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79dddd1daf4d4f" /></Relationships>
</file>

<file path=xl/workbook.xml><?xml version="1.0" encoding="utf-8"?>
<x:workbook xmlns:x="http://schemas.openxmlformats.org/spreadsheetml/2006/main">
  <x:sheets>
    <x:sheet xmlns:r="http://schemas.openxmlformats.org/officeDocument/2006/relationships" name="Summary" sheetId="1" r:id="R1bbeb05881ec47e0"/>
    <x:sheet xmlns:r="http://schemas.openxmlformats.org/officeDocument/2006/relationships" name="Assumptions" sheetId="2" r:id="R60f32dcbd0424646"/>
    <x:sheet xmlns:r="http://schemas.openxmlformats.org/officeDocument/2006/relationships" name="Service Load" sheetId="3" r:id="Re2e78f7f78a04595"/>
    <x:sheet xmlns:r="http://schemas.openxmlformats.org/officeDocument/2006/relationships" name="Lineages" sheetId="4" r:id="Rc42900a897534a43"/>
    <x:sheet xmlns:r="http://schemas.openxmlformats.org/officeDocument/2006/relationships" name="Heat Rejection" sheetId="5" r:id="Rff3c259bff1b4e73"/>
    <x:sheet xmlns:r="http://schemas.openxmlformats.org/officeDocument/2006/relationships" name="Worlds" sheetId="6" r:id="R56035a943fab442a"/>
    <x:sheet xmlns:r="http://schemas.openxmlformats.org/officeDocument/2006/relationships" name="Force Portfolio" sheetId="7" r:id="Rcfc8466f81b54da1"/>
    <x:sheet xmlns:r="http://schemas.openxmlformats.org/officeDocument/2006/relationships" name="Program" sheetId="8" r:id="R704f9c941a394299"/>
    <x:sheet xmlns:r="http://schemas.openxmlformats.org/officeDocument/2006/relationships" name="Evidence Gates" sheetId="9" r:id="R300572cca23c4d56"/>
    <x:sheet xmlns:r="http://schemas.openxmlformats.org/officeDocument/2006/relationships" name="Checks" sheetId="10" r:id="R4144290355024f39"/>
    <x:sheet xmlns:r="http://schemas.openxmlformats.org/officeDocument/2006/relationships" name="ReadMe" sheetId="11" r:id="Ra5231d738ec945f0"/>
  </x:sheets>
</x:workbook>
</file>

<file path=xl/sharedStrings.xml><?xml version="1.0" encoding="utf-8"?>
<x:sst xmlns:x="http://schemas.openxmlformats.org/spreadsheetml/2006/main"/>
</file>

<file path=xl/styles.xml><?xml version="1.0" encoding="utf-8"?>
<x:styleSheet xmlns:x="http://schemas.openxmlformats.org/spreadsheetml/2006/main">
  <x:numFmts count="11">
    <x:numFmt numFmtId="200" formatCode="0.0%"/>
    <x:numFmt numFmtId="201" formatCode="0.0x"/>
    <x:numFmt numFmtId="202" formatCode="#,##0.00"/>
    <x:numFmt numFmtId="203" formatCode="0%"/>
    <x:numFmt numFmtId="204" formatCode="0.000x"/>
    <x:numFmt numFmtId="205" formatCode="0&quot; / 18 worlds&quot;"/>
    <x:numFmt numFmtId="206" formatCode="#,##0"/>
    <x:numFmt numFmtId="207" formatCode="#,##0.0"/>
    <x:numFmt numFmtId="208" formatCode="$#,##0.0&quot;M&quot;"/>
    <x:numFmt numFmtId="209" formatCode="0.000000"/>
    <x:numFmt numFmtId="210" formatCode="0&quot; / 18&quot;"/>
  </x:numFmts>
  <x:fonts count="10">
    <x:font>
      <x:sz val="11"/>
      <x:name val="Carlito"/>
    </x:font>
    <x:font>
      <x:b/>
      <x:sz val="16"/>
      <x:color rgb="FF17365D"/>
      <x:name val="Arial"/>
    </x:font>
    <x:font>
      <x:i/>
      <x:sz val="10"/>
      <x:color rgb="FF5B6573"/>
      <x:name val="Arial"/>
    </x:font>
    <x:font>
      <x:b/>
      <x:sz val="10"/>
      <x:color rgb="FFFFFFFF"/>
      <x:name val="Arial"/>
    </x:font>
    <x:font>
      <x:sz val="10"/>
      <x:color rgb="FF0070C0"/>
      <x:name val="Arial"/>
    </x:font>
    <x:font>
      <x:sz val="11"/>
      <x:name val="Arial"/>
    </x:font>
    <x:font>
      <x:b/>
      <x:sz val="10"/>
      <x:color rgb="FF1F2937"/>
      <x:name val="Arial"/>
    </x:font>
    <x:font>
      <x:b/>
      <x:sz val="11"/>
      <x:color rgb="FF17365D"/>
      <x:name val="Arial"/>
    </x:font>
    <x:font>
      <x:b/>
      <x:sz val="10"/>
      <x:color rgb="FFC62828"/>
      <x:name val="Arial"/>
    </x:font>
    <x:font>
      <x:sz val="11"/>
      <x:color rgb="FF17365D"/>
      <x:name val="Arial"/>
    </x:font>
  </x:fonts>
  <x:fills count="8">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EAF2F8"/>
      </x:patternFill>
    </x:fill>
  </x:fills>
  <x:borders count="7">
    <x:border/>
    <x:border>
      <x:bottom style="thin">
        <x:color rgb="FF17365D"/>
      </x:bottom>
    </x:border>
    <x:border>
      <x:left style="thin">
        <x:color rgb="FF1F4E78"/>
      </x:left>
      <x:top style="thin">
        <x:color rgb="FF1F4E78"/>
      </x:top>
      <x:bottom style="thin">
        <x:color rgb="FF1F4E78"/>
      </x:bottom>
    </x:border>
    <x:border>
      <x:top style="thin">
        <x:color rgb="FF1F4E78"/>
      </x:top>
      <x:bottom style="thin">
        <x:color rgb="FF1F4E78"/>
      </x:bottom>
    </x:border>
    <x:border>
      <x:right style="thin">
        <x:color rgb="FF1F4E78"/>
      </x:right>
      <x:top style="thin">
        <x:color rgb="FF1F4E78"/>
      </x:top>
      <x:bottom style="thin">
        <x:color rgb="FF1F4E78"/>
      </x:bottom>
    </x:border>
    <x:border>
      <x:bottom style="thin">
        <x:color rgb="FFFFFFFF"/>
      </x:bottom>
    </x:border>
    <x:border>
      <x:top style="double">
        <x:color rgb="FF17365D"/>
      </x:top>
    </x:border>
  </x:borders>
  <x:cellStyleXfs count="1">
    <x:xf numFmtId="0" fontId="0" fillId="0" borderId="0"/>
  </x:cellStyleXfs>
  <x:cellXfs count="101">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3" fillId="3" borderId="0" xfId="0" applyNumberFormat="1" applyFont="1" applyFill="1" applyBorder="1" applyAlignment="1">
      <x:alignment horizontal="center" vertical="center" wrapText="1"/>
    </x:xf>
    <x:xf numFmtId="0" fontId="3" fillId="3" borderId="5" xfId="0" applyNumberFormat="1" applyFont="1" applyFill="1" applyBorder="1" applyAlignment="1">
      <x:alignment horizontal="center" vertical="center" wrapText="1"/>
    </x:xf>
    <x:xf numFmtId="0" fontId="0" fillId="4" borderId="0" xfId="0" applyNumberFormat="1" applyFont="1" applyFill="1" applyBorder="1"/>
    <x:xf numFmtId="200" fontId="0" fillId="4" borderId="0" xfId="0" applyNumberFormat="1" applyFont="1" applyFill="1" applyBorder="1"/>
    <x:xf numFmtId="201" fontId="0" fillId="4" borderId="0" xfId="0" applyNumberFormat="1" applyFont="1" applyFill="1" applyBorder="1"/>
    <x:xf numFmtId="0" fontId="4" fillId="4" borderId="0" xfId="0" applyNumberFormat="1" applyFont="1" applyFill="1" applyBorder="1"/>
    <x:xf numFmtId="200" fontId="4" fillId="4" borderId="0" xfId="0" applyNumberFormat="1" applyFont="1" applyFill="1" applyBorder="1"/>
    <x:xf numFmtId="201" fontId="4" fillId="4" borderId="0" xfId="0" applyNumberFormat="1" applyFont="1" applyFill="1" applyBorder="1"/>
    <x:xf numFmtId="0" fontId="5" fillId="0" borderId="1" xfId="0" applyNumberFormat="1" applyFont="1" applyFill="1" applyBorder="1"/>
    <x:xf numFmtId="0" fontId="5" fillId="0" borderId="0" xfId="0" applyNumberFormat="1" applyFont="1" applyFill="1" applyBorder="1"/>
    <x:xf numFmtId="0" fontId="1" fillId="0" borderId="0" xfId="0" applyNumberFormat="1" applyFont="1" applyFill="1" applyBorder="1" applyAlignment="1">
      <x:alignment vertical="center"/>
    </x:xf>
    <x:xf numFmtId="0" fontId="5" fillId="0" borderId="1" xfId="0" applyNumberFormat="1" applyFont="1" applyFill="1" applyBorder="1" applyAlignment="1">
      <x:alignment vertical="center"/>
    </x:xf>
    <x:xf numFmtId="0" fontId="2"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3" fillId="2" borderId="2" xfId="0" applyNumberFormat="1" applyFont="1" applyFill="1" applyBorder="1" applyAlignment="1">
      <x:alignment vertical="center"/>
    </x:xf>
    <x:xf numFmtId="0" fontId="3" fillId="2" borderId="3" xfId="0" applyNumberFormat="1" applyFont="1" applyFill="1" applyBorder="1" applyAlignment="1">
      <x:alignment vertical="center"/>
    </x:xf>
    <x:xf numFmtId="0" fontId="3" fillId="2" borderId="4" xfId="0" applyNumberFormat="1" applyFont="1" applyFill="1" applyBorder="1" applyAlignment="1">
      <x:alignment vertical="center"/>
    </x:xf>
    <x:xf numFmtId="0" fontId="4" fillId="4" borderId="0" xfId="0" applyNumberFormat="1" applyFont="1" applyFill="1" applyBorder="1" applyAlignment="1">
      <x:alignment vertical="center"/>
    </x:xf>
    <x:xf numFmtId="200" fontId="4" fillId="4" borderId="0" xfId="0" applyNumberFormat="1" applyFont="1" applyFill="1" applyBorder="1" applyAlignment="1">
      <x:alignment vertical="center"/>
    </x:xf>
    <x:xf numFmtId="201" fontId="4" fillId="4" borderId="0" xfId="0" applyNumberFormat="1" applyFont="1" applyFill="1" applyBorder="1" applyAlignment="1">
      <x:alignment vertical="center"/>
    </x:xf>
    <x:xf numFmtId="0" fontId="0" fillId="5" borderId="0" xfId="0" applyNumberFormat="1" applyFont="1" applyFill="1" applyBorder="1"/>
    <x:xf numFmtId="202" fontId="0" fillId="5" borderId="0" xfId="0" applyNumberFormat="1" applyFont="1" applyFill="1" applyBorder="1"/>
    <x:xf numFmtId="202" fontId="5" fillId="5" borderId="0" xfId="0" applyNumberFormat="1" applyFont="1" applyFill="1" applyBorder="1"/>
    <x:xf numFmtId="202" fontId="5" fillId="5" borderId="0" xfId="0" applyNumberFormat="1" applyFont="1" applyFill="1" applyBorder="1" applyAlignment="1">
      <x:alignment vertical="center"/>
    </x:xf>
    <x:xf numFmtId="203" fontId="0" fillId="4" borderId="0" xfId="0" applyNumberFormat="1" applyFont="1" applyFill="1" applyBorder="1"/>
    <x:xf numFmtId="202" fontId="0" fillId="4" borderId="0" xfId="0" applyNumberFormat="1" applyFont="1" applyFill="1" applyBorder="1"/>
    <x:xf numFmtId="0" fontId="0" fillId="0" borderId="0" xfId="0" applyNumberFormat="1" applyFont="1" applyFill="1" applyBorder="1" applyAlignment="1">
      <x:alignment wrapText="1"/>
    </x:xf>
    <x:xf numFmtId="0" fontId="5" fillId="0" borderId="0" xfId="0" applyNumberFormat="1" applyFont="1" applyFill="1" applyBorder="1" applyAlignment="1">
      <x:alignment wrapText="1"/>
    </x:xf>
    <x:xf numFmtId="202" fontId="5" fillId="4" borderId="0" xfId="0" applyNumberFormat="1" applyFont="1" applyFill="1" applyBorder="1"/>
    <x:xf numFmtId="0" fontId="5" fillId="4" borderId="0" xfId="0" applyNumberFormat="1" applyFont="1" applyFill="1" applyBorder="1"/>
    <x:xf numFmtId="0" fontId="5" fillId="0" borderId="0" xfId="0" applyNumberFormat="1" applyFont="1" applyFill="1" applyBorder="1" applyAlignment="1">
      <x:alignment vertical="center" wrapText="1"/>
    </x:xf>
    <x:xf numFmtId="202" fontId="5"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202" fontId="0" fillId="0" borderId="0" xfId="0" applyNumberFormat="1" applyFont="1" applyFill="1" applyBorder="1"/>
    <x:xf numFmtId="204" fontId="0" fillId="0" borderId="0" xfId="0" applyNumberFormat="1" applyFont="1" applyFill="1" applyBorder="1"/>
    <x:xf numFmtId="202" fontId="0" fillId="0" borderId="0" xfId="0" applyNumberFormat="1" applyFont="1" applyFill="1" applyBorder="1" applyAlignment="1">
      <x:alignment wrapText="1"/>
    </x:xf>
    <x:xf numFmtId="202" fontId="5" fillId="0" borderId="0" xfId="0" applyNumberFormat="1" applyFont="1" applyFill="1" applyBorder="1" applyAlignment="1">
      <x:alignment wrapText="1"/>
    </x:xf>
    <x:xf numFmtId="202" fontId="5" fillId="0" borderId="0" xfId="0" applyNumberFormat="1" applyFont="1" applyFill="1" applyBorder="1"/>
    <x:xf numFmtId="204" fontId="5" fillId="0" borderId="0" xfId="0" applyNumberFormat="1" applyFont="1" applyFill="1" applyBorder="1"/>
    <x:xf numFmtId="202" fontId="5" fillId="0" borderId="0" xfId="0" applyNumberFormat="1" applyFont="1" applyFill="1" applyBorder="1" applyAlignment="1">
      <x:alignment vertical="center" wrapText="1"/>
    </x:xf>
    <x:xf numFmtId="202" fontId="5" fillId="0" borderId="0" xfId="0" applyNumberFormat="1" applyFont="1" applyFill="1" applyBorder="1" applyAlignment="1">
      <x:alignment vertical="center"/>
    </x:xf>
    <x:xf numFmtId="204" fontId="5" fillId="0" borderId="0" xfId="0" applyNumberFormat="1" applyFont="1" applyFill="1" applyBorder="1" applyAlignment="1">
      <x:alignment vertical="center"/>
    </x:xf>
    <x:xf numFmtId="205" fontId="0" fillId="0" borderId="0" xfId="0" applyNumberFormat="1" applyFont="1" applyFill="1" applyBorder="1"/>
    <x:xf numFmtId="205" fontId="5" fillId="0" borderId="0" xfId="0" applyNumberFormat="1" applyFont="1" applyFill="1" applyBorder="1"/>
    <x:xf numFmtId="205" fontId="5" fillId="0" borderId="0" xfId="0" applyNumberFormat="1" applyFont="1" applyFill="1" applyBorder="1" applyAlignment="1">
      <x:alignment vertical="center"/>
    </x:xf>
    <x:xf numFmtId="0" fontId="6" fillId="0" borderId="0" xfId="0" applyNumberFormat="1" applyFont="1" applyFill="1" applyBorder="1"/>
    <x:xf numFmtId="0" fontId="6" fillId="0" borderId="6" xfId="0" applyNumberFormat="1" applyFont="1" applyFill="1" applyBorder="1"/>
    <x:xf numFmtId="206" fontId="0" fillId="5" borderId="0" xfId="0" applyNumberFormat="1" applyFont="1" applyFill="1" applyBorder="1"/>
    <x:xf numFmtId="0" fontId="6" fillId="5" borderId="6" xfId="0" applyNumberFormat="1" applyFont="1" applyFill="1" applyBorder="1"/>
    <x:xf numFmtId="207" fontId="0" fillId="5" borderId="0" xfId="0" applyNumberFormat="1" applyFont="1" applyFill="1" applyBorder="1"/>
    <x:xf numFmtId="207" fontId="6" fillId="5" borderId="6" xfId="0" applyNumberFormat="1" applyFont="1" applyFill="1" applyBorder="1"/>
    <x:xf numFmtId="207" fontId="5" fillId="5" borderId="0" xfId="0" applyNumberFormat="1" applyFont="1" applyFill="1" applyBorder="1"/>
    <x:xf numFmtId="206" fontId="5" fillId="5" borderId="0" xfId="0" applyNumberFormat="1" applyFont="1" applyFill="1" applyBorder="1"/>
    <x:xf numFmtId="207" fontId="5" fillId="5" borderId="0" xfId="0" applyNumberFormat="1" applyFont="1" applyFill="1" applyBorder="1" applyAlignment="1">
      <x:alignment vertical="center"/>
    </x:xf>
    <x:xf numFmtId="0" fontId="6" fillId="0" borderId="6" xfId="0" applyNumberFormat="1" applyFont="1" applyFill="1" applyBorder="1" applyAlignment="1">
      <x:alignment vertical="center"/>
    </x:xf>
    <x:xf numFmtId="207" fontId="6" fillId="5" borderId="6" xfId="0" applyNumberFormat="1" applyFont="1" applyFill="1" applyBorder="1" applyAlignment="1">
      <x:alignment vertical="center"/>
    </x:xf>
    <x:xf numFmtId="206" fontId="5" fillId="5" borderId="0" xfId="0" applyNumberFormat="1" applyFont="1" applyFill="1" applyBorder="1" applyAlignment="1">
      <x:alignment vertical="center"/>
    </x:xf>
    <x:xf numFmtId="0" fontId="7" fillId="0" borderId="0" xfId="0" applyNumberFormat="1" applyFont="1" applyFill="1" applyBorder="1"/>
    <x:xf numFmtId="0" fontId="7" fillId="0" borderId="6" xfId="0" applyNumberFormat="1" applyFont="1" applyFill="1" applyBorder="1"/>
    <x:xf numFmtId="208" fontId="0" fillId="0" borderId="0" xfId="0" applyNumberFormat="1" applyFont="1" applyFill="1" applyBorder="1"/>
    <x:xf numFmtId="208" fontId="7" fillId="0" borderId="6" xfId="0" applyNumberFormat="1" applyFont="1" applyFill="1" applyBorder="1"/>
    <x:xf numFmtId="208" fontId="5" fillId="0" borderId="0" xfId="0" applyNumberFormat="1" applyFont="1" applyFill="1" applyBorder="1"/>
    <x:xf numFmtId="208" fontId="5" fillId="0" borderId="0" xfId="0" applyNumberFormat="1" applyFont="1" applyFill="1" applyBorder="1" applyAlignment="1">
      <x:alignment vertical="center"/>
    </x:xf>
    <x:xf numFmtId="0" fontId="7" fillId="0" borderId="6" xfId="0" applyNumberFormat="1" applyFont="1" applyFill="1" applyBorder="1" applyAlignment="1">
      <x:alignment vertical="center"/>
    </x:xf>
    <x:xf numFmtId="208" fontId="7" fillId="0" borderId="6" xfId="0" applyNumberFormat="1" applyFont="1" applyFill="1" applyBorder="1" applyAlignment="1">
      <x:alignment vertical="center"/>
    </x:xf>
    <x:xf numFmtId="0" fontId="0" fillId="6" borderId="0" xfId="0" applyNumberFormat="1" applyFont="1" applyFill="1" applyBorder="1" applyAlignment="1">
      <x:alignment wrapText="1"/>
    </x:xf>
    <x:xf numFmtId="0" fontId="8" fillId="6" borderId="0" xfId="0" applyNumberFormat="1" applyFont="1" applyFill="1" applyBorder="1" applyAlignment="1">
      <x:alignment wrapText="1"/>
    </x:xf>
    <x:xf numFmtId="0" fontId="8" fillId="6" borderId="0" xfId="0" applyNumberFormat="1" applyFont="1" applyFill="1" applyBorder="1" applyAlignment="1">
      <x:alignment vertical="center" wrapText="1"/>
    </x:xf>
    <x:xf numFmtId="209" fontId="0" fillId="0" borderId="0" xfId="0" applyNumberFormat="1" applyFont="1" applyFill="1" applyBorder="1"/>
    <x:xf numFmtId="209" fontId="5" fillId="0" borderId="0" xfId="0" applyNumberFormat="1" applyFont="1" applyFill="1" applyBorder="1"/>
    <x:xf numFmtId="209" fontId="5" fillId="0" borderId="0" xfId="0" applyNumberFormat="1" applyFont="1" applyFill="1" applyBorder="1" applyAlignment="1">
      <x:alignment vertical="center"/>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4" xfId="0" applyNumberFormat="1" applyFont="1" applyFill="1" applyBorder="1" applyAlignment="1">
      <x:alignment wrapText="1"/>
    </x:xf>
    <x:xf numFmtId="0" fontId="3" fillId="2" borderId="2" xfId="0" applyNumberFormat="1" applyFont="1" applyFill="1" applyBorder="1" applyAlignment="1">
      <x:alignment vertical="center" wrapText="1"/>
    </x:xf>
    <x:xf numFmtId="0" fontId="3" fillId="2" borderId="3" xfId="0" applyNumberFormat="1" applyFont="1" applyFill="1" applyBorder="1" applyAlignment="1">
      <x:alignment vertical="center" wrapText="1"/>
    </x:xf>
    <x:xf numFmtId="0" fontId="3" fillId="2" borderId="4" xfId="0" applyNumberFormat="1" applyFont="1" applyFill="1" applyBorder="1" applyAlignment="1">
      <x:alignment vertical="center" wrapText="1"/>
    </x:xf>
    <x:xf numFmtId="210" fontId="0" fillId="0" borderId="0" xfId="0" applyNumberFormat="1" applyFont="1" applyFill="1" applyBorder="1"/>
    <x:xf numFmtId="207" fontId="0" fillId="0" borderId="0" xfId="0" applyNumberFormat="1" applyFont="1" applyFill="1" applyBorder="1"/>
    <x:xf numFmtId="0" fontId="0" fillId="7" borderId="0" xfId="0" applyNumberFormat="1" applyFont="1" applyFill="1" applyBorder="1" applyAlignment="1">
      <x:alignment wrapText="1"/>
    </x:xf>
    <x:xf numFmtId="0" fontId="9" fillId="7" borderId="0" xfId="0" applyNumberFormat="1" applyFont="1" applyFill="1" applyBorder="1" applyAlignment="1">
      <x:alignment wrapText="1"/>
    </x:xf>
    <x:xf numFmtId="210" fontId="5" fillId="0" borderId="0" xfId="0" applyNumberFormat="1" applyFont="1" applyFill="1" applyBorder="1"/>
    <x:xf numFmtId="207" fontId="5" fillId="0" borderId="0" xfId="0" applyNumberFormat="1" applyFont="1" applyFill="1" applyBorder="1"/>
    <x:xf numFmtId="210" fontId="5" fillId="0" borderId="0" xfId="0" applyNumberFormat="1" applyFont="1" applyFill="1" applyBorder="1" applyAlignment="1">
      <x:alignment vertical="center"/>
    </x:xf>
    <x:xf numFmtId="207" fontId="5" fillId="0" borderId="0" xfId="0" applyNumberFormat="1" applyFont="1" applyFill="1" applyBorder="1" applyAlignment="1">
      <x:alignment vertical="center"/>
    </x:xf>
    <x:xf numFmtId="0" fontId="9" fillId="7" borderId="0" xfId="0" applyNumberFormat="1" applyFont="1" applyFill="1" applyBorder="1" applyAlignment="1">
      <x:alignment vertical="center" wrapText="1"/>
    </x:xf>
    <x:xf numFmtId="0" fontId="0" fillId="0" borderId="1" xfId="0" applyNumberFormat="1" applyFont="1" applyFill="1" applyBorder="1" applyAlignment="1">
      <x:alignment vertical="center"/>
    </x:xf>
    <x:xf numFmtId="0" fontId="0" fillId="0" borderId="0" xfId="0" applyNumberFormat="1" applyFont="1" applyFill="1" applyBorder="1" applyAlignment="1">
      <x:alignment vertical="center"/>
    </x:xf>
  </x:cellXfs>
  <x:cellStyles count="1">
    <x:cellStyle name="Normal" xfId="0"/>
  </x:cellStyles>
  <x:dxfs count="3">
    <x:dxf>
      <x:font>
        <x:b/>
        <x:color rgb="FFC62828"/>
      </x:font>
      <x:fill>
        <x:patternFill>
          <x:bgColor rgb="FFF4CCCC"/>
        </x:patternFill>
      </x:fill>
    </x:dxf>
    <x:dxf>
      <x:font>
        <x:color rgb="FF2E7D32"/>
      </x:font>
      <x:fill>
        <x:patternFill>
          <x:bgColor rgb="FFE2F0D9"/>
        </x:patternFill>
      </x:fill>
    </x:dxf>
    <x:dxf>
      <x:font>
        <x:b/>
        <x:color rgb="FFC62828"/>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636117fea8b4cef" /><Relationship Type="http://schemas.openxmlformats.org/officeDocument/2006/relationships/theme" Target="/xl/theme/theme1.xml" Id="Re0f1a0dd4c114530" /><Relationship Type="http://schemas.openxmlformats.org/officeDocument/2006/relationships/sharedStrings" Target="/xl/sharedStrings.xml" Id="R3a4743f3babf4fe2" /><Relationship Type="http://schemas.openxmlformats.org/officeDocument/2006/relationships/worksheet" Target="/xl/worksheets/sheet1.xml" Id="R1bbeb05881ec47e0" /><Relationship Type="http://schemas.openxmlformats.org/officeDocument/2006/relationships/worksheet" Target="/xl/worksheets/sheet2.xml" Id="R60f32dcbd0424646" /><Relationship Type="http://schemas.openxmlformats.org/officeDocument/2006/relationships/worksheet" Target="/xl/worksheets/sheet3.xml" Id="Re2e78f7f78a04595" /><Relationship Type="http://schemas.openxmlformats.org/officeDocument/2006/relationships/worksheet" Target="/xl/worksheets/sheet4.xml" Id="Rc42900a897534a43" /><Relationship Type="http://schemas.openxmlformats.org/officeDocument/2006/relationships/worksheet" Target="/xl/worksheets/sheet5.xml" Id="Rff3c259bff1b4e73" /><Relationship Type="http://schemas.openxmlformats.org/officeDocument/2006/relationships/worksheet" Target="/xl/worksheets/sheet6.xml" Id="R56035a943fab442a" /><Relationship Type="http://schemas.openxmlformats.org/officeDocument/2006/relationships/worksheet" Target="/xl/worksheets/sheet7.xml" Id="Rcfc8466f81b54da1" /><Relationship Type="http://schemas.openxmlformats.org/officeDocument/2006/relationships/worksheet" Target="/xl/worksheets/sheet8.xml" Id="R704f9c941a394299" /><Relationship Type="http://schemas.openxmlformats.org/officeDocument/2006/relationships/worksheet" Target="/xl/worksheets/sheet9.xml" Id="R300572cca23c4d56" /><Relationship Type="http://schemas.openxmlformats.org/officeDocument/2006/relationships/worksheet" Target="/xl/worksheets/sheet10.xml" Id="R4144290355024f39" /><Relationship Type="http://schemas.openxmlformats.org/officeDocument/2006/relationships/worksheet" Target="/xl/worksheets/sheet11.xml" Id="Ra5231d738ec945f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pane ySplit="6" topLeftCell="A7" activePane="bottomLeft" state="frozen"/>
    </x:sheetView>
  </x:sheetViews>
  <x:sheetFormatPr defaultRowHeight="15"/>
  <x:cols>
    <x:col min="1" max="1" width="3" hidden="0" customWidth="1"/>
    <x:col min="2" max="2" width="37" hidden="0" customWidth="1"/>
    <x:col min="3" max="3" width="19" hidden="0" customWidth="1"/>
    <x:col min="4" max="4" width="13" hidden="0" customWidth="1"/>
    <x:col min="5" max="5" width="45" hidden="0" customWidth="1"/>
    <x:col min="6" max="6" width="3" hidden="0" customWidth="1"/>
    <x:col min="7" max="7" width="9" hidden="0" customWidth="1"/>
    <x:col min="8" max="8" width="31" hidden="0" customWidth="1"/>
    <x:col min="9" max="9" width="16" hidden="0" customWidth="1"/>
    <x:col min="10" max="10" width="19" hidden="0" customWidth="1"/>
    <x:col min="11" max="11" width="20" hidden="0" customWidth="1"/>
  </x:cols>
  <x:sheetData>
    <x:row r="2">
      <x:c r="B2" s="23" t="str">
        <x:v>PTS-5 energy and heat-rejection competition</x:v>
      </x:c>
      <x:c r="C2" s="23"/>
      <x:c r="D2" s="23"/>
      <x:c r="E2" s="23"/>
      <x:c r="F2" s="23"/>
      <x:c r="G2" s="23"/>
      <x:c r="H2" s="23"/>
      <x:c r="I2" s="23"/>
      <x:c r="J2" s="23"/>
      <x:c r="K2" s="26"/>
    </x:row>
    <x:row r="3">
      <x:c r="B3" s="24"/>
      <x:c r="C3" s="24"/>
      <x:c r="D3" s="24"/>
      <x:c r="E3" s="24"/>
      <x:c r="F3" s="24"/>
      <x:c r="G3" s="24"/>
      <x:c r="H3" s="24"/>
      <x:c r="I3" s="24"/>
      <x:c r="J3" s="24"/>
      <x:c r="K3" s="26"/>
    </x:row>
    <x:row r="4">
      <x:c r="B4" s="25" t="str">
        <x:v>One 5,000-person service cell, 168 hours, six source lineages and no admitted architecture</x:v>
      </x:c>
      <x:c r="C4" s="25"/>
      <x:c r="D4" s="25"/>
      <x:c r="E4" s="25"/>
      <x:c r="F4" s="25"/>
      <x:c r="G4" s="25"/>
      <x:c r="H4" s="25"/>
      <x:c r="I4" s="25"/>
      <x:c r="J4" s="25"/>
      <x:c r="K4" s="26"/>
    </x:row>
    <x:row r="5">
      <x:c r="B5" s="26"/>
      <x:c r="C5" s="26"/>
      <x:c r="D5" s="26"/>
      <x:c r="E5" s="26"/>
      <x:c r="F5" s="26"/>
      <x:c r="G5" s="26"/>
      <x:c r="H5" s="26"/>
      <x:c r="I5" s="26"/>
      <x:c r="J5" s="26"/>
      <x:c r="K5" s="26"/>
    </x:row>
    <x:row r="6">
      <x:c r="B6" s="27" t="str">
        <x:v>Service requirement</x:v>
      </x:c>
      <x:c r="C6" s="28" t="str">
        <x:v>Service requirement</x:v>
      </x:c>
      <x:c r="D6" s="28" t="str">
        <x:v>Service requirement</x:v>
      </x:c>
      <x:c r="E6" s="29" t="str">
        <x:v>Service requirement</x:v>
      </x:c>
      <x:c r="F6" s="26"/>
      <x:c r="G6" s="27" t="str">
        <x:v>Lineage result</x:v>
      </x:c>
      <x:c r="H6" s="28" t="str">
        <x:v>Lineage result</x:v>
      </x:c>
      <x:c r="I6" s="28" t="str">
        <x:v>Lineage result</x:v>
      </x:c>
      <x:c r="J6" s="28" t="str">
        <x:v>Lineage result</x:v>
      </x:c>
      <x:c r="K6" s="29" t="str">
        <x:v>Lineage result</x:v>
      </x:c>
    </x:row>
    <x:row r="7">
      <x:c r="B7" s="14" t="str">
        <x:v>Measure</x:v>
      </x:c>
      <x:c r="C7" s="14" t="str">
        <x:v>Result</x:v>
      </x:c>
      <x:c r="D7" s="14" t="str">
        <x:v>Unit</x:v>
      </x:c>
      <x:c r="E7" s="14" t="str">
        <x:v>Meaning</x:v>
      </x:c>
      <x:c r="F7" s="26"/>
      <x:c r="G7" s="14" t="str">
        <x:v>Code</x:v>
      </x:c>
      <x:c r="H7" s="14" t="str">
        <x:v>Lineage</x:v>
      </x:c>
      <x:c r="I7" s="14" t="str">
        <x:v>Worlds passed</x:v>
      </x:c>
      <x:c r="J7" s="14" t="str">
        <x:v>Transported mass t</x:v>
      </x:c>
      <x:c r="K7" s="14" t="str">
        <x:v>Site rejection MWth</x:v>
      </x:c>
    </x:row>
    <x:row r="8" ht="35" customHeight="1">
      <x:c r="B8" s="26" t="str">
        <x:v>Continuous net electricity</x:v>
      </x:c>
      <x:c r="C8" s="53" t="n">
        <x:f>'Service Load'!D9</x:f>
        <x:v>1.42216</x:v>
      </x:c>
      <x:c r="D8" s="26" t="str">
        <x:v>MWe</x:v>
      </x:c>
      <x:c r="E8" s="26" t="str">
        <x:v>occupied-building service</x:v>
      </x:c>
      <x:c r="F8" s="26"/>
      <x:c r="G8" s="26" t="str">
        <x:f>Lineages!B7</x:f>
        <x:v>L1</x:v>
      </x:c>
      <x:c r="H8" s="43" t="str">
        <x:f>Lineages!C7</x:f>
        <x:v>Organic multi-liquid bridge</x:v>
      </x:c>
      <x:c r="I8" s="96" t="n">
        <x:f>Worlds!D27</x:f>
        <x:v>16</x:v>
      </x:c>
      <x:c r="J8" s="97" t="n">
        <x:f>Lineages!Q7</x:f>
        <x:v>634.7900837520938</x:v>
      </x:c>
      <x:c r="K8" s="97" t="n">
        <x:f>'Heat Rejection'!F7</x:f>
        <x:v>4.765105238095238</x:v>
      </x:c>
    </x:row>
    <x:row r="9" ht="35" customHeight="1">
      <x:c r="B9" s="26" t="str">
        <x:v>Peak net electricity</x:v>
      </x:c>
      <x:c r="C9" s="53" t="n">
        <x:f>'Service Load'!D10</x:f>
        <x:v>1.91992</x:v>
      </x:c>
      <x:c r="D9" s="26" t="str">
        <x:v>MWe</x:v>
      </x:c>
      <x:c r="E9" s="26" t="str">
        <x:v>coincident and starting demand</x:v>
      </x:c>
      <x:c r="F9" s="26"/>
      <x:c r="G9" s="26" t="str">
        <x:f>Lineages!B8</x:f>
        <x:v>L2</x:v>
      </x:c>
      <x:c r="H9" s="43" t="str">
        <x:f>Lineages!C8</x:f>
        <x:v>Conditioned gas with liquid bridge</x:v>
      </x:c>
      <x:c r="I9" s="96" t="n">
        <x:f>Worlds!D28</x:f>
        <x:v>15</x:v>
      </x:c>
      <x:c r="J9" s="97" t="n">
        <x:f>Lineages!Q8</x:f>
        <x:v>646.6380293776575</x:v>
      </x:c>
      <x:c r="K9" s="97" t="n">
        <x:f>'Heat Rejection'!F8</x:f>
        <x:v>4.113933076923077</x:v>
      </x:c>
    </x:row>
    <x:row r="10" ht="35" customHeight="1">
      <x:c r="B10" s="26" t="str">
        <x:v>Mission electrical energy</x:v>
      </x:c>
      <x:c r="C10" s="53" t="n">
        <x:f>'Service Load'!D14</x:f>
        <x:v>238.92288000000002</x:v>
      </x:c>
      <x:c r="D10" s="26" t="str">
        <x:v>MWh</x:v>
      </x:c>
      <x:c r="E10" s="26" t="str">
        <x:v>before reserve</x:v>
      </x:c>
      <x:c r="F10" s="26"/>
      <x:c r="G10" s="26" t="str">
        <x:f>Lineages!B9</x:f>
        <x:v>L3</x:v>
      </x:c>
      <x:c r="H10" s="43" t="str">
        <x:f>Lineages!C9</x:f>
        <x:v>Transported storage-only</x:v>
      </x:c>
      <x:c r="I10" s="96" t="n">
        <x:f>Worlds!D29</x:f>
        <x:v>15</x:v>
      </x:c>
      <x:c r="J10" s="97" t="n">
        <x:f>Lineages!Q9</x:f>
        <x:v>2784</x:v>
      </x:c>
      <x:c r="K10" s="97" t="n">
        <x:f>'Heat Rejection'!F9</x:f>
        <x:v>2.9591877777777778</x:v>
      </x:c>
    </x:row>
    <x:row r="11" ht="35" customHeight="1">
      <x:c r="B11" s="26" t="str">
        <x:v>Cooling-system rejection</x:v>
      </x:c>
      <x:c r="C11" s="53" t="n">
        <x:f>'Service Load'!D12</x:f>
        <x:v>2.80117</x:v>
      </x:c>
      <x:c r="D11" s="26" t="str">
        <x:v>MWth</x:v>
      </x:c>
      <x:c r="E11" s="26" t="str">
        <x:v>excludes source waste heat</x:v>
      </x:c>
      <x:c r="F11" s="26"/>
      <x:c r="G11" s="26" t="str">
        <x:f>Lineages!B10</x:f>
        <x:v>L4</x:v>
      </x:c>
      <x:c r="H11" s="43" t="str">
        <x:f>Lineages!C10</x:f>
        <x:v>Local-resource hybrid</x:v>
      </x:c>
      <x:c r="I11" s="96" t="n">
        <x:f>Worlds!D30</x:f>
        <x:v>11</x:v>
      </x:c>
      <x:c r="J11" s="97" t="n">
        <x:f>Lineages!Q10</x:f>
        <x:v>881.9160335008376</x:v>
      </x:c>
      <x:c r="K11" s="97" t="n">
        <x:f>'Heat Rejection'!F10</x:f>
        <x:v>3.586744095238095</x:v>
      </x:c>
    </x:row>
    <x:row r="12" ht="35" customHeight="1">
      <x:c r="B12" s="26" t="str">
        <x:v>Storage-only system mass</x:v>
      </x:c>
      <x:c r="C12" s="53" t="n">
        <x:f>'Service Load'!D17</x:f>
        <x:v>2333.2312499999994</x:v>
      </x:c>
      <x:c r="D12" s="26" t="str">
        <x:v>t</x:v>
      </x:c>
      <x:c r="E12" s="26" t="str">
        <x:v>energy system only</x:v>
      </x:c>
      <x:c r="F12" s="26"/>
      <x:c r="G12" s="26" t="str">
        <x:f>Lineages!B11</x:f>
        <x:v>L5</x:v>
      </x:c>
      <x:c r="H12" s="43" t="str">
        <x:f>Lineages!C11</x:f>
        <x:v>Prepared metropolitan anchor</x:v>
      </x:c>
      <x:c r="I12" s="96" t="n">
        <x:f>Worlds!D31</x:f>
        <x:v>13</x:v>
      </x:c>
      <x:c r="J12" s="97" t="n">
        <x:f>Lineages!Q11</x:f>
        <x:v>560.9580167504188</x:v>
      </x:c>
      <x:c r="K12" s="97" t="n">
        <x:f>'Heat Rejection'!F11</x:f>
        <x:v>3.1939570476190475</x:v>
      </x:c>
    </x:row>
    <x:row r="13" ht="35" customHeight="1">
      <x:c r="B13" s="26"/>
      <x:c r="C13" s="26"/>
      <x:c r="D13" s="26"/>
      <x:c r="E13" s="26"/>
      <x:c r="F13" s="26"/>
      <x:c r="G13" s="26" t="str">
        <x:f>Lineages!B12</x:f>
        <x:v>L6</x:v>
      </x:c>
      <x:c r="H13" s="43" t="str">
        <x:f>Lineages!C12</x:f>
        <x:v>Strategic firm microreactor</x:v>
      </x:c>
      <x:c r="I13" s="96" t="n">
        <x:f>Worlds!D32</x:f>
        <x:v>13</x:v>
      </x:c>
      <x:c r="J13" s="97" t="n">
        <x:f>Lineages!Q12</x:f>
        <x:v>1310</x:v>
      </x:c>
      <x:c r="K13" s="97" t="n">
        <x:f>'Heat Rejection'!F12</x:f>
        <x:v>5.6885857575757575</x:v>
      </x:c>
    </x:row>
    <x:row r="14" ht="27" customHeight="1">
      <x:c r="B14" s="26"/>
      <x:c r="C14" s="26"/>
      <x:c r="D14" s="26"/>
      <x:c r="E14" s="26"/>
      <x:c r="F14" s="26"/>
      <x:c r="G14" s="26"/>
      <x:c r="H14" s="26"/>
      <x:c r="I14" s="26"/>
      <x:c r="J14" s="26"/>
      <x:c r="K14" s="26"/>
    </x:row>
    <x:row r="15" ht="27" customHeight="1">
      <x:c r="B15" s="26"/>
      <x:c r="C15" s="26"/>
      <x:c r="D15" s="26"/>
      <x:c r="E15" s="26"/>
      <x:c r="F15" s="26"/>
      <x:c r="G15" s="26"/>
      <x:c r="H15" s="26"/>
      <x:c r="I15" s="26"/>
      <x:c r="J15" s="26"/>
      <x:c r="K15" s="26"/>
    </x:row>
    <x:row r="16" ht="27" customHeight="1">
      <x:c r="B16" s="27" t="str">
        <x:v>Portfolio consequence</x:v>
      </x:c>
      <x:c r="C16" s="28" t="str">
        <x:v>Portfolio consequence</x:v>
      </x:c>
      <x:c r="D16" s="28" t="str">
        <x:v>Portfolio consequence</x:v>
      </x:c>
      <x:c r="E16" s="29" t="str">
        <x:v>Portfolio consequence</x:v>
      </x:c>
      <x:c r="F16" s="26"/>
      <x:c r="G16" s="27" t="str">
        <x:v>Decision</x:v>
      </x:c>
      <x:c r="H16" s="28" t="str">
        <x:v>Decision</x:v>
      </x:c>
      <x:c r="I16" s="28" t="str">
        <x:v>Decision</x:v>
      </x:c>
      <x:c r="J16" s="28" t="str">
        <x:v>Decision</x:v>
      </x:c>
      <x:c r="K16" s="29" t="str">
        <x:v>Decision</x:v>
      </x:c>
    </x:row>
    <x:row r="17" ht="27" customHeight="1">
      <x:c r="B17" s="14" t="str">
        <x:v>Measure</x:v>
      </x:c>
      <x:c r="C17" s="14" t="str">
        <x:v>Result</x:v>
      </x:c>
      <x:c r="D17" s="14" t="str">
        <x:v>Unit</x:v>
      </x:c>
      <x:c r="E17" s="14" t="str">
        <x:v>Interpretation</x:v>
      </x:c>
      <x:c r="F17" s="26"/>
      <x:c r="G17" s="98" t="str">
        <x:v>No lineage is universal. L1 is the rapid seven-day bridge but fails a held liquid lot and occupied-site exhaust world. Storage closes source denial only by moving 2,800 tonnes per cell. Gas, local resources and prepared anchors are conditional. Strategic firm power solves endurance but misses rapid arrival, mobile mass, footprint and reset. Advance a common service spine, multiple swappable energy/rejection packages and four temporal echelons. Do not select a vehicle or render an asset.</x:v>
      </x:c>
      <x:c r="H17" s="98"/>
      <x:c r="I17" s="98"/>
      <x:c r="J17" s="98"/>
      <x:c r="K17" s="98"/>
    </x:row>
    <x:row r="18" ht="27" customHeight="1">
      <x:c r="B18" s="26" t="str">
        <x:v>Organic kits per group</x:v>
      </x:c>
      <x:c r="C18" s="97" t="n">
        <x:f>'Force Portfolio'!D14</x:f>
        <x:v>12</x:v>
      </x:c>
      <x:c r="D18" s="26" t="str">
        <x:v>kits</x:v>
      </x:c>
      <x:c r="E18" s="26" t="str">
        <x:v>six liquid, two gas, two local and two anchor packages</x:v>
      </x:c>
      <x:c r="F18" s="26"/>
      <x:c r="G18" s="98"/>
      <x:c r="H18" s="98"/>
      <x:c r="I18" s="98"/>
      <x:c r="J18" s="98"/>
      <x:c r="K18" s="98"/>
    </x:row>
    <x:row r="19" ht="27" customHeight="1">
      <x:c r="B19" s="26" t="str">
        <x:v>Revised PTS-50 dry mass</x:v>
      </x:c>
      <x:c r="C19" s="97" t="n">
        <x:f>'Force Portfolio'!C15</x:f>
        <x:v>12200</x:v>
      </x:c>
      <x:c r="D19" s="26" t="str">
        <x:v>t</x:v>
      </x:c>
      <x:c r="E19" s="26" t="str">
        <x:v>non-cell formation plus configured energy packages</x:v>
      </x:c>
      <x:c r="F19" s="26"/>
      <x:c r="G19" s="98"/>
      <x:c r="H19" s="98"/>
      <x:c r="I19" s="98"/>
      <x:c r="J19" s="98"/>
      <x:c r="K19" s="98"/>
    </x:row>
    <x:row r="20" ht="27" customHeight="1">
      <x:c r="B20" s="26" t="str">
        <x:v>Revised PTS-50 deployed crew</x:v>
      </x:c>
      <x:c r="C20" s="97" t="n">
        <x:f>'Force Portfolio'!C16</x:f>
        <x:v>2852</x:v>
      </x:c>
      <x:c r="D20" s="26" t="str">
        <x:v>people</x:v>
      </x:c>
      <x:c r="E20" s="26" t="str">
        <x:v>shift-complete formation hypothesis</x:v>
      </x:c>
      <x:c r="F20" s="26"/>
      <x:c r="G20" s="98"/>
      <x:c r="H20" s="98"/>
      <x:c r="I20" s="98"/>
      <x:c r="J20" s="98"/>
      <x:c r="K20" s="98"/>
    </x:row>
    <x:row r="21" ht="27" customHeight="1">
      <x:c r="B21" s="26" t="str">
        <x:v>Seven-day liquid inventory per group</x:v>
      </x:c>
      <x:c r="C21" s="97" t="n">
        <x:f>'Force Portfolio'!H14</x:f>
        <x:v>407.7646617703904</x:v>
      </x:c>
      <x:c r="D21" s="26" t="str">
        <x:v>t</x:v>
      </x:c>
      <x:c r="E21" s="26" t="str">
        <x:v>partial wet burden; other consumables excluded</x:v>
      </x:c>
      <x:c r="F21" s="26"/>
      <x:c r="G21" s="98"/>
      <x:c r="H21" s="98"/>
      <x:c r="I21" s="98"/>
      <x:c r="J21" s="98"/>
      <x:c r="K21" s="98"/>
    </x:row>
    <x:row r="22" ht="27" customHeight="1">
      <x:c r="B22" s="26" t="str">
        <x:v>Configured PTS-50 fleet capital</x:v>
      </x:c>
      <x:c r="C22" s="97" t="n">
        <x:f>Program!D8</x:f>
        <x:v>1016755.2</x:v>
      </x:c>
      <x:c r="D22" s="26" t="str">
        <x:v>$M</x:v>
      </x:c>
      <x:c r="E22" s="26" t="str">
        <x:v>72 mixed groups</x:v>
      </x:c>
      <x:c r="F22" s="26"/>
      <x:c r="G22" s="98"/>
      <x:c r="H22" s="98"/>
      <x:c r="I22" s="98"/>
      <x:c r="J22" s="98"/>
      <x:c r="K22" s="98"/>
    </x:row>
    <x:row r="23" ht="27" customHeight="1">
      <x:c r="B23" s="26" t="str">
        <x:v>National 25-year comparator</x:v>
      </x:c>
      <x:c r="C23" s="97" t="n">
        <x:f>Program!D15</x:f>
        <x:v>3542595.2</x:v>
      </x:c>
      <x:c r="D23" s="26" t="str">
        <x:v>$M</x:v>
      </x:c>
      <x:c r="E23" s="26" t="str">
        <x:v>constant 2026 dollars</x:v>
      </x:c>
      <x:c r="F23" s="26"/>
      <x:c r="G23" s="98"/>
      <x:c r="H23" s="98"/>
      <x:c r="I23" s="98"/>
      <x:c r="J23" s="98"/>
      <x:c r="K23" s="98"/>
    </x:row>
    <x:row r="24" ht="27" customHeight="1">
      <x:c r="B24" s="26" t="str">
        <x:v>Open evidence gates</x:v>
      </x:c>
      <x:c r="C24" s="97" t="n">
        <x:f>COUNTIF('Evidence Gates'!F7:F34,"OPEN")</x:f>
        <x:v>28</x:v>
      </x:c>
      <x:c r="D24" s="26" t="str">
        <x:v>gates</x:v>
      </x:c>
      <x:c r="E24" s="26" t="str">
        <x:v>strict admission remains zero</x:v>
      </x:c>
      <x:c r="F24" s="26"/>
      <x:c r="G24" s="98"/>
      <x:c r="H24" s="98"/>
      <x:c r="I24" s="98"/>
      <x:c r="J24" s="98"/>
      <x:c r="K24" s="98"/>
    </x:row>
  </x:sheetData>
  <x:mergeCells>
    <x:mergeCell ref="B2:J2"/>
    <x:mergeCell ref="B4:J4"/>
    <x:mergeCell ref="B6:E6"/>
    <x:mergeCell ref="G6:K6"/>
    <x:mergeCell ref="B16:E16"/>
    <x:mergeCell ref="G16:K16"/>
    <x:mergeCell ref="G17:K24"/>
  </x:mergeCells>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ySplit="7" topLeftCell="A8" activePane="bottomLeft" state="frozen"/>
    </x:sheetView>
  </x:sheetViews>
  <x:sheetFormatPr defaultRowHeight="15"/>
  <x:cols>
    <x:col min="1" max="1" width="3" hidden="0" customWidth="1"/>
    <x:col min="2" max="2" width="39" hidden="0" customWidth="1"/>
    <x:col min="3" max="3" width="16" hidden="0" customWidth="1"/>
    <x:col min="4" max="4" width="18" hidden="0" customWidth="1"/>
    <x:col min="5" max="5" width="62" hidden="0" customWidth="1"/>
  </x:cols>
  <x:sheetData>
    <x:row r="2">
      <x:c r="B2" s="23" t="str">
        <x:v>PTS-5 energy and heat-rejection assumptions</x:v>
      </x:c>
      <x:c r="C2" s="23"/>
      <x:c r="D2" s="23"/>
      <x:c r="E2" s="23"/>
      <x:c r="F2" s="23"/>
      <x:c r="G2" s="23"/>
      <x:c r="H2" s="23"/>
      <x:c r="I2" s="23"/>
      <x:c r="J2" s="23"/>
    </x:row>
    <x:row r="3">
      <x:c r="B3" s="24"/>
      <x:c r="C3" s="24"/>
      <x:c r="D3" s="24"/>
      <x:c r="E3" s="24"/>
      <x:c r="F3" s="99"/>
      <x:c r="G3" s="99"/>
      <x:c r="H3" s="99"/>
      <x:c r="I3" s="99"/>
      <x:c r="J3" s="99"/>
    </x:row>
    <x:row r="4">
      <x:c r="B4" s="25" t="str">
        <x:v>Yellow cells are editable design hypotheses. No external sites were used in this pass.</x:v>
      </x:c>
      <x:c r="C4" s="25"/>
      <x:c r="D4" s="25"/>
      <x:c r="E4" s="25"/>
      <x:c r="F4" s="25"/>
      <x:c r="G4" s="25"/>
      <x:c r="H4" s="25"/>
      <x:c r="I4" s="25"/>
      <x:c r="J4" s="25"/>
    </x:row>
    <x:row r="5">
      <x:c r="B5" s="26"/>
      <x:c r="C5" s="26"/>
      <x:c r="D5" s="26"/>
      <x:c r="E5" s="26"/>
      <x:c r="F5" s="100"/>
      <x:c r="G5" s="100"/>
      <x:c r="H5" s="100"/>
      <x:c r="I5" s="100"/>
      <x:c r="J5" s="100"/>
    </x:row>
    <x:row r="6">
      <x:c r="B6" s="27" t="str">
        <x:v>Service contract and force controls</x:v>
      </x:c>
      <x:c r="C6" s="28" t="str">
        <x:v>Service contract and force controls</x:v>
      </x:c>
      <x:c r="D6" s="28" t="str">
        <x:v>Service contract and force controls</x:v>
      </x:c>
      <x:c r="E6" s="29" t="str">
        <x:v>Service contract and force controls</x:v>
      </x:c>
      <x:c r="F6" s="100"/>
      <x:c r="G6" s="100"/>
      <x:c r="H6" s="100"/>
      <x:c r="I6" s="100"/>
      <x:c r="J6" s="100"/>
    </x:row>
    <x:row r="7">
      <x:c r="B7" s="14" t="str">
        <x:v>Input</x:v>
      </x:c>
      <x:c r="C7" s="14" t="str">
        <x:v>Value</x:v>
      </x:c>
      <x:c r="D7" s="14" t="str">
        <x:v>Unit</x:v>
      </x:c>
      <x:c r="E7" s="14" t="str">
        <x:v>Role</x:v>
      </x:c>
      <x:c r="F7" s="100"/>
      <x:c r="G7" s="100"/>
      <x:c r="H7" s="100"/>
      <x:c r="I7" s="100"/>
      <x:c r="J7" s="100"/>
    </x:row>
    <x:row r="8">
      <x:c r="B8" s="26" t="str">
        <x:v>Service-cell population</x:v>
      </x:c>
      <x:c r="C8" s="30" t="n">
        <x:v>5000</x:v>
      </x:c>
      <x:c r="D8" s="26" t="str">
        <x:v>people</x:v>
      </x:c>
      <x:c r="E8" s="26" t="str">
        <x:v>one PTS-5 responsibility</x:v>
      </x:c>
      <x:c r="F8" s="100"/>
      <x:c r="G8" s="100"/>
      <x:c r="H8" s="100"/>
      <x:c r="I8" s="100"/>
      <x:c r="J8" s="100"/>
    </x:row>
    <x:row r="9">
      <x:c r="B9" s="26" t="str">
        <x:v>Mission duration</x:v>
      </x:c>
      <x:c r="C9" s="30" t="n">
        <x:v>168</x:v>
      </x:c>
      <x:c r="D9" s="26" t="str">
        <x:v>h</x:v>
      </x:c>
      <x:c r="E9" s="26" t="str">
        <x:v>seven-day occupied-building service</x:v>
      </x:c>
      <x:c r="F9" s="100"/>
      <x:c r="G9" s="100"/>
      <x:c r="H9" s="100"/>
      <x:c r="I9" s="100"/>
      <x:c r="J9" s="100"/>
    </x:row>
    <x:row r="10">
      <x:c r="B10" s="26" t="str">
        <x:v>Service establishment deadline</x:v>
      </x:c>
      <x:c r="C10" s="30" t="n">
        <x:v>48</x:v>
      </x:c>
      <x:c r="D10" s="26" t="str">
        <x:v>h</x:v>
      </x:c>
      <x:c r="E10" s="26" t="str">
        <x:v>95% protected-service target inherited from Pass 72</x:v>
      </x:c>
      <x:c r="F10" s="100"/>
      <x:c r="G10" s="100"/>
      <x:c r="H10" s="100"/>
      <x:c r="I10" s="100"/>
      <x:c r="J10" s="100"/>
    </x:row>
    <x:row r="11">
      <x:c r="B11" s="26" t="str">
        <x:v>Continuous net electricity</x:v>
      </x:c>
      <x:c r="C11" s="30" t="n">
        <x:v>1.42216</x:v>
      </x:c>
      <x:c r="D11" s="26" t="str">
        <x:v>MWe</x:v>
      </x:c>
      <x:c r="E11" s="26" t="str">
        <x:v>one-tenth of derived district load</x:v>
      </x:c>
      <x:c r="F11" s="100"/>
      <x:c r="G11" s="100"/>
      <x:c r="H11" s="100"/>
      <x:c r="I11" s="100"/>
      <x:c r="J11" s="100"/>
    </x:row>
    <x:row r="12">
      <x:c r="B12" s="26" t="str">
        <x:v>Peak net electricity</x:v>
      </x:c>
      <x:c r="C12" s="30" t="n">
        <x:v>1.91992</x:v>
      </x:c>
      <x:c r="D12" s="26" t="str">
        <x:v>MWe</x:v>
      </x:c>
      <x:c r="E12" s="26" t="str">
        <x:v>one-tenth of derived district peak</x:v>
      </x:c>
      <x:c r="F12" s="100"/>
      <x:c r="G12" s="100"/>
      <x:c r="H12" s="100"/>
      <x:c r="I12" s="100"/>
      <x:c r="J12" s="100"/>
    </x:row>
    <x:row r="13">
      <x:c r="B13" s="26" t="str">
        <x:v>Useful cooling</x:v>
      </x:c>
      <x:c r="C13" s="30" t="n">
        <x:v>1.965</x:v>
      </x:c>
      <x:c r="D13" s="26" t="str">
        <x:v>MWth</x:v>
      </x:c>
      <x:c r="E13" s="26" t="str">
        <x:v>one-tenth of derived district cooling</x:v>
      </x:c>
      <x:c r="F13" s="100"/>
      <x:c r="G13" s="100"/>
      <x:c r="H13" s="100"/>
      <x:c r="I13" s="100"/>
      <x:c r="J13" s="100"/>
    </x:row>
    <x:row r="14">
      <x:c r="B14" s="26" t="str">
        <x:v>Cooling-system rejection</x:v>
      </x:c>
      <x:c r="C14" s="30" t="n">
        <x:v>2.80117</x:v>
      </x:c>
      <x:c r="D14" s="26" t="str">
        <x:v>MWth</x:v>
      </x:c>
      <x:c r="E14" s="26" t="str">
        <x:v>useful cooling plus compressor work</x:v>
      </x:c>
      <x:c r="F14" s="100"/>
      <x:c r="G14" s="100"/>
      <x:c r="H14" s="100"/>
      <x:c r="I14" s="100"/>
      <x:c r="J14" s="100"/>
    </x:row>
    <x:row r="15">
      <x:c r="B15" s="26" t="str">
        <x:v>Energy inventory reserve</x:v>
      </x:c>
      <x:c r="C15" s="31" t="n">
        <x:v>0.15</x:v>
      </x:c>
      <x:c r="D15" s="26" t="str">
        <x:v>share</x:v>
      </x:c>
      <x:c r="E15" s="26" t="str">
        <x:v>above seven-day service energy</x:v>
      </x:c>
      <x:c r="F15" s="100"/>
      <x:c r="G15" s="100"/>
      <x:c r="H15" s="100"/>
      <x:c r="I15" s="100"/>
      <x:c r="J15" s="100"/>
    </x:row>
    <x:row r="16">
      <x:c r="B16" s="26" t="str">
        <x:v>Nominal mobile-cell dry-mass ceiling</x:v>
      </x:c>
      <x:c r="C16" s="30" t="n">
        <x:v>1000</x:v>
      </x:c>
      <x:c r="D16" s="26" t="str">
        <x:v>t</x:v>
      </x:c>
      <x:c r="E16" s="26" t="str">
        <x:v>screening boundary, not a carrier limit</x:v>
      </x:c>
      <x:c r="F16" s="100"/>
      <x:c r="G16" s="100"/>
      <x:c r="H16" s="100"/>
      <x:c r="I16" s="100"/>
      <x:c r="J16" s="100"/>
    </x:row>
    <x:row r="17">
      <x:c r="B17" s="26" t="str">
        <x:v>Nominal occupied-site area ceiling</x:v>
      </x:c>
      <x:c r="C17" s="30" t="n">
        <x:v>5000</x:v>
      </x:c>
      <x:c r="D17" s="26" t="str">
        <x:v>m²</x:v>
      </x:c>
      <x:c r="E17" s="26" t="str">
        <x:v>screening boundary</x:v>
      </x:c>
      <x:c r="F17" s="100"/>
      <x:c r="G17" s="100"/>
      <x:c r="H17" s="100"/>
      <x:c r="I17" s="100"/>
      <x:c r="J17" s="100"/>
    </x:row>
    <x:row r="18">
      <x:c r="B18" s="26" t="str">
        <x:v>Immediate second-mission reset target</x:v>
      </x:c>
      <x:c r="C18" s="30" t="n">
        <x:v>3</x:v>
      </x:c>
      <x:c r="D18" s="26" t="str">
        <x:v>days</x:v>
      </x:c>
      <x:c r="E18" s="26" t="str">
        <x:v>inventory and maintenance target</x:v>
      </x:c>
      <x:c r="F18" s="100"/>
      <x:c r="G18" s="100"/>
      <x:c r="H18" s="100"/>
      <x:c r="I18" s="100"/>
      <x:c r="J18" s="100"/>
    </x:row>
    <x:row r="19">
      <x:c r="B19" s="26" t="str">
        <x:v>National PTS-50 groups</x:v>
      </x:c>
      <x:c r="C19" s="30" t="n">
        <x:v>72</x:v>
      </x:c>
      <x:c r="D19" s="26" t="str">
        <x:v>groups</x:v>
      </x:c>
      <x:c r="E19" s="26" t="str">
        <x:v>program comparator</x:v>
      </x:c>
      <x:c r="F19" s="100"/>
      <x:c r="G19" s="100"/>
      <x:c r="H19" s="100"/>
      <x:c r="I19" s="100"/>
      <x:c r="J19" s="100"/>
    </x:row>
    <x:row r="20">
      <x:c r="B20" s="26" t="str">
        <x:v>Organic PTS-5 cells per group</x:v>
      </x:c>
      <x:c r="C20" s="30" t="n">
        <x:v>12</x:v>
      </x:c>
      <x:c r="D20" s="26" t="str">
        <x:v>cells</x:v>
      </x:c>
      <x:c r="E20" s="26" t="str">
        <x:v>ten primary plus two reserve</x:v>
      </x:c>
      <x:c r="F20" s="100"/>
      <x:c r="G20" s="100"/>
      <x:c r="H20" s="100"/>
      <x:c r="I20" s="100"/>
      <x:c r="J20" s="100"/>
    </x:row>
    <x:row r="21">
      <x:c r="B21" s="26" t="str">
        <x:v>Prepared metropolitan programs</x:v>
      </x:c>
      <x:c r="C21" s="30" t="n">
        <x:v>24</x:v>
      </x:c>
      <x:c r="D21" s="26" t="str">
        <x:v>metros</x:v>
      </x:c>
      <x:c r="E21" s="26" t="str">
        <x:v>fixed receiver lattice</x:v>
      </x:c>
      <x:c r="F21" s="100"/>
      <x:c r="G21" s="100"/>
      <x:c r="H21" s="100"/>
      <x:c r="I21" s="100"/>
      <x:c r="J21" s="100"/>
    </x:row>
    <x:row r="22">
      <x:c r="B22" s="26" t="str">
        <x:v>Program duration</x:v>
      </x:c>
      <x:c r="C22" s="30" t="n">
        <x:v>25</x:v>
      </x:c>
      <x:c r="D22" s="26" t="str">
        <x:v>years</x:v>
      </x:c>
      <x:c r="E22" s="26" t="str">
        <x:v>constant-dollar comparator</x:v>
      </x:c>
      <x:c r="F22" s="100"/>
      <x:c r="G22" s="100"/>
      <x:c r="H22" s="100"/>
      <x:c r="I22" s="100"/>
      <x:c r="J22" s="100"/>
    </x:row>
    <x:row r="23">
      <x:c r="B23" s="26" t="str">
        <x:v>Non-cell PTS-50 direct equipment</x:v>
      </x:c>
      <x:c r="C23" s="30" t="n">
        <x:v>4648</x:v>
      </x:c>
      <x:c r="D23" s="26" t="str">
        <x:v>$M</x:v>
      </x:c>
      <x:c r="E23" s="26" t="str">
        <x:v>Pass 72 group equipment less cell placeholders</x:v>
      </x:c>
      <x:c r="F23" s="100"/>
      <x:c r="G23" s="100"/>
      <x:c r="H23" s="100"/>
      <x:c r="I23" s="100"/>
      <x:c r="J23" s="100"/>
    </x:row>
    <x:row r="24">
      <x:c r="B24" s="26" t="str">
        <x:v>Configured-capital factor</x:v>
      </x:c>
      <x:c r="C24" s="32" t="n">
        <x:v>1.2</x:v>
      </x:c>
      <x:c r="D24" s="26" t="str">
        <x:v>x</x:v>
      </x:c>
      <x:c r="E24" s="26" t="str">
        <x:v>integration, spares and initial support</x:v>
      </x:c>
      <x:c r="F24" s="100"/>
      <x:c r="G24" s="100"/>
      <x:c r="H24" s="100"/>
      <x:c r="I24" s="100"/>
      <x:c r="J24" s="100"/>
    </x:row>
    <x:row r="25">
      <x:c r="B25" s="26" t="str">
        <x:v>Portfolio group annual O&amp;S</x:v>
      </x:c>
      <x:c r="C25" s="30" t="n">
        <x:v>850</x:v>
      </x:c>
      <x:c r="D25" s="26" t="str">
        <x:v>$M/year</x:v>
      </x:c>
      <x:c r="E25" s="26" t="str">
        <x:v>shift-complete readiness hypothesis</x:v>
      </x:c>
      <x:c r="F25" s="100"/>
      <x:c r="G25" s="100"/>
      <x:c r="H25" s="100"/>
      <x:c r="I25" s="100"/>
      <x:c r="J25" s="100"/>
    </x:row>
    <x:row r="26">
      <x:c r="B26" s="26" t="str">
        <x:v>Lineage R&amp;D and industrialization</x:v>
      </x:c>
      <x:c r="C26" s="30" t="n">
        <x:v>320000</x:v>
      </x:c>
      <x:c r="D26" s="26" t="str">
        <x:v>$M</x:v>
      </x:c>
      <x:c r="E26" s="26" t="str">
        <x:v>six source families plus common interfaces</x:v>
      </x:c>
      <x:c r="F26" s="100"/>
      <x:c r="G26" s="100"/>
      <x:c r="H26" s="100"/>
      <x:c r="I26" s="100"/>
      <x:c r="J26" s="100"/>
    </x:row>
    <x:row r="27">
      <x:c r="B27" s="26" t="str">
        <x:v>Bases, schools and workforce</x:v>
      </x:c>
      <x:c r="C27" s="30" t="n">
        <x:v>300000</x:v>
      </x:c>
      <x:c r="D27" s="26" t="str">
        <x:v>$M</x:v>
      </x:c>
      <x:c r="E27" s="26" t="str">
        <x:v>national establishment</x:v>
      </x:c>
      <x:c r="F27" s="100"/>
      <x:c r="G27" s="100"/>
      <x:c r="H27" s="100"/>
      <x:c r="I27" s="100"/>
      <x:c r="J27" s="100"/>
    </x:row>
    <x:row r="28">
      <x:c r="B28" s="26" t="str">
        <x:v>Prepared metro works</x:v>
      </x:c>
      <x:c r="C28" s="30" t="n">
        <x:v>9000</x:v>
      </x:c>
      <x:c r="D28" s="26" t="str">
        <x:v>$M/metro</x:v>
      </x:c>
      <x:c r="E28" s="26" t="str">
        <x:v>building, anchor and rejection interfaces</x:v>
      </x:c>
      <x:c r="F28" s="100"/>
      <x:c r="G28" s="100"/>
      <x:c r="H28" s="100"/>
      <x:c r="I28" s="100"/>
      <x:c r="J28" s="100"/>
    </x:row>
    <x:row r="29">
      <x:c r="B29" s="26" t="str">
        <x:v>Depot storage-only packages</x:v>
      </x:c>
      <x:c r="C29" s="30" t="n">
        <x:v>36</x:v>
      </x:c>
      <x:c r="D29" s="26" t="str">
        <x:v>packages</x:v>
      </x:c>
      <x:c r="E29" s="26" t="str">
        <x:v>national experiment and special-case pool</x:v>
      </x:c>
      <x:c r="F29" s="100"/>
      <x:c r="G29" s="100"/>
      <x:c r="H29" s="100"/>
      <x:c r="I29" s="100"/>
      <x:c r="J29" s="100"/>
    </x:row>
    <x:row r="30">
      <x:c r="B30" s="26" t="str">
        <x:v>Strategic firm-source attachments</x:v>
      </x:c>
      <x:c r="C30" s="30" t="n">
        <x:v>48</x:v>
      </x:c>
      <x:c r="D30" s="26" t="str">
        <x:v>attachments</x:v>
      </x:c>
      <x:c r="E30" s="26" t="str">
        <x:v>national endurance pool</x:v>
      </x:c>
      <x:c r="F30" s="100"/>
      <x:c r="G30" s="100"/>
      <x:c r="H30" s="100"/>
      <x:c r="I30" s="100"/>
      <x:c r="J30" s="100"/>
    </x:row>
    <x:row r="31">
      <x:c r="B31" s="26" t="str">
        <x:v>Strategic attachment configured capital</x:v>
      </x:c>
      <x:c r="C31" s="30" t="n">
        <x:v>1800</x:v>
      </x:c>
      <x:c r="D31" s="26" t="str">
        <x:v>$M</x:v>
      </x:c>
      <x:c r="E31" s="26" t="str">
        <x:v>per attachment</x:v>
      </x:c>
      <x:c r="F31" s="100"/>
      <x:c r="G31" s="100"/>
      <x:c r="H31" s="100"/>
      <x:c r="I31" s="100"/>
      <x:c r="J31" s="100"/>
    </x:row>
    <x:row r="32">
      <x:c r="B32" s="26" t="str">
        <x:v>Latent heat reference</x:v>
      </x:c>
      <x:c r="C32" s="30" t="n">
        <x:v>0.68</x:v>
      </x:c>
      <x:c r="D32" s="26" t="str">
        <x:v>MWhth/m³</x:v>
      </x:c>
      <x:c r="E32" s="26" t="str">
        <x:v>ideal evaporative rejection conversion</x:v>
      </x:c>
      <x:c r="F32" s="100"/>
      <x:c r="G32" s="100"/>
      <x:c r="H32" s="100"/>
      <x:c r="I32" s="100"/>
      <x:c r="J32" s="100"/>
    </x:row>
    <x:row r="33">
      <x:c r="B33" s="26" t="str">
        <x:v>Evaporative blowdown and drift factor</x:v>
      </x:c>
      <x:c r="C33" s="30" t="n">
        <x:v>1.25</x:v>
      </x:c>
      <x:c r="D33" s="26" t="str">
        <x:v>x</x:v>
      </x:c>
      <x:c r="E33" s="26" t="str">
        <x:v>screening water multiplier</x:v>
      </x:c>
      <x:c r="F33" s="100"/>
      <x:c r="G33" s="100"/>
      <x:c r="H33" s="100"/>
      <x:c r="I33" s="100"/>
      <x:c r="J33" s="100"/>
    </x:row>
    <x:row r="34">
      <x:c r="B34" s="26" t="str">
        <x:v>Liquid fuel lower heating value</x:v>
      </x:c>
      <x:c r="C34" s="30" t="n">
        <x:v>11.94</x:v>
      </x:c>
      <x:c r="D34" s="26" t="str">
        <x:v>MWhth/t</x:v>
      </x:c>
      <x:c r="E34" s="26" t="str">
        <x:v>declared design coefficient</x:v>
      </x:c>
      <x:c r="F34" s="100"/>
      <x:c r="G34" s="100"/>
      <x:c r="H34" s="100"/>
      <x:c r="I34" s="100"/>
      <x:c r="J34" s="100"/>
    </x:row>
    <x:row r="35">
      <x:c r="B35" s="26" t="str">
        <x:v>Storage system delivered density</x:v>
      </x:c>
      <x:c r="C35" s="30" t="n">
        <x:v>0.16</x:v>
      </x:c>
      <x:c r="D35" s="26" t="str">
        <x:v>MWh/t</x:v>
      </x:c>
      <x:c r="E35" s="26" t="str">
        <x:v>transport-ready system hypothesis</x:v>
      </x:c>
      <x:c r="F35" s="100"/>
      <x:c r="G35" s="100"/>
      <x:c r="H35" s="100"/>
      <x:c r="I35" s="100"/>
      <x:c r="J35" s="100"/>
    </x:row>
    <x:row r="36">
      <x:c r="B36" s="26" t="str">
        <x:v>Storage usable depth</x:v>
      </x:c>
      <x:c r="C36" s="31" t="n">
        <x:v>0.8</x:v>
      </x:c>
      <x:c r="D36" s="26" t="str">
        <x:v>share</x:v>
      </x:c>
      <x:c r="E36" s="26" t="str">
        <x:v>nominal energy inventory</x:v>
      </x:c>
      <x:c r="F36" s="100"/>
      <x:c r="G36" s="100"/>
      <x:c r="H36" s="100"/>
      <x:c r="I36" s="100"/>
      <x:c r="J36" s="100"/>
    </x:row>
    <x:row r="37">
      <x:c r="B37" s="26" t="str">
        <x:v>Storage AC efficiency</x:v>
      </x:c>
      <x:c r="C37" s="31" t="n">
        <x:v>0.92</x:v>
      </x:c>
      <x:c r="D37" s="26" t="str">
        <x:v>share</x:v>
      </x:c>
      <x:c r="E37" s="26" t="str">
        <x:v>round-trip discharge path</x:v>
      </x:c>
      <x:c r="F37" s="100"/>
      <x:c r="G37" s="100"/>
      <x:c r="H37" s="100"/>
      <x:c r="I37" s="100"/>
      <x:c r="J37" s="100"/>
    </x:row>
    <x:row r="38">
      <x:c r="B38" s="26" t="str">
        <x:v>Non-cell PTS-50 dry mass</x:v>
      </x:c>
      <x:c r="C38" s="30" t="n">
        <x:v>4620</x:v>
      </x:c>
      <x:c r="D38" s="26" t="str">
        <x:v>t</x:v>
      </x:c>
      <x:c r="E38" s="26" t="str">
        <x:v>Pass 72 group dry mass less twelve 260 t placeholders</x:v>
      </x:c>
      <x:c r="F38" s="100"/>
      <x:c r="G38" s="100"/>
      <x:c r="H38" s="100"/>
      <x:c r="I38" s="100"/>
      <x:c r="J38" s="100"/>
    </x:row>
    <x:row r="39">
      <x:c r="B39" s="26" t="str">
        <x:v>Non-cell PTS-50 deployed crew</x:v>
      </x:c>
      <x:c r="C39" s="30" t="n">
        <x:v>2040</x:v>
      </x:c>
      <x:c r="D39" s="26" t="str">
        <x:v>people</x:v>
      </x:c>
      <x:c r="E39" s="26" t="str">
        <x:v>Pass 72 group crew less twelve 54-person placeholders</x:v>
      </x:c>
      <x:c r="F39" s="100"/>
      <x:c r="G39" s="100"/>
      <x:c r="H39" s="100"/>
      <x:c r="I39" s="100"/>
      <x:c r="J39" s="100"/>
    </x:row>
  </x:sheetData>
  <x:mergeCells>
    <x:mergeCell ref="B2:J2"/>
    <x:mergeCell ref="B4:J4"/>
    <x:mergeCell ref="B6:E6"/>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34" hidden="0" customWidth="1"/>
    <x:col min="3" max="3" width="36" hidden="0" customWidth="1"/>
    <x:col min="4" max="4" width="17" hidden="0" customWidth="1"/>
    <x:col min="5" max="5" width="16" hidden="0" customWidth="1"/>
    <x:col min="6" max="6" width="55" hidden="0" customWidth="1"/>
  </x:cols>
  <x:sheetData>
    <x:row r="2">
      <x:c r="B2" s="23" t="str">
        <x:v>Service load</x:v>
      </x:c>
      <x:c r="C2" s="23"/>
      <x:c r="D2" s="23"/>
      <x:c r="E2" s="23"/>
      <x:c r="F2" s="23"/>
      <x:c r="G2" s="23"/>
      <x:c r="H2" s="23"/>
      <x:c r="I2" s="23"/>
      <x:c r="J2" s="23"/>
    </x:row>
    <x:row r="3">
      <x:c r="B3" s="24"/>
      <x:c r="C3" s="24"/>
      <x:c r="D3" s="24"/>
      <x:c r="E3" s="24"/>
      <x:c r="F3" s="24"/>
      <x:c r="G3" s="99"/>
      <x:c r="H3" s="99"/>
      <x:c r="I3" s="99"/>
      <x:c r="J3" s="99"/>
    </x:row>
    <x:row r="4">
      <x:c r="B4" s="25" t="str">
        <x:v>The energy lineage serves the occupied population; it is not sized from an arbitrary generator class.</x:v>
      </x:c>
      <x:c r="C4" s="25"/>
      <x:c r="D4" s="25"/>
      <x:c r="E4" s="25"/>
      <x:c r="F4" s="25"/>
      <x:c r="G4" s="25"/>
      <x:c r="H4" s="25"/>
      <x:c r="I4" s="25"/>
      <x:c r="J4" s="25"/>
    </x:row>
    <x:row r="5">
      <x:c r="B5" s="26"/>
      <x:c r="C5" s="26"/>
      <x:c r="D5" s="26"/>
      <x:c r="E5" s="26"/>
      <x:c r="F5" s="26"/>
      <x:c r="G5" s="100"/>
      <x:c r="H5" s="100"/>
      <x:c r="I5" s="100"/>
      <x:c r="J5" s="100"/>
    </x:row>
    <x:row r="6">
      <x:c r="B6" s="27" t="str">
        <x:v>PTS-5 service derivation</x:v>
      </x:c>
      <x:c r="C6" s="28" t="str">
        <x:v>PTS-5 service derivation</x:v>
      </x:c>
      <x:c r="D6" s="28" t="str">
        <x:v>PTS-5 service derivation</x:v>
      </x:c>
      <x:c r="E6" s="28" t="str">
        <x:v>PTS-5 service derivation</x:v>
      </x:c>
      <x:c r="F6" s="29" t="str">
        <x:v>PTS-5 service derivation</x:v>
      </x:c>
      <x:c r="G6" s="100"/>
      <x:c r="H6" s="100"/>
      <x:c r="I6" s="100"/>
      <x:c r="J6" s="100"/>
    </x:row>
    <x:row r="7">
      <x:c r="B7" s="14" t="str">
        <x:v>Measure</x:v>
      </x:c>
      <x:c r="C7" s="14" t="str">
        <x:v>Formula basis</x:v>
      </x:c>
      <x:c r="D7" s="14" t="str">
        <x:v>Result</x:v>
      </x:c>
      <x:c r="E7" s="14" t="str">
        <x:v>Unit</x:v>
      </x:c>
      <x:c r="F7" s="14" t="str">
        <x:v>Interpretation</x:v>
      </x:c>
      <x:c r="G7" s="100"/>
      <x:c r="H7" s="100"/>
      <x:c r="I7" s="100"/>
      <x:c r="J7" s="100"/>
    </x:row>
    <x:row r="8">
      <x:c r="B8" s="26" t="str">
        <x:v>Population</x:v>
      </x:c>
      <x:c r="C8" s="26" t="str">
        <x:v>assumption</x:v>
      </x:c>
      <x:c r="D8" s="36" t="n">
        <x:f>Assumptions!C8</x:f>
        <x:v>5000</x:v>
      </x:c>
      <x:c r="E8" s="26" t="str">
        <x:v>people</x:v>
      </x:c>
      <x:c r="F8" s="26" t="str">
        <x:v>accountable service population</x:v>
      </x:c>
      <x:c r="G8" s="100"/>
      <x:c r="H8" s="100"/>
      <x:c r="I8" s="100"/>
      <x:c r="J8" s="100"/>
    </x:row>
    <x:row r="9">
      <x:c r="B9" s="26" t="str">
        <x:v>Continuous electricity</x:v>
      </x:c>
      <x:c r="C9" s="26" t="str">
        <x:v>Pass 72 district / 10</x:v>
      </x:c>
      <x:c r="D9" s="36" t="n">
        <x:f>Assumptions!C11</x:f>
        <x:v>1.42216</x:v>
      </x:c>
      <x:c r="E9" s="26" t="str">
        <x:v>MWe</x:v>
      </x:c>
      <x:c r="F9" s="26" t="str">
        <x:v>net of temporary distribution losses</x:v>
      </x:c>
      <x:c r="G9" s="100"/>
      <x:c r="H9" s="100"/>
      <x:c r="I9" s="100"/>
      <x:c r="J9" s="100"/>
    </x:row>
    <x:row r="10">
      <x:c r="B10" s="26" t="str">
        <x:v>Peak electricity</x:v>
      </x:c>
      <x:c r="C10" s="26" t="str">
        <x:v>Pass 72 district / 10</x:v>
      </x:c>
      <x:c r="D10" s="36" t="n">
        <x:f>Assumptions!C12</x:f>
        <x:v>1.91992</x:v>
      </x:c>
      <x:c r="E10" s="26" t="str">
        <x:v>MWe</x:v>
      </x:c>
      <x:c r="F10" s="26" t="str">
        <x:v>starting and coincident demand</x:v>
      </x:c>
      <x:c r="G10" s="100"/>
      <x:c r="H10" s="100"/>
      <x:c r="I10" s="100"/>
      <x:c r="J10" s="100"/>
    </x:row>
    <x:row r="11">
      <x:c r="B11" s="26" t="str">
        <x:v>Useful cooling</x:v>
      </x:c>
      <x:c r="C11" s="26" t="str">
        <x:v>Pass 72 district / 10</x:v>
      </x:c>
      <x:c r="D11" s="36" t="n">
        <x:f>Assumptions!C13</x:f>
        <x:v>1.965</x:v>
      </x:c>
      <x:c r="E11" s="26" t="str">
        <x:v>MWth</x:v>
      </x:c>
      <x:c r="F11" s="26" t="str">
        <x:v>occupied rooms and refuges</x:v>
      </x:c>
      <x:c r="G11" s="100"/>
      <x:c r="H11" s="100"/>
      <x:c r="I11" s="100"/>
      <x:c r="J11" s="100"/>
    </x:row>
    <x:row r="12">
      <x:c r="B12" s="26" t="str">
        <x:v>Cooling-system rejection</x:v>
      </x:c>
      <x:c r="C12" s="26" t="str">
        <x:v>Pass 72 district / 10</x:v>
      </x:c>
      <x:c r="D12" s="36" t="n">
        <x:f>Assumptions!C14</x:f>
        <x:v>2.80117</x:v>
      </x:c>
      <x:c r="E12" s="26" t="str">
        <x:v>MWth</x:v>
      </x:c>
      <x:c r="F12" s="26" t="str">
        <x:v>excludes energy-source waste heat</x:v>
      </x:c>
      <x:c r="G12" s="100"/>
      <x:c r="H12" s="100"/>
      <x:c r="I12" s="100"/>
      <x:c r="J12" s="100"/>
    </x:row>
    <x:row r="13">
      <x:c r="B13" s="26" t="str">
        <x:v>Daily electrical energy</x:v>
      </x:c>
      <x:c r="C13" s="26" t="str">
        <x:v>continuous MW × 24</x:v>
      </x:c>
      <x:c r="D13" s="36" t="n">
        <x:f>D9*24</x:f>
        <x:v>34.131840000000004</x:v>
      </x:c>
      <x:c r="E13" s="26" t="str">
        <x:v>MWh/day</x:v>
      </x:c>
      <x:c r="F13" s="26" t="str">
        <x:v>before reserve</x:v>
      </x:c>
      <x:c r="G13" s="100"/>
      <x:c r="H13" s="100"/>
      <x:c r="I13" s="100"/>
      <x:c r="J13" s="100"/>
    </x:row>
    <x:row r="14">
      <x:c r="B14" s="26" t="str">
        <x:v>Mission electrical energy</x:v>
      </x:c>
      <x:c r="C14" s="26" t="str">
        <x:v>continuous MW × mission hours</x:v>
      </x:c>
      <x:c r="D14" s="36" t="n">
        <x:f>D9*Assumptions!C9</x:f>
        <x:v>238.92288000000002</x:v>
      </x:c>
      <x:c r="E14" s="26" t="str">
        <x:v>MWh</x:v>
      </x:c>
      <x:c r="F14" s="26" t="str">
        <x:v>before reserve</x:v>
      </x:c>
      <x:c r="G14" s="100"/>
      <x:c r="H14" s="100"/>
      <x:c r="I14" s="100"/>
      <x:c r="J14" s="100"/>
    </x:row>
    <x:row r="15">
      <x:c r="B15" s="26" t="str">
        <x:v>Required source-delivered energy</x:v>
      </x:c>
      <x:c r="C15" s="26" t="str">
        <x:v>mission energy × inventory reserve</x:v>
      </x:c>
      <x:c r="D15" s="36" t="n">
        <x:f>D14*(1+Assumptions!C15)</x:f>
        <x:v>274.761312</x:v>
      </x:c>
      <x:c r="E15" s="26" t="str">
        <x:v>MWh</x:v>
      </x:c>
      <x:c r="F15" s="26" t="str">
        <x:v>basis for onboard or imported energy</x:v>
      </x:c>
      <x:c r="G15" s="100"/>
      <x:c r="H15" s="100"/>
      <x:c r="I15" s="100"/>
      <x:c r="J15" s="100"/>
    </x:row>
    <x:row r="16">
      <x:c r="B16" s="26" t="str">
        <x:v>Storage-only nominal inventory</x:v>
      </x:c>
      <x:c r="C16" s="26" t="str">
        <x:v>service energy / usable depth / AC efficiency</x:v>
      </x:c>
      <x:c r="D16" s="36" t="n">
        <x:f>D15/Assumptions!C36/Assumptions!C37</x:f>
        <x:v>373.3169999999999</x:v>
      </x:c>
      <x:c r="E16" s="26" t="str">
        <x:v>MWh</x:v>
      </x:c>
      <x:c r="F16" s="26" t="str">
        <x:v>transported charged inventory</x:v>
      </x:c>
      <x:c r="G16" s="100"/>
      <x:c r="H16" s="100"/>
      <x:c r="I16" s="100"/>
      <x:c r="J16" s="100"/>
    </x:row>
    <x:row r="17">
      <x:c r="B17" s="26" t="str">
        <x:v>Storage-only system mass</x:v>
      </x:c>
      <x:c r="C17" s="26" t="str">
        <x:v>nominal inventory / delivered density</x:v>
      </x:c>
      <x:c r="D17" s="36" t="n">
        <x:f>D16/Assumptions!C35</x:f>
        <x:v>2333.2312499999994</x:v>
      </x:c>
      <x:c r="E17" s="26" t="str">
        <x:v>t</x:v>
      </x:c>
      <x:c r="F17" s="26" t="str">
        <x:v>energy system only</x:v>
      </x:c>
      <x:c r="G17" s="100"/>
      <x:c r="H17" s="100"/>
      <x:c r="I17" s="100"/>
      <x:c r="J17" s="100"/>
    </x:row>
  </x:sheetData>
  <x:mergeCells>
    <x:mergeCell ref="B2:J2"/>
    <x:mergeCell ref="B4:J4"/>
    <x:mergeCell ref="B6:F6"/>
  </x:mergeCells>
  <x:pageMargins left="0.7" right="0.7" top="0.75" bottom="0.75" header="0.3" footer="0.3"/>
</x:worksheet>
</file>

<file path=xl/worksheets/sheet4.xml><?xml version="1.0" encoding="utf-8"?>
<x:worksheet xmlns:x="http://schemas.openxmlformats.org/spreadsheetml/2006/main">
  <x:sheetViews>
    <x:sheetView showGridLines="0" workbookViewId="0">
      <x:pane xSplit="4" ySplit="6" topLeftCell="E7" activePane="bottomRight" state="frozen"/>
    </x:sheetView>
  </x:sheetViews>
  <x:sheetFormatPr defaultRowHeight="15"/>
  <x:cols>
    <x:col min="1" max="1" width="3" hidden="0" customWidth="1"/>
    <x:col min="2" max="2" width="8" hidden="0" customWidth="1"/>
    <x:col min="3" max="3" width="28" hidden="0" customWidth="1"/>
    <x:col min="4" max="4" width="55"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s>
  <x:sheetData>
    <x:row r="2">
      <x:c r="B2" s="23" t="str">
        <x:v>Energy lineage competition</x:v>
      </x:c>
      <x:c r="C2" s="23"/>
      <x:c r="D2" s="23"/>
      <x:c r="E2" s="23"/>
      <x:c r="F2" s="23"/>
      <x:c r="G2" s="23"/>
      <x:c r="H2" s="23"/>
      <x:c r="I2" s="23"/>
      <x:c r="J2" s="23"/>
      <x:c r="K2" s="26"/>
      <x:c r="L2" s="26"/>
      <x:c r="M2" s="26"/>
      <x:c r="N2" s="26"/>
      <x:c r="O2" s="26"/>
      <x:c r="P2" s="26"/>
      <x:c r="Q2" s="26"/>
      <x:c r="R2" s="26"/>
      <x:c r="S2" s="26"/>
      <x:c r="T2" s="26"/>
      <x:c r="U2" s="26"/>
      <x:c r="V2" s="26"/>
      <x:c r="W2" s="26"/>
      <x:c r="X2" s="26"/>
      <x:c r="Y2" s="26"/>
      <x:c r="Z2" s="26"/>
      <x:c r="AA2" s="26"/>
      <x:c r="AB2" s="26"/>
      <x:c r="AC2" s="26"/>
      <x:c r="AD2" s="26"/>
      <x:c r="AE2" s="26"/>
      <x:c r="AF2" s="26"/>
      <x:c r="AG2" s="26"/>
      <x:c r="AH2" s="26"/>
    </x:row>
    <x:row r="3">
      <x:c r="B3" s="24"/>
      <x:c r="C3" s="24"/>
      <x:c r="D3" s="24"/>
      <x:c r="E3" s="24"/>
      <x:c r="F3" s="24"/>
      <x:c r="G3" s="24"/>
      <x:c r="H3" s="24"/>
      <x:c r="I3" s="24"/>
      <x:c r="J3" s="24"/>
      <x:c r="K3" s="26"/>
      <x:c r="L3" s="26"/>
      <x:c r="M3" s="26"/>
      <x:c r="N3" s="26"/>
      <x:c r="O3" s="26"/>
      <x:c r="P3" s="26"/>
      <x:c r="Q3" s="26"/>
      <x:c r="R3" s="26"/>
      <x:c r="S3" s="26"/>
      <x:c r="T3" s="26"/>
      <x:c r="U3" s="26"/>
      <x:c r="V3" s="26"/>
      <x:c r="W3" s="26"/>
      <x:c r="X3" s="26"/>
      <x:c r="Y3" s="26"/>
      <x:c r="Z3" s="26"/>
      <x:c r="AA3" s="26"/>
      <x:c r="AB3" s="26"/>
      <x:c r="AC3" s="26"/>
      <x:c r="AD3" s="26"/>
      <x:c r="AE3" s="26"/>
      <x:c r="AF3" s="26"/>
      <x:c r="AG3" s="26"/>
      <x:c r="AH3" s="26"/>
    </x:row>
    <x:row r="4">
      <x:c r="B4" s="25" t="str">
        <x:v>Each row is a complete energy, storage and heat-rejection configuration behind the same service interface.</x:v>
      </x:c>
      <x:c r="C4" s="25"/>
      <x:c r="D4" s="25"/>
      <x:c r="E4" s="25"/>
      <x:c r="F4" s="25"/>
      <x:c r="G4" s="25"/>
      <x:c r="H4" s="25"/>
      <x:c r="I4" s="25"/>
      <x:c r="J4" s="25"/>
      <x:c r="K4" s="26"/>
      <x:c r="L4" s="26"/>
      <x:c r="M4" s="26"/>
      <x:c r="N4" s="26"/>
      <x:c r="O4" s="26"/>
      <x:c r="P4" s="26"/>
      <x:c r="Q4" s="26"/>
      <x:c r="R4" s="26"/>
      <x:c r="S4" s="26"/>
      <x:c r="T4" s="26"/>
      <x:c r="U4" s="26"/>
      <x:c r="V4" s="26"/>
      <x:c r="W4" s="26"/>
      <x:c r="X4" s="26"/>
      <x:c r="Y4" s="26"/>
      <x:c r="Z4" s="26"/>
      <x:c r="AA4" s="26"/>
      <x:c r="AB4" s="26"/>
      <x:c r="AC4" s="26"/>
      <x:c r="AD4" s="26"/>
      <x:c r="AE4" s="26"/>
      <x:c r="AF4" s="26"/>
      <x:c r="AG4" s="26"/>
      <x:c r="AH4" s="26"/>
    </x:row>
    <x:row r="5">
      <x:c r="B5" s="26"/>
      <x:c r="C5" s="26"/>
      <x:c r="D5" s="26"/>
      <x:c r="E5" s="26"/>
      <x:c r="F5" s="26"/>
      <x:c r="G5" s="26"/>
      <x:c r="H5" s="26"/>
      <x:c r="I5" s="26"/>
      <x:c r="J5" s="26"/>
      <x:c r="K5" s="26"/>
      <x:c r="L5" s="26"/>
      <x:c r="M5" s="26"/>
      <x:c r="N5" s="26"/>
      <x:c r="O5" s="26"/>
      <x:c r="P5" s="26"/>
      <x:c r="Q5" s="26"/>
      <x:c r="R5" s="26"/>
      <x:c r="S5" s="26"/>
      <x:c r="T5" s="26"/>
      <x:c r="U5" s="26"/>
      <x:c r="V5" s="26"/>
      <x:c r="W5" s="26"/>
      <x:c r="X5" s="26"/>
      <x:c r="Y5" s="26"/>
      <x:c r="Z5" s="26"/>
      <x:c r="AA5" s="26"/>
      <x:c r="AB5" s="26"/>
      <x:c r="AC5" s="26"/>
      <x:c r="AD5" s="26"/>
      <x:c r="AE5" s="26"/>
      <x:c r="AF5" s="26"/>
      <x:c r="AG5" s="26"/>
      <x:c r="AH5" s="26"/>
    </x:row>
    <x:row r="6">
      <x:c r="B6" s="14" t="str">
        <x:v>Code</x:v>
      </x:c>
      <x:c r="C6" s="14" t="str">
        <x:v>Lineage</x:v>
      </x:c>
      <x:c r="D6" s="14" t="str">
        <x:v>Source logic</x:v>
      </x:c>
      <x:c r="E6" s="14" t="str">
        <x:v>Setup h</x:v>
      </x:c>
      <x:c r="F6" s="14" t="str">
        <x:v>Net nameplate MWe</x:v>
      </x:c>
      <x:c r="G6" s="14" t="str">
        <x:v>N-1 net MWe</x:v>
      </x:c>
      <x:c r="H6" s="14" t="str">
        <x:v>Conversion efficiency</x:v>
      </x:c>
      <x:c r="I6" s="14" t="str">
        <x:v>On-site conversion share</x:v>
      </x:c>
      <x:c r="J6" s="14" t="str">
        <x:v>Base endurance days</x:v>
      </x:c>
      <x:c r="K6" s="14" t="str">
        <x:v>Common spine dry t</x:v>
      </x:c>
      <x:c r="L6" s="14" t="str">
        <x:v>Energy module dry t</x:v>
      </x:c>
      <x:c r="M6" s="14" t="str">
        <x:v>Storage dry t</x:v>
      </x:c>
      <x:c r="N6" s="14" t="str">
        <x:v>Rejection dry t</x:v>
      </x:c>
      <x:c r="O6" s="14" t="str">
        <x:v>Total dry t</x:v>
      </x:c>
      <x:c r="P6" s="14" t="str">
        <x:v>Seven-day wet liquid t</x:v>
      </x:c>
      <x:c r="Q6" s="14" t="str">
        <x:v>Transported mission t</x:v>
      </x:c>
      <x:c r="R6" s="14" t="str">
        <x:v>Site area m²</x:v>
      </x:c>
      <x:c r="S6" s="14" t="str">
        <x:v>Installed rejection MWth</x:v>
      </x:c>
      <x:c r="T6" s="14" t="str">
        <x:v>Normal makeup water m³/day</x:v>
      </x:c>
      <x:c r="U6" s="14" t="str">
        <x:v>No-water factor</x:v>
      </x:c>
      <x:c r="V6" s="14" t="str">
        <x:v>50°C factor</x:v>
      </x:c>
      <x:c r="W6" s="14" t="str">
        <x:v>Smoke factor</x:v>
      </x:c>
      <x:c r="X6" s="14" t="str">
        <x:v>Heat-train-loss factor</x:v>
      </x:c>
      <x:c r="Y6" s="14" t="str">
        <x:v>Liquid-lot factor</x:v>
      </x:c>
      <x:c r="Z6" s="14" t="str">
        <x:v>Gas-denial factor</x:v>
      </x:c>
      <x:c r="AA6" s="14" t="str">
        <x:v>Local-resource factor</x:v>
      </x:c>
      <x:c r="AB6" s="14" t="str">
        <x:v>Anchor-loss factor</x:v>
      </x:c>
      <x:c r="AC6" s="14" t="str">
        <x:v>Offline-control factor</x:v>
      </x:c>
      <x:c r="AD6" s="14" t="str">
        <x:v>Reset days</x:v>
      </x:c>
      <x:c r="AE6" s="14" t="str">
        <x:v>Direct equipment $M</x:v>
      </x:c>
      <x:c r="AF6" s="14" t="str">
        <x:v>Fixed works $M/cell</x:v>
      </x:c>
      <x:c r="AG6" s="14" t="str">
        <x:v>Crew</x:v>
      </x:c>
      <x:c r="AH6" s="14" t="str">
        <x:v>Research status</x:v>
      </x:c>
    </x:row>
    <x:row r="7" ht="45" customHeight="1">
      <x:c r="B7" s="43" t="str">
        <x:v>L1</x:v>
      </x:c>
      <x:c r="C7" s="43" t="str">
        <x:v>Organic multi-liquid bridge</x:v>
      </x:c>
      <x:c r="D7" s="43" t="str">
        <x:v>two liquid engine islands; seven-day segregated inventory; dry-dominant hybrid rejection</x:v>
      </x:c>
      <x:c r="E7" s="44" t="n">
        <x:v>30</x:v>
      </x:c>
      <x:c r="F7" s="44" t="n">
        <x:v>2.4</x:v>
      </x:c>
      <x:c r="G7" s="44" t="n">
        <x:v>1.8</x:v>
      </x:c>
      <x:c r="H7" s="44" t="n">
        <x:v>0.42</x:v>
      </x:c>
      <x:c r="I7" s="44" t="n">
        <x:v>1</x:v>
      </x:c>
      <x:c r="J7" s="44" t="n">
        <x:v>7</x:v>
      </x:c>
      <x:c r="K7" s="44" t="n">
        <x:v>190</x:v>
      </x:c>
      <x:c r="L7" s="44" t="n">
        <x:v>170</x:v>
      </x:c>
      <x:c r="M7" s="44" t="n">
        <x:v>70</x:v>
      </x:c>
      <x:c r="N7" s="44" t="n">
        <x:v>150</x:v>
      </x:c>
      <x:c r="O7" s="36" t="n">
        <x:f>SUM(K7:N7)</x:f>
        <x:v>580</x:v>
      </x:c>
      <x:c r="P7" s="36" t="n">
        <x:f>IF(H7=0,0,'Service Load'!D15*(1-Y7)/H7/Assumptions!C34)</x:f>
        <x:v>54.7900837520938</x:v>
      </x:c>
      <x:c r="Q7" s="36" t="n">
        <x:f>O7+P7</x:f>
        <x:v>634.7900837520938</x:v>
      </x:c>
      <x:c r="R7" s="44" t="n">
        <x:v>3500</x:v>
      </x:c>
      <x:c r="S7" s="44" t="n">
        <x:v>7</x:v>
      </x:c>
      <x:c r="T7" s="44" t="n">
        <x:v>20</x:v>
      </x:c>
      <x:c r="U7" s="44" t="n">
        <x:v>0.9</x:v>
      </x:c>
      <x:c r="V7" s="44" t="n">
        <x:v>0.82</x:v>
      </x:c>
      <x:c r="W7" s="44" t="n">
        <x:v>0.75</x:v>
      </x:c>
      <x:c r="X7" s="44" t="n">
        <x:v>0.8</x:v>
      </x:c>
      <x:c r="Y7" s="44" t="n">
        <x:v>0</x:v>
      </x:c>
      <x:c r="Z7" s="44" t="n">
        <x:v>1</x:v>
      </x:c>
      <x:c r="AA7" s="44" t="n">
        <x:v>1</x:v>
      </x:c>
      <x:c r="AB7" s="44" t="n">
        <x:v>1</x:v>
      </x:c>
      <x:c r="AC7" s="44" t="n">
        <x:v>1</x:v>
      </x:c>
      <x:c r="AD7" s="44" t="n">
        <x:v>3</x:v>
      </x:c>
      <x:c r="AE7" s="44" t="n">
        <x:v>520</x:v>
      </x:c>
      <x:c r="AF7" s="44" t="n">
        <x:v>0</x:v>
      </x:c>
      <x:c r="AG7" s="44" t="n">
        <x:v>68</x:v>
      </x:c>
      <x:c r="AH7" s="45" t="str">
        <x:v>COMPETE</x:v>
      </x:c>
    </x:row>
    <x:row r="8" ht="45" customHeight="1">
      <x:c r="B8" s="43" t="str">
        <x:v>L2</x:v>
      </x:c>
      <x:c r="C8" s="43" t="str">
        <x:v>Conditioned gas with liquid bridge</x:v>
      </x:c>
      <x:c r="D8" s="43" t="str">
        <x:v>pipeline gas or local gas conditioning; independent storage start; 36-hour liquid fallback</x:v>
      </x:c>
      <x:c r="E8" s="44" t="n">
        <x:v>36</x:v>
      </x:c>
      <x:c r="F8" s="44" t="n">
        <x:v>2.4</x:v>
      </x:c>
      <x:c r="G8" s="44" t="n">
        <x:v>1.8</x:v>
      </x:c>
      <x:c r="H8" s="44" t="n">
        <x:v>0.52</x:v>
      </x:c>
      <x:c r="I8" s="44" t="n">
        <x:v>1</x:v>
      </x:c>
      <x:c r="J8" s="44" t="n">
        <x:v>7</x:v>
      </x:c>
      <x:c r="K8" s="44" t="n">
        <x:v>190</x:v>
      </x:c>
      <x:c r="L8" s="44" t="n">
        <x:v>210</x:v>
      </x:c>
      <x:c r="M8" s="44" t="n">
        <x:v>90</x:v>
      </x:c>
      <x:c r="N8" s="44" t="n">
        <x:v>150</x:v>
      </x:c>
      <x:c r="O8" s="36" t="n">
        <x:f>SUM(K8:N8)</x:f>
        <x:v>640</x:v>
      </x:c>
      <x:c r="P8" s="36" t="n">
        <x:f>IF(H8=0,0,'Service Load'!D15*(1-Y8)/H8/Assumptions!C34)</x:f>
        <x:v>6.638029377657519</x:v>
      </x:c>
      <x:c r="Q8" s="36" t="n">
        <x:f>O8+P8</x:f>
        <x:v>646.6380293776575</x:v>
      </x:c>
      <x:c r="R8" s="44" t="n">
        <x:v>3200</x:v>
      </x:c>
      <x:c r="S8" s="44" t="n">
        <x:v>6</x:v>
      </x:c>
      <x:c r="T8" s="44" t="n">
        <x:v>18</x:v>
      </x:c>
      <x:c r="U8" s="44" t="n">
        <x:v>0.85</x:v>
      </x:c>
      <x:c r="V8" s="44" t="n">
        <x:v>0.85</x:v>
      </x:c>
      <x:c r="W8" s="44" t="n">
        <x:v>0.7</x:v>
      </x:c>
      <x:c r="X8" s="44" t="n">
        <x:v>0.8</x:v>
      </x:c>
      <x:c r="Y8" s="44" t="n">
        <x:v>0.85</x:v>
      </x:c>
      <x:c r="Z8" s="44" t="n">
        <x:v>0.3</x:v>
      </x:c>
      <x:c r="AA8" s="44" t="n">
        <x:v>1</x:v>
      </x:c>
      <x:c r="AB8" s="44" t="n">
        <x:v>1</x:v>
      </x:c>
      <x:c r="AC8" s="44" t="n">
        <x:v>1</x:v>
      </x:c>
      <x:c r="AD8" s="44" t="n">
        <x:v>3</x:v>
      </x:c>
      <x:c r="AE8" s="44" t="n">
        <x:v>650</x:v>
      </x:c>
      <x:c r="AF8" s="44" t="n">
        <x:v>0</x:v>
      </x:c>
      <x:c r="AG8" s="44" t="n">
        <x:v>70</x:v>
      </x:c>
      <x:c r="AH8" s="45" t="str">
        <x:v>COMPETE</x:v>
      </x:c>
    </x:row>
    <x:row r="9" ht="45" customHeight="1">
      <x:c r="B9" s="43" t="str">
        <x:v>L3</x:v>
      </x:c>
      <x:c r="C9" s="43" t="str">
        <x:v>Transported storage-only</x:v>
      </x:c>
      <x:c r="D9" s="43" t="str">
        <x:v>charged electrical inventory; no combustion source; modular inverter and dry rejection</x:v>
      </x:c>
      <x:c r="E9" s="44" t="n">
        <x:v>30</x:v>
      </x:c>
      <x:c r="F9" s="44" t="n">
        <x:v>2.4</x:v>
      </x:c>
      <x:c r="G9" s="44" t="n">
        <x:v>2</x:v>
      </x:c>
      <x:c r="H9" s="44" t="n">
        <x:v>0.9</x:v>
      </x:c>
      <x:c r="I9" s="44" t="n">
        <x:v>1</x:v>
      </x:c>
      <x:c r="J9" s="44" t="n">
        <x:v>7</x:v>
      </x:c>
      <x:c r="K9" s="44" t="n">
        <x:v>190</x:v>
      </x:c>
      <x:c r="L9" s="44" t="n">
        <x:v>80</x:v>
      </x:c>
      <x:c r="M9" s="36" t="n">
        <x:f>ROUNDUP('Service Load'!D17,0)</x:f>
        <x:v>2334</x:v>
      </x:c>
      <x:c r="N9" s="44" t="n">
        <x:v>180</x:v>
      </x:c>
      <x:c r="O9" s="36" t="n">
        <x:f>SUM(K9:N9)</x:f>
        <x:v>2784</x:v>
      </x:c>
      <x:c r="P9" s="36" t="n">
        <x:f>IF(H9=0,0,'Service Load'!D15*(1-Y9)/H9/Assumptions!C34)</x:f>
        <x:v>0</x:v>
      </x:c>
      <x:c r="Q9" s="36" t="n">
        <x:f>O9+P9</x:f>
        <x:v>2784</x:v>
      </x:c>
      <x:c r="R9" s="44" t="n">
        <x:v>4200</x:v>
      </x:c>
      <x:c r="S9" s="44" t="n">
        <x:v>3.8</x:v>
      </x:c>
      <x:c r="T9" s="44" t="n">
        <x:v>5</x:v>
      </x:c>
      <x:c r="U9" s="44" t="n">
        <x:v>1</x:v>
      </x:c>
      <x:c r="V9" s="44" t="n">
        <x:v>0.9</x:v>
      </x:c>
      <x:c r="W9" s="44" t="n">
        <x:v>0.85</x:v>
      </x:c>
      <x:c r="X9" s="44" t="n">
        <x:v>0.8</x:v>
      </x:c>
      <x:c r="Y9" s="44" t="n">
        <x:v>1</x:v>
      </x:c>
      <x:c r="Z9" s="44" t="n">
        <x:v>1</x:v>
      </x:c>
      <x:c r="AA9" s="44" t="n">
        <x:v>1</x:v>
      </x:c>
      <x:c r="AB9" s="44" t="n">
        <x:v>1</x:v>
      </x:c>
      <x:c r="AC9" s="44" t="n">
        <x:v>1</x:v>
      </x:c>
      <x:c r="AD9" s="44" t="n">
        <x:v>10</x:v>
      </x:c>
      <x:c r="AE9" s="44" t="n">
        <x:v>1700</x:v>
      </x:c>
      <x:c r="AF9" s="44" t="n">
        <x:v>0</x:v>
      </x:c>
      <x:c r="AG9" s="44" t="n">
        <x:v>58</x:v>
      </x:c>
      <x:c r="AH9" s="45" t="str">
        <x:v>COMPETE</x:v>
      </x:c>
    </x:row>
    <x:row r="10" ht="45" customHeight="1">
      <x:c r="B10" s="43" t="str">
        <x:v>L4</x:v>
      </x:c>
      <x:c r="C10" s="43" t="str">
        <x:v>Local-resource hybrid</x:v>
      </x:c>
      <x:c r="D10" s="43" t="str">
        <x:v>local electricity or conditioned resource supplies 60%; segregated liquid supplies 40%</x:v>
      </x:c>
      <x:c r="E10" s="44" t="n">
        <x:v>60</x:v>
      </x:c>
      <x:c r="F10" s="44" t="n">
        <x:v>2.4</x:v>
      </x:c>
      <x:c r="G10" s="44" t="n">
        <x:v>1.8</x:v>
      </x:c>
      <x:c r="H10" s="44" t="n">
        <x:v>0.42</x:v>
      </x:c>
      <x:c r="I10" s="44" t="n">
        <x:v>0.4</x:v>
      </x:c>
      <x:c r="J10" s="44" t="n">
        <x:v>7</x:v>
      </x:c>
      <x:c r="K10" s="44" t="n">
        <x:v>190</x:v>
      </x:c>
      <x:c r="L10" s="44" t="n">
        <x:v>320</x:v>
      </x:c>
      <x:c r="M10" s="44" t="n">
        <x:v>180</x:v>
      </x:c>
      <x:c r="N10" s="44" t="n">
        <x:v>170</x:v>
      </x:c>
      <x:c r="O10" s="36" t="n">
        <x:f>SUM(K10:N10)</x:f>
        <x:v>860</x:v>
      </x:c>
      <x:c r="P10" s="36" t="n">
        <x:f>IF(H10=0,0,'Service Load'!D15*(1-Y10)/H10/Assumptions!C34)</x:f>
        <x:v>21.91603350083752</x:v>
      </x:c>
      <x:c r="Q10" s="36" t="n">
        <x:f>O10+P10</x:f>
        <x:v>881.9160335008376</x:v>
      </x:c>
      <x:c r="R10" s="44" t="n">
        <x:v>6500</x:v>
      </x:c>
      <x:c r="S10" s="44" t="n">
        <x:v>5.5</x:v>
      </x:c>
      <x:c r="T10" s="44" t="n">
        <x:v>25</x:v>
      </x:c>
      <x:c r="U10" s="44" t="n">
        <x:v>0.8</x:v>
      </x:c>
      <x:c r="V10" s="44" t="n">
        <x:v>0.8</x:v>
      </x:c>
      <x:c r="W10" s="44" t="n">
        <x:v>0.65</x:v>
      </x:c>
      <x:c r="X10" s="44" t="n">
        <x:v>0.75</x:v>
      </x:c>
      <x:c r="Y10" s="44" t="n">
        <x:v>0.6</x:v>
      </x:c>
      <x:c r="Z10" s="44" t="n">
        <x:v>1</x:v>
      </x:c>
      <x:c r="AA10" s="44" t="n">
        <x:v>0.4</x:v>
      </x:c>
      <x:c r="AB10" s="44" t="n">
        <x:v>1</x:v>
      </x:c>
      <x:c r="AC10" s="44" t="n">
        <x:v>1</x:v>
      </x:c>
      <x:c r="AD10" s="44" t="n">
        <x:v>4.5</x:v>
      </x:c>
      <x:c r="AE10" s="44" t="n">
        <x:v>800</x:v>
      </x:c>
      <x:c r="AF10" s="44" t="n">
        <x:v>0</x:v>
      </x:c>
      <x:c r="AG10" s="44" t="n">
        <x:v>72</x:v>
      </x:c>
      <x:c r="AH10" s="45" t="str">
        <x:v>COMPETE</x:v>
      </x:c>
    </x:row>
    <x:row r="11" ht="45" customHeight="1">
      <x:c r="B11" s="43" t="str">
        <x:v>L5</x:v>
      </x:c>
      <x:c r="C11" s="43" t="str">
        <x:v>Prepared metropolitan anchor</x:v>
      </x:c>
      <x:c r="D11" s="43" t="str">
        <x:v>prepared grid or district-energy anchor supplies 80%; mobile source and storage bridge 20%</x:v>
      </x:c>
      <x:c r="E11" s="44" t="n">
        <x:v>18</x:v>
      </x:c>
      <x:c r="F11" s="44" t="n">
        <x:v>2.4</x:v>
      </x:c>
      <x:c r="G11" s="44" t="n">
        <x:v>1.6</x:v>
      </x:c>
      <x:c r="H11" s="44" t="n">
        <x:v>0.42</x:v>
      </x:c>
      <x:c r="I11" s="44" t="n">
        <x:v>0.2</x:v>
      </x:c>
      <x:c r="J11" s="44" t="n">
        <x:v>7</x:v>
      </x:c>
      <x:c r="K11" s="44" t="n">
        <x:v>190</x:v>
      </x:c>
      <x:c r="L11" s="44" t="n">
        <x:v>110</x:v>
      </x:c>
      <x:c r="M11" s="44" t="n">
        <x:v>150</x:v>
      </x:c>
      <x:c r="N11" s="44" t="n">
        <x:v>100</x:v>
      </x:c>
      <x:c r="O11" s="36" t="n">
        <x:f>SUM(K11:N11)</x:f>
        <x:v>550</x:v>
      </x:c>
      <x:c r="P11" s="36" t="n">
        <x:f>IF(H11=0,0,'Service Load'!D15*(1-Y11)/H11/Assumptions!C34)</x:f>
        <x:v>10.958016750418759</x:v>
      </x:c>
      <x:c r="Q11" s="36" t="n">
        <x:f>O11+P11</x:f>
        <x:v>560.9580167504188</x:v>
      </x:c>
      <x:c r="R11" s="44" t="n">
        <x:v>2200</x:v>
      </x:c>
      <x:c r="S11" s="44" t="n">
        <x:v>4.5</x:v>
      </x:c>
      <x:c r="T11" s="44" t="n">
        <x:v>120</x:v>
      </x:c>
      <x:c r="U11" s="44" t="n">
        <x:v>0.65</x:v>
      </x:c>
      <x:c r="V11" s="44" t="n">
        <x:v>0.88</x:v>
      </x:c>
      <x:c r="W11" s="44" t="n">
        <x:v>0.75</x:v>
      </x:c>
      <x:c r="X11" s="44" t="n">
        <x:v>0.72</x:v>
      </x:c>
      <x:c r="Y11" s="44" t="n">
        <x:v>0.8</x:v>
      </x:c>
      <x:c r="Z11" s="44" t="n">
        <x:v>1</x:v>
      </x:c>
      <x:c r="AA11" s="44" t="n">
        <x:v>1</x:v>
      </x:c>
      <x:c r="AB11" s="44" t="n">
        <x:v>0.2</x:v>
      </x:c>
      <x:c r="AC11" s="44" t="n">
        <x:v>0.8</x:v>
      </x:c>
      <x:c r="AD11" s="44" t="n">
        <x:v>2</x:v>
      </x:c>
      <x:c r="AE11" s="44" t="n">
        <x:v>550</x:v>
      </x:c>
      <x:c r="AF11" s="44" t="n">
        <x:v>250</x:v>
      </x:c>
      <x:c r="AG11" s="44" t="n">
        <x:v>60</x:v>
      </x:c>
      <x:c r="AH11" s="45" t="str">
        <x:v>COMPETE</x:v>
      </x:c>
    </x:row>
    <x:row r="12" ht="45" customHeight="1">
      <x:c r="B12" s="43" t="str">
        <x:v>L6</x:v>
      </x:c>
      <x:c r="C12" s="43" t="str">
        <x:v>Strategic firm microreactor</x:v>
      </x:c>
      <x:c r="D12" s="43" t="str">
        <x:v>dual-module firm nuclear source with local storage, security and oversized dry-dominant rejection</x:v>
      </x:c>
      <x:c r="E12" s="44" t="n">
        <x:v>120</x:v>
      </x:c>
      <x:c r="F12" s="44" t="n">
        <x:v>3</x:v>
      </x:c>
      <x:c r="G12" s="44" t="n">
        <x:v>1.5</x:v>
      </x:c>
      <x:c r="H12" s="44" t="n">
        <x:v>0.33</x:v>
      </x:c>
      <x:c r="I12" s="44" t="n">
        <x:v>1</x:v>
      </x:c>
      <x:c r="J12" s="44" t="n">
        <x:v>365</x:v>
      </x:c>
      <x:c r="K12" s="44" t="n">
        <x:v>190</x:v>
      </x:c>
      <x:c r="L12" s="44" t="n">
        <x:v>760</x:v>
      </x:c>
      <x:c r="M12" s="44" t="n">
        <x:v>100</x:v>
      </x:c>
      <x:c r="N12" s="44" t="n">
        <x:v>260</x:v>
      </x:c>
      <x:c r="O12" s="36" t="n">
        <x:f>SUM(K12:N12)</x:f>
        <x:v>1310</x:v>
      </x:c>
      <x:c r="P12" s="36" t="n">
        <x:f>IF(H12=0,0,'Service Load'!D15*(1-Y12)/H12/Assumptions!C34)</x:f>
        <x:v>0</x:v>
      </x:c>
      <x:c r="Q12" s="36" t="n">
        <x:f>O12+P12</x:f>
        <x:v>1310</x:v>
      </x:c>
      <x:c r="R12" s="44" t="n">
        <x:v>8000</x:v>
      </x:c>
      <x:c r="S12" s="44" t="n">
        <x:v>9.5</x:v>
      </x:c>
      <x:c r="T12" s="44" t="n">
        <x:v>40</x:v>
      </x:c>
      <x:c r="U12" s="44" t="n">
        <x:v>0.6</x:v>
      </x:c>
      <x:c r="V12" s="44" t="n">
        <x:v>0.72</x:v>
      </x:c>
      <x:c r="W12" s="44" t="n">
        <x:v>0.65</x:v>
      </x:c>
      <x:c r="X12" s="44" t="n">
        <x:v>0.65</x:v>
      </x:c>
      <x:c r="Y12" s="44" t="n">
        <x:v>1</x:v>
      </x:c>
      <x:c r="Z12" s="44" t="n">
        <x:v>1</x:v>
      </x:c>
      <x:c r="AA12" s="44" t="n">
        <x:v>1</x:v>
      </x:c>
      <x:c r="AB12" s="44" t="n">
        <x:v>1</x:v>
      </x:c>
      <x:c r="AC12" s="44" t="n">
        <x:v>1</x:v>
      </x:c>
      <x:c r="AD12" s="44" t="n">
        <x:v>30</x:v>
      </x:c>
      <x:c r="AE12" s="44" t="n">
        <x:v>1500</x:v>
      </x:c>
      <x:c r="AF12" s="44" t="n">
        <x:v>0</x:v>
      </x:c>
      <x:c r="AG12" s="44" t="n">
        <x:v>90</x:v>
      </x:c>
      <x:c r="AH12" s="45" t="str">
        <x:v>COMPETE</x:v>
      </x:c>
    </x:row>
  </x:sheetData>
  <x:mergeCells>
    <x:mergeCell ref="B2:J2"/>
    <x:mergeCell ref="B4:J4"/>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 hidden="0" customWidth="1"/>
    <x:col min="2" max="2" width="8" hidden="0" customWidth="1"/>
    <x:col min="3" max="3" width="30" hidden="0" customWidth="1"/>
    <x:col min="4" max="4" width="17" hidden="0" customWidth="1"/>
    <x:col min="5" max="5" width="17" hidden="0" customWidth="1"/>
    <x:col min="6" max="6" width="18" hidden="0" customWidth="1"/>
    <x:col min="7" max="7" width="15" hidden="0" customWidth="1"/>
    <x:col min="8" max="8" width="15" hidden="0" customWidth="1"/>
    <x:col min="9" max="9" width="15" hidden="0" customWidth="1"/>
    <x:col min="10" max="10" width="15" hidden="0" customWidth="1"/>
    <x:col min="11" max="11" width="15" hidden="0" customWidth="1"/>
    <x:col min="12" max="12" width="17" hidden="0" customWidth="1"/>
    <x:col min="13" max="13" width="23" hidden="0" customWidth="1"/>
  </x:cols>
  <x:sheetData>
    <x:row r="2">
      <x:c r="B2" s="23" t="str">
        <x:v>Heat-rejection closure</x:v>
      </x:c>
      <x:c r="C2" s="23"/>
      <x:c r="D2" s="23"/>
      <x:c r="E2" s="23"/>
      <x:c r="F2" s="23"/>
      <x:c r="G2" s="23"/>
      <x:c r="H2" s="23"/>
      <x:c r="I2" s="23"/>
      <x:c r="J2" s="23"/>
      <x:c r="K2" s="26"/>
      <x:c r="L2" s="26"/>
      <x:c r="M2" s="26"/>
    </x:row>
    <x:row r="3">
      <x:c r="B3" s="24"/>
      <x:c r="C3" s="24"/>
      <x:c r="D3" s="24"/>
      <x:c r="E3" s="24"/>
      <x:c r="F3" s="24"/>
      <x:c r="G3" s="24"/>
      <x:c r="H3" s="24"/>
      <x:c r="I3" s="24"/>
      <x:c r="J3" s="24"/>
      <x:c r="K3" s="26"/>
      <x:c r="L3" s="26"/>
      <x:c r="M3" s="26"/>
    </x:row>
    <x:row r="4">
      <x:c r="B4" s="25" t="str">
        <x:v>Building cooling rejection and source-conversion waste heat are one occupied-site burden.</x:v>
      </x:c>
      <x:c r="C4" s="25"/>
      <x:c r="D4" s="25"/>
      <x:c r="E4" s="25"/>
      <x:c r="F4" s="25"/>
      <x:c r="G4" s="25"/>
      <x:c r="H4" s="25"/>
      <x:c r="I4" s="25"/>
      <x:c r="J4" s="25"/>
      <x:c r="K4" s="26"/>
      <x:c r="L4" s="26"/>
      <x:c r="M4" s="26"/>
    </x:row>
    <x:row r="5">
      <x:c r="B5" s="26"/>
      <x:c r="C5" s="26"/>
      <x:c r="D5" s="26"/>
      <x:c r="E5" s="26"/>
      <x:c r="F5" s="26"/>
      <x:c r="G5" s="26"/>
      <x:c r="H5" s="26"/>
      <x:c r="I5" s="26"/>
      <x:c r="J5" s="26"/>
      <x:c r="K5" s="26"/>
      <x:c r="L5" s="26"/>
      <x:c r="M5" s="26"/>
    </x:row>
    <x:row r="6">
      <x:c r="B6" s="14" t="str">
        <x:v>Code</x:v>
      </x:c>
      <x:c r="C6" s="14" t="str">
        <x:v>Lineage</x:v>
      </x:c>
      <x:c r="D6" s="14" t="str">
        <x:v>Cooling rejection MWth</x:v>
      </x:c>
      <x:c r="E6" s="14" t="str">
        <x:v>Source waste MWth</x:v>
      </x:c>
      <x:c r="F6" s="14" t="str">
        <x:v>Total site rejection MWth</x:v>
      </x:c>
      <x:c r="G6" s="14" t="str">
        <x:v>Installed MWth</x:v>
      </x:c>
      <x:c r="H6" s="14" t="str">
        <x:v>Base ratio</x:v>
      </x:c>
      <x:c r="I6" s="14" t="str">
        <x:v>No-water ratio</x:v>
      </x:c>
      <x:c r="J6" s="14" t="str">
        <x:v>50°C ratio</x:v>
      </x:c>
      <x:c r="K6" s="14" t="str">
        <x:v>Smoke ratio</x:v>
      </x:c>
      <x:c r="L6" s="14" t="str">
        <x:v>Train-loss ratio</x:v>
      </x:c>
      <x:c r="M6" s="14" t="str">
        <x:v>Full evaporative water m³/day</x:v>
      </x:c>
    </x:row>
    <x:row r="7" ht="30" customHeight="1">
      <x:c r="B7" s="43" t="str">
        <x:f>Lineages!B7</x:f>
        <x:v>L1</x:v>
      </x:c>
      <x:c r="C7" s="52" t="str">
        <x:f>Lineages!C7</x:f>
        <x:v>Organic multi-liquid bridge</x:v>
      </x:c>
      <x:c r="D7" s="53" t="n">
        <x:f>Assumptions!C14</x:f>
        <x:v>2.80117</x:v>
      </x:c>
      <x:c r="E7" s="53" t="n">
        <x:f>Assumptions!C11*(1/Lineages!H7-1)*Lineages!I7</x:f>
        <x:v>1.9639352380952382</x:v>
      </x:c>
      <x:c r="F7" s="53" t="n">
        <x:f>D7+E7</x:f>
        <x:v>4.765105238095238</x:v>
      </x:c>
      <x:c r="G7" s="53" t="n">
        <x:f>Lineages!S7</x:f>
        <x:v>7</x:v>
      </x:c>
      <x:c r="H7" s="54" t="n">
        <x:f>G7/F7</x:f>
        <x:v>1.4690126765800706</x:v>
      </x:c>
      <x:c r="I7" s="54" t="n">
        <x:f>G7*Lineages!U7/F7</x:f>
        <x:v>1.3221114089220636</x:v>
      </x:c>
      <x:c r="J7" s="54" t="n">
        <x:f>G7*Lineages!V7/(F7*1.15)</x:f>
        <x:v>1.0474699085179633</x:v>
      </x:c>
      <x:c r="K7" s="54" t="n">
        <x:f>G7*Lineages!W7/F7</x:f>
        <x:v>1.101759507435053</x:v>
      </x:c>
      <x:c r="L7" s="54" t="n">
        <x:f>G7*Lineages!X7/F7</x:f>
        <x:v>1.1752101412640565</x:v>
      </x:c>
      <x:c r="M7" s="53" t="n">
        <x:f>F7*24/Assumptions!C32*Assumptions!C33</x:f>
        <x:v>210.22523109243696</x:v>
      </x:c>
    </x:row>
    <x:row r="8" ht="30" customHeight="1">
      <x:c r="B8" s="43" t="str">
        <x:f>Lineages!B8</x:f>
        <x:v>L2</x:v>
      </x:c>
      <x:c r="C8" s="52" t="str">
        <x:f>Lineages!C8</x:f>
        <x:v>Conditioned gas with liquid bridge</x:v>
      </x:c>
      <x:c r="D8" s="53" t="n">
        <x:f>Assumptions!C14</x:f>
        <x:v>2.80117</x:v>
      </x:c>
      <x:c r="E8" s="53" t="n">
        <x:f>Assumptions!C11*(1/Lineages!H8-1)*Lineages!I8</x:f>
        <x:v>1.3127630769230767</x:v>
      </x:c>
      <x:c r="F8" s="53" t="n">
        <x:f>D8+E8</x:f>
        <x:v>4.113933076923077</x:v>
      </x:c>
      <x:c r="G8" s="53" t="n">
        <x:f>Lineages!S8</x:f>
        <x:v>6</x:v>
      </x:c>
      <x:c r="H8" s="54" t="n">
        <x:f>G8/F8</x:f>
        <x:v>1.4584583384831247</x:v>
      </x:c>
      <x:c r="I8" s="54" t="n">
        <x:f>G8*Lineages!U8/F8</x:f>
        <x:v>1.239689587710656</x:v>
      </x:c>
      <x:c r="J8" s="54" t="n">
        <x:f>G8*Lineages!V8/(F8*1.15)</x:f>
        <x:v>1.0779909458353532</x:v>
      </x:c>
      <x:c r="K8" s="54" t="n">
        <x:f>G8*Lineages!W8/F8</x:f>
        <x:v>1.0209208369381872</x:v>
      </x:c>
      <x:c r="L8" s="54" t="n">
        <x:f>G8*Lineages!X8/F8</x:f>
        <x:v>1.1667666707864999</x:v>
      </x:c>
      <x:c r="M8" s="53" t="n">
        <x:f>F8*24/Assumptions!C32*Assumptions!C33</x:f>
        <x:v>181.49704751131222</x:v>
      </x:c>
    </x:row>
    <x:row r="9" ht="30" customHeight="1">
      <x:c r="B9" s="43" t="str">
        <x:f>Lineages!B9</x:f>
        <x:v>L3</x:v>
      </x:c>
      <x:c r="C9" s="52" t="str">
        <x:f>Lineages!C9</x:f>
        <x:v>Transported storage-only</x:v>
      </x:c>
      <x:c r="D9" s="53" t="n">
        <x:f>Assumptions!C14</x:f>
        <x:v>2.80117</x:v>
      </x:c>
      <x:c r="E9" s="53" t="n">
        <x:f>Assumptions!C11*(1/Lineages!H9-1)*Lineages!I9</x:f>
        <x:v>0.15801777777777787</x:v>
      </x:c>
      <x:c r="F9" s="53" t="n">
        <x:f>D9+E9</x:f>
        <x:v>2.9591877777777778</x:v>
      </x:c>
      <x:c r="G9" s="53" t="n">
        <x:f>Lineages!S9</x:f>
        <x:v>3.8</x:v>
      </x:c>
      <x:c r="H9" s="54" t="n">
        <x:f>G9/F9</x:f>
        <x:v>1.2841361499720831</x:v>
      </x:c>
      <x:c r="I9" s="54" t="n">
        <x:f>G9*Lineages!U9/F9</x:f>
        <x:v>1.2841361499720831</x:v>
      </x:c>
      <x:c r="J9" s="54" t="n">
        <x:f>G9*Lineages!V9/(F9*1.15)</x:f>
        <x:v>1.0049761173694565</x:v>
      </x:c>
      <x:c r="K9" s="54" t="n">
        <x:f>G9*Lineages!W9/F9</x:f>
        <x:v>1.0915157274762708</x:v>
      </x:c>
      <x:c r="L9" s="54" t="n">
        <x:f>G9*Lineages!X9/F9</x:f>
        <x:v>1.0273089199776666</x:v>
      </x:c>
      <x:c r="M9" s="53" t="n">
        <x:f>F9*24/Assumptions!C32*Assumptions!C33</x:f>
        <x:v>130.5524019607843</x:v>
      </x:c>
    </x:row>
    <x:row r="10" ht="30" customHeight="1">
      <x:c r="B10" s="43" t="str">
        <x:f>Lineages!B10</x:f>
        <x:v>L4</x:v>
      </x:c>
      <x:c r="C10" s="52" t="str">
        <x:f>Lineages!C10</x:f>
        <x:v>Local-resource hybrid</x:v>
      </x:c>
      <x:c r="D10" s="53" t="n">
        <x:f>Assumptions!C14</x:f>
        <x:v>2.80117</x:v>
      </x:c>
      <x:c r="E10" s="53" t="n">
        <x:f>Assumptions!C11*(1/Lineages!H10-1)*Lineages!I10</x:f>
        <x:v>0.7855740952380953</x:v>
      </x:c>
      <x:c r="F10" s="53" t="n">
        <x:f>D10+E10</x:f>
        <x:v>3.586744095238095</x:v>
      </x:c>
      <x:c r="G10" s="53" t="n">
        <x:f>Lineages!S10</x:f>
        <x:v>5.5</x:v>
      </x:c>
      <x:c r="H10" s="54" t="n">
        <x:f>G10/F10</x:f>
        <x:v>1.533424145676303</x:v>
      </x:c>
      <x:c r="I10" s="54" t="n">
        <x:f>G10*Lineages!U10/F10</x:f>
        <x:v>1.2267393165410425</x:v>
      </x:c>
      <x:c r="J10" s="54" t="n">
        <x:f>G10*Lineages!V10/(F10*1.15)</x:f>
        <x:v>1.0667298404704717</x:v>
      </x:c>
      <x:c r="K10" s="54" t="n">
        <x:f>G10*Lineages!W10/F10</x:f>
        <x:v>0.9967256946895969</x:v>
      </x:c>
      <x:c r="L10" s="54" t="n">
        <x:f>G10*Lineages!X10/F10</x:f>
        <x:v>1.1500681092572271</x:v>
      </x:c>
      <x:c r="M10" s="53" t="n">
        <x:f>F10*24/Assumptions!C32*Assumptions!C33</x:f>
        <x:v>158.23871008403358</x:v>
      </x:c>
    </x:row>
    <x:row r="11" ht="30" customHeight="1">
      <x:c r="B11" s="43" t="str">
        <x:f>Lineages!B11</x:f>
        <x:v>L5</x:v>
      </x:c>
      <x:c r="C11" s="52" t="str">
        <x:f>Lineages!C11</x:f>
        <x:v>Prepared metropolitan anchor</x:v>
      </x:c>
      <x:c r="D11" s="53" t="n">
        <x:f>Assumptions!C14</x:f>
        <x:v>2.80117</x:v>
      </x:c>
      <x:c r="E11" s="53" t="n">
        <x:f>Assumptions!C11*(1/Lineages!H11-1)*Lineages!I11</x:f>
        <x:v>0.39278704761904765</x:v>
      </x:c>
      <x:c r="F11" s="53" t="n">
        <x:f>D11+E11</x:f>
        <x:v>3.1939570476190475</x:v>
      </x:c>
      <x:c r="G11" s="53" t="n">
        <x:f>Lineages!S11</x:f>
        <x:v>4.5</x:v>
      </x:c>
      <x:c r="H11" s="54" t="n">
        <x:f>G11/F11</x:f>
        <x:v>1.4089106186805327</x:v>
      </x:c>
      <x:c r="I11" s="54" t="n">
        <x:f>G11*Lineages!U11/F11</x:f>
        <x:v>0.9157919021423464</x:v>
      </x:c>
      <x:c r="J11" s="54" t="n">
        <x:f>G11*Lineages!V11/(F11*1.15)</x:f>
        <x:v>1.078122908207712</x:v>
      </x:c>
      <x:c r="K11" s="54" t="n">
        <x:f>G11*Lineages!W11/F11</x:f>
        <x:v>1.0566829640103996</x:v>
      </x:c>
      <x:c r="L11" s="54" t="n">
        <x:f>G11*Lineages!X11/F11</x:f>
        <x:v>1.0144156454499835</x:v>
      </x:c>
      <x:c r="M11" s="53" t="n">
        <x:f>F11*24/Assumptions!C32*Assumptions!C33</x:f>
        <x:v>140.90986974789914</x:v>
      </x:c>
    </x:row>
    <x:row r="12" ht="30" customHeight="1">
      <x:c r="B12" s="43" t="str">
        <x:f>Lineages!B12</x:f>
        <x:v>L6</x:v>
      </x:c>
      <x:c r="C12" s="52" t="str">
        <x:f>Lineages!C12</x:f>
        <x:v>Strategic firm microreactor</x:v>
      </x:c>
      <x:c r="D12" s="53" t="n">
        <x:f>Assumptions!C14</x:f>
        <x:v>2.80117</x:v>
      </x:c>
      <x:c r="E12" s="53" t="n">
        <x:f>Assumptions!C11*(1/Lineages!H12-1)*Lineages!I12</x:f>
        <x:v>2.8874157575757575</x:v>
      </x:c>
      <x:c r="F12" s="53" t="n">
        <x:f>D12+E12</x:f>
        <x:v>5.6885857575757575</x:v>
      </x:c>
      <x:c r="G12" s="53" t="n">
        <x:f>Lineages!S12</x:f>
        <x:v>9.5</x:v>
      </x:c>
      <x:c r="H12" s="54" t="n">
        <x:f>G12/F12</x:f>
        <x:v>1.6700108611966344</x:v>
      </x:c>
      <x:c r="I12" s="54" t="n">
        <x:f>G12*Lineages!U12/F12</x:f>
        <x:v>1.0020065167179808</x:v>
      </x:c>
      <x:c r="J12" s="54" t="n">
        <x:f>G12*Lineages!V12/(F12*1.15)</x:f>
        <x:v>1.0455720174448495</x:v>
      </x:c>
      <x:c r="K12" s="54" t="n">
        <x:f>G12*Lineages!W12/F12</x:f>
        <x:v>1.0855070597778125</x:v>
      </x:c>
      <x:c r="L12" s="54" t="n">
        <x:f>G12*Lineages!X12/F12</x:f>
        <x:v>1.0855070597778125</x:v>
      </x:c>
      <x:c r="M12" s="53" t="n">
        <x:f>F12*24/Assumptions!C32*Assumptions!C33</x:f>
        <x:v>250.9670187165775</x:v>
      </x:c>
    </x:row>
  </x:sheetData>
  <x:mergeCells>
    <x:mergeCell ref="B2:J2"/>
    <x:mergeCell ref="B4:J4"/>
  </x:mergeCells>
  <x:pageMargins left="0.7" right="0.7" top="0.75" bottom="0.75" header="0.3" footer="0.3"/>
</x:worksheet>
</file>

<file path=xl/worksheets/sheet6.xml><?xml version="1.0" encoding="utf-8"?>
<x:worksheet xmlns:x="http://schemas.openxmlformats.org/spreadsheetml/2006/main">
  <x:sheetViews>
    <x:sheetView showGridLines="0" workbookViewId="0">
      <x:pane xSplit="4" ySplit="6" topLeftCell="E7" activePane="bottomRight" state="frozen"/>
    </x:sheetView>
  </x:sheetViews>
  <x:sheetFormatPr defaultRowHeight="15"/>
  <x:cols>
    <x:col min="1" max="1" width="3" hidden="0" customWidth="1"/>
    <x:col min="2" max="2" width="8" hidden="0" customWidth="1"/>
    <x:col min="3" max="3" width="44" hidden="0" customWidth="1"/>
    <x:col min="4" max="4" width="3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2">
      <x:c r="B2" s="23" t="str">
        <x:v>Deterministic service worlds</x:v>
      </x:c>
      <x:c r="C2" s="23"/>
      <x:c r="D2" s="23"/>
      <x:c r="E2" s="23"/>
      <x:c r="F2" s="23"/>
      <x:c r="G2" s="23"/>
      <x:c r="H2" s="23"/>
      <x:c r="I2" s="23"/>
      <x:c r="J2" s="23"/>
    </x:row>
    <x:row r="3">
      <x:c r="B3" s="24"/>
      <x:c r="C3" s="24"/>
      <x:c r="D3" s="24"/>
      <x:c r="E3" s="24"/>
      <x:c r="F3" s="24"/>
      <x:c r="G3" s="24"/>
      <x:c r="H3" s="24"/>
      <x:c r="I3" s="24"/>
      <x:c r="J3" s="24"/>
    </x:row>
    <x:row r="4">
      <x:c r="B4" s="25" t="str">
        <x:v>Ratios below 1.000 fail. Worlds are forcing cases, not probabilities, and may not be averaged.</x:v>
      </x:c>
      <x:c r="C4" s="25"/>
      <x:c r="D4" s="25"/>
      <x:c r="E4" s="25"/>
      <x:c r="F4" s="25"/>
      <x:c r="G4" s="25"/>
      <x:c r="H4" s="25"/>
      <x:c r="I4" s="25"/>
      <x:c r="J4" s="25"/>
    </x:row>
    <x:row r="5">
      <x:c r="B5" s="26"/>
      <x:c r="C5" s="26"/>
      <x:c r="D5" s="26"/>
      <x:c r="E5" s="26"/>
      <x:c r="F5" s="26"/>
      <x:c r="G5" s="26"/>
      <x:c r="H5" s="26"/>
      <x:c r="I5" s="26"/>
      <x:c r="J5" s="26"/>
    </x:row>
    <x:row r="6">
      <x:c r="B6" s="14" t="str">
        <x:v>World</x:v>
      </x:c>
      <x:c r="C6" s="14" t="str">
        <x:v>Forcing case</x:v>
      </x:c>
      <x:c r="D6" s="14" t="str">
        <x:v>Controlling test</x:v>
      </x:c>
      <x:c r="E6" s="14" t="str">
        <x:v>L1</x:v>
      </x:c>
      <x:c r="F6" s="14" t="str">
        <x:v>L2</x:v>
      </x:c>
      <x:c r="G6" s="14" t="str">
        <x:v>L3</x:v>
      </x:c>
      <x:c r="H6" s="14" t="str">
        <x:v>L4</x:v>
      </x:c>
      <x:c r="I6" s="14" t="str">
        <x:v>L5</x:v>
      </x:c>
      <x:c r="J6" s="14" t="str">
        <x:v>L6</x:v>
      </x:c>
    </x:row>
    <x:row r="7" ht="34" customHeight="1">
      <x:c r="B7" s="43" t="str">
        <x:v>W0</x:v>
      </x:c>
      <x:c r="C7" s="43" t="str">
        <x:v>Base seven-day cell</x:v>
      </x:c>
      <x:c r="D7" s="43" t="str">
        <x:v>capacity, peak, heat, endurance</x:v>
      </x:c>
      <x:c r="E7" s="54" t="n">
        <x:f>MIN(Lineages!F7/Assumptions!C11,Lineages!F7/Assumptions!C12,'Heat Rejection'!H7,Lineages!J7/(Assumptions!C9/24))</x:f>
        <x:v>1</x:v>
      </x:c>
      <x:c r="F7" s="54" t="n">
        <x:f>MIN(Lineages!F8/Assumptions!C11,Lineages!F8/Assumptions!C12,'Heat Rejection'!H8,Lineages!J8/(Assumptions!C9/24))</x:f>
        <x:v>1</x:v>
      </x:c>
      <x:c r="G7" s="54" t="n">
        <x:f>MIN(Lineages!F9/Assumptions!C11,Lineages!F9/Assumptions!C12,'Heat Rejection'!H9,Lineages!J9/(Assumptions!C9/24))</x:f>
        <x:v>1</x:v>
      </x:c>
      <x:c r="H7" s="54" t="n">
        <x:f>MIN(Lineages!F10/Assumptions!C11,Lineages!F10/Assumptions!C12,'Heat Rejection'!H10,Lineages!J10/(Assumptions!C9/24))</x:f>
        <x:v>1</x:v>
      </x:c>
      <x:c r="I7" s="54" t="n">
        <x:f>MIN(Lineages!F11/Assumptions!C11,Lineages!F11/Assumptions!C12,'Heat Rejection'!H11,Lineages!J11/(Assumptions!C9/24))</x:f>
        <x:v>1</x:v>
      </x:c>
      <x:c r="J7" s="54" t="n">
        <x:f>MIN(Lineages!F12/Assumptions!C11,Lineages!F12/Assumptions!C12,'Heat Rejection'!H12,Lineages!J12/(Assumptions!C9/24))</x:f>
        <x:v>1.5625651068794533</x:v>
      </x:c>
    </x:row>
    <x:row r="8" ht="34" customHeight="1">
      <x:c r="B8" s="43" t="str">
        <x:v>W1</x:v>
      </x:c>
      <x:c r="C8" s="43" t="str">
        <x:v>48-hour service establishment</x:v>
      </x:c>
      <x:c r="D8" s="43" t="str">
        <x:v>setup time</x:v>
      </x:c>
      <x:c r="E8" s="54" t="n">
        <x:f>MIN(MIN(Lineages!F7/Assumptions!C11,Lineages!F7/Assumptions!C12,'Heat Rejection'!H7,Lineages!J7/(Assumptions!C9/24)),Assumptions!C10/Lineages!E7)</x:f>
        <x:v>1</x:v>
      </x:c>
      <x:c r="F8" s="54" t="n">
        <x:f>MIN(MIN(Lineages!F8/Assumptions!C11,Lineages!F8/Assumptions!C12,'Heat Rejection'!H8,Lineages!J8/(Assumptions!C9/24)),Assumptions!C10/Lineages!E8)</x:f>
        <x:v>1</x:v>
      </x:c>
      <x:c r="G8" s="54" t="n">
        <x:f>MIN(MIN(Lineages!F9/Assumptions!C11,Lineages!F9/Assumptions!C12,'Heat Rejection'!H9,Lineages!J9/(Assumptions!C9/24)),Assumptions!C10/Lineages!E9)</x:f>
        <x:v>1</x:v>
      </x:c>
      <x:c r="H8" s="54" t="n">
        <x:f>MIN(MIN(Lineages!F10/Assumptions!C11,Lineages!F10/Assumptions!C12,'Heat Rejection'!H10,Lineages!J10/(Assumptions!C9/24)),Assumptions!C10/Lineages!E10)</x:f>
        <x:v>0.8</x:v>
      </x:c>
      <x:c r="I8" s="54" t="n">
        <x:f>MIN(MIN(Lineages!F11/Assumptions!C11,Lineages!F11/Assumptions!C12,'Heat Rejection'!H11,Lineages!J11/(Assumptions!C9/24)),Assumptions!C10/Lineages!E11)</x:f>
        <x:v>1</x:v>
      </x:c>
      <x:c r="J8" s="54" t="n">
        <x:f>MIN(MIN(Lineages!F12/Assumptions!C11,Lineages!F12/Assumptions!C12,'Heat Rejection'!H12,Lineages!J12/(Assumptions!C9/24)),Assumptions!C10/Lineages!E12)</x:f>
        <x:v>0.4</x:v>
      </x:c>
    </x:row>
    <x:row r="9" ht="34" customHeight="1">
      <x:c r="B9" s="43" t="str">
        <x:v>W2</x:v>
      </x:c>
      <x:c r="C9" s="43" t="str">
        <x:v>External logistics resupply denied</x:v>
      </x:c>
      <x:c r="D9" s="43" t="str">
        <x:v>organic or on-site endurance</x:v>
      </x:c>
      <x:c r="E9" s="54" t="n">
        <x:f>MIN(MIN(Lineages!F7/Assumptions!C11,Lineages!F7/Assumptions!C12,'Heat Rejection'!H7,Lineages!J7/(Assumptions!C9/24)),IF(Lineages!B7="L2",1.5/(Assumptions!C9/24),1))</x:f>
        <x:v>1</x:v>
      </x:c>
      <x:c r="F9" s="54" t="n">
        <x:f>MIN(MIN(Lineages!F8/Assumptions!C11,Lineages!F8/Assumptions!C12,'Heat Rejection'!H8,Lineages!J8/(Assumptions!C9/24)),IF(Lineages!B8="L2",1.5/(Assumptions!C9/24),1))</x:f>
        <x:v>0.21428571428571427</x:v>
      </x:c>
      <x:c r="G9" s="54" t="n">
        <x:f>MIN(MIN(Lineages!F9/Assumptions!C11,Lineages!F9/Assumptions!C12,'Heat Rejection'!H9,Lineages!J9/(Assumptions!C9/24)),IF(Lineages!B9="L2",1.5/(Assumptions!C9/24),1))</x:f>
        <x:v>1</x:v>
      </x:c>
      <x:c r="H9" s="54" t="n">
        <x:f>MIN(MIN(Lineages!F10/Assumptions!C11,Lineages!F10/Assumptions!C12,'Heat Rejection'!H10,Lineages!J10/(Assumptions!C9/24)),IF(Lineages!B10="L2",1.5/(Assumptions!C9/24),1))</x:f>
        <x:v>1</x:v>
      </x:c>
      <x:c r="I9" s="54" t="n">
        <x:f>MIN(MIN(Lineages!F11/Assumptions!C11,Lineages!F11/Assumptions!C12,'Heat Rejection'!H11,Lineages!J11/(Assumptions!C9/24)),IF(Lineages!B11="L2",1.5/(Assumptions!C9/24),1))</x:f>
        <x:v>1</x:v>
      </x:c>
      <x:c r="J9" s="54" t="n">
        <x:f>MIN(MIN(Lineages!F12/Assumptions!C11,Lineages!F12/Assumptions!C12,'Heat Rejection'!H12,Lineages!J12/(Assumptions!C9/24)),IF(Lineages!B12="L2",1.5/(Assumptions!C9/24),1))</x:f>
        <x:v>1</x:v>
      </x:c>
    </x:row>
    <x:row r="10" ht="34" customHeight="1">
      <x:c r="B10" s="43" t="str">
        <x:v>W3</x:v>
      </x:c>
      <x:c r="C10" s="43" t="str">
        <x:v>Liquid-energy lot held</x:v>
      </x:c>
      <x:c r="D10" s="43" t="str">
        <x:v>independent source fraction</x:v>
      </x:c>
      <x:c r="E10" s="54" t="n">
        <x:f>MIN(MIN(Lineages!F7/Assumptions!C11,Lineages!F7/Assumptions!C12,'Heat Rejection'!H7,Lineages!J7/(Assumptions!C9/24)),Lineages!F7*Lineages!Y7/Assumptions!C11)</x:f>
        <x:v>0</x:v>
      </x:c>
      <x:c r="F10" s="54" t="n">
        <x:f>MIN(MIN(Lineages!F8/Assumptions!C11,Lineages!F8/Assumptions!C12,'Heat Rejection'!H8,Lineages!J8/(Assumptions!C9/24)),Lineages!F8*Lineages!Y8/Assumptions!C11)</x:f>
        <x:v>1</x:v>
      </x:c>
      <x:c r="G10" s="54" t="n">
        <x:f>MIN(MIN(Lineages!F9/Assumptions!C11,Lineages!F9/Assumptions!C12,'Heat Rejection'!H9,Lineages!J9/(Assumptions!C9/24)),Lineages!F9*Lineages!Y9/Assumptions!C11)</x:f>
        <x:v>1</x:v>
      </x:c>
      <x:c r="H10" s="54" t="n">
        <x:f>MIN(MIN(Lineages!F10/Assumptions!C11,Lineages!F10/Assumptions!C12,'Heat Rejection'!H10,Lineages!J10/(Assumptions!C9/24)),Lineages!F10*Lineages!Y10/Assumptions!C11)</x:f>
        <x:v>1</x:v>
      </x:c>
      <x:c r="I10" s="54" t="n">
        <x:f>MIN(MIN(Lineages!F11/Assumptions!C11,Lineages!F11/Assumptions!C12,'Heat Rejection'!H11,Lineages!J11/(Assumptions!C9/24)),Lineages!F11*Lineages!Y11/Assumptions!C11)</x:f>
        <x:v>1</x:v>
      </x:c>
      <x:c r="J10" s="54" t="n">
        <x:f>MIN(MIN(Lineages!F12/Assumptions!C11,Lineages!F12/Assumptions!C12,'Heat Rejection'!H12,Lineages!J12/(Assumptions!C9/24)),Lineages!F12*Lineages!Y12/Assumptions!C11)</x:f>
        <x:v>1.5625651068794533</x:v>
      </x:c>
    </x:row>
    <x:row r="11" ht="34" customHeight="1">
      <x:c r="B11" s="43" t="str">
        <x:v>W4</x:v>
      </x:c>
      <x:c r="C11" s="43" t="str">
        <x:v>Gas source denied</x:v>
      </x:c>
      <x:c r="D11" s="43" t="str">
        <x:v>fallback fraction</x:v>
      </x:c>
      <x:c r="E11" s="54" t="n">
        <x:f>MIN(MIN(Lineages!F7/Assumptions!C11,Lineages!F7/Assumptions!C12,'Heat Rejection'!H7,Lineages!J7/(Assumptions!C9/24)),Lineages!F7*Lineages!Z7/Assumptions!C11)</x:f>
        <x:v>1</x:v>
      </x:c>
      <x:c r="F11" s="54" t="n">
        <x:f>MIN(MIN(Lineages!F8/Assumptions!C11,Lineages!F8/Assumptions!C12,'Heat Rejection'!H8,Lineages!J8/(Assumptions!C9/24)),Lineages!F8*Lineages!Z8/Assumptions!C11)</x:f>
        <x:v>0.5062721494065365</x:v>
      </x:c>
      <x:c r="G11" s="54" t="n">
        <x:f>MIN(MIN(Lineages!F9/Assumptions!C11,Lineages!F9/Assumptions!C12,'Heat Rejection'!H9,Lineages!J9/(Assumptions!C9/24)),Lineages!F9*Lineages!Z9/Assumptions!C11)</x:f>
        <x:v>1</x:v>
      </x:c>
      <x:c r="H11" s="54" t="n">
        <x:f>MIN(MIN(Lineages!F10/Assumptions!C11,Lineages!F10/Assumptions!C12,'Heat Rejection'!H10,Lineages!J10/(Assumptions!C9/24)),Lineages!F10*Lineages!Z10/Assumptions!C11)</x:f>
        <x:v>1</x:v>
      </x:c>
      <x:c r="I11" s="54" t="n">
        <x:f>MIN(MIN(Lineages!F11/Assumptions!C11,Lineages!F11/Assumptions!C12,'Heat Rejection'!H11,Lineages!J11/(Assumptions!C9/24)),Lineages!F11*Lineages!Z11/Assumptions!C11)</x:f>
        <x:v>1</x:v>
      </x:c>
      <x:c r="J11" s="54" t="n">
        <x:f>MIN(MIN(Lineages!F12/Assumptions!C11,Lineages!F12/Assumptions!C12,'Heat Rejection'!H12,Lineages!J12/(Assumptions!C9/24)),Lineages!F12*Lineages!Z12/Assumptions!C11)</x:f>
        <x:v>1.5625651068794533</x:v>
      </x:c>
    </x:row>
    <x:row r="12" ht="34" customHeight="1">
      <x:c r="B12" s="43" t="str">
        <x:v>W5</x:v>
      </x:c>
      <x:c r="C12" s="43" t="str">
        <x:v>Local resource unavailable</x:v>
      </x:c>
      <x:c r="D12" s="43" t="str">
        <x:v>fallback fraction</x:v>
      </x:c>
      <x:c r="E12" s="54" t="n">
        <x:f>MIN(MIN(Lineages!F7/Assumptions!C11,Lineages!F7/Assumptions!C12,'Heat Rejection'!H7,Lineages!J7/(Assumptions!C9/24)),Lineages!F7*Lineages!AA7/Assumptions!C11)</x:f>
        <x:v>1</x:v>
      </x:c>
      <x:c r="F12" s="54" t="n">
        <x:f>MIN(MIN(Lineages!F8/Assumptions!C11,Lineages!F8/Assumptions!C12,'Heat Rejection'!H8,Lineages!J8/(Assumptions!C9/24)),Lineages!F8*Lineages!AA8/Assumptions!C11)</x:f>
        <x:v>1</x:v>
      </x:c>
      <x:c r="G12" s="54" t="n">
        <x:f>MIN(MIN(Lineages!F9/Assumptions!C11,Lineages!F9/Assumptions!C12,'Heat Rejection'!H9,Lineages!J9/(Assumptions!C9/24)),Lineages!F9*Lineages!AA9/Assumptions!C11)</x:f>
        <x:v>1</x:v>
      </x:c>
      <x:c r="H12" s="54" t="n">
        <x:f>MIN(MIN(Lineages!F10/Assumptions!C11,Lineages!F10/Assumptions!C12,'Heat Rejection'!H10,Lineages!J10/(Assumptions!C9/24)),Lineages!F10*Lineages!AA10/Assumptions!C11)</x:f>
        <x:v>0.6750295325420487</x:v>
      </x:c>
      <x:c r="I12" s="54" t="n">
        <x:f>MIN(MIN(Lineages!F11/Assumptions!C11,Lineages!F11/Assumptions!C12,'Heat Rejection'!H11,Lineages!J11/(Assumptions!C9/24)),Lineages!F11*Lineages!AA11/Assumptions!C11)</x:f>
        <x:v>1</x:v>
      </x:c>
      <x:c r="J12" s="54" t="n">
        <x:f>MIN(MIN(Lineages!F12/Assumptions!C11,Lineages!F12/Assumptions!C12,'Heat Rejection'!H12,Lineages!J12/(Assumptions!C9/24)),Lineages!F12*Lineages!AA12/Assumptions!C11)</x:f>
        <x:v>1.5625651068794533</x:v>
      </x:c>
    </x:row>
    <x:row r="13" ht="34" customHeight="1">
      <x:c r="B13" s="43" t="str">
        <x:v>W6</x:v>
      </x:c>
      <x:c r="C13" s="43" t="str">
        <x:v>Prepared anchor unavailable</x:v>
      </x:c>
      <x:c r="D13" s="43" t="str">
        <x:v>mobile fallback fraction</x:v>
      </x:c>
      <x:c r="E13" s="54" t="n">
        <x:f>MIN(MIN(Lineages!F7/Assumptions!C11,Lineages!F7/Assumptions!C12,'Heat Rejection'!H7,Lineages!J7/(Assumptions!C9/24)),Lineages!F7*Lineages!AB7/Assumptions!C11)</x:f>
        <x:v>1</x:v>
      </x:c>
      <x:c r="F13" s="54" t="n">
        <x:f>MIN(MIN(Lineages!F8/Assumptions!C11,Lineages!F8/Assumptions!C12,'Heat Rejection'!H8,Lineages!J8/(Assumptions!C9/24)),Lineages!F8*Lineages!AB8/Assumptions!C11)</x:f>
        <x:v>1</x:v>
      </x:c>
      <x:c r="G13" s="54" t="n">
        <x:f>MIN(MIN(Lineages!F9/Assumptions!C11,Lineages!F9/Assumptions!C12,'Heat Rejection'!H9,Lineages!J9/(Assumptions!C9/24)),Lineages!F9*Lineages!AB9/Assumptions!C11)</x:f>
        <x:v>1</x:v>
      </x:c>
      <x:c r="H13" s="54" t="n">
        <x:f>MIN(MIN(Lineages!F10/Assumptions!C11,Lineages!F10/Assumptions!C12,'Heat Rejection'!H10,Lineages!J10/(Assumptions!C9/24)),Lineages!F10*Lineages!AB10/Assumptions!C11)</x:f>
        <x:v>1</x:v>
      </x:c>
      <x:c r="I13" s="54" t="n">
        <x:f>MIN(MIN(Lineages!F11/Assumptions!C11,Lineages!F11/Assumptions!C12,'Heat Rejection'!H11,Lineages!J11/(Assumptions!C9/24)),Lineages!F11*Lineages!AB11/Assumptions!C11)</x:f>
        <x:v>0.33751476627102434</x:v>
      </x:c>
      <x:c r="J13" s="54" t="n">
        <x:f>MIN(MIN(Lineages!F12/Assumptions!C11,Lineages!F12/Assumptions!C12,'Heat Rejection'!H12,Lineages!J12/(Assumptions!C9/24)),Lineages!F12*Lineages!AB12/Assumptions!C11)</x:f>
        <x:v>1.5625651068794533</x:v>
      </x:c>
    </x:row>
    <x:row r="14" ht="34" customHeight="1">
      <x:c r="B14" s="43" t="str">
        <x:v>W7</x:v>
      </x:c>
      <x:c r="C14" s="43" t="str">
        <x:v>Heat-rejection water unavailable</x:v>
      </x:c>
      <x:c r="D14" s="43" t="str">
        <x:v>dry rejection</x:v>
      </x:c>
      <x:c r="E14" s="54" t="n">
        <x:f>MIN(MIN(Lineages!F7/Assumptions!C11,Lineages!F7/Assumptions!C12,'Heat Rejection'!H7,Lineages!J7/(Assumptions!C9/24)),'Heat Rejection'!I7)</x:f>
        <x:v>1</x:v>
      </x:c>
      <x:c r="F14" s="54" t="n">
        <x:f>MIN(MIN(Lineages!F8/Assumptions!C11,Lineages!F8/Assumptions!C12,'Heat Rejection'!H8,Lineages!J8/(Assumptions!C9/24)),'Heat Rejection'!I8)</x:f>
        <x:v>1</x:v>
      </x:c>
      <x:c r="G14" s="54" t="n">
        <x:f>MIN(MIN(Lineages!F9/Assumptions!C11,Lineages!F9/Assumptions!C12,'Heat Rejection'!H9,Lineages!J9/(Assumptions!C9/24)),'Heat Rejection'!I9)</x:f>
        <x:v>1</x:v>
      </x:c>
      <x:c r="H14" s="54" t="n">
        <x:f>MIN(MIN(Lineages!F10/Assumptions!C11,Lineages!F10/Assumptions!C12,'Heat Rejection'!H10,Lineages!J10/(Assumptions!C9/24)),'Heat Rejection'!I10)</x:f>
        <x:v>1</x:v>
      </x:c>
      <x:c r="I14" s="54" t="n">
        <x:f>MIN(MIN(Lineages!F11/Assumptions!C11,Lineages!F11/Assumptions!C12,'Heat Rejection'!H11,Lineages!J11/(Assumptions!C9/24)),'Heat Rejection'!I11)</x:f>
        <x:v>0.9157919021423464</x:v>
      </x:c>
      <x:c r="J14" s="54" t="n">
        <x:f>MIN(MIN(Lineages!F12/Assumptions!C11,Lineages!F12/Assumptions!C12,'Heat Rejection'!H12,Lineages!J12/(Assumptions!C9/24)),'Heat Rejection'!I12)</x:f>
        <x:v>1.0020065167179808</x:v>
      </x:c>
    </x:row>
    <x:row r="15" ht="34" customHeight="1">
      <x:c r="B15" s="43" t="str">
        <x:v>W8</x:v>
      </x:c>
      <x:c r="C15" s="43" t="str">
        <x:v>50°C ambient and 15% thermal load rise</x:v>
      </x:c>
      <x:c r="D15" s="43" t="str">
        <x:v>ambient rejection</x:v>
      </x:c>
      <x:c r="E15" s="54" t="n">
        <x:f>MIN(MIN(Lineages!F7/Assumptions!C11,Lineages!F7/Assumptions!C12,'Heat Rejection'!H7,Lineages!J7/(Assumptions!C9/24)),'Heat Rejection'!J7)</x:f>
        <x:v>1</x:v>
      </x:c>
      <x:c r="F15" s="54" t="n">
        <x:f>MIN(MIN(Lineages!F8/Assumptions!C11,Lineages!F8/Assumptions!C12,'Heat Rejection'!H8,Lineages!J8/(Assumptions!C9/24)),'Heat Rejection'!J8)</x:f>
        <x:v>1</x:v>
      </x:c>
      <x:c r="G15" s="54" t="n">
        <x:f>MIN(MIN(Lineages!F9/Assumptions!C11,Lineages!F9/Assumptions!C12,'Heat Rejection'!H9,Lineages!J9/(Assumptions!C9/24)),'Heat Rejection'!J9)</x:f>
        <x:v>1</x:v>
      </x:c>
      <x:c r="H15" s="54" t="n">
        <x:f>MIN(MIN(Lineages!F10/Assumptions!C11,Lineages!F10/Assumptions!C12,'Heat Rejection'!H10,Lineages!J10/(Assumptions!C9/24)),'Heat Rejection'!J10)</x:f>
        <x:v>1</x:v>
      </x:c>
      <x:c r="I15" s="54" t="n">
        <x:f>MIN(MIN(Lineages!F11/Assumptions!C11,Lineages!F11/Assumptions!C12,'Heat Rejection'!H11,Lineages!J11/(Assumptions!C9/24)),'Heat Rejection'!J11)</x:f>
        <x:v>1</x:v>
      </x:c>
      <x:c r="J15" s="54" t="n">
        <x:f>MIN(MIN(Lineages!F12/Assumptions!C11,Lineages!F12/Assumptions!C12,'Heat Rejection'!H12,Lineages!J12/(Assumptions!C9/24)),'Heat Rejection'!J12)</x:f>
        <x:v>1.0455720174448495</x:v>
      </x:c>
    </x:row>
    <x:row r="16" ht="34" customHeight="1">
      <x:c r="B16" s="43" t="str">
        <x:v>W9</x:v>
      </x:c>
      <x:c r="C16" s="43" t="str">
        <x:v>Smoke and intake fouling</x:v>
      </x:c>
      <x:c r="D16" s="43" t="str">
        <x:v>filtered rejection</x:v>
      </x:c>
      <x:c r="E16" s="54" t="n">
        <x:f>MIN(MIN(Lineages!F7/Assumptions!C11,Lineages!F7/Assumptions!C12,'Heat Rejection'!H7,Lineages!J7/(Assumptions!C9/24)),'Heat Rejection'!K7)</x:f>
        <x:v>1</x:v>
      </x:c>
      <x:c r="F16" s="54" t="n">
        <x:f>MIN(MIN(Lineages!F8/Assumptions!C11,Lineages!F8/Assumptions!C12,'Heat Rejection'!H8,Lineages!J8/(Assumptions!C9/24)),'Heat Rejection'!K8)</x:f>
        <x:v>1</x:v>
      </x:c>
      <x:c r="G16" s="54" t="n">
        <x:f>MIN(MIN(Lineages!F9/Assumptions!C11,Lineages!F9/Assumptions!C12,'Heat Rejection'!H9,Lineages!J9/(Assumptions!C9/24)),'Heat Rejection'!K9)</x:f>
        <x:v>1</x:v>
      </x:c>
      <x:c r="H16" s="54" t="n">
        <x:f>MIN(MIN(Lineages!F10/Assumptions!C11,Lineages!F10/Assumptions!C12,'Heat Rejection'!H10,Lineages!J10/(Assumptions!C9/24)),'Heat Rejection'!K10)</x:f>
        <x:v>0.9967256946895969</x:v>
      </x:c>
      <x:c r="I16" s="54" t="n">
        <x:f>MIN(MIN(Lineages!F11/Assumptions!C11,Lineages!F11/Assumptions!C12,'Heat Rejection'!H11,Lineages!J11/(Assumptions!C9/24)),'Heat Rejection'!K11)</x:f>
        <x:v>1</x:v>
      </x:c>
      <x:c r="J16" s="54" t="n">
        <x:f>MIN(MIN(Lineages!F12/Assumptions!C11,Lineages!F12/Assumptions!C12,'Heat Rejection'!H12,Lineages!J12/(Assumptions!C9/24)),'Heat Rejection'!K12)</x:f>
        <x:v>1.0855070597778125</x:v>
      </x:c>
    </x:row>
    <x:row r="17" ht="34" customHeight="1">
      <x:c r="B17" s="43" t="str">
        <x:v>W10</x:v>
      </x:c>
      <x:c r="C17" s="43" t="str">
        <x:v>Combustion exhaust prohibited at receiver</x:v>
      </x:c>
      <x:c r="D17" s="43" t="str">
        <x:v>occupied-site compatibility</x:v>
      </x:c>
      <x:c r="E17" s="54" t="n">
        <x:f>MIN(MIN(Lineages!F7/Assumptions!C11,Lineages!F7/Assumptions!C12,'Heat Rejection'!H7,Lineages!J7/(Assumptions!C9/24)),IF(OR(Lineages!B7="L1",Lineages!B7="L4"),0.60,IF(Lineages!B7="L5",0.80,1)))</x:f>
        <x:v>0.6</x:v>
      </x:c>
      <x:c r="F17" s="54" t="n">
        <x:f>MIN(MIN(Lineages!F8/Assumptions!C11,Lineages!F8/Assumptions!C12,'Heat Rejection'!H8,Lineages!J8/(Assumptions!C9/24)),IF(OR(Lineages!B8="L1",Lineages!B8="L4"),0.60,IF(Lineages!B8="L5",0.80,1)))</x:f>
        <x:v>1</x:v>
      </x:c>
      <x:c r="G17" s="54" t="n">
        <x:f>MIN(MIN(Lineages!F9/Assumptions!C11,Lineages!F9/Assumptions!C12,'Heat Rejection'!H9,Lineages!J9/(Assumptions!C9/24)),IF(OR(Lineages!B9="L1",Lineages!B9="L4"),0.60,IF(Lineages!B9="L5",0.80,1)))</x:f>
        <x:v>1</x:v>
      </x:c>
      <x:c r="H17" s="54" t="n">
        <x:f>MIN(MIN(Lineages!F10/Assumptions!C11,Lineages!F10/Assumptions!C12,'Heat Rejection'!H10,Lineages!J10/(Assumptions!C9/24)),IF(OR(Lineages!B10="L1",Lineages!B10="L4"),0.60,IF(Lineages!B10="L5",0.80,1)))</x:f>
        <x:v>0.6</x:v>
      </x:c>
      <x:c r="I17" s="54" t="n">
        <x:f>MIN(MIN(Lineages!F11/Assumptions!C11,Lineages!F11/Assumptions!C12,'Heat Rejection'!H11,Lineages!J11/(Assumptions!C9/24)),IF(OR(Lineages!B11="L1",Lineages!B11="L4"),0.60,IF(Lineages!B11="L5",0.80,1)))</x:f>
        <x:v>0.8</x:v>
      </x:c>
      <x:c r="J17" s="54" t="n">
        <x:f>MIN(MIN(Lineages!F12/Assumptions!C11,Lineages!F12/Assumptions!C12,'Heat Rejection'!H12,Lineages!J12/(Assumptions!C9/24)),IF(OR(Lineages!B12="L1",Lineages!B12="L4"),0.60,IF(Lineages!B12="L5",0.80,1)))</x:f>
        <x:v>1</x:v>
      </x:c>
    </x:row>
    <x:row r="18" ht="34" customHeight="1">
      <x:c r="B18" s="43" t="str">
        <x:v>W11</x:v>
      </x:c>
      <x:c r="C18" s="43" t="str">
        <x:v>Largest source module unavailable</x:v>
      </x:c>
      <x:c r="D18" s="43" t="str">
        <x:v>N-1 net output</x:v>
      </x:c>
      <x:c r="E18" s="54" t="n">
        <x:f>MIN(Lineages!G7/Assumptions!C11,'Heat Rejection'!H7,Lineages!J7/(Assumptions!C9/24))</x:f>
        <x:v>1</x:v>
      </x:c>
      <x:c r="F18" s="54" t="n">
        <x:f>MIN(Lineages!G8/Assumptions!C11,'Heat Rejection'!H8,Lineages!J8/(Assumptions!C9/24))</x:f>
        <x:v>1</x:v>
      </x:c>
      <x:c r="G18" s="54" t="n">
        <x:f>MIN(Lineages!G9/Assumptions!C11,'Heat Rejection'!H9,Lineages!J9/(Assumptions!C9/24))</x:f>
        <x:v>1</x:v>
      </x:c>
      <x:c r="H18" s="54" t="n">
        <x:f>MIN(Lineages!G10/Assumptions!C11,'Heat Rejection'!H10,Lineages!J10/(Assumptions!C9/24))</x:f>
        <x:v>1</x:v>
      </x:c>
      <x:c r="I18" s="54" t="n">
        <x:f>MIN(Lineages!G11/Assumptions!C11,'Heat Rejection'!H11,Lineages!J11/(Assumptions!C9/24))</x:f>
        <x:v>1</x:v>
      </x:c>
      <x:c r="J18" s="54" t="n">
        <x:f>MIN(Lineages!G12/Assumptions!C11,'Heat Rejection'!H12,Lineages!J12/(Assumptions!C9/24))</x:f>
        <x:v>1.054733644596951</x:v>
      </x:c>
    </x:row>
    <x:row r="19" ht="34" customHeight="1">
      <x:c r="B19" s="43" t="str">
        <x:v>W12</x:v>
      </x:c>
      <x:c r="C19" s="43" t="str">
        <x:v>Largest rejection train unavailable</x:v>
      </x:c>
      <x:c r="D19" s="43" t="str">
        <x:v>N-1 rejection</x:v>
      </x:c>
      <x:c r="E19" s="54" t="n">
        <x:f>MIN(MIN(Lineages!F7/Assumptions!C11,Lineages!F7/Assumptions!C12,'Heat Rejection'!H7,Lineages!J7/(Assumptions!C9/24)),'Heat Rejection'!L7)</x:f>
        <x:v>1</x:v>
      </x:c>
      <x:c r="F19" s="54" t="n">
        <x:f>MIN(MIN(Lineages!F8/Assumptions!C11,Lineages!F8/Assumptions!C12,'Heat Rejection'!H8,Lineages!J8/(Assumptions!C9/24)),'Heat Rejection'!L8)</x:f>
        <x:v>1</x:v>
      </x:c>
      <x:c r="G19" s="54" t="n">
        <x:f>MIN(MIN(Lineages!F9/Assumptions!C11,Lineages!F9/Assumptions!C12,'Heat Rejection'!H9,Lineages!J9/(Assumptions!C9/24)),'Heat Rejection'!L9)</x:f>
        <x:v>1</x:v>
      </x:c>
      <x:c r="H19" s="54" t="n">
        <x:f>MIN(MIN(Lineages!F10/Assumptions!C11,Lineages!F10/Assumptions!C12,'Heat Rejection'!H10,Lineages!J10/(Assumptions!C9/24)),'Heat Rejection'!L10)</x:f>
        <x:v>1</x:v>
      </x:c>
      <x:c r="I19" s="54" t="n">
        <x:f>MIN(MIN(Lineages!F11/Assumptions!C11,Lineages!F11/Assumptions!C12,'Heat Rejection'!H11,Lineages!J11/(Assumptions!C9/24)),'Heat Rejection'!L11)</x:f>
        <x:v>1</x:v>
      </x:c>
      <x:c r="J19" s="54" t="n">
        <x:f>MIN(MIN(Lineages!F12/Assumptions!C11,Lineages!F12/Assumptions!C12,'Heat Rejection'!H12,Lineages!J12/(Assumptions!C9/24)),'Heat Rejection'!L12)</x:f>
        <x:v>1.0855070597778125</x:v>
      </x:c>
    </x:row>
    <x:row r="20" ht="34" customHeight="1">
      <x:c r="B20" s="43" t="str">
        <x:v>W13</x:v>
      </x:c>
      <x:c r="C20" s="43" t="str">
        <x:v>Commercial network and cloud denied</x:v>
      </x:c>
      <x:c r="D20" s="43" t="str">
        <x:v>offline control</x:v>
      </x:c>
      <x:c r="E20" s="54" t="n">
        <x:f>MIN(MIN(Lineages!F7/Assumptions!C11,Lineages!F7/Assumptions!C12,'Heat Rejection'!H7,Lineages!J7/(Assumptions!C9/24)),Lineages!AC7)</x:f>
        <x:v>1</x:v>
      </x:c>
      <x:c r="F20" s="54" t="n">
        <x:f>MIN(MIN(Lineages!F8/Assumptions!C11,Lineages!F8/Assumptions!C12,'Heat Rejection'!H8,Lineages!J8/(Assumptions!C9/24)),Lineages!AC8)</x:f>
        <x:v>1</x:v>
      </x:c>
      <x:c r="G20" s="54" t="n">
        <x:f>MIN(MIN(Lineages!F9/Assumptions!C11,Lineages!F9/Assumptions!C12,'Heat Rejection'!H9,Lineages!J9/(Assumptions!C9/24)),Lineages!AC9)</x:f>
        <x:v>1</x:v>
      </x:c>
      <x:c r="H20" s="54" t="n">
        <x:f>MIN(MIN(Lineages!F10/Assumptions!C11,Lineages!F10/Assumptions!C12,'Heat Rejection'!H10,Lineages!J10/(Assumptions!C9/24)),Lineages!AC10)</x:f>
        <x:v>1</x:v>
      </x:c>
      <x:c r="I20" s="54" t="n">
        <x:f>MIN(MIN(Lineages!F11/Assumptions!C11,Lineages!F11/Assumptions!C12,'Heat Rejection'!H11,Lineages!J11/(Assumptions!C9/24)),Lineages!AC11)</x:f>
        <x:v>0.8</x:v>
      </x:c>
      <x:c r="J20" s="54" t="n">
        <x:f>MIN(MIN(Lineages!F12/Assumptions!C11,Lineages!F12/Assumptions!C12,'Heat Rejection'!H12,Lineages!J12/(Assumptions!C9/24)),Lineages!AC12)</x:f>
        <x:v>1</x:v>
      </x:c>
    </x:row>
    <x:row r="21" ht="34" customHeight="1">
      <x:c r="B21" s="43" t="str">
        <x:v>W14</x:v>
      </x:c>
      <x:c r="C21" s="43" t="str">
        <x:v>1,000-tonne mobile-cell lift boundary</x:v>
      </x:c>
      <x:c r="D21" s="43" t="str">
        <x:v>transported mass</x:v>
      </x:c>
      <x:c r="E21" s="54" t="n">
        <x:f>MIN(MIN(Lineages!F7/Assumptions!C11,Lineages!F7/Assumptions!C12,'Heat Rejection'!H7,Lineages!J7/(Assumptions!C9/24)),Assumptions!C16/Lineages!Q7)</x:f>
        <x:v>1</x:v>
      </x:c>
      <x:c r="F21" s="54" t="n">
        <x:f>MIN(MIN(Lineages!F8/Assumptions!C11,Lineages!F8/Assumptions!C12,'Heat Rejection'!H8,Lineages!J8/(Assumptions!C9/24)),Assumptions!C16/Lineages!Q8)</x:f>
        <x:v>1</x:v>
      </x:c>
      <x:c r="G21" s="54" t="n">
        <x:f>MIN(MIN(Lineages!F9/Assumptions!C11,Lineages!F9/Assumptions!C12,'Heat Rejection'!H9,Lineages!J9/(Assumptions!C9/24)),Assumptions!C16/Lineages!Q9)</x:f>
        <x:v>0.35919540229885055</x:v>
      </x:c>
      <x:c r="H21" s="54" t="n">
        <x:f>MIN(MIN(Lineages!F10/Assumptions!C11,Lineages!F10/Assumptions!C12,'Heat Rejection'!H10,Lineages!J10/(Assumptions!C9/24)),Assumptions!C16/Lineages!Q10)</x:f>
        <x:v>1</x:v>
      </x:c>
      <x:c r="I21" s="54" t="n">
        <x:f>MIN(MIN(Lineages!F11/Assumptions!C11,Lineages!F11/Assumptions!C12,'Heat Rejection'!H11,Lineages!J11/(Assumptions!C9/24)),Assumptions!C16/Lineages!Q11)</x:f>
        <x:v>1</x:v>
      </x:c>
      <x:c r="J21" s="54" t="n">
        <x:f>MIN(MIN(Lineages!F12/Assumptions!C11,Lineages!F12/Assumptions!C12,'Heat Rejection'!H12,Lineages!J12/(Assumptions!C9/24)),Assumptions!C16/Lineages!Q12)</x:f>
        <x:v>0.7633587786259542</x:v>
      </x:c>
    </x:row>
    <x:row r="22" ht="34" customHeight="1">
      <x:c r="B22" s="43" t="str">
        <x:v>W15</x:v>
      </x:c>
      <x:c r="C22" s="43" t="str">
        <x:v>5,000 m² occupied-site boundary</x:v>
      </x:c>
      <x:c r="D22" s="43" t="str">
        <x:v>footprint</x:v>
      </x:c>
      <x:c r="E22" s="54" t="n">
        <x:f>MIN(MIN(Lineages!F7/Assumptions!C11,Lineages!F7/Assumptions!C12,'Heat Rejection'!H7,Lineages!J7/(Assumptions!C9/24)),Assumptions!C17/Lineages!R7)</x:f>
        <x:v>1</x:v>
      </x:c>
      <x:c r="F22" s="54" t="n">
        <x:f>MIN(MIN(Lineages!F8/Assumptions!C11,Lineages!F8/Assumptions!C12,'Heat Rejection'!H8,Lineages!J8/(Assumptions!C9/24)),Assumptions!C17/Lineages!R8)</x:f>
        <x:v>1</x:v>
      </x:c>
      <x:c r="G22" s="54" t="n">
        <x:f>MIN(MIN(Lineages!F9/Assumptions!C11,Lineages!F9/Assumptions!C12,'Heat Rejection'!H9,Lineages!J9/(Assumptions!C9/24)),Assumptions!C17/Lineages!R9)</x:f>
        <x:v>1</x:v>
      </x:c>
      <x:c r="H22" s="54" t="n">
        <x:f>MIN(MIN(Lineages!F10/Assumptions!C11,Lineages!F10/Assumptions!C12,'Heat Rejection'!H10,Lineages!J10/(Assumptions!C9/24)),Assumptions!C17/Lineages!R10)</x:f>
        <x:v>0.7692307692307693</x:v>
      </x:c>
      <x:c r="I22" s="54" t="n">
        <x:f>MIN(MIN(Lineages!F11/Assumptions!C11,Lineages!F11/Assumptions!C12,'Heat Rejection'!H11,Lineages!J11/(Assumptions!C9/24)),Assumptions!C17/Lineages!R11)</x:f>
        <x:v>1</x:v>
      </x:c>
      <x:c r="J22" s="54" t="n">
        <x:f>MIN(MIN(Lineages!F12/Assumptions!C11,Lineages!F12/Assumptions!C12,'Heat Rejection'!H12,Lineages!J12/(Assumptions!C9/24)),Assumptions!C17/Lineages!R12)</x:f>
        <x:v>0.625</x:v>
      </x:c>
    </x:row>
    <x:row r="23" ht="34" customHeight="1">
      <x:c r="B23" s="43" t="str">
        <x:v>W16</x:v>
      </x:c>
      <x:c r="C23" s="43" t="str">
        <x:v>Immediate second mission after three-day reset</x:v>
      </x:c>
      <x:c r="D23" s="43" t="str">
        <x:v>reset duration</x:v>
      </x:c>
      <x:c r="E23" s="54" t="n">
        <x:f>MIN(MIN(Lineages!F7/Assumptions!C11,Lineages!F7/Assumptions!C12,'Heat Rejection'!H7,Lineages!J7/(Assumptions!C9/24)),Assumptions!C18/Lineages!AD7)</x:f>
        <x:v>1</x:v>
      </x:c>
      <x:c r="F23" s="54" t="n">
        <x:f>MIN(MIN(Lineages!F8/Assumptions!C11,Lineages!F8/Assumptions!C12,'Heat Rejection'!H8,Lineages!J8/(Assumptions!C9/24)),Assumptions!C18/Lineages!AD8)</x:f>
        <x:v>1</x:v>
      </x:c>
      <x:c r="G23" s="54" t="n">
        <x:f>MIN(MIN(Lineages!F9/Assumptions!C11,Lineages!F9/Assumptions!C12,'Heat Rejection'!H9,Lineages!J9/(Assumptions!C9/24)),Assumptions!C18/Lineages!AD9)</x:f>
        <x:v>0.3</x:v>
      </x:c>
      <x:c r="H23" s="54" t="n">
        <x:f>MIN(MIN(Lineages!F10/Assumptions!C11,Lineages!F10/Assumptions!C12,'Heat Rejection'!H10,Lineages!J10/(Assumptions!C9/24)),Assumptions!C18/Lineages!AD10)</x:f>
        <x:v>0.6666666666666666</x:v>
      </x:c>
      <x:c r="I23" s="54" t="n">
        <x:f>MIN(MIN(Lineages!F11/Assumptions!C11,Lineages!F11/Assumptions!C12,'Heat Rejection'!H11,Lineages!J11/(Assumptions!C9/24)),Assumptions!C18/Lineages!AD11)</x:f>
        <x:v>1</x:v>
      </x:c>
      <x:c r="J23" s="54" t="n">
        <x:f>MIN(MIN(Lineages!F12/Assumptions!C11,Lineages!F12/Assumptions!C12,'Heat Rejection'!H12,Lineages!J12/(Assumptions!C9/24)),Assumptions!C18/Lineages!AD12)</x:f>
        <x:v>0.1</x:v>
      </x:c>
    </x:row>
    <x:row r="24" ht="34" customHeight="1">
      <x:c r="B24" s="43" t="str">
        <x:v>W17</x:v>
      </x:c>
      <x:c r="C24" s="43" t="str">
        <x:v>Unprepared, external-energy-denied, high-ambient compound</x:v>
      </x:c>
      <x:c r="D24" s="43" t="str">
        <x:v>source, setup, mass, site and rejection</x:v>
      </x:c>
      <x:c r="E24" s="54" t="n">
        <x:f>MIN(MIN(Lineages!F7/Assumptions!C11,Lineages!F7/Assumptions!C12,'Heat Rejection'!H7,Lineages!J7/(Assumptions!C9/24)),Assumptions!C10/Lineages!E7,Assumptions!C16/Lineages!Q7,Assumptions!C17/Lineages!R7,'Heat Rejection'!J7,Lineages!F7*IF(Lineages!B7="L1",1,IF(Lineages!B7="L2",Lineages!Z7,IF(Lineages!B7="L3",1,IF(Lineages!B7="L4",Lineages!AA7,IF(Lineages!B7="L5",Lineages!AB7,1)))))/Assumptions!C11)</x:f>
        <x:v>1</x:v>
      </x:c>
      <x:c r="F24" s="54" t="n">
        <x:f>MIN(MIN(Lineages!F8/Assumptions!C11,Lineages!F8/Assumptions!C12,'Heat Rejection'!H8,Lineages!J8/(Assumptions!C9/24)),Assumptions!C10/Lineages!E8,Assumptions!C16/Lineages!Q8,Assumptions!C17/Lineages!R8,'Heat Rejection'!J8,Lineages!F8*IF(Lineages!B8="L1",1,IF(Lineages!B8="L2",Lineages!Z8,IF(Lineages!B8="L3",1,IF(Lineages!B8="L4",Lineages!AA8,IF(Lineages!B8="L5",Lineages!AB8,1)))))/Assumptions!C11)</x:f>
        <x:v>0.5062721494065365</x:v>
      </x:c>
      <x:c r="G24" s="54" t="n">
        <x:f>MIN(MIN(Lineages!F9/Assumptions!C11,Lineages!F9/Assumptions!C12,'Heat Rejection'!H9,Lineages!J9/(Assumptions!C9/24)),Assumptions!C10/Lineages!E9,Assumptions!C16/Lineages!Q9,Assumptions!C17/Lineages!R9,'Heat Rejection'!J9,Lineages!F9*IF(Lineages!B9="L1",1,IF(Lineages!B9="L2",Lineages!Z9,IF(Lineages!B9="L3",1,IF(Lineages!B9="L4",Lineages!AA9,IF(Lineages!B9="L5",Lineages!AB9,1)))))/Assumptions!C11)</x:f>
        <x:v>0.35919540229885055</x:v>
      </x:c>
      <x:c r="H24" s="54" t="n">
        <x:f>MIN(MIN(Lineages!F10/Assumptions!C11,Lineages!F10/Assumptions!C12,'Heat Rejection'!H10,Lineages!J10/(Assumptions!C9/24)),Assumptions!C10/Lineages!E10,Assumptions!C16/Lineages!Q10,Assumptions!C17/Lineages!R10,'Heat Rejection'!J10,Lineages!F10*IF(Lineages!B10="L1",1,IF(Lineages!B10="L2",Lineages!Z10,IF(Lineages!B10="L3",1,IF(Lineages!B10="L4",Lineages!AA10,IF(Lineages!B10="L5",Lineages!AB10,1)))))/Assumptions!C11)</x:f>
        <x:v>0.6750295325420487</x:v>
      </x:c>
      <x:c r="I24" s="54" t="n">
        <x:f>MIN(MIN(Lineages!F11/Assumptions!C11,Lineages!F11/Assumptions!C12,'Heat Rejection'!H11,Lineages!J11/(Assumptions!C9/24)),Assumptions!C10/Lineages!E11,Assumptions!C16/Lineages!Q11,Assumptions!C17/Lineages!R11,'Heat Rejection'!J11,Lineages!F11*IF(Lineages!B11="L1",1,IF(Lineages!B11="L2",Lineages!Z11,IF(Lineages!B11="L3",1,IF(Lineages!B11="L4",Lineages!AA11,IF(Lineages!B11="L5",Lineages!AB11,1)))))/Assumptions!C11)</x:f>
        <x:v>0.33751476627102434</x:v>
      </x:c>
      <x:c r="J24" s="54" t="n">
        <x:f>MIN(MIN(Lineages!F12/Assumptions!C11,Lineages!F12/Assumptions!C12,'Heat Rejection'!H12,Lineages!J12/(Assumptions!C9/24)),Assumptions!C10/Lineages!E12,Assumptions!C16/Lineages!Q12,Assumptions!C17/Lineages!R12,'Heat Rejection'!J12,Lineages!F12*IF(Lineages!B12="L1",1,IF(Lineages!B12="L2",Lineages!Z12,IF(Lineages!B12="L3",1,IF(Lineages!B12="L4",Lineages!AA12,IF(Lineages!B12="L5",Lineages!AB12,1)))))/Assumptions!C11)</x:f>
        <x:v>0.4</x:v>
      </x:c>
    </x:row>
    <x:row r="25">
      <x:c r="B25" s="26"/>
      <x:c r="C25" s="26"/>
      <x:c r="D25" s="26"/>
      <x:c r="E25" s="26"/>
      <x:c r="F25" s="26"/>
      <x:c r="G25" s="26"/>
      <x:c r="H25" s="26"/>
      <x:c r="I25" s="26"/>
      <x:c r="J25" s="26"/>
    </x:row>
    <x:row r="26">
      <x:c r="B26" s="14" t="str">
        <x:v>Result</x:v>
      </x:c>
      <x:c r="C26" s="14" t="str">
        <x:v>Meaning</x:v>
      </x:c>
      <x:c r="D26" s="14" t="str">
        <x:v>Threshold</x:v>
      </x:c>
      <x:c r="E26" s="26"/>
      <x:c r="F26" s="26"/>
      <x:c r="G26" s="26"/>
      <x:c r="H26" s="26"/>
      <x:c r="I26" s="26"/>
      <x:c r="J26" s="26"/>
    </x:row>
    <x:row r="27">
      <x:c r="B27" s="26" t="str">
        <x:v>L1</x:v>
      </x:c>
      <x:c r="C27" s="26" t="str">
        <x:v>Organic multi-liquid bridge</x:v>
      </x:c>
      <x:c r="D27" s="57" t="n">
        <x:f>COUNTIF(E7:E24,"&gt;=1")</x:f>
        <x:v>16</x:v>
      </x:c>
      <x:c r="E27" s="26"/>
      <x:c r="F27" s="26"/>
      <x:c r="G27" s="26"/>
      <x:c r="H27" s="26"/>
      <x:c r="I27" s="26"/>
      <x:c r="J27" s="26"/>
    </x:row>
    <x:row r="28">
      <x:c r="B28" s="26" t="str">
        <x:v>L2</x:v>
      </x:c>
      <x:c r="C28" s="26" t="str">
        <x:v>Conditioned gas with liquid bridge</x:v>
      </x:c>
      <x:c r="D28" s="57" t="n">
        <x:f>COUNTIF(F7:F24,"&gt;=1")</x:f>
        <x:v>15</x:v>
      </x:c>
      <x:c r="E28" s="26"/>
      <x:c r="F28" s="26"/>
      <x:c r="G28" s="26"/>
      <x:c r="H28" s="26"/>
      <x:c r="I28" s="26"/>
      <x:c r="J28" s="26"/>
    </x:row>
    <x:row r="29">
      <x:c r="B29" s="26" t="str">
        <x:v>L3</x:v>
      </x:c>
      <x:c r="C29" s="26" t="str">
        <x:v>Transported storage-only</x:v>
      </x:c>
      <x:c r="D29" s="57" t="n">
        <x:f>COUNTIF(G7:G24,"&gt;=1")</x:f>
        <x:v>15</x:v>
      </x:c>
      <x:c r="E29" s="26"/>
      <x:c r="F29" s="26"/>
      <x:c r="G29" s="26"/>
      <x:c r="H29" s="26"/>
      <x:c r="I29" s="26"/>
      <x:c r="J29" s="26"/>
    </x:row>
    <x:row r="30">
      <x:c r="B30" s="26" t="str">
        <x:v>L4</x:v>
      </x:c>
      <x:c r="C30" s="26" t="str">
        <x:v>Local-resource hybrid</x:v>
      </x:c>
      <x:c r="D30" s="57" t="n">
        <x:f>COUNTIF(H7:H24,"&gt;=1")</x:f>
        <x:v>11</x:v>
      </x:c>
      <x:c r="E30" s="26"/>
      <x:c r="F30" s="26"/>
      <x:c r="G30" s="26"/>
      <x:c r="H30" s="26"/>
      <x:c r="I30" s="26"/>
      <x:c r="J30" s="26"/>
    </x:row>
    <x:row r="31">
      <x:c r="B31" s="26" t="str">
        <x:v>L5</x:v>
      </x:c>
      <x:c r="C31" s="26" t="str">
        <x:v>Prepared metropolitan anchor</x:v>
      </x:c>
      <x:c r="D31" s="57" t="n">
        <x:f>COUNTIF(I7:I24,"&gt;=1")</x:f>
        <x:v>13</x:v>
      </x:c>
      <x:c r="E31" s="26"/>
      <x:c r="F31" s="26"/>
      <x:c r="G31" s="26"/>
      <x:c r="H31" s="26"/>
      <x:c r="I31" s="26"/>
      <x:c r="J31" s="26"/>
    </x:row>
    <x:row r="32">
      <x:c r="B32" s="26" t="str">
        <x:v>L6</x:v>
      </x:c>
      <x:c r="C32" s="26" t="str">
        <x:v>Strategic firm microreactor</x:v>
      </x:c>
      <x:c r="D32" s="57" t="n">
        <x:f>COUNTIF(J7:J24,"&gt;=1")</x:f>
        <x:v>13</x:v>
      </x:c>
      <x:c r="E32" s="26"/>
      <x:c r="F32" s="26"/>
      <x:c r="G32" s="26"/>
      <x:c r="H32" s="26"/>
      <x:c r="I32" s="26"/>
      <x:c r="J32" s="26"/>
    </x:row>
  </x:sheetData>
  <x:mergeCells>
    <x:mergeCell ref="B2:J2"/>
    <x:mergeCell ref="B4:J4"/>
  </x:mergeCells>
  <x:conditionalFormatting sqref="E7:J24">
    <x:cfRule type="cellIs" dxfId="0" priority="1" operator="lessThan">
      <x:formula>1</x:formula>
    </x:cfRule>
    <x:cfRule type="cellIs" dxfId="1" priority="2" operator="greaterThanOrEqual">
      <x:formula>1</x:formula>
    </x:cfRule>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24" hidden="0" customWidth="1"/>
    <x:col min="3" max="3" width="35" hidden="0" customWidth="1"/>
    <x:col min="4" max="4" width="16" hidden="0" customWidth="1"/>
    <x:col min="5" max="5" width="18" hidden="0" customWidth="1"/>
    <x:col min="6" max="6" width="20" hidden="0" customWidth="1"/>
    <x:col min="7" max="7" width="20" hidden="0" customWidth="1"/>
    <x:col min="8" max="8" width="24" hidden="0" customWidth="1"/>
  </x:cols>
  <x:sheetData>
    <x:row r="2">
      <x:c r="B2" s="23" t="str">
        <x:v>Force portfolio</x:v>
      </x:c>
      <x:c r="C2" s="23"/>
      <x:c r="D2" s="23"/>
      <x:c r="E2" s="23"/>
      <x:c r="F2" s="23"/>
      <x:c r="G2" s="23"/>
      <x:c r="H2" s="23"/>
      <x:c r="I2" s="23"/>
      <x:c r="J2" s="23"/>
    </x:row>
    <x:row r="3">
      <x:c r="B3" s="24"/>
      <x:c r="C3" s="24"/>
      <x:c r="D3" s="24"/>
      <x:c r="E3" s="24"/>
      <x:c r="F3" s="24"/>
      <x:c r="G3" s="24"/>
      <x:c r="H3" s="24"/>
      <x:c r="I3" s="99"/>
      <x:c r="J3" s="99"/>
    </x:row>
    <x:row r="4">
      <x:c r="B4" s="25" t="str">
        <x:v>A common service spine accepts several energy and rejection packages; the force does not standardize one universal source.</x:v>
      </x:c>
      <x:c r="C4" s="25"/>
      <x:c r="D4" s="25"/>
      <x:c r="E4" s="25"/>
      <x:c r="F4" s="25"/>
      <x:c r="G4" s="25"/>
      <x:c r="H4" s="25"/>
      <x:c r="I4" s="25"/>
      <x:c r="J4" s="25"/>
    </x:row>
    <x:row r="5">
      <x:c r="B5" s="26"/>
      <x:c r="C5" s="26"/>
      <x:c r="D5" s="26"/>
      <x:c r="E5" s="26"/>
      <x:c r="F5" s="26"/>
      <x:c r="G5" s="26"/>
      <x:c r="H5" s="26"/>
      <x:c r="I5" s="100"/>
      <x:c r="J5" s="100"/>
    </x:row>
    <x:row r="6">
      <x:c r="B6" s="27" t="str">
        <x:v>Organic PTS-50 kit allocation</x:v>
      </x:c>
      <x:c r="C6" s="28" t="str">
        <x:v>Organic PTS-50 kit allocation</x:v>
      </x:c>
      <x:c r="D6" s="28" t="str">
        <x:v>Organic PTS-50 kit allocation</x:v>
      </x:c>
      <x:c r="E6" s="28" t="str">
        <x:v>Organic PTS-50 kit allocation</x:v>
      </x:c>
      <x:c r="F6" s="28" t="str">
        <x:v>Organic PTS-50 kit allocation</x:v>
      </x:c>
      <x:c r="G6" s="28" t="str">
        <x:v>Organic PTS-50 kit allocation</x:v>
      </x:c>
      <x:c r="H6" s="29" t="str">
        <x:v>Organic PTS-50 kit allocation</x:v>
      </x:c>
      <x:c r="I6" s="100"/>
      <x:c r="J6" s="100"/>
    </x:row>
    <x:row r="7">
      <x:c r="B7" s="14" t="str">
        <x:v>Code</x:v>
      </x:c>
      <x:c r="C7" s="14" t="str">
        <x:v>Lineage</x:v>
      </x:c>
      <x:c r="D7" s="14" t="str">
        <x:v>Kits per group</x:v>
      </x:c>
      <x:c r="E7" s="14" t="str">
        <x:v>National kits</x:v>
      </x:c>
      <x:c r="F7" s="14" t="str">
        <x:v>Direct equipment $M/group</x:v>
      </x:c>
      <x:c r="G7" s="14" t="str">
        <x:v>Dry t/group</x:v>
      </x:c>
      <x:c r="H7" s="14" t="str">
        <x:v>Seven-day wet liquid t/group</x:v>
      </x:c>
      <x:c r="I7" s="100"/>
      <x:c r="J7" s="100"/>
    </x:row>
    <x:row r="8">
      <x:c r="B8" s="26" t="str">
        <x:v>L1</x:v>
      </x:c>
      <x:c r="C8" s="26" t="str">
        <x:v>Organic multi-liquid bridge</x:v>
      </x:c>
      <x:c r="D8" s="45" t="n">
        <x:v>6</x:v>
      </x:c>
      <x:c r="E8" s="66" t="n">
        <x:f>D8*Assumptions!C19</x:f>
        <x:v>432</x:v>
      </x:c>
      <x:c r="F8" s="66" t="n">
        <x:f>D8*Lineages!AE7</x:f>
        <x:v>3120</x:v>
      </x:c>
      <x:c r="G8" s="66" t="n">
        <x:f>D8*Lineages!O7</x:f>
        <x:v>3480</x:v>
      </x:c>
      <x:c r="H8" s="66" t="n">
        <x:f>D8*Lineages!P7</x:f>
        <x:v>328.7405025125628</x:v>
      </x:c>
      <x:c r="I8" s="100"/>
      <x:c r="J8" s="100"/>
    </x:row>
    <x:row r="9">
      <x:c r="B9" s="26" t="str">
        <x:v>L2</x:v>
      </x:c>
      <x:c r="C9" s="26" t="str">
        <x:v>Conditioned gas with liquid bridge</x:v>
      </x:c>
      <x:c r="D9" s="45" t="n">
        <x:v>2</x:v>
      </x:c>
      <x:c r="E9" s="66" t="n">
        <x:f>D9*Assumptions!C19</x:f>
        <x:v>144</x:v>
      </x:c>
      <x:c r="F9" s="66" t="n">
        <x:f>D9*Lineages!AE8</x:f>
        <x:v>1300</x:v>
      </x:c>
      <x:c r="G9" s="66" t="n">
        <x:f>D9*Lineages!O8</x:f>
        <x:v>1280</x:v>
      </x:c>
      <x:c r="H9" s="66" t="n">
        <x:f>D9*Lineages!P8</x:f>
        <x:v>13.276058755315038</x:v>
      </x:c>
      <x:c r="I9" s="100"/>
      <x:c r="J9" s="100"/>
    </x:row>
    <x:row r="10">
      <x:c r="B10" s="26" t="str">
        <x:v>L3</x:v>
      </x:c>
      <x:c r="C10" s="26" t="str">
        <x:v>Transported storage-only</x:v>
      </x:c>
      <x:c r="D10" s="45" t="n">
        <x:v>0</x:v>
      </x:c>
      <x:c r="E10" s="66" t="n">
        <x:f>D10*Assumptions!C19</x:f>
        <x:v>0</x:v>
      </x:c>
      <x:c r="F10" s="66" t="n">
        <x:f>D10*Lineages!AE9</x:f>
        <x:v>0</x:v>
      </x:c>
      <x:c r="G10" s="66" t="n">
        <x:f>D10*Lineages!O9</x:f>
        <x:v>0</x:v>
      </x:c>
      <x:c r="H10" s="66" t="n">
        <x:f>D10*Lineages!P9</x:f>
        <x:v>0</x:v>
      </x:c>
      <x:c r="I10" s="100"/>
      <x:c r="J10" s="100"/>
    </x:row>
    <x:row r="11">
      <x:c r="B11" s="26" t="str">
        <x:v>L4</x:v>
      </x:c>
      <x:c r="C11" s="26" t="str">
        <x:v>Local-resource hybrid</x:v>
      </x:c>
      <x:c r="D11" s="45" t="n">
        <x:v>2</x:v>
      </x:c>
      <x:c r="E11" s="66" t="n">
        <x:f>D11*Assumptions!C19</x:f>
        <x:v>144</x:v>
      </x:c>
      <x:c r="F11" s="66" t="n">
        <x:f>D11*Lineages!AE10</x:f>
        <x:v>1600</x:v>
      </x:c>
      <x:c r="G11" s="66" t="n">
        <x:f>D11*Lineages!O10</x:f>
        <x:v>1720</x:v>
      </x:c>
      <x:c r="H11" s="66" t="n">
        <x:f>D11*Lineages!P10</x:f>
        <x:v>43.83206700167504</x:v>
      </x:c>
      <x:c r="I11" s="100"/>
      <x:c r="J11" s="100"/>
    </x:row>
    <x:row r="12">
      <x:c r="B12" s="26" t="str">
        <x:v>L5</x:v>
      </x:c>
      <x:c r="C12" s="26" t="str">
        <x:v>Prepared metropolitan anchor</x:v>
      </x:c>
      <x:c r="D12" s="45" t="n">
        <x:v>2</x:v>
      </x:c>
      <x:c r="E12" s="66" t="n">
        <x:f>D12*Assumptions!C19</x:f>
        <x:v>144</x:v>
      </x:c>
      <x:c r="F12" s="66" t="n">
        <x:f>D12*Lineages!AE11</x:f>
        <x:v>1100</x:v>
      </x:c>
      <x:c r="G12" s="66" t="n">
        <x:f>D12*Lineages!O11</x:f>
        <x:v>1100</x:v>
      </x:c>
      <x:c r="H12" s="66" t="n">
        <x:f>D12*Lineages!P11</x:f>
        <x:v>21.916033500837518</x:v>
      </x:c>
      <x:c r="I12" s="100"/>
      <x:c r="J12" s="100"/>
    </x:row>
    <x:row r="13">
      <x:c r="B13" s="26" t="str">
        <x:v>L6</x:v>
      </x:c>
      <x:c r="C13" s="26" t="str">
        <x:v>Strategic firm microreactor</x:v>
      </x:c>
      <x:c r="D13" s="45" t="n">
        <x:v>0</x:v>
      </x:c>
      <x:c r="E13" s="66" t="n">
        <x:f>D13*Assumptions!C19</x:f>
        <x:v>0</x:v>
      </x:c>
      <x:c r="F13" s="66" t="n">
        <x:f>D13*Lineages!AE12</x:f>
        <x:v>0</x:v>
      </x:c>
      <x:c r="G13" s="66" t="n">
        <x:f>D13*Lineages!O12</x:f>
        <x:v>0</x:v>
      </x:c>
      <x:c r="H13" s="66" t="n">
        <x:f>D13*Lineages!P12</x:f>
        <x:v>0</x:v>
      </x:c>
      <x:c r="I13" s="100"/>
      <x:c r="J13" s="100"/>
    </x:row>
    <x:row r="14">
      <x:c r="B14" s="67" t="str">
        <x:v>Organic group total</x:v>
      </x:c>
      <x:c r="C14" s="67" t="str"/>
      <x:c r="D14" s="67" t="n">
        <x:f>SUM(D8:D13)</x:f>
        <x:v>12</x:v>
      </x:c>
      <x:c r="E14" s="68" t="n">
        <x:f>SUM(E8:E13)</x:f>
        <x:v>864</x:v>
      </x:c>
      <x:c r="F14" s="68" t="n">
        <x:f>SUM(F8:F13)</x:f>
        <x:v>7120</x:v>
      </x:c>
      <x:c r="G14" s="68" t="n">
        <x:f>SUM(G8:G13)</x:f>
        <x:v>7580</x:v>
      </x:c>
      <x:c r="H14" s="68" t="n">
        <x:f>SUM(H8:H13)</x:f>
        <x:v>407.7646617703904</x:v>
      </x:c>
      <x:c r="I14" s="100"/>
      <x:c r="J14" s="100"/>
    </x:row>
    <x:row r="15">
      <x:c r="B15" s="26" t="str">
        <x:v>Revised PTS-50 dry mass</x:v>
      </x:c>
      <x:c r="C15" s="69" t="n">
        <x:f>G14+Assumptions!C38</x:f>
        <x:v>12200</x:v>
      </x:c>
      <x:c r="D15" s="26" t="str">
        <x:v>t</x:v>
      </x:c>
      <x:c r="E15" s="26" t="str">
        <x:v>non-cell formation plus configured energy packages</x:v>
      </x:c>
      <x:c r="F15" s="26"/>
      <x:c r="G15" s="26"/>
      <x:c r="H15" s="26"/>
      <x:c r="I15" s="100"/>
      <x:c r="J15" s="100"/>
    </x:row>
    <x:row r="16">
      <x:c r="B16" s="26" t="str">
        <x:v>Revised PTS-50 deployed crew</x:v>
      </x:c>
      <x:c r="C16" s="69" t="n">
        <x:f>SUMPRODUCT(D8:D13,Lineages!AG7:AG12)+Assumptions!C39</x:f>
        <x:v>2852</x:v>
      </x:c>
      <x:c r="D16" s="26" t="str">
        <x:v>people</x:v>
      </x:c>
      <x:c r="E16" s="26" t="str">
        <x:v>non-cell formation plus lineage-specific cell crews</x:v>
      </x:c>
      <x:c r="F16" s="26"/>
      <x:c r="G16" s="26"/>
      <x:c r="H16" s="26"/>
      <x:c r="I16" s="100"/>
      <x:c r="J16" s="100"/>
    </x:row>
    <x:row r="17">
      <x:c r="B17" s="27" t="str">
        <x:v>Temporal echelons and control boundary</x:v>
      </x:c>
      <x:c r="C17" s="28" t="str">
        <x:v>Temporal echelons and control boundary</x:v>
      </x:c>
      <x:c r="D17" s="28" t="str">
        <x:v>Temporal echelons and control boundary</x:v>
      </x:c>
      <x:c r="E17" s="28" t="str">
        <x:v>Temporal echelons and control boundary</x:v>
      </x:c>
      <x:c r="F17" s="28" t="str">
        <x:v>Temporal echelons and control boundary</x:v>
      </x:c>
      <x:c r="G17" s="28" t="str">
        <x:v>Temporal echelons and control boundary</x:v>
      </x:c>
      <x:c r="H17" s="29" t="str">
        <x:v>Temporal echelons and control boundary</x:v>
      </x:c>
      <x:c r="I17" s="100"/>
      <x:c r="J17" s="100"/>
    </x:row>
    <x:row r="18">
      <x:c r="B18" s="14" t="str">
        <x:v>Echelon</x:v>
      </x:c>
      <x:c r="C18" s="14" t="str">
        <x:v>Time</x:v>
      </x:c>
      <x:c r="D18" s="14" t="str">
        <x:v>Owned capability</x:v>
      </x:c>
      <x:c r="E18" s="14" t="str">
        <x:v>Dependency</x:v>
      </x:c>
      <x:c r="F18" s="14" t="str">
        <x:v>Purpose</x:v>
      </x:c>
      <x:c r="G18" s="14" t="str">
        <x:v>Failure boundary</x:v>
      </x:c>
      <x:c r="H18" s="14" t="str">
        <x:v>Disposition</x:v>
      </x:c>
      <x:c r="I18" s="100"/>
      <x:c r="J18" s="100"/>
    </x:row>
    <x:row r="19" ht="66" customHeight="1">
      <x:c r="B19" s="43" t="str">
        <x:v>T0 black-start bridge</x:v>
      </x:c>
      <x:c r="C19" s="43" t="str">
        <x:v>0–6 h</x:v>
      </x:c>
      <x:c r="D19" s="43" t="str">
        <x:v>cell-local storage, controls and critical micro-power</x:v>
      </x:c>
      <x:c r="E19" s="43" t="str">
        <x:v>none outside cell</x:v>
      </x:c>
      <x:c r="F19" s="43" t="str">
        <x:v>start safely and protect no-break loads</x:v>
      </x:c>
      <x:c r="G19" s="43" t="str">
        <x:v>storage fire or control loss</x:v>
      </x:c>
      <x:c r="H19" s="43" t="str">
        <x:v>organic to every cell</x:v>
      </x:c>
      <x:c r="I19" s="100"/>
      <x:c r="J19" s="100"/>
    </x:row>
    <x:row r="20" ht="66" customHeight="1">
      <x:c r="B20" s="43" t="str">
        <x:v>T1 rapid utility bridge</x:v>
      </x:c>
      <x:c r="C20" s="43" t="str">
        <x:v>6–72 h</x:v>
      </x:c>
      <x:c r="D20" s="43" t="str">
        <x:v>liquid, gas, local and anchor kits selected by theater</x:v>
      </x:c>
      <x:c r="E20" s="43" t="str">
        <x:v>source-specific</x:v>
      </x:c>
      <x:c r="F20" s="43" t="str">
        <x:v>establish complete occupied-building service</x:v>
      </x:c>
      <x:c r="G20" s="43" t="str">
        <x:v>lineage denial or receiver incompatibility</x:v>
      </x:c>
      <x:c r="H20" s="43" t="str">
        <x:v>organic mixed group</x:v>
      </x:c>
      <x:c r="I20" s="100"/>
      <x:c r="J20" s="100"/>
    </x:row>
    <x:row r="21" ht="66" customHeight="1">
      <x:c r="B21" s="43" t="str">
        <x:v>T2 seven-day endurance</x:v>
      </x:c>
      <x:c r="C21" s="43" t="str">
        <x:v>day 2–7</x:v>
      </x:c>
      <x:c r="D21" s="43" t="str">
        <x:v>segregated inventories and prepared/local transitions</x:v>
      </x:c>
      <x:c r="E21" s="43" t="str">
        <x:v>verified replenishment or fixed source</x:v>
      </x:c>
      <x:c r="F21" s="43" t="str">
        <x:v>avoid continuous liquid convoy as default</x:v>
      </x:c>
      <x:c r="G21" s="43" t="str">
        <x:v>correlated supplier or interface loss</x:v>
      </x:c>
      <x:c r="H21" s="43" t="str">
        <x:v>mission-compiled packages</x:v>
      </x:c>
      <x:c r="I21" s="100"/>
      <x:c r="J21" s="100"/>
    </x:row>
    <x:row r="22" ht="66" customHeight="1">
      <x:c r="B22" s="43" t="str">
        <x:v>T3 strategic firm service</x:v>
      </x:c>
      <x:c r="C22" s="43" t="str">
        <x:v>after day 5</x:v>
      </x:c>
      <x:c r="D22" s="43" t="str">
        <x:v>pre-sited or separately moved firm-source attachment</x:v>
      </x:c>
      <x:c r="E22" s="43" t="str">
        <x:v>licensed/surveyed site and security</x:v>
      </x:c>
      <x:c r="F22" s="43" t="str">
        <x:v>long campaign and second event</x:v>
      </x:c>
      <x:c r="G22" s="43" t="str">
        <x:v>late arrival, site hold or heat sink loss</x:v>
      </x:c>
      <x:c r="H22" s="43" t="str">
        <x:v>national pool; never arrival credit</x:v>
      </x:c>
      <x:c r="I22" s="100"/>
      <x:c r="J22" s="100"/>
    </x:row>
  </x:sheetData>
  <x:mergeCells>
    <x:mergeCell ref="B2:J2"/>
    <x:mergeCell ref="B4:J4"/>
    <x:mergeCell ref="B6:H6"/>
    <x:mergeCell ref="B17:H17"/>
  </x:mergeCells>
  <x:pageMargins left="0.7" right="0.7" top="0.75" bottom="0.75" header="0.3" footer="0.3"/>
</x:worksheet>
</file>

<file path=xl/worksheets/sheet8.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34" hidden="0" customWidth="1"/>
    <x:col min="3" max="3" width="48" hidden="0" customWidth="1"/>
    <x:col min="4" max="4" width="20" hidden="0" customWidth="1"/>
    <x:col min="5" max="5" width="20" hidden="0" customWidth="1"/>
    <x:col min="6" max="6" width="20" hidden="0" customWidth="1"/>
    <x:col min="7" max="7" width="24" hidden="0" customWidth="1"/>
    <x:col min="8" max="8" width="52" hidden="0" customWidth="1"/>
  </x:cols>
  <x:sheetData>
    <x:row r="2">
      <x:c r="B2" s="23" t="str">
        <x:v>Twenty-five-year program comparator</x:v>
      </x:c>
      <x:c r="C2" s="23"/>
      <x:c r="D2" s="23"/>
      <x:c r="E2" s="23"/>
      <x:c r="F2" s="23"/>
      <x:c r="G2" s="23"/>
      <x:c r="H2" s="23"/>
      <x:c r="I2" s="23"/>
      <x:c r="J2" s="23"/>
    </x:row>
    <x:row r="3">
      <x:c r="B3" s="24"/>
      <x:c r="C3" s="24"/>
      <x:c r="D3" s="24"/>
      <x:c r="E3" s="24"/>
      <x:c r="F3" s="24"/>
      <x:c r="G3" s="24"/>
      <x:c r="H3" s="24"/>
      <x:c r="I3" s="99"/>
      <x:c r="J3" s="99"/>
    </x:row>
    <x:row r="4">
      <x:c r="B4" s="25" t="str">
        <x:v>Constant 2026 dollars. Wet energy purchases, permanent reconstruction and benefits are excluded.</x:v>
      </x:c>
      <x:c r="C4" s="25"/>
      <x:c r="D4" s="25"/>
      <x:c r="E4" s="25"/>
      <x:c r="F4" s="25"/>
      <x:c r="G4" s="25"/>
      <x:c r="H4" s="25"/>
      <x:c r="I4" s="25"/>
      <x:c r="J4" s="25"/>
    </x:row>
    <x:row r="5">
      <x:c r="B5" s="26"/>
      <x:c r="C5" s="26"/>
      <x:c r="D5" s="26"/>
      <x:c r="E5" s="26"/>
      <x:c r="F5" s="26"/>
      <x:c r="G5" s="26"/>
      <x:c r="H5" s="26"/>
      <x:c r="I5" s="100"/>
      <x:c r="J5" s="100"/>
    </x:row>
    <x:row r="6">
      <x:c r="B6" s="27" t="str">
        <x:v>Configured national portfolio</x:v>
      </x:c>
      <x:c r="C6" s="28" t="str">
        <x:v>Configured national portfolio</x:v>
      </x:c>
      <x:c r="D6" s="28" t="str">
        <x:v>Configured national portfolio</x:v>
      </x:c>
      <x:c r="E6" s="29" t="str">
        <x:v>Configured national portfolio</x:v>
      </x:c>
      <x:c r="F6" s="26"/>
      <x:c r="G6" s="26"/>
      <x:c r="H6" s="26"/>
      <x:c r="I6" s="100"/>
      <x:c r="J6" s="100"/>
    </x:row>
    <x:row r="7">
      <x:c r="B7" s="14" t="str">
        <x:v>Account</x:v>
      </x:c>
      <x:c r="C7" s="14" t="str">
        <x:v>Formula basis</x:v>
      </x:c>
      <x:c r="D7" s="14" t="str">
        <x:v>Cost $M</x:v>
      </x:c>
      <x:c r="E7" s="14" t="str">
        <x:v>Boundary</x:v>
      </x:c>
      <x:c r="F7" s="26"/>
      <x:c r="G7" s="26"/>
      <x:c r="H7" s="26"/>
      <x:c r="I7" s="100"/>
      <x:c r="J7" s="100"/>
    </x:row>
    <x:row r="8">
      <x:c r="B8" s="26" t="str">
        <x:v>Configured organic PTS-50 fleet</x:v>
      </x:c>
      <x:c r="C8" s="26" t="str">
        <x:v>72 × (non-cell equipment + mixed energy kits) × 1.20</x:v>
      </x:c>
      <x:c r="D8" s="75" t="n">
        <x:f>Assumptions!C19*(Assumptions!C23+'Force Portfolio'!F14)*Assumptions!C24</x:f>
        <x:v>1016755.2</x:v>
      </x:c>
      <x:c r="E8" s="26" t="str">
        <x:v>includes 864 common service spines and organic lineage kits</x:v>
      </x:c>
      <x:c r="F8" s="26"/>
      <x:c r="G8" s="26"/>
      <x:c r="H8" s="26"/>
      <x:c r="I8" s="100"/>
      <x:c r="J8" s="100"/>
    </x:row>
    <x:row r="9">
      <x:c r="B9" s="26" t="str">
        <x:v>Depot storage-only package pool</x:v>
      </x:c>
      <x:c r="C9" s="26" t="str">
        <x:v>36 × L3 direct cost × 1.20</x:v>
      </x:c>
      <x:c r="D9" s="75" t="n">
        <x:f>Assumptions!C29*Lineages!AE9*Assumptions!C24</x:f>
        <x:v>73440</x:v>
      </x:c>
      <x:c r="E9" s="26" t="str">
        <x:v>special-case and experiment pool; not organic mass</x:v>
      </x:c>
      <x:c r="F9" s="26"/>
      <x:c r="G9" s="26"/>
      <x:c r="H9" s="26"/>
      <x:c r="I9" s="100"/>
      <x:c r="J9" s="100"/>
    </x:row>
    <x:row r="10">
      <x:c r="B10" s="26" t="str">
        <x:v>Strategic firm-source pool</x:v>
      </x:c>
      <x:c r="C10" s="26" t="str">
        <x:v>48 configured attachments</x:v>
      </x:c>
      <x:c r="D10" s="75" t="n">
        <x:f>Assumptions!C30*Assumptions!C31</x:f>
        <x:v>86400</x:v>
      </x:c>
      <x:c r="E10" s="26" t="str">
        <x:v>no 48-hour arrival credit</x:v>
      </x:c>
      <x:c r="F10" s="26"/>
      <x:c r="G10" s="26"/>
      <x:c r="H10" s="26"/>
      <x:c r="I10" s="100"/>
      <x:c r="J10" s="100"/>
    </x:row>
    <x:row r="11">
      <x:c r="B11" s="26" t="str">
        <x:v>Prepared metropolitan works</x:v>
      </x:c>
      <x:c r="C11" s="26" t="str">
        <x:v>24 × $9B</x:v>
      </x:c>
      <x:c r="D11" s="75" t="n">
        <x:f>Assumptions!C21*Assumptions!C28</x:f>
        <x:v>216000</x:v>
      </x:c>
      <x:c r="E11" s="26" t="str">
        <x:v>building, anchor, utility and rejection interfaces</x:v>
      </x:c>
      <x:c r="F11" s="26"/>
      <x:c r="G11" s="26"/>
      <x:c r="H11" s="26"/>
      <x:c r="I11" s="100"/>
      <x:c r="J11" s="100"/>
    </x:row>
    <x:row r="12">
      <x:c r="B12" s="26" t="str">
        <x:v>Twenty-five-year operations</x:v>
      </x:c>
      <x:c r="C12" s="26" t="str">
        <x:v>72 × $850M/year × 25 years</x:v>
      </x:c>
      <x:c r="D12" s="75" t="n">
        <x:f>Assumptions!C19*Assumptions!C25*Assumptions!C22</x:f>
        <x:v>1530000</x:v>
      </x:c>
      <x:c r="E12" s="26" t="str">
        <x:v>qualified crews, exercises, depots and maintenance</x:v>
      </x:c>
      <x:c r="F12" s="26"/>
      <x:c r="G12" s="26"/>
      <x:c r="H12" s="26"/>
      <x:c r="I12" s="100"/>
      <x:c r="J12" s="100"/>
    </x:row>
    <x:row r="13">
      <x:c r="B13" s="26" t="str">
        <x:v>R&amp;D and industrialization</x:v>
      </x:c>
      <x:c r="C13" s="26" t="str">
        <x:v>declared portfolio</x:v>
      </x:c>
      <x:c r="D13" s="75" t="n">
        <x:f>Assumptions!C26</x:f>
        <x:v>320000</x:v>
      </x:c>
      <x:c r="E13" s="26" t="str">
        <x:v>six lineages, rejection, connectors and production</x:v>
      </x:c>
      <x:c r="F13" s="26"/>
      <x:c r="G13" s="26"/>
      <x:c r="H13" s="26"/>
      <x:c r="I13" s="100"/>
      <x:c r="J13" s="100"/>
    </x:row>
    <x:row r="14">
      <x:c r="B14" s="26" t="str">
        <x:v>Bases, schools and workforce</x:v>
      </x:c>
      <x:c r="C14" s="26" t="str">
        <x:v>declared establishment</x:v>
      </x:c>
      <x:c r="D14" s="75" t="n">
        <x:f>Assumptions!C27</x:f>
        <x:v>300000</x:v>
      </x:c>
      <x:c r="E14" s="26" t="str">
        <x:v>separate from operating formations</x:v>
      </x:c>
      <x:c r="F14" s="26"/>
      <x:c r="G14" s="26"/>
      <x:c r="H14" s="26"/>
      <x:c r="I14" s="100"/>
      <x:c r="J14" s="100"/>
    </x:row>
    <x:row r="15">
      <x:c r="B15" s="76" t="str">
        <x:v>Total national comparator</x:v>
      </x:c>
      <x:c r="C15" s="76" t="str"/>
      <x:c r="D15" s="77" t="n">
        <x:f>SUM(D8:D14)</x:f>
        <x:v>3542595.2</x:v>
      </x:c>
      <x:c r="E15" s="76" t="str"/>
      <x:c r="F15" s="26"/>
      <x:c r="G15" s="26"/>
      <x:c r="H15" s="26"/>
      <x:c r="I15" s="100"/>
      <x:c r="J15" s="100"/>
    </x:row>
    <x:row r="16">
      <x:c r="B16" s="26"/>
      <x:c r="C16" s="26"/>
      <x:c r="D16" s="26"/>
      <x:c r="E16" s="26"/>
      <x:c r="F16" s="26"/>
      <x:c r="G16" s="26"/>
      <x:c r="H16" s="26"/>
      <x:c r="I16" s="100"/>
      <x:c r="J16" s="100"/>
    </x:row>
    <x:row r="17">
      <x:c r="B17" s="26"/>
      <x:c r="C17" s="26"/>
      <x:c r="D17" s="26"/>
      <x:c r="E17" s="26"/>
      <x:c r="F17" s="26"/>
      <x:c r="G17" s="26"/>
      <x:c r="H17" s="26"/>
      <x:c r="I17" s="100"/>
      <x:c r="J17" s="100"/>
    </x:row>
    <x:row r="18">
      <x:c r="B18" s="27" t="str">
        <x:v>Lineage lifecycle comparator</x:v>
      </x:c>
      <x:c r="C18" s="28" t="str">
        <x:v>Lineage lifecycle comparator</x:v>
      </x:c>
      <x:c r="D18" s="28" t="str">
        <x:v>Lineage lifecycle comparator</x:v>
      </x:c>
      <x:c r="E18" s="28" t="str">
        <x:v>Lineage lifecycle comparator</x:v>
      </x:c>
      <x:c r="F18" s="28" t="str">
        <x:v>Lineage lifecycle comparator</x:v>
      </x:c>
      <x:c r="G18" s="28" t="str">
        <x:v>Lineage lifecycle comparator</x:v>
      </x:c>
      <x:c r="H18" s="29" t="str">
        <x:v>Lineage lifecycle comparator</x:v>
      </x:c>
      <x:c r="I18" s="100"/>
      <x:c r="J18" s="100"/>
    </x:row>
    <x:row r="19">
      <x:c r="B19" s="14" t="str">
        <x:v>Code</x:v>
      </x:c>
      <x:c r="C19" s="14" t="str">
        <x:v>Lineage</x:v>
      </x:c>
      <x:c r="D19" s="14" t="str">
        <x:v>Direct equipment $M</x:v>
      </x:c>
      <x:c r="E19" s="14" t="str">
        <x:v>Annual O&amp;S $M/cell</x:v>
      </x:c>
      <x:c r="F19" s="14" t="str">
        <x:v>Fixed works $M/cell</x:v>
      </x:c>
      <x:c r="G19" s="14" t="str">
        <x:v>25-year configured lifecycle $M/cell</x:v>
      </x:c>
      <x:c r="H19" s="14" t="str">
        <x:v>Excludes</x:v>
      </x:c>
      <x:c r="I19" s="100"/>
      <x:c r="J19" s="100"/>
    </x:row>
    <x:row r="20" ht="34" customHeight="1">
      <x:c r="B20" s="43" t="str">
        <x:v>L1</x:v>
      </x:c>
      <x:c r="C20" s="43" t="str">
        <x:v>Organic multi-liquid bridge</x:v>
      </x:c>
      <x:c r="D20" s="75" t="n">
        <x:f>Lineages!AE7</x:f>
        <x:v>520</x:v>
      </x:c>
      <x:c r="E20" s="75" t="n">
        <x:v>45</x:v>
      </x:c>
      <x:c r="F20" s="75" t="n">
        <x:f>Lineages!AF7</x:f>
        <x:v>0</x:v>
      </x:c>
      <x:c r="G20" s="75" t="n">
        <x:f>D20*Assumptions!C24+E20*Assumptions!C22+F20</x:f>
        <x:v>1749</x:v>
      </x:c>
      <x:c r="H20" s="26" t="str">
        <x:v>energy purchases, disposal, permanent reconstruction and benefits</x:v>
      </x:c>
      <x:c r="I20" s="100"/>
      <x:c r="J20" s="100"/>
    </x:row>
    <x:row r="21" ht="34" customHeight="1">
      <x:c r="B21" s="43" t="str">
        <x:v>L2</x:v>
      </x:c>
      <x:c r="C21" s="43" t="str">
        <x:v>Conditioned gas with liquid bridge</x:v>
      </x:c>
      <x:c r="D21" s="75" t="n">
        <x:f>Lineages!AE8</x:f>
        <x:v>650</x:v>
      </x:c>
      <x:c r="E21" s="75" t="n">
        <x:v>50</x:v>
      </x:c>
      <x:c r="F21" s="75" t="n">
        <x:f>Lineages!AF8</x:f>
        <x:v>0</x:v>
      </x:c>
      <x:c r="G21" s="75" t="n">
        <x:f>D21*Assumptions!C24+E21*Assumptions!C22+F21</x:f>
        <x:v>2030</x:v>
      </x:c>
      <x:c r="H21" s="26" t="str">
        <x:v>energy purchases, disposal, permanent reconstruction and benefits</x:v>
      </x:c>
      <x:c r="I21" s="100"/>
      <x:c r="J21" s="100"/>
    </x:row>
    <x:row r="22" ht="34" customHeight="1">
      <x:c r="B22" s="43" t="str">
        <x:v>L3</x:v>
      </x:c>
      <x:c r="C22" s="43" t="str">
        <x:v>Transported storage-only</x:v>
      </x:c>
      <x:c r="D22" s="75" t="n">
        <x:f>Lineages!AE9</x:f>
        <x:v>1700</x:v>
      </x:c>
      <x:c r="E22" s="75" t="n">
        <x:v>35</x:v>
      </x:c>
      <x:c r="F22" s="75" t="n">
        <x:f>Lineages!AF9</x:f>
        <x:v>0</x:v>
      </x:c>
      <x:c r="G22" s="75" t="n">
        <x:f>D22*Assumptions!C24+E22*Assumptions!C22+F22</x:f>
        <x:v>2915</x:v>
      </x:c>
      <x:c r="H22" s="26" t="str">
        <x:v>energy purchases, disposal, permanent reconstruction and benefits</x:v>
      </x:c>
      <x:c r="I22" s="100"/>
      <x:c r="J22" s="100"/>
    </x:row>
    <x:row r="23" ht="34" customHeight="1">
      <x:c r="B23" s="43" t="str">
        <x:v>L4</x:v>
      </x:c>
      <x:c r="C23" s="43" t="str">
        <x:v>Local-resource hybrid</x:v>
      </x:c>
      <x:c r="D23" s="75" t="n">
        <x:f>Lineages!AE10</x:f>
        <x:v>800</x:v>
      </x:c>
      <x:c r="E23" s="75" t="n">
        <x:v>55</x:v>
      </x:c>
      <x:c r="F23" s="75" t="n">
        <x:f>Lineages!AF10</x:f>
        <x:v>0</x:v>
      </x:c>
      <x:c r="G23" s="75" t="n">
        <x:f>D23*Assumptions!C24+E23*Assumptions!C22+F23</x:f>
        <x:v>2335</x:v>
      </x:c>
      <x:c r="H23" s="26" t="str">
        <x:v>energy purchases, disposal, permanent reconstruction and benefits</x:v>
      </x:c>
      <x:c r="I23" s="100"/>
      <x:c r="J23" s="100"/>
    </x:row>
    <x:row r="24" ht="34" customHeight="1">
      <x:c r="B24" s="43" t="str">
        <x:v>L5</x:v>
      </x:c>
      <x:c r="C24" s="43" t="str">
        <x:v>Prepared metropolitan anchor</x:v>
      </x:c>
      <x:c r="D24" s="75" t="n">
        <x:f>Lineages!AE11</x:f>
        <x:v>550</x:v>
      </x:c>
      <x:c r="E24" s="75" t="n">
        <x:v>30</x:v>
      </x:c>
      <x:c r="F24" s="75" t="n">
        <x:f>Lineages!AF11</x:f>
        <x:v>250</x:v>
      </x:c>
      <x:c r="G24" s="75" t="n">
        <x:f>D24*Assumptions!C24+E24*Assumptions!C22+F24</x:f>
        <x:v>1660</x:v>
      </x:c>
      <x:c r="H24" s="26" t="str">
        <x:v>energy purchases, disposal, permanent reconstruction and benefits</x:v>
      </x:c>
      <x:c r="I24" s="100"/>
      <x:c r="J24" s="100"/>
    </x:row>
    <x:row r="25" ht="34" customHeight="1">
      <x:c r="B25" s="43" t="str">
        <x:v>L6</x:v>
      </x:c>
      <x:c r="C25" s="43" t="str">
        <x:v>Strategic firm microreactor</x:v>
      </x:c>
      <x:c r="D25" s="75" t="n">
        <x:f>Lineages!AE12</x:f>
        <x:v>1500</x:v>
      </x:c>
      <x:c r="E25" s="75" t="n">
        <x:v>80</x:v>
      </x:c>
      <x:c r="F25" s="75" t="n">
        <x:f>Lineages!AF12</x:f>
        <x:v>0</x:v>
      </x:c>
      <x:c r="G25" s="75" t="n">
        <x:f>D25*Assumptions!C24+E25*Assumptions!C22+F25</x:f>
        <x:v>3800</x:v>
      </x:c>
      <x:c r="H25" s="26" t="str">
        <x:v>energy purchases, disposal, permanent reconstruction and benefits</x:v>
      </x:c>
      <x:c r="I25" s="100"/>
      <x:c r="J25" s="100"/>
    </x:row>
  </x:sheetData>
  <x:mergeCells>
    <x:mergeCell ref="B2:J2"/>
    <x:mergeCell ref="B4:J4"/>
    <x:mergeCell ref="B6:E6"/>
    <x:mergeCell ref="B18:H18"/>
  </x:mergeCells>
  <x:pageMargins left="0.7" right="0.7" top="0.75" bottom="0.75" header="0.3" footer="0.3"/>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 hidden="0" customWidth="1"/>
    <x:col min="2" max="2" width="9" hidden="0" customWidth="1"/>
    <x:col min="3" max="3" width="34" hidden="0" customWidth="1"/>
    <x:col min="4" max="4" width="48" hidden="0" customWidth="1"/>
    <x:col min="5" max="5" width="46" hidden="0" customWidth="1"/>
    <x:col min="6" max="6" width="13" hidden="0" customWidth="1"/>
    <x:col min="7" max="7" width="30" hidden="0" customWidth="1"/>
  </x:cols>
  <x:sheetData>
    <x:row r="2">
      <x:c r="B2" s="23" t="str">
        <x:v>Representative evidence gates</x:v>
      </x:c>
      <x:c r="C2" s="23"/>
      <x:c r="D2" s="23"/>
      <x:c r="E2" s="23"/>
      <x:c r="F2" s="23"/>
      <x:c r="G2" s="23"/>
      <x:c r="H2" s="23"/>
      <x:c r="I2" s="23"/>
      <x:c r="J2" s="23"/>
    </x:row>
    <x:row r="3">
      <x:c r="B3" s="24"/>
      <x:c r="C3" s="24"/>
      <x:c r="D3" s="24"/>
      <x:c r="E3" s="24"/>
      <x:c r="F3" s="24"/>
      <x:c r="G3" s="24"/>
      <x:c r="H3" s="99"/>
      <x:c r="I3" s="99"/>
      <x:c r="J3" s="99"/>
    </x:row>
    <x:row r="4">
      <x:c r="B4" s="25" t="str">
        <x:v>Every gate is open. Passing arithmetic does not admit hardware or authorize rendering.</x:v>
      </x:c>
      <x:c r="C4" s="25"/>
      <x:c r="D4" s="25"/>
      <x:c r="E4" s="25"/>
      <x:c r="F4" s="25"/>
      <x:c r="G4" s="25"/>
      <x:c r="H4" s="25"/>
      <x:c r="I4" s="25"/>
      <x:c r="J4" s="25"/>
    </x:row>
    <x:row r="5">
      <x:c r="B5" s="26"/>
      <x:c r="C5" s="26"/>
      <x:c r="D5" s="26"/>
      <x:c r="E5" s="26"/>
      <x:c r="F5" s="26"/>
      <x:c r="G5" s="26"/>
      <x:c r="H5" s="100"/>
      <x:c r="I5" s="100"/>
      <x:c r="J5" s="100"/>
    </x:row>
    <x:row r="6">
      <x:c r="B6" s="14" t="str">
        <x:v>Gate</x:v>
      </x:c>
      <x:c r="C6" s="14" t="str">
        <x:v>Article or trial</x:v>
      </x:c>
      <x:c r="D6" s="14" t="str">
        <x:v>Measurement</x:v>
      </x:c>
      <x:c r="E6" s="14" t="str">
        <x:v>Configuration lock</x:v>
      </x:c>
      <x:c r="F6" s="14" t="str">
        <x:v>State</x:v>
      </x:c>
      <x:c r="G6" s="14" t="str">
        <x:v>Unlocks</x:v>
      </x:c>
      <x:c r="H6" s="100"/>
      <x:c r="I6" s="100"/>
      <x:c r="J6" s="100"/>
    </x:row>
    <x:row r="7" ht="44" customHeight="1">
      <x:c r="B7" s="43" t="str">
        <x:v>G01</x:v>
      </x:c>
      <x:c r="C7" s="43" t="str">
        <x:v>occupied-building load campaign</x:v>
      </x:c>
      <x:c r="D7" s="43" t="str">
        <x:v>net electrical and thermal trajectories by archetype</x:v>
      </x:c>
      <x:c r="E7" s="43" t="str">
        <x:v>service population, weather and building state</x:v>
      </x:c>
      <x:c r="F7" s="80" t="str">
        <x:v>OPEN</x:v>
      </x:c>
      <x:c r="G7" s="43" t="str">
        <x:v>service-load coefficients</x:v>
      </x:c>
      <x:c r="H7" s="100"/>
      <x:c r="I7" s="100"/>
      <x:c r="J7" s="100"/>
    </x:row>
    <x:row r="8" ht="44" customHeight="1">
      <x:c r="B8" s="43" t="str">
        <x:v>G02</x:v>
      </x:c>
      <x:c r="C8" s="43" t="str">
        <x:v>complete PTS-5 calorimetry</x:v>
      </x:c>
      <x:c r="D8" s="43" t="str">
        <x:v>net power, useful cooling and all rejected heat</x:v>
      </x:c>
      <x:c r="E8" s="43" t="str">
        <x:v>source, storage, auxiliaries and rejection</x:v>
      </x:c>
      <x:c r="F8" s="80" t="str">
        <x:v>OPEN</x:v>
      </x:c>
      <x:c r="G8" s="43" t="str">
        <x:v>site thermal balance</x:v>
      </x:c>
      <x:c r="H8" s="100"/>
      <x:c r="I8" s="100"/>
      <x:c r="J8" s="100"/>
    </x:row>
    <x:row r="9" ht="44" customHeight="1">
      <x:c r="B9" s="43" t="str">
        <x:v>G03</x:v>
      </x:c>
      <x:c r="C9" s="43" t="str">
        <x:v>liquid source endurance article</x:v>
      </x:c>
      <x:c r="D9" s="43" t="str">
        <x:v>heat rate, derating, emissions and seven-day inventory</x:v>
      </x:c>
      <x:c r="E9" s="43" t="str">
        <x:v>engine, fuel lot and controls</x:v>
      </x:c>
      <x:c r="F9" s="80" t="str">
        <x:v>OPEN</x:v>
      </x:c>
      <x:c r="G9" s="43" t="str">
        <x:v>L1 performance</x:v>
      </x:c>
      <x:c r="H9" s="100"/>
      <x:c r="I9" s="100"/>
      <x:c r="J9" s="100"/>
    </x:row>
    <x:row r="10" ht="44" customHeight="1">
      <x:c r="B10" s="43" t="str">
        <x:v>G04</x:v>
      </x:c>
      <x:c r="C10" s="43" t="str">
        <x:v>segregated liquid-lot hold</x:v>
      </x:c>
      <x:c r="D10" s="43" t="str">
        <x:v>continued safe service after one lot quarantine</x:v>
      </x:c>
      <x:c r="E10" s="43" t="str">
        <x:v>two supplier lineages and tanks</x:v>
      </x:c>
      <x:c r="F10" s="80" t="str">
        <x:v>OPEN</x:v>
      </x:c>
      <x:c r="G10" s="43" t="str">
        <x:v>liquid independence</x:v>
      </x:c>
      <x:c r="H10" s="100"/>
      <x:c r="I10" s="100"/>
      <x:c r="J10" s="100"/>
    </x:row>
    <x:row r="11" ht="44" customHeight="1">
      <x:c r="B11" s="43" t="str">
        <x:v>G05</x:v>
      </x:c>
      <x:c r="C11" s="43" t="str">
        <x:v>conditioned-gas article</x:v>
      </x:c>
      <x:c r="D11" s="43" t="str">
        <x:v>composition range, efficiency, pressure and freeze response</x:v>
      </x:c>
      <x:c r="E11" s="43" t="str">
        <x:v>gas conditioner, source and start path</x:v>
      </x:c>
      <x:c r="F11" s="80" t="str">
        <x:v>OPEN</x:v>
      </x:c>
      <x:c r="G11" s="43" t="str">
        <x:v>L2 performance</x:v>
      </x:c>
      <x:c r="H11" s="100"/>
      <x:c r="I11" s="100"/>
      <x:c r="J11" s="100"/>
    </x:row>
    <x:row r="12" ht="44" customHeight="1">
      <x:c r="B12" s="43" t="str">
        <x:v>G06</x:v>
      </x:c>
      <x:c r="C12" s="43" t="str">
        <x:v>gas-denial transition</x:v>
      </x:c>
      <x:c r="D12" s="43" t="str">
        <x:v>uninterrupted protected service on fallback</x:v>
      </x:c>
      <x:c r="E12" s="43" t="str">
        <x:v>battery, liquid bridge and controls</x:v>
      </x:c>
      <x:c r="F12" s="80" t="str">
        <x:v>OPEN</x:v>
      </x:c>
      <x:c r="G12" s="43" t="str">
        <x:v>gas failure behavior</x:v>
      </x:c>
      <x:c r="H12" s="100"/>
      <x:c r="I12" s="100"/>
      <x:c r="J12" s="100"/>
    </x:row>
    <x:row r="13" ht="44" customHeight="1">
      <x:c r="B13" s="43" t="str">
        <x:v>G07</x:v>
      </x:c>
      <x:c r="C13" s="43" t="str">
        <x:v>transported-storage article</x:v>
      </x:c>
      <x:c r="D13" s="43" t="str">
        <x:v>delivered MWh/t, fire isolation and discharge</x:v>
      </x:c>
      <x:c r="E13" s="43" t="str">
        <x:v>full transport packaging</x:v>
      </x:c>
      <x:c r="F13" s="80" t="str">
        <x:v>OPEN</x:v>
      </x:c>
      <x:c r="G13" s="43" t="str">
        <x:v>L3 mass and safety</x:v>
      </x:c>
      <x:c r="H13" s="100"/>
      <x:c r="I13" s="100"/>
      <x:c r="J13" s="100"/>
    </x:row>
    <x:row r="14" ht="44" customHeight="1">
      <x:c r="B14" s="43" t="str">
        <x:v>G08</x:v>
      </x:c>
      <x:c r="C14" s="43" t="str">
        <x:v>charged-fleet transport trial</x:v>
      </x:c>
      <x:c r="D14" s="43" t="str">
        <x:v>route, state-of-charge and damaged-module behavior</x:v>
      </x:c>
      <x:c r="E14" s="43" t="str">
        <x:v>carrier, pack and escorts</x:v>
      </x:c>
      <x:c r="F14" s="80" t="str">
        <x:v>OPEN</x:v>
      </x:c>
      <x:c r="G14" s="43" t="str">
        <x:v>storage deployment</x:v>
      </x:c>
      <x:c r="H14" s="100"/>
      <x:c r="I14" s="100"/>
      <x:c r="J14" s="100"/>
    </x:row>
    <x:row r="15" ht="44" customHeight="1">
      <x:c r="B15" s="43" t="str">
        <x:v>G09</x:v>
      </x:c>
      <x:c r="C15" s="43" t="str">
        <x:v>local-resource compiler</x:v>
      </x:c>
      <x:c r="D15" s="43" t="str">
        <x:v>qualified resource, setup and seven-day yield</x:v>
      </x:c>
      <x:c r="E15" s="43" t="str">
        <x:v>site and source provenance</x:v>
      </x:c>
      <x:c r="F15" s="80" t="str">
        <x:v>OPEN</x:v>
      </x:c>
      <x:c r="G15" s="43" t="str">
        <x:v>L4 availability</x:v>
      </x:c>
      <x:c r="H15" s="100"/>
      <x:c r="I15" s="100"/>
      <x:c r="J15" s="100"/>
    </x:row>
    <x:row r="16" ht="44" customHeight="1">
      <x:c r="B16" s="43" t="str">
        <x:v>G10</x:v>
      </x:c>
      <x:c r="C16" s="43" t="str">
        <x:v>resource-loss transition</x:v>
      </x:c>
      <x:c r="D16" s="43" t="str">
        <x:v>safe fallback without service-record loss</x:v>
      </x:c>
      <x:c r="E16" s="43" t="str">
        <x:v>source, storage and liquid bridge</x:v>
      </x:c>
      <x:c r="F16" s="80" t="str">
        <x:v>OPEN</x:v>
      </x:c>
      <x:c r="G16" s="43" t="str">
        <x:v>L4 denial behavior</x:v>
      </x:c>
      <x:c r="H16" s="100"/>
      <x:c r="I16" s="100"/>
      <x:c r="J16" s="100"/>
    </x:row>
    <x:row r="17" ht="44" customHeight="1">
      <x:c r="B17" s="43" t="str">
        <x:v>G11</x:v>
      </x:c>
      <x:c r="C17" s="43" t="str">
        <x:v>prepared-anchor trial</x:v>
      </x:c>
      <x:c r="D17" s="43" t="str">
        <x:v>released MW, cooling sink and authority handoff</x:v>
      </x:c>
      <x:c r="E17" s="43" t="str">
        <x:v>building, utility and mobile interface</x:v>
      </x:c>
      <x:c r="F17" s="80" t="str">
        <x:v>OPEN</x:v>
      </x:c>
      <x:c r="G17" s="43" t="str">
        <x:v>L5 performance</x:v>
      </x:c>
      <x:c r="H17" s="100"/>
      <x:c r="I17" s="100"/>
      <x:c r="J17" s="100"/>
    </x:row>
    <x:row r="18" ht="44" customHeight="1">
      <x:c r="B18" s="43" t="str">
        <x:v>G12</x:v>
      </x:c>
      <x:c r="C18" s="43" t="str">
        <x:v>anchor-loss trial</x:v>
      </x:c>
      <x:c r="D18" s="43" t="str">
        <x:v>island separation and bounded mobile bridge</x:v>
      </x:c>
      <x:c r="E18" s="43" t="str">
        <x:v>protection, storage and controls</x:v>
      </x:c>
      <x:c r="F18" s="80" t="str">
        <x:v>OPEN</x:v>
      </x:c>
      <x:c r="G18" s="43" t="str">
        <x:v>L5 denial behavior</x:v>
      </x:c>
      <x:c r="H18" s="100"/>
      <x:c r="I18" s="100"/>
      <x:c r="J18" s="100"/>
    </x:row>
    <x:row r="19" ht="44" customHeight="1">
      <x:c r="B19" s="43" t="str">
        <x:v>G13</x:v>
      </x:c>
      <x:c r="C19" s="43" t="str">
        <x:v>strategic firm-source integrated article</x:v>
      </x:c>
      <x:c r="D19" s="43" t="str">
        <x:v>net output, start, load following and residual heat</x:v>
      </x:c>
      <x:c r="E19" s="43" t="str">
        <x:v>reactor, shielding, storage and sink</x:v>
      </x:c>
      <x:c r="F19" s="80" t="str">
        <x:v>OPEN</x:v>
      </x:c>
      <x:c r="G19" s="43" t="str">
        <x:v>L6 performance</x:v>
      </x:c>
      <x:c r="H19" s="100"/>
      <x:c r="I19" s="100"/>
      <x:c r="J19" s="100"/>
    </x:row>
    <x:row r="20" ht="44" customHeight="1">
      <x:c r="B20" s="43" t="str">
        <x:v>G14</x:v>
      </x:c>
      <x:c r="C20" s="43" t="str">
        <x:v>licensed and surveyed arrival chain</x:v>
      </x:c>
      <x:c r="D20" s="43" t="str">
        <x:v>time from alert to released source</x:v>
      </x:c>
      <x:c r="E20" s="43" t="str">
        <x:v>site, route, security and civil authority</x:v>
      </x:c>
      <x:c r="F20" s="80" t="str">
        <x:v>OPEN</x:v>
      </x:c>
      <x:c r="G20" s="43" t="str">
        <x:v>L6 timing</x:v>
      </x:c>
      <x:c r="H20" s="100"/>
      <x:c r="I20" s="100"/>
      <x:c r="J20" s="100"/>
    </x:row>
    <x:row r="21" ht="44" customHeight="1">
      <x:c r="B21" s="43" t="str">
        <x:v>G15</x:v>
      </x:c>
      <x:c r="C21" s="43" t="str">
        <x:v>dry rejection at 50°C</x:v>
      </x:c>
      <x:c r="D21" s="43" t="str">
        <x:v>net heat rejection after fan and source auxiliaries</x:v>
      </x:c>
      <x:c r="E21" s="43" t="str">
        <x:v>full source and thermal load</x:v>
      </x:c>
      <x:c r="F21" s="80" t="str">
        <x:v>OPEN</x:v>
      </x:c>
      <x:c r="G21" s="43" t="str">
        <x:v>hot-dry operation</x:v>
      </x:c>
      <x:c r="H21" s="100"/>
      <x:c r="I21" s="100"/>
      <x:c r="J21" s="100"/>
    </x:row>
    <x:row r="22" ht="44" customHeight="1">
      <x:c r="B22" s="43" t="str">
        <x:v>G16</x:v>
      </x:c>
      <x:c r="C22" s="43" t="str">
        <x:v>smoke and fouling challenge</x:v>
      </x:c>
      <x:c r="D22" s="43" t="str">
        <x:v>rejection, filtration and maintenance interval</x:v>
      </x:c>
      <x:c r="E22" s="43" t="str">
        <x:v>actual intake and filter configuration</x:v>
      </x:c>
      <x:c r="F22" s="80" t="str">
        <x:v>OPEN</x:v>
      </x:c>
      <x:c r="G22" s="43" t="str">
        <x:v>smoke operation</x:v>
      </x:c>
      <x:c r="H22" s="100"/>
      <x:c r="I22" s="100"/>
      <x:c r="J22" s="100"/>
    </x:row>
    <x:row r="23" ht="44" customHeight="1">
      <x:c r="B23" s="43" t="str">
        <x:v>G17</x:v>
      </x:c>
      <x:c r="C23" s="43" t="str">
        <x:v>wet and hybrid rejection trial</x:v>
      </x:c>
      <x:c r="D23" s="43" t="str">
        <x:v>water use, drift, plume and blowdown quality</x:v>
      </x:c>
      <x:c r="E23" s="43" t="str">
        <x:v>water source and discharge path</x:v>
      </x:c>
      <x:c r="F23" s="80" t="str">
        <x:v>OPEN</x:v>
      </x:c>
      <x:c r="G23" s="43" t="str">
        <x:v>wet-rejection credit</x:v>
      </x:c>
      <x:c r="H23" s="100"/>
      <x:c r="I23" s="100"/>
      <x:c r="J23" s="100"/>
    </x:row>
    <x:row r="24" ht="44" customHeight="1">
      <x:c r="B24" s="43" t="str">
        <x:v>G18</x:v>
      </x:c>
      <x:c r="C24" s="43" t="str">
        <x:v>largest rejection-train loss</x:v>
      </x:c>
      <x:c r="D24" s="43" t="str">
        <x:v>protected people-hours through isolated loss</x:v>
      </x:c>
      <x:c r="E24" s="43" t="str">
        <x:v>N+1 trains and controls</x:v>
      </x:c>
      <x:c r="F24" s="80" t="str">
        <x:v>OPEN</x:v>
      </x:c>
      <x:c r="G24" s="43" t="str">
        <x:v>thermal independence</x:v>
      </x:c>
      <x:c r="H24" s="100"/>
      <x:c r="I24" s="100"/>
      <x:c r="J24" s="100"/>
    </x:row>
    <x:row r="25" ht="44" customHeight="1">
      <x:c r="B25" s="43" t="str">
        <x:v>G19</x:v>
      </x:c>
      <x:c r="C25" s="43" t="str">
        <x:v>occupied-site exhaust trial</x:v>
      </x:c>
      <x:c r="D25" s="43" t="str">
        <x:v>air, sound, plume and resident exposure</x:v>
      </x:c>
      <x:c r="E25" s="43" t="str">
        <x:v>actual siting geometry</x:v>
      </x:c>
      <x:c r="F25" s="80" t="str">
        <x:v>OPEN</x:v>
      </x:c>
      <x:c r="G25" s="43" t="str">
        <x:v>combustion receiver use</x:v>
      </x:c>
      <x:c r="H25" s="100"/>
      <x:c r="I25" s="100"/>
      <x:c r="J25" s="100"/>
    </x:row>
    <x:row r="26" ht="44" customHeight="1">
      <x:c r="B26" s="43" t="str">
        <x:v>G20</x:v>
      </x:c>
      <x:c r="C26" s="43" t="str">
        <x:v>wet-ground electrical trial</x:v>
      </x:c>
      <x:c r="D26" s="43" t="str">
        <x:v>grounding, step-touch, isolation and restart</x:v>
      </x:c>
      <x:c r="E26" s="43" t="str">
        <x:v>complete cell and receiver</x:v>
      </x:c>
      <x:c r="F26" s="80" t="str">
        <x:v>OPEN</x:v>
      </x:c>
      <x:c r="G26" s="43" t="str">
        <x:v>flood/wet deployment</x:v>
      </x:c>
      <x:c r="H26" s="100"/>
      <x:c r="I26" s="100"/>
      <x:c r="J26" s="100"/>
    </x:row>
    <x:row r="27" ht="44" customHeight="1">
      <x:c r="B27" s="43" t="str">
        <x:v>G21</x:v>
      </x:c>
      <x:c r="C27" s="43" t="str">
        <x:v>offline control denial</x:v>
      </x:c>
      <x:c r="D27" s="43" t="str">
        <x:v>local operation and later reconciliation</x:v>
      </x:c>
      <x:c r="E27" s="43" t="str">
        <x:v>commercial network and cloud removed</x:v>
      </x:c>
      <x:c r="F27" s="80" t="str">
        <x:v>OPEN</x:v>
      </x:c>
      <x:c r="G27" s="43" t="str">
        <x:v>control independence</x:v>
      </x:c>
      <x:c r="H27" s="100"/>
      <x:c r="I27" s="100"/>
      <x:c r="J27" s="100"/>
    </x:row>
    <x:row r="28" ht="44" customHeight="1">
      <x:c r="B28" s="43" t="str">
        <x:v>G22</x:v>
      </x:c>
      <x:c r="C28" s="43" t="str">
        <x:v>1,000-tonne deployment trial</x:v>
      </x:c>
      <x:c r="D28" s="43" t="str">
        <x:v>complete transported mass and setup</x:v>
      </x:c>
      <x:c r="E28" s="43" t="str">
        <x:v>no borrowed handling or spares</x:v>
      </x:c>
      <x:c r="F28" s="80" t="str">
        <x:v>OPEN</x:v>
      </x:c>
      <x:c r="G28" s="43" t="str">
        <x:v>mobile-cell geometry</x:v>
      </x:c>
      <x:c r="H28" s="100"/>
      <x:c r="I28" s="100"/>
      <x:c r="J28" s="100"/>
    </x:row>
    <x:row r="29" ht="44" customHeight="1">
      <x:c r="B29" s="43" t="str">
        <x:v>G23</x:v>
      </x:c>
      <x:c r="C29" s="43" t="str">
        <x:v>occupied-site setup trial</x:v>
      </x:c>
      <x:c r="D29" s="43" t="str">
        <x:v>footprint, access, egress and exclusion</x:v>
      </x:c>
      <x:c r="E29" s="43" t="str">
        <x:v>complete 5,000-person receiver</x:v>
      </x:c>
      <x:c r="F29" s="80" t="str">
        <x:v>OPEN</x:v>
      </x:c>
      <x:c r="G29" s="43" t="str">
        <x:v>site compatibility</x:v>
      </x:c>
      <x:c r="H29" s="100"/>
      <x:c r="I29" s="100"/>
      <x:c r="J29" s="100"/>
    </x:row>
    <x:row r="30" ht="44" customHeight="1">
      <x:c r="B30" s="43" t="str">
        <x:v>G24</x:v>
      </x:c>
      <x:c r="C30" s="43" t="str">
        <x:v>three-day reset and second mission</x:v>
      </x:c>
      <x:c r="D30" s="43" t="str">
        <x:v>inventory, maintenance, crew and configuration</x:v>
      </x:c>
      <x:c r="E30" s="43" t="str">
        <x:v>same cell; no donor borrowing</x:v>
      </x:c>
      <x:c r="F30" s="80" t="str">
        <x:v>OPEN</x:v>
      </x:c>
      <x:c r="G30" s="43" t="str">
        <x:v>repeat readiness</x:v>
      </x:c>
      <x:c r="H30" s="100"/>
      <x:c r="I30" s="100"/>
      <x:c r="J30" s="100"/>
    </x:row>
    <x:row r="31" ht="44" customHeight="1">
      <x:c r="B31" s="43" t="str">
        <x:v>G25</x:v>
      </x:c>
      <x:c r="C31" s="43" t="str">
        <x:v>mixed-lineage group trial</x:v>
      </x:c>
      <x:c r="D31" s="43" t="str">
        <x:v>ten-cell service after two lineage holds</x:v>
      </x:c>
      <x:c r="E31" s="43" t="str">
        <x:v>twelve cells and group controls</x:v>
      </x:c>
      <x:c r="F31" s="80" t="str">
        <x:v>OPEN</x:v>
      </x:c>
      <x:c r="G31" s="43" t="str">
        <x:v>portfolio behavior</x:v>
      </x:c>
      <x:c r="H31" s="100"/>
      <x:c r="I31" s="100"/>
      <x:c r="J31" s="100"/>
    </x:row>
    <x:row r="32" ht="44" customHeight="1">
      <x:c r="B32" s="43" t="str">
        <x:v>G26</x:v>
      </x:c>
      <x:c r="C32" s="43" t="str">
        <x:v>module interchange trial</x:v>
      </x:c>
      <x:c r="D32" s="43" t="str">
        <x:v>safe substitution across prime contractors</x:v>
      </x:c>
      <x:c r="E32" s="43" t="str">
        <x:v>government-owned interfaces</x:v>
      </x:c>
      <x:c r="F32" s="80" t="str">
        <x:v>OPEN</x:v>
      </x:c>
      <x:c r="G32" s="43" t="str">
        <x:v>industrial plurality</x:v>
      </x:c>
      <x:c r="H32" s="100"/>
      <x:c r="I32" s="100"/>
      <x:c r="J32" s="100"/>
    </x:row>
    <x:row r="33" ht="44" customHeight="1">
      <x:c r="B33" s="43" t="str">
        <x:v>G27</x:v>
      </x:c>
      <x:c r="C33" s="43" t="str">
        <x:v>correlated supplier hold</x:v>
      </x:c>
      <x:c r="D33" s="43" t="str">
        <x:v>available cells after upstream component quarantine</x:v>
      </x:c>
      <x:c r="E33" s="43" t="str">
        <x:v>serialized supplier ancestry</x:v>
      </x:c>
      <x:c r="F33" s="80" t="str">
        <x:v>OPEN</x:v>
      </x:c>
      <x:c r="G33" s="43" t="str">
        <x:v>national depth</x:v>
      </x:c>
      <x:c r="H33" s="100"/>
      <x:c r="I33" s="100"/>
      <x:c r="J33" s="100"/>
    </x:row>
    <x:row r="34" ht="44" customHeight="1">
      <x:c r="B34" s="43" t="str">
        <x:v>G28</x:v>
      </x:c>
      <x:c r="C34" s="43" t="str">
        <x:v>seven-day blinded district mission</x:v>
      </x:c>
      <x:c r="D34" s="43" t="str">
        <x:v>protected people-hours and second-event state</x:v>
      </x:c>
      <x:c r="E34" s="43" t="str">
        <x:v>complete group and prepared receivers</x:v>
      </x:c>
      <x:c r="F34" s="80" t="str">
        <x:v>OPEN</x:v>
      </x:c>
      <x:c r="G34" s="43" t="str">
        <x:v>representative admission</x:v>
      </x:c>
      <x:c r="H34" s="100"/>
      <x:c r="I34" s="100"/>
      <x:c r="J34" s="100"/>
    </x:row>
  </x:sheetData>
  <x:mergeCells>
    <x:mergeCell ref="B2:J2"/>
    <x:mergeCell ref="B4:J4"/>
  </x:mergeCells>
  <x:pageMargins left="0.7" right="0.7" top="0.75" bottom="0.75" header="0.3" footer="0.3"/>
</x:worksheet>
</file>

<file path=xl/worksheets/sheet10.xml><?xml version="1.0" encoding="utf-8"?>
<x:worksheet xmlns:x="http://schemas.openxmlformats.org/spreadsheetml/2006/main">
  <x:sheetPr>
    <x:tabColor rgb="FFA5A5A5"/>
  </x:sheetPr>
  <x:sheetViews>
    <x:sheetView showGridLines="0" workbookViewId="0">
      <x:pane ySplit="6" topLeftCell="A7" activePane="bottomLeft" state="frozen"/>
    </x:sheetView>
  </x:sheetViews>
  <x:sheetFormatPr defaultRowHeight="15"/>
  <x:cols>
    <x:col min="1" max="1" width="3" hidden="0" customWidth="1"/>
    <x:col min="2" max="2" width="9" hidden="0" customWidth="1"/>
    <x:col min="3" max="3" width="62" hidden="0" customWidth="1"/>
    <x:col min="4" max="4" width="22" hidden="0" customWidth="1"/>
    <x:col min="5" max="5" width="13" hidden="0" customWidth="1"/>
  </x:cols>
  <x:sheetData>
    <x:row r="2">
      <x:c r="B2" s="23" t="str">
        <x:v>Integrity checks</x:v>
      </x:c>
      <x:c r="C2" s="23"/>
      <x:c r="D2" s="23"/>
      <x:c r="E2" s="23"/>
      <x:c r="F2" s="23"/>
      <x:c r="G2" s="23"/>
      <x:c r="H2" s="23"/>
      <x:c r="I2" s="23"/>
      <x:c r="J2" s="23"/>
    </x:row>
    <x:row r="3">
      <x:c r="B3" s="24"/>
      <x:c r="C3" s="24"/>
      <x:c r="D3" s="24"/>
      <x:c r="E3" s="24"/>
      <x:c r="F3" s="99"/>
      <x:c r="G3" s="99"/>
      <x:c r="H3" s="99"/>
      <x:c r="I3" s="99"/>
      <x:c r="J3" s="99"/>
    </x:row>
    <x:row r="4">
      <x:c r="B4" s="25" t="str">
        <x:v>Checks observe the model and do not feed assumptions, calculations or displayed outputs.</x:v>
      </x:c>
      <x:c r="C4" s="25"/>
      <x:c r="D4" s="25"/>
      <x:c r="E4" s="25"/>
      <x:c r="F4" s="25"/>
      <x:c r="G4" s="25"/>
      <x:c r="H4" s="25"/>
      <x:c r="I4" s="25"/>
      <x:c r="J4" s="25"/>
    </x:row>
    <x:row r="5">
      <x:c r="B5" s="26"/>
      <x:c r="C5" s="26"/>
      <x:c r="D5" s="26"/>
      <x:c r="E5" s="26"/>
      <x:c r="F5" s="100"/>
      <x:c r="G5" s="100"/>
      <x:c r="H5" s="100"/>
      <x:c r="I5" s="100"/>
      <x:c r="J5" s="100"/>
    </x:row>
    <x:row r="6">
      <x:c r="B6" s="14" t="str">
        <x:v>Check</x:v>
      </x:c>
      <x:c r="C6" s="14" t="str">
        <x:v>Test</x:v>
      </x:c>
      <x:c r="D6" s="14" t="str">
        <x:v>Difference / count</x:v>
      </x:c>
      <x:c r="E6" s="14" t="str">
        <x:v>Status</x:v>
      </x:c>
      <x:c r="F6" s="100"/>
      <x:c r="G6" s="100"/>
      <x:c r="H6" s="100"/>
      <x:c r="I6" s="100"/>
      <x:c r="J6" s="100"/>
    </x:row>
    <x:row r="7" ht="24" customHeight="1">
      <x:c r="B7" s="26" t="str">
        <x:v>C01</x:v>
      </x:c>
      <x:c r="C7" s="26" t="str">
        <x:v>one-cell continuous load equals one-tenth district load</x:v>
      </x:c>
      <x:c r="D7" s="83" t="n">
        <x:f>'Service Load'!D9*10-14.2216</x:f>
        <x:v>0</x:v>
      </x:c>
      <x:c r="E7" s="26" t="str">
        <x:f>IF(ABS(D7)&lt;0.000001,"PASS","FAIL")</x:f>
        <x:v>PASS</x:v>
      </x:c>
      <x:c r="F7" s="100"/>
      <x:c r="G7" s="100"/>
      <x:c r="H7" s="100"/>
      <x:c r="I7" s="100"/>
      <x:c r="J7" s="100"/>
    </x:row>
    <x:row r="8" ht="24" customHeight="1">
      <x:c r="B8" s="26" t="str">
        <x:v>C02</x:v>
      </x:c>
      <x:c r="C8" s="26" t="str">
        <x:v>one-cell peak equals one-tenth district peak</x:v>
      </x:c>
      <x:c r="D8" s="83" t="n">
        <x:f>'Service Load'!D10*10-19.1992</x:f>
        <x:v>0</x:v>
      </x:c>
      <x:c r="E8" s="26" t="str">
        <x:f>IF(ABS(D8)&lt;0.000001,"PASS","FAIL")</x:f>
        <x:v>PASS</x:v>
      </x:c>
      <x:c r="F8" s="100"/>
      <x:c r="G8" s="100"/>
      <x:c r="H8" s="100"/>
      <x:c r="I8" s="100"/>
      <x:c r="J8" s="100"/>
    </x:row>
    <x:row r="9" ht="24" customHeight="1">
      <x:c r="B9" s="26" t="str">
        <x:v>C03</x:v>
      </x:c>
      <x:c r="C9" s="26" t="str">
        <x:v>one-cell useful cooling equals one-tenth district cooling</x:v>
      </x:c>
      <x:c r="D9" s="83" t="n">
        <x:f>'Service Load'!D11*10-19.65</x:f>
        <x:v>3.552713678800501e-15</x:v>
      </x:c>
      <x:c r="E9" s="26" t="str">
        <x:f>IF(ABS(D9)&lt;0.000001,"PASS","FAIL")</x:f>
        <x:v>PASS</x:v>
      </x:c>
      <x:c r="F9" s="100"/>
      <x:c r="G9" s="100"/>
      <x:c r="H9" s="100"/>
      <x:c r="I9" s="100"/>
      <x:c r="J9" s="100"/>
    </x:row>
    <x:row r="10" ht="24" customHeight="1">
      <x:c r="B10" s="26" t="str">
        <x:v>C04</x:v>
      </x:c>
      <x:c r="C10" s="26" t="str">
        <x:v>one-cell cooling rejection equals one-tenth district value</x:v>
      </x:c>
      <x:c r="D10" s="83" t="n">
        <x:f>'Service Load'!D12*10-28.0117</x:f>
        <x:v>-3.552713678800501e-15</x:v>
      </x:c>
      <x:c r="E10" s="26" t="str">
        <x:f>IF(ABS(D10)&lt;0.000001,"PASS","FAIL")</x:f>
        <x:v>PASS</x:v>
      </x:c>
      <x:c r="F10" s="100"/>
      <x:c r="G10" s="100"/>
      <x:c r="H10" s="100"/>
      <x:c r="I10" s="100"/>
      <x:c r="J10" s="100"/>
    </x:row>
    <x:row r="11" ht="24" customHeight="1">
      <x:c r="B11" s="26" t="str">
        <x:v>C05</x:v>
      </x:c>
      <x:c r="C11" s="26" t="str">
        <x:v>daily energy equals continuous load times 24</x:v>
      </x:c>
      <x:c r="D11" s="83" t="n">
        <x:f>'Service Load'!D13-'Service Load'!D9*24</x:f>
        <x:v>0</x:v>
      </x:c>
      <x:c r="E11" s="26" t="str">
        <x:f>IF(ABS(D11)&lt;0.000001,"PASS","FAIL")</x:f>
        <x:v>PASS</x:v>
      </x:c>
      <x:c r="F11" s="100"/>
      <x:c r="G11" s="100"/>
      <x:c r="H11" s="100"/>
      <x:c r="I11" s="100"/>
      <x:c r="J11" s="100"/>
    </x:row>
    <x:row r="12" ht="24" customHeight="1">
      <x:c r="B12" s="26" t="str">
        <x:v>C06</x:v>
      </x:c>
      <x:c r="C12" s="26" t="str">
        <x:v>mission energy equals daily energy times mission days</x:v>
      </x:c>
      <x:c r="D12" s="83" t="n">
        <x:f>'Service Load'!D14-'Service Load'!D13*(Assumptions!C9/24)</x:f>
        <x:v>0</x:v>
      </x:c>
      <x:c r="E12" s="26" t="str">
        <x:f>IF(ABS(D12)&lt;0.000001,"PASS","FAIL")</x:f>
        <x:v>PASS</x:v>
      </x:c>
      <x:c r="F12" s="100"/>
      <x:c r="G12" s="100"/>
      <x:c r="H12" s="100"/>
      <x:c r="I12" s="100"/>
      <x:c r="J12" s="100"/>
    </x:row>
    <x:row r="13" ht="24" customHeight="1">
      <x:c r="B13" s="26" t="str">
        <x:v>C07</x:v>
      </x:c>
      <x:c r="C13" s="26" t="str">
        <x:v>source-delivered energy includes reserve</x:v>
      </x:c>
      <x:c r="D13" s="83" t="n">
        <x:f>'Service Load'!D15-'Service Load'!D14*(1+Assumptions!C15)</x:f>
        <x:v>0</x:v>
      </x:c>
      <x:c r="E13" s="26" t="str">
        <x:f>IF(ABS(D13)&lt;0.000001,"PASS","FAIL")</x:f>
        <x:v>PASS</x:v>
      </x:c>
      <x:c r="F13" s="100"/>
      <x:c r="G13" s="100"/>
      <x:c r="H13" s="100"/>
      <x:c r="I13" s="100"/>
      <x:c r="J13" s="100"/>
    </x:row>
    <x:row r="14" ht="24" customHeight="1">
      <x:c r="B14" s="26" t="str">
        <x:v>C08</x:v>
      </x:c>
      <x:c r="C14" s="26" t="str">
        <x:v>storage nominal inventory reconciles usable depth and efficiency</x:v>
      </x:c>
      <x:c r="D14" s="83" t="n">
        <x:f>'Service Load'!D16-'Service Load'!D15/Assumptions!C36/Assumptions!C37</x:f>
        <x:v>0</x:v>
      </x:c>
      <x:c r="E14" s="26" t="str">
        <x:f>IF(ABS(D14)&lt;0.000001,"PASS","FAIL")</x:f>
        <x:v>PASS</x:v>
      </x:c>
      <x:c r="F14" s="100"/>
      <x:c r="G14" s="100"/>
      <x:c r="H14" s="100"/>
      <x:c r="I14" s="100"/>
      <x:c r="J14" s="100"/>
    </x:row>
    <x:row r="15" ht="24" customHeight="1">
      <x:c r="B15" s="26" t="str">
        <x:v>C09</x:v>
      </x:c>
      <x:c r="C15" s="26" t="str">
        <x:v>storage system mass reconciles density</x:v>
      </x:c>
      <x:c r="D15" s="83" t="n">
        <x:f>'Service Load'!D17-'Service Load'!D16/Assumptions!C35</x:f>
        <x:v>0</x:v>
      </x:c>
      <x:c r="E15" s="26" t="str">
        <x:f>IF(ABS(D15)&lt;0.000001,"PASS","FAIL")</x:f>
        <x:v>PASS</x:v>
      </x:c>
      <x:c r="F15" s="100"/>
      <x:c r="G15" s="100"/>
      <x:c r="H15" s="100"/>
      <x:c r="I15" s="100"/>
      <x:c r="J15" s="100"/>
    </x:row>
    <x:row r="16" ht="24" customHeight="1">
      <x:c r="B16" s="26" t="str">
        <x:v>C10</x:v>
      </x:c>
      <x:c r="C16" s="26" t="str">
        <x:v>all six lineage codes present</x:v>
      </x:c>
      <x:c r="D16" s="83" t="n">
        <x:f>COUNTA(Lineages!B7:B12)-6</x:f>
        <x:v>0</x:v>
      </x:c>
      <x:c r="E16" s="26" t="str">
        <x:f>IF(ABS(D16)&lt;0.000001,"PASS","FAIL")</x:f>
        <x:v>PASS</x:v>
      </x:c>
      <x:c r="F16" s="100"/>
      <x:c r="G16" s="100"/>
      <x:c r="H16" s="100"/>
      <x:c r="I16" s="100"/>
      <x:c r="J16" s="100"/>
    </x:row>
    <x:row r="17" ht="24" customHeight="1">
      <x:c r="B17" s="26" t="str">
        <x:v>C11</x:v>
      </x:c>
      <x:c r="C17" s="26" t="str">
        <x:v>all lineage direct equipment costs positive</x:v>
      </x:c>
      <x:c r="D17" s="83" t="n">
        <x:f>COUNTIF(Lineages!AE7:AE12,"&lt;=0")</x:f>
        <x:v>0</x:v>
      </x:c>
      <x:c r="E17" s="26" t="str">
        <x:f>IF(ABS(D17)&lt;0.000001,"PASS","FAIL")</x:f>
        <x:v>PASS</x:v>
      </x:c>
      <x:c r="F17" s="100"/>
      <x:c r="G17" s="100"/>
      <x:c r="H17" s="100"/>
      <x:c r="I17" s="100"/>
      <x:c r="J17" s="100"/>
    </x:row>
    <x:row r="18" ht="24" customHeight="1">
      <x:c r="B18" s="26" t="str">
        <x:v>C12</x:v>
      </x:c>
      <x:c r="C18" s="26" t="str">
        <x:v>all conversion efficiencies bounded</x:v>
      </x:c>
      <x:c r="D18" s="83" t="n">
        <x:f>COUNTIF(Lineages!H7:H12,"&lt;=0")+COUNTIF(Lineages!H7:H12,"&gt;1")</x:f>
        <x:v>0</x:v>
      </x:c>
      <x:c r="E18" s="26" t="str">
        <x:f>IF(ABS(D18)&lt;0.000001,"PASS","FAIL")</x:f>
        <x:v>PASS</x:v>
      </x:c>
      <x:c r="F18" s="100"/>
      <x:c r="G18" s="100"/>
      <x:c r="H18" s="100"/>
      <x:c r="I18" s="100"/>
      <x:c r="J18" s="100"/>
    </x:row>
    <x:row r="19" ht="24" customHeight="1">
      <x:c r="B19" s="26" t="str">
        <x:v>C13</x:v>
      </x:c>
      <x:c r="C19" s="26" t="str">
        <x:v>all total dry masses reconcile components</x:v>
      </x:c>
      <x:c r="D19" s="83" t="n">
        <x:f>SUM(Lineages!O7:O12)-SUM(Lineages!K7:N12)</x:f>
        <x:v>0</x:v>
      </x:c>
      <x:c r="E19" s="26" t="str">
        <x:f>IF(ABS(D19)&lt;0.000001,"PASS","FAIL")</x:f>
        <x:v>PASS</x:v>
      </x:c>
      <x:c r="F19" s="100"/>
      <x:c r="G19" s="100"/>
      <x:c r="H19" s="100"/>
      <x:c r="I19" s="100"/>
      <x:c r="J19" s="100"/>
    </x:row>
    <x:row r="20" ht="24" customHeight="1">
      <x:c r="B20" s="26" t="str">
        <x:v>C14</x:v>
      </x:c>
      <x:c r="C20" s="26" t="str">
        <x:v>all transported masses reconcile dry and wet</x:v>
      </x:c>
      <x:c r="D20" s="83" t="n">
        <x:f>SUM(Lineages!Q7:Q12)-SUM(Lineages!O7:O12)-SUM(Lineages!P7:P12)</x:f>
        <x:v>2.842170943040401e-14</x:v>
      </x:c>
      <x:c r="E20" s="26" t="str">
        <x:f>IF(ABS(D20)&lt;0.000001,"PASS","FAIL")</x:f>
        <x:v>PASS</x:v>
      </x:c>
      <x:c r="F20" s="100"/>
      <x:c r="G20" s="100"/>
      <x:c r="H20" s="100"/>
      <x:c r="I20" s="100"/>
      <x:c r="J20" s="100"/>
    </x:row>
    <x:row r="21" ht="24" customHeight="1">
      <x:c r="B21" s="26" t="str">
        <x:v>C15</x:v>
      </x:c>
      <x:c r="C21" s="26" t="str">
        <x:v>all heat balances reconcile</x:v>
      </x:c>
      <x:c r="D21" s="83" t="n">
        <x:f>SUM('Heat Rejection'!F7:F12)-SUM('Heat Rejection'!D7:D12)-SUM('Heat Rejection'!E7:E12)</x:f>
        <x:v>1.7763568394002505e-15</x:v>
      </x:c>
      <x:c r="E21" s="26" t="str">
        <x:f>IF(ABS(D21)&lt;0.000001,"PASS","FAIL")</x:f>
        <x:v>PASS</x:v>
      </x:c>
      <x:c r="F21" s="100"/>
      <x:c r="G21" s="100"/>
      <x:c r="H21" s="100"/>
      <x:c r="I21" s="100"/>
      <x:c r="J21" s="100"/>
    </x:row>
    <x:row r="22" ht="24" customHeight="1">
      <x:c r="B22" s="26" t="str">
        <x:v>C16</x:v>
      </x:c>
      <x:c r="C22" s="26" t="str">
        <x:v>all base rejection ratios positive</x:v>
      </x:c>
      <x:c r="D22" s="83" t="n">
        <x:f>COUNTIF('Heat Rejection'!H7:H12,"&lt;=0")</x:f>
        <x:v>0</x:v>
      </x:c>
      <x:c r="E22" s="26" t="str">
        <x:f>IF(ABS(D22)&lt;0.000001,"PASS","FAIL")</x:f>
        <x:v>PASS</x:v>
      </x:c>
      <x:c r="F22" s="100"/>
      <x:c r="G22" s="100"/>
      <x:c r="H22" s="100"/>
      <x:c r="I22" s="100"/>
      <x:c r="J22" s="100"/>
    </x:row>
    <x:row r="23" ht="24" customHeight="1">
      <x:c r="B23" s="26" t="str">
        <x:v>C17</x:v>
      </x:c>
      <x:c r="C23" s="26" t="str">
        <x:v>base world contains six lineage results</x:v>
      </x:c>
      <x:c r="D23" s="83" t="n">
        <x:f>COUNT(Worlds!E7:J7)-6</x:f>
        <x:v>0</x:v>
      </x:c>
      <x:c r="E23" s="26" t="str">
        <x:f>IF(ABS(D23)&lt;0.000001,"PASS","FAIL")</x:f>
        <x:v>PASS</x:v>
      </x:c>
      <x:c r="F23" s="100"/>
      <x:c r="G23" s="100"/>
      <x:c r="H23" s="100"/>
      <x:c r="I23" s="100"/>
      <x:c r="J23" s="100"/>
    </x:row>
    <x:row r="24" ht="24" customHeight="1">
      <x:c r="B24" s="26" t="str">
        <x:v>C18</x:v>
      </x:c>
      <x:c r="C24" s="26" t="str">
        <x:v>every lineage fails at least one world</x:v>
      </x:c>
      <x:c r="D24" s="83" t="n">
        <x:f>COUNTIF(Worlds!D27:D32,18)</x:f>
        <x:v>0</x:v>
      </x:c>
      <x:c r="E24" s="26" t="str">
        <x:f>IF(ABS(D24)&lt;0.000001,"PASS","FAIL")</x:f>
        <x:v>PASS</x:v>
      </x:c>
      <x:c r="F24" s="100"/>
      <x:c r="G24" s="100"/>
      <x:c r="H24" s="100"/>
      <x:c r="I24" s="100"/>
      <x:c r="J24" s="100"/>
    </x:row>
    <x:row r="25" ht="24" customHeight="1">
      <x:c r="B25" s="26" t="str">
        <x:v>C19</x:v>
      </x:c>
      <x:c r="C25" s="26" t="str">
        <x:v>lineage pass counts remain bounded from zero to eighteen</x:v>
      </x:c>
      <x:c r="D25" s="83" t="n">
        <x:f>COUNTIF(Worlds!D27:D32,"&lt;0")+COUNTIF(Worlds!D27:D32,"&gt;18")</x:f>
        <x:v>0</x:v>
      </x:c>
      <x:c r="E25" s="26" t="str">
        <x:f>IF(ABS(D25)&lt;0.000001,"PASS","FAIL")</x:f>
        <x:v>PASS</x:v>
      </x:c>
      <x:c r="F25" s="100"/>
      <x:c r="G25" s="100"/>
      <x:c r="H25" s="100"/>
      <x:c r="I25" s="100"/>
      <x:c r="J25" s="100"/>
    </x:row>
    <x:row r="26" ht="24" customHeight="1">
      <x:c r="B26" s="26" t="str">
        <x:v>C20</x:v>
      </x:c>
      <x:c r="C26" s="26" t="str">
        <x:v>world result count is 108</x:v>
      </x:c>
      <x:c r="D26" s="83" t="n">
        <x:f>COUNT(Worlds!E7:J24)-108</x:f>
        <x:v>0</x:v>
      </x:c>
      <x:c r="E26" s="26" t="str">
        <x:f>IF(ABS(D26)&lt;0.000001,"PASS","FAIL")</x:f>
        <x:v>PASS</x:v>
      </x:c>
      <x:c r="F26" s="100"/>
      <x:c r="G26" s="100"/>
      <x:c r="H26" s="100"/>
      <x:c r="I26" s="100"/>
      <x:c r="J26" s="100"/>
    </x:row>
    <x:row r="27" ht="24" customHeight="1">
      <x:c r="B27" s="26" t="str">
        <x:v>C21</x:v>
      </x:c>
      <x:c r="C27" s="26" t="str">
        <x:v>organic kit count equals twelve</x:v>
      </x:c>
      <x:c r="D27" s="83" t="n">
        <x:f>'Force Portfolio'!D14-Assumptions!C20</x:f>
        <x:v>0</x:v>
      </x:c>
      <x:c r="E27" s="26" t="str">
        <x:f>IF(ABS(D27)&lt;0.000001,"PASS","FAIL")</x:f>
        <x:v>PASS</x:v>
      </x:c>
      <x:c r="F27" s="100"/>
      <x:c r="G27" s="100"/>
      <x:c r="H27" s="100"/>
      <x:c r="I27" s="100"/>
      <x:c r="J27" s="100"/>
    </x:row>
    <x:row r="28" ht="24" customHeight="1">
      <x:c r="B28" s="26" t="str">
        <x:v>C22</x:v>
      </x:c>
      <x:c r="C28" s="26" t="str">
        <x:v>national kit count equals group kits times groups</x:v>
      </x:c>
      <x:c r="D28" s="83" t="n">
        <x:f>'Force Portfolio'!E14-'Force Portfolio'!D14*Assumptions!C19</x:f>
        <x:v>0</x:v>
      </x:c>
      <x:c r="E28" s="26" t="str">
        <x:f>IF(ABS(D28)&lt;0.000001,"PASS","FAIL")</x:f>
        <x:v>PASS</x:v>
      </x:c>
      <x:c r="F28" s="100"/>
      <x:c r="G28" s="100"/>
      <x:c r="H28" s="100"/>
      <x:c r="I28" s="100"/>
      <x:c r="J28" s="100"/>
    </x:row>
    <x:row r="29" ht="24" customHeight="1">
      <x:c r="B29" s="26" t="str">
        <x:v>C23</x:v>
      </x:c>
      <x:c r="C29" s="26" t="str">
        <x:v>group direct kit cost reconciles</x:v>
      </x:c>
      <x:c r="D29" s="83" t="n">
        <x:f>'Force Portfolio'!F14-SUMPRODUCT('Force Portfolio'!D8:D13,Lineages!AE7:AE12)</x:f>
        <x:v>0</x:v>
      </x:c>
      <x:c r="E29" s="26" t="str">
        <x:f>IF(ABS(D29)&lt;0.000001,"PASS","FAIL")</x:f>
        <x:v>PASS</x:v>
      </x:c>
      <x:c r="F29" s="100"/>
      <x:c r="G29" s="100"/>
      <x:c r="H29" s="100"/>
      <x:c r="I29" s="100"/>
      <x:c r="J29" s="100"/>
    </x:row>
    <x:row r="30" ht="24" customHeight="1">
      <x:c r="B30" s="26" t="str">
        <x:v>C24</x:v>
      </x:c>
      <x:c r="C30" s="26" t="str">
        <x:v>group dry mass reconciles</x:v>
      </x:c>
      <x:c r="D30" s="83" t="n">
        <x:f>'Force Portfolio'!G14-SUMPRODUCT('Force Portfolio'!D8:D13,Lineages!O7:O12)</x:f>
        <x:v>0</x:v>
      </x:c>
      <x:c r="E30" s="26" t="str">
        <x:f>IF(ABS(D30)&lt;0.000001,"PASS","FAIL")</x:f>
        <x:v>PASS</x:v>
      </x:c>
      <x:c r="F30" s="100"/>
      <x:c r="G30" s="100"/>
      <x:c r="H30" s="100"/>
      <x:c r="I30" s="100"/>
      <x:c r="J30" s="100"/>
    </x:row>
    <x:row r="31" ht="24" customHeight="1">
      <x:c r="B31" s="26" t="str">
        <x:v>C25</x:v>
      </x:c>
      <x:c r="C31" s="26" t="str">
        <x:v>group wet liquid mass reconciles</x:v>
      </x:c>
      <x:c r="D31" s="83" t="n">
        <x:f>'Force Portfolio'!H14-SUMPRODUCT('Force Portfolio'!D8:D13,Lineages!P7:P12)</x:f>
        <x:v>0</x:v>
      </x:c>
      <x:c r="E31" s="26" t="str">
        <x:f>IF(ABS(D31)&lt;0.000001,"PASS","FAIL")</x:f>
        <x:v>PASS</x:v>
      </x:c>
      <x:c r="F31" s="100"/>
      <x:c r="G31" s="100"/>
      <x:c r="H31" s="100"/>
      <x:c r="I31" s="100"/>
      <x:c r="J31" s="100"/>
    </x:row>
    <x:row r="32" ht="24" customHeight="1">
      <x:c r="B32" s="26" t="str">
        <x:v>C26</x:v>
      </x:c>
      <x:c r="C32" s="26" t="str">
        <x:v>configured organic fleet includes group equipment and kits</x:v>
      </x:c>
      <x:c r="D32" s="83" t="n">
        <x:f>Program!D8-Assumptions!C19*(Assumptions!C23+'Force Portfolio'!F14)*Assumptions!C24</x:f>
        <x:v>0</x:v>
      </x:c>
      <x:c r="E32" s="26" t="str">
        <x:f>IF(ABS(D32)&lt;0.000001,"PASS","FAIL")</x:f>
        <x:v>PASS</x:v>
      </x:c>
      <x:c r="F32" s="100"/>
      <x:c r="G32" s="100"/>
      <x:c r="H32" s="100"/>
      <x:c r="I32" s="100"/>
      <x:c r="J32" s="100"/>
    </x:row>
    <x:row r="33" ht="24" customHeight="1">
      <x:c r="B33" s="26" t="str">
        <x:v>C27</x:v>
      </x:c>
      <x:c r="C33" s="26" t="str">
        <x:v>storage pool capital reconciles</x:v>
      </x:c>
      <x:c r="D33" s="83" t="n">
        <x:f>Program!D9-Assumptions!C29*Lineages!AE9*Assumptions!C24</x:f>
        <x:v>0</x:v>
      </x:c>
      <x:c r="E33" s="26" t="str">
        <x:f>IF(ABS(D33)&lt;0.000001,"PASS","FAIL")</x:f>
        <x:v>PASS</x:v>
      </x:c>
      <x:c r="F33" s="100"/>
      <x:c r="G33" s="100"/>
      <x:c r="H33" s="100"/>
      <x:c r="I33" s="100"/>
      <x:c r="J33" s="100"/>
    </x:row>
    <x:row r="34" ht="24" customHeight="1">
      <x:c r="B34" s="26" t="str">
        <x:v>C28</x:v>
      </x:c>
      <x:c r="C34" s="26" t="str">
        <x:v>firm-source pool capital reconciles</x:v>
      </x:c>
      <x:c r="D34" s="83" t="n">
        <x:f>Program!D10-Assumptions!C30*Assumptions!C31</x:f>
        <x:v>0</x:v>
      </x:c>
      <x:c r="E34" s="26" t="str">
        <x:f>IF(ABS(D34)&lt;0.000001,"PASS","FAIL")</x:f>
        <x:v>PASS</x:v>
      </x:c>
      <x:c r="F34" s="100"/>
      <x:c r="G34" s="100"/>
      <x:c r="H34" s="100"/>
      <x:c r="I34" s="100"/>
      <x:c r="J34" s="100"/>
    </x:row>
    <x:row r="35" ht="24" customHeight="1">
      <x:c r="B35" s="26" t="str">
        <x:v>C29</x:v>
      </x:c>
      <x:c r="C35" s="26" t="str">
        <x:v>metro works reconcile</x:v>
      </x:c>
      <x:c r="D35" s="83" t="n">
        <x:f>Program!D11-Assumptions!C21*Assumptions!C28</x:f>
        <x:v>0</x:v>
      </x:c>
      <x:c r="E35" s="26" t="str">
        <x:f>IF(ABS(D35)&lt;0.000001,"PASS","FAIL")</x:f>
        <x:v>PASS</x:v>
      </x:c>
      <x:c r="F35" s="100"/>
      <x:c r="G35" s="100"/>
      <x:c r="H35" s="100"/>
      <x:c r="I35" s="100"/>
      <x:c r="J35" s="100"/>
    </x:row>
    <x:row r="36" ht="24" customHeight="1">
      <x:c r="B36" s="26" t="str">
        <x:v>C30</x:v>
      </x:c>
      <x:c r="C36" s="26" t="str">
        <x:v>operations reconcile</x:v>
      </x:c>
      <x:c r="D36" s="83" t="n">
        <x:f>Program!D12-Assumptions!C19*Assumptions!C25*Assumptions!C22</x:f>
        <x:v>0</x:v>
      </x:c>
      <x:c r="E36" s="26" t="str">
        <x:f>IF(ABS(D36)&lt;0.000001,"PASS","FAIL")</x:f>
        <x:v>PASS</x:v>
      </x:c>
      <x:c r="F36" s="100"/>
      <x:c r="G36" s="100"/>
      <x:c r="H36" s="100"/>
      <x:c r="I36" s="100"/>
      <x:c r="J36" s="100"/>
    </x:row>
    <x:row r="37" ht="24" customHeight="1">
      <x:c r="B37" s="26" t="str">
        <x:v>C31</x:v>
      </x:c>
      <x:c r="C37" s="26" t="str">
        <x:v>program total reconciles accounts</x:v>
      </x:c>
      <x:c r="D37" s="83" t="n">
        <x:f>Program!D15-SUM(Program!D8:D14)</x:f>
        <x:v>0</x:v>
      </x:c>
      <x:c r="E37" s="26" t="str">
        <x:f>IF(ABS(D37)&lt;0.000001,"PASS","FAIL")</x:f>
        <x:v>PASS</x:v>
      </x:c>
      <x:c r="F37" s="100"/>
      <x:c r="G37" s="100"/>
      <x:c r="H37" s="100"/>
      <x:c r="I37" s="100"/>
      <x:c r="J37" s="100"/>
    </x:row>
    <x:row r="38" ht="24" customHeight="1">
      <x:c r="B38" s="26" t="str">
        <x:v>C32</x:v>
      </x:c>
      <x:c r="C38" s="26" t="str">
        <x:v>all lifecycle costs exceed configured acquisition</x:v>
      </x:c>
      <x:c r="D38" s="83" t="n">
        <x:f>SUMPRODUCT(--(Program!G20:G25&lt;Program!D20:D25*Assumptions!C24))</x:f>
        <x:v>0</x:v>
      </x:c>
      <x:c r="E38" s="26" t="str">
        <x:f>IF(ABS(D38)&lt;0.000001,"PASS","FAIL")</x:f>
        <x:v>PASS</x:v>
      </x:c>
      <x:c r="F38" s="100"/>
      <x:c r="G38" s="100"/>
      <x:c r="H38" s="100"/>
      <x:c r="I38" s="100"/>
      <x:c r="J38" s="100"/>
    </x:row>
    <x:row r="39" ht="24" customHeight="1">
      <x:c r="B39" s="26" t="str">
        <x:v>C33</x:v>
      </x:c>
      <x:c r="C39" s="26" t="str">
        <x:v>all evidence gates present</x:v>
      </x:c>
      <x:c r="D39" s="83" t="n">
        <x:f>COUNTA('Evidence Gates'!B7:B34)-28</x:f>
        <x:v>0</x:v>
      </x:c>
      <x:c r="E39" s="26" t="str">
        <x:f>IF(ABS(D39)&lt;0.000001,"PASS","FAIL")</x:f>
        <x:v>PASS</x:v>
      </x:c>
      <x:c r="F39" s="100"/>
      <x:c r="G39" s="100"/>
      <x:c r="H39" s="100"/>
      <x:c r="I39" s="100"/>
      <x:c r="J39" s="100"/>
    </x:row>
    <x:row r="40" ht="24" customHeight="1">
      <x:c r="B40" s="26" t="str">
        <x:v>C34</x:v>
      </x:c>
      <x:c r="C40" s="26" t="str">
        <x:v>all evidence gates remain open</x:v>
      </x:c>
      <x:c r="D40" s="83" t="n">
        <x:f>COUNTIF('Evidence Gates'!F7:F34,"OPEN")-28</x:f>
        <x:v>0</x:v>
      </x:c>
      <x:c r="E40" s="26" t="str">
        <x:f>IF(ABS(D40)&lt;0.000001,"PASS","FAIL")</x:f>
        <x:v>PASS</x:v>
      </x:c>
      <x:c r="F40" s="100"/>
      <x:c r="G40" s="100"/>
      <x:c r="H40" s="100"/>
      <x:c r="I40" s="100"/>
      <x:c r="J40" s="100"/>
    </x:row>
    <x:row r="41" ht="24" customHeight="1">
      <x:c r="B41" s="26" t="str">
        <x:v>C35</x:v>
      </x:c>
      <x:c r="C41" s="26" t="str">
        <x:v>no architecture admitted</x:v>
      </x:c>
      <x:c r="D41" s="83" t="n">
        <x:f>COUNTIF(Lineages!AH7:AH12,"ADMIT")</x:f>
        <x:v>0</x:v>
      </x:c>
      <x:c r="E41" s="26" t="str">
        <x:f>IF(ABS(D41)&lt;0.000001,"PASS","FAIL")</x:f>
        <x:v>PASS</x:v>
      </x:c>
      <x:c r="F41" s="100"/>
      <x:c r="G41" s="100"/>
      <x:c r="H41" s="100"/>
      <x:c r="I41" s="100"/>
      <x:c r="J41" s="100"/>
    </x:row>
    <x:row r="42" ht="24" customHeight="1">
      <x:c r="B42" s="26" t="str">
        <x:v>C36</x:v>
      </x:c>
      <x:c r="C42" s="26" t="str">
        <x:v>rendering remains blocked</x:v>
      </x:c>
      <x:c r="D42" s="83" t="n">
        <x:f>COUNTIF('Evidence Gates'!F7:F34,"OPEN")-28</x:f>
        <x:v>0</x:v>
      </x:c>
      <x:c r="E42" s="26" t="str">
        <x:f>IF(ABS(D42)&lt;0.000001,"PASS","FAIL")</x:f>
        <x:v>PASS</x:v>
      </x:c>
      <x:c r="F42" s="100"/>
      <x:c r="G42" s="100"/>
      <x:c r="H42" s="100"/>
      <x:c r="I42" s="100"/>
      <x:c r="J42" s="100"/>
    </x:row>
    <x:row r="43" ht="24" customHeight="1">
      <x:c r="B43" s="26" t="str">
        <x:v>C37</x:v>
      </x:c>
      <x:c r="C43" s="26" t="str">
        <x:v>storage-only lineage mass links to the service calculation</x:v>
      </x:c>
      <x:c r="D43" s="83" t="n">
        <x:f>Lineages!M9-ROUNDUP('Service Load'!D17,0)</x:f>
        <x:v>0</x:v>
      </x:c>
      <x:c r="E43" s="26" t="str">
        <x:f>IF(ABS(D43)&lt;0.000001,"PASS","FAIL")</x:f>
        <x:v>PASS</x:v>
      </x:c>
      <x:c r="F43" s="100"/>
      <x:c r="G43" s="100"/>
      <x:c r="H43" s="100"/>
      <x:c r="I43" s="100"/>
      <x:c r="J43" s="100"/>
    </x:row>
    <x:row r="44" ht="24" customHeight="1">
      <x:c r="B44" s="26" t="str">
        <x:v>C38</x:v>
      </x:c>
      <x:c r="C44" s="26" t="str">
        <x:v>revised group dry mass includes non-cell formation and packages</x:v>
      </x:c>
      <x:c r="D44" s="83" t="n">
        <x:f>'Force Portfolio'!C15-'Force Portfolio'!G14-Assumptions!C38</x:f>
        <x:v>0</x:v>
      </x:c>
      <x:c r="E44" s="26" t="str">
        <x:f>IF(ABS(D44)&lt;0.000001,"PASS","FAIL")</x:f>
        <x:v>PASS</x:v>
      </x:c>
      <x:c r="F44" s="100"/>
      <x:c r="G44" s="100"/>
      <x:c r="H44" s="100"/>
      <x:c r="I44" s="100"/>
      <x:c r="J44" s="100"/>
    </x:row>
    <x:row r="45" ht="24" customHeight="1">
      <x:c r="B45" s="26" t="str">
        <x:v>C39</x:v>
      </x:c>
      <x:c r="C45" s="26" t="str">
        <x:v>revised group crew includes non-cell formation and package crews</x:v>
      </x:c>
      <x:c r="D45" s="83" t="n">
        <x:f>'Force Portfolio'!C16-SUMPRODUCT('Force Portfolio'!D8:D13,Lineages!AG7:AG12)-Assumptions!C39</x:f>
        <x:v>0</x:v>
      </x:c>
      <x:c r="E45" s="26" t="str">
        <x:f>IF(ABS(D45)&lt;0.000001,"PASS","FAIL")</x:f>
        <x:v>PASS</x:v>
      </x:c>
      <x:c r="F45" s="100"/>
      <x:c r="G45" s="100"/>
      <x:c r="H45" s="100"/>
      <x:c r="I45" s="100"/>
      <x:c r="J45" s="100"/>
    </x:row>
  </x:sheetData>
  <x:mergeCells>
    <x:mergeCell ref="B2:J2"/>
    <x:mergeCell ref="B4:J4"/>
  </x:mergeCells>
  <x:conditionalFormatting sqref="E7:E45">
    <x:cfRule type="cellIs" dxfId="2" priority="1" operator="equal">
      <x:formula>"FAIL"</x:formula>
    </x:cfRule>
  </x:conditionalFormatting>
  <x:pageMargins left="0.7" right="0.7" top="0.75" bottom="0.75" header="0.3" footer="0.3"/>
</x:worksheet>
</file>

<file path=xl/worksheets/sheet11.xml><?xml version="1.0" encoding="utf-8"?>
<x:worksheet xmlns:x="http://schemas.openxmlformats.org/spreadsheetml/2006/main">
  <x:sheetPr>
    <x:tabColor rgb="FF8064A2"/>
  </x:sheetPr>
  <x:sheetViews>
    <x:sheetView showGridLines="0" workbookViewId="0"/>
  </x:sheetViews>
  <x:sheetFormatPr defaultRowHeight="15"/>
  <x:cols>
    <x:col min="1" max="1" width="3" hidden="0" customWidth="1"/>
    <x:col min="2" max="2" width="30" hidden="0" customWidth="1"/>
    <x:col min="3" max="3" width="58" hidden="0" customWidth="1"/>
    <x:col min="4" max="4" width="16" hidden="0" customWidth="1"/>
    <x:col min="5" max="5" width="16" hidden="0" customWidth="1"/>
    <x:col min="6" max="6" width="16" hidden="0" customWidth="1"/>
    <x:col min="7" max="7" width="16" hidden="0" customWidth="1"/>
    <x:col min="8" max="8" width="16" hidden="0" customWidth="1"/>
  </x:cols>
  <x:sheetData>
    <x:row r="2">
      <x:c r="B2" s="23" t="str">
        <x:v>Model method and limits</x:v>
      </x:c>
      <x:c r="C2" s="23"/>
      <x:c r="D2" s="23"/>
      <x:c r="E2" s="23"/>
      <x:c r="F2" s="23"/>
      <x:c r="G2" s="23"/>
      <x:c r="H2" s="23"/>
      <x:c r="I2" s="23"/>
      <x:c r="J2" s="23"/>
    </x:row>
    <x:row r="3">
      <x:c r="B3" s="24"/>
      <x:c r="C3" s="24"/>
      <x:c r="D3" s="24"/>
      <x:c r="E3" s="24"/>
      <x:c r="F3" s="24"/>
      <x:c r="G3" s="24"/>
      <x:c r="H3" s="24"/>
      <x:c r="I3" s="99"/>
      <x:c r="J3" s="99"/>
    </x:row>
    <x:row r="4">
      <x:c r="B4" s="25" t="str">
        <x:v>Pass 73 configuration competition</x:v>
      </x:c>
      <x:c r="C4" s="25"/>
      <x:c r="D4" s="25"/>
      <x:c r="E4" s="25"/>
      <x:c r="F4" s="25"/>
      <x:c r="G4" s="25"/>
      <x:c r="H4" s="25"/>
      <x:c r="I4" s="25"/>
      <x:c r="J4" s="25"/>
    </x:row>
    <x:row r="5">
      <x:c r="B5" s="26"/>
      <x:c r="C5" s="26"/>
      <x:c r="D5" s="26"/>
      <x:c r="E5" s="26"/>
      <x:c r="F5" s="26"/>
      <x:c r="G5" s="26"/>
      <x:c r="H5" s="26"/>
      <x:c r="I5" s="100"/>
      <x:c r="J5" s="100"/>
    </x:row>
    <x:row r="6">
      <x:c r="B6" s="27" t="str">
        <x:v>Decision owned by this workbook</x:v>
      </x:c>
      <x:c r="C6" s="28" t="str">
        <x:v>Decision owned by this workbook</x:v>
      </x:c>
      <x:c r="D6" s="28" t="str">
        <x:v>Decision owned by this workbook</x:v>
      </x:c>
      <x:c r="E6" s="28" t="str">
        <x:v>Decision owned by this workbook</x:v>
      </x:c>
      <x:c r="F6" s="28" t="str">
        <x:v>Decision owned by this workbook</x:v>
      </x:c>
      <x:c r="G6" s="28" t="str">
        <x:v>Decision owned by this workbook</x:v>
      </x:c>
      <x:c r="H6" s="29" t="str">
        <x:v>Decision owned by this workbook</x:v>
      </x:c>
      <x:c r="I6" s="100"/>
      <x:c r="J6" s="100"/>
    </x:row>
    <x:row r="7">
      <x:c r="B7" s="43" t="str">
        <x:v>Determine what the energy and heat-rejection layer of one PTS-5 service cell must contain, compare six complete lineage hypotheses under the same occupied-building contract, and expose why the Department needs a common service spine plus mission-compiled source packages rather than one universal generator. The workbook does not select hardware, establish a carrier, or admit a rendering.</x:v>
      </x:c>
      <x:c r="C7" s="43"/>
      <x:c r="D7" s="43"/>
      <x:c r="E7" s="43"/>
      <x:c r="F7" s="43"/>
      <x:c r="G7" s="43"/>
      <x:c r="H7" s="43"/>
      <x:c r="I7" s="100"/>
      <x:c r="J7" s="100"/>
    </x:row>
    <x:row r="8">
      <x:c r="B8" s="43"/>
      <x:c r="C8" s="43"/>
      <x:c r="D8" s="43"/>
      <x:c r="E8" s="43"/>
      <x:c r="F8" s="43"/>
      <x:c r="G8" s="43"/>
      <x:c r="H8" s="43"/>
      <x:c r="I8" s="100"/>
      <x:c r="J8" s="100"/>
    </x:row>
    <x:row r="9">
      <x:c r="B9" s="43"/>
      <x:c r="C9" s="43"/>
      <x:c r="D9" s="43"/>
      <x:c r="E9" s="43"/>
      <x:c r="F9" s="43"/>
      <x:c r="G9" s="43"/>
      <x:c r="H9" s="43"/>
      <x:c r="I9" s="100"/>
      <x:c r="J9" s="100"/>
    </x:row>
    <x:row r="10">
      <x:c r="B10" s="43"/>
      <x:c r="C10" s="43"/>
      <x:c r="D10" s="43"/>
      <x:c r="E10" s="43"/>
      <x:c r="F10" s="43"/>
      <x:c r="G10" s="43"/>
      <x:c r="H10" s="43"/>
      <x:c r="I10" s="100"/>
      <x:c r="J10" s="100"/>
    </x:row>
    <x:row r="11">
      <x:c r="B11" s="87" t="str">
        <x:v>Information classes</x:v>
      </x:c>
      <x:c r="C11" s="88" t="str">
        <x:v>Information classes</x:v>
      </x:c>
      <x:c r="D11" s="88" t="str">
        <x:v>Information classes</x:v>
      </x:c>
      <x:c r="E11" s="88" t="str">
        <x:v>Information classes</x:v>
      </x:c>
      <x:c r="F11" s="88" t="str">
        <x:v>Information classes</x:v>
      </x:c>
      <x:c r="G11" s="88" t="str">
        <x:v>Information classes</x:v>
      </x:c>
      <x:c r="H11" s="89" t="str">
        <x:v>Information classes</x:v>
      </x:c>
      <x:c r="I11" s="100"/>
      <x:c r="J11" s="100"/>
    </x:row>
    <x:row r="12">
      <x:c r="B12" s="14" t="str">
        <x:v>Class</x:v>
      </x:c>
      <x:c r="C12" s="14" t="str">
        <x:v>Meaning</x:v>
      </x:c>
      <x:c r="D12" s="14" t="str">
        <x:v>Workbook treatment</x:v>
      </x:c>
      <x:c r="E12" s="14" t="str"/>
      <x:c r="F12" s="14" t="str"/>
      <x:c r="G12" s="14" t="str"/>
      <x:c r="H12" s="14" t="str"/>
      <x:c r="I12" s="100"/>
      <x:c r="J12" s="100"/>
    </x:row>
    <x:row r="13">
      <x:c r="B13" s="43" t="str">
        <x:v>Inherited calculation</x:v>
      </x:c>
      <x:c r="C13" s="43" t="str">
        <x:v>Pass 72 service outputs</x:v>
      </x:c>
      <x:c r="D13" s="43" t="str">
        <x:v>linked as fixed current baseline</x:v>
      </x:c>
      <x:c r="E13" s="43" t="str"/>
      <x:c r="F13" s="43" t="str"/>
      <x:c r="G13" s="43" t="str"/>
      <x:c r="H13" s="43" t="str"/>
      <x:c r="I13" s="100"/>
      <x:c r="J13" s="100"/>
    </x:row>
    <x:row r="14">
      <x:c r="B14" s="43" t="str">
        <x:v>Design hypothesis</x:v>
      </x:c>
      <x:c r="C14" s="43" t="str">
        <x:v>efficiency, mass, time, cost and failure factors</x:v>
      </x:c>
      <x:c r="D14" s="43" t="str">
        <x:v>yellow editable inputs</x:v>
      </x:c>
      <x:c r="E14" s="43" t="str"/>
      <x:c r="F14" s="43" t="str"/>
      <x:c r="G14" s="43" t="str"/>
      <x:c r="H14" s="43" t="str"/>
      <x:c r="I14" s="100"/>
      <x:c r="J14" s="100"/>
    </x:row>
    <x:row r="15">
      <x:c r="B15" s="43" t="str">
        <x:v>Calculated result</x:v>
      </x:c>
      <x:c r="C15" s="43" t="str">
        <x:v>energy, heat, mass, service-world and program outputs</x:v>
      </x:c>
      <x:c r="D15" s="43" t="str">
        <x:v>green formula regions</x:v>
      </x:c>
      <x:c r="E15" s="43" t="str"/>
      <x:c r="F15" s="43" t="str"/>
      <x:c r="G15" s="43" t="str"/>
      <x:c r="H15" s="43" t="str"/>
      <x:c r="I15" s="100"/>
      <x:c r="J15" s="100"/>
    </x:row>
    <x:row r="16">
      <x:c r="B16" s="43"/>
      <x:c r="C16" s="43"/>
      <x:c r="D16" s="43"/>
      <x:c r="E16" s="43"/>
      <x:c r="F16" s="43"/>
      <x:c r="G16" s="43"/>
      <x:c r="H16" s="43"/>
      <x:c r="I16" s="100"/>
      <x:c r="J16" s="100"/>
    </x:row>
    <x:row r="17">
      <x:c r="B17" s="87" t="str">
        <x:v>Interpretation controls</x:v>
      </x:c>
      <x:c r="C17" s="88" t="str">
        <x:v>Interpretation controls</x:v>
      </x:c>
      <x:c r="D17" s="88" t="str">
        <x:v>Interpretation controls</x:v>
      </x:c>
      <x:c r="E17" s="88" t="str">
        <x:v>Interpretation controls</x:v>
      </x:c>
      <x:c r="F17" s="88" t="str">
        <x:v>Interpretation controls</x:v>
      </x:c>
      <x:c r="G17" s="88" t="str">
        <x:v>Interpretation controls</x:v>
      </x:c>
      <x:c r="H17" s="89" t="str">
        <x:v>Interpretation controls</x:v>
      </x:c>
      <x:c r="I17" s="100"/>
      <x:c r="J17" s="100"/>
    </x:row>
    <x:row r="18" ht="40" customHeight="1">
      <x:c r="B18" s="14" t="str">
        <x:v>Control</x:v>
      </x:c>
      <x:c r="C18" s="14" t="str">
        <x:v>Meaning</x:v>
      </x:c>
      <x:c r="D18" s="14" t="str"/>
      <x:c r="E18" s="14" t="str"/>
      <x:c r="F18" s="14" t="str"/>
      <x:c r="G18" s="14" t="str"/>
      <x:c r="H18" s="14" t="str"/>
      <x:c r="I18" s="100"/>
      <x:c r="J18" s="100"/>
    </x:row>
    <x:row r="19" ht="40" customHeight="1">
      <x:c r="B19" s="43" t="str">
        <x:v>Worlds are deterministic</x:v>
      </x:c>
      <x:c r="C19" s="43" t="str">
        <x:v>They reveal incompatible dependencies. They are not likelihoods and are never averaged.</x:v>
      </x:c>
      <x:c r="D19" s="43" t="str"/>
      <x:c r="E19" s="43" t="str"/>
      <x:c r="F19" s="43" t="str"/>
      <x:c r="G19" s="43" t="str"/>
      <x:c r="H19" s="43" t="str"/>
      <x:c r="I19" s="100"/>
      <x:c r="J19" s="100"/>
    </x:row>
    <x:row r="20" ht="40" customHeight="1">
      <x:c r="B20" s="43" t="str">
        <x:v>Wet mass is partial</x:v>
      </x:c>
      <x:c r="C20" s="43" t="str">
        <x:v>Liquid inventory is calculated. Pipeline gas, makeup water, filters, refrigerants, residuals and nuclear site works remain outside transported mass.</x:v>
      </x:c>
      <x:c r="D20" s="43" t="str"/>
      <x:c r="E20" s="43" t="str"/>
      <x:c r="F20" s="43" t="str"/>
      <x:c r="G20" s="43" t="str"/>
      <x:c r="H20" s="43" t="str"/>
      <x:c r="I20" s="100"/>
      <x:c r="J20" s="100"/>
    </x:row>
    <x:row r="21" ht="40" customHeight="1">
      <x:c r="B21" s="43" t="str">
        <x:v>Heat rejection is coupled</x:v>
      </x:c>
      <x:c r="C21" s="43" t="str">
        <x:v>Site rejection equals building cooling rejection plus energy-source conversion losses occurring at the receiver.</x:v>
      </x:c>
      <x:c r="D21" s="43" t="str"/>
      <x:c r="E21" s="43" t="str"/>
      <x:c r="F21" s="43" t="str"/>
      <x:c r="G21" s="43" t="str"/>
      <x:c r="H21" s="43" t="str"/>
      <x:c r="I21" s="100"/>
      <x:c r="J21" s="100"/>
    </x:row>
    <x:row r="22" ht="40" customHeight="1">
      <x:c r="B22" s="43" t="str">
        <x:v>Strategic firm source is late</x:v>
      </x:c>
      <x:c r="C22" s="43" t="str">
        <x:v>L6 receives endurance credit but no 48-hour arrival credit. Pre-siting would be a distinct architecture.</x:v>
      </x:c>
      <x:c r="D22" s="43" t="str"/>
      <x:c r="E22" s="43" t="str"/>
      <x:c r="F22" s="43" t="str"/>
      <x:c r="G22" s="43" t="str"/>
      <x:c r="H22" s="43" t="str"/>
      <x:c r="I22" s="100"/>
      <x:c r="J22" s="100"/>
    </x:row>
    <x:row r="23" ht="40" customHeight="1">
      <x:c r="B23" s="43" t="str">
        <x:v>Admission is zero</x:v>
      </x:c>
      <x:c r="C23" s="43" t="str">
        <x:v>All twenty-eight evidence gates remain open. Rendering stays blocked.</x:v>
      </x:c>
      <x:c r="D23" s="43" t="str"/>
      <x:c r="E23" s="43" t="str"/>
      <x:c r="F23" s="43" t="str"/>
      <x:c r="G23" s="43" t="str"/>
      <x:c r="H23" s="43" t="str"/>
      <x:c r="I23" s="100"/>
      <x:c r="J23" s="100"/>
    </x:row>
  </x:sheetData>
  <x:mergeCells>
    <x:mergeCell ref="B2:J2"/>
    <x:mergeCell ref="B4:J4"/>
    <x:mergeCell ref="B6:H6"/>
    <x:mergeCell ref="B7:H9"/>
    <x:mergeCell ref="B11:H11"/>
    <x:mergeCell ref="B17:H17"/>
  </x:mergeCells>
  <x:pageMargins left="0.7" right="0.7" top="0.75" bottom="0.75" header="0.3" footer="0.3"/>
</x:worksheet>
</file>