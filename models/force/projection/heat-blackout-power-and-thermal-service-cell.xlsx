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16ed658a6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ee43965fc84744"/>
    <x:sheet xmlns:r="http://schemas.openxmlformats.org/officeDocument/2006/relationships" name="Assumptions" sheetId="2" r:id="Rd3b4912382434ed4"/>
    <x:sheet xmlns:r="http://schemas.openxmlformats.org/officeDocument/2006/relationships" name="Demand" sheetId="3" r:id="Rc72599d09bd24dfb"/>
    <x:sheet xmlns:r="http://schemas.openxmlformats.org/officeDocument/2006/relationships" name="Hourly" sheetId="4" r:id="R20471417879d4600"/>
    <x:sheet xmlns:r="http://schemas.openxmlformats.org/officeDocument/2006/relationships" name="Architecture" sheetId="5" r:id="Rf7aab501afd04f9d"/>
    <x:sheet xmlns:r="http://schemas.openxmlformats.org/officeDocument/2006/relationships" name="Worlds" sheetId="6" r:id="R30c8142d1dba4854"/>
    <x:sheet xmlns:r="http://schemas.openxmlformats.org/officeDocument/2006/relationships" name="Formation" sheetId="7" r:id="Rd5228b9ac4e4444d"/>
    <x:sheet xmlns:r="http://schemas.openxmlformats.org/officeDocument/2006/relationships" name="Program" sheetId="8" r:id="R1d3ecf63ac514536"/>
    <x:sheet xmlns:r="http://schemas.openxmlformats.org/officeDocument/2006/relationships" name="Gates" sheetId="9" r:id="Rb8401b04d83c4d7a"/>
    <x:sheet xmlns:r="http://schemas.openxmlformats.org/officeDocument/2006/relationships" name="Checks" sheetId="10" r:id="R3ad617a6c93d4dde"/>
    <x:sheet xmlns:r="http://schemas.openxmlformats.org/officeDocument/2006/relationships" name="ReadMe" sheetId="11" r:id="R2de2bd5e7535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%"/>
    <x:numFmt numFmtId="201" formatCode="#,##0"/>
    <x:numFmt numFmtId="202" formatCode="#,##0.00"/>
    <x:numFmt numFmtId="203" formatCode="$0.00"/>
    <x:numFmt numFmtId="204" formatCode="0"/>
    <x:numFmt numFmtId="205" formatCode="0.0%"/>
    <x:numFmt numFmtId="206" formatCode="0.00"/>
    <x:numFmt numFmtId="207" formatCode="$#,##0.00"/>
  </x:numFmts>
  <x:fonts count="9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44546A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0"/>
      <x:color rgb="FF17365D"/>
      <x:name val="Arial"/>
    </x:font>
    <x:font>
      <x:b/>
      <x:sz val="10"/>
      <x:color rgb="FF9C000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AF2F8"/>
      </x:patternFill>
    </x:fill>
  </x:fills>
  <x:borders count="26">
    <x:border/>
    <x:border>
      <x:bottom style="thin">
        <x:color rgb="FF1F4E78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200" fontId="5" fillId="3" borderId="6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202" fontId="6" fillId="0" borderId="7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8" xfId="0" applyNumberFormat="1" applyFont="1" applyFill="1" applyBorder="1" applyAlignment="1">
      <x:alignment vertical="center"/>
    </x:xf>
    <x:xf numFmtId="0" fontId="7" fillId="4" borderId="9" xfId="0" applyNumberFormat="1" applyFont="1" applyFill="1" applyBorder="1" applyAlignment="1">
      <x:alignment vertical="center"/>
    </x:xf>
    <x:xf numFmtId="0" fontId="7" fillId="4" borderId="10" xfId="0" applyNumberFormat="1" applyFont="1" applyFill="1" applyBorder="1" applyAlignment="1">
      <x:alignment vertical="center"/>
    </x:xf>
    <x:xf numFmtId="0" fontId="7" fillId="4" borderId="11" xfId="0" applyNumberFormat="1" applyFont="1" applyFill="1" applyBorder="1" applyAlignment="1">
      <x:alignment vertical="center"/>
    </x:xf>
    <x:xf numFmtId="0" fontId="7" fillId="4" borderId="12" xfId="0" applyNumberFormat="1" applyFont="1" applyFill="1" applyBorder="1" applyAlignment="1">
      <x:alignment vertical="center"/>
    </x:xf>
    <x:xf numFmtId="0" fontId="7" fillId="4" borderId="13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2" fontId="5" fillId="3" borderId="5" xfId="0" applyNumberFormat="1" applyFont="1" applyFill="1" applyBorder="1" applyAlignment="1">
      <x:alignment vertical="center"/>
    </x:xf>
    <x:xf numFmtId="204" fontId="6" fillId="0" borderId="5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202" fontId="5" fillId="3" borderId="6" xfId="0" applyNumberFormat="1" applyFont="1" applyFill="1" applyBorder="1" applyAlignment="1">
      <x:alignment vertical="center"/>
    </x:xf>
    <x:xf numFmtId="204" fontId="6" fillId="0" borderId="6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4" fontId="6" fillId="0" borderId="7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6" fillId="0" borderId="14" xfId="0" applyNumberFormat="1" applyFont="1" applyFill="1" applyBorder="1" applyAlignment="1">
      <x:alignment vertical="center"/>
    </x:xf>
    <x:xf numFmtId="0" fontId="6" fillId="0" borderId="15" xfId="0" applyNumberFormat="1" applyFont="1" applyFill="1" applyBorder="1" applyAlignment="1">
      <x:alignment vertical="center"/>
    </x:xf>
    <x:xf numFmtId="0" fontId="6" fillId="0" borderId="16" xfId="0" applyNumberFormat="1" applyFont="1" applyFill="1" applyBorder="1" applyAlignment="1">
      <x:alignment vertical="center"/>
    </x:xf>
    <x:xf numFmtId="201" fontId="6" fillId="0" borderId="14" xfId="0" applyNumberFormat="1" applyFont="1" applyFill="1" applyBorder="1" applyAlignment="1">
      <x:alignment vertical="center"/>
    </x:xf>
    <x:xf numFmtId="201" fontId="6" fillId="0" borderId="15" xfId="0" applyNumberFormat="1" applyFont="1" applyFill="1" applyBorder="1" applyAlignment="1">
      <x:alignment vertical="center"/>
    </x:xf>
    <x:xf numFmtId="201" fontId="6" fillId="0" borderId="16" xfId="0" applyNumberFormat="1" applyFont="1" applyFill="1" applyBorder="1" applyAlignment="1">
      <x:alignment vertical="center"/>
    </x:xf>
    <x:xf numFmtId="205" fontId="6" fillId="0" borderId="14" xfId="0" applyNumberFormat="1" applyFont="1" applyFill="1" applyBorder="1" applyAlignment="1">
      <x:alignment vertical="center"/>
    </x:xf>
    <x:xf numFmtId="205" fontId="6" fillId="0" borderId="15" xfId="0" applyNumberFormat="1" applyFont="1" applyFill="1" applyBorder="1" applyAlignment="1">
      <x:alignment vertical="center"/>
    </x:xf>
    <x:xf numFmtId="205" fontId="6" fillId="0" borderId="16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6" fillId="0" borderId="0" xfId="0" applyNumberFormat="1" applyFont="1" applyFill="1" applyBorder="1" applyAlignment="1">
      <x:alignment vertical="center"/>
    </x:xf>
    <x:xf numFmtId="206" fontId="1" fillId="0" borderId="5" xfId="0" applyNumberFormat="1" applyFont="1" applyFill="1" applyBorder="1" applyAlignment="1">
      <x:alignment vertical="center"/>
    </x:xf>
    <x:xf numFmtId="206" fontId="6" fillId="0" borderId="5" xfId="0" applyNumberFormat="1" applyFont="1" applyFill="1" applyBorder="1" applyAlignment="1">
      <x:alignment vertical="center"/>
    </x:xf>
    <x:xf numFmtId="206" fontId="1" fillId="0" borderId="6" xfId="0" applyNumberFormat="1" applyFont="1" applyFill="1" applyBorder="1" applyAlignment="1">
      <x:alignment vertical="center"/>
    </x:xf>
    <x:xf numFmtId="206" fontId="6" fillId="0" borderId="6" xfId="0" applyNumberFormat="1" applyFont="1" applyFill="1" applyBorder="1" applyAlignment="1">
      <x:alignment vertical="center"/>
    </x:xf>
    <x:xf numFmtId="206" fontId="1" fillId="0" borderId="7" xfId="0" applyNumberFormat="1" applyFont="1" applyFill="1" applyBorder="1" applyAlignment="1">
      <x:alignment vertical="center"/>
    </x:xf>
    <x:xf numFmtId="206" fontId="6" fillId="0" borderId="7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7" fontId="6" fillId="0" borderId="0" xfId="0" applyNumberFormat="1" applyFont="1" applyFill="1" applyBorder="1" applyAlignment="1">
      <x:alignment vertical="center"/>
    </x:xf>
    <x:xf numFmtId="207" fontId="5" fillId="3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4" fontId="5" fillId="3" borderId="5" xfId="0" applyNumberFormat="1" applyFont="1" applyFill="1" applyBorder="1" applyAlignment="1">
      <x:alignment vertical="center"/>
    </x:xf>
    <x:xf numFmtId="207" fontId="6" fillId="0" borderId="5" xfId="0" applyNumberFormat="1" applyFont="1" applyFill="1" applyBorder="1" applyAlignment="1">
      <x:alignment vertical="center"/>
    </x:xf>
    <x:xf numFmtId="207" fontId="5" fillId="3" borderId="5" xfId="0" applyNumberFormat="1" applyFont="1" applyFill="1" applyBorder="1" applyAlignment="1">
      <x:alignment vertical="center"/>
    </x:xf>
    <x:xf numFmtId="204" fontId="5" fillId="3" borderId="6" xfId="0" applyNumberFormat="1" applyFont="1" applyFill="1" applyBorder="1" applyAlignment="1">
      <x:alignment vertical="center"/>
    </x:xf>
    <x:xf numFmtId="207" fontId="6" fillId="0" borderId="6" xfId="0" applyNumberFormat="1" applyFont="1" applyFill="1" applyBorder="1" applyAlignment="1">
      <x:alignment vertical="center"/>
    </x:xf>
    <x:xf numFmtId="207" fontId="5" fillId="3" borderId="6" xfId="0" applyNumberFormat="1" applyFont="1" applyFill="1" applyBorder="1" applyAlignment="1">
      <x:alignment vertical="center"/>
    </x:xf>
    <x:xf numFmtId="207" fontId="6" fillId="0" borderId="7" xfId="0" applyNumberFormat="1" applyFont="1" applyFill="1" applyBorder="1" applyAlignment="1">
      <x:alignment vertical="center"/>
    </x:xf>
    <x:xf numFmtId="207" fontId="5" fillId="3" borderId="7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5" borderId="5" xfId="0" applyNumberFormat="1" applyFont="1" applyFill="1" applyBorder="1" applyAlignment="1">
      <x:alignment horizontal="center" vertic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8" fillId="5" borderId="7" xfId="0" applyNumberFormat="1" applyFont="1" applyFill="1" applyBorder="1" applyAlignment="1">
      <x:alignment horizontal="center" vertical="center"/>
    </x:xf>
    <x:xf numFmtId="0" fontId="1" fillId="0" borderId="17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/>
    </x:xf>
    <x:xf numFmtId="0" fontId="1" fillId="0" borderId="20" xfId="0" applyNumberFormat="1" applyFont="1" applyFill="1" applyBorder="1" applyAlignment="1">
      <x:alignment vertical="center"/>
    </x:xf>
    <x:xf numFmtId="0" fontId="1" fillId="0" borderId="21" xfId="0" applyNumberFormat="1" applyFont="1" applyFill="1" applyBorder="1" applyAlignment="1">
      <x:alignment vertical="center"/>
    </x:xf>
    <x:xf numFmtId="0" fontId="1" fillId="0" borderId="22" xfId="0" applyNumberFormat="1" applyFont="1" applyFill="1" applyBorder="1" applyAlignment="1">
      <x:alignment vertical="center"/>
    </x:xf>
    <x:xf numFmtId="202" fontId="6" fillId="0" borderId="23" xfId="0" applyNumberFormat="1" applyFont="1" applyFill="1" applyBorder="1" applyAlignment="1">
      <x:alignment vertical="center"/>
    </x:xf>
    <x:xf numFmtId="0" fontId="1" fillId="0" borderId="24" xfId="0" applyNumberFormat="1" applyFont="1" applyFill="1" applyBorder="1" applyAlignment="1">
      <x:alignment vertical="center"/>
    </x:xf>
    <x:xf numFmtId="202" fontId="6" fillId="0" borderId="18" xfId="0" applyNumberFormat="1" applyFont="1" applyFill="1" applyBorder="1" applyAlignment="1">
      <x:alignment vertical="center"/>
    </x:xf>
    <x:xf numFmtId="207" fontId="6" fillId="0" borderId="23" xfId="0" applyNumberFormat="1" applyFont="1" applyFill="1" applyBorder="1" applyAlignment="1">
      <x:alignment vertical="center"/>
    </x:xf>
    <x:xf numFmtId="0" fontId="6" fillId="0" borderId="19" xfId="0" applyNumberFormat="1" applyFont="1" applyFill="1" applyBorder="1" applyAlignment="1">
      <x:alignment vertical="center"/>
    </x:xf>
    <x:xf numFmtId="0" fontId="6" fillId="0" borderId="21" xfId="0" applyNumberFormat="1" applyFont="1" applyFill="1" applyBorder="1" applyAlignment="1">
      <x:alignment vertical="center"/>
    </x:xf>
    <x:xf numFmtId="0" fontId="8" fillId="5" borderId="21" xfId="0" applyNumberFormat="1" applyFont="1" applyFill="1" applyBorder="1" applyAlignment="1">
      <x:alignment vertical="center"/>
    </x:xf>
    <x:xf numFmtId="203" fontId="6" fillId="0" borderId="5" xfId="0" applyNumberFormat="1" applyFont="1" applyFill="1" applyBorder="1" applyAlignment="1">
      <x:alignment vertical="center"/>
    </x:xf>
    <x:xf numFmtId="203" fontId="6" fillId="0" borderId="6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3" fontId="6" fillId="0" borderId="7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25" xfId="0" applyNumberFormat="1" applyFont="1" applyFill="1" applyBorder="1" applyAlignment="1">
      <x:alignment vertical="center"/>
    </x:xf>
    <x:xf numFmtId="0" fontId="1" fillId="6" borderId="25" xfId="0" applyNumberFormat="1" applyFont="1" applyFill="1" applyBorder="1" applyAlignment="1">
      <x:alignment vertical="center" wrapText="1"/>
    </x:xf>
    <x:xf numFmtId="0" fontId="1" fillId="6" borderId="25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center"/>
    </x:xf>
    <x:xf numFmtId="0" fontId="7" fillId="4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1F2937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36542521b42cf" /><Relationship Type="http://schemas.openxmlformats.org/officeDocument/2006/relationships/theme" Target="/xl/theme/theme1.xml" Id="Rd77b66e716304cb0" /><Relationship Type="http://schemas.openxmlformats.org/officeDocument/2006/relationships/sharedStrings" Target="/xl/sharedStrings.xml" Id="Re614fa3c822d44c7" /><Relationship Type="http://schemas.openxmlformats.org/officeDocument/2006/relationships/worksheet" Target="/xl/worksheets/sheet1.xml" Id="R70ee43965fc84744" /><Relationship Type="http://schemas.openxmlformats.org/officeDocument/2006/relationships/worksheet" Target="/xl/worksheets/sheet2.xml" Id="Rd3b4912382434ed4" /><Relationship Type="http://schemas.openxmlformats.org/officeDocument/2006/relationships/worksheet" Target="/xl/worksheets/sheet3.xml" Id="Rc72599d09bd24dfb" /><Relationship Type="http://schemas.openxmlformats.org/officeDocument/2006/relationships/worksheet" Target="/xl/worksheets/sheet4.xml" Id="R20471417879d4600" /><Relationship Type="http://schemas.openxmlformats.org/officeDocument/2006/relationships/worksheet" Target="/xl/worksheets/sheet5.xml" Id="Rf7aab501afd04f9d" /><Relationship Type="http://schemas.openxmlformats.org/officeDocument/2006/relationships/worksheet" Target="/xl/worksheets/sheet6.xml" Id="R30c8142d1dba4854" /><Relationship Type="http://schemas.openxmlformats.org/officeDocument/2006/relationships/worksheet" Target="/xl/worksheets/sheet7.xml" Id="Rd5228b9ac4e4444d" /><Relationship Type="http://schemas.openxmlformats.org/officeDocument/2006/relationships/worksheet" Target="/xl/worksheets/sheet8.xml" Id="R1d3ecf63ac514536" /><Relationship Type="http://schemas.openxmlformats.org/officeDocument/2006/relationships/worksheet" Target="/xl/worksheets/sheet9.xml" Id="Rb8401b04d83c4d7a" /><Relationship Type="http://schemas.openxmlformats.org/officeDocument/2006/relationships/worksheet" Target="/xl/worksheets/sheet10.xml" Id="R3ad617a6c93d4dde" /><Relationship Type="http://schemas.openxmlformats.org/officeDocument/2006/relationships/worksheet" Target="/xl/worksheets/sheet11.xml" Id="R2de2bd5e75354b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3" hidden="0" customWidth="1"/>
    <x:col min="4" max="4" width="3" hidden="0" customWidth="1"/>
    <x:col min="5" max="5" width="30" hidden="0" customWidth="1"/>
    <x:col min="6" max="6" width="18" hidden="0" customWidth="1"/>
    <x:col min="7" max="7" width="13" hidden="0" customWidth="1"/>
    <x:col min="8" max="8" width="3" hidden="0" customWidth="1"/>
    <x:col min="9" max="9" width="31" hidden="0" customWidth="1"/>
    <x:col min="10" max="10" width="20" hidden="0" customWidth="1"/>
    <x:col min="11" max="11" width="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3" t="str">
        <x:v>Seven-day heat-blackout Power and Thermal Service Cell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4" t="str">
        <x:v>First-principles upper comparator for an archetypal 50,000-person occupied district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</x:row>
    <x:row r="6">
      <x:c r="A6" s="38" t="str">
        <x:v>Design consequence</x:v>
      </x:c>
      <x:c r="B6" s="39"/>
      <x:c r="C6" s="39"/>
      <x:c r="D6" s="39"/>
      <x:c r="E6" s="39"/>
      <x:c r="F6" s="39"/>
      <x:c r="G6" s="39"/>
      <x:c r="H6" s="39"/>
      <x:c r="I6" s="39"/>
      <x:c r="J6" s="39"/>
      <x:c r="K6" s="40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</x:row>
    <x:row r="7">
      <x:c r="A7" s="91" t="str">
        <x:v>Formation</x:v>
      </x:c>
      <x:c r="B7" s="92" t="str">
        <x:v>PTS-50 Group</x:v>
      </x:c>
      <x:c r="C7" s="93" t="str"/>
      <x:c r="D7" s="2"/>
      <x:c r="E7" s="91" t="str">
        <x:v>PTS-5 cells</x:v>
      </x:c>
      <x:c r="F7" s="99" t="n">
        <x:f>Architecture!N10</x:f>
        <x:v>12</x:v>
      </x:c>
      <x:c r="G7" s="93" t="str">
        <x:v>cells</x:v>
      </x:c>
      <x:c r="H7" s="2"/>
      <x:c r="I7" s="91" t="str">
        <x:v>Service worlds passed</x:v>
      </x:c>
      <x:c r="J7" s="101" t="n">
        <x:f>Architecture!V10</x:f>
        <x:v>16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</x:row>
    <x:row r="8">
      <x:c r="A8" s="94" t="str">
        <x:v>Primary service cell</x:v>
      </x:c>
      <x:c r="B8" s="2" t="str">
        <x:v>PTS-5</x:v>
      </x:c>
      <x:c r="C8" s="95" t="str"/>
      <x:c r="D8" s="2"/>
      <x:c r="E8" s="94" t="str">
        <x:v>Net group electric nameplate</x:v>
      </x:c>
      <x:c r="F8" s="28" t="n">
        <x:f>Architecture!D10</x:f>
        <x:v>24</x:v>
      </x:c>
      <x:c r="G8" s="95" t="str">
        <x:v>MWe</x:v>
      </x:c>
      <x:c r="H8" s="2"/>
      <x:c r="I8" s="94" t="str">
        <x:v>Declared service worlds</x:v>
      </x:c>
      <x:c r="J8" s="102" t="n">
        <x:v>16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</x:row>
    <x:row r="9">
      <x:c r="A9" s="94" t="str">
        <x:v>Population contract</x:v>
      </x:c>
      <x:c r="B9" s="27" t="n">
        <x:f>Assumptions!B7</x:f>
        <x:v>50000</x:v>
      </x:c>
      <x:c r="C9" s="95" t="str">
        <x:v>people</x:v>
      </x:c>
      <x:c r="D9" s="2"/>
      <x:c r="E9" s="94" t="str">
        <x:v>Net group thermal nameplate</x:v>
      </x:c>
      <x:c r="F9" s="28" t="n">
        <x:f>Architecture!E10</x:f>
        <x:v>36</x:v>
      </x:c>
      <x:c r="G9" s="95" t="str">
        <x:v>MWth</x:v>
      </x:c>
      <x:c r="H9" s="2"/>
      <x:c r="I9" s="94" t="str">
        <x:v>Lawful universal stop</x:v>
      </x:c>
      <x:c r="J9" s="102" t="str">
        <x:v>PASS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</x:row>
    <x:row r="10">
      <x:c r="A10" s="94" t="str">
        <x:v>Thermal-service population</x:v>
      </x:c>
      <x:c r="B10" s="27" t="n">
        <x:f>Demand!B10</x:f>
        <x:v>45000</x:v>
      </x:c>
      <x:c r="C10" s="95" t="str">
        <x:v>people</x:v>
      </x:c>
      <x:c r="D10" s="2"/>
      <x:c r="E10" s="94" t="str">
        <x:v>Deployed crew</x:v>
      </x:c>
      <x:c r="F10" s="28" t="n">
        <x:f>Architecture!S10</x:f>
        <x:v>2688</x:v>
      </x:c>
      <x:c r="G10" s="95" t="str">
        <x:v>people</x:v>
      </x:c>
      <x:c r="H10" s="2"/>
      <x:c r="I10" s="94" t="str">
        <x:v>Strictly admitted architectures</x:v>
      </x:c>
      <x:c r="J10" s="102" t="n">
        <x:v>0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</x:row>
    <x:row r="11">
      <x:c r="A11" s="94" t="str">
        <x:v>Selective transfer population</x:v>
      </x:c>
      <x:c r="B11" s="27" t="n">
        <x:f>Demand!B9</x:f>
        <x:v>5000</x:v>
      </x:c>
      <x:c r="C11" s="95" t="str">
        <x:v>people</x:v>
      </x:c>
      <x:c r="D11" s="2"/>
      <x:c r="E11" s="94" t="str">
        <x:v>Dry mass</x:v>
      </x:c>
      <x:c r="F11" s="28" t="n">
        <x:f>Architecture!T10</x:f>
        <x:v>7740</x:v>
      </x:c>
      <x:c r="G11" s="95" t="str">
        <x:v>t</x:v>
      </x:c>
      <x:c r="H11" s="2"/>
      <x:c r="I11" s="94" t="str">
        <x:v>Open evidence gates</x:v>
      </x:c>
      <x:c r="J11" s="102" t="n">
        <x:f>COUNTIFS(Gates!C7:C30,"OPEN")</x:f>
        <x:v>24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</x:row>
    <x:row r="12">
      <x:c r="A12" s="94" t="str">
        <x:v>Required continuous electric service</x:v>
      </x:c>
      <x:c r="B12" s="28" t="n">
        <x:f>Demand!B29</x:f>
        <x:v>14.221596151758574</x:v>
      </x:c>
      <x:c r="C12" s="95" t="str">
        <x:v>MWe</x:v>
      </x:c>
      <x:c r="D12" s="2"/>
      <x:c r="E12" s="94" t="str">
        <x:v>Chargeable mass</x:v>
      </x:c>
      <x:c r="F12" s="28" t="n">
        <x:f>Formation!B25</x:f>
        <x:v>8901</x:v>
      </x:c>
      <x:c r="G12" s="95" t="str">
        <x:v>t</x:v>
      </x:c>
      <x:c r="H12" s="2"/>
      <x:c r="I12" s="94" t="str">
        <x:v>Rendering</x:v>
      </x:c>
      <x:c r="J12" s="103" t="str">
        <x:v>BLOCKED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</x:row>
    <x:row r="13">
      <x:c r="A13" s="94" t="str">
        <x:v>Required useful cooling</x:v>
      </x:c>
      <x:c r="B13" s="28" t="n">
        <x:f>Demand!B19</x:f>
        <x:v>19.65</x:v>
      </x:c>
      <x:c r="C13" s="95" t="str">
        <x:v>MWth</x:v>
      </x:c>
      <x:c r="D13" s="2"/>
      <x:c r="E13" s="94" t="str">
        <x:v>Configured unit capital</x:v>
      </x:c>
      <x:c r="F13" s="75" t="n">
        <x:f>Formation!B24</x:f>
        <x:v>8.169599999999999</x:v>
      </x:c>
      <x:c r="G13" s="95" t="str">
        <x:v>$B</x:v>
      </x:c>
      <x:c r="H13" s="2"/>
      <x:c r="I13" s="94" t="str">
        <x:v>Wet energy burden</x:v>
      </x:c>
      <x:c r="J13" s="103" t="str">
        <x:v>OPEN</x:v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</x:row>
    <x:row r="14">
      <x:c r="A14" s="96" t="str">
        <x:v>Seven-day electrical energy</x:v>
      </x:c>
      <x:c r="B14" s="97" t="n">
        <x:f>Demand!B31</x:f>
        <x:v>2389.2281534954404</x:v>
      </x:c>
      <x:c r="C14" s="98" t="str">
        <x:v>MWh</x:v>
      </x:c>
      <x:c r="D14" s="2"/>
      <x:c r="E14" s="96" t="str">
        <x:v>25-year national program</x:v>
      </x:c>
      <x:c r="F14" s="100" t="n">
        <x:f>Program!J10</x:f>
        <x:v>2320.2111999999997</x:v>
      </x:c>
      <x:c r="G14" s="98" t="str">
        <x:v>$B</x:v>
      </x:c>
      <x:c r="H14" s="2"/>
      <x:c r="I14" s="96" t="str">
        <x:v>Status</x:v>
      </x:c>
      <x:c r="J14" s="98" t="str">
        <x:v>Upper comparator only</x:v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</x:row>
    <x:row r="17">
      <x:c r="A17" s="38" t="str">
        <x:v>Architecture comparison</x:v>
      </x:c>
      <x:c r="B17" s="39"/>
      <x:c r="C17" s="39"/>
      <x:c r="D17" s="39"/>
      <x:c r="E17" s="39"/>
      <x:c r="F17" s="39"/>
      <x:c r="G17" s="39"/>
      <x:c r="H17" s="39"/>
      <x:c r="I17" s="39"/>
      <x:c r="J17" s="39"/>
      <x:c r="K17" s="40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</x:row>
    <x:row r="18">
      <x:c r="A18" s="14" t="str">
        <x:v>Architecture</x:v>
      </x:c>
      <x:c r="B18" s="15" t="str">
        <x:v>Worlds passed</x:v>
      </x:c>
      <x:c r="C18" s="15" t="str">
        <x:v>Crew</x:v>
      </x:c>
      <x:c r="D18" s="15" t="str">
        <x:v>Dry mass (t)</x:v>
      </x:c>
      <x:c r="E18" s="15" t="str">
        <x:v>Direct equipment ($B)</x:v>
      </x:c>
      <x:c r="F18" s="16" t="str">
        <x:v>Disposition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</x:row>
    <x:row r="19">
      <x:c r="A19" s="48" t="str">
        <x:f>Architecture!B7</x:f>
        <x:v>Facility power park</x:v>
      </x:c>
      <x:c r="B19" s="29" t="n">
        <x:f>Architecture!V7</x:f>
        <x:v>0</x:v>
      </x:c>
      <x:c r="C19" s="29" t="n">
        <x:f>Architecture!S7</x:f>
        <x:v>900</x:v>
      </x:c>
      <x:c r="D19" s="29" t="n">
        <x:f>Architecture!T7</x:f>
        <x:v>3500</x:v>
      </x:c>
      <x:c r="E19" s="104" t="n">
        <x:f>Architecture!U7</x:f>
        <x:v>2.6</x:v>
      </x:c>
      <x:c r="F19" s="48" t="str">
        <x:f>Architecture!W7</x:f>
        <x:v>RETAIN / REJECT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</x:row>
    <x:row r="20">
      <x:c r="A20" s="51" t="str">
        <x:f>Architecture!B8</x:f>
        <x:v>Central refuge campuses</x:v>
      </x:c>
      <x:c r="B20" s="30" t="n">
        <x:f>Architecture!V8</x:f>
        <x:v>0</x:v>
      </x:c>
      <x:c r="C20" s="30" t="n">
        <x:f>Architecture!S8</x:f>
        <x:v>1250</x:v>
      </x:c>
      <x:c r="D20" s="30" t="n">
        <x:f>Architecture!T8</x:f>
        <x:v>4200</x:v>
      </x:c>
      <x:c r="E20" s="105" t="n">
        <x:f>Architecture!U8</x:f>
        <x:v>3.4</x:v>
      </x:c>
      <x:c r="F20" s="51" t="str">
        <x:f>Architecture!W8</x:f>
        <x:v>RETAIN / REJECT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</x:row>
    <x:row r="21">
      <x:c r="A21" s="51" t="str">
        <x:f>Architecture!B9</x:f>
        <x:v>Building-interface mesh</x:v>
      </x:c>
      <x:c r="B21" s="30" t="n">
        <x:f>Architecture!V9</x:f>
        <x:v>4</x:v>
      </x:c>
      <x:c r="C21" s="30" t="n">
        <x:f>Architecture!S9</x:f>
        <x:v>2150</x:v>
      </x:c>
      <x:c r="D21" s="30" t="n">
        <x:f>Architecture!T9</x:f>
        <x:v>6500</x:v>
      </x:c>
      <x:c r="E21" s="105" t="n">
        <x:f>Architecture!U9</x:f>
        <x:v>5.6</x:v>
      </x:c>
      <x:c r="F21" s="51" t="str">
        <x:f>Architecture!W9</x:f>
        <x:v>RETAIN / REJECT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</x:row>
    <x:row r="22">
      <x:c r="A22" s="73" t="str">
        <x:f>Architecture!B10</x:f>
        <x:v>Layered PTS-50 group</x:v>
      </x:c>
      <x:c r="B22" s="106" t="n">
        <x:f>Architecture!V10</x:f>
        <x:v>16</x:v>
      </x:c>
      <x:c r="C22" s="106" t="n">
        <x:f>Architecture!S10</x:f>
        <x:v>2688</x:v>
      </x:c>
      <x:c r="D22" s="106" t="n">
        <x:f>Architecture!T10</x:f>
        <x:v>7740</x:v>
      </x:c>
      <x:c r="E22" s="107" t="n">
        <x:f>Architecture!U10</x:f>
        <x:v>6.808</x:v>
      </x:c>
      <x:c r="F22" s="73" t="str">
        <x:f>Architecture!W10</x:f>
        <x:v>UPPER COMPARATOR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</x:row>
    <x:row r="25">
      <x:c r="A25" s="38" t="str">
        <x:v>Decision statement</x:v>
      </x:c>
      <x:c r="B25" s="39"/>
      <x:c r="C25" s="39"/>
      <x:c r="D25" s="39"/>
      <x:c r="E25" s="39"/>
      <x:c r="F25" s="39"/>
      <x:c r="G25" s="39"/>
      <x:c r="H25" s="39"/>
      <x:c r="I25" s="39"/>
      <x:c r="J25" s="39"/>
      <x:c r="K25" s="40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</x:row>
    <x:row r="26" ht="24" customHeight="1">
      <x:c r="A26" s="110" t="str">
        <x:v>H4 is the first architecture in this pass that closes all sixteen declared service worlds and preserves a lawful universal stop. It is not admitted. Its wet energy burden, occupied-building physics, utility release, human access, seven-day operation and second-mission regeneration remain unproved. The model authorizes a technology and test program, not procurement or rendering.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</x:row>
  </x:sheetData>
  <x:mergeCells>
    <x:mergeCell ref="A2:K2"/>
    <x:mergeCell ref="A3:K3"/>
    <x:mergeCell ref="A26:K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15" hidden="0" customWidth="1"/>
    <x:col min="3" max="3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3" t="str">
        <x:v>Heat-blackout service assumptions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4" t="str">
        <x:v>Declared design hypotheses for an archetypal district; no protected campaign outcomes are used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5"/>
      <x:c r="B4" s="5"/>
      <x:c r="C4" s="5"/>
      <x:c r="D4" s="5"/>
      <x:c r="E4" s="5"/>
      <x:c r="F4" s="5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</x:row>
    <x:row r="6">
      <x:c r="A6" s="14" t="str">
        <x:v>Driver</x:v>
      </x:c>
      <x:c r="B6" s="15" t="str">
        <x:v>Value</x:v>
      </x:c>
      <x:c r="C6" s="16" t="str">
        <x:v>Unit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</x:row>
    <x:row r="7">
      <x:c r="A7" s="19" t="str">
        <x:v>District population</x:v>
      </x:c>
      <x:c r="B7" s="20" t="n">
        <x:v>50000</x:v>
      </x:c>
      <x:c r="C7" s="19" t="str">
        <x:v>people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</x:row>
    <x:row r="8">
      <x:c r="A8" s="21" t="str">
        <x:v>Mission duration</x:v>
      </x:c>
      <x:c r="B8" s="22" t="n">
        <x:v>168</x:v>
      </x:c>
      <x:c r="C8" s="21" t="str">
        <x:v>hours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</x:row>
    <x:row r="9">
      <x:c r="A9" s="21" t="str">
        <x:v>Occupied buildings</x:v>
      </x:c>
      <x:c r="B9" s="22" t="n">
        <x:v>100</x:v>
      </x:c>
      <x:c r="C9" s="21" t="str">
        <x:v>buildings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</x:row>
    <x:row r="10">
      <x:c r="A10" s="21" t="str">
        <x:v>Prepared building share</x:v>
      </x:c>
      <x:c r="B10" s="25" t="n">
        <x:v>0.4</x:v>
      </x:c>
      <x:c r="C10" s="21" t="str">
        <x:v>share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</x:row>
    <x:row r="11">
      <x:c r="A11" s="21" t="str">
        <x:v>Protected in-place share</x:v>
      </x:c>
      <x:c r="B11" s="25" t="n">
        <x:v>0.6</x:v>
      </x:c>
      <x:c r="C11" s="21" t="str">
        <x:v>share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</x:row>
    <x:row r="12">
      <x:c r="A12" s="21" t="str">
        <x:v>Neighborhood refuge share</x:v>
      </x:c>
      <x:c r="B12" s="25" t="n">
        <x:v>0.3</x:v>
      </x:c>
      <x:c r="C12" s="21" t="str">
        <x:v>share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</x:row>
    <x:row r="13">
      <x:c r="A13" s="21" t="str">
        <x:v>Selective transfer share</x:v>
      </x:c>
      <x:c r="B13" s="22" t="n">
        <x:v>0.1</x:v>
      </x:c>
      <x:c r="C13" s="21" t="str">
        <x:v>share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</x:row>
    <x:row r="14">
      <x:c r="A14" s="21" t="str">
        <x:v>Average household size</x:v>
      </x:c>
      <x:c r="B14" s="22" t="n">
        <x:v>2.45</x:v>
      </x:c>
      <x:c r="C14" s="21" t="str">
        <x:v>people / household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</x:row>
    <x:row r="15">
      <x:c r="A15" s="21" t="str">
        <x:v>Medically power-dependent share</x:v>
      </x:c>
      <x:c r="B15" s="25" t="n">
        <x:v>0.04</x:v>
      </x:c>
      <x:c r="C15" s="21" t="str">
        <x:v>share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</x:row>
    <x:row r="16">
      <x:c r="A16" s="21" t="str">
        <x:v>Vertical-continuity share</x:v>
      </x:c>
      <x:c r="B16" s="25" t="n">
        <x:v>0.1</x:v>
      </x:c>
      <x:c r="C16" s="21" t="str">
        <x:v>share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</x:row>
    <x:row r="17">
      <x:c r="A17" s="21" t="str">
        <x:v>Required thermal-service share</x:v>
      </x:c>
      <x:c r="B17" s="25" t="n">
        <x:v>0.9</x:v>
      </x:c>
      <x:c r="C17" s="21" t="str">
        <x:v>share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</x:row>
    <x:row r="18">
      <x:c r="A18" s="21" t="str">
        <x:v>In-place survival-zone cooling</x:v>
      </x:c>
      <x:c r="B18" s="22" t="n">
        <x:v>0.38</x:v>
      </x:c>
      <x:c r="C18" s="21" t="str">
        <x:v>kWth / person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</x:row>
    <x:row r="19">
      <x:c r="A19" s="21" t="str">
        <x:v>Refuge cooling and ventilation</x:v>
      </x:c>
      <x:c r="B19" s="22" t="n">
        <x:v>0.55</x:v>
      </x:c>
      <x:c r="C19" s="21" t="str">
        <x:v>kWth / person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</x:row>
    <x:row r="20">
      <x:c r="A20" s="21" t="str">
        <x:v>High-ambient coefficient of performance</x:v>
      </x:c>
      <x:c r="B20" s="22" t="n">
        <x:v>2.35</x:v>
      </x:c>
      <x:c r="C20" s="21" t="str">
        <x:v>thermal / electric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</x:row>
    <x:row r="21">
      <x:c r="A21" s="21" t="str">
        <x:v>Thermal auxiliary share</x:v>
      </x:c>
      <x:c r="B21" s="25" t="n">
        <x:v>0.18</x:v>
      </x:c>
      <x:c r="C21" s="21" t="str">
        <x:v>share of compressor electricity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</x:row>
    <x:row r="22">
      <x:c r="A22" s="21" t="str">
        <x:v>Pumped water requirement</x:v>
      </x:c>
      <x:c r="B22" s="22" t="n">
        <x:v>50</x:v>
      </x:c>
      <x:c r="C22" s="21" t="str">
        <x:v>L / occupied person-day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</x:row>
    <x:row r="23">
      <x:c r="A23" s="21" t="str">
        <x:v>Water pumping intensity</x:v>
      </x:c>
      <x:c r="B23" s="22" t="n">
        <x:v>0.65</x:v>
      </x:c>
      <x:c r="C23" s="21" t="str">
        <x:v>kWh / m3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</x:row>
    <x:row r="24">
      <x:c r="A24" s="21" t="str">
        <x:v>Medical-device continuity load</x:v>
      </x:c>
      <x:c r="B24" s="22" t="n">
        <x:v>0.25</x:v>
      </x:c>
      <x:c r="C24" s="21" t="str">
        <x:v>kW / dependent person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</x:row>
    <x:row r="25">
      <x:c r="A25" s="21" t="str">
        <x:v>Vertical service coincident load</x:v>
      </x:c>
      <x:c r="B25" s="22" t="n">
        <x:v>0.2</x:v>
      </x:c>
      <x:c r="C25" s="21" t="str">
        <x:v>kW / vertical-service person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</x:row>
    <x:row r="26">
      <x:c r="A26" s="21" t="str">
        <x:v>Communications and charging load</x:v>
      </x:c>
      <x:c r="B26" s="22" t="n">
        <x:v>0.015</x:v>
      </x:c>
      <x:c r="C26" s="21" t="str">
        <x:v>kW / household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</x:row>
    <x:row r="27">
      <x:c r="A27" s="21" t="str">
        <x:v>Food and pharmaceutical cold load</x:v>
      </x:c>
      <x:c r="B27" s="22" t="n">
        <x:v>0.012</x:v>
      </x:c>
      <x:c r="C27" s="21" t="str">
        <x:v>kW / person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</x:row>
    <x:row r="28">
      <x:c r="A28" s="21" t="str">
        <x:v>Lighting, controls and life safety</x:v>
      </x:c>
      <x:c r="B28" s="22" t="n">
        <x:v>0.015</x:v>
      </x:c>
      <x:c r="C28" s="21" t="str">
        <x:v>kW / person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</x:row>
    <x:row r="29">
      <x:c r="A29" s="21" t="str">
        <x:v>Temporary distribution loss</x:v>
      </x:c>
      <x:c r="B29" s="25" t="n">
        <x:v>0.08</x:v>
      </x:c>
      <x:c r="C29" s="21" t="str">
        <x:v>share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</x:row>
    <x:row r="30">
      <x:c r="A30" s="21" t="str">
        <x:v>Peak-to-average factor</x:v>
      </x:c>
      <x:c r="B30" s="25" t="n">
        <x:v>1.35</x:v>
      </x:c>
      <x:c r="C30" s="21" t="str">
        <x:v>multiple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</x:row>
    <x:row r="31">
      <x:c r="A31" s="21" t="str">
        <x:v>Prepared-building connection work</x:v>
      </x:c>
      <x:c r="B31" s="22" t="n">
        <x:v>2</x:v>
      </x:c>
      <x:c r="C31" s="21" t="str">
        <x:v>crew-hours / building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</x:row>
    <x:row r="32">
      <x:c r="A32" s="21" t="str">
        <x:v>Field-adapted connection work</x:v>
      </x:c>
      <x:c r="B32" s="22" t="n">
        <x:v>20</x:v>
      </x:c>
      <x:c r="C32" s="21" t="str">
        <x:v>crew-hours / building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</x:row>
    <x:row r="33">
      <x:c r="A33" s="21" t="str">
        <x:v>Productive connection-team hours</x:v>
      </x:c>
      <x:c r="B33" s="22" t="n">
        <x:v>16</x:v>
      </x:c>
      <x:c r="C33" s="21" t="str">
        <x:v>hours / team-day</x:v>
      </x:c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</x:row>
    <x:row r="34">
      <x:c r="A34" s="21" t="str">
        <x:v>Connection-team availability</x:v>
      </x:c>
      <x:c r="B34" s="22" t="n">
        <x:v>0.7</x:v>
      </x:c>
      <x:c r="C34" s="21" t="str">
        <x:v>share</x:v>
      </x:c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</x:row>
    <x:row r="35">
      <x:c r="A35" s="21" t="str">
        <x:v>Connection deadline</x:v>
      </x:c>
      <x:c r="B35" s="22" t="n">
        <x:v>2</x:v>
      </x:c>
      <x:c r="C35" s="21" t="str">
        <x:v>days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</x:row>
    <x:row r="36">
      <x:c r="A36" s="21" t="str">
        <x:v>Primary PTS-5 cells</x:v>
      </x:c>
      <x:c r="B36" s="22" t="n">
        <x:v>10</x:v>
      </x:c>
      <x:c r="C36" s="21" t="str">
        <x:v>cells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</x:row>
    <x:row r="37">
      <x:c r="A37" s="21" t="str">
        <x:v>Reserve PTS-5 cells</x:v>
      </x:c>
      <x:c r="B37" s="22" t="n">
        <x:v>2</x:v>
      </x:c>
      <x:c r="C37" s="21" t="str">
        <x:v>cells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</x:row>
    <x:row r="38">
      <x:c r="A38" s="21" t="str">
        <x:v>Net electric output per cell</x:v>
      </x:c>
      <x:c r="B38" s="22" t="n">
        <x:v>2</x:v>
      </x:c>
      <x:c r="C38" s="21" t="str">
        <x:v>MWe</x:v>
      </x:c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</x:row>
    <x:row r="39">
      <x:c r="A39" s="21" t="str">
        <x:v>Net thermal output per cell</x:v>
      </x:c>
      <x:c r="B39" s="22" t="n">
        <x:v>3</x:v>
      </x:c>
      <x:c r="C39" s="21" t="str">
        <x:v>MWth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</x:row>
    <x:row r="40">
      <x:c r="A40" s="21" t="str">
        <x:v>Electric storage per cell</x:v>
      </x:c>
      <x:c r="B40" s="22" t="n">
        <x:v>5</x:v>
      </x:c>
      <x:c r="C40" s="21" t="str">
        <x:v>MWh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</x:row>
    <x:row r="41">
      <x:c r="A41" s="21" t="str">
        <x:v>Thermal storage per cell</x:v>
      </x:c>
      <x:c r="B41" s="22" t="n">
        <x:v>15</x:v>
      </x:c>
      <x:c r="C41" s="21" t="str">
        <x:v>MWhth</x:v>
      </x:c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</x:row>
    <x:row r="42">
      <x:c r="A42" s="21" t="str">
        <x:v>Chargeable-mass factor</x:v>
      </x:c>
      <x:c r="B42" s="25" t="n">
        <x:v>0.15</x:v>
      </x:c>
      <x:c r="C42" s="21" t="str">
        <x:v>share of dry mass</x:v>
      </x:c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</x:row>
    <x:row r="43">
      <x:c r="A43" s="21" t="str">
        <x:v>Configured-unit capital factor</x:v>
      </x:c>
      <x:c r="B43" s="25" t="n">
        <x:v>0.2</x:v>
      </x:c>
      <x:c r="C43" s="21" t="str">
        <x:v>share of direct equipment</x:v>
      </x:c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</x:row>
    <x:row r="44">
      <x:c r="A44" s="21" t="str">
        <x:v>National PTS-50 groups</x:v>
      </x:c>
      <x:c r="B44" s="22" t="n">
        <x:v>72</x:v>
      </x:c>
      <x:c r="C44" s="21" t="str">
        <x:v>groups</x:v>
      </x:c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</x:row>
    <x:row r="45">
      <x:c r="A45" s="21" t="str">
        <x:v>Prepared metropolitan programs</x:v>
      </x:c>
      <x:c r="B45" s="22" t="n">
        <x:v>24</x:v>
      </x:c>
      <x:c r="C45" s="21" t="str">
        <x:v>metros</x:v>
      </x:c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</x:row>
    <x:row r="46">
      <x:c r="A46" s="23" t="str">
        <x:v>Program horizon</x:v>
      </x:c>
      <x:c r="B46" s="24" t="n">
        <x:v>25</x:v>
      </x:c>
      <x:c r="C46" s="23" t="str">
        <x:v>years</x:v>
      </x:c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</x:row>
    <x:row r="48">
      <x:c r="A48" s="4" t="str">
        <x:v>All values are hypotheses to be challenged in representative occupied-building trials. They are not forecasts, codes, or observed New York conditions.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</x:row>
  </x:sheetData>
  <x:mergeCells>
    <x:mergeCell ref="A2:F2"/>
    <x:mergeCell ref="A3:F3"/>
    <x:mergeCell ref="A48:F4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3" t="str">
        <x:v>Population-to-service demand build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4" t="str">
        <x:v>Service, building-interface, electric, thermal and energy requirements derived from the declared district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5"/>
      <x:c r="B4" s="5"/>
      <x:c r="C4" s="5"/>
      <x:c r="D4" s="5"/>
      <x:c r="E4" s="5"/>
      <x:c r="F4" s="5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</x:row>
    <x:row r="6">
      <x:c r="A6" s="14" t="str">
        <x:v>Requirement</x:v>
      </x:c>
      <x:c r="B6" s="15" t="str">
        <x:v>Calculated value</x:v>
      </x:c>
      <x:c r="C6" s="16" t="str">
        <x:v>Unit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</x:row>
    <x:row r="7">
      <x:c r="A7" s="19" t="str">
        <x:v>Protected in place</x:v>
      </x:c>
      <x:c r="B7" s="29" t="n">
        <x:f>Assumptions!B7*Assumptions!B11</x:f>
        <x:v>30000</x:v>
      </x:c>
      <x:c r="C7" s="19" t="str">
        <x:v>people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</x:row>
    <x:row r="8">
      <x:c r="A8" s="21" t="str">
        <x:v>Neighborhood refuge</x:v>
      </x:c>
      <x:c r="B8" s="30" t="n">
        <x:f>Assumptions!B7*Assumptions!B12</x:f>
        <x:v>15000</x:v>
      </x:c>
      <x:c r="C8" s="21" t="str">
        <x:v>people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</x:row>
    <x:row r="9">
      <x:c r="A9" s="21" t="str">
        <x:v>Selective transfer</x:v>
      </x:c>
      <x:c r="B9" s="30" t="n">
        <x:f>Assumptions!B7*Assumptions!B13</x:f>
        <x:v>5000</x:v>
      </x:c>
      <x:c r="C9" s="21" t="str">
        <x:v>people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</x:row>
    <x:row r="10">
      <x:c r="A10" s="21" t="str">
        <x:v>Thermal-service population</x:v>
      </x:c>
      <x:c r="B10" s="30" t="n">
        <x:f>SUM(B7:B8)</x:f>
        <x:v>45000</x:v>
      </x:c>
      <x:c r="C10" s="21" t="str">
        <x:v>people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</x:row>
    <x:row r="11">
      <x:c r="A11" s="21" t="str">
        <x:v>Medically power-dependent population</x:v>
      </x:c>
      <x:c r="B11" s="30" t="n">
        <x:f>Assumptions!B7*Assumptions!B15</x:f>
        <x:v>2000</x:v>
      </x:c>
      <x:c r="C11" s="21" t="str">
        <x:v>people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</x:row>
    <x:row r="12">
      <x:c r="A12" s="21" t="str">
        <x:v>Vertical-continuity population</x:v>
      </x:c>
      <x:c r="B12" s="30" t="n">
        <x:f>Assumptions!B7*Assumptions!B16</x:f>
        <x:v>5000</x:v>
      </x:c>
      <x:c r="C12" s="21" t="str">
        <x:v>people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</x:row>
    <x:row r="13">
      <x:c r="A13" s="21" t="str">
        <x:v>Occupied population after transfer</x:v>
      </x:c>
      <x:c r="B13" s="30" t="n">
        <x:f>Assumptions!B7-B9</x:f>
        <x:v>45000</x:v>
      </x:c>
      <x:c r="C13" s="21" t="str">
        <x:v>people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</x:row>
    <x:row r="14">
      <x:c r="A14" s="21" t="str">
        <x:v>Households</x:v>
      </x:c>
      <x:c r="B14" s="30" t="n">
        <x:f>Assumptions!B7/Assumptions!B14</x:f>
        <x:v>20408.16326530612</x:v>
      </x:c>
      <x:c r="C14" s="21" t="str">
        <x:v>households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</x:row>
    <x:row r="15">
      <x:c r="A15" s="21" t="str">
        <x:v>Communications and charging households</x:v>
      </x:c>
      <x:c r="B15" s="30" t="n">
        <x:f>B14</x:f>
        <x:v>20408.16326530612</x:v>
      </x:c>
      <x:c r="C15" s="21" t="str">
        <x:v>households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</x:row>
    <x:row r="16">
      <x:c r="A16" s="21" t="str">
        <x:v>Pumped water requirement</x:v>
      </x:c>
      <x:c r="B16" s="30" t="n">
        <x:f>B13*Assumptions!B22/1000</x:f>
        <x:v>2250</x:v>
      </x:c>
      <x:c r="C16" s="21" t="str">
        <x:v>m3 / day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</x:row>
    <x:row r="17">
      <x:c r="A17" s="21" t="str">
        <x:v>In-place cooling</x:v>
      </x:c>
      <x:c r="B17" s="31" t="n">
        <x:f>B7*Assumptions!B18/1000</x:f>
        <x:v>11.4</x:v>
      </x:c>
      <x:c r="C17" s="21" t="str">
        <x:v>MWth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</x:row>
    <x:row r="18">
      <x:c r="A18" s="21" t="str">
        <x:v>Refuge cooling and ventilation</x:v>
      </x:c>
      <x:c r="B18" s="31" t="n">
        <x:f>B8*Assumptions!B19/1000</x:f>
        <x:v>8.25</x:v>
      </x:c>
      <x:c r="C18" s="21" t="str">
        <x:v>MWth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</x:row>
    <x:row r="19">
      <x:c r="A19" s="21" t="str">
        <x:v>Total useful cooling</x:v>
      </x:c>
      <x:c r="B19" s="31" t="n">
        <x:f>SUM(B17:B18)</x:f>
        <x:v>19.65</x:v>
      </x:c>
      <x:c r="C19" s="21" t="str">
        <x:v>MWth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</x:row>
    <x:row r="20">
      <x:c r="A20" s="21" t="str">
        <x:v>Cooling compressor input</x:v>
      </x:c>
      <x:c r="B20" s="31" t="n">
        <x:f>B19/Assumptions!B20</x:f>
        <x:v>8.361702127659573</x:v>
      </x:c>
      <x:c r="C20" s="21" t="str">
        <x:v>MWe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</x:row>
    <x:row r="21">
      <x:c r="A21" s="21" t="str">
        <x:v>Thermal auxiliaries</x:v>
      </x:c>
      <x:c r="B21" s="31" t="n">
        <x:f>B20*Assumptions!B21</x:f>
        <x:v>1.505106382978723</x:v>
      </x:c>
      <x:c r="C21" s="21" t="str">
        <x:v>MWe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</x:row>
    <x:row r="22">
      <x:c r="A22" s="21" t="str">
        <x:v>Water pumping</x:v>
      </x:c>
      <x:c r="B22" s="31" t="n">
        <x:f>B16*Assumptions!B23/24/1000</x:f>
        <x:v>0.0609375</x:v>
      </x:c>
      <x:c r="C22" s="21" t="str">
        <x:v>MWe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</x:row>
    <x:row r="23">
      <x:c r="A23" s="21" t="str">
        <x:v>Medical devices</x:v>
      </x:c>
      <x:c r="B23" s="31" t="n">
        <x:f>B11*Assumptions!B24/1000</x:f>
        <x:v>0.5</x:v>
      </x:c>
      <x:c r="C23" s="21" t="str">
        <x:v>MWe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</x:row>
    <x:row r="24">
      <x:c r="A24" s="21" t="str">
        <x:v>Vertical service</x:v>
      </x:c>
      <x:c r="B24" s="31" t="n">
        <x:f>B12*Assumptions!B25/1000</x:f>
        <x:v>1</x:v>
      </x:c>
      <x:c r="C24" s="21" t="str">
        <x:v>MWe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</x:row>
    <x:row r="25">
      <x:c r="A25" s="21" t="str">
        <x:v>Communications and charging</x:v>
      </x:c>
      <x:c r="B25" s="31" t="n">
        <x:f>B15*Assumptions!B26/1000</x:f>
        <x:v>0.3061224489795918</x:v>
      </x:c>
      <x:c r="C25" s="21" t="str">
        <x:v>MWe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</x:row>
    <x:row r="26">
      <x:c r="A26" s="21" t="str">
        <x:v>Food and pharmaceutical cold chain</x:v>
      </x:c>
      <x:c r="B26" s="31" t="n">
        <x:f>Assumptions!B7*Assumptions!B27/1000</x:f>
        <x:v>0.6</x:v>
      </x:c>
      <x:c r="C26" s="21" t="str">
        <x:v>MWe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</x:row>
    <x:row r="27">
      <x:c r="A27" s="21" t="str">
        <x:v>Lighting, controls and life safety</x:v>
      </x:c>
      <x:c r="B27" s="31" t="n">
        <x:f>Assumptions!B7*Assumptions!B28/1000</x:f>
        <x:v>0.75</x:v>
      </x:c>
      <x:c r="C27" s="21" t="str">
        <x:v>MWe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</x:row>
    <x:row r="28">
      <x:c r="A28" s="21" t="str">
        <x:v>Net electric load before distribution loss</x:v>
      </x:c>
      <x:c r="B28" s="31" t="n">
        <x:f>SUM(B20:B27)</x:f>
        <x:v>13.083868459617888</x:v>
      </x:c>
      <x:c r="C28" s="21" t="str">
        <x:v>MWe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</x:row>
    <x:row r="29">
      <x:c r="A29" s="21" t="str">
        <x:v>Required continuous net generation</x:v>
      </x:c>
      <x:c r="B29" s="31" t="n">
        <x:f>B28/(1-Assumptions!B29)</x:f>
        <x:v>14.221596151758574</x:v>
      </x:c>
      <x:c r="C29" s="21" t="str">
        <x:v>MWe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</x:row>
    <x:row r="30">
      <x:c r="A30" s="21" t="str">
        <x:v>Required peak output</x:v>
      </x:c>
      <x:c r="B30" s="31" t="n">
        <x:f>B29*Assumptions!B30</x:f>
        <x:v>19.199154804874077</x:v>
      </x:c>
      <x:c r="C30" s="21" t="str">
        <x:v>MWe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</x:row>
    <x:row r="31">
      <x:c r="A31" s="21" t="str">
        <x:v>Seven-day electrical energy</x:v>
      </x:c>
      <x:c r="B31" s="31" t="n">
        <x:f>B29*Assumptions!B8</x:f>
        <x:v>2389.2281534954404</x:v>
      </x:c>
      <x:c r="C31" s="21" t="str">
        <x:v>MWh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</x:row>
    <x:row r="32">
      <x:c r="A32" s="21" t="str">
        <x:v>Heat-rejection duty</x:v>
      </x:c>
      <x:c r="B32" s="31" t="n">
        <x:f>B19+B20</x:f>
        <x:v>28.01170212765957</x:v>
      </x:c>
      <x:c r="C32" s="21" t="str">
        <x:v>MWth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</x:row>
    <x:row r="33">
      <x:c r="A33" s="21" t="str">
        <x:v>Prepared buildings</x:v>
      </x:c>
      <x:c r="B33" s="30" t="n">
        <x:f>Assumptions!B9*Assumptions!B10</x:f>
        <x:v>40</x:v>
      </x:c>
      <x:c r="C33" s="21" t="str">
        <x:v>buildings</x:v>
      </x:c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</x:row>
    <x:row r="34">
      <x:c r="A34" s="21" t="str">
        <x:v>Field-adapted buildings</x:v>
      </x:c>
      <x:c r="B34" s="30" t="n">
        <x:f>Assumptions!B9-B33</x:f>
        <x:v>60</x:v>
      </x:c>
      <x:c r="C34" s="21" t="str">
        <x:v>buildings</x:v>
      </x:c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</x:row>
    <x:row r="35">
      <x:c r="A35" s="21" t="str">
        <x:v>Total connection work</x:v>
      </x:c>
      <x:c r="B35" s="30" t="n">
        <x:f>B33*Assumptions!B31+B34*Assumptions!B32</x:f>
        <x:v>1280</x:v>
      </x:c>
      <x:c r="C35" s="21" t="str">
        <x:v>crew-hours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</x:row>
    <x:row r="36">
      <x:c r="A36" s="21" t="str">
        <x:v>Connection teams required by deadline</x:v>
      </x:c>
      <x:c r="B36" s="30" t="n">
        <x:f>ROUNDUP(B35/(Assumptions!B33*Assumptions!B34*Assumptions!B35),0)</x:f>
        <x:v>58</x:v>
      </x:c>
      <x:c r="C36" s="21" t="str">
        <x:v>teams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</x:row>
    <x:row r="37">
      <x:c r="A37" s="21" t="str">
        <x:v>Primary-cell electric nameplate</x:v>
      </x:c>
      <x:c r="B37" s="30" t="n">
        <x:f>Assumptions!B36*Assumptions!B38</x:f>
        <x:v>20</x:v>
      </x:c>
      <x:c r="C37" s="21" t="str">
        <x:v>MWe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</x:row>
    <x:row r="38">
      <x:c r="A38" s="21" t="str">
        <x:v>All-cell electric nameplate</x:v>
      </x:c>
      <x:c r="B38" s="31" t="n">
        <x:f>(Assumptions!B36+Assumptions!B37)*Assumptions!B38</x:f>
        <x:v>24</x:v>
      </x:c>
      <x:c r="C38" s="21" t="str">
        <x:v>MWe</x:v>
      </x:c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</x:row>
    <x:row r="39">
      <x:c r="A39" s="21" t="str">
        <x:v>Primary-cell thermal nameplate</x:v>
      </x:c>
      <x:c r="B39" s="31" t="n">
        <x:f>Assumptions!B36*Assumptions!B39</x:f>
        <x:v>30</x:v>
      </x:c>
      <x:c r="C39" s="21" t="str">
        <x:v>MWth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</x:row>
    <x:row r="40">
      <x:c r="A40" s="21" t="str">
        <x:v>All-cell thermal nameplate</x:v>
      </x:c>
      <x:c r="B40" s="31" t="n">
        <x:f>(Assumptions!B36+Assumptions!B37)*Assumptions!B39</x:f>
        <x:v>36</x:v>
      </x:c>
      <x:c r="C40" s="21" t="str">
        <x:v>MWth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</x:row>
    <x:row r="41">
      <x:c r="A41" s="21" t="str">
        <x:v>All-cell electric storage</x:v>
      </x:c>
      <x:c r="B41" s="31" t="n">
        <x:f>(Assumptions!B36+Assumptions!B37)*Assumptions!B40</x:f>
        <x:v>60</x:v>
      </x:c>
      <x:c r="C41" s="21" t="str">
        <x:v>MWh</x:v>
      </x:c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</x:row>
    <x:row r="42">
      <x:c r="A42" s="21" t="str">
        <x:v>All-cell thermal storage</x:v>
      </x:c>
      <x:c r="B42" s="31" t="n">
        <x:f>(Assumptions!B36+Assumptions!B37)*Assumptions!B41</x:f>
        <x:v>180</x:v>
      </x:c>
      <x:c r="C42" s="21" t="str">
        <x:v>MWhth</x:v>
      </x:c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</x:row>
    <x:row r="43">
      <x:c r="A43" s="23" t="str">
        <x:v>Nominal population per primary cell</x:v>
      </x:c>
      <x:c r="B43" s="32" t="n">
        <x:f>Assumptions!B7/Assumptions!B36</x:f>
        <x:v>5000</x:v>
      </x:c>
      <x:c r="C43" s="23" t="str">
        <x:v>people</x:v>
      </x:c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</x:row>
  </x:sheetData>
  <x:mergeCells>
    <x:mergeCell ref="A2:F2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15" hidden="0" customWidth="1"/>
    <x:col min="3" max="3" width="22" hidden="0" customWidth="1"/>
    <x:col min="4" max="4" width="22" hidden="0" customWidth="1"/>
    <x:col min="5" max="5" width="22" hidden="0" customWidth="1"/>
    <x:col min="6" max="6" width="15" hidden="0" customWidth="1"/>
    <x:col min="7" max="7" width="25" hidden="0" customWidth="1"/>
    <x:col min="8" max="8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3" t="str">
        <x:v>Six-hour service trajectory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4" t="str">
        <x:v>Protected population includes thermally safe occupancy plus completed selective transfer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5"/>
      <x:c r="B4" s="5"/>
      <x:c r="C4" s="5"/>
      <x:c r="D4" s="5"/>
      <x:c r="E4" s="5"/>
      <x:c r="F4" s="5"/>
      <x:c r="G4" s="5"/>
      <x:c r="H4" s="5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</x:row>
    <x:row r="6">
      <x:c r="A6" s="14" t="str">
        <x:v>Hour</x:v>
      </x:c>
      <x:c r="B6" s="15" t="str">
        <x:v>Architecture</x:v>
      </x:c>
      <x:c r="C6" s="15" t="str">
        <x:v>Thermally protected people</x:v>
      </x:c>
      <x:c r="D6" s="15" t="str">
        <x:v>Transferred people</x:v>
      </x:c>
      <x:c r="E6" s="15" t="str">
        <x:v>Total protected people</x:v>
      </x:c>
      <x:c r="F6" s="15" t="str">
        <x:v>Protected share</x:v>
      </x:c>
      <x:c r="G6" s="15" t="str">
        <x:v>Interval unprotected people-hours</x:v>
      </x:c>
      <x:c r="H6" s="16" t="str">
        <x:v>Cumulative unprotected people-hours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</x:row>
    <x:row r="7">
      <x:c r="A7" s="53" t="n">
        <x:v>0</x:v>
      </x:c>
      <x:c r="B7" s="53" t="str">
        <x:v>H1</x:v>
      </x:c>
      <x:c r="C7" s="59" t="n">
        <x:f>MIN(Demand!$B$10,Architecture!$F$7)*MAX(0,MIN(1,(A7-Architecture!$P$7)/(Architecture!$O$7-Architecture!$P$7)))</x:f>
        <x:v>0</x:v>
      </x:c>
      <x:c r="D7" s="59" t="n">
        <x:f>MIN(Demand!$B$9,Architecture!$L$7*MAX(0,A7-Architecture!$P$7)/24)</x:f>
        <x:v>0</x:v>
      </x:c>
      <x:c r="E7" s="59" t="n">
        <x:f>MIN(Assumptions!$B$7,C7+D7)</x:f>
        <x:v>0</x:v>
      </x:c>
      <x:c r="F7" s="62" t="n">
        <x:f>E7/Assumptions!$B$7</x:f>
        <x:v>0</x:v>
      </x:c>
      <x:c r="G7" s="59" t="n">
        <x:v>0</x:v>
      </x:c>
      <x:c r="H7" s="59" t="n">
        <x:v>0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</x:row>
    <x:row r="8">
      <x:c r="A8" s="54" t="n">
        <x:v>6</x:v>
      </x:c>
      <x:c r="B8" s="54" t="str">
        <x:v>H1</x:v>
      </x:c>
      <x:c r="C8" s="60" t="n">
        <x:f>MIN(Demand!$B$10,Architecture!$F$7)*MAX(0,MIN(1,(A8-Architecture!$P$7)/(Architecture!$O$7-Architecture!$P$7)))</x:f>
        <x:v>0</x:v>
      </x:c>
      <x:c r="D8" s="60" t="n">
        <x:f>MIN(Demand!$B$9,Architecture!$L$7*MAX(0,A8-Architecture!$P$7)/24)</x:f>
        <x:v>0</x:v>
      </x:c>
      <x:c r="E8" s="60" t="n">
        <x:f>MIN(Assumptions!$B$7,C8+D8)</x:f>
        <x:v>0</x:v>
      </x:c>
      <x:c r="F8" s="63" t="n">
        <x:f>E8/Assumptions!$B$7</x:f>
        <x:v>0</x:v>
      </x:c>
      <x:c r="G8" s="60" t="n">
        <x:f>(Assumptions!$B$7-AVERAGE(E7:E8))*6</x:f>
        <x:v>300000</x:v>
      </x:c>
      <x:c r="H8" s="60" t="n">
        <x:f>H7+G8</x:f>
        <x:v>300000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</x:row>
    <x:row r="9">
      <x:c r="A9" s="54" t="n">
        <x:v>12</x:v>
      </x:c>
      <x:c r="B9" s="54" t="str">
        <x:v>H1</x:v>
      </x:c>
      <x:c r="C9" s="60" t="n">
        <x:f>MIN(Demand!$B$10,Architecture!$F$7)*MAX(0,MIN(1,(A9-Architecture!$P$7)/(Architecture!$O$7-Architecture!$P$7)))</x:f>
        <x:v>0</x:v>
      </x:c>
      <x:c r="D9" s="60" t="n">
        <x:f>MIN(Demand!$B$9,Architecture!$L$7*MAX(0,A9-Architecture!$P$7)/24)</x:f>
        <x:v>0</x:v>
      </x:c>
      <x:c r="E9" s="60" t="n">
        <x:f>MIN(Assumptions!$B$7,C9+D9)</x:f>
        <x:v>0</x:v>
      </x:c>
      <x:c r="F9" s="63" t="n">
        <x:f>E9/Assumptions!$B$7</x:f>
        <x:v>0</x:v>
      </x:c>
      <x:c r="G9" s="60" t="n">
        <x:f>(Assumptions!$B$7-AVERAGE(E8:E9))*6</x:f>
        <x:v>300000</x:v>
      </x:c>
      <x:c r="H9" s="60" t="n">
        <x:f>H8+G9</x:f>
        <x:v>600000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</x:row>
    <x:row r="10">
      <x:c r="A10" s="54" t="n">
        <x:v>18</x:v>
      </x:c>
      <x:c r="B10" s="54" t="str">
        <x:v>H1</x:v>
      </x:c>
      <x:c r="C10" s="60" t="n">
        <x:f>MIN(Demand!$B$10,Architecture!$F$7)*MAX(0,MIN(1,(A10-Architecture!$P$7)/(Architecture!$O$7-Architecture!$P$7)))</x:f>
        <x:v>2250</x:v>
      </x:c>
      <x:c r="D10" s="60" t="n">
        <x:f>MIN(Demand!$B$9,Architecture!$L$7*MAX(0,A10-Architecture!$P$7)/24)</x:f>
        <x:v>125</x:v>
      </x:c>
      <x:c r="E10" s="60" t="n">
        <x:f>MIN(Assumptions!$B$7,C10+D10)</x:f>
        <x:v>2375</x:v>
      </x:c>
      <x:c r="F10" s="63" t="n">
        <x:f>E10/Assumptions!$B$7</x:f>
        <x:v>0.0475</x:v>
      </x:c>
      <x:c r="G10" s="60" t="n">
        <x:f>(Assumptions!$B$7-AVERAGE(E9:E10))*6</x:f>
        <x:v>292875</x:v>
      </x:c>
      <x:c r="H10" s="60" t="n">
        <x:f>H9+G10</x:f>
        <x:v>892875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</x:row>
    <x:row r="11">
      <x:c r="A11" s="54" t="n">
        <x:v>24</x:v>
      </x:c>
      <x:c r="B11" s="54" t="str">
        <x:v>H1</x:v>
      </x:c>
      <x:c r="C11" s="60" t="n">
        <x:f>MIN(Demand!$B$10,Architecture!$F$7)*MAX(0,MIN(1,(A11-Architecture!$P$7)/(Architecture!$O$7-Architecture!$P$7)))</x:f>
        <x:v>4500</x:v>
      </x:c>
      <x:c r="D11" s="60" t="n">
        <x:f>MIN(Demand!$B$9,Architecture!$L$7*MAX(0,A11-Architecture!$P$7)/24)</x:f>
        <x:v>250</x:v>
      </x:c>
      <x:c r="E11" s="60" t="n">
        <x:f>MIN(Assumptions!$B$7,C11+D11)</x:f>
        <x:v>4750</x:v>
      </x:c>
      <x:c r="F11" s="63" t="n">
        <x:f>E11/Assumptions!$B$7</x:f>
        <x:v>0.095</x:v>
      </x:c>
      <x:c r="G11" s="60" t="n">
        <x:f>(Assumptions!$B$7-AVERAGE(E10:E11))*6</x:f>
        <x:v>278625</x:v>
      </x:c>
      <x:c r="H11" s="60" t="n">
        <x:f>H10+G11</x:f>
        <x:v>1171500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</x:row>
    <x:row r="12">
      <x:c r="A12" s="54" t="n">
        <x:v>30</x:v>
      </x:c>
      <x:c r="B12" s="54" t="str">
        <x:v>H1</x:v>
      </x:c>
      <x:c r="C12" s="60" t="n">
        <x:f>MIN(Demand!$B$10,Architecture!$F$7)*MAX(0,MIN(1,(A12-Architecture!$P$7)/(Architecture!$O$7-Architecture!$P$7)))</x:f>
        <x:v>6750</x:v>
      </x:c>
      <x:c r="D12" s="60" t="n">
        <x:f>MIN(Demand!$B$9,Architecture!$L$7*MAX(0,A12-Architecture!$P$7)/24)</x:f>
        <x:v>375</x:v>
      </x:c>
      <x:c r="E12" s="60" t="n">
        <x:f>MIN(Assumptions!$B$7,C12+D12)</x:f>
        <x:v>7125</x:v>
      </x:c>
      <x:c r="F12" s="63" t="n">
        <x:f>E12/Assumptions!$B$7</x:f>
        <x:v>0.1425</x:v>
      </x:c>
      <x:c r="G12" s="60" t="n">
        <x:f>(Assumptions!$B$7-AVERAGE(E11:E12))*6</x:f>
        <x:v>264375</x:v>
      </x:c>
      <x:c r="H12" s="60" t="n">
        <x:f>H11+G12</x:f>
        <x:v>1435875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</x:row>
    <x:row r="13">
      <x:c r="A13" s="54" t="n">
        <x:v>36</x:v>
      </x:c>
      <x:c r="B13" s="54" t="str">
        <x:v>H1</x:v>
      </x:c>
      <x:c r="C13" s="60" t="n">
        <x:f>MIN(Demand!$B$10,Architecture!$F$7)*MAX(0,MIN(1,(A13-Architecture!$P$7)/(Architecture!$O$7-Architecture!$P$7)))</x:f>
        <x:v>9000</x:v>
      </x:c>
      <x:c r="D13" s="60" t="n">
        <x:f>MIN(Demand!$B$9,Architecture!$L$7*MAX(0,A13-Architecture!$P$7)/24)</x:f>
        <x:v>500</x:v>
      </x:c>
      <x:c r="E13" s="60" t="n">
        <x:f>MIN(Assumptions!$B$7,C13+D13)</x:f>
        <x:v>9500</x:v>
      </x:c>
      <x:c r="F13" s="63" t="n">
        <x:f>E13/Assumptions!$B$7</x:f>
        <x:v>0.19</x:v>
      </x:c>
      <x:c r="G13" s="60" t="n">
        <x:f>(Assumptions!$B$7-AVERAGE(E12:E13))*6</x:f>
        <x:v>250125</x:v>
      </x:c>
      <x:c r="H13" s="60" t="n">
        <x:f>H12+G13</x:f>
        <x:v>1686000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</x:row>
    <x:row r="14">
      <x:c r="A14" s="54" t="n">
        <x:v>42</x:v>
      </x:c>
      <x:c r="B14" s="54" t="str">
        <x:v>H1</x:v>
      </x:c>
      <x:c r="C14" s="60" t="n">
        <x:f>MIN(Demand!$B$10,Architecture!$F$7)*MAX(0,MIN(1,(A14-Architecture!$P$7)/(Architecture!$O$7-Architecture!$P$7)))</x:f>
        <x:v>11250</x:v>
      </x:c>
      <x:c r="D14" s="60" t="n">
        <x:f>MIN(Demand!$B$9,Architecture!$L$7*MAX(0,A14-Architecture!$P$7)/24)</x:f>
        <x:v>625</x:v>
      </x:c>
      <x:c r="E14" s="60" t="n">
        <x:f>MIN(Assumptions!$B$7,C14+D14)</x:f>
        <x:v>11875</x:v>
      </x:c>
      <x:c r="F14" s="63" t="n">
        <x:f>E14/Assumptions!$B$7</x:f>
        <x:v>0.2375</x:v>
      </x:c>
      <x:c r="G14" s="60" t="n">
        <x:f>(Assumptions!$B$7-AVERAGE(E13:E14))*6</x:f>
        <x:v>235875</x:v>
      </x:c>
      <x:c r="H14" s="60" t="n">
        <x:f>H13+G14</x:f>
        <x:v>1921875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</x:row>
    <x:row r="15">
      <x:c r="A15" s="54" t="n">
        <x:v>48</x:v>
      </x:c>
      <x:c r="B15" s="54" t="str">
        <x:v>H1</x:v>
      </x:c>
      <x:c r="C15" s="60" t="n">
        <x:f>MIN(Demand!$B$10,Architecture!$F$7)*MAX(0,MIN(1,(A15-Architecture!$P$7)/(Architecture!$O$7-Architecture!$P$7)))</x:f>
        <x:v>13500</x:v>
      </x:c>
      <x:c r="D15" s="60" t="n">
        <x:f>MIN(Demand!$B$9,Architecture!$L$7*MAX(0,A15-Architecture!$P$7)/24)</x:f>
        <x:v>750</x:v>
      </x:c>
      <x:c r="E15" s="60" t="n">
        <x:f>MIN(Assumptions!$B$7,C15+D15)</x:f>
        <x:v>14250</x:v>
      </x:c>
      <x:c r="F15" s="63" t="n">
        <x:f>E15/Assumptions!$B$7</x:f>
        <x:v>0.285</x:v>
      </x:c>
      <x:c r="G15" s="60" t="n">
        <x:f>(Assumptions!$B$7-AVERAGE(E14:E15))*6</x:f>
        <x:v>221625</x:v>
      </x:c>
      <x:c r="H15" s="60" t="n">
        <x:f>H14+G15</x:f>
        <x:v>2143500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</x:row>
    <x:row r="16">
      <x:c r="A16" s="54" t="n">
        <x:v>54</x:v>
      </x:c>
      <x:c r="B16" s="54" t="str">
        <x:v>H1</x:v>
      </x:c>
      <x:c r="C16" s="60" t="n">
        <x:f>MIN(Demand!$B$10,Architecture!$F$7)*MAX(0,MIN(1,(A16-Architecture!$P$7)/(Architecture!$O$7-Architecture!$P$7)))</x:f>
        <x:v>15749.999999999998</x:v>
      </x:c>
      <x:c r="D16" s="60" t="n">
        <x:f>MIN(Demand!$B$9,Architecture!$L$7*MAX(0,A16-Architecture!$P$7)/24)</x:f>
        <x:v>875</x:v>
      </x:c>
      <x:c r="E16" s="60" t="n">
        <x:f>MIN(Assumptions!$B$7,C16+D16)</x:f>
        <x:v>16625</x:v>
      </x:c>
      <x:c r="F16" s="63" t="n">
        <x:f>E16/Assumptions!$B$7</x:f>
        <x:v>0.3325</x:v>
      </x:c>
      <x:c r="G16" s="60" t="n">
        <x:f>(Assumptions!$B$7-AVERAGE(E15:E16))*6</x:f>
        <x:v>207375</x:v>
      </x:c>
      <x:c r="H16" s="60" t="n">
        <x:f>H15+G16</x:f>
        <x:v>2350875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</x:row>
    <x:row r="17">
      <x:c r="A17" s="54" t="n">
        <x:v>60</x:v>
      </x:c>
      <x:c r="B17" s="54" t="str">
        <x:v>H1</x:v>
      </x:c>
      <x:c r="C17" s="60" t="n">
        <x:f>MIN(Demand!$B$10,Architecture!$F$7)*MAX(0,MIN(1,(A17-Architecture!$P$7)/(Architecture!$O$7-Architecture!$P$7)))</x:f>
        <x:v>18000</x:v>
      </x:c>
      <x:c r="D17" s="60" t="n">
        <x:f>MIN(Demand!$B$9,Architecture!$L$7*MAX(0,A17-Architecture!$P$7)/24)</x:f>
        <x:v>1000</x:v>
      </x:c>
      <x:c r="E17" s="60" t="n">
        <x:f>MIN(Assumptions!$B$7,C17+D17)</x:f>
        <x:v>19000</x:v>
      </x:c>
      <x:c r="F17" s="63" t="n">
        <x:f>E17/Assumptions!$B$7</x:f>
        <x:v>0.38</x:v>
      </x:c>
      <x:c r="G17" s="60" t="n">
        <x:f>(Assumptions!$B$7-AVERAGE(E16:E17))*6</x:f>
        <x:v>193125</x:v>
      </x:c>
      <x:c r="H17" s="60" t="n">
        <x:f>H16+G17</x:f>
        <x:v>2544000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</x:row>
    <x:row r="18">
      <x:c r="A18" s="54" t="n">
        <x:v>66</x:v>
      </x:c>
      <x:c r="B18" s="54" t="str">
        <x:v>H1</x:v>
      </x:c>
      <x:c r="C18" s="60" t="n">
        <x:f>MIN(Demand!$B$10,Architecture!$F$7)*MAX(0,MIN(1,(A18-Architecture!$P$7)/(Architecture!$O$7-Architecture!$P$7)))</x:f>
        <x:v>20250</x:v>
      </x:c>
      <x:c r="D18" s="60" t="n">
        <x:f>MIN(Demand!$B$9,Architecture!$L$7*MAX(0,A18-Architecture!$P$7)/24)</x:f>
        <x:v>1125</x:v>
      </x:c>
      <x:c r="E18" s="60" t="n">
        <x:f>MIN(Assumptions!$B$7,C18+D18)</x:f>
        <x:v>21375</x:v>
      </x:c>
      <x:c r="F18" s="63" t="n">
        <x:f>E18/Assumptions!$B$7</x:f>
        <x:v>0.4275</x:v>
      </x:c>
      <x:c r="G18" s="60" t="n">
        <x:f>(Assumptions!$B$7-AVERAGE(E17:E18))*6</x:f>
        <x:v>178875</x:v>
      </x:c>
      <x:c r="H18" s="60" t="n">
        <x:f>H17+G18</x:f>
        <x:v>2722875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</x:row>
    <x:row r="19">
      <x:c r="A19" s="54" t="n">
        <x:v>72</x:v>
      </x:c>
      <x:c r="B19" s="54" t="str">
        <x:v>H1</x:v>
      </x:c>
      <x:c r="C19" s="60" t="n">
        <x:f>MIN(Demand!$B$10,Architecture!$F$7)*MAX(0,MIN(1,(A19-Architecture!$P$7)/(Architecture!$O$7-Architecture!$P$7)))</x:f>
        <x:v>22500</x:v>
      </x:c>
      <x:c r="D19" s="60" t="n">
        <x:f>MIN(Demand!$B$9,Architecture!$L$7*MAX(0,A19-Architecture!$P$7)/24)</x:f>
        <x:v>1250</x:v>
      </x:c>
      <x:c r="E19" s="60" t="n">
        <x:f>MIN(Assumptions!$B$7,C19+D19)</x:f>
        <x:v>23750</x:v>
      </x:c>
      <x:c r="F19" s="63" t="n">
        <x:f>E19/Assumptions!$B$7</x:f>
        <x:v>0.475</x:v>
      </x:c>
      <x:c r="G19" s="60" t="n">
        <x:f>(Assumptions!$B$7-AVERAGE(E18:E19))*6</x:f>
        <x:v>164625</x:v>
      </x:c>
      <x:c r="H19" s="60" t="n">
        <x:f>H18+G19</x:f>
        <x:v>2887500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</x:row>
    <x:row r="20">
      <x:c r="A20" s="54" t="n">
        <x:v>78</x:v>
      </x:c>
      <x:c r="B20" s="54" t="str">
        <x:v>H1</x:v>
      </x:c>
      <x:c r="C20" s="60" t="n">
        <x:f>MIN(Demand!$B$10,Architecture!$F$7)*MAX(0,MIN(1,(A20-Architecture!$P$7)/(Architecture!$O$7-Architecture!$P$7)))</x:f>
        <x:v>22500</x:v>
      </x:c>
      <x:c r="D20" s="60" t="n">
        <x:f>MIN(Demand!$B$9,Architecture!$L$7*MAX(0,A20-Architecture!$P$7)/24)</x:f>
        <x:v>1375</x:v>
      </x:c>
      <x:c r="E20" s="60" t="n">
        <x:f>MIN(Assumptions!$B$7,C20+D20)</x:f>
        <x:v>23875</x:v>
      </x:c>
      <x:c r="F20" s="63" t="n">
        <x:f>E20/Assumptions!$B$7</x:f>
        <x:v>0.4775</x:v>
      </x:c>
      <x:c r="G20" s="60" t="n">
        <x:f>(Assumptions!$B$7-AVERAGE(E19:E20))*6</x:f>
        <x:v>157125</x:v>
      </x:c>
      <x:c r="H20" s="60" t="n">
        <x:f>H19+G20</x:f>
        <x:v>3044625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</x:row>
    <x:row r="21">
      <x:c r="A21" s="54" t="n">
        <x:v>84</x:v>
      </x:c>
      <x:c r="B21" s="54" t="str">
        <x:v>H1</x:v>
      </x:c>
      <x:c r="C21" s="60" t="n">
        <x:f>MIN(Demand!$B$10,Architecture!$F$7)*MAX(0,MIN(1,(A21-Architecture!$P$7)/(Architecture!$O$7-Architecture!$P$7)))</x:f>
        <x:v>22500</x:v>
      </x:c>
      <x:c r="D21" s="60" t="n">
        <x:f>MIN(Demand!$B$9,Architecture!$L$7*MAX(0,A21-Architecture!$P$7)/24)</x:f>
        <x:v>1500</x:v>
      </x:c>
      <x:c r="E21" s="60" t="n">
        <x:f>MIN(Assumptions!$B$7,C21+D21)</x:f>
        <x:v>24000</x:v>
      </x:c>
      <x:c r="F21" s="63" t="n">
        <x:f>E21/Assumptions!$B$7</x:f>
        <x:v>0.48</x:v>
      </x:c>
      <x:c r="G21" s="60" t="n">
        <x:f>(Assumptions!$B$7-AVERAGE(E20:E21))*6</x:f>
        <x:v>156375</x:v>
      </x:c>
      <x:c r="H21" s="60" t="n">
        <x:f>H20+G21</x:f>
        <x:v>3201000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</x:row>
    <x:row r="22">
      <x:c r="A22" s="54" t="n">
        <x:v>90</x:v>
      </x:c>
      <x:c r="B22" s="54" t="str">
        <x:v>H1</x:v>
      </x:c>
      <x:c r="C22" s="60" t="n">
        <x:f>MIN(Demand!$B$10,Architecture!$F$7)*MAX(0,MIN(1,(A22-Architecture!$P$7)/(Architecture!$O$7-Architecture!$P$7)))</x:f>
        <x:v>22500</x:v>
      </x:c>
      <x:c r="D22" s="60" t="n">
        <x:f>MIN(Demand!$B$9,Architecture!$L$7*MAX(0,A22-Architecture!$P$7)/24)</x:f>
        <x:v>1625</x:v>
      </x:c>
      <x:c r="E22" s="60" t="n">
        <x:f>MIN(Assumptions!$B$7,C22+D22)</x:f>
        <x:v>24125</x:v>
      </x:c>
      <x:c r="F22" s="63" t="n">
        <x:f>E22/Assumptions!$B$7</x:f>
        <x:v>0.4825</x:v>
      </x:c>
      <x:c r="G22" s="60" t="n">
        <x:f>(Assumptions!$B$7-AVERAGE(E21:E22))*6</x:f>
        <x:v>155625</x:v>
      </x:c>
      <x:c r="H22" s="60" t="n">
        <x:f>H21+G22</x:f>
        <x:v>3356625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</x:row>
    <x:row r="23">
      <x:c r="A23" s="54" t="n">
        <x:v>96</x:v>
      </x:c>
      <x:c r="B23" s="54" t="str">
        <x:v>H1</x:v>
      </x:c>
      <x:c r="C23" s="60" t="n">
        <x:f>MIN(Demand!$B$10,Architecture!$F$7)*MAX(0,MIN(1,(A23-Architecture!$P$7)/(Architecture!$O$7-Architecture!$P$7)))</x:f>
        <x:v>22500</x:v>
      </x:c>
      <x:c r="D23" s="60" t="n">
        <x:f>MIN(Demand!$B$9,Architecture!$L$7*MAX(0,A23-Architecture!$P$7)/24)</x:f>
        <x:v>1750</x:v>
      </x:c>
      <x:c r="E23" s="60" t="n">
        <x:f>MIN(Assumptions!$B$7,C23+D23)</x:f>
        <x:v>24250</x:v>
      </x:c>
      <x:c r="F23" s="63" t="n">
        <x:f>E23/Assumptions!$B$7</x:f>
        <x:v>0.485</x:v>
      </x:c>
      <x:c r="G23" s="60" t="n">
        <x:f>(Assumptions!$B$7-AVERAGE(E22:E23))*6</x:f>
        <x:v>154875</x:v>
      </x:c>
      <x:c r="H23" s="60" t="n">
        <x:f>H22+G23</x:f>
        <x:v>3511500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</x:row>
    <x:row r="24">
      <x:c r="A24" s="54" t="n">
        <x:v>102</x:v>
      </x:c>
      <x:c r="B24" s="54" t="str">
        <x:v>H1</x:v>
      </x:c>
      <x:c r="C24" s="60" t="n">
        <x:f>MIN(Demand!$B$10,Architecture!$F$7)*MAX(0,MIN(1,(A24-Architecture!$P$7)/(Architecture!$O$7-Architecture!$P$7)))</x:f>
        <x:v>22500</x:v>
      </x:c>
      <x:c r="D24" s="60" t="n">
        <x:f>MIN(Demand!$B$9,Architecture!$L$7*MAX(0,A24-Architecture!$P$7)/24)</x:f>
        <x:v>1875</x:v>
      </x:c>
      <x:c r="E24" s="60" t="n">
        <x:f>MIN(Assumptions!$B$7,C24+D24)</x:f>
        <x:v>24375</x:v>
      </x:c>
      <x:c r="F24" s="63" t="n">
        <x:f>E24/Assumptions!$B$7</x:f>
        <x:v>0.4875</x:v>
      </x:c>
      <x:c r="G24" s="60" t="n">
        <x:f>(Assumptions!$B$7-AVERAGE(E23:E24))*6</x:f>
        <x:v>154125</x:v>
      </x:c>
      <x:c r="H24" s="60" t="n">
        <x:f>H23+G24</x:f>
        <x:v>3665625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</x:row>
    <x:row r="25">
      <x:c r="A25" s="54" t="n">
        <x:v>108</x:v>
      </x:c>
      <x:c r="B25" s="54" t="str">
        <x:v>H1</x:v>
      </x:c>
      <x:c r="C25" s="60" t="n">
        <x:f>MIN(Demand!$B$10,Architecture!$F$7)*MAX(0,MIN(1,(A25-Architecture!$P$7)/(Architecture!$O$7-Architecture!$P$7)))</x:f>
        <x:v>22500</x:v>
      </x:c>
      <x:c r="D25" s="60" t="n">
        <x:f>MIN(Demand!$B$9,Architecture!$L$7*MAX(0,A25-Architecture!$P$7)/24)</x:f>
        <x:v>2000</x:v>
      </x:c>
      <x:c r="E25" s="60" t="n">
        <x:f>MIN(Assumptions!$B$7,C25+D25)</x:f>
        <x:v>24500</x:v>
      </x:c>
      <x:c r="F25" s="63" t="n">
        <x:f>E25/Assumptions!$B$7</x:f>
        <x:v>0.49</x:v>
      </x:c>
      <x:c r="G25" s="60" t="n">
        <x:f>(Assumptions!$B$7-AVERAGE(E24:E25))*6</x:f>
        <x:v>153375</x:v>
      </x:c>
      <x:c r="H25" s="60" t="n">
        <x:f>H24+G25</x:f>
        <x:v>3819000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</x:row>
    <x:row r="26">
      <x:c r="A26" s="54" t="n">
        <x:v>114</x:v>
      </x:c>
      <x:c r="B26" s="54" t="str">
        <x:v>H1</x:v>
      </x:c>
      <x:c r="C26" s="60" t="n">
        <x:f>MIN(Demand!$B$10,Architecture!$F$7)*MAX(0,MIN(1,(A26-Architecture!$P$7)/(Architecture!$O$7-Architecture!$P$7)))</x:f>
        <x:v>22500</x:v>
      </x:c>
      <x:c r="D26" s="60" t="n">
        <x:f>MIN(Demand!$B$9,Architecture!$L$7*MAX(0,A26-Architecture!$P$7)/24)</x:f>
        <x:v>2125</x:v>
      </x:c>
      <x:c r="E26" s="60" t="n">
        <x:f>MIN(Assumptions!$B$7,C26+D26)</x:f>
        <x:v>24625</x:v>
      </x:c>
      <x:c r="F26" s="63" t="n">
        <x:f>E26/Assumptions!$B$7</x:f>
        <x:v>0.4925</x:v>
      </x:c>
      <x:c r="G26" s="60" t="n">
        <x:f>(Assumptions!$B$7-AVERAGE(E25:E26))*6</x:f>
        <x:v>152625</x:v>
      </x:c>
      <x:c r="H26" s="60" t="n">
        <x:f>H25+G26</x:f>
        <x:v>3971625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</x:row>
    <x:row r="27">
      <x:c r="A27" s="54" t="n">
        <x:v>120</x:v>
      </x:c>
      <x:c r="B27" s="54" t="str">
        <x:v>H1</x:v>
      </x:c>
      <x:c r="C27" s="60" t="n">
        <x:f>MIN(Demand!$B$10,Architecture!$F$7)*MAX(0,MIN(1,(A27-Architecture!$P$7)/(Architecture!$O$7-Architecture!$P$7)))</x:f>
        <x:v>22500</x:v>
      </x:c>
      <x:c r="D27" s="60" t="n">
        <x:f>MIN(Demand!$B$9,Architecture!$L$7*MAX(0,A27-Architecture!$P$7)/24)</x:f>
        <x:v>2250</x:v>
      </x:c>
      <x:c r="E27" s="60" t="n">
        <x:f>MIN(Assumptions!$B$7,C27+D27)</x:f>
        <x:v>24750</x:v>
      </x:c>
      <x:c r="F27" s="63" t="n">
        <x:f>E27/Assumptions!$B$7</x:f>
        <x:v>0.495</x:v>
      </x:c>
      <x:c r="G27" s="60" t="n">
        <x:f>(Assumptions!$B$7-AVERAGE(E26:E27))*6</x:f>
        <x:v>151875</x:v>
      </x:c>
      <x:c r="H27" s="60" t="n">
        <x:f>H26+G27</x:f>
        <x:v>4123500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</x:row>
    <x:row r="28">
      <x:c r="A28" s="54" t="n">
        <x:v>126</x:v>
      </x:c>
      <x:c r="B28" s="54" t="str">
        <x:v>H1</x:v>
      </x:c>
      <x:c r="C28" s="60" t="n">
        <x:f>MIN(Demand!$B$10,Architecture!$F$7)*MAX(0,MIN(1,(A28-Architecture!$P$7)/(Architecture!$O$7-Architecture!$P$7)))</x:f>
        <x:v>22500</x:v>
      </x:c>
      <x:c r="D28" s="60" t="n">
        <x:f>MIN(Demand!$B$9,Architecture!$L$7*MAX(0,A28-Architecture!$P$7)/24)</x:f>
        <x:v>2375</x:v>
      </x:c>
      <x:c r="E28" s="60" t="n">
        <x:f>MIN(Assumptions!$B$7,C28+D28)</x:f>
        <x:v>24875</x:v>
      </x:c>
      <x:c r="F28" s="63" t="n">
        <x:f>E28/Assumptions!$B$7</x:f>
        <x:v>0.4975</x:v>
      </x:c>
      <x:c r="G28" s="60" t="n">
        <x:f>(Assumptions!$B$7-AVERAGE(E27:E28))*6</x:f>
        <x:v>151125</x:v>
      </x:c>
      <x:c r="H28" s="60" t="n">
        <x:f>H27+G28</x:f>
        <x:v>4274625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</x:row>
    <x:row r="29">
      <x:c r="A29" s="54" t="n">
        <x:v>132</x:v>
      </x:c>
      <x:c r="B29" s="54" t="str">
        <x:v>H1</x:v>
      </x:c>
      <x:c r="C29" s="60" t="n">
        <x:f>MIN(Demand!$B$10,Architecture!$F$7)*MAX(0,MIN(1,(A29-Architecture!$P$7)/(Architecture!$O$7-Architecture!$P$7)))</x:f>
        <x:v>22500</x:v>
      </x:c>
      <x:c r="D29" s="60" t="n">
        <x:f>MIN(Demand!$B$9,Architecture!$L$7*MAX(0,A29-Architecture!$P$7)/24)</x:f>
        <x:v>2500</x:v>
      </x:c>
      <x:c r="E29" s="60" t="n">
        <x:f>MIN(Assumptions!$B$7,C29+D29)</x:f>
        <x:v>25000</x:v>
      </x:c>
      <x:c r="F29" s="63" t="n">
        <x:f>E29/Assumptions!$B$7</x:f>
        <x:v>0.5</x:v>
      </x:c>
      <x:c r="G29" s="60" t="n">
        <x:f>(Assumptions!$B$7-AVERAGE(E28:E29))*6</x:f>
        <x:v>150375</x:v>
      </x:c>
      <x:c r="H29" s="60" t="n">
        <x:f>H28+G29</x:f>
        <x:v>4425000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</x:row>
    <x:row r="30">
      <x:c r="A30" s="54" t="n">
        <x:v>138</x:v>
      </x:c>
      <x:c r="B30" s="54" t="str">
        <x:v>H1</x:v>
      </x:c>
      <x:c r="C30" s="60" t="n">
        <x:f>MIN(Demand!$B$10,Architecture!$F$7)*MAX(0,MIN(1,(A30-Architecture!$P$7)/(Architecture!$O$7-Architecture!$P$7)))</x:f>
        <x:v>22500</x:v>
      </x:c>
      <x:c r="D30" s="60" t="n">
        <x:f>MIN(Demand!$B$9,Architecture!$L$7*MAX(0,A30-Architecture!$P$7)/24)</x:f>
        <x:v>2625</x:v>
      </x:c>
      <x:c r="E30" s="60" t="n">
        <x:f>MIN(Assumptions!$B$7,C30+D30)</x:f>
        <x:v>25125</x:v>
      </x:c>
      <x:c r="F30" s="63" t="n">
        <x:f>E30/Assumptions!$B$7</x:f>
        <x:v>0.5025</x:v>
      </x:c>
      <x:c r="G30" s="60" t="n">
        <x:f>(Assumptions!$B$7-AVERAGE(E29:E30))*6</x:f>
        <x:v>149625</x:v>
      </x:c>
      <x:c r="H30" s="60" t="n">
        <x:f>H29+G30</x:f>
        <x:v>4574625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</x:row>
    <x:row r="31">
      <x:c r="A31" s="54" t="n">
        <x:v>144</x:v>
      </x:c>
      <x:c r="B31" s="54" t="str">
        <x:v>H1</x:v>
      </x:c>
      <x:c r="C31" s="60" t="n">
        <x:f>MIN(Demand!$B$10,Architecture!$F$7)*MAX(0,MIN(1,(A31-Architecture!$P$7)/(Architecture!$O$7-Architecture!$P$7)))</x:f>
        <x:v>22500</x:v>
      </x:c>
      <x:c r="D31" s="60" t="n">
        <x:f>MIN(Demand!$B$9,Architecture!$L$7*MAX(0,A31-Architecture!$P$7)/24)</x:f>
        <x:v>2750</x:v>
      </x:c>
      <x:c r="E31" s="60" t="n">
        <x:f>MIN(Assumptions!$B$7,C31+D31)</x:f>
        <x:v>25250</x:v>
      </x:c>
      <x:c r="F31" s="63" t="n">
        <x:f>E31/Assumptions!$B$7</x:f>
        <x:v>0.505</x:v>
      </x:c>
      <x:c r="G31" s="60" t="n">
        <x:f>(Assumptions!$B$7-AVERAGE(E30:E31))*6</x:f>
        <x:v>148875</x:v>
      </x:c>
      <x:c r="H31" s="60" t="n">
        <x:f>H30+G31</x:f>
        <x:v>4723500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</x:row>
    <x:row r="32">
      <x:c r="A32" s="54" t="n">
        <x:v>150</x:v>
      </x:c>
      <x:c r="B32" s="54" t="str">
        <x:v>H1</x:v>
      </x:c>
      <x:c r="C32" s="60" t="n">
        <x:f>MIN(Demand!$B$10,Architecture!$F$7)*MAX(0,MIN(1,(A32-Architecture!$P$7)/(Architecture!$O$7-Architecture!$P$7)))</x:f>
        <x:v>22500</x:v>
      </x:c>
      <x:c r="D32" s="60" t="n">
        <x:f>MIN(Demand!$B$9,Architecture!$L$7*MAX(0,A32-Architecture!$P$7)/24)</x:f>
        <x:v>2875</x:v>
      </x:c>
      <x:c r="E32" s="60" t="n">
        <x:f>MIN(Assumptions!$B$7,C32+D32)</x:f>
        <x:v>25375</x:v>
      </x:c>
      <x:c r="F32" s="63" t="n">
        <x:f>E32/Assumptions!$B$7</x:f>
        <x:v>0.5075</x:v>
      </x:c>
      <x:c r="G32" s="60" t="n">
        <x:f>(Assumptions!$B$7-AVERAGE(E31:E32))*6</x:f>
        <x:v>148125</x:v>
      </x:c>
      <x:c r="H32" s="60" t="n">
        <x:f>H31+G32</x:f>
        <x:v>4871625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</x:row>
    <x:row r="33">
      <x:c r="A33" s="54" t="n">
        <x:v>156</x:v>
      </x:c>
      <x:c r="B33" s="54" t="str">
        <x:v>H1</x:v>
      </x:c>
      <x:c r="C33" s="60" t="n">
        <x:f>MIN(Demand!$B$10,Architecture!$F$7)*MAX(0,MIN(1,(A33-Architecture!$P$7)/(Architecture!$O$7-Architecture!$P$7)))</x:f>
        <x:v>22500</x:v>
      </x:c>
      <x:c r="D33" s="60" t="n">
        <x:f>MIN(Demand!$B$9,Architecture!$L$7*MAX(0,A33-Architecture!$P$7)/24)</x:f>
        <x:v>3000</x:v>
      </x:c>
      <x:c r="E33" s="60" t="n">
        <x:f>MIN(Assumptions!$B$7,C33+D33)</x:f>
        <x:v>25500</x:v>
      </x:c>
      <x:c r="F33" s="63" t="n">
        <x:f>E33/Assumptions!$B$7</x:f>
        <x:v>0.51</x:v>
      </x:c>
      <x:c r="G33" s="60" t="n">
        <x:f>(Assumptions!$B$7-AVERAGE(E32:E33))*6</x:f>
        <x:v>147375</x:v>
      </x:c>
      <x:c r="H33" s="60" t="n">
        <x:f>H32+G33</x:f>
        <x:v>5019000</x:v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</x:row>
    <x:row r="34">
      <x:c r="A34" s="54" t="n">
        <x:v>162</x:v>
      </x:c>
      <x:c r="B34" s="54" t="str">
        <x:v>H1</x:v>
      </x:c>
      <x:c r="C34" s="60" t="n">
        <x:f>MIN(Demand!$B$10,Architecture!$F$7)*MAX(0,MIN(1,(A34-Architecture!$P$7)/(Architecture!$O$7-Architecture!$P$7)))</x:f>
        <x:v>22500</x:v>
      </x:c>
      <x:c r="D34" s="60" t="n">
        <x:f>MIN(Demand!$B$9,Architecture!$L$7*MAX(0,A34-Architecture!$P$7)/24)</x:f>
        <x:v>3125</x:v>
      </x:c>
      <x:c r="E34" s="60" t="n">
        <x:f>MIN(Assumptions!$B$7,C34+D34)</x:f>
        <x:v>25625</x:v>
      </x:c>
      <x:c r="F34" s="63" t="n">
        <x:f>E34/Assumptions!$B$7</x:f>
        <x:v>0.5125</x:v>
      </x:c>
      <x:c r="G34" s="60" t="n">
        <x:f>(Assumptions!$B$7-AVERAGE(E33:E34))*6</x:f>
        <x:v>146625</x:v>
      </x:c>
      <x:c r="H34" s="60" t="n">
        <x:f>H33+G34</x:f>
        <x:v>5165625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</x:row>
    <x:row r="35">
      <x:c r="A35" s="55" t="n">
        <x:v>168</x:v>
      </x:c>
      <x:c r="B35" s="55" t="str">
        <x:v>H1</x:v>
      </x:c>
      <x:c r="C35" s="61" t="n">
        <x:f>MIN(Demand!$B$10,Architecture!$F$7)*MAX(0,MIN(1,(A35-Architecture!$P$7)/(Architecture!$O$7-Architecture!$P$7)))</x:f>
        <x:v>22500</x:v>
      </x:c>
      <x:c r="D35" s="61" t="n">
        <x:f>MIN(Demand!$B$9,Architecture!$L$7*MAX(0,A35-Architecture!$P$7)/24)</x:f>
        <x:v>3250</x:v>
      </x:c>
      <x:c r="E35" s="61" t="n">
        <x:f>MIN(Assumptions!$B$7,C35+D35)</x:f>
        <x:v>25750</x:v>
      </x:c>
      <x:c r="F35" s="64" t="n">
        <x:f>E35/Assumptions!$B$7</x:f>
        <x:v>0.515</x:v>
      </x:c>
      <x:c r="G35" s="61" t="n">
        <x:f>(Assumptions!$B$7-AVERAGE(E34:E35))*6</x:f>
        <x:v>145875</x:v>
      </x:c>
      <x:c r="H35" s="61" t="n">
        <x:f>H34+G35</x:f>
        <x:v>5311500</x:v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</x:row>
    <x:row r="36">
      <x:c r="A36" s="53" t="n">
        <x:v>0</x:v>
      </x:c>
      <x:c r="B36" s="53" t="str">
        <x:v>H2</x:v>
      </x:c>
      <x:c r="C36" s="59" t="n">
        <x:f>MIN(Demand!$B$10,Architecture!$F$8)*MAX(0,MIN(1,(A36-Architecture!$P$8)/(Architecture!$O$8-Architecture!$P$8)))</x:f>
        <x:v>0</x:v>
      </x:c>
      <x:c r="D36" s="59" t="n">
        <x:f>MIN(Demand!$B$9,Architecture!$L$8*MAX(0,A36-Architecture!$P$8)/24)</x:f>
        <x:v>0</x:v>
      </x:c>
      <x:c r="E36" s="59" t="n">
        <x:f>MIN(Assumptions!$B$7,C36+D36)</x:f>
        <x:v>0</x:v>
      </x:c>
      <x:c r="F36" s="62" t="n">
        <x:f>E36/Assumptions!$B$7</x:f>
        <x:v>0</x:v>
      </x:c>
      <x:c r="G36" s="59" t="n">
        <x:v>0</x:v>
      </x:c>
      <x:c r="H36" s="59" t="n">
        <x:v>0</x:v>
      </x:c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</x:row>
    <x:row r="37">
      <x:c r="A37" s="54" t="n">
        <x:v>6</x:v>
      </x:c>
      <x:c r="B37" s="54" t="str">
        <x:v>H2</x:v>
      </x:c>
      <x:c r="C37" s="60" t="n">
        <x:f>MIN(Demand!$B$10,Architecture!$F$8)*MAX(0,MIN(1,(A37-Architecture!$P$8)/(Architecture!$O$8-Architecture!$P$8)))</x:f>
        <x:v>0</x:v>
      </x:c>
      <x:c r="D37" s="60" t="n">
        <x:f>MIN(Demand!$B$9,Architecture!$L$8*MAX(0,A37-Architecture!$P$8)/24)</x:f>
        <x:v>0</x:v>
      </x:c>
      <x:c r="E37" s="60" t="n">
        <x:f>MIN(Assumptions!$B$7,C37+D37)</x:f>
        <x:v>0</x:v>
      </x:c>
      <x:c r="F37" s="63" t="n">
        <x:f>E37/Assumptions!$B$7</x:f>
        <x:v>0</x:v>
      </x:c>
      <x:c r="G37" s="60" t="n">
        <x:f>(Assumptions!$B$7-AVERAGE(E36:E37))*6</x:f>
        <x:v>300000</x:v>
      </x:c>
      <x:c r="H37" s="60" t="n">
        <x:f>H36+G37</x:f>
        <x:v>300000</x:v>
      </x:c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</x:row>
    <x:row r="38">
      <x:c r="A38" s="54" t="n">
        <x:v>12</x:v>
      </x:c>
      <x:c r="B38" s="54" t="str">
        <x:v>H2</x:v>
      </x:c>
      <x:c r="C38" s="60" t="n">
        <x:f>MIN(Demand!$B$10,Architecture!$F$8)*MAX(0,MIN(1,(A38-Architecture!$P$8)/(Architecture!$O$8-Architecture!$P$8)))</x:f>
        <x:v>3600</x:v>
      </x:c>
      <x:c r="D38" s="60" t="n">
        <x:f>MIN(Demand!$B$9,Architecture!$L$8*MAX(0,A38-Architecture!$P$8)/24)</x:f>
        <x:v>300</x:v>
      </x:c>
      <x:c r="E38" s="60" t="n">
        <x:f>MIN(Assumptions!$B$7,C38+D38)</x:f>
        <x:v>3900</x:v>
      </x:c>
      <x:c r="F38" s="63" t="n">
        <x:f>E38/Assumptions!$B$7</x:f>
        <x:v>0.078</x:v>
      </x:c>
      <x:c r="G38" s="60" t="n">
        <x:f>(Assumptions!$B$7-AVERAGE(E37:E38))*6</x:f>
        <x:v>288300</x:v>
      </x:c>
      <x:c r="H38" s="60" t="n">
        <x:f>H37+G38</x:f>
        <x:v>588300</x:v>
      </x:c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</x:row>
    <x:row r="39">
      <x:c r="A39" s="54" t="n">
        <x:v>18</x:v>
      </x:c>
      <x:c r="B39" s="54" t="str">
        <x:v>H2</x:v>
      </x:c>
      <x:c r="C39" s="60" t="n">
        <x:f>MIN(Demand!$B$10,Architecture!$F$8)*MAX(0,MIN(1,(A39-Architecture!$P$8)/(Architecture!$O$8-Architecture!$P$8)))</x:f>
        <x:v>7200</x:v>
      </x:c>
      <x:c r="D39" s="60" t="n">
        <x:f>MIN(Demand!$B$9,Architecture!$L$8*MAX(0,A39-Architecture!$P$8)/24)</x:f>
        <x:v>600</x:v>
      </x:c>
      <x:c r="E39" s="60" t="n">
        <x:f>MIN(Assumptions!$B$7,C39+D39)</x:f>
        <x:v>7800</x:v>
      </x:c>
      <x:c r="F39" s="63" t="n">
        <x:f>E39/Assumptions!$B$7</x:f>
        <x:v>0.156</x:v>
      </x:c>
      <x:c r="G39" s="60" t="n">
        <x:f>(Assumptions!$B$7-AVERAGE(E38:E39))*6</x:f>
        <x:v>264900</x:v>
      </x:c>
      <x:c r="H39" s="60" t="n">
        <x:f>H38+G39</x:f>
        <x:v>853200</x:v>
      </x:c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</x:row>
    <x:row r="40">
      <x:c r="A40" s="54" t="n">
        <x:v>24</x:v>
      </x:c>
      <x:c r="B40" s="54" t="str">
        <x:v>H2</x:v>
      </x:c>
      <x:c r="C40" s="60" t="n">
        <x:f>MIN(Demand!$B$10,Architecture!$F$8)*MAX(0,MIN(1,(A40-Architecture!$P$8)/(Architecture!$O$8-Architecture!$P$8)))</x:f>
        <x:v>10800</x:v>
      </x:c>
      <x:c r="D40" s="60" t="n">
        <x:f>MIN(Demand!$B$9,Architecture!$L$8*MAX(0,A40-Architecture!$P$8)/24)</x:f>
        <x:v>900</x:v>
      </x:c>
      <x:c r="E40" s="60" t="n">
        <x:f>MIN(Assumptions!$B$7,C40+D40)</x:f>
        <x:v>11700</x:v>
      </x:c>
      <x:c r="F40" s="63" t="n">
        <x:f>E40/Assumptions!$B$7</x:f>
        <x:v>0.234</x:v>
      </x:c>
      <x:c r="G40" s="60" t="n">
        <x:f>(Assumptions!$B$7-AVERAGE(E39:E40))*6</x:f>
        <x:v>241500</x:v>
      </x:c>
      <x:c r="H40" s="60" t="n">
        <x:f>H39+G40</x:f>
        <x:v>1094700</x:v>
      </x:c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</x:row>
    <x:row r="41">
      <x:c r="A41" s="54" t="n">
        <x:v>30</x:v>
      </x:c>
      <x:c r="B41" s="54" t="str">
        <x:v>H2</x:v>
      </x:c>
      <x:c r="C41" s="60" t="n">
        <x:f>MIN(Demand!$B$10,Architecture!$F$8)*MAX(0,MIN(1,(A41-Architecture!$P$8)/(Architecture!$O$8-Architecture!$P$8)))</x:f>
        <x:v>14400</x:v>
      </x:c>
      <x:c r="D41" s="60" t="n">
        <x:f>MIN(Demand!$B$9,Architecture!$L$8*MAX(0,A41-Architecture!$P$8)/24)</x:f>
        <x:v>1200</x:v>
      </x:c>
      <x:c r="E41" s="60" t="n">
        <x:f>MIN(Assumptions!$B$7,C41+D41)</x:f>
        <x:v>15600</x:v>
      </x:c>
      <x:c r="F41" s="63" t="n">
        <x:f>E41/Assumptions!$B$7</x:f>
        <x:v>0.312</x:v>
      </x:c>
      <x:c r="G41" s="60" t="n">
        <x:f>(Assumptions!$B$7-AVERAGE(E40:E41))*6</x:f>
        <x:v>218100</x:v>
      </x:c>
      <x:c r="H41" s="60" t="n">
        <x:f>H40+G41</x:f>
        <x:v>1312800</x:v>
      </x:c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</x:row>
    <x:row r="42">
      <x:c r="A42" s="54" t="n">
        <x:v>36</x:v>
      </x:c>
      <x:c r="B42" s="54" t="str">
        <x:v>H2</x:v>
      </x:c>
      <x:c r="C42" s="60" t="n">
        <x:f>MIN(Demand!$B$10,Architecture!$F$8)*MAX(0,MIN(1,(A42-Architecture!$P$8)/(Architecture!$O$8-Architecture!$P$8)))</x:f>
        <x:v>18000</x:v>
      </x:c>
      <x:c r="D42" s="60" t="n">
        <x:f>MIN(Demand!$B$9,Architecture!$L$8*MAX(0,A42-Architecture!$P$8)/24)</x:f>
        <x:v>1500</x:v>
      </x:c>
      <x:c r="E42" s="60" t="n">
        <x:f>MIN(Assumptions!$B$7,C42+D42)</x:f>
        <x:v>19500</x:v>
      </x:c>
      <x:c r="F42" s="63" t="n">
        <x:f>E42/Assumptions!$B$7</x:f>
        <x:v>0.39</x:v>
      </x:c>
      <x:c r="G42" s="60" t="n">
        <x:f>(Assumptions!$B$7-AVERAGE(E41:E42))*6</x:f>
        <x:v>194700</x:v>
      </x:c>
      <x:c r="H42" s="60" t="n">
        <x:f>H41+G42</x:f>
        <x:v>1507500</x:v>
      </x:c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</x:row>
    <x:row r="43">
      <x:c r="A43" s="54" t="n">
        <x:v>42</x:v>
      </x:c>
      <x:c r="B43" s="54" t="str">
        <x:v>H2</x:v>
      </x:c>
      <x:c r="C43" s="60" t="n">
        <x:f>MIN(Demand!$B$10,Architecture!$F$8)*MAX(0,MIN(1,(A43-Architecture!$P$8)/(Architecture!$O$8-Architecture!$P$8)))</x:f>
        <x:v>18000</x:v>
      </x:c>
      <x:c r="D43" s="60" t="n">
        <x:f>MIN(Demand!$B$9,Architecture!$L$8*MAX(0,A43-Architecture!$P$8)/24)</x:f>
        <x:v>1800</x:v>
      </x:c>
      <x:c r="E43" s="60" t="n">
        <x:f>MIN(Assumptions!$B$7,C43+D43)</x:f>
        <x:v>19800</x:v>
      </x:c>
      <x:c r="F43" s="63" t="n">
        <x:f>E43/Assumptions!$B$7</x:f>
        <x:v>0.396</x:v>
      </x:c>
      <x:c r="G43" s="60" t="n">
        <x:f>(Assumptions!$B$7-AVERAGE(E42:E43))*6</x:f>
        <x:v>182100</x:v>
      </x:c>
      <x:c r="H43" s="60" t="n">
        <x:f>H42+G43</x:f>
        <x:v>1689600</x:v>
      </x:c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</x:row>
    <x:row r="44">
      <x:c r="A44" s="54" t="n">
        <x:v>48</x:v>
      </x:c>
      <x:c r="B44" s="54" t="str">
        <x:v>H2</x:v>
      </x:c>
      <x:c r="C44" s="60" t="n">
        <x:f>MIN(Demand!$B$10,Architecture!$F$8)*MAX(0,MIN(1,(A44-Architecture!$P$8)/(Architecture!$O$8-Architecture!$P$8)))</x:f>
        <x:v>18000</x:v>
      </x:c>
      <x:c r="D44" s="60" t="n">
        <x:f>MIN(Demand!$B$9,Architecture!$L$8*MAX(0,A44-Architecture!$P$8)/24)</x:f>
        <x:v>2100</x:v>
      </x:c>
      <x:c r="E44" s="60" t="n">
        <x:f>MIN(Assumptions!$B$7,C44+D44)</x:f>
        <x:v>20100</x:v>
      </x:c>
      <x:c r="F44" s="63" t="n">
        <x:f>E44/Assumptions!$B$7</x:f>
        <x:v>0.402</x:v>
      </x:c>
      <x:c r="G44" s="60" t="n">
        <x:f>(Assumptions!$B$7-AVERAGE(E43:E44))*6</x:f>
        <x:v>180300</x:v>
      </x:c>
      <x:c r="H44" s="60" t="n">
        <x:f>H43+G44</x:f>
        <x:v>1869900</x:v>
      </x:c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</x:row>
    <x:row r="45">
      <x:c r="A45" s="54" t="n">
        <x:v>54</x:v>
      </x:c>
      <x:c r="B45" s="54" t="str">
        <x:v>H2</x:v>
      </x:c>
      <x:c r="C45" s="60" t="n">
        <x:f>MIN(Demand!$B$10,Architecture!$F$8)*MAX(0,MIN(1,(A45-Architecture!$P$8)/(Architecture!$O$8-Architecture!$P$8)))</x:f>
        <x:v>18000</x:v>
      </x:c>
      <x:c r="D45" s="60" t="n">
        <x:f>MIN(Demand!$B$9,Architecture!$L$8*MAX(0,A45-Architecture!$P$8)/24)</x:f>
        <x:v>2400</x:v>
      </x:c>
      <x:c r="E45" s="60" t="n">
        <x:f>MIN(Assumptions!$B$7,C45+D45)</x:f>
        <x:v>20400</x:v>
      </x:c>
      <x:c r="F45" s="63" t="n">
        <x:f>E45/Assumptions!$B$7</x:f>
        <x:v>0.408</x:v>
      </x:c>
      <x:c r="G45" s="60" t="n">
        <x:f>(Assumptions!$B$7-AVERAGE(E44:E45))*6</x:f>
        <x:v>178500</x:v>
      </x:c>
      <x:c r="H45" s="60" t="n">
        <x:f>H44+G45</x:f>
        <x:v>2048400</x:v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</x:row>
    <x:row r="46">
      <x:c r="A46" s="54" t="n">
        <x:v>60</x:v>
      </x:c>
      <x:c r="B46" s="54" t="str">
        <x:v>H2</x:v>
      </x:c>
      <x:c r="C46" s="60" t="n">
        <x:f>MIN(Demand!$B$10,Architecture!$F$8)*MAX(0,MIN(1,(A46-Architecture!$P$8)/(Architecture!$O$8-Architecture!$P$8)))</x:f>
        <x:v>18000</x:v>
      </x:c>
      <x:c r="D46" s="60" t="n">
        <x:f>MIN(Demand!$B$9,Architecture!$L$8*MAX(0,A46-Architecture!$P$8)/24)</x:f>
        <x:v>2700</x:v>
      </x:c>
      <x:c r="E46" s="60" t="n">
        <x:f>MIN(Assumptions!$B$7,C46+D46)</x:f>
        <x:v>20700</x:v>
      </x:c>
      <x:c r="F46" s="63" t="n">
        <x:f>E46/Assumptions!$B$7</x:f>
        <x:v>0.414</x:v>
      </x:c>
      <x:c r="G46" s="60" t="n">
        <x:f>(Assumptions!$B$7-AVERAGE(E45:E46))*6</x:f>
        <x:v>176700</x:v>
      </x:c>
      <x:c r="H46" s="60" t="n">
        <x:f>H45+G46</x:f>
        <x:v>2225100</x:v>
      </x:c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</x:row>
    <x:row r="47">
      <x:c r="A47" s="54" t="n">
        <x:v>66</x:v>
      </x:c>
      <x:c r="B47" s="54" t="str">
        <x:v>H2</x:v>
      </x:c>
      <x:c r="C47" s="60" t="n">
        <x:f>MIN(Demand!$B$10,Architecture!$F$8)*MAX(0,MIN(1,(A47-Architecture!$P$8)/(Architecture!$O$8-Architecture!$P$8)))</x:f>
        <x:v>18000</x:v>
      </x:c>
      <x:c r="D47" s="60" t="n">
        <x:f>MIN(Demand!$B$9,Architecture!$L$8*MAX(0,A47-Architecture!$P$8)/24)</x:f>
        <x:v>3000</x:v>
      </x:c>
      <x:c r="E47" s="60" t="n">
        <x:f>MIN(Assumptions!$B$7,C47+D47)</x:f>
        <x:v>21000</x:v>
      </x:c>
      <x:c r="F47" s="63" t="n">
        <x:f>E47/Assumptions!$B$7</x:f>
        <x:v>0.42</x:v>
      </x:c>
      <x:c r="G47" s="60" t="n">
        <x:f>(Assumptions!$B$7-AVERAGE(E46:E47))*6</x:f>
        <x:v>174900</x:v>
      </x:c>
      <x:c r="H47" s="60" t="n">
        <x:f>H46+G47</x:f>
        <x:v>2400000</x:v>
      </x:c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</x:row>
    <x:row r="48">
      <x:c r="A48" s="54" t="n">
        <x:v>72</x:v>
      </x:c>
      <x:c r="B48" s="54" t="str">
        <x:v>H2</x:v>
      </x:c>
      <x:c r="C48" s="60" t="n">
        <x:f>MIN(Demand!$B$10,Architecture!$F$8)*MAX(0,MIN(1,(A48-Architecture!$P$8)/(Architecture!$O$8-Architecture!$P$8)))</x:f>
        <x:v>18000</x:v>
      </x:c>
      <x:c r="D48" s="60" t="n">
        <x:f>MIN(Demand!$B$9,Architecture!$L$8*MAX(0,A48-Architecture!$P$8)/24)</x:f>
        <x:v>3300</x:v>
      </x:c>
      <x:c r="E48" s="60" t="n">
        <x:f>MIN(Assumptions!$B$7,C48+D48)</x:f>
        <x:v>21300</x:v>
      </x:c>
      <x:c r="F48" s="63" t="n">
        <x:f>E48/Assumptions!$B$7</x:f>
        <x:v>0.426</x:v>
      </x:c>
      <x:c r="G48" s="60" t="n">
        <x:f>(Assumptions!$B$7-AVERAGE(E47:E48))*6</x:f>
        <x:v>173100</x:v>
      </x:c>
      <x:c r="H48" s="60" t="n">
        <x:f>H47+G48</x:f>
        <x:v>2573100</x:v>
      </x:c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</x:row>
    <x:row r="49">
      <x:c r="A49" s="54" t="n">
        <x:v>78</x:v>
      </x:c>
      <x:c r="B49" s="54" t="str">
        <x:v>H2</x:v>
      </x:c>
      <x:c r="C49" s="60" t="n">
        <x:f>MIN(Demand!$B$10,Architecture!$F$8)*MAX(0,MIN(1,(A49-Architecture!$P$8)/(Architecture!$O$8-Architecture!$P$8)))</x:f>
        <x:v>18000</x:v>
      </x:c>
      <x:c r="D49" s="60" t="n">
        <x:f>MIN(Demand!$B$9,Architecture!$L$8*MAX(0,A49-Architecture!$P$8)/24)</x:f>
        <x:v>3600</x:v>
      </x:c>
      <x:c r="E49" s="60" t="n">
        <x:f>MIN(Assumptions!$B$7,C49+D49)</x:f>
        <x:v>21600</x:v>
      </x:c>
      <x:c r="F49" s="63" t="n">
        <x:f>E49/Assumptions!$B$7</x:f>
        <x:v>0.432</x:v>
      </x:c>
      <x:c r="G49" s="60" t="n">
        <x:f>(Assumptions!$B$7-AVERAGE(E48:E49))*6</x:f>
        <x:v>171300</x:v>
      </x:c>
      <x:c r="H49" s="60" t="n">
        <x:f>H48+G49</x:f>
        <x:v>2744400</x:v>
      </x:c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</x:row>
    <x:row r="50">
      <x:c r="A50" s="54" t="n">
        <x:v>84</x:v>
      </x:c>
      <x:c r="B50" s="54" t="str">
        <x:v>H2</x:v>
      </x:c>
      <x:c r="C50" s="60" t="n">
        <x:f>MIN(Demand!$B$10,Architecture!$F$8)*MAX(0,MIN(1,(A50-Architecture!$P$8)/(Architecture!$O$8-Architecture!$P$8)))</x:f>
        <x:v>18000</x:v>
      </x:c>
      <x:c r="D50" s="60" t="n">
        <x:f>MIN(Demand!$B$9,Architecture!$L$8*MAX(0,A50-Architecture!$P$8)/24)</x:f>
        <x:v>3900</x:v>
      </x:c>
      <x:c r="E50" s="60" t="n">
        <x:f>MIN(Assumptions!$B$7,C50+D50)</x:f>
        <x:v>21900</x:v>
      </x:c>
      <x:c r="F50" s="63" t="n">
        <x:f>E50/Assumptions!$B$7</x:f>
        <x:v>0.438</x:v>
      </x:c>
      <x:c r="G50" s="60" t="n">
        <x:f>(Assumptions!$B$7-AVERAGE(E49:E50))*6</x:f>
        <x:v>169500</x:v>
      </x:c>
      <x:c r="H50" s="60" t="n">
        <x:f>H49+G50</x:f>
        <x:v>2913900</x:v>
      </x:c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</x:row>
    <x:row r="51">
      <x:c r="A51" s="54" t="n">
        <x:v>90</x:v>
      </x:c>
      <x:c r="B51" s="54" t="str">
        <x:v>H2</x:v>
      </x:c>
      <x:c r="C51" s="60" t="n">
        <x:f>MIN(Demand!$B$10,Architecture!$F$8)*MAX(0,MIN(1,(A51-Architecture!$P$8)/(Architecture!$O$8-Architecture!$P$8)))</x:f>
        <x:v>18000</x:v>
      </x:c>
      <x:c r="D51" s="60" t="n">
        <x:f>MIN(Demand!$B$9,Architecture!$L$8*MAX(0,A51-Architecture!$P$8)/24)</x:f>
        <x:v>4200</x:v>
      </x:c>
      <x:c r="E51" s="60" t="n">
        <x:f>MIN(Assumptions!$B$7,C51+D51)</x:f>
        <x:v>22200</x:v>
      </x:c>
      <x:c r="F51" s="63" t="n">
        <x:f>E51/Assumptions!$B$7</x:f>
        <x:v>0.444</x:v>
      </x:c>
      <x:c r="G51" s="60" t="n">
        <x:f>(Assumptions!$B$7-AVERAGE(E50:E51))*6</x:f>
        <x:v>167700</x:v>
      </x:c>
      <x:c r="H51" s="60" t="n">
        <x:f>H50+G51</x:f>
        <x:v>3081600</x:v>
      </x:c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</x:row>
    <x:row r="52">
      <x:c r="A52" s="54" t="n">
        <x:v>96</x:v>
      </x:c>
      <x:c r="B52" s="54" t="str">
        <x:v>H2</x:v>
      </x:c>
      <x:c r="C52" s="60" t="n">
        <x:f>MIN(Demand!$B$10,Architecture!$F$8)*MAX(0,MIN(1,(A52-Architecture!$P$8)/(Architecture!$O$8-Architecture!$P$8)))</x:f>
        <x:v>18000</x:v>
      </x:c>
      <x:c r="D52" s="60" t="n">
        <x:f>MIN(Demand!$B$9,Architecture!$L$8*MAX(0,A52-Architecture!$P$8)/24)</x:f>
        <x:v>4500</x:v>
      </x:c>
      <x:c r="E52" s="60" t="n">
        <x:f>MIN(Assumptions!$B$7,C52+D52)</x:f>
        <x:v>22500</x:v>
      </x:c>
      <x:c r="F52" s="63" t="n">
        <x:f>E52/Assumptions!$B$7</x:f>
        <x:v>0.45</x:v>
      </x:c>
      <x:c r="G52" s="60" t="n">
        <x:f>(Assumptions!$B$7-AVERAGE(E51:E52))*6</x:f>
        <x:v>165900</x:v>
      </x:c>
      <x:c r="H52" s="60" t="n">
        <x:f>H51+G52</x:f>
        <x:v>3247500</x:v>
      </x:c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</x:row>
    <x:row r="53">
      <x:c r="A53" s="54" t="n">
        <x:v>102</x:v>
      </x:c>
      <x:c r="B53" s="54" t="str">
        <x:v>H2</x:v>
      </x:c>
      <x:c r="C53" s="60" t="n">
        <x:f>MIN(Demand!$B$10,Architecture!$F$8)*MAX(0,MIN(1,(A53-Architecture!$P$8)/(Architecture!$O$8-Architecture!$P$8)))</x:f>
        <x:v>18000</x:v>
      </x:c>
      <x:c r="D53" s="60" t="n">
        <x:f>MIN(Demand!$B$9,Architecture!$L$8*MAX(0,A53-Architecture!$P$8)/24)</x:f>
        <x:v>4800</x:v>
      </x:c>
      <x:c r="E53" s="60" t="n">
        <x:f>MIN(Assumptions!$B$7,C53+D53)</x:f>
        <x:v>22800</x:v>
      </x:c>
      <x:c r="F53" s="63" t="n">
        <x:f>E53/Assumptions!$B$7</x:f>
        <x:v>0.456</x:v>
      </x:c>
      <x:c r="G53" s="60" t="n">
        <x:f>(Assumptions!$B$7-AVERAGE(E52:E53))*6</x:f>
        <x:v>164100</x:v>
      </x:c>
      <x:c r="H53" s="60" t="n">
        <x:f>H52+G53</x:f>
        <x:v>3411600</x:v>
      </x:c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</x:row>
    <x:row r="54">
      <x:c r="A54" s="54" t="n">
        <x:v>108</x:v>
      </x:c>
      <x:c r="B54" s="54" t="str">
        <x:v>H2</x:v>
      </x:c>
      <x:c r="C54" s="60" t="n">
        <x:f>MIN(Demand!$B$10,Architecture!$F$8)*MAX(0,MIN(1,(A54-Architecture!$P$8)/(Architecture!$O$8-Architecture!$P$8)))</x:f>
        <x:v>18000</x:v>
      </x:c>
      <x:c r="D54" s="60" t="n">
        <x:f>MIN(Demand!$B$9,Architecture!$L$8*MAX(0,A54-Architecture!$P$8)/24)</x:f>
        <x:v>5000</x:v>
      </x:c>
      <x:c r="E54" s="60" t="n">
        <x:f>MIN(Assumptions!$B$7,C54+D54)</x:f>
        <x:v>23000</x:v>
      </x:c>
      <x:c r="F54" s="63" t="n">
        <x:f>E54/Assumptions!$B$7</x:f>
        <x:v>0.46</x:v>
      </x:c>
      <x:c r="G54" s="60" t="n">
        <x:f>(Assumptions!$B$7-AVERAGE(E53:E54))*6</x:f>
        <x:v>162600</x:v>
      </x:c>
      <x:c r="H54" s="60" t="n">
        <x:f>H53+G54</x:f>
        <x:v>3574200</x:v>
      </x:c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</x:row>
    <x:row r="55">
      <x:c r="A55" s="54" t="n">
        <x:v>114</x:v>
      </x:c>
      <x:c r="B55" s="54" t="str">
        <x:v>H2</x:v>
      </x:c>
      <x:c r="C55" s="60" t="n">
        <x:f>MIN(Demand!$B$10,Architecture!$F$8)*MAX(0,MIN(1,(A55-Architecture!$P$8)/(Architecture!$O$8-Architecture!$P$8)))</x:f>
        <x:v>18000</x:v>
      </x:c>
      <x:c r="D55" s="60" t="n">
        <x:f>MIN(Demand!$B$9,Architecture!$L$8*MAX(0,A55-Architecture!$P$8)/24)</x:f>
        <x:v>5000</x:v>
      </x:c>
      <x:c r="E55" s="60" t="n">
        <x:f>MIN(Assumptions!$B$7,C55+D55)</x:f>
        <x:v>23000</x:v>
      </x:c>
      <x:c r="F55" s="63" t="n">
        <x:f>E55/Assumptions!$B$7</x:f>
        <x:v>0.46</x:v>
      </x:c>
      <x:c r="G55" s="60" t="n">
        <x:f>(Assumptions!$B$7-AVERAGE(E54:E55))*6</x:f>
        <x:v>162000</x:v>
      </x:c>
      <x:c r="H55" s="60" t="n">
        <x:f>H54+G55</x:f>
        <x:v>3736200</x:v>
      </x:c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</x:row>
    <x:row r="56">
      <x:c r="A56" s="54" t="n">
        <x:v>120</x:v>
      </x:c>
      <x:c r="B56" s="54" t="str">
        <x:v>H2</x:v>
      </x:c>
      <x:c r="C56" s="60" t="n">
        <x:f>MIN(Demand!$B$10,Architecture!$F$8)*MAX(0,MIN(1,(A56-Architecture!$P$8)/(Architecture!$O$8-Architecture!$P$8)))</x:f>
        <x:v>18000</x:v>
      </x:c>
      <x:c r="D56" s="60" t="n">
        <x:f>MIN(Demand!$B$9,Architecture!$L$8*MAX(0,A56-Architecture!$P$8)/24)</x:f>
        <x:v>5000</x:v>
      </x:c>
      <x:c r="E56" s="60" t="n">
        <x:f>MIN(Assumptions!$B$7,C56+D56)</x:f>
        <x:v>23000</x:v>
      </x:c>
      <x:c r="F56" s="63" t="n">
        <x:f>E56/Assumptions!$B$7</x:f>
        <x:v>0.46</x:v>
      </x:c>
      <x:c r="G56" s="60" t="n">
        <x:f>(Assumptions!$B$7-AVERAGE(E55:E56))*6</x:f>
        <x:v>162000</x:v>
      </x:c>
      <x:c r="H56" s="60" t="n">
        <x:f>H55+G56</x:f>
        <x:v>3898200</x:v>
      </x:c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</x:row>
    <x:row r="57">
      <x:c r="A57" s="54" t="n">
        <x:v>126</x:v>
      </x:c>
      <x:c r="B57" s="54" t="str">
        <x:v>H2</x:v>
      </x:c>
      <x:c r="C57" s="60" t="n">
        <x:f>MIN(Demand!$B$10,Architecture!$F$8)*MAX(0,MIN(1,(A57-Architecture!$P$8)/(Architecture!$O$8-Architecture!$P$8)))</x:f>
        <x:v>18000</x:v>
      </x:c>
      <x:c r="D57" s="60" t="n">
        <x:f>MIN(Demand!$B$9,Architecture!$L$8*MAX(0,A57-Architecture!$P$8)/24)</x:f>
        <x:v>5000</x:v>
      </x:c>
      <x:c r="E57" s="60" t="n">
        <x:f>MIN(Assumptions!$B$7,C57+D57)</x:f>
        <x:v>23000</x:v>
      </x:c>
      <x:c r="F57" s="63" t="n">
        <x:f>E57/Assumptions!$B$7</x:f>
        <x:v>0.46</x:v>
      </x:c>
      <x:c r="G57" s="60" t="n">
        <x:f>(Assumptions!$B$7-AVERAGE(E56:E57))*6</x:f>
        <x:v>162000</x:v>
      </x:c>
      <x:c r="H57" s="60" t="n">
        <x:f>H56+G57</x:f>
        <x:v>4060200</x:v>
      </x:c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</x:row>
    <x:row r="58">
      <x:c r="A58" s="54" t="n">
        <x:v>132</x:v>
      </x:c>
      <x:c r="B58" s="54" t="str">
        <x:v>H2</x:v>
      </x:c>
      <x:c r="C58" s="60" t="n">
        <x:f>MIN(Demand!$B$10,Architecture!$F$8)*MAX(0,MIN(1,(A58-Architecture!$P$8)/(Architecture!$O$8-Architecture!$P$8)))</x:f>
        <x:v>18000</x:v>
      </x:c>
      <x:c r="D58" s="60" t="n">
        <x:f>MIN(Demand!$B$9,Architecture!$L$8*MAX(0,A58-Architecture!$P$8)/24)</x:f>
        <x:v>5000</x:v>
      </x:c>
      <x:c r="E58" s="60" t="n">
        <x:f>MIN(Assumptions!$B$7,C58+D58)</x:f>
        <x:v>23000</x:v>
      </x:c>
      <x:c r="F58" s="63" t="n">
        <x:f>E58/Assumptions!$B$7</x:f>
        <x:v>0.46</x:v>
      </x:c>
      <x:c r="G58" s="60" t="n">
        <x:f>(Assumptions!$B$7-AVERAGE(E57:E58))*6</x:f>
        <x:v>162000</x:v>
      </x:c>
      <x:c r="H58" s="60" t="n">
        <x:f>H57+G58</x:f>
        <x:v>4222200</x:v>
      </x:c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</x:row>
    <x:row r="59">
      <x:c r="A59" s="54" t="n">
        <x:v>138</x:v>
      </x:c>
      <x:c r="B59" s="54" t="str">
        <x:v>H2</x:v>
      </x:c>
      <x:c r="C59" s="60" t="n">
        <x:f>MIN(Demand!$B$10,Architecture!$F$8)*MAX(0,MIN(1,(A59-Architecture!$P$8)/(Architecture!$O$8-Architecture!$P$8)))</x:f>
        <x:v>18000</x:v>
      </x:c>
      <x:c r="D59" s="60" t="n">
        <x:f>MIN(Demand!$B$9,Architecture!$L$8*MAX(0,A59-Architecture!$P$8)/24)</x:f>
        <x:v>5000</x:v>
      </x:c>
      <x:c r="E59" s="60" t="n">
        <x:f>MIN(Assumptions!$B$7,C59+D59)</x:f>
        <x:v>23000</x:v>
      </x:c>
      <x:c r="F59" s="63" t="n">
        <x:f>E59/Assumptions!$B$7</x:f>
        <x:v>0.46</x:v>
      </x:c>
      <x:c r="G59" s="60" t="n">
        <x:f>(Assumptions!$B$7-AVERAGE(E58:E59))*6</x:f>
        <x:v>162000</x:v>
      </x:c>
      <x:c r="H59" s="60" t="n">
        <x:f>H58+G59</x:f>
        <x:v>4384200</x:v>
      </x:c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</x:row>
    <x:row r="60">
      <x:c r="A60" s="54" t="n">
        <x:v>144</x:v>
      </x:c>
      <x:c r="B60" s="54" t="str">
        <x:v>H2</x:v>
      </x:c>
      <x:c r="C60" s="60" t="n">
        <x:f>MIN(Demand!$B$10,Architecture!$F$8)*MAX(0,MIN(1,(A60-Architecture!$P$8)/(Architecture!$O$8-Architecture!$P$8)))</x:f>
        <x:v>18000</x:v>
      </x:c>
      <x:c r="D60" s="60" t="n">
        <x:f>MIN(Demand!$B$9,Architecture!$L$8*MAX(0,A60-Architecture!$P$8)/24)</x:f>
        <x:v>5000</x:v>
      </x:c>
      <x:c r="E60" s="60" t="n">
        <x:f>MIN(Assumptions!$B$7,C60+D60)</x:f>
        <x:v>23000</x:v>
      </x:c>
      <x:c r="F60" s="63" t="n">
        <x:f>E60/Assumptions!$B$7</x:f>
        <x:v>0.46</x:v>
      </x:c>
      <x:c r="G60" s="60" t="n">
        <x:f>(Assumptions!$B$7-AVERAGE(E59:E60))*6</x:f>
        <x:v>162000</x:v>
      </x:c>
      <x:c r="H60" s="60" t="n">
        <x:f>H59+G60</x:f>
        <x:v>4546200</x:v>
      </x:c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</x:row>
    <x:row r="61">
      <x:c r="A61" s="54" t="n">
        <x:v>150</x:v>
      </x:c>
      <x:c r="B61" s="54" t="str">
        <x:v>H2</x:v>
      </x:c>
      <x:c r="C61" s="60" t="n">
        <x:f>MIN(Demand!$B$10,Architecture!$F$8)*MAX(0,MIN(1,(A61-Architecture!$P$8)/(Architecture!$O$8-Architecture!$P$8)))</x:f>
        <x:v>18000</x:v>
      </x:c>
      <x:c r="D61" s="60" t="n">
        <x:f>MIN(Demand!$B$9,Architecture!$L$8*MAX(0,A61-Architecture!$P$8)/24)</x:f>
        <x:v>5000</x:v>
      </x:c>
      <x:c r="E61" s="60" t="n">
        <x:f>MIN(Assumptions!$B$7,C61+D61)</x:f>
        <x:v>23000</x:v>
      </x:c>
      <x:c r="F61" s="63" t="n">
        <x:f>E61/Assumptions!$B$7</x:f>
        <x:v>0.46</x:v>
      </x:c>
      <x:c r="G61" s="60" t="n">
        <x:f>(Assumptions!$B$7-AVERAGE(E60:E61))*6</x:f>
        <x:v>162000</x:v>
      </x:c>
      <x:c r="H61" s="60" t="n">
        <x:f>H60+G61</x:f>
        <x:v>4708200</x:v>
      </x:c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</x:row>
    <x:row r="62">
      <x:c r="A62" s="54" t="n">
        <x:v>156</x:v>
      </x:c>
      <x:c r="B62" s="54" t="str">
        <x:v>H2</x:v>
      </x:c>
      <x:c r="C62" s="60" t="n">
        <x:f>MIN(Demand!$B$10,Architecture!$F$8)*MAX(0,MIN(1,(A62-Architecture!$P$8)/(Architecture!$O$8-Architecture!$P$8)))</x:f>
        <x:v>18000</x:v>
      </x:c>
      <x:c r="D62" s="60" t="n">
        <x:f>MIN(Demand!$B$9,Architecture!$L$8*MAX(0,A62-Architecture!$P$8)/24)</x:f>
        <x:v>5000</x:v>
      </x:c>
      <x:c r="E62" s="60" t="n">
        <x:f>MIN(Assumptions!$B$7,C62+D62)</x:f>
        <x:v>23000</x:v>
      </x:c>
      <x:c r="F62" s="63" t="n">
        <x:f>E62/Assumptions!$B$7</x:f>
        <x:v>0.46</x:v>
      </x:c>
      <x:c r="G62" s="60" t="n">
        <x:f>(Assumptions!$B$7-AVERAGE(E61:E62))*6</x:f>
        <x:v>162000</x:v>
      </x:c>
      <x:c r="H62" s="60" t="n">
        <x:f>H61+G62</x:f>
        <x:v>4870200</x:v>
      </x:c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</x:row>
    <x:row r="63">
      <x:c r="A63" s="54" t="n">
        <x:v>162</x:v>
      </x:c>
      <x:c r="B63" s="54" t="str">
        <x:v>H2</x:v>
      </x:c>
      <x:c r="C63" s="60" t="n">
        <x:f>MIN(Demand!$B$10,Architecture!$F$8)*MAX(0,MIN(1,(A63-Architecture!$P$8)/(Architecture!$O$8-Architecture!$P$8)))</x:f>
        <x:v>18000</x:v>
      </x:c>
      <x:c r="D63" s="60" t="n">
        <x:f>MIN(Demand!$B$9,Architecture!$L$8*MAX(0,A63-Architecture!$P$8)/24)</x:f>
        <x:v>5000</x:v>
      </x:c>
      <x:c r="E63" s="60" t="n">
        <x:f>MIN(Assumptions!$B$7,C63+D63)</x:f>
        <x:v>23000</x:v>
      </x:c>
      <x:c r="F63" s="63" t="n">
        <x:f>E63/Assumptions!$B$7</x:f>
        <x:v>0.46</x:v>
      </x:c>
      <x:c r="G63" s="60" t="n">
        <x:f>(Assumptions!$B$7-AVERAGE(E62:E63))*6</x:f>
        <x:v>162000</x:v>
      </x:c>
      <x:c r="H63" s="60" t="n">
        <x:f>H62+G63</x:f>
        <x:v>5032200</x:v>
      </x:c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</x:row>
    <x:row r="64">
      <x:c r="A64" s="55" t="n">
        <x:v>168</x:v>
      </x:c>
      <x:c r="B64" s="55" t="str">
        <x:v>H2</x:v>
      </x:c>
      <x:c r="C64" s="61" t="n">
        <x:f>MIN(Demand!$B$10,Architecture!$F$8)*MAX(0,MIN(1,(A64-Architecture!$P$8)/(Architecture!$O$8-Architecture!$P$8)))</x:f>
        <x:v>18000</x:v>
      </x:c>
      <x:c r="D64" s="61" t="n">
        <x:f>MIN(Demand!$B$9,Architecture!$L$8*MAX(0,A64-Architecture!$P$8)/24)</x:f>
        <x:v>5000</x:v>
      </x:c>
      <x:c r="E64" s="61" t="n">
        <x:f>MIN(Assumptions!$B$7,C64+D64)</x:f>
        <x:v>23000</x:v>
      </x:c>
      <x:c r="F64" s="64" t="n">
        <x:f>E64/Assumptions!$B$7</x:f>
        <x:v>0.46</x:v>
      </x:c>
      <x:c r="G64" s="61" t="n">
        <x:f>(Assumptions!$B$7-AVERAGE(E63:E64))*6</x:f>
        <x:v>162000</x:v>
      </x:c>
      <x:c r="H64" s="61" t="n">
        <x:f>H63+G64</x:f>
        <x:v>5194200</x:v>
      </x:c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</x:row>
    <x:row r="65">
      <x:c r="A65" s="53" t="n">
        <x:v>0</x:v>
      </x:c>
      <x:c r="B65" s="53" t="str">
        <x:v>H3</x:v>
      </x:c>
      <x:c r="C65" s="59" t="n">
        <x:f>MIN(Demand!$B$10,Architecture!$F$9)*MAX(0,MIN(1,(A65-Architecture!$P$9)/(Architecture!$O$9-Architecture!$P$9)))</x:f>
        <x:v>0</x:v>
      </x:c>
      <x:c r="D65" s="59" t="n">
        <x:f>MIN(Demand!$B$9,Architecture!$L$9*MAX(0,A65-Architecture!$P$9)/24)</x:f>
        <x:v>0</x:v>
      </x:c>
      <x:c r="E65" s="59" t="n">
        <x:f>MIN(Assumptions!$B$7,C65+D65)</x:f>
        <x:v>0</x:v>
      </x:c>
      <x:c r="F65" s="62" t="n">
        <x:f>E65/Assumptions!$B$7</x:f>
        <x:v>0</x:v>
      </x:c>
      <x:c r="G65" s="59" t="n">
        <x:v>0</x:v>
      </x:c>
      <x:c r="H65" s="59" t="n">
        <x:v>0</x:v>
      </x:c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</x:row>
    <x:row r="66">
      <x:c r="A66" s="54" t="n">
        <x:v>6</x:v>
      </x:c>
      <x:c r="B66" s="54" t="str">
        <x:v>H3</x:v>
      </x:c>
      <x:c r="C66" s="60" t="n">
        <x:f>MIN(Demand!$B$10,Architecture!$F$9)*MAX(0,MIN(1,(A66-Architecture!$P$9)/(Architecture!$O$9-Architecture!$P$9)))</x:f>
        <x:v>0</x:v>
      </x:c>
      <x:c r="D66" s="60" t="n">
        <x:f>MIN(Demand!$B$9,Architecture!$L$9*MAX(0,A66-Architecture!$P$9)/24)</x:f>
        <x:v>0</x:v>
      </x:c>
      <x:c r="E66" s="60" t="n">
        <x:f>MIN(Assumptions!$B$7,C66+D66)</x:f>
        <x:v>0</x:v>
      </x:c>
      <x:c r="F66" s="63" t="n">
        <x:f>E66/Assumptions!$B$7</x:f>
        <x:v>0</x:v>
      </x:c>
      <x:c r="G66" s="60" t="n">
        <x:f>(Assumptions!$B$7-AVERAGE(E65:E66))*6</x:f>
        <x:v>300000</x:v>
      </x:c>
      <x:c r="H66" s="60" t="n">
        <x:f>H65+G66</x:f>
        <x:v>300000</x:v>
      </x:c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</x:row>
    <x:row r="67">
      <x:c r="A67" s="54" t="n">
        <x:v>12</x:v>
      </x:c>
      <x:c r="B67" s="54" t="str">
        <x:v>H3</x:v>
      </x:c>
      <x:c r="C67" s="60" t="n">
        <x:f>MIN(Demand!$B$10,Architecture!$F$9)*MAX(0,MIN(1,(A67-Architecture!$P$9)/(Architecture!$O$9-Architecture!$P$9)))</x:f>
        <x:v>6428.571428571428</x:v>
      </x:c>
      <x:c r="D67" s="60" t="n">
        <x:f>MIN(Demand!$B$9,Architecture!$L$9*MAX(0,A67-Architecture!$P$9)/24)</x:f>
        <x:v>225</x:v>
      </x:c>
      <x:c r="E67" s="60" t="n">
        <x:f>MIN(Assumptions!$B$7,C67+D67)</x:f>
        <x:v>6653.571428571428</x:v>
      </x:c>
      <x:c r="F67" s="63" t="n">
        <x:f>E67/Assumptions!$B$7</x:f>
        <x:v>0.13307142857142856</x:v>
      </x:c>
      <x:c r="G67" s="60" t="n">
        <x:f>(Assumptions!$B$7-AVERAGE(E66:E67))*6</x:f>
        <x:v>280039.2857142857</x:v>
      </x:c>
      <x:c r="H67" s="60" t="n">
        <x:f>H66+G67</x:f>
        <x:v>580039.2857142857</x:v>
      </x:c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</x:row>
    <x:row r="68">
      <x:c r="A68" s="54" t="n">
        <x:v>18</x:v>
      </x:c>
      <x:c r="B68" s="54" t="str">
        <x:v>H3</x:v>
      </x:c>
      <x:c r="C68" s="60" t="n">
        <x:f>MIN(Demand!$B$10,Architecture!$F$9)*MAX(0,MIN(1,(A68-Architecture!$P$9)/(Architecture!$O$9-Architecture!$P$9)))</x:f>
        <x:v>12857.142857142857</x:v>
      </x:c>
      <x:c r="D68" s="60" t="n">
        <x:f>MIN(Demand!$B$9,Architecture!$L$9*MAX(0,A68-Architecture!$P$9)/24)</x:f>
        <x:v>450</x:v>
      </x:c>
      <x:c r="E68" s="60" t="n">
        <x:f>MIN(Assumptions!$B$7,C68+D68)</x:f>
        <x:v>13307.142857142857</x:v>
      </x:c>
      <x:c r="F68" s="63" t="n">
        <x:f>E68/Assumptions!$B$7</x:f>
        <x:v>0.2661428571428571</x:v>
      </x:c>
      <x:c r="G68" s="60" t="n">
        <x:f>(Assumptions!$B$7-AVERAGE(E67:E68))*6</x:f>
        <x:v>240117.85714285713</x:v>
      </x:c>
      <x:c r="H68" s="60" t="n">
        <x:f>H67+G68</x:f>
        <x:v>820157.1428571428</x:v>
      </x:c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</x:row>
    <x:row r="69">
      <x:c r="A69" s="54" t="n">
        <x:v>24</x:v>
      </x:c>
      <x:c r="B69" s="54" t="str">
        <x:v>H3</x:v>
      </x:c>
      <x:c r="C69" s="60" t="n">
        <x:f>MIN(Demand!$B$10,Architecture!$F$9)*MAX(0,MIN(1,(A69-Architecture!$P$9)/(Architecture!$O$9-Architecture!$P$9)))</x:f>
        <x:v>19285.714285714286</x:v>
      </x:c>
      <x:c r="D69" s="60" t="n">
        <x:f>MIN(Demand!$B$9,Architecture!$L$9*MAX(0,A69-Architecture!$P$9)/24)</x:f>
        <x:v>675</x:v>
      </x:c>
      <x:c r="E69" s="60" t="n">
        <x:f>MIN(Assumptions!$B$7,C69+D69)</x:f>
        <x:v>19960.714285714286</x:v>
      </x:c>
      <x:c r="F69" s="63" t="n">
        <x:f>E69/Assumptions!$B$7</x:f>
        <x:v>0.39921428571428574</x:v>
      </x:c>
      <x:c r="G69" s="60" t="n">
        <x:f>(Assumptions!$B$7-AVERAGE(E68:E69))*6</x:f>
        <x:v>200196.42857142858</x:v>
      </x:c>
      <x:c r="H69" s="60" t="n">
        <x:f>H68+G69</x:f>
        <x:v>1020353.5714285714</x:v>
      </x:c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</x:row>
    <x:row r="70">
      <x:c r="A70" s="54" t="n">
        <x:v>30</x:v>
      </x:c>
      <x:c r="B70" s="54" t="str">
        <x:v>H3</x:v>
      </x:c>
      <x:c r="C70" s="60" t="n">
        <x:f>MIN(Demand!$B$10,Architecture!$F$9)*MAX(0,MIN(1,(A70-Architecture!$P$9)/(Architecture!$O$9-Architecture!$P$9)))</x:f>
        <x:v>25714.285714285714</x:v>
      </x:c>
      <x:c r="D70" s="60" t="n">
        <x:f>MIN(Demand!$B$9,Architecture!$L$9*MAX(0,A70-Architecture!$P$9)/24)</x:f>
        <x:v>900</x:v>
      </x:c>
      <x:c r="E70" s="60" t="n">
        <x:f>MIN(Assumptions!$B$7,C70+D70)</x:f>
        <x:v>26614.285714285714</x:v>
      </x:c>
      <x:c r="F70" s="63" t="n">
        <x:f>E70/Assumptions!$B$7</x:f>
        <x:v>0.5322857142857143</x:v>
      </x:c>
      <x:c r="G70" s="60" t="n">
        <x:f>(Assumptions!$B$7-AVERAGE(E69:E70))*6</x:f>
        <x:v>160275</x:v>
      </x:c>
      <x:c r="H70" s="60" t="n">
        <x:f>H69+G70</x:f>
        <x:v>1180628.5714285714</x:v>
      </x:c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</x:row>
    <x:row r="71">
      <x:c r="A71" s="54" t="n">
        <x:v>36</x:v>
      </x:c>
      <x:c r="B71" s="54" t="str">
        <x:v>H3</x:v>
      </x:c>
      <x:c r="C71" s="60" t="n">
        <x:f>MIN(Demand!$B$10,Architecture!$F$9)*MAX(0,MIN(1,(A71-Architecture!$P$9)/(Architecture!$O$9-Architecture!$P$9)))</x:f>
        <x:v>32142.857142857145</x:v>
      </x:c>
      <x:c r="D71" s="60" t="n">
        <x:f>MIN(Demand!$B$9,Architecture!$L$9*MAX(0,A71-Architecture!$P$9)/24)</x:f>
        <x:v>1125</x:v>
      </x:c>
      <x:c r="E71" s="60" t="n">
        <x:f>MIN(Assumptions!$B$7,C71+D71)</x:f>
        <x:v>33267.857142857145</x:v>
      </x:c>
      <x:c r="F71" s="63" t="n">
        <x:f>E71/Assumptions!$B$7</x:f>
        <x:v>0.6653571428571429</x:v>
      </x:c>
      <x:c r="G71" s="60" t="n">
        <x:f>(Assumptions!$B$7-AVERAGE(E70:E71))*6</x:f>
        <x:v>120353.57142857143</x:v>
      </x:c>
      <x:c r="H71" s="60" t="n">
        <x:f>H70+G71</x:f>
        <x:v>1300982.1428571427</x:v>
      </x:c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</x:row>
    <x:row r="72">
      <x:c r="A72" s="54" t="n">
        <x:v>42</x:v>
      </x:c>
      <x:c r="B72" s="54" t="str">
        <x:v>H3</x:v>
      </x:c>
      <x:c r="C72" s="60" t="n">
        <x:f>MIN(Demand!$B$10,Architecture!$F$9)*MAX(0,MIN(1,(A72-Architecture!$P$9)/(Architecture!$O$9-Architecture!$P$9)))</x:f>
        <x:v>38571.42857142857</x:v>
      </x:c>
      <x:c r="D72" s="60" t="n">
        <x:f>MIN(Demand!$B$9,Architecture!$L$9*MAX(0,A72-Architecture!$P$9)/24)</x:f>
        <x:v>1350</x:v>
      </x:c>
      <x:c r="E72" s="60" t="n">
        <x:f>MIN(Assumptions!$B$7,C72+D72)</x:f>
        <x:v>39921.42857142857</x:v>
      </x:c>
      <x:c r="F72" s="63" t="n">
        <x:f>E72/Assumptions!$B$7</x:f>
        <x:v>0.7984285714285715</x:v>
      </x:c>
      <x:c r="G72" s="60" t="n">
        <x:f>(Assumptions!$B$7-AVERAGE(E71:E72))*6</x:f>
        <x:v>80432.14285714287</x:v>
      </x:c>
      <x:c r="H72" s="60" t="n">
        <x:f>H71+G72</x:f>
        <x:v>1381414.2857142857</x:v>
      </x:c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</x:row>
    <x:row r="73">
      <x:c r="A73" s="54" t="n">
        <x:v>48</x:v>
      </x:c>
      <x:c r="B73" s="54" t="str">
        <x:v>H3</x:v>
      </x:c>
      <x:c r="C73" s="60" t="n">
        <x:f>MIN(Demand!$B$10,Architecture!$F$9)*MAX(0,MIN(1,(A73-Architecture!$P$9)/(Architecture!$O$9-Architecture!$P$9)))</x:f>
        <x:v>45000</x:v>
      </x:c>
      <x:c r="D73" s="60" t="n">
        <x:f>MIN(Demand!$B$9,Architecture!$L$9*MAX(0,A73-Architecture!$P$9)/24)</x:f>
        <x:v>1575</x:v>
      </x:c>
      <x:c r="E73" s="60" t="n">
        <x:f>MIN(Assumptions!$B$7,C73+D73)</x:f>
        <x:v>46575</x:v>
      </x:c>
      <x:c r="F73" s="63" t="n">
        <x:f>E73/Assumptions!$B$7</x:f>
        <x:v>0.9315</x:v>
      </x:c>
      <x:c r="G73" s="60" t="n">
        <x:f>(Assumptions!$B$7-AVERAGE(E72:E73))*6</x:f>
        <x:v>40510.71428571426</x:v>
      </x:c>
      <x:c r="H73" s="60" t="n">
        <x:f>H72+G73</x:f>
        <x:v>1421925</x:v>
      </x:c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</x:row>
    <x:row r="74">
      <x:c r="A74" s="54" t="n">
        <x:v>54</x:v>
      </x:c>
      <x:c r="B74" s="54" t="str">
        <x:v>H3</x:v>
      </x:c>
      <x:c r="C74" s="60" t="n">
        <x:f>MIN(Demand!$B$10,Architecture!$F$9)*MAX(0,MIN(1,(A74-Architecture!$P$9)/(Architecture!$O$9-Architecture!$P$9)))</x:f>
        <x:v>45000</x:v>
      </x:c>
      <x:c r="D74" s="60" t="n">
        <x:f>MIN(Demand!$B$9,Architecture!$L$9*MAX(0,A74-Architecture!$P$9)/24)</x:f>
        <x:v>1800</x:v>
      </x:c>
      <x:c r="E74" s="60" t="n">
        <x:f>MIN(Assumptions!$B$7,C74+D74)</x:f>
        <x:v>46800</x:v>
      </x:c>
      <x:c r="F74" s="63" t="n">
        <x:f>E74/Assumptions!$B$7</x:f>
        <x:v>0.936</x:v>
      </x:c>
      <x:c r="G74" s="60" t="n">
        <x:f>(Assumptions!$B$7-AVERAGE(E73:E74))*6</x:f>
        <x:v>19875</x:v>
      </x:c>
      <x:c r="H74" s="60" t="n">
        <x:f>H73+G74</x:f>
        <x:v>1441800</x:v>
      </x:c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</x:row>
    <x:row r="75">
      <x:c r="A75" s="54" t="n">
        <x:v>60</x:v>
      </x:c>
      <x:c r="B75" s="54" t="str">
        <x:v>H3</x:v>
      </x:c>
      <x:c r="C75" s="60" t="n">
        <x:f>MIN(Demand!$B$10,Architecture!$F$9)*MAX(0,MIN(1,(A75-Architecture!$P$9)/(Architecture!$O$9-Architecture!$P$9)))</x:f>
        <x:v>45000</x:v>
      </x:c>
      <x:c r="D75" s="60" t="n">
        <x:f>MIN(Demand!$B$9,Architecture!$L$9*MAX(0,A75-Architecture!$P$9)/24)</x:f>
        <x:v>2025</x:v>
      </x:c>
      <x:c r="E75" s="60" t="n">
        <x:f>MIN(Assumptions!$B$7,C75+D75)</x:f>
        <x:v>47025</x:v>
      </x:c>
      <x:c r="F75" s="63" t="n">
        <x:f>E75/Assumptions!$B$7</x:f>
        <x:v>0.9405</x:v>
      </x:c>
      <x:c r="G75" s="60" t="n">
        <x:f>(Assumptions!$B$7-AVERAGE(E74:E75))*6</x:f>
        <x:v>18525</x:v>
      </x:c>
      <x:c r="H75" s="60" t="n">
        <x:f>H74+G75</x:f>
        <x:v>1460325</x:v>
      </x:c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</x:row>
    <x:row r="76">
      <x:c r="A76" s="54" t="n">
        <x:v>66</x:v>
      </x:c>
      <x:c r="B76" s="54" t="str">
        <x:v>H3</x:v>
      </x:c>
      <x:c r="C76" s="60" t="n">
        <x:f>MIN(Demand!$B$10,Architecture!$F$9)*MAX(0,MIN(1,(A76-Architecture!$P$9)/(Architecture!$O$9-Architecture!$P$9)))</x:f>
        <x:v>45000</x:v>
      </x:c>
      <x:c r="D76" s="60" t="n">
        <x:f>MIN(Demand!$B$9,Architecture!$L$9*MAX(0,A76-Architecture!$P$9)/24)</x:f>
        <x:v>2250</x:v>
      </x:c>
      <x:c r="E76" s="60" t="n">
        <x:f>MIN(Assumptions!$B$7,C76+D76)</x:f>
        <x:v>47250</x:v>
      </x:c>
      <x:c r="F76" s="63" t="n">
        <x:f>E76/Assumptions!$B$7</x:f>
        <x:v>0.945</x:v>
      </x:c>
      <x:c r="G76" s="60" t="n">
        <x:f>(Assumptions!$B$7-AVERAGE(E75:E76))*6</x:f>
        <x:v>17175</x:v>
      </x:c>
      <x:c r="H76" s="60" t="n">
        <x:f>H75+G76</x:f>
        <x:v>1477500</x:v>
      </x:c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</x:row>
    <x:row r="77">
      <x:c r="A77" s="54" t="n">
        <x:v>72</x:v>
      </x:c>
      <x:c r="B77" s="54" t="str">
        <x:v>H3</x:v>
      </x:c>
      <x:c r="C77" s="60" t="n">
        <x:f>MIN(Demand!$B$10,Architecture!$F$9)*MAX(0,MIN(1,(A77-Architecture!$P$9)/(Architecture!$O$9-Architecture!$P$9)))</x:f>
        <x:v>45000</x:v>
      </x:c>
      <x:c r="D77" s="60" t="n">
        <x:f>MIN(Demand!$B$9,Architecture!$L$9*MAX(0,A77-Architecture!$P$9)/24)</x:f>
        <x:v>2475</x:v>
      </x:c>
      <x:c r="E77" s="60" t="n">
        <x:f>MIN(Assumptions!$B$7,C77+D77)</x:f>
        <x:v>47475</x:v>
      </x:c>
      <x:c r="F77" s="63" t="n">
        <x:f>E77/Assumptions!$B$7</x:f>
        <x:v>0.9495</x:v>
      </x:c>
      <x:c r="G77" s="60" t="n">
        <x:f>(Assumptions!$B$7-AVERAGE(E76:E77))*6</x:f>
        <x:v>15825</x:v>
      </x:c>
      <x:c r="H77" s="60" t="n">
        <x:f>H76+G77</x:f>
        <x:v>1493325</x:v>
      </x:c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</x:row>
    <x:row r="78">
      <x:c r="A78" s="54" t="n">
        <x:v>78</x:v>
      </x:c>
      <x:c r="B78" s="54" t="str">
        <x:v>H3</x:v>
      </x:c>
      <x:c r="C78" s="60" t="n">
        <x:f>MIN(Demand!$B$10,Architecture!$F$9)*MAX(0,MIN(1,(A78-Architecture!$P$9)/(Architecture!$O$9-Architecture!$P$9)))</x:f>
        <x:v>45000</x:v>
      </x:c>
      <x:c r="D78" s="60" t="n">
        <x:f>MIN(Demand!$B$9,Architecture!$L$9*MAX(0,A78-Architecture!$P$9)/24)</x:f>
        <x:v>2700</x:v>
      </x:c>
      <x:c r="E78" s="60" t="n">
        <x:f>MIN(Assumptions!$B$7,C78+D78)</x:f>
        <x:v>47700</x:v>
      </x:c>
      <x:c r="F78" s="63" t="n">
        <x:f>E78/Assumptions!$B$7</x:f>
        <x:v>0.954</x:v>
      </x:c>
      <x:c r="G78" s="60" t="n">
        <x:f>(Assumptions!$B$7-AVERAGE(E77:E78))*6</x:f>
        <x:v>14475</x:v>
      </x:c>
      <x:c r="H78" s="60" t="n">
        <x:f>H77+G78</x:f>
        <x:v>1507800</x:v>
      </x:c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</x:row>
    <x:row r="79">
      <x:c r="A79" s="54" t="n">
        <x:v>84</x:v>
      </x:c>
      <x:c r="B79" s="54" t="str">
        <x:v>H3</x:v>
      </x:c>
      <x:c r="C79" s="60" t="n">
        <x:f>MIN(Demand!$B$10,Architecture!$F$9)*MAX(0,MIN(1,(A79-Architecture!$P$9)/(Architecture!$O$9-Architecture!$P$9)))</x:f>
        <x:v>45000</x:v>
      </x:c>
      <x:c r="D79" s="60" t="n">
        <x:f>MIN(Demand!$B$9,Architecture!$L$9*MAX(0,A79-Architecture!$P$9)/24)</x:f>
        <x:v>2925</x:v>
      </x:c>
      <x:c r="E79" s="60" t="n">
        <x:f>MIN(Assumptions!$B$7,C79+D79)</x:f>
        <x:v>47925</x:v>
      </x:c>
      <x:c r="F79" s="63" t="n">
        <x:f>E79/Assumptions!$B$7</x:f>
        <x:v>0.9585</x:v>
      </x:c>
      <x:c r="G79" s="60" t="n">
        <x:f>(Assumptions!$B$7-AVERAGE(E78:E79))*6</x:f>
        <x:v>13125</x:v>
      </x:c>
      <x:c r="H79" s="60" t="n">
        <x:f>H78+G79</x:f>
        <x:v>1520925</x:v>
      </x:c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</x:row>
    <x:row r="80">
      <x:c r="A80" s="54" t="n">
        <x:v>90</x:v>
      </x:c>
      <x:c r="B80" s="54" t="str">
        <x:v>H3</x:v>
      </x:c>
      <x:c r="C80" s="60" t="n">
        <x:f>MIN(Demand!$B$10,Architecture!$F$9)*MAX(0,MIN(1,(A80-Architecture!$P$9)/(Architecture!$O$9-Architecture!$P$9)))</x:f>
        <x:v>45000</x:v>
      </x:c>
      <x:c r="D80" s="60" t="n">
        <x:f>MIN(Demand!$B$9,Architecture!$L$9*MAX(0,A80-Architecture!$P$9)/24)</x:f>
        <x:v>3150</x:v>
      </x:c>
      <x:c r="E80" s="60" t="n">
        <x:f>MIN(Assumptions!$B$7,C80+D80)</x:f>
        <x:v>48150</x:v>
      </x:c>
      <x:c r="F80" s="63" t="n">
        <x:f>E80/Assumptions!$B$7</x:f>
        <x:v>0.963</x:v>
      </x:c>
      <x:c r="G80" s="60" t="n">
        <x:f>(Assumptions!$B$7-AVERAGE(E79:E80))*6</x:f>
        <x:v>11775</x:v>
      </x:c>
      <x:c r="H80" s="60" t="n">
        <x:f>H79+G80</x:f>
        <x:v>1532700</x:v>
      </x:c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</x:row>
    <x:row r="81">
      <x:c r="A81" s="54" t="n">
        <x:v>96</x:v>
      </x:c>
      <x:c r="B81" s="54" t="str">
        <x:v>H3</x:v>
      </x:c>
      <x:c r="C81" s="60" t="n">
        <x:f>MIN(Demand!$B$10,Architecture!$F$9)*MAX(0,MIN(1,(A81-Architecture!$P$9)/(Architecture!$O$9-Architecture!$P$9)))</x:f>
        <x:v>45000</x:v>
      </x:c>
      <x:c r="D81" s="60" t="n">
        <x:f>MIN(Demand!$B$9,Architecture!$L$9*MAX(0,A81-Architecture!$P$9)/24)</x:f>
        <x:v>3375</x:v>
      </x:c>
      <x:c r="E81" s="60" t="n">
        <x:f>MIN(Assumptions!$B$7,C81+D81)</x:f>
        <x:v>48375</x:v>
      </x:c>
      <x:c r="F81" s="63" t="n">
        <x:f>E81/Assumptions!$B$7</x:f>
        <x:v>0.9675</x:v>
      </x:c>
      <x:c r="G81" s="60" t="n">
        <x:f>(Assumptions!$B$7-AVERAGE(E80:E81))*6</x:f>
        <x:v>10425</x:v>
      </x:c>
      <x:c r="H81" s="60" t="n">
        <x:f>H80+G81</x:f>
        <x:v>1543125</x:v>
      </x:c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</x:row>
    <x:row r="82">
      <x:c r="A82" s="54" t="n">
        <x:v>102</x:v>
      </x:c>
      <x:c r="B82" s="54" t="str">
        <x:v>H3</x:v>
      </x:c>
      <x:c r="C82" s="60" t="n">
        <x:f>MIN(Demand!$B$10,Architecture!$F$9)*MAX(0,MIN(1,(A82-Architecture!$P$9)/(Architecture!$O$9-Architecture!$P$9)))</x:f>
        <x:v>45000</x:v>
      </x:c>
      <x:c r="D82" s="60" t="n">
        <x:f>MIN(Demand!$B$9,Architecture!$L$9*MAX(0,A82-Architecture!$P$9)/24)</x:f>
        <x:v>3600</x:v>
      </x:c>
      <x:c r="E82" s="60" t="n">
        <x:f>MIN(Assumptions!$B$7,C82+D82)</x:f>
        <x:v>48600</x:v>
      </x:c>
      <x:c r="F82" s="63" t="n">
        <x:f>E82/Assumptions!$B$7</x:f>
        <x:v>0.972</x:v>
      </x:c>
      <x:c r="G82" s="60" t="n">
        <x:f>(Assumptions!$B$7-AVERAGE(E81:E82))*6</x:f>
        <x:v>9075</x:v>
      </x:c>
      <x:c r="H82" s="60" t="n">
        <x:f>H81+G82</x:f>
        <x:v>1552200</x:v>
      </x:c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</x:row>
    <x:row r="83">
      <x:c r="A83" s="54" t="n">
        <x:v>108</x:v>
      </x:c>
      <x:c r="B83" s="54" t="str">
        <x:v>H3</x:v>
      </x:c>
      <x:c r="C83" s="60" t="n">
        <x:f>MIN(Demand!$B$10,Architecture!$F$9)*MAX(0,MIN(1,(A83-Architecture!$P$9)/(Architecture!$O$9-Architecture!$P$9)))</x:f>
        <x:v>45000</x:v>
      </x:c>
      <x:c r="D83" s="60" t="n">
        <x:f>MIN(Demand!$B$9,Architecture!$L$9*MAX(0,A83-Architecture!$P$9)/24)</x:f>
        <x:v>3825</x:v>
      </x:c>
      <x:c r="E83" s="60" t="n">
        <x:f>MIN(Assumptions!$B$7,C83+D83)</x:f>
        <x:v>48825</x:v>
      </x:c>
      <x:c r="F83" s="63" t="n">
        <x:f>E83/Assumptions!$B$7</x:f>
        <x:v>0.9765</x:v>
      </x:c>
      <x:c r="G83" s="60" t="n">
        <x:f>(Assumptions!$B$7-AVERAGE(E82:E83))*6</x:f>
        <x:v>7725</x:v>
      </x:c>
      <x:c r="H83" s="60" t="n">
        <x:f>H82+G83</x:f>
        <x:v>1559925</x:v>
      </x:c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</x:row>
    <x:row r="84">
      <x:c r="A84" s="54" t="n">
        <x:v>114</x:v>
      </x:c>
      <x:c r="B84" s="54" t="str">
        <x:v>H3</x:v>
      </x:c>
      <x:c r="C84" s="60" t="n">
        <x:f>MIN(Demand!$B$10,Architecture!$F$9)*MAX(0,MIN(1,(A84-Architecture!$P$9)/(Architecture!$O$9-Architecture!$P$9)))</x:f>
        <x:v>45000</x:v>
      </x:c>
      <x:c r="D84" s="60" t="n">
        <x:f>MIN(Demand!$B$9,Architecture!$L$9*MAX(0,A84-Architecture!$P$9)/24)</x:f>
        <x:v>4050</x:v>
      </x:c>
      <x:c r="E84" s="60" t="n">
        <x:f>MIN(Assumptions!$B$7,C84+D84)</x:f>
        <x:v>49050</x:v>
      </x:c>
      <x:c r="F84" s="63" t="n">
        <x:f>E84/Assumptions!$B$7</x:f>
        <x:v>0.981</x:v>
      </x:c>
      <x:c r="G84" s="60" t="n">
        <x:f>(Assumptions!$B$7-AVERAGE(E83:E84))*6</x:f>
        <x:v>6375</x:v>
      </x:c>
      <x:c r="H84" s="60" t="n">
        <x:f>H83+G84</x:f>
        <x:v>1566300</x:v>
      </x:c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</x:row>
    <x:row r="85">
      <x:c r="A85" s="54" t="n">
        <x:v>120</x:v>
      </x:c>
      <x:c r="B85" s="54" t="str">
        <x:v>H3</x:v>
      </x:c>
      <x:c r="C85" s="60" t="n">
        <x:f>MIN(Demand!$B$10,Architecture!$F$9)*MAX(0,MIN(1,(A85-Architecture!$P$9)/(Architecture!$O$9-Architecture!$P$9)))</x:f>
        <x:v>45000</x:v>
      </x:c>
      <x:c r="D85" s="60" t="n">
        <x:f>MIN(Demand!$B$9,Architecture!$L$9*MAX(0,A85-Architecture!$P$9)/24)</x:f>
        <x:v>4275</x:v>
      </x:c>
      <x:c r="E85" s="60" t="n">
        <x:f>MIN(Assumptions!$B$7,C85+D85)</x:f>
        <x:v>49275</x:v>
      </x:c>
      <x:c r="F85" s="63" t="n">
        <x:f>E85/Assumptions!$B$7</x:f>
        <x:v>0.9855</x:v>
      </x:c>
      <x:c r="G85" s="60" t="n">
        <x:f>(Assumptions!$B$7-AVERAGE(E84:E85))*6</x:f>
        <x:v>5025</x:v>
      </x:c>
      <x:c r="H85" s="60" t="n">
        <x:f>H84+G85</x:f>
        <x:v>1571325</x:v>
      </x:c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</x:row>
    <x:row r="86">
      <x:c r="A86" s="54" t="n">
        <x:v>126</x:v>
      </x:c>
      <x:c r="B86" s="54" t="str">
        <x:v>H3</x:v>
      </x:c>
      <x:c r="C86" s="60" t="n">
        <x:f>MIN(Demand!$B$10,Architecture!$F$9)*MAX(0,MIN(1,(A86-Architecture!$P$9)/(Architecture!$O$9-Architecture!$P$9)))</x:f>
        <x:v>45000</x:v>
      </x:c>
      <x:c r="D86" s="60" t="n">
        <x:f>MIN(Demand!$B$9,Architecture!$L$9*MAX(0,A86-Architecture!$P$9)/24)</x:f>
        <x:v>4500</x:v>
      </x:c>
      <x:c r="E86" s="60" t="n">
        <x:f>MIN(Assumptions!$B$7,C86+D86)</x:f>
        <x:v>49500</x:v>
      </x:c>
      <x:c r="F86" s="63" t="n">
        <x:f>E86/Assumptions!$B$7</x:f>
        <x:v>0.99</x:v>
      </x:c>
      <x:c r="G86" s="60" t="n">
        <x:f>(Assumptions!$B$7-AVERAGE(E85:E86))*6</x:f>
        <x:v>3675</x:v>
      </x:c>
      <x:c r="H86" s="60" t="n">
        <x:f>H85+G86</x:f>
        <x:v>1575000</x:v>
      </x:c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</x:row>
    <x:row r="87">
      <x:c r="A87" s="54" t="n">
        <x:v>132</x:v>
      </x:c>
      <x:c r="B87" s="54" t="str">
        <x:v>H3</x:v>
      </x:c>
      <x:c r="C87" s="60" t="n">
        <x:f>MIN(Demand!$B$10,Architecture!$F$9)*MAX(0,MIN(1,(A87-Architecture!$P$9)/(Architecture!$O$9-Architecture!$P$9)))</x:f>
        <x:v>45000</x:v>
      </x:c>
      <x:c r="D87" s="60" t="n">
        <x:f>MIN(Demand!$B$9,Architecture!$L$9*MAX(0,A87-Architecture!$P$9)/24)</x:f>
        <x:v>4725</x:v>
      </x:c>
      <x:c r="E87" s="60" t="n">
        <x:f>MIN(Assumptions!$B$7,C87+D87)</x:f>
        <x:v>49725</x:v>
      </x:c>
      <x:c r="F87" s="63" t="n">
        <x:f>E87/Assumptions!$B$7</x:f>
        <x:v>0.9945</x:v>
      </x:c>
      <x:c r="G87" s="60" t="n">
        <x:f>(Assumptions!$B$7-AVERAGE(E86:E87))*6</x:f>
        <x:v>2325</x:v>
      </x:c>
      <x:c r="H87" s="60" t="n">
        <x:f>H86+G87</x:f>
        <x:v>1577325</x:v>
      </x:c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</x:row>
    <x:row r="88">
      <x:c r="A88" s="54" t="n">
        <x:v>138</x:v>
      </x:c>
      <x:c r="B88" s="54" t="str">
        <x:v>H3</x:v>
      </x:c>
      <x:c r="C88" s="60" t="n">
        <x:f>MIN(Demand!$B$10,Architecture!$F$9)*MAX(0,MIN(1,(A88-Architecture!$P$9)/(Architecture!$O$9-Architecture!$P$9)))</x:f>
        <x:v>45000</x:v>
      </x:c>
      <x:c r="D88" s="60" t="n">
        <x:f>MIN(Demand!$B$9,Architecture!$L$9*MAX(0,A88-Architecture!$P$9)/24)</x:f>
        <x:v>4950</x:v>
      </x:c>
      <x:c r="E88" s="60" t="n">
        <x:f>MIN(Assumptions!$B$7,C88+D88)</x:f>
        <x:v>49950</x:v>
      </x:c>
      <x:c r="F88" s="63" t="n">
        <x:f>E88/Assumptions!$B$7</x:f>
        <x:v>0.999</x:v>
      </x:c>
      <x:c r="G88" s="60" t="n">
        <x:f>(Assumptions!$B$7-AVERAGE(E87:E88))*6</x:f>
        <x:v>975</x:v>
      </x:c>
      <x:c r="H88" s="60" t="n">
        <x:f>H87+G88</x:f>
        <x:v>1578300</x:v>
      </x:c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</x:row>
    <x:row r="89">
      <x:c r="A89" s="54" t="n">
        <x:v>144</x:v>
      </x:c>
      <x:c r="B89" s="54" t="str">
        <x:v>H3</x:v>
      </x:c>
      <x:c r="C89" s="60" t="n">
        <x:f>MIN(Demand!$B$10,Architecture!$F$9)*MAX(0,MIN(1,(A89-Architecture!$P$9)/(Architecture!$O$9-Architecture!$P$9)))</x:f>
        <x:v>45000</x:v>
      </x:c>
      <x:c r="D89" s="60" t="n">
        <x:f>MIN(Demand!$B$9,Architecture!$L$9*MAX(0,A89-Architecture!$P$9)/24)</x:f>
        <x:v>5000</x:v>
      </x:c>
      <x:c r="E89" s="60" t="n">
        <x:f>MIN(Assumptions!$B$7,C89+D89)</x:f>
        <x:v>50000</x:v>
      </x:c>
      <x:c r="F89" s="63" t="n">
        <x:f>E89/Assumptions!$B$7</x:f>
        <x:v>1</x:v>
      </x:c>
      <x:c r="G89" s="60" t="n">
        <x:f>(Assumptions!$B$7-AVERAGE(E88:E89))*6</x:f>
        <x:v>150</x:v>
      </x:c>
      <x:c r="H89" s="60" t="n">
        <x:f>H88+G89</x:f>
        <x:v>1578450</x:v>
      </x:c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</x:row>
    <x:row r="90">
      <x:c r="A90" s="54" t="n">
        <x:v>150</x:v>
      </x:c>
      <x:c r="B90" s="54" t="str">
        <x:v>H3</x:v>
      </x:c>
      <x:c r="C90" s="60" t="n">
        <x:f>MIN(Demand!$B$10,Architecture!$F$9)*MAX(0,MIN(1,(A90-Architecture!$P$9)/(Architecture!$O$9-Architecture!$P$9)))</x:f>
        <x:v>45000</x:v>
      </x:c>
      <x:c r="D90" s="60" t="n">
        <x:f>MIN(Demand!$B$9,Architecture!$L$9*MAX(0,A90-Architecture!$P$9)/24)</x:f>
        <x:v>5000</x:v>
      </x:c>
      <x:c r="E90" s="60" t="n">
        <x:f>MIN(Assumptions!$B$7,C90+D90)</x:f>
        <x:v>50000</x:v>
      </x:c>
      <x:c r="F90" s="63" t="n">
        <x:f>E90/Assumptions!$B$7</x:f>
        <x:v>1</x:v>
      </x:c>
      <x:c r="G90" s="60" t="n">
        <x:f>(Assumptions!$B$7-AVERAGE(E89:E90))*6</x:f>
        <x:v>0</x:v>
      </x:c>
      <x:c r="H90" s="60" t="n">
        <x:f>H89+G90</x:f>
        <x:v>1578450</x:v>
      </x:c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</x:row>
    <x:row r="91">
      <x:c r="A91" s="54" t="n">
        <x:v>156</x:v>
      </x:c>
      <x:c r="B91" s="54" t="str">
        <x:v>H3</x:v>
      </x:c>
      <x:c r="C91" s="60" t="n">
        <x:f>MIN(Demand!$B$10,Architecture!$F$9)*MAX(0,MIN(1,(A91-Architecture!$P$9)/(Architecture!$O$9-Architecture!$P$9)))</x:f>
        <x:v>45000</x:v>
      </x:c>
      <x:c r="D91" s="60" t="n">
        <x:f>MIN(Demand!$B$9,Architecture!$L$9*MAX(0,A91-Architecture!$P$9)/24)</x:f>
        <x:v>5000</x:v>
      </x:c>
      <x:c r="E91" s="60" t="n">
        <x:f>MIN(Assumptions!$B$7,C91+D91)</x:f>
        <x:v>50000</x:v>
      </x:c>
      <x:c r="F91" s="63" t="n">
        <x:f>E91/Assumptions!$B$7</x:f>
        <x:v>1</x:v>
      </x:c>
      <x:c r="G91" s="60" t="n">
        <x:f>(Assumptions!$B$7-AVERAGE(E90:E91))*6</x:f>
        <x:v>0</x:v>
      </x:c>
      <x:c r="H91" s="60" t="n">
        <x:f>H90+G91</x:f>
        <x:v>1578450</x:v>
      </x:c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</x:row>
    <x:row r="92">
      <x:c r="A92" s="54" t="n">
        <x:v>162</x:v>
      </x:c>
      <x:c r="B92" s="54" t="str">
        <x:v>H3</x:v>
      </x:c>
      <x:c r="C92" s="60" t="n">
        <x:f>MIN(Demand!$B$10,Architecture!$F$9)*MAX(0,MIN(1,(A92-Architecture!$P$9)/(Architecture!$O$9-Architecture!$P$9)))</x:f>
        <x:v>45000</x:v>
      </x:c>
      <x:c r="D92" s="60" t="n">
        <x:f>MIN(Demand!$B$9,Architecture!$L$9*MAX(0,A92-Architecture!$P$9)/24)</x:f>
        <x:v>5000</x:v>
      </x:c>
      <x:c r="E92" s="60" t="n">
        <x:f>MIN(Assumptions!$B$7,C92+D92)</x:f>
        <x:v>50000</x:v>
      </x:c>
      <x:c r="F92" s="63" t="n">
        <x:f>E92/Assumptions!$B$7</x:f>
        <x:v>1</x:v>
      </x:c>
      <x:c r="G92" s="60" t="n">
        <x:f>(Assumptions!$B$7-AVERAGE(E91:E92))*6</x:f>
        <x:v>0</x:v>
      </x:c>
      <x:c r="H92" s="60" t="n">
        <x:f>H91+G92</x:f>
        <x:v>1578450</x:v>
      </x:c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</x:row>
    <x:row r="93">
      <x:c r="A93" s="55" t="n">
        <x:v>168</x:v>
      </x:c>
      <x:c r="B93" s="55" t="str">
        <x:v>H3</x:v>
      </x:c>
      <x:c r="C93" s="61" t="n">
        <x:f>MIN(Demand!$B$10,Architecture!$F$9)*MAX(0,MIN(1,(A93-Architecture!$P$9)/(Architecture!$O$9-Architecture!$P$9)))</x:f>
        <x:v>45000</x:v>
      </x:c>
      <x:c r="D93" s="61" t="n">
        <x:f>MIN(Demand!$B$9,Architecture!$L$9*MAX(0,A93-Architecture!$P$9)/24)</x:f>
        <x:v>5000</x:v>
      </x:c>
      <x:c r="E93" s="61" t="n">
        <x:f>MIN(Assumptions!$B$7,C93+D93)</x:f>
        <x:v>50000</x:v>
      </x:c>
      <x:c r="F93" s="64" t="n">
        <x:f>E93/Assumptions!$B$7</x:f>
        <x:v>1</x:v>
      </x:c>
      <x:c r="G93" s="61" t="n">
        <x:f>(Assumptions!$B$7-AVERAGE(E92:E93))*6</x:f>
        <x:v>0</x:v>
      </x:c>
      <x:c r="H93" s="61" t="n">
        <x:f>H92+G93</x:f>
        <x:v>1578450</x:v>
      </x:c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</x:row>
    <x:row r="94">
      <x:c r="A94" s="53" t="n">
        <x:v>0</x:v>
      </x:c>
      <x:c r="B94" s="53" t="str">
        <x:v>H4</x:v>
      </x:c>
      <x:c r="C94" s="59" t="n">
        <x:f>MIN(Demand!$B$10,Architecture!$F$10)*MAX(0,MIN(1,(A94-Architecture!$P$10)/(Architecture!$O$10-Architecture!$P$10)))</x:f>
        <x:v>0</x:v>
      </x:c>
      <x:c r="D94" s="59" t="n">
        <x:f>MIN(Demand!$B$9,Architecture!$L$10*MAX(0,A94-Architecture!$P$10)/24)</x:f>
        <x:v>0</x:v>
      </x:c>
      <x:c r="E94" s="59" t="n">
        <x:f>MIN(Assumptions!$B$7,C94+D94)</x:f>
        <x:v>0</x:v>
      </x:c>
      <x:c r="F94" s="62" t="n">
        <x:f>E94/Assumptions!$B$7</x:f>
        <x:v>0</x:v>
      </x:c>
      <x:c r="G94" s="59" t="n">
        <x:v>0</x:v>
      </x:c>
      <x:c r="H94" s="59" t="n">
        <x:v>0</x:v>
      </x:c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</x:row>
    <x:row r="95">
      <x:c r="A95" s="54" t="n">
        <x:v>6</x:v>
      </x:c>
      <x:c r="B95" s="54" t="str">
        <x:v>H4</x:v>
      </x:c>
      <x:c r="C95" s="60" t="n">
        <x:f>MIN(Demand!$B$10,Architecture!$F$10)*MAX(0,MIN(1,(A95-Architecture!$P$10)/(Architecture!$O$10-Architecture!$P$10)))</x:f>
        <x:v>4090.909090909091</x:v>
      </x:c>
      <x:c r="D95" s="60" t="n">
        <x:f>MIN(Demand!$B$9,Architecture!$L$10*MAX(0,A95-Architecture!$P$10)/24)</x:f>
        <x:v>187.5</x:v>
      </x:c>
      <x:c r="E95" s="60" t="n">
        <x:f>MIN(Assumptions!$B$7,C95+D95)</x:f>
        <x:v>4278.409090909091</x:v>
      </x:c>
      <x:c r="F95" s="63" t="n">
        <x:f>E95/Assumptions!$B$7</x:f>
        <x:v>0.08556818181818182</x:v>
      </x:c>
      <x:c r="G95" s="60" t="n">
        <x:f>(Assumptions!$B$7-AVERAGE(E94:E95))*6</x:f>
        <x:v>287164.7727272727</x:v>
      </x:c>
      <x:c r="H95" s="60" t="n">
        <x:f>H94+G95</x:f>
        <x:v>287164.7727272727</x:v>
      </x:c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</x:row>
    <x:row r="96">
      <x:c r="A96" s="54" t="n">
        <x:v>12</x:v>
      </x:c>
      <x:c r="B96" s="54" t="str">
        <x:v>H4</x:v>
      </x:c>
      <x:c r="C96" s="60" t="n">
        <x:f>MIN(Demand!$B$10,Architecture!$F$10)*MAX(0,MIN(1,(A96-Architecture!$P$10)/(Architecture!$O$10-Architecture!$P$10)))</x:f>
        <x:v>12272.727272727272</x:v>
      </x:c>
      <x:c r="D96" s="60" t="n">
        <x:f>MIN(Demand!$B$9,Architecture!$L$10*MAX(0,A96-Architecture!$P$10)/24)</x:f>
        <x:v>562.5</x:v>
      </x:c>
      <x:c r="E96" s="60" t="n">
        <x:f>MIN(Assumptions!$B$7,C96+D96)</x:f>
        <x:v>12835.227272727272</x:v>
      </x:c>
      <x:c r="F96" s="63" t="n">
        <x:f>E96/Assumptions!$B$7</x:f>
        <x:v>0.25670454545454546</x:v>
      </x:c>
      <x:c r="G96" s="60" t="n">
        <x:f>(Assumptions!$B$7-AVERAGE(E95:E96))*6</x:f>
        <x:v>248659.09090909088</x:v>
      </x:c>
      <x:c r="H96" s="60" t="n">
        <x:f>H95+G96</x:f>
        <x:v>535823.8636363635</x:v>
      </x:c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</x:row>
    <x:row r="97">
      <x:c r="A97" s="54" t="n">
        <x:v>18</x:v>
      </x:c>
      <x:c r="B97" s="54" t="str">
        <x:v>H4</x:v>
      </x:c>
      <x:c r="C97" s="60" t="n">
        <x:f>MIN(Demand!$B$10,Architecture!$F$10)*MAX(0,MIN(1,(A97-Architecture!$P$10)/(Architecture!$O$10-Architecture!$P$10)))</x:f>
        <x:v>20454.545454545452</x:v>
      </x:c>
      <x:c r="D97" s="60" t="n">
        <x:f>MIN(Demand!$B$9,Architecture!$L$10*MAX(0,A97-Architecture!$P$10)/24)</x:f>
        <x:v>937.5</x:v>
      </x:c>
      <x:c r="E97" s="60" t="n">
        <x:f>MIN(Assumptions!$B$7,C97+D97)</x:f>
        <x:v>21392.045454545452</x:v>
      </x:c>
      <x:c r="F97" s="63" t="n">
        <x:f>E97/Assumptions!$B$7</x:f>
        <x:v>0.42784090909090905</x:v>
      </x:c>
      <x:c r="G97" s="60" t="n">
        <x:f>(Assumptions!$B$7-AVERAGE(E96:E97))*6</x:f>
        <x:v>197318.18181818182</x:v>
      </x:c>
      <x:c r="H97" s="60" t="n">
        <x:f>H96+G97</x:f>
        <x:v>733142.0454545454</x:v>
      </x:c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</x:row>
    <x:row r="98">
      <x:c r="A98" s="54" t="n">
        <x:v>24</x:v>
      </x:c>
      <x:c r="B98" s="54" t="str">
        <x:v>H4</x:v>
      </x:c>
      <x:c r="C98" s="60" t="n">
        <x:f>MIN(Demand!$B$10,Architecture!$F$10)*MAX(0,MIN(1,(A98-Architecture!$P$10)/(Architecture!$O$10-Architecture!$P$10)))</x:f>
        <x:v>28636.363636363636</x:v>
      </x:c>
      <x:c r="D98" s="60" t="n">
        <x:f>MIN(Demand!$B$9,Architecture!$L$10*MAX(0,A98-Architecture!$P$10)/24)</x:f>
        <x:v>1312.5</x:v>
      </x:c>
      <x:c r="E98" s="60" t="n">
        <x:f>MIN(Assumptions!$B$7,C98+D98)</x:f>
        <x:v>29948.863636363636</x:v>
      </x:c>
      <x:c r="F98" s="63" t="n">
        <x:f>E98/Assumptions!$B$7</x:f>
        <x:v>0.5989772727272727</x:v>
      </x:c>
      <x:c r="G98" s="60" t="n">
        <x:f>(Assumptions!$B$7-AVERAGE(E97:E98))*6</x:f>
        <x:v>145977.27272727274</x:v>
      </x:c>
      <x:c r="H98" s="60" t="n">
        <x:f>H97+G98</x:f>
        <x:v>879119.3181818181</x:v>
      </x:c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</x:row>
    <x:row r="99">
      <x:c r="A99" s="54" t="n">
        <x:v>30</x:v>
      </x:c>
      <x:c r="B99" s="54" t="str">
        <x:v>H4</x:v>
      </x:c>
      <x:c r="C99" s="60" t="n">
        <x:f>MIN(Demand!$B$10,Architecture!$F$10)*MAX(0,MIN(1,(A99-Architecture!$P$10)/(Architecture!$O$10-Architecture!$P$10)))</x:f>
        <x:v>36818.18181818182</x:v>
      </x:c>
      <x:c r="D99" s="60" t="n">
        <x:f>MIN(Demand!$B$9,Architecture!$L$10*MAX(0,A99-Architecture!$P$10)/24)</x:f>
        <x:v>1687.5</x:v>
      </x:c>
      <x:c r="E99" s="60" t="n">
        <x:f>MIN(Assumptions!$B$7,C99+D99)</x:f>
        <x:v>38505.68181818182</x:v>
      </x:c>
      <x:c r="F99" s="63" t="n">
        <x:f>E99/Assumptions!$B$7</x:f>
        <x:v>0.7701136363636365</x:v>
      </x:c>
      <x:c r="G99" s="60" t="n">
        <x:f>(Assumptions!$B$7-AVERAGE(E98:E99))*6</x:f>
        <x:v>94636.36363636363</x:v>
      </x:c>
      <x:c r="H99" s="60" t="n">
        <x:f>H98+G99</x:f>
        <x:v>973755.6818181818</x:v>
      </x:c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</x:row>
    <x:row r="100">
      <x:c r="A100" s="54" t="n">
        <x:v>36</x:v>
      </x:c>
      <x:c r="B100" s="54" t="str">
        <x:v>H4</x:v>
      </x:c>
      <x:c r="C100" s="60" t="n">
        <x:f>MIN(Demand!$B$10,Architecture!$F$10)*MAX(0,MIN(1,(A100-Architecture!$P$10)/(Architecture!$O$10-Architecture!$P$10)))</x:f>
        <x:v>45000</x:v>
      </x:c>
      <x:c r="D100" s="60" t="n">
        <x:f>MIN(Demand!$B$9,Architecture!$L$10*MAX(0,A100-Architecture!$P$10)/24)</x:f>
        <x:v>2062.5</x:v>
      </x:c>
      <x:c r="E100" s="60" t="n">
        <x:f>MIN(Assumptions!$B$7,C100+D100)</x:f>
        <x:v>47062.5</x:v>
      </x:c>
      <x:c r="F100" s="63" t="n">
        <x:f>E100/Assumptions!$B$7</x:f>
        <x:v>0.94125</x:v>
      </x:c>
      <x:c r="G100" s="60" t="n">
        <x:f>(Assumptions!$B$7-AVERAGE(E99:E100))*6</x:f>
        <x:v>43295.45454545453</x:v>
      </x:c>
      <x:c r="H100" s="60" t="n">
        <x:f>H99+G100</x:f>
        <x:v>1017051.1363636362</x:v>
      </x:c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</x:row>
    <x:row r="101">
      <x:c r="A101" s="54" t="n">
        <x:v>42</x:v>
      </x:c>
      <x:c r="B101" s="54" t="str">
        <x:v>H4</x:v>
      </x:c>
      <x:c r="C101" s="60" t="n">
        <x:f>MIN(Demand!$B$10,Architecture!$F$10)*MAX(0,MIN(1,(A101-Architecture!$P$10)/(Architecture!$O$10-Architecture!$P$10)))</x:f>
        <x:v>45000</x:v>
      </x:c>
      <x:c r="D101" s="60" t="n">
        <x:f>MIN(Demand!$B$9,Architecture!$L$10*MAX(0,A101-Architecture!$P$10)/24)</x:f>
        <x:v>2437.5</x:v>
      </x:c>
      <x:c r="E101" s="60" t="n">
        <x:f>MIN(Assumptions!$B$7,C101+D101)</x:f>
        <x:v>47437.5</x:v>
      </x:c>
      <x:c r="F101" s="63" t="n">
        <x:f>E101/Assumptions!$B$7</x:f>
        <x:v>0.94875</x:v>
      </x:c>
      <x:c r="G101" s="60" t="n">
        <x:f>(Assumptions!$B$7-AVERAGE(E100:E101))*6</x:f>
        <x:v>16500</x:v>
      </x:c>
      <x:c r="H101" s="60" t="n">
        <x:f>H100+G101</x:f>
        <x:v>1033551.1363636362</x:v>
      </x:c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</x:row>
    <x:row r="102">
      <x:c r="A102" s="54" t="n">
        <x:v>48</x:v>
      </x:c>
      <x:c r="B102" s="54" t="str">
        <x:v>H4</x:v>
      </x:c>
      <x:c r="C102" s="60" t="n">
        <x:f>MIN(Demand!$B$10,Architecture!$F$10)*MAX(0,MIN(1,(A102-Architecture!$P$10)/(Architecture!$O$10-Architecture!$P$10)))</x:f>
        <x:v>45000</x:v>
      </x:c>
      <x:c r="D102" s="60" t="n">
        <x:f>MIN(Demand!$B$9,Architecture!$L$10*MAX(0,A102-Architecture!$P$10)/24)</x:f>
        <x:v>2812.5</x:v>
      </x:c>
      <x:c r="E102" s="60" t="n">
        <x:f>MIN(Assumptions!$B$7,C102+D102)</x:f>
        <x:v>47812.5</x:v>
      </x:c>
      <x:c r="F102" s="63" t="n">
        <x:f>E102/Assumptions!$B$7</x:f>
        <x:v>0.95625</x:v>
      </x:c>
      <x:c r="G102" s="60" t="n">
        <x:f>(Assumptions!$B$7-AVERAGE(E101:E102))*6</x:f>
        <x:v>14250</x:v>
      </x:c>
      <x:c r="H102" s="60" t="n">
        <x:f>H101+G102</x:f>
        <x:v>1047801.1363636362</x:v>
      </x:c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</x:row>
    <x:row r="103">
      <x:c r="A103" s="54" t="n">
        <x:v>54</x:v>
      </x:c>
      <x:c r="B103" s="54" t="str">
        <x:v>H4</x:v>
      </x:c>
      <x:c r="C103" s="60" t="n">
        <x:f>MIN(Demand!$B$10,Architecture!$F$10)*MAX(0,MIN(1,(A103-Architecture!$P$10)/(Architecture!$O$10-Architecture!$P$10)))</x:f>
        <x:v>45000</x:v>
      </x:c>
      <x:c r="D103" s="60" t="n">
        <x:f>MIN(Demand!$B$9,Architecture!$L$10*MAX(0,A103-Architecture!$P$10)/24)</x:f>
        <x:v>3187.5</x:v>
      </x:c>
      <x:c r="E103" s="60" t="n">
        <x:f>MIN(Assumptions!$B$7,C103+D103)</x:f>
        <x:v>48187.5</x:v>
      </x:c>
      <x:c r="F103" s="63" t="n">
        <x:f>E103/Assumptions!$B$7</x:f>
        <x:v>0.96375</x:v>
      </x:c>
      <x:c r="G103" s="60" t="n">
        <x:f>(Assumptions!$B$7-AVERAGE(E102:E103))*6</x:f>
        <x:v>12000</x:v>
      </x:c>
      <x:c r="H103" s="60" t="n">
        <x:f>H102+G103</x:f>
        <x:v>1059801.1363636362</x:v>
      </x:c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</x:row>
    <x:row r="104">
      <x:c r="A104" s="54" t="n">
        <x:v>60</x:v>
      </x:c>
      <x:c r="B104" s="54" t="str">
        <x:v>H4</x:v>
      </x:c>
      <x:c r="C104" s="60" t="n">
        <x:f>MIN(Demand!$B$10,Architecture!$F$10)*MAX(0,MIN(1,(A104-Architecture!$P$10)/(Architecture!$O$10-Architecture!$P$10)))</x:f>
        <x:v>45000</x:v>
      </x:c>
      <x:c r="D104" s="60" t="n">
        <x:f>MIN(Demand!$B$9,Architecture!$L$10*MAX(0,A104-Architecture!$P$10)/24)</x:f>
        <x:v>3562.5</x:v>
      </x:c>
      <x:c r="E104" s="60" t="n">
        <x:f>MIN(Assumptions!$B$7,C104+D104)</x:f>
        <x:v>48562.5</x:v>
      </x:c>
      <x:c r="F104" s="63" t="n">
        <x:f>E104/Assumptions!$B$7</x:f>
        <x:v>0.97125</x:v>
      </x:c>
      <x:c r="G104" s="60" t="n">
        <x:f>(Assumptions!$B$7-AVERAGE(E103:E104))*6</x:f>
        <x:v>9750</x:v>
      </x:c>
      <x:c r="H104" s="60" t="n">
        <x:f>H103+G104</x:f>
        <x:v>1069551.1363636362</x:v>
      </x:c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</x:row>
    <x:row r="105">
      <x:c r="A105" s="54" t="n">
        <x:v>66</x:v>
      </x:c>
      <x:c r="B105" s="54" t="str">
        <x:v>H4</x:v>
      </x:c>
      <x:c r="C105" s="60" t="n">
        <x:f>MIN(Demand!$B$10,Architecture!$F$10)*MAX(0,MIN(1,(A105-Architecture!$P$10)/(Architecture!$O$10-Architecture!$P$10)))</x:f>
        <x:v>45000</x:v>
      </x:c>
      <x:c r="D105" s="60" t="n">
        <x:f>MIN(Demand!$B$9,Architecture!$L$10*MAX(0,A105-Architecture!$P$10)/24)</x:f>
        <x:v>3937.5</x:v>
      </x:c>
      <x:c r="E105" s="60" t="n">
        <x:f>MIN(Assumptions!$B$7,C105+D105)</x:f>
        <x:v>48937.5</x:v>
      </x:c>
      <x:c r="F105" s="63" t="n">
        <x:f>E105/Assumptions!$B$7</x:f>
        <x:v>0.97875</x:v>
      </x:c>
      <x:c r="G105" s="60" t="n">
        <x:f>(Assumptions!$B$7-AVERAGE(E104:E105))*6</x:f>
        <x:v>7500</x:v>
      </x:c>
      <x:c r="H105" s="60" t="n">
        <x:f>H104+G105</x:f>
        <x:v>1077051.1363636362</x:v>
      </x:c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</x:row>
    <x:row r="106">
      <x:c r="A106" s="54" t="n">
        <x:v>72</x:v>
      </x:c>
      <x:c r="B106" s="54" t="str">
        <x:v>H4</x:v>
      </x:c>
      <x:c r="C106" s="60" t="n">
        <x:f>MIN(Demand!$B$10,Architecture!$F$10)*MAX(0,MIN(1,(A106-Architecture!$P$10)/(Architecture!$O$10-Architecture!$P$10)))</x:f>
        <x:v>45000</x:v>
      </x:c>
      <x:c r="D106" s="60" t="n">
        <x:f>MIN(Demand!$B$9,Architecture!$L$10*MAX(0,A106-Architecture!$P$10)/24)</x:f>
        <x:v>4312.5</x:v>
      </x:c>
      <x:c r="E106" s="60" t="n">
        <x:f>MIN(Assumptions!$B$7,C106+D106)</x:f>
        <x:v>49312.5</x:v>
      </x:c>
      <x:c r="F106" s="63" t="n">
        <x:f>E106/Assumptions!$B$7</x:f>
        <x:v>0.98625</x:v>
      </x:c>
      <x:c r="G106" s="60" t="n">
        <x:f>(Assumptions!$B$7-AVERAGE(E105:E106))*6</x:f>
        <x:v>5250</x:v>
      </x:c>
      <x:c r="H106" s="60" t="n">
        <x:f>H105+G106</x:f>
        <x:v>1082301.1363636362</x:v>
      </x:c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</x:row>
    <x:row r="107">
      <x:c r="A107" s="54" t="n">
        <x:v>78</x:v>
      </x:c>
      <x:c r="B107" s="54" t="str">
        <x:v>H4</x:v>
      </x:c>
      <x:c r="C107" s="60" t="n">
        <x:f>MIN(Demand!$B$10,Architecture!$F$10)*MAX(0,MIN(1,(A107-Architecture!$P$10)/(Architecture!$O$10-Architecture!$P$10)))</x:f>
        <x:v>45000</x:v>
      </x:c>
      <x:c r="D107" s="60" t="n">
        <x:f>MIN(Demand!$B$9,Architecture!$L$10*MAX(0,A107-Architecture!$P$10)/24)</x:f>
        <x:v>4687.5</x:v>
      </x:c>
      <x:c r="E107" s="60" t="n">
        <x:f>MIN(Assumptions!$B$7,C107+D107)</x:f>
        <x:v>49687.5</x:v>
      </x:c>
      <x:c r="F107" s="63" t="n">
        <x:f>E107/Assumptions!$B$7</x:f>
        <x:v>0.99375</x:v>
      </x:c>
      <x:c r="G107" s="60" t="n">
        <x:f>(Assumptions!$B$7-AVERAGE(E106:E107))*6</x:f>
        <x:v>3000</x:v>
      </x:c>
      <x:c r="H107" s="60" t="n">
        <x:f>H106+G107</x:f>
        <x:v>1085301.1363636362</x:v>
      </x:c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</x:row>
    <x:row r="108">
      <x:c r="A108" s="54" t="n">
        <x:v>84</x:v>
      </x:c>
      <x:c r="B108" s="54" t="str">
        <x:v>H4</x:v>
      </x:c>
      <x:c r="C108" s="60" t="n">
        <x:f>MIN(Demand!$B$10,Architecture!$F$10)*MAX(0,MIN(1,(A108-Architecture!$P$10)/(Architecture!$O$10-Architecture!$P$10)))</x:f>
        <x:v>45000</x:v>
      </x:c>
      <x:c r="D108" s="60" t="n">
        <x:f>MIN(Demand!$B$9,Architecture!$L$10*MAX(0,A108-Architecture!$P$10)/24)</x:f>
        <x:v>5000</x:v>
      </x:c>
      <x:c r="E108" s="60" t="n">
        <x:f>MIN(Assumptions!$B$7,C108+D108)</x:f>
        <x:v>50000</x:v>
      </x:c>
      <x:c r="F108" s="63" t="n">
        <x:f>E108/Assumptions!$B$7</x:f>
        <x:v>1</x:v>
      </x:c>
      <x:c r="G108" s="60" t="n">
        <x:f>(Assumptions!$B$7-AVERAGE(E107:E108))*6</x:f>
        <x:v>937.5</x:v>
      </x:c>
      <x:c r="H108" s="60" t="n">
        <x:f>H107+G108</x:f>
        <x:v>1086238.6363636362</x:v>
      </x:c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</x:row>
    <x:row r="109">
      <x:c r="A109" s="54" t="n">
        <x:v>90</x:v>
      </x:c>
      <x:c r="B109" s="54" t="str">
        <x:v>H4</x:v>
      </x:c>
      <x:c r="C109" s="60" t="n">
        <x:f>MIN(Demand!$B$10,Architecture!$F$10)*MAX(0,MIN(1,(A109-Architecture!$P$10)/(Architecture!$O$10-Architecture!$P$10)))</x:f>
        <x:v>45000</x:v>
      </x:c>
      <x:c r="D109" s="60" t="n">
        <x:f>MIN(Demand!$B$9,Architecture!$L$10*MAX(0,A109-Architecture!$P$10)/24)</x:f>
        <x:v>5000</x:v>
      </x:c>
      <x:c r="E109" s="60" t="n">
        <x:f>MIN(Assumptions!$B$7,C109+D109)</x:f>
        <x:v>50000</x:v>
      </x:c>
      <x:c r="F109" s="63" t="n">
        <x:f>E109/Assumptions!$B$7</x:f>
        <x:v>1</x:v>
      </x:c>
      <x:c r="G109" s="60" t="n">
        <x:f>(Assumptions!$B$7-AVERAGE(E108:E109))*6</x:f>
        <x:v>0</x:v>
      </x:c>
      <x:c r="H109" s="60" t="n">
        <x:f>H108+G109</x:f>
        <x:v>1086238.6363636362</x:v>
      </x:c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</x:row>
    <x:row r="110">
      <x:c r="A110" s="54" t="n">
        <x:v>96</x:v>
      </x:c>
      <x:c r="B110" s="54" t="str">
        <x:v>H4</x:v>
      </x:c>
      <x:c r="C110" s="60" t="n">
        <x:f>MIN(Demand!$B$10,Architecture!$F$10)*MAX(0,MIN(1,(A110-Architecture!$P$10)/(Architecture!$O$10-Architecture!$P$10)))</x:f>
        <x:v>45000</x:v>
      </x:c>
      <x:c r="D110" s="60" t="n">
        <x:f>MIN(Demand!$B$9,Architecture!$L$10*MAX(0,A110-Architecture!$P$10)/24)</x:f>
        <x:v>5000</x:v>
      </x:c>
      <x:c r="E110" s="60" t="n">
        <x:f>MIN(Assumptions!$B$7,C110+D110)</x:f>
        <x:v>50000</x:v>
      </x:c>
      <x:c r="F110" s="63" t="n">
        <x:f>E110/Assumptions!$B$7</x:f>
        <x:v>1</x:v>
      </x:c>
      <x:c r="G110" s="60" t="n">
        <x:f>(Assumptions!$B$7-AVERAGE(E109:E110))*6</x:f>
        <x:v>0</x:v>
      </x:c>
      <x:c r="H110" s="60" t="n">
        <x:f>H109+G110</x:f>
        <x:v>1086238.6363636362</x:v>
      </x:c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</x:row>
    <x:row r="111">
      <x:c r="A111" s="54" t="n">
        <x:v>102</x:v>
      </x:c>
      <x:c r="B111" s="54" t="str">
        <x:v>H4</x:v>
      </x:c>
      <x:c r="C111" s="60" t="n">
        <x:f>MIN(Demand!$B$10,Architecture!$F$10)*MAX(0,MIN(1,(A111-Architecture!$P$10)/(Architecture!$O$10-Architecture!$P$10)))</x:f>
        <x:v>45000</x:v>
      </x:c>
      <x:c r="D111" s="60" t="n">
        <x:f>MIN(Demand!$B$9,Architecture!$L$10*MAX(0,A111-Architecture!$P$10)/24)</x:f>
        <x:v>5000</x:v>
      </x:c>
      <x:c r="E111" s="60" t="n">
        <x:f>MIN(Assumptions!$B$7,C111+D111)</x:f>
        <x:v>50000</x:v>
      </x:c>
      <x:c r="F111" s="63" t="n">
        <x:f>E111/Assumptions!$B$7</x:f>
        <x:v>1</x:v>
      </x:c>
      <x:c r="G111" s="60" t="n">
        <x:f>(Assumptions!$B$7-AVERAGE(E110:E111))*6</x:f>
        <x:v>0</x:v>
      </x:c>
      <x:c r="H111" s="60" t="n">
        <x:f>H110+G111</x:f>
        <x:v>1086238.6363636362</x:v>
      </x:c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</x:row>
    <x:row r="112">
      <x:c r="A112" s="54" t="n">
        <x:v>108</x:v>
      </x:c>
      <x:c r="B112" s="54" t="str">
        <x:v>H4</x:v>
      </x:c>
      <x:c r="C112" s="60" t="n">
        <x:f>MIN(Demand!$B$10,Architecture!$F$10)*MAX(0,MIN(1,(A112-Architecture!$P$10)/(Architecture!$O$10-Architecture!$P$10)))</x:f>
        <x:v>45000</x:v>
      </x:c>
      <x:c r="D112" s="60" t="n">
        <x:f>MIN(Demand!$B$9,Architecture!$L$10*MAX(0,A112-Architecture!$P$10)/24)</x:f>
        <x:v>5000</x:v>
      </x:c>
      <x:c r="E112" s="60" t="n">
        <x:f>MIN(Assumptions!$B$7,C112+D112)</x:f>
        <x:v>50000</x:v>
      </x:c>
      <x:c r="F112" s="63" t="n">
        <x:f>E112/Assumptions!$B$7</x:f>
        <x:v>1</x:v>
      </x:c>
      <x:c r="G112" s="60" t="n">
        <x:f>(Assumptions!$B$7-AVERAGE(E111:E112))*6</x:f>
        <x:v>0</x:v>
      </x:c>
      <x:c r="H112" s="60" t="n">
        <x:f>H111+G112</x:f>
        <x:v>1086238.6363636362</x:v>
      </x:c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</x:row>
    <x:row r="113">
      <x:c r="A113" s="54" t="n">
        <x:v>114</x:v>
      </x:c>
      <x:c r="B113" s="54" t="str">
        <x:v>H4</x:v>
      </x:c>
      <x:c r="C113" s="60" t="n">
        <x:f>MIN(Demand!$B$10,Architecture!$F$10)*MAX(0,MIN(1,(A113-Architecture!$P$10)/(Architecture!$O$10-Architecture!$P$10)))</x:f>
        <x:v>45000</x:v>
      </x:c>
      <x:c r="D113" s="60" t="n">
        <x:f>MIN(Demand!$B$9,Architecture!$L$10*MAX(0,A113-Architecture!$P$10)/24)</x:f>
        <x:v>5000</x:v>
      </x:c>
      <x:c r="E113" s="60" t="n">
        <x:f>MIN(Assumptions!$B$7,C113+D113)</x:f>
        <x:v>50000</x:v>
      </x:c>
      <x:c r="F113" s="63" t="n">
        <x:f>E113/Assumptions!$B$7</x:f>
        <x:v>1</x:v>
      </x:c>
      <x:c r="G113" s="60" t="n">
        <x:f>(Assumptions!$B$7-AVERAGE(E112:E113))*6</x:f>
        <x:v>0</x:v>
      </x:c>
      <x:c r="H113" s="60" t="n">
        <x:f>H112+G113</x:f>
        <x:v>1086238.6363636362</x:v>
      </x:c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</x:row>
    <x:row r="114">
      <x:c r="A114" s="54" t="n">
        <x:v>120</x:v>
      </x:c>
      <x:c r="B114" s="54" t="str">
        <x:v>H4</x:v>
      </x:c>
      <x:c r="C114" s="60" t="n">
        <x:f>MIN(Demand!$B$10,Architecture!$F$10)*MAX(0,MIN(1,(A114-Architecture!$P$10)/(Architecture!$O$10-Architecture!$P$10)))</x:f>
        <x:v>45000</x:v>
      </x:c>
      <x:c r="D114" s="60" t="n">
        <x:f>MIN(Demand!$B$9,Architecture!$L$10*MAX(0,A114-Architecture!$P$10)/24)</x:f>
        <x:v>5000</x:v>
      </x:c>
      <x:c r="E114" s="60" t="n">
        <x:f>MIN(Assumptions!$B$7,C114+D114)</x:f>
        <x:v>50000</x:v>
      </x:c>
      <x:c r="F114" s="63" t="n">
        <x:f>E114/Assumptions!$B$7</x:f>
        <x:v>1</x:v>
      </x:c>
      <x:c r="G114" s="60" t="n">
        <x:f>(Assumptions!$B$7-AVERAGE(E113:E114))*6</x:f>
        <x:v>0</x:v>
      </x:c>
      <x:c r="H114" s="60" t="n">
        <x:f>H113+G114</x:f>
        <x:v>1086238.6363636362</x:v>
      </x:c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</x:row>
    <x:row r="115">
      <x:c r="A115" s="54" t="n">
        <x:v>126</x:v>
      </x:c>
      <x:c r="B115" s="54" t="str">
        <x:v>H4</x:v>
      </x:c>
      <x:c r="C115" s="60" t="n">
        <x:f>MIN(Demand!$B$10,Architecture!$F$10)*MAX(0,MIN(1,(A115-Architecture!$P$10)/(Architecture!$O$10-Architecture!$P$10)))</x:f>
        <x:v>45000</x:v>
      </x:c>
      <x:c r="D115" s="60" t="n">
        <x:f>MIN(Demand!$B$9,Architecture!$L$10*MAX(0,A115-Architecture!$P$10)/24)</x:f>
        <x:v>5000</x:v>
      </x:c>
      <x:c r="E115" s="60" t="n">
        <x:f>MIN(Assumptions!$B$7,C115+D115)</x:f>
        <x:v>50000</x:v>
      </x:c>
      <x:c r="F115" s="63" t="n">
        <x:f>E115/Assumptions!$B$7</x:f>
        <x:v>1</x:v>
      </x:c>
      <x:c r="G115" s="60" t="n">
        <x:f>(Assumptions!$B$7-AVERAGE(E114:E115))*6</x:f>
        <x:v>0</x:v>
      </x:c>
      <x:c r="H115" s="60" t="n">
        <x:f>H114+G115</x:f>
        <x:v>1086238.6363636362</x:v>
      </x:c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</x:row>
    <x:row r="116">
      <x:c r="A116" s="54" t="n">
        <x:v>132</x:v>
      </x:c>
      <x:c r="B116" s="54" t="str">
        <x:v>H4</x:v>
      </x:c>
      <x:c r="C116" s="60" t="n">
        <x:f>MIN(Demand!$B$10,Architecture!$F$10)*MAX(0,MIN(1,(A116-Architecture!$P$10)/(Architecture!$O$10-Architecture!$P$10)))</x:f>
        <x:v>45000</x:v>
      </x:c>
      <x:c r="D116" s="60" t="n">
        <x:f>MIN(Demand!$B$9,Architecture!$L$10*MAX(0,A116-Architecture!$P$10)/24)</x:f>
        <x:v>5000</x:v>
      </x:c>
      <x:c r="E116" s="60" t="n">
        <x:f>MIN(Assumptions!$B$7,C116+D116)</x:f>
        <x:v>50000</x:v>
      </x:c>
      <x:c r="F116" s="63" t="n">
        <x:f>E116/Assumptions!$B$7</x:f>
        <x:v>1</x:v>
      </x:c>
      <x:c r="G116" s="60" t="n">
        <x:f>(Assumptions!$B$7-AVERAGE(E115:E116))*6</x:f>
        <x:v>0</x:v>
      </x:c>
      <x:c r="H116" s="60" t="n">
        <x:f>H115+G116</x:f>
        <x:v>1086238.6363636362</x:v>
      </x:c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</x:row>
    <x:row r="117">
      <x:c r="A117" s="54" t="n">
        <x:v>138</x:v>
      </x:c>
      <x:c r="B117" s="54" t="str">
        <x:v>H4</x:v>
      </x:c>
      <x:c r="C117" s="60" t="n">
        <x:f>MIN(Demand!$B$10,Architecture!$F$10)*MAX(0,MIN(1,(A117-Architecture!$P$10)/(Architecture!$O$10-Architecture!$P$10)))</x:f>
        <x:v>45000</x:v>
      </x:c>
      <x:c r="D117" s="60" t="n">
        <x:f>MIN(Demand!$B$9,Architecture!$L$10*MAX(0,A117-Architecture!$P$10)/24)</x:f>
        <x:v>5000</x:v>
      </x:c>
      <x:c r="E117" s="60" t="n">
        <x:f>MIN(Assumptions!$B$7,C117+D117)</x:f>
        <x:v>50000</x:v>
      </x:c>
      <x:c r="F117" s="63" t="n">
        <x:f>E117/Assumptions!$B$7</x:f>
        <x:v>1</x:v>
      </x:c>
      <x:c r="G117" s="60" t="n">
        <x:f>(Assumptions!$B$7-AVERAGE(E116:E117))*6</x:f>
        <x:v>0</x:v>
      </x:c>
      <x:c r="H117" s="60" t="n">
        <x:f>H116+G117</x:f>
        <x:v>1086238.6363636362</x:v>
      </x:c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</x:row>
    <x:row r="118">
      <x:c r="A118" s="54" t="n">
        <x:v>144</x:v>
      </x:c>
      <x:c r="B118" s="54" t="str">
        <x:v>H4</x:v>
      </x:c>
      <x:c r="C118" s="60" t="n">
        <x:f>MIN(Demand!$B$10,Architecture!$F$10)*MAX(0,MIN(1,(A118-Architecture!$P$10)/(Architecture!$O$10-Architecture!$P$10)))</x:f>
        <x:v>45000</x:v>
      </x:c>
      <x:c r="D118" s="60" t="n">
        <x:f>MIN(Demand!$B$9,Architecture!$L$10*MAX(0,A118-Architecture!$P$10)/24)</x:f>
        <x:v>5000</x:v>
      </x:c>
      <x:c r="E118" s="60" t="n">
        <x:f>MIN(Assumptions!$B$7,C118+D118)</x:f>
        <x:v>50000</x:v>
      </x:c>
      <x:c r="F118" s="63" t="n">
        <x:f>E118/Assumptions!$B$7</x:f>
        <x:v>1</x:v>
      </x:c>
      <x:c r="G118" s="60" t="n">
        <x:f>(Assumptions!$B$7-AVERAGE(E117:E118))*6</x:f>
        <x:v>0</x:v>
      </x:c>
      <x:c r="H118" s="60" t="n">
        <x:f>H117+G118</x:f>
        <x:v>1086238.6363636362</x:v>
      </x:c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</x:row>
    <x:row r="119">
      <x:c r="A119" s="54" t="n">
        <x:v>150</x:v>
      </x:c>
      <x:c r="B119" s="54" t="str">
        <x:v>H4</x:v>
      </x:c>
      <x:c r="C119" s="60" t="n">
        <x:f>MIN(Demand!$B$10,Architecture!$F$10)*MAX(0,MIN(1,(A119-Architecture!$P$10)/(Architecture!$O$10-Architecture!$P$10)))</x:f>
        <x:v>45000</x:v>
      </x:c>
      <x:c r="D119" s="60" t="n">
        <x:f>MIN(Demand!$B$9,Architecture!$L$10*MAX(0,A119-Architecture!$P$10)/24)</x:f>
        <x:v>5000</x:v>
      </x:c>
      <x:c r="E119" s="60" t="n">
        <x:f>MIN(Assumptions!$B$7,C119+D119)</x:f>
        <x:v>50000</x:v>
      </x:c>
      <x:c r="F119" s="63" t="n">
        <x:f>E119/Assumptions!$B$7</x:f>
        <x:v>1</x:v>
      </x:c>
      <x:c r="G119" s="60" t="n">
        <x:f>(Assumptions!$B$7-AVERAGE(E118:E119))*6</x:f>
        <x:v>0</x:v>
      </x:c>
      <x:c r="H119" s="60" t="n">
        <x:f>H118+G119</x:f>
        <x:v>1086238.6363636362</x:v>
      </x:c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</x:row>
    <x:row r="120">
      <x:c r="A120" s="54" t="n">
        <x:v>156</x:v>
      </x:c>
      <x:c r="B120" s="54" t="str">
        <x:v>H4</x:v>
      </x:c>
      <x:c r="C120" s="60" t="n">
        <x:f>MIN(Demand!$B$10,Architecture!$F$10)*MAX(0,MIN(1,(A120-Architecture!$P$10)/(Architecture!$O$10-Architecture!$P$10)))</x:f>
        <x:v>45000</x:v>
      </x:c>
      <x:c r="D120" s="60" t="n">
        <x:f>MIN(Demand!$B$9,Architecture!$L$10*MAX(0,A120-Architecture!$P$10)/24)</x:f>
        <x:v>5000</x:v>
      </x:c>
      <x:c r="E120" s="60" t="n">
        <x:f>MIN(Assumptions!$B$7,C120+D120)</x:f>
        <x:v>50000</x:v>
      </x:c>
      <x:c r="F120" s="63" t="n">
        <x:f>E120/Assumptions!$B$7</x:f>
        <x:v>1</x:v>
      </x:c>
      <x:c r="G120" s="60" t="n">
        <x:f>(Assumptions!$B$7-AVERAGE(E119:E120))*6</x:f>
        <x:v>0</x:v>
      </x:c>
      <x:c r="H120" s="60" t="n">
        <x:f>H119+G120</x:f>
        <x:v>1086238.6363636362</x:v>
      </x:c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</x:row>
    <x:row r="121">
      <x:c r="A121" s="54" t="n">
        <x:v>162</x:v>
      </x:c>
      <x:c r="B121" s="54" t="str">
        <x:v>H4</x:v>
      </x:c>
      <x:c r="C121" s="60" t="n">
        <x:f>MIN(Demand!$B$10,Architecture!$F$10)*MAX(0,MIN(1,(A121-Architecture!$P$10)/(Architecture!$O$10-Architecture!$P$10)))</x:f>
        <x:v>45000</x:v>
      </x:c>
      <x:c r="D121" s="60" t="n">
        <x:f>MIN(Demand!$B$9,Architecture!$L$10*MAX(0,A121-Architecture!$P$10)/24)</x:f>
        <x:v>5000</x:v>
      </x:c>
      <x:c r="E121" s="60" t="n">
        <x:f>MIN(Assumptions!$B$7,C121+D121)</x:f>
        <x:v>50000</x:v>
      </x:c>
      <x:c r="F121" s="63" t="n">
        <x:f>E121/Assumptions!$B$7</x:f>
        <x:v>1</x:v>
      </x:c>
      <x:c r="G121" s="60" t="n">
        <x:f>(Assumptions!$B$7-AVERAGE(E120:E121))*6</x:f>
        <x:v>0</x:v>
      </x:c>
      <x:c r="H121" s="60" t="n">
        <x:f>H120+G121</x:f>
        <x:v>1086238.6363636362</x:v>
      </x:c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</x:row>
    <x:row r="122">
      <x:c r="A122" s="55" t="n">
        <x:v>168</x:v>
      </x:c>
      <x:c r="B122" s="55" t="str">
        <x:v>H4</x:v>
      </x:c>
      <x:c r="C122" s="61" t="n">
        <x:f>MIN(Demand!$B$10,Architecture!$F$10)*MAX(0,MIN(1,(A122-Architecture!$P$10)/(Architecture!$O$10-Architecture!$P$10)))</x:f>
        <x:v>45000</x:v>
      </x:c>
      <x:c r="D122" s="61" t="n">
        <x:f>MIN(Demand!$B$9,Architecture!$L$10*MAX(0,A122-Architecture!$P$10)/24)</x:f>
        <x:v>5000</x:v>
      </x:c>
      <x:c r="E122" s="61" t="n">
        <x:f>MIN(Assumptions!$B$7,C122+D122)</x:f>
        <x:v>50000</x:v>
      </x:c>
      <x:c r="F122" s="64" t="n">
        <x:f>E122/Assumptions!$B$7</x:f>
        <x:v>1</x:v>
      </x:c>
      <x:c r="G122" s="61" t="n">
        <x:f>(Assumptions!$B$7-AVERAGE(E121:E122))*6</x:f>
        <x:v>0</x:v>
      </x:c>
      <x:c r="H122" s="61" t="n">
        <x:f>H121+G122</x:f>
        <x:v>1086238.6363636362</x:v>
      </x:c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</x:row>
  </x:sheetData>
  <x:mergeCells>
    <x:mergeCell ref="A2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8" hidden="0" customWidth="1"/>
    <x:col min="2" max="2" width="25" hidden="0" customWidth="1"/>
    <x:col min="3" max="3" width="4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3" t="str">
        <x:v>Rival heat-blackout architectures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4" t="str">
        <x:v>Four complete-system hypotheses tested against the same population-to-service contract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2"/>
      <x:c r="Y4" s="2"/>
      <x:c r="Z4" s="2"/>
      <x:c r="AA4" s="2"/>
      <x:c r="AB4" s="2"/>
      <x:c r="AC4" s="2"/>
      <x:c r="AD4" s="2"/>
      <x:c r="AE4" s="2"/>
      <x:c r="AF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</x:row>
    <x:row r="6">
      <x:c r="A6" s="14" t="str">
        <x:v>ID</x:v>
      </x:c>
      <x:c r="B6" s="15" t="str">
        <x:v>Architecture</x:v>
      </x:c>
      <x:c r="C6" s="15" t="str">
        <x:v>Operating concept</x:v>
      </x:c>
      <x:c r="D6" s="15" t="str">
        <x:v>Net electric (MW)</x:v>
      </x:c>
      <x:c r="E6" s="15" t="str">
        <x:v>Net thermal (MWth)</x:v>
      </x:c>
      <x:c r="F6" s="15" t="str">
        <x:v>Thermal reach (people)</x:v>
      </x:c>
      <x:c r="G6" s="15" t="str">
        <x:v>Medical continuity (people)</x:v>
      </x:c>
      <x:c r="H6" s="15" t="str">
        <x:v>Water pumping (m3/day)</x:v>
      </x:c>
      <x:c r="I6" s="15" t="str">
        <x:v>Vertical continuity (people)</x:v>
      </x:c>
      <x:c r="J6" s="15" t="str">
        <x:v>Comms households</x:v>
      </x:c>
      <x:c r="K6" s="15" t="str">
        <x:v>Connection teams</x:v>
      </x:c>
      <x:c r="L6" s="15" t="str">
        <x:v>Transfer / day</x:v>
      </x:c>
      <x:c r="M6" s="15" t="str">
        <x:v>Endurance (days)</x:v>
      </x:c>
      <x:c r="N6" s="15" t="str">
        <x:v>Service cells</x:v>
      </x:c>
      <x:c r="O6" s="15" t="str">
        <x:v>Full setup (h)</x:v>
      </x:c>
      <x:c r="P6" s="15" t="str">
        <x:v>Start (h)</x:v>
      </x:c>
      <x:c r="Q6" s="15" t="str">
        <x:v>Independent domains</x:v>
      </x:c>
      <x:c r="R6" s="15" t="str">
        <x:v>Lawful safe stop</x:v>
      </x:c>
      <x:c r="S6" s="15" t="str">
        <x:v>Deployed crew</x:v>
      </x:c>
      <x:c r="T6" s="15" t="str">
        <x:v>Dry mass (t)</x:v>
      </x:c>
      <x:c r="U6" s="15" t="str">
        <x:v>Direct equipment ($B)</x:v>
      </x:c>
      <x:c r="V6" s="15" t="str">
        <x:v>Worlds passed</x:v>
      </x:c>
      <x:c r="W6" s="16" t="str">
        <x:v>Disposition</x:v>
      </x:c>
      <x:c r="X6" s="2"/>
      <x:c r="Y6" s="2"/>
      <x:c r="Z6" s="2"/>
      <x:c r="AA6" s="2"/>
      <x:c r="AB6" s="2"/>
      <x:c r="AC6" s="2"/>
      <x:c r="AD6" s="2"/>
      <x:c r="AE6" s="2"/>
      <x:c r="AF6" s="2"/>
    </x:row>
    <x:row r="7">
      <x:c r="A7" s="19" t="str">
        <x:v>H1</x:v>
      </x:c>
      <x:c r="B7" s="19" t="str">
        <x:v>Facility power park</x:v>
      </x:c>
      <x:c r="C7" s="19" t="str">
        <x:v>Large sources restore named facilities; household and building reach remain external</x:v>
      </x:c>
      <x:c r="D7" s="46" t="n">
        <x:v>20</x:v>
      </x:c>
      <x:c r="E7" s="46" t="n">
        <x:v>12</x:v>
      </x:c>
      <x:c r="F7" s="46" t="n">
        <x:v>22500</x:v>
      </x:c>
      <x:c r="G7" s="46" t="n">
        <x:v>1000</x:v>
      </x:c>
      <x:c r="H7" s="46" t="n">
        <x:v>1200</x:v>
      </x:c>
      <x:c r="I7" s="46" t="n">
        <x:v>1200</x:v>
      </x:c>
      <x:c r="J7" s="46" t="n">
        <x:v>8000</x:v>
      </x:c>
      <x:c r="K7" s="46" t="n">
        <x:v>20</x:v>
      </x:c>
      <x:c r="L7" s="46" t="n">
        <x:v>500</x:v>
      </x:c>
      <x:c r="M7" s="46" t="n">
        <x:v>7</x:v>
      </x:c>
      <x:c r="N7" s="46" t="n">
        <x:v>4</x:v>
      </x:c>
      <x:c r="O7" s="46" t="n">
        <x:v>72</x:v>
      </x:c>
      <x:c r="P7" s="46" t="n">
        <x:v>12</x:v>
      </x:c>
      <x:c r="Q7" s="46" t="n">
        <x:v>1</x:v>
      </x:c>
      <x:c r="R7" s="46" t="n">
        <x:v>0</x:v>
      </x:c>
      <x:c r="S7" s="46" t="n">
        <x:v>900</x:v>
      </x:c>
      <x:c r="T7" s="46" t="n">
        <x:v>3500</x:v>
      </x:c>
      <x:c r="U7" s="46" t="n">
        <x:v>2.6</x:v>
      </x:c>
      <x:c r="V7" s="47" t="n">
        <x:f>COUNTIFS(Worlds!$C$6:$C$69,A7,Worlds!$AF$6:$AF$69,"PASS")</x:f>
        <x:v>0</x:v>
      </x:c>
      <x:c r="W7" s="48" t="str">
        <x:f>IF(V7=16,"UPPER COMPARATOR","RETAIN / REJECT")</x:f>
        <x:v>RETAIN / REJECT</x:v>
      </x:c>
      <x:c r="X7" s="2"/>
      <x:c r="Y7" s="2"/>
      <x:c r="Z7" s="2"/>
      <x:c r="AA7" s="2"/>
      <x:c r="AB7" s="2"/>
      <x:c r="AC7" s="2"/>
      <x:c r="AD7" s="2"/>
      <x:c r="AE7" s="2"/>
      <x:c r="AF7" s="2"/>
    </x:row>
    <x:row r="8">
      <x:c r="A8" s="21" t="str">
        <x:v>H2</x:v>
      </x:c>
      <x:c r="B8" s="21" t="str">
        <x:v>Central refuge campuses</x:v>
      </x:c>
      <x:c r="C8" s="21" t="str">
        <x:v>Concentrated cooling and services require mass movement to a small site set</x:v>
      </x:c>
      <x:c r="D8" s="49" t="n">
        <x:v>16</x:v>
      </x:c>
      <x:c r="E8" s="49" t="n">
        <x:v>22</x:v>
      </x:c>
      <x:c r="F8" s="49" t="n">
        <x:v>18000</x:v>
      </x:c>
      <x:c r="G8" s="49" t="n">
        <x:v>1200</x:v>
      </x:c>
      <x:c r="H8" s="49" t="n">
        <x:v>1600</x:v>
      </x:c>
      <x:c r="I8" s="49" t="n">
        <x:v>1500</x:v>
      </x:c>
      <x:c r="J8" s="49" t="n">
        <x:v>9000</x:v>
      </x:c>
      <x:c r="K8" s="49" t="n">
        <x:v>12</x:v>
      </x:c>
      <x:c r="L8" s="49" t="n">
        <x:v>1200</x:v>
      </x:c>
      <x:c r="M8" s="49" t="n">
        <x:v>7</x:v>
      </x:c>
      <x:c r="N8" s="49" t="n">
        <x:v>4</x:v>
      </x:c>
      <x:c r="O8" s="49" t="n">
        <x:v>36</x:v>
      </x:c>
      <x:c r="P8" s="49" t="n">
        <x:v>6</x:v>
      </x:c>
      <x:c r="Q8" s="49" t="n">
        <x:v>1</x:v>
      </x:c>
      <x:c r="R8" s="49" t="n">
        <x:v>0</x:v>
      </x:c>
      <x:c r="S8" s="49" t="n">
        <x:v>1250</x:v>
      </x:c>
      <x:c r="T8" s="49" t="n">
        <x:v>4200</x:v>
      </x:c>
      <x:c r="U8" s="49" t="n">
        <x:v>3.4</x:v>
      </x:c>
      <x:c r="V8" s="50" t="n">
        <x:f>COUNTIFS(Worlds!$C$6:$C$69,A8,Worlds!$AF$6:$AF$69,"PASS")</x:f>
        <x:v>0</x:v>
      </x:c>
      <x:c r="W8" s="51" t="str">
        <x:f>IF(V8=16,"UPPER COMPARATOR","RETAIN / REJECT")</x:f>
        <x:v>RETAIN / REJECT</x:v>
      </x:c>
      <x:c r="X8" s="2"/>
      <x:c r="Y8" s="2"/>
      <x:c r="Z8" s="2"/>
      <x:c r="AA8" s="2"/>
      <x:c r="AB8" s="2"/>
      <x:c r="AC8" s="2"/>
      <x:c r="AD8" s="2"/>
      <x:c r="AE8" s="2"/>
      <x:c r="AF8" s="2"/>
    </x:row>
    <x:row r="9">
      <x:c r="A9" s="21" t="str">
        <x:v>H3</x:v>
      </x:c>
      <x:c r="B9" s="21" t="str">
        <x:v>Building-interface mesh</x:v>
      </x:c>
      <x:c r="C9" s="21" t="str">
        <x:v>Distributed cells restore selected buildings and refuges but retain shared energy and reset domains</x:v>
      </x:c>
      <x:c r="D9" s="49" t="n">
        <x:v>20</x:v>
      </x:c>
      <x:c r="E9" s="49" t="n">
        <x:v>26</x:v>
      </x:c>
      <x:c r="F9" s="49" t="n">
        <x:v>45000</x:v>
      </x:c>
      <x:c r="G9" s="49" t="n">
        <x:v>2200</x:v>
      </x:c>
      <x:c r="H9" s="49" t="n">
        <x:v>2300</x:v>
      </x:c>
      <x:c r="I9" s="49" t="n">
        <x:v>5200</x:v>
      </x:c>
      <x:c r="J9" s="49" t="n">
        <x:v>21000</x:v>
      </x:c>
      <x:c r="K9" s="49" t="n">
        <x:v>60</x:v>
      </x:c>
      <x:c r="L9" s="49" t="n">
        <x:v>900</x:v>
      </x:c>
      <x:c r="M9" s="49" t="n">
        <x:v>7</x:v>
      </x:c>
      <x:c r="N9" s="49" t="n">
        <x:v>10</x:v>
      </x:c>
      <x:c r="O9" s="49" t="n">
        <x:v>48</x:v>
      </x:c>
      <x:c r="P9" s="49" t="n">
        <x:v>6</x:v>
      </x:c>
      <x:c r="Q9" s="49" t="n">
        <x:v>2</x:v>
      </x:c>
      <x:c r="R9" s="49" t="n">
        <x:v>1</x:v>
      </x:c>
      <x:c r="S9" s="49" t="n">
        <x:v>2150</x:v>
      </x:c>
      <x:c r="T9" s="49" t="n">
        <x:v>6500</x:v>
      </x:c>
      <x:c r="U9" s="49" t="n">
        <x:v>5.6</x:v>
      </x:c>
      <x:c r="V9" s="50" t="n">
        <x:f>COUNTIFS(Worlds!$C$6:$C$69,A9,Worlds!$AF$6:$AF$69,"PASS")</x:f>
        <x:v>4</x:v>
      </x:c>
      <x:c r="W9" s="51" t="str">
        <x:f>IF(V9=16,"UPPER COMPARATOR","RETAIN / REJECT")</x:f>
        <x:v>RETAIN / REJECT</x:v>
      </x:c>
      <x:c r="X9" s="2"/>
      <x:c r="Y9" s="2"/>
      <x:c r="Z9" s="2"/>
      <x:c r="AA9" s="2"/>
      <x:c r="AB9" s="2"/>
      <x:c r="AC9" s="2"/>
      <x:c r="AD9" s="2"/>
      <x:c r="AE9" s="2"/>
      <x:c r="AF9" s="2"/>
    </x:row>
    <x:row r="10">
      <x:c r="A10" s="23" t="str">
        <x:v>H4</x:v>
      </x:c>
      <x:c r="B10" s="23" t="str">
        <x:v>Layered PTS-50 group</x:v>
      </x:c>
      <x:c r="C10" s="23" t="str">
        <x:v>Twelve PTS-5 cells combine in-place protection, refuges, micro-power, water, vertical service and transfer</x:v>
      </x:c>
      <x:c r="D10" s="32" t="n">
        <x:f>Demand!B38</x:f>
        <x:v>24</x:v>
      </x:c>
      <x:c r="E10" s="32" t="n">
        <x:f>Demand!B40</x:f>
        <x:v>36</x:v>
      </x:c>
      <x:c r="F10" s="32" t="n">
        <x:v>50000</x:v>
      </x:c>
      <x:c r="G10" s="32" t="n">
        <x:v>2700</x:v>
      </x:c>
      <x:c r="H10" s="32" t="n">
        <x:v>3000</x:v>
      </x:c>
      <x:c r="I10" s="32" t="n">
        <x:v>7000</x:v>
      </x:c>
      <x:c r="J10" s="32" t="n">
        <x:v>24500</x:v>
      </x:c>
      <x:c r="K10" s="32" t="n">
        <x:v>72</x:v>
      </x:c>
      <x:c r="L10" s="32" t="n">
        <x:v>1500</x:v>
      </x:c>
      <x:c r="M10" s="32" t="n">
        <x:v>8</x:v>
      </x:c>
      <x:c r="N10" s="32" t="n">
        <x:f>Assumptions!B36+Assumptions!B37</x:f>
        <x:v>12</x:v>
      </x:c>
      <x:c r="O10" s="32" t="n">
        <x:v>36</x:v>
      </x:c>
      <x:c r="P10" s="32" t="n">
        <x:v>3</x:v>
      </x:c>
      <x:c r="Q10" s="32" t="n">
        <x:v>3</x:v>
      </x:c>
      <x:c r="R10" s="32" t="n">
        <x:v>1</x:v>
      </x:c>
      <x:c r="S10" s="32" t="n">
        <x:f>Formation!F19</x:f>
        <x:v>2688</x:v>
      </x:c>
      <x:c r="T10" s="32" t="n">
        <x:f>Formation!G19</x:f>
        <x:v>7740</x:v>
      </x:c>
      <x:c r="U10" s="32" t="n">
        <x:f>Formation!B23</x:f>
        <x:v>6.808</x:v>
      </x:c>
      <x:c r="V10" s="52" t="n">
        <x:f>COUNTIFS(Worlds!$C$6:$C$69,A10,Worlds!$AF$6:$AF$69,"PASS")</x:f>
        <x:v>16</x:v>
      </x:c>
      <x:c r="W10" s="23" t="str">
        <x:f>IF(V10=16,"UPPER COMPARATOR","RETAIN / REJECT")</x:f>
        <x:v>UPPER COMPARATOR</x:v>
      </x:c>
      <x:c r="X10" s="2"/>
      <x:c r="Y10" s="2"/>
      <x:c r="Z10" s="2"/>
      <x:c r="AA10" s="2"/>
      <x:c r="AB10" s="2"/>
      <x:c r="AC10" s="2"/>
      <x:c r="AD10" s="2"/>
      <x:c r="AE10" s="2"/>
      <x:c r="AF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</x:row>
  </x:sheetData>
  <x:mergeCells>
    <x:mergeCell ref="A2:W2"/>
    <x:mergeCell ref="A3:W3"/>
  </x:mergeCells>
  <x:conditionalFormatting sqref="W7:W10">
    <x:cfRule type="containsText" dxfId="0" priority="1" operator="containsText" text="UPPER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9" hidden="0" customWidth="1"/>
    <x:col min="2" max="2" width="38" hidden="0" customWidth="1"/>
    <x:col min="3" max="3" width="12" hidden="0" customWidth="1"/>
    <x:col min="4" max="4" width="3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3" t="str">
        <x:v>Declared degraded-service worlds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4" t="str">
        <x:v>A bottleneck test: every service ratio and the common-mode condition must be at least 1.00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  <x:c r="AE4" s="5"/>
      <x:c r="AF4" s="5"/>
    </x:row>
    <x:row r="5">
      <x:c r="A5" s="14" t="str">
        <x:v>World</x:v>
      </x:c>
      <x:c r="B5" s="15" t="str">
        <x:v>Stress</x:v>
      </x:c>
      <x:c r="C5" s="15" t="str">
        <x:v>Architecture</x:v>
      </x:c>
      <x:c r="D5" s="15" t="str">
        <x:v>Architecture name</x:v>
      </x:c>
      <x:c r="E5" s="15" t="str">
        <x:v>Power factor</x:v>
      </x:c>
      <x:c r="F5" s="15" t="str">
        <x:v>Thermal factor</x:v>
      </x:c>
      <x:c r="G5" s="15" t="str">
        <x:v>Reach factor</x:v>
      </x:c>
      <x:c r="H5" s="15" t="str">
        <x:v>Medical factor</x:v>
      </x:c>
      <x:c r="I5" s="15" t="str">
        <x:v>Water factor</x:v>
      </x:c>
      <x:c r="J5" s="15" t="str">
        <x:v>Vertical factor</x:v>
      </x:c>
      <x:c r="K5" s="15" t="str">
        <x:v>Comms factor</x:v>
      </x:c>
      <x:c r="L5" s="15" t="str">
        <x:v>Connection factor</x:v>
      </x:c>
      <x:c r="M5" s="15" t="str">
        <x:v>Transfer factor</x:v>
      </x:c>
      <x:c r="N5" s="15" t="str">
        <x:v>Endurance factor</x:v>
      </x:c>
      <x:c r="O5" s="15" t="str">
        <x:v>Power surge</x:v>
      </x:c>
      <x:c r="P5" s="15" t="str">
        <x:v>Thermal surge</x:v>
      </x:c>
      <x:c r="Q5" s="15" t="str">
        <x:v>Medical surge</x:v>
      </x:c>
      <x:c r="R5" s="15" t="str">
        <x:v>Vertical surge</x:v>
      </x:c>
      <x:c r="S5" s="15" t="str">
        <x:v>Common-mode factor</x:v>
      </x:c>
      <x:c r="T5" s="15" t="str">
        <x:v>Power ratio</x:v>
      </x:c>
      <x:c r="U5" s="15" t="str">
        <x:v>Thermal MW ratio</x:v>
      </x:c>
      <x:c r="V5" s="15" t="str">
        <x:v>Thermal people ratio</x:v>
      </x:c>
      <x:c r="W5" s="15" t="str">
        <x:v>Medical ratio</x:v>
      </x:c>
      <x:c r="X5" s="15" t="str">
        <x:v>Water ratio</x:v>
      </x:c>
      <x:c r="Y5" s="15" t="str">
        <x:v>Vertical ratio</x:v>
      </x:c>
      <x:c r="Z5" s="15" t="str">
        <x:v>Comms ratio</x:v>
      </x:c>
      <x:c r="AA5" s="15" t="str">
        <x:v>Connection ratio</x:v>
      </x:c>
      <x:c r="AB5" s="15" t="str">
        <x:v>Transfer ratio</x:v>
      </x:c>
      <x:c r="AC5" s="15" t="str">
        <x:v>Endurance ratio</x:v>
      </x:c>
      <x:c r="AD5" s="15" t="str">
        <x:v>Common-mode ratio</x:v>
      </x:c>
      <x:c r="AE5" s="15" t="str">
        <x:v>Minimum ratio</x:v>
      </x:c>
      <x:c r="AF5" s="16" t="str">
        <x:v>Result</x:v>
      </x:c>
    </x:row>
    <x:row r="6">
      <x:c r="A6" s="19" t="str">
        <x:v>W0</x:v>
      </x:c>
      <x:c r="B6" s="19" t="str">
        <x:v>Base seven-day district</x:v>
      </x:c>
      <x:c r="C6" s="19" t="str">
        <x:v>H1</x:v>
      </x:c>
      <x:c r="D6" s="19" t="str">
        <x:v>Facility power park</x:v>
      </x:c>
      <x:c r="E6" s="67" t="n">
        <x:v>1</x:v>
      </x:c>
      <x:c r="F6" s="67" t="n">
        <x:v>1</x:v>
      </x:c>
      <x:c r="G6" s="67" t="n">
        <x:v>1</x:v>
      </x:c>
      <x:c r="H6" s="67" t="n">
        <x:v>1</x:v>
      </x:c>
      <x:c r="I6" s="67" t="n">
        <x:v>1</x:v>
      </x:c>
      <x:c r="J6" s="67" t="n">
        <x:v>1</x:v>
      </x:c>
      <x:c r="K6" s="67" t="n">
        <x:v>1</x:v>
      </x:c>
      <x:c r="L6" s="67" t="n">
        <x:v>1</x:v>
      </x:c>
      <x:c r="M6" s="67" t="n">
        <x:v>1</x:v>
      </x:c>
      <x:c r="N6" s="67" t="n">
        <x:v>1</x:v>
      </x:c>
      <x:c r="O6" s="67" t="n">
        <x:v>1</x:v>
      </x:c>
      <x:c r="P6" s="67" t="n">
        <x:v>1</x:v>
      </x:c>
      <x:c r="Q6" s="67" t="n">
        <x:v>1</x:v>
      </x:c>
      <x:c r="R6" s="67" t="n">
        <x:v>1</x:v>
      </x:c>
      <x:c r="S6" s="67" t="n">
        <x:v>2</x:v>
      </x:c>
      <x:c r="T6" s="68" t="n">
        <x:f>Architecture!$D$7*E6/(Demand!$B$29*O6)</x:f>
        <x:v>1.4063119066650545</x:v>
      </x:c>
      <x:c r="U6" s="68" t="n">
        <x:f>Architecture!$E$7*F6/(Demand!$B$19*P6)</x:f>
        <x:v>0.6106870229007634</x:v>
      </x:c>
      <x:c r="V6" s="68" t="n">
        <x:f>Architecture!$F$7*G6/Demand!$B$10</x:f>
        <x:v>0.5</x:v>
      </x:c>
      <x:c r="W6" s="68" t="n">
        <x:f>Architecture!$G$7*H6/(Demand!$B$11*Q6)</x:f>
        <x:v>0.5</x:v>
      </x:c>
      <x:c r="X6" s="68" t="n">
        <x:f>Architecture!$H$7*I6/Demand!$B$16</x:f>
        <x:v>0.5333333333333333</x:v>
      </x:c>
      <x:c r="Y6" s="68" t="n">
        <x:f>Architecture!$I$7*J6/(Demand!$B$12*R6)</x:f>
        <x:v>0.24</x:v>
      </x:c>
      <x:c r="Z6" s="68" t="n">
        <x:f>Architecture!$J$7*K6/Demand!$B$15</x:f>
        <x:v>0.392</x:v>
      </x:c>
      <x:c r="AA6" s="68" t="n">
        <x:f>Architecture!$K$7*Assumptions!$B$33*Assumptions!$B$34*Assumptions!$B$35*L6/Demand!$B$35</x:f>
        <x:v>0.35</x:v>
      </x:c>
      <x:c r="AB6" s="68" t="n">
        <x:f>Architecture!$L$7*(Assumptions!$B$8/24)*M6/Demand!$B$9</x:f>
        <x:v>0.7</x:v>
      </x:c>
      <x:c r="AC6" s="68" t="n">
        <x:f>Architecture!$M$7*N6/(Assumptions!$B$8/24)</x:f>
        <x:v>1</x:v>
      </x:c>
      <x:c r="AD6" s="68" t="n">
        <x:f>S6</x:f>
        <x:v>2</x:v>
      </x:c>
      <x:c r="AE6" s="68" t="n">
        <x:f>MIN(T6:AD6)</x:f>
        <x:v>0.24</x:v>
      </x:c>
      <x:c r="AF6" s="48" t="str">
        <x:f>IF(AE6&gt;=1,"PASS","FAIL")</x:f>
        <x:v>FAIL</x:v>
      </x:c>
    </x:row>
    <x:row r="7">
      <x:c r="A7" s="21" t="str">
        <x:v>W0</x:v>
      </x:c>
      <x:c r="B7" s="21" t="str">
        <x:v>Base seven-day district</x:v>
      </x:c>
      <x:c r="C7" s="21" t="str">
        <x:v>H2</x:v>
      </x:c>
      <x:c r="D7" s="21" t="str">
        <x:v>Central refuge campuses</x:v>
      </x:c>
      <x:c r="E7" s="69" t="n">
        <x:v>1</x:v>
      </x:c>
      <x:c r="F7" s="69" t="n">
        <x:v>1</x:v>
      </x:c>
      <x:c r="G7" s="69" t="n">
        <x:v>1</x:v>
      </x:c>
      <x:c r="H7" s="69" t="n">
        <x:v>1</x:v>
      </x:c>
      <x:c r="I7" s="69" t="n">
        <x:v>1</x:v>
      </x:c>
      <x:c r="J7" s="69" t="n">
        <x:v>1</x:v>
      </x:c>
      <x:c r="K7" s="69" t="n">
        <x:v>1</x:v>
      </x:c>
      <x:c r="L7" s="69" t="n">
        <x:v>1</x:v>
      </x:c>
      <x:c r="M7" s="69" t="n">
        <x:v>1</x:v>
      </x:c>
      <x:c r="N7" s="69" t="n">
        <x:v>1</x:v>
      </x:c>
      <x:c r="O7" s="69" t="n">
        <x:v>1</x:v>
      </x:c>
      <x:c r="P7" s="69" t="n">
        <x:v>1</x:v>
      </x:c>
      <x:c r="Q7" s="69" t="n">
        <x:v>1</x:v>
      </x:c>
      <x:c r="R7" s="69" t="n">
        <x:v>1</x:v>
      </x:c>
      <x:c r="S7" s="69" t="n">
        <x:v>2</x:v>
      </x:c>
      <x:c r="T7" s="70" t="n">
        <x:f>Architecture!$D$8*E7/(Demand!$B$29*O7)</x:f>
        <x:v>1.1250495253320436</x:v>
      </x:c>
      <x:c r="U7" s="70" t="n">
        <x:f>Architecture!$E$8*F7/(Demand!$B$19*P7)</x:f>
        <x:v>1.1195928753180662</x:v>
      </x:c>
      <x:c r="V7" s="70" t="n">
        <x:f>Architecture!$F$8*G7/Demand!$B$10</x:f>
        <x:v>0.4</x:v>
      </x:c>
      <x:c r="W7" s="70" t="n">
        <x:f>Architecture!$G$8*H7/(Demand!$B$11*Q7)</x:f>
        <x:v>0.6</x:v>
      </x:c>
      <x:c r="X7" s="70" t="n">
        <x:f>Architecture!$H$8*I7/Demand!$B$16</x:f>
        <x:v>0.7111111111111111</x:v>
      </x:c>
      <x:c r="Y7" s="70" t="n">
        <x:f>Architecture!$I$8*J7/(Demand!$B$12*R7)</x:f>
        <x:v>0.3</x:v>
      </x:c>
      <x:c r="Z7" s="70" t="n">
        <x:f>Architecture!$J$8*K7/Demand!$B$15</x:f>
        <x:v>0.44100000000000006</x:v>
      </x:c>
      <x:c r="AA7" s="70" t="n">
        <x:f>Architecture!$K$8*Assumptions!$B$33*Assumptions!$B$34*Assumptions!$B$35*L7/Demand!$B$35</x:f>
        <x:v>0.20999999999999996</x:v>
      </x:c>
      <x:c r="AB7" s="70" t="n">
        <x:f>Architecture!$L$8*(Assumptions!$B$8/24)*M7/Demand!$B$9</x:f>
        <x:v>1.68</x:v>
      </x:c>
      <x:c r="AC7" s="70" t="n">
        <x:f>Architecture!$M$8*N7/(Assumptions!$B$8/24)</x:f>
        <x:v>1</x:v>
      </x:c>
      <x:c r="AD7" s="70" t="n">
        <x:f>S7</x:f>
        <x:v>2</x:v>
      </x:c>
      <x:c r="AE7" s="70" t="n">
        <x:f>MIN(T7:AD7)</x:f>
        <x:v>0.20999999999999996</x:v>
      </x:c>
      <x:c r="AF7" s="51" t="str">
        <x:f>IF(AE7&gt;=1,"PASS","FAIL")</x:f>
        <x:v>FAIL</x:v>
      </x:c>
    </x:row>
    <x:row r="8">
      <x:c r="A8" s="21" t="str">
        <x:v>W0</x:v>
      </x:c>
      <x:c r="B8" s="21" t="str">
        <x:v>Base seven-day district</x:v>
      </x:c>
      <x:c r="C8" s="21" t="str">
        <x:v>H3</x:v>
      </x:c>
      <x:c r="D8" s="21" t="str">
        <x:v>Building-interface mesh</x:v>
      </x:c>
      <x:c r="E8" s="69" t="n">
        <x:v>1</x:v>
      </x:c>
      <x:c r="F8" s="69" t="n">
        <x:v>1</x:v>
      </x:c>
      <x:c r="G8" s="69" t="n">
        <x:v>1</x:v>
      </x:c>
      <x:c r="H8" s="69" t="n">
        <x:v>1</x:v>
      </x:c>
      <x:c r="I8" s="69" t="n">
        <x:v>1</x:v>
      </x:c>
      <x:c r="J8" s="69" t="n">
        <x:v>1</x:v>
      </x:c>
      <x:c r="K8" s="69" t="n">
        <x:v>1</x:v>
      </x:c>
      <x:c r="L8" s="69" t="n">
        <x:v>1</x:v>
      </x:c>
      <x:c r="M8" s="69" t="n">
        <x:v>1</x:v>
      </x:c>
      <x:c r="N8" s="69" t="n">
        <x:v>1</x:v>
      </x:c>
      <x:c r="O8" s="69" t="n">
        <x:v>1</x:v>
      </x:c>
      <x:c r="P8" s="69" t="n">
        <x:v>1</x:v>
      </x:c>
      <x:c r="Q8" s="69" t="n">
        <x:v>1</x:v>
      </x:c>
      <x:c r="R8" s="69" t="n">
        <x:v>1</x:v>
      </x:c>
      <x:c r="S8" s="69" t="n">
        <x:v>2</x:v>
      </x:c>
      <x:c r="T8" s="70" t="n">
        <x:f>Architecture!$D$9*E8/(Demand!$B$29*O8)</x:f>
        <x:v>1.4063119066650545</x:v>
      </x:c>
      <x:c r="U8" s="70" t="n">
        <x:f>Architecture!$E$9*F8/(Demand!$B$19*P8)</x:f>
        <x:v>1.3231552162849873</x:v>
      </x:c>
      <x:c r="V8" s="70" t="n">
        <x:f>Architecture!$F$9*G8/Demand!$B$10</x:f>
        <x:v>1</x:v>
      </x:c>
      <x:c r="W8" s="70" t="n">
        <x:f>Architecture!$G$9*H8/(Demand!$B$11*Q8)</x:f>
        <x:v>1.1</x:v>
      </x:c>
      <x:c r="X8" s="70" t="n">
        <x:f>Architecture!$H$9*I8/Demand!$B$16</x:f>
        <x:v>1.0222222222222221</x:v>
      </x:c>
      <x:c r="Y8" s="70" t="n">
        <x:f>Architecture!$I$9*J8/(Demand!$B$12*R8)</x:f>
        <x:v>1.04</x:v>
      </x:c>
      <x:c r="Z8" s="70" t="n">
        <x:f>Architecture!$J$9*K8/Demand!$B$15</x:f>
        <x:v>1.0290000000000001</x:v>
      </x:c>
      <x:c r="AA8" s="70" t="n">
        <x:f>Architecture!$K$9*Assumptions!$B$33*Assumptions!$B$34*Assumptions!$B$35*L8/Demand!$B$35</x:f>
        <x:v>1.05</x:v>
      </x:c>
      <x:c r="AB8" s="70" t="n">
        <x:f>Architecture!$L$9*(Assumptions!$B$8/24)*M8/Demand!$B$9</x:f>
        <x:v>1.26</x:v>
      </x:c>
      <x:c r="AC8" s="70" t="n">
        <x:f>Architecture!$M$9*N8/(Assumptions!$B$8/24)</x:f>
        <x:v>1</x:v>
      </x:c>
      <x:c r="AD8" s="70" t="n">
        <x:f>S8</x:f>
        <x:v>2</x:v>
      </x:c>
      <x:c r="AE8" s="70" t="n">
        <x:f>MIN(T8:AD8)</x:f>
        <x:v>1</x:v>
      </x:c>
      <x:c r="AF8" s="51" t="str">
        <x:f>IF(AE8&gt;=1,"PASS","FAIL")</x:f>
        <x:v>PASS</x:v>
      </x:c>
    </x:row>
    <x:row r="9">
      <x:c r="A9" s="21" t="str">
        <x:v>W0</x:v>
      </x:c>
      <x:c r="B9" s="21" t="str">
        <x:v>Base seven-day district</x:v>
      </x:c>
      <x:c r="C9" s="21" t="str">
        <x:v>H4</x:v>
      </x:c>
      <x:c r="D9" s="21" t="str">
        <x:v>Layered PTS-50 group</x:v>
      </x:c>
      <x:c r="E9" s="69" t="n">
        <x:v>1</x:v>
      </x:c>
      <x:c r="F9" s="69" t="n">
        <x:v>1</x:v>
      </x:c>
      <x:c r="G9" s="69" t="n">
        <x:v>1</x:v>
      </x:c>
      <x:c r="H9" s="69" t="n">
        <x:v>1</x:v>
      </x:c>
      <x:c r="I9" s="69" t="n">
        <x:v>1</x:v>
      </x:c>
      <x:c r="J9" s="69" t="n">
        <x:v>1</x:v>
      </x:c>
      <x:c r="K9" s="69" t="n">
        <x:v>1</x:v>
      </x:c>
      <x:c r="L9" s="69" t="n">
        <x:v>1</x:v>
      </x:c>
      <x:c r="M9" s="69" t="n">
        <x:v>1</x:v>
      </x:c>
      <x:c r="N9" s="69" t="n">
        <x:v>1</x:v>
      </x:c>
      <x:c r="O9" s="69" t="n">
        <x:v>1</x:v>
      </x:c>
      <x:c r="P9" s="69" t="n">
        <x:v>1</x:v>
      </x:c>
      <x:c r="Q9" s="69" t="n">
        <x:v>1</x:v>
      </x:c>
      <x:c r="R9" s="69" t="n">
        <x:v>1</x:v>
      </x:c>
      <x:c r="S9" s="69" t="n">
        <x:v>2</x:v>
      </x:c>
      <x:c r="T9" s="70" t="n">
        <x:f>Architecture!$D$10*E9/(Demand!$B$29*O9)</x:f>
        <x:v>1.6875742879980653</x:v>
      </x:c>
      <x:c r="U9" s="70" t="n">
        <x:f>Architecture!$E$10*F9/(Demand!$B$19*P9)</x:f>
        <x:v>1.8320610687022902</x:v>
      </x:c>
      <x:c r="V9" s="70" t="n">
        <x:f>Architecture!$F$10*G9/Demand!$B$10</x:f>
        <x:v>1.1111111111111112</x:v>
      </x:c>
      <x:c r="W9" s="70" t="n">
        <x:f>Architecture!$G$10*H9/(Demand!$B$11*Q9)</x:f>
        <x:v>1.35</x:v>
      </x:c>
      <x:c r="X9" s="70" t="n">
        <x:f>Architecture!$H$10*I9/Demand!$B$16</x:f>
        <x:v>1.3333333333333333</x:v>
      </x:c>
      <x:c r="Y9" s="70" t="n">
        <x:f>Architecture!$I$10*J9/(Demand!$B$12*R9)</x:f>
        <x:v>1.4</x:v>
      </x:c>
      <x:c r="Z9" s="70" t="n">
        <x:f>Architecture!$J$10*K9/Demand!$B$15</x:f>
        <x:v>1.2005000000000001</x:v>
      </x:c>
      <x:c r="AA9" s="70" t="n">
        <x:f>Architecture!$K$10*Assumptions!$B$33*Assumptions!$B$34*Assumptions!$B$35*L9/Demand!$B$35</x:f>
        <x:v>1.26</x:v>
      </x:c>
      <x:c r="AB9" s="70" t="n">
        <x:f>Architecture!$L$10*(Assumptions!$B$8/24)*M9/Demand!$B$9</x:f>
        <x:v>2.1</x:v>
      </x:c>
      <x:c r="AC9" s="70" t="n">
        <x:f>Architecture!$M$10*N9/(Assumptions!$B$8/24)</x:f>
        <x:v>1.1428571428571428</x:v>
      </x:c>
      <x:c r="AD9" s="70" t="n">
        <x:f>S9</x:f>
        <x:v>2</x:v>
      </x:c>
      <x:c r="AE9" s="70" t="n">
        <x:f>MIN(T9:AD9)</x:f>
        <x:v>1.1111111111111112</x:v>
      </x:c>
      <x:c r="AF9" s="51" t="str">
        <x:f>IF(AE9&gt;=1,"PASS","FAIL")</x:f>
        <x:v>PASS</x:v>
      </x:c>
    </x:row>
    <x:row r="10">
      <x:c r="A10" s="21" t="str">
        <x:v>W1</x:v>
      </x:c>
      <x:c r="B10" s="21" t="str">
        <x:v>Largest source module unavailable</x:v>
      </x:c>
      <x:c r="C10" s="21" t="str">
        <x:v>H1</x:v>
      </x:c>
      <x:c r="D10" s="21" t="str">
        <x:v>Facility power park</x:v>
      </x:c>
      <x:c r="E10" s="69" t="n">
        <x:v>0.7</x:v>
      </x:c>
      <x:c r="F10" s="69" t="n">
        <x:v>1</x:v>
      </x:c>
      <x:c r="G10" s="69" t="n">
        <x:v>1</x:v>
      </x:c>
      <x:c r="H10" s="69" t="n">
        <x:v>1</x:v>
      </x:c>
      <x:c r="I10" s="69" t="n">
        <x:v>1</x:v>
      </x:c>
      <x:c r="J10" s="69" t="n">
        <x:v>1</x:v>
      </x:c>
      <x:c r="K10" s="69" t="n">
        <x:v>1</x:v>
      </x:c>
      <x:c r="L10" s="69" t="n">
        <x:v>1</x:v>
      </x:c>
      <x:c r="M10" s="69" t="n">
        <x:v>1</x:v>
      </x:c>
      <x:c r="N10" s="69" t="n">
        <x:v>1</x:v>
      </x:c>
      <x:c r="O10" s="69" t="n">
        <x:v>1</x:v>
      </x:c>
      <x:c r="P10" s="69" t="n">
        <x:v>1</x:v>
      </x:c>
      <x:c r="Q10" s="69" t="n">
        <x:v>1</x:v>
      </x:c>
      <x:c r="R10" s="69" t="n">
        <x:v>1</x:v>
      </x:c>
      <x:c r="S10" s="69" t="n">
        <x:v>2</x:v>
      </x:c>
      <x:c r="T10" s="70" t="n">
        <x:f>Architecture!$D$7*E10/(Demand!$B$29*O10)</x:f>
        <x:v>0.9844183346655381</x:v>
      </x:c>
      <x:c r="U10" s="70" t="n">
        <x:f>Architecture!$E$7*F10/(Demand!$B$19*P10)</x:f>
        <x:v>0.6106870229007634</x:v>
      </x:c>
      <x:c r="V10" s="70" t="n">
        <x:f>Architecture!$F$7*G10/Demand!$B$10</x:f>
        <x:v>0.5</x:v>
      </x:c>
      <x:c r="W10" s="70" t="n">
        <x:f>Architecture!$G$7*H10/(Demand!$B$11*Q10)</x:f>
        <x:v>0.5</x:v>
      </x:c>
      <x:c r="X10" s="70" t="n">
        <x:f>Architecture!$H$7*I10/Demand!$B$16</x:f>
        <x:v>0.5333333333333333</x:v>
      </x:c>
      <x:c r="Y10" s="70" t="n">
        <x:f>Architecture!$I$7*J10/(Demand!$B$12*R10)</x:f>
        <x:v>0.24</x:v>
      </x:c>
      <x:c r="Z10" s="70" t="n">
        <x:f>Architecture!$J$7*K10/Demand!$B$15</x:f>
        <x:v>0.392</x:v>
      </x:c>
      <x:c r="AA10" s="70" t="n">
        <x:f>Architecture!$K$7*Assumptions!$B$33*Assumptions!$B$34*Assumptions!$B$35*L10/Demand!$B$35</x:f>
        <x:v>0.35</x:v>
      </x:c>
      <x:c r="AB10" s="70" t="n">
        <x:f>Architecture!$L$7*(Assumptions!$B$8/24)*M10/Demand!$B$9</x:f>
        <x:v>0.7</x:v>
      </x:c>
      <x:c r="AC10" s="70" t="n">
        <x:f>Architecture!$M$7*N10/(Assumptions!$B$8/24)</x:f>
        <x:v>1</x:v>
      </x:c>
      <x:c r="AD10" s="70" t="n">
        <x:f>S10</x:f>
        <x:v>2</x:v>
      </x:c>
      <x:c r="AE10" s="70" t="n">
        <x:f>MIN(T10:AD10)</x:f>
        <x:v>0.24</x:v>
      </x:c>
      <x:c r="AF10" s="51" t="str">
        <x:f>IF(AE10&gt;=1,"PASS","FAIL")</x:f>
        <x:v>FAIL</x:v>
      </x:c>
    </x:row>
    <x:row r="11">
      <x:c r="A11" s="21" t="str">
        <x:v>W1</x:v>
      </x:c>
      <x:c r="B11" s="21" t="str">
        <x:v>Largest source module unavailable</x:v>
      </x:c>
      <x:c r="C11" s="21" t="str">
        <x:v>H2</x:v>
      </x:c>
      <x:c r="D11" s="21" t="str">
        <x:v>Central refuge campuses</x:v>
      </x:c>
      <x:c r="E11" s="69" t="n">
        <x:v>0.75</x:v>
      </x:c>
      <x:c r="F11" s="69" t="n">
        <x:v>1</x:v>
      </x:c>
      <x:c r="G11" s="69" t="n">
        <x:v>1</x:v>
      </x:c>
      <x:c r="H11" s="69" t="n">
        <x:v>1</x:v>
      </x:c>
      <x:c r="I11" s="69" t="n">
        <x:v>1</x:v>
      </x:c>
      <x:c r="J11" s="69" t="n">
        <x:v>1</x:v>
      </x:c>
      <x:c r="K11" s="69" t="n">
        <x:v>1</x:v>
      </x:c>
      <x:c r="L11" s="69" t="n">
        <x:v>1</x:v>
      </x:c>
      <x:c r="M11" s="69" t="n">
        <x:v>1</x:v>
      </x:c>
      <x:c r="N11" s="69" t="n">
        <x:v>1</x:v>
      </x:c>
      <x:c r="O11" s="69" t="n">
        <x:v>1</x:v>
      </x:c>
      <x:c r="P11" s="69" t="n">
        <x:v>1</x:v>
      </x:c>
      <x:c r="Q11" s="69" t="n">
        <x:v>1</x:v>
      </x:c>
      <x:c r="R11" s="69" t="n">
        <x:v>1</x:v>
      </x:c>
      <x:c r="S11" s="69" t="n">
        <x:v>2</x:v>
      </x:c>
      <x:c r="T11" s="70" t="n">
        <x:f>Architecture!$D$8*E11/(Demand!$B$29*O11)</x:f>
        <x:v>0.8437871439990327</x:v>
      </x:c>
      <x:c r="U11" s="70" t="n">
        <x:f>Architecture!$E$8*F11/(Demand!$B$19*P11)</x:f>
        <x:v>1.1195928753180662</x:v>
      </x:c>
      <x:c r="V11" s="70" t="n">
        <x:f>Architecture!$F$8*G11/Demand!$B$10</x:f>
        <x:v>0.4</x:v>
      </x:c>
      <x:c r="W11" s="70" t="n">
        <x:f>Architecture!$G$8*H11/(Demand!$B$11*Q11)</x:f>
        <x:v>0.6</x:v>
      </x:c>
      <x:c r="X11" s="70" t="n">
        <x:f>Architecture!$H$8*I11/Demand!$B$16</x:f>
        <x:v>0.7111111111111111</x:v>
      </x:c>
      <x:c r="Y11" s="70" t="n">
        <x:f>Architecture!$I$8*J11/(Demand!$B$12*R11)</x:f>
        <x:v>0.3</x:v>
      </x:c>
      <x:c r="Z11" s="70" t="n">
        <x:f>Architecture!$J$8*K11/Demand!$B$15</x:f>
        <x:v>0.44100000000000006</x:v>
      </x:c>
      <x:c r="AA11" s="70" t="n">
        <x:f>Architecture!$K$8*Assumptions!$B$33*Assumptions!$B$34*Assumptions!$B$35*L11/Demand!$B$35</x:f>
        <x:v>0.20999999999999996</x:v>
      </x:c>
      <x:c r="AB11" s="70" t="n">
        <x:f>Architecture!$L$8*(Assumptions!$B$8/24)*M11/Demand!$B$9</x:f>
        <x:v>1.68</x:v>
      </x:c>
      <x:c r="AC11" s="70" t="n">
        <x:f>Architecture!$M$8*N11/(Assumptions!$B$8/24)</x:f>
        <x:v>1</x:v>
      </x:c>
      <x:c r="AD11" s="70" t="n">
        <x:f>S11</x:f>
        <x:v>2</x:v>
      </x:c>
      <x:c r="AE11" s="70" t="n">
        <x:f>MIN(T11:AD11)</x:f>
        <x:v>0.20999999999999996</x:v>
      </x:c>
      <x:c r="AF11" s="51" t="str">
        <x:f>IF(AE11&gt;=1,"PASS","FAIL")</x:f>
        <x:v>FAIL</x:v>
      </x:c>
    </x:row>
    <x:row r="12">
      <x:c r="A12" s="21" t="str">
        <x:v>W1</x:v>
      </x:c>
      <x:c r="B12" s="21" t="str">
        <x:v>Largest source module unavailable</x:v>
      </x:c>
      <x:c r="C12" s="21" t="str">
        <x:v>H3</x:v>
      </x:c>
      <x:c r="D12" s="21" t="str">
        <x:v>Building-interface mesh</x:v>
      </x:c>
      <x:c r="E12" s="69" t="n">
        <x:v>0.85</x:v>
      </x:c>
      <x:c r="F12" s="69" t="n">
        <x:v>1</x:v>
      </x:c>
      <x:c r="G12" s="69" t="n">
        <x:v>1</x:v>
      </x:c>
      <x:c r="H12" s="69" t="n">
        <x:v>1</x:v>
      </x:c>
      <x:c r="I12" s="69" t="n">
        <x:v>1</x:v>
      </x:c>
      <x:c r="J12" s="69" t="n">
        <x:v>1</x:v>
      </x:c>
      <x:c r="K12" s="69" t="n">
        <x:v>1</x:v>
      </x:c>
      <x:c r="L12" s="69" t="n">
        <x:v>1</x:v>
      </x:c>
      <x:c r="M12" s="69" t="n">
        <x:v>1</x:v>
      </x:c>
      <x:c r="N12" s="69" t="n">
        <x:v>1</x:v>
      </x:c>
      <x:c r="O12" s="69" t="n">
        <x:v>1</x:v>
      </x:c>
      <x:c r="P12" s="69" t="n">
        <x:v>1</x:v>
      </x:c>
      <x:c r="Q12" s="69" t="n">
        <x:v>1</x:v>
      </x:c>
      <x:c r="R12" s="69" t="n">
        <x:v>1</x:v>
      </x:c>
      <x:c r="S12" s="69" t="n">
        <x:v>2</x:v>
      </x:c>
      <x:c r="T12" s="70" t="n">
        <x:f>Architecture!$D$9*E12/(Demand!$B$29*O12)</x:f>
        <x:v>1.1953651206652962</x:v>
      </x:c>
      <x:c r="U12" s="70" t="n">
        <x:f>Architecture!$E$9*F12/(Demand!$B$19*P12)</x:f>
        <x:v>1.3231552162849873</x:v>
      </x:c>
      <x:c r="V12" s="70" t="n">
        <x:f>Architecture!$F$9*G12/Demand!$B$10</x:f>
        <x:v>1</x:v>
      </x:c>
      <x:c r="W12" s="70" t="n">
        <x:f>Architecture!$G$9*H12/(Demand!$B$11*Q12)</x:f>
        <x:v>1.1</x:v>
      </x:c>
      <x:c r="X12" s="70" t="n">
        <x:f>Architecture!$H$9*I12/Demand!$B$16</x:f>
        <x:v>1.0222222222222221</x:v>
      </x:c>
      <x:c r="Y12" s="70" t="n">
        <x:f>Architecture!$I$9*J12/(Demand!$B$12*R12)</x:f>
        <x:v>1.04</x:v>
      </x:c>
      <x:c r="Z12" s="70" t="n">
        <x:f>Architecture!$J$9*K12/Demand!$B$15</x:f>
        <x:v>1.0290000000000001</x:v>
      </x:c>
      <x:c r="AA12" s="70" t="n">
        <x:f>Architecture!$K$9*Assumptions!$B$33*Assumptions!$B$34*Assumptions!$B$35*L12/Demand!$B$35</x:f>
        <x:v>1.05</x:v>
      </x:c>
      <x:c r="AB12" s="70" t="n">
        <x:f>Architecture!$L$9*(Assumptions!$B$8/24)*M12/Demand!$B$9</x:f>
        <x:v>1.26</x:v>
      </x:c>
      <x:c r="AC12" s="70" t="n">
        <x:f>Architecture!$M$9*N12/(Assumptions!$B$8/24)</x:f>
        <x:v>1</x:v>
      </x:c>
      <x:c r="AD12" s="70" t="n">
        <x:f>S12</x:f>
        <x:v>2</x:v>
      </x:c>
      <x:c r="AE12" s="70" t="n">
        <x:f>MIN(T12:AD12)</x:f>
        <x:v>1</x:v>
      </x:c>
      <x:c r="AF12" s="51" t="str">
        <x:f>IF(AE12&gt;=1,"PASS","FAIL")</x:f>
        <x:v>PASS</x:v>
      </x:c>
    </x:row>
    <x:row r="13">
      <x:c r="A13" s="21" t="str">
        <x:v>W1</x:v>
      </x:c>
      <x:c r="B13" s="21" t="str">
        <x:v>Largest source module unavailable</x:v>
      </x:c>
      <x:c r="C13" s="21" t="str">
        <x:v>H4</x:v>
      </x:c>
      <x:c r="D13" s="21" t="str">
        <x:v>Layered PTS-50 group</x:v>
      </x:c>
      <x:c r="E13" s="69" t="n">
        <x:v>0.83</x:v>
      </x:c>
      <x:c r="F13" s="69" t="n">
        <x:v>1</x:v>
      </x:c>
      <x:c r="G13" s="69" t="n">
        <x:v>1</x:v>
      </x:c>
      <x:c r="H13" s="69" t="n">
        <x:v>1</x:v>
      </x:c>
      <x:c r="I13" s="69" t="n">
        <x:v>1</x:v>
      </x:c>
      <x:c r="J13" s="69" t="n">
        <x:v>1</x:v>
      </x:c>
      <x:c r="K13" s="69" t="n">
        <x:v>1</x:v>
      </x:c>
      <x:c r="L13" s="69" t="n">
        <x:v>1</x:v>
      </x:c>
      <x:c r="M13" s="69" t="n">
        <x:v>1</x:v>
      </x:c>
      <x:c r="N13" s="69" t="n">
        <x:v>1</x:v>
      </x:c>
      <x:c r="O13" s="69" t="n">
        <x:v>1</x:v>
      </x:c>
      <x:c r="P13" s="69" t="n">
        <x:v>1</x:v>
      </x:c>
      <x:c r="Q13" s="69" t="n">
        <x:v>1</x:v>
      </x:c>
      <x:c r="R13" s="69" t="n">
        <x:v>1</x:v>
      </x:c>
      <x:c r="S13" s="69" t="n">
        <x:v>2</x:v>
      </x:c>
      <x:c r="T13" s="70" t="n">
        <x:f>Architecture!$D$10*E13/(Demand!$B$29*O13)</x:f>
        <x:v>1.400686659038394</x:v>
      </x:c>
      <x:c r="U13" s="70" t="n">
        <x:f>Architecture!$E$10*F13/(Demand!$B$19*P13)</x:f>
        <x:v>1.8320610687022902</x:v>
      </x:c>
      <x:c r="V13" s="70" t="n">
        <x:f>Architecture!$F$10*G13/Demand!$B$10</x:f>
        <x:v>1.1111111111111112</x:v>
      </x:c>
      <x:c r="W13" s="70" t="n">
        <x:f>Architecture!$G$10*H13/(Demand!$B$11*Q13)</x:f>
        <x:v>1.35</x:v>
      </x:c>
      <x:c r="X13" s="70" t="n">
        <x:f>Architecture!$H$10*I13/Demand!$B$16</x:f>
        <x:v>1.3333333333333333</x:v>
      </x:c>
      <x:c r="Y13" s="70" t="n">
        <x:f>Architecture!$I$10*J13/(Demand!$B$12*R13)</x:f>
        <x:v>1.4</x:v>
      </x:c>
      <x:c r="Z13" s="70" t="n">
        <x:f>Architecture!$J$10*K13/Demand!$B$15</x:f>
        <x:v>1.2005000000000001</x:v>
      </x:c>
      <x:c r="AA13" s="70" t="n">
        <x:f>Architecture!$K$10*Assumptions!$B$33*Assumptions!$B$34*Assumptions!$B$35*L13/Demand!$B$35</x:f>
        <x:v>1.26</x:v>
      </x:c>
      <x:c r="AB13" s="70" t="n">
        <x:f>Architecture!$L$10*(Assumptions!$B$8/24)*M13/Demand!$B$9</x:f>
        <x:v>2.1</x:v>
      </x:c>
      <x:c r="AC13" s="70" t="n">
        <x:f>Architecture!$M$10*N13/(Assumptions!$B$8/24)</x:f>
        <x:v>1.1428571428571428</x:v>
      </x:c>
      <x:c r="AD13" s="70" t="n">
        <x:f>S13</x:f>
        <x:v>2</x:v>
      </x:c>
      <x:c r="AE13" s="70" t="n">
        <x:f>MIN(T13:AD13)</x:f>
        <x:v>1.1111111111111112</x:v>
      </x:c>
      <x:c r="AF13" s="51" t="str">
        <x:f>IF(AE13&gt;=1,"PASS","FAIL")</x:f>
        <x:v>PASS</x:v>
      </x:c>
    </x:row>
    <x:row r="14">
      <x:c r="A14" s="21" t="str">
        <x:v>W2</x:v>
      </x:c>
      <x:c r="B14" s="21" t="str">
        <x:v>Largest thermal train unavailable</x:v>
      </x:c>
      <x:c r="C14" s="21" t="str">
        <x:v>H1</x:v>
      </x:c>
      <x:c r="D14" s="21" t="str">
        <x:v>Facility power park</x:v>
      </x:c>
      <x:c r="E14" s="69" t="n">
        <x:v>1</x:v>
      </x:c>
      <x:c r="F14" s="69" t="n">
        <x:v>0.7</x:v>
      </x:c>
      <x:c r="G14" s="69" t="n">
        <x:v>1</x:v>
      </x:c>
      <x:c r="H14" s="69" t="n">
        <x:v>1</x:v>
      </x:c>
      <x:c r="I14" s="69" t="n">
        <x:v>1</x:v>
      </x:c>
      <x:c r="J14" s="69" t="n">
        <x:v>1</x:v>
      </x:c>
      <x:c r="K14" s="69" t="n">
        <x:v>1</x:v>
      </x:c>
      <x:c r="L14" s="69" t="n">
        <x:v>1</x:v>
      </x:c>
      <x:c r="M14" s="69" t="n">
        <x:v>1</x:v>
      </x:c>
      <x:c r="N14" s="69" t="n">
        <x:v>1</x:v>
      </x:c>
      <x:c r="O14" s="69" t="n">
        <x:v>1</x:v>
      </x:c>
      <x:c r="P14" s="69" t="n">
        <x:v>1</x:v>
      </x:c>
      <x:c r="Q14" s="69" t="n">
        <x:v>1</x:v>
      </x:c>
      <x:c r="R14" s="69" t="n">
        <x:v>1</x:v>
      </x:c>
      <x:c r="S14" s="69" t="n">
        <x:v>2</x:v>
      </x:c>
      <x:c r="T14" s="70" t="n">
        <x:f>Architecture!$D$7*E14/(Demand!$B$29*O14)</x:f>
        <x:v>1.4063119066650545</x:v>
      </x:c>
      <x:c r="U14" s="70" t="n">
        <x:f>Architecture!$E$7*F14/(Demand!$B$19*P14)</x:f>
        <x:v>0.4274809160305343</x:v>
      </x:c>
      <x:c r="V14" s="70" t="n">
        <x:f>Architecture!$F$7*G14/Demand!$B$10</x:f>
        <x:v>0.5</x:v>
      </x:c>
      <x:c r="W14" s="70" t="n">
        <x:f>Architecture!$G$7*H14/(Demand!$B$11*Q14)</x:f>
        <x:v>0.5</x:v>
      </x:c>
      <x:c r="X14" s="70" t="n">
        <x:f>Architecture!$H$7*I14/Demand!$B$16</x:f>
        <x:v>0.5333333333333333</x:v>
      </x:c>
      <x:c r="Y14" s="70" t="n">
        <x:f>Architecture!$I$7*J14/(Demand!$B$12*R14)</x:f>
        <x:v>0.24</x:v>
      </x:c>
      <x:c r="Z14" s="70" t="n">
        <x:f>Architecture!$J$7*K14/Demand!$B$15</x:f>
        <x:v>0.392</x:v>
      </x:c>
      <x:c r="AA14" s="70" t="n">
        <x:f>Architecture!$K$7*Assumptions!$B$33*Assumptions!$B$34*Assumptions!$B$35*L14/Demand!$B$35</x:f>
        <x:v>0.35</x:v>
      </x:c>
      <x:c r="AB14" s="70" t="n">
        <x:f>Architecture!$L$7*(Assumptions!$B$8/24)*M14/Demand!$B$9</x:f>
        <x:v>0.7</x:v>
      </x:c>
      <x:c r="AC14" s="70" t="n">
        <x:f>Architecture!$M$7*N14/(Assumptions!$B$8/24)</x:f>
        <x:v>1</x:v>
      </x:c>
      <x:c r="AD14" s="70" t="n">
        <x:f>S14</x:f>
        <x:v>2</x:v>
      </x:c>
      <x:c r="AE14" s="70" t="n">
        <x:f>MIN(T14:AD14)</x:f>
        <x:v>0.24</x:v>
      </x:c>
      <x:c r="AF14" s="51" t="str">
        <x:f>IF(AE14&gt;=1,"PASS","FAIL")</x:f>
        <x:v>FAIL</x:v>
      </x:c>
    </x:row>
    <x:row r="15">
      <x:c r="A15" s="21" t="str">
        <x:v>W2</x:v>
      </x:c>
      <x:c r="B15" s="21" t="str">
        <x:v>Largest thermal train unavailable</x:v>
      </x:c>
      <x:c r="C15" s="21" t="str">
        <x:v>H2</x:v>
      </x:c>
      <x:c r="D15" s="21" t="str">
        <x:v>Central refuge campuses</x:v>
      </x:c>
      <x:c r="E15" s="69" t="n">
        <x:v>1</x:v>
      </x:c>
      <x:c r="F15" s="69" t="n">
        <x:v>0.75</x:v>
      </x:c>
      <x:c r="G15" s="69" t="n">
        <x:v>1</x:v>
      </x:c>
      <x:c r="H15" s="69" t="n">
        <x:v>1</x:v>
      </x:c>
      <x:c r="I15" s="69" t="n">
        <x:v>1</x:v>
      </x:c>
      <x:c r="J15" s="69" t="n">
        <x:v>1</x:v>
      </x:c>
      <x:c r="K15" s="69" t="n">
        <x:v>1</x:v>
      </x:c>
      <x:c r="L15" s="69" t="n">
        <x:v>1</x:v>
      </x:c>
      <x:c r="M15" s="69" t="n">
        <x:v>1</x:v>
      </x:c>
      <x:c r="N15" s="69" t="n">
        <x:v>1</x:v>
      </x:c>
      <x:c r="O15" s="69" t="n">
        <x:v>1</x:v>
      </x:c>
      <x:c r="P15" s="69" t="n">
        <x:v>1</x:v>
      </x:c>
      <x:c r="Q15" s="69" t="n">
        <x:v>1</x:v>
      </x:c>
      <x:c r="R15" s="69" t="n">
        <x:v>1</x:v>
      </x:c>
      <x:c r="S15" s="69" t="n">
        <x:v>2</x:v>
      </x:c>
      <x:c r="T15" s="70" t="n">
        <x:f>Architecture!$D$8*E15/(Demand!$B$29*O15)</x:f>
        <x:v>1.1250495253320436</x:v>
      </x:c>
      <x:c r="U15" s="70" t="n">
        <x:f>Architecture!$E$8*F15/(Demand!$B$19*P15)</x:f>
        <x:v>0.8396946564885497</x:v>
      </x:c>
      <x:c r="V15" s="70" t="n">
        <x:f>Architecture!$F$8*G15/Demand!$B$10</x:f>
        <x:v>0.4</x:v>
      </x:c>
      <x:c r="W15" s="70" t="n">
        <x:f>Architecture!$G$8*H15/(Demand!$B$11*Q15)</x:f>
        <x:v>0.6</x:v>
      </x:c>
      <x:c r="X15" s="70" t="n">
        <x:f>Architecture!$H$8*I15/Demand!$B$16</x:f>
        <x:v>0.7111111111111111</x:v>
      </x:c>
      <x:c r="Y15" s="70" t="n">
        <x:f>Architecture!$I$8*J15/(Demand!$B$12*R15)</x:f>
        <x:v>0.3</x:v>
      </x:c>
      <x:c r="Z15" s="70" t="n">
        <x:f>Architecture!$J$8*K15/Demand!$B$15</x:f>
        <x:v>0.44100000000000006</x:v>
      </x:c>
      <x:c r="AA15" s="70" t="n">
        <x:f>Architecture!$K$8*Assumptions!$B$33*Assumptions!$B$34*Assumptions!$B$35*L15/Demand!$B$35</x:f>
        <x:v>0.20999999999999996</x:v>
      </x:c>
      <x:c r="AB15" s="70" t="n">
        <x:f>Architecture!$L$8*(Assumptions!$B$8/24)*M15/Demand!$B$9</x:f>
        <x:v>1.68</x:v>
      </x:c>
      <x:c r="AC15" s="70" t="n">
        <x:f>Architecture!$M$8*N15/(Assumptions!$B$8/24)</x:f>
        <x:v>1</x:v>
      </x:c>
      <x:c r="AD15" s="70" t="n">
        <x:f>S15</x:f>
        <x:v>2</x:v>
      </x:c>
      <x:c r="AE15" s="70" t="n">
        <x:f>MIN(T15:AD15)</x:f>
        <x:v>0.20999999999999996</x:v>
      </x:c>
      <x:c r="AF15" s="51" t="str">
        <x:f>IF(AE15&gt;=1,"PASS","FAIL")</x:f>
        <x:v>FAIL</x:v>
      </x:c>
    </x:row>
    <x:row r="16">
      <x:c r="A16" s="21" t="str">
        <x:v>W2</x:v>
      </x:c>
      <x:c r="B16" s="21" t="str">
        <x:v>Largest thermal train unavailable</x:v>
      </x:c>
      <x:c r="C16" s="21" t="str">
        <x:v>H3</x:v>
      </x:c>
      <x:c r="D16" s="21" t="str">
        <x:v>Building-interface mesh</x:v>
      </x:c>
      <x:c r="E16" s="69" t="n">
        <x:v>1</x:v>
      </x:c>
      <x:c r="F16" s="69" t="n">
        <x:v>0.85</x:v>
      </x:c>
      <x:c r="G16" s="69" t="n">
        <x:v>1</x:v>
      </x:c>
      <x:c r="H16" s="69" t="n">
        <x:v>1</x:v>
      </x:c>
      <x:c r="I16" s="69" t="n">
        <x:v>1</x:v>
      </x:c>
      <x:c r="J16" s="69" t="n">
        <x:v>1</x:v>
      </x:c>
      <x:c r="K16" s="69" t="n">
        <x:v>1</x:v>
      </x:c>
      <x:c r="L16" s="69" t="n">
        <x:v>1</x:v>
      </x:c>
      <x:c r="M16" s="69" t="n">
        <x:v>1</x:v>
      </x:c>
      <x:c r="N16" s="69" t="n">
        <x:v>1</x:v>
      </x:c>
      <x:c r="O16" s="69" t="n">
        <x:v>1</x:v>
      </x:c>
      <x:c r="P16" s="69" t="n">
        <x:v>1</x:v>
      </x:c>
      <x:c r="Q16" s="69" t="n">
        <x:v>1</x:v>
      </x:c>
      <x:c r="R16" s="69" t="n">
        <x:v>1</x:v>
      </x:c>
      <x:c r="S16" s="69" t="n">
        <x:v>2</x:v>
      </x:c>
      <x:c r="T16" s="70" t="n">
        <x:f>Architecture!$D$9*E16/(Demand!$B$29*O16)</x:f>
        <x:v>1.4063119066650545</x:v>
      </x:c>
      <x:c r="U16" s="70" t="n">
        <x:f>Architecture!$E$9*F16/(Demand!$B$19*P16)</x:f>
        <x:v>1.1246819338422391</x:v>
      </x:c>
      <x:c r="V16" s="70" t="n">
        <x:f>Architecture!$F$9*G16/Demand!$B$10</x:f>
        <x:v>1</x:v>
      </x:c>
      <x:c r="W16" s="70" t="n">
        <x:f>Architecture!$G$9*H16/(Demand!$B$11*Q16)</x:f>
        <x:v>1.1</x:v>
      </x:c>
      <x:c r="X16" s="70" t="n">
        <x:f>Architecture!$H$9*I16/Demand!$B$16</x:f>
        <x:v>1.0222222222222221</x:v>
      </x:c>
      <x:c r="Y16" s="70" t="n">
        <x:f>Architecture!$I$9*J16/(Demand!$B$12*R16)</x:f>
        <x:v>1.04</x:v>
      </x:c>
      <x:c r="Z16" s="70" t="n">
        <x:f>Architecture!$J$9*K16/Demand!$B$15</x:f>
        <x:v>1.0290000000000001</x:v>
      </x:c>
      <x:c r="AA16" s="70" t="n">
        <x:f>Architecture!$K$9*Assumptions!$B$33*Assumptions!$B$34*Assumptions!$B$35*L16/Demand!$B$35</x:f>
        <x:v>1.05</x:v>
      </x:c>
      <x:c r="AB16" s="70" t="n">
        <x:f>Architecture!$L$9*(Assumptions!$B$8/24)*M16/Demand!$B$9</x:f>
        <x:v>1.26</x:v>
      </x:c>
      <x:c r="AC16" s="70" t="n">
        <x:f>Architecture!$M$9*N16/(Assumptions!$B$8/24)</x:f>
        <x:v>1</x:v>
      </x:c>
      <x:c r="AD16" s="70" t="n">
        <x:f>S16</x:f>
        <x:v>2</x:v>
      </x:c>
      <x:c r="AE16" s="70" t="n">
        <x:f>MIN(T16:AD16)</x:f>
        <x:v>1</x:v>
      </x:c>
      <x:c r="AF16" s="51" t="str">
        <x:f>IF(AE16&gt;=1,"PASS","FAIL")</x:f>
        <x:v>PASS</x:v>
      </x:c>
    </x:row>
    <x:row r="17">
      <x:c r="A17" s="21" t="str">
        <x:v>W2</x:v>
      </x:c>
      <x:c r="B17" s="21" t="str">
        <x:v>Largest thermal train unavailable</x:v>
      </x:c>
      <x:c r="C17" s="21" t="str">
        <x:v>H4</x:v>
      </x:c>
      <x:c r="D17" s="21" t="str">
        <x:v>Layered PTS-50 group</x:v>
      </x:c>
      <x:c r="E17" s="69" t="n">
        <x:v>1</x:v>
      </x:c>
      <x:c r="F17" s="69" t="n">
        <x:v>0.75</x:v>
      </x:c>
      <x:c r="G17" s="69" t="n">
        <x:v>1</x:v>
      </x:c>
      <x:c r="H17" s="69" t="n">
        <x:v>1</x:v>
      </x:c>
      <x:c r="I17" s="69" t="n">
        <x:v>1</x:v>
      </x:c>
      <x:c r="J17" s="69" t="n">
        <x:v>1</x:v>
      </x:c>
      <x:c r="K17" s="69" t="n">
        <x:v>1</x:v>
      </x:c>
      <x:c r="L17" s="69" t="n">
        <x:v>1</x:v>
      </x:c>
      <x:c r="M17" s="69" t="n">
        <x:v>1</x:v>
      </x:c>
      <x:c r="N17" s="69" t="n">
        <x:v>1</x:v>
      </x:c>
      <x:c r="O17" s="69" t="n">
        <x:v>1</x:v>
      </x:c>
      <x:c r="P17" s="69" t="n">
        <x:v>1</x:v>
      </x:c>
      <x:c r="Q17" s="69" t="n">
        <x:v>1</x:v>
      </x:c>
      <x:c r="R17" s="69" t="n">
        <x:v>1</x:v>
      </x:c>
      <x:c r="S17" s="69" t="n">
        <x:v>2</x:v>
      </x:c>
      <x:c r="T17" s="70" t="n">
        <x:f>Architecture!$D$10*E17/(Demand!$B$29*O17)</x:f>
        <x:v>1.6875742879980653</x:v>
      </x:c>
      <x:c r="U17" s="70" t="n">
        <x:f>Architecture!$E$10*F17/(Demand!$B$19*P17)</x:f>
        <x:v>1.3740458015267176</x:v>
      </x:c>
      <x:c r="V17" s="70" t="n">
        <x:f>Architecture!$F$10*G17/Demand!$B$10</x:f>
        <x:v>1.1111111111111112</x:v>
      </x:c>
      <x:c r="W17" s="70" t="n">
        <x:f>Architecture!$G$10*H17/(Demand!$B$11*Q17)</x:f>
        <x:v>1.35</x:v>
      </x:c>
      <x:c r="X17" s="70" t="n">
        <x:f>Architecture!$H$10*I17/Demand!$B$16</x:f>
        <x:v>1.3333333333333333</x:v>
      </x:c>
      <x:c r="Y17" s="70" t="n">
        <x:f>Architecture!$I$10*J17/(Demand!$B$12*R17)</x:f>
        <x:v>1.4</x:v>
      </x:c>
      <x:c r="Z17" s="70" t="n">
        <x:f>Architecture!$J$10*K17/Demand!$B$15</x:f>
        <x:v>1.2005000000000001</x:v>
      </x:c>
      <x:c r="AA17" s="70" t="n">
        <x:f>Architecture!$K$10*Assumptions!$B$33*Assumptions!$B$34*Assumptions!$B$35*L17/Demand!$B$35</x:f>
        <x:v>1.26</x:v>
      </x:c>
      <x:c r="AB17" s="70" t="n">
        <x:f>Architecture!$L$10*(Assumptions!$B$8/24)*M17/Demand!$B$9</x:f>
        <x:v>2.1</x:v>
      </x:c>
      <x:c r="AC17" s="70" t="n">
        <x:f>Architecture!$M$10*N17/(Assumptions!$B$8/24)</x:f>
        <x:v>1.1428571428571428</x:v>
      </x:c>
      <x:c r="AD17" s="70" t="n">
        <x:f>S17</x:f>
        <x:v>2</x:v>
      </x:c>
      <x:c r="AE17" s="70" t="n">
        <x:f>MIN(T17:AD17)</x:f>
        <x:v>1.1111111111111112</x:v>
      </x:c>
      <x:c r="AF17" s="51" t="str">
        <x:f>IF(AE17&gt;=1,"PASS","FAIL")</x:f>
        <x:v>PASS</x:v>
      </x:c>
    </x:row>
    <x:row r="18">
      <x:c r="A18" s="21" t="str">
        <x:v>W3</x:v>
      </x:c>
      <x:c r="B18" s="21" t="str">
        <x:v>High ambient with generation derating</x:v>
      </x:c>
      <x:c r="C18" s="21" t="str">
        <x:v>H1</x:v>
      </x:c>
      <x:c r="D18" s="21" t="str">
        <x:v>Facility power park</x:v>
      </x:c>
      <x:c r="E18" s="69" t="n">
        <x:v>0.75</x:v>
      </x:c>
      <x:c r="F18" s="69" t="n">
        <x:v>0.7</x:v>
      </x:c>
      <x:c r="G18" s="69" t="n">
        <x:v>1</x:v>
      </x:c>
      <x:c r="H18" s="69" t="n">
        <x:v>1</x:v>
      </x:c>
      <x:c r="I18" s="69" t="n">
        <x:v>1</x:v>
      </x:c>
      <x:c r="J18" s="69" t="n">
        <x:v>1</x:v>
      </x:c>
      <x:c r="K18" s="69" t="n">
        <x:v>1</x:v>
      </x:c>
      <x:c r="L18" s="69" t="n">
        <x:v>1</x:v>
      </x:c>
      <x:c r="M18" s="69" t="n">
        <x:v>1</x:v>
      </x:c>
      <x:c r="N18" s="69" t="n">
        <x:v>1</x:v>
      </x:c>
      <x:c r="O18" s="69" t="n">
        <x:v>1</x:v>
      </x:c>
      <x:c r="P18" s="69" t="n">
        <x:v>1.05</x:v>
      </x:c>
      <x:c r="Q18" s="69" t="n">
        <x:v>1</x:v>
      </x:c>
      <x:c r="R18" s="69" t="n">
        <x:v>1</x:v>
      </x:c>
      <x:c r="S18" s="69" t="n">
        <x:v>2</x:v>
      </x:c>
      <x:c r="T18" s="70" t="n">
        <x:f>Architecture!$D$7*E18/(Demand!$B$29*O18)</x:f>
        <x:v>1.0547339299987908</x:v>
      </x:c>
      <x:c r="U18" s="70" t="n">
        <x:f>Architecture!$E$7*F18/(Demand!$B$19*P18)</x:f>
        <x:v>0.40712468193384216</x:v>
      </x:c>
      <x:c r="V18" s="70" t="n">
        <x:f>Architecture!$F$7*G18/Demand!$B$10</x:f>
        <x:v>0.5</x:v>
      </x:c>
      <x:c r="W18" s="70" t="n">
        <x:f>Architecture!$G$7*H18/(Demand!$B$11*Q18)</x:f>
        <x:v>0.5</x:v>
      </x:c>
      <x:c r="X18" s="70" t="n">
        <x:f>Architecture!$H$7*I18/Demand!$B$16</x:f>
        <x:v>0.5333333333333333</x:v>
      </x:c>
      <x:c r="Y18" s="70" t="n">
        <x:f>Architecture!$I$7*J18/(Demand!$B$12*R18)</x:f>
        <x:v>0.24</x:v>
      </x:c>
      <x:c r="Z18" s="70" t="n">
        <x:f>Architecture!$J$7*K18/Demand!$B$15</x:f>
        <x:v>0.392</x:v>
      </x:c>
      <x:c r="AA18" s="70" t="n">
        <x:f>Architecture!$K$7*Assumptions!$B$33*Assumptions!$B$34*Assumptions!$B$35*L18/Demand!$B$35</x:f>
        <x:v>0.35</x:v>
      </x:c>
      <x:c r="AB18" s="70" t="n">
        <x:f>Architecture!$L$7*(Assumptions!$B$8/24)*M18/Demand!$B$9</x:f>
        <x:v>0.7</x:v>
      </x:c>
      <x:c r="AC18" s="70" t="n">
        <x:f>Architecture!$M$7*N18/(Assumptions!$B$8/24)</x:f>
        <x:v>1</x:v>
      </x:c>
      <x:c r="AD18" s="70" t="n">
        <x:f>S18</x:f>
        <x:v>2</x:v>
      </x:c>
      <x:c r="AE18" s="70" t="n">
        <x:f>MIN(T18:AD18)</x:f>
        <x:v>0.24</x:v>
      </x:c>
      <x:c r="AF18" s="51" t="str">
        <x:f>IF(AE18&gt;=1,"PASS","FAIL")</x:f>
        <x:v>FAIL</x:v>
      </x:c>
    </x:row>
    <x:row r="19">
      <x:c r="A19" s="21" t="str">
        <x:v>W3</x:v>
      </x:c>
      <x:c r="B19" s="21" t="str">
        <x:v>High ambient with generation derating</x:v>
      </x:c>
      <x:c r="C19" s="21" t="str">
        <x:v>H2</x:v>
      </x:c>
      <x:c r="D19" s="21" t="str">
        <x:v>Central refuge campuses</x:v>
      </x:c>
      <x:c r="E19" s="69" t="n">
        <x:v>0.75</x:v>
      </x:c>
      <x:c r="F19" s="69" t="n">
        <x:v>0.7</x:v>
      </x:c>
      <x:c r="G19" s="69" t="n">
        <x:v>1</x:v>
      </x:c>
      <x:c r="H19" s="69" t="n">
        <x:v>1</x:v>
      </x:c>
      <x:c r="I19" s="69" t="n">
        <x:v>1</x:v>
      </x:c>
      <x:c r="J19" s="69" t="n">
        <x:v>1</x:v>
      </x:c>
      <x:c r="K19" s="69" t="n">
        <x:v>1</x:v>
      </x:c>
      <x:c r="L19" s="69" t="n">
        <x:v>1</x:v>
      </x:c>
      <x:c r="M19" s="69" t="n">
        <x:v>1</x:v>
      </x:c>
      <x:c r="N19" s="69" t="n">
        <x:v>1</x:v>
      </x:c>
      <x:c r="O19" s="69" t="n">
        <x:v>1</x:v>
      </x:c>
      <x:c r="P19" s="69" t="n">
        <x:v>1.05</x:v>
      </x:c>
      <x:c r="Q19" s="69" t="n">
        <x:v>1</x:v>
      </x:c>
      <x:c r="R19" s="69" t="n">
        <x:v>1</x:v>
      </x:c>
      <x:c r="S19" s="69" t="n">
        <x:v>2</x:v>
      </x:c>
      <x:c r="T19" s="70" t="n">
        <x:f>Architecture!$D$8*E19/(Demand!$B$29*O19)</x:f>
        <x:v>0.8437871439990327</x:v>
      </x:c>
      <x:c r="U19" s="70" t="n">
        <x:f>Architecture!$E$8*F19/(Demand!$B$19*P19)</x:f>
        <x:v>0.746395250212044</x:v>
      </x:c>
      <x:c r="V19" s="70" t="n">
        <x:f>Architecture!$F$8*G19/Demand!$B$10</x:f>
        <x:v>0.4</x:v>
      </x:c>
      <x:c r="W19" s="70" t="n">
        <x:f>Architecture!$G$8*H19/(Demand!$B$11*Q19)</x:f>
        <x:v>0.6</x:v>
      </x:c>
      <x:c r="X19" s="70" t="n">
        <x:f>Architecture!$H$8*I19/Demand!$B$16</x:f>
        <x:v>0.7111111111111111</x:v>
      </x:c>
      <x:c r="Y19" s="70" t="n">
        <x:f>Architecture!$I$8*J19/(Demand!$B$12*R19)</x:f>
        <x:v>0.3</x:v>
      </x:c>
      <x:c r="Z19" s="70" t="n">
        <x:f>Architecture!$J$8*K19/Demand!$B$15</x:f>
        <x:v>0.44100000000000006</x:v>
      </x:c>
      <x:c r="AA19" s="70" t="n">
        <x:f>Architecture!$K$8*Assumptions!$B$33*Assumptions!$B$34*Assumptions!$B$35*L19/Demand!$B$35</x:f>
        <x:v>0.20999999999999996</x:v>
      </x:c>
      <x:c r="AB19" s="70" t="n">
        <x:f>Architecture!$L$8*(Assumptions!$B$8/24)*M19/Demand!$B$9</x:f>
        <x:v>1.68</x:v>
      </x:c>
      <x:c r="AC19" s="70" t="n">
        <x:f>Architecture!$M$8*N19/(Assumptions!$B$8/24)</x:f>
        <x:v>1</x:v>
      </x:c>
      <x:c r="AD19" s="70" t="n">
        <x:f>S19</x:f>
        <x:v>2</x:v>
      </x:c>
      <x:c r="AE19" s="70" t="n">
        <x:f>MIN(T19:AD19)</x:f>
        <x:v>0.20999999999999996</x:v>
      </x:c>
      <x:c r="AF19" s="51" t="str">
        <x:f>IF(AE19&gt;=1,"PASS","FAIL")</x:f>
        <x:v>FAIL</x:v>
      </x:c>
    </x:row>
    <x:row r="20">
      <x:c r="A20" s="21" t="str">
        <x:v>W3</x:v>
      </x:c>
      <x:c r="B20" s="21" t="str">
        <x:v>High ambient with generation derating</x:v>
      </x:c>
      <x:c r="C20" s="21" t="str">
        <x:v>H3</x:v>
      </x:c>
      <x:c r="D20" s="21" t="str">
        <x:v>Building-interface mesh</x:v>
      </x:c>
      <x:c r="E20" s="69" t="n">
        <x:v>0.78</x:v>
      </x:c>
      <x:c r="F20" s="69" t="n">
        <x:v>0.7</x:v>
      </x:c>
      <x:c r="G20" s="69" t="n">
        <x:v>1</x:v>
      </x:c>
      <x:c r="H20" s="69" t="n">
        <x:v>1</x:v>
      </x:c>
      <x:c r="I20" s="69" t="n">
        <x:v>1</x:v>
      </x:c>
      <x:c r="J20" s="69" t="n">
        <x:v>1</x:v>
      </x:c>
      <x:c r="K20" s="69" t="n">
        <x:v>1</x:v>
      </x:c>
      <x:c r="L20" s="69" t="n">
        <x:v>1</x:v>
      </x:c>
      <x:c r="M20" s="69" t="n">
        <x:v>1</x:v>
      </x:c>
      <x:c r="N20" s="69" t="n">
        <x:v>1</x:v>
      </x:c>
      <x:c r="O20" s="69" t="n">
        <x:v>1</x:v>
      </x:c>
      <x:c r="P20" s="69" t="n">
        <x:v>1.05</x:v>
      </x:c>
      <x:c r="Q20" s="69" t="n">
        <x:v>1</x:v>
      </x:c>
      <x:c r="R20" s="69" t="n">
        <x:v>1</x:v>
      </x:c>
      <x:c r="S20" s="69" t="n">
        <x:v>2</x:v>
      </x:c>
      <x:c r="T20" s="70" t="n">
        <x:f>Architecture!$D$9*E20/(Demand!$B$29*O20)</x:f>
        <x:v>1.0969232871987424</x:v>
      </x:c>
      <x:c r="U20" s="70" t="n">
        <x:f>Architecture!$E$9*F20/(Demand!$B$19*P20)</x:f>
        <x:v>0.8821034775233249</x:v>
      </x:c>
      <x:c r="V20" s="70" t="n">
        <x:f>Architecture!$F$9*G20/Demand!$B$10</x:f>
        <x:v>1</x:v>
      </x:c>
      <x:c r="W20" s="70" t="n">
        <x:f>Architecture!$G$9*H20/(Demand!$B$11*Q20)</x:f>
        <x:v>1.1</x:v>
      </x:c>
      <x:c r="X20" s="70" t="n">
        <x:f>Architecture!$H$9*I20/Demand!$B$16</x:f>
        <x:v>1.0222222222222221</x:v>
      </x:c>
      <x:c r="Y20" s="70" t="n">
        <x:f>Architecture!$I$9*J20/(Demand!$B$12*R20)</x:f>
        <x:v>1.04</x:v>
      </x:c>
      <x:c r="Z20" s="70" t="n">
        <x:f>Architecture!$J$9*K20/Demand!$B$15</x:f>
        <x:v>1.0290000000000001</x:v>
      </x:c>
      <x:c r="AA20" s="70" t="n">
        <x:f>Architecture!$K$9*Assumptions!$B$33*Assumptions!$B$34*Assumptions!$B$35*L20/Demand!$B$35</x:f>
        <x:v>1.05</x:v>
      </x:c>
      <x:c r="AB20" s="70" t="n">
        <x:f>Architecture!$L$9*(Assumptions!$B$8/24)*M20/Demand!$B$9</x:f>
        <x:v>1.26</x:v>
      </x:c>
      <x:c r="AC20" s="70" t="n">
        <x:f>Architecture!$M$9*N20/(Assumptions!$B$8/24)</x:f>
        <x:v>1</x:v>
      </x:c>
      <x:c r="AD20" s="70" t="n">
        <x:f>S20</x:f>
        <x:v>2</x:v>
      </x:c>
      <x:c r="AE20" s="70" t="n">
        <x:f>MIN(T20:AD20)</x:f>
        <x:v>0.8821034775233249</x:v>
      </x:c>
      <x:c r="AF20" s="51" t="str">
        <x:f>IF(AE20&gt;=1,"PASS","FAIL")</x:f>
        <x:v>FAIL</x:v>
      </x:c>
    </x:row>
    <x:row r="21">
      <x:c r="A21" s="21" t="str">
        <x:v>W3</x:v>
      </x:c>
      <x:c r="B21" s="21" t="str">
        <x:v>High ambient with generation derating</x:v>
      </x:c>
      <x:c r="C21" s="21" t="str">
        <x:v>H4</x:v>
      </x:c>
      <x:c r="D21" s="21" t="str">
        <x:v>Layered PTS-50 group</x:v>
      </x:c>
      <x:c r="E21" s="69" t="n">
        <x:v>0.8</x:v>
      </x:c>
      <x:c r="F21" s="69" t="n">
        <x:v>0.7</x:v>
      </x:c>
      <x:c r="G21" s="69" t="n">
        <x:v>1</x:v>
      </x:c>
      <x:c r="H21" s="69" t="n">
        <x:v>1</x:v>
      </x:c>
      <x:c r="I21" s="69" t="n">
        <x:v>1</x:v>
      </x:c>
      <x:c r="J21" s="69" t="n">
        <x:v>1</x:v>
      </x:c>
      <x:c r="K21" s="69" t="n">
        <x:v>1</x:v>
      </x:c>
      <x:c r="L21" s="69" t="n">
        <x:v>1</x:v>
      </x:c>
      <x:c r="M21" s="69" t="n">
        <x:v>1</x:v>
      </x:c>
      <x:c r="N21" s="69" t="n">
        <x:v>1</x:v>
      </x:c>
      <x:c r="O21" s="69" t="n">
        <x:v>1</x:v>
      </x:c>
      <x:c r="P21" s="69" t="n">
        <x:v>1.05</x:v>
      </x:c>
      <x:c r="Q21" s="69" t="n">
        <x:v>1</x:v>
      </x:c>
      <x:c r="R21" s="69" t="n">
        <x:v>1</x:v>
      </x:c>
      <x:c r="S21" s="69" t="n">
        <x:v>2</x:v>
      </x:c>
      <x:c r="T21" s="70" t="n">
        <x:f>Architecture!$D$10*E21/(Demand!$B$29*O21)</x:f>
        <x:v>1.3500594303984523</x:v>
      </x:c>
      <x:c r="U21" s="70" t="n">
        <x:f>Architecture!$E$10*F21/(Demand!$B$19*P21)</x:f>
        <x:v>1.2213740458015268</x:v>
      </x:c>
      <x:c r="V21" s="70" t="n">
        <x:f>Architecture!$F$10*G21/Demand!$B$10</x:f>
        <x:v>1.1111111111111112</x:v>
      </x:c>
      <x:c r="W21" s="70" t="n">
        <x:f>Architecture!$G$10*H21/(Demand!$B$11*Q21)</x:f>
        <x:v>1.35</x:v>
      </x:c>
      <x:c r="X21" s="70" t="n">
        <x:f>Architecture!$H$10*I21/Demand!$B$16</x:f>
        <x:v>1.3333333333333333</x:v>
      </x:c>
      <x:c r="Y21" s="70" t="n">
        <x:f>Architecture!$I$10*J21/(Demand!$B$12*R21)</x:f>
        <x:v>1.4</x:v>
      </x:c>
      <x:c r="Z21" s="70" t="n">
        <x:f>Architecture!$J$10*K21/Demand!$B$15</x:f>
        <x:v>1.2005000000000001</x:v>
      </x:c>
      <x:c r="AA21" s="70" t="n">
        <x:f>Architecture!$K$10*Assumptions!$B$33*Assumptions!$B$34*Assumptions!$B$35*L21/Demand!$B$35</x:f>
        <x:v>1.26</x:v>
      </x:c>
      <x:c r="AB21" s="70" t="n">
        <x:f>Architecture!$L$10*(Assumptions!$B$8/24)*M21/Demand!$B$9</x:f>
        <x:v>2.1</x:v>
      </x:c>
      <x:c r="AC21" s="70" t="n">
        <x:f>Architecture!$M$10*N21/(Assumptions!$B$8/24)</x:f>
        <x:v>1.1428571428571428</x:v>
      </x:c>
      <x:c r="AD21" s="70" t="n">
        <x:f>S21</x:f>
        <x:v>2</x:v>
      </x:c>
      <x:c r="AE21" s="70" t="n">
        <x:f>MIN(T21:AD21)</x:f>
        <x:v>1.1111111111111112</x:v>
      </x:c>
      <x:c r="AF21" s="51" t="str">
        <x:f>IF(AE21&gt;=1,"PASS","FAIL")</x:f>
        <x:v>PASS</x:v>
      </x:c>
    </x:row>
    <x:row r="22">
      <x:c r="A22" s="21" t="str">
        <x:v>W4</x:v>
      </x:c>
      <x:c r="B22" s="21" t="str">
        <x:v>Hottest-night coincident load</x:v>
      </x:c>
      <x:c r="C22" s="21" t="str">
        <x:v>H1</x:v>
      </x:c>
      <x:c r="D22" s="21" t="str">
        <x:v>Facility power park</x:v>
      </x:c>
      <x:c r="E22" s="69" t="n">
        <x:v>1</x:v>
      </x:c>
      <x:c r="F22" s="69" t="n">
        <x:v>1</x:v>
      </x:c>
      <x:c r="G22" s="69" t="n">
        <x:v>1</x:v>
      </x:c>
      <x:c r="H22" s="69" t="n">
        <x:v>1</x:v>
      </x:c>
      <x:c r="I22" s="69" t="n">
        <x:v>1</x:v>
      </x:c>
      <x:c r="J22" s="69" t="n">
        <x:v>1</x:v>
      </x:c>
      <x:c r="K22" s="69" t="n">
        <x:v>1</x:v>
      </x:c>
      <x:c r="L22" s="69" t="n">
        <x:v>1</x:v>
      </x:c>
      <x:c r="M22" s="69" t="n">
        <x:v>1</x:v>
      </x:c>
      <x:c r="N22" s="69" t="n">
        <x:v>1</x:v>
      </x:c>
      <x:c r="O22" s="69" t="n">
        <x:v>1.3</x:v>
      </x:c>
      <x:c r="P22" s="69" t="n">
        <x:v>1.3</x:v>
      </x:c>
      <x:c r="Q22" s="69" t="n">
        <x:v>1</x:v>
      </x:c>
      <x:c r="R22" s="69" t="n">
        <x:v>1</x:v>
      </x:c>
      <x:c r="S22" s="69" t="n">
        <x:v>2</x:v>
      </x:c>
      <x:c r="T22" s="70" t="n">
        <x:f>Architecture!$D$7*E22/(Demand!$B$29*O22)</x:f>
        <x:v>1.0817783897423494</x:v>
      </x:c>
      <x:c r="U22" s="70" t="n">
        <x:f>Architecture!$E$7*F22/(Demand!$B$19*P22)</x:f>
        <x:v>0.4697592483852026</x:v>
      </x:c>
      <x:c r="V22" s="70" t="n">
        <x:f>Architecture!$F$7*G22/Demand!$B$10</x:f>
        <x:v>0.5</x:v>
      </x:c>
      <x:c r="W22" s="70" t="n">
        <x:f>Architecture!$G$7*H22/(Demand!$B$11*Q22)</x:f>
        <x:v>0.5</x:v>
      </x:c>
      <x:c r="X22" s="70" t="n">
        <x:f>Architecture!$H$7*I22/Demand!$B$16</x:f>
        <x:v>0.5333333333333333</x:v>
      </x:c>
      <x:c r="Y22" s="70" t="n">
        <x:f>Architecture!$I$7*J22/(Demand!$B$12*R22)</x:f>
        <x:v>0.24</x:v>
      </x:c>
      <x:c r="Z22" s="70" t="n">
        <x:f>Architecture!$J$7*K22/Demand!$B$15</x:f>
        <x:v>0.392</x:v>
      </x:c>
      <x:c r="AA22" s="70" t="n">
        <x:f>Architecture!$K$7*Assumptions!$B$33*Assumptions!$B$34*Assumptions!$B$35*L22/Demand!$B$35</x:f>
        <x:v>0.35</x:v>
      </x:c>
      <x:c r="AB22" s="70" t="n">
        <x:f>Architecture!$L$7*(Assumptions!$B$8/24)*M22/Demand!$B$9</x:f>
        <x:v>0.7</x:v>
      </x:c>
      <x:c r="AC22" s="70" t="n">
        <x:f>Architecture!$M$7*N22/(Assumptions!$B$8/24)</x:f>
        <x:v>1</x:v>
      </x:c>
      <x:c r="AD22" s="70" t="n">
        <x:f>S22</x:f>
        <x:v>2</x:v>
      </x:c>
      <x:c r="AE22" s="70" t="n">
        <x:f>MIN(T22:AD22)</x:f>
        <x:v>0.24</x:v>
      </x:c>
      <x:c r="AF22" s="51" t="str">
        <x:f>IF(AE22&gt;=1,"PASS","FAIL")</x:f>
        <x:v>FAIL</x:v>
      </x:c>
    </x:row>
    <x:row r="23">
      <x:c r="A23" s="21" t="str">
        <x:v>W4</x:v>
      </x:c>
      <x:c r="B23" s="21" t="str">
        <x:v>Hottest-night coincident load</x:v>
      </x:c>
      <x:c r="C23" s="21" t="str">
        <x:v>H2</x:v>
      </x:c>
      <x:c r="D23" s="21" t="str">
        <x:v>Central refuge campuses</x:v>
      </x:c>
      <x:c r="E23" s="69" t="n">
        <x:v>1</x:v>
      </x:c>
      <x:c r="F23" s="69" t="n">
        <x:v>1</x:v>
      </x:c>
      <x:c r="G23" s="69" t="n">
        <x:v>1</x:v>
      </x:c>
      <x:c r="H23" s="69" t="n">
        <x:v>1</x:v>
      </x:c>
      <x:c r="I23" s="69" t="n">
        <x:v>1</x:v>
      </x:c>
      <x:c r="J23" s="69" t="n">
        <x:v>1</x:v>
      </x:c>
      <x:c r="K23" s="69" t="n">
        <x:v>1</x:v>
      </x:c>
      <x:c r="L23" s="69" t="n">
        <x:v>1</x:v>
      </x:c>
      <x:c r="M23" s="69" t="n">
        <x:v>1</x:v>
      </x:c>
      <x:c r="N23" s="69" t="n">
        <x:v>1</x:v>
      </x:c>
      <x:c r="O23" s="69" t="n">
        <x:v>1.3</x:v>
      </x:c>
      <x:c r="P23" s="69" t="n">
        <x:v>1.3</x:v>
      </x:c>
      <x:c r="Q23" s="69" t="n">
        <x:v>1</x:v>
      </x:c>
      <x:c r="R23" s="69" t="n">
        <x:v>1</x:v>
      </x:c>
      <x:c r="S23" s="69" t="n">
        <x:v>2</x:v>
      </x:c>
      <x:c r="T23" s="70" t="n">
        <x:f>Architecture!$D$8*E23/(Demand!$B$29*O23)</x:f>
        <x:v>0.8654227117938795</x:v>
      </x:c>
      <x:c r="U23" s="70" t="n">
        <x:f>Architecture!$E$8*F23/(Demand!$B$19*P23)</x:f>
        <x:v>0.8612252887062049</x:v>
      </x:c>
      <x:c r="V23" s="70" t="n">
        <x:f>Architecture!$F$8*G23/Demand!$B$10</x:f>
        <x:v>0.4</x:v>
      </x:c>
      <x:c r="W23" s="70" t="n">
        <x:f>Architecture!$G$8*H23/(Demand!$B$11*Q23)</x:f>
        <x:v>0.6</x:v>
      </x:c>
      <x:c r="X23" s="70" t="n">
        <x:f>Architecture!$H$8*I23/Demand!$B$16</x:f>
        <x:v>0.7111111111111111</x:v>
      </x:c>
      <x:c r="Y23" s="70" t="n">
        <x:f>Architecture!$I$8*J23/(Demand!$B$12*R23)</x:f>
        <x:v>0.3</x:v>
      </x:c>
      <x:c r="Z23" s="70" t="n">
        <x:f>Architecture!$J$8*K23/Demand!$B$15</x:f>
        <x:v>0.44100000000000006</x:v>
      </x:c>
      <x:c r="AA23" s="70" t="n">
        <x:f>Architecture!$K$8*Assumptions!$B$33*Assumptions!$B$34*Assumptions!$B$35*L23/Demand!$B$35</x:f>
        <x:v>0.20999999999999996</x:v>
      </x:c>
      <x:c r="AB23" s="70" t="n">
        <x:f>Architecture!$L$8*(Assumptions!$B$8/24)*M23/Demand!$B$9</x:f>
        <x:v>1.68</x:v>
      </x:c>
      <x:c r="AC23" s="70" t="n">
        <x:f>Architecture!$M$8*N23/(Assumptions!$B$8/24)</x:f>
        <x:v>1</x:v>
      </x:c>
      <x:c r="AD23" s="70" t="n">
        <x:f>S23</x:f>
        <x:v>2</x:v>
      </x:c>
      <x:c r="AE23" s="70" t="n">
        <x:f>MIN(T23:AD23)</x:f>
        <x:v>0.20999999999999996</x:v>
      </x:c>
      <x:c r="AF23" s="51" t="str">
        <x:f>IF(AE23&gt;=1,"PASS","FAIL")</x:f>
        <x:v>FAIL</x:v>
      </x:c>
    </x:row>
    <x:row r="24">
      <x:c r="A24" s="21" t="str">
        <x:v>W4</x:v>
      </x:c>
      <x:c r="B24" s="21" t="str">
        <x:v>Hottest-night coincident load</x:v>
      </x:c>
      <x:c r="C24" s="21" t="str">
        <x:v>H3</x:v>
      </x:c>
      <x:c r="D24" s="21" t="str">
        <x:v>Building-interface mesh</x:v>
      </x:c>
      <x:c r="E24" s="69" t="n">
        <x:v>1</x:v>
      </x:c>
      <x:c r="F24" s="69" t="n">
        <x:v>1</x:v>
      </x:c>
      <x:c r="G24" s="69" t="n">
        <x:v>1</x:v>
      </x:c>
      <x:c r="H24" s="69" t="n">
        <x:v>1</x:v>
      </x:c>
      <x:c r="I24" s="69" t="n">
        <x:v>1</x:v>
      </x:c>
      <x:c r="J24" s="69" t="n">
        <x:v>1</x:v>
      </x:c>
      <x:c r="K24" s="69" t="n">
        <x:v>1</x:v>
      </x:c>
      <x:c r="L24" s="69" t="n">
        <x:v>1</x:v>
      </x:c>
      <x:c r="M24" s="69" t="n">
        <x:v>1</x:v>
      </x:c>
      <x:c r="N24" s="69" t="n">
        <x:v>1</x:v>
      </x:c>
      <x:c r="O24" s="69" t="n">
        <x:v>1.3</x:v>
      </x:c>
      <x:c r="P24" s="69" t="n">
        <x:v>1.3</x:v>
      </x:c>
      <x:c r="Q24" s="69" t="n">
        <x:v>1</x:v>
      </x:c>
      <x:c r="R24" s="69" t="n">
        <x:v>1</x:v>
      </x:c>
      <x:c r="S24" s="69" t="n">
        <x:v>2</x:v>
      </x:c>
      <x:c r="T24" s="70" t="n">
        <x:f>Architecture!$D$9*E24/(Demand!$B$29*O24)</x:f>
        <x:v>1.0817783897423494</x:v>
      </x:c>
      <x:c r="U24" s="70" t="n">
        <x:f>Architecture!$E$9*F24/(Demand!$B$19*P24)</x:f>
        <x:v>1.0178117048346056</x:v>
      </x:c>
      <x:c r="V24" s="70" t="n">
        <x:f>Architecture!$F$9*G24/Demand!$B$10</x:f>
        <x:v>1</x:v>
      </x:c>
      <x:c r="W24" s="70" t="n">
        <x:f>Architecture!$G$9*H24/(Demand!$B$11*Q24)</x:f>
        <x:v>1.1</x:v>
      </x:c>
      <x:c r="X24" s="70" t="n">
        <x:f>Architecture!$H$9*I24/Demand!$B$16</x:f>
        <x:v>1.0222222222222221</x:v>
      </x:c>
      <x:c r="Y24" s="70" t="n">
        <x:f>Architecture!$I$9*J24/(Demand!$B$12*R24)</x:f>
        <x:v>1.04</x:v>
      </x:c>
      <x:c r="Z24" s="70" t="n">
        <x:f>Architecture!$J$9*K24/Demand!$B$15</x:f>
        <x:v>1.0290000000000001</x:v>
      </x:c>
      <x:c r="AA24" s="70" t="n">
        <x:f>Architecture!$K$9*Assumptions!$B$33*Assumptions!$B$34*Assumptions!$B$35*L24/Demand!$B$35</x:f>
        <x:v>1.05</x:v>
      </x:c>
      <x:c r="AB24" s="70" t="n">
        <x:f>Architecture!$L$9*(Assumptions!$B$8/24)*M24/Demand!$B$9</x:f>
        <x:v>1.26</x:v>
      </x:c>
      <x:c r="AC24" s="70" t="n">
        <x:f>Architecture!$M$9*N24/(Assumptions!$B$8/24)</x:f>
        <x:v>1</x:v>
      </x:c>
      <x:c r="AD24" s="70" t="n">
        <x:f>S24</x:f>
        <x:v>2</x:v>
      </x:c>
      <x:c r="AE24" s="70" t="n">
        <x:f>MIN(T24:AD24)</x:f>
        <x:v>1</x:v>
      </x:c>
      <x:c r="AF24" s="51" t="str">
        <x:f>IF(AE24&gt;=1,"PASS","FAIL")</x:f>
        <x:v>PASS</x:v>
      </x:c>
    </x:row>
    <x:row r="25">
      <x:c r="A25" s="21" t="str">
        <x:v>W4</x:v>
      </x:c>
      <x:c r="B25" s="21" t="str">
        <x:v>Hottest-night coincident load</x:v>
      </x:c>
      <x:c r="C25" s="21" t="str">
        <x:v>H4</x:v>
      </x:c>
      <x:c r="D25" s="21" t="str">
        <x:v>Layered PTS-50 group</x:v>
      </x:c>
      <x:c r="E25" s="69" t="n">
        <x:v>1</x:v>
      </x:c>
      <x:c r="F25" s="69" t="n">
        <x:v>1</x:v>
      </x:c>
      <x:c r="G25" s="69" t="n">
        <x:v>1</x:v>
      </x:c>
      <x:c r="H25" s="69" t="n">
        <x:v>1</x:v>
      </x:c>
      <x:c r="I25" s="69" t="n">
        <x:v>1</x:v>
      </x:c>
      <x:c r="J25" s="69" t="n">
        <x:v>1</x:v>
      </x:c>
      <x:c r="K25" s="69" t="n">
        <x:v>1</x:v>
      </x:c>
      <x:c r="L25" s="69" t="n">
        <x:v>1</x:v>
      </x:c>
      <x:c r="M25" s="69" t="n">
        <x:v>1</x:v>
      </x:c>
      <x:c r="N25" s="69" t="n">
        <x:v>1</x:v>
      </x:c>
      <x:c r="O25" s="69" t="n">
        <x:v>1.3</x:v>
      </x:c>
      <x:c r="P25" s="69" t="n">
        <x:v>1.3</x:v>
      </x:c>
      <x:c r="Q25" s="69" t="n">
        <x:v>1</x:v>
      </x:c>
      <x:c r="R25" s="69" t="n">
        <x:v>1</x:v>
      </x:c>
      <x:c r="S25" s="69" t="n">
        <x:v>2</x:v>
      </x:c>
      <x:c r="T25" s="70" t="n">
        <x:f>Architecture!$D$10*E25/(Demand!$B$29*O25)</x:f>
        <x:v>1.2981340676908193</x:v>
      </x:c>
      <x:c r="U25" s="70" t="n">
        <x:f>Architecture!$E$10*F25/(Demand!$B$19*P25)</x:f>
        <x:v>1.4092777451556078</x:v>
      </x:c>
      <x:c r="V25" s="70" t="n">
        <x:f>Architecture!$F$10*G25/Demand!$B$10</x:f>
        <x:v>1.1111111111111112</x:v>
      </x:c>
      <x:c r="W25" s="70" t="n">
        <x:f>Architecture!$G$10*H25/(Demand!$B$11*Q25)</x:f>
        <x:v>1.35</x:v>
      </x:c>
      <x:c r="X25" s="70" t="n">
        <x:f>Architecture!$H$10*I25/Demand!$B$16</x:f>
        <x:v>1.3333333333333333</x:v>
      </x:c>
      <x:c r="Y25" s="70" t="n">
        <x:f>Architecture!$I$10*J25/(Demand!$B$12*R25)</x:f>
        <x:v>1.4</x:v>
      </x:c>
      <x:c r="Z25" s="70" t="n">
        <x:f>Architecture!$J$10*K25/Demand!$B$15</x:f>
        <x:v>1.2005000000000001</x:v>
      </x:c>
      <x:c r="AA25" s="70" t="n">
        <x:f>Architecture!$K$10*Assumptions!$B$33*Assumptions!$B$34*Assumptions!$B$35*L25/Demand!$B$35</x:f>
        <x:v>1.26</x:v>
      </x:c>
      <x:c r="AB25" s="70" t="n">
        <x:f>Architecture!$L$10*(Assumptions!$B$8/24)*M25/Demand!$B$9</x:f>
        <x:v>2.1</x:v>
      </x:c>
      <x:c r="AC25" s="70" t="n">
        <x:f>Architecture!$M$10*N25/(Assumptions!$B$8/24)</x:f>
        <x:v>1.1428571428571428</x:v>
      </x:c>
      <x:c r="AD25" s="70" t="n">
        <x:f>S25</x:f>
        <x:v>2</x:v>
      </x:c>
      <x:c r="AE25" s="70" t="n">
        <x:f>MIN(T25:AD25)</x:f>
        <x:v>1.1111111111111112</x:v>
      </x:c>
      <x:c r="AF25" s="51" t="str">
        <x:f>IF(AE25&gt;=1,"PASS","FAIL")</x:f>
        <x:v>PASS</x:v>
      </x:c>
    </x:row>
    <x:row r="26">
      <x:c r="A26" s="21" t="str">
        <x:v>W5</x:v>
      </x:c>
      <x:c r="B26" s="21" t="str">
        <x:v>External energy corridor denied</x:v>
      </x:c>
      <x:c r="C26" s="21" t="str">
        <x:v>H1</x:v>
      </x:c>
      <x:c r="D26" s="21" t="str">
        <x:v>Facility power park</x:v>
      </x:c>
      <x:c r="E26" s="69" t="n">
        <x:v>1</x:v>
      </x:c>
      <x:c r="F26" s="69" t="n">
        <x:v>1</x:v>
      </x:c>
      <x:c r="G26" s="69" t="n">
        <x:v>1</x:v>
      </x:c>
      <x:c r="H26" s="69" t="n">
        <x:v>1</x:v>
      </x:c>
      <x:c r="I26" s="69" t="n">
        <x:v>1</x:v>
      </x:c>
      <x:c r="J26" s="69" t="n">
        <x:v>1</x:v>
      </x:c>
      <x:c r="K26" s="69" t="n">
        <x:v>1</x:v>
      </x:c>
      <x:c r="L26" s="69" t="n">
        <x:v>1</x:v>
      </x:c>
      <x:c r="M26" s="69" t="n">
        <x:v>1</x:v>
      </x:c>
      <x:c r="N26" s="69" t="n">
        <x:v>0.35</x:v>
      </x:c>
      <x:c r="O26" s="69" t="n">
        <x:v>1</x:v>
      </x:c>
      <x:c r="P26" s="69" t="n">
        <x:v>1</x:v>
      </x:c>
      <x:c r="Q26" s="69" t="n">
        <x:v>1</x:v>
      </x:c>
      <x:c r="R26" s="69" t="n">
        <x:v>1</x:v>
      </x:c>
      <x:c r="S26" s="69" t="n">
        <x:v>2</x:v>
      </x:c>
      <x:c r="T26" s="70" t="n">
        <x:f>Architecture!$D$7*E26/(Demand!$B$29*O26)</x:f>
        <x:v>1.4063119066650545</x:v>
      </x:c>
      <x:c r="U26" s="70" t="n">
        <x:f>Architecture!$E$7*F26/(Demand!$B$19*P26)</x:f>
        <x:v>0.6106870229007634</x:v>
      </x:c>
      <x:c r="V26" s="70" t="n">
        <x:f>Architecture!$F$7*G26/Demand!$B$10</x:f>
        <x:v>0.5</x:v>
      </x:c>
      <x:c r="W26" s="70" t="n">
        <x:f>Architecture!$G$7*H26/(Demand!$B$11*Q26)</x:f>
        <x:v>0.5</x:v>
      </x:c>
      <x:c r="X26" s="70" t="n">
        <x:f>Architecture!$H$7*I26/Demand!$B$16</x:f>
        <x:v>0.5333333333333333</x:v>
      </x:c>
      <x:c r="Y26" s="70" t="n">
        <x:f>Architecture!$I$7*J26/(Demand!$B$12*R26)</x:f>
        <x:v>0.24</x:v>
      </x:c>
      <x:c r="Z26" s="70" t="n">
        <x:f>Architecture!$J$7*K26/Demand!$B$15</x:f>
        <x:v>0.392</x:v>
      </x:c>
      <x:c r="AA26" s="70" t="n">
        <x:f>Architecture!$K$7*Assumptions!$B$33*Assumptions!$B$34*Assumptions!$B$35*L26/Demand!$B$35</x:f>
        <x:v>0.35</x:v>
      </x:c>
      <x:c r="AB26" s="70" t="n">
        <x:f>Architecture!$L$7*(Assumptions!$B$8/24)*M26/Demand!$B$9</x:f>
        <x:v>0.7</x:v>
      </x:c>
      <x:c r="AC26" s="70" t="n">
        <x:f>Architecture!$M$7*N26/(Assumptions!$B$8/24)</x:f>
        <x:v>0.35</x:v>
      </x:c>
      <x:c r="AD26" s="70" t="n">
        <x:f>S26</x:f>
        <x:v>2</x:v>
      </x:c>
      <x:c r="AE26" s="70" t="n">
        <x:f>MIN(T26:AD26)</x:f>
        <x:v>0.24</x:v>
      </x:c>
      <x:c r="AF26" s="51" t="str">
        <x:f>IF(AE26&gt;=1,"PASS","FAIL")</x:f>
        <x:v>FAIL</x:v>
      </x:c>
    </x:row>
    <x:row r="27">
      <x:c r="A27" s="21" t="str">
        <x:v>W5</x:v>
      </x:c>
      <x:c r="B27" s="21" t="str">
        <x:v>External energy corridor denied</x:v>
      </x:c>
      <x:c r="C27" s="21" t="str">
        <x:v>H2</x:v>
      </x:c>
      <x:c r="D27" s="21" t="str">
        <x:v>Central refuge campuses</x:v>
      </x:c>
      <x:c r="E27" s="69" t="n">
        <x:v>1</x:v>
      </x:c>
      <x:c r="F27" s="69" t="n">
        <x:v>1</x:v>
      </x:c>
      <x:c r="G27" s="69" t="n">
        <x:v>1</x:v>
      </x:c>
      <x:c r="H27" s="69" t="n">
        <x:v>1</x:v>
      </x:c>
      <x:c r="I27" s="69" t="n">
        <x:v>1</x:v>
      </x:c>
      <x:c r="J27" s="69" t="n">
        <x:v>1</x:v>
      </x:c>
      <x:c r="K27" s="69" t="n">
        <x:v>1</x:v>
      </x:c>
      <x:c r="L27" s="69" t="n">
        <x:v>1</x:v>
      </x:c>
      <x:c r="M27" s="69" t="n">
        <x:v>1</x:v>
      </x:c>
      <x:c r="N27" s="69" t="n">
        <x:v>0.5</x:v>
      </x:c>
      <x:c r="O27" s="69" t="n">
        <x:v>1</x:v>
      </x:c>
      <x:c r="P27" s="69" t="n">
        <x:v>1</x:v>
      </x:c>
      <x:c r="Q27" s="69" t="n">
        <x:v>1</x:v>
      </x:c>
      <x:c r="R27" s="69" t="n">
        <x:v>1</x:v>
      </x:c>
      <x:c r="S27" s="69" t="n">
        <x:v>2</x:v>
      </x:c>
      <x:c r="T27" s="70" t="n">
        <x:f>Architecture!$D$8*E27/(Demand!$B$29*O27)</x:f>
        <x:v>1.1250495253320436</x:v>
      </x:c>
      <x:c r="U27" s="70" t="n">
        <x:f>Architecture!$E$8*F27/(Demand!$B$19*P27)</x:f>
        <x:v>1.1195928753180662</x:v>
      </x:c>
      <x:c r="V27" s="70" t="n">
        <x:f>Architecture!$F$8*G27/Demand!$B$10</x:f>
        <x:v>0.4</x:v>
      </x:c>
      <x:c r="W27" s="70" t="n">
        <x:f>Architecture!$G$8*H27/(Demand!$B$11*Q27)</x:f>
        <x:v>0.6</x:v>
      </x:c>
      <x:c r="X27" s="70" t="n">
        <x:f>Architecture!$H$8*I27/Demand!$B$16</x:f>
        <x:v>0.7111111111111111</x:v>
      </x:c>
      <x:c r="Y27" s="70" t="n">
        <x:f>Architecture!$I$8*J27/(Demand!$B$12*R27)</x:f>
        <x:v>0.3</x:v>
      </x:c>
      <x:c r="Z27" s="70" t="n">
        <x:f>Architecture!$J$8*K27/Demand!$B$15</x:f>
        <x:v>0.44100000000000006</x:v>
      </x:c>
      <x:c r="AA27" s="70" t="n">
        <x:f>Architecture!$K$8*Assumptions!$B$33*Assumptions!$B$34*Assumptions!$B$35*L27/Demand!$B$35</x:f>
        <x:v>0.20999999999999996</x:v>
      </x:c>
      <x:c r="AB27" s="70" t="n">
        <x:f>Architecture!$L$8*(Assumptions!$B$8/24)*M27/Demand!$B$9</x:f>
        <x:v>1.68</x:v>
      </x:c>
      <x:c r="AC27" s="70" t="n">
        <x:f>Architecture!$M$8*N27/(Assumptions!$B$8/24)</x:f>
        <x:v>0.5</x:v>
      </x:c>
      <x:c r="AD27" s="70" t="n">
        <x:f>S27</x:f>
        <x:v>2</x:v>
      </x:c>
      <x:c r="AE27" s="70" t="n">
        <x:f>MIN(T27:AD27)</x:f>
        <x:v>0.20999999999999996</x:v>
      </x:c>
      <x:c r="AF27" s="51" t="str">
        <x:f>IF(AE27&gt;=1,"PASS","FAIL")</x:f>
        <x:v>FAIL</x:v>
      </x:c>
    </x:row>
    <x:row r="28">
      <x:c r="A28" s="21" t="str">
        <x:v>W5</x:v>
      </x:c>
      <x:c r="B28" s="21" t="str">
        <x:v>External energy corridor denied</x:v>
      </x:c>
      <x:c r="C28" s="21" t="str">
        <x:v>H3</x:v>
      </x:c>
      <x:c r="D28" s="21" t="str">
        <x:v>Building-interface mesh</x:v>
      </x:c>
      <x:c r="E28" s="69" t="n">
        <x:v>1</x:v>
      </x:c>
      <x:c r="F28" s="69" t="n">
        <x:v>1</x:v>
      </x:c>
      <x:c r="G28" s="69" t="n">
        <x:v>1</x:v>
      </x:c>
      <x:c r="H28" s="69" t="n">
        <x:v>1</x:v>
      </x:c>
      <x:c r="I28" s="69" t="n">
        <x:v>1</x:v>
      </x:c>
      <x:c r="J28" s="69" t="n">
        <x:v>1</x:v>
      </x:c>
      <x:c r="K28" s="69" t="n">
        <x:v>1</x:v>
      </x:c>
      <x:c r="L28" s="69" t="n">
        <x:v>1</x:v>
      </x:c>
      <x:c r="M28" s="69" t="n">
        <x:v>1</x:v>
      </x:c>
      <x:c r="N28" s="69" t="n">
        <x:v>0.8</x:v>
      </x:c>
      <x:c r="O28" s="69" t="n">
        <x:v>1</x:v>
      </x:c>
      <x:c r="P28" s="69" t="n">
        <x:v>1</x:v>
      </x:c>
      <x:c r="Q28" s="69" t="n">
        <x:v>1</x:v>
      </x:c>
      <x:c r="R28" s="69" t="n">
        <x:v>1</x:v>
      </x:c>
      <x:c r="S28" s="69" t="n">
        <x:v>2</x:v>
      </x:c>
      <x:c r="T28" s="70" t="n">
        <x:f>Architecture!$D$9*E28/(Demand!$B$29*O28)</x:f>
        <x:v>1.4063119066650545</x:v>
      </x:c>
      <x:c r="U28" s="70" t="n">
        <x:f>Architecture!$E$9*F28/(Demand!$B$19*P28)</x:f>
        <x:v>1.3231552162849873</x:v>
      </x:c>
      <x:c r="V28" s="70" t="n">
        <x:f>Architecture!$F$9*G28/Demand!$B$10</x:f>
        <x:v>1</x:v>
      </x:c>
      <x:c r="W28" s="70" t="n">
        <x:f>Architecture!$G$9*H28/(Demand!$B$11*Q28)</x:f>
        <x:v>1.1</x:v>
      </x:c>
      <x:c r="X28" s="70" t="n">
        <x:f>Architecture!$H$9*I28/Demand!$B$16</x:f>
        <x:v>1.0222222222222221</x:v>
      </x:c>
      <x:c r="Y28" s="70" t="n">
        <x:f>Architecture!$I$9*J28/(Demand!$B$12*R28)</x:f>
        <x:v>1.04</x:v>
      </x:c>
      <x:c r="Z28" s="70" t="n">
        <x:f>Architecture!$J$9*K28/Demand!$B$15</x:f>
        <x:v>1.0290000000000001</x:v>
      </x:c>
      <x:c r="AA28" s="70" t="n">
        <x:f>Architecture!$K$9*Assumptions!$B$33*Assumptions!$B$34*Assumptions!$B$35*L28/Demand!$B$35</x:f>
        <x:v>1.05</x:v>
      </x:c>
      <x:c r="AB28" s="70" t="n">
        <x:f>Architecture!$L$9*(Assumptions!$B$8/24)*M28/Demand!$B$9</x:f>
        <x:v>1.26</x:v>
      </x:c>
      <x:c r="AC28" s="70" t="n">
        <x:f>Architecture!$M$9*N28/(Assumptions!$B$8/24)</x:f>
        <x:v>0.8</x:v>
      </x:c>
      <x:c r="AD28" s="70" t="n">
        <x:f>S28</x:f>
        <x:v>2</x:v>
      </x:c>
      <x:c r="AE28" s="70" t="n">
        <x:f>MIN(T28:AD28)</x:f>
        <x:v>0.8</x:v>
      </x:c>
      <x:c r="AF28" s="51" t="str">
        <x:f>IF(AE28&gt;=1,"PASS","FAIL")</x:f>
        <x:v>FAIL</x:v>
      </x:c>
    </x:row>
    <x:row r="29">
      <x:c r="A29" s="21" t="str">
        <x:v>W5</x:v>
      </x:c>
      <x:c r="B29" s="21" t="str">
        <x:v>External energy corridor denied</x:v>
      </x:c>
      <x:c r="C29" s="21" t="str">
        <x:v>H4</x:v>
      </x:c>
      <x:c r="D29" s="21" t="str">
        <x:v>Layered PTS-50 group</x:v>
      </x:c>
      <x:c r="E29" s="69" t="n">
        <x:v>1</x:v>
      </x:c>
      <x:c r="F29" s="69" t="n">
        <x:v>1</x:v>
      </x:c>
      <x:c r="G29" s="69" t="n">
        <x:v>1</x:v>
      </x:c>
      <x:c r="H29" s="69" t="n">
        <x:v>1</x:v>
      </x:c>
      <x:c r="I29" s="69" t="n">
        <x:v>1</x:v>
      </x:c>
      <x:c r="J29" s="69" t="n">
        <x:v>1</x:v>
      </x:c>
      <x:c r="K29" s="69" t="n">
        <x:v>1</x:v>
      </x:c>
      <x:c r="L29" s="69" t="n">
        <x:v>1</x:v>
      </x:c>
      <x:c r="M29" s="69" t="n">
        <x:v>1</x:v>
      </x:c>
      <x:c r="N29" s="69" t="n">
        <x:v>0.875</x:v>
      </x:c>
      <x:c r="O29" s="69" t="n">
        <x:v>1</x:v>
      </x:c>
      <x:c r="P29" s="69" t="n">
        <x:v>1</x:v>
      </x:c>
      <x:c r="Q29" s="69" t="n">
        <x:v>1</x:v>
      </x:c>
      <x:c r="R29" s="69" t="n">
        <x:v>1</x:v>
      </x:c>
      <x:c r="S29" s="69" t="n">
        <x:v>2</x:v>
      </x:c>
      <x:c r="T29" s="70" t="n">
        <x:f>Architecture!$D$10*E29/(Demand!$B$29*O29)</x:f>
        <x:v>1.6875742879980653</x:v>
      </x:c>
      <x:c r="U29" s="70" t="n">
        <x:f>Architecture!$E$10*F29/(Demand!$B$19*P29)</x:f>
        <x:v>1.8320610687022902</x:v>
      </x:c>
      <x:c r="V29" s="70" t="n">
        <x:f>Architecture!$F$10*G29/Demand!$B$10</x:f>
        <x:v>1.1111111111111112</x:v>
      </x:c>
      <x:c r="W29" s="70" t="n">
        <x:f>Architecture!$G$10*H29/(Demand!$B$11*Q29)</x:f>
        <x:v>1.35</x:v>
      </x:c>
      <x:c r="X29" s="70" t="n">
        <x:f>Architecture!$H$10*I29/Demand!$B$16</x:f>
        <x:v>1.3333333333333333</x:v>
      </x:c>
      <x:c r="Y29" s="70" t="n">
        <x:f>Architecture!$I$10*J29/(Demand!$B$12*R29)</x:f>
        <x:v>1.4</x:v>
      </x:c>
      <x:c r="Z29" s="70" t="n">
        <x:f>Architecture!$J$10*K29/Demand!$B$15</x:f>
        <x:v>1.2005000000000001</x:v>
      </x:c>
      <x:c r="AA29" s="70" t="n">
        <x:f>Architecture!$K$10*Assumptions!$B$33*Assumptions!$B$34*Assumptions!$B$35*L29/Demand!$B$35</x:f>
        <x:v>1.26</x:v>
      </x:c>
      <x:c r="AB29" s="70" t="n">
        <x:f>Architecture!$L$10*(Assumptions!$B$8/24)*M29/Demand!$B$9</x:f>
        <x:v>2.1</x:v>
      </x:c>
      <x:c r="AC29" s="70" t="n">
        <x:f>Architecture!$M$10*N29/(Assumptions!$B$8/24)</x:f>
        <x:v>1</x:v>
      </x:c>
      <x:c r="AD29" s="70" t="n">
        <x:f>S29</x:f>
        <x:v>2</x:v>
      </x:c>
      <x:c r="AE29" s="70" t="n">
        <x:f>MIN(T29:AD29)</x:f>
        <x:v>1</x:v>
      </x:c>
      <x:c r="AF29" s="51" t="str">
        <x:f>IF(AE29&gt;=1,"PASS","FAIL")</x:f>
        <x:v>PASS</x:v>
      </x:c>
    </x:row>
    <x:row r="30">
      <x:c r="A30" s="21" t="str">
        <x:v>W6</x:v>
      </x:c>
      <x:c r="B30" s="21" t="str">
        <x:v>One building-interface company unavailable</x:v>
      </x:c>
      <x:c r="C30" s="21" t="str">
        <x:v>H1</x:v>
      </x:c>
      <x:c r="D30" s="21" t="str">
        <x:v>Facility power park</x:v>
      </x:c>
      <x:c r="E30" s="69" t="n">
        <x:v>1</x:v>
      </x:c>
      <x:c r="F30" s="69" t="n">
        <x:v>1</x:v>
      </x:c>
      <x:c r="G30" s="69" t="n">
        <x:v>0.75</x:v>
      </x:c>
      <x:c r="H30" s="69" t="n">
        <x:v>1</x:v>
      </x:c>
      <x:c r="I30" s="69" t="n">
        <x:v>1</x:v>
      </x:c>
      <x:c r="J30" s="69" t="n">
        <x:v>1</x:v>
      </x:c>
      <x:c r="K30" s="69" t="n">
        <x:v>1</x:v>
      </x:c>
      <x:c r="L30" s="69" t="n">
        <x:v>0.6</x:v>
      </x:c>
      <x:c r="M30" s="69" t="n">
        <x:v>1</x:v>
      </x:c>
      <x:c r="N30" s="69" t="n">
        <x:v>1</x:v>
      </x:c>
      <x:c r="O30" s="69" t="n">
        <x:v>1</x:v>
      </x:c>
      <x:c r="P30" s="69" t="n">
        <x:v>1</x:v>
      </x:c>
      <x:c r="Q30" s="69" t="n">
        <x:v>1</x:v>
      </x:c>
      <x:c r="R30" s="69" t="n">
        <x:v>1</x:v>
      </x:c>
      <x:c r="S30" s="69" t="n">
        <x:v>2</x:v>
      </x:c>
      <x:c r="T30" s="70" t="n">
        <x:f>Architecture!$D$7*E30/(Demand!$B$29*O30)</x:f>
        <x:v>1.4063119066650545</x:v>
      </x:c>
      <x:c r="U30" s="70" t="n">
        <x:f>Architecture!$E$7*F30/(Demand!$B$19*P30)</x:f>
        <x:v>0.6106870229007634</x:v>
      </x:c>
      <x:c r="V30" s="70" t="n">
        <x:f>Architecture!$F$7*G30/Demand!$B$10</x:f>
        <x:v>0.375</x:v>
      </x:c>
      <x:c r="W30" s="70" t="n">
        <x:f>Architecture!$G$7*H30/(Demand!$B$11*Q30)</x:f>
        <x:v>0.5</x:v>
      </x:c>
      <x:c r="X30" s="70" t="n">
        <x:f>Architecture!$H$7*I30/Demand!$B$16</x:f>
        <x:v>0.5333333333333333</x:v>
      </x:c>
      <x:c r="Y30" s="70" t="n">
        <x:f>Architecture!$I$7*J30/(Demand!$B$12*R30)</x:f>
        <x:v>0.24</x:v>
      </x:c>
      <x:c r="Z30" s="70" t="n">
        <x:f>Architecture!$J$7*K30/Demand!$B$15</x:f>
        <x:v>0.392</x:v>
      </x:c>
      <x:c r="AA30" s="70" t="n">
        <x:f>Architecture!$K$7*Assumptions!$B$33*Assumptions!$B$34*Assumptions!$B$35*L30/Demand!$B$35</x:f>
        <x:v>0.21000000000000002</x:v>
      </x:c>
      <x:c r="AB30" s="70" t="n">
        <x:f>Architecture!$L$7*(Assumptions!$B$8/24)*M30/Demand!$B$9</x:f>
        <x:v>0.7</x:v>
      </x:c>
      <x:c r="AC30" s="70" t="n">
        <x:f>Architecture!$M$7*N30/(Assumptions!$B$8/24)</x:f>
        <x:v>1</x:v>
      </x:c>
      <x:c r="AD30" s="70" t="n">
        <x:f>S30</x:f>
        <x:v>2</x:v>
      </x:c>
      <x:c r="AE30" s="70" t="n">
        <x:f>MIN(T30:AD30)</x:f>
        <x:v>0.21000000000000002</x:v>
      </x:c>
      <x:c r="AF30" s="51" t="str">
        <x:f>IF(AE30&gt;=1,"PASS","FAIL")</x:f>
        <x:v>FAIL</x:v>
      </x:c>
    </x:row>
    <x:row r="31">
      <x:c r="A31" s="21" t="str">
        <x:v>W6</x:v>
      </x:c>
      <x:c r="B31" s="21" t="str">
        <x:v>One building-interface company unavailable</x:v>
      </x:c>
      <x:c r="C31" s="21" t="str">
        <x:v>H2</x:v>
      </x:c>
      <x:c r="D31" s="21" t="str">
        <x:v>Central refuge campuses</x:v>
      </x:c>
      <x:c r="E31" s="69" t="n">
        <x:v>1</x:v>
      </x:c>
      <x:c r="F31" s="69" t="n">
        <x:v>1</x:v>
      </x:c>
      <x:c r="G31" s="69" t="n">
        <x:v>0.75</x:v>
      </x:c>
      <x:c r="H31" s="69" t="n">
        <x:v>1</x:v>
      </x:c>
      <x:c r="I31" s="69" t="n">
        <x:v>1</x:v>
      </x:c>
      <x:c r="J31" s="69" t="n">
        <x:v>1</x:v>
      </x:c>
      <x:c r="K31" s="69" t="n">
        <x:v>1</x:v>
      </x:c>
      <x:c r="L31" s="69" t="n">
        <x:v>0.6</x:v>
      </x:c>
      <x:c r="M31" s="69" t="n">
        <x:v>1</x:v>
      </x:c>
      <x:c r="N31" s="69" t="n">
        <x:v>1</x:v>
      </x:c>
      <x:c r="O31" s="69" t="n">
        <x:v>1</x:v>
      </x:c>
      <x:c r="P31" s="69" t="n">
        <x:v>1</x:v>
      </x:c>
      <x:c r="Q31" s="69" t="n">
        <x:v>1</x:v>
      </x:c>
      <x:c r="R31" s="69" t="n">
        <x:v>1</x:v>
      </x:c>
      <x:c r="S31" s="69" t="n">
        <x:v>2</x:v>
      </x:c>
      <x:c r="T31" s="70" t="n">
        <x:f>Architecture!$D$8*E31/(Demand!$B$29*O31)</x:f>
        <x:v>1.1250495253320436</x:v>
      </x:c>
      <x:c r="U31" s="70" t="n">
        <x:f>Architecture!$E$8*F31/(Demand!$B$19*P31)</x:f>
        <x:v>1.1195928753180662</x:v>
      </x:c>
      <x:c r="V31" s="70" t="n">
        <x:f>Architecture!$F$8*G31/Demand!$B$10</x:f>
        <x:v>0.3</x:v>
      </x:c>
      <x:c r="W31" s="70" t="n">
        <x:f>Architecture!$G$8*H31/(Demand!$B$11*Q31)</x:f>
        <x:v>0.6</x:v>
      </x:c>
      <x:c r="X31" s="70" t="n">
        <x:f>Architecture!$H$8*I31/Demand!$B$16</x:f>
        <x:v>0.7111111111111111</x:v>
      </x:c>
      <x:c r="Y31" s="70" t="n">
        <x:f>Architecture!$I$8*J31/(Demand!$B$12*R31)</x:f>
        <x:v>0.3</x:v>
      </x:c>
      <x:c r="Z31" s="70" t="n">
        <x:f>Architecture!$J$8*K31/Demand!$B$15</x:f>
        <x:v>0.44100000000000006</x:v>
      </x:c>
      <x:c r="AA31" s="70" t="n">
        <x:f>Architecture!$K$8*Assumptions!$B$33*Assumptions!$B$34*Assumptions!$B$35*L31/Demand!$B$35</x:f>
        <x:v>0.12599999999999997</x:v>
      </x:c>
      <x:c r="AB31" s="70" t="n">
        <x:f>Architecture!$L$8*(Assumptions!$B$8/24)*M31/Demand!$B$9</x:f>
        <x:v>1.68</x:v>
      </x:c>
      <x:c r="AC31" s="70" t="n">
        <x:f>Architecture!$M$8*N31/(Assumptions!$B$8/24)</x:f>
        <x:v>1</x:v>
      </x:c>
      <x:c r="AD31" s="70" t="n">
        <x:f>S31</x:f>
        <x:v>2</x:v>
      </x:c>
      <x:c r="AE31" s="70" t="n">
        <x:f>MIN(T31:AD31)</x:f>
        <x:v>0.12599999999999997</x:v>
      </x:c>
      <x:c r="AF31" s="51" t="str">
        <x:f>IF(AE31&gt;=1,"PASS","FAIL")</x:f>
        <x:v>FAIL</x:v>
      </x:c>
    </x:row>
    <x:row r="32">
      <x:c r="A32" s="21" t="str">
        <x:v>W6</x:v>
      </x:c>
      <x:c r="B32" s="21" t="str">
        <x:v>One building-interface company unavailable</x:v>
      </x:c>
      <x:c r="C32" s="21" t="str">
        <x:v>H3</x:v>
      </x:c>
      <x:c r="D32" s="21" t="str">
        <x:v>Building-interface mesh</x:v>
      </x:c>
      <x:c r="E32" s="69" t="n">
        <x:v>1</x:v>
      </x:c>
      <x:c r="F32" s="69" t="n">
        <x:v>1</x:v>
      </x:c>
      <x:c r="G32" s="69" t="n">
        <x:v>0.9</x:v>
      </x:c>
      <x:c r="H32" s="69" t="n">
        <x:v>1</x:v>
      </x:c>
      <x:c r="I32" s="69" t="n">
        <x:v>1</x:v>
      </x:c>
      <x:c r="J32" s="69" t="n">
        <x:v>1</x:v>
      </x:c>
      <x:c r="K32" s="69" t="n">
        <x:v>1</x:v>
      </x:c>
      <x:c r="L32" s="69" t="n">
        <x:v>0.8</x:v>
      </x:c>
      <x:c r="M32" s="69" t="n">
        <x:v>1</x:v>
      </x:c>
      <x:c r="N32" s="69" t="n">
        <x:v>1</x:v>
      </x:c>
      <x:c r="O32" s="69" t="n">
        <x:v>1</x:v>
      </x:c>
      <x:c r="P32" s="69" t="n">
        <x:v>1</x:v>
      </x:c>
      <x:c r="Q32" s="69" t="n">
        <x:v>1</x:v>
      </x:c>
      <x:c r="R32" s="69" t="n">
        <x:v>1</x:v>
      </x:c>
      <x:c r="S32" s="69" t="n">
        <x:v>2</x:v>
      </x:c>
      <x:c r="T32" s="70" t="n">
        <x:f>Architecture!$D$9*E32/(Demand!$B$29*O32)</x:f>
        <x:v>1.4063119066650545</x:v>
      </x:c>
      <x:c r="U32" s="70" t="n">
        <x:f>Architecture!$E$9*F32/(Demand!$B$19*P32)</x:f>
        <x:v>1.3231552162849873</x:v>
      </x:c>
      <x:c r="V32" s="70" t="n">
        <x:f>Architecture!$F$9*G32/Demand!$B$10</x:f>
        <x:v>0.9</x:v>
      </x:c>
      <x:c r="W32" s="70" t="n">
        <x:f>Architecture!$G$9*H32/(Demand!$B$11*Q32)</x:f>
        <x:v>1.1</x:v>
      </x:c>
      <x:c r="X32" s="70" t="n">
        <x:f>Architecture!$H$9*I32/Demand!$B$16</x:f>
        <x:v>1.0222222222222221</x:v>
      </x:c>
      <x:c r="Y32" s="70" t="n">
        <x:f>Architecture!$I$9*J32/(Demand!$B$12*R32)</x:f>
        <x:v>1.04</x:v>
      </x:c>
      <x:c r="Z32" s="70" t="n">
        <x:f>Architecture!$J$9*K32/Demand!$B$15</x:f>
        <x:v>1.0290000000000001</x:v>
      </x:c>
      <x:c r="AA32" s="70" t="n">
        <x:f>Architecture!$K$9*Assumptions!$B$33*Assumptions!$B$34*Assumptions!$B$35*L32/Demand!$B$35</x:f>
        <x:v>0.8400000000000001</x:v>
      </x:c>
      <x:c r="AB32" s="70" t="n">
        <x:f>Architecture!$L$9*(Assumptions!$B$8/24)*M32/Demand!$B$9</x:f>
        <x:v>1.26</x:v>
      </x:c>
      <x:c r="AC32" s="70" t="n">
        <x:f>Architecture!$M$9*N32/(Assumptions!$B$8/24)</x:f>
        <x:v>1</x:v>
      </x:c>
      <x:c r="AD32" s="70" t="n">
        <x:f>S32</x:f>
        <x:v>2</x:v>
      </x:c>
      <x:c r="AE32" s="70" t="n">
        <x:f>MIN(T32:AD32)</x:f>
        <x:v>0.8400000000000001</x:v>
      </x:c>
      <x:c r="AF32" s="51" t="str">
        <x:f>IF(AE32&gt;=1,"PASS","FAIL")</x:f>
        <x:v>FAIL</x:v>
      </x:c>
    </x:row>
    <x:row r="33">
      <x:c r="A33" s="21" t="str">
        <x:v>W6</x:v>
      </x:c>
      <x:c r="B33" s="21" t="str">
        <x:v>One building-interface company unavailable</x:v>
      </x:c>
      <x:c r="C33" s="21" t="str">
        <x:v>H4</x:v>
      </x:c>
      <x:c r="D33" s="21" t="str">
        <x:v>Layered PTS-50 group</x:v>
      </x:c>
      <x:c r="E33" s="69" t="n">
        <x:v>1</x:v>
      </x:c>
      <x:c r="F33" s="69" t="n">
        <x:v>1</x:v>
      </x:c>
      <x:c r="G33" s="69" t="n">
        <x:v>0.95</x:v>
      </x:c>
      <x:c r="H33" s="69" t="n">
        <x:v>1</x:v>
      </x:c>
      <x:c r="I33" s="69" t="n">
        <x:v>1</x:v>
      </x:c>
      <x:c r="J33" s="69" t="n">
        <x:v>1</x:v>
      </x:c>
      <x:c r="K33" s="69" t="n">
        <x:v>1</x:v>
      </x:c>
      <x:c r="L33" s="69" t="n">
        <x:v>0.83</x:v>
      </x:c>
      <x:c r="M33" s="69" t="n">
        <x:v>1</x:v>
      </x:c>
      <x:c r="N33" s="69" t="n">
        <x:v>1</x:v>
      </x:c>
      <x:c r="O33" s="69" t="n">
        <x:v>1</x:v>
      </x:c>
      <x:c r="P33" s="69" t="n">
        <x:v>1</x:v>
      </x:c>
      <x:c r="Q33" s="69" t="n">
        <x:v>1</x:v>
      </x:c>
      <x:c r="R33" s="69" t="n">
        <x:v>1</x:v>
      </x:c>
      <x:c r="S33" s="69" t="n">
        <x:v>2</x:v>
      </x:c>
      <x:c r="T33" s="70" t="n">
        <x:f>Architecture!$D$10*E33/(Demand!$B$29*O33)</x:f>
        <x:v>1.6875742879980653</x:v>
      </x:c>
      <x:c r="U33" s="70" t="n">
        <x:f>Architecture!$E$10*F33/(Demand!$B$19*P33)</x:f>
        <x:v>1.8320610687022902</x:v>
      </x:c>
      <x:c r="V33" s="70" t="n">
        <x:f>Architecture!$F$10*G33/Demand!$B$10</x:f>
        <x:v>1.0555555555555556</x:v>
      </x:c>
      <x:c r="W33" s="70" t="n">
        <x:f>Architecture!$G$10*H33/(Demand!$B$11*Q33)</x:f>
        <x:v>1.35</x:v>
      </x:c>
      <x:c r="X33" s="70" t="n">
        <x:f>Architecture!$H$10*I33/Demand!$B$16</x:f>
        <x:v>1.3333333333333333</x:v>
      </x:c>
      <x:c r="Y33" s="70" t="n">
        <x:f>Architecture!$I$10*J33/(Demand!$B$12*R33)</x:f>
        <x:v>1.4</x:v>
      </x:c>
      <x:c r="Z33" s="70" t="n">
        <x:f>Architecture!$J$10*K33/Demand!$B$15</x:f>
        <x:v>1.2005000000000001</x:v>
      </x:c>
      <x:c r="AA33" s="70" t="n">
        <x:f>Architecture!$K$10*Assumptions!$B$33*Assumptions!$B$34*Assumptions!$B$35*L33/Demand!$B$35</x:f>
        <x:v>1.0457999999999998</x:v>
      </x:c>
      <x:c r="AB33" s="70" t="n">
        <x:f>Architecture!$L$10*(Assumptions!$B$8/24)*M33/Demand!$B$9</x:f>
        <x:v>2.1</x:v>
      </x:c>
      <x:c r="AC33" s="70" t="n">
        <x:f>Architecture!$M$10*N33/(Assumptions!$B$8/24)</x:f>
        <x:v>1.1428571428571428</x:v>
      </x:c>
      <x:c r="AD33" s="70" t="n">
        <x:f>S33</x:f>
        <x:v>2</x:v>
      </x:c>
      <x:c r="AE33" s="70" t="n">
        <x:f>MIN(T33:AD33)</x:f>
        <x:v>1.0457999999999998</x:v>
      </x:c>
      <x:c r="AF33" s="51" t="str">
        <x:f>IF(AE33&gt;=1,"PASS","FAIL")</x:f>
        <x:v>PASS</x:v>
      </x:c>
    </x:row>
    <x:row r="34">
      <x:c r="A34" s="21" t="str">
        <x:v>W7</x:v>
      </x:c>
      <x:c r="B34" s="21" t="str">
        <x:v>Domestic water pressure lost</x:v>
      </x:c>
      <x:c r="C34" s="21" t="str">
        <x:v>H1</x:v>
      </x:c>
      <x:c r="D34" s="21" t="str">
        <x:v>Facility power park</x:v>
      </x:c>
      <x:c r="E34" s="69" t="n">
        <x:v>1</x:v>
      </x:c>
      <x:c r="F34" s="69" t="n">
        <x:v>1</x:v>
      </x:c>
      <x:c r="G34" s="69" t="n">
        <x:v>1</x:v>
      </x:c>
      <x:c r="H34" s="69" t="n">
        <x:v>1</x:v>
      </x:c>
      <x:c r="I34" s="69" t="n">
        <x:v>0.45</x:v>
      </x:c>
      <x:c r="J34" s="69" t="n">
        <x:v>1</x:v>
      </x:c>
      <x:c r="K34" s="69" t="n">
        <x:v>1</x:v>
      </x:c>
      <x:c r="L34" s="69" t="n">
        <x:v>1</x:v>
      </x:c>
      <x:c r="M34" s="69" t="n">
        <x:v>1</x:v>
      </x:c>
      <x:c r="N34" s="69" t="n">
        <x:v>1</x:v>
      </x:c>
      <x:c r="O34" s="69" t="n">
        <x:v>1</x:v>
      </x:c>
      <x:c r="P34" s="69" t="n">
        <x:v>1</x:v>
      </x:c>
      <x:c r="Q34" s="69" t="n">
        <x:v>1</x:v>
      </x:c>
      <x:c r="R34" s="69" t="n">
        <x:v>1</x:v>
      </x:c>
      <x:c r="S34" s="69" t="n">
        <x:v>2</x:v>
      </x:c>
      <x:c r="T34" s="70" t="n">
        <x:f>Architecture!$D$7*E34/(Demand!$B$29*O34)</x:f>
        <x:v>1.4063119066650545</x:v>
      </x:c>
      <x:c r="U34" s="70" t="n">
        <x:f>Architecture!$E$7*F34/(Demand!$B$19*P34)</x:f>
        <x:v>0.6106870229007634</x:v>
      </x:c>
      <x:c r="V34" s="70" t="n">
        <x:f>Architecture!$F$7*G34/Demand!$B$10</x:f>
        <x:v>0.5</x:v>
      </x:c>
      <x:c r="W34" s="70" t="n">
        <x:f>Architecture!$G$7*H34/(Demand!$B$11*Q34)</x:f>
        <x:v>0.5</x:v>
      </x:c>
      <x:c r="X34" s="70" t="n">
        <x:f>Architecture!$H$7*I34/Demand!$B$16</x:f>
        <x:v>0.24</x:v>
      </x:c>
      <x:c r="Y34" s="70" t="n">
        <x:f>Architecture!$I$7*J34/(Demand!$B$12*R34)</x:f>
        <x:v>0.24</x:v>
      </x:c>
      <x:c r="Z34" s="70" t="n">
        <x:f>Architecture!$J$7*K34/Demand!$B$15</x:f>
        <x:v>0.392</x:v>
      </x:c>
      <x:c r="AA34" s="70" t="n">
        <x:f>Architecture!$K$7*Assumptions!$B$33*Assumptions!$B$34*Assumptions!$B$35*L34/Demand!$B$35</x:f>
        <x:v>0.35</x:v>
      </x:c>
      <x:c r="AB34" s="70" t="n">
        <x:f>Architecture!$L$7*(Assumptions!$B$8/24)*M34/Demand!$B$9</x:f>
        <x:v>0.7</x:v>
      </x:c>
      <x:c r="AC34" s="70" t="n">
        <x:f>Architecture!$M$7*N34/(Assumptions!$B$8/24)</x:f>
        <x:v>1</x:v>
      </x:c>
      <x:c r="AD34" s="70" t="n">
        <x:f>S34</x:f>
        <x:v>2</x:v>
      </x:c>
      <x:c r="AE34" s="70" t="n">
        <x:f>MIN(T34:AD34)</x:f>
        <x:v>0.24</x:v>
      </x:c>
      <x:c r="AF34" s="51" t="str">
        <x:f>IF(AE34&gt;=1,"PASS","FAIL")</x:f>
        <x:v>FAIL</x:v>
      </x:c>
    </x:row>
    <x:row r="35">
      <x:c r="A35" s="21" t="str">
        <x:v>W7</x:v>
      </x:c>
      <x:c r="B35" s="21" t="str">
        <x:v>Domestic water pressure lost</x:v>
      </x:c>
      <x:c r="C35" s="21" t="str">
        <x:v>H2</x:v>
      </x:c>
      <x:c r="D35" s="21" t="str">
        <x:v>Central refuge campuses</x:v>
      </x:c>
      <x:c r="E35" s="69" t="n">
        <x:v>1</x:v>
      </x:c>
      <x:c r="F35" s="69" t="n">
        <x:v>1</x:v>
      </x:c>
      <x:c r="G35" s="69" t="n">
        <x:v>1</x:v>
      </x:c>
      <x:c r="H35" s="69" t="n">
        <x:v>1</x:v>
      </x:c>
      <x:c r="I35" s="69" t="n">
        <x:v>0.6</x:v>
      </x:c>
      <x:c r="J35" s="69" t="n">
        <x:v>1</x:v>
      </x:c>
      <x:c r="K35" s="69" t="n">
        <x:v>1</x:v>
      </x:c>
      <x:c r="L35" s="69" t="n">
        <x:v>1</x:v>
      </x:c>
      <x:c r="M35" s="69" t="n">
        <x:v>1</x:v>
      </x:c>
      <x:c r="N35" s="69" t="n">
        <x:v>1</x:v>
      </x:c>
      <x:c r="O35" s="69" t="n">
        <x:v>1</x:v>
      </x:c>
      <x:c r="P35" s="69" t="n">
        <x:v>1</x:v>
      </x:c>
      <x:c r="Q35" s="69" t="n">
        <x:v>1</x:v>
      </x:c>
      <x:c r="R35" s="69" t="n">
        <x:v>1</x:v>
      </x:c>
      <x:c r="S35" s="69" t="n">
        <x:v>2</x:v>
      </x:c>
      <x:c r="T35" s="70" t="n">
        <x:f>Architecture!$D$8*E35/(Demand!$B$29*O35)</x:f>
        <x:v>1.1250495253320436</x:v>
      </x:c>
      <x:c r="U35" s="70" t="n">
        <x:f>Architecture!$E$8*F35/(Demand!$B$19*P35)</x:f>
        <x:v>1.1195928753180662</x:v>
      </x:c>
      <x:c r="V35" s="70" t="n">
        <x:f>Architecture!$F$8*G35/Demand!$B$10</x:f>
        <x:v>0.4</x:v>
      </x:c>
      <x:c r="W35" s="70" t="n">
        <x:f>Architecture!$G$8*H35/(Demand!$B$11*Q35)</x:f>
        <x:v>0.6</x:v>
      </x:c>
      <x:c r="X35" s="70" t="n">
        <x:f>Architecture!$H$8*I35/Demand!$B$16</x:f>
        <x:v>0.4266666666666667</x:v>
      </x:c>
      <x:c r="Y35" s="70" t="n">
        <x:f>Architecture!$I$8*J35/(Demand!$B$12*R35)</x:f>
        <x:v>0.3</x:v>
      </x:c>
      <x:c r="Z35" s="70" t="n">
        <x:f>Architecture!$J$8*K35/Demand!$B$15</x:f>
        <x:v>0.44100000000000006</x:v>
      </x:c>
      <x:c r="AA35" s="70" t="n">
        <x:f>Architecture!$K$8*Assumptions!$B$33*Assumptions!$B$34*Assumptions!$B$35*L35/Demand!$B$35</x:f>
        <x:v>0.20999999999999996</x:v>
      </x:c>
      <x:c r="AB35" s="70" t="n">
        <x:f>Architecture!$L$8*(Assumptions!$B$8/24)*M35/Demand!$B$9</x:f>
        <x:v>1.68</x:v>
      </x:c>
      <x:c r="AC35" s="70" t="n">
        <x:f>Architecture!$M$8*N35/(Assumptions!$B$8/24)</x:f>
        <x:v>1</x:v>
      </x:c>
      <x:c r="AD35" s="70" t="n">
        <x:f>S35</x:f>
        <x:v>2</x:v>
      </x:c>
      <x:c r="AE35" s="70" t="n">
        <x:f>MIN(T35:AD35)</x:f>
        <x:v>0.20999999999999996</x:v>
      </x:c>
      <x:c r="AF35" s="51" t="str">
        <x:f>IF(AE35&gt;=1,"PASS","FAIL")</x:f>
        <x:v>FAIL</x:v>
      </x:c>
    </x:row>
    <x:row r="36">
      <x:c r="A36" s="21" t="str">
        <x:v>W7</x:v>
      </x:c>
      <x:c r="B36" s="21" t="str">
        <x:v>Domestic water pressure lost</x:v>
      </x:c>
      <x:c r="C36" s="21" t="str">
        <x:v>H3</x:v>
      </x:c>
      <x:c r="D36" s="21" t="str">
        <x:v>Building-interface mesh</x:v>
      </x:c>
      <x:c r="E36" s="69" t="n">
        <x:v>1</x:v>
      </x:c>
      <x:c r="F36" s="69" t="n">
        <x:v>1</x:v>
      </x:c>
      <x:c r="G36" s="69" t="n">
        <x:v>1</x:v>
      </x:c>
      <x:c r="H36" s="69" t="n">
        <x:v>1</x:v>
      </x:c>
      <x:c r="I36" s="69" t="n">
        <x:v>0.8</x:v>
      </x:c>
      <x:c r="J36" s="69" t="n">
        <x:v>1</x:v>
      </x:c>
      <x:c r="K36" s="69" t="n">
        <x:v>1</x:v>
      </x:c>
      <x:c r="L36" s="69" t="n">
        <x:v>1</x:v>
      </x:c>
      <x:c r="M36" s="69" t="n">
        <x:v>1</x:v>
      </x:c>
      <x:c r="N36" s="69" t="n">
        <x:v>1</x:v>
      </x:c>
      <x:c r="O36" s="69" t="n">
        <x:v>1</x:v>
      </x:c>
      <x:c r="P36" s="69" t="n">
        <x:v>1</x:v>
      </x:c>
      <x:c r="Q36" s="69" t="n">
        <x:v>1</x:v>
      </x:c>
      <x:c r="R36" s="69" t="n">
        <x:v>1</x:v>
      </x:c>
      <x:c r="S36" s="69" t="n">
        <x:v>2</x:v>
      </x:c>
      <x:c r="T36" s="70" t="n">
        <x:f>Architecture!$D$9*E36/(Demand!$B$29*O36)</x:f>
        <x:v>1.4063119066650545</x:v>
      </x:c>
      <x:c r="U36" s="70" t="n">
        <x:f>Architecture!$E$9*F36/(Demand!$B$19*P36)</x:f>
        <x:v>1.3231552162849873</x:v>
      </x:c>
      <x:c r="V36" s="70" t="n">
        <x:f>Architecture!$F$9*G36/Demand!$B$10</x:f>
        <x:v>1</x:v>
      </x:c>
      <x:c r="W36" s="70" t="n">
        <x:f>Architecture!$G$9*H36/(Demand!$B$11*Q36)</x:f>
        <x:v>1.1</x:v>
      </x:c>
      <x:c r="X36" s="70" t="n">
        <x:f>Architecture!$H$9*I36/Demand!$B$16</x:f>
        <x:v>0.8177777777777778</x:v>
      </x:c>
      <x:c r="Y36" s="70" t="n">
        <x:f>Architecture!$I$9*J36/(Demand!$B$12*R36)</x:f>
        <x:v>1.04</x:v>
      </x:c>
      <x:c r="Z36" s="70" t="n">
        <x:f>Architecture!$J$9*K36/Demand!$B$15</x:f>
        <x:v>1.0290000000000001</x:v>
      </x:c>
      <x:c r="AA36" s="70" t="n">
        <x:f>Architecture!$K$9*Assumptions!$B$33*Assumptions!$B$34*Assumptions!$B$35*L36/Demand!$B$35</x:f>
        <x:v>1.05</x:v>
      </x:c>
      <x:c r="AB36" s="70" t="n">
        <x:f>Architecture!$L$9*(Assumptions!$B$8/24)*M36/Demand!$B$9</x:f>
        <x:v>1.26</x:v>
      </x:c>
      <x:c r="AC36" s="70" t="n">
        <x:f>Architecture!$M$9*N36/(Assumptions!$B$8/24)</x:f>
        <x:v>1</x:v>
      </x:c>
      <x:c r="AD36" s="70" t="n">
        <x:f>S36</x:f>
        <x:v>2</x:v>
      </x:c>
      <x:c r="AE36" s="70" t="n">
        <x:f>MIN(T36:AD36)</x:f>
        <x:v>0.8177777777777778</x:v>
      </x:c>
      <x:c r="AF36" s="51" t="str">
        <x:f>IF(AE36&gt;=1,"PASS","FAIL")</x:f>
        <x:v>FAIL</x:v>
      </x:c>
    </x:row>
    <x:row r="37">
      <x:c r="A37" s="21" t="str">
        <x:v>W7</x:v>
      </x:c>
      <x:c r="B37" s="21" t="str">
        <x:v>Domestic water pressure lost</x:v>
      </x:c>
      <x:c r="C37" s="21" t="str">
        <x:v>H4</x:v>
      </x:c>
      <x:c r="D37" s="21" t="str">
        <x:v>Layered PTS-50 group</x:v>
      </x:c>
      <x:c r="E37" s="69" t="n">
        <x:v>1</x:v>
      </x:c>
      <x:c r="F37" s="69" t="n">
        <x:v>1</x:v>
      </x:c>
      <x:c r="G37" s="69" t="n">
        <x:v>1</x:v>
      </x:c>
      <x:c r="H37" s="69" t="n">
        <x:v>1</x:v>
      </x:c>
      <x:c r="I37" s="69" t="n">
        <x:v>0.8</x:v>
      </x:c>
      <x:c r="J37" s="69" t="n">
        <x:v>1</x:v>
      </x:c>
      <x:c r="K37" s="69" t="n">
        <x:v>1</x:v>
      </x:c>
      <x:c r="L37" s="69" t="n">
        <x:v>1</x:v>
      </x:c>
      <x:c r="M37" s="69" t="n">
        <x:v>1</x:v>
      </x:c>
      <x:c r="N37" s="69" t="n">
        <x:v>1</x:v>
      </x:c>
      <x:c r="O37" s="69" t="n">
        <x:v>1</x:v>
      </x:c>
      <x:c r="P37" s="69" t="n">
        <x:v>1</x:v>
      </x:c>
      <x:c r="Q37" s="69" t="n">
        <x:v>1</x:v>
      </x:c>
      <x:c r="R37" s="69" t="n">
        <x:v>1</x:v>
      </x:c>
      <x:c r="S37" s="69" t="n">
        <x:v>2</x:v>
      </x:c>
      <x:c r="T37" s="70" t="n">
        <x:f>Architecture!$D$10*E37/(Demand!$B$29*O37)</x:f>
        <x:v>1.6875742879980653</x:v>
      </x:c>
      <x:c r="U37" s="70" t="n">
        <x:f>Architecture!$E$10*F37/(Demand!$B$19*P37)</x:f>
        <x:v>1.8320610687022902</x:v>
      </x:c>
      <x:c r="V37" s="70" t="n">
        <x:f>Architecture!$F$10*G37/Demand!$B$10</x:f>
        <x:v>1.1111111111111112</x:v>
      </x:c>
      <x:c r="W37" s="70" t="n">
        <x:f>Architecture!$G$10*H37/(Demand!$B$11*Q37)</x:f>
        <x:v>1.35</x:v>
      </x:c>
      <x:c r="X37" s="70" t="n">
        <x:f>Architecture!$H$10*I37/Demand!$B$16</x:f>
        <x:v>1.0666666666666667</x:v>
      </x:c>
      <x:c r="Y37" s="70" t="n">
        <x:f>Architecture!$I$10*J37/(Demand!$B$12*R37)</x:f>
        <x:v>1.4</x:v>
      </x:c>
      <x:c r="Z37" s="70" t="n">
        <x:f>Architecture!$J$10*K37/Demand!$B$15</x:f>
        <x:v>1.2005000000000001</x:v>
      </x:c>
      <x:c r="AA37" s="70" t="n">
        <x:f>Architecture!$K$10*Assumptions!$B$33*Assumptions!$B$34*Assumptions!$B$35*L37/Demand!$B$35</x:f>
        <x:v>1.26</x:v>
      </x:c>
      <x:c r="AB37" s="70" t="n">
        <x:f>Architecture!$L$10*(Assumptions!$B$8/24)*M37/Demand!$B$9</x:f>
        <x:v>2.1</x:v>
      </x:c>
      <x:c r="AC37" s="70" t="n">
        <x:f>Architecture!$M$10*N37/(Assumptions!$B$8/24)</x:f>
        <x:v>1.1428571428571428</x:v>
      </x:c>
      <x:c r="AD37" s="70" t="n">
        <x:f>S37</x:f>
        <x:v>2</x:v>
      </x:c>
      <x:c r="AE37" s="70" t="n">
        <x:f>MIN(T37:AD37)</x:f>
        <x:v>1.0666666666666667</x:v>
      </x:c>
      <x:c r="AF37" s="51" t="str">
        <x:f>IF(AE37&gt;=1,"PASS","FAIL")</x:f>
        <x:v>PASS</x:v>
      </x:c>
    </x:row>
    <x:row r="38">
      <x:c r="A38" s="21" t="str">
        <x:v>W8</x:v>
      </x:c>
      <x:c r="B38" s="21" t="str">
        <x:v>Smoke and filtration co-event</x:v>
      </x:c>
      <x:c r="C38" s="21" t="str">
        <x:v>H1</x:v>
      </x:c>
      <x:c r="D38" s="21" t="str">
        <x:v>Facility power park</x:v>
      </x:c>
      <x:c r="E38" s="69" t="n">
        <x:v>1</x:v>
      </x:c>
      <x:c r="F38" s="69" t="n">
        <x:v>0.6</x:v>
      </x:c>
      <x:c r="G38" s="69" t="n">
        <x:v>1</x:v>
      </x:c>
      <x:c r="H38" s="69" t="n">
        <x:v>0.95</x:v>
      </x:c>
      <x:c r="I38" s="69" t="n">
        <x:v>1</x:v>
      </x:c>
      <x:c r="J38" s="69" t="n">
        <x:v>1</x:v>
      </x:c>
      <x:c r="K38" s="69" t="n">
        <x:v>1</x:v>
      </x:c>
      <x:c r="L38" s="69" t="n">
        <x:v>1</x:v>
      </x:c>
      <x:c r="M38" s="69" t="n">
        <x:v>1</x:v>
      </x:c>
      <x:c r="N38" s="69" t="n">
        <x:v>1</x:v>
      </x:c>
      <x:c r="O38" s="69" t="n">
        <x:v>1.1</x:v>
      </x:c>
      <x:c r="P38" s="69" t="n">
        <x:v>1.1</x:v>
      </x:c>
      <x:c r="Q38" s="69" t="n">
        <x:v>1</x:v>
      </x:c>
      <x:c r="R38" s="69" t="n">
        <x:v>1</x:v>
      </x:c>
      <x:c r="S38" s="69" t="n">
        <x:v>2</x:v>
      </x:c>
      <x:c r="T38" s="70" t="n">
        <x:f>Architecture!$D$7*E38/(Demand!$B$29*O38)</x:f>
        <x:v>1.278465369695504</x:v>
      </x:c>
      <x:c r="U38" s="70" t="n">
        <x:f>Architecture!$E$7*F38/(Demand!$B$19*P38)</x:f>
        <x:v>0.3331020124913255</x:v>
      </x:c>
      <x:c r="V38" s="70" t="n">
        <x:f>Architecture!$F$7*G38/Demand!$B$10</x:f>
        <x:v>0.5</x:v>
      </x:c>
      <x:c r="W38" s="70" t="n">
        <x:f>Architecture!$G$7*H38/(Demand!$B$11*Q38)</x:f>
        <x:v>0.475</x:v>
      </x:c>
      <x:c r="X38" s="70" t="n">
        <x:f>Architecture!$H$7*I38/Demand!$B$16</x:f>
        <x:v>0.5333333333333333</x:v>
      </x:c>
      <x:c r="Y38" s="70" t="n">
        <x:f>Architecture!$I$7*J38/(Demand!$B$12*R38)</x:f>
        <x:v>0.24</x:v>
      </x:c>
      <x:c r="Z38" s="70" t="n">
        <x:f>Architecture!$J$7*K38/Demand!$B$15</x:f>
        <x:v>0.392</x:v>
      </x:c>
      <x:c r="AA38" s="70" t="n">
        <x:f>Architecture!$K$7*Assumptions!$B$33*Assumptions!$B$34*Assumptions!$B$35*L38/Demand!$B$35</x:f>
        <x:v>0.35</x:v>
      </x:c>
      <x:c r="AB38" s="70" t="n">
        <x:f>Architecture!$L$7*(Assumptions!$B$8/24)*M38/Demand!$B$9</x:f>
        <x:v>0.7</x:v>
      </x:c>
      <x:c r="AC38" s="70" t="n">
        <x:f>Architecture!$M$7*N38/(Assumptions!$B$8/24)</x:f>
        <x:v>1</x:v>
      </x:c>
      <x:c r="AD38" s="70" t="n">
        <x:f>S38</x:f>
        <x:v>2</x:v>
      </x:c>
      <x:c r="AE38" s="70" t="n">
        <x:f>MIN(T38:AD38)</x:f>
        <x:v>0.24</x:v>
      </x:c>
      <x:c r="AF38" s="51" t="str">
        <x:f>IF(AE38&gt;=1,"PASS","FAIL")</x:f>
        <x:v>FAIL</x:v>
      </x:c>
    </x:row>
    <x:row r="39">
      <x:c r="A39" s="21" t="str">
        <x:v>W8</x:v>
      </x:c>
      <x:c r="B39" s="21" t="str">
        <x:v>Smoke and filtration co-event</x:v>
      </x:c>
      <x:c r="C39" s="21" t="str">
        <x:v>H2</x:v>
      </x:c>
      <x:c r="D39" s="21" t="str">
        <x:v>Central refuge campuses</x:v>
      </x:c>
      <x:c r="E39" s="69" t="n">
        <x:v>1</x:v>
      </x:c>
      <x:c r="F39" s="69" t="n">
        <x:v>0.65</x:v>
      </x:c>
      <x:c r="G39" s="69" t="n">
        <x:v>1</x:v>
      </x:c>
      <x:c r="H39" s="69" t="n">
        <x:v>0.95</x:v>
      </x:c>
      <x:c r="I39" s="69" t="n">
        <x:v>1</x:v>
      </x:c>
      <x:c r="J39" s="69" t="n">
        <x:v>1</x:v>
      </x:c>
      <x:c r="K39" s="69" t="n">
        <x:v>1</x:v>
      </x:c>
      <x:c r="L39" s="69" t="n">
        <x:v>1</x:v>
      </x:c>
      <x:c r="M39" s="69" t="n">
        <x:v>1</x:v>
      </x:c>
      <x:c r="N39" s="69" t="n">
        <x:v>1</x:v>
      </x:c>
      <x:c r="O39" s="69" t="n">
        <x:v>1.1</x:v>
      </x:c>
      <x:c r="P39" s="69" t="n">
        <x:v>1.1</x:v>
      </x:c>
      <x:c r="Q39" s="69" t="n">
        <x:v>1</x:v>
      </x:c>
      <x:c r="R39" s="69" t="n">
        <x:v>1</x:v>
      </x:c>
      <x:c r="S39" s="69" t="n">
        <x:v>2</x:v>
      </x:c>
      <x:c r="T39" s="70" t="n">
        <x:f>Architecture!$D$8*E39/(Demand!$B$29*O39)</x:f>
        <x:v>1.0227722957564032</x:v>
      </x:c>
      <x:c r="U39" s="70" t="n">
        <x:f>Architecture!$E$8*F39/(Demand!$B$19*P39)</x:f>
        <x:v>0.6615776081424937</x:v>
      </x:c>
      <x:c r="V39" s="70" t="n">
        <x:f>Architecture!$F$8*G39/Demand!$B$10</x:f>
        <x:v>0.4</x:v>
      </x:c>
      <x:c r="W39" s="70" t="n">
        <x:f>Architecture!$G$8*H39/(Demand!$B$11*Q39)</x:f>
        <x:v>0.57</x:v>
      </x:c>
      <x:c r="X39" s="70" t="n">
        <x:f>Architecture!$H$8*I39/Demand!$B$16</x:f>
        <x:v>0.7111111111111111</x:v>
      </x:c>
      <x:c r="Y39" s="70" t="n">
        <x:f>Architecture!$I$8*J39/(Demand!$B$12*R39)</x:f>
        <x:v>0.3</x:v>
      </x:c>
      <x:c r="Z39" s="70" t="n">
        <x:f>Architecture!$J$8*K39/Demand!$B$15</x:f>
        <x:v>0.44100000000000006</x:v>
      </x:c>
      <x:c r="AA39" s="70" t="n">
        <x:f>Architecture!$K$8*Assumptions!$B$33*Assumptions!$B$34*Assumptions!$B$35*L39/Demand!$B$35</x:f>
        <x:v>0.20999999999999996</x:v>
      </x:c>
      <x:c r="AB39" s="70" t="n">
        <x:f>Architecture!$L$8*(Assumptions!$B$8/24)*M39/Demand!$B$9</x:f>
        <x:v>1.68</x:v>
      </x:c>
      <x:c r="AC39" s="70" t="n">
        <x:f>Architecture!$M$8*N39/(Assumptions!$B$8/24)</x:f>
        <x:v>1</x:v>
      </x:c>
      <x:c r="AD39" s="70" t="n">
        <x:f>S39</x:f>
        <x:v>2</x:v>
      </x:c>
      <x:c r="AE39" s="70" t="n">
        <x:f>MIN(T39:AD39)</x:f>
        <x:v>0.20999999999999996</x:v>
      </x:c>
      <x:c r="AF39" s="51" t="str">
        <x:f>IF(AE39&gt;=1,"PASS","FAIL")</x:f>
        <x:v>FAIL</x:v>
      </x:c>
    </x:row>
    <x:row r="40">
      <x:c r="A40" s="21" t="str">
        <x:v>W8</x:v>
      </x:c>
      <x:c r="B40" s="21" t="str">
        <x:v>Smoke and filtration co-event</x:v>
      </x:c>
      <x:c r="C40" s="21" t="str">
        <x:v>H3</x:v>
      </x:c>
      <x:c r="D40" s="21" t="str">
        <x:v>Building-interface mesh</x:v>
      </x:c>
      <x:c r="E40" s="69" t="n">
        <x:v>1</x:v>
      </x:c>
      <x:c r="F40" s="69" t="n">
        <x:v>0.72</x:v>
      </x:c>
      <x:c r="G40" s="69" t="n">
        <x:v>1</x:v>
      </x:c>
      <x:c r="H40" s="69" t="n">
        <x:v>0.95</x:v>
      </x:c>
      <x:c r="I40" s="69" t="n">
        <x:v>1</x:v>
      </x:c>
      <x:c r="J40" s="69" t="n">
        <x:v>1</x:v>
      </x:c>
      <x:c r="K40" s="69" t="n">
        <x:v>1</x:v>
      </x:c>
      <x:c r="L40" s="69" t="n">
        <x:v>1</x:v>
      </x:c>
      <x:c r="M40" s="69" t="n">
        <x:v>1</x:v>
      </x:c>
      <x:c r="N40" s="69" t="n">
        <x:v>1</x:v>
      </x:c>
      <x:c r="O40" s="69" t="n">
        <x:v>1.1</x:v>
      </x:c>
      <x:c r="P40" s="69" t="n">
        <x:v>1.1</x:v>
      </x:c>
      <x:c r="Q40" s="69" t="n">
        <x:v>1</x:v>
      </x:c>
      <x:c r="R40" s="69" t="n">
        <x:v>1</x:v>
      </x:c>
      <x:c r="S40" s="69" t="n">
        <x:v>2</x:v>
      </x:c>
      <x:c r="T40" s="70" t="n">
        <x:f>Architecture!$D$9*E40/(Demand!$B$29*O40)</x:f>
        <x:v>1.278465369695504</x:v>
      </x:c>
      <x:c r="U40" s="70" t="n">
        <x:f>Architecture!$E$9*F40/(Demand!$B$19*P40)</x:f>
        <x:v>0.8660652324774463</x:v>
      </x:c>
      <x:c r="V40" s="70" t="n">
        <x:f>Architecture!$F$9*G40/Demand!$B$10</x:f>
        <x:v>1</x:v>
      </x:c>
      <x:c r="W40" s="70" t="n">
        <x:f>Architecture!$G$9*H40/(Demand!$B$11*Q40)</x:f>
        <x:v>1.045</x:v>
      </x:c>
      <x:c r="X40" s="70" t="n">
        <x:f>Architecture!$H$9*I40/Demand!$B$16</x:f>
        <x:v>1.0222222222222221</x:v>
      </x:c>
      <x:c r="Y40" s="70" t="n">
        <x:f>Architecture!$I$9*J40/(Demand!$B$12*R40)</x:f>
        <x:v>1.04</x:v>
      </x:c>
      <x:c r="Z40" s="70" t="n">
        <x:f>Architecture!$J$9*K40/Demand!$B$15</x:f>
        <x:v>1.0290000000000001</x:v>
      </x:c>
      <x:c r="AA40" s="70" t="n">
        <x:f>Architecture!$K$9*Assumptions!$B$33*Assumptions!$B$34*Assumptions!$B$35*L40/Demand!$B$35</x:f>
        <x:v>1.05</x:v>
      </x:c>
      <x:c r="AB40" s="70" t="n">
        <x:f>Architecture!$L$9*(Assumptions!$B$8/24)*M40/Demand!$B$9</x:f>
        <x:v>1.26</x:v>
      </x:c>
      <x:c r="AC40" s="70" t="n">
        <x:f>Architecture!$M$9*N40/(Assumptions!$B$8/24)</x:f>
        <x:v>1</x:v>
      </x:c>
      <x:c r="AD40" s="70" t="n">
        <x:f>S40</x:f>
        <x:v>2</x:v>
      </x:c>
      <x:c r="AE40" s="70" t="n">
        <x:f>MIN(T40:AD40)</x:f>
        <x:v>0.8660652324774463</x:v>
      </x:c>
      <x:c r="AF40" s="51" t="str">
        <x:f>IF(AE40&gt;=1,"PASS","FAIL")</x:f>
        <x:v>FAIL</x:v>
      </x:c>
    </x:row>
    <x:row r="41">
      <x:c r="A41" s="21" t="str">
        <x:v>W8</x:v>
      </x:c>
      <x:c r="B41" s="21" t="str">
        <x:v>Smoke and filtration co-event</x:v>
      </x:c>
      <x:c r="C41" s="21" t="str">
        <x:v>H4</x:v>
      </x:c>
      <x:c r="D41" s="21" t="str">
        <x:v>Layered PTS-50 group</x:v>
      </x:c>
      <x:c r="E41" s="69" t="n">
        <x:v>1</x:v>
      </x:c>
      <x:c r="F41" s="69" t="n">
        <x:v>0.7</x:v>
      </x:c>
      <x:c r="G41" s="69" t="n">
        <x:v>1</x:v>
      </x:c>
      <x:c r="H41" s="69" t="n">
        <x:v>0.95</x:v>
      </x:c>
      <x:c r="I41" s="69" t="n">
        <x:v>1</x:v>
      </x:c>
      <x:c r="J41" s="69" t="n">
        <x:v>1</x:v>
      </x:c>
      <x:c r="K41" s="69" t="n">
        <x:v>1</x:v>
      </x:c>
      <x:c r="L41" s="69" t="n">
        <x:v>1</x:v>
      </x:c>
      <x:c r="M41" s="69" t="n">
        <x:v>1</x:v>
      </x:c>
      <x:c r="N41" s="69" t="n">
        <x:v>1</x:v>
      </x:c>
      <x:c r="O41" s="69" t="n">
        <x:v>1.1</x:v>
      </x:c>
      <x:c r="P41" s="69" t="n">
        <x:v>1.1</x:v>
      </x:c>
      <x:c r="Q41" s="69" t="n">
        <x:v>1</x:v>
      </x:c>
      <x:c r="R41" s="69" t="n">
        <x:v>1</x:v>
      </x:c>
      <x:c r="S41" s="69" t="n">
        <x:v>2</x:v>
      </x:c>
      <x:c r="T41" s="70" t="n">
        <x:f>Architecture!$D$10*E41/(Demand!$B$29*O41)</x:f>
        <x:v>1.5341584436346045</x:v>
      </x:c>
      <x:c r="U41" s="70" t="n">
        <x:f>Architecture!$E$10*F41/(Demand!$B$19*P41)</x:f>
        <x:v>1.1658570437196392</x:v>
      </x:c>
      <x:c r="V41" s="70" t="n">
        <x:f>Architecture!$F$10*G41/Demand!$B$10</x:f>
        <x:v>1.1111111111111112</x:v>
      </x:c>
      <x:c r="W41" s="70" t="n">
        <x:f>Architecture!$G$10*H41/(Demand!$B$11*Q41)</x:f>
        <x:v>1.2825</x:v>
      </x:c>
      <x:c r="X41" s="70" t="n">
        <x:f>Architecture!$H$10*I41/Demand!$B$16</x:f>
        <x:v>1.3333333333333333</x:v>
      </x:c>
      <x:c r="Y41" s="70" t="n">
        <x:f>Architecture!$I$10*J41/(Demand!$B$12*R41)</x:f>
        <x:v>1.4</x:v>
      </x:c>
      <x:c r="Z41" s="70" t="n">
        <x:f>Architecture!$J$10*K41/Demand!$B$15</x:f>
        <x:v>1.2005000000000001</x:v>
      </x:c>
      <x:c r="AA41" s="70" t="n">
        <x:f>Architecture!$K$10*Assumptions!$B$33*Assumptions!$B$34*Assumptions!$B$35*L41/Demand!$B$35</x:f>
        <x:v>1.26</x:v>
      </x:c>
      <x:c r="AB41" s="70" t="n">
        <x:f>Architecture!$L$10*(Assumptions!$B$8/24)*M41/Demand!$B$9</x:f>
        <x:v>2.1</x:v>
      </x:c>
      <x:c r="AC41" s="70" t="n">
        <x:f>Architecture!$M$10*N41/(Assumptions!$B$8/24)</x:f>
        <x:v>1.1428571428571428</x:v>
      </x:c>
      <x:c r="AD41" s="70" t="n">
        <x:f>S41</x:f>
        <x:v>2</x:v>
      </x:c>
      <x:c r="AE41" s="70" t="n">
        <x:f>MIN(T41:AD41)</x:f>
        <x:v>1.1111111111111112</x:v>
      </x:c>
      <x:c r="AF41" s="51" t="str">
        <x:f>IF(AE41&gt;=1,"PASS","FAIL")</x:f>
        <x:v>PASS</x:v>
      </x:c>
    </x:row>
    <x:row r="42">
      <x:c r="A42" s="21" t="str">
        <x:v>W9</x:v>
      </x:c>
      <x:c r="B42" s="21" t="str">
        <x:v>Medical-device demand surge</x:v>
      </x:c>
      <x:c r="C42" s="21" t="str">
        <x:v>H1</x:v>
      </x:c>
      <x:c r="D42" s="21" t="str">
        <x:v>Facility power park</x:v>
      </x:c>
      <x:c r="E42" s="69" t="n">
        <x:v>1</x:v>
      </x:c>
      <x:c r="F42" s="69" t="n">
        <x:v>1</x:v>
      </x:c>
      <x:c r="G42" s="69" t="n">
        <x:v>1</x:v>
      </x:c>
      <x:c r="H42" s="69" t="n">
        <x:v>1</x:v>
      </x:c>
      <x:c r="I42" s="69" t="n">
        <x:v>1</x:v>
      </x:c>
      <x:c r="J42" s="69" t="n">
        <x:v>1</x:v>
      </x:c>
      <x:c r="K42" s="69" t="n">
        <x:v>1</x:v>
      </x:c>
      <x:c r="L42" s="69" t="n">
        <x:v>1</x:v>
      </x:c>
      <x:c r="M42" s="69" t="n">
        <x:v>1</x:v>
      </x:c>
      <x:c r="N42" s="69" t="n">
        <x:v>1</x:v>
      </x:c>
      <x:c r="O42" s="69" t="n">
        <x:v>1</x:v>
      </x:c>
      <x:c r="P42" s="69" t="n">
        <x:v>1</x:v>
      </x:c>
      <x:c r="Q42" s="69" t="n">
        <x:v>1.3</x:v>
      </x:c>
      <x:c r="R42" s="69" t="n">
        <x:v>1</x:v>
      </x:c>
      <x:c r="S42" s="69" t="n">
        <x:v>2</x:v>
      </x:c>
      <x:c r="T42" s="70" t="n">
        <x:f>Architecture!$D$7*E42/(Demand!$B$29*O42)</x:f>
        <x:v>1.4063119066650545</x:v>
      </x:c>
      <x:c r="U42" s="70" t="n">
        <x:f>Architecture!$E$7*F42/(Demand!$B$19*P42)</x:f>
        <x:v>0.6106870229007634</x:v>
      </x:c>
      <x:c r="V42" s="70" t="n">
        <x:f>Architecture!$F$7*G42/Demand!$B$10</x:f>
        <x:v>0.5</x:v>
      </x:c>
      <x:c r="W42" s="70" t="n">
        <x:f>Architecture!$G$7*H42/(Demand!$B$11*Q42)</x:f>
        <x:v>0.38461538461538464</x:v>
      </x:c>
      <x:c r="X42" s="70" t="n">
        <x:f>Architecture!$H$7*I42/Demand!$B$16</x:f>
        <x:v>0.5333333333333333</x:v>
      </x:c>
      <x:c r="Y42" s="70" t="n">
        <x:f>Architecture!$I$7*J42/(Demand!$B$12*R42)</x:f>
        <x:v>0.24</x:v>
      </x:c>
      <x:c r="Z42" s="70" t="n">
        <x:f>Architecture!$J$7*K42/Demand!$B$15</x:f>
        <x:v>0.392</x:v>
      </x:c>
      <x:c r="AA42" s="70" t="n">
        <x:f>Architecture!$K$7*Assumptions!$B$33*Assumptions!$B$34*Assumptions!$B$35*L42/Demand!$B$35</x:f>
        <x:v>0.35</x:v>
      </x:c>
      <x:c r="AB42" s="70" t="n">
        <x:f>Architecture!$L$7*(Assumptions!$B$8/24)*M42/Demand!$B$9</x:f>
        <x:v>0.7</x:v>
      </x:c>
      <x:c r="AC42" s="70" t="n">
        <x:f>Architecture!$M$7*N42/(Assumptions!$B$8/24)</x:f>
        <x:v>1</x:v>
      </x:c>
      <x:c r="AD42" s="70" t="n">
        <x:f>S42</x:f>
        <x:v>2</x:v>
      </x:c>
      <x:c r="AE42" s="70" t="n">
        <x:f>MIN(T42:AD42)</x:f>
        <x:v>0.24</x:v>
      </x:c>
      <x:c r="AF42" s="51" t="str">
        <x:f>IF(AE42&gt;=1,"PASS","FAIL")</x:f>
        <x:v>FAIL</x:v>
      </x:c>
    </x:row>
    <x:row r="43">
      <x:c r="A43" s="21" t="str">
        <x:v>W9</x:v>
      </x:c>
      <x:c r="B43" s="21" t="str">
        <x:v>Medical-device demand surge</x:v>
      </x:c>
      <x:c r="C43" s="21" t="str">
        <x:v>H2</x:v>
      </x:c>
      <x:c r="D43" s="21" t="str">
        <x:v>Central refuge campuses</x:v>
      </x:c>
      <x:c r="E43" s="69" t="n">
        <x:v>1</x:v>
      </x:c>
      <x:c r="F43" s="69" t="n">
        <x:v>1</x:v>
      </x:c>
      <x:c r="G43" s="69" t="n">
        <x:v>1</x:v>
      </x:c>
      <x:c r="H43" s="69" t="n">
        <x:v>1</x:v>
      </x:c>
      <x:c r="I43" s="69" t="n">
        <x:v>1</x:v>
      </x:c>
      <x:c r="J43" s="69" t="n">
        <x:v>1</x:v>
      </x:c>
      <x:c r="K43" s="69" t="n">
        <x:v>1</x:v>
      </x:c>
      <x:c r="L43" s="69" t="n">
        <x:v>1</x:v>
      </x:c>
      <x:c r="M43" s="69" t="n">
        <x:v>1</x:v>
      </x:c>
      <x:c r="N43" s="69" t="n">
        <x:v>1</x:v>
      </x:c>
      <x:c r="O43" s="69" t="n">
        <x:v>1</x:v>
      </x:c>
      <x:c r="P43" s="69" t="n">
        <x:v>1</x:v>
      </x:c>
      <x:c r="Q43" s="69" t="n">
        <x:v>1.3</x:v>
      </x:c>
      <x:c r="R43" s="69" t="n">
        <x:v>1</x:v>
      </x:c>
      <x:c r="S43" s="69" t="n">
        <x:v>2</x:v>
      </x:c>
      <x:c r="T43" s="70" t="n">
        <x:f>Architecture!$D$8*E43/(Demand!$B$29*O43)</x:f>
        <x:v>1.1250495253320436</x:v>
      </x:c>
      <x:c r="U43" s="70" t="n">
        <x:f>Architecture!$E$8*F43/(Demand!$B$19*P43)</x:f>
        <x:v>1.1195928753180662</x:v>
      </x:c>
      <x:c r="V43" s="70" t="n">
        <x:f>Architecture!$F$8*G43/Demand!$B$10</x:f>
        <x:v>0.4</x:v>
      </x:c>
      <x:c r="W43" s="70" t="n">
        <x:f>Architecture!$G$8*H43/(Demand!$B$11*Q43)</x:f>
        <x:v>0.46153846153846156</x:v>
      </x:c>
      <x:c r="X43" s="70" t="n">
        <x:f>Architecture!$H$8*I43/Demand!$B$16</x:f>
        <x:v>0.7111111111111111</x:v>
      </x:c>
      <x:c r="Y43" s="70" t="n">
        <x:f>Architecture!$I$8*J43/(Demand!$B$12*R43)</x:f>
        <x:v>0.3</x:v>
      </x:c>
      <x:c r="Z43" s="70" t="n">
        <x:f>Architecture!$J$8*K43/Demand!$B$15</x:f>
        <x:v>0.44100000000000006</x:v>
      </x:c>
      <x:c r="AA43" s="70" t="n">
        <x:f>Architecture!$K$8*Assumptions!$B$33*Assumptions!$B$34*Assumptions!$B$35*L43/Demand!$B$35</x:f>
        <x:v>0.20999999999999996</x:v>
      </x:c>
      <x:c r="AB43" s="70" t="n">
        <x:f>Architecture!$L$8*(Assumptions!$B$8/24)*M43/Demand!$B$9</x:f>
        <x:v>1.68</x:v>
      </x:c>
      <x:c r="AC43" s="70" t="n">
        <x:f>Architecture!$M$8*N43/(Assumptions!$B$8/24)</x:f>
        <x:v>1</x:v>
      </x:c>
      <x:c r="AD43" s="70" t="n">
        <x:f>S43</x:f>
        <x:v>2</x:v>
      </x:c>
      <x:c r="AE43" s="70" t="n">
        <x:f>MIN(T43:AD43)</x:f>
        <x:v>0.20999999999999996</x:v>
      </x:c>
      <x:c r="AF43" s="51" t="str">
        <x:f>IF(AE43&gt;=1,"PASS","FAIL")</x:f>
        <x:v>FAIL</x:v>
      </x:c>
    </x:row>
    <x:row r="44">
      <x:c r="A44" s="21" t="str">
        <x:v>W9</x:v>
      </x:c>
      <x:c r="B44" s="21" t="str">
        <x:v>Medical-device demand surge</x:v>
      </x:c>
      <x:c r="C44" s="21" t="str">
        <x:v>H3</x:v>
      </x:c>
      <x:c r="D44" s="21" t="str">
        <x:v>Building-interface mesh</x:v>
      </x:c>
      <x:c r="E44" s="69" t="n">
        <x:v>1</x:v>
      </x:c>
      <x:c r="F44" s="69" t="n">
        <x:v>1</x:v>
      </x:c>
      <x:c r="G44" s="69" t="n">
        <x:v>1</x:v>
      </x:c>
      <x:c r="H44" s="69" t="n">
        <x:v>1</x:v>
      </x:c>
      <x:c r="I44" s="69" t="n">
        <x:v>1</x:v>
      </x:c>
      <x:c r="J44" s="69" t="n">
        <x:v>1</x:v>
      </x:c>
      <x:c r="K44" s="69" t="n">
        <x:v>1</x:v>
      </x:c>
      <x:c r="L44" s="69" t="n">
        <x:v>1</x:v>
      </x:c>
      <x:c r="M44" s="69" t="n">
        <x:v>1</x:v>
      </x:c>
      <x:c r="N44" s="69" t="n">
        <x:v>1</x:v>
      </x:c>
      <x:c r="O44" s="69" t="n">
        <x:v>1</x:v>
      </x:c>
      <x:c r="P44" s="69" t="n">
        <x:v>1</x:v>
      </x:c>
      <x:c r="Q44" s="69" t="n">
        <x:v>1.3</x:v>
      </x:c>
      <x:c r="R44" s="69" t="n">
        <x:v>1</x:v>
      </x:c>
      <x:c r="S44" s="69" t="n">
        <x:v>2</x:v>
      </x:c>
      <x:c r="T44" s="70" t="n">
        <x:f>Architecture!$D$9*E44/(Demand!$B$29*O44)</x:f>
        <x:v>1.4063119066650545</x:v>
      </x:c>
      <x:c r="U44" s="70" t="n">
        <x:f>Architecture!$E$9*F44/(Demand!$B$19*P44)</x:f>
        <x:v>1.3231552162849873</x:v>
      </x:c>
      <x:c r="V44" s="70" t="n">
        <x:f>Architecture!$F$9*G44/Demand!$B$10</x:f>
        <x:v>1</x:v>
      </x:c>
      <x:c r="W44" s="70" t="n">
        <x:f>Architecture!$G$9*H44/(Demand!$B$11*Q44)</x:f>
        <x:v>0.8461538461538461</x:v>
      </x:c>
      <x:c r="X44" s="70" t="n">
        <x:f>Architecture!$H$9*I44/Demand!$B$16</x:f>
        <x:v>1.0222222222222221</x:v>
      </x:c>
      <x:c r="Y44" s="70" t="n">
        <x:f>Architecture!$I$9*J44/(Demand!$B$12*R44)</x:f>
        <x:v>1.04</x:v>
      </x:c>
      <x:c r="Z44" s="70" t="n">
        <x:f>Architecture!$J$9*K44/Demand!$B$15</x:f>
        <x:v>1.0290000000000001</x:v>
      </x:c>
      <x:c r="AA44" s="70" t="n">
        <x:f>Architecture!$K$9*Assumptions!$B$33*Assumptions!$B$34*Assumptions!$B$35*L44/Demand!$B$35</x:f>
        <x:v>1.05</x:v>
      </x:c>
      <x:c r="AB44" s="70" t="n">
        <x:f>Architecture!$L$9*(Assumptions!$B$8/24)*M44/Demand!$B$9</x:f>
        <x:v>1.26</x:v>
      </x:c>
      <x:c r="AC44" s="70" t="n">
        <x:f>Architecture!$M$9*N44/(Assumptions!$B$8/24)</x:f>
        <x:v>1</x:v>
      </x:c>
      <x:c r="AD44" s="70" t="n">
        <x:f>S44</x:f>
        <x:v>2</x:v>
      </x:c>
      <x:c r="AE44" s="70" t="n">
        <x:f>MIN(T44:AD44)</x:f>
        <x:v>0.8461538461538461</x:v>
      </x:c>
      <x:c r="AF44" s="51" t="str">
        <x:f>IF(AE44&gt;=1,"PASS","FAIL")</x:f>
        <x:v>FAIL</x:v>
      </x:c>
    </x:row>
    <x:row r="45">
      <x:c r="A45" s="21" t="str">
        <x:v>W9</x:v>
      </x:c>
      <x:c r="B45" s="21" t="str">
        <x:v>Medical-device demand surge</x:v>
      </x:c>
      <x:c r="C45" s="21" t="str">
        <x:v>H4</x:v>
      </x:c>
      <x:c r="D45" s="21" t="str">
        <x:v>Layered PTS-50 group</x:v>
      </x:c>
      <x:c r="E45" s="69" t="n">
        <x:v>1</x:v>
      </x:c>
      <x:c r="F45" s="69" t="n">
        <x:v>1</x:v>
      </x:c>
      <x:c r="G45" s="69" t="n">
        <x:v>1</x:v>
      </x:c>
      <x:c r="H45" s="69" t="n">
        <x:v>1</x:v>
      </x:c>
      <x:c r="I45" s="69" t="n">
        <x:v>1</x:v>
      </x:c>
      <x:c r="J45" s="69" t="n">
        <x:v>1</x:v>
      </x:c>
      <x:c r="K45" s="69" t="n">
        <x:v>1</x:v>
      </x:c>
      <x:c r="L45" s="69" t="n">
        <x:v>1</x:v>
      </x:c>
      <x:c r="M45" s="69" t="n">
        <x:v>1</x:v>
      </x:c>
      <x:c r="N45" s="69" t="n">
        <x:v>1</x:v>
      </x:c>
      <x:c r="O45" s="69" t="n">
        <x:v>1</x:v>
      </x:c>
      <x:c r="P45" s="69" t="n">
        <x:v>1</x:v>
      </x:c>
      <x:c r="Q45" s="69" t="n">
        <x:v>1.3</x:v>
      </x:c>
      <x:c r="R45" s="69" t="n">
        <x:v>1</x:v>
      </x:c>
      <x:c r="S45" s="69" t="n">
        <x:v>2</x:v>
      </x:c>
      <x:c r="T45" s="70" t="n">
        <x:f>Architecture!$D$10*E45/(Demand!$B$29*O45)</x:f>
        <x:v>1.6875742879980653</x:v>
      </x:c>
      <x:c r="U45" s="70" t="n">
        <x:f>Architecture!$E$10*F45/(Demand!$B$19*P45)</x:f>
        <x:v>1.8320610687022902</x:v>
      </x:c>
      <x:c r="V45" s="70" t="n">
        <x:f>Architecture!$F$10*G45/Demand!$B$10</x:f>
        <x:v>1.1111111111111112</x:v>
      </x:c>
      <x:c r="W45" s="70" t="n">
        <x:f>Architecture!$G$10*H45/(Demand!$B$11*Q45)</x:f>
        <x:v>1.0384615384615385</x:v>
      </x:c>
      <x:c r="X45" s="70" t="n">
        <x:f>Architecture!$H$10*I45/Demand!$B$16</x:f>
        <x:v>1.3333333333333333</x:v>
      </x:c>
      <x:c r="Y45" s="70" t="n">
        <x:f>Architecture!$I$10*J45/(Demand!$B$12*R45)</x:f>
        <x:v>1.4</x:v>
      </x:c>
      <x:c r="Z45" s="70" t="n">
        <x:f>Architecture!$J$10*K45/Demand!$B$15</x:f>
        <x:v>1.2005000000000001</x:v>
      </x:c>
      <x:c r="AA45" s="70" t="n">
        <x:f>Architecture!$K$10*Assumptions!$B$33*Assumptions!$B$34*Assumptions!$B$35*L45/Demand!$B$35</x:f>
        <x:v>1.26</x:v>
      </x:c>
      <x:c r="AB45" s="70" t="n">
        <x:f>Architecture!$L$10*(Assumptions!$B$8/24)*M45/Demand!$B$9</x:f>
        <x:v>2.1</x:v>
      </x:c>
      <x:c r="AC45" s="70" t="n">
        <x:f>Architecture!$M$10*N45/(Assumptions!$B$8/24)</x:f>
        <x:v>1.1428571428571428</x:v>
      </x:c>
      <x:c r="AD45" s="70" t="n">
        <x:f>S45</x:f>
        <x:v>2</x:v>
      </x:c>
      <x:c r="AE45" s="70" t="n">
        <x:f>MIN(T45:AD45)</x:f>
        <x:v>1.0384615384615385</x:v>
      </x:c>
      <x:c r="AF45" s="51" t="str">
        <x:f>IF(AE45&gt;=1,"PASS","FAIL")</x:f>
        <x:v>PASS</x:v>
      </x:c>
    </x:row>
    <x:row r="46">
      <x:c r="A46" s="21" t="str">
        <x:v>W10</x:v>
      </x:c>
      <x:c r="B46" s="21" t="str">
        <x:v>One refuge cluster unavailable</x:v>
      </x:c>
      <x:c r="C46" s="21" t="str">
        <x:v>H1</x:v>
      </x:c>
      <x:c r="D46" s="21" t="str">
        <x:v>Facility power park</x:v>
      </x:c>
      <x:c r="E46" s="69" t="n">
        <x:v>1</x:v>
      </x:c>
      <x:c r="F46" s="69" t="n">
        <x:v>0.75</x:v>
      </x:c>
      <x:c r="G46" s="69" t="n">
        <x:v>0.75</x:v>
      </x:c>
      <x:c r="H46" s="69" t="n">
        <x:v>1</x:v>
      </x:c>
      <x:c r="I46" s="69" t="n">
        <x:v>1</x:v>
      </x:c>
      <x:c r="J46" s="69" t="n">
        <x:v>1</x:v>
      </x:c>
      <x:c r="K46" s="69" t="n">
        <x:v>1</x:v>
      </x:c>
      <x:c r="L46" s="69" t="n">
        <x:v>1</x:v>
      </x:c>
      <x:c r="M46" s="69" t="n">
        <x:v>0.8</x:v>
      </x:c>
      <x:c r="N46" s="69" t="n">
        <x:v>1</x:v>
      </x:c>
      <x:c r="O46" s="69" t="n">
        <x:v>1</x:v>
      </x:c>
      <x:c r="P46" s="69" t="n">
        <x:v>1</x:v>
      </x:c>
      <x:c r="Q46" s="69" t="n">
        <x:v>1</x:v>
      </x:c>
      <x:c r="R46" s="69" t="n">
        <x:v>1</x:v>
      </x:c>
      <x:c r="S46" s="69" t="n">
        <x:v>2</x:v>
      </x:c>
      <x:c r="T46" s="70" t="n">
        <x:f>Architecture!$D$7*E46/(Demand!$B$29*O46)</x:f>
        <x:v>1.4063119066650545</x:v>
      </x:c>
      <x:c r="U46" s="70" t="n">
        <x:f>Architecture!$E$7*F46/(Demand!$B$19*P46)</x:f>
        <x:v>0.45801526717557256</x:v>
      </x:c>
      <x:c r="V46" s="70" t="n">
        <x:f>Architecture!$F$7*G46/Demand!$B$10</x:f>
        <x:v>0.375</x:v>
      </x:c>
      <x:c r="W46" s="70" t="n">
        <x:f>Architecture!$G$7*H46/(Demand!$B$11*Q46)</x:f>
        <x:v>0.5</x:v>
      </x:c>
      <x:c r="X46" s="70" t="n">
        <x:f>Architecture!$H$7*I46/Demand!$B$16</x:f>
        <x:v>0.5333333333333333</x:v>
      </x:c>
      <x:c r="Y46" s="70" t="n">
        <x:f>Architecture!$I$7*J46/(Demand!$B$12*R46)</x:f>
        <x:v>0.24</x:v>
      </x:c>
      <x:c r="Z46" s="70" t="n">
        <x:f>Architecture!$J$7*K46/Demand!$B$15</x:f>
        <x:v>0.392</x:v>
      </x:c>
      <x:c r="AA46" s="70" t="n">
        <x:f>Architecture!$K$7*Assumptions!$B$33*Assumptions!$B$34*Assumptions!$B$35*L46/Demand!$B$35</x:f>
        <x:v>0.35</x:v>
      </x:c>
      <x:c r="AB46" s="70" t="n">
        <x:f>Architecture!$L$7*(Assumptions!$B$8/24)*M46/Demand!$B$9</x:f>
        <x:v>0.56</x:v>
      </x:c>
      <x:c r="AC46" s="70" t="n">
        <x:f>Architecture!$M$7*N46/(Assumptions!$B$8/24)</x:f>
        <x:v>1</x:v>
      </x:c>
      <x:c r="AD46" s="70" t="n">
        <x:f>S46</x:f>
        <x:v>2</x:v>
      </x:c>
      <x:c r="AE46" s="70" t="n">
        <x:f>MIN(T46:AD46)</x:f>
        <x:v>0.24</x:v>
      </x:c>
      <x:c r="AF46" s="51" t="str">
        <x:f>IF(AE46&gt;=1,"PASS","FAIL")</x:f>
        <x:v>FAIL</x:v>
      </x:c>
    </x:row>
    <x:row r="47">
      <x:c r="A47" s="21" t="str">
        <x:v>W10</x:v>
      </x:c>
      <x:c r="B47" s="21" t="str">
        <x:v>One refuge cluster unavailable</x:v>
      </x:c>
      <x:c r="C47" s="21" t="str">
        <x:v>H2</x:v>
      </x:c>
      <x:c r="D47" s="21" t="str">
        <x:v>Central refuge campuses</x:v>
      </x:c>
      <x:c r="E47" s="69" t="n">
        <x:v>1</x:v>
      </x:c>
      <x:c r="F47" s="69" t="n">
        <x:v>0.75</x:v>
      </x:c>
      <x:c r="G47" s="69" t="n">
        <x:v>0.7</x:v>
      </x:c>
      <x:c r="H47" s="69" t="n">
        <x:v>1</x:v>
      </x:c>
      <x:c r="I47" s="69" t="n">
        <x:v>1</x:v>
      </x:c>
      <x:c r="J47" s="69" t="n">
        <x:v>1</x:v>
      </x:c>
      <x:c r="K47" s="69" t="n">
        <x:v>1</x:v>
      </x:c>
      <x:c r="L47" s="69" t="n">
        <x:v>1</x:v>
      </x:c>
      <x:c r="M47" s="69" t="n">
        <x:v>0.8</x:v>
      </x:c>
      <x:c r="N47" s="69" t="n">
        <x:v>1</x:v>
      </x:c>
      <x:c r="O47" s="69" t="n">
        <x:v>1</x:v>
      </x:c>
      <x:c r="P47" s="69" t="n">
        <x:v>1</x:v>
      </x:c>
      <x:c r="Q47" s="69" t="n">
        <x:v>1</x:v>
      </x:c>
      <x:c r="R47" s="69" t="n">
        <x:v>1</x:v>
      </x:c>
      <x:c r="S47" s="69" t="n">
        <x:v>2</x:v>
      </x:c>
      <x:c r="T47" s="70" t="n">
        <x:f>Architecture!$D$8*E47/(Demand!$B$29*O47)</x:f>
        <x:v>1.1250495253320436</x:v>
      </x:c>
      <x:c r="U47" s="70" t="n">
        <x:f>Architecture!$E$8*F47/(Demand!$B$19*P47)</x:f>
        <x:v>0.8396946564885497</x:v>
      </x:c>
      <x:c r="V47" s="70" t="n">
        <x:f>Architecture!$F$8*G47/Demand!$B$10</x:f>
        <x:v>0.28</x:v>
      </x:c>
      <x:c r="W47" s="70" t="n">
        <x:f>Architecture!$G$8*H47/(Demand!$B$11*Q47)</x:f>
        <x:v>0.6</x:v>
      </x:c>
      <x:c r="X47" s="70" t="n">
        <x:f>Architecture!$H$8*I47/Demand!$B$16</x:f>
        <x:v>0.7111111111111111</x:v>
      </x:c>
      <x:c r="Y47" s="70" t="n">
        <x:f>Architecture!$I$8*J47/(Demand!$B$12*R47)</x:f>
        <x:v>0.3</x:v>
      </x:c>
      <x:c r="Z47" s="70" t="n">
        <x:f>Architecture!$J$8*K47/Demand!$B$15</x:f>
        <x:v>0.44100000000000006</x:v>
      </x:c>
      <x:c r="AA47" s="70" t="n">
        <x:f>Architecture!$K$8*Assumptions!$B$33*Assumptions!$B$34*Assumptions!$B$35*L47/Demand!$B$35</x:f>
        <x:v>0.20999999999999996</x:v>
      </x:c>
      <x:c r="AB47" s="70" t="n">
        <x:f>Architecture!$L$8*(Assumptions!$B$8/24)*M47/Demand!$B$9</x:f>
        <x:v>1.344</x:v>
      </x:c>
      <x:c r="AC47" s="70" t="n">
        <x:f>Architecture!$M$8*N47/(Assumptions!$B$8/24)</x:f>
        <x:v>1</x:v>
      </x:c>
      <x:c r="AD47" s="70" t="n">
        <x:f>S47</x:f>
        <x:v>2</x:v>
      </x:c>
      <x:c r="AE47" s="70" t="n">
        <x:f>MIN(T47:AD47)</x:f>
        <x:v>0.20999999999999996</x:v>
      </x:c>
      <x:c r="AF47" s="51" t="str">
        <x:f>IF(AE47&gt;=1,"PASS","FAIL")</x:f>
        <x:v>FAIL</x:v>
      </x:c>
    </x:row>
    <x:row r="48">
      <x:c r="A48" s="21" t="str">
        <x:v>W10</x:v>
      </x:c>
      <x:c r="B48" s="21" t="str">
        <x:v>One refuge cluster unavailable</x:v>
      </x:c>
      <x:c r="C48" s="21" t="str">
        <x:v>H3</x:v>
      </x:c>
      <x:c r="D48" s="21" t="str">
        <x:v>Building-interface mesh</x:v>
      </x:c>
      <x:c r="E48" s="69" t="n">
        <x:v>1</x:v>
      </x:c>
      <x:c r="F48" s="69" t="n">
        <x:v>0.9</x:v>
      </x:c>
      <x:c r="G48" s="69" t="n">
        <x:v>0.9</x:v>
      </x:c>
      <x:c r="H48" s="69" t="n">
        <x:v>1</x:v>
      </x:c>
      <x:c r="I48" s="69" t="n">
        <x:v>1</x:v>
      </x:c>
      <x:c r="J48" s="69" t="n">
        <x:v>1</x:v>
      </x:c>
      <x:c r="K48" s="69" t="n">
        <x:v>1</x:v>
      </x:c>
      <x:c r="L48" s="69" t="n">
        <x:v>1</x:v>
      </x:c>
      <x:c r="M48" s="69" t="n">
        <x:v>0.8</x:v>
      </x:c>
      <x:c r="N48" s="69" t="n">
        <x:v>1</x:v>
      </x:c>
      <x:c r="O48" s="69" t="n">
        <x:v>1</x:v>
      </x:c>
      <x:c r="P48" s="69" t="n">
        <x:v>1</x:v>
      </x:c>
      <x:c r="Q48" s="69" t="n">
        <x:v>1</x:v>
      </x:c>
      <x:c r="R48" s="69" t="n">
        <x:v>1</x:v>
      </x:c>
      <x:c r="S48" s="69" t="n">
        <x:v>2</x:v>
      </x:c>
      <x:c r="T48" s="70" t="n">
        <x:f>Architecture!$D$9*E48/(Demand!$B$29*O48)</x:f>
        <x:v>1.4063119066650545</x:v>
      </x:c>
      <x:c r="U48" s="70" t="n">
        <x:f>Architecture!$E$9*F48/(Demand!$B$19*P48)</x:f>
        <x:v>1.1908396946564888</x:v>
      </x:c>
      <x:c r="V48" s="70" t="n">
        <x:f>Architecture!$F$9*G48/Demand!$B$10</x:f>
        <x:v>0.9</x:v>
      </x:c>
      <x:c r="W48" s="70" t="n">
        <x:f>Architecture!$G$9*H48/(Demand!$B$11*Q48)</x:f>
        <x:v>1.1</x:v>
      </x:c>
      <x:c r="X48" s="70" t="n">
        <x:f>Architecture!$H$9*I48/Demand!$B$16</x:f>
        <x:v>1.0222222222222221</x:v>
      </x:c>
      <x:c r="Y48" s="70" t="n">
        <x:f>Architecture!$I$9*J48/(Demand!$B$12*R48)</x:f>
        <x:v>1.04</x:v>
      </x:c>
      <x:c r="Z48" s="70" t="n">
        <x:f>Architecture!$J$9*K48/Demand!$B$15</x:f>
        <x:v>1.0290000000000001</x:v>
      </x:c>
      <x:c r="AA48" s="70" t="n">
        <x:f>Architecture!$K$9*Assumptions!$B$33*Assumptions!$B$34*Assumptions!$B$35*L48/Demand!$B$35</x:f>
        <x:v>1.05</x:v>
      </x:c>
      <x:c r="AB48" s="70" t="n">
        <x:f>Architecture!$L$9*(Assumptions!$B$8/24)*M48/Demand!$B$9</x:f>
        <x:v>1.008</x:v>
      </x:c>
      <x:c r="AC48" s="70" t="n">
        <x:f>Architecture!$M$9*N48/(Assumptions!$B$8/24)</x:f>
        <x:v>1</x:v>
      </x:c>
      <x:c r="AD48" s="70" t="n">
        <x:f>S48</x:f>
        <x:v>2</x:v>
      </x:c>
      <x:c r="AE48" s="70" t="n">
        <x:f>MIN(T48:AD48)</x:f>
        <x:v>0.9</x:v>
      </x:c>
      <x:c r="AF48" s="51" t="str">
        <x:f>IF(AE48&gt;=1,"PASS","FAIL")</x:f>
        <x:v>FAIL</x:v>
      </x:c>
    </x:row>
    <x:row r="49">
      <x:c r="A49" s="21" t="str">
        <x:v>W10</x:v>
      </x:c>
      <x:c r="B49" s="21" t="str">
        <x:v>One refuge cluster unavailable</x:v>
      </x:c>
      <x:c r="C49" s="21" t="str">
        <x:v>H4</x:v>
      </x:c>
      <x:c r="D49" s="21" t="str">
        <x:v>Layered PTS-50 group</x:v>
      </x:c>
      <x:c r="E49" s="69" t="n">
        <x:v>1</x:v>
      </x:c>
      <x:c r="F49" s="69" t="n">
        <x:v>0.8</x:v>
      </x:c>
      <x:c r="G49" s="69" t="n">
        <x:v>0.95</x:v>
      </x:c>
      <x:c r="H49" s="69" t="n">
        <x:v>1</x:v>
      </x:c>
      <x:c r="I49" s="69" t="n">
        <x:v>1</x:v>
      </x:c>
      <x:c r="J49" s="69" t="n">
        <x:v>1</x:v>
      </x:c>
      <x:c r="K49" s="69" t="n">
        <x:v>1</x:v>
      </x:c>
      <x:c r="L49" s="69" t="n">
        <x:v>1</x:v>
      </x:c>
      <x:c r="M49" s="69" t="n">
        <x:v>0.8</x:v>
      </x:c>
      <x:c r="N49" s="69" t="n">
        <x:v>1</x:v>
      </x:c>
      <x:c r="O49" s="69" t="n">
        <x:v>1</x:v>
      </x:c>
      <x:c r="P49" s="69" t="n">
        <x:v>1</x:v>
      </x:c>
      <x:c r="Q49" s="69" t="n">
        <x:v>1</x:v>
      </x:c>
      <x:c r="R49" s="69" t="n">
        <x:v>1</x:v>
      </x:c>
      <x:c r="S49" s="69" t="n">
        <x:v>2</x:v>
      </x:c>
      <x:c r="T49" s="70" t="n">
        <x:f>Architecture!$D$10*E49/(Demand!$B$29*O49)</x:f>
        <x:v>1.6875742879980653</x:v>
      </x:c>
      <x:c r="U49" s="70" t="n">
        <x:f>Architecture!$E$10*F49/(Demand!$B$19*P49)</x:f>
        <x:v>1.4656488549618323</x:v>
      </x:c>
      <x:c r="V49" s="70" t="n">
        <x:f>Architecture!$F$10*G49/Demand!$B$10</x:f>
        <x:v>1.0555555555555556</x:v>
      </x:c>
      <x:c r="W49" s="70" t="n">
        <x:f>Architecture!$G$10*H49/(Demand!$B$11*Q49)</x:f>
        <x:v>1.35</x:v>
      </x:c>
      <x:c r="X49" s="70" t="n">
        <x:f>Architecture!$H$10*I49/Demand!$B$16</x:f>
        <x:v>1.3333333333333333</x:v>
      </x:c>
      <x:c r="Y49" s="70" t="n">
        <x:f>Architecture!$I$10*J49/(Demand!$B$12*R49)</x:f>
        <x:v>1.4</x:v>
      </x:c>
      <x:c r="Z49" s="70" t="n">
        <x:f>Architecture!$J$10*K49/Demand!$B$15</x:f>
        <x:v>1.2005000000000001</x:v>
      </x:c>
      <x:c r="AA49" s="70" t="n">
        <x:f>Architecture!$K$10*Assumptions!$B$33*Assumptions!$B$34*Assumptions!$B$35*L49/Demand!$B$35</x:f>
        <x:v>1.26</x:v>
      </x:c>
      <x:c r="AB49" s="70" t="n">
        <x:f>Architecture!$L$10*(Assumptions!$B$8/24)*M49/Demand!$B$9</x:f>
        <x:v>1.68</x:v>
      </x:c>
      <x:c r="AC49" s="70" t="n">
        <x:f>Architecture!$M$10*N49/(Assumptions!$B$8/24)</x:f>
        <x:v>1.1428571428571428</x:v>
      </x:c>
      <x:c r="AD49" s="70" t="n">
        <x:f>S49</x:f>
        <x:v>2</x:v>
      </x:c>
      <x:c r="AE49" s="70" t="n">
        <x:f>MIN(T49:AD49)</x:f>
        <x:v>1.0555555555555556</x:v>
      </x:c>
      <x:c r="AF49" s="51" t="str">
        <x:f>IF(AE49&gt;=1,"PASS","FAIL")</x:f>
        <x:v>PASS</x:v>
      </x:c>
    </x:row>
    <x:row r="50">
      <x:c r="A50" s="21" t="str">
        <x:v>W11</x:v>
      </x:c>
      <x:c r="B50" s="21" t="str">
        <x:v>Commercial network and cloud denied</x:v>
      </x:c>
      <x:c r="C50" s="21" t="str">
        <x:v>H1</x:v>
      </x:c>
      <x:c r="D50" s="21" t="str">
        <x:v>Facility power park</x:v>
      </x:c>
      <x:c r="E50" s="69" t="n">
        <x:v>1</x:v>
      </x:c>
      <x:c r="F50" s="69" t="n">
        <x:v>1</x:v>
      </x:c>
      <x:c r="G50" s="69" t="n">
        <x:v>1</x:v>
      </x:c>
      <x:c r="H50" s="69" t="n">
        <x:v>1</x:v>
      </x:c>
      <x:c r="I50" s="69" t="n">
        <x:v>1</x:v>
      </x:c>
      <x:c r="J50" s="69" t="n">
        <x:v>1</x:v>
      </x:c>
      <x:c r="K50" s="69" t="n">
        <x:v>0.3</x:v>
      </x:c>
      <x:c r="L50" s="69" t="n">
        <x:v>1</x:v>
      </x:c>
      <x:c r="M50" s="69" t="n">
        <x:v>1</x:v>
      </x:c>
      <x:c r="N50" s="69" t="n">
        <x:v>1</x:v>
      </x:c>
      <x:c r="O50" s="69" t="n">
        <x:v>1</x:v>
      </x:c>
      <x:c r="P50" s="69" t="n">
        <x:v>1</x:v>
      </x:c>
      <x:c r="Q50" s="69" t="n">
        <x:v>1</x:v>
      </x:c>
      <x:c r="R50" s="69" t="n">
        <x:v>1</x:v>
      </x:c>
      <x:c r="S50" s="69" t="n">
        <x:v>0.3</x:v>
      </x:c>
      <x:c r="T50" s="70" t="n">
        <x:f>Architecture!$D$7*E50/(Demand!$B$29*O50)</x:f>
        <x:v>1.4063119066650545</x:v>
      </x:c>
      <x:c r="U50" s="70" t="n">
        <x:f>Architecture!$E$7*F50/(Demand!$B$19*P50)</x:f>
        <x:v>0.6106870229007634</x:v>
      </x:c>
      <x:c r="V50" s="70" t="n">
        <x:f>Architecture!$F$7*G50/Demand!$B$10</x:f>
        <x:v>0.5</x:v>
      </x:c>
      <x:c r="W50" s="70" t="n">
        <x:f>Architecture!$G$7*H50/(Demand!$B$11*Q50)</x:f>
        <x:v>0.5</x:v>
      </x:c>
      <x:c r="X50" s="70" t="n">
        <x:f>Architecture!$H$7*I50/Demand!$B$16</x:f>
        <x:v>0.5333333333333333</x:v>
      </x:c>
      <x:c r="Y50" s="70" t="n">
        <x:f>Architecture!$I$7*J50/(Demand!$B$12*R50)</x:f>
        <x:v>0.24</x:v>
      </x:c>
      <x:c r="Z50" s="70" t="n">
        <x:f>Architecture!$J$7*K50/Demand!$B$15</x:f>
        <x:v>0.11760000000000001</x:v>
      </x:c>
      <x:c r="AA50" s="70" t="n">
        <x:f>Architecture!$K$7*Assumptions!$B$33*Assumptions!$B$34*Assumptions!$B$35*L50/Demand!$B$35</x:f>
        <x:v>0.35</x:v>
      </x:c>
      <x:c r="AB50" s="70" t="n">
        <x:f>Architecture!$L$7*(Assumptions!$B$8/24)*M50/Demand!$B$9</x:f>
        <x:v>0.7</x:v>
      </x:c>
      <x:c r="AC50" s="70" t="n">
        <x:f>Architecture!$M$7*N50/(Assumptions!$B$8/24)</x:f>
        <x:v>1</x:v>
      </x:c>
      <x:c r="AD50" s="70" t="n">
        <x:f>S50</x:f>
        <x:v>0.3</x:v>
      </x:c>
      <x:c r="AE50" s="70" t="n">
        <x:f>MIN(T50:AD50)</x:f>
        <x:v>0.11760000000000001</x:v>
      </x:c>
      <x:c r="AF50" s="51" t="str">
        <x:f>IF(AE50&gt;=1,"PASS","FAIL")</x:f>
        <x:v>FAIL</x:v>
      </x:c>
    </x:row>
    <x:row r="51">
      <x:c r="A51" s="21" t="str">
        <x:v>W11</x:v>
      </x:c>
      <x:c r="B51" s="21" t="str">
        <x:v>Commercial network and cloud denied</x:v>
      </x:c>
      <x:c r="C51" s="21" t="str">
        <x:v>H2</x:v>
      </x:c>
      <x:c r="D51" s="21" t="str">
        <x:v>Central refuge campuses</x:v>
      </x:c>
      <x:c r="E51" s="69" t="n">
        <x:v>1</x:v>
      </x:c>
      <x:c r="F51" s="69" t="n">
        <x:v>1</x:v>
      </x:c>
      <x:c r="G51" s="69" t="n">
        <x:v>1</x:v>
      </x:c>
      <x:c r="H51" s="69" t="n">
        <x:v>1</x:v>
      </x:c>
      <x:c r="I51" s="69" t="n">
        <x:v>1</x:v>
      </x:c>
      <x:c r="J51" s="69" t="n">
        <x:v>1</x:v>
      </x:c>
      <x:c r="K51" s="69" t="n">
        <x:v>0.35</x:v>
      </x:c>
      <x:c r="L51" s="69" t="n">
        <x:v>1</x:v>
      </x:c>
      <x:c r="M51" s="69" t="n">
        <x:v>1</x:v>
      </x:c>
      <x:c r="N51" s="69" t="n">
        <x:v>1</x:v>
      </x:c>
      <x:c r="O51" s="69" t="n">
        <x:v>1</x:v>
      </x:c>
      <x:c r="P51" s="69" t="n">
        <x:v>1</x:v>
      </x:c>
      <x:c r="Q51" s="69" t="n">
        <x:v>1</x:v>
      </x:c>
      <x:c r="R51" s="69" t="n">
        <x:v>1</x:v>
      </x:c>
      <x:c r="S51" s="69" t="n">
        <x:v>0.4</x:v>
      </x:c>
      <x:c r="T51" s="70" t="n">
        <x:f>Architecture!$D$8*E51/(Demand!$B$29*O51)</x:f>
        <x:v>1.1250495253320436</x:v>
      </x:c>
      <x:c r="U51" s="70" t="n">
        <x:f>Architecture!$E$8*F51/(Demand!$B$19*P51)</x:f>
        <x:v>1.1195928753180662</x:v>
      </x:c>
      <x:c r="V51" s="70" t="n">
        <x:f>Architecture!$F$8*G51/Demand!$B$10</x:f>
        <x:v>0.4</x:v>
      </x:c>
      <x:c r="W51" s="70" t="n">
        <x:f>Architecture!$G$8*H51/(Demand!$B$11*Q51)</x:f>
        <x:v>0.6</x:v>
      </x:c>
      <x:c r="X51" s="70" t="n">
        <x:f>Architecture!$H$8*I51/Demand!$B$16</x:f>
        <x:v>0.7111111111111111</x:v>
      </x:c>
      <x:c r="Y51" s="70" t="n">
        <x:f>Architecture!$I$8*J51/(Demand!$B$12*R51)</x:f>
        <x:v>0.3</x:v>
      </x:c>
      <x:c r="Z51" s="70" t="n">
        <x:f>Architecture!$J$8*K51/Demand!$B$15</x:f>
        <x:v>0.15435000000000001</x:v>
      </x:c>
      <x:c r="AA51" s="70" t="n">
        <x:f>Architecture!$K$8*Assumptions!$B$33*Assumptions!$B$34*Assumptions!$B$35*L51/Demand!$B$35</x:f>
        <x:v>0.20999999999999996</x:v>
      </x:c>
      <x:c r="AB51" s="70" t="n">
        <x:f>Architecture!$L$8*(Assumptions!$B$8/24)*M51/Demand!$B$9</x:f>
        <x:v>1.68</x:v>
      </x:c>
      <x:c r="AC51" s="70" t="n">
        <x:f>Architecture!$M$8*N51/(Assumptions!$B$8/24)</x:f>
        <x:v>1</x:v>
      </x:c>
      <x:c r="AD51" s="70" t="n">
        <x:f>S51</x:f>
        <x:v>0.4</x:v>
      </x:c>
      <x:c r="AE51" s="70" t="n">
        <x:f>MIN(T51:AD51)</x:f>
        <x:v>0.15435000000000001</x:v>
      </x:c>
      <x:c r="AF51" s="51" t="str">
        <x:f>IF(AE51&gt;=1,"PASS","FAIL")</x:f>
        <x:v>FAIL</x:v>
      </x:c>
    </x:row>
    <x:row r="52">
      <x:c r="A52" s="21" t="str">
        <x:v>W11</x:v>
      </x:c>
      <x:c r="B52" s="21" t="str">
        <x:v>Commercial network and cloud denied</x:v>
      </x:c>
      <x:c r="C52" s="21" t="str">
        <x:v>H3</x:v>
      </x:c>
      <x:c r="D52" s="21" t="str">
        <x:v>Building-interface mesh</x:v>
      </x:c>
      <x:c r="E52" s="69" t="n">
        <x:v>1</x:v>
      </x:c>
      <x:c r="F52" s="69" t="n">
        <x:v>1</x:v>
      </x:c>
      <x:c r="G52" s="69" t="n">
        <x:v>1</x:v>
      </x:c>
      <x:c r="H52" s="69" t="n">
        <x:v>1</x:v>
      </x:c>
      <x:c r="I52" s="69" t="n">
        <x:v>1</x:v>
      </x:c>
      <x:c r="J52" s="69" t="n">
        <x:v>1</x:v>
      </x:c>
      <x:c r="K52" s="69" t="n">
        <x:v>0.7</x:v>
      </x:c>
      <x:c r="L52" s="69" t="n">
        <x:v>1</x:v>
      </x:c>
      <x:c r="M52" s="69" t="n">
        <x:v>1</x:v>
      </x:c>
      <x:c r="N52" s="69" t="n">
        <x:v>1</x:v>
      </x:c>
      <x:c r="O52" s="69" t="n">
        <x:v>1</x:v>
      </x:c>
      <x:c r="P52" s="69" t="n">
        <x:v>1</x:v>
      </x:c>
      <x:c r="Q52" s="69" t="n">
        <x:v>1</x:v>
      </x:c>
      <x:c r="R52" s="69" t="n">
        <x:v>1</x:v>
      </x:c>
      <x:c r="S52" s="69" t="n">
        <x:v>0.7</x:v>
      </x:c>
      <x:c r="T52" s="70" t="n">
        <x:f>Architecture!$D$9*E52/(Demand!$B$29*O52)</x:f>
        <x:v>1.4063119066650545</x:v>
      </x:c>
      <x:c r="U52" s="70" t="n">
        <x:f>Architecture!$E$9*F52/(Demand!$B$19*P52)</x:f>
        <x:v>1.3231552162849873</x:v>
      </x:c>
      <x:c r="V52" s="70" t="n">
        <x:f>Architecture!$F$9*G52/Demand!$B$10</x:f>
        <x:v>1</x:v>
      </x:c>
      <x:c r="W52" s="70" t="n">
        <x:f>Architecture!$G$9*H52/(Demand!$B$11*Q52)</x:f>
        <x:v>1.1</x:v>
      </x:c>
      <x:c r="X52" s="70" t="n">
        <x:f>Architecture!$H$9*I52/Demand!$B$16</x:f>
        <x:v>1.0222222222222221</x:v>
      </x:c>
      <x:c r="Y52" s="70" t="n">
        <x:f>Architecture!$I$9*J52/(Demand!$B$12*R52)</x:f>
        <x:v>1.04</x:v>
      </x:c>
      <x:c r="Z52" s="70" t="n">
        <x:f>Architecture!$J$9*K52/Demand!$B$15</x:f>
        <x:v>0.7202999999999999</x:v>
      </x:c>
      <x:c r="AA52" s="70" t="n">
        <x:f>Architecture!$K$9*Assumptions!$B$33*Assumptions!$B$34*Assumptions!$B$35*L52/Demand!$B$35</x:f>
        <x:v>1.05</x:v>
      </x:c>
      <x:c r="AB52" s="70" t="n">
        <x:f>Architecture!$L$9*(Assumptions!$B$8/24)*M52/Demand!$B$9</x:f>
        <x:v>1.26</x:v>
      </x:c>
      <x:c r="AC52" s="70" t="n">
        <x:f>Architecture!$M$9*N52/(Assumptions!$B$8/24)</x:f>
        <x:v>1</x:v>
      </x:c>
      <x:c r="AD52" s="70" t="n">
        <x:f>S52</x:f>
        <x:v>0.7</x:v>
      </x:c>
      <x:c r="AE52" s="70" t="n">
        <x:f>MIN(T52:AD52)</x:f>
        <x:v>0.7</x:v>
      </x:c>
      <x:c r="AF52" s="51" t="str">
        <x:f>IF(AE52&gt;=1,"PASS","FAIL")</x:f>
        <x:v>FAIL</x:v>
      </x:c>
    </x:row>
    <x:row r="53">
      <x:c r="A53" s="21" t="str">
        <x:v>W11</x:v>
      </x:c>
      <x:c r="B53" s="21" t="str">
        <x:v>Commercial network and cloud denied</x:v>
      </x:c>
      <x:c r="C53" s="21" t="str">
        <x:v>H4</x:v>
      </x:c>
      <x:c r="D53" s="21" t="str">
        <x:v>Layered PTS-50 group</x:v>
      </x:c>
      <x:c r="E53" s="69" t="n">
        <x:v>1</x:v>
      </x:c>
      <x:c r="F53" s="69" t="n">
        <x:v>1</x:v>
      </x:c>
      <x:c r="G53" s="69" t="n">
        <x:v>1</x:v>
      </x:c>
      <x:c r="H53" s="69" t="n">
        <x:v>1</x:v>
      </x:c>
      <x:c r="I53" s="69" t="n">
        <x:v>1</x:v>
      </x:c>
      <x:c r="J53" s="69" t="n">
        <x:v>1</x:v>
      </x:c>
      <x:c r="K53" s="69" t="n">
        <x:v>0.85</x:v>
      </x:c>
      <x:c r="L53" s="69" t="n">
        <x:v>1</x:v>
      </x:c>
      <x:c r="M53" s="69" t="n">
        <x:v>1</x:v>
      </x:c>
      <x:c r="N53" s="69" t="n">
        <x:v>1</x:v>
      </x:c>
      <x:c r="O53" s="69" t="n">
        <x:v>1</x:v>
      </x:c>
      <x:c r="P53" s="69" t="n">
        <x:v>1</x:v>
      </x:c>
      <x:c r="Q53" s="69" t="n">
        <x:v>1</x:v>
      </x:c>
      <x:c r="R53" s="69" t="n">
        <x:v>1</x:v>
      </x:c>
      <x:c r="S53" s="69" t="n">
        <x:v>1.2</x:v>
      </x:c>
      <x:c r="T53" s="70" t="n">
        <x:f>Architecture!$D$10*E53/(Demand!$B$29*O53)</x:f>
        <x:v>1.6875742879980653</x:v>
      </x:c>
      <x:c r="U53" s="70" t="n">
        <x:f>Architecture!$E$10*F53/(Demand!$B$19*P53)</x:f>
        <x:v>1.8320610687022902</x:v>
      </x:c>
      <x:c r="V53" s="70" t="n">
        <x:f>Architecture!$F$10*G53/Demand!$B$10</x:f>
        <x:v>1.1111111111111112</x:v>
      </x:c>
      <x:c r="W53" s="70" t="n">
        <x:f>Architecture!$G$10*H53/(Demand!$B$11*Q53)</x:f>
        <x:v>1.35</x:v>
      </x:c>
      <x:c r="X53" s="70" t="n">
        <x:f>Architecture!$H$10*I53/Demand!$B$16</x:f>
        <x:v>1.3333333333333333</x:v>
      </x:c>
      <x:c r="Y53" s="70" t="n">
        <x:f>Architecture!$I$10*J53/(Demand!$B$12*R53)</x:f>
        <x:v>1.4</x:v>
      </x:c>
      <x:c r="Z53" s="70" t="n">
        <x:f>Architecture!$J$10*K53/Demand!$B$15</x:f>
        <x:v>1.0204250000000001</x:v>
      </x:c>
      <x:c r="AA53" s="70" t="n">
        <x:f>Architecture!$K$10*Assumptions!$B$33*Assumptions!$B$34*Assumptions!$B$35*L53/Demand!$B$35</x:f>
        <x:v>1.26</x:v>
      </x:c>
      <x:c r="AB53" s="70" t="n">
        <x:f>Architecture!$L$10*(Assumptions!$B$8/24)*M53/Demand!$B$9</x:f>
        <x:v>2.1</x:v>
      </x:c>
      <x:c r="AC53" s="70" t="n">
        <x:f>Architecture!$M$10*N53/(Assumptions!$B$8/24)</x:f>
        <x:v>1.1428571428571428</x:v>
      </x:c>
      <x:c r="AD53" s="70" t="n">
        <x:f>S53</x:f>
        <x:v>1.2</x:v>
      </x:c>
      <x:c r="AE53" s="70" t="n">
        <x:f>MIN(T53:AD53)</x:f>
        <x:v>1.0204250000000001</x:v>
      </x:c>
      <x:c r="AF53" s="51" t="str">
        <x:f>IF(AE53&gt;=1,"PASS","FAIL")</x:f>
        <x:v>PASS</x:v>
      </x:c>
    </x:row>
    <x:row r="54">
      <x:c r="A54" s="21" t="str">
        <x:v>W12</x:v>
      </x:c>
      <x:c r="B54" s="21" t="str">
        <x:v>Vertical-service demand surge</x:v>
      </x:c>
      <x:c r="C54" s="21" t="str">
        <x:v>H1</x:v>
      </x:c>
      <x:c r="D54" s="21" t="str">
        <x:v>Facility power park</x:v>
      </x:c>
      <x:c r="E54" s="69" t="n">
        <x:v>1</x:v>
      </x:c>
      <x:c r="F54" s="69" t="n">
        <x:v>1</x:v>
      </x:c>
      <x:c r="G54" s="69" t="n">
        <x:v>1</x:v>
      </x:c>
      <x:c r="H54" s="69" t="n">
        <x:v>1</x:v>
      </x:c>
      <x:c r="I54" s="69" t="n">
        <x:v>1</x:v>
      </x:c>
      <x:c r="J54" s="69" t="n">
        <x:v>1</x:v>
      </x:c>
      <x:c r="K54" s="69" t="n">
        <x:v>1</x:v>
      </x:c>
      <x:c r="L54" s="69" t="n">
        <x:v>1</x:v>
      </x:c>
      <x:c r="M54" s="69" t="n">
        <x:v>1</x:v>
      </x:c>
      <x:c r="N54" s="69" t="n">
        <x:v>1</x:v>
      </x:c>
      <x:c r="O54" s="69" t="n">
        <x:v>1</x:v>
      </x:c>
      <x:c r="P54" s="69" t="n">
        <x:v>1</x:v>
      </x:c>
      <x:c r="Q54" s="69" t="n">
        <x:v>1</x:v>
      </x:c>
      <x:c r="R54" s="69" t="n">
        <x:v>1.35</x:v>
      </x:c>
      <x:c r="S54" s="69" t="n">
        <x:v>2</x:v>
      </x:c>
      <x:c r="T54" s="70" t="n">
        <x:f>Architecture!$D$7*E54/(Demand!$B$29*O54)</x:f>
        <x:v>1.4063119066650545</x:v>
      </x:c>
      <x:c r="U54" s="70" t="n">
        <x:f>Architecture!$E$7*F54/(Demand!$B$19*P54)</x:f>
        <x:v>0.6106870229007634</x:v>
      </x:c>
      <x:c r="V54" s="70" t="n">
        <x:f>Architecture!$F$7*G54/Demand!$B$10</x:f>
        <x:v>0.5</x:v>
      </x:c>
      <x:c r="W54" s="70" t="n">
        <x:f>Architecture!$G$7*H54/(Demand!$B$11*Q54)</x:f>
        <x:v>0.5</x:v>
      </x:c>
      <x:c r="X54" s="70" t="n">
        <x:f>Architecture!$H$7*I54/Demand!$B$16</x:f>
        <x:v>0.5333333333333333</x:v>
      </x:c>
      <x:c r="Y54" s="70" t="n">
        <x:f>Architecture!$I$7*J54/(Demand!$B$12*R54)</x:f>
        <x:v>0.17777777777777778</x:v>
      </x:c>
      <x:c r="Z54" s="70" t="n">
        <x:f>Architecture!$J$7*K54/Demand!$B$15</x:f>
        <x:v>0.392</x:v>
      </x:c>
      <x:c r="AA54" s="70" t="n">
        <x:f>Architecture!$K$7*Assumptions!$B$33*Assumptions!$B$34*Assumptions!$B$35*L54/Demand!$B$35</x:f>
        <x:v>0.35</x:v>
      </x:c>
      <x:c r="AB54" s="70" t="n">
        <x:f>Architecture!$L$7*(Assumptions!$B$8/24)*M54/Demand!$B$9</x:f>
        <x:v>0.7</x:v>
      </x:c>
      <x:c r="AC54" s="70" t="n">
        <x:f>Architecture!$M$7*N54/(Assumptions!$B$8/24)</x:f>
        <x:v>1</x:v>
      </x:c>
      <x:c r="AD54" s="70" t="n">
        <x:f>S54</x:f>
        <x:v>2</x:v>
      </x:c>
      <x:c r="AE54" s="70" t="n">
        <x:f>MIN(T54:AD54)</x:f>
        <x:v>0.17777777777777778</x:v>
      </x:c>
      <x:c r="AF54" s="51" t="str">
        <x:f>IF(AE54&gt;=1,"PASS","FAIL")</x:f>
        <x:v>FAIL</x:v>
      </x:c>
    </x:row>
    <x:row r="55">
      <x:c r="A55" s="21" t="str">
        <x:v>W12</x:v>
      </x:c>
      <x:c r="B55" s="21" t="str">
        <x:v>Vertical-service demand surge</x:v>
      </x:c>
      <x:c r="C55" s="21" t="str">
        <x:v>H2</x:v>
      </x:c>
      <x:c r="D55" s="21" t="str">
        <x:v>Central refuge campuses</x:v>
      </x:c>
      <x:c r="E55" s="69" t="n">
        <x:v>1</x:v>
      </x:c>
      <x:c r="F55" s="69" t="n">
        <x:v>1</x:v>
      </x:c>
      <x:c r="G55" s="69" t="n">
        <x:v>1</x:v>
      </x:c>
      <x:c r="H55" s="69" t="n">
        <x:v>1</x:v>
      </x:c>
      <x:c r="I55" s="69" t="n">
        <x:v>1</x:v>
      </x:c>
      <x:c r="J55" s="69" t="n">
        <x:v>1</x:v>
      </x:c>
      <x:c r="K55" s="69" t="n">
        <x:v>1</x:v>
      </x:c>
      <x:c r="L55" s="69" t="n">
        <x:v>1</x:v>
      </x:c>
      <x:c r="M55" s="69" t="n">
        <x:v>1</x:v>
      </x:c>
      <x:c r="N55" s="69" t="n">
        <x:v>1</x:v>
      </x:c>
      <x:c r="O55" s="69" t="n">
        <x:v>1</x:v>
      </x:c>
      <x:c r="P55" s="69" t="n">
        <x:v>1</x:v>
      </x:c>
      <x:c r="Q55" s="69" t="n">
        <x:v>1</x:v>
      </x:c>
      <x:c r="R55" s="69" t="n">
        <x:v>1.35</x:v>
      </x:c>
      <x:c r="S55" s="69" t="n">
        <x:v>2</x:v>
      </x:c>
      <x:c r="T55" s="70" t="n">
        <x:f>Architecture!$D$8*E55/(Demand!$B$29*O55)</x:f>
        <x:v>1.1250495253320436</x:v>
      </x:c>
      <x:c r="U55" s="70" t="n">
        <x:f>Architecture!$E$8*F55/(Demand!$B$19*P55)</x:f>
        <x:v>1.1195928753180662</x:v>
      </x:c>
      <x:c r="V55" s="70" t="n">
        <x:f>Architecture!$F$8*G55/Demand!$B$10</x:f>
        <x:v>0.4</x:v>
      </x:c>
      <x:c r="W55" s="70" t="n">
        <x:f>Architecture!$G$8*H55/(Demand!$B$11*Q55)</x:f>
        <x:v>0.6</x:v>
      </x:c>
      <x:c r="X55" s="70" t="n">
        <x:f>Architecture!$H$8*I55/Demand!$B$16</x:f>
        <x:v>0.7111111111111111</x:v>
      </x:c>
      <x:c r="Y55" s="70" t="n">
        <x:f>Architecture!$I$8*J55/(Demand!$B$12*R55)</x:f>
        <x:v>0.2222222222222222</x:v>
      </x:c>
      <x:c r="Z55" s="70" t="n">
        <x:f>Architecture!$J$8*K55/Demand!$B$15</x:f>
        <x:v>0.44100000000000006</x:v>
      </x:c>
      <x:c r="AA55" s="70" t="n">
        <x:f>Architecture!$K$8*Assumptions!$B$33*Assumptions!$B$34*Assumptions!$B$35*L55/Demand!$B$35</x:f>
        <x:v>0.20999999999999996</x:v>
      </x:c>
      <x:c r="AB55" s="70" t="n">
        <x:f>Architecture!$L$8*(Assumptions!$B$8/24)*M55/Demand!$B$9</x:f>
        <x:v>1.68</x:v>
      </x:c>
      <x:c r="AC55" s="70" t="n">
        <x:f>Architecture!$M$8*N55/(Assumptions!$B$8/24)</x:f>
        <x:v>1</x:v>
      </x:c>
      <x:c r="AD55" s="70" t="n">
        <x:f>S55</x:f>
        <x:v>2</x:v>
      </x:c>
      <x:c r="AE55" s="70" t="n">
        <x:f>MIN(T55:AD55)</x:f>
        <x:v>0.20999999999999996</x:v>
      </x:c>
      <x:c r="AF55" s="51" t="str">
        <x:f>IF(AE55&gt;=1,"PASS","FAIL")</x:f>
        <x:v>FAIL</x:v>
      </x:c>
    </x:row>
    <x:row r="56">
      <x:c r="A56" s="21" t="str">
        <x:v>W12</x:v>
      </x:c>
      <x:c r="B56" s="21" t="str">
        <x:v>Vertical-service demand surge</x:v>
      </x:c>
      <x:c r="C56" s="21" t="str">
        <x:v>H3</x:v>
      </x:c>
      <x:c r="D56" s="21" t="str">
        <x:v>Building-interface mesh</x:v>
      </x:c>
      <x:c r="E56" s="69" t="n">
        <x:v>1</x:v>
      </x:c>
      <x:c r="F56" s="69" t="n">
        <x:v>1</x:v>
      </x:c>
      <x:c r="G56" s="69" t="n">
        <x:v>1</x:v>
      </x:c>
      <x:c r="H56" s="69" t="n">
        <x:v>1</x:v>
      </x:c>
      <x:c r="I56" s="69" t="n">
        <x:v>1</x:v>
      </x:c>
      <x:c r="J56" s="69" t="n">
        <x:v>1</x:v>
      </x:c>
      <x:c r="K56" s="69" t="n">
        <x:v>1</x:v>
      </x:c>
      <x:c r="L56" s="69" t="n">
        <x:v>1</x:v>
      </x:c>
      <x:c r="M56" s="69" t="n">
        <x:v>1</x:v>
      </x:c>
      <x:c r="N56" s="69" t="n">
        <x:v>1</x:v>
      </x:c>
      <x:c r="O56" s="69" t="n">
        <x:v>1</x:v>
      </x:c>
      <x:c r="P56" s="69" t="n">
        <x:v>1</x:v>
      </x:c>
      <x:c r="Q56" s="69" t="n">
        <x:v>1</x:v>
      </x:c>
      <x:c r="R56" s="69" t="n">
        <x:v>1.35</x:v>
      </x:c>
      <x:c r="S56" s="69" t="n">
        <x:v>2</x:v>
      </x:c>
      <x:c r="T56" s="70" t="n">
        <x:f>Architecture!$D$9*E56/(Demand!$B$29*O56)</x:f>
        <x:v>1.4063119066650545</x:v>
      </x:c>
      <x:c r="U56" s="70" t="n">
        <x:f>Architecture!$E$9*F56/(Demand!$B$19*P56)</x:f>
        <x:v>1.3231552162849873</x:v>
      </x:c>
      <x:c r="V56" s="70" t="n">
        <x:f>Architecture!$F$9*G56/Demand!$B$10</x:f>
        <x:v>1</x:v>
      </x:c>
      <x:c r="W56" s="70" t="n">
        <x:f>Architecture!$G$9*H56/(Demand!$B$11*Q56)</x:f>
        <x:v>1.1</x:v>
      </x:c>
      <x:c r="X56" s="70" t="n">
        <x:f>Architecture!$H$9*I56/Demand!$B$16</x:f>
        <x:v>1.0222222222222221</x:v>
      </x:c>
      <x:c r="Y56" s="70" t="n">
        <x:f>Architecture!$I$9*J56/(Demand!$B$12*R56)</x:f>
        <x:v>0.7703703703703704</x:v>
      </x:c>
      <x:c r="Z56" s="70" t="n">
        <x:f>Architecture!$J$9*K56/Demand!$B$15</x:f>
        <x:v>1.0290000000000001</x:v>
      </x:c>
      <x:c r="AA56" s="70" t="n">
        <x:f>Architecture!$K$9*Assumptions!$B$33*Assumptions!$B$34*Assumptions!$B$35*L56/Demand!$B$35</x:f>
        <x:v>1.05</x:v>
      </x:c>
      <x:c r="AB56" s="70" t="n">
        <x:f>Architecture!$L$9*(Assumptions!$B$8/24)*M56/Demand!$B$9</x:f>
        <x:v>1.26</x:v>
      </x:c>
      <x:c r="AC56" s="70" t="n">
        <x:f>Architecture!$M$9*N56/(Assumptions!$B$8/24)</x:f>
        <x:v>1</x:v>
      </x:c>
      <x:c r="AD56" s="70" t="n">
        <x:f>S56</x:f>
        <x:v>2</x:v>
      </x:c>
      <x:c r="AE56" s="70" t="n">
        <x:f>MIN(T56:AD56)</x:f>
        <x:v>0.7703703703703704</x:v>
      </x:c>
      <x:c r="AF56" s="51" t="str">
        <x:f>IF(AE56&gt;=1,"PASS","FAIL")</x:f>
        <x:v>FAIL</x:v>
      </x:c>
    </x:row>
    <x:row r="57">
      <x:c r="A57" s="21" t="str">
        <x:v>W12</x:v>
      </x:c>
      <x:c r="B57" s="21" t="str">
        <x:v>Vertical-service demand surge</x:v>
      </x:c>
      <x:c r="C57" s="21" t="str">
        <x:v>H4</x:v>
      </x:c>
      <x:c r="D57" s="21" t="str">
        <x:v>Layered PTS-50 group</x:v>
      </x:c>
      <x:c r="E57" s="69" t="n">
        <x:v>1</x:v>
      </x:c>
      <x:c r="F57" s="69" t="n">
        <x:v>1</x:v>
      </x:c>
      <x:c r="G57" s="69" t="n">
        <x:v>1</x:v>
      </x:c>
      <x:c r="H57" s="69" t="n">
        <x:v>1</x:v>
      </x:c>
      <x:c r="I57" s="69" t="n">
        <x:v>1</x:v>
      </x:c>
      <x:c r="J57" s="69" t="n">
        <x:v>1</x:v>
      </x:c>
      <x:c r="K57" s="69" t="n">
        <x:v>1</x:v>
      </x:c>
      <x:c r="L57" s="69" t="n">
        <x:v>1</x:v>
      </x:c>
      <x:c r="M57" s="69" t="n">
        <x:v>1</x:v>
      </x:c>
      <x:c r="N57" s="69" t="n">
        <x:v>1</x:v>
      </x:c>
      <x:c r="O57" s="69" t="n">
        <x:v>1</x:v>
      </x:c>
      <x:c r="P57" s="69" t="n">
        <x:v>1</x:v>
      </x:c>
      <x:c r="Q57" s="69" t="n">
        <x:v>1</x:v>
      </x:c>
      <x:c r="R57" s="69" t="n">
        <x:v>1.35</x:v>
      </x:c>
      <x:c r="S57" s="69" t="n">
        <x:v>2</x:v>
      </x:c>
      <x:c r="T57" s="70" t="n">
        <x:f>Architecture!$D$10*E57/(Demand!$B$29*O57)</x:f>
        <x:v>1.6875742879980653</x:v>
      </x:c>
      <x:c r="U57" s="70" t="n">
        <x:f>Architecture!$E$10*F57/(Demand!$B$19*P57)</x:f>
        <x:v>1.8320610687022902</x:v>
      </x:c>
      <x:c r="V57" s="70" t="n">
        <x:f>Architecture!$F$10*G57/Demand!$B$10</x:f>
        <x:v>1.1111111111111112</x:v>
      </x:c>
      <x:c r="W57" s="70" t="n">
        <x:f>Architecture!$G$10*H57/(Demand!$B$11*Q57)</x:f>
        <x:v>1.35</x:v>
      </x:c>
      <x:c r="X57" s="70" t="n">
        <x:f>Architecture!$H$10*I57/Demand!$B$16</x:f>
        <x:v>1.3333333333333333</x:v>
      </x:c>
      <x:c r="Y57" s="70" t="n">
        <x:f>Architecture!$I$10*J57/(Demand!$B$12*R57)</x:f>
        <x:v>1.037037037037037</x:v>
      </x:c>
      <x:c r="Z57" s="70" t="n">
        <x:f>Architecture!$J$10*K57/Demand!$B$15</x:f>
        <x:v>1.2005000000000001</x:v>
      </x:c>
      <x:c r="AA57" s="70" t="n">
        <x:f>Architecture!$K$10*Assumptions!$B$33*Assumptions!$B$34*Assumptions!$B$35*L57/Demand!$B$35</x:f>
        <x:v>1.26</x:v>
      </x:c>
      <x:c r="AB57" s="70" t="n">
        <x:f>Architecture!$L$10*(Assumptions!$B$8/24)*M57/Demand!$B$9</x:f>
        <x:v>2.1</x:v>
      </x:c>
      <x:c r="AC57" s="70" t="n">
        <x:f>Architecture!$M$10*N57/(Assumptions!$B$8/24)</x:f>
        <x:v>1.1428571428571428</x:v>
      </x:c>
      <x:c r="AD57" s="70" t="n">
        <x:f>S57</x:f>
        <x:v>2</x:v>
      </x:c>
      <x:c r="AE57" s="70" t="n">
        <x:f>MIN(T57:AD57)</x:f>
        <x:v>1.037037037037037</x:v>
      </x:c>
      <x:c r="AF57" s="51" t="str">
        <x:f>IF(AE57&gt;=1,"PASS","FAIL")</x:f>
        <x:v>PASS</x:v>
      </x:c>
    </x:row>
    <x:row r="58">
      <x:c r="A58" s="21" t="str">
        <x:v>W13</x:v>
      </x:c>
      <x:c r="B58" s="21" t="str">
        <x:v>One complete service cell unavailable</x:v>
      </x:c>
      <x:c r="C58" s="21" t="str">
        <x:v>H1</x:v>
      </x:c>
      <x:c r="D58" s="21" t="str">
        <x:v>Facility power park</x:v>
      </x:c>
      <x:c r="E58" s="69" t="n">
        <x:v>0.75</x:v>
      </x:c>
      <x:c r="F58" s="69" t="n">
        <x:v>0.75</x:v>
      </x:c>
      <x:c r="G58" s="69" t="n">
        <x:v>1</x:v>
      </x:c>
      <x:c r="H58" s="69" t="n">
        <x:v>0.75</x:v>
      </x:c>
      <x:c r="I58" s="69" t="n">
        <x:v>0.75</x:v>
      </x:c>
      <x:c r="J58" s="69" t="n">
        <x:v>0.75</x:v>
      </x:c>
      <x:c r="K58" s="69" t="n">
        <x:v>0.75</x:v>
      </x:c>
      <x:c r="L58" s="69" t="n">
        <x:v>0.75</x:v>
      </x:c>
      <x:c r="M58" s="69" t="n">
        <x:v>1</x:v>
      </x:c>
      <x:c r="N58" s="69" t="n">
        <x:v>1</x:v>
      </x:c>
      <x:c r="O58" s="69" t="n">
        <x:v>1</x:v>
      </x:c>
      <x:c r="P58" s="69" t="n">
        <x:v>1</x:v>
      </x:c>
      <x:c r="Q58" s="69" t="n">
        <x:v>1</x:v>
      </x:c>
      <x:c r="R58" s="69" t="n">
        <x:v>1</x:v>
      </x:c>
      <x:c r="S58" s="69" t="n">
        <x:v>2</x:v>
      </x:c>
      <x:c r="T58" s="70" t="n">
        <x:f>Architecture!$D$7*E58/(Demand!$B$29*O58)</x:f>
        <x:v>1.0547339299987908</x:v>
      </x:c>
      <x:c r="U58" s="70" t="n">
        <x:f>Architecture!$E$7*F58/(Demand!$B$19*P58)</x:f>
        <x:v>0.45801526717557256</x:v>
      </x:c>
      <x:c r="V58" s="70" t="n">
        <x:f>Architecture!$F$7*G58/Demand!$B$10</x:f>
        <x:v>0.5</x:v>
      </x:c>
      <x:c r="W58" s="70" t="n">
        <x:f>Architecture!$G$7*H58/(Demand!$B$11*Q58)</x:f>
        <x:v>0.375</x:v>
      </x:c>
      <x:c r="X58" s="70" t="n">
        <x:f>Architecture!$H$7*I58/Demand!$B$16</x:f>
        <x:v>0.4</x:v>
      </x:c>
      <x:c r="Y58" s="70" t="n">
        <x:f>Architecture!$I$7*J58/(Demand!$B$12*R58)</x:f>
        <x:v>0.18</x:v>
      </x:c>
      <x:c r="Z58" s="70" t="n">
        <x:f>Architecture!$J$7*K58/Demand!$B$15</x:f>
        <x:v>0.29400000000000004</x:v>
      </x:c>
      <x:c r="AA58" s="70" t="n">
        <x:f>Architecture!$K$7*Assumptions!$B$33*Assumptions!$B$34*Assumptions!$B$35*L58/Demand!$B$35</x:f>
        <x:v>0.2625</x:v>
      </x:c>
      <x:c r="AB58" s="70" t="n">
        <x:f>Architecture!$L$7*(Assumptions!$B$8/24)*M58/Demand!$B$9</x:f>
        <x:v>0.7</x:v>
      </x:c>
      <x:c r="AC58" s="70" t="n">
        <x:f>Architecture!$M$7*N58/(Assumptions!$B$8/24)</x:f>
        <x:v>1</x:v>
      </x:c>
      <x:c r="AD58" s="70" t="n">
        <x:f>S58</x:f>
        <x:v>2</x:v>
      </x:c>
      <x:c r="AE58" s="70" t="n">
        <x:f>MIN(T58:AD58)</x:f>
        <x:v>0.18</x:v>
      </x:c>
      <x:c r="AF58" s="51" t="str">
        <x:f>IF(AE58&gt;=1,"PASS","FAIL")</x:f>
        <x:v>FAIL</x:v>
      </x:c>
    </x:row>
    <x:row r="59">
      <x:c r="A59" s="21" t="str">
        <x:v>W13</x:v>
      </x:c>
      <x:c r="B59" s="21" t="str">
        <x:v>One complete service cell unavailable</x:v>
      </x:c>
      <x:c r="C59" s="21" t="str">
        <x:v>H2</x:v>
      </x:c>
      <x:c r="D59" s="21" t="str">
        <x:v>Central refuge campuses</x:v>
      </x:c>
      <x:c r="E59" s="69" t="n">
        <x:v>0.75</x:v>
      </x:c>
      <x:c r="F59" s="69" t="n">
        <x:v>0.75</x:v>
      </x:c>
      <x:c r="G59" s="69" t="n">
        <x:v>1</x:v>
      </x:c>
      <x:c r="H59" s="69" t="n">
        <x:v>0.75</x:v>
      </x:c>
      <x:c r="I59" s="69" t="n">
        <x:v>0.75</x:v>
      </x:c>
      <x:c r="J59" s="69" t="n">
        <x:v>0.75</x:v>
      </x:c>
      <x:c r="K59" s="69" t="n">
        <x:v>0.75</x:v>
      </x:c>
      <x:c r="L59" s="69" t="n">
        <x:v>0.75</x:v>
      </x:c>
      <x:c r="M59" s="69" t="n">
        <x:v>1</x:v>
      </x:c>
      <x:c r="N59" s="69" t="n">
        <x:v>1</x:v>
      </x:c>
      <x:c r="O59" s="69" t="n">
        <x:v>1</x:v>
      </x:c>
      <x:c r="P59" s="69" t="n">
        <x:v>1</x:v>
      </x:c>
      <x:c r="Q59" s="69" t="n">
        <x:v>1</x:v>
      </x:c>
      <x:c r="R59" s="69" t="n">
        <x:v>1</x:v>
      </x:c>
      <x:c r="S59" s="69" t="n">
        <x:v>2</x:v>
      </x:c>
      <x:c r="T59" s="70" t="n">
        <x:f>Architecture!$D$8*E59/(Demand!$B$29*O59)</x:f>
        <x:v>0.8437871439990327</x:v>
      </x:c>
      <x:c r="U59" s="70" t="n">
        <x:f>Architecture!$E$8*F59/(Demand!$B$19*P59)</x:f>
        <x:v>0.8396946564885497</x:v>
      </x:c>
      <x:c r="V59" s="70" t="n">
        <x:f>Architecture!$F$8*G59/Demand!$B$10</x:f>
        <x:v>0.4</x:v>
      </x:c>
      <x:c r="W59" s="70" t="n">
        <x:f>Architecture!$G$8*H59/(Demand!$B$11*Q59)</x:f>
        <x:v>0.45</x:v>
      </x:c>
      <x:c r="X59" s="70" t="n">
        <x:f>Architecture!$H$8*I59/Demand!$B$16</x:f>
        <x:v>0.5333333333333333</x:v>
      </x:c>
      <x:c r="Y59" s="70" t="n">
        <x:f>Architecture!$I$8*J59/(Demand!$B$12*R59)</x:f>
        <x:v>0.225</x:v>
      </x:c>
      <x:c r="Z59" s="70" t="n">
        <x:f>Architecture!$J$8*K59/Demand!$B$15</x:f>
        <x:v>0.33075000000000004</x:v>
      </x:c>
      <x:c r="AA59" s="70" t="n">
        <x:f>Architecture!$K$8*Assumptions!$B$33*Assumptions!$B$34*Assumptions!$B$35*L59/Demand!$B$35</x:f>
        <x:v>0.15749999999999997</x:v>
      </x:c>
      <x:c r="AB59" s="70" t="n">
        <x:f>Architecture!$L$8*(Assumptions!$B$8/24)*M59/Demand!$B$9</x:f>
        <x:v>1.68</x:v>
      </x:c>
      <x:c r="AC59" s="70" t="n">
        <x:f>Architecture!$M$8*N59/(Assumptions!$B$8/24)</x:f>
        <x:v>1</x:v>
      </x:c>
      <x:c r="AD59" s="70" t="n">
        <x:f>S59</x:f>
        <x:v>2</x:v>
      </x:c>
      <x:c r="AE59" s="70" t="n">
        <x:f>MIN(T59:AD59)</x:f>
        <x:v>0.15749999999999997</x:v>
      </x:c>
      <x:c r="AF59" s="51" t="str">
        <x:f>IF(AE59&gt;=1,"PASS","FAIL")</x:f>
        <x:v>FAIL</x:v>
      </x:c>
    </x:row>
    <x:row r="60">
      <x:c r="A60" s="21" t="str">
        <x:v>W13</x:v>
      </x:c>
      <x:c r="B60" s="21" t="str">
        <x:v>One complete service cell unavailable</x:v>
      </x:c>
      <x:c r="C60" s="21" t="str">
        <x:v>H3</x:v>
      </x:c>
      <x:c r="D60" s="21" t="str">
        <x:v>Building-interface mesh</x:v>
      </x:c>
      <x:c r="E60" s="69" t="n">
        <x:v>0.9</x:v>
      </x:c>
      <x:c r="F60" s="69" t="n">
        <x:v>0.9</x:v>
      </x:c>
      <x:c r="G60" s="69" t="n">
        <x:v>1</x:v>
      </x:c>
      <x:c r="H60" s="69" t="n">
        <x:v>0.9</x:v>
      </x:c>
      <x:c r="I60" s="69" t="n">
        <x:v>0.9</x:v>
      </x:c>
      <x:c r="J60" s="69" t="n">
        <x:v>0.9</x:v>
      </x:c>
      <x:c r="K60" s="69" t="n">
        <x:v>0.9</x:v>
      </x:c>
      <x:c r="L60" s="69" t="n">
        <x:v>0.9</x:v>
      </x:c>
      <x:c r="M60" s="69" t="n">
        <x:v>1</x:v>
      </x:c>
      <x:c r="N60" s="69" t="n">
        <x:v>1</x:v>
      </x:c>
      <x:c r="O60" s="69" t="n">
        <x:v>1</x:v>
      </x:c>
      <x:c r="P60" s="69" t="n">
        <x:v>1</x:v>
      </x:c>
      <x:c r="Q60" s="69" t="n">
        <x:v>1</x:v>
      </x:c>
      <x:c r="R60" s="69" t="n">
        <x:v>1</x:v>
      </x:c>
      <x:c r="S60" s="69" t="n">
        <x:v>2</x:v>
      </x:c>
      <x:c r="T60" s="70" t="n">
        <x:f>Architecture!$D$9*E60/(Demand!$B$29*O60)</x:f>
        <x:v>1.265680715998549</x:v>
      </x:c>
      <x:c r="U60" s="70" t="n">
        <x:f>Architecture!$E$9*F60/(Demand!$B$19*P60)</x:f>
        <x:v>1.1908396946564888</x:v>
      </x:c>
      <x:c r="V60" s="70" t="n">
        <x:f>Architecture!$F$9*G60/Demand!$B$10</x:f>
        <x:v>1</x:v>
      </x:c>
      <x:c r="W60" s="70" t="n">
        <x:f>Architecture!$G$9*H60/(Demand!$B$11*Q60)</x:f>
        <x:v>0.99</x:v>
      </x:c>
      <x:c r="X60" s="70" t="n">
        <x:f>Architecture!$H$9*I60/Demand!$B$16</x:f>
        <x:v>0.92</x:v>
      </x:c>
      <x:c r="Y60" s="70" t="n">
        <x:f>Architecture!$I$9*J60/(Demand!$B$12*R60)</x:f>
        <x:v>0.936</x:v>
      </x:c>
      <x:c r="Z60" s="70" t="n">
        <x:f>Architecture!$J$9*K60/Demand!$B$15</x:f>
        <x:v>0.9261</x:v>
      </x:c>
      <x:c r="AA60" s="70" t="n">
        <x:f>Architecture!$K$9*Assumptions!$B$33*Assumptions!$B$34*Assumptions!$B$35*L60/Demand!$B$35</x:f>
        <x:v>0.9450000000000001</x:v>
      </x:c>
      <x:c r="AB60" s="70" t="n">
        <x:f>Architecture!$L$9*(Assumptions!$B$8/24)*M60/Demand!$B$9</x:f>
        <x:v>1.26</x:v>
      </x:c>
      <x:c r="AC60" s="70" t="n">
        <x:f>Architecture!$M$9*N60/(Assumptions!$B$8/24)</x:f>
        <x:v>1</x:v>
      </x:c>
      <x:c r="AD60" s="70" t="n">
        <x:f>S60</x:f>
        <x:v>2</x:v>
      </x:c>
      <x:c r="AE60" s="70" t="n">
        <x:f>MIN(T60:AD60)</x:f>
        <x:v>0.92</x:v>
      </x:c>
      <x:c r="AF60" s="51" t="str">
        <x:f>IF(AE60&gt;=1,"PASS","FAIL")</x:f>
        <x:v>FAIL</x:v>
      </x:c>
    </x:row>
    <x:row r="61">
      <x:c r="A61" s="21" t="str">
        <x:v>W13</x:v>
      </x:c>
      <x:c r="B61" s="21" t="str">
        <x:v>One complete service cell unavailable</x:v>
      </x:c>
      <x:c r="C61" s="21" t="str">
        <x:v>H4</x:v>
      </x:c>
      <x:c r="D61" s="21" t="str">
        <x:v>Layered PTS-50 group</x:v>
      </x:c>
      <x:c r="E61" s="69" t="n">
        <x:v>0.9166666666666666</x:v>
      </x:c>
      <x:c r="F61" s="69" t="n">
        <x:v>0.9166666666666666</x:v>
      </x:c>
      <x:c r="G61" s="69" t="n">
        <x:v>1</x:v>
      </x:c>
      <x:c r="H61" s="69" t="n">
        <x:v>0.9166666666666666</x:v>
      </x:c>
      <x:c r="I61" s="69" t="n">
        <x:v>0.9166666666666666</x:v>
      </x:c>
      <x:c r="J61" s="69" t="n">
        <x:v>0.9166666666666666</x:v>
      </x:c>
      <x:c r="K61" s="69" t="n">
        <x:v>0.9166666666666666</x:v>
      </x:c>
      <x:c r="L61" s="69" t="n">
        <x:v>0.9166666666666666</x:v>
      </x:c>
      <x:c r="M61" s="69" t="n">
        <x:v>1</x:v>
      </x:c>
      <x:c r="N61" s="69" t="n">
        <x:v>1</x:v>
      </x:c>
      <x:c r="O61" s="69" t="n">
        <x:v>1</x:v>
      </x:c>
      <x:c r="P61" s="69" t="n">
        <x:v>1</x:v>
      </x:c>
      <x:c r="Q61" s="69" t="n">
        <x:v>1</x:v>
      </x:c>
      <x:c r="R61" s="69" t="n">
        <x:v>1</x:v>
      </x:c>
      <x:c r="S61" s="69" t="n">
        <x:v>2</x:v>
      </x:c>
      <x:c r="T61" s="70" t="n">
        <x:f>Architecture!$D$10*E61/(Demand!$B$29*O61)</x:f>
        <x:v>1.5469430973315599</x:v>
      </x:c>
      <x:c r="U61" s="70" t="n">
        <x:f>Architecture!$E$10*F61/(Demand!$B$19*P61)</x:f>
        <x:v>1.6793893129770994</x:v>
      </x:c>
      <x:c r="V61" s="70" t="n">
        <x:f>Architecture!$F$10*G61/Demand!$B$10</x:f>
        <x:v>1.1111111111111112</x:v>
      </x:c>
      <x:c r="W61" s="70" t="n">
        <x:f>Architecture!$G$10*H61/(Demand!$B$11*Q61)</x:f>
        <x:v>1.2375</x:v>
      </x:c>
      <x:c r="X61" s="70" t="n">
        <x:f>Architecture!$H$10*I61/Demand!$B$16</x:f>
        <x:v>1.2222222222222223</x:v>
      </x:c>
      <x:c r="Y61" s="70" t="n">
        <x:f>Architecture!$I$10*J61/(Demand!$B$12*R61)</x:f>
        <x:v>1.2833333333333332</x:v>
      </x:c>
      <x:c r="Z61" s="70" t="n">
        <x:f>Architecture!$J$10*K61/Demand!$B$15</x:f>
        <x:v>1.1004583333333333</x:v>
      </x:c>
      <x:c r="AA61" s="70" t="n">
        <x:f>Architecture!$K$10*Assumptions!$B$33*Assumptions!$B$34*Assumptions!$B$35*L61/Demand!$B$35</x:f>
        <x:v>1.1549999999999998</x:v>
      </x:c>
      <x:c r="AB61" s="70" t="n">
        <x:f>Architecture!$L$10*(Assumptions!$B$8/24)*M61/Demand!$B$9</x:f>
        <x:v>2.1</x:v>
      </x:c>
      <x:c r="AC61" s="70" t="n">
        <x:f>Architecture!$M$10*N61/(Assumptions!$B$8/24)</x:f>
        <x:v>1.1428571428571428</x:v>
      </x:c>
      <x:c r="AD61" s="70" t="n">
        <x:f>S61</x:f>
        <x:v>2</x:v>
      </x:c>
      <x:c r="AE61" s="70" t="n">
        <x:f>MIN(T61:AD61)</x:f>
        <x:v>1.1004583333333333</x:v>
      </x:c>
      <x:c r="AF61" s="51" t="str">
        <x:f>IF(AE61&gt;=1,"PASS","FAIL")</x:f>
        <x:v>PASS</x:v>
      </x:c>
    </x:row>
    <x:row r="62">
      <x:c r="A62" s="21" t="str">
        <x:v>W14</x:v>
      </x:c>
      <x:c r="B62" s="21" t="str">
        <x:v>Common depot unavailable during second mission</x:v>
      </x:c>
      <x:c r="C62" s="21" t="str">
        <x:v>H1</x:v>
      </x:c>
      <x:c r="D62" s="21" t="str">
        <x:v>Facility power park</x:v>
      </x:c>
      <x:c r="E62" s="69" t="n">
        <x:v>0.6</x:v>
      </x:c>
      <x:c r="F62" s="69" t="n">
        <x:v>0.6</x:v>
      </x:c>
      <x:c r="G62" s="69" t="n">
        <x:v>1</x:v>
      </x:c>
      <x:c r="H62" s="69" t="n">
        <x:v>1</x:v>
      </x:c>
      <x:c r="I62" s="69" t="n">
        <x:v>1</x:v>
      </x:c>
      <x:c r="J62" s="69" t="n">
        <x:v>1</x:v>
      </x:c>
      <x:c r="K62" s="69" t="n">
        <x:v>1</x:v>
      </x:c>
      <x:c r="L62" s="69" t="n">
        <x:v>1</x:v>
      </x:c>
      <x:c r="M62" s="69" t="n">
        <x:v>1</x:v>
      </x:c>
      <x:c r="N62" s="69" t="n">
        <x:v>1</x:v>
      </x:c>
      <x:c r="O62" s="69" t="n">
        <x:v>1</x:v>
      </x:c>
      <x:c r="P62" s="69" t="n">
        <x:v>1</x:v>
      </x:c>
      <x:c r="Q62" s="69" t="n">
        <x:v>1</x:v>
      </x:c>
      <x:c r="R62" s="69" t="n">
        <x:v>1</x:v>
      </x:c>
      <x:c r="S62" s="69" t="n">
        <x:v>0.25</x:v>
      </x:c>
      <x:c r="T62" s="70" t="n">
        <x:f>Architecture!$D$7*E62/(Demand!$B$29*O62)</x:f>
        <x:v>0.8437871439990327</x:v>
      </x:c>
      <x:c r="U62" s="70" t="n">
        <x:f>Architecture!$E$7*F62/(Demand!$B$19*P62)</x:f>
        <x:v>0.366412213740458</x:v>
      </x:c>
      <x:c r="V62" s="70" t="n">
        <x:f>Architecture!$F$7*G62/Demand!$B$10</x:f>
        <x:v>0.5</x:v>
      </x:c>
      <x:c r="W62" s="70" t="n">
        <x:f>Architecture!$G$7*H62/(Demand!$B$11*Q62)</x:f>
        <x:v>0.5</x:v>
      </x:c>
      <x:c r="X62" s="70" t="n">
        <x:f>Architecture!$H$7*I62/Demand!$B$16</x:f>
        <x:v>0.5333333333333333</x:v>
      </x:c>
      <x:c r="Y62" s="70" t="n">
        <x:f>Architecture!$I$7*J62/(Demand!$B$12*R62)</x:f>
        <x:v>0.24</x:v>
      </x:c>
      <x:c r="Z62" s="70" t="n">
        <x:f>Architecture!$J$7*K62/Demand!$B$15</x:f>
        <x:v>0.392</x:v>
      </x:c>
      <x:c r="AA62" s="70" t="n">
        <x:f>Architecture!$K$7*Assumptions!$B$33*Assumptions!$B$34*Assumptions!$B$35*L62/Demand!$B$35</x:f>
        <x:v>0.35</x:v>
      </x:c>
      <x:c r="AB62" s="70" t="n">
        <x:f>Architecture!$L$7*(Assumptions!$B$8/24)*M62/Demand!$B$9</x:f>
        <x:v>0.7</x:v>
      </x:c>
      <x:c r="AC62" s="70" t="n">
        <x:f>Architecture!$M$7*N62/(Assumptions!$B$8/24)</x:f>
        <x:v>1</x:v>
      </x:c>
      <x:c r="AD62" s="70" t="n">
        <x:f>S62</x:f>
        <x:v>0.25</x:v>
      </x:c>
      <x:c r="AE62" s="70" t="n">
        <x:f>MIN(T62:AD62)</x:f>
        <x:v>0.24</x:v>
      </x:c>
      <x:c r="AF62" s="51" t="str">
        <x:f>IF(AE62&gt;=1,"PASS","FAIL")</x:f>
        <x:v>FAIL</x:v>
      </x:c>
    </x:row>
    <x:row r="63">
      <x:c r="A63" s="21" t="str">
        <x:v>W14</x:v>
      </x:c>
      <x:c r="B63" s="21" t="str">
        <x:v>Common depot unavailable during second mission</x:v>
      </x:c>
      <x:c r="C63" s="21" t="str">
        <x:v>H2</x:v>
      </x:c>
      <x:c r="D63" s="21" t="str">
        <x:v>Central refuge campuses</x:v>
      </x:c>
      <x:c r="E63" s="69" t="n">
        <x:v>0.65</x:v>
      </x:c>
      <x:c r="F63" s="69" t="n">
        <x:v>0.65</x:v>
      </x:c>
      <x:c r="G63" s="69" t="n">
        <x:v>1</x:v>
      </x:c>
      <x:c r="H63" s="69" t="n">
        <x:v>1</x:v>
      </x:c>
      <x:c r="I63" s="69" t="n">
        <x:v>1</x:v>
      </x:c>
      <x:c r="J63" s="69" t="n">
        <x:v>1</x:v>
      </x:c>
      <x:c r="K63" s="69" t="n">
        <x:v>1</x:v>
      </x:c>
      <x:c r="L63" s="69" t="n">
        <x:v>1</x:v>
      </x:c>
      <x:c r="M63" s="69" t="n">
        <x:v>1</x:v>
      </x:c>
      <x:c r="N63" s="69" t="n">
        <x:v>1</x:v>
      </x:c>
      <x:c r="O63" s="69" t="n">
        <x:v>1</x:v>
      </x:c>
      <x:c r="P63" s="69" t="n">
        <x:v>1</x:v>
      </x:c>
      <x:c r="Q63" s="69" t="n">
        <x:v>1</x:v>
      </x:c>
      <x:c r="R63" s="69" t="n">
        <x:v>1</x:v>
      </x:c>
      <x:c r="S63" s="69" t="n">
        <x:v>0.35</x:v>
      </x:c>
      <x:c r="T63" s="70" t="n">
        <x:f>Architecture!$D$8*E63/(Demand!$B$29*O63)</x:f>
        <x:v>0.7312821914658283</x:v>
      </x:c>
      <x:c r="U63" s="70" t="n">
        <x:f>Architecture!$E$8*F63/(Demand!$B$19*P63)</x:f>
        <x:v>0.7277353689567431</x:v>
      </x:c>
      <x:c r="V63" s="70" t="n">
        <x:f>Architecture!$F$8*G63/Demand!$B$10</x:f>
        <x:v>0.4</x:v>
      </x:c>
      <x:c r="W63" s="70" t="n">
        <x:f>Architecture!$G$8*H63/(Demand!$B$11*Q63)</x:f>
        <x:v>0.6</x:v>
      </x:c>
      <x:c r="X63" s="70" t="n">
        <x:f>Architecture!$H$8*I63/Demand!$B$16</x:f>
        <x:v>0.7111111111111111</x:v>
      </x:c>
      <x:c r="Y63" s="70" t="n">
        <x:f>Architecture!$I$8*J63/(Demand!$B$12*R63)</x:f>
        <x:v>0.3</x:v>
      </x:c>
      <x:c r="Z63" s="70" t="n">
        <x:f>Architecture!$J$8*K63/Demand!$B$15</x:f>
        <x:v>0.44100000000000006</x:v>
      </x:c>
      <x:c r="AA63" s="70" t="n">
        <x:f>Architecture!$K$8*Assumptions!$B$33*Assumptions!$B$34*Assumptions!$B$35*L63/Demand!$B$35</x:f>
        <x:v>0.20999999999999996</x:v>
      </x:c>
      <x:c r="AB63" s="70" t="n">
        <x:f>Architecture!$L$8*(Assumptions!$B$8/24)*M63/Demand!$B$9</x:f>
        <x:v>1.68</x:v>
      </x:c>
      <x:c r="AC63" s="70" t="n">
        <x:f>Architecture!$M$8*N63/(Assumptions!$B$8/24)</x:f>
        <x:v>1</x:v>
      </x:c>
      <x:c r="AD63" s="70" t="n">
        <x:f>S63</x:f>
        <x:v>0.35</x:v>
      </x:c>
      <x:c r="AE63" s="70" t="n">
        <x:f>MIN(T63:AD63)</x:f>
        <x:v>0.20999999999999996</x:v>
      </x:c>
      <x:c r="AF63" s="51" t="str">
        <x:f>IF(AE63&gt;=1,"PASS","FAIL")</x:f>
        <x:v>FAIL</x:v>
      </x:c>
    </x:row>
    <x:row r="64">
      <x:c r="A64" s="21" t="str">
        <x:v>W14</x:v>
      </x:c>
      <x:c r="B64" s="21" t="str">
        <x:v>Common depot unavailable during second mission</x:v>
      </x:c>
      <x:c r="C64" s="21" t="str">
        <x:v>H3</x:v>
      </x:c>
      <x:c r="D64" s="21" t="str">
        <x:v>Building-interface mesh</x:v>
      </x:c>
      <x:c r="E64" s="69" t="n">
        <x:v>0.8</x:v>
      </x:c>
      <x:c r="F64" s="69" t="n">
        <x:v>0.8</x:v>
      </x:c>
      <x:c r="G64" s="69" t="n">
        <x:v>1</x:v>
      </x:c>
      <x:c r="H64" s="69" t="n">
        <x:v>1</x:v>
      </x:c>
      <x:c r="I64" s="69" t="n">
        <x:v>1</x:v>
      </x:c>
      <x:c r="J64" s="69" t="n">
        <x:v>1</x:v>
      </x:c>
      <x:c r="K64" s="69" t="n">
        <x:v>1</x:v>
      </x:c>
      <x:c r="L64" s="69" t="n">
        <x:v>1</x:v>
      </x:c>
      <x:c r="M64" s="69" t="n">
        <x:v>1</x:v>
      </x:c>
      <x:c r="N64" s="69" t="n">
        <x:v>1</x:v>
      </x:c>
      <x:c r="O64" s="69" t="n">
        <x:v>1</x:v>
      </x:c>
      <x:c r="P64" s="69" t="n">
        <x:v>1</x:v>
      </x:c>
      <x:c r="Q64" s="69" t="n">
        <x:v>1</x:v>
      </x:c>
      <x:c r="R64" s="69" t="n">
        <x:v>1</x:v>
      </x:c>
      <x:c r="S64" s="69" t="n">
        <x:v>0.7</x:v>
      </x:c>
      <x:c r="T64" s="70" t="n">
        <x:f>Architecture!$D$9*E64/(Demand!$B$29*O64)</x:f>
        <x:v>1.1250495253320436</x:v>
      </x:c>
      <x:c r="U64" s="70" t="n">
        <x:f>Architecture!$E$9*F64/(Demand!$B$19*P64)</x:f>
        <x:v>1.05852417302799</x:v>
      </x:c>
      <x:c r="V64" s="70" t="n">
        <x:f>Architecture!$F$9*G64/Demand!$B$10</x:f>
        <x:v>1</x:v>
      </x:c>
      <x:c r="W64" s="70" t="n">
        <x:f>Architecture!$G$9*H64/(Demand!$B$11*Q64)</x:f>
        <x:v>1.1</x:v>
      </x:c>
      <x:c r="X64" s="70" t="n">
        <x:f>Architecture!$H$9*I64/Demand!$B$16</x:f>
        <x:v>1.0222222222222221</x:v>
      </x:c>
      <x:c r="Y64" s="70" t="n">
        <x:f>Architecture!$I$9*J64/(Demand!$B$12*R64)</x:f>
        <x:v>1.04</x:v>
      </x:c>
      <x:c r="Z64" s="70" t="n">
        <x:f>Architecture!$J$9*K64/Demand!$B$15</x:f>
        <x:v>1.0290000000000001</x:v>
      </x:c>
      <x:c r="AA64" s="70" t="n">
        <x:f>Architecture!$K$9*Assumptions!$B$33*Assumptions!$B$34*Assumptions!$B$35*L64/Demand!$B$35</x:f>
        <x:v>1.05</x:v>
      </x:c>
      <x:c r="AB64" s="70" t="n">
        <x:f>Architecture!$L$9*(Assumptions!$B$8/24)*M64/Demand!$B$9</x:f>
        <x:v>1.26</x:v>
      </x:c>
      <x:c r="AC64" s="70" t="n">
        <x:f>Architecture!$M$9*N64/(Assumptions!$B$8/24)</x:f>
        <x:v>1</x:v>
      </x:c>
      <x:c r="AD64" s="70" t="n">
        <x:f>S64</x:f>
        <x:v>0.7</x:v>
      </x:c>
      <x:c r="AE64" s="70" t="n">
        <x:f>MIN(T64:AD64)</x:f>
        <x:v>0.7</x:v>
      </x:c>
      <x:c r="AF64" s="51" t="str">
        <x:f>IF(AE64&gt;=1,"PASS","FAIL")</x:f>
        <x:v>FAIL</x:v>
      </x:c>
    </x:row>
    <x:row r="65">
      <x:c r="A65" s="21" t="str">
        <x:v>W14</x:v>
      </x:c>
      <x:c r="B65" s="21" t="str">
        <x:v>Common depot unavailable during second mission</x:v>
      </x:c>
      <x:c r="C65" s="21" t="str">
        <x:v>H4</x:v>
      </x:c>
      <x:c r="D65" s="21" t="str">
        <x:v>Layered PTS-50 group</x:v>
      </x:c>
      <x:c r="E65" s="69" t="n">
        <x:v>0.9</x:v>
      </x:c>
      <x:c r="F65" s="69" t="n">
        <x:v>0.9</x:v>
      </x:c>
      <x:c r="G65" s="69" t="n">
        <x:v>1</x:v>
      </x:c>
      <x:c r="H65" s="69" t="n">
        <x:v>1</x:v>
      </x:c>
      <x:c r="I65" s="69" t="n">
        <x:v>1</x:v>
      </x:c>
      <x:c r="J65" s="69" t="n">
        <x:v>1</x:v>
      </x:c>
      <x:c r="K65" s="69" t="n">
        <x:v>1</x:v>
      </x:c>
      <x:c r="L65" s="69" t="n">
        <x:v>1</x:v>
      </x:c>
      <x:c r="M65" s="69" t="n">
        <x:v>1</x:v>
      </x:c>
      <x:c r="N65" s="69" t="n">
        <x:v>1</x:v>
      </x:c>
      <x:c r="O65" s="69" t="n">
        <x:v>1</x:v>
      </x:c>
      <x:c r="P65" s="69" t="n">
        <x:v>1</x:v>
      </x:c>
      <x:c r="Q65" s="69" t="n">
        <x:v>1</x:v>
      </x:c>
      <x:c r="R65" s="69" t="n">
        <x:v>1</x:v>
      </x:c>
      <x:c r="S65" s="69" t="n">
        <x:v>1.1</x:v>
      </x:c>
      <x:c r="T65" s="70" t="n">
        <x:f>Architecture!$D$10*E65/(Demand!$B$29*O65)</x:f>
        <x:v>1.518816859198259</x:v>
      </x:c>
      <x:c r="U65" s="70" t="n">
        <x:f>Architecture!$E$10*F65/(Demand!$B$19*P65)</x:f>
        <x:v>1.6488549618320612</x:v>
      </x:c>
      <x:c r="V65" s="70" t="n">
        <x:f>Architecture!$F$10*G65/Demand!$B$10</x:f>
        <x:v>1.1111111111111112</x:v>
      </x:c>
      <x:c r="W65" s="70" t="n">
        <x:f>Architecture!$G$10*H65/(Demand!$B$11*Q65)</x:f>
        <x:v>1.35</x:v>
      </x:c>
      <x:c r="X65" s="70" t="n">
        <x:f>Architecture!$H$10*I65/Demand!$B$16</x:f>
        <x:v>1.3333333333333333</x:v>
      </x:c>
      <x:c r="Y65" s="70" t="n">
        <x:f>Architecture!$I$10*J65/(Demand!$B$12*R65)</x:f>
        <x:v>1.4</x:v>
      </x:c>
      <x:c r="Z65" s="70" t="n">
        <x:f>Architecture!$J$10*K65/Demand!$B$15</x:f>
        <x:v>1.2005000000000001</x:v>
      </x:c>
      <x:c r="AA65" s="70" t="n">
        <x:f>Architecture!$K$10*Assumptions!$B$33*Assumptions!$B$34*Assumptions!$B$35*L65/Demand!$B$35</x:f>
        <x:v>1.26</x:v>
      </x:c>
      <x:c r="AB65" s="70" t="n">
        <x:f>Architecture!$L$10*(Assumptions!$B$8/24)*M65/Demand!$B$9</x:f>
        <x:v>2.1</x:v>
      </x:c>
      <x:c r="AC65" s="70" t="n">
        <x:f>Architecture!$M$10*N65/(Assumptions!$B$8/24)</x:f>
        <x:v>1.1428571428571428</x:v>
      </x:c>
      <x:c r="AD65" s="70" t="n">
        <x:f>S65</x:f>
        <x:v>1.1</x:v>
      </x:c>
      <x:c r="AE65" s="70" t="n">
        <x:f>MIN(T65:AD65)</x:f>
        <x:v>1.1</x:v>
      </x:c>
      <x:c r="AF65" s="51" t="str">
        <x:f>IF(AE65&gt;=1,"PASS","FAIL")</x:f>
        <x:v>PASS</x:v>
      </x:c>
    </x:row>
    <x:row r="66">
      <x:c r="A66" s="21" t="str">
        <x:v>W15</x:v>
      </x:c>
      <x:c r="B66" s="21" t="str">
        <x:v>Cell loss plus high-ambient compound</x:v>
      </x:c>
      <x:c r="C66" s="21" t="str">
        <x:v>H1</x:v>
      </x:c>
      <x:c r="D66" s="21" t="str">
        <x:v>Facility power park</x:v>
      </x:c>
      <x:c r="E66" s="69" t="n">
        <x:v>0.5</x:v>
      </x:c>
      <x:c r="F66" s="69" t="n">
        <x:v>0.45</x:v>
      </x:c>
      <x:c r="G66" s="69" t="n">
        <x:v>0.65</x:v>
      </x:c>
      <x:c r="H66" s="69" t="n">
        <x:v>1</x:v>
      </x:c>
      <x:c r="I66" s="69" t="n">
        <x:v>0.5</x:v>
      </x:c>
      <x:c r="J66" s="69" t="n">
        <x:v>1</x:v>
      </x:c>
      <x:c r="K66" s="69" t="n">
        <x:v>0.6</x:v>
      </x:c>
      <x:c r="L66" s="69" t="n">
        <x:v>0.5</x:v>
      </x:c>
      <x:c r="M66" s="69" t="n">
        <x:v>1</x:v>
      </x:c>
      <x:c r="N66" s="69" t="n">
        <x:v>1</x:v>
      </x:c>
      <x:c r="O66" s="69" t="n">
        <x:v>1</x:v>
      </x:c>
      <x:c r="P66" s="69" t="n">
        <x:v>1.05</x:v>
      </x:c>
      <x:c r="Q66" s="69" t="n">
        <x:v>1</x:v>
      </x:c>
      <x:c r="R66" s="69" t="n">
        <x:v>1</x:v>
      </x:c>
      <x:c r="S66" s="69" t="n">
        <x:v>2</x:v>
      </x:c>
      <x:c r="T66" s="70" t="n">
        <x:f>Architecture!$D$7*E66/(Demand!$B$29*O66)</x:f>
        <x:v>0.7031559533325272</x:v>
      </x:c>
      <x:c r="U66" s="70" t="n">
        <x:f>Architecture!$E$7*F66/(Demand!$B$19*P66)</x:f>
        <x:v>0.2617230098146129</x:v>
      </x:c>
      <x:c r="V66" s="70" t="n">
        <x:f>Architecture!$F$7*G66/Demand!$B$10</x:f>
        <x:v>0.325</x:v>
      </x:c>
      <x:c r="W66" s="70" t="n">
        <x:f>Architecture!$G$7*H66/(Demand!$B$11*Q66)</x:f>
        <x:v>0.5</x:v>
      </x:c>
      <x:c r="X66" s="70" t="n">
        <x:f>Architecture!$H$7*I66/Demand!$B$16</x:f>
        <x:v>0.26666666666666666</x:v>
      </x:c>
      <x:c r="Y66" s="70" t="n">
        <x:f>Architecture!$I$7*J66/(Demand!$B$12*R66)</x:f>
        <x:v>0.24</x:v>
      </x:c>
      <x:c r="Z66" s="70" t="n">
        <x:f>Architecture!$J$7*K66/Demand!$B$15</x:f>
        <x:v>0.23520000000000002</x:v>
      </x:c>
      <x:c r="AA66" s="70" t="n">
        <x:f>Architecture!$K$7*Assumptions!$B$33*Assumptions!$B$34*Assumptions!$B$35*L66/Demand!$B$35</x:f>
        <x:v>0.175</x:v>
      </x:c>
      <x:c r="AB66" s="70" t="n">
        <x:f>Architecture!$L$7*(Assumptions!$B$8/24)*M66/Demand!$B$9</x:f>
        <x:v>0.7</x:v>
      </x:c>
      <x:c r="AC66" s="70" t="n">
        <x:f>Architecture!$M$7*N66/(Assumptions!$B$8/24)</x:f>
        <x:v>1</x:v>
      </x:c>
      <x:c r="AD66" s="70" t="n">
        <x:f>S66</x:f>
        <x:v>2</x:v>
      </x:c>
      <x:c r="AE66" s="70" t="n">
        <x:f>MIN(T66:AD66)</x:f>
        <x:v>0.175</x:v>
      </x:c>
      <x:c r="AF66" s="51" t="str">
        <x:f>IF(AE66&gt;=1,"PASS","FAIL")</x:f>
        <x:v>FAIL</x:v>
      </x:c>
    </x:row>
    <x:row r="67">
      <x:c r="A67" s="21" t="str">
        <x:v>W15</x:v>
      </x:c>
      <x:c r="B67" s="21" t="str">
        <x:v>Cell loss plus high-ambient compound</x:v>
      </x:c>
      <x:c r="C67" s="21" t="str">
        <x:v>H2</x:v>
      </x:c>
      <x:c r="D67" s="21" t="str">
        <x:v>Central refuge campuses</x:v>
      </x:c>
      <x:c r="E67" s="69" t="n">
        <x:v>0.55</x:v>
      </x:c>
      <x:c r="F67" s="69" t="n">
        <x:v>0.5</x:v>
      </x:c>
      <x:c r="G67" s="69" t="n">
        <x:v>0.65</x:v>
      </x:c>
      <x:c r="H67" s="69" t="n">
        <x:v>1</x:v>
      </x:c>
      <x:c r="I67" s="69" t="n">
        <x:v>0.55</x:v>
      </x:c>
      <x:c r="J67" s="69" t="n">
        <x:v>1</x:v>
      </x:c>
      <x:c r="K67" s="69" t="n">
        <x:v>0.65</x:v>
      </x:c>
      <x:c r="L67" s="69" t="n">
        <x:v>0.5</x:v>
      </x:c>
      <x:c r="M67" s="69" t="n">
        <x:v>1</x:v>
      </x:c>
      <x:c r="N67" s="69" t="n">
        <x:v>1</x:v>
      </x:c>
      <x:c r="O67" s="69" t="n">
        <x:v>1</x:v>
      </x:c>
      <x:c r="P67" s="69" t="n">
        <x:v>1.05</x:v>
      </x:c>
      <x:c r="Q67" s="69" t="n">
        <x:v>1</x:v>
      </x:c>
      <x:c r="R67" s="69" t="n">
        <x:v>1</x:v>
      </x:c>
      <x:c r="S67" s="69" t="n">
        <x:v>2</x:v>
      </x:c>
      <x:c r="T67" s="70" t="n">
        <x:f>Architecture!$D$8*E67/(Demand!$B$29*O67)</x:f>
        <x:v>0.618777238932624</x:v>
      </x:c>
      <x:c r="U67" s="70" t="n">
        <x:f>Architecture!$E$8*F67/(Demand!$B$19*P67)</x:f>
        <x:v>0.5331394644371743</x:v>
      </x:c>
      <x:c r="V67" s="70" t="n">
        <x:f>Architecture!$F$8*G67/Demand!$B$10</x:f>
        <x:v>0.26</x:v>
      </x:c>
      <x:c r="W67" s="70" t="n">
        <x:f>Architecture!$G$8*H67/(Demand!$B$11*Q67)</x:f>
        <x:v>0.6</x:v>
      </x:c>
      <x:c r="X67" s="70" t="n">
        <x:f>Architecture!$H$8*I67/Demand!$B$16</x:f>
        <x:v>0.3911111111111112</x:v>
      </x:c>
      <x:c r="Y67" s="70" t="n">
        <x:f>Architecture!$I$8*J67/(Demand!$B$12*R67)</x:f>
        <x:v>0.3</x:v>
      </x:c>
      <x:c r="Z67" s="70" t="n">
        <x:f>Architecture!$J$8*K67/Demand!$B$15</x:f>
        <x:v>0.28665</x:v>
      </x:c>
      <x:c r="AA67" s="70" t="n">
        <x:f>Architecture!$K$8*Assumptions!$B$33*Assumptions!$B$34*Assumptions!$B$35*L67/Demand!$B$35</x:f>
        <x:v>0.10499999999999998</x:v>
      </x:c>
      <x:c r="AB67" s="70" t="n">
        <x:f>Architecture!$L$8*(Assumptions!$B$8/24)*M67/Demand!$B$9</x:f>
        <x:v>1.68</x:v>
      </x:c>
      <x:c r="AC67" s="70" t="n">
        <x:f>Architecture!$M$8*N67/(Assumptions!$B$8/24)</x:f>
        <x:v>1</x:v>
      </x:c>
      <x:c r="AD67" s="70" t="n">
        <x:f>S67</x:f>
        <x:v>2</x:v>
      </x:c>
      <x:c r="AE67" s="70" t="n">
        <x:f>MIN(T67:AD67)</x:f>
        <x:v>0.10499999999999998</x:v>
      </x:c>
      <x:c r="AF67" s="51" t="str">
        <x:f>IF(AE67&gt;=1,"PASS","FAIL")</x:f>
        <x:v>FAIL</x:v>
      </x:c>
    </x:row>
    <x:row r="68">
      <x:c r="A68" s="21" t="str">
        <x:v>W15</x:v>
      </x:c>
      <x:c r="B68" s="21" t="str">
        <x:v>Cell loss plus high-ambient compound</x:v>
      </x:c>
      <x:c r="C68" s="21" t="str">
        <x:v>H3</x:v>
      </x:c>
      <x:c r="D68" s="21" t="str">
        <x:v>Building-interface mesh</x:v>
      </x:c>
      <x:c r="E68" s="69" t="n">
        <x:v>0.68</x:v>
      </x:c>
      <x:c r="F68" s="69" t="n">
        <x:v>0.62</x:v>
      </x:c>
      <x:c r="G68" s="69" t="n">
        <x:v>0.85</x:v>
      </x:c>
      <x:c r="H68" s="69" t="n">
        <x:v>1</x:v>
      </x:c>
      <x:c r="I68" s="69" t="n">
        <x:v>0.7</x:v>
      </x:c>
      <x:c r="J68" s="69" t="n">
        <x:v>1</x:v>
      </x:c>
      <x:c r="K68" s="69" t="n">
        <x:v>0.8</x:v>
      </x:c>
      <x:c r="L68" s="69" t="n">
        <x:v>0.7</x:v>
      </x:c>
      <x:c r="M68" s="69" t="n">
        <x:v>1</x:v>
      </x:c>
      <x:c r="N68" s="69" t="n">
        <x:v>1</x:v>
      </x:c>
      <x:c r="O68" s="69" t="n">
        <x:v>1</x:v>
      </x:c>
      <x:c r="P68" s="69" t="n">
        <x:v>1.05</x:v>
      </x:c>
      <x:c r="Q68" s="69" t="n">
        <x:v>1</x:v>
      </x:c>
      <x:c r="R68" s="69" t="n">
        <x:v>1</x:v>
      </x:c>
      <x:c r="S68" s="69" t="n">
        <x:v>2</x:v>
      </x:c>
      <x:c r="T68" s="70" t="n">
        <x:f>Architecture!$D$9*E68/(Demand!$B$29*O68)</x:f>
        <x:v>0.9562920965322371</x:v>
      </x:c>
      <x:c r="U68" s="70" t="n">
        <x:f>Architecture!$E$9*F68/(Demand!$B$19*P68)</x:f>
        <x:v>0.7812916515206592</x:v>
      </x:c>
      <x:c r="V68" s="70" t="n">
        <x:f>Architecture!$F$9*G68/Demand!$B$10</x:f>
        <x:v>0.85</x:v>
      </x:c>
      <x:c r="W68" s="70" t="n">
        <x:f>Architecture!$G$9*H68/(Demand!$B$11*Q68)</x:f>
        <x:v>1.1</x:v>
      </x:c>
      <x:c r="X68" s="70" t="n">
        <x:f>Architecture!$H$9*I68/Demand!$B$16</x:f>
        <x:v>0.7155555555555555</x:v>
      </x:c>
      <x:c r="Y68" s="70" t="n">
        <x:f>Architecture!$I$9*J68/(Demand!$B$12*R68)</x:f>
        <x:v>1.04</x:v>
      </x:c>
      <x:c r="Z68" s="70" t="n">
        <x:f>Architecture!$J$9*K68/Demand!$B$15</x:f>
        <x:v>0.8232</x:v>
      </x:c>
      <x:c r="AA68" s="70" t="n">
        <x:f>Architecture!$K$9*Assumptions!$B$33*Assumptions!$B$34*Assumptions!$B$35*L68/Demand!$B$35</x:f>
        <x:v>0.735</x:v>
      </x:c>
      <x:c r="AB68" s="70" t="n">
        <x:f>Architecture!$L$9*(Assumptions!$B$8/24)*M68/Demand!$B$9</x:f>
        <x:v>1.26</x:v>
      </x:c>
      <x:c r="AC68" s="70" t="n">
        <x:f>Architecture!$M$9*N68/(Assumptions!$B$8/24)</x:f>
        <x:v>1</x:v>
      </x:c>
      <x:c r="AD68" s="70" t="n">
        <x:f>S68</x:f>
        <x:v>2</x:v>
      </x:c>
      <x:c r="AE68" s="70" t="n">
        <x:f>MIN(T68:AD68)</x:f>
        <x:v>0.7155555555555555</x:v>
      </x:c>
      <x:c r="AF68" s="51" t="str">
        <x:f>IF(AE68&gt;=1,"PASS","FAIL")</x:f>
        <x:v>FAIL</x:v>
      </x:c>
    </x:row>
    <x:row r="69">
      <x:c r="A69" s="23" t="str">
        <x:v>W15</x:v>
      </x:c>
      <x:c r="B69" s="23" t="str">
        <x:v>Cell loss plus high-ambient compound</x:v>
      </x:c>
      <x:c r="C69" s="23" t="str">
        <x:v>H4</x:v>
      </x:c>
      <x:c r="D69" s="23" t="str">
        <x:v>Layered PTS-50 group</x:v>
      </x:c>
      <x:c r="E69" s="71" t="n">
        <x:v>0.75</x:v>
      </x:c>
      <x:c r="F69" s="71" t="n">
        <x:v>0.7</x:v>
      </x:c>
      <x:c r="G69" s="71" t="n">
        <x:v>0.95</x:v>
      </x:c>
      <x:c r="H69" s="71" t="n">
        <x:v>1</x:v>
      </x:c>
      <x:c r="I69" s="71" t="n">
        <x:v>0.8</x:v>
      </x:c>
      <x:c r="J69" s="71" t="n">
        <x:v>1</x:v>
      </x:c>
      <x:c r="K69" s="71" t="n">
        <x:v>0.9</x:v>
      </x:c>
      <x:c r="L69" s="71" t="n">
        <x:v>0.83</x:v>
      </x:c>
      <x:c r="M69" s="71" t="n">
        <x:v>1</x:v>
      </x:c>
      <x:c r="N69" s="71" t="n">
        <x:v>1</x:v>
      </x:c>
      <x:c r="O69" s="71" t="n">
        <x:v>1</x:v>
      </x:c>
      <x:c r="P69" s="71" t="n">
        <x:v>1.05</x:v>
      </x:c>
      <x:c r="Q69" s="71" t="n">
        <x:v>1</x:v>
      </x:c>
      <x:c r="R69" s="71" t="n">
        <x:v>1</x:v>
      </x:c>
      <x:c r="S69" s="71" t="n">
        <x:v>2</x:v>
      </x:c>
      <x:c r="T69" s="72" t="n">
        <x:f>Architecture!$D$10*E69/(Demand!$B$29*O69)</x:f>
        <x:v>1.265680715998549</x:v>
      </x:c>
      <x:c r="U69" s="72" t="n">
        <x:f>Architecture!$E$10*F69/(Demand!$B$19*P69)</x:f>
        <x:v>1.2213740458015268</x:v>
      </x:c>
      <x:c r="V69" s="72" t="n">
        <x:f>Architecture!$F$10*G69/Demand!$B$10</x:f>
        <x:v>1.0555555555555556</x:v>
      </x:c>
      <x:c r="W69" s="72" t="n">
        <x:f>Architecture!$G$10*H69/(Demand!$B$11*Q69)</x:f>
        <x:v>1.35</x:v>
      </x:c>
      <x:c r="X69" s="72" t="n">
        <x:f>Architecture!$H$10*I69/Demand!$B$16</x:f>
        <x:v>1.0666666666666667</x:v>
      </x:c>
      <x:c r="Y69" s="72" t="n">
        <x:f>Architecture!$I$10*J69/(Demand!$B$12*R69)</x:f>
        <x:v>1.4</x:v>
      </x:c>
      <x:c r="Z69" s="72" t="n">
        <x:f>Architecture!$J$10*K69/Demand!$B$15</x:f>
        <x:v>1.0804500000000001</x:v>
      </x:c>
      <x:c r="AA69" s="72" t="n">
        <x:f>Architecture!$K$10*Assumptions!$B$33*Assumptions!$B$34*Assumptions!$B$35*L69/Demand!$B$35</x:f>
        <x:v>1.0457999999999998</x:v>
      </x:c>
      <x:c r="AB69" s="72" t="n">
        <x:f>Architecture!$L$10*(Assumptions!$B$8/24)*M69/Demand!$B$9</x:f>
        <x:v>2.1</x:v>
      </x:c>
      <x:c r="AC69" s="72" t="n">
        <x:f>Architecture!$M$10*N69/(Assumptions!$B$8/24)</x:f>
        <x:v>1.1428571428571428</x:v>
      </x:c>
      <x:c r="AD69" s="72" t="n">
        <x:f>S69</x:f>
        <x:v>2</x:v>
      </x:c>
      <x:c r="AE69" s="72" t="n">
        <x:f>MIN(T69:AD69)</x:f>
        <x:v>1.0457999999999998</x:v>
      </x:c>
      <x:c r="AF69" s="73" t="str">
        <x:f>IF(AE69&gt;=1,"PASS","FAIL")</x:f>
        <x:v>PASS</x:v>
      </x:c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</x:row>
    <x:row r="72">
      <x:c r="A72" s="38" t="str">
        <x:v>Lawful universal stop</x:v>
      </x:c>
      <x:c r="B72" s="39"/>
      <x:c r="C72" s="39"/>
      <x:c r="D72" s="39"/>
      <x:c r="E72" s="39"/>
      <x:c r="F72" s="40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</x:row>
    <x:row r="73">
      <x:c r="A73" s="2" t="str">
        <x:v>H1</x:v>
      </x:c>
      <x:c r="B73" s="2" t="str">
        <x:v>Facility power park</x:v>
      </x:c>
      <x:c r="C73" s="2" t="n">
        <x:v>0</x:v>
      </x:c>
      <x:c r="D73" s="2" t="str">
        <x:v>Cannot verify or execute a district-wide occupied-building stop</x:v>
      </x:c>
      <x:c r="E73" s="2" t="str">
        <x:v>FAIL</x:v>
      </x:c>
      <x:c r="F73" s="2" t="str">
        <x:v>No service credit</x:v>
      </x:c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</x:row>
    <x:row r="74">
      <x:c r="A74" s="2" t="str">
        <x:v>H2</x:v>
      </x:c>
      <x:c r="B74" s="2" t="str">
        <x:v>Central refuge campuses</x:v>
      </x:c>
      <x:c r="C74" s="2" t="n">
        <x:v>0</x:v>
      </x:c>
      <x:c r="D74" s="2" t="str">
        <x:v>Cannot hold unsafe origin buildings while preserving household custody</x:v>
      </x:c>
      <x:c r="E74" s="2" t="str">
        <x:v>FAIL</x:v>
      </x:c>
      <x:c r="F74" s="2" t="str">
        <x:v>No service credit</x:v>
      </x:c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</x:row>
    <x:row r="75">
      <x:c r="A75" s="2" t="str">
        <x:v>H3</x:v>
      </x:c>
      <x:c r="B75" s="2" t="str">
        <x:v>Building-interface mesh</x:v>
      </x:c>
      <x:c r="C75" s="2" t="n">
        <x:v>1</x:v>
      </x:c>
      <x:c r="D75" s="2" t="str">
        <x:v>Can isolate sites but lacks independent authority and second-mission depth</x:v>
      </x:c>
      <x:c r="E75" s="2" t="str">
        <x:v>PARTIAL</x:v>
      </x:c>
      <x:c r="F75" s="2" t="str">
        <x:v>No service credit</x:v>
      </x:c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</x:row>
    <x:row r="76">
      <x:c r="A76" s="2" t="str">
        <x:v>H4</x:v>
      </x:c>
      <x:c r="B76" s="2" t="str">
        <x:v>Layered PTS-50 group</x:v>
      </x:c>
      <x:c r="C76" s="2" t="n">
        <x:v>1</x:v>
      </x:c>
      <x:c r="D76" s="2" t="str">
        <x:v>Stops energization, preserves medical micro-power and transfers affected households</x:v>
      </x:c>
      <x:c r="E76" s="2" t="str">
        <x:v>PASS</x:v>
      </x:c>
      <x:c r="F76" s="2" t="str">
        <x:v>Correct behavior</x:v>
      </x:c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</x:row>
  </x:sheetData>
  <x:mergeCells>
    <x:mergeCell ref="A2:AF2"/>
    <x:mergeCell ref="A3:AF3"/>
  </x:mergeCells>
  <x:conditionalFormatting sqref="AF6:AF69">
    <x:cfRule type="containsText" dxfId="1" priority="1" operator="containsText" text="FAIL"/>
    <x:cfRule type="containsText" dxfId="2" priority="2" operator="containsText" text="PASS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3" t="str">
        <x:v>PTS-50 formation account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4" t="str">
        <x:v>Shift-complete upper comparator; dry mass excludes the unclosed wet energy and consumables burden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5"/>
      <x:c r="B4" s="5"/>
      <x:c r="C4" s="5"/>
      <x:c r="D4" s="5"/>
      <x:c r="E4" s="5"/>
      <x:c r="F4" s="5"/>
      <x:c r="G4" s="5"/>
      <x:c r="H4" s="5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</x:row>
    <x:row r="6">
      <x:c r="A6" s="14" t="str">
        <x:v>Element</x:v>
      </x:c>
      <x:c r="B6" s="15" t="str">
        <x:v>Quantity</x:v>
      </x:c>
      <x:c r="C6" s="15" t="str">
        <x:v>Crew / unit</x:v>
      </x:c>
      <x:c r="D6" s="15" t="str">
        <x:v>Mass / unit (t)</x:v>
      </x:c>
      <x:c r="E6" s="15" t="str">
        <x:v>Direct cost / unit ($M)</x:v>
      </x:c>
      <x:c r="F6" s="15" t="str">
        <x:v>Total crew</x:v>
      </x:c>
      <x:c r="G6" s="16" t="str">
        <x:v>Total dry mass (t)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</x:row>
    <x:row r="7">
      <x:c r="A7" s="19" t="str">
        <x:v>PTS-5 power-and-thermal service cells</x:v>
      </x:c>
      <x:c r="B7" s="20" t="n">
        <x:v>12</x:v>
      </x:c>
      <x:c r="C7" s="20" t="n">
        <x:v>54</x:v>
      </x:c>
      <x:c r="D7" s="20" t="n">
        <x:v>260</x:v>
      </x:c>
      <x:c r="E7" s="20" t="n">
        <x:v>180</x:v>
      </x:c>
      <x:c r="F7" s="19" t="n">
        <x:f>B7*C7</x:f>
        <x:v>648</x:v>
      </x:c>
      <x:c r="G7" s="19" t="n">
        <x:f>B7*D7</x:f>
        <x:v>3120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</x:row>
    <x:row r="8">
      <x:c r="A8" s="21" t="str">
        <x:v>Building-interface teams</x:v>
      </x:c>
      <x:c r="B8" s="22" t="n">
        <x:v>72</x:v>
      </x:c>
      <x:c r="C8" s="22" t="n">
        <x:v>5</x:v>
      </x:c>
      <x:c r="D8" s="22" t="n">
        <x:v>2.5</x:v>
      </x:c>
      <x:c r="E8" s="22" t="n">
        <x:v>8</x:v>
      </x:c>
      <x:c r="F8" s="21" t="n">
        <x:f>B8*C8</x:f>
        <x:v>360</x:v>
      </x:c>
      <x:c r="G8" s="21" t="n">
        <x:f>B8*D8</x:f>
        <x:v>180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</x:row>
    <x:row r="9">
      <x:c r="A9" s="21" t="str">
        <x:v>Thermal-distribution and clean-air teams</x:v>
      </x:c>
      <x:c r="B9" s="22" t="n">
        <x:v>20</x:v>
      </x:c>
      <x:c r="C9" s="22" t="n">
        <x:v>10</x:v>
      </x:c>
      <x:c r="D9" s="22" t="n">
        <x:v>18</x:v>
      </x:c>
      <x:c r="E9" s="22" t="n">
        <x:v>24</x:v>
      </x:c>
      <x:c r="F9" s="21" t="n">
        <x:f>B9*C9</x:f>
        <x:v>200</x:v>
      </x:c>
      <x:c r="G9" s="21" t="n">
        <x:f>B9*D9</x:f>
        <x:v>360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</x:row>
    <x:row r="10">
      <x:c r="A10" s="21" t="str">
        <x:v>Medical-device continuity teams</x:v>
      </x:c>
      <x:c r="B10" s="22" t="n">
        <x:v>40</x:v>
      </x:c>
      <x:c r="C10" s="22" t="n">
        <x:v>4</x:v>
      </x:c>
      <x:c r="D10" s="22" t="n">
        <x:v>1.5</x:v>
      </x:c>
      <x:c r="E10" s="22" t="n">
        <x:v>3</x:v>
      </x:c>
      <x:c r="F10" s="21" t="n">
        <x:f>B10*C10</x:f>
        <x:v>160</x:v>
      </x:c>
      <x:c r="G10" s="21" t="n">
        <x:f>B10*D10</x:f>
        <x:v>60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</x:row>
    <x:row r="11">
      <x:c r="A11" s="21" t="str">
        <x:v>Vertical, water-pump and elevator teams</x:v>
      </x:c>
      <x:c r="B11" s="22" t="n">
        <x:v>24</x:v>
      </x:c>
      <x:c r="C11" s="22" t="n">
        <x:v>6</x:v>
      </x:c>
      <x:c r="D11" s="22" t="n">
        <x:v>6</x:v>
      </x:c>
      <x:c r="E11" s="22" t="n">
        <x:v>8</x:v>
      </x:c>
      <x:c r="F11" s="21" t="n">
        <x:f>B11*C11</x:f>
        <x:v>144</x:v>
      </x:c>
      <x:c r="G11" s="21" t="n">
        <x:f>B11*D11</x:f>
        <x:v>144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</x:row>
    <x:row r="12">
      <x:c r="A12" s="21" t="str">
        <x:v>Neighborhood refuge node sets</x:v>
      </x:c>
      <x:c r="B12" s="22" t="n">
        <x:v>20</x:v>
      </x:c>
      <x:c r="C12" s="22" t="n">
        <x:v>15</x:v>
      </x:c>
      <x:c r="D12" s="22" t="n">
        <x:v>20</x:v>
      </x:c>
      <x:c r="E12" s="22" t="n">
        <x:v>30</x:v>
      </x:c>
      <x:c r="F12" s="21" t="n">
        <x:f>B12*C12</x:f>
        <x:v>300</x:v>
      </x:c>
      <x:c r="G12" s="21" t="n">
        <x:f>B12*D12</x:f>
        <x:v>400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</x:row>
    <x:row r="13">
      <x:c r="A13" s="21" t="str">
        <x:v>Disconnected communications nodes</x:v>
      </x:c>
      <x:c r="B13" s="22" t="n">
        <x:v>12</x:v>
      </x:c>
      <x:c r="C13" s="22" t="n">
        <x:v>8</x:v>
      </x:c>
      <x:c r="D13" s="22" t="n">
        <x:v>8</x:v>
      </x:c>
      <x:c r="E13" s="22" t="n">
        <x:v>15</x:v>
      </x:c>
      <x:c r="F13" s="21" t="n">
        <x:f>B13*C13</x:f>
        <x:v>96</x:v>
      </x:c>
      <x:c r="G13" s="21" t="n">
        <x:f>B13*D13</x:f>
        <x:v>96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</x:row>
    <x:row r="14">
      <x:c r="A14" s="21" t="str">
        <x:v>Command, civil authority and technical release</x:v>
      </x:c>
      <x:c r="B14" s="22" t="n">
        <x:v>1</x:v>
      </x:c>
      <x:c r="C14" s="22" t="n">
        <x:v>180</x:v>
      </x:c>
      <x:c r="D14" s="22" t="n">
        <x:v>180</x:v>
      </x:c>
      <x:c r="E14" s="22" t="n">
        <x:v>250</x:v>
      </x:c>
      <x:c r="F14" s="21" t="n">
        <x:f>B14*C14</x:f>
        <x:v>180</x:v>
      </x:c>
      <x:c r="G14" s="21" t="n">
        <x:f>B14*D14</x:f>
        <x:v>180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</x:row>
    <x:row r="15">
      <x:c r="A15" s="21" t="str">
        <x:v>Maintenance and regeneration group</x:v>
      </x:c>
      <x:c r="B15" s="22" t="n">
        <x:v>1</x:v>
      </x:c>
      <x:c r="C15" s="22" t="n">
        <x:v>280</x:v>
      </x:c>
      <x:c r="D15" s="22" t="n">
        <x:v>600</x:v>
      </x:c>
      <x:c r="E15" s="22" t="n">
        <x:v>600</x:v>
      </x:c>
      <x:c r="F15" s="21" t="n">
        <x:f>B15*C15</x:f>
        <x:v>280</x:v>
      </x:c>
      <x:c r="G15" s="21" t="n">
        <x:f>B15*D15</x:f>
        <x:v>600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</x:row>
    <x:row r="16">
      <x:c r="A16" s="21" t="str">
        <x:v>Seven-day field base</x:v>
      </x:c>
      <x:c r="B16" s="22" t="n">
        <x:v>1</x:v>
      </x:c>
      <x:c r="C16" s="22" t="n">
        <x:v>320</x:v>
      </x:c>
      <x:c r="D16" s="22" t="n">
        <x:v>900</x:v>
      </x:c>
      <x:c r="E16" s="22" t="n">
        <x:v>500</x:v>
      </x:c>
      <x:c r="F16" s="21" t="n">
        <x:f>B16*C16</x:f>
        <x:v>320</x:v>
      </x:c>
      <x:c r="G16" s="21" t="n">
        <x:f>B16*D16</x:f>
        <x:v>900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</x:row>
    <x:row r="17">
      <x:c r="A17" s="21" t="str">
        <x:v>Corridor and building-adapter reserve</x:v>
      </x:c>
      <x:c r="B17" s="22" t="n">
        <x:v>1</x:v>
      </x:c>
      <x:c r="C17" s="22" t="n">
        <x:v>0</x:v>
      </x:c>
      <x:c r="D17" s="22" t="n">
        <x:v>1200</x:v>
      </x:c>
      <x:c r="E17" s="22" t="n">
        <x:v>700</x:v>
      </x:c>
      <x:c r="F17" s="21" t="n">
        <x:f>B17*C17</x:f>
        <x:v>0</x:v>
      </x:c>
      <x:c r="G17" s="21" t="n">
        <x:f>B17*D17</x:f>
        <x:v>1200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</x:row>
    <x:row r="18">
      <x:c r="A18" s="23" t="str">
        <x:v>Spares and repair reserve</x:v>
      </x:c>
      <x:c r="B18" s="24" t="n">
        <x:v>1</x:v>
      </x:c>
      <x:c r="C18" s="24" t="n">
        <x:v>0</x:v>
      </x:c>
      <x:c r="D18" s="24" t="n">
        <x:v>500</x:v>
      </x:c>
      <x:c r="E18" s="24" t="n">
        <x:v>450</x:v>
      </x:c>
      <x:c r="F18" s="23" t="n">
        <x:f>B18*C18</x:f>
        <x:v>0</x:v>
      </x:c>
      <x:c r="G18" s="23" t="n">
        <x:f>B18*D18</x:f>
        <x:v>500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</x:row>
    <x:row r="19">
      <x:c r="A19" s="35" t="str">
        <x:v>Formation totals</x:v>
      </x:c>
      <x:c r="B19" s="36"/>
      <x:c r="C19" s="36"/>
      <x:c r="D19" s="36"/>
      <x:c r="E19" s="36"/>
      <x:c r="F19" s="36" t="n">
        <x:f>SUM(F7:F18)</x:f>
        <x:v>2688</x:v>
      </x:c>
      <x:c r="G19" s="37" t="n">
        <x:f>SUM(G7:G18)</x:f>
        <x:v>7740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</x:row>
    <x:row r="22">
      <x:c r="A22" s="38" t="str">
        <x:v>Mass and capital consequences</x:v>
      </x:c>
      <x:c r="B22" s="39"/>
      <x:c r="C22" s="39"/>
      <x:c r="D22" s="39"/>
      <x:c r="E22" s="39"/>
      <x:c r="F22" s="39"/>
      <x:c r="G22" s="40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</x:row>
    <x:row r="23">
      <x:c r="A23" s="2" t="str">
        <x:v>Direct equipment cost</x:v>
      </x:c>
      <x:c r="B23" s="41" t="n">
        <x:f>SUMPRODUCT(B7:B18,E7:E18)/1000</x:f>
        <x:v>6.808</x:v>
      </x:c>
      <x:c r="C23" s="2" t="str">
        <x:v>$B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</x:row>
    <x:row r="24">
      <x:c r="A24" s="2" t="str">
        <x:v>Configured unit capital</x:v>
      </x:c>
      <x:c r="B24" s="41" t="n">
        <x:f>B23*(1+Assumptions!B43)</x:f>
        <x:v>8.169599999999999</x:v>
      </x:c>
      <x:c r="C24" s="2" t="str">
        <x:v>$B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</x:row>
    <x:row r="25">
      <x:c r="A25" s="2" t="str">
        <x:v>Chargeable mass</x:v>
      </x:c>
      <x:c r="B25" s="27" t="n">
        <x:f>G19*(1+Assumptions!B42)</x:f>
        <x:v>8901</x:v>
      </x:c>
      <x:c r="C25" s="2" t="str">
        <x:v>t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</x:row>
    <x:row r="26">
      <x:c r="A26" s="2" t="str">
        <x:v>Wet energy and process-consumables burden</x:v>
      </x:c>
      <x:c r="B26" s="43" t="str">
        <x:v>OPEN</x:v>
      </x:c>
      <x:c r="C26" s="2" t="str">
        <x:v>not closed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</x:row>
  </x:sheetData>
  <x:mergeCells>
    <x:mergeCell ref="A2:H2"/>
    <x:mergeCell ref="A3:H3"/>
    <x:mergeCell ref="A19:E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3" t="str">
        <x:v>Twenty-five-year national program comparison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4" t="str">
        <x:v>Constant 2026 USD; a capability-family comparator, not a budget request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</x:row>
    <x:row r="6">
      <x:c r="A6" s="14" t="str">
        <x:v>Architecture</x:v>
      </x:c>
      <x:c r="B6" s="15" t="str">
        <x:v>Groups</x:v>
      </x:c>
      <x:c r="C6" s="15" t="str">
        <x:v>Configured unit capital ($B)</x:v>
      </x:c>
      <x:c r="D6" s="15" t="str">
        <x:v>Fleet equipment ($B)</x:v>
      </x:c>
      <x:c r="E6" s="15" t="str">
        <x:v>Prepared metros</x:v>
      </x:c>
      <x:c r="F6" s="15" t="str">
        <x:v>Prepared metro works ($B)</x:v>
      </x:c>
      <x:c r="G6" s="15" t="str">
        <x:v>25-year O&amp;S ($B)</x:v>
      </x:c>
      <x:c r="H6" s="15" t="str">
        <x:v>R&amp;D and industrialization ($B)</x:v>
      </x:c>
      <x:c r="I6" s="15" t="str">
        <x:v>Bases and workforce ($B)</x:v>
      </x:c>
      <x:c r="J6" s="16" t="str">
        <x:v>Program total ($B)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</x:row>
    <x:row r="7">
      <x:c r="A7" s="19" t="str">
        <x:v>H1 Facility power park</x:v>
      </x:c>
      <x:c r="B7" s="78" t="n">
        <x:v>72</x:v>
      </x:c>
      <x:c r="C7" s="79" t="n">
        <x:f>Architecture!U7*(1+Assumptions!B43)</x:f>
        <x:v>3.12</x:v>
      </x:c>
      <x:c r="D7" s="79" t="n">
        <x:f>B7*C7</x:f>
        <x:v>224.64000000000001</x:v>
      </x:c>
      <x:c r="E7" s="78" t="n">
        <x:v>24</x:v>
      </x:c>
      <x:c r="F7" s="80" t="n">
        <x:f>E7*4.0</x:f>
        <x:v>96</x:v>
      </x:c>
      <x:c r="G7" s="80" t="n">
        <x:f>B7*0.28*Assumptions!B46</x:f>
        <x:v>504.0000000000001</x:v>
      </x:c>
      <x:c r="H7" s="80" t="n">
        <x:v>60</x:v>
      </x:c>
      <x:c r="I7" s="80" t="n">
        <x:v>60</x:v>
      </x:c>
      <x:c r="J7" s="79" t="n">
        <x:f>SUM(D7,F7:I7)</x:f>
        <x:v>944.6400000000001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</x:row>
    <x:row r="8">
      <x:c r="A8" s="21" t="str">
        <x:v>H2 Central refuge campuses</x:v>
      </x:c>
      <x:c r="B8" s="81" t="n">
        <x:v>72</x:v>
      </x:c>
      <x:c r="C8" s="82" t="n">
        <x:f>Architecture!U8*(1+Assumptions!B43)</x:f>
        <x:v>4.08</x:v>
      </x:c>
      <x:c r="D8" s="82" t="n">
        <x:f>B8*C8</x:f>
        <x:v>293.76</x:v>
      </x:c>
      <x:c r="E8" s="81" t="n">
        <x:v>24</x:v>
      </x:c>
      <x:c r="F8" s="83" t="n">
        <x:f>E8*5.5</x:f>
        <x:v>132</x:v>
      </x:c>
      <x:c r="G8" s="83" t="n">
        <x:f>B8*0.33*Assumptions!B46</x:f>
        <x:v>594</x:v>
      </x:c>
      <x:c r="H8" s="83" t="n">
        <x:v>90</x:v>
      </x:c>
      <x:c r="I8" s="83" t="n">
        <x:v>80</x:v>
      </x:c>
      <x:c r="J8" s="82" t="n">
        <x:f>SUM(D8,F8:I8)</x:f>
        <x:v>1189.76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</x:row>
    <x:row r="9">
      <x:c r="A9" s="21" t="str">
        <x:v>H3 Building-interface mesh</x:v>
      </x:c>
      <x:c r="B9" s="81" t="n">
        <x:v>72</x:v>
      </x:c>
      <x:c r="C9" s="82" t="n">
        <x:f>Architecture!U9*(1+Assumptions!B43)</x:f>
        <x:v>6.72</x:v>
      </x:c>
      <x:c r="D9" s="82" t="n">
        <x:f>B9*C9</x:f>
        <x:v>483.84</x:v>
      </x:c>
      <x:c r="E9" s="81" t="n">
        <x:v>24</x:v>
      </x:c>
      <x:c r="F9" s="83" t="n">
        <x:f>E9*7.0</x:f>
        <x:v>168</x:v>
      </x:c>
      <x:c r="G9" s="83" t="n">
        <x:f>B9*0.47*Assumptions!B46</x:f>
        <x:v>845.9999999999999</x:v>
      </x:c>
      <x:c r="H9" s="83" t="n">
        <x:v>140</x:v>
      </x:c>
      <x:c r="I9" s="83" t="n">
        <x:v>120</x:v>
      </x:c>
      <x:c r="J9" s="82" t="n">
        <x:f>SUM(D9,F9:I9)</x:f>
        <x:v>1757.84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</x:row>
    <x:row r="10">
      <x:c r="A10" s="23" t="str">
        <x:v>H4 Layered PTS-50 group</x:v>
      </x:c>
      <x:c r="B10" s="52" t="n">
        <x:f>Assumptions!B44</x:f>
        <x:v>72</x:v>
      </x:c>
      <x:c r="C10" s="84" t="n">
        <x:f>Architecture!U10*(1+Assumptions!B43)</x:f>
        <x:v>8.169599999999999</x:v>
      </x:c>
      <x:c r="D10" s="84" t="n">
        <x:f>B10*C10</x:f>
        <x:v>588.2112</x:v>
      </x:c>
      <x:c r="E10" s="52" t="n">
        <x:f>Assumptions!B45</x:f>
        <x:v>24</x:v>
      </x:c>
      <x:c r="F10" s="85" t="n">
        <x:f>E10*9.0</x:f>
        <x:v>216</x:v>
      </x:c>
      <x:c r="G10" s="85" t="n">
        <x:f>B10*0.62*Assumptions!B46</x:f>
        <x:v>1116</x:v>
      </x:c>
      <x:c r="H10" s="85" t="n">
        <x:v>220</x:v>
      </x:c>
      <x:c r="I10" s="85" t="n">
        <x:v>180</x:v>
      </x:c>
      <x:c r="J10" s="84" t="n">
        <x:f>SUM(D10,F10:I10)</x:f>
        <x:v>2320.2111999999997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</x:row>
    <x:row r="13">
      <x:c r="A13" s="38" t="str">
        <x:v>Program boundary</x:v>
      </x:c>
      <x:c r="B13" s="39"/>
      <x:c r="C13" s="39"/>
      <x:c r="D13" s="39"/>
      <x:c r="E13" s="39"/>
      <x:c r="F13" s="39"/>
      <x:c r="G13" s="39"/>
      <x:c r="H13" s="39"/>
      <x:c r="I13" s="39"/>
      <x:c r="J13" s="40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</x:row>
    <x:row r="14">
      <x:c r="A14" s="2" t="str">
        <x:v>Included</x:v>
      </x:c>
      <x:c r="B14" s="86" t="str">
        <x:v>Configured equipment, prepared metropolitan interfaces, group operations, R&amp;D, industrialization, bases and workforce generation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</x:row>
    <x:row r="15">
      <x:c r="A15" s="2" t="str">
        <x:v>Excluded</x:v>
      </x:c>
      <x:c r="B15" s="86" t="str">
        <x:v>Wet energy/feedstock inventory, permanent utility reconstruction, household compensation, civil health losses and macroeconomic benefits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</x:row>
    <x:row r="16">
      <x:c r="A16" s="2" t="str">
        <x:v>Interpretation</x:v>
      </x:c>
      <x:c r="B16" s="86" t="str">
        <x:v>The H4 total buys a national heat-blackout service arm with 3.6 million simultaneous district places before local capacity; it does not prove outcome or affordability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</x:row>
  </x:sheetData>
  <x:mergeCells>
    <x:mergeCell ref="A2:J2"/>
    <x:mergeCell ref="A3:J3"/>
    <x:mergeCell ref="B14:J14"/>
    <x:mergeCell ref="B15:J15"/>
    <x:mergeCell ref="B16:J1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62" hidden="0" customWidth="1"/>
    <x:col min="3" max="3" width="14" hidden="0" customWidth="1"/>
    <x:col min="4" max="4" width="3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3" t="str">
        <x:v>Representative evidence contract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4" t="str">
        <x:v>No architecture advances to acquisition or rendering while these configuration-locked gates remain open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5"/>
      <x:c r="B4" s="5"/>
      <x:c r="C4" s="5"/>
      <x:c r="D4" s="5"/>
      <x:c r="E4" s="5"/>
      <x:c r="F4" s="5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</x:row>
    <x:row r="6">
      <x:c r="A6" s="14" t="str">
        <x:v>Gate</x:v>
      </x:c>
      <x:c r="B6" s="15" t="str">
        <x:v>Representative challenge</x:v>
      </x:c>
      <x:c r="C6" s="15" t="str">
        <x:v>Status</x:v>
      </x:c>
      <x:c r="D6" s="16" t="str">
        <x:v>Admission consequence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</x:row>
    <x:row r="7">
      <x:c r="A7" s="19" t="str">
        <x:v>G01</x:v>
      </x:c>
      <x:c r="B7" s="19" t="str">
        <x:v>Occupied-building thermal load measurement across declared archetypes</x:v>
      </x:c>
      <x:c r="C7" s="88" t="str">
        <x:v>OPEN</x:v>
      </x:c>
      <x:c r="D7" s="19" t="str">
        <x:v>Blocks strict admission and rendering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</x:row>
    <x:row r="8">
      <x:c r="A8" s="21" t="str">
        <x:v>G02</x:v>
      </x:c>
      <x:c r="B8" s="21" t="str">
        <x:v>High-ambient net cooling and heat rejection at full auxiliary load</x:v>
      </x:c>
      <x:c r="C8" s="89" t="str">
        <x:v>OPEN</x:v>
      </x:c>
      <x:c r="D8" s="21" t="str">
        <x:v>Blocks strict admission and rendering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</x:row>
    <x:row r="9">
      <x:c r="A9" s="21" t="str">
        <x:v>G03</x:v>
      </x:c>
      <x:c r="B9" s="21" t="str">
        <x:v>Cold black start with actual pumps, compressors, elevators and controls</x:v>
      </x:c>
      <x:c r="C9" s="89" t="str">
        <x:v>OPEN</x:v>
      </x:c>
      <x:c r="D9" s="21" t="str">
        <x:v>Blocks strict admission and rendering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</x:row>
    <x:row r="10">
      <x:c r="A10" s="21" t="str">
        <x:v>G04</x:v>
      </x:c>
      <x:c r="B10" s="21" t="str">
        <x:v>Largest source module loss during hottest-night peak</x:v>
      </x:c>
      <x:c r="C10" s="89" t="str">
        <x:v>OPEN</x:v>
      </x:c>
      <x:c r="D10" s="21" t="str">
        <x:v>Blocks strict admission and rendering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</x:row>
    <x:row r="11">
      <x:c r="A11" s="21" t="str">
        <x:v>G05</x:v>
      </x:c>
      <x:c r="B11" s="21" t="str">
        <x:v>Largest thermal train loss with smoke filtration active</x:v>
      </x:c>
      <x:c r="C11" s="89" t="str">
        <x:v>OPEN</x:v>
      </x:c>
      <x:c r="D11" s="21" t="str">
        <x:v>Blocks strict admission and rendering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</x:row>
    <x:row r="12">
      <x:c r="A12" s="21" t="str">
        <x:v>G06</x:v>
      </x:c>
      <x:c r="B12" s="21" t="str">
        <x:v>Wet-ground connection, backfeed, grounding and step-touch challenge</x:v>
      </x:c>
      <x:c r="C12" s="89" t="str">
        <x:v>OPEN</x:v>
      </x:c>
      <x:c r="D12" s="21" t="str">
        <x:v>Blocks strict admission and rendering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</x:row>
    <x:row r="13">
      <x:c r="A13" s="21" t="str">
        <x:v>G07</x:v>
      </x:c>
      <x:c r="B13" s="21" t="str">
        <x:v>Prepared-building quick connection through owner and utility release</x:v>
      </x:c>
      <x:c r="C13" s="89" t="str">
        <x:v>OPEN</x:v>
      </x:c>
      <x:c r="D13" s="21" t="str">
        <x:v>Blocks strict admission and rendering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</x:row>
    <x:row r="14">
      <x:c r="A14" s="21" t="str">
        <x:v>G08</x:v>
      </x:c>
      <x:c r="B14" s="21" t="str">
        <x:v>Field-adapted building connection within the crew-hour ceiling</x:v>
      </x:c>
      <x:c r="C14" s="89" t="str">
        <x:v>OPEN</x:v>
      </x:c>
      <x:c r="D14" s="21" t="str">
        <x:v>Blocks strict admission and rendering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</x:row>
    <x:row r="15">
      <x:c r="A15" s="21" t="str">
        <x:v>G09</x:v>
      </x:c>
      <x:c r="B15" s="21" t="str">
        <x:v>Temporary chilled-air or fluid distribution through occupied space</x:v>
      </x:c>
      <x:c r="C15" s="89" t="str">
        <x:v>OPEN</x:v>
      </x:c>
      <x:c r="D15" s="21" t="str">
        <x:v>Blocks strict admission and rendering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</x:row>
    <x:row r="16">
      <x:c r="A16" s="21" t="str">
        <x:v>G10</x:v>
      </x:c>
      <x:c r="B16" s="21" t="str">
        <x:v>Medical micro-power continuity during cell isolation</x:v>
      </x:c>
      <x:c r="C16" s="89" t="str">
        <x:v>OPEN</x:v>
      </x:c>
      <x:c r="D16" s="21" t="str">
        <x:v>Blocks strict admission and rendering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</x:row>
    <x:row r="17">
      <x:c r="A17" s="21" t="str">
        <x:v>G11</x:v>
      </x:c>
      <x:c r="B17" s="21" t="str">
        <x:v>Domestic water pump restart and contamination-safe service</x:v>
      </x:c>
      <x:c r="C17" s="89" t="str">
        <x:v>OPEN</x:v>
      </x:c>
      <x:c r="D17" s="21" t="str">
        <x:v>Blocks strict admission and rendering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</x:row>
    <x:row r="18">
      <x:c r="A18" s="21" t="str">
        <x:v>G12</x:v>
      </x:c>
      <x:c r="B18" s="21" t="str">
        <x:v>Elevator or vertical-service operation with fire and egress controls</x:v>
      </x:c>
      <x:c r="C18" s="89" t="str">
        <x:v>OPEN</x:v>
      </x:c>
      <x:c r="D18" s="21" t="str">
        <x:v>Blocks strict admission and rendering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</x:row>
    <x:row r="19">
      <x:c r="A19" s="21" t="str">
        <x:v>G13</x:v>
      </x:c>
      <x:c r="B19" s="21" t="str">
        <x:v>Disconnected household, building and load registry reconciliation</x:v>
      </x:c>
      <x:c r="C19" s="89" t="str">
        <x:v>OPEN</x:v>
      </x:c>
      <x:c r="D19" s="21" t="str">
        <x:v>Blocks strict admission and rendering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</x:row>
    <x:row r="20">
      <x:c r="A20" s="21" t="str">
        <x:v>G14</x:v>
      </x:c>
      <x:c r="B20" s="21" t="str">
        <x:v>Commercial network and cloud denial for seventy-two hours</x:v>
      </x:c>
      <x:c r="C20" s="89" t="str">
        <x:v>OPEN</x:v>
      </x:c>
      <x:c r="D20" s="21" t="str">
        <x:v>Blocks strict admission and rendering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</x:row>
    <x:row r="21">
      <x:c r="A21" s="21" t="str">
        <x:v>G15</x:v>
      </x:c>
      <x:c r="B21" s="21" t="str">
        <x:v>External energy-delivery denial for seven days</x:v>
      </x:c>
      <x:c r="C21" s="89" t="str">
        <x:v>OPEN</x:v>
      </x:c>
      <x:c r="D21" s="21" t="str">
        <x:v>Blocks strict admission and rendering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</x:row>
    <x:row r="22">
      <x:c r="A22" s="21" t="str">
        <x:v>G16</x:v>
      </x:c>
      <x:c r="B22" s="21" t="str">
        <x:v>Energy lot contamination or supplier-lineage hold</x:v>
      </x:c>
      <x:c r="C22" s="89" t="str">
        <x:v>OPEN</x:v>
      </x:c>
      <x:c r="D22" s="21" t="str">
        <x:v>Blocks strict admission and rendering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</x:row>
    <x:row r="23">
      <x:c r="A23" s="21" t="str">
        <x:v>G17</x:v>
      </x:c>
      <x:c r="B23" s="21" t="str">
        <x:v>Smoke, plume, noise and heat exposure at occupied receivers</x:v>
      </x:c>
      <x:c r="C23" s="89" t="str">
        <x:v>OPEN</x:v>
      </x:c>
      <x:c r="D23" s="21" t="str">
        <x:v>Blocks strict admission and rendering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</x:row>
    <x:row r="24">
      <x:c r="A24" s="21" t="str">
        <x:v>G18</x:v>
      </x:c>
      <x:c r="B24" s="21" t="str">
        <x:v>Storage fire isolation with adjacent service cells operating</x:v>
      </x:c>
      <x:c r="C24" s="89" t="str">
        <x:v>OPEN</x:v>
      </x:c>
      <x:c r="D24" s="21" t="str">
        <x:v>Blocks strict admission and rendering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</x:row>
    <x:row r="25">
      <x:c r="A25" s="21" t="str">
        <x:v>G19</x:v>
      </x:c>
      <x:c r="B25" s="21" t="str">
        <x:v>One full PTS-5 cell removed during compound heat</x:v>
      </x:c>
      <x:c r="C25" s="89" t="str">
        <x:v>OPEN</x:v>
      </x:c>
      <x:c r="D25" s="21" t="str">
        <x:v>Blocks strict admission and rendering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</x:row>
    <x:row r="26">
      <x:c r="A26" s="21" t="str">
        <x:v>G20</x:v>
      </x:c>
      <x:c r="B26" s="21" t="str">
        <x:v>One building-interface company unavailable at mission start</x:v>
      </x:c>
      <x:c r="C26" s="89" t="str">
        <x:v>OPEN</x:v>
      </x:c>
      <x:c r="D26" s="21" t="str">
        <x:v>Blocks strict admission and rendering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</x:row>
    <x:row r="27">
      <x:c r="A27" s="21" t="str">
        <x:v>G21</x:v>
      </x:c>
      <x:c r="B27" s="21" t="str">
        <x:v>Lawful building hold and assisted transfer with household custody</x:v>
      </x:c>
      <x:c r="C27" s="89" t="str">
        <x:v>OPEN</x:v>
      </x:c>
      <x:c r="D27" s="21" t="str">
        <x:v>Blocks strict admission and rendering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</x:row>
    <x:row r="28">
      <x:c r="A28" s="21" t="str">
        <x:v>G22</x:v>
      </x:c>
      <x:c r="B28" s="21" t="str">
        <x:v>Seven-day integrated district mission with blinded failures</x:v>
      </x:c>
      <x:c r="C28" s="89" t="str">
        <x:v>OPEN</x:v>
      </x:c>
      <x:c r="D28" s="21" t="str">
        <x:v>Blocks strict admission and rendering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</x:row>
    <x:row r="29">
      <x:c r="A29" s="21" t="str">
        <x:v>G23</x:v>
      </x:c>
      <x:c r="B29" s="21" t="str">
        <x:v>Independent reset after common depot denial</x:v>
      </x:c>
      <x:c r="C29" s="89" t="str">
        <x:v>OPEN</x:v>
      </x:c>
      <x:c r="D29" s="21" t="str">
        <x:v>Blocks strict admission and rendering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</x:row>
    <x:row r="30">
      <x:c r="A30" s="23" t="str">
        <x:v>G24</x:v>
      </x:c>
      <x:c r="B30" s="23" t="str">
        <x:v>Immediate second mission with unrecovered assets and crew</x:v>
      </x:c>
      <x:c r="C30" s="90" t="str">
        <x:v>OPEN</x:v>
      </x:c>
      <x:c r="D30" s="23" t="str">
        <x:v>Blocks strict admission and rendering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</x:row>
  </x:sheetData>
  <x:mergeCells>
    <x:mergeCell ref="A2:F2"/>
    <x:mergeCell ref="A3:F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5" hidden="0" customWidth="1"/>
    <x:col min="2" max="2" width="18" hidden="0" customWidth="1"/>
    <x:col min="3" max="3" width="18" hidden="0" customWidth="1"/>
    <x:col min="4" max="4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3" t="str">
        <x:v>Workbook integrity checks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4" t="str">
        <x:v>Terminal checks read the model; no output or build depends on this sheet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5"/>
      <x:c r="B4" s="5"/>
      <x:c r="C4" s="5"/>
      <x:c r="D4" s="5"/>
      <x:c r="E4" s="5"/>
      <x:c r="F4" s="5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</x:row>
    <x:row r="6">
      <x:c r="A6" s="14" t="str">
        <x:v>Check</x:v>
      </x:c>
      <x:c r="B6" s="15" t="str">
        <x:v>Observed</x:v>
      </x:c>
      <x:c r="C6" s="15" t="str">
        <x:v>Required</x:v>
      </x:c>
      <x:c r="D6" s="16" t="str">
        <x:v>Result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</x:row>
    <x:row r="7">
      <x:c r="A7" s="19" t="str">
        <x:v>Population-mode shares sum to 100%</x:v>
      </x:c>
      <x:c r="B7" s="48" t="n">
        <x:f>SUM(Assumptions!B11:B13)</x:f>
        <x:v>0.9999999999999999</x:v>
      </x:c>
      <x:c r="C7" s="48" t="n">
        <x:v>1</x:v>
      </x:c>
      <x:c r="D7" s="48" t="str">
        <x:f>IF(ABS(B7-C7)&lt;0.000001,"PASS","FAIL")</x:f>
        <x:v>PASS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</x:row>
    <x:row r="8">
      <x:c r="A8" s="21" t="str">
        <x:v>Thermal population equals in-place plus refuge</x:v>
      </x:c>
      <x:c r="B8" s="51" t="n">
        <x:f>Demand!B10-(Demand!B7+Demand!B8)</x:f>
        <x:v>0</x:v>
      </x:c>
      <x:c r="C8" s="51" t="n">
        <x:v>0</x:v>
      </x:c>
      <x:c r="D8" s="51" t="str">
        <x:f>IF(ABS(B8-C8)&lt;0.000001,"PASS","FAIL")</x:f>
        <x:v>PASS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</x:row>
    <x:row r="9">
      <x:c r="A9" s="21" t="str">
        <x:v>Occupied population plus transfer equals district</x:v>
      </x:c>
      <x:c r="B9" s="51" t="n">
        <x:f>Demand!B13+Demand!B9</x:f>
        <x:v>50000</x:v>
      </x:c>
      <x:c r="C9" s="51" t="n">
        <x:f>Assumptions!B7</x:f>
        <x:v>50000</x:v>
      </x:c>
      <x:c r="D9" s="51" t="str">
        <x:f>IF(ABS(B9-C9)&lt;0.000001,"PASS","FAIL")</x:f>
        <x:v>PASS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</x:row>
    <x:row r="10">
      <x:c r="A10" s="21" t="str">
        <x:v>Electric load subtotal reconciles</x:v>
      </x:c>
      <x:c r="B10" s="51" t="n">
        <x:f>Demand!B28-SUM(Demand!B20:B27)</x:f>
        <x:v>0</x:v>
      </x:c>
      <x:c r="C10" s="51" t="n">
        <x:v>0</x:v>
      </x:c>
      <x:c r="D10" s="51" t="str">
        <x:f>IF(ABS(B10-C10)&lt;0.000001,"PASS","FAIL")</x:f>
        <x:v>PASS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</x:row>
    <x:row r="11">
      <x:c r="A11" s="21" t="str">
        <x:v>Cooling subtotal reconciles</x:v>
      </x:c>
      <x:c r="B11" s="51" t="n">
        <x:f>Demand!B19-SUM(Demand!B17:B18)</x:f>
        <x:v>0</x:v>
      </x:c>
      <x:c r="C11" s="51" t="n">
        <x:v>0</x:v>
      </x:c>
      <x:c r="D11" s="51" t="str">
        <x:f>IF(ABS(B11-C11)&lt;0.000001,"PASS","FAIL")</x:f>
        <x:v>PASS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</x:row>
    <x:row r="12">
      <x:c r="A12" s="21" t="str">
        <x:v>H4 connection teams meet two-day work</x:v>
      </x:c>
      <x:c r="B12" s="51" t="n">
        <x:f>Architecture!K10*Assumptions!B33*Assumptions!B34*Assumptions!B35-Demand!B35</x:f>
        <x:v>332.79999999999995</x:v>
      </x:c>
      <x:c r="C12" s="51" t="n">
        <x:v>0</x:v>
      </x:c>
      <x:c r="D12" s="51" t="str">
        <x:f>IF(B12&gt;=C12,"PASS","FAIL")</x:f>
        <x:v>PASS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</x:row>
    <x:row r="13">
      <x:c r="A13" s="21" t="str">
        <x:v>H4 passes all declared service worlds</x:v>
      </x:c>
      <x:c r="B13" s="51" t="n">
        <x:f>Architecture!V10</x:f>
        <x:v>16</x:v>
      </x:c>
      <x:c r="C13" s="51" t="n">
        <x:v>16</x:v>
      </x:c>
      <x:c r="D13" s="51" t="str">
        <x:f>IF(B13=C13,"PASS","FAIL")</x:f>
        <x:v>PASS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</x:row>
    <x:row r="14">
      <x:c r="A14" s="21" t="str">
        <x:v>H4 preserves lawful universal stop</x:v>
      </x:c>
      <x:c r="B14" s="51" t="n">
        <x:f>Worlds!C76</x:f>
        <x:v>1</x:v>
      </x:c>
      <x:c r="C14" s="51" t="n">
        <x:v>1</x:v>
      </x:c>
      <x:c r="D14" s="51" t="str">
        <x:f>IF(B14=C14,"PASS","FAIL")</x:f>
        <x:v>PASS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</x:row>
    <x:row r="15">
      <x:c r="A15" s="21" t="str">
        <x:v>Every representative gate remains open</x:v>
      </x:c>
      <x:c r="B15" s="51" t="n">
        <x:f>COUNTIFS(Gates!C7:C30,"OPEN")</x:f>
        <x:v>24</x:v>
      </x:c>
      <x:c r="C15" s="51" t="n">
        <x:v>24</x:v>
      </x:c>
      <x:c r="D15" s="51" t="str">
        <x:f>IF(B15=C15,"PASS","FAIL")</x:f>
        <x:v>PASS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</x:row>
    <x:row r="16">
      <x:c r="A16" s="21" t="str">
        <x:v>Strictly admitted architectures</x:v>
      </x:c>
      <x:c r="B16" s="51" t="n">
        <x:v>0</x:v>
      </x:c>
      <x:c r="C16" s="51" t="n">
        <x:v>0</x:v>
      </x:c>
      <x:c r="D16" s="51" t="str">
        <x:f>IF(B16=C16,"PASS","FAIL")</x:f>
        <x:v>PASS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</x:row>
    <x:row r="17">
      <x:c r="A17" s="21" t="str">
        <x:v>Rendering state</x:v>
      </x:c>
      <x:c r="B17" s="51" t="str">
        <x:v>BLOCKED</x:v>
      </x:c>
      <x:c r="C17" s="51" t="str">
        <x:v>BLOCKED</x:v>
      </x:c>
      <x:c r="D17" s="51" t="str">
        <x:f>IF(B17=C17,"PASS","FAIL")</x:f>
        <x:v>PASS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</x:row>
    <x:row r="18">
      <x:c r="A18" s="21" t="str">
        <x:v>H4 crew reconciles to formation</x:v>
      </x:c>
      <x:c r="B18" s="51" t="n">
        <x:f>Architecture!S10-Formation!F19</x:f>
        <x:v>0</x:v>
      </x:c>
      <x:c r="C18" s="51" t="n">
        <x:v>0</x:v>
      </x:c>
      <x:c r="D18" s="51" t="str">
        <x:f>IF(ABS(B18-C18)&lt;0.000001,"PASS","FAIL")</x:f>
        <x:v>PASS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</x:row>
    <x:row r="19">
      <x:c r="A19" s="21" t="str">
        <x:v>H4 mass reconciles to formation</x:v>
      </x:c>
      <x:c r="B19" s="51" t="n">
        <x:f>Architecture!T10-Formation!G19</x:f>
        <x:v>0</x:v>
      </x:c>
      <x:c r="C19" s="51" t="n">
        <x:v>0</x:v>
      </x:c>
      <x:c r="D19" s="51" t="str">
        <x:f>IF(ABS(B19-C19)&lt;0.000001,"PASS","FAIL")</x:f>
        <x:v>PASS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</x:row>
    <x:row r="20">
      <x:c r="A20" s="21" t="str">
        <x:v>H4 cost reconciles to formation</x:v>
      </x:c>
      <x:c r="B20" s="51" t="n">
        <x:f>Architecture!U10-Formation!B23</x:f>
        <x:v>0</x:v>
      </x:c>
      <x:c r="C20" s="51" t="n">
        <x:v>0</x:v>
      </x:c>
      <x:c r="D20" s="51" t="str">
        <x:f>IF(ABS(B20-C20)&lt;0.000001,"PASS","FAIL")</x:f>
        <x:v>PASS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</x:row>
    <x:row r="21">
      <x:c r="A21" s="21" t="str">
        <x:v>Program total equals component sum</x:v>
      </x:c>
      <x:c r="B21" s="51" t="n">
        <x:f>Program!J10-SUM(Program!D10,Program!F10:I10)</x:f>
        <x:v>0</x:v>
      </x:c>
      <x:c r="C21" s="51" t="n">
        <x:v>0</x:v>
      </x:c>
      <x:c r="D21" s="51" t="str">
        <x:f>IF(ABS(B21-C21)&lt;0.000001,"PASS","FAIL")</x:f>
        <x:v>PASS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</x:row>
    <x:row r="22">
      <x:c r="A22" s="21" t="str">
        <x:v>Primary and reserve cells total twelve</x:v>
      </x:c>
      <x:c r="B22" s="51" t="n">
        <x:f>Architecture!N10</x:f>
        <x:v>12</x:v>
      </x:c>
      <x:c r="C22" s="51" t="n">
        <x:v>12</x:v>
      </x:c>
      <x:c r="D22" s="51" t="str">
        <x:f>IF(B22=C22,"PASS","FAIL")</x:f>
        <x:v>PASS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</x:row>
    <x:row r="23">
      <x:c r="A23" s="21" t="str">
        <x:v>H4 00 service-world result</x:v>
      </x:c>
      <x:c r="B23" s="51" t="str">
        <x:f>Worlds!AF9</x:f>
        <x:v>PASS</x:v>
      </x:c>
      <x:c r="C23" s="51" t="str">
        <x:v>PASS</x:v>
      </x:c>
      <x:c r="D23" s="51" t="str">
        <x:f>IF(B23=C23,"PASS","FAIL")</x:f>
        <x:v>PASS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</x:row>
    <x:row r="24">
      <x:c r="A24" s="21" t="str">
        <x:v>H4 01 service-world result</x:v>
      </x:c>
      <x:c r="B24" s="51" t="str">
        <x:f>Worlds!AF13</x:f>
        <x:v>PASS</x:v>
      </x:c>
      <x:c r="C24" s="51" t="str">
        <x:v>PASS</x:v>
      </x:c>
      <x:c r="D24" s="51" t="str">
        <x:f>IF(B24=C24,"PASS","FAIL")</x:f>
        <x:v>PASS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</x:row>
    <x:row r="25">
      <x:c r="A25" s="21" t="str">
        <x:v>H4 02 service-world result</x:v>
      </x:c>
      <x:c r="B25" s="51" t="str">
        <x:f>Worlds!AF17</x:f>
        <x:v>PASS</x:v>
      </x:c>
      <x:c r="C25" s="51" t="str">
        <x:v>PASS</x:v>
      </x:c>
      <x:c r="D25" s="51" t="str">
        <x:f>IF(B25=C25,"PASS","FAIL")</x:f>
        <x:v>PASS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</x:row>
    <x:row r="26">
      <x:c r="A26" s="21" t="str">
        <x:v>H4 03 service-world result</x:v>
      </x:c>
      <x:c r="B26" s="51" t="str">
        <x:f>Worlds!AF21</x:f>
        <x:v>PASS</x:v>
      </x:c>
      <x:c r="C26" s="51" t="str">
        <x:v>PASS</x:v>
      </x:c>
      <x:c r="D26" s="51" t="str">
        <x:f>IF(B26=C26,"PASS","FAIL")</x:f>
        <x:v>PASS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</x:row>
    <x:row r="27">
      <x:c r="A27" s="21" t="str">
        <x:v>H4 04 service-world result</x:v>
      </x:c>
      <x:c r="B27" s="51" t="str">
        <x:f>Worlds!AF25</x:f>
        <x:v>PASS</x:v>
      </x:c>
      <x:c r="C27" s="51" t="str">
        <x:v>PASS</x:v>
      </x:c>
      <x:c r="D27" s="51" t="str">
        <x:f>IF(B27=C27,"PASS","FAIL")</x:f>
        <x:v>PASS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</x:row>
    <x:row r="28">
      <x:c r="A28" s="21" t="str">
        <x:v>H4 05 service-world result</x:v>
      </x:c>
      <x:c r="B28" s="51" t="str">
        <x:f>Worlds!AF29</x:f>
        <x:v>PASS</x:v>
      </x:c>
      <x:c r="C28" s="51" t="str">
        <x:v>PASS</x:v>
      </x:c>
      <x:c r="D28" s="51" t="str">
        <x:f>IF(B28=C28,"PASS","FAIL")</x:f>
        <x:v>PASS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</x:row>
    <x:row r="29">
      <x:c r="A29" s="21" t="str">
        <x:v>H4 06 service-world result</x:v>
      </x:c>
      <x:c r="B29" s="51" t="str">
        <x:f>Worlds!AF33</x:f>
        <x:v>PASS</x:v>
      </x:c>
      <x:c r="C29" s="51" t="str">
        <x:v>PASS</x:v>
      </x:c>
      <x:c r="D29" s="51" t="str">
        <x:f>IF(B29=C29,"PASS","FAIL")</x:f>
        <x:v>PASS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</x:row>
    <x:row r="30">
      <x:c r="A30" s="21" t="str">
        <x:v>H4 07 service-world result</x:v>
      </x:c>
      <x:c r="B30" s="51" t="str">
        <x:f>Worlds!AF37</x:f>
        <x:v>PASS</x:v>
      </x:c>
      <x:c r="C30" s="51" t="str">
        <x:v>PASS</x:v>
      </x:c>
      <x:c r="D30" s="51" t="str">
        <x:f>IF(B30=C30,"PASS","FAIL")</x:f>
        <x:v>PASS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</x:row>
    <x:row r="31">
      <x:c r="A31" s="21" t="str">
        <x:v>H4 08 service-world result</x:v>
      </x:c>
      <x:c r="B31" s="51" t="str">
        <x:f>Worlds!AF41</x:f>
        <x:v>PASS</x:v>
      </x:c>
      <x:c r="C31" s="51" t="str">
        <x:v>PASS</x:v>
      </x:c>
      <x:c r="D31" s="51" t="str">
        <x:f>IF(B31=C31,"PASS","FAIL")</x:f>
        <x:v>PASS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</x:row>
    <x:row r="32">
      <x:c r="A32" s="21" t="str">
        <x:v>H4 09 service-world result</x:v>
      </x:c>
      <x:c r="B32" s="51" t="str">
        <x:f>Worlds!AF45</x:f>
        <x:v>PASS</x:v>
      </x:c>
      <x:c r="C32" s="51" t="str">
        <x:v>PASS</x:v>
      </x:c>
      <x:c r="D32" s="51" t="str">
        <x:f>IF(B32=C32,"PASS","FAIL")</x:f>
        <x:v>PASS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</x:row>
    <x:row r="33">
      <x:c r="A33" s="21" t="str">
        <x:v>H4 10 service-world result</x:v>
      </x:c>
      <x:c r="B33" s="51" t="str">
        <x:f>Worlds!AF49</x:f>
        <x:v>PASS</x:v>
      </x:c>
      <x:c r="C33" s="51" t="str">
        <x:v>PASS</x:v>
      </x:c>
      <x:c r="D33" s="51" t="str">
        <x:f>IF(B33=C33,"PASS","FAIL")</x:f>
        <x:v>PASS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</x:row>
    <x:row r="34">
      <x:c r="A34" s="21" t="str">
        <x:v>H4 11 service-world result</x:v>
      </x:c>
      <x:c r="B34" s="51" t="str">
        <x:f>Worlds!AF53</x:f>
        <x:v>PASS</x:v>
      </x:c>
      <x:c r="C34" s="51" t="str">
        <x:v>PASS</x:v>
      </x:c>
      <x:c r="D34" s="51" t="str">
        <x:f>IF(B34=C34,"PASS","FAIL")</x:f>
        <x:v>PASS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</x:row>
    <x:row r="35">
      <x:c r="A35" s="21" t="str">
        <x:v>H4 12 service-world result</x:v>
      </x:c>
      <x:c r="B35" s="51" t="str">
        <x:f>Worlds!AF57</x:f>
        <x:v>PASS</x:v>
      </x:c>
      <x:c r="C35" s="51" t="str">
        <x:v>PASS</x:v>
      </x:c>
      <x:c r="D35" s="51" t="str">
        <x:f>IF(B35=C35,"PASS","FAIL")</x:f>
        <x:v>PASS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</x:row>
    <x:row r="36">
      <x:c r="A36" s="21" t="str">
        <x:v>H4 13 service-world result</x:v>
      </x:c>
      <x:c r="B36" s="51" t="str">
        <x:f>Worlds!AF61</x:f>
        <x:v>PASS</x:v>
      </x:c>
      <x:c r="C36" s="51" t="str">
        <x:v>PASS</x:v>
      </x:c>
      <x:c r="D36" s="51" t="str">
        <x:f>IF(B36=C36,"PASS","FAIL")</x:f>
        <x:v>PASS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</x:row>
    <x:row r="37">
      <x:c r="A37" s="21" t="str">
        <x:v>H4 14 service-world result</x:v>
      </x:c>
      <x:c r="B37" s="51" t="str">
        <x:f>Worlds!AF65</x:f>
        <x:v>PASS</x:v>
      </x:c>
      <x:c r="C37" s="51" t="str">
        <x:v>PASS</x:v>
      </x:c>
      <x:c r="D37" s="51" t="str">
        <x:f>IF(B37=C37,"PASS","FAIL")</x:f>
        <x:v>PASS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</x:row>
    <x:row r="38">
      <x:c r="A38" s="23" t="str">
        <x:v>H4 15 service-world result</x:v>
      </x:c>
      <x:c r="B38" s="73" t="str">
        <x:f>Worlds!AF69</x:f>
        <x:v>PASS</x:v>
      </x:c>
      <x:c r="C38" s="73" t="str">
        <x:v>PASS</x:v>
      </x:c>
      <x:c r="D38" s="73" t="str">
        <x:f>IF(B38=C38,"PASS","FAIL")</x:f>
        <x:v>PASS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</x:row>
  </x:sheetData>
  <x:mergeCells>
    <x:mergeCell ref="A2:F2"/>
    <x:mergeCell ref="A3:F3"/>
  </x:mergeCells>
  <x:conditionalFormatting sqref="D7:D38">
    <x:cfRule type="containsText" dxfId="3" priority="1" operator="containsText" text="FAIL"/>
    <x:cfRule type="containsText" dxfId="4" priority="2" operator="containsText" text="PASS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3" t="str">
        <x:v>Model method and limits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4" t="str">
        <x:v>Workbook companion to the Pass 72 research paper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5"/>
      <x:c r="B4" s="5"/>
      <x:c r="C4" s="5"/>
      <x:c r="D4" s="5"/>
      <x:c r="E4" s="5"/>
      <x:c r="F4" s="5"/>
      <x:c r="G4" s="5"/>
      <x:c r="H4" s="5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</x:row>
    <x:row r="6">
      <x:c r="A6" s="38" t="str">
        <x:v>Decision and audience</x:v>
      </x:c>
      <x:c r="B6" s="39"/>
      <x:c r="C6" s="39"/>
      <x:c r="D6" s="39"/>
      <x:c r="E6" s="39"/>
      <x:c r="F6" s="39"/>
      <x:c r="G6" s="39"/>
      <x:c r="H6" s="40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</x:row>
    <x:row r="7" ht="36" customHeight="1">
      <x:c r="A7" s="112" t="str">
        <x:v>Decision</x:v>
      </x:c>
      <x:c r="B7" s="86" t="str">
        <x:v>Whether a purpose-built formation can protect an archetypal 50,000-person occupied district for seven heat-blackout days while preserving medical power, water pumping, vertical access, communications and lawful transfer.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</x:row>
    <x:row r="8" ht="36" customHeight="1">
      <x:c r="A8" s="112" t="str">
        <x:v>Audience</x:v>
      </x:c>
      <x:c r="B8" s="86" t="str">
        <x:v>Department of Resilience force designers, technical authorities, acquisition planners, operators and independent test organizations.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</x:row>
    <x:row r="9" ht="36" customHeight="1">
      <x:c r="A9" s="112" t="str">
        <x:v>Target engine</x:v>
      </x:c>
      <x:c r="B9" s="86" t="str">
        <x:v>Microsoft Excel-compatible workbook exported from the project spreadsheet runtime.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</x:row>
    <x:row r="10" ht="36" customHeight="1">
      <x:c r="A10" s="112" t="str">
        <x:v>Evidence status</x:v>
      </x:c>
      <x:c r="B10" s="86" t="str">
        <x:v>All physical coefficients and organizational rates are declared hypotheses. No architecture is admitted.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</x:row>
    <x:row r="11" ht="36" customHeight="1">
      <x:c r="A11" s="112"/>
      <x:c r="B11" s="86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</x:row>
    <x:row r="12" ht="36" customHeight="1">
      <x:c r="A12" s="112"/>
      <x:c r="B12" s="86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</x:row>
    <x:row r="13" ht="36" customHeight="1">
      <x:c r="A13" s="38" t="str">
        <x:v>Model logic</x:v>
      </x:c>
      <x:c r="B13" s="113"/>
      <x:c r="C13" s="39"/>
      <x:c r="D13" s="39"/>
      <x:c r="E13" s="39"/>
      <x:c r="F13" s="39"/>
      <x:c r="G13" s="39"/>
      <x:c r="H13" s="40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</x:row>
    <x:row r="14" ht="36" customHeight="1">
      <x:c r="A14" s="112" t="str">
        <x:v>1</x:v>
      </x:c>
      <x:c r="B14" s="86" t="str">
        <x:v>Assumptions defines the archetypal district and editable coefficients.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</x:row>
    <x:row r="15" ht="36" customHeight="1">
      <x:c r="A15" s="112" t="str">
        <x:v>2</x:v>
      </x:c>
      <x:c r="B15" s="86" t="str">
        <x:v>Demand derives population service, building work, electric load, cooling, heat rejection and energy.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</x:row>
    <x:row r="16" ht="36" customHeight="1">
      <x:c r="A16" s="112" t="str">
        <x:v>3</x:v>
      </x:c>
      <x:c r="B16" s="86" t="str">
        <x:v>Architecture defines four rival complete-system capacities.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</x:row>
    <x:row r="17" ht="36" customHeight="1">
      <x:c r="A17" s="112" t="str">
        <x:v>4</x:v>
      </x:c>
      <x:c r="B17" s="86" t="str">
        <x:v>Worlds applies explicit architecture-specific degraded factors and uses the minimum service ratio as the pass rule.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</x:row>
    <x:row r="18" ht="36" customHeight="1">
      <x:c r="A18" s="112" t="str">
        <x:v>5</x:v>
      </x:c>
      <x:c r="B18" s="86" t="str">
        <x:v>Formation and Program expose workforce, dry mass, configured capital and the 25-year national comparator.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</x:row>
    <x:row r="19" ht="36" customHeight="1">
      <x:c r="A19" s="112" t="str">
        <x:v>6</x:v>
      </x:c>
      <x:c r="B19" s="86" t="str">
        <x:v>Checks independently reconciles the model. No build or output depends on a check result.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</x:row>
    <x:row r="20" ht="36" customHeight="1">
      <x:c r="A20" s="112"/>
      <x:c r="B20" s="86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</x:row>
    <x:row r="21" ht="36" customHeight="1">
      <x:c r="A21" s="112"/>
      <x:c r="B21" s="86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</x:row>
    <x:row r="22" ht="36" customHeight="1">
      <x:c r="A22" s="38" t="str">
        <x:v>Internal sources and boundaries</x:v>
      </x:c>
      <x:c r="B22" s="113"/>
      <x:c r="C22" s="39"/>
      <x:c r="D22" s="39"/>
      <x:c r="E22" s="39"/>
      <x:c r="F22" s="39"/>
      <x:c r="G22" s="39"/>
      <x:c r="H22" s="40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</x:row>
    <x:row r="23" ht="36" customHeight="1">
      <x:c r="A23" s="112" t="str">
        <x:v>Force-design sources</x:v>
      </x:c>
      <x:c r="B23" s="86" t="str">
        <x:v>Neighborhood Continuity and Access Cell; Household Collection Group formation design; power restoration force engineering; PCC-50 Population Continuity Complex; Pass 71 cellular power and thermal independence.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</x:row>
    <x:row r="24" ht="36" customHeight="1">
      <x:c r="A24" s="112" t="str">
        <x:v>Campaign firewall</x:v>
      </x:c>
      <x:c r="B24" s="86" t="str">
        <x:v>The workbook does not read, infer or populate protected New York campaign outcomes. Its 50,000-person district is a declared archetype.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</x:row>
    <x:row r="25" ht="36" customHeight="1">
      <x:c r="A25" s="112" t="str">
        <x:v>No external-sites rule</x:v>
      </x:c>
      <x:c r="B25" s="86" t="str">
        <x:v>This pass uses the repository's internal research only. No internet sources were consulted.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</x:row>
    <x:row r="26" ht="36" customHeight="1">
      <x:c r="A26" s="112" t="str">
        <x:v>Wet burden</x:v>
      </x:c>
      <x:c r="B26" s="86" t="str">
        <x:v>Dry and chargeable mass exclude seven-day fuel, feedstock, makeup water, filters, refrigerants and other process consumables until technology pathways close.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</x:row>
    <x:row r="27" ht="36" customHeight="1">
      <x:c r="A27" s="112" t="str">
        <x:v>Thermal physics</x:v>
      </x:c>
      <x:c r="B27" s="86" t="str">
        <x:v>Per-person cooling rates and COP are transparent hypothesis coefficients, not building-energy simulations or health thresholds.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</x:row>
    <x:row r="28" ht="36" customHeight="1">
      <x:c r="A28" s="112" t="str">
        <x:v>Costs</x:v>
      </x:c>
      <x:c r="B28" s="86" t="str">
        <x:v>Constant 2026 USD comparative program values include configured equipment, metro works, O&amp;S, R&amp;D, industrialization, bases and workforce. They exclude benefits and permanent reconstruction.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</x:row>
    <x:row r="29" ht="36" customHeight="1">
      <x:c r="A29" s="112" t="str">
        <x:v>Rendering</x:v>
      </x:c>
      <x:c r="B29" s="86" t="str">
        <x:v>Blocked until representative configuration evidence closes source, storage, thermal, distribution, building interface, crew work and reset.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</x:row>
  </x:sheetData>
  <x:mergeCells>
    <x:mergeCell ref="A2:H2"/>
    <x:mergeCell ref="A3:H3"/>
  </x:mergeCells>
  <x:pageMargins left="0.7" right="0.7" top="0.75" bottom="0.75" header="0.3" footer="0.3"/>
</x:worksheet>
</file>