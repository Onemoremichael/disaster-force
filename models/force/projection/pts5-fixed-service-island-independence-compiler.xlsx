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815085b73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d48c8621c54414"/>
    <x:sheet xmlns:r="http://schemas.openxmlformats.org/officeDocument/2006/relationships" name="Assumptions" sheetId="2" r:id="Rc684b8f760e04547"/>
    <x:sheet xmlns:r="http://schemas.openxmlformats.org/officeDocument/2006/relationships" name="Service Contract" sheetId="3" r:id="Rb8d32b03f7d64a55"/>
    <x:sheet xmlns:r="http://schemas.openxmlformats.org/officeDocument/2006/relationships" name="Island Architectures" sheetId="4" r:id="Rb0185b762e864879"/>
    <x:sheet xmlns:r="http://schemas.openxmlformats.org/officeDocument/2006/relationships" name="Island Worlds" sheetId="5" r:id="R9d8f55dc30da47b2"/>
    <x:sheet xmlns:r="http://schemas.openxmlformats.org/officeDocument/2006/relationships" name="Subsystem Build" sheetId="6" r:id="R917263582e02445d"/>
    <x:sheet xmlns:r="http://schemas.openxmlformats.org/officeDocument/2006/relationships" name="Service Nodes" sheetId="7" r:id="Rc298a5f322f8479e"/>
    <x:sheet xmlns:r="http://schemas.openxmlformats.org/officeDocument/2006/relationships" name="Federation Compiler" sheetId="8" r:id="R36328990b6354b30"/>
    <x:sheet xmlns:r="http://schemas.openxmlformats.org/officeDocument/2006/relationships" name="Federation Worlds" sheetId="9" r:id="R025417fd2ce7410b"/>
    <x:sheet xmlns:r="http://schemas.openxmlformats.org/officeDocument/2006/relationships" name="Workforce" sheetId="10" r:id="Re0b434ef55894213"/>
    <x:sheet xmlns:r="http://schemas.openxmlformats.org/officeDocument/2006/relationships" name="Program Cost" sheetId="11" r:id="Rd86dc577b6e14e9b"/>
    <x:sheet xmlns:r="http://schemas.openxmlformats.org/officeDocument/2006/relationships" name="Technology" sheetId="12" r:id="R82602e3e3aa64ff3"/>
    <x:sheet xmlns:r="http://schemas.openxmlformats.org/officeDocument/2006/relationships" name="Evidence Gates" sheetId="13" r:id="Rf84a5a67fe98430d"/>
    <x:sheet xmlns:r="http://schemas.openxmlformats.org/officeDocument/2006/relationships" name="Checks" sheetId="14" r:id="R74d40926d81144d9"/>
    <x:sheet xmlns:r="http://schemas.openxmlformats.org/officeDocument/2006/relationships" name="ReadMe" sheetId="15" r:id="Rb2991756aa43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0.000"/>
    <x:numFmt numFmtId="202" formatCode="$#,##0.000"/>
    <x:numFmt numFmtId="203" formatCode="#,##0.000"/>
    <x:numFmt numFmtId="204" formatCode="0.00"/>
    <x:numFmt numFmtId="205" formatCode="0%"/>
    <x:numFmt numFmtId="206" formatCode="$#,##0.0"/>
    <x:numFmt numFmtId="207" formatCode="$#,##0"/>
    <x:numFmt numFmtId="208" formatCode="0.000000"/>
  </x:numFmts>
  <x:fonts count="9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DF1F4"/>
      </x:patternFill>
    </x:fill>
    <x:fill>
      <x:patternFill patternType="solid">
        <x:fgColor rgb="FFFAFBFC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1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2" fontId="7" fillId="5" borderId="0" xfId="0" applyNumberFormat="1" applyFont="1" applyFill="1" applyBorder="1" applyAlignment="1">
      <x:alignment vertical="center"/>
    </x:xf>
    <x:xf numFmtId="202" fontId="6" fillId="4" borderId="10" xfId="0" applyNumberFormat="1" applyFont="1" applyFill="1" applyBorder="1" applyAlignment="1">
      <x:alignment vertical="center"/>
    </x:xf>
    <x:xf numFmtId="202" fontId="7" fillId="5" borderId="10" xfId="0" applyNumberFormat="1" applyFont="1" applyFill="1" applyBorder="1" applyAlignment="1">
      <x:alignment vertical="center"/>
    </x:xf>
    <x:xf numFmtId="200" fontId="6" fillId="4" borderId="1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203" fontId="1" fillId="6" borderId="10" xfId="0" applyNumberFormat="1" applyFont="1" applyFill="1" applyBorder="1" applyAlignment="1">
      <x:alignment vertical="center"/>
    </x:xf>
    <x:xf numFmtId="0" fontId="1" fillId="6" borderId="11" xfId="0" applyNumberFormat="1" applyFont="1" applyFill="1" applyBorder="1" applyAlignment="1">
      <x:alignment vertical="center"/>
    </x:xf>
    <x:xf numFmtId="0" fontId="1" fillId="6" borderId="12" xfId="0" applyNumberFormat="1" applyFont="1" applyFill="1" applyBorder="1" applyAlignment="1">
      <x:alignment vertical="center"/>
    </x:xf>
    <x:xf numFmtId="200" fontId="1" fillId="6" borderId="12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vertical="center"/>
    </x:xf>
    <x:xf numFmtId="204" fontId="6" fillId="6" borderId="10" xfId="0" applyNumberFormat="1" applyFont="1" applyFill="1" applyBorder="1" applyAlignment="1">
      <x:alignment vertical="center"/>
    </x:xf>
    <x:xf numFmtId="202" fontId="6" fillId="6" borderId="10" xfId="0" applyNumberFormat="1" applyFont="1" applyFill="1" applyBorder="1" applyAlignment="1">
      <x:alignment vertical="center"/>
    </x:xf>
    <x:xf numFmtId="202" fontId="7" fillId="6" borderId="10" xfId="0" applyNumberFormat="1" applyFont="1" applyFill="1" applyBorder="1" applyAlignment="1">
      <x:alignment vertical="center"/>
    </x:xf>
    <x:xf numFmtId="0" fontId="7" fillId="6" borderId="10" xfId="0" applyNumberFormat="1" applyFont="1" applyFill="1" applyBorder="1" applyAlignment="1">
      <x:alignment vertical="center"/>
    </x:xf>
    <x:xf numFmtId="0" fontId="6" fillId="6" borderId="12" xfId="0" applyNumberFormat="1" applyFont="1" applyFill="1" applyBorder="1" applyAlignment="1">
      <x:alignment vertical="center"/>
    </x:xf>
    <x:xf numFmtId="204" fontId="6" fillId="6" borderId="12" xfId="0" applyNumberFormat="1" applyFont="1" applyFill="1" applyBorder="1" applyAlignment="1">
      <x:alignment vertical="center"/>
    </x:xf>
    <x:xf numFmtId="202" fontId="6" fillId="6" borderId="12" xfId="0" applyNumberFormat="1" applyFont="1" applyFill="1" applyBorder="1" applyAlignment="1">
      <x:alignment vertical="center"/>
    </x:xf>
    <x:xf numFmtId="202" fontId="7" fillId="6" borderId="12" xfId="0" applyNumberFormat="1" applyFont="1" applyFill="1" applyBorder="1" applyAlignment="1">
      <x:alignment vertical="center"/>
    </x:xf>
    <x:xf numFmtId="0" fontId="7" fillId="6" borderId="12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5" fontId="6" fillId="6" borderId="0" xfId="0" applyNumberFormat="1" applyFont="1" applyFill="1" applyBorder="1" applyAlignment="1">
      <x:alignment vertical="center"/>
    </x:xf>
    <x:xf numFmtId="200" fontId="7" fillId="6" borderId="0" xfId="0" applyNumberFormat="1" applyFont="1" applyFill="1" applyBorder="1" applyAlignment="1">
      <x:alignment vertical="center"/>
    </x:xf>
    <x:xf numFmtId="205" fontId="6" fillId="6" borderId="10" xfId="0" applyNumberFormat="1" applyFont="1" applyFill="1" applyBorder="1" applyAlignment="1">
      <x:alignment vertical="center"/>
    </x:xf>
    <x:xf numFmtId="200" fontId="7" fillId="6" borderId="10" xfId="0" applyNumberFormat="1" applyFont="1" applyFill="1" applyBorder="1" applyAlignment="1">
      <x:alignment vertical="center"/>
    </x:xf>
    <x:xf numFmtId="205" fontId="6" fillId="6" borderId="12" xfId="0" applyNumberFormat="1" applyFont="1" applyFill="1" applyBorder="1" applyAlignment="1">
      <x:alignment vertical="center"/>
    </x:xf>
    <x:xf numFmtId="200" fontId="7" fillId="6" borderId="12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3" fontId="7" fillId="6" borderId="0" xfId="0" applyNumberFormat="1" applyFont="1" applyFill="1" applyBorder="1" applyAlignment="1">
      <x:alignment vertical="center"/>
    </x:xf>
    <x:xf numFmtId="203" fontId="7" fillId="6" borderId="10" xfId="0" applyNumberFormat="1" applyFont="1" applyFill="1" applyBorder="1" applyAlignment="1">
      <x:alignment vertical="center"/>
    </x:xf>
    <x:xf numFmtId="203" fontId="7" fillId="6" borderId="12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3" fontId="8" fillId="6" borderId="0" xfId="0" applyNumberFormat="1" applyFont="1" applyFill="1" applyBorder="1" applyAlignment="1">
      <x:alignment vertical="center"/>
    </x:xf>
    <x:xf numFmtId="0" fontId="8" fillId="6" borderId="12" xfId="0" applyNumberFormat="1" applyFont="1" applyFill="1" applyBorder="1" applyAlignment="1">
      <x:alignment vertical="center"/>
    </x:xf>
    <x:xf numFmtId="203" fontId="8" fillId="6" borderId="12" xfId="0" applyNumberFormat="1" applyFont="1" applyFill="1" applyBorder="1" applyAlignment="1">
      <x:alignment vertical="center"/>
    </x:xf>
    <x:xf numFmtId="0" fontId="8" fillId="6" borderId="13" xfId="0" applyNumberFormat="1" applyFont="1" applyFill="1" applyBorder="1" applyAlignment="1">
      <x:alignment vertical="center"/>
    </x:xf>
    <x:xf numFmtId="0" fontId="7" fillId="6" borderId="11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6" borderId="0" xfId="0" applyNumberFormat="1" applyFont="1" applyFill="1" applyBorder="1" applyAlignment="1">
      <x:alignment vertical="center"/>
    </x:xf>
    <x:xf numFmtId="206" fontId="8" fillId="6" borderId="0" xfId="0" applyNumberFormat="1" applyFont="1" applyFill="1" applyBorder="1" applyAlignment="1">
      <x:alignment vertical="center"/>
    </x:xf>
    <x:xf numFmtId="206" fontId="1" fillId="6" borderId="10" xfId="0" applyNumberFormat="1" applyFont="1" applyFill="1" applyBorder="1" applyAlignment="1">
      <x:alignment vertical="center"/>
    </x:xf>
    <x:xf numFmtId="206" fontId="8" fillId="6" borderId="12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7" fontId="8" fillId="0" borderId="0" xfId="0" applyNumberFormat="1" applyFont="1" applyFill="1" applyBorder="1" applyAlignment="1">
      <x:alignment vertical="center"/>
    </x:xf>
    <x:xf numFmtId="207" fontId="1" fillId="0" borderId="10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/>
    </x:xf>
    <x:xf numFmtId="207" fontId="8" fillId="0" borderId="12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207" fontId="8" fillId="0" borderId="10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202" fontId="8" fillId="0" borderId="12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6" borderId="10" xfId="0" applyNumberFormat="1" applyFont="1" applyFill="1" applyBorder="1" applyAlignment="1">
      <x:alignment vertical="center"/>
    </x:xf>
    <x:xf numFmtId="202" fontId="1" fillId="6" borderId="11" xfId="0" applyNumberFormat="1" applyFont="1" applyFill="1" applyBorder="1" applyAlignment="1">
      <x:alignment vertical="center"/>
    </x:xf>
    <x:xf numFmtId="202" fontId="1" fillId="6" borderId="12" xfId="0" applyNumberFormat="1" applyFont="1" applyFill="1" applyBorder="1" applyAlignment="1">
      <x:alignment vertical="center"/>
    </x:xf>
    <x:xf numFmtId="202" fontId="1" fillId="6" borderId="13" xfId="0" applyNumberFormat="1" applyFont="1" applyFill="1" applyBorder="1" applyAlignment="1">
      <x:alignment vertical="center"/>
    </x:xf>
    <x:xf numFmtId="206" fontId="6" fillId="4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6" fontId="6" fillId="6" borderId="0" xfId="0" applyNumberFormat="1" applyFont="1" applyFill="1" applyBorder="1" applyAlignment="1">
      <x:alignment vertical="center"/>
    </x:xf>
    <x:xf numFmtId="206" fontId="6" fillId="6" borderId="10" xfId="0" applyNumberFormat="1" applyFont="1" applyFill="1" applyBorder="1" applyAlignment="1">
      <x:alignment vertical="center"/>
    </x:xf>
    <x:xf numFmtId="206" fontId="8" fillId="0" borderId="10" xfId="0" applyNumberFormat="1" applyFont="1" applyFill="1" applyBorder="1" applyAlignment="1">
      <x:alignment vertical="center"/>
    </x:xf>
    <x:xf numFmtId="206" fontId="8" fillId="0" borderId="1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202" fontId="1" fillId="0" borderId="10" xfId="0" applyNumberFormat="1" applyFont="1" applyFill="1" applyBorder="1" applyAlignment="1">
      <x:alignment vertical="center"/>
    </x:xf>
    <x:xf numFmtId="208" fontId="7" fillId="0" borderId="0" xfId="0" applyNumberFormat="1" applyFont="1" applyFill="1" applyBorder="1" applyAlignment="1">
      <x:alignment vertical="center"/>
    </x:xf>
    <x:xf numFmtId="208" fontId="7" fillId="6" borderId="0" xfId="0" applyNumberFormat="1" applyFont="1" applyFill="1" applyBorder="1" applyAlignment="1">
      <x:alignment vertical="center"/>
    </x:xf>
    <x:xf numFmtId="208" fontId="7" fillId="6" borderId="10" xfId="0" applyNumberFormat="1" applyFont="1" applyFill="1" applyBorder="1" applyAlignment="1">
      <x:alignment vertical="center"/>
    </x:xf>
    <x:xf numFmtId="208" fontId="7" fillId="6" borderId="1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09fef767046e6" /><Relationship Type="http://schemas.openxmlformats.org/officeDocument/2006/relationships/theme" Target="/xl/theme/theme1.xml" Id="Ra3d0ef4d2a654496" /><Relationship Type="http://schemas.openxmlformats.org/officeDocument/2006/relationships/sharedStrings" Target="/xl/sharedStrings.xml" Id="R1720d8aeccd448f7" /><Relationship Type="http://schemas.openxmlformats.org/officeDocument/2006/relationships/worksheet" Target="/xl/worksheets/sheet1.xml" Id="Read48c8621c54414" /><Relationship Type="http://schemas.openxmlformats.org/officeDocument/2006/relationships/worksheet" Target="/xl/worksheets/sheet2.xml" Id="Rc684b8f760e04547" /><Relationship Type="http://schemas.openxmlformats.org/officeDocument/2006/relationships/worksheet" Target="/xl/worksheets/sheet3.xml" Id="Rb8d32b03f7d64a55" /><Relationship Type="http://schemas.openxmlformats.org/officeDocument/2006/relationships/worksheet" Target="/xl/worksheets/sheet4.xml" Id="Rb0185b762e864879" /><Relationship Type="http://schemas.openxmlformats.org/officeDocument/2006/relationships/worksheet" Target="/xl/worksheets/sheet5.xml" Id="R9d8f55dc30da47b2" /><Relationship Type="http://schemas.openxmlformats.org/officeDocument/2006/relationships/worksheet" Target="/xl/worksheets/sheet6.xml" Id="R917263582e02445d" /><Relationship Type="http://schemas.openxmlformats.org/officeDocument/2006/relationships/worksheet" Target="/xl/worksheets/sheet7.xml" Id="Rc298a5f322f8479e" /><Relationship Type="http://schemas.openxmlformats.org/officeDocument/2006/relationships/worksheet" Target="/xl/worksheets/sheet8.xml" Id="R36328990b6354b30" /><Relationship Type="http://schemas.openxmlformats.org/officeDocument/2006/relationships/worksheet" Target="/xl/worksheets/sheet9.xml" Id="R025417fd2ce7410b" /><Relationship Type="http://schemas.openxmlformats.org/officeDocument/2006/relationships/worksheet" Target="/xl/worksheets/sheet10.xml" Id="Re0b434ef55894213" /><Relationship Type="http://schemas.openxmlformats.org/officeDocument/2006/relationships/worksheet" Target="/xl/worksheets/sheet11.xml" Id="Rd86dc577b6e14e9b" /><Relationship Type="http://schemas.openxmlformats.org/officeDocument/2006/relationships/worksheet" Target="/xl/worksheets/sheet12.xml" Id="R82602e3e3aa64ff3" /><Relationship Type="http://schemas.openxmlformats.org/officeDocument/2006/relationships/worksheet" Target="/xl/worksheets/sheet13.xml" Id="Rf84a5a67fe98430d" /><Relationship Type="http://schemas.openxmlformats.org/officeDocument/2006/relationships/worksheet" Target="/xl/worksheets/sheet14.xml" Id="R74d40926d81144d9" /><Relationship Type="http://schemas.openxmlformats.org/officeDocument/2006/relationships/worksheet" Target="/xl/worksheets/sheet15.xml" Id="Rb2991756aa434f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53" hidden="0" customWidth="1"/>
    <x:col min="3" max="3" width="25" hidden="0" customWidth="1"/>
    <x:col min="4" max="4" width="23" hidden="0" customWidth="1"/>
    <x:col min="5" max="5" width="79" hidden="0" customWidth="1"/>
    <x:col min="6" max="6" width="20" hidden="0" customWidth="1"/>
    <x:col min="7" max="7" width="20" hidden="0" customWidth="1"/>
    <x:col min="8" max="8" width="24" hidden="0" customWidth="1"/>
    <x:col min="9" max="9" width="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2">
      <x:c r="B2" s="3" t="str">
        <x:v>Fixed service-island independence compiler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The cheapest package count depends on how much real ancestry separation the nation is willing to build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0" t="str">
        <x:v>Executive result</x:v>
      </x:c>
      <x:c r="C6" s="11" t="str">
        <x:v>Executive result</x:v>
      </x:c>
      <x:c r="D6" s="11" t="str">
        <x:v>Executive result</x:v>
      </x:c>
      <x:c r="E6" s="11" t="str">
        <x:v>Executive result</x:v>
      </x:c>
      <x:c r="F6" s="11" t="str">
        <x:v>Executive result</x:v>
      </x:c>
      <x:c r="G6" s="11" t="str">
        <x:v>Executive result</x:v>
      </x:c>
      <x:c r="H6" s="11" t="str">
        <x:v>Executive result</x:v>
      </x:c>
      <x:c r="I6" s="11" t="str">
        <x:v>Executive result</x:v>
      </x:c>
      <x:c r="J6" s="11" t="str">
        <x:v>Executive result</x:v>
      </x:c>
      <x:c r="K6" s="11" t="str">
        <x:v>Executive result</x:v>
      </x:c>
      <x:c r="L6" s="11" t="str">
        <x:v>Executive result</x:v>
      </x:c>
      <x:c r="M6" s="11" t="str">
        <x:v>Executive result</x:v>
      </x:c>
      <x:c r="N6" s="12" t="str">
        <x:v>Executive result</x:v>
      </x:c>
    </x:row>
    <x:row r="7">
      <x:c r="B7" s="28" t="str">
        <x:v>Decision</x:v>
      </x:c>
      <x:c r="C7" s="29" t="str">
        <x:v>Value</x:v>
      </x:c>
      <x:c r="D7" s="29" t="str">
        <x:v>Unit</x:v>
      </x:c>
      <x:c r="E7" s="29" t="str">
        <x:v>Interpretation</x:v>
      </x:c>
      <x:c r="F7" s="22"/>
      <x:c r="G7" s="22"/>
      <x:c r="H7" s="22"/>
      <x:c r="I7" s="22"/>
      <x:c r="J7" s="22"/>
      <x:c r="K7" s="22"/>
      <x:c r="L7" s="22"/>
      <x:c r="M7" s="22"/>
      <x:c r="N7" s="23"/>
    </x:row>
    <x:row r="8">
      <x:c r="B8" s="50" t="str">
        <x:v>Reference island</x:v>
      </x:c>
      <x:c r="C8" s="50" t="str">
        <x:v>A6 twelve-node civic metabolism fabric</x:v>
      </x:c>
      <x:c r="D8" s="50" t="str">
        <x:v>architecture</x:v>
      </x:c>
      <x:c r="E8" s="52" t="str">
        <x:v>only rival that closes all twenty-four declared behavior worlds</x:v>
      </x:c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B9" s="50" t="str">
        <x:v>A6 behavior worlds passed</x:v>
      </x:c>
      <x:c r="C9" s="50" t="n">
        <x:f>'Island Architectures'!AI13</x:f>
        <x:v>24</x:v>
      </x:c>
      <x:c r="D9" s="50" t="str">
        <x:v>of 24</x:v>
      </x:c>
      <x:c r="E9" s="52" t="str">
        <x:v>calculated behavior; strict admission remains zero</x:v>
      </x:c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B10" s="50" t="str">
        <x:v>A6 configured capital</x:v>
      </x:c>
      <x:c r="C10" s="114" t="n">
        <x:f>'Island Architectures'!AF13</x:f>
        <x:v>1.8</x:v>
      </x:c>
      <x:c r="D10" s="50" t="str">
        <x:v>$B/island</x:v>
      </x:c>
      <x:c r="E10" s="52" t="str">
        <x:v>bottom-up first-principles screen</x:v>
      </x:c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B11" s="50" t="str">
        <x:v>A6 25-year lifecycle</x:v>
      </x:c>
      <x:c r="C11" s="114" t="n">
        <x:f>'Island Architectures'!AH13</x:f>
        <x:v>3.77625</x:v>
      </x:c>
      <x:c r="D11" s="50" t="str">
        <x:v>$B/island</x:v>
      </x:c>
      <x:c r="E11" s="52" t="str">
        <x:v>capital plus ramp-weighted operations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B12" s="50" t="str">
        <x:v>Lowest-package compound federation</x:v>
      </x:c>
      <x:c r="C12" s="50" t="str">
        <x:v>G2 strict ten-partition T7</x:v>
      </x:c>
      <x:c r="D12" s="50" t="str">
        <x:v>architecture</x:v>
      </x:c>
      <x:c r="E12" s="52" t="str">
        <x:v>thirteen packages only if every decisive domain has ten partitions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B13" s="50" t="str">
        <x:v>G2 packages per group</x:v>
      </x:c>
      <x:c r="C13" s="50" t="n">
        <x:f>'Federation Compiler'!K9</x:f>
        <x:v>13</x:v>
      </x:c>
      <x:c r="D13" s="50" t="str">
        <x:v>complete packages</x:v>
      </x:c>
      <x:c r="E13" s="52" t="str">
        <x:v>ten fixed and one on each legacy mobile mode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B14" s="50" t="str">
        <x:v>G2 all-in national lifecycle</x:v>
      </x:c>
      <x:c r="C14" s="114" t="n">
        <x:f>'Federation Compiler'!U9</x:f>
        <x:v>5790.5512</x:v>
      </x:c>
      <x:c r="D14" s="50" t="str">
        <x:v>$B</x:v>
      </x:c>
      <x:c r="E14" s="52" t="str">
        <x:v>seventy-two-group constant-dollar comparator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B15" s="50" t="str">
        <x:v>Recompiled selected national program</x:v>
      </x:c>
      <x:c r="C15" s="114" t="n">
        <x:f>'Program Cost'!P30</x:f>
        <x:v>6098.711950000001</x:v>
      </x:c>
      <x:c r="D15" s="50" t="str">
        <x:v>$B</x:v>
      </x:c>
      <x:c r="E15" s="52" t="str">
        <x:v>607 fixed cells at A6 lifecycle plus inherited mobile force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50" t="str">
        <x:v>Independence-premium break-even</x:v>
      </x:c>
      <x:c r="C16" s="114" t="n">
        <x:f>'Federation Compiler'!F20</x:f>
        <x:v>0.9440625</x:v>
      </x:c>
      <x:c r="D16" s="50" t="str">
        <x:v>$B/extra partition/group</x:v>
      </x:c>
      <x:c r="E16" s="52" t="str">
        <x:v>above this, one spare fixed cell is cheaper than four extra partitions</x:v>
      </x:c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50" t="str">
        <x:v>Open evidence gates</x:v>
      </x:c>
      <x:c r="C17" s="50" t="n">
        <x:f>COUNTIFS('Evidence Gates'!$H$8:$H$41,"OPEN")</x:f>
        <x:v>34</x:v>
      </x:c>
      <x:c r="D17" s="50" t="str">
        <x:v>gates</x:v>
      </x:c>
      <x:c r="E17" s="52" t="str">
        <x:v>no island or federation admitted</x:v>
      </x:c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53" t="str">
        <x:v>Rendering state</x:v>
      </x:c>
      <x:c r="C18" s="53" t="str">
        <x:v>BLOCKED</x:v>
      </x:c>
      <x:c r="D18" s="53" t="str">
        <x:v>governance</x:v>
      </x:c>
      <x:c r="E18" s="55" t="str">
        <x:v>requirements and representative evidence still determine form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10" t="str">
        <x:v>Governing judgments</x:v>
      </x:c>
      <x:c r="C21" s="11" t="str">
        <x:v>Governing judgments</x:v>
      </x:c>
      <x:c r="D21" s="11" t="str">
        <x:v>Governing judgments</x:v>
      </x:c>
      <x:c r="E21" s="11" t="str">
        <x:v>Governing judgments</x:v>
      </x:c>
      <x:c r="F21" s="11" t="str">
        <x:v>Governing judgments</x:v>
      </x:c>
      <x:c r="G21" s="11" t="str">
        <x:v>Governing judgments</x:v>
      </x:c>
      <x:c r="H21" s="11" t="str">
        <x:v>Governing judgments</x:v>
      </x:c>
      <x:c r="I21" s="11" t="str">
        <x:v>Governing judgments</x:v>
      </x:c>
      <x:c r="J21" s="11" t="str">
        <x:v>Governing judgments</x:v>
      </x:c>
      <x:c r="K21" s="11" t="str">
        <x:v>Governing judgments</x:v>
      </x:c>
      <x:c r="L21" s="11" t="str">
        <x:v>Governing judgments</x:v>
      </x:c>
      <x:c r="M21" s="11" t="str">
        <x:v>Governing judgments</x:v>
      </x:c>
      <x:c r="N21" s="12" t="str">
        <x:v>Governing judgments</x:v>
      </x:c>
    </x:row>
    <x:row r="22" ht="46" customHeight="1">
      <x:c r="B22" s="127" t="str">
        <x:v>1. A fixed island is a complete civil utility service system.</x:v>
      </x:c>
      <x:c r="C22" s="128" t="str">
        <x:v>It includes source, heat destination, water, waste, distribution, occupied interfaces, staff, authority, stocks, repair, docking and reset.</x:v>
      </x:c>
      <x:c r="D22" s="128"/>
      <x:c r="E22" s="128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46" customHeight="1">
      <x:c r="B23" s="129" t="str">
        <x:v>2. Hardening and redundancy are not independence.</x:v>
      </x:c>
      <x:c r="C23" s="130" t="str">
        <x:v>A campus with two machines still fails as one object when it shares a site, source, heat sink, controller, crew or release authority.</x:v>
      </x:c>
      <x:c r="D23" s="130"/>
      <x:c r="E23" s="130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46" customHeight="1">
      <x:c r="B24" s="129" t="str">
        <x:v>3. Thirteen packages require ten-way ancestry separation.</x:v>
      </x:c>
      <x:c r="C24" s="130" t="str">
        <x:v>With ten fixed cells and one cell on each of three modes, any correlated loss larger than one fixed cell breaks the source-plus-two-mode guarantee.</x:v>
      </x:c>
      <x:c r="D24" s="130"/>
      <x:c r="E24" s="130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46" customHeight="1">
      <x:c r="B25" s="129" t="str">
        <x:v>4. One additional fixed cell can replace four ancestry partitions.</x:v>
      </x:c>
      <x:c r="C25" s="130" t="str">
        <x:v>Eleven fixed cells across six balanced domains plus three mobile cells preserve ten after a two-cell correlated loss and two route losses.</x:v>
      </x:c>
      <x:c r="D25" s="130"/>
      <x:c r="E25" s="130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46" customHeight="1">
      <x:c r="B26" s="129" t="str">
        <x:v>5. A6 is an ambitious research article, not a procurement baseline.</x:v>
      </x:c>
      <x:c r="C26" s="130" t="str">
        <x:v>Its twelve nodes, five heat destinations, local water metabolism, microfactory and offline authority close declared arithmetic but have no representative evidence.</x:v>
      </x:c>
      <x:c r="D26" s="130"/>
      <x:c r="E26" s="130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46" customHeight="1">
      <x:c r="B27" s="131" t="str">
        <x:v>6. No rendering is authorized.</x:v>
      </x:c>
      <x:c r="C27" s="132" t="str">
        <x:v>Footprint, source technologies, heat destinations, protection zones, buried corridors and occupied interfaces remain unresolved.</x:v>
      </x:c>
      <x:c r="D27" s="132"/>
      <x:c r="E27" s="13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10" t="str">
        <x:v>Island architecture comparison</x:v>
      </x:c>
      <x:c r="C30" s="11" t="str">
        <x:v>Island architecture comparison</x:v>
      </x:c>
      <x:c r="D30" s="11" t="str">
        <x:v>Island architecture comparison</x:v>
      </x:c>
      <x:c r="E30" s="11" t="str">
        <x:v>Island architecture comparison</x:v>
      </x:c>
      <x:c r="F30" s="11" t="str">
        <x:v>Island architecture comparison</x:v>
      </x:c>
      <x:c r="G30" s="11" t="str">
        <x:v>Island architecture comparison</x:v>
      </x:c>
      <x:c r="H30" s="12" t="str">
        <x:v>Island architecture comparison</x:v>
      </x:c>
      <x:c r="I30" s="2"/>
      <x:c r="J30" s="2"/>
      <x:c r="K30" s="2"/>
      <x:c r="L30" s="2"/>
      <x:c r="M30" s="2"/>
      <x:c r="N30" s="2"/>
    </x:row>
    <x:row r="31">
      <x:c r="B31" s="28" t="str">
        <x:v>Architecture</x:v>
      </x:c>
      <x:c r="C31" s="29" t="str">
        <x:v>Energy lineages</x:v>
      </x:c>
      <x:c r="D31" s="29" t="str">
        <x:v>Heat destinations</x:v>
      </x:c>
      <x:c r="E31" s="29" t="str">
        <x:v>Nodes</x:v>
      </x:c>
      <x:c r="F31" s="29" t="str">
        <x:v>Autonomy h</x:v>
      </x:c>
      <x:c r="G31" s="29" t="str">
        <x:v>Lifecycle $B</x:v>
      </x:c>
      <x:c r="H31" s="29" t="str">
        <x:v>Worlds passed</x:v>
      </x:c>
      <x:c r="I31" s="2"/>
      <x:c r="J31" s="2"/>
      <x:c r="K31" s="2"/>
      <x:c r="L31" s="2"/>
      <x:c r="M31" s="2"/>
      <x:c r="N31" s="2"/>
    </x:row>
    <x:row r="32">
      <x:c r="B32" s="30" t="str">
        <x:f>'Island Architectures'!B8</x:f>
        <x:v>A1</x:v>
      </x:c>
      <x:c r="C32" s="30" t="n">
        <x:f>'Island Architectures'!E8</x:f>
        <x:v>1</x:v>
      </x:c>
      <x:c r="D32" s="30" t="n">
        <x:f>'Island Architectures'!J8</x:f>
        <x:v>1</x:v>
      </x:c>
      <x:c r="E32" s="30" t="n">
        <x:f>'Island Architectures'!R8</x:f>
        <x:v>1</x:v>
      </x:c>
      <x:c r="F32" s="30" t="n">
        <x:f>'Island Architectures'!AD8</x:f>
        <x:v>24</x:v>
      </x:c>
      <x:c r="G32" s="133" t="n">
        <x:f>'Island Architectures'!AH8</x:f>
        <x:v>2.0067000000000004</x:v>
      </x:c>
      <x:c r="H32" s="32" t="n">
        <x:f>'Island Architectures'!AI8</x:f>
        <x:v>1</x:v>
      </x:c>
      <x:c r="I32" s="2"/>
      <x:c r="J32" s="2"/>
      <x:c r="K32" s="2"/>
      <x:c r="L32" s="2"/>
      <x:c r="M32" s="2"/>
      <x:c r="N32" s="2"/>
    </x:row>
    <x:row r="33">
      <x:c r="B33" s="30" t="str">
        <x:f>'Island Architectures'!B9</x:f>
        <x:v>A2</x:v>
      </x:c>
      <x:c r="C33" s="30" t="n">
        <x:f>'Island Architectures'!E9</x:f>
        <x:v>1</x:v>
      </x:c>
      <x:c r="D33" s="30" t="n">
        <x:f>'Island Architectures'!J9</x:f>
        <x:v>1</x:v>
      </x:c>
      <x:c r="E33" s="30" t="n">
        <x:f>'Island Architectures'!R9</x:f>
        <x:v>2</x:v>
      </x:c>
      <x:c r="F33" s="30" t="n">
        <x:f>'Island Architectures'!AD9</x:f>
        <x:v>48</x:v>
      </x:c>
      <x:c r="G33" s="133" t="n">
        <x:f>'Island Architectures'!AH9</x:f>
        <x:v>2.54385</x:v>
      </x:c>
      <x:c r="H33" s="32" t="n">
        <x:f>'Island Architectures'!AI9</x:f>
        <x:v>4</x:v>
      </x:c>
      <x:c r="I33" s="2"/>
      <x:c r="J33" s="2"/>
      <x:c r="K33" s="2"/>
      <x:c r="L33" s="2"/>
      <x:c r="M33" s="2"/>
      <x:c r="N33" s="2"/>
    </x:row>
    <x:row r="34">
      <x:c r="B34" s="30" t="str">
        <x:f>'Island Architectures'!B10</x:f>
        <x:v>A3</x:v>
      </x:c>
      <x:c r="C34" s="30" t="n">
        <x:f>'Island Architectures'!E10</x:f>
        <x:v>2</x:v>
      </x:c>
      <x:c r="D34" s="30" t="n">
        <x:f>'Island Architectures'!J10</x:f>
        <x:v>2</x:v>
      </x:c>
      <x:c r="E34" s="30" t="n">
        <x:f>'Island Architectures'!R10</x:f>
        <x:v>5</x:v>
      </x:c>
      <x:c r="F34" s="30" t="n">
        <x:f>'Island Architectures'!AD10</x:f>
        <x:v>96</x:v>
      </x:c>
      <x:c r="G34" s="133" t="n">
        <x:f>'Island Architectures'!AH10</x:f>
        <x:v>3.031</x:v>
      </x:c>
      <x:c r="H34" s="32" t="n">
        <x:f>'Island Architectures'!AI10</x:f>
        <x:v>17</x:v>
      </x:c>
      <x:c r="I34" s="2"/>
      <x:c r="J34" s="2"/>
      <x:c r="K34" s="2"/>
      <x:c r="L34" s="2"/>
      <x:c r="M34" s="2"/>
      <x:c r="N34" s="2"/>
    </x:row>
    <x:row r="35">
      <x:c r="B35" s="30" t="str">
        <x:f>'Island Architectures'!B11</x:f>
        <x:v>A4</x:v>
      </x:c>
      <x:c r="C35" s="30" t="n">
        <x:f>'Island Architectures'!E11</x:f>
        <x:v>3</x:v>
      </x:c>
      <x:c r="D35" s="30" t="n">
        <x:f>'Island Architectures'!J11</x:f>
        <x:v>3</x:v>
      </x:c>
      <x:c r="E35" s="30" t="n">
        <x:f>'Island Architectures'!R11</x:f>
        <x:v>5</x:v>
      </x:c>
      <x:c r="F35" s="30" t="n">
        <x:f>'Island Architectures'!AD11</x:f>
        <x:v>120</x:v>
      </x:c>
      <x:c r="G35" s="133" t="n">
        <x:f>'Island Architectures'!AH11</x:f>
        <x:v>3.39072</x:v>
      </x:c>
      <x:c r="H35" s="32" t="n">
        <x:f>'Island Architectures'!AI11</x:f>
        <x:v>18</x:v>
      </x:c>
      <x:c r="I35" s="2"/>
      <x:c r="J35" s="2"/>
      <x:c r="K35" s="2"/>
      <x:c r="L35" s="2"/>
      <x:c r="M35" s="2"/>
      <x:c r="N35" s="2"/>
    </x:row>
    <x:row r="36">
      <x:c r="B36" s="30" t="str">
        <x:f>'Island Architectures'!B12</x:f>
        <x:v>A5</x:v>
      </x:c>
      <x:c r="C36" s="30" t="n">
        <x:f>'Island Architectures'!E12</x:f>
        <x:v>5</x:v>
      </x:c>
      <x:c r="D36" s="30" t="n">
        <x:f>'Island Architectures'!J12</x:f>
        <x:v>3</x:v>
      </x:c>
      <x:c r="E36" s="30" t="n">
        <x:f>'Island Architectures'!R12</x:f>
        <x:v>10</x:v>
      </x:c>
      <x:c r="F36" s="30" t="n">
        <x:f>'Island Architectures'!AD12</x:f>
        <x:v>168</x:v>
      </x:c>
      <x:c r="G36" s="133" t="n">
        <x:f>'Island Architectures'!AH12</x:f>
        <x:v>3.5655799999999997</x:v>
      </x:c>
      <x:c r="H36" s="32" t="n">
        <x:f>'Island Architectures'!AI12</x:f>
        <x:v>22</x:v>
      </x:c>
      <x:c r="I36" s="2"/>
      <x:c r="J36" s="2"/>
      <x:c r="K36" s="2"/>
      <x:c r="L36" s="2"/>
      <x:c r="M36" s="2"/>
      <x:c r="N36" s="2"/>
    </x:row>
    <x:row r="37">
      <x:c r="B37" s="35" t="str">
        <x:f>'Island Architectures'!B13</x:f>
        <x:v>A6</x:v>
      </x:c>
      <x:c r="C37" s="35" t="n">
        <x:f>'Island Architectures'!E13</x:f>
        <x:v>5</x:v>
      </x:c>
      <x:c r="D37" s="35" t="n">
        <x:f>'Island Architectures'!J13</x:f>
        <x:v>5</x:v>
      </x:c>
      <x:c r="E37" s="35" t="n">
        <x:f>'Island Architectures'!R13</x:f>
        <x:v>12</x:v>
      </x:c>
      <x:c r="F37" s="35" t="n">
        <x:f>'Island Architectures'!AD13</x:f>
        <x:v>168</x:v>
      </x:c>
      <x:c r="G37" s="96" t="n">
        <x:f>'Island Architectures'!AH13</x:f>
        <x:v>3.77625</x:v>
      </x:c>
      <x:c r="H37" s="37" t="n">
        <x:f>'Island Architectures'!AI13</x:f>
        <x:v>24</x:v>
      </x:c>
      <x:c r="I37" s="2"/>
      <x:c r="J37" s="2"/>
      <x:c r="K37" s="2"/>
      <x:c r="L37" s="2"/>
      <x:c r="M37" s="2"/>
      <x:c r="N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10" t="str">
        <x:v>Federation trade space</x:v>
      </x:c>
      <x:c r="C40" s="11" t="str">
        <x:v>Federation trade space</x:v>
      </x:c>
      <x:c r="D40" s="11" t="str">
        <x:v>Federation trade space</x:v>
      </x:c>
      <x:c r="E40" s="11" t="str">
        <x:v>Federation trade space</x:v>
      </x:c>
      <x:c r="F40" s="11" t="str">
        <x:v>Federation trade space</x:v>
      </x:c>
      <x:c r="G40" s="11" t="str">
        <x:v>Federation trade space</x:v>
      </x:c>
      <x:c r="H40" s="12" t="str">
        <x:v>Federation trade space</x:v>
      </x:c>
      <x:c r="I40" s="2"/>
      <x:c r="J40" s="2"/>
      <x:c r="K40" s="2"/>
      <x:c r="L40" s="2"/>
      <x:c r="M40" s="2"/>
      <x:c r="N40" s="2"/>
    </x:row>
    <x:row r="41">
      <x:c r="B41" s="28" t="str">
        <x:v>Federation</x:v>
      </x:c>
      <x:c r="C41" s="29" t="str">
        <x:v>Packages/group</x:v>
      </x:c>
      <x:c r="D41" s="29" t="str">
        <x:v>Largest correlated loss</x:v>
      </x:c>
      <x:c r="E41" s="29" t="str">
        <x:v>After ancestry + two modes</x:v>
      </x:c>
      <x:c r="F41" s="29" t="str">
        <x:v>All-in national $B</x:v>
      </x:c>
      <x:c r="G41" s="29" t="str">
        <x:v>Behavior worlds passed</x:v>
      </x:c>
      <x:c r="H41" s="29" t="str">
        <x:v>Current-credit worlds passed</x:v>
      </x:c>
      <x:c r="I41" s="2"/>
      <x:c r="J41" s="2"/>
      <x:c r="K41" s="2"/>
      <x:c r="L41" s="2"/>
      <x:c r="M41" s="2"/>
      <x:c r="N41" s="2"/>
    </x:row>
    <x:row r="42">
      <x:c r="B42" s="30" t="str">
        <x:f>'Federation Compiler'!B8</x:f>
        <x:v>G1</x:v>
      </x:c>
      <x:c r="C42" s="30" t="n">
        <x:f>'Federation Compiler'!K8</x:f>
        <x:v>13</x:v>
      </x:c>
      <x:c r="D42" s="30" t="n">
        <x:f>'Federation Compiler'!J8</x:f>
        <x:v>2</x:v>
      </x:c>
      <x:c r="E42" s="30" t="n">
        <x:f>'Federation Compiler'!M8</x:f>
        <x:v>9</x:v>
      </x:c>
      <x:c r="F42" s="133" t="n">
        <x:f>'Federation Compiler'!U8</x:f>
        <x:v>5736.5512</x:v>
      </x:c>
      <x:c r="G42" s="30" t="n">
        <x:f>'Federation Compiler'!V8</x:f>
        <x:v>6</x:v>
      </x:c>
      <x:c r="H42" s="32" t="n">
        <x:f>'Federation Compiler'!W8</x:f>
        <x:v>6</x:v>
      </x:c>
      <x:c r="I42" s="2"/>
      <x:c r="J42" s="2"/>
      <x:c r="K42" s="2"/>
      <x:c r="L42" s="2"/>
      <x:c r="M42" s="2"/>
      <x:c r="N42" s="2"/>
    </x:row>
    <x:row r="43">
      <x:c r="B43" s="30" t="str">
        <x:f>'Federation Compiler'!B9</x:f>
        <x:v>G2</x:v>
      </x:c>
      <x:c r="C43" s="30" t="n">
        <x:f>'Federation Compiler'!K9</x:f>
        <x:v>13</x:v>
      </x:c>
      <x:c r="D43" s="30" t="n">
        <x:f>'Federation Compiler'!J9</x:f>
        <x:v>1</x:v>
      </x:c>
      <x:c r="E43" s="30" t="n">
        <x:f>'Federation Compiler'!M9</x:f>
        <x:v>10</x:v>
      </x:c>
      <x:c r="F43" s="133" t="n">
        <x:f>'Federation Compiler'!U9</x:f>
        <x:v>5790.5512</x:v>
      </x:c>
      <x:c r="G43" s="30" t="n">
        <x:f>'Federation Compiler'!V9</x:f>
        <x:v>14</x:v>
      </x:c>
      <x:c r="H43" s="32" t="n">
        <x:f>'Federation Compiler'!W9</x:f>
        <x:v>14</x:v>
      </x:c>
      <x:c r="I43" s="2"/>
      <x:c r="J43" s="2"/>
      <x:c r="K43" s="2"/>
      <x:c r="L43" s="2"/>
      <x:c r="M43" s="2"/>
      <x:c r="N43" s="2"/>
    </x:row>
    <x:row r="44">
      <x:c r="B44" s="30" t="str">
        <x:f>'Federation Compiler'!B10</x:f>
        <x:v>G3</x:v>
      </x:c>
      <x:c r="C44" s="30" t="n">
        <x:f>'Federation Compiler'!K10</x:f>
        <x:v>14</x:v>
      </x:c>
      <x:c r="D44" s="30" t="n">
        <x:f>'Federation Compiler'!J10</x:f>
        <x:v>2</x:v>
      </x:c>
      <x:c r="E44" s="30" t="n">
        <x:f>'Federation Compiler'!M10</x:f>
        <x:v>10</x:v>
      </x:c>
      <x:c r="F44" s="133" t="n">
        <x:f>'Federation Compiler'!U10</x:f>
        <x:v>6019.2412</x:v>
      </x:c>
      <x:c r="G44" s="30" t="n">
        <x:f>'Federation Compiler'!V10</x:f>
        <x:v>16</x:v>
      </x:c>
      <x:c r="H44" s="32" t="n">
        <x:f>'Federation Compiler'!W10</x:f>
        <x:v>16</x:v>
      </x:c>
      <x:c r="I44" s="2"/>
      <x:c r="J44" s="2"/>
      <x:c r="K44" s="2"/>
      <x:c r="L44" s="2"/>
      <x:c r="M44" s="2"/>
      <x:c r="N44" s="2"/>
    </x:row>
    <x:row r="45">
      <x:c r="B45" s="30" t="str">
        <x:f>'Federation Compiler'!B11</x:f>
        <x:v>G4</x:v>
      </x:c>
      <x:c r="C45" s="30" t="n">
        <x:f>'Federation Compiler'!K11</x:f>
        <x:v>14</x:v>
      </x:c>
      <x:c r="D45" s="30" t="n">
        <x:f>'Federation Compiler'!J11</x:f>
        <x:v>2</x:v>
      </x:c>
      <x:c r="E45" s="30" t="n">
        <x:f>'Federation Compiler'!M11</x:f>
        <x:v>10</x:v>
      </x:c>
      <x:c r="F45" s="133" t="n">
        <x:f>'Federation Compiler'!U11</x:f>
        <x:v>6060.5512</x:v>
      </x:c>
      <x:c r="G45" s="30" t="n">
        <x:f>'Federation Compiler'!V11</x:f>
        <x:v>16</x:v>
      </x:c>
      <x:c r="H45" s="32" t="n">
        <x:f>'Federation Compiler'!W11</x:f>
        <x:v>15</x:v>
      </x:c>
      <x:c r="I45" s="2"/>
      <x:c r="J45" s="2"/>
      <x:c r="K45" s="2"/>
      <x:c r="L45" s="2"/>
      <x:c r="M45" s="2"/>
      <x:c r="N45" s="2"/>
    </x:row>
    <x:row r="46">
      <x:c r="B46" s="30" t="str">
        <x:f>'Federation Compiler'!B12</x:f>
        <x:v>G5</x:v>
      </x:c>
      <x:c r="C46" s="30" t="n">
        <x:f>'Federation Compiler'!K12</x:f>
        <x:v>16</x:v>
      </x:c>
      <x:c r="D46" s="30" t="n">
        <x:f>'Federation Compiler'!J12</x:f>
        <x:v>2</x:v>
      </x:c>
      <x:c r="E46" s="30" t="n">
        <x:f>'Federation Compiler'!M12</x:f>
        <x:v>10</x:v>
      </x:c>
      <x:c r="F46" s="133" t="n">
        <x:f>'Federation Compiler'!U12</x:f>
        <x:v>6349.7752</x:v>
      </x:c>
      <x:c r="G46" s="30" t="n">
        <x:f>'Federation Compiler'!V12</x:f>
        <x:v>15</x:v>
      </x:c>
      <x:c r="H46" s="32" t="n">
        <x:f>'Federation Compiler'!W12</x:f>
        <x:v>15</x:v>
      </x:c>
      <x:c r="I46" s="2"/>
      <x:c r="J46" s="2"/>
      <x:c r="K46" s="2"/>
      <x:c r="L46" s="2"/>
      <x:c r="M46" s="2"/>
      <x:c r="N46" s="2"/>
    </x:row>
    <x:row r="47">
      <x:c r="B47" s="30" t="str">
        <x:f>'Federation Compiler'!B13</x:f>
        <x:v>G6</x:v>
      </x:c>
      <x:c r="C47" s="30" t="n">
        <x:f>'Federation Compiler'!K13</x:f>
        <x:v>15</x:v>
      </x:c>
      <x:c r="D47" s="30" t="n">
        <x:f>'Federation Compiler'!J13</x:f>
        <x:v>2</x:v>
      </x:c>
      <x:c r="E47" s="30" t="n">
        <x:f>'Federation Compiler'!M13</x:f>
        <x:v>11</x:v>
      </x:c>
      <x:c r="F47" s="133" t="n">
        <x:f>'Federation Compiler'!U13</x:f>
        <x:v>6291.1312</x:v>
      </x:c>
      <x:c r="G47" s="30" t="n">
        <x:f>'Federation Compiler'!V13</x:f>
        <x:v>16</x:v>
      </x:c>
      <x:c r="H47" s="32" t="n">
        <x:f>'Federation Compiler'!W13</x:f>
        <x:v>16</x:v>
      </x:c>
      <x:c r="I47" s="2"/>
      <x:c r="J47" s="2"/>
      <x:c r="K47" s="2"/>
      <x:c r="L47" s="2"/>
      <x:c r="M47" s="2"/>
      <x:c r="N47" s="2"/>
    </x:row>
    <x:row r="48">
      <x:c r="B48" s="35" t="str">
        <x:f>'Federation Compiler'!B14</x:f>
        <x:v>G7</x:v>
      </x:c>
      <x:c r="C48" s="35" t="n">
        <x:f>'Federation Compiler'!K14</x:f>
        <x:v>19</x:v>
      </x:c>
      <x:c r="D48" s="35" t="n">
        <x:f>'Federation Compiler'!J14</x:f>
        <x:v>3</x:v>
      </x:c>
      <x:c r="E48" s="35" t="n">
        <x:f>'Federation Compiler'!M14</x:f>
        <x:v>10</x:v>
      </x:c>
      <x:c r="F48" s="96" t="n">
        <x:f>'Federation Compiler'!U14</x:f>
        <x:v>6962.9992</x:v>
      </x:c>
      <x:c r="G48" s="35" t="n">
        <x:f>'Federation Compiler'!V14</x:f>
        <x:v>15</x:v>
      </x:c>
      <x:c r="H48" s="37" t="n">
        <x:f>'Federation Compiler'!W14</x:f>
        <x:v>15</x:v>
      </x:c>
      <x:c r="I48" s="2"/>
      <x:c r="J48" s="2"/>
      <x:c r="K48" s="2"/>
      <x:c r="L48" s="2"/>
      <x:c r="M48" s="2"/>
      <x:c r="N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</x:sheetData>
  <x:mergeCells>
    <x:mergeCell ref="B6:N6"/>
    <x:mergeCell ref="B21:N21"/>
    <x:mergeCell ref="C22:E22"/>
    <x:mergeCell ref="C23:E23"/>
    <x:mergeCell ref="C24:E24"/>
    <x:mergeCell ref="C25:E25"/>
    <x:mergeCell ref="C26:E26"/>
    <x:mergeCell ref="C27:E27"/>
    <x:mergeCell ref="B30:H30"/>
    <x:mergeCell ref="B40:H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/>
  </x:sheetViews>
  <x:sheetFormatPr defaultRowHeight="15"/>
  <x:cols>
    <x:col min="2" max="2" width="35" hidden="0" customWidth="1"/>
    <x:col min="3" max="3" width="18" hidden="0" customWidth="1"/>
    <x:col min="4" max="4" width="20" hidden="0" customWidth="1"/>
    <x:col min="5" max="5" width="18" hidden="0" customWidth="1"/>
    <x:col min="6" max="6" width="48" hidden="0" customWidth="1"/>
    <x:col min="7" max="7" width="4" hidden="0" customWidth="1"/>
    <x:col min="8" max="8" width="39" hidden="0" customWidth="1"/>
    <x:col min="9" max="9" width="18" hidden="0" customWidth="1"/>
    <x:col min="10" max="10" width="17" hidden="0" customWidth="1"/>
    <x:col min="11" max="11" width="20" hidden="0" customWidth="1"/>
    <x:col min="12" max="12" width="47" hidden="0" customWidth="1"/>
  </x:cols>
  <x:sheetData>
    <x:row r="2">
      <x:c r="B2" s="3" t="str">
        <x:v>Fixed service-island assumptions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39"/>
      <x:c r="N2" s="139"/>
    </x:row>
    <x:row r="3">
      <x:c r="B3" s="4" t="str">
        <x:v>One 5,000-person island, a ten-island federation and the national program boundary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140"/>
      <x:c r="N4" s="140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139"/>
      <x:c r="N5" s="139"/>
    </x:row>
    <x:row r="6">
      <x:c r="B6" s="10" t="str">
        <x:v>Public-service contract</x:v>
      </x:c>
      <x:c r="C6" s="11" t="str">
        <x:v>Public-service contract</x:v>
      </x:c>
      <x:c r="D6" s="11" t="str">
        <x:v>Public-service contract</x:v>
      </x:c>
      <x:c r="E6" s="11" t="str">
        <x:v>Public-service contract</x:v>
      </x:c>
      <x:c r="F6" s="12" t="str">
        <x:v>Public-service contract</x:v>
      </x:c>
      <x:c r="G6" s="2"/>
      <x:c r="H6" s="10" t="str">
        <x:v>National and fiscal controls</x:v>
      </x:c>
      <x:c r="I6" s="11" t="str">
        <x:v>National and fiscal controls</x:v>
      </x:c>
      <x:c r="J6" s="11" t="str">
        <x:v>National and fiscal controls</x:v>
      </x:c>
      <x:c r="K6" s="11" t="str">
        <x:v>National and fiscal controls</x:v>
      </x:c>
      <x:c r="L6" s="12" t="str">
        <x:v>National and fiscal controls</x:v>
      </x:c>
      <x:c r="M6" s="139"/>
      <x:c r="N6" s="139"/>
    </x:row>
    <x:row r="7">
      <x:c r="B7" s="28" t="str">
        <x:v>Input</x:v>
      </x:c>
      <x:c r="C7" s="29" t="str">
        <x:v>Value</x:v>
      </x:c>
      <x:c r="D7" s="29" t="str">
        <x:v>Unit</x:v>
      </x:c>
      <x:c r="E7" s="29" t="str">
        <x:v>Origin</x:v>
      </x:c>
      <x:c r="F7" s="29" t="str">
        <x:v>Meaning</x:v>
      </x:c>
      <x:c r="G7" s="2"/>
      <x:c r="H7" s="28" t="str">
        <x:v>Input</x:v>
      </x:c>
      <x:c r="I7" s="29" t="str">
        <x:v>Value</x:v>
      </x:c>
      <x:c r="J7" s="29" t="str">
        <x:v>Unit</x:v>
      </x:c>
      <x:c r="K7" s="29" t="str">
        <x:v>Origin</x:v>
      </x:c>
      <x:c r="L7" s="29" t="str">
        <x:v>Treatment</x:v>
      </x:c>
      <x:c r="M7" s="139"/>
      <x:c r="N7" s="139"/>
    </x:row>
    <x:row r="8">
      <x:c r="B8" s="30" t="str">
        <x:v>Accountable population</x:v>
      </x:c>
      <x:c r="C8" s="31" t="n">
        <x:v>5000</x:v>
      </x:c>
      <x:c r="D8" s="30" t="str">
        <x:v>people</x:v>
      </x:c>
      <x:c r="E8" s="30" t="str">
        <x:v>Pass 72</x:v>
      </x:c>
      <x:c r="F8" s="32" t="str">
        <x:v>one PTS-5 service cell</x:v>
      </x:c>
      <x:c r="G8" s="2"/>
      <x:c r="H8" s="30" t="str">
        <x:v>National PTS-50 groups</x:v>
      </x:c>
      <x:c r="I8" s="31" t="n">
        <x:v>72</x:v>
      </x:c>
      <x:c r="J8" s="30" t="str">
        <x:v>groups</x:v>
      </x:c>
      <x:c r="K8" s="30" t="str">
        <x:v>Passes 72-76</x:v>
      </x:c>
      <x:c r="L8" s="32" t="str">
        <x:v>universal comparator</x:v>
      </x:c>
      <x:c r="M8" s="139"/>
      <x:c r="N8" s="139"/>
    </x:row>
    <x:row r="9">
      <x:c r="B9" s="30" t="str">
        <x:v>Minimum safe-service fraction</x:v>
      </x:c>
      <x:c r="C9" s="33" t="n">
        <x:v>0.9</x:v>
      </x:c>
      <x:c r="D9" s="30" t="str">
        <x:v>share</x:v>
      </x:c>
      <x:c r="E9" s="30" t="str">
        <x:v>this pass</x:v>
      </x:c>
      <x:c r="F9" s="32" t="str">
        <x:v>behavior-world pass floor</x:v>
      </x:c>
      <x:c r="G9" s="2"/>
      <x:c r="H9" s="30" t="str">
        <x:v>Selected-portfolio fixed cells</x:v>
      </x:c>
      <x:c r="I9" s="31" t="n">
        <x:v>607</x:v>
      </x:c>
      <x:c r="J9" s="30" t="str">
        <x:v>cells</x:v>
      </x:c>
      <x:c r="K9" s="30" t="str">
        <x:v>Pass 76</x:v>
      </x:c>
      <x:c r="L9" s="32" t="str">
        <x:v>recompiled at reference island cost</x:v>
      </x:c>
      <x:c r="M9" s="139"/>
      <x:c r="N9" s="139"/>
    </x:row>
    <x:row r="10">
      <x:c r="B10" s="30" t="str">
        <x:v>Mission duration</x:v>
      </x:c>
      <x:c r="C10" s="31" t="n">
        <x:v>168</x:v>
      </x:c>
      <x:c r="D10" s="30" t="str">
        <x:v>hours</x:v>
      </x:c>
      <x:c r="E10" s="30" t="str">
        <x:v>Pass 72</x:v>
      </x:c>
      <x:c r="F10" s="32" t="str">
        <x:v>seven-day occupied-service contract</x:v>
      </x:c>
      <x:c r="G10" s="2"/>
      <x:c r="H10" s="30" t="str">
        <x:v>Universal T7 fixed cells</x:v>
      </x:c>
      <x:c r="I10" s="31" t="n">
        <x:v>720</x:v>
      </x:c>
      <x:c r="J10" s="30" t="str">
        <x:v>cells</x:v>
      </x:c>
      <x:c r="K10" s="30" t="str">
        <x:v>Pass 76</x:v>
      </x:c>
      <x:c r="L10" s="32" t="str">
        <x:v>ten cells per group</x:v>
      </x:c>
      <x:c r="M10" s="139"/>
      <x:c r="N10" s="139"/>
    </x:row>
    <x:row r="11">
      <x:c r="B11" s="30" t="str">
        <x:v>Service-establishment deadline</x:v>
      </x:c>
      <x:c r="C11" s="31" t="n">
        <x:v>48</x:v>
      </x:c>
      <x:c r="D11" s="30" t="str">
        <x:v>hours</x:v>
      </x:c>
      <x:c r="E11" s="30" t="str">
        <x:v>Pass 72</x:v>
      </x:c>
      <x:c r="F11" s="32" t="str">
        <x:v>public service rather than plant arrival</x:v>
      </x:c>
      <x:c r="G11" s="2"/>
      <x:c r="H11" s="30" t="str">
        <x:v>Pass 76 selected lifecycle</x:v>
      </x:c>
      <x:c r="I11" s="42" t="n">
        <x:v>5164.7482</x:v>
      </x:c>
      <x:c r="J11" s="30" t="str">
        <x:v>$B</x:v>
      </x:c>
      <x:c r="K11" s="30" t="str">
        <x:v>Pass 76</x:v>
      </x:c>
      <x:c r="L11" s="32" t="str">
        <x:v>predecessor control</x:v>
      </x:c>
      <x:c r="M11" s="139"/>
      <x:c r="N11" s="139"/>
    </x:row>
    <x:row r="12">
      <x:c r="B12" s="30" t="str">
        <x:v>Continuous net electricity</x:v>
      </x:c>
      <x:c r="C12" s="34" t="n">
        <x:v>1.42216</x:v>
      </x:c>
      <x:c r="D12" s="30" t="str">
        <x:v>MWe</x:v>
      </x:c>
      <x:c r="E12" s="30" t="str">
        <x:v>Pass 73</x:v>
      </x:c>
      <x:c r="F12" s="32" t="str">
        <x:v>one-tenth of PTS-50</x:v>
      </x:c>
      <x:c r="G12" s="2"/>
      <x:c r="H12" s="30" t="str">
        <x:v>Pass 76 fixed-cell lifecycle</x:v>
      </x:c>
      <x:c r="I12" s="42" t="n">
        <x:v>2.46</x:v>
      </x:c>
      <x:c r="J12" s="30" t="str">
        <x:v>$B/cell</x:v>
      </x:c>
      <x:c r="K12" s="30" t="str">
        <x:v>Pass 76</x:v>
      </x:c>
      <x:c r="L12" s="32" t="str">
        <x:v>replaced by this compiler</x:v>
      </x:c>
      <x:c r="M12" s="139"/>
      <x:c r="N12" s="139"/>
    </x:row>
    <x:row r="13">
      <x:c r="B13" s="30" t="str">
        <x:v>Peak net electricity</x:v>
      </x:c>
      <x:c r="C13" s="34" t="n">
        <x:v>1.91992</x:v>
      </x:c>
      <x:c r="D13" s="30" t="str">
        <x:v>MWe</x:v>
      </x:c>
      <x:c r="E13" s="30" t="str">
        <x:v>Pass 73</x:v>
      </x:c>
      <x:c r="F13" s="32" t="str">
        <x:v>motor start and service peak</x:v>
      </x:c>
      <x:c r="G13" s="2"/>
      <x:c r="H13" s="30" t="str">
        <x:v>Retained common program</x:v>
      </x:c>
      <x:c r="I13" s="42" t="n">
        <x:v>2129.4272</x:v>
      </x:c>
      <x:c r="J13" s="30" t="str">
        <x:v>$B</x:v>
      </x:c>
      <x:c r="K13" s="30" t="str">
        <x:v>Pass 76</x:v>
      </x:c>
      <x:c r="L13" s="32" t="str">
        <x:v>non-cell national systems</x:v>
      </x:c>
      <x:c r="M13" s="139"/>
      <x:c r="N13" s="139"/>
    </x:row>
    <x:row r="14">
      <x:c r="B14" s="30" t="str">
        <x:v>Useful cooling</x:v>
      </x:c>
      <x:c r="C14" s="34" t="n">
        <x:v>1.965</x:v>
      </x:c>
      <x:c r="D14" s="30" t="str">
        <x:v>MWth</x:v>
      </x:c>
      <x:c r="E14" s="30" t="str">
        <x:v>Pass 73</x:v>
      </x:c>
      <x:c r="F14" s="32" t="str">
        <x:v>occupied rooms and refuges</x:v>
      </x:c>
      <x:c r="G14" s="2"/>
      <x:c r="H14" s="30" t="str">
        <x:v>Mature operations factor</x:v>
      </x:c>
      <x:c r="I14" s="42" t="n">
        <x:v>15.81</x:v>
      </x:c>
      <x:c r="J14" s="30" t="str">
        <x:v>years</x:v>
      </x:c>
      <x:c r="K14" s="30" t="str">
        <x:v>Pass 76</x:v>
      </x:c>
      <x:c r="L14" s="32" t="str">
        <x:v>ramp-weighted 25-year operations</x:v>
      </x:c>
      <x:c r="M14" s="139"/>
      <x:c r="N14" s="139"/>
    </x:row>
    <x:row r="15">
      <x:c r="B15" s="30" t="str">
        <x:v>Design heat rejection</x:v>
      </x:c>
      <x:c r="C15" s="34" t="n">
        <x:v>4.8</x:v>
      </x:c>
      <x:c r="D15" s="30" t="str">
        <x:v>MWth</x:v>
      </x:c>
      <x:c r="E15" s="30" t="str">
        <x:v>Pass 73 upper bridge</x:v>
      </x:c>
      <x:c r="F15" s="32" t="str">
        <x:v>cooling plus receiver-side source waste</x:v>
      </x:c>
      <x:c r="G15" s="2"/>
      <x:c r="H15" s="30" t="str">
        <x:v>Pass 74 technology account</x:v>
      </x:c>
      <x:c r="I15" s="42" t="n">
        <x:v>180</x:v>
      </x:c>
      <x:c r="J15" s="30" t="str">
        <x:v>$B</x:v>
      </x:c>
      <x:c r="K15" s="30" t="str">
        <x:v>Pass 74</x:v>
      </x:c>
      <x:c r="L15" s="32" t="str">
        <x:v>already in retained common program</x:v>
      </x:c>
      <x:c r="M15" s="139"/>
      <x:c r="N15" s="139"/>
    </x:row>
    <x:row r="16">
      <x:c r="B16" s="30" t="str">
        <x:v>Seven-day electrical energy</x:v>
      </x:c>
      <x:c r="C16" s="34" t="n">
        <x:v>238.92288</x:v>
      </x:c>
      <x:c r="D16" s="30" t="str">
        <x:v>MWh</x:v>
      </x:c>
      <x:c r="E16" s="30" t="str">
        <x:v>Pass 73</x:v>
      </x:c>
      <x:c r="F16" s="32" t="str">
        <x:v>before source inventory reserve</x:v>
      </x:c>
      <x:c r="G16" s="2"/>
      <x:c r="H16" s="30" t="str">
        <x:v>Pass 76 technology account</x:v>
      </x:c>
      <x:c r="I16" s="42" t="n">
        <x:v>320</x:v>
      </x:c>
      <x:c r="J16" s="30" t="str">
        <x:v>$B</x:v>
      </x:c>
      <x:c r="K16" s="30" t="str">
        <x:v>Pass 76</x:v>
      </x:c>
      <x:c r="L16" s="32" t="str">
        <x:v>predecessor research portfolio</x:v>
      </x:c>
      <x:c r="M16" s="139"/>
      <x:c r="N16" s="139"/>
    </x:row>
    <x:row r="17">
      <x:c r="B17" s="30" t="str">
        <x:v>Occupied-building water</x:v>
      </x:c>
      <x:c r="C17" s="31" t="n">
        <x:v>225</x:v>
      </x:c>
      <x:c r="D17" s="30" t="str">
        <x:v>m3/day</x:v>
      </x:c>
      <x:c r="E17" s="30" t="str">
        <x:v>Pass 72</x:v>
      </x:c>
      <x:c r="F17" s="32" t="str">
        <x:v>one-tenth of district requirement</x:v>
      </x:c>
      <x:c r="G17" s="2"/>
      <x:c r="H17" s="30" t="str">
        <x:v>Pass 77 technology account</x:v>
      </x:c>
      <x:c r="I17" s="42" t="n">
        <x:v>455</x:v>
      </x:c>
      <x:c r="J17" s="30" t="str">
        <x:v>$B</x:v>
      </x:c>
      <x:c r="K17" s="30" t="str">
        <x:v>this pass</x:v>
      </x:c>
      <x:c r="L17" s="32" t="str">
        <x:v>fixed-island and federation portfolio</x:v>
      </x:c>
      <x:c r="M17" s="139"/>
      <x:c r="N17" s="139"/>
    </x:row>
    <x:row r="18">
      <x:c r="B18" s="30" t="str">
        <x:v>Wastewater service</x:v>
      </x:c>
      <x:c r="C18" s="31" t="n">
        <x:v>180</x:v>
      </x:c>
      <x:c r="D18" s="30" t="str">
        <x:v>m3/day</x:v>
      </x:c>
      <x:c r="E18" s="30" t="str">
        <x:v>declared</x:v>
      </x:c>
      <x:c r="F18" s="32" t="str">
        <x:v>80% of occupied-building water</x:v>
      </x:c>
      <x:c r="G18" s="2"/>
      <x:c r="H18" s="30" t="str">
        <x:v>Increment above Pass 74</x:v>
      </x:c>
      <x:c r="I18" s="43" t="n">
        <x:f>I17-I15</x:f>
        <x:v>275</x:v>
      </x:c>
      <x:c r="J18" s="30" t="str">
        <x:v>$B</x:v>
      </x:c>
      <x:c r="K18" s="30" t="str">
        <x:v>calculated</x:v>
      </x:c>
      <x:c r="L18" s="32" t="str">
        <x:v>added once to national programs</x:v>
      </x:c>
      <x:c r="M18" s="139"/>
      <x:c r="N18" s="139"/>
    </x:row>
    <x:row r="19">
      <x:c r="B19" s="30" t="str">
        <x:v>Building interfaces</x:v>
      </x:c>
      <x:c r="C19" s="31" t="n">
        <x:v>10</x:v>
      </x:c>
      <x:c r="D19" s="30" t="str">
        <x:v>buildings</x:v>
      </x:c>
      <x:c r="E19" s="30" t="str">
        <x:v>Pass 72</x:v>
      </x:c>
      <x:c r="F19" s="32" t="str">
        <x:v>one-tenth of district buildings</x:v>
      </x:c>
      <x:c r="G19" s="2"/>
      <x:c r="H19" s="30" t="str">
        <x:v>Diversity premium per extra partition</x:v>
      </x:c>
      <x:c r="I19" s="31" t="n">
        <x:v>0.15</x:v>
      </x:c>
      <x:c r="J19" s="30" t="str">
        <x:v>$B/group</x:v>
      </x:c>
      <x:c r="K19" s="30" t="str">
        <x:v>declared</x:v>
      </x:c>
      <x:c r="L19" s="32" t="str">
        <x:v>lineage, school, control and supplier overhead</x:v>
      </x:c>
      <x:c r="M19" s="139"/>
      <x:c r="N19" s="139"/>
    </x:row>
    <x:row r="20">
      <x:c r="B20" s="30" t="str">
        <x:v>Connection work</x:v>
      </x:c>
      <x:c r="C20" s="31" t="n">
        <x:v>128</x:v>
      </x:c>
      <x:c r="D20" s="30" t="str">
        <x:v>crew-hours</x:v>
      </x:c>
      <x:c r="E20" s="30" t="str">
        <x:v>Pass 72</x:v>
      </x:c>
      <x:c r="F20" s="32" t="str">
        <x:v>one-tenth of district connection burden</x:v>
      </x:c>
      <x:c r="G20" s="2"/>
      <x:c r="H20" s="30" t="str">
        <x:v>Reference island code</x:v>
      </x:c>
      <x:c r="I20" s="31" t="str">
        <x:v>A6</x:v>
      </x:c>
      <x:c r="J20" s="30" t="str">
        <x:v>architecture</x:v>
      </x:c>
      <x:c r="K20" s="30" t="str">
        <x:v>this pass</x:v>
      </x:c>
      <x:c r="L20" s="32" t="str">
        <x:v>upper research comparator</x:v>
      </x:c>
      <x:c r="M20" s="139"/>
      <x:c r="N20" s="139"/>
    </x:row>
    <x:row r="21">
      <x:c r="B21" s="30" t="str">
        <x:v>Clean-water bridge</x:v>
      </x:c>
      <x:c r="C21" s="31" t="n">
        <x:v>450</x:v>
      </x:c>
      <x:c r="D21" s="30" t="str">
        <x:v>m3</x:v>
      </x:c>
      <x:c r="E21" s="30" t="str">
        <x:v>declared</x:v>
      </x:c>
      <x:c r="F21" s="32" t="str">
        <x:v>two days of occupied-building water</x:v>
      </x:c>
      <x:c r="G21" s="2"/>
      <x:c r="H21" s="35" t="str">
        <x:v>Rendering authorization</x:v>
      </x:c>
      <x:c r="I21" s="36" t="n">
        <x:v>0</x:v>
      </x:c>
      <x:c r="J21" s="35" t="str">
        <x:v>binary</x:v>
      </x:c>
      <x:c r="K21" s="35" t="str">
        <x:v>governance</x:v>
      </x:c>
      <x:c r="L21" s="37" t="str">
        <x:v>blocked until representative evidence</x:v>
      </x:c>
      <x:c r="M21" s="139"/>
      <x:c r="N21" s="139"/>
    </x:row>
    <x:row r="22">
      <x:c r="B22" s="30" t="str">
        <x:v>Protected fire-water reserve</x:v>
      </x:c>
      <x:c r="C22" s="31" t="n">
        <x:v>1000</x:v>
      </x:c>
      <x:c r="D22" s="30" t="str">
        <x:v>m3</x:v>
      </x:c>
      <x:c r="E22" s="30" t="str">
        <x:v>declared</x:v>
      </x:c>
      <x:c r="F22" s="32" t="str">
        <x:v>separate emergency inventory</x:v>
      </x:c>
      <x:c r="G22" s="2"/>
      <x:c r="H22" s="2"/>
      <x:c r="I22" s="2"/>
      <x:c r="J22" s="2"/>
      <x:c r="K22" s="2"/>
      <x:c r="L22" s="2"/>
      <x:c r="M22" s="139"/>
      <x:c r="N22" s="139"/>
    </x:row>
    <x:row r="23">
      <x:c r="B23" s="35" t="str">
        <x:v>Minimum black-start continuity</x:v>
      </x:c>
      <x:c r="C23" s="36" t="n">
        <x:v>6</x:v>
      </x:c>
      <x:c r="D23" s="35" t="str">
        <x:v>hours</x:v>
      </x:c>
      <x:c r="E23" s="35" t="str">
        <x:v>Pass 73 doctrine</x:v>
      </x:c>
      <x:c r="F23" s="37" t="str">
        <x:v>no-break and source transition</x:v>
      </x:c>
      <x:c r="G23" s="2"/>
      <x:c r="H23" s="2"/>
      <x:c r="I23" s="2"/>
      <x:c r="J23" s="2"/>
      <x:c r="K23" s="2"/>
      <x:c r="L23" s="2"/>
      <x:c r="M23" s="139"/>
      <x:c r="N23" s="139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139"/>
      <x:c r="N24" s="139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139"/>
      <x:c r="N25" s="139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139"/>
      <x:c r="N26" s="139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139"/>
      <x:c r="N27" s="139"/>
    </x:row>
    <x:row r="28">
      <x:c r="B28" s="10" t="str">
        <x:v>Environmental derating</x:v>
      </x:c>
      <x:c r="C28" s="11" t="str">
        <x:v>Environmental derating</x:v>
      </x:c>
      <x:c r="D28" s="11" t="str">
        <x:v>Environmental derating</x:v>
      </x:c>
      <x:c r="E28" s="11" t="str">
        <x:v>Environmental derating</x:v>
      </x:c>
      <x:c r="F28" s="12" t="str">
        <x:v>Environmental derating</x:v>
      </x:c>
      <x:c r="G28" s="2"/>
      <x:c r="H28" s="2"/>
      <x:c r="I28" s="2"/>
      <x:c r="J28" s="2"/>
      <x:c r="K28" s="2"/>
      <x:c r="L28" s="2"/>
      <x:c r="M28" s="139"/>
      <x:c r="N28" s="139"/>
    </x:row>
    <x:row r="29">
      <x:c r="B29" s="28" t="str">
        <x:v>Condition</x:v>
      </x:c>
      <x:c r="C29" s="29" t="str">
        <x:v>Retained capacity</x:v>
      </x:c>
      <x:c r="D29" s="29" t="str">
        <x:v>Applies to</x:v>
      </x:c>
      <x:c r="E29" s="29" t="str">
        <x:v>Origin</x:v>
      </x:c>
      <x:c r="F29" s="29" t="str">
        <x:v>Meaning</x:v>
      </x:c>
      <x:c r="G29" s="2"/>
      <x:c r="H29" s="2"/>
      <x:c r="I29" s="2"/>
      <x:c r="J29" s="2"/>
      <x:c r="K29" s="2"/>
      <x:c r="L29" s="2"/>
      <x:c r="M29" s="139"/>
      <x:c r="N29" s="139"/>
    </x:row>
    <x:row r="30">
      <x:c r="B30" s="30" t="str">
        <x:v>50 C ambient</x:v>
      </x:c>
      <x:c r="C30" s="33" t="n">
        <x:v>0.55</x:v>
      </x:c>
      <x:c r="D30" s="30" t="str">
        <x:v>air-dominant heat rejection</x:v>
      </x:c>
      <x:c r="E30" s="30" t="str">
        <x:v>declared</x:v>
      </x:c>
      <x:c r="F30" s="32" t="str">
        <x:v>must be overcome by installed margin or alternate sink</x:v>
      </x:c>
      <x:c r="G30" s="2"/>
      <x:c r="H30" s="2"/>
      <x:c r="I30" s="2"/>
      <x:c r="J30" s="2"/>
      <x:c r="K30" s="2"/>
      <x:c r="L30" s="2"/>
      <x:c r="M30" s="139"/>
      <x:c r="N30" s="139"/>
    </x:row>
    <x:row r="31">
      <x:c r="B31" s="30" t="str">
        <x:v>Smoke and fouling</x:v>
      </x:c>
      <x:c r="C31" s="33" t="n">
        <x:v>0.6</x:v>
      </x:c>
      <x:c r="D31" s="30" t="str">
        <x:v>air-dominant heat rejection</x:v>
      </x:c>
      <x:c r="E31" s="30" t="str">
        <x:v>declared</x:v>
      </x:c>
      <x:c r="F31" s="32" t="str">
        <x:v>filter and exchanger degradation</x:v>
      </x:c>
      <x:c r="G31" s="2"/>
      <x:c r="H31" s="2"/>
      <x:c r="I31" s="2"/>
      <x:c r="J31" s="2"/>
      <x:c r="K31" s="2"/>
      <x:c r="L31" s="2"/>
      <x:c r="M31" s="139"/>
      <x:c r="N31" s="139"/>
    </x:row>
    <x:row r="32">
      <x:c r="B32" s="35" t="str">
        <x:v>Local workforce loss</x:v>
      </x:c>
      <x:c r="C32" s="44" t="n">
        <x:v>0.75</x:v>
      </x:c>
      <x:c r="D32" s="35" t="str">
        <x:v>available qualified labor</x:v>
      </x:c>
      <x:c r="E32" s="35" t="str">
        <x:v>declared</x:v>
      </x:c>
      <x:c r="F32" s="37" t="str">
        <x:v>twenty-five percent absence</x:v>
      </x:c>
      <x:c r="G32" s="2"/>
      <x:c r="H32" s="2"/>
      <x:c r="I32" s="2"/>
      <x:c r="J32" s="2"/>
      <x:c r="K32" s="2"/>
      <x:c r="L32" s="2"/>
      <x:c r="M32" s="139"/>
      <x:c r="N32" s="139"/>
    </x:row>
  </x:sheetData>
  <x:mergeCells>
    <x:mergeCell ref="B6:F6"/>
    <x:mergeCell ref="H6:L6"/>
    <x:mergeCell ref="B28:F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17" hidden="0" customWidth="1"/>
    <x:col min="4" max="4" width="17" hidden="0" customWidth="1"/>
    <x:col min="5" max="5" width="18" hidden="0" customWidth="1"/>
    <x:col min="6" max="6" width="42" hidden="0" customWidth="1"/>
    <x:col min="7" max="7" width="43" hidden="0" customWidth="1"/>
    <x:col min="8" max="8" width="25" hidden="0" customWidth="1"/>
  </x:cols>
  <x:sheetData>
    <x:row r="2">
      <x:c r="B2" s="3" t="str">
        <x:v>Fixed-island service contract</x:v>
      </x:c>
      <x:c r="C2" s="2"/>
      <x:c r="D2" s="2"/>
      <x:c r="E2" s="2"/>
      <x:c r="F2" s="2"/>
      <x:c r="G2" s="2"/>
      <x:c r="H2" s="2"/>
    </x:row>
    <x:row r="3">
      <x:c r="B3" s="4" t="str">
        <x:v>A fixed cell earns credit only when service reaches occupied people through complete local systems</x:v>
      </x:c>
      <x:c r="C3" s="4"/>
      <x:c r="D3" s="4"/>
      <x:c r="E3" s="4"/>
      <x:c r="F3" s="4"/>
      <x:c r="G3" s="4"/>
      <x:c r="H3" s="4"/>
    </x:row>
    <x:row r="4">
      <x:c r="B4" s="6"/>
      <x:c r="C4" s="6"/>
      <x:c r="D4" s="6"/>
      <x:c r="E4" s="6"/>
      <x:c r="F4" s="6"/>
      <x:c r="G4" s="6"/>
      <x:c r="H4" s="6"/>
    </x:row>
    <x:row r="5">
      <x:c r="B5" s="2"/>
      <x:c r="C5" s="2"/>
      <x:c r="D5" s="2"/>
      <x:c r="E5" s="2"/>
      <x:c r="F5" s="2"/>
      <x:c r="G5" s="2"/>
      <x:c r="H5" s="2"/>
    </x:row>
    <x:row r="6">
      <x:c r="B6" s="10" t="str">
        <x:v>Required effects and physical consequences</x:v>
      </x:c>
      <x:c r="C6" s="11" t="str">
        <x:v>Required effects and physical consequences</x:v>
      </x:c>
      <x:c r="D6" s="11" t="str">
        <x:v>Required effects and physical consequences</x:v>
      </x:c>
      <x:c r="E6" s="11" t="str">
        <x:v>Required effects and physical consequences</x:v>
      </x:c>
      <x:c r="F6" s="11" t="str">
        <x:v>Required effects and physical consequences</x:v>
      </x:c>
      <x:c r="G6" s="11" t="str">
        <x:v>Required effects and physical consequences</x:v>
      </x:c>
      <x:c r="H6" s="12" t="str">
        <x:v>Required effects and physical consequences</x:v>
      </x:c>
    </x:row>
    <x:row r="7">
      <x:c r="B7" s="28" t="str">
        <x:v>Effect</x:v>
      </x:c>
      <x:c r="C7" s="29" t="str">
        <x:v>Requirement</x:v>
      </x:c>
      <x:c r="D7" s="29" t="str">
        <x:v>Unit</x:v>
      </x:c>
      <x:c r="E7" s="29" t="str">
        <x:v>Deadline</x:v>
      </x:c>
      <x:c r="F7" s="29" t="str">
        <x:v>Minimum boundary</x:v>
      </x:c>
      <x:c r="G7" s="29" t="str">
        <x:v>Failure if omitted</x:v>
      </x:c>
      <x:c r="H7" s="29" t="str">
        <x:v>Source</x:v>
      </x:c>
    </x:row>
    <x:row r="8">
      <x:c r="B8" s="50" t="str">
        <x:v>Accountability</x:v>
      </x:c>
      <x:c r="C8" s="51" t="n">
        <x:v>5000</x:v>
      </x:c>
      <x:c r="D8" s="50" t="str">
        <x:v>people</x:v>
      </x:c>
      <x:c r="E8" s="50" t="str">
        <x:v>continuous</x:v>
      </x:c>
      <x:c r="F8" s="50" t="str">
        <x:v>household and building register</x:v>
      </x:c>
      <x:c r="G8" s="50" t="str">
        <x:v>served population is unknown</x:v>
      </x:c>
      <x:c r="H8" s="52" t="str">
        <x:v>Pass 72</x:v>
      </x:c>
    </x:row>
    <x:row r="9">
      <x:c r="B9" s="50" t="str">
        <x:v>Safe occupied service</x:v>
      </x:c>
      <x:c r="C9" s="51" t="n">
        <x:v>4500</x:v>
      </x:c>
      <x:c r="D9" s="50" t="str">
        <x:v>people</x:v>
      </x:c>
      <x:c r="E9" s="50" t="str">
        <x:v>hour 48</x:v>
      </x:c>
      <x:c r="F9" s="50" t="str">
        <x:v>building or refuge interface</x:v>
      </x:c>
      <x:c r="G9" s="50" t="str">
        <x:v>equipment operates without public effect</x:v>
      </x:c>
      <x:c r="H9" s="52" t="str">
        <x:v>Pass 72 + 90% floor</x:v>
      </x:c>
    </x:row>
    <x:row r="10">
      <x:c r="B10" s="50" t="str">
        <x:v>Selective transfer</x:v>
      </x:c>
      <x:c r="C10" s="51" t="n">
        <x:v>500</x:v>
      </x:c>
      <x:c r="D10" s="50" t="str">
        <x:v>people</x:v>
      </x:c>
      <x:c r="E10" s="50" t="str">
        <x:v>hour 48</x:v>
      </x:c>
      <x:c r="F10" s="50" t="str">
        <x:v>accessible collection and admitted destination</x:v>
      </x:c>
      <x:c r="G10" s="50" t="str">
        <x:v>unsafe occupants remain trapped</x:v>
      </x:c>
      <x:c r="H10" s="52" t="str">
        <x:v>Pass 72</x:v>
      </x:c>
    </x:row>
    <x:row r="11">
      <x:c r="B11" s="50" t="str">
        <x:v>Continuous electricity</x:v>
      </x:c>
      <x:c r="C11" s="51" t="n">
        <x:v>1.42216</x:v>
      </x:c>
      <x:c r="D11" s="50" t="str">
        <x:v>MWe</x:v>
      </x:c>
      <x:c r="E11" s="50" t="str">
        <x:v>168 h</x:v>
      </x:c>
      <x:c r="F11" s="50" t="str">
        <x:v>protected local bus</x:v>
      </x:c>
      <x:c r="G11" s="50" t="str">
        <x:v>medical, lift, water and cooling chains stop</x:v>
      </x:c>
      <x:c r="H11" s="52" t="str">
        <x:v>Pass 73</x:v>
      </x:c>
    </x:row>
    <x:row r="12">
      <x:c r="B12" s="50" t="str">
        <x:v>Peak electricity</x:v>
      </x:c>
      <x:c r="C12" s="51" t="n">
        <x:v>1.91992</x:v>
      </x:c>
      <x:c r="D12" s="50" t="str">
        <x:v>MWe</x:v>
      </x:c>
      <x:c r="E12" s="50" t="str">
        <x:v>instantaneous</x:v>
      </x:c>
      <x:c r="F12" s="50" t="str">
        <x:v>grid-forming source and storage</x:v>
      </x:c>
      <x:c r="G12" s="50" t="str">
        <x:v>motors and vertical systems cannot start</x:v>
      </x:c>
      <x:c r="H12" s="52" t="str">
        <x:v>Pass 73</x:v>
      </x:c>
    </x:row>
    <x:row r="13">
      <x:c r="B13" s="50" t="str">
        <x:v>Useful cooling</x:v>
      </x:c>
      <x:c r="C13" s="51" t="n">
        <x:v>1.965</x:v>
      </x:c>
      <x:c r="D13" s="50" t="str">
        <x:v>MWth</x:v>
      </x:c>
      <x:c r="E13" s="50" t="str">
        <x:v>hour 48</x:v>
      </x:c>
      <x:c r="F13" s="50" t="str">
        <x:v>ten building interfaces or equivalent refuges</x:v>
      </x:c>
      <x:c r="G13" s="50" t="str">
        <x:v>electrical service does not control heat</x:v>
      </x:c>
      <x:c r="H13" s="52" t="str">
        <x:v>Pass 73</x:v>
      </x:c>
    </x:row>
    <x:row r="14">
      <x:c r="B14" s="50" t="str">
        <x:v>Heat rejection</x:v>
      </x:c>
      <x:c r="C14" s="51" t="n">
        <x:v>4.8</x:v>
      </x:c>
      <x:c r="D14" s="50" t="str">
        <x:v>MWth</x:v>
      </x:c>
      <x:c r="E14" s="50" t="str">
        <x:v>continuous</x:v>
      </x:c>
      <x:c r="F14" s="50" t="str">
        <x:v>two or more final destinations</x:v>
      </x:c>
      <x:c r="G14" s="50" t="str">
        <x:v>cooling and sources trip or harm the site</x:v>
      </x:c>
      <x:c r="H14" s="52" t="str">
        <x:v>Pass 73 upper bridge</x:v>
      </x:c>
    </x:row>
    <x:row r="15">
      <x:c r="B15" s="50" t="str">
        <x:v>Occupied-building water</x:v>
      </x:c>
      <x:c r="C15" s="51" t="n">
        <x:v>225</x:v>
      </x:c>
      <x:c r="D15" s="50" t="str">
        <x:v>m3/day</x:v>
      </x:c>
      <x:c r="E15" s="50" t="str">
        <x:v>continuous</x:v>
      </x:c>
      <x:c r="F15" s="50" t="str">
        <x:v>source, clean storage and building pressure</x:v>
      </x:c>
      <x:c r="G15" s="50" t="str">
        <x:v>upper floors and sanitation fail</x:v>
      </x:c>
      <x:c r="H15" s="52" t="str">
        <x:v>Pass 72</x:v>
      </x:c>
    </x:row>
    <x:row r="16">
      <x:c r="B16" s="50" t="str">
        <x:v>Wastewater</x:v>
      </x:c>
      <x:c r="C16" s="51" t="n">
        <x:v>180</x:v>
      </x:c>
      <x:c r="D16" s="50" t="str">
        <x:v>m3/day</x:v>
      </x:c>
      <x:c r="E16" s="50" t="str">
        <x:v>continuous</x:v>
      </x:c>
      <x:c r="F16" s="50" t="str">
        <x:v>contained treatment or lawful outflow</x:v>
      </x:c>
      <x:c r="G16" s="50" t="str">
        <x:v>service creates a public-health hazard</x:v>
      </x:c>
      <x:c r="H16" s="52" t="str">
        <x:v>declared</x:v>
      </x:c>
    </x:row>
    <x:row r="17">
      <x:c r="B17" s="50" t="str">
        <x:v>Fire water</x:v>
      </x:c>
      <x:c r="C17" s="51" t="n">
        <x:v>1000</x:v>
      </x:c>
      <x:c r="D17" s="50" t="str">
        <x:v>m3</x:v>
      </x:c>
      <x:c r="E17" s="50" t="str">
        <x:v>protected</x:v>
      </x:c>
      <x:c r="F17" s="50" t="str">
        <x:v>separate inventory and pumps</x:v>
      </x:c>
      <x:c r="G17" s="50" t="str">
        <x:v>response consumes domestic-water assurance</x:v>
      </x:c>
      <x:c r="H17" s="52" t="str">
        <x:v>declared</x:v>
      </x:c>
    </x:row>
    <x:row r="18">
      <x:c r="B18" s="50" t="str">
        <x:v>Building connection</x:v>
      </x:c>
      <x:c r="C18" s="51" t="n">
        <x:v>128</x:v>
      </x:c>
      <x:c r="D18" s="50" t="str">
        <x:v>crew-hours</x:v>
      </x:c>
      <x:c r="E18" s="50" t="str">
        <x:v>hour 48</x:v>
      </x:c>
      <x:c r="F18" s="50" t="str">
        <x:v>survey, isolation, test and release</x:v>
      </x:c>
      <x:c r="G18" s="50" t="str">
        <x:v>energy arrives but buildings remain disconnected</x:v>
      </x:c>
      <x:c r="H18" s="52" t="str">
        <x:v>Pass 72</x:v>
      </x:c>
    </x:row>
    <x:row r="19">
      <x:c r="B19" s="50" t="str">
        <x:v>Disconnected control</x:v>
      </x:c>
      <x:c r="C19" s="51" t="n">
        <x:v>72</x:v>
      </x:c>
      <x:c r="D19" s="50" t="str">
        <x:v>hours</x:v>
      </x:c>
      <x:c r="E19" s="50" t="str">
        <x:v>immediate</x:v>
      </x:c>
      <x:c r="F19" s="50" t="str">
        <x:v>offline protection and authority</x:v>
      </x:c>
      <x:c r="G19" s="50" t="str">
        <x:v>cloud or identity loss stops service</x:v>
      </x:c>
      <x:c r="H19" s="52" t="str">
        <x:v>Pass 76 gate</x:v>
      </x:c>
    </x:row>
    <x:row r="20">
      <x:c r="B20" s="50" t="str">
        <x:v>External-logistics autonomy</x:v>
      </x:c>
      <x:c r="C20" s="51" t="n">
        <x:v>168</x:v>
      </x:c>
      <x:c r="D20" s="50" t="str">
        <x:v>hours</x:v>
      </x:c>
      <x:c r="E20" s="50" t="str">
        <x:v>continuous</x:v>
      </x:c>
      <x:c r="F20" s="50" t="str">
        <x:v>energy, water, consumables and custody</x:v>
      </x:c>
      <x:c r="G20" s="50" t="str">
        <x:v>fixed readiness is only a warehouse claim</x:v>
      </x:c>
      <x:c r="H20" s="52" t="str">
        <x:v>this pass</x:v>
      </x:c>
    </x:row>
    <x:row r="21">
      <x:c r="B21" s="53" t="str">
        <x:v>Second mission</x:v>
      </x:c>
      <x:c r="C21" s="54" t="n">
        <x:v>0.9</x:v>
      </x:c>
      <x:c r="D21" s="53" t="str">
        <x:v>share restored</x:v>
      </x:c>
      <x:c r="E21" s="53" t="str">
        <x:v>day 3</x:v>
      </x:c>
      <x:c r="F21" s="53" t="str">
        <x:v>inspection, repair, reload and recertification</x:v>
      </x:c>
      <x:c r="G21" s="53" t="str">
        <x:v>the island is a one-event asset</x:v>
      </x:c>
      <x:c r="H21" s="55" t="str">
        <x:v>Pass 76 gate</x:v>
      </x:c>
    </x:row>
  </x:sheetData>
  <x:mergeCells>
    <x:mergeCell ref="B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9" hidden="0" customWidth="1"/>
    <x:col min="3" max="3" width="34" hidden="0" customWidth="1"/>
    <x:col min="32" max="32" width="18" hidden="0" customWidth="1"/>
    <x:col min="33" max="33" width="17" hidden="0" customWidth="1"/>
    <x:col min="34" max="34" width="18" hidden="0" customWidth="1"/>
    <x:col min="35" max="35" width="14" hidden="0" customWidth="1"/>
    <x:col min="36" max="36" width="15" hidden="0" customWidth="1"/>
    <x:col min="37" max="37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2">
      <x:c r="B2" s="3" t="str">
        <x:v>Fixed-island architecture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</x:row>
    <x:row r="3">
      <x:c r="B3" s="4" t="str">
        <x:v>Redundancy becomes independence only when physical, source, control, workforce and supplier cuts remain local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>
      <x:c r="B6" s="10" t="str">
        <x:v>Architecture inputs and calculated lifecycle</x:v>
      </x:c>
      <x:c r="C6" s="11" t="str">
        <x:v>Architecture inputs and calculated lifecycle</x:v>
      </x:c>
      <x:c r="D6" s="11" t="str">
        <x:v>Architecture inputs and calculated lifecycle</x:v>
      </x:c>
      <x:c r="E6" s="11" t="str">
        <x:v>Architecture inputs and calculated lifecycle</x:v>
      </x:c>
      <x:c r="F6" s="11" t="str">
        <x:v>Architecture inputs and calculated lifecycle</x:v>
      </x:c>
      <x:c r="G6" s="11" t="str">
        <x:v>Architecture inputs and calculated lifecycle</x:v>
      </x:c>
      <x:c r="H6" s="11" t="str">
        <x:v>Architecture inputs and calculated lifecycle</x:v>
      </x:c>
      <x:c r="I6" s="11" t="str">
        <x:v>Architecture inputs and calculated lifecycle</x:v>
      </x:c>
      <x:c r="J6" s="11" t="str">
        <x:v>Architecture inputs and calculated lifecycle</x:v>
      </x:c>
      <x:c r="K6" s="11" t="str">
        <x:v>Architecture inputs and calculated lifecycle</x:v>
      </x:c>
      <x:c r="L6" s="11" t="str">
        <x:v>Architecture inputs and calculated lifecycle</x:v>
      </x:c>
      <x:c r="M6" s="11" t="str">
        <x:v>Architecture inputs and calculated lifecycle</x:v>
      </x:c>
      <x:c r="N6" s="11" t="str">
        <x:v>Architecture inputs and calculated lifecycle</x:v>
      </x:c>
      <x:c r="O6" s="11" t="str">
        <x:v>Architecture inputs and calculated lifecycle</x:v>
      </x:c>
      <x:c r="P6" s="11" t="str">
        <x:v>Architecture inputs and calculated lifecycle</x:v>
      </x:c>
      <x:c r="Q6" s="11" t="str">
        <x:v>Architecture inputs and calculated lifecycle</x:v>
      </x:c>
      <x:c r="R6" s="11" t="str">
        <x:v>Architecture inputs and calculated lifecycle</x:v>
      </x:c>
      <x:c r="S6" s="11" t="str">
        <x:v>Architecture inputs and calculated lifecycle</x:v>
      </x:c>
      <x:c r="T6" s="11" t="str">
        <x:v>Architecture inputs and calculated lifecycle</x:v>
      </x:c>
      <x:c r="U6" s="11" t="str">
        <x:v>Architecture inputs and calculated lifecycle</x:v>
      </x:c>
      <x:c r="V6" s="11" t="str">
        <x:v>Architecture inputs and calculated lifecycle</x:v>
      </x:c>
      <x:c r="W6" s="11" t="str">
        <x:v>Architecture inputs and calculated lifecycle</x:v>
      </x:c>
      <x:c r="X6" s="11" t="str">
        <x:v>Architecture inputs and calculated lifecycle</x:v>
      </x:c>
      <x:c r="Y6" s="11" t="str">
        <x:v>Architecture inputs and calculated lifecycle</x:v>
      </x:c>
      <x:c r="Z6" s="11" t="str">
        <x:v>Architecture inputs and calculated lifecycle</x:v>
      </x:c>
      <x:c r="AA6" s="11" t="str">
        <x:v>Architecture inputs and calculated lifecycle</x:v>
      </x:c>
      <x:c r="AB6" s="11" t="str">
        <x:v>Architecture inputs and calculated lifecycle</x:v>
      </x:c>
      <x:c r="AC6" s="11" t="str">
        <x:v>Architecture inputs and calculated lifecycle</x:v>
      </x:c>
      <x:c r="AD6" s="11" t="str">
        <x:v>Architecture inputs and calculated lifecycle</x:v>
      </x:c>
      <x:c r="AE6" s="11" t="str">
        <x:v>Architecture inputs and calculated lifecycle</x:v>
      </x:c>
      <x:c r="AF6" s="11" t="str">
        <x:v>Architecture inputs and calculated lifecycle</x:v>
      </x:c>
      <x:c r="AG6" s="11" t="str">
        <x:v>Architecture inputs and calculated lifecycle</x:v>
      </x:c>
      <x:c r="AH6" s="11" t="str">
        <x:v>Architecture inputs and calculated lifecycle</x:v>
      </x:c>
      <x:c r="AI6" s="11" t="str">
        <x:v>Architecture inputs and calculated lifecycle</x:v>
      </x:c>
      <x:c r="AJ6" s="11" t="str">
        <x:v>Architecture inputs and calculated lifecycle</x:v>
      </x:c>
      <x:c r="AK6" s="12" t="str">
        <x:v>Architecture inputs and calculated lifecycle</x:v>
      </x:c>
    </x:row>
    <x:row r="7">
      <x:c r="B7" s="28" t="str">
        <x:v>Code</x:v>
      </x:c>
      <x:c r="C7" s="29" t="str">
        <x:v>Architecture</x:v>
      </x:c>
      <x:c r="D7" s="29" t="str">
        <x:v>Energy margin</x:v>
      </x:c>
      <x:c r="E7" s="29" t="str">
        <x:v>Energy lineages</x:v>
      </x:c>
      <x:c r="F7" s="29" t="str">
        <x:v>Energy yards</x:v>
      </x:c>
      <x:c r="G7" s="29" t="str">
        <x:v>Autonomous energy ratio</x:v>
      </x:c>
      <x:c r="H7" s="29" t="str">
        <x:v>Black-start paths</x:v>
      </x:c>
      <x:c r="I7" s="29" t="str">
        <x:v>Heat margin</x:v>
      </x:c>
      <x:c r="J7" s="29" t="str">
        <x:v>Heat destinations</x:v>
      </x:c>
      <x:c r="K7" s="29" t="str">
        <x:v>Water margin</x:v>
      </x:c>
      <x:c r="L7" s="29" t="str">
        <x:v>Water paths</x:v>
      </x:c>
      <x:c r="M7" s="29" t="str">
        <x:v>Waste margin</x:v>
      </x:c>
      <x:c r="N7" s="29" t="str">
        <x:v>Waste paths</x:v>
      </x:c>
      <x:c r="O7" s="29" t="str">
        <x:v>Distribution margin</x:v>
      </x:c>
      <x:c r="P7" s="29" t="str">
        <x:v>Distribution paths</x:v>
      </x:c>
      <x:c r="Q7" s="29" t="str">
        <x:v>Node margin</x:v>
      </x:c>
      <x:c r="R7" s="29" t="str">
        <x:v>Service nodes</x:v>
      </x:c>
      <x:c r="S7" s="29" t="str">
        <x:v>Hazard zones</x:v>
      </x:c>
      <x:c r="T7" s="29" t="str">
        <x:v>Control margin</x:v>
      </x:c>
      <x:c r="U7" s="29" t="str">
        <x:v>Control partitions</x:v>
      </x:c>
      <x:c r="V7" s="29" t="str">
        <x:v>Communications margin</x:v>
      </x:c>
      <x:c r="W7" s="29" t="str">
        <x:v>Communications paths</x:v>
      </x:c>
      <x:c r="X7" s="29" t="str">
        <x:v>Workforce margin</x:v>
      </x:c>
      <x:c r="Y7" s="29" t="str">
        <x:v>Workforce lineages</x:v>
      </x:c>
      <x:c r="Z7" s="29" t="str">
        <x:v>Authority paths</x:v>
      </x:c>
      <x:c r="AA7" s="29" t="str">
        <x:v>Supplier margin</x:v>
      </x:c>
      <x:c r="AB7" s="29" t="str">
        <x:v>Supplier lineages</x:v>
      </x:c>
      <x:c r="AC7" s="29" t="str">
        <x:v>Reset factor</x:v>
      </x:c>
      <x:c r="AD7" s="29" t="str">
        <x:v>Autonomy hours</x:v>
      </x:c>
      <x:c r="AE7" s="29" t="str">
        <x:v>Mobile docks</x:v>
      </x:c>
      <x:c r="AF7" s="29" t="str">
        <x:v>Configured capital $B</x:v>
      </x:c>
      <x:c r="AG7" s="29" t="str">
        <x:v>Annual O&amp;S $B</x:v>
      </x:c>
      <x:c r="AH7" s="29" t="str">
        <x:v>25-year lifecycle $B</x:v>
      </x:c>
      <x:c r="AI7" s="29" t="str">
        <x:v>Worlds passed</x:v>
      </x:c>
      <x:c r="AJ7" s="29" t="str">
        <x:v>Strict admissions</x:v>
      </x:c>
      <x:c r="AK7" s="29" t="str">
        <x:v>Research state</x:v>
      </x:c>
    </x:row>
    <x:row r="8">
      <x:c r="B8" s="66" t="str">
        <x:v>A1</x:v>
      </x:c>
      <x:c r="C8" s="66" t="str">
        <x:v>Conventional hardened utility hub</x:v>
      </x:c>
      <x:c r="D8" s="67" t="n">
        <x:v>1.15</x:v>
      </x:c>
      <x:c r="E8" s="67" t="n">
        <x:v>1</x:v>
      </x:c>
      <x:c r="F8" s="67" t="n">
        <x:v>1</x:v>
      </x:c>
      <x:c r="G8" s="67" t="n">
        <x:v>0.2</x:v>
      </x:c>
      <x:c r="H8" s="67" t="n">
        <x:v>1</x:v>
      </x:c>
      <x:c r="I8" s="67" t="n">
        <x:v>1.1</x:v>
      </x:c>
      <x:c r="J8" s="67" t="n">
        <x:v>1</x:v>
      </x:c>
      <x:c r="K8" s="67" t="n">
        <x:v>1.1</x:v>
      </x:c>
      <x:c r="L8" s="67" t="n">
        <x:v>1</x:v>
      </x:c>
      <x:c r="M8" s="67" t="n">
        <x:v>1.1</x:v>
      </x:c>
      <x:c r="N8" s="67" t="n">
        <x:v>1</x:v>
      </x:c>
      <x:c r="O8" s="67" t="n">
        <x:v>1.05</x:v>
      </x:c>
      <x:c r="P8" s="67" t="n">
        <x:v>1</x:v>
      </x:c>
      <x:c r="Q8" s="67" t="n">
        <x:v>1</x:v>
      </x:c>
      <x:c r="R8" s="67" t="n">
        <x:v>1</x:v>
      </x:c>
      <x:c r="S8" s="67" t="n">
        <x:v>1</x:v>
      </x:c>
      <x:c r="T8" s="67" t="n">
        <x:v>1.05</x:v>
      </x:c>
      <x:c r="U8" s="67" t="n">
        <x:v>1</x:v>
      </x:c>
      <x:c r="V8" s="67" t="n">
        <x:v>1.05</x:v>
      </x:c>
      <x:c r="W8" s="67" t="n">
        <x:v>1</x:v>
      </x:c>
      <x:c r="X8" s="67" t="n">
        <x:v>1.05</x:v>
      </x:c>
      <x:c r="Y8" s="67" t="n">
        <x:v>1</x:v>
      </x:c>
      <x:c r="Z8" s="67" t="n">
        <x:v>1</x:v>
      </x:c>
      <x:c r="AA8" s="67" t="n">
        <x:v>1.05</x:v>
      </x:c>
      <x:c r="AB8" s="67" t="n">
        <x:v>1</x:v>
      </x:c>
      <x:c r="AC8" s="67" t="n">
        <x:v>0.65</x:v>
      </x:c>
      <x:c r="AD8" s="67" t="n">
        <x:v>24</x:v>
      </x:c>
      <x:c r="AE8" s="67" t="n">
        <x:v>1</x:v>
      </x:c>
      <x:c r="AF8" s="68" t="n">
        <x:v>0.9</x:v>
      </x:c>
      <x:c r="AG8" s="68" t="n">
        <x:v>0.07</x:v>
      </x:c>
      <x:c r="AH8" s="69" t="n">
        <x:f>AF8+AG8*Assumptions!$I$14</x:f>
        <x:v>2.0067000000000004</x:v>
      </x:c>
      <x:c r="AI8" s="70" t="n">
        <x:f>COUNTIFS('Island Worlds'!$B$8:$B$151,B8,'Island Worlds'!$AM$8:$AM$151,"PASS")</x:f>
        <x:v>1</x:v>
      </x:c>
      <x:c r="AJ8" s="50" t="n">
        <x:v>0</x:v>
      </x:c>
      <x:c r="AK8" s="52" t="str">
        <x:v>BASELINE ONLY</x:v>
      </x:c>
    </x:row>
    <x:row r="9">
      <x:c r="B9" s="66" t="str">
        <x:v>A2</x:v>
      </x:c>
      <x:c r="C9" s="66" t="str">
        <x:v>N+1 hardened campus</x:v>
      </x:c>
      <x:c r="D9" s="67" t="n">
        <x:v>1.5</x:v>
      </x:c>
      <x:c r="E9" s="67" t="n">
        <x:v>1</x:v>
      </x:c>
      <x:c r="F9" s="67" t="n">
        <x:v>2</x:v>
      </x:c>
      <x:c r="G9" s="67" t="n">
        <x:v>0.6</x:v>
      </x:c>
      <x:c r="H9" s="67" t="n">
        <x:v>2</x:v>
      </x:c>
      <x:c r="I9" s="67" t="n">
        <x:v>1.5</x:v>
      </x:c>
      <x:c r="J9" s="67" t="n">
        <x:v>1</x:v>
      </x:c>
      <x:c r="K9" s="67" t="n">
        <x:v>1.3</x:v>
      </x:c>
      <x:c r="L9" s="67" t="n">
        <x:v>2</x:v>
      </x:c>
      <x:c r="M9" s="67" t="n">
        <x:v>1.25</x:v>
      </x:c>
      <x:c r="N9" s="67" t="n">
        <x:v>1</x:v>
      </x:c>
      <x:c r="O9" s="67" t="n">
        <x:v>1.4</x:v>
      </x:c>
      <x:c r="P9" s="67" t="n">
        <x:v>2</x:v>
      </x:c>
      <x:c r="Q9" s="67" t="n">
        <x:v>1</x:v>
      </x:c>
      <x:c r="R9" s="67" t="n">
        <x:v>2</x:v>
      </x:c>
      <x:c r="S9" s="67" t="n">
        <x:v>1</x:v>
      </x:c>
      <x:c r="T9" s="67" t="n">
        <x:v>1.4</x:v>
      </x:c>
      <x:c r="U9" s="67" t="n">
        <x:v>2</x:v>
      </x:c>
      <x:c r="V9" s="67" t="n">
        <x:v>1.3</x:v>
      </x:c>
      <x:c r="W9" s="67" t="n">
        <x:v>2</x:v>
      </x:c>
      <x:c r="X9" s="67" t="n">
        <x:v>1.2</x:v>
      </x:c>
      <x:c r="Y9" s="67" t="n">
        <x:v>1</x:v>
      </x:c>
      <x:c r="Z9" s="67" t="n">
        <x:v>1</x:v>
      </x:c>
      <x:c r="AA9" s="67" t="n">
        <x:v>1.2</x:v>
      </x:c>
      <x:c r="AB9" s="67" t="n">
        <x:v>1</x:v>
      </x:c>
      <x:c r="AC9" s="67" t="n">
        <x:v>0.75</x:v>
      </x:c>
      <x:c r="AD9" s="67" t="n">
        <x:v>48</x:v>
      </x:c>
      <x:c r="AE9" s="67" t="n">
        <x:v>1</x:v>
      </x:c>
      <x:c r="AF9" s="68" t="n">
        <x:v>1.2</x:v>
      </x:c>
      <x:c r="AG9" s="68" t="n">
        <x:v>0.085</x:v>
      </x:c>
      <x:c r="AH9" s="69" t="n">
        <x:f>AF9+AG9*Assumptions!$I$14</x:f>
        <x:v>2.54385</x:v>
      </x:c>
      <x:c r="AI9" s="70" t="n">
        <x:f>COUNTIFS('Island Worlds'!$B$8:$B$151,B9,'Island Worlds'!$AM$8:$AM$151,"PASS")</x:f>
        <x:v>4</x:v>
      </x:c>
      <x:c r="AJ9" s="50" t="n">
        <x:v>0</x:v>
      </x:c>
      <x:c r="AK9" s="52" t="str">
        <x:v>COMPETE</x:v>
      </x:c>
    </x:row>
    <x:row r="10">
      <x:c r="B10" s="66" t="str">
        <x:v>A3</x:v>
      </x:c>
      <x:c r="C10" s="66" t="str">
        <x:v>Dual-campus service island</x:v>
      </x:c>
      <x:c r="D10" s="67" t="n">
        <x:v>2.1</x:v>
      </x:c>
      <x:c r="E10" s="67" t="n">
        <x:v>2</x:v>
      </x:c>
      <x:c r="F10" s="67" t="n">
        <x:v>2</x:v>
      </x:c>
      <x:c r="G10" s="67" t="n">
        <x:v>1.1</x:v>
      </x:c>
      <x:c r="H10" s="67" t="n">
        <x:v>2</x:v>
      </x:c>
      <x:c r="I10" s="67" t="n">
        <x:v>2.1</x:v>
      </x:c>
      <x:c r="J10" s="67" t="n">
        <x:v>2</x:v>
      </x:c>
      <x:c r="K10" s="67" t="n">
        <x:v>1.8</x:v>
      </x:c>
      <x:c r="L10" s="67" t="n">
        <x:v>2</x:v>
      </x:c>
      <x:c r="M10" s="67" t="n">
        <x:v>2</x:v>
      </x:c>
      <x:c r="N10" s="67" t="n">
        <x:v>2</x:v>
      </x:c>
      <x:c r="O10" s="67" t="n">
        <x:v>1.8</x:v>
      </x:c>
      <x:c r="P10" s="67" t="n">
        <x:v>2</x:v>
      </x:c>
      <x:c r="Q10" s="67" t="n">
        <x:v>1</x:v>
      </x:c>
      <x:c r="R10" s="67" t="n">
        <x:v>5</x:v>
      </x:c>
      <x:c r="S10" s="67" t="n">
        <x:v>2</x:v>
      </x:c>
      <x:c r="T10" s="67" t="n">
        <x:v>1.8</x:v>
      </x:c>
      <x:c r="U10" s="67" t="n">
        <x:v>2</x:v>
      </x:c>
      <x:c r="V10" s="67" t="n">
        <x:v>1.8</x:v>
      </x:c>
      <x:c r="W10" s="67" t="n">
        <x:v>2</x:v>
      </x:c>
      <x:c r="X10" s="67" t="n">
        <x:v>1.8</x:v>
      </x:c>
      <x:c r="Y10" s="67" t="n">
        <x:v>2</x:v>
      </x:c>
      <x:c r="Z10" s="67" t="n">
        <x:v>2</x:v>
      </x:c>
      <x:c r="AA10" s="67" t="n">
        <x:v>1.8</x:v>
      </x:c>
      <x:c r="AB10" s="67" t="n">
        <x:v>2</x:v>
      </x:c>
      <x:c r="AC10" s="67" t="n">
        <x:v>0.82</x:v>
      </x:c>
      <x:c r="AD10" s="67" t="n">
        <x:v>96</x:v>
      </x:c>
      <x:c r="AE10" s="67" t="n">
        <x:v>1</x:v>
      </x:c>
      <x:c r="AF10" s="68" t="n">
        <x:v>1.45</x:v>
      </x:c>
      <x:c r="AG10" s="68" t="n">
        <x:v>0.1</x:v>
      </x:c>
      <x:c r="AH10" s="69" t="n">
        <x:f>AF10+AG10*Assumptions!$I$14</x:f>
        <x:v>3.031</x:v>
      </x:c>
      <x:c r="AI10" s="70" t="n">
        <x:f>COUNTIFS('Island Worlds'!$B$8:$B$151,B10,'Island Worlds'!$AM$8:$AM$151,"PASS")</x:f>
        <x:v>17</x:v>
      </x:c>
      <x:c r="AJ10" s="50" t="n">
        <x:v>0</x:v>
      </x:c>
      <x:c r="AK10" s="52" t="str">
        <x:v>COMPETE</x:v>
      </x:c>
    </x:row>
    <x:row r="11">
      <x:c r="B11" s="66" t="str">
        <x:v>A4</x:v>
      </x:c>
      <x:c r="C11" s="66" t="str">
        <x:v>Five-node neighborhood mesh</x:v>
      </x:c>
      <x:c r="D11" s="67" t="n">
        <x:v>2.1</x:v>
      </x:c>
      <x:c r="E11" s="67" t="n">
        <x:v>3</x:v>
      </x:c>
      <x:c r="F11" s="67" t="n">
        <x:v>3</x:v>
      </x:c>
      <x:c r="G11" s="67" t="n">
        <x:v>1.5</x:v>
      </x:c>
      <x:c r="H11" s="67" t="n">
        <x:v>3</x:v>
      </x:c>
      <x:c r="I11" s="67" t="n">
        <x:v>1.8</x:v>
      </x:c>
      <x:c r="J11" s="67" t="n">
        <x:v>3</x:v>
      </x:c>
      <x:c r="K11" s="67" t="n">
        <x:v>1.4</x:v>
      </x:c>
      <x:c r="L11" s="67" t="n">
        <x:v>3</x:v>
      </x:c>
      <x:c r="M11" s="67" t="n">
        <x:v>1.4</x:v>
      </x:c>
      <x:c r="N11" s="67" t="n">
        <x:v>3</x:v>
      </x:c>
      <x:c r="O11" s="67" t="n">
        <x:v>1.4</x:v>
      </x:c>
      <x:c r="P11" s="67" t="n">
        <x:v>3</x:v>
      </x:c>
      <x:c r="Q11" s="67" t="n">
        <x:v>1</x:v>
      </x:c>
      <x:c r="R11" s="67" t="n">
        <x:v>5</x:v>
      </x:c>
      <x:c r="S11" s="67" t="n">
        <x:v>5</x:v>
      </x:c>
      <x:c r="T11" s="67" t="n">
        <x:v>1.4</x:v>
      </x:c>
      <x:c r="U11" s="67" t="n">
        <x:v>3</x:v>
      </x:c>
      <x:c r="V11" s="67" t="n">
        <x:v>1.4</x:v>
      </x:c>
      <x:c r="W11" s="67" t="n">
        <x:v>3</x:v>
      </x:c>
      <x:c r="X11" s="67" t="n">
        <x:v>1.4</x:v>
      </x:c>
      <x:c r="Y11" s="67" t="n">
        <x:v>3</x:v>
      </x:c>
      <x:c r="Z11" s="67" t="n">
        <x:v>2</x:v>
      </x:c>
      <x:c r="AA11" s="67" t="n">
        <x:v>1.4</x:v>
      </x:c>
      <x:c r="AB11" s="67" t="n">
        <x:v>3</x:v>
      </x:c>
      <x:c r="AC11" s="67" t="n">
        <x:v>0.84</x:v>
      </x:c>
      <x:c r="AD11" s="67" t="n">
        <x:v>120</x:v>
      </x:c>
      <x:c r="AE11" s="67" t="n">
        <x:v>1</x:v>
      </x:c>
      <x:c r="AF11" s="68" t="n">
        <x:v>1.62</x:v>
      </x:c>
      <x:c r="AG11" s="68" t="n">
        <x:v>0.112</x:v>
      </x:c>
      <x:c r="AH11" s="69" t="n">
        <x:f>AF11+AG11*Assumptions!$I$14</x:f>
        <x:v>3.39072</x:v>
      </x:c>
      <x:c r="AI11" s="70" t="n">
        <x:f>COUNTIFS('Island Worlds'!$B$8:$B$151,B11,'Island Worlds'!$AM$8:$AM$151,"PASS")</x:f>
        <x:v>18</x:v>
      </x:c>
      <x:c r="AJ11" s="50" t="n">
        <x:v>0</x:v>
      </x:c>
      <x:c r="AK11" s="52" t="str">
        <x:v>COMPETE</x:v>
      </x:c>
    </x:row>
    <x:row r="12">
      <x:c r="B12" s="66" t="str">
        <x:v>A5</x:v>
      </x:c>
      <x:c r="C12" s="66" t="str">
        <x:v>Ten-node sovereign service mesh</x:v>
      </x:c>
      <x:c r="D12" s="67" t="n">
        <x:v>2.1</x:v>
      </x:c>
      <x:c r="E12" s="67" t="n">
        <x:v>5</x:v>
      </x:c>
      <x:c r="F12" s="67" t="n">
        <x:v>2</x:v>
      </x:c>
      <x:c r="G12" s="67" t="n">
        <x:v>2</x:v>
      </x:c>
      <x:c r="H12" s="67" t="n">
        <x:v>5</x:v>
      </x:c>
      <x:c r="I12" s="67" t="n">
        <x:v>1.75</x:v>
      </x:c>
      <x:c r="J12" s="67" t="n">
        <x:v>3</x:v>
      </x:c>
      <x:c r="K12" s="67" t="n">
        <x:v>1.4</x:v>
      </x:c>
      <x:c r="L12" s="67" t="n">
        <x:v>3</x:v>
      </x:c>
      <x:c r="M12" s="67" t="n">
        <x:v>1.4</x:v>
      </x:c>
      <x:c r="N12" s="67" t="n">
        <x:v>3</x:v>
      </x:c>
      <x:c r="O12" s="67" t="n">
        <x:v>1.25</x:v>
      </x:c>
      <x:c r="P12" s="67" t="n">
        <x:v>4</x:v>
      </x:c>
      <x:c r="Q12" s="67" t="n">
        <x:v>1</x:v>
      </x:c>
      <x:c r="R12" s="67" t="n">
        <x:v>10</x:v>
      </x:c>
      <x:c r="S12" s="67" t="n">
        <x:v>10</x:v>
      </x:c>
      <x:c r="T12" s="67" t="n">
        <x:v>1.2</x:v>
      </x:c>
      <x:c r="U12" s="67" t="n">
        <x:v>5</x:v>
      </x:c>
      <x:c r="V12" s="67" t="n">
        <x:v>1.3</x:v>
      </x:c>
      <x:c r="W12" s="67" t="n">
        <x:v>4</x:v>
      </x:c>
      <x:c r="X12" s="67" t="n">
        <x:v>1.3</x:v>
      </x:c>
      <x:c r="Y12" s="67" t="n">
        <x:v>4</x:v>
      </x:c>
      <x:c r="Z12" s="67" t="n">
        <x:v>3</x:v>
      </x:c>
      <x:c r="AA12" s="67" t="n">
        <x:v>1.2</x:v>
      </x:c>
      <x:c r="AB12" s="67" t="n">
        <x:v>5</x:v>
      </x:c>
      <x:c r="AC12" s="67" t="n">
        <x:v>0.88</x:v>
      </x:c>
      <x:c r="AD12" s="67" t="n">
        <x:v>168</x:v>
      </x:c>
      <x:c r="AE12" s="67" t="n">
        <x:v>2</x:v>
      </x:c>
      <x:c r="AF12" s="68" t="n">
        <x:v>1.7</x:v>
      </x:c>
      <x:c r="AG12" s="68" t="n">
        <x:v>0.118</x:v>
      </x:c>
      <x:c r="AH12" s="69" t="n">
        <x:f>AF12+AG12*Assumptions!$I$14</x:f>
        <x:v>3.5655799999999997</x:v>
      </x:c>
      <x:c r="AI12" s="70" t="n">
        <x:f>COUNTIFS('Island Worlds'!$B$8:$B$151,B12,'Island Worlds'!$AM$8:$AM$151,"PASS")</x:f>
        <x:v>22</x:v>
      </x:c>
      <x:c r="AJ12" s="50" t="n">
        <x:v>0</x:v>
      </x:c>
      <x:c r="AK12" s="52" t="str">
        <x:v>COMPETE</x:v>
      </x:c>
    </x:row>
    <x:row r="13">
      <x:c r="B13" s="71" t="str">
        <x:v>A6</x:v>
      </x:c>
      <x:c r="C13" s="71" t="str">
        <x:v>Twelve-node civic metabolism fabric</x:v>
      </x:c>
      <x:c r="D13" s="72" t="n">
        <x:v>2.2</x:v>
      </x:c>
      <x:c r="E13" s="72" t="n">
        <x:v>5</x:v>
      </x:c>
      <x:c r="F13" s="72" t="n">
        <x:v>3</x:v>
      </x:c>
      <x:c r="G13" s="72" t="n">
        <x:v>2.2</x:v>
      </x:c>
      <x:c r="H13" s="72" t="n">
        <x:v>5</x:v>
      </x:c>
      <x:c r="I13" s="72" t="n">
        <x:v>2</x:v>
      </x:c>
      <x:c r="J13" s="72" t="n">
        <x:v>5</x:v>
      </x:c>
      <x:c r="K13" s="72" t="n">
        <x:v>1.5</x:v>
      </x:c>
      <x:c r="L13" s="72" t="n">
        <x:v>5</x:v>
      </x:c>
      <x:c r="M13" s="72" t="n">
        <x:v>1.5</x:v>
      </x:c>
      <x:c r="N13" s="72" t="n">
        <x:v>5</x:v>
      </x:c>
      <x:c r="O13" s="72" t="n">
        <x:v>1.5</x:v>
      </x:c>
      <x:c r="P13" s="72" t="n">
        <x:v>5</x:v>
      </x:c>
      <x:c r="Q13" s="72" t="n">
        <x:v>1.2</x:v>
      </x:c>
      <x:c r="R13" s="72" t="n">
        <x:v>12</x:v>
      </x:c>
      <x:c r="S13" s="72" t="n">
        <x:v>12</x:v>
      </x:c>
      <x:c r="T13" s="72" t="n">
        <x:v>1.25</x:v>
      </x:c>
      <x:c r="U13" s="72" t="n">
        <x:v>5</x:v>
      </x:c>
      <x:c r="V13" s="72" t="n">
        <x:v>1.5</x:v>
      </x:c>
      <x:c r="W13" s="72" t="n">
        <x:v>4</x:v>
      </x:c>
      <x:c r="X13" s="72" t="n">
        <x:v>1.35</x:v>
      </x:c>
      <x:c r="Y13" s="72" t="n">
        <x:v>5</x:v>
      </x:c>
      <x:c r="Z13" s="72" t="n">
        <x:v>3</x:v>
      </x:c>
      <x:c r="AA13" s="72" t="n">
        <x:v>1.25</x:v>
      </x:c>
      <x:c r="AB13" s="72" t="n">
        <x:v>10</x:v>
      </x:c>
      <x:c r="AC13" s="72" t="n">
        <x:v>0.92</x:v>
      </x:c>
      <x:c r="AD13" s="72" t="n">
        <x:v>168</x:v>
      </x:c>
      <x:c r="AE13" s="72" t="n">
        <x:v>2</x:v>
      </x:c>
      <x:c r="AF13" s="73" t="n">
        <x:v>1.8</x:v>
      </x:c>
      <x:c r="AG13" s="73" t="n">
        <x:v>0.125</x:v>
      </x:c>
      <x:c r="AH13" s="74" t="n">
        <x:f>AF13+AG13*Assumptions!$I$14</x:f>
        <x:v>3.77625</x:v>
      </x:c>
      <x:c r="AI13" s="75" t="n">
        <x:f>COUNTIFS('Island Worlds'!$B$8:$B$151,B13,'Island Worlds'!$AM$8:$AM$151,"PASS")</x:f>
        <x:v>24</x:v>
      </x:c>
      <x:c r="AJ13" s="53" t="n">
        <x:v>0</x:v>
      </x:c>
      <x:c r="AK13" s="55" t="str">
        <x:v>UPPER RESEARCH COMPARATOR</x:v>
      </x:c>
    </x:row>
  </x:sheetData>
  <x:mergeCells>
    <x:mergeCell ref="B6:AK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2" max="2" width="12" hidden="0" customWidth="1"/>
    <x:col min="3" max="3" width="10" hidden="0" customWidth="1"/>
    <x:col min="4" max="4" width="38" hidden="0" customWidth="1"/>
    <x:col min="40" max="40" width="48" hidden="0" customWidth="1"/>
    <x:col min="39" max="39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</x:cols>
  <x:sheetData>
    <x:row r="2">
      <x:c r="B2" s="3" t="str">
        <x:v>Fixed-island behavior worlds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>
      <x:c r="B3" s="4" t="str">
        <x:v>Six architectures face the same twenty-four physical, operational and institutional denials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2"/>
      <x:c r="AL3" s="2"/>
      <x:c r="AM3" s="2"/>
      <x:c r="AN3" s="2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2"/>
      <x:c r="AL4" s="2"/>
      <x:c r="AM4" s="2"/>
      <x:c r="AN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</x:row>
    <x:row r="6">
      <x:c r="B6" s="10" t="str">
        <x:v>Architecture-world results</x:v>
      </x:c>
      <x:c r="C6" s="11" t="str">
        <x:v>Architecture-world results</x:v>
      </x:c>
      <x:c r="D6" s="11" t="str">
        <x:v>Architecture-world results</x:v>
      </x:c>
      <x:c r="E6" s="11" t="str">
        <x:v>Architecture-world results</x:v>
      </x:c>
      <x:c r="F6" s="11" t="str">
        <x:v>Architecture-world results</x:v>
      </x:c>
      <x:c r="G6" s="11" t="str">
        <x:v>Architecture-world results</x:v>
      </x:c>
      <x:c r="H6" s="11" t="str">
        <x:v>Architecture-world results</x:v>
      </x:c>
      <x:c r="I6" s="11" t="str">
        <x:v>Architecture-world results</x:v>
      </x:c>
      <x:c r="J6" s="11" t="str">
        <x:v>Architecture-world results</x:v>
      </x:c>
      <x:c r="K6" s="11" t="str">
        <x:v>Architecture-world results</x:v>
      </x:c>
      <x:c r="L6" s="11" t="str">
        <x:v>Architecture-world results</x:v>
      </x:c>
      <x:c r="M6" s="11" t="str">
        <x:v>Architecture-world results</x:v>
      </x:c>
      <x:c r="N6" s="11" t="str">
        <x:v>Architecture-world results</x:v>
      </x:c>
      <x:c r="O6" s="11" t="str">
        <x:v>Architecture-world results</x:v>
      </x:c>
      <x:c r="P6" s="11" t="str">
        <x:v>Architecture-world results</x:v>
      </x:c>
      <x:c r="Q6" s="11" t="str">
        <x:v>Architecture-world results</x:v>
      </x:c>
      <x:c r="R6" s="11" t="str">
        <x:v>Architecture-world results</x:v>
      </x:c>
      <x:c r="S6" s="11" t="str">
        <x:v>Architecture-world results</x:v>
      </x:c>
      <x:c r="T6" s="11" t="str">
        <x:v>Architecture-world results</x:v>
      </x:c>
      <x:c r="U6" s="11" t="str">
        <x:v>Architecture-world results</x:v>
      </x:c>
      <x:c r="V6" s="11" t="str">
        <x:v>Architecture-world results</x:v>
      </x:c>
      <x:c r="W6" s="11" t="str">
        <x:v>Architecture-world results</x:v>
      </x:c>
      <x:c r="X6" s="11" t="str">
        <x:v>Architecture-world results</x:v>
      </x:c>
      <x:c r="Y6" s="11" t="str">
        <x:v>Architecture-world results</x:v>
      </x:c>
      <x:c r="Z6" s="11" t="str">
        <x:v>Architecture-world results</x:v>
      </x:c>
      <x:c r="AA6" s="11" t="str">
        <x:v>Architecture-world results</x:v>
      </x:c>
      <x:c r="AB6" s="11" t="str">
        <x:v>Architecture-world results</x:v>
      </x:c>
      <x:c r="AC6" s="11" t="str">
        <x:v>Architecture-world results</x:v>
      </x:c>
      <x:c r="AD6" s="11" t="str">
        <x:v>Architecture-world results</x:v>
      </x:c>
      <x:c r="AE6" s="11" t="str">
        <x:v>Architecture-world results</x:v>
      </x:c>
      <x:c r="AF6" s="11" t="str">
        <x:v>Architecture-world results</x:v>
      </x:c>
      <x:c r="AG6" s="11" t="str">
        <x:v>Architecture-world results</x:v>
      </x:c>
      <x:c r="AH6" s="11" t="str">
        <x:v>Architecture-world results</x:v>
      </x:c>
      <x:c r="AI6" s="11" t="str">
        <x:v>Architecture-world results</x:v>
      </x:c>
      <x:c r="AJ6" s="12" t="str">
        <x:v>Architecture-world results</x:v>
      </x:c>
      <x:c r="AK6" s="2"/>
      <x:c r="AL6" s="2"/>
      <x:c r="AM6" s="2"/>
      <x:c r="AN6" s="2"/>
    </x:row>
    <x:row r="7">
      <x:c r="B7" s="28" t="str">
        <x:v>Architecture</x:v>
      </x:c>
      <x:c r="C7" s="29" t="str">
        <x:v>World</x:v>
      </x:c>
      <x:c r="D7" s="29" t="str">
        <x:v>Condition</x:v>
      </x:c>
      <x:c r="E7" s="29" t="str">
        <x:v>Grid lost</x:v>
      </x:c>
      <x:c r="F7" s="29" t="str">
        <x:v>Source cut</x:v>
      </x:c>
      <x:c r="G7" s="29" t="str">
        <x:v>Yard cut</x:v>
      </x:c>
      <x:c r="H7" s="29" t="str">
        <x:v>Black-start cut</x:v>
      </x:c>
      <x:c r="I7" s="29" t="str">
        <x:v>Heat cut</x:v>
      </x:c>
      <x:c r="J7" s="29" t="str">
        <x:v>Heat derating</x:v>
      </x:c>
      <x:c r="K7" s="29" t="str">
        <x:v>Water cut</x:v>
      </x:c>
      <x:c r="L7" s="29" t="str">
        <x:v>Waste cut</x:v>
      </x:c>
      <x:c r="M7" s="29" t="str">
        <x:v>Corridor cut</x:v>
      </x:c>
      <x:c r="N7" s="29" t="str">
        <x:v>Node cut</x:v>
      </x:c>
      <x:c r="O7" s="29" t="str">
        <x:v>Hazard-zone cut</x:v>
      </x:c>
      <x:c r="P7" s="29" t="str">
        <x:v>Control cut</x:v>
      </x:c>
      <x:c r="Q7" s="29" t="str">
        <x:v>Communications cut</x:v>
      </x:c>
      <x:c r="R7" s="29" t="str">
        <x:v>Workforce loss</x:v>
      </x:c>
      <x:c r="S7" s="29" t="str">
        <x:v>Workforce-lineage cut</x:v>
      </x:c>
      <x:c r="T7" s="29" t="str">
        <x:v>Authority cut</x:v>
      </x:c>
      <x:c r="U7" s="29" t="str">
        <x:v>Supplier cut</x:v>
      </x:c>
      <x:c r="V7" s="29" t="str">
        <x:v>Logistics hold</x:v>
      </x:c>
      <x:c r="W7" s="29" t="str">
        <x:v>Reset case</x:v>
      </x:c>
      <x:c r="X7" s="29" t="str">
        <x:v>Energy retained</x:v>
      </x:c>
      <x:c r="Y7" s="29" t="str">
        <x:v>Heat retained</x:v>
      </x:c>
      <x:c r="Z7" s="29" t="str">
        <x:v>Water retained</x:v>
      </x:c>
      <x:c r="AA7" s="29" t="str">
        <x:v>Waste retained</x:v>
      </x:c>
      <x:c r="AB7" s="29" t="str">
        <x:v>Distribution retained</x:v>
      </x:c>
      <x:c r="AC7" s="29" t="str">
        <x:v>Node retained</x:v>
      </x:c>
      <x:c r="AD7" s="29" t="str">
        <x:v>Hazard retained</x:v>
      </x:c>
      <x:c r="AE7" s="29" t="str">
        <x:v>Control retained</x:v>
      </x:c>
      <x:c r="AF7" s="29" t="str">
        <x:v>Communications retained</x:v>
      </x:c>
      <x:c r="AG7" s="29" t="str">
        <x:v>Workforce retained</x:v>
      </x:c>
      <x:c r="AH7" s="29" t="str">
        <x:v>Authority retained</x:v>
      </x:c>
      <x:c r="AI7" s="29" t="str">
        <x:v>Supplier retained</x:v>
      </x:c>
      <x:c r="AJ7" s="29" t="str">
        <x:v>Endurance retained</x:v>
      </x:c>
      <x:c r="AK7" s="29" t="str">
        <x:v>Reset retained</x:v>
      </x:c>
      <x:c r="AL7" s="29" t="str">
        <x:v>Safe-service fraction</x:v>
      </x:c>
      <x:c r="AM7" s="29" t="str">
        <x:v>Status</x:v>
      </x:c>
      <x:c r="AN7" s="29" t="str">
        <x:v>Meaning</x:v>
      </x:c>
    </x:row>
    <x:row r="8">
      <x:c r="B8" s="66" t="str">
        <x:v>A1</x:v>
      </x:c>
      <x:c r="C8" s="66" t="str">
        <x:v>I01</x:v>
      </x:c>
      <x:c r="D8" s="66" t="str">
        <x:v>Baseline release</x:v>
      </x:c>
      <x:c r="E8" s="66" t="n">
        <x:v>0</x:v>
      </x:c>
      <x:c r="F8" s="66" t="n">
        <x:v>0</x:v>
      </x:c>
      <x:c r="G8" s="66" t="n">
        <x:v>0</x:v>
      </x:c>
      <x:c r="H8" s="66" t="n">
        <x:v>0</x:v>
      </x:c>
      <x:c r="I8" s="66" t="n">
        <x:v>0</x:v>
      </x:c>
      <x:c r="J8" s="80" t="n">
        <x:v>1</x:v>
      </x:c>
      <x:c r="K8" s="66" t="n">
        <x:v>0</x:v>
      </x:c>
      <x:c r="L8" s="66" t="n">
        <x:v>0</x:v>
      </x:c>
      <x:c r="M8" s="66" t="n">
        <x:v>0</x:v>
      </x:c>
      <x:c r="N8" s="66" t="n">
        <x:v>0</x:v>
      </x:c>
      <x:c r="O8" s="66" t="n">
        <x:v>0</x:v>
      </x:c>
      <x:c r="P8" s="66" t="n">
        <x:v>0</x:v>
      </x:c>
      <x:c r="Q8" s="66" t="n">
        <x:v>0</x:v>
      </x:c>
      <x:c r="R8" s="80" t="n">
        <x:v>0</x:v>
      </x:c>
      <x:c r="S8" s="66" t="n">
        <x:v>0</x:v>
      </x:c>
      <x:c r="T8" s="66" t="n">
        <x:v>0</x:v>
      </x:c>
      <x:c r="U8" s="66" t="n">
        <x:v>0</x:v>
      </x:c>
      <x:c r="V8" s="66" t="n">
        <x:v>0</x:v>
      </x:c>
      <x:c r="W8" s="66" t="n">
        <x:v>0</x:v>
      </x:c>
      <x:c r="X8" s="81" t="n">
        <x:f>MIN(1,IF(E8=1,'Island Architectures'!$G$8,'Island Architectures'!$D$8)*(1-F8/'Island Architectures'!$E$8)*(1-G8/'Island Architectures'!$F$8)*IF(H8&lt;'Island Architectures'!$H$8,1,0))</x:f>
        <x:v>1</x:v>
      </x:c>
      <x:c r="Y8" s="81" t="n">
        <x:f>MIN(1,'Island Architectures'!$I$8*(1-I8/'Island Architectures'!$J$8)*J8)</x:f>
        <x:v>1</x:v>
      </x:c>
      <x:c r="Z8" s="81" t="n">
        <x:f>MIN(1,'Island Architectures'!$K$8*(1-K8/'Island Architectures'!$L$8))</x:f>
        <x:v>1</x:v>
      </x:c>
      <x:c r="AA8" s="81" t="n">
        <x:f>MIN(1,'Island Architectures'!$M$8*(1-L8/'Island Architectures'!$N$8))</x:f>
        <x:v>1</x:v>
      </x:c>
      <x:c r="AB8" s="81" t="n">
        <x:f>MIN(1,'Island Architectures'!$O$8*(1-M8/'Island Architectures'!$P$8))</x:f>
        <x:v>1</x:v>
      </x:c>
      <x:c r="AC8" s="81" t="n">
        <x:f>MIN(1,'Island Architectures'!$Q$8*(1-N8/'Island Architectures'!$R$8))</x:f>
        <x:v>1</x:v>
      </x:c>
      <x:c r="AD8" s="81" t="n">
        <x:f>MIN(1,'Island Architectures'!$Q$8*(1-O8/'Island Architectures'!$S$8))</x:f>
        <x:v>1</x:v>
      </x:c>
      <x:c r="AE8" s="81" t="n">
        <x:f>MIN(1,'Island Architectures'!$T$8*(1-P8/'Island Architectures'!$U$8))</x:f>
        <x:v>1</x:v>
      </x:c>
      <x:c r="AF8" s="81" t="n">
        <x:f>MIN(1,'Island Architectures'!$V$8*(1-Q8/'Island Architectures'!$W$8))</x:f>
        <x:v>1</x:v>
      </x:c>
      <x:c r="AG8" s="81" t="n">
        <x:f>MIN(1,'Island Architectures'!$X$8*(1-R8)*(1-S8/'Island Architectures'!$Y$8))</x:f>
        <x:v>1</x:v>
      </x:c>
      <x:c r="AH8" s="81" t="n">
        <x:f>IF(T8&lt;'Island Architectures'!$Z$8,1,0)</x:f>
        <x:v>1</x:v>
      </x:c>
      <x:c r="AI8" s="81" t="n">
        <x:f>MIN(1,'Island Architectures'!$AA$8*(1-U8/'Island Architectures'!$AB$8))</x:f>
        <x:v>1</x:v>
      </x:c>
      <x:c r="AJ8" s="81" t="n">
        <x:f>IF(V8=1,MIN(1,'Island Architectures'!$AD$8/Assumptions!$C$10),1)</x:f>
        <x:v>1</x:v>
      </x:c>
      <x:c r="AK8" s="81" t="n">
        <x:f>IF(W8=1,'Island Architectures'!$AC$8,1)</x:f>
        <x:v>1</x:v>
      </x:c>
      <x:c r="AL8" s="81" t="n">
        <x:f>MIN(X8:AK8)</x:f>
        <x:v>1</x:v>
      </x:c>
      <x:c r="AM8" s="70" t="str">
        <x:f>IF(AL8&gt;=Assumptions!$C$9,"PASS","FAIL")</x:f>
        <x:v>PASS</x:v>
      </x:c>
      <x:c r="AN8" s="52" t="str">
        <x:v>all declared systems available</x:v>
      </x:c>
    </x:row>
    <x:row r="9">
      <x:c r="B9" s="66" t="str">
        <x:v>A1</x:v>
      </x:c>
      <x:c r="C9" s="66" t="str">
        <x:v>I02</x:v>
      </x:c>
      <x:c r="D9" s="66" t="str">
        <x:v>External grid absent</x:v>
      </x:c>
      <x:c r="E9" s="66" t="n">
        <x:v>1</x:v>
      </x:c>
      <x:c r="F9" s="66" t="n">
        <x:v>0</x:v>
      </x:c>
      <x:c r="G9" s="66" t="n">
        <x:v>0</x:v>
      </x:c>
      <x:c r="H9" s="66" t="n">
        <x:v>0</x:v>
      </x:c>
      <x:c r="I9" s="66" t="n">
        <x:v>0</x:v>
      </x:c>
      <x:c r="J9" s="80" t="n">
        <x:v>1</x:v>
      </x:c>
      <x:c r="K9" s="66" t="n">
        <x:v>0</x:v>
      </x:c>
      <x:c r="L9" s="66" t="n">
        <x:v>0</x:v>
      </x:c>
      <x:c r="M9" s="66" t="n">
        <x:v>0</x:v>
      </x:c>
      <x:c r="N9" s="66" t="n">
        <x:v>0</x:v>
      </x:c>
      <x:c r="O9" s="66" t="n">
        <x:v>0</x:v>
      </x:c>
      <x:c r="P9" s="66" t="n">
        <x:v>0</x:v>
      </x:c>
      <x:c r="Q9" s="66" t="n">
        <x:v>0</x:v>
      </x:c>
      <x:c r="R9" s="80" t="n">
        <x:v>0</x:v>
      </x:c>
      <x:c r="S9" s="66" t="n">
        <x:v>0</x:v>
      </x:c>
      <x:c r="T9" s="66" t="n">
        <x:v>0</x:v>
      </x:c>
      <x:c r="U9" s="66" t="n">
        <x:v>0</x:v>
      </x:c>
      <x:c r="V9" s="66" t="n">
        <x:v>0</x:v>
      </x:c>
      <x:c r="W9" s="66" t="n">
        <x:v>0</x:v>
      </x:c>
      <x:c r="X9" s="81" t="n">
        <x:f>MIN(1,IF(E9=1,'Island Architectures'!$G$8,'Island Architectures'!$D$8)*(1-F9/'Island Architectures'!$E$8)*(1-G9/'Island Architectures'!$F$8)*IF(H9&lt;'Island Architectures'!$H$8,1,0))</x:f>
        <x:v>0.2</x:v>
      </x:c>
      <x:c r="Y9" s="81" t="n">
        <x:f>MIN(1,'Island Architectures'!$I$8*(1-I9/'Island Architectures'!$J$8)*J9)</x:f>
        <x:v>1</x:v>
      </x:c>
      <x:c r="Z9" s="81" t="n">
        <x:f>MIN(1,'Island Architectures'!$K$8*(1-K9/'Island Architectures'!$L$8))</x:f>
        <x:v>1</x:v>
      </x:c>
      <x:c r="AA9" s="81" t="n">
        <x:f>MIN(1,'Island Architectures'!$M$8*(1-L9/'Island Architectures'!$N$8))</x:f>
        <x:v>1</x:v>
      </x:c>
      <x:c r="AB9" s="81" t="n">
        <x:f>MIN(1,'Island Architectures'!$O$8*(1-M9/'Island Architectures'!$P$8))</x:f>
        <x:v>1</x:v>
      </x:c>
      <x:c r="AC9" s="81" t="n">
        <x:f>MIN(1,'Island Architectures'!$Q$8*(1-N9/'Island Architectures'!$R$8))</x:f>
        <x:v>1</x:v>
      </x:c>
      <x:c r="AD9" s="81" t="n">
        <x:f>MIN(1,'Island Architectures'!$Q$8*(1-O9/'Island Architectures'!$S$8))</x:f>
        <x:v>1</x:v>
      </x:c>
      <x:c r="AE9" s="81" t="n">
        <x:f>MIN(1,'Island Architectures'!$T$8*(1-P9/'Island Architectures'!$U$8))</x:f>
        <x:v>1</x:v>
      </x:c>
      <x:c r="AF9" s="81" t="n">
        <x:f>MIN(1,'Island Architectures'!$V$8*(1-Q9/'Island Architectures'!$W$8))</x:f>
        <x:v>1</x:v>
      </x:c>
      <x:c r="AG9" s="81" t="n">
        <x:f>MIN(1,'Island Architectures'!$X$8*(1-R9)*(1-S9/'Island Architectures'!$Y$8))</x:f>
        <x:v>1</x:v>
      </x:c>
      <x:c r="AH9" s="81" t="n">
        <x:f>IF(T9&lt;'Island Architectures'!$Z$8,1,0)</x:f>
        <x:v>1</x:v>
      </x:c>
      <x:c r="AI9" s="81" t="n">
        <x:f>MIN(1,'Island Architectures'!$AA$8*(1-U9/'Island Architectures'!$AB$8))</x:f>
        <x:v>1</x:v>
      </x:c>
      <x:c r="AJ9" s="81" t="n">
        <x:f>IF(V9=1,MIN(1,'Island Architectures'!$AD$8/Assumptions!$C$10),1)</x:f>
        <x:v>1</x:v>
      </x:c>
      <x:c r="AK9" s="81" t="n">
        <x:f>IF(W9=1,'Island Architectures'!$AC$8,1)</x:f>
        <x:v>1</x:v>
      </x:c>
      <x:c r="AL9" s="81" t="n">
        <x:f>MIN(X9:AK9)</x:f>
        <x:v>0.2</x:v>
      </x:c>
      <x:c r="AM9" s="70" t="str">
        <x:f>IF(AL9&gt;=Assumptions!$C$9,"PASS","FAIL")</x:f>
        <x:v>FAIL</x:v>
      </x:c>
      <x:c r="AN9" s="52" t="str">
        <x:v>fixed island must remain a source, not a grid customer</x:v>
      </x:c>
    </x:row>
    <x:row r="10">
      <x:c r="B10" s="66" t="str">
        <x:v>A1</x:v>
      </x:c>
      <x:c r="C10" s="66" t="str">
        <x:v>I03</x:v>
      </x:c>
      <x:c r="D10" s="66" t="str">
        <x:v>Largest source lineage lost</x:v>
      </x:c>
      <x:c r="E10" s="66" t="n">
        <x:v>0</x:v>
      </x:c>
      <x:c r="F10" s="66" t="n">
        <x:v>1</x:v>
      </x:c>
      <x:c r="G10" s="66" t="n">
        <x:v>0</x:v>
      </x:c>
      <x:c r="H10" s="66" t="n">
        <x:v>0</x:v>
      </x:c>
      <x:c r="I10" s="66" t="n">
        <x:v>0</x:v>
      </x:c>
      <x:c r="J10" s="80" t="n">
        <x:v>1</x:v>
      </x:c>
      <x:c r="K10" s="66" t="n">
        <x:v>0</x:v>
      </x:c>
      <x:c r="L10" s="66" t="n">
        <x:v>0</x:v>
      </x:c>
      <x:c r="M10" s="66" t="n">
        <x:v>0</x:v>
      </x:c>
      <x:c r="N10" s="66" t="n">
        <x:v>0</x:v>
      </x:c>
      <x:c r="O10" s="66" t="n">
        <x:v>0</x:v>
      </x:c>
      <x:c r="P10" s="66" t="n">
        <x:v>0</x:v>
      </x:c>
      <x:c r="Q10" s="66" t="n">
        <x:v>0</x:v>
      </x:c>
      <x:c r="R10" s="80" t="n">
        <x:v>0</x:v>
      </x:c>
      <x:c r="S10" s="66" t="n">
        <x:v>0</x:v>
      </x:c>
      <x:c r="T10" s="66" t="n">
        <x:v>0</x:v>
      </x:c>
      <x:c r="U10" s="66" t="n">
        <x:v>0</x:v>
      </x:c>
      <x:c r="V10" s="66" t="n">
        <x:v>0</x:v>
      </x:c>
      <x:c r="W10" s="66" t="n">
        <x:v>0</x:v>
      </x:c>
      <x:c r="X10" s="81" t="n">
        <x:f>MIN(1,IF(E10=1,'Island Architectures'!$G$8,'Island Architectures'!$D$8)*(1-F10/'Island Architectures'!$E$8)*(1-G10/'Island Architectures'!$F$8)*IF(H10&lt;'Island Architectures'!$H$8,1,0))</x:f>
        <x:v>0</x:v>
      </x:c>
      <x:c r="Y10" s="81" t="n">
        <x:f>MIN(1,'Island Architectures'!$I$8*(1-I10/'Island Architectures'!$J$8)*J10)</x:f>
        <x:v>1</x:v>
      </x:c>
      <x:c r="Z10" s="81" t="n">
        <x:f>MIN(1,'Island Architectures'!$K$8*(1-K10/'Island Architectures'!$L$8))</x:f>
        <x:v>1</x:v>
      </x:c>
      <x:c r="AA10" s="81" t="n">
        <x:f>MIN(1,'Island Architectures'!$M$8*(1-L10/'Island Architectures'!$N$8))</x:f>
        <x:v>1</x:v>
      </x:c>
      <x:c r="AB10" s="81" t="n">
        <x:f>MIN(1,'Island Architectures'!$O$8*(1-M10/'Island Architectures'!$P$8))</x:f>
        <x:v>1</x:v>
      </x:c>
      <x:c r="AC10" s="81" t="n">
        <x:f>MIN(1,'Island Architectures'!$Q$8*(1-N10/'Island Architectures'!$R$8))</x:f>
        <x:v>1</x:v>
      </x:c>
      <x:c r="AD10" s="81" t="n">
        <x:f>MIN(1,'Island Architectures'!$Q$8*(1-O10/'Island Architectures'!$S$8))</x:f>
        <x:v>1</x:v>
      </x:c>
      <x:c r="AE10" s="81" t="n">
        <x:f>MIN(1,'Island Architectures'!$T$8*(1-P10/'Island Architectures'!$U$8))</x:f>
        <x:v>1</x:v>
      </x:c>
      <x:c r="AF10" s="81" t="n">
        <x:f>MIN(1,'Island Architectures'!$V$8*(1-Q10/'Island Architectures'!$W$8))</x:f>
        <x:v>1</x:v>
      </x:c>
      <x:c r="AG10" s="81" t="n">
        <x:f>MIN(1,'Island Architectures'!$X$8*(1-R10)*(1-S10/'Island Architectures'!$Y$8))</x:f>
        <x:v>1</x:v>
      </x:c>
      <x:c r="AH10" s="81" t="n">
        <x:f>IF(T10&lt;'Island Architectures'!$Z$8,1,0)</x:f>
        <x:v>1</x:v>
      </x:c>
      <x:c r="AI10" s="81" t="n">
        <x:f>MIN(1,'Island Architectures'!$AA$8*(1-U10/'Island Architectures'!$AB$8))</x:f>
        <x:v>1</x:v>
      </x:c>
      <x:c r="AJ10" s="81" t="n">
        <x:f>IF(V10=1,MIN(1,'Island Architectures'!$AD$8/Assumptions!$C$10),1)</x:f>
        <x:v>1</x:v>
      </x:c>
      <x:c r="AK10" s="81" t="n">
        <x:f>IF(W10=1,'Island Architectures'!$AC$8,1)</x:f>
        <x:v>1</x:v>
      </x:c>
      <x:c r="AL10" s="81" t="n">
        <x:f>MIN(X10:AK10)</x:f>
        <x:v>0</x:v>
      </x:c>
      <x:c r="AM10" s="70" t="str">
        <x:f>IF(AL10&gt;=Assumptions!$C$9,"PASS","FAIL")</x:f>
        <x:v>FAIL</x:v>
      </x:c>
      <x:c r="AN10" s="52" t="str">
        <x:v>energy technologies share upstream ancestry</x:v>
      </x:c>
    </x:row>
    <x:row r="11">
      <x:c r="B11" s="66" t="str">
        <x:v>A1</x:v>
      </x:c>
      <x:c r="C11" s="66" t="str">
        <x:v>I04</x:v>
      </x:c>
      <x:c r="D11" s="66" t="str">
        <x:v>Largest energy yard lost</x:v>
      </x:c>
      <x:c r="E11" s="66" t="n">
        <x:v>0</x:v>
      </x:c>
      <x:c r="F11" s="66" t="n">
        <x:v>0</x:v>
      </x:c>
      <x:c r="G11" s="66" t="n">
        <x:v>1</x:v>
      </x:c>
      <x:c r="H11" s="66" t="n">
        <x:v>0</x:v>
      </x:c>
      <x:c r="I11" s="66" t="n">
        <x:v>0</x:v>
      </x:c>
      <x:c r="J11" s="80" t="n">
        <x:v>1</x:v>
      </x:c>
      <x:c r="K11" s="66" t="n">
        <x:v>0</x:v>
      </x:c>
      <x:c r="L11" s="66" t="n">
        <x:v>0</x:v>
      </x:c>
      <x:c r="M11" s="66" t="n">
        <x:v>0</x:v>
      </x:c>
      <x:c r="N11" s="66" t="n">
        <x:v>0</x:v>
      </x:c>
      <x:c r="O11" s="66" t="n">
        <x:v>0</x:v>
      </x:c>
      <x:c r="P11" s="66" t="n">
        <x:v>0</x:v>
      </x:c>
      <x:c r="Q11" s="66" t="n">
        <x:v>0</x:v>
      </x:c>
      <x:c r="R11" s="80" t="n">
        <x:v>0</x:v>
      </x:c>
      <x:c r="S11" s="66" t="n">
        <x:v>0</x:v>
      </x:c>
      <x:c r="T11" s="66" t="n">
        <x:v>0</x:v>
      </x:c>
      <x:c r="U11" s="66" t="n">
        <x:v>0</x:v>
      </x:c>
      <x:c r="V11" s="66" t="n">
        <x:v>0</x:v>
      </x:c>
      <x:c r="W11" s="66" t="n">
        <x:v>0</x:v>
      </x:c>
      <x:c r="X11" s="81" t="n">
        <x:f>MIN(1,IF(E11=1,'Island Architectures'!$G$8,'Island Architectures'!$D$8)*(1-F11/'Island Architectures'!$E$8)*(1-G11/'Island Architectures'!$F$8)*IF(H11&lt;'Island Architectures'!$H$8,1,0))</x:f>
        <x:v>0</x:v>
      </x:c>
      <x:c r="Y11" s="81" t="n">
        <x:f>MIN(1,'Island Architectures'!$I$8*(1-I11/'Island Architectures'!$J$8)*J11)</x:f>
        <x:v>1</x:v>
      </x:c>
      <x:c r="Z11" s="81" t="n">
        <x:f>MIN(1,'Island Architectures'!$K$8*(1-K11/'Island Architectures'!$L$8))</x:f>
        <x:v>1</x:v>
      </x:c>
      <x:c r="AA11" s="81" t="n">
        <x:f>MIN(1,'Island Architectures'!$M$8*(1-L11/'Island Architectures'!$N$8))</x:f>
        <x:v>1</x:v>
      </x:c>
      <x:c r="AB11" s="81" t="n">
        <x:f>MIN(1,'Island Architectures'!$O$8*(1-M11/'Island Architectures'!$P$8))</x:f>
        <x:v>1</x:v>
      </x:c>
      <x:c r="AC11" s="81" t="n">
        <x:f>MIN(1,'Island Architectures'!$Q$8*(1-N11/'Island Architectures'!$R$8))</x:f>
        <x:v>1</x:v>
      </x:c>
      <x:c r="AD11" s="81" t="n">
        <x:f>MIN(1,'Island Architectures'!$Q$8*(1-O11/'Island Architectures'!$S$8))</x:f>
        <x:v>1</x:v>
      </x:c>
      <x:c r="AE11" s="81" t="n">
        <x:f>MIN(1,'Island Architectures'!$T$8*(1-P11/'Island Architectures'!$U$8))</x:f>
        <x:v>1</x:v>
      </x:c>
      <x:c r="AF11" s="81" t="n">
        <x:f>MIN(1,'Island Architectures'!$V$8*(1-Q11/'Island Architectures'!$W$8))</x:f>
        <x:v>1</x:v>
      </x:c>
      <x:c r="AG11" s="81" t="n">
        <x:f>MIN(1,'Island Architectures'!$X$8*(1-R11)*(1-S11/'Island Architectures'!$Y$8))</x:f>
        <x:v>1</x:v>
      </x:c>
      <x:c r="AH11" s="81" t="n">
        <x:f>IF(T11&lt;'Island Architectures'!$Z$8,1,0)</x:f>
        <x:v>1</x:v>
      </x:c>
      <x:c r="AI11" s="81" t="n">
        <x:f>MIN(1,'Island Architectures'!$AA$8*(1-U11/'Island Architectures'!$AB$8))</x:f>
        <x:v>1</x:v>
      </x:c>
      <x:c r="AJ11" s="81" t="n">
        <x:f>IF(V11=1,MIN(1,'Island Architectures'!$AD$8/Assumptions!$C$10),1)</x:f>
        <x:v>1</x:v>
      </x:c>
      <x:c r="AK11" s="81" t="n">
        <x:f>IF(W11=1,'Island Architectures'!$AC$8,1)</x:f>
        <x:v>1</x:v>
      </x:c>
      <x:c r="AL11" s="81" t="n">
        <x:f>MIN(X11:AK11)</x:f>
        <x:v>0</x:v>
      </x:c>
      <x:c r="AM11" s="70" t="str">
        <x:f>IF(AL11&gt;=Assumptions!$C$9,"PASS","FAIL")</x:f>
        <x:v>FAIL</x:v>
      </x:c>
      <x:c r="AN11" s="52" t="str">
        <x:v>physical fire or flood loss</x:v>
      </x:c>
    </x:row>
    <x:row r="12">
      <x:c r="B12" s="66" t="str">
        <x:v>A1</x:v>
      </x:c>
      <x:c r="C12" s="66" t="str">
        <x:v>I05</x:v>
      </x:c>
      <x:c r="D12" s="66" t="str">
        <x:v>One black-start path lost</x:v>
      </x:c>
      <x:c r="E12" s="66" t="n">
        <x:v>0</x:v>
      </x:c>
      <x:c r="F12" s="66" t="n">
        <x:v>0</x:v>
      </x:c>
      <x:c r="G12" s="66" t="n">
        <x:v>0</x:v>
      </x:c>
      <x:c r="H12" s="66" t="n">
        <x:v>1</x:v>
      </x:c>
      <x:c r="I12" s="66" t="n">
        <x:v>0</x:v>
      </x:c>
      <x:c r="J12" s="80" t="n">
        <x:v>1</x:v>
      </x:c>
      <x:c r="K12" s="66" t="n">
        <x:v>0</x:v>
      </x:c>
      <x:c r="L12" s="66" t="n">
        <x:v>0</x:v>
      </x:c>
      <x:c r="M12" s="66" t="n">
        <x:v>0</x:v>
      </x:c>
      <x:c r="N12" s="66" t="n">
        <x:v>0</x:v>
      </x:c>
      <x:c r="O12" s="66" t="n">
        <x:v>0</x:v>
      </x:c>
      <x:c r="P12" s="66" t="n">
        <x:v>0</x:v>
      </x:c>
      <x:c r="Q12" s="66" t="n">
        <x:v>0</x:v>
      </x:c>
      <x:c r="R12" s="80" t="n">
        <x:v>0</x:v>
      </x:c>
      <x:c r="S12" s="66" t="n">
        <x:v>0</x:v>
      </x:c>
      <x:c r="T12" s="66" t="n">
        <x:v>0</x:v>
      </x:c>
      <x:c r="U12" s="66" t="n">
        <x:v>0</x:v>
      </x:c>
      <x:c r="V12" s="66" t="n">
        <x:v>0</x:v>
      </x:c>
      <x:c r="W12" s="66" t="n">
        <x:v>0</x:v>
      </x:c>
      <x:c r="X12" s="81" t="n">
        <x:f>MIN(1,IF(E12=1,'Island Architectures'!$G$8,'Island Architectures'!$D$8)*(1-F12/'Island Architectures'!$E$8)*(1-G12/'Island Architectures'!$F$8)*IF(H12&lt;'Island Architectures'!$H$8,1,0))</x:f>
        <x:v>0</x:v>
      </x:c>
      <x:c r="Y12" s="81" t="n">
        <x:f>MIN(1,'Island Architectures'!$I$8*(1-I12/'Island Architectures'!$J$8)*J12)</x:f>
        <x:v>1</x:v>
      </x:c>
      <x:c r="Z12" s="81" t="n">
        <x:f>MIN(1,'Island Architectures'!$K$8*(1-K12/'Island Architectures'!$L$8))</x:f>
        <x:v>1</x:v>
      </x:c>
      <x:c r="AA12" s="81" t="n">
        <x:f>MIN(1,'Island Architectures'!$M$8*(1-L12/'Island Architectures'!$N$8))</x:f>
        <x:v>1</x:v>
      </x:c>
      <x:c r="AB12" s="81" t="n">
        <x:f>MIN(1,'Island Architectures'!$O$8*(1-M12/'Island Architectures'!$P$8))</x:f>
        <x:v>1</x:v>
      </x:c>
      <x:c r="AC12" s="81" t="n">
        <x:f>MIN(1,'Island Architectures'!$Q$8*(1-N12/'Island Architectures'!$R$8))</x:f>
        <x:v>1</x:v>
      </x:c>
      <x:c r="AD12" s="81" t="n">
        <x:f>MIN(1,'Island Architectures'!$Q$8*(1-O12/'Island Architectures'!$S$8))</x:f>
        <x:v>1</x:v>
      </x:c>
      <x:c r="AE12" s="81" t="n">
        <x:f>MIN(1,'Island Architectures'!$T$8*(1-P12/'Island Architectures'!$U$8))</x:f>
        <x:v>1</x:v>
      </x:c>
      <x:c r="AF12" s="81" t="n">
        <x:f>MIN(1,'Island Architectures'!$V$8*(1-Q12/'Island Architectures'!$W$8))</x:f>
        <x:v>1</x:v>
      </x:c>
      <x:c r="AG12" s="81" t="n">
        <x:f>MIN(1,'Island Architectures'!$X$8*(1-R12)*(1-S12/'Island Architectures'!$Y$8))</x:f>
        <x:v>1</x:v>
      </x:c>
      <x:c r="AH12" s="81" t="n">
        <x:f>IF(T12&lt;'Island Architectures'!$Z$8,1,0)</x:f>
        <x:v>1</x:v>
      </x:c>
      <x:c r="AI12" s="81" t="n">
        <x:f>MIN(1,'Island Architectures'!$AA$8*(1-U12/'Island Architectures'!$AB$8))</x:f>
        <x:v>1</x:v>
      </x:c>
      <x:c r="AJ12" s="81" t="n">
        <x:f>IF(V12=1,MIN(1,'Island Architectures'!$AD$8/Assumptions!$C$10),1)</x:f>
        <x:v>1</x:v>
      </x:c>
      <x:c r="AK12" s="81" t="n">
        <x:f>IF(W12=1,'Island Architectures'!$AC$8,1)</x:f>
        <x:v>1</x:v>
      </x:c>
      <x:c r="AL12" s="81" t="n">
        <x:f>MIN(X12:AK12)</x:f>
        <x:v>0</x:v>
      </x:c>
      <x:c r="AM12" s="70" t="str">
        <x:f>IF(AL12&gt;=Assumptions!$C$9,"PASS","FAIL")</x:f>
        <x:v>FAIL</x:v>
      </x:c>
      <x:c r="AN12" s="52" t="str">
        <x:v>source transition cannot depend on one battery room</x:v>
      </x:c>
    </x:row>
    <x:row r="13">
      <x:c r="B13" s="66" t="str">
        <x:v>A1</x:v>
      </x:c>
      <x:c r="C13" s="66" t="str">
        <x:v>I06</x:v>
      </x:c>
      <x:c r="D13" s="66" t="str">
        <x:v>Largest heat destination lost</x:v>
      </x:c>
      <x:c r="E13" s="66" t="n">
        <x:v>0</x:v>
      </x:c>
      <x:c r="F13" s="66" t="n">
        <x:v>0</x:v>
      </x:c>
      <x:c r="G13" s="66" t="n">
        <x:v>0</x:v>
      </x:c>
      <x:c r="H13" s="66" t="n">
        <x:v>0</x:v>
      </x:c>
      <x:c r="I13" s="66" t="n">
        <x:v>1</x:v>
      </x:c>
      <x:c r="J13" s="80" t="n">
        <x:v>1</x:v>
      </x:c>
      <x:c r="K13" s="66" t="n">
        <x:v>0</x:v>
      </x:c>
      <x:c r="L13" s="66" t="n">
        <x:v>0</x:v>
      </x:c>
      <x:c r="M13" s="66" t="n">
        <x:v>0</x:v>
      </x:c>
      <x:c r="N13" s="66" t="n">
        <x:v>0</x:v>
      </x:c>
      <x:c r="O13" s="66" t="n">
        <x:v>0</x:v>
      </x:c>
      <x:c r="P13" s="66" t="n">
        <x:v>0</x:v>
      </x:c>
      <x:c r="Q13" s="66" t="n">
        <x:v>0</x:v>
      </x:c>
      <x:c r="R13" s="80" t="n">
        <x:v>0</x:v>
      </x:c>
      <x:c r="S13" s="66" t="n">
        <x:v>0</x:v>
      </x:c>
      <x:c r="T13" s="66" t="n">
        <x:v>0</x:v>
      </x:c>
      <x:c r="U13" s="66" t="n">
        <x:v>0</x:v>
      </x:c>
      <x:c r="V13" s="66" t="n">
        <x:v>0</x:v>
      </x:c>
      <x:c r="W13" s="66" t="n">
        <x:v>0</x:v>
      </x:c>
      <x:c r="X13" s="81" t="n">
        <x:f>MIN(1,IF(E13=1,'Island Architectures'!$G$8,'Island Architectures'!$D$8)*(1-F13/'Island Architectures'!$E$8)*(1-G13/'Island Architectures'!$F$8)*IF(H13&lt;'Island Architectures'!$H$8,1,0))</x:f>
        <x:v>1</x:v>
      </x:c>
      <x:c r="Y13" s="81" t="n">
        <x:f>MIN(1,'Island Architectures'!$I$8*(1-I13/'Island Architectures'!$J$8)*J13)</x:f>
        <x:v>0</x:v>
      </x:c>
      <x:c r="Z13" s="81" t="n">
        <x:f>MIN(1,'Island Architectures'!$K$8*(1-K13/'Island Architectures'!$L$8))</x:f>
        <x:v>1</x:v>
      </x:c>
      <x:c r="AA13" s="81" t="n">
        <x:f>MIN(1,'Island Architectures'!$M$8*(1-L13/'Island Architectures'!$N$8))</x:f>
        <x:v>1</x:v>
      </x:c>
      <x:c r="AB13" s="81" t="n">
        <x:f>MIN(1,'Island Architectures'!$O$8*(1-M13/'Island Architectures'!$P$8))</x:f>
        <x:v>1</x:v>
      </x:c>
      <x:c r="AC13" s="81" t="n">
        <x:f>MIN(1,'Island Architectures'!$Q$8*(1-N13/'Island Architectures'!$R$8))</x:f>
        <x:v>1</x:v>
      </x:c>
      <x:c r="AD13" s="81" t="n">
        <x:f>MIN(1,'Island Architectures'!$Q$8*(1-O13/'Island Architectures'!$S$8))</x:f>
        <x:v>1</x:v>
      </x:c>
      <x:c r="AE13" s="81" t="n">
        <x:f>MIN(1,'Island Architectures'!$T$8*(1-P13/'Island Architectures'!$U$8))</x:f>
        <x:v>1</x:v>
      </x:c>
      <x:c r="AF13" s="81" t="n">
        <x:f>MIN(1,'Island Architectures'!$V$8*(1-Q13/'Island Architectures'!$W$8))</x:f>
        <x:v>1</x:v>
      </x:c>
      <x:c r="AG13" s="81" t="n">
        <x:f>MIN(1,'Island Architectures'!$X$8*(1-R13)*(1-S13/'Island Architectures'!$Y$8))</x:f>
        <x:v>1</x:v>
      </x:c>
      <x:c r="AH13" s="81" t="n">
        <x:f>IF(T13&lt;'Island Architectures'!$Z$8,1,0)</x:f>
        <x:v>1</x:v>
      </x:c>
      <x:c r="AI13" s="81" t="n">
        <x:f>MIN(1,'Island Architectures'!$AA$8*(1-U13/'Island Architectures'!$AB$8))</x:f>
        <x:v>1</x:v>
      </x:c>
      <x:c r="AJ13" s="81" t="n">
        <x:f>IF(V13=1,MIN(1,'Island Architectures'!$AD$8/Assumptions!$C$10),1)</x:f>
        <x:v>1</x:v>
      </x:c>
      <x:c r="AK13" s="81" t="n">
        <x:f>IF(W13=1,'Island Architectures'!$AC$8,1)</x:f>
        <x:v>1</x:v>
      </x:c>
      <x:c r="AL13" s="81" t="n">
        <x:f>MIN(X13:AK13)</x:f>
        <x:v>0</x:v>
      </x:c>
      <x:c r="AM13" s="70" t="str">
        <x:f>IF(AL13&gt;=Assumptions!$C$9,"PASS","FAIL")</x:f>
        <x:v>FAIL</x:v>
      </x:c>
      <x:c r="AN13" s="52" t="str">
        <x:v>final heat destination is an availability boundary</x:v>
      </x:c>
    </x:row>
    <x:row r="14">
      <x:c r="B14" s="66" t="str">
        <x:v>A1</x:v>
      </x:c>
      <x:c r="C14" s="66" t="str">
        <x:v>I07</x:v>
      </x:c>
      <x:c r="D14" s="66" t="str">
        <x:v>50 C ambient</x:v>
      </x:c>
      <x:c r="E14" s="66" t="n">
        <x:v>0</x:v>
      </x:c>
      <x:c r="F14" s="66" t="n">
        <x:v>0</x:v>
      </x:c>
      <x:c r="G14" s="66" t="n">
        <x:v>0</x:v>
      </x:c>
      <x:c r="H14" s="66" t="n">
        <x:v>0</x:v>
      </x:c>
      <x:c r="I14" s="66" t="n">
        <x:v>0</x:v>
      </x:c>
      <x:c r="J14" s="80" t="n">
        <x:v>0.55</x:v>
      </x:c>
      <x:c r="K14" s="66" t="n">
        <x:v>0</x:v>
      </x:c>
      <x:c r="L14" s="66" t="n">
        <x:v>0</x:v>
      </x:c>
      <x:c r="M14" s="66" t="n">
        <x:v>0</x:v>
      </x:c>
      <x:c r="N14" s="66" t="n">
        <x:v>0</x:v>
      </x:c>
      <x:c r="O14" s="66" t="n">
        <x:v>0</x:v>
      </x:c>
      <x:c r="P14" s="66" t="n">
        <x:v>0</x:v>
      </x:c>
      <x:c r="Q14" s="66" t="n">
        <x:v>0</x:v>
      </x:c>
      <x:c r="R14" s="80" t="n">
        <x:v>0</x:v>
      </x:c>
      <x:c r="S14" s="66" t="n">
        <x:v>0</x:v>
      </x:c>
      <x:c r="T14" s="66" t="n">
        <x:v>0</x:v>
      </x:c>
      <x:c r="U14" s="66" t="n">
        <x:v>0</x:v>
      </x:c>
      <x:c r="V14" s="66" t="n">
        <x:v>0</x:v>
      </x:c>
      <x:c r="W14" s="66" t="n">
        <x:v>0</x:v>
      </x:c>
      <x:c r="X14" s="81" t="n">
        <x:f>MIN(1,IF(E14=1,'Island Architectures'!$G$8,'Island Architectures'!$D$8)*(1-F14/'Island Architectures'!$E$8)*(1-G14/'Island Architectures'!$F$8)*IF(H14&lt;'Island Architectures'!$H$8,1,0))</x:f>
        <x:v>1</x:v>
      </x:c>
      <x:c r="Y14" s="81" t="n">
        <x:f>MIN(1,'Island Architectures'!$I$8*(1-I14/'Island Architectures'!$J$8)*J14)</x:f>
        <x:v>0.6050000000000001</x:v>
      </x:c>
      <x:c r="Z14" s="81" t="n">
        <x:f>MIN(1,'Island Architectures'!$K$8*(1-K14/'Island Architectures'!$L$8))</x:f>
        <x:v>1</x:v>
      </x:c>
      <x:c r="AA14" s="81" t="n">
        <x:f>MIN(1,'Island Architectures'!$M$8*(1-L14/'Island Architectures'!$N$8))</x:f>
        <x:v>1</x:v>
      </x:c>
      <x:c r="AB14" s="81" t="n">
        <x:f>MIN(1,'Island Architectures'!$O$8*(1-M14/'Island Architectures'!$P$8))</x:f>
        <x:v>1</x:v>
      </x:c>
      <x:c r="AC14" s="81" t="n">
        <x:f>MIN(1,'Island Architectures'!$Q$8*(1-N14/'Island Architectures'!$R$8))</x:f>
        <x:v>1</x:v>
      </x:c>
      <x:c r="AD14" s="81" t="n">
        <x:f>MIN(1,'Island Architectures'!$Q$8*(1-O14/'Island Architectures'!$S$8))</x:f>
        <x:v>1</x:v>
      </x:c>
      <x:c r="AE14" s="81" t="n">
        <x:f>MIN(1,'Island Architectures'!$T$8*(1-P14/'Island Architectures'!$U$8))</x:f>
        <x:v>1</x:v>
      </x:c>
      <x:c r="AF14" s="81" t="n">
        <x:f>MIN(1,'Island Architectures'!$V$8*(1-Q14/'Island Architectures'!$W$8))</x:f>
        <x:v>1</x:v>
      </x:c>
      <x:c r="AG14" s="81" t="n">
        <x:f>MIN(1,'Island Architectures'!$X$8*(1-R14)*(1-S14/'Island Architectures'!$Y$8))</x:f>
        <x:v>1</x:v>
      </x:c>
      <x:c r="AH14" s="81" t="n">
        <x:f>IF(T14&lt;'Island Architectures'!$Z$8,1,0)</x:f>
        <x:v>1</x:v>
      </x:c>
      <x:c r="AI14" s="81" t="n">
        <x:f>MIN(1,'Island Architectures'!$AA$8*(1-U14/'Island Architectures'!$AB$8))</x:f>
        <x:v>1</x:v>
      </x:c>
      <x:c r="AJ14" s="81" t="n">
        <x:f>IF(V14=1,MIN(1,'Island Architectures'!$AD$8/Assumptions!$C$10),1)</x:f>
        <x:v>1</x:v>
      </x:c>
      <x:c r="AK14" s="81" t="n">
        <x:f>IF(W14=1,'Island Architectures'!$AC$8,1)</x:f>
        <x:v>1</x:v>
      </x:c>
      <x:c r="AL14" s="81" t="n">
        <x:f>MIN(X14:AK14)</x:f>
        <x:v>0.6050000000000001</x:v>
      </x:c>
      <x:c r="AM14" s="70" t="str">
        <x:f>IF(AL14&gt;=Assumptions!$C$9,"PASS","FAIL")</x:f>
        <x:v>FAIL</x:v>
      </x:c>
      <x:c r="AN14" s="52" t="str">
        <x:v>dry rejection derates at the design extreme</x:v>
      </x:c>
    </x:row>
    <x:row r="15">
      <x:c r="B15" s="66" t="str">
        <x:v>A1</x:v>
      </x:c>
      <x:c r="C15" s="66" t="str">
        <x:v>I08</x:v>
      </x:c>
      <x:c r="D15" s="66" t="str">
        <x:v>Smoke and exchanger fouling</x:v>
      </x:c>
      <x:c r="E15" s="66" t="n">
        <x:v>0</x:v>
      </x:c>
      <x:c r="F15" s="66" t="n">
        <x:v>0</x:v>
      </x:c>
      <x:c r="G15" s="66" t="n">
        <x:v>0</x:v>
      </x:c>
      <x:c r="H15" s="66" t="n">
        <x:v>0</x:v>
      </x:c>
      <x:c r="I15" s="66" t="n">
        <x:v>0</x:v>
      </x:c>
      <x:c r="J15" s="80" t="n">
        <x:v>0.6</x:v>
      </x:c>
      <x:c r="K15" s="66" t="n">
        <x:v>0</x:v>
      </x:c>
      <x:c r="L15" s="66" t="n">
        <x:v>0</x:v>
      </x:c>
      <x:c r="M15" s="66" t="n">
        <x:v>0</x:v>
      </x:c>
      <x:c r="N15" s="66" t="n">
        <x:v>0</x:v>
      </x:c>
      <x:c r="O15" s="66" t="n">
        <x:v>0</x:v>
      </x:c>
      <x:c r="P15" s="66" t="n">
        <x:v>0</x:v>
      </x:c>
      <x:c r="Q15" s="66" t="n">
        <x:v>0</x:v>
      </x:c>
      <x:c r="R15" s="80" t="n">
        <x:v>0</x:v>
      </x:c>
      <x:c r="S15" s="66" t="n">
        <x:v>0</x:v>
      </x:c>
      <x:c r="T15" s="66" t="n">
        <x:v>0</x:v>
      </x:c>
      <x:c r="U15" s="66" t="n">
        <x:v>0</x:v>
      </x:c>
      <x:c r="V15" s="66" t="n">
        <x:v>0</x:v>
      </x:c>
      <x:c r="W15" s="66" t="n">
        <x:v>0</x:v>
      </x:c>
      <x:c r="X15" s="81" t="n">
        <x:f>MIN(1,IF(E15=1,'Island Architectures'!$G$8,'Island Architectures'!$D$8)*(1-F15/'Island Architectures'!$E$8)*(1-G15/'Island Architectures'!$F$8)*IF(H15&lt;'Island Architectures'!$H$8,1,0))</x:f>
        <x:v>1</x:v>
      </x:c>
      <x:c r="Y15" s="81" t="n">
        <x:f>MIN(1,'Island Architectures'!$I$8*(1-I15/'Island Architectures'!$J$8)*J15)</x:f>
        <x:v>0.66</x:v>
      </x:c>
      <x:c r="Z15" s="81" t="n">
        <x:f>MIN(1,'Island Architectures'!$K$8*(1-K15/'Island Architectures'!$L$8))</x:f>
        <x:v>1</x:v>
      </x:c>
      <x:c r="AA15" s="81" t="n">
        <x:f>MIN(1,'Island Architectures'!$M$8*(1-L15/'Island Architectures'!$N$8))</x:f>
        <x:v>1</x:v>
      </x:c>
      <x:c r="AB15" s="81" t="n">
        <x:f>MIN(1,'Island Architectures'!$O$8*(1-M15/'Island Architectures'!$P$8))</x:f>
        <x:v>1</x:v>
      </x:c>
      <x:c r="AC15" s="81" t="n">
        <x:f>MIN(1,'Island Architectures'!$Q$8*(1-N15/'Island Architectures'!$R$8))</x:f>
        <x:v>1</x:v>
      </x:c>
      <x:c r="AD15" s="81" t="n">
        <x:f>MIN(1,'Island Architectures'!$Q$8*(1-O15/'Island Architectures'!$S$8))</x:f>
        <x:v>1</x:v>
      </x:c>
      <x:c r="AE15" s="81" t="n">
        <x:f>MIN(1,'Island Architectures'!$T$8*(1-P15/'Island Architectures'!$U$8))</x:f>
        <x:v>1</x:v>
      </x:c>
      <x:c r="AF15" s="81" t="n">
        <x:f>MIN(1,'Island Architectures'!$V$8*(1-Q15/'Island Architectures'!$W$8))</x:f>
        <x:v>1</x:v>
      </x:c>
      <x:c r="AG15" s="81" t="n">
        <x:f>MIN(1,'Island Architectures'!$X$8*(1-R15)*(1-S15/'Island Architectures'!$Y$8))</x:f>
        <x:v>1</x:v>
      </x:c>
      <x:c r="AH15" s="81" t="n">
        <x:f>IF(T15&lt;'Island Architectures'!$Z$8,1,0)</x:f>
        <x:v>1</x:v>
      </x:c>
      <x:c r="AI15" s="81" t="n">
        <x:f>MIN(1,'Island Architectures'!$AA$8*(1-U15/'Island Architectures'!$AB$8))</x:f>
        <x:v>1</x:v>
      </x:c>
      <x:c r="AJ15" s="81" t="n">
        <x:f>IF(V15=1,MIN(1,'Island Architectures'!$AD$8/Assumptions!$C$10),1)</x:f>
        <x:v>1</x:v>
      </x:c>
      <x:c r="AK15" s="81" t="n">
        <x:f>IF(W15=1,'Island Architectures'!$AC$8,1)</x:f>
        <x:v>1</x:v>
      </x:c>
      <x:c r="AL15" s="81" t="n">
        <x:f>MIN(X15:AK15)</x:f>
        <x:v>0.66</x:v>
      </x:c>
      <x:c r="AM15" s="70" t="str">
        <x:f>IF(AL15&gt;=Assumptions!$C$9,"PASS","FAIL")</x:f>
        <x:v>FAIL</x:v>
      </x:c>
      <x:c r="AN15" s="52" t="str">
        <x:v>air systems retain service under smoke</x:v>
      </x:c>
    </x:row>
    <x:row r="16">
      <x:c r="B16" s="66" t="str">
        <x:v>A1</x:v>
      </x:c>
      <x:c r="C16" s="66" t="str">
        <x:v>I09</x:v>
      </x:c>
      <x:c r="D16" s="66" t="str">
        <x:v>Largest water-source path lost</x:v>
      </x:c>
      <x:c r="E16" s="66" t="n">
        <x:v>0</x:v>
      </x:c>
      <x:c r="F16" s="66" t="n">
        <x:v>0</x:v>
      </x:c>
      <x:c r="G16" s="66" t="n">
        <x:v>0</x:v>
      </x:c>
      <x:c r="H16" s="66" t="n">
        <x:v>0</x:v>
      </x:c>
      <x:c r="I16" s="66" t="n">
        <x:v>0</x:v>
      </x:c>
      <x:c r="J16" s="80" t="n">
        <x:v>1</x:v>
      </x:c>
      <x:c r="K16" s="66" t="n">
        <x:v>1</x:v>
      </x:c>
      <x:c r="L16" s="66" t="n">
        <x:v>0</x:v>
      </x:c>
      <x:c r="M16" s="66" t="n">
        <x:v>0</x:v>
      </x:c>
      <x:c r="N16" s="66" t="n">
        <x:v>0</x:v>
      </x:c>
      <x:c r="O16" s="66" t="n">
        <x:v>0</x:v>
      </x:c>
      <x:c r="P16" s="66" t="n">
        <x:v>0</x:v>
      </x:c>
      <x:c r="Q16" s="66" t="n">
        <x:v>0</x:v>
      </x:c>
      <x:c r="R16" s="80" t="n">
        <x:v>0</x:v>
      </x:c>
      <x:c r="S16" s="66" t="n">
        <x:v>0</x:v>
      </x:c>
      <x:c r="T16" s="66" t="n">
        <x:v>0</x:v>
      </x:c>
      <x:c r="U16" s="66" t="n">
        <x:v>0</x:v>
      </x:c>
      <x:c r="V16" s="66" t="n">
        <x:v>0</x:v>
      </x:c>
      <x:c r="W16" s="66" t="n">
        <x:v>0</x:v>
      </x:c>
      <x:c r="X16" s="81" t="n">
        <x:f>MIN(1,IF(E16=1,'Island Architectures'!$G$8,'Island Architectures'!$D$8)*(1-F16/'Island Architectures'!$E$8)*(1-G16/'Island Architectures'!$F$8)*IF(H16&lt;'Island Architectures'!$H$8,1,0))</x:f>
        <x:v>1</x:v>
      </x:c>
      <x:c r="Y16" s="81" t="n">
        <x:f>MIN(1,'Island Architectures'!$I$8*(1-I16/'Island Architectures'!$J$8)*J16)</x:f>
        <x:v>1</x:v>
      </x:c>
      <x:c r="Z16" s="81" t="n">
        <x:f>MIN(1,'Island Architectures'!$K$8*(1-K16/'Island Architectures'!$L$8))</x:f>
        <x:v>0</x:v>
      </x:c>
      <x:c r="AA16" s="81" t="n">
        <x:f>MIN(1,'Island Architectures'!$M$8*(1-L16/'Island Architectures'!$N$8))</x:f>
        <x:v>1</x:v>
      </x:c>
      <x:c r="AB16" s="81" t="n">
        <x:f>MIN(1,'Island Architectures'!$O$8*(1-M16/'Island Architectures'!$P$8))</x:f>
        <x:v>1</x:v>
      </x:c>
      <x:c r="AC16" s="81" t="n">
        <x:f>MIN(1,'Island Architectures'!$Q$8*(1-N16/'Island Architectures'!$R$8))</x:f>
        <x:v>1</x:v>
      </x:c>
      <x:c r="AD16" s="81" t="n">
        <x:f>MIN(1,'Island Architectures'!$Q$8*(1-O16/'Island Architectures'!$S$8))</x:f>
        <x:v>1</x:v>
      </x:c>
      <x:c r="AE16" s="81" t="n">
        <x:f>MIN(1,'Island Architectures'!$T$8*(1-P16/'Island Architectures'!$U$8))</x:f>
        <x:v>1</x:v>
      </x:c>
      <x:c r="AF16" s="81" t="n">
        <x:f>MIN(1,'Island Architectures'!$V$8*(1-Q16/'Island Architectures'!$W$8))</x:f>
        <x:v>1</x:v>
      </x:c>
      <x:c r="AG16" s="81" t="n">
        <x:f>MIN(1,'Island Architectures'!$X$8*(1-R16)*(1-S16/'Island Architectures'!$Y$8))</x:f>
        <x:v>1</x:v>
      </x:c>
      <x:c r="AH16" s="81" t="n">
        <x:f>IF(T16&lt;'Island Architectures'!$Z$8,1,0)</x:f>
        <x:v>1</x:v>
      </x:c>
      <x:c r="AI16" s="81" t="n">
        <x:f>MIN(1,'Island Architectures'!$AA$8*(1-U16/'Island Architectures'!$AB$8))</x:f>
        <x:v>1</x:v>
      </x:c>
      <x:c r="AJ16" s="81" t="n">
        <x:f>IF(V16=1,MIN(1,'Island Architectures'!$AD$8/Assumptions!$C$10),1)</x:f>
        <x:v>1</x:v>
      </x:c>
      <x:c r="AK16" s="81" t="n">
        <x:f>IF(W16=1,'Island Architectures'!$AC$8,1)</x:f>
        <x:v>1</x:v>
      </x:c>
      <x:c r="AL16" s="81" t="n">
        <x:f>MIN(X16:AK16)</x:f>
        <x:v>0</x:v>
      </x:c>
      <x:c r="AM16" s="70" t="str">
        <x:f>IF(AL16&gt;=Assumptions!$C$9,"PASS","FAIL")</x:f>
        <x:v>FAIL</x:v>
      </x:c>
      <x:c r="AN16" s="52" t="str">
        <x:v>clean storage does not replace sustained production</x:v>
      </x:c>
    </x:row>
    <x:row r="17">
      <x:c r="B17" s="66" t="str">
        <x:v>A1</x:v>
      </x:c>
      <x:c r="C17" s="66" t="str">
        <x:v>I10</x:v>
      </x:c>
      <x:c r="D17" s="66" t="str">
        <x:v>Largest wastewater path lost</x:v>
      </x:c>
      <x:c r="E17" s="66" t="n">
        <x:v>0</x:v>
      </x:c>
      <x:c r="F17" s="66" t="n">
        <x:v>0</x:v>
      </x:c>
      <x:c r="G17" s="66" t="n">
        <x:v>0</x:v>
      </x:c>
      <x:c r="H17" s="66" t="n">
        <x:v>0</x:v>
      </x:c>
      <x:c r="I17" s="66" t="n">
        <x:v>0</x:v>
      </x:c>
      <x:c r="J17" s="80" t="n">
        <x:v>1</x:v>
      </x:c>
      <x:c r="K17" s="66" t="n">
        <x:v>0</x:v>
      </x:c>
      <x:c r="L17" s="66" t="n">
        <x:v>1</x:v>
      </x:c>
      <x:c r="M17" s="66" t="n">
        <x:v>0</x:v>
      </x:c>
      <x:c r="N17" s="66" t="n">
        <x:v>0</x:v>
      </x:c>
      <x:c r="O17" s="66" t="n">
        <x:v>0</x:v>
      </x:c>
      <x:c r="P17" s="66" t="n">
        <x:v>0</x:v>
      </x:c>
      <x:c r="Q17" s="66" t="n">
        <x:v>0</x:v>
      </x:c>
      <x:c r="R17" s="80" t="n">
        <x:v>0</x:v>
      </x:c>
      <x:c r="S17" s="66" t="n">
        <x:v>0</x:v>
      </x:c>
      <x:c r="T17" s="66" t="n">
        <x:v>0</x:v>
      </x:c>
      <x:c r="U17" s="66" t="n">
        <x:v>0</x:v>
      </x:c>
      <x:c r="V17" s="66" t="n">
        <x:v>0</x:v>
      </x:c>
      <x:c r="W17" s="66" t="n">
        <x:v>0</x:v>
      </x:c>
      <x:c r="X17" s="81" t="n">
        <x:f>MIN(1,IF(E17=1,'Island Architectures'!$G$8,'Island Architectures'!$D$8)*(1-F17/'Island Architectures'!$E$8)*(1-G17/'Island Architectures'!$F$8)*IF(H17&lt;'Island Architectures'!$H$8,1,0))</x:f>
        <x:v>1</x:v>
      </x:c>
      <x:c r="Y17" s="81" t="n">
        <x:f>MIN(1,'Island Architectures'!$I$8*(1-I17/'Island Architectures'!$J$8)*J17)</x:f>
        <x:v>1</x:v>
      </x:c>
      <x:c r="Z17" s="81" t="n">
        <x:f>MIN(1,'Island Architectures'!$K$8*(1-K17/'Island Architectures'!$L$8))</x:f>
        <x:v>1</x:v>
      </x:c>
      <x:c r="AA17" s="81" t="n">
        <x:f>MIN(1,'Island Architectures'!$M$8*(1-L17/'Island Architectures'!$N$8))</x:f>
        <x:v>0</x:v>
      </x:c>
      <x:c r="AB17" s="81" t="n">
        <x:f>MIN(1,'Island Architectures'!$O$8*(1-M17/'Island Architectures'!$P$8))</x:f>
        <x:v>1</x:v>
      </x:c>
      <x:c r="AC17" s="81" t="n">
        <x:f>MIN(1,'Island Architectures'!$Q$8*(1-N17/'Island Architectures'!$R$8))</x:f>
        <x:v>1</x:v>
      </x:c>
      <x:c r="AD17" s="81" t="n">
        <x:f>MIN(1,'Island Architectures'!$Q$8*(1-O17/'Island Architectures'!$S$8))</x:f>
        <x:v>1</x:v>
      </x:c>
      <x:c r="AE17" s="81" t="n">
        <x:f>MIN(1,'Island Architectures'!$T$8*(1-P17/'Island Architectures'!$U$8))</x:f>
        <x:v>1</x:v>
      </x:c>
      <x:c r="AF17" s="81" t="n">
        <x:f>MIN(1,'Island Architectures'!$V$8*(1-Q17/'Island Architectures'!$W$8))</x:f>
        <x:v>1</x:v>
      </x:c>
      <x:c r="AG17" s="81" t="n">
        <x:f>MIN(1,'Island Architectures'!$X$8*(1-R17)*(1-S17/'Island Architectures'!$Y$8))</x:f>
        <x:v>1</x:v>
      </x:c>
      <x:c r="AH17" s="81" t="n">
        <x:f>IF(T17&lt;'Island Architectures'!$Z$8,1,0)</x:f>
        <x:v>1</x:v>
      </x:c>
      <x:c r="AI17" s="81" t="n">
        <x:f>MIN(1,'Island Architectures'!$AA$8*(1-U17/'Island Architectures'!$AB$8))</x:f>
        <x:v>1</x:v>
      </x:c>
      <x:c r="AJ17" s="81" t="n">
        <x:f>IF(V17=1,MIN(1,'Island Architectures'!$AD$8/Assumptions!$C$10),1)</x:f>
        <x:v>1</x:v>
      </x:c>
      <x:c r="AK17" s="81" t="n">
        <x:f>IF(W17=1,'Island Architectures'!$AC$8,1)</x:f>
        <x:v>1</x:v>
      </x:c>
      <x:c r="AL17" s="81" t="n">
        <x:f>MIN(X17:AK17)</x:f>
        <x:v>0</x:v>
      </x:c>
      <x:c r="AM17" s="70" t="str">
        <x:f>IF(AL17&gt;=Assumptions!$C$9,"PASS","FAIL")</x:f>
        <x:v>FAIL</x:v>
      </x:c>
      <x:c r="AN17" s="52" t="str">
        <x:v>service cannot export untreated harm</x:v>
      </x:c>
    </x:row>
    <x:row r="18">
      <x:c r="B18" s="66" t="str">
        <x:v>A1</x:v>
      </x:c>
      <x:c r="C18" s="66" t="str">
        <x:v>I11</x:v>
      </x:c>
      <x:c r="D18" s="66" t="str">
        <x:v>One utility corridor lost</x:v>
      </x:c>
      <x:c r="E18" s="66" t="n">
        <x:v>0</x:v>
      </x:c>
      <x:c r="F18" s="66" t="n">
        <x:v>0</x:v>
      </x:c>
      <x:c r="G18" s="66" t="n">
        <x:v>0</x:v>
      </x:c>
      <x:c r="H18" s="66" t="n">
        <x:v>0</x:v>
      </x:c>
      <x:c r="I18" s="66" t="n">
        <x:v>0</x:v>
      </x:c>
      <x:c r="J18" s="80" t="n">
        <x:v>1</x:v>
      </x:c>
      <x:c r="K18" s="66" t="n">
        <x:v>0</x:v>
      </x:c>
      <x:c r="L18" s="66" t="n">
        <x:v>0</x:v>
      </x:c>
      <x:c r="M18" s="66" t="n">
        <x:v>1</x:v>
      </x:c>
      <x:c r="N18" s="66" t="n">
        <x:v>0</x:v>
      </x:c>
      <x:c r="O18" s="66" t="n">
        <x:v>0</x:v>
      </x:c>
      <x:c r="P18" s="66" t="n">
        <x:v>0</x:v>
      </x:c>
      <x:c r="Q18" s="66" t="n">
        <x:v>0</x:v>
      </x:c>
      <x:c r="R18" s="80" t="n">
        <x:v>0</x:v>
      </x:c>
      <x:c r="S18" s="66" t="n">
        <x:v>0</x:v>
      </x:c>
      <x:c r="T18" s="66" t="n">
        <x:v>0</x:v>
      </x:c>
      <x:c r="U18" s="66" t="n">
        <x:v>0</x:v>
      </x:c>
      <x:c r="V18" s="66" t="n">
        <x:v>0</x:v>
      </x:c>
      <x:c r="W18" s="66" t="n">
        <x:v>0</x:v>
      </x:c>
      <x:c r="X18" s="81" t="n">
        <x:f>MIN(1,IF(E18=1,'Island Architectures'!$G$8,'Island Architectures'!$D$8)*(1-F18/'Island Architectures'!$E$8)*(1-G18/'Island Architectures'!$F$8)*IF(H18&lt;'Island Architectures'!$H$8,1,0))</x:f>
        <x:v>1</x:v>
      </x:c>
      <x:c r="Y18" s="81" t="n">
        <x:f>MIN(1,'Island Architectures'!$I$8*(1-I18/'Island Architectures'!$J$8)*J18)</x:f>
        <x:v>1</x:v>
      </x:c>
      <x:c r="Z18" s="81" t="n">
        <x:f>MIN(1,'Island Architectures'!$K$8*(1-K18/'Island Architectures'!$L$8))</x:f>
        <x:v>1</x:v>
      </x:c>
      <x:c r="AA18" s="81" t="n">
        <x:f>MIN(1,'Island Architectures'!$M$8*(1-L18/'Island Architectures'!$N$8))</x:f>
        <x:v>1</x:v>
      </x:c>
      <x:c r="AB18" s="81" t="n">
        <x:f>MIN(1,'Island Architectures'!$O$8*(1-M18/'Island Architectures'!$P$8))</x:f>
        <x:v>0</x:v>
      </x:c>
      <x:c r="AC18" s="81" t="n">
        <x:f>MIN(1,'Island Architectures'!$Q$8*(1-N18/'Island Architectures'!$R$8))</x:f>
        <x:v>1</x:v>
      </x:c>
      <x:c r="AD18" s="81" t="n">
        <x:f>MIN(1,'Island Architectures'!$Q$8*(1-O18/'Island Architectures'!$S$8))</x:f>
        <x:v>1</x:v>
      </x:c>
      <x:c r="AE18" s="81" t="n">
        <x:f>MIN(1,'Island Architectures'!$T$8*(1-P18/'Island Architectures'!$U$8))</x:f>
        <x:v>1</x:v>
      </x:c>
      <x:c r="AF18" s="81" t="n">
        <x:f>MIN(1,'Island Architectures'!$V$8*(1-Q18/'Island Architectures'!$W$8))</x:f>
        <x:v>1</x:v>
      </x:c>
      <x:c r="AG18" s="81" t="n">
        <x:f>MIN(1,'Island Architectures'!$X$8*(1-R18)*(1-S18/'Island Architectures'!$Y$8))</x:f>
        <x:v>1</x:v>
      </x:c>
      <x:c r="AH18" s="81" t="n">
        <x:f>IF(T18&lt;'Island Architectures'!$Z$8,1,0)</x:f>
        <x:v>1</x:v>
      </x:c>
      <x:c r="AI18" s="81" t="n">
        <x:f>MIN(1,'Island Architectures'!$AA$8*(1-U18/'Island Architectures'!$AB$8))</x:f>
        <x:v>1</x:v>
      </x:c>
      <x:c r="AJ18" s="81" t="n">
        <x:f>IF(V18=1,MIN(1,'Island Architectures'!$AD$8/Assumptions!$C$10),1)</x:f>
        <x:v>1</x:v>
      </x:c>
      <x:c r="AK18" s="81" t="n">
        <x:f>IF(W18=1,'Island Architectures'!$AC$8,1)</x:f>
        <x:v>1</x:v>
      </x:c>
      <x:c r="AL18" s="81" t="n">
        <x:f>MIN(X18:AK18)</x:f>
        <x:v>0</x:v>
      </x:c>
      <x:c r="AM18" s="70" t="str">
        <x:f>IF(AL18&gt;=Assumptions!$C$9,"PASS","FAIL")</x:f>
        <x:v>FAIL</x:v>
      </x:c>
      <x:c r="AN18" s="52" t="str">
        <x:v>loop count is tested as complete service</x:v>
      </x:c>
    </x:row>
    <x:row r="19">
      <x:c r="B19" s="66" t="str">
        <x:v>A1</x:v>
      </x:c>
      <x:c r="C19" s="66" t="str">
        <x:v>I12</x:v>
      </x:c>
      <x:c r="D19" s="66" t="str">
        <x:v>One service node lost</x:v>
      </x:c>
      <x:c r="E19" s="66" t="n">
        <x:v>0</x:v>
      </x:c>
      <x:c r="F19" s="66" t="n">
        <x:v>0</x:v>
      </x:c>
      <x:c r="G19" s="66" t="n">
        <x:v>0</x:v>
      </x:c>
      <x:c r="H19" s="66" t="n">
        <x:v>0</x:v>
      </x:c>
      <x:c r="I19" s="66" t="n">
        <x:v>0</x:v>
      </x:c>
      <x:c r="J19" s="80" t="n">
        <x:v>1</x:v>
      </x:c>
      <x:c r="K19" s="66" t="n">
        <x:v>0</x:v>
      </x:c>
      <x:c r="L19" s="66" t="n">
        <x:v>0</x:v>
      </x:c>
      <x:c r="M19" s="66" t="n">
        <x:v>0</x:v>
      </x:c>
      <x:c r="N19" s="66" t="n">
        <x:v>1</x:v>
      </x:c>
      <x:c r="O19" s="66" t="n">
        <x:v>0</x:v>
      </x:c>
      <x:c r="P19" s="66" t="n">
        <x:v>0</x:v>
      </x:c>
      <x:c r="Q19" s="66" t="n">
        <x:v>0</x:v>
      </x:c>
      <x:c r="R19" s="80" t="n">
        <x:v>0</x:v>
      </x:c>
      <x:c r="S19" s="66" t="n">
        <x:v>0</x:v>
      </x:c>
      <x:c r="T19" s="66" t="n">
        <x:v>0</x:v>
      </x:c>
      <x:c r="U19" s="66" t="n">
        <x:v>0</x:v>
      </x:c>
      <x:c r="V19" s="66" t="n">
        <x:v>0</x:v>
      </x:c>
      <x:c r="W19" s="66" t="n">
        <x:v>0</x:v>
      </x:c>
      <x:c r="X19" s="81" t="n">
        <x:f>MIN(1,IF(E19=1,'Island Architectures'!$G$8,'Island Architectures'!$D$8)*(1-F19/'Island Architectures'!$E$8)*(1-G19/'Island Architectures'!$F$8)*IF(H19&lt;'Island Architectures'!$H$8,1,0))</x:f>
        <x:v>1</x:v>
      </x:c>
      <x:c r="Y19" s="81" t="n">
        <x:f>MIN(1,'Island Architectures'!$I$8*(1-I19/'Island Architectures'!$J$8)*J19)</x:f>
        <x:v>1</x:v>
      </x:c>
      <x:c r="Z19" s="81" t="n">
        <x:f>MIN(1,'Island Architectures'!$K$8*(1-K19/'Island Architectures'!$L$8))</x:f>
        <x:v>1</x:v>
      </x:c>
      <x:c r="AA19" s="81" t="n">
        <x:f>MIN(1,'Island Architectures'!$M$8*(1-L19/'Island Architectures'!$N$8))</x:f>
        <x:v>1</x:v>
      </x:c>
      <x:c r="AB19" s="81" t="n">
        <x:f>MIN(1,'Island Architectures'!$O$8*(1-M19/'Island Architectures'!$P$8))</x:f>
        <x:v>1</x:v>
      </x:c>
      <x:c r="AC19" s="81" t="n">
        <x:f>MIN(1,'Island Architectures'!$Q$8*(1-N19/'Island Architectures'!$R$8))</x:f>
        <x:v>0</x:v>
      </x:c>
      <x:c r="AD19" s="81" t="n">
        <x:f>MIN(1,'Island Architectures'!$Q$8*(1-O19/'Island Architectures'!$S$8))</x:f>
        <x:v>1</x:v>
      </x:c>
      <x:c r="AE19" s="81" t="n">
        <x:f>MIN(1,'Island Architectures'!$T$8*(1-P19/'Island Architectures'!$U$8))</x:f>
        <x:v>1</x:v>
      </x:c>
      <x:c r="AF19" s="81" t="n">
        <x:f>MIN(1,'Island Architectures'!$V$8*(1-Q19/'Island Architectures'!$W$8))</x:f>
        <x:v>1</x:v>
      </x:c>
      <x:c r="AG19" s="81" t="n">
        <x:f>MIN(1,'Island Architectures'!$X$8*(1-R19)*(1-S19/'Island Architectures'!$Y$8))</x:f>
        <x:v>1</x:v>
      </x:c>
      <x:c r="AH19" s="81" t="n">
        <x:f>IF(T19&lt;'Island Architectures'!$Z$8,1,0)</x:f>
        <x:v>1</x:v>
      </x:c>
      <x:c r="AI19" s="81" t="n">
        <x:f>MIN(1,'Island Architectures'!$AA$8*(1-U19/'Island Architectures'!$AB$8))</x:f>
        <x:v>1</x:v>
      </x:c>
      <x:c r="AJ19" s="81" t="n">
        <x:f>IF(V19=1,MIN(1,'Island Architectures'!$AD$8/Assumptions!$C$10),1)</x:f>
        <x:v>1</x:v>
      </x:c>
      <x:c r="AK19" s="81" t="n">
        <x:f>IF(W19=1,'Island Architectures'!$AC$8,1)</x:f>
        <x:v>1</x:v>
      </x:c>
      <x:c r="AL19" s="81" t="n">
        <x:f>MIN(X19:AK19)</x:f>
        <x:v>0</x:v>
      </x:c>
      <x:c r="AM19" s="70" t="str">
        <x:f>IF(AL19&gt;=Assumptions!$C$9,"PASS","FAIL")</x:f>
        <x:v>FAIL</x:v>
      </x:c>
      <x:c r="AN19" s="52" t="str">
        <x:v>one-tenth of occupied interface removed</x:v>
      </x:c>
    </x:row>
    <x:row r="20">
      <x:c r="B20" s="66" t="str">
        <x:v>A1</x:v>
      </x:c>
      <x:c r="C20" s="66" t="str">
        <x:v>I13</x:v>
      </x:c>
      <x:c r="D20" s="66" t="str">
        <x:v>Two adjacent service nodes lost</x:v>
      </x:c>
      <x:c r="E20" s="66" t="n">
        <x:v>0</x:v>
      </x:c>
      <x:c r="F20" s="66" t="n">
        <x:v>0</x:v>
      </x:c>
      <x:c r="G20" s="66" t="n">
        <x:v>0</x:v>
      </x:c>
      <x:c r="H20" s="66" t="n">
        <x:v>0</x:v>
      </x:c>
      <x:c r="I20" s="66" t="n">
        <x:v>0</x:v>
      </x:c>
      <x:c r="J20" s="80" t="n">
        <x:v>1</x:v>
      </x:c>
      <x:c r="K20" s="66" t="n">
        <x:v>0</x:v>
      </x:c>
      <x:c r="L20" s="66" t="n">
        <x:v>0</x:v>
      </x:c>
      <x:c r="M20" s="66" t="n">
        <x:v>0</x:v>
      </x:c>
      <x:c r="N20" s="66" t="n">
        <x:v>2</x:v>
      </x:c>
      <x:c r="O20" s="66" t="n">
        <x:v>0</x:v>
      </x:c>
      <x:c r="P20" s="66" t="n">
        <x:v>0</x:v>
      </x:c>
      <x:c r="Q20" s="66" t="n">
        <x:v>0</x:v>
      </x:c>
      <x:c r="R20" s="80" t="n">
        <x:v>0</x:v>
      </x:c>
      <x:c r="S20" s="66" t="n">
        <x:v>0</x:v>
      </x:c>
      <x:c r="T20" s="66" t="n">
        <x:v>0</x:v>
      </x:c>
      <x:c r="U20" s="66" t="n">
        <x:v>0</x:v>
      </x:c>
      <x:c r="V20" s="66" t="n">
        <x:v>0</x:v>
      </x:c>
      <x:c r="W20" s="66" t="n">
        <x:v>0</x:v>
      </x:c>
      <x:c r="X20" s="81" t="n">
        <x:f>MIN(1,IF(E20=1,'Island Architectures'!$G$8,'Island Architectures'!$D$8)*(1-F20/'Island Architectures'!$E$8)*(1-G20/'Island Architectures'!$F$8)*IF(H20&lt;'Island Architectures'!$H$8,1,0))</x:f>
        <x:v>1</x:v>
      </x:c>
      <x:c r="Y20" s="81" t="n">
        <x:f>MIN(1,'Island Architectures'!$I$8*(1-I20/'Island Architectures'!$J$8)*J20)</x:f>
        <x:v>1</x:v>
      </x:c>
      <x:c r="Z20" s="81" t="n">
        <x:f>MIN(1,'Island Architectures'!$K$8*(1-K20/'Island Architectures'!$L$8))</x:f>
        <x:v>1</x:v>
      </x:c>
      <x:c r="AA20" s="81" t="n">
        <x:f>MIN(1,'Island Architectures'!$M$8*(1-L20/'Island Architectures'!$N$8))</x:f>
        <x:v>1</x:v>
      </x:c>
      <x:c r="AB20" s="81" t="n">
        <x:f>MIN(1,'Island Architectures'!$O$8*(1-M20/'Island Architectures'!$P$8))</x:f>
        <x:v>1</x:v>
      </x:c>
      <x:c r="AC20" s="81" t="n">
        <x:f>MIN(1,'Island Architectures'!$Q$8*(1-N20/'Island Architectures'!$R$8))</x:f>
        <x:v>-1</x:v>
      </x:c>
      <x:c r="AD20" s="81" t="n">
        <x:f>MIN(1,'Island Architectures'!$Q$8*(1-O20/'Island Architectures'!$S$8))</x:f>
        <x:v>1</x:v>
      </x:c>
      <x:c r="AE20" s="81" t="n">
        <x:f>MIN(1,'Island Architectures'!$T$8*(1-P20/'Island Architectures'!$U$8))</x:f>
        <x:v>1</x:v>
      </x:c>
      <x:c r="AF20" s="81" t="n">
        <x:f>MIN(1,'Island Architectures'!$V$8*(1-Q20/'Island Architectures'!$W$8))</x:f>
        <x:v>1</x:v>
      </x:c>
      <x:c r="AG20" s="81" t="n">
        <x:f>MIN(1,'Island Architectures'!$X$8*(1-R20)*(1-S20/'Island Architectures'!$Y$8))</x:f>
        <x:v>1</x:v>
      </x:c>
      <x:c r="AH20" s="81" t="n">
        <x:f>IF(T20&lt;'Island Architectures'!$Z$8,1,0)</x:f>
        <x:v>1</x:v>
      </x:c>
      <x:c r="AI20" s="81" t="n">
        <x:f>MIN(1,'Island Architectures'!$AA$8*(1-U20/'Island Architectures'!$AB$8))</x:f>
        <x:v>1</x:v>
      </x:c>
      <x:c r="AJ20" s="81" t="n">
        <x:f>IF(V20=1,MIN(1,'Island Architectures'!$AD$8/Assumptions!$C$10),1)</x:f>
        <x:v>1</x:v>
      </x:c>
      <x:c r="AK20" s="81" t="n">
        <x:f>IF(W20=1,'Island Architectures'!$AC$8,1)</x:f>
        <x:v>1</x:v>
      </x:c>
      <x:c r="AL20" s="81" t="n">
        <x:f>MIN(X20:AK20)</x:f>
        <x:v>-1</x:v>
      </x:c>
      <x:c r="AM20" s="70" t="str">
        <x:f>IF(AL20&gt;=Assumptions!$C$9,"PASS","FAIL")</x:f>
        <x:v>FAIL</x:v>
      </x:c>
      <x:c r="AN20" s="52" t="str">
        <x:v>tests spare node capacity and cross-feed</x:v>
      </x:c>
    </x:row>
    <x:row r="21">
      <x:c r="B21" s="66" t="str">
        <x:v>A1</x:v>
      </x:c>
      <x:c r="C21" s="66" t="str">
        <x:v>I14</x:v>
      </x:c>
      <x:c r="D21" s="66" t="str">
        <x:v>One complete hazard zone lost</x:v>
      </x:c>
      <x:c r="E21" s="66" t="n">
        <x:v>0</x:v>
      </x:c>
      <x:c r="F21" s="66" t="n">
        <x:v>0</x:v>
      </x:c>
      <x:c r="G21" s="66" t="n">
        <x:v>0</x:v>
      </x:c>
      <x:c r="H21" s="66" t="n">
        <x:v>0</x:v>
      </x:c>
      <x:c r="I21" s="66" t="n">
        <x:v>0</x:v>
      </x:c>
      <x:c r="J21" s="80" t="n">
        <x:v>1</x:v>
      </x:c>
      <x:c r="K21" s="66" t="n">
        <x:v>0</x:v>
      </x:c>
      <x:c r="L21" s="66" t="n">
        <x:v>0</x:v>
      </x:c>
      <x:c r="M21" s="66" t="n">
        <x:v>0</x:v>
      </x:c>
      <x:c r="N21" s="66" t="n">
        <x:v>0</x:v>
      </x:c>
      <x:c r="O21" s="66" t="n">
        <x:v>1</x:v>
      </x:c>
      <x:c r="P21" s="66" t="n">
        <x:v>0</x:v>
      </x:c>
      <x:c r="Q21" s="66" t="n">
        <x:v>0</x:v>
      </x:c>
      <x:c r="R21" s="80" t="n">
        <x:v>0</x:v>
      </x:c>
      <x:c r="S21" s="66" t="n">
        <x:v>0</x:v>
      </x:c>
      <x:c r="T21" s="66" t="n">
        <x:v>0</x:v>
      </x:c>
      <x:c r="U21" s="66" t="n">
        <x:v>0</x:v>
      </x:c>
      <x:c r="V21" s="66" t="n">
        <x:v>0</x:v>
      </x:c>
      <x:c r="W21" s="66" t="n">
        <x:v>0</x:v>
      </x:c>
      <x:c r="X21" s="81" t="n">
        <x:f>MIN(1,IF(E21=1,'Island Architectures'!$G$8,'Island Architectures'!$D$8)*(1-F21/'Island Architectures'!$E$8)*(1-G21/'Island Architectures'!$F$8)*IF(H21&lt;'Island Architectures'!$H$8,1,0))</x:f>
        <x:v>1</x:v>
      </x:c>
      <x:c r="Y21" s="81" t="n">
        <x:f>MIN(1,'Island Architectures'!$I$8*(1-I21/'Island Architectures'!$J$8)*J21)</x:f>
        <x:v>1</x:v>
      </x:c>
      <x:c r="Z21" s="81" t="n">
        <x:f>MIN(1,'Island Architectures'!$K$8*(1-K21/'Island Architectures'!$L$8))</x:f>
        <x:v>1</x:v>
      </x:c>
      <x:c r="AA21" s="81" t="n">
        <x:f>MIN(1,'Island Architectures'!$M$8*(1-L21/'Island Architectures'!$N$8))</x:f>
        <x:v>1</x:v>
      </x:c>
      <x:c r="AB21" s="81" t="n">
        <x:f>MIN(1,'Island Architectures'!$O$8*(1-M21/'Island Architectures'!$P$8))</x:f>
        <x:v>1</x:v>
      </x:c>
      <x:c r="AC21" s="81" t="n">
        <x:f>MIN(1,'Island Architectures'!$Q$8*(1-N21/'Island Architectures'!$R$8))</x:f>
        <x:v>1</x:v>
      </x:c>
      <x:c r="AD21" s="81" t="n">
        <x:f>MIN(1,'Island Architectures'!$Q$8*(1-O21/'Island Architectures'!$S$8))</x:f>
        <x:v>0</x:v>
      </x:c>
      <x:c r="AE21" s="81" t="n">
        <x:f>MIN(1,'Island Architectures'!$T$8*(1-P21/'Island Architectures'!$U$8))</x:f>
        <x:v>1</x:v>
      </x:c>
      <x:c r="AF21" s="81" t="n">
        <x:f>MIN(1,'Island Architectures'!$V$8*(1-Q21/'Island Architectures'!$W$8))</x:f>
        <x:v>1</x:v>
      </x:c>
      <x:c r="AG21" s="81" t="n">
        <x:f>MIN(1,'Island Architectures'!$X$8*(1-R21)*(1-S21/'Island Architectures'!$Y$8))</x:f>
        <x:v>1</x:v>
      </x:c>
      <x:c r="AH21" s="81" t="n">
        <x:f>IF(T21&lt;'Island Architectures'!$Z$8,1,0)</x:f>
        <x:v>1</x:v>
      </x:c>
      <x:c r="AI21" s="81" t="n">
        <x:f>MIN(1,'Island Architectures'!$AA$8*(1-U21/'Island Architectures'!$AB$8))</x:f>
        <x:v>1</x:v>
      </x:c>
      <x:c r="AJ21" s="81" t="n">
        <x:f>IF(V21=1,MIN(1,'Island Architectures'!$AD$8/Assumptions!$C$10),1)</x:f>
        <x:v>1</x:v>
      </x:c>
      <x:c r="AK21" s="81" t="n">
        <x:f>IF(W21=1,'Island Architectures'!$AC$8,1)</x:f>
        <x:v>1</x:v>
      </x:c>
      <x:c r="AL21" s="81" t="n">
        <x:f>MIN(X21:AK21)</x:f>
        <x:v>0</x:v>
      </x:c>
      <x:c r="AM21" s="70" t="str">
        <x:f>IF(AL21&gt;=Assumptions!$C$9,"PASS","FAIL")</x:f>
        <x:v>FAIL</x:v>
      </x:c>
      <x:c r="AN21" s="52" t="str">
        <x:v>fire, flood, wind or structural isolation</x:v>
      </x:c>
    </x:row>
    <x:row r="22">
      <x:c r="B22" s="66" t="str">
        <x:v>A1</x:v>
      </x:c>
      <x:c r="C22" s="66" t="str">
        <x:v>I15</x:v>
      </x:c>
      <x:c r="D22" s="66" t="str">
        <x:v>Flood severs one corridor and zone</x:v>
      </x:c>
      <x:c r="E22" s="66" t="n">
        <x:v>0</x:v>
      </x:c>
      <x:c r="F22" s="66" t="n">
        <x:v>0</x:v>
      </x:c>
      <x:c r="G22" s="66" t="n">
        <x:v>0</x:v>
      </x:c>
      <x:c r="H22" s="66" t="n">
        <x:v>0</x:v>
      </x:c>
      <x:c r="I22" s="66" t="n">
        <x:v>0</x:v>
      </x:c>
      <x:c r="J22" s="80" t="n">
        <x:v>1</x:v>
      </x:c>
      <x:c r="K22" s="66" t="n">
        <x:v>0</x:v>
      </x:c>
      <x:c r="L22" s="66" t="n">
        <x:v>0</x:v>
      </x:c>
      <x:c r="M22" s="66" t="n">
        <x:v>1</x:v>
      </x:c>
      <x:c r="N22" s="66" t="n">
        <x:v>0</x:v>
      </x:c>
      <x:c r="O22" s="66" t="n">
        <x:v>1</x:v>
      </x:c>
      <x:c r="P22" s="66" t="n">
        <x:v>0</x:v>
      </x:c>
      <x:c r="Q22" s="66" t="n">
        <x:v>0</x:v>
      </x:c>
      <x:c r="R22" s="80" t="n">
        <x:v>0</x:v>
      </x:c>
      <x:c r="S22" s="66" t="n">
        <x:v>0</x:v>
      </x:c>
      <x:c r="T22" s="66" t="n">
        <x:v>0</x:v>
      </x:c>
      <x:c r="U22" s="66" t="n">
        <x:v>0</x:v>
      </x:c>
      <x:c r="V22" s="66" t="n">
        <x:v>0</x:v>
      </x:c>
      <x:c r="W22" s="66" t="n">
        <x:v>0</x:v>
      </x:c>
      <x:c r="X22" s="81" t="n">
        <x:f>MIN(1,IF(E22=1,'Island Architectures'!$G$8,'Island Architectures'!$D$8)*(1-F22/'Island Architectures'!$E$8)*(1-G22/'Island Architectures'!$F$8)*IF(H22&lt;'Island Architectures'!$H$8,1,0))</x:f>
        <x:v>1</x:v>
      </x:c>
      <x:c r="Y22" s="81" t="n">
        <x:f>MIN(1,'Island Architectures'!$I$8*(1-I22/'Island Architectures'!$J$8)*J22)</x:f>
        <x:v>1</x:v>
      </x:c>
      <x:c r="Z22" s="81" t="n">
        <x:f>MIN(1,'Island Architectures'!$K$8*(1-K22/'Island Architectures'!$L$8))</x:f>
        <x:v>1</x:v>
      </x:c>
      <x:c r="AA22" s="81" t="n">
        <x:f>MIN(1,'Island Architectures'!$M$8*(1-L22/'Island Architectures'!$N$8))</x:f>
        <x:v>1</x:v>
      </x:c>
      <x:c r="AB22" s="81" t="n">
        <x:f>MIN(1,'Island Architectures'!$O$8*(1-M22/'Island Architectures'!$P$8))</x:f>
        <x:v>0</x:v>
      </x:c>
      <x:c r="AC22" s="81" t="n">
        <x:f>MIN(1,'Island Architectures'!$Q$8*(1-N22/'Island Architectures'!$R$8))</x:f>
        <x:v>1</x:v>
      </x:c>
      <x:c r="AD22" s="81" t="n">
        <x:f>MIN(1,'Island Architectures'!$Q$8*(1-O22/'Island Architectures'!$S$8))</x:f>
        <x:v>0</x:v>
      </x:c>
      <x:c r="AE22" s="81" t="n">
        <x:f>MIN(1,'Island Architectures'!$T$8*(1-P22/'Island Architectures'!$U$8))</x:f>
        <x:v>1</x:v>
      </x:c>
      <x:c r="AF22" s="81" t="n">
        <x:f>MIN(1,'Island Architectures'!$V$8*(1-Q22/'Island Architectures'!$W$8))</x:f>
        <x:v>1</x:v>
      </x:c>
      <x:c r="AG22" s="81" t="n">
        <x:f>MIN(1,'Island Architectures'!$X$8*(1-R22)*(1-S22/'Island Architectures'!$Y$8))</x:f>
        <x:v>1</x:v>
      </x:c>
      <x:c r="AH22" s="81" t="n">
        <x:f>IF(T22&lt;'Island Architectures'!$Z$8,1,0)</x:f>
        <x:v>1</x:v>
      </x:c>
      <x:c r="AI22" s="81" t="n">
        <x:f>MIN(1,'Island Architectures'!$AA$8*(1-U22/'Island Architectures'!$AB$8))</x:f>
        <x:v>1</x:v>
      </x:c>
      <x:c r="AJ22" s="81" t="n">
        <x:f>IF(V22=1,MIN(1,'Island Architectures'!$AD$8/Assumptions!$C$10),1)</x:f>
        <x:v>1</x:v>
      </x:c>
      <x:c r="AK22" s="81" t="n">
        <x:f>IF(W22=1,'Island Architectures'!$AC$8,1)</x:f>
        <x:v>1</x:v>
      </x:c>
      <x:c r="AL22" s="81" t="n">
        <x:f>MIN(X22:AK22)</x:f>
        <x:v>0</x:v>
      </x:c>
      <x:c r="AM22" s="70" t="str">
        <x:f>IF(AL22&gt;=Assumptions!$C$9,"PASS","FAIL")</x:f>
        <x:v>FAIL</x:v>
      </x:c>
      <x:c r="AN22" s="52" t="str">
        <x:v>coupled local physical loss</x:v>
      </x:c>
    </x:row>
    <x:row r="23">
      <x:c r="B23" s="66" t="str">
        <x:v>A1</x:v>
      </x:c>
      <x:c r="C23" s="66" t="str">
        <x:v>I16</x:v>
      </x:c>
      <x:c r="D23" s="66" t="str">
        <x:v>One control partition lost</x:v>
      </x:c>
      <x:c r="E23" s="66" t="n">
        <x:v>0</x:v>
      </x:c>
      <x:c r="F23" s="66" t="n">
        <x:v>0</x:v>
      </x:c>
      <x:c r="G23" s="66" t="n">
        <x:v>0</x:v>
      </x:c>
      <x:c r="H23" s="66" t="n">
        <x:v>0</x:v>
      </x:c>
      <x:c r="I23" s="66" t="n">
        <x:v>0</x:v>
      </x:c>
      <x:c r="J23" s="80" t="n">
        <x:v>1</x:v>
      </x:c>
      <x:c r="K23" s="66" t="n">
        <x:v>0</x:v>
      </x:c>
      <x:c r="L23" s="66" t="n">
        <x:v>0</x:v>
      </x:c>
      <x:c r="M23" s="66" t="n">
        <x:v>0</x:v>
      </x:c>
      <x:c r="N23" s="66" t="n">
        <x:v>0</x:v>
      </x:c>
      <x:c r="O23" s="66" t="n">
        <x:v>0</x:v>
      </x:c>
      <x:c r="P23" s="66" t="n">
        <x:v>1</x:v>
      </x:c>
      <x:c r="Q23" s="66" t="n">
        <x:v>0</x:v>
      </x:c>
      <x:c r="R23" s="80" t="n">
        <x:v>0</x:v>
      </x:c>
      <x:c r="S23" s="66" t="n">
        <x:v>0</x:v>
      </x:c>
      <x:c r="T23" s="66" t="n">
        <x:v>0</x:v>
      </x:c>
      <x:c r="U23" s="66" t="n">
        <x:v>0</x:v>
      </x:c>
      <x:c r="V23" s="66" t="n">
        <x:v>0</x:v>
      </x:c>
      <x:c r="W23" s="66" t="n">
        <x:v>0</x:v>
      </x:c>
      <x:c r="X23" s="81" t="n">
        <x:f>MIN(1,IF(E23=1,'Island Architectures'!$G$8,'Island Architectures'!$D$8)*(1-F23/'Island Architectures'!$E$8)*(1-G23/'Island Architectures'!$F$8)*IF(H23&lt;'Island Architectures'!$H$8,1,0))</x:f>
        <x:v>1</x:v>
      </x:c>
      <x:c r="Y23" s="81" t="n">
        <x:f>MIN(1,'Island Architectures'!$I$8*(1-I23/'Island Architectures'!$J$8)*J23)</x:f>
        <x:v>1</x:v>
      </x:c>
      <x:c r="Z23" s="81" t="n">
        <x:f>MIN(1,'Island Architectures'!$K$8*(1-K23/'Island Architectures'!$L$8))</x:f>
        <x:v>1</x:v>
      </x:c>
      <x:c r="AA23" s="81" t="n">
        <x:f>MIN(1,'Island Architectures'!$M$8*(1-L23/'Island Architectures'!$N$8))</x:f>
        <x:v>1</x:v>
      </x:c>
      <x:c r="AB23" s="81" t="n">
        <x:f>MIN(1,'Island Architectures'!$O$8*(1-M23/'Island Architectures'!$P$8))</x:f>
        <x:v>1</x:v>
      </x:c>
      <x:c r="AC23" s="81" t="n">
        <x:f>MIN(1,'Island Architectures'!$Q$8*(1-N23/'Island Architectures'!$R$8))</x:f>
        <x:v>1</x:v>
      </x:c>
      <x:c r="AD23" s="81" t="n">
        <x:f>MIN(1,'Island Architectures'!$Q$8*(1-O23/'Island Architectures'!$S$8))</x:f>
        <x:v>1</x:v>
      </x:c>
      <x:c r="AE23" s="81" t="n">
        <x:f>MIN(1,'Island Architectures'!$T$8*(1-P23/'Island Architectures'!$U$8))</x:f>
        <x:v>0</x:v>
      </x:c>
      <x:c r="AF23" s="81" t="n">
        <x:f>MIN(1,'Island Architectures'!$V$8*(1-Q23/'Island Architectures'!$W$8))</x:f>
        <x:v>1</x:v>
      </x:c>
      <x:c r="AG23" s="81" t="n">
        <x:f>MIN(1,'Island Architectures'!$X$8*(1-R23)*(1-S23/'Island Architectures'!$Y$8))</x:f>
        <x:v>1</x:v>
      </x:c>
      <x:c r="AH23" s="81" t="n">
        <x:f>IF(T23&lt;'Island Architectures'!$Z$8,1,0)</x:f>
        <x:v>1</x:v>
      </x:c>
      <x:c r="AI23" s="81" t="n">
        <x:f>MIN(1,'Island Architectures'!$AA$8*(1-U23/'Island Architectures'!$AB$8))</x:f>
        <x:v>1</x:v>
      </x:c>
      <x:c r="AJ23" s="81" t="n">
        <x:f>IF(V23=1,MIN(1,'Island Architectures'!$AD$8/Assumptions!$C$10),1)</x:f>
        <x:v>1</x:v>
      </x:c>
      <x:c r="AK23" s="81" t="n">
        <x:f>IF(W23=1,'Island Architectures'!$AC$8,1)</x:f>
        <x:v>1</x:v>
      </x:c>
      <x:c r="AL23" s="81" t="n">
        <x:f>MIN(X23:AK23)</x:f>
        <x:v>0</x:v>
      </x:c>
      <x:c r="AM23" s="70" t="str">
        <x:f>IF(AL23&gt;=Assumptions!$C$9,"PASS","FAIL")</x:f>
        <x:v>FAIL</x:v>
      </x:c>
      <x:c r="AN23" s="52" t="str">
        <x:v>protection remains safe without cloud control</x:v>
      </x:c>
    </x:row>
    <x:row r="24">
      <x:c r="B24" s="66" t="str">
        <x:v>A1</x:v>
      </x:c>
      <x:c r="C24" s="66" t="str">
        <x:v>I17</x:v>
      </x:c>
      <x:c r="D24" s="66" t="str">
        <x:v>One communications path lost</x:v>
      </x:c>
      <x:c r="E24" s="66" t="n">
        <x:v>0</x:v>
      </x:c>
      <x:c r="F24" s="66" t="n">
        <x:v>0</x:v>
      </x:c>
      <x:c r="G24" s="66" t="n">
        <x:v>0</x:v>
      </x:c>
      <x:c r="H24" s="66" t="n">
        <x:v>0</x:v>
      </x:c>
      <x:c r="I24" s="66" t="n">
        <x:v>0</x:v>
      </x:c>
      <x:c r="J24" s="80" t="n">
        <x:v>1</x:v>
      </x:c>
      <x:c r="K24" s="66" t="n">
        <x:v>0</x:v>
      </x:c>
      <x:c r="L24" s="66" t="n">
        <x:v>0</x:v>
      </x:c>
      <x:c r="M24" s="66" t="n">
        <x:v>0</x:v>
      </x:c>
      <x:c r="N24" s="66" t="n">
        <x:v>0</x:v>
      </x:c>
      <x:c r="O24" s="66" t="n">
        <x:v>0</x:v>
      </x:c>
      <x:c r="P24" s="66" t="n">
        <x:v>0</x:v>
      </x:c>
      <x:c r="Q24" s="66" t="n">
        <x:v>1</x:v>
      </x:c>
      <x:c r="R24" s="80" t="n">
        <x:v>0</x:v>
      </x:c>
      <x:c r="S24" s="66" t="n">
        <x:v>0</x:v>
      </x:c>
      <x:c r="T24" s="66" t="n">
        <x:v>0</x:v>
      </x:c>
      <x:c r="U24" s="66" t="n">
        <x:v>0</x:v>
      </x:c>
      <x:c r="V24" s="66" t="n">
        <x:v>0</x:v>
      </x:c>
      <x:c r="W24" s="66" t="n">
        <x:v>0</x:v>
      </x:c>
      <x:c r="X24" s="81" t="n">
        <x:f>MIN(1,IF(E24=1,'Island Architectures'!$G$8,'Island Architectures'!$D$8)*(1-F24/'Island Architectures'!$E$8)*(1-G24/'Island Architectures'!$F$8)*IF(H24&lt;'Island Architectures'!$H$8,1,0))</x:f>
        <x:v>1</x:v>
      </x:c>
      <x:c r="Y24" s="81" t="n">
        <x:f>MIN(1,'Island Architectures'!$I$8*(1-I24/'Island Architectures'!$J$8)*J24)</x:f>
        <x:v>1</x:v>
      </x:c>
      <x:c r="Z24" s="81" t="n">
        <x:f>MIN(1,'Island Architectures'!$K$8*(1-K24/'Island Architectures'!$L$8))</x:f>
        <x:v>1</x:v>
      </x:c>
      <x:c r="AA24" s="81" t="n">
        <x:f>MIN(1,'Island Architectures'!$M$8*(1-L24/'Island Architectures'!$N$8))</x:f>
        <x:v>1</x:v>
      </x:c>
      <x:c r="AB24" s="81" t="n">
        <x:f>MIN(1,'Island Architectures'!$O$8*(1-M24/'Island Architectures'!$P$8))</x:f>
        <x:v>1</x:v>
      </x:c>
      <x:c r="AC24" s="81" t="n">
        <x:f>MIN(1,'Island Architectures'!$Q$8*(1-N24/'Island Architectures'!$R$8))</x:f>
        <x:v>1</x:v>
      </x:c>
      <x:c r="AD24" s="81" t="n">
        <x:f>MIN(1,'Island Architectures'!$Q$8*(1-O24/'Island Architectures'!$S$8))</x:f>
        <x:v>1</x:v>
      </x:c>
      <x:c r="AE24" s="81" t="n">
        <x:f>MIN(1,'Island Architectures'!$T$8*(1-P24/'Island Architectures'!$U$8))</x:f>
        <x:v>1</x:v>
      </x:c>
      <x:c r="AF24" s="81" t="n">
        <x:f>MIN(1,'Island Architectures'!$V$8*(1-Q24/'Island Architectures'!$W$8))</x:f>
        <x:v>0</x:v>
      </x:c>
      <x:c r="AG24" s="81" t="n">
        <x:f>MIN(1,'Island Architectures'!$X$8*(1-R24)*(1-S24/'Island Architectures'!$Y$8))</x:f>
        <x:v>1</x:v>
      </x:c>
      <x:c r="AH24" s="81" t="n">
        <x:f>IF(T24&lt;'Island Architectures'!$Z$8,1,0)</x:f>
        <x:v>1</x:v>
      </x:c>
      <x:c r="AI24" s="81" t="n">
        <x:f>MIN(1,'Island Architectures'!$AA$8*(1-U24/'Island Architectures'!$AB$8))</x:f>
        <x:v>1</x:v>
      </x:c>
      <x:c r="AJ24" s="81" t="n">
        <x:f>IF(V24=1,MIN(1,'Island Architectures'!$AD$8/Assumptions!$C$10),1)</x:f>
        <x:v>1</x:v>
      </x:c>
      <x:c r="AK24" s="81" t="n">
        <x:f>IF(W24=1,'Island Architectures'!$AC$8,1)</x:f>
        <x:v>1</x:v>
      </x:c>
      <x:c r="AL24" s="81" t="n">
        <x:f>MIN(X24:AK24)</x:f>
        <x:v>0</x:v>
      </x:c>
      <x:c r="AM24" s="70" t="str">
        <x:f>IF(AL24&gt;=Assumptions!$C$9,"PASS","FAIL")</x:f>
        <x:v>FAIL</x:v>
      </x:c>
      <x:c r="AN24" s="52" t="str">
        <x:v>voice, data and evidence paths remain</x:v>
      </x:c>
    </x:row>
    <x:row r="25">
      <x:c r="B25" s="66" t="str">
        <x:v>A1</x:v>
      </x:c>
      <x:c r="C25" s="66" t="str">
        <x:v>I18</x:v>
      </x:c>
      <x:c r="D25" s="66" t="str">
        <x:v>Twenty-five percent workforce loss</x:v>
      </x:c>
      <x:c r="E25" s="66" t="n">
        <x:v>0</x:v>
      </x:c>
      <x:c r="F25" s="66" t="n">
        <x:v>0</x:v>
      </x:c>
      <x:c r="G25" s="66" t="n">
        <x:v>0</x:v>
      </x:c>
      <x:c r="H25" s="66" t="n">
        <x:v>0</x:v>
      </x:c>
      <x:c r="I25" s="66" t="n">
        <x:v>0</x:v>
      </x:c>
      <x:c r="J25" s="80" t="n">
        <x:v>1</x:v>
      </x:c>
      <x:c r="K25" s="66" t="n">
        <x:v>0</x:v>
      </x:c>
      <x:c r="L25" s="66" t="n">
        <x:v>0</x:v>
      </x:c>
      <x:c r="M25" s="66" t="n">
        <x:v>0</x:v>
      </x:c>
      <x:c r="N25" s="66" t="n">
        <x:v>0</x:v>
      </x:c>
      <x:c r="O25" s="66" t="n">
        <x:v>0</x:v>
      </x:c>
      <x:c r="P25" s="66" t="n">
        <x:v>0</x:v>
      </x:c>
      <x:c r="Q25" s="66" t="n">
        <x:v>0</x:v>
      </x:c>
      <x:c r="R25" s="80" t="n">
        <x:v>0.25</x:v>
      </x:c>
      <x:c r="S25" s="66" t="n">
        <x:v>0</x:v>
      </x:c>
      <x:c r="T25" s="66" t="n">
        <x:v>0</x:v>
      </x:c>
      <x:c r="U25" s="66" t="n">
        <x:v>0</x:v>
      </x:c>
      <x:c r="V25" s="66" t="n">
        <x:v>0</x:v>
      </x:c>
      <x:c r="W25" s="66" t="n">
        <x:v>0</x:v>
      </x:c>
      <x:c r="X25" s="81" t="n">
        <x:f>MIN(1,IF(E25=1,'Island Architectures'!$G$8,'Island Architectures'!$D$8)*(1-F25/'Island Architectures'!$E$8)*(1-G25/'Island Architectures'!$F$8)*IF(H25&lt;'Island Architectures'!$H$8,1,0))</x:f>
        <x:v>1</x:v>
      </x:c>
      <x:c r="Y25" s="81" t="n">
        <x:f>MIN(1,'Island Architectures'!$I$8*(1-I25/'Island Architectures'!$J$8)*J25)</x:f>
        <x:v>1</x:v>
      </x:c>
      <x:c r="Z25" s="81" t="n">
        <x:f>MIN(1,'Island Architectures'!$K$8*(1-K25/'Island Architectures'!$L$8))</x:f>
        <x:v>1</x:v>
      </x:c>
      <x:c r="AA25" s="81" t="n">
        <x:f>MIN(1,'Island Architectures'!$M$8*(1-L25/'Island Architectures'!$N$8))</x:f>
        <x:v>1</x:v>
      </x:c>
      <x:c r="AB25" s="81" t="n">
        <x:f>MIN(1,'Island Architectures'!$O$8*(1-M25/'Island Architectures'!$P$8))</x:f>
        <x:v>1</x:v>
      </x:c>
      <x:c r="AC25" s="81" t="n">
        <x:f>MIN(1,'Island Architectures'!$Q$8*(1-N25/'Island Architectures'!$R$8))</x:f>
        <x:v>1</x:v>
      </x:c>
      <x:c r="AD25" s="81" t="n">
        <x:f>MIN(1,'Island Architectures'!$Q$8*(1-O25/'Island Architectures'!$S$8))</x:f>
        <x:v>1</x:v>
      </x:c>
      <x:c r="AE25" s="81" t="n">
        <x:f>MIN(1,'Island Architectures'!$T$8*(1-P25/'Island Architectures'!$U$8))</x:f>
        <x:v>1</x:v>
      </x:c>
      <x:c r="AF25" s="81" t="n">
        <x:f>MIN(1,'Island Architectures'!$V$8*(1-Q25/'Island Architectures'!$W$8))</x:f>
        <x:v>1</x:v>
      </x:c>
      <x:c r="AG25" s="81" t="n">
        <x:f>MIN(1,'Island Architectures'!$X$8*(1-R25)*(1-S25/'Island Architectures'!$Y$8))</x:f>
        <x:v>0.7875000000000001</x:v>
      </x:c>
      <x:c r="AH25" s="81" t="n">
        <x:f>IF(T25&lt;'Island Architectures'!$Z$8,1,0)</x:f>
        <x:v>1</x:v>
      </x:c>
      <x:c r="AI25" s="81" t="n">
        <x:f>MIN(1,'Island Architectures'!$AA$8*(1-U25/'Island Architectures'!$AB$8))</x:f>
        <x:v>1</x:v>
      </x:c>
      <x:c r="AJ25" s="81" t="n">
        <x:f>IF(V25=1,MIN(1,'Island Architectures'!$AD$8/Assumptions!$C$10),1)</x:f>
        <x:v>1</x:v>
      </x:c>
      <x:c r="AK25" s="81" t="n">
        <x:f>IF(W25=1,'Island Architectures'!$AC$8,1)</x:f>
        <x:v>1</x:v>
      </x:c>
      <x:c r="AL25" s="81" t="n">
        <x:f>MIN(X25:AK25)</x:f>
        <x:v>0.7875000000000001</x:v>
      </x:c>
      <x:c r="AM25" s="70" t="str">
        <x:f>IF(AL25&gt;=Assumptions!$C$9,"PASS","FAIL")</x:f>
        <x:v>FAIL</x:v>
      </x:c>
      <x:c r="AN25" s="52" t="str">
        <x:v>illness, access and household obligations</x:v>
      </x:c>
    </x:row>
    <x:row r="26">
      <x:c r="B26" s="66" t="str">
        <x:v>A1</x:v>
      </x:c>
      <x:c r="C26" s="66" t="str">
        <x:v>I19</x:v>
      </x:c>
      <x:c r="D26" s="66" t="str">
        <x:v>One workforce lineage lost</x:v>
      </x:c>
      <x:c r="E26" s="66" t="n">
        <x:v>0</x:v>
      </x:c>
      <x:c r="F26" s="66" t="n">
        <x:v>0</x:v>
      </x:c>
      <x:c r="G26" s="66" t="n">
        <x:v>0</x:v>
      </x:c>
      <x:c r="H26" s="66" t="n">
        <x:v>0</x:v>
      </x:c>
      <x:c r="I26" s="66" t="n">
        <x:v>0</x:v>
      </x:c>
      <x:c r="J26" s="80" t="n">
        <x:v>1</x:v>
      </x:c>
      <x:c r="K26" s="66" t="n">
        <x:v>0</x:v>
      </x:c>
      <x:c r="L26" s="66" t="n">
        <x:v>0</x:v>
      </x:c>
      <x:c r="M26" s="66" t="n">
        <x:v>0</x:v>
      </x:c>
      <x:c r="N26" s="66" t="n">
        <x:v>0</x:v>
      </x:c>
      <x:c r="O26" s="66" t="n">
        <x:v>0</x:v>
      </x:c>
      <x:c r="P26" s="66" t="n">
        <x:v>0</x:v>
      </x:c>
      <x:c r="Q26" s="66" t="n">
        <x:v>0</x:v>
      </x:c>
      <x:c r="R26" s="80" t="n">
        <x:v>0</x:v>
      </x:c>
      <x:c r="S26" s="66" t="n">
        <x:v>1</x:v>
      </x:c>
      <x:c r="T26" s="66" t="n">
        <x:v>0</x:v>
      </x:c>
      <x:c r="U26" s="66" t="n">
        <x:v>0</x:v>
      </x:c>
      <x:c r="V26" s="66" t="n">
        <x:v>0</x:v>
      </x:c>
      <x:c r="W26" s="66" t="n">
        <x:v>0</x:v>
      </x:c>
      <x:c r="X26" s="81" t="n">
        <x:f>MIN(1,IF(E26=1,'Island Architectures'!$G$8,'Island Architectures'!$D$8)*(1-F26/'Island Architectures'!$E$8)*(1-G26/'Island Architectures'!$F$8)*IF(H26&lt;'Island Architectures'!$H$8,1,0))</x:f>
        <x:v>1</x:v>
      </x:c>
      <x:c r="Y26" s="81" t="n">
        <x:f>MIN(1,'Island Architectures'!$I$8*(1-I26/'Island Architectures'!$J$8)*J26)</x:f>
        <x:v>1</x:v>
      </x:c>
      <x:c r="Z26" s="81" t="n">
        <x:f>MIN(1,'Island Architectures'!$K$8*(1-K26/'Island Architectures'!$L$8))</x:f>
        <x:v>1</x:v>
      </x:c>
      <x:c r="AA26" s="81" t="n">
        <x:f>MIN(1,'Island Architectures'!$M$8*(1-L26/'Island Architectures'!$N$8))</x:f>
        <x:v>1</x:v>
      </x:c>
      <x:c r="AB26" s="81" t="n">
        <x:f>MIN(1,'Island Architectures'!$O$8*(1-M26/'Island Architectures'!$P$8))</x:f>
        <x:v>1</x:v>
      </x:c>
      <x:c r="AC26" s="81" t="n">
        <x:f>MIN(1,'Island Architectures'!$Q$8*(1-N26/'Island Architectures'!$R$8))</x:f>
        <x:v>1</x:v>
      </x:c>
      <x:c r="AD26" s="81" t="n">
        <x:f>MIN(1,'Island Architectures'!$Q$8*(1-O26/'Island Architectures'!$S$8))</x:f>
        <x:v>1</x:v>
      </x:c>
      <x:c r="AE26" s="81" t="n">
        <x:f>MIN(1,'Island Architectures'!$T$8*(1-P26/'Island Architectures'!$U$8))</x:f>
        <x:v>1</x:v>
      </x:c>
      <x:c r="AF26" s="81" t="n">
        <x:f>MIN(1,'Island Architectures'!$V$8*(1-Q26/'Island Architectures'!$W$8))</x:f>
        <x:v>1</x:v>
      </x:c>
      <x:c r="AG26" s="81" t="n">
        <x:f>MIN(1,'Island Architectures'!$X$8*(1-R26)*(1-S26/'Island Architectures'!$Y$8))</x:f>
        <x:v>0</x:v>
      </x:c>
      <x:c r="AH26" s="81" t="n">
        <x:f>IF(T26&lt;'Island Architectures'!$Z$8,1,0)</x:f>
        <x:v>1</x:v>
      </x:c>
      <x:c r="AI26" s="81" t="n">
        <x:f>MIN(1,'Island Architectures'!$AA$8*(1-U26/'Island Architectures'!$AB$8))</x:f>
        <x:v>1</x:v>
      </x:c>
      <x:c r="AJ26" s="81" t="n">
        <x:f>IF(V26=1,MIN(1,'Island Architectures'!$AD$8/Assumptions!$C$10),1)</x:f>
        <x:v>1</x:v>
      </x:c>
      <x:c r="AK26" s="81" t="n">
        <x:f>IF(W26=1,'Island Architectures'!$AC$8,1)</x:f>
        <x:v>1</x:v>
      </x:c>
      <x:c r="AL26" s="81" t="n">
        <x:f>MIN(X26:AK26)</x:f>
        <x:v>0</x:v>
      </x:c>
      <x:c r="AM26" s="70" t="str">
        <x:f>IF(AL26&gt;=Assumptions!$C$9,"PASS","FAIL")</x:f>
        <x:v>FAIL</x:v>
      </x:c>
      <x:c r="AN26" s="52" t="str">
        <x:v>one school or credential chain unavailable</x:v>
      </x:c>
    </x:row>
    <x:row r="27">
      <x:c r="B27" s="66" t="str">
        <x:v>A1</x:v>
      </x:c>
      <x:c r="C27" s="66" t="str">
        <x:v>I20</x:v>
      </x:c>
      <x:c r="D27" s="66" t="str">
        <x:v>One civil-release path lost</x:v>
      </x:c>
      <x:c r="E27" s="66" t="n">
        <x:v>0</x:v>
      </x:c>
      <x:c r="F27" s="66" t="n">
        <x:v>0</x:v>
      </x:c>
      <x:c r="G27" s="66" t="n">
        <x:v>0</x:v>
      </x:c>
      <x:c r="H27" s="66" t="n">
        <x:v>0</x:v>
      </x:c>
      <x:c r="I27" s="66" t="n">
        <x:v>0</x:v>
      </x:c>
      <x:c r="J27" s="80" t="n">
        <x:v>1</x:v>
      </x:c>
      <x:c r="K27" s="66" t="n">
        <x:v>0</x:v>
      </x:c>
      <x:c r="L27" s="66" t="n">
        <x:v>0</x:v>
      </x:c>
      <x:c r="M27" s="66" t="n">
        <x:v>0</x:v>
      </x:c>
      <x:c r="N27" s="66" t="n">
        <x:v>0</x:v>
      </x:c>
      <x:c r="O27" s="66" t="n">
        <x:v>0</x:v>
      </x:c>
      <x:c r="P27" s="66" t="n">
        <x:v>0</x:v>
      </x:c>
      <x:c r="Q27" s="66" t="n">
        <x:v>0</x:v>
      </x:c>
      <x:c r="R27" s="80" t="n">
        <x:v>0</x:v>
      </x:c>
      <x:c r="S27" s="66" t="n">
        <x:v>0</x:v>
      </x:c>
      <x:c r="T27" s="66" t="n">
        <x:v>1</x:v>
      </x:c>
      <x:c r="U27" s="66" t="n">
        <x:v>0</x:v>
      </x:c>
      <x:c r="V27" s="66" t="n">
        <x:v>0</x:v>
      </x:c>
      <x:c r="W27" s="66" t="n">
        <x:v>0</x:v>
      </x:c>
      <x:c r="X27" s="81" t="n">
        <x:f>MIN(1,IF(E27=1,'Island Architectures'!$G$8,'Island Architectures'!$D$8)*(1-F27/'Island Architectures'!$E$8)*(1-G27/'Island Architectures'!$F$8)*IF(H27&lt;'Island Architectures'!$H$8,1,0))</x:f>
        <x:v>1</x:v>
      </x:c>
      <x:c r="Y27" s="81" t="n">
        <x:f>MIN(1,'Island Architectures'!$I$8*(1-I27/'Island Architectures'!$J$8)*J27)</x:f>
        <x:v>1</x:v>
      </x:c>
      <x:c r="Z27" s="81" t="n">
        <x:f>MIN(1,'Island Architectures'!$K$8*(1-K27/'Island Architectures'!$L$8))</x:f>
        <x:v>1</x:v>
      </x:c>
      <x:c r="AA27" s="81" t="n">
        <x:f>MIN(1,'Island Architectures'!$M$8*(1-L27/'Island Architectures'!$N$8))</x:f>
        <x:v>1</x:v>
      </x:c>
      <x:c r="AB27" s="81" t="n">
        <x:f>MIN(1,'Island Architectures'!$O$8*(1-M27/'Island Architectures'!$P$8))</x:f>
        <x:v>1</x:v>
      </x:c>
      <x:c r="AC27" s="81" t="n">
        <x:f>MIN(1,'Island Architectures'!$Q$8*(1-N27/'Island Architectures'!$R$8))</x:f>
        <x:v>1</x:v>
      </x:c>
      <x:c r="AD27" s="81" t="n">
        <x:f>MIN(1,'Island Architectures'!$Q$8*(1-O27/'Island Architectures'!$S$8))</x:f>
        <x:v>1</x:v>
      </x:c>
      <x:c r="AE27" s="81" t="n">
        <x:f>MIN(1,'Island Architectures'!$T$8*(1-P27/'Island Architectures'!$U$8))</x:f>
        <x:v>1</x:v>
      </x:c>
      <x:c r="AF27" s="81" t="n">
        <x:f>MIN(1,'Island Architectures'!$V$8*(1-Q27/'Island Architectures'!$W$8))</x:f>
        <x:v>1</x:v>
      </x:c>
      <x:c r="AG27" s="81" t="n">
        <x:f>MIN(1,'Island Architectures'!$X$8*(1-R27)*(1-S27/'Island Architectures'!$Y$8))</x:f>
        <x:v>1</x:v>
      </x:c>
      <x:c r="AH27" s="81" t="n">
        <x:f>IF(T27&lt;'Island Architectures'!$Z$8,1,0)</x:f>
        <x:v>0</x:v>
      </x:c>
      <x:c r="AI27" s="81" t="n">
        <x:f>MIN(1,'Island Architectures'!$AA$8*(1-U27/'Island Architectures'!$AB$8))</x:f>
        <x:v>1</x:v>
      </x:c>
      <x:c r="AJ27" s="81" t="n">
        <x:f>IF(V27=1,MIN(1,'Island Architectures'!$AD$8/Assumptions!$C$10),1)</x:f>
        <x:v>1</x:v>
      </x:c>
      <x:c r="AK27" s="81" t="n">
        <x:f>IF(W27=1,'Island Architectures'!$AC$8,1)</x:f>
        <x:v>1</x:v>
      </x:c>
      <x:c r="AL27" s="81" t="n">
        <x:f>MIN(X27:AK27)</x:f>
        <x:v>0</x:v>
      </x:c>
      <x:c r="AM27" s="70" t="str">
        <x:f>IF(AL27&gt;=Assumptions!$C$9,"PASS","FAIL")</x:f>
        <x:v>FAIL</x:v>
      </x:c>
      <x:c r="AN27" s="52" t="str">
        <x:v>safe equipment still needs lawful release</x:v>
      </x:c>
    </x:row>
    <x:row r="28">
      <x:c r="B28" s="66" t="str">
        <x:v>A1</x:v>
      </x:c>
      <x:c r="C28" s="66" t="str">
        <x:v>I21</x:v>
      </x:c>
      <x:c r="D28" s="66" t="str">
        <x:v>Largest supplier lineage lost</x:v>
      </x:c>
      <x:c r="E28" s="66" t="n">
        <x:v>0</x:v>
      </x:c>
      <x:c r="F28" s="66" t="n">
        <x:v>0</x:v>
      </x:c>
      <x:c r="G28" s="66" t="n">
        <x:v>0</x:v>
      </x:c>
      <x:c r="H28" s="66" t="n">
        <x:v>0</x:v>
      </x:c>
      <x:c r="I28" s="66" t="n">
        <x:v>0</x:v>
      </x:c>
      <x:c r="J28" s="80" t="n">
        <x:v>1</x:v>
      </x:c>
      <x:c r="K28" s="66" t="n">
        <x:v>0</x:v>
      </x:c>
      <x:c r="L28" s="66" t="n">
        <x:v>0</x:v>
      </x:c>
      <x:c r="M28" s="66" t="n">
        <x:v>0</x:v>
      </x:c>
      <x:c r="N28" s="66" t="n">
        <x:v>0</x:v>
      </x:c>
      <x:c r="O28" s="66" t="n">
        <x:v>0</x:v>
      </x:c>
      <x:c r="P28" s="66" t="n">
        <x:v>0</x:v>
      </x:c>
      <x:c r="Q28" s="66" t="n">
        <x:v>0</x:v>
      </x:c>
      <x:c r="R28" s="80" t="n">
        <x:v>0</x:v>
      </x:c>
      <x:c r="S28" s="66" t="n">
        <x:v>0</x:v>
      </x:c>
      <x:c r="T28" s="66" t="n">
        <x:v>0</x:v>
      </x:c>
      <x:c r="U28" s="66" t="n">
        <x:v>1</x:v>
      </x:c>
      <x:c r="V28" s="66" t="n">
        <x:v>0</x:v>
      </x:c>
      <x:c r="W28" s="66" t="n">
        <x:v>0</x:v>
      </x:c>
      <x:c r="X28" s="81" t="n">
        <x:f>MIN(1,IF(E28=1,'Island Architectures'!$G$8,'Island Architectures'!$D$8)*(1-F28/'Island Architectures'!$E$8)*(1-G28/'Island Architectures'!$F$8)*IF(H28&lt;'Island Architectures'!$H$8,1,0))</x:f>
        <x:v>1</x:v>
      </x:c>
      <x:c r="Y28" s="81" t="n">
        <x:f>MIN(1,'Island Architectures'!$I$8*(1-I28/'Island Architectures'!$J$8)*J28)</x:f>
        <x:v>1</x:v>
      </x:c>
      <x:c r="Z28" s="81" t="n">
        <x:f>MIN(1,'Island Architectures'!$K$8*(1-K28/'Island Architectures'!$L$8))</x:f>
        <x:v>1</x:v>
      </x:c>
      <x:c r="AA28" s="81" t="n">
        <x:f>MIN(1,'Island Architectures'!$M$8*(1-L28/'Island Architectures'!$N$8))</x:f>
        <x:v>1</x:v>
      </x:c>
      <x:c r="AB28" s="81" t="n">
        <x:f>MIN(1,'Island Architectures'!$O$8*(1-M28/'Island Architectures'!$P$8))</x:f>
        <x:v>1</x:v>
      </x:c>
      <x:c r="AC28" s="81" t="n">
        <x:f>MIN(1,'Island Architectures'!$Q$8*(1-N28/'Island Architectures'!$R$8))</x:f>
        <x:v>1</x:v>
      </x:c>
      <x:c r="AD28" s="81" t="n">
        <x:f>MIN(1,'Island Architectures'!$Q$8*(1-O28/'Island Architectures'!$S$8))</x:f>
        <x:v>1</x:v>
      </x:c>
      <x:c r="AE28" s="81" t="n">
        <x:f>MIN(1,'Island Architectures'!$T$8*(1-P28/'Island Architectures'!$U$8))</x:f>
        <x:v>1</x:v>
      </x:c>
      <x:c r="AF28" s="81" t="n">
        <x:f>MIN(1,'Island Architectures'!$V$8*(1-Q28/'Island Architectures'!$W$8))</x:f>
        <x:v>1</x:v>
      </x:c>
      <x:c r="AG28" s="81" t="n">
        <x:f>MIN(1,'Island Architectures'!$X$8*(1-R28)*(1-S28/'Island Architectures'!$Y$8))</x:f>
        <x:v>1</x:v>
      </x:c>
      <x:c r="AH28" s="81" t="n">
        <x:f>IF(T28&lt;'Island Architectures'!$Z$8,1,0)</x:f>
        <x:v>1</x:v>
      </x:c>
      <x:c r="AI28" s="81" t="n">
        <x:f>MIN(1,'Island Architectures'!$AA$8*(1-U28/'Island Architectures'!$AB$8))</x:f>
        <x:v>0</x:v>
      </x:c>
      <x:c r="AJ28" s="81" t="n">
        <x:f>IF(V28=1,MIN(1,'Island Architectures'!$AD$8/Assumptions!$C$10),1)</x:f>
        <x:v>1</x:v>
      </x:c>
      <x:c r="AK28" s="81" t="n">
        <x:f>IF(W28=1,'Island Architectures'!$AC$8,1)</x:f>
        <x:v>1</x:v>
      </x:c>
      <x:c r="AL28" s="81" t="n">
        <x:f>MIN(X28:AK28)</x:f>
        <x:v>0</x:v>
      </x:c>
      <x:c r="AM28" s="70" t="str">
        <x:f>IF(AL28&gt;=Assumptions!$C$9,"PASS","FAIL")</x:f>
        <x:v>FAIL</x:v>
      </x:c>
      <x:c r="AN28" s="52" t="str">
        <x:v>upstream material, software or factory removal</x:v>
      </x:c>
    </x:row>
    <x:row r="29">
      <x:c r="B29" s="66" t="str">
        <x:v>A1</x:v>
      </x:c>
      <x:c r="C29" s="66" t="str">
        <x:v>I22</x:v>
      </x:c>
      <x:c r="D29" s="66" t="str">
        <x:v>Seven-day external logistics denial</x:v>
      </x:c>
      <x:c r="E29" s="66" t="n">
        <x:v>0</x:v>
      </x:c>
      <x:c r="F29" s="66" t="n">
        <x:v>0</x:v>
      </x:c>
      <x:c r="G29" s="66" t="n">
        <x:v>0</x:v>
      </x:c>
      <x:c r="H29" s="66" t="n">
        <x:v>0</x:v>
      </x:c>
      <x:c r="I29" s="66" t="n">
        <x:v>0</x:v>
      </x:c>
      <x:c r="J29" s="80" t="n">
        <x:v>1</x:v>
      </x:c>
      <x:c r="K29" s="66" t="n">
        <x:v>0</x:v>
      </x:c>
      <x:c r="L29" s="66" t="n">
        <x:v>0</x:v>
      </x:c>
      <x:c r="M29" s="66" t="n">
        <x:v>0</x:v>
      </x:c>
      <x:c r="N29" s="66" t="n">
        <x:v>0</x:v>
      </x:c>
      <x:c r="O29" s="66" t="n">
        <x:v>0</x:v>
      </x:c>
      <x:c r="P29" s="66" t="n">
        <x:v>0</x:v>
      </x:c>
      <x:c r="Q29" s="66" t="n">
        <x:v>0</x:v>
      </x:c>
      <x:c r="R29" s="80" t="n">
        <x:v>0</x:v>
      </x:c>
      <x:c r="S29" s="66" t="n">
        <x:v>0</x:v>
      </x:c>
      <x:c r="T29" s="66" t="n">
        <x:v>0</x:v>
      </x:c>
      <x:c r="U29" s="66" t="n">
        <x:v>0</x:v>
      </x:c>
      <x:c r="V29" s="66" t="n">
        <x:v>1</x:v>
      </x:c>
      <x:c r="W29" s="66" t="n">
        <x:v>0</x:v>
      </x:c>
      <x:c r="X29" s="81" t="n">
        <x:f>MIN(1,IF(E29=1,'Island Architectures'!$G$8,'Island Architectures'!$D$8)*(1-F29/'Island Architectures'!$E$8)*(1-G29/'Island Architectures'!$F$8)*IF(H29&lt;'Island Architectures'!$H$8,1,0))</x:f>
        <x:v>1</x:v>
      </x:c>
      <x:c r="Y29" s="81" t="n">
        <x:f>MIN(1,'Island Architectures'!$I$8*(1-I29/'Island Architectures'!$J$8)*J29)</x:f>
        <x:v>1</x:v>
      </x:c>
      <x:c r="Z29" s="81" t="n">
        <x:f>MIN(1,'Island Architectures'!$K$8*(1-K29/'Island Architectures'!$L$8))</x:f>
        <x:v>1</x:v>
      </x:c>
      <x:c r="AA29" s="81" t="n">
        <x:f>MIN(1,'Island Architectures'!$M$8*(1-L29/'Island Architectures'!$N$8))</x:f>
        <x:v>1</x:v>
      </x:c>
      <x:c r="AB29" s="81" t="n">
        <x:f>MIN(1,'Island Architectures'!$O$8*(1-M29/'Island Architectures'!$P$8))</x:f>
        <x:v>1</x:v>
      </x:c>
      <x:c r="AC29" s="81" t="n">
        <x:f>MIN(1,'Island Architectures'!$Q$8*(1-N29/'Island Architectures'!$R$8))</x:f>
        <x:v>1</x:v>
      </x:c>
      <x:c r="AD29" s="81" t="n">
        <x:f>MIN(1,'Island Architectures'!$Q$8*(1-O29/'Island Architectures'!$S$8))</x:f>
        <x:v>1</x:v>
      </x:c>
      <x:c r="AE29" s="81" t="n">
        <x:f>MIN(1,'Island Architectures'!$T$8*(1-P29/'Island Architectures'!$U$8))</x:f>
        <x:v>1</x:v>
      </x:c>
      <x:c r="AF29" s="81" t="n">
        <x:f>MIN(1,'Island Architectures'!$V$8*(1-Q29/'Island Architectures'!$W$8))</x:f>
        <x:v>1</x:v>
      </x:c>
      <x:c r="AG29" s="81" t="n">
        <x:f>MIN(1,'Island Architectures'!$X$8*(1-R29)*(1-S29/'Island Architectures'!$Y$8))</x:f>
        <x:v>1</x:v>
      </x:c>
      <x:c r="AH29" s="81" t="n">
        <x:f>IF(T29&lt;'Island Architectures'!$Z$8,1,0)</x:f>
        <x:v>1</x:v>
      </x:c>
      <x:c r="AI29" s="81" t="n">
        <x:f>MIN(1,'Island Architectures'!$AA$8*(1-U29/'Island Architectures'!$AB$8))</x:f>
        <x:v>1</x:v>
      </x:c>
      <x:c r="AJ29" s="81" t="n">
        <x:f>IF(V29=1,MIN(1,'Island Architectures'!$AD$8/Assumptions!$C$10),1)</x:f>
        <x:v>0.14285714285714285</x:v>
      </x:c>
      <x:c r="AK29" s="81" t="n">
        <x:f>IF(W29=1,'Island Architectures'!$AC$8,1)</x:f>
        <x:v>1</x:v>
      </x:c>
      <x:c r="AL29" s="81" t="n">
        <x:f>MIN(X29:AK29)</x:f>
        <x:v>0.14285714285714285</x:v>
      </x:c>
      <x:c r="AM29" s="70" t="str">
        <x:f>IF(AL29&gt;=Assumptions!$C$9,"PASS","FAIL")</x:f>
        <x:v>FAIL</x:v>
      </x:c>
      <x:c r="AN29" s="52" t="str">
        <x:v>fixed inventory must be an operating system</x:v>
      </x:c>
    </x:row>
    <x:row r="30">
      <x:c r="B30" s="66" t="str">
        <x:v>A1</x:v>
      </x:c>
      <x:c r="C30" s="66" t="str">
        <x:v>I23</x:v>
      </x:c>
      <x:c r="D30" s="66" t="str">
        <x:v>Second mission begins on day three</x:v>
      </x:c>
      <x:c r="E30" s="66" t="n">
        <x:v>0</x:v>
      </x:c>
      <x:c r="F30" s="66" t="n">
        <x:v>0</x:v>
      </x:c>
      <x:c r="G30" s="66" t="n">
        <x:v>0</x:v>
      </x:c>
      <x:c r="H30" s="66" t="n">
        <x:v>0</x:v>
      </x:c>
      <x:c r="I30" s="66" t="n">
        <x:v>0</x:v>
      </x:c>
      <x:c r="J30" s="80" t="n">
        <x:v>1</x:v>
      </x:c>
      <x:c r="K30" s="66" t="n">
        <x:v>0</x:v>
      </x:c>
      <x:c r="L30" s="66" t="n">
        <x:v>0</x:v>
      </x:c>
      <x:c r="M30" s="66" t="n">
        <x:v>0</x:v>
      </x:c>
      <x:c r="N30" s="66" t="n">
        <x:v>0</x:v>
      </x:c>
      <x:c r="O30" s="66" t="n">
        <x:v>0</x:v>
      </x:c>
      <x:c r="P30" s="66" t="n">
        <x:v>0</x:v>
      </x:c>
      <x:c r="Q30" s="66" t="n">
        <x:v>0</x:v>
      </x:c>
      <x:c r="R30" s="80" t="n">
        <x:v>0</x:v>
      </x:c>
      <x:c r="S30" s="66" t="n">
        <x:v>0</x:v>
      </x:c>
      <x:c r="T30" s="66" t="n">
        <x:v>0</x:v>
      </x:c>
      <x:c r="U30" s="66" t="n">
        <x:v>0</x:v>
      </x:c>
      <x:c r="V30" s="66" t="n">
        <x:v>0</x:v>
      </x:c>
      <x:c r="W30" s="66" t="n">
        <x:v>1</x:v>
      </x:c>
      <x:c r="X30" s="81" t="n">
        <x:f>MIN(1,IF(E30=1,'Island Architectures'!$G$8,'Island Architectures'!$D$8)*(1-F30/'Island Architectures'!$E$8)*(1-G30/'Island Architectures'!$F$8)*IF(H30&lt;'Island Architectures'!$H$8,1,0))</x:f>
        <x:v>1</x:v>
      </x:c>
      <x:c r="Y30" s="81" t="n">
        <x:f>MIN(1,'Island Architectures'!$I$8*(1-I30/'Island Architectures'!$J$8)*J30)</x:f>
        <x:v>1</x:v>
      </x:c>
      <x:c r="Z30" s="81" t="n">
        <x:f>MIN(1,'Island Architectures'!$K$8*(1-K30/'Island Architectures'!$L$8))</x:f>
        <x:v>1</x:v>
      </x:c>
      <x:c r="AA30" s="81" t="n">
        <x:f>MIN(1,'Island Architectures'!$M$8*(1-L30/'Island Architectures'!$N$8))</x:f>
        <x:v>1</x:v>
      </x:c>
      <x:c r="AB30" s="81" t="n">
        <x:f>MIN(1,'Island Architectures'!$O$8*(1-M30/'Island Architectures'!$P$8))</x:f>
        <x:v>1</x:v>
      </x:c>
      <x:c r="AC30" s="81" t="n">
        <x:f>MIN(1,'Island Architectures'!$Q$8*(1-N30/'Island Architectures'!$R$8))</x:f>
        <x:v>1</x:v>
      </x:c>
      <x:c r="AD30" s="81" t="n">
        <x:f>MIN(1,'Island Architectures'!$Q$8*(1-O30/'Island Architectures'!$S$8))</x:f>
        <x:v>1</x:v>
      </x:c>
      <x:c r="AE30" s="81" t="n">
        <x:f>MIN(1,'Island Architectures'!$T$8*(1-P30/'Island Architectures'!$U$8))</x:f>
        <x:v>1</x:v>
      </x:c>
      <x:c r="AF30" s="81" t="n">
        <x:f>MIN(1,'Island Architectures'!$V$8*(1-Q30/'Island Architectures'!$W$8))</x:f>
        <x:v>1</x:v>
      </x:c>
      <x:c r="AG30" s="81" t="n">
        <x:f>MIN(1,'Island Architectures'!$X$8*(1-R30)*(1-S30/'Island Architectures'!$Y$8))</x:f>
        <x:v>1</x:v>
      </x:c>
      <x:c r="AH30" s="81" t="n">
        <x:f>IF(T30&lt;'Island Architectures'!$Z$8,1,0)</x:f>
        <x:v>1</x:v>
      </x:c>
      <x:c r="AI30" s="81" t="n">
        <x:f>MIN(1,'Island Architectures'!$AA$8*(1-U30/'Island Architectures'!$AB$8))</x:f>
        <x:v>1</x:v>
      </x:c>
      <x:c r="AJ30" s="81" t="n">
        <x:f>IF(V30=1,MIN(1,'Island Architectures'!$AD$8/Assumptions!$C$10),1)</x:f>
        <x:v>1</x:v>
      </x:c>
      <x:c r="AK30" s="81" t="n">
        <x:f>IF(W30=1,'Island Architectures'!$AC$8,1)</x:f>
        <x:v>0.65</x:v>
      </x:c>
      <x:c r="AL30" s="81" t="n">
        <x:f>MIN(X30:AK30)</x:f>
        <x:v>0.65</x:v>
      </x:c>
      <x:c r="AM30" s="70" t="str">
        <x:f>IF(AL30&gt;=Assumptions!$C$9,"PASS","FAIL")</x:f>
        <x:v>FAIL</x:v>
      </x:c>
      <x:c r="AN30" s="52" t="str">
        <x:v>inspection, repair, reload and recertification</x:v>
      </x:c>
    </x:row>
    <x:row r="31">
      <x:c r="B31" s="66" t="str">
        <x:v>A1</x:v>
      </x:c>
      <x:c r="C31" s="66" t="str">
        <x:v>I24</x:v>
      </x:c>
      <x:c r="D31" s="66" t="str">
        <x:v>Grid, yard, corridor and communications loss</x:v>
      </x:c>
      <x:c r="E31" s="66" t="n">
        <x:v>1</x:v>
      </x:c>
      <x:c r="F31" s="66" t="n">
        <x:v>0</x:v>
      </x:c>
      <x:c r="G31" s="66" t="n">
        <x:v>1</x:v>
      </x:c>
      <x:c r="H31" s="66" t="n">
        <x:v>0</x:v>
      </x:c>
      <x:c r="I31" s="66" t="n">
        <x:v>0</x:v>
      </x:c>
      <x:c r="J31" s="80" t="n">
        <x:v>1</x:v>
      </x:c>
      <x:c r="K31" s="66" t="n">
        <x:v>0</x:v>
      </x:c>
      <x:c r="L31" s="66" t="n">
        <x:v>0</x:v>
      </x:c>
      <x:c r="M31" s="66" t="n">
        <x:v>1</x:v>
      </x:c>
      <x:c r="N31" s="66" t="n">
        <x:v>0</x:v>
      </x:c>
      <x:c r="O31" s="66" t="n">
        <x:v>0</x:v>
      </x:c>
      <x:c r="P31" s="66" t="n">
        <x:v>0</x:v>
      </x:c>
      <x:c r="Q31" s="66" t="n">
        <x:v>1</x:v>
      </x:c>
      <x:c r="R31" s="80" t="n">
        <x:v>0</x:v>
      </x:c>
      <x:c r="S31" s="66" t="n">
        <x:v>0</x:v>
      </x:c>
      <x:c r="T31" s="66" t="n">
        <x:v>0</x:v>
      </x:c>
      <x:c r="U31" s="66" t="n">
        <x:v>0</x:v>
      </x:c>
      <x:c r="V31" s="66" t="n">
        <x:v>0</x:v>
      </x:c>
      <x:c r="W31" s="66" t="n">
        <x:v>0</x:v>
      </x:c>
      <x:c r="X31" s="81" t="n">
        <x:f>MIN(1,IF(E31=1,'Island Architectures'!$G$8,'Island Architectures'!$D$8)*(1-F31/'Island Architectures'!$E$8)*(1-G31/'Island Architectures'!$F$8)*IF(H31&lt;'Island Architectures'!$H$8,1,0))</x:f>
        <x:v>0</x:v>
      </x:c>
      <x:c r="Y31" s="81" t="n">
        <x:f>MIN(1,'Island Architectures'!$I$8*(1-I31/'Island Architectures'!$J$8)*J31)</x:f>
        <x:v>1</x:v>
      </x:c>
      <x:c r="Z31" s="81" t="n">
        <x:f>MIN(1,'Island Architectures'!$K$8*(1-K31/'Island Architectures'!$L$8))</x:f>
        <x:v>1</x:v>
      </x:c>
      <x:c r="AA31" s="81" t="n">
        <x:f>MIN(1,'Island Architectures'!$M$8*(1-L31/'Island Architectures'!$N$8))</x:f>
        <x:v>1</x:v>
      </x:c>
      <x:c r="AB31" s="81" t="n">
        <x:f>MIN(1,'Island Architectures'!$O$8*(1-M31/'Island Architectures'!$P$8))</x:f>
        <x:v>0</x:v>
      </x:c>
      <x:c r="AC31" s="81" t="n">
        <x:f>MIN(1,'Island Architectures'!$Q$8*(1-N31/'Island Architectures'!$R$8))</x:f>
        <x:v>1</x:v>
      </x:c>
      <x:c r="AD31" s="81" t="n">
        <x:f>MIN(1,'Island Architectures'!$Q$8*(1-O31/'Island Architectures'!$S$8))</x:f>
        <x:v>1</x:v>
      </x:c>
      <x:c r="AE31" s="81" t="n">
        <x:f>MIN(1,'Island Architectures'!$T$8*(1-P31/'Island Architectures'!$U$8))</x:f>
        <x:v>1</x:v>
      </x:c>
      <x:c r="AF31" s="81" t="n">
        <x:f>MIN(1,'Island Architectures'!$V$8*(1-Q31/'Island Architectures'!$W$8))</x:f>
        <x:v>0</x:v>
      </x:c>
      <x:c r="AG31" s="81" t="n">
        <x:f>MIN(1,'Island Architectures'!$X$8*(1-R31)*(1-S31/'Island Architectures'!$Y$8))</x:f>
        <x:v>1</x:v>
      </x:c>
      <x:c r="AH31" s="81" t="n">
        <x:f>IF(T31&lt;'Island Architectures'!$Z$8,1,0)</x:f>
        <x:v>1</x:v>
      </x:c>
      <x:c r="AI31" s="81" t="n">
        <x:f>MIN(1,'Island Architectures'!$AA$8*(1-U31/'Island Architectures'!$AB$8))</x:f>
        <x:v>1</x:v>
      </x:c>
      <x:c r="AJ31" s="81" t="n">
        <x:f>IF(V31=1,MIN(1,'Island Architectures'!$AD$8/Assumptions!$C$10),1)</x:f>
        <x:v>1</x:v>
      </x:c>
      <x:c r="AK31" s="81" t="n">
        <x:f>IF(W31=1,'Island Architectures'!$AC$8,1)</x:f>
        <x:v>1</x:v>
      </x:c>
      <x:c r="AL31" s="81" t="n">
        <x:f>MIN(X31:AK31)</x:f>
        <x:v>0</x:v>
      </x:c>
      <x:c r="AM31" s="70" t="str">
        <x:f>IF(AL31&gt;=Assumptions!$C$9,"PASS","FAIL")</x:f>
        <x:v>FAIL</x:v>
      </x:c>
      <x:c r="AN31" s="52" t="str">
        <x:v>compound test of physical and institutional separation</x:v>
      </x:c>
    </x:row>
    <x:row r="32">
      <x:c r="B32" s="66" t="str">
        <x:v>A2</x:v>
      </x:c>
      <x:c r="C32" s="66" t="str">
        <x:v>I01</x:v>
      </x:c>
      <x:c r="D32" s="66" t="str">
        <x:v>Baseline release</x:v>
      </x:c>
      <x:c r="E32" s="66" t="n">
        <x:v>0</x:v>
      </x:c>
      <x:c r="F32" s="66" t="n">
        <x:v>0</x:v>
      </x:c>
      <x:c r="G32" s="66" t="n">
        <x:v>0</x:v>
      </x:c>
      <x:c r="H32" s="66" t="n">
        <x:v>0</x:v>
      </x:c>
      <x:c r="I32" s="66" t="n">
        <x:v>0</x:v>
      </x:c>
      <x:c r="J32" s="80" t="n">
        <x:v>1</x:v>
      </x:c>
      <x:c r="K32" s="66" t="n">
        <x:v>0</x:v>
      </x:c>
      <x:c r="L32" s="66" t="n">
        <x:v>0</x:v>
      </x:c>
      <x:c r="M32" s="66" t="n">
        <x:v>0</x:v>
      </x:c>
      <x:c r="N32" s="66" t="n">
        <x:v>0</x:v>
      </x:c>
      <x:c r="O32" s="66" t="n">
        <x:v>0</x:v>
      </x:c>
      <x:c r="P32" s="66" t="n">
        <x:v>0</x:v>
      </x:c>
      <x:c r="Q32" s="66" t="n">
        <x:v>0</x:v>
      </x:c>
      <x:c r="R32" s="80" t="n">
        <x:v>0</x:v>
      </x:c>
      <x:c r="S32" s="66" t="n">
        <x:v>0</x:v>
      </x:c>
      <x:c r="T32" s="66" t="n">
        <x:v>0</x:v>
      </x:c>
      <x:c r="U32" s="66" t="n">
        <x:v>0</x:v>
      </x:c>
      <x:c r="V32" s="66" t="n">
        <x:v>0</x:v>
      </x:c>
      <x:c r="W32" s="66" t="n">
        <x:v>0</x:v>
      </x:c>
      <x:c r="X32" s="81" t="n">
        <x:f>MIN(1,IF(E32=1,'Island Architectures'!$G$9,'Island Architectures'!$D$9)*(1-F32/'Island Architectures'!$E$9)*(1-G32/'Island Architectures'!$F$9)*IF(H32&lt;'Island Architectures'!$H$9,1,0))</x:f>
        <x:v>1</x:v>
      </x:c>
      <x:c r="Y32" s="81" t="n">
        <x:f>MIN(1,'Island Architectures'!$I$9*(1-I32/'Island Architectures'!$J$9)*J32)</x:f>
        <x:v>1</x:v>
      </x:c>
      <x:c r="Z32" s="81" t="n">
        <x:f>MIN(1,'Island Architectures'!$K$9*(1-K32/'Island Architectures'!$L$9))</x:f>
        <x:v>1</x:v>
      </x:c>
      <x:c r="AA32" s="81" t="n">
        <x:f>MIN(1,'Island Architectures'!$M$9*(1-L32/'Island Architectures'!$N$9))</x:f>
        <x:v>1</x:v>
      </x:c>
      <x:c r="AB32" s="81" t="n">
        <x:f>MIN(1,'Island Architectures'!$O$9*(1-M32/'Island Architectures'!$P$9))</x:f>
        <x:v>1</x:v>
      </x:c>
      <x:c r="AC32" s="81" t="n">
        <x:f>MIN(1,'Island Architectures'!$Q$9*(1-N32/'Island Architectures'!$R$9))</x:f>
        <x:v>1</x:v>
      </x:c>
      <x:c r="AD32" s="81" t="n">
        <x:f>MIN(1,'Island Architectures'!$Q$9*(1-O32/'Island Architectures'!$S$9))</x:f>
        <x:v>1</x:v>
      </x:c>
      <x:c r="AE32" s="81" t="n">
        <x:f>MIN(1,'Island Architectures'!$T$9*(1-P32/'Island Architectures'!$U$9))</x:f>
        <x:v>1</x:v>
      </x:c>
      <x:c r="AF32" s="81" t="n">
        <x:f>MIN(1,'Island Architectures'!$V$9*(1-Q32/'Island Architectures'!$W$9))</x:f>
        <x:v>1</x:v>
      </x:c>
      <x:c r="AG32" s="81" t="n">
        <x:f>MIN(1,'Island Architectures'!$X$9*(1-R32)*(1-S32/'Island Architectures'!$Y$9))</x:f>
        <x:v>1</x:v>
      </x:c>
      <x:c r="AH32" s="81" t="n">
        <x:f>IF(T32&lt;'Island Architectures'!$Z$9,1,0)</x:f>
        <x:v>1</x:v>
      </x:c>
      <x:c r="AI32" s="81" t="n">
        <x:f>MIN(1,'Island Architectures'!$AA$9*(1-U32/'Island Architectures'!$AB$9))</x:f>
        <x:v>1</x:v>
      </x:c>
      <x:c r="AJ32" s="81" t="n">
        <x:f>IF(V32=1,MIN(1,'Island Architectures'!$AD$9/Assumptions!$C$10),1)</x:f>
        <x:v>1</x:v>
      </x:c>
      <x:c r="AK32" s="81" t="n">
        <x:f>IF(W32=1,'Island Architectures'!$AC$9,1)</x:f>
        <x:v>1</x:v>
      </x:c>
      <x:c r="AL32" s="81" t="n">
        <x:f>MIN(X32:AK32)</x:f>
        <x:v>1</x:v>
      </x:c>
      <x:c r="AM32" s="70" t="str">
        <x:f>IF(AL32&gt;=Assumptions!$C$9,"PASS","FAIL")</x:f>
        <x:v>PASS</x:v>
      </x:c>
      <x:c r="AN32" s="52" t="str">
        <x:v>all declared systems available</x:v>
      </x:c>
    </x:row>
    <x:row r="33">
      <x:c r="B33" s="66" t="str">
        <x:v>A2</x:v>
      </x:c>
      <x:c r="C33" s="66" t="str">
        <x:v>I02</x:v>
      </x:c>
      <x:c r="D33" s="66" t="str">
        <x:v>External grid absent</x:v>
      </x:c>
      <x:c r="E33" s="66" t="n">
        <x:v>1</x:v>
      </x:c>
      <x:c r="F33" s="66" t="n">
        <x:v>0</x:v>
      </x:c>
      <x:c r="G33" s="66" t="n">
        <x:v>0</x:v>
      </x:c>
      <x:c r="H33" s="66" t="n">
        <x:v>0</x:v>
      </x:c>
      <x:c r="I33" s="66" t="n">
        <x:v>0</x:v>
      </x:c>
      <x:c r="J33" s="80" t="n">
        <x:v>1</x:v>
      </x:c>
      <x:c r="K33" s="66" t="n">
        <x:v>0</x:v>
      </x:c>
      <x:c r="L33" s="66" t="n">
        <x:v>0</x:v>
      </x:c>
      <x:c r="M33" s="66" t="n">
        <x:v>0</x:v>
      </x:c>
      <x:c r="N33" s="66" t="n">
        <x:v>0</x:v>
      </x:c>
      <x:c r="O33" s="66" t="n">
        <x:v>0</x:v>
      </x:c>
      <x:c r="P33" s="66" t="n">
        <x:v>0</x:v>
      </x:c>
      <x:c r="Q33" s="66" t="n">
        <x:v>0</x:v>
      </x:c>
      <x:c r="R33" s="80" t="n">
        <x:v>0</x:v>
      </x:c>
      <x:c r="S33" s="66" t="n">
        <x:v>0</x:v>
      </x:c>
      <x:c r="T33" s="66" t="n">
        <x:v>0</x:v>
      </x:c>
      <x:c r="U33" s="66" t="n">
        <x:v>0</x:v>
      </x:c>
      <x:c r="V33" s="66" t="n">
        <x:v>0</x:v>
      </x:c>
      <x:c r="W33" s="66" t="n">
        <x:v>0</x:v>
      </x:c>
      <x:c r="X33" s="81" t="n">
        <x:f>MIN(1,IF(E33=1,'Island Architectures'!$G$9,'Island Architectures'!$D$9)*(1-F33/'Island Architectures'!$E$9)*(1-G33/'Island Architectures'!$F$9)*IF(H33&lt;'Island Architectures'!$H$9,1,0))</x:f>
        <x:v>0.6</x:v>
      </x:c>
      <x:c r="Y33" s="81" t="n">
        <x:f>MIN(1,'Island Architectures'!$I$9*(1-I33/'Island Architectures'!$J$9)*J33)</x:f>
        <x:v>1</x:v>
      </x:c>
      <x:c r="Z33" s="81" t="n">
        <x:f>MIN(1,'Island Architectures'!$K$9*(1-K33/'Island Architectures'!$L$9))</x:f>
        <x:v>1</x:v>
      </x:c>
      <x:c r="AA33" s="81" t="n">
        <x:f>MIN(1,'Island Architectures'!$M$9*(1-L33/'Island Architectures'!$N$9))</x:f>
        <x:v>1</x:v>
      </x:c>
      <x:c r="AB33" s="81" t="n">
        <x:f>MIN(1,'Island Architectures'!$O$9*(1-M33/'Island Architectures'!$P$9))</x:f>
        <x:v>1</x:v>
      </x:c>
      <x:c r="AC33" s="81" t="n">
        <x:f>MIN(1,'Island Architectures'!$Q$9*(1-N33/'Island Architectures'!$R$9))</x:f>
        <x:v>1</x:v>
      </x:c>
      <x:c r="AD33" s="81" t="n">
        <x:f>MIN(1,'Island Architectures'!$Q$9*(1-O33/'Island Architectures'!$S$9))</x:f>
        <x:v>1</x:v>
      </x:c>
      <x:c r="AE33" s="81" t="n">
        <x:f>MIN(1,'Island Architectures'!$T$9*(1-P33/'Island Architectures'!$U$9))</x:f>
        <x:v>1</x:v>
      </x:c>
      <x:c r="AF33" s="81" t="n">
        <x:f>MIN(1,'Island Architectures'!$V$9*(1-Q33/'Island Architectures'!$W$9))</x:f>
        <x:v>1</x:v>
      </x:c>
      <x:c r="AG33" s="81" t="n">
        <x:f>MIN(1,'Island Architectures'!$X$9*(1-R33)*(1-S33/'Island Architectures'!$Y$9))</x:f>
        <x:v>1</x:v>
      </x:c>
      <x:c r="AH33" s="81" t="n">
        <x:f>IF(T33&lt;'Island Architectures'!$Z$9,1,0)</x:f>
        <x:v>1</x:v>
      </x:c>
      <x:c r="AI33" s="81" t="n">
        <x:f>MIN(1,'Island Architectures'!$AA$9*(1-U33/'Island Architectures'!$AB$9))</x:f>
        <x:v>1</x:v>
      </x:c>
      <x:c r="AJ33" s="81" t="n">
        <x:f>IF(V33=1,MIN(1,'Island Architectures'!$AD$9/Assumptions!$C$10),1)</x:f>
        <x:v>1</x:v>
      </x:c>
      <x:c r="AK33" s="81" t="n">
        <x:f>IF(W33=1,'Island Architectures'!$AC$9,1)</x:f>
        <x:v>1</x:v>
      </x:c>
      <x:c r="AL33" s="81" t="n">
        <x:f>MIN(X33:AK33)</x:f>
        <x:v>0.6</x:v>
      </x:c>
      <x:c r="AM33" s="70" t="str">
        <x:f>IF(AL33&gt;=Assumptions!$C$9,"PASS","FAIL")</x:f>
        <x:v>FAIL</x:v>
      </x:c>
      <x:c r="AN33" s="52" t="str">
        <x:v>fixed island must remain a source, not a grid customer</x:v>
      </x:c>
    </x:row>
    <x:row r="34">
      <x:c r="B34" s="66" t="str">
        <x:v>A2</x:v>
      </x:c>
      <x:c r="C34" s="66" t="str">
        <x:v>I03</x:v>
      </x:c>
      <x:c r="D34" s="66" t="str">
        <x:v>Largest source lineage lost</x:v>
      </x:c>
      <x:c r="E34" s="66" t="n">
        <x:v>0</x:v>
      </x:c>
      <x:c r="F34" s="66" t="n">
        <x:v>1</x:v>
      </x:c>
      <x:c r="G34" s="66" t="n">
        <x:v>0</x:v>
      </x:c>
      <x:c r="H34" s="66" t="n">
        <x:v>0</x:v>
      </x:c>
      <x:c r="I34" s="66" t="n">
        <x:v>0</x:v>
      </x:c>
      <x:c r="J34" s="80" t="n">
        <x:v>1</x:v>
      </x:c>
      <x:c r="K34" s="66" t="n">
        <x:v>0</x:v>
      </x:c>
      <x:c r="L34" s="66" t="n">
        <x:v>0</x:v>
      </x:c>
      <x:c r="M34" s="66" t="n">
        <x:v>0</x:v>
      </x:c>
      <x:c r="N34" s="66" t="n">
        <x:v>0</x:v>
      </x:c>
      <x:c r="O34" s="66" t="n">
        <x:v>0</x:v>
      </x:c>
      <x:c r="P34" s="66" t="n">
        <x:v>0</x:v>
      </x:c>
      <x:c r="Q34" s="66" t="n">
        <x:v>0</x:v>
      </x:c>
      <x:c r="R34" s="80" t="n">
        <x:v>0</x:v>
      </x:c>
      <x:c r="S34" s="66" t="n">
        <x:v>0</x:v>
      </x:c>
      <x:c r="T34" s="66" t="n">
        <x:v>0</x:v>
      </x:c>
      <x:c r="U34" s="66" t="n">
        <x:v>0</x:v>
      </x:c>
      <x:c r="V34" s="66" t="n">
        <x:v>0</x:v>
      </x:c>
      <x:c r="W34" s="66" t="n">
        <x:v>0</x:v>
      </x:c>
      <x:c r="X34" s="81" t="n">
        <x:f>MIN(1,IF(E34=1,'Island Architectures'!$G$9,'Island Architectures'!$D$9)*(1-F34/'Island Architectures'!$E$9)*(1-G34/'Island Architectures'!$F$9)*IF(H34&lt;'Island Architectures'!$H$9,1,0))</x:f>
        <x:v>0</x:v>
      </x:c>
      <x:c r="Y34" s="81" t="n">
        <x:f>MIN(1,'Island Architectures'!$I$9*(1-I34/'Island Architectures'!$J$9)*J34)</x:f>
        <x:v>1</x:v>
      </x:c>
      <x:c r="Z34" s="81" t="n">
        <x:f>MIN(1,'Island Architectures'!$K$9*(1-K34/'Island Architectures'!$L$9))</x:f>
        <x:v>1</x:v>
      </x:c>
      <x:c r="AA34" s="81" t="n">
        <x:f>MIN(1,'Island Architectures'!$M$9*(1-L34/'Island Architectures'!$N$9))</x:f>
        <x:v>1</x:v>
      </x:c>
      <x:c r="AB34" s="81" t="n">
        <x:f>MIN(1,'Island Architectures'!$O$9*(1-M34/'Island Architectures'!$P$9))</x:f>
        <x:v>1</x:v>
      </x:c>
      <x:c r="AC34" s="81" t="n">
        <x:f>MIN(1,'Island Architectures'!$Q$9*(1-N34/'Island Architectures'!$R$9))</x:f>
        <x:v>1</x:v>
      </x:c>
      <x:c r="AD34" s="81" t="n">
        <x:f>MIN(1,'Island Architectures'!$Q$9*(1-O34/'Island Architectures'!$S$9))</x:f>
        <x:v>1</x:v>
      </x:c>
      <x:c r="AE34" s="81" t="n">
        <x:f>MIN(1,'Island Architectures'!$T$9*(1-P34/'Island Architectures'!$U$9))</x:f>
        <x:v>1</x:v>
      </x:c>
      <x:c r="AF34" s="81" t="n">
        <x:f>MIN(1,'Island Architectures'!$V$9*(1-Q34/'Island Architectures'!$W$9))</x:f>
        <x:v>1</x:v>
      </x:c>
      <x:c r="AG34" s="81" t="n">
        <x:f>MIN(1,'Island Architectures'!$X$9*(1-R34)*(1-S34/'Island Architectures'!$Y$9))</x:f>
        <x:v>1</x:v>
      </x:c>
      <x:c r="AH34" s="81" t="n">
        <x:f>IF(T34&lt;'Island Architectures'!$Z$9,1,0)</x:f>
        <x:v>1</x:v>
      </x:c>
      <x:c r="AI34" s="81" t="n">
        <x:f>MIN(1,'Island Architectures'!$AA$9*(1-U34/'Island Architectures'!$AB$9))</x:f>
        <x:v>1</x:v>
      </x:c>
      <x:c r="AJ34" s="81" t="n">
        <x:f>IF(V34=1,MIN(1,'Island Architectures'!$AD$9/Assumptions!$C$10),1)</x:f>
        <x:v>1</x:v>
      </x:c>
      <x:c r="AK34" s="81" t="n">
        <x:f>IF(W34=1,'Island Architectures'!$AC$9,1)</x:f>
        <x:v>1</x:v>
      </x:c>
      <x:c r="AL34" s="81" t="n">
        <x:f>MIN(X34:AK34)</x:f>
        <x:v>0</x:v>
      </x:c>
      <x:c r="AM34" s="70" t="str">
        <x:f>IF(AL34&gt;=Assumptions!$C$9,"PASS","FAIL")</x:f>
        <x:v>FAIL</x:v>
      </x:c>
      <x:c r="AN34" s="52" t="str">
        <x:v>energy technologies share upstream ancestry</x:v>
      </x:c>
    </x:row>
    <x:row r="35">
      <x:c r="B35" s="66" t="str">
        <x:v>A2</x:v>
      </x:c>
      <x:c r="C35" s="66" t="str">
        <x:v>I04</x:v>
      </x:c>
      <x:c r="D35" s="66" t="str">
        <x:v>Largest energy yard lost</x:v>
      </x:c>
      <x:c r="E35" s="66" t="n">
        <x:v>0</x:v>
      </x:c>
      <x:c r="F35" s="66" t="n">
        <x:v>0</x:v>
      </x:c>
      <x:c r="G35" s="66" t="n">
        <x:v>1</x:v>
      </x:c>
      <x:c r="H35" s="66" t="n">
        <x:v>0</x:v>
      </x:c>
      <x:c r="I35" s="66" t="n">
        <x:v>0</x:v>
      </x:c>
      <x:c r="J35" s="80" t="n">
        <x:v>1</x:v>
      </x:c>
      <x:c r="K35" s="66" t="n">
        <x:v>0</x:v>
      </x:c>
      <x:c r="L35" s="66" t="n">
        <x:v>0</x:v>
      </x:c>
      <x:c r="M35" s="66" t="n">
        <x:v>0</x:v>
      </x:c>
      <x:c r="N35" s="66" t="n">
        <x:v>0</x:v>
      </x:c>
      <x:c r="O35" s="66" t="n">
        <x:v>0</x:v>
      </x:c>
      <x:c r="P35" s="66" t="n">
        <x:v>0</x:v>
      </x:c>
      <x:c r="Q35" s="66" t="n">
        <x:v>0</x:v>
      </x:c>
      <x:c r="R35" s="80" t="n">
        <x:v>0</x:v>
      </x:c>
      <x:c r="S35" s="66" t="n">
        <x:v>0</x:v>
      </x:c>
      <x:c r="T35" s="66" t="n">
        <x:v>0</x:v>
      </x:c>
      <x:c r="U35" s="66" t="n">
        <x:v>0</x:v>
      </x:c>
      <x:c r="V35" s="66" t="n">
        <x:v>0</x:v>
      </x:c>
      <x:c r="W35" s="66" t="n">
        <x:v>0</x:v>
      </x:c>
      <x:c r="X35" s="81" t="n">
        <x:f>MIN(1,IF(E35=1,'Island Architectures'!$G$9,'Island Architectures'!$D$9)*(1-F35/'Island Architectures'!$E$9)*(1-G35/'Island Architectures'!$F$9)*IF(H35&lt;'Island Architectures'!$H$9,1,0))</x:f>
        <x:v>0.75</x:v>
      </x:c>
      <x:c r="Y35" s="81" t="n">
        <x:f>MIN(1,'Island Architectures'!$I$9*(1-I35/'Island Architectures'!$J$9)*J35)</x:f>
        <x:v>1</x:v>
      </x:c>
      <x:c r="Z35" s="81" t="n">
        <x:f>MIN(1,'Island Architectures'!$K$9*(1-K35/'Island Architectures'!$L$9))</x:f>
        <x:v>1</x:v>
      </x:c>
      <x:c r="AA35" s="81" t="n">
        <x:f>MIN(1,'Island Architectures'!$M$9*(1-L35/'Island Architectures'!$N$9))</x:f>
        <x:v>1</x:v>
      </x:c>
      <x:c r="AB35" s="81" t="n">
        <x:f>MIN(1,'Island Architectures'!$O$9*(1-M35/'Island Architectures'!$P$9))</x:f>
        <x:v>1</x:v>
      </x:c>
      <x:c r="AC35" s="81" t="n">
        <x:f>MIN(1,'Island Architectures'!$Q$9*(1-N35/'Island Architectures'!$R$9))</x:f>
        <x:v>1</x:v>
      </x:c>
      <x:c r="AD35" s="81" t="n">
        <x:f>MIN(1,'Island Architectures'!$Q$9*(1-O35/'Island Architectures'!$S$9))</x:f>
        <x:v>1</x:v>
      </x:c>
      <x:c r="AE35" s="81" t="n">
        <x:f>MIN(1,'Island Architectures'!$T$9*(1-P35/'Island Architectures'!$U$9))</x:f>
        <x:v>1</x:v>
      </x:c>
      <x:c r="AF35" s="81" t="n">
        <x:f>MIN(1,'Island Architectures'!$V$9*(1-Q35/'Island Architectures'!$W$9))</x:f>
        <x:v>1</x:v>
      </x:c>
      <x:c r="AG35" s="81" t="n">
        <x:f>MIN(1,'Island Architectures'!$X$9*(1-R35)*(1-S35/'Island Architectures'!$Y$9))</x:f>
        <x:v>1</x:v>
      </x:c>
      <x:c r="AH35" s="81" t="n">
        <x:f>IF(T35&lt;'Island Architectures'!$Z$9,1,0)</x:f>
        <x:v>1</x:v>
      </x:c>
      <x:c r="AI35" s="81" t="n">
        <x:f>MIN(1,'Island Architectures'!$AA$9*(1-U35/'Island Architectures'!$AB$9))</x:f>
        <x:v>1</x:v>
      </x:c>
      <x:c r="AJ35" s="81" t="n">
        <x:f>IF(V35=1,MIN(1,'Island Architectures'!$AD$9/Assumptions!$C$10),1)</x:f>
        <x:v>1</x:v>
      </x:c>
      <x:c r="AK35" s="81" t="n">
        <x:f>IF(W35=1,'Island Architectures'!$AC$9,1)</x:f>
        <x:v>1</x:v>
      </x:c>
      <x:c r="AL35" s="81" t="n">
        <x:f>MIN(X35:AK35)</x:f>
        <x:v>0.75</x:v>
      </x:c>
      <x:c r="AM35" s="70" t="str">
        <x:f>IF(AL35&gt;=Assumptions!$C$9,"PASS","FAIL")</x:f>
        <x:v>FAIL</x:v>
      </x:c>
      <x:c r="AN35" s="52" t="str">
        <x:v>physical fire or flood loss</x:v>
      </x:c>
    </x:row>
    <x:row r="36">
      <x:c r="B36" s="66" t="str">
        <x:v>A2</x:v>
      </x:c>
      <x:c r="C36" s="66" t="str">
        <x:v>I05</x:v>
      </x:c>
      <x:c r="D36" s="66" t="str">
        <x:v>One black-start path lost</x:v>
      </x:c>
      <x:c r="E36" s="66" t="n">
        <x:v>0</x:v>
      </x:c>
      <x:c r="F36" s="66" t="n">
        <x:v>0</x:v>
      </x:c>
      <x:c r="G36" s="66" t="n">
        <x:v>0</x:v>
      </x:c>
      <x:c r="H36" s="66" t="n">
        <x:v>1</x:v>
      </x:c>
      <x:c r="I36" s="66" t="n">
        <x:v>0</x:v>
      </x:c>
      <x:c r="J36" s="80" t="n">
        <x:v>1</x:v>
      </x:c>
      <x:c r="K36" s="66" t="n">
        <x:v>0</x:v>
      </x:c>
      <x:c r="L36" s="66" t="n">
        <x:v>0</x:v>
      </x:c>
      <x:c r="M36" s="66" t="n">
        <x:v>0</x:v>
      </x:c>
      <x:c r="N36" s="66" t="n">
        <x:v>0</x:v>
      </x:c>
      <x:c r="O36" s="66" t="n">
        <x:v>0</x:v>
      </x:c>
      <x:c r="P36" s="66" t="n">
        <x:v>0</x:v>
      </x:c>
      <x:c r="Q36" s="66" t="n">
        <x:v>0</x:v>
      </x:c>
      <x:c r="R36" s="80" t="n">
        <x:v>0</x:v>
      </x:c>
      <x:c r="S36" s="66" t="n">
        <x:v>0</x:v>
      </x:c>
      <x:c r="T36" s="66" t="n">
        <x:v>0</x:v>
      </x:c>
      <x:c r="U36" s="66" t="n">
        <x:v>0</x:v>
      </x:c>
      <x:c r="V36" s="66" t="n">
        <x:v>0</x:v>
      </x:c>
      <x:c r="W36" s="66" t="n">
        <x:v>0</x:v>
      </x:c>
      <x:c r="X36" s="81" t="n">
        <x:f>MIN(1,IF(E36=1,'Island Architectures'!$G$9,'Island Architectures'!$D$9)*(1-F36/'Island Architectures'!$E$9)*(1-G36/'Island Architectures'!$F$9)*IF(H36&lt;'Island Architectures'!$H$9,1,0))</x:f>
        <x:v>1</x:v>
      </x:c>
      <x:c r="Y36" s="81" t="n">
        <x:f>MIN(1,'Island Architectures'!$I$9*(1-I36/'Island Architectures'!$J$9)*J36)</x:f>
        <x:v>1</x:v>
      </x:c>
      <x:c r="Z36" s="81" t="n">
        <x:f>MIN(1,'Island Architectures'!$K$9*(1-K36/'Island Architectures'!$L$9))</x:f>
        <x:v>1</x:v>
      </x:c>
      <x:c r="AA36" s="81" t="n">
        <x:f>MIN(1,'Island Architectures'!$M$9*(1-L36/'Island Architectures'!$N$9))</x:f>
        <x:v>1</x:v>
      </x:c>
      <x:c r="AB36" s="81" t="n">
        <x:f>MIN(1,'Island Architectures'!$O$9*(1-M36/'Island Architectures'!$P$9))</x:f>
        <x:v>1</x:v>
      </x:c>
      <x:c r="AC36" s="81" t="n">
        <x:f>MIN(1,'Island Architectures'!$Q$9*(1-N36/'Island Architectures'!$R$9))</x:f>
        <x:v>1</x:v>
      </x:c>
      <x:c r="AD36" s="81" t="n">
        <x:f>MIN(1,'Island Architectures'!$Q$9*(1-O36/'Island Architectures'!$S$9))</x:f>
        <x:v>1</x:v>
      </x:c>
      <x:c r="AE36" s="81" t="n">
        <x:f>MIN(1,'Island Architectures'!$T$9*(1-P36/'Island Architectures'!$U$9))</x:f>
        <x:v>1</x:v>
      </x:c>
      <x:c r="AF36" s="81" t="n">
        <x:f>MIN(1,'Island Architectures'!$V$9*(1-Q36/'Island Architectures'!$W$9))</x:f>
        <x:v>1</x:v>
      </x:c>
      <x:c r="AG36" s="81" t="n">
        <x:f>MIN(1,'Island Architectures'!$X$9*(1-R36)*(1-S36/'Island Architectures'!$Y$9))</x:f>
        <x:v>1</x:v>
      </x:c>
      <x:c r="AH36" s="81" t="n">
        <x:f>IF(T36&lt;'Island Architectures'!$Z$9,1,0)</x:f>
        <x:v>1</x:v>
      </x:c>
      <x:c r="AI36" s="81" t="n">
        <x:f>MIN(1,'Island Architectures'!$AA$9*(1-U36/'Island Architectures'!$AB$9))</x:f>
        <x:v>1</x:v>
      </x:c>
      <x:c r="AJ36" s="81" t="n">
        <x:f>IF(V36=1,MIN(1,'Island Architectures'!$AD$9/Assumptions!$C$10),1)</x:f>
        <x:v>1</x:v>
      </x:c>
      <x:c r="AK36" s="81" t="n">
        <x:f>IF(W36=1,'Island Architectures'!$AC$9,1)</x:f>
        <x:v>1</x:v>
      </x:c>
      <x:c r="AL36" s="81" t="n">
        <x:f>MIN(X36:AK36)</x:f>
        <x:v>1</x:v>
      </x:c>
      <x:c r="AM36" s="70" t="str">
        <x:f>IF(AL36&gt;=Assumptions!$C$9,"PASS","FAIL")</x:f>
        <x:v>PASS</x:v>
      </x:c>
      <x:c r="AN36" s="52" t="str">
        <x:v>source transition cannot depend on one battery room</x:v>
      </x:c>
    </x:row>
    <x:row r="37">
      <x:c r="B37" s="66" t="str">
        <x:v>A2</x:v>
      </x:c>
      <x:c r="C37" s="66" t="str">
        <x:v>I06</x:v>
      </x:c>
      <x:c r="D37" s="66" t="str">
        <x:v>Largest heat destination lost</x:v>
      </x:c>
      <x:c r="E37" s="66" t="n">
        <x:v>0</x:v>
      </x:c>
      <x:c r="F37" s="66" t="n">
        <x:v>0</x:v>
      </x:c>
      <x:c r="G37" s="66" t="n">
        <x:v>0</x:v>
      </x:c>
      <x:c r="H37" s="66" t="n">
        <x:v>0</x:v>
      </x:c>
      <x:c r="I37" s="66" t="n">
        <x:v>1</x:v>
      </x:c>
      <x:c r="J37" s="80" t="n">
        <x:v>1</x:v>
      </x:c>
      <x:c r="K37" s="66" t="n">
        <x:v>0</x:v>
      </x:c>
      <x:c r="L37" s="66" t="n">
        <x:v>0</x:v>
      </x:c>
      <x:c r="M37" s="66" t="n">
        <x:v>0</x:v>
      </x:c>
      <x:c r="N37" s="66" t="n">
        <x:v>0</x:v>
      </x:c>
      <x:c r="O37" s="66" t="n">
        <x:v>0</x:v>
      </x:c>
      <x:c r="P37" s="66" t="n">
        <x:v>0</x:v>
      </x:c>
      <x:c r="Q37" s="66" t="n">
        <x:v>0</x:v>
      </x:c>
      <x:c r="R37" s="80" t="n">
        <x:v>0</x:v>
      </x:c>
      <x:c r="S37" s="66" t="n">
        <x:v>0</x:v>
      </x:c>
      <x:c r="T37" s="66" t="n">
        <x:v>0</x:v>
      </x:c>
      <x:c r="U37" s="66" t="n">
        <x:v>0</x:v>
      </x:c>
      <x:c r="V37" s="66" t="n">
        <x:v>0</x:v>
      </x:c>
      <x:c r="W37" s="66" t="n">
        <x:v>0</x:v>
      </x:c>
      <x:c r="X37" s="81" t="n">
        <x:f>MIN(1,IF(E37=1,'Island Architectures'!$G$9,'Island Architectures'!$D$9)*(1-F37/'Island Architectures'!$E$9)*(1-G37/'Island Architectures'!$F$9)*IF(H37&lt;'Island Architectures'!$H$9,1,0))</x:f>
        <x:v>1</x:v>
      </x:c>
      <x:c r="Y37" s="81" t="n">
        <x:f>MIN(1,'Island Architectures'!$I$9*(1-I37/'Island Architectures'!$J$9)*J37)</x:f>
        <x:v>0</x:v>
      </x:c>
      <x:c r="Z37" s="81" t="n">
        <x:f>MIN(1,'Island Architectures'!$K$9*(1-K37/'Island Architectures'!$L$9))</x:f>
        <x:v>1</x:v>
      </x:c>
      <x:c r="AA37" s="81" t="n">
        <x:f>MIN(1,'Island Architectures'!$M$9*(1-L37/'Island Architectures'!$N$9))</x:f>
        <x:v>1</x:v>
      </x:c>
      <x:c r="AB37" s="81" t="n">
        <x:f>MIN(1,'Island Architectures'!$O$9*(1-M37/'Island Architectures'!$P$9))</x:f>
        <x:v>1</x:v>
      </x:c>
      <x:c r="AC37" s="81" t="n">
        <x:f>MIN(1,'Island Architectures'!$Q$9*(1-N37/'Island Architectures'!$R$9))</x:f>
        <x:v>1</x:v>
      </x:c>
      <x:c r="AD37" s="81" t="n">
        <x:f>MIN(1,'Island Architectures'!$Q$9*(1-O37/'Island Architectures'!$S$9))</x:f>
        <x:v>1</x:v>
      </x:c>
      <x:c r="AE37" s="81" t="n">
        <x:f>MIN(1,'Island Architectures'!$T$9*(1-P37/'Island Architectures'!$U$9))</x:f>
        <x:v>1</x:v>
      </x:c>
      <x:c r="AF37" s="81" t="n">
        <x:f>MIN(1,'Island Architectures'!$V$9*(1-Q37/'Island Architectures'!$W$9))</x:f>
        <x:v>1</x:v>
      </x:c>
      <x:c r="AG37" s="81" t="n">
        <x:f>MIN(1,'Island Architectures'!$X$9*(1-R37)*(1-S37/'Island Architectures'!$Y$9))</x:f>
        <x:v>1</x:v>
      </x:c>
      <x:c r="AH37" s="81" t="n">
        <x:f>IF(T37&lt;'Island Architectures'!$Z$9,1,0)</x:f>
        <x:v>1</x:v>
      </x:c>
      <x:c r="AI37" s="81" t="n">
        <x:f>MIN(1,'Island Architectures'!$AA$9*(1-U37/'Island Architectures'!$AB$9))</x:f>
        <x:v>1</x:v>
      </x:c>
      <x:c r="AJ37" s="81" t="n">
        <x:f>IF(V37=1,MIN(1,'Island Architectures'!$AD$9/Assumptions!$C$10),1)</x:f>
        <x:v>1</x:v>
      </x:c>
      <x:c r="AK37" s="81" t="n">
        <x:f>IF(W37=1,'Island Architectures'!$AC$9,1)</x:f>
        <x:v>1</x:v>
      </x:c>
      <x:c r="AL37" s="81" t="n">
        <x:f>MIN(X37:AK37)</x:f>
        <x:v>0</x:v>
      </x:c>
      <x:c r="AM37" s="70" t="str">
        <x:f>IF(AL37&gt;=Assumptions!$C$9,"PASS","FAIL")</x:f>
        <x:v>FAIL</x:v>
      </x:c>
      <x:c r="AN37" s="52" t="str">
        <x:v>final heat destination is an availability boundary</x:v>
      </x:c>
    </x:row>
    <x:row r="38">
      <x:c r="B38" s="66" t="str">
        <x:v>A2</x:v>
      </x:c>
      <x:c r="C38" s="66" t="str">
        <x:v>I07</x:v>
      </x:c>
      <x:c r="D38" s="66" t="str">
        <x:v>50 C ambient</x:v>
      </x:c>
      <x:c r="E38" s="66" t="n">
        <x:v>0</x:v>
      </x:c>
      <x:c r="F38" s="66" t="n">
        <x:v>0</x:v>
      </x:c>
      <x:c r="G38" s="66" t="n">
        <x:v>0</x:v>
      </x:c>
      <x:c r="H38" s="66" t="n">
        <x:v>0</x:v>
      </x:c>
      <x:c r="I38" s="66" t="n">
        <x:v>0</x:v>
      </x:c>
      <x:c r="J38" s="80" t="n">
        <x:v>0.55</x:v>
      </x:c>
      <x:c r="K38" s="66" t="n">
        <x:v>0</x:v>
      </x:c>
      <x:c r="L38" s="66" t="n">
        <x:v>0</x:v>
      </x:c>
      <x:c r="M38" s="66" t="n">
        <x:v>0</x:v>
      </x:c>
      <x:c r="N38" s="66" t="n">
        <x:v>0</x:v>
      </x:c>
      <x:c r="O38" s="66" t="n">
        <x:v>0</x:v>
      </x:c>
      <x:c r="P38" s="66" t="n">
        <x:v>0</x:v>
      </x:c>
      <x:c r="Q38" s="66" t="n">
        <x:v>0</x:v>
      </x:c>
      <x:c r="R38" s="80" t="n">
        <x:v>0</x:v>
      </x:c>
      <x:c r="S38" s="66" t="n">
        <x:v>0</x:v>
      </x:c>
      <x:c r="T38" s="66" t="n">
        <x:v>0</x:v>
      </x:c>
      <x:c r="U38" s="66" t="n">
        <x:v>0</x:v>
      </x:c>
      <x:c r="V38" s="66" t="n">
        <x:v>0</x:v>
      </x:c>
      <x:c r="W38" s="66" t="n">
        <x:v>0</x:v>
      </x:c>
      <x:c r="X38" s="81" t="n">
        <x:f>MIN(1,IF(E38=1,'Island Architectures'!$G$9,'Island Architectures'!$D$9)*(1-F38/'Island Architectures'!$E$9)*(1-G38/'Island Architectures'!$F$9)*IF(H38&lt;'Island Architectures'!$H$9,1,0))</x:f>
        <x:v>1</x:v>
      </x:c>
      <x:c r="Y38" s="81" t="n">
        <x:f>MIN(1,'Island Architectures'!$I$9*(1-I38/'Island Architectures'!$J$9)*J38)</x:f>
        <x:v>0.8250000000000001</x:v>
      </x:c>
      <x:c r="Z38" s="81" t="n">
        <x:f>MIN(1,'Island Architectures'!$K$9*(1-K38/'Island Architectures'!$L$9))</x:f>
        <x:v>1</x:v>
      </x:c>
      <x:c r="AA38" s="81" t="n">
        <x:f>MIN(1,'Island Architectures'!$M$9*(1-L38/'Island Architectures'!$N$9))</x:f>
        <x:v>1</x:v>
      </x:c>
      <x:c r="AB38" s="81" t="n">
        <x:f>MIN(1,'Island Architectures'!$O$9*(1-M38/'Island Architectures'!$P$9))</x:f>
        <x:v>1</x:v>
      </x:c>
      <x:c r="AC38" s="81" t="n">
        <x:f>MIN(1,'Island Architectures'!$Q$9*(1-N38/'Island Architectures'!$R$9))</x:f>
        <x:v>1</x:v>
      </x:c>
      <x:c r="AD38" s="81" t="n">
        <x:f>MIN(1,'Island Architectures'!$Q$9*(1-O38/'Island Architectures'!$S$9))</x:f>
        <x:v>1</x:v>
      </x:c>
      <x:c r="AE38" s="81" t="n">
        <x:f>MIN(1,'Island Architectures'!$T$9*(1-P38/'Island Architectures'!$U$9))</x:f>
        <x:v>1</x:v>
      </x:c>
      <x:c r="AF38" s="81" t="n">
        <x:f>MIN(1,'Island Architectures'!$V$9*(1-Q38/'Island Architectures'!$W$9))</x:f>
        <x:v>1</x:v>
      </x:c>
      <x:c r="AG38" s="81" t="n">
        <x:f>MIN(1,'Island Architectures'!$X$9*(1-R38)*(1-S38/'Island Architectures'!$Y$9))</x:f>
        <x:v>1</x:v>
      </x:c>
      <x:c r="AH38" s="81" t="n">
        <x:f>IF(T38&lt;'Island Architectures'!$Z$9,1,0)</x:f>
        <x:v>1</x:v>
      </x:c>
      <x:c r="AI38" s="81" t="n">
        <x:f>MIN(1,'Island Architectures'!$AA$9*(1-U38/'Island Architectures'!$AB$9))</x:f>
        <x:v>1</x:v>
      </x:c>
      <x:c r="AJ38" s="81" t="n">
        <x:f>IF(V38=1,MIN(1,'Island Architectures'!$AD$9/Assumptions!$C$10),1)</x:f>
        <x:v>1</x:v>
      </x:c>
      <x:c r="AK38" s="81" t="n">
        <x:f>IF(W38=1,'Island Architectures'!$AC$9,1)</x:f>
        <x:v>1</x:v>
      </x:c>
      <x:c r="AL38" s="81" t="n">
        <x:f>MIN(X38:AK38)</x:f>
        <x:v>0.8250000000000001</x:v>
      </x:c>
      <x:c r="AM38" s="70" t="str">
        <x:f>IF(AL38&gt;=Assumptions!$C$9,"PASS","FAIL")</x:f>
        <x:v>FAIL</x:v>
      </x:c>
      <x:c r="AN38" s="52" t="str">
        <x:v>dry rejection derates at the design extreme</x:v>
      </x:c>
    </x:row>
    <x:row r="39">
      <x:c r="B39" s="66" t="str">
        <x:v>A2</x:v>
      </x:c>
      <x:c r="C39" s="66" t="str">
        <x:v>I08</x:v>
      </x:c>
      <x:c r="D39" s="66" t="str">
        <x:v>Smoke and exchanger fouling</x:v>
      </x:c>
      <x:c r="E39" s="66" t="n">
        <x:v>0</x:v>
      </x:c>
      <x:c r="F39" s="66" t="n">
        <x:v>0</x:v>
      </x:c>
      <x:c r="G39" s="66" t="n">
        <x:v>0</x:v>
      </x:c>
      <x:c r="H39" s="66" t="n">
        <x:v>0</x:v>
      </x:c>
      <x:c r="I39" s="66" t="n">
        <x:v>0</x:v>
      </x:c>
      <x:c r="J39" s="80" t="n">
        <x:v>0.6</x:v>
      </x:c>
      <x:c r="K39" s="66" t="n">
        <x:v>0</x:v>
      </x:c>
      <x:c r="L39" s="66" t="n">
        <x:v>0</x:v>
      </x:c>
      <x:c r="M39" s="66" t="n">
        <x:v>0</x:v>
      </x:c>
      <x:c r="N39" s="66" t="n">
        <x:v>0</x:v>
      </x:c>
      <x:c r="O39" s="66" t="n">
        <x:v>0</x:v>
      </x:c>
      <x:c r="P39" s="66" t="n">
        <x:v>0</x:v>
      </x:c>
      <x:c r="Q39" s="66" t="n">
        <x:v>0</x:v>
      </x:c>
      <x:c r="R39" s="80" t="n">
        <x:v>0</x:v>
      </x:c>
      <x:c r="S39" s="66" t="n">
        <x:v>0</x:v>
      </x:c>
      <x:c r="T39" s="66" t="n">
        <x:v>0</x:v>
      </x:c>
      <x:c r="U39" s="66" t="n">
        <x:v>0</x:v>
      </x:c>
      <x:c r="V39" s="66" t="n">
        <x:v>0</x:v>
      </x:c>
      <x:c r="W39" s="66" t="n">
        <x:v>0</x:v>
      </x:c>
      <x:c r="X39" s="81" t="n">
        <x:f>MIN(1,IF(E39=1,'Island Architectures'!$G$9,'Island Architectures'!$D$9)*(1-F39/'Island Architectures'!$E$9)*(1-G39/'Island Architectures'!$F$9)*IF(H39&lt;'Island Architectures'!$H$9,1,0))</x:f>
        <x:v>1</x:v>
      </x:c>
      <x:c r="Y39" s="81" t="n">
        <x:f>MIN(1,'Island Architectures'!$I$9*(1-I39/'Island Architectures'!$J$9)*J39)</x:f>
        <x:v>0.8999999999999999</x:v>
      </x:c>
      <x:c r="Z39" s="81" t="n">
        <x:f>MIN(1,'Island Architectures'!$K$9*(1-K39/'Island Architectures'!$L$9))</x:f>
        <x:v>1</x:v>
      </x:c>
      <x:c r="AA39" s="81" t="n">
        <x:f>MIN(1,'Island Architectures'!$M$9*(1-L39/'Island Architectures'!$N$9))</x:f>
        <x:v>1</x:v>
      </x:c>
      <x:c r="AB39" s="81" t="n">
        <x:f>MIN(1,'Island Architectures'!$O$9*(1-M39/'Island Architectures'!$P$9))</x:f>
        <x:v>1</x:v>
      </x:c>
      <x:c r="AC39" s="81" t="n">
        <x:f>MIN(1,'Island Architectures'!$Q$9*(1-N39/'Island Architectures'!$R$9))</x:f>
        <x:v>1</x:v>
      </x:c>
      <x:c r="AD39" s="81" t="n">
        <x:f>MIN(1,'Island Architectures'!$Q$9*(1-O39/'Island Architectures'!$S$9))</x:f>
        <x:v>1</x:v>
      </x:c>
      <x:c r="AE39" s="81" t="n">
        <x:f>MIN(1,'Island Architectures'!$T$9*(1-P39/'Island Architectures'!$U$9))</x:f>
        <x:v>1</x:v>
      </x:c>
      <x:c r="AF39" s="81" t="n">
        <x:f>MIN(1,'Island Architectures'!$V$9*(1-Q39/'Island Architectures'!$W$9))</x:f>
        <x:v>1</x:v>
      </x:c>
      <x:c r="AG39" s="81" t="n">
        <x:f>MIN(1,'Island Architectures'!$X$9*(1-R39)*(1-S39/'Island Architectures'!$Y$9))</x:f>
        <x:v>1</x:v>
      </x:c>
      <x:c r="AH39" s="81" t="n">
        <x:f>IF(T39&lt;'Island Architectures'!$Z$9,1,0)</x:f>
        <x:v>1</x:v>
      </x:c>
      <x:c r="AI39" s="81" t="n">
        <x:f>MIN(1,'Island Architectures'!$AA$9*(1-U39/'Island Architectures'!$AB$9))</x:f>
        <x:v>1</x:v>
      </x:c>
      <x:c r="AJ39" s="81" t="n">
        <x:f>IF(V39=1,MIN(1,'Island Architectures'!$AD$9/Assumptions!$C$10),1)</x:f>
        <x:v>1</x:v>
      </x:c>
      <x:c r="AK39" s="81" t="n">
        <x:f>IF(W39=1,'Island Architectures'!$AC$9,1)</x:f>
        <x:v>1</x:v>
      </x:c>
      <x:c r="AL39" s="81" t="n">
        <x:f>MIN(X39:AK39)</x:f>
        <x:v>0.8999999999999999</x:v>
      </x:c>
      <x:c r="AM39" s="70" t="str">
        <x:f>IF(AL39&gt;=Assumptions!$C$9,"PASS","FAIL")</x:f>
        <x:v>PASS</x:v>
      </x:c>
      <x:c r="AN39" s="52" t="str">
        <x:v>air systems retain service under smoke</x:v>
      </x:c>
    </x:row>
    <x:row r="40">
      <x:c r="B40" s="66" t="str">
        <x:v>A2</x:v>
      </x:c>
      <x:c r="C40" s="66" t="str">
        <x:v>I09</x:v>
      </x:c>
      <x:c r="D40" s="66" t="str">
        <x:v>Largest water-source path lost</x:v>
      </x:c>
      <x:c r="E40" s="66" t="n">
        <x:v>0</x:v>
      </x:c>
      <x:c r="F40" s="66" t="n">
        <x:v>0</x:v>
      </x:c>
      <x:c r="G40" s="66" t="n">
        <x:v>0</x:v>
      </x:c>
      <x:c r="H40" s="66" t="n">
        <x:v>0</x:v>
      </x:c>
      <x:c r="I40" s="66" t="n">
        <x:v>0</x:v>
      </x:c>
      <x:c r="J40" s="80" t="n">
        <x:v>1</x:v>
      </x:c>
      <x:c r="K40" s="66" t="n">
        <x:v>1</x:v>
      </x:c>
      <x:c r="L40" s="66" t="n">
        <x:v>0</x:v>
      </x:c>
      <x:c r="M40" s="66" t="n">
        <x:v>0</x:v>
      </x:c>
      <x:c r="N40" s="66" t="n">
        <x:v>0</x:v>
      </x:c>
      <x:c r="O40" s="66" t="n">
        <x:v>0</x:v>
      </x:c>
      <x:c r="P40" s="66" t="n">
        <x:v>0</x:v>
      </x:c>
      <x:c r="Q40" s="66" t="n">
        <x:v>0</x:v>
      </x:c>
      <x:c r="R40" s="80" t="n">
        <x:v>0</x:v>
      </x:c>
      <x:c r="S40" s="66" t="n">
        <x:v>0</x:v>
      </x:c>
      <x:c r="T40" s="66" t="n">
        <x:v>0</x:v>
      </x:c>
      <x:c r="U40" s="66" t="n">
        <x:v>0</x:v>
      </x:c>
      <x:c r="V40" s="66" t="n">
        <x:v>0</x:v>
      </x:c>
      <x:c r="W40" s="66" t="n">
        <x:v>0</x:v>
      </x:c>
      <x:c r="X40" s="81" t="n">
        <x:f>MIN(1,IF(E40=1,'Island Architectures'!$G$9,'Island Architectures'!$D$9)*(1-F40/'Island Architectures'!$E$9)*(1-G40/'Island Architectures'!$F$9)*IF(H40&lt;'Island Architectures'!$H$9,1,0))</x:f>
        <x:v>1</x:v>
      </x:c>
      <x:c r="Y40" s="81" t="n">
        <x:f>MIN(1,'Island Architectures'!$I$9*(1-I40/'Island Architectures'!$J$9)*J40)</x:f>
        <x:v>1</x:v>
      </x:c>
      <x:c r="Z40" s="81" t="n">
        <x:f>MIN(1,'Island Architectures'!$K$9*(1-K40/'Island Architectures'!$L$9))</x:f>
        <x:v>0.65</x:v>
      </x:c>
      <x:c r="AA40" s="81" t="n">
        <x:f>MIN(1,'Island Architectures'!$M$9*(1-L40/'Island Architectures'!$N$9))</x:f>
        <x:v>1</x:v>
      </x:c>
      <x:c r="AB40" s="81" t="n">
        <x:f>MIN(1,'Island Architectures'!$O$9*(1-M40/'Island Architectures'!$P$9))</x:f>
        <x:v>1</x:v>
      </x:c>
      <x:c r="AC40" s="81" t="n">
        <x:f>MIN(1,'Island Architectures'!$Q$9*(1-N40/'Island Architectures'!$R$9))</x:f>
        <x:v>1</x:v>
      </x:c>
      <x:c r="AD40" s="81" t="n">
        <x:f>MIN(1,'Island Architectures'!$Q$9*(1-O40/'Island Architectures'!$S$9))</x:f>
        <x:v>1</x:v>
      </x:c>
      <x:c r="AE40" s="81" t="n">
        <x:f>MIN(1,'Island Architectures'!$T$9*(1-P40/'Island Architectures'!$U$9))</x:f>
        <x:v>1</x:v>
      </x:c>
      <x:c r="AF40" s="81" t="n">
        <x:f>MIN(1,'Island Architectures'!$V$9*(1-Q40/'Island Architectures'!$W$9))</x:f>
        <x:v>1</x:v>
      </x:c>
      <x:c r="AG40" s="81" t="n">
        <x:f>MIN(1,'Island Architectures'!$X$9*(1-R40)*(1-S40/'Island Architectures'!$Y$9))</x:f>
        <x:v>1</x:v>
      </x:c>
      <x:c r="AH40" s="81" t="n">
        <x:f>IF(T40&lt;'Island Architectures'!$Z$9,1,0)</x:f>
        <x:v>1</x:v>
      </x:c>
      <x:c r="AI40" s="81" t="n">
        <x:f>MIN(1,'Island Architectures'!$AA$9*(1-U40/'Island Architectures'!$AB$9))</x:f>
        <x:v>1</x:v>
      </x:c>
      <x:c r="AJ40" s="81" t="n">
        <x:f>IF(V40=1,MIN(1,'Island Architectures'!$AD$9/Assumptions!$C$10),1)</x:f>
        <x:v>1</x:v>
      </x:c>
      <x:c r="AK40" s="81" t="n">
        <x:f>IF(W40=1,'Island Architectures'!$AC$9,1)</x:f>
        <x:v>1</x:v>
      </x:c>
      <x:c r="AL40" s="81" t="n">
        <x:f>MIN(X40:AK40)</x:f>
        <x:v>0.65</x:v>
      </x:c>
      <x:c r="AM40" s="70" t="str">
        <x:f>IF(AL40&gt;=Assumptions!$C$9,"PASS","FAIL")</x:f>
        <x:v>FAIL</x:v>
      </x:c>
      <x:c r="AN40" s="52" t="str">
        <x:v>clean storage does not replace sustained production</x:v>
      </x:c>
    </x:row>
    <x:row r="41">
      <x:c r="B41" s="66" t="str">
        <x:v>A2</x:v>
      </x:c>
      <x:c r="C41" s="66" t="str">
        <x:v>I10</x:v>
      </x:c>
      <x:c r="D41" s="66" t="str">
        <x:v>Largest wastewater path lost</x:v>
      </x:c>
      <x:c r="E41" s="66" t="n">
        <x:v>0</x:v>
      </x:c>
      <x:c r="F41" s="66" t="n">
        <x:v>0</x:v>
      </x:c>
      <x:c r="G41" s="66" t="n">
        <x:v>0</x:v>
      </x:c>
      <x:c r="H41" s="66" t="n">
        <x:v>0</x:v>
      </x:c>
      <x:c r="I41" s="66" t="n">
        <x:v>0</x:v>
      </x:c>
      <x:c r="J41" s="80" t="n">
        <x:v>1</x:v>
      </x:c>
      <x:c r="K41" s="66" t="n">
        <x:v>0</x:v>
      </x:c>
      <x:c r="L41" s="66" t="n">
        <x:v>1</x:v>
      </x:c>
      <x:c r="M41" s="66" t="n">
        <x:v>0</x:v>
      </x:c>
      <x:c r="N41" s="66" t="n">
        <x:v>0</x:v>
      </x:c>
      <x:c r="O41" s="66" t="n">
        <x:v>0</x:v>
      </x:c>
      <x:c r="P41" s="66" t="n">
        <x:v>0</x:v>
      </x:c>
      <x:c r="Q41" s="66" t="n">
        <x:v>0</x:v>
      </x:c>
      <x:c r="R41" s="80" t="n">
        <x:v>0</x:v>
      </x:c>
      <x:c r="S41" s="66" t="n">
        <x:v>0</x:v>
      </x:c>
      <x:c r="T41" s="66" t="n">
        <x:v>0</x:v>
      </x:c>
      <x:c r="U41" s="66" t="n">
        <x:v>0</x:v>
      </x:c>
      <x:c r="V41" s="66" t="n">
        <x:v>0</x:v>
      </x:c>
      <x:c r="W41" s="66" t="n">
        <x:v>0</x:v>
      </x:c>
      <x:c r="X41" s="81" t="n">
        <x:f>MIN(1,IF(E41=1,'Island Architectures'!$G$9,'Island Architectures'!$D$9)*(1-F41/'Island Architectures'!$E$9)*(1-G41/'Island Architectures'!$F$9)*IF(H41&lt;'Island Architectures'!$H$9,1,0))</x:f>
        <x:v>1</x:v>
      </x:c>
      <x:c r="Y41" s="81" t="n">
        <x:f>MIN(1,'Island Architectures'!$I$9*(1-I41/'Island Architectures'!$J$9)*J41)</x:f>
        <x:v>1</x:v>
      </x:c>
      <x:c r="Z41" s="81" t="n">
        <x:f>MIN(1,'Island Architectures'!$K$9*(1-K41/'Island Architectures'!$L$9))</x:f>
        <x:v>1</x:v>
      </x:c>
      <x:c r="AA41" s="81" t="n">
        <x:f>MIN(1,'Island Architectures'!$M$9*(1-L41/'Island Architectures'!$N$9))</x:f>
        <x:v>0</x:v>
      </x:c>
      <x:c r="AB41" s="81" t="n">
        <x:f>MIN(1,'Island Architectures'!$O$9*(1-M41/'Island Architectures'!$P$9))</x:f>
        <x:v>1</x:v>
      </x:c>
      <x:c r="AC41" s="81" t="n">
        <x:f>MIN(1,'Island Architectures'!$Q$9*(1-N41/'Island Architectures'!$R$9))</x:f>
        <x:v>1</x:v>
      </x:c>
      <x:c r="AD41" s="81" t="n">
        <x:f>MIN(1,'Island Architectures'!$Q$9*(1-O41/'Island Architectures'!$S$9))</x:f>
        <x:v>1</x:v>
      </x:c>
      <x:c r="AE41" s="81" t="n">
        <x:f>MIN(1,'Island Architectures'!$T$9*(1-P41/'Island Architectures'!$U$9))</x:f>
        <x:v>1</x:v>
      </x:c>
      <x:c r="AF41" s="81" t="n">
        <x:f>MIN(1,'Island Architectures'!$V$9*(1-Q41/'Island Architectures'!$W$9))</x:f>
        <x:v>1</x:v>
      </x:c>
      <x:c r="AG41" s="81" t="n">
        <x:f>MIN(1,'Island Architectures'!$X$9*(1-R41)*(1-S41/'Island Architectures'!$Y$9))</x:f>
        <x:v>1</x:v>
      </x:c>
      <x:c r="AH41" s="81" t="n">
        <x:f>IF(T41&lt;'Island Architectures'!$Z$9,1,0)</x:f>
        <x:v>1</x:v>
      </x:c>
      <x:c r="AI41" s="81" t="n">
        <x:f>MIN(1,'Island Architectures'!$AA$9*(1-U41/'Island Architectures'!$AB$9))</x:f>
        <x:v>1</x:v>
      </x:c>
      <x:c r="AJ41" s="81" t="n">
        <x:f>IF(V41=1,MIN(1,'Island Architectures'!$AD$9/Assumptions!$C$10),1)</x:f>
        <x:v>1</x:v>
      </x:c>
      <x:c r="AK41" s="81" t="n">
        <x:f>IF(W41=1,'Island Architectures'!$AC$9,1)</x:f>
        <x:v>1</x:v>
      </x:c>
      <x:c r="AL41" s="81" t="n">
        <x:f>MIN(X41:AK41)</x:f>
        <x:v>0</x:v>
      </x:c>
      <x:c r="AM41" s="70" t="str">
        <x:f>IF(AL41&gt;=Assumptions!$C$9,"PASS","FAIL")</x:f>
        <x:v>FAIL</x:v>
      </x:c>
      <x:c r="AN41" s="52" t="str">
        <x:v>service cannot export untreated harm</x:v>
      </x:c>
    </x:row>
    <x:row r="42">
      <x:c r="B42" s="66" t="str">
        <x:v>A2</x:v>
      </x:c>
      <x:c r="C42" s="66" t="str">
        <x:v>I11</x:v>
      </x:c>
      <x:c r="D42" s="66" t="str">
        <x:v>One utility corridor lost</x:v>
      </x:c>
      <x:c r="E42" s="66" t="n">
        <x:v>0</x:v>
      </x:c>
      <x:c r="F42" s="66" t="n">
        <x:v>0</x:v>
      </x:c>
      <x:c r="G42" s="66" t="n">
        <x:v>0</x:v>
      </x:c>
      <x:c r="H42" s="66" t="n">
        <x:v>0</x:v>
      </x:c>
      <x:c r="I42" s="66" t="n">
        <x:v>0</x:v>
      </x:c>
      <x:c r="J42" s="80" t="n">
        <x:v>1</x:v>
      </x:c>
      <x:c r="K42" s="66" t="n">
        <x:v>0</x:v>
      </x:c>
      <x:c r="L42" s="66" t="n">
        <x:v>0</x:v>
      </x:c>
      <x:c r="M42" s="66" t="n">
        <x:v>1</x:v>
      </x:c>
      <x:c r="N42" s="66" t="n">
        <x:v>0</x:v>
      </x:c>
      <x:c r="O42" s="66" t="n">
        <x:v>0</x:v>
      </x:c>
      <x:c r="P42" s="66" t="n">
        <x:v>0</x:v>
      </x:c>
      <x:c r="Q42" s="66" t="n">
        <x:v>0</x:v>
      </x:c>
      <x:c r="R42" s="80" t="n">
        <x:v>0</x:v>
      </x:c>
      <x:c r="S42" s="66" t="n">
        <x:v>0</x:v>
      </x:c>
      <x:c r="T42" s="66" t="n">
        <x:v>0</x:v>
      </x:c>
      <x:c r="U42" s="66" t="n">
        <x:v>0</x:v>
      </x:c>
      <x:c r="V42" s="66" t="n">
        <x:v>0</x:v>
      </x:c>
      <x:c r="W42" s="66" t="n">
        <x:v>0</x:v>
      </x:c>
      <x:c r="X42" s="81" t="n">
        <x:f>MIN(1,IF(E42=1,'Island Architectures'!$G$9,'Island Architectures'!$D$9)*(1-F42/'Island Architectures'!$E$9)*(1-G42/'Island Architectures'!$F$9)*IF(H42&lt;'Island Architectures'!$H$9,1,0))</x:f>
        <x:v>1</x:v>
      </x:c>
      <x:c r="Y42" s="81" t="n">
        <x:f>MIN(1,'Island Architectures'!$I$9*(1-I42/'Island Architectures'!$J$9)*J42)</x:f>
        <x:v>1</x:v>
      </x:c>
      <x:c r="Z42" s="81" t="n">
        <x:f>MIN(1,'Island Architectures'!$K$9*(1-K42/'Island Architectures'!$L$9))</x:f>
        <x:v>1</x:v>
      </x:c>
      <x:c r="AA42" s="81" t="n">
        <x:f>MIN(1,'Island Architectures'!$M$9*(1-L42/'Island Architectures'!$N$9))</x:f>
        <x:v>1</x:v>
      </x:c>
      <x:c r="AB42" s="81" t="n">
        <x:f>MIN(1,'Island Architectures'!$O$9*(1-M42/'Island Architectures'!$P$9))</x:f>
        <x:v>0.7</x:v>
      </x:c>
      <x:c r="AC42" s="81" t="n">
        <x:f>MIN(1,'Island Architectures'!$Q$9*(1-N42/'Island Architectures'!$R$9))</x:f>
        <x:v>1</x:v>
      </x:c>
      <x:c r="AD42" s="81" t="n">
        <x:f>MIN(1,'Island Architectures'!$Q$9*(1-O42/'Island Architectures'!$S$9))</x:f>
        <x:v>1</x:v>
      </x:c>
      <x:c r="AE42" s="81" t="n">
        <x:f>MIN(1,'Island Architectures'!$T$9*(1-P42/'Island Architectures'!$U$9))</x:f>
        <x:v>1</x:v>
      </x:c>
      <x:c r="AF42" s="81" t="n">
        <x:f>MIN(1,'Island Architectures'!$V$9*(1-Q42/'Island Architectures'!$W$9))</x:f>
        <x:v>1</x:v>
      </x:c>
      <x:c r="AG42" s="81" t="n">
        <x:f>MIN(1,'Island Architectures'!$X$9*(1-R42)*(1-S42/'Island Architectures'!$Y$9))</x:f>
        <x:v>1</x:v>
      </x:c>
      <x:c r="AH42" s="81" t="n">
        <x:f>IF(T42&lt;'Island Architectures'!$Z$9,1,0)</x:f>
        <x:v>1</x:v>
      </x:c>
      <x:c r="AI42" s="81" t="n">
        <x:f>MIN(1,'Island Architectures'!$AA$9*(1-U42/'Island Architectures'!$AB$9))</x:f>
        <x:v>1</x:v>
      </x:c>
      <x:c r="AJ42" s="81" t="n">
        <x:f>IF(V42=1,MIN(1,'Island Architectures'!$AD$9/Assumptions!$C$10),1)</x:f>
        <x:v>1</x:v>
      </x:c>
      <x:c r="AK42" s="81" t="n">
        <x:f>IF(W42=1,'Island Architectures'!$AC$9,1)</x:f>
        <x:v>1</x:v>
      </x:c>
      <x:c r="AL42" s="81" t="n">
        <x:f>MIN(X42:AK42)</x:f>
        <x:v>0.7</x:v>
      </x:c>
      <x:c r="AM42" s="70" t="str">
        <x:f>IF(AL42&gt;=Assumptions!$C$9,"PASS","FAIL")</x:f>
        <x:v>FAIL</x:v>
      </x:c>
      <x:c r="AN42" s="52" t="str">
        <x:v>loop count is tested as complete service</x:v>
      </x:c>
    </x:row>
    <x:row r="43">
      <x:c r="B43" s="66" t="str">
        <x:v>A2</x:v>
      </x:c>
      <x:c r="C43" s="66" t="str">
        <x:v>I12</x:v>
      </x:c>
      <x:c r="D43" s="66" t="str">
        <x:v>One service node lost</x:v>
      </x:c>
      <x:c r="E43" s="66" t="n">
        <x:v>0</x:v>
      </x:c>
      <x:c r="F43" s="66" t="n">
        <x:v>0</x:v>
      </x:c>
      <x:c r="G43" s="66" t="n">
        <x:v>0</x:v>
      </x:c>
      <x:c r="H43" s="66" t="n">
        <x:v>0</x:v>
      </x:c>
      <x:c r="I43" s="66" t="n">
        <x:v>0</x:v>
      </x:c>
      <x:c r="J43" s="80" t="n">
        <x:v>1</x:v>
      </x:c>
      <x:c r="K43" s="66" t="n">
        <x:v>0</x:v>
      </x:c>
      <x:c r="L43" s="66" t="n">
        <x:v>0</x:v>
      </x:c>
      <x:c r="M43" s="66" t="n">
        <x:v>0</x:v>
      </x:c>
      <x:c r="N43" s="66" t="n">
        <x:v>1</x:v>
      </x:c>
      <x:c r="O43" s="66" t="n">
        <x:v>0</x:v>
      </x:c>
      <x:c r="P43" s="66" t="n">
        <x:v>0</x:v>
      </x:c>
      <x:c r="Q43" s="66" t="n">
        <x:v>0</x:v>
      </x:c>
      <x:c r="R43" s="80" t="n">
        <x:v>0</x:v>
      </x:c>
      <x:c r="S43" s="66" t="n">
        <x:v>0</x:v>
      </x:c>
      <x:c r="T43" s="66" t="n">
        <x:v>0</x:v>
      </x:c>
      <x:c r="U43" s="66" t="n">
        <x:v>0</x:v>
      </x:c>
      <x:c r="V43" s="66" t="n">
        <x:v>0</x:v>
      </x:c>
      <x:c r="W43" s="66" t="n">
        <x:v>0</x:v>
      </x:c>
      <x:c r="X43" s="81" t="n">
        <x:f>MIN(1,IF(E43=1,'Island Architectures'!$G$9,'Island Architectures'!$D$9)*(1-F43/'Island Architectures'!$E$9)*(1-G43/'Island Architectures'!$F$9)*IF(H43&lt;'Island Architectures'!$H$9,1,0))</x:f>
        <x:v>1</x:v>
      </x:c>
      <x:c r="Y43" s="81" t="n">
        <x:f>MIN(1,'Island Architectures'!$I$9*(1-I43/'Island Architectures'!$J$9)*J43)</x:f>
        <x:v>1</x:v>
      </x:c>
      <x:c r="Z43" s="81" t="n">
        <x:f>MIN(1,'Island Architectures'!$K$9*(1-K43/'Island Architectures'!$L$9))</x:f>
        <x:v>1</x:v>
      </x:c>
      <x:c r="AA43" s="81" t="n">
        <x:f>MIN(1,'Island Architectures'!$M$9*(1-L43/'Island Architectures'!$N$9))</x:f>
        <x:v>1</x:v>
      </x:c>
      <x:c r="AB43" s="81" t="n">
        <x:f>MIN(1,'Island Architectures'!$O$9*(1-M43/'Island Architectures'!$P$9))</x:f>
        <x:v>1</x:v>
      </x:c>
      <x:c r="AC43" s="81" t="n">
        <x:f>MIN(1,'Island Architectures'!$Q$9*(1-N43/'Island Architectures'!$R$9))</x:f>
        <x:v>0.5</x:v>
      </x:c>
      <x:c r="AD43" s="81" t="n">
        <x:f>MIN(1,'Island Architectures'!$Q$9*(1-O43/'Island Architectures'!$S$9))</x:f>
        <x:v>1</x:v>
      </x:c>
      <x:c r="AE43" s="81" t="n">
        <x:f>MIN(1,'Island Architectures'!$T$9*(1-P43/'Island Architectures'!$U$9))</x:f>
        <x:v>1</x:v>
      </x:c>
      <x:c r="AF43" s="81" t="n">
        <x:f>MIN(1,'Island Architectures'!$V$9*(1-Q43/'Island Architectures'!$W$9))</x:f>
        <x:v>1</x:v>
      </x:c>
      <x:c r="AG43" s="81" t="n">
        <x:f>MIN(1,'Island Architectures'!$X$9*(1-R43)*(1-S43/'Island Architectures'!$Y$9))</x:f>
        <x:v>1</x:v>
      </x:c>
      <x:c r="AH43" s="81" t="n">
        <x:f>IF(T43&lt;'Island Architectures'!$Z$9,1,0)</x:f>
        <x:v>1</x:v>
      </x:c>
      <x:c r="AI43" s="81" t="n">
        <x:f>MIN(1,'Island Architectures'!$AA$9*(1-U43/'Island Architectures'!$AB$9))</x:f>
        <x:v>1</x:v>
      </x:c>
      <x:c r="AJ43" s="81" t="n">
        <x:f>IF(V43=1,MIN(1,'Island Architectures'!$AD$9/Assumptions!$C$10),1)</x:f>
        <x:v>1</x:v>
      </x:c>
      <x:c r="AK43" s="81" t="n">
        <x:f>IF(W43=1,'Island Architectures'!$AC$9,1)</x:f>
        <x:v>1</x:v>
      </x:c>
      <x:c r="AL43" s="81" t="n">
        <x:f>MIN(X43:AK43)</x:f>
        <x:v>0.5</x:v>
      </x:c>
      <x:c r="AM43" s="70" t="str">
        <x:f>IF(AL43&gt;=Assumptions!$C$9,"PASS","FAIL")</x:f>
        <x:v>FAIL</x:v>
      </x:c>
      <x:c r="AN43" s="52" t="str">
        <x:v>one-tenth of occupied interface removed</x:v>
      </x:c>
    </x:row>
    <x:row r="44">
      <x:c r="B44" s="66" t="str">
        <x:v>A2</x:v>
      </x:c>
      <x:c r="C44" s="66" t="str">
        <x:v>I13</x:v>
      </x:c>
      <x:c r="D44" s="66" t="str">
        <x:v>Two adjacent service nodes lost</x:v>
      </x:c>
      <x:c r="E44" s="66" t="n">
        <x:v>0</x:v>
      </x:c>
      <x:c r="F44" s="66" t="n">
        <x:v>0</x:v>
      </x:c>
      <x:c r="G44" s="66" t="n">
        <x:v>0</x:v>
      </x:c>
      <x:c r="H44" s="66" t="n">
        <x:v>0</x:v>
      </x:c>
      <x:c r="I44" s="66" t="n">
        <x:v>0</x:v>
      </x:c>
      <x:c r="J44" s="80" t="n">
        <x:v>1</x:v>
      </x:c>
      <x:c r="K44" s="66" t="n">
        <x:v>0</x:v>
      </x:c>
      <x:c r="L44" s="66" t="n">
        <x:v>0</x:v>
      </x:c>
      <x:c r="M44" s="66" t="n">
        <x:v>0</x:v>
      </x:c>
      <x:c r="N44" s="66" t="n">
        <x:v>2</x:v>
      </x:c>
      <x:c r="O44" s="66" t="n">
        <x:v>0</x:v>
      </x:c>
      <x:c r="P44" s="66" t="n">
        <x:v>0</x:v>
      </x:c>
      <x:c r="Q44" s="66" t="n">
        <x:v>0</x:v>
      </x:c>
      <x:c r="R44" s="80" t="n">
        <x:v>0</x:v>
      </x:c>
      <x:c r="S44" s="66" t="n">
        <x:v>0</x:v>
      </x:c>
      <x:c r="T44" s="66" t="n">
        <x:v>0</x:v>
      </x:c>
      <x:c r="U44" s="66" t="n">
        <x:v>0</x:v>
      </x:c>
      <x:c r="V44" s="66" t="n">
        <x:v>0</x:v>
      </x:c>
      <x:c r="W44" s="66" t="n">
        <x:v>0</x:v>
      </x:c>
      <x:c r="X44" s="81" t="n">
        <x:f>MIN(1,IF(E44=1,'Island Architectures'!$G$9,'Island Architectures'!$D$9)*(1-F44/'Island Architectures'!$E$9)*(1-G44/'Island Architectures'!$F$9)*IF(H44&lt;'Island Architectures'!$H$9,1,0))</x:f>
        <x:v>1</x:v>
      </x:c>
      <x:c r="Y44" s="81" t="n">
        <x:f>MIN(1,'Island Architectures'!$I$9*(1-I44/'Island Architectures'!$J$9)*J44)</x:f>
        <x:v>1</x:v>
      </x:c>
      <x:c r="Z44" s="81" t="n">
        <x:f>MIN(1,'Island Architectures'!$K$9*(1-K44/'Island Architectures'!$L$9))</x:f>
        <x:v>1</x:v>
      </x:c>
      <x:c r="AA44" s="81" t="n">
        <x:f>MIN(1,'Island Architectures'!$M$9*(1-L44/'Island Architectures'!$N$9))</x:f>
        <x:v>1</x:v>
      </x:c>
      <x:c r="AB44" s="81" t="n">
        <x:f>MIN(1,'Island Architectures'!$O$9*(1-M44/'Island Architectures'!$P$9))</x:f>
        <x:v>1</x:v>
      </x:c>
      <x:c r="AC44" s="81" t="n">
        <x:f>MIN(1,'Island Architectures'!$Q$9*(1-N44/'Island Architectures'!$R$9))</x:f>
        <x:v>0</x:v>
      </x:c>
      <x:c r="AD44" s="81" t="n">
        <x:f>MIN(1,'Island Architectures'!$Q$9*(1-O44/'Island Architectures'!$S$9))</x:f>
        <x:v>1</x:v>
      </x:c>
      <x:c r="AE44" s="81" t="n">
        <x:f>MIN(1,'Island Architectures'!$T$9*(1-P44/'Island Architectures'!$U$9))</x:f>
        <x:v>1</x:v>
      </x:c>
      <x:c r="AF44" s="81" t="n">
        <x:f>MIN(1,'Island Architectures'!$V$9*(1-Q44/'Island Architectures'!$W$9))</x:f>
        <x:v>1</x:v>
      </x:c>
      <x:c r="AG44" s="81" t="n">
        <x:f>MIN(1,'Island Architectures'!$X$9*(1-R44)*(1-S44/'Island Architectures'!$Y$9))</x:f>
        <x:v>1</x:v>
      </x:c>
      <x:c r="AH44" s="81" t="n">
        <x:f>IF(T44&lt;'Island Architectures'!$Z$9,1,0)</x:f>
        <x:v>1</x:v>
      </x:c>
      <x:c r="AI44" s="81" t="n">
        <x:f>MIN(1,'Island Architectures'!$AA$9*(1-U44/'Island Architectures'!$AB$9))</x:f>
        <x:v>1</x:v>
      </x:c>
      <x:c r="AJ44" s="81" t="n">
        <x:f>IF(V44=1,MIN(1,'Island Architectures'!$AD$9/Assumptions!$C$10),1)</x:f>
        <x:v>1</x:v>
      </x:c>
      <x:c r="AK44" s="81" t="n">
        <x:f>IF(W44=1,'Island Architectures'!$AC$9,1)</x:f>
        <x:v>1</x:v>
      </x:c>
      <x:c r="AL44" s="81" t="n">
        <x:f>MIN(X44:AK44)</x:f>
        <x:v>0</x:v>
      </x:c>
      <x:c r="AM44" s="70" t="str">
        <x:f>IF(AL44&gt;=Assumptions!$C$9,"PASS","FAIL")</x:f>
        <x:v>FAIL</x:v>
      </x:c>
      <x:c r="AN44" s="52" t="str">
        <x:v>tests spare node capacity and cross-feed</x:v>
      </x:c>
    </x:row>
    <x:row r="45">
      <x:c r="B45" s="66" t="str">
        <x:v>A2</x:v>
      </x:c>
      <x:c r="C45" s="66" t="str">
        <x:v>I14</x:v>
      </x:c>
      <x:c r="D45" s="66" t="str">
        <x:v>One complete hazard zone lost</x:v>
      </x:c>
      <x:c r="E45" s="66" t="n">
        <x:v>0</x:v>
      </x:c>
      <x:c r="F45" s="66" t="n">
        <x:v>0</x:v>
      </x:c>
      <x:c r="G45" s="66" t="n">
        <x:v>0</x:v>
      </x:c>
      <x:c r="H45" s="66" t="n">
        <x:v>0</x:v>
      </x:c>
      <x:c r="I45" s="66" t="n">
        <x:v>0</x:v>
      </x:c>
      <x:c r="J45" s="80" t="n">
        <x:v>1</x:v>
      </x:c>
      <x:c r="K45" s="66" t="n">
        <x:v>0</x:v>
      </x:c>
      <x:c r="L45" s="66" t="n">
        <x:v>0</x:v>
      </x:c>
      <x:c r="M45" s="66" t="n">
        <x:v>0</x:v>
      </x:c>
      <x:c r="N45" s="66" t="n">
        <x:v>0</x:v>
      </x:c>
      <x:c r="O45" s="66" t="n">
        <x:v>1</x:v>
      </x:c>
      <x:c r="P45" s="66" t="n">
        <x:v>0</x:v>
      </x:c>
      <x:c r="Q45" s="66" t="n">
        <x:v>0</x:v>
      </x:c>
      <x:c r="R45" s="80" t="n">
        <x:v>0</x:v>
      </x:c>
      <x:c r="S45" s="66" t="n">
        <x:v>0</x:v>
      </x:c>
      <x:c r="T45" s="66" t="n">
        <x:v>0</x:v>
      </x:c>
      <x:c r="U45" s="66" t="n">
        <x:v>0</x:v>
      </x:c>
      <x:c r="V45" s="66" t="n">
        <x:v>0</x:v>
      </x:c>
      <x:c r="W45" s="66" t="n">
        <x:v>0</x:v>
      </x:c>
      <x:c r="X45" s="81" t="n">
        <x:f>MIN(1,IF(E45=1,'Island Architectures'!$G$9,'Island Architectures'!$D$9)*(1-F45/'Island Architectures'!$E$9)*(1-G45/'Island Architectures'!$F$9)*IF(H45&lt;'Island Architectures'!$H$9,1,0))</x:f>
        <x:v>1</x:v>
      </x:c>
      <x:c r="Y45" s="81" t="n">
        <x:f>MIN(1,'Island Architectures'!$I$9*(1-I45/'Island Architectures'!$J$9)*J45)</x:f>
        <x:v>1</x:v>
      </x:c>
      <x:c r="Z45" s="81" t="n">
        <x:f>MIN(1,'Island Architectures'!$K$9*(1-K45/'Island Architectures'!$L$9))</x:f>
        <x:v>1</x:v>
      </x:c>
      <x:c r="AA45" s="81" t="n">
        <x:f>MIN(1,'Island Architectures'!$M$9*(1-L45/'Island Architectures'!$N$9))</x:f>
        <x:v>1</x:v>
      </x:c>
      <x:c r="AB45" s="81" t="n">
        <x:f>MIN(1,'Island Architectures'!$O$9*(1-M45/'Island Architectures'!$P$9))</x:f>
        <x:v>1</x:v>
      </x:c>
      <x:c r="AC45" s="81" t="n">
        <x:f>MIN(1,'Island Architectures'!$Q$9*(1-N45/'Island Architectures'!$R$9))</x:f>
        <x:v>1</x:v>
      </x:c>
      <x:c r="AD45" s="81" t="n">
        <x:f>MIN(1,'Island Architectures'!$Q$9*(1-O45/'Island Architectures'!$S$9))</x:f>
        <x:v>0</x:v>
      </x:c>
      <x:c r="AE45" s="81" t="n">
        <x:f>MIN(1,'Island Architectures'!$T$9*(1-P45/'Island Architectures'!$U$9))</x:f>
        <x:v>1</x:v>
      </x:c>
      <x:c r="AF45" s="81" t="n">
        <x:f>MIN(1,'Island Architectures'!$V$9*(1-Q45/'Island Architectures'!$W$9))</x:f>
        <x:v>1</x:v>
      </x:c>
      <x:c r="AG45" s="81" t="n">
        <x:f>MIN(1,'Island Architectures'!$X$9*(1-R45)*(1-S45/'Island Architectures'!$Y$9))</x:f>
        <x:v>1</x:v>
      </x:c>
      <x:c r="AH45" s="81" t="n">
        <x:f>IF(T45&lt;'Island Architectures'!$Z$9,1,0)</x:f>
        <x:v>1</x:v>
      </x:c>
      <x:c r="AI45" s="81" t="n">
        <x:f>MIN(1,'Island Architectures'!$AA$9*(1-U45/'Island Architectures'!$AB$9))</x:f>
        <x:v>1</x:v>
      </x:c>
      <x:c r="AJ45" s="81" t="n">
        <x:f>IF(V45=1,MIN(1,'Island Architectures'!$AD$9/Assumptions!$C$10),1)</x:f>
        <x:v>1</x:v>
      </x:c>
      <x:c r="AK45" s="81" t="n">
        <x:f>IF(W45=1,'Island Architectures'!$AC$9,1)</x:f>
        <x:v>1</x:v>
      </x:c>
      <x:c r="AL45" s="81" t="n">
        <x:f>MIN(X45:AK45)</x:f>
        <x:v>0</x:v>
      </x:c>
      <x:c r="AM45" s="70" t="str">
        <x:f>IF(AL45&gt;=Assumptions!$C$9,"PASS","FAIL")</x:f>
        <x:v>FAIL</x:v>
      </x:c>
      <x:c r="AN45" s="52" t="str">
        <x:v>fire, flood, wind or structural isolation</x:v>
      </x:c>
    </x:row>
    <x:row r="46">
      <x:c r="B46" s="66" t="str">
        <x:v>A2</x:v>
      </x:c>
      <x:c r="C46" s="66" t="str">
        <x:v>I15</x:v>
      </x:c>
      <x:c r="D46" s="66" t="str">
        <x:v>Flood severs one corridor and zone</x:v>
      </x:c>
      <x:c r="E46" s="66" t="n">
        <x:v>0</x:v>
      </x:c>
      <x:c r="F46" s="66" t="n">
        <x:v>0</x:v>
      </x:c>
      <x:c r="G46" s="66" t="n">
        <x:v>0</x:v>
      </x:c>
      <x:c r="H46" s="66" t="n">
        <x:v>0</x:v>
      </x:c>
      <x:c r="I46" s="66" t="n">
        <x:v>0</x:v>
      </x:c>
      <x:c r="J46" s="80" t="n">
        <x:v>1</x:v>
      </x:c>
      <x:c r="K46" s="66" t="n">
        <x:v>0</x:v>
      </x:c>
      <x:c r="L46" s="66" t="n">
        <x:v>0</x:v>
      </x:c>
      <x:c r="M46" s="66" t="n">
        <x:v>1</x:v>
      </x:c>
      <x:c r="N46" s="66" t="n">
        <x:v>0</x:v>
      </x:c>
      <x:c r="O46" s="66" t="n">
        <x:v>1</x:v>
      </x:c>
      <x:c r="P46" s="66" t="n">
        <x:v>0</x:v>
      </x:c>
      <x:c r="Q46" s="66" t="n">
        <x:v>0</x:v>
      </x:c>
      <x:c r="R46" s="80" t="n">
        <x:v>0</x:v>
      </x:c>
      <x:c r="S46" s="66" t="n">
        <x:v>0</x:v>
      </x:c>
      <x:c r="T46" s="66" t="n">
        <x:v>0</x:v>
      </x:c>
      <x:c r="U46" s="66" t="n">
        <x:v>0</x:v>
      </x:c>
      <x:c r="V46" s="66" t="n">
        <x:v>0</x:v>
      </x:c>
      <x:c r="W46" s="66" t="n">
        <x:v>0</x:v>
      </x:c>
      <x:c r="X46" s="81" t="n">
        <x:f>MIN(1,IF(E46=1,'Island Architectures'!$G$9,'Island Architectures'!$D$9)*(1-F46/'Island Architectures'!$E$9)*(1-G46/'Island Architectures'!$F$9)*IF(H46&lt;'Island Architectures'!$H$9,1,0))</x:f>
        <x:v>1</x:v>
      </x:c>
      <x:c r="Y46" s="81" t="n">
        <x:f>MIN(1,'Island Architectures'!$I$9*(1-I46/'Island Architectures'!$J$9)*J46)</x:f>
        <x:v>1</x:v>
      </x:c>
      <x:c r="Z46" s="81" t="n">
        <x:f>MIN(1,'Island Architectures'!$K$9*(1-K46/'Island Architectures'!$L$9))</x:f>
        <x:v>1</x:v>
      </x:c>
      <x:c r="AA46" s="81" t="n">
        <x:f>MIN(1,'Island Architectures'!$M$9*(1-L46/'Island Architectures'!$N$9))</x:f>
        <x:v>1</x:v>
      </x:c>
      <x:c r="AB46" s="81" t="n">
        <x:f>MIN(1,'Island Architectures'!$O$9*(1-M46/'Island Architectures'!$P$9))</x:f>
        <x:v>0.7</x:v>
      </x:c>
      <x:c r="AC46" s="81" t="n">
        <x:f>MIN(1,'Island Architectures'!$Q$9*(1-N46/'Island Architectures'!$R$9))</x:f>
        <x:v>1</x:v>
      </x:c>
      <x:c r="AD46" s="81" t="n">
        <x:f>MIN(1,'Island Architectures'!$Q$9*(1-O46/'Island Architectures'!$S$9))</x:f>
        <x:v>0</x:v>
      </x:c>
      <x:c r="AE46" s="81" t="n">
        <x:f>MIN(1,'Island Architectures'!$T$9*(1-P46/'Island Architectures'!$U$9))</x:f>
        <x:v>1</x:v>
      </x:c>
      <x:c r="AF46" s="81" t="n">
        <x:f>MIN(1,'Island Architectures'!$V$9*(1-Q46/'Island Architectures'!$W$9))</x:f>
        <x:v>1</x:v>
      </x:c>
      <x:c r="AG46" s="81" t="n">
        <x:f>MIN(1,'Island Architectures'!$X$9*(1-R46)*(1-S46/'Island Architectures'!$Y$9))</x:f>
        <x:v>1</x:v>
      </x:c>
      <x:c r="AH46" s="81" t="n">
        <x:f>IF(T46&lt;'Island Architectures'!$Z$9,1,0)</x:f>
        <x:v>1</x:v>
      </x:c>
      <x:c r="AI46" s="81" t="n">
        <x:f>MIN(1,'Island Architectures'!$AA$9*(1-U46/'Island Architectures'!$AB$9))</x:f>
        <x:v>1</x:v>
      </x:c>
      <x:c r="AJ46" s="81" t="n">
        <x:f>IF(V46=1,MIN(1,'Island Architectures'!$AD$9/Assumptions!$C$10),1)</x:f>
        <x:v>1</x:v>
      </x:c>
      <x:c r="AK46" s="81" t="n">
        <x:f>IF(W46=1,'Island Architectures'!$AC$9,1)</x:f>
        <x:v>1</x:v>
      </x:c>
      <x:c r="AL46" s="81" t="n">
        <x:f>MIN(X46:AK46)</x:f>
        <x:v>0</x:v>
      </x:c>
      <x:c r="AM46" s="70" t="str">
        <x:f>IF(AL46&gt;=Assumptions!$C$9,"PASS","FAIL")</x:f>
        <x:v>FAIL</x:v>
      </x:c>
      <x:c r="AN46" s="52" t="str">
        <x:v>coupled local physical loss</x:v>
      </x:c>
    </x:row>
    <x:row r="47">
      <x:c r="B47" s="66" t="str">
        <x:v>A2</x:v>
      </x:c>
      <x:c r="C47" s="66" t="str">
        <x:v>I16</x:v>
      </x:c>
      <x:c r="D47" s="66" t="str">
        <x:v>One control partition lost</x:v>
      </x:c>
      <x:c r="E47" s="66" t="n">
        <x:v>0</x:v>
      </x:c>
      <x:c r="F47" s="66" t="n">
        <x:v>0</x:v>
      </x:c>
      <x:c r="G47" s="66" t="n">
        <x:v>0</x:v>
      </x:c>
      <x:c r="H47" s="66" t="n">
        <x:v>0</x:v>
      </x:c>
      <x:c r="I47" s="66" t="n">
        <x:v>0</x:v>
      </x:c>
      <x:c r="J47" s="80" t="n">
        <x:v>1</x:v>
      </x:c>
      <x:c r="K47" s="66" t="n">
        <x:v>0</x:v>
      </x:c>
      <x:c r="L47" s="66" t="n">
        <x:v>0</x:v>
      </x:c>
      <x:c r="M47" s="66" t="n">
        <x:v>0</x:v>
      </x:c>
      <x:c r="N47" s="66" t="n">
        <x:v>0</x:v>
      </x:c>
      <x:c r="O47" s="66" t="n">
        <x:v>0</x:v>
      </x:c>
      <x:c r="P47" s="66" t="n">
        <x:v>1</x:v>
      </x:c>
      <x:c r="Q47" s="66" t="n">
        <x:v>0</x:v>
      </x:c>
      <x:c r="R47" s="80" t="n">
        <x:v>0</x:v>
      </x:c>
      <x:c r="S47" s="66" t="n">
        <x:v>0</x:v>
      </x:c>
      <x:c r="T47" s="66" t="n">
        <x:v>0</x:v>
      </x:c>
      <x:c r="U47" s="66" t="n">
        <x:v>0</x:v>
      </x:c>
      <x:c r="V47" s="66" t="n">
        <x:v>0</x:v>
      </x:c>
      <x:c r="W47" s="66" t="n">
        <x:v>0</x:v>
      </x:c>
      <x:c r="X47" s="81" t="n">
        <x:f>MIN(1,IF(E47=1,'Island Architectures'!$G$9,'Island Architectures'!$D$9)*(1-F47/'Island Architectures'!$E$9)*(1-G47/'Island Architectures'!$F$9)*IF(H47&lt;'Island Architectures'!$H$9,1,0))</x:f>
        <x:v>1</x:v>
      </x:c>
      <x:c r="Y47" s="81" t="n">
        <x:f>MIN(1,'Island Architectures'!$I$9*(1-I47/'Island Architectures'!$J$9)*J47)</x:f>
        <x:v>1</x:v>
      </x:c>
      <x:c r="Z47" s="81" t="n">
        <x:f>MIN(1,'Island Architectures'!$K$9*(1-K47/'Island Architectures'!$L$9))</x:f>
        <x:v>1</x:v>
      </x:c>
      <x:c r="AA47" s="81" t="n">
        <x:f>MIN(1,'Island Architectures'!$M$9*(1-L47/'Island Architectures'!$N$9))</x:f>
        <x:v>1</x:v>
      </x:c>
      <x:c r="AB47" s="81" t="n">
        <x:f>MIN(1,'Island Architectures'!$O$9*(1-M47/'Island Architectures'!$P$9))</x:f>
        <x:v>1</x:v>
      </x:c>
      <x:c r="AC47" s="81" t="n">
        <x:f>MIN(1,'Island Architectures'!$Q$9*(1-N47/'Island Architectures'!$R$9))</x:f>
        <x:v>1</x:v>
      </x:c>
      <x:c r="AD47" s="81" t="n">
        <x:f>MIN(1,'Island Architectures'!$Q$9*(1-O47/'Island Architectures'!$S$9))</x:f>
        <x:v>1</x:v>
      </x:c>
      <x:c r="AE47" s="81" t="n">
        <x:f>MIN(1,'Island Architectures'!$T$9*(1-P47/'Island Architectures'!$U$9))</x:f>
        <x:v>0.7</x:v>
      </x:c>
      <x:c r="AF47" s="81" t="n">
        <x:f>MIN(1,'Island Architectures'!$V$9*(1-Q47/'Island Architectures'!$W$9))</x:f>
        <x:v>1</x:v>
      </x:c>
      <x:c r="AG47" s="81" t="n">
        <x:f>MIN(1,'Island Architectures'!$X$9*(1-R47)*(1-S47/'Island Architectures'!$Y$9))</x:f>
        <x:v>1</x:v>
      </x:c>
      <x:c r="AH47" s="81" t="n">
        <x:f>IF(T47&lt;'Island Architectures'!$Z$9,1,0)</x:f>
        <x:v>1</x:v>
      </x:c>
      <x:c r="AI47" s="81" t="n">
        <x:f>MIN(1,'Island Architectures'!$AA$9*(1-U47/'Island Architectures'!$AB$9))</x:f>
        <x:v>1</x:v>
      </x:c>
      <x:c r="AJ47" s="81" t="n">
        <x:f>IF(V47=1,MIN(1,'Island Architectures'!$AD$9/Assumptions!$C$10),1)</x:f>
        <x:v>1</x:v>
      </x:c>
      <x:c r="AK47" s="81" t="n">
        <x:f>IF(W47=1,'Island Architectures'!$AC$9,1)</x:f>
        <x:v>1</x:v>
      </x:c>
      <x:c r="AL47" s="81" t="n">
        <x:f>MIN(X47:AK47)</x:f>
        <x:v>0.7</x:v>
      </x:c>
      <x:c r="AM47" s="70" t="str">
        <x:f>IF(AL47&gt;=Assumptions!$C$9,"PASS","FAIL")</x:f>
        <x:v>FAIL</x:v>
      </x:c>
      <x:c r="AN47" s="52" t="str">
        <x:v>protection remains safe without cloud control</x:v>
      </x:c>
    </x:row>
    <x:row r="48">
      <x:c r="B48" s="66" t="str">
        <x:v>A2</x:v>
      </x:c>
      <x:c r="C48" s="66" t="str">
        <x:v>I17</x:v>
      </x:c>
      <x:c r="D48" s="66" t="str">
        <x:v>One communications path lost</x:v>
      </x:c>
      <x:c r="E48" s="66" t="n">
        <x:v>0</x:v>
      </x:c>
      <x:c r="F48" s="66" t="n">
        <x:v>0</x:v>
      </x:c>
      <x:c r="G48" s="66" t="n">
        <x:v>0</x:v>
      </x:c>
      <x:c r="H48" s="66" t="n">
        <x:v>0</x:v>
      </x:c>
      <x:c r="I48" s="66" t="n">
        <x:v>0</x:v>
      </x:c>
      <x:c r="J48" s="80" t="n">
        <x:v>1</x:v>
      </x:c>
      <x:c r="K48" s="66" t="n">
        <x:v>0</x:v>
      </x:c>
      <x:c r="L48" s="66" t="n">
        <x:v>0</x:v>
      </x:c>
      <x:c r="M48" s="66" t="n">
        <x:v>0</x:v>
      </x:c>
      <x:c r="N48" s="66" t="n">
        <x:v>0</x:v>
      </x:c>
      <x:c r="O48" s="66" t="n">
        <x:v>0</x:v>
      </x:c>
      <x:c r="P48" s="66" t="n">
        <x:v>0</x:v>
      </x:c>
      <x:c r="Q48" s="66" t="n">
        <x:v>1</x:v>
      </x:c>
      <x:c r="R48" s="80" t="n">
        <x:v>0</x:v>
      </x:c>
      <x:c r="S48" s="66" t="n">
        <x:v>0</x:v>
      </x:c>
      <x:c r="T48" s="66" t="n">
        <x:v>0</x:v>
      </x:c>
      <x:c r="U48" s="66" t="n">
        <x:v>0</x:v>
      </x:c>
      <x:c r="V48" s="66" t="n">
        <x:v>0</x:v>
      </x:c>
      <x:c r="W48" s="66" t="n">
        <x:v>0</x:v>
      </x:c>
      <x:c r="X48" s="81" t="n">
        <x:f>MIN(1,IF(E48=1,'Island Architectures'!$G$9,'Island Architectures'!$D$9)*(1-F48/'Island Architectures'!$E$9)*(1-G48/'Island Architectures'!$F$9)*IF(H48&lt;'Island Architectures'!$H$9,1,0))</x:f>
        <x:v>1</x:v>
      </x:c>
      <x:c r="Y48" s="81" t="n">
        <x:f>MIN(1,'Island Architectures'!$I$9*(1-I48/'Island Architectures'!$J$9)*J48)</x:f>
        <x:v>1</x:v>
      </x:c>
      <x:c r="Z48" s="81" t="n">
        <x:f>MIN(1,'Island Architectures'!$K$9*(1-K48/'Island Architectures'!$L$9))</x:f>
        <x:v>1</x:v>
      </x:c>
      <x:c r="AA48" s="81" t="n">
        <x:f>MIN(1,'Island Architectures'!$M$9*(1-L48/'Island Architectures'!$N$9))</x:f>
        <x:v>1</x:v>
      </x:c>
      <x:c r="AB48" s="81" t="n">
        <x:f>MIN(1,'Island Architectures'!$O$9*(1-M48/'Island Architectures'!$P$9))</x:f>
        <x:v>1</x:v>
      </x:c>
      <x:c r="AC48" s="81" t="n">
        <x:f>MIN(1,'Island Architectures'!$Q$9*(1-N48/'Island Architectures'!$R$9))</x:f>
        <x:v>1</x:v>
      </x:c>
      <x:c r="AD48" s="81" t="n">
        <x:f>MIN(1,'Island Architectures'!$Q$9*(1-O48/'Island Architectures'!$S$9))</x:f>
        <x:v>1</x:v>
      </x:c>
      <x:c r="AE48" s="81" t="n">
        <x:f>MIN(1,'Island Architectures'!$T$9*(1-P48/'Island Architectures'!$U$9))</x:f>
        <x:v>1</x:v>
      </x:c>
      <x:c r="AF48" s="81" t="n">
        <x:f>MIN(1,'Island Architectures'!$V$9*(1-Q48/'Island Architectures'!$W$9))</x:f>
        <x:v>0.65</x:v>
      </x:c>
      <x:c r="AG48" s="81" t="n">
        <x:f>MIN(1,'Island Architectures'!$X$9*(1-R48)*(1-S48/'Island Architectures'!$Y$9))</x:f>
        <x:v>1</x:v>
      </x:c>
      <x:c r="AH48" s="81" t="n">
        <x:f>IF(T48&lt;'Island Architectures'!$Z$9,1,0)</x:f>
        <x:v>1</x:v>
      </x:c>
      <x:c r="AI48" s="81" t="n">
        <x:f>MIN(1,'Island Architectures'!$AA$9*(1-U48/'Island Architectures'!$AB$9))</x:f>
        <x:v>1</x:v>
      </x:c>
      <x:c r="AJ48" s="81" t="n">
        <x:f>IF(V48=1,MIN(1,'Island Architectures'!$AD$9/Assumptions!$C$10),1)</x:f>
        <x:v>1</x:v>
      </x:c>
      <x:c r="AK48" s="81" t="n">
        <x:f>IF(W48=1,'Island Architectures'!$AC$9,1)</x:f>
        <x:v>1</x:v>
      </x:c>
      <x:c r="AL48" s="81" t="n">
        <x:f>MIN(X48:AK48)</x:f>
        <x:v>0.65</x:v>
      </x:c>
      <x:c r="AM48" s="70" t="str">
        <x:f>IF(AL48&gt;=Assumptions!$C$9,"PASS","FAIL")</x:f>
        <x:v>FAIL</x:v>
      </x:c>
      <x:c r="AN48" s="52" t="str">
        <x:v>voice, data and evidence paths remain</x:v>
      </x:c>
    </x:row>
    <x:row r="49">
      <x:c r="B49" s="66" t="str">
        <x:v>A2</x:v>
      </x:c>
      <x:c r="C49" s="66" t="str">
        <x:v>I18</x:v>
      </x:c>
      <x:c r="D49" s="66" t="str">
        <x:v>Twenty-five percent workforce loss</x:v>
      </x:c>
      <x:c r="E49" s="66" t="n">
        <x:v>0</x:v>
      </x:c>
      <x:c r="F49" s="66" t="n">
        <x:v>0</x:v>
      </x:c>
      <x:c r="G49" s="66" t="n">
        <x:v>0</x:v>
      </x:c>
      <x:c r="H49" s="66" t="n">
        <x:v>0</x:v>
      </x:c>
      <x:c r="I49" s="66" t="n">
        <x:v>0</x:v>
      </x:c>
      <x:c r="J49" s="80" t="n">
        <x:v>1</x:v>
      </x:c>
      <x:c r="K49" s="66" t="n">
        <x:v>0</x:v>
      </x:c>
      <x:c r="L49" s="66" t="n">
        <x:v>0</x:v>
      </x:c>
      <x:c r="M49" s="66" t="n">
        <x:v>0</x:v>
      </x:c>
      <x:c r="N49" s="66" t="n">
        <x:v>0</x:v>
      </x:c>
      <x:c r="O49" s="66" t="n">
        <x:v>0</x:v>
      </x:c>
      <x:c r="P49" s="66" t="n">
        <x:v>0</x:v>
      </x:c>
      <x:c r="Q49" s="66" t="n">
        <x:v>0</x:v>
      </x:c>
      <x:c r="R49" s="80" t="n">
        <x:v>0.25</x:v>
      </x:c>
      <x:c r="S49" s="66" t="n">
        <x:v>0</x:v>
      </x:c>
      <x:c r="T49" s="66" t="n">
        <x:v>0</x:v>
      </x:c>
      <x:c r="U49" s="66" t="n">
        <x:v>0</x:v>
      </x:c>
      <x:c r="V49" s="66" t="n">
        <x:v>0</x:v>
      </x:c>
      <x:c r="W49" s="66" t="n">
        <x:v>0</x:v>
      </x:c>
      <x:c r="X49" s="81" t="n">
        <x:f>MIN(1,IF(E49=1,'Island Architectures'!$G$9,'Island Architectures'!$D$9)*(1-F49/'Island Architectures'!$E$9)*(1-G49/'Island Architectures'!$F$9)*IF(H49&lt;'Island Architectures'!$H$9,1,0))</x:f>
        <x:v>1</x:v>
      </x:c>
      <x:c r="Y49" s="81" t="n">
        <x:f>MIN(1,'Island Architectures'!$I$9*(1-I49/'Island Architectures'!$J$9)*J49)</x:f>
        <x:v>1</x:v>
      </x:c>
      <x:c r="Z49" s="81" t="n">
        <x:f>MIN(1,'Island Architectures'!$K$9*(1-K49/'Island Architectures'!$L$9))</x:f>
        <x:v>1</x:v>
      </x:c>
      <x:c r="AA49" s="81" t="n">
        <x:f>MIN(1,'Island Architectures'!$M$9*(1-L49/'Island Architectures'!$N$9))</x:f>
        <x:v>1</x:v>
      </x:c>
      <x:c r="AB49" s="81" t="n">
        <x:f>MIN(1,'Island Architectures'!$O$9*(1-M49/'Island Architectures'!$P$9))</x:f>
        <x:v>1</x:v>
      </x:c>
      <x:c r="AC49" s="81" t="n">
        <x:f>MIN(1,'Island Architectures'!$Q$9*(1-N49/'Island Architectures'!$R$9))</x:f>
        <x:v>1</x:v>
      </x:c>
      <x:c r="AD49" s="81" t="n">
        <x:f>MIN(1,'Island Architectures'!$Q$9*(1-O49/'Island Architectures'!$S$9))</x:f>
        <x:v>1</x:v>
      </x:c>
      <x:c r="AE49" s="81" t="n">
        <x:f>MIN(1,'Island Architectures'!$T$9*(1-P49/'Island Architectures'!$U$9))</x:f>
        <x:v>1</x:v>
      </x:c>
      <x:c r="AF49" s="81" t="n">
        <x:f>MIN(1,'Island Architectures'!$V$9*(1-Q49/'Island Architectures'!$W$9))</x:f>
        <x:v>1</x:v>
      </x:c>
      <x:c r="AG49" s="81" t="n">
        <x:f>MIN(1,'Island Architectures'!$X$9*(1-R49)*(1-S49/'Island Architectures'!$Y$9))</x:f>
        <x:v>0.8999999999999999</x:v>
      </x:c>
      <x:c r="AH49" s="81" t="n">
        <x:f>IF(T49&lt;'Island Architectures'!$Z$9,1,0)</x:f>
        <x:v>1</x:v>
      </x:c>
      <x:c r="AI49" s="81" t="n">
        <x:f>MIN(1,'Island Architectures'!$AA$9*(1-U49/'Island Architectures'!$AB$9))</x:f>
        <x:v>1</x:v>
      </x:c>
      <x:c r="AJ49" s="81" t="n">
        <x:f>IF(V49=1,MIN(1,'Island Architectures'!$AD$9/Assumptions!$C$10),1)</x:f>
        <x:v>1</x:v>
      </x:c>
      <x:c r="AK49" s="81" t="n">
        <x:f>IF(W49=1,'Island Architectures'!$AC$9,1)</x:f>
        <x:v>1</x:v>
      </x:c>
      <x:c r="AL49" s="81" t="n">
        <x:f>MIN(X49:AK49)</x:f>
        <x:v>0.8999999999999999</x:v>
      </x:c>
      <x:c r="AM49" s="70" t="str">
        <x:f>IF(AL49&gt;=Assumptions!$C$9,"PASS","FAIL")</x:f>
        <x:v>PASS</x:v>
      </x:c>
      <x:c r="AN49" s="52" t="str">
        <x:v>illness, access and household obligations</x:v>
      </x:c>
    </x:row>
    <x:row r="50">
      <x:c r="B50" s="66" t="str">
        <x:v>A2</x:v>
      </x:c>
      <x:c r="C50" s="66" t="str">
        <x:v>I19</x:v>
      </x:c>
      <x:c r="D50" s="66" t="str">
        <x:v>One workforce lineage lost</x:v>
      </x:c>
      <x:c r="E50" s="66" t="n">
        <x:v>0</x:v>
      </x:c>
      <x:c r="F50" s="66" t="n">
        <x:v>0</x:v>
      </x:c>
      <x:c r="G50" s="66" t="n">
        <x:v>0</x:v>
      </x:c>
      <x:c r="H50" s="66" t="n">
        <x:v>0</x:v>
      </x:c>
      <x:c r="I50" s="66" t="n">
        <x:v>0</x:v>
      </x:c>
      <x:c r="J50" s="80" t="n">
        <x:v>1</x:v>
      </x:c>
      <x:c r="K50" s="66" t="n">
        <x:v>0</x:v>
      </x:c>
      <x:c r="L50" s="66" t="n">
        <x:v>0</x:v>
      </x:c>
      <x:c r="M50" s="66" t="n">
        <x:v>0</x:v>
      </x:c>
      <x:c r="N50" s="66" t="n">
        <x:v>0</x:v>
      </x:c>
      <x:c r="O50" s="66" t="n">
        <x:v>0</x:v>
      </x:c>
      <x:c r="P50" s="66" t="n">
        <x:v>0</x:v>
      </x:c>
      <x:c r="Q50" s="66" t="n">
        <x:v>0</x:v>
      </x:c>
      <x:c r="R50" s="80" t="n">
        <x:v>0</x:v>
      </x:c>
      <x:c r="S50" s="66" t="n">
        <x:v>1</x:v>
      </x:c>
      <x:c r="T50" s="66" t="n">
        <x:v>0</x:v>
      </x:c>
      <x:c r="U50" s="66" t="n">
        <x:v>0</x:v>
      </x:c>
      <x:c r="V50" s="66" t="n">
        <x:v>0</x:v>
      </x:c>
      <x:c r="W50" s="66" t="n">
        <x:v>0</x:v>
      </x:c>
      <x:c r="X50" s="81" t="n">
        <x:f>MIN(1,IF(E50=1,'Island Architectures'!$G$9,'Island Architectures'!$D$9)*(1-F50/'Island Architectures'!$E$9)*(1-G50/'Island Architectures'!$F$9)*IF(H50&lt;'Island Architectures'!$H$9,1,0))</x:f>
        <x:v>1</x:v>
      </x:c>
      <x:c r="Y50" s="81" t="n">
        <x:f>MIN(1,'Island Architectures'!$I$9*(1-I50/'Island Architectures'!$J$9)*J50)</x:f>
        <x:v>1</x:v>
      </x:c>
      <x:c r="Z50" s="81" t="n">
        <x:f>MIN(1,'Island Architectures'!$K$9*(1-K50/'Island Architectures'!$L$9))</x:f>
        <x:v>1</x:v>
      </x:c>
      <x:c r="AA50" s="81" t="n">
        <x:f>MIN(1,'Island Architectures'!$M$9*(1-L50/'Island Architectures'!$N$9))</x:f>
        <x:v>1</x:v>
      </x:c>
      <x:c r="AB50" s="81" t="n">
        <x:f>MIN(1,'Island Architectures'!$O$9*(1-M50/'Island Architectures'!$P$9))</x:f>
        <x:v>1</x:v>
      </x:c>
      <x:c r="AC50" s="81" t="n">
        <x:f>MIN(1,'Island Architectures'!$Q$9*(1-N50/'Island Architectures'!$R$9))</x:f>
        <x:v>1</x:v>
      </x:c>
      <x:c r="AD50" s="81" t="n">
        <x:f>MIN(1,'Island Architectures'!$Q$9*(1-O50/'Island Architectures'!$S$9))</x:f>
        <x:v>1</x:v>
      </x:c>
      <x:c r="AE50" s="81" t="n">
        <x:f>MIN(1,'Island Architectures'!$T$9*(1-P50/'Island Architectures'!$U$9))</x:f>
        <x:v>1</x:v>
      </x:c>
      <x:c r="AF50" s="81" t="n">
        <x:f>MIN(1,'Island Architectures'!$V$9*(1-Q50/'Island Architectures'!$W$9))</x:f>
        <x:v>1</x:v>
      </x:c>
      <x:c r="AG50" s="81" t="n">
        <x:f>MIN(1,'Island Architectures'!$X$9*(1-R50)*(1-S50/'Island Architectures'!$Y$9))</x:f>
        <x:v>0</x:v>
      </x:c>
      <x:c r="AH50" s="81" t="n">
        <x:f>IF(T50&lt;'Island Architectures'!$Z$9,1,0)</x:f>
        <x:v>1</x:v>
      </x:c>
      <x:c r="AI50" s="81" t="n">
        <x:f>MIN(1,'Island Architectures'!$AA$9*(1-U50/'Island Architectures'!$AB$9))</x:f>
        <x:v>1</x:v>
      </x:c>
      <x:c r="AJ50" s="81" t="n">
        <x:f>IF(V50=1,MIN(1,'Island Architectures'!$AD$9/Assumptions!$C$10),1)</x:f>
        <x:v>1</x:v>
      </x:c>
      <x:c r="AK50" s="81" t="n">
        <x:f>IF(W50=1,'Island Architectures'!$AC$9,1)</x:f>
        <x:v>1</x:v>
      </x:c>
      <x:c r="AL50" s="81" t="n">
        <x:f>MIN(X50:AK50)</x:f>
        <x:v>0</x:v>
      </x:c>
      <x:c r="AM50" s="70" t="str">
        <x:f>IF(AL50&gt;=Assumptions!$C$9,"PASS","FAIL")</x:f>
        <x:v>FAIL</x:v>
      </x:c>
      <x:c r="AN50" s="52" t="str">
        <x:v>one school or credential chain unavailable</x:v>
      </x:c>
    </x:row>
    <x:row r="51">
      <x:c r="B51" s="66" t="str">
        <x:v>A2</x:v>
      </x:c>
      <x:c r="C51" s="66" t="str">
        <x:v>I20</x:v>
      </x:c>
      <x:c r="D51" s="66" t="str">
        <x:v>One civil-release path lost</x:v>
      </x:c>
      <x:c r="E51" s="66" t="n">
        <x:v>0</x:v>
      </x:c>
      <x:c r="F51" s="66" t="n">
        <x:v>0</x:v>
      </x:c>
      <x:c r="G51" s="66" t="n">
        <x:v>0</x:v>
      </x:c>
      <x:c r="H51" s="66" t="n">
        <x:v>0</x:v>
      </x:c>
      <x:c r="I51" s="66" t="n">
        <x:v>0</x:v>
      </x:c>
      <x:c r="J51" s="80" t="n">
        <x:v>1</x:v>
      </x:c>
      <x:c r="K51" s="66" t="n">
        <x:v>0</x:v>
      </x:c>
      <x:c r="L51" s="66" t="n">
        <x:v>0</x:v>
      </x:c>
      <x:c r="M51" s="66" t="n">
        <x:v>0</x:v>
      </x:c>
      <x:c r="N51" s="66" t="n">
        <x:v>0</x:v>
      </x:c>
      <x:c r="O51" s="66" t="n">
        <x:v>0</x:v>
      </x:c>
      <x:c r="P51" s="66" t="n">
        <x:v>0</x:v>
      </x:c>
      <x:c r="Q51" s="66" t="n">
        <x:v>0</x:v>
      </x:c>
      <x:c r="R51" s="80" t="n">
        <x:v>0</x:v>
      </x:c>
      <x:c r="S51" s="66" t="n">
        <x:v>0</x:v>
      </x:c>
      <x:c r="T51" s="66" t="n">
        <x:v>1</x:v>
      </x:c>
      <x:c r="U51" s="66" t="n">
        <x:v>0</x:v>
      </x:c>
      <x:c r="V51" s="66" t="n">
        <x:v>0</x:v>
      </x:c>
      <x:c r="W51" s="66" t="n">
        <x:v>0</x:v>
      </x:c>
      <x:c r="X51" s="81" t="n">
        <x:f>MIN(1,IF(E51=1,'Island Architectures'!$G$9,'Island Architectures'!$D$9)*(1-F51/'Island Architectures'!$E$9)*(1-G51/'Island Architectures'!$F$9)*IF(H51&lt;'Island Architectures'!$H$9,1,0))</x:f>
        <x:v>1</x:v>
      </x:c>
      <x:c r="Y51" s="81" t="n">
        <x:f>MIN(1,'Island Architectures'!$I$9*(1-I51/'Island Architectures'!$J$9)*J51)</x:f>
        <x:v>1</x:v>
      </x:c>
      <x:c r="Z51" s="81" t="n">
        <x:f>MIN(1,'Island Architectures'!$K$9*(1-K51/'Island Architectures'!$L$9))</x:f>
        <x:v>1</x:v>
      </x:c>
      <x:c r="AA51" s="81" t="n">
        <x:f>MIN(1,'Island Architectures'!$M$9*(1-L51/'Island Architectures'!$N$9))</x:f>
        <x:v>1</x:v>
      </x:c>
      <x:c r="AB51" s="81" t="n">
        <x:f>MIN(1,'Island Architectures'!$O$9*(1-M51/'Island Architectures'!$P$9))</x:f>
        <x:v>1</x:v>
      </x:c>
      <x:c r="AC51" s="81" t="n">
        <x:f>MIN(1,'Island Architectures'!$Q$9*(1-N51/'Island Architectures'!$R$9))</x:f>
        <x:v>1</x:v>
      </x:c>
      <x:c r="AD51" s="81" t="n">
        <x:f>MIN(1,'Island Architectures'!$Q$9*(1-O51/'Island Architectures'!$S$9))</x:f>
        <x:v>1</x:v>
      </x:c>
      <x:c r="AE51" s="81" t="n">
        <x:f>MIN(1,'Island Architectures'!$T$9*(1-P51/'Island Architectures'!$U$9))</x:f>
        <x:v>1</x:v>
      </x:c>
      <x:c r="AF51" s="81" t="n">
        <x:f>MIN(1,'Island Architectures'!$V$9*(1-Q51/'Island Architectures'!$W$9))</x:f>
        <x:v>1</x:v>
      </x:c>
      <x:c r="AG51" s="81" t="n">
        <x:f>MIN(1,'Island Architectures'!$X$9*(1-R51)*(1-S51/'Island Architectures'!$Y$9))</x:f>
        <x:v>1</x:v>
      </x:c>
      <x:c r="AH51" s="81" t="n">
        <x:f>IF(T51&lt;'Island Architectures'!$Z$9,1,0)</x:f>
        <x:v>0</x:v>
      </x:c>
      <x:c r="AI51" s="81" t="n">
        <x:f>MIN(1,'Island Architectures'!$AA$9*(1-U51/'Island Architectures'!$AB$9))</x:f>
        <x:v>1</x:v>
      </x:c>
      <x:c r="AJ51" s="81" t="n">
        <x:f>IF(V51=1,MIN(1,'Island Architectures'!$AD$9/Assumptions!$C$10),1)</x:f>
        <x:v>1</x:v>
      </x:c>
      <x:c r="AK51" s="81" t="n">
        <x:f>IF(W51=1,'Island Architectures'!$AC$9,1)</x:f>
        <x:v>1</x:v>
      </x:c>
      <x:c r="AL51" s="81" t="n">
        <x:f>MIN(X51:AK51)</x:f>
        <x:v>0</x:v>
      </x:c>
      <x:c r="AM51" s="70" t="str">
        <x:f>IF(AL51&gt;=Assumptions!$C$9,"PASS","FAIL")</x:f>
        <x:v>FAIL</x:v>
      </x:c>
      <x:c r="AN51" s="52" t="str">
        <x:v>safe equipment still needs lawful release</x:v>
      </x:c>
    </x:row>
    <x:row r="52">
      <x:c r="B52" s="66" t="str">
        <x:v>A2</x:v>
      </x:c>
      <x:c r="C52" s="66" t="str">
        <x:v>I21</x:v>
      </x:c>
      <x:c r="D52" s="66" t="str">
        <x:v>Largest supplier lineage lost</x:v>
      </x:c>
      <x:c r="E52" s="66" t="n">
        <x:v>0</x:v>
      </x:c>
      <x:c r="F52" s="66" t="n">
        <x:v>0</x:v>
      </x:c>
      <x:c r="G52" s="66" t="n">
        <x:v>0</x:v>
      </x:c>
      <x:c r="H52" s="66" t="n">
        <x:v>0</x:v>
      </x:c>
      <x:c r="I52" s="66" t="n">
        <x:v>0</x:v>
      </x:c>
      <x:c r="J52" s="80" t="n">
        <x:v>1</x:v>
      </x:c>
      <x:c r="K52" s="66" t="n">
        <x:v>0</x:v>
      </x:c>
      <x:c r="L52" s="66" t="n">
        <x:v>0</x:v>
      </x:c>
      <x:c r="M52" s="66" t="n">
        <x:v>0</x:v>
      </x:c>
      <x:c r="N52" s="66" t="n">
        <x:v>0</x:v>
      </x:c>
      <x:c r="O52" s="66" t="n">
        <x:v>0</x:v>
      </x:c>
      <x:c r="P52" s="66" t="n">
        <x:v>0</x:v>
      </x:c>
      <x:c r="Q52" s="66" t="n">
        <x:v>0</x:v>
      </x:c>
      <x:c r="R52" s="80" t="n">
        <x:v>0</x:v>
      </x:c>
      <x:c r="S52" s="66" t="n">
        <x:v>0</x:v>
      </x:c>
      <x:c r="T52" s="66" t="n">
        <x:v>0</x:v>
      </x:c>
      <x:c r="U52" s="66" t="n">
        <x:v>1</x:v>
      </x:c>
      <x:c r="V52" s="66" t="n">
        <x:v>0</x:v>
      </x:c>
      <x:c r="W52" s="66" t="n">
        <x:v>0</x:v>
      </x:c>
      <x:c r="X52" s="81" t="n">
        <x:f>MIN(1,IF(E52=1,'Island Architectures'!$G$9,'Island Architectures'!$D$9)*(1-F52/'Island Architectures'!$E$9)*(1-G52/'Island Architectures'!$F$9)*IF(H52&lt;'Island Architectures'!$H$9,1,0))</x:f>
        <x:v>1</x:v>
      </x:c>
      <x:c r="Y52" s="81" t="n">
        <x:f>MIN(1,'Island Architectures'!$I$9*(1-I52/'Island Architectures'!$J$9)*J52)</x:f>
        <x:v>1</x:v>
      </x:c>
      <x:c r="Z52" s="81" t="n">
        <x:f>MIN(1,'Island Architectures'!$K$9*(1-K52/'Island Architectures'!$L$9))</x:f>
        <x:v>1</x:v>
      </x:c>
      <x:c r="AA52" s="81" t="n">
        <x:f>MIN(1,'Island Architectures'!$M$9*(1-L52/'Island Architectures'!$N$9))</x:f>
        <x:v>1</x:v>
      </x:c>
      <x:c r="AB52" s="81" t="n">
        <x:f>MIN(1,'Island Architectures'!$O$9*(1-M52/'Island Architectures'!$P$9))</x:f>
        <x:v>1</x:v>
      </x:c>
      <x:c r="AC52" s="81" t="n">
        <x:f>MIN(1,'Island Architectures'!$Q$9*(1-N52/'Island Architectures'!$R$9))</x:f>
        <x:v>1</x:v>
      </x:c>
      <x:c r="AD52" s="81" t="n">
        <x:f>MIN(1,'Island Architectures'!$Q$9*(1-O52/'Island Architectures'!$S$9))</x:f>
        <x:v>1</x:v>
      </x:c>
      <x:c r="AE52" s="81" t="n">
        <x:f>MIN(1,'Island Architectures'!$T$9*(1-P52/'Island Architectures'!$U$9))</x:f>
        <x:v>1</x:v>
      </x:c>
      <x:c r="AF52" s="81" t="n">
        <x:f>MIN(1,'Island Architectures'!$V$9*(1-Q52/'Island Architectures'!$W$9))</x:f>
        <x:v>1</x:v>
      </x:c>
      <x:c r="AG52" s="81" t="n">
        <x:f>MIN(1,'Island Architectures'!$X$9*(1-R52)*(1-S52/'Island Architectures'!$Y$9))</x:f>
        <x:v>1</x:v>
      </x:c>
      <x:c r="AH52" s="81" t="n">
        <x:f>IF(T52&lt;'Island Architectures'!$Z$9,1,0)</x:f>
        <x:v>1</x:v>
      </x:c>
      <x:c r="AI52" s="81" t="n">
        <x:f>MIN(1,'Island Architectures'!$AA$9*(1-U52/'Island Architectures'!$AB$9))</x:f>
        <x:v>0</x:v>
      </x:c>
      <x:c r="AJ52" s="81" t="n">
        <x:f>IF(V52=1,MIN(1,'Island Architectures'!$AD$9/Assumptions!$C$10),1)</x:f>
        <x:v>1</x:v>
      </x:c>
      <x:c r="AK52" s="81" t="n">
        <x:f>IF(W52=1,'Island Architectures'!$AC$9,1)</x:f>
        <x:v>1</x:v>
      </x:c>
      <x:c r="AL52" s="81" t="n">
        <x:f>MIN(X52:AK52)</x:f>
        <x:v>0</x:v>
      </x:c>
      <x:c r="AM52" s="70" t="str">
        <x:f>IF(AL52&gt;=Assumptions!$C$9,"PASS","FAIL")</x:f>
        <x:v>FAIL</x:v>
      </x:c>
      <x:c r="AN52" s="52" t="str">
        <x:v>upstream material, software or factory removal</x:v>
      </x:c>
    </x:row>
    <x:row r="53">
      <x:c r="B53" s="66" t="str">
        <x:v>A2</x:v>
      </x:c>
      <x:c r="C53" s="66" t="str">
        <x:v>I22</x:v>
      </x:c>
      <x:c r="D53" s="66" t="str">
        <x:v>Seven-day external logistics denial</x:v>
      </x:c>
      <x:c r="E53" s="66" t="n">
        <x:v>0</x:v>
      </x:c>
      <x:c r="F53" s="66" t="n">
        <x:v>0</x:v>
      </x:c>
      <x:c r="G53" s="66" t="n">
        <x:v>0</x:v>
      </x:c>
      <x:c r="H53" s="66" t="n">
        <x:v>0</x:v>
      </x:c>
      <x:c r="I53" s="66" t="n">
        <x:v>0</x:v>
      </x:c>
      <x:c r="J53" s="80" t="n">
        <x:v>1</x:v>
      </x:c>
      <x:c r="K53" s="66" t="n">
        <x:v>0</x:v>
      </x:c>
      <x:c r="L53" s="66" t="n">
        <x:v>0</x:v>
      </x:c>
      <x:c r="M53" s="66" t="n">
        <x:v>0</x:v>
      </x:c>
      <x:c r="N53" s="66" t="n">
        <x:v>0</x:v>
      </x:c>
      <x:c r="O53" s="66" t="n">
        <x:v>0</x:v>
      </x:c>
      <x:c r="P53" s="66" t="n">
        <x:v>0</x:v>
      </x:c>
      <x:c r="Q53" s="66" t="n">
        <x:v>0</x:v>
      </x:c>
      <x:c r="R53" s="80" t="n">
        <x:v>0</x:v>
      </x:c>
      <x:c r="S53" s="66" t="n">
        <x:v>0</x:v>
      </x:c>
      <x:c r="T53" s="66" t="n">
        <x:v>0</x:v>
      </x:c>
      <x:c r="U53" s="66" t="n">
        <x:v>0</x:v>
      </x:c>
      <x:c r="V53" s="66" t="n">
        <x:v>1</x:v>
      </x:c>
      <x:c r="W53" s="66" t="n">
        <x:v>0</x:v>
      </x:c>
      <x:c r="X53" s="81" t="n">
        <x:f>MIN(1,IF(E53=1,'Island Architectures'!$G$9,'Island Architectures'!$D$9)*(1-F53/'Island Architectures'!$E$9)*(1-G53/'Island Architectures'!$F$9)*IF(H53&lt;'Island Architectures'!$H$9,1,0))</x:f>
        <x:v>1</x:v>
      </x:c>
      <x:c r="Y53" s="81" t="n">
        <x:f>MIN(1,'Island Architectures'!$I$9*(1-I53/'Island Architectures'!$J$9)*J53)</x:f>
        <x:v>1</x:v>
      </x:c>
      <x:c r="Z53" s="81" t="n">
        <x:f>MIN(1,'Island Architectures'!$K$9*(1-K53/'Island Architectures'!$L$9))</x:f>
        <x:v>1</x:v>
      </x:c>
      <x:c r="AA53" s="81" t="n">
        <x:f>MIN(1,'Island Architectures'!$M$9*(1-L53/'Island Architectures'!$N$9))</x:f>
        <x:v>1</x:v>
      </x:c>
      <x:c r="AB53" s="81" t="n">
        <x:f>MIN(1,'Island Architectures'!$O$9*(1-M53/'Island Architectures'!$P$9))</x:f>
        <x:v>1</x:v>
      </x:c>
      <x:c r="AC53" s="81" t="n">
        <x:f>MIN(1,'Island Architectures'!$Q$9*(1-N53/'Island Architectures'!$R$9))</x:f>
        <x:v>1</x:v>
      </x:c>
      <x:c r="AD53" s="81" t="n">
        <x:f>MIN(1,'Island Architectures'!$Q$9*(1-O53/'Island Architectures'!$S$9))</x:f>
        <x:v>1</x:v>
      </x:c>
      <x:c r="AE53" s="81" t="n">
        <x:f>MIN(1,'Island Architectures'!$T$9*(1-P53/'Island Architectures'!$U$9))</x:f>
        <x:v>1</x:v>
      </x:c>
      <x:c r="AF53" s="81" t="n">
        <x:f>MIN(1,'Island Architectures'!$V$9*(1-Q53/'Island Architectures'!$W$9))</x:f>
        <x:v>1</x:v>
      </x:c>
      <x:c r="AG53" s="81" t="n">
        <x:f>MIN(1,'Island Architectures'!$X$9*(1-R53)*(1-S53/'Island Architectures'!$Y$9))</x:f>
        <x:v>1</x:v>
      </x:c>
      <x:c r="AH53" s="81" t="n">
        <x:f>IF(T53&lt;'Island Architectures'!$Z$9,1,0)</x:f>
        <x:v>1</x:v>
      </x:c>
      <x:c r="AI53" s="81" t="n">
        <x:f>MIN(1,'Island Architectures'!$AA$9*(1-U53/'Island Architectures'!$AB$9))</x:f>
        <x:v>1</x:v>
      </x:c>
      <x:c r="AJ53" s="81" t="n">
        <x:f>IF(V53=1,MIN(1,'Island Architectures'!$AD$9/Assumptions!$C$10),1)</x:f>
        <x:v>0.2857142857142857</x:v>
      </x:c>
      <x:c r="AK53" s="81" t="n">
        <x:f>IF(W53=1,'Island Architectures'!$AC$9,1)</x:f>
        <x:v>1</x:v>
      </x:c>
      <x:c r="AL53" s="81" t="n">
        <x:f>MIN(X53:AK53)</x:f>
        <x:v>0.2857142857142857</x:v>
      </x:c>
      <x:c r="AM53" s="70" t="str">
        <x:f>IF(AL53&gt;=Assumptions!$C$9,"PASS","FAIL")</x:f>
        <x:v>FAIL</x:v>
      </x:c>
      <x:c r="AN53" s="52" t="str">
        <x:v>fixed inventory must be an operating system</x:v>
      </x:c>
    </x:row>
    <x:row r="54">
      <x:c r="B54" s="66" t="str">
        <x:v>A2</x:v>
      </x:c>
      <x:c r="C54" s="66" t="str">
        <x:v>I23</x:v>
      </x:c>
      <x:c r="D54" s="66" t="str">
        <x:v>Second mission begins on day three</x:v>
      </x:c>
      <x:c r="E54" s="66" t="n">
        <x:v>0</x:v>
      </x:c>
      <x:c r="F54" s="66" t="n">
        <x:v>0</x:v>
      </x:c>
      <x:c r="G54" s="66" t="n">
        <x:v>0</x:v>
      </x:c>
      <x:c r="H54" s="66" t="n">
        <x:v>0</x:v>
      </x:c>
      <x:c r="I54" s="66" t="n">
        <x:v>0</x:v>
      </x:c>
      <x:c r="J54" s="80" t="n">
        <x:v>1</x:v>
      </x:c>
      <x:c r="K54" s="66" t="n">
        <x:v>0</x:v>
      </x:c>
      <x:c r="L54" s="66" t="n">
        <x:v>0</x:v>
      </x:c>
      <x:c r="M54" s="66" t="n">
        <x:v>0</x:v>
      </x:c>
      <x:c r="N54" s="66" t="n">
        <x:v>0</x:v>
      </x:c>
      <x:c r="O54" s="66" t="n">
        <x:v>0</x:v>
      </x:c>
      <x:c r="P54" s="66" t="n">
        <x:v>0</x:v>
      </x:c>
      <x:c r="Q54" s="66" t="n">
        <x:v>0</x:v>
      </x:c>
      <x:c r="R54" s="80" t="n">
        <x:v>0</x:v>
      </x:c>
      <x:c r="S54" s="66" t="n">
        <x:v>0</x:v>
      </x:c>
      <x:c r="T54" s="66" t="n">
        <x:v>0</x:v>
      </x:c>
      <x:c r="U54" s="66" t="n">
        <x:v>0</x:v>
      </x:c>
      <x:c r="V54" s="66" t="n">
        <x:v>0</x:v>
      </x:c>
      <x:c r="W54" s="66" t="n">
        <x:v>1</x:v>
      </x:c>
      <x:c r="X54" s="81" t="n">
        <x:f>MIN(1,IF(E54=1,'Island Architectures'!$G$9,'Island Architectures'!$D$9)*(1-F54/'Island Architectures'!$E$9)*(1-G54/'Island Architectures'!$F$9)*IF(H54&lt;'Island Architectures'!$H$9,1,0))</x:f>
        <x:v>1</x:v>
      </x:c>
      <x:c r="Y54" s="81" t="n">
        <x:f>MIN(1,'Island Architectures'!$I$9*(1-I54/'Island Architectures'!$J$9)*J54)</x:f>
        <x:v>1</x:v>
      </x:c>
      <x:c r="Z54" s="81" t="n">
        <x:f>MIN(1,'Island Architectures'!$K$9*(1-K54/'Island Architectures'!$L$9))</x:f>
        <x:v>1</x:v>
      </x:c>
      <x:c r="AA54" s="81" t="n">
        <x:f>MIN(1,'Island Architectures'!$M$9*(1-L54/'Island Architectures'!$N$9))</x:f>
        <x:v>1</x:v>
      </x:c>
      <x:c r="AB54" s="81" t="n">
        <x:f>MIN(1,'Island Architectures'!$O$9*(1-M54/'Island Architectures'!$P$9))</x:f>
        <x:v>1</x:v>
      </x:c>
      <x:c r="AC54" s="81" t="n">
        <x:f>MIN(1,'Island Architectures'!$Q$9*(1-N54/'Island Architectures'!$R$9))</x:f>
        <x:v>1</x:v>
      </x:c>
      <x:c r="AD54" s="81" t="n">
        <x:f>MIN(1,'Island Architectures'!$Q$9*(1-O54/'Island Architectures'!$S$9))</x:f>
        <x:v>1</x:v>
      </x:c>
      <x:c r="AE54" s="81" t="n">
        <x:f>MIN(1,'Island Architectures'!$T$9*(1-P54/'Island Architectures'!$U$9))</x:f>
        <x:v>1</x:v>
      </x:c>
      <x:c r="AF54" s="81" t="n">
        <x:f>MIN(1,'Island Architectures'!$V$9*(1-Q54/'Island Architectures'!$W$9))</x:f>
        <x:v>1</x:v>
      </x:c>
      <x:c r="AG54" s="81" t="n">
        <x:f>MIN(1,'Island Architectures'!$X$9*(1-R54)*(1-S54/'Island Architectures'!$Y$9))</x:f>
        <x:v>1</x:v>
      </x:c>
      <x:c r="AH54" s="81" t="n">
        <x:f>IF(T54&lt;'Island Architectures'!$Z$9,1,0)</x:f>
        <x:v>1</x:v>
      </x:c>
      <x:c r="AI54" s="81" t="n">
        <x:f>MIN(1,'Island Architectures'!$AA$9*(1-U54/'Island Architectures'!$AB$9))</x:f>
        <x:v>1</x:v>
      </x:c>
      <x:c r="AJ54" s="81" t="n">
        <x:f>IF(V54=1,MIN(1,'Island Architectures'!$AD$9/Assumptions!$C$10),1)</x:f>
        <x:v>1</x:v>
      </x:c>
      <x:c r="AK54" s="81" t="n">
        <x:f>IF(W54=1,'Island Architectures'!$AC$9,1)</x:f>
        <x:v>0.75</x:v>
      </x:c>
      <x:c r="AL54" s="81" t="n">
        <x:f>MIN(X54:AK54)</x:f>
        <x:v>0.75</x:v>
      </x:c>
      <x:c r="AM54" s="70" t="str">
        <x:f>IF(AL54&gt;=Assumptions!$C$9,"PASS","FAIL")</x:f>
        <x:v>FAIL</x:v>
      </x:c>
      <x:c r="AN54" s="52" t="str">
        <x:v>inspection, repair, reload and recertification</x:v>
      </x:c>
    </x:row>
    <x:row r="55">
      <x:c r="B55" s="66" t="str">
        <x:v>A2</x:v>
      </x:c>
      <x:c r="C55" s="66" t="str">
        <x:v>I24</x:v>
      </x:c>
      <x:c r="D55" s="66" t="str">
        <x:v>Grid, yard, corridor and communications loss</x:v>
      </x:c>
      <x:c r="E55" s="66" t="n">
        <x:v>1</x:v>
      </x:c>
      <x:c r="F55" s="66" t="n">
        <x:v>0</x:v>
      </x:c>
      <x:c r="G55" s="66" t="n">
        <x:v>1</x:v>
      </x:c>
      <x:c r="H55" s="66" t="n">
        <x:v>0</x:v>
      </x:c>
      <x:c r="I55" s="66" t="n">
        <x:v>0</x:v>
      </x:c>
      <x:c r="J55" s="80" t="n">
        <x:v>1</x:v>
      </x:c>
      <x:c r="K55" s="66" t="n">
        <x:v>0</x:v>
      </x:c>
      <x:c r="L55" s="66" t="n">
        <x:v>0</x:v>
      </x:c>
      <x:c r="M55" s="66" t="n">
        <x:v>1</x:v>
      </x:c>
      <x:c r="N55" s="66" t="n">
        <x:v>0</x:v>
      </x:c>
      <x:c r="O55" s="66" t="n">
        <x:v>0</x:v>
      </x:c>
      <x:c r="P55" s="66" t="n">
        <x:v>0</x:v>
      </x:c>
      <x:c r="Q55" s="66" t="n">
        <x:v>1</x:v>
      </x:c>
      <x:c r="R55" s="80" t="n">
        <x:v>0</x:v>
      </x:c>
      <x:c r="S55" s="66" t="n">
        <x:v>0</x:v>
      </x:c>
      <x:c r="T55" s="66" t="n">
        <x:v>0</x:v>
      </x:c>
      <x:c r="U55" s="66" t="n">
        <x:v>0</x:v>
      </x:c>
      <x:c r="V55" s="66" t="n">
        <x:v>0</x:v>
      </x:c>
      <x:c r="W55" s="66" t="n">
        <x:v>0</x:v>
      </x:c>
      <x:c r="X55" s="81" t="n">
        <x:f>MIN(1,IF(E55=1,'Island Architectures'!$G$9,'Island Architectures'!$D$9)*(1-F55/'Island Architectures'!$E$9)*(1-G55/'Island Architectures'!$F$9)*IF(H55&lt;'Island Architectures'!$H$9,1,0))</x:f>
        <x:v>0.3</x:v>
      </x:c>
      <x:c r="Y55" s="81" t="n">
        <x:f>MIN(1,'Island Architectures'!$I$9*(1-I55/'Island Architectures'!$J$9)*J55)</x:f>
        <x:v>1</x:v>
      </x:c>
      <x:c r="Z55" s="81" t="n">
        <x:f>MIN(1,'Island Architectures'!$K$9*(1-K55/'Island Architectures'!$L$9))</x:f>
        <x:v>1</x:v>
      </x:c>
      <x:c r="AA55" s="81" t="n">
        <x:f>MIN(1,'Island Architectures'!$M$9*(1-L55/'Island Architectures'!$N$9))</x:f>
        <x:v>1</x:v>
      </x:c>
      <x:c r="AB55" s="81" t="n">
        <x:f>MIN(1,'Island Architectures'!$O$9*(1-M55/'Island Architectures'!$P$9))</x:f>
        <x:v>0.7</x:v>
      </x:c>
      <x:c r="AC55" s="81" t="n">
        <x:f>MIN(1,'Island Architectures'!$Q$9*(1-N55/'Island Architectures'!$R$9))</x:f>
        <x:v>1</x:v>
      </x:c>
      <x:c r="AD55" s="81" t="n">
        <x:f>MIN(1,'Island Architectures'!$Q$9*(1-O55/'Island Architectures'!$S$9))</x:f>
        <x:v>1</x:v>
      </x:c>
      <x:c r="AE55" s="81" t="n">
        <x:f>MIN(1,'Island Architectures'!$T$9*(1-P55/'Island Architectures'!$U$9))</x:f>
        <x:v>1</x:v>
      </x:c>
      <x:c r="AF55" s="81" t="n">
        <x:f>MIN(1,'Island Architectures'!$V$9*(1-Q55/'Island Architectures'!$W$9))</x:f>
        <x:v>0.65</x:v>
      </x:c>
      <x:c r="AG55" s="81" t="n">
        <x:f>MIN(1,'Island Architectures'!$X$9*(1-R55)*(1-S55/'Island Architectures'!$Y$9))</x:f>
        <x:v>1</x:v>
      </x:c>
      <x:c r="AH55" s="81" t="n">
        <x:f>IF(T55&lt;'Island Architectures'!$Z$9,1,0)</x:f>
        <x:v>1</x:v>
      </x:c>
      <x:c r="AI55" s="81" t="n">
        <x:f>MIN(1,'Island Architectures'!$AA$9*(1-U55/'Island Architectures'!$AB$9))</x:f>
        <x:v>1</x:v>
      </x:c>
      <x:c r="AJ55" s="81" t="n">
        <x:f>IF(V55=1,MIN(1,'Island Architectures'!$AD$9/Assumptions!$C$10),1)</x:f>
        <x:v>1</x:v>
      </x:c>
      <x:c r="AK55" s="81" t="n">
        <x:f>IF(W55=1,'Island Architectures'!$AC$9,1)</x:f>
        <x:v>1</x:v>
      </x:c>
      <x:c r="AL55" s="81" t="n">
        <x:f>MIN(X55:AK55)</x:f>
        <x:v>0.3</x:v>
      </x:c>
      <x:c r="AM55" s="70" t="str">
        <x:f>IF(AL55&gt;=Assumptions!$C$9,"PASS","FAIL")</x:f>
        <x:v>FAIL</x:v>
      </x:c>
      <x:c r="AN55" s="52" t="str">
        <x:v>compound test of physical and institutional separation</x:v>
      </x:c>
    </x:row>
    <x:row r="56">
      <x:c r="B56" s="66" t="str">
        <x:v>A3</x:v>
      </x:c>
      <x:c r="C56" s="66" t="str">
        <x:v>I01</x:v>
      </x:c>
      <x:c r="D56" s="66" t="str">
        <x:v>Baseline release</x:v>
      </x:c>
      <x:c r="E56" s="66" t="n">
        <x:v>0</x:v>
      </x:c>
      <x:c r="F56" s="66" t="n">
        <x:v>0</x:v>
      </x:c>
      <x:c r="G56" s="66" t="n">
        <x:v>0</x:v>
      </x:c>
      <x:c r="H56" s="66" t="n">
        <x:v>0</x:v>
      </x:c>
      <x:c r="I56" s="66" t="n">
        <x:v>0</x:v>
      </x:c>
      <x:c r="J56" s="80" t="n">
        <x:v>1</x:v>
      </x:c>
      <x:c r="K56" s="66" t="n">
        <x:v>0</x:v>
      </x:c>
      <x:c r="L56" s="66" t="n">
        <x:v>0</x:v>
      </x:c>
      <x:c r="M56" s="66" t="n">
        <x:v>0</x:v>
      </x:c>
      <x:c r="N56" s="66" t="n">
        <x:v>0</x:v>
      </x:c>
      <x:c r="O56" s="66" t="n">
        <x:v>0</x:v>
      </x:c>
      <x:c r="P56" s="66" t="n">
        <x:v>0</x:v>
      </x:c>
      <x:c r="Q56" s="66" t="n">
        <x:v>0</x:v>
      </x:c>
      <x:c r="R56" s="80" t="n">
        <x:v>0</x:v>
      </x:c>
      <x:c r="S56" s="66" t="n">
        <x:v>0</x:v>
      </x:c>
      <x:c r="T56" s="66" t="n">
        <x:v>0</x:v>
      </x:c>
      <x:c r="U56" s="66" t="n">
        <x:v>0</x:v>
      </x:c>
      <x:c r="V56" s="66" t="n">
        <x:v>0</x:v>
      </x:c>
      <x:c r="W56" s="66" t="n">
        <x:v>0</x:v>
      </x:c>
      <x:c r="X56" s="81" t="n">
        <x:f>MIN(1,IF(E56=1,'Island Architectures'!$G$10,'Island Architectures'!$D$10)*(1-F56/'Island Architectures'!$E$10)*(1-G56/'Island Architectures'!$F$10)*IF(H56&lt;'Island Architectures'!$H$10,1,0))</x:f>
        <x:v>1</x:v>
      </x:c>
      <x:c r="Y56" s="81" t="n">
        <x:f>MIN(1,'Island Architectures'!$I$10*(1-I56/'Island Architectures'!$J$10)*J56)</x:f>
        <x:v>1</x:v>
      </x:c>
      <x:c r="Z56" s="81" t="n">
        <x:f>MIN(1,'Island Architectures'!$K$10*(1-K56/'Island Architectures'!$L$10))</x:f>
        <x:v>1</x:v>
      </x:c>
      <x:c r="AA56" s="81" t="n">
        <x:f>MIN(1,'Island Architectures'!$M$10*(1-L56/'Island Architectures'!$N$10))</x:f>
        <x:v>1</x:v>
      </x:c>
      <x:c r="AB56" s="81" t="n">
        <x:f>MIN(1,'Island Architectures'!$O$10*(1-M56/'Island Architectures'!$P$10))</x:f>
        <x:v>1</x:v>
      </x:c>
      <x:c r="AC56" s="81" t="n">
        <x:f>MIN(1,'Island Architectures'!$Q$10*(1-N56/'Island Architectures'!$R$10))</x:f>
        <x:v>1</x:v>
      </x:c>
      <x:c r="AD56" s="81" t="n">
        <x:f>MIN(1,'Island Architectures'!$Q$10*(1-O56/'Island Architectures'!$S$10))</x:f>
        <x:v>1</x:v>
      </x:c>
      <x:c r="AE56" s="81" t="n">
        <x:f>MIN(1,'Island Architectures'!$T$10*(1-P56/'Island Architectures'!$U$10))</x:f>
        <x:v>1</x:v>
      </x:c>
      <x:c r="AF56" s="81" t="n">
        <x:f>MIN(1,'Island Architectures'!$V$10*(1-Q56/'Island Architectures'!$W$10))</x:f>
        <x:v>1</x:v>
      </x:c>
      <x:c r="AG56" s="81" t="n">
        <x:f>MIN(1,'Island Architectures'!$X$10*(1-R56)*(1-S56/'Island Architectures'!$Y$10))</x:f>
        <x:v>1</x:v>
      </x:c>
      <x:c r="AH56" s="81" t="n">
        <x:f>IF(T56&lt;'Island Architectures'!$Z$10,1,0)</x:f>
        <x:v>1</x:v>
      </x:c>
      <x:c r="AI56" s="81" t="n">
        <x:f>MIN(1,'Island Architectures'!$AA$10*(1-U56/'Island Architectures'!$AB$10))</x:f>
        <x:v>1</x:v>
      </x:c>
      <x:c r="AJ56" s="81" t="n">
        <x:f>IF(V56=1,MIN(1,'Island Architectures'!$AD$10/Assumptions!$C$10),1)</x:f>
        <x:v>1</x:v>
      </x:c>
      <x:c r="AK56" s="81" t="n">
        <x:f>IF(W56=1,'Island Architectures'!$AC$10,1)</x:f>
        <x:v>1</x:v>
      </x:c>
      <x:c r="AL56" s="81" t="n">
        <x:f>MIN(X56:AK56)</x:f>
        <x:v>1</x:v>
      </x:c>
      <x:c r="AM56" s="70" t="str">
        <x:f>IF(AL56&gt;=Assumptions!$C$9,"PASS","FAIL")</x:f>
        <x:v>PASS</x:v>
      </x:c>
      <x:c r="AN56" s="52" t="str">
        <x:v>all declared systems available</x:v>
      </x:c>
    </x:row>
    <x:row r="57">
      <x:c r="B57" s="66" t="str">
        <x:v>A3</x:v>
      </x:c>
      <x:c r="C57" s="66" t="str">
        <x:v>I02</x:v>
      </x:c>
      <x:c r="D57" s="66" t="str">
        <x:v>External grid absent</x:v>
      </x:c>
      <x:c r="E57" s="66" t="n">
        <x:v>1</x:v>
      </x:c>
      <x:c r="F57" s="66" t="n">
        <x:v>0</x:v>
      </x:c>
      <x:c r="G57" s="66" t="n">
        <x:v>0</x:v>
      </x:c>
      <x:c r="H57" s="66" t="n">
        <x:v>0</x:v>
      </x:c>
      <x:c r="I57" s="66" t="n">
        <x:v>0</x:v>
      </x:c>
      <x:c r="J57" s="80" t="n">
        <x:v>1</x:v>
      </x:c>
      <x:c r="K57" s="66" t="n">
        <x:v>0</x:v>
      </x:c>
      <x:c r="L57" s="66" t="n">
        <x:v>0</x:v>
      </x:c>
      <x:c r="M57" s="66" t="n">
        <x:v>0</x:v>
      </x:c>
      <x:c r="N57" s="66" t="n">
        <x:v>0</x:v>
      </x:c>
      <x:c r="O57" s="66" t="n">
        <x:v>0</x:v>
      </x:c>
      <x:c r="P57" s="66" t="n">
        <x:v>0</x:v>
      </x:c>
      <x:c r="Q57" s="66" t="n">
        <x:v>0</x:v>
      </x:c>
      <x:c r="R57" s="80" t="n">
        <x:v>0</x:v>
      </x:c>
      <x:c r="S57" s="66" t="n">
        <x:v>0</x:v>
      </x:c>
      <x:c r="T57" s="66" t="n">
        <x:v>0</x:v>
      </x:c>
      <x:c r="U57" s="66" t="n">
        <x:v>0</x:v>
      </x:c>
      <x:c r="V57" s="66" t="n">
        <x:v>0</x:v>
      </x:c>
      <x:c r="W57" s="66" t="n">
        <x:v>0</x:v>
      </x:c>
      <x:c r="X57" s="81" t="n">
        <x:f>MIN(1,IF(E57=1,'Island Architectures'!$G$10,'Island Architectures'!$D$10)*(1-F57/'Island Architectures'!$E$10)*(1-G57/'Island Architectures'!$F$10)*IF(H57&lt;'Island Architectures'!$H$10,1,0))</x:f>
        <x:v>1</x:v>
      </x:c>
      <x:c r="Y57" s="81" t="n">
        <x:f>MIN(1,'Island Architectures'!$I$10*(1-I57/'Island Architectures'!$J$10)*J57)</x:f>
        <x:v>1</x:v>
      </x:c>
      <x:c r="Z57" s="81" t="n">
        <x:f>MIN(1,'Island Architectures'!$K$10*(1-K57/'Island Architectures'!$L$10))</x:f>
        <x:v>1</x:v>
      </x:c>
      <x:c r="AA57" s="81" t="n">
        <x:f>MIN(1,'Island Architectures'!$M$10*(1-L57/'Island Architectures'!$N$10))</x:f>
        <x:v>1</x:v>
      </x:c>
      <x:c r="AB57" s="81" t="n">
        <x:f>MIN(1,'Island Architectures'!$O$10*(1-M57/'Island Architectures'!$P$10))</x:f>
        <x:v>1</x:v>
      </x:c>
      <x:c r="AC57" s="81" t="n">
        <x:f>MIN(1,'Island Architectures'!$Q$10*(1-N57/'Island Architectures'!$R$10))</x:f>
        <x:v>1</x:v>
      </x:c>
      <x:c r="AD57" s="81" t="n">
        <x:f>MIN(1,'Island Architectures'!$Q$10*(1-O57/'Island Architectures'!$S$10))</x:f>
        <x:v>1</x:v>
      </x:c>
      <x:c r="AE57" s="81" t="n">
        <x:f>MIN(1,'Island Architectures'!$T$10*(1-P57/'Island Architectures'!$U$10))</x:f>
        <x:v>1</x:v>
      </x:c>
      <x:c r="AF57" s="81" t="n">
        <x:f>MIN(1,'Island Architectures'!$V$10*(1-Q57/'Island Architectures'!$W$10))</x:f>
        <x:v>1</x:v>
      </x:c>
      <x:c r="AG57" s="81" t="n">
        <x:f>MIN(1,'Island Architectures'!$X$10*(1-R57)*(1-S57/'Island Architectures'!$Y$10))</x:f>
        <x:v>1</x:v>
      </x:c>
      <x:c r="AH57" s="81" t="n">
        <x:f>IF(T57&lt;'Island Architectures'!$Z$10,1,0)</x:f>
        <x:v>1</x:v>
      </x:c>
      <x:c r="AI57" s="81" t="n">
        <x:f>MIN(1,'Island Architectures'!$AA$10*(1-U57/'Island Architectures'!$AB$10))</x:f>
        <x:v>1</x:v>
      </x:c>
      <x:c r="AJ57" s="81" t="n">
        <x:f>IF(V57=1,MIN(1,'Island Architectures'!$AD$10/Assumptions!$C$10),1)</x:f>
        <x:v>1</x:v>
      </x:c>
      <x:c r="AK57" s="81" t="n">
        <x:f>IF(W57=1,'Island Architectures'!$AC$10,1)</x:f>
        <x:v>1</x:v>
      </x:c>
      <x:c r="AL57" s="81" t="n">
        <x:f>MIN(X57:AK57)</x:f>
        <x:v>1</x:v>
      </x:c>
      <x:c r="AM57" s="70" t="str">
        <x:f>IF(AL57&gt;=Assumptions!$C$9,"PASS","FAIL")</x:f>
        <x:v>PASS</x:v>
      </x:c>
      <x:c r="AN57" s="52" t="str">
        <x:v>fixed island must remain a source, not a grid customer</x:v>
      </x:c>
    </x:row>
    <x:row r="58">
      <x:c r="B58" s="66" t="str">
        <x:v>A3</x:v>
      </x:c>
      <x:c r="C58" s="66" t="str">
        <x:v>I03</x:v>
      </x:c>
      <x:c r="D58" s="66" t="str">
        <x:v>Largest source lineage lost</x:v>
      </x:c>
      <x:c r="E58" s="66" t="n">
        <x:v>0</x:v>
      </x:c>
      <x:c r="F58" s="66" t="n">
        <x:v>1</x:v>
      </x:c>
      <x:c r="G58" s="66" t="n">
        <x:v>0</x:v>
      </x:c>
      <x:c r="H58" s="66" t="n">
        <x:v>0</x:v>
      </x:c>
      <x:c r="I58" s="66" t="n">
        <x:v>0</x:v>
      </x:c>
      <x:c r="J58" s="80" t="n">
        <x:v>1</x:v>
      </x:c>
      <x:c r="K58" s="66" t="n">
        <x:v>0</x:v>
      </x:c>
      <x:c r="L58" s="66" t="n">
        <x:v>0</x:v>
      </x:c>
      <x:c r="M58" s="66" t="n">
        <x:v>0</x:v>
      </x:c>
      <x:c r="N58" s="66" t="n">
        <x:v>0</x:v>
      </x:c>
      <x:c r="O58" s="66" t="n">
        <x:v>0</x:v>
      </x:c>
      <x:c r="P58" s="66" t="n">
        <x:v>0</x:v>
      </x:c>
      <x:c r="Q58" s="66" t="n">
        <x:v>0</x:v>
      </x:c>
      <x:c r="R58" s="80" t="n">
        <x:v>0</x:v>
      </x:c>
      <x:c r="S58" s="66" t="n">
        <x:v>0</x:v>
      </x:c>
      <x:c r="T58" s="66" t="n">
        <x:v>0</x:v>
      </x:c>
      <x:c r="U58" s="66" t="n">
        <x:v>0</x:v>
      </x:c>
      <x:c r="V58" s="66" t="n">
        <x:v>0</x:v>
      </x:c>
      <x:c r="W58" s="66" t="n">
        <x:v>0</x:v>
      </x:c>
      <x:c r="X58" s="81" t="n">
        <x:f>MIN(1,IF(E58=1,'Island Architectures'!$G$10,'Island Architectures'!$D$10)*(1-F58/'Island Architectures'!$E$10)*(1-G58/'Island Architectures'!$F$10)*IF(H58&lt;'Island Architectures'!$H$10,1,0))</x:f>
        <x:v>1</x:v>
      </x:c>
      <x:c r="Y58" s="81" t="n">
        <x:f>MIN(1,'Island Architectures'!$I$10*(1-I58/'Island Architectures'!$J$10)*J58)</x:f>
        <x:v>1</x:v>
      </x:c>
      <x:c r="Z58" s="81" t="n">
        <x:f>MIN(1,'Island Architectures'!$K$10*(1-K58/'Island Architectures'!$L$10))</x:f>
        <x:v>1</x:v>
      </x:c>
      <x:c r="AA58" s="81" t="n">
        <x:f>MIN(1,'Island Architectures'!$M$10*(1-L58/'Island Architectures'!$N$10))</x:f>
        <x:v>1</x:v>
      </x:c>
      <x:c r="AB58" s="81" t="n">
        <x:f>MIN(1,'Island Architectures'!$O$10*(1-M58/'Island Architectures'!$P$10))</x:f>
        <x:v>1</x:v>
      </x:c>
      <x:c r="AC58" s="81" t="n">
        <x:f>MIN(1,'Island Architectures'!$Q$10*(1-N58/'Island Architectures'!$R$10))</x:f>
        <x:v>1</x:v>
      </x:c>
      <x:c r="AD58" s="81" t="n">
        <x:f>MIN(1,'Island Architectures'!$Q$10*(1-O58/'Island Architectures'!$S$10))</x:f>
        <x:v>1</x:v>
      </x:c>
      <x:c r="AE58" s="81" t="n">
        <x:f>MIN(1,'Island Architectures'!$T$10*(1-P58/'Island Architectures'!$U$10))</x:f>
        <x:v>1</x:v>
      </x:c>
      <x:c r="AF58" s="81" t="n">
        <x:f>MIN(1,'Island Architectures'!$V$10*(1-Q58/'Island Architectures'!$W$10))</x:f>
        <x:v>1</x:v>
      </x:c>
      <x:c r="AG58" s="81" t="n">
        <x:f>MIN(1,'Island Architectures'!$X$10*(1-R58)*(1-S58/'Island Architectures'!$Y$10))</x:f>
        <x:v>1</x:v>
      </x:c>
      <x:c r="AH58" s="81" t="n">
        <x:f>IF(T58&lt;'Island Architectures'!$Z$10,1,0)</x:f>
        <x:v>1</x:v>
      </x:c>
      <x:c r="AI58" s="81" t="n">
        <x:f>MIN(1,'Island Architectures'!$AA$10*(1-U58/'Island Architectures'!$AB$10))</x:f>
        <x:v>1</x:v>
      </x:c>
      <x:c r="AJ58" s="81" t="n">
        <x:f>IF(V58=1,MIN(1,'Island Architectures'!$AD$10/Assumptions!$C$10),1)</x:f>
        <x:v>1</x:v>
      </x:c>
      <x:c r="AK58" s="81" t="n">
        <x:f>IF(W58=1,'Island Architectures'!$AC$10,1)</x:f>
        <x:v>1</x:v>
      </x:c>
      <x:c r="AL58" s="81" t="n">
        <x:f>MIN(X58:AK58)</x:f>
        <x:v>1</x:v>
      </x:c>
      <x:c r="AM58" s="70" t="str">
        <x:f>IF(AL58&gt;=Assumptions!$C$9,"PASS","FAIL")</x:f>
        <x:v>PASS</x:v>
      </x:c>
      <x:c r="AN58" s="52" t="str">
        <x:v>energy technologies share upstream ancestry</x:v>
      </x:c>
    </x:row>
    <x:row r="59">
      <x:c r="B59" s="66" t="str">
        <x:v>A3</x:v>
      </x:c>
      <x:c r="C59" s="66" t="str">
        <x:v>I04</x:v>
      </x:c>
      <x:c r="D59" s="66" t="str">
        <x:v>Largest energy yard lost</x:v>
      </x:c>
      <x:c r="E59" s="66" t="n">
        <x:v>0</x:v>
      </x:c>
      <x:c r="F59" s="66" t="n">
        <x:v>0</x:v>
      </x:c>
      <x:c r="G59" s="66" t="n">
        <x:v>1</x:v>
      </x:c>
      <x:c r="H59" s="66" t="n">
        <x:v>0</x:v>
      </x:c>
      <x:c r="I59" s="66" t="n">
        <x:v>0</x:v>
      </x:c>
      <x:c r="J59" s="80" t="n">
        <x:v>1</x:v>
      </x:c>
      <x:c r="K59" s="66" t="n">
        <x:v>0</x:v>
      </x:c>
      <x:c r="L59" s="66" t="n">
        <x:v>0</x:v>
      </x:c>
      <x:c r="M59" s="66" t="n">
        <x:v>0</x:v>
      </x:c>
      <x:c r="N59" s="66" t="n">
        <x:v>0</x:v>
      </x:c>
      <x:c r="O59" s="66" t="n">
        <x:v>0</x:v>
      </x:c>
      <x:c r="P59" s="66" t="n">
        <x:v>0</x:v>
      </x:c>
      <x:c r="Q59" s="66" t="n">
        <x:v>0</x:v>
      </x:c>
      <x:c r="R59" s="80" t="n">
        <x:v>0</x:v>
      </x:c>
      <x:c r="S59" s="66" t="n">
        <x:v>0</x:v>
      </x:c>
      <x:c r="T59" s="66" t="n">
        <x:v>0</x:v>
      </x:c>
      <x:c r="U59" s="66" t="n">
        <x:v>0</x:v>
      </x:c>
      <x:c r="V59" s="66" t="n">
        <x:v>0</x:v>
      </x:c>
      <x:c r="W59" s="66" t="n">
        <x:v>0</x:v>
      </x:c>
      <x:c r="X59" s="81" t="n">
        <x:f>MIN(1,IF(E59=1,'Island Architectures'!$G$10,'Island Architectures'!$D$10)*(1-F59/'Island Architectures'!$E$10)*(1-G59/'Island Architectures'!$F$10)*IF(H59&lt;'Island Architectures'!$H$10,1,0))</x:f>
        <x:v>1</x:v>
      </x:c>
      <x:c r="Y59" s="81" t="n">
        <x:f>MIN(1,'Island Architectures'!$I$10*(1-I59/'Island Architectures'!$J$10)*J59)</x:f>
        <x:v>1</x:v>
      </x:c>
      <x:c r="Z59" s="81" t="n">
        <x:f>MIN(1,'Island Architectures'!$K$10*(1-K59/'Island Architectures'!$L$10))</x:f>
        <x:v>1</x:v>
      </x:c>
      <x:c r="AA59" s="81" t="n">
        <x:f>MIN(1,'Island Architectures'!$M$10*(1-L59/'Island Architectures'!$N$10))</x:f>
        <x:v>1</x:v>
      </x:c>
      <x:c r="AB59" s="81" t="n">
        <x:f>MIN(1,'Island Architectures'!$O$10*(1-M59/'Island Architectures'!$P$10))</x:f>
        <x:v>1</x:v>
      </x:c>
      <x:c r="AC59" s="81" t="n">
        <x:f>MIN(1,'Island Architectures'!$Q$10*(1-N59/'Island Architectures'!$R$10))</x:f>
        <x:v>1</x:v>
      </x:c>
      <x:c r="AD59" s="81" t="n">
        <x:f>MIN(1,'Island Architectures'!$Q$10*(1-O59/'Island Architectures'!$S$10))</x:f>
        <x:v>1</x:v>
      </x:c>
      <x:c r="AE59" s="81" t="n">
        <x:f>MIN(1,'Island Architectures'!$T$10*(1-P59/'Island Architectures'!$U$10))</x:f>
        <x:v>1</x:v>
      </x:c>
      <x:c r="AF59" s="81" t="n">
        <x:f>MIN(1,'Island Architectures'!$V$10*(1-Q59/'Island Architectures'!$W$10))</x:f>
        <x:v>1</x:v>
      </x:c>
      <x:c r="AG59" s="81" t="n">
        <x:f>MIN(1,'Island Architectures'!$X$10*(1-R59)*(1-S59/'Island Architectures'!$Y$10))</x:f>
        <x:v>1</x:v>
      </x:c>
      <x:c r="AH59" s="81" t="n">
        <x:f>IF(T59&lt;'Island Architectures'!$Z$10,1,0)</x:f>
        <x:v>1</x:v>
      </x:c>
      <x:c r="AI59" s="81" t="n">
        <x:f>MIN(1,'Island Architectures'!$AA$10*(1-U59/'Island Architectures'!$AB$10))</x:f>
        <x:v>1</x:v>
      </x:c>
      <x:c r="AJ59" s="81" t="n">
        <x:f>IF(V59=1,MIN(1,'Island Architectures'!$AD$10/Assumptions!$C$10),1)</x:f>
        <x:v>1</x:v>
      </x:c>
      <x:c r="AK59" s="81" t="n">
        <x:f>IF(W59=1,'Island Architectures'!$AC$10,1)</x:f>
        <x:v>1</x:v>
      </x:c>
      <x:c r="AL59" s="81" t="n">
        <x:f>MIN(X59:AK59)</x:f>
        <x:v>1</x:v>
      </x:c>
      <x:c r="AM59" s="70" t="str">
        <x:f>IF(AL59&gt;=Assumptions!$C$9,"PASS","FAIL")</x:f>
        <x:v>PASS</x:v>
      </x:c>
      <x:c r="AN59" s="52" t="str">
        <x:v>physical fire or flood loss</x:v>
      </x:c>
    </x:row>
    <x:row r="60">
      <x:c r="B60" s="66" t="str">
        <x:v>A3</x:v>
      </x:c>
      <x:c r="C60" s="66" t="str">
        <x:v>I05</x:v>
      </x:c>
      <x:c r="D60" s="66" t="str">
        <x:v>One black-start path lost</x:v>
      </x:c>
      <x:c r="E60" s="66" t="n">
        <x:v>0</x:v>
      </x:c>
      <x:c r="F60" s="66" t="n">
        <x:v>0</x:v>
      </x:c>
      <x:c r="G60" s="66" t="n">
        <x:v>0</x:v>
      </x:c>
      <x:c r="H60" s="66" t="n">
        <x:v>1</x:v>
      </x:c>
      <x:c r="I60" s="66" t="n">
        <x:v>0</x:v>
      </x:c>
      <x:c r="J60" s="80" t="n">
        <x:v>1</x:v>
      </x:c>
      <x:c r="K60" s="66" t="n">
        <x:v>0</x:v>
      </x:c>
      <x:c r="L60" s="66" t="n">
        <x:v>0</x:v>
      </x:c>
      <x:c r="M60" s="66" t="n">
        <x:v>0</x:v>
      </x:c>
      <x:c r="N60" s="66" t="n">
        <x:v>0</x:v>
      </x:c>
      <x:c r="O60" s="66" t="n">
        <x:v>0</x:v>
      </x:c>
      <x:c r="P60" s="66" t="n">
        <x:v>0</x:v>
      </x:c>
      <x:c r="Q60" s="66" t="n">
        <x:v>0</x:v>
      </x:c>
      <x:c r="R60" s="80" t="n">
        <x:v>0</x:v>
      </x:c>
      <x:c r="S60" s="66" t="n">
        <x:v>0</x:v>
      </x:c>
      <x:c r="T60" s="66" t="n">
        <x:v>0</x:v>
      </x:c>
      <x:c r="U60" s="66" t="n">
        <x:v>0</x:v>
      </x:c>
      <x:c r="V60" s="66" t="n">
        <x:v>0</x:v>
      </x:c>
      <x:c r="W60" s="66" t="n">
        <x:v>0</x:v>
      </x:c>
      <x:c r="X60" s="81" t="n">
        <x:f>MIN(1,IF(E60=1,'Island Architectures'!$G$10,'Island Architectures'!$D$10)*(1-F60/'Island Architectures'!$E$10)*(1-G60/'Island Architectures'!$F$10)*IF(H60&lt;'Island Architectures'!$H$10,1,0))</x:f>
        <x:v>1</x:v>
      </x:c>
      <x:c r="Y60" s="81" t="n">
        <x:f>MIN(1,'Island Architectures'!$I$10*(1-I60/'Island Architectures'!$J$10)*J60)</x:f>
        <x:v>1</x:v>
      </x:c>
      <x:c r="Z60" s="81" t="n">
        <x:f>MIN(1,'Island Architectures'!$K$10*(1-K60/'Island Architectures'!$L$10))</x:f>
        <x:v>1</x:v>
      </x:c>
      <x:c r="AA60" s="81" t="n">
        <x:f>MIN(1,'Island Architectures'!$M$10*(1-L60/'Island Architectures'!$N$10))</x:f>
        <x:v>1</x:v>
      </x:c>
      <x:c r="AB60" s="81" t="n">
        <x:f>MIN(1,'Island Architectures'!$O$10*(1-M60/'Island Architectures'!$P$10))</x:f>
        <x:v>1</x:v>
      </x:c>
      <x:c r="AC60" s="81" t="n">
        <x:f>MIN(1,'Island Architectures'!$Q$10*(1-N60/'Island Architectures'!$R$10))</x:f>
        <x:v>1</x:v>
      </x:c>
      <x:c r="AD60" s="81" t="n">
        <x:f>MIN(1,'Island Architectures'!$Q$10*(1-O60/'Island Architectures'!$S$10))</x:f>
        <x:v>1</x:v>
      </x:c>
      <x:c r="AE60" s="81" t="n">
        <x:f>MIN(1,'Island Architectures'!$T$10*(1-P60/'Island Architectures'!$U$10))</x:f>
        <x:v>1</x:v>
      </x:c>
      <x:c r="AF60" s="81" t="n">
        <x:f>MIN(1,'Island Architectures'!$V$10*(1-Q60/'Island Architectures'!$W$10))</x:f>
        <x:v>1</x:v>
      </x:c>
      <x:c r="AG60" s="81" t="n">
        <x:f>MIN(1,'Island Architectures'!$X$10*(1-R60)*(1-S60/'Island Architectures'!$Y$10))</x:f>
        <x:v>1</x:v>
      </x:c>
      <x:c r="AH60" s="81" t="n">
        <x:f>IF(T60&lt;'Island Architectures'!$Z$10,1,0)</x:f>
        <x:v>1</x:v>
      </x:c>
      <x:c r="AI60" s="81" t="n">
        <x:f>MIN(1,'Island Architectures'!$AA$10*(1-U60/'Island Architectures'!$AB$10))</x:f>
        <x:v>1</x:v>
      </x:c>
      <x:c r="AJ60" s="81" t="n">
        <x:f>IF(V60=1,MIN(1,'Island Architectures'!$AD$10/Assumptions!$C$10),1)</x:f>
        <x:v>1</x:v>
      </x:c>
      <x:c r="AK60" s="81" t="n">
        <x:f>IF(W60=1,'Island Architectures'!$AC$10,1)</x:f>
        <x:v>1</x:v>
      </x:c>
      <x:c r="AL60" s="81" t="n">
        <x:f>MIN(X60:AK60)</x:f>
        <x:v>1</x:v>
      </x:c>
      <x:c r="AM60" s="70" t="str">
        <x:f>IF(AL60&gt;=Assumptions!$C$9,"PASS","FAIL")</x:f>
        <x:v>PASS</x:v>
      </x:c>
      <x:c r="AN60" s="52" t="str">
        <x:v>source transition cannot depend on one battery room</x:v>
      </x:c>
    </x:row>
    <x:row r="61">
      <x:c r="B61" s="66" t="str">
        <x:v>A3</x:v>
      </x:c>
      <x:c r="C61" s="66" t="str">
        <x:v>I06</x:v>
      </x:c>
      <x:c r="D61" s="66" t="str">
        <x:v>Largest heat destination lost</x:v>
      </x:c>
      <x:c r="E61" s="66" t="n">
        <x:v>0</x:v>
      </x:c>
      <x:c r="F61" s="66" t="n">
        <x:v>0</x:v>
      </x:c>
      <x:c r="G61" s="66" t="n">
        <x:v>0</x:v>
      </x:c>
      <x:c r="H61" s="66" t="n">
        <x:v>0</x:v>
      </x:c>
      <x:c r="I61" s="66" t="n">
        <x:v>1</x:v>
      </x:c>
      <x:c r="J61" s="80" t="n">
        <x:v>1</x:v>
      </x:c>
      <x:c r="K61" s="66" t="n">
        <x:v>0</x:v>
      </x:c>
      <x:c r="L61" s="66" t="n">
        <x:v>0</x:v>
      </x:c>
      <x:c r="M61" s="66" t="n">
        <x:v>0</x:v>
      </x:c>
      <x:c r="N61" s="66" t="n">
        <x:v>0</x:v>
      </x:c>
      <x:c r="O61" s="66" t="n">
        <x:v>0</x:v>
      </x:c>
      <x:c r="P61" s="66" t="n">
        <x:v>0</x:v>
      </x:c>
      <x:c r="Q61" s="66" t="n">
        <x:v>0</x:v>
      </x:c>
      <x:c r="R61" s="80" t="n">
        <x:v>0</x:v>
      </x:c>
      <x:c r="S61" s="66" t="n">
        <x:v>0</x:v>
      </x:c>
      <x:c r="T61" s="66" t="n">
        <x:v>0</x:v>
      </x:c>
      <x:c r="U61" s="66" t="n">
        <x:v>0</x:v>
      </x:c>
      <x:c r="V61" s="66" t="n">
        <x:v>0</x:v>
      </x:c>
      <x:c r="W61" s="66" t="n">
        <x:v>0</x:v>
      </x:c>
      <x:c r="X61" s="81" t="n">
        <x:f>MIN(1,IF(E61=1,'Island Architectures'!$G$10,'Island Architectures'!$D$10)*(1-F61/'Island Architectures'!$E$10)*(1-G61/'Island Architectures'!$F$10)*IF(H61&lt;'Island Architectures'!$H$10,1,0))</x:f>
        <x:v>1</x:v>
      </x:c>
      <x:c r="Y61" s="81" t="n">
        <x:f>MIN(1,'Island Architectures'!$I$10*(1-I61/'Island Architectures'!$J$10)*J61)</x:f>
        <x:v>1</x:v>
      </x:c>
      <x:c r="Z61" s="81" t="n">
        <x:f>MIN(1,'Island Architectures'!$K$10*(1-K61/'Island Architectures'!$L$10))</x:f>
        <x:v>1</x:v>
      </x:c>
      <x:c r="AA61" s="81" t="n">
        <x:f>MIN(1,'Island Architectures'!$M$10*(1-L61/'Island Architectures'!$N$10))</x:f>
        <x:v>1</x:v>
      </x:c>
      <x:c r="AB61" s="81" t="n">
        <x:f>MIN(1,'Island Architectures'!$O$10*(1-M61/'Island Architectures'!$P$10))</x:f>
        <x:v>1</x:v>
      </x:c>
      <x:c r="AC61" s="81" t="n">
        <x:f>MIN(1,'Island Architectures'!$Q$10*(1-N61/'Island Architectures'!$R$10))</x:f>
        <x:v>1</x:v>
      </x:c>
      <x:c r="AD61" s="81" t="n">
        <x:f>MIN(1,'Island Architectures'!$Q$10*(1-O61/'Island Architectures'!$S$10))</x:f>
        <x:v>1</x:v>
      </x:c>
      <x:c r="AE61" s="81" t="n">
        <x:f>MIN(1,'Island Architectures'!$T$10*(1-P61/'Island Architectures'!$U$10))</x:f>
        <x:v>1</x:v>
      </x:c>
      <x:c r="AF61" s="81" t="n">
        <x:f>MIN(1,'Island Architectures'!$V$10*(1-Q61/'Island Architectures'!$W$10))</x:f>
        <x:v>1</x:v>
      </x:c>
      <x:c r="AG61" s="81" t="n">
        <x:f>MIN(1,'Island Architectures'!$X$10*(1-R61)*(1-S61/'Island Architectures'!$Y$10))</x:f>
        <x:v>1</x:v>
      </x:c>
      <x:c r="AH61" s="81" t="n">
        <x:f>IF(T61&lt;'Island Architectures'!$Z$10,1,0)</x:f>
        <x:v>1</x:v>
      </x:c>
      <x:c r="AI61" s="81" t="n">
        <x:f>MIN(1,'Island Architectures'!$AA$10*(1-U61/'Island Architectures'!$AB$10))</x:f>
        <x:v>1</x:v>
      </x:c>
      <x:c r="AJ61" s="81" t="n">
        <x:f>IF(V61=1,MIN(1,'Island Architectures'!$AD$10/Assumptions!$C$10),1)</x:f>
        <x:v>1</x:v>
      </x:c>
      <x:c r="AK61" s="81" t="n">
        <x:f>IF(W61=1,'Island Architectures'!$AC$10,1)</x:f>
        <x:v>1</x:v>
      </x:c>
      <x:c r="AL61" s="81" t="n">
        <x:f>MIN(X61:AK61)</x:f>
        <x:v>1</x:v>
      </x:c>
      <x:c r="AM61" s="70" t="str">
        <x:f>IF(AL61&gt;=Assumptions!$C$9,"PASS","FAIL")</x:f>
        <x:v>PASS</x:v>
      </x:c>
      <x:c r="AN61" s="52" t="str">
        <x:v>final heat destination is an availability boundary</x:v>
      </x:c>
    </x:row>
    <x:row r="62">
      <x:c r="B62" s="66" t="str">
        <x:v>A3</x:v>
      </x:c>
      <x:c r="C62" s="66" t="str">
        <x:v>I07</x:v>
      </x:c>
      <x:c r="D62" s="66" t="str">
        <x:v>50 C ambient</x:v>
      </x:c>
      <x:c r="E62" s="66" t="n">
        <x:v>0</x:v>
      </x:c>
      <x:c r="F62" s="66" t="n">
        <x:v>0</x:v>
      </x:c>
      <x:c r="G62" s="66" t="n">
        <x:v>0</x:v>
      </x:c>
      <x:c r="H62" s="66" t="n">
        <x:v>0</x:v>
      </x:c>
      <x:c r="I62" s="66" t="n">
        <x:v>0</x:v>
      </x:c>
      <x:c r="J62" s="80" t="n">
        <x:v>0.55</x:v>
      </x:c>
      <x:c r="K62" s="66" t="n">
        <x:v>0</x:v>
      </x:c>
      <x:c r="L62" s="66" t="n">
        <x:v>0</x:v>
      </x:c>
      <x:c r="M62" s="66" t="n">
        <x:v>0</x:v>
      </x:c>
      <x:c r="N62" s="66" t="n">
        <x:v>0</x:v>
      </x:c>
      <x:c r="O62" s="66" t="n">
        <x:v>0</x:v>
      </x:c>
      <x:c r="P62" s="66" t="n">
        <x:v>0</x:v>
      </x:c>
      <x:c r="Q62" s="66" t="n">
        <x:v>0</x:v>
      </x:c>
      <x:c r="R62" s="80" t="n">
        <x:v>0</x:v>
      </x:c>
      <x:c r="S62" s="66" t="n">
        <x:v>0</x:v>
      </x:c>
      <x:c r="T62" s="66" t="n">
        <x:v>0</x:v>
      </x:c>
      <x:c r="U62" s="66" t="n">
        <x:v>0</x:v>
      </x:c>
      <x:c r="V62" s="66" t="n">
        <x:v>0</x:v>
      </x:c>
      <x:c r="W62" s="66" t="n">
        <x:v>0</x:v>
      </x:c>
      <x:c r="X62" s="81" t="n">
        <x:f>MIN(1,IF(E62=1,'Island Architectures'!$G$10,'Island Architectures'!$D$10)*(1-F62/'Island Architectures'!$E$10)*(1-G62/'Island Architectures'!$F$10)*IF(H62&lt;'Island Architectures'!$H$10,1,0))</x:f>
        <x:v>1</x:v>
      </x:c>
      <x:c r="Y62" s="81" t="n">
        <x:f>MIN(1,'Island Architectures'!$I$10*(1-I62/'Island Architectures'!$J$10)*J62)</x:f>
        <x:v>1</x:v>
      </x:c>
      <x:c r="Z62" s="81" t="n">
        <x:f>MIN(1,'Island Architectures'!$K$10*(1-K62/'Island Architectures'!$L$10))</x:f>
        <x:v>1</x:v>
      </x:c>
      <x:c r="AA62" s="81" t="n">
        <x:f>MIN(1,'Island Architectures'!$M$10*(1-L62/'Island Architectures'!$N$10))</x:f>
        <x:v>1</x:v>
      </x:c>
      <x:c r="AB62" s="81" t="n">
        <x:f>MIN(1,'Island Architectures'!$O$10*(1-M62/'Island Architectures'!$P$10))</x:f>
        <x:v>1</x:v>
      </x:c>
      <x:c r="AC62" s="81" t="n">
        <x:f>MIN(1,'Island Architectures'!$Q$10*(1-N62/'Island Architectures'!$R$10))</x:f>
        <x:v>1</x:v>
      </x:c>
      <x:c r="AD62" s="81" t="n">
        <x:f>MIN(1,'Island Architectures'!$Q$10*(1-O62/'Island Architectures'!$S$10))</x:f>
        <x:v>1</x:v>
      </x:c>
      <x:c r="AE62" s="81" t="n">
        <x:f>MIN(1,'Island Architectures'!$T$10*(1-P62/'Island Architectures'!$U$10))</x:f>
        <x:v>1</x:v>
      </x:c>
      <x:c r="AF62" s="81" t="n">
        <x:f>MIN(1,'Island Architectures'!$V$10*(1-Q62/'Island Architectures'!$W$10))</x:f>
        <x:v>1</x:v>
      </x:c>
      <x:c r="AG62" s="81" t="n">
        <x:f>MIN(1,'Island Architectures'!$X$10*(1-R62)*(1-S62/'Island Architectures'!$Y$10))</x:f>
        <x:v>1</x:v>
      </x:c>
      <x:c r="AH62" s="81" t="n">
        <x:f>IF(T62&lt;'Island Architectures'!$Z$10,1,0)</x:f>
        <x:v>1</x:v>
      </x:c>
      <x:c r="AI62" s="81" t="n">
        <x:f>MIN(1,'Island Architectures'!$AA$10*(1-U62/'Island Architectures'!$AB$10))</x:f>
        <x:v>1</x:v>
      </x:c>
      <x:c r="AJ62" s="81" t="n">
        <x:f>IF(V62=1,MIN(1,'Island Architectures'!$AD$10/Assumptions!$C$10),1)</x:f>
        <x:v>1</x:v>
      </x:c>
      <x:c r="AK62" s="81" t="n">
        <x:f>IF(W62=1,'Island Architectures'!$AC$10,1)</x:f>
        <x:v>1</x:v>
      </x:c>
      <x:c r="AL62" s="81" t="n">
        <x:f>MIN(X62:AK62)</x:f>
        <x:v>1</x:v>
      </x:c>
      <x:c r="AM62" s="70" t="str">
        <x:f>IF(AL62&gt;=Assumptions!$C$9,"PASS","FAIL")</x:f>
        <x:v>PASS</x:v>
      </x:c>
      <x:c r="AN62" s="52" t="str">
        <x:v>dry rejection derates at the design extreme</x:v>
      </x:c>
    </x:row>
    <x:row r="63">
      <x:c r="B63" s="66" t="str">
        <x:v>A3</x:v>
      </x:c>
      <x:c r="C63" s="66" t="str">
        <x:v>I08</x:v>
      </x:c>
      <x:c r="D63" s="66" t="str">
        <x:v>Smoke and exchanger fouling</x:v>
      </x:c>
      <x:c r="E63" s="66" t="n">
        <x:v>0</x:v>
      </x:c>
      <x:c r="F63" s="66" t="n">
        <x:v>0</x:v>
      </x:c>
      <x:c r="G63" s="66" t="n">
        <x:v>0</x:v>
      </x:c>
      <x:c r="H63" s="66" t="n">
        <x:v>0</x:v>
      </x:c>
      <x:c r="I63" s="66" t="n">
        <x:v>0</x:v>
      </x:c>
      <x:c r="J63" s="80" t="n">
        <x:v>0.6</x:v>
      </x:c>
      <x:c r="K63" s="66" t="n">
        <x:v>0</x:v>
      </x:c>
      <x:c r="L63" s="66" t="n">
        <x:v>0</x:v>
      </x:c>
      <x:c r="M63" s="66" t="n">
        <x:v>0</x:v>
      </x:c>
      <x:c r="N63" s="66" t="n">
        <x:v>0</x:v>
      </x:c>
      <x:c r="O63" s="66" t="n">
        <x:v>0</x:v>
      </x:c>
      <x:c r="P63" s="66" t="n">
        <x:v>0</x:v>
      </x:c>
      <x:c r="Q63" s="66" t="n">
        <x:v>0</x:v>
      </x:c>
      <x:c r="R63" s="80" t="n">
        <x:v>0</x:v>
      </x:c>
      <x:c r="S63" s="66" t="n">
        <x:v>0</x:v>
      </x:c>
      <x:c r="T63" s="66" t="n">
        <x:v>0</x:v>
      </x:c>
      <x:c r="U63" s="66" t="n">
        <x:v>0</x:v>
      </x:c>
      <x:c r="V63" s="66" t="n">
        <x:v>0</x:v>
      </x:c>
      <x:c r="W63" s="66" t="n">
        <x:v>0</x:v>
      </x:c>
      <x:c r="X63" s="81" t="n">
        <x:f>MIN(1,IF(E63=1,'Island Architectures'!$G$10,'Island Architectures'!$D$10)*(1-F63/'Island Architectures'!$E$10)*(1-G63/'Island Architectures'!$F$10)*IF(H63&lt;'Island Architectures'!$H$10,1,0))</x:f>
        <x:v>1</x:v>
      </x:c>
      <x:c r="Y63" s="81" t="n">
        <x:f>MIN(1,'Island Architectures'!$I$10*(1-I63/'Island Architectures'!$J$10)*J63)</x:f>
        <x:v>1</x:v>
      </x:c>
      <x:c r="Z63" s="81" t="n">
        <x:f>MIN(1,'Island Architectures'!$K$10*(1-K63/'Island Architectures'!$L$10))</x:f>
        <x:v>1</x:v>
      </x:c>
      <x:c r="AA63" s="81" t="n">
        <x:f>MIN(1,'Island Architectures'!$M$10*(1-L63/'Island Architectures'!$N$10))</x:f>
        <x:v>1</x:v>
      </x:c>
      <x:c r="AB63" s="81" t="n">
        <x:f>MIN(1,'Island Architectures'!$O$10*(1-M63/'Island Architectures'!$P$10))</x:f>
        <x:v>1</x:v>
      </x:c>
      <x:c r="AC63" s="81" t="n">
        <x:f>MIN(1,'Island Architectures'!$Q$10*(1-N63/'Island Architectures'!$R$10))</x:f>
        <x:v>1</x:v>
      </x:c>
      <x:c r="AD63" s="81" t="n">
        <x:f>MIN(1,'Island Architectures'!$Q$10*(1-O63/'Island Architectures'!$S$10))</x:f>
        <x:v>1</x:v>
      </x:c>
      <x:c r="AE63" s="81" t="n">
        <x:f>MIN(1,'Island Architectures'!$T$10*(1-P63/'Island Architectures'!$U$10))</x:f>
        <x:v>1</x:v>
      </x:c>
      <x:c r="AF63" s="81" t="n">
        <x:f>MIN(1,'Island Architectures'!$V$10*(1-Q63/'Island Architectures'!$W$10))</x:f>
        <x:v>1</x:v>
      </x:c>
      <x:c r="AG63" s="81" t="n">
        <x:f>MIN(1,'Island Architectures'!$X$10*(1-R63)*(1-S63/'Island Architectures'!$Y$10))</x:f>
        <x:v>1</x:v>
      </x:c>
      <x:c r="AH63" s="81" t="n">
        <x:f>IF(T63&lt;'Island Architectures'!$Z$10,1,0)</x:f>
        <x:v>1</x:v>
      </x:c>
      <x:c r="AI63" s="81" t="n">
        <x:f>MIN(1,'Island Architectures'!$AA$10*(1-U63/'Island Architectures'!$AB$10))</x:f>
        <x:v>1</x:v>
      </x:c>
      <x:c r="AJ63" s="81" t="n">
        <x:f>IF(V63=1,MIN(1,'Island Architectures'!$AD$10/Assumptions!$C$10),1)</x:f>
        <x:v>1</x:v>
      </x:c>
      <x:c r="AK63" s="81" t="n">
        <x:f>IF(W63=1,'Island Architectures'!$AC$10,1)</x:f>
        <x:v>1</x:v>
      </x:c>
      <x:c r="AL63" s="81" t="n">
        <x:f>MIN(X63:AK63)</x:f>
        <x:v>1</x:v>
      </x:c>
      <x:c r="AM63" s="70" t="str">
        <x:f>IF(AL63&gt;=Assumptions!$C$9,"PASS","FAIL")</x:f>
        <x:v>PASS</x:v>
      </x:c>
      <x:c r="AN63" s="52" t="str">
        <x:v>air systems retain service under smoke</x:v>
      </x:c>
    </x:row>
    <x:row r="64">
      <x:c r="B64" s="66" t="str">
        <x:v>A3</x:v>
      </x:c>
      <x:c r="C64" s="66" t="str">
        <x:v>I09</x:v>
      </x:c>
      <x:c r="D64" s="66" t="str">
        <x:v>Largest water-source path lost</x:v>
      </x:c>
      <x:c r="E64" s="66" t="n">
        <x:v>0</x:v>
      </x:c>
      <x:c r="F64" s="66" t="n">
        <x:v>0</x:v>
      </x:c>
      <x:c r="G64" s="66" t="n">
        <x:v>0</x:v>
      </x:c>
      <x:c r="H64" s="66" t="n">
        <x:v>0</x:v>
      </x:c>
      <x:c r="I64" s="66" t="n">
        <x:v>0</x:v>
      </x:c>
      <x:c r="J64" s="80" t="n">
        <x:v>1</x:v>
      </x:c>
      <x:c r="K64" s="66" t="n">
        <x:v>1</x:v>
      </x:c>
      <x:c r="L64" s="66" t="n">
        <x:v>0</x:v>
      </x:c>
      <x:c r="M64" s="66" t="n">
        <x:v>0</x:v>
      </x:c>
      <x:c r="N64" s="66" t="n">
        <x:v>0</x:v>
      </x:c>
      <x:c r="O64" s="66" t="n">
        <x:v>0</x:v>
      </x:c>
      <x:c r="P64" s="66" t="n">
        <x:v>0</x:v>
      </x:c>
      <x:c r="Q64" s="66" t="n">
        <x:v>0</x:v>
      </x:c>
      <x:c r="R64" s="80" t="n">
        <x:v>0</x:v>
      </x:c>
      <x:c r="S64" s="66" t="n">
        <x:v>0</x:v>
      </x:c>
      <x:c r="T64" s="66" t="n">
        <x:v>0</x:v>
      </x:c>
      <x:c r="U64" s="66" t="n">
        <x:v>0</x:v>
      </x:c>
      <x:c r="V64" s="66" t="n">
        <x:v>0</x:v>
      </x:c>
      <x:c r="W64" s="66" t="n">
        <x:v>0</x:v>
      </x:c>
      <x:c r="X64" s="81" t="n">
        <x:f>MIN(1,IF(E64=1,'Island Architectures'!$G$10,'Island Architectures'!$D$10)*(1-F64/'Island Architectures'!$E$10)*(1-G64/'Island Architectures'!$F$10)*IF(H64&lt;'Island Architectures'!$H$10,1,0))</x:f>
        <x:v>1</x:v>
      </x:c>
      <x:c r="Y64" s="81" t="n">
        <x:f>MIN(1,'Island Architectures'!$I$10*(1-I64/'Island Architectures'!$J$10)*J64)</x:f>
        <x:v>1</x:v>
      </x:c>
      <x:c r="Z64" s="81" t="n">
        <x:f>MIN(1,'Island Architectures'!$K$10*(1-K64/'Island Architectures'!$L$10))</x:f>
        <x:v>0.9</x:v>
      </x:c>
      <x:c r="AA64" s="81" t="n">
        <x:f>MIN(1,'Island Architectures'!$M$10*(1-L64/'Island Architectures'!$N$10))</x:f>
        <x:v>1</x:v>
      </x:c>
      <x:c r="AB64" s="81" t="n">
        <x:f>MIN(1,'Island Architectures'!$O$10*(1-M64/'Island Architectures'!$P$10))</x:f>
        <x:v>1</x:v>
      </x:c>
      <x:c r="AC64" s="81" t="n">
        <x:f>MIN(1,'Island Architectures'!$Q$10*(1-N64/'Island Architectures'!$R$10))</x:f>
        <x:v>1</x:v>
      </x:c>
      <x:c r="AD64" s="81" t="n">
        <x:f>MIN(1,'Island Architectures'!$Q$10*(1-O64/'Island Architectures'!$S$10))</x:f>
        <x:v>1</x:v>
      </x:c>
      <x:c r="AE64" s="81" t="n">
        <x:f>MIN(1,'Island Architectures'!$T$10*(1-P64/'Island Architectures'!$U$10))</x:f>
        <x:v>1</x:v>
      </x:c>
      <x:c r="AF64" s="81" t="n">
        <x:f>MIN(1,'Island Architectures'!$V$10*(1-Q64/'Island Architectures'!$W$10))</x:f>
        <x:v>1</x:v>
      </x:c>
      <x:c r="AG64" s="81" t="n">
        <x:f>MIN(1,'Island Architectures'!$X$10*(1-R64)*(1-S64/'Island Architectures'!$Y$10))</x:f>
        <x:v>1</x:v>
      </x:c>
      <x:c r="AH64" s="81" t="n">
        <x:f>IF(T64&lt;'Island Architectures'!$Z$10,1,0)</x:f>
        <x:v>1</x:v>
      </x:c>
      <x:c r="AI64" s="81" t="n">
        <x:f>MIN(1,'Island Architectures'!$AA$10*(1-U64/'Island Architectures'!$AB$10))</x:f>
        <x:v>1</x:v>
      </x:c>
      <x:c r="AJ64" s="81" t="n">
        <x:f>IF(V64=1,MIN(1,'Island Architectures'!$AD$10/Assumptions!$C$10),1)</x:f>
        <x:v>1</x:v>
      </x:c>
      <x:c r="AK64" s="81" t="n">
        <x:f>IF(W64=1,'Island Architectures'!$AC$10,1)</x:f>
        <x:v>1</x:v>
      </x:c>
      <x:c r="AL64" s="81" t="n">
        <x:f>MIN(X64:AK64)</x:f>
        <x:v>0.9</x:v>
      </x:c>
      <x:c r="AM64" s="70" t="str">
        <x:f>IF(AL64&gt;=Assumptions!$C$9,"PASS","FAIL")</x:f>
        <x:v>PASS</x:v>
      </x:c>
      <x:c r="AN64" s="52" t="str">
        <x:v>clean storage does not replace sustained production</x:v>
      </x:c>
    </x:row>
    <x:row r="65">
      <x:c r="B65" s="66" t="str">
        <x:v>A3</x:v>
      </x:c>
      <x:c r="C65" s="66" t="str">
        <x:v>I10</x:v>
      </x:c>
      <x:c r="D65" s="66" t="str">
        <x:v>Largest wastewater path lost</x:v>
      </x:c>
      <x:c r="E65" s="66" t="n">
        <x:v>0</x:v>
      </x:c>
      <x:c r="F65" s="66" t="n">
        <x:v>0</x:v>
      </x:c>
      <x:c r="G65" s="66" t="n">
        <x:v>0</x:v>
      </x:c>
      <x:c r="H65" s="66" t="n">
        <x:v>0</x:v>
      </x:c>
      <x:c r="I65" s="66" t="n">
        <x:v>0</x:v>
      </x:c>
      <x:c r="J65" s="80" t="n">
        <x:v>1</x:v>
      </x:c>
      <x:c r="K65" s="66" t="n">
        <x:v>0</x:v>
      </x:c>
      <x:c r="L65" s="66" t="n">
        <x:v>1</x:v>
      </x:c>
      <x:c r="M65" s="66" t="n">
        <x:v>0</x:v>
      </x:c>
      <x:c r="N65" s="66" t="n">
        <x:v>0</x:v>
      </x:c>
      <x:c r="O65" s="66" t="n">
        <x:v>0</x:v>
      </x:c>
      <x:c r="P65" s="66" t="n">
        <x:v>0</x:v>
      </x:c>
      <x:c r="Q65" s="66" t="n">
        <x:v>0</x:v>
      </x:c>
      <x:c r="R65" s="80" t="n">
        <x:v>0</x:v>
      </x:c>
      <x:c r="S65" s="66" t="n">
        <x:v>0</x:v>
      </x:c>
      <x:c r="T65" s="66" t="n">
        <x:v>0</x:v>
      </x:c>
      <x:c r="U65" s="66" t="n">
        <x:v>0</x:v>
      </x:c>
      <x:c r="V65" s="66" t="n">
        <x:v>0</x:v>
      </x:c>
      <x:c r="W65" s="66" t="n">
        <x:v>0</x:v>
      </x:c>
      <x:c r="X65" s="81" t="n">
        <x:f>MIN(1,IF(E65=1,'Island Architectures'!$G$10,'Island Architectures'!$D$10)*(1-F65/'Island Architectures'!$E$10)*(1-G65/'Island Architectures'!$F$10)*IF(H65&lt;'Island Architectures'!$H$10,1,0))</x:f>
        <x:v>1</x:v>
      </x:c>
      <x:c r="Y65" s="81" t="n">
        <x:f>MIN(1,'Island Architectures'!$I$10*(1-I65/'Island Architectures'!$J$10)*J65)</x:f>
        <x:v>1</x:v>
      </x:c>
      <x:c r="Z65" s="81" t="n">
        <x:f>MIN(1,'Island Architectures'!$K$10*(1-K65/'Island Architectures'!$L$10))</x:f>
        <x:v>1</x:v>
      </x:c>
      <x:c r="AA65" s="81" t="n">
        <x:f>MIN(1,'Island Architectures'!$M$10*(1-L65/'Island Architectures'!$N$10))</x:f>
        <x:v>1</x:v>
      </x:c>
      <x:c r="AB65" s="81" t="n">
        <x:f>MIN(1,'Island Architectures'!$O$10*(1-M65/'Island Architectures'!$P$10))</x:f>
        <x:v>1</x:v>
      </x:c>
      <x:c r="AC65" s="81" t="n">
        <x:f>MIN(1,'Island Architectures'!$Q$10*(1-N65/'Island Architectures'!$R$10))</x:f>
        <x:v>1</x:v>
      </x:c>
      <x:c r="AD65" s="81" t="n">
        <x:f>MIN(1,'Island Architectures'!$Q$10*(1-O65/'Island Architectures'!$S$10))</x:f>
        <x:v>1</x:v>
      </x:c>
      <x:c r="AE65" s="81" t="n">
        <x:f>MIN(1,'Island Architectures'!$T$10*(1-P65/'Island Architectures'!$U$10))</x:f>
        <x:v>1</x:v>
      </x:c>
      <x:c r="AF65" s="81" t="n">
        <x:f>MIN(1,'Island Architectures'!$V$10*(1-Q65/'Island Architectures'!$W$10))</x:f>
        <x:v>1</x:v>
      </x:c>
      <x:c r="AG65" s="81" t="n">
        <x:f>MIN(1,'Island Architectures'!$X$10*(1-R65)*(1-S65/'Island Architectures'!$Y$10))</x:f>
        <x:v>1</x:v>
      </x:c>
      <x:c r="AH65" s="81" t="n">
        <x:f>IF(T65&lt;'Island Architectures'!$Z$10,1,0)</x:f>
        <x:v>1</x:v>
      </x:c>
      <x:c r="AI65" s="81" t="n">
        <x:f>MIN(1,'Island Architectures'!$AA$10*(1-U65/'Island Architectures'!$AB$10))</x:f>
        <x:v>1</x:v>
      </x:c>
      <x:c r="AJ65" s="81" t="n">
        <x:f>IF(V65=1,MIN(1,'Island Architectures'!$AD$10/Assumptions!$C$10),1)</x:f>
        <x:v>1</x:v>
      </x:c>
      <x:c r="AK65" s="81" t="n">
        <x:f>IF(W65=1,'Island Architectures'!$AC$10,1)</x:f>
        <x:v>1</x:v>
      </x:c>
      <x:c r="AL65" s="81" t="n">
        <x:f>MIN(X65:AK65)</x:f>
        <x:v>1</x:v>
      </x:c>
      <x:c r="AM65" s="70" t="str">
        <x:f>IF(AL65&gt;=Assumptions!$C$9,"PASS","FAIL")</x:f>
        <x:v>PASS</x:v>
      </x:c>
      <x:c r="AN65" s="52" t="str">
        <x:v>service cannot export untreated harm</x:v>
      </x:c>
    </x:row>
    <x:row r="66">
      <x:c r="B66" s="66" t="str">
        <x:v>A3</x:v>
      </x:c>
      <x:c r="C66" s="66" t="str">
        <x:v>I11</x:v>
      </x:c>
      <x:c r="D66" s="66" t="str">
        <x:v>One utility corridor lost</x:v>
      </x:c>
      <x:c r="E66" s="66" t="n">
        <x:v>0</x:v>
      </x:c>
      <x:c r="F66" s="66" t="n">
        <x:v>0</x:v>
      </x:c>
      <x:c r="G66" s="66" t="n">
        <x:v>0</x:v>
      </x:c>
      <x:c r="H66" s="66" t="n">
        <x:v>0</x:v>
      </x:c>
      <x:c r="I66" s="66" t="n">
        <x:v>0</x:v>
      </x:c>
      <x:c r="J66" s="80" t="n">
        <x:v>1</x:v>
      </x:c>
      <x:c r="K66" s="66" t="n">
        <x:v>0</x:v>
      </x:c>
      <x:c r="L66" s="66" t="n">
        <x:v>0</x:v>
      </x:c>
      <x:c r="M66" s="66" t="n">
        <x:v>1</x:v>
      </x:c>
      <x:c r="N66" s="66" t="n">
        <x:v>0</x:v>
      </x:c>
      <x:c r="O66" s="66" t="n">
        <x:v>0</x:v>
      </x:c>
      <x:c r="P66" s="66" t="n">
        <x:v>0</x:v>
      </x:c>
      <x:c r="Q66" s="66" t="n">
        <x:v>0</x:v>
      </x:c>
      <x:c r="R66" s="80" t="n">
        <x:v>0</x:v>
      </x:c>
      <x:c r="S66" s="66" t="n">
        <x:v>0</x:v>
      </x:c>
      <x:c r="T66" s="66" t="n">
        <x:v>0</x:v>
      </x:c>
      <x:c r="U66" s="66" t="n">
        <x:v>0</x:v>
      </x:c>
      <x:c r="V66" s="66" t="n">
        <x:v>0</x:v>
      </x:c>
      <x:c r="W66" s="66" t="n">
        <x:v>0</x:v>
      </x:c>
      <x:c r="X66" s="81" t="n">
        <x:f>MIN(1,IF(E66=1,'Island Architectures'!$G$10,'Island Architectures'!$D$10)*(1-F66/'Island Architectures'!$E$10)*(1-G66/'Island Architectures'!$F$10)*IF(H66&lt;'Island Architectures'!$H$10,1,0))</x:f>
        <x:v>1</x:v>
      </x:c>
      <x:c r="Y66" s="81" t="n">
        <x:f>MIN(1,'Island Architectures'!$I$10*(1-I66/'Island Architectures'!$J$10)*J66)</x:f>
        <x:v>1</x:v>
      </x:c>
      <x:c r="Z66" s="81" t="n">
        <x:f>MIN(1,'Island Architectures'!$K$10*(1-K66/'Island Architectures'!$L$10))</x:f>
        <x:v>1</x:v>
      </x:c>
      <x:c r="AA66" s="81" t="n">
        <x:f>MIN(1,'Island Architectures'!$M$10*(1-L66/'Island Architectures'!$N$10))</x:f>
        <x:v>1</x:v>
      </x:c>
      <x:c r="AB66" s="81" t="n">
        <x:f>MIN(1,'Island Architectures'!$O$10*(1-M66/'Island Architectures'!$P$10))</x:f>
        <x:v>0.9</x:v>
      </x:c>
      <x:c r="AC66" s="81" t="n">
        <x:f>MIN(1,'Island Architectures'!$Q$10*(1-N66/'Island Architectures'!$R$10))</x:f>
        <x:v>1</x:v>
      </x:c>
      <x:c r="AD66" s="81" t="n">
        <x:f>MIN(1,'Island Architectures'!$Q$10*(1-O66/'Island Architectures'!$S$10))</x:f>
        <x:v>1</x:v>
      </x:c>
      <x:c r="AE66" s="81" t="n">
        <x:f>MIN(1,'Island Architectures'!$T$10*(1-P66/'Island Architectures'!$U$10))</x:f>
        <x:v>1</x:v>
      </x:c>
      <x:c r="AF66" s="81" t="n">
        <x:f>MIN(1,'Island Architectures'!$V$10*(1-Q66/'Island Architectures'!$W$10))</x:f>
        <x:v>1</x:v>
      </x:c>
      <x:c r="AG66" s="81" t="n">
        <x:f>MIN(1,'Island Architectures'!$X$10*(1-R66)*(1-S66/'Island Architectures'!$Y$10))</x:f>
        <x:v>1</x:v>
      </x:c>
      <x:c r="AH66" s="81" t="n">
        <x:f>IF(T66&lt;'Island Architectures'!$Z$10,1,0)</x:f>
        <x:v>1</x:v>
      </x:c>
      <x:c r="AI66" s="81" t="n">
        <x:f>MIN(1,'Island Architectures'!$AA$10*(1-U66/'Island Architectures'!$AB$10))</x:f>
        <x:v>1</x:v>
      </x:c>
      <x:c r="AJ66" s="81" t="n">
        <x:f>IF(V66=1,MIN(1,'Island Architectures'!$AD$10/Assumptions!$C$10),1)</x:f>
        <x:v>1</x:v>
      </x:c>
      <x:c r="AK66" s="81" t="n">
        <x:f>IF(W66=1,'Island Architectures'!$AC$10,1)</x:f>
        <x:v>1</x:v>
      </x:c>
      <x:c r="AL66" s="81" t="n">
        <x:f>MIN(X66:AK66)</x:f>
        <x:v>0.9</x:v>
      </x:c>
      <x:c r="AM66" s="70" t="str">
        <x:f>IF(AL66&gt;=Assumptions!$C$9,"PASS","FAIL")</x:f>
        <x:v>PASS</x:v>
      </x:c>
      <x:c r="AN66" s="52" t="str">
        <x:v>loop count is tested as complete service</x:v>
      </x:c>
    </x:row>
    <x:row r="67">
      <x:c r="B67" s="66" t="str">
        <x:v>A3</x:v>
      </x:c>
      <x:c r="C67" s="66" t="str">
        <x:v>I12</x:v>
      </x:c>
      <x:c r="D67" s="66" t="str">
        <x:v>One service node lost</x:v>
      </x:c>
      <x:c r="E67" s="66" t="n">
        <x:v>0</x:v>
      </x:c>
      <x:c r="F67" s="66" t="n">
        <x:v>0</x:v>
      </x:c>
      <x:c r="G67" s="66" t="n">
        <x:v>0</x:v>
      </x:c>
      <x:c r="H67" s="66" t="n">
        <x:v>0</x:v>
      </x:c>
      <x:c r="I67" s="66" t="n">
        <x:v>0</x:v>
      </x:c>
      <x:c r="J67" s="80" t="n">
        <x:v>1</x:v>
      </x:c>
      <x:c r="K67" s="66" t="n">
        <x:v>0</x:v>
      </x:c>
      <x:c r="L67" s="66" t="n">
        <x:v>0</x:v>
      </x:c>
      <x:c r="M67" s="66" t="n">
        <x:v>0</x:v>
      </x:c>
      <x:c r="N67" s="66" t="n">
        <x:v>1</x:v>
      </x:c>
      <x:c r="O67" s="66" t="n">
        <x:v>0</x:v>
      </x:c>
      <x:c r="P67" s="66" t="n">
        <x:v>0</x:v>
      </x:c>
      <x:c r="Q67" s="66" t="n">
        <x:v>0</x:v>
      </x:c>
      <x:c r="R67" s="80" t="n">
        <x:v>0</x:v>
      </x:c>
      <x:c r="S67" s="66" t="n">
        <x:v>0</x:v>
      </x:c>
      <x:c r="T67" s="66" t="n">
        <x:v>0</x:v>
      </x:c>
      <x:c r="U67" s="66" t="n">
        <x:v>0</x:v>
      </x:c>
      <x:c r="V67" s="66" t="n">
        <x:v>0</x:v>
      </x:c>
      <x:c r="W67" s="66" t="n">
        <x:v>0</x:v>
      </x:c>
      <x:c r="X67" s="81" t="n">
        <x:f>MIN(1,IF(E67=1,'Island Architectures'!$G$10,'Island Architectures'!$D$10)*(1-F67/'Island Architectures'!$E$10)*(1-G67/'Island Architectures'!$F$10)*IF(H67&lt;'Island Architectures'!$H$10,1,0))</x:f>
        <x:v>1</x:v>
      </x:c>
      <x:c r="Y67" s="81" t="n">
        <x:f>MIN(1,'Island Architectures'!$I$10*(1-I67/'Island Architectures'!$J$10)*J67)</x:f>
        <x:v>1</x:v>
      </x:c>
      <x:c r="Z67" s="81" t="n">
        <x:f>MIN(1,'Island Architectures'!$K$10*(1-K67/'Island Architectures'!$L$10))</x:f>
        <x:v>1</x:v>
      </x:c>
      <x:c r="AA67" s="81" t="n">
        <x:f>MIN(1,'Island Architectures'!$M$10*(1-L67/'Island Architectures'!$N$10))</x:f>
        <x:v>1</x:v>
      </x:c>
      <x:c r="AB67" s="81" t="n">
        <x:f>MIN(1,'Island Architectures'!$O$10*(1-M67/'Island Architectures'!$P$10))</x:f>
        <x:v>1</x:v>
      </x:c>
      <x:c r="AC67" s="81" t="n">
        <x:f>MIN(1,'Island Architectures'!$Q$10*(1-N67/'Island Architectures'!$R$10))</x:f>
        <x:v>0.8</x:v>
      </x:c>
      <x:c r="AD67" s="81" t="n">
        <x:f>MIN(1,'Island Architectures'!$Q$10*(1-O67/'Island Architectures'!$S$10))</x:f>
        <x:v>1</x:v>
      </x:c>
      <x:c r="AE67" s="81" t="n">
        <x:f>MIN(1,'Island Architectures'!$T$10*(1-P67/'Island Architectures'!$U$10))</x:f>
        <x:v>1</x:v>
      </x:c>
      <x:c r="AF67" s="81" t="n">
        <x:f>MIN(1,'Island Architectures'!$V$10*(1-Q67/'Island Architectures'!$W$10))</x:f>
        <x:v>1</x:v>
      </x:c>
      <x:c r="AG67" s="81" t="n">
        <x:f>MIN(1,'Island Architectures'!$X$10*(1-R67)*(1-S67/'Island Architectures'!$Y$10))</x:f>
        <x:v>1</x:v>
      </x:c>
      <x:c r="AH67" s="81" t="n">
        <x:f>IF(T67&lt;'Island Architectures'!$Z$10,1,0)</x:f>
        <x:v>1</x:v>
      </x:c>
      <x:c r="AI67" s="81" t="n">
        <x:f>MIN(1,'Island Architectures'!$AA$10*(1-U67/'Island Architectures'!$AB$10))</x:f>
        <x:v>1</x:v>
      </x:c>
      <x:c r="AJ67" s="81" t="n">
        <x:f>IF(V67=1,MIN(1,'Island Architectures'!$AD$10/Assumptions!$C$10),1)</x:f>
        <x:v>1</x:v>
      </x:c>
      <x:c r="AK67" s="81" t="n">
        <x:f>IF(W67=1,'Island Architectures'!$AC$10,1)</x:f>
        <x:v>1</x:v>
      </x:c>
      <x:c r="AL67" s="81" t="n">
        <x:f>MIN(X67:AK67)</x:f>
        <x:v>0.8</x:v>
      </x:c>
      <x:c r="AM67" s="70" t="str">
        <x:f>IF(AL67&gt;=Assumptions!$C$9,"PASS","FAIL")</x:f>
        <x:v>FAIL</x:v>
      </x:c>
      <x:c r="AN67" s="52" t="str">
        <x:v>one-tenth of occupied interface removed</x:v>
      </x:c>
    </x:row>
    <x:row r="68">
      <x:c r="B68" s="66" t="str">
        <x:v>A3</x:v>
      </x:c>
      <x:c r="C68" s="66" t="str">
        <x:v>I13</x:v>
      </x:c>
      <x:c r="D68" s="66" t="str">
        <x:v>Two adjacent service nodes lost</x:v>
      </x:c>
      <x:c r="E68" s="66" t="n">
        <x:v>0</x:v>
      </x:c>
      <x:c r="F68" s="66" t="n">
        <x:v>0</x:v>
      </x:c>
      <x:c r="G68" s="66" t="n">
        <x:v>0</x:v>
      </x:c>
      <x:c r="H68" s="66" t="n">
        <x:v>0</x:v>
      </x:c>
      <x:c r="I68" s="66" t="n">
        <x:v>0</x:v>
      </x:c>
      <x:c r="J68" s="80" t="n">
        <x:v>1</x:v>
      </x:c>
      <x:c r="K68" s="66" t="n">
        <x:v>0</x:v>
      </x:c>
      <x:c r="L68" s="66" t="n">
        <x:v>0</x:v>
      </x:c>
      <x:c r="M68" s="66" t="n">
        <x:v>0</x:v>
      </x:c>
      <x:c r="N68" s="66" t="n">
        <x:v>2</x:v>
      </x:c>
      <x:c r="O68" s="66" t="n">
        <x:v>0</x:v>
      </x:c>
      <x:c r="P68" s="66" t="n">
        <x:v>0</x:v>
      </x:c>
      <x:c r="Q68" s="66" t="n">
        <x:v>0</x:v>
      </x:c>
      <x:c r="R68" s="80" t="n">
        <x:v>0</x:v>
      </x:c>
      <x:c r="S68" s="66" t="n">
        <x:v>0</x:v>
      </x:c>
      <x:c r="T68" s="66" t="n">
        <x:v>0</x:v>
      </x:c>
      <x:c r="U68" s="66" t="n">
        <x:v>0</x:v>
      </x:c>
      <x:c r="V68" s="66" t="n">
        <x:v>0</x:v>
      </x:c>
      <x:c r="W68" s="66" t="n">
        <x:v>0</x:v>
      </x:c>
      <x:c r="X68" s="81" t="n">
        <x:f>MIN(1,IF(E68=1,'Island Architectures'!$G$10,'Island Architectures'!$D$10)*(1-F68/'Island Architectures'!$E$10)*(1-G68/'Island Architectures'!$F$10)*IF(H68&lt;'Island Architectures'!$H$10,1,0))</x:f>
        <x:v>1</x:v>
      </x:c>
      <x:c r="Y68" s="81" t="n">
        <x:f>MIN(1,'Island Architectures'!$I$10*(1-I68/'Island Architectures'!$J$10)*J68)</x:f>
        <x:v>1</x:v>
      </x:c>
      <x:c r="Z68" s="81" t="n">
        <x:f>MIN(1,'Island Architectures'!$K$10*(1-K68/'Island Architectures'!$L$10))</x:f>
        <x:v>1</x:v>
      </x:c>
      <x:c r="AA68" s="81" t="n">
        <x:f>MIN(1,'Island Architectures'!$M$10*(1-L68/'Island Architectures'!$N$10))</x:f>
        <x:v>1</x:v>
      </x:c>
      <x:c r="AB68" s="81" t="n">
        <x:f>MIN(1,'Island Architectures'!$O$10*(1-M68/'Island Architectures'!$P$10))</x:f>
        <x:v>1</x:v>
      </x:c>
      <x:c r="AC68" s="81" t="n">
        <x:f>MIN(1,'Island Architectures'!$Q$10*(1-N68/'Island Architectures'!$R$10))</x:f>
        <x:v>0.6</x:v>
      </x:c>
      <x:c r="AD68" s="81" t="n">
        <x:f>MIN(1,'Island Architectures'!$Q$10*(1-O68/'Island Architectures'!$S$10))</x:f>
        <x:v>1</x:v>
      </x:c>
      <x:c r="AE68" s="81" t="n">
        <x:f>MIN(1,'Island Architectures'!$T$10*(1-P68/'Island Architectures'!$U$10))</x:f>
        <x:v>1</x:v>
      </x:c>
      <x:c r="AF68" s="81" t="n">
        <x:f>MIN(1,'Island Architectures'!$V$10*(1-Q68/'Island Architectures'!$W$10))</x:f>
        <x:v>1</x:v>
      </x:c>
      <x:c r="AG68" s="81" t="n">
        <x:f>MIN(1,'Island Architectures'!$X$10*(1-R68)*(1-S68/'Island Architectures'!$Y$10))</x:f>
        <x:v>1</x:v>
      </x:c>
      <x:c r="AH68" s="81" t="n">
        <x:f>IF(T68&lt;'Island Architectures'!$Z$10,1,0)</x:f>
        <x:v>1</x:v>
      </x:c>
      <x:c r="AI68" s="81" t="n">
        <x:f>MIN(1,'Island Architectures'!$AA$10*(1-U68/'Island Architectures'!$AB$10))</x:f>
        <x:v>1</x:v>
      </x:c>
      <x:c r="AJ68" s="81" t="n">
        <x:f>IF(V68=1,MIN(1,'Island Architectures'!$AD$10/Assumptions!$C$10),1)</x:f>
        <x:v>1</x:v>
      </x:c>
      <x:c r="AK68" s="81" t="n">
        <x:f>IF(W68=1,'Island Architectures'!$AC$10,1)</x:f>
        <x:v>1</x:v>
      </x:c>
      <x:c r="AL68" s="81" t="n">
        <x:f>MIN(X68:AK68)</x:f>
        <x:v>0.6</x:v>
      </x:c>
      <x:c r="AM68" s="70" t="str">
        <x:f>IF(AL68&gt;=Assumptions!$C$9,"PASS","FAIL")</x:f>
        <x:v>FAIL</x:v>
      </x:c>
      <x:c r="AN68" s="52" t="str">
        <x:v>tests spare node capacity and cross-feed</x:v>
      </x:c>
    </x:row>
    <x:row r="69">
      <x:c r="B69" s="66" t="str">
        <x:v>A3</x:v>
      </x:c>
      <x:c r="C69" s="66" t="str">
        <x:v>I14</x:v>
      </x:c>
      <x:c r="D69" s="66" t="str">
        <x:v>One complete hazard zone lost</x:v>
      </x:c>
      <x:c r="E69" s="66" t="n">
        <x:v>0</x:v>
      </x:c>
      <x:c r="F69" s="66" t="n">
        <x:v>0</x:v>
      </x:c>
      <x:c r="G69" s="66" t="n">
        <x:v>0</x:v>
      </x:c>
      <x:c r="H69" s="66" t="n">
        <x:v>0</x:v>
      </x:c>
      <x:c r="I69" s="66" t="n">
        <x:v>0</x:v>
      </x:c>
      <x:c r="J69" s="80" t="n">
        <x:v>1</x:v>
      </x:c>
      <x:c r="K69" s="66" t="n">
        <x:v>0</x:v>
      </x:c>
      <x:c r="L69" s="66" t="n">
        <x:v>0</x:v>
      </x:c>
      <x:c r="M69" s="66" t="n">
        <x:v>0</x:v>
      </x:c>
      <x:c r="N69" s="66" t="n">
        <x:v>0</x:v>
      </x:c>
      <x:c r="O69" s="66" t="n">
        <x:v>1</x:v>
      </x:c>
      <x:c r="P69" s="66" t="n">
        <x:v>0</x:v>
      </x:c>
      <x:c r="Q69" s="66" t="n">
        <x:v>0</x:v>
      </x:c>
      <x:c r="R69" s="80" t="n">
        <x:v>0</x:v>
      </x:c>
      <x:c r="S69" s="66" t="n">
        <x:v>0</x:v>
      </x:c>
      <x:c r="T69" s="66" t="n">
        <x:v>0</x:v>
      </x:c>
      <x:c r="U69" s="66" t="n">
        <x:v>0</x:v>
      </x:c>
      <x:c r="V69" s="66" t="n">
        <x:v>0</x:v>
      </x:c>
      <x:c r="W69" s="66" t="n">
        <x:v>0</x:v>
      </x:c>
      <x:c r="X69" s="81" t="n">
        <x:f>MIN(1,IF(E69=1,'Island Architectures'!$G$10,'Island Architectures'!$D$10)*(1-F69/'Island Architectures'!$E$10)*(1-G69/'Island Architectures'!$F$10)*IF(H69&lt;'Island Architectures'!$H$10,1,0))</x:f>
        <x:v>1</x:v>
      </x:c>
      <x:c r="Y69" s="81" t="n">
        <x:f>MIN(1,'Island Architectures'!$I$10*(1-I69/'Island Architectures'!$J$10)*J69)</x:f>
        <x:v>1</x:v>
      </x:c>
      <x:c r="Z69" s="81" t="n">
        <x:f>MIN(1,'Island Architectures'!$K$10*(1-K69/'Island Architectures'!$L$10))</x:f>
        <x:v>1</x:v>
      </x:c>
      <x:c r="AA69" s="81" t="n">
        <x:f>MIN(1,'Island Architectures'!$M$10*(1-L69/'Island Architectures'!$N$10))</x:f>
        <x:v>1</x:v>
      </x:c>
      <x:c r="AB69" s="81" t="n">
        <x:f>MIN(1,'Island Architectures'!$O$10*(1-M69/'Island Architectures'!$P$10))</x:f>
        <x:v>1</x:v>
      </x:c>
      <x:c r="AC69" s="81" t="n">
        <x:f>MIN(1,'Island Architectures'!$Q$10*(1-N69/'Island Architectures'!$R$10))</x:f>
        <x:v>1</x:v>
      </x:c>
      <x:c r="AD69" s="81" t="n">
        <x:f>MIN(1,'Island Architectures'!$Q$10*(1-O69/'Island Architectures'!$S$10))</x:f>
        <x:v>0.5</x:v>
      </x:c>
      <x:c r="AE69" s="81" t="n">
        <x:f>MIN(1,'Island Architectures'!$T$10*(1-P69/'Island Architectures'!$U$10))</x:f>
        <x:v>1</x:v>
      </x:c>
      <x:c r="AF69" s="81" t="n">
        <x:f>MIN(1,'Island Architectures'!$V$10*(1-Q69/'Island Architectures'!$W$10))</x:f>
        <x:v>1</x:v>
      </x:c>
      <x:c r="AG69" s="81" t="n">
        <x:f>MIN(1,'Island Architectures'!$X$10*(1-R69)*(1-S69/'Island Architectures'!$Y$10))</x:f>
        <x:v>1</x:v>
      </x:c>
      <x:c r="AH69" s="81" t="n">
        <x:f>IF(T69&lt;'Island Architectures'!$Z$10,1,0)</x:f>
        <x:v>1</x:v>
      </x:c>
      <x:c r="AI69" s="81" t="n">
        <x:f>MIN(1,'Island Architectures'!$AA$10*(1-U69/'Island Architectures'!$AB$10))</x:f>
        <x:v>1</x:v>
      </x:c>
      <x:c r="AJ69" s="81" t="n">
        <x:f>IF(V69=1,MIN(1,'Island Architectures'!$AD$10/Assumptions!$C$10),1)</x:f>
        <x:v>1</x:v>
      </x:c>
      <x:c r="AK69" s="81" t="n">
        <x:f>IF(W69=1,'Island Architectures'!$AC$10,1)</x:f>
        <x:v>1</x:v>
      </x:c>
      <x:c r="AL69" s="81" t="n">
        <x:f>MIN(X69:AK69)</x:f>
        <x:v>0.5</x:v>
      </x:c>
      <x:c r="AM69" s="70" t="str">
        <x:f>IF(AL69&gt;=Assumptions!$C$9,"PASS","FAIL")</x:f>
        <x:v>FAIL</x:v>
      </x:c>
      <x:c r="AN69" s="52" t="str">
        <x:v>fire, flood, wind or structural isolation</x:v>
      </x:c>
    </x:row>
    <x:row r="70">
      <x:c r="B70" s="66" t="str">
        <x:v>A3</x:v>
      </x:c>
      <x:c r="C70" s="66" t="str">
        <x:v>I15</x:v>
      </x:c>
      <x:c r="D70" s="66" t="str">
        <x:v>Flood severs one corridor and zone</x:v>
      </x:c>
      <x:c r="E70" s="66" t="n">
        <x:v>0</x:v>
      </x:c>
      <x:c r="F70" s="66" t="n">
        <x:v>0</x:v>
      </x:c>
      <x:c r="G70" s="66" t="n">
        <x:v>0</x:v>
      </x:c>
      <x:c r="H70" s="66" t="n">
        <x:v>0</x:v>
      </x:c>
      <x:c r="I70" s="66" t="n">
        <x:v>0</x:v>
      </x:c>
      <x:c r="J70" s="80" t="n">
        <x:v>1</x:v>
      </x:c>
      <x:c r="K70" s="66" t="n">
        <x:v>0</x:v>
      </x:c>
      <x:c r="L70" s="66" t="n">
        <x:v>0</x:v>
      </x:c>
      <x:c r="M70" s="66" t="n">
        <x:v>1</x:v>
      </x:c>
      <x:c r="N70" s="66" t="n">
        <x:v>0</x:v>
      </x:c>
      <x:c r="O70" s="66" t="n">
        <x:v>1</x:v>
      </x:c>
      <x:c r="P70" s="66" t="n">
        <x:v>0</x:v>
      </x:c>
      <x:c r="Q70" s="66" t="n">
        <x:v>0</x:v>
      </x:c>
      <x:c r="R70" s="80" t="n">
        <x:v>0</x:v>
      </x:c>
      <x:c r="S70" s="66" t="n">
        <x:v>0</x:v>
      </x:c>
      <x:c r="T70" s="66" t="n">
        <x:v>0</x:v>
      </x:c>
      <x:c r="U70" s="66" t="n">
        <x:v>0</x:v>
      </x:c>
      <x:c r="V70" s="66" t="n">
        <x:v>0</x:v>
      </x:c>
      <x:c r="W70" s="66" t="n">
        <x:v>0</x:v>
      </x:c>
      <x:c r="X70" s="81" t="n">
        <x:f>MIN(1,IF(E70=1,'Island Architectures'!$G$10,'Island Architectures'!$D$10)*(1-F70/'Island Architectures'!$E$10)*(1-G70/'Island Architectures'!$F$10)*IF(H70&lt;'Island Architectures'!$H$10,1,0))</x:f>
        <x:v>1</x:v>
      </x:c>
      <x:c r="Y70" s="81" t="n">
        <x:f>MIN(1,'Island Architectures'!$I$10*(1-I70/'Island Architectures'!$J$10)*J70)</x:f>
        <x:v>1</x:v>
      </x:c>
      <x:c r="Z70" s="81" t="n">
        <x:f>MIN(1,'Island Architectures'!$K$10*(1-K70/'Island Architectures'!$L$10))</x:f>
        <x:v>1</x:v>
      </x:c>
      <x:c r="AA70" s="81" t="n">
        <x:f>MIN(1,'Island Architectures'!$M$10*(1-L70/'Island Architectures'!$N$10))</x:f>
        <x:v>1</x:v>
      </x:c>
      <x:c r="AB70" s="81" t="n">
        <x:f>MIN(1,'Island Architectures'!$O$10*(1-M70/'Island Architectures'!$P$10))</x:f>
        <x:v>0.9</x:v>
      </x:c>
      <x:c r="AC70" s="81" t="n">
        <x:f>MIN(1,'Island Architectures'!$Q$10*(1-N70/'Island Architectures'!$R$10))</x:f>
        <x:v>1</x:v>
      </x:c>
      <x:c r="AD70" s="81" t="n">
        <x:f>MIN(1,'Island Architectures'!$Q$10*(1-O70/'Island Architectures'!$S$10))</x:f>
        <x:v>0.5</x:v>
      </x:c>
      <x:c r="AE70" s="81" t="n">
        <x:f>MIN(1,'Island Architectures'!$T$10*(1-P70/'Island Architectures'!$U$10))</x:f>
        <x:v>1</x:v>
      </x:c>
      <x:c r="AF70" s="81" t="n">
        <x:f>MIN(1,'Island Architectures'!$V$10*(1-Q70/'Island Architectures'!$W$10))</x:f>
        <x:v>1</x:v>
      </x:c>
      <x:c r="AG70" s="81" t="n">
        <x:f>MIN(1,'Island Architectures'!$X$10*(1-R70)*(1-S70/'Island Architectures'!$Y$10))</x:f>
        <x:v>1</x:v>
      </x:c>
      <x:c r="AH70" s="81" t="n">
        <x:f>IF(T70&lt;'Island Architectures'!$Z$10,1,0)</x:f>
        <x:v>1</x:v>
      </x:c>
      <x:c r="AI70" s="81" t="n">
        <x:f>MIN(1,'Island Architectures'!$AA$10*(1-U70/'Island Architectures'!$AB$10))</x:f>
        <x:v>1</x:v>
      </x:c>
      <x:c r="AJ70" s="81" t="n">
        <x:f>IF(V70=1,MIN(1,'Island Architectures'!$AD$10/Assumptions!$C$10),1)</x:f>
        <x:v>1</x:v>
      </x:c>
      <x:c r="AK70" s="81" t="n">
        <x:f>IF(W70=1,'Island Architectures'!$AC$10,1)</x:f>
        <x:v>1</x:v>
      </x:c>
      <x:c r="AL70" s="81" t="n">
        <x:f>MIN(X70:AK70)</x:f>
        <x:v>0.5</x:v>
      </x:c>
      <x:c r="AM70" s="70" t="str">
        <x:f>IF(AL70&gt;=Assumptions!$C$9,"PASS","FAIL")</x:f>
        <x:v>FAIL</x:v>
      </x:c>
      <x:c r="AN70" s="52" t="str">
        <x:v>coupled local physical loss</x:v>
      </x:c>
    </x:row>
    <x:row r="71">
      <x:c r="B71" s="66" t="str">
        <x:v>A3</x:v>
      </x:c>
      <x:c r="C71" s="66" t="str">
        <x:v>I16</x:v>
      </x:c>
      <x:c r="D71" s="66" t="str">
        <x:v>One control partition lost</x:v>
      </x:c>
      <x:c r="E71" s="66" t="n">
        <x:v>0</x:v>
      </x:c>
      <x:c r="F71" s="66" t="n">
        <x:v>0</x:v>
      </x:c>
      <x:c r="G71" s="66" t="n">
        <x:v>0</x:v>
      </x:c>
      <x:c r="H71" s="66" t="n">
        <x:v>0</x:v>
      </x:c>
      <x:c r="I71" s="66" t="n">
        <x:v>0</x:v>
      </x:c>
      <x:c r="J71" s="80" t="n">
        <x:v>1</x:v>
      </x:c>
      <x:c r="K71" s="66" t="n">
        <x:v>0</x:v>
      </x:c>
      <x:c r="L71" s="66" t="n">
        <x:v>0</x:v>
      </x:c>
      <x:c r="M71" s="66" t="n">
        <x:v>0</x:v>
      </x:c>
      <x:c r="N71" s="66" t="n">
        <x:v>0</x:v>
      </x:c>
      <x:c r="O71" s="66" t="n">
        <x:v>0</x:v>
      </x:c>
      <x:c r="P71" s="66" t="n">
        <x:v>1</x:v>
      </x:c>
      <x:c r="Q71" s="66" t="n">
        <x:v>0</x:v>
      </x:c>
      <x:c r="R71" s="80" t="n">
        <x:v>0</x:v>
      </x:c>
      <x:c r="S71" s="66" t="n">
        <x:v>0</x:v>
      </x:c>
      <x:c r="T71" s="66" t="n">
        <x:v>0</x:v>
      </x:c>
      <x:c r="U71" s="66" t="n">
        <x:v>0</x:v>
      </x:c>
      <x:c r="V71" s="66" t="n">
        <x:v>0</x:v>
      </x:c>
      <x:c r="W71" s="66" t="n">
        <x:v>0</x:v>
      </x:c>
      <x:c r="X71" s="81" t="n">
        <x:f>MIN(1,IF(E71=1,'Island Architectures'!$G$10,'Island Architectures'!$D$10)*(1-F71/'Island Architectures'!$E$10)*(1-G71/'Island Architectures'!$F$10)*IF(H71&lt;'Island Architectures'!$H$10,1,0))</x:f>
        <x:v>1</x:v>
      </x:c>
      <x:c r="Y71" s="81" t="n">
        <x:f>MIN(1,'Island Architectures'!$I$10*(1-I71/'Island Architectures'!$J$10)*J71)</x:f>
        <x:v>1</x:v>
      </x:c>
      <x:c r="Z71" s="81" t="n">
        <x:f>MIN(1,'Island Architectures'!$K$10*(1-K71/'Island Architectures'!$L$10))</x:f>
        <x:v>1</x:v>
      </x:c>
      <x:c r="AA71" s="81" t="n">
        <x:f>MIN(1,'Island Architectures'!$M$10*(1-L71/'Island Architectures'!$N$10))</x:f>
        <x:v>1</x:v>
      </x:c>
      <x:c r="AB71" s="81" t="n">
        <x:f>MIN(1,'Island Architectures'!$O$10*(1-M71/'Island Architectures'!$P$10))</x:f>
        <x:v>1</x:v>
      </x:c>
      <x:c r="AC71" s="81" t="n">
        <x:f>MIN(1,'Island Architectures'!$Q$10*(1-N71/'Island Architectures'!$R$10))</x:f>
        <x:v>1</x:v>
      </x:c>
      <x:c r="AD71" s="81" t="n">
        <x:f>MIN(1,'Island Architectures'!$Q$10*(1-O71/'Island Architectures'!$S$10))</x:f>
        <x:v>1</x:v>
      </x:c>
      <x:c r="AE71" s="81" t="n">
        <x:f>MIN(1,'Island Architectures'!$T$10*(1-P71/'Island Architectures'!$U$10))</x:f>
        <x:v>0.9</x:v>
      </x:c>
      <x:c r="AF71" s="81" t="n">
        <x:f>MIN(1,'Island Architectures'!$V$10*(1-Q71/'Island Architectures'!$W$10))</x:f>
        <x:v>1</x:v>
      </x:c>
      <x:c r="AG71" s="81" t="n">
        <x:f>MIN(1,'Island Architectures'!$X$10*(1-R71)*(1-S71/'Island Architectures'!$Y$10))</x:f>
        <x:v>1</x:v>
      </x:c>
      <x:c r="AH71" s="81" t="n">
        <x:f>IF(T71&lt;'Island Architectures'!$Z$10,1,0)</x:f>
        <x:v>1</x:v>
      </x:c>
      <x:c r="AI71" s="81" t="n">
        <x:f>MIN(1,'Island Architectures'!$AA$10*(1-U71/'Island Architectures'!$AB$10))</x:f>
        <x:v>1</x:v>
      </x:c>
      <x:c r="AJ71" s="81" t="n">
        <x:f>IF(V71=1,MIN(1,'Island Architectures'!$AD$10/Assumptions!$C$10),1)</x:f>
        <x:v>1</x:v>
      </x:c>
      <x:c r="AK71" s="81" t="n">
        <x:f>IF(W71=1,'Island Architectures'!$AC$10,1)</x:f>
        <x:v>1</x:v>
      </x:c>
      <x:c r="AL71" s="81" t="n">
        <x:f>MIN(X71:AK71)</x:f>
        <x:v>0.9</x:v>
      </x:c>
      <x:c r="AM71" s="70" t="str">
        <x:f>IF(AL71&gt;=Assumptions!$C$9,"PASS","FAIL")</x:f>
        <x:v>PASS</x:v>
      </x:c>
      <x:c r="AN71" s="52" t="str">
        <x:v>protection remains safe without cloud control</x:v>
      </x:c>
    </x:row>
    <x:row r="72">
      <x:c r="B72" s="66" t="str">
        <x:v>A3</x:v>
      </x:c>
      <x:c r="C72" s="66" t="str">
        <x:v>I17</x:v>
      </x:c>
      <x:c r="D72" s="66" t="str">
        <x:v>One communications path lost</x:v>
      </x:c>
      <x:c r="E72" s="66" t="n">
        <x:v>0</x:v>
      </x:c>
      <x:c r="F72" s="66" t="n">
        <x:v>0</x:v>
      </x:c>
      <x:c r="G72" s="66" t="n">
        <x:v>0</x:v>
      </x:c>
      <x:c r="H72" s="66" t="n">
        <x:v>0</x:v>
      </x:c>
      <x:c r="I72" s="66" t="n">
        <x:v>0</x:v>
      </x:c>
      <x:c r="J72" s="80" t="n">
        <x:v>1</x:v>
      </x:c>
      <x:c r="K72" s="66" t="n">
        <x:v>0</x:v>
      </x:c>
      <x:c r="L72" s="66" t="n">
        <x:v>0</x:v>
      </x:c>
      <x:c r="M72" s="66" t="n">
        <x:v>0</x:v>
      </x:c>
      <x:c r="N72" s="66" t="n">
        <x:v>0</x:v>
      </x:c>
      <x:c r="O72" s="66" t="n">
        <x:v>0</x:v>
      </x:c>
      <x:c r="P72" s="66" t="n">
        <x:v>0</x:v>
      </x:c>
      <x:c r="Q72" s="66" t="n">
        <x:v>1</x:v>
      </x:c>
      <x:c r="R72" s="80" t="n">
        <x:v>0</x:v>
      </x:c>
      <x:c r="S72" s="66" t="n">
        <x:v>0</x:v>
      </x:c>
      <x:c r="T72" s="66" t="n">
        <x:v>0</x:v>
      </x:c>
      <x:c r="U72" s="66" t="n">
        <x:v>0</x:v>
      </x:c>
      <x:c r="V72" s="66" t="n">
        <x:v>0</x:v>
      </x:c>
      <x:c r="W72" s="66" t="n">
        <x:v>0</x:v>
      </x:c>
      <x:c r="X72" s="81" t="n">
        <x:f>MIN(1,IF(E72=1,'Island Architectures'!$G$10,'Island Architectures'!$D$10)*(1-F72/'Island Architectures'!$E$10)*(1-G72/'Island Architectures'!$F$10)*IF(H72&lt;'Island Architectures'!$H$10,1,0))</x:f>
        <x:v>1</x:v>
      </x:c>
      <x:c r="Y72" s="81" t="n">
        <x:f>MIN(1,'Island Architectures'!$I$10*(1-I72/'Island Architectures'!$J$10)*J72)</x:f>
        <x:v>1</x:v>
      </x:c>
      <x:c r="Z72" s="81" t="n">
        <x:f>MIN(1,'Island Architectures'!$K$10*(1-K72/'Island Architectures'!$L$10))</x:f>
        <x:v>1</x:v>
      </x:c>
      <x:c r="AA72" s="81" t="n">
        <x:f>MIN(1,'Island Architectures'!$M$10*(1-L72/'Island Architectures'!$N$10))</x:f>
        <x:v>1</x:v>
      </x:c>
      <x:c r="AB72" s="81" t="n">
        <x:f>MIN(1,'Island Architectures'!$O$10*(1-M72/'Island Architectures'!$P$10))</x:f>
        <x:v>1</x:v>
      </x:c>
      <x:c r="AC72" s="81" t="n">
        <x:f>MIN(1,'Island Architectures'!$Q$10*(1-N72/'Island Architectures'!$R$10))</x:f>
        <x:v>1</x:v>
      </x:c>
      <x:c r="AD72" s="81" t="n">
        <x:f>MIN(1,'Island Architectures'!$Q$10*(1-O72/'Island Architectures'!$S$10))</x:f>
        <x:v>1</x:v>
      </x:c>
      <x:c r="AE72" s="81" t="n">
        <x:f>MIN(1,'Island Architectures'!$T$10*(1-P72/'Island Architectures'!$U$10))</x:f>
        <x:v>1</x:v>
      </x:c>
      <x:c r="AF72" s="81" t="n">
        <x:f>MIN(1,'Island Architectures'!$V$10*(1-Q72/'Island Architectures'!$W$10))</x:f>
        <x:v>0.9</x:v>
      </x:c>
      <x:c r="AG72" s="81" t="n">
        <x:f>MIN(1,'Island Architectures'!$X$10*(1-R72)*(1-S72/'Island Architectures'!$Y$10))</x:f>
        <x:v>1</x:v>
      </x:c>
      <x:c r="AH72" s="81" t="n">
        <x:f>IF(T72&lt;'Island Architectures'!$Z$10,1,0)</x:f>
        <x:v>1</x:v>
      </x:c>
      <x:c r="AI72" s="81" t="n">
        <x:f>MIN(1,'Island Architectures'!$AA$10*(1-U72/'Island Architectures'!$AB$10))</x:f>
        <x:v>1</x:v>
      </x:c>
      <x:c r="AJ72" s="81" t="n">
        <x:f>IF(V72=1,MIN(1,'Island Architectures'!$AD$10/Assumptions!$C$10),1)</x:f>
        <x:v>1</x:v>
      </x:c>
      <x:c r="AK72" s="81" t="n">
        <x:f>IF(W72=1,'Island Architectures'!$AC$10,1)</x:f>
        <x:v>1</x:v>
      </x:c>
      <x:c r="AL72" s="81" t="n">
        <x:f>MIN(X72:AK72)</x:f>
        <x:v>0.9</x:v>
      </x:c>
      <x:c r="AM72" s="70" t="str">
        <x:f>IF(AL72&gt;=Assumptions!$C$9,"PASS","FAIL")</x:f>
        <x:v>PASS</x:v>
      </x:c>
      <x:c r="AN72" s="52" t="str">
        <x:v>voice, data and evidence paths remain</x:v>
      </x:c>
    </x:row>
    <x:row r="73">
      <x:c r="B73" s="66" t="str">
        <x:v>A3</x:v>
      </x:c>
      <x:c r="C73" s="66" t="str">
        <x:v>I18</x:v>
      </x:c>
      <x:c r="D73" s="66" t="str">
        <x:v>Twenty-five percent workforce loss</x:v>
      </x:c>
      <x:c r="E73" s="66" t="n">
        <x:v>0</x:v>
      </x:c>
      <x:c r="F73" s="66" t="n">
        <x:v>0</x:v>
      </x:c>
      <x:c r="G73" s="66" t="n">
        <x:v>0</x:v>
      </x:c>
      <x:c r="H73" s="66" t="n">
        <x:v>0</x:v>
      </x:c>
      <x:c r="I73" s="66" t="n">
        <x:v>0</x:v>
      </x:c>
      <x:c r="J73" s="80" t="n">
        <x:v>1</x:v>
      </x:c>
      <x:c r="K73" s="66" t="n">
        <x:v>0</x:v>
      </x:c>
      <x:c r="L73" s="66" t="n">
        <x:v>0</x:v>
      </x:c>
      <x:c r="M73" s="66" t="n">
        <x:v>0</x:v>
      </x:c>
      <x:c r="N73" s="66" t="n">
        <x:v>0</x:v>
      </x:c>
      <x:c r="O73" s="66" t="n">
        <x:v>0</x:v>
      </x:c>
      <x:c r="P73" s="66" t="n">
        <x:v>0</x:v>
      </x:c>
      <x:c r="Q73" s="66" t="n">
        <x:v>0</x:v>
      </x:c>
      <x:c r="R73" s="80" t="n">
        <x:v>0.25</x:v>
      </x:c>
      <x:c r="S73" s="66" t="n">
        <x:v>0</x:v>
      </x:c>
      <x:c r="T73" s="66" t="n">
        <x:v>0</x:v>
      </x:c>
      <x:c r="U73" s="66" t="n">
        <x:v>0</x:v>
      </x:c>
      <x:c r="V73" s="66" t="n">
        <x:v>0</x:v>
      </x:c>
      <x:c r="W73" s="66" t="n">
        <x:v>0</x:v>
      </x:c>
      <x:c r="X73" s="81" t="n">
        <x:f>MIN(1,IF(E73=1,'Island Architectures'!$G$10,'Island Architectures'!$D$10)*(1-F73/'Island Architectures'!$E$10)*(1-G73/'Island Architectures'!$F$10)*IF(H73&lt;'Island Architectures'!$H$10,1,0))</x:f>
        <x:v>1</x:v>
      </x:c>
      <x:c r="Y73" s="81" t="n">
        <x:f>MIN(1,'Island Architectures'!$I$10*(1-I73/'Island Architectures'!$J$10)*J73)</x:f>
        <x:v>1</x:v>
      </x:c>
      <x:c r="Z73" s="81" t="n">
        <x:f>MIN(1,'Island Architectures'!$K$10*(1-K73/'Island Architectures'!$L$10))</x:f>
        <x:v>1</x:v>
      </x:c>
      <x:c r="AA73" s="81" t="n">
        <x:f>MIN(1,'Island Architectures'!$M$10*(1-L73/'Island Architectures'!$N$10))</x:f>
        <x:v>1</x:v>
      </x:c>
      <x:c r="AB73" s="81" t="n">
        <x:f>MIN(1,'Island Architectures'!$O$10*(1-M73/'Island Architectures'!$P$10))</x:f>
        <x:v>1</x:v>
      </x:c>
      <x:c r="AC73" s="81" t="n">
        <x:f>MIN(1,'Island Architectures'!$Q$10*(1-N73/'Island Architectures'!$R$10))</x:f>
        <x:v>1</x:v>
      </x:c>
      <x:c r="AD73" s="81" t="n">
        <x:f>MIN(1,'Island Architectures'!$Q$10*(1-O73/'Island Architectures'!$S$10))</x:f>
        <x:v>1</x:v>
      </x:c>
      <x:c r="AE73" s="81" t="n">
        <x:f>MIN(1,'Island Architectures'!$T$10*(1-P73/'Island Architectures'!$U$10))</x:f>
        <x:v>1</x:v>
      </x:c>
      <x:c r="AF73" s="81" t="n">
        <x:f>MIN(1,'Island Architectures'!$V$10*(1-Q73/'Island Architectures'!$W$10))</x:f>
        <x:v>1</x:v>
      </x:c>
      <x:c r="AG73" s="81" t="n">
        <x:f>MIN(1,'Island Architectures'!$X$10*(1-R73)*(1-S73/'Island Architectures'!$Y$10))</x:f>
        <x:v>1</x:v>
      </x:c>
      <x:c r="AH73" s="81" t="n">
        <x:f>IF(T73&lt;'Island Architectures'!$Z$10,1,0)</x:f>
        <x:v>1</x:v>
      </x:c>
      <x:c r="AI73" s="81" t="n">
        <x:f>MIN(1,'Island Architectures'!$AA$10*(1-U73/'Island Architectures'!$AB$10))</x:f>
        <x:v>1</x:v>
      </x:c>
      <x:c r="AJ73" s="81" t="n">
        <x:f>IF(V73=1,MIN(1,'Island Architectures'!$AD$10/Assumptions!$C$10),1)</x:f>
        <x:v>1</x:v>
      </x:c>
      <x:c r="AK73" s="81" t="n">
        <x:f>IF(W73=1,'Island Architectures'!$AC$10,1)</x:f>
        <x:v>1</x:v>
      </x:c>
      <x:c r="AL73" s="81" t="n">
        <x:f>MIN(X73:AK73)</x:f>
        <x:v>1</x:v>
      </x:c>
      <x:c r="AM73" s="70" t="str">
        <x:f>IF(AL73&gt;=Assumptions!$C$9,"PASS","FAIL")</x:f>
        <x:v>PASS</x:v>
      </x:c>
      <x:c r="AN73" s="52" t="str">
        <x:v>illness, access and household obligations</x:v>
      </x:c>
    </x:row>
    <x:row r="74">
      <x:c r="B74" s="66" t="str">
        <x:v>A3</x:v>
      </x:c>
      <x:c r="C74" s="66" t="str">
        <x:v>I19</x:v>
      </x:c>
      <x:c r="D74" s="66" t="str">
        <x:v>One workforce lineage lost</x:v>
      </x:c>
      <x:c r="E74" s="66" t="n">
        <x:v>0</x:v>
      </x:c>
      <x:c r="F74" s="66" t="n">
        <x:v>0</x:v>
      </x:c>
      <x:c r="G74" s="66" t="n">
        <x:v>0</x:v>
      </x:c>
      <x:c r="H74" s="66" t="n">
        <x:v>0</x:v>
      </x:c>
      <x:c r="I74" s="66" t="n">
        <x:v>0</x:v>
      </x:c>
      <x:c r="J74" s="80" t="n">
        <x:v>1</x:v>
      </x:c>
      <x:c r="K74" s="66" t="n">
        <x:v>0</x:v>
      </x:c>
      <x:c r="L74" s="66" t="n">
        <x:v>0</x:v>
      </x:c>
      <x:c r="M74" s="66" t="n">
        <x:v>0</x:v>
      </x:c>
      <x:c r="N74" s="66" t="n">
        <x:v>0</x:v>
      </x:c>
      <x:c r="O74" s="66" t="n">
        <x:v>0</x:v>
      </x:c>
      <x:c r="P74" s="66" t="n">
        <x:v>0</x:v>
      </x:c>
      <x:c r="Q74" s="66" t="n">
        <x:v>0</x:v>
      </x:c>
      <x:c r="R74" s="80" t="n">
        <x:v>0</x:v>
      </x:c>
      <x:c r="S74" s="66" t="n">
        <x:v>1</x:v>
      </x:c>
      <x:c r="T74" s="66" t="n">
        <x:v>0</x:v>
      </x:c>
      <x:c r="U74" s="66" t="n">
        <x:v>0</x:v>
      </x:c>
      <x:c r="V74" s="66" t="n">
        <x:v>0</x:v>
      </x:c>
      <x:c r="W74" s="66" t="n">
        <x:v>0</x:v>
      </x:c>
      <x:c r="X74" s="81" t="n">
        <x:f>MIN(1,IF(E74=1,'Island Architectures'!$G$10,'Island Architectures'!$D$10)*(1-F74/'Island Architectures'!$E$10)*(1-G74/'Island Architectures'!$F$10)*IF(H74&lt;'Island Architectures'!$H$10,1,0))</x:f>
        <x:v>1</x:v>
      </x:c>
      <x:c r="Y74" s="81" t="n">
        <x:f>MIN(1,'Island Architectures'!$I$10*(1-I74/'Island Architectures'!$J$10)*J74)</x:f>
        <x:v>1</x:v>
      </x:c>
      <x:c r="Z74" s="81" t="n">
        <x:f>MIN(1,'Island Architectures'!$K$10*(1-K74/'Island Architectures'!$L$10))</x:f>
        <x:v>1</x:v>
      </x:c>
      <x:c r="AA74" s="81" t="n">
        <x:f>MIN(1,'Island Architectures'!$M$10*(1-L74/'Island Architectures'!$N$10))</x:f>
        <x:v>1</x:v>
      </x:c>
      <x:c r="AB74" s="81" t="n">
        <x:f>MIN(1,'Island Architectures'!$O$10*(1-M74/'Island Architectures'!$P$10))</x:f>
        <x:v>1</x:v>
      </x:c>
      <x:c r="AC74" s="81" t="n">
        <x:f>MIN(1,'Island Architectures'!$Q$10*(1-N74/'Island Architectures'!$R$10))</x:f>
        <x:v>1</x:v>
      </x:c>
      <x:c r="AD74" s="81" t="n">
        <x:f>MIN(1,'Island Architectures'!$Q$10*(1-O74/'Island Architectures'!$S$10))</x:f>
        <x:v>1</x:v>
      </x:c>
      <x:c r="AE74" s="81" t="n">
        <x:f>MIN(1,'Island Architectures'!$T$10*(1-P74/'Island Architectures'!$U$10))</x:f>
        <x:v>1</x:v>
      </x:c>
      <x:c r="AF74" s="81" t="n">
        <x:f>MIN(1,'Island Architectures'!$V$10*(1-Q74/'Island Architectures'!$W$10))</x:f>
        <x:v>1</x:v>
      </x:c>
      <x:c r="AG74" s="81" t="n">
        <x:f>MIN(1,'Island Architectures'!$X$10*(1-R74)*(1-S74/'Island Architectures'!$Y$10))</x:f>
        <x:v>0.9</x:v>
      </x:c>
      <x:c r="AH74" s="81" t="n">
        <x:f>IF(T74&lt;'Island Architectures'!$Z$10,1,0)</x:f>
        <x:v>1</x:v>
      </x:c>
      <x:c r="AI74" s="81" t="n">
        <x:f>MIN(1,'Island Architectures'!$AA$10*(1-U74/'Island Architectures'!$AB$10))</x:f>
        <x:v>1</x:v>
      </x:c>
      <x:c r="AJ74" s="81" t="n">
        <x:f>IF(V74=1,MIN(1,'Island Architectures'!$AD$10/Assumptions!$C$10),1)</x:f>
        <x:v>1</x:v>
      </x:c>
      <x:c r="AK74" s="81" t="n">
        <x:f>IF(W74=1,'Island Architectures'!$AC$10,1)</x:f>
        <x:v>1</x:v>
      </x:c>
      <x:c r="AL74" s="81" t="n">
        <x:f>MIN(X74:AK74)</x:f>
        <x:v>0.9</x:v>
      </x:c>
      <x:c r="AM74" s="70" t="str">
        <x:f>IF(AL74&gt;=Assumptions!$C$9,"PASS","FAIL")</x:f>
        <x:v>PASS</x:v>
      </x:c>
      <x:c r="AN74" s="52" t="str">
        <x:v>one school or credential chain unavailable</x:v>
      </x:c>
    </x:row>
    <x:row r="75">
      <x:c r="B75" s="66" t="str">
        <x:v>A3</x:v>
      </x:c>
      <x:c r="C75" s="66" t="str">
        <x:v>I20</x:v>
      </x:c>
      <x:c r="D75" s="66" t="str">
        <x:v>One civil-release path lost</x:v>
      </x:c>
      <x:c r="E75" s="66" t="n">
        <x:v>0</x:v>
      </x:c>
      <x:c r="F75" s="66" t="n">
        <x:v>0</x:v>
      </x:c>
      <x:c r="G75" s="66" t="n">
        <x:v>0</x:v>
      </x:c>
      <x:c r="H75" s="66" t="n">
        <x:v>0</x:v>
      </x:c>
      <x:c r="I75" s="66" t="n">
        <x:v>0</x:v>
      </x:c>
      <x:c r="J75" s="80" t="n">
        <x:v>1</x:v>
      </x:c>
      <x:c r="K75" s="66" t="n">
        <x:v>0</x:v>
      </x:c>
      <x:c r="L75" s="66" t="n">
        <x:v>0</x:v>
      </x:c>
      <x:c r="M75" s="66" t="n">
        <x:v>0</x:v>
      </x:c>
      <x:c r="N75" s="66" t="n">
        <x:v>0</x:v>
      </x:c>
      <x:c r="O75" s="66" t="n">
        <x:v>0</x:v>
      </x:c>
      <x:c r="P75" s="66" t="n">
        <x:v>0</x:v>
      </x:c>
      <x:c r="Q75" s="66" t="n">
        <x:v>0</x:v>
      </x:c>
      <x:c r="R75" s="80" t="n">
        <x:v>0</x:v>
      </x:c>
      <x:c r="S75" s="66" t="n">
        <x:v>0</x:v>
      </x:c>
      <x:c r="T75" s="66" t="n">
        <x:v>1</x:v>
      </x:c>
      <x:c r="U75" s="66" t="n">
        <x:v>0</x:v>
      </x:c>
      <x:c r="V75" s="66" t="n">
        <x:v>0</x:v>
      </x:c>
      <x:c r="W75" s="66" t="n">
        <x:v>0</x:v>
      </x:c>
      <x:c r="X75" s="81" t="n">
        <x:f>MIN(1,IF(E75=1,'Island Architectures'!$G$10,'Island Architectures'!$D$10)*(1-F75/'Island Architectures'!$E$10)*(1-G75/'Island Architectures'!$F$10)*IF(H75&lt;'Island Architectures'!$H$10,1,0))</x:f>
        <x:v>1</x:v>
      </x:c>
      <x:c r="Y75" s="81" t="n">
        <x:f>MIN(1,'Island Architectures'!$I$10*(1-I75/'Island Architectures'!$J$10)*J75)</x:f>
        <x:v>1</x:v>
      </x:c>
      <x:c r="Z75" s="81" t="n">
        <x:f>MIN(1,'Island Architectures'!$K$10*(1-K75/'Island Architectures'!$L$10))</x:f>
        <x:v>1</x:v>
      </x:c>
      <x:c r="AA75" s="81" t="n">
        <x:f>MIN(1,'Island Architectures'!$M$10*(1-L75/'Island Architectures'!$N$10))</x:f>
        <x:v>1</x:v>
      </x:c>
      <x:c r="AB75" s="81" t="n">
        <x:f>MIN(1,'Island Architectures'!$O$10*(1-M75/'Island Architectures'!$P$10))</x:f>
        <x:v>1</x:v>
      </x:c>
      <x:c r="AC75" s="81" t="n">
        <x:f>MIN(1,'Island Architectures'!$Q$10*(1-N75/'Island Architectures'!$R$10))</x:f>
        <x:v>1</x:v>
      </x:c>
      <x:c r="AD75" s="81" t="n">
        <x:f>MIN(1,'Island Architectures'!$Q$10*(1-O75/'Island Architectures'!$S$10))</x:f>
        <x:v>1</x:v>
      </x:c>
      <x:c r="AE75" s="81" t="n">
        <x:f>MIN(1,'Island Architectures'!$T$10*(1-P75/'Island Architectures'!$U$10))</x:f>
        <x:v>1</x:v>
      </x:c>
      <x:c r="AF75" s="81" t="n">
        <x:f>MIN(1,'Island Architectures'!$V$10*(1-Q75/'Island Architectures'!$W$10))</x:f>
        <x:v>1</x:v>
      </x:c>
      <x:c r="AG75" s="81" t="n">
        <x:f>MIN(1,'Island Architectures'!$X$10*(1-R75)*(1-S75/'Island Architectures'!$Y$10))</x:f>
        <x:v>1</x:v>
      </x:c>
      <x:c r="AH75" s="81" t="n">
        <x:f>IF(T75&lt;'Island Architectures'!$Z$10,1,0)</x:f>
        <x:v>1</x:v>
      </x:c>
      <x:c r="AI75" s="81" t="n">
        <x:f>MIN(1,'Island Architectures'!$AA$10*(1-U75/'Island Architectures'!$AB$10))</x:f>
        <x:v>1</x:v>
      </x:c>
      <x:c r="AJ75" s="81" t="n">
        <x:f>IF(V75=1,MIN(1,'Island Architectures'!$AD$10/Assumptions!$C$10),1)</x:f>
        <x:v>1</x:v>
      </x:c>
      <x:c r="AK75" s="81" t="n">
        <x:f>IF(W75=1,'Island Architectures'!$AC$10,1)</x:f>
        <x:v>1</x:v>
      </x:c>
      <x:c r="AL75" s="81" t="n">
        <x:f>MIN(X75:AK75)</x:f>
        <x:v>1</x:v>
      </x:c>
      <x:c r="AM75" s="70" t="str">
        <x:f>IF(AL75&gt;=Assumptions!$C$9,"PASS","FAIL")</x:f>
        <x:v>PASS</x:v>
      </x:c>
      <x:c r="AN75" s="52" t="str">
        <x:v>safe equipment still needs lawful release</x:v>
      </x:c>
    </x:row>
    <x:row r="76">
      <x:c r="B76" s="66" t="str">
        <x:v>A3</x:v>
      </x:c>
      <x:c r="C76" s="66" t="str">
        <x:v>I21</x:v>
      </x:c>
      <x:c r="D76" s="66" t="str">
        <x:v>Largest supplier lineage lost</x:v>
      </x:c>
      <x:c r="E76" s="66" t="n">
        <x:v>0</x:v>
      </x:c>
      <x:c r="F76" s="66" t="n">
        <x:v>0</x:v>
      </x:c>
      <x:c r="G76" s="66" t="n">
        <x:v>0</x:v>
      </x:c>
      <x:c r="H76" s="66" t="n">
        <x:v>0</x:v>
      </x:c>
      <x:c r="I76" s="66" t="n">
        <x:v>0</x:v>
      </x:c>
      <x:c r="J76" s="80" t="n">
        <x:v>1</x:v>
      </x:c>
      <x:c r="K76" s="66" t="n">
        <x:v>0</x:v>
      </x:c>
      <x:c r="L76" s="66" t="n">
        <x:v>0</x:v>
      </x:c>
      <x:c r="M76" s="66" t="n">
        <x:v>0</x:v>
      </x:c>
      <x:c r="N76" s="66" t="n">
        <x:v>0</x:v>
      </x:c>
      <x:c r="O76" s="66" t="n">
        <x:v>0</x:v>
      </x:c>
      <x:c r="P76" s="66" t="n">
        <x:v>0</x:v>
      </x:c>
      <x:c r="Q76" s="66" t="n">
        <x:v>0</x:v>
      </x:c>
      <x:c r="R76" s="80" t="n">
        <x:v>0</x:v>
      </x:c>
      <x:c r="S76" s="66" t="n">
        <x:v>0</x:v>
      </x:c>
      <x:c r="T76" s="66" t="n">
        <x:v>0</x:v>
      </x:c>
      <x:c r="U76" s="66" t="n">
        <x:v>1</x:v>
      </x:c>
      <x:c r="V76" s="66" t="n">
        <x:v>0</x:v>
      </x:c>
      <x:c r="W76" s="66" t="n">
        <x:v>0</x:v>
      </x:c>
      <x:c r="X76" s="81" t="n">
        <x:f>MIN(1,IF(E76=1,'Island Architectures'!$G$10,'Island Architectures'!$D$10)*(1-F76/'Island Architectures'!$E$10)*(1-G76/'Island Architectures'!$F$10)*IF(H76&lt;'Island Architectures'!$H$10,1,0))</x:f>
        <x:v>1</x:v>
      </x:c>
      <x:c r="Y76" s="81" t="n">
        <x:f>MIN(1,'Island Architectures'!$I$10*(1-I76/'Island Architectures'!$J$10)*J76)</x:f>
        <x:v>1</x:v>
      </x:c>
      <x:c r="Z76" s="81" t="n">
        <x:f>MIN(1,'Island Architectures'!$K$10*(1-K76/'Island Architectures'!$L$10))</x:f>
        <x:v>1</x:v>
      </x:c>
      <x:c r="AA76" s="81" t="n">
        <x:f>MIN(1,'Island Architectures'!$M$10*(1-L76/'Island Architectures'!$N$10))</x:f>
        <x:v>1</x:v>
      </x:c>
      <x:c r="AB76" s="81" t="n">
        <x:f>MIN(1,'Island Architectures'!$O$10*(1-M76/'Island Architectures'!$P$10))</x:f>
        <x:v>1</x:v>
      </x:c>
      <x:c r="AC76" s="81" t="n">
        <x:f>MIN(1,'Island Architectures'!$Q$10*(1-N76/'Island Architectures'!$R$10))</x:f>
        <x:v>1</x:v>
      </x:c>
      <x:c r="AD76" s="81" t="n">
        <x:f>MIN(1,'Island Architectures'!$Q$10*(1-O76/'Island Architectures'!$S$10))</x:f>
        <x:v>1</x:v>
      </x:c>
      <x:c r="AE76" s="81" t="n">
        <x:f>MIN(1,'Island Architectures'!$T$10*(1-P76/'Island Architectures'!$U$10))</x:f>
        <x:v>1</x:v>
      </x:c>
      <x:c r="AF76" s="81" t="n">
        <x:f>MIN(1,'Island Architectures'!$V$10*(1-Q76/'Island Architectures'!$W$10))</x:f>
        <x:v>1</x:v>
      </x:c>
      <x:c r="AG76" s="81" t="n">
        <x:f>MIN(1,'Island Architectures'!$X$10*(1-R76)*(1-S76/'Island Architectures'!$Y$10))</x:f>
        <x:v>1</x:v>
      </x:c>
      <x:c r="AH76" s="81" t="n">
        <x:f>IF(T76&lt;'Island Architectures'!$Z$10,1,0)</x:f>
        <x:v>1</x:v>
      </x:c>
      <x:c r="AI76" s="81" t="n">
        <x:f>MIN(1,'Island Architectures'!$AA$10*(1-U76/'Island Architectures'!$AB$10))</x:f>
        <x:v>0.9</x:v>
      </x:c>
      <x:c r="AJ76" s="81" t="n">
        <x:f>IF(V76=1,MIN(1,'Island Architectures'!$AD$10/Assumptions!$C$10),1)</x:f>
        <x:v>1</x:v>
      </x:c>
      <x:c r="AK76" s="81" t="n">
        <x:f>IF(W76=1,'Island Architectures'!$AC$10,1)</x:f>
        <x:v>1</x:v>
      </x:c>
      <x:c r="AL76" s="81" t="n">
        <x:f>MIN(X76:AK76)</x:f>
        <x:v>0.9</x:v>
      </x:c>
      <x:c r="AM76" s="70" t="str">
        <x:f>IF(AL76&gt;=Assumptions!$C$9,"PASS","FAIL")</x:f>
        <x:v>PASS</x:v>
      </x:c>
      <x:c r="AN76" s="52" t="str">
        <x:v>upstream material, software or factory removal</x:v>
      </x:c>
    </x:row>
    <x:row r="77">
      <x:c r="B77" s="66" t="str">
        <x:v>A3</x:v>
      </x:c>
      <x:c r="C77" s="66" t="str">
        <x:v>I22</x:v>
      </x:c>
      <x:c r="D77" s="66" t="str">
        <x:v>Seven-day external logistics denial</x:v>
      </x:c>
      <x:c r="E77" s="66" t="n">
        <x:v>0</x:v>
      </x:c>
      <x:c r="F77" s="66" t="n">
        <x:v>0</x:v>
      </x:c>
      <x:c r="G77" s="66" t="n">
        <x:v>0</x:v>
      </x:c>
      <x:c r="H77" s="66" t="n">
        <x:v>0</x:v>
      </x:c>
      <x:c r="I77" s="66" t="n">
        <x:v>0</x:v>
      </x:c>
      <x:c r="J77" s="80" t="n">
        <x:v>1</x:v>
      </x:c>
      <x:c r="K77" s="66" t="n">
        <x:v>0</x:v>
      </x:c>
      <x:c r="L77" s="66" t="n">
        <x:v>0</x:v>
      </x:c>
      <x:c r="M77" s="66" t="n">
        <x:v>0</x:v>
      </x:c>
      <x:c r="N77" s="66" t="n">
        <x:v>0</x:v>
      </x:c>
      <x:c r="O77" s="66" t="n">
        <x:v>0</x:v>
      </x:c>
      <x:c r="P77" s="66" t="n">
        <x:v>0</x:v>
      </x:c>
      <x:c r="Q77" s="66" t="n">
        <x:v>0</x:v>
      </x:c>
      <x:c r="R77" s="80" t="n">
        <x:v>0</x:v>
      </x:c>
      <x:c r="S77" s="66" t="n">
        <x:v>0</x:v>
      </x:c>
      <x:c r="T77" s="66" t="n">
        <x:v>0</x:v>
      </x:c>
      <x:c r="U77" s="66" t="n">
        <x:v>0</x:v>
      </x:c>
      <x:c r="V77" s="66" t="n">
        <x:v>1</x:v>
      </x:c>
      <x:c r="W77" s="66" t="n">
        <x:v>0</x:v>
      </x:c>
      <x:c r="X77" s="81" t="n">
        <x:f>MIN(1,IF(E77=1,'Island Architectures'!$G$10,'Island Architectures'!$D$10)*(1-F77/'Island Architectures'!$E$10)*(1-G77/'Island Architectures'!$F$10)*IF(H77&lt;'Island Architectures'!$H$10,1,0))</x:f>
        <x:v>1</x:v>
      </x:c>
      <x:c r="Y77" s="81" t="n">
        <x:f>MIN(1,'Island Architectures'!$I$10*(1-I77/'Island Architectures'!$J$10)*J77)</x:f>
        <x:v>1</x:v>
      </x:c>
      <x:c r="Z77" s="81" t="n">
        <x:f>MIN(1,'Island Architectures'!$K$10*(1-K77/'Island Architectures'!$L$10))</x:f>
        <x:v>1</x:v>
      </x:c>
      <x:c r="AA77" s="81" t="n">
        <x:f>MIN(1,'Island Architectures'!$M$10*(1-L77/'Island Architectures'!$N$10))</x:f>
        <x:v>1</x:v>
      </x:c>
      <x:c r="AB77" s="81" t="n">
        <x:f>MIN(1,'Island Architectures'!$O$10*(1-M77/'Island Architectures'!$P$10))</x:f>
        <x:v>1</x:v>
      </x:c>
      <x:c r="AC77" s="81" t="n">
        <x:f>MIN(1,'Island Architectures'!$Q$10*(1-N77/'Island Architectures'!$R$10))</x:f>
        <x:v>1</x:v>
      </x:c>
      <x:c r="AD77" s="81" t="n">
        <x:f>MIN(1,'Island Architectures'!$Q$10*(1-O77/'Island Architectures'!$S$10))</x:f>
        <x:v>1</x:v>
      </x:c>
      <x:c r="AE77" s="81" t="n">
        <x:f>MIN(1,'Island Architectures'!$T$10*(1-P77/'Island Architectures'!$U$10))</x:f>
        <x:v>1</x:v>
      </x:c>
      <x:c r="AF77" s="81" t="n">
        <x:f>MIN(1,'Island Architectures'!$V$10*(1-Q77/'Island Architectures'!$W$10))</x:f>
        <x:v>1</x:v>
      </x:c>
      <x:c r="AG77" s="81" t="n">
        <x:f>MIN(1,'Island Architectures'!$X$10*(1-R77)*(1-S77/'Island Architectures'!$Y$10))</x:f>
        <x:v>1</x:v>
      </x:c>
      <x:c r="AH77" s="81" t="n">
        <x:f>IF(T77&lt;'Island Architectures'!$Z$10,1,0)</x:f>
        <x:v>1</x:v>
      </x:c>
      <x:c r="AI77" s="81" t="n">
        <x:f>MIN(1,'Island Architectures'!$AA$10*(1-U77/'Island Architectures'!$AB$10))</x:f>
        <x:v>1</x:v>
      </x:c>
      <x:c r="AJ77" s="81" t="n">
        <x:f>IF(V77=1,MIN(1,'Island Architectures'!$AD$10/Assumptions!$C$10),1)</x:f>
        <x:v>0.5714285714285714</x:v>
      </x:c>
      <x:c r="AK77" s="81" t="n">
        <x:f>IF(W77=1,'Island Architectures'!$AC$10,1)</x:f>
        <x:v>1</x:v>
      </x:c>
      <x:c r="AL77" s="81" t="n">
        <x:f>MIN(X77:AK77)</x:f>
        <x:v>0.5714285714285714</x:v>
      </x:c>
      <x:c r="AM77" s="70" t="str">
        <x:f>IF(AL77&gt;=Assumptions!$C$9,"PASS","FAIL")</x:f>
        <x:v>FAIL</x:v>
      </x:c>
      <x:c r="AN77" s="52" t="str">
        <x:v>fixed inventory must be an operating system</x:v>
      </x:c>
    </x:row>
    <x:row r="78">
      <x:c r="B78" s="66" t="str">
        <x:v>A3</x:v>
      </x:c>
      <x:c r="C78" s="66" t="str">
        <x:v>I23</x:v>
      </x:c>
      <x:c r="D78" s="66" t="str">
        <x:v>Second mission begins on day three</x:v>
      </x:c>
      <x:c r="E78" s="66" t="n">
        <x:v>0</x:v>
      </x:c>
      <x:c r="F78" s="66" t="n">
        <x:v>0</x:v>
      </x:c>
      <x:c r="G78" s="66" t="n">
        <x:v>0</x:v>
      </x:c>
      <x:c r="H78" s="66" t="n">
        <x:v>0</x:v>
      </x:c>
      <x:c r="I78" s="66" t="n">
        <x:v>0</x:v>
      </x:c>
      <x:c r="J78" s="80" t="n">
        <x:v>1</x:v>
      </x:c>
      <x:c r="K78" s="66" t="n">
        <x:v>0</x:v>
      </x:c>
      <x:c r="L78" s="66" t="n">
        <x:v>0</x:v>
      </x:c>
      <x:c r="M78" s="66" t="n">
        <x:v>0</x:v>
      </x:c>
      <x:c r="N78" s="66" t="n">
        <x:v>0</x:v>
      </x:c>
      <x:c r="O78" s="66" t="n">
        <x:v>0</x:v>
      </x:c>
      <x:c r="P78" s="66" t="n">
        <x:v>0</x:v>
      </x:c>
      <x:c r="Q78" s="66" t="n">
        <x:v>0</x:v>
      </x:c>
      <x:c r="R78" s="80" t="n">
        <x:v>0</x:v>
      </x:c>
      <x:c r="S78" s="66" t="n">
        <x:v>0</x:v>
      </x:c>
      <x:c r="T78" s="66" t="n">
        <x:v>0</x:v>
      </x:c>
      <x:c r="U78" s="66" t="n">
        <x:v>0</x:v>
      </x:c>
      <x:c r="V78" s="66" t="n">
        <x:v>0</x:v>
      </x:c>
      <x:c r="W78" s="66" t="n">
        <x:v>1</x:v>
      </x:c>
      <x:c r="X78" s="81" t="n">
        <x:f>MIN(1,IF(E78=1,'Island Architectures'!$G$10,'Island Architectures'!$D$10)*(1-F78/'Island Architectures'!$E$10)*(1-G78/'Island Architectures'!$F$10)*IF(H78&lt;'Island Architectures'!$H$10,1,0))</x:f>
        <x:v>1</x:v>
      </x:c>
      <x:c r="Y78" s="81" t="n">
        <x:f>MIN(1,'Island Architectures'!$I$10*(1-I78/'Island Architectures'!$J$10)*J78)</x:f>
        <x:v>1</x:v>
      </x:c>
      <x:c r="Z78" s="81" t="n">
        <x:f>MIN(1,'Island Architectures'!$K$10*(1-K78/'Island Architectures'!$L$10))</x:f>
        <x:v>1</x:v>
      </x:c>
      <x:c r="AA78" s="81" t="n">
        <x:f>MIN(1,'Island Architectures'!$M$10*(1-L78/'Island Architectures'!$N$10))</x:f>
        <x:v>1</x:v>
      </x:c>
      <x:c r="AB78" s="81" t="n">
        <x:f>MIN(1,'Island Architectures'!$O$10*(1-M78/'Island Architectures'!$P$10))</x:f>
        <x:v>1</x:v>
      </x:c>
      <x:c r="AC78" s="81" t="n">
        <x:f>MIN(1,'Island Architectures'!$Q$10*(1-N78/'Island Architectures'!$R$10))</x:f>
        <x:v>1</x:v>
      </x:c>
      <x:c r="AD78" s="81" t="n">
        <x:f>MIN(1,'Island Architectures'!$Q$10*(1-O78/'Island Architectures'!$S$10))</x:f>
        <x:v>1</x:v>
      </x:c>
      <x:c r="AE78" s="81" t="n">
        <x:f>MIN(1,'Island Architectures'!$T$10*(1-P78/'Island Architectures'!$U$10))</x:f>
        <x:v>1</x:v>
      </x:c>
      <x:c r="AF78" s="81" t="n">
        <x:f>MIN(1,'Island Architectures'!$V$10*(1-Q78/'Island Architectures'!$W$10))</x:f>
        <x:v>1</x:v>
      </x:c>
      <x:c r="AG78" s="81" t="n">
        <x:f>MIN(1,'Island Architectures'!$X$10*(1-R78)*(1-S78/'Island Architectures'!$Y$10))</x:f>
        <x:v>1</x:v>
      </x:c>
      <x:c r="AH78" s="81" t="n">
        <x:f>IF(T78&lt;'Island Architectures'!$Z$10,1,0)</x:f>
        <x:v>1</x:v>
      </x:c>
      <x:c r="AI78" s="81" t="n">
        <x:f>MIN(1,'Island Architectures'!$AA$10*(1-U78/'Island Architectures'!$AB$10))</x:f>
        <x:v>1</x:v>
      </x:c>
      <x:c r="AJ78" s="81" t="n">
        <x:f>IF(V78=1,MIN(1,'Island Architectures'!$AD$10/Assumptions!$C$10),1)</x:f>
        <x:v>1</x:v>
      </x:c>
      <x:c r="AK78" s="81" t="n">
        <x:f>IF(W78=1,'Island Architectures'!$AC$10,1)</x:f>
        <x:v>0.82</x:v>
      </x:c>
      <x:c r="AL78" s="81" t="n">
        <x:f>MIN(X78:AK78)</x:f>
        <x:v>0.82</x:v>
      </x:c>
      <x:c r="AM78" s="70" t="str">
        <x:f>IF(AL78&gt;=Assumptions!$C$9,"PASS","FAIL")</x:f>
        <x:v>FAIL</x:v>
      </x:c>
      <x:c r="AN78" s="52" t="str">
        <x:v>inspection, repair, reload and recertification</x:v>
      </x:c>
    </x:row>
    <x:row r="79">
      <x:c r="B79" s="66" t="str">
        <x:v>A3</x:v>
      </x:c>
      <x:c r="C79" s="66" t="str">
        <x:v>I24</x:v>
      </x:c>
      <x:c r="D79" s="66" t="str">
        <x:v>Grid, yard, corridor and communications loss</x:v>
      </x:c>
      <x:c r="E79" s="66" t="n">
        <x:v>1</x:v>
      </x:c>
      <x:c r="F79" s="66" t="n">
        <x:v>0</x:v>
      </x:c>
      <x:c r="G79" s="66" t="n">
        <x:v>1</x:v>
      </x:c>
      <x:c r="H79" s="66" t="n">
        <x:v>0</x:v>
      </x:c>
      <x:c r="I79" s="66" t="n">
        <x:v>0</x:v>
      </x:c>
      <x:c r="J79" s="80" t="n">
        <x:v>1</x:v>
      </x:c>
      <x:c r="K79" s="66" t="n">
        <x:v>0</x:v>
      </x:c>
      <x:c r="L79" s="66" t="n">
        <x:v>0</x:v>
      </x:c>
      <x:c r="M79" s="66" t="n">
        <x:v>1</x:v>
      </x:c>
      <x:c r="N79" s="66" t="n">
        <x:v>0</x:v>
      </x:c>
      <x:c r="O79" s="66" t="n">
        <x:v>0</x:v>
      </x:c>
      <x:c r="P79" s="66" t="n">
        <x:v>0</x:v>
      </x:c>
      <x:c r="Q79" s="66" t="n">
        <x:v>1</x:v>
      </x:c>
      <x:c r="R79" s="80" t="n">
        <x:v>0</x:v>
      </x:c>
      <x:c r="S79" s="66" t="n">
        <x:v>0</x:v>
      </x:c>
      <x:c r="T79" s="66" t="n">
        <x:v>0</x:v>
      </x:c>
      <x:c r="U79" s="66" t="n">
        <x:v>0</x:v>
      </x:c>
      <x:c r="V79" s="66" t="n">
        <x:v>0</x:v>
      </x:c>
      <x:c r="W79" s="66" t="n">
        <x:v>0</x:v>
      </x:c>
      <x:c r="X79" s="81" t="n">
        <x:f>MIN(1,IF(E79=1,'Island Architectures'!$G$10,'Island Architectures'!$D$10)*(1-F79/'Island Architectures'!$E$10)*(1-G79/'Island Architectures'!$F$10)*IF(H79&lt;'Island Architectures'!$H$10,1,0))</x:f>
        <x:v>0.55</x:v>
      </x:c>
      <x:c r="Y79" s="81" t="n">
        <x:f>MIN(1,'Island Architectures'!$I$10*(1-I79/'Island Architectures'!$J$10)*J79)</x:f>
        <x:v>1</x:v>
      </x:c>
      <x:c r="Z79" s="81" t="n">
        <x:f>MIN(1,'Island Architectures'!$K$10*(1-K79/'Island Architectures'!$L$10))</x:f>
        <x:v>1</x:v>
      </x:c>
      <x:c r="AA79" s="81" t="n">
        <x:f>MIN(1,'Island Architectures'!$M$10*(1-L79/'Island Architectures'!$N$10))</x:f>
        <x:v>1</x:v>
      </x:c>
      <x:c r="AB79" s="81" t="n">
        <x:f>MIN(1,'Island Architectures'!$O$10*(1-M79/'Island Architectures'!$P$10))</x:f>
        <x:v>0.9</x:v>
      </x:c>
      <x:c r="AC79" s="81" t="n">
        <x:f>MIN(1,'Island Architectures'!$Q$10*(1-N79/'Island Architectures'!$R$10))</x:f>
        <x:v>1</x:v>
      </x:c>
      <x:c r="AD79" s="81" t="n">
        <x:f>MIN(1,'Island Architectures'!$Q$10*(1-O79/'Island Architectures'!$S$10))</x:f>
        <x:v>1</x:v>
      </x:c>
      <x:c r="AE79" s="81" t="n">
        <x:f>MIN(1,'Island Architectures'!$T$10*(1-P79/'Island Architectures'!$U$10))</x:f>
        <x:v>1</x:v>
      </x:c>
      <x:c r="AF79" s="81" t="n">
        <x:f>MIN(1,'Island Architectures'!$V$10*(1-Q79/'Island Architectures'!$W$10))</x:f>
        <x:v>0.9</x:v>
      </x:c>
      <x:c r="AG79" s="81" t="n">
        <x:f>MIN(1,'Island Architectures'!$X$10*(1-R79)*(1-S79/'Island Architectures'!$Y$10))</x:f>
        <x:v>1</x:v>
      </x:c>
      <x:c r="AH79" s="81" t="n">
        <x:f>IF(T79&lt;'Island Architectures'!$Z$10,1,0)</x:f>
        <x:v>1</x:v>
      </x:c>
      <x:c r="AI79" s="81" t="n">
        <x:f>MIN(1,'Island Architectures'!$AA$10*(1-U79/'Island Architectures'!$AB$10))</x:f>
        <x:v>1</x:v>
      </x:c>
      <x:c r="AJ79" s="81" t="n">
        <x:f>IF(V79=1,MIN(1,'Island Architectures'!$AD$10/Assumptions!$C$10),1)</x:f>
        <x:v>1</x:v>
      </x:c>
      <x:c r="AK79" s="81" t="n">
        <x:f>IF(W79=1,'Island Architectures'!$AC$10,1)</x:f>
        <x:v>1</x:v>
      </x:c>
      <x:c r="AL79" s="81" t="n">
        <x:f>MIN(X79:AK79)</x:f>
        <x:v>0.55</x:v>
      </x:c>
      <x:c r="AM79" s="70" t="str">
        <x:f>IF(AL79&gt;=Assumptions!$C$9,"PASS","FAIL")</x:f>
        <x:v>FAIL</x:v>
      </x:c>
      <x:c r="AN79" s="52" t="str">
        <x:v>compound test of physical and institutional separation</x:v>
      </x:c>
    </x:row>
    <x:row r="80">
      <x:c r="B80" s="66" t="str">
        <x:v>A4</x:v>
      </x:c>
      <x:c r="C80" s="66" t="str">
        <x:v>I01</x:v>
      </x:c>
      <x:c r="D80" s="66" t="str">
        <x:v>Baseline release</x:v>
      </x:c>
      <x:c r="E80" s="66" t="n">
        <x:v>0</x:v>
      </x:c>
      <x:c r="F80" s="66" t="n">
        <x:v>0</x:v>
      </x:c>
      <x:c r="G80" s="66" t="n">
        <x:v>0</x:v>
      </x:c>
      <x:c r="H80" s="66" t="n">
        <x:v>0</x:v>
      </x:c>
      <x:c r="I80" s="66" t="n">
        <x:v>0</x:v>
      </x:c>
      <x:c r="J80" s="80" t="n">
        <x:v>1</x:v>
      </x:c>
      <x:c r="K80" s="66" t="n">
        <x:v>0</x:v>
      </x:c>
      <x:c r="L80" s="66" t="n">
        <x:v>0</x:v>
      </x:c>
      <x:c r="M80" s="66" t="n">
        <x:v>0</x:v>
      </x:c>
      <x:c r="N80" s="66" t="n">
        <x:v>0</x:v>
      </x:c>
      <x:c r="O80" s="66" t="n">
        <x:v>0</x:v>
      </x:c>
      <x:c r="P80" s="66" t="n">
        <x:v>0</x:v>
      </x:c>
      <x:c r="Q80" s="66" t="n">
        <x:v>0</x:v>
      </x:c>
      <x:c r="R80" s="80" t="n">
        <x:v>0</x:v>
      </x:c>
      <x:c r="S80" s="66" t="n">
        <x:v>0</x:v>
      </x:c>
      <x:c r="T80" s="66" t="n">
        <x:v>0</x:v>
      </x:c>
      <x:c r="U80" s="66" t="n">
        <x:v>0</x:v>
      </x:c>
      <x:c r="V80" s="66" t="n">
        <x:v>0</x:v>
      </x:c>
      <x:c r="W80" s="66" t="n">
        <x:v>0</x:v>
      </x:c>
      <x:c r="X80" s="81" t="n">
        <x:f>MIN(1,IF(E80=1,'Island Architectures'!$G$11,'Island Architectures'!$D$11)*(1-F80/'Island Architectures'!$E$11)*(1-G80/'Island Architectures'!$F$11)*IF(H80&lt;'Island Architectures'!$H$11,1,0))</x:f>
        <x:v>1</x:v>
      </x:c>
      <x:c r="Y80" s="81" t="n">
        <x:f>MIN(1,'Island Architectures'!$I$11*(1-I80/'Island Architectures'!$J$11)*J80)</x:f>
        <x:v>1</x:v>
      </x:c>
      <x:c r="Z80" s="81" t="n">
        <x:f>MIN(1,'Island Architectures'!$K$11*(1-K80/'Island Architectures'!$L$11))</x:f>
        <x:v>1</x:v>
      </x:c>
      <x:c r="AA80" s="81" t="n">
        <x:f>MIN(1,'Island Architectures'!$M$11*(1-L80/'Island Architectures'!$N$11))</x:f>
        <x:v>1</x:v>
      </x:c>
      <x:c r="AB80" s="81" t="n">
        <x:f>MIN(1,'Island Architectures'!$O$11*(1-M80/'Island Architectures'!$P$11))</x:f>
        <x:v>1</x:v>
      </x:c>
      <x:c r="AC80" s="81" t="n">
        <x:f>MIN(1,'Island Architectures'!$Q$11*(1-N80/'Island Architectures'!$R$11))</x:f>
        <x:v>1</x:v>
      </x:c>
      <x:c r="AD80" s="81" t="n">
        <x:f>MIN(1,'Island Architectures'!$Q$11*(1-O80/'Island Architectures'!$S$11))</x:f>
        <x:v>1</x:v>
      </x:c>
      <x:c r="AE80" s="81" t="n">
        <x:f>MIN(1,'Island Architectures'!$T$11*(1-P80/'Island Architectures'!$U$11))</x:f>
        <x:v>1</x:v>
      </x:c>
      <x:c r="AF80" s="81" t="n">
        <x:f>MIN(1,'Island Architectures'!$V$11*(1-Q80/'Island Architectures'!$W$11))</x:f>
        <x:v>1</x:v>
      </x:c>
      <x:c r="AG80" s="81" t="n">
        <x:f>MIN(1,'Island Architectures'!$X$11*(1-R80)*(1-S80/'Island Architectures'!$Y$11))</x:f>
        <x:v>1</x:v>
      </x:c>
      <x:c r="AH80" s="81" t="n">
        <x:f>IF(T80&lt;'Island Architectures'!$Z$11,1,0)</x:f>
        <x:v>1</x:v>
      </x:c>
      <x:c r="AI80" s="81" t="n">
        <x:f>MIN(1,'Island Architectures'!$AA$11*(1-U80/'Island Architectures'!$AB$11))</x:f>
        <x:v>1</x:v>
      </x:c>
      <x:c r="AJ80" s="81" t="n">
        <x:f>IF(V80=1,MIN(1,'Island Architectures'!$AD$11/Assumptions!$C$10),1)</x:f>
        <x:v>1</x:v>
      </x:c>
      <x:c r="AK80" s="81" t="n">
        <x:f>IF(W80=1,'Island Architectures'!$AC$11,1)</x:f>
        <x:v>1</x:v>
      </x:c>
      <x:c r="AL80" s="81" t="n">
        <x:f>MIN(X80:AK80)</x:f>
        <x:v>1</x:v>
      </x:c>
      <x:c r="AM80" s="70" t="str">
        <x:f>IF(AL80&gt;=Assumptions!$C$9,"PASS","FAIL")</x:f>
        <x:v>PASS</x:v>
      </x:c>
      <x:c r="AN80" s="52" t="str">
        <x:v>all declared systems available</x:v>
      </x:c>
    </x:row>
    <x:row r="81">
      <x:c r="B81" s="66" t="str">
        <x:v>A4</x:v>
      </x:c>
      <x:c r="C81" s="66" t="str">
        <x:v>I02</x:v>
      </x:c>
      <x:c r="D81" s="66" t="str">
        <x:v>External grid absent</x:v>
      </x:c>
      <x:c r="E81" s="66" t="n">
        <x:v>1</x:v>
      </x:c>
      <x:c r="F81" s="66" t="n">
        <x:v>0</x:v>
      </x:c>
      <x:c r="G81" s="66" t="n">
        <x:v>0</x:v>
      </x:c>
      <x:c r="H81" s="66" t="n">
        <x:v>0</x:v>
      </x:c>
      <x:c r="I81" s="66" t="n">
        <x:v>0</x:v>
      </x:c>
      <x:c r="J81" s="80" t="n">
        <x:v>1</x:v>
      </x:c>
      <x:c r="K81" s="66" t="n">
        <x:v>0</x:v>
      </x:c>
      <x:c r="L81" s="66" t="n">
        <x:v>0</x:v>
      </x:c>
      <x:c r="M81" s="66" t="n">
        <x:v>0</x:v>
      </x:c>
      <x:c r="N81" s="66" t="n">
        <x:v>0</x:v>
      </x:c>
      <x:c r="O81" s="66" t="n">
        <x:v>0</x:v>
      </x:c>
      <x:c r="P81" s="66" t="n">
        <x:v>0</x:v>
      </x:c>
      <x:c r="Q81" s="66" t="n">
        <x:v>0</x:v>
      </x:c>
      <x:c r="R81" s="80" t="n">
        <x:v>0</x:v>
      </x:c>
      <x:c r="S81" s="66" t="n">
        <x:v>0</x:v>
      </x:c>
      <x:c r="T81" s="66" t="n">
        <x:v>0</x:v>
      </x:c>
      <x:c r="U81" s="66" t="n">
        <x:v>0</x:v>
      </x:c>
      <x:c r="V81" s="66" t="n">
        <x:v>0</x:v>
      </x:c>
      <x:c r="W81" s="66" t="n">
        <x:v>0</x:v>
      </x:c>
      <x:c r="X81" s="81" t="n">
        <x:f>MIN(1,IF(E81=1,'Island Architectures'!$G$11,'Island Architectures'!$D$11)*(1-F81/'Island Architectures'!$E$11)*(1-G81/'Island Architectures'!$F$11)*IF(H81&lt;'Island Architectures'!$H$11,1,0))</x:f>
        <x:v>1</x:v>
      </x:c>
      <x:c r="Y81" s="81" t="n">
        <x:f>MIN(1,'Island Architectures'!$I$11*(1-I81/'Island Architectures'!$J$11)*J81)</x:f>
        <x:v>1</x:v>
      </x:c>
      <x:c r="Z81" s="81" t="n">
        <x:f>MIN(1,'Island Architectures'!$K$11*(1-K81/'Island Architectures'!$L$11))</x:f>
        <x:v>1</x:v>
      </x:c>
      <x:c r="AA81" s="81" t="n">
        <x:f>MIN(1,'Island Architectures'!$M$11*(1-L81/'Island Architectures'!$N$11))</x:f>
        <x:v>1</x:v>
      </x:c>
      <x:c r="AB81" s="81" t="n">
        <x:f>MIN(1,'Island Architectures'!$O$11*(1-M81/'Island Architectures'!$P$11))</x:f>
        <x:v>1</x:v>
      </x:c>
      <x:c r="AC81" s="81" t="n">
        <x:f>MIN(1,'Island Architectures'!$Q$11*(1-N81/'Island Architectures'!$R$11))</x:f>
        <x:v>1</x:v>
      </x:c>
      <x:c r="AD81" s="81" t="n">
        <x:f>MIN(1,'Island Architectures'!$Q$11*(1-O81/'Island Architectures'!$S$11))</x:f>
        <x:v>1</x:v>
      </x:c>
      <x:c r="AE81" s="81" t="n">
        <x:f>MIN(1,'Island Architectures'!$T$11*(1-P81/'Island Architectures'!$U$11))</x:f>
        <x:v>1</x:v>
      </x:c>
      <x:c r="AF81" s="81" t="n">
        <x:f>MIN(1,'Island Architectures'!$V$11*(1-Q81/'Island Architectures'!$W$11))</x:f>
        <x:v>1</x:v>
      </x:c>
      <x:c r="AG81" s="81" t="n">
        <x:f>MIN(1,'Island Architectures'!$X$11*(1-R81)*(1-S81/'Island Architectures'!$Y$11))</x:f>
        <x:v>1</x:v>
      </x:c>
      <x:c r="AH81" s="81" t="n">
        <x:f>IF(T81&lt;'Island Architectures'!$Z$11,1,0)</x:f>
        <x:v>1</x:v>
      </x:c>
      <x:c r="AI81" s="81" t="n">
        <x:f>MIN(1,'Island Architectures'!$AA$11*(1-U81/'Island Architectures'!$AB$11))</x:f>
        <x:v>1</x:v>
      </x:c>
      <x:c r="AJ81" s="81" t="n">
        <x:f>IF(V81=1,MIN(1,'Island Architectures'!$AD$11/Assumptions!$C$10),1)</x:f>
        <x:v>1</x:v>
      </x:c>
      <x:c r="AK81" s="81" t="n">
        <x:f>IF(W81=1,'Island Architectures'!$AC$11,1)</x:f>
        <x:v>1</x:v>
      </x:c>
      <x:c r="AL81" s="81" t="n">
        <x:f>MIN(X81:AK81)</x:f>
        <x:v>1</x:v>
      </x:c>
      <x:c r="AM81" s="70" t="str">
        <x:f>IF(AL81&gt;=Assumptions!$C$9,"PASS","FAIL")</x:f>
        <x:v>PASS</x:v>
      </x:c>
      <x:c r="AN81" s="52" t="str">
        <x:v>fixed island must remain a source, not a grid customer</x:v>
      </x:c>
    </x:row>
    <x:row r="82">
      <x:c r="B82" s="66" t="str">
        <x:v>A4</x:v>
      </x:c>
      <x:c r="C82" s="66" t="str">
        <x:v>I03</x:v>
      </x:c>
      <x:c r="D82" s="66" t="str">
        <x:v>Largest source lineage lost</x:v>
      </x:c>
      <x:c r="E82" s="66" t="n">
        <x:v>0</x:v>
      </x:c>
      <x:c r="F82" s="66" t="n">
        <x:v>1</x:v>
      </x:c>
      <x:c r="G82" s="66" t="n">
        <x:v>0</x:v>
      </x:c>
      <x:c r="H82" s="66" t="n">
        <x:v>0</x:v>
      </x:c>
      <x:c r="I82" s="66" t="n">
        <x:v>0</x:v>
      </x:c>
      <x:c r="J82" s="80" t="n">
        <x:v>1</x:v>
      </x:c>
      <x:c r="K82" s="66" t="n">
        <x:v>0</x:v>
      </x:c>
      <x:c r="L82" s="66" t="n">
        <x:v>0</x:v>
      </x:c>
      <x:c r="M82" s="66" t="n">
        <x:v>0</x:v>
      </x:c>
      <x:c r="N82" s="66" t="n">
        <x:v>0</x:v>
      </x:c>
      <x:c r="O82" s="66" t="n">
        <x:v>0</x:v>
      </x:c>
      <x:c r="P82" s="66" t="n">
        <x:v>0</x:v>
      </x:c>
      <x:c r="Q82" s="66" t="n">
        <x:v>0</x:v>
      </x:c>
      <x:c r="R82" s="80" t="n">
        <x:v>0</x:v>
      </x:c>
      <x:c r="S82" s="66" t="n">
        <x:v>0</x:v>
      </x:c>
      <x:c r="T82" s="66" t="n">
        <x:v>0</x:v>
      </x:c>
      <x:c r="U82" s="66" t="n">
        <x:v>0</x:v>
      </x:c>
      <x:c r="V82" s="66" t="n">
        <x:v>0</x:v>
      </x:c>
      <x:c r="W82" s="66" t="n">
        <x:v>0</x:v>
      </x:c>
      <x:c r="X82" s="81" t="n">
        <x:f>MIN(1,IF(E82=1,'Island Architectures'!$G$11,'Island Architectures'!$D$11)*(1-F82/'Island Architectures'!$E$11)*(1-G82/'Island Architectures'!$F$11)*IF(H82&lt;'Island Architectures'!$H$11,1,0))</x:f>
        <x:v>1</x:v>
      </x:c>
      <x:c r="Y82" s="81" t="n">
        <x:f>MIN(1,'Island Architectures'!$I$11*(1-I82/'Island Architectures'!$J$11)*J82)</x:f>
        <x:v>1</x:v>
      </x:c>
      <x:c r="Z82" s="81" t="n">
        <x:f>MIN(1,'Island Architectures'!$K$11*(1-K82/'Island Architectures'!$L$11))</x:f>
        <x:v>1</x:v>
      </x:c>
      <x:c r="AA82" s="81" t="n">
        <x:f>MIN(1,'Island Architectures'!$M$11*(1-L82/'Island Architectures'!$N$11))</x:f>
        <x:v>1</x:v>
      </x:c>
      <x:c r="AB82" s="81" t="n">
        <x:f>MIN(1,'Island Architectures'!$O$11*(1-M82/'Island Architectures'!$P$11))</x:f>
        <x:v>1</x:v>
      </x:c>
      <x:c r="AC82" s="81" t="n">
        <x:f>MIN(1,'Island Architectures'!$Q$11*(1-N82/'Island Architectures'!$R$11))</x:f>
        <x:v>1</x:v>
      </x:c>
      <x:c r="AD82" s="81" t="n">
        <x:f>MIN(1,'Island Architectures'!$Q$11*(1-O82/'Island Architectures'!$S$11))</x:f>
        <x:v>1</x:v>
      </x:c>
      <x:c r="AE82" s="81" t="n">
        <x:f>MIN(1,'Island Architectures'!$T$11*(1-P82/'Island Architectures'!$U$11))</x:f>
        <x:v>1</x:v>
      </x:c>
      <x:c r="AF82" s="81" t="n">
        <x:f>MIN(1,'Island Architectures'!$V$11*(1-Q82/'Island Architectures'!$W$11))</x:f>
        <x:v>1</x:v>
      </x:c>
      <x:c r="AG82" s="81" t="n">
        <x:f>MIN(1,'Island Architectures'!$X$11*(1-R82)*(1-S82/'Island Architectures'!$Y$11))</x:f>
        <x:v>1</x:v>
      </x:c>
      <x:c r="AH82" s="81" t="n">
        <x:f>IF(T82&lt;'Island Architectures'!$Z$11,1,0)</x:f>
        <x:v>1</x:v>
      </x:c>
      <x:c r="AI82" s="81" t="n">
        <x:f>MIN(1,'Island Architectures'!$AA$11*(1-U82/'Island Architectures'!$AB$11))</x:f>
        <x:v>1</x:v>
      </x:c>
      <x:c r="AJ82" s="81" t="n">
        <x:f>IF(V82=1,MIN(1,'Island Architectures'!$AD$11/Assumptions!$C$10),1)</x:f>
        <x:v>1</x:v>
      </x:c>
      <x:c r="AK82" s="81" t="n">
        <x:f>IF(W82=1,'Island Architectures'!$AC$11,1)</x:f>
        <x:v>1</x:v>
      </x:c>
      <x:c r="AL82" s="81" t="n">
        <x:f>MIN(X82:AK82)</x:f>
        <x:v>1</x:v>
      </x:c>
      <x:c r="AM82" s="70" t="str">
        <x:f>IF(AL82&gt;=Assumptions!$C$9,"PASS","FAIL")</x:f>
        <x:v>PASS</x:v>
      </x:c>
      <x:c r="AN82" s="52" t="str">
        <x:v>energy technologies share upstream ancestry</x:v>
      </x:c>
    </x:row>
    <x:row r="83">
      <x:c r="B83" s="66" t="str">
        <x:v>A4</x:v>
      </x:c>
      <x:c r="C83" s="66" t="str">
        <x:v>I04</x:v>
      </x:c>
      <x:c r="D83" s="66" t="str">
        <x:v>Largest energy yard lost</x:v>
      </x:c>
      <x:c r="E83" s="66" t="n">
        <x:v>0</x:v>
      </x:c>
      <x:c r="F83" s="66" t="n">
        <x:v>0</x:v>
      </x:c>
      <x:c r="G83" s="66" t="n">
        <x:v>1</x:v>
      </x:c>
      <x:c r="H83" s="66" t="n">
        <x:v>0</x:v>
      </x:c>
      <x:c r="I83" s="66" t="n">
        <x:v>0</x:v>
      </x:c>
      <x:c r="J83" s="80" t="n">
        <x:v>1</x:v>
      </x:c>
      <x:c r="K83" s="66" t="n">
        <x:v>0</x:v>
      </x:c>
      <x:c r="L83" s="66" t="n">
        <x:v>0</x:v>
      </x:c>
      <x:c r="M83" s="66" t="n">
        <x:v>0</x:v>
      </x:c>
      <x:c r="N83" s="66" t="n">
        <x:v>0</x:v>
      </x:c>
      <x:c r="O83" s="66" t="n">
        <x:v>0</x:v>
      </x:c>
      <x:c r="P83" s="66" t="n">
        <x:v>0</x:v>
      </x:c>
      <x:c r="Q83" s="66" t="n">
        <x:v>0</x:v>
      </x:c>
      <x:c r="R83" s="80" t="n">
        <x:v>0</x:v>
      </x:c>
      <x:c r="S83" s="66" t="n">
        <x:v>0</x:v>
      </x:c>
      <x:c r="T83" s="66" t="n">
        <x:v>0</x:v>
      </x:c>
      <x:c r="U83" s="66" t="n">
        <x:v>0</x:v>
      </x:c>
      <x:c r="V83" s="66" t="n">
        <x:v>0</x:v>
      </x:c>
      <x:c r="W83" s="66" t="n">
        <x:v>0</x:v>
      </x:c>
      <x:c r="X83" s="81" t="n">
        <x:f>MIN(1,IF(E83=1,'Island Architectures'!$G$11,'Island Architectures'!$D$11)*(1-F83/'Island Architectures'!$E$11)*(1-G83/'Island Architectures'!$F$11)*IF(H83&lt;'Island Architectures'!$H$11,1,0))</x:f>
        <x:v>1</x:v>
      </x:c>
      <x:c r="Y83" s="81" t="n">
        <x:f>MIN(1,'Island Architectures'!$I$11*(1-I83/'Island Architectures'!$J$11)*J83)</x:f>
        <x:v>1</x:v>
      </x:c>
      <x:c r="Z83" s="81" t="n">
        <x:f>MIN(1,'Island Architectures'!$K$11*(1-K83/'Island Architectures'!$L$11))</x:f>
        <x:v>1</x:v>
      </x:c>
      <x:c r="AA83" s="81" t="n">
        <x:f>MIN(1,'Island Architectures'!$M$11*(1-L83/'Island Architectures'!$N$11))</x:f>
        <x:v>1</x:v>
      </x:c>
      <x:c r="AB83" s="81" t="n">
        <x:f>MIN(1,'Island Architectures'!$O$11*(1-M83/'Island Architectures'!$P$11))</x:f>
        <x:v>1</x:v>
      </x:c>
      <x:c r="AC83" s="81" t="n">
        <x:f>MIN(1,'Island Architectures'!$Q$11*(1-N83/'Island Architectures'!$R$11))</x:f>
        <x:v>1</x:v>
      </x:c>
      <x:c r="AD83" s="81" t="n">
        <x:f>MIN(1,'Island Architectures'!$Q$11*(1-O83/'Island Architectures'!$S$11))</x:f>
        <x:v>1</x:v>
      </x:c>
      <x:c r="AE83" s="81" t="n">
        <x:f>MIN(1,'Island Architectures'!$T$11*(1-P83/'Island Architectures'!$U$11))</x:f>
        <x:v>1</x:v>
      </x:c>
      <x:c r="AF83" s="81" t="n">
        <x:f>MIN(1,'Island Architectures'!$V$11*(1-Q83/'Island Architectures'!$W$11))</x:f>
        <x:v>1</x:v>
      </x:c>
      <x:c r="AG83" s="81" t="n">
        <x:f>MIN(1,'Island Architectures'!$X$11*(1-R83)*(1-S83/'Island Architectures'!$Y$11))</x:f>
        <x:v>1</x:v>
      </x:c>
      <x:c r="AH83" s="81" t="n">
        <x:f>IF(T83&lt;'Island Architectures'!$Z$11,1,0)</x:f>
        <x:v>1</x:v>
      </x:c>
      <x:c r="AI83" s="81" t="n">
        <x:f>MIN(1,'Island Architectures'!$AA$11*(1-U83/'Island Architectures'!$AB$11))</x:f>
        <x:v>1</x:v>
      </x:c>
      <x:c r="AJ83" s="81" t="n">
        <x:f>IF(V83=1,MIN(1,'Island Architectures'!$AD$11/Assumptions!$C$10),1)</x:f>
        <x:v>1</x:v>
      </x:c>
      <x:c r="AK83" s="81" t="n">
        <x:f>IF(W83=1,'Island Architectures'!$AC$11,1)</x:f>
        <x:v>1</x:v>
      </x:c>
      <x:c r="AL83" s="81" t="n">
        <x:f>MIN(X83:AK83)</x:f>
        <x:v>1</x:v>
      </x:c>
      <x:c r="AM83" s="70" t="str">
        <x:f>IF(AL83&gt;=Assumptions!$C$9,"PASS","FAIL")</x:f>
        <x:v>PASS</x:v>
      </x:c>
      <x:c r="AN83" s="52" t="str">
        <x:v>physical fire or flood loss</x:v>
      </x:c>
    </x:row>
    <x:row r="84">
      <x:c r="B84" s="66" t="str">
        <x:v>A4</x:v>
      </x:c>
      <x:c r="C84" s="66" t="str">
        <x:v>I05</x:v>
      </x:c>
      <x:c r="D84" s="66" t="str">
        <x:v>One black-start path lost</x:v>
      </x:c>
      <x:c r="E84" s="66" t="n">
        <x:v>0</x:v>
      </x:c>
      <x:c r="F84" s="66" t="n">
        <x:v>0</x:v>
      </x:c>
      <x:c r="G84" s="66" t="n">
        <x:v>0</x:v>
      </x:c>
      <x:c r="H84" s="66" t="n">
        <x:v>1</x:v>
      </x:c>
      <x:c r="I84" s="66" t="n">
        <x:v>0</x:v>
      </x:c>
      <x:c r="J84" s="80" t="n">
        <x:v>1</x:v>
      </x:c>
      <x:c r="K84" s="66" t="n">
        <x:v>0</x:v>
      </x:c>
      <x:c r="L84" s="66" t="n">
        <x:v>0</x:v>
      </x:c>
      <x:c r="M84" s="66" t="n">
        <x:v>0</x:v>
      </x:c>
      <x:c r="N84" s="66" t="n">
        <x:v>0</x:v>
      </x:c>
      <x:c r="O84" s="66" t="n">
        <x:v>0</x:v>
      </x:c>
      <x:c r="P84" s="66" t="n">
        <x:v>0</x:v>
      </x:c>
      <x:c r="Q84" s="66" t="n">
        <x:v>0</x:v>
      </x:c>
      <x:c r="R84" s="80" t="n">
        <x:v>0</x:v>
      </x:c>
      <x:c r="S84" s="66" t="n">
        <x:v>0</x:v>
      </x:c>
      <x:c r="T84" s="66" t="n">
        <x:v>0</x:v>
      </x:c>
      <x:c r="U84" s="66" t="n">
        <x:v>0</x:v>
      </x:c>
      <x:c r="V84" s="66" t="n">
        <x:v>0</x:v>
      </x:c>
      <x:c r="W84" s="66" t="n">
        <x:v>0</x:v>
      </x:c>
      <x:c r="X84" s="81" t="n">
        <x:f>MIN(1,IF(E84=1,'Island Architectures'!$G$11,'Island Architectures'!$D$11)*(1-F84/'Island Architectures'!$E$11)*(1-G84/'Island Architectures'!$F$11)*IF(H84&lt;'Island Architectures'!$H$11,1,0))</x:f>
        <x:v>1</x:v>
      </x:c>
      <x:c r="Y84" s="81" t="n">
        <x:f>MIN(1,'Island Architectures'!$I$11*(1-I84/'Island Architectures'!$J$11)*J84)</x:f>
        <x:v>1</x:v>
      </x:c>
      <x:c r="Z84" s="81" t="n">
        <x:f>MIN(1,'Island Architectures'!$K$11*(1-K84/'Island Architectures'!$L$11))</x:f>
        <x:v>1</x:v>
      </x:c>
      <x:c r="AA84" s="81" t="n">
        <x:f>MIN(1,'Island Architectures'!$M$11*(1-L84/'Island Architectures'!$N$11))</x:f>
        <x:v>1</x:v>
      </x:c>
      <x:c r="AB84" s="81" t="n">
        <x:f>MIN(1,'Island Architectures'!$O$11*(1-M84/'Island Architectures'!$P$11))</x:f>
        <x:v>1</x:v>
      </x:c>
      <x:c r="AC84" s="81" t="n">
        <x:f>MIN(1,'Island Architectures'!$Q$11*(1-N84/'Island Architectures'!$R$11))</x:f>
        <x:v>1</x:v>
      </x:c>
      <x:c r="AD84" s="81" t="n">
        <x:f>MIN(1,'Island Architectures'!$Q$11*(1-O84/'Island Architectures'!$S$11))</x:f>
        <x:v>1</x:v>
      </x:c>
      <x:c r="AE84" s="81" t="n">
        <x:f>MIN(1,'Island Architectures'!$T$11*(1-P84/'Island Architectures'!$U$11))</x:f>
        <x:v>1</x:v>
      </x:c>
      <x:c r="AF84" s="81" t="n">
        <x:f>MIN(1,'Island Architectures'!$V$11*(1-Q84/'Island Architectures'!$W$11))</x:f>
        <x:v>1</x:v>
      </x:c>
      <x:c r="AG84" s="81" t="n">
        <x:f>MIN(1,'Island Architectures'!$X$11*(1-R84)*(1-S84/'Island Architectures'!$Y$11))</x:f>
        <x:v>1</x:v>
      </x:c>
      <x:c r="AH84" s="81" t="n">
        <x:f>IF(T84&lt;'Island Architectures'!$Z$11,1,0)</x:f>
        <x:v>1</x:v>
      </x:c>
      <x:c r="AI84" s="81" t="n">
        <x:f>MIN(1,'Island Architectures'!$AA$11*(1-U84/'Island Architectures'!$AB$11))</x:f>
        <x:v>1</x:v>
      </x:c>
      <x:c r="AJ84" s="81" t="n">
        <x:f>IF(V84=1,MIN(1,'Island Architectures'!$AD$11/Assumptions!$C$10),1)</x:f>
        <x:v>1</x:v>
      </x:c>
      <x:c r="AK84" s="81" t="n">
        <x:f>IF(W84=1,'Island Architectures'!$AC$11,1)</x:f>
        <x:v>1</x:v>
      </x:c>
      <x:c r="AL84" s="81" t="n">
        <x:f>MIN(X84:AK84)</x:f>
        <x:v>1</x:v>
      </x:c>
      <x:c r="AM84" s="70" t="str">
        <x:f>IF(AL84&gt;=Assumptions!$C$9,"PASS","FAIL")</x:f>
        <x:v>PASS</x:v>
      </x:c>
      <x:c r="AN84" s="52" t="str">
        <x:v>source transition cannot depend on one battery room</x:v>
      </x:c>
    </x:row>
    <x:row r="85">
      <x:c r="B85" s="66" t="str">
        <x:v>A4</x:v>
      </x:c>
      <x:c r="C85" s="66" t="str">
        <x:v>I06</x:v>
      </x:c>
      <x:c r="D85" s="66" t="str">
        <x:v>Largest heat destination lost</x:v>
      </x:c>
      <x:c r="E85" s="66" t="n">
        <x:v>0</x:v>
      </x:c>
      <x:c r="F85" s="66" t="n">
        <x:v>0</x:v>
      </x:c>
      <x:c r="G85" s="66" t="n">
        <x:v>0</x:v>
      </x:c>
      <x:c r="H85" s="66" t="n">
        <x:v>0</x:v>
      </x:c>
      <x:c r="I85" s="66" t="n">
        <x:v>1</x:v>
      </x:c>
      <x:c r="J85" s="80" t="n">
        <x:v>1</x:v>
      </x:c>
      <x:c r="K85" s="66" t="n">
        <x:v>0</x:v>
      </x:c>
      <x:c r="L85" s="66" t="n">
        <x:v>0</x:v>
      </x:c>
      <x:c r="M85" s="66" t="n">
        <x:v>0</x:v>
      </x:c>
      <x:c r="N85" s="66" t="n">
        <x:v>0</x:v>
      </x:c>
      <x:c r="O85" s="66" t="n">
        <x:v>0</x:v>
      </x:c>
      <x:c r="P85" s="66" t="n">
        <x:v>0</x:v>
      </x:c>
      <x:c r="Q85" s="66" t="n">
        <x:v>0</x:v>
      </x:c>
      <x:c r="R85" s="80" t="n">
        <x:v>0</x:v>
      </x:c>
      <x:c r="S85" s="66" t="n">
        <x:v>0</x:v>
      </x:c>
      <x:c r="T85" s="66" t="n">
        <x:v>0</x:v>
      </x:c>
      <x:c r="U85" s="66" t="n">
        <x:v>0</x:v>
      </x:c>
      <x:c r="V85" s="66" t="n">
        <x:v>0</x:v>
      </x:c>
      <x:c r="W85" s="66" t="n">
        <x:v>0</x:v>
      </x:c>
      <x:c r="X85" s="81" t="n">
        <x:f>MIN(1,IF(E85=1,'Island Architectures'!$G$11,'Island Architectures'!$D$11)*(1-F85/'Island Architectures'!$E$11)*(1-G85/'Island Architectures'!$F$11)*IF(H85&lt;'Island Architectures'!$H$11,1,0))</x:f>
        <x:v>1</x:v>
      </x:c>
      <x:c r="Y85" s="81" t="n">
        <x:f>MIN(1,'Island Architectures'!$I$11*(1-I85/'Island Architectures'!$J$11)*J85)</x:f>
        <x:v>1</x:v>
      </x:c>
      <x:c r="Z85" s="81" t="n">
        <x:f>MIN(1,'Island Architectures'!$K$11*(1-K85/'Island Architectures'!$L$11))</x:f>
        <x:v>1</x:v>
      </x:c>
      <x:c r="AA85" s="81" t="n">
        <x:f>MIN(1,'Island Architectures'!$M$11*(1-L85/'Island Architectures'!$N$11))</x:f>
        <x:v>1</x:v>
      </x:c>
      <x:c r="AB85" s="81" t="n">
        <x:f>MIN(1,'Island Architectures'!$O$11*(1-M85/'Island Architectures'!$P$11))</x:f>
        <x:v>1</x:v>
      </x:c>
      <x:c r="AC85" s="81" t="n">
        <x:f>MIN(1,'Island Architectures'!$Q$11*(1-N85/'Island Architectures'!$R$11))</x:f>
        <x:v>1</x:v>
      </x:c>
      <x:c r="AD85" s="81" t="n">
        <x:f>MIN(1,'Island Architectures'!$Q$11*(1-O85/'Island Architectures'!$S$11))</x:f>
        <x:v>1</x:v>
      </x:c>
      <x:c r="AE85" s="81" t="n">
        <x:f>MIN(1,'Island Architectures'!$T$11*(1-P85/'Island Architectures'!$U$11))</x:f>
        <x:v>1</x:v>
      </x:c>
      <x:c r="AF85" s="81" t="n">
        <x:f>MIN(1,'Island Architectures'!$V$11*(1-Q85/'Island Architectures'!$W$11))</x:f>
        <x:v>1</x:v>
      </x:c>
      <x:c r="AG85" s="81" t="n">
        <x:f>MIN(1,'Island Architectures'!$X$11*(1-R85)*(1-S85/'Island Architectures'!$Y$11))</x:f>
        <x:v>1</x:v>
      </x:c>
      <x:c r="AH85" s="81" t="n">
        <x:f>IF(T85&lt;'Island Architectures'!$Z$11,1,0)</x:f>
        <x:v>1</x:v>
      </x:c>
      <x:c r="AI85" s="81" t="n">
        <x:f>MIN(1,'Island Architectures'!$AA$11*(1-U85/'Island Architectures'!$AB$11))</x:f>
        <x:v>1</x:v>
      </x:c>
      <x:c r="AJ85" s="81" t="n">
        <x:f>IF(V85=1,MIN(1,'Island Architectures'!$AD$11/Assumptions!$C$10),1)</x:f>
        <x:v>1</x:v>
      </x:c>
      <x:c r="AK85" s="81" t="n">
        <x:f>IF(W85=1,'Island Architectures'!$AC$11,1)</x:f>
        <x:v>1</x:v>
      </x:c>
      <x:c r="AL85" s="81" t="n">
        <x:f>MIN(X85:AK85)</x:f>
        <x:v>1</x:v>
      </x:c>
      <x:c r="AM85" s="70" t="str">
        <x:f>IF(AL85&gt;=Assumptions!$C$9,"PASS","FAIL")</x:f>
        <x:v>PASS</x:v>
      </x:c>
      <x:c r="AN85" s="52" t="str">
        <x:v>final heat destination is an availability boundary</x:v>
      </x:c>
    </x:row>
    <x:row r="86">
      <x:c r="B86" s="66" t="str">
        <x:v>A4</x:v>
      </x:c>
      <x:c r="C86" s="66" t="str">
        <x:v>I07</x:v>
      </x:c>
      <x:c r="D86" s="66" t="str">
        <x:v>50 C ambient</x:v>
      </x:c>
      <x:c r="E86" s="66" t="n">
        <x:v>0</x:v>
      </x:c>
      <x:c r="F86" s="66" t="n">
        <x:v>0</x:v>
      </x:c>
      <x:c r="G86" s="66" t="n">
        <x:v>0</x:v>
      </x:c>
      <x:c r="H86" s="66" t="n">
        <x:v>0</x:v>
      </x:c>
      <x:c r="I86" s="66" t="n">
        <x:v>0</x:v>
      </x:c>
      <x:c r="J86" s="80" t="n">
        <x:v>0.55</x:v>
      </x:c>
      <x:c r="K86" s="66" t="n">
        <x:v>0</x:v>
      </x:c>
      <x:c r="L86" s="66" t="n">
        <x:v>0</x:v>
      </x:c>
      <x:c r="M86" s="66" t="n">
        <x:v>0</x:v>
      </x:c>
      <x:c r="N86" s="66" t="n">
        <x:v>0</x:v>
      </x:c>
      <x:c r="O86" s="66" t="n">
        <x:v>0</x:v>
      </x:c>
      <x:c r="P86" s="66" t="n">
        <x:v>0</x:v>
      </x:c>
      <x:c r="Q86" s="66" t="n">
        <x:v>0</x:v>
      </x:c>
      <x:c r="R86" s="80" t="n">
        <x:v>0</x:v>
      </x:c>
      <x:c r="S86" s="66" t="n">
        <x:v>0</x:v>
      </x:c>
      <x:c r="T86" s="66" t="n">
        <x:v>0</x:v>
      </x:c>
      <x:c r="U86" s="66" t="n">
        <x:v>0</x:v>
      </x:c>
      <x:c r="V86" s="66" t="n">
        <x:v>0</x:v>
      </x:c>
      <x:c r="W86" s="66" t="n">
        <x:v>0</x:v>
      </x:c>
      <x:c r="X86" s="81" t="n">
        <x:f>MIN(1,IF(E86=1,'Island Architectures'!$G$11,'Island Architectures'!$D$11)*(1-F86/'Island Architectures'!$E$11)*(1-G86/'Island Architectures'!$F$11)*IF(H86&lt;'Island Architectures'!$H$11,1,0))</x:f>
        <x:v>1</x:v>
      </x:c>
      <x:c r="Y86" s="81" t="n">
        <x:f>MIN(1,'Island Architectures'!$I$11*(1-I86/'Island Architectures'!$J$11)*J86)</x:f>
        <x:v>0.9900000000000001</x:v>
      </x:c>
      <x:c r="Z86" s="81" t="n">
        <x:f>MIN(1,'Island Architectures'!$K$11*(1-K86/'Island Architectures'!$L$11))</x:f>
        <x:v>1</x:v>
      </x:c>
      <x:c r="AA86" s="81" t="n">
        <x:f>MIN(1,'Island Architectures'!$M$11*(1-L86/'Island Architectures'!$N$11))</x:f>
        <x:v>1</x:v>
      </x:c>
      <x:c r="AB86" s="81" t="n">
        <x:f>MIN(1,'Island Architectures'!$O$11*(1-M86/'Island Architectures'!$P$11))</x:f>
        <x:v>1</x:v>
      </x:c>
      <x:c r="AC86" s="81" t="n">
        <x:f>MIN(1,'Island Architectures'!$Q$11*(1-N86/'Island Architectures'!$R$11))</x:f>
        <x:v>1</x:v>
      </x:c>
      <x:c r="AD86" s="81" t="n">
        <x:f>MIN(1,'Island Architectures'!$Q$11*(1-O86/'Island Architectures'!$S$11))</x:f>
        <x:v>1</x:v>
      </x:c>
      <x:c r="AE86" s="81" t="n">
        <x:f>MIN(1,'Island Architectures'!$T$11*(1-P86/'Island Architectures'!$U$11))</x:f>
        <x:v>1</x:v>
      </x:c>
      <x:c r="AF86" s="81" t="n">
        <x:f>MIN(1,'Island Architectures'!$V$11*(1-Q86/'Island Architectures'!$W$11))</x:f>
        <x:v>1</x:v>
      </x:c>
      <x:c r="AG86" s="81" t="n">
        <x:f>MIN(1,'Island Architectures'!$X$11*(1-R86)*(1-S86/'Island Architectures'!$Y$11))</x:f>
        <x:v>1</x:v>
      </x:c>
      <x:c r="AH86" s="81" t="n">
        <x:f>IF(T86&lt;'Island Architectures'!$Z$11,1,0)</x:f>
        <x:v>1</x:v>
      </x:c>
      <x:c r="AI86" s="81" t="n">
        <x:f>MIN(1,'Island Architectures'!$AA$11*(1-U86/'Island Architectures'!$AB$11))</x:f>
        <x:v>1</x:v>
      </x:c>
      <x:c r="AJ86" s="81" t="n">
        <x:f>IF(V86=1,MIN(1,'Island Architectures'!$AD$11/Assumptions!$C$10),1)</x:f>
        <x:v>1</x:v>
      </x:c>
      <x:c r="AK86" s="81" t="n">
        <x:f>IF(W86=1,'Island Architectures'!$AC$11,1)</x:f>
        <x:v>1</x:v>
      </x:c>
      <x:c r="AL86" s="81" t="n">
        <x:f>MIN(X86:AK86)</x:f>
        <x:v>0.9900000000000001</x:v>
      </x:c>
      <x:c r="AM86" s="70" t="str">
        <x:f>IF(AL86&gt;=Assumptions!$C$9,"PASS","FAIL")</x:f>
        <x:v>PASS</x:v>
      </x:c>
      <x:c r="AN86" s="52" t="str">
        <x:v>dry rejection derates at the design extreme</x:v>
      </x:c>
    </x:row>
    <x:row r="87">
      <x:c r="B87" s="66" t="str">
        <x:v>A4</x:v>
      </x:c>
      <x:c r="C87" s="66" t="str">
        <x:v>I08</x:v>
      </x:c>
      <x:c r="D87" s="66" t="str">
        <x:v>Smoke and exchanger fouling</x:v>
      </x:c>
      <x:c r="E87" s="66" t="n">
        <x:v>0</x:v>
      </x:c>
      <x:c r="F87" s="66" t="n">
        <x:v>0</x:v>
      </x:c>
      <x:c r="G87" s="66" t="n">
        <x:v>0</x:v>
      </x:c>
      <x:c r="H87" s="66" t="n">
        <x:v>0</x:v>
      </x:c>
      <x:c r="I87" s="66" t="n">
        <x:v>0</x:v>
      </x:c>
      <x:c r="J87" s="80" t="n">
        <x:v>0.6</x:v>
      </x:c>
      <x:c r="K87" s="66" t="n">
        <x:v>0</x:v>
      </x:c>
      <x:c r="L87" s="66" t="n">
        <x:v>0</x:v>
      </x:c>
      <x:c r="M87" s="66" t="n">
        <x:v>0</x:v>
      </x:c>
      <x:c r="N87" s="66" t="n">
        <x:v>0</x:v>
      </x:c>
      <x:c r="O87" s="66" t="n">
        <x:v>0</x:v>
      </x:c>
      <x:c r="P87" s="66" t="n">
        <x:v>0</x:v>
      </x:c>
      <x:c r="Q87" s="66" t="n">
        <x:v>0</x:v>
      </x:c>
      <x:c r="R87" s="80" t="n">
        <x:v>0</x:v>
      </x:c>
      <x:c r="S87" s="66" t="n">
        <x:v>0</x:v>
      </x:c>
      <x:c r="T87" s="66" t="n">
        <x:v>0</x:v>
      </x:c>
      <x:c r="U87" s="66" t="n">
        <x:v>0</x:v>
      </x:c>
      <x:c r="V87" s="66" t="n">
        <x:v>0</x:v>
      </x:c>
      <x:c r="W87" s="66" t="n">
        <x:v>0</x:v>
      </x:c>
      <x:c r="X87" s="81" t="n">
        <x:f>MIN(1,IF(E87=1,'Island Architectures'!$G$11,'Island Architectures'!$D$11)*(1-F87/'Island Architectures'!$E$11)*(1-G87/'Island Architectures'!$F$11)*IF(H87&lt;'Island Architectures'!$H$11,1,0))</x:f>
        <x:v>1</x:v>
      </x:c>
      <x:c r="Y87" s="81" t="n">
        <x:f>MIN(1,'Island Architectures'!$I$11*(1-I87/'Island Architectures'!$J$11)*J87)</x:f>
        <x:v>1</x:v>
      </x:c>
      <x:c r="Z87" s="81" t="n">
        <x:f>MIN(1,'Island Architectures'!$K$11*(1-K87/'Island Architectures'!$L$11))</x:f>
        <x:v>1</x:v>
      </x:c>
      <x:c r="AA87" s="81" t="n">
        <x:f>MIN(1,'Island Architectures'!$M$11*(1-L87/'Island Architectures'!$N$11))</x:f>
        <x:v>1</x:v>
      </x:c>
      <x:c r="AB87" s="81" t="n">
        <x:f>MIN(1,'Island Architectures'!$O$11*(1-M87/'Island Architectures'!$P$11))</x:f>
        <x:v>1</x:v>
      </x:c>
      <x:c r="AC87" s="81" t="n">
        <x:f>MIN(1,'Island Architectures'!$Q$11*(1-N87/'Island Architectures'!$R$11))</x:f>
        <x:v>1</x:v>
      </x:c>
      <x:c r="AD87" s="81" t="n">
        <x:f>MIN(1,'Island Architectures'!$Q$11*(1-O87/'Island Architectures'!$S$11))</x:f>
        <x:v>1</x:v>
      </x:c>
      <x:c r="AE87" s="81" t="n">
        <x:f>MIN(1,'Island Architectures'!$T$11*(1-P87/'Island Architectures'!$U$11))</x:f>
        <x:v>1</x:v>
      </x:c>
      <x:c r="AF87" s="81" t="n">
        <x:f>MIN(1,'Island Architectures'!$V$11*(1-Q87/'Island Architectures'!$W$11))</x:f>
        <x:v>1</x:v>
      </x:c>
      <x:c r="AG87" s="81" t="n">
        <x:f>MIN(1,'Island Architectures'!$X$11*(1-R87)*(1-S87/'Island Architectures'!$Y$11))</x:f>
        <x:v>1</x:v>
      </x:c>
      <x:c r="AH87" s="81" t="n">
        <x:f>IF(T87&lt;'Island Architectures'!$Z$11,1,0)</x:f>
        <x:v>1</x:v>
      </x:c>
      <x:c r="AI87" s="81" t="n">
        <x:f>MIN(1,'Island Architectures'!$AA$11*(1-U87/'Island Architectures'!$AB$11))</x:f>
        <x:v>1</x:v>
      </x:c>
      <x:c r="AJ87" s="81" t="n">
        <x:f>IF(V87=1,MIN(1,'Island Architectures'!$AD$11/Assumptions!$C$10),1)</x:f>
        <x:v>1</x:v>
      </x:c>
      <x:c r="AK87" s="81" t="n">
        <x:f>IF(W87=1,'Island Architectures'!$AC$11,1)</x:f>
        <x:v>1</x:v>
      </x:c>
      <x:c r="AL87" s="81" t="n">
        <x:f>MIN(X87:AK87)</x:f>
        <x:v>1</x:v>
      </x:c>
      <x:c r="AM87" s="70" t="str">
        <x:f>IF(AL87&gt;=Assumptions!$C$9,"PASS","FAIL")</x:f>
        <x:v>PASS</x:v>
      </x:c>
      <x:c r="AN87" s="52" t="str">
        <x:v>air systems retain service under smoke</x:v>
      </x:c>
    </x:row>
    <x:row r="88">
      <x:c r="B88" s="66" t="str">
        <x:v>A4</x:v>
      </x:c>
      <x:c r="C88" s="66" t="str">
        <x:v>I09</x:v>
      </x:c>
      <x:c r="D88" s="66" t="str">
        <x:v>Largest water-source path lost</x:v>
      </x:c>
      <x:c r="E88" s="66" t="n">
        <x:v>0</x:v>
      </x:c>
      <x:c r="F88" s="66" t="n">
        <x:v>0</x:v>
      </x:c>
      <x:c r="G88" s="66" t="n">
        <x:v>0</x:v>
      </x:c>
      <x:c r="H88" s="66" t="n">
        <x:v>0</x:v>
      </x:c>
      <x:c r="I88" s="66" t="n">
        <x:v>0</x:v>
      </x:c>
      <x:c r="J88" s="80" t="n">
        <x:v>1</x:v>
      </x:c>
      <x:c r="K88" s="66" t="n">
        <x:v>1</x:v>
      </x:c>
      <x:c r="L88" s="66" t="n">
        <x:v>0</x:v>
      </x:c>
      <x:c r="M88" s="66" t="n">
        <x:v>0</x:v>
      </x:c>
      <x:c r="N88" s="66" t="n">
        <x:v>0</x:v>
      </x:c>
      <x:c r="O88" s="66" t="n">
        <x:v>0</x:v>
      </x:c>
      <x:c r="P88" s="66" t="n">
        <x:v>0</x:v>
      </x:c>
      <x:c r="Q88" s="66" t="n">
        <x:v>0</x:v>
      </x:c>
      <x:c r="R88" s="80" t="n">
        <x:v>0</x:v>
      </x:c>
      <x:c r="S88" s="66" t="n">
        <x:v>0</x:v>
      </x:c>
      <x:c r="T88" s="66" t="n">
        <x:v>0</x:v>
      </x:c>
      <x:c r="U88" s="66" t="n">
        <x:v>0</x:v>
      </x:c>
      <x:c r="V88" s="66" t="n">
        <x:v>0</x:v>
      </x:c>
      <x:c r="W88" s="66" t="n">
        <x:v>0</x:v>
      </x:c>
      <x:c r="X88" s="81" t="n">
        <x:f>MIN(1,IF(E88=1,'Island Architectures'!$G$11,'Island Architectures'!$D$11)*(1-F88/'Island Architectures'!$E$11)*(1-G88/'Island Architectures'!$F$11)*IF(H88&lt;'Island Architectures'!$H$11,1,0))</x:f>
        <x:v>1</x:v>
      </x:c>
      <x:c r="Y88" s="81" t="n">
        <x:f>MIN(1,'Island Architectures'!$I$11*(1-I88/'Island Architectures'!$J$11)*J88)</x:f>
        <x:v>1</x:v>
      </x:c>
      <x:c r="Z88" s="81" t="n">
        <x:f>MIN(1,'Island Architectures'!$K$11*(1-K88/'Island Architectures'!$L$11))</x:f>
        <x:v>0.9333333333333333</x:v>
      </x:c>
      <x:c r="AA88" s="81" t="n">
        <x:f>MIN(1,'Island Architectures'!$M$11*(1-L88/'Island Architectures'!$N$11))</x:f>
        <x:v>1</x:v>
      </x:c>
      <x:c r="AB88" s="81" t="n">
        <x:f>MIN(1,'Island Architectures'!$O$11*(1-M88/'Island Architectures'!$P$11))</x:f>
        <x:v>1</x:v>
      </x:c>
      <x:c r="AC88" s="81" t="n">
        <x:f>MIN(1,'Island Architectures'!$Q$11*(1-N88/'Island Architectures'!$R$11))</x:f>
        <x:v>1</x:v>
      </x:c>
      <x:c r="AD88" s="81" t="n">
        <x:f>MIN(1,'Island Architectures'!$Q$11*(1-O88/'Island Architectures'!$S$11))</x:f>
        <x:v>1</x:v>
      </x:c>
      <x:c r="AE88" s="81" t="n">
        <x:f>MIN(1,'Island Architectures'!$T$11*(1-P88/'Island Architectures'!$U$11))</x:f>
        <x:v>1</x:v>
      </x:c>
      <x:c r="AF88" s="81" t="n">
        <x:f>MIN(1,'Island Architectures'!$V$11*(1-Q88/'Island Architectures'!$W$11))</x:f>
        <x:v>1</x:v>
      </x:c>
      <x:c r="AG88" s="81" t="n">
        <x:f>MIN(1,'Island Architectures'!$X$11*(1-R88)*(1-S88/'Island Architectures'!$Y$11))</x:f>
        <x:v>1</x:v>
      </x:c>
      <x:c r="AH88" s="81" t="n">
        <x:f>IF(T88&lt;'Island Architectures'!$Z$11,1,0)</x:f>
        <x:v>1</x:v>
      </x:c>
      <x:c r="AI88" s="81" t="n">
        <x:f>MIN(1,'Island Architectures'!$AA$11*(1-U88/'Island Architectures'!$AB$11))</x:f>
        <x:v>1</x:v>
      </x:c>
      <x:c r="AJ88" s="81" t="n">
        <x:f>IF(V88=1,MIN(1,'Island Architectures'!$AD$11/Assumptions!$C$10),1)</x:f>
        <x:v>1</x:v>
      </x:c>
      <x:c r="AK88" s="81" t="n">
        <x:f>IF(W88=1,'Island Architectures'!$AC$11,1)</x:f>
        <x:v>1</x:v>
      </x:c>
      <x:c r="AL88" s="81" t="n">
        <x:f>MIN(X88:AK88)</x:f>
        <x:v>0.9333333333333333</x:v>
      </x:c>
      <x:c r="AM88" s="70" t="str">
        <x:f>IF(AL88&gt;=Assumptions!$C$9,"PASS","FAIL")</x:f>
        <x:v>PASS</x:v>
      </x:c>
      <x:c r="AN88" s="52" t="str">
        <x:v>clean storage does not replace sustained production</x:v>
      </x:c>
    </x:row>
    <x:row r="89">
      <x:c r="B89" s="66" t="str">
        <x:v>A4</x:v>
      </x:c>
      <x:c r="C89" s="66" t="str">
        <x:v>I10</x:v>
      </x:c>
      <x:c r="D89" s="66" t="str">
        <x:v>Largest wastewater path lost</x:v>
      </x:c>
      <x:c r="E89" s="66" t="n">
        <x:v>0</x:v>
      </x:c>
      <x:c r="F89" s="66" t="n">
        <x:v>0</x:v>
      </x:c>
      <x:c r="G89" s="66" t="n">
        <x:v>0</x:v>
      </x:c>
      <x:c r="H89" s="66" t="n">
        <x:v>0</x:v>
      </x:c>
      <x:c r="I89" s="66" t="n">
        <x:v>0</x:v>
      </x:c>
      <x:c r="J89" s="80" t="n">
        <x:v>1</x:v>
      </x:c>
      <x:c r="K89" s="66" t="n">
        <x:v>0</x:v>
      </x:c>
      <x:c r="L89" s="66" t="n">
        <x:v>1</x:v>
      </x:c>
      <x:c r="M89" s="66" t="n">
        <x:v>0</x:v>
      </x:c>
      <x:c r="N89" s="66" t="n">
        <x:v>0</x:v>
      </x:c>
      <x:c r="O89" s="66" t="n">
        <x:v>0</x:v>
      </x:c>
      <x:c r="P89" s="66" t="n">
        <x:v>0</x:v>
      </x:c>
      <x:c r="Q89" s="66" t="n">
        <x:v>0</x:v>
      </x:c>
      <x:c r="R89" s="80" t="n">
        <x:v>0</x:v>
      </x:c>
      <x:c r="S89" s="66" t="n">
        <x:v>0</x:v>
      </x:c>
      <x:c r="T89" s="66" t="n">
        <x:v>0</x:v>
      </x:c>
      <x:c r="U89" s="66" t="n">
        <x:v>0</x:v>
      </x:c>
      <x:c r="V89" s="66" t="n">
        <x:v>0</x:v>
      </x:c>
      <x:c r="W89" s="66" t="n">
        <x:v>0</x:v>
      </x:c>
      <x:c r="X89" s="81" t="n">
        <x:f>MIN(1,IF(E89=1,'Island Architectures'!$G$11,'Island Architectures'!$D$11)*(1-F89/'Island Architectures'!$E$11)*(1-G89/'Island Architectures'!$F$11)*IF(H89&lt;'Island Architectures'!$H$11,1,0))</x:f>
        <x:v>1</x:v>
      </x:c>
      <x:c r="Y89" s="81" t="n">
        <x:f>MIN(1,'Island Architectures'!$I$11*(1-I89/'Island Architectures'!$J$11)*J89)</x:f>
        <x:v>1</x:v>
      </x:c>
      <x:c r="Z89" s="81" t="n">
        <x:f>MIN(1,'Island Architectures'!$K$11*(1-K89/'Island Architectures'!$L$11))</x:f>
        <x:v>1</x:v>
      </x:c>
      <x:c r="AA89" s="81" t="n">
        <x:f>MIN(1,'Island Architectures'!$M$11*(1-L89/'Island Architectures'!$N$11))</x:f>
        <x:v>0.9333333333333333</x:v>
      </x:c>
      <x:c r="AB89" s="81" t="n">
        <x:f>MIN(1,'Island Architectures'!$O$11*(1-M89/'Island Architectures'!$P$11))</x:f>
        <x:v>1</x:v>
      </x:c>
      <x:c r="AC89" s="81" t="n">
        <x:f>MIN(1,'Island Architectures'!$Q$11*(1-N89/'Island Architectures'!$R$11))</x:f>
        <x:v>1</x:v>
      </x:c>
      <x:c r="AD89" s="81" t="n">
        <x:f>MIN(1,'Island Architectures'!$Q$11*(1-O89/'Island Architectures'!$S$11))</x:f>
        <x:v>1</x:v>
      </x:c>
      <x:c r="AE89" s="81" t="n">
        <x:f>MIN(1,'Island Architectures'!$T$11*(1-P89/'Island Architectures'!$U$11))</x:f>
        <x:v>1</x:v>
      </x:c>
      <x:c r="AF89" s="81" t="n">
        <x:f>MIN(1,'Island Architectures'!$V$11*(1-Q89/'Island Architectures'!$W$11))</x:f>
        <x:v>1</x:v>
      </x:c>
      <x:c r="AG89" s="81" t="n">
        <x:f>MIN(1,'Island Architectures'!$X$11*(1-R89)*(1-S89/'Island Architectures'!$Y$11))</x:f>
        <x:v>1</x:v>
      </x:c>
      <x:c r="AH89" s="81" t="n">
        <x:f>IF(T89&lt;'Island Architectures'!$Z$11,1,0)</x:f>
        <x:v>1</x:v>
      </x:c>
      <x:c r="AI89" s="81" t="n">
        <x:f>MIN(1,'Island Architectures'!$AA$11*(1-U89/'Island Architectures'!$AB$11))</x:f>
        <x:v>1</x:v>
      </x:c>
      <x:c r="AJ89" s="81" t="n">
        <x:f>IF(V89=1,MIN(1,'Island Architectures'!$AD$11/Assumptions!$C$10),1)</x:f>
        <x:v>1</x:v>
      </x:c>
      <x:c r="AK89" s="81" t="n">
        <x:f>IF(W89=1,'Island Architectures'!$AC$11,1)</x:f>
        <x:v>1</x:v>
      </x:c>
      <x:c r="AL89" s="81" t="n">
        <x:f>MIN(X89:AK89)</x:f>
        <x:v>0.9333333333333333</x:v>
      </x:c>
      <x:c r="AM89" s="70" t="str">
        <x:f>IF(AL89&gt;=Assumptions!$C$9,"PASS","FAIL")</x:f>
        <x:v>PASS</x:v>
      </x:c>
      <x:c r="AN89" s="52" t="str">
        <x:v>service cannot export untreated harm</x:v>
      </x:c>
    </x:row>
    <x:row r="90">
      <x:c r="B90" s="66" t="str">
        <x:v>A4</x:v>
      </x:c>
      <x:c r="C90" s="66" t="str">
        <x:v>I11</x:v>
      </x:c>
      <x:c r="D90" s="66" t="str">
        <x:v>One utility corridor lost</x:v>
      </x:c>
      <x:c r="E90" s="66" t="n">
        <x:v>0</x:v>
      </x:c>
      <x:c r="F90" s="66" t="n">
        <x:v>0</x:v>
      </x:c>
      <x:c r="G90" s="66" t="n">
        <x:v>0</x:v>
      </x:c>
      <x:c r="H90" s="66" t="n">
        <x:v>0</x:v>
      </x:c>
      <x:c r="I90" s="66" t="n">
        <x:v>0</x:v>
      </x:c>
      <x:c r="J90" s="80" t="n">
        <x:v>1</x:v>
      </x:c>
      <x:c r="K90" s="66" t="n">
        <x:v>0</x:v>
      </x:c>
      <x:c r="L90" s="66" t="n">
        <x:v>0</x:v>
      </x:c>
      <x:c r="M90" s="66" t="n">
        <x:v>1</x:v>
      </x:c>
      <x:c r="N90" s="66" t="n">
        <x:v>0</x:v>
      </x:c>
      <x:c r="O90" s="66" t="n">
        <x:v>0</x:v>
      </x:c>
      <x:c r="P90" s="66" t="n">
        <x:v>0</x:v>
      </x:c>
      <x:c r="Q90" s="66" t="n">
        <x:v>0</x:v>
      </x:c>
      <x:c r="R90" s="80" t="n">
        <x:v>0</x:v>
      </x:c>
      <x:c r="S90" s="66" t="n">
        <x:v>0</x:v>
      </x:c>
      <x:c r="T90" s="66" t="n">
        <x:v>0</x:v>
      </x:c>
      <x:c r="U90" s="66" t="n">
        <x:v>0</x:v>
      </x:c>
      <x:c r="V90" s="66" t="n">
        <x:v>0</x:v>
      </x:c>
      <x:c r="W90" s="66" t="n">
        <x:v>0</x:v>
      </x:c>
      <x:c r="X90" s="81" t="n">
        <x:f>MIN(1,IF(E90=1,'Island Architectures'!$G$11,'Island Architectures'!$D$11)*(1-F90/'Island Architectures'!$E$11)*(1-G90/'Island Architectures'!$F$11)*IF(H90&lt;'Island Architectures'!$H$11,1,0))</x:f>
        <x:v>1</x:v>
      </x:c>
      <x:c r="Y90" s="81" t="n">
        <x:f>MIN(1,'Island Architectures'!$I$11*(1-I90/'Island Architectures'!$J$11)*J90)</x:f>
        <x:v>1</x:v>
      </x:c>
      <x:c r="Z90" s="81" t="n">
        <x:f>MIN(1,'Island Architectures'!$K$11*(1-K90/'Island Architectures'!$L$11))</x:f>
        <x:v>1</x:v>
      </x:c>
      <x:c r="AA90" s="81" t="n">
        <x:f>MIN(1,'Island Architectures'!$M$11*(1-L90/'Island Architectures'!$N$11))</x:f>
        <x:v>1</x:v>
      </x:c>
      <x:c r="AB90" s="81" t="n">
        <x:f>MIN(1,'Island Architectures'!$O$11*(1-M90/'Island Architectures'!$P$11))</x:f>
        <x:v>0.9333333333333333</x:v>
      </x:c>
      <x:c r="AC90" s="81" t="n">
        <x:f>MIN(1,'Island Architectures'!$Q$11*(1-N90/'Island Architectures'!$R$11))</x:f>
        <x:v>1</x:v>
      </x:c>
      <x:c r="AD90" s="81" t="n">
        <x:f>MIN(1,'Island Architectures'!$Q$11*(1-O90/'Island Architectures'!$S$11))</x:f>
        <x:v>1</x:v>
      </x:c>
      <x:c r="AE90" s="81" t="n">
        <x:f>MIN(1,'Island Architectures'!$T$11*(1-P90/'Island Architectures'!$U$11))</x:f>
        <x:v>1</x:v>
      </x:c>
      <x:c r="AF90" s="81" t="n">
        <x:f>MIN(1,'Island Architectures'!$V$11*(1-Q90/'Island Architectures'!$W$11))</x:f>
        <x:v>1</x:v>
      </x:c>
      <x:c r="AG90" s="81" t="n">
        <x:f>MIN(1,'Island Architectures'!$X$11*(1-R90)*(1-S90/'Island Architectures'!$Y$11))</x:f>
        <x:v>1</x:v>
      </x:c>
      <x:c r="AH90" s="81" t="n">
        <x:f>IF(T90&lt;'Island Architectures'!$Z$11,1,0)</x:f>
        <x:v>1</x:v>
      </x:c>
      <x:c r="AI90" s="81" t="n">
        <x:f>MIN(1,'Island Architectures'!$AA$11*(1-U90/'Island Architectures'!$AB$11))</x:f>
        <x:v>1</x:v>
      </x:c>
      <x:c r="AJ90" s="81" t="n">
        <x:f>IF(V90=1,MIN(1,'Island Architectures'!$AD$11/Assumptions!$C$10),1)</x:f>
        <x:v>1</x:v>
      </x:c>
      <x:c r="AK90" s="81" t="n">
        <x:f>IF(W90=1,'Island Architectures'!$AC$11,1)</x:f>
        <x:v>1</x:v>
      </x:c>
      <x:c r="AL90" s="81" t="n">
        <x:f>MIN(X90:AK90)</x:f>
        <x:v>0.9333333333333333</x:v>
      </x:c>
      <x:c r="AM90" s="70" t="str">
        <x:f>IF(AL90&gt;=Assumptions!$C$9,"PASS","FAIL")</x:f>
        <x:v>PASS</x:v>
      </x:c>
      <x:c r="AN90" s="52" t="str">
        <x:v>loop count is tested as complete service</x:v>
      </x:c>
    </x:row>
    <x:row r="91">
      <x:c r="B91" s="66" t="str">
        <x:v>A4</x:v>
      </x:c>
      <x:c r="C91" s="66" t="str">
        <x:v>I12</x:v>
      </x:c>
      <x:c r="D91" s="66" t="str">
        <x:v>One service node lost</x:v>
      </x:c>
      <x:c r="E91" s="66" t="n">
        <x:v>0</x:v>
      </x:c>
      <x:c r="F91" s="66" t="n">
        <x:v>0</x:v>
      </x:c>
      <x:c r="G91" s="66" t="n">
        <x:v>0</x:v>
      </x:c>
      <x:c r="H91" s="66" t="n">
        <x:v>0</x:v>
      </x:c>
      <x:c r="I91" s="66" t="n">
        <x:v>0</x:v>
      </x:c>
      <x:c r="J91" s="80" t="n">
        <x:v>1</x:v>
      </x:c>
      <x:c r="K91" s="66" t="n">
        <x:v>0</x:v>
      </x:c>
      <x:c r="L91" s="66" t="n">
        <x:v>0</x:v>
      </x:c>
      <x:c r="M91" s="66" t="n">
        <x:v>0</x:v>
      </x:c>
      <x:c r="N91" s="66" t="n">
        <x:v>1</x:v>
      </x:c>
      <x:c r="O91" s="66" t="n">
        <x:v>0</x:v>
      </x:c>
      <x:c r="P91" s="66" t="n">
        <x:v>0</x:v>
      </x:c>
      <x:c r="Q91" s="66" t="n">
        <x:v>0</x:v>
      </x:c>
      <x:c r="R91" s="80" t="n">
        <x:v>0</x:v>
      </x:c>
      <x:c r="S91" s="66" t="n">
        <x:v>0</x:v>
      </x:c>
      <x:c r="T91" s="66" t="n">
        <x:v>0</x:v>
      </x:c>
      <x:c r="U91" s="66" t="n">
        <x:v>0</x:v>
      </x:c>
      <x:c r="V91" s="66" t="n">
        <x:v>0</x:v>
      </x:c>
      <x:c r="W91" s="66" t="n">
        <x:v>0</x:v>
      </x:c>
      <x:c r="X91" s="81" t="n">
        <x:f>MIN(1,IF(E91=1,'Island Architectures'!$G$11,'Island Architectures'!$D$11)*(1-F91/'Island Architectures'!$E$11)*(1-G91/'Island Architectures'!$F$11)*IF(H91&lt;'Island Architectures'!$H$11,1,0))</x:f>
        <x:v>1</x:v>
      </x:c>
      <x:c r="Y91" s="81" t="n">
        <x:f>MIN(1,'Island Architectures'!$I$11*(1-I91/'Island Architectures'!$J$11)*J91)</x:f>
        <x:v>1</x:v>
      </x:c>
      <x:c r="Z91" s="81" t="n">
        <x:f>MIN(1,'Island Architectures'!$K$11*(1-K91/'Island Architectures'!$L$11))</x:f>
        <x:v>1</x:v>
      </x:c>
      <x:c r="AA91" s="81" t="n">
        <x:f>MIN(1,'Island Architectures'!$M$11*(1-L91/'Island Architectures'!$N$11))</x:f>
        <x:v>1</x:v>
      </x:c>
      <x:c r="AB91" s="81" t="n">
        <x:f>MIN(1,'Island Architectures'!$O$11*(1-M91/'Island Architectures'!$P$11))</x:f>
        <x:v>1</x:v>
      </x:c>
      <x:c r="AC91" s="81" t="n">
        <x:f>MIN(1,'Island Architectures'!$Q$11*(1-N91/'Island Architectures'!$R$11))</x:f>
        <x:v>0.8</x:v>
      </x:c>
      <x:c r="AD91" s="81" t="n">
        <x:f>MIN(1,'Island Architectures'!$Q$11*(1-O91/'Island Architectures'!$S$11))</x:f>
        <x:v>1</x:v>
      </x:c>
      <x:c r="AE91" s="81" t="n">
        <x:f>MIN(1,'Island Architectures'!$T$11*(1-P91/'Island Architectures'!$U$11))</x:f>
        <x:v>1</x:v>
      </x:c>
      <x:c r="AF91" s="81" t="n">
        <x:f>MIN(1,'Island Architectures'!$V$11*(1-Q91/'Island Architectures'!$W$11))</x:f>
        <x:v>1</x:v>
      </x:c>
      <x:c r="AG91" s="81" t="n">
        <x:f>MIN(1,'Island Architectures'!$X$11*(1-R91)*(1-S91/'Island Architectures'!$Y$11))</x:f>
        <x:v>1</x:v>
      </x:c>
      <x:c r="AH91" s="81" t="n">
        <x:f>IF(T91&lt;'Island Architectures'!$Z$11,1,0)</x:f>
        <x:v>1</x:v>
      </x:c>
      <x:c r="AI91" s="81" t="n">
        <x:f>MIN(1,'Island Architectures'!$AA$11*(1-U91/'Island Architectures'!$AB$11))</x:f>
        <x:v>1</x:v>
      </x:c>
      <x:c r="AJ91" s="81" t="n">
        <x:f>IF(V91=1,MIN(1,'Island Architectures'!$AD$11/Assumptions!$C$10),1)</x:f>
        <x:v>1</x:v>
      </x:c>
      <x:c r="AK91" s="81" t="n">
        <x:f>IF(W91=1,'Island Architectures'!$AC$11,1)</x:f>
        <x:v>1</x:v>
      </x:c>
      <x:c r="AL91" s="81" t="n">
        <x:f>MIN(X91:AK91)</x:f>
        <x:v>0.8</x:v>
      </x:c>
      <x:c r="AM91" s="70" t="str">
        <x:f>IF(AL91&gt;=Assumptions!$C$9,"PASS","FAIL")</x:f>
        <x:v>FAIL</x:v>
      </x:c>
      <x:c r="AN91" s="52" t="str">
        <x:v>one-tenth of occupied interface removed</x:v>
      </x:c>
    </x:row>
    <x:row r="92">
      <x:c r="B92" s="66" t="str">
        <x:v>A4</x:v>
      </x:c>
      <x:c r="C92" s="66" t="str">
        <x:v>I13</x:v>
      </x:c>
      <x:c r="D92" s="66" t="str">
        <x:v>Two adjacent service nodes lost</x:v>
      </x:c>
      <x:c r="E92" s="66" t="n">
        <x:v>0</x:v>
      </x:c>
      <x:c r="F92" s="66" t="n">
        <x:v>0</x:v>
      </x:c>
      <x:c r="G92" s="66" t="n">
        <x:v>0</x:v>
      </x:c>
      <x:c r="H92" s="66" t="n">
        <x:v>0</x:v>
      </x:c>
      <x:c r="I92" s="66" t="n">
        <x:v>0</x:v>
      </x:c>
      <x:c r="J92" s="80" t="n">
        <x:v>1</x:v>
      </x:c>
      <x:c r="K92" s="66" t="n">
        <x:v>0</x:v>
      </x:c>
      <x:c r="L92" s="66" t="n">
        <x:v>0</x:v>
      </x:c>
      <x:c r="M92" s="66" t="n">
        <x:v>0</x:v>
      </x:c>
      <x:c r="N92" s="66" t="n">
        <x:v>2</x:v>
      </x:c>
      <x:c r="O92" s="66" t="n">
        <x:v>0</x:v>
      </x:c>
      <x:c r="P92" s="66" t="n">
        <x:v>0</x:v>
      </x:c>
      <x:c r="Q92" s="66" t="n">
        <x:v>0</x:v>
      </x:c>
      <x:c r="R92" s="80" t="n">
        <x:v>0</x:v>
      </x:c>
      <x:c r="S92" s="66" t="n">
        <x:v>0</x:v>
      </x:c>
      <x:c r="T92" s="66" t="n">
        <x:v>0</x:v>
      </x:c>
      <x:c r="U92" s="66" t="n">
        <x:v>0</x:v>
      </x:c>
      <x:c r="V92" s="66" t="n">
        <x:v>0</x:v>
      </x:c>
      <x:c r="W92" s="66" t="n">
        <x:v>0</x:v>
      </x:c>
      <x:c r="X92" s="81" t="n">
        <x:f>MIN(1,IF(E92=1,'Island Architectures'!$G$11,'Island Architectures'!$D$11)*(1-F92/'Island Architectures'!$E$11)*(1-G92/'Island Architectures'!$F$11)*IF(H92&lt;'Island Architectures'!$H$11,1,0))</x:f>
        <x:v>1</x:v>
      </x:c>
      <x:c r="Y92" s="81" t="n">
        <x:f>MIN(1,'Island Architectures'!$I$11*(1-I92/'Island Architectures'!$J$11)*J92)</x:f>
        <x:v>1</x:v>
      </x:c>
      <x:c r="Z92" s="81" t="n">
        <x:f>MIN(1,'Island Architectures'!$K$11*(1-K92/'Island Architectures'!$L$11))</x:f>
        <x:v>1</x:v>
      </x:c>
      <x:c r="AA92" s="81" t="n">
        <x:f>MIN(1,'Island Architectures'!$M$11*(1-L92/'Island Architectures'!$N$11))</x:f>
        <x:v>1</x:v>
      </x:c>
      <x:c r="AB92" s="81" t="n">
        <x:f>MIN(1,'Island Architectures'!$O$11*(1-M92/'Island Architectures'!$P$11))</x:f>
        <x:v>1</x:v>
      </x:c>
      <x:c r="AC92" s="81" t="n">
        <x:f>MIN(1,'Island Architectures'!$Q$11*(1-N92/'Island Architectures'!$R$11))</x:f>
        <x:v>0.6</x:v>
      </x:c>
      <x:c r="AD92" s="81" t="n">
        <x:f>MIN(1,'Island Architectures'!$Q$11*(1-O92/'Island Architectures'!$S$11))</x:f>
        <x:v>1</x:v>
      </x:c>
      <x:c r="AE92" s="81" t="n">
        <x:f>MIN(1,'Island Architectures'!$T$11*(1-P92/'Island Architectures'!$U$11))</x:f>
        <x:v>1</x:v>
      </x:c>
      <x:c r="AF92" s="81" t="n">
        <x:f>MIN(1,'Island Architectures'!$V$11*(1-Q92/'Island Architectures'!$W$11))</x:f>
        <x:v>1</x:v>
      </x:c>
      <x:c r="AG92" s="81" t="n">
        <x:f>MIN(1,'Island Architectures'!$X$11*(1-R92)*(1-S92/'Island Architectures'!$Y$11))</x:f>
        <x:v>1</x:v>
      </x:c>
      <x:c r="AH92" s="81" t="n">
        <x:f>IF(T92&lt;'Island Architectures'!$Z$11,1,0)</x:f>
        <x:v>1</x:v>
      </x:c>
      <x:c r="AI92" s="81" t="n">
        <x:f>MIN(1,'Island Architectures'!$AA$11*(1-U92/'Island Architectures'!$AB$11))</x:f>
        <x:v>1</x:v>
      </x:c>
      <x:c r="AJ92" s="81" t="n">
        <x:f>IF(V92=1,MIN(1,'Island Architectures'!$AD$11/Assumptions!$C$10),1)</x:f>
        <x:v>1</x:v>
      </x:c>
      <x:c r="AK92" s="81" t="n">
        <x:f>IF(W92=1,'Island Architectures'!$AC$11,1)</x:f>
        <x:v>1</x:v>
      </x:c>
      <x:c r="AL92" s="81" t="n">
        <x:f>MIN(X92:AK92)</x:f>
        <x:v>0.6</x:v>
      </x:c>
      <x:c r="AM92" s="70" t="str">
        <x:f>IF(AL92&gt;=Assumptions!$C$9,"PASS","FAIL")</x:f>
        <x:v>FAIL</x:v>
      </x:c>
      <x:c r="AN92" s="52" t="str">
        <x:v>tests spare node capacity and cross-feed</x:v>
      </x:c>
    </x:row>
    <x:row r="93">
      <x:c r="B93" s="66" t="str">
        <x:v>A4</x:v>
      </x:c>
      <x:c r="C93" s="66" t="str">
        <x:v>I14</x:v>
      </x:c>
      <x:c r="D93" s="66" t="str">
        <x:v>One complete hazard zone lost</x:v>
      </x:c>
      <x:c r="E93" s="66" t="n">
        <x:v>0</x:v>
      </x:c>
      <x:c r="F93" s="66" t="n">
        <x:v>0</x:v>
      </x:c>
      <x:c r="G93" s="66" t="n">
        <x:v>0</x:v>
      </x:c>
      <x:c r="H93" s="66" t="n">
        <x:v>0</x:v>
      </x:c>
      <x:c r="I93" s="66" t="n">
        <x:v>0</x:v>
      </x:c>
      <x:c r="J93" s="80" t="n">
        <x:v>1</x:v>
      </x:c>
      <x:c r="K93" s="66" t="n">
        <x:v>0</x:v>
      </x:c>
      <x:c r="L93" s="66" t="n">
        <x:v>0</x:v>
      </x:c>
      <x:c r="M93" s="66" t="n">
        <x:v>0</x:v>
      </x:c>
      <x:c r="N93" s="66" t="n">
        <x:v>0</x:v>
      </x:c>
      <x:c r="O93" s="66" t="n">
        <x:v>1</x:v>
      </x:c>
      <x:c r="P93" s="66" t="n">
        <x:v>0</x:v>
      </x:c>
      <x:c r="Q93" s="66" t="n">
        <x:v>0</x:v>
      </x:c>
      <x:c r="R93" s="80" t="n">
        <x:v>0</x:v>
      </x:c>
      <x:c r="S93" s="66" t="n">
        <x:v>0</x:v>
      </x:c>
      <x:c r="T93" s="66" t="n">
        <x:v>0</x:v>
      </x:c>
      <x:c r="U93" s="66" t="n">
        <x:v>0</x:v>
      </x:c>
      <x:c r="V93" s="66" t="n">
        <x:v>0</x:v>
      </x:c>
      <x:c r="W93" s="66" t="n">
        <x:v>0</x:v>
      </x:c>
      <x:c r="X93" s="81" t="n">
        <x:f>MIN(1,IF(E93=1,'Island Architectures'!$G$11,'Island Architectures'!$D$11)*(1-F93/'Island Architectures'!$E$11)*(1-G93/'Island Architectures'!$F$11)*IF(H93&lt;'Island Architectures'!$H$11,1,0))</x:f>
        <x:v>1</x:v>
      </x:c>
      <x:c r="Y93" s="81" t="n">
        <x:f>MIN(1,'Island Architectures'!$I$11*(1-I93/'Island Architectures'!$J$11)*J93)</x:f>
        <x:v>1</x:v>
      </x:c>
      <x:c r="Z93" s="81" t="n">
        <x:f>MIN(1,'Island Architectures'!$K$11*(1-K93/'Island Architectures'!$L$11))</x:f>
        <x:v>1</x:v>
      </x:c>
      <x:c r="AA93" s="81" t="n">
        <x:f>MIN(1,'Island Architectures'!$M$11*(1-L93/'Island Architectures'!$N$11))</x:f>
        <x:v>1</x:v>
      </x:c>
      <x:c r="AB93" s="81" t="n">
        <x:f>MIN(1,'Island Architectures'!$O$11*(1-M93/'Island Architectures'!$P$11))</x:f>
        <x:v>1</x:v>
      </x:c>
      <x:c r="AC93" s="81" t="n">
        <x:f>MIN(1,'Island Architectures'!$Q$11*(1-N93/'Island Architectures'!$R$11))</x:f>
        <x:v>1</x:v>
      </x:c>
      <x:c r="AD93" s="81" t="n">
        <x:f>MIN(1,'Island Architectures'!$Q$11*(1-O93/'Island Architectures'!$S$11))</x:f>
        <x:v>0.8</x:v>
      </x:c>
      <x:c r="AE93" s="81" t="n">
        <x:f>MIN(1,'Island Architectures'!$T$11*(1-P93/'Island Architectures'!$U$11))</x:f>
        <x:v>1</x:v>
      </x:c>
      <x:c r="AF93" s="81" t="n">
        <x:f>MIN(1,'Island Architectures'!$V$11*(1-Q93/'Island Architectures'!$W$11))</x:f>
        <x:v>1</x:v>
      </x:c>
      <x:c r="AG93" s="81" t="n">
        <x:f>MIN(1,'Island Architectures'!$X$11*(1-R93)*(1-S93/'Island Architectures'!$Y$11))</x:f>
        <x:v>1</x:v>
      </x:c>
      <x:c r="AH93" s="81" t="n">
        <x:f>IF(T93&lt;'Island Architectures'!$Z$11,1,0)</x:f>
        <x:v>1</x:v>
      </x:c>
      <x:c r="AI93" s="81" t="n">
        <x:f>MIN(1,'Island Architectures'!$AA$11*(1-U93/'Island Architectures'!$AB$11))</x:f>
        <x:v>1</x:v>
      </x:c>
      <x:c r="AJ93" s="81" t="n">
        <x:f>IF(V93=1,MIN(1,'Island Architectures'!$AD$11/Assumptions!$C$10),1)</x:f>
        <x:v>1</x:v>
      </x:c>
      <x:c r="AK93" s="81" t="n">
        <x:f>IF(W93=1,'Island Architectures'!$AC$11,1)</x:f>
        <x:v>1</x:v>
      </x:c>
      <x:c r="AL93" s="81" t="n">
        <x:f>MIN(X93:AK93)</x:f>
        <x:v>0.8</x:v>
      </x:c>
      <x:c r="AM93" s="70" t="str">
        <x:f>IF(AL93&gt;=Assumptions!$C$9,"PASS","FAIL")</x:f>
        <x:v>FAIL</x:v>
      </x:c>
      <x:c r="AN93" s="52" t="str">
        <x:v>fire, flood, wind or structural isolation</x:v>
      </x:c>
    </x:row>
    <x:row r="94">
      <x:c r="B94" s="66" t="str">
        <x:v>A4</x:v>
      </x:c>
      <x:c r="C94" s="66" t="str">
        <x:v>I15</x:v>
      </x:c>
      <x:c r="D94" s="66" t="str">
        <x:v>Flood severs one corridor and zone</x:v>
      </x:c>
      <x:c r="E94" s="66" t="n">
        <x:v>0</x:v>
      </x:c>
      <x:c r="F94" s="66" t="n">
        <x:v>0</x:v>
      </x:c>
      <x:c r="G94" s="66" t="n">
        <x:v>0</x:v>
      </x:c>
      <x:c r="H94" s="66" t="n">
        <x:v>0</x:v>
      </x:c>
      <x:c r="I94" s="66" t="n">
        <x:v>0</x:v>
      </x:c>
      <x:c r="J94" s="80" t="n">
        <x:v>1</x:v>
      </x:c>
      <x:c r="K94" s="66" t="n">
        <x:v>0</x:v>
      </x:c>
      <x:c r="L94" s="66" t="n">
        <x:v>0</x:v>
      </x:c>
      <x:c r="M94" s="66" t="n">
        <x:v>1</x:v>
      </x:c>
      <x:c r="N94" s="66" t="n">
        <x:v>0</x:v>
      </x:c>
      <x:c r="O94" s="66" t="n">
        <x:v>1</x:v>
      </x:c>
      <x:c r="P94" s="66" t="n">
        <x:v>0</x:v>
      </x:c>
      <x:c r="Q94" s="66" t="n">
        <x:v>0</x:v>
      </x:c>
      <x:c r="R94" s="80" t="n">
        <x:v>0</x:v>
      </x:c>
      <x:c r="S94" s="66" t="n">
        <x:v>0</x:v>
      </x:c>
      <x:c r="T94" s="66" t="n">
        <x:v>0</x:v>
      </x:c>
      <x:c r="U94" s="66" t="n">
        <x:v>0</x:v>
      </x:c>
      <x:c r="V94" s="66" t="n">
        <x:v>0</x:v>
      </x:c>
      <x:c r="W94" s="66" t="n">
        <x:v>0</x:v>
      </x:c>
      <x:c r="X94" s="81" t="n">
        <x:f>MIN(1,IF(E94=1,'Island Architectures'!$G$11,'Island Architectures'!$D$11)*(1-F94/'Island Architectures'!$E$11)*(1-G94/'Island Architectures'!$F$11)*IF(H94&lt;'Island Architectures'!$H$11,1,0))</x:f>
        <x:v>1</x:v>
      </x:c>
      <x:c r="Y94" s="81" t="n">
        <x:f>MIN(1,'Island Architectures'!$I$11*(1-I94/'Island Architectures'!$J$11)*J94)</x:f>
        <x:v>1</x:v>
      </x:c>
      <x:c r="Z94" s="81" t="n">
        <x:f>MIN(1,'Island Architectures'!$K$11*(1-K94/'Island Architectures'!$L$11))</x:f>
        <x:v>1</x:v>
      </x:c>
      <x:c r="AA94" s="81" t="n">
        <x:f>MIN(1,'Island Architectures'!$M$11*(1-L94/'Island Architectures'!$N$11))</x:f>
        <x:v>1</x:v>
      </x:c>
      <x:c r="AB94" s="81" t="n">
        <x:f>MIN(1,'Island Architectures'!$O$11*(1-M94/'Island Architectures'!$P$11))</x:f>
        <x:v>0.9333333333333333</x:v>
      </x:c>
      <x:c r="AC94" s="81" t="n">
        <x:f>MIN(1,'Island Architectures'!$Q$11*(1-N94/'Island Architectures'!$R$11))</x:f>
        <x:v>1</x:v>
      </x:c>
      <x:c r="AD94" s="81" t="n">
        <x:f>MIN(1,'Island Architectures'!$Q$11*(1-O94/'Island Architectures'!$S$11))</x:f>
        <x:v>0.8</x:v>
      </x:c>
      <x:c r="AE94" s="81" t="n">
        <x:f>MIN(1,'Island Architectures'!$T$11*(1-P94/'Island Architectures'!$U$11))</x:f>
        <x:v>1</x:v>
      </x:c>
      <x:c r="AF94" s="81" t="n">
        <x:f>MIN(1,'Island Architectures'!$V$11*(1-Q94/'Island Architectures'!$W$11))</x:f>
        <x:v>1</x:v>
      </x:c>
      <x:c r="AG94" s="81" t="n">
        <x:f>MIN(1,'Island Architectures'!$X$11*(1-R94)*(1-S94/'Island Architectures'!$Y$11))</x:f>
        <x:v>1</x:v>
      </x:c>
      <x:c r="AH94" s="81" t="n">
        <x:f>IF(T94&lt;'Island Architectures'!$Z$11,1,0)</x:f>
        <x:v>1</x:v>
      </x:c>
      <x:c r="AI94" s="81" t="n">
        <x:f>MIN(1,'Island Architectures'!$AA$11*(1-U94/'Island Architectures'!$AB$11))</x:f>
        <x:v>1</x:v>
      </x:c>
      <x:c r="AJ94" s="81" t="n">
        <x:f>IF(V94=1,MIN(1,'Island Architectures'!$AD$11/Assumptions!$C$10),1)</x:f>
        <x:v>1</x:v>
      </x:c>
      <x:c r="AK94" s="81" t="n">
        <x:f>IF(W94=1,'Island Architectures'!$AC$11,1)</x:f>
        <x:v>1</x:v>
      </x:c>
      <x:c r="AL94" s="81" t="n">
        <x:f>MIN(X94:AK94)</x:f>
        <x:v>0.8</x:v>
      </x:c>
      <x:c r="AM94" s="70" t="str">
        <x:f>IF(AL94&gt;=Assumptions!$C$9,"PASS","FAIL")</x:f>
        <x:v>FAIL</x:v>
      </x:c>
      <x:c r="AN94" s="52" t="str">
        <x:v>coupled local physical loss</x:v>
      </x:c>
    </x:row>
    <x:row r="95">
      <x:c r="B95" s="66" t="str">
        <x:v>A4</x:v>
      </x:c>
      <x:c r="C95" s="66" t="str">
        <x:v>I16</x:v>
      </x:c>
      <x:c r="D95" s="66" t="str">
        <x:v>One control partition lost</x:v>
      </x:c>
      <x:c r="E95" s="66" t="n">
        <x:v>0</x:v>
      </x:c>
      <x:c r="F95" s="66" t="n">
        <x:v>0</x:v>
      </x:c>
      <x:c r="G95" s="66" t="n">
        <x:v>0</x:v>
      </x:c>
      <x:c r="H95" s="66" t="n">
        <x:v>0</x:v>
      </x:c>
      <x:c r="I95" s="66" t="n">
        <x:v>0</x:v>
      </x:c>
      <x:c r="J95" s="80" t="n">
        <x:v>1</x:v>
      </x:c>
      <x:c r="K95" s="66" t="n">
        <x:v>0</x:v>
      </x:c>
      <x:c r="L95" s="66" t="n">
        <x:v>0</x:v>
      </x:c>
      <x:c r="M95" s="66" t="n">
        <x:v>0</x:v>
      </x:c>
      <x:c r="N95" s="66" t="n">
        <x:v>0</x:v>
      </x:c>
      <x:c r="O95" s="66" t="n">
        <x:v>0</x:v>
      </x:c>
      <x:c r="P95" s="66" t="n">
        <x:v>1</x:v>
      </x:c>
      <x:c r="Q95" s="66" t="n">
        <x:v>0</x:v>
      </x:c>
      <x:c r="R95" s="80" t="n">
        <x:v>0</x:v>
      </x:c>
      <x:c r="S95" s="66" t="n">
        <x:v>0</x:v>
      </x:c>
      <x:c r="T95" s="66" t="n">
        <x:v>0</x:v>
      </x:c>
      <x:c r="U95" s="66" t="n">
        <x:v>0</x:v>
      </x:c>
      <x:c r="V95" s="66" t="n">
        <x:v>0</x:v>
      </x:c>
      <x:c r="W95" s="66" t="n">
        <x:v>0</x:v>
      </x:c>
      <x:c r="X95" s="81" t="n">
        <x:f>MIN(1,IF(E95=1,'Island Architectures'!$G$11,'Island Architectures'!$D$11)*(1-F95/'Island Architectures'!$E$11)*(1-G95/'Island Architectures'!$F$11)*IF(H95&lt;'Island Architectures'!$H$11,1,0))</x:f>
        <x:v>1</x:v>
      </x:c>
      <x:c r="Y95" s="81" t="n">
        <x:f>MIN(1,'Island Architectures'!$I$11*(1-I95/'Island Architectures'!$J$11)*J95)</x:f>
        <x:v>1</x:v>
      </x:c>
      <x:c r="Z95" s="81" t="n">
        <x:f>MIN(1,'Island Architectures'!$K$11*(1-K95/'Island Architectures'!$L$11))</x:f>
        <x:v>1</x:v>
      </x:c>
      <x:c r="AA95" s="81" t="n">
        <x:f>MIN(1,'Island Architectures'!$M$11*(1-L95/'Island Architectures'!$N$11))</x:f>
        <x:v>1</x:v>
      </x:c>
      <x:c r="AB95" s="81" t="n">
        <x:f>MIN(1,'Island Architectures'!$O$11*(1-M95/'Island Architectures'!$P$11))</x:f>
        <x:v>1</x:v>
      </x:c>
      <x:c r="AC95" s="81" t="n">
        <x:f>MIN(1,'Island Architectures'!$Q$11*(1-N95/'Island Architectures'!$R$11))</x:f>
        <x:v>1</x:v>
      </x:c>
      <x:c r="AD95" s="81" t="n">
        <x:f>MIN(1,'Island Architectures'!$Q$11*(1-O95/'Island Architectures'!$S$11))</x:f>
        <x:v>1</x:v>
      </x:c>
      <x:c r="AE95" s="81" t="n">
        <x:f>MIN(1,'Island Architectures'!$T$11*(1-P95/'Island Architectures'!$U$11))</x:f>
        <x:v>0.9333333333333333</x:v>
      </x:c>
      <x:c r="AF95" s="81" t="n">
        <x:f>MIN(1,'Island Architectures'!$V$11*(1-Q95/'Island Architectures'!$W$11))</x:f>
        <x:v>1</x:v>
      </x:c>
      <x:c r="AG95" s="81" t="n">
        <x:f>MIN(1,'Island Architectures'!$X$11*(1-R95)*(1-S95/'Island Architectures'!$Y$11))</x:f>
        <x:v>1</x:v>
      </x:c>
      <x:c r="AH95" s="81" t="n">
        <x:f>IF(T95&lt;'Island Architectures'!$Z$11,1,0)</x:f>
        <x:v>1</x:v>
      </x:c>
      <x:c r="AI95" s="81" t="n">
        <x:f>MIN(1,'Island Architectures'!$AA$11*(1-U95/'Island Architectures'!$AB$11))</x:f>
        <x:v>1</x:v>
      </x:c>
      <x:c r="AJ95" s="81" t="n">
        <x:f>IF(V95=1,MIN(1,'Island Architectures'!$AD$11/Assumptions!$C$10),1)</x:f>
        <x:v>1</x:v>
      </x:c>
      <x:c r="AK95" s="81" t="n">
        <x:f>IF(W95=1,'Island Architectures'!$AC$11,1)</x:f>
        <x:v>1</x:v>
      </x:c>
      <x:c r="AL95" s="81" t="n">
        <x:f>MIN(X95:AK95)</x:f>
        <x:v>0.9333333333333333</x:v>
      </x:c>
      <x:c r="AM95" s="70" t="str">
        <x:f>IF(AL95&gt;=Assumptions!$C$9,"PASS","FAIL")</x:f>
        <x:v>PASS</x:v>
      </x:c>
      <x:c r="AN95" s="52" t="str">
        <x:v>protection remains safe without cloud control</x:v>
      </x:c>
    </x:row>
    <x:row r="96">
      <x:c r="B96" s="66" t="str">
        <x:v>A4</x:v>
      </x:c>
      <x:c r="C96" s="66" t="str">
        <x:v>I17</x:v>
      </x:c>
      <x:c r="D96" s="66" t="str">
        <x:v>One communications path lost</x:v>
      </x:c>
      <x:c r="E96" s="66" t="n">
        <x:v>0</x:v>
      </x:c>
      <x:c r="F96" s="66" t="n">
        <x:v>0</x:v>
      </x:c>
      <x:c r="G96" s="66" t="n">
        <x:v>0</x:v>
      </x:c>
      <x:c r="H96" s="66" t="n">
        <x:v>0</x:v>
      </x:c>
      <x:c r="I96" s="66" t="n">
        <x:v>0</x:v>
      </x:c>
      <x:c r="J96" s="80" t="n">
        <x:v>1</x:v>
      </x:c>
      <x:c r="K96" s="66" t="n">
        <x:v>0</x:v>
      </x:c>
      <x:c r="L96" s="66" t="n">
        <x:v>0</x:v>
      </x:c>
      <x:c r="M96" s="66" t="n">
        <x:v>0</x:v>
      </x:c>
      <x:c r="N96" s="66" t="n">
        <x:v>0</x:v>
      </x:c>
      <x:c r="O96" s="66" t="n">
        <x:v>0</x:v>
      </x:c>
      <x:c r="P96" s="66" t="n">
        <x:v>0</x:v>
      </x:c>
      <x:c r="Q96" s="66" t="n">
        <x:v>1</x:v>
      </x:c>
      <x:c r="R96" s="80" t="n">
        <x:v>0</x:v>
      </x:c>
      <x:c r="S96" s="66" t="n">
        <x:v>0</x:v>
      </x:c>
      <x:c r="T96" s="66" t="n">
        <x:v>0</x:v>
      </x:c>
      <x:c r="U96" s="66" t="n">
        <x:v>0</x:v>
      </x:c>
      <x:c r="V96" s="66" t="n">
        <x:v>0</x:v>
      </x:c>
      <x:c r="W96" s="66" t="n">
        <x:v>0</x:v>
      </x:c>
      <x:c r="X96" s="81" t="n">
        <x:f>MIN(1,IF(E96=1,'Island Architectures'!$G$11,'Island Architectures'!$D$11)*(1-F96/'Island Architectures'!$E$11)*(1-G96/'Island Architectures'!$F$11)*IF(H96&lt;'Island Architectures'!$H$11,1,0))</x:f>
        <x:v>1</x:v>
      </x:c>
      <x:c r="Y96" s="81" t="n">
        <x:f>MIN(1,'Island Architectures'!$I$11*(1-I96/'Island Architectures'!$J$11)*J96)</x:f>
        <x:v>1</x:v>
      </x:c>
      <x:c r="Z96" s="81" t="n">
        <x:f>MIN(1,'Island Architectures'!$K$11*(1-K96/'Island Architectures'!$L$11))</x:f>
        <x:v>1</x:v>
      </x:c>
      <x:c r="AA96" s="81" t="n">
        <x:f>MIN(1,'Island Architectures'!$M$11*(1-L96/'Island Architectures'!$N$11))</x:f>
        <x:v>1</x:v>
      </x:c>
      <x:c r="AB96" s="81" t="n">
        <x:f>MIN(1,'Island Architectures'!$O$11*(1-M96/'Island Architectures'!$P$11))</x:f>
        <x:v>1</x:v>
      </x:c>
      <x:c r="AC96" s="81" t="n">
        <x:f>MIN(1,'Island Architectures'!$Q$11*(1-N96/'Island Architectures'!$R$11))</x:f>
        <x:v>1</x:v>
      </x:c>
      <x:c r="AD96" s="81" t="n">
        <x:f>MIN(1,'Island Architectures'!$Q$11*(1-O96/'Island Architectures'!$S$11))</x:f>
        <x:v>1</x:v>
      </x:c>
      <x:c r="AE96" s="81" t="n">
        <x:f>MIN(1,'Island Architectures'!$T$11*(1-P96/'Island Architectures'!$U$11))</x:f>
        <x:v>1</x:v>
      </x:c>
      <x:c r="AF96" s="81" t="n">
        <x:f>MIN(1,'Island Architectures'!$V$11*(1-Q96/'Island Architectures'!$W$11))</x:f>
        <x:v>0.9333333333333333</x:v>
      </x:c>
      <x:c r="AG96" s="81" t="n">
        <x:f>MIN(1,'Island Architectures'!$X$11*(1-R96)*(1-S96/'Island Architectures'!$Y$11))</x:f>
        <x:v>1</x:v>
      </x:c>
      <x:c r="AH96" s="81" t="n">
        <x:f>IF(T96&lt;'Island Architectures'!$Z$11,1,0)</x:f>
        <x:v>1</x:v>
      </x:c>
      <x:c r="AI96" s="81" t="n">
        <x:f>MIN(1,'Island Architectures'!$AA$11*(1-U96/'Island Architectures'!$AB$11))</x:f>
        <x:v>1</x:v>
      </x:c>
      <x:c r="AJ96" s="81" t="n">
        <x:f>IF(V96=1,MIN(1,'Island Architectures'!$AD$11/Assumptions!$C$10),1)</x:f>
        <x:v>1</x:v>
      </x:c>
      <x:c r="AK96" s="81" t="n">
        <x:f>IF(W96=1,'Island Architectures'!$AC$11,1)</x:f>
        <x:v>1</x:v>
      </x:c>
      <x:c r="AL96" s="81" t="n">
        <x:f>MIN(X96:AK96)</x:f>
        <x:v>0.9333333333333333</x:v>
      </x:c>
      <x:c r="AM96" s="70" t="str">
        <x:f>IF(AL96&gt;=Assumptions!$C$9,"PASS","FAIL")</x:f>
        <x:v>PASS</x:v>
      </x:c>
      <x:c r="AN96" s="52" t="str">
        <x:v>voice, data and evidence paths remain</x:v>
      </x:c>
    </x:row>
    <x:row r="97">
      <x:c r="B97" s="66" t="str">
        <x:v>A4</x:v>
      </x:c>
      <x:c r="C97" s="66" t="str">
        <x:v>I18</x:v>
      </x:c>
      <x:c r="D97" s="66" t="str">
        <x:v>Twenty-five percent workforce loss</x:v>
      </x:c>
      <x:c r="E97" s="66" t="n">
        <x:v>0</x:v>
      </x:c>
      <x:c r="F97" s="66" t="n">
        <x:v>0</x:v>
      </x:c>
      <x:c r="G97" s="66" t="n">
        <x:v>0</x:v>
      </x:c>
      <x:c r="H97" s="66" t="n">
        <x:v>0</x:v>
      </x:c>
      <x:c r="I97" s="66" t="n">
        <x:v>0</x:v>
      </x:c>
      <x:c r="J97" s="80" t="n">
        <x:v>1</x:v>
      </x:c>
      <x:c r="K97" s="66" t="n">
        <x:v>0</x:v>
      </x:c>
      <x:c r="L97" s="66" t="n">
        <x:v>0</x:v>
      </x:c>
      <x:c r="M97" s="66" t="n">
        <x:v>0</x:v>
      </x:c>
      <x:c r="N97" s="66" t="n">
        <x:v>0</x:v>
      </x:c>
      <x:c r="O97" s="66" t="n">
        <x:v>0</x:v>
      </x:c>
      <x:c r="P97" s="66" t="n">
        <x:v>0</x:v>
      </x:c>
      <x:c r="Q97" s="66" t="n">
        <x:v>0</x:v>
      </x:c>
      <x:c r="R97" s="80" t="n">
        <x:v>0.25</x:v>
      </x:c>
      <x:c r="S97" s="66" t="n">
        <x:v>0</x:v>
      </x:c>
      <x:c r="T97" s="66" t="n">
        <x:v>0</x:v>
      </x:c>
      <x:c r="U97" s="66" t="n">
        <x:v>0</x:v>
      </x:c>
      <x:c r="V97" s="66" t="n">
        <x:v>0</x:v>
      </x:c>
      <x:c r="W97" s="66" t="n">
        <x:v>0</x:v>
      </x:c>
      <x:c r="X97" s="81" t="n">
        <x:f>MIN(1,IF(E97=1,'Island Architectures'!$G$11,'Island Architectures'!$D$11)*(1-F97/'Island Architectures'!$E$11)*(1-G97/'Island Architectures'!$F$11)*IF(H97&lt;'Island Architectures'!$H$11,1,0))</x:f>
        <x:v>1</x:v>
      </x:c>
      <x:c r="Y97" s="81" t="n">
        <x:f>MIN(1,'Island Architectures'!$I$11*(1-I97/'Island Architectures'!$J$11)*J97)</x:f>
        <x:v>1</x:v>
      </x:c>
      <x:c r="Z97" s="81" t="n">
        <x:f>MIN(1,'Island Architectures'!$K$11*(1-K97/'Island Architectures'!$L$11))</x:f>
        <x:v>1</x:v>
      </x:c>
      <x:c r="AA97" s="81" t="n">
        <x:f>MIN(1,'Island Architectures'!$M$11*(1-L97/'Island Architectures'!$N$11))</x:f>
        <x:v>1</x:v>
      </x:c>
      <x:c r="AB97" s="81" t="n">
        <x:f>MIN(1,'Island Architectures'!$O$11*(1-M97/'Island Architectures'!$P$11))</x:f>
        <x:v>1</x:v>
      </x:c>
      <x:c r="AC97" s="81" t="n">
        <x:f>MIN(1,'Island Architectures'!$Q$11*(1-N97/'Island Architectures'!$R$11))</x:f>
        <x:v>1</x:v>
      </x:c>
      <x:c r="AD97" s="81" t="n">
        <x:f>MIN(1,'Island Architectures'!$Q$11*(1-O97/'Island Architectures'!$S$11))</x:f>
        <x:v>1</x:v>
      </x:c>
      <x:c r="AE97" s="81" t="n">
        <x:f>MIN(1,'Island Architectures'!$T$11*(1-P97/'Island Architectures'!$U$11))</x:f>
        <x:v>1</x:v>
      </x:c>
      <x:c r="AF97" s="81" t="n">
        <x:f>MIN(1,'Island Architectures'!$V$11*(1-Q97/'Island Architectures'!$W$11))</x:f>
        <x:v>1</x:v>
      </x:c>
      <x:c r="AG97" s="81" t="n">
        <x:f>MIN(1,'Island Architectures'!$X$11*(1-R97)*(1-S97/'Island Architectures'!$Y$11))</x:f>
        <x:v>1</x:v>
      </x:c>
      <x:c r="AH97" s="81" t="n">
        <x:f>IF(T97&lt;'Island Architectures'!$Z$11,1,0)</x:f>
        <x:v>1</x:v>
      </x:c>
      <x:c r="AI97" s="81" t="n">
        <x:f>MIN(1,'Island Architectures'!$AA$11*(1-U97/'Island Architectures'!$AB$11))</x:f>
        <x:v>1</x:v>
      </x:c>
      <x:c r="AJ97" s="81" t="n">
        <x:f>IF(V97=1,MIN(1,'Island Architectures'!$AD$11/Assumptions!$C$10),1)</x:f>
        <x:v>1</x:v>
      </x:c>
      <x:c r="AK97" s="81" t="n">
        <x:f>IF(W97=1,'Island Architectures'!$AC$11,1)</x:f>
        <x:v>1</x:v>
      </x:c>
      <x:c r="AL97" s="81" t="n">
        <x:f>MIN(X97:AK97)</x:f>
        <x:v>1</x:v>
      </x:c>
      <x:c r="AM97" s="70" t="str">
        <x:f>IF(AL97&gt;=Assumptions!$C$9,"PASS","FAIL")</x:f>
        <x:v>PASS</x:v>
      </x:c>
      <x:c r="AN97" s="52" t="str">
        <x:v>illness, access and household obligations</x:v>
      </x:c>
    </x:row>
    <x:row r="98">
      <x:c r="B98" s="66" t="str">
        <x:v>A4</x:v>
      </x:c>
      <x:c r="C98" s="66" t="str">
        <x:v>I19</x:v>
      </x:c>
      <x:c r="D98" s="66" t="str">
        <x:v>One workforce lineage lost</x:v>
      </x:c>
      <x:c r="E98" s="66" t="n">
        <x:v>0</x:v>
      </x:c>
      <x:c r="F98" s="66" t="n">
        <x:v>0</x:v>
      </x:c>
      <x:c r="G98" s="66" t="n">
        <x:v>0</x:v>
      </x:c>
      <x:c r="H98" s="66" t="n">
        <x:v>0</x:v>
      </x:c>
      <x:c r="I98" s="66" t="n">
        <x:v>0</x:v>
      </x:c>
      <x:c r="J98" s="80" t="n">
        <x:v>1</x:v>
      </x:c>
      <x:c r="K98" s="66" t="n">
        <x:v>0</x:v>
      </x:c>
      <x:c r="L98" s="66" t="n">
        <x:v>0</x:v>
      </x:c>
      <x:c r="M98" s="66" t="n">
        <x:v>0</x:v>
      </x:c>
      <x:c r="N98" s="66" t="n">
        <x:v>0</x:v>
      </x:c>
      <x:c r="O98" s="66" t="n">
        <x:v>0</x:v>
      </x:c>
      <x:c r="P98" s="66" t="n">
        <x:v>0</x:v>
      </x:c>
      <x:c r="Q98" s="66" t="n">
        <x:v>0</x:v>
      </x:c>
      <x:c r="R98" s="80" t="n">
        <x:v>0</x:v>
      </x:c>
      <x:c r="S98" s="66" t="n">
        <x:v>1</x:v>
      </x:c>
      <x:c r="T98" s="66" t="n">
        <x:v>0</x:v>
      </x:c>
      <x:c r="U98" s="66" t="n">
        <x:v>0</x:v>
      </x:c>
      <x:c r="V98" s="66" t="n">
        <x:v>0</x:v>
      </x:c>
      <x:c r="W98" s="66" t="n">
        <x:v>0</x:v>
      </x:c>
      <x:c r="X98" s="81" t="n">
        <x:f>MIN(1,IF(E98=1,'Island Architectures'!$G$11,'Island Architectures'!$D$11)*(1-F98/'Island Architectures'!$E$11)*(1-G98/'Island Architectures'!$F$11)*IF(H98&lt;'Island Architectures'!$H$11,1,0))</x:f>
        <x:v>1</x:v>
      </x:c>
      <x:c r="Y98" s="81" t="n">
        <x:f>MIN(1,'Island Architectures'!$I$11*(1-I98/'Island Architectures'!$J$11)*J98)</x:f>
        <x:v>1</x:v>
      </x:c>
      <x:c r="Z98" s="81" t="n">
        <x:f>MIN(1,'Island Architectures'!$K$11*(1-K98/'Island Architectures'!$L$11))</x:f>
        <x:v>1</x:v>
      </x:c>
      <x:c r="AA98" s="81" t="n">
        <x:f>MIN(1,'Island Architectures'!$M$11*(1-L98/'Island Architectures'!$N$11))</x:f>
        <x:v>1</x:v>
      </x:c>
      <x:c r="AB98" s="81" t="n">
        <x:f>MIN(1,'Island Architectures'!$O$11*(1-M98/'Island Architectures'!$P$11))</x:f>
        <x:v>1</x:v>
      </x:c>
      <x:c r="AC98" s="81" t="n">
        <x:f>MIN(1,'Island Architectures'!$Q$11*(1-N98/'Island Architectures'!$R$11))</x:f>
        <x:v>1</x:v>
      </x:c>
      <x:c r="AD98" s="81" t="n">
        <x:f>MIN(1,'Island Architectures'!$Q$11*(1-O98/'Island Architectures'!$S$11))</x:f>
        <x:v>1</x:v>
      </x:c>
      <x:c r="AE98" s="81" t="n">
        <x:f>MIN(1,'Island Architectures'!$T$11*(1-P98/'Island Architectures'!$U$11))</x:f>
        <x:v>1</x:v>
      </x:c>
      <x:c r="AF98" s="81" t="n">
        <x:f>MIN(1,'Island Architectures'!$V$11*(1-Q98/'Island Architectures'!$W$11))</x:f>
        <x:v>1</x:v>
      </x:c>
      <x:c r="AG98" s="81" t="n">
        <x:f>MIN(1,'Island Architectures'!$X$11*(1-R98)*(1-S98/'Island Architectures'!$Y$11))</x:f>
        <x:v>0.9333333333333333</x:v>
      </x:c>
      <x:c r="AH98" s="81" t="n">
        <x:f>IF(T98&lt;'Island Architectures'!$Z$11,1,0)</x:f>
        <x:v>1</x:v>
      </x:c>
      <x:c r="AI98" s="81" t="n">
        <x:f>MIN(1,'Island Architectures'!$AA$11*(1-U98/'Island Architectures'!$AB$11))</x:f>
        <x:v>1</x:v>
      </x:c>
      <x:c r="AJ98" s="81" t="n">
        <x:f>IF(V98=1,MIN(1,'Island Architectures'!$AD$11/Assumptions!$C$10),1)</x:f>
        <x:v>1</x:v>
      </x:c>
      <x:c r="AK98" s="81" t="n">
        <x:f>IF(W98=1,'Island Architectures'!$AC$11,1)</x:f>
        <x:v>1</x:v>
      </x:c>
      <x:c r="AL98" s="81" t="n">
        <x:f>MIN(X98:AK98)</x:f>
        <x:v>0.9333333333333333</x:v>
      </x:c>
      <x:c r="AM98" s="70" t="str">
        <x:f>IF(AL98&gt;=Assumptions!$C$9,"PASS","FAIL")</x:f>
        <x:v>PASS</x:v>
      </x:c>
      <x:c r="AN98" s="52" t="str">
        <x:v>one school or credential chain unavailable</x:v>
      </x:c>
    </x:row>
    <x:row r="99">
      <x:c r="B99" s="66" t="str">
        <x:v>A4</x:v>
      </x:c>
      <x:c r="C99" s="66" t="str">
        <x:v>I20</x:v>
      </x:c>
      <x:c r="D99" s="66" t="str">
        <x:v>One civil-release path lost</x:v>
      </x:c>
      <x:c r="E99" s="66" t="n">
        <x:v>0</x:v>
      </x:c>
      <x:c r="F99" s="66" t="n">
        <x:v>0</x:v>
      </x:c>
      <x:c r="G99" s="66" t="n">
        <x:v>0</x:v>
      </x:c>
      <x:c r="H99" s="66" t="n">
        <x:v>0</x:v>
      </x:c>
      <x:c r="I99" s="66" t="n">
        <x:v>0</x:v>
      </x:c>
      <x:c r="J99" s="80" t="n">
        <x:v>1</x:v>
      </x:c>
      <x:c r="K99" s="66" t="n">
        <x:v>0</x:v>
      </x:c>
      <x:c r="L99" s="66" t="n">
        <x:v>0</x:v>
      </x:c>
      <x:c r="M99" s="66" t="n">
        <x:v>0</x:v>
      </x:c>
      <x:c r="N99" s="66" t="n">
        <x:v>0</x:v>
      </x:c>
      <x:c r="O99" s="66" t="n">
        <x:v>0</x:v>
      </x:c>
      <x:c r="P99" s="66" t="n">
        <x:v>0</x:v>
      </x:c>
      <x:c r="Q99" s="66" t="n">
        <x:v>0</x:v>
      </x:c>
      <x:c r="R99" s="80" t="n">
        <x:v>0</x:v>
      </x:c>
      <x:c r="S99" s="66" t="n">
        <x:v>0</x:v>
      </x:c>
      <x:c r="T99" s="66" t="n">
        <x:v>1</x:v>
      </x:c>
      <x:c r="U99" s="66" t="n">
        <x:v>0</x:v>
      </x:c>
      <x:c r="V99" s="66" t="n">
        <x:v>0</x:v>
      </x:c>
      <x:c r="W99" s="66" t="n">
        <x:v>0</x:v>
      </x:c>
      <x:c r="X99" s="81" t="n">
        <x:f>MIN(1,IF(E99=1,'Island Architectures'!$G$11,'Island Architectures'!$D$11)*(1-F99/'Island Architectures'!$E$11)*(1-G99/'Island Architectures'!$F$11)*IF(H99&lt;'Island Architectures'!$H$11,1,0))</x:f>
        <x:v>1</x:v>
      </x:c>
      <x:c r="Y99" s="81" t="n">
        <x:f>MIN(1,'Island Architectures'!$I$11*(1-I99/'Island Architectures'!$J$11)*J99)</x:f>
        <x:v>1</x:v>
      </x:c>
      <x:c r="Z99" s="81" t="n">
        <x:f>MIN(1,'Island Architectures'!$K$11*(1-K99/'Island Architectures'!$L$11))</x:f>
        <x:v>1</x:v>
      </x:c>
      <x:c r="AA99" s="81" t="n">
        <x:f>MIN(1,'Island Architectures'!$M$11*(1-L99/'Island Architectures'!$N$11))</x:f>
        <x:v>1</x:v>
      </x:c>
      <x:c r="AB99" s="81" t="n">
        <x:f>MIN(1,'Island Architectures'!$O$11*(1-M99/'Island Architectures'!$P$11))</x:f>
        <x:v>1</x:v>
      </x:c>
      <x:c r="AC99" s="81" t="n">
        <x:f>MIN(1,'Island Architectures'!$Q$11*(1-N99/'Island Architectures'!$R$11))</x:f>
        <x:v>1</x:v>
      </x:c>
      <x:c r="AD99" s="81" t="n">
        <x:f>MIN(1,'Island Architectures'!$Q$11*(1-O99/'Island Architectures'!$S$11))</x:f>
        <x:v>1</x:v>
      </x:c>
      <x:c r="AE99" s="81" t="n">
        <x:f>MIN(1,'Island Architectures'!$T$11*(1-P99/'Island Architectures'!$U$11))</x:f>
        <x:v>1</x:v>
      </x:c>
      <x:c r="AF99" s="81" t="n">
        <x:f>MIN(1,'Island Architectures'!$V$11*(1-Q99/'Island Architectures'!$W$11))</x:f>
        <x:v>1</x:v>
      </x:c>
      <x:c r="AG99" s="81" t="n">
        <x:f>MIN(1,'Island Architectures'!$X$11*(1-R99)*(1-S99/'Island Architectures'!$Y$11))</x:f>
        <x:v>1</x:v>
      </x:c>
      <x:c r="AH99" s="81" t="n">
        <x:f>IF(T99&lt;'Island Architectures'!$Z$11,1,0)</x:f>
        <x:v>1</x:v>
      </x:c>
      <x:c r="AI99" s="81" t="n">
        <x:f>MIN(1,'Island Architectures'!$AA$11*(1-U99/'Island Architectures'!$AB$11))</x:f>
        <x:v>1</x:v>
      </x:c>
      <x:c r="AJ99" s="81" t="n">
        <x:f>IF(V99=1,MIN(1,'Island Architectures'!$AD$11/Assumptions!$C$10),1)</x:f>
        <x:v>1</x:v>
      </x:c>
      <x:c r="AK99" s="81" t="n">
        <x:f>IF(W99=1,'Island Architectures'!$AC$11,1)</x:f>
        <x:v>1</x:v>
      </x:c>
      <x:c r="AL99" s="81" t="n">
        <x:f>MIN(X99:AK99)</x:f>
        <x:v>1</x:v>
      </x:c>
      <x:c r="AM99" s="70" t="str">
        <x:f>IF(AL99&gt;=Assumptions!$C$9,"PASS","FAIL")</x:f>
        <x:v>PASS</x:v>
      </x:c>
      <x:c r="AN99" s="52" t="str">
        <x:v>safe equipment still needs lawful release</x:v>
      </x:c>
    </x:row>
    <x:row r="100">
      <x:c r="B100" s="66" t="str">
        <x:v>A4</x:v>
      </x:c>
      <x:c r="C100" s="66" t="str">
        <x:v>I21</x:v>
      </x:c>
      <x:c r="D100" s="66" t="str">
        <x:v>Largest supplier lineage lost</x:v>
      </x:c>
      <x:c r="E100" s="66" t="n">
        <x:v>0</x:v>
      </x:c>
      <x:c r="F100" s="66" t="n">
        <x:v>0</x:v>
      </x:c>
      <x:c r="G100" s="66" t="n">
        <x:v>0</x:v>
      </x:c>
      <x:c r="H100" s="66" t="n">
        <x:v>0</x:v>
      </x:c>
      <x:c r="I100" s="66" t="n">
        <x:v>0</x:v>
      </x:c>
      <x:c r="J100" s="80" t="n">
        <x:v>1</x:v>
      </x:c>
      <x:c r="K100" s="66" t="n">
        <x:v>0</x:v>
      </x:c>
      <x:c r="L100" s="66" t="n">
        <x:v>0</x:v>
      </x:c>
      <x:c r="M100" s="66" t="n">
        <x:v>0</x:v>
      </x:c>
      <x:c r="N100" s="66" t="n">
        <x:v>0</x:v>
      </x:c>
      <x:c r="O100" s="66" t="n">
        <x:v>0</x:v>
      </x:c>
      <x:c r="P100" s="66" t="n">
        <x:v>0</x:v>
      </x:c>
      <x:c r="Q100" s="66" t="n">
        <x:v>0</x:v>
      </x:c>
      <x:c r="R100" s="80" t="n">
        <x:v>0</x:v>
      </x:c>
      <x:c r="S100" s="66" t="n">
        <x:v>0</x:v>
      </x:c>
      <x:c r="T100" s="66" t="n">
        <x:v>0</x:v>
      </x:c>
      <x:c r="U100" s="66" t="n">
        <x:v>1</x:v>
      </x:c>
      <x:c r="V100" s="66" t="n">
        <x:v>0</x:v>
      </x:c>
      <x:c r="W100" s="66" t="n">
        <x:v>0</x:v>
      </x:c>
      <x:c r="X100" s="81" t="n">
        <x:f>MIN(1,IF(E100=1,'Island Architectures'!$G$11,'Island Architectures'!$D$11)*(1-F100/'Island Architectures'!$E$11)*(1-G100/'Island Architectures'!$F$11)*IF(H100&lt;'Island Architectures'!$H$11,1,0))</x:f>
        <x:v>1</x:v>
      </x:c>
      <x:c r="Y100" s="81" t="n">
        <x:f>MIN(1,'Island Architectures'!$I$11*(1-I100/'Island Architectures'!$J$11)*J100)</x:f>
        <x:v>1</x:v>
      </x:c>
      <x:c r="Z100" s="81" t="n">
        <x:f>MIN(1,'Island Architectures'!$K$11*(1-K100/'Island Architectures'!$L$11))</x:f>
        <x:v>1</x:v>
      </x:c>
      <x:c r="AA100" s="81" t="n">
        <x:f>MIN(1,'Island Architectures'!$M$11*(1-L100/'Island Architectures'!$N$11))</x:f>
        <x:v>1</x:v>
      </x:c>
      <x:c r="AB100" s="81" t="n">
        <x:f>MIN(1,'Island Architectures'!$O$11*(1-M100/'Island Architectures'!$P$11))</x:f>
        <x:v>1</x:v>
      </x:c>
      <x:c r="AC100" s="81" t="n">
        <x:f>MIN(1,'Island Architectures'!$Q$11*(1-N100/'Island Architectures'!$R$11))</x:f>
        <x:v>1</x:v>
      </x:c>
      <x:c r="AD100" s="81" t="n">
        <x:f>MIN(1,'Island Architectures'!$Q$11*(1-O100/'Island Architectures'!$S$11))</x:f>
        <x:v>1</x:v>
      </x:c>
      <x:c r="AE100" s="81" t="n">
        <x:f>MIN(1,'Island Architectures'!$T$11*(1-P100/'Island Architectures'!$U$11))</x:f>
        <x:v>1</x:v>
      </x:c>
      <x:c r="AF100" s="81" t="n">
        <x:f>MIN(1,'Island Architectures'!$V$11*(1-Q100/'Island Architectures'!$W$11))</x:f>
        <x:v>1</x:v>
      </x:c>
      <x:c r="AG100" s="81" t="n">
        <x:f>MIN(1,'Island Architectures'!$X$11*(1-R100)*(1-S100/'Island Architectures'!$Y$11))</x:f>
        <x:v>1</x:v>
      </x:c>
      <x:c r="AH100" s="81" t="n">
        <x:f>IF(T100&lt;'Island Architectures'!$Z$11,1,0)</x:f>
        <x:v>1</x:v>
      </x:c>
      <x:c r="AI100" s="81" t="n">
        <x:f>MIN(1,'Island Architectures'!$AA$11*(1-U100/'Island Architectures'!$AB$11))</x:f>
        <x:v>0.9333333333333333</x:v>
      </x:c>
      <x:c r="AJ100" s="81" t="n">
        <x:f>IF(V100=1,MIN(1,'Island Architectures'!$AD$11/Assumptions!$C$10),1)</x:f>
        <x:v>1</x:v>
      </x:c>
      <x:c r="AK100" s="81" t="n">
        <x:f>IF(W100=1,'Island Architectures'!$AC$11,1)</x:f>
        <x:v>1</x:v>
      </x:c>
      <x:c r="AL100" s="81" t="n">
        <x:f>MIN(X100:AK100)</x:f>
        <x:v>0.9333333333333333</x:v>
      </x:c>
      <x:c r="AM100" s="70" t="str">
        <x:f>IF(AL100&gt;=Assumptions!$C$9,"PASS","FAIL")</x:f>
        <x:v>PASS</x:v>
      </x:c>
      <x:c r="AN100" s="52" t="str">
        <x:v>upstream material, software or factory removal</x:v>
      </x:c>
    </x:row>
    <x:row r="101">
      <x:c r="B101" s="66" t="str">
        <x:v>A4</x:v>
      </x:c>
      <x:c r="C101" s="66" t="str">
        <x:v>I22</x:v>
      </x:c>
      <x:c r="D101" s="66" t="str">
        <x:v>Seven-day external logistics denial</x:v>
      </x:c>
      <x:c r="E101" s="66" t="n">
        <x:v>0</x:v>
      </x:c>
      <x:c r="F101" s="66" t="n">
        <x:v>0</x:v>
      </x:c>
      <x:c r="G101" s="66" t="n">
        <x:v>0</x:v>
      </x:c>
      <x:c r="H101" s="66" t="n">
        <x:v>0</x:v>
      </x:c>
      <x:c r="I101" s="66" t="n">
        <x:v>0</x:v>
      </x:c>
      <x:c r="J101" s="80" t="n">
        <x:v>1</x:v>
      </x:c>
      <x:c r="K101" s="66" t="n">
        <x:v>0</x:v>
      </x:c>
      <x:c r="L101" s="66" t="n">
        <x:v>0</x:v>
      </x:c>
      <x:c r="M101" s="66" t="n">
        <x:v>0</x:v>
      </x:c>
      <x:c r="N101" s="66" t="n">
        <x:v>0</x:v>
      </x:c>
      <x:c r="O101" s="66" t="n">
        <x:v>0</x:v>
      </x:c>
      <x:c r="P101" s="66" t="n">
        <x:v>0</x:v>
      </x:c>
      <x:c r="Q101" s="66" t="n">
        <x:v>0</x:v>
      </x:c>
      <x:c r="R101" s="80" t="n">
        <x:v>0</x:v>
      </x:c>
      <x:c r="S101" s="66" t="n">
        <x:v>0</x:v>
      </x:c>
      <x:c r="T101" s="66" t="n">
        <x:v>0</x:v>
      </x:c>
      <x:c r="U101" s="66" t="n">
        <x:v>0</x:v>
      </x:c>
      <x:c r="V101" s="66" t="n">
        <x:v>1</x:v>
      </x:c>
      <x:c r="W101" s="66" t="n">
        <x:v>0</x:v>
      </x:c>
      <x:c r="X101" s="81" t="n">
        <x:f>MIN(1,IF(E101=1,'Island Architectures'!$G$11,'Island Architectures'!$D$11)*(1-F101/'Island Architectures'!$E$11)*(1-G101/'Island Architectures'!$F$11)*IF(H101&lt;'Island Architectures'!$H$11,1,0))</x:f>
        <x:v>1</x:v>
      </x:c>
      <x:c r="Y101" s="81" t="n">
        <x:f>MIN(1,'Island Architectures'!$I$11*(1-I101/'Island Architectures'!$J$11)*J101)</x:f>
        <x:v>1</x:v>
      </x:c>
      <x:c r="Z101" s="81" t="n">
        <x:f>MIN(1,'Island Architectures'!$K$11*(1-K101/'Island Architectures'!$L$11))</x:f>
        <x:v>1</x:v>
      </x:c>
      <x:c r="AA101" s="81" t="n">
        <x:f>MIN(1,'Island Architectures'!$M$11*(1-L101/'Island Architectures'!$N$11))</x:f>
        <x:v>1</x:v>
      </x:c>
      <x:c r="AB101" s="81" t="n">
        <x:f>MIN(1,'Island Architectures'!$O$11*(1-M101/'Island Architectures'!$P$11))</x:f>
        <x:v>1</x:v>
      </x:c>
      <x:c r="AC101" s="81" t="n">
        <x:f>MIN(1,'Island Architectures'!$Q$11*(1-N101/'Island Architectures'!$R$11))</x:f>
        <x:v>1</x:v>
      </x:c>
      <x:c r="AD101" s="81" t="n">
        <x:f>MIN(1,'Island Architectures'!$Q$11*(1-O101/'Island Architectures'!$S$11))</x:f>
        <x:v>1</x:v>
      </x:c>
      <x:c r="AE101" s="81" t="n">
        <x:f>MIN(1,'Island Architectures'!$T$11*(1-P101/'Island Architectures'!$U$11))</x:f>
        <x:v>1</x:v>
      </x:c>
      <x:c r="AF101" s="81" t="n">
        <x:f>MIN(1,'Island Architectures'!$V$11*(1-Q101/'Island Architectures'!$W$11))</x:f>
        <x:v>1</x:v>
      </x:c>
      <x:c r="AG101" s="81" t="n">
        <x:f>MIN(1,'Island Architectures'!$X$11*(1-R101)*(1-S101/'Island Architectures'!$Y$11))</x:f>
        <x:v>1</x:v>
      </x:c>
      <x:c r="AH101" s="81" t="n">
        <x:f>IF(T101&lt;'Island Architectures'!$Z$11,1,0)</x:f>
        <x:v>1</x:v>
      </x:c>
      <x:c r="AI101" s="81" t="n">
        <x:f>MIN(1,'Island Architectures'!$AA$11*(1-U101/'Island Architectures'!$AB$11))</x:f>
        <x:v>1</x:v>
      </x:c>
      <x:c r="AJ101" s="81" t="n">
        <x:f>IF(V101=1,MIN(1,'Island Architectures'!$AD$11/Assumptions!$C$10),1)</x:f>
        <x:v>0.7142857142857143</x:v>
      </x:c>
      <x:c r="AK101" s="81" t="n">
        <x:f>IF(W101=1,'Island Architectures'!$AC$11,1)</x:f>
        <x:v>1</x:v>
      </x:c>
      <x:c r="AL101" s="81" t="n">
        <x:f>MIN(X101:AK101)</x:f>
        <x:v>0.7142857142857143</x:v>
      </x:c>
      <x:c r="AM101" s="70" t="str">
        <x:f>IF(AL101&gt;=Assumptions!$C$9,"PASS","FAIL")</x:f>
        <x:v>FAIL</x:v>
      </x:c>
      <x:c r="AN101" s="52" t="str">
        <x:v>fixed inventory must be an operating system</x:v>
      </x:c>
    </x:row>
    <x:row r="102">
      <x:c r="B102" s="66" t="str">
        <x:v>A4</x:v>
      </x:c>
      <x:c r="C102" s="66" t="str">
        <x:v>I23</x:v>
      </x:c>
      <x:c r="D102" s="66" t="str">
        <x:v>Second mission begins on day three</x:v>
      </x:c>
      <x:c r="E102" s="66" t="n">
        <x:v>0</x:v>
      </x:c>
      <x:c r="F102" s="66" t="n">
        <x:v>0</x:v>
      </x:c>
      <x:c r="G102" s="66" t="n">
        <x:v>0</x:v>
      </x:c>
      <x:c r="H102" s="66" t="n">
        <x:v>0</x:v>
      </x:c>
      <x:c r="I102" s="66" t="n">
        <x:v>0</x:v>
      </x:c>
      <x:c r="J102" s="80" t="n">
        <x:v>1</x:v>
      </x:c>
      <x:c r="K102" s="66" t="n">
        <x:v>0</x:v>
      </x:c>
      <x:c r="L102" s="66" t="n">
        <x:v>0</x:v>
      </x:c>
      <x:c r="M102" s="66" t="n">
        <x:v>0</x:v>
      </x:c>
      <x:c r="N102" s="66" t="n">
        <x:v>0</x:v>
      </x:c>
      <x:c r="O102" s="66" t="n">
        <x:v>0</x:v>
      </x:c>
      <x:c r="P102" s="66" t="n">
        <x:v>0</x:v>
      </x:c>
      <x:c r="Q102" s="66" t="n">
        <x:v>0</x:v>
      </x:c>
      <x:c r="R102" s="80" t="n">
        <x:v>0</x:v>
      </x:c>
      <x:c r="S102" s="66" t="n">
        <x:v>0</x:v>
      </x:c>
      <x:c r="T102" s="66" t="n">
        <x:v>0</x:v>
      </x:c>
      <x:c r="U102" s="66" t="n">
        <x:v>0</x:v>
      </x:c>
      <x:c r="V102" s="66" t="n">
        <x:v>0</x:v>
      </x:c>
      <x:c r="W102" s="66" t="n">
        <x:v>1</x:v>
      </x:c>
      <x:c r="X102" s="81" t="n">
        <x:f>MIN(1,IF(E102=1,'Island Architectures'!$G$11,'Island Architectures'!$D$11)*(1-F102/'Island Architectures'!$E$11)*(1-G102/'Island Architectures'!$F$11)*IF(H102&lt;'Island Architectures'!$H$11,1,0))</x:f>
        <x:v>1</x:v>
      </x:c>
      <x:c r="Y102" s="81" t="n">
        <x:f>MIN(1,'Island Architectures'!$I$11*(1-I102/'Island Architectures'!$J$11)*J102)</x:f>
        <x:v>1</x:v>
      </x:c>
      <x:c r="Z102" s="81" t="n">
        <x:f>MIN(1,'Island Architectures'!$K$11*(1-K102/'Island Architectures'!$L$11))</x:f>
        <x:v>1</x:v>
      </x:c>
      <x:c r="AA102" s="81" t="n">
        <x:f>MIN(1,'Island Architectures'!$M$11*(1-L102/'Island Architectures'!$N$11))</x:f>
        <x:v>1</x:v>
      </x:c>
      <x:c r="AB102" s="81" t="n">
        <x:f>MIN(1,'Island Architectures'!$O$11*(1-M102/'Island Architectures'!$P$11))</x:f>
        <x:v>1</x:v>
      </x:c>
      <x:c r="AC102" s="81" t="n">
        <x:f>MIN(1,'Island Architectures'!$Q$11*(1-N102/'Island Architectures'!$R$11))</x:f>
        <x:v>1</x:v>
      </x:c>
      <x:c r="AD102" s="81" t="n">
        <x:f>MIN(1,'Island Architectures'!$Q$11*(1-O102/'Island Architectures'!$S$11))</x:f>
        <x:v>1</x:v>
      </x:c>
      <x:c r="AE102" s="81" t="n">
        <x:f>MIN(1,'Island Architectures'!$T$11*(1-P102/'Island Architectures'!$U$11))</x:f>
        <x:v>1</x:v>
      </x:c>
      <x:c r="AF102" s="81" t="n">
        <x:f>MIN(1,'Island Architectures'!$V$11*(1-Q102/'Island Architectures'!$W$11))</x:f>
        <x:v>1</x:v>
      </x:c>
      <x:c r="AG102" s="81" t="n">
        <x:f>MIN(1,'Island Architectures'!$X$11*(1-R102)*(1-S102/'Island Architectures'!$Y$11))</x:f>
        <x:v>1</x:v>
      </x:c>
      <x:c r="AH102" s="81" t="n">
        <x:f>IF(T102&lt;'Island Architectures'!$Z$11,1,0)</x:f>
        <x:v>1</x:v>
      </x:c>
      <x:c r="AI102" s="81" t="n">
        <x:f>MIN(1,'Island Architectures'!$AA$11*(1-U102/'Island Architectures'!$AB$11))</x:f>
        <x:v>1</x:v>
      </x:c>
      <x:c r="AJ102" s="81" t="n">
        <x:f>IF(V102=1,MIN(1,'Island Architectures'!$AD$11/Assumptions!$C$10),1)</x:f>
        <x:v>1</x:v>
      </x:c>
      <x:c r="AK102" s="81" t="n">
        <x:f>IF(W102=1,'Island Architectures'!$AC$11,1)</x:f>
        <x:v>0.84</x:v>
      </x:c>
      <x:c r="AL102" s="81" t="n">
        <x:f>MIN(X102:AK102)</x:f>
        <x:v>0.84</x:v>
      </x:c>
      <x:c r="AM102" s="70" t="str">
        <x:f>IF(AL102&gt;=Assumptions!$C$9,"PASS","FAIL")</x:f>
        <x:v>FAIL</x:v>
      </x:c>
      <x:c r="AN102" s="52" t="str">
        <x:v>inspection, repair, reload and recertification</x:v>
      </x:c>
    </x:row>
    <x:row r="103">
      <x:c r="B103" s="66" t="str">
        <x:v>A4</x:v>
      </x:c>
      <x:c r="C103" s="66" t="str">
        <x:v>I24</x:v>
      </x:c>
      <x:c r="D103" s="66" t="str">
        <x:v>Grid, yard, corridor and communications loss</x:v>
      </x:c>
      <x:c r="E103" s="66" t="n">
        <x:v>1</x:v>
      </x:c>
      <x:c r="F103" s="66" t="n">
        <x:v>0</x:v>
      </x:c>
      <x:c r="G103" s="66" t="n">
        <x:v>1</x:v>
      </x:c>
      <x:c r="H103" s="66" t="n">
        <x:v>0</x:v>
      </x:c>
      <x:c r="I103" s="66" t="n">
        <x:v>0</x:v>
      </x:c>
      <x:c r="J103" s="80" t="n">
        <x:v>1</x:v>
      </x:c>
      <x:c r="K103" s="66" t="n">
        <x:v>0</x:v>
      </x:c>
      <x:c r="L103" s="66" t="n">
        <x:v>0</x:v>
      </x:c>
      <x:c r="M103" s="66" t="n">
        <x:v>1</x:v>
      </x:c>
      <x:c r="N103" s="66" t="n">
        <x:v>0</x:v>
      </x:c>
      <x:c r="O103" s="66" t="n">
        <x:v>0</x:v>
      </x:c>
      <x:c r="P103" s="66" t="n">
        <x:v>0</x:v>
      </x:c>
      <x:c r="Q103" s="66" t="n">
        <x:v>1</x:v>
      </x:c>
      <x:c r="R103" s="80" t="n">
        <x:v>0</x:v>
      </x:c>
      <x:c r="S103" s="66" t="n">
        <x:v>0</x:v>
      </x:c>
      <x:c r="T103" s="66" t="n">
        <x:v>0</x:v>
      </x:c>
      <x:c r="U103" s="66" t="n">
        <x:v>0</x:v>
      </x:c>
      <x:c r="V103" s="66" t="n">
        <x:v>0</x:v>
      </x:c>
      <x:c r="W103" s="66" t="n">
        <x:v>0</x:v>
      </x:c>
      <x:c r="X103" s="81" t="n">
        <x:f>MIN(1,IF(E103=1,'Island Architectures'!$G$11,'Island Architectures'!$D$11)*(1-F103/'Island Architectures'!$E$11)*(1-G103/'Island Architectures'!$F$11)*IF(H103&lt;'Island Architectures'!$H$11,1,0))</x:f>
        <x:v>1</x:v>
      </x:c>
      <x:c r="Y103" s="81" t="n">
        <x:f>MIN(1,'Island Architectures'!$I$11*(1-I103/'Island Architectures'!$J$11)*J103)</x:f>
        <x:v>1</x:v>
      </x:c>
      <x:c r="Z103" s="81" t="n">
        <x:f>MIN(1,'Island Architectures'!$K$11*(1-K103/'Island Architectures'!$L$11))</x:f>
        <x:v>1</x:v>
      </x:c>
      <x:c r="AA103" s="81" t="n">
        <x:f>MIN(1,'Island Architectures'!$M$11*(1-L103/'Island Architectures'!$N$11))</x:f>
        <x:v>1</x:v>
      </x:c>
      <x:c r="AB103" s="81" t="n">
        <x:f>MIN(1,'Island Architectures'!$O$11*(1-M103/'Island Architectures'!$P$11))</x:f>
        <x:v>0.9333333333333333</x:v>
      </x:c>
      <x:c r="AC103" s="81" t="n">
        <x:f>MIN(1,'Island Architectures'!$Q$11*(1-N103/'Island Architectures'!$R$11))</x:f>
        <x:v>1</x:v>
      </x:c>
      <x:c r="AD103" s="81" t="n">
        <x:f>MIN(1,'Island Architectures'!$Q$11*(1-O103/'Island Architectures'!$S$11))</x:f>
        <x:v>1</x:v>
      </x:c>
      <x:c r="AE103" s="81" t="n">
        <x:f>MIN(1,'Island Architectures'!$T$11*(1-P103/'Island Architectures'!$U$11))</x:f>
        <x:v>1</x:v>
      </x:c>
      <x:c r="AF103" s="81" t="n">
        <x:f>MIN(1,'Island Architectures'!$V$11*(1-Q103/'Island Architectures'!$W$11))</x:f>
        <x:v>0.9333333333333333</x:v>
      </x:c>
      <x:c r="AG103" s="81" t="n">
        <x:f>MIN(1,'Island Architectures'!$X$11*(1-R103)*(1-S103/'Island Architectures'!$Y$11))</x:f>
        <x:v>1</x:v>
      </x:c>
      <x:c r="AH103" s="81" t="n">
        <x:f>IF(T103&lt;'Island Architectures'!$Z$11,1,0)</x:f>
        <x:v>1</x:v>
      </x:c>
      <x:c r="AI103" s="81" t="n">
        <x:f>MIN(1,'Island Architectures'!$AA$11*(1-U103/'Island Architectures'!$AB$11))</x:f>
        <x:v>1</x:v>
      </x:c>
      <x:c r="AJ103" s="81" t="n">
        <x:f>IF(V103=1,MIN(1,'Island Architectures'!$AD$11/Assumptions!$C$10),1)</x:f>
        <x:v>1</x:v>
      </x:c>
      <x:c r="AK103" s="81" t="n">
        <x:f>IF(W103=1,'Island Architectures'!$AC$11,1)</x:f>
        <x:v>1</x:v>
      </x:c>
      <x:c r="AL103" s="81" t="n">
        <x:f>MIN(X103:AK103)</x:f>
        <x:v>0.9333333333333333</x:v>
      </x:c>
      <x:c r="AM103" s="70" t="str">
        <x:f>IF(AL103&gt;=Assumptions!$C$9,"PASS","FAIL")</x:f>
        <x:v>PASS</x:v>
      </x:c>
      <x:c r="AN103" s="52" t="str">
        <x:v>compound test of physical and institutional separation</x:v>
      </x:c>
    </x:row>
    <x:row r="104">
      <x:c r="B104" s="66" t="str">
        <x:v>A5</x:v>
      </x:c>
      <x:c r="C104" s="66" t="str">
        <x:v>I01</x:v>
      </x:c>
      <x:c r="D104" s="66" t="str">
        <x:v>Baseline release</x:v>
      </x:c>
      <x:c r="E104" s="66" t="n">
        <x:v>0</x:v>
      </x:c>
      <x:c r="F104" s="66" t="n">
        <x:v>0</x:v>
      </x:c>
      <x:c r="G104" s="66" t="n">
        <x:v>0</x:v>
      </x:c>
      <x:c r="H104" s="66" t="n">
        <x:v>0</x:v>
      </x:c>
      <x:c r="I104" s="66" t="n">
        <x:v>0</x:v>
      </x:c>
      <x:c r="J104" s="80" t="n">
        <x:v>1</x:v>
      </x:c>
      <x:c r="K104" s="66" t="n">
        <x:v>0</x:v>
      </x:c>
      <x:c r="L104" s="66" t="n">
        <x:v>0</x:v>
      </x:c>
      <x:c r="M104" s="66" t="n">
        <x:v>0</x:v>
      </x:c>
      <x:c r="N104" s="66" t="n">
        <x:v>0</x:v>
      </x:c>
      <x:c r="O104" s="66" t="n">
        <x:v>0</x:v>
      </x:c>
      <x:c r="P104" s="66" t="n">
        <x:v>0</x:v>
      </x:c>
      <x:c r="Q104" s="66" t="n">
        <x:v>0</x:v>
      </x:c>
      <x:c r="R104" s="80" t="n">
        <x:v>0</x:v>
      </x:c>
      <x:c r="S104" s="66" t="n">
        <x:v>0</x:v>
      </x:c>
      <x:c r="T104" s="66" t="n">
        <x:v>0</x:v>
      </x:c>
      <x:c r="U104" s="66" t="n">
        <x:v>0</x:v>
      </x:c>
      <x:c r="V104" s="66" t="n">
        <x:v>0</x:v>
      </x:c>
      <x:c r="W104" s="66" t="n">
        <x:v>0</x:v>
      </x:c>
      <x:c r="X104" s="81" t="n">
        <x:f>MIN(1,IF(E104=1,'Island Architectures'!$G$12,'Island Architectures'!$D$12)*(1-F104/'Island Architectures'!$E$12)*(1-G104/'Island Architectures'!$F$12)*IF(H104&lt;'Island Architectures'!$H$12,1,0))</x:f>
        <x:v>1</x:v>
      </x:c>
      <x:c r="Y104" s="81" t="n">
        <x:f>MIN(1,'Island Architectures'!$I$12*(1-I104/'Island Architectures'!$J$12)*J104)</x:f>
        <x:v>1</x:v>
      </x:c>
      <x:c r="Z104" s="81" t="n">
        <x:f>MIN(1,'Island Architectures'!$K$12*(1-K104/'Island Architectures'!$L$12))</x:f>
        <x:v>1</x:v>
      </x:c>
      <x:c r="AA104" s="81" t="n">
        <x:f>MIN(1,'Island Architectures'!$M$12*(1-L104/'Island Architectures'!$N$12))</x:f>
        <x:v>1</x:v>
      </x:c>
      <x:c r="AB104" s="81" t="n">
        <x:f>MIN(1,'Island Architectures'!$O$12*(1-M104/'Island Architectures'!$P$12))</x:f>
        <x:v>1</x:v>
      </x:c>
      <x:c r="AC104" s="81" t="n">
        <x:f>MIN(1,'Island Architectures'!$Q$12*(1-N104/'Island Architectures'!$R$12))</x:f>
        <x:v>1</x:v>
      </x:c>
      <x:c r="AD104" s="81" t="n">
        <x:f>MIN(1,'Island Architectures'!$Q$12*(1-O104/'Island Architectures'!$S$12))</x:f>
        <x:v>1</x:v>
      </x:c>
      <x:c r="AE104" s="81" t="n">
        <x:f>MIN(1,'Island Architectures'!$T$12*(1-P104/'Island Architectures'!$U$12))</x:f>
        <x:v>1</x:v>
      </x:c>
      <x:c r="AF104" s="81" t="n">
        <x:f>MIN(1,'Island Architectures'!$V$12*(1-Q104/'Island Architectures'!$W$12))</x:f>
        <x:v>1</x:v>
      </x:c>
      <x:c r="AG104" s="81" t="n">
        <x:f>MIN(1,'Island Architectures'!$X$12*(1-R104)*(1-S104/'Island Architectures'!$Y$12))</x:f>
        <x:v>1</x:v>
      </x:c>
      <x:c r="AH104" s="81" t="n">
        <x:f>IF(T104&lt;'Island Architectures'!$Z$12,1,0)</x:f>
        <x:v>1</x:v>
      </x:c>
      <x:c r="AI104" s="81" t="n">
        <x:f>MIN(1,'Island Architectures'!$AA$12*(1-U104/'Island Architectures'!$AB$12))</x:f>
        <x:v>1</x:v>
      </x:c>
      <x:c r="AJ104" s="81" t="n">
        <x:f>IF(V104=1,MIN(1,'Island Architectures'!$AD$12/Assumptions!$C$10),1)</x:f>
        <x:v>1</x:v>
      </x:c>
      <x:c r="AK104" s="81" t="n">
        <x:f>IF(W104=1,'Island Architectures'!$AC$12,1)</x:f>
        <x:v>1</x:v>
      </x:c>
      <x:c r="AL104" s="81" t="n">
        <x:f>MIN(X104:AK104)</x:f>
        <x:v>1</x:v>
      </x:c>
      <x:c r="AM104" s="70" t="str">
        <x:f>IF(AL104&gt;=Assumptions!$C$9,"PASS","FAIL")</x:f>
        <x:v>PASS</x:v>
      </x:c>
      <x:c r="AN104" s="52" t="str">
        <x:v>all declared systems available</x:v>
      </x:c>
    </x:row>
    <x:row r="105">
      <x:c r="B105" s="66" t="str">
        <x:v>A5</x:v>
      </x:c>
      <x:c r="C105" s="66" t="str">
        <x:v>I02</x:v>
      </x:c>
      <x:c r="D105" s="66" t="str">
        <x:v>External grid absent</x:v>
      </x:c>
      <x:c r="E105" s="66" t="n">
        <x:v>1</x:v>
      </x:c>
      <x:c r="F105" s="66" t="n">
        <x:v>0</x:v>
      </x:c>
      <x:c r="G105" s="66" t="n">
        <x:v>0</x:v>
      </x:c>
      <x:c r="H105" s="66" t="n">
        <x:v>0</x:v>
      </x:c>
      <x:c r="I105" s="66" t="n">
        <x:v>0</x:v>
      </x:c>
      <x:c r="J105" s="80" t="n">
        <x:v>1</x:v>
      </x:c>
      <x:c r="K105" s="66" t="n">
        <x:v>0</x:v>
      </x:c>
      <x:c r="L105" s="66" t="n">
        <x:v>0</x:v>
      </x:c>
      <x:c r="M105" s="66" t="n">
        <x:v>0</x:v>
      </x:c>
      <x:c r="N105" s="66" t="n">
        <x:v>0</x:v>
      </x:c>
      <x:c r="O105" s="66" t="n">
        <x:v>0</x:v>
      </x:c>
      <x:c r="P105" s="66" t="n">
        <x:v>0</x:v>
      </x:c>
      <x:c r="Q105" s="66" t="n">
        <x:v>0</x:v>
      </x:c>
      <x:c r="R105" s="80" t="n">
        <x:v>0</x:v>
      </x:c>
      <x:c r="S105" s="66" t="n">
        <x:v>0</x:v>
      </x:c>
      <x:c r="T105" s="66" t="n">
        <x:v>0</x:v>
      </x:c>
      <x:c r="U105" s="66" t="n">
        <x:v>0</x:v>
      </x:c>
      <x:c r="V105" s="66" t="n">
        <x:v>0</x:v>
      </x:c>
      <x:c r="W105" s="66" t="n">
        <x:v>0</x:v>
      </x:c>
      <x:c r="X105" s="81" t="n">
        <x:f>MIN(1,IF(E105=1,'Island Architectures'!$G$12,'Island Architectures'!$D$12)*(1-F105/'Island Architectures'!$E$12)*(1-G105/'Island Architectures'!$F$12)*IF(H105&lt;'Island Architectures'!$H$12,1,0))</x:f>
        <x:v>1</x:v>
      </x:c>
      <x:c r="Y105" s="81" t="n">
        <x:f>MIN(1,'Island Architectures'!$I$12*(1-I105/'Island Architectures'!$J$12)*J105)</x:f>
        <x:v>1</x:v>
      </x:c>
      <x:c r="Z105" s="81" t="n">
        <x:f>MIN(1,'Island Architectures'!$K$12*(1-K105/'Island Architectures'!$L$12))</x:f>
        <x:v>1</x:v>
      </x:c>
      <x:c r="AA105" s="81" t="n">
        <x:f>MIN(1,'Island Architectures'!$M$12*(1-L105/'Island Architectures'!$N$12))</x:f>
        <x:v>1</x:v>
      </x:c>
      <x:c r="AB105" s="81" t="n">
        <x:f>MIN(1,'Island Architectures'!$O$12*(1-M105/'Island Architectures'!$P$12))</x:f>
        <x:v>1</x:v>
      </x:c>
      <x:c r="AC105" s="81" t="n">
        <x:f>MIN(1,'Island Architectures'!$Q$12*(1-N105/'Island Architectures'!$R$12))</x:f>
        <x:v>1</x:v>
      </x:c>
      <x:c r="AD105" s="81" t="n">
        <x:f>MIN(1,'Island Architectures'!$Q$12*(1-O105/'Island Architectures'!$S$12))</x:f>
        <x:v>1</x:v>
      </x:c>
      <x:c r="AE105" s="81" t="n">
        <x:f>MIN(1,'Island Architectures'!$T$12*(1-P105/'Island Architectures'!$U$12))</x:f>
        <x:v>1</x:v>
      </x:c>
      <x:c r="AF105" s="81" t="n">
        <x:f>MIN(1,'Island Architectures'!$V$12*(1-Q105/'Island Architectures'!$W$12))</x:f>
        <x:v>1</x:v>
      </x:c>
      <x:c r="AG105" s="81" t="n">
        <x:f>MIN(1,'Island Architectures'!$X$12*(1-R105)*(1-S105/'Island Architectures'!$Y$12))</x:f>
        <x:v>1</x:v>
      </x:c>
      <x:c r="AH105" s="81" t="n">
        <x:f>IF(T105&lt;'Island Architectures'!$Z$12,1,0)</x:f>
        <x:v>1</x:v>
      </x:c>
      <x:c r="AI105" s="81" t="n">
        <x:f>MIN(1,'Island Architectures'!$AA$12*(1-U105/'Island Architectures'!$AB$12))</x:f>
        <x:v>1</x:v>
      </x:c>
      <x:c r="AJ105" s="81" t="n">
        <x:f>IF(V105=1,MIN(1,'Island Architectures'!$AD$12/Assumptions!$C$10),1)</x:f>
        <x:v>1</x:v>
      </x:c>
      <x:c r="AK105" s="81" t="n">
        <x:f>IF(W105=1,'Island Architectures'!$AC$12,1)</x:f>
        <x:v>1</x:v>
      </x:c>
      <x:c r="AL105" s="81" t="n">
        <x:f>MIN(X105:AK105)</x:f>
        <x:v>1</x:v>
      </x:c>
      <x:c r="AM105" s="70" t="str">
        <x:f>IF(AL105&gt;=Assumptions!$C$9,"PASS","FAIL")</x:f>
        <x:v>PASS</x:v>
      </x:c>
      <x:c r="AN105" s="52" t="str">
        <x:v>fixed island must remain a source, not a grid customer</x:v>
      </x:c>
    </x:row>
    <x:row r="106">
      <x:c r="B106" s="66" t="str">
        <x:v>A5</x:v>
      </x:c>
      <x:c r="C106" s="66" t="str">
        <x:v>I03</x:v>
      </x:c>
      <x:c r="D106" s="66" t="str">
        <x:v>Largest source lineage lost</x:v>
      </x:c>
      <x:c r="E106" s="66" t="n">
        <x:v>0</x:v>
      </x:c>
      <x:c r="F106" s="66" t="n">
        <x:v>1</x:v>
      </x:c>
      <x:c r="G106" s="66" t="n">
        <x:v>0</x:v>
      </x:c>
      <x:c r="H106" s="66" t="n">
        <x:v>0</x:v>
      </x:c>
      <x:c r="I106" s="66" t="n">
        <x:v>0</x:v>
      </x:c>
      <x:c r="J106" s="80" t="n">
        <x:v>1</x:v>
      </x:c>
      <x:c r="K106" s="66" t="n">
        <x:v>0</x:v>
      </x:c>
      <x:c r="L106" s="66" t="n">
        <x:v>0</x:v>
      </x:c>
      <x:c r="M106" s="66" t="n">
        <x:v>0</x:v>
      </x:c>
      <x:c r="N106" s="66" t="n">
        <x:v>0</x:v>
      </x:c>
      <x:c r="O106" s="66" t="n">
        <x:v>0</x:v>
      </x:c>
      <x:c r="P106" s="66" t="n">
        <x:v>0</x:v>
      </x:c>
      <x:c r="Q106" s="66" t="n">
        <x:v>0</x:v>
      </x:c>
      <x:c r="R106" s="80" t="n">
        <x:v>0</x:v>
      </x:c>
      <x:c r="S106" s="66" t="n">
        <x:v>0</x:v>
      </x:c>
      <x:c r="T106" s="66" t="n">
        <x:v>0</x:v>
      </x:c>
      <x:c r="U106" s="66" t="n">
        <x:v>0</x:v>
      </x:c>
      <x:c r="V106" s="66" t="n">
        <x:v>0</x:v>
      </x:c>
      <x:c r="W106" s="66" t="n">
        <x:v>0</x:v>
      </x:c>
      <x:c r="X106" s="81" t="n">
        <x:f>MIN(1,IF(E106=1,'Island Architectures'!$G$12,'Island Architectures'!$D$12)*(1-F106/'Island Architectures'!$E$12)*(1-G106/'Island Architectures'!$F$12)*IF(H106&lt;'Island Architectures'!$H$12,1,0))</x:f>
        <x:v>1</x:v>
      </x:c>
      <x:c r="Y106" s="81" t="n">
        <x:f>MIN(1,'Island Architectures'!$I$12*(1-I106/'Island Architectures'!$J$12)*J106)</x:f>
        <x:v>1</x:v>
      </x:c>
      <x:c r="Z106" s="81" t="n">
        <x:f>MIN(1,'Island Architectures'!$K$12*(1-K106/'Island Architectures'!$L$12))</x:f>
        <x:v>1</x:v>
      </x:c>
      <x:c r="AA106" s="81" t="n">
        <x:f>MIN(1,'Island Architectures'!$M$12*(1-L106/'Island Architectures'!$N$12))</x:f>
        <x:v>1</x:v>
      </x:c>
      <x:c r="AB106" s="81" t="n">
        <x:f>MIN(1,'Island Architectures'!$O$12*(1-M106/'Island Architectures'!$P$12))</x:f>
        <x:v>1</x:v>
      </x:c>
      <x:c r="AC106" s="81" t="n">
        <x:f>MIN(1,'Island Architectures'!$Q$12*(1-N106/'Island Architectures'!$R$12))</x:f>
        <x:v>1</x:v>
      </x:c>
      <x:c r="AD106" s="81" t="n">
        <x:f>MIN(1,'Island Architectures'!$Q$12*(1-O106/'Island Architectures'!$S$12))</x:f>
        <x:v>1</x:v>
      </x:c>
      <x:c r="AE106" s="81" t="n">
        <x:f>MIN(1,'Island Architectures'!$T$12*(1-P106/'Island Architectures'!$U$12))</x:f>
        <x:v>1</x:v>
      </x:c>
      <x:c r="AF106" s="81" t="n">
        <x:f>MIN(1,'Island Architectures'!$V$12*(1-Q106/'Island Architectures'!$W$12))</x:f>
        <x:v>1</x:v>
      </x:c>
      <x:c r="AG106" s="81" t="n">
        <x:f>MIN(1,'Island Architectures'!$X$12*(1-R106)*(1-S106/'Island Architectures'!$Y$12))</x:f>
        <x:v>1</x:v>
      </x:c>
      <x:c r="AH106" s="81" t="n">
        <x:f>IF(T106&lt;'Island Architectures'!$Z$12,1,0)</x:f>
        <x:v>1</x:v>
      </x:c>
      <x:c r="AI106" s="81" t="n">
        <x:f>MIN(1,'Island Architectures'!$AA$12*(1-U106/'Island Architectures'!$AB$12))</x:f>
        <x:v>1</x:v>
      </x:c>
      <x:c r="AJ106" s="81" t="n">
        <x:f>IF(V106=1,MIN(1,'Island Architectures'!$AD$12/Assumptions!$C$10),1)</x:f>
        <x:v>1</x:v>
      </x:c>
      <x:c r="AK106" s="81" t="n">
        <x:f>IF(W106=1,'Island Architectures'!$AC$12,1)</x:f>
        <x:v>1</x:v>
      </x:c>
      <x:c r="AL106" s="81" t="n">
        <x:f>MIN(X106:AK106)</x:f>
        <x:v>1</x:v>
      </x:c>
      <x:c r="AM106" s="70" t="str">
        <x:f>IF(AL106&gt;=Assumptions!$C$9,"PASS","FAIL")</x:f>
        <x:v>PASS</x:v>
      </x:c>
      <x:c r="AN106" s="52" t="str">
        <x:v>energy technologies share upstream ancestry</x:v>
      </x:c>
    </x:row>
    <x:row r="107">
      <x:c r="B107" s="66" t="str">
        <x:v>A5</x:v>
      </x:c>
      <x:c r="C107" s="66" t="str">
        <x:v>I04</x:v>
      </x:c>
      <x:c r="D107" s="66" t="str">
        <x:v>Largest energy yard lost</x:v>
      </x:c>
      <x:c r="E107" s="66" t="n">
        <x:v>0</x:v>
      </x:c>
      <x:c r="F107" s="66" t="n">
        <x:v>0</x:v>
      </x:c>
      <x:c r="G107" s="66" t="n">
        <x:v>1</x:v>
      </x:c>
      <x:c r="H107" s="66" t="n">
        <x:v>0</x:v>
      </x:c>
      <x:c r="I107" s="66" t="n">
        <x:v>0</x:v>
      </x:c>
      <x:c r="J107" s="80" t="n">
        <x:v>1</x:v>
      </x:c>
      <x:c r="K107" s="66" t="n">
        <x:v>0</x:v>
      </x:c>
      <x:c r="L107" s="66" t="n">
        <x:v>0</x:v>
      </x:c>
      <x:c r="M107" s="66" t="n">
        <x:v>0</x:v>
      </x:c>
      <x:c r="N107" s="66" t="n">
        <x:v>0</x:v>
      </x:c>
      <x:c r="O107" s="66" t="n">
        <x:v>0</x:v>
      </x:c>
      <x:c r="P107" s="66" t="n">
        <x:v>0</x:v>
      </x:c>
      <x:c r="Q107" s="66" t="n">
        <x:v>0</x:v>
      </x:c>
      <x:c r="R107" s="80" t="n">
        <x:v>0</x:v>
      </x:c>
      <x:c r="S107" s="66" t="n">
        <x:v>0</x:v>
      </x:c>
      <x:c r="T107" s="66" t="n">
        <x:v>0</x:v>
      </x:c>
      <x:c r="U107" s="66" t="n">
        <x:v>0</x:v>
      </x:c>
      <x:c r="V107" s="66" t="n">
        <x:v>0</x:v>
      </x:c>
      <x:c r="W107" s="66" t="n">
        <x:v>0</x:v>
      </x:c>
      <x:c r="X107" s="81" t="n">
        <x:f>MIN(1,IF(E107=1,'Island Architectures'!$G$12,'Island Architectures'!$D$12)*(1-F107/'Island Architectures'!$E$12)*(1-G107/'Island Architectures'!$F$12)*IF(H107&lt;'Island Architectures'!$H$12,1,0))</x:f>
        <x:v>1</x:v>
      </x:c>
      <x:c r="Y107" s="81" t="n">
        <x:f>MIN(1,'Island Architectures'!$I$12*(1-I107/'Island Architectures'!$J$12)*J107)</x:f>
        <x:v>1</x:v>
      </x:c>
      <x:c r="Z107" s="81" t="n">
        <x:f>MIN(1,'Island Architectures'!$K$12*(1-K107/'Island Architectures'!$L$12))</x:f>
        <x:v>1</x:v>
      </x:c>
      <x:c r="AA107" s="81" t="n">
        <x:f>MIN(1,'Island Architectures'!$M$12*(1-L107/'Island Architectures'!$N$12))</x:f>
        <x:v>1</x:v>
      </x:c>
      <x:c r="AB107" s="81" t="n">
        <x:f>MIN(1,'Island Architectures'!$O$12*(1-M107/'Island Architectures'!$P$12))</x:f>
        <x:v>1</x:v>
      </x:c>
      <x:c r="AC107" s="81" t="n">
        <x:f>MIN(1,'Island Architectures'!$Q$12*(1-N107/'Island Architectures'!$R$12))</x:f>
        <x:v>1</x:v>
      </x:c>
      <x:c r="AD107" s="81" t="n">
        <x:f>MIN(1,'Island Architectures'!$Q$12*(1-O107/'Island Architectures'!$S$12))</x:f>
        <x:v>1</x:v>
      </x:c>
      <x:c r="AE107" s="81" t="n">
        <x:f>MIN(1,'Island Architectures'!$T$12*(1-P107/'Island Architectures'!$U$12))</x:f>
        <x:v>1</x:v>
      </x:c>
      <x:c r="AF107" s="81" t="n">
        <x:f>MIN(1,'Island Architectures'!$V$12*(1-Q107/'Island Architectures'!$W$12))</x:f>
        <x:v>1</x:v>
      </x:c>
      <x:c r="AG107" s="81" t="n">
        <x:f>MIN(1,'Island Architectures'!$X$12*(1-R107)*(1-S107/'Island Architectures'!$Y$12))</x:f>
        <x:v>1</x:v>
      </x:c>
      <x:c r="AH107" s="81" t="n">
        <x:f>IF(T107&lt;'Island Architectures'!$Z$12,1,0)</x:f>
        <x:v>1</x:v>
      </x:c>
      <x:c r="AI107" s="81" t="n">
        <x:f>MIN(1,'Island Architectures'!$AA$12*(1-U107/'Island Architectures'!$AB$12))</x:f>
        <x:v>1</x:v>
      </x:c>
      <x:c r="AJ107" s="81" t="n">
        <x:f>IF(V107=1,MIN(1,'Island Architectures'!$AD$12/Assumptions!$C$10),1)</x:f>
        <x:v>1</x:v>
      </x:c>
      <x:c r="AK107" s="81" t="n">
        <x:f>IF(W107=1,'Island Architectures'!$AC$12,1)</x:f>
        <x:v>1</x:v>
      </x:c>
      <x:c r="AL107" s="81" t="n">
        <x:f>MIN(X107:AK107)</x:f>
        <x:v>1</x:v>
      </x:c>
      <x:c r="AM107" s="70" t="str">
        <x:f>IF(AL107&gt;=Assumptions!$C$9,"PASS","FAIL")</x:f>
        <x:v>PASS</x:v>
      </x:c>
      <x:c r="AN107" s="52" t="str">
        <x:v>physical fire or flood loss</x:v>
      </x:c>
    </x:row>
    <x:row r="108">
      <x:c r="B108" s="66" t="str">
        <x:v>A5</x:v>
      </x:c>
      <x:c r="C108" s="66" t="str">
        <x:v>I05</x:v>
      </x:c>
      <x:c r="D108" s="66" t="str">
        <x:v>One black-start path lost</x:v>
      </x:c>
      <x:c r="E108" s="66" t="n">
        <x:v>0</x:v>
      </x:c>
      <x:c r="F108" s="66" t="n">
        <x:v>0</x:v>
      </x:c>
      <x:c r="G108" s="66" t="n">
        <x:v>0</x:v>
      </x:c>
      <x:c r="H108" s="66" t="n">
        <x:v>1</x:v>
      </x:c>
      <x:c r="I108" s="66" t="n">
        <x:v>0</x:v>
      </x:c>
      <x:c r="J108" s="80" t="n">
        <x:v>1</x:v>
      </x:c>
      <x:c r="K108" s="66" t="n">
        <x:v>0</x:v>
      </x:c>
      <x:c r="L108" s="66" t="n">
        <x:v>0</x:v>
      </x:c>
      <x:c r="M108" s="66" t="n">
        <x:v>0</x:v>
      </x:c>
      <x:c r="N108" s="66" t="n">
        <x:v>0</x:v>
      </x:c>
      <x:c r="O108" s="66" t="n">
        <x:v>0</x:v>
      </x:c>
      <x:c r="P108" s="66" t="n">
        <x:v>0</x:v>
      </x:c>
      <x:c r="Q108" s="66" t="n">
        <x:v>0</x:v>
      </x:c>
      <x:c r="R108" s="80" t="n">
        <x:v>0</x:v>
      </x:c>
      <x:c r="S108" s="66" t="n">
        <x:v>0</x:v>
      </x:c>
      <x:c r="T108" s="66" t="n">
        <x:v>0</x:v>
      </x:c>
      <x:c r="U108" s="66" t="n">
        <x:v>0</x:v>
      </x:c>
      <x:c r="V108" s="66" t="n">
        <x:v>0</x:v>
      </x:c>
      <x:c r="W108" s="66" t="n">
        <x:v>0</x:v>
      </x:c>
      <x:c r="X108" s="81" t="n">
        <x:f>MIN(1,IF(E108=1,'Island Architectures'!$G$12,'Island Architectures'!$D$12)*(1-F108/'Island Architectures'!$E$12)*(1-G108/'Island Architectures'!$F$12)*IF(H108&lt;'Island Architectures'!$H$12,1,0))</x:f>
        <x:v>1</x:v>
      </x:c>
      <x:c r="Y108" s="81" t="n">
        <x:f>MIN(1,'Island Architectures'!$I$12*(1-I108/'Island Architectures'!$J$12)*J108)</x:f>
        <x:v>1</x:v>
      </x:c>
      <x:c r="Z108" s="81" t="n">
        <x:f>MIN(1,'Island Architectures'!$K$12*(1-K108/'Island Architectures'!$L$12))</x:f>
        <x:v>1</x:v>
      </x:c>
      <x:c r="AA108" s="81" t="n">
        <x:f>MIN(1,'Island Architectures'!$M$12*(1-L108/'Island Architectures'!$N$12))</x:f>
        <x:v>1</x:v>
      </x:c>
      <x:c r="AB108" s="81" t="n">
        <x:f>MIN(1,'Island Architectures'!$O$12*(1-M108/'Island Architectures'!$P$12))</x:f>
        <x:v>1</x:v>
      </x:c>
      <x:c r="AC108" s="81" t="n">
        <x:f>MIN(1,'Island Architectures'!$Q$12*(1-N108/'Island Architectures'!$R$12))</x:f>
        <x:v>1</x:v>
      </x:c>
      <x:c r="AD108" s="81" t="n">
        <x:f>MIN(1,'Island Architectures'!$Q$12*(1-O108/'Island Architectures'!$S$12))</x:f>
        <x:v>1</x:v>
      </x:c>
      <x:c r="AE108" s="81" t="n">
        <x:f>MIN(1,'Island Architectures'!$T$12*(1-P108/'Island Architectures'!$U$12))</x:f>
        <x:v>1</x:v>
      </x:c>
      <x:c r="AF108" s="81" t="n">
        <x:f>MIN(1,'Island Architectures'!$V$12*(1-Q108/'Island Architectures'!$W$12))</x:f>
        <x:v>1</x:v>
      </x:c>
      <x:c r="AG108" s="81" t="n">
        <x:f>MIN(1,'Island Architectures'!$X$12*(1-R108)*(1-S108/'Island Architectures'!$Y$12))</x:f>
        <x:v>1</x:v>
      </x:c>
      <x:c r="AH108" s="81" t="n">
        <x:f>IF(T108&lt;'Island Architectures'!$Z$12,1,0)</x:f>
        <x:v>1</x:v>
      </x:c>
      <x:c r="AI108" s="81" t="n">
        <x:f>MIN(1,'Island Architectures'!$AA$12*(1-U108/'Island Architectures'!$AB$12))</x:f>
        <x:v>1</x:v>
      </x:c>
      <x:c r="AJ108" s="81" t="n">
        <x:f>IF(V108=1,MIN(1,'Island Architectures'!$AD$12/Assumptions!$C$10),1)</x:f>
        <x:v>1</x:v>
      </x:c>
      <x:c r="AK108" s="81" t="n">
        <x:f>IF(W108=1,'Island Architectures'!$AC$12,1)</x:f>
        <x:v>1</x:v>
      </x:c>
      <x:c r="AL108" s="81" t="n">
        <x:f>MIN(X108:AK108)</x:f>
        <x:v>1</x:v>
      </x:c>
      <x:c r="AM108" s="70" t="str">
        <x:f>IF(AL108&gt;=Assumptions!$C$9,"PASS","FAIL")</x:f>
        <x:v>PASS</x:v>
      </x:c>
      <x:c r="AN108" s="52" t="str">
        <x:v>source transition cannot depend on one battery room</x:v>
      </x:c>
    </x:row>
    <x:row r="109">
      <x:c r="B109" s="66" t="str">
        <x:v>A5</x:v>
      </x:c>
      <x:c r="C109" s="66" t="str">
        <x:v>I06</x:v>
      </x:c>
      <x:c r="D109" s="66" t="str">
        <x:v>Largest heat destination lost</x:v>
      </x:c>
      <x:c r="E109" s="66" t="n">
        <x:v>0</x:v>
      </x:c>
      <x:c r="F109" s="66" t="n">
        <x:v>0</x:v>
      </x:c>
      <x:c r="G109" s="66" t="n">
        <x:v>0</x:v>
      </x:c>
      <x:c r="H109" s="66" t="n">
        <x:v>0</x:v>
      </x:c>
      <x:c r="I109" s="66" t="n">
        <x:v>1</x:v>
      </x:c>
      <x:c r="J109" s="80" t="n">
        <x:v>1</x:v>
      </x:c>
      <x:c r="K109" s="66" t="n">
        <x:v>0</x:v>
      </x:c>
      <x:c r="L109" s="66" t="n">
        <x:v>0</x:v>
      </x:c>
      <x:c r="M109" s="66" t="n">
        <x:v>0</x:v>
      </x:c>
      <x:c r="N109" s="66" t="n">
        <x:v>0</x:v>
      </x:c>
      <x:c r="O109" s="66" t="n">
        <x:v>0</x:v>
      </x:c>
      <x:c r="P109" s="66" t="n">
        <x:v>0</x:v>
      </x:c>
      <x:c r="Q109" s="66" t="n">
        <x:v>0</x:v>
      </x:c>
      <x:c r="R109" s="80" t="n">
        <x:v>0</x:v>
      </x:c>
      <x:c r="S109" s="66" t="n">
        <x:v>0</x:v>
      </x:c>
      <x:c r="T109" s="66" t="n">
        <x:v>0</x:v>
      </x:c>
      <x:c r="U109" s="66" t="n">
        <x:v>0</x:v>
      </x:c>
      <x:c r="V109" s="66" t="n">
        <x:v>0</x:v>
      </x:c>
      <x:c r="W109" s="66" t="n">
        <x:v>0</x:v>
      </x:c>
      <x:c r="X109" s="81" t="n">
        <x:f>MIN(1,IF(E109=1,'Island Architectures'!$G$12,'Island Architectures'!$D$12)*(1-F109/'Island Architectures'!$E$12)*(1-G109/'Island Architectures'!$F$12)*IF(H109&lt;'Island Architectures'!$H$12,1,0))</x:f>
        <x:v>1</x:v>
      </x:c>
      <x:c r="Y109" s="81" t="n">
        <x:f>MIN(1,'Island Architectures'!$I$12*(1-I109/'Island Architectures'!$J$12)*J109)</x:f>
        <x:v>1</x:v>
      </x:c>
      <x:c r="Z109" s="81" t="n">
        <x:f>MIN(1,'Island Architectures'!$K$12*(1-K109/'Island Architectures'!$L$12))</x:f>
        <x:v>1</x:v>
      </x:c>
      <x:c r="AA109" s="81" t="n">
        <x:f>MIN(1,'Island Architectures'!$M$12*(1-L109/'Island Architectures'!$N$12))</x:f>
        <x:v>1</x:v>
      </x:c>
      <x:c r="AB109" s="81" t="n">
        <x:f>MIN(1,'Island Architectures'!$O$12*(1-M109/'Island Architectures'!$P$12))</x:f>
        <x:v>1</x:v>
      </x:c>
      <x:c r="AC109" s="81" t="n">
        <x:f>MIN(1,'Island Architectures'!$Q$12*(1-N109/'Island Architectures'!$R$12))</x:f>
        <x:v>1</x:v>
      </x:c>
      <x:c r="AD109" s="81" t="n">
        <x:f>MIN(1,'Island Architectures'!$Q$12*(1-O109/'Island Architectures'!$S$12))</x:f>
        <x:v>1</x:v>
      </x:c>
      <x:c r="AE109" s="81" t="n">
        <x:f>MIN(1,'Island Architectures'!$T$12*(1-P109/'Island Architectures'!$U$12))</x:f>
        <x:v>1</x:v>
      </x:c>
      <x:c r="AF109" s="81" t="n">
        <x:f>MIN(1,'Island Architectures'!$V$12*(1-Q109/'Island Architectures'!$W$12))</x:f>
        <x:v>1</x:v>
      </x:c>
      <x:c r="AG109" s="81" t="n">
        <x:f>MIN(1,'Island Architectures'!$X$12*(1-R109)*(1-S109/'Island Architectures'!$Y$12))</x:f>
        <x:v>1</x:v>
      </x:c>
      <x:c r="AH109" s="81" t="n">
        <x:f>IF(T109&lt;'Island Architectures'!$Z$12,1,0)</x:f>
        <x:v>1</x:v>
      </x:c>
      <x:c r="AI109" s="81" t="n">
        <x:f>MIN(1,'Island Architectures'!$AA$12*(1-U109/'Island Architectures'!$AB$12))</x:f>
        <x:v>1</x:v>
      </x:c>
      <x:c r="AJ109" s="81" t="n">
        <x:f>IF(V109=1,MIN(1,'Island Architectures'!$AD$12/Assumptions!$C$10),1)</x:f>
        <x:v>1</x:v>
      </x:c>
      <x:c r="AK109" s="81" t="n">
        <x:f>IF(W109=1,'Island Architectures'!$AC$12,1)</x:f>
        <x:v>1</x:v>
      </x:c>
      <x:c r="AL109" s="81" t="n">
        <x:f>MIN(X109:AK109)</x:f>
        <x:v>1</x:v>
      </x:c>
      <x:c r="AM109" s="70" t="str">
        <x:f>IF(AL109&gt;=Assumptions!$C$9,"PASS","FAIL")</x:f>
        <x:v>PASS</x:v>
      </x:c>
      <x:c r="AN109" s="52" t="str">
        <x:v>final heat destination is an availability boundary</x:v>
      </x:c>
    </x:row>
    <x:row r="110">
      <x:c r="B110" s="66" t="str">
        <x:v>A5</x:v>
      </x:c>
      <x:c r="C110" s="66" t="str">
        <x:v>I07</x:v>
      </x:c>
      <x:c r="D110" s="66" t="str">
        <x:v>50 C ambient</x:v>
      </x:c>
      <x:c r="E110" s="66" t="n">
        <x:v>0</x:v>
      </x:c>
      <x:c r="F110" s="66" t="n">
        <x:v>0</x:v>
      </x:c>
      <x:c r="G110" s="66" t="n">
        <x:v>0</x:v>
      </x:c>
      <x:c r="H110" s="66" t="n">
        <x:v>0</x:v>
      </x:c>
      <x:c r="I110" s="66" t="n">
        <x:v>0</x:v>
      </x:c>
      <x:c r="J110" s="80" t="n">
        <x:v>0.55</x:v>
      </x:c>
      <x:c r="K110" s="66" t="n">
        <x:v>0</x:v>
      </x:c>
      <x:c r="L110" s="66" t="n">
        <x:v>0</x:v>
      </x:c>
      <x:c r="M110" s="66" t="n">
        <x:v>0</x:v>
      </x:c>
      <x:c r="N110" s="66" t="n">
        <x:v>0</x:v>
      </x:c>
      <x:c r="O110" s="66" t="n">
        <x:v>0</x:v>
      </x:c>
      <x:c r="P110" s="66" t="n">
        <x:v>0</x:v>
      </x:c>
      <x:c r="Q110" s="66" t="n">
        <x:v>0</x:v>
      </x:c>
      <x:c r="R110" s="80" t="n">
        <x:v>0</x:v>
      </x:c>
      <x:c r="S110" s="66" t="n">
        <x:v>0</x:v>
      </x:c>
      <x:c r="T110" s="66" t="n">
        <x:v>0</x:v>
      </x:c>
      <x:c r="U110" s="66" t="n">
        <x:v>0</x:v>
      </x:c>
      <x:c r="V110" s="66" t="n">
        <x:v>0</x:v>
      </x:c>
      <x:c r="W110" s="66" t="n">
        <x:v>0</x:v>
      </x:c>
      <x:c r="X110" s="81" t="n">
        <x:f>MIN(1,IF(E110=1,'Island Architectures'!$G$12,'Island Architectures'!$D$12)*(1-F110/'Island Architectures'!$E$12)*(1-G110/'Island Architectures'!$F$12)*IF(H110&lt;'Island Architectures'!$H$12,1,0))</x:f>
        <x:v>1</x:v>
      </x:c>
      <x:c r="Y110" s="81" t="n">
        <x:f>MIN(1,'Island Architectures'!$I$12*(1-I110/'Island Architectures'!$J$12)*J110)</x:f>
        <x:v>0.9625000000000001</x:v>
      </x:c>
      <x:c r="Z110" s="81" t="n">
        <x:f>MIN(1,'Island Architectures'!$K$12*(1-K110/'Island Architectures'!$L$12))</x:f>
        <x:v>1</x:v>
      </x:c>
      <x:c r="AA110" s="81" t="n">
        <x:f>MIN(1,'Island Architectures'!$M$12*(1-L110/'Island Architectures'!$N$12))</x:f>
        <x:v>1</x:v>
      </x:c>
      <x:c r="AB110" s="81" t="n">
        <x:f>MIN(1,'Island Architectures'!$O$12*(1-M110/'Island Architectures'!$P$12))</x:f>
        <x:v>1</x:v>
      </x:c>
      <x:c r="AC110" s="81" t="n">
        <x:f>MIN(1,'Island Architectures'!$Q$12*(1-N110/'Island Architectures'!$R$12))</x:f>
        <x:v>1</x:v>
      </x:c>
      <x:c r="AD110" s="81" t="n">
        <x:f>MIN(1,'Island Architectures'!$Q$12*(1-O110/'Island Architectures'!$S$12))</x:f>
        <x:v>1</x:v>
      </x:c>
      <x:c r="AE110" s="81" t="n">
        <x:f>MIN(1,'Island Architectures'!$T$12*(1-P110/'Island Architectures'!$U$12))</x:f>
        <x:v>1</x:v>
      </x:c>
      <x:c r="AF110" s="81" t="n">
        <x:f>MIN(1,'Island Architectures'!$V$12*(1-Q110/'Island Architectures'!$W$12))</x:f>
        <x:v>1</x:v>
      </x:c>
      <x:c r="AG110" s="81" t="n">
        <x:f>MIN(1,'Island Architectures'!$X$12*(1-R110)*(1-S110/'Island Architectures'!$Y$12))</x:f>
        <x:v>1</x:v>
      </x:c>
      <x:c r="AH110" s="81" t="n">
        <x:f>IF(T110&lt;'Island Architectures'!$Z$12,1,0)</x:f>
        <x:v>1</x:v>
      </x:c>
      <x:c r="AI110" s="81" t="n">
        <x:f>MIN(1,'Island Architectures'!$AA$12*(1-U110/'Island Architectures'!$AB$12))</x:f>
        <x:v>1</x:v>
      </x:c>
      <x:c r="AJ110" s="81" t="n">
        <x:f>IF(V110=1,MIN(1,'Island Architectures'!$AD$12/Assumptions!$C$10),1)</x:f>
        <x:v>1</x:v>
      </x:c>
      <x:c r="AK110" s="81" t="n">
        <x:f>IF(W110=1,'Island Architectures'!$AC$12,1)</x:f>
        <x:v>1</x:v>
      </x:c>
      <x:c r="AL110" s="81" t="n">
        <x:f>MIN(X110:AK110)</x:f>
        <x:v>0.9625000000000001</x:v>
      </x:c>
      <x:c r="AM110" s="70" t="str">
        <x:f>IF(AL110&gt;=Assumptions!$C$9,"PASS","FAIL")</x:f>
        <x:v>PASS</x:v>
      </x:c>
      <x:c r="AN110" s="52" t="str">
        <x:v>dry rejection derates at the design extreme</x:v>
      </x:c>
    </x:row>
    <x:row r="111">
      <x:c r="B111" s="66" t="str">
        <x:v>A5</x:v>
      </x:c>
      <x:c r="C111" s="66" t="str">
        <x:v>I08</x:v>
      </x:c>
      <x:c r="D111" s="66" t="str">
        <x:v>Smoke and exchanger fouling</x:v>
      </x:c>
      <x:c r="E111" s="66" t="n">
        <x:v>0</x:v>
      </x:c>
      <x:c r="F111" s="66" t="n">
        <x:v>0</x:v>
      </x:c>
      <x:c r="G111" s="66" t="n">
        <x:v>0</x:v>
      </x:c>
      <x:c r="H111" s="66" t="n">
        <x:v>0</x:v>
      </x:c>
      <x:c r="I111" s="66" t="n">
        <x:v>0</x:v>
      </x:c>
      <x:c r="J111" s="80" t="n">
        <x:v>0.6</x:v>
      </x:c>
      <x:c r="K111" s="66" t="n">
        <x:v>0</x:v>
      </x:c>
      <x:c r="L111" s="66" t="n">
        <x:v>0</x:v>
      </x:c>
      <x:c r="M111" s="66" t="n">
        <x:v>0</x:v>
      </x:c>
      <x:c r="N111" s="66" t="n">
        <x:v>0</x:v>
      </x:c>
      <x:c r="O111" s="66" t="n">
        <x:v>0</x:v>
      </x:c>
      <x:c r="P111" s="66" t="n">
        <x:v>0</x:v>
      </x:c>
      <x:c r="Q111" s="66" t="n">
        <x:v>0</x:v>
      </x:c>
      <x:c r="R111" s="80" t="n">
        <x:v>0</x:v>
      </x:c>
      <x:c r="S111" s="66" t="n">
        <x:v>0</x:v>
      </x:c>
      <x:c r="T111" s="66" t="n">
        <x:v>0</x:v>
      </x:c>
      <x:c r="U111" s="66" t="n">
        <x:v>0</x:v>
      </x:c>
      <x:c r="V111" s="66" t="n">
        <x:v>0</x:v>
      </x:c>
      <x:c r="W111" s="66" t="n">
        <x:v>0</x:v>
      </x:c>
      <x:c r="X111" s="81" t="n">
        <x:f>MIN(1,IF(E111=1,'Island Architectures'!$G$12,'Island Architectures'!$D$12)*(1-F111/'Island Architectures'!$E$12)*(1-G111/'Island Architectures'!$F$12)*IF(H111&lt;'Island Architectures'!$H$12,1,0))</x:f>
        <x:v>1</x:v>
      </x:c>
      <x:c r="Y111" s="81" t="n">
        <x:f>MIN(1,'Island Architectures'!$I$12*(1-I111/'Island Architectures'!$J$12)*J111)</x:f>
        <x:v>1</x:v>
      </x:c>
      <x:c r="Z111" s="81" t="n">
        <x:f>MIN(1,'Island Architectures'!$K$12*(1-K111/'Island Architectures'!$L$12))</x:f>
        <x:v>1</x:v>
      </x:c>
      <x:c r="AA111" s="81" t="n">
        <x:f>MIN(1,'Island Architectures'!$M$12*(1-L111/'Island Architectures'!$N$12))</x:f>
        <x:v>1</x:v>
      </x:c>
      <x:c r="AB111" s="81" t="n">
        <x:f>MIN(1,'Island Architectures'!$O$12*(1-M111/'Island Architectures'!$P$12))</x:f>
        <x:v>1</x:v>
      </x:c>
      <x:c r="AC111" s="81" t="n">
        <x:f>MIN(1,'Island Architectures'!$Q$12*(1-N111/'Island Architectures'!$R$12))</x:f>
        <x:v>1</x:v>
      </x:c>
      <x:c r="AD111" s="81" t="n">
        <x:f>MIN(1,'Island Architectures'!$Q$12*(1-O111/'Island Architectures'!$S$12))</x:f>
        <x:v>1</x:v>
      </x:c>
      <x:c r="AE111" s="81" t="n">
        <x:f>MIN(1,'Island Architectures'!$T$12*(1-P111/'Island Architectures'!$U$12))</x:f>
        <x:v>1</x:v>
      </x:c>
      <x:c r="AF111" s="81" t="n">
        <x:f>MIN(1,'Island Architectures'!$V$12*(1-Q111/'Island Architectures'!$W$12))</x:f>
        <x:v>1</x:v>
      </x:c>
      <x:c r="AG111" s="81" t="n">
        <x:f>MIN(1,'Island Architectures'!$X$12*(1-R111)*(1-S111/'Island Architectures'!$Y$12))</x:f>
        <x:v>1</x:v>
      </x:c>
      <x:c r="AH111" s="81" t="n">
        <x:f>IF(T111&lt;'Island Architectures'!$Z$12,1,0)</x:f>
        <x:v>1</x:v>
      </x:c>
      <x:c r="AI111" s="81" t="n">
        <x:f>MIN(1,'Island Architectures'!$AA$12*(1-U111/'Island Architectures'!$AB$12))</x:f>
        <x:v>1</x:v>
      </x:c>
      <x:c r="AJ111" s="81" t="n">
        <x:f>IF(V111=1,MIN(1,'Island Architectures'!$AD$12/Assumptions!$C$10),1)</x:f>
        <x:v>1</x:v>
      </x:c>
      <x:c r="AK111" s="81" t="n">
        <x:f>IF(W111=1,'Island Architectures'!$AC$12,1)</x:f>
        <x:v>1</x:v>
      </x:c>
      <x:c r="AL111" s="81" t="n">
        <x:f>MIN(X111:AK111)</x:f>
        <x:v>1</x:v>
      </x:c>
      <x:c r="AM111" s="70" t="str">
        <x:f>IF(AL111&gt;=Assumptions!$C$9,"PASS","FAIL")</x:f>
        <x:v>PASS</x:v>
      </x:c>
      <x:c r="AN111" s="52" t="str">
        <x:v>air systems retain service under smoke</x:v>
      </x:c>
    </x:row>
    <x:row r="112">
      <x:c r="B112" s="66" t="str">
        <x:v>A5</x:v>
      </x:c>
      <x:c r="C112" s="66" t="str">
        <x:v>I09</x:v>
      </x:c>
      <x:c r="D112" s="66" t="str">
        <x:v>Largest water-source path lost</x:v>
      </x:c>
      <x:c r="E112" s="66" t="n">
        <x:v>0</x:v>
      </x:c>
      <x:c r="F112" s="66" t="n">
        <x:v>0</x:v>
      </x:c>
      <x:c r="G112" s="66" t="n">
        <x:v>0</x:v>
      </x:c>
      <x:c r="H112" s="66" t="n">
        <x:v>0</x:v>
      </x:c>
      <x:c r="I112" s="66" t="n">
        <x:v>0</x:v>
      </x:c>
      <x:c r="J112" s="80" t="n">
        <x:v>1</x:v>
      </x:c>
      <x:c r="K112" s="66" t="n">
        <x:v>1</x:v>
      </x:c>
      <x:c r="L112" s="66" t="n">
        <x:v>0</x:v>
      </x:c>
      <x:c r="M112" s="66" t="n">
        <x:v>0</x:v>
      </x:c>
      <x:c r="N112" s="66" t="n">
        <x:v>0</x:v>
      </x:c>
      <x:c r="O112" s="66" t="n">
        <x:v>0</x:v>
      </x:c>
      <x:c r="P112" s="66" t="n">
        <x:v>0</x:v>
      </x:c>
      <x:c r="Q112" s="66" t="n">
        <x:v>0</x:v>
      </x:c>
      <x:c r="R112" s="80" t="n">
        <x:v>0</x:v>
      </x:c>
      <x:c r="S112" s="66" t="n">
        <x:v>0</x:v>
      </x:c>
      <x:c r="T112" s="66" t="n">
        <x:v>0</x:v>
      </x:c>
      <x:c r="U112" s="66" t="n">
        <x:v>0</x:v>
      </x:c>
      <x:c r="V112" s="66" t="n">
        <x:v>0</x:v>
      </x:c>
      <x:c r="W112" s="66" t="n">
        <x:v>0</x:v>
      </x:c>
      <x:c r="X112" s="81" t="n">
        <x:f>MIN(1,IF(E112=1,'Island Architectures'!$G$12,'Island Architectures'!$D$12)*(1-F112/'Island Architectures'!$E$12)*(1-G112/'Island Architectures'!$F$12)*IF(H112&lt;'Island Architectures'!$H$12,1,0))</x:f>
        <x:v>1</x:v>
      </x:c>
      <x:c r="Y112" s="81" t="n">
        <x:f>MIN(1,'Island Architectures'!$I$12*(1-I112/'Island Architectures'!$J$12)*J112)</x:f>
        <x:v>1</x:v>
      </x:c>
      <x:c r="Z112" s="81" t="n">
        <x:f>MIN(1,'Island Architectures'!$K$12*(1-K112/'Island Architectures'!$L$12))</x:f>
        <x:v>0.9333333333333333</x:v>
      </x:c>
      <x:c r="AA112" s="81" t="n">
        <x:f>MIN(1,'Island Architectures'!$M$12*(1-L112/'Island Architectures'!$N$12))</x:f>
        <x:v>1</x:v>
      </x:c>
      <x:c r="AB112" s="81" t="n">
        <x:f>MIN(1,'Island Architectures'!$O$12*(1-M112/'Island Architectures'!$P$12))</x:f>
        <x:v>1</x:v>
      </x:c>
      <x:c r="AC112" s="81" t="n">
        <x:f>MIN(1,'Island Architectures'!$Q$12*(1-N112/'Island Architectures'!$R$12))</x:f>
        <x:v>1</x:v>
      </x:c>
      <x:c r="AD112" s="81" t="n">
        <x:f>MIN(1,'Island Architectures'!$Q$12*(1-O112/'Island Architectures'!$S$12))</x:f>
        <x:v>1</x:v>
      </x:c>
      <x:c r="AE112" s="81" t="n">
        <x:f>MIN(1,'Island Architectures'!$T$12*(1-P112/'Island Architectures'!$U$12))</x:f>
        <x:v>1</x:v>
      </x:c>
      <x:c r="AF112" s="81" t="n">
        <x:f>MIN(1,'Island Architectures'!$V$12*(1-Q112/'Island Architectures'!$W$12))</x:f>
        <x:v>1</x:v>
      </x:c>
      <x:c r="AG112" s="81" t="n">
        <x:f>MIN(1,'Island Architectures'!$X$12*(1-R112)*(1-S112/'Island Architectures'!$Y$12))</x:f>
        <x:v>1</x:v>
      </x:c>
      <x:c r="AH112" s="81" t="n">
        <x:f>IF(T112&lt;'Island Architectures'!$Z$12,1,0)</x:f>
        <x:v>1</x:v>
      </x:c>
      <x:c r="AI112" s="81" t="n">
        <x:f>MIN(1,'Island Architectures'!$AA$12*(1-U112/'Island Architectures'!$AB$12))</x:f>
        <x:v>1</x:v>
      </x:c>
      <x:c r="AJ112" s="81" t="n">
        <x:f>IF(V112=1,MIN(1,'Island Architectures'!$AD$12/Assumptions!$C$10),1)</x:f>
        <x:v>1</x:v>
      </x:c>
      <x:c r="AK112" s="81" t="n">
        <x:f>IF(W112=1,'Island Architectures'!$AC$12,1)</x:f>
        <x:v>1</x:v>
      </x:c>
      <x:c r="AL112" s="81" t="n">
        <x:f>MIN(X112:AK112)</x:f>
        <x:v>0.9333333333333333</x:v>
      </x:c>
      <x:c r="AM112" s="70" t="str">
        <x:f>IF(AL112&gt;=Assumptions!$C$9,"PASS","FAIL")</x:f>
        <x:v>PASS</x:v>
      </x:c>
      <x:c r="AN112" s="52" t="str">
        <x:v>clean storage does not replace sustained production</x:v>
      </x:c>
    </x:row>
    <x:row r="113">
      <x:c r="B113" s="66" t="str">
        <x:v>A5</x:v>
      </x:c>
      <x:c r="C113" s="66" t="str">
        <x:v>I10</x:v>
      </x:c>
      <x:c r="D113" s="66" t="str">
        <x:v>Largest wastewater path lost</x:v>
      </x:c>
      <x:c r="E113" s="66" t="n">
        <x:v>0</x:v>
      </x:c>
      <x:c r="F113" s="66" t="n">
        <x:v>0</x:v>
      </x:c>
      <x:c r="G113" s="66" t="n">
        <x:v>0</x:v>
      </x:c>
      <x:c r="H113" s="66" t="n">
        <x:v>0</x:v>
      </x:c>
      <x:c r="I113" s="66" t="n">
        <x:v>0</x:v>
      </x:c>
      <x:c r="J113" s="80" t="n">
        <x:v>1</x:v>
      </x:c>
      <x:c r="K113" s="66" t="n">
        <x:v>0</x:v>
      </x:c>
      <x:c r="L113" s="66" t="n">
        <x:v>1</x:v>
      </x:c>
      <x:c r="M113" s="66" t="n">
        <x:v>0</x:v>
      </x:c>
      <x:c r="N113" s="66" t="n">
        <x:v>0</x:v>
      </x:c>
      <x:c r="O113" s="66" t="n">
        <x:v>0</x:v>
      </x:c>
      <x:c r="P113" s="66" t="n">
        <x:v>0</x:v>
      </x:c>
      <x:c r="Q113" s="66" t="n">
        <x:v>0</x:v>
      </x:c>
      <x:c r="R113" s="80" t="n">
        <x:v>0</x:v>
      </x:c>
      <x:c r="S113" s="66" t="n">
        <x:v>0</x:v>
      </x:c>
      <x:c r="T113" s="66" t="n">
        <x:v>0</x:v>
      </x:c>
      <x:c r="U113" s="66" t="n">
        <x:v>0</x:v>
      </x:c>
      <x:c r="V113" s="66" t="n">
        <x:v>0</x:v>
      </x:c>
      <x:c r="W113" s="66" t="n">
        <x:v>0</x:v>
      </x:c>
      <x:c r="X113" s="81" t="n">
        <x:f>MIN(1,IF(E113=1,'Island Architectures'!$G$12,'Island Architectures'!$D$12)*(1-F113/'Island Architectures'!$E$12)*(1-G113/'Island Architectures'!$F$12)*IF(H113&lt;'Island Architectures'!$H$12,1,0))</x:f>
        <x:v>1</x:v>
      </x:c>
      <x:c r="Y113" s="81" t="n">
        <x:f>MIN(1,'Island Architectures'!$I$12*(1-I113/'Island Architectures'!$J$12)*J113)</x:f>
        <x:v>1</x:v>
      </x:c>
      <x:c r="Z113" s="81" t="n">
        <x:f>MIN(1,'Island Architectures'!$K$12*(1-K113/'Island Architectures'!$L$12))</x:f>
        <x:v>1</x:v>
      </x:c>
      <x:c r="AA113" s="81" t="n">
        <x:f>MIN(1,'Island Architectures'!$M$12*(1-L113/'Island Architectures'!$N$12))</x:f>
        <x:v>0.9333333333333333</x:v>
      </x:c>
      <x:c r="AB113" s="81" t="n">
        <x:f>MIN(1,'Island Architectures'!$O$12*(1-M113/'Island Architectures'!$P$12))</x:f>
        <x:v>1</x:v>
      </x:c>
      <x:c r="AC113" s="81" t="n">
        <x:f>MIN(1,'Island Architectures'!$Q$12*(1-N113/'Island Architectures'!$R$12))</x:f>
        <x:v>1</x:v>
      </x:c>
      <x:c r="AD113" s="81" t="n">
        <x:f>MIN(1,'Island Architectures'!$Q$12*(1-O113/'Island Architectures'!$S$12))</x:f>
        <x:v>1</x:v>
      </x:c>
      <x:c r="AE113" s="81" t="n">
        <x:f>MIN(1,'Island Architectures'!$T$12*(1-P113/'Island Architectures'!$U$12))</x:f>
        <x:v>1</x:v>
      </x:c>
      <x:c r="AF113" s="81" t="n">
        <x:f>MIN(1,'Island Architectures'!$V$12*(1-Q113/'Island Architectures'!$W$12))</x:f>
        <x:v>1</x:v>
      </x:c>
      <x:c r="AG113" s="81" t="n">
        <x:f>MIN(1,'Island Architectures'!$X$12*(1-R113)*(1-S113/'Island Architectures'!$Y$12))</x:f>
        <x:v>1</x:v>
      </x:c>
      <x:c r="AH113" s="81" t="n">
        <x:f>IF(T113&lt;'Island Architectures'!$Z$12,1,0)</x:f>
        <x:v>1</x:v>
      </x:c>
      <x:c r="AI113" s="81" t="n">
        <x:f>MIN(1,'Island Architectures'!$AA$12*(1-U113/'Island Architectures'!$AB$12))</x:f>
        <x:v>1</x:v>
      </x:c>
      <x:c r="AJ113" s="81" t="n">
        <x:f>IF(V113=1,MIN(1,'Island Architectures'!$AD$12/Assumptions!$C$10),1)</x:f>
        <x:v>1</x:v>
      </x:c>
      <x:c r="AK113" s="81" t="n">
        <x:f>IF(W113=1,'Island Architectures'!$AC$12,1)</x:f>
        <x:v>1</x:v>
      </x:c>
      <x:c r="AL113" s="81" t="n">
        <x:f>MIN(X113:AK113)</x:f>
        <x:v>0.9333333333333333</x:v>
      </x:c>
      <x:c r="AM113" s="70" t="str">
        <x:f>IF(AL113&gt;=Assumptions!$C$9,"PASS","FAIL")</x:f>
        <x:v>PASS</x:v>
      </x:c>
      <x:c r="AN113" s="52" t="str">
        <x:v>service cannot export untreated harm</x:v>
      </x:c>
    </x:row>
    <x:row r="114">
      <x:c r="B114" s="66" t="str">
        <x:v>A5</x:v>
      </x:c>
      <x:c r="C114" s="66" t="str">
        <x:v>I11</x:v>
      </x:c>
      <x:c r="D114" s="66" t="str">
        <x:v>One utility corridor lost</x:v>
      </x:c>
      <x:c r="E114" s="66" t="n">
        <x:v>0</x:v>
      </x:c>
      <x:c r="F114" s="66" t="n">
        <x:v>0</x:v>
      </x:c>
      <x:c r="G114" s="66" t="n">
        <x:v>0</x:v>
      </x:c>
      <x:c r="H114" s="66" t="n">
        <x:v>0</x:v>
      </x:c>
      <x:c r="I114" s="66" t="n">
        <x:v>0</x:v>
      </x:c>
      <x:c r="J114" s="80" t="n">
        <x:v>1</x:v>
      </x:c>
      <x:c r="K114" s="66" t="n">
        <x:v>0</x:v>
      </x:c>
      <x:c r="L114" s="66" t="n">
        <x:v>0</x:v>
      </x:c>
      <x:c r="M114" s="66" t="n">
        <x:v>1</x:v>
      </x:c>
      <x:c r="N114" s="66" t="n">
        <x:v>0</x:v>
      </x:c>
      <x:c r="O114" s="66" t="n">
        <x:v>0</x:v>
      </x:c>
      <x:c r="P114" s="66" t="n">
        <x:v>0</x:v>
      </x:c>
      <x:c r="Q114" s="66" t="n">
        <x:v>0</x:v>
      </x:c>
      <x:c r="R114" s="80" t="n">
        <x:v>0</x:v>
      </x:c>
      <x:c r="S114" s="66" t="n">
        <x:v>0</x:v>
      </x:c>
      <x:c r="T114" s="66" t="n">
        <x:v>0</x:v>
      </x:c>
      <x:c r="U114" s="66" t="n">
        <x:v>0</x:v>
      </x:c>
      <x:c r="V114" s="66" t="n">
        <x:v>0</x:v>
      </x:c>
      <x:c r="W114" s="66" t="n">
        <x:v>0</x:v>
      </x:c>
      <x:c r="X114" s="81" t="n">
        <x:f>MIN(1,IF(E114=1,'Island Architectures'!$G$12,'Island Architectures'!$D$12)*(1-F114/'Island Architectures'!$E$12)*(1-G114/'Island Architectures'!$F$12)*IF(H114&lt;'Island Architectures'!$H$12,1,0))</x:f>
        <x:v>1</x:v>
      </x:c>
      <x:c r="Y114" s="81" t="n">
        <x:f>MIN(1,'Island Architectures'!$I$12*(1-I114/'Island Architectures'!$J$12)*J114)</x:f>
        <x:v>1</x:v>
      </x:c>
      <x:c r="Z114" s="81" t="n">
        <x:f>MIN(1,'Island Architectures'!$K$12*(1-K114/'Island Architectures'!$L$12))</x:f>
        <x:v>1</x:v>
      </x:c>
      <x:c r="AA114" s="81" t="n">
        <x:f>MIN(1,'Island Architectures'!$M$12*(1-L114/'Island Architectures'!$N$12))</x:f>
        <x:v>1</x:v>
      </x:c>
      <x:c r="AB114" s="81" t="n">
        <x:f>MIN(1,'Island Architectures'!$O$12*(1-M114/'Island Architectures'!$P$12))</x:f>
        <x:v>0.9375</x:v>
      </x:c>
      <x:c r="AC114" s="81" t="n">
        <x:f>MIN(1,'Island Architectures'!$Q$12*(1-N114/'Island Architectures'!$R$12))</x:f>
        <x:v>1</x:v>
      </x:c>
      <x:c r="AD114" s="81" t="n">
        <x:f>MIN(1,'Island Architectures'!$Q$12*(1-O114/'Island Architectures'!$S$12))</x:f>
        <x:v>1</x:v>
      </x:c>
      <x:c r="AE114" s="81" t="n">
        <x:f>MIN(1,'Island Architectures'!$T$12*(1-P114/'Island Architectures'!$U$12))</x:f>
        <x:v>1</x:v>
      </x:c>
      <x:c r="AF114" s="81" t="n">
        <x:f>MIN(1,'Island Architectures'!$V$12*(1-Q114/'Island Architectures'!$W$12))</x:f>
        <x:v>1</x:v>
      </x:c>
      <x:c r="AG114" s="81" t="n">
        <x:f>MIN(1,'Island Architectures'!$X$12*(1-R114)*(1-S114/'Island Architectures'!$Y$12))</x:f>
        <x:v>1</x:v>
      </x:c>
      <x:c r="AH114" s="81" t="n">
        <x:f>IF(T114&lt;'Island Architectures'!$Z$12,1,0)</x:f>
        <x:v>1</x:v>
      </x:c>
      <x:c r="AI114" s="81" t="n">
        <x:f>MIN(1,'Island Architectures'!$AA$12*(1-U114/'Island Architectures'!$AB$12))</x:f>
        <x:v>1</x:v>
      </x:c>
      <x:c r="AJ114" s="81" t="n">
        <x:f>IF(V114=1,MIN(1,'Island Architectures'!$AD$12/Assumptions!$C$10),1)</x:f>
        <x:v>1</x:v>
      </x:c>
      <x:c r="AK114" s="81" t="n">
        <x:f>IF(W114=1,'Island Architectures'!$AC$12,1)</x:f>
        <x:v>1</x:v>
      </x:c>
      <x:c r="AL114" s="81" t="n">
        <x:f>MIN(X114:AK114)</x:f>
        <x:v>0.9375</x:v>
      </x:c>
      <x:c r="AM114" s="70" t="str">
        <x:f>IF(AL114&gt;=Assumptions!$C$9,"PASS","FAIL")</x:f>
        <x:v>PASS</x:v>
      </x:c>
      <x:c r="AN114" s="52" t="str">
        <x:v>loop count is tested as complete service</x:v>
      </x:c>
    </x:row>
    <x:row r="115">
      <x:c r="B115" s="66" t="str">
        <x:v>A5</x:v>
      </x:c>
      <x:c r="C115" s="66" t="str">
        <x:v>I12</x:v>
      </x:c>
      <x:c r="D115" s="66" t="str">
        <x:v>One service node lost</x:v>
      </x:c>
      <x:c r="E115" s="66" t="n">
        <x:v>0</x:v>
      </x:c>
      <x:c r="F115" s="66" t="n">
        <x:v>0</x:v>
      </x:c>
      <x:c r="G115" s="66" t="n">
        <x:v>0</x:v>
      </x:c>
      <x:c r="H115" s="66" t="n">
        <x:v>0</x:v>
      </x:c>
      <x:c r="I115" s="66" t="n">
        <x:v>0</x:v>
      </x:c>
      <x:c r="J115" s="80" t="n">
        <x:v>1</x:v>
      </x:c>
      <x:c r="K115" s="66" t="n">
        <x:v>0</x:v>
      </x:c>
      <x:c r="L115" s="66" t="n">
        <x:v>0</x:v>
      </x:c>
      <x:c r="M115" s="66" t="n">
        <x:v>0</x:v>
      </x:c>
      <x:c r="N115" s="66" t="n">
        <x:v>1</x:v>
      </x:c>
      <x:c r="O115" s="66" t="n">
        <x:v>0</x:v>
      </x:c>
      <x:c r="P115" s="66" t="n">
        <x:v>0</x:v>
      </x:c>
      <x:c r="Q115" s="66" t="n">
        <x:v>0</x:v>
      </x:c>
      <x:c r="R115" s="80" t="n">
        <x:v>0</x:v>
      </x:c>
      <x:c r="S115" s="66" t="n">
        <x:v>0</x:v>
      </x:c>
      <x:c r="T115" s="66" t="n">
        <x:v>0</x:v>
      </x:c>
      <x:c r="U115" s="66" t="n">
        <x:v>0</x:v>
      </x:c>
      <x:c r="V115" s="66" t="n">
        <x:v>0</x:v>
      </x:c>
      <x:c r="W115" s="66" t="n">
        <x:v>0</x:v>
      </x:c>
      <x:c r="X115" s="81" t="n">
        <x:f>MIN(1,IF(E115=1,'Island Architectures'!$G$12,'Island Architectures'!$D$12)*(1-F115/'Island Architectures'!$E$12)*(1-G115/'Island Architectures'!$F$12)*IF(H115&lt;'Island Architectures'!$H$12,1,0))</x:f>
        <x:v>1</x:v>
      </x:c>
      <x:c r="Y115" s="81" t="n">
        <x:f>MIN(1,'Island Architectures'!$I$12*(1-I115/'Island Architectures'!$J$12)*J115)</x:f>
        <x:v>1</x:v>
      </x:c>
      <x:c r="Z115" s="81" t="n">
        <x:f>MIN(1,'Island Architectures'!$K$12*(1-K115/'Island Architectures'!$L$12))</x:f>
        <x:v>1</x:v>
      </x:c>
      <x:c r="AA115" s="81" t="n">
        <x:f>MIN(1,'Island Architectures'!$M$12*(1-L115/'Island Architectures'!$N$12))</x:f>
        <x:v>1</x:v>
      </x:c>
      <x:c r="AB115" s="81" t="n">
        <x:f>MIN(1,'Island Architectures'!$O$12*(1-M115/'Island Architectures'!$P$12))</x:f>
        <x:v>1</x:v>
      </x:c>
      <x:c r="AC115" s="81" t="n">
        <x:f>MIN(1,'Island Architectures'!$Q$12*(1-N115/'Island Architectures'!$R$12))</x:f>
        <x:v>0.9</x:v>
      </x:c>
      <x:c r="AD115" s="81" t="n">
        <x:f>MIN(1,'Island Architectures'!$Q$12*(1-O115/'Island Architectures'!$S$12))</x:f>
        <x:v>1</x:v>
      </x:c>
      <x:c r="AE115" s="81" t="n">
        <x:f>MIN(1,'Island Architectures'!$T$12*(1-P115/'Island Architectures'!$U$12))</x:f>
        <x:v>1</x:v>
      </x:c>
      <x:c r="AF115" s="81" t="n">
        <x:f>MIN(1,'Island Architectures'!$V$12*(1-Q115/'Island Architectures'!$W$12))</x:f>
        <x:v>1</x:v>
      </x:c>
      <x:c r="AG115" s="81" t="n">
        <x:f>MIN(1,'Island Architectures'!$X$12*(1-R115)*(1-S115/'Island Architectures'!$Y$12))</x:f>
        <x:v>1</x:v>
      </x:c>
      <x:c r="AH115" s="81" t="n">
        <x:f>IF(T115&lt;'Island Architectures'!$Z$12,1,0)</x:f>
        <x:v>1</x:v>
      </x:c>
      <x:c r="AI115" s="81" t="n">
        <x:f>MIN(1,'Island Architectures'!$AA$12*(1-U115/'Island Architectures'!$AB$12))</x:f>
        <x:v>1</x:v>
      </x:c>
      <x:c r="AJ115" s="81" t="n">
        <x:f>IF(V115=1,MIN(1,'Island Architectures'!$AD$12/Assumptions!$C$10),1)</x:f>
        <x:v>1</x:v>
      </x:c>
      <x:c r="AK115" s="81" t="n">
        <x:f>IF(W115=1,'Island Architectures'!$AC$12,1)</x:f>
        <x:v>1</x:v>
      </x:c>
      <x:c r="AL115" s="81" t="n">
        <x:f>MIN(X115:AK115)</x:f>
        <x:v>0.9</x:v>
      </x:c>
      <x:c r="AM115" s="70" t="str">
        <x:f>IF(AL115&gt;=Assumptions!$C$9,"PASS","FAIL")</x:f>
        <x:v>PASS</x:v>
      </x:c>
      <x:c r="AN115" s="52" t="str">
        <x:v>one-tenth of occupied interface removed</x:v>
      </x:c>
    </x:row>
    <x:row r="116">
      <x:c r="B116" s="66" t="str">
        <x:v>A5</x:v>
      </x:c>
      <x:c r="C116" s="66" t="str">
        <x:v>I13</x:v>
      </x:c>
      <x:c r="D116" s="66" t="str">
        <x:v>Two adjacent service nodes lost</x:v>
      </x:c>
      <x:c r="E116" s="66" t="n">
        <x:v>0</x:v>
      </x:c>
      <x:c r="F116" s="66" t="n">
        <x:v>0</x:v>
      </x:c>
      <x:c r="G116" s="66" t="n">
        <x:v>0</x:v>
      </x:c>
      <x:c r="H116" s="66" t="n">
        <x:v>0</x:v>
      </x:c>
      <x:c r="I116" s="66" t="n">
        <x:v>0</x:v>
      </x:c>
      <x:c r="J116" s="80" t="n">
        <x:v>1</x:v>
      </x:c>
      <x:c r="K116" s="66" t="n">
        <x:v>0</x:v>
      </x:c>
      <x:c r="L116" s="66" t="n">
        <x:v>0</x:v>
      </x:c>
      <x:c r="M116" s="66" t="n">
        <x:v>0</x:v>
      </x:c>
      <x:c r="N116" s="66" t="n">
        <x:v>2</x:v>
      </x:c>
      <x:c r="O116" s="66" t="n">
        <x:v>0</x:v>
      </x:c>
      <x:c r="P116" s="66" t="n">
        <x:v>0</x:v>
      </x:c>
      <x:c r="Q116" s="66" t="n">
        <x:v>0</x:v>
      </x:c>
      <x:c r="R116" s="80" t="n">
        <x:v>0</x:v>
      </x:c>
      <x:c r="S116" s="66" t="n">
        <x:v>0</x:v>
      </x:c>
      <x:c r="T116" s="66" t="n">
        <x:v>0</x:v>
      </x:c>
      <x:c r="U116" s="66" t="n">
        <x:v>0</x:v>
      </x:c>
      <x:c r="V116" s="66" t="n">
        <x:v>0</x:v>
      </x:c>
      <x:c r="W116" s="66" t="n">
        <x:v>0</x:v>
      </x:c>
      <x:c r="X116" s="81" t="n">
        <x:f>MIN(1,IF(E116=1,'Island Architectures'!$G$12,'Island Architectures'!$D$12)*(1-F116/'Island Architectures'!$E$12)*(1-G116/'Island Architectures'!$F$12)*IF(H116&lt;'Island Architectures'!$H$12,1,0))</x:f>
        <x:v>1</x:v>
      </x:c>
      <x:c r="Y116" s="81" t="n">
        <x:f>MIN(1,'Island Architectures'!$I$12*(1-I116/'Island Architectures'!$J$12)*J116)</x:f>
        <x:v>1</x:v>
      </x:c>
      <x:c r="Z116" s="81" t="n">
        <x:f>MIN(1,'Island Architectures'!$K$12*(1-K116/'Island Architectures'!$L$12))</x:f>
        <x:v>1</x:v>
      </x:c>
      <x:c r="AA116" s="81" t="n">
        <x:f>MIN(1,'Island Architectures'!$M$12*(1-L116/'Island Architectures'!$N$12))</x:f>
        <x:v>1</x:v>
      </x:c>
      <x:c r="AB116" s="81" t="n">
        <x:f>MIN(1,'Island Architectures'!$O$12*(1-M116/'Island Architectures'!$P$12))</x:f>
        <x:v>1</x:v>
      </x:c>
      <x:c r="AC116" s="81" t="n">
        <x:f>MIN(1,'Island Architectures'!$Q$12*(1-N116/'Island Architectures'!$R$12))</x:f>
        <x:v>0.8</x:v>
      </x:c>
      <x:c r="AD116" s="81" t="n">
        <x:f>MIN(1,'Island Architectures'!$Q$12*(1-O116/'Island Architectures'!$S$12))</x:f>
        <x:v>1</x:v>
      </x:c>
      <x:c r="AE116" s="81" t="n">
        <x:f>MIN(1,'Island Architectures'!$T$12*(1-P116/'Island Architectures'!$U$12))</x:f>
        <x:v>1</x:v>
      </x:c>
      <x:c r="AF116" s="81" t="n">
        <x:f>MIN(1,'Island Architectures'!$V$12*(1-Q116/'Island Architectures'!$W$12))</x:f>
        <x:v>1</x:v>
      </x:c>
      <x:c r="AG116" s="81" t="n">
        <x:f>MIN(1,'Island Architectures'!$X$12*(1-R116)*(1-S116/'Island Architectures'!$Y$12))</x:f>
        <x:v>1</x:v>
      </x:c>
      <x:c r="AH116" s="81" t="n">
        <x:f>IF(T116&lt;'Island Architectures'!$Z$12,1,0)</x:f>
        <x:v>1</x:v>
      </x:c>
      <x:c r="AI116" s="81" t="n">
        <x:f>MIN(1,'Island Architectures'!$AA$12*(1-U116/'Island Architectures'!$AB$12))</x:f>
        <x:v>1</x:v>
      </x:c>
      <x:c r="AJ116" s="81" t="n">
        <x:f>IF(V116=1,MIN(1,'Island Architectures'!$AD$12/Assumptions!$C$10),1)</x:f>
        <x:v>1</x:v>
      </x:c>
      <x:c r="AK116" s="81" t="n">
        <x:f>IF(W116=1,'Island Architectures'!$AC$12,1)</x:f>
        <x:v>1</x:v>
      </x:c>
      <x:c r="AL116" s="81" t="n">
        <x:f>MIN(X116:AK116)</x:f>
        <x:v>0.8</x:v>
      </x:c>
      <x:c r="AM116" s="70" t="str">
        <x:f>IF(AL116&gt;=Assumptions!$C$9,"PASS","FAIL")</x:f>
        <x:v>FAIL</x:v>
      </x:c>
      <x:c r="AN116" s="52" t="str">
        <x:v>tests spare node capacity and cross-feed</x:v>
      </x:c>
    </x:row>
    <x:row r="117">
      <x:c r="B117" s="66" t="str">
        <x:v>A5</x:v>
      </x:c>
      <x:c r="C117" s="66" t="str">
        <x:v>I14</x:v>
      </x:c>
      <x:c r="D117" s="66" t="str">
        <x:v>One complete hazard zone lost</x:v>
      </x:c>
      <x:c r="E117" s="66" t="n">
        <x:v>0</x:v>
      </x:c>
      <x:c r="F117" s="66" t="n">
        <x:v>0</x:v>
      </x:c>
      <x:c r="G117" s="66" t="n">
        <x:v>0</x:v>
      </x:c>
      <x:c r="H117" s="66" t="n">
        <x:v>0</x:v>
      </x:c>
      <x:c r="I117" s="66" t="n">
        <x:v>0</x:v>
      </x:c>
      <x:c r="J117" s="80" t="n">
        <x:v>1</x:v>
      </x:c>
      <x:c r="K117" s="66" t="n">
        <x:v>0</x:v>
      </x:c>
      <x:c r="L117" s="66" t="n">
        <x:v>0</x:v>
      </x:c>
      <x:c r="M117" s="66" t="n">
        <x:v>0</x:v>
      </x:c>
      <x:c r="N117" s="66" t="n">
        <x:v>0</x:v>
      </x:c>
      <x:c r="O117" s="66" t="n">
        <x:v>1</x:v>
      </x:c>
      <x:c r="P117" s="66" t="n">
        <x:v>0</x:v>
      </x:c>
      <x:c r="Q117" s="66" t="n">
        <x:v>0</x:v>
      </x:c>
      <x:c r="R117" s="80" t="n">
        <x:v>0</x:v>
      </x:c>
      <x:c r="S117" s="66" t="n">
        <x:v>0</x:v>
      </x:c>
      <x:c r="T117" s="66" t="n">
        <x:v>0</x:v>
      </x:c>
      <x:c r="U117" s="66" t="n">
        <x:v>0</x:v>
      </x:c>
      <x:c r="V117" s="66" t="n">
        <x:v>0</x:v>
      </x:c>
      <x:c r="W117" s="66" t="n">
        <x:v>0</x:v>
      </x:c>
      <x:c r="X117" s="81" t="n">
        <x:f>MIN(1,IF(E117=1,'Island Architectures'!$G$12,'Island Architectures'!$D$12)*(1-F117/'Island Architectures'!$E$12)*(1-G117/'Island Architectures'!$F$12)*IF(H117&lt;'Island Architectures'!$H$12,1,0))</x:f>
        <x:v>1</x:v>
      </x:c>
      <x:c r="Y117" s="81" t="n">
        <x:f>MIN(1,'Island Architectures'!$I$12*(1-I117/'Island Architectures'!$J$12)*J117)</x:f>
        <x:v>1</x:v>
      </x:c>
      <x:c r="Z117" s="81" t="n">
        <x:f>MIN(1,'Island Architectures'!$K$12*(1-K117/'Island Architectures'!$L$12))</x:f>
        <x:v>1</x:v>
      </x:c>
      <x:c r="AA117" s="81" t="n">
        <x:f>MIN(1,'Island Architectures'!$M$12*(1-L117/'Island Architectures'!$N$12))</x:f>
        <x:v>1</x:v>
      </x:c>
      <x:c r="AB117" s="81" t="n">
        <x:f>MIN(1,'Island Architectures'!$O$12*(1-M117/'Island Architectures'!$P$12))</x:f>
        <x:v>1</x:v>
      </x:c>
      <x:c r="AC117" s="81" t="n">
        <x:f>MIN(1,'Island Architectures'!$Q$12*(1-N117/'Island Architectures'!$R$12))</x:f>
        <x:v>1</x:v>
      </x:c>
      <x:c r="AD117" s="81" t="n">
        <x:f>MIN(1,'Island Architectures'!$Q$12*(1-O117/'Island Architectures'!$S$12))</x:f>
        <x:v>0.9</x:v>
      </x:c>
      <x:c r="AE117" s="81" t="n">
        <x:f>MIN(1,'Island Architectures'!$T$12*(1-P117/'Island Architectures'!$U$12))</x:f>
        <x:v>1</x:v>
      </x:c>
      <x:c r="AF117" s="81" t="n">
        <x:f>MIN(1,'Island Architectures'!$V$12*(1-Q117/'Island Architectures'!$W$12))</x:f>
        <x:v>1</x:v>
      </x:c>
      <x:c r="AG117" s="81" t="n">
        <x:f>MIN(1,'Island Architectures'!$X$12*(1-R117)*(1-S117/'Island Architectures'!$Y$12))</x:f>
        <x:v>1</x:v>
      </x:c>
      <x:c r="AH117" s="81" t="n">
        <x:f>IF(T117&lt;'Island Architectures'!$Z$12,1,0)</x:f>
        <x:v>1</x:v>
      </x:c>
      <x:c r="AI117" s="81" t="n">
        <x:f>MIN(1,'Island Architectures'!$AA$12*(1-U117/'Island Architectures'!$AB$12))</x:f>
        <x:v>1</x:v>
      </x:c>
      <x:c r="AJ117" s="81" t="n">
        <x:f>IF(V117=1,MIN(1,'Island Architectures'!$AD$12/Assumptions!$C$10),1)</x:f>
        <x:v>1</x:v>
      </x:c>
      <x:c r="AK117" s="81" t="n">
        <x:f>IF(W117=1,'Island Architectures'!$AC$12,1)</x:f>
        <x:v>1</x:v>
      </x:c>
      <x:c r="AL117" s="81" t="n">
        <x:f>MIN(X117:AK117)</x:f>
        <x:v>0.9</x:v>
      </x:c>
      <x:c r="AM117" s="70" t="str">
        <x:f>IF(AL117&gt;=Assumptions!$C$9,"PASS","FAIL")</x:f>
        <x:v>PASS</x:v>
      </x:c>
      <x:c r="AN117" s="52" t="str">
        <x:v>fire, flood, wind or structural isolation</x:v>
      </x:c>
    </x:row>
    <x:row r="118">
      <x:c r="B118" s="66" t="str">
        <x:v>A5</x:v>
      </x:c>
      <x:c r="C118" s="66" t="str">
        <x:v>I15</x:v>
      </x:c>
      <x:c r="D118" s="66" t="str">
        <x:v>Flood severs one corridor and zone</x:v>
      </x:c>
      <x:c r="E118" s="66" t="n">
        <x:v>0</x:v>
      </x:c>
      <x:c r="F118" s="66" t="n">
        <x:v>0</x:v>
      </x:c>
      <x:c r="G118" s="66" t="n">
        <x:v>0</x:v>
      </x:c>
      <x:c r="H118" s="66" t="n">
        <x:v>0</x:v>
      </x:c>
      <x:c r="I118" s="66" t="n">
        <x:v>0</x:v>
      </x:c>
      <x:c r="J118" s="80" t="n">
        <x:v>1</x:v>
      </x:c>
      <x:c r="K118" s="66" t="n">
        <x:v>0</x:v>
      </x:c>
      <x:c r="L118" s="66" t="n">
        <x:v>0</x:v>
      </x:c>
      <x:c r="M118" s="66" t="n">
        <x:v>1</x:v>
      </x:c>
      <x:c r="N118" s="66" t="n">
        <x:v>0</x:v>
      </x:c>
      <x:c r="O118" s="66" t="n">
        <x:v>1</x:v>
      </x:c>
      <x:c r="P118" s="66" t="n">
        <x:v>0</x:v>
      </x:c>
      <x:c r="Q118" s="66" t="n">
        <x:v>0</x:v>
      </x:c>
      <x:c r="R118" s="80" t="n">
        <x:v>0</x:v>
      </x:c>
      <x:c r="S118" s="66" t="n">
        <x:v>0</x:v>
      </x:c>
      <x:c r="T118" s="66" t="n">
        <x:v>0</x:v>
      </x:c>
      <x:c r="U118" s="66" t="n">
        <x:v>0</x:v>
      </x:c>
      <x:c r="V118" s="66" t="n">
        <x:v>0</x:v>
      </x:c>
      <x:c r="W118" s="66" t="n">
        <x:v>0</x:v>
      </x:c>
      <x:c r="X118" s="81" t="n">
        <x:f>MIN(1,IF(E118=1,'Island Architectures'!$G$12,'Island Architectures'!$D$12)*(1-F118/'Island Architectures'!$E$12)*(1-G118/'Island Architectures'!$F$12)*IF(H118&lt;'Island Architectures'!$H$12,1,0))</x:f>
        <x:v>1</x:v>
      </x:c>
      <x:c r="Y118" s="81" t="n">
        <x:f>MIN(1,'Island Architectures'!$I$12*(1-I118/'Island Architectures'!$J$12)*J118)</x:f>
        <x:v>1</x:v>
      </x:c>
      <x:c r="Z118" s="81" t="n">
        <x:f>MIN(1,'Island Architectures'!$K$12*(1-K118/'Island Architectures'!$L$12))</x:f>
        <x:v>1</x:v>
      </x:c>
      <x:c r="AA118" s="81" t="n">
        <x:f>MIN(1,'Island Architectures'!$M$12*(1-L118/'Island Architectures'!$N$12))</x:f>
        <x:v>1</x:v>
      </x:c>
      <x:c r="AB118" s="81" t="n">
        <x:f>MIN(1,'Island Architectures'!$O$12*(1-M118/'Island Architectures'!$P$12))</x:f>
        <x:v>0.9375</x:v>
      </x:c>
      <x:c r="AC118" s="81" t="n">
        <x:f>MIN(1,'Island Architectures'!$Q$12*(1-N118/'Island Architectures'!$R$12))</x:f>
        <x:v>1</x:v>
      </x:c>
      <x:c r="AD118" s="81" t="n">
        <x:f>MIN(1,'Island Architectures'!$Q$12*(1-O118/'Island Architectures'!$S$12))</x:f>
        <x:v>0.9</x:v>
      </x:c>
      <x:c r="AE118" s="81" t="n">
        <x:f>MIN(1,'Island Architectures'!$T$12*(1-P118/'Island Architectures'!$U$12))</x:f>
        <x:v>1</x:v>
      </x:c>
      <x:c r="AF118" s="81" t="n">
        <x:f>MIN(1,'Island Architectures'!$V$12*(1-Q118/'Island Architectures'!$W$12))</x:f>
        <x:v>1</x:v>
      </x:c>
      <x:c r="AG118" s="81" t="n">
        <x:f>MIN(1,'Island Architectures'!$X$12*(1-R118)*(1-S118/'Island Architectures'!$Y$12))</x:f>
        <x:v>1</x:v>
      </x:c>
      <x:c r="AH118" s="81" t="n">
        <x:f>IF(T118&lt;'Island Architectures'!$Z$12,1,0)</x:f>
        <x:v>1</x:v>
      </x:c>
      <x:c r="AI118" s="81" t="n">
        <x:f>MIN(1,'Island Architectures'!$AA$12*(1-U118/'Island Architectures'!$AB$12))</x:f>
        <x:v>1</x:v>
      </x:c>
      <x:c r="AJ118" s="81" t="n">
        <x:f>IF(V118=1,MIN(1,'Island Architectures'!$AD$12/Assumptions!$C$10),1)</x:f>
        <x:v>1</x:v>
      </x:c>
      <x:c r="AK118" s="81" t="n">
        <x:f>IF(W118=1,'Island Architectures'!$AC$12,1)</x:f>
        <x:v>1</x:v>
      </x:c>
      <x:c r="AL118" s="81" t="n">
        <x:f>MIN(X118:AK118)</x:f>
        <x:v>0.9</x:v>
      </x:c>
      <x:c r="AM118" s="70" t="str">
        <x:f>IF(AL118&gt;=Assumptions!$C$9,"PASS","FAIL")</x:f>
        <x:v>PASS</x:v>
      </x:c>
      <x:c r="AN118" s="52" t="str">
        <x:v>coupled local physical loss</x:v>
      </x:c>
    </x:row>
    <x:row r="119">
      <x:c r="B119" s="66" t="str">
        <x:v>A5</x:v>
      </x:c>
      <x:c r="C119" s="66" t="str">
        <x:v>I16</x:v>
      </x:c>
      <x:c r="D119" s="66" t="str">
        <x:v>One control partition lost</x:v>
      </x:c>
      <x:c r="E119" s="66" t="n">
        <x:v>0</x:v>
      </x:c>
      <x:c r="F119" s="66" t="n">
        <x:v>0</x:v>
      </x:c>
      <x:c r="G119" s="66" t="n">
        <x:v>0</x:v>
      </x:c>
      <x:c r="H119" s="66" t="n">
        <x:v>0</x:v>
      </x:c>
      <x:c r="I119" s="66" t="n">
        <x:v>0</x:v>
      </x:c>
      <x:c r="J119" s="80" t="n">
        <x:v>1</x:v>
      </x:c>
      <x:c r="K119" s="66" t="n">
        <x:v>0</x:v>
      </x:c>
      <x:c r="L119" s="66" t="n">
        <x:v>0</x:v>
      </x:c>
      <x:c r="M119" s="66" t="n">
        <x:v>0</x:v>
      </x:c>
      <x:c r="N119" s="66" t="n">
        <x:v>0</x:v>
      </x:c>
      <x:c r="O119" s="66" t="n">
        <x:v>0</x:v>
      </x:c>
      <x:c r="P119" s="66" t="n">
        <x:v>1</x:v>
      </x:c>
      <x:c r="Q119" s="66" t="n">
        <x:v>0</x:v>
      </x:c>
      <x:c r="R119" s="80" t="n">
        <x:v>0</x:v>
      </x:c>
      <x:c r="S119" s="66" t="n">
        <x:v>0</x:v>
      </x:c>
      <x:c r="T119" s="66" t="n">
        <x:v>0</x:v>
      </x:c>
      <x:c r="U119" s="66" t="n">
        <x:v>0</x:v>
      </x:c>
      <x:c r="V119" s="66" t="n">
        <x:v>0</x:v>
      </x:c>
      <x:c r="W119" s="66" t="n">
        <x:v>0</x:v>
      </x:c>
      <x:c r="X119" s="81" t="n">
        <x:f>MIN(1,IF(E119=1,'Island Architectures'!$G$12,'Island Architectures'!$D$12)*(1-F119/'Island Architectures'!$E$12)*(1-G119/'Island Architectures'!$F$12)*IF(H119&lt;'Island Architectures'!$H$12,1,0))</x:f>
        <x:v>1</x:v>
      </x:c>
      <x:c r="Y119" s="81" t="n">
        <x:f>MIN(1,'Island Architectures'!$I$12*(1-I119/'Island Architectures'!$J$12)*J119)</x:f>
        <x:v>1</x:v>
      </x:c>
      <x:c r="Z119" s="81" t="n">
        <x:f>MIN(1,'Island Architectures'!$K$12*(1-K119/'Island Architectures'!$L$12))</x:f>
        <x:v>1</x:v>
      </x:c>
      <x:c r="AA119" s="81" t="n">
        <x:f>MIN(1,'Island Architectures'!$M$12*(1-L119/'Island Architectures'!$N$12))</x:f>
        <x:v>1</x:v>
      </x:c>
      <x:c r="AB119" s="81" t="n">
        <x:f>MIN(1,'Island Architectures'!$O$12*(1-M119/'Island Architectures'!$P$12))</x:f>
        <x:v>1</x:v>
      </x:c>
      <x:c r="AC119" s="81" t="n">
        <x:f>MIN(1,'Island Architectures'!$Q$12*(1-N119/'Island Architectures'!$R$12))</x:f>
        <x:v>1</x:v>
      </x:c>
      <x:c r="AD119" s="81" t="n">
        <x:f>MIN(1,'Island Architectures'!$Q$12*(1-O119/'Island Architectures'!$S$12))</x:f>
        <x:v>1</x:v>
      </x:c>
      <x:c r="AE119" s="81" t="n">
        <x:f>MIN(1,'Island Architectures'!$T$12*(1-P119/'Island Architectures'!$U$12))</x:f>
        <x:v>0.96</x:v>
      </x:c>
      <x:c r="AF119" s="81" t="n">
        <x:f>MIN(1,'Island Architectures'!$V$12*(1-Q119/'Island Architectures'!$W$12))</x:f>
        <x:v>1</x:v>
      </x:c>
      <x:c r="AG119" s="81" t="n">
        <x:f>MIN(1,'Island Architectures'!$X$12*(1-R119)*(1-S119/'Island Architectures'!$Y$12))</x:f>
        <x:v>1</x:v>
      </x:c>
      <x:c r="AH119" s="81" t="n">
        <x:f>IF(T119&lt;'Island Architectures'!$Z$12,1,0)</x:f>
        <x:v>1</x:v>
      </x:c>
      <x:c r="AI119" s="81" t="n">
        <x:f>MIN(1,'Island Architectures'!$AA$12*(1-U119/'Island Architectures'!$AB$12))</x:f>
        <x:v>1</x:v>
      </x:c>
      <x:c r="AJ119" s="81" t="n">
        <x:f>IF(V119=1,MIN(1,'Island Architectures'!$AD$12/Assumptions!$C$10),1)</x:f>
        <x:v>1</x:v>
      </x:c>
      <x:c r="AK119" s="81" t="n">
        <x:f>IF(W119=1,'Island Architectures'!$AC$12,1)</x:f>
        <x:v>1</x:v>
      </x:c>
      <x:c r="AL119" s="81" t="n">
        <x:f>MIN(X119:AK119)</x:f>
        <x:v>0.96</x:v>
      </x:c>
      <x:c r="AM119" s="70" t="str">
        <x:f>IF(AL119&gt;=Assumptions!$C$9,"PASS","FAIL")</x:f>
        <x:v>PASS</x:v>
      </x:c>
      <x:c r="AN119" s="52" t="str">
        <x:v>protection remains safe without cloud control</x:v>
      </x:c>
    </x:row>
    <x:row r="120">
      <x:c r="B120" s="66" t="str">
        <x:v>A5</x:v>
      </x:c>
      <x:c r="C120" s="66" t="str">
        <x:v>I17</x:v>
      </x:c>
      <x:c r="D120" s="66" t="str">
        <x:v>One communications path lost</x:v>
      </x:c>
      <x:c r="E120" s="66" t="n">
        <x:v>0</x:v>
      </x:c>
      <x:c r="F120" s="66" t="n">
        <x:v>0</x:v>
      </x:c>
      <x:c r="G120" s="66" t="n">
        <x:v>0</x:v>
      </x:c>
      <x:c r="H120" s="66" t="n">
        <x:v>0</x:v>
      </x:c>
      <x:c r="I120" s="66" t="n">
        <x:v>0</x:v>
      </x:c>
      <x:c r="J120" s="80" t="n">
        <x:v>1</x:v>
      </x:c>
      <x:c r="K120" s="66" t="n">
        <x:v>0</x:v>
      </x:c>
      <x:c r="L120" s="66" t="n">
        <x:v>0</x:v>
      </x:c>
      <x:c r="M120" s="66" t="n">
        <x:v>0</x:v>
      </x:c>
      <x:c r="N120" s="66" t="n">
        <x:v>0</x:v>
      </x:c>
      <x:c r="O120" s="66" t="n">
        <x:v>0</x:v>
      </x:c>
      <x:c r="P120" s="66" t="n">
        <x:v>0</x:v>
      </x:c>
      <x:c r="Q120" s="66" t="n">
        <x:v>1</x:v>
      </x:c>
      <x:c r="R120" s="80" t="n">
        <x:v>0</x:v>
      </x:c>
      <x:c r="S120" s="66" t="n">
        <x:v>0</x:v>
      </x:c>
      <x:c r="T120" s="66" t="n">
        <x:v>0</x:v>
      </x:c>
      <x:c r="U120" s="66" t="n">
        <x:v>0</x:v>
      </x:c>
      <x:c r="V120" s="66" t="n">
        <x:v>0</x:v>
      </x:c>
      <x:c r="W120" s="66" t="n">
        <x:v>0</x:v>
      </x:c>
      <x:c r="X120" s="81" t="n">
        <x:f>MIN(1,IF(E120=1,'Island Architectures'!$G$12,'Island Architectures'!$D$12)*(1-F120/'Island Architectures'!$E$12)*(1-G120/'Island Architectures'!$F$12)*IF(H120&lt;'Island Architectures'!$H$12,1,0))</x:f>
        <x:v>1</x:v>
      </x:c>
      <x:c r="Y120" s="81" t="n">
        <x:f>MIN(1,'Island Architectures'!$I$12*(1-I120/'Island Architectures'!$J$12)*J120)</x:f>
        <x:v>1</x:v>
      </x:c>
      <x:c r="Z120" s="81" t="n">
        <x:f>MIN(1,'Island Architectures'!$K$12*(1-K120/'Island Architectures'!$L$12))</x:f>
        <x:v>1</x:v>
      </x:c>
      <x:c r="AA120" s="81" t="n">
        <x:f>MIN(1,'Island Architectures'!$M$12*(1-L120/'Island Architectures'!$N$12))</x:f>
        <x:v>1</x:v>
      </x:c>
      <x:c r="AB120" s="81" t="n">
        <x:f>MIN(1,'Island Architectures'!$O$12*(1-M120/'Island Architectures'!$P$12))</x:f>
        <x:v>1</x:v>
      </x:c>
      <x:c r="AC120" s="81" t="n">
        <x:f>MIN(1,'Island Architectures'!$Q$12*(1-N120/'Island Architectures'!$R$12))</x:f>
        <x:v>1</x:v>
      </x:c>
      <x:c r="AD120" s="81" t="n">
        <x:f>MIN(1,'Island Architectures'!$Q$12*(1-O120/'Island Architectures'!$S$12))</x:f>
        <x:v>1</x:v>
      </x:c>
      <x:c r="AE120" s="81" t="n">
        <x:f>MIN(1,'Island Architectures'!$T$12*(1-P120/'Island Architectures'!$U$12))</x:f>
        <x:v>1</x:v>
      </x:c>
      <x:c r="AF120" s="81" t="n">
        <x:f>MIN(1,'Island Architectures'!$V$12*(1-Q120/'Island Architectures'!$W$12))</x:f>
        <x:v>0.9750000000000001</x:v>
      </x:c>
      <x:c r="AG120" s="81" t="n">
        <x:f>MIN(1,'Island Architectures'!$X$12*(1-R120)*(1-S120/'Island Architectures'!$Y$12))</x:f>
        <x:v>1</x:v>
      </x:c>
      <x:c r="AH120" s="81" t="n">
        <x:f>IF(T120&lt;'Island Architectures'!$Z$12,1,0)</x:f>
        <x:v>1</x:v>
      </x:c>
      <x:c r="AI120" s="81" t="n">
        <x:f>MIN(1,'Island Architectures'!$AA$12*(1-U120/'Island Architectures'!$AB$12))</x:f>
        <x:v>1</x:v>
      </x:c>
      <x:c r="AJ120" s="81" t="n">
        <x:f>IF(V120=1,MIN(1,'Island Architectures'!$AD$12/Assumptions!$C$10),1)</x:f>
        <x:v>1</x:v>
      </x:c>
      <x:c r="AK120" s="81" t="n">
        <x:f>IF(W120=1,'Island Architectures'!$AC$12,1)</x:f>
        <x:v>1</x:v>
      </x:c>
      <x:c r="AL120" s="81" t="n">
        <x:f>MIN(X120:AK120)</x:f>
        <x:v>0.9750000000000001</x:v>
      </x:c>
      <x:c r="AM120" s="70" t="str">
        <x:f>IF(AL120&gt;=Assumptions!$C$9,"PASS","FAIL")</x:f>
        <x:v>PASS</x:v>
      </x:c>
      <x:c r="AN120" s="52" t="str">
        <x:v>voice, data and evidence paths remain</x:v>
      </x:c>
    </x:row>
    <x:row r="121">
      <x:c r="B121" s="66" t="str">
        <x:v>A5</x:v>
      </x:c>
      <x:c r="C121" s="66" t="str">
        <x:v>I18</x:v>
      </x:c>
      <x:c r="D121" s="66" t="str">
        <x:v>Twenty-five percent workforce loss</x:v>
      </x:c>
      <x:c r="E121" s="66" t="n">
        <x:v>0</x:v>
      </x:c>
      <x:c r="F121" s="66" t="n">
        <x:v>0</x:v>
      </x:c>
      <x:c r="G121" s="66" t="n">
        <x:v>0</x:v>
      </x:c>
      <x:c r="H121" s="66" t="n">
        <x:v>0</x:v>
      </x:c>
      <x:c r="I121" s="66" t="n">
        <x:v>0</x:v>
      </x:c>
      <x:c r="J121" s="80" t="n">
        <x:v>1</x:v>
      </x:c>
      <x:c r="K121" s="66" t="n">
        <x:v>0</x:v>
      </x:c>
      <x:c r="L121" s="66" t="n">
        <x:v>0</x:v>
      </x:c>
      <x:c r="M121" s="66" t="n">
        <x:v>0</x:v>
      </x:c>
      <x:c r="N121" s="66" t="n">
        <x:v>0</x:v>
      </x:c>
      <x:c r="O121" s="66" t="n">
        <x:v>0</x:v>
      </x:c>
      <x:c r="P121" s="66" t="n">
        <x:v>0</x:v>
      </x:c>
      <x:c r="Q121" s="66" t="n">
        <x:v>0</x:v>
      </x:c>
      <x:c r="R121" s="80" t="n">
        <x:v>0.25</x:v>
      </x:c>
      <x:c r="S121" s="66" t="n">
        <x:v>0</x:v>
      </x:c>
      <x:c r="T121" s="66" t="n">
        <x:v>0</x:v>
      </x:c>
      <x:c r="U121" s="66" t="n">
        <x:v>0</x:v>
      </x:c>
      <x:c r="V121" s="66" t="n">
        <x:v>0</x:v>
      </x:c>
      <x:c r="W121" s="66" t="n">
        <x:v>0</x:v>
      </x:c>
      <x:c r="X121" s="81" t="n">
        <x:f>MIN(1,IF(E121=1,'Island Architectures'!$G$12,'Island Architectures'!$D$12)*(1-F121/'Island Architectures'!$E$12)*(1-G121/'Island Architectures'!$F$12)*IF(H121&lt;'Island Architectures'!$H$12,1,0))</x:f>
        <x:v>1</x:v>
      </x:c>
      <x:c r="Y121" s="81" t="n">
        <x:f>MIN(1,'Island Architectures'!$I$12*(1-I121/'Island Architectures'!$J$12)*J121)</x:f>
        <x:v>1</x:v>
      </x:c>
      <x:c r="Z121" s="81" t="n">
        <x:f>MIN(1,'Island Architectures'!$K$12*(1-K121/'Island Architectures'!$L$12))</x:f>
        <x:v>1</x:v>
      </x:c>
      <x:c r="AA121" s="81" t="n">
        <x:f>MIN(1,'Island Architectures'!$M$12*(1-L121/'Island Architectures'!$N$12))</x:f>
        <x:v>1</x:v>
      </x:c>
      <x:c r="AB121" s="81" t="n">
        <x:f>MIN(1,'Island Architectures'!$O$12*(1-M121/'Island Architectures'!$P$12))</x:f>
        <x:v>1</x:v>
      </x:c>
      <x:c r="AC121" s="81" t="n">
        <x:f>MIN(1,'Island Architectures'!$Q$12*(1-N121/'Island Architectures'!$R$12))</x:f>
        <x:v>1</x:v>
      </x:c>
      <x:c r="AD121" s="81" t="n">
        <x:f>MIN(1,'Island Architectures'!$Q$12*(1-O121/'Island Architectures'!$S$12))</x:f>
        <x:v>1</x:v>
      </x:c>
      <x:c r="AE121" s="81" t="n">
        <x:f>MIN(1,'Island Architectures'!$T$12*(1-P121/'Island Architectures'!$U$12))</x:f>
        <x:v>1</x:v>
      </x:c>
      <x:c r="AF121" s="81" t="n">
        <x:f>MIN(1,'Island Architectures'!$V$12*(1-Q121/'Island Architectures'!$W$12))</x:f>
        <x:v>1</x:v>
      </x:c>
      <x:c r="AG121" s="81" t="n">
        <x:f>MIN(1,'Island Architectures'!$X$12*(1-R121)*(1-S121/'Island Architectures'!$Y$12))</x:f>
        <x:v>0.9750000000000001</x:v>
      </x:c>
      <x:c r="AH121" s="81" t="n">
        <x:f>IF(T121&lt;'Island Architectures'!$Z$12,1,0)</x:f>
        <x:v>1</x:v>
      </x:c>
      <x:c r="AI121" s="81" t="n">
        <x:f>MIN(1,'Island Architectures'!$AA$12*(1-U121/'Island Architectures'!$AB$12))</x:f>
        <x:v>1</x:v>
      </x:c>
      <x:c r="AJ121" s="81" t="n">
        <x:f>IF(V121=1,MIN(1,'Island Architectures'!$AD$12/Assumptions!$C$10),1)</x:f>
        <x:v>1</x:v>
      </x:c>
      <x:c r="AK121" s="81" t="n">
        <x:f>IF(W121=1,'Island Architectures'!$AC$12,1)</x:f>
        <x:v>1</x:v>
      </x:c>
      <x:c r="AL121" s="81" t="n">
        <x:f>MIN(X121:AK121)</x:f>
        <x:v>0.9750000000000001</x:v>
      </x:c>
      <x:c r="AM121" s="70" t="str">
        <x:f>IF(AL121&gt;=Assumptions!$C$9,"PASS","FAIL")</x:f>
        <x:v>PASS</x:v>
      </x:c>
      <x:c r="AN121" s="52" t="str">
        <x:v>illness, access and household obligations</x:v>
      </x:c>
    </x:row>
    <x:row r="122">
      <x:c r="B122" s="66" t="str">
        <x:v>A5</x:v>
      </x:c>
      <x:c r="C122" s="66" t="str">
        <x:v>I19</x:v>
      </x:c>
      <x:c r="D122" s="66" t="str">
        <x:v>One workforce lineage lost</x:v>
      </x:c>
      <x:c r="E122" s="66" t="n">
        <x:v>0</x:v>
      </x:c>
      <x:c r="F122" s="66" t="n">
        <x:v>0</x:v>
      </x:c>
      <x:c r="G122" s="66" t="n">
        <x:v>0</x:v>
      </x:c>
      <x:c r="H122" s="66" t="n">
        <x:v>0</x:v>
      </x:c>
      <x:c r="I122" s="66" t="n">
        <x:v>0</x:v>
      </x:c>
      <x:c r="J122" s="80" t="n">
        <x:v>1</x:v>
      </x:c>
      <x:c r="K122" s="66" t="n">
        <x:v>0</x:v>
      </x:c>
      <x:c r="L122" s="66" t="n">
        <x:v>0</x:v>
      </x:c>
      <x:c r="M122" s="66" t="n">
        <x:v>0</x:v>
      </x:c>
      <x:c r="N122" s="66" t="n">
        <x:v>0</x:v>
      </x:c>
      <x:c r="O122" s="66" t="n">
        <x:v>0</x:v>
      </x:c>
      <x:c r="P122" s="66" t="n">
        <x:v>0</x:v>
      </x:c>
      <x:c r="Q122" s="66" t="n">
        <x:v>0</x:v>
      </x:c>
      <x:c r="R122" s="80" t="n">
        <x:v>0</x:v>
      </x:c>
      <x:c r="S122" s="66" t="n">
        <x:v>1</x:v>
      </x:c>
      <x:c r="T122" s="66" t="n">
        <x:v>0</x:v>
      </x:c>
      <x:c r="U122" s="66" t="n">
        <x:v>0</x:v>
      </x:c>
      <x:c r="V122" s="66" t="n">
        <x:v>0</x:v>
      </x:c>
      <x:c r="W122" s="66" t="n">
        <x:v>0</x:v>
      </x:c>
      <x:c r="X122" s="81" t="n">
        <x:f>MIN(1,IF(E122=1,'Island Architectures'!$G$12,'Island Architectures'!$D$12)*(1-F122/'Island Architectures'!$E$12)*(1-G122/'Island Architectures'!$F$12)*IF(H122&lt;'Island Architectures'!$H$12,1,0))</x:f>
        <x:v>1</x:v>
      </x:c>
      <x:c r="Y122" s="81" t="n">
        <x:f>MIN(1,'Island Architectures'!$I$12*(1-I122/'Island Architectures'!$J$12)*J122)</x:f>
        <x:v>1</x:v>
      </x:c>
      <x:c r="Z122" s="81" t="n">
        <x:f>MIN(1,'Island Architectures'!$K$12*(1-K122/'Island Architectures'!$L$12))</x:f>
        <x:v>1</x:v>
      </x:c>
      <x:c r="AA122" s="81" t="n">
        <x:f>MIN(1,'Island Architectures'!$M$12*(1-L122/'Island Architectures'!$N$12))</x:f>
        <x:v>1</x:v>
      </x:c>
      <x:c r="AB122" s="81" t="n">
        <x:f>MIN(1,'Island Architectures'!$O$12*(1-M122/'Island Architectures'!$P$12))</x:f>
        <x:v>1</x:v>
      </x:c>
      <x:c r="AC122" s="81" t="n">
        <x:f>MIN(1,'Island Architectures'!$Q$12*(1-N122/'Island Architectures'!$R$12))</x:f>
        <x:v>1</x:v>
      </x:c>
      <x:c r="AD122" s="81" t="n">
        <x:f>MIN(1,'Island Architectures'!$Q$12*(1-O122/'Island Architectures'!$S$12))</x:f>
        <x:v>1</x:v>
      </x:c>
      <x:c r="AE122" s="81" t="n">
        <x:f>MIN(1,'Island Architectures'!$T$12*(1-P122/'Island Architectures'!$U$12))</x:f>
        <x:v>1</x:v>
      </x:c>
      <x:c r="AF122" s="81" t="n">
        <x:f>MIN(1,'Island Architectures'!$V$12*(1-Q122/'Island Architectures'!$W$12))</x:f>
        <x:v>1</x:v>
      </x:c>
      <x:c r="AG122" s="81" t="n">
        <x:f>MIN(1,'Island Architectures'!$X$12*(1-R122)*(1-S122/'Island Architectures'!$Y$12))</x:f>
        <x:v>0.9750000000000001</x:v>
      </x:c>
      <x:c r="AH122" s="81" t="n">
        <x:f>IF(T122&lt;'Island Architectures'!$Z$12,1,0)</x:f>
        <x:v>1</x:v>
      </x:c>
      <x:c r="AI122" s="81" t="n">
        <x:f>MIN(1,'Island Architectures'!$AA$12*(1-U122/'Island Architectures'!$AB$12))</x:f>
        <x:v>1</x:v>
      </x:c>
      <x:c r="AJ122" s="81" t="n">
        <x:f>IF(V122=1,MIN(1,'Island Architectures'!$AD$12/Assumptions!$C$10),1)</x:f>
        <x:v>1</x:v>
      </x:c>
      <x:c r="AK122" s="81" t="n">
        <x:f>IF(W122=1,'Island Architectures'!$AC$12,1)</x:f>
        <x:v>1</x:v>
      </x:c>
      <x:c r="AL122" s="81" t="n">
        <x:f>MIN(X122:AK122)</x:f>
        <x:v>0.9750000000000001</x:v>
      </x:c>
      <x:c r="AM122" s="70" t="str">
        <x:f>IF(AL122&gt;=Assumptions!$C$9,"PASS","FAIL")</x:f>
        <x:v>PASS</x:v>
      </x:c>
      <x:c r="AN122" s="52" t="str">
        <x:v>one school or credential chain unavailable</x:v>
      </x:c>
    </x:row>
    <x:row r="123">
      <x:c r="B123" s="66" t="str">
        <x:v>A5</x:v>
      </x:c>
      <x:c r="C123" s="66" t="str">
        <x:v>I20</x:v>
      </x:c>
      <x:c r="D123" s="66" t="str">
        <x:v>One civil-release path lost</x:v>
      </x:c>
      <x:c r="E123" s="66" t="n">
        <x:v>0</x:v>
      </x:c>
      <x:c r="F123" s="66" t="n">
        <x:v>0</x:v>
      </x:c>
      <x:c r="G123" s="66" t="n">
        <x:v>0</x:v>
      </x:c>
      <x:c r="H123" s="66" t="n">
        <x:v>0</x:v>
      </x:c>
      <x:c r="I123" s="66" t="n">
        <x:v>0</x:v>
      </x:c>
      <x:c r="J123" s="80" t="n">
        <x:v>1</x:v>
      </x:c>
      <x:c r="K123" s="66" t="n">
        <x:v>0</x:v>
      </x:c>
      <x:c r="L123" s="66" t="n">
        <x:v>0</x:v>
      </x:c>
      <x:c r="M123" s="66" t="n">
        <x:v>0</x:v>
      </x:c>
      <x:c r="N123" s="66" t="n">
        <x:v>0</x:v>
      </x:c>
      <x:c r="O123" s="66" t="n">
        <x:v>0</x:v>
      </x:c>
      <x:c r="P123" s="66" t="n">
        <x:v>0</x:v>
      </x:c>
      <x:c r="Q123" s="66" t="n">
        <x:v>0</x:v>
      </x:c>
      <x:c r="R123" s="80" t="n">
        <x:v>0</x:v>
      </x:c>
      <x:c r="S123" s="66" t="n">
        <x:v>0</x:v>
      </x:c>
      <x:c r="T123" s="66" t="n">
        <x:v>1</x:v>
      </x:c>
      <x:c r="U123" s="66" t="n">
        <x:v>0</x:v>
      </x:c>
      <x:c r="V123" s="66" t="n">
        <x:v>0</x:v>
      </x:c>
      <x:c r="W123" s="66" t="n">
        <x:v>0</x:v>
      </x:c>
      <x:c r="X123" s="81" t="n">
        <x:f>MIN(1,IF(E123=1,'Island Architectures'!$G$12,'Island Architectures'!$D$12)*(1-F123/'Island Architectures'!$E$12)*(1-G123/'Island Architectures'!$F$12)*IF(H123&lt;'Island Architectures'!$H$12,1,0))</x:f>
        <x:v>1</x:v>
      </x:c>
      <x:c r="Y123" s="81" t="n">
        <x:f>MIN(1,'Island Architectures'!$I$12*(1-I123/'Island Architectures'!$J$12)*J123)</x:f>
        <x:v>1</x:v>
      </x:c>
      <x:c r="Z123" s="81" t="n">
        <x:f>MIN(1,'Island Architectures'!$K$12*(1-K123/'Island Architectures'!$L$12))</x:f>
        <x:v>1</x:v>
      </x:c>
      <x:c r="AA123" s="81" t="n">
        <x:f>MIN(1,'Island Architectures'!$M$12*(1-L123/'Island Architectures'!$N$12))</x:f>
        <x:v>1</x:v>
      </x:c>
      <x:c r="AB123" s="81" t="n">
        <x:f>MIN(1,'Island Architectures'!$O$12*(1-M123/'Island Architectures'!$P$12))</x:f>
        <x:v>1</x:v>
      </x:c>
      <x:c r="AC123" s="81" t="n">
        <x:f>MIN(1,'Island Architectures'!$Q$12*(1-N123/'Island Architectures'!$R$12))</x:f>
        <x:v>1</x:v>
      </x:c>
      <x:c r="AD123" s="81" t="n">
        <x:f>MIN(1,'Island Architectures'!$Q$12*(1-O123/'Island Architectures'!$S$12))</x:f>
        <x:v>1</x:v>
      </x:c>
      <x:c r="AE123" s="81" t="n">
        <x:f>MIN(1,'Island Architectures'!$T$12*(1-P123/'Island Architectures'!$U$12))</x:f>
        <x:v>1</x:v>
      </x:c>
      <x:c r="AF123" s="81" t="n">
        <x:f>MIN(1,'Island Architectures'!$V$12*(1-Q123/'Island Architectures'!$W$12))</x:f>
        <x:v>1</x:v>
      </x:c>
      <x:c r="AG123" s="81" t="n">
        <x:f>MIN(1,'Island Architectures'!$X$12*(1-R123)*(1-S123/'Island Architectures'!$Y$12))</x:f>
        <x:v>1</x:v>
      </x:c>
      <x:c r="AH123" s="81" t="n">
        <x:f>IF(T123&lt;'Island Architectures'!$Z$12,1,0)</x:f>
        <x:v>1</x:v>
      </x:c>
      <x:c r="AI123" s="81" t="n">
        <x:f>MIN(1,'Island Architectures'!$AA$12*(1-U123/'Island Architectures'!$AB$12))</x:f>
        <x:v>1</x:v>
      </x:c>
      <x:c r="AJ123" s="81" t="n">
        <x:f>IF(V123=1,MIN(1,'Island Architectures'!$AD$12/Assumptions!$C$10),1)</x:f>
        <x:v>1</x:v>
      </x:c>
      <x:c r="AK123" s="81" t="n">
        <x:f>IF(W123=1,'Island Architectures'!$AC$12,1)</x:f>
        <x:v>1</x:v>
      </x:c>
      <x:c r="AL123" s="81" t="n">
        <x:f>MIN(X123:AK123)</x:f>
        <x:v>1</x:v>
      </x:c>
      <x:c r="AM123" s="70" t="str">
        <x:f>IF(AL123&gt;=Assumptions!$C$9,"PASS","FAIL")</x:f>
        <x:v>PASS</x:v>
      </x:c>
      <x:c r="AN123" s="52" t="str">
        <x:v>safe equipment still needs lawful release</x:v>
      </x:c>
    </x:row>
    <x:row r="124">
      <x:c r="B124" s="66" t="str">
        <x:v>A5</x:v>
      </x:c>
      <x:c r="C124" s="66" t="str">
        <x:v>I21</x:v>
      </x:c>
      <x:c r="D124" s="66" t="str">
        <x:v>Largest supplier lineage lost</x:v>
      </x:c>
      <x:c r="E124" s="66" t="n">
        <x:v>0</x:v>
      </x:c>
      <x:c r="F124" s="66" t="n">
        <x:v>0</x:v>
      </x:c>
      <x:c r="G124" s="66" t="n">
        <x:v>0</x:v>
      </x:c>
      <x:c r="H124" s="66" t="n">
        <x:v>0</x:v>
      </x:c>
      <x:c r="I124" s="66" t="n">
        <x:v>0</x:v>
      </x:c>
      <x:c r="J124" s="80" t="n">
        <x:v>1</x:v>
      </x:c>
      <x:c r="K124" s="66" t="n">
        <x:v>0</x:v>
      </x:c>
      <x:c r="L124" s="66" t="n">
        <x:v>0</x:v>
      </x:c>
      <x:c r="M124" s="66" t="n">
        <x:v>0</x:v>
      </x:c>
      <x:c r="N124" s="66" t="n">
        <x:v>0</x:v>
      </x:c>
      <x:c r="O124" s="66" t="n">
        <x:v>0</x:v>
      </x:c>
      <x:c r="P124" s="66" t="n">
        <x:v>0</x:v>
      </x:c>
      <x:c r="Q124" s="66" t="n">
        <x:v>0</x:v>
      </x:c>
      <x:c r="R124" s="80" t="n">
        <x:v>0</x:v>
      </x:c>
      <x:c r="S124" s="66" t="n">
        <x:v>0</x:v>
      </x:c>
      <x:c r="T124" s="66" t="n">
        <x:v>0</x:v>
      </x:c>
      <x:c r="U124" s="66" t="n">
        <x:v>1</x:v>
      </x:c>
      <x:c r="V124" s="66" t="n">
        <x:v>0</x:v>
      </x:c>
      <x:c r="W124" s="66" t="n">
        <x:v>0</x:v>
      </x:c>
      <x:c r="X124" s="81" t="n">
        <x:f>MIN(1,IF(E124=1,'Island Architectures'!$G$12,'Island Architectures'!$D$12)*(1-F124/'Island Architectures'!$E$12)*(1-G124/'Island Architectures'!$F$12)*IF(H124&lt;'Island Architectures'!$H$12,1,0))</x:f>
        <x:v>1</x:v>
      </x:c>
      <x:c r="Y124" s="81" t="n">
        <x:f>MIN(1,'Island Architectures'!$I$12*(1-I124/'Island Architectures'!$J$12)*J124)</x:f>
        <x:v>1</x:v>
      </x:c>
      <x:c r="Z124" s="81" t="n">
        <x:f>MIN(1,'Island Architectures'!$K$12*(1-K124/'Island Architectures'!$L$12))</x:f>
        <x:v>1</x:v>
      </x:c>
      <x:c r="AA124" s="81" t="n">
        <x:f>MIN(1,'Island Architectures'!$M$12*(1-L124/'Island Architectures'!$N$12))</x:f>
        <x:v>1</x:v>
      </x:c>
      <x:c r="AB124" s="81" t="n">
        <x:f>MIN(1,'Island Architectures'!$O$12*(1-M124/'Island Architectures'!$P$12))</x:f>
        <x:v>1</x:v>
      </x:c>
      <x:c r="AC124" s="81" t="n">
        <x:f>MIN(1,'Island Architectures'!$Q$12*(1-N124/'Island Architectures'!$R$12))</x:f>
        <x:v>1</x:v>
      </x:c>
      <x:c r="AD124" s="81" t="n">
        <x:f>MIN(1,'Island Architectures'!$Q$12*(1-O124/'Island Architectures'!$S$12))</x:f>
        <x:v>1</x:v>
      </x:c>
      <x:c r="AE124" s="81" t="n">
        <x:f>MIN(1,'Island Architectures'!$T$12*(1-P124/'Island Architectures'!$U$12))</x:f>
        <x:v>1</x:v>
      </x:c>
      <x:c r="AF124" s="81" t="n">
        <x:f>MIN(1,'Island Architectures'!$V$12*(1-Q124/'Island Architectures'!$W$12))</x:f>
        <x:v>1</x:v>
      </x:c>
      <x:c r="AG124" s="81" t="n">
        <x:f>MIN(1,'Island Architectures'!$X$12*(1-R124)*(1-S124/'Island Architectures'!$Y$12))</x:f>
        <x:v>1</x:v>
      </x:c>
      <x:c r="AH124" s="81" t="n">
        <x:f>IF(T124&lt;'Island Architectures'!$Z$12,1,0)</x:f>
        <x:v>1</x:v>
      </x:c>
      <x:c r="AI124" s="81" t="n">
        <x:f>MIN(1,'Island Architectures'!$AA$12*(1-U124/'Island Architectures'!$AB$12))</x:f>
        <x:v>0.96</x:v>
      </x:c>
      <x:c r="AJ124" s="81" t="n">
        <x:f>IF(V124=1,MIN(1,'Island Architectures'!$AD$12/Assumptions!$C$10),1)</x:f>
        <x:v>1</x:v>
      </x:c>
      <x:c r="AK124" s="81" t="n">
        <x:f>IF(W124=1,'Island Architectures'!$AC$12,1)</x:f>
        <x:v>1</x:v>
      </x:c>
      <x:c r="AL124" s="81" t="n">
        <x:f>MIN(X124:AK124)</x:f>
        <x:v>0.96</x:v>
      </x:c>
      <x:c r="AM124" s="70" t="str">
        <x:f>IF(AL124&gt;=Assumptions!$C$9,"PASS","FAIL")</x:f>
        <x:v>PASS</x:v>
      </x:c>
      <x:c r="AN124" s="52" t="str">
        <x:v>upstream material, software or factory removal</x:v>
      </x:c>
    </x:row>
    <x:row r="125">
      <x:c r="B125" s="66" t="str">
        <x:v>A5</x:v>
      </x:c>
      <x:c r="C125" s="66" t="str">
        <x:v>I22</x:v>
      </x:c>
      <x:c r="D125" s="66" t="str">
        <x:v>Seven-day external logistics denial</x:v>
      </x:c>
      <x:c r="E125" s="66" t="n">
        <x:v>0</x:v>
      </x:c>
      <x:c r="F125" s="66" t="n">
        <x:v>0</x:v>
      </x:c>
      <x:c r="G125" s="66" t="n">
        <x:v>0</x:v>
      </x:c>
      <x:c r="H125" s="66" t="n">
        <x:v>0</x:v>
      </x:c>
      <x:c r="I125" s="66" t="n">
        <x:v>0</x:v>
      </x:c>
      <x:c r="J125" s="80" t="n">
        <x:v>1</x:v>
      </x:c>
      <x:c r="K125" s="66" t="n">
        <x:v>0</x:v>
      </x:c>
      <x:c r="L125" s="66" t="n">
        <x:v>0</x:v>
      </x:c>
      <x:c r="M125" s="66" t="n">
        <x:v>0</x:v>
      </x:c>
      <x:c r="N125" s="66" t="n">
        <x:v>0</x:v>
      </x:c>
      <x:c r="O125" s="66" t="n">
        <x:v>0</x:v>
      </x:c>
      <x:c r="P125" s="66" t="n">
        <x:v>0</x:v>
      </x:c>
      <x:c r="Q125" s="66" t="n">
        <x:v>0</x:v>
      </x:c>
      <x:c r="R125" s="80" t="n">
        <x:v>0</x:v>
      </x:c>
      <x:c r="S125" s="66" t="n">
        <x:v>0</x:v>
      </x:c>
      <x:c r="T125" s="66" t="n">
        <x:v>0</x:v>
      </x:c>
      <x:c r="U125" s="66" t="n">
        <x:v>0</x:v>
      </x:c>
      <x:c r="V125" s="66" t="n">
        <x:v>1</x:v>
      </x:c>
      <x:c r="W125" s="66" t="n">
        <x:v>0</x:v>
      </x:c>
      <x:c r="X125" s="81" t="n">
        <x:f>MIN(1,IF(E125=1,'Island Architectures'!$G$12,'Island Architectures'!$D$12)*(1-F125/'Island Architectures'!$E$12)*(1-G125/'Island Architectures'!$F$12)*IF(H125&lt;'Island Architectures'!$H$12,1,0))</x:f>
        <x:v>1</x:v>
      </x:c>
      <x:c r="Y125" s="81" t="n">
        <x:f>MIN(1,'Island Architectures'!$I$12*(1-I125/'Island Architectures'!$J$12)*J125)</x:f>
        <x:v>1</x:v>
      </x:c>
      <x:c r="Z125" s="81" t="n">
        <x:f>MIN(1,'Island Architectures'!$K$12*(1-K125/'Island Architectures'!$L$12))</x:f>
        <x:v>1</x:v>
      </x:c>
      <x:c r="AA125" s="81" t="n">
        <x:f>MIN(1,'Island Architectures'!$M$12*(1-L125/'Island Architectures'!$N$12))</x:f>
        <x:v>1</x:v>
      </x:c>
      <x:c r="AB125" s="81" t="n">
        <x:f>MIN(1,'Island Architectures'!$O$12*(1-M125/'Island Architectures'!$P$12))</x:f>
        <x:v>1</x:v>
      </x:c>
      <x:c r="AC125" s="81" t="n">
        <x:f>MIN(1,'Island Architectures'!$Q$12*(1-N125/'Island Architectures'!$R$12))</x:f>
        <x:v>1</x:v>
      </x:c>
      <x:c r="AD125" s="81" t="n">
        <x:f>MIN(1,'Island Architectures'!$Q$12*(1-O125/'Island Architectures'!$S$12))</x:f>
        <x:v>1</x:v>
      </x:c>
      <x:c r="AE125" s="81" t="n">
        <x:f>MIN(1,'Island Architectures'!$T$12*(1-P125/'Island Architectures'!$U$12))</x:f>
        <x:v>1</x:v>
      </x:c>
      <x:c r="AF125" s="81" t="n">
        <x:f>MIN(1,'Island Architectures'!$V$12*(1-Q125/'Island Architectures'!$W$12))</x:f>
        <x:v>1</x:v>
      </x:c>
      <x:c r="AG125" s="81" t="n">
        <x:f>MIN(1,'Island Architectures'!$X$12*(1-R125)*(1-S125/'Island Architectures'!$Y$12))</x:f>
        <x:v>1</x:v>
      </x:c>
      <x:c r="AH125" s="81" t="n">
        <x:f>IF(T125&lt;'Island Architectures'!$Z$12,1,0)</x:f>
        <x:v>1</x:v>
      </x:c>
      <x:c r="AI125" s="81" t="n">
        <x:f>MIN(1,'Island Architectures'!$AA$12*(1-U125/'Island Architectures'!$AB$12))</x:f>
        <x:v>1</x:v>
      </x:c>
      <x:c r="AJ125" s="81" t="n">
        <x:f>IF(V125=1,MIN(1,'Island Architectures'!$AD$12/Assumptions!$C$10),1)</x:f>
        <x:v>1</x:v>
      </x:c>
      <x:c r="AK125" s="81" t="n">
        <x:f>IF(W125=1,'Island Architectures'!$AC$12,1)</x:f>
        <x:v>1</x:v>
      </x:c>
      <x:c r="AL125" s="81" t="n">
        <x:f>MIN(X125:AK125)</x:f>
        <x:v>1</x:v>
      </x:c>
      <x:c r="AM125" s="70" t="str">
        <x:f>IF(AL125&gt;=Assumptions!$C$9,"PASS","FAIL")</x:f>
        <x:v>PASS</x:v>
      </x:c>
      <x:c r="AN125" s="52" t="str">
        <x:v>fixed inventory must be an operating system</x:v>
      </x:c>
    </x:row>
    <x:row r="126">
      <x:c r="B126" s="66" t="str">
        <x:v>A5</x:v>
      </x:c>
      <x:c r="C126" s="66" t="str">
        <x:v>I23</x:v>
      </x:c>
      <x:c r="D126" s="66" t="str">
        <x:v>Second mission begins on day three</x:v>
      </x:c>
      <x:c r="E126" s="66" t="n">
        <x:v>0</x:v>
      </x:c>
      <x:c r="F126" s="66" t="n">
        <x:v>0</x:v>
      </x:c>
      <x:c r="G126" s="66" t="n">
        <x:v>0</x:v>
      </x:c>
      <x:c r="H126" s="66" t="n">
        <x:v>0</x:v>
      </x:c>
      <x:c r="I126" s="66" t="n">
        <x:v>0</x:v>
      </x:c>
      <x:c r="J126" s="80" t="n">
        <x:v>1</x:v>
      </x:c>
      <x:c r="K126" s="66" t="n">
        <x:v>0</x:v>
      </x:c>
      <x:c r="L126" s="66" t="n">
        <x:v>0</x:v>
      </x:c>
      <x:c r="M126" s="66" t="n">
        <x:v>0</x:v>
      </x:c>
      <x:c r="N126" s="66" t="n">
        <x:v>0</x:v>
      </x:c>
      <x:c r="O126" s="66" t="n">
        <x:v>0</x:v>
      </x:c>
      <x:c r="P126" s="66" t="n">
        <x:v>0</x:v>
      </x:c>
      <x:c r="Q126" s="66" t="n">
        <x:v>0</x:v>
      </x:c>
      <x:c r="R126" s="80" t="n">
        <x:v>0</x:v>
      </x:c>
      <x:c r="S126" s="66" t="n">
        <x:v>0</x:v>
      </x:c>
      <x:c r="T126" s="66" t="n">
        <x:v>0</x:v>
      </x:c>
      <x:c r="U126" s="66" t="n">
        <x:v>0</x:v>
      </x:c>
      <x:c r="V126" s="66" t="n">
        <x:v>0</x:v>
      </x:c>
      <x:c r="W126" s="66" t="n">
        <x:v>1</x:v>
      </x:c>
      <x:c r="X126" s="81" t="n">
        <x:f>MIN(1,IF(E126=1,'Island Architectures'!$G$12,'Island Architectures'!$D$12)*(1-F126/'Island Architectures'!$E$12)*(1-G126/'Island Architectures'!$F$12)*IF(H126&lt;'Island Architectures'!$H$12,1,0))</x:f>
        <x:v>1</x:v>
      </x:c>
      <x:c r="Y126" s="81" t="n">
        <x:f>MIN(1,'Island Architectures'!$I$12*(1-I126/'Island Architectures'!$J$12)*J126)</x:f>
        <x:v>1</x:v>
      </x:c>
      <x:c r="Z126" s="81" t="n">
        <x:f>MIN(1,'Island Architectures'!$K$12*(1-K126/'Island Architectures'!$L$12))</x:f>
        <x:v>1</x:v>
      </x:c>
      <x:c r="AA126" s="81" t="n">
        <x:f>MIN(1,'Island Architectures'!$M$12*(1-L126/'Island Architectures'!$N$12))</x:f>
        <x:v>1</x:v>
      </x:c>
      <x:c r="AB126" s="81" t="n">
        <x:f>MIN(1,'Island Architectures'!$O$12*(1-M126/'Island Architectures'!$P$12))</x:f>
        <x:v>1</x:v>
      </x:c>
      <x:c r="AC126" s="81" t="n">
        <x:f>MIN(1,'Island Architectures'!$Q$12*(1-N126/'Island Architectures'!$R$12))</x:f>
        <x:v>1</x:v>
      </x:c>
      <x:c r="AD126" s="81" t="n">
        <x:f>MIN(1,'Island Architectures'!$Q$12*(1-O126/'Island Architectures'!$S$12))</x:f>
        <x:v>1</x:v>
      </x:c>
      <x:c r="AE126" s="81" t="n">
        <x:f>MIN(1,'Island Architectures'!$T$12*(1-P126/'Island Architectures'!$U$12))</x:f>
        <x:v>1</x:v>
      </x:c>
      <x:c r="AF126" s="81" t="n">
        <x:f>MIN(1,'Island Architectures'!$V$12*(1-Q126/'Island Architectures'!$W$12))</x:f>
        <x:v>1</x:v>
      </x:c>
      <x:c r="AG126" s="81" t="n">
        <x:f>MIN(1,'Island Architectures'!$X$12*(1-R126)*(1-S126/'Island Architectures'!$Y$12))</x:f>
        <x:v>1</x:v>
      </x:c>
      <x:c r="AH126" s="81" t="n">
        <x:f>IF(T126&lt;'Island Architectures'!$Z$12,1,0)</x:f>
        <x:v>1</x:v>
      </x:c>
      <x:c r="AI126" s="81" t="n">
        <x:f>MIN(1,'Island Architectures'!$AA$12*(1-U126/'Island Architectures'!$AB$12))</x:f>
        <x:v>1</x:v>
      </x:c>
      <x:c r="AJ126" s="81" t="n">
        <x:f>IF(V126=1,MIN(1,'Island Architectures'!$AD$12/Assumptions!$C$10),1)</x:f>
        <x:v>1</x:v>
      </x:c>
      <x:c r="AK126" s="81" t="n">
        <x:f>IF(W126=1,'Island Architectures'!$AC$12,1)</x:f>
        <x:v>0.88</x:v>
      </x:c>
      <x:c r="AL126" s="81" t="n">
        <x:f>MIN(X126:AK126)</x:f>
        <x:v>0.88</x:v>
      </x:c>
      <x:c r="AM126" s="70" t="str">
        <x:f>IF(AL126&gt;=Assumptions!$C$9,"PASS","FAIL")</x:f>
        <x:v>FAIL</x:v>
      </x:c>
      <x:c r="AN126" s="52" t="str">
        <x:v>inspection, repair, reload and recertification</x:v>
      </x:c>
    </x:row>
    <x:row r="127">
      <x:c r="B127" s="66" t="str">
        <x:v>A5</x:v>
      </x:c>
      <x:c r="C127" s="66" t="str">
        <x:v>I24</x:v>
      </x:c>
      <x:c r="D127" s="66" t="str">
        <x:v>Grid, yard, corridor and communications loss</x:v>
      </x:c>
      <x:c r="E127" s="66" t="n">
        <x:v>1</x:v>
      </x:c>
      <x:c r="F127" s="66" t="n">
        <x:v>0</x:v>
      </x:c>
      <x:c r="G127" s="66" t="n">
        <x:v>1</x:v>
      </x:c>
      <x:c r="H127" s="66" t="n">
        <x:v>0</x:v>
      </x:c>
      <x:c r="I127" s="66" t="n">
        <x:v>0</x:v>
      </x:c>
      <x:c r="J127" s="80" t="n">
        <x:v>1</x:v>
      </x:c>
      <x:c r="K127" s="66" t="n">
        <x:v>0</x:v>
      </x:c>
      <x:c r="L127" s="66" t="n">
        <x:v>0</x:v>
      </x:c>
      <x:c r="M127" s="66" t="n">
        <x:v>1</x:v>
      </x:c>
      <x:c r="N127" s="66" t="n">
        <x:v>0</x:v>
      </x:c>
      <x:c r="O127" s="66" t="n">
        <x:v>0</x:v>
      </x:c>
      <x:c r="P127" s="66" t="n">
        <x:v>0</x:v>
      </x:c>
      <x:c r="Q127" s="66" t="n">
        <x:v>1</x:v>
      </x:c>
      <x:c r="R127" s="80" t="n">
        <x:v>0</x:v>
      </x:c>
      <x:c r="S127" s="66" t="n">
        <x:v>0</x:v>
      </x:c>
      <x:c r="T127" s="66" t="n">
        <x:v>0</x:v>
      </x:c>
      <x:c r="U127" s="66" t="n">
        <x:v>0</x:v>
      </x:c>
      <x:c r="V127" s="66" t="n">
        <x:v>0</x:v>
      </x:c>
      <x:c r="W127" s="66" t="n">
        <x:v>0</x:v>
      </x:c>
      <x:c r="X127" s="81" t="n">
        <x:f>MIN(1,IF(E127=1,'Island Architectures'!$G$12,'Island Architectures'!$D$12)*(1-F127/'Island Architectures'!$E$12)*(1-G127/'Island Architectures'!$F$12)*IF(H127&lt;'Island Architectures'!$H$12,1,0))</x:f>
        <x:v>1</x:v>
      </x:c>
      <x:c r="Y127" s="81" t="n">
        <x:f>MIN(1,'Island Architectures'!$I$12*(1-I127/'Island Architectures'!$J$12)*J127)</x:f>
        <x:v>1</x:v>
      </x:c>
      <x:c r="Z127" s="81" t="n">
        <x:f>MIN(1,'Island Architectures'!$K$12*(1-K127/'Island Architectures'!$L$12))</x:f>
        <x:v>1</x:v>
      </x:c>
      <x:c r="AA127" s="81" t="n">
        <x:f>MIN(1,'Island Architectures'!$M$12*(1-L127/'Island Architectures'!$N$12))</x:f>
        <x:v>1</x:v>
      </x:c>
      <x:c r="AB127" s="81" t="n">
        <x:f>MIN(1,'Island Architectures'!$O$12*(1-M127/'Island Architectures'!$P$12))</x:f>
        <x:v>0.9375</x:v>
      </x:c>
      <x:c r="AC127" s="81" t="n">
        <x:f>MIN(1,'Island Architectures'!$Q$12*(1-N127/'Island Architectures'!$R$12))</x:f>
        <x:v>1</x:v>
      </x:c>
      <x:c r="AD127" s="81" t="n">
        <x:f>MIN(1,'Island Architectures'!$Q$12*(1-O127/'Island Architectures'!$S$12))</x:f>
        <x:v>1</x:v>
      </x:c>
      <x:c r="AE127" s="81" t="n">
        <x:f>MIN(1,'Island Architectures'!$T$12*(1-P127/'Island Architectures'!$U$12))</x:f>
        <x:v>1</x:v>
      </x:c>
      <x:c r="AF127" s="81" t="n">
        <x:f>MIN(1,'Island Architectures'!$V$12*(1-Q127/'Island Architectures'!$W$12))</x:f>
        <x:v>0.9750000000000001</x:v>
      </x:c>
      <x:c r="AG127" s="81" t="n">
        <x:f>MIN(1,'Island Architectures'!$X$12*(1-R127)*(1-S127/'Island Architectures'!$Y$12))</x:f>
        <x:v>1</x:v>
      </x:c>
      <x:c r="AH127" s="81" t="n">
        <x:f>IF(T127&lt;'Island Architectures'!$Z$12,1,0)</x:f>
        <x:v>1</x:v>
      </x:c>
      <x:c r="AI127" s="81" t="n">
        <x:f>MIN(1,'Island Architectures'!$AA$12*(1-U127/'Island Architectures'!$AB$12))</x:f>
        <x:v>1</x:v>
      </x:c>
      <x:c r="AJ127" s="81" t="n">
        <x:f>IF(V127=1,MIN(1,'Island Architectures'!$AD$12/Assumptions!$C$10),1)</x:f>
        <x:v>1</x:v>
      </x:c>
      <x:c r="AK127" s="81" t="n">
        <x:f>IF(W127=1,'Island Architectures'!$AC$12,1)</x:f>
        <x:v>1</x:v>
      </x:c>
      <x:c r="AL127" s="81" t="n">
        <x:f>MIN(X127:AK127)</x:f>
        <x:v>0.9375</x:v>
      </x:c>
      <x:c r="AM127" s="70" t="str">
        <x:f>IF(AL127&gt;=Assumptions!$C$9,"PASS","FAIL")</x:f>
        <x:v>PASS</x:v>
      </x:c>
      <x:c r="AN127" s="52" t="str">
        <x:v>compound test of physical and institutional separation</x:v>
      </x:c>
    </x:row>
    <x:row r="128">
      <x:c r="B128" s="66" t="str">
        <x:v>A6</x:v>
      </x:c>
      <x:c r="C128" s="66" t="str">
        <x:v>I01</x:v>
      </x:c>
      <x:c r="D128" s="66" t="str">
        <x:v>Baseline release</x:v>
      </x:c>
      <x:c r="E128" s="66" t="n">
        <x:v>0</x:v>
      </x:c>
      <x:c r="F128" s="66" t="n">
        <x:v>0</x:v>
      </x:c>
      <x:c r="G128" s="66" t="n">
        <x:v>0</x:v>
      </x:c>
      <x:c r="H128" s="66" t="n">
        <x:v>0</x:v>
      </x:c>
      <x:c r="I128" s="66" t="n">
        <x:v>0</x:v>
      </x:c>
      <x:c r="J128" s="80" t="n">
        <x:v>1</x:v>
      </x:c>
      <x:c r="K128" s="66" t="n">
        <x:v>0</x:v>
      </x:c>
      <x:c r="L128" s="66" t="n">
        <x:v>0</x:v>
      </x:c>
      <x:c r="M128" s="66" t="n">
        <x:v>0</x:v>
      </x:c>
      <x:c r="N128" s="66" t="n">
        <x:v>0</x:v>
      </x:c>
      <x:c r="O128" s="66" t="n">
        <x:v>0</x:v>
      </x:c>
      <x:c r="P128" s="66" t="n">
        <x:v>0</x:v>
      </x:c>
      <x:c r="Q128" s="66" t="n">
        <x:v>0</x:v>
      </x:c>
      <x:c r="R128" s="80" t="n">
        <x:v>0</x:v>
      </x:c>
      <x:c r="S128" s="66" t="n">
        <x:v>0</x:v>
      </x:c>
      <x:c r="T128" s="66" t="n">
        <x:v>0</x:v>
      </x:c>
      <x:c r="U128" s="66" t="n">
        <x:v>0</x:v>
      </x:c>
      <x:c r="V128" s="66" t="n">
        <x:v>0</x:v>
      </x:c>
      <x:c r="W128" s="66" t="n">
        <x:v>0</x:v>
      </x:c>
      <x:c r="X128" s="81" t="n">
        <x:f>MIN(1,IF(E128=1,'Island Architectures'!$G$13,'Island Architectures'!$D$13)*(1-F128/'Island Architectures'!$E$13)*(1-G128/'Island Architectures'!$F$13)*IF(H128&lt;'Island Architectures'!$H$13,1,0))</x:f>
        <x:v>1</x:v>
      </x:c>
      <x:c r="Y128" s="81" t="n">
        <x:f>MIN(1,'Island Architectures'!$I$13*(1-I128/'Island Architectures'!$J$13)*J128)</x:f>
        <x:v>1</x:v>
      </x:c>
      <x:c r="Z128" s="81" t="n">
        <x:f>MIN(1,'Island Architectures'!$K$13*(1-K128/'Island Architectures'!$L$13))</x:f>
        <x:v>1</x:v>
      </x:c>
      <x:c r="AA128" s="81" t="n">
        <x:f>MIN(1,'Island Architectures'!$M$13*(1-L128/'Island Architectures'!$N$13))</x:f>
        <x:v>1</x:v>
      </x:c>
      <x:c r="AB128" s="81" t="n">
        <x:f>MIN(1,'Island Architectures'!$O$13*(1-M128/'Island Architectures'!$P$13))</x:f>
        <x:v>1</x:v>
      </x:c>
      <x:c r="AC128" s="81" t="n">
        <x:f>MIN(1,'Island Architectures'!$Q$13*(1-N128/'Island Architectures'!$R$13))</x:f>
        <x:v>1</x:v>
      </x:c>
      <x:c r="AD128" s="81" t="n">
        <x:f>MIN(1,'Island Architectures'!$Q$13*(1-O128/'Island Architectures'!$S$13))</x:f>
        <x:v>1</x:v>
      </x:c>
      <x:c r="AE128" s="81" t="n">
        <x:f>MIN(1,'Island Architectures'!$T$13*(1-P128/'Island Architectures'!$U$13))</x:f>
        <x:v>1</x:v>
      </x:c>
      <x:c r="AF128" s="81" t="n">
        <x:f>MIN(1,'Island Architectures'!$V$13*(1-Q128/'Island Architectures'!$W$13))</x:f>
        <x:v>1</x:v>
      </x:c>
      <x:c r="AG128" s="81" t="n">
        <x:f>MIN(1,'Island Architectures'!$X$13*(1-R128)*(1-S128/'Island Architectures'!$Y$13))</x:f>
        <x:v>1</x:v>
      </x:c>
      <x:c r="AH128" s="81" t="n">
        <x:f>IF(T128&lt;'Island Architectures'!$Z$13,1,0)</x:f>
        <x:v>1</x:v>
      </x:c>
      <x:c r="AI128" s="81" t="n">
        <x:f>MIN(1,'Island Architectures'!$AA$13*(1-U128/'Island Architectures'!$AB$13))</x:f>
        <x:v>1</x:v>
      </x:c>
      <x:c r="AJ128" s="81" t="n">
        <x:f>IF(V128=1,MIN(1,'Island Architectures'!$AD$13/Assumptions!$C$10),1)</x:f>
        <x:v>1</x:v>
      </x:c>
      <x:c r="AK128" s="81" t="n">
        <x:f>IF(W128=1,'Island Architectures'!$AC$13,1)</x:f>
        <x:v>1</x:v>
      </x:c>
      <x:c r="AL128" s="81" t="n">
        <x:f>MIN(X128:AK128)</x:f>
        <x:v>1</x:v>
      </x:c>
      <x:c r="AM128" s="70" t="str">
        <x:f>IF(AL128&gt;=Assumptions!$C$9,"PASS","FAIL")</x:f>
        <x:v>PASS</x:v>
      </x:c>
      <x:c r="AN128" s="52" t="str">
        <x:v>all declared systems available</x:v>
      </x:c>
    </x:row>
    <x:row r="129">
      <x:c r="B129" s="66" t="str">
        <x:v>A6</x:v>
      </x:c>
      <x:c r="C129" s="66" t="str">
        <x:v>I02</x:v>
      </x:c>
      <x:c r="D129" s="66" t="str">
        <x:v>External grid absent</x:v>
      </x:c>
      <x:c r="E129" s="66" t="n">
        <x:v>1</x:v>
      </x:c>
      <x:c r="F129" s="66" t="n">
        <x:v>0</x:v>
      </x:c>
      <x:c r="G129" s="66" t="n">
        <x:v>0</x:v>
      </x:c>
      <x:c r="H129" s="66" t="n">
        <x:v>0</x:v>
      </x:c>
      <x:c r="I129" s="66" t="n">
        <x:v>0</x:v>
      </x:c>
      <x:c r="J129" s="80" t="n">
        <x:v>1</x:v>
      </x:c>
      <x:c r="K129" s="66" t="n">
        <x:v>0</x:v>
      </x:c>
      <x:c r="L129" s="66" t="n">
        <x:v>0</x:v>
      </x:c>
      <x:c r="M129" s="66" t="n">
        <x:v>0</x:v>
      </x:c>
      <x:c r="N129" s="66" t="n">
        <x:v>0</x:v>
      </x:c>
      <x:c r="O129" s="66" t="n">
        <x:v>0</x:v>
      </x:c>
      <x:c r="P129" s="66" t="n">
        <x:v>0</x:v>
      </x:c>
      <x:c r="Q129" s="66" t="n">
        <x:v>0</x:v>
      </x:c>
      <x:c r="R129" s="80" t="n">
        <x:v>0</x:v>
      </x:c>
      <x:c r="S129" s="66" t="n">
        <x:v>0</x:v>
      </x:c>
      <x:c r="T129" s="66" t="n">
        <x:v>0</x:v>
      </x:c>
      <x:c r="U129" s="66" t="n">
        <x:v>0</x:v>
      </x:c>
      <x:c r="V129" s="66" t="n">
        <x:v>0</x:v>
      </x:c>
      <x:c r="W129" s="66" t="n">
        <x:v>0</x:v>
      </x:c>
      <x:c r="X129" s="81" t="n">
        <x:f>MIN(1,IF(E129=1,'Island Architectures'!$G$13,'Island Architectures'!$D$13)*(1-F129/'Island Architectures'!$E$13)*(1-G129/'Island Architectures'!$F$13)*IF(H129&lt;'Island Architectures'!$H$13,1,0))</x:f>
        <x:v>1</x:v>
      </x:c>
      <x:c r="Y129" s="81" t="n">
        <x:f>MIN(1,'Island Architectures'!$I$13*(1-I129/'Island Architectures'!$J$13)*J129)</x:f>
        <x:v>1</x:v>
      </x:c>
      <x:c r="Z129" s="81" t="n">
        <x:f>MIN(1,'Island Architectures'!$K$13*(1-K129/'Island Architectures'!$L$13))</x:f>
        <x:v>1</x:v>
      </x:c>
      <x:c r="AA129" s="81" t="n">
        <x:f>MIN(1,'Island Architectures'!$M$13*(1-L129/'Island Architectures'!$N$13))</x:f>
        <x:v>1</x:v>
      </x:c>
      <x:c r="AB129" s="81" t="n">
        <x:f>MIN(1,'Island Architectures'!$O$13*(1-M129/'Island Architectures'!$P$13))</x:f>
        <x:v>1</x:v>
      </x:c>
      <x:c r="AC129" s="81" t="n">
        <x:f>MIN(1,'Island Architectures'!$Q$13*(1-N129/'Island Architectures'!$R$13))</x:f>
        <x:v>1</x:v>
      </x:c>
      <x:c r="AD129" s="81" t="n">
        <x:f>MIN(1,'Island Architectures'!$Q$13*(1-O129/'Island Architectures'!$S$13))</x:f>
        <x:v>1</x:v>
      </x:c>
      <x:c r="AE129" s="81" t="n">
        <x:f>MIN(1,'Island Architectures'!$T$13*(1-P129/'Island Architectures'!$U$13))</x:f>
        <x:v>1</x:v>
      </x:c>
      <x:c r="AF129" s="81" t="n">
        <x:f>MIN(1,'Island Architectures'!$V$13*(1-Q129/'Island Architectures'!$W$13))</x:f>
        <x:v>1</x:v>
      </x:c>
      <x:c r="AG129" s="81" t="n">
        <x:f>MIN(1,'Island Architectures'!$X$13*(1-R129)*(1-S129/'Island Architectures'!$Y$13))</x:f>
        <x:v>1</x:v>
      </x:c>
      <x:c r="AH129" s="81" t="n">
        <x:f>IF(T129&lt;'Island Architectures'!$Z$13,1,0)</x:f>
        <x:v>1</x:v>
      </x:c>
      <x:c r="AI129" s="81" t="n">
        <x:f>MIN(1,'Island Architectures'!$AA$13*(1-U129/'Island Architectures'!$AB$13))</x:f>
        <x:v>1</x:v>
      </x:c>
      <x:c r="AJ129" s="81" t="n">
        <x:f>IF(V129=1,MIN(1,'Island Architectures'!$AD$13/Assumptions!$C$10),1)</x:f>
        <x:v>1</x:v>
      </x:c>
      <x:c r="AK129" s="81" t="n">
        <x:f>IF(W129=1,'Island Architectures'!$AC$13,1)</x:f>
        <x:v>1</x:v>
      </x:c>
      <x:c r="AL129" s="81" t="n">
        <x:f>MIN(X129:AK129)</x:f>
        <x:v>1</x:v>
      </x:c>
      <x:c r="AM129" s="70" t="str">
        <x:f>IF(AL129&gt;=Assumptions!$C$9,"PASS","FAIL")</x:f>
        <x:v>PASS</x:v>
      </x:c>
      <x:c r="AN129" s="52" t="str">
        <x:v>fixed island must remain a source, not a grid customer</x:v>
      </x:c>
    </x:row>
    <x:row r="130">
      <x:c r="B130" s="66" t="str">
        <x:v>A6</x:v>
      </x:c>
      <x:c r="C130" s="66" t="str">
        <x:v>I03</x:v>
      </x:c>
      <x:c r="D130" s="66" t="str">
        <x:v>Largest source lineage lost</x:v>
      </x:c>
      <x:c r="E130" s="66" t="n">
        <x:v>0</x:v>
      </x:c>
      <x:c r="F130" s="66" t="n">
        <x:v>1</x:v>
      </x:c>
      <x:c r="G130" s="66" t="n">
        <x:v>0</x:v>
      </x:c>
      <x:c r="H130" s="66" t="n">
        <x:v>0</x:v>
      </x:c>
      <x:c r="I130" s="66" t="n">
        <x:v>0</x:v>
      </x:c>
      <x:c r="J130" s="80" t="n">
        <x:v>1</x:v>
      </x:c>
      <x:c r="K130" s="66" t="n">
        <x:v>0</x:v>
      </x:c>
      <x:c r="L130" s="66" t="n">
        <x:v>0</x:v>
      </x:c>
      <x:c r="M130" s="66" t="n">
        <x:v>0</x:v>
      </x:c>
      <x:c r="N130" s="66" t="n">
        <x:v>0</x:v>
      </x:c>
      <x:c r="O130" s="66" t="n">
        <x:v>0</x:v>
      </x:c>
      <x:c r="P130" s="66" t="n">
        <x:v>0</x:v>
      </x:c>
      <x:c r="Q130" s="66" t="n">
        <x:v>0</x:v>
      </x:c>
      <x:c r="R130" s="80" t="n">
        <x:v>0</x:v>
      </x:c>
      <x:c r="S130" s="66" t="n">
        <x:v>0</x:v>
      </x:c>
      <x:c r="T130" s="66" t="n">
        <x:v>0</x:v>
      </x:c>
      <x:c r="U130" s="66" t="n">
        <x:v>0</x:v>
      </x:c>
      <x:c r="V130" s="66" t="n">
        <x:v>0</x:v>
      </x:c>
      <x:c r="W130" s="66" t="n">
        <x:v>0</x:v>
      </x:c>
      <x:c r="X130" s="81" t="n">
        <x:f>MIN(1,IF(E130=1,'Island Architectures'!$G$13,'Island Architectures'!$D$13)*(1-F130/'Island Architectures'!$E$13)*(1-G130/'Island Architectures'!$F$13)*IF(H130&lt;'Island Architectures'!$H$13,1,0))</x:f>
        <x:v>1</x:v>
      </x:c>
      <x:c r="Y130" s="81" t="n">
        <x:f>MIN(1,'Island Architectures'!$I$13*(1-I130/'Island Architectures'!$J$13)*J130)</x:f>
        <x:v>1</x:v>
      </x:c>
      <x:c r="Z130" s="81" t="n">
        <x:f>MIN(1,'Island Architectures'!$K$13*(1-K130/'Island Architectures'!$L$13))</x:f>
        <x:v>1</x:v>
      </x:c>
      <x:c r="AA130" s="81" t="n">
        <x:f>MIN(1,'Island Architectures'!$M$13*(1-L130/'Island Architectures'!$N$13))</x:f>
        <x:v>1</x:v>
      </x:c>
      <x:c r="AB130" s="81" t="n">
        <x:f>MIN(1,'Island Architectures'!$O$13*(1-M130/'Island Architectures'!$P$13))</x:f>
        <x:v>1</x:v>
      </x:c>
      <x:c r="AC130" s="81" t="n">
        <x:f>MIN(1,'Island Architectures'!$Q$13*(1-N130/'Island Architectures'!$R$13))</x:f>
        <x:v>1</x:v>
      </x:c>
      <x:c r="AD130" s="81" t="n">
        <x:f>MIN(1,'Island Architectures'!$Q$13*(1-O130/'Island Architectures'!$S$13))</x:f>
        <x:v>1</x:v>
      </x:c>
      <x:c r="AE130" s="81" t="n">
        <x:f>MIN(1,'Island Architectures'!$T$13*(1-P130/'Island Architectures'!$U$13))</x:f>
        <x:v>1</x:v>
      </x:c>
      <x:c r="AF130" s="81" t="n">
        <x:f>MIN(1,'Island Architectures'!$V$13*(1-Q130/'Island Architectures'!$W$13))</x:f>
        <x:v>1</x:v>
      </x:c>
      <x:c r="AG130" s="81" t="n">
        <x:f>MIN(1,'Island Architectures'!$X$13*(1-R130)*(1-S130/'Island Architectures'!$Y$13))</x:f>
        <x:v>1</x:v>
      </x:c>
      <x:c r="AH130" s="81" t="n">
        <x:f>IF(T130&lt;'Island Architectures'!$Z$13,1,0)</x:f>
        <x:v>1</x:v>
      </x:c>
      <x:c r="AI130" s="81" t="n">
        <x:f>MIN(1,'Island Architectures'!$AA$13*(1-U130/'Island Architectures'!$AB$13))</x:f>
        <x:v>1</x:v>
      </x:c>
      <x:c r="AJ130" s="81" t="n">
        <x:f>IF(V130=1,MIN(1,'Island Architectures'!$AD$13/Assumptions!$C$10),1)</x:f>
        <x:v>1</x:v>
      </x:c>
      <x:c r="AK130" s="81" t="n">
        <x:f>IF(W130=1,'Island Architectures'!$AC$13,1)</x:f>
        <x:v>1</x:v>
      </x:c>
      <x:c r="AL130" s="81" t="n">
        <x:f>MIN(X130:AK130)</x:f>
        <x:v>1</x:v>
      </x:c>
      <x:c r="AM130" s="70" t="str">
        <x:f>IF(AL130&gt;=Assumptions!$C$9,"PASS","FAIL")</x:f>
        <x:v>PASS</x:v>
      </x:c>
      <x:c r="AN130" s="52" t="str">
        <x:v>energy technologies share upstream ancestry</x:v>
      </x:c>
    </x:row>
    <x:row r="131">
      <x:c r="B131" s="66" t="str">
        <x:v>A6</x:v>
      </x:c>
      <x:c r="C131" s="66" t="str">
        <x:v>I04</x:v>
      </x:c>
      <x:c r="D131" s="66" t="str">
        <x:v>Largest energy yard lost</x:v>
      </x:c>
      <x:c r="E131" s="66" t="n">
        <x:v>0</x:v>
      </x:c>
      <x:c r="F131" s="66" t="n">
        <x:v>0</x:v>
      </x:c>
      <x:c r="G131" s="66" t="n">
        <x:v>1</x:v>
      </x:c>
      <x:c r="H131" s="66" t="n">
        <x:v>0</x:v>
      </x:c>
      <x:c r="I131" s="66" t="n">
        <x:v>0</x:v>
      </x:c>
      <x:c r="J131" s="80" t="n">
        <x:v>1</x:v>
      </x:c>
      <x:c r="K131" s="66" t="n">
        <x:v>0</x:v>
      </x:c>
      <x:c r="L131" s="66" t="n">
        <x:v>0</x:v>
      </x:c>
      <x:c r="M131" s="66" t="n">
        <x:v>0</x:v>
      </x:c>
      <x:c r="N131" s="66" t="n">
        <x:v>0</x:v>
      </x:c>
      <x:c r="O131" s="66" t="n">
        <x:v>0</x:v>
      </x:c>
      <x:c r="P131" s="66" t="n">
        <x:v>0</x:v>
      </x:c>
      <x:c r="Q131" s="66" t="n">
        <x:v>0</x:v>
      </x:c>
      <x:c r="R131" s="80" t="n">
        <x:v>0</x:v>
      </x:c>
      <x:c r="S131" s="66" t="n">
        <x:v>0</x:v>
      </x:c>
      <x:c r="T131" s="66" t="n">
        <x:v>0</x:v>
      </x:c>
      <x:c r="U131" s="66" t="n">
        <x:v>0</x:v>
      </x:c>
      <x:c r="V131" s="66" t="n">
        <x:v>0</x:v>
      </x:c>
      <x:c r="W131" s="66" t="n">
        <x:v>0</x:v>
      </x:c>
      <x:c r="X131" s="81" t="n">
        <x:f>MIN(1,IF(E131=1,'Island Architectures'!$G$13,'Island Architectures'!$D$13)*(1-F131/'Island Architectures'!$E$13)*(1-G131/'Island Architectures'!$F$13)*IF(H131&lt;'Island Architectures'!$H$13,1,0))</x:f>
        <x:v>1</x:v>
      </x:c>
      <x:c r="Y131" s="81" t="n">
        <x:f>MIN(1,'Island Architectures'!$I$13*(1-I131/'Island Architectures'!$J$13)*J131)</x:f>
        <x:v>1</x:v>
      </x:c>
      <x:c r="Z131" s="81" t="n">
        <x:f>MIN(1,'Island Architectures'!$K$13*(1-K131/'Island Architectures'!$L$13))</x:f>
        <x:v>1</x:v>
      </x:c>
      <x:c r="AA131" s="81" t="n">
        <x:f>MIN(1,'Island Architectures'!$M$13*(1-L131/'Island Architectures'!$N$13))</x:f>
        <x:v>1</x:v>
      </x:c>
      <x:c r="AB131" s="81" t="n">
        <x:f>MIN(1,'Island Architectures'!$O$13*(1-M131/'Island Architectures'!$P$13))</x:f>
        <x:v>1</x:v>
      </x:c>
      <x:c r="AC131" s="81" t="n">
        <x:f>MIN(1,'Island Architectures'!$Q$13*(1-N131/'Island Architectures'!$R$13))</x:f>
        <x:v>1</x:v>
      </x:c>
      <x:c r="AD131" s="81" t="n">
        <x:f>MIN(1,'Island Architectures'!$Q$13*(1-O131/'Island Architectures'!$S$13))</x:f>
        <x:v>1</x:v>
      </x:c>
      <x:c r="AE131" s="81" t="n">
        <x:f>MIN(1,'Island Architectures'!$T$13*(1-P131/'Island Architectures'!$U$13))</x:f>
        <x:v>1</x:v>
      </x:c>
      <x:c r="AF131" s="81" t="n">
        <x:f>MIN(1,'Island Architectures'!$V$13*(1-Q131/'Island Architectures'!$W$13))</x:f>
        <x:v>1</x:v>
      </x:c>
      <x:c r="AG131" s="81" t="n">
        <x:f>MIN(1,'Island Architectures'!$X$13*(1-R131)*(1-S131/'Island Architectures'!$Y$13))</x:f>
        <x:v>1</x:v>
      </x:c>
      <x:c r="AH131" s="81" t="n">
        <x:f>IF(T131&lt;'Island Architectures'!$Z$13,1,0)</x:f>
        <x:v>1</x:v>
      </x:c>
      <x:c r="AI131" s="81" t="n">
        <x:f>MIN(1,'Island Architectures'!$AA$13*(1-U131/'Island Architectures'!$AB$13))</x:f>
        <x:v>1</x:v>
      </x:c>
      <x:c r="AJ131" s="81" t="n">
        <x:f>IF(V131=1,MIN(1,'Island Architectures'!$AD$13/Assumptions!$C$10),1)</x:f>
        <x:v>1</x:v>
      </x:c>
      <x:c r="AK131" s="81" t="n">
        <x:f>IF(W131=1,'Island Architectures'!$AC$13,1)</x:f>
        <x:v>1</x:v>
      </x:c>
      <x:c r="AL131" s="81" t="n">
        <x:f>MIN(X131:AK131)</x:f>
        <x:v>1</x:v>
      </x:c>
      <x:c r="AM131" s="70" t="str">
        <x:f>IF(AL131&gt;=Assumptions!$C$9,"PASS","FAIL")</x:f>
        <x:v>PASS</x:v>
      </x:c>
      <x:c r="AN131" s="52" t="str">
        <x:v>physical fire or flood loss</x:v>
      </x:c>
    </x:row>
    <x:row r="132">
      <x:c r="B132" s="66" t="str">
        <x:v>A6</x:v>
      </x:c>
      <x:c r="C132" s="66" t="str">
        <x:v>I05</x:v>
      </x:c>
      <x:c r="D132" s="66" t="str">
        <x:v>One black-start path lost</x:v>
      </x:c>
      <x:c r="E132" s="66" t="n">
        <x:v>0</x:v>
      </x:c>
      <x:c r="F132" s="66" t="n">
        <x:v>0</x:v>
      </x:c>
      <x:c r="G132" s="66" t="n">
        <x:v>0</x:v>
      </x:c>
      <x:c r="H132" s="66" t="n">
        <x:v>1</x:v>
      </x:c>
      <x:c r="I132" s="66" t="n">
        <x:v>0</x:v>
      </x:c>
      <x:c r="J132" s="80" t="n">
        <x:v>1</x:v>
      </x:c>
      <x:c r="K132" s="66" t="n">
        <x:v>0</x:v>
      </x:c>
      <x:c r="L132" s="66" t="n">
        <x:v>0</x:v>
      </x:c>
      <x:c r="M132" s="66" t="n">
        <x:v>0</x:v>
      </x:c>
      <x:c r="N132" s="66" t="n">
        <x:v>0</x:v>
      </x:c>
      <x:c r="O132" s="66" t="n">
        <x:v>0</x:v>
      </x:c>
      <x:c r="P132" s="66" t="n">
        <x:v>0</x:v>
      </x:c>
      <x:c r="Q132" s="66" t="n">
        <x:v>0</x:v>
      </x:c>
      <x:c r="R132" s="80" t="n">
        <x:v>0</x:v>
      </x:c>
      <x:c r="S132" s="66" t="n">
        <x:v>0</x:v>
      </x:c>
      <x:c r="T132" s="66" t="n">
        <x:v>0</x:v>
      </x:c>
      <x:c r="U132" s="66" t="n">
        <x:v>0</x:v>
      </x:c>
      <x:c r="V132" s="66" t="n">
        <x:v>0</x:v>
      </x:c>
      <x:c r="W132" s="66" t="n">
        <x:v>0</x:v>
      </x:c>
      <x:c r="X132" s="81" t="n">
        <x:f>MIN(1,IF(E132=1,'Island Architectures'!$G$13,'Island Architectures'!$D$13)*(1-F132/'Island Architectures'!$E$13)*(1-G132/'Island Architectures'!$F$13)*IF(H132&lt;'Island Architectures'!$H$13,1,0))</x:f>
        <x:v>1</x:v>
      </x:c>
      <x:c r="Y132" s="81" t="n">
        <x:f>MIN(1,'Island Architectures'!$I$13*(1-I132/'Island Architectures'!$J$13)*J132)</x:f>
        <x:v>1</x:v>
      </x:c>
      <x:c r="Z132" s="81" t="n">
        <x:f>MIN(1,'Island Architectures'!$K$13*(1-K132/'Island Architectures'!$L$13))</x:f>
        <x:v>1</x:v>
      </x:c>
      <x:c r="AA132" s="81" t="n">
        <x:f>MIN(1,'Island Architectures'!$M$13*(1-L132/'Island Architectures'!$N$13))</x:f>
        <x:v>1</x:v>
      </x:c>
      <x:c r="AB132" s="81" t="n">
        <x:f>MIN(1,'Island Architectures'!$O$13*(1-M132/'Island Architectures'!$P$13))</x:f>
        <x:v>1</x:v>
      </x:c>
      <x:c r="AC132" s="81" t="n">
        <x:f>MIN(1,'Island Architectures'!$Q$13*(1-N132/'Island Architectures'!$R$13))</x:f>
        <x:v>1</x:v>
      </x:c>
      <x:c r="AD132" s="81" t="n">
        <x:f>MIN(1,'Island Architectures'!$Q$13*(1-O132/'Island Architectures'!$S$13))</x:f>
        <x:v>1</x:v>
      </x:c>
      <x:c r="AE132" s="81" t="n">
        <x:f>MIN(1,'Island Architectures'!$T$13*(1-P132/'Island Architectures'!$U$13))</x:f>
        <x:v>1</x:v>
      </x:c>
      <x:c r="AF132" s="81" t="n">
        <x:f>MIN(1,'Island Architectures'!$V$13*(1-Q132/'Island Architectures'!$W$13))</x:f>
        <x:v>1</x:v>
      </x:c>
      <x:c r="AG132" s="81" t="n">
        <x:f>MIN(1,'Island Architectures'!$X$13*(1-R132)*(1-S132/'Island Architectures'!$Y$13))</x:f>
        <x:v>1</x:v>
      </x:c>
      <x:c r="AH132" s="81" t="n">
        <x:f>IF(T132&lt;'Island Architectures'!$Z$13,1,0)</x:f>
        <x:v>1</x:v>
      </x:c>
      <x:c r="AI132" s="81" t="n">
        <x:f>MIN(1,'Island Architectures'!$AA$13*(1-U132/'Island Architectures'!$AB$13))</x:f>
        <x:v>1</x:v>
      </x:c>
      <x:c r="AJ132" s="81" t="n">
        <x:f>IF(V132=1,MIN(1,'Island Architectures'!$AD$13/Assumptions!$C$10),1)</x:f>
        <x:v>1</x:v>
      </x:c>
      <x:c r="AK132" s="81" t="n">
        <x:f>IF(W132=1,'Island Architectures'!$AC$13,1)</x:f>
        <x:v>1</x:v>
      </x:c>
      <x:c r="AL132" s="81" t="n">
        <x:f>MIN(X132:AK132)</x:f>
        <x:v>1</x:v>
      </x:c>
      <x:c r="AM132" s="70" t="str">
        <x:f>IF(AL132&gt;=Assumptions!$C$9,"PASS","FAIL")</x:f>
        <x:v>PASS</x:v>
      </x:c>
      <x:c r="AN132" s="52" t="str">
        <x:v>source transition cannot depend on one battery room</x:v>
      </x:c>
    </x:row>
    <x:row r="133">
      <x:c r="B133" s="66" t="str">
        <x:v>A6</x:v>
      </x:c>
      <x:c r="C133" s="66" t="str">
        <x:v>I06</x:v>
      </x:c>
      <x:c r="D133" s="66" t="str">
        <x:v>Largest heat destination lost</x:v>
      </x:c>
      <x:c r="E133" s="66" t="n">
        <x:v>0</x:v>
      </x:c>
      <x:c r="F133" s="66" t="n">
        <x:v>0</x:v>
      </x:c>
      <x:c r="G133" s="66" t="n">
        <x:v>0</x:v>
      </x:c>
      <x:c r="H133" s="66" t="n">
        <x:v>0</x:v>
      </x:c>
      <x:c r="I133" s="66" t="n">
        <x:v>1</x:v>
      </x:c>
      <x:c r="J133" s="80" t="n">
        <x:v>1</x:v>
      </x:c>
      <x:c r="K133" s="66" t="n">
        <x:v>0</x:v>
      </x:c>
      <x:c r="L133" s="66" t="n">
        <x:v>0</x:v>
      </x:c>
      <x:c r="M133" s="66" t="n">
        <x:v>0</x:v>
      </x:c>
      <x:c r="N133" s="66" t="n">
        <x:v>0</x:v>
      </x:c>
      <x:c r="O133" s="66" t="n">
        <x:v>0</x:v>
      </x:c>
      <x:c r="P133" s="66" t="n">
        <x:v>0</x:v>
      </x:c>
      <x:c r="Q133" s="66" t="n">
        <x:v>0</x:v>
      </x:c>
      <x:c r="R133" s="80" t="n">
        <x:v>0</x:v>
      </x:c>
      <x:c r="S133" s="66" t="n">
        <x:v>0</x:v>
      </x:c>
      <x:c r="T133" s="66" t="n">
        <x:v>0</x:v>
      </x:c>
      <x:c r="U133" s="66" t="n">
        <x:v>0</x:v>
      </x:c>
      <x:c r="V133" s="66" t="n">
        <x:v>0</x:v>
      </x:c>
      <x:c r="W133" s="66" t="n">
        <x:v>0</x:v>
      </x:c>
      <x:c r="X133" s="81" t="n">
        <x:f>MIN(1,IF(E133=1,'Island Architectures'!$G$13,'Island Architectures'!$D$13)*(1-F133/'Island Architectures'!$E$13)*(1-G133/'Island Architectures'!$F$13)*IF(H133&lt;'Island Architectures'!$H$13,1,0))</x:f>
        <x:v>1</x:v>
      </x:c>
      <x:c r="Y133" s="81" t="n">
        <x:f>MIN(1,'Island Architectures'!$I$13*(1-I133/'Island Architectures'!$J$13)*J133)</x:f>
        <x:v>1</x:v>
      </x:c>
      <x:c r="Z133" s="81" t="n">
        <x:f>MIN(1,'Island Architectures'!$K$13*(1-K133/'Island Architectures'!$L$13))</x:f>
        <x:v>1</x:v>
      </x:c>
      <x:c r="AA133" s="81" t="n">
        <x:f>MIN(1,'Island Architectures'!$M$13*(1-L133/'Island Architectures'!$N$13))</x:f>
        <x:v>1</x:v>
      </x:c>
      <x:c r="AB133" s="81" t="n">
        <x:f>MIN(1,'Island Architectures'!$O$13*(1-M133/'Island Architectures'!$P$13))</x:f>
        <x:v>1</x:v>
      </x:c>
      <x:c r="AC133" s="81" t="n">
        <x:f>MIN(1,'Island Architectures'!$Q$13*(1-N133/'Island Architectures'!$R$13))</x:f>
        <x:v>1</x:v>
      </x:c>
      <x:c r="AD133" s="81" t="n">
        <x:f>MIN(1,'Island Architectures'!$Q$13*(1-O133/'Island Architectures'!$S$13))</x:f>
        <x:v>1</x:v>
      </x:c>
      <x:c r="AE133" s="81" t="n">
        <x:f>MIN(1,'Island Architectures'!$T$13*(1-P133/'Island Architectures'!$U$13))</x:f>
        <x:v>1</x:v>
      </x:c>
      <x:c r="AF133" s="81" t="n">
        <x:f>MIN(1,'Island Architectures'!$V$13*(1-Q133/'Island Architectures'!$W$13))</x:f>
        <x:v>1</x:v>
      </x:c>
      <x:c r="AG133" s="81" t="n">
        <x:f>MIN(1,'Island Architectures'!$X$13*(1-R133)*(1-S133/'Island Architectures'!$Y$13))</x:f>
        <x:v>1</x:v>
      </x:c>
      <x:c r="AH133" s="81" t="n">
        <x:f>IF(T133&lt;'Island Architectures'!$Z$13,1,0)</x:f>
        <x:v>1</x:v>
      </x:c>
      <x:c r="AI133" s="81" t="n">
        <x:f>MIN(1,'Island Architectures'!$AA$13*(1-U133/'Island Architectures'!$AB$13))</x:f>
        <x:v>1</x:v>
      </x:c>
      <x:c r="AJ133" s="81" t="n">
        <x:f>IF(V133=1,MIN(1,'Island Architectures'!$AD$13/Assumptions!$C$10),1)</x:f>
        <x:v>1</x:v>
      </x:c>
      <x:c r="AK133" s="81" t="n">
        <x:f>IF(W133=1,'Island Architectures'!$AC$13,1)</x:f>
        <x:v>1</x:v>
      </x:c>
      <x:c r="AL133" s="81" t="n">
        <x:f>MIN(X133:AK133)</x:f>
        <x:v>1</x:v>
      </x:c>
      <x:c r="AM133" s="70" t="str">
        <x:f>IF(AL133&gt;=Assumptions!$C$9,"PASS","FAIL")</x:f>
        <x:v>PASS</x:v>
      </x:c>
      <x:c r="AN133" s="52" t="str">
        <x:v>final heat destination is an availability boundary</x:v>
      </x:c>
    </x:row>
    <x:row r="134">
      <x:c r="B134" s="66" t="str">
        <x:v>A6</x:v>
      </x:c>
      <x:c r="C134" s="66" t="str">
        <x:v>I07</x:v>
      </x:c>
      <x:c r="D134" s="66" t="str">
        <x:v>50 C ambient</x:v>
      </x:c>
      <x:c r="E134" s="66" t="n">
        <x:v>0</x:v>
      </x:c>
      <x:c r="F134" s="66" t="n">
        <x:v>0</x:v>
      </x:c>
      <x:c r="G134" s="66" t="n">
        <x:v>0</x:v>
      </x:c>
      <x:c r="H134" s="66" t="n">
        <x:v>0</x:v>
      </x:c>
      <x:c r="I134" s="66" t="n">
        <x:v>0</x:v>
      </x:c>
      <x:c r="J134" s="80" t="n">
        <x:v>0.55</x:v>
      </x:c>
      <x:c r="K134" s="66" t="n">
        <x:v>0</x:v>
      </x:c>
      <x:c r="L134" s="66" t="n">
        <x:v>0</x:v>
      </x:c>
      <x:c r="M134" s="66" t="n">
        <x:v>0</x:v>
      </x:c>
      <x:c r="N134" s="66" t="n">
        <x:v>0</x:v>
      </x:c>
      <x:c r="O134" s="66" t="n">
        <x:v>0</x:v>
      </x:c>
      <x:c r="P134" s="66" t="n">
        <x:v>0</x:v>
      </x:c>
      <x:c r="Q134" s="66" t="n">
        <x:v>0</x:v>
      </x:c>
      <x:c r="R134" s="80" t="n">
        <x:v>0</x:v>
      </x:c>
      <x:c r="S134" s="66" t="n">
        <x:v>0</x:v>
      </x:c>
      <x:c r="T134" s="66" t="n">
        <x:v>0</x:v>
      </x:c>
      <x:c r="U134" s="66" t="n">
        <x:v>0</x:v>
      </x:c>
      <x:c r="V134" s="66" t="n">
        <x:v>0</x:v>
      </x:c>
      <x:c r="W134" s="66" t="n">
        <x:v>0</x:v>
      </x:c>
      <x:c r="X134" s="81" t="n">
        <x:f>MIN(1,IF(E134=1,'Island Architectures'!$G$13,'Island Architectures'!$D$13)*(1-F134/'Island Architectures'!$E$13)*(1-G134/'Island Architectures'!$F$13)*IF(H134&lt;'Island Architectures'!$H$13,1,0))</x:f>
        <x:v>1</x:v>
      </x:c>
      <x:c r="Y134" s="81" t="n">
        <x:f>MIN(1,'Island Architectures'!$I$13*(1-I134/'Island Architectures'!$J$13)*J134)</x:f>
        <x:v>1</x:v>
      </x:c>
      <x:c r="Z134" s="81" t="n">
        <x:f>MIN(1,'Island Architectures'!$K$13*(1-K134/'Island Architectures'!$L$13))</x:f>
        <x:v>1</x:v>
      </x:c>
      <x:c r="AA134" s="81" t="n">
        <x:f>MIN(1,'Island Architectures'!$M$13*(1-L134/'Island Architectures'!$N$13))</x:f>
        <x:v>1</x:v>
      </x:c>
      <x:c r="AB134" s="81" t="n">
        <x:f>MIN(1,'Island Architectures'!$O$13*(1-M134/'Island Architectures'!$P$13))</x:f>
        <x:v>1</x:v>
      </x:c>
      <x:c r="AC134" s="81" t="n">
        <x:f>MIN(1,'Island Architectures'!$Q$13*(1-N134/'Island Architectures'!$R$13))</x:f>
        <x:v>1</x:v>
      </x:c>
      <x:c r="AD134" s="81" t="n">
        <x:f>MIN(1,'Island Architectures'!$Q$13*(1-O134/'Island Architectures'!$S$13))</x:f>
        <x:v>1</x:v>
      </x:c>
      <x:c r="AE134" s="81" t="n">
        <x:f>MIN(1,'Island Architectures'!$T$13*(1-P134/'Island Architectures'!$U$13))</x:f>
        <x:v>1</x:v>
      </x:c>
      <x:c r="AF134" s="81" t="n">
        <x:f>MIN(1,'Island Architectures'!$V$13*(1-Q134/'Island Architectures'!$W$13))</x:f>
        <x:v>1</x:v>
      </x:c>
      <x:c r="AG134" s="81" t="n">
        <x:f>MIN(1,'Island Architectures'!$X$13*(1-R134)*(1-S134/'Island Architectures'!$Y$13))</x:f>
        <x:v>1</x:v>
      </x:c>
      <x:c r="AH134" s="81" t="n">
        <x:f>IF(T134&lt;'Island Architectures'!$Z$13,1,0)</x:f>
        <x:v>1</x:v>
      </x:c>
      <x:c r="AI134" s="81" t="n">
        <x:f>MIN(1,'Island Architectures'!$AA$13*(1-U134/'Island Architectures'!$AB$13))</x:f>
        <x:v>1</x:v>
      </x:c>
      <x:c r="AJ134" s="81" t="n">
        <x:f>IF(V134=1,MIN(1,'Island Architectures'!$AD$13/Assumptions!$C$10),1)</x:f>
        <x:v>1</x:v>
      </x:c>
      <x:c r="AK134" s="81" t="n">
        <x:f>IF(W134=1,'Island Architectures'!$AC$13,1)</x:f>
        <x:v>1</x:v>
      </x:c>
      <x:c r="AL134" s="81" t="n">
        <x:f>MIN(X134:AK134)</x:f>
        <x:v>1</x:v>
      </x:c>
      <x:c r="AM134" s="70" t="str">
        <x:f>IF(AL134&gt;=Assumptions!$C$9,"PASS","FAIL")</x:f>
        <x:v>PASS</x:v>
      </x:c>
      <x:c r="AN134" s="52" t="str">
        <x:v>dry rejection derates at the design extreme</x:v>
      </x:c>
    </x:row>
    <x:row r="135">
      <x:c r="B135" s="66" t="str">
        <x:v>A6</x:v>
      </x:c>
      <x:c r="C135" s="66" t="str">
        <x:v>I08</x:v>
      </x:c>
      <x:c r="D135" s="66" t="str">
        <x:v>Smoke and exchanger fouling</x:v>
      </x:c>
      <x:c r="E135" s="66" t="n">
        <x:v>0</x:v>
      </x:c>
      <x:c r="F135" s="66" t="n">
        <x:v>0</x:v>
      </x:c>
      <x:c r="G135" s="66" t="n">
        <x:v>0</x:v>
      </x:c>
      <x:c r="H135" s="66" t="n">
        <x:v>0</x:v>
      </x:c>
      <x:c r="I135" s="66" t="n">
        <x:v>0</x:v>
      </x:c>
      <x:c r="J135" s="80" t="n">
        <x:v>0.6</x:v>
      </x:c>
      <x:c r="K135" s="66" t="n">
        <x:v>0</x:v>
      </x:c>
      <x:c r="L135" s="66" t="n">
        <x:v>0</x:v>
      </x:c>
      <x:c r="M135" s="66" t="n">
        <x:v>0</x:v>
      </x:c>
      <x:c r="N135" s="66" t="n">
        <x:v>0</x:v>
      </x:c>
      <x:c r="O135" s="66" t="n">
        <x:v>0</x:v>
      </x:c>
      <x:c r="P135" s="66" t="n">
        <x:v>0</x:v>
      </x:c>
      <x:c r="Q135" s="66" t="n">
        <x:v>0</x:v>
      </x:c>
      <x:c r="R135" s="80" t="n">
        <x:v>0</x:v>
      </x:c>
      <x:c r="S135" s="66" t="n">
        <x:v>0</x:v>
      </x:c>
      <x:c r="T135" s="66" t="n">
        <x:v>0</x:v>
      </x:c>
      <x:c r="U135" s="66" t="n">
        <x:v>0</x:v>
      </x:c>
      <x:c r="V135" s="66" t="n">
        <x:v>0</x:v>
      </x:c>
      <x:c r="W135" s="66" t="n">
        <x:v>0</x:v>
      </x:c>
      <x:c r="X135" s="81" t="n">
        <x:f>MIN(1,IF(E135=1,'Island Architectures'!$G$13,'Island Architectures'!$D$13)*(1-F135/'Island Architectures'!$E$13)*(1-G135/'Island Architectures'!$F$13)*IF(H135&lt;'Island Architectures'!$H$13,1,0))</x:f>
        <x:v>1</x:v>
      </x:c>
      <x:c r="Y135" s="81" t="n">
        <x:f>MIN(1,'Island Architectures'!$I$13*(1-I135/'Island Architectures'!$J$13)*J135)</x:f>
        <x:v>1</x:v>
      </x:c>
      <x:c r="Z135" s="81" t="n">
        <x:f>MIN(1,'Island Architectures'!$K$13*(1-K135/'Island Architectures'!$L$13))</x:f>
        <x:v>1</x:v>
      </x:c>
      <x:c r="AA135" s="81" t="n">
        <x:f>MIN(1,'Island Architectures'!$M$13*(1-L135/'Island Architectures'!$N$13))</x:f>
        <x:v>1</x:v>
      </x:c>
      <x:c r="AB135" s="81" t="n">
        <x:f>MIN(1,'Island Architectures'!$O$13*(1-M135/'Island Architectures'!$P$13))</x:f>
        <x:v>1</x:v>
      </x:c>
      <x:c r="AC135" s="81" t="n">
        <x:f>MIN(1,'Island Architectures'!$Q$13*(1-N135/'Island Architectures'!$R$13))</x:f>
        <x:v>1</x:v>
      </x:c>
      <x:c r="AD135" s="81" t="n">
        <x:f>MIN(1,'Island Architectures'!$Q$13*(1-O135/'Island Architectures'!$S$13))</x:f>
        <x:v>1</x:v>
      </x:c>
      <x:c r="AE135" s="81" t="n">
        <x:f>MIN(1,'Island Architectures'!$T$13*(1-P135/'Island Architectures'!$U$13))</x:f>
        <x:v>1</x:v>
      </x:c>
      <x:c r="AF135" s="81" t="n">
        <x:f>MIN(1,'Island Architectures'!$V$13*(1-Q135/'Island Architectures'!$W$13))</x:f>
        <x:v>1</x:v>
      </x:c>
      <x:c r="AG135" s="81" t="n">
        <x:f>MIN(1,'Island Architectures'!$X$13*(1-R135)*(1-S135/'Island Architectures'!$Y$13))</x:f>
        <x:v>1</x:v>
      </x:c>
      <x:c r="AH135" s="81" t="n">
        <x:f>IF(T135&lt;'Island Architectures'!$Z$13,1,0)</x:f>
        <x:v>1</x:v>
      </x:c>
      <x:c r="AI135" s="81" t="n">
        <x:f>MIN(1,'Island Architectures'!$AA$13*(1-U135/'Island Architectures'!$AB$13))</x:f>
        <x:v>1</x:v>
      </x:c>
      <x:c r="AJ135" s="81" t="n">
        <x:f>IF(V135=1,MIN(1,'Island Architectures'!$AD$13/Assumptions!$C$10),1)</x:f>
        <x:v>1</x:v>
      </x:c>
      <x:c r="AK135" s="81" t="n">
        <x:f>IF(W135=1,'Island Architectures'!$AC$13,1)</x:f>
        <x:v>1</x:v>
      </x:c>
      <x:c r="AL135" s="81" t="n">
        <x:f>MIN(X135:AK135)</x:f>
        <x:v>1</x:v>
      </x:c>
      <x:c r="AM135" s="70" t="str">
        <x:f>IF(AL135&gt;=Assumptions!$C$9,"PASS","FAIL")</x:f>
        <x:v>PASS</x:v>
      </x:c>
      <x:c r="AN135" s="52" t="str">
        <x:v>air systems retain service under smoke</x:v>
      </x:c>
    </x:row>
    <x:row r="136">
      <x:c r="B136" s="66" t="str">
        <x:v>A6</x:v>
      </x:c>
      <x:c r="C136" s="66" t="str">
        <x:v>I09</x:v>
      </x:c>
      <x:c r="D136" s="66" t="str">
        <x:v>Largest water-source path lost</x:v>
      </x:c>
      <x:c r="E136" s="66" t="n">
        <x:v>0</x:v>
      </x:c>
      <x:c r="F136" s="66" t="n">
        <x:v>0</x:v>
      </x:c>
      <x:c r="G136" s="66" t="n">
        <x:v>0</x:v>
      </x:c>
      <x:c r="H136" s="66" t="n">
        <x:v>0</x:v>
      </x:c>
      <x:c r="I136" s="66" t="n">
        <x:v>0</x:v>
      </x:c>
      <x:c r="J136" s="80" t="n">
        <x:v>1</x:v>
      </x:c>
      <x:c r="K136" s="66" t="n">
        <x:v>1</x:v>
      </x:c>
      <x:c r="L136" s="66" t="n">
        <x:v>0</x:v>
      </x:c>
      <x:c r="M136" s="66" t="n">
        <x:v>0</x:v>
      </x:c>
      <x:c r="N136" s="66" t="n">
        <x:v>0</x:v>
      </x:c>
      <x:c r="O136" s="66" t="n">
        <x:v>0</x:v>
      </x:c>
      <x:c r="P136" s="66" t="n">
        <x:v>0</x:v>
      </x:c>
      <x:c r="Q136" s="66" t="n">
        <x:v>0</x:v>
      </x:c>
      <x:c r="R136" s="80" t="n">
        <x:v>0</x:v>
      </x:c>
      <x:c r="S136" s="66" t="n">
        <x:v>0</x:v>
      </x:c>
      <x:c r="T136" s="66" t="n">
        <x:v>0</x:v>
      </x:c>
      <x:c r="U136" s="66" t="n">
        <x:v>0</x:v>
      </x:c>
      <x:c r="V136" s="66" t="n">
        <x:v>0</x:v>
      </x:c>
      <x:c r="W136" s="66" t="n">
        <x:v>0</x:v>
      </x:c>
      <x:c r="X136" s="81" t="n">
        <x:f>MIN(1,IF(E136=1,'Island Architectures'!$G$13,'Island Architectures'!$D$13)*(1-F136/'Island Architectures'!$E$13)*(1-G136/'Island Architectures'!$F$13)*IF(H136&lt;'Island Architectures'!$H$13,1,0))</x:f>
        <x:v>1</x:v>
      </x:c>
      <x:c r="Y136" s="81" t="n">
        <x:f>MIN(1,'Island Architectures'!$I$13*(1-I136/'Island Architectures'!$J$13)*J136)</x:f>
        <x:v>1</x:v>
      </x:c>
      <x:c r="Z136" s="81" t="n">
        <x:f>MIN(1,'Island Architectures'!$K$13*(1-K136/'Island Architectures'!$L$13))</x:f>
        <x:v>1</x:v>
      </x:c>
      <x:c r="AA136" s="81" t="n">
        <x:f>MIN(1,'Island Architectures'!$M$13*(1-L136/'Island Architectures'!$N$13))</x:f>
        <x:v>1</x:v>
      </x:c>
      <x:c r="AB136" s="81" t="n">
        <x:f>MIN(1,'Island Architectures'!$O$13*(1-M136/'Island Architectures'!$P$13))</x:f>
        <x:v>1</x:v>
      </x:c>
      <x:c r="AC136" s="81" t="n">
        <x:f>MIN(1,'Island Architectures'!$Q$13*(1-N136/'Island Architectures'!$R$13))</x:f>
        <x:v>1</x:v>
      </x:c>
      <x:c r="AD136" s="81" t="n">
        <x:f>MIN(1,'Island Architectures'!$Q$13*(1-O136/'Island Architectures'!$S$13))</x:f>
        <x:v>1</x:v>
      </x:c>
      <x:c r="AE136" s="81" t="n">
        <x:f>MIN(1,'Island Architectures'!$T$13*(1-P136/'Island Architectures'!$U$13))</x:f>
        <x:v>1</x:v>
      </x:c>
      <x:c r="AF136" s="81" t="n">
        <x:f>MIN(1,'Island Architectures'!$V$13*(1-Q136/'Island Architectures'!$W$13))</x:f>
        <x:v>1</x:v>
      </x:c>
      <x:c r="AG136" s="81" t="n">
        <x:f>MIN(1,'Island Architectures'!$X$13*(1-R136)*(1-S136/'Island Architectures'!$Y$13))</x:f>
        <x:v>1</x:v>
      </x:c>
      <x:c r="AH136" s="81" t="n">
        <x:f>IF(T136&lt;'Island Architectures'!$Z$13,1,0)</x:f>
        <x:v>1</x:v>
      </x:c>
      <x:c r="AI136" s="81" t="n">
        <x:f>MIN(1,'Island Architectures'!$AA$13*(1-U136/'Island Architectures'!$AB$13))</x:f>
        <x:v>1</x:v>
      </x:c>
      <x:c r="AJ136" s="81" t="n">
        <x:f>IF(V136=1,MIN(1,'Island Architectures'!$AD$13/Assumptions!$C$10),1)</x:f>
        <x:v>1</x:v>
      </x:c>
      <x:c r="AK136" s="81" t="n">
        <x:f>IF(W136=1,'Island Architectures'!$AC$13,1)</x:f>
        <x:v>1</x:v>
      </x:c>
      <x:c r="AL136" s="81" t="n">
        <x:f>MIN(X136:AK136)</x:f>
        <x:v>1</x:v>
      </x:c>
      <x:c r="AM136" s="70" t="str">
        <x:f>IF(AL136&gt;=Assumptions!$C$9,"PASS","FAIL")</x:f>
        <x:v>PASS</x:v>
      </x:c>
      <x:c r="AN136" s="52" t="str">
        <x:v>clean storage does not replace sustained production</x:v>
      </x:c>
    </x:row>
    <x:row r="137">
      <x:c r="B137" s="66" t="str">
        <x:v>A6</x:v>
      </x:c>
      <x:c r="C137" s="66" t="str">
        <x:v>I10</x:v>
      </x:c>
      <x:c r="D137" s="66" t="str">
        <x:v>Largest wastewater path lost</x:v>
      </x:c>
      <x:c r="E137" s="66" t="n">
        <x:v>0</x:v>
      </x:c>
      <x:c r="F137" s="66" t="n">
        <x:v>0</x:v>
      </x:c>
      <x:c r="G137" s="66" t="n">
        <x:v>0</x:v>
      </x:c>
      <x:c r="H137" s="66" t="n">
        <x:v>0</x:v>
      </x:c>
      <x:c r="I137" s="66" t="n">
        <x:v>0</x:v>
      </x:c>
      <x:c r="J137" s="80" t="n">
        <x:v>1</x:v>
      </x:c>
      <x:c r="K137" s="66" t="n">
        <x:v>0</x:v>
      </x:c>
      <x:c r="L137" s="66" t="n">
        <x:v>1</x:v>
      </x:c>
      <x:c r="M137" s="66" t="n">
        <x:v>0</x:v>
      </x:c>
      <x:c r="N137" s="66" t="n">
        <x:v>0</x:v>
      </x:c>
      <x:c r="O137" s="66" t="n">
        <x:v>0</x:v>
      </x:c>
      <x:c r="P137" s="66" t="n">
        <x:v>0</x:v>
      </x:c>
      <x:c r="Q137" s="66" t="n">
        <x:v>0</x:v>
      </x:c>
      <x:c r="R137" s="80" t="n">
        <x:v>0</x:v>
      </x:c>
      <x:c r="S137" s="66" t="n">
        <x:v>0</x:v>
      </x:c>
      <x:c r="T137" s="66" t="n">
        <x:v>0</x:v>
      </x:c>
      <x:c r="U137" s="66" t="n">
        <x:v>0</x:v>
      </x:c>
      <x:c r="V137" s="66" t="n">
        <x:v>0</x:v>
      </x:c>
      <x:c r="W137" s="66" t="n">
        <x:v>0</x:v>
      </x:c>
      <x:c r="X137" s="81" t="n">
        <x:f>MIN(1,IF(E137=1,'Island Architectures'!$G$13,'Island Architectures'!$D$13)*(1-F137/'Island Architectures'!$E$13)*(1-G137/'Island Architectures'!$F$13)*IF(H137&lt;'Island Architectures'!$H$13,1,0))</x:f>
        <x:v>1</x:v>
      </x:c>
      <x:c r="Y137" s="81" t="n">
        <x:f>MIN(1,'Island Architectures'!$I$13*(1-I137/'Island Architectures'!$J$13)*J137)</x:f>
        <x:v>1</x:v>
      </x:c>
      <x:c r="Z137" s="81" t="n">
        <x:f>MIN(1,'Island Architectures'!$K$13*(1-K137/'Island Architectures'!$L$13))</x:f>
        <x:v>1</x:v>
      </x:c>
      <x:c r="AA137" s="81" t="n">
        <x:f>MIN(1,'Island Architectures'!$M$13*(1-L137/'Island Architectures'!$N$13))</x:f>
        <x:v>1</x:v>
      </x:c>
      <x:c r="AB137" s="81" t="n">
        <x:f>MIN(1,'Island Architectures'!$O$13*(1-M137/'Island Architectures'!$P$13))</x:f>
        <x:v>1</x:v>
      </x:c>
      <x:c r="AC137" s="81" t="n">
        <x:f>MIN(1,'Island Architectures'!$Q$13*(1-N137/'Island Architectures'!$R$13))</x:f>
        <x:v>1</x:v>
      </x:c>
      <x:c r="AD137" s="81" t="n">
        <x:f>MIN(1,'Island Architectures'!$Q$13*(1-O137/'Island Architectures'!$S$13))</x:f>
        <x:v>1</x:v>
      </x:c>
      <x:c r="AE137" s="81" t="n">
        <x:f>MIN(1,'Island Architectures'!$T$13*(1-P137/'Island Architectures'!$U$13))</x:f>
        <x:v>1</x:v>
      </x:c>
      <x:c r="AF137" s="81" t="n">
        <x:f>MIN(1,'Island Architectures'!$V$13*(1-Q137/'Island Architectures'!$W$13))</x:f>
        <x:v>1</x:v>
      </x:c>
      <x:c r="AG137" s="81" t="n">
        <x:f>MIN(1,'Island Architectures'!$X$13*(1-R137)*(1-S137/'Island Architectures'!$Y$13))</x:f>
        <x:v>1</x:v>
      </x:c>
      <x:c r="AH137" s="81" t="n">
        <x:f>IF(T137&lt;'Island Architectures'!$Z$13,1,0)</x:f>
        <x:v>1</x:v>
      </x:c>
      <x:c r="AI137" s="81" t="n">
        <x:f>MIN(1,'Island Architectures'!$AA$13*(1-U137/'Island Architectures'!$AB$13))</x:f>
        <x:v>1</x:v>
      </x:c>
      <x:c r="AJ137" s="81" t="n">
        <x:f>IF(V137=1,MIN(1,'Island Architectures'!$AD$13/Assumptions!$C$10),1)</x:f>
        <x:v>1</x:v>
      </x:c>
      <x:c r="AK137" s="81" t="n">
        <x:f>IF(W137=1,'Island Architectures'!$AC$13,1)</x:f>
        <x:v>1</x:v>
      </x:c>
      <x:c r="AL137" s="81" t="n">
        <x:f>MIN(X137:AK137)</x:f>
        <x:v>1</x:v>
      </x:c>
      <x:c r="AM137" s="70" t="str">
        <x:f>IF(AL137&gt;=Assumptions!$C$9,"PASS","FAIL")</x:f>
        <x:v>PASS</x:v>
      </x:c>
      <x:c r="AN137" s="52" t="str">
        <x:v>service cannot export untreated harm</x:v>
      </x:c>
    </x:row>
    <x:row r="138">
      <x:c r="B138" s="66" t="str">
        <x:v>A6</x:v>
      </x:c>
      <x:c r="C138" s="66" t="str">
        <x:v>I11</x:v>
      </x:c>
      <x:c r="D138" s="66" t="str">
        <x:v>One utility corridor lost</x:v>
      </x:c>
      <x:c r="E138" s="66" t="n">
        <x:v>0</x:v>
      </x:c>
      <x:c r="F138" s="66" t="n">
        <x:v>0</x:v>
      </x:c>
      <x:c r="G138" s="66" t="n">
        <x:v>0</x:v>
      </x:c>
      <x:c r="H138" s="66" t="n">
        <x:v>0</x:v>
      </x:c>
      <x:c r="I138" s="66" t="n">
        <x:v>0</x:v>
      </x:c>
      <x:c r="J138" s="80" t="n">
        <x:v>1</x:v>
      </x:c>
      <x:c r="K138" s="66" t="n">
        <x:v>0</x:v>
      </x:c>
      <x:c r="L138" s="66" t="n">
        <x:v>0</x:v>
      </x:c>
      <x:c r="M138" s="66" t="n">
        <x:v>1</x:v>
      </x:c>
      <x:c r="N138" s="66" t="n">
        <x:v>0</x:v>
      </x:c>
      <x:c r="O138" s="66" t="n">
        <x:v>0</x:v>
      </x:c>
      <x:c r="P138" s="66" t="n">
        <x:v>0</x:v>
      </x:c>
      <x:c r="Q138" s="66" t="n">
        <x:v>0</x:v>
      </x:c>
      <x:c r="R138" s="80" t="n">
        <x:v>0</x:v>
      </x:c>
      <x:c r="S138" s="66" t="n">
        <x:v>0</x:v>
      </x:c>
      <x:c r="T138" s="66" t="n">
        <x:v>0</x:v>
      </x:c>
      <x:c r="U138" s="66" t="n">
        <x:v>0</x:v>
      </x:c>
      <x:c r="V138" s="66" t="n">
        <x:v>0</x:v>
      </x:c>
      <x:c r="W138" s="66" t="n">
        <x:v>0</x:v>
      </x:c>
      <x:c r="X138" s="81" t="n">
        <x:f>MIN(1,IF(E138=1,'Island Architectures'!$G$13,'Island Architectures'!$D$13)*(1-F138/'Island Architectures'!$E$13)*(1-G138/'Island Architectures'!$F$13)*IF(H138&lt;'Island Architectures'!$H$13,1,0))</x:f>
        <x:v>1</x:v>
      </x:c>
      <x:c r="Y138" s="81" t="n">
        <x:f>MIN(1,'Island Architectures'!$I$13*(1-I138/'Island Architectures'!$J$13)*J138)</x:f>
        <x:v>1</x:v>
      </x:c>
      <x:c r="Z138" s="81" t="n">
        <x:f>MIN(1,'Island Architectures'!$K$13*(1-K138/'Island Architectures'!$L$13))</x:f>
        <x:v>1</x:v>
      </x:c>
      <x:c r="AA138" s="81" t="n">
        <x:f>MIN(1,'Island Architectures'!$M$13*(1-L138/'Island Architectures'!$N$13))</x:f>
        <x:v>1</x:v>
      </x:c>
      <x:c r="AB138" s="81" t="n">
        <x:f>MIN(1,'Island Architectures'!$O$13*(1-M138/'Island Architectures'!$P$13))</x:f>
        <x:v>1</x:v>
      </x:c>
      <x:c r="AC138" s="81" t="n">
        <x:f>MIN(1,'Island Architectures'!$Q$13*(1-N138/'Island Architectures'!$R$13))</x:f>
        <x:v>1</x:v>
      </x:c>
      <x:c r="AD138" s="81" t="n">
        <x:f>MIN(1,'Island Architectures'!$Q$13*(1-O138/'Island Architectures'!$S$13))</x:f>
        <x:v>1</x:v>
      </x:c>
      <x:c r="AE138" s="81" t="n">
        <x:f>MIN(1,'Island Architectures'!$T$13*(1-P138/'Island Architectures'!$U$13))</x:f>
        <x:v>1</x:v>
      </x:c>
      <x:c r="AF138" s="81" t="n">
        <x:f>MIN(1,'Island Architectures'!$V$13*(1-Q138/'Island Architectures'!$W$13))</x:f>
        <x:v>1</x:v>
      </x:c>
      <x:c r="AG138" s="81" t="n">
        <x:f>MIN(1,'Island Architectures'!$X$13*(1-R138)*(1-S138/'Island Architectures'!$Y$13))</x:f>
        <x:v>1</x:v>
      </x:c>
      <x:c r="AH138" s="81" t="n">
        <x:f>IF(T138&lt;'Island Architectures'!$Z$13,1,0)</x:f>
        <x:v>1</x:v>
      </x:c>
      <x:c r="AI138" s="81" t="n">
        <x:f>MIN(1,'Island Architectures'!$AA$13*(1-U138/'Island Architectures'!$AB$13))</x:f>
        <x:v>1</x:v>
      </x:c>
      <x:c r="AJ138" s="81" t="n">
        <x:f>IF(V138=1,MIN(1,'Island Architectures'!$AD$13/Assumptions!$C$10),1)</x:f>
        <x:v>1</x:v>
      </x:c>
      <x:c r="AK138" s="81" t="n">
        <x:f>IF(W138=1,'Island Architectures'!$AC$13,1)</x:f>
        <x:v>1</x:v>
      </x:c>
      <x:c r="AL138" s="81" t="n">
        <x:f>MIN(X138:AK138)</x:f>
        <x:v>1</x:v>
      </x:c>
      <x:c r="AM138" s="70" t="str">
        <x:f>IF(AL138&gt;=Assumptions!$C$9,"PASS","FAIL")</x:f>
        <x:v>PASS</x:v>
      </x:c>
      <x:c r="AN138" s="52" t="str">
        <x:v>loop count is tested as complete service</x:v>
      </x:c>
    </x:row>
    <x:row r="139">
      <x:c r="B139" s="66" t="str">
        <x:v>A6</x:v>
      </x:c>
      <x:c r="C139" s="66" t="str">
        <x:v>I12</x:v>
      </x:c>
      <x:c r="D139" s="66" t="str">
        <x:v>One service node lost</x:v>
      </x:c>
      <x:c r="E139" s="66" t="n">
        <x:v>0</x:v>
      </x:c>
      <x:c r="F139" s="66" t="n">
        <x:v>0</x:v>
      </x:c>
      <x:c r="G139" s="66" t="n">
        <x:v>0</x:v>
      </x:c>
      <x:c r="H139" s="66" t="n">
        <x:v>0</x:v>
      </x:c>
      <x:c r="I139" s="66" t="n">
        <x:v>0</x:v>
      </x:c>
      <x:c r="J139" s="80" t="n">
        <x:v>1</x:v>
      </x:c>
      <x:c r="K139" s="66" t="n">
        <x:v>0</x:v>
      </x:c>
      <x:c r="L139" s="66" t="n">
        <x:v>0</x:v>
      </x:c>
      <x:c r="M139" s="66" t="n">
        <x:v>0</x:v>
      </x:c>
      <x:c r="N139" s="66" t="n">
        <x:v>1</x:v>
      </x:c>
      <x:c r="O139" s="66" t="n">
        <x:v>0</x:v>
      </x:c>
      <x:c r="P139" s="66" t="n">
        <x:v>0</x:v>
      </x:c>
      <x:c r="Q139" s="66" t="n">
        <x:v>0</x:v>
      </x:c>
      <x:c r="R139" s="80" t="n">
        <x:v>0</x:v>
      </x:c>
      <x:c r="S139" s="66" t="n">
        <x:v>0</x:v>
      </x:c>
      <x:c r="T139" s="66" t="n">
        <x:v>0</x:v>
      </x:c>
      <x:c r="U139" s="66" t="n">
        <x:v>0</x:v>
      </x:c>
      <x:c r="V139" s="66" t="n">
        <x:v>0</x:v>
      </x:c>
      <x:c r="W139" s="66" t="n">
        <x:v>0</x:v>
      </x:c>
      <x:c r="X139" s="81" t="n">
        <x:f>MIN(1,IF(E139=1,'Island Architectures'!$G$13,'Island Architectures'!$D$13)*(1-F139/'Island Architectures'!$E$13)*(1-G139/'Island Architectures'!$F$13)*IF(H139&lt;'Island Architectures'!$H$13,1,0))</x:f>
        <x:v>1</x:v>
      </x:c>
      <x:c r="Y139" s="81" t="n">
        <x:f>MIN(1,'Island Architectures'!$I$13*(1-I139/'Island Architectures'!$J$13)*J139)</x:f>
        <x:v>1</x:v>
      </x:c>
      <x:c r="Z139" s="81" t="n">
        <x:f>MIN(1,'Island Architectures'!$K$13*(1-K139/'Island Architectures'!$L$13))</x:f>
        <x:v>1</x:v>
      </x:c>
      <x:c r="AA139" s="81" t="n">
        <x:f>MIN(1,'Island Architectures'!$M$13*(1-L139/'Island Architectures'!$N$13))</x:f>
        <x:v>1</x:v>
      </x:c>
      <x:c r="AB139" s="81" t="n">
        <x:f>MIN(1,'Island Architectures'!$O$13*(1-M139/'Island Architectures'!$P$13))</x:f>
        <x:v>1</x:v>
      </x:c>
      <x:c r="AC139" s="81" t="n">
        <x:f>MIN(1,'Island Architectures'!$Q$13*(1-N139/'Island Architectures'!$R$13))</x:f>
        <x:v>1</x:v>
      </x:c>
      <x:c r="AD139" s="81" t="n">
        <x:f>MIN(1,'Island Architectures'!$Q$13*(1-O139/'Island Architectures'!$S$13))</x:f>
        <x:v>1</x:v>
      </x:c>
      <x:c r="AE139" s="81" t="n">
        <x:f>MIN(1,'Island Architectures'!$T$13*(1-P139/'Island Architectures'!$U$13))</x:f>
        <x:v>1</x:v>
      </x:c>
      <x:c r="AF139" s="81" t="n">
        <x:f>MIN(1,'Island Architectures'!$V$13*(1-Q139/'Island Architectures'!$W$13))</x:f>
        <x:v>1</x:v>
      </x:c>
      <x:c r="AG139" s="81" t="n">
        <x:f>MIN(1,'Island Architectures'!$X$13*(1-R139)*(1-S139/'Island Architectures'!$Y$13))</x:f>
        <x:v>1</x:v>
      </x:c>
      <x:c r="AH139" s="81" t="n">
        <x:f>IF(T139&lt;'Island Architectures'!$Z$13,1,0)</x:f>
        <x:v>1</x:v>
      </x:c>
      <x:c r="AI139" s="81" t="n">
        <x:f>MIN(1,'Island Architectures'!$AA$13*(1-U139/'Island Architectures'!$AB$13))</x:f>
        <x:v>1</x:v>
      </x:c>
      <x:c r="AJ139" s="81" t="n">
        <x:f>IF(V139=1,MIN(1,'Island Architectures'!$AD$13/Assumptions!$C$10),1)</x:f>
        <x:v>1</x:v>
      </x:c>
      <x:c r="AK139" s="81" t="n">
        <x:f>IF(W139=1,'Island Architectures'!$AC$13,1)</x:f>
        <x:v>1</x:v>
      </x:c>
      <x:c r="AL139" s="81" t="n">
        <x:f>MIN(X139:AK139)</x:f>
        <x:v>1</x:v>
      </x:c>
      <x:c r="AM139" s="70" t="str">
        <x:f>IF(AL139&gt;=Assumptions!$C$9,"PASS","FAIL")</x:f>
        <x:v>PASS</x:v>
      </x:c>
      <x:c r="AN139" s="52" t="str">
        <x:v>one-tenth of occupied interface removed</x:v>
      </x:c>
    </x:row>
    <x:row r="140">
      <x:c r="B140" s="66" t="str">
        <x:v>A6</x:v>
      </x:c>
      <x:c r="C140" s="66" t="str">
        <x:v>I13</x:v>
      </x:c>
      <x:c r="D140" s="66" t="str">
        <x:v>Two adjacent service nodes lost</x:v>
      </x:c>
      <x:c r="E140" s="66" t="n">
        <x:v>0</x:v>
      </x:c>
      <x:c r="F140" s="66" t="n">
        <x:v>0</x:v>
      </x:c>
      <x:c r="G140" s="66" t="n">
        <x:v>0</x:v>
      </x:c>
      <x:c r="H140" s="66" t="n">
        <x:v>0</x:v>
      </x:c>
      <x:c r="I140" s="66" t="n">
        <x:v>0</x:v>
      </x:c>
      <x:c r="J140" s="80" t="n">
        <x:v>1</x:v>
      </x:c>
      <x:c r="K140" s="66" t="n">
        <x:v>0</x:v>
      </x:c>
      <x:c r="L140" s="66" t="n">
        <x:v>0</x:v>
      </x:c>
      <x:c r="M140" s="66" t="n">
        <x:v>0</x:v>
      </x:c>
      <x:c r="N140" s="66" t="n">
        <x:v>2</x:v>
      </x:c>
      <x:c r="O140" s="66" t="n">
        <x:v>0</x:v>
      </x:c>
      <x:c r="P140" s="66" t="n">
        <x:v>0</x:v>
      </x:c>
      <x:c r="Q140" s="66" t="n">
        <x:v>0</x:v>
      </x:c>
      <x:c r="R140" s="80" t="n">
        <x:v>0</x:v>
      </x:c>
      <x:c r="S140" s="66" t="n">
        <x:v>0</x:v>
      </x:c>
      <x:c r="T140" s="66" t="n">
        <x:v>0</x:v>
      </x:c>
      <x:c r="U140" s="66" t="n">
        <x:v>0</x:v>
      </x:c>
      <x:c r="V140" s="66" t="n">
        <x:v>0</x:v>
      </x:c>
      <x:c r="W140" s="66" t="n">
        <x:v>0</x:v>
      </x:c>
      <x:c r="X140" s="81" t="n">
        <x:f>MIN(1,IF(E140=1,'Island Architectures'!$G$13,'Island Architectures'!$D$13)*(1-F140/'Island Architectures'!$E$13)*(1-G140/'Island Architectures'!$F$13)*IF(H140&lt;'Island Architectures'!$H$13,1,0))</x:f>
        <x:v>1</x:v>
      </x:c>
      <x:c r="Y140" s="81" t="n">
        <x:f>MIN(1,'Island Architectures'!$I$13*(1-I140/'Island Architectures'!$J$13)*J140)</x:f>
        <x:v>1</x:v>
      </x:c>
      <x:c r="Z140" s="81" t="n">
        <x:f>MIN(1,'Island Architectures'!$K$13*(1-K140/'Island Architectures'!$L$13))</x:f>
        <x:v>1</x:v>
      </x:c>
      <x:c r="AA140" s="81" t="n">
        <x:f>MIN(1,'Island Architectures'!$M$13*(1-L140/'Island Architectures'!$N$13))</x:f>
        <x:v>1</x:v>
      </x:c>
      <x:c r="AB140" s="81" t="n">
        <x:f>MIN(1,'Island Architectures'!$O$13*(1-M140/'Island Architectures'!$P$13))</x:f>
        <x:v>1</x:v>
      </x:c>
      <x:c r="AC140" s="81" t="n">
        <x:f>MIN(1,'Island Architectures'!$Q$13*(1-N140/'Island Architectures'!$R$13))</x:f>
        <x:v>1</x:v>
      </x:c>
      <x:c r="AD140" s="81" t="n">
        <x:f>MIN(1,'Island Architectures'!$Q$13*(1-O140/'Island Architectures'!$S$13))</x:f>
        <x:v>1</x:v>
      </x:c>
      <x:c r="AE140" s="81" t="n">
        <x:f>MIN(1,'Island Architectures'!$T$13*(1-P140/'Island Architectures'!$U$13))</x:f>
        <x:v>1</x:v>
      </x:c>
      <x:c r="AF140" s="81" t="n">
        <x:f>MIN(1,'Island Architectures'!$V$13*(1-Q140/'Island Architectures'!$W$13))</x:f>
        <x:v>1</x:v>
      </x:c>
      <x:c r="AG140" s="81" t="n">
        <x:f>MIN(1,'Island Architectures'!$X$13*(1-R140)*(1-S140/'Island Architectures'!$Y$13))</x:f>
        <x:v>1</x:v>
      </x:c>
      <x:c r="AH140" s="81" t="n">
        <x:f>IF(T140&lt;'Island Architectures'!$Z$13,1,0)</x:f>
        <x:v>1</x:v>
      </x:c>
      <x:c r="AI140" s="81" t="n">
        <x:f>MIN(1,'Island Architectures'!$AA$13*(1-U140/'Island Architectures'!$AB$13))</x:f>
        <x:v>1</x:v>
      </x:c>
      <x:c r="AJ140" s="81" t="n">
        <x:f>IF(V140=1,MIN(1,'Island Architectures'!$AD$13/Assumptions!$C$10),1)</x:f>
        <x:v>1</x:v>
      </x:c>
      <x:c r="AK140" s="81" t="n">
        <x:f>IF(W140=1,'Island Architectures'!$AC$13,1)</x:f>
        <x:v>1</x:v>
      </x:c>
      <x:c r="AL140" s="81" t="n">
        <x:f>MIN(X140:AK140)</x:f>
        <x:v>1</x:v>
      </x:c>
      <x:c r="AM140" s="70" t="str">
        <x:f>IF(AL140&gt;=Assumptions!$C$9,"PASS","FAIL")</x:f>
        <x:v>PASS</x:v>
      </x:c>
      <x:c r="AN140" s="52" t="str">
        <x:v>tests spare node capacity and cross-feed</x:v>
      </x:c>
    </x:row>
    <x:row r="141">
      <x:c r="B141" s="66" t="str">
        <x:v>A6</x:v>
      </x:c>
      <x:c r="C141" s="66" t="str">
        <x:v>I14</x:v>
      </x:c>
      <x:c r="D141" s="66" t="str">
        <x:v>One complete hazard zone lost</x:v>
      </x:c>
      <x:c r="E141" s="66" t="n">
        <x:v>0</x:v>
      </x:c>
      <x:c r="F141" s="66" t="n">
        <x:v>0</x:v>
      </x:c>
      <x:c r="G141" s="66" t="n">
        <x:v>0</x:v>
      </x:c>
      <x:c r="H141" s="66" t="n">
        <x:v>0</x:v>
      </x:c>
      <x:c r="I141" s="66" t="n">
        <x:v>0</x:v>
      </x:c>
      <x:c r="J141" s="80" t="n">
        <x:v>1</x:v>
      </x:c>
      <x:c r="K141" s="66" t="n">
        <x:v>0</x:v>
      </x:c>
      <x:c r="L141" s="66" t="n">
        <x:v>0</x:v>
      </x:c>
      <x:c r="M141" s="66" t="n">
        <x:v>0</x:v>
      </x:c>
      <x:c r="N141" s="66" t="n">
        <x:v>0</x:v>
      </x:c>
      <x:c r="O141" s="66" t="n">
        <x:v>1</x:v>
      </x:c>
      <x:c r="P141" s="66" t="n">
        <x:v>0</x:v>
      </x:c>
      <x:c r="Q141" s="66" t="n">
        <x:v>0</x:v>
      </x:c>
      <x:c r="R141" s="80" t="n">
        <x:v>0</x:v>
      </x:c>
      <x:c r="S141" s="66" t="n">
        <x:v>0</x:v>
      </x:c>
      <x:c r="T141" s="66" t="n">
        <x:v>0</x:v>
      </x:c>
      <x:c r="U141" s="66" t="n">
        <x:v>0</x:v>
      </x:c>
      <x:c r="V141" s="66" t="n">
        <x:v>0</x:v>
      </x:c>
      <x:c r="W141" s="66" t="n">
        <x:v>0</x:v>
      </x:c>
      <x:c r="X141" s="81" t="n">
        <x:f>MIN(1,IF(E141=1,'Island Architectures'!$G$13,'Island Architectures'!$D$13)*(1-F141/'Island Architectures'!$E$13)*(1-G141/'Island Architectures'!$F$13)*IF(H141&lt;'Island Architectures'!$H$13,1,0))</x:f>
        <x:v>1</x:v>
      </x:c>
      <x:c r="Y141" s="81" t="n">
        <x:f>MIN(1,'Island Architectures'!$I$13*(1-I141/'Island Architectures'!$J$13)*J141)</x:f>
        <x:v>1</x:v>
      </x:c>
      <x:c r="Z141" s="81" t="n">
        <x:f>MIN(1,'Island Architectures'!$K$13*(1-K141/'Island Architectures'!$L$13))</x:f>
        <x:v>1</x:v>
      </x:c>
      <x:c r="AA141" s="81" t="n">
        <x:f>MIN(1,'Island Architectures'!$M$13*(1-L141/'Island Architectures'!$N$13))</x:f>
        <x:v>1</x:v>
      </x:c>
      <x:c r="AB141" s="81" t="n">
        <x:f>MIN(1,'Island Architectures'!$O$13*(1-M141/'Island Architectures'!$P$13))</x:f>
        <x:v>1</x:v>
      </x:c>
      <x:c r="AC141" s="81" t="n">
        <x:f>MIN(1,'Island Architectures'!$Q$13*(1-N141/'Island Architectures'!$R$13))</x:f>
        <x:v>1</x:v>
      </x:c>
      <x:c r="AD141" s="81" t="n">
        <x:f>MIN(1,'Island Architectures'!$Q$13*(1-O141/'Island Architectures'!$S$13))</x:f>
        <x:v>1</x:v>
      </x:c>
      <x:c r="AE141" s="81" t="n">
        <x:f>MIN(1,'Island Architectures'!$T$13*(1-P141/'Island Architectures'!$U$13))</x:f>
        <x:v>1</x:v>
      </x:c>
      <x:c r="AF141" s="81" t="n">
        <x:f>MIN(1,'Island Architectures'!$V$13*(1-Q141/'Island Architectures'!$W$13))</x:f>
        <x:v>1</x:v>
      </x:c>
      <x:c r="AG141" s="81" t="n">
        <x:f>MIN(1,'Island Architectures'!$X$13*(1-R141)*(1-S141/'Island Architectures'!$Y$13))</x:f>
        <x:v>1</x:v>
      </x:c>
      <x:c r="AH141" s="81" t="n">
        <x:f>IF(T141&lt;'Island Architectures'!$Z$13,1,0)</x:f>
        <x:v>1</x:v>
      </x:c>
      <x:c r="AI141" s="81" t="n">
        <x:f>MIN(1,'Island Architectures'!$AA$13*(1-U141/'Island Architectures'!$AB$13))</x:f>
        <x:v>1</x:v>
      </x:c>
      <x:c r="AJ141" s="81" t="n">
        <x:f>IF(V141=1,MIN(1,'Island Architectures'!$AD$13/Assumptions!$C$10),1)</x:f>
        <x:v>1</x:v>
      </x:c>
      <x:c r="AK141" s="81" t="n">
        <x:f>IF(W141=1,'Island Architectures'!$AC$13,1)</x:f>
        <x:v>1</x:v>
      </x:c>
      <x:c r="AL141" s="81" t="n">
        <x:f>MIN(X141:AK141)</x:f>
        <x:v>1</x:v>
      </x:c>
      <x:c r="AM141" s="70" t="str">
        <x:f>IF(AL141&gt;=Assumptions!$C$9,"PASS","FAIL")</x:f>
        <x:v>PASS</x:v>
      </x:c>
      <x:c r="AN141" s="52" t="str">
        <x:v>fire, flood, wind or structural isolation</x:v>
      </x:c>
    </x:row>
    <x:row r="142">
      <x:c r="B142" s="66" t="str">
        <x:v>A6</x:v>
      </x:c>
      <x:c r="C142" s="66" t="str">
        <x:v>I15</x:v>
      </x:c>
      <x:c r="D142" s="66" t="str">
        <x:v>Flood severs one corridor and zone</x:v>
      </x:c>
      <x:c r="E142" s="66" t="n">
        <x:v>0</x:v>
      </x:c>
      <x:c r="F142" s="66" t="n">
        <x:v>0</x:v>
      </x:c>
      <x:c r="G142" s="66" t="n">
        <x:v>0</x:v>
      </x:c>
      <x:c r="H142" s="66" t="n">
        <x:v>0</x:v>
      </x:c>
      <x:c r="I142" s="66" t="n">
        <x:v>0</x:v>
      </x:c>
      <x:c r="J142" s="80" t="n">
        <x:v>1</x:v>
      </x:c>
      <x:c r="K142" s="66" t="n">
        <x:v>0</x:v>
      </x:c>
      <x:c r="L142" s="66" t="n">
        <x:v>0</x:v>
      </x:c>
      <x:c r="M142" s="66" t="n">
        <x:v>1</x:v>
      </x:c>
      <x:c r="N142" s="66" t="n">
        <x:v>0</x:v>
      </x:c>
      <x:c r="O142" s="66" t="n">
        <x:v>1</x:v>
      </x:c>
      <x:c r="P142" s="66" t="n">
        <x:v>0</x:v>
      </x:c>
      <x:c r="Q142" s="66" t="n">
        <x:v>0</x:v>
      </x:c>
      <x:c r="R142" s="80" t="n">
        <x:v>0</x:v>
      </x:c>
      <x:c r="S142" s="66" t="n">
        <x:v>0</x:v>
      </x:c>
      <x:c r="T142" s="66" t="n">
        <x:v>0</x:v>
      </x:c>
      <x:c r="U142" s="66" t="n">
        <x:v>0</x:v>
      </x:c>
      <x:c r="V142" s="66" t="n">
        <x:v>0</x:v>
      </x:c>
      <x:c r="W142" s="66" t="n">
        <x:v>0</x:v>
      </x:c>
      <x:c r="X142" s="81" t="n">
        <x:f>MIN(1,IF(E142=1,'Island Architectures'!$G$13,'Island Architectures'!$D$13)*(1-F142/'Island Architectures'!$E$13)*(1-G142/'Island Architectures'!$F$13)*IF(H142&lt;'Island Architectures'!$H$13,1,0))</x:f>
        <x:v>1</x:v>
      </x:c>
      <x:c r="Y142" s="81" t="n">
        <x:f>MIN(1,'Island Architectures'!$I$13*(1-I142/'Island Architectures'!$J$13)*J142)</x:f>
        <x:v>1</x:v>
      </x:c>
      <x:c r="Z142" s="81" t="n">
        <x:f>MIN(1,'Island Architectures'!$K$13*(1-K142/'Island Architectures'!$L$13))</x:f>
        <x:v>1</x:v>
      </x:c>
      <x:c r="AA142" s="81" t="n">
        <x:f>MIN(1,'Island Architectures'!$M$13*(1-L142/'Island Architectures'!$N$13))</x:f>
        <x:v>1</x:v>
      </x:c>
      <x:c r="AB142" s="81" t="n">
        <x:f>MIN(1,'Island Architectures'!$O$13*(1-M142/'Island Architectures'!$P$13))</x:f>
        <x:v>1</x:v>
      </x:c>
      <x:c r="AC142" s="81" t="n">
        <x:f>MIN(1,'Island Architectures'!$Q$13*(1-N142/'Island Architectures'!$R$13))</x:f>
        <x:v>1</x:v>
      </x:c>
      <x:c r="AD142" s="81" t="n">
        <x:f>MIN(1,'Island Architectures'!$Q$13*(1-O142/'Island Architectures'!$S$13))</x:f>
        <x:v>1</x:v>
      </x:c>
      <x:c r="AE142" s="81" t="n">
        <x:f>MIN(1,'Island Architectures'!$T$13*(1-P142/'Island Architectures'!$U$13))</x:f>
        <x:v>1</x:v>
      </x:c>
      <x:c r="AF142" s="81" t="n">
        <x:f>MIN(1,'Island Architectures'!$V$13*(1-Q142/'Island Architectures'!$W$13))</x:f>
        <x:v>1</x:v>
      </x:c>
      <x:c r="AG142" s="81" t="n">
        <x:f>MIN(1,'Island Architectures'!$X$13*(1-R142)*(1-S142/'Island Architectures'!$Y$13))</x:f>
        <x:v>1</x:v>
      </x:c>
      <x:c r="AH142" s="81" t="n">
        <x:f>IF(T142&lt;'Island Architectures'!$Z$13,1,0)</x:f>
        <x:v>1</x:v>
      </x:c>
      <x:c r="AI142" s="81" t="n">
        <x:f>MIN(1,'Island Architectures'!$AA$13*(1-U142/'Island Architectures'!$AB$13))</x:f>
        <x:v>1</x:v>
      </x:c>
      <x:c r="AJ142" s="81" t="n">
        <x:f>IF(V142=1,MIN(1,'Island Architectures'!$AD$13/Assumptions!$C$10),1)</x:f>
        <x:v>1</x:v>
      </x:c>
      <x:c r="AK142" s="81" t="n">
        <x:f>IF(W142=1,'Island Architectures'!$AC$13,1)</x:f>
        <x:v>1</x:v>
      </x:c>
      <x:c r="AL142" s="81" t="n">
        <x:f>MIN(X142:AK142)</x:f>
        <x:v>1</x:v>
      </x:c>
      <x:c r="AM142" s="70" t="str">
        <x:f>IF(AL142&gt;=Assumptions!$C$9,"PASS","FAIL")</x:f>
        <x:v>PASS</x:v>
      </x:c>
      <x:c r="AN142" s="52" t="str">
        <x:v>coupled local physical loss</x:v>
      </x:c>
    </x:row>
    <x:row r="143">
      <x:c r="B143" s="66" t="str">
        <x:v>A6</x:v>
      </x:c>
      <x:c r="C143" s="66" t="str">
        <x:v>I16</x:v>
      </x:c>
      <x:c r="D143" s="66" t="str">
        <x:v>One control partition lost</x:v>
      </x:c>
      <x:c r="E143" s="66" t="n">
        <x:v>0</x:v>
      </x:c>
      <x:c r="F143" s="66" t="n">
        <x:v>0</x:v>
      </x:c>
      <x:c r="G143" s="66" t="n">
        <x:v>0</x:v>
      </x:c>
      <x:c r="H143" s="66" t="n">
        <x:v>0</x:v>
      </x:c>
      <x:c r="I143" s="66" t="n">
        <x:v>0</x:v>
      </x:c>
      <x:c r="J143" s="80" t="n">
        <x:v>1</x:v>
      </x:c>
      <x:c r="K143" s="66" t="n">
        <x:v>0</x:v>
      </x:c>
      <x:c r="L143" s="66" t="n">
        <x:v>0</x:v>
      </x:c>
      <x:c r="M143" s="66" t="n">
        <x:v>0</x:v>
      </x:c>
      <x:c r="N143" s="66" t="n">
        <x:v>0</x:v>
      </x:c>
      <x:c r="O143" s="66" t="n">
        <x:v>0</x:v>
      </x:c>
      <x:c r="P143" s="66" t="n">
        <x:v>1</x:v>
      </x:c>
      <x:c r="Q143" s="66" t="n">
        <x:v>0</x:v>
      </x:c>
      <x:c r="R143" s="80" t="n">
        <x:v>0</x:v>
      </x:c>
      <x:c r="S143" s="66" t="n">
        <x:v>0</x:v>
      </x:c>
      <x:c r="T143" s="66" t="n">
        <x:v>0</x:v>
      </x:c>
      <x:c r="U143" s="66" t="n">
        <x:v>0</x:v>
      </x:c>
      <x:c r="V143" s="66" t="n">
        <x:v>0</x:v>
      </x:c>
      <x:c r="W143" s="66" t="n">
        <x:v>0</x:v>
      </x:c>
      <x:c r="X143" s="81" t="n">
        <x:f>MIN(1,IF(E143=1,'Island Architectures'!$G$13,'Island Architectures'!$D$13)*(1-F143/'Island Architectures'!$E$13)*(1-G143/'Island Architectures'!$F$13)*IF(H143&lt;'Island Architectures'!$H$13,1,0))</x:f>
        <x:v>1</x:v>
      </x:c>
      <x:c r="Y143" s="81" t="n">
        <x:f>MIN(1,'Island Architectures'!$I$13*(1-I143/'Island Architectures'!$J$13)*J143)</x:f>
        <x:v>1</x:v>
      </x:c>
      <x:c r="Z143" s="81" t="n">
        <x:f>MIN(1,'Island Architectures'!$K$13*(1-K143/'Island Architectures'!$L$13))</x:f>
        <x:v>1</x:v>
      </x:c>
      <x:c r="AA143" s="81" t="n">
        <x:f>MIN(1,'Island Architectures'!$M$13*(1-L143/'Island Architectures'!$N$13))</x:f>
        <x:v>1</x:v>
      </x:c>
      <x:c r="AB143" s="81" t="n">
        <x:f>MIN(1,'Island Architectures'!$O$13*(1-M143/'Island Architectures'!$P$13))</x:f>
        <x:v>1</x:v>
      </x:c>
      <x:c r="AC143" s="81" t="n">
        <x:f>MIN(1,'Island Architectures'!$Q$13*(1-N143/'Island Architectures'!$R$13))</x:f>
        <x:v>1</x:v>
      </x:c>
      <x:c r="AD143" s="81" t="n">
        <x:f>MIN(1,'Island Architectures'!$Q$13*(1-O143/'Island Architectures'!$S$13))</x:f>
        <x:v>1</x:v>
      </x:c>
      <x:c r="AE143" s="81" t="n">
        <x:f>MIN(1,'Island Architectures'!$T$13*(1-P143/'Island Architectures'!$U$13))</x:f>
        <x:v>1</x:v>
      </x:c>
      <x:c r="AF143" s="81" t="n">
        <x:f>MIN(1,'Island Architectures'!$V$13*(1-Q143/'Island Architectures'!$W$13))</x:f>
        <x:v>1</x:v>
      </x:c>
      <x:c r="AG143" s="81" t="n">
        <x:f>MIN(1,'Island Architectures'!$X$13*(1-R143)*(1-S143/'Island Architectures'!$Y$13))</x:f>
        <x:v>1</x:v>
      </x:c>
      <x:c r="AH143" s="81" t="n">
        <x:f>IF(T143&lt;'Island Architectures'!$Z$13,1,0)</x:f>
        <x:v>1</x:v>
      </x:c>
      <x:c r="AI143" s="81" t="n">
        <x:f>MIN(1,'Island Architectures'!$AA$13*(1-U143/'Island Architectures'!$AB$13))</x:f>
        <x:v>1</x:v>
      </x:c>
      <x:c r="AJ143" s="81" t="n">
        <x:f>IF(V143=1,MIN(1,'Island Architectures'!$AD$13/Assumptions!$C$10),1)</x:f>
        <x:v>1</x:v>
      </x:c>
      <x:c r="AK143" s="81" t="n">
        <x:f>IF(W143=1,'Island Architectures'!$AC$13,1)</x:f>
        <x:v>1</x:v>
      </x:c>
      <x:c r="AL143" s="81" t="n">
        <x:f>MIN(X143:AK143)</x:f>
        <x:v>1</x:v>
      </x:c>
      <x:c r="AM143" s="70" t="str">
        <x:f>IF(AL143&gt;=Assumptions!$C$9,"PASS","FAIL")</x:f>
        <x:v>PASS</x:v>
      </x:c>
      <x:c r="AN143" s="52" t="str">
        <x:v>protection remains safe without cloud control</x:v>
      </x:c>
    </x:row>
    <x:row r="144">
      <x:c r="B144" s="66" t="str">
        <x:v>A6</x:v>
      </x:c>
      <x:c r="C144" s="66" t="str">
        <x:v>I17</x:v>
      </x:c>
      <x:c r="D144" s="66" t="str">
        <x:v>One communications path lost</x:v>
      </x:c>
      <x:c r="E144" s="66" t="n">
        <x:v>0</x:v>
      </x:c>
      <x:c r="F144" s="66" t="n">
        <x:v>0</x:v>
      </x:c>
      <x:c r="G144" s="66" t="n">
        <x:v>0</x:v>
      </x:c>
      <x:c r="H144" s="66" t="n">
        <x:v>0</x:v>
      </x:c>
      <x:c r="I144" s="66" t="n">
        <x:v>0</x:v>
      </x:c>
      <x:c r="J144" s="80" t="n">
        <x:v>1</x:v>
      </x:c>
      <x:c r="K144" s="66" t="n">
        <x:v>0</x:v>
      </x:c>
      <x:c r="L144" s="66" t="n">
        <x:v>0</x:v>
      </x:c>
      <x:c r="M144" s="66" t="n">
        <x:v>0</x:v>
      </x:c>
      <x:c r="N144" s="66" t="n">
        <x:v>0</x:v>
      </x:c>
      <x:c r="O144" s="66" t="n">
        <x:v>0</x:v>
      </x:c>
      <x:c r="P144" s="66" t="n">
        <x:v>0</x:v>
      </x:c>
      <x:c r="Q144" s="66" t="n">
        <x:v>1</x:v>
      </x:c>
      <x:c r="R144" s="80" t="n">
        <x:v>0</x:v>
      </x:c>
      <x:c r="S144" s="66" t="n">
        <x:v>0</x:v>
      </x:c>
      <x:c r="T144" s="66" t="n">
        <x:v>0</x:v>
      </x:c>
      <x:c r="U144" s="66" t="n">
        <x:v>0</x:v>
      </x:c>
      <x:c r="V144" s="66" t="n">
        <x:v>0</x:v>
      </x:c>
      <x:c r="W144" s="66" t="n">
        <x:v>0</x:v>
      </x:c>
      <x:c r="X144" s="81" t="n">
        <x:f>MIN(1,IF(E144=1,'Island Architectures'!$G$13,'Island Architectures'!$D$13)*(1-F144/'Island Architectures'!$E$13)*(1-G144/'Island Architectures'!$F$13)*IF(H144&lt;'Island Architectures'!$H$13,1,0))</x:f>
        <x:v>1</x:v>
      </x:c>
      <x:c r="Y144" s="81" t="n">
        <x:f>MIN(1,'Island Architectures'!$I$13*(1-I144/'Island Architectures'!$J$13)*J144)</x:f>
        <x:v>1</x:v>
      </x:c>
      <x:c r="Z144" s="81" t="n">
        <x:f>MIN(1,'Island Architectures'!$K$13*(1-K144/'Island Architectures'!$L$13))</x:f>
        <x:v>1</x:v>
      </x:c>
      <x:c r="AA144" s="81" t="n">
        <x:f>MIN(1,'Island Architectures'!$M$13*(1-L144/'Island Architectures'!$N$13))</x:f>
        <x:v>1</x:v>
      </x:c>
      <x:c r="AB144" s="81" t="n">
        <x:f>MIN(1,'Island Architectures'!$O$13*(1-M144/'Island Architectures'!$P$13))</x:f>
        <x:v>1</x:v>
      </x:c>
      <x:c r="AC144" s="81" t="n">
        <x:f>MIN(1,'Island Architectures'!$Q$13*(1-N144/'Island Architectures'!$R$13))</x:f>
        <x:v>1</x:v>
      </x:c>
      <x:c r="AD144" s="81" t="n">
        <x:f>MIN(1,'Island Architectures'!$Q$13*(1-O144/'Island Architectures'!$S$13))</x:f>
        <x:v>1</x:v>
      </x:c>
      <x:c r="AE144" s="81" t="n">
        <x:f>MIN(1,'Island Architectures'!$T$13*(1-P144/'Island Architectures'!$U$13))</x:f>
        <x:v>1</x:v>
      </x:c>
      <x:c r="AF144" s="81" t="n">
        <x:f>MIN(1,'Island Architectures'!$V$13*(1-Q144/'Island Architectures'!$W$13))</x:f>
        <x:v>1</x:v>
      </x:c>
      <x:c r="AG144" s="81" t="n">
        <x:f>MIN(1,'Island Architectures'!$X$13*(1-R144)*(1-S144/'Island Architectures'!$Y$13))</x:f>
        <x:v>1</x:v>
      </x:c>
      <x:c r="AH144" s="81" t="n">
        <x:f>IF(T144&lt;'Island Architectures'!$Z$13,1,0)</x:f>
        <x:v>1</x:v>
      </x:c>
      <x:c r="AI144" s="81" t="n">
        <x:f>MIN(1,'Island Architectures'!$AA$13*(1-U144/'Island Architectures'!$AB$13))</x:f>
        <x:v>1</x:v>
      </x:c>
      <x:c r="AJ144" s="81" t="n">
        <x:f>IF(V144=1,MIN(1,'Island Architectures'!$AD$13/Assumptions!$C$10),1)</x:f>
        <x:v>1</x:v>
      </x:c>
      <x:c r="AK144" s="81" t="n">
        <x:f>IF(W144=1,'Island Architectures'!$AC$13,1)</x:f>
        <x:v>1</x:v>
      </x:c>
      <x:c r="AL144" s="81" t="n">
        <x:f>MIN(X144:AK144)</x:f>
        <x:v>1</x:v>
      </x:c>
      <x:c r="AM144" s="70" t="str">
        <x:f>IF(AL144&gt;=Assumptions!$C$9,"PASS","FAIL")</x:f>
        <x:v>PASS</x:v>
      </x:c>
      <x:c r="AN144" s="52" t="str">
        <x:v>voice, data and evidence paths remain</x:v>
      </x:c>
    </x:row>
    <x:row r="145">
      <x:c r="B145" s="66" t="str">
        <x:v>A6</x:v>
      </x:c>
      <x:c r="C145" s="66" t="str">
        <x:v>I18</x:v>
      </x:c>
      <x:c r="D145" s="66" t="str">
        <x:v>Twenty-five percent workforce loss</x:v>
      </x:c>
      <x:c r="E145" s="66" t="n">
        <x:v>0</x:v>
      </x:c>
      <x:c r="F145" s="66" t="n">
        <x:v>0</x:v>
      </x:c>
      <x:c r="G145" s="66" t="n">
        <x:v>0</x:v>
      </x:c>
      <x:c r="H145" s="66" t="n">
        <x:v>0</x:v>
      </x:c>
      <x:c r="I145" s="66" t="n">
        <x:v>0</x:v>
      </x:c>
      <x:c r="J145" s="80" t="n">
        <x:v>1</x:v>
      </x:c>
      <x:c r="K145" s="66" t="n">
        <x:v>0</x:v>
      </x:c>
      <x:c r="L145" s="66" t="n">
        <x:v>0</x:v>
      </x:c>
      <x:c r="M145" s="66" t="n">
        <x:v>0</x:v>
      </x:c>
      <x:c r="N145" s="66" t="n">
        <x:v>0</x:v>
      </x:c>
      <x:c r="O145" s="66" t="n">
        <x:v>0</x:v>
      </x:c>
      <x:c r="P145" s="66" t="n">
        <x:v>0</x:v>
      </x:c>
      <x:c r="Q145" s="66" t="n">
        <x:v>0</x:v>
      </x:c>
      <x:c r="R145" s="80" t="n">
        <x:v>0.25</x:v>
      </x:c>
      <x:c r="S145" s="66" t="n">
        <x:v>0</x:v>
      </x:c>
      <x:c r="T145" s="66" t="n">
        <x:v>0</x:v>
      </x:c>
      <x:c r="U145" s="66" t="n">
        <x:v>0</x:v>
      </x:c>
      <x:c r="V145" s="66" t="n">
        <x:v>0</x:v>
      </x:c>
      <x:c r="W145" s="66" t="n">
        <x:v>0</x:v>
      </x:c>
      <x:c r="X145" s="81" t="n">
        <x:f>MIN(1,IF(E145=1,'Island Architectures'!$G$13,'Island Architectures'!$D$13)*(1-F145/'Island Architectures'!$E$13)*(1-G145/'Island Architectures'!$F$13)*IF(H145&lt;'Island Architectures'!$H$13,1,0))</x:f>
        <x:v>1</x:v>
      </x:c>
      <x:c r="Y145" s="81" t="n">
        <x:f>MIN(1,'Island Architectures'!$I$13*(1-I145/'Island Architectures'!$J$13)*J145)</x:f>
        <x:v>1</x:v>
      </x:c>
      <x:c r="Z145" s="81" t="n">
        <x:f>MIN(1,'Island Architectures'!$K$13*(1-K145/'Island Architectures'!$L$13))</x:f>
        <x:v>1</x:v>
      </x:c>
      <x:c r="AA145" s="81" t="n">
        <x:f>MIN(1,'Island Architectures'!$M$13*(1-L145/'Island Architectures'!$N$13))</x:f>
        <x:v>1</x:v>
      </x:c>
      <x:c r="AB145" s="81" t="n">
        <x:f>MIN(1,'Island Architectures'!$O$13*(1-M145/'Island Architectures'!$P$13))</x:f>
        <x:v>1</x:v>
      </x:c>
      <x:c r="AC145" s="81" t="n">
        <x:f>MIN(1,'Island Architectures'!$Q$13*(1-N145/'Island Architectures'!$R$13))</x:f>
        <x:v>1</x:v>
      </x:c>
      <x:c r="AD145" s="81" t="n">
        <x:f>MIN(1,'Island Architectures'!$Q$13*(1-O145/'Island Architectures'!$S$13))</x:f>
        <x:v>1</x:v>
      </x:c>
      <x:c r="AE145" s="81" t="n">
        <x:f>MIN(1,'Island Architectures'!$T$13*(1-P145/'Island Architectures'!$U$13))</x:f>
        <x:v>1</x:v>
      </x:c>
      <x:c r="AF145" s="81" t="n">
        <x:f>MIN(1,'Island Architectures'!$V$13*(1-Q145/'Island Architectures'!$W$13))</x:f>
        <x:v>1</x:v>
      </x:c>
      <x:c r="AG145" s="81" t="n">
        <x:f>MIN(1,'Island Architectures'!$X$13*(1-R145)*(1-S145/'Island Architectures'!$Y$13))</x:f>
        <x:v>1</x:v>
      </x:c>
      <x:c r="AH145" s="81" t="n">
        <x:f>IF(T145&lt;'Island Architectures'!$Z$13,1,0)</x:f>
        <x:v>1</x:v>
      </x:c>
      <x:c r="AI145" s="81" t="n">
        <x:f>MIN(1,'Island Architectures'!$AA$13*(1-U145/'Island Architectures'!$AB$13))</x:f>
        <x:v>1</x:v>
      </x:c>
      <x:c r="AJ145" s="81" t="n">
        <x:f>IF(V145=1,MIN(1,'Island Architectures'!$AD$13/Assumptions!$C$10),1)</x:f>
        <x:v>1</x:v>
      </x:c>
      <x:c r="AK145" s="81" t="n">
        <x:f>IF(W145=1,'Island Architectures'!$AC$13,1)</x:f>
        <x:v>1</x:v>
      </x:c>
      <x:c r="AL145" s="81" t="n">
        <x:f>MIN(X145:AK145)</x:f>
        <x:v>1</x:v>
      </x:c>
      <x:c r="AM145" s="70" t="str">
        <x:f>IF(AL145&gt;=Assumptions!$C$9,"PASS","FAIL")</x:f>
        <x:v>PASS</x:v>
      </x:c>
      <x:c r="AN145" s="52" t="str">
        <x:v>illness, access and household obligations</x:v>
      </x:c>
    </x:row>
    <x:row r="146">
      <x:c r="B146" s="66" t="str">
        <x:v>A6</x:v>
      </x:c>
      <x:c r="C146" s="66" t="str">
        <x:v>I19</x:v>
      </x:c>
      <x:c r="D146" s="66" t="str">
        <x:v>One workforce lineage lost</x:v>
      </x:c>
      <x:c r="E146" s="66" t="n">
        <x:v>0</x:v>
      </x:c>
      <x:c r="F146" s="66" t="n">
        <x:v>0</x:v>
      </x:c>
      <x:c r="G146" s="66" t="n">
        <x:v>0</x:v>
      </x:c>
      <x:c r="H146" s="66" t="n">
        <x:v>0</x:v>
      </x:c>
      <x:c r="I146" s="66" t="n">
        <x:v>0</x:v>
      </x:c>
      <x:c r="J146" s="80" t="n">
        <x:v>1</x:v>
      </x:c>
      <x:c r="K146" s="66" t="n">
        <x:v>0</x:v>
      </x:c>
      <x:c r="L146" s="66" t="n">
        <x:v>0</x:v>
      </x:c>
      <x:c r="M146" s="66" t="n">
        <x:v>0</x:v>
      </x:c>
      <x:c r="N146" s="66" t="n">
        <x:v>0</x:v>
      </x:c>
      <x:c r="O146" s="66" t="n">
        <x:v>0</x:v>
      </x:c>
      <x:c r="P146" s="66" t="n">
        <x:v>0</x:v>
      </x:c>
      <x:c r="Q146" s="66" t="n">
        <x:v>0</x:v>
      </x:c>
      <x:c r="R146" s="80" t="n">
        <x:v>0</x:v>
      </x:c>
      <x:c r="S146" s="66" t="n">
        <x:v>1</x:v>
      </x:c>
      <x:c r="T146" s="66" t="n">
        <x:v>0</x:v>
      </x:c>
      <x:c r="U146" s="66" t="n">
        <x:v>0</x:v>
      </x:c>
      <x:c r="V146" s="66" t="n">
        <x:v>0</x:v>
      </x:c>
      <x:c r="W146" s="66" t="n">
        <x:v>0</x:v>
      </x:c>
      <x:c r="X146" s="81" t="n">
        <x:f>MIN(1,IF(E146=1,'Island Architectures'!$G$13,'Island Architectures'!$D$13)*(1-F146/'Island Architectures'!$E$13)*(1-G146/'Island Architectures'!$F$13)*IF(H146&lt;'Island Architectures'!$H$13,1,0))</x:f>
        <x:v>1</x:v>
      </x:c>
      <x:c r="Y146" s="81" t="n">
        <x:f>MIN(1,'Island Architectures'!$I$13*(1-I146/'Island Architectures'!$J$13)*J146)</x:f>
        <x:v>1</x:v>
      </x:c>
      <x:c r="Z146" s="81" t="n">
        <x:f>MIN(1,'Island Architectures'!$K$13*(1-K146/'Island Architectures'!$L$13))</x:f>
        <x:v>1</x:v>
      </x:c>
      <x:c r="AA146" s="81" t="n">
        <x:f>MIN(1,'Island Architectures'!$M$13*(1-L146/'Island Architectures'!$N$13))</x:f>
        <x:v>1</x:v>
      </x:c>
      <x:c r="AB146" s="81" t="n">
        <x:f>MIN(1,'Island Architectures'!$O$13*(1-M146/'Island Architectures'!$P$13))</x:f>
        <x:v>1</x:v>
      </x:c>
      <x:c r="AC146" s="81" t="n">
        <x:f>MIN(1,'Island Architectures'!$Q$13*(1-N146/'Island Architectures'!$R$13))</x:f>
        <x:v>1</x:v>
      </x:c>
      <x:c r="AD146" s="81" t="n">
        <x:f>MIN(1,'Island Architectures'!$Q$13*(1-O146/'Island Architectures'!$S$13))</x:f>
        <x:v>1</x:v>
      </x:c>
      <x:c r="AE146" s="81" t="n">
        <x:f>MIN(1,'Island Architectures'!$T$13*(1-P146/'Island Architectures'!$U$13))</x:f>
        <x:v>1</x:v>
      </x:c>
      <x:c r="AF146" s="81" t="n">
        <x:f>MIN(1,'Island Architectures'!$V$13*(1-Q146/'Island Architectures'!$W$13))</x:f>
        <x:v>1</x:v>
      </x:c>
      <x:c r="AG146" s="81" t="n">
        <x:f>MIN(1,'Island Architectures'!$X$13*(1-R146)*(1-S146/'Island Architectures'!$Y$13))</x:f>
        <x:v>1</x:v>
      </x:c>
      <x:c r="AH146" s="81" t="n">
        <x:f>IF(T146&lt;'Island Architectures'!$Z$13,1,0)</x:f>
        <x:v>1</x:v>
      </x:c>
      <x:c r="AI146" s="81" t="n">
        <x:f>MIN(1,'Island Architectures'!$AA$13*(1-U146/'Island Architectures'!$AB$13))</x:f>
        <x:v>1</x:v>
      </x:c>
      <x:c r="AJ146" s="81" t="n">
        <x:f>IF(V146=1,MIN(1,'Island Architectures'!$AD$13/Assumptions!$C$10),1)</x:f>
        <x:v>1</x:v>
      </x:c>
      <x:c r="AK146" s="81" t="n">
        <x:f>IF(W146=1,'Island Architectures'!$AC$13,1)</x:f>
        <x:v>1</x:v>
      </x:c>
      <x:c r="AL146" s="81" t="n">
        <x:f>MIN(X146:AK146)</x:f>
        <x:v>1</x:v>
      </x:c>
      <x:c r="AM146" s="70" t="str">
        <x:f>IF(AL146&gt;=Assumptions!$C$9,"PASS","FAIL")</x:f>
        <x:v>PASS</x:v>
      </x:c>
      <x:c r="AN146" s="52" t="str">
        <x:v>one school or credential chain unavailable</x:v>
      </x:c>
    </x:row>
    <x:row r="147">
      <x:c r="B147" s="66" t="str">
        <x:v>A6</x:v>
      </x:c>
      <x:c r="C147" s="66" t="str">
        <x:v>I20</x:v>
      </x:c>
      <x:c r="D147" s="66" t="str">
        <x:v>One civil-release path lost</x:v>
      </x:c>
      <x:c r="E147" s="66" t="n">
        <x:v>0</x:v>
      </x:c>
      <x:c r="F147" s="66" t="n">
        <x:v>0</x:v>
      </x:c>
      <x:c r="G147" s="66" t="n">
        <x:v>0</x:v>
      </x:c>
      <x:c r="H147" s="66" t="n">
        <x:v>0</x:v>
      </x:c>
      <x:c r="I147" s="66" t="n">
        <x:v>0</x:v>
      </x:c>
      <x:c r="J147" s="80" t="n">
        <x:v>1</x:v>
      </x:c>
      <x:c r="K147" s="66" t="n">
        <x:v>0</x:v>
      </x:c>
      <x:c r="L147" s="66" t="n">
        <x:v>0</x:v>
      </x:c>
      <x:c r="M147" s="66" t="n">
        <x:v>0</x:v>
      </x:c>
      <x:c r="N147" s="66" t="n">
        <x:v>0</x:v>
      </x:c>
      <x:c r="O147" s="66" t="n">
        <x:v>0</x:v>
      </x:c>
      <x:c r="P147" s="66" t="n">
        <x:v>0</x:v>
      </x:c>
      <x:c r="Q147" s="66" t="n">
        <x:v>0</x:v>
      </x:c>
      <x:c r="R147" s="80" t="n">
        <x:v>0</x:v>
      </x:c>
      <x:c r="S147" s="66" t="n">
        <x:v>0</x:v>
      </x:c>
      <x:c r="T147" s="66" t="n">
        <x:v>1</x:v>
      </x:c>
      <x:c r="U147" s="66" t="n">
        <x:v>0</x:v>
      </x:c>
      <x:c r="V147" s="66" t="n">
        <x:v>0</x:v>
      </x:c>
      <x:c r="W147" s="66" t="n">
        <x:v>0</x:v>
      </x:c>
      <x:c r="X147" s="81" t="n">
        <x:f>MIN(1,IF(E147=1,'Island Architectures'!$G$13,'Island Architectures'!$D$13)*(1-F147/'Island Architectures'!$E$13)*(1-G147/'Island Architectures'!$F$13)*IF(H147&lt;'Island Architectures'!$H$13,1,0))</x:f>
        <x:v>1</x:v>
      </x:c>
      <x:c r="Y147" s="81" t="n">
        <x:f>MIN(1,'Island Architectures'!$I$13*(1-I147/'Island Architectures'!$J$13)*J147)</x:f>
        <x:v>1</x:v>
      </x:c>
      <x:c r="Z147" s="81" t="n">
        <x:f>MIN(1,'Island Architectures'!$K$13*(1-K147/'Island Architectures'!$L$13))</x:f>
        <x:v>1</x:v>
      </x:c>
      <x:c r="AA147" s="81" t="n">
        <x:f>MIN(1,'Island Architectures'!$M$13*(1-L147/'Island Architectures'!$N$13))</x:f>
        <x:v>1</x:v>
      </x:c>
      <x:c r="AB147" s="81" t="n">
        <x:f>MIN(1,'Island Architectures'!$O$13*(1-M147/'Island Architectures'!$P$13))</x:f>
        <x:v>1</x:v>
      </x:c>
      <x:c r="AC147" s="81" t="n">
        <x:f>MIN(1,'Island Architectures'!$Q$13*(1-N147/'Island Architectures'!$R$13))</x:f>
        <x:v>1</x:v>
      </x:c>
      <x:c r="AD147" s="81" t="n">
        <x:f>MIN(1,'Island Architectures'!$Q$13*(1-O147/'Island Architectures'!$S$13))</x:f>
        <x:v>1</x:v>
      </x:c>
      <x:c r="AE147" s="81" t="n">
        <x:f>MIN(1,'Island Architectures'!$T$13*(1-P147/'Island Architectures'!$U$13))</x:f>
        <x:v>1</x:v>
      </x:c>
      <x:c r="AF147" s="81" t="n">
        <x:f>MIN(1,'Island Architectures'!$V$13*(1-Q147/'Island Architectures'!$W$13))</x:f>
        <x:v>1</x:v>
      </x:c>
      <x:c r="AG147" s="81" t="n">
        <x:f>MIN(1,'Island Architectures'!$X$13*(1-R147)*(1-S147/'Island Architectures'!$Y$13))</x:f>
        <x:v>1</x:v>
      </x:c>
      <x:c r="AH147" s="81" t="n">
        <x:f>IF(T147&lt;'Island Architectures'!$Z$13,1,0)</x:f>
        <x:v>1</x:v>
      </x:c>
      <x:c r="AI147" s="81" t="n">
        <x:f>MIN(1,'Island Architectures'!$AA$13*(1-U147/'Island Architectures'!$AB$13))</x:f>
        <x:v>1</x:v>
      </x:c>
      <x:c r="AJ147" s="81" t="n">
        <x:f>IF(V147=1,MIN(1,'Island Architectures'!$AD$13/Assumptions!$C$10),1)</x:f>
        <x:v>1</x:v>
      </x:c>
      <x:c r="AK147" s="81" t="n">
        <x:f>IF(W147=1,'Island Architectures'!$AC$13,1)</x:f>
        <x:v>1</x:v>
      </x:c>
      <x:c r="AL147" s="81" t="n">
        <x:f>MIN(X147:AK147)</x:f>
        <x:v>1</x:v>
      </x:c>
      <x:c r="AM147" s="70" t="str">
        <x:f>IF(AL147&gt;=Assumptions!$C$9,"PASS","FAIL")</x:f>
        <x:v>PASS</x:v>
      </x:c>
      <x:c r="AN147" s="52" t="str">
        <x:v>safe equipment still needs lawful release</x:v>
      </x:c>
    </x:row>
    <x:row r="148">
      <x:c r="B148" s="66" t="str">
        <x:v>A6</x:v>
      </x:c>
      <x:c r="C148" s="66" t="str">
        <x:v>I21</x:v>
      </x:c>
      <x:c r="D148" s="66" t="str">
        <x:v>Largest supplier lineage lost</x:v>
      </x:c>
      <x:c r="E148" s="66" t="n">
        <x:v>0</x:v>
      </x:c>
      <x:c r="F148" s="66" t="n">
        <x:v>0</x:v>
      </x:c>
      <x:c r="G148" s="66" t="n">
        <x:v>0</x:v>
      </x:c>
      <x:c r="H148" s="66" t="n">
        <x:v>0</x:v>
      </x:c>
      <x:c r="I148" s="66" t="n">
        <x:v>0</x:v>
      </x:c>
      <x:c r="J148" s="80" t="n">
        <x:v>1</x:v>
      </x:c>
      <x:c r="K148" s="66" t="n">
        <x:v>0</x:v>
      </x:c>
      <x:c r="L148" s="66" t="n">
        <x:v>0</x:v>
      </x:c>
      <x:c r="M148" s="66" t="n">
        <x:v>0</x:v>
      </x:c>
      <x:c r="N148" s="66" t="n">
        <x:v>0</x:v>
      </x:c>
      <x:c r="O148" s="66" t="n">
        <x:v>0</x:v>
      </x:c>
      <x:c r="P148" s="66" t="n">
        <x:v>0</x:v>
      </x:c>
      <x:c r="Q148" s="66" t="n">
        <x:v>0</x:v>
      </x:c>
      <x:c r="R148" s="80" t="n">
        <x:v>0</x:v>
      </x:c>
      <x:c r="S148" s="66" t="n">
        <x:v>0</x:v>
      </x:c>
      <x:c r="T148" s="66" t="n">
        <x:v>0</x:v>
      </x:c>
      <x:c r="U148" s="66" t="n">
        <x:v>1</x:v>
      </x:c>
      <x:c r="V148" s="66" t="n">
        <x:v>0</x:v>
      </x:c>
      <x:c r="W148" s="66" t="n">
        <x:v>0</x:v>
      </x:c>
      <x:c r="X148" s="81" t="n">
        <x:f>MIN(1,IF(E148=1,'Island Architectures'!$G$13,'Island Architectures'!$D$13)*(1-F148/'Island Architectures'!$E$13)*(1-G148/'Island Architectures'!$F$13)*IF(H148&lt;'Island Architectures'!$H$13,1,0))</x:f>
        <x:v>1</x:v>
      </x:c>
      <x:c r="Y148" s="81" t="n">
        <x:f>MIN(1,'Island Architectures'!$I$13*(1-I148/'Island Architectures'!$J$13)*J148)</x:f>
        <x:v>1</x:v>
      </x:c>
      <x:c r="Z148" s="81" t="n">
        <x:f>MIN(1,'Island Architectures'!$K$13*(1-K148/'Island Architectures'!$L$13))</x:f>
        <x:v>1</x:v>
      </x:c>
      <x:c r="AA148" s="81" t="n">
        <x:f>MIN(1,'Island Architectures'!$M$13*(1-L148/'Island Architectures'!$N$13))</x:f>
        <x:v>1</x:v>
      </x:c>
      <x:c r="AB148" s="81" t="n">
        <x:f>MIN(1,'Island Architectures'!$O$13*(1-M148/'Island Architectures'!$P$13))</x:f>
        <x:v>1</x:v>
      </x:c>
      <x:c r="AC148" s="81" t="n">
        <x:f>MIN(1,'Island Architectures'!$Q$13*(1-N148/'Island Architectures'!$R$13))</x:f>
        <x:v>1</x:v>
      </x:c>
      <x:c r="AD148" s="81" t="n">
        <x:f>MIN(1,'Island Architectures'!$Q$13*(1-O148/'Island Architectures'!$S$13))</x:f>
        <x:v>1</x:v>
      </x:c>
      <x:c r="AE148" s="81" t="n">
        <x:f>MIN(1,'Island Architectures'!$T$13*(1-P148/'Island Architectures'!$U$13))</x:f>
        <x:v>1</x:v>
      </x:c>
      <x:c r="AF148" s="81" t="n">
        <x:f>MIN(1,'Island Architectures'!$V$13*(1-Q148/'Island Architectures'!$W$13))</x:f>
        <x:v>1</x:v>
      </x:c>
      <x:c r="AG148" s="81" t="n">
        <x:f>MIN(1,'Island Architectures'!$X$13*(1-R148)*(1-S148/'Island Architectures'!$Y$13))</x:f>
        <x:v>1</x:v>
      </x:c>
      <x:c r="AH148" s="81" t="n">
        <x:f>IF(T148&lt;'Island Architectures'!$Z$13,1,0)</x:f>
        <x:v>1</x:v>
      </x:c>
      <x:c r="AI148" s="81" t="n">
        <x:f>MIN(1,'Island Architectures'!$AA$13*(1-U148/'Island Architectures'!$AB$13))</x:f>
        <x:v>1</x:v>
      </x:c>
      <x:c r="AJ148" s="81" t="n">
        <x:f>IF(V148=1,MIN(1,'Island Architectures'!$AD$13/Assumptions!$C$10),1)</x:f>
        <x:v>1</x:v>
      </x:c>
      <x:c r="AK148" s="81" t="n">
        <x:f>IF(W148=1,'Island Architectures'!$AC$13,1)</x:f>
        <x:v>1</x:v>
      </x:c>
      <x:c r="AL148" s="81" t="n">
        <x:f>MIN(X148:AK148)</x:f>
        <x:v>1</x:v>
      </x:c>
      <x:c r="AM148" s="70" t="str">
        <x:f>IF(AL148&gt;=Assumptions!$C$9,"PASS","FAIL")</x:f>
        <x:v>PASS</x:v>
      </x:c>
      <x:c r="AN148" s="52" t="str">
        <x:v>upstream material, software or factory removal</x:v>
      </x:c>
    </x:row>
    <x:row r="149">
      <x:c r="B149" s="66" t="str">
        <x:v>A6</x:v>
      </x:c>
      <x:c r="C149" s="66" t="str">
        <x:v>I22</x:v>
      </x:c>
      <x:c r="D149" s="66" t="str">
        <x:v>Seven-day external logistics denial</x:v>
      </x:c>
      <x:c r="E149" s="66" t="n">
        <x:v>0</x:v>
      </x:c>
      <x:c r="F149" s="66" t="n">
        <x:v>0</x:v>
      </x:c>
      <x:c r="G149" s="66" t="n">
        <x:v>0</x:v>
      </x:c>
      <x:c r="H149" s="66" t="n">
        <x:v>0</x:v>
      </x:c>
      <x:c r="I149" s="66" t="n">
        <x:v>0</x:v>
      </x:c>
      <x:c r="J149" s="80" t="n">
        <x:v>1</x:v>
      </x:c>
      <x:c r="K149" s="66" t="n">
        <x:v>0</x:v>
      </x:c>
      <x:c r="L149" s="66" t="n">
        <x:v>0</x:v>
      </x:c>
      <x:c r="M149" s="66" t="n">
        <x:v>0</x:v>
      </x:c>
      <x:c r="N149" s="66" t="n">
        <x:v>0</x:v>
      </x:c>
      <x:c r="O149" s="66" t="n">
        <x:v>0</x:v>
      </x:c>
      <x:c r="P149" s="66" t="n">
        <x:v>0</x:v>
      </x:c>
      <x:c r="Q149" s="66" t="n">
        <x:v>0</x:v>
      </x:c>
      <x:c r="R149" s="80" t="n">
        <x:v>0</x:v>
      </x:c>
      <x:c r="S149" s="66" t="n">
        <x:v>0</x:v>
      </x:c>
      <x:c r="T149" s="66" t="n">
        <x:v>0</x:v>
      </x:c>
      <x:c r="U149" s="66" t="n">
        <x:v>0</x:v>
      </x:c>
      <x:c r="V149" s="66" t="n">
        <x:v>1</x:v>
      </x:c>
      <x:c r="W149" s="66" t="n">
        <x:v>0</x:v>
      </x:c>
      <x:c r="X149" s="81" t="n">
        <x:f>MIN(1,IF(E149=1,'Island Architectures'!$G$13,'Island Architectures'!$D$13)*(1-F149/'Island Architectures'!$E$13)*(1-G149/'Island Architectures'!$F$13)*IF(H149&lt;'Island Architectures'!$H$13,1,0))</x:f>
        <x:v>1</x:v>
      </x:c>
      <x:c r="Y149" s="81" t="n">
        <x:f>MIN(1,'Island Architectures'!$I$13*(1-I149/'Island Architectures'!$J$13)*J149)</x:f>
        <x:v>1</x:v>
      </x:c>
      <x:c r="Z149" s="81" t="n">
        <x:f>MIN(1,'Island Architectures'!$K$13*(1-K149/'Island Architectures'!$L$13))</x:f>
        <x:v>1</x:v>
      </x:c>
      <x:c r="AA149" s="81" t="n">
        <x:f>MIN(1,'Island Architectures'!$M$13*(1-L149/'Island Architectures'!$N$13))</x:f>
        <x:v>1</x:v>
      </x:c>
      <x:c r="AB149" s="81" t="n">
        <x:f>MIN(1,'Island Architectures'!$O$13*(1-M149/'Island Architectures'!$P$13))</x:f>
        <x:v>1</x:v>
      </x:c>
      <x:c r="AC149" s="81" t="n">
        <x:f>MIN(1,'Island Architectures'!$Q$13*(1-N149/'Island Architectures'!$R$13))</x:f>
        <x:v>1</x:v>
      </x:c>
      <x:c r="AD149" s="81" t="n">
        <x:f>MIN(1,'Island Architectures'!$Q$13*(1-O149/'Island Architectures'!$S$13))</x:f>
        <x:v>1</x:v>
      </x:c>
      <x:c r="AE149" s="81" t="n">
        <x:f>MIN(1,'Island Architectures'!$T$13*(1-P149/'Island Architectures'!$U$13))</x:f>
        <x:v>1</x:v>
      </x:c>
      <x:c r="AF149" s="81" t="n">
        <x:f>MIN(1,'Island Architectures'!$V$13*(1-Q149/'Island Architectures'!$W$13))</x:f>
        <x:v>1</x:v>
      </x:c>
      <x:c r="AG149" s="81" t="n">
        <x:f>MIN(1,'Island Architectures'!$X$13*(1-R149)*(1-S149/'Island Architectures'!$Y$13))</x:f>
        <x:v>1</x:v>
      </x:c>
      <x:c r="AH149" s="81" t="n">
        <x:f>IF(T149&lt;'Island Architectures'!$Z$13,1,0)</x:f>
        <x:v>1</x:v>
      </x:c>
      <x:c r="AI149" s="81" t="n">
        <x:f>MIN(1,'Island Architectures'!$AA$13*(1-U149/'Island Architectures'!$AB$13))</x:f>
        <x:v>1</x:v>
      </x:c>
      <x:c r="AJ149" s="81" t="n">
        <x:f>IF(V149=1,MIN(1,'Island Architectures'!$AD$13/Assumptions!$C$10),1)</x:f>
        <x:v>1</x:v>
      </x:c>
      <x:c r="AK149" s="81" t="n">
        <x:f>IF(W149=1,'Island Architectures'!$AC$13,1)</x:f>
        <x:v>1</x:v>
      </x:c>
      <x:c r="AL149" s="81" t="n">
        <x:f>MIN(X149:AK149)</x:f>
        <x:v>1</x:v>
      </x:c>
      <x:c r="AM149" s="70" t="str">
        <x:f>IF(AL149&gt;=Assumptions!$C$9,"PASS","FAIL")</x:f>
        <x:v>PASS</x:v>
      </x:c>
      <x:c r="AN149" s="52" t="str">
        <x:v>fixed inventory must be an operating system</x:v>
      </x:c>
    </x:row>
    <x:row r="150">
      <x:c r="B150" s="66" t="str">
        <x:v>A6</x:v>
      </x:c>
      <x:c r="C150" s="66" t="str">
        <x:v>I23</x:v>
      </x:c>
      <x:c r="D150" s="66" t="str">
        <x:v>Second mission begins on day three</x:v>
      </x:c>
      <x:c r="E150" s="66" t="n">
        <x:v>0</x:v>
      </x:c>
      <x:c r="F150" s="66" t="n">
        <x:v>0</x:v>
      </x:c>
      <x:c r="G150" s="66" t="n">
        <x:v>0</x:v>
      </x:c>
      <x:c r="H150" s="66" t="n">
        <x:v>0</x:v>
      </x:c>
      <x:c r="I150" s="66" t="n">
        <x:v>0</x:v>
      </x:c>
      <x:c r="J150" s="80" t="n">
        <x:v>1</x:v>
      </x:c>
      <x:c r="K150" s="66" t="n">
        <x:v>0</x:v>
      </x:c>
      <x:c r="L150" s="66" t="n">
        <x:v>0</x:v>
      </x:c>
      <x:c r="M150" s="66" t="n">
        <x:v>0</x:v>
      </x:c>
      <x:c r="N150" s="66" t="n">
        <x:v>0</x:v>
      </x:c>
      <x:c r="O150" s="66" t="n">
        <x:v>0</x:v>
      </x:c>
      <x:c r="P150" s="66" t="n">
        <x:v>0</x:v>
      </x:c>
      <x:c r="Q150" s="66" t="n">
        <x:v>0</x:v>
      </x:c>
      <x:c r="R150" s="80" t="n">
        <x:v>0</x:v>
      </x:c>
      <x:c r="S150" s="66" t="n">
        <x:v>0</x:v>
      </x:c>
      <x:c r="T150" s="66" t="n">
        <x:v>0</x:v>
      </x:c>
      <x:c r="U150" s="66" t="n">
        <x:v>0</x:v>
      </x:c>
      <x:c r="V150" s="66" t="n">
        <x:v>0</x:v>
      </x:c>
      <x:c r="W150" s="66" t="n">
        <x:v>1</x:v>
      </x:c>
      <x:c r="X150" s="81" t="n">
        <x:f>MIN(1,IF(E150=1,'Island Architectures'!$G$13,'Island Architectures'!$D$13)*(1-F150/'Island Architectures'!$E$13)*(1-G150/'Island Architectures'!$F$13)*IF(H150&lt;'Island Architectures'!$H$13,1,0))</x:f>
        <x:v>1</x:v>
      </x:c>
      <x:c r="Y150" s="81" t="n">
        <x:f>MIN(1,'Island Architectures'!$I$13*(1-I150/'Island Architectures'!$J$13)*J150)</x:f>
        <x:v>1</x:v>
      </x:c>
      <x:c r="Z150" s="81" t="n">
        <x:f>MIN(1,'Island Architectures'!$K$13*(1-K150/'Island Architectures'!$L$13))</x:f>
        <x:v>1</x:v>
      </x:c>
      <x:c r="AA150" s="81" t="n">
        <x:f>MIN(1,'Island Architectures'!$M$13*(1-L150/'Island Architectures'!$N$13))</x:f>
        <x:v>1</x:v>
      </x:c>
      <x:c r="AB150" s="81" t="n">
        <x:f>MIN(1,'Island Architectures'!$O$13*(1-M150/'Island Architectures'!$P$13))</x:f>
        <x:v>1</x:v>
      </x:c>
      <x:c r="AC150" s="81" t="n">
        <x:f>MIN(1,'Island Architectures'!$Q$13*(1-N150/'Island Architectures'!$R$13))</x:f>
        <x:v>1</x:v>
      </x:c>
      <x:c r="AD150" s="81" t="n">
        <x:f>MIN(1,'Island Architectures'!$Q$13*(1-O150/'Island Architectures'!$S$13))</x:f>
        <x:v>1</x:v>
      </x:c>
      <x:c r="AE150" s="81" t="n">
        <x:f>MIN(1,'Island Architectures'!$T$13*(1-P150/'Island Architectures'!$U$13))</x:f>
        <x:v>1</x:v>
      </x:c>
      <x:c r="AF150" s="81" t="n">
        <x:f>MIN(1,'Island Architectures'!$V$13*(1-Q150/'Island Architectures'!$W$13))</x:f>
        <x:v>1</x:v>
      </x:c>
      <x:c r="AG150" s="81" t="n">
        <x:f>MIN(1,'Island Architectures'!$X$13*(1-R150)*(1-S150/'Island Architectures'!$Y$13))</x:f>
        <x:v>1</x:v>
      </x:c>
      <x:c r="AH150" s="81" t="n">
        <x:f>IF(T150&lt;'Island Architectures'!$Z$13,1,0)</x:f>
        <x:v>1</x:v>
      </x:c>
      <x:c r="AI150" s="81" t="n">
        <x:f>MIN(1,'Island Architectures'!$AA$13*(1-U150/'Island Architectures'!$AB$13))</x:f>
        <x:v>1</x:v>
      </x:c>
      <x:c r="AJ150" s="81" t="n">
        <x:f>IF(V150=1,MIN(1,'Island Architectures'!$AD$13/Assumptions!$C$10),1)</x:f>
        <x:v>1</x:v>
      </x:c>
      <x:c r="AK150" s="81" t="n">
        <x:f>IF(W150=1,'Island Architectures'!$AC$13,1)</x:f>
        <x:v>0.92</x:v>
      </x:c>
      <x:c r="AL150" s="81" t="n">
        <x:f>MIN(X150:AK150)</x:f>
        <x:v>0.92</x:v>
      </x:c>
      <x:c r="AM150" s="70" t="str">
        <x:f>IF(AL150&gt;=Assumptions!$C$9,"PASS","FAIL")</x:f>
        <x:v>PASS</x:v>
      </x:c>
      <x:c r="AN150" s="52" t="str">
        <x:v>inspection, repair, reload and recertification</x:v>
      </x:c>
    </x:row>
    <x:row r="151">
      <x:c r="B151" s="71" t="str">
        <x:v>A6</x:v>
      </x:c>
      <x:c r="C151" s="71" t="str">
        <x:v>I24</x:v>
      </x:c>
      <x:c r="D151" s="71" t="str">
        <x:v>Grid, yard, corridor and communications loss</x:v>
      </x:c>
      <x:c r="E151" s="71" t="n">
        <x:v>1</x:v>
      </x:c>
      <x:c r="F151" s="71" t="n">
        <x:v>0</x:v>
      </x:c>
      <x:c r="G151" s="71" t="n">
        <x:v>1</x:v>
      </x:c>
      <x:c r="H151" s="71" t="n">
        <x:v>0</x:v>
      </x:c>
      <x:c r="I151" s="71" t="n">
        <x:v>0</x:v>
      </x:c>
      <x:c r="J151" s="82" t="n">
        <x:v>1</x:v>
      </x:c>
      <x:c r="K151" s="71" t="n">
        <x:v>0</x:v>
      </x:c>
      <x:c r="L151" s="71" t="n">
        <x:v>0</x:v>
      </x:c>
      <x:c r="M151" s="71" t="n">
        <x:v>1</x:v>
      </x:c>
      <x:c r="N151" s="71" t="n">
        <x:v>0</x:v>
      </x:c>
      <x:c r="O151" s="71" t="n">
        <x:v>0</x:v>
      </x:c>
      <x:c r="P151" s="71" t="n">
        <x:v>0</x:v>
      </x:c>
      <x:c r="Q151" s="71" t="n">
        <x:v>1</x:v>
      </x:c>
      <x:c r="R151" s="82" t="n">
        <x:v>0</x:v>
      </x:c>
      <x:c r="S151" s="71" t="n">
        <x:v>0</x:v>
      </x:c>
      <x:c r="T151" s="71" t="n">
        <x:v>0</x:v>
      </x:c>
      <x:c r="U151" s="71" t="n">
        <x:v>0</x:v>
      </x:c>
      <x:c r="V151" s="71" t="n">
        <x:v>0</x:v>
      </x:c>
      <x:c r="W151" s="71" t="n">
        <x:v>0</x:v>
      </x:c>
      <x:c r="X151" s="83" t="n">
        <x:f>MIN(1,IF(E151=1,'Island Architectures'!$G$13,'Island Architectures'!$D$13)*(1-F151/'Island Architectures'!$E$13)*(1-G151/'Island Architectures'!$F$13)*IF(H151&lt;'Island Architectures'!$H$13,1,0))</x:f>
        <x:v>1</x:v>
      </x:c>
      <x:c r="Y151" s="83" t="n">
        <x:f>MIN(1,'Island Architectures'!$I$13*(1-I151/'Island Architectures'!$J$13)*J151)</x:f>
        <x:v>1</x:v>
      </x:c>
      <x:c r="Z151" s="83" t="n">
        <x:f>MIN(1,'Island Architectures'!$K$13*(1-K151/'Island Architectures'!$L$13))</x:f>
        <x:v>1</x:v>
      </x:c>
      <x:c r="AA151" s="83" t="n">
        <x:f>MIN(1,'Island Architectures'!$M$13*(1-L151/'Island Architectures'!$N$13))</x:f>
        <x:v>1</x:v>
      </x:c>
      <x:c r="AB151" s="83" t="n">
        <x:f>MIN(1,'Island Architectures'!$O$13*(1-M151/'Island Architectures'!$P$13))</x:f>
        <x:v>1</x:v>
      </x:c>
      <x:c r="AC151" s="83" t="n">
        <x:f>MIN(1,'Island Architectures'!$Q$13*(1-N151/'Island Architectures'!$R$13))</x:f>
        <x:v>1</x:v>
      </x:c>
      <x:c r="AD151" s="83" t="n">
        <x:f>MIN(1,'Island Architectures'!$Q$13*(1-O151/'Island Architectures'!$S$13))</x:f>
        <x:v>1</x:v>
      </x:c>
      <x:c r="AE151" s="83" t="n">
        <x:f>MIN(1,'Island Architectures'!$T$13*(1-P151/'Island Architectures'!$U$13))</x:f>
        <x:v>1</x:v>
      </x:c>
      <x:c r="AF151" s="83" t="n">
        <x:f>MIN(1,'Island Architectures'!$V$13*(1-Q151/'Island Architectures'!$W$13))</x:f>
        <x:v>1</x:v>
      </x:c>
      <x:c r="AG151" s="83" t="n">
        <x:f>MIN(1,'Island Architectures'!$X$13*(1-R151)*(1-S151/'Island Architectures'!$Y$13))</x:f>
        <x:v>1</x:v>
      </x:c>
      <x:c r="AH151" s="83" t="n">
        <x:f>IF(T151&lt;'Island Architectures'!$Z$13,1,0)</x:f>
        <x:v>1</x:v>
      </x:c>
      <x:c r="AI151" s="83" t="n">
        <x:f>MIN(1,'Island Architectures'!$AA$13*(1-U151/'Island Architectures'!$AB$13))</x:f>
        <x:v>1</x:v>
      </x:c>
      <x:c r="AJ151" s="83" t="n">
        <x:f>IF(V151=1,MIN(1,'Island Architectures'!$AD$13/Assumptions!$C$10),1)</x:f>
        <x:v>1</x:v>
      </x:c>
      <x:c r="AK151" s="83" t="n">
        <x:f>IF(W151=1,'Island Architectures'!$AC$13,1)</x:f>
        <x:v>1</x:v>
      </x:c>
      <x:c r="AL151" s="83" t="n">
        <x:f>MIN(X151:AK151)</x:f>
        <x:v>1</x:v>
      </x:c>
      <x:c r="AM151" s="75" t="str">
        <x:f>IF(AL151&gt;=Assumptions!$C$9,"PASS","FAIL")</x:f>
        <x:v>PASS</x:v>
      </x:c>
      <x:c r="AN151" s="55" t="str">
        <x:v>compound test of physical and institutional separation</x:v>
      </x:c>
    </x:row>
  </x:sheetData>
  <x:mergeCells>
    <x:mergeCell ref="B6:AJ6"/>
  </x:mergeCells>
  <x:conditionalFormatting sqref="AM8:AM151">
    <x:cfRule type="containsText" dxfId="0" priority="1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3" hidden="0" customWidth="1"/>
    <x:col min="3" max="3" width="34" hidden="0" customWidth="1"/>
    <x:col min="4" max="4" width="11" hidden="0" customWidth="1"/>
    <x:col min="5" max="5" width="15" hidden="0" customWidth="1"/>
    <x:col min="6" max="6" width="16" hidden="0" customWidth="1"/>
    <x:col min="7" max="7" width="18" hidden="0" customWidth="1"/>
    <x:col min="8" max="8" width="18" hidden="0" customWidth="1"/>
    <x:col min="9" max="9" width="17" hidden="0" customWidth="1"/>
    <x:col min="10" max="10" width="18" hidden="0" customWidth="1"/>
    <x:col min="11" max="11" width="15" hidden="0" customWidth="1"/>
    <x:col min="12" max="12" width="12" hidden="0" customWidth="1"/>
    <x:col min="13" max="13" width="54" hidden="0" customWidth="1"/>
  </x:cols>
  <x:sheetData>
    <x:row r="2">
      <x:c r="B2" s="3" t="str">
        <x:v>Reference island subsystem build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The A6 upper comparator converts the service contract into N-1 physical capacity and bounded inventories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10" t="str">
        <x:v>A6 capacity build</x:v>
      </x:c>
      <x:c r="C6" s="11" t="str">
        <x:v>A6 capacity build</x:v>
      </x:c>
      <x:c r="D6" s="11" t="str">
        <x:v>A6 capacity build</x:v>
      </x:c>
      <x:c r="E6" s="11" t="str">
        <x:v>A6 capacity build</x:v>
      </x:c>
      <x:c r="F6" s="11" t="str">
        <x:v>A6 capacity build</x:v>
      </x:c>
      <x:c r="G6" s="11" t="str">
        <x:v>A6 capacity build</x:v>
      </x:c>
      <x:c r="H6" s="11" t="str">
        <x:v>A6 capacity build</x:v>
      </x:c>
      <x:c r="I6" s="11" t="str">
        <x:v>A6 capacity build</x:v>
      </x:c>
      <x:c r="J6" s="11" t="str">
        <x:v>A6 capacity build</x:v>
      </x:c>
      <x:c r="K6" s="11" t="str">
        <x:v>A6 capacity build</x:v>
      </x:c>
      <x:c r="L6" s="11" t="str">
        <x:v>A6 capacity build</x:v>
      </x:c>
      <x:c r="M6" s="12" t="str">
        <x:v>A6 capacity build</x:v>
      </x:c>
    </x:row>
    <x:row r="7">
      <x:c r="B7" s="28" t="str">
        <x:v>Subsystem</x:v>
      </x:c>
      <x:c r="C7" s="29" t="str">
        <x:v>Module</x:v>
      </x:c>
      <x:c r="D7" s="29" t="str">
        <x:v>Count</x:v>
      </x:c>
      <x:c r="E7" s="29" t="str">
        <x:v>Unit capacity</x:v>
      </x:c>
      <x:c r="F7" s="29" t="str">
        <x:v>Unit</x:v>
      </x:c>
      <x:c r="G7" s="29" t="str">
        <x:v>Installed capacity</x:v>
      </x:c>
      <x:c r="H7" s="29" t="str">
        <x:v>Required capacity</x:v>
      </x:c>
      <x:c r="I7" s="29" t="str">
        <x:v>Largest local loss</x:v>
      </x:c>
      <x:c r="J7" s="29" t="str">
        <x:v>Retained capacity</x:v>
      </x:c>
      <x:c r="K7" s="29" t="str">
        <x:v>Retained ratio</x:v>
      </x:c>
      <x:c r="L7" s="29" t="str">
        <x:v>Status</x:v>
      </x:c>
      <x:c r="M7" s="29" t="str">
        <x:v>Boundary</x:v>
      </x:c>
    </x:row>
    <x:row r="8">
      <x:c r="B8" s="50" t="str">
        <x:v>Electricity</x:v>
      </x:c>
      <x:c r="C8" s="50" t="str">
        <x:v>firm source yards</x:v>
      </x:c>
      <x:c r="D8" s="66" t="n">
        <x:v>3</x:v>
      </x:c>
      <x:c r="E8" s="66" t="n">
        <x:v>1.1</x:v>
      </x:c>
      <x:c r="F8" s="66" t="str">
        <x:v>MWe</x:v>
      </x:c>
      <x:c r="G8" s="86" t="n">
        <x:f>D8*E8</x:f>
        <x:v>3.3000000000000003</x:v>
      </x:c>
      <x:c r="H8" s="86" t="n">
        <x:f>Assumptions!$C$12</x:f>
        <x:v>1.42216</x:v>
      </x:c>
      <x:c r="I8" s="86" t="n">
        <x:v>1.1</x:v>
      </x:c>
      <x:c r="J8" s="86" t="n">
        <x:f>G8-I8</x:f>
        <x:v>2.2</x:v>
      </x:c>
      <x:c r="K8" s="81" t="n">
        <x:f>J8/H8</x:f>
        <x:v>1.546942678742195</x:v>
      </x:c>
      <x:c r="L8" s="70" t="str">
        <x:f>IF(K8&gt;=Assumptions!$C$9,"PASS","FAIL")</x:f>
        <x:v>PASS</x:v>
      </x:c>
      <x:c r="M8" s="52" t="str">
        <x:v>source technology and fuel ancestry remain separate</x:v>
      </x:c>
    </x:row>
    <x:row r="9">
      <x:c r="B9" s="50" t="str">
        <x:v>Peak power</x:v>
      </x:c>
      <x:c r="C9" s="50" t="str">
        <x:v>grid-forming inverter blocks</x:v>
      </x:c>
      <x:c r="D9" s="66" t="n">
        <x:v>5</x:v>
      </x:c>
      <x:c r="E9" s="66" t="n">
        <x:v>0.5</x:v>
      </x:c>
      <x:c r="F9" s="66" t="str">
        <x:v>MWe</x:v>
      </x:c>
      <x:c r="G9" s="86" t="n">
        <x:f>D9*E9</x:f>
        <x:v>2.5</x:v>
      </x:c>
      <x:c r="H9" s="86" t="n">
        <x:f>Assumptions!$C$13</x:f>
        <x:v>1.91992</x:v>
      </x:c>
      <x:c r="I9" s="86" t="n">
        <x:v>0.5</x:v>
      </x:c>
      <x:c r="J9" s="86" t="n">
        <x:f>G9-I9</x:f>
        <x:v>2</x:v>
      </x:c>
      <x:c r="K9" s="81" t="n">
        <x:f>J9/H9</x:f>
        <x:v>1.0417100712529688</x:v>
      </x:c>
      <x:c r="L9" s="70" t="str">
        <x:f>IF(K9&gt;=Assumptions!$C$9,"PASS","FAIL")</x:f>
        <x:v>PASS</x:v>
      </x:c>
      <x:c r="M9" s="52" t="str">
        <x:v>motor start and fault current require representative test</x:v>
      </x:c>
    </x:row>
    <x:row r="10">
      <x:c r="B10" s="50" t="str">
        <x:v>Black start</x:v>
      </x:c>
      <x:c r="C10" s="50" t="str">
        <x:v>distributed storage</x:v>
      </x:c>
      <x:c r="D10" s="66" t="n">
        <x:v>5</x:v>
      </x:c>
      <x:c r="E10" s="66" t="n">
        <x:v>9.6</x:v>
      </x:c>
      <x:c r="F10" s="66" t="str">
        <x:v>MWh</x:v>
      </x:c>
      <x:c r="G10" s="86" t="n">
        <x:f>D10*E10</x:f>
        <x:v>48</x:v>
      </x:c>
      <x:c r="H10" s="86" t="n">
        <x:f>Assumptions!$C$23*Assumptions!$C$12</x:f>
        <x:v>8.532960000000001</x:v>
      </x:c>
      <x:c r="I10" s="86" t="n">
        <x:v>9.6</x:v>
      </x:c>
      <x:c r="J10" s="86" t="n">
        <x:f>G10-I10</x:f>
        <x:v>38.4</x:v>
      </x:c>
      <x:c r="K10" s="81" t="n">
        <x:f>J10/H10</x:f>
        <x:v>4.500196883613658</x:v>
      </x:c>
      <x:c r="L10" s="70" t="str">
        <x:f>IF(K10&gt;=Assumptions!$C$9,"PASS","FAIL")</x:f>
        <x:v>PASS</x:v>
      </x:c>
      <x:c r="M10" s="52" t="str">
        <x:v>storage bridges start and source exchange, not seven-day primary energy</x:v>
      </x:c>
    </x:row>
    <x:row r="11">
      <x:c r="B11" s="50" t="str">
        <x:v>Useful cooling</x:v>
      </x:c>
      <x:c r="C11" s="50" t="str">
        <x:v>service-node thermal blocks</x:v>
      </x:c>
      <x:c r="D11" s="66" t="n">
        <x:v>12</x:v>
      </x:c>
      <x:c r="E11" s="66" t="n">
        <x:v>0.2</x:v>
      </x:c>
      <x:c r="F11" s="66" t="str">
        <x:v>MWth</x:v>
      </x:c>
      <x:c r="G11" s="86" t="n">
        <x:f>D11*E11</x:f>
        <x:v>2.4000000000000004</x:v>
      </x:c>
      <x:c r="H11" s="86" t="n">
        <x:f>Assumptions!$C$14</x:f>
        <x:v>1.965</x:v>
      </x:c>
      <x:c r="I11" s="86" t="n">
        <x:v>0.4</x:v>
      </x:c>
      <x:c r="J11" s="86" t="n">
        <x:f>G11-I11</x:f>
        <x:v>2.0000000000000004</x:v>
      </x:c>
      <x:c r="K11" s="81" t="n">
        <x:f>J11/H11</x:f>
        <x:v>1.0178117048346058</x:v>
      </x:c>
      <x:c r="L11" s="70" t="str">
        <x:f>IF(K11&gt;=Assumptions!$C$9,"PASS","FAIL")</x:f>
        <x:v>PASS</x:v>
      </x:c>
      <x:c r="M11" s="52" t="str">
        <x:v>two-node loss is the design event</x:v>
      </x:c>
    </x:row>
    <x:row r="12">
      <x:c r="B12" s="50" t="str">
        <x:v>Heat rejection</x:v>
      </x:c>
      <x:c r="C12" s="50" t="str">
        <x:v>independent destination trains</x:v>
      </x:c>
      <x:c r="D12" s="66" t="n">
        <x:v>5</x:v>
      </x:c>
      <x:c r="E12" s="66" t="n">
        <x:v>1.6</x:v>
      </x:c>
      <x:c r="F12" s="66" t="str">
        <x:v>MWth</x:v>
      </x:c>
      <x:c r="G12" s="86" t="n">
        <x:f>D12*E12</x:f>
        <x:v>8</x:v>
      </x:c>
      <x:c r="H12" s="86" t="n">
        <x:f>Assumptions!$C$15</x:f>
        <x:v>4.8</x:v>
      </x:c>
      <x:c r="I12" s="86" t="n">
        <x:v>1.6</x:v>
      </x:c>
      <x:c r="J12" s="86" t="n">
        <x:f>G12-I12</x:f>
        <x:v>6.4</x:v>
      </x:c>
      <x:c r="K12" s="81" t="n">
        <x:f>J12/H12</x:f>
        <x:v>1.3333333333333335</x:v>
      </x:c>
      <x:c r="L12" s="70" t="str">
        <x:f>IF(K12&gt;=Assumptions!$C$9,"PASS","FAIL")</x:f>
        <x:v>PASS</x:v>
      </x:c>
      <x:c r="M12" s="52" t="str">
        <x:v>five domains may mix air, ground, water, district or storage</x:v>
      </x:c>
    </x:row>
    <x:row r="13">
      <x:c r="B13" s="50" t="str">
        <x:v>Water</x:v>
      </x:c>
      <x:c r="C13" s="50" t="str">
        <x:v>source and treatment trains</x:v>
      </x:c>
      <x:c r="D13" s="66" t="n">
        <x:v>3</x:v>
      </x:c>
      <x:c r="E13" s="66" t="n">
        <x:v>120</x:v>
      </x:c>
      <x:c r="F13" s="66" t="str">
        <x:v>m3/day</x:v>
      </x:c>
      <x:c r="G13" s="86" t="n">
        <x:f>D13*E13</x:f>
        <x:v>360</x:v>
      </x:c>
      <x:c r="H13" s="86" t="n">
        <x:f>Assumptions!$C$17</x:f>
        <x:v>225</x:v>
      </x:c>
      <x:c r="I13" s="86" t="n">
        <x:v>120</x:v>
      </x:c>
      <x:c r="J13" s="86" t="n">
        <x:f>G13-I13</x:f>
        <x:v>240</x:v>
      </x:c>
      <x:c r="K13" s="81" t="n">
        <x:f>J13/H13</x:f>
        <x:v>1.0666666666666667</x:v>
      </x:c>
      <x:c r="L13" s="70" t="str">
        <x:f>IF(K13&gt;=Assumptions!$C$9,"PASS","FAIL")</x:f>
        <x:v>PASS</x:v>
      </x:c>
      <x:c r="M13" s="52" t="str">
        <x:v>three source paths must have distinct upstream failure</x:v>
      </x:c>
    </x:row>
    <x:row r="14">
      <x:c r="B14" s="50" t="str">
        <x:v>Wastewater</x:v>
      </x:c>
      <x:c r="C14" s="50" t="str">
        <x:v>treatment and containment trains</x:v>
      </x:c>
      <x:c r="D14" s="66" t="n">
        <x:v>3</x:v>
      </x:c>
      <x:c r="E14" s="66" t="n">
        <x:v>90</x:v>
      </x:c>
      <x:c r="F14" s="66" t="str">
        <x:v>m3/day</x:v>
      </x:c>
      <x:c r="G14" s="86" t="n">
        <x:f>D14*E14</x:f>
        <x:v>270</x:v>
      </x:c>
      <x:c r="H14" s="86" t="n">
        <x:f>Assumptions!$C$18</x:f>
        <x:v>180</x:v>
      </x:c>
      <x:c r="I14" s="86" t="n">
        <x:v>90</x:v>
      </x:c>
      <x:c r="J14" s="86" t="n">
        <x:f>G14-I14</x:f>
        <x:v>180</x:v>
      </x:c>
      <x:c r="K14" s="81" t="n">
        <x:f>J14/H14</x:f>
        <x:v>1</x:v>
      </x:c>
      <x:c r="L14" s="70" t="str">
        <x:f>IF(K14&gt;=Assumptions!$C$9,"PASS","FAIL")</x:f>
        <x:v>PASS</x:v>
      </x:c>
      <x:c r="M14" s="52" t="str">
        <x:v>retained capacity equals required after one train loss</x:v>
      </x:c>
    </x:row>
    <x:row r="15">
      <x:c r="B15" s="50" t="str">
        <x:v>Clean-water bridge</x:v>
      </x:c>
      <x:c r="C15" s="50" t="str">
        <x:v>segmented potable tanks</x:v>
      </x:c>
      <x:c r="D15" s="66" t="n">
        <x:v>6</x:v>
      </x:c>
      <x:c r="E15" s="66" t="n">
        <x:v>90</x:v>
      </x:c>
      <x:c r="F15" s="66" t="str">
        <x:v>m3</x:v>
      </x:c>
      <x:c r="G15" s="86" t="n">
        <x:f>D15*E15</x:f>
        <x:v>540</x:v>
      </x:c>
      <x:c r="H15" s="86" t="n">
        <x:f>Assumptions!$C$21</x:f>
        <x:v>450</x:v>
      </x:c>
      <x:c r="I15" s="86" t="n">
        <x:v>90</x:v>
      </x:c>
      <x:c r="J15" s="86" t="n">
        <x:f>G15-I15</x:f>
        <x:v>450</x:v>
      </x:c>
      <x:c r="K15" s="81" t="n">
        <x:f>J15/H15</x:f>
        <x:v>1</x:v>
      </x:c>
      <x:c r="L15" s="70" t="str">
        <x:f>IF(K15&gt;=Assumptions!$C$9,"PASS","FAIL")</x:f>
        <x:v>PASS</x:v>
      </x:c>
      <x:c r="M15" s="52" t="str">
        <x:v>loss must not contaminate the remaining inventory</x:v>
      </x:c>
    </x:row>
    <x:row r="16">
      <x:c r="B16" s="50" t="str">
        <x:v>Fire water</x:v>
      </x:c>
      <x:c r="C16" s="50" t="str">
        <x:v>separate protected tanks</x:v>
      </x:c>
      <x:c r="D16" s="66" t="n">
        <x:v>2</x:v>
      </x:c>
      <x:c r="E16" s="66" t="n">
        <x:v>500</x:v>
      </x:c>
      <x:c r="F16" s="66" t="str">
        <x:v>m3</x:v>
      </x:c>
      <x:c r="G16" s="86" t="n">
        <x:f>D16*E16</x:f>
        <x:v>1000</x:v>
      </x:c>
      <x:c r="H16" s="86" t="n">
        <x:f>Assumptions!$C$22</x:f>
        <x:v>1000</x:v>
      </x:c>
      <x:c r="I16" s="86" t="n">
        <x:v>0</x:v>
      </x:c>
      <x:c r="J16" s="86" t="n">
        <x:f>G16-I16</x:f>
        <x:v>1000</x:v>
      </x:c>
      <x:c r="K16" s="81" t="n">
        <x:f>J16/H16</x:f>
        <x:v>1</x:v>
      </x:c>
      <x:c r="L16" s="70" t="str">
        <x:f>IF(K16&gt;=Assumptions!$C$9,"PASS","FAIL")</x:f>
        <x:v>PASS</x:v>
      </x:c>
      <x:c r="M16" s="52" t="str">
        <x:v>protected quantity is not an N-1 claim in this pass</x:v>
      </x:c>
    </x:row>
    <x:row r="17">
      <x:c r="B17" s="50" t="str">
        <x:v>Distribution</x:v>
      </x:c>
      <x:c r="C17" s="50" t="str">
        <x:v>looped utility corridors</x:v>
      </x:c>
      <x:c r="D17" s="66" t="n">
        <x:v>5</x:v>
      </x:c>
      <x:c r="E17" s="66" t="n">
        <x:v>0.3</x:v>
      </x:c>
      <x:c r="F17" s="66" t="str">
        <x:v>service share</x:v>
      </x:c>
      <x:c r="G17" s="86" t="n">
        <x:f>D17*E17</x:f>
        <x:v>1.5</x:v>
      </x:c>
      <x:c r="H17" s="86" t="n">
        <x:v>1</x:v>
      </x:c>
      <x:c r="I17" s="86" t="n">
        <x:v>0.3</x:v>
      </x:c>
      <x:c r="J17" s="86" t="n">
        <x:f>G17-I17</x:f>
        <x:v>1.2</x:v>
      </x:c>
      <x:c r="K17" s="81" t="n">
        <x:f>J17/H17</x:f>
        <x:v>1.2</x:v>
      </x:c>
      <x:c r="L17" s="70" t="str">
        <x:f>IF(K17&gt;=Assumptions!$C$9,"PASS","FAIL")</x:f>
        <x:v>PASS</x:v>
      </x:c>
      <x:c r="M17" s="52" t="str">
        <x:v>corridors carry power, control and selected fluids</x:v>
      </x:c>
    </x:row>
    <x:row r="18">
      <x:c r="B18" s="50" t="str">
        <x:v>Occupied service</x:v>
      </x:c>
      <x:c r="C18" s="50" t="str">
        <x:v>active and reserve service nodes</x:v>
      </x:c>
      <x:c r="D18" s="66" t="n">
        <x:v>12</x:v>
      </x:c>
      <x:c r="E18" s="66" t="n">
        <x:v>0.1</x:v>
      </x:c>
      <x:c r="F18" s="66" t="str">
        <x:v>service share</x:v>
      </x:c>
      <x:c r="G18" s="86" t="n">
        <x:f>D18*E18</x:f>
        <x:v>1.2000000000000002</x:v>
      </x:c>
      <x:c r="H18" s="86" t="n">
        <x:v>1</x:v>
      </x:c>
      <x:c r="I18" s="86" t="n">
        <x:v>0.2</x:v>
      </x:c>
      <x:c r="J18" s="86" t="n">
        <x:f>G18-I18</x:f>
        <x:v>1.0000000000000002</x:v>
      </x:c>
      <x:c r="K18" s="81" t="n">
        <x:f>J18/H18</x:f>
        <x:v>1.0000000000000002</x:v>
      </x:c>
      <x:c r="L18" s="70" t="str">
        <x:f>IF(K18&gt;=Assumptions!$C$9,"PASS","FAIL")</x:f>
        <x:v>PASS</x:v>
      </x:c>
      <x:c r="M18" s="52" t="str">
        <x:v>ten active equivalents plus two reserve nodes</x:v>
      </x:c>
    </x:row>
    <x:row r="19">
      <x:c r="B19" s="50" t="str">
        <x:v>Control</x:v>
      </x:c>
      <x:c r="C19" s="50" t="str">
        <x:v>offline protection partitions</x:v>
      </x:c>
      <x:c r="D19" s="66" t="n">
        <x:v>5</x:v>
      </x:c>
      <x:c r="E19" s="66" t="n">
        <x:v>0.25</x:v>
      </x:c>
      <x:c r="F19" s="66" t="str">
        <x:v>service share</x:v>
      </x:c>
      <x:c r="G19" s="86" t="n">
        <x:f>D19*E19</x:f>
        <x:v>1.25</x:v>
      </x:c>
      <x:c r="H19" s="86" t="n">
        <x:v>1</x:v>
      </x:c>
      <x:c r="I19" s="86" t="n">
        <x:v>0.25</x:v>
      </x:c>
      <x:c r="J19" s="86" t="n">
        <x:f>G19-I19</x:f>
        <x:v>1</x:v>
      </x:c>
      <x:c r="K19" s="81" t="n">
        <x:f>J19/H19</x:f>
        <x:v>1</x:v>
      </x:c>
      <x:c r="L19" s="70" t="str">
        <x:f>IF(K19&gt;=Assumptions!$C$9,"PASS","FAIL")</x:f>
        <x:v>PASS</x:v>
      </x:c>
      <x:c r="M19" s="52" t="str">
        <x:v>loss of one signing or control domain retains the contract</x:v>
      </x:c>
    </x:row>
    <x:row r="20">
      <x:c r="B20" s="53" t="str">
        <x:v>Communications</x:v>
      </x:c>
      <x:c r="C20" s="53" t="str">
        <x:v>independent paths</x:v>
      </x:c>
      <x:c r="D20" s="71" t="n">
        <x:v>4</x:v>
      </x:c>
      <x:c r="E20" s="71" t="n">
        <x:v>0.375</x:v>
      </x:c>
      <x:c r="F20" s="71" t="str">
        <x:v>service share</x:v>
      </x:c>
      <x:c r="G20" s="87" t="n">
        <x:f>D20*E20</x:f>
        <x:v>1.5</x:v>
      </x:c>
      <x:c r="H20" s="87" t="n">
        <x:v>1</x:v>
      </x:c>
      <x:c r="I20" s="87" t="n">
        <x:v>0.375</x:v>
      </x:c>
      <x:c r="J20" s="87" t="n">
        <x:f>G20-I20</x:f>
        <x:v>1.125</x:v>
      </x:c>
      <x:c r="K20" s="83" t="n">
        <x:f>J20/H20</x:f>
        <x:v>1.125</x:v>
      </x:c>
      <x:c r="L20" s="75" t="str">
        <x:f>IF(K20&gt;=Assumptions!$C$9,"PASS","FAIL")</x:f>
        <x:v>PASS</x:v>
      </x:c>
      <x:c r="M20" s="55" t="str">
        <x:v>fiber, local radio, satellite and physical courier are candidates</x:v>
      </x:c>
    </x:row>
  </x:sheetData>
  <x:mergeCells>
    <x:mergeCell ref="B6:M6"/>
  </x:mergeCells>
  <x:conditionalFormatting sqref="L8:L20">
    <x:cfRule type="containsText" dxfId="1" priority="1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29" hidden="0" customWidth="1"/>
    <x:col min="4" max="4" width="18" hidden="0" customWidth="1"/>
    <x:col min="5" max="5" width="18" hidden="0" customWidth="1"/>
    <x:col min="6" max="6" width="17" hidden="0" customWidth="1"/>
    <x:col min="7" max="7" width="21" hidden="0" customWidth="1"/>
    <x:col min="8" max="8" width="20" hidden="0" customWidth="1"/>
    <x:col min="9" max="9" width="16" hidden="0" customWidth="1"/>
    <x:col min="10" max="10" width="18" hidden="0" customWidth="1"/>
    <x:col min="11" max="11" width="21" hidden="0" customWidth="1"/>
    <x:col min="12" max="12" width="15" hidden="0" customWidth="1"/>
    <x:col min="13" max="13" width="17" hidden="0" customWidth="1"/>
    <x:col min="14" max="14" width="18" hidden="0" customWidth="1"/>
    <x:col min="15" max="15" width="18" hidden="0" customWidth="1"/>
  </x:cols>
  <x:sheetData>
    <x:row r="2">
      <x:c r="B2" s="3" t="str">
        <x:v>A6 service-node registry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B3" s="4" t="str">
        <x:v>Ten active-equivalent nodes and two reserves distribute service, hazard exposure and ancestry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B6" s="10" t="str">
        <x:v>Node-level allocation</x:v>
      </x:c>
      <x:c r="C6" s="11" t="str">
        <x:v>Node-level allocation</x:v>
      </x:c>
      <x:c r="D6" s="11" t="str">
        <x:v>Node-level allocation</x:v>
      </x:c>
      <x:c r="E6" s="11" t="str">
        <x:v>Node-level allocation</x:v>
      </x:c>
      <x:c r="F6" s="11" t="str">
        <x:v>Node-level allocation</x:v>
      </x:c>
      <x:c r="G6" s="11" t="str">
        <x:v>Node-level allocation</x:v>
      </x:c>
      <x:c r="H6" s="11" t="str">
        <x:v>Node-level allocation</x:v>
      </x:c>
      <x:c r="I6" s="11" t="str">
        <x:v>Node-level allocation</x:v>
      </x:c>
      <x:c r="J6" s="11" t="str">
        <x:v>Node-level allocation</x:v>
      </x:c>
      <x:c r="K6" s="11" t="str">
        <x:v>Node-level allocation</x:v>
      </x:c>
      <x:c r="L6" s="11" t="str">
        <x:v>Node-level allocation</x:v>
      </x:c>
      <x:c r="M6" s="11" t="str">
        <x:v>Node-level allocation</x:v>
      </x:c>
      <x:c r="N6" s="11" t="str">
        <x:v>Node-level allocation</x:v>
      </x:c>
      <x:c r="O6" s="12" t="str">
        <x:v>Node-level allocation</x:v>
      </x:c>
    </x:row>
    <x:row r="7">
      <x:c r="B7" s="28" t="str">
        <x:v>Node</x:v>
      </x:c>
      <x:c r="C7" s="29" t="str">
        <x:v>Role</x:v>
      </x:c>
      <x:c r="D7" s="29" t="str">
        <x:v>People capacity</x:v>
      </x:c>
      <x:c r="E7" s="29" t="str">
        <x:v>Building interfaces</x:v>
      </x:c>
      <x:c r="F7" s="29" t="str">
        <x:v>Electricity MWe</x:v>
      </x:c>
      <x:c r="G7" s="29" t="str">
        <x:v>Useful cooling MWth</x:v>
      </x:c>
      <x:c r="H7" s="29" t="str">
        <x:v>Heat rejection MWth</x:v>
      </x:c>
      <x:c r="I7" s="29" t="str">
        <x:v>Storage MWh</x:v>
      </x:c>
      <x:c r="J7" s="29" t="str">
        <x:v>Water m3/day</x:v>
      </x:c>
      <x:c r="K7" s="29" t="str">
        <x:v>Wastewater m3/day</x:v>
      </x:c>
      <x:c r="L7" s="29" t="str">
        <x:v>Hazard zone</x:v>
      </x:c>
      <x:c r="M7" s="29" t="str">
        <x:v>Control partition</x:v>
      </x:c>
      <x:c r="N7" s="29" t="str">
        <x:v>Heat destination</x:v>
      </x:c>
      <x:c r="O7" s="29" t="str">
        <x:v>Supplier partition</x:v>
      </x:c>
    </x:row>
    <x:row r="8">
      <x:c r="B8" s="50" t="str">
        <x:v>N01</x:v>
      </x:c>
      <x:c r="C8" s="50" t="str">
        <x:v>ACTIVE BUILDING NODE</x:v>
      </x:c>
      <x:c r="D8" s="51" t="n">
        <x:v>500</x:v>
      </x:c>
      <x:c r="E8" s="51" t="n">
        <x:v>1</x:v>
      </x:c>
      <x:c r="F8" s="51" t="n">
        <x:v>0.16</x:v>
      </x:c>
      <x:c r="G8" s="51" t="n">
        <x:v>0.2</x:v>
      </x:c>
      <x:c r="H8" s="51" t="n">
        <x:v>0.6666666666666666</x:v>
      </x:c>
      <x:c r="I8" s="51" t="n">
        <x:v>4</x:v>
      </x:c>
      <x:c r="J8" s="51" t="n">
        <x:v>30</x:v>
      </x:c>
      <x:c r="K8" s="51" t="n">
        <x:v>22.5</x:v>
      </x:c>
      <x:c r="L8" s="50" t="n">
        <x:v>1</x:v>
      </x:c>
      <x:c r="M8" s="50" t="n">
        <x:v>1</x:v>
      </x:c>
      <x:c r="N8" s="50" t="n">
        <x:v>1</x:v>
      </x:c>
      <x:c r="O8" s="52" t="n">
        <x:v>1</x:v>
      </x:c>
    </x:row>
    <x:row r="9">
      <x:c r="B9" s="50" t="str">
        <x:v>N02</x:v>
      </x:c>
      <x:c r="C9" s="50" t="str">
        <x:v>ACTIVE BUILDING NODE</x:v>
      </x:c>
      <x:c r="D9" s="51" t="n">
        <x:v>500</x:v>
      </x:c>
      <x:c r="E9" s="51" t="n">
        <x:v>1</x:v>
      </x:c>
      <x:c r="F9" s="51" t="n">
        <x:v>0.16</x:v>
      </x:c>
      <x:c r="G9" s="51" t="n">
        <x:v>0.2</x:v>
      </x:c>
      <x:c r="H9" s="51" t="n">
        <x:v>0.6666666666666666</x:v>
      </x:c>
      <x:c r="I9" s="51" t="n">
        <x:v>4</x:v>
      </x:c>
      <x:c r="J9" s="51" t="n">
        <x:v>30</x:v>
      </x:c>
      <x:c r="K9" s="51" t="n">
        <x:v>22.5</x:v>
      </x:c>
      <x:c r="L9" s="50" t="n">
        <x:v>2</x:v>
      </x:c>
      <x:c r="M9" s="50" t="n">
        <x:v>2</x:v>
      </x:c>
      <x:c r="N9" s="50" t="n">
        <x:v>2</x:v>
      </x:c>
      <x:c r="O9" s="52" t="n">
        <x:v>2</x:v>
      </x:c>
    </x:row>
    <x:row r="10">
      <x:c r="B10" s="50" t="str">
        <x:v>N03</x:v>
      </x:c>
      <x:c r="C10" s="50" t="str">
        <x:v>ACTIVE BUILDING NODE</x:v>
      </x:c>
      <x:c r="D10" s="51" t="n">
        <x:v>500</x:v>
      </x:c>
      <x:c r="E10" s="51" t="n">
        <x:v>1</x:v>
      </x:c>
      <x:c r="F10" s="51" t="n">
        <x:v>0.16</x:v>
      </x:c>
      <x:c r="G10" s="51" t="n">
        <x:v>0.2</x:v>
      </x:c>
      <x:c r="H10" s="51" t="n">
        <x:v>0.6666666666666666</x:v>
      </x:c>
      <x:c r="I10" s="51" t="n">
        <x:v>4</x:v>
      </x:c>
      <x:c r="J10" s="51" t="n">
        <x:v>30</x:v>
      </x:c>
      <x:c r="K10" s="51" t="n">
        <x:v>22.5</x:v>
      </x:c>
      <x:c r="L10" s="50" t="n">
        <x:v>3</x:v>
      </x:c>
      <x:c r="M10" s="50" t="n">
        <x:v>3</x:v>
      </x:c>
      <x:c r="N10" s="50" t="n">
        <x:v>3</x:v>
      </x:c>
      <x:c r="O10" s="52" t="n">
        <x:v>3</x:v>
      </x:c>
    </x:row>
    <x:row r="11">
      <x:c r="B11" s="50" t="str">
        <x:v>N04</x:v>
      </x:c>
      <x:c r="C11" s="50" t="str">
        <x:v>ACTIVE BUILDING NODE</x:v>
      </x:c>
      <x:c r="D11" s="51" t="n">
        <x:v>500</x:v>
      </x:c>
      <x:c r="E11" s="51" t="n">
        <x:v>1</x:v>
      </x:c>
      <x:c r="F11" s="51" t="n">
        <x:v>0.16</x:v>
      </x:c>
      <x:c r="G11" s="51" t="n">
        <x:v>0.2</x:v>
      </x:c>
      <x:c r="H11" s="51" t="n">
        <x:v>0.6666666666666666</x:v>
      </x:c>
      <x:c r="I11" s="51" t="n">
        <x:v>4</x:v>
      </x:c>
      <x:c r="J11" s="51" t="n">
        <x:v>30</x:v>
      </x:c>
      <x:c r="K11" s="51" t="n">
        <x:v>22.5</x:v>
      </x:c>
      <x:c r="L11" s="50" t="n">
        <x:v>4</x:v>
      </x:c>
      <x:c r="M11" s="50" t="n">
        <x:v>4</x:v>
      </x:c>
      <x:c r="N11" s="50" t="n">
        <x:v>4</x:v>
      </x:c>
      <x:c r="O11" s="52" t="n">
        <x:v>4</x:v>
      </x:c>
    </x:row>
    <x:row r="12">
      <x:c r="B12" s="50" t="str">
        <x:v>N05</x:v>
      </x:c>
      <x:c r="C12" s="50" t="str">
        <x:v>ACTIVE BUILDING NODE</x:v>
      </x:c>
      <x:c r="D12" s="51" t="n">
        <x:v>500</x:v>
      </x:c>
      <x:c r="E12" s="51" t="n">
        <x:v>1</x:v>
      </x:c>
      <x:c r="F12" s="51" t="n">
        <x:v>0.16</x:v>
      </x:c>
      <x:c r="G12" s="51" t="n">
        <x:v>0.2</x:v>
      </x:c>
      <x:c r="H12" s="51" t="n">
        <x:v>0.6666666666666666</x:v>
      </x:c>
      <x:c r="I12" s="51" t="n">
        <x:v>4</x:v>
      </x:c>
      <x:c r="J12" s="51" t="n">
        <x:v>30</x:v>
      </x:c>
      <x:c r="K12" s="51" t="n">
        <x:v>22.5</x:v>
      </x:c>
      <x:c r="L12" s="50" t="n">
        <x:v>5</x:v>
      </x:c>
      <x:c r="M12" s="50" t="n">
        <x:v>5</x:v>
      </x:c>
      <x:c r="N12" s="50" t="n">
        <x:v>5</x:v>
      </x:c>
      <x:c r="O12" s="52" t="n">
        <x:v>5</x:v>
      </x:c>
    </x:row>
    <x:row r="13">
      <x:c r="B13" s="50" t="str">
        <x:v>N06</x:v>
      </x:c>
      <x:c r="C13" s="50" t="str">
        <x:v>ACTIVE BUILDING NODE</x:v>
      </x:c>
      <x:c r="D13" s="51" t="n">
        <x:v>500</x:v>
      </x:c>
      <x:c r="E13" s="51" t="n">
        <x:v>1</x:v>
      </x:c>
      <x:c r="F13" s="51" t="n">
        <x:v>0.16</x:v>
      </x:c>
      <x:c r="G13" s="51" t="n">
        <x:v>0.2</x:v>
      </x:c>
      <x:c r="H13" s="51" t="n">
        <x:v>0.6666666666666666</x:v>
      </x:c>
      <x:c r="I13" s="51" t="n">
        <x:v>4</x:v>
      </x:c>
      <x:c r="J13" s="51" t="n">
        <x:v>30</x:v>
      </x:c>
      <x:c r="K13" s="51" t="n">
        <x:v>22.5</x:v>
      </x:c>
      <x:c r="L13" s="50" t="n">
        <x:v>6</x:v>
      </x:c>
      <x:c r="M13" s="50" t="n">
        <x:v>1</x:v>
      </x:c>
      <x:c r="N13" s="50" t="n">
        <x:v>1</x:v>
      </x:c>
      <x:c r="O13" s="52" t="n">
        <x:v>6</x:v>
      </x:c>
    </x:row>
    <x:row r="14">
      <x:c r="B14" s="50" t="str">
        <x:v>N07</x:v>
      </x:c>
      <x:c r="C14" s="50" t="str">
        <x:v>ACTIVE BUILDING NODE</x:v>
      </x:c>
      <x:c r="D14" s="51" t="n">
        <x:v>500</x:v>
      </x:c>
      <x:c r="E14" s="51" t="n">
        <x:v>1</x:v>
      </x:c>
      <x:c r="F14" s="51" t="n">
        <x:v>0.16</x:v>
      </x:c>
      <x:c r="G14" s="51" t="n">
        <x:v>0.2</x:v>
      </x:c>
      <x:c r="H14" s="51" t="n">
        <x:v>0.6666666666666666</x:v>
      </x:c>
      <x:c r="I14" s="51" t="n">
        <x:v>4</x:v>
      </x:c>
      <x:c r="J14" s="51" t="n">
        <x:v>30</x:v>
      </x:c>
      <x:c r="K14" s="51" t="n">
        <x:v>22.5</x:v>
      </x:c>
      <x:c r="L14" s="50" t="n">
        <x:v>7</x:v>
      </x:c>
      <x:c r="M14" s="50" t="n">
        <x:v>2</x:v>
      </x:c>
      <x:c r="N14" s="50" t="n">
        <x:v>2</x:v>
      </x:c>
      <x:c r="O14" s="52" t="n">
        <x:v>7</x:v>
      </x:c>
    </x:row>
    <x:row r="15">
      <x:c r="B15" s="50" t="str">
        <x:v>N08</x:v>
      </x:c>
      <x:c r="C15" s="50" t="str">
        <x:v>ACTIVE BUILDING NODE</x:v>
      </x:c>
      <x:c r="D15" s="51" t="n">
        <x:v>500</x:v>
      </x:c>
      <x:c r="E15" s="51" t="n">
        <x:v>1</x:v>
      </x:c>
      <x:c r="F15" s="51" t="n">
        <x:v>0.16</x:v>
      </x:c>
      <x:c r="G15" s="51" t="n">
        <x:v>0.2</x:v>
      </x:c>
      <x:c r="H15" s="51" t="n">
        <x:v>0.6666666666666666</x:v>
      </x:c>
      <x:c r="I15" s="51" t="n">
        <x:v>4</x:v>
      </x:c>
      <x:c r="J15" s="51" t="n">
        <x:v>30</x:v>
      </x:c>
      <x:c r="K15" s="51" t="n">
        <x:v>22.5</x:v>
      </x:c>
      <x:c r="L15" s="50" t="n">
        <x:v>8</x:v>
      </x:c>
      <x:c r="M15" s="50" t="n">
        <x:v>3</x:v>
      </x:c>
      <x:c r="N15" s="50" t="n">
        <x:v>3</x:v>
      </x:c>
      <x:c r="O15" s="52" t="n">
        <x:v>8</x:v>
      </x:c>
    </x:row>
    <x:row r="16">
      <x:c r="B16" s="50" t="str">
        <x:v>N09</x:v>
      </x:c>
      <x:c r="C16" s="50" t="str">
        <x:v>ACTIVE BUILDING NODE</x:v>
      </x:c>
      <x:c r="D16" s="51" t="n">
        <x:v>500</x:v>
      </x:c>
      <x:c r="E16" s="51" t="n">
        <x:v>1</x:v>
      </x:c>
      <x:c r="F16" s="51" t="n">
        <x:v>0.16</x:v>
      </x:c>
      <x:c r="G16" s="51" t="n">
        <x:v>0.2</x:v>
      </x:c>
      <x:c r="H16" s="51" t="n">
        <x:v>0.6666666666666666</x:v>
      </x:c>
      <x:c r="I16" s="51" t="n">
        <x:v>4</x:v>
      </x:c>
      <x:c r="J16" s="51" t="n">
        <x:v>30</x:v>
      </x:c>
      <x:c r="K16" s="51" t="n">
        <x:v>22.5</x:v>
      </x:c>
      <x:c r="L16" s="50" t="n">
        <x:v>9</x:v>
      </x:c>
      <x:c r="M16" s="50" t="n">
        <x:v>4</x:v>
      </x:c>
      <x:c r="N16" s="50" t="n">
        <x:v>4</x:v>
      </x:c>
      <x:c r="O16" s="52" t="n">
        <x:v>9</x:v>
      </x:c>
    </x:row>
    <x:row r="17">
      <x:c r="B17" s="50" t="str">
        <x:v>N10</x:v>
      </x:c>
      <x:c r="C17" s="50" t="str">
        <x:v>ACTIVE BUILDING NODE</x:v>
      </x:c>
      <x:c r="D17" s="51" t="n">
        <x:v>500</x:v>
      </x:c>
      <x:c r="E17" s="51" t="n">
        <x:v>1</x:v>
      </x:c>
      <x:c r="F17" s="51" t="n">
        <x:v>0.16</x:v>
      </x:c>
      <x:c r="G17" s="51" t="n">
        <x:v>0.2</x:v>
      </x:c>
      <x:c r="H17" s="51" t="n">
        <x:v>0.6666666666666666</x:v>
      </x:c>
      <x:c r="I17" s="51" t="n">
        <x:v>4</x:v>
      </x:c>
      <x:c r="J17" s="51" t="n">
        <x:v>30</x:v>
      </x:c>
      <x:c r="K17" s="51" t="n">
        <x:v>22.5</x:v>
      </x:c>
      <x:c r="L17" s="50" t="n">
        <x:v>10</x:v>
      </x:c>
      <x:c r="M17" s="50" t="n">
        <x:v>5</x:v>
      </x:c>
      <x:c r="N17" s="50" t="n">
        <x:v>5</x:v>
      </x:c>
      <x:c r="O17" s="52" t="n">
        <x:v>10</x:v>
      </x:c>
    </x:row>
    <x:row r="18">
      <x:c r="B18" s="50" t="str">
        <x:v>N11</x:v>
      </x:c>
      <x:c r="C18" s="50" t="str">
        <x:v>RESERVE / OVERFLOW NODE</x:v>
      </x:c>
      <x:c r="D18" s="51" t="n">
        <x:v>500</x:v>
      </x:c>
      <x:c r="E18" s="51" t="n">
        <x:v>0</x:v>
      </x:c>
      <x:c r="F18" s="51" t="n">
        <x:v>0.16</x:v>
      </x:c>
      <x:c r="G18" s="51" t="n">
        <x:v>0.2</x:v>
      </x:c>
      <x:c r="H18" s="51" t="n">
        <x:v>0.6666666666666666</x:v>
      </x:c>
      <x:c r="I18" s="51" t="n">
        <x:v>4</x:v>
      </x:c>
      <x:c r="J18" s="51" t="n">
        <x:v>30</x:v>
      </x:c>
      <x:c r="K18" s="51" t="n">
        <x:v>22.5</x:v>
      </x:c>
      <x:c r="L18" s="50" t="n">
        <x:v>11</x:v>
      </x:c>
      <x:c r="M18" s="50" t="n">
        <x:v>1</x:v>
      </x:c>
      <x:c r="N18" s="50" t="n">
        <x:v>1</x:v>
      </x:c>
      <x:c r="O18" s="52" t="n">
        <x:v>1</x:v>
      </x:c>
    </x:row>
    <x:row r="19">
      <x:c r="B19" s="50" t="str">
        <x:v>N12</x:v>
      </x:c>
      <x:c r="C19" s="50" t="str">
        <x:v>RESERVE / OVERFLOW NODE</x:v>
      </x:c>
      <x:c r="D19" s="51" t="n">
        <x:v>500</x:v>
      </x:c>
      <x:c r="E19" s="51" t="n">
        <x:v>0</x:v>
      </x:c>
      <x:c r="F19" s="51" t="n">
        <x:v>0.16</x:v>
      </x:c>
      <x:c r="G19" s="51" t="n">
        <x:v>0.2</x:v>
      </x:c>
      <x:c r="H19" s="51" t="n">
        <x:v>0.6666666666666666</x:v>
      </x:c>
      <x:c r="I19" s="51" t="n">
        <x:v>4</x:v>
      </x:c>
      <x:c r="J19" s="51" t="n">
        <x:v>30</x:v>
      </x:c>
      <x:c r="K19" s="51" t="n">
        <x:v>22.5</x:v>
      </x:c>
      <x:c r="L19" s="50" t="n">
        <x:v>12</x:v>
      </x:c>
      <x:c r="M19" s="50" t="n">
        <x:v>2</x:v>
      </x:c>
      <x:c r="N19" s="50" t="n">
        <x:v>2</x:v>
      </x:c>
      <x:c r="O19" s="52" t="n">
        <x:v>2</x:v>
      </x:c>
    </x:row>
    <x:row r="20">
      <x:c r="B20" s="50"/>
      <x:c r="C20" s="50"/>
      <x:c r="D20" s="51"/>
      <x:c r="E20" s="51"/>
      <x:c r="F20" s="51"/>
      <x:c r="G20" s="51"/>
      <x:c r="H20" s="51"/>
      <x:c r="I20" s="51"/>
      <x:c r="J20" s="51"/>
      <x:c r="K20" s="51"/>
      <x:c r="L20" s="50"/>
      <x:c r="M20" s="50"/>
      <x:c r="N20" s="50"/>
      <x:c r="O20" s="52"/>
    </x:row>
    <x:row r="21">
      <x:c r="B21" s="90" t="str">
        <x:v>TOTAL</x:v>
      </x:c>
      <x:c r="C21" s="90"/>
      <x:c r="D21" s="91" t="n">
        <x:f>SUM(D8:D19)</x:f>
        <x:v>6000</x:v>
      </x:c>
      <x:c r="E21" s="91" t="n">
        <x:f>SUM(E8:E19)</x:f>
        <x:v>10</x:v>
      </x:c>
      <x:c r="F21" s="91" t="n">
        <x:f>SUM(F8:F19)</x:f>
        <x:v>1.9199999999999997</x:v>
      </x:c>
      <x:c r="G21" s="91" t="n">
        <x:f>SUM(G8:G19)</x:f>
        <x:v>2.4</x:v>
      </x:c>
      <x:c r="H21" s="91" t="n">
        <x:f>SUM(H8:H19)</x:f>
        <x:v>8</x:v>
      </x:c>
      <x:c r="I21" s="91" t="n">
        <x:f>SUM(I8:I19)</x:f>
        <x:v>48</x:v>
      </x:c>
      <x:c r="J21" s="91" t="n">
        <x:f>SUM(J8:J19)</x:f>
        <x:v>360</x:v>
      </x:c>
      <x:c r="K21" s="91" t="n">
        <x:f>SUM(K8:K19)</x:f>
        <x:v>270</x:v>
      </x:c>
      <x:c r="L21" s="90"/>
      <x:c r="M21" s="90"/>
      <x:c r="N21" s="90"/>
      <x:c r="O21" s="92"/>
    </x:row>
  </x:sheetData>
  <x:mergeCells>
    <x:mergeCell ref="B6:O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9" hidden="0" customWidth="1"/>
    <x:col min="3" max="3" width="35" hidden="0" customWidth="1"/>
    <x:col min="4" max="4" width="14" hidden="0" customWidth="1"/>
    <x:col min="5" max="5" width="18" hidden="0" customWidth="1"/>
    <x:col min="6" max="6" width="14" hidden="0" customWidth="1"/>
    <x:col min="7" max="7" width="15" hidden="0" customWidth="1"/>
    <x:col min="8" max="8" width="15" hidden="0" customWidth="1"/>
    <x:col min="9" max="9" width="18" hidden="0" customWidth="1"/>
    <x:col min="10" max="10" width="17" hidden="0" customWidth="1"/>
    <x:col min="11" max="11" width="17" hidden="0" customWidth="1"/>
    <x:col min="12" max="12" width="16" hidden="0" customWidth="1"/>
    <x:col min="13" max="13" width="22" hidden="0" customWidth="1"/>
    <x:col min="14" max="14" width="47" hidden="0" customWidth="1"/>
    <x:col min="15" max="15" width="18" hidden="0" customWidth="1"/>
    <x:col min="16" max="16" width="20" hidden="0" customWidth="1"/>
    <x:col min="17" max="17" width="18" hidden="0" customWidth="1"/>
    <x:col min="18" max="18" width="20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1" hidden="0" customWidth="1"/>
  </x:cols>
  <x:sheetData>
    <x:row r="2">
      <x:c r="B2" s="3" t="str">
        <x:v>Ten-island federation compiler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B3" s="4" t="str">
        <x:v>The package count is governed by the largest correlated fixed loss, not the number of sites on a map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2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B6" s="10" t="str">
        <x:v>Federation alternatives and national lifecycle</x:v>
      </x:c>
      <x:c r="C6" s="11" t="str">
        <x:v>Federation alternatives and national lifecycle</x:v>
      </x:c>
      <x:c r="D6" s="11" t="str">
        <x:v>Federation alternatives and national lifecycle</x:v>
      </x:c>
      <x:c r="E6" s="11" t="str">
        <x:v>Federation alternatives and national lifecycle</x:v>
      </x:c>
      <x:c r="F6" s="11" t="str">
        <x:v>Federation alternatives and national lifecycle</x:v>
      </x:c>
      <x:c r="G6" s="11" t="str">
        <x:v>Federation alternatives and national lifecycle</x:v>
      </x:c>
      <x:c r="H6" s="11" t="str">
        <x:v>Federation alternatives and national lifecycle</x:v>
      </x:c>
      <x:c r="I6" s="11" t="str">
        <x:v>Federation alternatives and national lifecycle</x:v>
      </x:c>
      <x:c r="J6" s="11" t="str">
        <x:v>Federation alternatives and national lifecycle</x:v>
      </x:c>
      <x:c r="K6" s="11" t="str">
        <x:v>Federation alternatives and national lifecycle</x:v>
      </x:c>
      <x:c r="L6" s="11" t="str">
        <x:v>Federation alternatives and national lifecycle</x:v>
      </x:c>
      <x:c r="M6" s="11" t="str">
        <x:v>Federation alternatives and national lifecycle</x:v>
      </x:c>
      <x:c r="N6" s="11" t="str">
        <x:v>Federation alternatives and national lifecycle</x:v>
      </x:c>
      <x:c r="O6" s="11" t="str">
        <x:v>Federation alternatives and national lifecycle</x:v>
      </x:c>
      <x:c r="P6" s="11" t="str">
        <x:v>Federation alternatives and national lifecycle</x:v>
      </x:c>
      <x:c r="Q6" s="11" t="str">
        <x:v>Federation alternatives and national lifecycle</x:v>
      </x:c>
      <x:c r="R6" s="11" t="str">
        <x:v>Federation alternatives and national lifecycle</x:v>
      </x:c>
      <x:c r="S6" s="11" t="str">
        <x:v>Federation alternatives and national lifecycle</x:v>
      </x:c>
      <x:c r="T6" s="11" t="str">
        <x:v>Federation alternatives and national lifecycle</x:v>
      </x:c>
      <x:c r="U6" s="11" t="str">
        <x:v>Federation alternatives and national lifecycle</x:v>
      </x:c>
      <x:c r="V6" s="12" t="str">
        <x:v>Federation alternatives and national lifecycle</x:v>
      </x:c>
      <x:c r="W6" s="2"/>
    </x:row>
    <x:row r="7">
      <x:c r="B7" s="28" t="str">
        <x:v>Code</x:v>
      </x:c>
      <x:c r="C7" s="29" t="str">
        <x:v>Architecture</x:v>
      </x:c>
      <x:c r="D7" s="29" t="str">
        <x:v>Fixed cells p</x:v>
      </x:c>
      <x:c r="E7" s="29" t="str">
        <x:v>Minimum domain partitions</x:v>
      </x:c>
      <x:c r="F7" s="29" t="str">
        <x:v>Mobile modes m</x:v>
      </x:c>
      <x:c r="G7" s="29" t="str">
        <x:v>Cells per mode q</x:v>
      </x:c>
      <x:c r="H7" s="29" t="str">
        <x:v>Fourth-path cells</x:v>
      </x:c>
      <x:c r="I7" s="29" t="str">
        <x:v>Baseline partitions</x:v>
      </x:c>
      <x:c r="J7" s="29" t="str">
        <x:v>Largest correlated fixed loss</x:v>
      </x:c>
      <x:c r="K7" s="29" t="str">
        <x:v>Packages per group</x:v>
      </x:c>
      <x:c r="L7" s="29" t="str">
        <x:v>After two modes</x:v>
      </x:c>
      <x:c r="M7" s="29" t="str">
        <x:v>After ancestry plus two modes</x:v>
      </x:c>
      <x:c r="N7" s="29" t="str">
        <x:v>Promise</x:v>
      </x:c>
      <x:c r="O7" s="29" t="str">
        <x:v>Fixed lifecycle/group $B</x:v>
      </x:c>
      <x:c r="P7" s="29" t="str">
        <x:v>Legacy mobile/group $B</x:v>
      </x:c>
      <x:c r="Q7" s="29" t="str">
        <x:v>Fourth path/group $B</x:v>
      </x:c>
      <x:c r="R7" s="29" t="str">
        <x:v>Diversity premium/group $B</x:v>
      </x:c>
      <x:c r="S7" s="29" t="str">
        <x:v>Cell layer/group $B</x:v>
      </x:c>
      <x:c r="T7" s="29" t="str">
        <x:v>National cell layer $B</x:v>
      </x:c>
      <x:c r="U7" s="29" t="str">
        <x:v>All-in national $B</x:v>
      </x:c>
      <x:c r="V7" s="29" t="str">
        <x:v>Behavior worlds passed</x:v>
      </x:c>
      <x:c r="W7" s="29" t="str">
        <x:v>Current-credit worlds passed</x:v>
      </x:c>
    </x:row>
    <x:row r="8">
      <x:c r="B8" s="66" t="str">
        <x:v>G1</x:v>
      </x:c>
      <x:c r="C8" s="66" t="str">
        <x:v>Nominal T7 with five shared lineages</x:v>
      </x:c>
      <x:c r="D8" s="66" t="n">
        <x:v>10</x:v>
      </x:c>
      <x:c r="E8" s="66" t="n">
        <x:v>5</x:v>
      </x:c>
      <x:c r="F8" s="66" t="n">
        <x:v>3</x:v>
      </x:c>
      <x:c r="G8" s="66" t="n">
        <x:v>1</x:v>
      </x:c>
      <x:c r="H8" s="66" t="n">
        <x:v>0</x:v>
      </x:c>
      <x:c r="I8" s="66" t="n">
        <x:v>5</x:v>
      </x:c>
      <x:c r="J8" s="70" t="n">
        <x:f>ROUNDUP(D8/E8,0)</x:f>
        <x:v>2</x:v>
      </x:c>
      <x:c r="K8" s="70" t="n">
        <x:f>D8+F8*G8</x:f>
        <x:v>13</x:v>
      </x:c>
      <x:c r="L8" s="70" t="n">
        <x:f>D8+MAX(0,F8-2)*G8</x:f>
        <x:v>11</x:v>
      </x:c>
      <x:c r="M8" s="70" t="n">
        <x:f>D8-J8+MAX(0,F8-2)*G8</x:f>
        <x:v>9</x:v>
      </x:c>
      <x:c r="N8" s="70" t="str">
        <x:v>one physical island plus two modes only</x:v>
      </x:c>
      <x:c r="O8" s="69" t="n">
        <x:f>D8*INDEX('Island Architectures'!$AH$8:$AH$13,MATCH(Assumptions!$I$20,'Island Architectures'!$B$8:$B$13,0))</x:f>
        <x:v>37.7625</x:v>
      </x:c>
      <x:c r="P8" s="69" t="n">
        <x:f>G8*SUM(2.479,2.799,3.239)</x:f>
        <x:v>8.517</x:v>
      </x:c>
      <x:c r="Q8" s="69" t="n">
        <x:f>H8*G8*4.5</x:f>
        <x:v>0</x:v>
      </x:c>
      <x:c r="R8" s="69" t="n">
        <x:f>MAX(0,E8-I8)*Assumptions!$I$19</x:f>
        <x:v>0</x:v>
      </x:c>
      <x:c r="S8" s="69" t="n">
        <x:f>SUM(O8:R8)</x:f>
        <x:v>46.2795</x:v>
      </x:c>
      <x:c r="T8" s="69" t="n">
        <x:f>S8*Assumptions!$I$8</x:f>
        <x:v>3332.124</x:v>
      </x:c>
      <x:c r="U8" s="69" t="n">
        <x:f>T8+Assumptions!$I$13+Assumptions!$I$18</x:f>
        <x:v>5736.5512</x:v>
      </x:c>
      <x:c r="V8" s="70" t="n">
        <x:f>COUNTIFS('Federation Worlds'!$B$8:$B$133,B8,'Federation Worlds'!$P$8:$P$133,"PASS")</x:f>
        <x:v>6</x:v>
      </x:c>
      <x:c r="W8" s="93" t="n">
        <x:f>COUNTIFS('Federation Worlds'!$B$8:$B$133,B8,'Federation Worlds'!$S$8:$S$133,"PASS")</x:f>
        <x:v>6</x:v>
      </x:c>
    </x:row>
    <x:row r="9">
      <x:c r="B9" s="66" t="str">
        <x:v>G2</x:v>
      </x:c>
      <x:c r="C9" s="66" t="str">
        <x:v>Strict ten-partition T7</x:v>
      </x:c>
      <x:c r="D9" s="66" t="n">
        <x:v>10</x:v>
      </x:c>
      <x:c r="E9" s="66" t="n">
        <x:v>10</x:v>
      </x:c>
      <x:c r="F9" s="66" t="n">
        <x:v>3</x:v>
      </x:c>
      <x:c r="G9" s="66" t="n">
        <x:v>1</x:v>
      </x:c>
      <x:c r="H9" s="66" t="n">
        <x:v>0</x:v>
      </x:c>
      <x:c r="I9" s="66" t="n">
        <x:v>5</x:v>
      </x:c>
      <x:c r="J9" s="70" t="n">
        <x:f>ROUNDUP(D9/E9,0)</x:f>
        <x:v>1</x:v>
      </x:c>
      <x:c r="K9" s="70" t="n">
        <x:f>D9+F9*G9</x:f>
        <x:v>13</x:v>
      </x:c>
      <x:c r="L9" s="70" t="n">
        <x:f>D9+MAX(0,F9-2)*G9</x:f>
        <x:v>11</x:v>
      </x:c>
      <x:c r="M9" s="70" t="n">
        <x:f>D9-J9+MAX(0,F9-2)*G9</x:f>
        <x:v>10</x:v>
      </x:c>
      <x:c r="N9" s="70" t="str">
        <x:v>one ancestry domain plus two modes</x:v>
      </x:c>
      <x:c r="O9" s="69" t="n">
        <x:f>D9*INDEX('Island Architectures'!$AH$8:$AH$13,MATCH(Assumptions!$I$20,'Island Architectures'!$B$8:$B$13,0))</x:f>
        <x:v>37.7625</x:v>
      </x:c>
      <x:c r="P9" s="69" t="n">
        <x:f>G9*SUM(2.479,2.799,3.239)</x:f>
        <x:v>8.517</x:v>
      </x:c>
      <x:c r="Q9" s="69" t="n">
        <x:f>H9*G9*4.5</x:f>
        <x:v>0</x:v>
      </x:c>
      <x:c r="R9" s="69" t="n">
        <x:f>MAX(0,E9-I9)*Assumptions!$I$19</x:f>
        <x:v>0.75</x:v>
      </x:c>
      <x:c r="S9" s="69" t="n">
        <x:f>SUM(O9:R9)</x:f>
        <x:v>47.0295</x:v>
      </x:c>
      <x:c r="T9" s="69" t="n">
        <x:f>S9*Assumptions!$I$8</x:f>
        <x:v>3386.124</x:v>
      </x:c>
      <x:c r="U9" s="69" t="n">
        <x:f>T9+Assumptions!$I$13+Assumptions!$I$18</x:f>
        <x:v>5790.5512</x:v>
      </x:c>
      <x:c r="V9" s="70" t="n">
        <x:f>COUNTIFS('Federation Worlds'!$B$8:$B$133,B9,'Federation Worlds'!$P$8:$P$133,"PASS")</x:f>
        <x:v>14</x:v>
      </x:c>
      <x:c r="W9" s="93" t="n">
        <x:f>COUNTIFS('Federation Worlds'!$B$8:$B$133,B9,'Federation Worlds'!$S$8:$S$133,"PASS")</x:f>
        <x:v>14</x:v>
      </x:c>
    </x:row>
    <x:row r="10">
      <x:c r="B10" s="66" t="str">
        <x:v>G3</x:v>
      </x:c>
      <x:c r="C10" s="66" t="str">
        <x:v>Eleven-island fixed spare</x:v>
      </x:c>
      <x:c r="D10" s="66" t="n">
        <x:v>11</x:v>
      </x:c>
      <x:c r="E10" s="66" t="n">
        <x:v>6</x:v>
      </x:c>
      <x:c r="F10" s="66" t="n">
        <x:v>3</x:v>
      </x:c>
      <x:c r="G10" s="66" t="n">
        <x:v>1</x:v>
      </x:c>
      <x:c r="H10" s="66" t="n">
        <x:v>0</x:v>
      </x:c>
      <x:c r="I10" s="66" t="n">
        <x:v>5</x:v>
      </x:c>
      <x:c r="J10" s="70" t="n">
        <x:f>ROUNDUP(D10/E10,0)</x:f>
        <x:v>2</x:v>
      </x:c>
      <x:c r="K10" s="70" t="n">
        <x:f>D10+F10*G10</x:f>
        <x:v>14</x:v>
      </x:c>
      <x:c r="L10" s="70" t="n">
        <x:f>D10+MAX(0,F10-2)*G10</x:f>
        <x:v>12</x:v>
      </x:c>
      <x:c r="M10" s="70" t="n">
        <x:f>D10-J10+MAX(0,F10-2)*G10</x:f>
        <x:v>10</x:v>
      </x:c>
      <x:c r="N10" s="70" t="str">
        <x:v>two fixed cells plus two modes</x:v>
      </x:c>
      <x:c r="O10" s="69" t="n">
        <x:f>D10*INDEX('Island Architectures'!$AH$8:$AH$13,MATCH(Assumptions!$I$20,'Island Architectures'!$B$8:$B$13,0))</x:f>
        <x:v>41.53875</x:v>
      </x:c>
      <x:c r="P10" s="69" t="n">
        <x:f>G10*SUM(2.479,2.799,3.239)</x:f>
        <x:v>8.517</x:v>
      </x:c>
      <x:c r="Q10" s="69" t="n">
        <x:f>H10*G10*4.5</x:f>
        <x:v>0</x:v>
      </x:c>
      <x:c r="R10" s="69" t="n">
        <x:f>MAX(0,E10-I10)*Assumptions!$I$19</x:f>
        <x:v>0.15</x:v>
      </x:c>
      <x:c r="S10" s="69" t="n">
        <x:f>SUM(O10:R10)</x:f>
        <x:v>50.20575</x:v>
      </x:c>
      <x:c r="T10" s="69" t="n">
        <x:f>S10*Assumptions!$I$8</x:f>
        <x:v>3614.8140000000003</x:v>
      </x:c>
      <x:c r="U10" s="69" t="n">
        <x:f>T10+Assumptions!$I$13+Assumptions!$I$18</x:f>
        <x:v>6019.2412</x:v>
      </x:c>
      <x:c r="V10" s="70" t="n">
        <x:f>COUNTIFS('Federation Worlds'!$B$8:$B$133,B10,'Federation Worlds'!$P$8:$P$133,"PASS")</x:f>
        <x:v>16</x:v>
      </x:c>
      <x:c r="W10" s="93" t="n">
        <x:f>COUNTIFS('Federation Worlds'!$B$8:$B$133,B10,'Federation Worlds'!$S$8:$S$133,"PASS")</x:f>
        <x:v>16</x:v>
      </x:c>
    </x:row>
    <x:row r="11">
      <x:c r="B11" s="66" t="str">
        <x:v>G4</x:v>
      </x:c>
      <x:c r="C11" s="66" t="str">
        <x:v>Four-path lineage hedge</x:v>
      </x:c>
      <x:c r="D11" s="66" t="n">
        <x:v>10</x:v>
      </x:c>
      <x:c r="E11" s="66" t="n">
        <x:v>5</x:v>
      </x:c>
      <x:c r="F11" s="66" t="n">
        <x:v>4</x:v>
      </x:c>
      <x:c r="G11" s="66" t="n">
        <x:v>1</x:v>
      </x:c>
      <x:c r="H11" s="66" t="n">
        <x:v>1</x:v>
      </x:c>
      <x:c r="I11" s="66" t="n">
        <x:v>5</x:v>
      </x:c>
      <x:c r="J11" s="70" t="n">
        <x:f>ROUNDUP(D11/E11,0)</x:f>
        <x:v>2</x:v>
      </x:c>
      <x:c r="K11" s="70" t="n">
        <x:f>D11+F11*G11</x:f>
        <x:v>14</x:v>
      </x:c>
      <x:c r="L11" s="70" t="n">
        <x:f>D11+MAX(0,F11-2)*G11</x:f>
        <x:v>12</x:v>
      </x:c>
      <x:c r="M11" s="70" t="n">
        <x:f>D11-J11+MAX(0,F11-2)*G11</x:f>
        <x:v>10</x:v>
      </x:c>
      <x:c r="N11" s="70" t="str">
        <x:v>two correlated fixed cells plus two modes</x:v>
      </x:c>
      <x:c r="O11" s="69" t="n">
        <x:f>D11*INDEX('Island Architectures'!$AH$8:$AH$13,MATCH(Assumptions!$I$20,'Island Architectures'!$B$8:$B$13,0))</x:f>
        <x:v>37.7625</x:v>
      </x:c>
      <x:c r="P11" s="69" t="n">
        <x:f>G11*SUM(2.479,2.799,3.239)</x:f>
        <x:v>8.517</x:v>
      </x:c>
      <x:c r="Q11" s="69" t="n">
        <x:f>H11*G11*4.5</x:f>
        <x:v>4.5</x:v>
      </x:c>
      <x:c r="R11" s="69" t="n">
        <x:f>MAX(0,E11-I11)*Assumptions!$I$19</x:f>
        <x:v>0</x:v>
      </x:c>
      <x:c r="S11" s="69" t="n">
        <x:f>SUM(O11:R11)</x:f>
        <x:v>50.7795</x:v>
      </x:c>
      <x:c r="T11" s="69" t="n">
        <x:f>S11*Assumptions!$I$8</x:f>
        <x:v>3656.124</x:v>
      </x:c>
      <x:c r="U11" s="69" t="n">
        <x:f>T11+Assumptions!$I$13+Assumptions!$I$18</x:f>
        <x:v>6060.5512</x:v>
      </x:c>
      <x:c r="V11" s="70" t="n">
        <x:f>COUNTIFS('Federation Worlds'!$B$8:$B$133,B11,'Federation Worlds'!$P$8:$P$133,"PASS")</x:f>
        <x:v>16</x:v>
      </x:c>
      <x:c r="W11" s="93" t="n">
        <x:f>COUNTIFS('Federation Worlds'!$B$8:$B$133,B11,'Federation Worlds'!$S$8:$S$133,"PASS")</x:f>
        <x:v>15</x:v>
      </x:c>
    </x:row>
    <x:row r="12">
      <x:c r="B12" s="66" t="str">
        <x:v>G5</x:v>
      </x:c>
      <x:c r="C12" s="66" t="str">
        <x:v>Three-mode mobile reserve</x:v>
      </x:c>
      <x:c r="D12" s="66" t="n">
        <x:v>10</x:v>
      </x:c>
      <x:c r="E12" s="66" t="n">
        <x:v>5</x:v>
      </x:c>
      <x:c r="F12" s="66" t="n">
        <x:v>3</x:v>
      </x:c>
      <x:c r="G12" s="66" t="n">
        <x:v>2</x:v>
      </x:c>
      <x:c r="H12" s="66" t="n">
        <x:v>0</x:v>
      </x:c>
      <x:c r="I12" s="66" t="n">
        <x:v>5</x:v>
      </x:c>
      <x:c r="J12" s="70" t="n">
        <x:f>ROUNDUP(D12/E12,0)</x:f>
        <x:v>2</x:v>
      </x:c>
      <x:c r="K12" s="70" t="n">
        <x:f>D12+F12*G12</x:f>
        <x:v>16</x:v>
      </x:c>
      <x:c r="L12" s="70" t="n">
        <x:f>D12+MAX(0,F12-2)*G12</x:f>
        <x:v>12</x:v>
      </x:c>
      <x:c r="M12" s="70" t="n">
        <x:f>D12-J12+MAX(0,F12-2)*G12</x:f>
        <x:v>10</x:v>
      </x:c>
      <x:c r="N12" s="70" t="str">
        <x:v>two correlated fixed cells plus two modes</x:v>
      </x:c>
      <x:c r="O12" s="69" t="n">
        <x:f>D12*INDEX('Island Architectures'!$AH$8:$AH$13,MATCH(Assumptions!$I$20,'Island Architectures'!$B$8:$B$13,0))</x:f>
        <x:v>37.7625</x:v>
      </x:c>
      <x:c r="P12" s="69" t="n">
        <x:f>G12*SUM(2.479,2.799,3.239)</x:f>
        <x:v>17.034</x:v>
      </x:c>
      <x:c r="Q12" s="69" t="n">
        <x:f>H12*G12*4.5</x:f>
        <x:v>0</x:v>
      </x:c>
      <x:c r="R12" s="69" t="n">
        <x:f>MAX(0,E12-I12)*Assumptions!$I$19</x:f>
        <x:v>0</x:v>
      </x:c>
      <x:c r="S12" s="69" t="n">
        <x:f>SUM(O12:R12)</x:f>
        <x:v>54.7965</x:v>
      </x:c>
      <x:c r="T12" s="69" t="n">
        <x:f>S12*Assumptions!$I$8</x:f>
        <x:v>3945.348</x:v>
      </x:c>
      <x:c r="U12" s="69" t="n">
        <x:f>T12+Assumptions!$I$13+Assumptions!$I$18</x:f>
        <x:v>6349.7752</x:v>
      </x:c>
      <x:c r="V12" s="70" t="n">
        <x:f>COUNTIFS('Federation Worlds'!$B$8:$B$133,B12,'Federation Worlds'!$P$8:$P$133,"PASS")</x:f>
        <x:v>15</x:v>
      </x:c>
      <x:c r="W12" s="93" t="n">
        <x:f>COUNTIFS('Federation Worlds'!$B$8:$B$133,B12,'Federation Worlds'!$S$8:$S$133,"PASS")</x:f>
        <x:v>15</x:v>
      </x:c>
    </x:row>
    <x:row r="13">
      <x:c r="B13" s="66" t="str">
        <x:v>G6</x:v>
      </x:c>
      <x:c r="C13" s="66" t="str">
        <x:v>Twelve-island fixed depth</x:v>
      </x:c>
      <x:c r="D13" s="66" t="n">
        <x:v>12</x:v>
      </x:c>
      <x:c r="E13" s="66" t="n">
        <x:v>6</x:v>
      </x:c>
      <x:c r="F13" s="66" t="n">
        <x:v>3</x:v>
      </x:c>
      <x:c r="G13" s="66" t="n">
        <x:v>1</x:v>
      </x:c>
      <x:c r="H13" s="66" t="n">
        <x:v>0</x:v>
      </x:c>
      <x:c r="I13" s="66" t="n">
        <x:v>5</x:v>
      </x:c>
      <x:c r="J13" s="70" t="n">
        <x:f>ROUNDUP(D13/E13,0)</x:f>
        <x:v>2</x:v>
      </x:c>
      <x:c r="K13" s="70" t="n">
        <x:f>D13+F13*G13</x:f>
        <x:v>15</x:v>
      </x:c>
      <x:c r="L13" s="70" t="n">
        <x:f>D13+MAX(0,F13-2)*G13</x:f>
        <x:v>13</x:v>
      </x:c>
      <x:c r="M13" s="70" t="n">
        <x:f>D13-J13+MAX(0,F13-2)*G13</x:f>
        <x:v>11</x:v>
      </x:c>
      <x:c r="N13" s="70" t="str">
        <x:v>two fixed cells plus two modes with margin</x:v>
      </x:c>
      <x:c r="O13" s="69" t="n">
        <x:f>D13*INDEX('Island Architectures'!$AH$8:$AH$13,MATCH(Assumptions!$I$20,'Island Architectures'!$B$8:$B$13,0))</x:f>
        <x:v>45.315</x:v>
      </x:c>
      <x:c r="P13" s="69" t="n">
        <x:f>G13*SUM(2.479,2.799,3.239)</x:f>
        <x:v>8.517</x:v>
      </x:c>
      <x:c r="Q13" s="69" t="n">
        <x:f>H13*G13*4.5</x:f>
        <x:v>0</x:v>
      </x:c>
      <x:c r="R13" s="69" t="n">
        <x:f>MAX(0,E13-I13)*Assumptions!$I$19</x:f>
        <x:v>0.15</x:v>
      </x:c>
      <x:c r="S13" s="69" t="n">
        <x:f>SUM(O13:R13)</x:f>
        <x:v>53.98199999999999</x:v>
      </x:c>
      <x:c r="T13" s="69" t="n">
        <x:f>S13*Assumptions!$I$8</x:f>
        <x:v>3886.7039999999993</x:v>
      </x:c>
      <x:c r="U13" s="69" t="n">
        <x:f>T13+Assumptions!$I$13+Assumptions!$I$18</x:f>
        <x:v>6291.1312</x:v>
      </x:c>
      <x:c r="V13" s="70" t="n">
        <x:f>COUNTIFS('Federation Worlds'!$B$8:$B$133,B13,'Federation Worlds'!$P$8:$P$133,"PASS")</x:f>
        <x:v>16</x:v>
      </x:c>
      <x:c r="W13" s="93" t="n">
        <x:f>COUNTIFS('Federation Worlds'!$B$8:$B$133,B13,'Federation Worlds'!$S$8:$S$133,"PASS")</x:f>
        <x:v>16</x:v>
      </x:c>
    </x:row>
    <x:row r="14">
      <x:c r="B14" s="71" t="str">
        <x:v>G7</x:v>
      </x:c>
      <x:c r="C14" s="71" t="str">
        <x:v>Four-lineage heavy mobile reserve</x:v>
      </x:c>
      <x:c r="D14" s="71" t="n">
        <x:v>10</x:v>
      </x:c>
      <x:c r="E14" s="71" t="n">
        <x:v>4</x:v>
      </x:c>
      <x:c r="F14" s="71" t="n">
        <x:v>3</x:v>
      </x:c>
      <x:c r="G14" s="71" t="n">
        <x:v>3</x:v>
      </x:c>
      <x:c r="H14" s="71" t="n">
        <x:v>0</x:v>
      </x:c>
      <x:c r="I14" s="71" t="n">
        <x:v>4</x:v>
      </x:c>
      <x:c r="J14" s="75" t="n">
        <x:f>ROUNDUP(D14/E14,0)</x:f>
        <x:v>3</x:v>
      </x:c>
      <x:c r="K14" s="75" t="n">
        <x:f>D14+F14*G14</x:f>
        <x:v>19</x:v>
      </x:c>
      <x:c r="L14" s="75" t="n">
        <x:f>D14+MAX(0,F14-2)*G14</x:f>
        <x:v>13</x:v>
      </x:c>
      <x:c r="M14" s="75" t="n">
        <x:f>D14-J14+MAX(0,F14-2)*G14</x:f>
        <x:v>10</x:v>
      </x:c>
      <x:c r="N14" s="75" t="str">
        <x:v>three correlated fixed cells plus two modes</x:v>
      </x:c>
      <x:c r="O14" s="74" t="n">
        <x:f>D14*INDEX('Island Architectures'!$AH$8:$AH$13,MATCH(Assumptions!$I$20,'Island Architectures'!$B$8:$B$13,0))</x:f>
        <x:v>37.7625</x:v>
      </x:c>
      <x:c r="P14" s="74" t="n">
        <x:f>G14*SUM(2.479,2.799,3.239)</x:f>
        <x:v>25.551</x:v>
      </x:c>
      <x:c r="Q14" s="74" t="n">
        <x:f>H14*G14*4.5</x:f>
        <x:v>0</x:v>
      </x:c>
      <x:c r="R14" s="74" t="n">
        <x:f>MAX(0,E14-I14)*Assumptions!$I$19</x:f>
        <x:v>0</x:v>
      </x:c>
      <x:c r="S14" s="74" t="n">
        <x:f>SUM(O14:R14)</x:f>
        <x:v>63.313500000000005</x:v>
      </x:c>
      <x:c r="T14" s="74" t="n">
        <x:f>S14*Assumptions!$I$8</x:f>
        <x:v>4558.572</x:v>
      </x:c>
      <x:c r="U14" s="74" t="n">
        <x:f>T14+Assumptions!$I$13+Assumptions!$I$18</x:f>
        <x:v>6962.9992</x:v>
      </x:c>
      <x:c r="V14" s="75" t="n">
        <x:f>COUNTIFS('Federation Worlds'!$B$8:$B$133,B14,'Federation Worlds'!$P$8:$P$133,"PASS")</x:f>
        <x:v>15</x:v>
      </x:c>
      <x:c r="W14" s="94" t="n">
        <x:f>COUNTIFS('Federation Worlds'!$B$8:$B$133,B14,'Federation Worlds'!$S$8:$S$133,"PASS")</x:f>
        <x:v>15</x:v>
      </x:c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>
      <x:c r="B18" s="10" t="str">
        <x:v>Independence-premium break-even</x:v>
      </x:c>
      <x:c r="C18" s="11" t="str">
        <x:v>Independence-premium break-even</x:v>
      </x:c>
      <x:c r="D18" s="11" t="str">
        <x:v>Independence-premium break-even</x:v>
      </x:c>
      <x:c r="E18" s="11" t="str">
        <x:v>Independence-premium break-even</x:v>
      </x:c>
      <x:c r="F18" s="11" t="str">
        <x:v>Independence-premium break-even</x:v>
      </x:c>
      <x:c r="G18" s="11" t="str">
        <x:v>Independence-premium break-even</x:v>
      </x:c>
      <x:c r="H18" s="12" t="str">
        <x:v>Independence-premium break-even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>
      <x:c r="B19" s="28" t="str">
        <x:v>Comparison</x:v>
      </x:c>
      <x:c r="C19" s="29" t="str">
        <x:v>Extra partitions in G2</x:v>
      </x:c>
      <x:c r="D19" s="29" t="str">
        <x:v>Extra fixed cells in G3</x:v>
      </x:c>
      <x:c r="E19" s="29" t="str">
        <x:v>Reference island lifecycle $B</x:v>
      </x:c>
      <x:c r="F19" s="29" t="str">
        <x:v>Break-even premium $B/partition/group</x:v>
      </x:c>
      <x:c r="G19" s="29" t="str">
        <x:v>Current premium</x:v>
      </x:c>
      <x:c r="H19" s="29" t="str">
        <x:v>Lower-cost structure at current premium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>
      <x:c r="B20" s="35" t="str">
        <x:v>G2 strict ten partitions versus G3 eleven-island spare</x:v>
      </x:c>
      <x:c r="C20" s="35" t="n">
        <x:v>4</x:v>
      </x:c>
      <x:c r="D20" s="35" t="n">
        <x:v>1</x:v>
      </x:c>
      <x:c r="E20" s="96" t="n">
        <x:f>INDEX('Island Architectures'!$AH$8:$AH$13,MATCH(Assumptions!$I$20,'Island Architectures'!$B$8:$B$13,0))</x:f>
        <x:v>3.77625</x:v>
      </x:c>
      <x:c r="F20" s="96" t="n">
        <x:f>E20/C20</x:f>
        <x:v>0.9440625</x:v>
      </x:c>
      <x:c r="G20" s="96" t="n">
        <x:f>Assumptions!$I$19</x:f>
        <x:v>0.15</x:v>
      </x:c>
      <x:c r="H20" s="37" t="str">
        <x:f>IF(G20&lt;F20,"G2 STRICT PARTITION","G3 SPARE FIXED CELL")</x:f>
        <x:v>G2 STRICT PARTITION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</x:sheetData>
  <x:mergeCells>
    <x:mergeCell ref="B6:V6"/>
    <x:mergeCell ref="B18:H1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2" max="2" width="12" hidden="0" customWidth="1"/>
    <x:col min="3" max="3" width="10" hidden="0" customWidth="1"/>
    <x:col min="4" max="4" width="41" hidden="0" customWidth="1"/>
    <x:col min="5" max="5" width="13" hidden="0" customWidth="1"/>
    <x:col min="6" max="6" width="16" hidden="0" customWidth="1"/>
    <x:col min="7" max="7" width="18" hidden="0" customWidth="1"/>
    <x:col min="8" max="8" width="15" hidden="0" customWidth="1"/>
    <x:col min="9" max="9" width="17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  <x:col min="14" max="14" width="18" hidden="0" customWidth="1"/>
    <x:col min="15" max="15" width="18" hidden="0" customWidth="1"/>
    <x:col min="16" max="16" width="14" hidden="0" customWidth="1"/>
    <x:col min="17" max="17" width="19" hidden="0" customWidth="1"/>
    <x:col min="18" max="18" width="18" hidden="0" customWidth="1"/>
    <x:col min="19" max="19" width="16" hidden="0" customWidth="1"/>
    <x:col min="20" max="20" width="18" hidden="0" customWidth="1"/>
    <x:col min="21" max="21" width="14" hidden="0" customWidth="1"/>
    <x:col min="22" max="22" width="49" hidden="0" customWidth="1"/>
  </x:cols>
  <x:sheetData>
    <x:row r="2">
      <x:c r="B2" s="3" t="str">
        <x:v>Federation behavior worlds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B3" s="4" t="str">
        <x:v>Seven force structures face physical island loss, correlated ancestry, route denial and evidence withholding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2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B6" s="10" t="str">
        <x:v>Federation-world results</x:v>
      </x:c>
      <x:c r="C6" s="11" t="str">
        <x:v>Federation-world results</x:v>
      </x:c>
      <x:c r="D6" s="11" t="str">
        <x:v>Federation-world results</x:v>
      </x:c>
      <x:c r="E6" s="11" t="str">
        <x:v>Federation-world results</x:v>
      </x:c>
      <x:c r="F6" s="11" t="str">
        <x:v>Federation-world results</x:v>
      </x:c>
      <x:c r="G6" s="11" t="str">
        <x:v>Federation-world results</x:v>
      </x:c>
      <x:c r="H6" s="11" t="str">
        <x:v>Federation-world results</x:v>
      </x:c>
      <x:c r="I6" s="11" t="str">
        <x:v>Federation-world results</x:v>
      </x:c>
      <x:c r="J6" s="11" t="str">
        <x:v>Federation-world results</x:v>
      </x:c>
      <x:c r="K6" s="11" t="str">
        <x:v>Federation-world results</x:v>
      </x:c>
      <x:c r="L6" s="11" t="str">
        <x:v>Federation-world results</x:v>
      </x:c>
      <x:c r="M6" s="11" t="str">
        <x:v>Federation-world results</x:v>
      </x:c>
      <x:c r="N6" s="11" t="str">
        <x:v>Federation-world results</x:v>
      </x:c>
      <x:c r="O6" s="11" t="str">
        <x:v>Federation-world results</x:v>
      </x:c>
      <x:c r="P6" s="11" t="str">
        <x:v>Federation-world results</x:v>
      </x:c>
      <x:c r="Q6" s="11" t="str">
        <x:v>Federation-world results</x:v>
      </x:c>
      <x:c r="R6" s="11" t="str">
        <x:v>Federation-world results</x:v>
      </x:c>
      <x:c r="S6" s="11" t="str">
        <x:v>Federation-world results</x:v>
      </x:c>
      <x:c r="T6" s="11" t="str">
        <x:v>Federation-world results</x:v>
      </x:c>
      <x:c r="U6" s="12" t="str">
        <x:v>Federation-world results</x:v>
      </x:c>
      <x:c r="V6" s="2"/>
    </x:row>
    <x:row r="7">
      <x:c r="B7" s="28" t="str">
        <x:v>Federation</x:v>
      </x:c>
      <x:c r="C7" s="29" t="str">
        <x:v>World</x:v>
      </x:c>
      <x:c r="D7" s="29" t="str">
        <x:v>Condition</x:v>
      </x:c>
      <x:c r="E7" s="29" t="str">
        <x:v>Mode losses</x:v>
      </x:c>
      <x:c r="F7" s="29" t="str">
        <x:v>Physical fixed loss</x:v>
      </x:c>
      <x:c r="G7" s="29" t="str">
        <x:v>Ancestry-domain cut</x:v>
      </x:c>
      <x:c r="H7" s="29" t="str">
        <x:v>Total fixed loss</x:v>
      </x:c>
      <x:c r="I7" s="29" t="str">
        <x:v>Fourth path withheld</x:v>
      </x:c>
      <x:c r="J7" s="29" t="str">
        <x:v>Fixed availability factor</x:v>
      </x:c>
      <x:c r="K7" s="29" t="str">
        <x:v>Largest ancestry loss</x:v>
      </x:c>
      <x:c r="L7" s="29" t="str">
        <x:v>Fixed cells retained</x:v>
      </x:c>
      <x:c r="M7" s="29" t="str">
        <x:v>Mobile modes retained</x:v>
      </x:c>
      <x:c r="N7" s="29" t="str">
        <x:v>Mobile cells retained</x:v>
      </x:c>
      <x:c r="O7" s="29" t="str">
        <x:v>Design cells retained</x:v>
      </x:c>
      <x:c r="P7" s="29" t="str">
        <x:v>Design status</x:v>
      </x:c>
      <x:c r="Q7" s="29" t="str">
        <x:v>Current-credit modes</x:v>
      </x:c>
      <x:c r="R7" s="29" t="str">
        <x:v>Current-credit cells</x:v>
      </x:c>
      <x:c r="S7" s="29" t="str">
        <x:v>Behavior status</x:v>
      </x:c>
      <x:c r="T7" s="29" t="str">
        <x:v>Strict admitted cells</x:v>
      </x:c>
      <x:c r="U7" s="29" t="str">
        <x:v>Strict status</x:v>
      </x:c>
      <x:c r="V7" s="29" t="str">
        <x:v>Meaning</x:v>
      </x:c>
    </x:row>
    <x:row r="8">
      <x:c r="B8" s="66" t="str">
        <x:v>G1</x:v>
      </x:c>
      <x:c r="C8" s="66" t="str">
        <x:v>F01</x:v>
      </x:c>
      <x:c r="D8" s="66" t="str">
        <x:v>Baseline release</x:v>
      </x:c>
      <x:c r="E8" s="66" t="n">
        <x:v>0</x:v>
      </x:c>
      <x:c r="F8" s="66" t="n">
        <x:v>0</x:v>
      </x:c>
      <x:c r="G8" s="66" t="n">
        <x:v>0</x:v>
      </x:c>
      <x:c r="H8" s="66" t="n">
        <x:v>0</x:v>
      </x:c>
      <x:c r="I8" s="66" t="n">
        <x:v>0</x:v>
      </x:c>
      <x:c r="J8" s="80" t="n">
        <x:v>1</x:v>
      </x:c>
      <x:c r="K8" s="70" t="n">
        <x:f>IF(H8=1,'Federation Compiler'!$D$8,IF(G8=1,ROUNDUP('Federation Compiler'!$D$8/'Federation Compiler'!$E$8,0),0))</x:f>
        <x:v>0</x:v>
      </x:c>
      <x:c r="L8" s="70" t="n">
        <x:f>MAX(0,ROUND(('Federation Compiler'!$D$8-F8-K8)*J8,0))</x:f>
        <x:v>10</x:v>
      </x:c>
      <x:c r="M8" s="70" t="n">
        <x:f>MAX(0,'Federation Compiler'!$F$8-E8)</x:f>
        <x:v>3</x:v>
      </x:c>
      <x:c r="N8" s="70" t="n">
        <x:f>M8*'Federation Compiler'!$G$8</x:f>
        <x:v>3</x:v>
      </x:c>
      <x:c r="O8" s="70" t="n">
        <x:f>L8+N8</x:f>
        <x:v>13</x:v>
      </x:c>
      <x:c r="P8" s="70" t="str">
        <x:f>IF(O8&gt;=10,"PASS","FAIL")</x:f>
        <x:v>PASS</x:v>
      </x:c>
      <x:c r="Q8" s="70" t="n">
        <x:f>MAX(0,M8-IF(AND(I8=1,'Federation Compiler'!$F$8=4),1,0))</x:f>
        <x:v>3</x:v>
      </x:c>
      <x:c r="R8" s="70" t="n">
        <x:f>L8+Q8*'Federation Compiler'!$G$8</x:f>
        <x:v>13</x:v>
      </x:c>
      <x:c r="S8" s="70" t="str">
        <x:f>IF(R8&gt;=10,"PASS","FAIL")</x:f>
        <x:v>PASS</x:v>
      </x:c>
      <x:c r="T8" s="70" t="n">
        <x:v>0</x:v>
      </x:c>
      <x:c r="U8" s="70" t="str">
        <x:f>IF(T8&gt;=10,"PASS","FAIL")</x:f>
        <x:v>FAIL</x:v>
      </x:c>
      <x:c r="V8" s="52" t="str">
        <x:v>all packages available</x:v>
      </x:c>
    </x:row>
    <x:row r="9">
      <x:c r="B9" s="66" t="str">
        <x:v>G1</x:v>
      </x:c>
      <x:c r="C9" s="66" t="str">
        <x:v>F02</x:v>
      </x:c>
      <x:c r="D9" s="66" t="str">
        <x:v>Any two legacy modes lost</x:v>
      </x:c>
      <x:c r="E9" s="66" t="n">
        <x:v>2</x:v>
      </x:c>
      <x:c r="F9" s="66" t="n">
        <x:v>0</x:v>
      </x:c>
      <x:c r="G9" s="66" t="n">
        <x:v>0</x:v>
      </x:c>
      <x:c r="H9" s="66" t="n">
        <x:v>0</x:v>
      </x:c>
      <x:c r="I9" s="66" t="n">
        <x:v>0</x:v>
      </x:c>
      <x:c r="J9" s="80" t="n">
        <x:v>1</x:v>
      </x:c>
      <x:c r="K9" s="70" t="n">
        <x:f>IF(H9=1,'Federation Compiler'!$D$8,IF(G9=1,ROUNDUP('Federation Compiler'!$D$8/'Federation Compiler'!$E$8,0),0))</x:f>
        <x:v>0</x:v>
      </x:c>
      <x:c r="L9" s="70" t="n">
        <x:f>MAX(0,ROUND(('Federation Compiler'!$D$8-F9-K9)*J9,0))</x:f>
        <x:v>10</x:v>
      </x:c>
      <x:c r="M9" s="70" t="n">
        <x:f>MAX(0,'Federation Compiler'!$F$8-E9)</x:f>
        <x:v>1</x:v>
      </x:c>
      <x:c r="N9" s="70" t="n">
        <x:f>M9*'Federation Compiler'!$G$8</x:f>
        <x:v>1</x:v>
      </x:c>
      <x:c r="O9" s="70" t="n">
        <x:f>L9+N9</x:f>
        <x:v>11</x:v>
      </x:c>
      <x:c r="P9" s="70" t="str">
        <x:f>IF(O9&gt;=10,"PASS","FAIL")</x:f>
        <x:v>PASS</x:v>
      </x:c>
      <x:c r="Q9" s="70" t="n">
        <x:f>MAX(0,M9-IF(AND(I9=1,'Federation Compiler'!$F$8=4),1,0))</x:f>
        <x:v>1</x:v>
      </x:c>
      <x:c r="R9" s="70" t="n">
        <x:f>L9+Q9*'Federation Compiler'!$G$8</x:f>
        <x:v>11</x:v>
      </x:c>
      <x:c r="S9" s="70" t="str">
        <x:f>IF(R9&gt;=10,"PASS","FAIL")</x:f>
        <x:v>PASS</x:v>
      </x:c>
      <x:c r="T9" s="70" t="n">
        <x:v>0</x:v>
      </x:c>
      <x:c r="U9" s="70" t="str">
        <x:f>IF(T9&gt;=10,"PASS","FAIL")</x:f>
        <x:v>FAIL</x:v>
      </x:c>
      <x:c r="V9" s="52" t="str">
        <x:v>Pass 75 access guarantee</x:v>
      </x:c>
    </x:row>
    <x:row r="10">
      <x:c r="B10" s="66" t="str">
        <x:v>G1</x:v>
      </x:c>
      <x:c r="C10" s="66" t="str">
        <x:v>F03</x:v>
      </x:c>
      <x:c r="D10" s="66" t="str">
        <x:v>One physical island plus two modes</x:v>
      </x:c>
      <x:c r="E10" s="66" t="n">
        <x:v>2</x:v>
      </x:c>
      <x:c r="F10" s="66" t="n">
        <x:v>1</x:v>
      </x:c>
      <x:c r="G10" s="66" t="n">
        <x:v>0</x:v>
      </x:c>
      <x:c r="H10" s="66" t="n">
        <x:v>0</x:v>
      </x:c>
      <x:c r="I10" s="66" t="n">
        <x:v>0</x:v>
      </x:c>
      <x:c r="J10" s="80" t="n">
        <x:v>1</x:v>
      </x:c>
      <x:c r="K10" s="70" t="n">
        <x:f>IF(H10=1,'Federation Compiler'!$D$8,IF(G10=1,ROUNDUP('Federation Compiler'!$D$8/'Federation Compiler'!$E$8,0),0))</x:f>
        <x:v>0</x:v>
      </x:c>
      <x:c r="L10" s="70" t="n">
        <x:f>MAX(0,ROUND(('Federation Compiler'!$D$8-F10-K10)*J10,0))</x:f>
        <x:v>9</x:v>
      </x:c>
      <x:c r="M10" s="70" t="n">
        <x:f>MAX(0,'Federation Compiler'!$F$8-E10)</x:f>
        <x:v>1</x:v>
      </x:c>
      <x:c r="N10" s="70" t="n">
        <x:f>M10*'Federation Compiler'!$G$8</x:f>
        <x:v>1</x:v>
      </x:c>
      <x:c r="O10" s="70" t="n">
        <x:f>L10+N10</x:f>
        <x:v>10</x:v>
      </x:c>
      <x:c r="P10" s="70" t="str">
        <x:f>IF(O10&gt;=10,"PASS","FAIL")</x:f>
        <x:v>PASS</x:v>
      </x:c>
      <x:c r="Q10" s="70" t="n">
        <x:f>MAX(0,M10-IF(AND(I10=1,'Federation Compiler'!$F$8=4),1,0))</x:f>
        <x:v>1</x:v>
      </x:c>
      <x:c r="R10" s="70" t="n">
        <x:f>L10+Q10*'Federation Compiler'!$G$8</x:f>
        <x:v>10</x:v>
      </x:c>
      <x:c r="S10" s="70" t="str">
        <x:f>IF(R10&gt;=10,"PASS","FAIL")</x:f>
        <x:v>PASS</x:v>
      </x:c>
      <x:c r="T10" s="70" t="n">
        <x:v>0</x:v>
      </x:c>
      <x:c r="U10" s="70" t="str">
        <x:f>IF(T10&gt;=10,"PASS","FAIL")</x:f>
        <x:v>FAIL</x:v>
      </x:c>
      <x:c r="V10" s="52" t="str">
        <x:v>original T7 promise</x:v>
      </x:c>
    </x:row>
    <x:row r="11">
      <x:c r="B11" s="66" t="str">
        <x:v>G1</x:v>
      </x:c>
      <x:c r="C11" s="66" t="str">
        <x:v>F04</x:v>
      </x:c>
      <x:c r="D11" s="66" t="str">
        <x:v>Source domain plus two modes</x:v>
      </x:c>
      <x:c r="E11" s="66" t="n">
        <x:v>2</x:v>
      </x:c>
      <x:c r="F11" s="66" t="n">
        <x:v>0</x:v>
      </x:c>
      <x:c r="G11" s="66" t="n">
        <x:v>1</x:v>
      </x:c>
      <x:c r="H11" s="66" t="n">
        <x:v>0</x:v>
      </x:c>
      <x:c r="I11" s="66" t="n">
        <x:v>0</x:v>
      </x:c>
      <x:c r="J11" s="80" t="n">
        <x:v>1</x:v>
      </x:c>
      <x:c r="K11" s="70" t="n">
        <x:f>IF(H11=1,'Federation Compiler'!$D$8,IF(G11=1,ROUNDUP('Federation Compiler'!$D$8/'Federation Compiler'!$E$8,0),0))</x:f>
        <x:v>2</x:v>
      </x:c>
      <x:c r="L11" s="70" t="n">
        <x:f>MAX(0,ROUND(('Federation Compiler'!$D$8-F11-K11)*J11,0))</x:f>
        <x:v>8</x:v>
      </x:c>
      <x:c r="M11" s="70" t="n">
        <x:f>MAX(0,'Federation Compiler'!$F$8-E11)</x:f>
        <x:v>1</x:v>
      </x:c>
      <x:c r="N11" s="70" t="n">
        <x:f>M11*'Federation Compiler'!$G$8</x:f>
        <x:v>1</x:v>
      </x:c>
      <x:c r="O11" s="70" t="n">
        <x:f>L11+N11</x:f>
        <x:v>9</x:v>
      </x:c>
      <x:c r="P11" s="70" t="str">
        <x:f>IF(O11&gt;=10,"PASS","FAIL")</x:f>
        <x:v>FAIL</x:v>
      </x:c>
      <x:c r="Q11" s="70" t="n">
        <x:f>MAX(0,M11-IF(AND(I11=1,'Federation Compiler'!$F$8=4),1,0))</x:f>
        <x:v>1</x:v>
      </x:c>
      <x:c r="R11" s="70" t="n">
        <x:f>L11+Q11*'Federation Compiler'!$G$8</x:f>
        <x:v>9</x:v>
      </x:c>
      <x:c r="S11" s="70" t="str">
        <x:f>IF(R11&gt;=10,"PASS","FAIL")</x:f>
        <x:v>FAIL</x:v>
      </x:c>
      <x:c r="T11" s="70" t="n">
        <x:v>0</x:v>
      </x:c>
      <x:c r="U11" s="70" t="str">
        <x:f>IF(T11&gt;=10,"PASS","FAIL")</x:f>
        <x:v>FAIL</x:v>
      </x:c>
      <x:c r="V11" s="52" t="str">
        <x:v>correlated energy ancestry</x:v>
      </x:c>
    </x:row>
    <x:row r="12">
      <x:c r="B12" s="66" t="str">
        <x:v>G1</x:v>
      </x:c>
      <x:c r="C12" s="66" t="str">
        <x:v>F05</x:v>
      </x:c>
      <x:c r="D12" s="66" t="str">
        <x:v>Heat domain plus two modes</x:v>
      </x:c>
      <x:c r="E12" s="66" t="n">
        <x:v>2</x:v>
      </x:c>
      <x:c r="F12" s="66" t="n">
        <x:v>0</x:v>
      </x:c>
      <x:c r="G12" s="66" t="n">
        <x:v>1</x:v>
      </x:c>
      <x:c r="H12" s="66" t="n">
        <x:v>0</x:v>
      </x:c>
      <x:c r="I12" s="66" t="n">
        <x:v>0</x:v>
      </x:c>
      <x:c r="J12" s="80" t="n">
        <x:v>1</x:v>
      </x:c>
      <x:c r="K12" s="70" t="n">
        <x:f>IF(H12=1,'Federation Compiler'!$D$8,IF(G12=1,ROUNDUP('Federation Compiler'!$D$8/'Federation Compiler'!$E$8,0),0))</x:f>
        <x:v>2</x:v>
      </x:c>
      <x:c r="L12" s="70" t="n">
        <x:f>MAX(0,ROUND(('Federation Compiler'!$D$8-F12-K12)*J12,0))</x:f>
        <x:v>8</x:v>
      </x:c>
      <x:c r="M12" s="70" t="n">
        <x:f>MAX(0,'Federation Compiler'!$F$8-E12)</x:f>
        <x:v>1</x:v>
      </x:c>
      <x:c r="N12" s="70" t="n">
        <x:f>M12*'Federation Compiler'!$G$8</x:f>
        <x:v>1</x:v>
      </x:c>
      <x:c r="O12" s="70" t="n">
        <x:f>L12+N12</x:f>
        <x:v>9</x:v>
      </x:c>
      <x:c r="P12" s="70" t="str">
        <x:f>IF(O12&gt;=10,"PASS","FAIL")</x:f>
        <x:v>FAIL</x:v>
      </x:c>
      <x:c r="Q12" s="70" t="n">
        <x:f>MAX(0,M12-IF(AND(I12=1,'Federation Compiler'!$F$8=4),1,0))</x:f>
        <x:v>1</x:v>
      </x:c>
      <x:c r="R12" s="70" t="n">
        <x:f>L12+Q12*'Federation Compiler'!$G$8</x:f>
        <x:v>9</x:v>
      </x:c>
      <x:c r="S12" s="70" t="str">
        <x:f>IF(R12&gt;=10,"PASS","FAIL")</x:f>
        <x:v>FAIL</x:v>
      </x:c>
      <x:c r="T12" s="70" t="n">
        <x:v>0</x:v>
      </x:c>
      <x:c r="U12" s="70" t="str">
        <x:f>IF(T12&gt;=10,"PASS","FAIL")</x:f>
        <x:v>FAIL</x:v>
      </x:c>
      <x:c r="V12" s="52" t="str">
        <x:v>correlated final heat destination</x:v>
      </x:c>
    </x:row>
    <x:row r="13">
      <x:c r="B13" s="66" t="str">
        <x:v>G1</x:v>
      </x:c>
      <x:c r="C13" s="66" t="str">
        <x:v>F06</x:v>
      </x:c>
      <x:c r="D13" s="66" t="str">
        <x:v>Control domain plus two modes</x:v>
      </x:c>
      <x:c r="E13" s="66" t="n">
        <x:v>2</x:v>
      </x:c>
      <x:c r="F13" s="66" t="n">
        <x:v>0</x:v>
      </x:c>
      <x:c r="G13" s="66" t="n">
        <x:v>1</x:v>
      </x:c>
      <x:c r="H13" s="66" t="n">
        <x:v>0</x:v>
      </x:c>
      <x:c r="I13" s="66" t="n">
        <x:v>0</x:v>
      </x:c>
      <x:c r="J13" s="80" t="n">
        <x:v>1</x:v>
      </x:c>
      <x:c r="K13" s="70" t="n">
        <x:f>IF(H13=1,'Federation Compiler'!$D$8,IF(G13=1,ROUNDUP('Federation Compiler'!$D$8/'Federation Compiler'!$E$8,0),0))</x:f>
        <x:v>2</x:v>
      </x:c>
      <x:c r="L13" s="70" t="n">
        <x:f>MAX(0,ROUND(('Federation Compiler'!$D$8-F13-K13)*J13,0))</x:f>
        <x:v>8</x:v>
      </x:c>
      <x:c r="M13" s="70" t="n">
        <x:f>MAX(0,'Federation Compiler'!$F$8-E13)</x:f>
        <x:v>1</x:v>
      </x:c>
      <x:c r="N13" s="70" t="n">
        <x:f>M13*'Federation Compiler'!$G$8</x:f>
        <x:v>1</x:v>
      </x:c>
      <x:c r="O13" s="70" t="n">
        <x:f>L13+N13</x:f>
        <x:v>9</x:v>
      </x:c>
      <x:c r="P13" s="70" t="str">
        <x:f>IF(O13&gt;=10,"PASS","FAIL")</x:f>
        <x:v>FAIL</x:v>
      </x:c>
      <x:c r="Q13" s="70" t="n">
        <x:f>MAX(0,M13-IF(AND(I13=1,'Federation Compiler'!$F$8=4),1,0))</x:f>
        <x:v>1</x:v>
      </x:c>
      <x:c r="R13" s="70" t="n">
        <x:f>L13+Q13*'Federation Compiler'!$G$8</x:f>
        <x:v>9</x:v>
      </x:c>
      <x:c r="S13" s="70" t="str">
        <x:f>IF(R13&gt;=10,"PASS","FAIL")</x:f>
        <x:v>FAIL</x:v>
      </x:c>
      <x:c r="T13" s="70" t="n">
        <x:v>0</x:v>
      </x:c>
      <x:c r="U13" s="70" t="str">
        <x:f>IF(T13&gt;=10,"PASS","FAIL")</x:f>
        <x:v>FAIL</x:v>
      </x:c>
      <x:c r="V13" s="52" t="str">
        <x:v>common control or signing root</x:v>
      </x:c>
    </x:row>
    <x:row r="14">
      <x:c r="B14" s="66" t="str">
        <x:v>G1</x:v>
      </x:c>
      <x:c r="C14" s="66" t="str">
        <x:v>F07</x:v>
      </x:c>
      <x:c r="D14" s="66" t="str">
        <x:v>Workforce domain plus two modes</x:v>
      </x:c>
      <x:c r="E14" s="66" t="n">
        <x:v>2</x:v>
      </x:c>
      <x:c r="F14" s="66" t="n">
        <x:v>0</x:v>
      </x:c>
      <x:c r="G14" s="66" t="n">
        <x:v>1</x:v>
      </x:c>
      <x:c r="H14" s="66" t="n">
        <x:v>0</x:v>
      </x:c>
      <x:c r="I14" s="66" t="n">
        <x:v>0</x:v>
      </x:c>
      <x:c r="J14" s="80" t="n">
        <x:v>1</x:v>
      </x:c>
      <x:c r="K14" s="70" t="n">
        <x:f>IF(H14=1,'Federation Compiler'!$D$8,IF(G14=1,ROUNDUP('Federation Compiler'!$D$8/'Federation Compiler'!$E$8,0),0))</x:f>
        <x:v>2</x:v>
      </x:c>
      <x:c r="L14" s="70" t="n">
        <x:f>MAX(0,ROUND(('Federation Compiler'!$D$8-F14-K14)*J14,0))</x:f>
        <x:v>8</x:v>
      </x:c>
      <x:c r="M14" s="70" t="n">
        <x:f>MAX(0,'Federation Compiler'!$F$8-E14)</x:f>
        <x:v>1</x:v>
      </x:c>
      <x:c r="N14" s="70" t="n">
        <x:f>M14*'Federation Compiler'!$G$8</x:f>
        <x:v>1</x:v>
      </x:c>
      <x:c r="O14" s="70" t="n">
        <x:f>L14+N14</x:f>
        <x:v>9</x:v>
      </x:c>
      <x:c r="P14" s="70" t="str">
        <x:f>IF(O14&gt;=10,"PASS","FAIL")</x:f>
        <x:v>FAIL</x:v>
      </x:c>
      <x:c r="Q14" s="70" t="n">
        <x:f>MAX(0,M14-IF(AND(I14=1,'Federation Compiler'!$F$8=4),1,0))</x:f>
        <x:v>1</x:v>
      </x:c>
      <x:c r="R14" s="70" t="n">
        <x:f>L14+Q14*'Federation Compiler'!$G$8</x:f>
        <x:v>9</x:v>
      </x:c>
      <x:c r="S14" s="70" t="str">
        <x:f>IF(R14&gt;=10,"PASS","FAIL")</x:f>
        <x:v>FAIL</x:v>
      </x:c>
      <x:c r="T14" s="70" t="n">
        <x:v>0</x:v>
      </x:c>
      <x:c r="U14" s="70" t="str">
        <x:f>IF(T14&gt;=10,"PASS","FAIL")</x:f>
        <x:v>FAIL</x:v>
      </x:c>
      <x:c r="V14" s="52" t="str">
        <x:v>school and credential lineage</x:v>
      </x:c>
    </x:row>
    <x:row r="15">
      <x:c r="B15" s="66" t="str">
        <x:v>G1</x:v>
      </x:c>
      <x:c r="C15" s="66" t="str">
        <x:v>F08</x:v>
      </x:c>
      <x:c r="D15" s="66" t="str">
        <x:v>Supplier domain plus two modes</x:v>
      </x:c>
      <x:c r="E15" s="66" t="n">
        <x:v>2</x:v>
      </x:c>
      <x:c r="F15" s="66" t="n">
        <x:v>0</x:v>
      </x:c>
      <x:c r="G15" s="66" t="n">
        <x:v>1</x:v>
      </x:c>
      <x:c r="H15" s="66" t="n">
        <x:v>0</x:v>
      </x:c>
      <x:c r="I15" s="66" t="n">
        <x:v>0</x:v>
      </x:c>
      <x:c r="J15" s="80" t="n">
        <x:v>1</x:v>
      </x:c>
      <x:c r="K15" s="70" t="n">
        <x:f>IF(H15=1,'Federation Compiler'!$D$8,IF(G15=1,ROUNDUP('Federation Compiler'!$D$8/'Federation Compiler'!$E$8,0),0))</x:f>
        <x:v>2</x:v>
      </x:c>
      <x:c r="L15" s="70" t="n">
        <x:f>MAX(0,ROUND(('Federation Compiler'!$D$8-F15-K15)*J15,0))</x:f>
        <x:v>8</x:v>
      </x:c>
      <x:c r="M15" s="70" t="n">
        <x:f>MAX(0,'Federation Compiler'!$F$8-E15)</x:f>
        <x:v>1</x:v>
      </x:c>
      <x:c r="N15" s="70" t="n">
        <x:f>M15*'Federation Compiler'!$G$8</x:f>
        <x:v>1</x:v>
      </x:c>
      <x:c r="O15" s="70" t="n">
        <x:f>L15+N15</x:f>
        <x:v>9</x:v>
      </x:c>
      <x:c r="P15" s="70" t="str">
        <x:f>IF(O15&gt;=10,"PASS","FAIL")</x:f>
        <x:v>FAIL</x:v>
      </x:c>
      <x:c r="Q15" s="70" t="n">
        <x:f>MAX(0,M15-IF(AND(I15=1,'Federation Compiler'!$F$8=4),1,0))</x:f>
        <x:v>1</x:v>
      </x:c>
      <x:c r="R15" s="70" t="n">
        <x:f>L15+Q15*'Federation Compiler'!$G$8</x:f>
        <x:v>9</x:v>
      </x:c>
      <x:c r="S15" s="70" t="str">
        <x:f>IF(R15&gt;=10,"PASS","FAIL")</x:f>
        <x:v>FAIL</x:v>
      </x:c>
      <x:c r="T15" s="70" t="n">
        <x:v>0</x:v>
      </x:c>
      <x:c r="U15" s="70" t="str">
        <x:f>IF(T15&gt;=10,"PASS","FAIL")</x:f>
        <x:v>FAIL</x:v>
      </x:c>
      <x:c r="V15" s="52" t="str">
        <x:v>upstream factory or material lineage</x:v>
      </x:c>
    </x:row>
    <x:row r="16">
      <x:c r="B16" s="66" t="str">
        <x:v>G1</x:v>
      </x:c>
      <x:c r="C16" s="66" t="str">
        <x:v>F09</x:v>
      </x:c>
      <x:c r="D16" s="66" t="str">
        <x:v>Authority domain plus two modes</x:v>
      </x:c>
      <x:c r="E16" s="66" t="n">
        <x:v>2</x:v>
      </x:c>
      <x:c r="F16" s="66" t="n">
        <x:v>0</x:v>
      </x:c>
      <x:c r="G16" s="66" t="n">
        <x:v>1</x:v>
      </x:c>
      <x:c r="H16" s="66" t="n">
        <x:v>0</x:v>
      </x:c>
      <x:c r="I16" s="66" t="n">
        <x:v>0</x:v>
      </x:c>
      <x:c r="J16" s="80" t="n">
        <x:v>1</x:v>
      </x:c>
      <x:c r="K16" s="70" t="n">
        <x:f>IF(H16=1,'Federation Compiler'!$D$8,IF(G16=1,ROUNDUP('Federation Compiler'!$D$8/'Federation Compiler'!$E$8,0),0))</x:f>
        <x:v>2</x:v>
      </x:c>
      <x:c r="L16" s="70" t="n">
        <x:f>MAX(0,ROUND(('Federation Compiler'!$D$8-F16-K16)*J16,0))</x:f>
        <x:v>8</x:v>
      </x:c>
      <x:c r="M16" s="70" t="n">
        <x:f>MAX(0,'Federation Compiler'!$F$8-E16)</x:f>
        <x:v>1</x:v>
      </x:c>
      <x:c r="N16" s="70" t="n">
        <x:f>M16*'Federation Compiler'!$G$8</x:f>
        <x:v>1</x:v>
      </x:c>
      <x:c r="O16" s="70" t="n">
        <x:f>L16+N16</x:f>
        <x:v>9</x:v>
      </x:c>
      <x:c r="P16" s="70" t="str">
        <x:f>IF(O16&gt;=10,"PASS","FAIL")</x:f>
        <x:v>FAIL</x:v>
      </x:c>
      <x:c r="Q16" s="70" t="n">
        <x:f>MAX(0,M16-IF(AND(I16=1,'Federation Compiler'!$F$8=4),1,0))</x:f>
        <x:v>1</x:v>
      </x:c>
      <x:c r="R16" s="70" t="n">
        <x:f>L16+Q16*'Federation Compiler'!$G$8</x:f>
        <x:v>9</x:v>
      </x:c>
      <x:c r="S16" s="70" t="str">
        <x:f>IF(R16&gt;=10,"PASS","FAIL")</x:f>
        <x:v>FAIL</x:v>
      </x:c>
      <x:c r="T16" s="70" t="n">
        <x:v>0</x:v>
      </x:c>
      <x:c r="U16" s="70" t="str">
        <x:f>IF(T16&gt;=10,"PASS","FAIL")</x:f>
        <x:v>FAIL</x:v>
      </x:c>
      <x:c r="V16" s="52" t="str">
        <x:v>civil release and appeal path</x:v>
      </x:c>
    </x:row>
    <x:row r="17">
      <x:c r="B17" s="66" t="str">
        <x:v>G1</x:v>
      </x:c>
      <x:c r="C17" s="66" t="str">
        <x:v>F10</x:v>
      </x:c>
      <x:c r="D17" s="66" t="str">
        <x:v>One island plus all three legacy modes</x:v>
      </x:c>
      <x:c r="E17" s="66" t="n">
        <x:v>3</x:v>
      </x:c>
      <x:c r="F17" s="66" t="n">
        <x:v>1</x:v>
      </x:c>
      <x:c r="G17" s="66" t="n">
        <x:v>0</x:v>
      </x:c>
      <x:c r="H17" s="66" t="n">
        <x:v>0</x:v>
      </x:c>
      <x:c r="I17" s="66" t="n">
        <x:v>0</x:v>
      </x:c>
      <x:c r="J17" s="80" t="n">
        <x:v>1</x:v>
      </x:c>
      <x:c r="K17" s="70" t="n">
        <x:f>IF(H17=1,'Federation Compiler'!$D$8,IF(G17=1,ROUNDUP('Federation Compiler'!$D$8/'Federation Compiler'!$E$8,0),0))</x:f>
        <x:v>0</x:v>
      </x:c>
      <x:c r="L17" s="70" t="n">
        <x:f>MAX(0,ROUND(('Federation Compiler'!$D$8-F17-K17)*J17,0))</x:f>
        <x:v>9</x:v>
      </x:c>
      <x:c r="M17" s="70" t="n">
        <x:f>MAX(0,'Federation Compiler'!$F$8-E17)</x:f>
        <x:v>0</x:v>
      </x:c>
      <x:c r="N17" s="70" t="n">
        <x:f>M17*'Federation Compiler'!$G$8</x:f>
        <x:v>0</x:v>
      </x:c>
      <x:c r="O17" s="70" t="n">
        <x:f>L17+N17</x:f>
        <x:v>9</x:v>
      </x:c>
      <x:c r="P17" s="70" t="str">
        <x:f>IF(O17&gt;=10,"PASS","FAIL")</x:f>
        <x:v>FAIL</x:v>
      </x:c>
      <x:c r="Q17" s="70" t="n">
        <x:f>MAX(0,M17-IF(AND(I17=1,'Federation Compiler'!$F$8=4),1,0))</x:f>
        <x:v>0</x:v>
      </x:c>
      <x:c r="R17" s="70" t="n">
        <x:f>L17+Q17*'Federation Compiler'!$G$8</x:f>
        <x:v>9</x:v>
      </x:c>
      <x:c r="S17" s="70" t="str">
        <x:f>IF(R17&gt;=10,"PASS","FAIL")</x:f>
        <x:v>FAIL</x:v>
      </x:c>
      <x:c r="T17" s="70" t="n">
        <x:v>0</x:v>
      </x:c>
      <x:c r="U17" s="70" t="str">
        <x:f>IF(T17&gt;=10,"PASS","FAIL")</x:f>
        <x:v>FAIL</x:v>
      </x:c>
      <x:c r="V17" s="52" t="str">
        <x:v>fixed lattice without mobile rescue</x:v>
      </x:c>
    </x:row>
    <x:row r="18">
      <x:c r="B18" s="66" t="str">
        <x:v>G1</x:v>
      </x:c>
      <x:c r="C18" s="66" t="str">
        <x:v>F11</x:v>
      </x:c>
      <x:c r="D18" s="66" t="str">
        <x:v>Two adjacent islands plus two modes</x:v>
      </x:c>
      <x:c r="E18" s="66" t="n">
        <x:v>2</x:v>
      </x:c>
      <x:c r="F18" s="66" t="n">
        <x:v>2</x:v>
      </x:c>
      <x:c r="G18" s="66" t="n">
        <x:v>0</x:v>
      </x:c>
      <x:c r="H18" s="66" t="n">
        <x:v>0</x:v>
      </x:c>
      <x:c r="I18" s="66" t="n">
        <x:v>0</x:v>
      </x:c>
      <x:c r="J18" s="80" t="n">
        <x:v>1</x:v>
      </x:c>
      <x:c r="K18" s="70" t="n">
        <x:f>IF(H18=1,'Federation Compiler'!$D$8,IF(G18=1,ROUNDUP('Federation Compiler'!$D$8/'Federation Compiler'!$E$8,0),0))</x:f>
        <x:v>0</x:v>
      </x:c>
      <x:c r="L18" s="70" t="n">
        <x:f>MAX(0,ROUND(('Federation Compiler'!$D$8-F18-K18)*J18,0))</x:f>
        <x:v>8</x:v>
      </x:c>
      <x:c r="M18" s="70" t="n">
        <x:f>MAX(0,'Federation Compiler'!$F$8-E18)</x:f>
        <x:v>1</x:v>
      </x:c>
      <x:c r="N18" s="70" t="n">
        <x:f>M18*'Federation Compiler'!$G$8</x:f>
        <x:v>1</x:v>
      </x:c>
      <x:c r="O18" s="70" t="n">
        <x:f>L18+N18</x:f>
        <x:v>9</x:v>
      </x:c>
      <x:c r="P18" s="70" t="str">
        <x:f>IF(O18&gt;=10,"PASS","FAIL")</x:f>
        <x:v>FAIL</x:v>
      </x:c>
      <x:c r="Q18" s="70" t="n">
        <x:f>MAX(0,M18-IF(AND(I18=1,'Federation Compiler'!$F$8=4),1,0))</x:f>
        <x:v>1</x:v>
      </x:c>
      <x:c r="R18" s="70" t="n">
        <x:f>L18+Q18*'Federation Compiler'!$G$8</x:f>
        <x:v>9</x:v>
      </x:c>
      <x:c r="S18" s="70" t="str">
        <x:f>IF(R18&gt;=10,"PASS","FAIL")</x:f>
        <x:v>FAIL</x:v>
      </x:c>
      <x:c r="T18" s="70" t="n">
        <x:v>0</x:v>
      </x:c>
      <x:c r="U18" s="70" t="str">
        <x:f>IF(T18&gt;=10,"PASS","FAIL")</x:f>
        <x:v>FAIL</x:v>
      </x:c>
      <x:c r="V18" s="52" t="str">
        <x:v>local hazard footprint crosses site boundaries</x:v>
      </x:c>
    </x:row>
    <x:row r="19">
      <x:c r="B19" s="66" t="str">
        <x:v>G1</x:v>
      </x:c>
      <x:c r="C19" s="66" t="str">
        <x:v>F12</x:v>
      </x:c>
      <x:c r="D19" s="66" t="str">
        <x:v>Entire fixed lattice plus one mode</x:v>
      </x:c>
      <x:c r="E19" s="66" t="n">
        <x:v>1</x:v>
      </x:c>
      <x:c r="F19" s="66" t="n">
        <x:v>0</x:v>
      </x:c>
      <x:c r="G19" s="66" t="n">
        <x:v>0</x:v>
      </x:c>
      <x:c r="H19" s="66" t="n">
        <x:v>1</x:v>
      </x:c>
      <x:c r="I19" s="66" t="n">
        <x:v>0</x:v>
      </x:c>
      <x:c r="J19" s="80" t="n">
        <x:v>1</x:v>
      </x:c>
      <x:c r="K19" s="70" t="n">
        <x:f>IF(H19=1,'Federation Compiler'!$D$8,IF(G19=1,ROUNDUP('Federation Compiler'!$D$8/'Federation Compiler'!$E$8,0),0))</x:f>
        <x:v>10</x:v>
      </x:c>
      <x:c r="L19" s="70" t="n">
        <x:f>MAX(0,ROUND(('Federation Compiler'!$D$8-F19-K19)*J19,0))</x:f>
        <x:v>0</x:v>
      </x:c>
      <x:c r="M19" s="70" t="n">
        <x:f>MAX(0,'Federation Compiler'!$F$8-E19)</x:f>
        <x:v>2</x:v>
      </x:c>
      <x:c r="N19" s="70" t="n">
        <x:f>M19*'Federation Compiler'!$G$8</x:f>
        <x:v>2</x:v>
      </x:c>
      <x:c r="O19" s="70" t="n">
        <x:f>L19+N19</x:f>
        <x:v>2</x:v>
      </x:c>
      <x:c r="P19" s="70" t="str">
        <x:f>IF(O19&gt;=10,"PASS","FAIL")</x:f>
        <x:v>FAIL</x:v>
      </x:c>
      <x:c r="Q19" s="70" t="n">
        <x:f>MAX(0,M19-IF(AND(I19=1,'Federation Compiler'!$F$8=4),1,0))</x:f>
        <x:v>2</x:v>
      </x:c>
      <x:c r="R19" s="70" t="n">
        <x:f>L19+Q19*'Federation Compiler'!$G$8</x:f>
        <x:v>2</x:v>
      </x:c>
      <x:c r="S19" s="70" t="str">
        <x:f>IF(R19&gt;=10,"PASS","FAIL")</x:f>
        <x:v>FAIL</x:v>
      </x:c>
      <x:c r="T19" s="70" t="n">
        <x:v>0</x:v>
      </x:c>
      <x:c r="U19" s="70" t="str">
        <x:f>IF(T19&gt;=10,"PASS","FAIL")</x:f>
        <x:v>FAIL</x:v>
      </x:c>
      <x:c r="V19" s="52" t="str">
        <x:v>national or regional common fixed failure</x:v>
      </x:c>
    </x:row>
    <x:row r="20">
      <x:c r="B20" s="66" t="str">
        <x:v>G1</x:v>
      </x:c>
      <x:c r="C20" s="66" t="str">
        <x:v>F13</x:v>
      </x:c>
      <x:c r="D20" s="66" t="str">
        <x:v>Source domain plus one mode</x:v>
      </x:c>
      <x:c r="E20" s="66" t="n">
        <x:v>1</x:v>
      </x:c>
      <x:c r="F20" s="66" t="n">
        <x:v>0</x:v>
      </x:c>
      <x:c r="G20" s="66" t="n">
        <x:v>1</x:v>
      </x:c>
      <x:c r="H20" s="66" t="n">
        <x:v>0</x:v>
      </x:c>
      <x:c r="I20" s="66" t="n">
        <x:v>0</x:v>
      </x:c>
      <x:c r="J20" s="80" t="n">
        <x:v>1</x:v>
      </x:c>
      <x:c r="K20" s="70" t="n">
        <x:f>IF(H20=1,'Federation Compiler'!$D$8,IF(G20=1,ROUNDUP('Federation Compiler'!$D$8/'Federation Compiler'!$E$8,0),0))</x:f>
        <x:v>2</x:v>
      </x:c>
      <x:c r="L20" s="70" t="n">
        <x:f>MAX(0,ROUND(('Federation Compiler'!$D$8-F20-K20)*J20,0))</x:f>
        <x:v>8</x:v>
      </x:c>
      <x:c r="M20" s="70" t="n">
        <x:f>MAX(0,'Federation Compiler'!$F$8-E20)</x:f>
        <x:v>2</x:v>
      </x:c>
      <x:c r="N20" s="70" t="n">
        <x:f>M20*'Federation Compiler'!$G$8</x:f>
        <x:v>2</x:v>
      </x:c>
      <x:c r="O20" s="70" t="n">
        <x:f>L20+N20</x:f>
        <x:v>10</x:v>
      </x:c>
      <x:c r="P20" s="70" t="str">
        <x:f>IF(O20&gt;=10,"PASS","FAIL")</x:f>
        <x:v>PASS</x:v>
      </x:c>
      <x:c r="Q20" s="70" t="n">
        <x:f>MAX(0,M20-IF(AND(I20=1,'Federation Compiler'!$F$8=4),1,0))</x:f>
        <x:v>2</x:v>
      </x:c>
      <x:c r="R20" s="70" t="n">
        <x:f>L20+Q20*'Federation Compiler'!$G$8</x:f>
        <x:v>10</x:v>
      </x:c>
      <x:c r="S20" s="70" t="str">
        <x:f>IF(R20&gt;=10,"PASS","FAIL")</x:f>
        <x:v>PASS</x:v>
      </x:c>
      <x:c r="T20" s="70" t="n">
        <x:v>0</x:v>
      </x:c>
      <x:c r="U20" s="70" t="str">
        <x:f>IF(T20&gt;=10,"PASS","FAIL")</x:f>
        <x:v>FAIL</x:v>
      </x:c>
      <x:c r="V20" s="52" t="str">
        <x:v>compound ancestry with larger mobile remainder</x:v>
      </x:c>
    </x:row>
    <x:row r="21">
      <x:c r="B21" s="66" t="str">
        <x:v>G1</x:v>
      </x:c>
      <x:c r="C21" s="66" t="str">
        <x:v>F14</x:v>
      </x:c>
      <x:c r="D21" s="66" t="str">
        <x:v>Fixed-island reset at ninety-two percent</x:v>
      </x:c>
      <x:c r="E21" s="66" t="n">
        <x:v>0</x:v>
      </x:c>
      <x:c r="F21" s="66" t="n">
        <x:v>0</x:v>
      </x:c>
      <x:c r="G21" s="66" t="n">
        <x:v>0</x:v>
      </x:c>
      <x:c r="H21" s="66" t="n">
        <x:v>0</x:v>
      </x:c>
      <x:c r="I21" s="66" t="n">
        <x:v>0</x:v>
      </x:c>
      <x:c r="J21" s="80" t="n">
        <x:v>0.92</x:v>
      </x:c>
      <x:c r="K21" s="70" t="n">
        <x:f>IF(H21=1,'Federation Compiler'!$D$8,IF(G21=1,ROUNDUP('Federation Compiler'!$D$8/'Federation Compiler'!$E$8,0),0))</x:f>
        <x:v>0</x:v>
      </x:c>
      <x:c r="L21" s="70" t="n">
        <x:f>MAX(0,ROUND(('Federation Compiler'!$D$8-F21-K21)*J21,0))</x:f>
        <x:v>9</x:v>
      </x:c>
      <x:c r="M21" s="70" t="n">
        <x:f>MAX(0,'Federation Compiler'!$F$8-E21)</x:f>
        <x:v>3</x:v>
      </x:c>
      <x:c r="N21" s="70" t="n">
        <x:f>M21*'Federation Compiler'!$G$8</x:f>
        <x:v>3</x:v>
      </x:c>
      <x:c r="O21" s="70" t="n">
        <x:f>L21+N21</x:f>
        <x:v>12</x:v>
      </x:c>
      <x:c r="P21" s="70" t="str">
        <x:f>IF(O21&gt;=10,"PASS","FAIL")</x:f>
        <x:v>PASS</x:v>
      </x:c>
      <x:c r="Q21" s="70" t="n">
        <x:f>MAX(0,M21-IF(AND(I21=1,'Federation Compiler'!$F$8=4),1,0))</x:f>
        <x:v>3</x:v>
      </x:c>
      <x:c r="R21" s="70" t="n">
        <x:f>L21+Q21*'Federation Compiler'!$G$8</x:f>
        <x:v>12</x:v>
      </x:c>
      <x:c r="S21" s="70" t="str">
        <x:f>IF(R21&gt;=10,"PASS","FAIL")</x:f>
        <x:v>PASS</x:v>
      </x:c>
      <x:c r="T21" s="70" t="n">
        <x:v>0</x:v>
      </x:c>
      <x:c r="U21" s="70" t="str">
        <x:f>IF(T21&gt;=10,"PASS","FAIL")</x:f>
        <x:v>FAIL</x:v>
      </x:c>
      <x:c r="V21" s="52" t="str">
        <x:v>second mission before full repair</x:v>
      </x:c>
    </x:row>
    <x:row r="22">
      <x:c r="B22" s="66" t="str">
        <x:v>G1</x:v>
      </x:c>
      <x:c r="C22" s="66" t="str">
        <x:v>F15</x:v>
      </x:c>
      <x:c r="D22" s="66" t="str">
        <x:v>National pool retains ninety-two percent</x:v>
      </x:c>
      <x:c r="E22" s="66" t="n">
        <x:v>0</x:v>
      </x:c>
      <x:c r="F22" s="66" t="n">
        <x:v>0</x:v>
      </x:c>
      <x:c r="G22" s="66" t="n">
        <x:v>0</x:v>
      </x:c>
      <x:c r="H22" s="66" t="n">
        <x:v>0</x:v>
      </x:c>
      <x:c r="I22" s="66" t="n">
        <x:v>0</x:v>
      </x:c>
      <x:c r="J22" s="80" t="n">
        <x:v>0.92</x:v>
      </x:c>
      <x:c r="K22" s="70" t="n">
        <x:f>IF(H22=1,'Federation Compiler'!$D$8,IF(G22=1,ROUNDUP('Federation Compiler'!$D$8/'Federation Compiler'!$E$8,0),0))</x:f>
        <x:v>0</x:v>
      </x:c>
      <x:c r="L22" s="70" t="n">
        <x:f>MAX(0,ROUND(('Federation Compiler'!$D$8-F22-K22)*J22,0))</x:f>
        <x:v>9</x:v>
      </x:c>
      <x:c r="M22" s="70" t="n">
        <x:f>MAX(0,'Federation Compiler'!$F$8-E22)</x:f>
        <x:v>3</x:v>
      </x:c>
      <x:c r="N22" s="70" t="n">
        <x:f>M22*'Federation Compiler'!$G$8</x:f>
        <x:v>3</x:v>
      </x:c>
      <x:c r="O22" s="70" t="n">
        <x:f>L22+N22</x:f>
        <x:v>12</x:v>
      </x:c>
      <x:c r="P22" s="70" t="str">
        <x:f>IF(O22&gt;=10,"PASS","FAIL")</x:f>
        <x:v>PASS</x:v>
      </x:c>
      <x:c r="Q22" s="70" t="n">
        <x:f>MAX(0,M22-IF(AND(I22=1,'Federation Compiler'!$F$8=4),1,0))</x:f>
        <x:v>3</x:v>
      </x:c>
      <x:c r="R22" s="70" t="n">
        <x:f>L22+Q22*'Federation Compiler'!$G$8</x:f>
        <x:v>12</x:v>
      </x:c>
      <x:c r="S22" s="70" t="str">
        <x:f>IF(R22&gt;=10,"PASS","FAIL")</x:f>
        <x:v>PASS</x:v>
      </x:c>
      <x:c r="T22" s="70" t="n">
        <x:v>0</x:v>
      </x:c>
      <x:c r="U22" s="70" t="str">
        <x:f>IF(T22&gt;=10,"PASS","FAIL")</x:f>
        <x:v>FAIL</x:v>
      </x:c>
      <x:c r="V22" s="52" t="str">
        <x:v>concurrent campaigns and reserve protection</x:v>
      </x:c>
    </x:row>
    <x:row r="23">
      <x:c r="B23" s="66" t="str">
        <x:v>G1</x:v>
      </x:c>
      <x:c r="C23" s="66" t="str">
        <x:v>F16</x:v>
      </x:c>
      <x:c r="D23" s="66" t="str">
        <x:v>Fourth path has no admission credit</x:v>
      </x:c>
      <x:c r="E23" s="66" t="n">
        <x:v>2</x:v>
      </x:c>
      <x:c r="F23" s="66" t="n">
        <x:v>0</x:v>
      </x:c>
      <x:c r="G23" s="66" t="n">
        <x:v>1</x:v>
      </x:c>
      <x:c r="H23" s="66" t="n">
        <x:v>0</x:v>
      </x:c>
      <x:c r="I23" s="66" t="n">
        <x:v>1</x:v>
      </x:c>
      <x:c r="J23" s="80" t="n">
        <x:v>1</x:v>
      </x:c>
      <x:c r="K23" s="70" t="n">
        <x:f>IF(H23=1,'Federation Compiler'!$D$8,IF(G23=1,ROUNDUP('Federation Compiler'!$D$8/'Federation Compiler'!$E$8,0),0))</x:f>
        <x:v>2</x:v>
      </x:c>
      <x:c r="L23" s="70" t="n">
        <x:f>MAX(0,ROUND(('Federation Compiler'!$D$8-F23-K23)*J23,0))</x:f>
        <x:v>8</x:v>
      </x:c>
      <x:c r="M23" s="70" t="n">
        <x:f>MAX(0,'Federation Compiler'!$F$8-E23)</x:f>
        <x:v>1</x:v>
      </x:c>
      <x:c r="N23" s="70" t="n">
        <x:f>M23*'Federation Compiler'!$G$8</x:f>
        <x:v>1</x:v>
      </x:c>
      <x:c r="O23" s="70" t="n">
        <x:f>L23+N23</x:f>
        <x:v>9</x:v>
      </x:c>
      <x:c r="P23" s="70" t="str">
        <x:f>IF(O23&gt;=10,"PASS","FAIL")</x:f>
        <x:v>FAIL</x:v>
      </x:c>
      <x:c r="Q23" s="70" t="n">
        <x:f>MAX(0,M23-IF(AND(I23=1,'Federation Compiler'!$F$8=4),1,0))</x:f>
        <x:v>1</x:v>
      </x:c>
      <x:c r="R23" s="70" t="n">
        <x:f>L23+Q23*'Federation Compiler'!$G$8</x:f>
        <x:v>9</x:v>
      </x:c>
      <x:c r="S23" s="70" t="str">
        <x:f>IF(R23&gt;=10,"PASS","FAIL")</x:f>
        <x:v>FAIL</x:v>
      </x:c>
      <x:c r="T23" s="70" t="n">
        <x:v>0</x:v>
      </x:c>
      <x:c r="U23" s="70" t="str">
        <x:f>IF(T23&gt;=10,"PASS","FAIL")</x:f>
        <x:v>FAIL</x:v>
      </x:c>
      <x:c r="V23" s="52" t="str">
        <x:v>unproved fourth path withheld from current credit</x:v>
      </x:c>
    </x:row>
    <x:row r="24">
      <x:c r="B24" s="66" t="str">
        <x:v>G1</x:v>
      </x:c>
      <x:c r="C24" s="66" t="str">
        <x:v>F17</x:v>
      </x:c>
      <x:c r="D24" s="66" t="str">
        <x:v>One island, source domain and one mode</x:v>
      </x:c>
      <x:c r="E24" s="66" t="n">
        <x:v>1</x:v>
      </x:c>
      <x:c r="F24" s="66" t="n">
        <x:v>1</x:v>
      </x:c>
      <x:c r="G24" s="66" t="n">
        <x:v>1</x:v>
      </x:c>
      <x:c r="H24" s="66" t="n">
        <x:v>0</x:v>
      </x:c>
      <x:c r="I24" s="66" t="n">
        <x:v>0</x:v>
      </x:c>
      <x:c r="J24" s="80" t="n">
        <x:v>1</x:v>
      </x:c>
      <x:c r="K24" s="70" t="n">
        <x:f>IF(H24=1,'Federation Compiler'!$D$8,IF(G24=1,ROUNDUP('Federation Compiler'!$D$8/'Federation Compiler'!$E$8,0),0))</x:f>
        <x:v>2</x:v>
      </x:c>
      <x:c r="L24" s="70" t="n">
        <x:f>MAX(0,ROUND(('Federation Compiler'!$D$8-F24-K24)*J24,0))</x:f>
        <x:v>7</x:v>
      </x:c>
      <x:c r="M24" s="70" t="n">
        <x:f>MAX(0,'Federation Compiler'!$F$8-E24)</x:f>
        <x:v>2</x:v>
      </x:c>
      <x:c r="N24" s="70" t="n">
        <x:f>M24*'Federation Compiler'!$G$8</x:f>
        <x:v>2</x:v>
      </x:c>
      <x:c r="O24" s="70" t="n">
        <x:f>L24+N24</x:f>
        <x:v>9</x:v>
      </x:c>
      <x:c r="P24" s="70" t="str">
        <x:f>IF(O24&gt;=10,"PASS","FAIL")</x:f>
        <x:v>FAIL</x:v>
      </x:c>
      <x:c r="Q24" s="70" t="n">
        <x:f>MAX(0,M24-IF(AND(I24=1,'Federation Compiler'!$F$8=4),1,0))</x:f>
        <x:v>2</x:v>
      </x:c>
      <x:c r="R24" s="70" t="n">
        <x:f>L24+Q24*'Federation Compiler'!$G$8</x:f>
        <x:v>9</x:v>
      </x:c>
      <x:c r="S24" s="70" t="str">
        <x:f>IF(R24&gt;=10,"PASS","FAIL")</x:f>
        <x:v>FAIL</x:v>
      </x:c>
      <x:c r="T24" s="70" t="n">
        <x:v>0</x:v>
      </x:c>
      <x:c r="U24" s="70" t="str">
        <x:f>IF(T24&gt;=10,"PASS","FAIL")</x:f>
        <x:v>FAIL</x:v>
      </x:c>
      <x:c r="V24" s="52" t="str">
        <x:v>physical and ancestry losses stack</x:v>
      </x:c>
    </x:row>
    <x:row r="25">
      <x:c r="B25" s="66" t="str">
        <x:v>G1</x:v>
      </x:c>
      <x:c r="C25" s="66" t="str">
        <x:v>F18</x:v>
      </x:c>
      <x:c r="D25" s="66" t="str">
        <x:v>Internal island evidence withheld</x:v>
      </x:c>
      <x:c r="E25" s="66" t="n">
        <x:v>0</x:v>
      </x:c>
      <x:c r="F25" s="66" t="n">
        <x:v>0</x:v>
      </x:c>
      <x:c r="G25" s="66" t="n">
        <x:v>0</x:v>
      </x:c>
      <x:c r="H25" s="66" t="n">
        <x:v>0</x:v>
      </x:c>
      <x:c r="I25" s="66" t="n">
        <x:v>0</x:v>
      </x:c>
      <x:c r="J25" s="80" t="n">
        <x:v>0</x:v>
      </x:c>
      <x:c r="K25" s="70" t="n">
        <x:f>IF(H25=1,'Federation Compiler'!$D$8,IF(G25=1,ROUNDUP('Federation Compiler'!$D$8/'Federation Compiler'!$E$8,0),0))</x:f>
        <x:v>0</x:v>
      </x:c>
      <x:c r="L25" s="70" t="n">
        <x:f>MAX(0,ROUND(('Federation Compiler'!$D$8-F25-K25)*J25,0))</x:f>
        <x:v>0</x:v>
      </x:c>
      <x:c r="M25" s="70" t="n">
        <x:f>MAX(0,'Federation Compiler'!$F$8-E25)</x:f>
        <x:v>3</x:v>
      </x:c>
      <x:c r="N25" s="70" t="n">
        <x:f>M25*'Federation Compiler'!$G$8</x:f>
        <x:v>3</x:v>
      </x:c>
      <x:c r="O25" s="70" t="n">
        <x:f>L25+N25</x:f>
        <x:v>3</x:v>
      </x:c>
      <x:c r="P25" s="70" t="str">
        <x:f>IF(O25&gt;=10,"PASS","FAIL")</x:f>
        <x:v>FAIL</x:v>
      </x:c>
      <x:c r="Q25" s="70" t="n">
        <x:f>MAX(0,M25-IF(AND(I25=1,'Federation Compiler'!$F$8=4),1,0))</x:f>
        <x:v>3</x:v>
      </x:c>
      <x:c r="R25" s="70" t="n">
        <x:f>L25+Q25*'Federation Compiler'!$G$8</x:f>
        <x:v>3</x:v>
      </x:c>
      <x:c r="S25" s="70" t="str">
        <x:f>IF(R25&gt;=10,"PASS","FAIL")</x:f>
        <x:v>FAIL</x:v>
      </x:c>
      <x:c r="T25" s="70" t="n">
        <x:v>0</x:v>
      </x:c>
      <x:c r="U25" s="70" t="str">
        <x:f>IF(T25&gt;=10,"PASS","FAIL")</x:f>
        <x:v>FAIL</x:v>
      </x:c>
      <x:c r="V25" s="52" t="str">
        <x:v>strict admission remains zero for every federation</x:v>
      </x:c>
    </x:row>
    <x:row r="26">
      <x:c r="B26" s="66" t="str">
        <x:v>G2</x:v>
      </x:c>
      <x:c r="C26" s="66" t="str">
        <x:v>F01</x:v>
      </x:c>
      <x:c r="D26" s="66" t="str">
        <x:v>Baseline release</x:v>
      </x:c>
      <x:c r="E26" s="66" t="n">
        <x:v>0</x:v>
      </x:c>
      <x:c r="F26" s="66" t="n">
        <x:v>0</x:v>
      </x:c>
      <x:c r="G26" s="66" t="n">
        <x:v>0</x:v>
      </x:c>
      <x:c r="H26" s="66" t="n">
        <x:v>0</x:v>
      </x:c>
      <x:c r="I26" s="66" t="n">
        <x:v>0</x:v>
      </x:c>
      <x:c r="J26" s="80" t="n">
        <x:v>1</x:v>
      </x:c>
      <x:c r="K26" s="70" t="n">
        <x:f>IF(H26=1,'Federation Compiler'!$D$9,IF(G26=1,ROUNDUP('Federation Compiler'!$D$9/'Federation Compiler'!$E$9,0),0))</x:f>
        <x:v>0</x:v>
      </x:c>
      <x:c r="L26" s="70" t="n">
        <x:f>MAX(0,ROUND(('Federation Compiler'!$D$9-F26-K26)*J26,0))</x:f>
        <x:v>10</x:v>
      </x:c>
      <x:c r="M26" s="70" t="n">
        <x:f>MAX(0,'Federation Compiler'!$F$9-E26)</x:f>
        <x:v>3</x:v>
      </x:c>
      <x:c r="N26" s="70" t="n">
        <x:f>M26*'Federation Compiler'!$G$9</x:f>
        <x:v>3</x:v>
      </x:c>
      <x:c r="O26" s="70" t="n">
        <x:f>L26+N26</x:f>
        <x:v>13</x:v>
      </x:c>
      <x:c r="P26" s="70" t="str">
        <x:f>IF(O26&gt;=10,"PASS","FAIL")</x:f>
        <x:v>PASS</x:v>
      </x:c>
      <x:c r="Q26" s="70" t="n">
        <x:f>MAX(0,M26-IF(AND(I26=1,'Federation Compiler'!$F$9=4),1,0))</x:f>
        <x:v>3</x:v>
      </x:c>
      <x:c r="R26" s="70" t="n">
        <x:f>L26+Q26*'Federation Compiler'!$G$9</x:f>
        <x:v>13</x:v>
      </x:c>
      <x:c r="S26" s="70" t="str">
        <x:f>IF(R26&gt;=10,"PASS","FAIL")</x:f>
        <x:v>PASS</x:v>
      </x:c>
      <x:c r="T26" s="70" t="n">
        <x:v>0</x:v>
      </x:c>
      <x:c r="U26" s="70" t="str">
        <x:f>IF(T26&gt;=10,"PASS","FAIL")</x:f>
        <x:v>FAIL</x:v>
      </x:c>
      <x:c r="V26" s="52" t="str">
        <x:v>all packages available</x:v>
      </x:c>
    </x:row>
    <x:row r="27">
      <x:c r="B27" s="66" t="str">
        <x:v>G2</x:v>
      </x:c>
      <x:c r="C27" s="66" t="str">
        <x:v>F02</x:v>
      </x:c>
      <x:c r="D27" s="66" t="str">
        <x:v>Any two legacy modes lost</x:v>
      </x:c>
      <x:c r="E27" s="66" t="n">
        <x:v>2</x:v>
      </x:c>
      <x:c r="F27" s="66" t="n">
        <x:v>0</x:v>
      </x:c>
      <x:c r="G27" s="66" t="n">
        <x:v>0</x:v>
      </x:c>
      <x:c r="H27" s="66" t="n">
        <x:v>0</x:v>
      </x:c>
      <x:c r="I27" s="66" t="n">
        <x:v>0</x:v>
      </x:c>
      <x:c r="J27" s="80" t="n">
        <x:v>1</x:v>
      </x:c>
      <x:c r="K27" s="70" t="n">
        <x:f>IF(H27=1,'Federation Compiler'!$D$9,IF(G27=1,ROUNDUP('Federation Compiler'!$D$9/'Federation Compiler'!$E$9,0),0))</x:f>
        <x:v>0</x:v>
      </x:c>
      <x:c r="L27" s="70" t="n">
        <x:f>MAX(0,ROUND(('Federation Compiler'!$D$9-F27-K27)*J27,0))</x:f>
        <x:v>10</x:v>
      </x:c>
      <x:c r="M27" s="70" t="n">
        <x:f>MAX(0,'Federation Compiler'!$F$9-E27)</x:f>
        <x:v>1</x:v>
      </x:c>
      <x:c r="N27" s="70" t="n">
        <x:f>M27*'Federation Compiler'!$G$9</x:f>
        <x:v>1</x:v>
      </x:c>
      <x:c r="O27" s="70" t="n">
        <x:f>L27+N27</x:f>
        <x:v>11</x:v>
      </x:c>
      <x:c r="P27" s="70" t="str">
        <x:f>IF(O27&gt;=10,"PASS","FAIL")</x:f>
        <x:v>PASS</x:v>
      </x:c>
      <x:c r="Q27" s="70" t="n">
        <x:f>MAX(0,M27-IF(AND(I27=1,'Federation Compiler'!$F$9=4),1,0))</x:f>
        <x:v>1</x:v>
      </x:c>
      <x:c r="R27" s="70" t="n">
        <x:f>L27+Q27*'Federation Compiler'!$G$9</x:f>
        <x:v>11</x:v>
      </x:c>
      <x:c r="S27" s="70" t="str">
        <x:f>IF(R27&gt;=10,"PASS","FAIL")</x:f>
        <x:v>PASS</x:v>
      </x:c>
      <x:c r="T27" s="70" t="n">
        <x:v>0</x:v>
      </x:c>
      <x:c r="U27" s="70" t="str">
        <x:f>IF(T27&gt;=10,"PASS","FAIL")</x:f>
        <x:v>FAIL</x:v>
      </x:c>
      <x:c r="V27" s="52" t="str">
        <x:v>Pass 75 access guarantee</x:v>
      </x:c>
    </x:row>
    <x:row r="28">
      <x:c r="B28" s="66" t="str">
        <x:v>G2</x:v>
      </x:c>
      <x:c r="C28" s="66" t="str">
        <x:v>F03</x:v>
      </x:c>
      <x:c r="D28" s="66" t="str">
        <x:v>One physical island plus two modes</x:v>
      </x:c>
      <x:c r="E28" s="66" t="n">
        <x:v>2</x:v>
      </x:c>
      <x:c r="F28" s="66" t="n">
        <x:v>1</x:v>
      </x:c>
      <x:c r="G28" s="66" t="n">
        <x:v>0</x:v>
      </x:c>
      <x:c r="H28" s="66" t="n">
        <x:v>0</x:v>
      </x:c>
      <x:c r="I28" s="66" t="n">
        <x:v>0</x:v>
      </x:c>
      <x:c r="J28" s="80" t="n">
        <x:v>1</x:v>
      </x:c>
      <x:c r="K28" s="70" t="n">
        <x:f>IF(H28=1,'Federation Compiler'!$D$9,IF(G28=1,ROUNDUP('Federation Compiler'!$D$9/'Federation Compiler'!$E$9,0),0))</x:f>
        <x:v>0</x:v>
      </x:c>
      <x:c r="L28" s="70" t="n">
        <x:f>MAX(0,ROUND(('Federation Compiler'!$D$9-F28-K28)*J28,0))</x:f>
        <x:v>9</x:v>
      </x:c>
      <x:c r="M28" s="70" t="n">
        <x:f>MAX(0,'Federation Compiler'!$F$9-E28)</x:f>
        <x:v>1</x:v>
      </x:c>
      <x:c r="N28" s="70" t="n">
        <x:f>M28*'Federation Compiler'!$G$9</x:f>
        <x:v>1</x:v>
      </x:c>
      <x:c r="O28" s="70" t="n">
        <x:f>L28+N28</x:f>
        <x:v>10</x:v>
      </x:c>
      <x:c r="P28" s="70" t="str">
        <x:f>IF(O28&gt;=10,"PASS","FAIL")</x:f>
        <x:v>PASS</x:v>
      </x:c>
      <x:c r="Q28" s="70" t="n">
        <x:f>MAX(0,M28-IF(AND(I28=1,'Federation Compiler'!$F$9=4),1,0))</x:f>
        <x:v>1</x:v>
      </x:c>
      <x:c r="R28" s="70" t="n">
        <x:f>L28+Q28*'Federation Compiler'!$G$9</x:f>
        <x:v>10</x:v>
      </x:c>
      <x:c r="S28" s="70" t="str">
        <x:f>IF(R28&gt;=10,"PASS","FAIL")</x:f>
        <x:v>PASS</x:v>
      </x:c>
      <x:c r="T28" s="70" t="n">
        <x:v>0</x:v>
      </x:c>
      <x:c r="U28" s="70" t="str">
        <x:f>IF(T28&gt;=10,"PASS","FAIL")</x:f>
        <x:v>FAIL</x:v>
      </x:c>
      <x:c r="V28" s="52" t="str">
        <x:v>original T7 promise</x:v>
      </x:c>
    </x:row>
    <x:row r="29">
      <x:c r="B29" s="66" t="str">
        <x:v>G2</x:v>
      </x:c>
      <x:c r="C29" s="66" t="str">
        <x:v>F04</x:v>
      </x:c>
      <x:c r="D29" s="66" t="str">
        <x:v>Source domain plus two modes</x:v>
      </x:c>
      <x:c r="E29" s="66" t="n">
        <x:v>2</x:v>
      </x:c>
      <x:c r="F29" s="66" t="n">
        <x:v>0</x:v>
      </x:c>
      <x:c r="G29" s="66" t="n">
        <x:v>1</x:v>
      </x:c>
      <x:c r="H29" s="66" t="n">
        <x:v>0</x:v>
      </x:c>
      <x:c r="I29" s="66" t="n">
        <x:v>0</x:v>
      </x:c>
      <x:c r="J29" s="80" t="n">
        <x:v>1</x:v>
      </x:c>
      <x:c r="K29" s="70" t="n">
        <x:f>IF(H29=1,'Federation Compiler'!$D$9,IF(G29=1,ROUNDUP('Federation Compiler'!$D$9/'Federation Compiler'!$E$9,0),0))</x:f>
        <x:v>1</x:v>
      </x:c>
      <x:c r="L29" s="70" t="n">
        <x:f>MAX(0,ROUND(('Federation Compiler'!$D$9-F29-K29)*J29,0))</x:f>
        <x:v>9</x:v>
      </x:c>
      <x:c r="M29" s="70" t="n">
        <x:f>MAX(0,'Federation Compiler'!$F$9-E29)</x:f>
        <x:v>1</x:v>
      </x:c>
      <x:c r="N29" s="70" t="n">
        <x:f>M29*'Federation Compiler'!$G$9</x:f>
        <x:v>1</x:v>
      </x:c>
      <x:c r="O29" s="70" t="n">
        <x:f>L29+N29</x:f>
        <x:v>10</x:v>
      </x:c>
      <x:c r="P29" s="70" t="str">
        <x:f>IF(O29&gt;=10,"PASS","FAIL")</x:f>
        <x:v>PASS</x:v>
      </x:c>
      <x:c r="Q29" s="70" t="n">
        <x:f>MAX(0,M29-IF(AND(I29=1,'Federation Compiler'!$F$9=4),1,0))</x:f>
        <x:v>1</x:v>
      </x:c>
      <x:c r="R29" s="70" t="n">
        <x:f>L29+Q29*'Federation Compiler'!$G$9</x:f>
        <x:v>10</x:v>
      </x:c>
      <x:c r="S29" s="70" t="str">
        <x:f>IF(R29&gt;=10,"PASS","FAIL")</x:f>
        <x:v>PASS</x:v>
      </x:c>
      <x:c r="T29" s="70" t="n">
        <x:v>0</x:v>
      </x:c>
      <x:c r="U29" s="70" t="str">
        <x:f>IF(T29&gt;=10,"PASS","FAIL")</x:f>
        <x:v>FAIL</x:v>
      </x:c>
      <x:c r="V29" s="52" t="str">
        <x:v>correlated energy ancestry</x:v>
      </x:c>
    </x:row>
    <x:row r="30">
      <x:c r="B30" s="66" t="str">
        <x:v>G2</x:v>
      </x:c>
      <x:c r="C30" s="66" t="str">
        <x:v>F05</x:v>
      </x:c>
      <x:c r="D30" s="66" t="str">
        <x:v>Heat domain plus two modes</x:v>
      </x:c>
      <x:c r="E30" s="66" t="n">
        <x:v>2</x:v>
      </x:c>
      <x:c r="F30" s="66" t="n">
        <x:v>0</x:v>
      </x:c>
      <x:c r="G30" s="66" t="n">
        <x:v>1</x:v>
      </x:c>
      <x:c r="H30" s="66" t="n">
        <x:v>0</x:v>
      </x:c>
      <x:c r="I30" s="66" t="n">
        <x:v>0</x:v>
      </x:c>
      <x:c r="J30" s="80" t="n">
        <x:v>1</x:v>
      </x:c>
      <x:c r="K30" s="70" t="n">
        <x:f>IF(H30=1,'Federation Compiler'!$D$9,IF(G30=1,ROUNDUP('Federation Compiler'!$D$9/'Federation Compiler'!$E$9,0),0))</x:f>
        <x:v>1</x:v>
      </x:c>
      <x:c r="L30" s="70" t="n">
        <x:f>MAX(0,ROUND(('Federation Compiler'!$D$9-F30-K30)*J30,0))</x:f>
        <x:v>9</x:v>
      </x:c>
      <x:c r="M30" s="70" t="n">
        <x:f>MAX(0,'Federation Compiler'!$F$9-E30)</x:f>
        <x:v>1</x:v>
      </x:c>
      <x:c r="N30" s="70" t="n">
        <x:f>M30*'Federation Compiler'!$G$9</x:f>
        <x:v>1</x:v>
      </x:c>
      <x:c r="O30" s="70" t="n">
        <x:f>L30+N30</x:f>
        <x:v>10</x:v>
      </x:c>
      <x:c r="P30" s="70" t="str">
        <x:f>IF(O30&gt;=10,"PASS","FAIL")</x:f>
        <x:v>PASS</x:v>
      </x:c>
      <x:c r="Q30" s="70" t="n">
        <x:f>MAX(0,M30-IF(AND(I30=1,'Federation Compiler'!$F$9=4),1,0))</x:f>
        <x:v>1</x:v>
      </x:c>
      <x:c r="R30" s="70" t="n">
        <x:f>L30+Q30*'Federation Compiler'!$G$9</x:f>
        <x:v>10</x:v>
      </x:c>
      <x:c r="S30" s="70" t="str">
        <x:f>IF(R30&gt;=10,"PASS","FAIL")</x:f>
        <x:v>PASS</x:v>
      </x:c>
      <x:c r="T30" s="70" t="n">
        <x:v>0</x:v>
      </x:c>
      <x:c r="U30" s="70" t="str">
        <x:f>IF(T30&gt;=10,"PASS","FAIL")</x:f>
        <x:v>FAIL</x:v>
      </x:c>
      <x:c r="V30" s="52" t="str">
        <x:v>correlated final heat destination</x:v>
      </x:c>
    </x:row>
    <x:row r="31">
      <x:c r="B31" s="66" t="str">
        <x:v>G2</x:v>
      </x:c>
      <x:c r="C31" s="66" t="str">
        <x:v>F06</x:v>
      </x:c>
      <x:c r="D31" s="66" t="str">
        <x:v>Control domain plus two modes</x:v>
      </x:c>
      <x:c r="E31" s="66" t="n">
        <x:v>2</x:v>
      </x:c>
      <x:c r="F31" s="66" t="n">
        <x:v>0</x:v>
      </x:c>
      <x:c r="G31" s="66" t="n">
        <x:v>1</x:v>
      </x:c>
      <x:c r="H31" s="66" t="n">
        <x:v>0</x:v>
      </x:c>
      <x:c r="I31" s="66" t="n">
        <x:v>0</x:v>
      </x:c>
      <x:c r="J31" s="80" t="n">
        <x:v>1</x:v>
      </x:c>
      <x:c r="K31" s="70" t="n">
        <x:f>IF(H31=1,'Federation Compiler'!$D$9,IF(G31=1,ROUNDUP('Federation Compiler'!$D$9/'Federation Compiler'!$E$9,0),0))</x:f>
        <x:v>1</x:v>
      </x:c>
      <x:c r="L31" s="70" t="n">
        <x:f>MAX(0,ROUND(('Federation Compiler'!$D$9-F31-K31)*J31,0))</x:f>
        <x:v>9</x:v>
      </x:c>
      <x:c r="M31" s="70" t="n">
        <x:f>MAX(0,'Federation Compiler'!$F$9-E31)</x:f>
        <x:v>1</x:v>
      </x:c>
      <x:c r="N31" s="70" t="n">
        <x:f>M31*'Federation Compiler'!$G$9</x:f>
        <x:v>1</x:v>
      </x:c>
      <x:c r="O31" s="70" t="n">
        <x:f>L31+N31</x:f>
        <x:v>10</x:v>
      </x:c>
      <x:c r="P31" s="70" t="str">
        <x:f>IF(O31&gt;=10,"PASS","FAIL")</x:f>
        <x:v>PASS</x:v>
      </x:c>
      <x:c r="Q31" s="70" t="n">
        <x:f>MAX(0,M31-IF(AND(I31=1,'Federation Compiler'!$F$9=4),1,0))</x:f>
        <x:v>1</x:v>
      </x:c>
      <x:c r="R31" s="70" t="n">
        <x:f>L31+Q31*'Federation Compiler'!$G$9</x:f>
        <x:v>10</x:v>
      </x:c>
      <x:c r="S31" s="70" t="str">
        <x:f>IF(R31&gt;=10,"PASS","FAIL")</x:f>
        <x:v>PASS</x:v>
      </x:c>
      <x:c r="T31" s="70" t="n">
        <x:v>0</x:v>
      </x:c>
      <x:c r="U31" s="70" t="str">
        <x:f>IF(T31&gt;=10,"PASS","FAIL")</x:f>
        <x:v>FAIL</x:v>
      </x:c>
      <x:c r="V31" s="52" t="str">
        <x:v>common control or signing root</x:v>
      </x:c>
    </x:row>
    <x:row r="32">
      <x:c r="B32" s="66" t="str">
        <x:v>G2</x:v>
      </x:c>
      <x:c r="C32" s="66" t="str">
        <x:v>F07</x:v>
      </x:c>
      <x:c r="D32" s="66" t="str">
        <x:v>Workforce domain plus two modes</x:v>
      </x:c>
      <x:c r="E32" s="66" t="n">
        <x:v>2</x:v>
      </x:c>
      <x:c r="F32" s="66" t="n">
        <x:v>0</x:v>
      </x:c>
      <x:c r="G32" s="66" t="n">
        <x:v>1</x:v>
      </x:c>
      <x:c r="H32" s="66" t="n">
        <x:v>0</x:v>
      </x:c>
      <x:c r="I32" s="66" t="n">
        <x:v>0</x:v>
      </x:c>
      <x:c r="J32" s="80" t="n">
        <x:v>1</x:v>
      </x:c>
      <x:c r="K32" s="70" t="n">
        <x:f>IF(H32=1,'Federation Compiler'!$D$9,IF(G32=1,ROUNDUP('Federation Compiler'!$D$9/'Federation Compiler'!$E$9,0),0))</x:f>
        <x:v>1</x:v>
      </x:c>
      <x:c r="L32" s="70" t="n">
        <x:f>MAX(0,ROUND(('Federation Compiler'!$D$9-F32-K32)*J32,0))</x:f>
        <x:v>9</x:v>
      </x:c>
      <x:c r="M32" s="70" t="n">
        <x:f>MAX(0,'Federation Compiler'!$F$9-E32)</x:f>
        <x:v>1</x:v>
      </x:c>
      <x:c r="N32" s="70" t="n">
        <x:f>M32*'Federation Compiler'!$G$9</x:f>
        <x:v>1</x:v>
      </x:c>
      <x:c r="O32" s="70" t="n">
        <x:f>L32+N32</x:f>
        <x:v>10</x:v>
      </x:c>
      <x:c r="P32" s="70" t="str">
        <x:f>IF(O32&gt;=10,"PASS","FAIL")</x:f>
        <x:v>PASS</x:v>
      </x:c>
      <x:c r="Q32" s="70" t="n">
        <x:f>MAX(0,M32-IF(AND(I32=1,'Federation Compiler'!$F$9=4),1,0))</x:f>
        <x:v>1</x:v>
      </x:c>
      <x:c r="R32" s="70" t="n">
        <x:f>L32+Q32*'Federation Compiler'!$G$9</x:f>
        <x:v>10</x:v>
      </x:c>
      <x:c r="S32" s="70" t="str">
        <x:f>IF(R32&gt;=10,"PASS","FAIL")</x:f>
        <x:v>PASS</x:v>
      </x:c>
      <x:c r="T32" s="70" t="n">
        <x:v>0</x:v>
      </x:c>
      <x:c r="U32" s="70" t="str">
        <x:f>IF(T32&gt;=10,"PASS","FAIL")</x:f>
        <x:v>FAIL</x:v>
      </x:c>
      <x:c r="V32" s="52" t="str">
        <x:v>school and credential lineage</x:v>
      </x:c>
    </x:row>
    <x:row r="33">
      <x:c r="B33" s="66" t="str">
        <x:v>G2</x:v>
      </x:c>
      <x:c r="C33" s="66" t="str">
        <x:v>F08</x:v>
      </x:c>
      <x:c r="D33" s="66" t="str">
        <x:v>Supplier domain plus two modes</x:v>
      </x:c>
      <x:c r="E33" s="66" t="n">
        <x:v>2</x:v>
      </x:c>
      <x:c r="F33" s="66" t="n">
        <x:v>0</x:v>
      </x:c>
      <x:c r="G33" s="66" t="n">
        <x:v>1</x:v>
      </x:c>
      <x:c r="H33" s="66" t="n">
        <x:v>0</x:v>
      </x:c>
      <x:c r="I33" s="66" t="n">
        <x:v>0</x:v>
      </x:c>
      <x:c r="J33" s="80" t="n">
        <x:v>1</x:v>
      </x:c>
      <x:c r="K33" s="70" t="n">
        <x:f>IF(H33=1,'Federation Compiler'!$D$9,IF(G33=1,ROUNDUP('Federation Compiler'!$D$9/'Federation Compiler'!$E$9,0),0))</x:f>
        <x:v>1</x:v>
      </x:c>
      <x:c r="L33" s="70" t="n">
        <x:f>MAX(0,ROUND(('Federation Compiler'!$D$9-F33-K33)*J33,0))</x:f>
        <x:v>9</x:v>
      </x:c>
      <x:c r="M33" s="70" t="n">
        <x:f>MAX(0,'Federation Compiler'!$F$9-E33)</x:f>
        <x:v>1</x:v>
      </x:c>
      <x:c r="N33" s="70" t="n">
        <x:f>M33*'Federation Compiler'!$G$9</x:f>
        <x:v>1</x:v>
      </x:c>
      <x:c r="O33" s="70" t="n">
        <x:f>L33+N33</x:f>
        <x:v>10</x:v>
      </x:c>
      <x:c r="P33" s="70" t="str">
        <x:f>IF(O33&gt;=10,"PASS","FAIL")</x:f>
        <x:v>PASS</x:v>
      </x:c>
      <x:c r="Q33" s="70" t="n">
        <x:f>MAX(0,M33-IF(AND(I33=1,'Federation Compiler'!$F$9=4),1,0))</x:f>
        <x:v>1</x:v>
      </x:c>
      <x:c r="R33" s="70" t="n">
        <x:f>L33+Q33*'Federation Compiler'!$G$9</x:f>
        <x:v>10</x:v>
      </x:c>
      <x:c r="S33" s="70" t="str">
        <x:f>IF(R33&gt;=10,"PASS","FAIL")</x:f>
        <x:v>PASS</x:v>
      </x:c>
      <x:c r="T33" s="70" t="n">
        <x:v>0</x:v>
      </x:c>
      <x:c r="U33" s="70" t="str">
        <x:f>IF(T33&gt;=10,"PASS","FAIL")</x:f>
        <x:v>FAIL</x:v>
      </x:c>
      <x:c r="V33" s="52" t="str">
        <x:v>upstream factory or material lineage</x:v>
      </x:c>
    </x:row>
    <x:row r="34">
      <x:c r="B34" s="66" t="str">
        <x:v>G2</x:v>
      </x:c>
      <x:c r="C34" s="66" t="str">
        <x:v>F09</x:v>
      </x:c>
      <x:c r="D34" s="66" t="str">
        <x:v>Authority domain plus two modes</x:v>
      </x:c>
      <x:c r="E34" s="66" t="n">
        <x:v>2</x:v>
      </x:c>
      <x:c r="F34" s="66" t="n">
        <x:v>0</x:v>
      </x:c>
      <x:c r="G34" s="66" t="n">
        <x:v>1</x:v>
      </x:c>
      <x:c r="H34" s="66" t="n">
        <x:v>0</x:v>
      </x:c>
      <x:c r="I34" s="66" t="n">
        <x:v>0</x:v>
      </x:c>
      <x:c r="J34" s="80" t="n">
        <x:v>1</x:v>
      </x:c>
      <x:c r="K34" s="70" t="n">
        <x:f>IF(H34=1,'Federation Compiler'!$D$9,IF(G34=1,ROUNDUP('Federation Compiler'!$D$9/'Federation Compiler'!$E$9,0),0))</x:f>
        <x:v>1</x:v>
      </x:c>
      <x:c r="L34" s="70" t="n">
        <x:f>MAX(0,ROUND(('Federation Compiler'!$D$9-F34-K34)*J34,0))</x:f>
        <x:v>9</x:v>
      </x:c>
      <x:c r="M34" s="70" t="n">
        <x:f>MAX(0,'Federation Compiler'!$F$9-E34)</x:f>
        <x:v>1</x:v>
      </x:c>
      <x:c r="N34" s="70" t="n">
        <x:f>M34*'Federation Compiler'!$G$9</x:f>
        <x:v>1</x:v>
      </x:c>
      <x:c r="O34" s="70" t="n">
        <x:f>L34+N34</x:f>
        <x:v>10</x:v>
      </x:c>
      <x:c r="P34" s="70" t="str">
        <x:f>IF(O34&gt;=10,"PASS","FAIL")</x:f>
        <x:v>PASS</x:v>
      </x:c>
      <x:c r="Q34" s="70" t="n">
        <x:f>MAX(0,M34-IF(AND(I34=1,'Federation Compiler'!$F$9=4),1,0))</x:f>
        <x:v>1</x:v>
      </x:c>
      <x:c r="R34" s="70" t="n">
        <x:f>L34+Q34*'Federation Compiler'!$G$9</x:f>
        <x:v>10</x:v>
      </x:c>
      <x:c r="S34" s="70" t="str">
        <x:f>IF(R34&gt;=10,"PASS","FAIL")</x:f>
        <x:v>PASS</x:v>
      </x:c>
      <x:c r="T34" s="70" t="n">
        <x:v>0</x:v>
      </x:c>
      <x:c r="U34" s="70" t="str">
        <x:f>IF(T34&gt;=10,"PASS","FAIL")</x:f>
        <x:v>FAIL</x:v>
      </x:c>
      <x:c r="V34" s="52" t="str">
        <x:v>civil release and appeal path</x:v>
      </x:c>
    </x:row>
    <x:row r="35">
      <x:c r="B35" s="66" t="str">
        <x:v>G2</x:v>
      </x:c>
      <x:c r="C35" s="66" t="str">
        <x:v>F10</x:v>
      </x:c>
      <x:c r="D35" s="66" t="str">
        <x:v>One island plus all three legacy modes</x:v>
      </x:c>
      <x:c r="E35" s="66" t="n">
        <x:v>3</x:v>
      </x:c>
      <x:c r="F35" s="66" t="n">
        <x:v>1</x:v>
      </x:c>
      <x:c r="G35" s="66" t="n">
        <x:v>0</x:v>
      </x:c>
      <x:c r="H35" s="66" t="n">
        <x:v>0</x:v>
      </x:c>
      <x:c r="I35" s="66" t="n">
        <x:v>0</x:v>
      </x:c>
      <x:c r="J35" s="80" t="n">
        <x:v>1</x:v>
      </x:c>
      <x:c r="K35" s="70" t="n">
        <x:f>IF(H35=1,'Federation Compiler'!$D$9,IF(G35=1,ROUNDUP('Federation Compiler'!$D$9/'Federation Compiler'!$E$9,0),0))</x:f>
        <x:v>0</x:v>
      </x:c>
      <x:c r="L35" s="70" t="n">
        <x:f>MAX(0,ROUND(('Federation Compiler'!$D$9-F35-K35)*J35,0))</x:f>
        <x:v>9</x:v>
      </x:c>
      <x:c r="M35" s="70" t="n">
        <x:f>MAX(0,'Federation Compiler'!$F$9-E35)</x:f>
        <x:v>0</x:v>
      </x:c>
      <x:c r="N35" s="70" t="n">
        <x:f>M35*'Federation Compiler'!$G$9</x:f>
        <x:v>0</x:v>
      </x:c>
      <x:c r="O35" s="70" t="n">
        <x:f>L35+N35</x:f>
        <x:v>9</x:v>
      </x:c>
      <x:c r="P35" s="70" t="str">
        <x:f>IF(O35&gt;=10,"PASS","FAIL")</x:f>
        <x:v>FAIL</x:v>
      </x:c>
      <x:c r="Q35" s="70" t="n">
        <x:f>MAX(0,M35-IF(AND(I35=1,'Federation Compiler'!$F$9=4),1,0))</x:f>
        <x:v>0</x:v>
      </x:c>
      <x:c r="R35" s="70" t="n">
        <x:f>L35+Q35*'Federation Compiler'!$G$9</x:f>
        <x:v>9</x:v>
      </x:c>
      <x:c r="S35" s="70" t="str">
        <x:f>IF(R35&gt;=10,"PASS","FAIL")</x:f>
        <x:v>FAIL</x:v>
      </x:c>
      <x:c r="T35" s="70" t="n">
        <x:v>0</x:v>
      </x:c>
      <x:c r="U35" s="70" t="str">
        <x:f>IF(T35&gt;=10,"PASS","FAIL")</x:f>
        <x:v>FAIL</x:v>
      </x:c>
      <x:c r="V35" s="52" t="str">
        <x:v>fixed lattice without mobile rescue</x:v>
      </x:c>
    </x:row>
    <x:row r="36">
      <x:c r="B36" s="66" t="str">
        <x:v>G2</x:v>
      </x:c>
      <x:c r="C36" s="66" t="str">
        <x:v>F11</x:v>
      </x:c>
      <x:c r="D36" s="66" t="str">
        <x:v>Two adjacent islands plus two modes</x:v>
      </x:c>
      <x:c r="E36" s="66" t="n">
        <x:v>2</x:v>
      </x:c>
      <x:c r="F36" s="66" t="n">
        <x:v>2</x:v>
      </x:c>
      <x:c r="G36" s="66" t="n">
        <x:v>0</x:v>
      </x:c>
      <x:c r="H36" s="66" t="n">
        <x:v>0</x:v>
      </x:c>
      <x:c r="I36" s="66" t="n">
        <x:v>0</x:v>
      </x:c>
      <x:c r="J36" s="80" t="n">
        <x:v>1</x:v>
      </x:c>
      <x:c r="K36" s="70" t="n">
        <x:f>IF(H36=1,'Federation Compiler'!$D$9,IF(G36=1,ROUNDUP('Federation Compiler'!$D$9/'Federation Compiler'!$E$9,0),0))</x:f>
        <x:v>0</x:v>
      </x:c>
      <x:c r="L36" s="70" t="n">
        <x:f>MAX(0,ROUND(('Federation Compiler'!$D$9-F36-K36)*J36,0))</x:f>
        <x:v>8</x:v>
      </x:c>
      <x:c r="M36" s="70" t="n">
        <x:f>MAX(0,'Federation Compiler'!$F$9-E36)</x:f>
        <x:v>1</x:v>
      </x:c>
      <x:c r="N36" s="70" t="n">
        <x:f>M36*'Federation Compiler'!$G$9</x:f>
        <x:v>1</x:v>
      </x:c>
      <x:c r="O36" s="70" t="n">
        <x:f>L36+N36</x:f>
        <x:v>9</x:v>
      </x:c>
      <x:c r="P36" s="70" t="str">
        <x:f>IF(O36&gt;=10,"PASS","FAIL")</x:f>
        <x:v>FAIL</x:v>
      </x:c>
      <x:c r="Q36" s="70" t="n">
        <x:f>MAX(0,M36-IF(AND(I36=1,'Federation Compiler'!$F$9=4),1,0))</x:f>
        <x:v>1</x:v>
      </x:c>
      <x:c r="R36" s="70" t="n">
        <x:f>L36+Q36*'Federation Compiler'!$G$9</x:f>
        <x:v>9</x:v>
      </x:c>
      <x:c r="S36" s="70" t="str">
        <x:f>IF(R36&gt;=10,"PASS","FAIL")</x:f>
        <x:v>FAIL</x:v>
      </x:c>
      <x:c r="T36" s="70" t="n">
        <x:v>0</x:v>
      </x:c>
      <x:c r="U36" s="70" t="str">
        <x:f>IF(T36&gt;=10,"PASS","FAIL")</x:f>
        <x:v>FAIL</x:v>
      </x:c>
      <x:c r="V36" s="52" t="str">
        <x:v>local hazard footprint crosses site boundaries</x:v>
      </x:c>
    </x:row>
    <x:row r="37">
      <x:c r="B37" s="66" t="str">
        <x:v>G2</x:v>
      </x:c>
      <x:c r="C37" s="66" t="str">
        <x:v>F12</x:v>
      </x:c>
      <x:c r="D37" s="66" t="str">
        <x:v>Entire fixed lattice plus one mode</x:v>
      </x:c>
      <x:c r="E37" s="66" t="n">
        <x:v>1</x:v>
      </x:c>
      <x:c r="F37" s="66" t="n">
        <x:v>0</x:v>
      </x:c>
      <x:c r="G37" s="66" t="n">
        <x:v>0</x:v>
      </x:c>
      <x:c r="H37" s="66" t="n">
        <x:v>1</x:v>
      </x:c>
      <x:c r="I37" s="66" t="n">
        <x:v>0</x:v>
      </x:c>
      <x:c r="J37" s="80" t="n">
        <x:v>1</x:v>
      </x:c>
      <x:c r="K37" s="70" t="n">
        <x:f>IF(H37=1,'Federation Compiler'!$D$9,IF(G37=1,ROUNDUP('Federation Compiler'!$D$9/'Federation Compiler'!$E$9,0),0))</x:f>
        <x:v>10</x:v>
      </x:c>
      <x:c r="L37" s="70" t="n">
        <x:f>MAX(0,ROUND(('Federation Compiler'!$D$9-F37-K37)*J37,0))</x:f>
        <x:v>0</x:v>
      </x:c>
      <x:c r="M37" s="70" t="n">
        <x:f>MAX(0,'Federation Compiler'!$F$9-E37)</x:f>
        <x:v>2</x:v>
      </x:c>
      <x:c r="N37" s="70" t="n">
        <x:f>M37*'Federation Compiler'!$G$9</x:f>
        <x:v>2</x:v>
      </x:c>
      <x:c r="O37" s="70" t="n">
        <x:f>L37+N37</x:f>
        <x:v>2</x:v>
      </x:c>
      <x:c r="P37" s="70" t="str">
        <x:f>IF(O37&gt;=10,"PASS","FAIL")</x:f>
        <x:v>FAIL</x:v>
      </x:c>
      <x:c r="Q37" s="70" t="n">
        <x:f>MAX(0,M37-IF(AND(I37=1,'Federation Compiler'!$F$9=4),1,0))</x:f>
        <x:v>2</x:v>
      </x:c>
      <x:c r="R37" s="70" t="n">
        <x:f>L37+Q37*'Federation Compiler'!$G$9</x:f>
        <x:v>2</x:v>
      </x:c>
      <x:c r="S37" s="70" t="str">
        <x:f>IF(R37&gt;=10,"PASS","FAIL")</x:f>
        <x:v>FAIL</x:v>
      </x:c>
      <x:c r="T37" s="70" t="n">
        <x:v>0</x:v>
      </x:c>
      <x:c r="U37" s="70" t="str">
        <x:f>IF(T37&gt;=10,"PASS","FAIL")</x:f>
        <x:v>FAIL</x:v>
      </x:c>
      <x:c r="V37" s="52" t="str">
        <x:v>national or regional common fixed failure</x:v>
      </x:c>
    </x:row>
    <x:row r="38">
      <x:c r="B38" s="66" t="str">
        <x:v>G2</x:v>
      </x:c>
      <x:c r="C38" s="66" t="str">
        <x:v>F13</x:v>
      </x:c>
      <x:c r="D38" s="66" t="str">
        <x:v>Source domain plus one mode</x:v>
      </x:c>
      <x:c r="E38" s="66" t="n">
        <x:v>1</x:v>
      </x:c>
      <x:c r="F38" s="66" t="n">
        <x:v>0</x:v>
      </x:c>
      <x:c r="G38" s="66" t="n">
        <x:v>1</x:v>
      </x:c>
      <x:c r="H38" s="66" t="n">
        <x:v>0</x:v>
      </x:c>
      <x:c r="I38" s="66" t="n">
        <x:v>0</x:v>
      </x:c>
      <x:c r="J38" s="80" t="n">
        <x:v>1</x:v>
      </x:c>
      <x:c r="K38" s="70" t="n">
        <x:f>IF(H38=1,'Federation Compiler'!$D$9,IF(G38=1,ROUNDUP('Federation Compiler'!$D$9/'Federation Compiler'!$E$9,0),0))</x:f>
        <x:v>1</x:v>
      </x:c>
      <x:c r="L38" s="70" t="n">
        <x:f>MAX(0,ROUND(('Federation Compiler'!$D$9-F38-K38)*J38,0))</x:f>
        <x:v>9</x:v>
      </x:c>
      <x:c r="M38" s="70" t="n">
        <x:f>MAX(0,'Federation Compiler'!$F$9-E38)</x:f>
        <x:v>2</x:v>
      </x:c>
      <x:c r="N38" s="70" t="n">
        <x:f>M38*'Federation Compiler'!$G$9</x:f>
        <x:v>2</x:v>
      </x:c>
      <x:c r="O38" s="70" t="n">
        <x:f>L38+N38</x:f>
        <x:v>11</x:v>
      </x:c>
      <x:c r="P38" s="70" t="str">
        <x:f>IF(O38&gt;=10,"PASS","FAIL")</x:f>
        <x:v>PASS</x:v>
      </x:c>
      <x:c r="Q38" s="70" t="n">
        <x:f>MAX(0,M38-IF(AND(I38=1,'Federation Compiler'!$F$9=4),1,0))</x:f>
        <x:v>2</x:v>
      </x:c>
      <x:c r="R38" s="70" t="n">
        <x:f>L38+Q38*'Federation Compiler'!$G$9</x:f>
        <x:v>11</x:v>
      </x:c>
      <x:c r="S38" s="70" t="str">
        <x:f>IF(R38&gt;=10,"PASS","FAIL")</x:f>
        <x:v>PASS</x:v>
      </x:c>
      <x:c r="T38" s="70" t="n">
        <x:v>0</x:v>
      </x:c>
      <x:c r="U38" s="70" t="str">
        <x:f>IF(T38&gt;=10,"PASS","FAIL")</x:f>
        <x:v>FAIL</x:v>
      </x:c>
      <x:c r="V38" s="52" t="str">
        <x:v>compound ancestry with larger mobile remainder</x:v>
      </x:c>
    </x:row>
    <x:row r="39">
      <x:c r="B39" s="66" t="str">
        <x:v>G2</x:v>
      </x:c>
      <x:c r="C39" s="66" t="str">
        <x:v>F14</x:v>
      </x:c>
      <x:c r="D39" s="66" t="str">
        <x:v>Fixed-island reset at ninety-two percent</x:v>
      </x:c>
      <x:c r="E39" s="66" t="n">
        <x:v>0</x:v>
      </x:c>
      <x:c r="F39" s="66" t="n">
        <x:v>0</x:v>
      </x:c>
      <x:c r="G39" s="66" t="n">
        <x:v>0</x:v>
      </x:c>
      <x:c r="H39" s="66" t="n">
        <x:v>0</x:v>
      </x:c>
      <x:c r="I39" s="66" t="n">
        <x:v>0</x:v>
      </x:c>
      <x:c r="J39" s="80" t="n">
        <x:v>0.92</x:v>
      </x:c>
      <x:c r="K39" s="70" t="n">
        <x:f>IF(H39=1,'Federation Compiler'!$D$9,IF(G39=1,ROUNDUP('Federation Compiler'!$D$9/'Federation Compiler'!$E$9,0),0))</x:f>
        <x:v>0</x:v>
      </x:c>
      <x:c r="L39" s="70" t="n">
        <x:f>MAX(0,ROUND(('Federation Compiler'!$D$9-F39-K39)*J39,0))</x:f>
        <x:v>9</x:v>
      </x:c>
      <x:c r="M39" s="70" t="n">
        <x:f>MAX(0,'Federation Compiler'!$F$9-E39)</x:f>
        <x:v>3</x:v>
      </x:c>
      <x:c r="N39" s="70" t="n">
        <x:f>M39*'Federation Compiler'!$G$9</x:f>
        <x:v>3</x:v>
      </x:c>
      <x:c r="O39" s="70" t="n">
        <x:f>L39+N39</x:f>
        <x:v>12</x:v>
      </x:c>
      <x:c r="P39" s="70" t="str">
        <x:f>IF(O39&gt;=10,"PASS","FAIL")</x:f>
        <x:v>PASS</x:v>
      </x:c>
      <x:c r="Q39" s="70" t="n">
        <x:f>MAX(0,M39-IF(AND(I39=1,'Federation Compiler'!$F$9=4),1,0))</x:f>
        <x:v>3</x:v>
      </x:c>
      <x:c r="R39" s="70" t="n">
        <x:f>L39+Q39*'Federation Compiler'!$G$9</x:f>
        <x:v>12</x:v>
      </x:c>
      <x:c r="S39" s="70" t="str">
        <x:f>IF(R39&gt;=10,"PASS","FAIL")</x:f>
        <x:v>PASS</x:v>
      </x:c>
      <x:c r="T39" s="70" t="n">
        <x:v>0</x:v>
      </x:c>
      <x:c r="U39" s="70" t="str">
        <x:f>IF(T39&gt;=10,"PASS","FAIL")</x:f>
        <x:v>FAIL</x:v>
      </x:c>
      <x:c r="V39" s="52" t="str">
        <x:v>second mission before full repair</x:v>
      </x:c>
    </x:row>
    <x:row r="40">
      <x:c r="B40" s="66" t="str">
        <x:v>G2</x:v>
      </x:c>
      <x:c r="C40" s="66" t="str">
        <x:v>F15</x:v>
      </x:c>
      <x:c r="D40" s="66" t="str">
        <x:v>National pool retains ninety-two percent</x:v>
      </x:c>
      <x:c r="E40" s="66" t="n">
        <x:v>0</x:v>
      </x:c>
      <x:c r="F40" s="66" t="n">
        <x:v>0</x:v>
      </x:c>
      <x:c r="G40" s="66" t="n">
        <x:v>0</x:v>
      </x:c>
      <x:c r="H40" s="66" t="n">
        <x:v>0</x:v>
      </x:c>
      <x:c r="I40" s="66" t="n">
        <x:v>0</x:v>
      </x:c>
      <x:c r="J40" s="80" t="n">
        <x:v>0.92</x:v>
      </x:c>
      <x:c r="K40" s="70" t="n">
        <x:f>IF(H40=1,'Federation Compiler'!$D$9,IF(G40=1,ROUNDUP('Federation Compiler'!$D$9/'Federation Compiler'!$E$9,0),0))</x:f>
        <x:v>0</x:v>
      </x:c>
      <x:c r="L40" s="70" t="n">
        <x:f>MAX(0,ROUND(('Federation Compiler'!$D$9-F40-K40)*J40,0))</x:f>
        <x:v>9</x:v>
      </x:c>
      <x:c r="M40" s="70" t="n">
        <x:f>MAX(0,'Federation Compiler'!$F$9-E40)</x:f>
        <x:v>3</x:v>
      </x:c>
      <x:c r="N40" s="70" t="n">
        <x:f>M40*'Federation Compiler'!$G$9</x:f>
        <x:v>3</x:v>
      </x:c>
      <x:c r="O40" s="70" t="n">
        <x:f>L40+N40</x:f>
        <x:v>12</x:v>
      </x:c>
      <x:c r="P40" s="70" t="str">
        <x:f>IF(O40&gt;=10,"PASS","FAIL")</x:f>
        <x:v>PASS</x:v>
      </x:c>
      <x:c r="Q40" s="70" t="n">
        <x:f>MAX(0,M40-IF(AND(I40=1,'Federation Compiler'!$F$9=4),1,0))</x:f>
        <x:v>3</x:v>
      </x:c>
      <x:c r="R40" s="70" t="n">
        <x:f>L40+Q40*'Federation Compiler'!$G$9</x:f>
        <x:v>12</x:v>
      </x:c>
      <x:c r="S40" s="70" t="str">
        <x:f>IF(R40&gt;=10,"PASS","FAIL")</x:f>
        <x:v>PASS</x:v>
      </x:c>
      <x:c r="T40" s="70" t="n">
        <x:v>0</x:v>
      </x:c>
      <x:c r="U40" s="70" t="str">
        <x:f>IF(T40&gt;=10,"PASS","FAIL")</x:f>
        <x:v>FAIL</x:v>
      </x:c>
      <x:c r="V40" s="52" t="str">
        <x:v>concurrent campaigns and reserve protection</x:v>
      </x:c>
    </x:row>
    <x:row r="41">
      <x:c r="B41" s="66" t="str">
        <x:v>G2</x:v>
      </x:c>
      <x:c r="C41" s="66" t="str">
        <x:v>F16</x:v>
      </x:c>
      <x:c r="D41" s="66" t="str">
        <x:v>Fourth path has no admission credit</x:v>
      </x:c>
      <x:c r="E41" s="66" t="n">
        <x:v>2</x:v>
      </x:c>
      <x:c r="F41" s="66" t="n">
        <x:v>0</x:v>
      </x:c>
      <x:c r="G41" s="66" t="n">
        <x:v>1</x:v>
      </x:c>
      <x:c r="H41" s="66" t="n">
        <x:v>0</x:v>
      </x:c>
      <x:c r="I41" s="66" t="n">
        <x:v>1</x:v>
      </x:c>
      <x:c r="J41" s="80" t="n">
        <x:v>1</x:v>
      </x:c>
      <x:c r="K41" s="70" t="n">
        <x:f>IF(H41=1,'Federation Compiler'!$D$9,IF(G41=1,ROUNDUP('Federation Compiler'!$D$9/'Federation Compiler'!$E$9,0),0))</x:f>
        <x:v>1</x:v>
      </x:c>
      <x:c r="L41" s="70" t="n">
        <x:f>MAX(0,ROUND(('Federation Compiler'!$D$9-F41-K41)*J41,0))</x:f>
        <x:v>9</x:v>
      </x:c>
      <x:c r="M41" s="70" t="n">
        <x:f>MAX(0,'Federation Compiler'!$F$9-E41)</x:f>
        <x:v>1</x:v>
      </x:c>
      <x:c r="N41" s="70" t="n">
        <x:f>M41*'Federation Compiler'!$G$9</x:f>
        <x:v>1</x:v>
      </x:c>
      <x:c r="O41" s="70" t="n">
        <x:f>L41+N41</x:f>
        <x:v>10</x:v>
      </x:c>
      <x:c r="P41" s="70" t="str">
        <x:f>IF(O41&gt;=10,"PASS","FAIL")</x:f>
        <x:v>PASS</x:v>
      </x:c>
      <x:c r="Q41" s="70" t="n">
        <x:f>MAX(0,M41-IF(AND(I41=1,'Federation Compiler'!$F$9=4),1,0))</x:f>
        <x:v>1</x:v>
      </x:c>
      <x:c r="R41" s="70" t="n">
        <x:f>L41+Q41*'Federation Compiler'!$G$9</x:f>
        <x:v>10</x:v>
      </x:c>
      <x:c r="S41" s="70" t="str">
        <x:f>IF(R41&gt;=10,"PASS","FAIL")</x:f>
        <x:v>PASS</x:v>
      </x:c>
      <x:c r="T41" s="70" t="n">
        <x:v>0</x:v>
      </x:c>
      <x:c r="U41" s="70" t="str">
        <x:f>IF(T41&gt;=10,"PASS","FAIL")</x:f>
        <x:v>FAIL</x:v>
      </x:c>
      <x:c r="V41" s="52" t="str">
        <x:v>unproved fourth path withheld from current credit</x:v>
      </x:c>
    </x:row>
    <x:row r="42">
      <x:c r="B42" s="66" t="str">
        <x:v>G2</x:v>
      </x:c>
      <x:c r="C42" s="66" t="str">
        <x:v>F17</x:v>
      </x:c>
      <x:c r="D42" s="66" t="str">
        <x:v>One island, source domain and one mode</x:v>
      </x:c>
      <x:c r="E42" s="66" t="n">
        <x:v>1</x:v>
      </x:c>
      <x:c r="F42" s="66" t="n">
        <x:v>1</x:v>
      </x:c>
      <x:c r="G42" s="66" t="n">
        <x:v>1</x:v>
      </x:c>
      <x:c r="H42" s="66" t="n">
        <x:v>0</x:v>
      </x:c>
      <x:c r="I42" s="66" t="n">
        <x:v>0</x:v>
      </x:c>
      <x:c r="J42" s="80" t="n">
        <x:v>1</x:v>
      </x:c>
      <x:c r="K42" s="70" t="n">
        <x:f>IF(H42=1,'Federation Compiler'!$D$9,IF(G42=1,ROUNDUP('Federation Compiler'!$D$9/'Federation Compiler'!$E$9,0),0))</x:f>
        <x:v>1</x:v>
      </x:c>
      <x:c r="L42" s="70" t="n">
        <x:f>MAX(0,ROUND(('Federation Compiler'!$D$9-F42-K42)*J42,0))</x:f>
        <x:v>8</x:v>
      </x:c>
      <x:c r="M42" s="70" t="n">
        <x:f>MAX(0,'Federation Compiler'!$F$9-E42)</x:f>
        <x:v>2</x:v>
      </x:c>
      <x:c r="N42" s="70" t="n">
        <x:f>M42*'Federation Compiler'!$G$9</x:f>
        <x:v>2</x:v>
      </x:c>
      <x:c r="O42" s="70" t="n">
        <x:f>L42+N42</x:f>
        <x:v>10</x:v>
      </x:c>
      <x:c r="P42" s="70" t="str">
        <x:f>IF(O42&gt;=10,"PASS","FAIL")</x:f>
        <x:v>PASS</x:v>
      </x:c>
      <x:c r="Q42" s="70" t="n">
        <x:f>MAX(0,M42-IF(AND(I42=1,'Federation Compiler'!$F$9=4),1,0))</x:f>
        <x:v>2</x:v>
      </x:c>
      <x:c r="R42" s="70" t="n">
        <x:f>L42+Q42*'Federation Compiler'!$G$9</x:f>
        <x:v>10</x:v>
      </x:c>
      <x:c r="S42" s="70" t="str">
        <x:f>IF(R42&gt;=10,"PASS","FAIL")</x:f>
        <x:v>PASS</x:v>
      </x:c>
      <x:c r="T42" s="70" t="n">
        <x:v>0</x:v>
      </x:c>
      <x:c r="U42" s="70" t="str">
        <x:f>IF(T42&gt;=10,"PASS","FAIL")</x:f>
        <x:v>FAIL</x:v>
      </x:c>
      <x:c r="V42" s="52" t="str">
        <x:v>physical and ancestry losses stack</x:v>
      </x:c>
    </x:row>
    <x:row r="43">
      <x:c r="B43" s="66" t="str">
        <x:v>G2</x:v>
      </x:c>
      <x:c r="C43" s="66" t="str">
        <x:v>F18</x:v>
      </x:c>
      <x:c r="D43" s="66" t="str">
        <x:v>Internal island evidence withheld</x:v>
      </x:c>
      <x:c r="E43" s="66" t="n">
        <x:v>0</x:v>
      </x:c>
      <x:c r="F43" s="66" t="n">
        <x:v>0</x:v>
      </x:c>
      <x:c r="G43" s="66" t="n">
        <x:v>0</x:v>
      </x:c>
      <x:c r="H43" s="66" t="n">
        <x:v>0</x:v>
      </x:c>
      <x:c r="I43" s="66" t="n">
        <x:v>0</x:v>
      </x:c>
      <x:c r="J43" s="80" t="n">
        <x:v>0</x:v>
      </x:c>
      <x:c r="K43" s="70" t="n">
        <x:f>IF(H43=1,'Federation Compiler'!$D$9,IF(G43=1,ROUNDUP('Federation Compiler'!$D$9/'Federation Compiler'!$E$9,0),0))</x:f>
        <x:v>0</x:v>
      </x:c>
      <x:c r="L43" s="70" t="n">
        <x:f>MAX(0,ROUND(('Federation Compiler'!$D$9-F43-K43)*J43,0))</x:f>
        <x:v>0</x:v>
      </x:c>
      <x:c r="M43" s="70" t="n">
        <x:f>MAX(0,'Federation Compiler'!$F$9-E43)</x:f>
        <x:v>3</x:v>
      </x:c>
      <x:c r="N43" s="70" t="n">
        <x:f>M43*'Federation Compiler'!$G$9</x:f>
        <x:v>3</x:v>
      </x:c>
      <x:c r="O43" s="70" t="n">
        <x:f>L43+N43</x:f>
        <x:v>3</x:v>
      </x:c>
      <x:c r="P43" s="70" t="str">
        <x:f>IF(O43&gt;=10,"PASS","FAIL")</x:f>
        <x:v>FAIL</x:v>
      </x:c>
      <x:c r="Q43" s="70" t="n">
        <x:f>MAX(0,M43-IF(AND(I43=1,'Federation Compiler'!$F$9=4),1,0))</x:f>
        <x:v>3</x:v>
      </x:c>
      <x:c r="R43" s="70" t="n">
        <x:f>L43+Q43*'Federation Compiler'!$G$9</x:f>
        <x:v>3</x:v>
      </x:c>
      <x:c r="S43" s="70" t="str">
        <x:f>IF(R43&gt;=10,"PASS","FAIL")</x:f>
        <x:v>FAIL</x:v>
      </x:c>
      <x:c r="T43" s="70" t="n">
        <x:v>0</x:v>
      </x:c>
      <x:c r="U43" s="70" t="str">
        <x:f>IF(T43&gt;=10,"PASS","FAIL")</x:f>
        <x:v>FAIL</x:v>
      </x:c>
      <x:c r="V43" s="52" t="str">
        <x:v>strict admission remains zero for every federation</x:v>
      </x:c>
    </x:row>
    <x:row r="44">
      <x:c r="B44" s="66" t="str">
        <x:v>G3</x:v>
      </x:c>
      <x:c r="C44" s="66" t="str">
        <x:v>F01</x:v>
      </x:c>
      <x:c r="D44" s="66" t="str">
        <x:v>Baseline release</x:v>
      </x:c>
      <x:c r="E44" s="66" t="n">
        <x:v>0</x:v>
      </x:c>
      <x:c r="F44" s="66" t="n">
        <x:v>0</x:v>
      </x:c>
      <x:c r="G44" s="66" t="n">
        <x:v>0</x:v>
      </x:c>
      <x:c r="H44" s="66" t="n">
        <x:v>0</x:v>
      </x:c>
      <x:c r="I44" s="66" t="n">
        <x:v>0</x:v>
      </x:c>
      <x:c r="J44" s="80" t="n">
        <x:v>1</x:v>
      </x:c>
      <x:c r="K44" s="70" t="n">
        <x:f>IF(H44=1,'Federation Compiler'!$D$10,IF(G44=1,ROUNDUP('Federation Compiler'!$D$10/'Federation Compiler'!$E$10,0),0))</x:f>
        <x:v>0</x:v>
      </x:c>
      <x:c r="L44" s="70" t="n">
        <x:f>MAX(0,ROUND(('Federation Compiler'!$D$10-F44-K44)*J44,0))</x:f>
        <x:v>11</x:v>
      </x:c>
      <x:c r="M44" s="70" t="n">
        <x:f>MAX(0,'Federation Compiler'!$F$10-E44)</x:f>
        <x:v>3</x:v>
      </x:c>
      <x:c r="N44" s="70" t="n">
        <x:f>M44*'Federation Compiler'!$G$10</x:f>
        <x:v>3</x:v>
      </x:c>
      <x:c r="O44" s="70" t="n">
        <x:f>L44+N44</x:f>
        <x:v>14</x:v>
      </x:c>
      <x:c r="P44" s="70" t="str">
        <x:f>IF(O44&gt;=10,"PASS","FAIL")</x:f>
        <x:v>PASS</x:v>
      </x:c>
      <x:c r="Q44" s="70" t="n">
        <x:f>MAX(0,M44-IF(AND(I44=1,'Federation Compiler'!$F$10=4),1,0))</x:f>
        <x:v>3</x:v>
      </x:c>
      <x:c r="R44" s="70" t="n">
        <x:f>L44+Q44*'Federation Compiler'!$G$10</x:f>
        <x:v>14</x:v>
      </x:c>
      <x:c r="S44" s="70" t="str">
        <x:f>IF(R44&gt;=10,"PASS","FAIL")</x:f>
        <x:v>PASS</x:v>
      </x:c>
      <x:c r="T44" s="70" t="n">
        <x:v>0</x:v>
      </x:c>
      <x:c r="U44" s="70" t="str">
        <x:f>IF(T44&gt;=10,"PASS","FAIL")</x:f>
        <x:v>FAIL</x:v>
      </x:c>
      <x:c r="V44" s="52" t="str">
        <x:v>all packages available</x:v>
      </x:c>
    </x:row>
    <x:row r="45">
      <x:c r="B45" s="66" t="str">
        <x:v>G3</x:v>
      </x:c>
      <x:c r="C45" s="66" t="str">
        <x:v>F02</x:v>
      </x:c>
      <x:c r="D45" s="66" t="str">
        <x:v>Any two legacy modes lost</x:v>
      </x:c>
      <x:c r="E45" s="66" t="n">
        <x:v>2</x:v>
      </x:c>
      <x:c r="F45" s="66" t="n">
        <x:v>0</x:v>
      </x:c>
      <x:c r="G45" s="66" t="n">
        <x:v>0</x:v>
      </x:c>
      <x:c r="H45" s="66" t="n">
        <x:v>0</x:v>
      </x:c>
      <x:c r="I45" s="66" t="n">
        <x:v>0</x:v>
      </x:c>
      <x:c r="J45" s="80" t="n">
        <x:v>1</x:v>
      </x:c>
      <x:c r="K45" s="70" t="n">
        <x:f>IF(H45=1,'Federation Compiler'!$D$10,IF(G45=1,ROUNDUP('Federation Compiler'!$D$10/'Federation Compiler'!$E$10,0),0))</x:f>
        <x:v>0</x:v>
      </x:c>
      <x:c r="L45" s="70" t="n">
        <x:f>MAX(0,ROUND(('Federation Compiler'!$D$10-F45-K45)*J45,0))</x:f>
        <x:v>11</x:v>
      </x:c>
      <x:c r="M45" s="70" t="n">
        <x:f>MAX(0,'Federation Compiler'!$F$10-E45)</x:f>
        <x:v>1</x:v>
      </x:c>
      <x:c r="N45" s="70" t="n">
        <x:f>M45*'Federation Compiler'!$G$10</x:f>
        <x:v>1</x:v>
      </x:c>
      <x:c r="O45" s="70" t="n">
        <x:f>L45+N45</x:f>
        <x:v>12</x:v>
      </x:c>
      <x:c r="P45" s="70" t="str">
        <x:f>IF(O45&gt;=10,"PASS","FAIL")</x:f>
        <x:v>PASS</x:v>
      </x:c>
      <x:c r="Q45" s="70" t="n">
        <x:f>MAX(0,M45-IF(AND(I45=1,'Federation Compiler'!$F$10=4),1,0))</x:f>
        <x:v>1</x:v>
      </x:c>
      <x:c r="R45" s="70" t="n">
        <x:f>L45+Q45*'Federation Compiler'!$G$10</x:f>
        <x:v>12</x:v>
      </x:c>
      <x:c r="S45" s="70" t="str">
        <x:f>IF(R45&gt;=10,"PASS","FAIL")</x:f>
        <x:v>PASS</x:v>
      </x:c>
      <x:c r="T45" s="70" t="n">
        <x:v>0</x:v>
      </x:c>
      <x:c r="U45" s="70" t="str">
        <x:f>IF(T45&gt;=10,"PASS","FAIL")</x:f>
        <x:v>FAIL</x:v>
      </x:c>
      <x:c r="V45" s="52" t="str">
        <x:v>Pass 75 access guarantee</x:v>
      </x:c>
    </x:row>
    <x:row r="46">
      <x:c r="B46" s="66" t="str">
        <x:v>G3</x:v>
      </x:c>
      <x:c r="C46" s="66" t="str">
        <x:v>F03</x:v>
      </x:c>
      <x:c r="D46" s="66" t="str">
        <x:v>One physical island plus two modes</x:v>
      </x:c>
      <x:c r="E46" s="66" t="n">
        <x:v>2</x:v>
      </x:c>
      <x:c r="F46" s="66" t="n">
        <x:v>1</x:v>
      </x:c>
      <x:c r="G46" s="66" t="n">
        <x:v>0</x:v>
      </x:c>
      <x:c r="H46" s="66" t="n">
        <x:v>0</x:v>
      </x:c>
      <x:c r="I46" s="66" t="n">
        <x:v>0</x:v>
      </x:c>
      <x:c r="J46" s="80" t="n">
        <x:v>1</x:v>
      </x:c>
      <x:c r="K46" s="70" t="n">
        <x:f>IF(H46=1,'Federation Compiler'!$D$10,IF(G46=1,ROUNDUP('Federation Compiler'!$D$10/'Federation Compiler'!$E$10,0),0))</x:f>
        <x:v>0</x:v>
      </x:c>
      <x:c r="L46" s="70" t="n">
        <x:f>MAX(0,ROUND(('Federation Compiler'!$D$10-F46-K46)*J46,0))</x:f>
        <x:v>10</x:v>
      </x:c>
      <x:c r="M46" s="70" t="n">
        <x:f>MAX(0,'Federation Compiler'!$F$10-E46)</x:f>
        <x:v>1</x:v>
      </x:c>
      <x:c r="N46" s="70" t="n">
        <x:f>M46*'Federation Compiler'!$G$10</x:f>
        <x:v>1</x:v>
      </x:c>
      <x:c r="O46" s="70" t="n">
        <x:f>L46+N46</x:f>
        <x:v>11</x:v>
      </x:c>
      <x:c r="P46" s="70" t="str">
        <x:f>IF(O46&gt;=10,"PASS","FAIL")</x:f>
        <x:v>PASS</x:v>
      </x:c>
      <x:c r="Q46" s="70" t="n">
        <x:f>MAX(0,M46-IF(AND(I46=1,'Federation Compiler'!$F$10=4),1,0))</x:f>
        <x:v>1</x:v>
      </x:c>
      <x:c r="R46" s="70" t="n">
        <x:f>L46+Q46*'Federation Compiler'!$G$10</x:f>
        <x:v>11</x:v>
      </x:c>
      <x:c r="S46" s="70" t="str">
        <x:f>IF(R46&gt;=10,"PASS","FAIL")</x:f>
        <x:v>PASS</x:v>
      </x:c>
      <x:c r="T46" s="70" t="n">
        <x:v>0</x:v>
      </x:c>
      <x:c r="U46" s="70" t="str">
        <x:f>IF(T46&gt;=10,"PASS","FAIL")</x:f>
        <x:v>FAIL</x:v>
      </x:c>
      <x:c r="V46" s="52" t="str">
        <x:v>original T7 promise</x:v>
      </x:c>
    </x:row>
    <x:row r="47">
      <x:c r="B47" s="66" t="str">
        <x:v>G3</x:v>
      </x:c>
      <x:c r="C47" s="66" t="str">
        <x:v>F04</x:v>
      </x:c>
      <x:c r="D47" s="66" t="str">
        <x:v>Source domain plus two modes</x:v>
      </x:c>
      <x:c r="E47" s="66" t="n">
        <x:v>2</x:v>
      </x:c>
      <x:c r="F47" s="66" t="n">
        <x:v>0</x:v>
      </x:c>
      <x:c r="G47" s="66" t="n">
        <x:v>1</x:v>
      </x:c>
      <x:c r="H47" s="66" t="n">
        <x:v>0</x:v>
      </x:c>
      <x:c r="I47" s="66" t="n">
        <x:v>0</x:v>
      </x:c>
      <x:c r="J47" s="80" t="n">
        <x:v>1</x:v>
      </x:c>
      <x:c r="K47" s="70" t="n">
        <x:f>IF(H47=1,'Federation Compiler'!$D$10,IF(G47=1,ROUNDUP('Federation Compiler'!$D$10/'Federation Compiler'!$E$10,0),0))</x:f>
        <x:v>2</x:v>
      </x:c>
      <x:c r="L47" s="70" t="n">
        <x:f>MAX(0,ROUND(('Federation Compiler'!$D$10-F47-K47)*J47,0))</x:f>
        <x:v>9</x:v>
      </x:c>
      <x:c r="M47" s="70" t="n">
        <x:f>MAX(0,'Federation Compiler'!$F$10-E47)</x:f>
        <x:v>1</x:v>
      </x:c>
      <x:c r="N47" s="70" t="n">
        <x:f>M47*'Federation Compiler'!$G$10</x:f>
        <x:v>1</x:v>
      </x:c>
      <x:c r="O47" s="70" t="n">
        <x:f>L47+N47</x:f>
        <x:v>10</x:v>
      </x:c>
      <x:c r="P47" s="70" t="str">
        <x:f>IF(O47&gt;=10,"PASS","FAIL")</x:f>
        <x:v>PASS</x:v>
      </x:c>
      <x:c r="Q47" s="70" t="n">
        <x:f>MAX(0,M47-IF(AND(I47=1,'Federation Compiler'!$F$10=4),1,0))</x:f>
        <x:v>1</x:v>
      </x:c>
      <x:c r="R47" s="70" t="n">
        <x:f>L47+Q47*'Federation Compiler'!$G$10</x:f>
        <x:v>10</x:v>
      </x:c>
      <x:c r="S47" s="70" t="str">
        <x:f>IF(R47&gt;=10,"PASS","FAIL")</x:f>
        <x:v>PASS</x:v>
      </x:c>
      <x:c r="T47" s="70" t="n">
        <x:v>0</x:v>
      </x:c>
      <x:c r="U47" s="70" t="str">
        <x:f>IF(T47&gt;=10,"PASS","FAIL")</x:f>
        <x:v>FAIL</x:v>
      </x:c>
      <x:c r="V47" s="52" t="str">
        <x:v>correlated energy ancestry</x:v>
      </x:c>
    </x:row>
    <x:row r="48">
      <x:c r="B48" s="66" t="str">
        <x:v>G3</x:v>
      </x:c>
      <x:c r="C48" s="66" t="str">
        <x:v>F05</x:v>
      </x:c>
      <x:c r="D48" s="66" t="str">
        <x:v>Heat domain plus two modes</x:v>
      </x:c>
      <x:c r="E48" s="66" t="n">
        <x:v>2</x:v>
      </x:c>
      <x:c r="F48" s="66" t="n">
        <x:v>0</x:v>
      </x:c>
      <x:c r="G48" s="66" t="n">
        <x:v>1</x:v>
      </x:c>
      <x:c r="H48" s="66" t="n">
        <x:v>0</x:v>
      </x:c>
      <x:c r="I48" s="66" t="n">
        <x:v>0</x:v>
      </x:c>
      <x:c r="J48" s="80" t="n">
        <x:v>1</x:v>
      </x:c>
      <x:c r="K48" s="70" t="n">
        <x:f>IF(H48=1,'Federation Compiler'!$D$10,IF(G48=1,ROUNDUP('Federation Compiler'!$D$10/'Federation Compiler'!$E$10,0),0))</x:f>
        <x:v>2</x:v>
      </x:c>
      <x:c r="L48" s="70" t="n">
        <x:f>MAX(0,ROUND(('Federation Compiler'!$D$10-F48-K48)*J48,0))</x:f>
        <x:v>9</x:v>
      </x:c>
      <x:c r="M48" s="70" t="n">
        <x:f>MAX(0,'Federation Compiler'!$F$10-E48)</x:f>
        <x:v>1</x:v>
      </x:c>
      <x:c r="N48" s="70" t="n">
        <x:f>M48*'Federation Compiler'!$G$10</x:f>
        <x:v>1</x:v>
      </x:c>
      <x:c r="O48" s="70" t="n">
        <x:f>L48+N48</x:f>
        <x:v>10</x:v>
      </x:c>
      <x:c r="P48" s="70" t="str">
        <x:f>IF(O48&gt;=10,"PASS","FAIL")</x:f>
        <x:v>PASS</x:v>
      </x:c>
      <x:c r="Q48" s="70" t="n">
        <x:f>MAX(0,M48-IF(AND(I48=1,'Federation Compiler'!$F$10=4),1,0))</x:f>
        <x:v>1</x:v>
      </x:c>
      <x:c r="R48" s="70" t="n">
        <x:f>L48+Q48*'Federation Compiler'!$G$10</x:f>
        <x:v>10</x:v>
      </x:c>
      <x:c r="S48" s="70" t="str">
        <x:f>IF(R48&gt;=10,"PASS","FAIL")</x:f>
        <x:v>PASS</x:v>
      </x:c>
      <x:c r="T48" s="70" t="n">
        <x:v>0</x:v>
      </x:c>
      <x:c r="U48" s="70" t="str">
        <x:f>IF(T48&gt;=10,"PASS","FAIL")</x:f>
        <x:v>FAIL</x:v>
      </x:c>
      <x:c r="V48" s="52" t="str">
        <x:v>correlated final heat destination</x:v>
      </x:c>
    </x:row>
    <x:row r="49">
      <x:c r="B49" s="66" t="str">
        <x:v>G3</x:v>
      </x:c>
      <x:c r="C49" s="66" t="str">
        <x:v>F06</x:v>
      </x:c>
      <x:c r="D49" s="66" t="str">
        <x:v>Control domain plus two modes</x:v>
      </x:c>
      <x:c r="E49" s="66" t="n">
        <x:v>2</x:v>
      </x:c>
      <x:c r="F49" s="66" t="n">
        <x:v>0</x:v>
      </x:c>
      <x:c r="G49" s="66" t="n">
        <x:v>1</x:v>
      </x:c>
      <x:c r="H49" s="66" t="n">
        <x:v>0</x:v>
      </x:c>
      <x:c r="I49" s="66" t="n">
        <x:v>0</x:v>
      </x:c>
      <x:c r="J49" s="80" t="n">
        <x:v>1</x:v>
      </x:c>
      <x:c r="K49" s="70" t="n">
        <x:f>IF(H49=1,'Federation Compiler'!$D$10,IF(G49=1,ROUNDUP('Federation Compiler'!$D$10/'Federation Compiler'!$E$10,0),0))</x:f>
        <x:v>2</x:v>
      </x:c>
      <x:c r="L49" s="70" t="n">
        <x:f>MAX(0,ROUND(('Federation Compiler'!$D$10-F49-K49)*J49,0))</x:f>
        <x:v>9</x:v>
      </x:c>
      <x:c r="M49" s="70" t="n">
        <x:f>MAX(0,'Federation Compiler'!$F$10-E49)</x:f>
        <x:v>1</x:v>
      </x:c>
      <x:c r="N49" s="70" t="n">
        <x:f>M49*'Federation Compiler'!$G$10</x:f>
        <x:v>1</x:v>
      </x:c>
      <x:c r="O49" s="70" t="n">
        <x:f>L49+N49</x:f>
        <x:v>10</x:v>
      </x:c>
      <x:c r="P49" s="70" t="str">
        <x:f>IF(O49&gt;=10,"PASS","FAIL")</x:f>
        <x:v>PASS</x:v>
      </x:c>
      <x:c r="Q49" s="70" t="n">
        <x:f>MAX(0,M49-IF(AND(I49=1,'Federation Compiler'!$F$10=4),1,0))</x:f>
        <x:v>1</x:v>
      </x:c>
      <x:c r="R49" s="70" t="n">
        <x:f>L49+Q49*'Federation Compiler'!$G$10</x:f>
        <x:v>10</x:v>
      </x:c>
      <x:c r="S49" s="70" t="str">
        <x:f>IF(R49&gt;=10,"PASS","FAIL")</x:f>
        <x:v>PASS</x:v>
      </x:c>
      <x:c r="T49" s="70" t="n">
        <x:v>0</x:v>
      </x:c>
      <x:c r="U49" s="70" t="str">
        <x:f>IF(T49&gt;=10,"PASS","FAIL")</x:f>
        <x:v>FAIL</x:v>
      </x:c>
      <x:c r="V49" s="52" t="str">
        <x:v>common control or signing root</x:v>
      </x:c>
    </x:row>
    <x:row r="50">
      <x:c r="B50" s="66" t="str">
        <x:v>G3</x:v>
      </x:c>
      <x:c r="C50" s="66" t="str">
        <x:v>F07</x:v>
      </x:c>
      <x:c r="D50" s="66" t="str">
        <x:v>Workforce domain plus two modes</x:v>
      </x:c>
      <x:c r="E50" s="66" t="n">
        <x:v>2</x:v>
      </x:c>
      <x:c r="F50" s="66" t="n">
        <x:v>0</x:v>
      </x:c>
      <x:c r="G50" s="66" t="n">
        <x:v>1</x:v>
      </x:c>
      <x:c r="H50" s="66" t="n">
        <x:v>0</x:v>
      </x:c>
      <x:c r="I50" s="66" t="n">
        <x:v>0</x:v>
      </x:c>
      <x:c r="J50" s="80" t="n">
        <x:v>1</x:v>
      </x:c>
      <x:c r="K50" s="70" t="n">
        <x:f>IF(H50=1,'Federation Compiler'!$D$10,IF(G50=1,ROUNDUP('Federation Compiler'!$D$10/'Federation Compiler'!$E$10,0),0))</x:f>
        <x:v>2</x:v>
      </x:c>
      <x:c r="L50" s="70" t="n">
        <x:f>MAX(0,ROUND(('Federation Compiler'!$D$10-F50-K50)*J50,0))</x:f>
        <x:v>9</x:v>
      </x:c>
      <x:c r="M50" s="70" t="n">
        <x:f>MAX(0,'Federation Compiler'!$F$10-E50)</x:f>
        <x:v>1</x:v>
      </x:c>
      <x:c r="N50" s="70" t="n">
        <x:f>M50*'Federation Compiler'!$G$10</x:f>
        <x:v>1</x:v>
      </x:c>
      <x:c r="O50" s="70" t="n">
        <x:f>L50+N50</x:f>
        <x:v>10</x:v>
      </x:c>
      <x:c r="P50" s="70" t="str">
        <x:f>IF(O50&gt;=10,"PASS","FAIL")</x:f>
        <x:v>PASS</x:v>
      </x:c>
      <x:c r="Q50" s="70" t="n">
        <x:f>MAX(0,M50-IF(AND(I50=1,'Federation Compiler'!$F$10=4),1,0))</x:f>
        <x:v>1</x:v>
      </x:c>
      <x:c r="R50" s="70" t="n">
        <x:f>L50+Q50*'Federation Compiler'!$G$10</x:f>
        <x:v>10</x:v>
      </x:c>
      <x:c r="S50" s="70" t="str">
        <x:f>IF(R50&gt;=10,"PASS","FAIL")</x:f>
        <x:v>PASS</x:v>
      </x:c>
      <x:c r="T50" s="70" t="n">
        <x:v>0</x:v>
      </x:c>
      <x:c r="U50" s="70" t="str">
        <x:f>IF(T50&gt;=10,"PASS","FAIL")</x:f>
        <x:v>FAIL</x:v>
      </x:c>
      <x:c r="V50" s="52" t="str">
        <x:v>school and credential lineage</x:v>
      </x:c>
    </x:row>
    <x:row r="51">
      <x:c r="B51" s="66" t="str">
        <x:v>G3</x:v>
      </x:c>
      <x:c r="C51" s="66" t="str">
        <x:v>F08</x:v>
      </x:c>
      <x:c r="D51" s="66" t="str">
        <x:v>Supplier domain plus two modes</x:v>
      </x:c>
      <x:c r="E51" s="66" t="n">
        <x:v>2</x:v>
      </x:c>
      <x:c r="F51" s="66" t="n">
        <x:v>0</x:v>
      </x:c>
      <x:c r="G51" s="66" t="n">
        <x:v>1</x:v>
      </x:c>
      <x:c r="H51" s="66" t="n">
        <x:v>0</x:v>
      </x:c>
      <x:c r="I51" s="66" t="n">
        <x:v>0</x:v>
      </x:c>
      <x:c r="J51" s="80" t="n">
        <x:v>1</x:v>
      </x:c>
      <x:c r="K51" s="70" t="n">
        <x:f>IF(H51=1,'Federation Compiler'!$D$10,IF(G51=1,ROUNDUP('Federation Compiler'!$D$10/'Federation Compiler'!$E$10,0),0))</x:f>
        <x:v>2</x:v>
      </x:c>
      <x:c r="L51" s="70" t="n">
        <x:f>MAX(0,ROUND(('Federation Compiler'!$D$10-F51-K51)*J51,0))</x:f>
        <x:v>9</x:v>
      </x:c>
      <x:c r="M51" s="70" t="n">
        <x:f>MAX(0,'Federation Compiler'!$F$10-E51)</x:f>
        <x:v>1</x:v>
      </x:c>
      <x:c r="N51" s="70" t="n">
        <x:f>M51*'Federation Compiler'!$G$10</x:f>
        <x:v>1</x:v>
      </x:c>
      <x:c r="O51" s="70" t="n">
        <x:f>L51+N51</x:f>
        <x:v>10</x:v>
      </x:c>
      <x:c r="P51" s="70" t="str">
        <x:f>IF(O51&gt;=10,"PASS","FAIL")</x:f>
        <x:v>PASS</x:v>
      </x:c>
      <x:c r="Q51" s="70" t="n">
        <x:f>MAX(0,M51-IF(AND(I51=1,'Federation Compiler'!$F$10=4),1,0))</x:f>
        <x:v>1</x:v>
      </x:c>
      <x:c r="R51" s="70" t="n">
        <x:f>L51+Q51*'Federation Compiler'!$G$10</x:f>
        <x:v>10</x:v>
      </x:c>
      <x:c r="S51" s="70" t="str">
        <x:f>IF(R51&gt;=10,"PASS","FAIL")</x:f>
        <x:v>PASS</x:v>
      </x:c>
      <x:c r="T51" s="70" t="n">
        <x:v>0</x:v>
      </x:c>
      <x:c r="U51" s="70" t="str">
        <x:f>IF(T51&gt;=10,"PASS","FAIL")</x:f>
        <x:v>FAIL</x:v>
      </x:c>
      <x:c r="V51" s="52" t="str">
        <x:v>upstream factory or material lineage</x:v>
      </x:c>
    </x:row>
    <x:row r="52">
      <x:c r="B52" s="66" t="str">
        <x:v>G3</x:v>
      </x:c>
      <x:c r="C52" s="66" t="str">
        <x:v>F09</x:v>
      </x:c>
      <x:c r="D52" s="66" t="str">
        <x:v>Authority domain plus two modes</x:v>
      </x:c>
      <x:c r="E52" s="66" t="n">
        <x:v>2</x:v>
      </x:c>
      <x:c r="F52" s="66" t="n">
        <x:v>0</x:v>
      </x:c>
      <x:c r="G52" s="66" t="n">
        <x:v>1</x:v>
      </x:c>
      <x:c r="H52" s="66" t="n">
        <x:v>0</x:v>
      </x:c>
      <x:c r="I52" s="66" t="n">
        <x:v>0</x:v>
      </x:c>
      <x:c r="J52" s="80" t="n">
        <x:v>1</x:v>
      </x:c>
      <x:c r="K52" s="70" t="n">
        <x:f>IF(H52=1,'Federation Compiler'!$D$10,IF(G52=1,ROUNDUP('Federation Compiler'!$D$10/'Federation Compiler'!$E$10,0),0))</x:f>
        <x:v>2</x:v>
      </x:c>
      <x:c r="L52" s="70" t="n">
        <x:f>MAX(0,ROUND(('Federation Compiler'!$D$10-F52-K52)*J52,0))</x:f>
        <x:v>9</x:v>
      </x:c>
      <x:c r="M52" s="70" t="n">
        <x:f>MAX(0,'Federation Compiler'!$F$10-E52)</x:f>
        <x:v>1</x:v>
      </x:c>
      <x:c r="N52" s="70" t="n">
        <x:f>M52*'Federation Compiler'!$G$10</x:f>
        <x:v>1</x:v>
      </x:c>
      <x:c r="O52" s="70" t="n">
        <x:f>L52+N52</x:f>
        <x:v>10</x:v>
      </x:c>
      <x:c r="P52" s="70" t="str">
        <x:f>IF(O52&gt;=10,"PASS","FAIL")</x:f>
        <x:v>PASS</x:v>
      </x:c>
      <x:c r="Q52" s="70" t="n">
        <x:f>MAX(0,M52-IF(AND(I52=1,'Federation Compiler'!$F$10=4),1,0))</x:f>
        <x:v>1</x:v>
      </x:c>
      <x:c r="R52" s="70" t="n">
        <x:f>L52+Q52*'Federation Compiler'!$G$10</x:f>
        <x:v>10</x:v>
      </x:c>
      <x:c r="S52" s="70" t="str">
        <x:f>IF(R52&gt;=10,"PASS","FAIL")</x:f>
        <x:v>PASS</x:v>
      </x:c>
      <x:c r="T52" s="70" t="n">
        <x:v>0</x:v>
      </x:c>
      <x:c r="U52" s="70" t="str">
        <x:f>IF(T52&gt;=10,"PASS","FAIL")</x:f>
        <x:v>FAIL</x:v>
      </x:c>
      <x:c r="V52" s="52" t="str">
        <x:v>civil release and appeal path</x:v>
      </x:c>
    </x:row>
    <x:row r="53">
      <x:c r="B53" s="66" t="str">
        <x:v>G3</x:v>
      </x:c>
      <x:c r="C53" s="66" t="str">
        <x:v>F10</x:v>
      </x:c>
      <x:c r="D53" s="66" t="str">
        <x:v>One island plus all three legacy modes</x:v>
      </x:c>
      <x:c r="E53" s="66" t="n">
        <x:v>3</x:v>
      </x:c>
      <x:c r="F53" s="66" t="n">
        <x:v>1</x:v>
      </x:c>
      <x:c r="G53" s="66" t="n">
        <x:v>0</x:v>
      </x:c>
      <x:c r="H53" s="66" t="n">
        <x:v>0</x:v>
      </x:c>
      <x:c r="I53" s="66" t="n">
        <x:v>0</x:v>
      </x:c>
      <x:c r="J53" s="80" t="n">
        <x:v>1</x:v>
      </x:c>
      <x:c r="K53" s="70" t="n">
        <x:f>IF(H53=1,'Federation Compiler'!$D$10,IF(G53=1,ROUNDUP('Federation Compiler'!$D$10/'Federation Compiler'!$E$10,0),0))</x:f>
        <x:v>0</x:v>
      </x:c>
      <x:c r="L53" s="70" t="n">
        <x:f>MAX(0,ROUND(('Federation Compiler'!$D$10-F53-K53)*J53,0))</x:f>
        <x:v>10</x:v>
      </x:c>
      <x:c r="M53" s="70" t="n">
        <x:f>MAX(0,'Federation Compiler'!$F$10-E53)</x:f>
        <x:v>0</x:v>
      </x:c>
      <x:c r="N53" s="70" t="n">
        <x:f>M53*'Federation Compiler'!$G$10</x:f>
        <x:v>0</x:v>
      </x:c>
      <x:c r="O53" s="70" t="n">
        <x:f>L53+N53</x:f>
        <x:v>10</x:v>
      </x:c>
      <x:c r="P53" s="70" t="str">
        <x:f>IF(O53&gt;=10,"PASS","FAIL")</x:f>
        <x:v>PASS</x:v>
      </x:c>
      <x:c r="Q53" s="70" t="n">
        <x:f>MAX(0,M53-IF(AND(I53=1,'Federation Compiler'!$F$10=4),1,0))</x:f>
        <x:v>0</x:v>
      </x:c>
      <x:c r="R53" s="70" t="n">
        <x:f>L53+Q53*'Federation Compiler'!$G$10</x:f>
        <x:v>10</x:v>
      </x:c>
      <x:c r="S53" s="70" t="str">
        <x:f>IF(R53&gt;=10,"PASS","FAIL")</x:f>
        <x:v>PASS</x:v>
      </x:c>
      <x:c r="T53" s="70" t="n">
        <x:v>0</x:v>
      </x:c>
      <x:c r="U53" s="70" t="str">
        <x:f>IF(T53&gt;=10,"PASS","FAIL")</x:f>
        <x:v>FAIL</x:v>
      </x:c>
      <x:c r="V53" s="52" t="str">
        <x:v>fixed lattice without mobile rescue</x:v>
      </x:c>
    </x:row>
    <x:row r="54">
      <x:c r="B54" s="66" t="str">
        <x:v>G3</x:v>
      </x:c>
      <x:c r="C54" s="66" t="str">
        <x:v>F11</x:v>
      </x:c>
      <x:c r="D54" s="66" t="str">
        <x:v>Two adjacent islands plus two modes</x:v>
      </x:c>
      <x:c r="E54" s="66" t="n">
        <x:v>2</x:v>
      </x:c>
      <x:c r="F54" s="66" t="n">
        <x:v>2</x:v>
      </x:c>
      <x:c r="G54" s="66" t="n">
        <x:v>0</x:v>
      </x:c>
      <x:c r="H54" s="66" t="n">
        <x:v>0</x:v>
      </x:c>
      <x:c r="I54" s="66" t="n">
        <x:v>0</x:v>
      </x:c>
      <x:c r="J54" s="80" t="n">
        <x:v>1</x:v>
      </x:c>
      <x:c r="K54" s="70" t="n">
        <x:f>IF(H54=1,'Federation Compiler'!$D$10,IF(G54=1,ROUNDUP('Federation Compiler'!$D$10/'Federation Compiler'!$E$10,0),0))</x:f>
        <x:v>0</x:v>
      </x:c>
      <x:c r="L54" s="70" t="n">
        <x:f>MAX(0,ROUND(('Federation Compiler'!$D$10-F54-K54)*J54,0))</x:f>
        <x:v>9</x:v>
      </x:c>
      <x:c r="M54" s="70" t="n">
        <x:f>MAX(0,'Federation Compiler'!$F$10-E54)</x:f>
        <x:v>1</x:v>
      </x:c>
      <x:c r="N54" s="70" t="n">
        <x:f>M54*'Federation Compiler'!$G$10</x:f>
        <x:v>1</x:v>
      </x:c>
      <x:c r="O54" s="70" t="n">
        <x:f>L54+N54</x:f>
        <x:v>10</x:v>
      </x:c>
      <x:c r="P54" s="70" t="str">
        <x:f>IF(O54&gt;=10,"PASS","FAIL")</x:f>
        <x:v>PASS</x:v>
      </x:c>
      <x:c r="Q54" s="70" t="n">
        <x:f>MAX(0,M54-IF(AND(I54=1,'Federation Compiler'!$F$10=4),1,0))</x:f>
        <x:v>1</x:v>
      </x:c>
      <x:c r="R54" s="70" t="n">
        <x:f>L54+Q54*'Federation Compiler'!$G$10</x:f>
        <x:v>10</x:v>
      </x:c>
      <x:c r="S54" s="70" t="str">
        <x:f>IF(R54&gt;=10,"PASS","FAIL")</x:f>
        <x:v>PASS</x:v>
      </x:c>
      <x:c r="T54" s="70" t="n">
        <x:v>0</x:v>
      </x:c>
      <x:c r="U54" s="70" t="str">
        <x:f>IF(T54&gt;=10,"PASS","FAIL")</x:f>
        <x:v>FAIL</x:v>
      </x:c>
      <x:c r="V54" s="52" t="str">
        <x:v>local hazard footprint crosses site boundaries</x:v>
      </x:c>
    </x:row>
    <x:row r="55">
      <x:c r="B55" s="66" t="str">
        <x:v>G3</x:v>
      </x:c>
      <x:c r="C55" s="66" t="str">
        <x:v>F12</x:v>
      </x:c>
      <x:c r="D55" s="66" t="str">
        <x:v>Entire fixed lattice plus one mode</x:v>
      </x:c>
      <x:c r="E55" s="66" t="n">
        <x:v>1</x:v>
      </x:c>
      <x:c r="F55" s="66" t="n">
        <x:v>0</x:v>
      </x:c>
      <x:c r="G55" s="66" t="n">
        <x:v>0</x:v>
      </x:c>
      <x:c r="H55" s="66" t="n">
        <x:v>1</x:v>
      </x:c>
      <x:c r="I55" s="66" t="n">
        <x:v>0</x:v>
      </x:c>
      <x:c r="J55" s="80" t="n">
        <x:v>1</x:v>
      </x:c>
      <x:c r="K55" s="70" t="n">
        <x:f>IF(H55=1,'Federation Compiler'!$D$10,IF(G55=1,ROUNDUP('Federation Compiler'!$D$10/'Federation Compiler'!$E$10,0),0))</x:f>
        <x:v>11</x:v>
      </x:c>
      <x:c r="L55" s="70" t="n">
        <x:f>MAX(0,ROUND(('Federation Compiler'!$D$10-F55-K55)*J55,0))</x:f>
        <x:v>0</x:v>
      </x:c>
      <x:c r="M55" s="70" t="n">
        <x:f>MAX(0,'Federation Compiler'!$F$10-E55)</x:f>
        <x:v>2</x:v>
      </x:c>
      <x:c r="N55" s="70" t="n">
        <x:f>M55*'Federation Compiler'!$G$10</x:f>
        <x:v>2</x:v>
      </x:c>
      <x:c r="O55" s="70" t="n">
        <x:f>L55+N55</x:f>
        <x:v>2</x:v>
      </x:c>
      <x:c r="P55" s="70" t="str">
        <x:f>IF(O55&gt;=10,"PASS","FAIL")</x:f>
        <x:v>FAIL</x:v>
      </x:c>
      <x:c r="Q55" s="70" t="n">
        <x:f>MAX(0,M55-IF(AND(I55=1,'Federation Compiler'!$F$10=4),1,0))</x:f>
        <x:v>2</x:v>
      </x:c>
      <x:c r="R55" s="70" t="n">
        <x:f>L55+Q55*'Federation Compiler'!$G$10</x:f>
        <x:v>2</x:v>
      </x:c>
      <x:c r="S55" s="70" t="str">
        <x:f>IF(R55&gt;=10,"PASS","FAIL")</x:f>
        <x:v>FAIL</x:v>
      </x:c>
      <x:c r="T55" s="70" t="n">
        <x:v>0</x:v>
      </x:c>
      <x:c r="U55" s="70" t="str">
        <x:f>IF(T55&gt;=10,"PASS","FAIL")</x:f>
        <x:v>FAIL</x:v>
      </x:c>
      <x:c r="V55" s="52" t="str">
        <x:v>national or regional common fixed failure</x:v>
      </x:c>
    </x:row>
    <x:row r="56">
      <x:c r="B56" s="66" t="str">
        <x:v>G3</x:v>
      </x:c>
      <x:c r="C56" s="66" t="str">
        <x:v>F13</x:v>
      </x:c>
      <x:c r="D56" s="66" t="str">
        <x:v>Source domain plus one mode</x:v>
      </x:c>
      <x:c r="E56" s="66" t="n">
        <x:v>1</x:v>
      </x:c>
      <x:c r="F56" s="66" t="n">
        <x:v>0</x:v>
      </x:c>
      <x:c r="G56" s="66" t="n">
        <x:v>1</x:v>
      </x:c>
      <x:c r="H56" s="66" t="n">
        <x:v>0</x:v>
      </x:c>
      <x:c r="I56" s="66" t="n">
        <x:v>0</x:v>
      </x:c>
      <x:c r="J56" s="80" t="n">
        <x:v>1</x:v>
      </x:c>
      <x:c r="K56" s="70" t="n">
        <x:f>IF(H56=1,'Federation Compiler'!$D$10,IF(G56=1,ROUNDUP('Federation Compiler'!$D$10/'Federation Compiler'!$E$10,0),0))</x:f>
        <x:v>2</x:v>
      </x:c>
      <x:c r="L56" s="70" t="n">
        <x:f>MAX(0,ROUND(('Federation Compiler'!$D$10-F56-K56)*J56,0))</x:f>
        <x:v>9</x:v>
      </x:c>
      <x:c r="M56" s="70" t="n">
        <x:f>MAX(0,'Federation Compiler'!$F$10-E56)</x:f>
        <x:v>2</x:v>
      </x:c>
      <x:c r="N56" s="70" t="n">
        <x:f>M56*'Federation Compiler'!$G$10</x:f>
        <x:v>2</x:v>
      </x:c>
      <x:c r="O56" s="70" t="n">
        <x:f>L56+N56</x:f>
        <x:v>11</x:v>
      </x:c>
      <x:c r="P56" s="70" t="str">
        <x:f>IF(O56&gt;=10,"PASS","FAIL")</x:f>
        <x:v>PASS</x:v>
      </x:c>
      <x:c r="Q56" s="70" t="n">
        <x:f>MAX(0,M56-IF(AND(I56=1,'Federation Compiler'!$F$10=4),1,0))</x:f>
        <x:v>2</x:v>
      </x:c>
      <x:c r="R56" s="70" t="n">
        <x:f>L56+Q56*'Federation Compiler'!$G$10</x:f>
        <x:v>11</x:v>
      </x:c>
      <x:c r="S56" s="70" t="str">
        <x:f>IF(R56&gt;=10,"PASS","FAIL")</x:f>
        <x:v>PASS</x:v>
      </x:c>
      <x:c r="T56" s="70" t="n">
        <x:v>0</x:v>
      </x:c>
      <x:c r="U56" s="70" t="str">
        <x:f>IF(T56&gt;=10,"PASS","FAIL")</x:f>
        <x:v>FAIL</x:v>
      </x:c>
      <x:c r="V56" s="52" t="str">
        <x:v>compound ancestry with larger mobile remainder</x:v>
      </x:c>
    </x:row>
    <x:row r="57">
      <x:c r="B57" s="66" t="str">
        <x:v>G3</x:v>
      </x:c>
      <x:c r="C57" s="66" t="str">
        <x:v>F14</x:v>
      </x:c>
      <x:c r="D57" s="66" t="str">
        <x:v>Fixed-island reset at ninety-two percent</x:v>
      </x:c>
      <x:c r="E57" s="66" t="n">
        <x:v>0</x:v>
      </x:c>
      <x:c r="F57" s="66" t="n">
        <x:v>0</x:v>
      </x:c>
      <x:c r="G57" s="66" t="n">
        <x:v>0</x:v>
      </x:c>
      <x:c r="H57" s="66" t="n">
        <x:v>0</x:v>
      </x:c>
      <x:c r="I57" s="66" t="n">
        <x:v>0</x:v>
      </x:c>
      <x:c r="J57" s="80" t="n">
        <x:v>0.92</x:v>
      </x:c>
      <x:c r="K57" s="70" t="n">
        <x:f>IF(H57=1,'Federation Compiler'!$D$10,IF(G57=1,ROUNDUP('Federation Compiler'!$D$10/'Federation Compiler'!$E$10,0),0))</x:f>
        <x:v>0</x:v>
      </x:c>
      <x:c r="L57" s="70" t="n">
        <x:f>MAX(0,ROUND(('Federation Compiler'!$D$10-F57-K57)*J57,0))</x:f>
        <x:v>10</x:v>
      </x:c>
      <x:c r="M57" s="70" t="n">
        <x:f>MAX(0,'Federation Compiler'!$F$10-E57)</x:f>
        <x:v>3</x:v>
      </x:c>
      <x:c r="N57" s="70" t="n">
        <x:f>M57*'Federation Compiler'!$G$10</x:f>
        <x:v>3</x:v>
      </x:c>
      <x:c r="O57" s="70" t="n">
        <x:f>L57+N57</x:f>
        <x:v>13</x:v>
      </x:c>
      <x:c r="P57" s="70" t="str">
        <x:f>IF(O57&gt;=10,"PASS","FAIL")</x:f>
        <x:v>PASS</x:v>
      </x:c>
      <x:c r="Q57" s="70" t="n">
        <x:f>MAX(0,M57-IF(AND(I57=1,'Federation Compiler'!$F$10=4),1,0))</x:f>
        <x:v>3</x:v>
      </x:c>
      <x:c r="R57" s="70" t="n">
        <x:f>L57+Q57*'Federation Compiler'!$G$10</x:f>
        <x:v>13</x:v>
      </x:c>
      <x:c r="S57" s="70" t="str">
        <x:f>IF(R57&gt;=10,"PASS","FAIL")</x:f>
        <x:v>PASS</x:v>
      </x:c>
      <x:c r="T57" s="70" t="n">
        <x:v>0</x:v>
      </x:c>
      <x:c r="U57" s="70" t="str">
        <x:f>IF(T57&gt;=10,"PASS","FAIL")</x:f>
        <x:v>FAIL</x:v>
      </x:c>
      <x:c r="V57" s="52" t="str">
        <x:v>second mission before full repair</x:v>
      </x:c>
    </x:row>
    <x:row r="58">
      <x:c r="B58" s="66" t="str">
        <x:v>G3</x:v>
      </x:c>
      <x:c r="C58" s="66" t="str">
        <x:v>F15</x:v>
      </x:c>
      <x:c r="D58" s="66" t="str">
        <x:v>National pool retains ninety-two percent</x:v>
      </x:c>
      <x:c r="E58" s="66" t="n">
        <x:v>0</x:v>
      </x:c>
      <x:c r="F58" s="66" t="n">
        <x:v>0</x:v>
      </x:c>
      <x:c r="G58" s="66" t="n">
        <x:v>0</x:v>
      </x:c>
      <x:c r="H58" s="66" t="n">
        <x:v>0</x:v>
      </x:c>
      <x:c r="I58" s="66" t="n">
        <x:v>0</x:v>
      </x:c>
      <x:c r="J58" s="80" t="n">
        <x:v>0.92</x:v>
      </x:c>
      <x:c r="K58" s="70" t="n">
        <x:f>IF(H58=1,'Federation Compiler'!$D$10,IF(G58=1,ROUNDUP('Federation Compiler'!$D$10/'Federation Compiler'!$E$10,0),0))</x:f>
        <x:v>0</x:v>
      </x:c>
      <x:c r="L58" s="70" t="n">
        <x:f>MAX(0,ROUND(('Federation Compiler'!$D$10-F58-K58)*J58,0))</x:f>
        <x:v>10</x:v>
      </x:c>
      <x:c r="M58" s="70" t="n">
        <x:f>MAX(0,'Federation Compiler'!$F$10-E58)</x:f>
        <x:v>3</x:v>
      </x:c>
      <x:c r="N58" s="70" t="n">
        <x:f>M58*'Federation Compiler'!$G$10</x:f>
        <x:v>3</x:v>
      </x:c>
      <x:c r="O58" s="70" t="n">
        <x:f>L58+N58</x:f>
        <x:v>13</x:v>
      </x:c>
      <x:c r="P58" s="70" t="str">
        <x:f>IF(O58&gt;=10,"PASS","FAIL")</x:f>
        <x:v>PASS</x:v>
      </x:c>
      <x:c r="Q58" s="70" t="n">
        <x:f>MAX(0,M58-IF(AND(I58=1,'Federation Compiler'!$F$10=4),1,0))</x:f>
        <x:v>3</x:v>
      </x:c>
      <x:c r="R58" s="70" t="n">
        <x:f>L58+Q58*'Federation Compiler'!$G$10</x:f>
        <x:v>13</x:v>
      </x:c>
      <x:c r="S58" s="70" t="str">
        <x:f>IF(R58&gt;=10,"PASS","FAIL")</x:f>
        <x:v>PASS</x:v>
      </x:c>
      <x:c r="T58" s="70" t="n">
        <x:v>0</x:v>
      </x:c>
      <x:c r="U58" s="70" t="str">
        <x:f>IF(T58&gt;=10,"PASS","FAIL")</x:f>
        <x:v>FAIL</x:v>
      </x:c>
      <x:c r="V58" s="52" t="str">
        <x:v>concurrent campaigns and reserve protection</x:v>
      </x:c>
    </x:row>
    <x:row r="59">
      <x:c r="B59" s="66" t="str">
        <x:v>G3</x:v>
      </x:c>
      <x:c r="C59" s="66" t="str">
        <x:v>F16</x:v>
      </x:c>
      <x:c r="D59" s="66" t="str">
        <x:v>Fourth path has no admission credit</x:v>
      </x:c>
      <x:c r="E59" s="66" t="n">
        <x:v>2</x:v>
      </x:c>
      <x:c r="F59" s="66" t="n">
        <x:v>0</x:v>
      </x:c>
      <x:c r="G59" s="66" t="n">
        <x:v>1</x:v>
      </x:c>
      <x:c r="H59" s="66" t="n">
        <x:v>0</x:v>
      </x:c>
      <x:c r="I59" s="66" t="n">
        <x:v>1</x:v>
      </x:c>
      <x:c r="J59" s="80" t="n">
        <x:v>1</x:v>
      </x:c>
      <x:c r="K59" s="70" t="n">
        <x:f>IF(H59=1,'Federation Compiler'!$D$10,IF(G59=1,ROUNDUP('Federation Compiler'!$D$10/'Federation Compiler'!$E$10,0),0))</x:f>
        <x:v>2</x:v>
      </x:c>
      <x:c r="L59" s="70" t="n">
        <x:f>MAX(0,ROUND(('Federation Compiler'!$D$10-F59-K59)*J59,0))</x:f>
        <x:v>9</x:v>
      </x:c>
      <x:c r="M59" s="70" t="n">
        <x:f>MAX(0,'Federation Compiler'!$F$10-E59)</x:f>
        <x:v>1</x:v>
      </x:c>
      <x:c r="N59" s="70" t="n">
        <x:f>M59*'Federation Compiler'!$G$10</x:f>
        <x:v>1</x:v>
      </x:c>
      <x:c r="O59" s="70" t="n">
        <x:f>L59+N59</x:f>
        <x:v>10</x:v>
      </x:c>
      <x:c r="P59" s="70" t="str">
        <x:f>IF(O59&gt;=10,"PASS","FAIL")</x:f>
        <x:v>PASS</x:v>
      </x:c>
      <x:c r="Q59" s="70" t="n">
        <x:f>MAX(0,M59-IF(AND(I59=1,'Federation Compiler'!$F$10=4),1,0))</x:f>
        <x:v>1</x:v>
      </x:c>
      <x:c r="R59" s="70" t="n">
        <x:f>L59+Q59*'Federation Compiler'!$G$10</x:f>
        <x:v>10</x:v>
      </x:c>
      <x:c r="S59" s="70" t="str">
        <x:f>IF(R59&gt;=10,"PASS","FAIL")</x:f>
        <x:v>PASS</x:v>
      </x:c>
      <x:c r="T59" s="70" t="n">
        <x:v>0</x:v>
      </x:c>
      <x:c r="U59" s="70" t="str">
        <x:f>IF(T59&gt;=10,"PASS","FAIL")</x:f>
        <x:v>FAIL</x:v>
      </x:c>
      <x:c r="V59" s="52" t="str">
        <x:v>unproved fourth path withheld from current credit</x:v>
      </x:c>
    </x:row>
    <x:row r="60">
      <x:c r="B60" s="66" t="str">
        <x:v>G3</x:v>
      </x:c>
      <x:c r="C60" s="66" t="str">
        <x:v>F17</x:v>
      </x:c>
      <x:c r="D60" s="66" t="str">
        <x:v>One island, source domain and one mode</x:v>
      </x:c>
      <x:c r="E60" s="66" t="n">
        <x:v>1</x:v>
      </x:c>
      <x:c r="F60" s="66" t="n">
        <x:v>1</x:v>
      </x:c>
      <x:c r="G60" s="66" t="n">
        <x:v>1</x:v>
      </x:c>
      <x:c r="H60" s="66" t="n">
        <x:v>0</x:v>
      </x:c>
      <x:c r="I60" s="66" t="n">
        <x:v>0</x:v>
      </x:c>
      <x:c r="J60" s="80" t="n">
        <x:v>1</x:v>
      </x:c>
      <x:c r="K60" s="70" t="n">
        <x:f>IF(H60=1,'Federation Compiler'!$D$10,IF(G60=1,ROUNDUP('Federation Compiler'!$D$10/'Federation Compiler'!$E$10,0),0))</x:f>
        <x:v>2</x:v>
      </x:c>
      <x:c r="L60" s="70" t="n">
        <x:f>MAX(0,ROUND(('Federation Compiler'!$D$10-F60-K60)*J60,0))</x:f>
        <x:v>8</x:v>
      </x:c>
      <x:c r="M60" s="70" t="n">
        <x:f>MAX(0,'Federation Compiler'!$F$10-E60)</x:f>
        <x:v>2</x:v>
      </x:c>
      <x:c r="N60" s="70" t="n">
        <x:f>M60*'Federation Compiler'!$G$10</x:f>
        <x:v>2</x:v>
      </x:c>
      <x:c r="O60" s="70" t="n">
        <x:f>L60+N60</x:f>
        <x:v>10</x:v>
      </x:c>
      <x:c r="P60" s="70" t="str">
        <x:f>IF(O60&gt;=10,"PASS","FAIL")</x:f>
        <x:v>PASS</x:v>
      </x:c>
      <x:c r="Q60" s="70" t="n">
        <x:f>MAX(0,M60-IF(AND(I60=1,'Federation Compiler'!$F$10=4),1,0))</x:f>
        <x:v>2</x:v>
      </x:c>
      <x:c r="R60" s="70" t="n">
        <x:f>L60+Q60*'Federation Compiler'!$G$10</x:f>
        <x:v>10</x:v>
      </x:c>
      <x:c r="S60" s="70" t="str">
        <x:f>IF(R60&gt;=10,"PASS","FAIL")</x:f>
        <x:v>PASS</x:v>
      </x:c>
      <x:c r="T60" s="70" t="n">
        <x:v>0</x:v>
      </x:c>
      <x:c r="U60" s="70" t="str">
        <x:f>IF(T60&gt;=10,"PASS","FAIL")</x:f>
        <x:v>FAIL</x:v>
      </x:c>
      <x:c r="V60" s="52" t="str">
        <x:v>physical and ancestry losses stack</x:v>
      </x:c>
    </x:row>
    <x:row r="61">
      <x:c r="B61" s="66" t="str">
        <x:v>G3</x:v>
      </x:c>
      <x:c r="C61" s="66" t="str">
        <x:v>F18</x:v>
      </x:c>
      <x:c r="D61" s="66" t="str">
        <x:v>Internal island evidence withheld</x:v>
      </x:c>
      <x:c r="E61" s="66" t="n">
        <x:v>0</x:v>
      </x:c>
      <x:c r="F61" s="66" t="n">
        <x:v>0</x:v>
      </x:c>
      <x:c r="G61" s="66" t="n">
        <x:v>0</x:v>
      </x:c>
      <x:c r="H61" s="66" t="n">
        <x:v>0</x:v>
      </x:c>
      <x:c r="I61" s="66" t="n">
        <x:v>0</x:v>
      </x:c>
      <x:c r="J61" s="80" t="n">
        <x:v>0</x:v>
      </x:c>
      <x:c r="K61" s="70" t="n">
        <x:f>IF(H61=1,'Federation Compiler'!$D$10,IF(G61=1,ROUNDUP('Federation Compiler'!$D$10/'Federation Compiler'!$E$10,0),0))</x:f>
        <x:v>0</x:v>
      </x:c>
      <x:c r="L61" s="70" t="n">
        <x:f>MAX(0,ROUND(('Federation Compiler'!$D$10-F61-K61)*J61,0))</x:f>
        <x:v>0</x:v>
      </x:c>
      <x:c r="M61" s="70" t="n">
        <x:f>MAX(0,'Federation Compiler'!$F$10-E61)</x:f>
        <x:v>3</x:v>
      </x:c>
      <x:c r="N61" s="70" t="n">
        <x:f>M61*'Federation Compiler'!$G$10</x:f>
        <x:v>3</x:v>
      </x:c>
      <x:c r="O61" s="70" t="n">
        <x:f>L61+N61</x:f>
        <x:v>3</x:v>
      </x:c>
      <x:c r="P61" s="70" t="str">
        <x:f>IF(O61&gt;=10,"PASS","FAIL")</x:f>
        <x:v>FAIL</x:v>
      </x:c>
      <x:c r="Q61" s="70" t="n">
        <x:f>MAX(0,M61-IF(AND(I61=1,'Federation Compiler'!$F$10=4),1,0))</x:f>
        <x:v>3</x:v>
      </x:c>
      <x:c r="R61" s="70" t="n">
        <x:f>L61+Q61*'Federation Compiler'!$G$10</x:f>
        <x:v>3</x:v>
      </x:c>
      <x:c r="S61" s="70" t="str">
        <x:f>IF(R61&gt;=10,"PASS","FAIL")</x:f>
        <x:v>FAIL</x:v>
      </x:c>
      <x:c r="T61" s="70" t="n">
        <x:v>0</x:v>
      </x:c>
      <x:c r="U61" s="70" t="str">
        <x:f>IF(T61&gt;=10,"PASS","FAIL")</x:f>
        <x:v>FAIL</x:v>
      </x:c>
      <x:c r="V61" s="52" t="str">
        <x:v>strict admission remains zero for every federation</x:v>
      </x:c>
    </x:row>
    <x:row r="62">
      <x:c r="B62" s="66" t="str">
        <x:v>G4</x:v>
      </x:c>
      <x:c r="C62" s="66" t="str">
        <x:v>F01</x:v>
      </x:c>
      <x:c r="D62" s="66" t="str">
        <x:v>Baseline release</x:v>
      </x:c>
      <x:c r="E62" s="66" t="n">
        <x:v>0</x:v>
      </x:c>
      <x:c r="F62" s="66" t="n">
        <x:v>0</x:v>
      </x:c>
      <x:c r="G62" s="66" t="n">
        <x:v>0</x:v>
      </x:c>
      <x:c r="H62" s="66" t="n">
        <x:v>0</x:v>
      </x:c>
      <x:c r="I62" s="66" t="n">
        <x:v>0</x:v>
      </x:c>
      <x:c r="J62" s="80" t="n">
        <x:v>1</x:v>
      </x:c>
      <x:c r="K62" s="70" t="n">
        <x:f>IF(H62=1,'Federation Compiler'!$D$11,IF(G62=1,ROUNDUP('Federation Compiler'!$D$11/'Federation Compiler'!$E$11,0),0))</x:f>
        <x:v>0</x:v>
      </x:c>
      <x:c r="L62" s="70" t="n">
        <x:f>MAX(0,ROUND(('Federation Compiler'!$D$11-F62-K62)*J62,0))</x:f>
        <x:v>10</x:v>
      </x:c>
      <x:c r="M62" s="70" t="n">
        <x:f>MAX(0,'Federation Compiler'!$F$11-E62)</x:f>
        <x:v>4</x:v>
      </x:c>
      <x:c r="N62" s="70" t="n">
        <x:f>M62*'Federation Compiler'!$G$11</x:f>
        <x:v>4</x:v>
      </x:c>
      <x:c r="O62" s="70" t="n">
        <x:f>L62+N62</x:f>
        <x:v>14</x:v>
      </x:c>
      <x:c r="P62" s="70" t="str">
        <x:f>IF(O62&gt;=10,"PASS","FAIL")</x:f>
        <x:v>PASS</x:v>
      </x:c>
      <x:c r="Q62" s="70" t="n">
        <x:f>MAX(0,M62-IF(AND(I62=1,'Federation Compiler'!$F$11=4),1,0))</x:f>
        <x:v>4</x:v>
      </x:c>
      <x:c r="R62" s="70" t="n">
        <x:f>L62+Q62*'Federation Compiler'!$G$11</x:f>
        <x:v>14</x:v>
      </x:c>
      <x:c r="S62" s="70" t="str">
        <x:f>IF(R62&gt;=10,"PASS","FAIL")</x:f>
        <x:v>PASS</x:v>
      </x:c>
      <x:c r="T62" s="70" t="n">
        <x:v>0</x:v>
      </x:c>
      <x:c r="U62" s="70" t="str">
        <x:f>IF(T62&gt;=10,"PASS","FAIL")</x:f>
        <x:v>FAIL</x:v>
      </x:c>
      <x:c r="V62" s="52" t="str">
        <x:v>all packages available</x:v>
      </x:c>
    </x:row>
    <x:row r="63">
      <x:c r="B63" s="66" t="str">
        <x:v>G4</x:v>
      </x:c>
      <x:c r="C63" s="66" t="str">
        <x:v>F02</x:v>
      </x:c>
      <x:c r="D63" s="66" t="str">
        <x:v>Any two legacy modes lost</x:v>
      </x:c>
      <x:c r="E63" s="66" t="n">
        <x:v>2</x:v>
      </x:c>
      <x:c r="F63" s="66" t="n">
        <x:v>0</x:v>
      </x:c>
      <x:c r="G63" s="66" t="n">
        <x:v>0</x:v>
      </x:c>
      <x:c r="H63" s="66" t="n">
        <x:v>0</x:v>
      </x:c>
      <x:c r="I63" s="66" t="n">
        <x:v>0</x:v>
      </x:c>
      <x:c r="J63" s="80" t="n">
        <x:v>1</x:v>
      </x:c>
      <x:c r="K63" s="70" t="n">
        <x:f>IF(H63=1,'Federation Compiler'!$D$11,IF(G63=1,ROUNDUP('Federation Compiler'!$D$11/'Federation Compiler'!$E$11,0),0))</x:f>
        <x:v>0</x:v>
      </x:c>
      <x:c r="L63" s="70" t="n">
        <x:f>MAX(0,ROUND(('Federation Compiler'!$D$11-F63-K63)*J63,0))</x:f>
        <x:v>10</x:v>
      </x:c>
      <x:c r="M63" s="70" t="n">
        <x:f>MAX(0,'Federation Compiler'!$F$11-E63)</x:f>
        <x:v>2</x:v>
      </x:c>
      <x:c r="N63" s="70" t="n">
        <x:f>M63*'Federation Compiler'!$G$11</x:f>
        <x:v>2</x:v>
      </x:c>
      <x:c r="O63" s="70" t="n">
        <x:f>L63+N63</x:f>
        <x:v>12</x:v>
      </x:c>
      <x:c r="P63" s="70" t="str">
        <x:f>IF(O63&gt;=10,"PASS","FAIL")</x:f>
        <x:v>PASS</x:v>
      </x:c>
      <x:c r="Q63" s="70" t="n">
        <x:f>MAX(0,M63-IF(AND(I63=1,'Federation Compiler'!$F$11=4),1,0))</x:f>
        <x:v>2</x:v>
      </x:c>
      <x:c r="R63" s="70" t="n">
        <x:f>L63+Q63*'Federation Compiler'!$G$11</x:f>
        <x:v>12</x:v>
      </x:c>
      <x:c r="S63" s="70" t="str">
        <x:f>IF(R63&gt;=10,"PASS","FAIL")</x:f>
        <x:v>PASS</x:v>
      </x:c>
      <x:c r="T63" s="70" t="n">
        <x:v>0</x:v>
      </x:c>
      <x:c r="U63" s="70" t="str">
        <x:f>IF(T63&gt;=10,"PASS","FAIL")</x:f>
        <x:v>FAIL</x:v>
      </x:c>
      <x:c r="V63" s="52" t="str">
        <x:v>Pass 75 access guarantee</x:v>
      </x:c>
    </x:row>
    <x:row r="64">
      <x:c r="B64" s="66" t="str">
        <x:v>G4</x:v>
      </x:c>
      <x:c r="C64" s="66" t="str">
        <x:v>F03</x:v>
      </x:c>
      <x:c r="D64" s="66" t="str">
        <x:v>One physical island plus two modes</x:v>
      </x:c>
      <x:c r="E64" s="66" t="n">
        <x:v>2</x:v>
      </x:c>
      <x:c r="F64" s="66" t="n">
        <x:v>1</x:v>
      </x:c>
      <x:c r="G64" s="66" t="n">
        <x:v>0</x:v>
      </x:c>
      <x:c r="H64" s="66" t="n">
        <x:v>0</x:v>
      </x:c>
      <x:c r="I64" s="66" t="n">
        <x:v>0</x:v>
      </x:c>
      <x:c r="J64" s="80" t="n">
        <x:v>1</x:v>
      </x:c>
      <x:c r="K64" s="70" t="n">
        <x:f>IF(H64=1,'Federation Compiler'!$D$11,IF(G64=1,ROUNDUP('Federation Compiler'!$D$11/'Federation Compiler'!$E$11,0),0))</x:f>
        <x:v>0</x:v>
      </x:c>
      <x:c r="L64" s="70" t="n">
        <x:f>MAX(0,ROUND(('Federation Compiler'!$D$11-F64-K64)*J64,0))</x:f>
        <x:v>9</x:v>
      </x:c>
      <x:c r="M64" s="70" t="n">
        <x:f>MAX(0,'Federation Compiler'!$F$11-E64)</x:f>
        <x:v>2</x:v>
      </x:c>
      <x:c r="N64" s="70" t="n">
        <x:f>M64*'Federation Compiler'!$G$11</x:f>
        <x:v>2</x:v>
      </x:c>
      <x:c r="O64" s="70" t="n">
        <x:f>L64+N64</x:f>
        <x:v>11</x:v>
      </x:c>
      <x:c r="P64" s="70" t="str">
        <x:f>IF(O64&gt;=10,"PASS","FAIL")</x:f>
        <x:v>PASS</x:v>
      </x:c>
      <x:c r="Q64" s="70" t="n">
        <x:f>MAX(0,M64-IF(AND(I64=1,'Federation Compiler'!$F$11=4),1,0))</x:f>
        <x:v>2</x:v>
      </x:c>
      <x:c r="R64" s="70" t="n">
        <x:f>L64+Q64*'Federation Compiler'!$G$11</x:f>
        <x:v>11</x:v>
      </x:c>
      <x:c r="S64" s="70" t="str">
        <x:f>IF(R64&gt;=10,"PASS","FAIL")</x:f>
        <x:v>PASS</x:v>
      </x:c>
      <x:c r="T64" s="70" t="n">
        <x:v>0</x:v>
      </x:c>
      <x:c r="U64" s="70" t="str">
        <x:f>IF(T64&gt;=10,"PASS","FAIL")</x:f>
        <x:v>FAIL</x:v>
      </x:c>
      <x:c r="V64" s="52" t="str">
        <x:v>original T7 promise</x:v>
      </x:c>
    </x:row>
    <x:row r="65">
      <x:c r="B65" s="66" t="str">
        <x:v>G4</x:v>
      </x:c>
      <x:c r="C65" s="66" t="str">
        <x:v>F04</x:v>
      </x:c>
      <x:c r="D65" s="66" t="str">
        <x:v>Source domain plus two modes</x:v>
      </x:c>
      <x:c r="E65" s="66" t="n">
        <x:v>2</x:v>
      </x:c>
      <x:c r="F65" s="66" t="n">
        <x:v>0</x:v>
      </x:c>
      <x:c r="G65" s="66" t="n">
        <x:v>1</x:v>
      </x:c>
      <x:c r="H65" s="66" t="n">
        <x:v>0</x:v>
      </x:c>
      <x:c r="I65" s="66" t="n">
        <x:v>0</x:v>
      </x:c>
      <x:c r="J65" s="80" t="n">
        <x:v>1</x:v>
      </x:c>
      <x:c r="K65" s="70" t="n">
        <x:f>IF(H65=1,'Federation Compiler'!$D$11,IF(G65=1,ROUNDUP('Federation Compiler'!$D$11/'Federation Compiler'!$E$11,0),0))</x:f>
        <x:v>2</x:v>
      </x:c>
      <x:c r="L65" s="70" t="n">
        <x:f>MAX(0,ROUND(('Federation Compiler'!$D$11-F65-K65)*J65,0))</x:f>
        <x:v>8</x:v>
      </x:c>
      <x:c r="M65" s="70" t="n">
        <x:f>MAX(0,'Federation Compiler'!$F$11-E65)</x:f>
        <x:v>2</x:v>
      </x:c>
      <x:c r="N65" s="70" t="n">
        <x:f>M65*'Federation Compiler'!$G$11</x:f>
        <x:v>2</x:v>
      </x:c>
      <x:c r="O65" s="70" t="n">
        <x:f>L65+N65</x:f>
        <x:v>10</x:v>
      </x:c>
      <x:c r="P65" s="70" t="str">
        <x:f>IF(O65&gt;=10,"PASS","FAIL")</x:f>
        <x:v>PASS</x:v>
      </x:c>
      <x:c r="Q65" s="70" t="n">
        <x:f>MAX(0,M65-IF(AND(I65=1,'Federation Compiler'!$F$11=4),1,0))</x:f>
        <x:v>2</x:v>
      </x:c>
      <x:c r="R65" s="70" t="n">
        <x:f>L65+Q65*'Federation Compiler'!$G$11</x:f>
        <x:v>10</x:v>
      </x:c>
      <x:c r="S65" s="70" t="str">
        <x:f>IF(R65&gt;=10,"PASS","FAIL")</x:f>
        <x:v>PASS</x:v>
      </x:c>
      <x:c r="T65" s="70" t="n">
        <x:v>0</x:v>
      </x:c>
      <x:c r="U65" s="70" t="str">
        <x:f>IF(T65&gt;=10,"PASS","FAIL")</x:f>
        <x:v>FAIL</x:v>
      </x:c>
      <x:c r="V65" s="52" t="str">
        <x:v>correlated energy ancestry</x:v>
      </x:c>
    </x:row>
    <x:row r="66">
      <x:c r="B66" s="66" t="str">
        <x:v>G4</x:v>
      </x:c>
      <x:c r="C66" s="66" t="str">
        <x:v>F05</x:v>
      </x:c>
      <x:c r="D66" s="66" t="str">
        <x:v>Heat domain plus two modes</x:v>
      </x:c>
      <x:c r="E66" s="66" t="n">
        <x:v>2</x:v>
      </x:c>
      <x:c r="F66" s="66" t="n">
        <x:v>0</x:v>
      </x:c>
      <x:c r="G66" s="66" t="n">
        <x:v>1</x:v>
      </x:c>
      <x:c r="H66" s="66" t="n">
        <x:v>0</x:v>
      </x:c>
      <x:c r="I66" s="66" t="n">
        <x:v>0</x:v>
      </x:c>
      <x:c r="J66" s="80" t="n">
        <x:v>1</x:v>
      </x:c>
      <x:c r="K66" s="70" t="n">
        <x:f>IF(H66=1,'Federation Compiler'!$D$11,IF(G66=1,ROUNDUP('Federation Compiler'!$D$11/'Federation Compiler'!$E$11,0),0))</x:f>
        <x:v>2</x:v>
      </x:c>
      <x:c r="L66" s="70" t="n">
        <x:f>MAX(0,ROUND(('Federation Compiler'!$D$11-F66-K66)*J66,0))</x:f>
        <x:v>8</x:v>
      </x:c>
      <x:c r="M66" s="70" t="n">
        <x:f>MAX(0,'Federation Compiler'!$F$11-E66)</x:f>
        <x:v>2</x:v>
      </x:c>
      <x:c r="N66" s="70" t="n">
        <x:f>M66*'Federation Compiler'!$G$11</x:f>
        <x:v>2</x:v>
      </x:c>
      <x:c r="O66" s="70" t="n">
        <x:f>L66+N66</x:f>
        <x:v>10</x:v>
      </x:c>
      <x:c r="P66" s="70" t="str">
        <x:f>IF(O66&gt;=10,"PASS","FAIL")</x:f>
        <x:v>PASS</x:v>
      </x:c>
      <x:c r="Q66" s="70" t="n">
        <x:f>MAX(0,M66-IF(AND(I66=1,'Federation Compiler'!$F$11=4),1,0))</x:f>
        <x:v>2</x:v>
      </x:c>
      <x:c r="R66" s="70" t="n">
        <x:f>L66+Q66*'Federation Compiler'!$G$11</x:f>
        <x:v>10</x:v>
      </x:c>
      <x:c r="S66" s="70" t="str">
        <x:f>IF(R66&gt;=10,"PASS","FAIL")</x:f>
        <x:v>PASS</x:v>
      </x:c>
      <x:c r="T66" s="70" t="n">
        <x:v>0</x:v>
      </x:c>
      <x:c r="U66" s="70" t="str">
        <x:f>IF(T66&gt;=10,"PASS","FAIL")</x:f>
        <x:v>FAIL</x:v>
      </x:c>
      <x:c r="V66" s="52" t="str">
        <x:v>correlated final heat destination</x:v>
      </x:c>
    </x:row>
    <x:row r="67">
      <x:c r="B67" s="66" t="str">
        <x:v>G4</x:v>
      </x:c>
      <x:c r="C67" s="66" t="str">
        <x:v>F06</x:v>
      </x:c>
      <x:c r="D67" s="66" t="str">
        <x:v>Control domain plus two modes</x:v>
      </x:c>
      <x:c r="E67" s="66" t="n">
        <x:v>2</x:v>
      </x:c>
      <x:c r="F67" s="66" t="n">
        <x:v>0</x:v>
      </x:c>
      <x:c r="G67" s="66" t="n">
        <x:v>1</x:v>
      </x:c>
      <x:c r="H67" s="66" t="n">
        <x:v>0</x:v>
      </x:c>
      <x:c r="I67" s="66" t="n">
        <x:v>0</x:v>
      </x:c>
      <x:c r="J67" s="80" t="n">
        <x:v>1</x:v>
      </x:c>
      <x:c r="K67" s="70" t="n">
        <x:f>IF(H67=1,'Federation Compiler'!$D$11,IF(G67=1,ROUNDUP('Federation Compiler'!$D$11/'Federation Compiler'!$E$11,0),0))</x:f>
        <x:v>2</x:v>
      </x:c>
      <x:c r="L67" s="70" t="n">
        <x:f>MAX(0,ROUND(('Federation Compiler'!$D$11-F67-K67)*J67,0))</x:f>
        <x:v>8</x:v>
      </x:c>
      <x:c r="M67" s="70" t="n">
        <x:f>MAX(0,'Federation Compiler'!$F$11-E67)</x:f>
        <x:v>2</x:v>
      </x:c>
      <x:c r="N67" s="70" t="n">
        <x:f>M67*'Federation Compiler'!$G$11</x:f>
        <x:v>2</x:v>
      </x:c>
      <x:c r="O67" s="70" t="n">
        <x:f>L67+N67</x:f>
        <x:v>10</x:v>
      </x:c>
      <x:c r="P67" s="70" t="str">
        <x:f>IF(O67&gt;=10,"PASS","FAIL")</x:f>
        <x:v>PASS</x:v>
      </x:c>
      <x:c r="Q67" s="70" t="n">
        <x:f>MAX(0,M67-IF(AND(I67=1,'Federation Compiler'!$F$11=4),1,0))</x:f>
        <x:v>2</x:v>
      </x:c>
      <x:c r="R67" s="70" t="n">
        <x:f>L67+Q67*'Federation Compiler'!$G$11</x:f>
        <x:v>10</x:v>
      </x:c>
      <x:c r="S67" s="70" t="str">
        <x:f>IF(R67&gt;=10,"PASS","FAIL")</x:f>
        <x:v>PASS</x:v>
      </x:c>
      <x:c r="T67" s="70" t="n">
        <x:v>0</x:v>
      </x:c>
      <x:c r="U67" s="70" t="str">
        <x:f>IF(T67&gt;=10,"PASS","FAIL")</x:f>
        <x:v>FAIL</x:v>
      </x:c>
      <x:c r="V67" s="52" t="str">
        <x:v>common control or signing root</x:v>
      </x:c>
    </x:row>
    <x:row r="68">
      <x:c r="B68" s="66" t="str">
        <x:v>G4</x:v>
      </x:c>
      <x:c r="C68" s="66" t="str">
        <x:v>F07</x:v>
      </x:c>
      <x:c r="D68" s="66" t="str">
        <x:v>Workforce domain plus two modes</x:v>
      </x:c>
      <x:c r="E68" s="66" t="n">
        <x:v>2</x:v>
      </x:c>
      <x:c r="F68" s="66" t="n">
        <x:v>0</x:v>
      </x:c>
      <x:c r="G68" s="66" t="n">
        <x:v>1</x:v>
      </x:c>
      <x:c r="H68" s="66" t="n">
        <x:v>0</x:v>
      </x:c>
      <x:c r="I68" s="66" t="n">
        <x:v>0</x:v>
      </x:c>
      <x:c r="J68" s="80" t="n">
        <x:v>1</x:v>
      </x:c>
      <x:c r="K68" s="70" t="n">
        <x:f>IF(H68=1,'Federation Compiler'!$D$11,IF(G68=1,ROUNDUP('Federation Compiler'!$D$11/'Federation Compiler'!$E$11,0),0))</x:f>
        <x:v>2</x:v>
      </x:c>
      <x:c r="L68" s="70" t="n">
        <x:f>MAX(0,ROUND(('Federation Compiler'!$D$11-F68-K68)*J68,0))</x:f>
        <x:v>8</x:v>
      </x:c>
      <x:c r="M68" s="70" t="n">
        <x:f>MAX(0,'Federation Compiler'!$F$11-E68)</x:f>
        <x:v>2</x:v>
      </x:c>
      <x:c r="N68" s="70" t="n">
        <x:f>M68*'Federation Compiler'!$G$11</x:f>
        <x:v>2</x:v>
      </x:c>
      <x:c r="O68" s="70" t="n">
        <x:f>L68+N68</x:f>
        <x:v>10</x:v>
      </x:c>
      <x:c r="P68" s="70" t="str">
        <x:f>IF(O68&gt;=10,"PASS","FAIL")</x:f>
        <x:v>PASS</x:v>
      </x:c>
      <x:c r="Q68" s="70" t="n">
        <x:f>MAX(0,M68-IF(AND(I68=1,'Federation Compiler'!$F$11=4),1,0))</x:f>
        <x:v>2</x:v>
      </x:c>
      <x:c r="R68" s="70" t="n">
        <x:f>L68+Q68*'Federation Compiler'!$G$11</x:f>
        <x:v>10</x:v>
      </x:c>
      <x:c r="S68" s="70" t="str">
        <x:f>IF(R68&gt;=10,"PASS","FAIL")</x:f>
        <x:v>PASS</x:v>
      </x:c>
      <x:c r="T68" s="70" t="n">
        <x:v>0</x:v>
      </x:c>
      <x:c r="U68" s="70" t="str">
        <x:f>IF(T68&gt;=10,"PASS","FAIL")</x:f>
        <x:v>FAIL</x:v>
      </x:c>
      <x:c r="V68" s="52" t="str">
        <x:v>school and credential lineage</x:v>
      </x:c>
    </x:row>
    <x:row r="69">
      <x:c r="B69" s="66" t="str">
        <x:v>G4</x:v>
      </x:c>
      <x:c r="C69" s="66" t="str">
        <x:v>F08</x:v>
      </x:c>
      <x:c r="D69" s="66" t="str">
        <x:v>Supplier domain plus two modes</x:v>
      </x:c>
      <x:c r="E69" s="66" t="n">
        <x:v>2</x:v>
      </x:c>
      <x:c r="F69" s="66" t="n">
        <x:v>0</x:v>
      </x:c>
      <x:c r="G69" s="66" t="n">
        <x:v>1</x:v>
      </x:c>
      <x:c r="H69" s="66" t="n">
        <x:v>0</x:v>
      </x:c>
      <x:c r="I69" s="66" t="n">
        <x:v>0</x:v>
      </x:c>
      <x:c r="J69" s="80" t="n">
        <x:v>1</x:v>
      </x:c>
      <x:c r="K69" s="70" t="n">
        <x:f>IF(H69=1,'Federation Compiler'!$D$11,IF(G69=1,ROUNDUP('Federation Compiler'!$D$11/'Federation Compiler'!$E$11,0),0))</x:f>
        <x:v>2</x:v>
      </x:c>
      <x:c r="L69" s="70" t="n">
        <x:f>MAX(0,ROUND(('Federation Compiler'!$D$11-F69-K69)*J69,0))</x:f>
        <x:v>8</x:v>
      </x:c>
      <x:c r="M69" s="70" t="n">
        <x:f>MAX(0,'Federation Compiler'!$F$11-E69)</x:f>
        <x:v>2</x:v>
      </x:c>
      <x:c r="N69" s="70" t="n">
        <x:f>M69*'Federation Compiler'!$G$11</x:f>
        <x:v>2</x:v>
      </x:c>
      <x:c r="O69" s="70" t="n">
        <x:f>L69+N69</x:f>
        <x:v>10</x:v>
      </x:c>
      <x:c r="P69" s="70" t="str">
        <x:f>IF(O69&gt;=10,"PASS","FAIL")</x:f>
        <x:v>PASS</x:v>
      </x:c>
      <x:c r="Q69" s="70" t="n">
        <x:f>MAX(0,M69-IF(AND(I69=1,'Federation Compiler'!$F$11=4),1,0))</x:f>
        <x:v>2</x:v>
      </x:c>
      <x:c r="R69" s="70" t="n">
        <x:f>L69+Q69*'Federation Compiler'!$G$11</x:f>
        <x:v>10</x:v>
      </x:c>
      <x:c r="S69" s="70" t="str">
        <x:f>IF(R69&gt;=10,"PASS","FAIL")</x:f>
        <x:v>PASS</x:v>
      </x:c>
      <x:c r="T69" s="70" t="n">
        <x:v>0</x:v>
      </x:c>
      <x:c r="U69" s="70" t="str">
        <x:f>IF(T69&gt;=10,"PASS","FAIL")</x:f>
        <x:v>FAIL</x:v>
      </x:c>
      <x:c r="V69" s="52" t="str">
        <x:v>upstream factory or material lineage</x:v>
      </x:c>
    </x:row>
    <x:row r="70">
      <x:c r="B70" s="66" t="str">
        <x:v>G4</x:v>
      </x:c>
      <x:c r="C70" s="66" t="str">
        <x:v>F09</x:v>
      </x:c>
      <x:c r="D70" s="66" t="str">
        <x:v>Authority domain plus two modes</x:v>
      </x:c>
      <x:c r="E70" s="66" t="n">
        <x:v>2</x:v>
      </x:c>
      <x:c r="F70" s="66" t="n">
        <x:v>0</x:v>
      </x:c>
      <x:c r="G70" s="66" t="n">
        <x:v>1</x:v>
      </x:c>
      <x:c r="H70" s="66" t="n">
        <x:v>0</x:v>
      </x:c>
      <x:c r="I70" s="66" t="n">
        <x:v>0</x:v>
      </x:c>
      <x:c r="J70" s="80" t="n">
        <x:v>1</x:v>
      </x:c>
      <x:c r="K70" s="70" t="n">
        <x:f>IF(H70=1,'Federation Compiler'!$D$11,IF(G70=1,ROUNDUP('Federation Compiler'!$D$11/'Federation Compiler'!$E$11,0),0))</x:f>
        <x:v>2</x:v>
      </x:c>
      <x:c r="L70" s="70" t="n">
        <x:f>MAX(0,ROUND(('Federation Compiler'!$D$11-F70-K70)*J70,0))</x:f>
        <x:v>8</x:v>
      </x:c>
      <x:c r="M70" s="70" t="n">
        <x:f>MAX(0,'Federation Compiler'!$F$11-E70)</x:f>
        <x:v>2</x:v>
      </x:c>
      <x:c r="N70" s="70" t="n">
        <x:f>M70*'Federation Compiler'!$G$11</x:f>
        <x:v>2</x:v>
      </x:c>
      <x:c r="O70" s="70" t="n">
        <x:f>L70+N70</x:f>
        <x:v>10</x:v>
      </x:c>
      <x:c r="P70" s="70" t="str">
        <x:f>IF(O70&gt;=10,"PASS","FAIL")</x:f>
        <x:v>PASS</x:v>
      </x:c>
      <x:c r="Q70" s="70" t="n">
        <x:f>MAX(0,M70-IF(AND(I70=1,'Federation Compiler'!$F$11=4),1,0))</x:f>
        <x:v>2</x:v>
      </x:c>
      <x:c r="R70" s="70" t="n">
        <x:f>L70+Q70*'Federation Compiler'!$G$11</x:f>
        <x:v>10</x:v>
      </x:c>
      <x:c r="S70" s="70" t="str">
        <x:f>IF(R70&gt;=10,"PASS","FAIL")</x:f>
        <x:v>PASS</x:v>
      </x:c>
      <x:c r="T70" s="70" t="n">
        <x:v>0</x:v>
      </x:c>
      <x:c r="U70" s="70" t="str">
        <x:f>IF(T70&gt;=10,"PASS","FAIL")</x:f>
        <x:v>FAIL</x:v>
      </x:c>
      <x:c r="V70" s="52" t="str">
        <x:v>civil release and appeal path</x:v>
      </x:c>
    </x:row>
    <x:row r="71">
      <x:c r="B71" s="66" t="str">
        <x:v>G4</x:v>
      </x:c>
      <x:c r="C71" s="66" t="str">
        <x:v>F10</x:v>
      </x:c>
      <x:c r="D71" s="66" t="str">
        <x:v>One island plus all three legacy modes</x:v>
      </x:c>
      <x:c r="E71" s="66" t="n">
        <x:v>3</x:v>
      </x:c>
      <x:c r="F71" s="66" t="n">
        <x:v>1</x:v>
      </x:c>
      <x:c r="G71" s="66" t="n">
        <x:v>0</x:v>
      </x:c>
      <x:c r="H71" s="66" t="n">
        <x:v>0</x:v>
      </x:c>
      <x:c r="I71" s="66" t="n">
        <x:v>0</x:v>
      </x:c>
      <x:c r="J71" s="80" t="n">
        <x:v>1</x:v>
      </x:c>
      <x:c r="K71" s="70" t="n">
        <x:f>IF(H71=1,'Federation Compiler'!$D$11,IF(G71=1,ROUNDUP('Federation Compiler'!$D$11/'Federation Compiler'!$E$11,0),0))</x:f>
        <x:v>0</x:v>
      </x:c>
      <x:c r="L71" s="70" t="n">
        <x:f>MAX(0,ROUND(('Federation Compiler'!$D$11-F71-K71)*J71,0))</x:f>
        <x:v>9</x:v>
      </x:c>
      <x:c r="M71" s="70" t="n">
        <x:f>MAX(0,'Federation Compiler'!$F$11-E71)</x:f>
        <x:v>1</x:v>
      </x:c>
      <x:c r="N71" s="70" t="n">
        <x:f>M71*'Federation Compiler'!$G$11</x:f>
        <x:v>1</x:v>
      </x:c>
      <x:c r="O71" s="70" t="n">
        <x:f>L71+N71</x:f>
        <x:v>10</x:v>
      </x:c>
      <x:c r="P71" s="70" t="str">
        <x:f>IF(O71&gt;=10,"PASS","FAIL")</x:f>
        <x:v>PASS</x:v>
      </x:c>
      <x:c r="Q71" s="70" t="n">
        <x:f>MAX(0,M71-IF(AND(I71=1,'Federation Compiler'!$F$11=4),1,0))</x:f>
        <x:v>1</x:v>
      </x:c>
      <x:c r="R71" s="70" t="n">
        <x:f>L71+Q71*'Federation Compiler'!$G$11</x:f>
        <x:v>10</x:v>
      </x:c>
      <x:c r="S71" s="70" t="str">
        <x:f>IF(R71&gt;=10,"PASS","FAIL")</x:f>
        <x:v>PASS</x:v>
      </x:c>
      <x:c r="T71" s="70" t="n">
        <x:v>0</x:v>
      </x:c>
      <x:c r="U71" s="70" t="str">
        <x:f>IF(T71&gt;=10,"PASS","FAIL")</x:f>
        <x:v>FAIL</x:v>
      </x:c>
      <x:c r="V71" s="52" t="str">
        <x:v>fixed lattice without mobile rescue</x:v>
      </x:c>
    </x:row>
    <x:row r="72">
      <x:c r="B72" s="66" t="str">
        <x:v>G4</x:v>
      </x:c>
      <x:c r="C72" s="66" t="str">
        <x:v>F11</x:v>
      </x:c>
      <x:c r="D72" s="66" t="str">
        <x:v>Two adjacent islands plus two modes</x:v>
      </x:c>
      <x:c r="E72" s="66" t="n">
        <x:v>2</x:v>
      </x:c>
      <x:c r="F72" s="66" t="n">
        <x:v>2</x:v>
      </x:c>
      <x:c r="G72" s="66" t="n">
        <x:v>0</x:v>
      </x:c>
      <x:c r="H72" s="66" t="n">
        <x:v>0</x:v>
      </x:c>
      <x:c r="I72" s="66" t="n">
        <x:v>0</x:v>
      </x:c>
      <x:c r="J72" s="80" t="n">
        <x:v>1</x:v>
      </x:c>
      <x:c r="K72" s="70" t="n">
        <x:f>IF(H72=1,'Federation Compiler'!$D$11,IF(G72=1,ROUNDUP('Federation Compiler'!$D$11/'Federation Compiler'!$E$11,0),0))</x:f>
        <x:v>0</x:v>
      </x:c>
      <x:c r="L72" s="70" t="n">
        <x:f>MAX(0,ROUND(('Federation Compiler'!$D$11-F72-K72)*J72,0))</x:f>
        <x:v>8</x:v>
      </x:c>
      <x:c r="M72" s="70" t="n">
        <x:f>MAX(0,'Federation Compiler'!$F$11-E72)</x:f>
        <x:v>2</x:v>
      </x:c>
      <x:c r="N72" s="70" t="n">
        <x:f>M72*'Federation Compiler'!$G$11</x:f>
        <x:v>2</x:v>
      </x:c>
      <x:c r="O72" s="70" t="n">
        <x:f>L72+N72</x:f>
        <x:v>10</x:v>
      </x:c>
      <x:c r="P72" s="70" t="str">
        <x:f>IF(O72&gt;=10,"PASS","FAIL")</x:f>
        <x:v>PASS</x:v>
      </x:c>
      <x:c r="Q72" s="70" t="n">
        <x:f>MAX(0,M72-IF(AND(I72=1,'Federation Compiler'!$F$11=4),1,0))</x:f>
        <x:v>2</x:v>
      </x:c>
      <x:c r="R72" s="70" t="n">
        <x:f>L72+Q72*'Federation Compiler'!$G$11</x:f>
        <x:v>10</x:v>
      </x:c>
      <x:c r="S72" s="70" t="str">
        <x:f>IF(R72&gt;=10,"PASS","FAIL")</x:f>
        <x:v>PASS</x:v>
      </x:c>
      <x:c r="T72" s="70" t="n">
        <x:v>0</x:v>
      </x:c>
      <x:c r="U72" s="70" t="str">
        <x:f>IF(T72&gt;=10,"PASS","FAIL")</x:f>
        <x:v>FAIL</x:v>
      </x:c>
      <x:c r="V72" s="52" t="str">
        <x:v>local hazard footprint crosses site boundaries</x:v>
      </x:c>
    </x:row>
    <x:row r="73">
      <x:c r="B73" s="66" t="str">
        <x:v>G4</x:v>
      </x:c>
      <x:c r="C73" s="66" t="str">
        <x:v>F12</x:v>
      </x:c>
      <x:c r="D73" s="66" t="str">
        <x:v>Entire fixed lattice plus one mode</x:v>
      </x:c>
      <x:c r="E73" s="66" t="n">
        <x:v>1</x:v>
      </x:c>
      <x:c r="F73" s="66" t="n">
        <x:v>0</x:v>
      </x:c>
      <x:c r="G73" s="66" t="n">
        <x:v>0</x:v>
      </x:c>
      <x:c r="H73" s="66" t="n">
        <x:v>1</x:v>
      </x:c>
      <x:c r="I73" s="66" t="n">
        <x:v>0</x:v>
      </x:c>
      <x:c r="J73" s="80" t="n">
        <x:v>1</x:v>
      </x:c>
      <x:c r="K73" s="70" t="n">
        <x:f>IF(H73=1,'Federation Compiler'!$D$11,IF(G73=1,ROUNDUP('Federation Compiler'!$D$11/'Federation Compiler'!$E$11,0),0))</x:f>
        <x:v>10</x:v>
      </x:c>
      <x:c r="L73" s="70" t="n">
        <x:f>MAX(0,ROUND(('Federation Compiler'!$D$11-F73-K73)*J73,0))</x:f>
        <x:v>0</x:v>
      </x:c>
      <x:c r="M73" s="70" t="n">
        <x:f>MAX(0,'Federation Compiler'!$F$11-E73)</x:f>
        <x:v>3</x:v>
      </x:c>
      <x:c r="N73" s="70" t="n">
        <x:f>M73*'Federation Compiler'!$G$11</x:f>
        <x:v>3</x:v>
      </x:c>
      <x:c r="O73" s="70" t="n">
        <x:f>L73+N73</x:f>
        <x:v>3</x:v>
      </x:c>
      <x:c r="P73" s="70" t="str">
        <x:f>IF(O73&gt;=10,"PASS","FAIL")</x:f>
        <x:v>FAIL</x:v>
      </x:c>
      <x:c r="Q73" s="70" t="n">
        <x:f>MAX(0,M73-IF(AND(I73=1,'Federation Compiler'!$F$11=4),1,0))</x:f>
        <x:v>3</x:v>
      </x:c>
      <x:c r="R73" s="70" t="n">
        <x:f>L73+Q73*'Federation Compiler'!$G$11</x:f>
        <x:v>3</x:v>
      </x:c>
      <x:c r="S73" s="70" t="str">
        <x:f>IF(R73&gt;=10,"PASS","FAIL")</x:f>
        <x:v>FAIL</x:v>
      </x:c>
      <x:c r="T73" s="70" t="n">
        <x:v>0</x:v>
      </x:c>
      <x:c r="U73" s="70" t="str">
        <x:f>IF(T73&gt;=10,"PASS","FAIL")</x:f>
        <x:v>FAIL</x:v>
      </x:c>
      <x:c r="V73" s="52" t="str">
        <x:v>national or regional common fixed failure</x:v>
      </x:c>
    </x:row>
    <x:row r="74">
      <x:c r="B74" s="66" t="str">
        <x:v>G4</x:v>
      </x:c>
      <x:c r="C74" s="66" t="str">
        <x:v>F13</x:v>
      </x:c>
      <x:c r="D74" s="66" t="str">
        <x:v>Source domain plus one mode</x:v>
      </x:c>
      <x:c r="E74" s="66" t="n">
        <x:v>1</x:v>
      </x:c>
      <x:c r="F74" s="66" t="n">
        <x:v>0</x:v>
      </x:c>
      <x:c r="G74" s="66" t="n">
        <x:v>1</x:v>
      </x:c>
      <x:c r="H74" s="66" t="n">
        <x:v>0</x:v>
      </x:c>
      <x:c r="I74" s="66" t="n">
        <x:v>0</x:v>
      </x:c>
      <x:c r="J74" s="80" t="n">
        <x:v>1</x:v>
      </x:c>
      <x:c r="K74" s="70" t="n">
        <x:f>IF(H74=1,'Federation Compiler'!$D$11,IF(G74=1,ROUNDUP('Federation Compiler'!$D$11/'Federation Compiler'!$E$11,0),0))</x:f>
        <x:v>2</x:v>
      </x:c>
      <x:c r="L74" s="70" t="n">
        <x:f>MAX(0,ROUND(('Federation Compiler'!$D$11-F74-K74)*J74,0))</x:f>
        <x:v>8</x:v>
      </x:c>
      <x:c r="M74" s="70" t="n">
        <x:f>MAX(0,'Federation Compiler'!$F$11-E74)</x:f>
        <x:v>3</x:v>
      </x:c>
      <x:c r="N74" s="70" t="n">
        <x:f>M74*'Federation Compiler'!$G$11</x:f>
        <x:v>3</x:v>
      </x:c>
      <x:c r="O74" s="70" t="n">
        <x:f>L74+N74</x:f>
        <x:v>11</x:v>
      </x:c>
      <x:c r="P74" s="70" t="str">
        <x:f>IF(O74&gt;=10,"PASS","FAIL")</x:f>
        <x:v>PASS</x:v>
      </x:c>
      <x:c r="Q74" s="70" t="n">
        <x:f>MAX(0,M74-IF(AND(I74=1,'Federation Compiler'!$F$11=4),1,0))</x:f>
        <x:v>3</x:v>
      </x:c>
      <x:c r="R74" s="70" t="n">
        <x:f>L74+Q74*'Federation Compiler'!$G$11</x:f>
        <x:v>11</x:v>
      </x:c>
      <x:c r="S74" s="70" t="str">
        <x:f>IF(R74&gt;=10,"PASS","FAIL")</x:f>
        <x:v>PASS</x:v>
      </x:c>
      <x:c r="T74" s="70" t="n">
        <x:v>0</x:v>
      </x:c>
      <x:c r="U74" s="70" t="str">
        <x:f>IF(T74&gt;=10,"PASS","FAIL")</x:f>
        <x:v>FAIL</x:v>
      </x:c>
      <x:c r="V74" s="52" t="str">
        <x:v>compound ancestry with larger mobile remainder</x:v>
      </x:c>
    </x:row>
    <x:row r="75">
      <x:c r="B75" s="66" t="str">
        <x:v>G4</x:v>
      </x:c>
      <x:c r="C75" s="66" t="str">
        <x:v>F14</x:v>
      </x:c>
      <x:c r="D75" s="66" t="str">
        <x:v>Fixed-island reset at ninety-two percent</x:v>
      </x:c>
      <x:c r="E75" s="66" t="n">
        <x:v>0</x:v>
      </x:c>
      <x:c r="F75" s="66" t="n">
        <x:v>0</x:v>
      </x:c>
      <x:c r="G75" s="66" t="n">
        <x:v>0</x:v>
      </x:c>
      <x:c r="H75" s="66" t="n">
        <x:v>0</x:v>
      </x:c>
      <x:c r="I75" s="66" t="n">
        <x:v>0</x:v>
      </x:c>
      <x:c r="J75" s="80" t="n">
        <x:v>0.92</x:v>
      </x:c>
      <x:c r="K75" s="70" t="n">
        <x:f>IF(H75=1,'Federation Compiler'!$D$11,IF(G75=1,ROUNDUP('Federation Compiler'!$D$11/'Federation Compiler'!$E$11,0),0))</x:f>
        <x:v>0</x:v>
      </x:c>
      <x:c r="L75" s="70" t="n">
        <x:f>MAX(0,ROUND(('Federation Compiler'!$D$11-F75-K75)*J75,0))</x:f>
        <x:v>9</x:v>
      </x:c>
      <x:c r="M75" s="70" t="n">
        <x:f>MAX(0,'Federation Compiler'!$F$11-E75)</x:f>
        <x:v>4</x:v>
      </x:c>
      <x:c r="N75" s="70" t="n">
        <x:f>M75*'Federation Compiler'!$G$11</x:f>
        <x:v>4</x:v>
      </x:c>
      <x:c r="O75" s="70" t="n">
        <x:f>L75+N75</x:f>
        <x:v>13</x:v>
      </x:c>
      <x:c r="P75" s="70" t="str">
        <x:f>IF(O75&gt;=10,"PASS","FAIL")</x:f>
        <x:v>PASS</x:v>
      </x:c>
      <x:c r="Q75" s="70" t="n">
        <x:f>MAX(0,M75-IF(AND(I75=1,'Federation Compiler'!$F$11=4),1,0))</x:f>
        <x:v>4</x:v>
      </x:c>
      <x:c r="R75" s="70" t="n">
        <x:f>L75+Q75*'Federation Compiler'!$G$11</x:f>
        <x:v>13</x:v>
      </x:c>
      <x:c r="S75" s="70" t="str">
        <x:f>IF(R75&gt;=10,"PASS","FAIL")</x:f>
        <x:v>PASS</x:v>
      </x:c>
      <x:c r="T75" s="70" t="n">
        <x:v>0</x:v>
      </x:c>
      <x:c r="U75" s="70" t="str">
        <x:f>IF(T75&gt;=10,"PASS","FAIL")</x:f>
        <x:v>FAIL</x:v>
      </x:c>
      <x:c r="V75" s="52" t="str">
        <x:v>second mission before full repair</x:v>
      </x:c>
    </x:row>
    <x:row r="76">
      <x:c r="B76" s="66" t="str">
        <x:v>G4</x:v>
      </x:c>
      <x:c r="C76" s="66" t="str">
        <x:v>F15</x:v>
      </x:c>
      <x:c r="D76" s="66" t="str">
        <x:v>National pool retains ninety-two percent</x:v>
      </x:c>
      <x:c r="E76" s="66" t="n">
        <x:v>0</x:v>
      </x:c>
      <x:c r="F76" s="66" t="n">
        <x:v>0</x:v>
      </x:c>
      <x:c r="G76" s="66" t="n">
        <x:v>0</x:v>
      </x:c>
      <x:c r="H76" s="66" t="n">
        <x:v>0</x:v>
      </x:c>
      <x:c r="I76" s="66" t="n">
        <x:v>0</x:v>
      </x:c>
      <x:c r="J76" s="80" t="n">
        <x:v>0.92</x:v>
      </x:c>
      <x:c r="K76" s="70" t="n">
        <x:f>IF(H76=1,'Federation Compiler'!$D$11,IF(G76=1,ROUNDUP('Federation Compiler'!$D$11/'Federation Compiler'!$E$11,0),0))</x:f>
        <x:v>0</x:v>
      </x:c>
      <x:c r="L76" s="70" t="n">
        <x:f>MAX(0,ROUND(('Federation Compiler'!$D$11-F76-K76)*J76,0))</x:f>
        <x:v>9</x:v>
      </x:c>
      <x:c r="M76" s="70" t="n">
        <x:f>MAX(0,'Federation Compiler'!$F$11-E76)</x:f>
        <x:v>4</x:v>
      </x:c>
      <x:c r="N76" s="70" t="n">
        <x:f>M76*'Federation Compiler'!$G$11</x:f>
        <x:v>4</x:v>
      </x:c>
      <x:c r="O76" s="70" t="n">
        <x:f>L76+N76</x:f>
        <x:v>13</x:v>
      </x:c>
      <x:c r="P76" s="70" t="str">
        <x:f>IF(O76&gt;=10,"PASS","FAIL")</x:f>
        <x:v>PASS</x:v>
      </x:c>
      <x:c r="Q76" s="70" t="n">
        <x:f>MAX(0,M76-IF(AND(I76=1,'Federation Compiler'!$F$11=4),1,0))</x:f>
        <x:v>4</x:v>
      </x:c>
      <x:c r="R76" s="70" t="n">
        <x:f>L76+Q76*'Federation Compiler'!$G$11</x:f>
        <x:v>13</x:v>
      </x:c>
      <x:c r="S76" s="70" t="str">
        <x:f>IF(R76&gt;=10,"PASS","FAIL")</x:f>
        <x:v>PASS</x:v>
      </x:c>
      <x:c r="T76" s="70" t="n">
        <x:v>0</x:v>
      </x:c>
      <x:c r="U76" s="70" t="str">
        <x:f>IF(T76&gt;=10,"PASS","FAIL")</x:f>
        <x:v>FAIL</x:v>
      </x:c>
      <x:c r="V76" s="52" t="str">
        <x:v>concurrent campaigns and reserve protection</x:v>
      </x:c>
    </x:row>
    <x:row r="77">
      <x:c r="B77" s="66" t="str">
        <x:v>G4</x:v>
      </x:c>
      <x:c r="C77" s="66" t="str">
        <x:v>F16</x:v>
      </x:c>
      <x:c r="D77" s="66" t="str">
        <x:v>Fourth path has no admission credit</x:v>
      </x:c>
      <x:c r="E77" s="66" t="n">
        <x:v>2</x:v>
      </x:c>
      <x:c r="F77" s="66" t="n">
        <x:v>0</x:v>
      </x:c>
      <x:c r="G77" s="66" t="n">
        <x:v>1</x:v>
      </x:c>
      <x:c r="H77" s="66" t="n">
        <x:v>0</x:v>
      </x:c>
      <x:c r="I77" s="66" t="n">
        <x:v>1</x:v>
      </x:c>
      <x:c r="J77" s="80" t="n">
        <x:v>1</x:v>
      </x:c>
      <x:c r="K77" s="70" t="n">
        <x:f>IF(H77=1,'Federation Compiler'!$D$11,IF(G77=1,ROUNDUP('Federation Compiler'!$D$11/'Federation Compiler'!$E$11,0),0))</x:f>
        <x:v>2</x:v>
      </x:c>
      <x:c r="L77" s="70" t="n">
        <x:f>MAX(0,ROUND(('Federation Compiler'!$D$11-F77-K77)*J77,0))</x:f>
        <x:v>8</x:v>
      </x:c>
      <x:c r="M77" s="70" t="n">
        <x:f>MAX(0,'Federation Compiler'!$F$11-E77)</x:f>
        <x:v>2</x:v>
      </x:c>
      <x:c r="N77" s="70" t="n">
        <x:f>M77*'Federation Compiler'!$G$11</x:f>
        <x:v>2</x:v>
      </x:c>
      <x:c r="O77" s="70" t="n">
        <x:f>L77+N77</x:f>
        <x:v>10</x:v>
      </x:c>
      <x:c r="P77" s="70" t="str">
        <x:f>IF(O77&gt;=10,"PASS","FAIL")</x:f>
        <x:v>PASS</x:v>
      </x:c>
      <x:c r="Q77" s="70" t="n">
        <x:f>MAX(0,M77-IF(AND(I77=1,'Federation Compiler'!$F$11=4),1,0))</x:f>
        <x:v>1</x:v>
      </x:c>
      <x:c r="R77" s="70" t="n">
        <x:f>L77+Q77*'Federation Compiler'!$G$11</x:f>
        <x:v>9</x:v>
      </x:c>
      <x:c r="S77" s="70" t="str">
        <x:f>IF(R77&gt;=10,"PASS","FAIL")</x:f>
        <x:v>FAIL</x:v>
      </x:c>
      <x:c r="T77" s="70" t="n">
        <x:v>0</x:v>
      </x:c>
      <x:c r="U77" s="70" t="str">
        <x:f>IF(T77&gt;=10,"PASS","FAIL")</x:f>
        <x:v>FAIL</x:v>
      </x:c>
      <x:c r="V77" s="52" t="str">
        <x:v>unproved fourth path withheld from current credit</x:v>
      </x:c>
    </x:row>
    <x:row r="78">
      <x:c r="B78" s="66" t="str">
        <x:v>G4</x:v>
      </x:c>
      <x:c r="C78" s="66" t="str">
        <x:v>F17</x:v>
      </x:c>
      <x:c r="D78" s="66" t="str">
        <x:v>One island, source domain and one mode</x:v>
      </x:c>
      <x:c r="E78" s="66" t="n">
        <x:v>1</x:v>
      </x:c>
      <x:c r="F78" s="66" t="n">
        <x:v>1</x:v>
      </x:c>
      <x:c r="G78" s="66" t="n">
        <x:v>1</x:v>
      </x:c>
      <x:c r="H78" s="66" t="n">
        <x:v>0</x:v>
      </x:c>
      <x:c r="I78" s="66" t="n">
        <x:v>0</x:v>
      </x:c>
      <x:c r="J78" s="80" t="n">
        <x:v>1</x:v>
      </x:c>
      <x:c r="K78" s="70" t="n">
        <x:f>IF(H78=1,'Federation Compiler'!$D$11,IF(G78=1,ROUNDUP('Federation Compiler'!$D$11/'Federation Compiler'!$E$11,0),0))</x:f>
        <x:v>2</x:v>
      </x:c>
      <x:c r="L78" s="70" t="n">
        <x:f>MAX(0,ROUND(('Federation Compiler'!$D$11-F78-K78)*J78,0))</x:f>
        <x:v>7</x:v>
      </x:c>
      <x:c r="M78" s="70" t="n">
        <x:f>MAX(0,'Federation Compiler'!$F$11-E78)</x:f>
        <x:v>3</x:v>
      </x:c>
      <x:c r="N78" s="70" t="n">
        <x:f>M78*'Federation Compiler'!$G$11</x:f>
        <x:v>3</x:v>
      </x:c>
      <x:c r="O78" s="70" t="n">
        <x:f>L78+N78</x:f>
        <x:v>10</x:v>
      </x:c>
      <x:c r="P78" s="70" t="str">
        <x:f>IF(O78&gt;=10,"PASS","FAIL")</x:f>
        <x:v>PASS</x:v>
      </x:c>
      <x:c r="Q78" s="70" t="n">
        <x:f>MAX(0,M78-IF(AND(I78=1,'Federation Compiler'!$F$11=4),1,0))</x:f>
        <x:v>3</x:v>
      </x:c>
      <x:c r="R78" s="70" t="n">
        <x:f>L78+Q78*'Federation Compiler'!$G$11</x:f>
        <x:v>10</x:v>
      </x:c>
      <x:c r="S78" s="70" t="str">
        <x:f>IF(R78&gt;=10,"PASS","FAIL")</x:f>
        <x:v>PASS</x:v>
      </x:c>
      <x:c r="T78" s="70" t="n">
        <x:v>0</x:v>
      </x:c>
      <x:c r="U78" s="70" t="str">
        <x:f>IF(T78&gt;=10,"PASS","FAIL")</x:f>
        <x:v>FAIL</x:v>
      </x:c>
      <x:c r="V78" s="52" t="str">
        <x:v>physical and ancestry losses stack</x:v>
      </x:c>
    </x:row>
    <x:row r="79">
      <x:c r="B79" s="66" t="str">
        <x:v>G4</x:v>
      </x:c>
      <x:c r="C79" s="66" t="str">
        <x:v>F18</x:v>
      </x:c>
      <x:c r="D79" s="66" t="str">
        <x:v>Internal island evidence withheld</x:v>
      </x:c>
      <x:c r="E79" s="66" t="n">
        <x:v>0</x:v>
      </x:c>
      <x:c r="F79" s="66" t="n">
        <x:v>0</x:v>
      </x:c>
      <x:c r="G79" s="66" t="n">
        <x:v>0</x:v>
      </x:c>
      <x:c r="H79" s="66" t="n">
        <x:v>0</x:v>
      </x:c>
      <x:c r="I79" s="66" t="n">
        <x:v>0</x:v>
      </x:c>
      <x:c r="J79" s="80" t="n">
        <x:v>0</x:v>
      </x:c>
      <x:c r="K79" s="70" t="n">
        <x:f>IF(H79=1,'Federation Compiler'!$D$11,IF(G79=1,ROUNDUP('Federation Compiler'!$D$11/'Federation Compiler'!$E$11,0),0))</x:f>
        <x:v>0</x:v>
      </x:c>
      <x:c r="L79" s="70" t="n">
        <x:f>MAX(0,ROUND(('Federation Compiler'!$D$11-F79-K79)*J79,0))</x:f>
        <x:v>0</x:v>
      </x:c>
      <x:c r="M79" s="70" t="n">
        <x:f>MAX(0,'Federation Compiler'!$F$11-E79)</x:f>
        <x:v>4</x:v>
      </x:c>
      <x:c r="N79" s="70" t="n">
        <x:f>M79*'Federation Compiler'!$G$11</x:f>
        <x:v>4</x:v>
      </x:c>
      <x:c r="O79" s="70" t="n">
        <x:f>L79+N79</x:f>
        <x:v>4</x:v>
      </x:c>
      <x:c r="P79" s="70" t="str">
        <x:f>IF(O79&gt;=10,"PASS","FAIL")</x:f>
        <x:v>FAIL</x:v>
      </x:c>
      <x:c r="Q79" s="70" t="n">
        <x:f>MAX(0,M79-IF(AND(I79=1,'Federation Compiler'!$F$11=4),1,0))</x:f>
        <x:v>4</x:v>
      </x:c>
      <x:c r="R79" s="70" t="n">
        <x:f>L79+Q79*'Federation Compiler'!$G$11</x:f>
        <x:v>4</x:v>
      </x:c>
      <x:c r="S79" s="70" t="str">
        <x:f>IF(R79&gt;=10,"PASS","FAIL")</x:f>
        <x:v>FAIL</x:v>
      </x:c>
      <x:c r="T79" s="70" t="n">
        <x:v>0</x:v>
      </x:c>
      <x:c r="U79" s="70" t="str">
        <x:f>IF(T79&gt;=10,"PASS","FAIL")</x:f>
        <x:v>FAIL</x:v>
      </x:c>
      <x:c r="V79" s="52" t="str">
        <x:v>strict admission remains zero for every federation</x:v>
      </x:c>
    </x:row>
    <x:row r="80">
      <x:c r="B80" s="66" t="str">
        <x:v>G5</x:v>
      </x:c>
      <x:c r="C80" s="66" t="str">
        <x:v>F01</x:v>
      </x:c>
      <x:c r="D80" s="66" t="str">
        <x:v>Baseline release</x:v>
      </x:c>
      <x:c r="E80" s="66" t="n">
        <x:v>0</x:v>
      </x:c>
      <x:c r="F80" s="66" t="n">
        <x:v>0</x:v>
      </x:c>
      <x:c r="G80" s="66" t="n">
        <x:v>0</x:v>
      </x:c>
      <x:c r="H80" s="66" t="n">
        <x:v>0</x:v>
      </x:c>
      <x:c r="I80" s="66" t="n">
        <x:v>0</x:v>
      </x:c>
      <x:c r="J80" s="80" t="n">
        <x:v>1</x:v>
      </x:c>
      <x:c r="K80" s="70" t="n">
        <x:f>IF(H80=1,'Federation Compiler'!$D$12,IF(G80=1,ROUNDUP('Federation Compiler'!$D$12/'Federation Compiler'!$E$12,0),0))</x:f>
        <x:v>0</x:v>
      </x:c>
      <x:c r="L80" s="70" t="n">
        <x:f>MAX(0,ROUND(('Federation Compiler'!$D$12-F80-K80)*J80,0))</x:f>
        <x:v>10</x:v>
      </x:c>
      <x:c r="M80" s="70" t="n">
        <x:f>MAX(0,'Federation Compiler'!$F$12-E80)</x:f>
        <x:v>3</x:v>
      </x:c>
      <x:c r="N80" s="70" t="n">
        <x:f>M80*'Federation Compiler'!$G$12</x:f>
        <x:v>6</x:v>
      </x:c>
      <x:c r="O80" s="70" t="n">
        <x:f>L80+N80</x:f>
        <x:v>16</x:v>
      </x:c>
      <x:c r="P80" s="70" t="str">
        <x:f>IF(O80&gt;=10,"PASS","FAIL")</x:f>
        <x:v>PASS</x:v>
      </x:c>
      <x:c r="Q80" s="70" t="n">
        <x:f>MAX(0,M80-IF(AND(I80=1,'Federation Compiler'!$F$12=4),1,0))</x:f>
        <x:v>3</x:v>
      </x:c>
      <x:c r="R80" s="70" t="n">
        <x:f>L80+Q80*'Federation Compiler'!$G$12</x:f>
        <x:v>16</x:v>
      </x:c>
      <x:c r="S80" s="70" t="str">
        <x:f>IF(R80&gt;=10,"PASS","FAIL")</x:f>
        <x:v>PASS</x:v>
      </x:c>
      <x:c r="T80" s="70" t="n">
        <x:v>0</x:v>
      </x:c>
      <x:c r="U80" s="70" t="str">
        <x:f>IF(T80&gt;=10,"PASS","FAIL")</x:f>
        <x:v>FAIL</x:v>
      </x:c>
      <x:c r="V80" s="52" t="str">
        <x:v>all packages available</x:v>
      </x:c>
    </x:row>
    <x:row r="81">
      <x:c r="B81" s="66" t="str">
        <x:v>G5</x:v>
      </x:c>
      <x:c r="C81" s="66" t="str">
        <x:v>F02</x:v>
      </x:c>
      <x:c r="D81" s="66" t="str">
        <x:v>Any two legacy modes lost</x:v>
      </x:c>
      <x:c r="E81" s="66" t="n">
        <x:v>2</x:v>
      </x:c>
      <x:c r="F81" s="66" t="n">
        <x:v>0</x:v>
      </x:c>
      <x:c r="G81" s="66" t="n">
        <x:v>0</x:v>
      </x:c>
      <x:c r="H81" s="66" t="n">
        <x:v>0</x:v>
      </x:c>
      <x:c r="I81" s="66" t="n">
        <x:v>0</x:v>
      </x:c>
      <x:c r="J81" s="80" t="n">
        <x:v>1</x:v>
      </x:c>
      <x:c r="K81" s="70" t="n">
        <x:f>IF(H81=1,'Federation Compiler'!$D$12,IF(G81=1,ROUNDUP('Federation Compiler'!$D$12/'Federation Compiler'!$E$12,0),0))</x:f>
        <x:v>0</x:v>
      </x:c>
      <x:c r="L81" s="70" t="n">
        <x:f>MAX(0,ROUND(('Federation Compiler'!$D$12-F81-K81)*J81,0))</x:f>
        <x:v>10</x:v>
      </x:c>
      <x:c r="M81" s="70" t="n">
        <x:f>MAX(0,'Federation Compiler'!$F$12-E81)</x:f>
        <x:v>1</x:v>
      </x:c>
      <x:c r="N81" s="70" t="n">
        <x:f>M81*'Federation Compiler'!$G$12</x:f>
        <x:v>2</x:v>
      </x:c>
      <x:c r="O81" s="70" t="n">
        <x:f>L81+N81</x:f>
        <x:v>12</x:v>
      </x:c>
      <x:c r="P81" s="70" t="str">
        <x:f>IF(O81&gt;=10,"PASS","FAIL")</x:f>
        <x:v>PASS</x:v>
      </x:c>
      <x:c r="Q81" s="70" t="n">
        <x:f>MAX(0,M81-IF(AND(I81=1,'Federation Compiler'!$F$12=4),1,0))</x:f>
        <x:v>1</x:v>
      </x:c>
      <x:c r="R81" s="70" t="n">
        <x:f>L81+Q81*'Federation Compiler'!$G$12</x:f>
        <x:v>12</x:v>
      </x:c>
      <x:c r="S81" s="70" t="str">
        <x:f>IF(R81&gt;=10,"PASS","FAIL")</x:f>
        <x:v>PASS</x:v>
      </x:c>
      <x:c r="T81" s="70" t="n">
        <x:v>0</x:v>
      </x:c>
      <x:c r="U81" s="70" t="str">
        <x:f>IF(T81&gt;=10,"PASS","FAIL")</x:f>
        <x:v>FAIL</x:v>
      </x:c>
      <x:c r="V81" s="52" t="str">
        <x:v>Pass 75 access guarantee</x:v>
      </x:c>
    </x:row>
    <x:row r="82">
      <x:c r="B82" s="66" t="str">
        <x:v>G5</x:v>
      </x:c>
      <x:c r="C82" s="66" t="str">
        <x:v>F03</x:v>
      </x:c>
      <x:c r="D82" s="66" t="str">
        <x:v>One physical island plus two modes</x:v>
      </x:c>
      <x:c r="E82" s="66" t="n">
        <x:v>2</x:v>
      </x:c>
      <x:c r="F82" s="66" t="n">
        <x:v>1</x:v>
      </x:c>
      <x:c r="G82" s="66" t="n">
        <x:v>0</x:v>
      </x:c>
      <x:c r="H82" s="66" t="n">
        <x:v>0</x:v>
      </x:c>
      <x:c r="I82" s="66" t="n">
        <x:v>0</x:v>
      </x:c>
      <x:c r="J82" s="80" t="n">
        <x:v>1</x:v>
      </x:c>
      <x:c r="K82" s="70" t="n">
        <x:f>IF(H82=1,'Federation Compiler'!$D$12,IF(G82=1,ROUNDUP('Federation Compiler'!$D$12/'Federation Compiler'!$E$12,0),0))</x:f>
        <x:v>0</x:v>
      </x:c>
      <x:c r="L82" s="70" t="n">
        <x:f>MAX(0,ROUND(('Federation Compiler'!$D$12-F82-K82)*J82,0))</x:f>
        <x:v>9</x:v>
      </x:c>
      <x:c r="M82" s="70" t="n">
        <x:f>MAX(0,'Federation Compiler'!$F$12-E82)</x:f>
        <x:v>1</x:v>
      </x:c>
      <x:c r="N82" s="70" t="n">
        <x:f>M82*'Federation Compiler'!$G$12</x:f>
        <x:v>2</x:v>
      </x:c>
      <x:c r="O82" s="70" t="n">
        <x:f>L82+N82</x:f>
        <x:v>11</x:v>
      </x:c>
      <x:c r="P82" s="70" t="str">
        <x:f>IF(O82&gt;=10,"PASS","FAIL")</x:f>
        <x:v>PASS</x:v>
      </x:c>
      <x:c r="Q82" s="70" t="n">
        <x:f>MAX(0,M82-IF(AND(I82=1,'Federation Compiler'!$F$12=4),1,0))</x:f>
        <x:v>1</x:v>
      </x:c>
      <x:c r="R82" s="70" t="n">
        <x:f>L82+Q82*'Federation Compiler'!$G$12</x:f>
        <x:v>11</x:v>
      </x:c>
      <x:c r="S82" s="70" t="str">
        <x:f>IF(R82&gt;=10,"PASS","FAIL")</x:f>
        <x:v>PASS</x:v>
      </x:c>
      <x:c r="T82" s="70" t="n">
        <x:v>0</x:v>
      </x:c>
      <x:c r="U82" s="70" t="str">
        <x:f>IF(T82&gt;=10,"PASS","FAIL")</x:f>
        <x:v>FAIL</x:v>
      </x:c>
      <x:c r="V82" s="52" t="str">
        <x:v>original T7 promise</x:v>
      </x:c>
    </x:row>
    <x:row r="83">
      <x:c r="B83" s="66" t="str">
        <x:v>G5</x:v>
      </x:c>
      <x:c r="C83" s="66" t="str">
        <x:v>F04</x:v>
      </x:c>
      <x:c r="D83" s="66" t="str">
        <x:v>Source domain plus two modes</x:v>
      </x:c>
      <x:c r="E83" s="66" t="n">
        <x:v>2</x:v>
      </x:c>
      <x:c r="F83" s="66" t="n">
        <x:v>0</x:v>
      </x:c>
      <x:c r="G83" s="66" t="n">
        <x:v>1</x:v>
      </x:c>
      <x:c r="H83" s="66" t="n">
        <x:v>0</x:v>
      </x:c>
      <x:c r="I83" s="66" t="n">
        <x:v>0</x:v>
      </x:c>
      <x:c r="J83" s="80" t="n">
        <x:v>1</x:v>
      </x:c>
      <x:c r="K83" s="70" t="n">
        <x:f>IF(H83=1,'Federation Compiler'!$D$12,IF(G83=1,ROUNDUP('Federation Compiler'!$D$12/'Federation Compiler'!$E$12,0),0))</x:f>
        <x:v>2</x:v>
      </x:c>
      <x:c r="L83" s="70" t="n">
        <x:f>MAX(0,ROUND(('Federation Compiler'!$D$12-F83-K83)*J83,0))</x:f>
        <x:v>8</x:v>
      </x:c>
      <x:c r="M83" s="70" t="n">
        <x:f>MAX(0,'Federation Compiler'!$F$12-E83)</x:f>
        <x:v>1</x:v>
      </x:c>
      <x:c r="N83" s="70" t="n">
        <x:f>M83*'Federation Compiler'!$G$12</x:f>
        <x:v>2</x:v>
      </x:c>
      <x:c r="O83" s="70" t="n">
        <x:f>L83+N83</x:f>
        <x:v>10</x:v>
      </x:c>
      <x:c r="P83" s="70" t="str">
        <x:f>IF(O83&gt;=10,"PASS","FAIL")</x:f>
        <x:v>PASS</x:v>
      </x:c>
      <x:c r="Q83" s="70" t="n">
        <x:f>MAX(0,M83-IF(AND(I83=1,'Federation Compiler'!$F$12=4),1,0))</x:f>
        <x:v>1</x:v>
      </x:c>
      <x:c r="R83" s="70" t="n">
        <x:f>L83+Q83*'Federation Compiler'!$G$12</x:f>
        <x:v>10</x:v>
      </x:c>
      <x:c r="S83" s="70" t="str">
        <x:f>IF(R83&gt;=10,"PASS","FAIL")</x:f>
        <x:v>PASS</x:v>
      </x:c>
      <x:c r="T83" s="70" t="n">
        <x:v>0</x:v>
      </x:c>
      <x:c r="U83" s="70" t="str">
        <x:f>IF(T83&gt;=10,"PASS","FAIL")</x:f>
        <x:v>FAIL</x:v>
      </x:c>
      <x:c r="V83" s="52" t="str">
        <x:v>correlated energy ancestry</x:v>
      </x:c>
    </x:row>
    <x:row r="84">
      <x:c r="B84" s="66" t="str">
        <x:v>G5</x:v>
      </x:c>
      <x:c r="C84" s="66" t="str">
        <x:v>F05</x:v>
      </x:c>
      <x:c r="D84" s="66" t="str">
        <x:v>Heat domain plus two modes</x:v>
      </x:c>
      <x:c r="E84" s="66" t="n">
        <x:v>2</x:v>
      </x:c>
      <x:c r="F84" s="66" t="n">
        <x:v>0</x:v>
      </x:c>
      <x:c r="G84" s="66" t="n">
        <x:v>1</x:v>
      </x:c>
      <x:c r="H84" s="66" t="n">
        <x:v>0</x:v>
      </x:c>
      <x:c r="I84" s="66" t="n">
        <x:v>0</x:v>
      </x:c>
      <x:c r="J84" s="80" t="n">
        <x:v>1</x:v>
      </x:c>
      <x:c r="K84" s="70" t="n">
        <x:f>IF(H84=1,'Federation Compiler'!$D$12,IF(G84=1,ROUNDUP('Federation Compiler'!$D$12/'Federation Compiler'!$E$12,0),0))</x:f>
        <x:v>2</x:v>
      </x:c>
      <x:c r="L84" s="70" t="n">
        <x:f>MAX(0,ROUND(('Federation Compiler'!$D$12-F84-K84)*J84,0))</x:f>
        <x:v>8</x:v>
      </x:c>
      <x:c r="M84" s="70" t="n">
        <x:f>MAX(0,'Federation Compiler'!$F$12-E84)</x:f>
        <x:v>1</x:v>
      </x:c>
      <x:c r="N84" s="70" t="n">
        <x:f>M84*'Federation Compiler'!$G$12</x:f>
        <x:v>2</x:v>
      </x:c>
      <x:c r="O84" s="70" t="n">
        <x:f>L84+N84</x:f>
        <x:v>10</x:v>
      </x:c>
      <x:c r="P84" s="70" t="str">
        <x:f>IF(O84&gt;=10,"PASS","FAIL")</x:f>
        <x:v>PASS</x:v>
      </x:c>
      <x:c r="Q84" s="70" t="n">
        <x:f>MAX(0,M84-IF(AND(I84=1,'Federation Compiler'!$F$12=4),1,0))</x:f>
        <x:v>1</x:v>
      </x:c>
      <x:c r="R84" s="70" t="n">
        <x:f>L84+Q84*'Federation Compiler'!$G$12</x:f>
        <x:v>10</x:v>
      </x:c>
      <x:c r="S84" s="70" t="str">
        <x:f>IF(R84&gt;=10,"PASS","FAIL")</x:f>
        <x:v>PASS</x:v>
      </x:c>
      <x:c r="T84" s="70" t="n">
        <x:v>0</x:v>
      </x:c>
      <x:c r="U84" s="70" t="str">
        <x:f>IF(T84&gt;=10,"PASS","FAIL")</x:f>
        <x:v>FAIL</x:v>
      </x:c>
      <x:c r="V84" s="52" t="str">
        <x:v>correlated final heat destination</x:v>
      </x:c>
    </x:row>
    <x:row r="85">
      <x:c r="B85" s="66" t="str">
        <x:v>G5</x:v>
      </x:c>
      <x:c r="C85" s="66" t="str">
        <x:v>F06</x:v>
      </x:c>
      <x:c r="D85" s="66" t="str">
        <x:v>Control domain plus two modes</x:v>
      </x:c>
      <x:c r="E85" s="66" t="n">
        <x:v>2</x:v>
      </x:c>
      <x:c r="F85" s="66" t="n">
        <x:v>0</x:v>
      </x:c>
      <x:c r="G85" s="66" t="n">
        <x:v>1</x:v>
      </x:c>
      <x:c r="H85" s="66" t="n">
        <x:v>0</x:v>
      </x:c>
      <x:c r="I85" s="66" t="n">
        <x:v>0</x:v>
      </x:c>
      <x:c r="J85" s="80" t="n">
        <x:v>1</x:v>
      </x:c>
      <x:c r="K85" s="70" t="n">
        <x:f>IF(H85=1,'Federation Compiler'!$D$12,IF(G85=1,ROUNDUP('Federation Compiler'!$D$12/'Federation Compiler'!$E$12,0),0))</x:f>
        <x:v>2</x:v>
      </x:c>
      <x:c r="L85" s="70" t="n">
        <x:f>MAX(0,ROUND(('Federation Compiler'!$D$12-F85-K85)*J85,0))</x:f>
        <x:v>8</x:v>
      </x:c>
      <x:c r="M85" s="70" t="n">
        <x:f>MAX(0,'Federation Compiler'!$F$12-E85)</x:f>
        <x:v>1</x:v>
      </x:c>
      <x:c r="N85" s="70" t="n">
        <x:f>M85*'Federation Compiler'!$G$12</x:f>
        <x:v>2</x:v>
      </x:c>
      <x:c r="O85" s="70" t="n">
        <x:f>L85+N85</x:f>
        <x:v>10</x:v>
      </x:c>
      <x:c r="P85" s="70" t="str">
        <x:f>IF(O85&gt;=10,"PASS","FAIL")</x:f>
        <x:v>PASS</x:v>
      </x:c>
      <x:c r="Q85" s="70" t="n">
        <x:f>MAX(0,M85-IF(AND(I85=1,'Federation Compiler'!$F$12=4),1,0))</x:f>
        <x:v>1</x:v>
      </x:c>
      <x:c r="R85" s="70" t="n">
        <x:f>L85+Q85*'Federation Compiler'!$G$12</x:f>
        <x:v>10</x:v>
      </x:c>
      <x:c r="S85" s="70" t="str">
        <x:f>IF(R85&gt;=10,"PASS","FAIL")</x:f>
        <x:v>PASS</x:v>
      </x:c>
      <x:c r="T85" s="70" t="n">
        <x:v>0</x:v>
      </x:c>
      <x:c r="U85" s="70" t="str">
        <x:f>IF(T85&gt;=10,"PASS","FAIL")</x:f>
        <x:v>FAIL</x:v>
      </x:c>
      <x:c r="V85" s="52" t="str">
        <x:v>common control or signing root</x:v>
      </x:c>
    </x:row>
    <x:row r="86">
      <x:c r="B86" s="66" t="str">
        <x:v>G5</x:v>
      </x:c>
      <x:c r="C86" s="66" t="str">
        <x:v>F07</x:v>
      </x:c>
      <x:c r="D86" s="66" t="str">
        <x:v>Workforce domain plus two modes</x:v>
      </x:c>
      <x:c r="E86" s="66" t="n">
        <x:v>2</x:v>
      </x:c>
      <x:c r="F86" s="66" t="n">
        <x:v>0</x:v>
      </x:c>
      <x:c r="G86" s="66" t="n">
        <x:v>1</x:v>
      </x:c>
      <x:c r="H86" s="66" t="n">
        <x:v>0</x:v>
      </x:c>
      <x:c r="I86" s="66" t="n">
        <x:v>0</x:v>
      </x:c>
      <x:c r="J86" s="80" t="n">
        <x:v>1</x:v>
      </x:c>
      <x:c r="K86" s="70" t="n">
        <x:f>IF(H86=1,'Federation Compiler'!$D$12,IF(G86=1,ROUNDUP('Federation Compiler'!$D$12/'Federation Compiler'!$E$12,0),0))</x:f>
        <x:v>2</x:v>
      </x:c>
      <x:c r="L86" s="70" t="n">
        <x:f>MAX(0,ROUND(('Federation Compiler'!$D$12-F86-K86)*J86,0))</x:f>
        <x:v>8</x:v>
      </x:c>
      <x:c r="M86" s="70" t="n">
        <x:f>MAX(0,'Federation Compiler'!$F$12-E86)</x:f>
        <x:v>1</x:v>
      </x:c>
      <x:c r="N86" s="70" t="n">
        <x:f>M86*'Federation Compiler'!$G$12</x:f>
        <x:v>2</x:v>
      </x:c>
      <x:c r="O86" s="70" t="n">
        <x:f>L86+N86</x:f>
        <x:v>10</x:v>
      </x:c>
      <x:c r="P86" s="70" t="str">
        <x:f>IF(O86&gt;=10,"PASS","FAIL")</x:f>
        <x:v>PASS</x:v>
      </x:c>
      <x:c r="Q86" s="70" t="n">
        <x:f>MAX(0,M86-IF(AND(I86=1,'Federation Compiler'!$F$12=4),1,0))</x:f>
        <x:v>1</x:v>
      </x:c>
      <x:c r="R86" s="70" t="n">
        <x:f>L86+Q86*'Federation Compiler'!$G$12</x:f>
        <x:v>10</x:v>
      </x:c>
      <x:c r="S86" s="70" t="str">
        <x:f>IF(R86&gt;=10,"PASS","FAIL")</x:f>
        <x:v>PASS</x:v>
      </x:c>
      <x:c r="T86" s="70" t="n">
        <x:v>0</x:v>
      </x:c>
      <x:c r="U86" s="70" t="str">
        <x:f>IF(T86&gt;=10,"PASS","FAIL")</x:f>
        <x:v>FAIL</x:v>
      </x:c>
      <x:c r="V86" s="52" t="str">
        <x:v>school and credential lineage</x:v>
      </x:c>
    </x:row>
    <x:row r="87">
      <x:c r="B87" s="66" t="str">
        <x:v>G5</x:v>
      </x:c>
      <x:c r="C87" s="66" t="str">
        <x:v>F08</x:v>
      </x:c>
      <x:c r="D87" s="66" t="str">
        <x:v>Supplier domain plus two modes</x:v>
      </x:c>
      <x:c r="E87" s="66" t="n">
        <x:v>2</x:v>
      </x:c>
      <x:c r="F87" s="66" t="n">
        <x:v>0</x:v>
      </x:c>
      <x:c r="G87" s="66" t="n">
        <x:v>1</x:v>
      </x:c>
      <x:c r="H87" s="66" t="n">
        <x:v>0</x:v>
      </x:c>
      <x:c r="I87" s="66" t="n">
        <x:v>0</x:v>
      </x:c>
      <x:c r="J87" s="80" t="n">
        <x:v>1</x:v>
      </x:c>
      <x:c r="K87" s="70" t="n">
        <x:f>IF(H87=1,'Federation Compiler'!$D$12,IF(G87=1,ROUNDUP('Federation Compiler'!$D$12/'Federation Compiler'!$E$12,0),0))</x:f>
        <x:v>2</x:v>
      </x:c>
      <x:c r="L87" s="70" t="n">
        <x:f>MAX(0,ROUND(('Federation Compiler'!$D$12-F87-K87)*J87,0))</x:f>
        <x:v>8</x:v>
      </x:c>
      <x:c r="M87" s="70" t="n">
        <x:f>MAX(0,'Federation Compiler'!$F$12-E87)</x:f>
        <x:v>1</x:v>
      </x:c>
      <x:c r="N87" s="70" t="n">
        <x:f>M87*'Federation Compiler'!$G$12</x:f>
        <x:v>2</x:v>
      </x:c>
      <x:c r="O87" s="70" t="n">
        <x:f>L87+N87</x:f>
        <x:v>10</x:v>
      </x:c>
      <x:c r="P87" s="70" t="str">
        <x:f>IF(O87&gt;=10,"PASS","FAIL")</x:f>
        <x:v>PASS</x:v>
      </x:c>
      <x:c r="Q87" s="70" t="n">
        <x:f>MAX(0,M87-IF(AND(I87=1,'Federation Compiler'!$F$12=4),1,0))</x:f>
        <x:v>1</x:v>
      </x:c>
      <x:c r="R87" s="70" t="n">
        <x:f>L87+Q87*'Federation Compiler'!$G$12</x:f>
        <x:v>10</x:v>
      </x:c>
      <x:c r="S87" s="70" t="str">
        <x:f>IF(R87&gt;=10,"PASS","FAIL")</x:f>
        <x:v>PASS</x:v>
      </x:c>
      <x:c r="T87" s="70" t="n">
        <x:v>0</x:v>
      </x:c>
      <x:c r="U87" s="70" t="str">
        <x:f>IF(T87&gt;=10,"PASS","FAIL")</x:f>
        <x:v>FAIL</x:v>
      </x:c>
      <x:c r="V87" s="52" t="str">
        <x:v>upstream factory or material lineage</x:v>
      </x:c>
    </x:row>
    <x:row r="88">
      <x:c r="B88" s="66" t="str">
        <x:v>G5</x:v>
      </x:c>
      <x:c r="C88" s="66" t="str">
        <x:v>F09</x:v>
      </x:c>
      <x:c r="D88" s="66" t="str">
        <x:v>Authority domain plus two modes</x:v>
      </x:c>
      <x:c r="E88" s="66" t="n">
        <x:v>2</x:v>
      </x:c>
      <x:c r="F88" s="66" t="n">
        <x:v>0</x:v>
      </x:c>
      <x:c r="G88" s="66" t="n">
        <x:v>1</x:v>
      </x:c>
      <x:c r="H88" s="66" t="n">
        <x:v>0</x:v>
      </x:c>
      <x:c r="I88" s="66" t="n">
        <x:v>0</x:v>
      </x:c>
      <x:c r="J88" s="80" t="n">
        <x:v>1</x:v>
      </x:c>
      <x:c r="K88" s="70" t="n">
        <x:f>IF(H88=1,'Federation Compiler'!$D$12,IF(G88=1,ROUNDUP('Federation Compiler'!$D$12/'Federation Compiler'!$E$12,0),0))</x:f>
        <x:v>2</x:v>
      </x:c>
      <x:c r="L88" s="70" t="n">
        <x:f>MAX(0,ROUND(('Federation Compiler'!$D$12-F88-K88)*J88,0))</x:f>
        <x:v>8</x:v>
      </x:c>
      <x:c r="M88" s="70" t="n">
        <x:f>MAX(0,'Federation Compiler'!$F$12-E88)</x:f>
        <x:v>1</x:v>
      </x:c>
      <x:c r="N88" s="70" t="n">
        <x:f>M88*'Federation Compiler'!$G$12</x:f>
        <x:v>2</x:v>
      </x:c>
      <x:c r="O88" s="70" t="n">
        <x:f>L88+N88</x:f>
        <x:v>10</x:v>
      </x:c>
      <x:c r="P88" s="70" t="str">
        <x:f>IF(O88&gt;=10,"PASS","FAIL")</x:f>
        <x:v>PASS</x:v>
      </x:c>
      <x:c r="Q88" s="70" t="n">
        <x:f>MAX(0,M88-IF(AND(I88=1,'Federation Compiler'!$F$12=4),1,0))</x:f>
        <x:v>1</x:v>
      </x:c>
      <x:c r="R88" s="70" t="n">
        <x:f>L88+Q88*'Federation Compiler'!$G$12</x:f>
        <x:v>10</x:v>
      </x:c>
      <x:c r="S88" s="70" t="str">
        <x:f>IF(R88&gt;=10,"PASS","FAIL")</x:f>
        <x:v>PASS</x:v>
      </x:c>
      <x:c r="T88" s="70" t="n">
        <x:v>0</x:v>
      </x:c>
      <x:c r="U88" s="70" t="str">
        <x:f>IF(T88&gt;=10,"PASS","FAIL")</x:f>
        <x:v>FAIL</x:v>
      </x:c>
      <x:c r="V88" s="52" t="str">
        <x:v>civil release and appeal path</x:v>
      </x:c>
    </x:row>
    <x:row r="89">
      <x:c r="B89" s="66" t="str">
        <x:v>G5</x:v>
      </x:c>
      <x:c r="C89" s="66" t="str">
        <x:v>F10</x:v>
      </x:c>
      <x:c r="D89" s="66" t="str">
        <x:v>One island plus all three legacy modes</x:v>
      </x:c>
      <x:c r="E89" s="66" t="n">
        <x:v>3</x:v>
      </x:c>
      <x:c r="F89" s="66" t="n">
        <x:v>1</x:v>
      </x:c>
      <x:c r="G89" s="66" t="n">
        <x:v>0</x:v>
      </x:c>
      <x:c r="H89" s="66" t="n">
        <x:v>0</x:v>
      </x:c>
      <x:c r="I89" s="66" t="n">
        <x:v>0</x:v>
      </x:c>
      <x:c r="J89" s="80" t="n">
        <x:v>1</x:v>
      </x:c>
      <x:c r="K89" s="70" t="n">
        <x:f>IF(H89=1,'Federation Compiler'!$D$12,IF(G89=1,ROUNDUP('Federation Compiler'!$D$12/'Federation Compiler'!$E$12,0),0))</x:f>
        <x:v>0</x:v>
      </x:c>
      <x:c r="L89" s="70" t="n">
        <x:f>MAX(0,ROUND(('Federation Compiler'!$D$12-F89-K89)*J89,0))</x:f>
        <x:v>9</x:v>
      </x:c>
      <x:c r="M89" s="70" t="n">
        <x:f>MAX(0,'Federation Compiler'!$F$12-E89)</x:f>
        <x:v>0</x:v>
      </x:c>
      <x:c r="N89" s="70" t="n">
        <x:f>M89*'Federation Compiler'!$G$12</x:f>
        <x:v>0</x:v>
      </x:c>
      <x:c r="O89" s="70" t="n">
        <x:f>L89+N89</x:f>
        <x:v>9</x:v>
      </x:c>
      <x:c r="P89" s="70" t="str">
        <x:f>IF(O89&gt;=10,"PASS","FAIL")</x:f>
        <x:v>FAIL</x:v>
      </x:c>
      <x:c r="Q89" s="70" t="n">
        <x:f>MAX(0,M89-IF(AND(I89=1,'Federation Compiler'!$F$12=4),1,0))</x:f>
        <x:v>0</x:v>
      </x:c>
      <x:c r="R89" s="70" t="n">
        <x:f>L89+Q89*'Federation Compiler'!$G$12</x:f>
        <x:v>9</x:v>
      </x:c>
      <x:c r="S89" s="70" t="str">
        <x:f>IF(R89&gt;=10,"PASS","FAIL")</x:f>
        <x:v>FAIL</x:v>
      </x:c>
      <x:c r="T89" s="70" t="n">
        <x:v>0</x:v>
      </x:c>
      <x:c r="U89" s="70" t="str">
        <x:f>IF(T89&gt;=10,"PASS","FAIL")</x:f>
        <x:v>FAIL</x:v>
      </x:c>
      <x:c r="V89" s="52" t="str">
        <x:v>fixed lattice without mobile rescue</x:v>
      </x:c>
    </x:row>
    <x:row r="90">
      <x:c r="B90" s="66" t="str">
        <x:v>G5</x:v>
      </x:c>
      <x:c r="C90" s="66" t="str">
        <x:v>F11</x:v>
      </x:c>
      <x:c r="D90" s="66" t="str">
        <x:v>Two adjacent islands plus two modes</x:v>
      </x:c>
      <x:c r="E90" s="66" t="n">
        <x:v>2</x:v>
      </x:c>
      <x:c r="F90" s="66" t="n">
        <x:v>2</x:v>
      </x:c>
      <x:c r="G90" s="66" t="n">
        <x:v>0</x:v>
      </x:c>
      <x:c r="H90" s="66" t="n">
        <x:v>0</x:v>
      </x:c>
      <x:c r="I90" s="66" t="n">
        <x:v>0</x:v>
      </x:c>
      <x:c r="J90" s="80" t="n">
        <x:v>1</x:v>
      </x:c>
      <x:c r="K90" s="70" t="n">
        <x:f>IF(H90=1,'Federation Compiler'!$D$12,IF(G90=1,ROUNDUP('Federation Compiler'!$D$12/'Federation Compiler'!$E$12,0),0))</x:f>
        <x:v>0</x:v>
      </x:c>
      <x:c r="L90" s="70" t="n">
        <x:f>MAX(0,ROUND(('Federation Compiler'!$D$12-F90-K90)*J90,0))</x:f>
        <x:v>8</x:v>
      </x:c>
      <x:c r="M90" s="70" t="n">
        <x:f>MAX(0,'Federation Compiler'!$F$12-E90)</x:f>
        <x:v>1</x:v>
      </x:c>
      <x:c r="N90" s="70" t="n">
        <x:f>M90*'Federation Compiler'!$G$12</x:f>
        <x:v>2</x:v>
      </x:c>
      <x:c r="O90" s="70" t="n">
        <x:f>L90+N90</x:f>
        <x:v>10</x:v>
      </x:c>
      <x:c r="P90" s="70" t="str">
        <x:f>IF(O90&gt;=10,"PASS","FAIL")</x:f>
        <x:v>PASS</x:v>
      </x:c>
      <x:c r="Q90" s="70" t="n">
        <x:f>MAX(0,M90-IF(AND(I90=1,'Federation Compiler'!$F$12=4),1,0))</x:f>
        <x:v>1</x:v>
      </x:c>
      <x:c r="R90" s="70" t="n">
        <x:f>L90+Q90*'Federation Compiler'!$G$12</x:f>
        <x:v>10</x:v>
      </x:c>
      <x:c r="S90" s="70" t="str">
        <x:f>IF(R90&gt;=10,"PASS","FAIL")</x:f>
        <x:v>PASS</x:v>
      </x:c>
      <x:c r="T90" s="70" t="n">
        <x:v>0</x:v>
      </x:c>
      <x:c r="U90" s="70" t="str">
        <x:f>IF(T90&gt;=10,"PASS","FAIL")</x:f>
        <x:v>FAIL</x:v>
      </x:c>
      <x:c r="V90" s="52" t="str">
        <x:v>local hazard footprint crosses site boundaries</x:v>
      </x:c>
    </x:row>
    <x:row r="91">
      <x:c r="B91" s="66" t="str">
        <x:v>G5</x:v>
      </x:c>
      <x:c r="C91" s="66" t="str">
        <x:v>F12</x:v>
      </x:c>
      <x:c r="D91" s="66" t="str">
        <x:v>Entire fixed lattice plus one mode</x:v>
      </x:c>
      <x:c r="E91" s="66" t="n">
        <x:v>1</x:v>
      </x:c>
      <x:c r="F91" s="66" t="n">
        <x:v>0</x:v>
      </x:c>
      <x:c r="G91" s="66" t="n">
        <x:v>0</x:v>
      </x:c>
      <x:c r="H91" s="66" t="n">
        <x:v>1</x:v>
      </x:c>
      <x:c r="I91" s="66" t="n">
        <x:v>0</x:v>
      </x:c>
      <x:c r="J91" s="80" t="n">
        <x:v>1</x:v>
      </x:c>
      <x:c r="K91" s="70" t="n">
        <x:f>IF(H91=1,'Federation Compiler'!$D$12,IF(G91=1,ROUNDUP('Federation Compiler'!$D$12/'Federation Compiler'!$E$12,0),0))</x:f>
        <x:v>10</x:v>
      </x:c>
      <x:c r="L91" s="70" t="n">
        <x:f>MAX(0,ROUND(('Federation Compiler'!$D$12-F91-K91)*J91,0))</x:f>
        <x:v>0</x:v>
      </x:c>
      <x:c r="M91" s="70" t="n">
        <x:f>MAX(0,'Federation Compiler'!$F$12-E91)</x:f>
        <x:v>2</x:v>
      </x:c>
      <x:c r="N91" s="70" t="n">
        <x:f>M91*'Federation Compiler'!$G$12</x:f>
        <x:v>4</x:v>
      </x:c>
      <x:c r="O91" s="70" t="n">
        <x:f>L91+N91</x:f>
        <x:v>4</x:v>
      </x:c>
      <x:c r="P91" s="70" t="str">
        <x:f>IF(O91&gt;=10,"PASS","FAIL")</x:f>
        <x:v>FAIL</x:v>
      </x:c>
      <x:c r="Q91" s="70" t="n">
        <x:f>MAX(0,M91-IF(AND(I91=1,'Federation Compiler'!$F$12=4),1,0))</x:f>
        <x:v>2</x:v>
      </x:c>
      <x:c r="R91" s="70" t="n">
        <x:f>L91+Q91*'Federation Compiler'!$G$12</x:f>
        <x:v>4</x:v>
      </x:c>
      <x:c r="S91" s="70" t="str">
        <x:f>IF(R91&gt;=10,"PASS","FAIL")</x:f>
        <x:v>FAIL</x:v>
      </x:c>
      <x:c r="T91" s="70" t="n">
        <x:v>0</x:v>
      </x:c>
      <x:c r="U91" s="70" t="str">
        <x:f>IF(T91&gt;=10,"PASS","FAIL")</x:f>
        <x:v>FAIL</x:v>
      </x:c>
      <x:c r="V91" s="52" t="str">
        <x:v>national or regional common fixed failure</x:v>
      </x:c>
    </x:row>
    <x:row r="92">
      <x:c r="B92" s="66" t="str">
        <x:v>G5</x:v>
      </x:c>
      <x:c r="C92" s="66" t="str">
        <x:v>F13</x:v>
      </x:c>
      <x:c r="D92" s="66" t="str">
        <x:v>Source domain plus one mode</x:v>
      </x:c>
      <x:c r="E92" s="66" t="n">
        <x:v>1</x:v>
      </x:c>
      <x:c r="F92" s="66" t="n">
        <x:v>0</x:v>
      </x:c>
      <x:c r="G92" s="66" t="n">
        <x:v>1</x:v>
      </x:c>
      <x:c r="H92" s="66" t="n">
        <x:v>0</x:v>
      </x:c>
      <x:c r="I92" s="66" t="n">
        <x:v>0</x:v>
      </x:c>
      <x:c r="J92" s="80" t="n">
        <x:v>1</x:v>
      </x:c>
      <x:c r="K92" s="70" t="n">
        <x:f>IF(H92=1,'Federation Compiler'!$D$12,IF(G92=1,ROUNDUP('Federation Compiler'!$D$12/'Federation Compiler'!$E$12,0),0))</x:f>
        <x:v>2</x:v>
      </x:c>
      <x:c r="L92" s="70" t="n">
        <x:f>MAX(0,ROUND(('Federation Compiler'!$D$12-F92-K92)*J92,0))</x:f>
        <x:v>8</x:v>
      </x:c>
      <x:c r="M92" s="70" t="n">
        <x:f>MAX(0,'Federation Compiler'!$F$12-E92)</x:f>
        <x:v>2</x:v>
      </x:c>
      <x:c r="N92" s="70" t="n">
        <x:f>M92*'Federation Compiler'!$G$12</x:f>
        <x:v>4</x:v>
      </x:c>
      <x:c r="O92" s="70" t="n">
        <x:f>L92+N92</x:f>
        <x:v>12</x:v>
      </x:c>
      <x:c r="P92" s="70" t="str">
        <x:f>IF(O92&gt;=10,"PASS","FAIL")</x:f>
        <x:v>PASS</x:v>
      </x:c>
      <x:c r="Q92" s="70" t="n">
        <x:f>MAX(0,M92-IF(AND(I92=1,'Federation Compiler'!$F$12=4),1,0))</x:f>
        <x:v>2</x:v>
      </x:c>
      <x:c r="R92" s="70" t="n">
        <x:f>L92+Q92*'Federation Compiler'!$G$12</x:f>
        <x:v>12</x:v>
      </x:c>
      <x:c r="S92" s="70" t="str">
        <x:f>IF(R92&gt;=10,"PASS","FAIL")</x:f>
        <x:v>PASS</x:v>
      </x:c>
      <x:c r="T92" s="70" t="n">
        <x:v>0</x:v>
      </x:c>
      <x:c r="U92" s="70" t="str">
        <x:f>IF(T92&gt;=10,"PASS","FAIL")</x:f>
        <x:v>FAIL</x:v>
      </x:c>
      <x:c r="V92" s="52" t="str">
        <x:v>compound ancestry with larger mobile remainder</x:v>
      </x:c>
    </x:row>
    <x:row r="93">
      <x:c r="B93" s="66" t="str">
        <x:v>G5</x:v>
      </x:c>
      <x:c r="C93" s="66" t="str">
        <x:v>F14</x:v>
      </x:c>
      <x:c r="D93" s="66" t="str">
        <x:v>Fixed-island reset at ninety-two percent</x:v>
      </x:c>
      <x:c r="E93" s="66" t="n">
        <x:v>0</x:v>
      </x:c>
      <x:c r="F93" s="66" t="n">
        <x:v>0</x:v>
      </x:c>
      <x:c r="G93" s="66" t="n">
        <x:v>0</x:v>
      </x:c>
      <x:c r="H93" s="66" t="n">
        <x:v>0</x:v>
      </x:c>
      <x:c r="I93" s="66" t="n">
        <x:v>0</x:v>
      </x:c>
      <x:c r="J93" s="80" t="n">
        <x:v>0.92</x:v>
      </x:c>
      <x:c r="K93" s="70" t="n">
        <x:f>IF(H93=1,'Federation Compiler'!$D$12,IF(G93=1,ROUNDUP('Federation Compiler'!$D$12/'Federation Compiler'!$E$12,0),0))</x:f>
        <x:v>0</x:v>
      </x:c>
      <x:c r="L93" s="70" t="n">
        <x:f>MAX(0,ROUND(('Federation Compiler'!$D$12-F93-K93)*J93,0))</x:f>
        <x:v>9</x:v>
      </x:c>
      <x:c r="M93" s="70" t="n">
        <x:f>MAX(0,'Federation Compiler'!$F$12-E93)</x:f>
        <x:v>3</x:v>
      </x:c>
      <x:c r="N93" s="70" t="n">
        <x:f>M93*'Federation Compiler'!$G$12</x:f>
        <x:v>6</x:v>
      </x:c>
      <x:c r="O93" s="70" t="n">
        <x:f>L93+N93</x:f>
        <x:v>15</x:v>
      </x:c>
      <x:c r="P93" s="70" t="str">
        <x:f>IF(O93&gt;=10,"PASS","FAIL")</x:f>
        <x:v>PASS</x:v>
      </x:c>
      <x:c r="Q93" s="70" t="n">
        <x:f>MAX(0,M93-IF(AND(I93=1,'Federation Compiler'!$F$12=4),1,0))</x:f>
        <x:v>3</x:v>
      </x:c>
      <x:c r="R93" s="70" t="n">
        <x:f>L93+Q93*'Federation Compiler'!$G$12</x:f>
        <x:v>15</x:v>
      </x:c>
      <x:c r="S93" s="70" t="str">
        <x:f>IF(R93&gt;=10,"PASS","FAIL")</x:f>
        <x:v>PASS</x:v>
      </x:c>
      <x:c r="T93" s="70" t="n">
        <x:v>0</x:v>
      </x:c>
      <x:c r="U93" s="70" t="str">
        <x:f>IF(T93&gt;=10,"PASS","FAIL")</x:f>
        <x:v>FAIL</x:v>
      </x:c>
      <x:c r="V93" s="52" t="str">
        <x:v>second mission before full repair</x:v>
      </x:c>
    </x:row>
    <x:row r="94">
      <x:c r="B94" s="66" t="str">
        <x:v>G5</x:v>
      </x:c>
      <x:c r="C94" s="66" t="str">
        <x:v>F15</x:v>
      </x:c>
      <x:c r="D94" s="66" t="str">
        <x:v>National pool retains ninety-two percent</x:v>
      </x:c>
      <x:c r="E94" s="66" t="n">
        <x:v>0</x:v>
      </x:c>
      <x:c r="F94" s="66" t="n">
        <x:v>0</x:v>
      </x:c>
      <x:c r="G94" s="66" t="n">
        <x:v>0</x:v>
      </x:c>
      <x:c r="H94" s="66" t="n">
        <x:v>0</x:v>
      </x:c>
      <x:c r="I94" s="66" t="n">
        <x:v>0</x:v>
      </x:c>
      <x:c r="J94" s="80" t="n">
        <x:v>0.92</x:v>
      </x:c>
      <x:c r="K94" s="70" t="n">
        <x:f>IF(H94=1,'Federation Compiler'!$D$12,IF(G94=1,ROUNDUP('Federation Compiler'!$D$12/'Federation Compiler'!$E$12,0),0))</x:f>
        <x:v>0</x:v>
      </x:c>
      <x:c r="L94" s="70" t="n">
        <x:f>MAX(0,ROUND(('Federation Compiler'!$D$12-F94-K94)*J94,0))</x:f>
        <x:v>9</x:v>
      </x:c>
      <x:c r="M94" s="70" t="n">
        <x:f>MAX(0,'Federation Compiler'!$F$12-E94)</x:f>
        <x:v>3</x:v>
      </x:c>
      <x:c r="N94" s="70" t="n">
        <x:f>M94*'Federation Compiler'!$G$12</x:f>
        <x:v>6</x:v>
      </x:c>
      <x:c r="O94" s="70" t="n">
        <x:f>L94+N94</x:f>
        <x:v>15</x:v>
      </x:c>
      <x:c r="P94" s="70" t="str">
        <x:f>IF(O94&gt;=10,"PASS","FAIL")</x:f>
        <x:v>PASS</x:v>
      </x:c>
      <x:c r="Q94" s="70" t="n">
        <x:f>MAX(0,M94-IF(AND(I94=1,'Federation Compiler'!$F$12=4),1,0))</x:f>
        <x:v>3</x:v>
      </x:c>
      <x:c r="R94" s="70" t="n">
        <x:f>L94+Q94*'Federation Compiler'!$G$12</x:f>
        <x:v>15</x:v>
      </x:c>
      <x:c r="S94" s="70" t="str">
        <x:f>IF(R94&gt;=10,"PASS","FAIL")</x:f>
        <x:v>PASS</x:v>
      </x:c>
      <x:c r="T94" s="70" t="n">
        <x:v>0</x:v>
      </x:c>
      <x:c r="U94" s="70" t="str">
        <x:f>IF(T94&gt;=10,"PASS","FAIL")</x:f>
        <x:v>FAIL</x:v>
      </x:c>
      <x:c r="V94" s="52" t="str">
        <x:v>concurrent campaigns and reserve protection</x:v>
      </x:c>
    </x:row>
    <x:row r="95">
      <x:c r="B95" s="66" t="str">
        <x:v>G5</x:v>
      </x:c>
      <x:c r="C95" s="66" t="str">
        <x:v>F16</x:v>
      </x:c>
      <x:c r="D95" s="66" t="str">
        <x:v>Fourth path has no admission credit</x:v>
      </x:c>
      <x:c r="E95" s="66" t="n">
        <x:v>2</x:v>
      </x:c>
      <x:c r="F95" s="66" t="n">
        <x:v>0</x:v>
      </x:c>
      <x:c r="G95" s="66" t="n">
        <x:v>1</x:v>
      </x:c>
      <x:c r="H95" s="66" t="n">
        <x:v>0</x:v>
      </x:c>
      <x:c r="I95" s="66" t="n">
        <x:v>1</x:v>
      </x:c>
      <x:c r="J95" s="80" t="n">
        <x:v>1</x:v>
      </x:c>
      <x:c r="K95" s="70" t="n">
        <x:f>IF(H95=1,'Federation Compiler'!$D$12,IF(G95=1,ROUNDUP('Federation Compiler'!$D$12/'Federation Compiler'!$E$12,0),0))</x:f>
        <x:v>2</x:v>
      </x:c>
      <x:c r="L95" s="70" t="n">
        <x:f>MAX(0,ROUND(('Federation Compiler'!$D$12-F95-K95)*J95,0))</x:f>
        <x:v>8</x:v>
      </x:c>
      <x:c r="M95" s="70" t="n">
        <x:f>MAX(0,'Federation Compiler'!$F$12-E95)</x:f>
        <x:v>1</x:v>
      </x:c>
      <x:c r="N95" s="70" t="n">
        <x:f>M95*'Federation Compiler'!$G$12</x:f>
        <x:v>2</x:v>
      </x:c>
      <x:c r="O95" s="70" t="n">
        <x:f>L95+N95</x:f>
        <x:v>10</x:v>
      </x:c>
      <x:c r="P95" s="70" t="str">
        <x:f>IF(O95&gt;=10,"PASS","FAIL")</x:f>
        <x:v>PASS</x:v>
      </x:c>
      <x:c r="Q95" s="70" t="n">
        <x:f>MAX(0,M95-IF(AND(I95=1,'Federation Compiler'!$F$12=4),1,0))</x:f>
        <x:v>1</x:v>
      </x:c>
      <x:c r="R95" s="70" t="n">
        <x:f>L95+Q95*'Federation Compiler'!$G$12</x:f>
        <x:v>10</x:v>
      </x:c>
      <x:c r="S95" s="70" t="str">
        <x:f>IF(R95&gt;=10,"PASS","FAIL")</x:f>
        <x:v>PASS</x:v>
      </x:c>
      <x:c r="T95" s="70" t="n">
        <x:v>0</x:v>
      </x:c>
      <x:c r="U95" s="70" t="str">
        <x:f>IF(T95&gt;=10,"PASS","FAIL")</x:f>
        <x:v>FAIL</x:v>
      </x:c>
      <x:c r="V95" s="52" t="str">
        <x:v>unproved fourth path withheld from current credit</x:v>
      </x:c>
    </x:row>
    <x:row r="96">
      <x:c r="B96" s="66" t="str">
        <x:v>G5</x:v>
      </x:c>
      <x:c r="C96" s="66" t="str">
        <x:v>F17</x:v>
      </x:c>
      <x:c r="D96" s="66" t="str">
        <x:v>One island, source domain and one mode</x:v>
      </x:c>
      <x:c r="E96" s="66" t="n">
        <x:v>1</x:v>
      </x:c>
      <x:c r="F96" s="66" t="n">
        <x:v>1</x:v>
      </x:c>
      <x:c r="G96" s="66" t="n">
        <x:v>1</x:v>
      </x:c>
      <x:c r="H96" s="66" t="n">
        <x:v>0</x:v>
      </x:c>
      <x:c r="I96" s="66" t="n">
        <x:v>0</x:v>
      </x:c>
      <x:c r="J96" s="80" t="n">
        <x:v>1</x:v>
      </x:c>
      <x:c r="K96" s="70" t="n">
        <x:f>IF(H96=1,'Federation Compiler'!$D$12,IF(G96=1,ROUNDUP('Federation Compiler'!$D$12/'Federation Compiler'!$E$12,0),0))</x:f>
        <x:v>2</x:v>
      </x:c>
      <x:c r="L96" s="70" t="n">
        <x:f>MAX(0,ROUND(('Federation Compiler'!$D$12-F96-K96)*J96,0))</x:f>
        <x:v>7</x:v>
      </x:c>
      <x:c r="M96" s="70" t="n">
        <x:f>MAX(0,'Federation Compiler'!$F$12-E96)</x:f>
        <x:v>2</x:v>
      </x:c>
      <x:c r="N96" s="70" t="n">
        <x:f>M96*'Federation Compiler'!$G$12</x:f>
        <x:v>4</x:v>
      </x:c>
      <x:c r="O96" s="70" t="n">
        <x:f>L96+N96</x:f>
        <x:v>11</x:v>
      </x:c>
      <x:c r="P96" s="70" t="str">
        <x:f>IF(O96&gt;=10,"PASS","FAIL")</x:f>
        <x:v>PASS</x:v>
      </x:c>
      <x:c r="Q96" s="70" t="n">
        <x:f>MAX(0,M96-IF(AND(I96=1,'Federation Compiler'!$F$12=4),1,0))</x:f>
        <x:v>2</x:v>
      </x:c>
      <x:c r="R96" s="70" t="n">
        <x:f>L96+Q96*'Federation Compiler'!$G$12</x:f>
        <x:v>11</x:v>
      </x:c>
      <x:c r="S96" s="70" t="str">
        <x:f>IF(R96&gt;=10,"PASS","FAIL")</x:f>
        <x:v>PASS</x:v>
      </x:c>
      <x:c r="T96" s="70" t="n">
        <x:v>0</x:v>
      </x:c>
      <x:c r="U96" s="70" t="str">
        <x:f>IF(T96&gt;=10,"PASS","FAIL")</x:f>
        <x:v>FAIL</x:v>
      </x:c>
      <x:c r="V96" s="52" t="str">
        <x:v>physical and ancestry losses stack</x:v>
      </x:c>
    </x:row>
    <x:row r="97">
      <x:c r="B97" s="66" t="str">
        <x:v>G5</x:v>
      </x:c>
      <x:c r="C97" s="66" t="str">
        <x:v>F18</x:v>
      </x:c>
      <x:c r="D97" s="66" t="str">
        <x:v>Internal island evidence withheld</x:v>
      </x:c>
      <x:c r="E97" s="66" t="n">
        <x:v>0</x:v>
      </x:c>
      <x:c r="F97" s="66" t="n">
        <x:v>0</x:v>
      </x:c>
      <x:c r="G97" s="66" t="n">
        <x:v>0</x:v>
      </x:c>
      <x:c r="H97" s="66" t="n">
        <x:v>0</x:v>
      </x:c>
      <x:c r="I97" s="66" t="n">
        <x:v>0</x:v>
      </x:c>
      <x:c r="J97" s="80" t="n">
        <x:v>0</x:v>
      </x:c>
      <x:c r="K97" s="70" t="n">
        <x:f>IF(H97=1,'Federation Compiler'!$D$12,IF(G97=1,ROUNDUP('Federation Compiler'!$D$12/'Federation Compiler'!$E$12,0),0))</x:f>
        <x:v>0</x:v>
      </x:c>
      <x:c r="L97" s="70" t="n">
        <x:f>MAX(0,ROUND(('Federation Compiler'!$D$12-F97-K97)*J97,0))</x:f>
        <x:v>0</x:v>
      </x:c>
      <x:c r="M97" s="70" t="n">
        <x:f>MAX(0,'Federation Compiler'!$F$12-E97)</x:f>
        <x:v>3</x:v>
      </x:c>
      <x:c r="N97" s="70" t="n">
        <x:f>M97*'Federation Compiler'!$G$12</x:f>
        <x:v>6</x:v>
      </x:c>
      <x:c r="O97" s="70" t="n">
        <x:f>L97+N97</x:f>
        <x:v>6</x:v>
      </x:c>
      <x:c r="P97" s="70" t="str">
        <x:f>IF(O97&gt;=10,"PASS","FAIL")</x:f>
        <x:v>FAIL</x:v>
      </x:c>
      <x:c r="Q97" s="70" t="n">
        <x:f>MAX(0,M97-IF(AND(I97=1,'Federation Compiler'!$F$12=4),1,0))</x:f>
        <x:v>3</x:v>
      </x:c>
      <x:c r="R97" s="70" t="n">
        <x:f>L97+Q97*'Federation Compiler'!$G$12</x:f>
        <x:v>6</x:v>
      </x:c>
      <x:c r="S97" s="70" t="str">
        <x:f>IF(R97&gt;=10,"PASS","FAIL")</x:f>
        <x:v>FAIL</x:v>
      </x:c>
      <x:c r="T97" s="70" t="n">
        <x:v>0</x:v>
      </x:c>
      <x:c r="U97" s="70" t="str">
        <x:f>IF(T97&gt;=10,"PASS","FAIL")</x:f>
        <x:v>FAIL</x:v>
      </x:c>
      <x:c r="V97" s="52" t="str">
        <x:v>strict admission remains zero for every federation</x:v>
      </x:c>
    </x:row>
    <x:row r="98">
      <x:c r="B98" s="66" t="str">
        <x:v>G6</x:v>
      </x:c>
      <x:c r="C98" s="66" t="str">
        <x:v>F01</x:v>
      </x:c>
      <x:c r="D98" s="66" t="str">
        <x:v>Baseline release</x:v>
      </x:c>
      <x:c r="E98" s="66" t="n">
        <x:v>0</x:v>
      </x:c>
      <x:c r="F98" s="66" t="n">
        <x:v>0</x:v>
      </x:c>
      <x:c r="G98" s="66" t="n">
        <x:v>0</x:v>
      </x:c>
      <x:c r="H98" s="66" t="n">
        <x:v>0</x:v>
      </x:c>
      <x:c r="I98" s="66" t="n">
        <x:v>0</x:v>
      </x:c>
      <x:c r="J98" s="80" t="n">
        <x:v>1</x:v>
      </x:c>
      <x:c r="K98" s="70" t="n">
        <x:f>IF(H98=1,'Federation Compiler'!$D$13,IF(G98=1,ROUNDUP('Federation Compiler'!$D$13/'Federation Compiler'!$E$13,0),0))</x:f>
        <x:v>0</x:v>
      </x:c>
      <x:c r="L98" s="70" t="n">
        <x:f>MAX(0,ROUND(('Federation Compiler'!$D$13-F98-K98)*J98,0))</x:f>
        <x:v>12</x:v>
      </x:c>
      <x:c r="M98" s="70" t="n">
        <x:f>MAX(0,'Federation Compiler'!$F$13-E98)</x:f>
        <x:v>3</x:v>
      </x:c>
      <x:c r="N98" s="70" t="n">
        <x:f>M98*'Federation Compiler'!$G$13</x:f>
        <x:v>3</x:v>
      </x:c>
      <x:c r="O98" s="70" t="n">
        <x:f>L98+N98</x:f>
        <x:v>15</x:v>
      </x:c>
      <x:c r="P98" s="70" t="str">
        <x:f>IF(O98&gt;=10,"PASS","FAIL")</x:f>
        <x:v>PASS</x:v>
      </x:c>
      <x:c r="Q98" s="70" t="n">
        <x:f>MAX(0,M98-IF(AND(I98=1,'Federation Compiler'!$F$13=4),1,0))</x:f>
        <x:v>3</x:v>
      </x:c>
      <x:c r="R98" s="70" t="n">
        <x:f>L98+Q98*'Federation Compiler'!$G$13</x:f>
        <x:v>15</x:v>
      </x:c>
      <x:c r="S98" s="70" t="str">
        <x:f>IF(R98&gt;=10,"PASS","FAIL")</x:f>
        <x:v>PASS</x:v>
      </x:c>
      <x:c r="T98" s="70" t="n">
        <x:v>0</x:v>
      </x:c>
      <x:c r="U98" s="70" t="str">
        <x:f>IF(T98&gt;=10,"PASS","FAIL")</x:f>
        <x:v>FAIL</x:v>
      </x:c>
      <x:c r="V98" s="52" t="str">
        <x:v>all packages available</x:v>
      </x:c>
    </x:row>
    <x:row r="99">
      <x:c r="B99" s="66" t="str">
        <x:v>G6</x:v>
      </x:c>
      <x:c r="C99" s="66" t="str">
        <x:v>F02</x:v>
      </x:c>
      <x:c r="D99" s="66" t="str">
        <x:v>Any two legacy modes lost</x:v>
      </x:c>
      <x:c r="E99" s="66" t="n">
        <x:v>2</x:v>
      </x:c>
      <x:c r="F99" s="66" t="n">
        <x:v>0</x:v>
      </x:c>
      <x:c r="G99" s="66" t="n">
        <x:v>0</x:v>
      </x:c>
      <x:c r="H99" s="66" t="n">
        <x:v>0</x:v>
      </x:c>
      <x:c r="I99" s="66" t="n">
        <x:v>0</x:v>
      </x:c>
      <x:c r="J99" s="80" t="n">
        <x:v>1</x:v>
      </x:c>
      <x:c r="K99" s="70" t="n">
        <x:f>IF(H99=1,'Federation Compiler'!$D$13,IF(G99=1,ROUNDUP('Federation Compiler'!$D$13/'Federation Compiler'!$E$13,0),0))</x:f>
        <x:v>0</x:v>
      </x:c>
      <x:c r="L99" s="70" t="n">
        <x:f>MAX(0,ROUND(('Federation Compiler'!$D$13-F99-K99)*J99,0))</x:f>
        <x:v>12</x:v>
      </x:c>
      <x:c r="M99" s="70" t="n">
        <x:f>MAX(0,'Federation Compiler'!$F$13-E99)</x:f>
        <x:v>1</x:v>
      </x:c>
      <x:c r="N99" s="70" t="n">
        <x:f>M99*'Federation Compiler'!$G$13</x:f>
        <x:v>1</x:v>
      </x:c>
      <x:c r="O99" s="70" t="n">
        <x:f>L99+N99</x:f>
        <x:v>13</x:v>
      </x:c>
      <x:c r="P99" s="70" t="str">
        <x:f>IF(O99&gt;=10,"PASS","FAIL")</x:f>
        <x:v>PASS</x:v>
      </x:c>
      <x:c r="Q99" s="70" t="n">
        <x:f>MAX(0,M99-IF(AND(I99=1,'Federation Compiler'!$F$13=4),1,0))</x:f>
        <x:v>1</x:v>
      </x:c>
      <x:c r="R99" s="70" t="n">
        <x:f>L99+Q99*'Federation Compiler'!$G$13</x:f>
        <x:v>13</x:v>
      </x:c>
      <x:c r="S99" s="70" t="str">
        <x:f>IF(R99&gt;=10,"PASS","FAIL")</x:f>
        <x:v>PASS</x:v>
      </x:c>
      <x:c r="T99" s="70" t="n">
        <x:v>0</x:v>
      </x:c>
      <x:c r="U99" s="70" t="str">
        <x:f>IF(T99&gt;=10,"PASS","FAIL")</x:f>
        <x:v>FAIL</x:v>
      </x:c>
      <x:c r="V99" s="52" t="str">
        <x:v>Pass 75 access guarantee</x:v>
      </x:c>
    </x:row>
    <x:row r="100">
      <x:c r="B100" s="66" t="str">
        <x:v>G6</x:v>
      </x:c>
      <x:c r="C100" s="66" t="str">
        <x:v>F03</x:v>
      </x:c>
      <x:c r="D100" s="66" t="str">
        <x:v>One physical island plus two modes</x:v>
      </x:c>
      <x:c r="E100" s="66" t="n">
        <x:v>2</x:v>
      </x:c>
      <x:c r="F100" s="66" t="n">
        <x:v>1</x:v>
      </x:c>
      <x:c r="G100" s="66" t="n">
        <x:v>0</x:v>
      </x:c>
      <x:c r="H100" s="66" t="n">
        <x:v>0</x:v>
      </x:c>
      <x:c r="I100" s="66" t="n">
        <x:v>0</x:v>
      </x:c>
      <x:c r="J100" s="80" t="n">
        <x:v>1</x:v>
      </x:c>
      <x:c r="K100" s="70" t="n">
        <x:f>IF(H100=1,'Federation Compiler'!$D$13,IF(G100=1,ROUNDUP('Federation Compiler'!$D$13/'Federation Compiler'!$E$13,0),0))</x:f>
        <x:v>0</x:v>
      </x:c>
      <x:c r="L100" s="70" t="n">
        <x:f>MAX(0,ROUND(('Federation Compiler'!$D$13-F100-K100)*J100,0))</x:f>
        <x:v>11</x:v>
      </x:c>
      <x:c r="M100" s="70" t="n">
        <x:f>MAX(0,'Federation Compiler'!$F$13-E100)</x:f>
        <x:v>1</x:v>
      </x:c>
      <x:c r="N100" s="70" t="n">
        <x:f>M100*'Federation Compiler'!$G$13</x:f>
        <x:v>1</x:v>
      </x:c>
      <x:c r="O100" s="70" t="n">
        <x:f>L100+N100</x:f>
        <x:v>12</x:v>
      </x:c>
      <x:c r="P100" s="70" t="str">
        <x:f>IF(O100&gt;=10,"PASS","FAIL")</x:f>
        <x:v>PASS</x:v>
      </x:c>
      <x:c r="Q100" s="70" t="n">
        <x:f>MAX(0,M100-IF(AND(I100=1,'Federation Compiler'!$F$13=4),1,0))</x:f>
        <x:v>1</x:v>
      </x:c>
      <x:c r="R100" s="70" t="n">
        <x:f>L100+Q100*'Federation Compiler'!$G$13</x:f>
        <x:v>12</x:v>
      </x:c>
      <x:c r="S100" s="70" t="str">
        <x:f>IF(R100&gt;=10,"PASS","FAIL")</x:f>
        <x:v>PASS</x:v>
      </x:c>
      <x:c r="T100" s="70" t="n">
        <x:v>0</x:v>
      </x:c>
      <x:c r="U100" s="70" t="str">
        <x:f>IF(T100&gt;=10,"PASS","FAIL")</x:f>
        <x:v>FAIL</x:v>
      </x:c>
      <x:c r="V100" s="52" t="str">
        <x:v>original T7 promise</x:v>
      </x:c>
    </x:row>
    <x:row r="101">
      <x:c r="B101" s="66" t="str">
        <x:v>G6</x:v>
      </x:c>
      <x:c r="C101" s="66" t="str">
        <x:v>F04</x:v>
      </x:c>
      <x:c r="D101" s="66" t="str">
        <x:v>Source domain plus two modes</x:v>
      </x:c>
      <x:c r="E101" s="66" t="n">
        <x:v>2</x:v>
      </x:c>
      <x:c r="F101" s="66" t="n">
        <x:v>0</x:v>
      </x:c>
      <x:c r="G101" s="66" t="n">
        <x:v>1</x:v>
      </x:c>
      <x:c r="H101" s="66" t="n">
        <x:v>0</x:v>
      </x:c>
      <x:c r="I101" s="66" t="n">
        <x:v>0</x:v>
      </x:c>
      <x:c r="J101" s="80" t="n">
        <x:v>1</x:v>
      </x:c>
      <x:c r="K101" s="70" t="n">
        <x:f>IF(H101=1,'Federation Compiler'!$D$13,IF(G101=1,ROUNDUP('Federation Compiler'!$D$13/'Federation Compiler'!$E$13,0),0))</x:f>
        <x:v>2</x:v>
      </x:c>
      <x:c r="L101" s="70" t="n">
        <x:f>MAX(0,ROUND(('Federation Compiler'!$D$13-F101-K101)*J101,0))</x:f>
        <x:v>10</x:v>
      </x:c>
      <x:c r="M101" s="70" t="n">
        <x:f>MAX(0,'Federation Compiler'!$F$13-E101)</x:f>
        <x:v>1</x:v>
      </x:c>
      <x:c r="N101" s="70" t="n">
        <x:f>M101*'Federation Compiler'!$G$13</x:f>
        <x:v>1</x:v>
      </x:c>
      <x:c r="O101" s="70" t="n">
        <x:f>L101+N101</x:f>
        <x:v>11</x:v>
      </x:c>
      <x:c r="P101" s="70" t="str">
        <x:f>IF(O101&gt;=10,"PASS","FAIL")</x:f>
        <x:v>PASS</x:v>
      </x:c>
      <x:c r="Q101" s="70" t="n">
        <x:f>MAX(0,M101-IF(AND(I101=1,'Federation Compiler'!$F$13=4),1,0))</x:f>
        <x:v>1</x:v>
      </x:c>
      <x:c r="R101" s="70" t="n">
        <x:f>L101+Q101*'Federation Compiler'!$G$13</x:f>
        <x:v>11</x:v>
      </x:c>
      <x:c r="S101" s="70" t="str">
        <x:f>IF(R101&gt;=10,"PASS","FAIL")</x:f>
        <x:v>PASS</x:v>
      </x:c>
      <x:c r="T101" s="70" t="n">
        <x:v>0</x:v>
      </x:c>
      <x:c r="U101" s="70" t="str">
        <x:f>IF(T101&gt;=10,"PASS","FAIL")</x:f>
        <x:v>FAIL</x:v>
      </x:c>
      <x:c r="V101" s="52" t="str">
        <x:v>correlated energy ancestry</x:v>
      </x:c>
    </x:row>
    <x:row r="102">
      <x:c r="B102" s="66" t="str">
        <x:v>G6</x:v>
      </x:c>
      <x:c r="C102" s="66" t="str">
        <x:v>F05</x:v>
      </x:c>
      <x:c r="D102" s="66" t="str">
        <x:v>Heat domain plus two modes</x:v>
      </x:c>
      <x:c r="E102" s="66" t="n">
        <x:v>2</x:v>
      </x:c>
      <x:c r="F102" s="66" t="n">
        <x:v>0</x:v>
      </x:c>
      <x:c r="G102" s="66" t="n">
        <x:v>1</x:v>
      </x:c>
      <x:c r="H102" s="66" t="n">
        <x:v>0</x:v>
      </x:c>
      <x:c r="I102" s="66" t="n">
        <x:v>0</x:v>
      </x:c>
      <x:c r="J102" s="80" t="n">
        <x:v>1</x:v>
      </x:c>
      <x:c r="K102" s="70" t="n">
        <x:f>IF(H102=1,'Federation Compiler'!$D$13,IF(G102=1,ROUNDUP('Federation Compiler'!$D$13/'Federation Compiler'!$E$13,0),0))</x:f>
        <x:v>2</x:v>
      </x:c>
      <x:c r="L102" s="70" t="n">
        <x:f>MAX(0,ROUND(('Federation Compiler'!$D$13-F102-K102)*J102,0))</x:f>
        <x:v>10</x:v>
      </x:c>
      <x:c r="M102" s="70" t="n">
        <x:f>MAX(0,'Federation Compiler'!$F$13-E102)</x:f>
        <x:v>1</x:v>
      </x:c>
      <x:c r="N102" s="70" t="n">
        <x:f>M102*'Federation Compiler'!$G$13</x:f>
        <x:v>1</x:v>
      </x:c>
      <x:c r="O102" s="70" t="n">
        <x:f>L102+N102</x:f>
        <x:v>11</x:v>
      </x:c>
      <x:c r="P102" s="70" t="str">
        <x:f>IF(O102&gt;=10,"PASS","FAIL")</x:f>
        <x:v>PASS</x:v>
      </x:c>
      <x:c r="Q102" s="70" t="n">
        <x:f>MAX(0,M102-IF(AND(I102=1,'Federation Compiler'!$F$13=4),1,0))</x:f>
        <x:v>1</x:v>
      </x:c>
      <x:c r="R102" s="70" t="n">
        <x:f>L102+Q102*'Federation Compiler'!$G$13</x:f>
        <x:v>11</x:v>
      </x:c>
      <x:c r="S102" s="70" t="str">
        <x:f>IF(R102&gt;=10,"PASS","FAIL")</x:f>
        <x:v>PASS</x:v>
      </x:c>
      <x:c r="T102" s="70" t="n">
        <x:v>0</x:v>
      </x:c>
      <x:c r="U102" s="70" t="str">
        <x:f>IF(T102&gt;=10,"PASS","FAIL")</x:f>
        <x:v>FAIL</x:v>
      </x:c>
      <x:c r="V102" s="52" t="str">
        <x:v>correlated final heat destination</x:v>
      </x:c>
    </x:row>
    <x:row r="103">
      <x:c r="B103" s="66" t="str">
        <x:v>G6</x:v>
      </x:c>
      <x:c r="C103" s="66" t="str">
        <x:v>F06</x:v>
      </x:c>
      <x:c r="D103" s="66" t="str">
        <x:v>Control domain plus two modes</x:v>
      </x:c>
      <x:c r="E103" s="66" t="n">
        <x:v>2</x:v>
      </x:c>
      <x:c r="F103" s="66" t="n">
        <x:v>0</x:v>
      </x:c>
      <x:c r="G103" s="66" t="n">
        <x:v>1</x:v>
      </x:c>
      <x:c r="H103" s="66" t="n">
        <x:v>0</x:v>
      </x:c>
      <x:c r="I103" s="66" t="n">
        <x:v>0</x:v>
      </x:c>
      <x:c r="J103" s="80" t="n">
        <x:v>1</x:v>
      </x:c>
      <x:c r="K103" s="70" t="n">
        <x:f>IF(H103=1,'Federation Compiler'!$D$13,IF(G103=1,ROUNDUP('Federation Compiler'!$D$13/'Federation Compiler'!$E$13,0),0))</x:f>
        <x:v>2</x:v>
      </x:c>
      <x:c r="L103" s="70" t="n">
        <x:f>MAX(0,ROUND(('Federation Compiler'!$D$13-F103-K103)*J103,0))</x:f>
        <x:v>10</x:v>
      </x:c>
      <x:c r="M103" s="70" t="n">
        <x:f>MAX(0,'Federation Compiler'!$F$13-E103)</x:f>
        <x:v>1</x:v>
      </x:c>
      <x:c r="N103" s="70" t="n">
        <x:f>M103*'Federation Compiler'!$G$13</x:f>
        <x:v>1</x:v>
      </x:c>
      <x:c r="O103" s="70" t="n">
        <x:f>L103+N103</x:f>
        <x:v>11</x:v>
      </x:c>
      <x:c r="P103" s="70" t="str">
        <x:f>IF(O103&gt;=10,"PASS","FAIL")</x:f>
        <x:v>PASS</x:v>
      </x:c>
      <x:c r="Q103" s="70" t="n">
        <x:f>MAX(0,M103-IF(AND(I103=1,'Federation Compiler'!$F$13=4),1,0))</x:f>
        <x:v>1</x:v>
      </x:c>
      <x:c r="R103" s="70" t="n">
        <x:f>L103+Q103*'Federation Compiler'!$G$13</x:f>
        <x:v>11</x:v>
      </x:c>
      <x:c r="S103" s="70" t="str">
        <x:f>IF(R103&gt;=10,"PASS","FAIL")</x:f>
        <x:v>PASS</x:v>
      </x:c>
      <x:c r="T103" s="70" t="n">
        <x:v>0</x:v>
      </x:c>
      <x:c r="U103" s="70" t="str">
        <x:f>IF(T103&gt;=10,"PASS","FAIL")</x:f>
        <x:v>FAIL</x:v>
      </x:c>
      <x:c r="V103" s="52" t="str">
        <x:v>common control or signing root</x:v>
      </x:c>
    </x:row>
    <x:row r="104">
      <x:c r="B104" s="66" t="str">
        <x:v>G6</x:v>
      </x:c>
      <x:c r="C104" s="66" t="str">
        <x:v>F07</x:v>
      </x:c>
      <x:c r="D104" s="66" t="str">
        <x:v>Workforce domain plus two modes</x:v>
      </x:c>
      <x:c r="E104" s="66" t="n">
        <x:v>2</x:v>
      </x:c>
      <x:c r="F104" s="66" t="n">
        <x:v>0</x:v>
      </x:c>
      <x:c r="G104" s="66" t="n">
        <x:v>1</x:v>
      </x:c>
      <x:c r="H104" s="66" t="n">
        <x:v>0</x:v>
      </x:c>
      <x:c r="I104" s="66" t="n">
        <x:v>0</x:v>
      </x:c>
      <x:c r="J104" s="80" t="n">
        <x:v>1</x:v>
      </x:c>
      <x:c r="K104" s="70" t="n">
        <x:f>IF(H104=1,'Federation Compiler'!$D$13,IF(G104=1,ROUNDUP('Federation Compiler'!$D$13/'Federation Compiler'!$E$13,0),0))</x:f>
        <x:v>2</x:v>
      </x:c>
      <x:c r="L104" s="70" t="n">
        <x:f>MAX(0,ROUND(('Federation Compiler'!$D$13-F104-K104)*J104,0))</x:f>
        <x:v>10</x:v>
      </x:c>
      <x:c r="M104" s="70" t="n">
        <x:f>MAX(0,'Federation Compiler'!$F$13-E104)</x:f>
        <x:v>1</x:v>
      </x:c>
      <x:c r="N104" s="70" t="n">
        <x:f>M104*'Federation Compiler'!$G$13</x:f>
        <x:v>1</x:v>
      </x:c>
      <x:c r="O104" s="70" t="n">
        <x:f>L104+N104</x:f>
        <x:v>11</x:v>
      </x:c>
      <x:c r="P104" s="70" t="str">
        <x:f>IF(O104&gt;=10,"PASS","FAIL")</x:f>
        <x:v>PASS</x:v>
      </x:c>
      <x:c r="Q104" s="70" t="n">
        <x:f>MAX(0,M104-IF(AND(I104=1,'Federation Compiler'!$F$13=4),1,0))</x:f>
        <x:v>1</x:v>
      </x:c>
      <x:c r="R104" s="70" t="n">
        <x:f>L104+Q104*'Federation Compiler'!$G$13</x:f>
        <x:v>11</x:v>
      </x:c>
      <x:c r="S104" s="70" t="str">
        <x:f>IF(R104&gt;=10,"PASS","FAIL")</x:f>
        <x:v>PASS</x:v>
      </x:c>
      <x:c r="T104" s="70" t="n">
        <x:v>0</x:v>
      </x:c>
      <x:c r="U104" s="70" t="str">
        <x:f>IF(T104&gt;=10,"PASS","FAIL")</x:f>
        <x:v>FAIL</x:v>
      </x:c>
      <x:c r="V104" s="52" t="str">
        <x:v>school and credential lineage</x:v>
      </x:c>
    </x:row>
    <x:row r="105">
      <x:c r="B105" s="66" t="str">
        <x:v>G6</x:v>
      </x:c>
      <x:c r="C105" s="66" t="str">
        <x:v>F08</x:v>
      </x:c>
      <x:c r="D105" s="66" t="str">
        <x:v>Supplier domain plus two modes</x:v>
      </x:c>
      <x:c r="E105" s="66" t="n">
        <x:v>2</x:v>
      </x:c>
      <x:c r="F105" s="66" t="n">
        <x:v>0</x:v>
      </x:c>
      <x:c r="G105" s="66" t="n">
        <x:v>1</x:v>
      </x:c>
      <x:c r="H105" s="66" t="n">
        <x:v>0</x:v>
      </x:c>
      <x:c r="I105" s="66" t="n">
        <x:v>0</x:v>
      </x:c>
      <x:c r="J105" s="80" t="n">
        <x:v>1</x:v>
      </x:c>
      <x:c r="K105" s="70" t="n">
        <x:f>IF(H105=1,'Federation Compiler'!$D$13,IF(G105=1,ROUNDUP('Federation Compiler'!$D$13/'Federation Compiler'!$E$13,0),0))</x:f>
        <x:v>2</x:v>
      </x:c>
      <x:c r="L105" s="70" t="n">
        <x:f>MAX(0,ROUND(('Federation Compiler'!$D$13-F105-K105)*J105,0))</x:f>
        <x:v>10</x:v>
      </x:c>
      <x:c r="M105" s="70" t="n">
        <x:f>MAX(0,'Federation Compiler'!$F$13-E105)</x:f>
        <x:v>1</x:v>
      </x:c>
      <x:c r="N105" s="70" t="n">
        <x:f>M105*'Federation Compiler'!$G$13</x:f>
        <x:v>1</x:v>
      </x:c>
      <x:c r="O105" s="70" t="n">
        <x:f>L105+N105</x:f>
        <x:v>11</x:v>
      </x:c>
      <x:c r="P105" s="70" t="str">
        <x:f>IF(O105&gt;=10,"PASS","FAIL")</x:f>
        <x:v>PASS</x:v>
      </x:c>
      <x:c r="Q105" s="70" t="n">
        <x:f>MAX(0,M105-IF(AND(I105=1,'Federation Compiler'!$F$13=4),1,0))</x:f>
        <x:v>1</x:v>
      </x:c>
      <x:c r="R105" s="70" t="n">
        <x:f>L105+Q105*'Federation Compiler'!$G$13</x:f>
        <x:v>11</x:v>
      </x:c>
      <x:c r="S105" s="70" t="str">
        <x:f>IF(R105&gt;=10,"PASS","FAIL")</x:f>
        <x:v>PASS</x:v>
      </x:c>
      <x:c r="T105" s="70" t="n">
        <x:v>0</x:v>
      </x:c>
      <x:c r="U105" s="70" t="str">
        <x:f>IF(T105&gt;=10,"PASS","FAIL")</x:f>
        <x:v>FAIL</x:v>
      </x:c>
      <x:c r="V105" s="52" t="str">
        <x:v>upstream factory or material lineage</x:v>
      </x:c>
    </x:row>
    <x:row r="106">
      <x:c r="B106" s="66" t="str">
        <x:v>G6</x:v>
      </x:c>
      <x:c r="C106" s="66" t="str">
        <x:v>F09</x:v>
      </x:c>
      <x:c r="D106" s="66" t="str">
        <x:v>Authority domain plus two modes</x:v>
      </x:c>
      <x:c r="E106" s="66" t="n">
        <x:v>2</x:v>
      </x:c>
      <x:c r="F106" s="66" t="n">
        <x:v>0</x:v>
      </x:c>
      <x:c r="G106" s="66" t="n">
        <x:v>1</x:v>
      </x:c>
      <x:c r="H106" s="66" t="n">
        <x:v>0</x:v>
      </x:c>
      <x:c r="I106" s="66" t="n">
        <x:v>0</x:v>
      </x:c>
      <x:c r="J106" s="80" t="n">
        <x:v>1</x:v>
      </x:c>
      <x:c r="K106" s="70" t="n">
        <x:f>IF(H106=1,'Federation Compiler'!$D$13,IF(G106=1,ROUNDUP('Federation Compiler'!$D$13/'Federation Compiler'!$E$13,0),0))</x:f>
        <x:v>2</x:v>
      </x:c>
      <x:c r="L106" s="70" t="n">
        <x:f>MAX(0,ROUND(('Federation Compiler'!$D$13-F106-K106)*J106,0))</x:f>
        <x:v>10</x:v>
      </x:c>
      <x:c r="M106" s="70" t="n">
        <x:f>MAX(0,'Federation Compiler'!$F$13-E106)</x:f>
        <x:v>1</x:v>
      </x:c>
      <x:c r="N106" s="70" t="n">
        <x:f>M106*'Federation Compiler'!$G$13</x:f>
        <x:v>1</x:v>
      </x:c>
      <x:c r="O106" s="70" t="n">
        <x:f>L106+N106</x:f>
        <x:v>11</x:v>
      </x:c>
      <x:c r="P106" s="70" t="str">
        <x:f>IF(O106&gt;=10,"PASS","FAIL")</x:f>
        <x:v>PASS</x:v>
      </x:c>
      <x:c r="Q106" s="70" t="n">
        <x:f>MAX(0,M106-IF(AND(I106=1,'Federation Compiler'!$F$13=4),1,0))</x:f>
        <x:v>1</x:v>
      </x:c>
      <x:c r="R106" s="70" t="n">
        <x:f>L106+Q106*'Federation Compiler'!$G$13</x:f>
        <x:v>11</x:v>
      </x:c>
      <x:c r="S106" s="70" t="str">
        <x:f>IF(R106&gt;=10,"PASS","FAIL")</x:f>
        <x:v>PASS</x:v>
      </x:c>
      <x:c r="T106" s="70" t="n">
        <x:v>0</x:v>
      </x:c>
      <x:c r="U106" s="70" t="str">
        <x:f>IF(T106&gt;=10,"PASS","FAIL")</x:f>
        <x:v>FAIL</x:v>
      </x:c>
      <x:c r="V106" s="52" t="str">
        <x:v>civil release and appeal path</x:v>
      </x:c>
    </x:row>
    <x:row r="107">
      <x:c r="B107" s="66" t="str">
        <x:v>G6</x:v>
      </x:c>
      <x:c r="C107" s="66" t="str">
        <x:v>F10</x:v>
      </x:c>
      <x:c r="D107" s="66" t="str">
        <x:v>One island plus all three legacy modes</x:v>
      </x:c>
      <x:c r="E107" s="66" t="n">
        <x:v>3</x:v>
      </x:c>
      <x:c r="F107" s="66" t="n">
        <x:v>1</x:v>
      </x:c>
      <x:c r="G107" s="66" t="n">
        <x:v>0</x:v>
      </x:c>
      <x:c r="H107" s="66" t="n">
        <x:v>0</x:v>
      </x:c>
      <x:c r="I107" s="66" t="n">
        <x:v>0</x:v>
      </x:c>
      <x:c r="J107" s="80" t="n">
        <x:v>1</x:v>
      </x:c>
      <x:c r="K107" s="70" t="n">
        <x:f>IF(H107=1,'Federation Compiler'!$D$13,IF(G107=1,ROUNDUP('Federation Compiler'!$D$13/'Federation Compiler'!$E$13,0),0))</x:f>
        <x:v>0</x:v>
      </x:c>
      <x:c r="L107" s="70" t="n">
        <x:f>MAX(0,ROUND(('Federation Compiler'!$D$13-F107-K107)*J107,0))</x:f>
        <x:v>11</x:v>
      </x:c>
      <x:c r="M107" s="70" t="n">
        <x:f>MAX(0,'Federation Compiler'!$F$13-E107)</x:f>
        <x:v>0</x:v>
      </x:c>
      <x:c r="N107" s="70" t="n">
        <x:f>M107*'Federation Compiler'!$G$13</x:f>
        <x:v>0</x:v>
      </x:c>
      <x:c r="O107" s="70" t="n">
        <x:f>L107+N107</x:f>
        <x:v>11</x:v>
      </x:c>
      <x:c r="P107" s="70" t="str">
        <x:f>IF(O107&gt;=10,"PASS","FAIL")</x:f>
        <x:v>PASS</x:v>
      </x:c>
      <x:c r="Q107" s="70" t="n">
        <x:f>MAX(0,M107-IF(AND(I107=1,'Federation Compiler'!$F$13=4),1,0))</x:f>
        <x:v>0</x:v>
      </x:c>
      <x:c r="R107" s="70" t="n">
        <x:f>L107+Q107*'Federation Compiler'!$G$13</x:f>
        <x:v>11</x:v>
      </x:c>
      <x:c r="S107" s="70" t="str">
        <x:f>IF(R107&gt;=10,"PASS","FAIL")</x:f>
        <x:v>PASS</x:v>
      </x:c>
      <x:c r="T107" s="70" t="n">
        <x:v>0</x:v>
      </x:c>
      <x:c r="U107" s="70" t="str">
        <x:f>IF(T107&gt;=10,"PASS","FAIL")</x:f>
        <x:v>FAIL</x:v>
      </x:c>
      <x:c r="V107" s="52" t="str">
        <x:v>fixed lattice without mobile rescue</x:v>
      </x:c>
    </x:row>
    <x:row r="108">
      <x:c r="B108" s="66" t="str">
        <x:v>G6</x:v>
      </x:c>
      <x:c r="C108" s="66" t="str">
        <x:v>F11</x:v>
      </x:c>
      <x:c r="D108" s="66" t="str">
        <x:v>Two adjacent islands plus two modes</x:v>
      </x:c>
      <x:c r="E108" s="66" t="n">
        <x:v>2</x:v>
      </x:c>
      <x:c r="F108" s="66" t="n">
        <x:v>2</x:v>
      </x:c>
      <x:c r="G108" s="66" t="n">
        <x:v>0</x:v>
      </x:c>
      <x:c r="H108" s="66" t="n">
        <x:v>0</x:v>
      </x:c>
      <x:c r="I108" s="66" t="n">
        <x:v>0</x:v>
      </x:c>
      <x:c r="J108" s="80" t="n">
        <x:v>1</x:v>
      </x:c>
      <x:c r="K108" s="70" t="n">
        <x:f>IF(H108=1,'Federation Compiler'!$D$13,IF(G108=1,ROUNDUP('Federation Compiler'!$D$13/'Federation Compiler'!$E$13,0),0))</x:f>
        <x:v>0</x:v>
      </x:c>
      <x:c r="L108" s="70" t="n">
        <x:f>MAX(0,ROUND(('Federation Compiler'!$D$13-F108-K108)*J108,0))</x:f>
        <x:v>10</x:v>
      </x:c>
      <x:c r="M108" s="70" t="n">
        <x:f>MAX(0,'Federation Compiler'!$F$13-E108)</x:f>
        <x:v>1</x:v>
      </x:c>
      <x:c r="N108" s="70" t="n">
        <x:f>M108*'Federation Compiler'!$G$13</x:f>
        <x:v>1</x:v>
      </x:c>
      <x:c r="O108" s="70" t="n">
        <x:f>L108+N108</x:f>
        <x:v>11</x:v>
      </x:c>
      <x:c r="P108" s="70" t="str">
        <x:f>IF(O108&gt;=10,"PASS","FAIL")</x:f>
        <x:v>PASS</x:v>
      </x:c>
      <x:c r="Q108" s="70" t="n">
        <x:f>MAX(0,M108-IF(AND(I108=1,'Federation Compiler'!$F$13=4),1,0))</x:f>
        <x:v>1</x:v>
      </x:c>
      <x:c r="R108" s="70" t="n">
        <x:f>L108+Q108*'Federation Compiler'!$G$13</x:f>
        <x:v>11</x:v>
      </x:c>
      <x:c r="S108" s="70" t="str">
        <x:f>IF(R108&gt;=10,"PASS","FAIL")</x:f>
        <x:v>PASS</x:v>
      </x:c>
      <x:c r="T108" s="70" t="n">
        <x:v>0</x:v>
      </x:c>
      <x:c r="U108" s="70" t="str">
        <x:f>IF(T108&gt;=10,"PASS","FAIL")</x:f>
        <x:v>FAIL</x:v>
      </x:c>
      <x:c r="V108" s="52" t="str">
        <x:v>local hazard footprint crosses site boundaries</x:v>
      </x:c>
    </x:row>
    <x:row r="109">
      <x:c r="B109" s="66" t="str">
        <x:v>G6</x:v>
      </x:c>
      <x:c r="C109" s="66" t="str">
        <x:v>F12</x:v>
      </x:c>
      <x:c r="D109" s="66" t="str">
        <x:v>Entire fixed lattice plus one mode</x:v>
      </x:c>
      <x:c r="E109" s="66" t="n">
        <x:v>1</x:v>
      </x:c>
      <x:c r="F109" s="66" t="n">
        <x:v>0</x:v>
      </x:c>
      <x:c r="G109" s="66" t="n">
        <x:v>0</x:v>
      </x:c>
      <x:c r="H109" s="66" t="n">
        <x:v>1</x:v>
      </x:c>
      <x:c r="I109" s="66" t="n">
        <x:v>0</x:v>
      </x:c>
      <x:c r="J109" s="80" t="n">
        <x:v>1</x:v>
      </x:c>
      <x:c r="K109" s="70" t="n">
        <x:f>IF(H109=1,'Federation Compiler'!$D$13,IF(G109=1,ROUNDUP('Federation Compiler'!$D$13/'Federation Compiler'!$E$13,0),0))</x:f>
        <x:v>12</x:v>
      </x:c>
      <x:c r="L109" s="70" t="n">
        <x:f>MAX(0,ROUND(('Federation Compiler'!$D$13-F109-K109)*J109,0))</x:f>
        <x:v>0</x:v>
      </x:c>
      <x:c r="M109" s="70" t="n">
        <x:f>MAX(0,'Federation Compiler'!$F$13-E109)</x:f>
        <x:v>2</x:v>
      </x:c>
      <x:c r="N109" s="70" t="n">
        <x:f>M109*'Federation Compiler'!$G$13</x:f>
        <x:v>2</x:v>
      </x:c>
      <x:c r="O109" s="70" t="n">
        <x:f>L109+N109</x:f>
        <x:v>2</x:v>
      </x:c>
      <x:c r="P109" s="70" t="str">
        <x:f>IF(O109&gt;=10,"PASS","FAIL")</x:f>
        <x:v>FAIL</x:v>
      </x:c>
      <x:c r="Q109" s="70" t="n">
        <x:f>MAX(0,M109-IF(AND(I109=1,'Federation Compiler'!$F$13=4),1,0))</x:f>
        <x:v>2</x:v>
      </x:c>
      <x:c r="R109" s="70" t="n">
        <x:f>L109+Q109*'Federation Compiler'!$G$13</x:f>
        <x:v>2</x:v>
      </x:c>
      <x:c r="S109" s="70" t="str">
        <x:f>IF(R109&gt;=10,"PASS","FAIL")</x:f>
        <x:v>FAIL</x:v>
      </x:c>
      <x:c r="T109" s="70" t="n">
        <x:v>0</x:v>
      </x:c>
      <x:c r="U109" s="70" t="str">
        <x:f>IF(T109&gt;=10,"PASS","FAIL")</x:f>
        <x:v>FAIL</x:v>
      </x:c>
      <x:c r="V109" s="52" t="str">
        <x:v>national or regional common fixed failure</x:v>
      </x:c>
    </x:row>
    <x:row r="110">
      <x:c r="B110" s="66" t="str">
        <x:v>G6</x:v>
      </x:c>
      <x:c r="C110" s="66" t="str">
        <x:v>F13</x:v>
      </x:c>
      <x:c r="D110" s="66" t="str">
        <x:v>Source domain plus one mode</x:v>
      </x:c>
      <x:c r="E110" s="66" t="n">
        <x:v>1</x:v>
      </x:c>
      <x:c r="F110" s="66" t="n">
        <x:v>0</x:v>
      </x:c>
      <x:c r="G110" s="66" t="n">
        <x:v>1</x:v>
      </x:c>
      <x:c r="H110" s="66" t="n">
        <x:v>0</x:v>
      </x:c>
      <x:c r="I110" s="66" t="n">
        <x:v>0</x:v>
      </x:c>
      <x:c r="J110" s="80" t="n">
        <x:v>1</x:v>
      </x:c>
      <x:c r="K110" s="70" t="n">
        <x:f>IF(H110=1,'Federation Compiler'!$D$13,IF(G110=1,ROUNDUP('Federation Compiler'!$D$13/'Federation Compiler'!$E$13,0),0))</x:f>
        <x:v>2</x:v>
      </x:c>
      <x:c r="L110" s="70" t="n">
        <x:f>MAX(0,ROUND(('Federation Compiler'!$D$13-F110-K110)*J110,0))</x:f>
        <x:v>10</x:v>
      </x:c>
      <x:c r="M110" s="70" t="n">
        <x:f>MAX(0,'Federation Compiler'!$F$13-E110)</x:f>
        <x:v>2</x:v>
      </x:c>
      <x:c r="N110" s="70" t="n">
        <x:f>M110*'Federation Compiler'!$G$13</x:f>
        <x:v>2</x:v>
      </x:c>
      <x:c r="O110" s="70" t="n">
        <x:f>L110+N110</x:f>
        <x:v>12</x:v>
      </x:c>
      <x:c r="P110" s="70" t="str">
        <x:f>IF(O110&gt;=10,"PASS","FAIL")</x:f>
        <x:v>PASS</x:v>
      </x:c>
      <x:c r="Q110" s="70" t="n">
        <x:f>MAX(0,M110-IF(AND(I110=1,'Federation Compiler'!$F$13=4),1,0))</x:f>
        <x:v>2</x:v>
      </x:c>
      <x:c r="R110" s="70" t="n">
        <x:f>L110+Q110*'Federation Compiler'!$G$13</x:f>
        <x:v>12</x:v>
      </x:c>
      <x:c r="S110" s="70" t="str">
        <x:f>IF(R110&gt;=10,"PASS","FAIL")</x:f>
        <x:v>PASS</x:v>
      </x:c>
      <x:c r="T110" s="70" t="n">
        <x:v>0</x:v>
      </x:c>
      <x:c r="U110" s="70" t="str">
        <x:f>IF(T110&gt;=10,"PASS","FAIL")</x:f>
        <x:v>FAIL</x:v>
      </x:c>
      <x:c r="V110" s="52" t="str">
        <x:v>compound ancestry with larger mobile remainder</x:v>
      </x:c>
    </x:row>
    <x:row r="111">
      <x:c r="B111" s="66" t="str">
        <x:v>G6</x:v>
      </x:c>
      <x:c r="C111" s="66" t="str">
        <x:v>F14</x:v>
      </x:c>
      <x:c r="D111" s="66" t="str">
        <x:v>Fixed-island reset at ninety-two percent</x:v>
      </x:c>
      <x:c r="E111" s="66" t="n">
        <x:v>0</x:v>
      </x:c>
      <x:c r="F111" s="66" t="n">
        <x:v>0</x:v>
      </x:c>
      <x:c r="G111" s="66" t="n">
        <x:v>0</x:v>
      </x:c>
      <x:c r="H111" s="66" t="n">
        <x:v>0</x:v>
      </x:c>
      <x:c r="I111" s="66" t="n">
        <x:v>0</x:v>
      </x:c>
      <x:c r="J111" s="80" t="n">
        <x:v>0.92</x:v>
      </x:c>
      <x:c r="K111" s="70" t="n">
        <x:f>IF(H111=1,'Federation Compiler'!$D$13,IF(G111=1,ROUNDUP('Federation Compiler'!$D$13/'Federation Compiler'!$E$13,0),0))</x:f>
        <x:v>0</x:v>
      </x:c>
      <x:c r="L111" s="70" t="n">
        <x:f>MAX(0,ROUND(('Federation Compiler'!$D$13-F111-K111)*J111,0))</x:f>
        <x:v>11</x:v>
      </x:c>
      <x:c r="M111" s="70" t="n">
        <x:f>MAX(0,'Federation Compiler'!$F$13-E111)</x:f>
        <x:v>3</x:v>
      </x:c>
      <x:c r="N111" s="70" t="n">
        <x:f>M111*'Federation Compiler'!$G$13</x:f>
        <x:v>3</x:v>
      </x:c>
      <x:c r="O111" s="70" t="n">
        <x:f>L111+N111</x:f>
        <x:v>14</x:v>
      </x:c>
      <x:c r="P111" s="70" t="str">
        <x:f>IF(O111&gt;=10,"PASS","FAIL")</x:f>
        <x:v>PASS</x:v>
      </x:c>
      <x:c r="Q111" s="70" t="n">
        <x:f>MAX(0,M111-IF(AND(I111=1,'Federation Compiler'!$F$13=4),1,0))</x:f>
        <x:v>3</x:v>
      </x:c>
      <x:c r="R111" s="70" t="n">
        <x:f>L111+Q111*'Federation Compiler'!$G$13</x:f>
        <x:v>14</x:v>
      </x:c>
      <x:c r="S111" s="70" t="str">
        <x:f>IF(R111&gt;=10,"PASS","FAIL")</x:f>
        <x:v>PASS</x:v>
      </x:c>
      <x:c r="T111" s="70" t="n">
        <x:v>0</x:v>
      </x:c>
      <x:c r="U111" s="70" t="str">
        <x:f>IF(T111&gt;=10,"PASS","FAIL")</x:f>
        <x:v>FAIL</x:v>
      </x:c>
      <x:c r="V111" s="52" t="str">
        <x:v>second mission before full repair</x:v>
      </x:c>
    </x:row>
    <x:row r="112">
      <x:c r="B112" s="66" t="str">
        <x:v>G6</x:v>
      </x:c>
      <x:c r="C112" s="66" t="str">
        <x:v>F15</x:v>
      </x:c>
      <x:c r="D112" s="66" t="str">
        <x:v>National pool retains ninety-two percent</x:v>
      </x:c>
      <x:c r="E112" s="66" t="n">
        <x:v>0</x:v>
      </x:c>
      <x:c r="F112" s="66" t="n">
        <x:v>0</x:v>
      </x:c>
      <x:c r="G112" s="66" t="n">
        <x:v>0</x:v>
      </x:c>
      <x:c r="H112" s="66" t="n">
        <x:v>0</x:v>
      </x:c>
      <x:c r="I112" s="66" t="n">
        <x:v>0</x:v>
      </x:c>
      <x:c r="J112" s="80" t="n">
        <x:v>0.92</x:v>
      </x:c>
      <x:c r="K112" s="70" t="n">
        <x:f>IF(H112=1,'Federation Compiler'!$D$13,IF(G112=1,ROUNDUP('Federation Compiler'!$D$13/'Federation Compiler'!$E$13,0),0))</x:f>
        <x:v>0</x:v>
      </x:c>
      <x:c r="L112" s="70" t="n">
        <x:f>MAX(0,ROUND(('Federation Compiler'!$D$13-F112-K112)*J112,0))</x:f>
        <x:v>11</x:v>
      </x:c>
      <x:c r="M112" s="70" t="n">
        <x:f>MAX(0,'Federation Compiler'!$F$13-E112)</x:f>
        <x:v>3</x:v>
      </x:c>
      <x:c r="N112" s="70" t="n">
        <x:f>M112*'Federation Compiler'!$G$13</x:f>
        <x:v>3</x:v>
      </x:c>
      <x:c r="O112" s="70" t="n">
        <x:f>L112+N112</x:f>
        <x:v>14</x:v>
      </x:c>
      <x:c r="P112" s="70" t="str">
        <x:f>IF(O112&gt;=10,"PASS","FAIL")</x:f>
        <x:v>PASS</x:v>
      </x:c>
      <x:c r="Q112" s="70" t="n">
        <x:f>MAX(0,M112-IF(AND(I112=1,'Federation Compiler'!$F$13=4),1,0))</x:f>
        <x:v>3</x:v>
      </x:c>
      <x:c r="R112" s="70" t="n">
        <x:f>L112+Q112*'Federation Compiler'!$G$13</x:f>
        <x:v>14</x:v>
      </x:c>
      <x:c r="S112" s="70" t="str">
        <x:f>IF(R112&gt;=10,"PASS","FAIL")</x:f>
        <x:v>PASS</x:v>
      </x:c>
      <x:c r="T112" s="70" t="n">
        <x:v>0</x:v>
      </x:c>
      <x:c r="U112" s="70" t="str">
        <x:f>IF(T112&gt;=10,"PASS","FAIL")</x:f>
        <x:v>FAIL</x:v>
      </x:c>
      <x:c r="V112" s="52" t="str">
        <x:v>concurrent campaigns and reserve protection</x:v>
      </x:c>
    </x:row>
    <x:row r="113">
      <x:c r="B113" s="66" t="str">
        <x:v>G6</x:v>
      </x:c>
      <x:c r="C113" s="66" t="str">
        <x:v>F16</x:v>
      </x:c>
      <x:c r="D113" s="66" t="str">
        <x:v>Fourth path has no admission credit</x:v>
      </x:c>
      <x:c r="E113" s="66" t="n">
        <x:v>2</x:v>
      </x:c>
      <x:c r="F113" s="66" t="n">
        <x:v>0</x:v>
      </x:c>
      <x:c r="G113" s="66" t="n">
        <x:v>1</x:v>
      </x:c>
      <x:c r="H113" s="66" t="n">
        <x:v>0</x:v>
      </x:c>
      <x:c r="I113" s="66" t="n">
        <x:v>1</x:v>
      </x:c>
      <x:c r="J113" s="80" t="n">
        <x:v>1</x:v>
      </x:c>
      <x:c r="K113" s="70" t="n">
        <x:f>IF(H113=1,'Federation Compiler'!$D$13,IF(G113=1,ROUNDUP('Federation Compiler'!$D$13/'Federation Compiler'!$E$13,0),0))</x:f>
        <x:v>2</x:v>
      </x:c>
      <x:c r="L113" s="70" t="n">
        <x:f>MAX(0,ROUND(('Federation Compiler'!$D$13-F113-K113)*J113,0))</x:f>
        <x:v>10</x:v>
      </x:c>
      <x:c r="M113" s="70" t="n">
        <x:f>MAX(0,'Federation Compiler'!$F$13-E113)</x:f>
        <x:v>1</x:v>
      </x:c>
      <x:c r="N113" s="70" t="n">
        <x:f>M113*'Federation Compiler'!$G$13</x:f>
        <x:v>1</x:v>
      </x:c>
      <x:c r="O113" s="70" t="n">
        <x:f>L113+N113</x:f>
        <x:v>11</x:v>
      </x:c>
      <x:c r="P113" s="70" t="str">
        <x:f>IF(O113&gt;=10,"PASS","FAIL")</x:f>
        <x:v>PASS</x:v>
      </x:c>
      <x:c r="Q113" s="70" t="n">
        <x:f>MAX(0,M113-IF(AND(I113=1,'Federation Compiler'!$F$13=4),1,0))</x:f>
        <x:v>1</x:v>
      </x:c>
      <x:c r="R113" s="70" t="n">
        <x:f>L113+Q113*'Federation Compiler'!$G$13</x:f>
        <x:v>11</x:v>
      </x:c>
      <x:c r="S113" s="70" t="str">
        <x:f>IF(R113&gt;=10,"PASS","FAIL")</x:f>
        <x:v>PASS</x:v>
      </x:c>
      <x:c r="T113" s="70" t="n">
        <x:v>0</x:v>
      </x:c>
      <x:c r="U113" s="70" t="str">
        <x:f>IF(T113&gt;=10,"PASS","FAIL")</x:f>
        <x:v>FAIL</x:v>
      </x:c>
      <x:c r="V113" s="52" t="str">
        <x:v>unproved fourth path withheld from current credit</x:v>
      </x:c>
    </x:row>
    <x:row r="114">
      <x:c r="B114" s="66" t="str">
        <x:v>G6</x:v>
      </x:c>
      <x:c r="C114" s="66" t="str">
        <x:v>F17</x:v>
      </x:c>
      <x:c r="D114" s="66" t="str">
        <x:v>One island, source domain and one mode</x:v>
      </x:c>
      <x:c r="E114" s="66" t="n">
        <x:v>1</x:v>
      </x:c>
      <x:c r="F114" s="66" t="n">
        <x:v>1</x:v>
      </x:c>
      <x:c r="G114" s="66" t="n">
        <x:v>1</x:v>
      </x:c>
      <x:c r="H114" s="66" t="n">
        <x:v>0</x:v>
      </x:c>
      <x:c r="I114" s="66" t="n">
        <x:v>0</x:v>
      </x:c>
      <x:c r="J114" s="80" t="n">
        <x:v>1</x:v>
      </x:c>
      <x:c r="K114" s="70" t="n">
        <x:f>IF(H114=1,'Federation Compiler'!$D$13,IF(G114=1,ROUNDUP('Federation Compiler'!$D$13/'Federation Compiler'!$E$13,0),0))</x:f>
        <x:v>2</x:v>
      </x:c>
      <x:c r="L114" s="70" t="n">
        <x:f>MAX(0,ROUND(('Federation Compiler'!$D$13-F114-K114)*J114,0))</x:f>
        <x:v>9</x:v>
      </x:c>
      <x:c r="M114" s="70" t="n">
        <x:f>MAX(0,'Federation Compiler'!$F$13-E114)</x:f>
        <x:v>2</x:v>
      </x:c>
      <x:c r="N114" s="70" t="n">
        <x:f>M114*'Federation Compiler'!$G$13</x:f>
        <x:v>2</x:v>
      </x:c>
      <x:c r="O114" s="70" t="n">
        <x:f>L114+N114</x:f>
        <x:v>11</x:v>
      </x:c>
      <x:c r="P114" s="70" t="str">
        <x:f>IF(O114&gt;=10,"PASS","FAIL")</x:f>
        <x:v>PASS</x:v>
      </x:c>
      <x:c r="Q114" s="70" t="n">
        <x:f>MAX(0,M114-IF(AND(I114=1,'Federation Compiler'!$F$13=4),1,0))</x:f>
        <x:v>2</x:v>
      </x:c>
      <x:c r="R114" s="70" t="n">
        <x:f>L114+Q114*'Federation Compiler'!$G$13</x:f>
        <x:v>11</x:v>
      </x:c>
      <x:c r="S114" s="70" t="str">
        <x:f>IF(R114&gt;=10,"PASS","FAIL")</x:f>
        <x:v>PASS</x:v>
      </x:c>
      <x:c r="T114" s="70" t="n">
        <x:v>0</x:v>
      </x:c>
      <x:c r="U114" s="70" t="str">
        <x:f>IF(T114&gt;=10,"PASS","FAIL")</x:f>
        <x:v>FAIL</x:v>
      </x:c>
      <x:c r="V114" s="52" t="str">
        <x:v>physical and ancestry losses stack</x:v>
      </x:c>
    </x:row>
    <x:row r="115">
      <x:c r="B115" s="66" t="str">
        <x:v>G6</x:v>
      </x:c>
      <x:c r="C115" s="66" t="str">
        <x:v>F18</x:v>
      </x:c>
      <x:c r="D115" s="66" t="str">
        <x:v>Internal island evidence withheld</x:v>
      </x:c>
      <x:c r="E115" s="66" t="n">
        <x:v>0</x:v>
      </x:c>
      <x:c r="F115" s="66" t="n">
        <x:v>0</x:v>
      </x:c>
      <x:c r="G115" s="66" t="n">
        <x:v>0</x:v>
      </x:c>
      <x:c r="H115" s="66" t="n">
        <x:v>0</x:v>
      </x:c>
      <x:c r="I115" s="66" t="n">
        <x:v>0</x:v>
      </x:c>
      <x:c r="J115" s="80" t="n">
        <x:v>0</x:v>
      </x:c>
      <x:c r="K115" s="70" t="n">
        <x:f>IF(H115=1,'Federation Compiler'!$D$13,IF(G115=1,ROUNDUP('Federation Compiler'!$D$13/'Federation Compiler'!$E$13,0),0))</x:f>
        <x:v>0</x:v>
      </x:c>
      <x:c r="L115" s="70" t="n">
        <x:f>MAX(0,ROUND(('Federation Compiler'!$D$13-F115-K115)*J115,0))</x:f>
        <x:v>0</x:v>
      </x:c>
      <x:c r="M115" s="70" t="n">
        <x:f>MAX(0,'Federation Compiler'!$F$13-E115)</x:f>
        <x:v>3</x:v>
      </x:c>
      <x:c r="N115" s="70" t="n">
        <x:f>M115*'Federation Compiler'!$G$13</x:f>
        <x:v>3</x:v>
      </x:c>
      <x:c r="O115" s="70" t="n">
        <x:f>L115+N115</x:f>
        <x:v>3</x:v>
      </x:c>
      <x:c r="P115" s="70" t="str">
        <x:f>IF(O115&gt;=10,"PASS","FAIL")</x:f>
        <x:v>FAIL</x:v>
      </x:c>
      <x:c r="Q115" s="70" t="n">
        <x:f>MAX(0,M115-IF(AND(I115=1,'Federation Compiler'!$F$13=4),1,0))</x:f>
        <x:v>3</x:v>
      </x:c>
      <x:c r="R115" s="70" t="n">
        <x:f>L115+Q115*'Federation Compiler'!$G$13</x:f>
        <x:v>3</x:v>
      </x:c>
      <x:c r="S115" s="70" t="str">
        <x:f>IF(R115&gt;=10,"PASS","FAIL")</x:f>
        <x:v>FAIL</x:v>
      </x:c>
      <x:c r="T115" s="70" t="n">
        <x:v>0</x:v>
      </x:c>
      <x:c r="U115" s="70" t="str">
        <x:f>IF(T115&gt;=10,"PASS","FAIL")</x:f>
        <x:v>FAIL</x:v>
      </x:c>
      <x:c r="V115" s="52" t="str">
        <x:v>strict admission remains zero for every federation</x:v>
      </x:c>
    </x:row>
    <x:row r="116">
      <x:c r="B116" s="66" t="str">
        <x:v>G7</x:v>
      </x:c>
      <x:c r="C116" s="66" t="str">
        <x:v>F01</x:v>
      </x:c>
      <x:c r="D116" s="66" t="str">
        <x:v>Baseline release</x:v>
      </x:c>
      <x:c r="E116" s="66" t="n">
        <x:v>0</x:v>
      </x:c>
      <x:c r="F116" s="66" t="n">
        <x:v>0</x:v>
      </x:c>
      <x:c r="G116" s="66" t="n">
        <x:v>0</x:v>
      </x:c>
      <x:c r="H116" s="66" t="n">
        <x:v>0</x:v>
      </x:c>
      <x:c r="I116" s="66" t="n">
        <x:v>0</x:v>
      </x:c>
      <x:c r="J116" s="80" t="n">
        <x:v>1</x:v>
      </x:c>
      <x:c r="K116" s="70" t="n">
        <x:f>IF(H116=1,'Federation Compiler'!$D$14,IF(G116=1,ROUNDUP('Federation Compiler'!$D$14/'Federation Compiler'!$E$14,0),0))</x:f>
        <x:v>0</x:v>
      </x:c>
      <x:c r="L116" s="70" t="n">
        <x:f>MAX(0,ROUND(('Federation Compiler'!$D$14-F116-K116)*J116,0))</x:f>
        <x:v>10</x:v>
      </x:c>
      <x:c r="M116" s="70" t="n">
        <x:f>MAX(0,'Federation Compiler'!$F$14-E116)</x:f>
        <x:v>3</x:v>
      </x:c>
      <x:c r="N116" s="70" t="n">
        <x:f>M116*'Federation Compiler'!$G$14</x:f>
        <x:v>9</x:v>
      </x:c>
      <x:c r="O116" s="70" t="n">
        <x:f>L116+N116</x:f>
        <x:v>19</x:v>
      </x:c>
      <x:c r="P116" s="70" t="str">
        <x:f>IF(O116&gt;=10,"PASS","FAIL")</x:f>
        <x:v>PASS</x:v>
      </x:c>
      <x:c r="Q116" s="70" t="n">
        <x:f>MAX(0,M116-IF(AND(I116=1,'Federation Compiler'!$F$14=4),1,0))</x:f>
        <x:v>3</x:v>
      </x:c>
      <x:c r="R116" s="70" t="n">
        <x:f>L116+Q116*'Federation Compiler'!$G$14</x:f>
        <x:v>19</x:v>
      </x:c>
      <x:c r="S116" s="70" t="str">
        <x:f>IF(R116&gt;=10,"PASS","FAIL")</x:f>
        <x:v>PASS</x:v>
      </x:c>
      <x:c r="T116" s="70" t="n">
        <x:v>0</x:v>
      </x:c>
      <x:c r="U116" s="70" t="str">
        <x:f>IF(T116&gt;=10,"PASS","FAIL")</x:f>
        <x:v>FAIL</x:v>
      </x:c>
      <x:c r="V116" s="52" t="str">
        <x:v>all packages available</x:v>
      </x:c>
    </x:row>
    <x:row r="117">
      <x:c r="B117" s="66" t="str">
        <x:v>G7</x:v>
      </x:c>
      <x:c r="C117" s="66" t="str">
        <x:v>F02</x:v>
      </x:c>
      <x:c r="D117" s="66" t="str">
        <x:v>Any two legacy modes lost</x:v>
      </x:c>
      <x:c r="E117" s="66" t="n">
        <x:v>2</x:v>
      </x:c>
      <x:c r="F117" s="66" t="n">
        <x:v>0</x:v>
      </x:c>
      <x:c r="G117" s="66" t="n">
        <x:v>0</x:v>
      </x:c>
      <x:c r="H117" s="66" t="n">
        <x:v>0</x:v>
      </x:c>
      <x:c r="I117" s="66" t="n">
        <x:v>0</x:v>
      </x:c>
      <x:c r="J117" s="80" t="n">
        <x:v>1</x:v>
      </x:c>
      <x:c r="K117" s="70" t="n">
        <x:f>IF(H117=1,'Federation Compiler'!$D$14,IF(G117=1,ROUNDUP('Federation Compiler'!$D$14/'Federation Compiler'!$E$14,0),0))</x:f>
        <x:v>0</x:v>
      </x:c>
      <x:c r="L117" s="70" t="n">
        <x:f>MAX(0,ROUND(('Federation Compiler'!$D$14-F117-K117)*J117,0))</x:f>
        <x:v>10</x:v>
      </x:c>
      <x:c r="M117" s="70" t="n">
        <x:f>MAX(0,'Federation Compiler'!$F$14-E117)</x:f>
        <x:v>1</x:v>
      </x:c>
      <x:c r="N117" s="70" t="n">
        <x:f>M117*'Federation Compiler'!$G$14</x:f>
        <x:v>3</x:v>
      </x:c>
      <x:c r="O117" s="70" t="n">
        <x:f>L117+N117</x:f>
        <x:v>13</x:v>
      </x:c>
      <x:c r="P117" s="70" t="str">
        <x:f>IF(O117&gt;=10,"PASS","FAIL")</x:f>
        <x:v>PASS</x:v>
      </x:c>
      <x:c r="Q117" s="70" t="n">
        <x:f>MAX(0,M117-IF(AND(I117=1,'Federation Compiler'!$F$14=4),1,0))</x:f>
        <x:v>1</x:v>
      </x:c>
      <x:c r="R117" s="70" t="n">
        <x:f>L117+Q117*'Federation Compiler'!$G$14</x:f>
        <x:v>13</x:v>
      </x:c>
      <x:c r="S117" s="70" t="str">
        <x:f>IF(R117&gt;=10,"PASS","FAIL")</x:f>
        <x:v>PASS</x:v>
      </x:c>
      <x:c r="T117" s="70" t="n">
        <x:v>0</x:v>
      </x:c>
      <x:c r="U117" s="70" t="str">
        <x:f>IF(T117&gt;=10,"PASS","FAIL")</x:f>
        <x:v>FAIL</x:v>
      </x:c>
      <x:c r="V117" s="52" t="str">
        <x:v>Pass 75 access guarantee</x:v>
      </x:c>
    </x:row>
    <x:row r="118">
      <x:c r="B118" s="66" t="str">
        <x:v>G7</x:v>
      </x:c>
      <x:c r="C118" s="66" t="str">
        <x:v>F03</x:v>
      </x:c>
      <x:c r="D118" s="66" t="str">
        <x:v>One physical island plus two modes</x:v>
      </x:c>
      <x:c r="E118" s="66" t="n">
        <x:v>2</x:v>
      </x:c>
      <x:c r="F118" s="66" t="n">
        <x:v>1</x:v>
      </x:c>
      <x:c r="G118" s="66" t="n">
        <x:v>0</x:v>
      </x:c>
      <x:c r="H118" s="66" t="n">
        <x:v>0</x:v>
      </x:c>
      <x:c r="I118" s="66" t="n">
        <x:v>0</x:v>
      </x:c>
      <x:c r="J118" s="80" t="n">
        <x:v>1</x:v>
      </x:c>
      <x:c r="K118" s="70" t="n">
        <x:f>IF(H118=1,'Federation Compiler'!$D$14,IF(G118=1,ROUNDUP('Federation Compiler'!$D$14/'Federation Compiler'!$E$14,0),0))</x:f>
        <x:v>0</x:v>
      </x:c>
      <x:c r="L118" s="70" t="n">
        <x:f>MAX(0,ROUND(('Federation Compiler'!$D$14-F118-K118)*J118,0))</x:f>
        <x:v>9</x:v>
      </x:c>
      <x:c r="M118" s="70" t="n">
        <x:f>MAX(0,'Federation Compiler'!$F$14-E118)</x:f>
        <x:v>1</x:v>
      </x:c>
      <x:c r="N118" s="70" t="n">
        <x:f>M118*'Federation Compiler'!$G$14</x:f>
        <x:v>3</x:v>
      </x:c>
      <x:c r="O118" s="70" t="n">
        <x:f>L118+N118</x:f>
        <x:v>12</x:v>
      </x:c>
      <x:c r="P118" s="70" t="str">
        <x:f>IF(O118&gt;=10,"PASS","FAIL")</x:f>
        <x:v>PASS</x:v>
      </x:c>
      <x:c r="Q118" s="70" t="n">
        <x:f>MAX(0,M118-IF(AND(I118=1,'Federation Compiler'!$F$14=4),1,0))</x:f>
        <x:v>1</x:v>
      </x:c>
      <x:c r="R118" s="70" t="n">
        <x:f>L118+Q118*'Federation Compiler'!$G$14</x:f>
        <x:v>12</x:v>
      </x:c>
      <x:c r="S118" s="70" t="str">
        <x:f>IF(R118&gt;=10,"PASS","FAIL")</x:f>
        <x:v>PASS</x:v>
      </x:c>
      <x:c r="T118" s="70" t="n">
        <x:v>0</x:v>
      </x:c>
      <x:c r="U118" s="70" t="str">
        <x:f>IF(T118&gt;=10,"PASS","FAIL")</x:f>
        <x:v>FAIL</x:v>
      </x:c>
      <x:c r="V118" s="52" t="str">
        <x:v>original T7 promise</x:v>
      </x:c>
    </x:row>
    <x:row r="119">
      <x:c r="B119" s="66" t="str">
        <x:v>G7</x:v>
      </x:c>
      <x:c r="C119" s="66" t="str">
        <x:v>F04</x:v>
      </x:c>
      <x:c r="D119" s="66" t="str">
        <x:v>Source domain plus two modes</x:v>
      </x:c>
      <x:c r="E119" s="66" t="n">
        <x:v>2</x:v>
      </x:c>
      <x:c r="F119" s="66" t="n">
        <x:v>0</x:v>
      </x:c>
      <x:c r="G119" s="66" t="n">
        <x:v>1</x:v>
      </x:c>
      <x:c r="H119" s="66" t="n">
        <x:v>0</x:v>
      </x:c>
      <x:c r="I119" s="66" t="n">
        <x:v>0</x:v>
      </x:c>
      <x:c r="J119" s="80" t="n">
        <x:v>1</x:v>
      </x:c>
      <x:c r="K119" s="70" t="n">
        <x:f>IF(H119=1,'Federation Compiler'!$D$14,IF(G119=1,ROUNDUP('Federation Compiler'!$D$14/'Federation Compiler'!$E$14,0),0))</x:f>
        <x:v>3</x:v>
      </x:c>
      <x:c r="L119" s="70" t="n">
        <x:f>MAX(0,ROUND(('Federation Compiler'!$D$14-F119-K119)*J119,0))</x:f>
        <x:v>7</x:v>
      </x:c>
      <x:c r="M119" s="70" t="n">
        <x:f>MAX(0,'Federation Compiler'!$F$14-E119)</x:f>
        <x:v>1</x:v>
      </x:c>
      <x:c r="N119" s="70" t="n">
        <x:f>M119*'Federation Compiler'!$G$14</x:f>
        <x:v>3</x:v>
      </x:c>
      <x:c r="O119" s="70" t="n">
        <x:f>L119+N119</x:f>
        <x:v>10</x:v>
      </x:c>
      <x:c r="P119" s="70" t="str">
        <x:f>IF(O119&gt;=10,"PASS","FAIL")</x:f>
        <x:v>PASS</x:v>
      </x:c>
      <x:c r="Q119" s="70" t="n">
        <x:f>MAX(0,M119-IF(AND(I119=1,'Federation Compiler'!$F$14=4),1,0))</x:f>
        <x:v>1</x:v>
      </x:c>
      <x:c r="R119" s="70" t="n">
        <x:f>L119+Q119*'Federation Compiler'!$G$14</x:f>
        <x:v>10</x:v>
      </x:c>
      <x:c r="S119" s="70" t="str">
        <x:f>IF(R119&gt;=10,"PASS","FAIL")</x:f>
        <x:v>PASS</x:v>
      </x:c>
      <x:c r="T119" s="70" t="n">
        <x:v>0</x:v>
      </x:c>
      <x:c r="U119" s="70" t="str">
        <x:f>IF(T119&gt;=10,"PASS","FAIL")</x:f>
        <x:v>FAIL</x:v>
      </x:c>
      <x:c r="V119" s="52" t="str">
        <x:v>correlated energy ancestry</x:v>
      </x:c>
    </x:row>
    <x:row r="120">
      <x:c r="B120" s="66" t="str">
        <x:v>G7</x:v>
      </x:c>
      <x:c r="C120" s="66" t="str">
        <x:v>F05</x:v>
      </x:c>
      <x:c r="D120" s="66" t="str">
        <x:v>Heat domain plus two modes</x:v>
      </x:c>
      <x:c r="E120" s="66" t="n">
        <x:v>2</x:v>
      </x:c>
      <x:c r="F120" s="66" t="n">
        <x:v>0</x:v>
      </x:c>
      <x:c r="G120" s="66" t="n">
        <x:v>1</x:v>
      </x:c>
      <x:c r="H120" s="66" t="n">
        <x:v>0</x:v>
      </x:c>
      <x:c r="I120" s="66" t="n">
        <x:v>0</x:v>
      </x:c>
      <x:c r="J120" s="80" t="n">
        <x:v>1</x:v>
      </x:c>
      <x:c r="K120" s="70" t="n">
        <x:f>IF(H120=1,'Federation Compiler'!$D$14,IF(G120=1,ROUNDUP('Federation Compiler'!$D$14/'Federation Compiler'!$E$14,0),0))</x:f>
        <x:v>3</x:v>
      </x:c>
      <x:c r="L120" s="70" t="n">
        <x:f>MAX(0,ROUND(('Federation Compiler'!$D$14-F120-K120)*J120,0))</x:f>
        <x:v>7</x:v>
      </x:c>
      <x:c r="M120" s="70" t="n">
        <x:f>MAX(0,'Federation Compiler'!$F$14-E120)</x:f>
        <x:v>1</x:v>
      </x:c>
      <x:c r="N120" s="70" t="n">
        <x:f>M120*'Federation Compiler'!$G$14</x:f>
        <x:v>3</x:v>
      </x:c>
      <x:c r="O120" s="70" t="n">
        <x:f>L120+N120</x:f>
        <x:v>10</x:v>
      </x:c>
      <x:c r="P120" s="70" t="str">
        <x:f>IF(O120&gt;=10,"PASS","FAIL")</x:f>
        <x:v>PASS</x:v>
      </x:c>
      <x:c r="Q120" s="70" t="n">
        <x:f>MAX(0,M120-IF(AND(I120=1,'Federation Compiler'!$F$14=4),1,0))</x:f>
        <x:v>1</x:v>
      </x:c>
      <x:c r="R120" s="70" t="n">
        <x:f>L120+Q120*'Federation Compiler'!$G$14</x:f>
        <x:v>10</x:v>
      </x:c>
      <x:c r="S120" s="70" t="str">
        <x:f>IF(R120&gt;=10,"PASS","FAIL")</x:f>
        <x:v>PASS</x:v>
      </x:c>
      <x:c r="T120" s="70" t="n">
        <x:v>0</x:v>
      </x:c>
      <x:c r="U120" s="70" t="str">
        <x:f>IF(T120&gt;=10,"PASS","FAIL")</x:f>
        <x:v>FAIL</x:v>
      </x:c>
      <x:c r="V120" s="52" t="str">
        <x:v>correlated final heat destination</x:v>
      </x:c>
    </x:row>
    <x:row r="121">
      <x:c r="B121" s="66" t="str">
        <x:v>G7</x:v>
      </x:c>
      <x:c r="C121" s="66" t="str">
        <x:v>F06</x:v>
      </x:c>
      <x:c r="D121" s="66" t="str">
        <x:v>Control domain plus two modes</x:v>
      </x:c>
      <x:c r="E121" s="66" t="n">
        <x:v>2</x:v>
      </x:c>
      <x:c r="F121" s="66" t="n">
        <x:v>0</x:v>
      </x:c>
      <x:c r="G121" s="66" t="n">
        <x:v>1</x:v>
      </x:c>
      <x:c r="H121" s="66" t="n">
        <x:v>0</x:v>
      </x:c>
      <x:c r="I121" s="66" t="n">
        <x:v>0</x:v>
      </x:c>
      <x:c r="J121" s="80" t="n">
        <x:v>1</x:v>
      </x:c>
      <x:c r="K121" s="70" t="n">
        <x:f>IF(H121=1,'Federation Compiler'!$D$14,IF(G121=1,ROUNDUP('Federation Compiler'!$D$14/'Federation Compiler'!$E$14,0),0))</x:f>
        <x:v>3</x:v>
      </x:c>
      <x:c r="L121" s="70" t="n">
        <x:f>MAX(0,ROUND(('Federation Compiler'!$D$14-F121-K121)*J121,0))</x:f>
        <x:v>7</x:v>
      </x:c>
      <x:c r="M121" s="70" t="n">
        <x:f>MAX(0,'Federation Compiler'!$F$14-E121)</x:f>
        <x:v>1</x:v>
      </x:c>
      <x:c r="N121" s="70" t="n">
        <x:f>M121*'Federation Compiler'!$G$14</x:f>
        <x:v>3</x:v>
      </x:c>
      <x:c r="O121" s="70" t="n">
        <x:f>L121+N121</x:f>
        <x:v>10</x:v>
      </x:c>
      <x:c r="P121" s="70" t="str">
        <x:f>IF(O121&gt;=10,"PASS","FAIL")</x:f>
        <x:v>PASS</x:v>
      </x:c>
      <x:c r="Q121" s="70" t="n">
        <x:f>MAX(0,M121-IF(AND(I121=1,'Federation Compiler'!$F$14=4),1,0))</x:f>
        <x:v>1</x:v>
      </x:c>
      <x:c r="R121" s="70" t="n">
        <x:f>L121+Q121*'Federation Compiler'!$G$14</x:f>
        <x:v>10</x:v>
      </x:c>
      <x:c r="S121" s="70" t="str">
        <x:f>IF(R121&gt;=10,"PASS","FAIL")</x:f>
        <x:v>PASS</x:v>
      </x:c>
      <x:c r="T121" s="70" t="n">
        <x:v>0</x:v>
      </x:c>
      <x:c r="U121" s="70" t="str">
        <x:f>IF(T121&gt;=10,"PASS","FAIL")</x:f>
        <x:v>FAIL</x:v>
      </x:c>
      <x:c r="V121" s="52" t="str">
        <x:v>common control or signing root</x:v>
      </x:c>
    </x:row>
    <x:row r="122">
      <x:c r="B122" s="66" t="str">
        <x:v>G7</x:v>
      </x:c>
      <x:c r="C122" s="66" t="str">
        <x:v>F07</x:v>
      </x:c>
      <x:c r="D122" s="66" t="str">
        <x:v>Workforce domain plus two modes</x:v>
      </x:c>
      <x:c r="E122" s="66" t="n">
        <x:v>2</x:v>
      </x:c>
      <x:c r="F122" s="66" t="n">
        <x:v>0</x:v>
      </x:c>
      <x:c r="G122" s="66" t="n">
        <x:v>1</x:v>
      </x:c>
      <x:c r="H122" s="66" t="n">
        <x:v>0</x:v>
      </x:c>
      <x:c r="I122" s="66" t="n">
        <x:v>0</x:v>
      </x:c>
      <x:c r="J122" s="80" t="n">
        <x:v>1</x:v>
      </x:c>
      <x:c r="K122" s="70" t="n">
        <x:f>IF(H122=1,'Federation Compiler'!$D$14,IF(G122=1,ROUNDUP('Federation Compiler'!$D$14/'Federation Compiler'!$E$14,0),0))</x:f>
        <x:v>3</x:v>
      </x:c>
      <x:c r="L122" s="70" t="n">
        <x:f>MAX(0,ROUND(('Federation Compiler'!$D$14-F122-K122)*J122,0))</x:f>
        <x:v>7</x:v>
      </x:c>
      <x:c r="M122" s="70" t="n">
        <x:f>MAX(0,'Federation Compiler'!$F$14-E122)</x:f>
        <x:v>1</x:v>
      </x:c>
      <x:c r="N122" s="70" t="n">
        <x:f>M122*'Federation Compiler'!$G$14</x:f>
        <x:v>3</x:v>
      </x:c>
      <x:c r="O122" s="70" t="n">
        <x:f>L122+N122</x:f>
        <x:v>10</x:v>
      </x:c>
      <x:c r="P122" s="70" t="str">
        <x:f>IF(O122&gt;=10,"PASS","FAIL")</x:f>
        <x:v>PASS</x:v>
      </x:c>
      <x:c r="Q122" s="70" t="n">
        <x:f>MAX(0,M122-IF(AND(I122=1,'Federation Compiler'!$F$14=4),1,0))</x:f>
        <x:v>1</x:v>
      </x:c>
      <x:c r="R122" s="70" t="n">
        <x:f>L122+Q122*'Federation Compiler'!$G$14</x:f>
        <x:v>10</x:v>
      </x:c>
      <x:c r="S122" s="70" t="str">
        <x:f>IF(R122&gt;=10,"PASS","FAIL")</x:f>
        <x:v>PASS</x:v>
      </x:c>
      <x:c r="T122" s="70" t="n">
        <x:v>0</x:v>
      </x:c>
      <x:c r="U122" s="70" t="str">
        <x:f>IF(T122&gt;=10,"PASS","FAIL")</x:f>
        <x:v>FAIL</x:v>
      </x:c>
      <x:c r="V122" s="52" t="str">
        <x:v>school and credential lineage</x:v>
      </x:c>
    </x:row>
    <x:row r="123">
      <x:c r="B123" s="66" t="str">
        <x:v>G7</x:v>
      </x:c>
      <x:c r="C123" s="66" t="str">
        <x:v>F08</x:v>
      </x:c>
      <x:c r="D123" s="66" t="str">
        <x:v>Supplier domain plus two modes</x:v>
      </x:c>
      <x:c r="E123" s="66" t="n">
        <x:v>2</x:v>
      </x:c>
      <x:c r="F123" s="66" t="n">
        <x:v>0</x:v>
      </x:c>
      <x:c r="G123" s="66" t="n">
        <x:v>1</x:v>
      </x:c>
      <x:c r="H123" s="66" t="n">
        <x:v>0</x:v>
      </x:c>
      <x:c r="I123" s="66" t="n">
        <x:v>0</x:v>
      </x:c>
      <x:c r="J123" s="80" t="n">
        <x:v>1</x:v>
      </x:c>
      <x:c r="K123" s="70" t="n">
        <x:f>IF(H123=1,'Federation Compiler'!$D$14,IF(G123=1,ROUNDUP('Federation Compiler'!$D$14/'Federation Compiler'!$E$14,0),0))</x:f>
        <x:v>3</x:v>
      </x:c>
      <x:c r="L123" s="70" t="n">
        <x:f>MAX(0,ROUND(('Federation Compiler'!$D$14-F123-K123)*J123,0))</x:f>
        <x:v>7</x:v>
      </x:c>
      <x:c r="M123" s="70" t="n">
        <x:f>MAX(0,'Federation Compiler'!$F$14-E123)</x:f>
        <x:v>1</x:v>
      </x:c>
      <x:c r="N123" s="70" t="n">
        <x:f>M123*'Federation Compiler'!$G$14</x:f>
        <x:v>3</x:v>
      </x:c>
      <x:c r="O123" s="70" t="n">
        <x:f>L123+N123</x:f>
        <x:v>10</x:v>
      </x:c>
      <x:c r="P123" s="70" t="str">
        <x:f>IF(O123&gt;=10,"PASS","FAIL")</x:f>
        <x:v>PASS</x:v>
      </x:c>
      <x:c r="Q123" s="70" t="n">
        <x:f>MAX(0,M123-IF(AND(I123=1,'Federation Compiler'!$F$14=4),1,0))</x:f>
        <x:v>1</x:v>
      </x:c>
      <x:c r="R123" s="70" t="n">
        <x:f>L123+Q123*'Federation Compiler'!$G$14</x:f>
        <x:v>10</x:v>
      </x:c>
      <x:c r="S123" s="70" t="str">
        <x:f>IF(R123&gt;=10,"PASS","FAIL")</x:f>
        <x:v>PASS</x:v>
      </x:c>
      <x:c r="T123" s="70" t="n">
        <x:v>0</x:v>
      </x:c>
      <x:c r="U123" s="70" t="str">
        <x:f>IF(T123&gt;=10,"PASS","FAIL")</x:f>
        <x:v>FAIL</x:v>
      </x:c>
      <x:c r="V123" s="52" t="str">
        <x:v>upstream factory or material lineage</x:v>
      </x:c>
    </x:row>
    <x:row r="124">
      <x:c r="B124" s="66" t="str">
        <x:v>G7</x:v>
      </x:c>
      <x:c r="C124" s="66" t="str">
        <x:v>F09</x:v>
      </x:c>
      <x:c r="D124" s="66" t="str">
        <x:v>Authority domain plus two modes</x:v>
      </x:c>
      <x:c r="E124" s="66" t="n">
        <x:v>2</x:v>
      </x:c>
      <x:c r="F124" s="66" t="n">
        <x:v>0</x:v>
      </x:c>
      <x:c r="G124" s="66" t="n">
        <x:v>1</x:v>
      </x:c>
      <x:c r="H124" s="66" t="n">
        <x:v>0</x:v>
      </x:c>
      <x:c r="I124" s="66" t="n">
        <x:v>0</x:v>
      </x:c>
      <x:c r="J124" s="80" t="n">
        <x:v>1</x:v>
      </x:c>
      <x:c r="K124" s="70" t="n">
        <x:f>IF(H124=1,'Federation Compiler'!$D$14,IF(G124=1,ROUNDUP('Federation Compiler'!$D$14/'Federation Compiler'!$E$14,0),0))</x:f>
        <x:v>3</x:v>
      </x:c>
      <x:c r="L124" s="70" t="n">
        <x:f>MAX(0,ROUND(('Federation Compiler'!$D$14-F124-K124)*J124,0))</x:f>
        <x:v>7</x:v>
      </x:c>
      <x:c r="M124" s="70" t="n">
        <x:f>MAX(0,'Federation Compiler'!$F$14-E124)</x:f>
        <x:v>1</x:v>
      </x:c>
      <x:c r="N124" s="70" t="n">
        <x:f>M124*'Federation Compiler'!$G$14</x:f>
        <x:v>3</x:v>
      </x:c>
      <x:c r="O124" s="70" t="n">
        <x:f>L124+N124</x:f>
        <x:v>10</x:v>
      </x:c>
      <x:c r="P124" s="70" t="str">
        <x:f>IF(O124&gt;=10,"PASS","FAIL")</x:f>
        <x:v>PASS</x:v>
      </x:c>
      <x:c r="Q124" s="70" t="n">
        <x:f>MAX(0,M124-IF(AND(I124=1,'Federation Compiler'!$F$14=4),1,0))</x:f>
        <x:v>1</x:v>
      </x:c>
      <x:c r="R124" s="70" t="n">
        <x:f>L124+Q124*'Federation Compiler'!$G$14</x:f>
        <x:v>10</x:v>
      </x:c>
      <x:c r="S124" s="70" t="str">
        <x:f>IF(R124&gt;=10,"PASS","FAIL")</x:f>
        <x:v>PASS</x:v>
      </x:c>
      <x:c r="T124" s="70" t="n">
        <x:v>0</x:v>
      </x:c>
      <x:c r="U124" s="70" t="str">
        <x:f>IF(T124&gt;=10,"PASS","FAIL")</x:f>
        <x:v>FAIL</x:v>
      </x:c>
      <x:c r="V124" s="52" t="str">
        <x:v>civil release and appeal path</x:v>
      </x:c>
    </x:row>
    <x:row r="125">
      <x:c r="B125" s="66" t="str">
        <x:v>G7</x:v>
      </x:c>
      <x:c r="C125" s="66" t="str">
        <x:v>F10</x:v>
      </x:c>
      <x:c r="D125" s="66" t="str">
        <x:v>One island plus all three legacy modes</x:v>
      </x:c>
      <x:c r="E125" s="66" t="n">
        <x:v>3</x:v>
      </x:c>
      <x:c r="F125" s="66" t="n">
        <x:v>1</x:v>
      </x:c>
      <x:c r="G125" s="66" t="n">
        <x:v>0</x:v>
      </x:c>
      <x:c r="H125" s="66" t="n">
        <x:v>0</x:v>
      </x:c>
      <x:c r="I125" s="66" t="n">
        <x:v>0</x:v>
      </x:c>
      <x:c r="J125" s="80" t="n">
        <x:v>1</x:v>
      </x:c>
      <x:c r="K125" s="70" t="n">
        <x:f>IF(H125=1,'Federation Compiler'!$D$14,IF(G125=1,ROUNDUP('Federation Compiler'!$D$14/'Federation Compiler'!$E$14,0),0))</x:f>
        <x:v>0</x:v>
      </x:c>
      <x:c r="L125" s="70" t="n">
        <x:f>MAX(0,ROUND(('Federation Compiler'!$D$14-F125-K125)*J125,0))</x:f>
        <x:v>9</x:v>
      </x:c>
      <x:c r="M125" s="70" t="n">
        <x:f>MAX(0,'Federation Compiler'!$F$14-E125)</x:f>
        <x:v>0</x:v>
      </x:c>
      <x:c r="N125" s="70" t="n">
        <x:f>M125*'Federation Compiler'!$G$14</x:f>
        <x:v>0</x:v>
      </x:c>
      <x:c r="O125" s="70" t="n">
        <x:f>L125+N125</x:f>
        <x:v>9</x:v>
      </x:c>
      <x:c r="P125" s="70" t="str">
        <x:f>IF(O125&gt;=10,"PASS","FAIL")</x:f>
        <x:v>FAIL</x:v>
      </x:c>
      <x:c r="Q125" s="70" t="n">
        <x:f>MAX(0,M125-IF(AND(I125=1,'Federation Compiler'!$F$14=4),1,0))</x:f>
        <x:v>0</x:v>
      </x:c>
      <x:c r="R125" s="70" t="n">
        <x:f>L125+Q125*'Federation Compiler'!$G$14</x:f>
        <x:v>9</x:v>
      </x:c>
      <x:c r="S125" s="70" t="str">
        <x:f>IF(R125&gt;=10,"PASS","FAIL")</x:f>
        <x:v>FAIL</x:v>
      </x:c>
      <x:c r="T125" s="70" t="n">
        <x:v>0</x:v>
      </x:c>
      <x:c r="U125" s="70" t="str">
        <x:f>IF(T125&gt;=10,"PASS","FAIL")</x:f>
        <x:v>FAIL</x:v>
      </x:c>
      <x:c r="V125" s="52" t="str">
        <x:v>fixed lattice without mobile rescue</x:v>
      </x:c>
    </x:row>
    <x:row r="126">
      <x:c r="B126" s="66" t="str">
        <x:v>G7</x:v>
      </x:c>
      <x:c r="C126" s="66" t="str">
        <x:v>F11</x:v>
      </x:c>
      <x:c r="D126" s="66" t="str">
        <x:v>Two adjacent islands plus two modes</x:v>
      </x:c>
      <x:c r="E126" s="66" t="n">
        <x:v>2</x:v>
      </x:c>
      <x:c r="F126" s="66" t="n">
        <x:v>2</x:v>
      </x:c>
      <x:c r="G126" s="66" t="n">
        <x:v>0</x:v>
      </x:c>
      <x:c r="H126" s="66" t="n">
        <x:v>0</x:v>
      </x:c>
      <x:c r="I126" s="66" t="n">
        <x:v>0</x:v>
      </x:c>
      <x:c r="J126" s="80" t="n">
        <x:v>1</x:v>
      </x:c>
      <x:c r="K126" s="70" t="n">
        <x:f>IF(H126=1,'Federation Compiler'!$D$14,IF(G126=1,ROUNDUP('Federation Compiler'!$D$14/'Federation Compiler'!$E$14,0),0))</x:f>
        <x:v>0</x:v>
      </x:c>
      <x:c r="L126" s="70" t="n">
        <x:f>MAX(0,ROUND(('Federation Compiler'!$D$14-F126-K126)*J126,0))</x:f>
        <x:v>8</x:v>
      </x:c>
      <x:c r="M126" s="70" t="n">
        <x:f>MAX(0,'Federation Compiler'!$F$14-E126)</x:f>
        <x:v>1</x:v>
      </x:c>
      <x:c r="N126" s="70" t="n">
        <x:f>M126*'Federation Compiler'!$G$14</x:f>
        <x:v>3</x:v>
      </x:c>
      <x:c r="O126" s="70" t="n">
        <x:f>L126+N126</x:f>
        <x:v>11</x:v>
      </x:c>
      <x:c r="P126" s="70" t="str">
        <x:f>IF(O126&gt;=10,"PASS","FAIL")</x:f>
        <x:v>PASS</x:v>
      </x:c>
      <x:c r="Q126" s="70" t="n">
        <x:f>MAX(0,M126-IF(AND(I126=1,'Federation Compiler'!$F$14=4),1,0))</x:f>
        <x:v>1</x:v>
      </x:c>
      <x:c r="R126" s="70" t="n">
        <x:f>L126+Q126*'Federation Compiler'!$G$14</x:f>
        <x:v>11</x:v>
      </x:c>
      <x:c r="S126" s="70" t="str">
        <x:f>IF(R126&gt;=10,"PASS","FAIL")</x:f>
        <x:v>PASS</x:v>
      </x:c>
      <x:c r="T126" s="70" t="n">
        <x:v>0</x:v>
      </x:c>
      <x:c r="U126" s="70" t="str">
        <x:f>IF(T126&gt;=10,"PASS","FAIL")</x:f>
        <x:v>FAIL</x:v>
      </x:c>
      <x:c r="V126" s="52" t="str">
        <x:v>local hazard footprint crosses site boundaries</x:v>
      </x:c>
    </x:row>
    <x:row r="127">
      <x:c r="B127" s="66" t="str">
        <x:v>G7</x:v>
      </x:c>
      <x:c r="C127" s="66" t="str">
        <x:v>F12</x:v>
      </x:c>
      <x:c r="D127" s="66" t="str">
        <x:v>Entire fixed lattice plus one mode</x:v>
      </x:c>
      <x:c r="E127" s="66" t="n">
        <x:v>1</x:v>
      </x:c>
      <x:c r="F127" s="66" t="n">
        <x:v>0</x:v>
      </x:c>
      <x:c r="G127" s="66" t="n">
        <x:v>0</x:v>
      </x:c>
      <x:c r="H127" s="66" t="n">
        <x:v>1</x:v>
      </x:c>
      <x:c r="I127" s="66" t="n">
        <x:v>0</x:v>
      </x:c>
      <x:c r="J127" s="80" t="n">
        <x:v>1</x:v>
      </x:c>
      <x:c r="K127" s="70" t="n">
        <x:f>IF(H127=1,'Federation Compiler'!$D$14,IF(G127=1,ROUNDUP('Federation Compiler'!$D$14/'Federation Compiler'!$E$14,0),0))</x:f>
        <x:v>10</x:v>
      </x:c>
      <x:c r="L127" s="70" t="n">
        <x:f>MAX(0,ROUND(('Federation Compiler'!$D$14-F127-K127)*J127,0))</x:f>
        <x:v>0</x:v>
      </x:c>
      <x:c r="M127" s="70" t="n">
        <x:f>MAX(0,'Federation Compiler'!$F$14-E127)</x:f>
        <x:v>2</x:v>
      </x:c>
      <x:c r="N127" s="70" t="n">
        <x:f>M127*'Federation Compiler'!$G$14</x:f>
        <x:v>6</x:v>
      </x:c>
      <x:c r="O127" s="70" t="n">
        <x:f>L127+N127</x:f>
        <x:v>6</x:v>
      </x:c>
      <x:c r="P127" s="70" t="str">
        <x:f>IF(O127&gt;=10,"PASS","FAIL")</x:f>
        <x:v>FAIL</x:v>
      </x:c>
      <x:c r="Q127" s="70" t="n">
        <x:f>MAX(0,M127-IF(AND(I127=1,'Federation Compiler'!$F$14=4),1,0))</x:f>
        <x:v>2</x:v>
      </x:c>
      <x:c r="R127" s="70" t="n">
        <x:f>L127+Q127*'Federation Compiler'!$G$14</x:f>
        <x:v>6</x:v>
      </x:c>
      <x:c r="S127" s="70" t="str">
        <x:f>IF(R127&gt;=10,"PASS","FAIL")</x:f>
        <x:v>FAIL</x:v>
      </x:c>
      <x:c r="T127" s="70" t="n">
        <x:v>0</x:v>
      </x:c>
      <x:c r="U127" s="70" t="str">
        <x:f>IF(T127&gt;=10,"PASS","FAIL")</x:f>
        <x:v>FAIL</x:v>
      </x:c>
      <x:c r="V127" s="52" t="str">
        <x:v>national or regional common fixed failure</x:v>
      </x:c>
    </x:row>
    <x:row r="128">
      <x:c r="B128" s="66" t="str">
        <x:v>G7</x:v>
      </x:c>
      <x:c r="C128" s="66" t="str">
        <x:v>F13</x:v>
      </x:c>
      <x:c r="D128" s="66" t="str">
        <x:v>Source domain plus one mode</x:v>
      </x:c>
      <x:c r="E128" s="66" t="n">
        <x:v>1</x:v>
      </x:c>
      <x:c r="F128" s="66" t="n">
        <x:v>0</x:v>
      </x:c>
      <x:c r="G128" s="66" t="n">
        <x:v>1</x:v>
      </x:c>
      <x:c r="H128" s="66" t="n">
        <x:v>0</x:v>
      </x:c>
      <x:c r="I128" s="66" t="n">
        <x:v>0</x:v>
      </x:c>
      <x:c r="J128" s="80" t="n">
        <x:v>1</x:v>
      </x:c>
      <x:c r="K128" s="70" t="n">
        <x:f>IF(H128=1,'Federation Compiler'!$D$14,IF(G128=1,ROUNDUP('Federation Compiler'!$D$14/'Federation Compiler'!$E$14,0),0))</x:f>
        <x:v>3</x:v>
      </x:c>
      <x:c r="L128" s="70" t="n">
        <x:f>MAX(0,ROUND(('Federation Compiler'!$D$14-F128-K128)*J128,0))</x:f>
        <x:v>7</x:v>
      </x:c>
      <x:c r="M128" s="70" t="n">
        <x:f>MAX(0,'Federation Compiler'!$F$14-E128)</x:f>
        <x:v>2</x:v>
      </x:c>
      <x:c r="N128" s="70" t="n">
        <x:f>M128*'Federation Compiler'!$G$14</x:f>
        <x:v>6</x:v>
      </x:c>
      <x:c r="O128" s="70" t="n">
        <x:f>L128+N128</x:f>
        <x:v>13</x:v>
      </x:c>
      <x:c r="P128" s="70" t="str">
        <x:f>IF(O128&gt;=10,"PASS","FAIL")</x:f>
        <x:v>PASS</x:v>
      </x:c>
      <x:c r="Q128" s="70" t="n">
        <x:f>MAX(0,M128-IF(AND(I128=1,'Federation Compiler'!$F$14=4),1,0))</x:f>
        <x:v>2</x:v>
      </x:c>
      <x:c r="R128" s="70" t="n">
        <x:f>L128+Q128*'Federation Compiler'!$G$14</x:f>
        <x:v>13</x:v>
      </x:c>
      <x:c r="S128" s="70" t="str">
        <x:f>IF(R128&gt;=10,"PASS","FAIL")</x:f>
        <x:v>PASS</x:v>
      </x:c>
      <x:c r="T128" s="70" t="n">
        <x:v>0</x:v>
      </x:c>
      <x:c r="U128" s="70" t="str">
        <x:f>IF(T128&gt;=10,"PASS","FAIL")</x:f>
        <x:v>FAIL</x:v>
      </x:c>
      <x:c r="V128" s="52" t="str">
        <x:v>compound ancestry with larger mobile remainder</x:v>
      </x:c>
    </x:row>
    <x:row r="129">
      <x:c r="B129" s="66" t="str">
        <x:v>G7</x:v>
      </x:c>
      <x:c r="C129" s="66" t="str">
        <x:v>F14</x:v>
      </x:c>
      <x:c r="D129" s="66" t="str">
        <x:v>Fixed-island reset at ninety-two percent</x:v>
      </x:c>
      <x:c r="E129" s="66" t="n">
        <x:v>0</x:v>
      </x:c>
      <x:c r="F129" s="66" t="n">
        <x:v>0</x:v>
      </x:c>
      <x:c r="G129" s="66" t="n">
        <x:v>0</x:v>
      </x:c>
      <x:c r="H129" s="66" t="n">
        <x:v>0</x:v>
      </x:c>
      <x:c r="I129" s="66" t="n">
        <x:v>0</x:v>
      </x:c>
      <x:c r="J129" s="80" t="n">
        <x:v>0.92</x:v>
      </x:c>
      <x:c r="K129" s="70" t="n">
        <x:f>IF(H129=1,'Federation Compiler'!$D$14,IF(G129=1,ROUNDUP('Federation Compiler'!$D$14/'Federation Compiler'!$E$14,0),0))</x:f>
        <x:v>0</x:v>
      </x:c>
      <x:c r="L129" s="70" t="n">
        <x:f>MAX(0,ROUND(('Federation Compiler'!$D$14-F129-K129)*J129,0))</x:f>
        <x:v>9</x:v>
      </x:c>
      <x:c r="M129" s="70" t="n">
        <x:f>MAX(0,'Federation Compiler'!$F$14-E129)</x:f>
        <x:v>3</x:v>
      </x:c>
      <x:c r="N129" s="70" t="n">
        <x:f>M129*'Federation Compiler'!$G$14</x:f>
        <x:v>9</x:v>
      </x:c>
      <x:c r="O129" s="70" t="n">
        <x:f>L129+N129</x:f>
        <x:v>18</x:v>
      </x:c>
      <x:c r="P129" s="70" t="str">
        <x:f>IF(O129&gt;=10,"PASS","FAIL")</x:f>
        <x:v>PASS</x:v>
      </x:c>
      <x:c r="Q129" s="70" t="n">
        <x:f>MAX(0,M129-IF(AND(I129=1,'Federation Compiler'!$F$14=4),1,0))</x:f>
        <x:v>3</x:v>
      </x:c>
      <x:c r="R129" s="70" t="n">
        <x:f>L129+Q129*'Federation Compiler'!$G$14</x:f>
        <x:v>18</x:v>
      </x:c>
      <x:c r="S129" s="70" t="str">
        <x:f>IF(R129&gt;=10,"PASS","FAIL")</x:f>
        <x:v>PASS</x:v>
      </x:c>
      <x:c r="T129" s="70" t="n">
        <x:v>0</x:v>
      </x:c>
      <x:c r="U129" s="70" t="str">
        <x:f>IF(T129&gt;=10,"PASS","FAIL")</x:f>
        <x:v>FAIL</x:v>
      </x:c>
      <x:c r="V129" s="52" t="str">
        <x:v>second mission before full repair</x:v>
      </x:c>
    </x:row>
    <x:row r="130">
      <x:c r="B130" s="66" t="str">
        <x:v>G7</x:v>
      </x:c>
      <x:c r="C130" s="66" t="str">
        <x:v>F15</x:v>
      </x:c>
      <x:c r="D130" s="66" t="str">
        <x:v>National pool retains ninety-two percent</x:v>
      </x:c>
      <x:c r="E130" s="66" t="n">
        <x:v>0</x:v>
      </x:c>
      <x:c r="F130" s="66" t="n">
        <x:v>0</x:v>
      </x:c>
      <x:c r="G130" s="66" t="n">
        <x:v>0</x:v>
      </x:c>
      <x:c r="H130" s="66" t="n">
        <x:v>0</x:v>
      </x:c>
      <x:c r="I130" s="66" t="n">
        <x:v>0</x:v>
      </x:c>
      <x:c r="J130" s="80" t="n">
        <x:v>0.92</x:v>
      </x:c>
      <x:c r="K130" s="70" t="n">
        <x:f>IF(H130=1,'Federation Compiler'!$D$14,IF(G130=1,ROUNDUP('Federation Compiler'!$D$14/'Federation Compiler'!$E$14,0),0))</x:f>
        <x:v>0</x:v>
      </x:c>
      <x:c r="L130" s="70" t="n">
        <x:f>MAX(0,ROUND(('Federation Compiler'!$D$14-F130-K130)*J130,0))</x:f>
        <x:v>9</x:v>
      </x:c>
      <x:c r="M130" s="70" t="n">
        <x:f>MAX(0,'Federation Compiler'!$F$14-E130)</x:f>
        <x:v>3</x:v>
      </x:c>
      <x:c r="N130" s="70" t="n">
        <x:f>M130*'Federation Compiler'!$G$14</x:f>
        <x:v>9</x:v>
      </x:c>
      <x:c r="O130" s="70" t="n">
        <x:f>L130+N130</x:f>
        <x:v>18</x:v>
      </x:c>
      <x:c r="P130" s="70" t="str">
        <x:f>IF(O130&gt;=10,"PASS","FAIL")</x:f>
        <x:v>PASS</x:v>
      </x:c>
      <x:c r="Q130" s="70" t="n">
        <x:f>MAX(0,M130-IF(AND(I130=1,'Federation Compiler'!$F$14=4),1,0))</x:f>
        <x:v>3</x:v>
      </x:c>
      <x:c r="R130" s="70" t="n">
        <x:f>L130+Q130*'Federation Compiler'!$G$14</x:f>
        <x:v>18</x:v>
      </x:c>
      <x:c r="S130" s="70" t="str">
        <x:f>IF(R130&gt;=10,"PASS","FAIL")</x:f>
        <x:v>PASS</x:v>
      </x:c>
      <x:c r="T130" s="70" t="n">
        <x:v>0</x:v>
      </x:c>
      <x:c r="U130" s="70" t="str">
        <x:f>IF(T130&gt;=10,"PASS","FAIL")</x:f>
        <x:v>FAIL</x:v>
      </x:c>
      <x:c r="V130" s="52" t="str">
        <x:v>concurrent campaigns and reserve protection</x:v>
      </x:c>
    </x:row>
    <x:row r="131">
      <x:c r="B131" s="66" t="str">
        <x:v>G7</x:v>
      </x:c>
      <x:c r="C131" s="66" t="str">
        <x:v>F16</x:v>
      </x:c>
      <x:c r="D131" s="66" t="str">
        <x:v>Fourth path has no admission credit</x:v>
      </x:c>
      <x:c r="E131" s="66" t="n">
        <x:v>2</x:v>
      </x:c>
      <x:c r="F131" s="66" t="n">
        <x:v>0</x:v>
      </x:c>
      <x:c r="G131" s="66" t="n">
        <x:v>1</x:v>
      </x:c>
      <x:c r="H131" s="66" t="n">
        <x:v>0</x:v>
      </x:c>
      <x:c r="I131" s="66" t="n">
        <x:v>1</x:v>
      </x:c>
      <x:c r="J131" s="80" t="n">
        <x:v>1</x:v>
      </x:c>
      <x:c r="K131" s="70" t="n">
        <x:f>IF(H131=1,'Federation Compiler'!$D$14,IF(G131=1,ROUNDUP('Federation Compiler'!$D$14/'Federation Compiler'!$E$14,0),0))</x:f>
        <x:v>3</x:v>
      </x:c>
      <x:c r="L131" s="70" t="n">
        <x:f>MAX(0,ROUND(('Federation Compiler'!$D$14-F131-K131)*J131,0))</x:f>
        <x:v>7</x:v>
      </x:c>
      <x:c r="M131" s="70" t="n">
        <x:f>MAX(0,'Federation Compiler'!$F$14-E131)</x:f>
        <x:v>1</x:v>
      </x:c>
      <x:c r="N131" s="70" t="n">
        <x:f>M131*'Federation Compiler'!$G$14</x:f>
        <x:v>3</x:v>
      </x:c>
      <x:c r="O131" s="70" t="n">
        <x:f>L131+N131</x:f>
        <x:v>10</x:v>
      </x:c>
      <x:c r="P131" s="70" t="str">
        <x:f>IF(O131&gt;=10,"PASS","FAIL")</x:f>
        <x:v>PASS</x:v>
      </x:c>
      <x:c r="Q131" s="70" t="n">
        <x:f>MAX(0,M131-IF(AND(I131=1,'Federation Compiler'!$F$14=4),1,0))</x:f>
        <x:v>1</x:v>
      </x:c>
      <x:c r="R131" s="70" t="n">
        <x:f>L131+Q131*'Federation Compiler'!$G$14</x:f>
        <x:v>10</x:v>
      </x:c>
      <x:c r="S131" s="70" t="str">
        <x:f>IF(R131&gt;=10,"PASS","FAIL")</x:f>
        <x:v>PASS</x:v>
      </x:c>
      <x:c r="T131" s="70" t="n">
        <x:v>0</x:v>
      </x:c>
      <x:c r="U131" s="70" t="str">
        <x:f>IF(T131&gt;=10,"PASS","FAIL")</x:f>
        <x:v>FAIL</x:v>
      </x:c>
      <x:c r="V131" s="52" t="str">
        <x:v>unproved fourth path withheld from current credit</x:v>
      </x:c>
    </x:row>
    <x:row r="132">
      <x:c r="B132" s="66" t="str">
        <x:v>G7</x:v>
      </x:c>
      <x:c r="C132" s="66" t="str">
        <x:v>F17</x:v>
      </x:c>
      <x:c r="D132" s="66" t="str">
        <x:v>One island, source domain and one mode</x:v>
      </x:c>
      <x:c r="E132" s="66" t="n">
        <x:v>1</x:v>
      </x:c>
      <x:c r="F132" s="66" t="n">
        <x:v>1</x:v>
      </x:c>
      <x:c r="G132" s="66" t="n">
        <x:v>1</x:v>
      </x:c>
      <x:c r="H132" s="66" t="n">
        <x:v>0</x:v>
      </x:c>
      <x:c r="I132" s="66" t="n">
        <x:v>0</x:v>
      </x:c>
      <x:c r="J132" s="80" t="n">
        <x:v>1</x:v>
      </x:c>
      <x:c r="K132" s="70" t="n">
        <x:f>IF(H132=1,'Federation Compiler'!$D$14,IF(G132=1,ROUNDUP('Federation Compiler'!$D$14/'Federation Compiler'!$E$14,0),0))</x:f>
        <x:v>3</x:v>
      </x:c>
      <x:c r="L132" s="70" t="n">
        <x:f>MAX(0,ROUND(('Federation Compiler'!$D$14-F132-K132)*J132,0))</x:f>
        <x:v>6</x:v>
      </x:c>
      <x:c r="M132" s="70" t="n">
        <x:f>MAX(0,'Federation Compiler'!$F$14-E132)</x:f>
        <x:v>2</x:v>
      </x:c>
      <x:c r="N132" s="70" t="n">
        <x:f>M132*'Federation Compiler'!$G$14</x:f>
        <x:v>6</x:v>
      </x:c>
      <x:c r="O132" s="70" t="n">
        <x:f>L132+N132</x:f>
        <x:v>12</x:v>
      </x:c>
      <x:c r="P132" s="70" t="str">
        <x:f>IF(O132&gt;=10,"PASS","FAIL")</x:f>
        <x:v>PASS</x:v>
      </x:c>
      <x:c r="Q132" s="70" t="n">
        <x:f>MAX(0,M132-IF(AND(I132=1,'Federation Compiler'!$F$14=4),1,0))</x:f>
        <x:v>2</x:v>
      </x:c>
      <x:c r="R132" s="70" t="n">
        <x:f>L132+Q132*'Federation Compiler'!$G$14</x:f>
        <x:v>12</x:v>
      </x:c>
      <x:c r="S132" s="70" t="str">
        <x:f>IF(R132&gt;=10,"PASS","FAIL")</x:f>
        <x:v>PASS</x:v>
      </x:c>
      <x:c r="T132" s="70" t="n">
        <x:v>0</x:v>
      </x:c>
      <x:c r="U132" s="70" t="str">
        <x:f>IF(T132&gt;=10,"PASS","FAIL")</x:f>
        <x:v>FAIL</x:v>
      </x:c>
      <x:c r="V132" s="52" t="str">
        <x:v>physical and ancestry losses stack</x:v>
      </x:c>
    </x:row>
    <x:row r="133">
      <x:c r="B133" s="71" t="str">
        <x:v>G7</x:v>
      </x:c>
      <x:c r="C133" s="71" t="str">
        <x:v>F18</x:v>
      </x:c>
      <x:c r="D133" s="71" t="str">
        <x:v>Internal island evidence withheld</x:v>
      </x:c>
      <x:c r="E133" s="71" t="n">
        <x:v>0</x:v>
      </x:c>
      <x:c r="F133" s="71" t="n">
        <x:v>0</x:v>
      </x:c>
      <x:c r="G133" s="71" t="n">
        <x:v>0</x:v>
      </x:c>
      <x:c r="H133" s="71" t="n">
        <x:v>0</x:v>
      </x:c>
      <x:c r="I133" s="71" t="n">
        <x:v>0</x:v>
      </x:c>
      <x:c r="J133" s="82" t="n">
        <x:v>0</x:v>
      </x:c>
      <x:c r="K133" s="75" t="n">
        <x:f>IF(H133=1,'Federation Compiler'!$D$14,IF(G133=1,ROUNDUP('Federation Compiler'!$D$14/'Federation Compiler'!$E$14,0),0))</x:f>
        <x:v>0</x:v>
      </x:c>
      <x:c r="L133" s="75" t="n">
        <x:f>MAX(0,ROUND(('Federation Compiler'!$D$14-F133-K133)*J133,0))</x:f>
        <x:v>0</x:v>
      </x:c>
      <x:c r="M133" s="75" t="n">
        <x:f>MAX(0,'Federation Compiler'!$F$14-E133)</x:f>
        <x:v>3</x:v>
      </x:c>
      <x:c r="N133" s="75" t="n">
        <x:f>M133*'Federation Compiler'!$G$14</x:f>
        <x:v>9</x:v>
      </x:c>
      <x:c r="O133" s="75" t="n">
        <x:f>L133+N133</x:f>
        <x:v>9</x:v>
      </x:c>
      <x:c r="P133" s="75" t="str">
        <x:f>IF(O133&gt;=10,"PASS","FAIL")</x:f>
        <x:v>FAIL</x:v>
      </x:c>
      <x:c r="Q133" s="75" t="n">
        <x:f>MAX(0,M133-IF(AND(I133=1,'Federation Compiler'!$F$14=4),1,0))</x:f>
        <x:v>3</x:v>
      </x:c>
      <x:c r="R133" s="75" t="n">
        <x:f>L133+Q133*'Federation Compiler'!$G$14</x:f>
        <x:v>9</x:v>
      </x:c>
      <x:c r="S133" s="75" t="str">
        <x:f>IF(R133&gt;=10,"PASS","FAIL")</x:f>
        <x:v>FAIL</x:v>
      </x:c>
      <x:c r="T133" s="75" t="n">
        <x:v>0</x:v>
      </x:c>
      <x:c r="U133" s="75" t="str">
        <x:f>IF(T133&gt;=10,"PASS","FAIL")</x:f>
        <x:v>FAIL</x:v>
      </x:c>
      <x:c r="V133" s="55" t="str">
        <x:v>strict admission remains zero for every federation</x:v>
      </x:c>
    </x:row>
  </x:sheetData>
  <x:mergeCells>
    <x:mergeCell ref="B6:U6"/>
  </x:mergeCells>
  <x:conditionalFormatting sqref="P8:P133">
    <x:cfRule type="containsText" dxfId="2" priority="1" operator="containsText" text="FAIL"/>
  </x:conditionalFormatting>
  <x:conditionalFormatting sqref="S8:S133">
    <x:cfRule type="containsText" dxfId="3" priority="2" operator="containsText" text="FAIL"/>
  </x:conditionalFormatting>
  <x:conditionalFormatting sqref="U8:U133">
    <x:cfRule type="containsText" dxfId="4" priority="3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6" hidden="0" customWidth="1"/>
    <x:col min="4" max="4" width="17" hidden="0" customWidth="1"/>
    <x:col min="5" max="5" width="18" hidden="0" customWidth="1"/>
    <x:col min="6" max="6" width="16" hidden="0" customWidth="1"/>
    <x:col min="7" max="7" width="18" hidden="0" customWidth="1"/>
    <x:col min="8" max="8" width="19" hidden="0" customWidth="1"/>
    <x:col min="9" max="9" width="18" hidden="0" customWidth="1"/>
    <x:col min="10" max="10" width="20" hidden="0" customWidth="1"/>
    <x:col min="11" max="11" width="46" hidden="0" customWidth="1"/>
    <x:col min="12" max="12" width="29" hidden="0" customWidth="1"/>
  </x:cols>
  <x:sheetData>
    <x:row r="2">
      <x:c r="B2" s="3" t="str">
        <x:v>Fixed-island workforce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Permanent, local reserve and regional replacement capacity are separate readiness objects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10" t="str">
        <x:v>Reference A6 personnel account</x:v>
      </x:c>
      <x:c r="C6" s="11" t="str">
        <x:v>Reference A6 personnel account</x:v>
      </x:c>
      <x:c r="D6" s="11" t="str">
        <x:v>Reference A6 personnel account</x:v>
      </x:c>
      <x:c r="E6" s="11" t="str">
        <x:v>Reference A6 personnel account</x:v>
      </x:c>
      <x:c r="F6" s="11" t="str">
        <x:v>Reference A6 personnel account</x:v>
      </x:c>
      <x:c r="G6" s="11" t="str">
        <x:v>Reference A6 personnel account</x:v>
      </x:c>
      <x:c r="H6" s="11" t="str">
        <x:v>Reference A6 personnel account</x:v>
      </x:c>
      <x:c r="I6" s="11" t="str">
        <x:v>Reference A6 personnel account</x:v>
      </x:c>
      <x:c r="J6" s="11" t="str">
        <x:v>Reference A6 personnel account</x:v>
      </x:c>
      <x:c r="K6" s="11" t="str">
        <x:v>Reference A6 personnel account</x:v>
      </x:c>
      <x:c r="L6" s="12" t="str">
        <x:v>Reference A6 personnel account</x:v>
      </x:c>
    </x:row>
    <x:row r="7">
      <x:c r="B7" s="28" t="str">
        <x:v>Function</x:v>
      </x:c>
      <x:c r="C7" s="29" t="str">
        <x:v>Permanent billets</x:v>
      </x:c>
      <x:c r="D7" s="29" t="str">
        <x:v>Local reserve billets</x:v>
      </x:c>
      <x:c r="E7" s="29" t="str">
        <x:v>Regional-share billets</x:v>
      </x:c>
      <x:c r="F7" s="29" t="str">
        <x:v>Minimum on duty</x:v>
      </x:c>
      <x:c r="G7" s="29" t="str">
        <x:v>Qualification lineages</x:v>
      </x:c>
      <x:c r="H7" s="29" t="str">
        <x:v>Independent shift teams</x:v>
      </x:c>
      <x:c r="I7" s="29" t="str">
        <x:v>Remote substitution</x:v>
      </x:c>
      <x:c r="J7" s="29" t="str">
        <x:v>Annual loaded cost $M</x:v>
      </x:c>
      <x:c r="K7" s="29" t="str">
        <x:v>Failure if absent</x:v>
      </x:c>
      <x:c r="L7" s="29" t="str">
        <x:v>Institutional owner</x:v>
      </x:c>
    </x:row>
    <x:row r="8">
      <x:c r="B8" s="50" t="str">
        <x:v>Command, safety and civil release</x:v>
      </x:c>
      <x:c r="C8" s="50" t="n">
        <x:v>12</x:v>
      </x:c>
      <x:c r="D8" s="50" t="n">
        <x:v>8</x:v>
      </x:c>
      <x:c r="E8" s="50" t="n">
        <x:v>2</x:v>
      </x:c>
      <x:c r="F8" s="50" t="n">
        <x:v>3</x:v>
      </x:c>
      <x:c r="G8" s="50" t="n">
        <x:v>3</x:v>
      </x:c>
      <x:c r="H8" s="50" t="n">
        <x:v>3</x:v>
      </x:c>
      <x:c r="I8" s="50" t="str">
        <x:v>limited</x:v>
      </x:c>
      <x:c r="J8" s="100" t="n">
        <x:v>3.2</x:v>
      </x:c>
      <x:c r="K8" s="50" t="str">
        <x:v>safe equipment cannot be released</x:v>
      </x:c>
      <x:c r="L8" s="52" t="str">
        <x:v>Island Command</x:v>
      </x:c>
    </x:row>
    <x:row r="9">
      <x:c r="B9" s="50" t="str">
        <x:v>Electrical source and protection</x:v>
      </x:c>
      <x:c r="C9" s="50" t="n">
        <x:v>28</x:v>
      </x:c>
      <x:c r="D9" s="50" t="n">
        <x:v>16</x:v>
      </x:c>
      <x:c r="E9" s="50" t="n">
        <x:v>6</x:v>
      </x:c>
      <x:c r="F9" s="50" t="n">
        <x:v>8</x:v>
      </x:c>
      <x:c r="G9" s="50" t="n">
        <x:v>5</x:v>
      </x:c>
      <x:c r="H9" s="50" t="n">
        <x:v>5</x:v>
      </x:c>
      <x:c r="I9" s="50" t="str">
        <x:v>limited</x:v>
      </x:c>
      <x:c r="J9" s="100" t="n">
        <x:v>7.8</x:v>
      </x:c>
      <x:c r="K9" s="50" t="str">
        <x:v>source and bus cannot start or isolate</x:v>
      </x:c>
      <x:c r="L9" s="52" t="str">
        <x:v>Energy Service</x:v>
      </x:c>
    </x:row>
    <x:row r="10">
      <x:c r="B10" s="50" t="str">
        <x:v>Thermal and clean-air service</x:v>
      </x:c>
      <x:c r="C10" s="50" t="n">
        <x:v>20</x:v>
      </x:c>
      <x:c r="D10" s="50" t="n">
        <x:v>12</x:v>
      </x:c>
      <x:c r="E10" s="50" t="n">
        <x:v>5</x:v>
      </x:c>
      <x:c r="F10" s="50" t="n">
        <x:v>6</x:v>
      </x:c>
      <x:c r="G10" s="50" t="n">
        <x:v>5</x:v>
      </x:c>
      <x:c r="H10" s="50" t="n">
        <x:v>5</x:v>
      </x:c>
      <x:c r="I10" s="50" t="str">
        <x:v>limited</x:v>
      </x:c>
      <x:c r="J10" s="100" t="n">
        <x:v>5.6</x:v>
      </x:c>
      <x:c r="K10" s="50" t="str">
        <x:v>cooling cannot reach occupied space</x:v>
      </x:c>
      <x:c r="L10" s="52" t="str">
        <x:v>Thermal Service</x:v>
      </x:c>
    </x:row>
    <x:row r="11">
      <x:c r="B11" s="50" t="str">
        <x:v>Water, wastewater and fire systems</x:v>
      </x:c>
      <x:c r="C11" s="50" t="n">
        <x:v>18</x:v>
      </x:c>
      <x:c r="D11" s="50" t="n">
        <x:v>12</x:v>
      </x:c>
      <x:c r="E11" s="50" t="n">
        <x:v>4</x:v>
      </x:c>
      <x:c r="F11" s="50" t="n">
        <x:v>5</x:v>
      </x:c>
      <x:c r="G11" s="50" t="n">
        <x:v>5</x:v>
      </x:c>
      <x:c r="H11" s="50" t="n">
        <x:v>3</x:v>
      </x:c>
      <x:c r="I11" s="50" t="str">
        <x:v>limited</x:v>
      </x:c>
      <x:c r="J11" s="100" t="n">
        <x:v>4.9</x:v>
      </x:c>
      <x:c r="K11" s="50" t="str">
        <x:v>water service creates sanitation or fire risk</x:v>
      </x:c>
      <x:c r="L11" s="52" t="str">
        <x:v>Water Service</x:v>
      </x:c>
    </x:row>
    <x:row r="12">
      <x:c r="B12" s="50" t="str">
        <x:v>Building connection and accessibility</x:v>
      </x:c>
      <x:c r="C12" s="50" t="n">
        <x:v>24</x:v>
      </x:c>
      <x:c r="D12" s="50" t="n">
        <x:v>24</x:v>
      </x:c>
      <x:c r="E12" s="50" t="n">
        <x:v>4</x:v>
      </x:c>
      <x:c r="F12" s="50" t="n">
        <x:v>8</x:v>
      </x:c>
      <x:c r="G12" s="50" t="n">
        <x:v>5</x:v>
      </x:c>
      <x:c r="H12" s="50" t="n">
        <x:v>5</x:v>
      </x:c>
      <x:c r="I12" s="50" t="str">
        <x:v>no</x:v>
      </x:c>
      <x:c r="J12" s="100" t="n">
        <x:v>6.4</x:v>
      </x:c>
      <x:c r="K12" s="50" t="str">
        <x:v>people cannot reach or use the service</x:v>
      </x:c>
      <x:c r="L12" s="52" t="str">
        <x:v>Receiver Engineering</x:v>
      </x:c>
    </x:row>
    <x:row r="13">
      <x:c r="B13" s="50" t="str">
        <x:v>Controls, communications and cyber</x:v>
      </x:c>
      <x:c r="C13" s="50" t="n">
        <x:v>16</x:v>
      </x:c>
      <x:c r="D13" s="50" t="n">
        <x:v>12</x:v>
      </x:c>
      <x:c r="E13" s="50" t="n">
        <x:v>4</x:v>
      </x:c>
      <x:c r="F13" s="50" t="n">
        <x:v>5</x:v>
      </x:c>
      <x:c r="G13" s="50" t="n">
        <x:v>5</x:v>
      </x:c>
      <x:c r="H13" s="50" t="n">
        <x:v>5</x:v>
      </x:c>
      <x:c r="I13" s="50" t="str">
        <x:v>partial</x:v>
      </x:c>
      <x:c r="J13" s="100" t="n">
        <x:v>4.6</x:v>
      </x:c>
      <x:c r="K13" s="50" t="str">
        <x:v>protection or evidence becomes untrusted</x:v>
      </x:c>
      <x:c r="L13" s="52" t="str">
        <x:v>Control Authority</x:v>
      </x:c>
    </x:row>
    <x:row r="14">
      <x:c r="B14" s="50" t="str">
        <x:v>Robotics, civil works and microfactory</x:v>
      </x:c>
      <x:c r="C14" s="50" t="n">
        <x:v>20</x:v>
      </x:c>
      <x:c r="D14" s="50" t="n">
        <x:v>16</x:v>
      </x:c>
      <x:c r="E14" s="50" t="n">
        <x:v>5</x:v>
      </x:c>
      <x:c r="F14" s="50" t="n">
        <x:v>6</x:v>
      </x:c>
      <x:c r="G14" s="50" t="n">
        <x:v>5</x:v>
      </x:c>
      <x:c r="H14" s="50" t="n">
        <x:v>4</x:v>
      </x:c>
      <x:c r="I14" s="50" t="str">
        <x:v>partial</x:v>
      </x:c>
      <x:c r="J14" s="100" t="n">
        <x:v>5.6</x:v>
      </x:c>
      <x:c r="K14" s="50" t="str">
        <x:v>corridors and damaged modules cannot be restored</x:v>
      </x:c>
      <x:c r="L14" s="52" t="str">
        <x:v>Receiver Engineering</x:v>
      </x:c>
    </x:row>
    <x:row r="15">
      <x:c r="B15" s="50" t="str">
        <x:v>Logistics, stocks and mobile docking</x:v>
      </x:c>
      <x:c r="C15" s="50" t="n">
        <x:v>16</x:v>
      </x:c>
      <x:c r="D15" s="50" t="n">
        <x:v>12</x:v>
      </x:c>
      <x:c r="E15" s="50" t="n">
        <x:v>4</x:v>
      </x:c>
      <x:c r="F15" s="50" t="n">
        <x:v>5</x:v>
      </x:c>
      <x:c r="G15" s="50" t="n">
        <x:v>5</x:v>
      </x:c>
      <x:c r="H15" s="50" t="n">
        <x:v>4</x:v>
      </x:c>
      <x:c r="I15" s="50" t="str">
        <x:v>no</x:v>
      </x:c>
      <x:c r="J15" s="100" t="n">
        <x:v>4.4</x:v>
      </x:c>
      <x:c r="K15" s="50" t="str">
        <x:v>inventories and incoming cells cannot be released</x:v>
      </x:c>
      <x:c r="L15" s="52" t="str">
        <x:v>Sustainment Command</x:v>
      </x:c>
    </x:row>
    <x:row r="16">
      <x:c r="B16" s="50" t="str">
        <x:v>Medical micro-power and public health</x:v>
      </x:c>
      <x:c r="C16" s="50" t="n">
        <x:v>12</x:v>
      </x:c>
      <x:c r="D16" s="50" t="n">
        <x:v>12</x:v>
      </x:c>
      <x:c r="E16" s="50" t="n">
        <x:v>3</x:v>
      </x:c>
      <x:c r="F16" s="50" t="n">
        <x:v>4</x:v>
      </x:c>
      <x:c r="G16" s="50" t="n">
        <x:v>4</x:v>
      </x:c>
      <x:c r="H16" s="50" t="n">
        <x:v>4</x:v>
      </x:c>
      <x:c r="I16" s="50" t="str">
        <x:v>partial</x:v>
      </x:c>
      <x:c r="J16" s="100" t="n">
        <x:v>3.6</x:v>
      </x:c>
      <x:c r="K16" s="50" t="str">
        <x:v>priority residents lose continuity</x:v>
      </x:c>
      <x:c r="L16" s="52" t="str">
        <x:v>Health Service</x:v>
      </x:c>
    </x:row>
    <x:row r="17">
      <x:c r="B17" s="50" t="str">
        <x:v>Community liaison, rights and appeals</x:v>
      </x:c>
      <x:c r="C17" s="50" t="n">
        <x:v>8</x:v>
      </x:c>
      <x:c r="D17" s="50" t="n">
        <x:v>8</x:v>
      </x:c>
      <x:c r="E17" s="50" t="n">
        <x:v>1</x:v>
      </x:c>
      <x:c r="F17" s="50" t="n">
        <x:v>3</x:v>
      </x:c>
      <x:c r="G17" s="50" t="n">
        <x:v>3</x:v>
      </x:c>
      <x:c r="H17" s="50" t="n">
        <x:v>3</x:v>
      </x:c>
      <x:c r="I17" s="50" t="str">
        <x:v>no</x:v>
      </x:c>
      <x:c r="J17" s="100" t="n">
        <x:v>2.4</x:v>
      </x:c>
      <x:c r="K17" s="50" t="str">
        <x:v>service becomes coercive or inaccessible</x:v>
      </x:c>
      <x:c r="L17" s="52" t="str">
        <x:v>Civil Rights Authority</x:v>
      </x:c>
    </x:row>
    <x:row r="18">
      <x:c r="B18" s="50" t="str">
        <x:v>Regional technical replacement pool</x:v>
      </x:c>
      <x:c r="C18" s="50" t="n">
        <x:v>0</x:v>
      </x:c>
      <x:c r="D18" s="50" t="n">
        <x:v>0</x:v>
      </x:c>
      <x:c r="E18" s="50" t="n">
        <x:v>36</x:v>
      </x:c>
      <x:c r="F18" s="50" t="n">
        <x:v>0</x:v>
      </x:c>
      <x:c r="G18" s="50" t="n">
        <x:v>5</x:v>
      </x:c>
      <x:c r="H18" s="50" t="n">
        <x:v>5</x:v>
      </x:c>
      <x:c r="I18" s="50" t="str">
        <x:v>n.a.</x:v>
      </x:c>
      <x:c r="J18" s="100" t="n">
        <x:v>7.5</x:v>
      </x:c>
      <x:c r="K18" s="50" t="str">
        <x:v>local cadre loss becomes permanent</x:v>
      </x:c>
      <x:c r="L18" s="52" t="str">
        <x:v>Regional Service Command</x:v>
      </x:c>
    </x:row>
    <x:row r="19">
      <x:c r="B19" s="50"/>
      <x:c r="C19" s="50"/>
      <x:c r="D19" s="50"/>
      <x:c r="E19" s="50"/>
      <x:c r="F19" s="50"/>
      <x:c r="G19" s="50"/>
      <x:c r="H19" s="50"/>
      <x:c r="I19" s="50"/>
      <x:c r="J19" s="100"/>
      <x:c r="K19" s="50"/>
      <x:c r="L19" s="52"/>
    </x:row>
    <x:row r="20">
      <x:c r="B20" s="90" t="str">
        <x:v>TOTAL</x:v>
      </x:c>
      <x:c r="C20" s="90" t="n">
        <x:f>SUM(C8:C18)</x:f>
        <x:v>174</x:v>
      </x:c>
      <x:c r="D20" s="90" t="n">
        <x:f>SUM(D8:D18)</x:f>
        <x:v>132</x:v>
      </x:c>
      <x:c r="E20" s="90" t="n">
        <x:f>SUM(E8:E18)</x:f>
        <x:v>74</x:v>
      </x:c>
      <x:c r="F20" s="90" t="n">
        <x:f>SUM(F8:F18)</x:f>
        <x:v>53</x:v>
      </x:c>
      <x:c r="G20" s="90"/>
      <x:c r="H20" s="90"/>
      <x:c r="I20" s="90" t="n">
        <x:f>SUM(I8:I18)</x:f>
        <x:v>0</x:v>
      </x:c>
      <x:c r="J20" s="101" t="n">
        <x:f>SUM(J8:J18)</x:f>
        <x:v>56</x:v>
      </x:c>
      <x:c r="K20" s="90"/>
      <x:c r="L20" s="92"/>
    </x:row>
  </x:sheetData>
  <x:mergeCells>
    <x:mergeCell ref="B6:L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14" hidden="0" customWidth="1"/>
    <x:col min="4" max="4" width="30" hidden="0" customWidth="1"/>
    <x:col min="5" max="5" width="23" hidden="0" customWidth="1"/>
    <x:col min="6" max="6" width="18" hidden="0" customWidth="1"/>
    <x:col min="7" max="7" width="24" hidden="0" customWidth="1"/>
    <x:col min="8" max="8" width="16" hidden="0" customWidth="1"/>
    <x:col min="9" max="9" width="34" hidden="0" customWidth="1"/>
    <x:col min="10" max="10" width="18" hidden="0" customWidth="1"/>
    <x:col min="11" max="11" width="30" hidden="0" customWidth="1"/>
    <x:col min="12" max="12" width="22" hidden="0" customWidth="1"/>
    <x:col min="13" max="13" width="18" hidden="0" customWidth="1"/>
    <x:col min="14" max="14" width="24" hidden="0" customWidth="1"/>
    <x:col min="15" max="15" width="18" hidden="0" customWidth="1"/>
    <x:col min="16" max="16" width="18" hidden="0" customWidth="1"/>
  </x:cols>
  <x:sheetData>
    <x:row r="2">
      <x:c r="B2" s="3" t="str">
        <x:v>Fixed-island and national program cost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Bottom-up A6 capital and operations replace the provisional Pass 76 fixed-cell boundary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10" t="str">
        <x:v>A6 configured capital</x:v>
      </x:c>
      <x:c r="C6" s="11" t="str">
        <x:v>A6 configured capital</x:v>
      </x:c>
      <x:c r="D6" s="11" t="str">
        <x:v>A6 configured capital</x:v>
      </x:c>
      <x:c r="E6" s="11" t="str">
        <x:v>A6 configured capital</x:v>
      </x:c>
      <x:c r="F6" s="11" t="str">
        <x:v>A6 configured capital</x:v>
      </x:c>
      <x:c r="G6" s="12" t="str">
        <x:v>A6 configured capital</x:v>
      </x:c>
      <x:c r="H6" s="2"/>
      <x:c r="I6" s="10" t="str">
        <x:v>A6 mature annual operations</x:v>
      </x:c>
      <x:c r="J6" s="11" t="str">
        <x:v>A6 mature annual operations</x:v>
      </x:c>
      <x:c r="K6" s="11" t="str">
        <x:v>A6 mature annual operations</x:v>
      </x:c>
      <x:c r="L6" s="11" t="str">
        <x:v>A6 mature annual operations</x:v>
      </x:c>
      <x:c r="M6" s="11" t="str">
        <x:v>A6 mature annual operations</x:v>
      </x:c>
      <x:c r="N6" s="12" t="str">
        <x:v>A6 mature annual operations</x:v>
      </x:c>
      <x:c r="O6" s="2"/>
      <x:c r="P6" s="2"/>
    </x:row>
    <x:row r="7">
      <x:c r="B7" s="28" t="str">
        <x:v>Capital block</x:v>
      </x:c>
      <x:c r="C7" s="29" t="str">
        <x:v>Value $M</x:v>
      </x:c>
      <x:c r="D7" s="29" t="str">
        <x:v>Quantity basis</x:v>
      </x:c>
      <x:c r="E7" s="29" t="str">
        <x:v>Boundary</x:v>
      </x:c>
      <x:c r="F7" s="29" t="str">
        <x:v>Source state</x:v>
      </x:c>
      <x:c r="G7" s="29" t="str">
        <x:v>Treatment</x:v>
      </x:c>
      <x:c r="H7" s="2"/>
      <x:c r="I7" s="28" t="str">
        <x:v>Operating block</x:v>
      </x:c>
      <x:c r="J7" s="29" t="str">
        <x:v>Value $M/year</x:v>
      </x:c>
      <x:c r="K7" s="29" t="str">
        <x:v>Basis</x:v>
      </x:c>
      <x:c r="L7" s="29" t="str">
        <x:v>Boundary</x:v>
      </x:c>
      <x:c r="M7" s="29" t="str">
        <x:v>Source state</x:v>
      </x:c>
      <x:c r="N7" s="29" t="str">
        <x:v>Treatment</x:v>
      </x:c>
      <x:c r="O7" s="2"/>
      <x:c r="P7" s="2"/>
    </x:row>
    <x:row r="8">
      <x:c r="B8" s="30" t="str">
        <x:v>Land, rights, civil works and hazard hardening</x:v>
      </x:c>
      <x:c r="C8" s="105" t="n">
        <x:v>190</x:v>
      </x:c>
      <x:c r="D8" s="30" t="str">
        <x:v>twelve zones and protected corridors</x:v>
      </x:c>
      <x:c r="E8" s="30" t="str">
        <x:v>site-specific</x:v>
      </x:c>
      <x:c r="F8" s="30" t="str">
        <x:v>declared</x:v>
      </x:c>
      <x:c r="G8" s="32" t="str">
        <x:v>configured capital</x:v>
      </x:c>
      <x:c r="H8" s="2"/>
      <x:c r="I8" s="30" t="str">
        <x:v>Permanent and regional workforce</x:v>
      </x:c>
      <x:c r="J8" s="105" t="n">
        <x:v>49</x:v>
      </x:c>
      <x:c r="K8" s="30" t="str">
        <x:v>workforce register</x:v>
      </x:c>
      <x:c r="L8" s="30" t="str">
        <x:v>loaded rates provisional</x:v>
      </x:c>
      <x:c r="M8" s="30" t="str">
        <x:v>declared</x:v>
      </x:c>
      <x:c r="N8" s="32" t="str">
        <x:v>annual operations</x:v>
      </x:c>
      <x:c r="O8" s="2"/>
      <x:c r="P8" s="2"/>
    </x:row>
    <x:row r="9">
      <x:c r="B9" s="30" t="str">
        <x:v>Three firm source yards and grid interface</x:v>
      </x:c>
      <x:c r="C9" s="105" t="n">
        <x:v>260</x:v>
      </x:c>
      <x:c r="D9" s="30" t="str">
        <x:v>3.3 MWe firm plus exchange</x:v>
      </x:c>
      <x:c r="E9" s="30" t="str">
        <x:v>technology-open</x:v>
      </x:c>
      <x:c r="F9" s="30" t="str">
        <x:v>declared</x:v>
      </x:c>
      <x:c r="G9" s="32" t="str">
        <x:v>configured capital</x:v>
      </x:c>
      <x:c r="H9" s="2"/>
      <x:c r="I9" s="30" t="str">
        <x:v>Local reserve compensation and exercises</x:v>
      </x:c>
      <x:c r="J9" s="105" t="n">
        <x:v>9</x:v>
      </x:c>
      <x:c r="K9" s="30" t="str">
        <x:v>local technical cadres</x:v>
      </x:c>
      <x:c r="L9" s="30" t="str">
        <x:v>participation open</x:v>
      </x:c>
      <x:c r="M9" s="30" t="str">
        <x:v>declared</x:v>
      </x:c>
      <x:c r="N9" s="32" t="str">
        <x:v>annual operations</x:v>
      </x:c>
      <x:c r="O9" s="2"/>
      <x:c r="P9" s="2"/>
    </x:row>
    <x:row r="10">
      <x:c r="B10" s="30" t="str">
        <x:v>Distributed storage and black start</x:v>
      </x:c>
      <x:c r="C10" s="105" t="n">
        <x:v>110</x:v>
      </x:c>
      <x:c r="D10" s="30" t="str">
        <x:v>48 MWh and five partitions</x:v>
      </x:c>
      <x:c r="E10" s="30" t="str">
        <x:v>cell-system density open</x:v>
      </x:c>
      <x:c r="F10" s="30" t="str">
        <x:v>declared</x:v>
      </x:c>
      <x:c r="G10" s="32" t="str">
        <x:v>configured capital</x:v>
      </x:c>
      <x:c r="H10" s="2"/>
      <x:c r="I10" s="30" t="str">
        <x:v>Maintenance and spares</x:v>
      </x:c>
      <x:c r="J10" s="105" t="n">
        <x:v>18</x:v>
      </x:c>
      <x:c r="K10" s="30" t="str">
        <x:v>configured equipment</x:v>
      </x:c>
      <x:c r="L10" s="30" t="str">
        <x:v>failure rates open</x:v>
      </x:c>
      <x:c r="M10" s="30" t="str">
        <x:v>declared</x:v>
      </x:c>
      <x:c r="N10" s="32" t="str">
        <x:v>annual operations</x:v>
      </x:c>
      <x:c r="O10" s="2"/>
      <x:c r="P10" s="2"/>
    </x:row>
    <x:row r="11">
      <x:c r="B11" s="30" t="str">
        <x:v>Thermal production and five heat destinations</x:v>
      </x:c>
      <x:c r="C11" s="105" t="n">
        <x:v>240</x:v>
      </x:c>
      <x:c r="D11" s="30" t="str">
        <x:v>2.4 MWth useful and 8 MWth rejection</x:v>
      </x:c>
      <x:c r="E11" s="30" t="str">
        <x:v>destination physics open</x:v>
      </x:c>
      <x:c r="F11" s="30" t="str">
        <x:v>declared</x:v>
      </x:c>
      <x:c r="G11" s="32" t="str">
        <x:v>configured capital</x:v>
      </x:c>
      <x:c r="H11" s="2"/>
      <x:c r="I11" s="30" t="str">
        <x:v>Energy, water and process consumables</x:v>
      </x:c>
      <x:c r="J11" s="105" t="n">
        <x:v>11</x:v>
      </x:c>
      <x:c r="K11" s="30" t="str">
        <x:v>routine readiness and campaign cycling</x:v>
      </x:c>
      <x:c r="L11" s="30" t="str">
        <x:v>mission use open</x:v>
      </x:c>
      <x:c r="M11" s="30" t="str">
        <x:v>declared</x:v>
      </x:c>
      <x:c r="N11" s="32" t="str">
        <x:v>annual operations</x:v>
      </x:c>
      <x:c r="O11" s="2"/>
      <x:c r="P11" s="2"/>
    </x:row>
    <x:row r="12">
      <x:c r="B12" s="30" t="str">
        <x:v>Building nodes and utility corridors</x:v>
      </x:c>
      <x:c r="C12" s="105" t="n">
        <x:v>250</x:v>
      </x:c>
      <x:c r="D12" s="30" t="str">
        <x:v>twelve nodes, five corridors, ten buildings</x:v>
      </x:c>
      <x:c r="E12" s="30" t="str">
        <x:v>geometry open</x:v>
      </x:c>
      <x:c r="F12" s="30" t="str">
        <x:v>declared</x:v>
      </x:c>
      <x:c r="G12" s="32" t="str">
        <x:v>configured capital</x:v>
      </x:c>
      <x:c r="H12" s="2"/>
      <x:c r="I12" s="30" t="str">
        <x:v>Full-island exercises and recertification</x:v>
      </x:c>
      <x:c r="J12" s="105" t="n">
        <x:v>10</x:v>
      </x:c>
      <x:c r="K12" s="30" t="str">
        <x:v>annual partial plus periodic full mission</x:v>
      </x:c>
      <x:c r="L12" s="30" t="str">
        <x:v>test cadence open</x:v>
      </x:c>
      <x:c r="M12" s="30" t="str">
        <x:v>declared</x:v>
      </x:c>
      <x:c r="N12" s="32" t="str">
        <x:v>annual operations</x:v>
      </x:c>
      <x:c r="O12" s="2"/>
      <x:c r="P12" s="2"/>
    </x:row>
    <x:row r="13">
      <x:c r="B13" s="30" t="str">
        <x:v>Water, wastewater and fire systems</x:v>
      </x:c>
      <x:c r="C13" s="105" t="n">
        <x:v>130</x:v>
      </x:c>
      <x:c r="D13" s="30" t="str">
        <x:v>N-1 treatment plus protected storage</x:v>
      </x:c>
      <x:c r="E13" s="30" t="str">
        <x:v>source and residual open</x:v>
      </x:c>
      <x:c r="F13" s="30" t="str">
        <x:v>declared</x:v>
      </x:c>
      <x:c r="G13" s="32" t="str">
        <x:v>configured capital</x:v>
      </x:c>
      <x:c r="H13" s="2"/>
      <x:c r="I13" s="30" t="str">
        <x:v>Land, utility and civil-authority agreements</x:v>
      </x:c>
      <x:c r="J13" s="105" t="n">
        <x:v>6</x:v>
      </x:c>
      <x:c r="K13" s="30" t="str">
        <x:v>site and receiver contracts</x:v>
      </x:c>
      <x:c r="L13" s="30" t="str">
        <x:v>local terms open</x:v>
      </x:c>
      <x:c r="M13" s="30" t="str">
        <x:v>declared</x:v>
      </x:c>
      <x:c r="N13" s="32" t="str">
        <x:v>annual operations</x:v>
      </x:c>
      <x:c r="O13" s="2"/>
      <x:c r="P13" s="2"/>
    </x:row>
    <x:row r="14">
      <x:c r="B14" s="30" t="str">
        <x:v>Offline controls and communications</x:v>
      </x:c>
      <x:c r="C14" s="105" t="n">
        <x:v>70</x:v>
      </x:c>
      <x:c r="D14" s="30" t="str">
        <x:v>five control and four communications partitions</x:v>
      </x:c>
      <x:c r="E14" s="30" t="str">
        <x:v>cyber evidence open</x:v>
      </x:c>
      <x:c r="F14" s="30" t="str">
        <x:v>declared</x:v>
      </x:c>
      <x:c r="G14" s="32" t="str">
        <x:v>configured capital</x:v>
      </x:c>
      <x:c r="H14" s="2"/>
      <x:c r="I14" s="30" t="str">
        <x:v>Software, configuration and safety authority</x:v>
      </x:c>
      <x:c r="J14" s="105" t="n">
        <x:v>5</x:v>
      </x:c>
      <x:c r="K14" s="30" t="str">
        <x:v>offline releases and ancestry</x:v>
      </x:c>
      <x:c r="L14" s="30" t="str">
        <x:v>scope open</x:v>
      </x:c>
      <x:c r="M14" s="30" t="str">
        <x:v>declared</x:v>
      </x:c>
      <x:c r="N14" s="32" t="str">
        <x:v>annual operations</x:v>
      </x:c>
      <x:c r="O14" s="2"/>
      <x:c r="P14" s="2"/>
    </x:row>
    <x:row r="15">
      <x:c r="B15" s="30" t="str">
        <x:v>Robotics and local repair microfactory</x:v>
      </x:c>
      <x:c r="C15" s="105" t="n">
        <x:v>70</x:v>
      </x:c>
      <x:c r="D15" s="30" t="str">
        <x:v>survey, connection, repair and feedstock</x:v>
      </x:c>
      <x:c r="E15" s="30" t="str">
        <x:v>technology-open</x:v>
      </x:c>
      <x:c r="F15" s="30" t="str">
        <x:v>declared</x:v>
      </x:c>
      <x:c r="G15" s="32" t="str">
        <x:v>configured capital</x:v>
      </x:c>
      <x:c r="H15" s="2"/>
      <x:c r="I15" s="30" t="str">
        <x:v>Major reset and component replacement</x:v>
      </x:c>
      <x:c r="J15" s="105" t="n">
        <x:v>12</x:v>
      </x:c>
      <x:c r="K15" s="30" t="str">
        <x:v>second-mission readiness</x:v>
      </x:c>
      <x:c r="L15" s="30" t="str">
        <x:v>lives open</x:v>
      </x:c>
      <x:c r="M15" s="30" t="str">
        <x:v>declared</x:v>
      </x:c>
      <x:c r="N15" s="32" t="str">
        <x:v>annual operations</x:v>
      </x:c>
      <x:c r="O15" s="2"/>
      <x:c r="P15" s="2"/>
    </x:row>
    <x:row r="16">
      <x:c r="B16" s="30" t="str">
        <x:v>Two mobile-cell docking boundaries</x:v>
      </x:c>
      <x:c r="C16" s="105" t="n">
        <x:v>45</x:v>
      </x:c>
      <x:c r="D16" s="30" t="str">
        <x:v>complete utility and authority exchange</x:v>
      </x:c>
      <x:c r="E16" s="30" t="str">
        <x:v>interface evidence open</x:v>
      </x:c>
      <x:c r="F16" s="30" t="str">
        <x:v>declared</x:v>
      </x:c>
      <x:c r="G16" s="32" t="str">
        <x:v>configured capital</x:v>
      </x:c>
      <x:c r="H16" s="2"/>
      <x:c r="I16" s="30" t="str">
        <x:v>Environmental monitoring and handback</x:v>
      </x:c>
      <x:c r="J16" s="105" t="n">
        <x:v>3</x:v>
      </x:c>
      <x:c r="K16" s="30" t="str">
        <x:v>normal and campaign state</x:v>
      </x:c>
      <x:c r="L16" s="30" t="str">
        <x:v>standards open</x:v>
      </x:c>
      <x:c r="M16" s="30" t="str">
        <x:v>declared</x:v>
      </x:c>
      <x:c r="N16" s="32" t="str">
        <x:v>annual operations</x:v>
      </x:c>
      <x:c r="O16" s="2"/>
      <x:c r="P16" s="2"/>
    </x:row>
    <x:row r="17">
      <x:c r="B17" s="30" t="str">
        <x:v>Initial stocks, spares and damaged-item custody</x:v>
      </x:c>
      <x:c r="C17" s="105" t="n">
        <x:v>45</x:v>
      </x:c>
      <x:c r="D17" s="30" t="str">
        <x:v>seven-day autonomy and first reset</x:v>
      </x:c>
      <x:c r="E17" s="30" t="str">
        <x:v>inventory open</x:v>
      </x:c>
      <x:c r="F17" s="30" t="str">
        <x:v>declared</x:v>
      </x:c>
      <x:c r="G17" s="32" t="str">
        <x:v>configured capital</x:v>
      </x:c>
      <x:c r="H17" s="2"/>
      <x:c r="I17" s="30" t="str">
        <x:v>Logistics, custody and insurance</x:v>
      </x:c>
      <x:c r="J17" s="105" t="n">
        <x:v>2</x:v>
      </x:c>
      <x:c r="K17" s="30" t="str">
        <x:v>stocks and hazardous modules</x:v>
      </x:c>
      <x:c r="L17" s="30" t="str">
        <x:v>scope open</x:v>
      </x:c>
      <x:c r="M17" s="30" t="str">
        <x:v>declared</x:v>
      </x:c>
      <x:c r="N17" s="32" t="str">
        <x:v>annual operations</x:v>
      </x:c>
      <x:c r="O17" s="2"/>
      <x:c r="P17" s="2"/>
    </x:row>
    <x:row r="18">
      <x:c r="B18" s="30" t="str">
        <x:v>Training, commissioning and community exercises</x:v>
      </x:c>
      <x:c r="C18" s="105" t="n">
        <x:v>30</x:v>
      </x:c>
      <x:c r="D18" s="30" t="str">
        <x:v>local cadres and release authorities</x:v>
      </x:c>
      <x:c r="E18" s="30" t="str">
        <x:v>rate open</x:v>
      </x:c>
      <x:c r="F18" s="30" t="str">
        <x:v>declared</x:v>
      </x:c>
      <x:c r="G18" s="32" t="str">
        <x:v>configured capital</x:v>
      </x:c>
      <x:c r="H18" s="2"/>
      <x:c r="I18" s="30"/>
      <x:c r="J18" s="105"/>
      <x:c r="K18" s="30"/>
      <x:c r="L18" s="30"/>
      <x:c r="M18" s="30"/>
      <x:c r="N18" s="32"/>
      <x:c r="O18" s="2"/>
      <x:c r="P18" s="2"/>
    </x:row>
    <x:row r="19">
      <x:c r="B19" s="30" t="str">
        <x:v>Integration, safety and cyber assurance</x:v>
      </x:c>
      <x:c r="C19" s="105" t="n">
        <x:v>80</x:v>
      </x:c>
      <x:c r="D19" s="30" t="str">
        <x:v>complete island case</x:v>
      </x:c>
      <x:c r="E19" s="30" t="str">
        <x:v>evidence open</x:v>
      </x:c>
      <x:c r="F19" s="30" t="str">
        <x:v>declared</x:v>
      </x:c>
      <x:c r="G19" s="32" t="str">
        <x:v>configured capital</x:v>
      </x:c>
      <x:c r="H19" s="2"/>
      <x:c r="I19" s="109" t="str">
        <x:v>Annual operations total</x:v>
      </x:c>
      <x:c r="J19" s="110" t="n">
        <x:f>SUM(J8:J17)</x:f>
        <x:v>125</x:v>
      </x:c>
      <x:c r="K19" s="30"/>
      <x:c r="L19" s="30"/>
      <x:c r="M19" s="30"/>
      <x:c r="N19" s="32"/>
      <x:c r="O19" s="2"/>
      <x:c r="P19" s="2"/>
    </x:row>
    <x:row r="20">
      <x:c r="B20" s="30" t="str">
        <x:v>Design and representative test articles</x:v>
      </x:c>
      <x:c r="C20" s="105" t="n">
        <x:v>70</x:v>
      </x:c>
      <x:c r="D20" s="30" t="str">
        <x:v>competitive full-scale development</x:v>
      </x:c>
      <x:c r="E20" s="30" t="str">
        <x:v>program boundary</x:v>
      </x:c>
      <x:c r="F20" s="30" t="str">
        <x:v>declared</x:v>
      </x:c>
      <x:c r="G20" s="32" t="str">
        <x:v>configured capital</x:v>
      </x:c>
      <x:c r="H20" s="2"/>
      <x:c r="I20" s="109" t="str">
        <x:v>Ramp-weighted 25-year operations</x:v>
      </x:c>
      <x:c r="J20" s="111" t="n">
        <x:f>J19/1000*Assumptions!$I$14</x:f>
        <x:v>1.97625</x:v>
      </x:c>
      <x:c r="K20" s="30"/>
      <x:c r="L20" s="30"/>
      <x:c r="M20" s="30"/>
      <x:c r="N20" s="32"/>
      <x:c r="O20" s="2"/>
      <x:c r="P20" s="2"/>
    </x:row>
    <x:row r="21">
      <x:c r="B21" s="30" t="str">
        <x:v>Program reserve</x:v>
      </x:c>
      <x:c r="C21" s="105" t="n">
        <x:v>210</x:v>
      </x:c>
      <x:c r="D21" s="30" t="str">
        <x:v>uncertainty in all preceding blocks</x:v>
      </x:c>
      <x:c r="E21" s="30" t="str">
        <x:v>not contingency proof</x:v>
      </x:c>
      <x:c r="F21" s="30" t="str">
        <x:v>declared</x:v>
      </x:c>
      <x:c r="G21" s="32" t="str">
        <x:v>configured capital</x:v>
      </x:c>
      <x:c r="H21" s="2"/>
      <x:c r="I21" s="106" t="str">
        <x:v>A6 lifecycle</x:v>
      </x:c>
      <x:c r="J21" s="112" t="n">
        <x:f>C23/1000+J20</x:f>
        <x:v>3.77625</x:v>
      </x:c>
      <x:c r="K21" s="35"/>
      <x:c r="L21" s="35"/>
      <x:c r="M21" s="35"/>
      <x:c r="N21" s="37"/>
      <x:c r="O21" s="2"/>
      <x:c r="P21" s="2"/>
    </x:row>
    <x:row r="22">
      <x:c r="B22" s="30"/>
      <x:c r="C22" s="105"/>
      <x:c r="D22" s="30"/>
      <x:c r="E22" s="30"/>
      <x:c r="F22" s="30"/>
      <x:c r="G22" s="3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B23" s="106" t="str">
        <x:v>Configured capital total</x:v>
      </x:c>
      <x:c r="C23" s="107" t="n">
        <x:f>SUM(C8:C21)</x:f>
        <x:v>1800</x:v>
      </x:c>
      <x:c r="D23" s="35"/>
      <x:c r="E23" s="35"/>
      <x:c r="F23" s="35"/>
      <x:c r="G23" s="37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B27" s="10" t="str">
        <x:v>National program reconciliation</x:v>
      </x:c>
      <x:c r="C27" s="11" t="str">
        <x:v>National program reconciliation</x:v>
      </x:c>
      <x:c r="D27" s="11" t="str">
        <x:v>National program reconciliation</x:v>
      </x:c>
      <x:c r="E27" s="11" t="str">
        <x:v>National program reconciliation</x:v>
      </x:c>
      <x:c r="F27" s="11" t="str">
        <x:v>National program reconciliation</x:v>
      </x:c>
      <x:c r="G27" s="11" t="str">
        <x:v>National program reconciliation</x:v>
      </x:c>
      <x:c r="H27" s="11" t="str">
        <x:v>National program reconciliation</x:v>
      </x:c>
      <x:c r="I27" s="11" t="str">
        <x:v>National program reconciliation</x:v>
      </x:c>
      <x:c r="J27" s="11" t="str">
        <x:v>National program reconciliation</x:v>
      </x:c>
      <x:c r="K27" s="11" t="str">
        <x:v>National program reconciliation</x:v>
      </x:c>
      <x:c r="L27" s="11" t="str">
        <x:v>National program reconciliation</x:v>
      </x:c>
      <x:c r="M27" s="11" t="str">
        <x:v>National program reconciliation</x:v>
      </x:c>
      <x:c r="N27" s="11" t="str">
        <x:v>National program reconciliation</x:v>
      </x:c>
      <x:c r="O27" s="11" t="str">
        <x:v>National program reconciliation</x:v>
      </x:c>
      <x:c r="P27" s="12" t="str">
        <x:v>National program reconciliation</x:v>
      </x:c>
    </x:row>
    <x:row r="28">
      <x:c r="B28" s="28" t="str">
        <x:v>Program</x:v>
      </x:c>
      <x:c r="C28" s="29" t="str">
        <x:v>Groups</x:v>
      </x:c>
      <x:c r="D28" s="29" t="str">
        <x:v>Fixed cells</x:v>
      </x:c>
      <x:c r="E28" s="29" t="str">
        <x:v>Road cells</x:v>
      </x:c>
      <x:c r="F28" s="29" t="str">
        <x:v>Rail cells</x:v>
      </x:c>
      <x:c r="G28" s="29" t="str">
        <x:v>Water cells</x:v>
      </x:c>
      <x:c r="H28" s="29" t="str">
        <x:v>Fourth-path cells</x:v>
      </x:c>
      <x:c r="I28" s="29" t="str">
        <x:v>Total packages</x:v>
      </x:c>
      <x:c r="J28" s="29" t="str">
        <x:v>Fixed lifecycle $B</x:v>
      </x:c>
      <x:c r="K28" s="29" t="str">
        <x:v>Legacy mobile $B</x:v>
      </x:c>
      <x:c r="L28" s="29" t="str">
        <x:v>Fourth path $B</x:v>
      </x:c>
      <x:c r="M28" s="29" t="str">
        <x:v>Retained common $B</x:v>
      </x:c>
      <x:c r="N28" s="29" t="str">
        <x:v>Technology increment $B</x:v>
      </x:c>
      <x:c r="O28" s="29" t="str">
        <x:v>Low $B</x:v>
      </x:c>
      <x:c r="P28" s="29" t="str">
        <x:v>Base $B</x:v>
      </x:c>
    </x:row>
    <x:row r="29">
      <x:c r="B29" s="50" t="str">
        <x:v>Universal G2 strict ten-partition T7</x:v>
      </x:c>
      <x:c r="C29" s="50" t="n">
        <x:v>72</x:v>
      </x:c>
      <x:c r="D29" s="50" t="n">
        <x:v>720</x:v>
      </x:c>
      <x:c r="E29" s="50" t="n">
        <x:v>72</x:v>
      </x:c>
      <x:c r="F29" s="50" t="n">
        <x:v>72</x:v>
      </x:c>
      <x:c r="G29" s="50" t="n">
        <x:v>72</x:v>
      </x:c>
      <x:c r="H29" s="50" t="n">
        <x:v>0</x:v>
      </x:c>
      <x:c r="I29" s="50" t="n">
        <x:v>936</x:v>
      </x:c>
      <x:c r="J29" s="114" t="n">
        <x:f>D29*$J$21</x:f>
        <x:v>2718.9</x:v>
      </x:c>
      <x:c r="K29" s="114" t="n">
        <x:f>E29*2.479+F29*2.799+G29*3.239</x:f>
        <x:v>613.2239999999999</x:v>
      </x:c>
      <x:c r="L29" s="114" t="n">
        <x:f>H29*4.5</x:f>
        <x:v>0</x:v>
      </x:c>
      <x:c r="M29" s="114" t="n">
        <x:f>Assumptions!$I$13</x:f>
        <x:v>2129.4272</x:v>
      </x:c>
      <x:c r="N29" s="114" t="n">
        <x:f>Assumptions!$I$18</x:f>
        <x:v>275</x:v>
      </x:c>
      <x:c r="O29" s="114" t="n">
        <x:f>P29*0.82</x:f>
        <x:v>4703.971984</x:v>
      </x:c>
      <x:c r="P29" s="115" t="n">
        <x:f>SUM(J29:N29)</x:f>
        <x:v>5736.5512</x:v>
      </x:c>
    </x:row>
    <x:row r="30">
      <x:c r="B30" s="53" t="str">
        <x:v>Pass 76 geography-assigned portfolio, recompiled</x:v>
      </x:c>
      <x:c r="C30" s="53" t="n">
        <x:v>72</x:v>
      </x:c>
      <x:c r="D30" s="53" t="n">
        <x:v>607</x:v>
      </x:c>
      <x:c r="E30" s="53" t="n">
        <x:v>153</x:v>
      </x:c>
      <x:c r="F30" s="53" t="n">
        <x:v>153</x:v>
      </x:c>
      <x:c r="G30" s="53" t="n">
        <x:v>153</x:v>
      </x:c>
      <x:c r="H30" s="53" t="n">
        <x:v>22</x:v>
      </x:c>
      <x:c r="I30" s="53" t="n">
        <x:v>1088</x:v>
      </x:c>
      <x:c r="J30" s="116" t="n">
        <x:f>D30*$J$21</x:f>
        <x:v>2292.18375</x:v>
      </x:c>
      <x:c r="K30" s="116" t="n">
        <x:f>E30*2.479+F30*2.799+G30*3.239</x:f>
        <x:v>1303.101</x:v>
      </x:c>
      <x:c r="L30" s="116" t="n">
        <x:f>H30*4.5</x:f>
        <x:v>99</x:v>
      </x:c>
      <x:c r="M30" s="116" t="n">
        <x:f>Assumptions!$I$13</x:f>
        <x:v>2129.4272</x:v>
      </x:c>
      <x:c r="N30" s="116" t="n">
        <x:f>Assumptions!$I$18</x:f>
        <x:v>275</x:v>
      </x:c>
      <x:c r="O30" s="116" t="n">
        <x:f>P30*0.82</x:f>
        <x:v>5000.943799000001</x:v>
      </x:c>
      <x:c r="P30" s="117" t="n">
        <x:f>SUM(J30:N30)</x:f>
        <x:v>6098.711950000001</x:v>
      </x:c>
    </x:row>
  </x:sheetData>
  <x:mergeCells>
    <x:mergeCell ref="B6:G6"/>
    <x:mergeCell ref="I6:N6"/>
    <x:mergeCell ref="B27:P2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7" hidden="0" customWidth="1"/>
    <x:col min="3" max="3" width="14" hidden="0" customWidth="1"/>
    <x:col min="4" max="4" width="37" hidden="0" customWidth="1"/>
    <x:col min="5" max="5" width="43" hidden="0" customWidth="1"/>
    <x:col min="6" max="6" width="40" hidden="0" customWidth="1"/>
    <x:col min="7" max="7" width="36" hidden="0" customWidth="1"/>
    <x:col min="8" max="8" width="15" hidden="0" customWidth="1"/>
    <x:col min="9" max="9" width="15" hidden="0" customWidth="1"/>
    <x:col min="10" max="10" width="30" hidden="0" customWidth="1"/>
    <x:col min="11" max="11" width="14" hidden="0" customWidth="1"/>
  </x:cols>
  <x:sheetData>
    <x:row r="2">
      <x:c r="B2" s="3" t="str">
        <x:v>Fixed-island technology portfolio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Ambitious systems enter through a declared failure and exit only through a complete public-service trial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0" t="str">
        <x:v>$455 billion research, industrialization and proving portfolio</x:v>
      </x:c>
      <x:c r="C6" s="11" t="str">
        <x:v>$455 billion research, industrialization and proving portfolio</x:v>
      </x:c>
      <x:c r="D6" s="11" t="str">
        <x:v>$455 billion research, industrialization and proving portfolio</x:v>
      </x:c>
      <x:c r="E6" s="11" t="str">
        <x:v>$455 billion research, industrialization and proving portfolio</x:v>
      </x:c>
      <x:c r="F6" s="11" t="str">
        <x:v>$455 billion research, industrialization and proving portfolio</x:v>
      </x:c>
      <x:c r="G6" s="11" t="str">
        <x:v>$455 billion research, industrialization and proving portfolio</x:v>
      </x:c>
      <x:c r="H6" s="11" t="str">
        <x:v>$455 billion research, industrialization and proving portfolio</x:v>
      </x:c>
      <x:c r="I6" s="11" t="str">
        <x:v>$455 billion research, industrialization and proving portfolio</x:v>
      </x:c>
      <x:c r="J6" s="11" t="str">
        <x:v>$455 billion research, industrialization and proving portfolio</x:v>
      </x:c>
      <x:c r="K6" s="12" t="str">
        <x:v>$455 billion research, industrialization and proving portfolio</x:v>
      </x:c>
    </x:row>
    <x:row r="7">
      <x:c r="B7" s="28" t="str">
        <x:v>Program</x:v>
      </x:c>
      <x:c r="C7" s="29" t="str">
        <x:v>25-year $B</x:v>
      </x:c>
      <x:c r="D7" s="29" t="str">
        <x:v>Failure pulled</x:v>
      </x:c>
      <x:c r="E7" s="29" t="str">
        <x:v>Required article</x:v>
      </x:c>
      <x:c r="F7" s="29" t="str">
        <x:v>Minimum campaign</x:v>
      </x:c>
      <x:c r="G7" s="29" t="str">
        <x:v>Exit metric</x:v>
      </x:c>
      <x:c r="H7" s="29" t="str">
        <x:v>Maturity</x:v>
      </x:c>
      <x:c r="I7" s="29" t="str">
        <x:v>Admission credit</x:v>
      </x:c>
      <x:c r="J7" s="29" t="str">
        <x:v>Owner</x:v>
      </x:c>
      <x:c r="K7" s="29" t="str">
        <x:v>Rendering</x:v>
      </x:c>
    </x:row>
    <x:row r="8">
      <x:c r="B8" s="50" t="str">
        <x:v>Full-scale civic metabolism islands</x:v>
      </x:c>
      <x:c r="C8" s="121" t="n">
        <x:v>45</x:v>
      </x:c>
      <x:c r="D8" s="50" t="str">
        <x:v>component success without public service</x:v>
      </x:c>
      <x:c r="E8" s="50" t="str">
        <x:v>three rival A6-scale islands</x:v>
      </x:c>
      <x:c r="F8" s="50" t="str">
        <x:v>168-hour occupied district</x:v>
      </x:c>
      <x:c r="G8" s="50" t="str">
        <x:v>90% safe service in all registered worlds</x:v>
      </x:c>
      <x:c r="H8" s="50" t="str">
        <x:v>concept</x:v>
      </x:c>
      <x:c r="I8" s="50" t="n">
        <x:v>0</x:v>
      </x:c>
      <x:c r="J8" s="50" t="str">
        <x:v>Fixed Service Island Command</x:v>
      </x:c>
      <x:c r="K8" s="52" t="str">
        <x:v>blocked</x:v>
      </x:c>
    </x:row>
    <x:row r="9">
      <x:c r="B9" s="50" t="str">
        <x:v>Twelve-node utility fabric</x:v>
      </x:c>
      <x:c r="C9" s="121" t="n">
        <x:v>30</x:v>
      </x:c>
      <x:c r="D9" s="50" t="str">
        <x:v>central plant and corridor common mode</x:v>
      </x:c>
      <x:c r="E9" s="50" t="str">
        <x:v>twelve active and reserve nodes</x:v>
      </x:c>
      <x:c r="F9" s="50" t="str">
        <x:v>two adjacent node loss</x:v>
      </x:c>
      <x:c r="G9" s="50" t="str">
        <x:v>ten service equivalents remain</x:v>
      </x:c>
      <x:c r="H9" s="50" t="str">
        <x:v>concept</x:v>
      </x:c>
      <x:c r="I9" s="50" t="n">
        <x:v>0</x:v>
      </x:c>
      <x:c r="J9" s="50" t="str">
        <x:v>Receiver Engineering Command</x:v>
      </x:c>
      <x:c r="K9" s="52" t="str">
        <x:v>blocked</x:v>
      </x:c>
    </x:row>
    <x:row r="10">
      <x:c r="B10" s="50" t="str">
        <x:v>Firm-source exchange yards</x:v>
      </x:c>
      <x:c r="C10" s="121" t="n">
        <x:v>25</x:v>
      </x:c>
      <x:c r="D10" s="50" t="str">
        <x:v>one grid or fuel lineage</x:v>
      </x:c>
      <x:c r="E10" s="50" t="str">
        <x:v>three interchangeable firm yards</x:v>
      </x:c>
      <x:c r="F10" s="50" t="str">
        <x:v>grid and largest-yard denial</x:v>
      </x:c>
      <x:c r="G10" s="50" t="str">
        <x:v>continuous service without unsafe transfer</x:v>
      </x:c>
      <x:c r="H10" s="50" t="str">
        <x:v>concept</x:v>
      </x:c>
      <x:c r="I10" s="50" t="n">
        <x:v>0</x:v>
      </x:c>
      <x:c r="J10" s="50" t="str">
        <x:v>Energy Service</x:v>
      </x:c>
      <x:c r="K10" s="52" t="str">
        <x:v>blocked</x:v>
      </x:c>
    </x:row>
    <x:row r="11">
      <x:c r="B11" s="50" t="str">
        <x:v>Five-lineage heat destinations</x:v>
      </x:c>
      <x:c r="C11" s="121" t="n">
        <x:v>30</x:v>
      </x:c>
      <x:c r="D11" s="50" t="str">
        <x:v>air or water rejection common mode</x:v>
      </x:c>
      <x:c r="E11" s="50" t="str">
        <x:v>air, ground, water, district and storage interfaces</x:v>
      </x:c>
      <x:c r="F11" s="50" t="str">
        <x:v>50 C smoke and sink loss</x:v>
      </x:c>
      <x:c r="G11" s="50" t="str">
        <x:v>4.8 MWth safely rejected</x:v>
      </x:c>
      <x:c r="H11" s="50" t="str">
        <x:v>pre-concept</x:v>
      </x:c>
      <x:c r="I11" s="50" t="n">
        <x:v>0</x:v>
      </x:c>
      <x:c r="J11" s="50" t="str">
        <x:v>Thermal Service</x:v>
      </x:c>
      <x:c r="K11" s="52" t="str">
        <x:v>blocked</x:v>
      </x:c>
    </x:row>
    <x:row r="12">
      <x:c r="B12" s="50" t="str">
        <x:v>Closed civic water metabolism</x:v>
      </x:c>
      <x:c r="C12" s="121" t="n">
        <x:v>22</x:v>
      </x:c>
      <x:c r="D12" s="50" t="str">
        <x:v>municipal water and outfall dependence</x:v>
      </x:c>
      <x:c r="E12" s="50" t="str">
        <x:v>N-1 source, treatment, reuse and residual custody</x:v>
      </x:c>
      <x:c r="F12" s="50" t="str">
        <x:v>main and outfall denial</x:v>
      </x:c>
      <x:c r="G12" s="50" t="str">
        <x:v>225/180 m3/day safely sustained</x:v>
      </x:c>
      <x:c r="H12" s="50" t="str">
        <x:v>concept</x:v>
      </x:c>
      <x:c r="I12" s="50" t="n">
        <x:v>0</x:v>
      </x:c>
      <x:c r="J12" s="50" t="str">
        <x:v>Water Service</x:v>
      </x:c>
      <x:c r="K12" s="52" t="str">
        <x:v>blocked</x:v>
      </x:c>
    </x:row>
    <x:row r="13">
      <x:c r="B13" s="50" t="str">
        <x:v>Autonomous utility corridor construction</x:v>
      </x:c>
      <x:c r="C13" s="121" t="n">
        <x:v>25</x:v>
      </x:c>
      <x:c r="D13" s="50" t="str">
        <x:v>damaged local distribution</x:v>
      </x:c>
      <x:c r="E13" s="50" t="str">
        <x:v>survey, trench, bridge, cable and pipe robot teams</x:v>
      </x:c>
      <x:c r="F13" s="50" t="str">
        <x:v>flooded and debris-obstructed district</x:v>
      </x:c>
      <x:c r="G13" s="50" t="str">
        <x:v>one complete corridor restored by hour 24</x:v>
      </x:c>
      <x:c r="H13" s="50" t="str">
        <x:v>concept</x:v>
      </x:c>
      <x:c r="I13" s="50" t="n">
        <x:v>0</x:v>
      </x:c>
      <x:c r="J13" s="50" t="str">
        <x:v>Receiver Engineering Command</x:v>
      </x:c>
      <x:c r="K13" s="52" t="str">
        <x:v>blocked</x:v>
      </x:c>
    </x:row>
    <x:row r="14">
      <x:c r="B14" s="50" t="str">
        <x:v>Building passports and robotic acceptance</x:v>
      </x:c>
      <x:c r="C14" s="121" t="n">
        <x:v>18</x:v>
      </x:c>
      <x:c r="D14" s="50" t="str">
        <x:v>arrival without lawful connection</x:v>
      </x:c>
      <x:c r="E14" s="50" t="str">
        <x:v>machine-readable interfaces and test robots</x:v>
      </x:c>
      <x:c r="F14" s="50" t="str">
        <x:v>unknown damaged building</x:v>
      </x:c>
      <x:c r="G14" s="50" t="str">
        <x:v>safe release by hour 48</x:v>
      </x:c>
      <x:c r="H14" s="50" t="str">
        <x:v>concept</x:v>
      </x:c>
      <x:c r="I14" s="50" t="n">
        <x:v>0</x:v>
      </x:c>
      <x:c r="J14" s="50" t="str">
        <x:v>Configuration Service</x:v>
      </x:c>
      <x:c r="K14" s="52" t="str">
        <x:v>blocked</x:v>
      </x:c>
    </x:row>
    <x:row r="15">
      <x:c r="B15" s="50" t="str">
        <x:v>Offline protection and authority partitions</x:v>
      </x:c>
      <x:c r="C15" s="121" t="n">
        <x:v>20</x:v>
      </x:c>
      <x:c r="D15" s="50" t="str">
        <x:v>common cloud or signing root</x:v>
      </x:c>
      <x:c r="E15" s="50" t="str">
        <x:v>five independently restorable control cells</x:v>
      </x:c>
      <x:c r="F15" s="50" t="str">
        <x:v>72-hour disconnected fault campaign</x:v>
      </x:c>
      <x:c r="G15" s="50" t="str">
        <x:v>safe local control and auditable release</x:v>
      </x:c>
      <x:c r="H15" s="50" t="str">
        <x:v>concept</x:v>
      </x:c>
      <x:c r="I15" s="50" t="n">
        <x:v>0</x:v>
      </x:c>
      <x:c r="J15" s="50" t="str">
        <x:v>Control Authority</x:v>
      </x:c>
      <x:c r="K15" s="52" t="str">
        <x:v>blocked</x:v>
      </x:c>
    </x:row>
    <x:row r="16">
      <x:c r="B16" s="50" t="str">
        <x:v>Local repair microfactories</x:v>
      </x:c>
      <x:c r="C16" s="121" t="n">
        <x:v>18</x:v>
      </x:c>
      <x:c r="D16" s="50" t="str">
        <x:v>single depot and second-mission loss</x:v>
      </x:c>
      <x:c r="E16" s="50" t="str">
        <x:v>qualified feedstock, machining and inspection cell</x:v>
      </x:c>
      <x:c r="F16" s="50" t="str">
        <x:v>depot denial and day-three reuse</x:v>
      </x:c>
      <x:c r="G16" s="50" t="str">
        <x:v>90% island availability</x:v>
      </x:c>
      <x:c r="H16" s="50" t="str">
        <x:v>pre-concept</x:v>
      </x:c>
      <x:c r="I16" s="50" t="n">
        <x:v>0</x:v>
      </x:c>
      <x:c r="J16" s="50" t="str">
        <x:v>Sustainment Command</x:v>
      </x:c>
      <x:c r="K16" s="52" t="str">
        <x:v>blocked</x:v>
      </x:c>
    </x:row>
    <x:row r="17">
      <x:c r="B17" s="50" t="str">
        <x:v>Five-school reciprocal qualification</x:v>
      </x:c>
      <x:c r="C17" s="121" t="n">
        <x:v>15</x:v>
      </x:c>
      <x:c r="D17" s="50" t="str">
        <x:v>one school or credential chain</x:v>
      </x:c>
      <x:c r="E17" s="50" t="str">
        <x:v>five training and simulator lineages</x:v>
      </x:c>
      <x:c r="F17" s="50" t="str">
        <x:v>school loss plus 25% absence</x:v>
      </x:c>
      <x:c r="G17" s="50" t="str">
        <x:v>qualified minimum watch maintained</x:v>
      </x:c>
      <x:c r="H17" s="50" t="str">
        <x:v>concept</x:v>
      </x:c>
      <x:c r="I17" s="50" t="n">
        <x:v>0</x:v>
      </x:c>
      <x:c r="J17" s="50" t="str">
        <x:v>Personnel Command</x:v>
      </x:c>
      <x:c r="K17" s="52" t="str">
        <x:v>blocked</x:v>
      </x:c>
    </x:row>
    <x:row r="18">
      <x:c r="B18" s="50" t="str">
        <x:v>Civil release and rights systems</x:v>
      </x:c>
      <x:c r="C18" s="121" t="n">
        <x:v>8</x:v>
      </x:c>
      <x:c r="D18" s="50" t="str">
        <x:v>safe plant without usable authority</x:v>
      </x:c>
      <x:c r="E18" s="50" t="str">
        <x:v>offline consent, release, appeal and audit system</x:v>
      </x:c>
      <x:c r="F18" s="50" t="str">
        <x:v>jurisdiction disruption</x:v>
      </x:c>
      <x:c r="G18" s="50" t="str">
        <x:v>lawful equitable service continues</x:v>
      </x:c>
      <x:c r="H18" s="50" t="str">
        <x:v>concept</x:v>
      </x:c>
      <x:c r="I18" s="50" t="n">
        <x:v>0</x:v>
      </x:c>
      <x:c r="J18" s="50" t="str">
        <x:v>Civil Rights Authority</x:v>
      </x:c>
      <x:c r="K18" s="52" t="str">
        <x:v>blocked</x:v>
      </x:c>
    </x:row>
    <x:row r="19">
      <x:c r="B19" s="50" t="str">
        <x:v>Universal mobile-cell docking</x:v>
      </x:c>
      <x:c r="C19" s="121" t="n">
        <x:v>15</x:v>
      </x:c>
      <x:c r="D19" s="50" t="str">
        <x:v>fixed/mobile incompatibility</x:v>
      </x:c>
      <x:c r="E19" s="50" t="str">
        <x:v>power, thermal, water, data and authority dock</x:v>
      </x:c>
      <x:c r="F19" s="50" t="str">
        <x:v>fixed yard and one corridor lost</x:v>
      </x:c>
      <x:c r="G19" s="50" t="str">
        <x:v>complete mobile cell accepted</x:v>
      </x:c>
      <x:c r="H19" s="50" t="str">
        <x:v>concept</x:v>
      </x:c>
      <x:c r="I19" s="50" t="n">
        <x:v>0</x:v>
      </x:c>
      <x:c r="J19" s="50" t="str">
        <x:v>Access Forces Command</x:v>
      </x:c>
      <x:c r="K19" s="52" t="str">
        <x:v>blocked</x:v>
      </x:c>
    </x:row>
    <x:row r="20">
      <x:c r="B20" s="50" t="str">
        <x:v>Multi-hazard island proving grounds</x:v>
      </x:c>
      <x:c r="C20" s="121" t="n">
        <x:v>28</x:v>
      </x:c>
      <x:c r="D20" s="50" t="str">
        <x:v>hardening by hazard label</x:v>
      </x:c>
      <x:c r="E20" s="50" t="str">
        <x:v>flood, fire, wind, seismic, smoke and heat tracks</x:v>
      </x:c>
      <x:c r="F20" s="50" t="str">
        <x:v>compound site damage</x:v>
      </x:c>
      <x:c r="G20" s="50" t="str">
        <x:v>failures remain inside one zone</x:v>
      </x:c>
      <x:c r="H20" s="50" t="str">
        <x:v>not built</x:v>
      </x:c>
      <x:c r="I20" s="50" t="n">
        <x:v>0</x:v>
      </x:c>
      <x:c r="J20" s="50" t="str">
        <x:v>Independent Test Authority</x:v>
      </x:c>
      <x:c r="K20" s="52" t="str">
        <x:v>blocked</x:v>
      </x:c>
    </x:row>
    <x:row r="21">
      <x:c r="B21" s="50" t="str">
        <x:v>Ten-island federation campaigns</x:v>
      </x:c>
      <x:c r="C21" s="121" t="n">
        <x:v>45</x:v>
      </x:c>
      <x:c r="D21" s="50" t="str">
        <x:v>nominal sites mistaken for independent cells</x:v>
      </x:c>
      <x:c r="E21" s="50" t="str">
        <x:v>full ten-island PTS-50 geography</x:v>
      </x:c>
      <x:c r="F21" s="50" t="str">
        <x:v>ancestry loss plus two modes</x:v>
      </x:c>
      <x:c r="G21" s="50" t="str">
        <x:v>ten complete cells remain</x:v>
      </x:c>
      <x:c r="H21" s="50" t="str">
        <x:v>not built</x:v>
      </x:c>
      <x:c r="I21" s="50" t="n">
        <x:v>0</x:v>
      </x:c>
      <x:c r="J21" s="50" t="str">
        <x:v>Independent Test Authority</x:v>
      </x:c>
      <x:c r="K21" s="52" t="str">
        <x:v>blocked</x:v>
      </x:c>
    </x:row>
    <x:row r="22">
      <x:c r="B22" s="50" t="str">
        <x:v>Industrial cold start and ancestry teardown</x:v>
      </x:c>
      <x:c r="C22" s="121" t="n">
        <x:v>22</x:v>
      </x:c>
      <x:c r="D22" s="50" t="str">
        <x:v>vendor-name diversity</x:v>
      </x:c>
      <x:c r="E22" s="50" t="str">
        <x:v>serialized upstream material and software graph</x:v>
      </x:c>
      <x:c r="F22" s="50" t="str">
        <x:v>largest supplier removed</x:v>
      </x:c>
      <x:c r="G22" s="50" t="str">
        <x:v>qualified alternate production starts</x:v>
      </x:c>
      <x:c r="H22" s="50" t="str">
        <x:v>concept</x:v>
      </x:c>
      <x:c r="I22" s="50" t="n">
        <x:v>0</x:v>
      </x:c>
      <x:c r="J22" s="50" t="str">
        <x:v>Industrial Mobilization Command</x:v>
      </x:c>
      <x:c r="K22" s="52" t="str">
        <x:v>blocked</x:v>
      </x:c>
    </x:row>
    <x:row r="23">
      <x:c r="B23" s="50" t="str">
        <x:v>Environmental handback and residual closure</x:v>
      </x:c>
      <x:c r="C23" s="121" t="n">
        <x:v>18</x:v>
      </x:c>
      <x:c r="D23" s="50" t="str">
        <x:v>emergency service exporting long-term harm</x:v>
      </x:c>
      <x:c r="E23" s="50" t="str">
        <x:v>full residual, plume, water and land account</x:v>
      </x:c>
      <x:c r="F23" s="50" t="str">
        <x:v>thirty-day operation and demobilization</x:v>
      </x:c>
      <x:c r="G23" s="50" t="str">
        <x:v>site returned within accepted bounds</x:v>
      </x:c>
      <x:c r="H23" s="50" t="str">
        <x:v>concept</x:v>
      </x:c>
      <x:c r="I23" s="50" t="n">
        <x:v>0</x:v>
      </x:c>
      <x:c r="J23" s="50" t="str">
        <x:v>Environmental Authority</x:v>
      </x:c>
      <x:c r="K23" s="52" t="str">
        <x:v>blocked</x:v>
      </x:c>
    </x:row>
    <x:row r="24">
      <x:c r="B24" s="50" t="str">
        <x:v>Independent safety and public-effect trials</x:v>
      </x:c>
      <x:c r="C24" s="121" t="n">
        <x:v>25</x:v>
      </x:c>
      <x:c r="D24" s="50" t="str">
        <x:v>performance without safe public use</x:v>
      </x:c>
      <x:c r="E24" s="50" t="str">
        <x:v>rights, safety, accessibility and health program</x:v>
      </x:c>
      <x:c r="F24" s="50" t="str">
        <x:v>degraded authority and service</x:v>
      </x:c>
      <x:c r="G24" s="50" t="str">
        <x:v>no unsafe issue and complete evidence</x:v>
      </x:c>
      <x:c r="H24" s="50" t="str">
        <x:v>not built</x:v>
      </x:c>
      <x:c r="I24" s="50" t="n">
        <x:v>0</x:v>
      </x:c>
      <x:c r="J24" s="50" t="str">
        <x:v>Independent Test Authority</x:v>
      </x:c>
      <x:c r="K24" s="52" t="str">
        <x:v>blocked</x:v>
      </x:c>
    </x:row>
    <x:row r="25">
      <x:c r="B25" s="50" t="str">
        <x:v>Federation science and digital twins</x:v>
      </x:c>
      <x:c r="C25" s="121" t="n">
        <x:v>26</x:v>
      </x:c>
      <x:c r="D25" s="50" t="str">
        <x:v>unobserved correlated failure</x:v>
      </x:c>
      <x:c r="E25" s="50" t="str">
        <x:v>government-owned topology and ancestry compiler</x:v>
      </x:c>
      <x:c r="F25" s="50" t="str">
        <x:v>live faults across ten islands</x:v>
      </x:c>
      <x:c r="G25" s="50" t="str">
        <x:v>predictions bounded by measured campaigns</x:v>
      </x:c>
      <x:c r="H25" s="50" t="str">
        <x:v>concept</x:v>
      </x:c>
      <x:c r="I25" s="50" t="n">
        <x:v>0</x:v>
      </x:c>
      <x:c r="J25" s="50" t="str">
        <x:v>Configuration Service</x:v>
      </x:c>
      <x:c r="K25" s="52" t="str">
        <x:v>blocked</x:v>
      </x:c>
    </x:row>
    <x:row r="26">
      <x:c r="B26" s="50" t="str">
        <x:v>Source and heat manufacturing ecosystems</x:v>
      </x:c>
      <x:c r="C26" s="121" t="n">
        <x:v>20</x:v>
      </x:c>
      <x:c r="D26" s="50" t="str">
        <x:v>laboratory diversity without production depth</x:v>
      </x:c>
      <x:c r="E26" s="50" t="str">
        <x:v>five source and heat prime ecosystems</x:v>
      </x:c>
      <x:c r="F26" s="50" t="str">
        <x:v>cold start after one ecosystem loss</x:v>
      </x:c>
      <x:c r="G26" s="50" t="str">
        <x:v>full-rate alternate output</x:v>
      </x:c>
      <x:c r="H26" s="50" t="str">
        <x:v>pre-concept</x:v>
      </x:c>
      <x:c r="I26" s="50" t="n">
        <x:v>0</x:v>
      </x:c>
      <x:c r="J26" s="50" t="str">
        <x:v>Industrial Mobilization Command</x:v>
      </x:c>
      <x:c r="K26" s="52" t="str">
        <x:v>blocked</x:v>
      </x:c>
    </x:row>
    <x:row r="27">
      <x:c r="B27" s="30"/>
      <x:c r="C27" s="30"/>
      <x:c r="D27" s="30"/>
      <x:c r="E27" s="30"/>
      <x:c r="F27" s="30"/>
      <x:c r="G27" s="30"/>
      <x:c r="H27" s="30"/>
      <x:c r="I27" s="30"/>
      <x:c r="J27" s="30"/>
      <x:c r="K27" s="32"/>
    </x:row>
    <x:row r="28">
      <x:c r="B28" s="109" t="str">
        <x:v>Portfolio total</x:v>
      </x:c>
      <x:c r="C28" s="122" t="n">
        <x:f>SUM(C8:C26)</x:f>
        <x:v>455</x:v>
      </x:c>
      <x:c r="D28" s="30"/>
      <x:c r="E28" s="30"/>
      <x:c r="F28" s="30"/>
      <x:c r="G28" s="30"/>
      <x:c r="H28" s="30"/>
      <x:c r="I28" s="30"/>
      <x:c r="J28" s="30"/>
      <x:c r="K28" s="32"/>
    </x:row>
    <x:row r="29">
      <x:c r="B29" s="109" t="str">
        <x:v>Increment above Pass 76</x:v>
      </x:c>
      <x:c r="C29" s="122" t="n">
        <x:f>C28-Assumptions!$I$16</x:f>
        <x:v>135</x:v>
      </x:c>
      <x:c r="D29" s="30"/>
      <x:c r="E29" s="30"/>
      <x:c r="F29" s="30"/>
      <x:c r="G29" s="30"/>
      <x:c r="H29" s="30"/>
      <x:c r="I29" s="30"/>
      <x:c r="J29" s="30"/>
      <x:c r="K29" s="32"/>
    </x:row>
    <x:row r="30">
      <x:c r="B30" s="106" t="str">
        <x:v>Increment above Pass 74</x:v>
      </x:c>
      <x:c r="C30" s="123" t="n">
        <x:f>C28-Assumptions!$I$15</x:f>
        <x:v>275</x:v>
      </x:c>
      <x:c r="D30" s="35"/>
      <x:c r="E30" s="35"/>
      <x:c r="F30" s="35"/>
      <x:c r="G30" s="35"/>
      <x:c r="H30" s="35"/>
      <x:c r="I30" s="35"/>
      <x:c r="J30" s="35"/>
      <x:c r="K30" s="37"/>
    </x:row>
  </x:sheetData>
  <x:mergeCells>
    <x:mergeCell ref="B6:K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10" hidden="0" customWidth="1"/>
    <x:col min="3" max="3" width="17" hidden="0" customWidth="1"/>
    <x:col min="4" max="4" width="45" hidden="0" customWidth="1"/>
    <x:col min="5" max="5" width="45" hidden="0" customWidth="1"/>
    <x:col min="6" max="6" width="32" hidden="0" customWidth="1"/>
    <x:col min="7" max="7" width="30" hidden="0" customWidth="1"/>
    <x:col min="8" max="8" width="12" hidden="0" customWidth="1"/>
    <x:col min="9" max="9" width="14" hidden="0" customWidth="1"/>
  </x:cols>
  <x:sheetData>
    <x:row r="2">
      <x:c r="B2" s="3" t="str">
        <x:v>Fixed-island evidence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No island, federation, national program or rendering advances on calculated behavior alone</x:v>
      </x:c>
      <x:c r="C3" s="4"/>
      <x:c r="D3" s="4"/>
      <x:c r="E3" s="4"/>
      <x:c r="F3" s="4"/>
      <x:c r="G3" s="4"/>
      <x:c r="H3" s="4"/>
      <x:c r="I3" s="4"/>
    </x:row>
    <x:row r="4">
      <x:c r="B4" s="6"/>
      <x:c r="C4" s="6"/>
      <x:c r="D4" s="6"/>
      <x:c r="E4" s="6"/>
      <x:c r="F4" s="6"/>
      <x:c r="G4" s="6"/>
      <x:c r="H4" s="6"/>
      <x:c r="I4" s="6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0" t="str">
        <x:v>Admission register</x:v>
      </x:c>
      <x:c r="C6" s="11" t="str">
        <x:v>Admission register</x:v>
      </x:c>
      <x:c r="D6" s="11" t="str">
        <x:v>Admission register</x:v>
      </x:c>
      <x:c r="E6" s="11" t="str">
        <x:v>Admission register</x:v>
      </x:c>
      <x:c r="F6" s="11" t="str">
        <x:v>Admission register</x:v>
      </x:c>
      <x:c r="G6" s="11" t="str">
        <x:v>Admission register</x:v>
      </x:c>
      <x:c r="H6" s="11" t="str">
        <x:v>Admission register</x:v>
      </x:c>
      <x:c r="I6" s="12" t="str">
        <x:v>Admission register</x:v>
      </x:c>
    </x:row>
    <x:row r="7">
      <x:c r="B7" s="28" t="str">
        <x:v>Gate</x:v>
      </x:c>
      <x:c r="C7" s="29" t="str">
        <x:v>Domain</x:v>
      </x:c>
      <x:c r="D7" s="29" t="str">
        <x:v>Claim</x:v>
      </x:c>
      <x:c r="E7" s="29" t="str">
        <x:v>Required evidence</x:v>
      </x:c>
      <x:c r="F7" s="29" t="str">
        <x:v>Adverse condition</x:v>
      </x:c>
      <x:c r="G7" s="29" t="str">
        <x:v>Owner</x:v>
      </x:c>
      <x:c r="H7" s="29" t="str">
        <x:v>Status</x:v>
      </x:c>
      <x:c r="I7" s="29" t="str">
        <x:v>Rendering</x:v>
      </x:c>
    </x:row>
    <x:row r="8">
      <x:c r="B8" s="50" t="str">
        <x:v>G01</x:v>
      </x:c>
      <x:c r="C8" s="50" t="str">
        <x:v>Service</x:v>
      </x:c>
      <x:c r="D8" s="50" t="str">
        <x:v>5,000 people remain accountable</x:v>
      </x:c>
      <x:c r="E8" s="50" t="str">
        <x:v>representative occupied-district campaign</x:v>
      </x:c>
      <x:c r="F8" s="50" t="str">
        <x:v>communications and access loss</x:v>
      </x:c>
      <x:c r="G8" s="50" t="str">
        <x:v>Public Effect Test Authority</x:v>
      </x:c>
      <x:c r="H8" s="50" t="str">
        <x:v>OPEN</x:v>
      </x:c>
      <x:c r="I8" s="52" t="str">
        <x:v>BLOCKED</x:v>
      </x:c>
    </x:row>
    <x:row r="9">
      <x:c r="B9" s="50" t="str">
        <x:v>G02</x:v>
      </x:c>
      <x:c r="C9" s="50" t="str">
        <x:v>Service</x:v>
      </x:c>
      <x:c r="D9" s="50" t="str">
        <x:v>90% safe service begins by hour 48</x:v>
      </x:c>
      <x:c r="E9" s="50" t="str">
        <x:v>instrumented building and refuge trial</x:v>
      </x:c>
      <x:c r="F9" s="50" t="str">
        <x:v>compound denial</x:v>
      </x:c>
      <x:c r="G9" s="50" t="str">
        <x:v>Public Effect Test Authority</x:v>
      </x:c>
      <x:c r="H9" s="50" t="str">
        <x:v>OPEN</x:v>
      </x:c>
      <x:c r="I9" s="52" t="str">
        <x:v>BLOCKED</x:v>
      </x:c>
    </x:row>
    <x:row r="10">
      <x:c r="B10" s="50" t="str">
        <x:v>G03</x:v>
      </x:c>
      <x:c r="C10" s="50" t="str">
        <x:v>Energy</x:v>
      </x:c>
      <x:c r="D10" s="50" t="str">
        <x:v>1.422 MWe continuous and 1.920 MWe peak</x:v>
      </x:c>
      <x:c r="E10" s="50" t="str">
        <x:v>live mixed-load campaign</x:v>
      </x:c>
      <x:c r="F10" s="50" t="str">
        <x:v>largest source and grid loss</x:v>
      </x:c>
      <x:c r="G10" s="50" t="str">
        <x:v>Energy Service</x:v>
      </x:c>
      <x:c r="H10" s="50" t="str">
        <x:v>OPEN</x:v>
      </x:c>
      <x:c r="I10" s="52" t="str">
        <x:v>BLOCKED</x:v>
      </x:c>
    </x:row>
    <x:row r="11">
      <x:c r="B11" s="50" t="str">
        <x:v>G04</x:v>
      </x:c>
      <x:c r="C11" s="50" t="str">
        <x:v>Energy</x:v>
      </x:c>
      <x:c r="D11" s="50" t="str">
        <x:v>five source lineages are independent</x:v>
      </x:c>
      <x:c r="E11" s="50" t="str">
        <x:v>bill-of-material and fuel ancestry teardown</x:v>
      </x:c>
      <x:c r="F11" s="50" t="str">
        <x:v>largest upstream source held</x:v>
      </x:c>
      <x:c r="G11" s="50" t="str">
        <x:v>Configuration Service</x:v>
      </x:c>
      <x:c r="H11" s="50" t="str">
        <x:v>OPEN</x:v>
      </x:c>
      <x:c r="I11" s="52" t="str">
        <x:v>BLOCKED</x:v>
      </x:c>
    </x:row>
    <x:row r="12">
      <x:c r="B12" s="50" t="str">
        <x:v>G05</x:v>
      </x:c>
      <x:c r="C12" s="50" t="str">
        <x:v>Black start</x:v>
      </x:c>
      <x:c r="D12" s="50" t="str">
        <x:v>six-hour no-break continuity</x:v>
      </x:c>
      <x:c r="E12" s="50" t="str">
        <x:v>cold start and source exchange trial</x:v>
      </x:c>
      <x:c r="F12" s="50" t="str">
        <x:v>one storage partition lost</x:v>
      </x:c>
      <x:c r="G12" s="50" t="str">
        <x:v>Energy Service</x:v>
      </x:c>
      <x:c r="H12" s="50" t="str">
        <x:v>OPEN</x:v>
      </x:c>
      <x:c r="I12" s="52" t="str">
        <x:v>BLOCKED</x:v>
      </x:c>
    </x:row>
    <x:row r="13">
      <x:c r="B13" s="50" t="str">
        <x:v>G06</x:v>
      </x:c>
      <x:c r="C13" s="50" t="str">
        <x:v>Thermal</x:v>
      </x:c>
      <x:c r="D13" s="50" t="str">
        <x:v>1.965 MWth reaches occupied rooms</x:v>
      </x:c>
      <x:c r="E13" s="50" t="str">
        <x:v>building-scale thermal campaign</x:v>
      </x:c>
      <x:c r="F13" s="50" t="str">
        <x:v>high ambient and smoke</x:v>
      </x:c>
      <x:c r="G13" s="50" t="str">
        <x:v>Thermal Service</x:v>
      </x:c>
      <x:c r="H13" s="50" t="str">
        <x:v>OPEN</x:v>
      </x:c>
      <x:c r="I13" s="52" t="str">
        <x:v>BLOCKED</x:v>
      </x:c>
    </x:row>
    <x:row r="14">
      <x:c r="B14" s="50" t="str">
        <x:v>G07</x:v>
      </x:c>
      <x:c r="C14" s="50" t="str">
        <x:v>Heat</x:v>
      </x:c>
      <x:c r="D14" s="50" t="str">
        <x:v>4.8 MWth reaches independent final destinations</x:v>
      </x:c>
      <x:c r="E14" s="50" t="str">
        <x:v>calorimetry and destination trial</x:v>
      </x:c>
      <x:c r="F14" s="50" t="str">
        <x:v>largest destination lost</x:v>
      </x:c>
      <x:c r="G14" s="50" t="str">
        <x:v>Thermal Service</x:v>
      </x:c>
      <x:c r="H14" s="50" t="str">
        <x:v>OPEN</x:v>
      </x:c>
      <x:c r="I14" s="52" t="str">
        <x:v>BLOCKED</x:v>
      </x:c>
    </x:row>
    <x:row r="15">
      <x:c r="B15" s="50" t="str">
        <x:v>G08</x:v>
      </x:c>
      <x:c r="C15" s="50" t="str">
        <x:v>Water</x:v>
      </x:c>
      <x:c r="D15" s="50" t="str">
        <x:v>225 m3/day remains safe</x:v>
      </x:c>
      <x:c r="E15" s="50" t="str">
        <x:v>source-treatment-storage trial</x:v>
      </x:c>
      <x:c r="F15" s="50" t="str">
        <x:v>largest source path lost</x:v>
      </x:c>
      <x:c r="G15" s="50" t="str">
        <x:v>Water Service</x:v>
      </x:c>
      <x:c r="H15" s="50" t="str">
        <x:v>OPEN</x:v>
      </x:c>
      <x:c r="I15" s="52" t="str">
        <x:v>BLOCKED</x:v>
      </x:c>
    </x:row>
    <x:row r="16">
      <x:c r="B16" s="50" t="str">
        <x:v>G09</x:v>
      </x:c>
      <x:c r="C16" s="50" t="str">
        <x:v>Wastewater</x:v>
      </x:c>
      <x:c r="D16" s="50" t="str">
        <x:v>180 m3/day remains contained</x:v>
      </x:c>
      <x:c r="E16" s="50" t="str">
        <x:v>treatment and residual trial</x:v>
      </x:c>
      <x:c r="F16" s="50" t="str">
        <x:v>outfall denied</x:v>
      </x:c>
      <x:c r="G16" s="50" t="str">
        <x:v>Water Service</x:v>
      </x:c>
      <x:c r="H16" s="50" t="str">
        <x:v>OPEN</x:v>
      </x:c>
      <x:c r="I16" s="52" t="str">
        <x:v>BLOCKED</x:v>
      </x:c>
    </x:row>
    <x:row r="17">
      <x:c r="B17" s="50" t="str">
        <x:v>G10</x:v>
      </x:c>
      <x:c r="C17" s="50" t="str">
        <x:v>Fire</x:v>
      </x:c>
      <x:c r="D17" s="50" t="str">
        <x:v>1,000 m3 remains independently available</x:v>
      </x:c>
      <x:c r="E17" s="50" t="str">
        <x:v>draw and pump test</x:v>
      </x:c>
      <x:c r="F17" s="50" t="str">
        <x:v>domestic water stressed</x:v>
      </x:c>
      <x:c r="G17" s="50" t="str">
        <x:v>Fire Service</x:v>
      </x:c>
      <x:c r="H17" s="50" t="str">
        <x:v>OPEN</x:v>
      </x:c>
      <x:c r="I17" s="52" t="str">
        <x:v>BLOCKED</x:v>
      </x:c>
    </x:row>
    <x:row r="18">
      <x:c r="B18" s="50" t="str">
        <x:v>G11</x:v>
      </x:c>
      <x:c r="C18" s="50" t="str">
        <x:v>Distribution</x:v>
      </x:c>
      <x:c r="D18" s="50" t="str">
        <x:v>five corridors fail locally</x:v>
      </x:c>
      <x:c r="E18" s="50" t="str">
        <x:v>dual-utility fault campaign</x:v>
      </x:c>
      <x:c r="F18" s="50" t="str">
        <x:v>one corridor and zone lost</x:v>
      </x:c>
      <x:c r="G18" s="50" t="str">
        <x:v>Receiver Engineering</x:v>
      </x:c>
      <x:c r="H18" s="50" t="str">
        <x:v>OPEN</x:v>
      </x:c>
      <x:c r="I18" s="52" t="str">
        <x:v>BLOCKED</x:v>
      </x:c>
    </x:row>
    <x:row r="19">
      <x:c r="B19" s="50" t="str">
        <x:v>G12</x:v>
      </x:c>
      <x:c r="C19" s="50" t="str">
        <x:v>Nodes</x:v>
      </x:c>
      <x:c r="D19" s="50" t="str">
        <x:v>two-node loss retains ten equivalents</x:v>
      </x:c>
      <x:c r="E19" s="50" t="str">
        <x:v>twelve-node live service test</x:v>
      </x:c>
      <x:c r="F19" s="50" t="str">
        <x:v>adjacent nodes denied</x:v>
      </x:c>
      <x:c r="G19" s="50" t="str">
        <x:v>Receiver Engineering</x:v>
      </x:c>
      <x:c r="H19" s="50" t="str">
        <x:v>OPEN</x:v>
      </x:c>
      <x:c r="I19" s="52" t="str">
        <x:v>BLOCKED</x:v>
      </x:c>
    </x:row>
    <x:row r="20">
      <x:c r="B20" s="50" t="str">
        <x:v>G13</x:v>
      </x:c>
      <x:c r="C20" s="50" t="str">
        <x:v>Hazard</x:v>
      </x:c>
      <x:c r="D20" s="50" t="str">
        <x:v>twelve zones fail separately</x:v>
      </x:c>
      <x:c r="E20" s="50" t="str">
        <x:v>multi-hazard proving ground</x:v>
      </x:c>
      <x:c r="F20" s="50" t="str">
        <x:v>flood, wind, fire and seismic</x:v>
      </x:c>
      <x:c r="G20" s="50" t="str">
        <x:v>Independent Test Authority</x:v>
      </x:c>
      <x:c r="H20" s="50" t="str">
        <x:v>OPEN</x:v>
      </x:c>
      <x:c r="I20" s="52" t="str">
        <x:v>BLOCKED</x:v>
      </x:c>
    </x:row>
    <x:row r="21">
      <x:c r="B21" s="50" t="str">
        <x:v>G14</x:v>
      </x:c>
      <x:c r="C21" s="50" t="str">
        <x:v>Control</x:v>
      </x:c>
      <x:c r="D21" s="50" t="str">
        <x:v>five offline partitions are independent</x:v>
      </x:c>
      <x:c r="E21" s="50" t="str">
        <x:v>fault and signing-root injection</x:v>
      </x:c>
      <x:c r="F21" s="50" t="str">
        <x:v>cloud unavailable</x:v>
      </x:c>
      <x:c r="G21" s="50" t="str">
        <x:v>Control Authority</x:v>
      </x:c>
      <x:c r="H21" s="50" t="str">
        <x:v>OPEN</x:v>
      </x:c>
      <x:c r="I21" s="52" t="str">
        <x:v>BLOCKED</x:v>
      </x:c>
    </x:row>
    <x:row r="22">
      <x:c r="B22" s="50" t="str">
        <x:v>G15</x:v>
      </x:c>
      <x:c r="C22" s="50" t="str">
        <x:v>Communications</x:v>
      </x:c>
      <x:c r="D22" s="50" t="str">
        <x:v>four paths remain interoperable</x:v>
      </x:c>
      <x:c r="E22" s="50" t="str">
        <x:v>disconnected communications exercise</x:v>
      </x:c>
      <x:c r="F22" s="50" t="str">
        <x:v>one path denied</x:v>
      </x:c>
      <x:c r="G22" s="50" t="str">
        <x:v>Communications Service</x:v>
      </x:c>
      <x:c r="H22" s="50" t="str">
        <x:v>OPEN</x:v>
      </x:c>
      <x:c r="I22" s="52" t="str">
        <x:v>BLOCKED</x:v>
      </x:c>
    </x:row>
    <x:row r="23">
      <x:c r="B23" s="50" t="str">
        <x:v>G16</x:v>
      </x:c>
      <x:c r="C23" s="50" t="str">
        <x:v>Workforce</x:v>
      </x:c>
      <x:c r="D23" s="50" t="str">
        <x:v>minimum watch survives 25% absence</x:v>
      </x:c>
      <x:c r="E23" s="50" t="str">
        <x:v>no-notice personnel exercise</x:v>
      </x:c>
      <x:c r="F23" s="50" t="str">
        <x:v>school and access loss</x:v>
      </x:c>
      <x:c r="G23" s="50" t="str">
        <x:v>Personnel Command</x:v>
      </x:c>
      <x:c r="H23" s="50" t="str">
        <x:v>OPEN</x:v>
      </x:c>
      <x:c r="I23" s="52" t="str">
        <x:v>BLOCKED</x:v>
      </x:c>
    </x:row>
    <x:row r="24">
      <x:c r="B24" s="50" t="str">
        <x:v>G17</x:v>
      </x:c>
      <x:c r="C24" s="50" t="str">
        <x:v>Authority</x:v>
      </x:c>
      <x:c r="D24" s="50" t="str">
        <x:v>three release paths function lawfully</x:v>
      </x:c>
      <x:c r="E24" s="50" t="str">
        <x:v>offline release and appeal trial</x:v>
      </x:c>
      <x:c r="F24" s="50" t="str">
        <x:v>jurisdiction disruption</x:v>
      </x:c>
      <x:c r="G24" s="50" t="str">
        <x:v>Civil Rights Authority</x:v>
      </x:c>
      <x:c r="H24" s="50" t="str">
        <x:v>OPEN</x:v>
      </x:c>
      <x:c r="I24" s="52" t="str">
        <x:v>BLOCKED</x:v>
      </x:c>
    </x:row>
    <x:row r="25">
      <x:c r="B25" s="50" t="str">
        <x:v>G18</x:v>
      </x:c>
      <x:c r="C25" s="50" t="str">
        <x:v>Supplier</x:v>
      </x:c>
      <x:c r="D25" s="50" t="str">
        <x:v>ten supplier partitions survive teardown</x:v>
      </x:c>
      <x:c r="E25" s="50" t="str">
        <x:v>upstream ancestry and cold start</x:v>
      </x:c>
      <x:c r="F25" s="50" t="str">
        <x:v>largest ecosystem removed</x:v>
      </x:c>
      <x:c r="G25" s="50" t="str">
        <x:v>Industrial Command</x:v>
      </x:c>
      <x:c r="H25" s="50" t="str">
        <x:v>OPEN</x:v>
      </x:c>
      <x:c r="I25" s="52" t="str">
        <x:v>BLOCKED</x:v>
      </x:c>
    </x:row>
    <x:row r="26">
      <x:c r="B26" s="50" t="str">
        <x:v>G19</x:v>
      </x:c>
      <x:c r="C26" s="50" t="str">
        <x:v>Autonomy</x:v>
      </x:c>
      <x:c r="D26" s="50" t="str">
        <x:v>island operates 168 hours without logistics</x:v>
      </x:c>
      <x:c r="E26" s="50" t="str">
        <x:v>full-endurance campaign</x:v>
      </x:c>
      <x:c r="F26" s="50" t="str">
        <x:v>fuel, water and depot denial</x:v>
      </x:c>
      <x:c r="G26" s="50" t="str">
        <x:v>Sustainment Command</x:v>
      </x:c>
      <x:c r="H26" s="50" t="str">
        <x:v>OPEN</x:v>
      </x:c>
      <x:c r="I26" s="52" t="str">
        <x:v>BLOCKED</x:v>
      </x:c>
    </x:row>
    <x:row r="27">
      <x:c r="B27" s="50" t="str">
        <x:v>G20</x:v>
      </x:c>
      <x:c r="C27" s="50" t="str">
        <x:v>Reset</x:v>
      </x:c>
      <x:c r="D27" s="50" t="str">
        <x:v>92% capacity returns by day three</x:v>
      </x:c>
      <x:c r="E27" s="50" t="str">
        <x:v>damage, inspect, repair and recertify trial</x:v>
      </x:c>
      <x:c r="F27" s="50" t="str">
        <x:v>contamination and module loss</x:v>
      </x:c>
      <x:c r="G27" s="50" t="str">
        <x:v>Sustainment Command</x:v>
      </x:c>
      <x:c r="H27" s="50" t="str">
        <x:v>OPEN</x:v>
      </x:c>
      <x:c r="I27" s="52" t="str">
        <x:v>BLOCKED</x:v>
      </x:c>
    </x:row>
    <x:row r="28">
      <x:c r="B28" s="50" t="str">
        <x:v>G21</x:v>
      </x:c>
      <x:c r="C28" s="50" t="str">
        <x:v>Docking</x:v>
      </x:c>
      <x:c r="D28" s="50" t="str">
        <x:v>two mobile docks accept complete cells</x:v>
      </x:c>
      <x:c r="E28" s="50" t="str">
        <x:v>cross-prime live-load exchange</x:v>
      </x:c>
      <x:c r="F28" s="50" t="str">
        <x:v>one dock and yard lost</x:v>
      </x:c>
      <x:c r="G28" s="50" t="str">
        <x:v>Access Forces Command</x:v>
      </x:c>
      <x:c r="H28" s="50" t="str">
        <x:v>OPEN</x:v>
      </x:c>
      <x:c r="I28" s="52" t="str">
        <x:v>BLOCKED</x:v>
      </x:c>
    </x:row>
    <x:row r="29">
      <x:c r="B29" s="50" t="str">
        <x:v>G22</x:v>
      </x:c>
      <x:c r="C29" s="50" t="str">
        <x:v>Rights</x:v>
      </x:c>
      <x:c r="D29" s="50" t="str">
        <x:v>service remains accessible and non-coercive</x:v>
      </x:c>
      <x:c r="E29" s="50" t="str">
        <x:v>independent rights and accessibility audit</x:v>
      </x:c>
      <x:c r="F29" s="50" t="str">
        <x:v>scarcity and relocation</x:v>
      </x:c>
      <x:c r="G29" s="50" t="str">
        <x:v>Civil Rights Authority</x:v>
      </x:c>
      <x:c r="H29" s="50" t="str">
        <x:v>OPEN</x:v>
      </x:c>
      <x:c r="I29" s="52" t="str">
        <x:v>BLOCKED</x:v>
      </x:c>
    </x:row>
    <x:row r="30">
      <x:c r="B30" s="50" t="str">
        <x:v>G23</x:v>
      </x:c>
      <x:c r="C30" s="50" t="str">
        <x:v>Environment</x:v>
      </x:c>
      <x:c r="D30" s="50" t="str">
        <x:v>deployment and handback bound harm</x:v>
      </x:c>
      <x:c r="E30" s="50" t="str">
        <x:v>cumulative site and residual evaluation</x:v>
      </x:c>
      <x:c r="F30" s="50" t="str">
        <x:v>thirty-day campaign</x:v>
      </x:c>
      <x:c r="G30" s="50" t="str">
        <x:v>Environmental Authority</x:v>
      </x:c>
      <x:c r="H30" s="50" t="str">
        <x:v>OPEN</x:v>
      </x:c>
      <x:c r="I30" s="52" t="str">
        <x:v>BLOCKED</x:v>
      </x:c>
    </x:row>
    <x:row r="31">
      <x:c r="B31" s="50" t="str">
        <x:v>G24</x:v>
      </x:c>
      <x:c r="C31" s="50" t="str">
        <x:v>Federation</x:v>
      </x:c>
      <x:c r="D31" s="50" t="str">
        <x:v>ten physical islands fail separately</x:v>
      </x:c>
      <x:c r="E31" s="50" t="str">
        <x:v>ten-island full campaign</x:v>
      </x:c>
      <x:c r="F31" s="50" t="str">
        <x:v>one island plus two modes</x:v>
      </x:c>
      <x:c r="G31" s="50" t="str">
        <x:v>Test Authority</x:v>
      </x:c>
      <x:c r="H31" s="50" t="str">
        <x:v>OPEN</x:v>
      </x:c>
      <x:c r="I31" s="52" t="str">
        <x:v>BLOCKED</x:v>
      </x:c>
    </x:row>
    <x:row r="32">
      <x:c r="B32" s="50" t="str">
        <x:v>G25</x:v>
      </x:c>
      <x:c r="C32" s="50" t="str">
        <x:v>Federation</x:v>
      </x:c>
      <x:c r="D32" s="50" t="str">
        <x:v>ten ancestry partitions are real</x:v>
      </x:c>
      <x:c r="E32" s="50" t="str">
        <x:v>cross-island lineage teardown</x:v>
      </x:c>
      <x:c r="F32" s="50" t="str">
        <x:v>source plus two modes</x:v>
      </x:c>
      <x:c r="G32" s="50" t="str">
        <x:v>Configuration Service</x:v>
      </x:c>
      <x:c r="H32" s="50" t="str">
        <x:v>OPEN</x:v>
      </x:c>
      <x:c r="I32" s="52" t="str">
        <x:v>BLOCKED</x:v>
      </x:c>
    </x:row>
    <x:row r="33">
      <x:c r="B33" s="50" t="str">
        <x:v>G26</x:v>
      </x:c>
      <x:c r="C33" s="50" t="str">
        <x:v>Federation</x:v>
      </x:c>
      <x:c r="D33" s="50" t="str">
        <x:v>five-partition alternatives retain ten cells</x:v>
      </x:c>
      <x:c r="E33" s="50" t="str">
        <x:v>G3-G5 full campaigns</x:v>
      </x:c>
      <x:c r="F33" s="50" t="str">
        <x:v>correlated fixed loss</x:v>
      </x:c>
      <x:c r="G33" s="50" t="str">
        <x:v>Test Authority</x:v>
      </x:c>
      <x:c r="H33" s="50" t="str">
        <x:v>OPEN</x:v>
      </x:c>
      <x:c r="I33" s="52" t="str">
        <x:v>BLOCKED</x:v>
      </x:c>
    </x:row>
    <x:row r="34">
      <x:c r="B34" s="50" t="str">
        <x:v>G27</x:v>
      </x:c>
      <x:c r="C34" s="50" t="str">
        <x:v>Pool</x:v>
      </x:c>
      <x:c r="D34" s="50" t="str">
        <x:v>92% of groups remain nationally allocable</x:v>
      </x:c>
      <x:c r="E34" s="50" t="str">
        <x:v>multi-region allocation exercise</x:v>
      </x:c>
      <x:c r="F34" s="50" t="str">
        <x:v>concurrent campaigns</x:v>
      </x:c>
      <x:c r="G34" s="50" t="str">
        <x:v>Joint Capacity Authority</x:v>
      </x:c>
      <x:c r="H34" s="50" t="str">
        <x:v>OPEN</x:v>
      </x:c>
      <x:c r="I34" s="52" t="str">
        <x:v>BLOCKED</x:v>
      </x:c>
    </x:row>
    <x:row r="35">
      <x:c r="B35" s="50" t="str">
        <x:v>G28</x:v>
      </x:c>
      <x:c r="C35" s="50" t="str">
        <x:v>Cost</x:v>
      </x:c>
      <x:c r="D35" s="50" t="str">
        <x:v>A6 configured capital is bounded</x:v>
      </x:c>
      <x:c r="E35" s="50" t="str">
        <x:v>independent cost estimate</x:v>
      </x:c>
      <x:c r="F35" s="50" t="str">
        <x:v>site and technology variation</x:v>
      </x:c>
      <x:c r="G35" s="50" t="str">
        <x:v>Cost Agency</x:v>
      </x:c>
      <x:c r="H35" s="50" t="str">
        <x:v>OPEN</x:v>
      </x:c>
      <x:c r="I35" s="52" t="str">
        <x:v>BLOCKED</x:v>
      </x:c>
    </x:row>
    <x:row r="36">
      <x:c r="B36" s="50" t="str">
        <x:v>G29</x:v>
      </x:c>
      <x:c r="C36" s="50" t="str">
        <x:v>Cost</x:v>
      </x:c>
      <x:c r="D36" s="50" t="str">
        <x:v>A6 annual operations are bounded</x:v>
      </x:c>
      <x:c r="E36" s="50" t="str">
        <x:v>staffing and maintenance trials</x:v>
      </x:c>
      <x:c r="F36" s="50" t="str">
        <x:v>high labor and reset demand</x:v>
      </x:c>
      <x:c r="G36" s="50" t="str">
        <x:v>Cost Agency</x:v>
      </x:c>
      <x:c r="H36" s="50" t="str">
        <x:v>OPEN</x:v>
      </x:c>
      <x:c r="I36" s="52" t="str">
        <x:v>BLOCKED</x:v>
      </x:c>
    </x:row>
    <x:row r="37">
      <x:c r="B37" s="50" t="str">
        <x:v>G30</x:v>
      </x:c>
      <x:c r="C37" s="50" t="str">
        <x:v>Cost</x:v>
      </x:c>
      <x:c r="D37" s="50" t="str">
        <x:v>diversity premium is bounded</x:v>
      </x:c>
      <x:c r="E37" s="50" t="str">
        <x:v>five- versus ten-partition demonstrators</x:v>
      </x:c>
      <x:c r="F37" s="50" t="str">
        <x:v>cold-start ecosystem loss</x:v>
      </x:c>
      <x:c r="G37" s="50" t="str">
        <x:v>Cost Agency</x:v>
      </x:c>
      <x:c r="H37" s="50" t="str">
        <x:v>OPEN</x:v>
      </x:c>
      <x:c r="I37" s="52" t="str">
        <x:v>BLOCKED</x:v>
      </x:c>
    </x:row>
    <x:row r="38">
      <x:c r="B38" s="50" t="str">
        <x:v>G31</x:v>
      </x:c>
      <x:c r="C38" s="50" t="str">
        <x:v>Industry</x:v>
      </x:c>
      <x:c r="D38" s="50" t="str">
        <x:v>five source and heat ecosystems can scale</x:v>
      </x:c>
      <x:c r="E38" s="50" t="str">
        <x:v>facility and labor mobilization</x:v>
      </x:c>
      <x:c r="F38" s="50" t="str">
        <x:v>one ecosystem lost</x:v>
      </x:c>
      <x:c r="G38" s="50" t="str">
        <x:v>Industrial Command</x:v>
      </x:c>
      <x:c r="H38" s="50" t="str">
        <x:v>OPEN</x:v>
      </x:c>
      <x:c r="I38" s="52" t="str">
        <x:v>BLOCKED</x:v>
      </x:c>
    </x:row>
    <x:row r="39">
      <x:c r="B39" s="50" t="str">
        <x:v>G32</x:v>
      </x:c>
      <x:c r="C39" s="50" t="str">
        <x:v>Cyber</x:v>
      </x:c>
      <x:c r="D39" s="50" t="str">
        <x:v>common interfaces do not create common compromise</x:v>
      </x:c>
      <x:c r="E39" s="50" t="str">
        <x:v>cross-version adversarial trial</x:v>
      </x:c>
      <x:c r="F39" s="50" t="str">
        <x:v>malicious update and key loss</x:v>
      </x:c>
      <x:c r="G39" s="50" t="str">
        <x:v>Control Authority</x:v>
      </x:c>
      <x:c r="H39" s="50" t="str">
        <x:v>OPEN</x:v>
      </x:c>
      <x:c r="I39" s="52" t="str">
        <x:v>BLOCKED</x:v>
      </x:c>
    </x:row>
    <x:row r="40">
      <x:c r="B40" s="50" t="str">
        <x:v>G33</x:v>
      </x:c>
      <x:c r="C40" s="50" t="str">
        <x:v>Admission</x:v>
      </x:c>
      <x:c r="D40" s="50" t="str">
        <x:v>reference island closes every required world</x:v>
      </x:c>
      <x:c r="E40" s="50" t="str">
        <x:v>independent integrated evaluation</x:v>
      </x:c>
      <x:c r="F40" s="50" t="str">
        <x:v>registered guarantee set</x:v>
      </x:c>
      <x:c r="G40" s="50" t="str">
        <x:v>Secretary and Test Authority</x:v>
      </x:c>
      <x:c r="H40" s="50" t="str">
        <x:v>OPEN</x:v>
      </x:c>
      <x:c r="I40" s="52" t="str">
        <x:v>BLOCKED</x:v>
      </x:c>
    </x:row>
    <x:row r="41">
      <x:c r="B41" s="53" t="str">
        <x:v>G34</x:v>
      </x:c>
      <x:c r="C41" s="53" t="str">
        <x:v>Rendering</x:v>
      </x:c>
      <x:c r="D41" s="53" t="str">
        <x:v>physical form is sufficiently constrained</x:v>
      </x:c>
      <x:c r="E41" s="53" t="str">
        <x:v>all geometry-driving gates accepted</x:v>
      </x:c>
      <x:c r="F41" s="53" t="str">
        <x:v>design review</x:v>
      </x:c>
      <x:c r="G41" s="53" t="str">
        <x:v>Secretary and Test Authority</x:v>
      </x:c>
      <x:c r="H41" s="53" t="str">
        <x:v>OPEN</x:v>
      </x:c>
      <x:c r="I41" s="55" t="str">
        <x:v>BLOCKED</x:v>
      </x:c>
    </x:row>
  </x:sheetData>
  <x:mergeCells>
    <x:mergeCell ref="B6:I6"/>
  </x:mergeCells>
  <x:conditionalFormatting sqref="H8:H41">
    <x:cfRule type="containsText" dxfId="5" priority="1" operator="containsText" text="OPEN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43" hidden="0" customWidth="1"/>
    <x:col min="3" max="3" width="22" hidden="0" customWidth="1"/>
    <x:col min="4" max="4" width="22" hidden="0" customWidth="1"/>
    <x:col min="5" max="5" width="18" hidden="0" customWidth="1"/>
    <x:col min="6" max="6" width="13" hidden="0" customWidth="1"/>
    <x:col min="7" max="7" width="50" hidden="0" customWidth="1"/>
  </x:cols>
  <x:sheetData>
    <x:row r="2">
      <x:c r="B2" s="3" t="str">
        <x:v>Integrity checks</x:v>
      </x:c>
      <x:c r="C2" s="2"/>
      <x:c r="D2" s="2"/>
      <x:c r="E2" s="2"/>
      <x:c r="F2" s="2"/>
      <x:c r="G2" s="2"/>
    </x:row>
    <x:row r="3">
      <x:c r="B3" s="4" t="str">
        <x:v>Independent terminal checks observe the model and do not drive any operational or fiscal result</x:v>
      </x:c>
      <x:c r="C3" s="4"/>
      <x:c r="D3" s="4"/>
      <x:c r="E3" s="4"/>
      <x:c r="F3" s="4"/>
      <x:c r="G3" s="4"/>
    </x:row>
    <x:row r="4">
      <x:c r="B4" s="6"/>
      <x:c r="C4" s="6"/>
      <x:c r="D4" s="6"/>
      <x:c r="E4" s="6"/>
      <x:c r="F4" s="6"/>
      <x:c r="G4" s="6"/>
    </x:row>
    <x:row r="5">
      <x:c r="B5" s="2"/>
      <x:c r="C5" s="2"/>
      <x:c r="D5" s="2"/>
      <x:c r="E5" s="2"/>
      <x:c r="F5" s="2"/>
      <x:c r="G5" s="2"/>
    </x:row>
    <x:row r="6">
      <x:c r="B6" s="10" t="str">
        <x:v>Model controls</x:v>
      </x:c>
      <x:c r="C6" s="11" t="str">
        <x:v>Model controls</x:v>
      </x:c>
      <x:c r="D6" s="11" t="str">
        <x:v>Model controls</x:v>
      </x:c>
      <x:c r="E6" s="11" t="str">
        <x:v>Model controls</x:v>
      </x:c>
      <x:c r="F6" s="11" t="str">
        <x:v>Model controls</x:v>
      </x:c>
      <x:c r="G6" s="12" t="str">
        <x:v>Model controls</x:v>
      </x:c>
    </x:row>
    <x:row r="7">
      <x:c r="B7" s="28" t="str">
        <x:v>Check</x:v>
      </x:c>
      <x:c r="C7" s="29" t="str">
        <x:v>Observed</x:v>
      </x:c>
      <x:c r="D7" s="29" t="str">
        <x:v>Expected</x:v>
      </x:c>
      <x:c r="E7" s="29" t="str">
        <x:v>Difference</x:v>
      </x:c>
      <x:c r="F7" s="29" t="str">
        <x:v>Status</x:v>
      </x:c>
      <x:c r="G7" s="29" t="str">
        <x:v>Meaning</x:v>
      </x:c>
    </x:row>
    <x:row r="8">
      <x:c r="B8" s="50" t="str">
        <x:v>C01 architecture count</x:v>
      </x:c>
      <x:c r="C8" s="70" t="n">
        <x:f>COUNTIFS('Island Architectures'!$B$8:$B$13,"&lt;&gt;")</x:f>
        <x:v>6</x:v>
      </x:c>
      <x:c r="D8" s="70" t="n">
        <x:v>6</x:v>
      </x:c>
      <x:c r="E8" s="136" t="n">
        <x:f>C8-D8</x:f>
        <x:v>0</x:v>
      </x:c>
      <x:c r="F8" s="70" t="str">
        <x:f>IF(ABS(E8)&lt;0.00001,"PASS","FAIL")</x:f>
        <x:v>PASS</x:v>
      </x:c>
      <x:c r="G8" s="52" t="str">
        <x:v>six rivals</x:v>
      </x:c>
    </x:row>
    <x:row r="9">
      <x:c r="B9" s="50" t="str">
        <x:v>C02 island world count</x:v>
      </x:c>
      <x:c r="C9" s="70" t="n">
        <x:f>COUNTIFS('Island Worlds'!$C$8:$C$151,"&lt;&gt;")</x:f>
        <x:v>144</x:v>
      </x:c>
      <x:c r="D9" s="70" t="n">
        <x:v>144</x:v>
      </x:c>
      <x:c r="E9" s="136" t="n">
        <x:f>C9-D9</x:f>
        <x:v>0</x:v>
      </x:c>
      <x:c r="F9" s="70" t="str">
        <x:f>IF(ABS(E9)&lt;0.00001,"PASS","FAIL")</x:f>
        <x:v>PASS</x:v>
      </x:c>
      <x:c r="G9" s="52" t="str">
        <x:v>six by twenty-four</x:v>
      </x:c>
    </x:row>
    <x:row r="10">
      <x:c r="B10" s="50" t="str">
        <x:v>C03 federation count</x:v>
      </x:c>
      <x:c r="C10" s="70" t="n">
        <x:f>COUNTIFS('Federation Compiler'!$B$8:$B$14,"&lt;&gt;")</x:f>
        <x:v>7</x:v>
      </x:c>
      <x:c r="D10" s="70" t="n">
        <x:v>7</x:v>
      </x:c>
      <x:c r="E10" s="136" t="n">
        <x:f>C10-D10</x:f>
        <x:v>0</x:v>
      </x:c>
      <x:c r="F10" s="70" t="str">
        <x:f>IF(ABS(E10)&lt;0.00001,"PASS","FAIL")</x:f>
        <x:v>PASS</x:v>
      </x:c>
      <x:c r="G10" s="52" t="str">
        <x:v>seven national structures</x:v>
      </x:c>
    </x:row>
    <x:row r="11">
      <x:c r="B11" s="50" t="str">
        <x:v>C04 federation world count</x:v>
      </x:c>
      <x:c r="C11" s="70" t="n">
        <x:f>COUNTIFS('Federation Worlds'!$C$8:$C$133,"&lt;&gt;")</x:f>
        <x:v>126</x:v>
      </x:c>
      <x:c r="D11" s="70" t="n">
        <x:v>126</x:v>
      </x:c>
      <x:c r="E11" s="136" t="n">
        <x:f>C11-D11</x:f>
        <x:v>0</x:v>
      </x:c>
      <x:c r="F11" s="70" t="str">
        <x:f>IF(ABS(E11)&lt;0.00001,"PASS","FAIL")</x:f>
        <x:v>PASS</x:v>
      </x:c>
      <x:c r="G11" s="52" t="str">
        <x:v>seven by eighteen</x:v>
      </x:c>
    </x:row>
    <x:row r="12">
      <x:c r="B12" s="50" t="str">
        <x:v>C05 evidence gate count</x:v>
      </x:c>
      <x:c r="C12" s="70" t="n">
        <x:f>COUNTIFS('Evidence Gates'!$B$8:$B$41,"&lt;&gt;")</x:f>
        <x:v>34</x:v>
      </x:c>
      <x:c r="D12" s="70" t="n">
        <x:v>34</x:v>
      </x:c>
      <x:c r="E12" s="136" t="n">
        <x:f>C12-D12</x:f>
        <x:v>0</x:v>
      </x:c>
      <x:c r="F12" s="70" t="str">
        <x:f>IF(ABS(E12)&lt;0.00001,"PASS","FAIL")</x:f>
        <x:v>PASS</x:v>
      </x:c>
      <x:c r="G12" s="52" t="str">
        <x:v>admission register</x:v>
      </x:c>
    </x:row>
    <x:row r="13">
      <x:c r="B13" s="50" t="str">
        <x:v>C06 open gate count</x:v>
      </x:c>
      <x:c r="C13" s="70" t="n">
        <x:f>COUNTIFS('Evidence Gates'!$H$8:$H$41,"OPEN")</x:f>
        <x:v>34</x:v>
      </x:c>
      <x:c r="D13" s="70" t="n">
        <x:v>34</x:v>
      </x:c>
      <x:c r="E13" s="136" t="n">
        <x:f>C13-D13</x:f>
        <x:v>0</x:v>
      </x:c>
      <x:c r="F13" s="70" t="str">
        <x:f>IF(ABS(E13)&lt;0.00001,"PASS","FAIL")</x:f>
        <x:v>PASS</x:v>
      </x:c>
      <x:c r="G13" s="52" t="str">
        <x:v>no evidence inferred</x:v>
      </x:c>
    </x:row>
    <x:row r="14">
      <x:c r="B14" s="50" t="str">
        <x:v>C07 technology total</x:v>
      </x:c>
      <x:c r="C14" s="70" t="n">
        <x:f>Technology!$C$28</x:f>
        <x:v>455</x:v>
      </x:c>
      <x:c r="D14" s="70" t="n">
        <x:v>455</x:v>
      </x:c>
      <x:c r="E14" s="136" t="n">
        <x:f>C14-D14</x:f>
        <x:v>0</x:v>
      </x:c>
      <x:c r="F14" s="70" t="str">
        <x:f>IF(ABS(E14)&lt;0.00001,"PASS","FAIL")</x:f>
        <x:v>PASS</x:v>
      </x:c>
      <x:c r="G14" s="52" t="str">
        <x:v>program boundary</x:v>
      </x:c>
    </x:row>
    <x:row r="15">
      <x:c r="B15" s="50" t="str">
        <x:v>C08 technology increment versus Pass 76</x:v>
      </x:c>
      <x:c r="C15" s="70" t="n">
        <x:f>Technology!$C$29</x:f>
        <x:v>135</x:v>
      </x:c>
      <x:c r="D15" s="70" t="n">
        <x:v>135</x:v>
      </x:c>
      <x:c r="E15" s="136" t="n">
        <x:f>C15-D15</x:f>
        <x:v>0</x:v>
      </x:c>
      <x:c r="F15" s="70" t="str">
        <x:f>IF(ABS(E15)&lt;0.00001,"PASS","FAIL")</x:f>
        <x:v>PASS</x:v>
      </x:c>
      <x:c r="G15" s="52" t="str">
        <x:v>new work only</x:v>
      </x:c>
    </x:row>
    <x:row r="16">
      <x:c r="B16" s="50" t="str">
        <x:v>C09 technology increment versus Pass 74</x:v>
      </x:c>
      <x:c r="C16" s="70" t="n">
        <x:f>Technology!$C$30</x:f>
        <x:v>275</x:v>
      </x:c>
      <x:c r="D16" s="70" t="n">
        <x:v>275</x:v>
      </x:c>
      <x:c r="E16" s="136" t="n">
        <x:f>C16-D16</x:f>
        <x:v>0</x:v>
      </x:c>
      <x:c r="F16" s="70" t="str">
        <x:f>IF(ABS(E16)&lt;0.00001,"PASS","FAIL")</x:f>
        <x:v>PASS</x:v>
      </x:c>
      <x:c r="G16" s="52" t="str">
        <x:v>national add-on</x:v>
      </x:c>
    </x:row>
    <x:row r="17">
      <x:c r="B17" s="50" t="str">
        <x:v>C10 A6 configured capital</x:v>
      </x:c>
      <x:c r="C17" s="70" t="n">
        <x:f>'Program Cost'!$C$23/1000</x:f>
        <x:v>1.8</x:v>
      </x:c>
      <x:c r="D17" s="70" t="n">
        <x:v>1.8</x:v>
      </x:c>
      <x:c r="E17" s="136" t="n">
        <x:f>C17-D17</x:f>
        <x:v>0</x:v>
      </x:c>
      <x:c r="F17" s="70" t="str">
        <x:f>IF(ABS(E17)&lt;0.00001,"PASS","FAIL")</x:f>
        <x:v>PASS</x:v>
      </x:c>
      <x:c r="G17" s="52" t="str">
        <x:v>bottom-up capital</x:v>
      </x:c>
    </x:row>
    <x:row r="18">
      <x:c r="B18" s="50" t="str">
        <x:v>C11 A6 annual operations</x:v>
      </x:c>
      <x:c r="C18" s="70" t="n">
        <x:f>'Program Cost'!$J$19/1000</x:f>
        <x:v>0.125</x:v>
      </x:c>
      <x:c r="D18" s="70" t="n">
        <x:v>0.125</x:v>
      </x:c>
      <x:c r="E18" s="136" t="n">
        <x:f>C18-D18</x:f>
        <x:v>0</x:v>
      </x:c>
      <x:c r="F18" s="70" t="str">
        <x:f>IF(ABS(E18)&lt;0.00001,"PASS","FAIL")</x:f>
        <x:v>PASS</x:v>
      </x:c>
      <x:c r="G18" s="52" t="str">
        <x:v>mature annual burden</x:v>
      </x:c>
    </x:row>
    <x:row r="19">
      <x:c r="B19" s="50" t="str">
        <x:v>C12 A6 lifecycle</x:v>
      </x:c>
      <x:c r="C19" s="70" t="n">
        <x:f>'Program Cost'!$J$21</x:f>
        <x:v>3.77625</x:v>
      </x:c>
      <x:c r="D19" s="70" t="n">
        <x:v>3.77625</x:v>
      </x:c>
      <x:c r="E19" s="136" t="n">
        <x:f>C19-D19</x:f>
        <x:v>0</x:v>
      </x:c>
      <x:c r="F19" s="70" t="str">
        <x:f>IF(ABS(E19)&lt;0.00001,"PASS","FAIL")</x:f>
        <x:v>PASS</x:v>
      </x:c>
      <x:c r="G19" s="52" t="str">
        <x:v>capital plus operations</x:v>
      </x:c>
    </x:row>
    <x:row r="20">
      <x:c r="B20" s="50" t="str">
        <x:v>C13 A6 architecture lifecycle</x:v>
      </x:c>
      <x:c r="C20" s="70" t="n">
        <x:f>'Island Architectures'!$AH$13</x:f>
        <x:v>3.77625</x:v>
      </x:c>
      <x:c r="D20" s="70" t="n">
        <x:v>3.77625</x:v>
      </x:c>
      <x:c r="E20" s="136" t="n">
        <x:f>C20-D20</x:f>
        <x:v>0</x:v>
      </x:c>
      <x:c r="F20" s="70" t="str">
        <x:f>IF(ABS(E20)&lt;0.00001,"PASS","FAIL")</x:f>
        <x:v>PASS</x:v>
      </x:c>
      <x:c r="G20" s="52" t="str">
        <x:v>architecture links to controls</x:v>
      </x:c>
    </x:row>
    <x:row r="21">
      <x:c r="B21" s="50" t="str">
        <x:v>C14 A6 worlds passed</x:v>
      </x:c>
      <x:c r="C21" s="70" t="n">
        <x:f>'Island Architectures'!$AI$13</x:f>
        <x:v>24</x:v>
      </x:c>
      <x:c r="D21" s="70" t="n">
        <x:v>24</x:v>
      </x:c>
      <x:c r="E21" s="136" t="n">
        <x:f>C21-D21</x:f>
        <x:v>0</x:v>
      </x:c>
      <x:c r="F21" s="70" t="str">
        <x:f>IF(ABS(E21)&lt;0.00001,"PASS","FAIL")</x:f>
        <x:v>PASS</x:v>
      </x:c>
      <x:c r="G21" s="52" t="str">
        <x:v>upper comparator closes declared behaviors</x:v>
      </x:c>
    </x:row>
    <x:row r="22">
      <x:c r="B22" s="50" t="str">
        <x:v>C15 A5 worlds passed</x:v>
      </x:c>
      <x:c r="C22" s="70" t="n">
        <x:f>'Island Architectures'!$AI$12</x:f>
        <x:v>22</x:v>
      </x:c>
      <x:c r="D22" s="70" t="n">
        <x:v>22</x:v>
      </x:c>
      <x:c r="E22" s="136" t="n">
        <x:f>C22-D22</x:f>
        <x:v>0</x:v>
      </x:c>
      <x:c r="F22" s="70" t="str">
        <x:f>IF(ABS(E22)&lt;0.00001,"PASS","FAIL")</x:f>
        <x:v>PASS</x:v>
      </x:c>
      <x:c r="G22" s="52" t="str">
        <x:v>two-node and reset failures remain</x:v>
      </x:c>
    </x:row>
    <x:row r="23">
      <x:c r="B23" s="50" t="str">
        <x:v>C16 A6 strict admissions</x:v>
      </x:c>
      <x:c r="C23" s="70" t="n">
        <x:f>'Island Architectures'!$AJ$13</x:f>
        <x:v>0</x:v>
      </x:c>
      <x:c r="D23" s="70" t="n">
        <x:v>0</x:v>
      </x:c>
      <x:c r="E23" s="136" t="n">
        <x:f>C23-D23</x:f>
        <x:v>0</x:v>
      </x:c>
      <x:c r="F23" s="70" t="str">
        <x:f>IF(ABS(E23)&lt;0.00001,"PASS","FAIL")</x:f>
        <x:v>PASS</x:v>
      </x:c>
      <x:c r="G23" s="52" t="str">
        <x:v>no behavioral pass becomes evidence</x:v>
      </x:c>
    </x:row>
    <x:row r="24">
      <x:c r="B24" s="50" t="str">
        <x:v>C17 A6 electricity N-1</x:v>
      </x:c>
      <x:c r="C24" s="70" t="str">
        <x:f>'Subsystem Build'!$L$8</x:f>
        <x:v>PASS</x:v>
      </x:c>
      <x:c r="D24" s="70" t="str">
        <x:v>PASS</x:v>
      </x:c>
      <x:c r="E24" s="136" t="n">
        <x:f>IF(C24=D24,0,1)</x:f>
        <x:v>0</x:v>
      </x:c>
      <x:c r="F24" s="70" t="str">
        <x:f>IF(E24=0,"PASS","FAIL")</x:f>
        <x:v>PASS</x:v>
      </x:c>
      <x:c r="G24" s="52" t="str">
        <x:v>firm yard loss</x:v>
      </x:c>
    </x:row>
    <x:row r="25">
      <x:c r="B25" s="50" t="str">
        <x:v>C18 A6 peak N-1</x:v>
      </x:c>
      <x:c r="C25" s="70" t="str">
        <x:f>'Subsystem Build'!$L$9</x:f>
        <x:v>PASS</x:v>
      </x:c>
      <x:c r="D25" s="70" t="str">
        <x:v>PASS</x:v>
      </x:c>
      <x:c r="E25" s="136" t="n">
        <x:f>IF(C25=D25,0,1)</x:f>
        <x:v>0</x:v>
      </x:c>
      <x:c r="F25" s="70" t="str">
        <x:f>IF(E25=0,"PASS","FAIL")</x:f>
        <x:v>PASS</x:v>
      </x:c>
      <x:c r="G25" s="52" t="str">
        <x:v>inverter loss</x:v>
      </x:c>
    </x:row>
    <x:row r="26">
      <x:c r="B26" s="50" t="str">
        <x:v>C19 A6 black-start N-1</x:v>
      </x:c>
      <x:c r="C26" s="70" t="str">
        <x:f>'Subsystem Build'!$L$10</x:f>
        <x:v>PASS</x:v>
      </x:c>
      <x:c r="D26" s="70" t="str">
        <x:v>PASS</x:v>
      </x:c>
      <x:c r="E26" s="136" t="n">
        <x:f>IF(C26=D26,0,1)</x:f>
        <x:v>0</x:v>
      </x:c>
      <x:c r="F26" s="70" t="str">
        <x:f>IF(E26=0,"PASS","FAIL")</x:f>
        <x:v>PASS</x:v>
      </x:c>
      <x:c r="G26" s="52" t="str">
        <x:v>storage partition loss</x:v>
      </x:c>
    </x:row>
    <x:row r="27">
      <x:c r="B27" s="50" t="str">
        <x:v>C20 A6 useful-cooling two-node loss</x:v>
      </x:c>
      <x:c r="C27" s="70" t="str">
        <x:f>'Subsystem Build'!$L$11</x:f>
        <x:v>PASS</x:v>
      </x:c>
      <x:c r="D27" s="70" t="str">
        <x:v>PASS</x:v>
      </x:c>
      <x:c r="E27" s="136" t="n">
        <x:f>IF(C27=D27,0,1)</x:f>
        <x:v>0</x:v>
      </x:c>
      <x:c r="F27" s="70" t="str">
        <x:f>IF(E27=0,"PASS","FAIL")</x:f>
        <x:v>PASS</x:v>
      </x:c>
      <x:c r="G27" s="52" t="str">
        <x:v>two reserve nodes</x:v>
      </x:c>
    </x:row>
    <x:row r="28">
      <x:c r="B28" s="50" t="str">
        <x:v>C21 A6 heat-destination N-1</x:v>
      </x:c>
      <x:c r="C28" s="70" t="str">
        <x:f>'Subsystem Build'!$L$12</x:f>
        <x:v>PASS</x:v>
      </x:c>
      <x:c r="D28" s="70" t="str">
        <x:v>PASS</x:v>
      </x:c>
      <x:c r="E28" s="136" t="n">
        <x:f>IF(C28=D28,0,1)</x:f>
        <x:v>0</x:v>
      </x:c>
      <x:c r="F28" s="70" t="str">
        <x:f>IF(E28=0,"PASS","FAIL")</x:f>
        <x:v>PASS</x:v>
      </x:c>
      <x:c r="G28" s="52" t="str">
        <x:v>largest destination loss</x:v>
      </x:c>
    </x:row>
    <x:row r="29">
      <x:c r="B29" s="50" t="str">
        <x:v>C22 A6 water N-1</x:v>
      </x:c>
      <x:c r="C29" s="70" t="str">
        <x:f>'Subsystem Build'!$L$13</x:f>
        <x:v>PASS</x:v>
      </x:c>
      <x:c r="D29" s="70" t="str">
        <x:v>PASS</x:v>
      </x:c>
      <x:c r="E29" s="136" t="n">
        <x:f>IF(C29=D29,0,1)</x:f>
        <x:v>0</x:v>
      </x:c>
      <x:c r="F29" s="70" t="str">
        <x:f>IF(E29=0,"PASS","FAIL")</x:f>
        <x:v>PASS</x:v>
      </x:c>
      <x:c r="G29" s="52" t="str">
        <x:v>one train lost</x:v>
      </x:c>
    </x:row>
    <x:row r="30">
      <x:c r="B30" s="50" t="str">
        <x:v>C23 A6 wastewater N-1</x:v>
      </x:c>
      <x:c r="C30" s="70" t="str">
        <x:f>'Subsystem Build'!$L$14</x:f>
        <x:v>PASS</x:v>
      </x:c>
      <x:c r="D30" s="70" t="str">
        <x:v>PASS</x:v>
      </x:c>
      <x:c r="E30" s="136" t="n">
        <x:f>IF(C30=D30,0,1)</x:f>
        <x:v>0</x:v>
      </x:c>
      <x:c r="F30" s="70" t="str">
        <x:f>IF(E30=0,"PASS","FAIL")</x:f>
        <x:v>PASS</x:v>
      </x:c>
      <x:c r="G30" s="52" t="str">
        <x:v>one train lost</x:v>
      </x:c>
    </x:row>
    <x:row r="31">
      <x:c r="B31" s="50" t="str">
        <x:v>C24 A6 clean-water storage N-1</x:v>
      </x:c>
      <x:c r="C31" s="70" t="str">
        <x:f>'Subsystem Build'!$L$15</x:f>
        <x:v>PASS</x:v>
      </x:c>
      <x:c r="D31" s="70" t="str">
        <x:v>PASS</x:v>
      </x:c>
      <x:c r="E31" s="136" t="n">
        <x:f>IF(C31=D31,0,1)</x:f>
        <x:v>0</x:v>
      </x:c>
      <x:c r="F31" s="70" t="str">
        <x:f>IF(E31=0,"PASS","FAIL")</x:f>
        <x:v>PASS</x:v>
      </x:c>
      <x:c r="G31" s="52" t="str">
        <x:v>segmented inventory</x:v>
      </x:c>
    </x:row>
    <x:row r="32">
      <x:c r="B32" s="50" t="str">
        <x:v>C25 service node count</x:v>
      </x:c>
      <x:c r="C32" s="70" t="n">
        <x:f>COUNTIFS('Service Nodes'!$B$8:$B$19,"&lt;&gt;")</x:f>
        <x:v>12</x:v>
      </x:c>
      <x:c r="D32" s="70" t="n">
        <x:v>12</x:v>
      </x:c>
      <x:c r="E32" s="136" t="n">
        <x:f>C32-D32</x:f>
        <x:v>0</x:v>
      </x:c>
      <x:c r="F32" s="70" t="str">
        <x:f>IF(ABS(E32)&lt;0.00001,"PASS","FAIL")</x:f>
        <x:v>PASS</x:v>
      </x:c>
      <x:c r="G32" s="52" t="str">
        <x:v>ten active plus two reserve</x:v>
      </x:c>
    </x:row>
    <x:row r="33">
      <x:c r="B33" s="50" t="str">
        <x:v>C26 active building interfaces</x:v>
      </x:c>
      <x:c r="C33" s="70" t="n">
        <x:f>'Service Nodes'!$E$21</x:f>
        <x:v>10</x:v>
      </x:c>
      <x:c r="D33" s="70" t="n">
        <x:v>10</x:v>
      </x:c>
      <x:c r="E33" s="136" t="n">
        <x:f>C33-D33</x:f>
        <x:v>0</x:v>
      </x:c>
      <x:c r="F33" s="70" t="str">
        <x:f>IF(ABS(E33)&lt;0.00001,"PASS","FAIL")</x:f>
        <x:v>PASS</x:v>
      </x:c>
      <x:c r="G33" s="52" t="str">
        <x:v>Pass 72 building count</x:v>
      </x:c>
    </x:row>
    <x:row r="34">
      <x:c r="B34" s="50" t="str">
        <x:v>C27 service-node electricity</x:v>
      </x:c>
      <x:c r="C34" s="70" t="n">
        <x:f>'Service Nodes'!$F$21</x:f>
        <x:v>1.9199999999999997</x:v>
      </x:c>
      <x:c r="D34" s="70" t="n">
        <x:v>1.92</x:v>
      </x:c>
      <x:c r="E34" s="136" t="n">
        <x:f>C34-D34</x:f>
        <x:v>-2.220446049250313e-16</x:v>
      </x:c>
      <x:c r="F34" s="70" t="str">
        <x:f>IF(ABS(E34)&lt;0.00001,"PASS","FAIL")</x:f>
        <x:v>PASS</x:v>
      </x:c>
      <x:c r="G34" s="52" t="str">
        <x:v>peak-equivalent allocation</x:v>
      </x:c>
    </x:row>
    <x:row r="35">
      <x:c r="B35" s="50" t="str">
        <x:v>C28 service-node cooling</x:v>
      </x:c>
      <x:c r="C35" s="70" t="n">
        <x:f>'Service Nodes'!$G$21</x:f>
        <x:v>2.4</x:v>
      </x:c>
      <x:c r="D35" s="70" t="n">
        <x:v>2.4</x:v>
      </x:c>
      <x:c r="E35" s="136" t="n">
        <x:f>C35-D35</x:f>
        <x:v>0</x:v>
      </x:c>
      <x:c r="F35" s="70" t="str">
        <x:f>IF(ABS(E35)&lt;0.00001,"PASS","FAIL")</x:f>
        <x:v>PASS</x:v>
      </x:c>
      <x:c r="G35" s="52" t="str">
        <x:v>two-node loss retains 2.0</x:v>
      </x:c>
    </x:row>
    <x:row r="36">
      <x:c r="B36" s="50" t="str">
        <x:v>C29 service-node heat rejection</x:v>
      </x:c>
      <x:c r="C36" s="70" t="n">
        <x:f>'Service Nodes'!$H$21</x:f>
        <x:v>8</x:v>
      </x:c>
      <x:c r="D36" s="70" t="n">
        <x:v>8</x:v>
      </x:c>
      <x:c r="E36" s="136" t="n">
        <x:f>C36-D36</x:f>
        <x:v>0</x:v>
      </x:c>
      <x:c r="F36" s="70" t="str">
        <x:f>IF(ABS(E36)&lt;0.00001,"PASS","FAIL")</x:f>
        <x:v>PASS</x:v>
      </x:c>
      <x:c r="G36" s="52" t="str">
        <x:v>five-destination installed capacity</x:v>
      </x:c>
    </x:row>
    <x:row r="37">
      <x:c r="B37" s="50" t="str">
        <x:v>C30 service-node storage</x:v>
      </x:c>
      <x:c r="C37" s="70" t="n">
        <x:f>'Service Nodes'!$I$21</x:f>
        <x:v>48</x:v>
      </x:c>
      <x:c r="D37" s="70" t="n">
        <x:v>48</x:v>
      </x:c>
      <x:c r="E37" s="136" t="n">
        <x:f>C37-D37</x:f>
        <x:v>0</x:v>
      </x:c>
      <x:c r="F37" s="70" t="str">
        <x:f>IF(ABS(E37)&lt;0.00001,"PASS","FAIL")</x:f>
        <x:v>PASS</x:v>
      </x:c>
      <x:c r="G37" s="52" t="str">
        <x:v>distributed black start</x:v>
      </x:c>
    </x:row>
    <x:row r="38">
      <x:c r="B38" s="50" t="str">
        <x:v>C31 service-node water</x:v>
      </x:c>
      <x:c r="C38" s="70" t="n">
        <x:f>'Service Nodes'!$J$21</x:f>
        <x:v>360</x:v>
      </x:c>
      <x:c r="D38" s="70" t="n">
        <x:v>360</x:v>
      </x:c>
      <x:c r="E38" s="136" t="n">
        <x:f>C38-D38</x:f>
        <x:v>0</x:v>
      </x:c>
      <x:c r="F38" s="70" t="str">
        <x:f>IF(ABS(E38)&lt;0.00001,"PASS","FAIL")</x:f>
        <x:v>PASS</x:v>
      </x:c>
      <x:c r="G38" s="52" t="str">
        <x:v>three-train installed capacity</x:v>
      </x:c>
    </x:row>
    <x:row r="39">
      <x:c r="B39" s="50" t="str">
        <x:v>C32 service-node wastewater</x:v>
      </x:c>
      <x:c r="C39" s="70" t="n">
        <x:f>'Service Nodes'!$K$21</x:f>
        <x:v>270</x:v>
      </x:c>
      <x:c r="D39" s="70" t="n">
        <x:v>270</x:v>
      </x:c>
      <x:c r="E39" s="136" t="n">
        <x:f>C39-D39</x:f>
        <x:v>0</x:v>
      </x:c>
      <x:c r="F39" s="70" t="str">
        <x:f>IF(ABS(E39)&lt;0.00001,"PASS","FAIL")</x:f>
        <x:v>PASS</x:v>
      </x:c>
      <x:c r="G39" s="52" t="str">
        <x:v>three-train installed capacity</x:v>
      </x:c>
    </x:row>
    <x:row r="40">
      <x:c r="B40" s="50" t="str">
        <x:v>C33 workforce permanent billets</x:v>
      </x:c>
      <x:c r="C40" s="70" t="n">
        <x:f>Workforce!$C$20</x:f>
        <x:v>174</x:v>
      </x:c>
      <x:c r="D40" s="70" t="n">
        <x:v>174</x:v>
      </x:c>
      <x:c r="E40" s="136" t="n">
        <x:f>C40-D40</x:f>
        <x:v>0</x:v>
      </x:c>
      <x:c r="F40" s="70" t="str">
        <x:f>IF(ABS(E40)&lt;0.00001,"PASS","FAIL")</x:f>
        <x:v>PASS</x:v>
      </x:c>
      <x:c r="G40" s="52" t="str">
        <x:v>reference island cadre</x:v>
      </x:c>
    </x:row>
    <x:row r="41">
      <x:c r="B41" s="50" t="str">
        <x:v>C34 workforce local reserve</x:v>
      </x:c>
      <x:c r="C41" s="70" t="n">
        <x:f>Workforce!$D$20</x:f>
        <x:v>132</x:v>
      </x:c>
      <x:c r="D41" s="70" t="n">
        <x:v>132</x:v>
      </x:c>
      <x:c r="E41" s="136" t="n">
        <x:f>C41-D41</x:f>
        <x:v>0</x:v>
      </x:c>
      <x:c r="F41" s="70" t="str">
        <x:f>IF(ABS(E41)&lt;0.00001,"PASS","FAIL")</x:f>
        <x:v>PASS</x:v>
      </x:c>
      <x:c r="G41" s="52" t="str">
        <x:v>local technical reserve</x:v>
      </x:c>
    </x:row>
    <x:row r="42">
      <x:c r="B42" s="50" t="str">
        <x:v>C35 workforce regional share</x:v>
      </x:c>
      <x:c r="C42" s="70" t="n">
        <x:f>Workforce!$E$20</x:f>
        <x:v>74</x:v>
      </x:c>
      <x:c r="D42" s="70" t="n">
        <x:v>74</x:v>
      </x:c>
      <x:c r="E42" s="136" t="n">
        <x:f>C42-D42</x:f>
        <x:v>0</x:v>
      </x:c>
      <x:c r="F42" s="70" t="str">
        <x:f>IF(ABS(E42)&lt;0.00001,"PASS","FAIL")</x:f>
        <x:v>PASS</x:v>
      </x:c>
      <x:c r="G42" s="52" t="str">
        <x:v>regional replacement includes role shares</x:v>
      </x:c>
    </x:row>
    <x:row r="43">
      <x:c r="B43" s="50" t="str">
        <x:v>C36 minimum on-duty workforce</x:v>
      </x:c>
      <x:c r="C43" s="70" t="n">
        <x:f>Workforce!$F$20</x:f>
        <x:v>53</x:v>
      </x:c>
      <x:c r="D43" s="70" t="n">
        <x:v>53</x:v>
      </x:c>
      <x:c r="E43" s="136" t="n">
        <x:f>C43-D43</x:f>
        <x:v>0</x:v>
      </x:c>
      <x:c r="F43" s="70" t="str">
        <x:f>IF(ABS(E43)&lt;0.00001,"PASS","FAIL")</x:f>
        <x:v>PASS</x:v>
      </x:c>
      <x:c r="G43" s="52" t="str">
        <x:v>minimum watch and connection teams</x:v>
      </x:c>
    </x:row>
    <x:row r="44">
      <x:c r="B44" s="50" t="str">
        <x:v>C37 workforce annual loaded cost</x:v>
      </x:c>
      <x:c r="C44" s="70" t="n">
        <x:f>Workforce!$J$20</x:f>
        <x:v>56</x:v>
      </x:c>
      <x:c r="D44" s="70" t="n">
        <x:v>56</x:v>
      </x:c>
      <x:c r="E44" s="136" t="n">
        <x:f>C44-D44</x:f>
        <x:v>0</x:v>
      </x:c>
      <x:c r="F44" s="70" t="str">
        <x:f>IF(ABS(E44)&lt;0.00001,"PASS","FAIL")</x:f>
        <x:v>PASS</x:v>
      </x:c>
      <x:c r="G44" s="52" t="str">
        <x:v>role-level cost screen</x:v>
      </x:c>
    </x:row>
    <x:row r="45">
      <x:c r="B45" s="50" t="str">
        <x:v>C38 G1 package count</x:v>
      </x:c>
      <x:c r="C45" s="70" t="n">
        <x:f>'Federation Compiler'!$K$8</x:f>
        <x:v>13</x:v>
      </x:c>
      <x:c r="D45" s="70" t="n">
        <x:v>13</x:v>
      </x:c>
      <x:c r="E45" s="136" t="n">
        <x:f>C45-D45</x:f>
        <x:v>0</x:v>
      </x:c>
      <x:c r="F45" s="70" t="str">
        <x:f>IF(ABS(E45)&lt;0.00001,"PASS","FAIL")</x:f>
        <x:v>PASS</x:v>
      </x:c>
      <x:c r="G45" s="52" t="str">
        <x:v>nominal T7</x:v>
      </x:c>
    </x:row>
    <x:row r="46">
      <x:c r="B46" s="50" t="str">
        <x:v>C39 G2 package count</x:v>
      </x:c>
      <x:c r="C46" s="70" t="n">
        <x:f>'Federation Compiler'!$K$9</x:f>
        <x:v>13</x:v>
      </x:c>
      <x:c r="D46" s="70" t="n">
        <x:v>13</x:v>
      </x:c>
      <x:c r="E46" s="136" t="n">
        <x:f>C46-D46</x:f>
        <x:v>0</x:v>
      </x:c>
      <x:c r="F46" s="70" t="str">
        <x:f>IF(ABS(E46)&lt;0.00001,"PASS","FAIL")</x:f>
        <x:v>PASS</x:v>
      </x:c>
      <x:c r="G46" s="52" t="str">
        <x:v>strict T7</x:v>
      </x:c>
    </x:row>
    <x:row r="47">
      <x:c r="B47" s="50" t="str">
        <x:v>C40 G3 package count</x:v>
      </x:c>
      <x:c r="C47" s="70" t="n">
        <x:f>'Federation Compiler'!$K$10</x:f>
        <x:v>14</x:v>
      </x:c>
      <x:c r="D47" s="70" t="n">
        <x:v>14</x:v>
      </x:c>
      <x:c r="E47" s="136" t="n">
        <x:f>C47-D47</x:f>
        <x:v>0</x:v>
      </x:c>
      <x:c r="F47" s="70" t="str">
        <x:f>IF(ABS(E47)&lt;0.00001,"PASS","FAIL")</x:f>
        <x:v>PASS</x:v>
      </x:c>
      <x:c r="G47" s="52" t="str">
        <x:v>one spare fixed cell</x:v>
      </x:c>
    </x:row>
    <x:row r="48">
      <x:c r="B48" s="50" t="str">
        <x:v>C41 G4 package count</x:v>
      </x:c>
      <x:c r="C48" s="70" t="n">
        <x:f>'Federation Compiler'!$K$11</x:f>
        <x:v>14</x:v>
      </x:c>
      <x:c r="D48" s="70" t="n">
        <x:v>14</x:v>
      </x:c>
      <x:c r="E48" s="136" t="n">
        <x:f>C48-D48</x:f>
        <x:v>0</x:v>
      </x:c>
      <x:c r="F48" s="70" t="str">
        <x:f>IF(ABS(E48)&lt;0.00001,"PASS","FAIL")</x:f>
        <x:v>PASS</x:v>
      </x:c>
      <x:c r="G48" s="52" t="str">
        <x:v>four-path hedge</x:v>
      </x:c>
    </x:row>
    <x:row r="49">
      <x:c r="B49" s="50" t="str">
        <x:v>C42 G5 package count</x:v>
      </x:c>
      <x:c r="C49" s="70" t="n">
        <x:f>'Federation Compiler'!$K$12</x:f>
        <x:v>16</x:v>
      </x:c>
      <x:c r="D49" s="70" t="n">
        <x:v>16</x:v>
      </x:c>
      <x:c r="E49" s="136" t="n">
        <x:f>C49-D49</x:f>
        <x:v>0</x:v>
      </x:c>
      <x:c r="F49" s="70" t="str">
        <x:f>IF(ABS(E49)&lt;0.00001,"PASS","FAIL")</x:f>
        <x:v>PASS</x:v>
      </x:c>
      <x:c r="G49" s="52" t="str">
        <x:v>mobile reserve</x:v>
      </x:c>
    </x:row>
    <x:row r="50">
      <x:c r="B50" s="50" t="str">
        <x:v>C43 G1 ancestry plus two modes</x:v>
      </x:c>
      <x:c r="C50" s="70" t="n">
        <x:f>'Federation Compiler'!$M$8</x:f>
        <x:v>9</x:v>
      </x:c>
      <x:c r="D50" s="70" t="n">
        <x:v>9</x:v>
      </x:c>
      <x:c r="E50" s="136" t="n">
        <x:f>C50-D50</x:f>
        <x:v>0</x:v>
      </x:c>
      <x:c r="F50" s="70" t="str">
        <x:f>IF(ABS(E50)&lt;0.00001,"PASS","FAIL")</x:f>
        <x:v>PASS</x:v>
      </x:c>
      <x:c r="G50" s="52" t="str">
        <x:v>nominal T7 contradiction</x:v>
      </x:c>
    </x:row>
    <x:row r="51">
      <x:c r="B51" s="50" t="str">
        <x:v>C44 G2 ancestry plus two modes</x:v>
      </x:c>
      <x:c r="C51" s="70" t="n">
        <x:f>'Federation Compiler'!$M$9</x:f>
        <x:v>10</x:v>
      </x:c>
      <x:c r="D51" s="70" t="n">
        <x:v>10</x:v>
      </x:c>
      <x:c r="E51" s="136" t="n">
        <x:f>C51-D51</x:f>
        <x:v>0</x:v>
      </x:c>
      <x:c r="F51" s="70" t="str">
        <x:f>IF(ABS(E51)&lt;0.00001,"PASS","FAIL")</x:f>
        <x:v>PASS</x:v>
      </x:c>
      <x:c r="G51" s="52" t="str">
        <x:v>ten partitions close</x:v>
      </x:c>
    </x:row>
    <x:row r="52">
      <x:c r="B52" s="50" t="str">
        <x:v>C45 G3 ancestry plus two modes</x:v>
      </x:c>
      <x:c r="C52" s="70" t="n">
        <x:f>'Federation Compiler'!$M$10</x:f>
        <x:v>10</x:v>
      </x:c>
      <x:c r="D52" s="70" t="n">
        <x:v>10</x:v>
      </x:c>
      <x:c r="E52" s="136" t="n">
        <x:f>C52-D52</x:f>
        <x:v>0</x:v>
      </x:c>
      <x:c r="F52" s="70" t="str">
        <x:f>IF(ABS(E52)&lt;0.00001,"PASS","FAIL")</x:f>
        <x:v>PASS</x:v>
      </x:c>
      <x:c r="G52" s="52" t="str">
        <x:v>spare fixed cell closes</x:v>
      </x:c>
    </x:row>
    <x:row r="53">
      <x:c r="B53" s="50" t="str">
        <x:v>C46 G4 ancestry plus two modes</x:v>
      </x:c>
      <x:c r="C53" s="70" t="n">
        <x:f>'Federation Compiler'!$M$11</x:f>
        <x:v>10</x:v>
      </x:c>
      <x:c r="D53" s="70" t="n">
        <x:v>10</x:v>
      </x:c>
      <x:c r="E53" s="136" t="n">
        <x:f>C53-D53</x:f>
        <x:v>0</x:v>
      </x:c>
      <x:c r="F53" s="70" t="str">
        <x:f>IF(ABS(E53)&lt;0.00001,"PASS","FAIL")</x:f>
        <x:v>PASS</x:v>
      </x:c>
      <x:c r="G53" s="52" t="str">
        <x:v>fourth path closes only in design</x:v>
      </x:c>
    </x:row>
    <x:row r="54">
      <x:c r="B54" s="50" t="str">
        <x:v>C47 G5 ancestry plus two modes</x:v>
      </x:c>
      <x:c r="C54" s="70" t="n">
        <x:f>'Federation Compiler'!$M$12</x:f>
        <x:v>10</x:v>
      </x:c>
      <x:c r="D54" s="70" t="n">
        <x:v>10</x:v>
      </x:c>
      <x:c r="E54" s="136" t="n">
        <x:f>C54-D54</x:f>
        <x:v>0</x:v>
      </x:c>
      <x:c r="F54" s="70" t="str">
        <x:f>IF(ABS(E54)&lt;0.00001,"PASS","FAIL")</x:f>
        <x:v>PASS</x:v>
      </x:c>
      <x:c r="G54" s="52" t="str">
        <x:v>mobile reserve closes</x:v>
      </x:c>
    </x:row>
    <x:row r="55">
      <x:c r="B55" s="50" t="str">
        <x:v>C48 partition premium break-even</x:v>
      </x:c>
      <x:c r="C55" s="70" t="n">
        <x:f>'Federation Compiler'!$F$20</x:f>
        <x:v>0.9440625</x:v>
      </x:c>
      <x:c r="D55" s="70" t="n">
        <x:v>0.9440625</x:v>
      </x:c>
      <x:c r="E55" s="136" t="n">
        <x:f>C55-D55</x:f>
        <x:v>0</x:v>
      </x:c>
      <x:c r="F55" s="70" t="str">
        <x:f>IF(ABS(E55)&lt;0.00001,"PASS","FAIL")</x:f>
        <x:v>PASS</x:v>
      </x:c>
      <x:c r="G55" s="52" t="str">
        <x:v>A6 lifecycle divided by four partitions</x:v>
      </x:c>
    </x:row>
    <x:row r="56">
      <x:c r="B56" s="50" t="str">
        <x:v>C49 G2 national lifecycle</x:v>
      </x:c>
      <x:c r="C56" s="70" t="n">
        <x:f>'Federation Compiler'!$U$9</x:f>
        <x:v>5790.5512</x:v>
      </x:c>
      <x:c r="D56" s="70" t="n">
        <x:v>5790.5512</x:v>
      </x:c>
      <x:c r="E56" s="136" t="n">
        <x:f>C56-D56</x:f>
        <x:v>0</x:v>
      </x:c>
      <x:c r="F56" s="70" t="str">
        <x:f>IF(ABS(E56)&lt;0.00001,"PASS","FAIL")</x:f>
        <x:v>PASS</x:v>
      </x:c>
      <x:c r="G56" s="52" t="str">
        <x:v>strict universal T7</x:v>
      </x:c>
    </x:row>
    <x:row r="57">
      <x:c r="B57" s="50" t="str">
        <x:v>C50 selected national lifecycle</x:v>
      </x:c>
      <x:c r="C57" s="70" t="n">
        <x:f>'Program Cost'!$P$30</x:f>
        <x:v>6098.711950000001</x:v>
      </x:c>
      <x:c r="D57" s="70" t="n">
        <x:v>6098.71195</x:v>
      </x:c>
      <x:c r="E57" s="136" t="n">
        <x:f>C57-D57</x:f>
        <x:v>9.094947017729282e-13</x:v>
      </x:c>
      <x:c r="F57" s="70" t="str">
        <x:f>IF(ABS(E57)&lt;0.00001,"PASS","FAIL")</x:f>
        <x:v>PASS</x:v>
      </x:c>
      <x:c r="G57" s="52" t="str">
        <x:v>607 fixed cells recompiled</x:v>
      </x:c>
    </x:row>
    <x:row r="58">
      <x:c r="B58" s="50" t="str">
        <x:v>C51 selected fixed-cell replacement</x:v>
      </x:c>
      <x:c r="C58" s="70" t="n">
        <x:f>'Program Cost'!$J$30</x:f>
        <x:v>2292.18375</x:v>
      </x:c>
      <x:c r="D58" s="70" t="n">
        <x:v>2292.18375</x:v>
      </x:c>
      <x:c r="E58" s="136" t="n">
        <x:f>C58-D58</x:f>
        <x:v>0</x:v>
      </x:c>
      <x:c r="F58" s="70" t="str">
        <x:f>IF(ABS(E58)&lt;0.00001,"PASS","FAIL")</x:f>
        <x:v>PASS</x:v>
      </x:c>
      <x:c r="G58" s="52" t="str">
        <x:v>607 A6 islands</x:v>
      </x:c>
    </x:row>
    <x:row r="59">
      <x:c r="B59" s="50" t="str">
        <x:v>C52 rendering authorization</x:v>
      </x:c>
      <x:c r="C59" s="70" t="n">
        <x:f>Assumptions!$I$21</x:f>
        <x:v>0</x:v>
      </x:c>
      <x:c r="D59" s="70" t="n">
        <x:v>0</x:v>
      </x:c>
      <x:c r="E59" s="136" t="n">
        <x:f>C59-D59</x:f>
        <x:v>0</x:v>
      </x:c>
      <x:c r="F59" s="70" t="str">
        <x:f>IF(ABS(E59)&lt;0.00001,"PASS","FAIL")</x:f>
        <x:v>PASS</x:v>
      </x:c>
      <x:c r="G59" s="52" t="str">
        <x:v>rendering remains blocked</x:v>
      </x:c>
    </x:row>
    <x:row r="60">
      <x:c r="B60" s="50" t="str">
        <x:v>C53 federation strict admissions</x:v>
      </x:c>
      <x:c r="C60" s="70" t="n">
        <x:f>SUM('Federation Worlds'!$T$8:$T$133)</x:f>
        <x:v>0</x:v>
      </x:c>
      <x:c r="D60" s="70" t="n">
        <x:v>0</x:v>
      </x:c>
      <x:c r="E60" s="136" t="n">
        <x:f>C60-D60</x:f>
        <x:v>0</x:v>
      </x:c>
      <x:c r="F60" s="70" t="str">
        <x:f>IF(ABS(E60)&lt;0.00001,"PASS","FAIL")</x:f>
        <x:v>PASS</x:v>
      </x:c>
      <x:c r="G60" s="52" t="str">
        <x:v>no force structure admitted</x:v>
      </x:c>
    </x:row>
    <x:row r="61">
      <x:c r="B61" s="53" t="str">
        <x:v>C54 no island strict admissions</x:v>
      </x:c>
      <x:c r="C61" s="75" t="n">
        <x:f>SUM('Island Architectures'!$AJ$8:$AJ$13)</x:f>
        <x:v>0</x:v>
      </x:c>
      <x:c r="D61" s="75" t="n">
        <x:v>0</x:v>
      </x:c>
      <x:c r="E61" s="137" t="n">
        <x:f>C61-D61</x:f>
        <x:v>0</x:v>
      </x:c>
      <x:c r="F61" s="75" t="str">
        <x:f>IF(ABS(E61)&lt;0.00001,"PASS","FAIL")</x:f>
        <x:v>PASS</x:v>
      </x:c>
      <x:c r="G61" s="55" t="str">
        <x:v>no architecture admitted</x:v>
      </x:c>
    </x:row>
  </x:sheetData>
  <x:mergeCells>
    <x:mergeCell ref="B6:G6"/>
  </x:mergeCells>
  <x:conditionalFormatting sqref="F8:F61">
    <x:cfRule type="containsText" dxfId="6" priority="1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0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B2" s="3" t="str">
        <x:v>How to read this compiler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Scope, calculation flow, authority boundary and sensitivity workflow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6"/>
      <x:c r="C4" s="6"/>
      <x:c r="D4" s="6"/>
      <x:c r="E4" s="6"/>
      <x:c r="F4" s="6"/>
      <x:c r="G4" s="6"/>
      <x:c r="H4" s="6"/>
      <x:c r="I4" s="6"/>
      <x:c r="J4" s="6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0" t="str">
        <x:v>Decision owned</x:v>
      </x:c>
      <x:c r="C6" s="11" t="str">
        <x:v>Decision owned</x:v>
      </x:c>
      <x:c r="D6" s="11" t="str">
        <x:v>Decision owned</x:v>
      </x:c>
      <x:c r="E6" s="11" t="str">
        <x:v>Decision owned</x:v>
      </x:c>
      <x:c r="F6" s="11" t="str">
        <x:v>Decision owned</x:v>
      </x:c>
      <x:c r="G6" s="11" t="str">
        <x:v>Decision owned</x:v>
      </x:c>
      <x:c r="H6" s="11" t="str">
        <x:v>Decision owned</x:v>
      </x:c>
      <x:c r="I6" s="11" t="str">
        <x:v>Decision owned</x:v>
      </x:c>
      <x:c r="J6" s="12" t="str">
        <x:v>Decision owned</x:v>
      </x:c>
    </x:row>
    <x:row r="7" ht="48" customHeight="1">
      <x:c r="B7" s="138" t="str">
        <x:v>Question</x:v>
      </x:c>
      <x:c r="C7" s="126" t="str">
        <x:v>What must one fixed PTS-5 island contain, and how much fixed or mobile depth is required when nominal islands share source, heat, control, workforce, authority or supplier ancestry?</x:v>
      </x:c>
      <x:c r="D7" s="126"/>
      <x:c r="E7" s="126"/>
      <x:c r="F7" s="126"/>
      <x:c r="G7" s="126"/>
      <x:c r="H7" s="126"/>
      <x:c r="I7" s="126"/>
      <x:c r="J7" s="126"/>
    </x:row>
    <x:row r="8" ht="48" customHeight="1">
      <x:c r="B8" s="138" t="str">
        <x:v>Answer type</x:v>
      </x:c>
      <x:c r="C8" s="126" t="str">
        <x:v>First-principles R2 architecture and fiscal comparator. No site, technology, supplier, quantity, cost or federation is admitted.</x:v>
      </x:c>
      <x:c r="D8" s="126"/>
      <x:c r="E8" s="126"/>
      <x:c r="F8" s="126"/>
      <x:c r="G8" s="126"/>
      <x:c r="H8" s="126"/>
      <x:c r="I8" s="126"/>
      <x:c r="J8" s="126"/>
    </x:row>
    <x:row r="9" ht="48" customHeight="1">
      <x:c r="B9" s="138" t="str">
        <x:v>Source boundary</x:v>
      </x:c>
      <x:c r="C9" s="126" t="str">
        <x:v>Internal project lineage only: Passes 72, 73 and 76. No external websites or protected New York outcomes are used.</x:v>
      </x:c>
      <x:c r="D9" s="126"/>
      <x:c r="E9" s="126"/>
      <x:c r="F9" s="126"/>
      <x:c r="G9" s="126"/>
      <x:c r="H9" s="126"/>
      <x:c r="I9" s="126"/>
      <x:c r="J9" s="126"/>
    </x:row>
    <x:row r="10" ht="48" customHeight="1">
      <x:c r="B10" s="138" t="str">
        <x:v>Rendering</x:v>
      </x:c>
      <x:c r="C10" s="126" t="str">
        <x:v>Blocked. The island footprint and form depend on unresolved source, heat, hazard, corridor, safety and building-interface evidence.</x:v>
      </x:c>
      <x:c r="D10" s="126"/>
      <x:c r="E10" s="126"/>
      <x:c r="F10" s="126"/>
      <x:c r="G10" s="126"/>
      <x:c r="H10" s="126"/>
      <x:c r="I10" s="126"/>
      <x:c r="J10" s="126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B13" s="10" t="str">
        <x:v>Calculation flow</x:v>
      </x:c>
      <x:c r="C13" s="11" t="str">
        <x:v>Calculation flow</x:v>
      </x:c>
      <x:c r="D13" s="11" t="str">
        <x:v>Calculation flow</x:v>
      </x:c>
      <x:c r="E13" s="11" t="str">
        <x:v>Calculation flow</x:v>
      </x:c>
      <x:c r="F13" s="11" t="str">
        <x:v>Calculation flow</x:v>
      </x:c>
      <x:c r="G13" s="11" t="str">
        <x:v>Calculation flow</x:v>
      </x:c>
      <x:c r="H13" s="11" t="str">
        <x:v>Calculation flow</x:v>
      </x:c>
      <x:c r="I13" s="11" t="str">
        <x:v>Calculation flow</x:v>
      </x:c>
      <x:c r="J13" s="12" t="str">
        <x:v>Calculation flow</x:v>
      </x:c>
    </x:row>
    <x:row r="14" ht="40" customHeight="1">
      <x:c r="B14" s="138" t="str">
        <x:v>1</x:v>
      </x:c>
      <x:c r="C14" s="126" t="str">
        <x:v>Assumptions holds the public-service contract, national controls and fiscal lineage.</x:v>
      </x:c>
      <x:c r="D14" s="126"/>
      <x:c r="E14" s="126"/>
      <x:c r="F14" s="126"/>
      <x:c r="G14" s="126"/>
      <x:c r="H14" s="126"/>
      <x:c r="I14" s="126"/>
      <x:c r="J14" s="126"/>
    </x:row>
    <x:row r="15" ht="40" customHeight="1">
      <x:c r="B15" s="138" t="str">
        <x:v>2</x:v>
      </x:c>
      <x:c r="C15" s="126" t="str">
        <x:v>Island Architectures defines six rival physical and institutional structures.</x:v>
      </x:c>
      <x:c r="D15" s="126"/>
      <x:c r="E15" s="126"/>
      <x:c r="F15" s="126"/>
      <x:c r="G15" s="126"/>
      <x:c r="H15" s="126"/>
      <x:c r="I15" s="126"/>
      <x:c r="J15" s="126"/>
    </x:row>
    <x:row r="16" ht="40" customHeight="1">
      <x:c r="B16" s="138" t="str">
        <x:v>3</x:v>
      </x:c>
      <x:c r="C16" s="126" t="str">
        <x:v>Island Worlds calculates retained service across twenty-four common denials.</x:v>
      </x:c>
      <x:c r="D16" s="126"/>
      <x:c r="E16" s="126"/>
      <x:c r="F16" s="126"/>
      <x:c r="G16" s="126"/>
      <x:c r="H16" s="126"/>
      <x:c r="I16" s="126"/>
      <x:c r="J16" s="126"/>
    </x:row>
    <x:row r="17" ht="40" customHeight="1">
      <x:c r="B17" s="138" t="str">
        <x:v>4</x:v>
      </x:c>
      <x:c r="C17" s="126" t="str">
        <x:v>Subsystem Build, Service Nodes and Workforce expose the A6 upper comparator's quantities.</x:v>
      </x:c>
      <x:c r="D17" s="126"/>
      <x:c r="E17" s="126"/>
      <x:c r="F17" s="126"/>
      <x:c r="G17" s="126"/>
      <x:c r="H17" s="126"/>
      <x:c r="I17" s="126"/>
      <x:c r="J17" s="126"/>
    </x:row>
    <x:row r="18" ht="40" customHeight="1">
      <x:c r="B18" s="138" t="str">
        <x:v>5</x:v>
      </x:c>
      <x:c r="C18" s="126" t="str">
        <x:v>Federation Compiler converts the largest correlated fixed loss into fixed and mobile package requirements.</x:v>
      </x:c>
      <x:c r="D18" s="126"/>
      <x:c r="E18" s="126"/>
      <x:c r="F18" s="126"/>
      <x:c r="G18" s="126"/>
      <x:c r="H18" s="126"/>
      <x:c r="I18" s="126"/>
      <x:c r="J18" s="126"/>
    </x:row>
    <x:row r="19" ht="40" customHeight="1">
      <x:c r="B19" s="138" t="str">
        <x:v>6</x:v>
      </x:c>
      <x:c r="C19" s="126" t="str">
        <x:v>Federation Worlds separates design behavior, current technology credit and strict admission.</x:v>
      </x:c>
      <x:c r="D19" s="126"/>
      <x:c r="E19" s="126"/>
      <x:c r="F19" s="126"/>
      <x:c r="G19" s="126"/>
      <x:c r="H19" s="126"/>
      <x:c r="I19" s="126"/>
      <x:c r="J19" s="126"/>
    </x:row>
    <x:row r="20" ht="40" customHeight="1">
      <x:c r="B20" s="138" t="str">
        <x:v>7</x:v>
      </x:c>
      <x:c r="C20" s="126" t="str">
        <x:v>Program Cost replaces the Pass 76 provisional fixed-cell value and reconciles the national comparator.</x:v>
      </x:c>
      <x:c r="D20" s="126"/>
      <x:c r="E20" s="126"/>
      <x:c r="F20" s="126"/>
      <x:c r="G20" s="126"/>
      <x:c r="H20" s="126"/>
      <x:c r="I20" s="126"/>
      <x:c r="J20" s="126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B23" s="10" t="str">
        <x:v>Sensitivity and interpretation</x:v>
      </x:c>
      <x:c r="C23" s="11" t="str">
        <x:v>Sensitivity and interpretation</x:v>
      </x:c>
      <x:c r="D23" s="11" t="str">
        <x:v>Sensitivity and interpretation</x:v>
      </x:c>
      <x:c r="E23" s="11" t="str">
        <x:v>Sensitivity and interpretation</x:v>
      </x:c>
      <x:c r="F23" s="11" t="str">
        <x:v>Sensitivity and interpretation</x:v>
      </x:c>
      <x:c r="G23" s="11" t="str">
        <x:v>Sensitivity and interpretation</x:v>
      </x:c>
      <x:c r="H23" s="11" t="str">
        <x:v>Sensitivity and interpretation</x:v>
      </x:c>
      <x:c r="I23" s="11" t="str">
        <x:v>Sensitivity and interpretation</x:v>
      </x:c>
      <x:c r="J23" s="12" t="str">
        <x:v>Sensitivity and interpretation</x:v>
      </x:c>
    </x:row>
    <x:row r="24" ht="48" customHeight="1">
      <x:c r="B24" s="138" t="str">
        <x:v>Editable control</x:v>
      </x:c>
      <x:c r="C24" s="126" t="str">
        <x:v>Diversity premium per extra partition in Assumptions. At $0.9440625B per extra partition per group, G3's one additional A6 fixed island becomes cheaper than G2's four additional ancestry partitions.</x:v>
      </x:c>
      <x:c r="D24" s="126"/>
      <x:c r="E24" s="126"/>
      <x:c r="F24" s="126"/>
      <x:c r="G24" s="126"/>
      <x:c r="H24" s="126"/>
      <x:c r="I24" s="126"/>
      <x:c r="J24" s="126"/>
    </x:row>
    <x:row r="25" ht="48" customHeight="1">
      <x:c r="B25" s="138" t="str">
        <x:v>Behavior pass</x:v>
      </x:c>
      <x:c r="C25" s="126" t="str">
        <x:v>A calculated PASS means the declared ratios preserve at least ninety percent safe service. It is not evidence that a machine, workforce or authority can do so.</x:v>
      </x:c>
      <x:c r="D25" s="126"/>
      <x:c r="E25" s="126"/>
      <x:c r="F25" s="126"/>
      <x:c r="G25" s="126"/>
      <x:c r="H25" s="126"/>
      <x:c r="I25" s="126"/>
      <x:c r="J25" s="126"/>
    </x:row>
    <x:row r="26" ht="48" customHeight="1">
      <x:c r="B26" s="138" t="str">
        <x:v>Current credit</x:v>
      </x:c>
      <x:c r="C26" s="126" t="str">
        <x:v>The fourth access path receives no credit before a complete carrier-node-receiver demonstration. Fixed-island behavior is still shown to expose the design burden.</x:v>
      </x:c>
      <x:c r="D26" s="126"/>
      <x:c r="E26" s="126"/>
      <x:c r="F26" s="126"/>
      <x:c r="G26" s="126"/>
      <x:c r="H26" s="126"/>
      <x:c r="I26" s="126"/>
      <x:c r="J26" s="126"/>
    </x:row>
    <x:row r="27" ht="48" customHeight="1">
      <x:c r="B27" s="138" t="str">
        <x:v>Strict admission</x:v>
      </x:c>
      <x:c r="C27" s="126" t="str">
        <x:v>Zero everywhere because all thirty-four representative evidence gates remain open.</x:v>
      </x:c>
      <x:c r="D27" s="126"/>
      <x:c r="E27" s="126"/>
      <x:c r="F27" s="126"/>
      <x:c r="G27" s="126"/>
      <x:c r="H27" s="126"/>
      <x:c r="I27" s="126"/>
      <x:c r="J27" s="126"/>
    </x:row>
    <x:row r="28" ht="48" customHeight="1">
      <x:c r="B28" s="138" t="str">
        <x:v>Fiscal boundary</x:v>
      </x:c>
      <x:c r="C28" s="126" t="str">
        <x:v>Constant 2026 dollars. National values retain the Pass 76 common program and replace only the fixed-cell lifecycle plus the research increment.</x:v>
      </x:c>
      <x:c r="D28" s="126"/>
      <x:c r="E28" s="126"/>
      <x:c r="F28" s="126"/>
      <x:c r="G28" s="126"/>
      <x:c r="H28" s="126"/>
      <x:c r="I28" s="126"/>
      <x:c r="J28" s="126"/>
    </x:row>
    <x:row r="29" ht="48" customHeight="1">
      <x:c r="B29" s="138" t="str">
        <x:v>Next pass</x:v>
      </x:c>
      <x:c r="C29" s="126" t="str">
        <x:v>Compete fourth-access mechanisms against the geographies and failure modes that the fixed-island compiler cannot close economically or physically.</x:v>
      </x:c>
      <x:c r="D29" s="126"/>
      <x:c r="E29" s="126"/>
      <x:c r="F29" s="126"/>
      <x:c r="G29" s="126"/>
      <x:c r="H29" s="126"/>
      <x:c r="I29" s="126"/>
      <x:c r="J29" s="126"/>
    </x:row>
  </x:sheetData>
  <x:mergeCells>
    <x:mergeCell ref="B6:J6"/>
    <x:mergeCell ref="C7:J7"/>
    <x:mergeCell ref="C8:J8"/>
    <x:mergeCell ref="C9:J9"/>
    <x:mergeCell ref="C10:J10"/>
    <x:mergeCell ref="B13:J13"/>
    <x:mergeCell ref="C14:J14"/>
    <x:mergeCell ref="C15:J15"/>
    <x:mergeCell ref="C16:J16"/>
    <x:mergeCell ref="C17:J17"/>
    <x:mergeCell ref="C18:J18"/>
    <x:mergeCell ref="C19:J19"/>
    <x:mergeCell ref="C20:J20"/>
    <x:mergeCell ref="B23:J23"/>
    <x:mergeCell ref="C24:J24"/>
    <x:mergeCell ref="C25:J25"/>
    <x:mergeCell ref="C26:J26"/>
    <x:mergeCell ref="C27:J27"/>
    <x:mergeCell ref="C28:J28"/>
    <x:mergeCell ref="C29:J29"/>
  </x:mergeCells>
  <x:pageMargins left="0.7" right="0.7" top="0.75" bottom="0.75" header="0.3" footer="0.3"/>
</x:worksheet>
</file>