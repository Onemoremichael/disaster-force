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de11c4d85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b0e1a977f3424b56"/>
    <x:sheet xmlns:r="http://schemas.openxmlformats.org/officeDocument/2006/relationships" name="01 Controls" sheetId="2" r:id="R45f0534c027e47b3"/>
    <x:sheet xmlns:r="http://schemas.openxmlformats.org/officeDocument/2006/relationships" name="02 Architectures" sheetId="3" r:id="R6db18403525749ee"/>
    <x:sheet xmlns:r="http://schemas.openxmlformats.org/officeDocument/2006/relationships" name="03 Capacity" sheetId="4" r:id="Rcae3b3df86344c64"/>
    <x:sheet xmlns:r="http://schemas.openxmlformats.org/officeDocument/2006/relationships" name="04 Failure Worlds" sheetId="5" r:id="R2caf7686112a4005"/>
    <x:sheet xmlns:r="http://schemas.openxmlformats.org/officeDocument/2006/relationships" name="05 Dependencies" sheetId="6" r:id="Rb04e4f73185142b8"/>
    <x:sheet xmlns:r="http://schemas.openxmlformats.org/officeDocument/2006/relationships" name="06 Cost &amp; Mass" sheetId="7" r:id="R1da51bda35ab4f22"/>
    <x:sheet xmlns:r="http://schemas.openxmlformats.org/officeDocument/2006/relationships" name="07 Test Contract" sheetId="8" r:id="R416c2ee33e6f4cc3"/>
    <x:sheet xmlns:r="http://schemas.openxmlformats.org/officeDocument/2006/relationships" name="08 Evidence" sheetId="9" r:id="Re51f8bb950d945c9"/>
    <x:sheet xmlns:r="http://schemas.openxmlformats.org/officeDocument/2006/relationships" name="09 Integrity" sheetId="10" r:id="R6560e5b7fa4e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"/>
    <x:numFmt numFmtId="201" formatCode="#,##0"/>
    <x:numFmt numFmtId="202" formatCode="0.0%"/>
    <x:numFmt numFmtId="203" formatCode="0%"/>
    <x:numFmt numFmtId="204" formatCode="#,##0.0"/>
    <x:numFmt numFmtId="205" formatCode="$#,##0.00"/>
    <x:numFmt numFmtId="206" formatCode="$#,##0.0"/>
    <x:numFmt numFmtId="207" formatCode="#,##0.000000"/>
  </x:numFmts>
  <x:fonts count="6">
    <x:font>
      <x:sz val="11"/>
      <x:name val="Carlito"/>
    </x:font>
    <x:font>
      <x:b/>
      <x:sz val="15"/>
      <x:color rgb="FF17212B"/>
      <x:name val="Arial"/>
    </x:font>
    <x:font>
      <x:i/>
      <x:sz val="10"/>
      <x:color rgb="FF5C6873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</x:fills>
  <x:borders count="3">
    <x:border/>
    <x:border>
      <x:bottom style="medium">
        <x:color rgb="FF17324D"/>
      </x:bottom>
    </x:border>
    <x:border>
      <x:bottom style="medium">
        <x:color rgb="FFFFFFF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201" fontId="5" fillId="3" borderId="0" xfId="0" applyNumberFormat="1" applyFont="1" applyFill="1" applyBorder="1" applyAlignment="1">
      <x:alignment vertical="top"/>
    </x:xf>
    <x:xf numFmtId="202" fontId="5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/>
    </x:xf>
    <x:xf numFmtId="204" fontId="4" fillId="0" borderId="0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  <x:xf numFmtId="207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84"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9ab1d75594a65" /><Relationship Type="http://schemas.openxmlformats.org/officeDocument/2006/relationships/theme" Target="/xl/theme/theme1.xml" Id="R72c2f16fa26c41d0" /><Relationship Type="http://schemas.openxmlformats.org/officeDocument/2006/relationships/sharedStrings" Target="/xl/sharedStrings.xml" Id="Rc73c21acb3b84882" /><Relationship Type="http://schemas.openxmlformats.org/officeDocument/2006/relationships/worksheet" Target="/xl/worksheets/sheet1.xml" Id="Rb0e1a977f3424b56" /><Relationship Type="http://schemas.openxmlformats.org/officeDocument/2006/relationships/worksheet" Target="/xl/worksheets/sheet2.xml" Id="R45f0534c027e47b3" /><Relationship Type="http://schemas.openxmlformats.org/officeDocument/2006/relationships/worksheet" Target="/xl/worksheets/sheet3.xml" Id="R6db18403525749ee" /><Relationship Type="http://schemas.openxmlformats.org/officeDocument/2006/relationships/worksheet" Target="/xl/worksheets/sheet4.xml" Id="Rcae3b3df86344c64" /><Relationship Type="http://schemas.openxmlformats.org/officeDocument/2006/relationships/worksheet" Target="/xl/worksheets/sheet5.xml" Id="R2caf7686112a4005" /><Relationship Type="http://schemas.openxmlformats.org/officeDocument/2006/relationships/worksheet" Target="/xl/worksheets/sheet6.xml" Id="Rb04e4f73185142b8" /><Relationship Type="http://schemas.openxmlformats.org/officeDocument/2006/relationships/worksheet" Target="/xl/worksheets/sheet7.xml" Id="R1da51bda35ab4f22" /><Relationship Type="http://schemas.openxmlformats.org/officeDocument/2006/relationships/worksheet" Target="/xl/worksheets/sheet8.xml" Id="R416c2ee33e6f4cc3" /><Relationship Type="http://schemas.openxmlformats.org/officeDocument/2006/relationships/worksheet" Target="/xl/worksheets/sheet9.xml" Id="Re51f8bb950d945c9" /><Relationship Type="http://schemas.openxmlformats.org/officeDocument/2006/relationships/worksheet" Target="/xl/worksheets/sheet10.xml" Id="R6560e5b7fa4e4d65" /></Relationships>
</file>

<file path=xl/tables/table1.xml><?xml version="1.0" encoding="utf-8"?>
<x:table xmlns:x="http://schemas.openxmlformats.org/spreadsheetml/2006/main" id="1" name="FederatedReceiverControlTable" displayName="FederatedReceiverControlTable" ref="C5:G32" headerRowCount="1" totalsRowCount="0" totalsRowShown="0">
  <x:tableColumns count="5">
    <x:tableColumn id="1" name="Control"/>
    <x:tableColumn id="2" name="Value"/>
    <x:tableColumn id="3" name="Unit"/>
    <x:tableColumn id="4" name="Use"/>
    <x:tableColumn id="5" name="St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deratedReceiverArchitectureTable" displayName="FederatedReceiverArchitectureTable" ref="C5:AJ9" headerRowCount="1" totalsRowCount="0" totalsRowShown="0">
  <x:tableColumns count="34">
    <x:tableColumn id="1" name="ID"/>
    <x:tableColumn id="2" name="Architecture"/>
    <x:tableColumn id="3" name="Islands"/>
    <x:tableColumn id="4" name="Capacity per island"/>
    <x:tableColumn id="5" name="Installed capacity"/>
    <x:tableColumn id="6" name="Network-isolated zones"/>
    <x:tableColumn id="7" name="Direct branch paths"/>
    <x:tableColumn id="8" name="Black-start domains"/>
    <x:tableColumn id="9" name="Quality-release domains"/>
    <x:tableColumn id="10" name="Storage sectors"/>
    <x:tableColumn id="11" name="Gross storage m³"/>
    <x:tableColumn id="12" name="Redirectable lost catchment"/>
    <x:tableColumn id="13" name="Independent alternate source"/>
    <x:tableColumn id="14" name="Minimum island separation km"/>
    <x:tableColumn id="15" name="Branch route-km"/>
    <x:tableColumn id="16" name="Equipment $B/set"/>
    <x:tableColumn id="17" name="Receiver $B/node"/>
    <x:tableColumn id="18" name="Prepared area ha"/>
    <x:tableColumn id="19" name="Usable storage m³"/>
    <x:tableColumn id="20" name="Storage per island m³"/>
    <x:tableColumn id="21" name="Capacity after one island loss"/>
    <x:tableColumn id="22" name="Capacity after two island losses"/>
    <x:tableColumn id="23" name="Accessible catchment after one loss"/>
    <x:tableColumn id="24" name="Accessible catchment after two losses"/>
    <x:tableColumn id="25" name="Extra storage dry t"/>
    <x:tableColumn id="26" name="Branch dry t"/>
    <x:tableColumn id="27" name="Autonomy dry t"/>
    <x:tableColumn id="28" name="Alternate-source dry t"/>
    <x:tableColumn id="29" name="System dry t"/>
    <x:tableColumn id="30" name="System chargeable t"/>
    <x:tableColumn id="31" name="Surface positions"/>
    <x:tableColumn id="32" name="Revised program $B"/>
    <x:tableColumn id="33" name="Evidence"/>
    <x:tableColumn id="34" name="Render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eiverCapacityTable" displayName="ReceiverCapacityTable" ref="C5:N9" headerRowCount="1" totalsRowCount="0" totalsRowShown="0">
  <x:tableColumns count="12">
    <x:tableColumn id="1" name="ID"/>
    <x:tableColumn id="2" name="Islands"/>
    <x:tableColumn id="3" name="Installed capacity"/>
    <x:tableColumn id="4" name="Per-island service people"/>
    <x:tableColumn id="5" name="Usable storage m³"/>
    <x:tableColumn id="6" name="Usable storage per island m³"/>
    <x:tableColumn id="7" name="Capacity after one loss"/>
    <x:tableColumn id="8" name="Accessible catchment after one loss"/>
    <x:tableColumn id="9" name="Capacity after two losses"/>
    <x:tableColumn id="10" name="Accessible catchment after two losses"/>
    <x:tableColumn id="11" name="Independent operating domains"/>
    <x:tableColumn id="12" name="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ceiverFailureWorldTable" displayName="ReceiverFailureWorldTable" ref="C5:N15" headerRowCount="1" totalsRowCount="0" totalsRowShown="0">
  <x:tableColumns count="12">
    <x:tableColumn id="1" name="World"/>
    <x:tableColumn id="2" name="Failure"/>
    <x:tableColumn id="3" name="Lost islands"/>
    <x:tableColumn id="4" name="Primary distribution"/>
    <x:tableColumn id="5" name="Trunk supply share"/>
    <x:tableColumn id="6" name="Terminal manifold"/>
    <x:tableColumn id="7" name="Grid and central control"/>
    <x:tableColumn id="8" name="Central quality network"/>
    <x:tableColumn id="9" name="Primary treatment"/>
    <x:tableColumn id="10" name="Primary source quality"/>
    <x:tableColumn id="11" name="Civil issue authority"/>
    <x:tableColumn id="12" name="Required flo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eiverFailureResultTable" displayName="ReceiverFailureResultTable" ref="C19:T59" headerRowCount="1" totalsRowCount="0" totalsRowShown="0">
  <x:tableColumns count="18">
    <x:tableColumn id="1" name="Architecture"/>
    <x:tableColumn id="2" name="World"/>
    <x:tableColumn id="3" name="Surviving islands"/>
    <x:tableColumn id="4" name="Capacity share"/>
    <x:tableColumn id="5" name="Accessible catchment"/>
    <x:tableColumn id="6" name="Distribution path"/>
    <x:tableColumn id="7" name="Branch path"/>
    <x:tableColumn id="8" name="Power and control"/>
    <x:tableColumn id="9" name="Quality release"/>
    <x:tableColumn id="10" name="Storage support"/>
    <x:tableColumn id="11" name="Source supply"/>
    <x:tableColumn id="12" name="Water available"/>
    <x:tableColumn id="13" name="Civil release"/>
    <x:tableColumn id="14" name="Achieved service"/>
    <x:tableColumn id="15" name="Required floor"/>
    <x:tableColumn id="16" name="Declared screen"/>
    <x:tableColumn id="17" name="Evidence"/>
    <x:tableColumn id="18" name="Binding fact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ederatedReceiverCostTable" displayName="FederatedReceiverCostTable" ref="C5:N9" headerRowCount="1" totalsRowCount="0" totalsRowShown="0">
  <x:tableColumns count="12">
    <x:tableColumn id="1" name="ID"/>
    <x:tableColumn id="2" name="Islands"/>
    <x:tableColumn id="3" name="Installed capacity"/>
    <x:tableColumn id="4" name="Gross storage m³"/>
    <x:tableColumn id="5" name="Branch route-km"/>
    <x:tableColumn id="6" name="Alternate source"/>
    <x:tableColumn id="7" name="Dry mass t/set"/>
    <x:tableColumn id="8" name="Chargeable t/set"/>
    <x:tableColumn id="9" name="Surface positions"/>
    <x:tableColumn id="10" name="Equipment $B/set"/>
    <x:tableColumn id="11" name="Receiver $B/node"/>
    <x:tableColumn id="12" name="Revised program $B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ederatedReceiverGateTable" displayName="FederatedReceiverGateTable" ref="C5:J20" headerRowCount="1" totalsRowCount="0" totalsRowShown="0">
  <x:tableColumns count="8">
    <x:tableColumn id="1" name="Gate"/>
    <x:tableColumn id="2" name="Required demonstration"/>
    <x:tableColumn id="3" name="Measure"/>
    <x:tableColumn id="4" name="Threshold"/>
    <x:tableColumn id="5" name="Applies"/>
    <x:tableColumn id="6" name="Authority"/>
    <x:tableColumn id="7" name="Evidence"/>
    <x:tableColumn id="8" name="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ederatedReceiverIntegrityTable" displayName="FederatedReceiverIntegrityTable" ref="C5:H37" headerRowCount="1" totalsRowCount="0" totalsRowShown="0">
  <x:tableColumns count="6">
    <x:tableColumn id="1" name="Check"/>
    <x:tableColumn id="2" name="Observed"/>
    <x:tableColumn id="3" name="Expected"/>
    <x:tableColumn id="4" name="Difference"/>
    <x:tableColumn id="5" name="Tolerance"/>
    <x:tableColumn id="6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f2766d9a734a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4d1a2d786543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c67352fbd640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28631a63f34612" /><Relationship Type="http://schemas.openxmlformats.org/officeDocument/2006/relationships/table" Target="/xl/tables/table5.xml" Id="R92f6101a8a3c4b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54c6970a5648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ce2f2bdbab43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3084de35d8542e1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3" max="3" width="38" hidden="0" customWidth="1"/>
    <x:col min="4" max="4" width="21" hidden="0" customWidth="1"/>
    <x:col min="5" max="5" width="18" hidden="0" customWidth="1"/>
    <x:col min="6" max="6" width="57" hidden="0" customWidth="1"/>
    <x:col min="7" max="7" width="4" hidden="0" customWidth="1"/>
    <x:col min="8" max="8" width="40" hidden="0" customWidth="1"/>
    <x:col min="9" max="9" width="40" hidden="0" customWidth="1"/>
    <x:col min="10" max="10" width="41" hidden="0" customWidth="1"/>
    <x:col min="11" max="11" width="40" hidden="0" customWidth="1"/>
    <x:col min="12" max="12" width="40" hidden="0" customWidth="1"/>
    <x:col min="13" max="13" width="40" hidden="0" customWidth="1"/>
    <x:col min="14" max="14" width="34" hidden="0" customWidth="1"/>
    <x:col min="15" max="15" width="18" hidden="0" customWidth="1"/>
    <x:col min="16" max="16" width="43" hidden="0" customWidth="1"/>
    <x:col min="17" max="17" width="18" hidden="0" customWidth="1"/>
  </x:cols>
  <x:sheetData>
    <x:row r="2">
      <x:c r="C2" s="2" t="str">
        <x:v>Federated first-reach water receivers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C3" s="3" t="str">
        <x:v>Pass 66 asks when several sites become independent service islands and whether receiver federation can survive the common mode that defeated every Pass 65 topology.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5">
      <x:c r="C5" s="9" t="str">
        <x:v>Measure</x:v>
      </x:c>
      <x:c r="D5" s="9" t="str">
        <x:v>Result</x:v>
      </x:c>
      <x:c r="E5" s="9" t="str">
        <x:v>Unit</x:v>
      </x:c>
      <x:c r="F5" s="9" t="str">
        <x:v>Decision meaning</x:v>
      </x:c>
      <x:c r="H5" s="9" t="str">
        <x:v>Judgment</x:v>
      </x:c>
      <x:c r="I5" s="9" t="str">
        <x:v>Evidence</x:v>
      </x:c>
      <x:c r="J5" s="9" t="str">
        <x:v>Correction</x:v>
      </x:c>
      <x:c r="K5" s="9" t="str">
        <x:v>Force consequence</x:v>
      </x:c>
      <x:c r="L5" s="9" t="str">
        <x:v>Technology consequence</x:v>
      </x:c>
      <x:c r="M5" s="9" t="str">
        <x:v>Receiver consequence</x:v>
      </x:c>
      <x:c r="N5" s="9" t="str">
        <x:v>Authority</x:v>
      </x:c>
      <x:c r="O5" s="9" t="str">
        <x:v>State</x:v>
      </x:c>
      <x:c r="P5" s="9" t="str">
        <x:v>Next proof</x:v>
      </x:c>
      <x:c r="Q5" s="9" t="str">
        <x:v>Rendering</x:v>
      </x:c>
    </x:row>
    <x:row r="6" ht="111" customHeight="1">
      <x:c r="C6" s="11" t="str">
        <x:v>Architectures</x:v>
      </x:c>
      <x:c r="D6" s="23" t="n">
        <x:f>ROWS('02 Architectures'!C6:C9)</x:f>
        <x:v>4</x:v>
      </x:c>
      <x:c r="E6" s="11" t="str">
        <x:v>rivals</x:v>
      </x:c>
      <x:c r="F6" s="17" t="str">
        <x:v>One central control and three federation mechanisms</x:v>
      </x:c>
      <x:c r="H6" s="17" t="str">
        <x:v>Several sites can still be one receiver.</x:v>
      </x:c>
      <x:c r="I6" s="17" t="str">
        <x:v>R2 has two network-isolated zones but shares terminal, power, quality and source dependencies.</x:v>
      </x:c>
      <x:c r="J6" s="17" t="str">
        <x:v>Site count is not the independence count.</x:v>
      </x:c>
      <x:c r="K6" s="17" t="str">
        <x:v>Readiness must publish each boundary separately.</x:v>
      </x:c>
      <x:c r="L6" s="17" t="str">
        <x:v>Isolation hardware and local control become mission systems.</x:v>
      </x:c>
      <x:c r="M6" s="17" t="str">
        <x:v>Prepared geography must include genuinely separate paths.</x:v>
      </x:c>
      <x:c r="N6" s="17" t="str">
        <x:v>Mission assurance</x:v>
      </x:c>
      <x:c r="O6" s="17" t="str">
        <x:v>OPEN</x:v>
      </x:c>
      <x:c r="P6" s="17" t="str">
        <x:v>Seed terminal and power loss across paired sites</x:v>
      </x:c>
      <x:c r="Q6" s="17" t="str">
        <x:v>BLOCKED</x:v>
      </x:c>
    </x:row>
    <x:row r="7" ht="111" customHeight="1">
      <x:c r="C7" s="11" t="str">
        <x:v>Failure worlds</x:v>
      </x:c>
      <x:c r="D7" s="23" t="n">
        <x:f>ROWS('04 Failure Worlds'!C6:C15)</x:f>
        <x:v>10</x:v>
      </x:c>
      <x:c r="E7" s="11" t="str">
        <x:v>worlds</x:v>
      </x:c>
      <x:c r="F7" s="17" t="str">
        <x:v>No probabilities assigned</x:v>
      </x:c>
      <x:c r="H7" s="17" t="str">
        <x:v>Receiver federation can remove the Pass 65 local common mode.</x:v>
      </x:c>
      <x:c r="I7" s="17" t="str">
        <x:v>R3 passes eight declared worlds with three 50% islands and independent local domains.</x:v>
      </x:c>
      <x:c r="J7" s="17" t="str">
        <x:v>The former receiver-wide hold becomes a bounded island loss.</x:v>
      </x:c>
      <x:c r="K7" s="17" t="str">
        <x:v>The receiving command generates service islands, not addresses.</x:v>
      </x:c>
      <x:c r="L7" s="17" t="str">
        <x:v>Local black start, quality workcells and direct branching are decisive.</x:v>
      </x:c>
      <x:c r="M7" s="17" t="str">
        <x:v>Each island needs lawful accessible public issue.</x:v>
      </x:c>
      <x:c r="N7" s="17" t="str">
        <x:v>Receiving command</x:v>
      </x:c>
      <x:c r="O7" s="17" t="str">
        <x:v>OPEN</x:v>
      </x:c>
      <x:c r="P7" s="17" t="str">
        <x:v>Build a three-island proving receiver</x:v>
      </x:c>
      <x:c r="Q7" s="17" t="str">
        <x:v>BLOCKED</x:v>
      </x:c>
    </x:row>
    <x:row r="8" ht="111" customHeight="1">
      <x:c r="C8" s="11" t="str">
        <x:v>Required service</x:v>
      </x:c>
      <x:c r="D8" s="18" t="n">
        <x:f>'01 Controls'!D8</x:f>
        <x:v>0.5</x:v>
      </x:c>
      <x:c r="E8" s="11" t="str">
        <x:v>share</x:v>
      </x:c>
      <x:c r="F8" s="17" t="str">
        <x:v>At least 100,000 people-equivalent at normal allowance</x:v>
      </x:c>
      <x:c r="H8" s="17" t="str">
        <x:v>Capacity and public access remain different ceilings.</x:v>
      </x:c>
      <x:c r="I8" s="17" t="str">
        <x:v>R3 preserves 50% capacity after two losses only if surviving catchments and redirected users can reach it.</x:v>
      </x:c>
      <x:c r="J8" s="17" t="str">
        <x:v>Hydraulic reserve cannot imply people served.</x:v>
      </x:c>
      <x:c r="K8" s="17" t="str">
        <x:v>Civil access and queue operations join the formation.</x:v>
      </x:c>
      <x:c r="L8" s="17" t="str">
        <x:v>Routing and queue systems must work offline and accessibly.</x:v>
      </x:c>
      <x:c r="M8" s="17" t="str">
        <x:v>Catchment transfer cannot be an assumed percentage.</x:v>
      </x:c>
      <x:c r="N8" s="17" t="str">
        <x:v>Civil access authority</x:v>
      </x:c>
      <x:c r="O8" s="17" t="str">
        <x:v>FAIL</x:v>
      </x:c>
      <x:c r="P8" s="17" t="str">
        <x:v>Run occupied catchment transfer and queue trial</x:v>
      </x:c>
      <x:c r="Q8" s="17" t="str">
        <x:v>BLOCKED</x:v>
      </x:c>
    </x:row>
    <x:row r="9" ht="111" customHeight="1">
      <x:c r="C9" s="11" t="str">
        <x:v>R1 declared passes</x:v>
      </x:c>
      <x:c r="D9" s="23" t="n">
        <x:f>'04 Failure Worlds'!E64</x:f>
        <x:v>1</x:v>
      </x:c>
      <x:c r="E9" s="11" t="str">
        <x:v>of 10</x:v>
      </x:c>
      <x:c r="F9" s="17" t="str">
        <x:v>A central receiver retains only the surviving strategic trunk world</x:v>
      </x:c>
      <x:c r="H9" s="17" t="str">
        <x:v>Source provenance is the next common mode.</x:v>
      </x:c>
      <x:c r="I9" s="17" t="str">
        <x:v>R3 fails primary-source quality hold; R4 adds an independent half-demand source and passes the declared world.</x:v>
      </x:c>
      <x:c r="J9" s="17" t="str">
        <x:v>Receiver diversity does not diversify the water entering it.</x:v>
      </x:c>
      <x:c r="K9" s="17" t="str">
        <x:v>Source, treatment, power and residual custody must be independently generated.</x:v>
      </x:c>
      <x:c r="L9" s="17" t="str">
        <x:v>Compact alternate-source chains become a new acquisition program.</x:v>
      </x:c>
      <x:c r="M9" s="17" t="str">
        <x:v>Alternate source needs separate siting and authority.</x:v>
      </x:c>
      <x:c r="N9" s="17" t="str">
        <x:v>Source quality authority</x:v>
      </x:c>
      <x:c r="O9" s="17" t="str">
        <x:v>OPEN</x:v>
      </x:c>
      <x:c r="P9" s="17" t="str">
        <x:v>Configure and contaminate one complete source path</x:v>
      </x:c>
      <x:c r="Q9" s="17" t="str">
        <x:v>BLOCKED</x:v>
      </x:c>
    </x:row>
    <x:row r="10" ht="111" customHeight="1">
      <x:c r="C10" s="11" t="str">
        <x:v>R2 declared passes</x:v>
      </x:c>
      <x:c r="D10" s="23" t="n">
        <x:f>'04 Failure Worlds'!E65</x:f>
        <x:v>3</x:v>
      </x:c>
      <x:c r="E10" s="11" t="str">
        <x:v>of 10</x:v>
      </x:c>
      <x:c r="F10" s="17" t="str">
        <x:v>Physical separation does not remove terminal, power or quality common modes</x:v>
      </x:c>
      <x:c r="H10" s="17" t="str">
        <x:v>A national unknown-agent order remains a safe universal stop.</x:v>
      </x:c>
      <x:c r="I10" s="17" t="str">
        <x:v>All four architectures fail W10 because civil issue authority is zero.</x:v>
      </x:c>
      <x:c r="J10" s="17" t="str">
        <x:v>Service metrics cannot authorize unsafe issue.</x:v>
      </x:c>
      <x:c r="K10" s="17" t="str">
        <x:v>The force needs external provenance and a bounded emergency release protocol.</x:v>
      </x:c>
      <x:c r="L10" s="17" t="str">
        <x:v>Detection and forensic quality systems must reduce time under uncertainty.</x:v>
      </x:c>
      <x:c r="M10" s="17" t="str">
        <x:v>Public health authority retains the stop decision.</x:v>
      </x:c>
      <x:c r="N10" s="17" t="str">
        <x:v>Public health authority</x:v>
      </x:c>
      <x:c r="O10" s="17" t="str">
        <x:v>DENIED</x:v>
      </x:c>
      <x:c r="P10" s="17" t="str">
        <x:v>Design safe alternate-provenance decision ladder</x:v>
      </x:c>
      <x:c r="Q10" s="17" t="str">
        <x:v>BLOCKED</x:v>
      </x:c>
    </x:row>
    <x:row r="11" ht="111" customHeight="1">
      <x:c r="C11" s="11" t="str">
        <x:v>R3 declared passes</x:v>
      </x:c>
      <x:c r="D11" s="23" t="n">
        <x:f>'04 Failure Worlds'!E66</x:f>
        <x:v>8</x:v>
      </x:c>
      <x:c r="E11" s="11" t="str">
        <x:v>of 10</x:v>
      </x:c>
      <x:c r="F11" s="17" t="str">
        <x:v>Independent domains remove local receiver common modes</x:v>
      </x:c>
      <x:c r="H11" s="17" t="str">
        <x:v>Federation has a visible mass and program cost.</x:v>
      </x:c>
      <x:c r="I11" s="17" t="str">
        <x:v>R1–R4 span about 4,324–5,579 dry tonnes and $127.2–156.0B over 25 years.</x:v>
      </x:c>
      <x:c r="J11" s="17" t="str">
        <x:v>Independence is acquired in mobile and fixed capital.</x:v>
      </x:c>
      <x:c r="K11" s="17" t="str">
        <x:v>The force must budget branches, autonomy cells and alternate source capacity.</x:v>
      </x:c>
      <x:c r="L11" s="17" t="str">
        <x:v>Programs compete removal of named common modes.</x:v>
      </x:c>
      <x:c r="M11" s="17" t="str">
        <x:v>Prepared area grows from 18 to 34 hectares per node comparator.</x:v>
      </x:c>
      <x:c r="N11" s="17" t="str">
        <x:v>Resilience Acquisition Executive</x:v>
      </x:c>
      <x:c r="O11" s="17" t="str">
        <x:v>OPEN</x:v>
      </x:c>
      <x:c r="P11" s="17" t="str">
        <x:v>Cost released sites and serialized equipment</x:v>
      </x:c>
      <x:c r="Q11" s="17" t="str">
        <x:v>BLOCKED</x:v>
      </x:c>
    </x:row>
    <x:row r="12" ht="35" customHeight="1">
      <x:c r="C12" s="11" t="str">
        <x:v>R4 declared passes</x:v>
      </x:c>
      <x:c r="D12" s="23" t="n">
        <x:f>'04 Failure Worlds'!E67</x:f>
        <x:v>9</x:v>
      </x:c>
      <x:c r="E12" s="11" t="str">
        <x:v>of 10</x:v>
      </x:c>
      <x:c r="F12" s="17" t="str">
        <x:v>Alternate provenance survives the primary-source hold</x:v>
      </x:c>
    </x:row>
    <x:row r="13" ht="35" customHeight="1">
      <x:c r="C13" s="11" t="str">
        <x:v>R4 installed capacity</x:v>
      </x:c>
      <x:c r="D13" s="18" t="n">
        <x:f>'02 Architectures'!G9</x:f>
        <x:v>1.3333333333333333</x:v>
      </x:c>
      <x:c r="E13" s="11" t="str">
        <x:v>share</x:v>
      </x:c>
      <x:c r="F13" s="17" t="str">
        <x:v>Four one-third islands provide 133.3% installed capacity</x:v>
      </x:c>
    </x:row>
    <x:row r="14" ht="35" customHeight="1">
      <x:c r="C14" s="11" t="str">
        <x:v>R4 alternate source</x:v>
      </x:c>
      <x:c r="D14" s="18" t="n">
        <x:f>'02 Architectures'!O9</x:f>
        <x:v>0.5</x:v>
      </x:c>
      <x:c r="E14" s="11" t="str">
        <x:v>share</x:v>
      </x:c>
      <x:c r="F14" s="17" t="str">
        <x:v>Independent half-demand source chain</x:v>
      </x:c>
    </x:row>
    <x:row r="15" ht="35" customHeight="1">
      <x:c r="C15" s="11" t="str">
        <x:v>Minimum dry mass</x:v>
      </x:c>
      <x:c r="D15" s="23" t="n">
        <x:f>MIN('02 Architectures'!AE6:AE9)</x:f>
        <x:v>4324.242428308064</x:v>
      </x:c>
      <x:c r="E15" s="11" t="str">
        <x:v>t</x:v>
      </x:c>
      <x:c r="F15" s="17" t="str">
        <x:v>Pass 65 A4 baseline</x:v>
      </x:c>
    </x:row>
    <x:row r="16" ht="35" customHeight="1">
      <x:c r="C16" s="11" t="str">
        <x:v>Maximum dry mass</x:v>
      </x:c>
      <x:c r="D16" s="23" t="n">
        <x:f>MAX('02 Architectures'!AE6:AE9)</x:f>
        <x:v>5579.242428308064</x:v>
      </x:c>
      <x:c r="E16" s="11" t="str">
        <x:v>t</x:v>
      </x:c>
      <x:c r="F16" s="17" t="str">
        <x:v>Dual provenance is a substantial mobile addition</x:v>
      </x:c>
    </x:row>
    <x:row r="17" ht="35" customHeight="1">
      <x:c r="C17" s="11" t="str">
        <x:v>Minimum revised program</x:v>
      </x:c>
      <x:c r="D17" s="23" t="n">
        <x:f>MIN('02 Architectures'!AH6:AH9)</x:f>
        <x:v>127.2</x:v>
      </x:c>
      <x:c r="E17" s="11" t="str">
        <x:v>$B/25 years</x:v>
      </x:c>
      <x:c r="F17" s="17" t="str">
        <x:v>Declared comparator</x:v>
      </x:c>
    </x:row>
    <x:row r="18" ht="35" customHeight="1">
      <x:c r="C18" s="11" t="str">
        <x:v>Maximum revised program</x:v>
      </x:c>
      <x:c r="D18" s="23" t="n">
        <x:f>MAX('02 Architectures'!AH6:AH9)</x:f>
        <x:v>156</x:v>
      </x:c>
      <x:c r="E18" s="11" t="str">
        <x:v>$B/25 years</x:v>
      </x:c>
      <x:c r="F18" s="17" t="str">
        <x:v>Declared comparator</x:v>
      </x:c>
    </x:row>
    <x:row r="19" ht="35" customHeight="1">
      <x:c r="C19" s="11" t="str">
        <x:v>Strict admissions</x:v>
      </x:c>
      <x:c r="D19" s="23" t="n">
        <x:f>COUNTIFS('04 Failure Worlds'!L64:L67,"ADMITTED")</x:f>
        <x:v>0</x:v>
      </x:c>
      <x:c r="E19" s="11" t="str">
        <x:v>of 4</x:v>
      </x:c>
      <x:c r="F19" s="17" t="str">
        <x:v>Declared screens are not field evidence</x:v>
      </x:c>
    </x:row>
    <x:row r="20" ht="35" customHeight="1">
      <x:c r="C20" s="11" t="str">
        <x:v>Selected architecture</x:v>
      </x:c>
      <x:c r="D20" s="23" t="str">
        <x:v>NONE</x:v>
      </x:c>
      <x:c r="E20" s="11" t="str">
        <x:v>state</x:v>
      </x:c>
      <x:c r="F20" s="17" t="str">
        <x:v>R4 is the test leader only</x:v>
      </x:c>
    </x:row>
    <x:row r="21" ht="35" customHeight="1">
      <x:c r="C21" s="11" t="str">
        <x:v>Rendering</x:v>
      </x:c>
      <x:c r="D21" s="23" t="str">
        <x:v>BLOCKED</x:v>
      </x:c>
      <x:c r="E21" s="11" t="str">
        <x:v>state</x:v>
      </x:c>
      <x:c r="F21" s="17" t="str">
        <x:v>No federation has R3 evidence</x:v>
      </x:c>
    </x:row>
  </x:sheetData>
  <x:conditionalFormatting sqref="D6:D21">
    <x:cfRule type="containsText" dxfId="56" priority="1" operator="containsText" text="FAIL"/>
    <x:cfRule type="containsText" dxfId="57" priority="2" operator="containsText" text="DENIED"/>
    <x:cfRule type="containsText" dxfId="58" priority="3" operator="containsText" text="BLOCKED"/>
    <x:cfRule type="containsText" dxfId="59" priority="4" operator="containsText" text="OPEN"/>
    <x:cfRule type="containsText" dxfId="60" priority="5" operator="containsText" text="UNTESTED"/>
    <x:cfRule type="containsText" dxfId="61" priority="6" operator="containsText" text="DECLARED"/>
    <x:cfRule type="containsText" dxfId="62" priority="7" operator="containsText" text="PASS"/>
  </x:conditionalFormatting>
  <x:conditionalFormatting sqref="O6:O11">
    <x:cfRule type="containsText" dxfId="63" priority="8" operator="containsText" text="FAIL"/>
    <x:cfRule type="containsText" dxfId="64" priority="9" operator="containsText" text="DENIED"/>
    <x:cfRule type="containsText" dxfId="65" priority="10" operator="containsText" text="BLOCKED"/>
    <x:cfRule type="containsText" dxfId="66" priority="11" operator="containsText" text="OPEN"/>
    <x:cfRule type="containsText" dxfId="67" priority="12" operator="containsText" text="UNTESTED"/>
    <x:cfRule type="containsText" dxfId="68" priority="13" operator="containsText" text="DECLARED"/>
    <x:cfRule type="containsText" dxfId="69" priority="14" operator="containsText" text="PASS"/>
  </x:conditionalFormatting>
  <x:conditionalFormatting sqref="Q6:Q11">
    <x:cfRule type="containsText" dxfId="70" priority="15" operator="containsText" text="FAIL"/>
    <x:cfRule type="containsText" dxfId="71" priority="16" operator="containsText" text="DENIED"/>
    <x:cfRule type="containsText" dxfId="72" priority="17" operator="containsText" text="BLOCKED"/>
    <x:cfRule type="containsText" dxfId="73" priority="18" operator="containsText" text="OPEN"/>
    <x:cfRule type="containsText" dxfId="74" priority="19" operator="containsText" text="UNTESTED"/>
    <x:cfRule type="containsText" dxfId="75" priority="20" operator="containsText" text="DECLARED"/>
    <x:cfRule type="containsText" dxfId="76" priority="21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42" hidden="0" customWidth="1"/>
    <x:col min="4" max="4" width="21" hidden="0" customWidth="1"/>
    <x:col min="5" max="5" width="23" hidden="0" customWidth="1"/>
    <x:col min="6" max="6" width="57" hidden="0" customWidth="1"/>
    <x:col min="7" max="7" width="20" hidden="0" customWidth="1"/>
  </x:cols>
  <x:sheetData>
    <x:row r="2">
      <x:c r="C2" s="2" t="str">
        <x:v>Federated water-receiver controls</x:v>
      </x:c>
      <x:c r="D2" s="1"/>
      <x:c r="E2" s="1"/>
      <x:c r="F2" s="1"/>
      <x:c r="G2" s="1"/>
      <x:c r="H2" s="1"/>
      <x:c r="I2" s="1"/>
      <x:c r="J2" s="1"/>
    </x:row>
    <x:row r="3">
      <x:c r="C3" s="3" t="str">
        <x:v>Blue values are declared research inputs. Site count receives no independence credit unless distribution, branch, power, quality and source boundaries are explicit.</x:v>
      </x:c>
      <x:c r="D3" s="3"/>
      <x:c r="E3" s="3"/>
      <x:c r="F3" s="3"/>
      <x:c r="G3" s="3"/>
      <x:c r="H3" s="3"/>
      <x:c r="I3" s="3"/>
      <x:c r="J3" s="3"/>
    </x:row>
    <x:row r="5">
      <x:c r="C5" s="9" t="str">
        <x:v>Control</x:v>
      </x:c>
      <x:c r="D5" s="9" t="str">
        <x:v>Value</x:v>
      </x:c>
      <x:c r="E5" s="9" t="str">
        <x:v>Unit</x:v>
      </x:c>
      <x:c r="F5" s="9" t="str">
        <x:v>Use</x:v>
      </x:c>
      <x:c r="G5" s="9" t="str">
        <x:v>State</x:v>
      </x:c>
    </x:row>
    <x:row r="6" ht="31" customHeight="1">
      <x:c r="C6" s="11" t="str">
        <x:v>Normal product-water demand</x:v>
      </x:c>
      <x:c r="D6" s="15" t="n">
        <x:v>10000</x:v>
      </x:c>
      <x:c r="E6" s="17" t="str">
        <x:v>m³/day</x:v>
      </x:c>
      <x:c r="F6" s="17" t="str">
        <x:v>First-reach service</x:v>
      </x:c>
      <x:c r="G6" s="17" t="str">
        <x:v>SOURCE VALUE</x:v>
      </x:c>
    </x:row>
    <x:row r="7" ht="31" customHeight="1">
      <x:c r="C7" s="11" t="str">
        <x:v>Service population</x:v>
      </x:c>
      <x:c r="D7" s="15" t="n">
        <x:v>200000</x:v>
      </x:c>
      <x:c r="E7" s="17" t="str">
        <x:v>people</x:v>
      </x:c>
      <x:c r="F7" s="17" t="str">
        <x:v>Fifty litres per person-day</x:v>
      </x:c>
      <x:c r="G7" s="17" t="str">
        <x:v>SOURCE VALUE</x:v>
      </x:c>
    </x:row>
    <x:row r="8" ht="31" customHeight="1">
      <x:c r="C8" s="11" t="str">
        <x:v>Degraded-service floor</x:v>
      </x:c>
      <x:c r="D8" s="16" t="n">
        <x:v>0.5</x:v>
      </x:c>
      <x:c r="E8" s="17" t="str">
        <x:v>share</x:v>
      </x:c>
      <x:c r="F8" s="17" t="str">
        <x:v>Minimum accessible service</x:v>
      </x:c>
      <x:c r="G8" s="17" t="str">
        <x:v>DECLARED</x:v>
      </x:c>
    </x:row>
    <x:row r="9" ht="31" customHeight="1">
      <x:c r="C9" s="11" t="str">
        <x:v>Failure evaluation horizon</x:v>
      </x:c>
      <x:c r="D9" s="14" t="n">
        <x:v>24</x:v>
      </x:c>
      <x:c r="E9" s="17" t="str">
        <x:v>hours</x:v>
      </x:c>
      <x:c r="F9" s="17" t="str">
        <x:v>Continuous service screen</x:v>
      </x:c>
      <x:c r="G9" s="17" t="str">
        <x:v>DECLARED</x:v>
      </x:c>
    </x:row>
    <x:row r="10" ht="31" customHeight="1">
      <x:c r="C10" s="11" t="str">
        <x:v>Usable storage share</x:v>
      </x:c>
      <x:c r="D10" s="16" t="n">
        <x:v>0.85</x:v>
      </x:c>
      <x:c r="E10" s="17" t="str">
        <x:v>share</x:v>
      </x:c>
      <x:c r="F10" s="17" t="str">
        <x:v>Sanitary and operational drawdown</x:v>
      </x:c>
      <x:c r="G10" s="17" t="str">
        <x:v>SOURCE VALUE</x:v>
      </x:c>
    </x:row>
    <x:row r="11" ht="31" customHeight="1">
      <x:c r="C11" s="11" t="str">
        <x:v>A4 gross storage</x:v>
      </x:c>
      <x:c r="D11" s="14" t="n">
        <x:v>10000</x:v>
      </x:c>
      <x:c r="E11" s="17" t="str">
        <x:v>m³</x:v>
      </x:c>
      <x:c r="F11" s="17" t="str">
        <x:v>Pass 65 route-separated baseline</x:v>
      </x:c>
      <x:c r="G11" s="17" t="str">
        <x:v>SOURCE VALUE</x:v>
      </x:c>
    </x:row>
    <x:row r="12" ht="31" customHeight="1">
      <x:c r="C12" s="11" t="str">
        <x:v>A4 dry mass</x:v>
      </x:c>
      <x:c r="D12" s="14" t="n">
        <x:v>4324.242428308064</x:v>
      </x:c>
      <x:c r="E12" s="17" t="str">
        <x:v>t</x:v>
      </x:c>
      <x:c r="F12" s="17" t="str">
        <x:v>Pass 65 complete planning configuration</x:v>
      </x:c>
      <x:c r="G12" s="17" t="str">
        <x:v>SOURCE VALUE</x:v>
      </x:c>
    </x:row>
    <x:row r="13" ht="31" customHeight="1">
      <x:c r="C13" s="11" t="str">
        <x:v>A4 chargeable burden</x:v>
      </x:c>
      <x:c r="D13" s="14" t="n">
        <x:v>4495.772110224365</x:v>
      </x:c>
      <x:c r="E13" s="17" t="str">
        <x:v>t</x:v>
      </x:c>
      <x:c r="F13" s="17" t="str">
        <x:v>Pass 65 complete planning configuration</x:v>
      </x:c>
      <x:c r="G13" s="17" t="str">
        <x:v>SOURCE VALUE</x:v>
      </x:c>
    </x:row>
    <x:row r="14" ht="31" customHeight="1">
      <x:c r="C14" s="11" t="str">
        <x:v>Branch module dry mass</x:v>
      </x:c>
      <x:c r="D14" s="14" t="n">
        <x:v>45</x:v>
      </x:c>
      <x:c r="E14" s="17" t="str">
        <x:v>t/extra island</x:v>
      </x:c>
      <x:c r="F14" s="17" t="str">
        <x:v>Valves, pipe, controls and handling</x:v>
      </x:c>
      <x:c r="G14" s="17" t="str">
        <x:v>DECLARED</x:v>
      </x:c>
    </x:row>
    <x:row r="15" ht="31" customHeight="1">
      <x:c r="C15" s="11" t="str">
        <x:v>Branch module packed cube</x:v>
      </x:c>
      <x:c r="D15" s="14" t="n">
        <x:v>220</x:v>
      </x:c>
      <x:c r="E15" s="17" t="str">
        <x:v>m³/extra island</x:v>
      </x:c>
      <x:c r="F15" s="17" t="str">
        <x:v>Chargeable-burden screen</x:v>
      </x:c>
      <x:c r="G15" s="17" t="str">
        <x:v>DECLARED</x:v>
      </x:c>
    </x:row>
    <x:row r="16" ht="31" customHeight="1">
      <x:c r="C16" s="11" t="str">
        <x:v>Local autonomy cell dry mass</x:v>
      </x:c>
      <x:c r="D16" s="14" t="n">
        <x:v>25</x:v>
      </x:c>
      <x:c r="E16" s="17" t="str">
        <x:v>t/domain</x:v>
      </x:c>
      <x:c r="F16" s="17" t="str">
        <x:v>Black start, local control and quality workcell</x:v>
      </x:c>
      <x:c r="G16" s="17" t="str">
        <x:v>DECLARED</x:v>
      </x:c>
    </x:row>
    <x:row r="17" ht="31" customHeight="1">
      <x:c r="C17" s="11" t="str">
        <x:v>Local autonomy cell cube</x:v>
      </x:c>
      <x:c r="D17" s="14" t="n">
        <x:v>80</x:v>
      </x:c>
      <x:c r="E17" s="17" t="str">
        <x:v>m³/domain</x:v>
      </x:c>
      <x:c r="F17" s="17" t="str">
        <x:v>Chargeable-burden screen</x:v>
      </x:c>
      <x:c r="G17" s="17" t="str">
        <x:v>DECLARED</x:v>
      </x:c>
    </x:row>
    <x:row r="18" ht="31" customHeight="1">
      <x:c r="C18" s="11" t="str">
        <x:v>Storage hardware mass</x:v>
      </x:c>
      <x:c r="D18" s="14" t="n">
        <x:v>36</x:v>
      </x:c>
      <x:c r="E18" s="17" t="str">
        <x:v>t/1,000 m³</x:v>
      </x:c>
      <x:c r="F18" s="17" t="str">
        <x:v>Pass 65 first-order coefficient</x:v>
      </x:c>
      <x:c r="G18" s="17" t="str">
        <x:v>SOURCE VALUE</x:v>
      </x:c>
    </x:row>
    <x:row r="19" ht="31" customHeight="1">
      <x:c r="C19" s="11" t="str">
        <x:v>Storage hardware cube</x:v>
      </x:c>
      <x:c r="D19" s="14" t="n">
        <x:v>200</x:v>
      </x:c>
      <x:c r="E19" s="17" t="str">
        <x:v>m³/1,000 m³</x:v>
      </x:c>
      <x:c r="F19" s="17" t="str">
        <x:v>Pass 65 first-order coefficient</x:v>
      </x:c>
      <x:c r="G19" s="17" t="str">
        <x:v>SOURCE VALUE</x:v>
      </x:c>
    </x:row>
    <x:row r="20" ht="31" customHeight="1">
      <x:c r="C20" s="11" t="str">
        <x:v>Surface density floor</x:v>
      </x:c>
      <x:c r="D20" s="14" t="n">
        <x:v>0.2</x:v>
      </x:c>
      <x:c r="E20" s="17" t="str">
        <x:v>t/m³</x:v>
      </x:c>
      <x:c r="F20" s="17" t="str">
        <x:v>Chargeable-burden screen</x:v>
      </x:c>
      <x:c r="G20" s="17" t="str">
        <x:v>SOURCE VALUE</x:v>
      </x:c>
    </x:row>
    <x:row r="21" ht="31" customHeight="1">
      <x:c r="C21" s="11" t="str">
        <x:v>Alternate-source dry mass</x:v>
      </x:c>
      <x:c r="D21" s="14" t="n">
        <x:v>900</x:v>
      </x:c>
      <x:c r="E21" s="17" t="str">
        <x:v>t/set</x:v>
      </x:c>
      <x:c r="F21" s="17" t="str">
        <x:v>Half-demand independent source chain</x:v>
      </x:c>
      <x:c r="G21" s="17" t="str">
        <x:v>DECLARED</x:v>
      </x:c>
    </x:row>
    <x:row r="22" ht="31" customHeight="1">
      <x:c r="C22" s="11" t="str">
        <x:v>Alternate-source chargeable</x:v>
      </x:c>
      <x:c r="D22" s="14" t="n">
        <x:v>1050</x:v>
      </x:c>
      <x:c r="E22" s="17" t="str">
        <x:v>t/set</x:v>
      </x:c>
      <x:c r="F22" s="17" t="str">
        <x:v>Source, treatment, power and residual path</x:v>
      </x:c>
      <x:c r="G22" s="17" t="str">
        <x:v>DECLARED</x:v>
      </x:c>
    </x:row>
    <x:row r="23" ht="31" customHeight="1">
      <x:c r="C23" s="11" t="str">
        <x:v>Pass 65 A4 program</x:v>
      </x:c>
      <x:c r="D23" s="14" t="n">
        <x:v>127.2</x:v>
      </x:c>
      <x:c r="E23" s="17" t="str">
        <x:v>$B/25 years</x:v>
      </x:c>
      <x:c r="F23" s="17" t="str">
        <x:v>Common predecessor program</x:v>
      </x:c>
      <x:c r="G23" s="17" t="str">
        <x:v>SOURCE VALUE</x:v>
      </x:c>
    </x:row>
    <x:row r="24" ht="31" customHeight="1">
      <x:c r="C24" s="11" t="str">
        <x:v>Initial operational sets</x:v>
      </x:c>
      <x:c r="D24" s="14" t="n">
        <x:v>24</x:v>
      </x:c>
      <x:c r="E24" s="17" t="str">
        <x:v>sets</x:v>
      </x:c>
      <x:c r="F24" s="17" t="str">
        <x:v>Pass 65 fielding placeholder</x:v>
      </x:c>
      <x:c r="G24" s="17" t="str">
        <x:v>SOURCE VALUE</x:v>
      </x:c>
    </x:row>
    <x:row r="25" ht="31" customHeight="1">
      <x:c r="C25" s="11" t="str">
        <x:v>Prepared receiver nodes</x:v>
      </x:c>
      <x:c r="D25" s="14" t="n">
        <x:v>12</x:v>
      </x:c>
      <x:c r="E25" s="17" t="str">
        <x:v>nodes</x:v>
      </x:c>
      <x:c r="F25" s="17" t="str">
        <x:v>Pass 65 fielding placeholder</x:v>
      </x:c>
      <x:c r="G25" s="17" t="str">
        <x:v>SOURCE VALUE</x:v>
      </x:c>
    </x:row>
    <x:row r="26" ht="31" customHeight="1">
      <x:c r="C26" s="11" t="str">
        <x:v>A4 equipment unit</x:v>
      </x:c>
      <x:c r="D26" s="14" t="n">
        <x:v>1.65</x:v>
      </x:c>
      <x:c r="E26" s="17" t="str">
        <x:v>$B/set</x:v>
      </x:c>
      <x:c r="F26" s="17" t="str">
        <x:v>Removed before architecture replacement</x:v>
      </x:c>
      <x:c r="G26" s="17" t="str">
        <x:v>SOURCE VALUE</x:v>
      </x:c>
    </x:row>
    <x:row r="27" ht="31" customHeight="1">
      <x:c r="C27" s="11" t="str">
        <x:v>A4 receiver unit</x:v>
      </x:c>
      <x:c r="D27" s="14" t="n">
        <x:v>1.1</x:v>
      </x:c>
      <x:c r="E27" s="17" t="str">
        <x:v>$B/node</x:v>
      </x:c>
      <x:c r="F27" s="17" t="str">
        <x:v>Removed before architecture replacement</x:v>
      </x:c>
      <x:c r="G27" s="17" t="str">
        <x:v>SOURCE VALUE</x:v>
      </x:c>
    </x:row>
    <x:row r="28" ht="31" customHeight="1">
      <x:c r="C28" s="11" t="str">
        <x:v>Baseline public interfaces</x:v>
      </x:c>
      <x:c r="D28" s="14" t="n">
        <x:v>23</x:v>
      </x:c>
      <x:c r="E28" s="17" t="str">
        <x:v>interfaces</x:v>
      </x:c>
      <x:c r="F28" s="17" t="str">
        <x:v>Pass 64 rounded site count</x:v>
      </x:c>
      <x:c r="G28" s="17" t="str">
        <x:v>SOURCE VALUE</x:v>
      </x:c>
    </x:row>
    <x:row r="29" ht="31" customHeight="1">
      <x:c r="C29" s="11" t="str">
        <x:v>Switch-to-island target</x:v>
      </x:c>
      <x:c r="D29" s="14" t="n">
        <x:v>2</x:v>
      </x:c>
      <x:c r="E29" s="17" t="str">
        <x:v>hours</x:v>
      </x:c>
      <x:c r="F29" s="17" t="str">
        <x:v>Isolation through certified public issue</x:v>
      </x:c>
      <x:c r="G29" s="17" t="str">
        <x:v>TARGET</x:v>
      </x:c>
    </x:row>
    <x:row r="30" ht="31" customHeight="1">
      <x:c r="C30" s="11" t="str">
        <x:v>Surviving-island queue target</x:v>
      </x:c>
      <x:c r="D30" s="14" t="n">
        <x:v>60</x:v>
      </x:c>
      <x:c r="E30" s="17" t="str">
        <x:v>minutes</x:v>
      </x:c>
      <x:c r="F30" s="17" t="str">
        <x:v>Accessible maximum wait</x:v>
      </x:c>
      <x:c r="G30" s="17" t="str">
        <x:v>TARGET</x:v>
      </x:c>
    </x:row>
    <x:row r="31" ht="31" customHeight="1">
      <x:c r="C31" s="11" t="str">
        <x:v>A4 first-water screen</x:v>
      </x:c>
      <x:c r="D31" s="14" t="n">
        <x:v>184</x:v>
      </x:c>
      <x:c r="E31" s="17" t="str">
        <x:v>hours</x:v>
      </x:c>
      <x:c r="F31" s="17" t="str">
        <x:v>Pass 65 sectional topology</x:v>
      </x:c>
      <x:c r="G31" s="17" t="str">
        <x:v>SOURCE VALUE</x:v>
      </x:c>
    </x:row>
    <x:row r="32" ht="31" customHeight="1">
      <x:c r="C32" s="11" t="str">
        <x:v>Surface position target</x:v>
      </x:c>
      <x:c r="D32" s="14" t="n">
        <x:v>40</x:v>
      </x:c>
      <x:c r="E32" s="17" t="str">
        <x:v>t/position</x:v>
      </x:c>
      <x:c r="F32" s="17" t="str">
        <x:v>Position-equivalent comparator</x:v>
      </x:c>
      <x:c r="G32" s="17" t="str">
        <x:v>SOURCE VALUE</x:v>
      </x:c>
    </x:row>
  </x:sheetData>
  <x:conditionalFormatting sqref="G6:G32">
    <x:cfRule type="containsText" dxfId="0" priority="1" operator="containsText" text="FAIL"/>
    <x:cfRule type="containsText" dxfId="1" priority="2" operator="containsText" text="DENIED"/>
    <x:cfRule type="containsText" dxfId="2" priority="3" operator="containsText" text="BLOCKED"/>
    <x:cfRule type="containsText" dxfId="3" priority="4" operator="containsText" text="OPEN"/>
    <x:cfRule type="containsText" dxfId="4" priority="5" operator="containsText" text="UNTESTED"/>
    <x:cfRule type="containsText" dxfId="5" priority="6" operator="containsText" text="DECLARED"/>
    <x:cfRule type="containsText" dxfId="6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a9f2766d9a734a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10" hidden="0" customWidth="1"/>
    <x:col min="4" max="4" width="39" hidden="0" customWidth="1"/>
    <x:col min="5" max="5" width="12" hidden="0" customWidth="1"/>
    <x:col min="6" max="6" width="20" hidden="0" customWidth="1"/>
    <x:col min="7" max="7" width="18" hidden="0" customWidth="1"/>
    <x:col min="8" max="8" width="24" hidden="0" customWidth="1"/>
    <x:col min="9" max="9" width="20" hidden="0" customWidth="1"/>
    <x:col min="10" max="10" width="21" hidden="0" customWidth="1"/>
    <x:col min="11" max="11" width="23" hidden="0" customWidth="1"/>
    <x:col min="12" max="12" width="18" hidden="0" customWidth="1"/>
    <x:col min="13" max="13" width="20" hidden="0" customWidth="1"/>
    <x:col min="14" max="14" width="23" hidden="0" customWidth="1"/>
    <x:col min="15" max="15" width="22" hidden="0" customWidth="1"/>
    <x:col min="16" max="16" width="24" hidden="0" customWidth="1"/>
    <x:col min="17" max="17" width="17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1" hidden="0" customWidth="1"/>
    <x:col min="23" max="23" width="24" hidden="0" customWidth="1"/>
    <x:col min="24" max="24" width="24" hidden="0" customWidth="1"/>
    <x:col min="25" max="25" width="26" hidden="0" customWidth="1"/>
    <x:col min="26" max="26" width="26" hidden="0" customWidth="1"/>
    <x:col min="27" max="27" width="21" hidden="0" customWidth="1"/>
    <x:col min="28" max="28" width="17" hidden="0" customWidth="1"/>
    <x:col min="29" max="29" width="18" hidden="0" customWidth="1"/>
    <x:col min="30" max="30" width="22" hidden="0" customWidth="1"/>
    <x:col min="31" max="31" width="18" hidden="0" customWidth="1"/>
    <x:col min="32" max="32" width="22" hidden="0" customWidth="1"/>
    <x:col min="33" max="33" width="18" hidden="0" customWidth="1"/>
    <x:col min="34" max="34" width="21" hidden="0" customWidth="1"/>
    <x:col min="35" max="35" width="18" hidden="0" customWidth="1"/>
    <x:col min="36" max="36" width="18" hidden="0" customWidth="1"/>
  </x:cols>
  <x:sheetData>
    <x:row r="2">
      <x:c r="C2" s="2" t="str">
        <x:v>Federated receiver architectures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</x:row>
    <x:row r="3">
      <x:c r="C3" s="3" t="str">
        <x:v>Each rival starts from the Pass 65 A4 route-separated supply system. Added sites are credited only through named independent domains and accessible catchments.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</x:row>
    <x:row r="5">
      <x:c r="C5" s="9" t="str">
        <x:v>ID</x:v>
      </x:c>
      <x:c r="D5" s="9" t="str">
        <x:v>Architecture</x:v>
      </x:c>
      <x:c r="E5" s="9" t="str">
        <x:v>Islands</x:v>
      </x:c>
      <x:c r="F5" s="9" t="str">
        <x:v>Capacity per island</x:v>
      </x:c>
      <x:c r="G5" s="9" t="str">
        <x:v>Installed capacity</x:v>
      </x:c>
      <x:c r="H5" s="9" t="str">
        <x:v>Network-isolated zones</x:v>
      </x:c>
      <x:c r="I5" s="9" t="str">
        <x:v>Direct branch paths</x:v>
      </x:c>
      <x:c r="J5" s="9" t="str">
        <x:v>Black-start domains</x:v>
      </x:c>
      <x:c r="K5" s="9" t="str">
        <x:v>Quality-release domains</x:v>
      </x:c>
      <x:c r="L5" s="9" t="str">
        <x:v>Storage sectors</x:v>
      </x:c>
      <x:c r="M5" s="9" t="str">
        <x:v>Gross storage m³</x:v>
      </x:c>
      <x:c r="N5" s="9" t="str">
        <x:v>Redirectable lost catchment</x:v>
      </x:c>
      <x:c r="O5" s="9" t="str">
        <x:v>Independent alternate source</x:v>
      </x:c>
      <x:c r="P5" s="9" t="str">
        <x:v>Minimum island separation km</x:v>
      </x:c>
      <x:c r="Q5" s="9" t="str">
        <x:v>Branch route-km</x:v>
      </x:c>
      <x:c r="R5" s="9" t="str">
        <x:v>Equipment $B/set</x:v>
      </x:c>
      <x:c r="S5" s="9" t="str">
        <x:v>Receiver $B/node</x:v>
      </x:c>
      <x:c r="T5" s="9" t="str">
        <x:v>Prepared area ha</x:v>
      </x:c>
      <x:c r="U5" s="9" t="str">
        <x:v>Usable storage m³</x:v>
      </x:c>
      <x:c r="V5" s="9" t="str">
        <x:v>Storage per island m³</x:v>
      </x:c>
      <x:c r="W5" s="9" t="str">
        <x:v>Capacity after one island loss</x:v>
      </x:c>
      <x:c r="X5" s="9" t="str">
        <x:v>Capacity after two island losses</x:v>
      </x:c>
      <x:c r="Y5" s="9" t="str">
        <x:v>Accessible catchment after one loss</x:v>
      </x:c>
      <x:c r="Z5" s="9" t="str">
        <x:v>Accessible catchment after two losses</x:v>
      </x:c>
      <x:c r="AA5" s="9" t="str">
        <x:v>Extra storage dry t</x:v>
      </x:c>
      <x:c r="AB5" s="9" t="str">
        <x:v>Branch dry t</x:v>
      </x:c>
      <x:c r="AC5" s="9" t="str">
        <x:v>Autonomy dry t</x:v>
      </x:c>
      <x:c r="AD5" s="9" t="str">
        <x:v>Alternate-source dry t</x:v>
      </x:c>
      <x:c r="AE5" s="9" t="str">
        <x:v>System dry t</x:v>
      </x:c>
      <x:c r="AF5" s="9" t="str">
        <x:v>System chargeable t</x:v>
      </x:c>
      <x:c r="AG5" s="9" t="str">
        <x:v>Surface positions</x:v>
      </x:c>
      <x:c r="AH5" s="9" t="str">
        <x:v>Revised program $B</x:v>
      </x:c>
      <x:c r="AI5" s="9" t="str">
        <x:v>Evidence</x:v>
      </x:c>
      <x:c r="AJ5" s="9" t="str">
        <x:v>Rendering</x:v>
      </x:c>
    </x:row>
    <x:row r="6" ht="56" customHeight="1">
      <x:c r="C6" s="11" t="str">
        <x:v>R1</x:v>
      </x:c>
      <x:c r="D6" s="17" t="str">
        <x:v>Central receiver</x:v>
      </x:c>
      <x:c r="E6" s="13" t="n">
        <x:v>1</x:v>
      </x:c>
      <x:c r="F6" s="16" t="n">
        <x:v>1</x:v>
      </x:c>
      <x:c r="G6" s="18" t="n">
        <x:f>E6*F6</x:f>
        <x:v>1</x:v>
      </x:c>
      <x:c r="H6" s="13" t="n">
        <x:v>0</x:v>
      </x:c>
      <x:c r="I6" s="13" t="n">
        <x:v>0</x:v>
      </x:c>
      <x:c r="J6" s="13" t="n">
        <x:v>0</x:v>
      </x:c>
      <x:c r="K6" s="13" t="n">
        <x:v>0</x:v>
      </x:c>
      <x:c r="L6" s="13" t="n">
        <x:v>4</x:v>
      </x:c>
      <x:c r="M6" s="13" t="n">
        <x:v>10000</x:v>
      </x:c>
      <x:c r="N6" s="16" t="n">
        <x:v>0</x:v>
      </x:c>
      <x:c r="O6" s="16" t="n">
        <x:v>0</x:v>
      </x:c>
      <x:c r="P6" s="13" t="n">
        <x:v>0</x:v>
      </x:c>
      <x:c r="Q6" s="13" t="n">
        <x:v>1</x:v>
      </x:c>
      <x:c r="R6" s="13" t="n">
        <x:v>1.65</x:v>
      </x:c>
      <x:c r="S6" s="13" t="n">
        <x:v>1.1</x:v>
      </x:c>
      <x:c r="T6" s="13" t="n">
        <x:v>18</x:v>
      </x:c>
      <x:c r="U6" s="11" t="n">
        <x:f>M6*'01 Controls'!$D$10</x:f>
        <x:v>8500</x:v>
      </x:c>
      <x:c r="V6" s="11" t="n">
        <x:f>IF(AND(ISNUMBER(E6),E6&gt;0),U6/E6,"n.a.")</x:f>
        <x:v>8500</x:v>
      </x:c>
      <x:c r="W6" s="18" t="n">
        <x:f>IF(AND(ISNUMBER(E6),E6&gt;0),MAX((E6-1)*F6,0),"n.a.")</x:f>
        <x:v>0</x:v>
      </x:c>
      <x:c r="X6" s="18" t="n">
        <x:f>IF(AND(ISNUMBER(E6),E6&gt;0),MAX((E6-2)*F6,0),"n.a.")</x:f>
        <x:v>0</x:v>
      </x:c>
      <x:c r="Y6" s="18" t="n">
        <x:f>IF(AND(ISNUMBER(E6),E6&gt;0),MIN(MAX(E6-1,0)/E6+N6*MIN(1/E6,1),1),"n.a.")</x:f>
        <x:v>0</x:v>
      </x:c>
      <x:c r="Z6" s="18" t="n">
        <x:f>IF(AND(ISNUMBER(E6),E6&gt;0),MIN(MAX(E6-2,0)/E6+N6*MIN(2/E6,1),1),"n.a.")</x:f>
        <x:v>0</x:v>
      </x:c>
      <x:c r="AA6" s="11" t="n">
        <x:f>MAX(M6-'01 Controls'!$D$11,0)/1000*'01 Controls'!$D$18</x:f>
        <x:v>0</x:v>
      </x:c>
      <x:c r="AB6" s="11" t="n">
        <x:f>MAX(E6-1,0)*'01 Controls'!$D$14</x:f>
        <x:v>0</x:v>
      </x:c>
      <x:c r="AC6" s="11" t="n">
        <x:f>J6*'01 Controls'!$D$16</x:f>
        <x:v>0</x:v>
      </x:c>
      <x:c r="AD6" s="11" t="n">
        <x:f>IF(O6&gt;0,'01 Controls'!$D$21,0)</x:f>
        <x:v>0</x:v>
      </x:c>
      <x:c r="AE6" s="11" t="n">
        <x:f>'01 Controls'!$D$12+AA6+AB6+AC6+AD6</x:f>
        <x:v>4324.242428308064</x:v>
      </x:c>
      <x:c r="AF6" s="11" t="n">
        <x:f>'01 Controls'!$D$13+MAX(AA6,MAX(M6-'01 Controls'!$D$11,0)/1000*'01 Controls'!$D$19*'01 Controls'!$D$20)+MAX(E6-1,0)*MAX('01 Controls'!$D$14,'01 Controls'!$D$15*'01 Controls'!$D$20)+J6*MAX('01 Controls'!$D$16,'01 Controls'!$D$17*'01 Controls'!$D$20)+IF(O6&gt;0,'01 Controls'!$D$22,0)</x:f>
        <x:v>4495.772110224365</x:v>
      </x:c>
      <x:c r="AG6" s="11" t="n">
        <x:f>ROUNDUP(AF6/'01 Controls'!$D$32,0)</x:f>
        <x:v>113</x:v>
      </x:c>
      <x:c r="AH6" s="11" t="n">
        <x:f>'01 Controls'!$D$23-'01 Controls'!$D$24*'01 Controls'!$D$26-'01 Controls'!$D$25*'01 Controls'!$D$27+'01 Controls'!$D$24*R6+'01 Controls'!$D$25*S6</x:f>
        <x:v>127.2</x:v>
      </x:c>
      <x:c r="AI6" s="11" t="str">
        <x:v>UNTESTED</x:v>
      </x:c>
      <x:c r="AJ6" s="11" t="str">
        <x:v>BLOCKED</x:v>
      </x:c>
    </x:row>
    <x:row r="7" ht="56" customHeight="1">
      <x:c r="C7" s="11" t="str">
        <x:v>R2</x:v>
      </x:c>
      <x:c r="D7" s="17" t="str">
        <x:v>Physically paired service islands</x:v>
      </x:c>
      <x:c r="E7" s="13" t="n">
        <x:v>2</x:v>
      </x:c>
      <x:c r="F7" s="16" t="n">
        <x:v>0.5</x:v>
      </x:c>
      <x:c r="G7" s="18" t="n">
        <x:f>E7*F7</x:f>
        <x:v>1</x:v>
      </x:c>
      <x:c r="H7" s="13" t="n">
        <x:v>2</x:v>
      </x:c>
      <x:c r="I7" s="13" t="n">
        <x:v>0</x:v>
      </x:c>
      <x:c r="J7" s="13" t="n">
        <x:v>0</x:v>
      </x:c>
      <x:c r="K7" s="13" t="n">
        <x:v>0</x:v>
      </x:c>
      <x:c r="L7" s="13" t="n">
        <x:v>4</x:v>
      </x:c>
      <x:c r="M7" s="13" t="n">
        <x:v>10000</x:v>
      </x:c>
      <x:c r="N7" s="16" t="n">
        <x:v>0.25</x:v>
      </x:c>
      <x:c r="O7" s="16" t="n">
        <x:v>0</x:v>
      </x:c>
      <x:c r="P7" s="13" t="n">
        <x:v>2</x:v>
      </x:c>
      <x:c r="Q7" s="13" t="n">
        <x:v>4</x:v>
      </x:c>
      <x:c r="R7" s="13" t="n">
        <x:v>1.75</x:v>
      </x:c>
      <x:c r="S7" s="13" t="n">
        <x:v>1.35</x:v>
      </x:c>
      <x:c r="T7" s="13" t="n">
        <x:v>20</x:v>
      </x:c>
      <x:c r="U7" s="11" t="n">
        <x:f>M7*'01 Controls'!$D$10</x:f>
        <x:v>8500</x:v>
      </x:c>
      <x:c r="V7" s="11" t="n">
        <x:f>IF(AND(ISNUMBER(E7),E7&gt;0),U7/E7,"n.a.")</x:f>
        <x:v>4250</x:v>
      </x:c>
      <x:c r="W7" s="18" t="n">
        <x:f>IF(AND(ISNUMBER(E7),E7&gt;0),MAX((E7-1)*F7,0),"n.a.")</x:f>
        <x:v>0.5</x:v>
      </x:c>
      <x:c r="X7" s="18" t="n">
        <x:f>IF(AND(ISNUMBER(E7),E7&gt;0),MAX((E7-2)*F7,0),"n.a.")</x:f>
        <x:v>0</x:v>
      </x:c>
      <x:c r="Y7" s="18" t="n">
        <x:f>IF(AND(ISNUMBER(E7),E7&gt;0),MIN(MAX(E7-1,0)/E7+N7*MIN(1/E7,1),1),"n.a.")</x:f>
        <x:v>0.625</x:v>
      </x:c>
      <x:c r="Z7" s="18" t="n">
        <x:f>IF(AND(ISNUMBER(E7),E7&gt;0),MIN(MAX(E7-2,0)/E7+N7*MIN(2/E7,1),1),"n.a.")</x:f>
        <x:v>0.25</x:v>
      </x:c>
      <x:c r="AA7" s="11" t="n">
        <x:f>MAX(M7-'01 Controls'!$D$11,0)/1000*'01 Controls'!$D$18</x:f>
        <x:v>0</x:v>
      </x:c>
      <x:c r="AB7" s="11" t="n">
        <x:f>MAX(E7-1,0)*'01 Controls'!$D$14</x:f>
        <x:v>45</x:v>
      </x:c>
      <x:c r="AC7" s="11" t="n">
        <x:f>J7*'01 Controls'!$D$16</x:f>
        <x:v>0</x:v>
      </x:c>
      <x:c r="AD7" s="11" t="n">
        <x:f>IF(O7&gt;0,'01 Controls'!$D$21,0)</x:f>
        <x:v>0</x:v>
      </x:c>
      <x:c r="AE7" s="11" t="n">
        <x:f>'01 Controls'!$D$12+AA7+AB7+AC7+AD7</x:f>
        <x:v>4369.242428308064</x:v>
      </x:c>
      <x:c r="AF7" s="11" t="n">
        <x:f>'01 Controls'!$D$13+MAX(AA7,MAX(M7-'01 Controls'!$D$11,0)/1000*'01 Controls'!$D$19*'01 Controls'!$D$20)+MAX(E7-1,0)*MAX('01 Controls'!$D$14,'01 Controls'!$D$15*'01 Controls'!$D$20)+J7*MAX('01 Controls'!$D$16,'01 Controls'!$D$17*'01 Controls'!$D$20)+IF(O7&gt;0,'01 Controls'!$D$22,0)</x:f>
        <x:v>4540.772110224365</x:v>
      </x:c>
      <x:c r="AG7" s="11" t="n">
        <x:f>ROUNDUP(AF7/'01 Controls'!$D$32,0)</x:f>
        <x:v>114</x:v>
      </x:c>
      <x:c r="AH7" s="11" t="n">
        <x:f>'01 Controls'!$D$23-'01 Controls'!$D$24*'01 Controls'!$D$26-'01 Controls'!$D$25*'01 Controls'!$D$27+'01 Controls'!$D$24*R7+'01 Controls'!$D$25*S7</x:f>
        <x:v>132.60000000000002</x:v>
      </x:c>
      <x:c r="AI7" s="11" t="str">
        <x:v>UNTESTED</x:v>
      </x:c>
      <x:c r="AJ7" s="11" t="str">
        <x:v>BLOCKED</x:v>
      </x:c>
    </x:row>
    <x:row r="8" ht="56" customHeight="1">
      <x:c r="C8" s="11" t="str">
        <x:v>R3</x:v>
      </x:c>
      <x:c r="D8" s="17" t="str">
        <x:v>Independent N+1 receiver triad</x:v>
      </x:c>
      <x:c r="E8" s="13" t="n">
        <x:v>3</x:v>
      </x:c>
      <x:c r="F8" s="16" t="n">
        <x:v>0.5</x:v>
      </x:c>
      <x:c r="G8" s="18" t="n">
        <x:f>E8*F8</x:f>
        <x:v>1.5</x:v>
      </x:c>
      <x:c r="H8" s="13" t="n">
        <x:v>3</x:v>
      </x:c>
      <x:c r="I8" s="13" t="n">
        <x:v>3</x:v>
      </x:c>
      <x:c r="J8" s="13" t="n">
        <x:v>3</x:v>
      </x:c>
      <x:c r="K8" s="13" t="n">
        <x:v>3</x:v>
      </x:c>
      <x:c r="L8" s="13" t="n">
        <x:v>6</x:v>
      </x:c>
      <x:c r="M8" s="13" t="n">
        <x:v>15000</x:v>
      </x:c>
      <x:c r="N8" s="16" t="n">
        <x:v>0.5</x:v>
      </x:c>
      <x:c r="O8" s="16" t="n">
        <x:v>0</x:v>
      </x:c>
      <x:c r="P8" s="13" t="n">
        <x:v>3</x:v>
      </x:c>
      <x:c r="Q8" s="13" t="n">
        <x:v>9</x:v>
      </x:c>
      <x:c r="R8" s="13" t="n">
        <x:v>1.9</x:v>
      </x:c>
      <x:c r="S8" s="13" t="n">
        <x:v>1.8</x:v>
      </x:c>
      <x:c r="T8" s="13" t="n">
        <x:v>24</x:v>
      </x:c>
      <x:c r="U8" s="11" t="n">
        <x:f>M8*'01 Controls'!$D$10</x:f>
        <x:v>12750</x:v>
      </x:c>
      <x:c r="V8" s="11" t="n">
        <x:f>IF(AND(ISNUMBER(E8),E8&gt;0),U8/E8,"n.a.")</x:f>
        <x:v>4250</x:v>
      </x:c>
      <x:c r="W8" s="18" t="n">
        <x:f>IF(AND(ISNUMBER(E8),E8&gt;0),MAX((E8-1)*F8,0),"n.a.")</x:f>
        <x:v>1</x:v>
      </x:c>
      <x:c r="X8" s="18" t="n">
        <x:f>IF(AND(ISNUMBER(E8),E8&gt;0),MAX((E8-2)*F8,0),"n.a.")</x:f>
        <x:v>0.5</x:v>
      </x:c>
      <x:c r="Y8" s="18" t="n">
        <x:f>IF(AND(ISNUMBER(E8),E8&gt;0),MIN(MAX(E8-1,0)/E8+N8*MIN(1/E8,1),1),"n.a.")</x:f>
        <x:v>0.8333333333333333</x:v>
      </x:c>
      <x:c r="Z8" s="18" t="n">
        <x:f>IF(AND(ISNUMBER(E8),E8&gt;0),MIN(MAX(E8-2,0)/E8+N8*MIN(2/E8,1),1),"n.a.")</x:f>
        <x:v>0.6666666666666666</x:v>
      </x:c>
      <x:c r="AA8" s="11" t="n">
        <x:f>MAX(M8-'01 Controls'!$D$11,0)/1000*'01 Controls'!$D$18</x:f>
        <x:v>180</x:v>
      </x:c>
      <x:c r="AB8" s="11" t="n">
        <x:f>MAX(E8-1,0)*'01 Controls'!$D$14</x:f>
        <x:v>90</x:v>
      </x:c>
      <x:c r="AC8" s="11" t="n">
        <x:f>J8*'01 Controls'!$D$16</x:f>
        <x:v>75</x:v>
      </x:c>
      <x:c r="AD8" s="11" t="n">
        <x:f>IF(O8&gt;0,'01 Controls'!$D$21,0)</x:f>
        <x:v>0</x:v>
      </x:c>
      <x:c r="AE8" s="11" t="n">
        <x:f>'01 Controls'!$D$12+AA8+AB8+AC8+AD8</x:f>
        <x:v>4669.242428308064</x:v>
      </x:c>
      <x:c r="AF8" s="11" t="n">
        <x:f>'01 Controls'!$D$13+MAX(AA8,MAX(M8-'01 Controls'!$D$11,0)/1000*'01 Controls'!$D$19*'01 Controls'!$D$20)+MAX(E8-1,0)*MAX('01 Controls'!$D$14,'01 Controls'!$D$15*'01 Controls'!$D$20)+J8*MAX('01 Controls'!$D$16,'01 Controls'!$D$17*'01 Controls'!$D$20)+IF(O8&gt;0,'01 Controls'!$D$22,0)</x:f>
        <x:v>4860.772110224365</x:v>
      </x:c>
      <x:c r="AG8" s="11" t="n">
        <x:f>ROUNDUP(AF8/'01 Controls'!$D$32,0)</x:f>
        <x:v>122</x:v>
      </x:c>
      <x:c r="AH8" s="11" t="n">
        <x:f>'01 Controls'!$D$23-'01 Controls'!$D$24*'01 Controls'!$D$26-'01 Controls'!$D$25*'01 Controls'!$D$27+'01 Controls'!$D$24*R8+'01 Controls'!$D$25*S8</x:f>
        <x:v>141.6</x:v>
      </x:c>
      <x:c r="AI8" s="11" t="str">
        <x:v>UNTESTED</x:v>
      </x:c>
      <x:c r="AJ8" s="11" t="str">
        <x:v>BLOCKED</x:v>
      </x:c>
    </x:row>
    <x:row r="9" ht="56" customHeight="1">
      <x:c r="C9" s="11" t="str">
        <x:v>R4</x:v>
      </x:c>
      <x:c r="D9" s="17" t="str">
        <x:v>Dual-provenance four-island mesh</x:v>
      </x:c>
      <x:c r="E9" s="13" t="n">
        <x:v>4</x:v>
      </x:c>
      <x:c r="F9" s="16" t="n">
        <x:v>0.3333333333333333</x:v>
      </x:c>
      <x:c r="G9" s="18" t="n">
        <x:f>E9*F9</x:f>
        <x:v>1.3333333333333333</x:v>
      </x:c>
      <x:c r="H9" s="13" t="n">
        <x:v>4</x:v>
      </x:c>
      <x:c r="I9" s="13" t="n">
        <x:v>4</x:v>
      </x:c>
      <x:c r="J9" s="13" t="n">
        <x:v>4</x:v>
      </x:c>
      <x:c r="K9" s="13" t="n">
        <x:v>4</x:v>
      </x:c>
      <x:c r="L9" s="13" t="n">
        <x:v>8</x:v>
      </x:c>
      <x:c r="M9" s="13" t="n">
        <x:v>13333.333333333334</x:v>
      </x:c>
      <x:c r="N9" s="16" t="n">
        <x:v>0.5</x:v>
      </x:c>
      <x:c r="O9" s="16" t="n">
        <x:v>0.5</x:v>
      </x:c>
      <x:c r="P9" s="13" t="n">
        <x:v>5</x:v>
      </x:c>
      <x:c r="Q9" s="13" t="n">
        <x:v>16</x:v>
      </x:c>
      <x:c r="R9" s="13" t="n">
        <x:v>2.3</x:v>
      </x:c>
      <x:c r="S9" s="13" t="n">
        <x:v>2.2</x:v>
      </x:c>
      <x:c r="T9" s="13" t="n">
        <x:v>34</x:v>
      </x:c>
      <x:c r="U9" s="11" t="n">
        <x:f>M9*'01 Controls'!$D$10</x:f>
        <x:v>11333.333333333334</x:v>
      </x:c>
      <x:c r="V9" s="11" t="n">
        <x:f>IF(AND(ISNUMBER(E9),E9&gt;0),U9/E9,"n.a.")</x:f>
        <x:v>2833.3333333333335</x:v>
      </x:c>
      <x:c r="W9" s="18" t="n">
        <x:f>IF(AND(ISNUMBER(E9),E9&gt;0),MAX((E9-1)*F9,0),"n.a.")</x:f>
        <x:v>1</x:v>
      </x:c>
      <x:c r="X9" s="18" t="n">
        <x:f>IF(AND(ISNUMBER(E9),E9&gt;0),MAX((E9-2)*F9,0),"n.a.")</x:f>
        <x:v>0.6666666666666666</x:v>
      </x:c>
      <x:c r="Y9" s="18" t="n">
        <x:f>IF(AND(ISNUMBER(E9),E9&gt;0),MIN(MAX(E9-1,0)/E9+N9*MIN(1/E9,1),1),"n.a.")</x:f>
        <x:v>0.875</x:v>
      </x:c>
      <x:c r="Z9" s="18" t="n">
        <x:f>IF(AND(ISNUMBER(E9),E9&gt;0),MIN(MAX(E9-2,0)/E9+N9*MIN(2/E9,1),1),"n.a.")</x:f>
        <x:v>0.75</x:v>
      </x:c>
      <x:c r="AA9" s="11" t="n">
        <x:f>MAX(M9-'01 Controls'!$D$11,0)/1000*'01 Controls'!$D$18</x:f>
        <x:v>120.00000000000003</x:v>
      </x:c>
      <x:c r="AB9" s="11" t="n">
        <x:f>MAX(E9-1,0)*'01 Controls'!$D$14</x:f>
        <x:v>135</x:v>
      </x:c>
      <x:c r="AC9" s="11" t="n">
        <x:f>J9*'01 Controls'!$D$16</x:f>
        <x:v>100</x:v>
      </x:c>
      <x:c r="AD9" s="11" t="n">
        <x:f>IF(O9&gt;0,'01 Controls'!$D$21,0)</x:f>
        <x:v>900</x:v>
      </x:c>
      <x:c r="AE9" s="11" t="n">
        <x:f>'01 Controls'!$D$12+AA9+AB9+AC9+AD9</x:f>
        <x:v>5579.242428308064</x:v>
      </x:c>
      <x:c r="AF9" s="11" t="n">
        <x:f>'01 Controls'!$D$13+MAX(AA9,MAX(M9-'01 Controls'!$D$11,0)/1000*'01 Controls'!$D$19*'01 Controls'!$D$20)+MAX(E9-1,0)*MAX('01 Controls'!$D$14,'01 Controls'!$D$15*'01 Controls'!$D$20)+J9*MAX('01 Controls'!$D$16,'01 Controls'!$D$17*'01 Controls'!$D$20)+IF(O9&gt;0,'01 Controls'!$D$22,0)</x:f>
        <x:v>5914.105443557698</x:v>
      </x:c>
      <x:c r="AG9" s="11" t="n">
        <x:f>ROUNDUP(AF9/'01 Controls'!$D$32,0)</x:f>
        <x:v>148</x:v>
      </x:c>
      <x:c r="AH9" s="11" t="n">
        <x:f>'01 Controls'!$D$23-'01 Controls'!$D$24*'01 Controls'!$D$26-'01 Controls'!$D$25*'01 Controls'!$D$27+'01 Controls'!$D$24*R9+'01 Controls'!$D$25*S9</x:f>
        <x:v>156</x:v>
      </x:c>
      <x:c r="AI9" s="11" t="str">
        <x:v>UNTESTED</x:v>
      </x:c>
      <x:c r="AJ9" s="11" t="str">
        <x:v>BLOCKED</x:v>
      </x:c>
    </x:row>
  </x:sheetData>
  <x:conditionalFormatting sqref="AI6:AJ9">
    <x:cfRule type="containsText" dxfId="7" priority="1" operator="containsText" text="FAIL"/>
    <x:cfRule type="containsText" dxfId="8" priority="2" operator="containsText" text="DENIED"/>
    <x:cfRule type="containsText" dxfId="9" priority="3" operator="containsText" text="BLOCKED"/>
    <x:cfRule type="containsText" dxfId="10" priority="4" operator="containsText" text="OPEN"/>
    <x:cfRule type="containsText" dxfId="11" priority="5" operator="containsText" text="UNTESTED"/>
    <x:cfRule type="containsText" dxfId="12" priority="6" operator="containsText" text="DECLARED"/>
    <x:cfRule type="containsText" dxfId="13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f94d1a2d7865431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36" hidden="0" customWidth="1"/>
    <x:col min="4" max="4" width="13" hidden="0" customWidth="1"/>
    <x:col min="5" max="5" width="20" hidden="0" customWidth="1"/>
    <x:col min="6" max="6" width="25" hidden="0" customWidth="1"/>
    <x:col min="7" max="7" width="21" hidden="0" customWidth="1"/>
    <x:col min="8" max="8" width="26" hidden="0" customWidth="1"/>
    <x:col min="9" max="9" width="24" hidden="0" customWidth="1"/>
    <x:col min="10" max="10" width="30" hidden="0" customWidth="1"/>
    <x:col min="11" max="11" width="24" hidden="0" customWidth="1"/>
    <x:col min="12" max="12" width="30" hidden="0" customWidth="1"/>
    <x:col min="13" max="13" width="26" hidden="0" customWidth="1"/>
    <x:col min="14" max="14" width="18" hidden="0" customWidth="1"/>
  </x:cols>
  <x:sheetData>
    <x:row r="2">
      <x:c r="C2" s="2" t="str">
        <x:v>Island capacity and public access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C3" s="3" t="str">
        <x:v>Installed hydraulic capacity and physically accessible catchment are separate ceilings. Redirectability applies only to the population whose assigned island is unavailable.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C5" s="9" t="str">
        <x:v>ID</x:v>
      </x:c>
      <x:c r="D5" s="9" t="str">
        <x:v>Islands</x:v>
      </x:c>
      <x:c r="E5" s="9" t="str">
        <x:v>Installed capacity</x:v>
      </x:c>
      <x:c r="F5" s="9" t="str">
        <x:v>Per-island service people</x:v>
      </x:c>
      <x:c r="G5" s="9" t="str">
        <x:v>Usable storage m³</x:v>
      </x:c>
      <x:c r="H5" s="9" t="str">
        <x:v>Usable storage per island m³</x:v>
      </x:c>
      <x:c r="I5" s="9" t="str">
        <x:v>Capacity after one loss</x:v>
      </x:c>
      <x:c r="J5" s="9" t="str">
        <x:v>Accessible catchment after one loss</x:v>
      </x:c>
      <x:c r="K5" s="9" t="str">
        <x:v>Capacity after two losses</x:v>
      </x:c>
      <x:c r="L5" s="9" t="str">
        <x:v>Accessible catchment after two losses</x:v>
      </x:c>
      <x:c r="M5" s="9" t="str">
        <x:v>Independent operating domains</x:v>
      </x:c>
      <x:c r="N5" s="9" t="str">
        <x:v>State</x:v>
      </x:c>
    </x:row>
    <x:row r="6" ht="44" customHeight="1">
      <x:c r="C6" s="11" t="str">
        <x:f>'02 Architectures'!C6</x:f>
        <x:v>R1</x:v>
      </x:c>
      <x:c r="D6" s="11" t="n">
        <x:f>'02 Architectures'!E6</x:f>
        <x:v>1</x:v>
      </x:c>
      <x:c r="E6" s="18" t="n">
        <x:f>'02 Architectures'!G6</x:f>
        <x:v>1</x:v>
      </x:c>
      <x:c r="F6" s="19" t="n">
        <x:f>'02 Architectures'!F6*'01 Controls'!$D$7</x:f>
        <x:v>200000</x:v>
      </x:c>
      <x:c r="G6" s="19" t="n">
        <x:f>'02 Architectures'!U6</x:f>
        <x:v>8500</x:v>
      </x:c>
      <x:c r="H6" s="19" t="n">
        <x:f>'02 Architectures'!V6</x:f>
        <x:v>8500</x:v>
      </x:c>
      <x:c r="I6" s="18" t="n">
        <x:f>'02 Architectures'!W6</x:f>
        <x:v>0</x:v>
      </x:c>
      <x:c r="J6" s="18" t="n">
        <x:f>'02 Architectures'!Y6</x:f>
        <x:v>0</x:v>
      </x:c>
      <x:c r="K6" s="18" t="n">
        <x:f>'02 Architectures'!X6</x:f>
        <x:v>0</x:v>
      </x:c>
      <x:c r="L6" s="18" t="n">
        <x:f>'02 Architectures'!Z6</x:f>
        <x:v>0</x:v>
      </x:c>
      <x:c r="M6" s="11" t="n">
        <x:f>MIN('02 Architectures'!H6:K6)</x:f>
        <x:v>0</x:v>
      </x:c>
      <x:c r="N6" s="11" t="str">
        <x:v>DECLARED</x:v>
      </x:c>
    </x:row>
    <x:row r="7" ht="44" customHeight="1">
      <x:c r="C7" s="11" t="str">
        <x:f>'02 Architectures'!C7</x:f>
        <x:v>R2</x:v>
      </x:c>
      <x:c r="D7" s="11" t="n">
        <x:f>'02 Architectures'!E7</x:f>
        <x:v>2</x:v>
      </x:c>
      <x:c r="E7" s="18" t="n">
        <x:f>'02 Architectures'!G7</x:f>
        <x:v>1</x:v>
      </x:c>
      <x:c r="F7" s="19" t="n">
        <x:f>'02 Architectures'!F7*'01 Controls'!$D$7</x:f>
        <x:v>100000</x:v>
      </x:c>
      <x:c r="G7" s="19" t="n">
        <x:f>'02 Architectures'!U7</x:f>
        <x:v>8500</x:v>
      </x:c>
      <x:c r="H7" s="19" t="n">
        <x:f>'02 Architectures'!V7</x:f>
        <x:v>4250</x:v>
      </x:c>
      <x:c r="I7" s="18" t="n">
        <x:f>'02 Architectures'!W7</x:f>
        <x:v>0.5</x:v>
      </x:c>
      <x:c r="J7" s="18" t="n">
        <x:f>'02 Architectures'!Y7</x:f>
        <x:v>0.625</x:v>
      </x:c>
      <x:c r="K7" s="18" t="n">
        <x:f>'02 Architectures'!X7</x:f>
        <x:v>0</x:v>
      </x:c>
      <x:c r="L7" s="18" t="n">
        <x:f>'02 Architectures'!Z7</x:f>
        <x:v>0.25</x:v>
      </x:c>
      <x:c r="M7" s="11" t="n">
        <x:f>MIN('02 Architectures'!H7:K7)</x:f>
        <x:v>0</x:v>
      </x:c>
      <x:c r="N7" s="11" t="str">
        <x:v>DECLARED</x:v>
      </x:c>
    </x:row>
    <x:row r="8" ht="44" customHeight="1">
      <x:c r="C8" s="11" t="str">
        <x:f>'02 Architectures'!C8</x:f>
        <x:v>R3</x:v>
      </x:c>
      <x:c r="D8" s="11" t="n">
        <x:f>'02 Architectures'!E8</x:f>
        <x:v>3</x:v>
      </x:c>
      <x:c r="E8" s="18" t="n">
        <x:f>'02 Architectures'!G8</x:f>
        <x:v>1.5</x:v>
      </x:c>
      <x:c r="F8" s="19" t="n">
        <x:f>'02 Architectures'!F8*'01 Controls'!$D$7</x:f>
        <x:v>100000</x:v>
      </x:c>
      <x:c r="G8" s="19" t="n">
        <x:f>'02 Architectures'!U8</x:f>
        <x:v>12750</x:v>
      </x:c>
      <x:c r="H8" s="19" t="n">
        <x:f>'02 Architectures'!V8</x:f>
        <x:v>4250</x:v>
      </x:c>
      <x:c r="I8" s="18" t="n">
        <x:f>'02 Architectures'!W8</x:f>
        <x:v>1</x:v>
      </x:c>
      <x:c r="J8" s="18" t="n">
        <x:f>'02 Architectures'!Y8</x:f>
        <x:v>0.8333333333333333</x:v>
      </x:c>
      <x:c r="K8" s="18" t="n">
        <x:f>'02 Architectures'!X8</x:f>
        <x:v>0.5</x:v>
      </x:c>
      <x:c r="L8" s="18" t="n">
        <x:f>'02 Architectures'!Z8</x:f>
        <x:v>0.6666666666666666</x:v>
      </x:c>
      <x:c r="M8" s="11" t="n">
        <x:f>MIN('02 Architectures'!H8:K8)</x:f>
        <x:v>3</x:v>
      </x:c>
      <x:c r="N8" s="11" t="str">
        <x:v>DECLARED</x:v>
      </x:c>
    </x:row>
    <x:row r="9" ht="44" customHeight="1">
      <x:c r="C9" s="11" t="str">
        <x:f>'02 Architectures'!C9</x:f>
        <x:v>R4</x:v>
      </x:c>
      <x:c r="D9" s="11" t="n">
        <x:f>'02 Architectures'!E9</x:f>
        <x:v>4</x:v>
      </x:c>
      <x:c r="E9" s="18" t="n">
        <x:f>'02 Architectures'!G9</x:f>
        <x:v>1.3333333333333333</x:v>
      </x:c>
      <x:c r="F9" s="19" t="n">
        <x:f>'02 Architectures'!F9*'01 Controls'!$D$7</x:f>
        <x:v>66666.66666666666</x:v>
      </x:c>
      <x:c r="G9" s="19" t="n">
        <x:f>'02 Architectures'!U9</x:f>
        <x:v>11333.333333333334</x:v>
      </x:c>
      <x:c r="H9" s="19" t="n">
        <x:f>'02 Architectures'!V9</x:f>
        <x:v>2833.3333333333335</x:v>
      </x:c>
      <x:c r="I9" s="18" t="n">
        <x:f>'02 Architectures'!W9</x:f>
        <x:v>1</x:v>
      </x:c>
      <x:c r="J9" s="18" t="n">
        <x:f>'02 Architectures'!Y9</x:f>
        <x:v>0.875</x:v>
      </x:c>
      <x:c r="K9" s="18" t="n">
        <x:f>'02 Architectures'!X9</x:f>
        <x:v>0.6666666666666666</x:v>
      </x:c>
      <x:c r="L9" s="18" t="n">
        <x:f>'02 Architectures'!Z9</x:f>
        <x:v>0.75</x:v>
      </x:c>
      <x:c r="M9" s="11" t="n">
        <x:f>MIN('02 Architectures'!H9:K9)</x:f>
        <x:v>4</x:v>
      </x:c>
      <x:c r="N9" s="11" t="str">
        <x:v>DECLARED</x:v>
      </x:c>
    </x:row>
    <x:row r="14">
      <x:c r="C14" s="9" t="str">
        <x:v>Question</x:v>
      </x:c>
      <x:c r="D14" s="9" t="str">
        <x:v>R1</x:v>
      </x:c>
      <x:c r="E14" s="9" t="str">
        <x:v>R2</x:v>
      </x:c>
      <x:c r="F14" s="9" t="str">
        <x:v>R3</x:v>
      </x:c>
      <x:c r="G14" s="9" t="str">
        <x:v>R4</x:v>
      </x:c>
      <x:c r="H14" s="9" t="str">
        <x:v>Interpretation</x:v>
      </x:c>
    </x:row>
    <x:row r="15" ht="68" customHeight="1">
      <x:c r="C15" s="11" t="str">
        <x:v>Does one island loss preserve the floor?</x:v>
      </x:c>
      <x:c r="D15" s="17" t="str">
        <x:v>No</x:v>
      </x:c>
      <x:c r="E15" s="17" t="str">
        <x:v>Exactly 50% capacity</x:v>
      </x:c>
      <x:c r="F15" s="17" t="str">
        <x:v>100% capacity</x:v>
      </x:c>
      <x:c r="G15" s="17" t="str">
        <x:v>100% capacity</x:v>
      </x:c>
      <x:c r="H15" s="17" t="str">
        <x:v>Installed capacity is necessary but does not prove access or independence</x:v>
      </x:c>
    </x:row>
    <x:row r="16" ht="68" customHeight="1">
      <x:c r="C16" s="11" t="str">
        <x:v>Does two-island loss preserve the floor?</x:v>
      </x:c>
      <x:c r="D16" s="17" t="str">
        <x:v>No</x:v>
      </x:c>
      <x:c r="E16" s="17" t="str">
        <x:v>No</x:v>
      </x:c>
      <x:c r="F16" s="17" t="str">
        <x:v>Exactly 50% capacity</x:v>
      </x:c>
      <x:c r="G16" s="17" t="str">
        <x:v>66.7% capacity</x:v>
      </x:c>
      <x:c r="H16" s="17" t="str">
        <x:v>Triad and quad introduce different N+1 and N+2 margins</x:v>
      </x:c>
    </x:row>
    <x:row r="17" ht="68" customHeight="1">
      <x:c r="C17" s="11" t="str">
        <x:v>Can an affected catchment reach surviving service?</x:v>
      </x:c>
      <x:c r="D17" s="17" t="str">
        <x:v>No alternate</x:v>
      </x:c>
      <x:c r="E17" s="17" t="str">
        <x:v>25% of lost catchment redirectable</x:v>
      </x:c>
      <x:c r="F17" s="17" t="str">
        <x:v>50% redirectable</x:v>
      </x:c>
      <x:c r="G17" s="17" t="str">
        <x:v>50% redirectable</x:v>
      </x:c>
      <x:c r="H17" s="17" t="str">
        <x:v>Access remains a declared operational assumption</x:v>
      </x:c>
    </x:row>
    <x:row r="18" ht="68" customHeight="1">
      <x:c r="C18" s="11" t="str">
        <x:v>What remains common?</x:v>
      </x:c>
      <x:c r="D18" s="17" t="str">
        <x:v>Everything</x:v>
      </x:c>
      <x:c r="E18" s="17" t="str">
        <x:v>Terminal, power, quality and source</x:v>
      </x:c>
      <x:c r="F18" s="17" t="str">
        <x:v>Primary source and civil stop</x:v>
      </x:c>
      <x:c r="G18" s="17" t="str">
        <x:v>National no-issue authority</x:v>
      </x:c>
      <x:c r="H18" s="17" t="str">
        <x:v>Counted islands are not independent in every dimension</x:v>
      </x:c>
    </x:row>
  </x:sheetData>
  <x:conditionalFormatting sqref="N6:N9">
    <x:cfRule type="containsText" dxfId="14" priority="1" operator="containsText" text="FAIL"/>
    <x:cfRule type="containsText" dxfId="15" priority="2" operator="containsText" text="DENIED"/>
    <x:cfRule type="containsText" dxfId="16" priority="3" operator="containsText" text="BLOCKED"/>
    <x:cfRule type="containsText" dxfId="17" priority="4" operator="containsText" text="OPEN"/>
    <x:cfRule type="containsText" dxfId="18" priority="5" operator="containsText" text="UNTESTED"/>
    <x:cfRule type="containsText" dxfId="19" priority="6" operator="containsText" text="DECLARED"/>
    <x:cfRule type="containsText" dxfId="20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1ac67352fbd6400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19" topLeftCell="E20" activePane="bottomRight" state="frozen"/>
    </x:sheetView>
  </x:sheetViews>
  <x:sheetFormatPr defaultRowHeight="15"/>
  <x:cols>
    <x:col min="3" max="3" width="15" hidden="0" customWidth="1"/>
    <x:col min="4" max="4" width="43" hidden="0" customWidth="1"/>
    <x:col min="5" max="5" width="18" hidden="0" customWidth="1"/>
    <x:col min="6" max="6" width="21" hidden="0" customWidth="1"/>
    <x:col min="7" max="7" width="18" hidden="0" customWidth="1"/>
    <x:col min="8" max="8" width="19" hidden="0" customWidth="1"/>
    <x:col min="9" max="9" width="22" hidden="0" customWidth="1"/>
    <x:col min="10" max="10" width="22" hidden="0" customWidth="1"/>
    <x:col min="11" max="11" width="20" hidden="0" customWidth="1"/>
    <x:col min="12" max="12" width="20" hidden="0" customWidth="1"/>
    <x:col min="13" max="13" width="18" hidden="0" customWidth="1"/>
    <x:col min="14" max="14" width="18" hidden="0" customWidth="1"/>
    <x:col min="15" max="15" width="18" hidden="0" customWidth="1"/>
    <x:col min="16" max="16" width="20" hidden="0" customWidth="1"/>
    <x:col min="17" max="17" width="20" hidden="0" customWidth="1"/>
    <x:col min="18" max="18" width="18" hidden="0" customWidth="1"/>
    <x:col min="19" max="19" width="18" hidden="0" customWidth="1"/>
    <x:col min="20" max="20" width="20" hidden="0" customWidth="1"/>
  </x:cols>
  <x:sheetData>
    <x:row r="2">
      <x:c r="C2" s="2" t="str">
        <x:v>Registered receiver-failure worlds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C3" s="3" t="str">
        <x:v>Ten deterministic worlds isolate island count, access, distribution, branch, power, quality, storage, source provenance and civil release. No probabilities are assigned.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5">
      <x:c r="C5" s="9" t="str">
        <x:v>World</x:v>
      </x:c>
      <x:c r="D5" s="9" t="str">
        <x:v>Failure</x:v>
      </x:c>
      <x:c r="E5" s="9" t="str">
        <x:v>Lost islands</x:v>
      </x:c>
      <x:c r="F5" s="9" t="str">
        <x:v>Primary distribution</x:v>
      </x:c>
      <x:c r="G5" s="9" t="str">
        <x:v>Trunk supply share</x:v>
      </x:c>
      <x:c r="H5" s="9" t="str">
        <x:v>Terminal manifold</x:v>
      </x:c>
      <x:c r="I5" s="9" t="str">
        <x:v>Grid and central control</x:v>
      </x:c>
      <x:c r="J5" s="9" t="str">
        <x:v>Central quality network</x:v>
      </x:c>
      <x:c r="K5" s="9" t="str">
        <x:v>Primary treatment</x:v>
      </x:c>
      <x:c r="L5" s="9" t="str">
        <x:v>Primary source quality</x:v>
      </x:c>
      <x:c r="M5" s="9" t="str">
        <x:v>Civil issue authority</x:v>
      </x:c>
      <x:c r="N5" s="9" t="str">
        <x:v>Required floor</x:v>
      </x:c>
    </x:row>
    <x:row r="6" ht="47" customHeight="1">
      <x:c r="C6" s="11" t="str">
        <x:v>W1</x:v>
      </x:c>
      <x:c r="D6" s="17" t="str">
        <x:v>One island contamination hold</x:v>
      </x:c>
      <x:c r="E6" s="17" t="n">
        <x:v>1</x:v>
      </x:c>
      <x:c r="F6" s="20" t="n">
        <x:v>1</x:v>
      </x:c>
      <x:c r="G6" s="20" t="n">
        <x:v>1</x:v>
      </x:c>
      <x:c r="H6" s="20" t="n">
        <x:v>1</x:v>
      </x:c>
      <x:c r="I6" s="20" t="n">
        <x:v>1</x:v>
      </x:c>
      <x:c r="J6" s="20" t="n">
        <x:v>1</x:v>
      </x:c>
      <x:c r="K6" s="20" t="n">
        <x:v>1</x:v>
      </x:c>
      <x:c r="L6" s="20" t="n">
        <x:v>1</x:v>
      </x:c>
      <x:c r="M6" s="20" t="n">
        <x:v>1</x:v>
      </x:c>
      <x:c r="N6" s="20" t="n">
        <x:v>0.5</x:v>
      </x:c>
    </x:row>
    <x:row r="7" ht="47" customHeight="1">
      <x:c r="C7" s="11" t="str">
        <x:v>W2</x:v>
      </x:c>
      <x:c r="D7" s="17" t="str">
        <x:v>Two-island correlated local contamination</x:v>
      </x:c>
      <x:c r="E7" s="17" t="n">
        <x:v>2</x:v>
      </x:c>
      <x:c r="F7" s="20" t="n">
        <x:v>1</x:v>
      </x:c>
      <x:c r="G7" s="20" t="n">
        <x:v>1</x:v>
      </x:c>
      <x:c r="H7" s="20" t="n">
        <x:v>1</x:v>
      </x:c>
      <x:c r="I7" s="20" t="n">
        <x:v>1</x:v>
      </x:c>
      <x:c r="J7" s="20" t="n">
        <x:v>1</x:v>
      </x:c>
      <x:c r="K7" s="20" t="n">
        <x:v>1</x:v>
      </x:c>
      <x:c r="L7" s="20" t="n">
        <x:v>1</x:v>
      </x:c>
      <x:c r="M7" s="20" t="n">
        <x:v>1</x:v>
      </x:c>
      <x:c r="N7" s="20" t="n">
        <x:v>0.5</x:v>
      </x:c>
    </x:row>
    <x:row r="8" ht="47" customHeight="1">
      <x:c r="C8" s="11" t="str">
        <x:v>W3</x:v>
      </x:c>
      <x:c r="D8" s="17" t="str">
        <x:v>Primary public distribution network hold</x:v>
      </x:c>
      <x:c r="E8" s="17" t="n">
        <x:v>0</x:v>
      </x:c>
      <x:c r="F8" s="20" t="n">
        <x:v>0</x:v>
      </x:c>
      <x:c r="G8" s="20" t="n">
        <x:v>1</x:v>
      </x:c>
      <x:c r="H8" s="20" t="n">
        <x:v>1</x:v>
      </x:c>
      <x:c r="I8" s="20" t="n">
        <x:v>1</x:v>
      </x:c>
      <x:c r="J8" s="20" t="n">
        <x:v>1</x:v>
      </x:c>
      <x:c r="K8" s="20" t="n">
        <x:v>1</x:v>
      </x:c>
      <x:c r="L8" s="20" t="n">
        <x:v>1</x:v>
      </x:c>
      <x:c r="M8" s="20" t="n">
        <x:v>1</x:v>
      </x:c>
      <x:c r="N8" s="20" t="n">
        <x:v>0.5</x:v>
      </x:c>
    </x:row>
    <x:row r="9" ht="47" customHeight="1">
      <x:c r="C9" s="11" t="str">
        <x:v>W4</x:v>
      </x:c>
      <x:c r="D9" s="17" t="str">
        <x:v>One strategic trunk corridor lost</x:v>
      </x:c>
      <x:c r="E9" s="17" t="n">
        <x:v>0</x:v>
      </x:c>
      <x:c r="F9" s="20" t="n">
        <x:v>1</x:v>
      </x:c>
      <x:c r="G9" s="20" t="n">
        <x:v>0.5</x:v>
      </x:c>
      <x:c r="H9" s="20" t="n">
        <x:v>1</x:v>
      </x:c>
      <x:c r="I9" s="20" t="n">
        <x:v>1</x:v>
      </x:c>
      <x:c r="J9" s="20" t="n">
        <x:v>1</x:v>
      </x:c>
      <x:c r="K9" s="20" t="n">
        <x:v>1</x:v>
      </x:c>
      <x:c r="L9" s="20" t="n">
        <x:v>1</x:v>
      </x:c>
      <x:c r="M9" s="20" t="n">
        <x:v>1</x:v>
      </x:c>
      <x:c r="N9" s="20" t="n">
        <x:v>0.5</x:v>
      </x:c>
    </x:row>
    <x:row r="10" ht="47" customHeight="1">
      <x:c r="C10" s="11" t="str">
        <x:v>W5</x:v>
      </x:c>
      <x:c r="D10" s="17" t="str">
        <x:v>Common terminal manifold unavailable</x:v>
      </x:c>
      <x:c r="E10" s="17" t="n">
        <x:v>0</x:v>
      </x:c>
      <x:c r="F10" s="20" t="n">
        <x:v>1</x:v>
      </x:c>
      <x:c r="G10" s="20" t="n">
        <x:v>1</x:v>
      </x:c>
      <x:c r="H10" s="20" t="n">
        <x:v>0</x:v>
      </x:c>
      <x:c r="I10" s="20" t="n">
        <x:v>1</x:v>
      </x:c>
      <x:c r="J10" s="20" t="n">
        <x:v>1</x:v>
      </x:c>
      <x:c r="K10" s="20" t="n">
        <x:v>1</x:v>
      </x:c>
      <x:c r="L10" s="20" t="n">
        <x:v>1</x:v>
      </x:c>
      <x:c r="M10" s="20" t="n">
        <x:v>1</x:v>
      </x:c>
      <x:c r="N10" s="20" t="n">
        <x:v>0.5</x:v>
      </x:c>
    </x:row>
    <x:row r="11" ht="47" customHeight="1">
      <x:c r="C11" s="11" t="str">
        <x:v>W6</x:v>
      </x:c>
      <x:c r="D11" s="17" t="str">
        <x:v>External grid and central control unavailable</x:v>
      </x:c>
      <x:c r="E11" s="17" t="n">
        <x:v>0</x:v>
      </x:c>
      <x:c r="F11" s="20" t="n">
        <x:v>1</x:v>
      </x:c>
      <x:c r="G11" s="20" t="n">
        <x:v>1</x:v>
      </x:c>
      <x:c r="H11" s="20" t="n">
        <x:v>1</x:v>
      </x:c>
      <x:c r="I11" s="20" t="n">
        <x:v>0</x:v>
      </x:c>
      <x:c r="J11" s="20" t="n">
        <x:v>1</x:v>
      </x:c>
      <x:c r="K11" s="20" t="n">
        <x:v>1</x:v>
      </x:c>
      <x:c r="L11" s="20" t="n">
        <x:v>1</x:v>
      </x:c>
      <x:c r="M11" s="20" t="n">
        <x:v>1</x:v>
      </x:c>
      <x:c r="N11" s="20" t="n">
        <x:v>0.5</x:v>
      </x:c>
    </x:row>
    <x:row r="12" ht="47" customHeight="1">
      <x:c r="C12" s="11" t="str">
        <x:v>W7</x:v>
      </x:c>
      <x:c r="D12" s="17" t="str">
        <x:v>Central quality data and release network unavailable</x:v>
      </x:c>
      <x:c r="E12" s="17" t="n">
        <x:v>0</x:v>
      </x:c>
      <x:c r="F12" s="20" t="n">
        <x:v>1</x:v>
      </x:c>
      <x:c r="G12" s="20" t="n">
        <x:v>1</x:v>
      </x:c>
      <x:c r="H12" s="20" t="n">
        <x:v>1</x:v>
      </x:c>
      <x:c r="I12" s="20" t="n">
        <x:v>1</x:v>
      </x:c>
      <x:c r="J12" s="20" t="n">
        <x:v>0</x:v>
      </x:c>
      <x:c r="K12" s="20" t="n">
        <x:v>1</x:v>
      </x:c>
      <x:c r="L12" s="20" t="n">
        <x:v>1</x:v>
      </x:c>
      <x:c r="M12" s="20" t="n">
        <x:v>1</x:v>
      </x:c>
      <x:c r="N12" s="20" t="n">
        <x:v>0.5</x:v>
      </x:c>
    </x:row>
    <x:row r="13" ht="47" customHeight="1">
      <x:c r="C13" s="11" t="str">
        <x:v>W8</x:v>
      </x:c>
      <x:c r="D13" s="17" t="str">
        <x:v>One island hold plus primary treatment outage</x:v>
      </x:c>
      <x:c r="E13" s="17" t="n">
        <x:v>1</x:v>
      </x:c>
      <x:c r="F13" s="20" t="n">
        <x:v>1</x:v>
      </x:c>
      <x:c r="G13" s="20" t="n">
        <x:v>1</x:v>
      </x:c>
      <x:c r="H13" s="20" t="n">
        <x:v>1</x:v>
      </x:c>
      <x:c r="I13" s="20" t="n">
        <x:v>1</x:v>
      </x:c>
      <x:c r="J13" s="20" t="n">
        <x:v>1</x:v>
      </x:c>
      <x:c r="K13" s="20" t="n">
        <x:v>0</x:v>
      </x:c>
      <x:c r="L13" s="20" t="n">
        <x:v>1</x:v>
      </x:c>
      <x:c r="M13" s="20" t="n">
        <x:v>1</x:v>
      </x:c>
      <x:c r="N13" s="20" t="n">
        <x:v>0.5</x:v>
      </x:c>
    </x:row>
    <x:row r="14" ht="47" customHeight="1">
      <x:c r="C14" s="11" t="str">
        <x:v>W9</x:v>
      </x:c>
      <x:c r="D14" s="17" t="str">
        <x:v>Primary source placed on quality hold</x:v>
      </x:c>
      <x:c r="E14" s="17" t="n">
        <x:v>0</x:v>
      </x:c>
      <x:c r="F14" s="20" t="n">
        <x:v>1</x:v>
      </x:c>
      <x:c r="G14" s="20" t="n">
        <x:v>1</x:v>
      </x:c>
      <x:c r="H14" s="20" t="n">
        <x:v>1</x:v>
      </x:c>
      <x:c r="I14" s="20" t="n">
        <x:v>1</x:v>
      </x:c>
      <x:c r="J14" s="20" t="n">
        <x:v>1</x:v>
      </x:c>
      <x:c r="K14" s="20" t="n">
        <x:v>1</x:v>
      </x:c>
      <x:c r="L14" s="20" t="n">
        <x:v>0</x:v>
      </x:c>
      <x:c r="M14" s="20" t="n">
        <x:v>1</x:v>
      </x:c>
      <x:c r="N14" s="20" t="n">
        <x:v>0.5</x:v>
      </x:c>
    </x:row>
    <x:row r="15" ht="47" customHeight="1">
      <x:c r="C15" s="11" t="str">
        <x:v>W10</x:v>
      </x:c>
      <x:c r="D15" s="17" t="str">
        <x:v>National unknown-contaminant no-issue order</x:v>
      </x:c>
      <x:c r="E15" s="17" t="n">
        <x:v>0</x:v>
      </x:c>
      <x:c r="F15" s="20" t="n">
        <x:v>1</x:v>
      </x:c>
      <x:c r="G15" s="20" t="n">
        <x:v>1</x:v>
      </x:c>
      <x:c r="H15" s="20" t="n">
        <x:v>1</x:v>
      </x:c>
      <x:c r="I15" s="20" t="n">
        <x:v>1</x:v>
      </x:c>
      <x:c r="J15" s="20" t="n">
        <x:v>1</x:v>
      </x:c>
      <x:c r="K15" s="20" t="n">
        <x:v>1</x:v>
      </x:c>
      <x:c r="L15" s="20" t="n">
        <x:v>0</x:v>
      </x:c>
      <x:c r="M15" s="20" t="n">
        <x:v>0</x:v>
      </x:c>
      <x:c r="N15" s="20" t="n">
        <x:v>0.5</x:v>
      </x:c>
    </x:row>
    <x:row r="19">
      <x:c r="C19" s="9" t="str">
        <x:v>Architecture</x:v>
      </x:c>
      <x:c r="D19" s="9" t="str">
        <x:v>World</x:v>
      </x:c>
      <x:c r="E19" s="9" t="str">
        <x:v>Surviving islands</x:v>
      </x:c>
      <x:c r="F19" s="9" t="str">
        <x:v>Capacity share</x:v>
      </x:c>
      <x:c r="G19" s="9" t="str">
        <x:v>Accessible catchment</x:v>
      </x:c>
      <x:c r="H19" s="9" t="str">
        <x:v>Distribution path</x:v>
      </x:c>
      <x:c r="I19" s="9" t="str">
        <x:v>Branch path</x:v>
      </x:c>
      <x:c r="J19" s="9" t="str">
        <x:v>Power and control</x:v>
      </x:c>
      <x:c r="K19" s="9" t="str">
        <x:v>Quality release</x:v>
      </x:c>
      <x:c r="L19" s="9" t="str">
        <x:v>Storage support</x:v>
      </x:c>
      <x:c r="M19" s="9" t="str">
        <x:v>Source supply</x:v>
      </x:c>
      <x:c r="N19" s="9" t="str">
        <x:v>Water available</x:v>
      </x:c>
      <x:c r="O19" s="9" t="str">
        <x:v>Civil release</x:v>
      </x:c>
      <x:c r="P19" s="9" t="str">
        <x:v>Achieved service</x:v>
      </x:c>
      <x:c r="Q19" s="9" t="str">
        <x:v>Required floor</x:v>
      </x:c>
      <x:c r="R19" s="9" t="str">
        <x:v>Declared screen</x:v>
      </x:c>
      <x:c r="S19" s="9" t="str">
        <x:v>Evidence</x:v>
      </x:c>
      <x:c r="T19" s="9" t="str">
        <x:v>Binding factor</x:v>
      </x:c>
    </x:row>
    <x:row r="20" ht="43" customHeight="1">
      <x:c r="C20" s="11" t="str">
        <x:f>'02 Architectures'!C6</x:f>
        <x:v>R1</x:v>
      </x:c>
      <x:c r="D20" s="17" t="str">
        <x:f>C6</x:f>
        <x:v>W1</x:v>
      </x:c>
      <x:c r="E20" s="17" t="n">
        <x:f>MAX('02 Architectures'!E6-E6,0)</x:f>
        <x:v>0</x:v>
      </x:c>
      <x:c r="F20" s="21" t="n">
        <x:f>E20*'02 Architectures'!F6</x:f>
        <x:v>0</x:v>
      </x:c>
      <x:c r="G20" s="21" t="n">
        <x:f>IF('02 Architectures'!E6&gt;0,MIN(E20/'02 Architectures'!E6+'02 Architectures'!N6*MIN(E6/'02 Architectures'!E6,1),1),"n.a.")</x:f>
        <x:v>0</x:v>
      </x:c>
      <x:c r="H20" s="21" t="n">
        <x:f>IF(F6=1,1,IF('02 Architectures'!H6&gt;='02 Architectures'!E6,1,0))</x:f>
        <x:v>1</x:v>
      </x:c>
      <x:c r="I20" s="21" t="n">
        <x:f>IF(H6=1,1,IF('02 Architectures'!I6&gt;='02 Architectures'!E6,1,0))</x:f>
        <x:v>1</x:v>
      </x:c>
      <x:c r="J20" s="21" t="n">
        <x:f>IF(I6=1,1,IF('02 Architectures'!J6&gt;='02 Architectures'!E6,1,0))</x:f>
        <x:v>1</x:v>
      </x:c>
      <x:c r="K20" s="21" t="n">
        <x:f>IF(J6=1,1,IF('02 Architectures'!K6&gt;='02 Architectures'!E6,1,0))</x:f>
        <x:v>1</x:v>
      </x:c>
      <x:c r="L20" s="21" t="n">
        <x:f>IF(K6=0,MIN('02 Architectures'!U6*E20/'02 Architectures'!E6/('01 Controls'!$D$6*'01 Controls'!$D$9/24),1),0)</x:f>
        <x:v>0</x:v>
      </x:c>
      <x:c r="M20" s="21" t="n">
        <x:f>MAX(L6*G6*K6,'02 Architectures'!O6)</x:f>
        <x:v>1</x:v>
      </x:c>
      <x:c r="N20" s="21" t="n">
        <x:f>IF(K6=0,MAX(L20,M20),M20)</x:f>
        <x:v>1</x:v>
      </x:c>
      <x:c r="O20" s="21" t="n">
        <x:f>M6</x:f>
        <x:v>1</x:v>
      </x:c>
      <x:c r="P20" s="21" t="n">
        <x:f>MIN(F20,G20,H20,I20,J20,K20,N20,O20)</x:f>
        <x:v>0</x:v>
      </x:c>
      <x:c r="Q20" s="21" t="n">
        <x:f>N6</x:f>
        <x:v>0.5</x:v>
      </x:c>
      <x:c r="R20" s="17" t="str">
        <x:f>IF(P20&gt;=Q20,"PASS","FAIL")</x:f>
        <x:v>FAIL</x:v>
      </x:c>
      <x:c r="S20" s="17" t="str">
        <x:v>UNTESTED</x:v>
      </x:c>
      <x:c r="T20" s="17" t="str">
        <x:f>IF(P20&gt;=Q20,"NONE",IF(F20=P20,"ISLAND CAPACITY",IF(G20=P20,"CATCHMENT ACCESS",IF(H20=P20,"DISTRIBUTION",IF(I20=P20,"BRANCH",IF(J20=P20,"POWER",IF(K20=P20,"QUALITY",IF(N20=P20,"WATER",IF(O20=P20,"CIVIL RELEASE","MULTIPLE")))))))))</x:f>
        <x:v>ISLAND CAPACITY</x:v>
      </x:c>
    </x:row>
    <x:row r="21" ht="43" customHeight="1">
      <x:c r="C21" s="11" t="str">
        <x:f>'02 Architectures'!C6</x:f>
        <x:v>R1</x:v>
      </x:c>
      <x:c r="D21" s="17" t="str">
        <x:f>C7</x:f>
        <x:v>W2</x:v>
      </x:c>
      <x:c r="E21" s="17" t="n">
        <x:f>MAX('02 Architectures'!E6-E7,0)</x:f>
        <x:v>0</x:v>
      </x:c>
      <x:c r="F21" s="21" t="n">
        <x:f>E21*'02 Architectures'!F6</x:f>
        <x:v>0</x:v>
      </x:c>
      <x:c r="G21" s="21" t="n">
        <x:f>IF('02 Architectures'!E6&gt;0,MIN(E21/'02 Architectures'!E6+'02 Architectures'!N6*MIN(E7/'02 Architectures'!E6,1),1),"n.a.")</x:f>
        <x:v>0</x:v>
      </x:c>
      <x:c r="H21" s="21" t="n">
        <x:f>IF(F7=1,1,IF('02 Architectures'!H6&gt;='02 Architectures'!E6,1,0))</x:f>
        <x:v>1</x:v>
      </x:c>
      <x:c r="I21" s="21" t="n">
        <x:f>IF(H7=1,1,IF('02 Architectures'!I6&gt;='02 Architectures'!E6,1,0))</x:f>
        <x:v>1</x:v>
      </x:c>
      <x:c r="J21" s="21" t="n">
        <x:f>IF(I7=1,1,IF('02 Architectures'!J6&gt;='02 Architectures'!E6,1,0))</x:f>
        <x:v>1</x:v>
      </x:c>
      <x:c r="K21" s="21" t="n">
        <x:f>IF(J7=1,1,IF('02 Architectures'!K6&gt;='02 Architectures'!E6,1,0))</x:f>
        <x:v>1</x:v>
      </x:c>
      <x:c r="L21" s="21" t="n">
        <x:f>IF(K7=0,MIN('02 Architectures'!U6*E21/'02 Architectures'!E6/('01 Controls'!$D$6*'01 Controls'!$D$9/24),1),0)</x:f>
        <x:v>0</x:v>
      </x:c>
      <x:c r="M21" s="21" t="n">
        <x:f>MAX(L7*G7*K7,'02 Architectures'!O6)</x:f>
        <x:v>1</x:v>
      </x:c>
      <x:c r="N21" s="21" t="n">
        <x:f>IF(K7=0,MAX(L21,M21),M21)</x:f>
        <x:v>1</x:v>
      </x:c>
      <x:c r="O21" s="21" t="n">
        <x:f>M7</x:f>
        <x:v>1</x:v>
      </x:c>
      <x:c r="P21" s="21" t="n">
        <x:f>MIN(F21,G21,H21,I21,J21,K21,N21,O21)</x:f>
        <x:v>0</x:v>
      </x:c>
      <x:c r="Q21" s="21" t="n">
        <x:f>N7</x:f>
        <x:v>0.5</x:v>
      </x:c>
      <x:c r="R21" s="17" t="str">
        <x:f>IF(P21&gt;=Q21,"PASS","FAIL")</x:f>
        <x:v>FAIL</x:v>
      </x:c>
      <x:c r="S21" s="17" t="str">
        <x:v>UNTESTED</x:v>
      </x:c>
      <x:c r="T21" s="17" t="str">
        <x:f>IF(P21&gt;=Q21,"NONE",IF(F21=P21,"ISLAND CAPACITY",IF(G21=P21,"CATCHMENT ACCESS",IF(H21=P21,"DISTRIBUTION",IF(I21=P21,"BRANCH",IF(J21=P21,"POWER",IF(K21=P21,"QUALITY",IF(N21=P21,"WATER",IF(O21=P21,"CIVIL RELEASE","MULTIPLE")))))))))</x:f>
        <x:v>ISLAND CAPACITY</x:v>
      </x:c>
    </x:row>
    <x:row r="22" ht="43" customHeight="1">
      <x:c r="C22" s="11" t="str">
        <x:f>'02 Architectures'!C6</x:f>
        <x:v>R1</x:v>
      </x:c>
      <x:c r="D22" s="17" t="str">
        <x:f>C8</x:f>
        <x:v>W3</x:v>
      </x:c>
      <x:c r="E22" s="17" t="n">
        <x:f>MAX('02 Architectures'!E6-E8,0)</x:f>
        <x:v>1</x:v>
      </x:c>
      <x:c r="F22" s="21" t="n">
        <x:f>E22*'02 Architectures'!F6</x:f>
        <x:v>1</x:v>
      </x:c>
      <x:c r="G22" s="21" t="n">
        <x:f>IF('02 Architectures'!E6&gt;0,MIN(E22/'02 Architectures'!E6+'02 Architectures'!N6*MIN(E8/'02 Architectures'!E6,1),1),"n.a.")</x:f>
        <x:v>1</x:v>
      </x:c>
      <x:c r="H22" s="21" t="n">
        <x:f>IF(F8=1,1,IF('02 Architectures'!H6&gt;='02 Architectures'!E6,1,0))</x:f>
        <x:v>0</x:v>
      </x:c>
      <x:c r="I22" s="21" t="n">
        <x:f>IF(H8=1,1,IF('02 Architectures'!I6&gt;='02 Architectures'!E6,1,0))</x:f>
        <x:v>1</x:v>
      </x:c>
      <x:c r="J22" s="21" t="n">
        <x:f>IF(I8=1,1,IF('02 Architectures'!J6&gt;='02 Architectures'!E6,1,0))</x:f>
        <x:v>1</x:v>
      </x:c>
      <x:c r="K22" s="21" t="n">
        <x:f>IF(J8=1,1,IF('02 Architectures'!K6&gt;='02 Architectures'!E6,1,0))</x:f>
        <x:v>1</x:v>
      </x:c>
      <x:c r="L22" s="21" t="n">
        <x:f>IF(K8=0,MIN('02 Architectures'!U6*E22/'02 Architectures'!E6/('01 Controls'!$D$6*'01 Controls'!$D$9/24),1),0)</x:f>
        <x:v>0</x:v>
      </x:c>
      <x:c r="M22" s="21" t="n">
        <x:f>MAX(L8*G8*K8,'02 Architectures'!O6)</x:f>
        <x:v>1</x:v>
      </x:c>
      <x:c r="N22" s="21" t="n">
        <x:f>IF(K8=0,MAX(L22,M22),M22)</x:f>
        <x:v>1</x:v>
      </x:c>
      <x:c r="O22" s="21" t="n">
        <x:f>M8</x:f>
        <x:v>1</x:v>
      </x:c>
      <x:c r="P22" s="21" t="n">
        <x:f>MIN(F22,G22,H22,I22,J22,K22,N22,O22)</x:f>
        <x:v>0</x:v>
      </x:c>
      <x:c r="Q22" s="21" t="n">
        <x:f>N8</x:f>
        <x:v>0.5</x:v>
      </x:c>
      <x:c r="R22" s="17" t="str">
        <x:f>IF(P22&gt;=Q22,"PASS","FAIL")</x:f>
        <x:v>FAIL</x:v>
      </x:c>
      <x:c r="S22" s="17" t="str">
        <x:v>UNTESTED</x:v>
      </x:c>
      <x:c r="T22" s="17" t="str">
        <x:f>IF(P22&gt;=Q22,"NONE",IF(F22=P22,"ISLAND CAPACITY",IF(G22=P22,"CATCHMENT ACCESS",IF(H22=P22,"DISTRIBUTION",IF(I22=P22,"BRANCH",IF(J22=P22,"POWER",IF(K22=P22,"QUALITY",IF(N22=P22,"WATER",IF(O22=P22,"CIVIL RELEASE","MULTIPLE")))))))))</x:f>
        <x:v>DISTRIBUTION</x:v>
      </x:c>
    </x:row>
    <x:row r="23" ht="43" customHeight="1">
      <x:c r="C23" s="11" t="str">
        <x:f>'02 Architectures'!C6</x:f>
        <x:v>R1</x:v>
      </x:c>
      <x:c r="D23" s="17" t="str">
        <x:f>C9</x:f>
        <x:v>W4</x:v>
      </x:c>
      <x:c r="E23" s="17" t="n">
        <x:f>MAX('02 Architectures'!E6-E9,0)</x:f>
        <x:v>1</x:v>
      </x:c>
      <x:c r="F23" s="21" t="n">
        <x:f>E23*'02 Architectures'!F6</x:f>
        <x:v>1</x:v>
      </x:c>
      <x:c r="G23" s="21" t="n">
        <x:f>IF('02 Architectures'!E6&gt;0,MIN(E23/'02 Architectures'!E6+'02 Architectures'!N6*MIN(E9/'02 Architectures'!E6,1),1),"n.a.")</x:f>
        <x:v>1</x:v>
      </x:c>
      <x:c r="H23" s="21" t="n">
        <x:f>IF(F9=1,1,IF('02 Architectures'!H6&gt;='02 Architectures'!E6,1,0))</x:f>
        <x:v>1</x:v>
      </x:c>
      <x:c r="I23" s="21" t="n">
        <x:f>IF(H9=1,1,IF('02 Architectures'!I6&gt;='02 Architectures'!E6,1,0))</x:f>
        <x:v>1</x:v>
      </x:c>
      <x:c r="J23" s="21" t="n">
        <x:f>IF(I9=1,1,IF('02 Architectures'!J6&gt;='02 Architectures'!E6,1,0))</x:f>
        <x:v>1</x:v>
      </x:c>
      <x:c r="K23" s="21" t="n">
        <x:f>IF(J9=1,1,IF('02 Architectures'!K6&gt;='02 Architectures'!E6,1,0))</x:f>
        <x:v>1</x:v>
      </x:c>
      <x:c r="L23" s="21" t="n">
        <x:f>IF(K9=0,MIN('02 Architectures'!U6*E23/'02 Architectures'!E6/('01 Controls'!$D$6*'01 Controls'!$D$9/24),1),0)</x:f>
        <x:v>0</x:v>
      </x:c>
      <x:c r="M23" s="21" t="n">
        <x:f>MAX(L9*G9*K9,'02 Architectures'!O6)</x:f>
        <x:v>0.5</x:v>
      </x:c>
      <x:c r="N23" s="21" t="n">
        <x:f>IF(K9=0,MAX(L23,M23),M23)</x:f>
        <x:v>0.5</x:v>
      </x:c>
      <x:c r="O23" s="21" t="n">
        <x:f>M9</x:f>
        <x:v>1</x:v>
      </x:c>
      <x:c r="P23" s="21" t="n">
        <x:f>MIN(F23,G23,H23,I23,J23,K23,N23,O23)</x:f>
        <x:v>0.5</x:v>
      </x:c>
      <x:c r="Q23" s="21" t="n">
        <x:f>N9</x:f>
        <x:v>0.5</x:v>
      </x:c>
      <x:c r="R23" s="17" t="str">
        <x:f>IF(P23&gt;=Q23,"PASS","FAIL")</x:f>
        <x:v>PASS</x:v>
      </x:c>
      <x:c r="S23" s="17" t="str">
        <x:v>UNTESTED</x:v>
      </x:c>
      <x:c r="T23" s="17" t="str">
        <x:f>IF(P23&gt;=Q23,"NONE",IF(F23=P23,"ISLAND CAPACITY",IF(G23=P23,"CATCHMENT ACCESS",IF(H23=P23,"DISTRIBUTION",IF(I23=P23,"BRANCH",IF(J23=P23,"POWER",IF(K23=P23,"QUALITY",IF(N23=P23,"WATER",IF(O23=P23,"CIVIL RELEASE","MULTIPLE")))))))))</x:f>
        <x:v>NONE</x:v>
      </x:c>
    </x:row>
    <x:row r="24" ht="43" customHeight="1">
      <x:c r="C24" s="11" t="str">
        <x:f>'02 Architectures'!C6</x:f>
        <x:v>R1</x:v>
      </x:c>
      <x:c r="D24" s="17" t="str">
        <x:f>C10</x:f>
        <x:v>W5</x:v>
      </x:c>
      <x:c r="E24" s="17" t="n">
        <x:f>MAX('02 Architectures'!E6-E10,0)</x:f>
        <x:v>1</x:v>
      </x:c>
      <x:c r="F24" s="21" t="n">
        <x:f>E24*'02 Architectures'!F6</x:f>
        <x:v>1</x:v>
      </x:c>
      <x:c r="G24" s="21" t="n">
        <x:f>IF('02 Architectures'!E6&gt;0,MIN(E24/'02 Architectures'!E6+'02 Architectures'!N6*MIN(E10/'02 Architectures'!E6,1),1),"n.a.")</x:f>
        <x:v>1</x:v>
      </x:c>
      <x:c r="H24" s="21" t="n">
        <x:f>IF(F10=1,1,IF('02 Architectures'!H6&gt;='02 Architectures'!E6,1,0))</x:f>
        <x:v>1</x:v>
      </x:c>
      <x:c r="I24" s="21" t="n">
        <x:f>IF(H10=1,1,IF('02 Architectures'!I6&gt;='02 Architectures'!E6,1,0))</x:f>
        <x:v>0</x:v>
      </x:c>
      <x:c r="J24" s="21" t="n">
        <x:f>IF(I10=1,1,IF('02 Architectures'!J6&gt;='02 Architectures'!E6,1,0))</x:f>
        <x:v>1</x:v>
      </x:c>
      <x:c r="K24" s="21" t="n">
        <x:f>IF(J10=1,1,IF('02 Architectures'!K6&gt;='02 Architectures'!E6,1,0))</x:f>
        <x:v>1</x:v>
      </x:c>
      <x:c r="L24" s="21" t="n">
        <x:f>IF(K10=0,MIN('02 Architectures'!U6*E24/'02 Architectures'!E6/('01 Controls'!$D$6*'01 Controls'!$D$9/24),1),0)</x:f>
        <x:v>0</x:v>
      </x:c>
      <x:c r="M24" s="21" t="n">
        <x:f>MAX(L10*G10*K10,'02 Architectures'!O6)</x:f>
        <x:v>1</x:v>
      </x:c>
      <x:c r="N24" s="21" t="n">
        <x:f>IF(K10=0,MAX(L24,M24),M24)</x:f>
        <x:v>1</x:v>
      </x:c>
      <x:c r="O24" s="21" t="n">
        <x:f>M10</x:f>
        <x:v>1</x:v>
      </x:c>
      <x:c r="P24" s="21" t="n">
        <x:f>MIN(F24,G24,H24,I24,J24,K24,N24,O24)</x:f>
        <x:v>0</x:v>
      </x:c>
      <x:c r="Q24" s="21" t="n">
        <x:f>N10</x:f>
        <x:v>0.5</x:v>
      </x:c>
      <x:c r="R24" s="17" t="str">
        <x:f>IF(P24&gt;=Q24,"PASS","FAIL")</x:f>
        <x:v>FAIL</x:v>
      </x:c>
      <x:c r="S24" s="17" t="str">
        <x:v>UNTESTED</x:v>
      </x:c>
      <x:c r="T24" s="17" t="str">
        <x:f>IF(P24&gt;=Q24,"NONE",IF(F24=P24,"ISLAND CAPACITY",IF(G24=P24,"CATCHMENT ACCESS",IF(H24=P24,"DISTRIBUTION",IF(I24=P24,"BRANCH",IF(J24=P24,"POWER",IF(K24=P24,"QUALITY",IF(N24=P24,"WATER",IF(O24=P24,"CIVIL RELEASE","MULTIPLE")))))))))</x:f>
        <x:v>BRANCH</x:v>
      </x:c>
    </x:row>
    <x:row r="25" ht="43" customHeight="1">
      <x:c r="C25" s="11" t="str">
        <x:f>'02 Architectures'!C6</x:f>
        <x:v>R1</x:v>
      </x:c>
      <x:c r="D25" s="17" t="str">
        <x:f>C11</x:f>
        <x:v>W6</x:v>
      </x:c>
      <x:c r="E25" s="17" t="n">
        <x:f>MAX('02 Architectures'!E6-E11,0)</x:f>
        <x:v>1</x:v>
      </x:c>
      <x:c r="F25" s="21" t="n">
        <x:f>E25*'02 Architectures'!F6</x:f>
        <x:v>1</x:v>
      </x:c>
      <x:c r="G25" s="21" t="n">
        <x:f>IF('02 Architectures'!E6&gt;0,MIN(E25/'02 Architectures'!E6+'02 Architectures'!N6*MIN(E11/'02 Architectures'!E6,1),1),"n.a.")</x:f>
        <x:v>1</x:v>
      </x:c>
      <x:c r="H25" s="21" t="n">
        <x:f>IF(F11=1,1,IF('02 Architectures'!H6&gt;='02 Architectures'!E6,1,0))</x:f>
        <x:v>1</x:v>
      </x:c>
      <x:c r="I25" s="21" t="n">
        <x:f>IF(H11=1,1,IF('02 Architectures'!I6&gt;='02 Architectures'!E6,1,0))</x:f>
        <x:v>1</x:v>
      </x:c>
      <x:c r="J25" s="21" t="n">
        <x:f>IF(I11=1,1,IF('02 Architectures'!J6&gt;='02 Architectures'!E6,1,0))</x:f>
        <x:v>0</x:v>
      </x:c>
      <x:c r="K25" s="21" t="n">
        <x:f>IF(J11=1,1,IF('02 Architectures'!K6&gt;='02 Architectures'!E6,1,0))</x:f>
        <x:v>1</x:v>
      </x:c>
      <x:c r="L25" s="21" t="n">
        <x:f>IF(K11=0,MIN('02 Architectures'!U6*E25/'02 Architectures'!E6/('01 Controls'!$D$6*'01 Controls'!$D$9/24),1),0)</x:f>
        <x:v>0</x:v>
      </x:c>
      <x:c r="M25" s="21" t="n">
        <x:f>MAX(L11*G11*K11,'02 Architectures'!O6)</x:f>
        <x:v>1</x:v>
      </x:c>
      <x:c r="N25" s="21" t="n">
        <x:f>IF(K11=0,MAX(L25,M25),M25)</x:f>
        <x:v>1</x:v>
      </x:c>
      <x:c r="O25" s="21" t="n">
        <x:f>M11</x:f>
        <x:v>1</x:v>
      </x:c>
      <x:c r="P25" s="21" t="n">
        <x:f>MIN(F25,G25,H25,I25,J25,K25,N25,O25)</x:f>
        <x:v>0</x:v>
      </x:c>
      <x:c r="Q25" s="21" t="n">
        <x:f>N11</x:f>
        <x:v>0.5</x:v>
      </x:c>
      <x:c r="R25" s="17" t="str">
        <x:f>IF(P25&gt;=Q25,"PASS","FAIL")</x:f>
        <x:v>FAIL</x:v>
      </x:c>
      <x:c r="S25" s="17" t="str">
        <x:v>UNTESTED</x:v>
      </x:c>
      <x:c r="T25" s="17" t="str">
        <x:f>IF(P25&gt;=Q25,"NONE",IF(F25=P25,"ISLAND CAPACITY",IF(G25=P25,"CATCHMENT ACCESS",IF(H25=P25,"DISTRIBUTION",IF(I25=P25,"BRANCH",IF(J25=P25,"POWER",IF(K25=P25,"QUALITY",IF(N25=P25,"WATER",IF(O25=P25,"CIVIL RELEASE","MULTIPLE")))))))))</x:f>
        <x:v>POWER</x:v>
      </x:c>
    </x:row>
    <x:row r="26" ht="43" customHeight="1">
      <x:c r="C26" s="11" t="str">
        <x:f>'02 Architectures'!C6</x:f>
        <x:v>R1</x:v>
      </x:c>
      <x:c r="D26" s="17" t="str">
        <x:f>C12</x:f>
        <x:v>W7</x:v>
      </x:c>
      <x:c r="E26" s="17" t="n">
        <x:f>MAX('02 Architectures'!E6-E12,0)</x:f>
        <x:v>1</x:v>
      </x:c>
      <x:c r="F26" s="21" t="n">
        <x:f>E26*'02 Architectures'!F6</x:f>
        <x:v>1</x:v>
      </x:c>
      <x:c r="G26" s="21" t="n">
        <x:f>IF('02 Architectures'!E6&gt;0,MIN(E26/'02 Architectures'!E6+'02 Architectures'!N6*MIN(E12/'02 Architectures'!E6,1),1),"n.a.")</x:f>
        <x:v>1</x:v>
      </x:c>
      <x:c r="H26" s="21" t="n">
        <x:f>IF(F12=1,1,IF('02 Architectures'!H6&gt;='02 Architectures'!E6,1,0))</x:f>
        <x:v>1</x:v>
      </x:c>
      <x:c r="I26" s="21" t="n">
        <x:f>IF(H12=1,1,IF('02 Architectures'!I6&gt;='02 Architectures'!E6,1,0))</x:f>
        <x:v>1</x:v>
      </x:c>
      <x:c r="J26" s="21" t="n">
        <x:f>IF(I12=1,1,IF('02 Architectures'!J6&gt;='02 Architectures'!E6,1,0))</x:f>
        <x:v>1</x:v>
      </x:c>
      <x:c r="K26" s="21" t="n">
        <x:f>IF(J12=1,1,IF('02 Architectures'!K6&gt;='02 Architectures'!E6,1,0))</x:f>
        <x:v>0</x:v>
      </x:c>
      <x:c r="L26" s="21" t="n">
        <x:f>IF(K12=0,MIN('02 Architectures'!U6*E26/'02 Architectures'!E6/('01 Controls'!$D$6*'01 Controls'!$D$9/24),1),0)</x:f>
        <x:v>0</x:v>
      </x:c>
      <x:c r="M26" s="21" t="n">
        <x:f>MAX(L12*G12*K12,'02 Architectures'!O6)</x:f>
        <x:v>1</x:v>
      </x:c>
      <x:c r="N26" s="21" t="n">
        <x:f>IF(K12=0,MAX(L26,M26),M26)</x:f>
        <x:v>1</x:v>
      </x:c>
      <x:c r="O26" s="21" t="n">
        <x:f>M12</x:f>
        <x:v>1</x:v>
      </x:c>
      <x:c r="P26" s="21" t="n">
        <x:f>MIN(F26,G26,H26,I26,J26,K26,N26,O26)</x:f>
        <x:v>0</x:v>
      </x:c>
      <x:c r="Q26" s="21" t="n">
        <x:f>N12</x:f>
        <x:v>0.5</x:v>
      </x:c>
      <x:c r="R26" s="17" t="str">
        <x:f>IF(P26&gt;=Q26,"PASS","FAIL")</x:f>
        <x:v>FAIL</x:v>
      </x:c>
      <x:c r="S26" s="17" t="str">
        <x:v>UNTESTED</x:v>
      </x:c>
      <x:c r="T26" s="17" t="str">
        <x:f>IF(P26&gt;=Q26,"NONE",IF(F26=P26,"ISLAND CAPACITY",IF(G26=P26,"CATCHMENT ACCESS",IF(H26=P26,"DISTRIBUTION",IF(I26=P26,"BRANCH",IF(J26=P26,"POWER",IF(K26=P26,"QUALITY",IF(N26=P26,"WATER",IF(O26=P26,"CIVIL RELEASE","MULTIPLE")))))))))</x:f>
        <x:v>QUALITY</x:v>
      </x:c>
    </x:row>
    <x:row r="27" ht="43" customHeight="1">
      <x:c r="C27" s="11" t="str">
        <x:f>'02 Architectures'!C6</x:f>
        <x:v>R1</x:v>
      </x:c>
      <x:c r="D27" s="17" t="str">
        <x:f>C13</x:f>
        <x:v>W8</x:v>
      </x:c>
      <x:c r="E27" s="17" t="n">
        <x:f>MAX('02 Architectures'!E6-E13,0)</x:f>
        <x:v>0</x:v>
      </x:c>
      <x:c r="F27" s="21" t="n">
        <x:f>E27*'02 Architectures'!F6</x:f>
        <x:v>0</x:v>
      </x:c>
      <x:c r="G27" s="21" t="n">
        <x:f>IF('02 Architectures'!E6&gt;0,MIN(E27/'02 Architectures'!E6+'02 Architectures'!N6*MIN(E13/'02 Architectures'!E6,1),1),"n.a.")</x:f>
        <x:v>0</x:v>
      </x:c>
      <x:c r="H27" s="21" t="n">
        <x:f>IF(F13=1,1,IF('02 Architectures'!H6&gt;='02 Architectures'!E6,1,0))</x:f>
        <x:v>1</x:v>
      </x:c>
      <x:c r="I27" s="21" t="n">
        <x:f>IF(H13=1,1,IF('02 Architectures'!I6&gt;='02 Architectures'!E6,1,0))</x:f>
        <x:v>1</x:v>
      </x:c>
      <x:c r="J27" s="21" t="n">
        <x:f>IF(I13=1,1,IF('02 Architectures'!J6&gt;='02 Architectures'!E6,1,0))</x:f>
        <x:v>1</x:v>
      </x:c>
      <x:c r="K27" s="21" t="n">
        <x:f>IF(J13=1,1,IF('02 Architectures'!K6&gt;='02 Architectures'!E6,1,0))</x:f>
        <x:v>1</x:v>
      </x:c>
      <x:c r="L27" s="21" t="n">
        <x:f>IF(K13=0,MIN('02 Architectures'!U6*E27/'02 Architectures'!E6/('01 Controls'!$D$6*'01 Controls'!$D$9/24),1),0)</x:f>
        <x:v>0</x:v>
      </x:c>
      <x:c r="M27" s="21" t="n">
        <x:f>MAX(L13*G13*K13,'02 Architectures'!O6)</x:f>
        <x:v>0</x:v>
      </x:c>
      <x:c r="N27" s="21" t="n">
        <x:f>IF(K13=0,MAX(L27,M27),M27)</x:f>
        <x:v>0</x:v>
      </x:c>
      <x:c r="O27" s="21" t="n">
        <x:f>M13</x:f>
        <x:v>1</x:v>
      </x:c>
      <x:c r="P27" s="21" t="n">
        <x:f>MIN(F27,G27,H27,I27,J27,K27,N27,O27)</x:f>
        <x:v>0</x:v>
      </x:c>
      <x:c r="Q27" s="21" t="n">
        <x:f>N13</x:f>
        <x:v>0.5</x:v>
      </x:c>
      <x:c r="R27" s="17" t="str">
        <x:f>IF(P27&gt;=Q27,"PASS","FAIL")</x:f>
        <x:v>FAIL</x:v>
      </x:c>
      <x:c r="S27" s="17" t="str">
        <x:v>UNTESTED</x:v>
      </x:c>
      <x:c r="T27" s="17" t="str">
        <x:f>IF(P27&gt;=Q27,"NONE",IF(F27=P27,"ISLAND CAPACITY",IF(G27=P27,"CATCHMENT ACCESS",IF(H27=P27,"DISTRIBUTION",IF(I27=P27,"BRANCH",IF(J27=P27,"POWER",IF(K27=P27,"QUALITY",IF(N27=P27,"WATER",IF(O27=P27,"CIVIL RELEASE","MULTIPLE")))))))))</x:f>
        <x:v>ISLAND CAPACITY</x:v>
      </x:c>
    </x:row>
    <x:row r="28" ht="43" customHeight="1">
      <x:c r="C28" s="11" t="str">
        <x:f>'02 Architectures'!C6</x:f>
        <x:v>R1</x:v>
      </x:c>
      <x:c r="D28" s="17" t="str">
        <x:f>C14</x:f>
        <x:v>W9</x:v>
      </x:c>
      <x:c r="E28" s="17" t="n">
        <x:f>MAX('02 Architectures'!E6-E14,0)</x:f>
        <x:v>1</x:v>
      </x:c>
      <x:c r="F28" s="21" t="n">
        <x:f>E28*'02 Architectures'!F6</x:f>
        <x:v>1</x:v>
      </x:c>
      <x:c r="G28" s="21" t="n">
        <x:f>IF('02 Architectures'!E6&gt;0,MIN(E28/'02 Architectures'!E6+'02 Architectures'!N6*MIN(E14/'02 Architectures'!E6,1),1),"n.a.")</x:f>
        <x:v>1</x:v>
      </x:c>
      <x:c r="H28" s="21" t="n">
        <x:f>IF(F14=1,1,IF('02 Architectures'!H6&gt;='02 Architectures'!E6,1,0))</x:f>
        <x:v>1</x:v>
      </x:c>
      <x:c r="I28" s="21" t="n">
        <x:f>IF(H14=1,1,IF('02 Architectures'!I6&gt;='02 Architectures'!E6,1,0))</x:f>
        <x:v>1</x:v>
      </x:c>
      <x:c r="J28" s="21" t="n">
        <x:f>IF(I14=1,1,IF('02 Architectures'!J6&gt;='02 Architectures'!E6,1,0))</x:f>
        <x:v>1</x:v>
      </x:c>
      <x:c r="K28" s="21" t="n">
        <x:f>IF(J14=1,1,IF('02 Architectures'!K6&gt;='02 Architectures'!E6,1,0))</x:f>
        <x:v>1</x:v>
      </x:c>
      <x:c r="L28" s="21" t="n">
        <x:f>IF(K14=0,MIN('02 Architectures'!U6*E28/'02 Architectures'!E6/('01 Controls'!$D$6*'01 Controls'!$D$9/24),1),0)</x:f>
        <x:v>0</x:v>
      </x:c>
      <x:c r="M28" s="21" t="n">
        <x:f>MAX(L14*G14*K14,'02 Architectures'!O6)</x:f>
        <x:v>0</x:v>
      </x:c>
      <x:c r="N28" s="21" t="n">
        <x:f>IF(K14=0,MAX(L28,M28),M28)</x:f>
        <x:v>0</x:v>
      </x:c>
      <x:c r="O28" s="21" t="n">
        <x:f>M14</x:f>
        <x:v>1</x:v>
      </x:c>
      <x:c r="P28" s="21" t="n">
        <x:f>MIN(F28,G28,H28,I28,J28,K28,N28,O28)</x:f>
        <x:v>0</x:v>
      </x:c>
      <x:c r="Q28" s="21" t="n">
        <x:f>N14</x:f>
        <x:v>0.5</x:v>
      </x:c>
      <x:c r="R28" s="17" t="str">
        <x:f>IF(P28&gt;=Q28,"PASS","FAIL")</x:f>
        <x:v>FAIL</x:v>
      </x:c>
      <x:c r="S28" s="17" t="str">
        <x:v>UNTESTED</x:v>
      </x:c>
      <x:c r="T28" s="17" t="str">
        <x:f>IF(P28&gt;=Q28,"NONE",IF(F28=P28,"ISLAND CAPACITY",IF(G28=P28,"CATCHMENT ACCESS",IF(H28=P28,"DISTRIBUTION",IF(I28=P28,"BRANCH",IF(J28=P28,"POWER",IF(K28=P28,"QUALITY",IF(N28=P28,"WATER",IF(O28=P28,"CIVIL RELEASE","MULTIPLE")))))))))</x:f>
        <x:v>WATER</x:v>
      </x:c>
    </x:row>
    <x:row r="29" ht="43" customHeight="1">
      <x:c r="C29" s="11" t="str">
        <x:f>'02 Architectures'!C6</x:f>
        <x:v>R1</x:v>
      </x:c>
      <x:c r="D29" s="17" t="str">
        <x:f>C15</x:f>
        <x:v>W10</x:v>
      </x:c>
      <x:c r="E29" s="17" t="n">
        <x:f>MAX('02 Architectures'!E6-E15,0)</x:f>
        <x:v>1</x:v>
      </x:c>
      <x:c r="F29" s="21" t="n">
        <x:f>E29*'02 Architectures'!F6</x:f>
        <x:v>1</x:v>
      </x:c>
      <x:c r="G29" s="21" t="n">
        <x:f>IF('02 Architectures'!E6&gt;0,MIN(E29/'02 Architectures'!E6+'02 Architectures'!N6*MIN(E15/'02 Architectures'!E6,1),1),"n.a.")</x:f>
        <x:v>1</x:v>
      </x:c>
      <x:c r="H29" s="21" t="n">
        <x:f>IF(F15=1,1,IF('02 Architectures'!H6&gt;='02 Architectures'!E6,1,0))</x:f>
        <x:v>1</x:v>
      </x:c>
      <x:c r="I29" s="21" t="n">
        <x:f>IF(H15=1,1,IF('02 Architectures'!I6&gt;='02 Architectures'!E6,1,0))</x:f>
        <x:v>1</x:v>
      </x:c>
      <x:c r="J29" s="21" t="n">
        <x:f>IF(I15=1,1,IF('02 Architectures'!J6&gt;='02 Architectures'!E6,1,0))</x:f>
        <x:v>1</x:v>
      </x:c>
      <x:c r="K29" s="21" t="n">
        <x:f>IF(J15=1,1,IF('02 Architectures'!K6&gt;='02 Architectures'!E6,1,0))</x:f>
        <x:v>1</x:v>
      </x:c>
      <x:c r="L29" s="21" t="n">
        <x:f>IF(K15=0,MIN('02 Architectures'!U6*E29/'02 Architectures'!E6/('01 Controls'!$D$6*'01 Controls'!$D$9/24),1),0)</x:f>
        <x:v>0</x:v>
      </x:c>
      <x:c r="M29" s="21" t="n">
        <x:f>MAX(L15*G15*K15,'02 Architectures'!O6)</x:f>
        <x:v>0</x:v>
      </x:c>
      <x:c r="N29" s="21" t="n">
        <x:f>IF(K15=0,MAX(L29,M29),M29)</x:f>
        <x:v>0</x:v>
      </x:c>
      <x:c r="O29" s="21" t="n">
        <x:f>M15</x:f>
        <x:v>0</x:v>
      </x:c>
      <x:c r="P29" s="21" t="n">
        <x:f>MIN(F29,G29,H29,I29,J29,K29,N29,O29)</x:f>
        <x:v>0</x:v>
      </x:c>
      <x:c r="Q29" s="21" t="n">
        <x:f>N15</x:f>
        <x:v>0.5</x:v>
      </x:c>
      <x:c r="R29" s="17" t="str">
        <x:f>IF(P29&gt;=Q29,"PASS","FAIL")</x:f>
        <x:v>FAIL</x:v>
      </x:c>
      <x:c r="S29" s="17" t="str">
        <x:v>UNTESTED</x:v>
      </x:c>
      <x:c r="T29" s="17" t="str">
        <x:f>IF(P29&gt;=Q29,"NONE",IF(F29=P29,"ISLAND CAPACITY",IF(G29=P29,"CATCHMENT ACCESS",IF(H29=P29,"DISTRIBUTION",IF(I29=P29,"BRANCH",IF(J29=P29,"POWER",IF(K29=P29,"QUALITY",IF(N29=P29,"WATER",IF(O29=P29,"CIVIL RELEASE","MULTIPLE")))))))))</x:f>
        <x:v>WATER</x:v>
      </x:c>
    </x:row>
    <x:row r="30" ht="43" customHeight="1">
      <x:c r="C30" s="11" t="str">
        <x:f>'02 Architectures'!C7</x:f>
        <x:v>R2</x:v>
      </x:c>
      <x:c r="D30" s="17" t="str">
        <x:f>C6</x:f>
        <x:v>W1</x:v>
      </x:c>
      <x:c r="E30" s="17" t="n">
        <x:f>MAX('02 Architectures'!E7-E6,0)</x:f>
        <x:v>1</x:v>
      </x:c>
      <x:c r="F30" s="21" t="n">
        <x:f>E30*'02 Architectures'!F7</x:f>
        <x:v>0.5</x:v>
      </x:c>
      <x:c r="G30" s="21" t="n">
        <x:f>IF('02 Architectures'!E7&gt;0,MIN(E30/'02 Architectures'!E7+'02 Architectures'!N7*MIN(E6/'02 Architectures'!E7,1),1),"n.a.")</x:f>
        <x:v>0.625</x:v>
      </x:c>
      <x:c r="H30" s="21" t="n">
        <x:f>IF(F6=1,1,IF('02 Architectures'!H7&gt;='02 Architectures'!E7,1,0))</x:f>
        <x:v>1</x:v>
      </x:c>
      <x:c r="I30" s="21" t="n">
        <x:f>IF(H6=1,1,IF('02 Architectures'!I7&gt;='02 Architectures'!E7,1,0))</x:f>
        <x:v>1</x:v>
      </x:c>
      <x:c r="J30" s="21" t="n">
        <x:f>IF(I6=1,1,IF('02 Architectures'!J7&gt;='02 Architectures'!E7,1,0))</x:f>
        <x:v>1</x:v>
      </x:c>
      <x:c r="K30" s="21" t="n">
        <x:f>IF(J6=1,1,IF('02 Architectures'!K7&gt;='02 Architectures'!E7,1,0))</x:f>
        <x:v>1</x:v>
      </x:c>
      <x:c r="L30" s="21" t="n">
        <x:f>IF(K6=0,MIN('02 Architectures'!U7*E30/'02 Architectures'!E7/('01 Controls'!$D$6*'01 Controls'!$D$9/24),1),0)</x:f>
        <x:v>0</x:v>
      </x:c>
      <x:c r="M30" s="21" t="n">
        <x:f>MAX(L6*G6*K6,'02 Architectures'!O7)</x:f>
        <x:v>1</x:v>
      </x:c>
      <x:c r="N30" s="21" t="n">
        <x:f>IF(K6=0,MAX(L30,M30),M30)</x:f>
        <x:v>1</x:v>
      </x:c>
      <x:c r="O30" s="21" t="n">
        <x:f>M6</x:f>
        <x:v>1</x:v>
      </x:c>
      <x:c r="P30" s="21" t="n">
        <x:f>MIN(F30,G30,H30,I30,J30,K30,N30,O30)</x:f>
        <x:v>0.5</x:v>
      </x:c>
      <x:c r="Q30" s="21" t="n">
        <x:f>N6</x:f>
        <x:v>0.5</x:v>
      </x:c>
      <x:c r="R30" s="17" t="str">
        <x:f>IF(P30&gt;=Q30,"PASS","FAIL")</x:f>
        <x:v>PASS</x:v>
      </x:c>
      <x:c r="S30" s="17" t="str">
        <x:v>UNTESTED</x:v>
      </x:c>
      <x:c r="T30" s="17" t="str">
        <x:f>IF(P30&gt;=Q30,"NONE",IF(F30=P30,"ISLAND CAPACITY",IF(G30=P30,"CATCHMENT ACCESS",IF(H30=P30,"DISTRIBUTION",IF(I30=P30,"BRANCH",IF(J30=P30,"POWER",IF(K30=P30,"QUALITY",IF(N30=P30,"WATER",IF(O30=P30,"CIVIL RELEASE","MULTIPLE")))))))))</x:f>
        <x:v>NONE</x:v>
      </x:c>
    </x:row>
    <x:row r="31" ht="43" customHeight="1">
      <x:c r="C31" s="11" t="str">
        <x:f>'02 Architectures'!C7</x:f>
        <x:v>R2</x:v>
      </x:c>
      <x:c r="D31" s="17" t="str">
        <x:f>C7</x:f>
        <x:v>W2</x:v>
      </x:c>
      <x:c r="E31" s="17" t="n">
        <x:f>MAX('02 Architectures'!E7-E7,0)</x:f>
        <x:v>0</x:v>
      </x:c>
      <x:c r="F31" s="21" t="n">
        <x:f>E31*'02 Architectures'!F7</x:f>
        <x:v>0</x:v>
      </x:c>
      <x:c r="G31" s="21" t="n">
        <x:f>IF('02 Architectures'!E7&gt;0,MIN(E31/'02 Architectures'!E7+'02 Architectures'!N7*MIN(E7/'02 Architectures'!E7,1),1),"n.a.")</x:f>
        <x:v>0.25</x:v>
      </x:c>
      <x:c r="H31" s="21" t="n">
        <x:f>IF(F7=1,1,IF('02 Architectures'!H7&gt;='02 Architectures'!E7,1,0))</x:f>
        <x:v>1</x:v>
      </x:c>
      <x:c r="I31" s="21" t="n">
        <x:f>IF(H7=1,1,IF('02 Architectures'!I7&gt;='02 Architectures'!E7,1,0))</x:f>
        <x:v>1</x:v>
      </x:c>
      <x:c r="J31" s="21" t="n">
        <x:f>IF(I7=1,1,IF('02 Architectures'!J7&gt;='02 Architectures'!E7,1,0))</x:f>
        <x:v>1</x:v>
      </x:c>
      <x:c r="K31" s="21" t="n">
        <x:f>IF(J7=1,1,IF('02 Architectures'!K7&gt;='02 Architectures'!E7,1,0))</x:f>
        <x:v>1</x:v>
      </x:c>
      <x:c r="L31" s="21" t="n">
        <x:f>IF(K7=0,MIN('02 Architectures'!U7*E31/'02 Architectures'!E7/('01 Controls'!$D$6*'01 Controls'!$D$9/24),1),0)</x:f>
        <x:v>0</x:v>
      </x:c>
      <x:c r="M31" s="21" t="n">
        <x:f>MAX(L7*G7*K7,'02 Architectures'!O7)</x:f>
        <x:v>1</x:v>
      </x:c>
      <x:c r="N31" s="21" t="n">
        <x:f>IF(K7=0,MAX(L31,M31),M31)</x:f>
        <x:v>1</x:v>
      </x:c>
      <x:c r="O31" s="21" t="n">
        <x:f>M7</x:f>
        <x:v>1</x:v>
      </x:c>
      <x:c r="P31" s="21" t="n">
        <x:f>MIN(F31,G31,H31,I31,J31,K31,N31,O31)</x:f>
        <x:v>0</x:v>
      </x:c>
      <x:c r="Q31" s="21" t="n">
        <x:f>N7</x:f>
        <x:v>0.5</x:v>
      </x:c>
      <x:c r="R31" s="17" t="str">
        <x:f>IF(P31&gt;=Q31,"PASS","FAIL")</x:f>
        <x:v>FAIL</x:v>
      </x:c>
      <x:c r="S31" s="17" t="str">
        <x:v>UNTESTED</x:v>
      </x:c>
      <x:c r="T31" s="17" t="str">
        <x:f>IF(P31&gt;=Q31,"NONE",IF(F31=P31,"ISLAND CAPACITY",IF(G31=P31,"CATCHMENT ACCESS",IF(H31=P31,"DISTRIBUTION",IF(I31=P31,"BRANCH",IF(J31=P31,"POWER",IF(K31=P31,"QUALITY",IF(N31=P31,"WATER",IF(O31=P31,"CIVIL RELEASE","MULTIPLE")))))))))</x:f>
        <x:v>ISLAND CAPACITY</x:v>
      </x:c>
    </x:row>
    <x:row r="32" ht="43" customHeight="1">
      <x:c r="C32" s="11" t="str">
        <x:f>'02 Architectures'!C7</x:f>
        <x:v>R2</x:v>
      </x:c>
      <x:c r="D32" s="17" t="str">
        <x:f>C8</x:f>
        <x:v>W3</x:v>
      </x:c>
      <x:c r="E32" s="17" t="n">
        <x:f>MAX('02 Architectures'!E7-E8,0)</x:f>
        <x:v>2</x:v>
      </x:c>
      <x:c r="F32" s="21" t="n">
        <x:f>E32*'02 Architectures'!F7</x:f>
        <x:v>1</x:v>
      </x:c>
      <x:c r="G32" s="21" t="n">
        <x:f>IF('02 Architectures'!E7&gt;0,MIN(E32/'02 Architectures'!E7+'02 Architectures'!N7*MIN(E8/'02 Architectures'!E7,1),1),"n.a.")</x:f>
        <x:v>1</x:v>
      </x:c>
      <x:c r="H32" s="21" t="n">
        <x:f>IF(F8=1,1,IF('02 Architectures'!H7&gt;='02 Architectures'!E7,1,0))</x:f>
        <x:v>1</x:v>
      </x:c>
      <x:c r="I32" s="21" t="n">
        <x:f>IF(H8=1,1,IF('02 Architectures'!I7&gt;='02 Architectures'!E7,1,0))</x:f>
        <x:v>1</x:v>
      </x:c>
      <x:c r="J32" s="21" t="n">
        <x:f>IF(I8=1,1,IF('02 Architectures'!J7&gt;='02 Architectures'!E7,1,0))</x:f>
        <x:v>1</x:v>
      </x:c>
      <x:c r="K32" s="21" t="n">
        <x:f>IF(J8=1,1,IF('02 Architectures'!K7&gt;='02 Architectures'!E7,1,0))</x:f>
        <x:v>1</x:v>
      </x:c>
      <x:c r="L32" s="21" t="n">
        <x:f>IF(K8=0,MIN('02 Architectures'!U7*E32/'02 Architectures'!E7/('01 Controls'!$D$6*'01 Controls'!$D$9/24),1),0)</x:f>
        <x:v>0</x:v>
      </x:c>
      <x:c r="M32" s="21" t="n">
        <x:f>MAX(L8*G8*K8,'02 Architectures'!O7)</x:f>
        <x:v>1</x:v>
      </x:c>
      <x:c r="N32" s="21" t="n">
        <x:f>IF(K8=0,MAX(L32,M32),M32)</x:f>
        <x:v>1</x:v>
      </x:c>
      <x:c r="O32" s="21" t="n">
        <x:f>M8</x:f>
        <x:v>1</x:v>
      </x:c>
      <x:c r="P32" s="21" t="n">
        <x:f>MIN(F32,G32,H32,I32,J32,K32,N32,O32)</x:f>
        <x:v>1</x:v>
      </x:c>
      <x:c r="Q32" s="21" t="n">
        <x:f>N8</x:f>
        <x:v>0.5</x:v>
      </x:c>
      <x:c r="R32" s="17" t="str">
        <x:f>IF(P32&gt;=Q32,"PASS","FAIL")</x:f>
        <x:v>PASS</x:v>
      </x:c>
      <x:c r="S32" s="17" t="str">
        <x:v>UNTESTED</x:v>
      </x:c>
      <x:c r="T32" s="17" t="str">
        <x:f>IF(P32&gt;=Q32,"NONE",IF(F32=P32,"ISLAND CAPACITY",IF(G32=P32,"CATCHMENT ACCESS",IF(H32=P32,"DISTRIBUTION",IF(I32=P32,"BRANCH",IF(J32=P32,"POWER",IF(K32=P32,"QUALITY",IF(N32=P32,"WATER",IF(O32=P32,"CIVIL RELEASE","MULTIPLE")))))))))</x:f>
        <x:v>NONE</x:v>
      </x:c>
    </x:row>
    <x:row r="33" ht="43" customHeight="1">
      <x:c r="C33" s="11" t="str">
        <x:f>'02 Architectures'!C7</x:f>
        <x:v>R2</x:v>
      </x:c>
      <x:c r="D33" s="17" t="str">
        <x:f>C9</x:f>
        <x:v>W4</x:v>
      </x:c>
      <x:c r="E33" s="17" t="n">
        <x:f>MAX('02 Architectures'!E7-E9,0)</x:f>
        <x:v>2</x:v>
      </x:c>
      <x:c r="F33" s="21" t="n">
        <x:f>E33*'02 Architectures'!F7</x:f>
        <x:v>1</x:v>
      </x:c>
      <x:c r="G33" s="21" t="n">
        <x:f>IF('02 Architectures'!E7&gt;0,MIN(E33/'02 Architectures'!E7+'02 Architectures'!N7*MIN(E9/'02 Architectures'!E7,1),1),"n.a.")</x:f>
        <x:v>1</x:v>
      </x:c>
      <x:c r="H33" s="21" t="n">
        <x:f>IF(F9=1,1,IF('02 Architectures'!H7&gt;='02 Architectures'!E7,1,0))</x:f>
        <x:v>1</x:v>
      </x:c>
      <x:c r="I33" s="21" t="n">
        <x:f>IF(H9=1,1,IF('02 Architectures'!I7&gt;='02 Architectures'!E7,1,0))</x:f>
        <x:v>1</x:v>
      </x:c>
      <x:c r="J33" s="21" t="n">
        <x:f>IF(I9=1,1,IF('02 Architectures'!J7&gt;='02 Architectures'!E7,1,0))</x:f>
        <x:v>1</x:v>
      </x:c>
      <x:c r="K33" s="21" t="n">
        <x:f>IF(J9=1,1,IF('02 Architectures'!K7&gt;='02 Architectures'!E7,1,0))</x:f>
        <x:v>1</x:v>
      </x:c>
      <x:c r="L33" s="21" t="n">
        <x:f>IF(K9=0,MIN('02 Architectures'!U7*E33/'02 Architectures'!E7/('01 Controls'!$D$6*'01 Controls'!$D$9/24),1),0)</x:f>
        <x:v>0</x:v>
      </x:c>
      <x:c r="M33" s="21" t="n">
        <x:f>MAX(L9*G9*K9,'02 Architectures'!O7)</x:f>
        <x:v>0.5</x:v>
      </x:c>
      <x:c r="N33" s="21" t="n">
        <x:f>IF(K9=0,MAX(L33,M33),M33)</x:f>
        <x:v>0.5</x:v>
      </x:c>
      <x:c r="O33" s="21" t="n">
        <x:f>M9</x:f>
        <x:v>1</x:v>
      </x:c>
      <x:c r="P33" s="21" t="n">
        <x:f>MIN(F33,G33,H33,I33,J33,K33,N33,O33)</x:f>
        <x:v>0.5</x:v>
      </x:c>
      <x:c r="Q33" s="21" t="n">
        <x:f>N9</x:f>
        <x:v>0.5</x:v>
      </x:c>
      <x:c r="R33" s="17" t="str">
        <x:f>IF(P33&gt;=Q33,"PASS","FAIL")</x:f>
        <x:v>PASS</x:v>
      </x:c>
      <x:c r="S33" s="17" t="str">
        <x:v>UNTESTED</x:v>
      </x:c>
      <x:c r="T33" s="17" t="str">
        <x:f>IF(P33&gt;=Q33,"NONE",IF(F33=P33,"ISLAND CAPACITY",IF(G33=P33,"CATCHMENT ACCESS",IF(H33=P33,"DISTRIBUTION",IF(I33=P33,"BRANCH",IF(J33=P33,"POWER",IF(K33=P33,"QUALITY",IF(N33=P33,"WATER",IF(O33=P33,"CIVIL RELEASE","MULTIPLE")))))))))</x:f>
        <x:v>NONE</x:v>
      </x:c>
    </x:row>
    <x:row r="34" ht="43" customHeight="1">
      <x:c r="C34" s="11" t="str">
        <x:f>'02 Architectures'!C7</x:f>
        <x:v>R2</x:v>
      </x:c>
      <x:c r="D34" s="17" t="str">
        <x:f>C10</x:f>
        <x:v>W5</x:v>
      </x:c>
      <x:c r="E34" s="17" t="n">
        <x:f>MAX('02 Architectures'!E7-E10,0)</x:f>
        <x:v>2</x:v>
      </x:c>
      <x:c r="F34" s="21" t="n">
        <x:f>E34*'02 Architectures'!F7</x:f>
        <x:v>1</x:v>
      </x:c>
      <x:c r="G34" s="21" t="n">
        <x:f>IF('02 Architectures'!E7&gt;0,MIN(E34/'02 Architectures'!E7+'02 Architectures'!N7*MIN(E10/'02 Architectures'!E7,1),1),"n.a.")</x:f>
        <x:v>1</x:v>
      </x:c>
      <x:c r="H34" s="21" t="n">
        <x:f>IF(F10=1,1,IF('02 Architectures'!H7&gt;='02 Architectures'!E7,1,0))</x:f>
        <x:v>1</x:v>
      </x:c>
      <x:c r="I34" s="21" t="n">
        <x:f>IF(H10=1,1,IF('02 Architectures'!I7&gt;='02 Architectures'!E7,1,0))</x:f>
        <x:v>0</x:v>
      </x:c>
      <x:c r="J34" s="21" t="n">
        <x:f>IF(I10=1,1,IF('02 Architectures'!J7&gt;='02 Architectures'!E7,1,0))</x:f>
        <x:v>1</x:v>
      </x:c>
      <x:c r="K34" s="21" t="n">
        <x:f>IF(J10=1,1,IF('02 Architectures'!K7&gt;='02 Architectures'!E7,1,0))</x:f>
        <x:v>1</x:v>
      </x:c>
      <x:c r="L34" s="21" t="n">
        <x:f>IF(K10=0,MIN('02 Architectures'!U7*E34/'02 Architectures'!E7/('01 Controls'!$D$6*'01 Controls'!$D$9/24),1),0)</x:f>
        <x:v>0</x:v>
      </x:c>
      <x:c r="M34" s="21" t="n">
        <x:f>MAX(L10*G10*K10,'02 Architectures'!O7)</x:f>
        <x:v>1</x:v>
      </x:c>
      <x:c r="N34" s="21" t="n">
        <x:f>IF(K10=0,MAX(L34,M34),M34)</x:f>
        <x:v>1</x:v>
      </x:c>
      <x:c r="O34" s="21" t="n">
        <x:f>M10</x:f>
        <x:v>1</x:v>
      </x:c>
      <x:c r="P34" s="21" t="n">
        <x:f>MIN(F34,G34,H34,I34,J34,K34,N34,O34)</x:f>
        <x:v>0</x:v>
      </x:c>
      <x:c r="Q34" s="21" t="n">
        <x:f>N10</x:f>
        <x:v>0.5</x:v>
      </x:c>
      <x:c r="R34" s="17" t="str">
        <x:f>IF(P34&gt;=Q34,"PASS","FAIL")</x:f>
        <x:v>FAIL</x:v>
      </x:c>
      <x:c r="S34" s="17" t="str">
        <x:v>UNTESTED</x:v>
      </x:c>
      <x:c r="T34" s="17" t="str">
        <x:f>IF(P34&gt;=Q34,"NONE",IF(F34=P34,"ISLAND CAPACITY",IF(G34=P34,"CATCHMENT ACCESS",IF(H34=P34,"DISTRIBUTION",IF(I34=P34,"BRANCH",IF(J34=P34,"POWER",IF(K34=P34,"QUALITY",IF(N34=P34,"WATER",IF(O34=P34,"CIVIL RELEASE","MULTIPLE")))))))))</x:f>
        <x:v>BRANCH</x:v>
      </x:c>
    </x:row>
    <x:row r="35" ht="43" customHeight="1">
      <x:c r="C35" s="11" t="str">
        <x:f>'02 Architectures'!C7</x:f>
        <x:v>R2</x:v>
      </x:c>
      <x:c r="D35" s="17" t="str">
        <x:f>C11</x:f>
        <x:v>W6</x:v>
      </x:c>
      <x:c r="E35" s="17" t="n">
        <x:f>MAX('02 Architectures'!E7-E11,0)</x:f>
        <x:v>2</x:v>
      </x:c>
      <x:c r="F35" s="21" t="n">
        <x:f>E35*'02 Architectures'!F7</x:f>
        <x:v>1</x:v>
      </x:c>
      <x:c r="G35" s="21" t="n">
        <x:f>IF('02 Architectures'!E7&gt;0,MIN(E35/'02 Architectures'!E7+'02 Architectures'!N7*MIN(E11/'02 Architectures'!E7,1),1),"n.a.")</x:f>
        <x:v>1</x:v>
      </x:c>
      <x:c r="H35" s="21" t="n">
        <x:f>IF(F11=1,1,IF('02 Architectures'!H7&gt;='02 Architectures'!E7,1,0))</x:f>
        <x:v>1</x:v>
      </x:c>
      <x:c r="I35" s="21" t="n">
        <x:f>IF(H11=1,1,IF('02 Architectures'!I7&gt;='02 Architectures'!E7,1,0))</x:f>
        <x:v>1</x:v>
      </x:c>
      <x:c r="J35" s="21" t="n">
        <x:f>IF(I11=1,1,IF('02 Architectures'!J7&gt;='02 Architectures'!E7,1,0))</x:f>
        <x:v>0</x:v>
      </x:c>
      <x:c r="K35" s="21" t="n">
        <x:f>IF(J11=1,1,IF('02 Architectures'!K7&gt;='02 Architectures'!E7,1,0))</x:f>
        <x:v>1</x:v>
      </x:c>
      <x:c r="L35" s="21" t="n">
        <x:f>IF(K11=0,MIN('02 Architectures'!U7*E35/'02 Architectures'!E7/('01 Controls'!$D$6*'01 Controls'!$D$9/24),1),0)</x:f>
        <x:v>0</x:v>
      </x:c>
      <x:c r="M35" s="21" t="n">
        <x:f>MAX(L11*G11*K11,'02 Architectures'!O7)</x:f>
        <x:v>1</x:v>
      </x:c>
      <x:c r="N35" s="21" t="n">
        <x:f>IF(K11=0,MAX(L35,M35),M35)</x:f>
        <x:v>1</x:v>
      </x:c>
      <x:c r="O35" s="21" t="n">
        <x:f>M11</x:f>
        <x:v>1</x:v>
      </x:c>
      <x:c r="P35" s="21" t="n">
        <x:f>MIN(F35,G35,H35,I35,J35,K35,N35,O35)</x:f>
        <x:v>0</x:v>
      </x:c>
      <x:c r="Q35" s="21" t="n">
        <x:f>N11</x:f>
        <x:v>0.5</x:v>
      </x:c>
      <x:c r="R35" s="17" t="str">
        <x:f>IF(P35&gt;=Q35,"PASS","FAIL")</x:f>
        <x:v>FAIL</x:v>
      </x:c>
      <x:c r="S35" s="17" t="str">
        <x:v>UNTESTED</x:v>
      </x:c>
      <x:c r="T35" s="17" t="str">
        <x:f>IF(P35&gt;=Q35,"NONE",IF(F35=P35,"ISLAND CAPACITY",IF(G35=P35,"CATCHMENT ACCESS",IF(H35=P35,"DISTRIBUTION",IF(I35=P35,"BRANCH",IF(J35=P35,"POWER",IF(K35=P35,"QUALITY",IF(N35=P35,"WATER",IF(O35=P35,"CIVIL RELEASE","MULTIPLE")))))))))</x:f>
        <x:v>POWER</x:v>
      </x:c>
    </x:row>
    <x:row r="36" ht="43" customHeight="1">
      <x:c r="C36" s="11" t="str">
        <x:f>'02 Architectures'!C7</x:f>
        <x:v>R2</x:v>
      </x:c>
      <x:c r="D36" s="17" t="str">
        <x:f>C12</x:f>
        <x:v>W7</x:v>
      </x:c>
      <x:c r="E36" s="17" t="n">
        <x:f>MAX('02 Architectures'!E7-E12,0)</x:f>
        <x:v>2</x:v>
      </x:c>
      <x:c r="F36" s="21" t="n">
        <x:f>E36*'02 Architectures'!F7</x:f>
        <x:v>1</x:v>
      </x:c>
      <x:c r="G36" s="21" t="n">
        <x:f>IF('02 Architectures'!E7&gt;0,MIN(E36/'02 Architectures'!E7+'02 Architectures'!N7*MIN(E12/'02 Architectures'!E7,1),1),"n.a.")</x:f>
        <x:v>1</x:v>
      </x:c>
      <x:c r="H36" s="21" t="n">
        <x:f>IF(F12=1,1,IF('02 Architectures'!H7&gt;='02 Architectures'!E7,1,0))</x:f>
        <x:v>1</x:v>
      </x:c>
      <x:c r="I36" s="21" t="n">
        <x:f>IF(H12=1,1,IF('02 Architectures'!I7&gt;='02 Architectures'!E7,1,0))</x:f>
        <x:v>1</x:v>
      </x:c>
      <x:c r="J36" s="21" t="n">
        <x:f>IF(I12=1,1,IF('02 Architectures'!J7&gt;='02 Architectures'!E7,1,0))</x:f>
        <x:v>1</x:v>
      </x:c>
      <x:c r="K36" s="21" t="n">
        <x:f>IF(J12=1,1,IF('02 Architectures'!K7&gt;='02 Architectures'!E7,1,0))</x:f>
        <x:v>0</x:v>
      </x:c>
      <x:c r="L36" s="21" t="n">
        <x:f>IF(K12=0,MIN('02 Architectures'!U7*E36/'02 Architectures'!E7/('01 Controls'!$D$6*'01 Controls'!$D$9/24),1),0)</x:f>
        <x:v>0</x:v>
      </x:c>
      <x:c r="M36" s="21" t="n">
        <x:f>MAX(L12*G12*K12,'02 Architectures'!O7)</x:f>
        <x:v>1</x:v>
      </x:c>
      <x:c r="N36" s="21" t="n">
        <x:f>IF(K12=0,MAX(L36,M36),M36)</x:f>
        <x:v>1</x:v>
      </x:c>
      <x:c r="O36" s="21" t="n">
        <x:f>M12</x:f>
        <x:v>1</x:v>
      </x:c>
      <x:c r="P36" s="21" t="n">
        <x:f>MIN(F36,G36,H36,I36,J36,K36,N36,O36)</x:f>
        <x:v>0</x:v>
      </x:c>
      <x:c r="Q36" s="21" t="n">
        <x:f>N12</x:f>
        <x:v>0.5</x:v>
      </x:c>
      <x:c r="R36" s="17" t="str">
        <x:f>IF(P36&gt;=Q36,"PASS","FAIL")</x:f>
        <x:v>FAIL</x:v>
      </x:c>
      <x:c r="S36" s="17" t="str">
        <x:v>UNTESTED</x:v>
      </x:c>
      <x:c r="T36" s="17" t="str">
        <x:f>IF(P36&gt;=Q36,"NONE",IF(F36=P36,"ISLAND CAPACITY",IF(G36=P36,"CATCHMENT ACCESS",IF(H36=P36,"DISTRIBUTION",IF(I36=P36,"BRANCH",IF(J36=P36,"POWER",IF(K36=P36,"QUALITY",IF(N36=P36,"WATER",IF(O36=P36,"CIVIL RELEASE","MULTIPLE")))))))))</x:f>
        <x:v>QUALITY</x:v>
      </x:c>
    </x:row>
    <x:row r="37" ht="43" customHeight="1">
      <x:c r="C37" s="11" t="str">
        <x:f>'02 Architectures'!C7</x:f>
        <x:v>R2</x:v>
      </x:c>
      <x:c r="D37" s="17" t="str">
        <x:f>C13</x:f>
        <x:v>W8</x:v>
      </x:c>
      <x:c r="E37" s="17" t="n">
        <x:f>MAX('02 Architectures'!E7-E13,0)</x:f>
        <x:v>1</x:v>
      </x:c>
      <x:c r="F37" s="21" t="n">
        <x:f>E37*'02 Architectures'!F7</x:f>
        <x:v>0.5</x:v>
      </x:c>
      <x:c r="G37" s="21" t="n">
        <x:f>IF('02 Architectures'!E7&gt;0,MIN(E37/'02 Architectures'!E7+'02 Architectures'!N7*MIN(E13/'02 Architectures'!E7,1),1),"n.a.")</x:f>
        <x:v>0.625</x:v>
      </x:c>
      <x:c r="H37" s="21" t="n">
        <x:f>IF(F13=1,1,IF('02 Architectures'!H7&gt;='02 Architectures'!E7,1,0))</x:f>
        <x:v>1</x:v>
      </x:c>
      <x:c r="I37" s="21" t="n">
        <x:f>IF(H13=1,1,IF('02 Architectures'!I7&gt;='02 Architectures'!E7,1,0))</x:f>
        <x:v>1</x:v>
      </x:c>
      <x:c r="J37" s="21" t="n">
        <x:f>IF(I13=1,1,IF('02 Architectures'!J7&gt;='02 Architectures'!E7,1,0))</x:f>
        <x:v>1</x:v>
      </x:c>
      <x:c r="K37" s="21" t="n">
        <x:f>IF(J13=1,1,IF('02 Architectures'!K7&gt;='02 Architectures'!E7,1,0))</x:f>
        <x:v>1</x:v>
      </x:c>
      <x:c r="L37" s="21" t="n">
        <x:f>IF(K13=0,MIN('02 Architectures'!U7*E37/'02 Architectures'!E7/('01 Controls'!$D$6*'01 Controls'!$D$9/24),1),0)</x:f>
        <x:v>0.425</x:v>
      </x:c>
      <x:c r="M37" s="21" t="n">
        <x:f>MAX(L13*G13*K13,'02 Architectures'!O7)</x:f>
        <x:v>0</x:v>
      </x:c>
      <x:c r="N37" s="21" t="n">
        <x:f>IF(K13=0,MAX(L37,M37),M37)</x:f>
        <x:v>0.425</x:v>
      </x:c>
      <x:c r="O37" s="21" t="n">
        <x:f>M13</x:f>
        <x:v>1</x:v>
      </x:c>
      <x:c r="P37" s="21" t="n">
        <x:f>MIN(F37,G37,H37,I37,J37,K37,N37,O37)</x:f>
        <x:v>0.425</x:v>
      </x:c>
      <x:c r="Q37" s="21" t="n">
        <x:f>N13</x:f>
        <x:v>0.5</x:v>
      </x:c>
      <x:c r="R37" s="17" t="str">
        <x:f>IF(P37&gt;=Q37,"PASS","FAIL")</x:f>
        <x:v>FAIL</x:v>
      </x:c>
      <x:c r="S37" s="17" t="str">
        <x:v>UNTESTED</x:v>
      </x:c>
      <x:c r="T37" s="17" t="str">
        <x:f>IF(P37&gt;=Q37,"NONE",IF(F37=P37,"ISLAND CAPACITY",IF(G37=P37,"CATCHMENT ACCESS",IF(H37=P37,"DISTRIBUTION",IF(I37=P37,"BRANCH",IF(J37=P37,"POWER",IF(K37=P37,"QUALITY",IF(N37=P37,"WATER",IF(O37=P37,"CIVIL RELEASE","MULTIPLE")))))))))</x:f>
        <x:v>WATER</x:v>
      </x:c>
    </x:row>
    <x:row r="38" ht="43" customHeight="1">
      <x:c r="C38" s="11" t="str">
        <x:f>'02 Architectures'!C7</x:f>
        <x:v>R2</x:v>
      </x:c>
      <x:c r="D38" s="17" t="str">
        <x:f>C14</x:f>
        <x:v>W9</x:v>
      </x:c>
      <x:c r="E38" s="17" t="n">
        <x:f>MAX('02 Architectures'!E7-E14,0)</x:f>
        <x:v>2</x:v>
      </x:c>
      <x:c r="F38" s="21" t="n">
        <x:f>E38*'02 Architectures'!F7</x:f>
        <x:v>1</x:v>
      </x:c>
      <x:c r="G38" s="21" t="n">
        <x:f>IF('02 Architectures'!E7&gt;0,MIN(E38/'02 Architectures'!E7+'02 Architectures'!N7*MIN(E14/'02 Architectures'!E7,1),1),"n.a.")</x:f>
        <x:v>1</x:v>
      </x:c>
      <x:c r="H38" s="21" t="n">
        <x:f>IF(F14=1,1,IF('02 Architectures'!H7&gt;='02 Architectures'!E7,1,0))</x:f>
        <x:v>1</x:v>
      </x:c>
      <x:c r="I38" s="21" t="n">
        <x:f>IF(H14=1,1,IF('02 Architectures'!I7&gt;='02 Architectures'!E7,1,0))</x:f>
        <x:v>1</x:v>
      </x:c>
      <x:c r="J38" s="21" t="n">
        <x:f>IF(I14=1,1,IF('02 Architectures'!J7&gt;='02 Architectures'!E7,1,0))</x:f>
        <x:v>1</x:v>
      </x:c>
      <x:c r="K38" s="21" t="n">
        <x:f>IF(J14=1,1,IF('02 Architectures'!K7&gt;='02 Architectures'!E7,1,0))</x:f>
        <x:v>1</x:v>
      </x:c>
      <x:c r="L38" s="21" t="n">
        <x:f>IF(K14=0,MIN('02 Architectures'!U7*E38/'02 Architectures'!E7/('01 Controls'!$D$6*'01 Controls'!$D$9/24),1),0)</x:f>
        <x:v>0</x:v>
      </x:c>
      <x:c r="M38" s="21" t="n">
        <x:f>MAX(L14*G14*K14,'02 Architectures'!O7)</x:f>
        <x:v>0</x:v>
      </x:c>
      <x:c r="N38" s="21" t="n">
        <x:f>IF(K14=0,MAX(L38,M38),M38)</x:f>
        <x:v>0</x:v>
      </x:c>
      <x:c r="O38" s="21" t="n">
        <x:f>M14</x:f>
        <x:v>1</x:v>
      </x:c>
      <x:c r="P38" s="21" t="n">
        <x:f>MIN(F38,G38,H38,I38,J38,K38,N38,O38)</x:f>
        <x:v>0</x:v>
      </x:c>
      <x:c r="Q38" s="21" t="n">
        <x:f>N14</x:f>
        <x:v>0.5</x:v>
      </x:c>
      <x:c r="R38" s="17" t="str">
        <x:f>IF(P38&gt;=Q38,"PASS","FAIL")</x:f>
        <x:v>FAIL</x:v>
      </x:c>
      <x:c r="S38" s="17" t="str">
        <x:v>UNTESTED</x:v>
      </x:c>
      <x:c r="T38" s="17" t="str">
        <x:f>IF(P38&gt;=Q38,"NONE",IF(F38=P38,"ISLAND CAPACITY",IF(G38=P38,"CATCHMENT ACCESS",IF(H38=P38,"DISTRIBUTION",IF(I38=P38,"BRANCH",IF(J38=P38,"POWER",IF(K38=P38,"QUALITY",IF(N38=P38,"WATER",IF(O38=P38,"CIVIL RELEASE","MULTIPLE")))))))))</x:f>
        <x:v>WATER</x:v>
      </x:c>
    </x:row>
    <x:row r="39" ht="43" customHeight="1">
      <x:c r="C39" s="11" t="str">
        <x:f>'02 Architectures'!C7</x:f>
        <x:v>R2</x:v>
      </x:c>
      <x:c r="D39" s="17" t="str">
        <x:f>C15</x:f>
        <x:v>W10</x:v>
      </x:c>
      <x:c r="E39" s="17" t="n">
        <x:f>MAX('02 Architectures'!E7-E15,0)</x:f>
        <x:v>2</x:v>
      </x:c>
      <x:c r="F39" s="21" t="n">
        <x:f>E39*'02 Architectures'!F7</x:f>
        <x:v>1</x:v>
      </x:c>
      <x:c r="G39" s="21" t="n">
        <x:f>IF('02 Architectures'!E7&gt;0,MIN(E39/'02 Architectures'!E7+'02 Architectures'!N7*MIN(E15/'02 Architectures'!E7,1),1),"n.a.")</x:f>
        <x:v>1</x:v>
      </x:c>
      <x:c r="H39" s="21" t="n">
        <x:f>IF(F15=1,1,IF('02 Architectures'!H7&gt;='02 Architectures'!E7,1,0))</x:f>
        <x:v>1</x:v>
      </x:c>
      <x:c r="I39" s="21" t="n">
        <x:f>IF(H15=1,1,IF('02 Architectures'!I7&gt;='02 Architectures'!E7,1,0))</x:f>
        <x:v>1</x:v>
      </x:c>
      <x:c r="J39" s="21" t="n">
        <x:f>IF(I15=1,1,IF('02 Architectures'!J7&gt;='02 Architectures'!E7,1,0))</x:f>
        <x:v>1</x:v>
      </x:c>
      <x:c r="K39" s="21" t="n">
        <x:f>IF(J15=1,1,IF('02 Architectures'!K7&gt;='02 Architectures'!E7,1,0))</x:f>
        <x:v>1</x:v>
      </x:c>
      <x:c r="L39" s="21" t="n">
        <x:f>IF(K15=0,MIN('02 Architectures'!U7*E39/'02 Architectures'!E7/('01 Controls'!$D$6*'01 Controls'!$D$9/24),1),0)</x:f>
        <x:v>0</x:v>
      </x:c>
      <x:c r="M39" s="21" t="n">
        <x:f>MAX(L15*G15*K15,'02 Architectures'!O7)</x:f>
        <x:v>0</x:v>
      </x:c>
      <x:c r="N39" s="21" t="n">
        <x:f>IF(K15=0,MAX(L39,M39),M39)</x:f>
        <x:v>0</x:v>
      </x:c>
      <x:c r="O39" s="21" t="n">
        <x:f>M15</x:f>
        <x:v>0</x:v>
      </x:c>
      <x:c r="P39" s="21" t="n">
        <x:f>MIN(F39,G39,H39,I39,J39,K39,N39,O39)</x:f>
        <x:v>0</x:v>
      </x:c>
      <x:c r="Q39" s="21" t="n">
        <x:f>N15</x:f>
        <x:v>0.5</x:v>
      </x:c>
      <x:c r="R39" s="17" t="str">
        <x:f>IF(P39&gt;=Q39,"PASS","FAIL")</x:f>
        <x:v>FAIL</x:v>
      </x:c>
      <x:c r="S39" s="17" t="str">
        <x:v>UNTESTED</x:v>
      </x:c>
      <x:c r="T39" s="17" t="str">
        <x:f>IF(P39&gt;=Q39,"NONE",IF(F39=P39,"ISLAND CAPACITY",IF(G39=P39,"CATCHMENT ACCESS",IF(H39=P39,"DISTRIBUTION",IF(I39=P39,"BRANCH",IF(J39=P39,"POWER",IF(K39=P39,"QUALITY",IF(N39=P39,"WATER",IF(O39=P39,"CIVIL RELEASE","MULTIPLE")))))))))</x:f>
        <x:v>WATER</x:v>
      </x:c>
    </x:row>
    <x:row r="40" ht="43" customHeight="1">
      <x:c r="C40" s="11" t="str">
        <x:f>'02 Architectures'!C8</x:f>
        <x:v>R3</x:v>
      </x:c>
      <x:c r="D40" s="17" t="str">
        <x:f>C6</x:f>
        <x:v>W1</x:v>
      </x:c>
      <x:c r="E40" s="17" t="n">
        <x:f>MAX('02 Architectures'!E8-E6,0)</x:f>
        <x:v>2</x:v>
      </x:c>
      <x:c r="F40" s="21" t="n">
        <x:f>E40*'02 Architectures'!F8</x:f>
        <x:v>1</x:v>
      </x:c>
      <x:c r="G40" s="21" t="n">
        <x:f>IF('02 Architectures'!E8&gt;0,MIN(E40/'02 Architectures'!E8+'02 Architectures'!N8*MIN(E6/'02 Architectures'!E8,1),1),"n.a.")</x:f>
        <x:v>0.8333333333333333</x:v>
      </x:c>
      <x:c r="H40" s="21" t="n">
        <x:f>IF(F6=1,1,IF('02 Architectures'!H8&gt;='02 Architectures'!E8,1,0))</x:f>
        <x:v>1</x:v>
      </x:c>
      <x:c r="I40" s="21" t="n">
        <x:f>IF(H6=1,1,IF('02 Architectures'!I8&gt;='02 Architectures'!E8,1,0))</x:f>
        <x:v>1</x:v>
      </x:c>
      <x:c r="J40" s="21" t="n">
        <x:f>IF(I6=1,1,IF('02 Architectures'!J8&gt;='02 Architectures'!E8,1,0))</x:f>
        <x:v>1</x:v>
      </x:c>
      <x:c r="K40" s="21" t="n">
        <x:f>IF(J6=1,1,IF('02 Architectures'!K8&gt;='02 Architectures'!E8,1,0))</x:f>
        <x:v>1</x:v>
      </x:c>
      <x:c r="L40" s="21" t="n">
        <x:f>IF(K6=0,MIN('02 Architectures'!U8*E40/'02 Architectures'!E8/('01 Controls'!$D$6*'01 Controls'!$D$9/24),1),0)</x:f>
        <x:v>0</x:v>
      </x:c>
      <x:c r="M40" s="21" t="n">
        <x:f>MAX(L6*G6*K6,'02 Architectures'!O8)</x:f>
        <x:v>1</x:v>
      </x:c>
      <x:c r="N40" s="21" t="n">
        <x:f>IF(K6=0,MAX(L40,M40),M40)</x:f>
        <x:v>1</x:v>
      </x:c>
      <x:c r="O40" s="21" t="n">
        <x:f>M6</x:f>
        <x:v>1</x:v>
      </x:c>
      <x:c r="P40" s="21" t="n">
        <x:f>MIN(F40,G40,H40,I40,J40,K40,N40,O40)</x:f>
        <x:v>0.8333333333333333</x:v>
      </x:c>
      <x:c r="Q40" s="21" t="n">
        <x:f>N6</x:f>
        <x:v>0.5</x:v>
      </x:c>
      <x:c r="R40" s="17" t="str">
        <x:f>IF(P40&gt;=Q40,"PASS","FAIL")</x:f>
        <x:v>PASS</x:v>
      </x:c>
      <x:c r="S40" s="17" t="str">
        <x:v>UNTESTED</x:v>
      </x:c>
      <x:c r="T40" s="17" t="str">
        <x:f>IF(P40&gt;=Q40,"NONE",IF(F40=P40,"ISLAND CAPACITY",IF(G40=P40,"CATCHMENT ACCESS",IF(H40=P40,"DISTRIBUTION",IF(I40=P40,"BRANCH",IF(J40=P40,"POWER",IF(K40=P40,"QUALITY",IF(N40=P40,"WATER",IF(O40=P40,"CIVIL RELEASE","MULTIPLE")))))))))</x:f>
        <x:v>NONE</x:v>
      </x:c>
    </x:row>
    <x:row r="41" ht="43" customHeight="1">
      <x:c r="C41" s="11" t="str">
        <x:f>'02 Architectures'!C8</x:f>
        <x:v>R3</x:v>
      </x:c>
      <x:c r="D41" s="17" t="str">
        <x:f>C7</x:f>
        <x:v>W2</x:v>
      </x:c>
      <x:c r="E41" s="17" t="n">
        <x:f>MAX('02 Architectures'!E8-E7,0)</x:f>
        <x:v>1</x:v>
      </x:c>
      <x:c r="F41" s="21" t="n">
        <x:f>E41*'02 Architectures'!F8</x:f>
        <x:v>0.5</x:v>
      </x:c>
      <x:c r="G41" s="21" t="n">
        <x:f>IF('02 Architectures'!E8&gt;0,MIN(E41/'02 Architectures'!E8+'02 Architectures'!N8*MIN(E7/'02 Architectures'!E8,1),1),"n.a.")</x:f>
        <x:v>0.6666666666666666</x:v>
      </x:c>
      <x:c r="H41" s="21" t="n">
        <x:f>IF(F7=1,1,IF('02 Architectures'!H8&gt;='02 Architectures'!E8,1,0))</x:f>
        <x:v>1</x:v>
      </x:c>
      <x:c r="I41" s="21" t="n">
        <x:f>IF(H7=1,1,IF('02 Architectures'!I8&gt;='02 Architectures'!E8,1,0))</x:f>
        <x:v>1</x:v>
      </x:c>
      <x:c r="J41" s="21" t="n">
        <x:f>IF(I7=1,1,IF('02 Architectures'!J8&gt;='02 Architectures'!E8,1,0))</x:f>
        <x:v>1</x:v>
      </x:c>
      <x:c r="K41" s="21" t="n">
        <x:f>IF(J7=1,1,IF('02 Architectures'!K8&gt;='02 Architectures'!E8,1,0))</x:f>
        <x:v>1</x:v>
      </x:c>
      <x:c r="L41" s="21" t="n">
        <x:f>IF(K7=0,MIN('02 Architectures'!U8*E41/'02 Architectures'!E8/('01 Controls'!$D$6*'01 Controls'!$D$9/24),1),0)</x:f>
        <x:v>0</x:v>
      </x:c>
      <x:c r="M41" s="21" t="n">
        <x:f>MAX(L7*G7*K7,'02 Architectures'!O8)</x:f>
        <x:v>1</x:v>
      </x:c>
      <x:c r="N41" s="21" t="n">
        <x:f>IF(K7=0,MAX(L41,M41),M41)</x:f>
        <x:v>1</x:v>
      </x:c>
      <x:c r="O41" s="21" t="n">
        <x:f>M7</x:f>
        <x:v>1</x:v>
      </x:c>
      <x:c r="P41" s="21" t="n">
        <x:f>MIN(F41,G41,H41,I41,J41,K41,N41,O41)</x:f>
        <x:v>0.5</x:v>
      </x:c>
      <x:c r="Q41" s="21" t="n">
        <x:f>N7</x:f>
        <x:v>0.5</x:v>
      </x:c>
      <x:c r="R41" s="17" t="str">
        <x:f>IF(P41&gt;=Q41,"PASS","FAIL")</x:f>
        <x:v>PASS</x:v>
      </x:c>
      <x:c r="S41" s="17" t="str">
        <x:v>UNTESTED</x:v>
      </x:c>
      <x:c r="T41" s="17" t="str">
        <x:f>IF(P41&gt;=Q41,"NONE",IF(F41=P41,"ISLAND CAPACITY",IF(G41=P41,"CATCHMENT ACCESS",IF(H41=P41,"DISTRIBUTION",IF(I41=P41,"BRANCH",IF(J41=P41,"POWER",IF(K41=P41,"QUALITY",IF(N41=P41,"WATER",IF(O41=P41,"CIVIL RELEASE","MULTIPLE")))))))))</x:f>
        <x:v>NONE</x:v>
      </x:c>
    </x:row>
    <x:row r="42" ht="43" customHeight="1">
      <x:c r="C42" s="11" t="str">
        <x:f>'02 Architectures'!C8</x:f>
        <x:v>R3</x:v>
      </x:c>
      <x:c r="D42" s="17" t="str">
        <x:f>C8</x:f>
        <x:v>W3</x:v>
      </x:c>
      <x:c r="E42" s="17" t="n">
        <x:f>MAX('02 Architectures'!E8-E8,0)</x:f>
        <x:v>3</x:v>
      </x:c>
      <x:c r="F42" s="21" t="n">
        <x:f>E42*'02 Architectures'!F8</x:f>
        <x:v>1.5</x:v>
      </x:c>
      <x:c r="G42" s="21" t="n">
        <x:f>IF('02 Architectures'!E8&gt;0,MIN(E42/'02 Architectures'!E8+'02 Architectures'!N8*MIN(E8/'02 Architectures'!E8,1),1),"n.a.")</x:f>
        <x:v>1</x:v>
      </x:c>
      <x:c r="H42" s="21" t="n">
        <x:f>IF(F8=1,1,IF('02 Architectures'!H8&gt;='02 Architectures'!E8,1,0))</x:f>
        <x:v>1</x:v>
      </x:c>
      <x:c r="I42" s="21" t="n">
        <x:f>IF(H8=1,1,IF('02 Architectures'!I8&gt;='02 Architectures'!E8,1,0))</x:f>
        <x:v>1</x:v>
      </x:c>
      <x:c r="J42" s="21" t="n">
        <x:f>IF(I8=1,1,IF('02 Architectures'!J8&gt;='02 Architectures'!E8,1,0))</x:f>
        <x:v>1</x:v>
      </x:c>
      <x:c r="K42" s="21" t="n">
        <x:f>IF(J8=1,1,IF('02 Architectures'!K8&gt;='02 Architectures'!E8,1,0))</x:f>
        <x:v>1</x:v>
      </x:c>
      <x:c r="L42" s="21" t="n">
        <x:f>IF(K8=0,MIN('02 Architectures'!U8*E42/'02 Architectures'!E8/('01 Controls'!$D$6*'01 Controls'!$D$9/24),1),0)</x:f>
        <x:v>0</x:v>
      </x:c>
      <x:c r="M42" s="21" t="n">
        <x:f>MAX(L8*G8*K8,'02 Architectures'!O8)</x:f>
        <x:v>1</x:v>
      </x:c>
      <x:c r="N42" s="21" t="n">
        <x:f>IF(K8=0,MAX(L42,M42),M42)</x:f>
        <x:v>1</x:v>
      </x:c>
      <x:c r="O42" s="21" t="n">
        <x:f>M8</x:f>
        <x:v>1</x:v>
      </x:c>
      <x:c r="P42" s="21" t="n">
        <x:f>MIN(F42,G42,H42,I42,J42,K42,N42,O42)</x:f>
        <x:v>1</x:v>
      </x:c>
      <x:c r="Q42" s="21" t="n">
        <x:f>N8</x:f>
        <x:v>0.5</x:v>
      </x:c>
      <x:c r="R42" s="17" t="str">
        <x:f>IF(P42&gt;=Q42,"PASS","FAIL")</x:f>
        <x:v>PASS</x:v>
      </x:c>
      <x:c r="S42" s="17" t="str">
        <x:v>UNTESTED</x:v>
      </x:c>
      <x:c r="T42" s="17" t="str">
        <x:f>IF(P42&gt;=Q42,"NONE",IF(F42=P42,"ISLAND CAPACITY",IF(G42=P42,"CATCHMENT ACCESS",IF(H42=P42,"DISTRIBUTION",IF(I42=P42,"BRANCH",IF(J42=P42,"POWER",IF(K42=P42,"QUALITY",IF(N42=P42,"WATER",IF(O42=P42,"CIVIL RELEASE","MULTIPLE")))))))))</x:f>
        <x:v>NONE</x:v>
      </x:c>
    </x:row>
    <x:row r="43" ht="43" customHeight="1">
      <x:c r="C43" s="11" t="str">
        <x:f>'02 Architectures'!C8</x:f>
        <x:v>R3</x:v>
      </x:c>
      <x:c r="D43" s="17" t="str">
        <x:f>C9</x:f>
        <x:v>W4</x:v>
      </x:c>
      <x:c r="E43" s="17" t="n">
        <x:f>MAX('02 Architectures'!E8-E9,0)</x:f>
        <x:v>3</x:v>
      </x:c>
      <x:c r="F43" s="21" t="n">
        <x:f>E43*'02 Architectures'!F8</x:f>
        <x:v>1.5</x:v>
      </x:c>
      <x:c r="G43" s="21" t="n">
        <x:f>IF('02 Architectures'!E8&gt;0,MIN(E43/'02 Architectures'!E8+'02 Architectures'!N8*MIN(E9/'02 Architectures'!E8,1),1),"n.a.")</x:f>
        <x:v>1</x:v>
      </x:c>
      <x:c r="H43" s="21" t="n">
        <x:f>IF(F9=1,1,IF('02 Architectures'!H8&gt;='02 Architectures'!E8,1,0))</x:f>
        <x:v>1</x:v>
      </x:c>
      <x:c r="I43" s="21" t="n">
        <x:f>IF(H9=1,1,IF('02 Architectures'!I8&gt;='02 Architectures'!E8,1,0))</x:f>
        <x:v>1</x:v>
      </x:c>
      <x:c r="J43" s="21" t="n">
        <x:f>IF(I9=1,1,IF('02 Architectures'!J8&gt;='02 Architectures'!E8,1,0))</x:f>
        <x:v>1</x:v>
      </x:c>
      <x:c r="K43" s="21" t="n">
        <x:f>IF(J9=1,1,IF('02 Architectures'!K8&gt;='02 Architectures'!E8,1,0))</x:f>
        <x:v>1</x:v>
      </x:c>
      <x:c r="L43" s="21" t="n">
        <x:f>IF(K9=0,MIN('02 Architectures'!U8*E43/'02 Architectures'!E8/('01 Controls'!$D$6*'01 Controls'!$D$9/24),1),0)</x:f>
        <x:v>0</x:v>
      </x:c>
      <x:c r="M43" s="21" t="n">
        <x:f>MAX(L9*G9*K9,'02 Architectures'!O8)</x:f>
        <x:v>0.5</x:v>
      </x:c>
      <x:c r="N43" s="21" t="n">
        <x:f>IF(K9=0,MAX(L43,M43),M43)</x:f>
        <x:v>0.5</x:v>
      </x:c>
      <x:c r="O43" s="21" t="n">
        <x:f>M9</x:f>
        <x:v>1</x:v>
      </x:c>
      <x:c r="P43" s="21" t="n">
        <x:f>MIN(F43,G43,H43,I43,J43,K43,N43,O43)</x:f>
        <x:v>0.5</x:v>
      </x:c>
      <x:c r="Q43" s="21" t="n">
        <x:f>N9</x:f>
        <x:v>0.5</x:v>
      </x:c>
      <x:c r="R43" s="17" t="str">
        <x:f>IF(P43&gt;=Q43,"PASS","FAIL")</x:f>
        <x:v>PASS</x:v>
      </x:c>
      <x:c r="S43" s="17" t="str">
        <x:v>UNTESTED</x:v>
      </x:c>
      <x:c r="T43" s="17" t="str">
        <x:f>IF(P43&gt;=Q43,"NONE",IF(F43=P43,"ISLAND CAPACITY",IF(G43=P43,"CATCHMENT ACCESS",IF(H43=P43,"DISTRIBUTION",IF(I43=P43,"BRANCH",IF(J43=P43,"POWER",IF(K43=P43,"QUALITY",IF(N43=P43,"WATER",IF(O43=P43,"CIVIL RELEASE","MULTIPLE")))))))))</x:f>
        <x:v>NONE</x:v>
      </x:c>
    </x:row>
    <x:row r="44" ht="43" customHeight="1">
      <x:c r="C44" s="11" t="str">
        <x:f>'02 Architectures'!C8</x:f>
        <x:v>R3</x:v>
      </x:c>
      <x:c r="D44" s="17" t="str">
        <x:f>C10</x:f>
        <x:v>W5</x:v>
      </x:c>
      <x:c r="E44" s="17" t="n">
        <x:f>MAX('02 Architectures'!E8-E10,0)</x:f>
        <x:v>3</x:v>
      </x:c>
      <x:c r="F44" s="21" t="n">
        <x:f>E44*'02 Architectures'!F8</x:f>
        <x:v>1.5</x:v>
      </x:c>
      <x:c r="G44" s="21" t="n">
        <x:f>IF('02 Architectures'!E8&gt;0,MIN(E44/'02 Architectures'!E8+'02 Architectures'!N8*MIN(E10/'02 Architectures'!E8,1),1),"n.a.")</x:f>
        <x:v>1</x:v>
      </x:c>
      <x:c r="H44" s="21" t="n">
        <x:f>IF(F10=1,1,IF('02 Architectures'!H8&gt;='02 Architectures'!E8,1,0))</x:f>
        <x:v>1</x:v>
      </x:c>
      <x:c r="I44" s="21" t="n">
        <x:f>IF(H10=1,1,IF('02 Architectures'!I8&gt;='02 Architectures'!E8,1,0))</x:f>
        <x:v>1</x:v>
      </x:c>
      <x:c r="J44" s="21" t="n">
        <x:f>IF(I10=1,1,IF('02 Architectures'!J8&gt;='02 Architectures'!E8,1,0))</x:f>
        <x:v>1</x:v>
      </x:c>
      <x:c r="K44" s="21" t="n">
        <x:f>IF(J10=1,1,IF('02 Architectures'!K8&gt;='02 Architectures'!E8,1,0))</x:f>
        <x:v>1</x:v>
      </x:c>
      <x:c r="L44" s="21" t="n">
        <x:f>IF(K10=0,MIN('02 Architectures'!U8*E44/'02 Architectures'!E8/('01 Controls'!$D$6*'01 Controls'!$D$9/24),1),0)</x:f>
        <x:v>0</x:v>
      </x:c>
      <x:c r="M44" s="21" t="n">
        <x:f>MAX(L10*G10*K10,'02 Architectures'!O8)</x:f>
        <x:v>1</x:v>
      </x:c>
      <x:c r="N44" s="21" t="n">
        <x:f>IF(K10=0,MAX(L44,M44),M44)</x:f>
        <x:v>1</x:v>
      </x:c>
      <x:c r="O44" s="21" t="n">
        <x:f>M10</x:f>
        <x:v>1</x:v>
      </x:c>
      <x:c r="P44" s="21" t="n">
        <x:f>MIN(F44,G44,H44,I44,J44,K44,N44,O44)</x:f>
        <x:v>1</x:v>
      </x:c>
      <x:c r="Q44" s="21" t="n">
        <x:f>N10</x:f>
        <x:v>0.5</x:v>
      </x:c>
      <x:c r="R44" s="17" t="str">
        <x:f>IF(P44&gt;=Q44,"PASS","FAIL")</x:f>
        <x:v>PASS</x:v>
      </x:c>
      <x:c r="S44" s="17" t="str">
        <x:v>UNTESTED</x:v>
      </x:c>
      <x:c r="T44" s="17" t="str">
        <x:f>IF(P44&gt;=Q44,"NONE",IF(F44=P44,"ISLAND CAPACITY",IF(G44=P44,"CATCHMENT ACCESS",IF(H44=P44,"DISTRIBUTION",IF(I44=P44,"BRANCH",IF(J44=P44,"POWER",IF(K44=P44,"QUALITY",IF(N44=P44,"WATER",IF(O44=P44,"CIVIL RELEASE","MULTIPLE")))))))))</x:f>
        <x:v>NONE</x:v>
      </x:c>
    </x:row>
    <x:row r="45" ht="43" customHeight="1">
      <x:c r="C45" s="11" t="str">
        <x:f>'02 Architectures'!C8</x:f>
        <x:v>R3</x:v>
      </x:c>
      <x:c r="D45" s="17" t="str">
        <x:f>C11</x:f>
        <x:v>W6</x:v>
      </x:c>
      <x:c r="E45" s="17" t="n">
        <x:f>MAX('02 Architectures'!E8-E11,0)</x:f>
        <x:v>3</x:v>
      </x:c>
      <x:c r="F45" s="21" t="n">
        <x:f>E45*'02 Architectures'!F8</x:f>
        <x:v>1.5</x:v>
      </x:c>
      <x:c r="G45" s="21" t="n">
        <x:f>IF('02 Architectures'!E8&gt;0,MIN(E45/'02 Architectures'!E8+'02 Architectures'!N8*MIN(E11/'02 Architectures'!E8,1),1),"n.a.")</x:f>
        <x:v>1</x:v>
      </x:c>
      <x:c r="H45" s="21" t="n">
        <x:f>IF(F11=1,1,IF('02 Architectures'!H8&gt;='02 Architectures'!E8,1,0))</x:f>
        <x:v>1</x:v>
      </x:c>
      <x:c r="I45" s="21" t="n">
        <x:f>IF(H11=1,1,IF('02 Architectures'!I8&gt;='02 Architectures'!E8,1,0))</x:f>
        <x:v>1</x:v>
      </x:c>
      <x:c r="J45" s="21" t="n">
        <x:f>IF(I11=1,1,IF('02 Architectures'!J8&gt;='02 Architectures'!E8,1,0))</x:f>
        <x:v>1</x:v>
      </x:c>
      <x:c r="K45" s="21" t="n">
        <x:f>IF(J11=1,1,IF('02 Architectures'!K8&gt;='02 Architectures'!E8,1,0))</x:f>
        <x:v>1</x:v>
      </x:c>
      <x:c r="L45" s="21" t="n">
        <x:f>IF(K11=0,MIN('02 Architectures'!U8*E45/'02 Architectures'!E8/('01 Controls'!$D$6*'01 Controls'!$D$9/24),1),0)</x:f>
        <x:v>0</x:v>
      </x:c>
      <x:c r="M45" s="21" t="n">
        <x:f>MAX(L11*G11*K11,'02 Architectures'!O8)</x:f>
        <x:v>1</x:v>
      </x:c>
      <x:c r="N45" s="21" t="n">
        <x:f>IF(K11=0,MAX(L45,M45),M45)</x:f>
        <x:v>1</x:v>
      </x:c>
      <x:c r="O45" s="21" t="n">
        <x:f>M11</x:f>
        <x:v>1</x:v>
      </x:c>
      <x:c r="P45" s="21" t="n">
        <x:f>MIN(F45,G45,H45,I45,J45,K45,N45,O45)</x:f>
        <x:v>1</x:v>
      </x:c>
      <x:c r="Q45" s="21" t="n">
        <x:f>N11</x:f>
        <x:v>0.5</x:v>
      </x:c>
      <x:c r="R45" s="17" t="str">
        <x:f>IF(P45&gt;=Q45,"PASS","FAIL")</x:f>
        <x:v>PASS</x:v>
      </x:c>
      <x:c r="S45" s="17" t="str">
        <x:v>UNTESTED</x:v>
      </x:c>
      <x:c r="T45" s="17" t="str">
        <x:f>IF(P45&gt;=Q45,"NONE",IF(F45=P45,"ISLAND CAPACITY",IF(G45=P45,"CATCHMENT ACCESS",IF(H45=P45,"DISTRIBUTION",IF(I45=P45,"BRANCH",IF(J45=P45,"POWER",IF(K45=P45,"QUALITY",IF(N45=P45,"WATER",IF(O45=P45,"CIVIL RELEASE","MULTIPLE")))))))))</x:f>
        <x:v>NONE</x:v>
      </x:c>
    </x:row>
    <x:row r="46" ht="43" customHeight="1">
      <x:c r="C46" s="11" t="str">
        <x:f>'02 Architectures'!C8</x:f>
        <x:v>R3</x:v>
      </x:c>
      <x:c r="D46" s="17" t="str">
        <x:f>C12</x:f>
        <x:v>W7</x:v>
      </x:c>
      <x:c r="E46" s="17" t="n">
        <x:f>MAX('02 Architectures'!E8-E12,0)</x:f>
        <x:v>3</x:v>
      </x:c>
      <x:c r="F46" s="21" t="n">
        <x:f>E46*'02 Architectures'!F8</x:f>
        <x:v>1.5</x:v>
      </x:c>
      <x:c r="G46" s="21" t="n">
        <x:f>IF('02 Architectures'!E8&gt;0,MIN(E46/'02 Architectures'!E8+'02 Architectures'!N8*MIN(E12/'02 Architectures'!E8,1),1),"n.a.")</x:f>
        <x:v>1</x:v>
      </x:c>
      <x:c r="H46" s="21" t="n">
        <x:f>IF(F12=1,1,IF('02 Architectures'!H8&gt;='02 Architectures'!E8,1,0))</x:f>
        <x:v>1</x:v>
      </x:c>
      <x:c r="I46" s="21" t="n">
        <x:f>IF(H12=1,1,IF('02 Architectures'!I8&gt;='02 Architectures'!E8,1,0))</x:f>
        <x:v>1</x:v>
      </x:c>
      <x:c r="J46" s="21" t="n">
        <x:f>IF(I12=1,1,IF('02 Architectures'!J8&gt;='02 Architectures'!E8,1,0))</x:f>
        <x:v>1</x:v>
      </x:c>
      <x:c r="K46" s="21" t="n">
        <x:f>IF(J12=1,1,IF('02 Architectures'!K8&gt;='02 Architectures'!E8,1,0))</x:f>
        <x:v>1</x:v>
      </x:c>
      <x:c r="L46" s="21" t="n">
        <x:f>IF(K12=0,MIN('02 Architectures'!U8*E46/'02 Architectures'!E8/('01 Controls'!$D$6*'01 Controls'!$D$9/24),1),0)</x:f>
        <x:v>0</x:v>
      </x:c>
      <x:c r="M46" s="21" t="n">
        <x:f>MAX(L12*G12*K12,'02 Architectures'!O8)</x:f>
        <x:v>1</x:v>
      </x:c>
      <x:c r="N46" s="21" t="n">
        <x:f>IF(K12=0,MAX(L46,M46),M46)</x:f>
        <x:v>1</x:v>
      </x:c>
      <x:c r="O46" s="21" t="n">
        <x:f>M12</x:f>
        <x:v>1</x:v>
      </x:c>
      <x:c r="P46" s="21" t="n">
        <x:f>MIN(F46,G46,H46,I46,J46,K46,N46,O46)</x:f>
        <x:v>1</x:v>
      </x:c>
      <x:c r="Q46" s="21" t="n">
        <x:f>N12</x:f>
        <x:v>0.5</x:v>
      </x:c>
      <x:c r="R46" s="17" t="str">
        <x:f>IF(P46&gt;=Q46,"PASS","FAIL")</x:f>
        <x:v>PASS</x:v>
      </x:c>
      <x:c r="S46" s="17" t="str">
        <x:v>UNTESTED</x:v>
      </x:c>
      <x:c r="T46" s="17" t="str">
        <x:f>IF(P46&gt;=Q46,"NONE",IF(F46=P46,"ISLAND CAPACITY",IF(G46=P46,"CATCHMENT ACCESS",IF(H46=P46,"DISTRIBUTION",IF(I46=P46,"BRANCH",IF(J46=P46,"POWER",IF(K46=P46,"QUALITY",IF(N46=P46,"WATER",IF(O46=P46,"CIVIL RELEASE","MULTIPLE")))))))))</x:f>
        <x:v>NONE</x:v>
      </x:c>
    </x:row>
    <x:row r="47" ht="43" customHeight="1">
      <x:c r="C47" s="11" t="str">
        <x:f>'02 Architectures'!C8</x:f>
        <x:v>R3</x:v>
      </x:c>
      <x:c r="D47" s="17" t="str">
        <x:f>C13</x:f>
        <x:v>W8</x:v>
      </x:c>
      <x:c r="E47" s="17" t="n">
        <x:f>MAX('02 Architectures'!E8-E13,0)</x:f>
        <x:v>2</x:v>
      </x:c>
      <x:c r="F47" s="21" t="n">
        <x:f>E47*'02 Architectures'!F8</x:f>
        <x:v>1</x:v>
      </x:c>
      <x:c r="G47" s="21" t="n">
        <x:f>IF('02 Architectures'!E8&gt;0,MIN(E47/'02 Architectures'!E8+'02 Architectures'!N8*MIN(E13/'02 Architectures'!E8,1),1),"n.a.")</x:f>
        <x:v>0.8333333333333333</x:v>
      </x:c>
      <x:c r="H47" s="21" t="n">
        <x:f>IF(F13=1,1,IF('02 Architectures'!H8&gt;='02 Architectures'!E8,1,0))</x:f>
        <x:v>1</x:v>
      </x:c>
      <x:c r="I47" s="21" t="n">
        <x:f>IF(H13=1,1,IF('02 Architectures'!I8&gt;='02 Architectures'!E8,1,0))</x:f>
        <x:v>1</x:v>
      </x:c>
      <x:c r="J47" s="21" t="n">
        <x:f>IF(I13=1,1,IF('02 Architectures'!J8&gt;='02 Architectures'!E8,1,0))</x:f>
        <x:v>1</x:v>
      </x:c>
      <x:c r="K47" s="21" t="n">
        <x:f>IF(J13=1,1,IF('02 Architectures'!K8&gt;='02 Architectures'!E8,1,0))</x:f>
        <x:v>1</x:v>
      </x:c>
      <x:c r="L47" s="21" t="n">
        <x:f>IF(K13=0,MIN('02 Architectures'!U8*E47/'02 Architectures'!E8/('01 Controls'!$D$6*'01 Controls'!$D$9/24),1),0)</x:f>
        <x:v>0.85</x:v>
      </x:c>
      <x:c r="M47" s="21" t="n">
        <x:f>MAX(L13*G13*K13,'02 Architectures'!O8)</x:f>
        <x:v>0</x:v>
      </x:c>
      <x:c r="N47" s="21" t="n">
        <x:f>IF(K13=0,MAX(L47,M47),M47)</x:f>
        <x:v>0.85</x:v>
      </x:c>
      <x:c r="O47" s="21" t="n">
        <x:f>M13</x:f>
        <x:v>1</x:v>
      </x:c>
      <x:c r="P47" s="21" t="n">
        <x:f>MIN(F47,G47,H47,I47,J47,K47,N47,O47)</x:f>
        <x:v>0.8333333333333333</x:v>
      </x:c>
      <x:c r="Q47" s="21" t="n">
        <x:f>N13</x:f>
        <x:v>0.5</x:v>
      </x:c>
      <x:c r="R47" s="17" t="str">
        <x:f>IF(P47&gt;=Q47,"PASS","FAIL")</x:f>
        <x:v>PASS</x:v>
      </x:c>
      <x:c r="S47" s="17" t="str">
        <x:v>UNTESTED</x:v>
      </x:c>
      <x:c r="T47" s="17" t="str">
        <x:f>IF(P47&gt;=Q47,"NONE",IF(F47=P47,"ISLAND CAPACITY",IF(G47=P47,"CATCHMENT ACCESS",IF(H47=P47,"DISTRIBUTION",IF(I47=P47,"BRANCH",IF(J47=P47,"POWER",IF(K47=P47,"QUALITY",IF(N47=P47,"WATER",IF(O47=P47,"CIVIL RELEASE","MULTIPLE")))))))))</x:f>
        <x:v>NONE</x:v>
      </x:c>
    </x:row>
    <x:row r="48" ht="43" customHeight="1">
      <x:c r="C48" s="11" t="str">
        <x:f>'02 Architectures'!C8</x:f>
        <x:v>R3</x:v>
      </x:c>
      <x:c r="D48" s="17" t="str">
        <x:f>C14</x:f>
        <x:v>W9</x:v>
      </x:c>
      <x:c r="E48" s="17" t="n">
        <x:f>MAX('02 Architectures'!E8-E14,0)</x:f>
        <x:v>3</x:v>
      </x:c>
      <x:c r="F48" s="21" t="n">
        <x:f>E48*'02 Architectures'!F8</x:f>
        <x:v>1.5</x:v>
      </x:c>
      <x:c r="G48" s="21" t="n">
        <x:f>IF('02 Architectures'!E8&gt;0,MIN(E48/'02 Architectures'!E8+'02 Architectures'!N8*MIN(E14/'02 Architectures'!E8,1),1),"n.a.")</x:f>
        <x:v>1</x:v>
      </x:c>
      <x:c r="H48" s="21" t="n">
        <x:f>IF(F14=1,1,IF('02 Architectures'!H8&gt;='02 Architectures'!E8,1,0))</x:f>
        <x:v>1</x:v>
      </x:c>
      <x:c r="I48" s="21" t="n">
        <x:f>IF(H14=1,1,IF('02 Architectures'!I8&gt;='02 Architectures'!E8,1,0))</x:f>
        <x:v>1</x:v>
      </x:c>
      <x:c r="J48" s="21" t="n">
        <x:f>IF(I14=1,1,IF('02 Architectures'!J8&gt;='02 Architectures'!E8,1,0))</x:f>
        <x:v>1</x:v>
      </x:c>
      <x:c r="K48" s="21" t="n">
        <x:f>IF(J14=1,1,IF('02 Architectures'!K8&gt;='02 Architectures'!E8,1,0))</x:f>
        <x:v>1</x:v>
      </x:c>
      <x:c r="L48" s="21" t="n">
        <x:f>IF(K14=0,MIN('02 Architectures'!U8*E48/'02 Architectures'!E8/('01 Controls'!$D$6*'01 Controls'!$D$9/24),1),0)</x:f>
        <x:v>0</x:v>
      </x:c>
      <x:c r="M48" s="21" t="n">
        <x:f>MAX(L14*G14*K14,'02 Architectures'!O8)</x:f>
        <x:v>0</x:v>
      </x:c>
      <x:c r="N48" s="21" t="n">
        <x:f>IF(K14=0,MAX(L48,M48),M48)</x:f>
        <x:v>0</x:v>
      </x:c>
      <x:c r="O48" s="21" t="n">
        <x:f>M14</x:f>
        <x:v>1</x:v>
      </x:c>
      <x:c r="P48" s="21" t="n">
        <x:f>MIN(F48,G48,H48,I48,J48,K48,N48,O48)</x:f>
        <x:v>0</x:v>
      </x:c>
      <x:c r="Q48" s="21" t="n">
        <x:f>N14</x:f>
        <x:v>0.5</x:v>
      </x:c>
      <x:c r="R48" s="17" t="str">
        <x:f>IF(P48&gt;=Q48,"PASS","FAIL")</x:f>
        <x:v>FAIL</x:v>
      </x:c>
      <x:c r="S48" s="17" t="str">
        <x:v>UNTESTED</x:v>
      </x:c>
      <x:c r="T48" s="17" t="str">
        <x:f>IF(P48&gt;=Q48,"NONE",IF(F48=P48,"ISLAND CAPACITY",IF(G48=P48,"CATCHMENT ACCESS",IF(H48=P48,"DISTRIBUTION",IF(I48=P48,"BRANCH",IF(J48=P48,"POWER",IF(K48=P48,"QUALITY",IF(N48=P48,"WATER",IF(O48=P48,"CIVIL RELEASE","MULTIPLE")))))))))</x:f>
        <x:v>WATER</x:v>
      </x:c>
    </x:row>
    <x:row r="49" ht="43" customHeight="1">
      <x:c r="C49" s="11" t="str">
        <x:f>'02 Architectures'!C8</x:f>
        <x:v>R3</x:v>
      </x:c>
      <x:c r="D49" s="17" t="str">
        <x:f>C15</x:f>
        <x:v>W10</x:v>
      </x:c>
      <x:c r="E49" s="17" t="n">
        <x:f>MAX('02 Architectures'!E8-E15,0)</x:f>
        <x:v>3</x:v>
      </x:c>
      <x:c r="F49" s="21" t="n">
        <x:f>E49*'02 Architectures'!F8</x:f>
        <x:v>1.5</x:v>
      </x:c>
      <x:c r="G49" s="21" t="n">
        <x:f>IF('02 Architectures'!E8&gt;0,MIN(E49/'02 Architectures'!E8+'02 Architectures'!N8*MIN(E15/'02 Architectures'!E8,1),1),"n.a.")</x:f>
        <x:v>1</x:v>
      </x:c>
      <x:c r="H49" s="21" t="n">
        <x:f>IF(F15=1,1,IF('02 Architectures'!H8&gt;='02 Architectures'!E8,1,0))</x:f>
        <x:v>1</x:v>
      </x:c>
      <x:c r="I49" s="21" t="n">
        <x:f>IF(H15=1,1,IF('02 Architectures'!I8&gt;='02 Architectures'!E8,1,0))</x:f>
        <x:v>1</x:v>
      </x:c>
      <x:c r="J49" s="21" t="n">
        <x:f>IF(I15=1,1,IF('02 Architectures'!J8&gt;='02 Architectures'!E8,1,0))</x:f>
        <x:v>1</x:v>
      </x:c>
      <x:c r="K49" s="21" t="n">
        <x:f>IF(J15=1,1,IF('02 Architectures'!K8&gt;='02 Architectures'!E8,1,0))</x:f>
        <x:v>1</x:v>
      </x:c>
      <x:c r="L49" s="21" t="n">
        <x:f>IF(K15=0,MIN('02 Architectures'!U8*E49/'02 Architectures'!E8/('01 Controls'!$D$6*'01 Controls'!$D$9/24),1),0)</x:f>
        <x:v>0</x:v>
      </x:c>
      <x:c r="M49" s="21" t="n">
        <x:f>MAX(L15*G15*K15,'02 Architectures'!O8)</x:f>
        <x:v>0</x:v>
      </x:c>
      <x:c r="N49" s="21" t="n">
        <x:f>IF(K15=0,MAX(L49,M49),M49)</x:f>
        <x:v>0</x:v>
      </x:c>
      <x:c r="O49" s="21" t="n">
        <x:f>M15</x:f>
        <x:v>0</x:v>
      </x:c>
      <x:c r="P49" s="21" t="n">
        <x:f>MIN(F49,G49,H49,I49,J49,K49,N49,O49)</x:f>
        <x:v>0</x:v>
      </x:c>
      <x:c r="Q49" s="21" t="n">
        <x:f>N15</x:f>
        <x:v>0.5</x:v>
      </x:c>
      <x:c r="R49" s="17" t="str">
        <x:f>IF(P49&gt;=Q49,"PASS","FAIL")</x:f>
        <x:v>FAIL</x:v>
      </x:c>
      <x:c r="S49" s="17" t="str">
        <x:v>UNTESTED</x:v>
      </x:c>
      <x:c r="T49" s="17" t="str">
        <x:f>IF(P49&gt;=Q49,"NONE",IF(F49=P49,"ISLAND CAPACITY",IF(G49=P49,"CATCHMENT ACCESS",IF(H49=P49,"DISTRIBUTION",IF(I49=P49,"BRANCH",IF(J49=P49,"POWER",IF(K49=P49,"QUALITY",IF(N49=P49,"WATER",IF(O49=P49,"CIVIL RELEASE","MULTIPLE")))))))))</x:f>
        <x:v>WATER</x:v>
      </x:c>
    </x:row>
    <x:row r="50" ht="43" customHeight="1">
      <x:c r="C50" s="11" t="str">
        <x:f>'02 Architectures'!C9</x:f>
        <x:v>R4</x:v>
      </x:c>
      <x:c r="D50" s="17" t="str">
        <x:f>C6</x:f>
        <x:v>W1</x:v>
      </x:c>
      <x:c r="E50" s="17" t="n">
        <x:f>MAX('02 Architectures'!E9-E6,0)</x:f>
        <x:v>3</x:v>
      </x:c>
      <x:c r="F50" s="21" t="n">
        <x:f>E50*'02 Architectures'!F9</x:f>
        <x:v>1</x:v>
      </x:c>
      <x:c r="G50" s="21" t="n">
        <x:f>IF('02 Architectures'!E9&gt;0,MIN(E50/'02 Architectures'!E9+'02 Architectures'!N9*MIN(E6/'02 Architectures'!E9,1),1),"n.a.")</x:f>
        <x:v>0.875</x:v>
      </x:c>
      <x:c r="H50" s="21" t="n">
        <x:f>IF(F6=1,1,IF('02 Architectures'!H9&gt;='02 Architectures'!E9,1,0))</x:f>
        <x:v>1</x:v>
      </x:c>
      <x:c r="I50" s="21" t="n">
        <x:f>IF(H6=1,1,IF('02 Architectures'!I9&gt;='02 Architectures'!E9,1,0))</x:f>
        <x:v>1</x:v>
      </x:c>
      <x:c r="J50" s="21" t="n">
        <x:f>IF(I6=1,1,IF('02 Architectures'!J9&gt;='02 Architectures'!E9,1,0))</x:f>
        <x:v>1</x:v>
      </x:c>
      <x:c r="K50" s="21" t="n">
        <x:f>IF(J6=1,1,IF('02 Architectures'!K9&gt;='02 Architectures'!E9,1,0))</x:f>
        <x:v>1</x:v>
      </x:c>
      <x:c r="L50" s="21" t="n">
        <x:f>IF(K6=0,MIN('02 Architectures'!U9*E50/'02 Architectures'!E9/('01 Controls'!$D$6*'01 Controls'!$D$9/24),1),0)</x:f>
        <x:v>0</x:v>
      </x:c>
      <x:c r="M50" s="21" t="n">
        <x:f>MAX(L6*G6*K6,'02 Architectures'!O9)</x:f>
        <x:v>1</x:v>
      </x:c>
      <x:c r="N50" s="21" t="n">
        <x:f>IF(K6=0,MAX(L50,M50),M50)</x:f>
        <x:v>1</x:v>
      </x:c>
      <x:c r="O50" s="21" t="n">
        <x:f>M6</x:f>
        <x:v>1</x:v>
      </x:c>
      <x:c r="P50" s="21" t="n">
        <x:f>MIN(F50,G50,H50,I50,J50,K50,N50,O50)</x:f>
        <x:v>0.875</x:v>
      </x:c>
      <x:c r="Q50" s="21" t="n">
        <x:f>N6</x:f>
        <x:v>0.5</x:v>
      </x:c>
      <x:c r="R50" s="17" t="str">
        <x:f>IF(P50&gt;=Q50,"PASS","FAIL")</x:f>
        <x:v>PASS</x:v>
      </x:c>
      <x:c r="S50" s="17" t="str">
        <x:v>UNTESTED</x:v>
      </x:c>
      <x:c r="T50" s="17" t="str">
        <x:f>IF(P50&gt;=Q50,"NONE",IF(F50=P50,"ISLAND CAPACITY",IF(G50=P50,"CATCHMENT ACCESS",IF(H50=P50,"DISTRIBUTION",IF(I50=P50,"BRANCH",IF(J50=P50,"POWER",IF(K50=P50,"QUALITY",IF(N50=P50,"WATER",IF(O50=P50,"CIVIL RELEASE","MULTIPLE")))))))))</x:f>
        <x:v>NONE</x:v>
      </x:c>
    </x:row>
    <x:row r="51" ht="43" customHeight="1">
      <x:c r="C51" s="11" t="str">
        <x:f>'02 Architectures'!C9</x:f>
        <x:v>R4</x:v>
      </x:c>
      <x:c r="D51" s="17" t="str">
        <x:f>C7</x:f>
        <x:v>W2</x:v>
      </x:c>
      <x:c r="E51" s="17" t="n">
        <x:f>MAX('02 Architectures'!E9-E7,0)</x:f>
        <x:v>2</x:v>
      </x:c>
      <x:c r="F51" s="21" t="n">
        <x:f>E51*'02 Architectures'!F9</x:f>
        <x:v>0.6666666666666666</x:v>
      </x:c>
      <x:c r="G51" s="21" t="n">
        <x:f>IF('02 Architectures'!E9&gt;0,MIN(E51/'02 Architectures'!E9+'02 Architectures'!N9*MIN(E7/'02 Architectures'!E9,1),1),"n.a.")</x:f>
        <x:v>0.75</x:v>
      </x:c>
      <x:c r="H51" s="21" t="n">
        <x:f>IF(F7=1,1,IF('02 Architectures'!H9&gt;='02 Architectures'!E9,1,0))</x:f>
        <x:v>1</x:v>
      </x:c>
      <x:c r="I51" s="21" t="n">
        <x:f>IF(H7=1,1,IF('02 Architectures'!I9&gt;='02 Architectures'!E9,1,0))</x:f>
        <x:v>1</x:v>
      </x:c>
      <x:c r="J51" s="21" t="n">
        <x:f>IF(I7=1,1,IF('02 Architectures'!J9&gt;='02 Architectures'!E9,1,0))</x:f>
        <x:v>1</x:v>
      </x:c>
      <x:c r="K51" s="21" t="n">
        <x:f>IF(J7=1,1,IF('02 Architectures'!K9&gt;='02 Architectures'!E9,1,0))</x:f>
        <x:v>1</x:v>
      </x:c>
      <x:c r="L51" s="21" t="n">
        <x:f>IF(K7=0,MIN('02 Architectures'!U9*E51/'02 Architectures'!E9/('01 Controls'!$D$6*'01 Controls'!$D$9/24),1),0)</x:f>
        <x:v>0</x:v>
      </x:c>
      <x:c r="M51" s="21" t="n">
        <x:f>MAX(L7*G7*K7,'02 Architectures'!O9)</x:f>
        <x:v>1</x:v>
      </x:c>
      <x:c r="N51" s="21" t="n">
        <x:f>IF(K7=0,MAX(L51,M51),M51)</x:f>
        <x:v>1</x:v>
      </x:c>
      <x:c r="O51" s="21" t="n">
        <x:f>M7</x:f>
        <x:v>1</x:v>
      </x:c>
      <x:c r="P51" s="21" t="n">
        <x:f>MIN(F51,G51,H51,I51,J51,K51,N51,O51)</x:f>
        <x:v>0.6666666666666666</x:v>
      </x:c>
      <x:c r="Q51" s="21" t="n">
        <x:f>N7</x:f>
        <x:v>0.5</x:v>
      </x:c>
      <x:c r="R51" s="17" t="str">
        <x:f>IF(P51&gt;=Q51,"PASS","FAIL")</x:f>
        <x:v>PASS</x:v>
      </x:c>
      <x:c r="S51" s="17" t="str">
        <x:v>UNTESTED</x:v>
      </x:c>
      <x:c r="T51" s="17" t="str">
        <x:f>IF(P51&gt;=Q51,"NONE",IF(F51=P51,"ISLAND CAPACITY",IF(G51=P51,"CATCHMENT ACCESS",IF(H51=P51,"DISTRIBUTION",IF(I51=P51,"BRANCH",IF(J51=P51,"POWER",IF(K51=P51,"QUALITY",IF(N51=P51,"WATER",IF(O51=P51,"CIVIL RELEASE","MULTIPLE")))))))))</x:f>
        <x:v>NONE</x:v>
      </x:c>
    </x:row>
    <x:row r="52" ht="43" customHeight="1">
      <x:c r="C52" s="11" t="str">
        <x:f>'02 Architectures'!C9</x:f>
        <x:v>R4</x:v>
      </x:c>
      <x:c r="D52" s="17" t="str">
        <x:f>C8</x:f>
        <x:v>W3</x:v>
      </x:c>
      <x:c r="E52" s="17" t="n">
        <x:f>MAX('02 Architectures'!E9-E8,0)</x:f>
        <x:v>4</x:v>
      </x:c>
      <x:c r="F52" s="21" t="n">
        <x:f>E52*'02 Architectures'!F9</x:f>
        <x:v>1.3333333333333333</x:v>
      </x:c>
      <x:c r="G52" s="21" t="n">
        <x:f>IF('02 Architectures'!E9&gt;0,MIN(E52/'02 Architectures'!E9+'02 Architectures'!N9*MIN(E8/'02 Architectures'!E9,1),1),"n.a.")</x:f>
        <x:v>1</x:v>
      </x:c>
      <x:c r="H52" s="21" t="n">
        <x:f>IF(F8=1,1,IF('02 Architectures'!H9&gt;='02 Architectures'!E9,1,0))</x:f>
        <x:v>1</x:v>
      </x:c>
      <x:c r="I52" s="21" t="n">
        <x:f>IF(H8=1,1,IF('02 Architectures'!I9&gt;='02 Architectures'!E9,1,0))</x:f>
        <x:v>1</x:v>
      </x:c>
      <x:c r="J52" s="21" t="n">
        <x:f>IF(I8=1,1,IF('02 Architectures'!J9&gt;='02 Architectures'!E9,1,0))</x:f>
        <x:v>1</x:v>
      </x:c>
      <x:c r="K52" s="21" t="n">
        <x:f>IF(J8=1,1,IF('02 Architectures'!K9&gt;='02 Architectures'!E9,1,0))</x:f>
        <x:v>1</x:v>
      </x:c>
      <x:c r="L52" s="21" t="n">
        <x:f>IF(K8=0,MIN('02 Architectures'!U9*E52/'02 Architectures'!E9/('01 Controls'!$D$6*'01 Controls'!$D$9/24),1),0)</x:f>
        <x:v>0</x:v>
      </x:c>
      <x:c r="M52" s="21" t="n">
        <x:f>MAX(L8*G8*K8,'02 Architectures'!O9)</x:f>
        <x:v>1</x:v>
      </x:c>
      <x:c r="N52" s="21" t="n">
        <x:f>IF(K8=0,MAX(L52,M52),M52)</x:f>
        <x:v>1</x:v>
      </x:c>
      <x:c r="O52" s="21" t="n">
        <x:f>M8</x:f>
        <x:v>1</x:v>
      </x:c>
      <x:c r="P52" s="21" t="n">
        <x:f>MIN(F52,G52,H52,I52,J52,K52,N52,O52)</x:f>
        <x:v>1</x:v>
      </x:c>
      <x:c r="Q52" s="21" t="n">
        <x:f>N8</x:f>
        <x:v>0.5</x:v>
      </x:c>
      <x:c r="R52" s="17" t="str">
        <x:f>IF(P52&gt;=Q52,"PASS","FAIL")</x:f>
        <x:v>PASS</x:v>
      </x:c>
      <x:c r="S52" s="17" t="str">
        <x:v>UNTESTED</x:v>
      </x:c>
      <x:c r="T52" s="17" t="str">
        <x:f>IF(P52&gt;=Q52,"NONE",IF(F52=P52,"ISLAND CAPACITY",IF(G52=P52,"CATCHMENT ACCESS",IF(H52=P52,"DISTRIBUTION",IF(I52=P52,"BRANCH",IF(J52=P52,"POWER",IF(K52=P52,"QUALITY",IF(N52=P52,"WATER",IF(O52=P52,"CIVIL RELEASE","MULTIPLE")))))))))</x:f>
        <x:v>NONE</x:v>
      </x:c>
    </x:row>
    <x:row r="53" ht="43" customHeight="1">
      <x:c r="C53" s="11" t="str">
        <x:f>'02 Architectures'!C9</x:f>
        <x:v>R4</x:v>
      </x:c>
      <x:c r="D53" s="17" t="str">
        <x:f>C9</x:f>
        <x:v>W4</x:v>
      </x:c>
      <x:c r="E53" s="17" t="n">
        <x:f>MAX('02 Architectures'!E9-E9,0)</x:f>
        <x:v>4</x:v>
      </x:c>
      <x:c r="F53" s="21" t="n">
        <x:f>E53*'02 Architectures'!F9</x:f>
        <x:v>1.3333333333333333</x:v>
      </x:c>
      <x:c r="G53" s="21" t="n">
        <x:f>IF('02 Architectures'!E9&gt;0,MIN(E53/'02 Architectures'!E9+'02 Architectures'!N9*MIN(E9/'02 Architectures'!E9,1),1),"n.a.")</x:f>
        <x:v>1</x:v>
      </x:c>
      <x:c r="H53" s="21" t="n">
        <x:f>IF(F9=1,1,IF('02 Architectures'!H9&gt;='02 Architectures'!E9,1,0))</x:f>
        <x:v>1</x:v>
      </x:c>
      <x:c r="I53" s="21" t="n">
        <x:f>IF(H9=1,1,IF('02 Architectures'!I9&gt;='02 Architectures'!E9,1,0))</x:f>
        <x:v>1</x:v>
      </x:c>
      <x:c r="J53" s="21" t="n">
        <x:f>IF(I9=1,1,IF('02 Architectures'!J9&gt;='02 Architectures'!E9,1,0))</x:f>
        <x:v>1</x:v>
      </x:c>
      <x:c r="K53" s="21" t="n">
        <x:f>IF(J9=1,1,IF('02 Architectures'!K9&gt;='02 Architectures'!E9,1,0))</x:f>
        <x:v>1</x:v>
      </x:c>
      <x:c r="L53" s="21" t="n">
        <x:f>IF(K9=0,MIN('02 Architectures'!U9*E53/'02 Architectures'!E9/('01 Controls'!$D$6*'01 Controls'!$D$9/24),1),0)</x:f>
        <x:v>0</x:v>
      </x:c>
      <x:c r="M53" s="21" t="n">
        <x:f>MAX(L9*G9*K9,'02 Architectures'!O9)</x:f>
        <x:v>0.5</x:v>
      </x:c>
      <x:c r="N53" s="21" t="n">
        <x:f>IF(K9=0,MAX(L53,M53),M53)</x:f>
        <x:v>0.5</x:v>
      </x:c>
      <x:c r="O53" s="21" t="n">
        <x:f>M9</x:f>
        <x:v>1</x:v>
      </x:c>
      <x:c r="P53" s="21" t="n">
        <x:f>MIN(F53,G53,H53,I53,J53,K53,N53,O53)</x:f>
        <x:v>0.5</x:v>
      </x:c>
      <x:c r="Q53" s="21" t="n">
        <x:f>N9</x:f>
        <x:v>0.5</x:v>
      </x:c>
      <x:c r="R53" s="17" t="str">
        <x:f>IF(P53&gt;=Q53,"PASS","FAIL")</x:f>
        <x:v>PASS</x:v>
      </x:c>
      <x:c r="S53" s="17" t="str">
        <x:v>UNTESTED</x:v>
      </x:c>
      <x:c r="T53" s="17" t="str">
        <x:f>IF(P53&gt;=Q53,"NONE",IF(F53=P53,"ISLAND CAPACITY",IF(G53=P53,"CATCHMENT ACCESS",IF(H53=P53,"DISTRIBUTION",IF(I53=P53,"BRANCH",IF(J53=P53,"POWER",IF(K53=P53,"QUALITY",IF(N53=P53,"WATER",IF(O53=P53,"CIVIL RELEASE","MULTIPLE")))))))))</x:f>
        <x:v>NONE</x:v>
      </x:c>
    </x:row>
    <x:row r="54" ht="43" customHeight="1">
      <x:c r="C54" s="11" t="str">
        <x:f>'02 Architectures'!C9</x:f>
        <x:v>R4</x:v>
      </x:c>
      <x:c r="D54" s="17" t="str">
        <x:f>C10</x:f>
        <x:v>W5</x:v>
      </x:c>
      <x:c r="E54" s="17" t="n">
        <x:f>MAX('02 Architectures'!E9-E10,0)</x:f>
        <x:v>4</x:v>
      </x:c>
      <x:c r="F54" s="21" t="n">
        <x:f>E54*'02 Architectures'!F9</x:f>
        <x:v>1.3333333333333333</x:v>
      </x:c>
      <x:c r="G54" s="21" t="n">
        <x:f>IF('02 Architectures'!E9&gt;0,MIN(E54/'02 Architectures'!E9+'02 Architectures'!N9*MIN(E10/'02 Architectures'!E9,1),1),"n.a.")</x:f>
        <x:v>1</x:v>
      </x:c>
      <x:c r="H54" s="21" t="n">
        <x:f>IF(F10=1,1,IF('02 Architectures'!H9&gt;='02 Architectures'!E9,1,0))</x:f>
        <x:v>1</x:v>
      </x:c>
      <x:c r="I54" s="21" t="n">
        <x:f>IF(H10=1,1,IF('02 Architectures'!I9&gt;='02 Architectures'!E9,1,0))</x:f>
        <x:v>1</x:v>
      </x:c>
      <x:c r="J54" s="21" t="n">
        <x:f>IF(I10=1,1,IF('02 Architectures'!J9&gt;='02 Architectures'!E9,1,0))</x:f>
        <x:v>1</x:v>
      </x:c>
      <x:c r="K54" s="21" t="n">
        <x:f>IF(J10=1,1,IF('02 Architectures'!K9&gt;='02 Architectures'!E9,1,0))</x:f>
        <x:v>1</x:v>
      </x:c>
      <x:c r="L54" s="21" t="n">
        <x:f>IF(K10=0,MIN('02 Architectures'!U9*E54/'02 Architectures'!E9/('01 Controls'!$D$6*'01 Controls'!$D$9/24),1),0)</x:f>
        <x:v>0</x:v>
      </x:c>
      <x:c r="M54" s="21" t="n">
        <x:f>MAX(L10*G10*K10,'02 Architectures'!O9)</x:f>
        <x:v>1</x:v>
      </x:c>
      <x:c r="N54" s="21" t="n">
        <x:f>IF(K10=0,MAX(L54,M54),M54)</x:f>
        <x:v>1</x:v>
      </x:c>
      <x:c r="O54" s="21" t="n">
        <x:f>M10</x:f>
        <x:v>1</x:v>
      </x:c>
      <x:c r="P54" s="21" t="n">
        <x:f>MIN(F54,G54,H54,I54,J54,K54,N54,O54)</x:f>
        <x:v>1</x:v>
      </x:c>
      <x:c r="Q54" s="21" t="n">
        <x:f>N10</x:f>
        <x:v>0.5</x:v>
      </x:c>
      <x:c r="R54" s="17" t="str">
        <x:f>IF(P54&gt;=Q54,"PASS","FAIL")</x:f>
        <x:v>PASS</x:v>
      </x:c>
      <x:c r="S54" s="17" t="str">
        <x:v>UNTESTED</x:v>
      </x:c>
      <x:c r="T54" s="17" t="str">
        <x:f>IF(P54&gt;=Q54,"NONE",IF(F54=P54,"ISLAND CAPACITY",IF(G54=P54,"CATCHMENT ACCESS",IF(H54=P54,"DISTRIBUTION",IF(I54=P54,"BRANCH",IF(J54=P54,"POWER",IF(K54=P54,"QUALITY",IF(N54=P54,"WATER",IF(O54=P54,"CIVIL RELEASE","MULTIPLE")))))))))</x:f>
        <x:v>NONE</x:v>
      </x:c>
    </x:row>
    <x:row r="55" ht="43" customHeight="1">
      <x:c r="C55" s="11" t="str">
        <x:f>'02 Architectures'!C9</x:f>
        <x:v>R4</x:v>
      </x:c>
      <x:c r="D55" s="17" t="str">
        <x:f>C11</x:f>
        <x:v>W6</x:v>
      </x:c>
      <x:c r="E55" s="17" t="n">
        <x:f>MAX('02 Architectures'!E9-E11,0)</x:f>
        <x:v>4</x:v>
      </x:c>
      <x:c r="F55" s="21" t="n">
        <x:f>E55*'02 Architectures'!F9</x:f>
        <x:v>1.3333333333333333</x:v>
      </x:c>
      <x:c r="G55" s="21" t="n">
        <x:f>IF('02 Architectures'!E9&gt;0,MIN(E55/'02 Architectures'!E9+'02 Architectures'!N9*MIN(E11/'02 Architectures'!E9,1),1),"n.a.")</x:f>
        <x:v>1</x:v>
      </x:c>
      <x:c r="H55" s="21" t="n">
        <x:f>IF(F11=1,1,IF('02 Architectures'!H9&gt;='02 Architectures'!E9,1,0))</x:f>
        <x:v>1</x:v>
      </x:c>
      <x:c r="I55" s="21" t="n">
        <x:f>IF(H11=1,1,IF('02 Architectures'!I9&gt;='02 Architectures'!E9,1,0))</x:f>
        <x:v>1</x:v>
      </x:c>
      <x:c r="J55" s="21" t="n">
        <x:f>IF(I11=1,1,IF('02 Architectures'!J9&gt;='02 Architectures'!E9,1,0))</x:f>
        <x:v>1</x:v>
      </x:c>
      <x:c r="K55" s="21" t="n">
        <x:f>IF(J11=1,1,IF('02 Architectures'!K9&gt;='02 Architectures'!E9,1,0))</x:f>
        <x:v>1</x:v>
      </x:c>
      <x:c r="L55" s="21" t="n">
        <x:f>IF(K11=0,MIN('02 Architectures'!U9*E55/'02 Architectures'!E9/('01 Controls'!$D$6*'01 Controls'!$D$9/24),1),0)</x:f>
        <x:v>0</x:v>
      </x:c>
      <x:c r="M55" s="21" t="n">
        <x:f>MAX(L11*G11*K11,'02 Architectures'!O9)</x:f>
        <x:v>1</x:v>
      </x:c>
      <x:c r="N55" s="21" t="n">
        <x:f>IF(K11=0,MAX(L55,M55),M55)</x:f>
        <x:v>1</x:v>
      </x:c>
      <x:c r="O55" s="21" t="n">
        <x:f>M11</x:f>
        <x:v>1</x:v>
      </x:c>
      <x:c r="P55" s="21" t="n">
        <x:f>MIN(F55,G55,H55,I55,J55,K55,N55,O55)</x:f>
        <x:v>1</x:v>
      </x:c>
      <x:c r="Q55" s="21" t="n">
        <x:f>N11</x:f>
        <x:v>0.5</x:v>
      </x:c>
      <x:c r="R55" s="17" t="str">
        <x:f>IF(P55&gt;=Q55,"PASS","FAIL")</x:f>
        <x:v>PASS</x:v>
      </x:c>
      <x:c r="S55" s="17" t="str">
        <x:v>UNTESTED</x:v>
      </x:c>
      <x:c r="T55" s="17" t="str">
        <x:f>IF(P55&gt;=Q55,"NONE",IF(F55=P55,"ISLAND CAPACITY",IF(G55=P55,"CATCHMENT ACCESS",IF(H55=P55,"DISTRIBUTION",IF(I55=P55,"BRANCH",IF(J55=P55,"POWER",IF(K55=P55,"QUALITY",IF(N55=P55,"WATER",IF(O55=P55,"CIVIL RELEASE","MULTIPLE")))))))))</x:f>
        <x:v>NONE</x:v>
      </x:c>
    </x:row>
    <x:row r="56" ht="43" customHeight="1">
      <x:c r="C56" s="11" t="str">
        <x:f>'02 Architectures'!C9</x:f>
        <x:v>R4</x:v>
      </x:c>
      <x:c r="D56" s="17" t="str">
        <x:f>C12</x:f>
        <x:v>W7</x:v>
      </x:c>
      <x:c r="E56" s="17" t="n">
        <x:f>MAX('02 Architectures'!E9-E12,0)</x:f>
        <x:v>4</x:v>
      </x:c>
      <x:c r="F56" s="21" t="n">
        <x:f>E56*'02 Architectures'!F9</x:f>
        <x:v>1.3333333333333333</x:v>
      </x:c>
      <x:c r="G56" s="21" t="n">
        <x:f>IF('02 Architectures'!E9&gt;0,MIN(E56/'02 Architectures'!E9+'02 Architectures'!N9*MIN(E12/'02 Architectures'!E9,1),1),"n.a.")</x:f>
        <x:v>1</x:v>
      </x:c>
      <x:c r="H56" s="21" t="n">
        <x:f>IF(F12=1,1,IF('02 Architectures'!H9&gt;='02 Architectures'!E9,1,0))</x:f>
        <x:v>1</x:v>
      </x:c>
      <x:c r="I56" s="21" t="n">
        <x:f>IF(H12=1,1,IF('02 Architectures'!I9&gt;='02 Architectures'!E9,1,0))</x:f>
        <x:v>1</x:v>
      </x:c>
      <x:c r="J56" s="21" t="n">
        <x:f>IF(I12=1,1,IF('02 Architectures'!J9&gt;='02 Architectures'!E9,1,0))</x:f>
        <x:v>1</x:v>
      </x:c>
      <x:c r="K56" s="21" t="n">
        <x:f>IF(J12=1,1,IF('02 Architectures'!K9&gt;='02 Architectures'!E9,1,0))</x:f>
        <x:v>1</x:v>
      </x:c>
      <x:c r="L56" s="21" t="n">
        <x:f>IF(K12=0,MIN('02 Architectures'!U9*E56/'02 Architectures'!E9/('01 Controls'!$D$6*'01 Controls'!$D$9/24),1),0)</x:f>
        <x:v>0</x:v>
      </x:c>
      <x:c r="M56" s="21" t="n">
        <x:f>MAX(L12*G12*K12,'02 Architectures'!O9)</x:f>
        <x:v>1</x:v>
      </x:c>
      <x:c r="N56" s="21" t="n">
        <x:f>IF(K12=0,MAX(L56,M56),M56)</x:f>
        <x:v>1</x:v>
      </x:c>
      <x:c r="O56" s="21" t="n">
        <x:f>M12</x:f>
        <x:v>1</x:v>
      </x:c>
      <x:c r="P56" s="21" t="n">
        <x:f>MIN(F56,G56,H56,I56,J56,K56,N56,O56)</x:f>
        <x:v>1</x:v>
      </x:c>
      <x:c r="Q56" s="21" t="n">
        <x:f>N12</x:f>
        <x:v>0.5</x:v>
      </x:c>
      <x:c r="R56" s="17" t="str">
        <x:f>IF(P56&gt;=Q56,"PASS","FAIL")</x:f>
        <x:v>PASS</x:v>
      </x:c>
      <x:c r="S56" s="17" t="str">
        <x:v>UNTESTED</x:v>
      </x:c>
      <x:c r="T56" s="17" t="str">
        <x:f>IF(P56&gt;=Q56,"NONE",IF(F56=P56,"ISLAND CAPACITY",IF(G56=P56,"CATCHMENT ACCESS",IF(H56=P56,"DISTRIBUTION",IF(I56=P56,"BRANCH",IF(J56=P56,"POWER",IF(K56=P56,"QUALITY",IF(N56=P56,"WATER",IF(O56=P56,"CIVIL RELEASE","MULTIPLE")))))))))</x:f>
        <x:v>NONE</x:v>
      </x:c>
    </x:row>
    <x:row r="57" ht="43" customHeight="1">
      <x:c r="C57" s="11" t="str">
        <x:f>'02 Architectures'!C9</x:f>
        <x:v>R4</x:v>
      </x:c>
      <x:c r="D57" s="17" t="str">
        <x:f>C13</x:f>
        <x:v>W8</x:v>
      </x:c>
      <x:c r="E57" s="17" t="n">
        <x:f>MAX('02 Architectures'!E9-E13,0)</x:f>
        <x:v>3</x:v>
      </x:c>
      <x:c r="F57" s="21" t="n">
        <x:f>E57*'02 Architectures'!F9</x:f>
        <x:v>1</x:v>
      </x:c>
      <x:c r="G57" s="21" t="n">
        <x:f>IF('02 Architectures'!E9&gt;0,MIN(E57/'02 Architectures'!E9+'02 Architectures'!N9*MIN(E13/'02 Architectures'!E9,1),1),"n.a.")</x:f>
        <x:v>0.875</x:v>
      </x:c>
      <x:c r="H57" s="21" t="n">
        <x:f>IF(F13=1,1,IF('02 Architectures'!H9&gt;='02 Architectures'!E9,1,0))</x:f>
        <x:v>1</x:v>
      </x:c>
      <x:c r="I57" s="21" t="n">
        <x:f>IF(H13=1,1,IF('02 Architectures'!I9&gt;='02 Architectures'!E9,1,0))</x:f>
        <x:v>1</x:v>
      </x:c>
      <x:c r="J57" s="21" t="n">
        <x:f>IF(I13=1,1,IF('02 Architectures'!J9&gt;='02 Architectures'!E9,1,0))</x:f>
        <x:v>1</x:v>
      </x:c>
      <x:c r="K57" s="21" t="n">
        <x:f>IF(J13=1,1,IF('02 Architectures'!K9&gt;='02 Architectures'!E9,1,0))</x:f>
        <x:v>1</x:v>
      </x:c>
      <x:c r="L57" s="21" t="n">
        <x:f>IF(K13=0,MIN('02 Architectures'!U9*E57/'02 Architectures'!E9/('01 Controls'!$D$6*'01 Controls'!$D$9/24),1),0)</x:f>
        <x:v>0.85</x:v>
      </x:c>
      <x:c r="M57" s="21" t="n">
        <x:f>MAX(L13*G13*K13,'02 Architectures'!O9)</x:f>
        <x:v>0.5</x:v>
      </x:c>
      <x:c r="N57" s="21" t="n">
        <x:f>IF(K13=0,MAX(L57,M57),M57)</x:f>
        <x:v>0.85</x:v>
      </x:c>
      <x:c r="O57" s="21" t="n">
        <x:f>M13</x:f>
        <x:v>1</x:v>
      </x:c>
      <x:c r="P57" s="21" t="n">
        <x:f>MIN(F57,G57,H57,I57,J57,K57,N57,O57)</x:f>
        <x:v>0.85</x:v>
      </x:c>
      <x:c r="Q57" s="21" t="n">
        <x:f>N13</x:f>
        <x:v>0.5</x:v>
      </x:c>
      <x:c r="R57" s="17" t="str">
        <x:f>IF(P57&gt;=Q57,"PASS","FAIL")</x:f>
        <x:v>PASS</x:v>
      </x:c>
      <x:c r="S57" s="17" t="str">
        <x:v>UNTESTED</x:v>
      </x:c>
      <x:c r="T57" s="17" t="str">
        <x:f>IF(P57&gt;=Q57,"NONE",IF(F57=P57,"ISLAND CAPACITY",IF(G57=P57,"CATCHMENT ACCESS",IF(H57=P57,"DISTRIBUTION",IF(I57=P57,"BRANCH",IF(J57=P57,"POWER",IF(K57=P57,"QUALITY",IF(N57=P57,"WATER",IF(O57=P57,"CIVIL RELEASE","MULTIPLE")))))))))</x:f>
        <x:v>NONE</x:v>
      </x:c>
    </x:row>
    <x:row r="58" ht="43" customHeight="1">
      <x:c r="C58" s="11" t="str">
        <x:f>'02 Architectures'!C9</x:f>
        <x:v>R4</x:v>
      </x:c>
      <x:c r="D58" s="17" t="str">
        <x:f>C14</x:f>
        <x:v>W9</x:v>
      </x:c>
      <x:c r="E58" s="17" t="n">
        <x:f>MAX('02 Architectures'!E9-E14,0)</x:f>
        <x:v>4</x:v>
      </x:c>
      <x:c r="F58" s="21" t="n">
        <x:f>E58*'02 Architectures'!F9</x:f>
        <x:v>1.3333333333333333</x:v>
      </x:c>
      <x:c r="G58" s="21" t="n">
        <x:f>IF('02 Architectures'!E9&gt;0,MIN(E58/'02 Architectures'!E9+'02 Architectures'!N9*MIN(E14/'02 Architectures'!E9,1),1),"n.a.")</x:f>
        <x:v>1</x:v>
      </x:c>
      <x:c r="H58" s="21" t="n">
        <x:f>IF(F14=1,1,IF('02 Architectures'!H9&gt;='02 Architectures'!E9,1,0))</x:f>
        <x:v>1</x:v>
      </x:c>
      <x:c r="I58" s="21" t="n">
        <x:f>IF(H14=1,1,IF('02 Architectures'!I9&gt;='02 Architectures'!E9,1,0))</x:f>
        <x:v>1</x:v>
      </x:c>
      <x:c r="J58" s="21" t="n">
        <x:f>IF(I14=1,1,IF('02 Architectures'!J9&gt;='02 Architectures'!E9,1,0))</x:f>
        <x:v>1</x:v>
      </x:c>
      <x:c r="K58" s="21" t="n">
        <x:f>IF(J14=1,1,IF('02 Architectures'!K9&gt;='02 Architectures'!E9,1,0))</x:f>
        <x:v>1</x:v>
      </x:c>
      <x:c r="L58" s="21" t="n">
        <x:f>IF(K14=0,MIN('02 Architectures'!U9*E58/'02 Architectures'!E9/('01 Controls'!$D$6*'01 Controls'!$D$9/24),1),0)</x:f>
        <x:v>0</x:v>
      </x:c>
      <x:c r="M58" s="21" t="n">
        <x:f>MAX(L14*G14*K14,'02 Architectures'!O9)</x:f>
        <x:v>0.5</x:v>
      </x:c>
      <x:c r="N58" s="21" t="n">
        <x:f>IF(K14=0,MAX(L58,M58),M58)</x:f>
        <x:v>0.5</x:v>
      </x:c>
      <x:c r="O58" s="21" t="n">
        <x:f>M14</x:f>
        <x:v>1</x:v>
      </x:c>
      <x:c r="P58" s="21" t="n">
        <x:f>MIN(F58,G58,H58,I58,J58,K58,N58,O58)</x:f>
        <x:v>0.5</x:v>
      </x:c>
      <x:c r="Q58" s="21" t="n">
        <x:f>N14</x:f>
        <x:v>0.5</x:v>
      </x:c>
      <x:c r="R58" s="17" t="str">
        <x:f>IF(P58&gt;=Q58,"PASS","FAIL")</x:f>
        <x:v>PASS</x:v>
      </x:c>
      <x:c r="S58" s="17" t="str">
        <x:v>UNTESTED</x:v>
      </x:c>
      <x:c r="T58" s="17" t="str">
        <x:f>IF(P58&gt;=Q58,"NONE",IF(F58=P58,"ISLAND CAPACITY",IF(G58=P58,"CATCHMENT ACCESS",IF(H58=P58,"DISTRIBUTION",IF(I58=P58,"BRANCH",IF(J58=P58,"POWER",IF(K58=P58,"QUALITY",IF(N58=P58,"WATER",IF(O58=P58,"CIVIL RELEASE","MULTIPLE")))))))))</x:f>
        <x:v>NONE</x:v>
      </x:c>
    </x:row>
    <x:row r="59" ht="43" customHeight="1">
      <x:c r="C59" s="11" t="str">
        <x:f>'02 Architectures'!C9</x:f>
        <x:v>R4</x:v>
      </x:c>
      <x:c r="D59" s="17" t="str">
        <x:f>C15</x:f>
        <x:v>W10</x:v>
      </x:c>
      <x:c r="E59" s="17" t="n">
        <x:f>MAX('02 Architectures'!E9-E15,0)</x:f>
        <x:v>4</x:v>
      </x:c>
      <x:c r="F59" s="21" t="n">
        <x:f>E59*'02 Architectures'!F9</x:f>
        <x:v>1.3333333333333333</x:v>
      </x:c>
      <x:c r="G59" s="21" t="n">
        <x:f>IF('02 Architectures'!E9&gt;0,MIN(E59/'02 Architectures'!E9+'02 Architectures'!N9*MIN(E15/'02 Architectures'!E9,1),1),"n.a.")</x:f>
        <x:v>1</x:v>
      </x:c>
      <x:c r="H59" s="21" t="n">
        <x:f>IF(F15=1,1,IF('02 Architectures'!H9&gt;='02 Architectures'!E9,1,0))</x:f>
        <x:v>1</x:v>
      </x:c>
      <x:c r="I59" s="21" t="n">
        <x:f>IF(H15=1,1,IF('02 Architectures'!I9&gt;='02 Architectures'!E9,1,0))</x:f>
        <x:v>1</x:v>
      </x:c>
      <x:c r="J59" s="21" t="n">
        <x:f>IF(I15=1,1,IF('02 Architectures'!J9&gt;='02 Architectures'!E9,1,0))</x:f>
        <x:v>1</x:v>
      </x:c>
      <x:c r="K59" s="21" t="n">
        <x:f>IF(J15=1,1,IF('02 Architectures'!K9&gt;='02 Architectures'!E9,1,0))</x:f>
        <x:v>1</x:v>
      </x:c>
      <x:c r="L59" s="21" t="n">
        <x:f>IF(K15=0,MIN('02 Architectures'!U9*E59/'02 Architectures'!E9/('01 Controls'!$D$6*'01 Controls'!$D$9/24),1),0)</x:f>
        <x:v>0</x:v>
      </x:c>
      <x:c r="M59" s="21" t="n">
        <x:f>MAX(L15*G15*K15,'02 Architectures'!O9)</x:f>
        <x:v>0.5</x:v>
      </x:c>
      <x:c r="N59" s="21" t="n">
        <x:f>IF(K15=0,MAX(L59,M59),M59)</x:f>
        <x:v>0.5</x:v>
      </x:c>
      <x:c r="O59" s="21" t="n">
        <x:f>M15</x:f>
        <x:v>0</x:v>
      </x:c>
      <x:c r="P59" s="21" t="n">
        <x:f>MIN(F59,G59,H59,I59,J59,K59,N59,O59)</x:f>
        <x:v>0</x:v>
      </x:c>
      <x:c r="Q59" s="21" t="n">
        <x:f>N15</x:f>
        <x:v>0.5</x:v>
      </x:c>
      <x:c r="R59" s="17" t="str">
        <x:f>IF(P59&gt;=Q59,"PASS","FAIL")</x:f>
        <x:v>FAIL</x:v>
      </x:c>
      <x:c r="S59" s="17" t="str">
        <x:v>UNTESTED</x:v>
      </x:c>
      <x:c r="T59" s="17" t="str">
        <x:f>IF(P59&gt;=Q59,"NONE",IF(F59=P59,"ISLAND CAPACITY",IF(G59=P59,"CATCHMENT ACCESS",IF(H59=P59,"DISTRIBUTION",IF(I59=P59,"BRANCH",IF(J59=P59,"POWER",IF(K59=P59,"QUALITY",IF(N59=P59,"WATER",IF(O59=P59,"CIVIL RELEASE","MULTIPLE")))))))))</x:f>
        <x:v>CIVIL RELEASE</x:v>
      </x:c>
    </x:row>
    <x:row r="63">
      <x:c r="C63" s="9" t="str">
        <x:v>Architecture</x:v>
      </x:c>
      <x:c r="D63" s="9" t="str">
        <x:v>Worlds</x:v>
      </x:c>
      <x:c r="E63" s="9" t="str">
        <x:v>Declared passes</x:v>
      </x:c>
      <x:c r="F63" s="9" t="str">
        <x:v>Declared failures</x:v>
      </x:c>
      <x:c r="G63" s="9" t="str">
        <x:v>One-island result</x:v>
      </x:c>
      <x:c r="H63" s="9" t="str">
        <x:v>Two-island result</x:v>
      </x:c>
      <x:c r="I63" s="9" t="str">
        <x:v>Island plus treatment</x:v>
      </x:c>
      <x:c r="J63" s="9" t="str">
        <x:v>Primary-source hold</x:v>
      </x:c>
      <x:c r="K63" s="9" t="str">
        <x:v>National no-issue</x:v>
      </x:c>
      <x:c r="L63" s="9" t="str">
        <x:v>Strict admission</x:v>
      </x:c>
    </x:row>
    <x:row r="64" ht="40" customHeight="1">
      <x:c r="C64" s="11" t="str">
        <x:f>'02 Architectures'!C6</x:f>
        <x:v>R1</x:v>
      </x:c>
      <x:c r="D64" s="11" t="n">
        <x:f>COUNTIFS($C$20:$C$59,C64)</x:f>
        <x:v>10</x:v>
      </x:c>
      <x:c r="E64" s="11" t="n">
        <x:f>COUNTIFS($C$20:$C$59,C64,$R$20:$R$59,"PASS")</x:f>
        <x:v>1</x:v>
      </x:c>
      <x:c r="F64" s="11" t="n">
        <x:f>D64-E64</x:f>
        <x:v>9</x:v>
      </x:c>
      <x:c r="G64" s="11" t="str">
        <x:f>R20</x:f>
        <x:v>FAIL</x:v>
      </x:c>
      <x:c r="H64" s="11" t="str">
        <x:f>R21</x:f>
        <x:v>FAIL</x:v>
      </x:c>
      <x:c r="I64" s="11" t="str">
        <x:f>R27</x:f>
        <x:v>FAIL</x:v>
      </x:c>
      <x:c r="J64" s="11" t="str">
        <x:f>R28</x:f>
        <x:v>FAIL</x:v>
      </x:c>
      <x:c r="K64" s="11" t="str">
        <x:f>R29</x:f>
        <x:v>FAIL</x:v>
      </x:c>
      <x:c r="L64" s="11" t="str">
        <x:v>DENIED</x:v>
      </x:c>
    </x:row>
    <x:row r="65" ht="40" customHeight="1">
      <x:c r="C65" s="11" t="str">
        <x:f>'02 Architectures'!C7</x:f>
        <x:v>R2</x:v>
      </x:c>
      <x:c r="D65" s="11" t="n">
        <x:f>COUNTIFS($C$20:$C$59,C65)</x:f>
        <x:v>10</x:v>
      </x:c>
      <x:c r="E65" s="11" t="n">
        <x:f>COUNTIFS($C$20:$C$59,C65,$R$20:$R$59,"PASS")</x:f>
        <x:v>3</x:v>
      </x:c>
      <x:c r="F65" s="11" t="n">
        <x:f>D65-E65</x:f>
        <x:v>7</x:v>
      </x:c>
      <x:c r="G65" s="11" t="str">
        <x:f>R30</x:f>
        <x:v>PASS</x:v>
      </x:c>
      <x:c r="H65" s="11" t="str">
        <x:f>R31</x:f>
        <x:v>FAIL</x:v>
      </x:c>
      <x:c r="I65" s="11" t="str">
        <x:f>R37</x:f>
        <x:v>FAIL</x:v>
      </x:c>
      <x:c r="J65" s="11" t="str">
        <x:f>R38</x:f>
        <x:v>FAIL</x:v>
      </x:c>
      <x:c r="K65" s="11" t="str">
        <x:f>R39</x:f>
        <x:v>FAIL</x:v>
      </x:c>
      <x:c r="L65" s="11" t="str">
        <x:v>DENIED</x:v>
      </x:c>
    </x:row>
    <x:row r="66" ht="40" customHeight="1">
      <x:c r="C66" s="11" t="str">
        <x:f>'02 Architectures'!C8</x:f>
        <x:v>R3</x:v>
      </x:c>
      <x:c r="D66" s="11" t="n">
        <x:f>COUNTIFS($C$20:$C$59,C66)</x:f>
        <x:v>10</x:v>
      </x:c>
      <x:c r="E66" s="11" t="n">
        <x:f>COUNTIFS($C$20:$C$59,C66,$R$20:$R$59,"PASS")</x:f>
        <x:v>8</x:v>
      </x:c>
      <x:c r="F66" s="11" t="n">
        <x:f>D66-E66</x:f>
        <x:v>2</x:v>
      </x:c>
      <x:c r="G66" s="11" t="str">
        <x:f>R40</x:f>
        <x:v>PASS</x:v>
      </x:c>
      <x:c r="H66" s="11" t="str">
        <x:f>R41</x:f>
        <x:v>PASS</x:v>
      </x:c>
      <x:c r="I66" s="11" t="str">
        <x:f>R47</x:f>
        <x:v>PASS</x:v>
      </x:c>
      <x:c r="J66" s="11" t="str">
        <x:f>R48</x:f>
        <x:v>FAIL</x:v>
      </x:c>
      <x:c r="K66" s="11" t="str">
        <x:f>R49</x:f>
        <x:v>FAIL</x:v>
      </x:c>
      <x:c r="L66" s="11" t="str">
        <x:v>DENIED</x:v>
      </x:c>
    </x:row>
    <x:row r="67" ht="40" customHeight="1">
      <x:c r="C67" s="11" t="str">
        <x:f>'02 Architectures'!C9</x:f>
        <x:v>R4</x:v>
      </x:c>
      <x:c r="D67" s="11" t="n">
        <x:f>COUNTIFS($C$20:$C$59,C67)</x:f>
        <x:v>10</x:v>
      </x:c>
      <x:c r="E67" s="11" t="n">
        <x:f>COUNTIFS($C$20:$C$59,C67,$R$20:$R$59,"PASS")</x:f>
        <x:v>9</x:v>
      </x:c>
      <x:c r="F67" s="11" t="n">
        <x:f>D67-E67</x:f>
        <x:v>1</x:v>
      </x:c>
      <x:c r="G67" s="11" t="str">
        <x:f>R50</x:f>
        <x:v>PASS</x:v>
      </x:c>
      <x:c r="H67" s="11" t="str">
        <x:f>R51</x:f>
        <x:v>PASS</x:v>
      </x:c>
      <x:c r="I67" s="11" t="str">
        <x:f>R57</x:f>
        <x:v>PASS</x:v>
      </x:c>
      <x:c r="J67" s="11" t="str">
        <x:f>R58</x:f>
        <x:v>PASS</x:v>
      </x:c>
      <x:c r="K67" s="11" t="str">
        <x:f>R59</x:f>
        <x:v>FAIL</x:v>
      </x:c>
      <x:c r="L67" s="11" t="str">
        <x:v>DENIED</x:v>
      </x:c>
    </x:row>
  </x:sheetData>
  <x:conditionalFormatting sqref="R20:S59">
    <x:cfRule type="containsText" dxfId="21" priority="1" operator="containsText" text="FAIL"/>
    <x:cfRule type="containsText" dxfId="22" priority="2" operator="containsText" text="DENIED"/>
    <x:cfRule type="containsText" dxfId="23" priority="3" operator="containsText" text="BLOCKED"/>
    <x:cfRule type="containsText" dxfId="24" priority="4" operator="containsText" text="OPEN"/>
    <x:cfRule type="containsText" dxfId="25" priority="5" operator="containsText" text="UNTESTED"/>
    <x:cfRule type="containsText" dxfId="26" priority="6" operator="containsText" text="DECLARED"/>
    <x:cfRule type="containsText" dxfId="27" priority="7" operator="containsText" text="PASS"/>
  </x:conditionalFormatting>
  <x:conditionalFormatting sqref="G64:L67">
    <x:cfRule type="containsText" dxfId="28" priority="8" operator="containsText" text="FAIL"/>
    <x:cfRule type="containsText" dxfId="29" priority="9" operator="containsText" text="DENIED"/>
    <x:cfRule type="containsText" dxfId="30" priority="10" operator="containsText" text="BLOCKED"/>
    <x:cfRule type="containsText" dxfId="31" priority="11" operator="containsText" text="OPEN"/>
    <x:cfRule type="containsText" dxfId="32" priority="12" operator="containsText" text="UNTESTED"/>
    <x:cfRule type="containsText" dxfId="33" priority="13" operator="containsText" text="DECLARED"/>
    <x:cfRule type="containsText" dxfId="34" priority="14" operator="containsText" text="PASS"/>
  </x:conditionalFormatting>
  <x:pageMargins left="0.7" right="0.7" top="0.75" bottom="0.75" header="0.3" footer="0.3"/>
  <x:tableParts count="2">
    <x:tablePart xmlns:r="http://schemas.openxmlformats.org/officeDocument/2006/relationships" r:id="R0328631a63f34612"/>
    <x:tablePart xmlns:r="http://schemas.openxmlformats.org/officeDocument/2006/relationships" r:id="R92f6101a8a3c4ba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0" hidden="0" customWidth="1"/>
    <x:col min="4" max="4" width="39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21" hidden="0" customWidth="1"/>
    <x:col min="10" max="10" width="29" hidden="0" customWidth="1"/>
    <x:col min="11" max="11" width="50" hidden="0" customWidth="1"/>
    <x:col min="12" max="12" width="19" hidden="0" customWidth="1"/>
  </x:cols>
  <x:sheetData>
    <x:row r="2">
      <x:c r="C2" s="2" t="str">
        <x:v>Receiver identity and common-mode register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C3" s="3" t="str">
        <x:v>A receiver becomes a federation only when service boundaries can fail independently. Counts describe declared design, not observed independence.</x:v>
      </x:c>
      <x:c r="D3" s="3"/>
      <x:c r="E3" s="3"/>
      <x:c r="F3" s="3"/>
      <x:c r="G3" s="3"/>
      <x:c r="H3" s="3"/>
      <x:c r="I3" s="3"/>
      <x:c r="J3" s="3"/>
      <x:c r="K3" s="3"/>
      <x:c r="L3" s="3"/>
    </x:row>
    <x:row r="5">
      <x:c r="C5" s="9" t="str">
        <x:v>ID</x:v>
      </x:c>
      <x:c r="D5" s="9" t="str">
        <x:v>Architecture</x:v>
      </x:c>
      <x:c r="E5" s="9" t="str">
        <x:v>Distribution zones</x:v>
      </x:c>
      <x:c r="F5" s="9" t="str">
        <x:v>Direct branches</x:v>
      </x:c>
      <x:c r="G5" s="9" t="str">
        <x:v>Power domains</x:v>
      </x:c>
      <x:c r="H5" s="9" t="str">
        <x:v>Quality domains</x:v>
      </x:c>
      <x:c r="I5" s="9" t="str">
        <x:v>Source provenances</x:v>
      </x:c>
      <x:c r="J5" s="9" t="str">
        <x:v>Lost-catchment redirectability</x:v>
      </x:c>
      <x:c r="K5" s="9" t="str">
        <x:v>Largest surviving common mode</x:v>
      </x:c>
      <x:c r="L5" s="9" t="str">
        <x:v>Current use</x:v>
      </x:c>
    </x:row>
    <x:row r="6" ht="58" customHeight="1">
      <x:c r="C6" s="11" t="str">
        <x:f>'02 Architectures'!C6</x:f>
        <x:v>R1</x:v>
      </x:c>
      <x:c r="D6" s="17" t="str">
        <x:f>'02 Architectures'!D6</x:f>
        <x:v>Central receiver</x:v>
      </x:c>
      <x:c r="E6" s="17" t="n">
        <x:f>'02 Architectures'!H6</x:f>
        <x:v>0</x:v>
      </x:c>
      <x:c r="F6" s="17" t="n">
        <x:f>'02 Architectures'!I6</x:f>
        <x:v>0</x:v>
      </x:c>
      <x:c r="G6" s="17" t="n">
        <x:f>'02 Architectures'!J6</x:f>
        <x:v>0</x:v>
      </x:c>
      <x:c r="H6" s="17" t="n">
        <x:f>'02 Architectures'!K6</x:f>
        <x:v>0</x:v>
      </x:c>
      <x:c r="I6" s="17" t="n">
        <x:f>IF('02 Architectures'!O6&gt;0,2,1)</x:f>
        <x:v>1</x:v>
      </x:c>
      <x:c r="J6" s="20" t="n">
        <x:f>'02 Architectures'!N6</x:f>
        <x:v>0</x:v>
      </x:c>
      <x:c r="K6" s="17" t="str">
        <x:v>All local distribution, terminal, power, quality and source</x:v>
      </x:c>
      <x:c r="L6" s="17" t="str">
        <x:v>CONTROL</x:v>
      </x:c>
    </x:row>
    <x:row r="7" ht="58" customHeight="1">
      <x:c r="C7" s="11" t="str">
        <x:f>'02 Architectures'!C7</x:f>
        <x:v>R2</x:v>
      </x:c>
      <x:c r="D7" s="17" t="str">
        <x:f>'02 Architectures'!D7</x:f>
        <x:v>Physically paired service islands</x:v>
      </x:c>
      <x:c r="E7" s="17" t="n">
        <x:f>'02 Architectures'!H7</x:f>
        <x:v>2</x:v>
      </x:c>
      <x:c r="F7" s="17" t="n">
        <x:f>'02 Architectures'!I7</x:f>
        <x:v>0</x:v>
      </x:c>
      <x:c r="G7" s="17" t="n">
        <x:f>'02 Architectures'!J7</x:f>
        <x:v>0</x:v>
      </x:c>
      <x:c r="H7" s="17" t="n">
        <x:f>'02 Architectures'!K7</x:f>
        <x:v>0</x:v>
      </x:c>
      <x:c r="I7" s="17" t="n">
        <x:f>IF('02 Architectures'!O7&gt;0,2,1)</x:f>
        <x:v>1</x:v>
      </x:c>
      <x:c r="J7" s="20" t="n">
        <x:f>'02 Architectures'!N7</x:f>
        <x:v>0.25</x:v>
      </x:c>
      <x:c r="K7" s="17" t="str">
        <x:v>Terminal manifold, power, quality and primary source</x:v>
      </x:c>
      <x:c r="L7" s="17" t="str">
        <x:v>RETAIN</x:v>
      </x:c>
    </x:row>
    <x:row r="8" ht="58" customHeight="1">
      <x:c r="C8" s="11" t="str">
        <x:f>'02 Architectures'!C8</x:f>
        <x:v>R3</x:v>
      </x:c>
      <x:c r="D8" s="17" t="str">
        <x:f>'02 Architectures'!D8</x:f>
        <x:v>Independent N+1 receiver triad</x:v>
      </x:c>
      <x:c r="E8" s="17" t="n">
        <x:f>'02 Architectures'!H8</x:f>
        <x:v>3</x:v>
      </x:c>
      <x:c r="F8" s="17" t="n">
        <x:f>'02 Architectures'!I8</x:f>
        <x:v>3</x:v>
      </x:c>
      <x:c r="G8" s="17" t="n">
        <x:f>'02 Architectures'!J8</x:f>
        <x:v>3</x:v>
      </x:c>
      <x:c r="H8" s="17" t="n">
        <x:f>'02 Architectures'!K8</x:f>
        <x:v>3</x:v>
      </x:c>
      <x:c r="I8" s="17" t="n">
        <x:f>IF('02 Architectures'!O8&gt;0,2,1)</x:f>
        <x:v>1</x:v>
      </x:c>
      <x:c r="J8" s="20" t="n">
        <x:f>'02 Architectures'!N8</x:f>
        <x:v>0.5</x:v>
      </x:c>
      <x:c r="K8" s="17" t="str">
        <x:v>Primary source quality and national no-issue order</x:v>
      </x:c>
      <x:c r="L8" s="17" t="str">
        <x:v>RETAIN</x:v>
      </x:c>
    </x:row>
    <x:row r="9" ht="58" customHeight="1">
      <x:c r="C9" s="11" t="str">
        <x:f>'02 Architectures'!C9</x:f>
        <x:v>R4</x:v>
      </x:c>
      <x:c r="D9" s="17" t="str">
        <x:f>'02 Architectures'!D9</x:f>
        <x:v>Dual-provenance four-island mesh</x:v>
      </x:c>
      <x:c r="E9" s="17" t="n">
        <x:f>'02 Architectures'!H9</x:f>
        <x:v>4</x:v>
      </x:c>
      <x:c r="F9" s="17" t="n">
        <x:f>'02 Architectures'!I9</x:f>
        <x:v>4</x:v>
      </x:c>
      <x:c r="G9" s="17" t="n">
        <x:f>'02 Architectures'!J9</x:f>
        <x:v>4</x:v>
      </x:c>
      <x:c r="H9" s="17" t="n">
        <x:f>'02 Architectures'!K9</x:f>
        <x:v>4</x:v>
      </x:c>
      <x:c r="I9" s="17" t="n">
        <x:f>IF('02 Architectures'!O9&gt;0,2,1)</x:f>
        <x:v>2</x:v>
      </x:c>
      <x:c r="J9" s="20" t="n">
        <x:f>'02 Architectures'!N9</x:f>
        <x:v>0.5</x:v>
      </x:c>
      <x:c r="K9" s="17" t="str">
        <x:v>National unknown-contaminant no-issue order</x:v>
      </x:c>
      <x:c r="L9" s="17" t="str">
        <x:v>TEST LEADER</x:v>
      </x:c>
    </x:row>
    <x:row r="14">
      <x:c r="C14" s="9" t="str">
        <x:v>Boundary</x:v>
      </x:c>
      <x:c r="D14" s="9" t="str">
        <x:v>Credit condition</x:v>
      </x:c>
      <x:c r="E14" s="9" t="str">
        <x:v>Failure that revokes credit</x:v>
      </x:c>
      <x:c r="F14" s="9" t="str">
        <x:v>Receiver object</x:v>
      </x:c>
      <x:c r="G14" s="9" t="str">
        <x:v>Independent authority</x:v>
      </x:c>
      <x:c r="H14" s="9" t="str">
        <x:v>Evidence state</x:v>
      </x:c>
    </x:row>
    <x:row r="15" ht="64" customHeight="1">
      <x:c r="C15" s="11" t="str">
        <x:v>Hydraulic island</x:v>
      </x:c>
      <x:c r="D15" s="17" t="str">
        <x:v>Bidirectional isolation and no backflow</x:v>
      </x:c>
      <x:c r="E15" s="17" t="str">
        <x:v>Contaminant or pressure crosses closed boundary</x:v>
      </x:c>
      <x:c r="F15" s="17" t="str">
        <x:v>Valve and pressure zone</x:v>
      </x:c>
      <x:c r="G15" s="17" t="str">
        <x:v>Pressure safety</x:v>
      </x:c>
      <x:c r="H15" s="17" t="str">
        <x:v>OPEN</x:v>
      </x:c>
    </x:row>
    <x:row r="16" ht="64" customHeight="1">
      <x:c r="C16" s="11" t="str">
        <x:v>Storage island</x:v>
      </x:c>
      <x:c r="D16" s="17" t="str">
        <x:v>Clean inventory and independent withdrawal</x:v>
      </x:c>
      <x:c r="E16" s="17" t="str">
        <x:v>Shared manifold or cleaning path</x:v>
      </x:c>
      <x:c r="F16" s="17" t="str">
        <x:v>Tank sectors and pumps</x:v>
      </x:c>
      <x:c r="G16" s="17" t="str">
        <x:v>Water quality</x:v>
      </x:c>
      <x:c r="H16" s="17" t="str">
        <x:v>OPEN</x:v>
      </x:c>
    </x:row>
    <x:row r="17" ht="64" customHeight="1">
      <x:c r="C17" s="11" t="str">
        <x:v>Public distribution</x:v>
      </x:c>
      <x:c r="D17" s="17" t="str">
        <x:v>Accessible issue remains outside held network</x:v>
      </x:c>
      <x:c r="E17" s="17" t="str">
        <x:v>Shared main or inaccessible catchment</x:v>
      </x:c>
      <x:c r="F17" s="17" t="str">
        <x:v>Public-service interface set</x:v>
      </x:c>
      <x:c r="G17" s="17" t="str">
        <x:v>Receiving command</x:v>
      </x:c>
      <x:c r="H17" s="17" t="str">
        <x:v>OPEN</x:v>
      </x:c>
    </x:row>
    <x:row r="18" ht="64" customHeight="1">
      <x:c r="C18" s="11" t="str">
        <x:v>Branch path</x:v>
      </x:c>
      <x:c r="D18" s="17" t="str">
        <x:v>No common terminal gallery or crossing</x:v>
      </x:c>
      <x:c r="E18" s="17" t="str">
        <x:v>One local event severs all branches</x:v>
      </x:c>
      <x:c r="F18" s="17" t="str">
        <x:v>Route and connection record</x:v>
      </x:c>
      <x:c r="G18" s="17" t="str">
        <x:v>Mission assurance</x:v>
      </x:c>
      <x:c r="H18" s="17" t="str">
        <x:v>OPEN</x:v>
      </x:c>
    </x:row>
    <x:row r="19" ht="64" customHeight="1">
      <x:c r="C19" s="11" t="str">
        <x:v>Power and control</x:v>
      </x:c>
      <x:c r="D19" s="17" t="str">
        <x:v>Local black start with offline operation</x:v>
      </x:c>
      <x:c r="E19" s="17" t="str">
        <x:v>Grid or central controller removes all issue</x:v>
      </x:c>
      <x:c r="F19" s="17" t="str">
        <x:v>Autonomy cell</x:v>
      </x:c>
      <x:c r="G19" s="17" t="str">
        <x:v>Electrical safety</x:v>
      </x:c>
      <x:c r="H19" s="17" t="str">
        <x:v>OPEN</x:v>
      </x:c>
    </x:row>
    <x:row r="20" ht="64" customHeight="1">
      <x:c r="C20" s="11" t="str">
        <x:v>Quality release</x:v>
      </x:c>
      <x:c r="D20" s="17" t="str">
        <x:v>Local sampling and bounded release class</x:v>
      </x:c>
      <x:c r="E20" s="17" t="str">
        <x:v>Central data or laboratory loss stops all issue</x:v>
      </x:c>
      <x:c r="F20" s="17" t="str">
        <x:v>Quality workcell</x:v>
      </x:c>
      <x:c r="G20" s="17" t="str">
        <x:v>Independent quality authority</x:v>
      </x:c>
      <x:c r="H20" s="17" t="str">
        <x:v>OPEN</x:v>
      </x:c>
    </x:row>
    <x:row r="21" ht="64" customHeight="1">
      <x:c r="C21" s="11" t="str">
        <x:v>Source provenance</x:v>
      </x:c>
      <x:c r="D21" s="17" t="str">
        <x:v>Independent intake, process and residual chain</x:v>
      </x:c>
      <x:c r="E21" s="17" t="str">
        <x:v>Shared contaminant or common treatment</x:v>
      </x:c>
      <x:c r="F21" s="17" t="str">
        <x:v>Alternate-source set</x:v>
      </x:c>
      <x:c r="G21" s="17" t="str">
        <x:v>Source quality authority</x:v>
      </x:c>
      <x:c r="H21" s="17" t="str">
        <x:v>OPEN</x:v>
      </x:c>
    </x:row>
    <x:row r="22" ht="64" customHeight="1">
      <x:c r="C22" s="11" t="str">
        <x:v>Catchment access</x:v>
      </x:c>
      <x:c r="D22" s="17" t="str">
        <x:v>Population can reach surviving interfaces lawfully</x:v>
      </x:c>
      <x:c r="E22" s="17" t="str">
        <x:v>Distance, disability, heat or queue defeats access</x:v>
      </x:c>
      <x:c r="F22" s="17" t="str">
        <x:v>Access and queue plan</x:v>
      </x:c>
      <x:c r="G22" s="17" t="str">
        <x:v>Civil access authority</x:v>
      </x:c>
      <x:c r="H22" s="17" t="str">
        <x:v>OPEN</x:v>
      </x:c>
    </x:row>
    <x:row r="23" ht="64" customHeight="1">
      <x:c r="C23" s="11" t="str">
        <x:v>Civil issue authority</x:v>
      </x:c>
      <x:c r="D23" s="17" t="str">
        <x:v>Accountable release remains valid</x:v>
      </x:c>
      <x:c r="E23" s="17" t="str">
        <x:v>Unknown hazard requires universal stop</x:v>
      </x:c>
      <x:c r="F23" s="17" t="str">
        <x:v>Signed operating state</x:v>
      </x:c>
      <x:c r="G23" s="17" t="str">
        <x:v>Public health authority</x:v>
      </x:c>
      <x:c r="H23" s="17" t="str">
        <x:v>OPEN</x:v>
      </x:c>
    </x:row>
  </x:sheetData>
  <x:conditionalFormatting sqref="H15:H23">
    <x:cfRule type="containsText" dxfId="35" priority="1" operator="containsText" text="FAIL"/>
    <x:cfRule type="containsText" dxfId="36" priority="2" operator="containsText" text="DENIED"/>
    <x:cfRule type="containsText" dxfId="37" priority="3" operator="containsText" text="BLOCKED"/>
    <x:cfRule type="containsText" dxfId="38" priority="4" operator="containsText" text="OPEN"/>
    <x:cfRule type="containsText" dxfId="39" priority="5" operator="containsText" text="UNTESTED"/>
    <x:cfRule type="containsText" dxfId="40" priority="6" operator="containsText" text="DECLARED"/>
    <x:cfRule type="containsText" dxfId="41" priority="7" operator="containsText" text="PASS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8" hidden="0" customWidth="1"/>
    <x:col min="4" max="4" width="13" hidden="0" customWidth="1"/>
    <x:col min="5" max="5" width="20" hidden="0" customWidth="1"/>
    <x:col min="6" max="6" width="21" hidden="0" customWidth="1"/>
    <x:col min="7" max="7" width="20" hidden="0" customWidth="1"/>
    <x:col min="8" max="8" width="18" hidden="0" customWidth="1"/>
    <x:col min="9" max="9" width="20" hidden="0" customWidth="1"/>
    <x:col min="10" max="10" width="22" hidden="0" customWidth="1"/>
    <x:col min="11" max="11" width="19" hidden="0" customWidth="1"/>
    <x:col min="12" max="12" width="21" hidden="0" customWidth="1"/>
    <x:col min="13" max="13" width="21" hidden="0" customWidth="1"/>
    <x:col min="14" max="14" width="22" hidden="0" customWidth="1"/>
  </x:cols>
  <x:sheetData>
    <x:row r="2">
      <x:c r="C2" s="2" t="str">
        <x:v>Federation cost and mobility consequence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C3" s="3" t="str">
        <x:v>The Pass 65 A4 program is revised only for twenty-four operational sets and twelve prepared nodes. Values are declared comparators, not estimates.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C5" s="9" t="str">
        <x:v>ID</x:v>
      </x:c>
      <x:c r="D5" s="9" t="str">
        <x:v>Islands</x:v>
      </x:c>
      <x:c r="E5" s="9" t="str">
        <x:v>Installed capacity</x:v>
      </x:c>
      <x:c r="F5" s="9" t="str">
        <x:v>Gross storage m³</x:v>
      </x:c>
      <x:c r="G5" s="9" t="str">
        <x:v>Branch route-km</x:v>
      </x:c>
      <x:c r="H5" s="9" t="str">
        <x:v>Alternate source</x:v>
      </x:c>
      <x:c r="I5" s="9" t="str">
        <x:v>Dry mass t/set</x:v>
      </x:c>
      <x:c r="J5" s="9" t="str">
        <x:v>Chargeable t/set</x:v>
      </x:c>
      <x:c r="K5" s="9" t="str">
        <x:v>Surface positions</x:v>
      </x:c>
      <x:c r="L5" s="9" t="str">
        <x:v>Equipment $B/set</x:v>
      </x:c>
      <x:c r="M5" s="9" t="str">
        <x:v>Receiver $B/node</x:v>
      </x:c>
      <x:c r="N5" s="9" t="str">
        <x:v>Revised program $B</x:v>
      </x:c>
    </x:row>
    <x:row r="6" ht="44" customHeight="1">
      <x:c r="C6" s="11" t="str">
        <x:f>'02 Architectures'!C6</x:f>
        <x:v>R1</x:v>
      </x:c>
      <x:c r="D6" s="11" t="n">
        <x:f>'02 Architectures'!E6</x:f>
        <x:v>1</x:v>
      </x:c>
      <x:c r="E6" s="18" t="n">
        <x:f>'02 Architectures'!G6</x:f>
        <x:v>1</x:v>
      </x:c>
      <x:c r="F6" s="23" t="n">
        <x:f>'02 Architectures'!M6</x:f>
        <x:v>10000</x:v>
      </x:c>
      <x:c r="G6" s="23" t="n">
        <x:f>'02 Architectures'!Q6</x:f>
        <x:v>1</x:v>
      </x:c>
      <x:c r="H6" s="23" t="n">
        <x:f>'02 Architectures'!O6</x:f>
        <x:v>0</x:v>
      </x:c>
      <x:c r="I6" s="23" t="n">
        <x:f>'02 Architectures'!AE6</x:f>
        <x:v>4324.242428308064</x:v>
      </x:c>
      <x:c r="J6" s="23" t="n">
        <x:f>'02 Architectures'!AF6</x:f>
        <x:v>4495.772110224365</x:v>
      </x:c>
      <x:c r="K6" s="23" t="n">
        <x:f>'02 Architectures'!AG6</x:f>
        <x:v>113</x:v>
      </x:c>
      <x:c r="L6" s="24" t="n">
        <x:f>'02 Architectures'!R6</x:f>
        <x:v>1.65</x:v>
      </x:c>
      <x:c r="M6" s="24" t="n">
        <x:f>'02 Architectures'!S6</x:f>
        <x:v>1.1</x:v>
      </x:c>
      <x:c r="N6" s="25" t="n">
        <x:f>'02 Architectures'!AH6</x:f>
        <x:v>127.2</x:v>
      </x:c>
    </x:row>
    <x:row r="7" ht="44" customHeight="1">
      <x:c r="C7" s="11" t="str">
        <x:f>'02 Architectures'!C7</x:f>
        <x:v>R2</x:v>
      </x:c>
      <x:c r="D7" s="11" t="n">
        <x:f>'02 Architectures'!E7</x:f>
        <x:v>2</x:v>
      </x:c>
      <x:c r="E7" s="18" t="n">
        <x:f>'02 Architectures'!G7</x:f>
        <x:v>1</x:v>
      </x:c>
      <x:c r="F7" s="23" t="n">
        <x:f>'02 Architectures'!M7</x:f>
        <x:v>10000</x:v>
      </x:c>
      <x:c r="G7" s="23" t="n">
        <x:f>'02 Architectures'!Q7</x:f>
        <x:v>4</x:v>
      </x:c>
      <x:c r="H7" s="23" t="n">
        <x:f>'02 Architectures'!O7</x:f>
        <x:v>0</x:v>
      </x:c>
      <x:c r="I7" s="23" t="n">
        <x:f>'02 Architectures'!AE7</x:f>
        <x:v>4369.242428308064</x:v>
      </x:c>
      <x:c r="J7" s="23" t="n">
        <x:f>'02 Architectures'!AF7</x:f>
        <x:v>4540.772110224365</x:v>
      </x:c>
      <x:c r="K7" s="23" t="n">
        <x:f>'02 Architectures'!AG7</x:f>
        <x:v>114</x:v>
      </x:c>
      <x:c r="L7" s="24" t="n">
        <x:f>'02 Architectures'!R7</x:f>
        <x:v>1.75</x:v>
      </x:c>
      <x:c r="M7" s="24" t="n">
        <x:f>'02 Architectures'!S7</x:f>
        <x:v>1.35</x:v>
      </x:c>
      <x:c r="N7" s="25" t="n">
        <x:f>'02 Architectures'!AH7</x:f>
        <x:v>132.60000000000002</x:v>
      </x:c>
    </x:row>
    <x:row r="8" ht="44" customHeight="1">
      <x:c r="C8" s="11" t="str">
        <x:f>'02 Architectures'!C8</x:f>
        <x:v>R3</x:v>
      </x:c>
      <x:c r="D8" s="11" t="n">
        <x:f>'02 Architectures'!E8</x:f>
        <x:v>3</x:v>
      </x:c>
      <x:c r="E8" s="18" t="n">
        <x:f>'02 Architectures'!G8</x:f>
        <x:v>1.5</x:v>
      </x:c>
      <x:c r="F8" s="23" t="n">
        <x:f>'02 Architectures'!M8</x:f>
        <x:v>15000</x:v>
      </x:c>
      <x:c r="G8" s="23" t="n">
        <x:f>'02 Architectures'!Q8</x:f>
        <x:v>9</x:v>
      </x:c>
      <x:c r="H8" s="23" t="n">
        <x:f>'02 Architectures'!O8</x:f>
        <x:v>0</x:v>
      </x:c>
      <x:c r="I8" s="23" t="n">
        <x:f>'02 Architectures'!AE8</x:f>
        <x:v>4669.242428308064</x:v>
      </x:c>
      <x:c r="J8" s="23" t="n">
        <x:f>'02 Architectures'!AF8</x:f>
        <x:v>4860.772110224365</x:v>
      </x:c>
      <x:c r="K8" s="23" t="n">
        <x:f>'02 Architectures'!AG8</x:f>
        <x:v>122</x:v>
      </x:c>
      <x:c r="L8" s="24" t="n">
        <x:f>'02 Architectures'!R8</x:f>
        <x:v>1.9</x:v>
      </x:c>
      <x:c r="M8" s="24" t="n">
        <x:f>'02 Architectures'!S8</x:f>
        <x:v>1.8</x:v>
      </x:c>
      <x:c r="N8" s="25" t="n">
        <x:f>'02 Architectures'!AH8</x:f>
        <x:v>141.6</x:v>
      </x:c>
    </x:row>
    <x:row r="9" ht="44" customHeight="1">
      <x:c r="C9" s="11" t="str">
        <x:f>'02 Architectures'!C9</x:f>
        <x:v>R4</x:v>
      </x:c>
      <x:c r="D9" s="11" t="n">
        <x:f>'02 Architectures'!E9</x:f>
        <x:v>4</x:v>
      </x:c>
      <x:c r="E9" s="18" t="n">
        <x:f>'02 Architectures'!G9</x:f>
        <x:v>1.3333333333333333</x:v>
      </x:c>
      <x:c r="F9" s="23" t="n">
        <x:f>'02 Architectures'!M9</x:f>
        <x:v>13333.333333333334</x:v>
      </x:c>
      <x:c r="G9" s="23" t="n">
        <x:f>'02 Architectures'!Q9</x:f>
        <x:v>16</x:v>
      </x:c>
      <x:c r="H9" s="23" t="n">
        <x:f>'02 Architectures'!O9</x:f>
        <x:v>0.5</x:v>
      </x:c>
      <x:c r="I9" s="23" t="n">
        <x:f>'02 Architectures'!AE9</x:f>
        <x:v>5579.242428308064</x:v>
      </x:c>
      <x:c r="J9" s="23" t="n">
        <x:f>'02 Architectures'!AF9</x:f>
        <x:v>5914.105443557698</x:v>
      </x:c>
      <x:c r="K9" s="23" t="n">
        <x:f>'02 Architectures'!AG9</x:f>
        <x:v>148</x:v>
      </x:c>
      <x:c r="L9" s="24" t="n">
        <x:f>'02 Architectures'!R9</x:f>
        <x:v>2.3</x:v>
      </x:c>
      <x:c r="M9" s="24" t="n">
        <x:f>'02 Architectures'!S9</x:f>
        <x:v>2.2</x:v>
      </x:c>
      <x:c r="N9" s="25" t="n">
        <x:f>'02 Architectures'!AH9</x:f>
        <x:v>156</x:v>
      </x:c>
    </x:row>
    <x:row r="14">
      <x:c r="C14" s="9" t="str">
        <x:v>Cost question</x:v>
      </x:c>
      <x:c r="D14" s="9" t="str">
        <x:v>R1</x:v>
      </x:c>
      <x:c r="E14" s="9" t="str">
        <x:v>R2</x:v>
      </x:c>
      <x:c r="F14" s="9" t="str">
        <x:v>R3</x:v>
      </x:c>
      <x:c r="G14" s="9" t="str">
        <x:v>R4</x:v>
      </x:c>
      <x:c r="H14" s="9" t="str">
        <x:v>Interpretation</x:v>
      </x:c>
    </x:row>
    <x:row r="15" ht="68" customHeight="1">
      <x:c r="C15" s="11" t="str">
        <x:v>What is purchased?</x:v>
      </x:c>
      <x:c r="D15" s="17" t="str">
        <x:v>Baseline A4 receiver</x:v>
      </x:c>
      <x:c r="E15" s="17" t="str">
        <x:v>Second physical island</x:v>
      </x:c>
      <x:c r="F15" s="17" t="str">
        <x:v>Three independent service domains</x:v>
      </x:c>
      <x:c r="G15" s="17" t="str">
        <x:v>Four domains plus half-demand alternate source</x:v>
      </x:c>
      <x:c r="H15" s="17" t="str">
        <x:v>Protection mechanisms span mobile and fixed capital</x:v>
      </x:c>
    </x:row>
    <x:row r="16" ht="68" customHeight="1">
      <x:c r="C16" s="11" t="str">
        <x:v>What is still excluded?</x:v>
      </x:c>
      <x:c r="D16" s="17" t="str">
        <x:v>Released site design</x:v>
      </x:c>
      <x:c r="E16" s="17" t="str">
        <x:v>Same</x:v>
      </x:c>
      <x:c r="F16" s="17" t="str">
        <x:v>Same</x:v>
      </x:c>
      <x:c r="G16" s="17" t="str">
        <x:v>Same</x:v>
      </x:c>
      <x:c r="H16" s="17" t="str">
        <x:v>Land, actual construction and operating evidence remain unknown</x:v>
      </x:c>
    </x:row>
    <x:row r="17" ht="68" customHeight="1">
      <x:c r="C17" s="11" t="str">
        <x:v>May the lowest cost win?</x:v>
      </x:c>
      <x:c r="D17" s="17" t="str">
        <x:v>No</x:v>
      </x:c>
      <x:c r="E17" s="17" t="str">
        <x:v>No</x:v>
      </x:c>
      <x:c r="F17" s="17" t="str">
        <x:v>No</x:v>
      </x:c>
      <x:c r="G17" s="17" t="str">
        <x:v>No</x:v>
      </x:c>
      <x:c r="H17" s="17" t="str">
        <x:v>A cheaper common mode is not a service architecture</x:v>
      </x:c>
    </x:row>
  </x:sheetData>
  <x:pageMargins left="0.7" right="0.7" top="0.75" bottom="0.75" header="0.3" footer="0.3"/>
  <x:tableParts count="1">
    <x:tablePart xmlns:r="http://schemas.openxmlformats.org/officeDocument/2006/relationships" r:id="R4154c6970a56483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1" hidden="0" customWidth="1"/>
    <x:col min="4" max="4" width="42" hidden="0" customWidth="1"/>
    <x:col min="5" max="5" width="39" hidden="0" customWidth="1"/>
    <x:col min="6" max="6" width="36" hidden="0" customWidth="1"/>
    <x:col min="7" max="7" width="18" hidden="0" customWidth="1"/>
    <x:col min="8" max="8" width="31" hidden="0" customWidth="1"/>
    <x:col min="9" max="9" width="31" hidden="0" customWidth="1"/>
    <x:col min="10" max="10" width="18" hidden="0" customWidth="1"/>
  </x:cols>
  <x:sheetData>
    <x:row r="2">
      <x:c r="C2" s="2" t="str">
        <x:v>Federated receiver evidence contract</x:v>
      </x:c>
      <x:c r="D2" s="1"/>
      <x:c r="E2" s="1"/>
      <x:c r="F2" s="1"/>
      <x:c r="G2" s="1"/>
      <x:c r="H2" s="1"/>
      <x:c r="I2" s="1"/>
      <x:c r="J2" s="1"/>
      <x:c r="K2" s="1"/>
    </x:row>
    <x:row r="3">
      <x:c r="C3" s="3" t="str">
        <x:v>Declared scenario passes specify trials. No receiver federation is admitted until independence, access, safe switching and repeat performance are observed.</x:v>
      </x:c>
      <x:c r="D3" s="3"/>
      <x:c r="E3" s="3"/>
      <x:c r="F3" s="3"/>
      <x:c r="G3" s="3"/>
      <x:c r="H3" s="3"/>
      <x:c r="I3" s="3"/>
      <x:c r="J3" s="3"/>
      <x:c r="K3" s="3"/>
    </x:row>
    <x:row r="5">
      <x:c r="C5" s="9" t="str">
        <x:v>Gate</x:v>
      </x:c>
      <x:c r="D5" s="9" t="str">
        <x:v>Required demonstration</x:v>
      </x:c>
      <x:c r="E5" s="9" t="str">
        <x:v>Measure</x:v>
      </x:c>
      <x:c r="F5" s="9" t="str">
        <x:v>Threshold</x:v>
      </x:c>
      <x:c r="G5" s="9" t="str">
        <x:v>Applies</x:v>
      </x:c>
      <x:c r="H5" s="9" t="str">
        <x:v>Authority</x:v>
      </x:c>
      <x:c r="I5" s="9" t="str">
        <x:v>Evidence</x:v>
      </x:c>
      <x:c r="J5" s="9" t="str">
        <x:v>State</x:v>
      </x:c>
    </x:row>
    <x:row r="6" ht="61" customHeight="1">
      <x:c r="C6" s="11" t="str">
        <x:v>G01</x:v>
      </x:c>
      <x:c r="D6" s="17" t="str">
        <x:v>Hydraulic island isolation</x:v>
      </x:c>
      <x:c r="E6" s="17" t="str">
        <x:v>Cross-boundary contaminant and pressure transfer</x:v>
      </x:c>
      <x:c r="F6" s="17" t="str">
        <x:v>None outside held island</x:v>
      </x:c>
      <x:c r="G6" s="17" t="str">
        <x:v>R2–R4</x:v>
      </x:c>
      <x:c r="H6" s="17" t="str">
        <x:v>Pressure and quality authorities</x:v>
      </x:c>
      <x:c r="I6" s="17" t="str">
        <x:v>None</x:v>
      </x:c>
      <x:c r="J6" s="17" t="str">
        <x:v>OPEN</x:v>
      </x:c>
    </x:row>
    <x:row r="7" ht="61" customHeight="1">
      <x:c r="C7" s="11" t="str">
        <x:v>G02</x:v>
      </x:c>
      <x:c r="D7" s="17" t="str">
        <x:v>One-island contamination hold</x:v>
      </x:c>
      <x:c r="E7" s="17" t="str">
        <x:v>Minimum accessible service for 24 h</x:v>
      </x:c>
      <x:c r="F7" s="17" t="str">
        <x:v>At least 50%</x:v>
      </x:c>
      <x:c r="G7" s="17" t="str">
        <x:v>All</x:v>
      </x:c>
      <x:c r="H7" s="17" t="str">
        <x:v>Independent RTE</x:v>
      </x:c>
      <x:c r="I7" s="17" t="str">
        <x:v>Calculated target only</x:v>
      </x:c>
      <x:c r="J7" s="17" t="str">
        <x:v>OPEN</x:v>
      </x:c>
    </x:row>
    <x:row r="8" ht="61" customHeight="1">
      <x:c r="C8" s="11" t="str">
        <x:v>G03</x:v>
      </x:c>
      <x:c r="D8" s="17" t="str">
        <x:v>Two-island correlated hold</x:v>
      </x:c>
      <x:c r="E8" s="17" t="str">
        <x:v>Minimum accessible service for 24 h</x:v>
      </x:c>
      <x:c r="F8" s="17" t="str">
        <x:v>At least 50%</x:v>
      </x:c>
      <x:c r="G8" s="17" t="str">
        <x:v>R3–R4</x:v>
      </x:c>
      <x:c r="H8" s="17" t="str">
        <x:v>Independent RTE</x:v>
      </x:c>
      <x:c r="I8" s="17" t="str">
        <x:v>Calculated target only</x:v>
      </x:c>
      <x:c r="J8" s="17" t="str">
        <x:v>OPEN</x:v>
      </x:c>
    </x:row>
    <x:row r="9" ht="61" customHeight="1">
      <x:c r="C9" s="11" t="str">
        <x:v>G04</x:v>
      </x:c>
      <x:c r="D9" s="17" t="str">
        <x:v>Primary distribution hold</x:v>
      </x:c>
      <x:c r="E9" s="17" t="str">
        <x:v>Safe issue outside held network</x:v>
      </x:c>
      <x:c r="F9" s="17" t="str">
        <x:v>At least 50%</x:v>
      </x:c>
      <x:c r="G9" s="17" t="str">
        <x:v>R2–R4</x:v>
      </x:c>
      <x:c r="H9" s="17" t="str">
        <x:v>Receiving command</x:v>
      </x:c>
      <x:c r="I9" s="17" t="str">
        <x:v>No representative island</x:v>
      </x:c>
      <x:c r="J9" s="17" t="str">
        <x:v>OPEN</x:v>
      </x:c>
    </x:row>
    <x:row r="10" ht="61" customHeight="1">
      <x:c r="C10" s="11" t="str">
        <x:v>G05</x:v>
      </x:c>
      <x:c r="D10" s="17" t="str">
        <x:v>Terminal manifold loss</x:v>
      </x:c>
      <x:c r="E10" s="17" t="str">
        <x:v>Independent branch service</x:v>
      </x:c>
      <x:c r="F10" s="17" t="str">
        <x:v>At least 50%</x:v>
      </x:c>
      <x:c r="G10" s="17" t="str">
        <x:v>R3–R4</x:v>
      </x:c>
      <x:c r="H10" s="17" t="str">
        <x:v>Mission assurance</x:v>
      </x:c>
      <x:c r="I10" s="17" t="str">
        <x:v>No direct-branch trial</x:v>
      </x:c>
      <x:c r="J10" s="17" t="str">
        <x:v>OPEN</x:v>
      </x:c>
    </x:row>
    <x:row r="11" ht="61" customHeight="1">
      <x:c r="C11" s="11" t="str">
        <x:v>G06</x:v>
      </x:c>
      <x:c r="D11" s="17" t="str">
        <x:v>Grid and central-control blackout</x:v>
      </x:c>
      <x:c r="E11" s="17" t="str">
        <x:v>Local black start and offline issue</x:v>
      </x:c>
      <x:c r="F11" s="17" t="str">
        <x:v>At least 50%</x:v>
      </x:c>
      <x:c r="G11" s="17" t="str">
        <x:v>R3–R4</x:v>
      </x:c>
      <x:c r="H11" s="17" t="str">
        <x:v>Electrical safety</x:v>
      </x:c>
      <x:c r="I11" s="17" t="str">
        <x:v>No autonomy trial</x:v>
      </x:c>
      <x:c r="J11" s="17" t="str">
        <x:v>OPEN</x:v>
      </x:c>
    </x:row>
    <x:row r="12" ht="61" customHeight="1">
      <x:c r="C12" s="11" t="str">
        <x:v>G07</x:v>
      </x:c>
      <x:c r="D12" s="17" t="str">
        <x:v>Central quality-network loss</x:v>
      </x:c>
      <x:c r="E12" s="17" t="str">
        <x:v>Local sampling and bounded release</x:v>
      </x:c>
      <x:c r="F12" s="17" t="str">
        <x:v>At least 50%</x:v>
      </x:c>
      <x:c r="G12" s="17" t="str">
        <x:v>R3–R4</x:v>
      </x:c>
      <x:c r="H12" s="17" t="str">
        <x:v>Quality authority</x:v>
      </x:c>
      <x:c r="I12" s="17" t="str">
        <x:v>No local release class</x:v>
      </x:c>
      <x:c r="J12" s="17" t="str">
        <x:v>OPEN</x:v>
      </x:c>
    </x:row>
    <x:row r="13" ht="61" customHeight="1">
      <x:c r="C13" s="11" t="str">
        <x:v>G08</x:v>
      </x:c>
      <x:c r="D13" s="17" t="str">
        <x:v>Island hold plus treatment outage</x:v>
      </x:c>
      <x:c r="E13" s="17" t="str">
        <x:v>Clean storage-supported service</x:v>
      </x:c>
      <x:c r="F13" s="17" t="str">
        <x:v>At least 50% for 24 h</x:v>
      </x:c>
      <x:c r="G13" s="17" t="str">
        <x:v>R3–R4</x:v>
      </x:c>
      <x:c r="H13" s="17" t="str">
        <x:v>Water systems authority</x:v>
      </x:c>
      <x:c r="I13" s="17" t="str">
        <x:v>No compound trial</x:v>
      </x:c>
      <x:c r="J13" s="17" t="str">
        <x:v>OPEN</x:v>
      </x:c>
    </x:row>
    <x:row r="14" ht="61" customHeight="1">
      <x:c r="C14" s="11" t="str">
        <x:v>G09</x:v>
      </x:c>
      <x:c r="D14" s="17" t="str">
        <x:v>Primary-source quality hold</x:v>
      </x:c>
      <x:c r="E14" s="17" t="str">
        <x:v>Independent-provenance service</x:v>
      </x:c>
      <x:c r="F14" s="17" t="str">
        <x:v>At least 50%</x:v>
      </x:c>
      <x:c r="G14" s="17" t="str">
        <x:v>R4</x:v>
      </x:c>
      <x:c r="H14" s="17" t="str">
        <x:v>Source quality authority</x:v>
      </x:c>
      <x:c r="I14" s="17" t="str">
        <x:v>Alternate source unconfigured</x:v>
      </x:c>
      <x:c r="J14" s="17" t="str">
        <x:v>OPEN</x:v>
      </x:c>
    </x:row>
    <x:row r="15" ht="61" customHeight="1">
      <x:c r="C15" s="11" t="str">
        <x:v>G10</x:v>
      </x:c>
      <x:c r="D15" s="17" t="str">
        <x:v>National no-issue order</x:v>
      </x:c>
      <x:c r="E15" s="17" t="str">
        <x:v>Safe stop and alternate provenance decision</x:v>
      </x:c>
      <x:c r="F15" s="17" t="str">
        <x:v>No unauthorized issue</x:v>
      </x:c>
      <x:c r="G15" s="17" t="str">
        <x:v>All</x:v>
      </x:c>
      <x:c r="H15" s="17" t="str">
        <x:v>Public health authority</x:v>
      </x:c>
      <x:c r="I15" s="17" t="str">
        <x:v>No unknown-agent protocol</x:v>
      </x:c>
      <x:c r="J15" s="17" t="str">
        <x:v>OPEN</x:v>
      </x:c>
    </x:row>
    <x:row r="16" ht="61" customHeight="1">
      <x:c r="C16" s="11" t="str">
        <x:v>G11</x:v>
      </x:c>
      <x:c r="D16" s="17" t="str">
        <x:v>Catchment transfer and queue</x:v>
      </x:c>
      <x:c r="E16" s="17" t="str">
        <x:v>Reachable people and maximum wait</x:v>
      </x:c>
      <x:c r="F16" s="17" t="str">
        <x:v>At least 50%; no wait above 60 min</x:v>
      </x:c>
      <x:c r="G16" s="17" t="str">
        <x:v>R2–R4</x:v>
      </x:c>
      <x:c r="H16" s="17" t="str">
        <x:v>Civil access authority</x:v>
      </x:c>
      <x:c r="I16" s="17" t="str">
        <x:v>Redirectability declared only</x:v>
      </x:c>
      <x:c r="J16" s="17" t="str">
        <x:v>OPEN</x:v>
      </x:c>
    </x:row>
    <x:row r="17" ht="61" customHeight="1">
      <x:c r="C17" s="11" t="str">
        <x:v>G12</x:v>
      </x:c>
      <x:c r="D17" s="17" t="str">
        <x:v>Switching sequence</x:v>
      </x:c>
      <x:c r="E17" s="17" t="str">
        <x:v>Detection through certified issue</x:v>
      </x:c>
      <x:c r="F17" s="17" t="str">
        <x:v>At or before 2 h</x:v>
      </x:c>
      <x:c r="G17" s="17" t="str">
        <x:v>R2–R4</x:v>
      </x:c>
      <x:c r="H17" s="17" t="str">
        <x:v>Independent RTE</x:v>
      </x:c>
      <x:c r="I17" s="17" t="str">
        <x:v>No integrated switch</x:v>
      </x:c>
      <x:c r="J17" s="17" t="str">
        <x:v>OPEN</x:v>
      </x:c>
    </x:row>
    <x:row r="18" ht="61" customHeight="1">
      <x:c r="C18" s="11" t="str">
        <x:v>G13</x:v>
      </x:c>
      <x:c r="D18" s="17" t="str">
        <x:v>Receiver separation</x:v>
      </x:c>
      <x:c r="E18" s="17" t="str">
        <x:v>Shared hazard, route, power, control and labor</x:v>
      </x:c>
      <x:c r="F18" s="17" t="str">
        <x:v>No unregistered common cause</x:v>
      </x:c>
      <x:c r="G18" s="17" t="str">
        <x:v>R3–R4</x:v>
      </x:c>
      <x:c r="H18" s="17" t="str">
        <x:v>Mission assurance</x:v>
      </x:c>
      <x:c r="I18" s="17" t="str">
        <x:v>Distance target only</x:v>
      </x:c>
      <x:c r="J18" s="17" t="str">
        <x:v>OPEN</x:v>
      </x:c>
    </x:row>
    <x:row r="19" ht="61" customHeight="1">
      <x:c r="C19" s="11" t="str">
        <x:v>G14</x:v>
      </x:c>
      <x:c r="D19" s="17" t="str">
        <x:v>Recovery and second event</x:v>
      </x:c>
      <x:c r="E19" s="17" t="str">
        <x:v>Sanitation, recharge, records and repeat mission</x:v>
      </x:c>
      <x:c r="F19" s="17" t="str">
        <x:v>Second mission passes</x:v>
      </x:c>
      <x:c r="G19" s="17" t="str">
        <x:v>All</x:v>
      </x:c>
      <x:c r="H19" s="17" t="str">
        <x:v>Generating and receiving commands</x:v>
      </x:c>
      <x:c r="I19" s="17" t="str">
        <x:v>None</x:v>
      </x:c>
      <x:c r="J19" s="17" t="str">
        <x:v>OPEN</x:v>
      </x:c>
    </x:row>
    <x:row r="20" ht="61" customHeight="1">
      <x:c r="C20" s="11" t="str">
        <x:v>G15</x:v>
      </x:c>
      <x:c r="D20" s="17" t="str">
        <x:v>Rendering release</x:v>
      </x:c>
      <x:c r="E20" s="17" t="str">
        <x:v>R3 physics and representative federation evidence</x:v>
      </x:c>
      <x:c r="F20" s="17" t="str">
        <x:v>All core gates pass</x:v>
      </x:c>
      <x:c r="G20" s="17" t="str">
        <x:v>Selected architecture</x:v>
      </x:c>
      <x:c r="H20" s="17" t="str">
        <x:v>Independent RTE</x:v>
      </x:c>
      <x:c r="I20" s="17" t="str">
        <x:v>Zero gates passed</x:v>
      </x:c>
      <x:c r="J20" s="17" t="str">
        <x:v>BLOCKED</x:v>
      </x:c>
    </x:row>
  </x:sheetData>
  <x:conditionalFormatting sqref="J6:J20">
    <x:cfRule type="containsText" dxfId="42" priority="1" operator="containsText" text="FAIL"/>
    <x:cfRule type="containsText" dxfId="43" priority="2" operator="containsText" text="DENIED"/>
    <x:cfRule type="containsText" dxfId="44" priority="3" operator="containsText" text="BLOCKED"/>
    <x:cfRule type="containsText" dxfId="45" priority="4" operator="containsText" text="OPEN"/>
    <x:cfRule type="containsText" dxfId="46" priority="5" operator="containsText" text="UNTESTED"/>
    <x:cfRule type="containsText" dxfId="47" priority="6" operator="containsText" text="DECLARED"/>
    <x:cfRule type="containsText" dxfId="48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35ce2f2bdbab4302"/>
  </x:tableParts>
</x:worksheet>
</file>

<file path=xl/worksheets/sheet9.xml><?xml version="1.0" encoding="utf-8"?>
<x:worksheet xmlns:x="http://schemas.openxmlformats.org/spreadsheetml/2006/main">
  <x:sheetPr>
    <x:tabColor rgb="FF5C687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31" hidden="0" customWidth="1"/>
    <x:col min="4" max="4" width="57" hidden="0" customWidth="1"/>
    <x:col min="5" max="5" width="48" hidden="0" customWidth="1"/>
    <x:col min="6" max="6" width="43" hidden="0" customWidth="1"/>
    <x:col min="7" max="7" width="35" hidden="0" customWidth="1"/>
    <x:col min="8" max="8" width="18" hidden="0" customWidth="1"/>
  </x:cols>
  <x:sheetData>
    <x:row r="2">
      <x:c r="C2" s="2" t="str">
        <x:v>Repository authorities and claim limits</x:v>
      </x:c>
      <x:c r="D2" s="1"/>
      <x:c r="E2" s="1"/>
      <x:c r="F2" s="1"/>
      <x:c r="G2" s="1"/>
      <x:c r="H2" s="1"/>
      <x:c r="I2" s="1"/>
      <x:c r="J2" s="1"/>
    </x:row>
    <x:row r="3">
      <x:c r="C3" s="3" t="str">
        <x:v>Pass 66 uses committed internal research only. It defines receiver-federation requirements without claiming site, technology or public-health performance.</x:v>
      </x:c>
      <x:c r="D3" s="3"/>
      <x:c r="E3" s="3"/>
      <x:c r="F3" s="3"/>
      <x:c r="G3" s="3"/>
      <x:c r="H3" s="3"/>
      <x:c r="I3" s="3"/>
      <x:c r="J3" s="3"/>
    </x:row>
    <x:row r="5">
      <x:c r="C5" s="9" t="str">
        <x:v>Source</x:v>
      </x:c>
      <x:c r="D5" s="9" t="str">
        <x:v>Repository authority</x:v>
      </x:c>
      <x:c r="E5" s="9" t="str">
        <x:v>Use</x:v>
      </x:c>
      <x:c r="F5" s="9" t="str">
        <x:v>Treatment</x:v>
      </x:c>
      <x:c r="G5" s="9" t="str">
        <x:v>Boundary</x:v>
      </x:c>
    </x:row>
    <x:row r="6" ht="62" customHeight="1">
      <x:c r="C6" s="11" t="str">
        <x:v>S01</x:v>
      </x:c>
      <x:c r="D6" s="17" t="str">
        <x:v>research/force/projection/wrg-fr10-degraded-service-architecture.md</x:v>
      </x:c>
      <x:c r="E6" s="17" t="str">
        <x:v>A4 topology, W7 receiver hold and next-proof requirement</x:v>
      </x:c>
      <x:c r="F6" s="17" t="str">
        <x:v>Immediate predecessor</x:v>
      </x:c>
      <x:c r="G6" s="17" t="str">
        <x:v>Declared failure screen only</x:v>
      </x:c>
    </x:row>
    <x:row r="7" ht="62" customHeight="1">
      <x:c r="C7" s="11" t="str">
        <x:v>S02</x:v>
      </x:c>
      <x:c r="D7" s="17" t="str">
        <x:v>models/force/projection/wrg-fr10-degraded-service-architecture.xlsx</x:v>
      </x:c>
      <x:c r="E7" s="17" t="str">
        <x:v>A4 mass, storage and program controls</x:v>
      </x:c>
      <x:c r="F7" s="17" t="str">
        <x:v>Committed source workbook</x:v>
      </x:c>
      <x:c r="G7" s="17" t="str">
        <x:v>No representative hardware</x:v>
      </x:c>
    </x:row>
    <x:row r="8" ht="62" customHeight="1">
      <x:c r="C8" s="11" t="str">
        <x:v>S03</x:v>
      </x:c>
      <x:c r="D8" s="17" t="str">
        <x:v>research/force/reception/national-receiving-lattice.md</x:v>
      </x:c>
      <x:c r="E8" s="17" t="str">
        <x:v>Receiver as readiness vector; fixed/mobile contract</x:v>
      </x:c>
      <x:c r="F8" s="17" t="str">
        <x:v>Canonical reception authority</x:v>
      </x:c>
      <x:c r="G8" s="17" t="str">
        <x:v>National classes do not configure a water island</x:v>
      </x:c>
    </x:row>
    <x:row r="9" ht="62" customHeight="1">
      <x:c r="C9" s="11" t="str">
        <x:v>S04</x:v>
      </x:c>
      <x:c r="D9" s="17" t="str">
        <x:v>research/force/reception/national-receiving-geography.md</x:v>
      </x:c>
      <x:c r="E9" s="17" t="str">
        <x:v>Capacity and accessibility are geographically distinct</x:v>
      </x:c>
      <x:c r="F9" s="17" t="str">
        <x:v>Canonical geography authority</x:v>
      </x:c>
      <x:c r="G9" s="17" t="str">
        <x:v>Catchments remain planning constructs</x:v>
      </x:c>
    </x:row>
    <x:row r="10" ht="62" customHeight="1">
      <x:c r="C10" s="11" t="str">
        <x:v>S05</x:v>
      </x:c>
      <x:c r="D10" s="17" t="str">
        <x:v>research/systems/water/force-engineering.md</x:v>
      </x:c>
      <x:c r="E10" s="17" t="str">
        <x:v>Complete water service chain and quality authority</x:v>
      </x:c>
      <x:c r="F10" s="17" t="str">
        <x:v>Mission-system authority</x:v>
      </x:c>
      <x:c r="G10" s="17" t="str">
        <x:v>R2+ architecture; no island federation</x:v>
      </x:c>
    </x:row>
    <x:row r="11" ht="62" customHeight="1">
      <x:c r="C11" s="11" t="str">
        <x:v>S06</x:v>
      </x:c>
      <x:c r="D11" s="17" t="str">
        <x:v>research/systems/common-technical-architecture.md</x:v>
      </x:c>
      <x:c r="E11" s="17" t="str">
        <x:v>Isolation, interface and common-mode doctrine</x:v>
      </x:c>
      <x:c r="F11" s="17" t="str">
        <x:v>Common technical authority</x:v>
      </x:c>
      <x:c r="G11" s="17" t="str">
        <x:v>No released water interface</x:v>
      </x:c>
    </x:row>
    <x:row r="12" ht="62" customHeight="1">
      <x:c r="C12" s="11" t="str">
        <x:v>S07</x:v>
      </x:c>
      <x:c r="D12" s="17" t="str">
        <x:v>research/force/force-architecture.md</x:v>
      </x:c>
      <x:c r="E12" s="17" t="str">
        <x:v>Generating, receiving and assurance authorities</x:v>
      </x:c>
      <x:c r="F12" s="17" t="str">
        <x:v>Institutional authority</x:v>
      </x:c>
      <x:c r="G12" s="17" t="str">
        <x:v>Organization cannot prove physics</x:v>
      </x:c>
    </x:row>
    <x:row r="17">
      <x:c r="C17" s="9" t="str">
        <x:v>Claim</x:v>
      </x:c>
      <x:c r="D17" s="9" t="str">
        <x:v>Permitted conclusion</x:v>
      </x:c>
      <x:c r="E17" s="9" t="str">
        <x:v>Prohibited conclusion</x:v>
      </x:c>
      <x:c r="F17" s="9" t="str">
        <x:v>Required successor</x:v>
      </x:c>
      <x:c r="G17" s="9" t="str">
        <x:v>Authority</x:v>
      </x:c>
      <x:c r="H17" s="9" t="str">
        <x:v>State</x:v>
      </x:c>
    </x:row>
    <x:row r="18" ht="67" customHeight="1">
      <x:c r="C18" s="11" t="str">
        <x:v>Site count</x:v>
      </x:c>
      <x:c r="D18" s="17" t="str">
        <x:v>More sites can distribute capacity</x:v>
      </x:c>
      <x:c r="E18" s="17" t="str">
        <x:v>More sites are independent receivers</x:v>
      </x:c>
      <x:c r="F18" s="17" t="str">
        <x:v>Boundary-by-boundary independence trial</x:v>
      </x:c>
      <x:c r="G18" s="17" t="str">
        <x:v>Mission assurance</x:v>
      </x:c>
      <x:c r="H18" s="17" t="str">
        <x:v>OPEN</x:v>
      </x:c>
    </x:row>
    <x:row r="19" ht="67" customHeight="1">
      <x:c r="C19" s="11" t="str">
        <x:v>Declared scenario pass</x:v>
      </x:c>
      <x:c r="D19" s="17" t="str">
        <x:v>Architecture merits representative test</x:v>
      </x:c>
      <x:c r="E19" s="17" t="str">
        <x:v>Service continuity is verified</x:v>
      </x:c>
      <x:c r="F19" s="17" t="str">
        <x:v>Seeded full-chain observation</x:v>
      </x:c>
      <x:c r="G19" s="17" t="str">
        <x:v>Independent RTE</x:v>
      </x:c>
      <x:c r="H19" s="17" t="str">
        <x:v>OPEN</x:v>
      </x:c>
    </x:row>
    <x:row r="20" ht="67" customHeight="1">
      <x:c r="C20" s="11" t="str">
        <x:v>R4 score</x:v>
      </x:c>
      <x:c r="D20" s="17" t="str">
        <x:v>Dual provenance removes the registered primary-source common mode</x:v>
      </x:c>
      <x:c r="E20" s="17" t="str">
        <x:v>R4 is selected</x:v>
      </x:c>
      <x:c r="F20" s="17" t="str">
        <x:v>Configure and test alternate source</x:v>
      </x:c>
      <x:c r="G20" s="17" t="str">
        <x:v>Acquisition executive</x:v>
      </x:c>
      <x:c r="H20" s="17" t="str">
        <x:v>DENIED</x:v>
      </x:c>
    </x:row>
    <x:row r="21" ht="67" customHeight="1">
      <x:c r="C21" s="11" t="str">
        <x:v>Catchment redirectability</x:v>
      </x:c>
      <x:c r="D21" s="17" t="str">
        <x:v>A sensitivity can expose access dependence</x:v>
      </x:c>
      <x:c r="E21" s="17" t="str">
        <x:v>People can reach another island</x:v>
      </x:c>
      <x:c r="F21" s="17" t="str">
        <x:v>Accessible travel and queue trial</x:v>
      </x:c>
      <x:c r="G21" s="17" t="str">
        <x:v>Civil access authority</x:v>
      </x:c>
      <x:c r="H21" s="17" t="str">
        <x:v>OPEN</x:v>
      </x:c>
    </x:row>
    <x:row r="22" ht="67" customHeight="1">
      <x:c r="C22" s="11" t="str">
        <x:v>National no-issue failure</x:v>
      </x:c>
      <x:c r="D22" s="17" t="str">
        <x:v>Unknown-agent authority remains a universal stop</x:v>
      </x:c>
      <x:c r="E22" s="17" t="str">
        <x:v>Operators may issue water to preserve the metric</x:v>
      </x:c>
      <x:c r="F22" s="17" t="str">
        <x:v>Safe alternate-provenance protocol</x:v>
      </x:c>
      <x:c r="G22" s="17" t="str">
        <x:v>Public health authority</x:v>
      </x:c>
      <x:c r="H22" s="17" t="str">
        <x:v>DENIED</x:v>
      </x:c>
    </x:row>
    <x:row r="23" ht="67" customHeight="1">
      <x:c r="C23" s="11" t="str">
        <x:v>Rendering</x:v>
      </x:c>
      <x:c r="D23" s="17" t="str">
        <x:v>None</x:v>
      </x:c>
      <x:c r="E23" s="17" t="str">
        <x:v>Depict an architecture as mature</x:v>
      </x:c>
      <x:c r="F23" s="17" t="str">
        <x:v>Pass G15</x:v>
      </x:c>
      <x:c r="G23" s="17" t="str">
        <x:v>Independent RTE</x:v>
      </x:c>
      <x:c r="H23" s="17" t="str">
        <x:v>BLOCKED</x:v>
      </x:c>
    </x:row>
  </x:sheetData>
  <x:conditionalFormatting sqref="H18:H23">
    <x:cfRule type="containsText" dxfId="49" priority="1" operator="containsText" text="FAIL"/>
    <x:cfRule type="containsText" dxfId="50" priority="2" operator="containsText" text="DENIED"/>
    <x:cfRule type="containsText" dxfId="51" priority="3" operator="containsText" text="BLOCKED"/>
    <x:cfRule type="containsText" dxfId="52" priority="4" operator="containsText" text="OPEN"/>
    <x:cfRule type="containsText" dxfId="53" priority="5" operator="containsText" text="UNTESTED"/>
    <x:cfRule type="containsText" dxfId="54" priority="6" operator="containsText" text="DECLARED"/>
    <x:cfRule type="containsText" dxfId="55" priority="7" operator="containsText" text="PASS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65507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45" hidden="0" customWidth="1"/>
    <x:col min="4" max="4" width="23" hidden="0" customWidth="1"/>
    <x:col min="5" max="5" width="23" hidden="0" customWidth="1"/>
    <x:col min="6" max="6" width="21" hidden="0" customWidth="1"/>
    <x:col min="7" max="7" width="18" hidden="0" customWidth="1"/>
    <x:col min="8" max="8" width="16" hidden="0" customWidth="1"/>
  </x:cols>
  <x:sheetData>
    <x:row r="2">
      <x:c r="C2" s="2" t="str">
        <x:v>Model integrity</x:v>
      </x:c>
      <x:c r="D2" s="1"/>
      <x:c r="E2" s="1"/>
      <x:c r="F2" s="1"/>
      <x:c r="G2" s="1"/>
      <x:c r="H2" s="1"/>
      <x:c r="I2" s="1"/>
      <x:c r="J2" s="1"/>
    </x:row>
    <x:row r="3">
      <x:c r="C3" s="3" t="str">
        <x:v>Terminal checks observe architecture, capacity, failure, mass and program calculations. No upstream result depends on this sheet.</x:v>
      </x:c>
      <x:c r="D3" s="3"/>
      <x:c r="E3" s="3"/>
      <x:c r="F3" s="3"/>
      <x:c r="G3" s="3"/>
      <x:c r="H3" s="3"/>
      <x:c r="I3" s="3"/>
      <x:c r="J3" s="3"/>
    </x:row>
    <x:row r="5">
      <x:c r="C5" s="9" t="str">
        <x:v>Check</x:v>
      </x:c>
      <x:c r="D5" s="9" t="str">
        <x:v>Observed</x:v>
      </x:c>
      <x:c r="E5" s="9" t="str">
        <x:v>Expected</x:v>
      </x:c>
      <x:c r="F5" s="9" t="str">
        <x:v>Difference</x:v>
      </x:c>
      <x:c r="G5" s="9" t="str">
        <x:v>Tolerance</x:v>
      </x:c>
      <x:c r="H5" s="9" t="str">
        <x:v>Result</x:v>
      </x:c>
    </x:row>
    <x:row r="6" ht="30" customHeight="1">
      <x:c r="C6" s="11" t="str">
        <x:v>Architecture rows</x:v>
      </x:c>
      <x:c r="D6" s="26" t="n">
        <x:f>ROWS('02 Architectures'!C6:C9)</x:f>
        <x:v>4</x:v>
      </x:c>
      <x:c r="E6" s="26" t="n">
        <x:v>4</x:v>
      </x:c>
      <x:c r="F6" s="26" t="n">
        <x:f>IF(AND(ISNUMBER(D6),ISNUMBER(E6)),D6-E6,"n.a.")</x:f>
        <x:v>0</x:v>
      </x:c>
      <x:c r="G6" s="26" t="n">
        <x:v>0</x:v>
      </x:c>
      <x:c r="H6" s="11" t="str">
        <x:f>IF(AND(ISNUMBER(D6),ISNUMBER(E6),ABS(D6-E6)&lt;=G6),"PASS","FAIL")</x:f>
        <x:v>PASS</x:v>
      </x:c>
    </x:row>
    <x:row r="7" ht="30" customHeight="1">
      <x:c r="C7" s="11" t="str">
        <x:v>Failure worlds</x:v>
      </x:c>
      <x:c r="D7" s="26" t="n">
        <x:f>ROWS('04 Failure Worlds'!C6:C15)</x:f>
        <x:v>10</x:v>
      </x:c>
      <x:c r="E7" s="26" t="n">
        <x:v>10</x:v>
      </x:c>
      <x:c r="F7" s="26" t="n">
        <x:f>IF(AND(ISNUMBER(D7),ISNUMBER(E7)),D7-E7,"n.a.")</x:f>
        <x:v>0</x:v>
      </x:c>
      <x:c r="G7" s="26" t="n">
        <x:v>0</x:v>
      </x:c>
      <x:c r="H7" s="11" t="str">
        <x:f>IF(AND(ISNUMBER(D7),ISNUMBER(E7),ABS(D7-E7)&lt;=G7),"PASS","FAIL")</x:f>
        <x:v>PASS</x:v>
      </x:c>
    </x:row>
    <x:row r="8" ht="30" customHeight="1">
      <x:c r="C8" s="11" t="str">
        <x:v>Failure result rows</x:v>
      </x:c>
      <x:c r="D8" s="26" t="n">
        <x:f>ROWS('04 Failure Worlds'!C20:C59)</x:f>
        <x:v>40</x:v>
      </x:c>
      <x:c r="E8" s="26" t="n">
        <x:v>40</x:v>
      </x:c>
      <x:c r="F8" s="26" t="n">
        <x:f>IF(AND(ISNUMBER(D8),ISNUMBER(E8)),D8-E8,"n.a.")</x:f>
        <x:v>0</x:v>
      </x:c>
      <x:c r="G8" s="26" t="n">
        <x:v>0</x:v>
      </x:c>
      <x:c r="H8" s="11" t="str">
        <x:f>IF(AND(ISNUMBER(D8),ISNUMBER(E8),ABS(D8-E8)&lt;=G8),"PASS","FAIL")</x:f>
        <x:v>PASS</x:v>
      </x:c>
    </x:row>
    <x:row r="9" ht="30" customHeight="1">
      <x:c r="C9" s="11" t="str">
        <x:v>R1 installed capacity</x:v>
      </x:c>
      <x:c r="D9" s="26" t="n">
        <x:f>'02 Architectures'!G6</x:f>
        <x:v>1</x:v>
      </x:c>
      <x:c r="E9" s="26" t="n">
        <x:v>1</x:v>
      </x:c>
      <x:c r="F9" s="26" t="n">
        <x:f>IF(AND(ISNUMBER(D9),ISNUMBER(E9)),D9-E9,"n.a.")</x:f>
        <x:v>0</x:v>
      </x:c>
      <x:c r="G9" s="26" t="n">
        <x:v>0.000001</x:v>
      </x:c>
      <x:c r="H9" s="11" t="str">
        <x:f>IF(AND(ISNUMBER(D9),ISNUMBER(E9),ABS(D9-E9)&lt;=G9),"PASS","FAIL")</x:f>
        <x:v>PASS</x:v>
      </x:c>
    </x:row>
    <x:row r="10" ht="30" customHeight="1">
      <x:c r="C10" s="11" t="str">
        <x:v>R3 installed capacity</x:v>
      </x:c>
      <x:c r="D10" s="26" t="n">
        <x:f>'02 Architectures'!G8</x:f>
        <x:v>1.5</x:v>
      </x:c>
      <x:c r="E10" s="26" t="n">
        <x:v>1.5</x:v>
      </x:c>
      <x:c r="F10" s="26" t="n">
        <x:f>IF(AND(ISNUMBER(D10),ISNUMBER(E10)),D10-E10,"n.a.")</x:f>
        <x:v>0</x:v>
      </x:c>
      <x:c r="G10" s="26" t="n">
        <x:v>0.000001</x:v>
      </x:c>
      <x:c r="H10" s="11" t="str">
        <x:f>IF(AND(ISNUMBER(D10),ISNUMBER(E10),ABS(D10-E10)&lt;=G10),"PASS","FAIL")</x:f>
        <x:v>PASS</x:v>
      </x:c>
    </x:row>
    <x:row r="11" ht="30" customHeight="1">
      <x:c r="C11" s="11" t="str">
        <x:v>R4 installed capacity</x:v>
      </x:c>
      <x:c r="D11" s="26" t="n">
        <x:f>'02 Architectures'!G9</x:f>
        <x:v>1.3333333333333333</x:v>
      </x:c>
      <x:c r="E11" s="26" t="n">
        <x:v>1.3333333333333333</x:v>
      </x:c>
      <x:c r="F11" s="26" t="n">
        <x:f>IF(AND(ISNUMBER(D11),ISNUMBER(E11)),D11-E11,"n.a.")</x:f>
        <x:v>0</x:v>
      </x:c>
      <x:c r="G11" s="26" t="n">
        <x:v>0.000001</x:v>
      </x:c>
      <x:c r="H11" s="11" t="str">
        <x:f>IF(AND(ISNUMBER(D11),ISNUMBER(E11),ABS(D11-E11)&lt;=G11),"PASS","FAIL")</x:f>
        <x:v>PASS</x:v>
      </x:c>
    </x:row>
    <x:row r="12" ht="30" customHeight="1">
      <x:c r="C12" s="11" t="str">
        <x:v>R1 usable storage</x:v>
      </x:c>
      <x:c r="D12" s="26" t="n">
        <x:f>'02 Architectures'!U6</x:f>
        <x:v>8500</x:v>
      </x:c>
      <x:c r="E12" s="26" t="n">
        <x:v>8500</x:v>
      </x:c>
      <x:c r="F12" s="26" t="n">
        <x:f>IF(AND(ISNUMBER(D12),ISNUMBER(E12)),D12-E12,"n.a.")</x:f>
        <x:v>0</x:v>
      </x:c>
      <x:c r="G12" s="26" t="n">
        <x:v>0.000001</x:v>
      </x:c>
      <x:c r="H12" s="11" t="str">
        <x:f>IF(AND(ISNUMBER(D12),ISNUMBER(E12),ABS(D12-E12)&lt;=G12),"PASS","FAIL")</x:f>
        <x:v>PASS</x:v>
      </x:c>
    </x:row>
    <x:row r="13" ht="30" customHeight="1">
      <x:c r="C13" s="11" t="str">
        <x:v>R3 usable storage</x:v>
      </x:c>
      <x:c r="D13" s="26" t="n">
        <x:f>'02 Architectures'!U8</x:f>
        <x:v>12750</x:v>
      </x:c>
      <x:c r="E13" s="26" t="n">
        <x:v>12750</x:v>
      </x:c>
      <x:c r="F13" s="26" t="n">
        <x:f>IF(AND(ISNUMBER(D13),ISNUMBER(E13)),D13-E13,"n.a.")</x:f>
        <x:v>0</x:v>
      </x:c>
      <x:c r="G13" s="26" t="n">
        <x:v>0.000001</x:v>
      </x:c>
      <x:c r="H13" s="11" t="str">
        <x:f>IF(AND(ISNUMBER(D13),ISNUMBER(E13),ABS(D13-E13)&lt;=G13),"PASS","FAIL")</x:f>
        <x:v>PASS</x:v>
      </x:c>
    </x:row>
    <x:row r="14" ht="30" customHeight="1">
      <x:c r="C14" s="11" t="str">
        <x:v>R4 usable storage</x:v>
      </x:c>
      <x:c r="D14" s="26" t="n">
        <x:f>'02 Architectures'!U9</x:f>
        <x:v>11333.333333333334</x:v>
      </x:c>
      <x:c r="E14" s="26" t="n">
        <x:v>11333.333333333334</x:v>
      </x:c>
      <x:c r="F14" s="26" t="n">
        <x:f>IF(AND(ISNUMBER(D14),ISNUMBER(E14)),D14-E14,"n.a.")</x:f>
        <x:v>0</x:v>
      </x:c>
      <x:c r="G14" s="26" t="n">
        <x:v>0.000001</x:v>
      </x:c>
      <x:c r="H14" s="11" t="str">
        <x:f>IF(AND(ISNUMBER(D14),ISNUMBER(E14),ABS(D14-E14)&lt;=G14),"PASS","FAIL")</x:f>
        <x:v>PASS</x:v>
      </x:c>
    </x:row>
    <x:row r="15" ht="30" customHeight="1">
      <x:c r="C15" s="11" t="str">
        <x:v>R2 capacity after one loss</x:v>
      </x:c>
      <x:c r="D15" s="26" t="n">
        <x:f>'02 Architectures'!W7</x:f>
        <x:v>0.5</x:v>
      </x:c>
      <x:c r="E15" s="26" t="n">
        <x:v>0.5</x:v>
      </x:c>
      <x:c r="F15" s="26" t="n">
        <x:f>IF(AND(ISNUMBER(D15),ISNUMBER(E15)),D15-E15,"n.a.")</x:f>
        <x:v>0</x:v>
      </x:c>
      <x:c r="G15" s="26" t="n">
        <x:v>0.000001</x:v>
      </x:c>
      <x:c r="H15" s="11" t="str">
        <x:f>IF(AND(ISNUMBER(D15),ISNUMBER(E15),ABS(D15-E15)&lt;=G15),"PASS","FAIL")</x:f>
        <x:v>PASS</x:v>
      </x:c>
    </x:row>
    <x:row r="16" ht="30" customHeight="1">
      <x:c r="C16" s="11" t="str">
        <x:v>R3 capacity after two losses</x:v>
      </x:c>
      <x:c r="D16" s="26" t="n">
        <x:f>'02 Architectures'!X8</x:f>
        <x:v>0.5</x:v>
      </x:c>
      <x:c r="E16" s="26" t="n">
        <x:v>0.5</x:v>
      </x:c>
      <x:c r="F16" s="26" t="n">
        <x:f>IF(AND(ISNUMBER(D16),ISNUMBER(E16)),D16-E16,"n.a.")</x:f>
        <x:v>0</x:v>
      </x:c>
      <x:c r="G16" s="26" t="n">
        <x:v>0.000001</x:v>
      </x:c>
      <x:c r="H16" s="11" t="str">
        <x:f>IF(AND(ISNUMBER(D16),ISNUMBER(E16),ABS(D16-E16)&lt;=G16),"PASS","FAIL")</x:f>
        <x:v>PASS</x:v>
      </x:c>
    </x:row>
    <x:row r="17" ht="30" customHeight="1">
      <x:c r="C17" s="11" t="str">
        <x:v>R4 capacity after two losses</x:v>
      </x:c>
      <x:c r="D17" s="26" t="n">
        <x:f>'02 Architectures'!X9</x:f>
        <x:v>0.6666666666666666</x:v>
      </x:c>
      <x:c r="E17" s="26" t="n">
        <x:v>0.6666666666666666</x:v>
      </x:c>
      <x:c r="F17" s="26" t="n">
        <x:f>IF(AND(ISNUMBER(D17),ISNUMBER(E17)),D17-E17,"n.a.")</x:f>
        <x:v>0</x:v>
      </x:c>
      <x:c r="G17" s="26" t="n">
        <x:v>0.000001</x:v>
      </x:c>
      <x:c r="H17" s="11" t="str">
        <x:f>IF(AND(ISNUMBER(D17),ISNUMBER(E17),ABS(D17-E17)&lt;=G17),"PASS","FAIL")</x:f>
        <x:v>PASS</x:v>
      </x:c>
    </x:row>
    <x:row r="18" ht="30" customHeight="1">
      <x:c r="C18" s="11" t="str">
        <x:v>R3 access after two losses</x:v>
      </x:c>
      <x:c r="D18" s="26" t="n">
        <x:f>'02 Architectures'!Z8</x:f>
        <x:v>0.6666666666666666</x:v>
      </x:c>
      <x:c r="E18" s="26" t="n">
        <x:v>0.6666666666666666</x:v>
      </x:c>
      <x:c r="F18" s="26" t="n">
        <x:f>IF(AND(ISNUMBER(D18),ISNUMBER(E18)),D18-E18,"n.a.")</x:f>
        <x:v>0</x:v>
      </x:c>
      <x:c r="G18" s="26" t="n">
        <x:v>0.000001</x:v>
      </x:c>
      <x:c r="H18" s="11" t="str">
        <x:f>IF(AND(ISNUMBER(D18),ISNUMBER(E18),ABS(D18-E18)&lt;=G18),"PASS","FAIL")</x:f>
        <x:v>PASS</x:v>
      </x:c>
    </x:row>
    <x:row r="19" ht="30" customHeight="1">
      <x:c r="C19" s="11" t="str">
        <x:v>R1 declared passes</x:v>
      </x:c>
      <x:c r="D19" s="26" t="n">
        <x:f>'04 Failure Worlds'!E64</x:f>
        <x:v>1</x:v>
      </x:c>
      <x:c r="E19" s="26" t="n">
        <x:v>1</x:v>
      </x:c>
      <x:c r="F19" s="26" t="n">
        <x:f>IF(AND(ISNUMBER(D19),ISNUMBER(E19)),D19-E19,"n.a.")</x:f>
        <x:v>0</x:v>
      </x:c>
      <x:c r="G19" s="26" t="n">
        <x:v>0</x:v>
      </x:c>
      <x:c r="H19" s="11" t="str">
        <x:f>IF(AND(ISNUMBER(D19),ISNUMBER(E19),ABS(D19-E19)&lt;=G19),"PASS","FAIL")</x:f>
        <x:v>PASS</x:v>
      </x:c>
    </x:row>
    <x:row r="20" ht="30" customHeight="1">
      <x:c r="C20" s="11" t="str">
        <x:v>R2 declared passes</x:v>
      </x:c>
      <x:c r="D20" s="26" t="n">
        <x:f>'04 Failure Worlds'!E65</x:f>
        <x:v>3</x:v>
      </x:c>
      <x:c r="E20" s="26" t="n">
        <x:v>3</x:v>
      </x:c>
      <x:c r="F20" s="26" t="n">
        <x:f>IF(AND(ISNUMBER(D20),ISNUMBER(E20)),D20-E20,"n.a.")</x:f>
        <x:v>0</x:v>
      </x:c>
      <x:c r="G20" s="26" t="n">
        <x:v>0</x:v>
      </x:c>
      <x:c r="H20" s="11" t="str">
        <x:f>IF(AND(ISNUMBER(D20),ISNUMBER(E20),ABS(D20-E20)&lt;=G20),"PASS","FAIL")</x:f>
        <x:v>PASS</x:v>
      </x:c>
    </x:row>
    <x:row r="21" ht="30" customHeight="1">
      <x:c r="C21" s="11" t="str">
        <x:v>R3 declared passes</x:v>
      </x:c>
      <x:c r="D21" s="26" t="n">
        <x:f>'04 Failure Worlds'!E66</x:f>
        <x:v>8</x:v>
      </x:c>
      <x:c r="E21" s="26" t="n">
        <x:v>8</x:v>
      </x:c>
      <x:c r="F21" s="26" t="n">
        <x:f>IF(AND(ISNUMBER(D21),ISNUMBER(E21)),D21-E21,"n.a.")</x:f>
        <x:v>0</x:v>
      </x:c>
      <x:c r="G21" s="26" t="n">
        <x:v>0</x:v>
      </x:c>
      <x:c r="H21" s="11" t="str">
        <x:f>IF(AND(ISNUMBER(D21),ISNUMBER(E21),ABS(D21-E21)&lt;=G21),"PASS","FAIL")</x:f>
        <x:v>PASS</x:v>
      </x:c>
    </x:row>
    <x:row r="22" ht="30" customHeight="1">
      <x:c r="C22" s="11" t="str">
        <x:v>R4 declared passes</x:v>
      </x:c>
      <x:c r="D22" s="26" t="n">
        <x:f>'04 Failure Worlds'!E67</x:f>
        <x:v>9</x:v>
      </x:c>
      <x:c r="E22" s="26" t="n">
        <x:v>9</x:v>
      </x:c>
      <x:c r="F22" s="26" t="n">
        <x:f>IF(AND(ISNUMBER(D22),ISNUMBER(E22)),D22-E22,"n.a.")</x:f>
        <x:v>0</x:v>
      </x:c>
      <x:c r="G22" s="26" t="n">
        <x:v>0</x:v>
      </x:c>
      <x:c r="H22" s="11" t="str">
        <x:f>IF(AND(ISNUMBER(D22),ISNUMBER(E22),ABS(D22-E22)&lt;=G22),"PASS","FAIL")</x:f>
        <x:v>PASS</x:v>
      </x:c>
    </x:row>
    <x:row r="23" ht="30" customHeight="1">
      <x:c r="C23" s="11" t="str">
        <x:v>R3 primary-source service</x:v>
      </x:c>
      <x:c r="D23" s="26" t="n">
        <x:f>'04 Failure Worlds'!P48</x:f>
        <x:v>0</x:v>
      </x:c>
      <x:c r="E23" s="26" t="n">
        <x:v>0</x:v>
      </x:c>
      <x:c r="F23" s="26" t="n">
        <x:f>IF(AND(ISNUMBER(D23),ISNUMBER(E23)),D23-E23,"n.a.")</x:f>
        <x:v>0</x:v>
      </x:c>
      <x:c r="G23" s="26" t="n">
        <x:v>0.000001</x:v>
      </x:c>
      <x:c r="H23" s="11" t="str">
        <x:f>IF(AND(ISNUMBER(D23),ISNUMBER(E23),ABS(D23-E23)&lt;=G23),"PASS","FAIL")</x:f>
        <x:v>PASS</x:v>
      </x:c>
    </x:row>
    <x:row r="24" ht="30" customHeight="1">
      <x:c r="C24" s="11" t="str">
        <x:v>R4 primary-source service</x:v>
      </x:c>
      <x:c r="D24" s="26" t="n">
        <x:f>'04 Failure Worlds'!P58</x:f>
        <x:v>0.5</x:v>
      </x:c>
      <x:c r="E24" s="26" t="n">
        <x:v>0.5</x:v>
      </x:c>
      <x:c r="F24" s="26" t="n">
        <x:f>IF(AND(ISNUMBER(D24),ISNUMBER(E24)),D24-E24,"n.a.")</x:f>
        <x:v>0</x:v>
      </x:c>
      <x:c r="G24" s="26" t="n">
        <x:v>0.000001</x:v>
      </x:c>
      <x:c r="H24" s="11" t="str">
        <x:f>IF(AND(ISNUMBER(D24),ISNUMBER(E24),ABS(D24-E24)&lt;=G24),"PASS","FAIL")</x:f>
        <x:v>PASS</x:v>
      </x:c>
    </x:row>
    <x:row r="25" ht="30" customHeight="1">
      <x:c r="C25" s="11" t="str">
        <x:v>National no-issue failures</x:v>
      </x:c>
      <x:c r="D25" s="26" t="n">
        <x:f>COUNTIFS('04 Failure Worlds'!K64:K67,"FAIL")</x:f>
        <x:v>4</x:v>
      </x:c>
      <x:c r="E25" s="26" t="n">
        <x:v>4</x:v>
      </x:c>
      <x:c r="F25" s="26" t="n">
        <x:f>IF(AND(ISNUMBER(D25),ISNUMBER(E25)),D25-E25,"n.a.")</x:f>
        <x:v>0</x:v>
      </x:c>
      <x:c r="G25" s="26" t="n">
        <x:v>0</x:v>
      </x:c>
      <x:c r="H25" s="11" t="str">
        <x:f>IF(AND(ISNUMBER(D25),ISNUMBER(E25),ABS(D25-E25)&lt;=G25),"PASS","FAIL")</x:f>
        <x:v>PASS</x:v>
      </x:c>
    </x:row>
    <x:row r="26" ht="30" customHeight="1">
      <x:c r="C26" s="11" t="str">
        <x:v>Strict admissions</x:v>
      </x:c>
      <x:c r="D26" s="26" t="n">
        <x:f>COUNTIFS('04 Failure Worlds'!L64:L67,"ADMITTED")</x:f>
        <x:v>0</x:v>
      </x:c>
      <x:c r="E26" s="26" t="n">
        <x:v>0</x:v>
      </x:c>
      <x:c r="F26" s="26" t="n">
        <x:f>IF(AND(ISNUMBER(D26),ISNUMBER(E26)),D26-E26,"n.a.")</x:f>
        <x:v>0</x:v>
      </x:c>
      <x:c r="G26" s="26" t="n">
        <x:v>0</x:v>
      </x:c>
      <x:c r="H26" s="11" t="str">
        <x:f>IF(AND(ISNUMBER(D26),ISNUMBER(E26),ABS(D26-E26)&lt;=G26),"PASS","FAIL")</x:f>
        <x:v>PASS</x:v>
      </x:c>
    </x:row>
    <x:row r="27" ht="30" customHeight="1">
      <x:c r="C27" s="11" t="str">
        <x:v>R1 dry mass</x:v>
      </x:c>
      <x:c r="D27" s="26" t="n">
        <x:f>'02 Architectures'!AE6</x:f>
        <x:v>4324.242428308064</x:v>
      </x:c>
      <x:c r="E27" s="26" t="n">
        <x:v>4324.242428308064</x:v>
      </x:c>
      <x:c r="F27" s="26" t="n">
        <x:f>IF(AND(ISNUMBER(D27),ISNUMBER(E27)),D27-E27,"n.a.")</x:f>
        <x:v>0</x:v>
      </x:c>
      <x:c r="G27" s="26" t="n">
        <x:v>0.000001</x:v>
      </x:c>
      <x:c r="H27" s="11" t="str">
        <x:f>IF(AND(ISNUMBER(D27),ISNUMBER(E27),ABS(D27-E27)&lt;=G27),"PASS","FAIL")</x:f>
        <x:v>PASS</x:v>
      </x:c>
    </x:row>
    <x:row r="28" ht="30" customHeight="1">
      <x:c r="C28" s="11" t="str">
        <x:v>R3 dry mass</x:v>
      </x:c>
      <x:c r="D28" s="26" t="n">
        <x:f>'02 Architectures'!AE8</x:f>
        <x:v>4669.242428308064</x:v>
      </x:c>
      <x:c r="E28" s="26" t="n">
        <x:v>4669.242428308064</x:v>
      </x:c>
      <x:c r="F28" s="26" t="n">
        <x:f>IF(AND(ISNUMBER(D28),ISNUMBER(E28)),D28-E28,"n.a.")</x:f>
        <x:v>0</x:v>
      </x:c>
      <x:c r="G28" s="26" t="n">
        <x:v>0.000001</x:v>
      </x:c>
      <x:c r="H28" s="11" t="str">
        <x:f>IF(AND(ISNUMBER(D28),ISNUMBER(E28),ABS(D28-E28)&lt;=G28),"PASS","FAIL")</x:f>
        <x:v>PASS</x:v>
      </x:c>
    </x:row>
    <x:row r="29" ht="30" customHeight="1">
      <x:c r="C29" s="11" t="str">
        <x:v>R4 dry mass</x:v>
      </x:c>
      <x:c r="D29" s="26" t="n">
        <x:f>'02 Architectures'!AE9</x:f>
        <x:v>5579.242428308064</x:v>
      </x:c>
      <x:c r="E29" s="26" t="n">
        <x:v>5579.242428308064</x:v>
      </x:c>
      <x:c r="F29" s="26" t="n">
        <x:f>IF(AND(ISNUMBER(D29),ISNUMBER(E29)),D29-E29,"n.a.")</x:f>
        <x:v>0</x:v>
      </x:c>
      <x:c r="G29" s="26" t="n">
        <x:v>0.000001</x:v>
      </x:c>
      <x:c r="H29" s="11" t="str">
        <x:f>IF(AND(ISNUMBER(D29),ISNUMBER(E29),ABS(D29-E29)&lt;=G29),"PASS","FAIL")</x:f>
        <x:v>PASS</x:v>
      </x:c>
    </x:row>
    <x:row r="30" ht="30" customHeight="1">
      <x:c r="C30" s="11" t="str">
        <x:v>R1 revised program</x:v>
      </x:c>
      <x:c r="D30" s="26" t="n">
        <x:f>'02 Architectures'!AH6</x:f>
        <x:v>127.2</x:v>
      </x:c>
      <x:c r="E30" s="26" t="n">
        <x:v>127.2</x:v>
      </x:c>
      <x:c r="F30" s="26" t="n">
        <x:f>IF(AND(ISNUMBER(D30),ISNUMBER(E30)),D30-E30,"n.a.")</x:f>
        <x:v>0</x:v>
      </x:c>
      <x:c r="G30" s="26" t="n">
        <x:v>0.000001</x:v>
      </x:c>
      <x:c r="H30" s="11" t="str">
        <x:f>IF(AND(ISNUMBER(D30),ISNUMBER(E30),ABS(D30-E30)&lt;=G30),"PASS","FAIL")</x:f>
        <x:v>PASS</x:v>
      </x:c>
    </x:row>
    <x:row r="31" ht="30" customHeight="1">
      <x:c r="C31" s="11" t="str">
        <x:v>R2 revised program</x:v>
      </x:c>
      <x:c r="D31" s="26" t="n">
        <x:f>'02 Architectures'!AH7</x:f>
        <x:v>132.60000000000002</x:v>
      </x:c>
      <x:c r="E31" s="26" t="n">
        <x:v>132.6</x:v>
      </x:c>
      <x:c r="F31" s="26" t="n">
        <x:f>IF(AND(ISNUMBER(D31),ISNUMBER(E31)),D31-E31,"n.a.")</x:f>
        <x:v>2.842170943040401e-14</x:v>
      </x:c>
      <x:c r="G31" s="26" t="n">
        <x:v>0.000001</x:v>
      </x:c>
      <x:c r="H31" s="11" t="str">
        <x:f>IF(AND(ISNUMBER(D31),ISNUMBER(E31),ABS(D31-E31)&lt;=G31),"PASS","FAIL")</x:f>
        <x:v>PASS</x:v>
      </x:c>
    </x:row>
    <x:row r="32" ht="30" customHeight="1">
      <x:c r="C32" s="11" t="str">
        <x:v>R3 revised program</x:v>
      </x:c>
      <x:c r="D32" s="26" t="n">
        <x:f>'02 Architectures'!AH8</x:f>
        <x:v>141.6</x:v>
      </x:c>
      <x:c r="E32" s="26" t="n">
        <x:v>141.6</x:v>
      </x:c>
      <x:c r="F32" s="26" t="n">
        <x:f>IF(AND(ISNUMBER(D32),ISNUMBER(E32)),D32-E32,"n.a.")</x:f>
        <x:v>0</x:v>
      </x:c>
      <x:c r="G32" s="26" t="n">
        <x:v>0.000001</x:v>
      </x:c>
      <x:c r="H32" s="11" t="str">
        <x:f>IF(AND(ISNUMBER(D32),ISNUMBER(E32),ABS(D32-E32)&lt;=G32),"PASS","FAIL")</x:f>
        <x:v>PASS</x:v>
      </x:c>
    </x:row>
    <x:row r="33" ht="30" customHeight="1">
      <x:c r="C33" s="11" t="str">
        <x:v>R4 revised program</x:v>
      </x:c>
      <x:c r="D33" s="26" t="n">
        <x:f>'02 Architectures'!AH9</x:f>
        <x:v>156</x:v>
      </x:c>
      <x:c r="E33" s="26" t="n">
        <x:v>156</x:v>
      </x:c>
      <x:c r="F33" s="26" t="n">
        <x:f>IF(AND(ISNUMBER(D33),ISNUMBER(E33)),D33-E33,"n.a.")</x:f>
        <x:v>0</x:v>
      </x:c>
      <x:c r="G33" s="26" t="n">
        <x:v>0.000001</x:v>
      </x:c>
      <x:c r="H33" s="11" t="str">
        <x:f>IF(AND(ISNUMBER(D33),ISNUMBER(E33),ABS(D33-E33)&lt;=G33),"PASS","FAIL")</x:f>
        <x:v>PASS</x:v>
      </x:c>
    </x:row>
    <x:row r="34" ht="30" customHeight="1">
      <x:c r="C34" s="11" t="str">
        <x:v>Evidence gates</x:v>
      </x:c>
      <x:c r="D34" s="26" t="n">
        <x:f>ROWS('07 Test Contract'!C6:C20)</x:f>
        <x:v>15</x:v>
      </x:c>
      <x:c r="E34" s="26" t="n">
        <x:v>15</x:v>
      </x:c>
      <x:c r="F34" s="26" t="n">
        <x:f>IF(AND(ISNUMBER(D34),ISNUMBER(E34)),D34-E34,"n.a.")</x:f>
        <x:v>0</x:v>
      </x:c>
      <x:c r="G34" s="26" t="n">
        <x:v>0</x:v>
      </x:c>
      <x:c r="H34" s="11" t="str">
        <x:f>IF(AND(ISNUMBER(D34),ISNUMBER(E34),ABS(D34-E34)&lt;=G34),"PASS","FAIL")</x:f>
        <x:v>PASS</x:v>
      </x:c>
    </x:row>
    <x:row r="35" ht="30" customHeight="1">
      <x:c r="C35" s="11" t="str">
        <x:v>Open gates</x:v>
      </x:c>
      <x:c r="D35" s="26" t="n">
        <x:f>COUNTIFS('07 Test Contract'!J6:J20,"OPEN")</x:f>
        <x:v>14</x:v>
      </x:c>
      <x:c r="E35" s="26" t="n">
        <x:v>14</x:v>
      </x:c>
      <x:c r="F35" s="26" t="n">
        <x:f>IF(AND(ISNUMBER(D35),ISNUMBER(E35)),D35-E35,"n.a.")</x:f>
        <x:v>0</x:v>
      </x:c>
      <x:c r="G35" s="26" t="n">
        <x:v>0</x:v>
      </x:c>
      <x:c r="H35" s="11" t="str">
        <x:f>IF(AND(ISNUMBER(D35),ISNUMBER(E35),ABS(D35-E35)&lt;=G35),"PASS","FAIL")</x:f>
        <x:v>PASS</x:v>
      </x:c>
    </x:row>
    <x:row r="36" ht="30" customHeight="1">
      <x:c r="C36" s="11" t="str">
        <x:v>Rendering blocked</x:v>
      </x:c>
      <x:c r="D36" s="26" t="n">
        <x:f>COUNTIFS('07 Test Contract'!J20,"BLOCKED")</x:f>
        <x:v>1</x:v>
      </x:c>
      <x:c r="E36" s="26" t="n">
        <x:v>1</x:v>
      </x:c>
      <x:c r="F36" s="26" t="n">
        <x:f>IF(AND(ISNUMBER(D36),ISNUMBER(E36)),D36-E36,"n.a.")</x:f>
        <x:v>0</x:v>
      </x:c>
      <x:c r="G36" s="26" t="n">
        <x:v>0</x:v>
      </x:c>
      <x:c r="H36" s="11" t="str">
        <x:f>IF(AND(ISNUMBER(D36),ISNUMBER(E36),ABS(D36-E36)&lt;=G36),"PASS","FAIL")</x:f>
        <x:v>PASS</x:v>
      </x:c>
    </x:row>
    <x:row r="37" ht="30" customHeight="1">
      <x:c r="C37" s="11" t="str">
        <x:v>No evidence-passing worlds</x:v>
      </x:c>
      <x:c r="D37" s="26" t="n">
        <x:f>COUNTIFS('04 Failure Worlds'!S20:S59,"PASS")</x:f>
        <x:v>0</x:v>
      </x:c>
      <x:c r="E37" s="26" t="n">
        <x:v>0</x:v>
      </x:c>
      <x:c r="F37" s="26" t="n">
        <x:f>IF(AND(ISNUMBER(D37),ISNUMBER(E37)),D37-E37,"n.a.")</x:f>
        <x:v>0</x:v>
      </x:c>
      <x:c r="G37" s="26" t="n">
        <x:v>0</x:v>
      </x:c>
      <x:c r="H37" s="11" t="str">
        <x:f>IF(AND(ISNUMBER(D37),ISNUMBER(E37),ABS(D37-E37)&lt;=G37),"PASS","FAIL")</x:f>
        <x:v>PASS</x:v>
      </x:c>
    </x:row>
  </x:sheetData>
  <x:conditionalFormatting sqref="H6:H37">
    <x:cfRule type="containsText" dxfId="77" priority="1" operator="containsText" text="FAIL"/>
    <x:cfRule type="containsText" dxfId="78" priority="2" operator="containsText" text="DENIED"/>
    <x:cfRule type="containsText" dxfId="79" priority="3" operator="containsText" text="BLOCKED"/>
    <x:cfRule type="containsText" dxfId="80" priority="4" operator="containsText" text="OPEN"/>
    <x:cfRule type="containsText" dxfId="81" priority="5" operator="containsText" text="UNTESTED"/>
    <x:cfRule type="containsText" dxfId="82" priority="6" operator="containsText" text="DECLARED"/>
    <x:cfRule type="containsText" dxfId="83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63084de35d8542e1"/>
  </x:tableParts>
</x:worksheet>
</file>