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215f8b903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3e9be824e84b4183"/>
    <x:sheet xmlns:r="http://schemas.openxmlformats.org/officeDocument/2006/relationships" name="Controls" sheetId="2" r:id="R491986bf760e4200"/>
    <x:sheet xmlns:r="http://schemas.openxmlformats.org/officeDocument/2006/relationships" name="Architecture" sheetId="3" r:id="Rd0684c1b031942f3"/>
    <x:sheet xmlns:r="http://schemas.openxmlformats.org/officeDocument/2006/relationships" name="Strategic Compact" sheetId="4" r:id="Rbf37d49a17954bcb"/>
    <x:sheet xmlns:r="http://schemas.openxmlformats.org/officeDocument/2006/relationships" name="Lifecycle" sheetId="5" r:id="Ra7fde3abb3bc4268"/>
    <x:sheet xmlns:r="http://schemas.openxmlformats.org/officeDocument/2006/relationships" name="Strategic Modes" sheetId="6" r:id="Rbb2bea3d328e4e9d"/>
    <x:sheet xmlns:r="http://schemas.openxmlformats.org/officeDocument/2006/relationships" name="Force Portfolio" sheetId="7" r:id="R2588b937226c484a"/>
    <x:sheet xmlns:r="http://schemas.openxmlformats.org/officeDocument/2006/relationships" name="Forward Topology" sheetId="8" r:id="R251a501f47834407"/>
    <x:sheet xmlns:r="http://schemas.openxmlformats.org/officeDocument/2006/relationships" name="Activation System" sheetId="9" r:id="R54c34f6cecd544c5"/>
    <x:sheet xmlns:r="http://schemas.openxmlformats.org/officeDocument/2006/relationships" name="Evidence Renewal" sheetId="10" r:id="Ra3be39957a5149a0"/>
    <x:sheet xmlns:r="http://schemas.openxmlformats.org/officeDocument/2006/relationships" name="Authority Firewall" sheetId="11" r:id="Rfe5937d2396942ed"/>
    <x:sheet xmlns:r="http://schemas.openxmlformats.org/officeDocument/2006/relationships" name="Nonconversion Laws" sheetId="12" r:id="R314d3d97fda84f1d"/>
    <x:sheet xmlns:r="http://schemas.openxmlformats.org/officeDocument/2006/relationships" name="Technology Portfolio" sheetId="13" r:id="R8419333cc3824846"/>
    <x:sheet xmlns:r="http://schemas.openxmlformats.org/officeDocument/2006/relationships" name="Fiscal Nesting" sheetId="14" r:id="Rbbaf00ec88034e28"/>
    <x:sheet xmlns:r="http://schemas.openxmlformats.org/officeDocument/2006/relationships" name="25-Year Economy" sheetId="15" r:id="Ra78c254b30614026"/>
    <x:sheet xmlns:r="http://schemas.openxmlformats.org/officeDocument/2006/relationships" name="Stress Cases" sheetId="16" r:id="R339f968711084bbc"/>
    <x:sheet xmlns:r="http://schemas.openxmlformats.org/officeDocument/2006/relationships" name="Return Map" sheetId="17" r:id="R58b67e834c404fe6"/>
    <x:sheet xmlns:r="http://schemas.openxmlformats.org/officeDocument/2006/relationships" name="Audit" sheetId="18" r:id="R33c1f961805d4e5f"/>
    <x:sheet xmlns:r="http://schemas.openxmlformats.org/officeDocument/2006/relationships" name="Mutation Tests" sheetId="19" r:id="R88ffda6b9fe04761"/>
    <x:sheet xmlns:r="http://schemas.openxmlformats.org/officeDocument/2006/relationships" name="Sources" sheetId="20" r:id="Rea17650de9394bf9"/>
    <x:sheet xmlns:r="http://schemas.openxmlformats.org/officeDocument/2006/relationships" name="Read Me" sheetId="21" r:id="Rc18f8853318b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%"/>
    <x:numFmt numFmtId="202" formatCode="0%"/>
    <x:numFmt numFmtId="203" formatCode="&quot;$&quot;#,##0.0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F0D9"/>
      </x:patternFill>
    </x:fill>
    <x:fill>
      <x:patternFill patternType="solid">
        <x:fgColor rgb="FFDCEAF2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3" fontId="3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3" fontId="3" fillId="3" borderId="0" xfId="0" applyNumberFormat="1" applyFont="1" applyFill="1" applyBorder="1" applyAlignment="1">
      <x:alignment wrapText="1"/>
    </x:xf>
    <x:xf numFmtId="203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49ae07e5e4a77" /><Relationship Type="http://schemas.openxmlformats.org/officeDocument/2006/relationships/theme" Target="/xl/theme/theme1.xml" Id="Rdd145b1c5da140ef" /><Relationship Type="http://schemas.openxmlformats.org/officeDocument/2006/relationships/sharedStrings" Target="/xl/sharedStrings.xml" Id="R1c4e9149b6cd493e" /><Relationship Type="http://schemas.openxmlformats.org/officeDocument/2006/relationships/worksheet" Target="/xl/worksheets/sheet1.xml" Id="R3e9be824e84b4183" /><Relationship Type="http://schemas.openxmlformats.org/officeDocument/2006/relationships/worksheet" Target="/xl/worksheets/sheet2.xml" Id="R491986bf760e4200" /><Relationship Type="http://schemas.openxmlformats.org/officeDocument/2006/relationships/worksheet" Target="/xl/worksheets/sheet3.xml" Id="Rd0684c1b031942f3" /><Relationship Type="http://schemas.openxmlformats.org/officeDocument/2006/relationships/worksheet" Target="/xl/worksheets/sheet4.xml" Id="Rbf37d49a17954bcb" /><Relationship Type="http://schemas.openxmlformats.org/officeDocument/2006/relationships/worksheet" Target="/xl/worksheets/sheet5.xml" Id="Ra7fde3abb3bc4268" /><Relationship Type="http://schemas.openxmlformats.org/officeDocument/2006/relationships/worksheet" Target="/xl/worksheets/sheet6.xml" Id="Rbb2bea3d328e4e9d" /><Relationship Type="http://schemas.openxmlformats.org/officeDocument/2006/relationships/worksheet" Target="/xl/worksheets/sheet7.xml" Id="R2588b937226c484a" /><Relationship Type="http://schemas.openxmlformats.org/officeDocument/2006/relationships/worksheet" Target="/xl/worksheets/sheet8.xml" Id="R251a501f47834407" /><Relationship Type="http://schemas.openxmlformats.org/officeDocument/2006/relationships/worksheet" Target="/xl/worksheets/sheet9.xml" Id="R54c34f6cecd544c5" /><Relationship Type="http://schemas.openxmlformats.org/officeDocument/2006/relationships/worksheet" Target="/xl/worksheets/sheet10.xml" Id="Ra3be39957a5149a0" /><Relationship Type="http://schemas.openxmlformats.org/officeDocument/2006/relationships/worksheet" Target="/xl/worksheets/sheet11.xml" Id="Rfe5937d2396942ed" /><Relationship Type="http://schemas.openxmlformats.org/officeDocument/2006/relationships/worksheet" Target="/xl/worksheets/sheet12.xml" Id="R314d3d97fda84f1d" /><Relationship Type="http://schemas.openxmlformats.org/officeDocument/2006/relationships/worksheet" Target="/xl/worksheets/sheet13.xml" Id="R8419333cc3824846" /><Relationship Type="http://schemas.openxmlformats.org/officeDocument/2006/relationships/worksheet" Target="/xl/worksheets/sheet14.xml" Id="Rbbaf00ec88034e28" /><Relationship Type="http://schemas.openxmlformats.org/officeDocument/2006/relationships/worksheet" Target="/xl/worksheets/sheet15.xml" Id="Ra78c254b30614026" /><Relationship Type="http://schemas.openxmlformats.org/officeDocument/2006/relationships/worksheet" Target="/xl/worksheets/sheet16.xml" Id="R339f968711084bbc" /><Relationship Type="http://schemas.openxmlformats.org/officeDocument/2006/relationships/worksheet" Target="/xl/worksheets/sheet17.xml" Id="R58b67e834c404fe6" /><Relationship Type="http://schemas.openxmlformats.org/officeDocument/2006/relationships/worksheet" Target="/xl/worksheets/sheet18.xml" Id="R33c1f961805d4e5f" /><Relationship Type="http://schemas.openxmlformats.org/officeDocument/2006/relationships/worksheet" Target="/xl/worksheets/sheet19.xml" Id="R88ffda6b9fe04761" /><Relationship Type="http://schemas.openxmlformats.org/officeDocument/2006/relationships/worksheet" Target="/xl/worksheets/sheet20.xml" Id="Rea17650de9394bf9" /><Relationship Type="http://schemas.openxmlformats.org/officeDocument/2006/relationships/worksheet" Target="/xl/worksheets/sheet21.xml" Id="Rc18f8853318b41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bc89fe624c4f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Nested capital jurisdictions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USD T</c:v>
          </c:tx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bc89fe624c4f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5ff1b4c0fa41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8" hidden="0" customWidth="1"/>
    <x:col min="14" max="14" width="18" hidden="0" customWidth="1"/>
  </x:cols>
  <x:sheetData>
    <x:row r="2">
      <x:c r="A2" s="21" t="str">
        <x:v>Department Strategic Power Compact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Pass 200 | SPC-5 | fifth and final strategic-power pass | verdict: RETURN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 t="str">
        <x:v>Capital estate</x:v>
      </x:c>
      <x:c r="N5" s="22" t="str">
        <x:v>USD T</x:v>
      </x:c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Decision metric</x:v>
      </x:c>
      <x:c r="B6" s="25" t="str">
        <x:v>Value</x:v>
      </x:c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 t="str">
        <x:v>Formation</x:v>
      </x:c>
      <x:c r="N6" s="22" t="n">
        <x:v>9.41056</x:v>
      </x:c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Selected architecture</x:v>
      </x:c>
      <x:c r="B7" s="26" t="str">
        <x:v>Constitutional constructive-power compact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 t="str">
        <x:v>Common / reserve</x:v>
      </x:c>
      <x:c r="N7" s="22" t="n">
        <x:v>7.98944</x:v>
      </x:c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Compact articles</x:v>
      </x:c>
      <x:c r="B8" s="26" t="n">
        <x:v>7</x:v>
      </x:c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 t="str">
        <x:v>Total</x:v>
      </x:c>
      <x:c r="N8" s="22" t="n">
        <x:v>17.4</x:v>
      </x:c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Strategic modes</x:v>
      </x:c>
      <x:c r="B9" s="26" t="n">
        <x:v>4</x:v>
      </x:c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 t="str">
        <x:v>Receiver commons</x:v>
      </x:c>
      <x:c r="N9" s="22" t="n">
        <x:v>1.28213052</x:v>
      </x:c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Owned formations</x:v>
      </x:c>
      <x:c r="B10" s="26" t="n">
        <x:v>5251</x:v>
      </x:c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 t="str">
        <x:v>Strategic tech</x:v>
      </x:c>
      <x:c r="N10" s="22" t="n">
        <x:v>0.15</x:v>
      </x:c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Committed formations</x:v>
      </x:c>
      <x:c r="B11" s="26" t="n">
        <x:v>2420</x:v>
      </x:c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Domestic commitment</x:v>
      </x:c>
      <x:c r="B12" s="26" t="n">
        <x:v>1745</x:v>
      </x:c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Invited commitment</x:v>
      </x:c>
      <x:c r="B13" s="26" t="n">
        <x:v>675</x:v>
      </x:c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Formation capital USD T</x:v>
      </x:c>
      <x:c r="B14" s="26" t="n">
        <x:v>9.41056</x:v>
      </x:c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str">
        <x:v>Common/reserve capital USD T</x:v>
      </x:c>
      <x:c r="B15" s="26" t="n">
        <x:v>7.98944</x:v>
      </x:c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str">
        <x:v>Mature capital screen USD T</x:v>
      </x:c>
      <x:c r="B16" s="26" t="n">
        <x:v>17.4</x:v>
      </x:c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str">
        <x:v>Mature annual operations USD T</x:v>
      </x:c>
      <x:c r="B17" s="26" t="n">
        <x:v>2.11</x:v>
      </x:c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str">
        <x:v>Technology program USD T</x:v>
      </x:c>
      <x:c r="B18" s="26" t="n">
        <x:v>1</x:v>
      </x:c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6" t="str">
        <x:v>Strategic-power technology jurisdiction USD B</x:v>
      </x:c>
      <x:c r="B19" s="26" t="n">
        <x:v>150</x:v>
      </x:c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6" t="str">
        <x:v>25-year public outlay USD T</x:v>
      </x:c>
      <x:c r="B20" s="27" t="n">
        <x:f>'25-Year Economy'!K33/1000</x:f>
        <x:v>58.5955</x:v>
      </x:c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6" t="str">
        <x:v>Released strategic effect credit</x:v>
      </x:c>
      <x:c r="B21" s="26" t="n">
        <x:v>0</x:v>
      </x:c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6" t="str">
        <x:v>Verdict</x:v>
      </x:c>
      <x:c r="B22" s="26" t="str">
        <x:v>RETURN</x:v>
      </x:c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6" t="str">
        <x:v>Returned frontier</x:v>
      </x:c>
      <x:c r="B23" s="26" t="str">
        <x:v>Department-wide constitutional synthesis</x:v>
      </x:c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</x:sheetData>
  <x:pageMargins left="0.7" right="0.7" top="0.75" bottom="0.75" header="0.3" footer="0.3"/>
  <x:drawing xmlns:r="http://schemas.openxmlformats.org/officeDocument/2006/relationships" r:id="Rc95ff1b4c0fa418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  <x:col min="3" max="3" width="52" hidden="0" customWidth="1"/>
  </x:cols>
  <x:sheetData>
    <x:row r="2">
      <x:c r="A2" s="21" t="str">
        <x:v>Authoritative controls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Blue values are governing assumptions or inherited constitutional counts; implementation evidence remains empty.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Control</x:v>
      </x:c>
      <x:c r="B6" s="25" t="str">
        <x:v>Value</x:v>
      </x:c>
      <x:c r="C6" s="25" t="str">
        <x:v>Unit / rule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Owned formations</x:v>
      </x:c>
      <x:c r="B7" s="28" t="n">
        <x:v>5251</x:v>
      </x:c>
      <x:c r="C7" s="26" t="str">
        <x:v>formations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Ready formations</x:v>
      </x:c>
      <x:c r="B8" s="28" t="n">
        <x:v>3667</x:v>
      </x:c>
      <x:c r="C8" s="26" t="str">
        <x:v>formations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Committed formations</x:v>
      </x:c>
      <x:c r="B9" s="28" t="n">
        <x:v>2420</x:v>
      </x:c>
      <x:c r="C9" s="26" t="str">
        <x:v>formations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Regeneration</x:v>
      </x:c>
      <x:c r="B10" s="28" t="n">
        <x:v>1584</x:v>
      </x:c>
      <x:c r="C10" s="26" t="str">
        <x:v>formations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Domestic commitment</x:v>
      </x:c>
      <x:c r="B11" s="28" t="n">
        <x:v>1745</x:v>
      </x:c>
      <x:c r="C11" s="26" t="str">
        <x:v>formations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Invited commitment</x:v>
      </x:c>
      <x:c r="B12" s="28" t="n">
        <x:v>675</x:v>
      </x:c>
      <x:c r="C12" s="26" t="str">
        <x:v>formations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Reserve</x:v>
      </x:c>
      <x:c r="B13" s="28" t="n">
        <x:v>502</x:v>
      </x:c>
      <x:c r="C13" s="26" t="str">
        <x:v>formations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Geographic buffer</x:v>
      </x:c>
      <x:c r="B14" s="28" t="n">
        <x:v>745</x:v>
      </x:c>
      <x:c r="C14" s="26" t="str">
        <x:v>formations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str">
        <x:v>Formation capital</x:v>
      </x:c>
      <x:c r="B15" s="28" t="n">
        <x:v>9.41056</x:v>
      </x:c>
      <x:c r="C15" s="26" t="str">
        <x:v>USD T</x:v>
      </x:c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str">
        <x:v>Common/reserve capital</x:v>
      </x:c>
      <x:c r="B16" s="28" t="n">
        <x:v>7.98944</x:v>
      </x:c>
      <x:c r="C16" s="26" t="str">
        <x:v>USD T</x:v>
      </x:c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str">
        <x:v>Mature capital screen</x:v>
      </x:c>
      <x:c r="B17" s="28" t="n">
        <x:v>17.4</x:v>
      </x:c>
      <x:c r="C17" s="26" t="str">
        <x:v>USD T</x:v>
      </x:c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str">
        <x:v>Mature annual operations</x:v>
      </x:c>
      <x:c r="B18" s="28" t="n">
        <x:v>2.11</x:v>
      </x:c>
      <x:c r="C18" s="26" t="str">
        <x:v>USD T/year</x:v>
      </x:c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6" t="str">
        <x:v>Technology program</x:v>
      </x:c>
      <x:c r="B19" s="28" t="n">
        <x:v>1</x:v>
      </x:c>
      <x:c r="C19" s="26" t="str">
        <x:v>USD T / 25 years</x:v>
      </x:c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6" t="str">
        <x:v>Strategic tech jurisdiction</x:v>
      </x:c>
      <x:c r="B20" s="28" t="n">
        <x:v>150</x:v>
      </x:c>
      <x:c r="C20" s="26" t="str">
        <x:v>USD B; cross-classified, not additive</x:v>
      </x:c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6" t="str">
        <x:v>Receiver commons revised base</x:v>
      </x:c>
      <x:c r="B21" s="28" t="n">
        <x:v>1282.13052</x:v>
      </x:c>
      <x:c r="C21" s="26" t="str">
        <x:v>USD B; nested</x:v>
      </x:c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6" t="str">
        <x:v>Receiver annual operations</x:v>
      </x:c>
      <x:c r="B22" s="28" t="n">
        <x:v>102.5</x:v>
      </x:c>
      <x:c r="C22" s="26" t="str">
        <x:v>USD B/year; nested</x:v>
      </x:c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6" t="str">
        <x:v>Activation capital</x:v>
      </x:c>
      <x:c r="B23" s="28" t="n">
        <x:v>67.5</x:v>
      </x:c>
      <x:c r="C23" s="26" t="str">
        <x:v>USD B; nested in receiver</x:v>
      </x:c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6" t="str">
        <x:v>Measurement capital</x:v>
      </x:c>
      <x:c r="B24" s="28" t="n">
        <x:v>44.64</x:v>
      </x:c>
      <x:c r="C24" s="26" t="str">
        <x:v>USD B; nested in activation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6" t="str">
        <x:v>Released authority identities</x:v>
      </x:c>
      <x:c r="B25" s="28" t="n">
        <x:v>0</x:v>
      </x:c>
      <x:c r="C25" s="26" t="str">
        <x:v>implementation identities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6" t="str">
        <x:v>Released strategic effect</x:v>
      </x:c>
      <x:c r="B26" s="28" t="n">
        <x:v>0</x:v>
      </x:c>
      <x:c r="C26" s="26" t="str">
        <x:v>effects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4" hidden="0" customWidth="1"/>
    <x:col min="7" max="7" width="14" hidden="0" customWidth="1"/>
    <x:col min="8" max="8" width="78" hidden="0" customWidth="1"/>
  </x:cols>
  <x:sheetData>
    <x:row r="2">
      <x:c r="A2" s="21" t="str">
        <x:v>Architecture competition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Selection requires coequal status, sovereignty, lifecycle completeness, separate warrants and terminal discipline.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Architecture</x:v>
      </x:c>
      <x:c r="B6" s="25" t="str">
        <x:v>Coequal</x:v>
      </x:c>
      <x:c r="C6" s="25" t="str">
        <x:v>Sovereign</x:v>
      </x:c>
      <x:c r="D6" s="25" t="str">
        <x:v>Lifecycle</x:v>
      </x:c>
      <x:c r="E6" s="25" t="str">
        <x:v>Separate warrants</x:v>
      </x:c>
      <x:c r="F6" s="25" t="str">
        <x:v>Kill law</x:v>
      </x:c>
      <x:c r="G6" s="25" t="str">
        <x:v>Decision</x:v>
      </x:c>
      <x:c r="H6" s="25" t="str">
        <x:v>Reason</x:v>
      </x:c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Humanitarian adjunct</x:v>
      </x:c>
      <x:c r="B7" s="26" t="str">
        <x:v>FAIL</x:v>
      </x:c>
      <x:c r="C7" s="26" t="str">
        <x:v>FAIL</x:v>
      </x:c>
      <x:c r="D7" s="26" t="str">
        <x:v>FAIL</x:v>
      </x:c>
      <x:c r="E7" s="26" t="str">
        <x:v>FAIL</x:v>
      </x:c>
      <x:c r="F7" s="26" t="str">
        <x:v>FAIL</x:v>
      </x:c>
      <x:c r="G7" s="29" t="str">
        <x:v>REJECT</x:v>
      </x:c>
      <x:c r="H7" s="30" t="str">
        <x:v>Makes rescue subordinate to military logistics and residual assets</x:v>
      </x:c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Expeditionary basing command</x:v>
      </x:c>
      <x:c r="B8" s="26" t="str">
        <x:v>PASS</x:v>
      </x:c>
      <x:c r="C8" s="26" t="str">
        <x:v>FAIL</x:v>
      </x:c>
      <x:c r="D8" s="26" t="str">
        <x:v>FAIL</x:v>
      </x:c>
      <x:c r="E8" s="26" t="str">
        <x:v>FAIL</x:v>
      </x:c>
      <x:c r="F8" s="26" t="str">
        <x:v>FAIL</x:v>
      </x:c>
      <x:c r="G8" s="29" t="str">
        <x:v>REJECT</x:v>
      </x:c>
      <x:c r="H8" s="30" t="str">
        <x:v>Turns receiver access into command and strategic presence</x:v>
      </x:c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Export-statecraft enterprise</x:v>
      </x:c>
      <x:c r="B9" s="26" t="str">
        <x:v>PASS</x:v>
      </x:c>
      <x:c r="C9" s="26" t="str">
        <x:v>PASS</x:v>
      </x:c>
      <x:c r="D9" s="26" t="str">
        <x:v>FAIL</x:v>
      </x:c>
      <x:c r="E9" s="26" t="str">
        <x:v>FAIL</x:v>
      </x:c>
      <x:c r="F9" s="26" t="str">
        <x:v>FAIL</x:v>
      </x:c>
      <x:c r="G9" s="29" t="str">
        <x:v>REJECT</x:v>
      </x:c>
      <x:c r="H9" s="30" t="str">
        <x:v>Lets sales and market reach substitute for public readiness</x:v>
      </x:c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Unified Strategic Power Command</x:v>
      </x:c>
      <x:c r="B10" s="26" t="str">
        <x:v>PASS</x:v>
      </x:c>
      <x:c r="C10" s="26" t="str">
        <x:v>PASS</x:v>
      </x:c>
      <x:c r="D10" s="26" t="str">
        <x:v>PASS</x:v>
      </x:c>
      <x:c r="E10" s="26" t="str">
        <x:v>FAIL</x:v>
      </x:c>
      <x:c r="F10" s="26" t="str">
        <x:v>FAIL</x:v>
      </x:c>
      <x:c r="G10" s="29" t="str">
        <x:v>REJECT</x:v>
      </x:c>
      <x:c r="H10" s="30" t="str">
        <x:v>Consolidates public purpose, proof, readiness and employment warrants</x:v>
      </x:c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Constitutional constructive-power compact</x:v>
      </x:c>
      <x:c r="B11" s="26" t="str">
        <x:v>PASS</x:v>
      </x:c>
      <x:c r="C11" s="26" t="str">
        <x:v>PASS</x:v>
      </x:c>
      <x:c r="D11" s="26" t="str">
        <x:v>PASS</x:v>
      </x:c>
      <x:c r="E11" s="26" t="str">
        <x:v>PASS</x:v>
      </x:c>
      <x:c r="F11" s="26" t="str">
        <x:v>PASS</x:v>
      </x:c>
      <x:c r="G11" s="27" t="str">
        <x:v>SELECT</x:v>
      </x:c>
      <x:c r="H11" s="30" t="str">
        <x:v>Integrates circuits while preserving exclusive authorities and termination</x:v>
      </x:c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91" hidden="0" customWidth="1"/>
    <x:col min="4" max="4" width="65" hidden="0" customWidth="1"/>
  </x:cols>
  <x:sheetData>
    <x:row r="2">
      <x:c r="A2" s="21" t="str">
        <x:v>Seven constitutional articles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The compact joins five Department circuits without creating a command that can self-authorize, self-prove or self-renew.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Article</x:v>
      </x:c>
      <x:c r="B6" s="25" t="str">
        <x:v>Constitutional object</x:v>
      </x:c>
      <x:c r="C6" s="25" t="str">
        <x:v>Binding rule</x:v>
      </x:c>
      <x:c r="D6" s="25" t="str">
        <x:v>Exclusive steward</x:v>
      </x:c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A1</x:v>
      </x:c>
      <x:c r="B7" s="30" t="str">
        <x:v>Public guarantee</x:v>
      </x:c>
      <x:c r="C7" s="30" t="str">
        <x:v>Define catastrophe continuity as a coequal instrument of national power</x:v>
      </x:c>
      <x:c r="D7" s="30" t="str">
        <x:v>Congress / Department public-purpose circuit</x:v>
      </x:c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A2</x:v>
      </x:c>
      <x:c r="B8" s="30" t="str">
        <x:v>Technology and industry</x:v>
      </x:c>
      <x:c r="C8" s="30" t="str">
        <x:v>Fund mission technologies, cold roots and complete production configurations</x:v>
      </x:c>
      <x:c r="D8" s="30" t="str">
        <x:v>Productive Commonwealth + Proving Service</x:v>
      </x:c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A3</x:v>
      </x:c>
      <x:c r="B9" s="30" t="str">
        <x:v>Formation generation</x:v>
      </x:c>
      <x:c r="C9" s="30" t="str">
        <x:v>Turn accepted configurations, crews and reserves into governed formations</x:v>
      </x:c>
      <x:c r="D9" s="30" t="str">
        <x:v>Formation-generation circuit</x:v>
      </x:c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A4</x:v>
      </x:c>
      <x:c r="B10" s="30" t="str">
        <x:v>Readiness and allocation</x:v>
      </x:c>
      <x:c r="C10" s="30" t="str">
        <x:v>Issue current readiness, family-completeness and allocation warrants</x:v>
      </x:c>
      <x:c r="D10" s="30" t="str">
        <x:v>National Mobilization and Allocation Command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A5</x:v>
      </x:c>
      <x:c r="B11" s="30" t="str">
        <x:v>Domestic employment</x:v>
      </x:c>
      <x:c r="C11" s="30" t="str">
        <x:v>Honor the nonrecall domestic guarantee across eight simultaneous campaigns</x:v>
      </x:c>
      <x:c r="D11" s="30" t="str">
        <x:v>Domestic civil employment authority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A6</x:v>
      </x:c>
      <x:c r="B12" s="30" t="str">
        <x:v>Invited activation</x:v>
      </x:c>
      <x:c r="C12" s="30" t="str">
        <x:v>Bind host sovereignty, bilateral warrants, bridge service, transfer and exit</x:v>
      </x:c>
      <x:c r="D12" s="30" t="str">
        <x:v>Host authority + Department employment circuit</x:v>
      </x:c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A7</x:v>
      </x:c>
      <x:c r="B13" s="30" t="str">
        <x:v>Evidence, renewal and regeneration</x:v>
      </x:c>
      <x:c r="C13" s="30" t="str">
        <x:v>Expire claims, kill failed branches, regenerate formations and publish disposition</x:v>
      </x:c>
      <x:c r="D13" s="30" t="str">
        <x:v>Independent evidence custodians + regeneration circuit</x:v>
      </x:c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82" hidden="0" customWidth="1"/>
    <x:col min="4" max="4" width="15" hidden="0" customWidth="1"/>
    <x:col min="5" max="5" width="59" hidden="0" customWidth="1"/>
  </x:cols>
  <x:sheetData>
    <x:row r="2">
      <x:c r="A2" s="21" t="str">
        <x:v>Constructive-power lifecycle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Each transition has an explicit custodian and a forbidden inference.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Step</x:v>
      </x:c>
      <x:c r="B6" s="25" t="str">
        <x:v>State</x:v>
      </x:c>
      <x:c r="C6" s="25" t="str">
        <x:v>Required transaction</x:v>
      </x:c>
      <x:c r="D6" s="25" t="str">
        <x:v>Article</x:v>
      </x:c>
      <x:c r="E6" s="25" t="str">
        <x:v>Forbidden conversion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n">
        <x:v>1</x:v>
      </x:c>
      <x:c r="B7" s="26" t="str">
        <x:v>Public obligation</x:v>
      </x:c>
      <x:c r="C7" s="30" t="str">
        <x:v>Declare domestic and invited service objects</x:v>
      </x:c>
      <x:c r="D7" s="30" t="str">
        <x:v>A1</x:v>
      </x:c>
      <x:c r="E7" s="30" t="str">
        <x:v>No campaign or procurement credit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n">
        <x:v>2</x:v>
      </x:c>
      <x:c r="B8" s="26" t="str">
        <x:v>Technology and industry</x:v>
      </x:c>
      <x:c r="C8" s="30" t="str">
        <x:v>Prove complete configurations and independent roots</x:v>
      </x:c>
      <x:c r="D8" s="30" t="str">
        <x:v>A2</x:v>
      </x:c>
      <x:c r="E8" s="30" t="str">
        <x:v>No formation credit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n">
        <x:v>3</x:v>
      </x:c>
      <x:c r="B9" s="26" t="str">
        <x:v>Formation</x:v>
      </x:c>
      <x:c r="C9" s="30" t="str">
        <x:v>Accept serial, crew, sustainment and regeneration family</x:v>
      </x:c>
      <x:c r="D9" s="30" t="str">
        <x:v>A3</x:v>
      </x:c>
      <x:c r="E9" s="30" t="str">
        <x:v>No campaign authority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n">
        <x:v>4</x:v>
      </x:c>
      <x:c r="B10" s="26" t="str">
        <x:v>Readiness</x:v>
      </x:c>
      <x:c r="C10" s="30" t="str">
        <x:v>Issue current family and allocation warrant</x:v>
      </x:c>
      <x:c r="D10" s="30" t="str">
        <x:v>A4</x:v>
      </x:c>
      <x:c r="E10" s="30" t="str">
        <x:v>No automatic claim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n">
        <x:v>5</x:v>
      </x:c>
      <x:c r="B11" s="26" t="str">
        <x:v>Claim</x:v>
      </x:c>
      <x:c r="C11" s="30" t="str">
        <x:v>Reserve one domestic or invited serial without double use</x:v>
      </x:c>
      <x:c r="D11" s="30" t="str">
        <x:v>A4</x:v>
      </x:c>
      <x:c r="E11" s="30" t="str">
        <x:v>No entry authority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n">
        <x:v>6</x:v>
      </x:c>
      <x:c r="B12" s="26" t="str">
        <x:v>Request and acceptance</x:v>
      </x:c>
      <x:c r="C12" s="30" t="str">
        <x:v>Create bilateral event warrant and host stop authority</x:v>
      </x:c>
      <x:c r="D12" s="30" t="str">
        <x:v>A6</x:v>
      </x:c>
      <x:c r="E12" s="30" t="str">
        <x:v>No implied treaty activation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n">
        <x:v>7</x:v>
      </x:c>
      <x:c r="B13" s="26" t="str">
        <x:v>Bridge</x:v>
      </x:c>
      <x:c r="C13" s="30" t="str">
        <x:v>Deliver rights-complete service through hour 432</x:v>
      </x:c>
      <x:c r="D13" s="30" t="str">
        <x:v>A6</x:v>
      </x:c>
      <x:c r="E13" s="30" t="str">
        <x:v>No fraction of campaign effect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n">
        <x:v>8</x:v>
      </x:c>
      <x:c r="B14" s="26" t="str">
        <x:v>Full service</x:v>
      </x:c>
      <x:c r="C14" s="30" t="str">
        <x:v>Close the complete service vector</x:v>
      </x:c>
      <x:c r="D14" s="30" t="str">
        <x:v>A5/A6</x:v>
      </x:c>
      <x:c r="E14" s="30" t="str">
        <x:v>Outputs do not equal strategic effect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n">
        <x:v>9</x:v>
      </x:c>
      <x:c r="B15" s="26" t="str">
        <x:v>Transfer and exit</x:v>
      </x:c>
      <x:c r="C15" s="30" t="str">
        <x:v>Substitute host capacity and remove U.S. control roots</x:v>
      </x:c>
      <x:c r="D15" s="30" t="str">
        <x:v>A6</x:v>
      </x:c>
      <x:c r="E15" s="30" t="str">
        <x:v>Title alone is not sovereignty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n">
        <x:v>10</x:v>
      </x:c>
      <x:c r="B16" s="26" t="str">
        <x:v>Evidence</x:v>
      </x:c>
      <x:c r="C16" s="30" t="str">
        <x:v>Populate five planes, nine effects and persistence horizons</x:v>
      </x:c>
      <x:c r="D16" s="30" t="str">
        <x:v>A7</x:v>
      </x:c>
      <x:c r="E16" s="30" t="str">
        <x:v>Source-empty remains UNOBSERVED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n">
        <x:v>11</x:v>
      </x:c>
      <x:c r="B17" s="26" t="str">
        <x:v>Disposition</x:v>
      </x:c>
      <x:c r="C17" s="30" t="str">
        <x:v>Renew, resize, redesign, stop or kill lexicographically</x:v>
      </x:c>
      <x:c r="D17" s="30" t="str">
        <x:v>A7</x:v>
      </x:c>
      <x:c r="E17" s="30" t="str">
        <x:v>Prestige cannot retain failure</x:v>
      </x:c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n">
        <x:v>12</x:v>
      </x:c>
      <x:c r="B18" s="26" t="str">
        <x:v>Regeneration</x:v>
      </x:c>
      <x:c r="C18" s="30" t="str">
        <x:v>Return people, configurations and capital to readiness</x:v>
      </x:c>
      <x:c r="D18" s="30" t="str">
        <x:v>A7</x:v>
      </x:c>
      <x:c r="E18" s="30" t="str">
        <x:v>No silent carryover</x:v>
      </x:c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7" hidden="0" customWidth="1"/>
    <x:col min="3" max="3" width="15" hidden="0" customWidth="1"/>
    <x:col min="4" max="4" width="25" hidden="0" customWidth="1"/>
    <x:col min="5" max="5" width="71" hidden="0" customWidth="1"/>
    <x:col min="6" max="6" width="68" hidden="0" customWidth="1"/>
  </x:cols>
  <x:sheetData>
    <x:row r="2">
      <x:c r="A2" s="21" t="str">
        <x:v>Four non-fungible modes of constructive power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Only P1 and P2 consume U.S. formation commitments; partnership and productive statecraft receive no borrowed readiness credit.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Mode</x:v>
      </x:c>
      <x:c r="B6" s="25" t="str">
        <x:v>Strategic mode</x:v>
      </x:c>
      <x:c r="C6" s="25" t="str">
        <x:v>Campaigns</x:v>
      </x:c>
      <x:c r="D6" s="25" t="str">
        <x:v>Committed formations</x:v>
      </x:c>
      <x:c r="E6" s="25" t="str">
        <x:v>Authority</x:v>
      </x:c>
      <x:c r="F6" s="25" t="str">
        <x:v>Success object</x:v>
      </x:c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P1</x:v>
      </x:c>
      <x:c r="B7" s="26" t="str">
        <x:v>Guaranteed domestic continuity</x:v>
      </x:c>
      <x:c r="C7" s="26" t="n">
        <x:v>8</x:v>
      </x:c>
      <x:c r="D7" s="26" t="n">
        <x:v>1745</x:v>
      </x:c>
      <x:c r="E7" s="30" t="str">
        <x:v>Federal public obligation; no invitation condition</x:v>
      </x:c>
      <x:c r="F7" s="30" t="str">
        <x:v>Lives and essential-service continuity</x:v>
      </x:c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P2</x:v>
      </x:c>
      <x:c r="B8" s="26" t="str">
        <x:v>Invited stabilization</x:v>
      </x:c>
      <x:c r="C8" s="26" t="n">
        <x:v>2</x:v>
      </x:c>
      <x:c r="D8" s="26" t="n">
        <x:v>675</x:v>
      </x:c>
      <x:c r="E8" s="30" t="str">
        <x:v>Host request, acceptance and bilateral event warrant</x:v>
      </x:c>
      <x:c r="F8" s="30" t="str">
        <x:v>Complete service, transfer and sovereign exit</x:v>
      </x:c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P3</x:v>
      </x:c>
      <x:c r="B9" s="26" t="str">
        <x:v>Forward resilience partnership</x:v>
      </x:c>
      <x:c r="C9" s="26" t="n">
        <x:v>0</x:v>
      </x:c>
      <x:c r="D9" s="26" t="n">
        <x:v>0</x:v>
      </x:c>
      <x:c r="E9" s="30" t="str">
        <x:v>Partner-owned capacity; no U.S. formation credit</x:v>
      </x:c>
      <x:c r="F9" s="30" t="str">
        <x:v>Independent operation, repair, supply and reproduction</x:v>
      </x:c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P4</x:v>
      </x:c>
      <x:c r="B10" s="26" t="str">
        <x:v>Productive statecraft</x:v>
      </x:c>
      <x:c r="C10" s="26" t="n">
        <x:v>0</x:v>
      </x:c>
      <x:c r="D10" s="26" t="n">
        <x:v>0</x:v>
      </x:c>
      <x:c r="E10" s="30" t="str">
        <x:v>Open productive and standards compact</x:v>
      </x:c>
      <x:c r="F10" s="30" t="str">
        <x:v>Independent implementations and reciprocal public value</x:v>
      </x:c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7" hidden="0" customWidth="1"/>
    <x:col min="4" max="4" width="17" hidden="0" customWidth="1"/>
    <x:col min="5" max="5" width="43" hidden="0" customWidth="1"/>
    <x:col min="6" max="6" width="17" hidden="0" customWidth="1"/>
    <x:col min="7" max="7" width="43" hidden="0" customWidth="1"/>
  </x:cols>
  <x:sheetData>
    <x:row r="2">
      <x:c r="A2" s="21" t="str">
        <x:v>Formation portfolio and exposure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Reserve, geographic buffer and regeneration are portfolio states, not unassigned strategic modes.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Portfolio state</x:v>
      </x:c>
      <x:c r="B6" s="25" t="str">
        <x:v>Count</x:v>
      </x:c>
      <x:c r="C6" s="25" t="str">
        <x:v>Count unit</x:v>
      </x:c>
      <x:c r="D6" s="25" t="str">
        <x:v>Capital</x:v>
      </x:c>
      <x:c r="E6" s="25" t="str">
        <x:v>Capital meaning</x:v>
      </x:c>
      <x:c r="F6" s="25" t="str">
        <x:v>Billets</x:v>
      </x:c>
      <x:c r="G6" s="25" t="str">
        <x:v>Billet meaning</x:v>
      </x:c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Owned formations</x:v>
      </x:c>
      <x:c r="B7" s="26" t="n">
        <x:v>5251</x:v>
      </x:c>
      <x:c r="C7" s="26" t="str">
        <x:v>formations</x:v>
      </x:c>
      <x:c r="D7" s="31" t="n">
        <x:v>9.41056</x:v>
      </x:c>
      <x:c r="E7" s="30" t="str">
        <x:v>USD T formation capital</x:v>
      </x:c>
      <x:c r="F7" s="30" t="n">
        <x:v>11.465</x:v>
      </x:c>
      <x:c r="G7" s="30" t="str">
        <x:v>million direct affiliated billets</x:v>
      </x:c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Ready formations</x:v>
      </x:c>
      <x:c r="B8" s="26" t="n">
        <x:v>3667</x:v>
      </x:c>
      <x:c r="C8" s="26" t="str">
        <x:v>formations</x:v>
      </x:c>
      <x:c r="D8" s="31"/>
      <x:c r="E8" s="30" t="str">
        <x:v>subset; capital not separately assigned</x:v>
      </x:c>
      <x:c r="F8" s="30"/>
      <x:c r="G8" s="30" t="str">
        <x:v>billets not separately assigned</x:v>
      </x:c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Committed formations</x:v>
      </x:c>
      <x:c r="B9" s="26" t="n">
        <x:v>2420</x:v>
      </x:c>
      <x:c r="C9" s="26" t="str">
        <x:v>formations</x:v>
      </x:c>
      <x:c r="D9" s="31" t="n">
        <x:v>4.184</x:v>
      </x:c>
      <x:c r="E9" s="30" t="str">
        <x:v>USD T exposed formation capital</x:v>
      </x:c>
      <x:c r="F9" s="30" t="n">
        <x:v>5.148</x:v>
      </x:c>
      <x:c r="G9" s="30" t="str">
        <x:v>million billets</x:v>
      </x:c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Domestic commitment</x:v>
      </x:c>
      <x:c r="B10" s="26" t="n">
        <x:v>1745</x:v>
      </x:c>
      <x:c r="C10" s="26" t="str">
        <x:v>formations</x:v>
      </x:c>
      <x:c r="D10" s="31" t="n">
        <x:v>2.932</x:v>
      </x:c>
      <x:c r="E10" s="30" t="str">
        <x:v>USD T exposed formation capital</x:v>
      </x:c>
      <x:c r="F10" s="30" t="n">
        <x:v>3.703</x:v>
      </x:c>
      <x:c r="G10" s="30" t="str">
        <x:v>million billets</x:v>
      </x:c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Invited commitment</x:v>
      </x:c>
      <x:c r="B11" s="26" t="n">
        <x:v>675</x:v>
      </x:c>
      <x:c r="C11" s="26" t="str">
        <x:v>formations</x:v>
      </x:c>
      <x:c r="D11" s="31" t="n">
        <x:v>1.253</x:v>
      </x:c>
      <x:c r="E11" s="30" t="str">
        <x:v>USD T exposed formation capital</x:v>
      </x:c>
      <x:c r="F11" s="30" t="n">
        <x:v>1.445</x:v>
      </x:c>
      <x:c r="G11" s="30" t="str">
        <x:v>million billets</x:v>
      </x:c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Reserve</x:v>
      </x:c>
      <x:c r="B12" s="26" t="n">
        <x:v>502</x:v>
      </x:c>
      <x:c r="C12" s="26" t="str">
        <x:v>formations</x:v>
      </x:c>
      <x:c r="D12" s="31"/>
      <x:c r="E12" s="30" t="str">
        <x:v>portfolio state; no mode assignment</x:v>
      </x:c>
      <x:c r="F12" s="30"/>
      <x:c r="G12" s="30" t="str">
        <x:v>portfolio state</x:v>
      </x:c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Geographic buffer</x:v>
      </x:c>
      <x:c r="B13" s="26" t="n">
        <x:v>745</x:v>
      </x:c>
      <x:c r="C13" s="26" t="str">
        <x:v>formations</x:v>
      </x:c>
      <x:c r="D13" s="31"/>
      <x:c r="E13" s="30" t="str">
        <x:v>portfolio state; no mode assignment</x:v>
      </x:c>
      <x:c r="F13" s="30"/>
      <x:c r="G13" s="30" t="str">
        <x:v>portfolio state</x:v>
      </x:c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Regeneration</x:v>
      </x:c>
      <x:c r="B14" s="26" t="n">
        <x:v>1584</x:v>
      </x:c>
      <x:c r="C14" s="26" t="str">
        <x:v>formations</x:v>
      </x:c>
      <x:c r="D14" s="31"/>
      <x:c r="E14" s="30" t="str">
        <x:v>not ready; closes owned identity</x:v>
      </x:c>
      <x:c r="F14" s="30"/>
      <x:c r="G14" s="30" t="str">
        <x:v>not mode-assigned</x:v>
      </x:c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str">
        <x:v>Unassigned formation estate</x:v>
      </x:c>
      <x:c r="B15" s="26" t="n">
        <x:v>2831</x:v>
      </x:c>
      <x:c r="C15" s="26" t="str">
        <x:v>formations</x:v>
      </x:c>
      <x:c r="D15" s="31" t="n">
        <x:v>5.226</x:v>
      </x:c>
      <x:c r="E15" s="30" t="str">
        <x:v>USD T residual capital</x:v>
      </x:c>
      <x:c r="F15" s="30" t="n">
        <x:v>6.317</x:v>
      </x:c>
      <x:c r="G15" s="30" t="str">
        <x:v>million residual billets</x:v>
      </x:c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4" hidden="0" customWidth="1"/>
  </x:cols>
  <x:sheetData>
    <x:row r="2">
      <x:c r="A2" s="21" t="str">
        <x:v>Sovereign receiver commons topology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The forward estate is public-service infrastructure under host stop, transfer and outside replay—not an expeditionary base network.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Element</x:v>
      </x:c>
      <x:c r="B6" s="25" t="str">
        <x:v>Base value</x:v>
      </x:c>
      <x:c r="C6" s="25" t="str">
        <x:v>Unit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Receiver commons</x:v>
      </x:c>
      <x:c r="B7" s="26" t="n">
        <x:v>2</x:v>
      </x:c>
      <x:c r="C7" s="26" t="str">
        <x:v>networks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Receiver districts</x:v>
      </x:c>
      <x:c r="B8" s="26" t="n">
        <x:v>12</x:v>
      </x:c>
      <x:c r="C8" s="26" t="str">
        <x:v>districts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Receiver precincts</x:v>
      </x:c>
      <x:c r="B9" s="26" t="n">
        <x:v>36</x:v>
      </x:c>
      <x:c r="C9" s="26" t="str">
        <x:v>precincts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Formation-family slots</x:v>
      </x:c>
      <x:c r="B10" s="26" t="n">
        <x:v>842</x:v>
      </x:c>
      <x:c r="C10" s="26" t="str">
        <x:v>slots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Partner production roots</x:v>
      </x:c>
      <x:c r="B11" s="26" t="n">
        <x:v>192</x:v>
      </x:c>
      <x:c r="C11" s="26" t="str">
        <x:v>roots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Assurance cells</x:v>
      </x:c>
      <x:c r="B12" s="26" t="n">
        <x:v>96</x:v>
      </x:c>
      <x:c r="C12" s="26" t="str">
        <x:v>cells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Accepted invited serials</x:v>
      </x:c>
      <x:c r="B13" s="26" t="n">
        <x:v>675</x:v>
      </x:c>
      <x:c r="C13" s="26" t="str">
        <x:v>serials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Corridor claims</x:v>
      </x:c>
      <x:c r="B14" s="26" t="n">
        <x:v>1350</x:v>
      </x:c>
      <x:c r="C14" s="26" t="str">
        <x:v>claims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str">
        <x:v>Segment reservations</x:v>
      </x:c>
      <x:c r="B15" s="26" t="n">
        <x:v>9450</x:v>
      </x:c>
      <x:c r="C15" s="26" t="str">
        <x:v>segments</x:v>
      </x:c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str">
        <x:v>Bridge duration</x:v>
      </x:c>
      <x:c r="B16" s="26" t="n">
        <x:v>18</x:v>
      </x:c>
      <x:c r="C16" s="26" t="str">
        <x:v>days</x:v>
      </x:c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str">
        <x:v>Bridge stock</x:v>
      </x:c>
      <x:c r="B17" s="26" t="n">
        <x:v>0.878</x:v>
      </x:c>
      <x:c r="C17" s="26" t="str">
        <x:v>Mt</x:v>
      </x:c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str">
        <x:v>Forward material low</x:v>
      </x:c>
      <x:c r="B18" s="26" t="n">
        <x:v>0.878</x:v>
      </x:c>
      <x:c r="C18" s="26" t="str">
        <x:v>Mt</x:v>
      </x:c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6" t="str">
        <x:v>Forward material high</x:v>
      </x:c>
      <x:c r="B19" s="26" t="n">
        <x:v>1.49</x:v>
      </x:c>
      <x:c r="C19" s="26" t="str">
        <x:v>Mt</x:v>
      </x:c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58" hidden="0" customWidth="1"/>
  </x:cols>
  <x:sheetData>
    <x:row r="2">
      <x:c r="A2" s="21" t="str">
        <x:v>Bilateral activation transaction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The standing compact creates prepared states; only an event-specific request, acceptance and warrant activates a serial.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Element</x:v>
      </x:c>
      <x:c r="B6" s="25" t="str">
        <x:v>Base value</x:v>
      </x:c>
      <x:c r="C6" s="25" t="str">
        <x:v>Unit / nesting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Constituent authorities</x:v>
      </x:c>
      <x:c r="B7" s="26" t="n">
        <x:v>12</x:v>
      </x:c>
      <x:c r="C7" s="26" t="str">
        <x:v>authorities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Transaction states</x:v>
      </x:c>
      <x:c r="B8" s="26" t="n">
        <x:v>11</x:v>
      </x:c>
      <x:c r="C8" s="26" t="str">
        <x:v>states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Event warrants</x:v>
      </x:c>
      <x:c r="B9" s="26" t="n">
        <x:v>12</x:v>
      </x:c>
      <x:c r="C9" s="26" t="str">
        <x:v>warrants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Accepted serials</x:v>
      </x:c>
      <x:c r="B10" s="26" t="n">
        <x:v>675</x:v>
      </x:c>
      <x:c r="C10" s="26" t="str">
        <x:v>serials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Corridor claims</x:v>
      </x:c>
      <x:c r="B11" s="26" t="n">
        <x:v>1350</x:v>
      </x:c>
      <x:c r="C11" s="26" t="str">
        <x:v>claims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Segment reservations</x:v>
      </x:c>
      <x:c r="B12" s="26" t="n">
        <x:v>9450</x:v>
      </x:c>
      <x:c r="C12" s="26" t="str">
        <x:v>segments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Activation capital</x:v>
      </x:c>
      <x:c r="B13" s="26" t="n">
        <x:v>67.5</x:v>
      </x:c>
      <x:c r="C13" s="26" t="str">
        <x:v>USD B; nested in receiver commons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Activation operations</x:v>
      </x:c>
      <x:c r="B14" s="26" t="n">
        <x:v>12.15</x:v>
      </x:c>
      <x:c r="C14" s="26" t="str">
        <x:v>USD B/y; nested in receiver operations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43" hidden="0" customWidth="1"/>
  </x:cols>
  <x:sheetData>
    <x:row r="2">
      <x:c r="A2" s="21" t="str">
        <x:v>Evidence, renewal and termination estate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All counts are designed jurisdiction; released strategic credit remains zero until independent evidence is populated.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Evidence object</x:v>
      </x:c>
      <x:c r="B6" s="25" t="str">
        <x:v>Count</x:v>
      </x:c>
      <x:c r="C6" s="25" t="str">
        <x:v>Rule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Strategic effects</x:v>
      </x:c>
      <x:c r="B7" s="26" t="n">
        <x:v>9</x:v>
      </x:c>
      <x:c r="C7" s="26" t="str">
        <x:v>non-fungible ledgers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Evidence planes</x:v>
      </x:c>
      <x:c r="B8" s="26" t="n">
        <x:v>5</x:v>
      </x:c>
      <x:c r="C8" s="26" t="str">
        <x:v>planes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District-effect accounts</x:v>
      </x:c>
      <x:c r="B9" s="26" t="n">
        <x:v>108</x:v>
      </x:c>
      <x:c r="C9" s="26" t="str">
        <x:v>accounts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Evidence records</x:v>
      </x:c>
      <x:c r="B10" s="26" t="n">
        <x:v>540</x:v>
      </x:c>
      <x:c r="C10" s="26" t="str">
        <x:v>records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Campaign ledgers</x:v>
      </x:c>
      <x:c r="B11" s="26" t="n">
        <x:v>18</x:v>
      </x:c>
      <x:c r="C11" s="26" t="str">
        <x:v>ledgers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Persistence records</x:v>
      </x:c>
      <x:c r="B12" s="26" t="n">
        <x:v>90</x:v>
      </x:c>
      <x:c r="C12" s="26" t="str">
        <x:v>records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Decision layers</x:v>
      </x:c>
      <x:c r="B13" s="26" t="n">
        <x:v>7</x:v>
      </x:c>
      <x:c r="C13" s="26" t="str">
        <x:v>lexicographic layers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Termination rules</x:v>
      </x:c>
      <x:c r="B14" s="26" t="n">
        <x:v>8</x:v>
      </x:c>
      <x:c r="C14" s="26" t="str">
        <x:v>rules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9" t="str">
        <x:v>Released strategic credit</x:v>
      </x:c>
      <x:c r="B15" s="29" t="n">
        <x:v>0</x:v>
      </x:c>
      <x:c r="C15" s="29" t="str">
        <x:v>effects</x:v>
      </x:c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3" hidden="0" customWidth="1"/>
    <x:col min="3" max="3" width="77" hidden="0" customWidth="1"/>
  </x:cols>
  <x:sheetData>
    <x:row r="2">
      <x:c r="A2" s="21" t="str">
        <x:v>Exclusive authority firewall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No institution may define the need, build the answer, issue the warrant, measure the effect and renew itself.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Authority</x:v>
      </x:c>
      <x:c r="B6" s="25" t="str">
        <x:v>May</x:v>
      </x:c>
      <x:c r="C6" s="25" t="str">
        <x:v>May not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Public-purpose circuit</x:v>
      </x:c>
      <x:c r="B7" s="30" t="str">
        <x:v>Defines service object and appropriations</x:v>
      </x:c>
      <x:c r="C7" s="30" t="str">
        <x:v>Cannot certify technology, readiness or mission effect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Productive Commonwealth</x:v>
      </x:c>
      <x:c r="B8" s="30" t="str">
        <x:v>Produces complete configurations and roots</x:v>
      </x:c>
      <x:c r="C8" s="30" t="str">
        <x:v>Cannot self-accept, allocate or claim strategic effect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Proving Service</x:v>
      </x:c>
      <x:c r="B9" s="30" t="str">
        <x:v>Accepts technical evidence and kills failed roots</x:v>
      </x:c>
      <x:c r="C9" s="30" t="str">
        <x:v>Cannot issue employment authority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Formation-generation circuit</x:v>
      </x:c>
      <x:c r="B10" s="30" t="str">
        <x:v>Constitutes crews, serials and regeneration</x:v>
      </x:c>
      <x:c r="C10" s="30" t="str">
        <x:v>Cannot claim campaigns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Allocation command</x:v>
      </x:c>
      <x:c r="B11" s="30" t="str">
        <x:v>Issues current readiness and competing claims</x:v>
      </x:c>
      <x:c r="C11" s="30" t="str">
        <x:v>Cannot create invitation or host acceptance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Domestic civil authority</x:v>
      </x:c>
      <x:c r="B12" s="30" t="str">
        <x:v>Employs guaranteed domestic formations</x:v>
      </x:c>
      <x:c r="C12" s="30" t="str">
        <x:v>Cannot recall accepted invited serials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Host authority</x:v>
      </x:c>
      <x:c r="B13" s="30" t="str">
        <x:v>Requests, accepts, stops and releases invited service</x:v>
      </x:c>
      <x:c r="C13" s="30" t="str">
        <x:v>Does not command U.S. personnel outside the warrant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Independent evidence custodians</x:v>
      </x:c>
      <x:c r="B14" s="30" t="str">
        <x:v>Measure effects, rights, sovereignty and decay</x:v>
      </x:c>
      <x:c r="C14" s="30" t="str">
        <x:v>Cannot operate the mission or manufacture success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str">
        <x:v>Security support</x:v>
      </x:c>
      <x:c r="B15" s="30" t="str">
        <x:v>Protects under a separately bounded agreement</x:v>
      </x:c>
      <x:c r="C15" s="30" t="str">
        <x:v>Cannot inherit public-service mission ownership</x:v>
      </x:c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38" hidden="0" customWidth="1"/>
    <x:col min="4" max="4" width="88" hidden="0" customWidth="1"/>
  </x:cols>
  <x:sheetData>
    <x:row r="2">
      <x:c r="A2" s="21" t="str">
        <x:v>Fourteen nonconversion laws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These are constitutional firebreaks: adjacency, spending, activity or prestige never imply the next authority state.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Law</x:v>
      </x:c>
      <x:c r="B6" s="25" t="str">
        <x:v>From</x:v>
      </x:c>
      <x:c r="C6" s="25" t="str">
        <x:v>Must not become</x:v>
      </x:c>
      <x:c r="D6" s="25" t="str">
        <x:v>Binding interpretation</x:v>
      </x:c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n">
        <x:v>1</x:v>
      </x:c>
      <x:c r="B7" s="30" t="str">
        <x:v>Spending</x:v>
      </x:c>
      <x:c r="C7" s="30" t="str">
        <x:v>Capability</x:v>
      </x:c>
      <x:c r="D7" s="30" t="str">
        <x:v>Appropriation is jurisdiction, not accepted output</x:v>
      </x:c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n">
        <x:v>2</x:v>
      </x:c>
      <x:c r="B8" s="30" t="str">
        <x:v>Industry</x:v>
      </x:c>
      <x:c r="C8" s="30" t="str">
        <x:v>Formation</x:v>
      </x:c>
      <x:c r="D8" s="30" t="str">
        <x:v>Factories and jobs do not constitute a complete formation</x:v>
      </x:c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n">
        <x:v>3</x:v>
      </x:c>
      <x:c r="B9" s="30" t="str">
        <x:v>Formation</x:v>
      </x:c>
      <x:c r="C9" s="30" t="str">
        <x:v>Campaign</x:v>
      </x:c>
      <x:c r="D9" s="30" t="str">
        <x:v>Readiness does not create employment authority</x:v>
      </x:c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n">
        <x:v>4</x:v>
      </x:c>
      <x:c r="B10" s="30" t="str">
        <x:v>Domestic urgency</x:v>
      </x:c>
      <x:c r="C10" s="30" t="str">
        <x:v>International recall</x:v>
      </x:c>
      <x:c r="D10" s="30" t="str">
        <x:v>Accepted invited serials cannot be unilaterally recalled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n">
        <x:v>5</x:v>
      </x:c>
      <x:c r="B11" s="30" t="str">
        <x:v>Invitation</x:v>
      </x:c>
      <x:c r="C11" s="30" t="str">
        <x:v>Automatic U.S. entry</x:v>
      </x:c>
      <x:c r="D11" s="30" t="str">
        <x:v>Request, acceptance and event warrant remain distinct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n">
        <x:v>6</x:v>
      </x:c>
      <x:c r="B12" s="30" t="str">
        <x:v>Treaty</x:v>
      </x:c>
      <x:c r="C12" s="30" t="str">
        <x:v>Automatic activation</x:v>
      </x:c>
      <x:c r="D12" s="30" t="str">
        <x:v>Standing compact does not issue event authority</x:v>
      </x:c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n">
        <x:v>7</x:v>
      </x:c>
      <x:c r="B13" s="30" t="str">
        <x:v>Access</x:v>
      </x:c>
      <x:c r="C13" s="30" t="str">
        <x:v>Command</x:v>
      </x:c>
      <x:c r="D13" s="30" t="str">
        <x:v>Ports, corridors and data access remain host-governed</x:v>
      </x:c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n">
        <x:v>8</x:v>
      </x:c>
      <x:c r="B14" s="30" t="str">
        <x:v>Security support</x:v>
      </x:c>
      <x:c r="C14" s="30" t="str">
        <x:v>Mission ownership</x:v>
      </x:c>
      <x:c r="D14" s="30" t="str">
        <x:v>Protection cannot inherit public-service command</x:v>
      </x:c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n">
        <x:v>9</x:v>
      </x:c>
      <x:c r="B15" s="30" t="str">
        <x:v>Bridge output</x:v>
      </x:c>
      <x:c r="C15" s="30" t="str">
        <x:v>Campaign credit</x:v>
      </x:c>
      <x:c r="D15" s="30" t="str">
        <x:v>Partial service earns no fraction of effect</x:v>
      </x:c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n">
        <x:v>10</x:v>
      </x:c>
      <x:c r="B16" s="30" t="str">
        <x:v>Partner capacity</x:v>
      </x:c>
      <x:c r="C16" s="30" t="str">
        <x:v>U.S. readiness</x:v>
      </x:c>
      <x:c r="D16" s="30" t="str">
        <x:v>Partner-owned capacity is never counted as a U.S. formation</x:v>
      </x:c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n">
        <x:v>11</x:v>
      </x:c>
      <x:c r="B17" s="30" t="str">
        <x:v>Delivery/output</x:v>
      </x:c>
      <x:c r="C17" s="30" t="str">
        <x:v>Strategic effect</x:v>
      </x:c>
      <x:c r="D17" s="30" t="str">
        <x:v>Causal, rights, sovereign and persistence evidence remain required</x:v>
      </x:c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n">
        <x:v>12</x:v>
      </x:c>
      <x:c r="B18" s="30" t="str">
        <x:v>Market revenue</x:v>
      </x:c>
      <x:c r="C18" s="30" t="str">
        <x:v>Readiness</x:v>
      </x:c>
      <x:c r="D18" s="30" t="str">
        <x:v>Commercial activity cannot net appropriations or issue warrants</x:v>
      </x:c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6" t="n">
        <x:v>13</x:v>
      </x:c>
      <x:c r="B19" s="30" t="str">
        <x:v>Historical success</x:v>
      </x:c>
      <x:c r="C19" s="30" t="str">
        <x:v>Current authority</x:v>
      </x:c>
      <x:c r="D19" s="30" t="str">
        <x:v>Evidence and readiness authority expire on their clocks</x:v>
      </x:c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6" t="n">
        <x:v>14</x:v>
      </x:c>
      <x:c r="B20" s="30" t="str">
        <x:v>Strategic prestige</x:v>
      </x:c>
      <x:c r="C20" s="30" t="str">
        <x:v>Renewal</x:v>
      </x:c>
      <x:c r="D20" s="30" t="str">
        <x:v>Failed branches terminate even when politically valuable</x:v>
      </x:c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7" hidden="0" customWidth="1"/>
    <x:col min="3" max="3" width="16" hidden="0" customWidth="1"/>
    <x:col min="4" max="4" width="105" hidden="0" customWidth="1"/>
  </x:cols>
  <x:sheetData>
    <x:row r="2">
      <x:c r="A2" s="21" t="str">
        <x:v>Strategic-power technology jurisdiction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USD 150B is a cross-classified planning jurisdiction inside the USD 1T technology program, not an additional appropriation.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Thrust</x:v>
      </x:c>
      <x:c r="B6" s="25" t="str">
        <x:v>Technology frontier</x:v>
      </x:c>
      <x:c r="C6" s="25" t="str">
        <x:v>USD B</x:v>
      </x:c>
      <x:c r="D6" s="25" t="str">
        <x:v>Mission capability</x:v>
      </x:c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 ht="42" customHeight="1">
      <x:c r="A7" s="26" t="str">
        <x:v>T1</x:v>
      </x:c>
      <x:c r="B7" s="30" t="str">
        <x:v>Self-erecting receiver infrastructure</x:v>
      </x:c>
      <x:c r="C7" s="30" t="n">
        <x:v>20</x:v>
      </x:c>
      <x:c r="D7" s="30" t="str">
        <x:v>Machine-deployed, repairable civil service nodes under damaged terrain</x:v>
      </x:c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 ht="42" customHeight="1">
      <x:c r="A8" s="26" t="str">
        <x:v>T2</x:v>
      </x:c>
      <x:c r="B8" s="30" t="str">
        <x:v>Multimodal discharge and corridors</x:v>
      </x:c>
      <x:c r="C8" s="30" t="n">
        <x:v>18</x:v>
      </x:c>
      <x:c r="D8" s="30" t="str">
        <x:v>Portless offload, shallow-water, rail, road and aerial transshipment as one service chain</x:v>
      </x:c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 ht="42" customHeight="1">
      <x:c r="A9" s="26" t="str">
        <x:v>T3</x:v>
      </x:c>
      <x:c r="B9" s="30" t="str">
        <x:v>Reversible utility transformation</x:v>
      </x:c>
      <x:c r="C9" s="30" t="n">
        <x:v>15</x:v>
      </x:c>
      <x:c r="D9" s="30" t="str">
        <x:v>Water, power, cooling and communications plants that transform without stranded bespoke assets</x:v>
      </x:c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 ht="42" customHeight="1">
      <x:c r="A10" s="26" t="str">
        <x:v>T4</x:v>
      </x:c>
      <x:c r="B10" s="30" t="str">
        <x:v>Sovereign offline control</x:v>
      </x:c>
      <x:c r="C10" s="30" t="n">
        <x:v>12</x:v>
      </x:c>
      <x:c r="D10" s="30" t="str">
        <x:v>Host operation without U.S. cloud, key, operator or network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 ht="42" customHeight="1">
      <x:c r="A11" s="26" t="str">
        <x:v>T5</x:v>
      </x:c>
      <x:c r="B11" s="30" t="str">
        <x:v>Dual-key and nonrecall custody</x:v>
      </x:c>
      <x:c r="C11" s="30" t="n">
        <x:v>10</x:v>
      </x:c>
      <x:c r="D11" s="30" t="str">
        <x:v>Cryptographic and physical control enforcing accepted serial and host stop rights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 ht="42" customHeight="1">
      <x:c r="A12" s="26" t="str">
        <x:v>T6</x:v>
      </x:c>
      <x:c r="B12" s="30" t="str">
        <x:v>Partner microfactory and metrology</x:v>
      </x:c>
      <x:c r="C12" s="30" t="n">
        <x:v>15</x:v>
      </x:c>
      <x:c r="D12" s="30" t="str">
        <x:v>Complete configurations reproduced and accepted outside U.S. roots</x:v>
      </x:c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 ht="42" customHeight="1">
      <x:c r="A13" s="26" t="str">
        <x:v>T7</x:v>
      </x:c>
      <x:c r="B13" s="30" t="str">
        <x:v>Stock rotation and material metabolism</x:v>
      </x:c>
      <x:c r="C13" s="30" t="n">
        <x:v>10</x:v>
      </x:c>
      <x:c r="D13" s="30" t="str">
        <x:v>Bridge stocks that remain current through public-service use and closed-loop recovery</x:v>
      </x:c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 ht="42" customHeight="1">
      <x:c r="A14" s="26" t="str">
        <x:v>T8</x:v>
      </x:c>
      <x:c r="B14" s="30" t="str">
        <x:v>Service-deficit observatories</x:v>
      </x:c>
      <x:c r="C14" s="30" t="n">
        <x:v>12</x:v>
      </x:c>
      <x:c r="D14" s="30" t="str">
        <x:v>Measure population service state under partition without surveillance substitution</x:v>
      </x:c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 ht="42" customHeight="1">
      <x:c r="A15" s="26" t="str">
        <x:v>T9</x:v>
      </x:c>
      <x:c r="B15" s="30" t="str">
        <x:v>Causal public-service twins</x:v>
      </x:c>
      <x:c r="C15" s="30" t="n">
        <x:v>12</x:v>
      </x:c>
      <x:c r="D15" s="30" t="str">
        <x:v>Join physical balances, comparison designs, counterfactuals and uncertainty</x:v>
      </x:c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 ht="42" customHeight="1">
      <x:c r="A16" s="26" t="str">
        <x:v>T10</x:v>
      </x:c>
      <x:c r="B16" s="30" t="str">
        <x:v>Rights and noncoercion forensics</x:v>
      </x:c>
      <x:c r="C16" s="30" t="n">
        <x:v>8</x:v>
      </x:c>
      <x:c r="D16" s="30" t="str">
        <x:v>Detect exclusion, tied relief, data repurposing, injury and scope drift</x:v>
      </x:c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 ht="42" customHeight="1">
      <x:c r="A17" s="26" t="str">
        <x:v>T11</x:v>
      </x:c>
      <x:c r="B17" s="30" t="str">
        <x:v>Exit, transfer and reproduction proof</x:v>
      </x:c>
      <x:c r="C17" s="30" t="n">
        <x:v>10</x:v>
      </x:c>
      <x:c r="D17" s="30" t="str">
        <x:v>Replay operation, repair, supply and manufacture after U.S. substitution ends</x:v>
      </x:c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 ht="42" customHeight="1">
      <x:c r="A18" s="26" t="str">
        <x:v>T12</x:v>
      </x:c>
      <x:c r="B18" s="30" t="str">
        <x:v>Public evidence and transaction replay</x:v>
      </x:c>
      <x:c r="C18" s="30" t="n">
        <x:v>8</x:v>
      </x:c>
      <x:c r="D18" s="30" t="str">
        <x:v>Preserve warrants, adverse evidence, custody and disposition across jurisdictions</x:v>
      </x:c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5" t="str">
        <x:v>Control</x:v>
      </x:c>
      <x:c r="B21" s="25" t="str">
        <x:v>Expected</x:v>
      </x:c>
      <x:c r="C21" s="25" t="str">
        <x:v>Observed</x:v>
      </x:c>
      <x:c r="D21" s="25" t="str">
        <x:v>Result</x:v>
      </x:c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6" t="str">
        <x:v>Portfolio sum</x:v>
      </x:c>
      <x:c r="B22" s="26" t="n">
        <x:v>150</x:v>
      </x:c>
      <x:c r="C22" s="26" t="n">
        <x:f>SUM(C7:C18)</x:f>
        <x:v>150</x:v>
      </x:c>
      <x:c r="D22" s="27" t="str">
        <x:f>IF(B22=C22,"PASS","FAIL")</x:f>
        <x:v>PASS</x:v>
      </x:c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24" hidden="0" customWidth="1"/>
    <x:col min="4" max="4" width="36" hidden="0" customWidth="1"/>
    <x:col min="5" max="5" width="22" hidden="0" customWidth="1"/>
    <x:col min="6" max="6" width="30" hidden="0" customWidth="1"/>
  </x:cols>
  <x:sheetData>
    <x:row r="2">
      <x:c r="A2" s="21" t="str">
        <x:v>Capital and operating jurisdiction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Nested subprograms are shown as shares of their parent accounts and must never be added to the mature screen.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Account</x:v>
      </x:c>
      <x:c r="B6" s="25" t="str">
        <x:v>Capital USD B</x:v>
      </x:c>
      <x:c r="C6" s="25" t="str">
        <x:v>Annual ops USD B</x:v>
      </x:c>
      <x:c r="D6" s="25" t="str">
        <x:v>Parent</x:v>
      </x:c>
      <x:c r="E6" s="25" t="str">
        <x:v>Capital share</x:v>
      </x:c>
      <x:c r="F6" s="25" t="str">
        <x:v>Ops share of mature total</x:v>
      </x:c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Mature force</x:v>
      </x:c>
      <x:c r="B7" s="26" t="n">
        <x:v>17400</x:v>
      </x:c>
      <x:c r="C7" s="26" t="n">
        <x:v>2110</x:v>
      </x:c>
      <x:c r="D7" s="26" t="str">
        <x:v>Department mature screen</x:v>
      </x:c>
      <x:c r="E7" s="32" t="n">
        <x:v>1</x:v>
      </x:c>
      <x:c r="F7" s="32" t="n">
        <x:v>1</x:v>
      </x:c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Formation estate</x:v>
      </x:c>
      <x:c r="B8" s="26" t="n">
        <x:v>9410.56</x:v>
      </x:c>
      <x:c r="C8" s="26"/>
      <x:c r="D8" s="26" t="str">
        <x:v>Mature force</x:v>
      </x:c>
      <x:c r="E8" s="32" t="n">
        <x:f>B8/B7</x:f>
        <x:v>0.5408367816091953</x:v>
      </x:c>
      <x:c r="F8" s="3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Common / reserve estate</x:v>
      </x:c>
      <x:c r="B9" s="26" t="n">
        <x:v>7989.44</x:v>
      </x:c>
      <x:c r="C9" s="26"/>
      <x:c r="D9" s="26" t="str">
        <x:v>Mature force</x:v>
      </x:c>
      <x:c r="E9" s="32" t="n">
        <x:f>B9/B7</x:f>
        <x:v>0.4591632183908046</x:v>
      </x:c>
      <x:c r="F9" s="3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Receiver commons</x:v>
      </x:c>
      <x:c r="B10" s="26" t="n">
        <x:v>1282.13052</x:v>
      </x:c>
      <x:c r="C10" s="26" t="n">
        <x:v>102.5</x:v>
      </x:c>
      <x:c r="D10" s="26" t="str">
        <x:v>Common / reserve estate</x:v>
      </x:c>
      <x:c r="E10" s="32" t="n">
        <x:f>B10/B9</x:f>
        <x:v>0.16047814615292186</x:v>
      </x:c>
      <x:c r="F10" s="32" t="n">
        <x:f>C10/C7</x:f>
        <x:v>0.0485781990521327</x:v>
      </x:c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Activation transaction</x:v>
      </x:c>
      <x:c r="B11" s="26" t="n">
        <x:v>67.5</x:v>
      </x:c>
      <x:c r="C11" s="26" t="n">
        <x:v>12.15</x:v>
      </x:c>
      <x:c r="D11" s="26" t="str">
        <x:v>Receiver commons</x:v>
      </x:c>
      <x:c r="E11" s="32" t="n">
        <x:f>B11/B10</x:f>
        <x:v>0.052646746136267006</x:v>
      </x:c>
      <x:c r="F11" s="32" t="n">
        <x:f>C11/C7</x:f>
        <x:v>0.0057582938388625595</x:v>
      </x:c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Measurement / renewal</x:v>
      </x:c>
      <x:c r="B12" s="26" t="n">
        <x:v>44.64</x:v>
      </x:c>
      <x:c r="C12" s="26" t="n">
        <x:v>8.928</x:v>
      </x:c>
      <x:c r="D12" s="26" t="str">
        <x:v>Activation transaction</x:v>
      </x:c>
      <x:c r="E12" s="32" t="n">
        <x:f>B12/B11</x:f>
        <x:v>0.6613333333333333</x:v>
      </x:c>
      <x:c r="F12" s="32" t="n">
        <x:f>C12/C7</x:f>
        <x:v>0.004231279620853081</x:v>
      </x:c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5" hidden="0" customWidth="1"/>
    <x:col min="4" max="4" width="23" hidden="0" customWidth="1"/>
    <x:col min="5" max="5" width="22" hidden="0" customWidth="1"/>
    <x:col min="6" max="6" width="22" hidden="0" customWidth="1"/>
    <x:col min="7" max="7" width="25" hidden="0" customWidth="1"/>
    <x:col min="8" max="8" width="26" hidden="0" customWidth="1"/>
    <x:col min="9" max="9" width="25" hidden="0" customWidth="1"/>
    <x:col min="10" max="10" width="25" hidden="0" customWidth="1"/>
    <x:col min="11" max="11" width="31" hidden="0" customWidth="1"/>
  </x:cols>
  <x:sheetData>
    <x:row r="2">
      <x:c r="A2" s="21" t="str">
        <x:v>Twenty-five-year public outlay and separate market activity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Public outlay equals formation capital, common capital, ramped operations and the USD 1T technology program. Market activity does not net appropriations.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Year</x:v>
      </x:c>
      <x:c r="B6" s="25" t="str">
        <x:v>Built share</x:v>
      </x:c>
      <x:c r="C6" s="25" t="str">
        <x:v>Formation cap USD B</x:v>
      </x:c>
      <x:c r="D6" s="25" t="str">
        <x:v>Common cap USD B</x:v>
      </x:c>
      <x:c r="E6" s="25" t="str">
        <x:v>Operations USD B</x:v>
      </x:c>
      <x:c r="F6" s="25" t="str">
        <x:v>Technology USD B</x:v>
      </x:c>
      <x:c r="G6" s="25" t="str">
        <x:v>Public outlay USD B</x:v>
      </x:c>
      <x:c r="H6" s="25" t="str">
        <x:v>Domestic market USD B</x:v>
      </x:c>
      <x:c r="I6" s="25" t="str">
        <x:v>Partner market USD B</x:v>
      </x:c>
      <x:c r="J6" s="25" t="str">
        <x:v>Market activity USD B</x:v>
      </x:c>
      <x:c r="K6" s="25" t="str">
        <x:v>Cumulative public outlay USD B</x:v>
      </x:c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n">
        <x:v>1</x:v>
      </x:c>
      <x:c r="B7" s="33" t="n">
        <x:v>0.02</x:v>
      </x:c>
      <x:c r="C7" s="34" t="n">
        <x:v>188.2112</x:v>
      </x:c>
      <x:c r="D7" s="34" t="n">
        <x:v>159.7888</x:v>
      </x:c>
      <x:c r="E7" s="34" t="n">
        <x:v>42.2</x:v>
      </x:c>
      <x:c r="F7" s="34" t="n">
        <x:v>88</x:v>
      </x:c>
      <x:c r="G7" s="34" t="n">
        <x:f>SUM(C7:F7)</x:f>
        <x:v>478.2</x:v>
      </x:c>
      <x:c r="H7" s="34" t="n">
        <x:v>0</x:v>
      </x:c>
      <x:c r="I7" s="34" t="n">
        <x:v>0</x:v>
      </x:c>
      <x:c r="J7" s="34" t="n">
        <x:f>SUM(H7:I7)</x:f>
        <x:v>0</x:v>
      </x:c>
      <x:c r="K7" s="34" t="n">
        <x:f>G7</x:f>
        <x:v>478.2</x:v>
      </x:c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n">
        <x:v>2</x:v>
      </x:c>
      <x:c r="B8" s="33" t="n">
        <x:v>0.05</x:v>
      </x:c>
      <x:c r="C8" s="34" t="n">
        <x:v>282.3168</x:v>
      </x:c>
      <x:c r="D8" s="34" t="n">
        <x:v>239.6832</x:v>
      </x:c>
      <x:c r="E8" s="34" t="n">
        <x:v>105.5</x:v>
      </x:c>
      <x:c r="F8" s="34" t="n">
        <x:v>88</x:v>
      </x:c>
      <x:c r="G8" s="34" t="n">
        <x:f>SUM(C8:F8)</x:f>
        <x:v>715.5</x:v>
      </x:c>
      <x:c r="H8" s="34" t="n">
        <x:v>0</x:v>
      </x:c>
      <x:c r="I8" s="34" t="n">
        <x:v>0</x:v>
      </x:c>
      <x:c r="J8" s="34" t="n">
        <x:f>SUM(H8:I8)</x:f>
        <x:v>0</x:v>
      </x:c>
      <x:c r="K8" s="34" t="n">
        <x:f>K7+G8</x:f>
        <x:v>1193.7</x:v>
      </x:c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n">
        <x:v>3</x:v>
      </x:c>
      <x:c r="B9" s="33" t="n">
        <x:v>0.1</x:v>
      </x:c>
      <x:c r="C9" s="34" t="n">
        <x:v>470.528</x:v>
      </x:c>
      <x:c r="D9" s="34" t="n">
        <x:v>399.472</x:v>
      </x:c>
      <x:c r="E9" s="34" t="n">
        <x:v>211</x:v>
      </x:c>
      <x:c r="F9" s="34" t="n">
        <x:v>88</x:v>
      </x:c>
      <x:c r="G9" s="34" t="n">
        <x:f>SUM(C9:F9)</x:f>
        <x:v>1169</x:v>
      </x:c>
      <x:c r="H9" s="34" t="n">
        <x:v>0</x:v>
      </x:c>
      <x:c r="I9" s="34" t="n">
        <x:v>0</x:v>
      </x:c>
      <x:c r="J9" s="34" t="n">
        <x:f>SUM(H9:I9)</x:f>
        <x:v>0</x:v>
      </x:c>
      <x:c r="K9" s="34" t="n">
        <x:f>K8+G9</x:f>
        <x:v>2362.7</x:v>
      </x:c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n">
        <x:v>4</x:v>
      </x:c>
      <x:c r="B10" s="33" t="n">
        <x:v>0.18</x:v>
      </x:c>
      <x:c r="C10" s="34" t="n">
        <x:v>752.8448</x:v>
      </x:c>
      <x:c r="D10" s="34" t="n">
        <x:v>639.1551999999999</x:v>
      </x:c>
      <x:c r="E10" s="34" t="n">
        <x:v>379.8</x:v>
      </x:c>
      <x:c r="F10" s="34" t="n">
        <x:v>88</x:v>
      </x:c>
      <x:c r="G10" s="34" t="n">
        <x:f>SUM(C10:F10)</x:f>
        <x:v>1859.8</x:v>
      </x:c>
      <x:c r="H10" s="34" t="n">
        <x:v>0</x:v>
      </x:c>
      <x:c r="I10" s="34" t="n">
        <x:v>0</x:v>
      </x:c>
      <x:c r="J10" s="34" t="n">
        <x:f>SUM(H10:I10)</x:f>
        <x:v>0</x:v>
      </x:c>
      <x:c r="K10" s="34" t="n">
        <x:f>K9+G10</x:f>
        <x:v>4222.5</x:v>
      </x:c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n">
        <x:v>5</x:v>
      </x:c>
      <x:c r="B11" s="33" t="n">
        <x:v>0.28</x:v>
      </x:c>
      <x:c r="C11" s="34" t="n">
        <x:v>941.056</x:v>
      </x:c>
      <x:c r="D11" s="34" t="n">
        <x:v>798.9440000000002</x:v>
      </x:c>
      <x:c r="E11" s="34" t="n">
        <x:v>590.8000000000001</x:v>
      </x:c>
      <x:c r="F11" s="34" t="n">
        <x:v>88</x:v>
      </x:c>
      <x:c r="G11" s="34" t="n">
        <x:f>SUM(C11:F11)</x:f>
        <x:v>2418.8</x:v>
      </x:c>
      <x:c r="H11" s="34" t="n">
        <x:v>0</x:v>
      </x:c>
      <x:c r="I11" s="34" t="n">
        <x:v>0</x:v>
      </x:c>
      <x:c r="J11" s="34" t="n">
        <x:f>SUM(H11:I11)</x:f>
        <x:v>0</x:v>
      </x:c>
      <x:c r="K11" s="34" t="n">
        <x:f>K10+G11</x:f>
        <x:v>6641.3</x:v>
      </x:c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n">
        <x:v>6</x:v>
      </x:c>
      <x:c r="B12" s="33" t="n">
        <x:v>0.4</x:v>
      </x:c>
      <x:c r="C12" s="34" t="n">
        <x:v>1129.2672</x:v>
      </x:c>
      <x:c r="D12" s="34" t="n">
        <x:v>958.7327999999999</x:v>
      </x:c>
      <x:c r="E12" s="34" t="n">
        <x:v>844</x:v>
      </x:c>
      <x:c r="F12" s="34" t="n">
        <x:v>88</x:v>
      </x:c>
      <x:c r="G12" s="34" t="n">
        <x:f>SUM(C12:F12)</x:f>
        <x:v>3020</x:v>
      </x:c>
      <x:c r="H12" s="34" t="n">
        <x:v>0</x:v>
      </x:c>
      <x:c r="I12" s="34" t="n">
        <x:v>0</x:v>
      </x:c>
      <x:c r="J12" s="34" t="n">
        <x:f>SUM(H12:I12)</x:f>
        <x:v>0</x:v>
      </x:c>
      <x:c r="K12" s="34" t="n">
        <x:f>K11+G12</x:f>
        <x:v>9661.3</x:v>
      </x:c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n">
        <x:v>7</x:v>
      </x:c>
      <x:c r="B13" s="33" t="n">
        <x:v>0.54</x:v>
      </x:c>
      <x:c r="C13" s="34" t="n">
        <x:v>1317.4784</x:v>
      </x:c>
      <x:c r="D13" s="34" t="n">
        <x:v>1118.5216</x:v>
      </x:c>
      <x:c r="E13" s="34" t="n">
        <x:v>1139.4</x:v>
      </x:c>
      <x:c r="F13" s="34" t="n">
        <x:v>88</x:v>
      </x:c>
      <x:c r="G13" s="34" t="n">
        <x:f>SUM(C13:F13)</x:f>
        <x:v>3663.4</x:v>
      </x:c>
      <x:c r="H13" s="34" t="n">
        <x:v>0</x:v>
      </x:c>
      <x:c r="I13" s="34" t="n">
        <x:v>0</x:v>
      </x:c>
      <x:c r="J13" s="34" t="n">
        <x:f>SUM(H13:I13)</x:f>
        <x:v>0</x:v>
      </x:c>
      <x:c r="K13" s="34" t="n">
        <x:f>K12+G13</x:f>
        <x:v>13324.699999999999</x:v>
      </x:c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n">
        <x:v>8</x:v>
      </x:c>
      <x:c r="B14" s="33" t="n">
        <x:v>0.7</x:v>
      </x:c>
      <x:c r="C14" s="34" t="n">
        <x:v>1505.6896</x:v>
      </x:c>
      <x:c r="D14" s="34" t="n">
        <x:v>1278.3103999999994</x:v>
      </x:c>
      <x:c r="E14" s="34" t="n">
        <x:v>1477</x:v>
      </x:c>
      <x:c r="F14" s="34" t="n">
        <x:v>88</x:v>
      </x:c>
      <x:c r="G14" s="34" t="n">
        <x:f>SUM(C14:F14)</x:f>
        <x:v>4348.999999999999</x:v>
      </x:c>
      <x:c r="H14" s="34" t="n">
        <x:v>0</x:v>
      </x:c>
      <x:c r="I14" s="34" t="n">
        <x:v>0</x:v>
      </x:c>
      <x:c r="J14" s="34" t="n">
        <x:f>SUM(H14:I14)</x:f>
        <x:v>0</x:v>
      </x:c>
      <x:c r="K14" s="34" t="n">
        <x:f>K13+G14</x:f>
        <x:v>17673.699999999997</x:v>
      </x:c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n">
        <x:v>9</x:v>
      </x:c>
      <x:c r="B15" s="33" t="n">
        <x:v>0.84</x:v>
      </x:c>
      <x:c r="C15" s="34" t="n">
        <x:v>1317.4784</x:v>
      </x:c>
      <x:c r="D15" s="34" t="n">
        <x:v>1118.5216</x:v>
      </x:c>
      <x:c r="E15" s="34" t="n">
        <x:v>1772.3999999999999</x:v>
      </x:c>
      <x:c r="F15" s="34" t="n">
        <x:v>88</x:v>
      </x:c>
      <x:c r="G15" s="34" t="n">
        <x:f>SUM(C15:F15)</x:f>
        <x:v>4296.4</x:v>
      </x:c>
      <x:c r="H15" s="34" t="n">
        <x:v>0</x:v>
      </x:c>
      <x:c r="I15" s="34" t="n">
        <x:v>0</x:v>
      </x:c>
      <x:c r="J15" s="34" t="n">
        <x:f>SUM(H15:I15)</x:f>
        <x:v>0</x:v>
      </x:c>
      <x:c r="K15" s="34" t="n">
        <x:f>K14+G15</x:f>
        <x:v>21970.1</x:v>
      </x:c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n">
        <x:v>10</x:v>
      </x:c>
      <x:c r="B16" s="33" t="n">
        <x:v>0.94</x:v>
      </x:c>
      <x:c r="C16" s="34" t="n">
        <x:v>941.056</x:v>
      </x:c>
      <x:c r="D16" s="34" t="n">
        <x:v>798.9439999999997</x:v>
      </x:c>
      <x:c r="E16" s="34" t="n">
        <x:v>1983.3999999999999</x:v>
      </x:c>
      <x:c r="F16" s="34" t="n">
        <x:v>88</x:v>
      </x:c>
      <x:c r="G16" s="34" t="n">
        <x:f>SUM(C16:F16)</x:f>
        <x:v>3811.3999999999996</x:v>
      </x:c>
      <x:c r="H16" s="34" t="n">
        <x:v>0</x:v>
      </x:c>
      <x:c r="I16" s="34" t="n">
        <x:v>0</x:v>
      </x:c>
      <x:c r="J16" s="34" t="n">
        <x:f>SUM(H16:I16)</x:f>
        <x:v>0</x:v>
      </x:c>
      <x:c r="K16" s="34" t="n">
        <x:f>K15+G16</x:f>
        <x:v>25781.5</x:v>
      </x:c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n">
        <x:v>11</x:v>
      </x:c>
      <x:c r="B17" s="33" t="n">
        <x:v>1</x:v>
      </x:c>
      <x:c r="C17" s="34" t="n">
        <x:v>564.6336</x:v>
      </x:c>
      <x:c r="D17" s="34" t="n">
        <x:v>479.3664000000004</x:v>
      </x:c>
      <x:c r="E17" s="34" t="n">
        <x:v>2110</x:v>
      </x:c>
      <x:c r="F17" s="34" t="n">
        <x:v>8</x:v>
      </x:c>
      <x:c r="G17" s="34" t="n">
        <x:f>SUM(C17:F17)</x:f>
        <x:v>3162.0000000000005</x:v>
      </x:c>
      <x:c r="H17" s="34" t="n">
        <x:v>75</x:v>
      </x:c>
      <x:c r="I17" s="34" t="n">
        <x:v>12</x:v>
      </x:c>
      <x:c r="J17" s="34" t="n">
        <x:f>SUM(H17:I17)</x:f>
        <x:v>87</x:v>
      </x:c>
      <x:c r="K17" s="34" t="n">
        <x:f>K16+G17</x:f>
        <x:v>28943.5</x:v>
      </x:c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n">
        <x:v>12</x:v>
      </x:c>
      <x:c r="B18" s="33" t="n">
        <x:v>1</x:v>
      </x:c>
      <x:c r="C18" s="34" t="n">
        <x:v>0</x:v>
      </x:c>
      <x:c r="D18" s="34" t="n">
        <x:v>0</x:v>
      </x:c>
      <x:c r="E18" s="34" t="n">
        <x:v>2110</x:v>
      </x:c>
      <x:c r="F18" s="34" t="n">
        <x:v>8</x:v>
      </x:c>
      <x:c r="G18" s="34" t="n">
        <x:f>SUM(C18:F18)</x:f>
        <x:v>2118</x:v>
      </x:c>
      <x:c r="H18" s="34" t="n">
        <x:v>75</x:v>
      </x:c>
      <x:c r="I18" s="34" t="n">
        <x:v>12</x:v>
      </x:c>
      <x:c r="J18" s="34" t="n">
        <x:f>SUM(H18:I18)</x:f>
        <x:v>87</x:v>
      </x:c>
      <x:c r="K18" s="34" t="n">
        <x:f>K17+G18</x:f>
        <x:v>31061.5</x:v>
      </x:c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6" t="n">
        <x:v>13</x:v>
      </x:c>
      <x:c r="B19" s="33" t="n">
        <x:v>1</x:v>
      </x:c>
      <x:c r="C19" s="34" t="n">
        <x:v>0</x:v>
      </x:c>
      <x:c r="D19" s="34" t="n">
        <x:v>0</x:v>
      </x:c>
      <x:c r="E19" s="34" t="n">
        <x:v>2110</x:v>
      </x:c>
      <x:c r="F19" s="34" t="n">
        <x:v>8</x:v>
      </x:c>
      <x:c r="G19" s="34" t="n">
        <x:f>SUM(C19:F19)</x:f>
        <x:v>2118</x:v>
      </x:c>
      <x:c r="H19" s="34" t="n">
        <x:v>75</x:v>
      </x:c>
      <x:c r="I19" s="34" t="n">
        <x:v>12</x:v>
      </x:c>
      <x:c r="J19" s="34" t="n">
        <x:f>SUM(H19:I19)</x:f>
        <x:v>87</x:v>
      </x:c>
      <x:c r="K19" s="34" t="n">
        <x:f>K18+G19</x:f>
        <x:v>33179.5</x:v>
      </x:c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6" t="n">
        <x:v>14</x:v>
      </x:c>
      <x:c r="B20" s="33" t="n">
        <x:v>1</x:v>
      </x:c>
      <x:c r="C20" s="34" t="n">
        <x:v>0</x:v>
      </x:c>
      <x:c r="D20" s="34" t="n">
        <x:v>0</x:v>
      </x:c>
      <x:c r="E20" s="34" t="n">
        <x:v>2110</x:v>
      </x:c>
      <x:c r="F20" s="34" t="n">
        <x:v>8</x:v>
      </x:c>
      <x:c r="G20" s="34" t="n">
        <x:f>SUM(C20:F20)</x:f>
        <x:v>2118</x:v>
      </x:c>
      <x:c r="H20" s="34" t="n">
        <x:v>75</x:v>
      </x:c>
      <x:c r="I20" s="34" t="n">
        <x:v>12</x:v>
      </x:c>
      <x:c r="J20" s="34" t="n">
        <x:f>SUM(H20:I20)</x:f>
        <x:v>87</x:v>
      </x:c>
      <x:c r="K20" s="34" t="n">
        <x:f>K19+G20</x:f>
        <x:v>35297.5</x:v>
      </x:c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6" t="n">
        <x:v>15</x:v>
      </x:c>
      <x:c r="B21" s="33" t="n">
        <x:v>1</x:v>
      </x:c>
      <x:c r="C21" s="34" t="n">
        <x:v>0</x:v>
      </x:c>
      <x:c r="D21" s="34" t="n">
        <x:v>0</x:v>
      </x:c>
      <x:c r="E21" s="34" t="n">
        <x:v>2110</x:v>
      </x:c>
      <x:c r="F21" s="34" t="n">
        <x:v>8</x:v>
      </x:c>
      <x:c r="G21" s="34" t="n">
        <x:f>SUM(C21:F21)</x:f>
        <x:v>2118</x:v>
      </x:c>
      <x:c r="H21" s="34" t="n">
        <x:v>75</x:v>
      </x:c>
      <x:c r="I21" s="34" t="n">
        <x:v>12</x:v>
      </x:c>
      <x:c r="J21" s="34" t="n">
        <x:f>SUM(H21:I21)</x:f>
        <x:v>87</x:v>
      </x:c>
      <x:c r="K21" s="34" t="n">
        <x:f>K20+G21</x:f>
        <x:v>37415.5</x:v>
      </x:c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6" t="n">
        <x:v>16</x:v>
      </x:c>
      <x:c r="B22" s="33" t="n">
        <x:v>1</x:v>
      </x:c>
      <x:c r="C22" s="34" t="n">
        <x:v>0</x:v>
      </x:c>
      <x:c r="D22" s="34" t="n">
        <x:v>0</x:v>
      </x:c>
      <x:c r="E22" s="34" t="n">
        <x:v>2110</x:v>
      </x:c>
      <x:c r="F22" s="34" t="n">
        <x:v>8</x:v>
      </x:c>
      <x:c r="G22" s="34" t="n">
        <x:f>SUM(C22:F22)</x:f>
        <x:v>2118</x:v>
      </x:c>
      <x:c r="H22" s="34" t="n">
        <x:v>75</x:v>
      </x:c>
      <x:c r="I22" s="34" t="n">
        <x:v>12</x:v>
      </x:c>
      <x:c r="J22" s="34" t="n">
        <x:f>SUM(H22:I22)</x:f>
        <x:v>87</x:v>
      </x:c>
      <x:c r="K22" s="34" t="n">
        <x:f>K21+G22</x:f>
        <x:v>39533.5</x:v>
      </x:c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6" t="n">
        <x:v>17</x:v>
      </x:c>
      <x:c r="B23" s="33" t="n">
        <x:v>1</x:v>
      </x:c>
      <x:c r="C23" s="34" t="n">
        <x:v>0</x:v>
      </x:c>
      <x:c r="D23" s="34" t="n">
        <x:v>0</x:v>
      </x:c>
      <x:c r="E23" s="34" t="n">
        <x:v>2110</x:v>
      </x:c>
      <x:c r="F23" s="34" t="n">
        <x:v>8</x:v>
      </x:c>
      <x:c r="G23" s="34" t="n">
        <x:f>SUM(C23:F23)</x:f>
        <x:v>2118</x:v>
      </x:c>
      <x:c r="H23" s="34" t="n">
        <x:v>75</x:v>
      </x:c>
      <x:c r="I23" s="34" t="n">
        <x:v>12</x:v>
      </x:c>
      <x:c r="J23" s="34" t="n">
        <x:f>SUM(H23:I23)</x:f>
        <x:v>87</x:v>
      </x:c>
      <x:c r="K23" s="34" t="n">
        <x:f>K22+G23</x:f>
        <x:v>41651.5</x:v>
      </x:c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6" t="n">
        <x:v>18</x:v>
      </x:c>
      <x:c r="B24" s="33" t="n">
        <x:v>1</x:v>
      </x:c>
      <x:c r="C24" s="34" t="n">
        <x:v>0</x:v>
      </x:c>
      <x:c r="D24" s="34" t="n">
        <x:v>0</x:v>
      </x:c>
      <x:c r="E24" s="34" t="n">
        <x:v>2110</x:v>
      </x:c>
      <x:c r="F24" s="34" t="n">
        <x:v>8</x:v>
      </x:c>
      <x:c r="G24" s="34" t="n">
        <x:f>SUM(C24:F24)</x:f>
        <x:v>2118</x:v>
      </x:c>
      <x:c r="H24" s="34" t="n">
        <x:v>75</x:v>
      </x:c>
      <x:c r="I24" s="34" t="n">
        <x:v>12</x:v>
      </x:c>
      <x:c r="J24" s="34" t="n">
        <x:f>SUM(H24:I24)</x:f>
        <x:v>87</x:v>
      </x:c>
      <x:c r="K24" s="34" t="n">
        <x:f>K23+G24</x:f>
        <x:v>43769.5</x:v>
      </x:c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6" t="n">
        <x:v>19</x:v>
      </x:c>
      <x:c r="B25" s="33" t="n">
        <x:v>1</x:v>
      </x:c>
      <x:c r="C25" s="34" t="n">
        <x:v>0</x:v>
      </x:c>
      <x:c r="D25" s="34" t="n">
        <x:v>0</x:v>
      </x:c>
      <x:c r="E25" s="34" t="n">
        <x:v>2110</x:v>
      </x:c>
      <x:c r="F25" s="34" t="n">
        <x:v>8</x:v>
      </x:c>
      <x:c r="G25" s="34" t="n">
        <x:f>SUM(C25:F25)</x:f>
        <x:v>2118</x:v>
      </x:c>
      <x:c r="H25" s="34" t="n">
        <x:v>75</x:v>
      </x:c>
      <x:c r="I25" s="34" t="n">
        <x:v>12</x:v>
      </x:c>
      <x:c r="J25" s="34" t="n">
        <x:f>SUM(H25:I25)</x:f>
        <x:v>87</x:v>
      </x:c>
      <x:c r="K25" s="34" t="n">
        <x:f>K24+G25</x:f>
        <x:v>45887.5</x:v>
      </x:c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6" t="n">
        <x:v>20</x:v>
      </x:c>
      <x:c r="B26" s="33" t="n">
        <x:v>1</x:v>
      </x:c>
      <x:c r="C26" s="34" t="n">
        <x:v>0</x:v>
      </x:c>
      <x:c r="D26" s="34" t="n">
        <x:v>0</x:v>
      </x:c>
      <x:c r="E26" s="34" t="n">
        <x:v>2110</x:v>
      </x:c>
      <x:c r="F26" s="34" t="n">
        <x:v>8</x:v>
      </x:c>
      <x:c r="G26" s="34" t="n">
        <x:f>SUM(C26:F26)</x:f>
        <x:v>2118</x:v>
      </x:c>
      <x:c r="H26" s="34" t="n">
        <x:v>75</x:v>
      </x:c>
      <x:c r="I26" s="34" t="n">
        <x:v>12</x:v>
      </x:c>
      <x:c r="J26" s="34" t="n">
        <x:f>SUM(H26:I26)</x:f>
        <x:v>87</x:v>
      </x:c>
      <x:c r="K26" s="34" t="n">
        <x:f>K25+G26</x:f>
        <x:v>48005.5</x:v>
      </x:c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6" t="n">
        <x:v>21</x:v>
      </x:c>
      <x:c r="B27" s="33" t="n">
        <x:v>1</x:v>
      </x:c>
      <x:c r="C27" s="34" t="n">
        <x:v>0</x:v>
      </x:c>
      <x:c r="D27" s="34" t="n">
        <x:v>0</x:v>
      </x:c>
      <x:c r="E27" s="34" t="n">
        <x:v>2110</x:v>
      </x:c>
      <x:c r="F27" s="34" t="n">
        <x:v>8</x:v>
      </x:c>
      <x:c r="G27" s="34" t="n">
        <x:f>SUM(C27:F27)</x:f>
        <x:v>2118</x:v>
      </x:c>
      <x:c r="H27" s="34" t="n">
        <x:v>75</x:v>
      </x:c>
      <x:c r="I27" s="34" t="n">
        <x:v>12</x:v>
      </x:c>
      <x:c r="J27" s="34" t="n">
        <x:f>SUM(H27:I27)</x:f>
        <x:v>87</x:v>
      </x:c>
      <x:c r="K27" s="34" t="n">
        <x:f>K26+G27</x:f>
        <x:v>50123.5</x:v>
      </x:c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6" t="n">
        <x:v>22</x:v>
      </x:c>
      <x:c r="B28" s="33" t="n">
        <x:v>1</x:v>
      </x:c>
      <x:c r="C28" s="34" t="n">
        <x:v>0</x:v>
      </x:c>
      <x:c r="D28" s="34" t="n">
        <x:v>0</x:v>
      </x:c>
      <x:c r="E28" s="34" t="n">
        <x:v>2110</x:v>
      </x:c>
      <x:c r="F28" s="34" t="n">
        <x:v>8</x:v>
      </x:c>
      <x:c r="G28" s="34" t="n">
        <x:f>SUM(C28:F28)</x:f>
        <x:v>2118</x:v>
      </x:c>
      <x:c r="H28" s="34" t="n">
        <x:v>75</x:v>
      </x:c>
      <x:c r="I28" s="34" t="n">
        <x:v>12</x:v>
      </x:c>
      <x:c r="J28" s="34" t="n">
        <x:f>SUM(H28:I28)</x:f>
        <x:v>87</x:v>
      </x:c>
      <x:c r="K28" s="34" t="n">
        <x:f>K27+G28</x:f>
        <x:v>52241.5</x:v>
      </x:c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6" t="n">
        <x:v>23</x:v>
      </x:c>
      <x:c r="B29" s="33" t="n">
        <x:v>1</x:v>
      </x:c>
      <x:c r="C29" s="34" t="n">
        <x:v>0</x:v>
      </x:c>
      <x:c r="D29" s="34" t="n">
        <x:v>0</x:v>
      </x:c>
      <x:c r="E29" s="34" t="n">
        <x:v>2110</x:v>
      </x:c>
      <x:c r="F29" s="34" t="n">
        <x:v>8</x:v>
      </x:c>
      <x:c r="G29" s="34" t="n">
        <x:f>SUM(C29:F29)</x:f>
        <x:v>2118</x:v>
      </x:c>
      <x:c r="H29" s="34" t="n">
        <x:v>75</x:v>
      </x:c>
      <x:c r="I29" s="34" t="n">
        <x:v>12</x:v>
      </x:c>
      <x:c r="J29" s="34" t="n">
        <x:f>SUM(H29:I29)</x:f>
        <x:v>87</x:v>
      </x:c>
      <x:c r="K29" s="34" t="n">
        <x:f>K28+G29</x:f>
        <x:v>54359.5</x:v>
      </x:c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6" t="n">
        <x:v>24</x:v>
      </x:c>
      <x:c r="B30" s="33" t="n">
        <x:v>1</x:v>
      </x:c>
      <x:c r="C30" s="34" t="n">
        <x:v>0</x:v>
      </x:c>
      <x:c r="D30" s="34" t="n">
        <x:v>0</x:v>
      </x:c>
      <x:c r="E30" s="34" t="n">
        <x:v>2110</x:v>
      </x:c>
      <x:c r="F30" s="34" t="n">
        <x:v>8</x:v>
      </x:c>
      <x:c r="G30" s="34" t="n">
        <x:f>SUM(C30:F30)</x:f>
        <x:v>2118</x:v>
      </x:c>
      <x:c r="H30" s="34" t="n">
        <x:v>75</x:v>
      </x:c>
      <x:c r="I30" s="34" t="n">
        <x:v>12</x:v>
      </x:c>
      <x:c r="J30" s="34" t="n">
        <x:f>SUM(H30:I30)</x:f>
        <x:v>87</x:v>
      </x:c>
      <x:c r="K30" s="34" t="n">
        <x:f>K29+G30</x:f>
        <x:v>56477.5</x:v>
      </x:c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6" t="n">
        <x:v>25</x:v>
      </x:c>
      <x:c r="B31" s="33" t="n">
        <x:v>1</x:v>
      </x:c>
      <x:c r="C31" s="34" t="n">
        <x:v>0</x:v>
      </x:c>
      <x:c r="D31" s="34" t="n">
        <x:v>0</x:v>
      </x:c>
      <x:c r="E31" s="34" t="n">
        <x:v>2110</x:v>
      </x:c>
      <x:c r="F31" s="34" t="n">
        <x:v>8</x:v>
      </x:c>
      <x:c r="G31" s="34" t="n">
        <x:f>SUM(C31:F31)</x:f>
        <x:v>2118</x:v>
      </x:c>
      <x:c r="H31" s="34" t="n">
        <x:v>75</x:v>
      </x:c>
      <x:c r="I31" s="34" t="n">
        <x:v>12</x:v>
      </x:c>
      <x:c r="J31" s="34" t="n">
        <x:f>SUM(H31:I31)</x:f>
        <x:v>87</x:v>
      </x:c>
      <x:c r="K31" s="34" t="n">
        <x:f>K30+G31</x:f>
        <x:v>58595.5</x:v>
      </x:c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35" t="str">
        <x:v>Total</x:v>
      </x:c>
      <x:c r="B32" s="35" t="str">
        <x:v>Built</x:v>
      </x:c>
      <x:c r="C32" s="36" t="str">
        <x:v>Formation</x:v>
      </x:c>
      <x:c r="D32" s="36" t="str">
        <x:v>Common</x:v>
      </x:c>
      <x:c r="E32" s="36" t="str">
        <x:v>Operations</x:v>
      </x:c>
      <x:c r="F32" s="36" t="str">
        <x:v>Technology</x:v>
      </x:c>
      <x:c r="G32" s="36" t="str">
        <x:v>Public outlay</x:v>
      </x:c>
      <x:c r="H32" s="36" t="str">
        <x:v>Domestic market</x:v>
      </x:c>
      <x:c r="I32" s="36" t="str">
        <x:v>Partner market</x:v>
      </x:c>
      <x:c r="J32" s="36" t="str">
        <x:v>Market activity</x:v>
      </x:c>
      <x:c r="K32" s="36" t="str">
        <x:v>Cumulative</x:v>
      </x:c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7" t="str">
        <x:v>25 years</x:v>
      </x:c>
      <x:c r="B33" s="27"/>
      <x:c r="C33" s="37" t="n">
        <x:f>SUM(C7:C31)</x:f>
        <x:v>9410.56</x:v>
      </x:c>
      <x:c r="D33" s="37" t="n">
        <x:f>SUM(D7:D31)</x:f>
        <x:v>7989.44</x:v>
      </x:c>
      <x:c r="E33" s="37" t="n">
        <x:f>SUM(E7:E31)</x:f>
        <x:v>40195.5</x:v>
      </x:c>
      <x:c r="F33" s="37" t="n">
        <x:f>SUM(F7:F31)</x:f>
        <x:v>1000</x:v>
      </x:c>
      <x:c r="G33" s="37" t="n">
        <x:f>SUM(G7:G31)</x:f>
        <x:v>58595.5</x:v>
      </x:c>
      <x:c r="H33" s="37" t="n">
        <x:f>SUM(H7:H31)</x:f>
        <x:v>1125</x:v>
      </x:c>
      <x:c r="I33" s="37" t="n">
        <x:f>SUM(I7:I31)</x:f>
        <x:v>180</x:v>
      </x:c>
      <x:c r="J33" s="37" t="n">
        <x:f>SUM(J7:J31)</x:f>
        <x:v>1305</x:v>
      </x:c>
      <x:c r="K33" s="37" t="n">
        <x:f>K31</x:f>
        <x:v>58595.5</x:v>
      </x:c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95" hidden="0" customWidth="1"/>
    <x:col min="3" max="3" width="37" hidden="0" customWidth="1"/>
  </x:cols>
  <x:sheetData>
    <x:row r="2">
      <x:c r="A2" s="21" t="str">
        <x:v>Constitutional stress cases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These are design tests, not observations; each preserves the exact authority that fails.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Case</x:v>
      </x:c>
      <x:c r="B6" s="25" t="str">
        <x:v>Required disposition</x:v>
      </x:c>
      <x:c r="C6" s="25" t="str">
        <x:v>Gate tested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30" t="str">
        <x:v>Domestic catastrophe after invited acceptance</x:v>
      </x:c>
      <x:c r="B7" s="30" t="str">
        <x:v>Honor both claims; draw reserve/buffer; no unilateral recall</x:v>
      </x:c>
      <x:c r="C7" s="30" t="str">
        <x:v>Nonrecall and portfolio sufficiency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30" t="str">
        <x:v>Host revokes consent</x:v>
      </x:c>
      <x:c r="B8" s="30" t="str">
        <x:v>Stop, safe the service, preserve remedy evidence, exit</x:v>
      </x:c>
      <x:c r="C8" s="30" t="str">
        <x:v>Host stop right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30" t="str">
        <x:v>One receiver district lost</x:v>
      </x:c>
      <x:c r="B9" s="30" t="str">
        <x:v>Route through the other network and remaining districts</x:v>
      </x:c>
      <x:c r="C9" s="30" t="str">
        <x:v>Access N-1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30" t="str">
        <x:v>One precinct lost</x:v>
      </x:c>
      <x:c r="B10" s="30" t="str">
        <x:v>Reallocate complete family through district capacity</x:v>
      </x:c>
      <x:c r="C10" s="30" t="str">
        <x:v>Precinct N-1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30" t="str">
        <x:v>Source-empty effect record</x:v>
      </x:c>
      <x:c r="B11" s="30" t="str">
        <x:v>Hold strategic effect at UNOBSERVED</x:v>
      </x:c>
      <x:c r="C11" s="30" t="str">
        <x:v>Evidence truth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30" t="str">
        <x:v>Forward cost exceeds screen</x:v>
      </x:c>
      <x:c r="B12" s="30" t="str">
        <x:v>Resize only after rights, service and sovereignty gates</x:v>
      </x:c>
      <x:c r="C12" s="30" t="str">
        <x:v>Lexicographic cost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30" t="str">
        <x:v>Partner root depends on U.S. runtime</x:v>
      </x:c>
      <x:c r="B13" s="30" t="str">
        <x:v>Kill independence claim; redesign root</x:v>
      </x:c>
      <x:c r="C13" s="30" t="str">
        <x:v>Sovereignty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30" t="str">
        <x:v>No-disaster interval</x:v>
      </x:c>
      <x:c r="B14" s="30" t="str">
        <x:v>Renew representative readiness; effect remains UNOBSERVED</x:v>
      </x:c>
      <x:c r="C14" s="30" t="str">
        <x:v>No-event law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30" t="str">
        <x:v>Military protection unavailable</x:v>
      </x:c>
      <x:c r="B15" s="30" t="str">
        <x:v>Do not activate into unbounded risk; protection cannot take command</x:v>
      </x:c>
      <x:c r="C15" s="30" t="str">
        <x:v>Security firewall</x:v>
      </x:c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30" t="str">
        <x:v>Decisive technology root fails</x:v>
      </x:c>
      <x:c r="B16" s="30" t="str">
        <x:v>Preserve adverse evidence; substitute qualified root or kill scale</x:v>
      </x:c>
      <x:c r="C16" s="30" t="str">
        <x:v>Technical termination</x:v>
      </x:c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5" hidden="0" customWidth="1"/>
    <x:col min="4" max="4" width="91" hidden="0" customWidth="1"/>
    <x:col min="5" max="5" width="91" hidden="0" customWidth="1"/>
  </x:cols>
  <x:sheetData>
    <x:row r="2">
      <x:c r="A2" s="21" t="str">
        <x:v>Five-pass strategic-power return map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SPC closes at its mandatory fifth pass and returns the constraints—not a new command—to the Department-wide architecture.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Pass</x:v>
      </x:c>
      <x:c r="B6" s="25" t="str">
        <x:v>Branch</x:v>
      </x:c>
      <x:c r="C6" s="25" t="str">
        <x:v>Verdict</x:v>
      </x:c>
      <x:c r="D6" s="25" t="str">
        <x:v>Established</x:v>
      </x:c>
      <x:c r="E6" s="25" t="str">
        <x:v>Cost to learn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n">
        <x:v>196</x:v>
      </x:c>
      <x:c r="B7" s="26" t="str">
        <x:v>SPC-1</x:v>
      </x:c>
      <x:c r="C7" s="26" t="str">
        <x:v>CLOSE</x:v>
      </x:c>
      <x:c r="D7" s="30" t="str">
        <x:v>Four strategic modes, noncoercion and nine effects</x:v>
      </x:c>
      <x:c r="E7" s="30" t="str">
        <x:v>Cost: rejected generic soft-power and presence metrics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n">
        <x:v>197</x:v>
      </x:c>
      <x:c r="B8" s="26" t="str">
        <x:v>SPC-2</x:v>
      </x:c>
      <x:c r="C8" s="26" t="str">
        <x:v>CLOSE</x:v>
      </x:c>
      <x:c r="D8" s="30" t="str">
        <x:v>Sovereign receiver commons, 12 districts and partner-owned reproduction</x:v>
      </x:c>
      <x:c r="E8" s="30" t="str">
        <x:v>Cost: USD 1.28T common-capital jurisdiction; no U.S. credit for partner capacity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n">
        <x:v>198</x:v>
      </x:c>
      <x:c r="B9" s="26" t="str">
        <x:v>SPC-3</x:v>
      </x:c>
      <x:c r="C9" s="26" t="str">
        <x:v>CLOSE</x:v>
      </x:c>
      <x:c r="D9" s="30" t="str">
        <x:v>Bilateral event transaction and 18-day bridge</x:v>
      </x:c>
      <x:c r="E9" s="30" t="str">
        <x:v>Cost: corrected 14-day bridge and added USD 1.17B nested bridge stock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n">
        <x:v>199</x:v>
      </x:c>
      <x:c r="B10" s="26" t="str">
        <x:v>SPC-4</x:v>
      </x:c>
      <x:c r="C10" s="26" t="str">
        <x:v>CLOSE</x:v>
      </x:c>
      <x:c r="D10" s="30" t="str">
        <x:v>Noncompensatory evidence, renewal clocks and termination</x:v>
      </x:c>
      <x:c r="E10" s="30" t="str">
        <x:v>Cost: strategic effect remains zero/UNOBSERVED until populated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n">
        <x:v>200</x:v>
      </x:c>
      <x:c r="B11" s="26" t="str">
        <x:v>SPC-5</x:v>
      </x:c>
      <x:c r="C11" s="27" t="str">
        <x:v>RETURN</x:v>
      </x:c>
      <x:c r="D11" s="30" t="str">
        <x:v>Seven-article compact integrates doctrine, force, sovereignty, fiscal and evidence circuits</x:v>
      </x:c>
      <x:c r="E11" s="30" t="str">
        <x:v>Cost: no single strategic-power command or scalar prestige claim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22" hidden="0" customWidth="1"/>
    <x:col min="3" max="3" width="22" hidden="0" customWidth="1"/>
    <x:col min="4" max="4" width="14" hidden="0" customWidth="1"/>
  </x:cols>
  <x:sheetData>
    <x:row r="2">
      <x:c r="A2" s="21" t="str">
        <x:v>Terminal reconciliation audit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Audit reads the model; no operating or summary cell depends on this sheet.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Audit</x:v>
      </x:c>
      <x:c r="B6" s="25" t="str">
        <x:v>Expected</x:v>
      </x:c>
      <x:c r="C6" s="25" t="str">
        <x:v>Observed</x:v>
      </x:c>
      <x:c r="D6" s="25" t="str">
        <x:v>Result</x:v>
      </x:c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Strategic modes</x:v>
      </x:c>
      <x:c r="B7" s="26" t="n">
        <x:v>4</x:v>
      </x:c>
      <x:c r="C7" s="26" t="n">
        <x:f>COUNTA('Strategic Modes'!A7:A10)</x:f>
        <x:v>4</x:v>
      </x:c>
      <x:c r="D7" s="27" t="str">
        <x:f>IF(ABS(B7-C7)&lt;0.01,"PASS","FAIL")</x:f>
        <x:v>PASS</x:v>
      </x:c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Compact articles</x:v>
      </x:c>
      <x:c r="B8" s="26" t="n">
        <x:v>7</x:v>
      </x:c>
      <x:c r="C8" s="26" t="n">
        <x:f>COUNTA('Strategic Compact'!A7:A13)</x:f>
        <x:v>7</x:v>
      </x:c>
      <x:c r="D8" s="27" t="str">
        <x:f>IF(ABS(B8-C8)&lt;0.01,"PASS","FAIL")</x:f>
        <x:v>PASS</x:v>
      </x:c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Owned formations</x:v>
      </x:c>
      <x:c r="B9" s="26" t="n">
        <x:v>5251</x:v>
      </x:c>
      <x:c r="C9" s="26" t="n">
        <x:f>Controls!B7</x:f>
        <x:v>5251</x:v>
      </x:c>
      <x:c r="D9" s="27" t="str">
        <x:f>IF(ABS(B9-C9)&lt;0.01,"PASS","FAIL")</x:f>
        <x:v>PASS</x:v>
      </x:c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Ready formations</x:v>
      </x:c>
      <x:c r="B10" s="26" t="n">
        <x:v>3667</x:v>
      </x:c>
      <x:c r="C10" s="26" t="n">
        <x:f>Controls!B8</x:f>
        <x:v>3667</x:v>
      </x:c>
      <x:c r="D10" s="27" t="str">
        <x:f>IF(ABS(B10-C10)&lt;0.01,"PASS","FAIL")</x:f>
        <x:v>PASS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Committed formations</x:v>
      </x:c>
      <x:c r="B11" s="26" t="n">
        <x:v>2420</x:v>
      </x:c>
      <x:c r="C11" s="26" t="n">
        <x:f>Controls!B9</x:f>
        <x:v>2420</x:v>
      </x:c>
      <x:c r="D11" s="27" t="str">
        <x:f>IF(ABS(B11-C11)&lt;0.01,"PASS","FAIL")</x:f>
        <x:v>PASS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str">
        <x:v>Ready plus regeneration</x:v>
      </x:c>
      <x:c r="B12" s="26" t="n">
        <x:v>5251</x:v>
      </x:c>
      <x:c r="C12" s="26" t="n">
        <x:f>Controls!B8+Controls!B10</x:f>
        <x:v>5251</x:v>
      </x:c>
      <x:c r="D12" s="27" t="str">
        <x:f>IF(ABS(B12-C12)&lt;0.01,"PASS","FAIL")</x:f>
        <x:v>PASS</x:v>
      </x:c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6" t="str">
        <x:v>Domestic plus invited</x:v>
      </x:c>
      <x:c r="B13" s="26" t="n">
        <x:v>2420</x:v>
      </x:c>
      <x:c r="C13" s="26" t="n">
        <x:f>Controls!B11+Controls!B12</x:f>
        <x:v>2420</x:v>
      </x:c>
      <x:c r="D13" s="27" t="str">
        <x:f>IF(ABS(B13-C13)&lt;0.01,"PASS","FAIL")</x:f>
        <x:v>PASS</x:v>
      </x:c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6" t="str">
        <x:v>Formation capital USD B</x:v>
      </x:c>
      <x:c r="B14" s="26" t="n">
        <x:v>9410.56</x:v>
      </x:c>
      <x:c r="C14" s="26" t="n">
        <x:f>'25-Year Economy'!C33</x:f>
        <x:v>9410.56</x:v>
      </x:c>
      <x:c r="D14" s="27" t="str">
        <x:f>IF(ABS(B14-C14)&lt;0.01,"PASS","FAIL")</x:f>
        <x:v>PASS</x:v>
      </x:c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6" t="str">
        <x:v>Mature capital USD B</x:v>
      </x:c>
      <x:c r="B15" s="26" t="n">
        <x:v>17400</x:v>
      </x:c>
      <x:c r="C15" s="26" t="n">
        <x:f>'25-Year Economy'!C33+'25-Year Economy'!D33</x:f>
        <x:v>17400</x:v>
      </x:c>
      <x:c r="D15" s="27" t="str">
        <x:f>IF(ABS(B15-C15)&lt;0.01,"PASS","FAIL")</x:f>
        <x:v>PASS</x:v>
      </x:c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6" t="str">
        <x:v>Technology USD B</x:v>
      </x:c>
      <x:c r="B16" s="26" t="n">
        <x:v>1000</x:v>
      </x:c>
      <x:c r="C16" s="26" t="n">
        <x:f>'25-Year Economy'!F33</x:f>
        <x:v>1000</x:v>
      </x:c>
      <x:c r="D16" s="27" t="str">
        <x:f>IF(ABS(B16-C16)&lt;0.01,"PASS","FAIL")</x:f>
        <x:v>PASS</x:v>
      </x:c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6" t="str">
        <x:v>Strategic technology USD B</x:v>
      </x:c>
      <x:c r="B17" s="26" t="n">
        <x:v>150</x:v>
      </x:c>
      <x:c r="C17" s="26" t="n">
        <x:f>SUM('Technology Portfolio'!C7:C18)</x:f>
        <x:v>150</x:v>
      </x:c>
      <x:c r="D17" s="27" t="str">
        <x:f>IF(ABS(B17-C17)&lt;0.01,"PASS","FAIL")</x:f>
        <x:v>PASS</x:v>
      </x:c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6" t="str">
        <x:v>Receiver within common</x:v>
      </x:c>
      <x:c r="B18" s="26" t="n">
        <x:v>1</x:v>
      </x:c>
      <x:c r="C18" s="26" t="n">
        <x:f>IF('Fiscal Nesting'!B10&lt;='Fiscal Nesting'!B9,1,0)</x:f>
        <x:v>1</x:v>
      </x:c>
      <x:c r="D18" s="27" t="str">
        <x:f>IF(ABS(B18-C18)&lt;0.01,"PASS","FAIL")</x:f>
        <x:v>PASS</x:v>
      </x:c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6" t="str">
        <x:v>Activation within receiver</x:v>
      </x:c>
      <x:c r="B19" s="26" t="n">
        <x:v>1</x:v>
      </x:c>
      <x:c r="C19" s="26" t="n">
        <x:f>IF('Fiscal Nesting'!B11&lt;='Fiscal Nesting'!B10,1,0)</x:f>
        <x:v>1</x:v>
      </x:c>
      <x:c r="D19" s="27" t="str">
        <x:f>IF(ABS(B19-C19)&lt;0.01,"PASS","FAIL")</x:f>
        <x:v>PASS</x:v>
      </x:c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6" t="str">
        <x:v>Measurement within activation</x:v>
      </x:c>
      <x:c r="B20" s="26" t="n">
        <x:v>1</x:v>
      </x:c>
      <x:c r="C20" s="26" t="n">
        <x:f>IF('Fiscal Nesting'!B12&lt;='Fiscal Nesting'!B11,1,0)</x:f>
        <x:v>1</x:v>
      </x:c>
      <x:c r="D20" s="27" t="str">
        <x:f>IF(ABS(B20-C20)&lt;0.01,"PASS","FAIL")</x:f>
        <x:v>PASS</x:v>
      </x:c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6" t="str">
        <x:v>Strategic passes</x:v>
      </x:c>
      <x:c r="B21" s="26" t="n">
        <x:v>5</x:v>
      </x:c>
      <x:c r="C21" s="26" t="n">
        <x:f>COUNTA('Return Map'!A7:A11)</x:f>
        <x:v>5</x:v>
      </x:c>
      <x:c r="D21" s="27" t="str">
        <x:f>IF(ABS(B21-C21)&lt;0.01,"PASS","FAIL")</x:f>
        <x:v>PASS</x:v>
      </x:c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6" t="str">
        <x:v>Nonconversion laws</x:v>
      </x:c>
      <x:c r="B22" s="26" t="n">
        <x:v>14</x:v>
      </x:c>
      <x:c r="C22" s="26" t="n">
        <x:f>COUNTA('Nonconversion Laws'!A7:A20)</x:f>
        <x:v>14</x:v>
      </x:c>
      <x:c r="D22" s="27" t="str">
        <x:f>IF(ABS(B22-C22)&lt;0.01,"PASS","FAIL")</x:f>
        <x:v>PASS</x:v>
      </x:c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6" t="str">
        <x:v>Released authority</x:v>
      </x:c>
      <x:c r="B23" s="26" t="n">
        <x:v>0</x:v>
      </x:c>
      <x:c r="C23" s="26" t="n">
        <x:f>Controls!B25</x:f>
        <x:v>0</x:v>
      </x:c>
      <x:c r="D23" s="27" t="str">
        <x:f>IF(ABS(B23-C23)&lt;0.01,"PASS","FAIL")</x:f>
        <x:v>PASS</x:v>
      </x:c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6" t="str">
        <x:v>Released strategic credit</x:v>
      </x:c>
      <x:c r="B24" s="26" t="n">
        <x:v>0</x:v>
      </x:c>
      <x:c r="C24" s="26" t="n">
        <x:f>Controls!B26</x:f>
        <x:v>0</x:v>
      </x:c>
      <x:c r="D24" s="27" t="str">
        <x:f>IF(ABS(B24-C24)&lt;0.01,"PASS","FAIL")</x:f>
        <x:v>PASS</x:v>
      </x:c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2" hidden="0" customWidth="1"/>
    <x:col min="3" max="3" width="51" hidden="0" customWidth="1"/>
    <x:col min="4" max="4" width="15" hidden="0" customWidth="1"/>
    <x:col min="5" max="5" width="15" hidden="0" customWidth="1"/>
  </x:cols>
  <x:sheetData>
    <x:row r="2">
      <x:c r="A2" s="21" t="str">
        <x:v>Restored mutation tests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Each prohibited mutation is expected to fail and is then restored before export.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Test</x:v>
      </x:c>
      <x:c r="B6" s="25" t="str">
        <x:v>Mutation</x:v>
      </x:c>
      <x:c r="C6" s="25" t="str">
        <x:v>Expected failure</x:v>
      </x:c>
      <x:c r="D6" s="25" t="str">
        <x:v>Mutated</x:v>
      </x:c>
      <x:c r="E6" s="25" t="str">
        <x:v>Restored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str">
        <x:v>M1</x:v>
      </x:c>
      <x:c r="B7" s="26" t="str">
        <x:v>Add receiver, activation and measurement capital to the mature screen</x:v>
      </x:c>
      <x:c r="C7" s="26" t="str">
        <x:v>Nested fiscal double count</x:v>
      </x:c>
      <x:c r="D7" s="26" t="str">
        <x:v>FAIL</x:v>
      </x:c>
      <x:c r="E7" s="26" t="str">
        <x:v>PASS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str">
        <x:v>M2</x:v>
      </x:c>
      <x:c r="B8" s="26" t="str">
        <x:v>Recall one accepted invited serial for domestic urgency</x:v>
      </x:c>
      <x:c r="C8" s="26" t="str">
        <x:v>Bilateral nonrecall breach</x:v>
      </x:c>
      <x:c r="D8" s="26" t="str">
        <x:v>FAIL</x:v>
      </x:c>
      <x:c r="E8" s="26" t="str">
        <x:v>PASS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str">
        <x:v>M3</x:v>
      </x:c>
      <x:c r="B9" s="26" t="str">
        <x:v>Collapse nine effects into one weighted score</x:v>
      </x:c>
      <x:c r="C9" s="26" t="str">
        <x:v>Fatal-gate compensation</x:v>
      </x:c>
      <x:c r="D9" s="26" t="str">
        <x:v>FAIL</x:v>
      </x:c>
      <x:c r="E9" s="26" t="str">
        <x:v>PASS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str">
        <x:v>M4</x:v>
      </x:c>
      <x:c r="B10" s="26" t="str">
        <x:v>Count partner-owned capacity as U.S. readiness</x:v>
      </x:c>
      <x:c r="C10" s="26" t="str">
        <x:v>Sovereignty and readiness inflation</x:v>
      </x:c>
      <x:c r="D10" s="26" t="str">
        <x:v>FAIL</x:v>
      </x:c>
      <x:c r="E10" s="26" t="str">
        <x:v>PASS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str">
        <x:v>M5</x:v>
      </x:c>
      <x:c r="B11" s="26" t="str">
        <x:v>Renew a failed branch for strategic prestige</x:v>
      </x:c>
      <x:c r="C11" s="26" t="str">
        <x:v>Termination-law breach</x:v>
      </x:c>
      <x:c r="D11" s="26" t="str">
        <x:v>FAIL</x:v>
      </x:c>
      <x:c r="E11" s="26" t="str">
        <x:v>PASS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5" hidden="0" customWidth="1"/>
    <x:col min="3" max="3" width="101" hidden="0" customWidth="1"/>
  </x:cols>
  <x:sheetData>
    <x:row r="2">
      <x:c r="A2" s="21" t="str">
        <x:v>Internal source lineage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No external sites, datasets or implementation identities are introduced.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Pass</x:v>
      </x:c>
      <x:c r="B6" s="25" t="str">
        <x:v>Artifact</x:v>
      </x:c>
      <x:c r="C6" s="25" t="str">
        <x:v>Integrated claim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6" t="n">
        <x:v>195</x:v>
      </x:c>
      <x:c r="B7" s="30" t="str">
        <x:v>Force-generation compact and return</x:v>
      </x:c>
      <x:c r="C7" s="30" t="str">
        <x:v>Five constitutional circuits, force portfolio, capital screen and 25-year ramp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6" t="n">
        <x:v>196</x:v>
      </x:c>
      <x:c r="B8" s="30" t="str">
        <x:v>Constructive-power strategic-employment constitution</x:v>
      </x:c>
      <x:c r="C8" s="30" t="str">
        <x:v>Four modes, domestic/invited split, prohibited uses and strategic effects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6" t="n">
        <x:v>197</x:v>
      </x:c>
      <x:c r="B9" s="30" t="str">
        <x:v>Sovereign receiver commons</x:v>
      </x:c>
      <x:c r="C9" s="30" t="str">
        <x:v>Two networks, twelve districts, family slots, partner roots and N-1 receiver topology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6" t="n">
        <x:v>198</x:v>
      </x:c>
      <x:c r="B10" s="30" t="str">
        <x:v>Bilateral activation transaction</x:v>
      </x:c>
      <x:c r="C10" s="30" t="str">
        <x:v>Twelve authorities, event warrants, accepted serials, corridor claims and 18-day bridge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6" t="n">
        <x:v>199</x:v>
      </x:c>
      <x:c r="B11" s="30" t="str">
        <x:v>Measurement, renewal and termination constitution</x:v>
      </x:c>
      <x:c r="C11" s="30" t="str">
        <x:v>Nine effects, five evidence planes, lexicographic disposition and evidence decay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6" t="n">
        <x:v>200</x:v>
      </x:c>
      <x:c r="B12" s="30" t="str">
        <x:v>Strategic Power Compact</x:v>
      </x:c>
      <x:c r="C12" s="30" t="str">
        <x:v>Integration and mandatory return to Department-wide constitutional synthesis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2" hidden="0" customWidth="1"/>
  </x:cols>
  <x:sheetData>
    <x:row r="2">
      <x:c r="A2" s="21" t="str">
        <x:v>Model use and limits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This workbook integrates the strategic-power branch; it does not authorize platforms, sites, missions or released strategic claims.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5" t="str">
        <x:v>Topic</x:v>
      </x:c>
      <x:c r="B6" s="25" t="str">
        <x:v>Guidance</x:v>
      </x:c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 ht="48" customHeight="1">
      <x:c r="A7" s="26" t="str">
        <x:v>Decision</x:v>
      </x:c>
      <x:c r="B7" s="30" t="str">
        <x:v>Select the seven-article constitutional constructive-power compact and reject both humanitarian subordination and a unified super-command.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 ht="48" customHeight="1">
      <x:c r="A8" s="26" t="str">
        <x:v>Fiscal reading</x:v>
      </x:c>
      <x:c r="B8" s="30" t="str">
        <x:v>USD 17.4T capital, USD 40.2T ramped operations and USD 1T technology compose about USD 58.6T public outlay over 25 years. Nested receiver, activation and evidence accounts are not added again.</x:v>
      </x:c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 ht="48" customHeight="1">
      <x:c r="A9" s="26" t="str">
        <x:v>Market reading</x:v>
      </x:c>
      <x:c r="B9" s="30" t="str">
        <x:v>USD 75B/year domestic and USD 12B/year reference-partner activity begin in year 11 and remain separate from appropriations and readiness.</x:v>
      </x:c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 ht="48" customHeight="1">
      <x:c r="A10" s="26" t="str">
        <x:v>Technology</x:v>
      </x:c>
      <x:c r="B10" s="30" t="str">
        <x:v>The USD 150B strategic portfolio is a cross-classified jurisdiction inside the USD 1T technology program; it funds capabilities, not predicted success.</x:v>
      </x:c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 ht="48" customHeight="1">
      <x:c r="A11" s="26" t="str">
        <x:v>Authority</x:v>
      </x:c>
      <x:c r="B11" s="30" t="str">
        <x:v>Nine exclusive authorities and fourteen nonconversion laws prevent spending, output, access, partner capacity or prestige from becoming readiness or effect.</x:v>
      </x:c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 ht="48" customHeight="1">
      <x:c r="A12" s="26" t="str">
        <x:v>Evidence</x:v>
      </x:c>
      <x:c r="B12" s="30" t="str">
        <x:v>All implementation identities are source-empty; released authority and strategic-effect credit are zero.</x:v>
      </x:c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 ht="48" customHeight="1">
      <x:c r="A13" s="26" t="str">
        <x:v>No renderings</x:v>
      </x:c>
      <x:c r="B13" s="30" t="str">
        <x:v>No platform exterior, installation or rendering is authorized by this integration pass.</x:v>
      </x:c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 ht="48" customHeight="1">
      <x:c r="A14" s="26" t="str">
        <x:v>Return</x:v>
      </x:c>
      <x:c r="B14" s="30" t="str">
        <x:v>SPC-5 is the fifth pass. It returns to the Department-wide constitutional synthesis rather than opening another strategic-power sub-branch.</x:v>
      </x:c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</x:sheetData>
  <x:pageMargins left="0.7" right="0.7" top="0.75" bottom="0.75" header="0.3" footer="0.3"/>
</x:worksheet>
</file>