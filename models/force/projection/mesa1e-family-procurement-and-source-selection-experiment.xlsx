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9e703da39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1d3d2996e3468c"/>
    <x:sheet xmlns:r="http://schemas.openxmlformats.org/officeDocument/2006/relationships" name="Assumptions" sheetId="2" r:id="Rc820ce0f508f4d5e"/>
    <x:sheet xmlns:r="http://schemas.openxmlformats.org/officeDocument/2006/relationships" name="Family Packages" sheetId="3" r:id="R115d661f76c34631"/>
    <x:sheet xmlns:r="http://schemas.openxmlformats.org/officeDocument/2006/relationships" name="Requirement Register" sheetId="4" r:id="R45e6cadb2f084c01"/>
    <x:sheet xmlns:r="http://schemas.openxmlformats.org/officeDocument/2006/relationships" name="Bid Register" sheetId="5" r:id="R8f099aeead9b4695"/>
    <x:sheet xmlns:r="http://schemas.openxmlformats.org/officeDocument/2006/relationships" name="Paper Gates" sheetId="6" r:id="Rc88ad97d9f724833"/>
    <x:sheet xmlns:r="http://schemas.openxmlformats.org/officeDocument/2006/relationships" name="Merit Review" sheetId="7" r:id="R657b1c368f624772"/>
    <x:sheet xmlns:r="http://schemas.openxmlformats.org/officeDocument/2006/relationships" name="Award Portfolio" sheetId="8" r:id="R5f4d8e2d902c4213"/>
    <x:sheet xmlns:r="http://schemas.openxmlformats.org/officeDocument/2006/relationships" name="Root Independence" sheetId="9" r:id="R5a2611fdb84e4a34"/>
    <x:sheet xmlns:r="http://schemas.openxmlformats.org/officeDocument/2006/relationships" name="Rights Register" sheetId="10" r:id="R6ca6312d3d9a4b8d"/>
    <x:sheet xmlns:r="http://schemas.openxmlformats.org/officeDocument/2006/relationships" name="Article Lots" sheetId="11" r:id="R13ed16688a3949aa"/>
    <x:sheet xmlns:r="http://schemas.openxmlformats.org/officeDocument/2006/relationships" name="GFE Standards" sheetId="12" r:id="R071be4de86594c3c"/>
    <x:sheet xmlns:r="http://schemas.openxmlformats.org/officeDocument/2006/relationships" name="Long Leads" sheetId="13" r:id="R16814df8c3714f5c"/>
    <x:sheet xmlns:r="http://schemas.openxmlformats.org/officeDocument/2006/relationships" name="Milestones" sheetId="14" r:id="R21f839e9147341aa"/>
    <x:sheet xmlns:r="http://schemas.openxmlformats.org/officeDocument/2006/relationships" name="Facility Reserve" sheetId="15" r:id="Rcaffdc91dfd24f36"/>
    <x:sheet xmlns:r="http://schemas.openxmlformats.org/officeDocument/2006/relationships" name="Cost Phasing" sheetId="16" r:id="R0c13d53b53f14b06"/>
    <x:sheet xmlns:r="http://schemas.openxmlformats.org/officeDocument/2006/relationships" name="Decision Gates" sheetId="17" r:id="R8cb3a08b12b24419"/>
    <x:sheet xmlns:r="http://schemas.openxmlformats.org/officeDocument/2006/relationships" name="Audit" sheetId="18" r:id="R1776320acde74a2c"/>
    <x:sheet xmlns:r="http://schemas.openxmlformats.org/officeDocument/2006/relationships" name="ReadMe" sheetId="19" r:id="R4c63ce9f3e8b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%"/>
  </x:numFmts>
  <x:fonts count="6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90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f7ae024d447c9" /><Relationship Type="http://schemas.openxmlformats.org/officeDocument/2006/relationships/theme" Target="/xl/theme/theme1.xml" Id="R4e2e8a9f9d604606" /><Relationship Type="http://schemas.openxmlformats.org/officeDocument/2006/relationships/sharedStrings" Target="/xl/sharedStrings.xml" Id="Rde46de7bca6c4c86" /><Relationship Type="http://schemas.openxmlformats.org/officeDocument/2006/relationships/worksheet" Target="/xl/worksheets/sheet1.xml" Id="R861d3d2996e3468c" /><Relationship Type="http://schemas.openxmlformats.org/officeDocument/2006/relationships/worksheet" Target="/xl/worksheets/sheet2.xml" Id="Rc820ce0f508f4d5e" /><Relationship Type="http://schemas.openxmlformats.org/officeDocument/2006/relationships/worksheet" Target="/xl/worksheets/sheet3.xml" Id="R115d661f76c34631" /><Relationship Type="http://schemas.openxmlformats.org/officeDocument/2006/relationships/worksheet" Target="/xl/worksheets/sheet4.xml" Id="R45e6cadb2f084c01" /><Relationship Type="http://schemas.openxmlformats.org/officeDocument/2006/relationships/worksheet" Target="/xl/worksheets/sheet5.xml" Id="R8f099aeead9b4695" /><Relationship Type="http://schemas.openxmlformats.org/officeDocument/2006/relationships/worksheet" Target="/xl/worksheets/sheet6.xml" Id="Rc88ad97d9f724833" /><Relationship Type="http://schemas.openxmlformats.org/officeDocument/2006/relationships/worksheet" Target="/xl/worksheets/sheet7.xml" Id="R657b1c368f624772" /><Relationship Type="http://schemas.openxmlformats.org/officeDocument/2006/relationships/worksheet" Target="/xl/worksheets/sheet8.xml" Id="R5f4d8e2d902c4213" /><Relationship Type="http://schemas.openxmlformats.org/officeDocument/2006/relationships/worksheet" Target="/xl/worksheets/sheet9.xml" Id="R5a2611fdb84e4a34" /><Relationship Type="http://schemas.openxmlformats.org/officeDocument/2006/relationships/worksheet" Target="/xl/worksheets/sheet10.xml" Id="R6ca6312d3d9a4b8d" /><Relationship Type="http://schemas.openxmlformats.org/officeDocument/2006/relationships/worksheet" Target="/xl/worksheets/sheet11.xml" Id="R13ed16688a3949aa" /><Relationship Type="http://schemas.openxmlformats.org/officeDocument/2006/relationships/worksheet" Target="/xl/worksheets/sheet12.xml" Id="R071be4de86594c3c" /><Relationship Type="http://schemas.openxmlformats.org/officeDocument/2006/relationships/worksheet" Target="/xl/worksheets/sheet13.xml" Id="R16814df8c3714f5c" /><Relationship Type="http://schemas.openxmlformats.org/officeDocument/2006/relationships/worksheet" Target="/xl/worksheets/sheet14.xml" Id="R21f839e9147341aa" /><Relationship Type="http://schemas.openxmlformats.org/officeDocument/2006/relationships/worksheet" Target="/xl/worksheets/sheet15.xml" Id="Rcaffdc91dfd24f36" /><Relationship Type="http://schemas.openxmlformats.org/officeDocument/2006/relationships/worksheet" Target="/xl/worksheets/sheet16.xml" Id="R0c13d53b53f14b06" /><Relationship Type="http://schemas.openxmlformats.org/officeDocument/2006/relationships/worksheet" Target="/xl/worksheets/sheet17.xml" Id="R8cb3a08b12b24419" /><Relationship Type="http://schemas.openxmlformats.org/officeDocument/2006/relationships/worksheet" Target="/xl/worksheets/sheet18.xml" Id="R1776320acde74a2c" /><Relationship Type="http://schemas.openxmlformats.org/officeDocument/2006/relationships/worksheet" Target="/xl/worksheets/sheet19.xml" Id="R4c63ce9f3e8b46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00" hidden="0" customWidth="1"/>
    <x:col min="4" max="4" width="21" hidden="0" customWidth="1"/>
    <x:col min="5" max="5" width="18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>
      <x:c r="B2" s="3" t="str">
        <x:v>MESA-1E family procurement and source-selection experiment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The portfolio buys rival paths to decisive evidence: 22 provisional build roots plus 11 protected challenge roots across eleven prototype families.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8" t="str">
        <x:v>Current answer</x:v>
      </x:c>
      <x:c r="C6" s="29" t="str">
        <x:v>Current answer</x:v>
      </x:c>
      <x:c r="D6" s="29" t="str">
        <x:v>Current answer</x:v>
      </x:c>
      <x:c r="E6" s="29" t="str">
        <x:v>Current answer</x:v>
      </x:c>
      <x:c r="F6" s="29" t="str">
        <x:v>Current answer</x:v>
      </x:c>
      <x:c r="G6" s="29" t="str">
        <x:v>Current answer</x:v>
      </x:c>
      <x:c r="H6" s="29" t="str">
        <x:v>Current answer</x:v>
      </x:c>
      <x:c r="I6" s="29" t="str">
        <x:v>Current answer</x:v>
      </x:c>
      <x:c r="J6" s="29" t="str">
        <x:v>Current answer</x:v>
      </x:c>
      <x:c r="K6" s="29" t="str">
        <x:v>Current answer</x:v>
      </x:c>
      <x:c r="L6" s="29" t="str">
        <x:v>Current answer</x:v>
      </x:c>
      <x:c r="M6" s="29" t="str">
        <x:v>Current answer</x:v>
      </x:c>
      <x:c r="N6" s="29" t="str">
        <x:v>Current answer</x:v>
      </x:c>
      <x:c r="O6" s="29" t="str">
        <x:v>Current answer</x:v>
      </x:c>
      <x:c r="P6" s="30" t="str">
        <x:v>Current answer</x:v>
      </x:c>
    </x:row>
    <x:row r="7">
      <x:c r="B7" s="14" t="str">
        <x:v>Decision</x:v>
      </x:c>
      <x:c r="C7" s="15" t="str">
        <x:v>Design response</x:v>
      </x:c>
      <x:c r="D7" s="15" t="str">
        <x:v>Scale</x:v>
      </x:c>
      <x:c r="E7" s="15" t="str">
        <x:v>State</x:v>
      </x:c>
      <x:c r="F7" s="16" t="str">
        <x:v>Next authority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B8" s="2" t="str">
        <x:v>Competition unit</x:v>
      </x:c>
      <x:c r="C8" s="2" t="str">
        <x:v>falsifiable learning path below the prime</x:v>
      </x:c>
      <x:c r="D8" s="2" t="str">
        <x:v>33 proposals</x:v>
      </x:c>
      <x:c r="E8" s="2" t="str">
        <x:v>PLANNING</x:v>
      </x:c>
      <x:c r="F8" s="2" t="str">
        <x:v>source board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B9" s="2" t="str">
        <x:v>Build portfolio</x:v>
      </x:c>
      <x:c r="C9" s="2" t="str">
        <x:v>two unlike technical roots per family</x:v>
      </x:c>
      <x:c r="D9" s="2" t="str">
        <x:v>22 build paths</x:v>
      </x:c>
      <x:c r="E9" s="2" t="str">
        <x:v>HOLD</x:v>
      </x:c>
      <x:c r="F9" s="2" t="str">
        <x:v>all hard gates plus conflict closure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B10" s="2" t="str">
        <x:v>Innovation portfolio</x:v>
      </x:c>
      <x:c r="C10" s="2" t="str">
        <x:v>one radical root may attack one declared blocker</x:v>
      </x:c>
      <x:c r="D10" s="2" t="str">
        <x:v>11 challenge paths</x:v>
      </x:c>
      <x:c r="E10" s="2" t="str">
        <x:v>CHALLENGE ONLY</x:v>
      </x:c>
      <x:c r="F10" s="2" t="str">
        <x:v>registered blocking experiment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B11" s="2" t="str">
        <x:v>Boundary</x:v>
      </x:c>
      <x:c r="C11" s="2" t="str">
        <x:v>twelve hard gates precede six-dimensional merit review</x:v>
      </x:c>
      <x:c r="D11" s="2" t="str">
        <x:v>396 gate records</x:v>
      </x:c>
      <x:c r="E11" s="2" t="str">
        <x:v>PAPER ONLY</x:v>
      </x:c>
      <x:c r="F11" s="2" t="str">
        <x:v>accepted paper record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B12" s="2" t="str">
        <x:v>Industrial structure</x:v>
      </x:c>
      <x:c r="C12" s="2" t="str">
        <x:v>six integrator archetypes with four-build cap</x:v>
      </x:c>
      <x:c r="D12" s="2" t="str">
        <x:v>maximum 4 paths</x:v>
      </x:c>
      <x:c r="E12" s="2" t="str">
        <x:v>PASS</x:v>
      </x:c>
      <x:c r="F12" s="2" t="str">
        <x:v>concentration review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B13" s="2" t="str">
        <x:v>Public infrastructure</x:v>
      </x:c>
      <x:c r="C13" s="2" t="str">
        <x:v>standards facilities custody and reproduction remain public</x:v>
      </x:c>
      <x:c r="D13" s="2" t="str">
        <x:v>USD 3.38B outside family contracts</x:v>
      </x:c>
      <x:c r="E13" s="2" t="str">
        <x:v>OPEN</x:v>
      </x:c>
      <x:c r="F13" s="2" t="str">
        <x:v>qualified artifacts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B14" s="2" t="str">
        <x:v>Financial envelope</x:v>
      </x:c>
      <x:c r="C14" s="2" t="str">
        <x:v>source strategy remains inside inherited ceiling</x:v>
      </x:c>
      <x:c r="D14" s="2" t="str">
        <x:v>USD 6.8B / 9 years</x:v>
      </x:c>
      <x:c r="E14" s="2" t="str">
        <x:v>PASS</x:v>
      </x:c>
      <x:c r="F14" s="2" t="str">
        <x:v>appropriation and price evidence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B15" s="2" t="str">
        <x:v>Form authority</x:v>
      </x:c>
      <x:c r="C15" s="2" t="str">
        <x:v>rendering waits for measured sections and accepted P08</x:v>
      </x:c>
      <x:c r="D15" s="2" t="str">
        <x:v>zero authorization</x:v>
      </x:c>
      <x:c r="E15" s="2" t="str">
        <x:v>BLOCKED</x:v>
      </x:c>
      <x:c r="F15" s="2" t="str">
        <x:v>physical acceptance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B18" s="28" t="str">
        <x:v>Derived portfolio controls</x:v>
      </x:c>
      <x:c r="C18" s="29" t="str">
        <x:v>Derived portfolio controls</x:v>
      </x:c>
      <x:c r="D18" s="29" t="str">
        <x:v>Derived portfolio controls</x:v>
      </x:c>
      <x:c r="E18" s="29" t="str">
        <x:v>Derived portfolio controls</x:v>
      </x:c>
      <x:c r="F18" s="29" t="str">
        <x:v>Derived portfolio controls</x:v>
      </x:c>
      <x:c r="G18" s="29" t="str">
        <x:v>Derived portfolio controls</x:v>
      </x:c>
      <x:c r="H18" s="29" t="str">
        <x:v>Derived portfolio controls</x:v>
      </x:c>
      <x:c r="I18" s="29" t="str">
        <x:v>Derived portfolio controls</x:v>
      </x:c>
      <x:c r="J18" s="29" t="str">
        <x:v>Derived portfolio controls</x:v>
      </x:c>
      <x:c r="K18" s="29" t="str">
        <x:v>Derived portfolio controls</x:v>
      </x:c>
      <x:c r="L18" s="29" t="str">
        <x:v>Derived portfolio controls</x:v>
      </x:c>
      <x:c r="M18" s="29" t="str">
        <x:v>Derived portfolio controls</x:v>
      </x:c>
      <x:c r="N18" s="29" t="str">
        <x:v>Derived portfolio controls</x:v>
      </x:c>
      <x:c r="O18" s="29" t="str">
        <x:v>Derived portfolio controls</x:v>
      </x:c>
      <x:c r="P18" s="30" t="str">
        <x:v>Derived portfolio controls</x:v>
      </x:c>
    </x:row>
    <x:row r="19">
      <x:c r="B19" s="14" t="str">
        <x:v>Measure</x:v>
      </x:c>
      <x:c r="C19" s="15" t="str">
        <x:v>Value</x:v>
      </x:c>
      <x:c r="D19" s="15" t="str">
        <x:v>Unit</x:v>
      </x:c>
      <x:c r="E19" s="15" t="str">
        <x:v>Required</x:v>
      </x:c>
      <x:c r="F19" s="16" t="str">
        <x:v>Result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B20" s="2" t="str">
        <x:v>Family packages</x:v>
      </x:c>
      <x:c r="C20" s="31" t="n">
        <x:f>COUNTA('Family Packages'!B7:B17)</x:f>
        <x:v>11</x:v>
      </x:c>
      <x:c r="D20" s="31" t="str">
        <x:v>families</x:v>
      </x:c>
      <x:c r="E20" s="31" t="n">
        <x:v>11</x:v>
      </x:c>
      <x:c r="F20" s="2" t="str">
        <x:f>IF(ABS(C20-E20)&lt;0.000001,"PASS","FAIL")</x:f>
        <x:v>PASS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B21" s="2" t="str">
        <x:v>Proposals</x:v>
      </x:c>
      <x:c r="C21" s="31" t="n">
        <x:f>COUNTA('Bid Register'!B7:B39)</x:f>
        <x:v>33</x:v>
      </x:c>
      <x:c r="D21" s="31" t="str">
        <x:v>proposals</x:v>
      </x:c>
      <x:c r="E21" s="31" t="n">
        <x:v>33</x:v>
      </x:c>
      <x:c r="F21" s="2" t="str">
        <x:f>IF(ABS(C21-E21)&lt;0.000001,"PASS","FAIL")</x:f>
        <x:v>PASS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B22" s="2" t="str">
        <x:v>Provisional build paths</x:v>
      </x:c>
      <x:c r="C22" s="31" t="n">
        <x:f>COUNTIF('Award Portfolio'!J7:J39,"PROVISIONAL BUILD")</x:f>
        <x:v>22</x:v>
      </x:c>
      <x:c r="D22" s="31" t="str">
        <x:v>paths</x:v>
      </x:c>
      <x:c r="E22" s="31" t="n">
        <x:v>22</x:v>
      </x:c>
      <x:c r="F22" s="2" t="str">
        <x:f>IF(ABS(C22-E22)&lt;0.000001,"PASS","FAIL")</x:f>
        <x:v>PASS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B23" s="2" t="str">
        <x:v>Challenge paths</x:v>
      </x:c>
      <x:c r="C23" s="31" t="n">
        <x:f>COUNTIF('Award Portfolio'!J7:J39,"CHALLENGE ONLY")</x:f>
        <x:v>11</x:v>
      </x:c>
      <x:c r="D23" s="31" t="str">
        <x:v>paths</x:v>
      </x:c>
      <x:c r="E23" s="31" t="n">
        <x:v>11</x:v>
      </x:c>
      <x:c r="F23" s="2" t="str">
        <x:f>IF(ABS(C23-E23)&lt;0.000001,"PASS","FAIL")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 t="str">
        <x:v>Hard-gate records</x:v>
      </x:c>
      <x:c r="C24" s="31" t="n">
        <x:f>COUNTA('Paper Gates'!B7:B402)</x:f>
        <x:v>396</x:v>
      </x:c>
      <x:c r="D24" s="31" t="str">
        <x:v>records</x:v>
      </x:c>
      <x:c r="E24" s="31" t="n">
        <x:v>396</x:v>
      </x:c>
      <x:c r="F24" s="2" t="str">
        <x:f>IF(ABS(C24-E24)&lt;0.000001,"PASS","FAIL")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 t="str">
        <x:v>Merit records</x:v>
      </x:c>
      <x:c r="C25" s="31" t="n">
        <x:f>COUNTA('Merit Review'!B7:B204)</x:f>
        <x:v>198</x:v>
      </x:c>
      <x:c r="D25" s="31" t="str">
        <x:v>records</x:v>
      </x:c>
      <x:c r="E25" s="31" t="n">
        <x:v>198</x:v>
      </x:c>
      <x:c r="F25" s="2" t="str">
        <x:f>IF(ABS(C25-E25)&lt;0.000001,"PASS","FAIL")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" t="str">
        <x:v>Rights records</x:v>
      </x:c>
      <x:c r="C26" s="31" t="n">
        <x:f>COUNTA('Rights Register'!B7:B270)</x:f>
        <x:v>264</x:v>
      </x:c>
      <x:c r="D26" s="31" t="str">
        <x:v>records</x:v>
      </x:c>
      <x:c r="E26" s="31" t="n">
        <x:v>264</x:v>
      </x:c>
      <x:c r="F26" s="2" t="str">
        <x:f>IF(ABS(C26-E26)&lt;0.000001,"PASS","FAIL")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2" t="str">
        <x:v>Article lots</x:v>
      </x:c>
      <x:c r="C27" s="31" t="n">
        <x:f>COUNTA('Article Lots'!B7:B72)</x:f>
        <x:v>66</x:v>
      </x:c>
      <x:c r="D27" s="31" t="str">
        <x:v>lots</x:v>
      </x:c>
      <x:c r="E27" s="31" t="n">
        <x:v>66</x:v>
      </x:c>
      <x:c r="F27" s="2" t="str">
        <x:f>IF(ABS(C27-E27)&lt;0.000001,"PASS","FAIL")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B28" s="2" t="str">
        <x:v>Articles</x:v>
      </x:c>
      <x:c r="C28" s="31" t="n">
        <x:f>SUM('Article Lots'!G7:G72)</x:f>
        <x:v>254</x:v>
      </x:c>
      <x:c r="D28" s="31" t="str">
        <x:v>articles</x:v>
      </x:c>
      <x:c r="E28" s="31" t="n">
        <x:v>254</x:v>
      </x:c>
      <x:c r="F28" s="2" t="str">
        <x:f>IF(ABS(C28-E28)&lt;0.000001,"PASS","FAIL")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B29" s="2" t="str">
        <x:v>Article bank</x:v>
      </x:c>
      <x:c r="C29" s="31" t="n">
        <x:f>SUM('Article Lots'!I7:I72)</x:f>
        <x:v>1.7639999999999993</x:v>
      </x:c>
      <x:c r="D29" s="31" t="str">
        <x:v>USD B</x:v>
      </x:c>
      <x:c r="E29" s="31" t="n">
        <x:v>1.764</x:v>
      </x:c>
      <x:c r="F29" s="2" t="str">
        <x:f>IF(ABS(C29-E29)&lt;0.000001,"PASS","FAIL")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2" t="str">
        <x:v>GFE standards</x:v>
      </x:c>
      <x:c r="C30" s="31" t="n">
        <x:f>COUNTA('GFE Standards'!B7:B21)</x:f>
        <x:v>15</x:v>
      </x:c>
      <x:c r="D30" s="31" t="str">
        <x:v>standards</x:v>
      </x:c>
      <x:c r="E30" s="31" t="n">
        <x:v>15</x:v>
      </x:c>
      <x:c r="F30" s="2" t="str">
        <x:f>IF(ABS(C30-E30)&lt;0.000001,"PASS","FAIL")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2" t="str">
        <x:v>Facility-year records</x:v>
      </x:c>
      <x:c r="C31" s="31" t="n">
        <x:f>COUNTA('Facility Reserve'!B7:B78)</x:f>
        <x:v>72</x:v>
      </x:c>
      <x:c r="D31" s="31" t="str">
        <x:v>records</x:v>
      </x:c>
      <x:c r="E31" s="31" t="n">
        <x:v>72</x:v>
      </x:c>
      <x:c r="F31" s="2" t="str">
        <x:f>IF(ABS(C31-E31)&lt;0.000001,"PASS","FAIL")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 t="str">
        <x:v>Milestones</x:v>
      </x:c>
      <x:c r="C32" s="31" t="n">
        <x:f>COUNTA(Milestones!B7:B171)</x:f>
        <x:v>165</x:v>
      </x:c>
      <x:c r="D32" s="31" t="str">
        <x:v>records</x:v>
      </x:c>
      <x:c r="E32" s="31" t="n">
        <x:v>165</x:v>
      </x:c>
      <x:c r="F32" s="2" t="str">
        <x:f>IF(ABS(C32-E32)&lt;0.000001,"PASS","FAIL")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 t="str">
        <x:v>Program cost</x:v>
      </x:c>
      <x:c r="C33" s="31" t="n">
        <x:f>'Cost Phasing'!L17</x:f>
        <x:v>6.799999999999999</x:v>
      </x:c>
      <x:c r="D33" s="31" t="str">
        <x:v>USD B</x:v>
      </x:c>
      <x:c r="E33" s="31" t="n">
        <x:v>6.8</x:v>
      </x:c>
      <x:c r="F33" s="2" t="str">
        <x:f>IF(ABS(C33-E33)&lt;0.000001,"PASS","FAIL")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 t="str">
        <x:v>Max integrator build awards</x:v>
      </x:c>
      <x:c r="C34" s="31" t="n">
        <x:f>MAX('Award Portfolio'!C45:C50)</x:f>
        <x:v>4</x:v>
      </x:c>
      <x:c r="D34" s="31" t="str">
        <x:v>paths</x:v>
      </x:c>
      <x:c r="E34" s="31" t="n">
        <x:v>4</x:v>
      </x:c>
      <x:c r="F34" s="2" t="str">
        <x:f>IF(ABS(C34-E34)&lt;0.000001,"PASS","FAIL")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B35" s="2" t="str">
        <x:v>Decision gates</x:v>
      </x:c>
      <x:c r="C35" s="31" t="n">
        <x:f>COUNTA('Decision Gates'!B7:B22)</x:f>
        <x:v>16</x:v>
      </x:c>
      <x:c r="D35" s="31" t="str">
        <x:v>gates</x:v>
      </x:c>
      <x:c r="E35" s="31" t="n">
        <x:v>16</x:v>
      </x:c>
      <x:c r="F35" s="2" t="str">
        <x:f>IF(ABS(C35-E35)&lt;0.000001,"PASS","FAIL")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B36" s="2" t="str">
        <x:v>Physical evidence credit</x:v>
      </x:c>
      <x:c r="C36" s="31" t="n">
        <x:f>SUM('Decision Gates'!J7:J22)</x:f>
        <x:v>0</x:v>
      </x:c>
      <x:c r="D36" s="31" t="str">
        <x:v>credits</x:v>
      </x:c>
      <x:c r="E36" s="31" t="n">
        <x:v>0</x:v>
      </x:c>
      <x:c r="F36" s="2" t="str">
        <x:f>IF(ABS(C36-E36)&lt;0.000001,"PASS","FAIL")</x:f>
        <x:v>PASS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B37" s="2" t="str">
        <x:v>Rendering authority</x:v>
      </x:c>
      <x:c r="C37" s="31" t="n">
        <x:f>Assumptions!C26</x:f>
        <x:v>0</x:v>
      </x:c>
      <x:c r="D37" s="31" t="str">
        <x:v>binary</x:v>
      </x:c>
      <x:c r="E37" s="31" t="n">
        <x:v>0</x:v>
      </x:c>
      <x:c r="F37" s="2" t="str">
        <x:f>IF(ABS(C37-E37)&lt;0.000001,"PASS","FAIL")</x:f>
        <x:v>PASS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B40" s="28" t="str">
        <x:v>Portfolio doctrine</x:v>
      </x:c>
      <x:c r="C40" s="29" t="str">
        <x:v>Portfolio doctrine</x:v>
      </x:c>
      <x:c r="D40" s="29" t="str">
        <x:v>Portfolio doctrine</x:v>
      </x:c>
      <x:c r="E40" s="29" t="str">
        <x:v>Portfolio doctrine</x:v>
      </x:c>
      <x:c r="F40" s="29" t="str">
        <x:v>Portfolio doctrine</x:v>
      </x:c>
      <x:c r="G40" s="29" t="str">
        <x:v>Portfolio doctrine</x:v>
      </x:c>
      <x:c r="H40" s="29" t="str">
        <x:v>Portfolio doctrine</x:v>
      </x:c>
      <x:c r="I40" s="29" t="str">
        <x:v>Portfolio doctrine</x:v>
      </x:c>
      <x:c r="J40" s="29" t="str">
        <x:v>Portfolio doctrine</x:v>
      </x:c>
      <x:c r="K40" s="29" t="str">
        <x:v>Portfolio doctrine</x:v>
      </x:c>
      <x:c r="L40" s="29" t="str">
        <x:v>Portfolio doctrine</x:v>
      </x:c>
      <x:c r="M40" s="29" t="str">
        <x:v>Portfolio doctrine</x:v>
      </x:c>
      <x:c r="N40" s="29" t="str">
        <x:v>Portfolio doctrine</x:v>
      </x:c>
      <x:c r="O40" s="29" t="str">
        <x:v>Portfolio doctrine</x:v>
      </x:c>
      <x:c r="P40" s="30" t="str">
        <x:v>Portfolio doctrine</x:v>
      </x:c>
    </x:row>
    <x:row r="41">
      <x:c r="B41" s="2" t="str">
        <x:v>Competition must survive the first award: public standards, destructive access, interface rights, custody, and second-team reproduction prevent the winner from becoming the only judge.</x:v>
      </x:c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</x:row>
    <x:row r="42">
      <x:c r="B42" s="2" t="str">
        <x:v>The two build roots are options on unlike failure modes. Early consolidation destroys information and is therefore treated as a program failure, not efficiency.</x:v>
      </x:c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</x:row>
    <x:row r="43">
      <x:c r="B43" s="2" t="str">
        <x:v>Challenge contracts make room for technology leaps while preserving discipline: close the failed gate or terminate without serial authority.</x:v>
      </x:c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</x:row>
    <x:row r="44">
      <x:c r="B44" s="2" t="str">
        <x:v>Artifact-based payments reward reproducible physical learning. Reviews and documents organize decisions but do not, by themselves, earn continuation.</x:v>
      </x:c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</x:row>
    <x:row r="45">
      <x:c r="B45" s="2" t="str">
        <x:v>The model is intentionally vendor-neutral and first-principles. Actual solicitation requires market evidence, conflict checks, adopted standards, and lawful acquisition authority.</x:v>
      </x:c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</x:row>
    <x:row r="46">
      <x:c r="B46" s="2" t="str">
        <x:v>No rendering is authorized. Procurement defines the experiments that must mature geometry before visual form can responsibly follow.</x:v>
      </x:c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</x:sheetData>
  <x:mergeCells>
    <x:mergeCell ref="B3:P3"/>
    <x:mergeCell ref="B6:P6"/>
    <x:mergeCell ref="B18:P18"/>
    <x:mergeCell ref="B40:P40"/>
  </x:mergeCells>
  <x:conditionalFormatting sqref="E8:E15">
    <x:cfRule type="containsText" dxfId="80" priority="1" operator="containsText" text="OPEN"/>
    <x:cfRule type="containsText" dxfId="81" priority="2" operator="containsText" text="HOLD"/>
    <x:cfRule type="containsText" dxfId="82" priority="3" operator="containsText" text="BLOCKED"/>
    <x:cfRule type="containsText" dxfId="83" priority="4" operator="containsText" text="CHALLENGE ONLY"/>
    <x:cfRule type="containsText" dxfId="84" priority="5" operator="containsText" text="FAIL"/>
  </x:conditionalFormatting>
  <x:conditionalFormatting sqref="F20:F37">
    <x:cfRule type="containsText" dxfId="85" priority="6" operator="containsText" text="OPEN"/>
    <x:cfRule type="containsText" dxfId="86" priority="7" operator="containsText" text="HOLD"/>
    <x:cfRule type="containsText" dxfId="87" priority="8" operator="containsText" text="BLOCKED"/>
    <x:cfRule type="containsText" dxfId="88" priority="9" operator="containsText" text="CHALLENGE ONLY"/>
    <x:cfRule type="containsText" dxfId="89" priority="10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20" hidden="0" customWidth="1"/>
    <x:col min="4" max="4" width="28" hidden="0" customWidth="1"/>
    <x:col min="5" max="5" width="16" hidden="0" customWidth="1"/>
    <x:col min="6" max="6" width="35" hidden="0" customWidth="1"/>
  </x:cols>
  <x:sheetData>
    <x:row r="2">
      <x:c r="B2" s="3" t="str">
        <x:v>Declared procurement assumptions</x:v>
      </x:c>
      <x:c r="C2" s="2"/>
      <x:c r="D2" s="2"/>
      <x:c r="E2" s="2"/>
      <x:c r="F2" s="2"/>
    </x:row>
    <x:row r="3">
      <x:c r="B3" s="4" t="str">
        <x:v>Blue cells are planning inputs. They do not imply price evidence, vendor selection, physical acceptance, or authority to render form.</x:v>
      </x:c>
      <x:c r="C3" s="2"/>
      <x:c r="D3" s="2"/>
      <x:c r="E3" s="2"/>
      <x:c r="F3" s="2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19" t="str">
        <x:v>Input</x:v>
      </x:c>
      <x:c r="C6" s="20" t="str">
        <x:v>Value</x:v>
      </x:c>
      <x:c r="D6" s="20" t="str">
        <x:v>Unit</x:v>
      </x:c>
      <x:c r="E6" s="20" t="str">
        <x:v>Status</x:v>
      </x:c>
      <x:c r="F6" s="20" t="str">
        <x:v>Reopen trigger</x:v>
      </x:c>
    </x:row>
    <x:row r="7">
      <x:c r="B7" s="21" t="str">
        <x:v>Program ceiling</x:v>
      </x:c>
      <x:c r="C7" s="22" t="n">
        <x:v>6.8</x:v>
      </x:c>
      <x:c r="D7" s="21" t="str">
        <x:v>constant planning USD B</x:v>
      </x:c>
      <x:c r="E7" s="21" t="str">
        <x:v>FROZEN</x:v>
      </x:c>
      <x:c r="F7" s="23" t="str">
        <x:v>appropriation or scope change</x:v>
      </x:c>
    </x:row>
    <x:row r="8">
      <x:c r="B8" s="21" t="str">
        <x:v>Program years</x:v>
      </x:c>
      <x:c r="C8" s="22" t="n">
        <x:v>9</x:v>
      </x:c>
      <x:c r="D8" s="21" t="str">
        <x:v>years</x:v>
      </x:c>
      <x:c r="E8" s="21" t="str">
        <x:v>FROZEN</x:v>
      </x:c>
      <x:c r="F8" s="23" t="str">
        <x:v>calendar baseline change</x:v>
      </x:c>
    </x:row>
    <x:row r="9">
      <x:c r="B9" s="21" t="str">
        <x:v>Prototype families</x:v>
      </x:c>
      <x:c r="C9" s="22" t="n">
        <x:v>11</x:v>
      </x:c>
      <x:c r="D9" s="21" t="str">
        <x:v>families</x:v>
      </x:c>
      <x:c r="E9" s="21" t="str">
        <x:v>FROZEN</x:v>
      </x:c>
      <x:c r="F9" s="23" t="str">
        <x:v>architecture decision</x:v>
      </x:c>
    </x:row>
    <x:row r="10">
      <x:c r="B10" s="21" t="str">
        <x:v>Proposals per family</x:v>
      </x:c>
      <x:c r="C10" s="22" t="n">
        <x:v>3</x:v>
      </x:c>
      <x:c r="D10" s="21" t="str">
        <x:v>proposals</x:v>
      </x:c>
      <x:c r="E10" s="21" t="str">
        <x:v>FROZEN</x:v>
      </x:c>
      <x:c r="F10" s="23" t="str">
        <x:v>source strategy change</x:v>
      </x:c>
    </x:row>
    <x:row r="11">
      <x:c r="B11" s="21" t="str">
        <x:v>Build roots per family</x:v>
      </x:c>
      <x:c r="C11" s="22" t="n">
        <x:v>2</x:v>
      </x:c>
      <x:c r="D11" s="21" t="str">
        <x:v>roots</x:v>
      </x:c>
      <x:c r="E11" s="21" t="str">
        <x:v>FROZEN</x:v>
      </x:c>
      <x:c r="F11" s="23" t="str">
        <x:v>independence finding</x:v>
      </x:c>
    </x:row>
    <x:row r="12">
      <x:c r="B12" s="21" t="str">
        <x:v>Challenge roots per family</x:v>
      </x:c>
      <x:c r="C12" s="22" t="n">
        <x:v>1</x:v>
      </x:c>
      <x:c r="D12" s="21" t="str">
        <x:v>root</x:v>
      </x:c>
      <x:c r="E12" s="21" t="str">
        <x:v>FROZEN</x:v>
      </x:c>
      <x:c r="F12" s="23" t="str">
        <x:v>challenge policy change</x:v>
      </x:c>
    </x:row>
    <x:row r="13">
      <x:c r="B13" s="21" t="str">
        <x:v>Hard paper gates</x:v>
      </x:c>
      <x:c r="C13" s="22" t="n">
        <x:v>12</x:v>
      </x:c>
      <x:c r="D13" s="21" t="str">
        <x:v>gates per proposal</x:v>
      </x:c>
      <x:c r="E13" s="21" t="str">
        <x:v>FROZEN</x:v>
      </x:c>
      <x:c r="F13" s="23" t="str">
        <x:v>solicitation amendment</x:v>
      </x:c>
    </x:row>
    <x:row r="14">
      <x:c r="B14" s="21" t="str">
        <x:v>Merit dimensions</x:v>
      </x:c>
      <x:c r="C14" s="22" t="n">
        <x:v>6</x:v>
      </x:c>
      <x:c r="D14" s="21" t="str">
        <x:v>dimensions per proposal</x:v>
      </x:c>
      <x:c r="E14" s="21" t="str">
        <x:v>FROZEN</x:v>
      </x:c>
      <x:c r="F14" s="23" t="str">
        <x:v>review method change</x:v>
      </x:c>
    </x:row>
    <x:row r="15">
      <x:c r="B15" s="21" t="str">
        <x:v>Technical rights</x:v>
      </x:c>
      <x:c r="C15" s="22" t="n">
        <x:v>8</x:v>
      </x:c>
      <x:c r="D15" s="21" t="str">
        <x:v>rights per proposal</x:v>
      </x:c>
      <x:c r="E15" s="21" t="str">
        <x:v>FROZEN</x:v>
      </x:c>
      <x:c r="F15" s="23" t="str">
        <x:v>rights strategy change</x:v>
      </x:c>
    </x:row>
    <x:row r="16">
      <x:c r="B16" s="21" t="str">
        <x:v>Maximum integrator build awards</x:v>
      </x:c>
      <x:c r="C16" s="22" t="n">
        <x:v>4</x:v>
      </x:c>
      <x:c r="D16" s="21" t="str">
        <x:v>build paths</x:v>
      </x:c>
      <x:c r="E16" s="21" t="str">
        <x:v>FROZEN</x:v>
      </x:c>
      <x:c r="F16" s="23" t="str">
        <x:v>concentration waiver</x:v>
      </x:c>
    </x:row>
    <x:row r="17">
      <x:c r="B17" s="21" t="str">
        <x:v>Build share</x:v>
      </x:c>
      <x:c r="C17" s="22" t="n">
        <x:v>0.45</x:v>
      </x:c>
      <x:c r="D17" s="21" t="str">
        <x:v>family contract share</x:v>
      </x:c>
      <x:c r="E17" s="21" t="str">
        <x:v>FROZEN</x:v>
      </x:c>
      <x:c r="F17" s="23" t="str">
        <x:v>portfolio change</x:v>
      </x:c>
    </x:row>
    <x:row r="18">
      <x:c r="B18" s="21" t="str">
        <x:v>Challenge share</x:v>
      </x:c>
      <x:c r="C18" s="22" t="n">
        <x:v>0.1</x:v>
      </x:c>
      <x:c r="D18" s="21" t="str">
        <x:v>family contract share</x:v>
      </x:c>
      <x:c r="E18" s="21" t="str">
        <x:v>FROZEN</x:v>
      </x:c>
      <x:c r="F18" s="23" t="str">
        <x:v>challenge policy change</x:v>
      </x:c>
    </x:row>
    <x:row r="19">
      <x:c r="B19" s="21" t="str">
        <x:v>Integration reserve</x:v>
      </x:c>
      <x:c r="C19" s="22" t="n">
        <x:v>0.1</x:v>
      </x:c>
      <x:c r="D19" s="21" t="str">
        <x:v>envelope share</x:v>
      </x:c>
      <x:c r="E19" s="21" t="str">
        <x:v>FROZEN</x:v>
      </x:c>
      <x:c r="F19" s="23" t="str">
        <x:v>allocation acceptance</x:v>
      </x:c>
    </x:row>
    <x:row r="20">
      <x:c r="B20" s="21" t="str">
        <x:v>Growth reserve</x:v>
      </x:c>
      <x:c r="C20" s="22" t="n">
        <x:v>0.05</x:v>
      </x:c>
      <x:c r="D20" s="21" t="str">
        <x:v>envelope share</x:v>
      </x:c>
      <x:c r="E20" s="21" t="str">
        <x:v>FROZEN</x:v>
      </x:c>
      <x:c r="F20" s="23" t="str">
        <x:v>allocation acceptance</x:v>
      </x:c>
    </x:row>
    <x:row r="21">
      <x:c r="B21" s="21" t="str">
        <x:v>Independent endurance</x:v>
      </x:c>
      <x:c r="C21" s="22" t="n">
        <x:v>168</x:v>
      </x:c>
      <x:c r="D21" s="21" t="str">
        <x:v>hours</x:v>
      </x:c>
      <x:c r="E21" s="21" t="str">
        <x:v>FROZEN</x:v>
      </x:c>
      <x:c r="F21" s="23" t="str">
        <x:v>mission baseline change</x:v>
      </x:c>
    </x:row>
    <x:row r="22">
      <x:c r="B22" s="21" t="str">
        <x:v>Energy nameplate reserve</x:v>
      </x:c>
      <x:c r="C22" s="22" t="n">
        <x:v>1.25</x:v>
      </x:c>
      <x:c r="D22" s="21" t="str">
        <x:v>multiplier</x:v>
      </x:c>
      <x:c r="E22" s="21" t="str">
        <x:v>FROZEN</x:v>
      </x:c>
      <x:c r="F22" s="23" t="str">
        <x:v>safety analysis</x:v>
      </x:c>
    </x:row>
    <x:row r="23">
      <x:c r="B23" s="21" t="str">
        <x:v>Build-release lead</x:v>
      </x:c>
      <x:c r="C23" s="22" t="n">
        <x:v>24</x:v>
      </x:c>
      <x:c r="D23" s="21" t="str">
        <x:v>months</x:v>
      </x:c>
      <x:c r="E23" s="21" t="str">
        <x:v>FROZEN</x:v>
      </x:c>
      <x:c r="F23" s="23" t="str">
        <x:v>accepted production evidence</x:v>
      </x:c>
    </x:row>
    <x:row r="24">
      <x:c r="B24" s="21" t="str">
        <x:v>Trial-program duration</x:v>
      </x:c>
      <x:c r="C24" s="22" t="n">
        <x:v>78</x:v>
      </x:c>
      <x:c r="D24" s="21" t="str">
        <x:v>months</x:v>
      </x:c>
      <x:c r="E24" s="21" t="str">
        <x:v>FROZEN</x:v>
      </x:c>
      <x:c r="F24" s="23" t="str">
        <x:v>accepted campaign change</x:v>
      </x:c>
    </x:row>
    <x:row r="25">
      <x:c r="B25" s="21" t="str">
        <x:v>Calendar completion</x:v>
      </x:c>
      <x:c r="C25" s="22" t="n">
        <x:v>102</x:v>
      </x:c>
      <x:c r="D25" s="21" t="str">
        <x:v>months</x:v>
      </x:c>
      <x:c r="E25" s="21" t="str">
        <x:v>FROZEN</x:v>
      </x:c>
      <x:c r="F25" s="23" t="str">
        <x:v>accepted schedule change</x:v>
      </x:c>
    </x:row>
    <x:row r="26">
      <x:c r="B26" s="24" t="str">
        <x:v>Rendering authorization</x:v>
      </x:c>
      <x:c r="C26" s="25" t="n">
        <x:v>0</x:v>
      </x:c>
      <x:c r="D26" s="24" t="str">
        <x:v>binary</x:v>
      </x:c>
      <x:c r="E26" s="24" t="str">
        <x:v>FROZEN</x:v>
      </x:c>
      <x:c r="F26" s="26" t="str">
        <x:v>measured form authority</x:v>
      </x:c>
    </x:row>
    <x:row r="27">
      <x:c r="B27" s="2"/>
      <x:c r="C27" s="2"/>
      <x:c r="D27" s="2"/>
      <x:c r="E27" s="2"/>
      <x:c r="F27" s="2"/>
    </x:row>
    <x:row r="28">
      <x:c r="B28" s="2"/>
      <x:c r="C28" s="2"/>
      <x:c r="D28" s="2"/>
      <x:c r="E28" s="2"/>
      <x:c r="F28" s="2"/>
    </x:row>
    <x:row r="29">
      <x:c r="B29" s="28" t="str">
        <x:v>Model boundary</x:v>
      </x:c>
      <x:c r="C29" s="29" t="str">
        <x:v>Model boundary</x:v>
      </x:c>
      <x:c r="D29" s="29" t="str">
        <x:v>Model boundary</x:v>
      </x:c>
      <x:c r="E29" s="29" t="str">
        <x:v>Model boundary</x:v>
      </x:c>
      <x:c r="F29" s="30" t="str">
        <x:v>Model boundary</x:v>
      </x:c>
    </x:row>
    <x:row r="30">
      <x:c r="B30" s="2" t="str">
        <x:v>Archetype bidders and technical roots are fictional design probes, not named vendors or claims about market availability.</x:v>
      </x:c>
      <x:c r="C30" s="2" t="str"/>
      <x:c r="D30" s="2" t="str"/>
      <x:c r="E30" s="2" t="str"/>
      <x:c r="F30" s="2" t="str"/>
    </x:row>
    <x:row r="31">
      <x:c r="B31" s="2" t="str">
        <x:v>Every award is provisional planning authority. Construction, payment, serial release, production, and form authority remain held.</x:v>
      </x:c>
      <x:c r="C31" s="2" t="str"/>
      <x:c r="D31" s="2" t="str"/>
      <x:c r="E31" s="2" t="str"/>
      <x:c r="F31" s="2" t="str"/>
    </x:row>
    <x:row r="32">
      <x:c r="B32" s="2" t="str">
        <x:v>Merit scores rank learning value only after hard gates pass; they can never compensate for a failed gate.</x:v>
      </x:c>
      <x:c r="C32" s="2" t="str"/>
      <x:c r="D32" s="2" t="str"/>
      <x:c r="E32" s="2" t="str"/>
      <x:c r="F32" s="2" t="str"/>
    </x:row>
    <x:row r="33">
      <x:c r="B33" s="2" t="str">
        <x:v>Challenge contracts preserve radical options by paying for a registered blocking experiment, not by waiving a requirement.</x:v>
      </x:c>
      <x:c r="C33" s="2" t="str"/>
      <x:c r="D33" s="2" t="str"/>
      <x:c r="E33" s="2" t="str"/>
      <x:c r="F33" s="2" t="str"/>
    </x:row>
    <x:row r="34">
      <x:c r="B34" s="2" t="str">
        <x:v>All cost values are first-principles portfolio allocations in constant planning dollars without a price base.</x:v>
      </x:c>
      <x:c r="C34" s="2" t="str"/>
      <x:c r="D34" s="2" t="str"/>
      <x:c r="E34" s="2" t="str"/>
      <x:c r="F34" s="2" t="str"/>
    </x:row>
    <x:row r="35">
      <x:c r="B35" s="2"/>
      <x:c r="C35" s="2"/>
      <x:c r="D35" s="2"/>
      <x:c r="E35" s="2"/>
      <x:c r="F35" s="2"/>
    </x:row>
    <x:row r="36">
      <x:c r="B36" s="2"/>
      <x:c r="C36" s="2"/>
      <x:c r="D36" s="2"/>
      <x:c r="E36" s="2"/>
      <x:c r="F36" s="2"/>
    </x:row>
    <x:row r="37">
      <x:c r="B37" s="2"/>
      <x:c r="C37" s="2"/>
      <x:c r="D37" s="2"/>
      <x:c r="E37" s="2"/>
      <x:c r="F37" s="2"/>
    </x:row>
    <x:row r="38">
      <x:c r="B38" s="2"/>
      <x:c r="C38" s="2"/>
      <x:c r="D38" s="2"/>
      <x:c r="E38" s="2"/>
      <x:c r="F38" s="2"/>
    </x:row>
    <x:row r="39">
      <x:c r="B39" s="2"/>
      <x:c r="C39" s="2"/>
      <x:c r="D39" s="2"/>
      <x:c r="E39" s="2"/>
      <x:c r="F39" s="2"/>
    </x:row>
    <x:row r="40">
      <x:c r="B40" s="2"/>
      <x:c r="C40" s="2"/>
      <x:c r="D40" s="2"/>
      <x:c r="E40" s="2"/>
      <x:c r="F40" s="2"/>
    </x:row>
  </x:sheetData>
  <x:mergeCells>
    <x:mergeCell ref="B3:F3"/>
    <x:mergeCell ref="B29:F29"/>
  </x:mergeCells>
  <x:conditionalFormatting sqref="E7:E26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CHALLENGE ONLY"/>
    <x:cfRule type="containsText" dxfId="4" priority="5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26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6" hidden="0" customWidth="1"/>
    <x:col min="11" max="11" width="18" hidden="0" customWidth="1"/>
    <x:col min="12" max="12" width="15" hidden="0" customWidth="1"/>
    <x:col min="13" max="13" width="16" hidden="0" customWidth="1"/>
    <x:col min="14" max="14" width="15" hidden="0" customWidth="1"/>
    <x:col min="15" max="15" width="15" hidden="0" customWidth="1"/>
    <x:col min="16" max="16" width="18" hidden="0" customWidth="1"/>
    <x:col min="17" max="17" width="14" hidden="0" customWidth="1"/>
    <x:col min="18" max="18" width="17" hidden="0" customWidth="1"/>
    <x:col min="19" max="19" width="28" hidden="0" customWidth="1"/>
  </x:cols>
  <x:sheetData>
    <x:row r="2">
      <x:c r="B2" s="3" t="str">
        <x:v>Family solicitation packages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B3" s="4" t="str">
        <x:v>Eleven prototype families receive closed burden envelopes, explicit reserves, acceptance authorities, and fixed rival-source budgets.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>
      <x:c r="B6" s="19" t="str">
        <x:v>Family</x:v>
      </x:c>
      <x:c r="C6" s="20" t="str">
        <x:v>System</x:v>
      </x:c>
      <x:c r="D6" s="20" t="str">
        <x:v>Architecture</x:v>
      </x:c>
      <x:c r="E6" s="20" t="str">
        <x:v>Mass kg</x:v>
      </x:c>
      <x:c r="F6" s="20" t="str">
        <x:v>Volume m3</x:v>
      </x:c>
      <x:c r="G6" s="20" t="str">
        <x:v>Average W</x:v>
      </x:c>
      <x:c r="H6" s="20" t="str">
        <x:v>Peak W</x:v>
      </x:c>
      <x:c r="I6" s="20" t="str">
        <x:v>Storage TB</x:v>
      </x:c>
      <x:c r="J6" s="20" t="str">
        <x:v>Energy kWh</x:v>
      </x:c>
      <x:c r="K6" s="20" t="str">
        <x:v>Heat rejection kW</x:v>
      </x:c>
      <x:c r="L6" s="20" t="str">
        <x:v>Ready month</x:v>
      </x:c>
      <x:c r="M6" s="20" t="str">
        <x:v>Built articles</x:v>
      </x:c>
      <x:c r="N6" s="20" t="str">
        <x:v>Engineering</x:v>
      </x:c>
      <x:c r="O6" s="20" t="str">
        <x:v>Qualification</x:v>
      </x:c>
      <x:c r="P6" s="20" t="str">
        <x:v>Campaign/reserve</x:v>
      </x:c>
      <x:c r="Q6" s="20" t="str">
        <x:v>Unit USD M</x:v>
      </x:c>
      <x:c r="R6" s="20" t="str">
        <x:v>Contract USD B</x:v>
      </x:c>
      <x:c r="S6" s="20" t="str">
        <x:v>Acceptance authority</x:v>
      </x:c>
    </x:row>
    <x:row r="7">
      <x:c r="B7" s="21" t="str">
        <x:v>ATC-A01</x:v>
      </x:c>
      <x:c r="C7" s="21" t="str">
        <x:v>Air tile cassette</x:v>
      </x:c>
      <x:c r="D7" s="21" t="str">
        <x:v>ATC-2</x:v>
      </x:c>
      <x:c r="E7" s="32" t="n">
        <x:v>110</x:v>
      </x:c>
      <x:c r="F7" s="32" t="n">
        <x:v>0.22</x:v>
      </x:c>
      <x:c r="G7" s="32" t="n">
        <x:v>55</x:v>
      </x:c>
      <x:c r="H7" s="32" t="n">
        <x:v>180</x:v>
      </x:c>
      <x:c r="I7" s="32" t="n">
        <x:v>8</x:v>
      </x:c>
      <x:c r="J7" s="32" t="n">
        <x:f>G7*168*1.25/1000</x:f>
        <x:v>11.55</x:v>
      </x:c>
      <x:c r="K7" s="32" t="n">
        <x:f>H7*1.2/1000</x:f>
        <x:v>0.216</x:v>
      </x:c>
      <x:c r="L7" s="32" t="n">
        <x:v>30</x:v>
      </x:c>
      <x:c r="M7" s="32" t="n">
        <x:v>36</x:v>
      </x:c>
      <x:c r="N7" s="32" t="n">
        <x:v>6</x:v>
      </x:c>
      <x:c r="O7" s="32" t="n">
        <x:v>12</x:v>
      </x:c>
      <x:c r="P7" s="32" t="n">
        <x:v>18</x:v>
      </x:c>
      <x:c r="Q7" s="32" t="n">
        <x:v>4</x:v>
      </x:c>
      <x:c r="R7" s="32" t="n">
        <x:v>0.24</x:v>
      </x:c>
      <x:c r="S7" s="23" t="str">
        <x:v>article evidence authority</x:v>
      </x:c>
    </x:row>
    <x:row r="8">
      <x:c r="B8" s="21" t="str">
        <x:v>TTC-T01</x:v>
      </x:c>
      <x:c r="C8" s="21" t="str">
        <x:v>Terrain tile cassette</x:v>
      </x:c>
      <x:c r="D8" s="21" t="str">
        <x:v>TTC-2</x:v>
      </x:c>
      <x:c r="E8" s="32" t="n">
        <x:v>135</x:v>
      </x:c>
      <x:c r="F8" s="32" t="n">
        <x:v>0.28</x:v>
      </x:c>
      <x:c r="G8" s="32" t="n">
        <x:v>65</x:v>
      </x:c>
      <x:c r="H8" s="32" t="n">
        <x:v>220</x:v>
      </x:c>
      <x:c r="I8" s="32" t="n">
        <x:v>8</x:v>
      </x:c>
      <x:c r="J8" s="32" t="n">
        <x:f>G8*168*1.25/1000</x:f>
        <x:v>13.65</x:v>
      </x:c>
      <x:c r="K8" s="32" t="n">
        <x:f>H8*1.2/1000</x:f>
        <x:v>0.264</x:v>
      </x:c>
      <x:c r="L8" s="32" t="n">
        <x:v>30</x:v>
      </x:c>
      <x:c r="M8" s="32" t="n">
        <x:v>36</x:v>
      </x:c>
      <x:c r="N8" s="32" t="n">
        <x:v>6</x:v>
      </x:c>
      <x:c r="O8" s="32" t="n">
        <x:v>12</x:v>
      </x:c>
      <x:c r="P8" s="32" t="n">
        <x:v>18</x:v>
      </x:c>
      <x:c r="Q8" s="32" t="n">
        <x:v>5</x:v>
      </x:c>
      <x:c r="R8" s="32" t="n">
        <x:v>0.27</x:v>
      </x:c>
      <x:c r="S8" s="23" t="str">
        <x:v>article evidence authority</x:v>
      </x:c>
    </x:row>
    <x:row r="9">
      <x:c r="B9" s="21" t="str">
        <x:v>ACN-A01</x:v>
      </x:c>
      <x:c r="C9" s="21" t="str">
        <x:v>Air carrier node</x:v>
      </x:c>
      <x:c r="D9" s="21" t="str">
        <x:v>ACN-2</x:v>
      </x:c>
      <x:c r="E9" s="32" t="n">
        <x:v>1200</x:v>
      </x:c>
      <x:c r="F9" s="32" t="n">
        <x:v>2.8</x:v>
      </x:c>
      <x:c r="G9" s="32" t="n">
        <x:v>800</x:v>
      </x:c>
      <x:c r="H9" s="32" t="n">
        <x:v>2200</x:v>
      </x:c>
      <x:c r="I9" s="32" t="n">
        <x:v>24</x:v>
      </x:c>
      <x:c r="J9" s="32" t="n">
        <x:f>G9*168*1.25/1000</x:f>
        <x:v>168</x:v>
      </x:c>
      <x:c r="K9" s="32" t="n">
        <x:f>H9*1.2/1000</x:f>
        <x:v>2.64</x:v>
      </x:c>
      <x:c r="L9" s="32" t="n">
        <x:v>42</x:v>
      </x:c>
      <x:c r="M9" s="32" t="n">
        <x:v>8</x:v>
      </x:c>
      <x:c r="N9" s="32" t="n">
        <x:v>2</x:v>
      </x:c>
      <x:c r="O9" s="32" t="n">
        <x:v>2</x:v>
      </x:c>
      <x:c r="P9" s="32" t="n">
        <x:v>4</x:v>
      </x:c>
      <x:c r="Q9" s="32" t="n">
        <x:v>25</x:v>
      </x:c>
      <x:c r="R9" s="32" t="n">
        <x:v>0.38</x:v>
      </x:c>
      <x:c r="S9" s="23" t="str">
        <x:v>air evidence authority</x:v>
      </x:c>
    </x:row>
    <x:row r="10">
      <x:c r="B10" s="21" t="str">
        <x:v>TCN-T01</x:v>
      </x:c>
      <x:c r="C10" s="21" t="str">
        <x:v>Terrain carrier node</x:v>
      </x:c>
      <x:c r="D10" s="21" t="str">
        <x:v>TCN-2</x:v>
      </x:c>
      <x:c r="E10" s="32" t="n">
        <x:v>2600</x:v>
      </x:c>
      <x:c r="F10" s="32" t="n">
        <x:v>8.5</x:v>
      </x:c>
      <x:c r="G10" s="32" t="n">
        <x:v>600</x:v>
      </x:c>
      <x:c r="H10" s="32" t="n">
        <x:v>3500</x:v>
      </x:c>
      <x:c r="I10" s="32" t="n">
        <x:v>24</x:v>
      </x:c>
      <x:c r="J10" s="32" t="n">
        <x:f>G10*168*1.25/1000</x:f>
        <x:v>126</x:v>
      </x:c>
      <x:c r="K10" s="32" t="n">
        <x:f>H10*1.2/1000</x:f>
        <x:v>4.2</x:v>
      </x:c>
      <x:c r="L10" s="32" t="n">
        <x:v>42</x:v>
      </x:c>
      <x:c r="M10" s="32" t="n">
        <x:v>10</x:v>
      </x:c>
      <x:c r="N10" s="32" t="n">
        <x:v>2</x:v>
      </x:c>
      <x:c r="O10" s="32" t="n">
        <x:v>3</x:v>
      </x:c>
      <x:c r="P10" s="32" t="n">
        <x:v>5</x:v>
      </x:c>
      <x:c r="Q10" s="32" t="n">
        <x:v>45</x:v>
      </x:c>
      <x:c r="R10" s="32" t="n">
        <x:v>0.5</x:v>
      </x:c>
      <x:c r="S10" s="23" t="str">
        <x:v>terrain evidence authority</x:v>
      </x:c>
    </x:row>
    <x:row r="11">
      <x:c r="B11" s="21" t="str">
        <x:v>CRS-R01</x:v>
      </x:c>
      <x:c r="C11" s="21" t="str">
        <x:v>Civil receiver</x:v>
      </x:c>
      <x:c r="D11" s="21" t="str">
        <x:v>CRS-2</x:v>
      </x:c>
      <x:c r="E11" s="32" t="n">
        <x:v>2800</x:v>
      </x:c>
      <x:c r="F11" s="32" t="n">
        <x:v>12</x:v>
      </x:c>
      <x:c r="G11" s="32" t="n">
        <x:v>1200</x:v>
      </x:c>
      <x:c r="H11" s="32" t="n">
        <x:v>3200</x:v>
      </x:c>
      <x:c r="I11" s="32" t="n">
        <x:v>64</x:v>
      </x:c>
      <x:c r="J11" s="32" t="n">
        <x:f>G11*168*1.25/1000</x:f>
        <x:v>252</x:v>
      </x:c>
      <x:c r="K11" s="32" t="n">
        <x:f>H11*1.2/1000</x:f>
        <x:v>3.84</x:v>
      </x:c>
      <x:c r="L11" s="32" t="n">
        <x:v>48</x:v>
      </x:c>
      <x:c r="M11" s="32" t="n">
        <x:v>8</x:v>
      </x:c>
      <x:c r="N11" s="32" t="n">
        <x:v>2</x:v>
      </x:c>
      <x:c r="O11" s="32" t="n">
        <x:v>2</x:v>
      </x:c>
      <x:c r="P11" s="32" t="n">
        <x:v>4</x:v>
      </x:c>
      <x:c r="Q11" s="32" t="n">
        <x:v>35</x:v>
      </x:c>
      <x:c r="R11" s="32" t="n">
        <x:v>0.4</x:v>
      </x:c>
      <x:c r="S11" s="23" t="str">
        <x:v>civil-effect authority</x:v>
      </x:c>
    </x:row>
    <x:row r="12">
      <x:c r="B12" s="21" t="str">
        <x:v>PSS-T01</x:v>
      </x:c>
      <x:c r="C12" s="21" t="str">
        <x:v>Pressure skin</x:v>
      </x:c>
      <x:c r="D12" s="21" t="str">
        <x:v>PSS-3</x:v>
      </x:c>
      <x:c r="E12" s="32" t="n">
        <x:v>1140</x:v>
      </x:c>
      <x:c r="F12" s="32" t="n">
        <x:v>3.42</x:v>
      </x:c>
      <x:c r="G12" s="32" t="n">
        <x:v>220</x:v>
      </x:c>
      <x:c r="H12" s="32" t="n">
        <x:v>1200</x:v>
      </x:c>
      <x:c r="I12" s="32" t="n">
        <x:v>0</x:v>
      </x:c>
      <x:c r="J12" s="32" t="n">
        <x:f>G12*168*1.25/1000</x:f>
        <x:v>46.2</x:v>
      </x:c>
      <x:c r="K12" s="32" t="n">
        <x:f>H12*1.2/1000</x:f>
        <x:v>1.44</x:v>
      </x:c>
      <x:c r="L12" s="32" t="n">
        <x:v>42</x:v>
      </x:c>
      <x:c r="M12" s="32" t="n">
        <x:v>16</x:v>
      </x:c>
      <x:c r="N12" s="32" t="n">
        <x:v>4</x:v>
      </x:c>
      <x:c r="O12" s="32" t="n">
        <x:v>4</x:v>
      </x:c>
      <x:c r="P12" s="32" t="n">
        <x:v>8</x:v>
      </x:c>
      <x:c r="Q12" s="32" t="n">
        <x:v>20</x:v>
      </x:c>
      <x:c r="R12" s="32" t="n">
        <x:v>0.55</x:v>
      </x:c>
      <x:c r="S12" s="23" t="str">
        <x:v>terrain metrology</x:v>
      </x:c>
    </x:row>
    <x:row r="13">
      <x:c r="B13" s="21" t="str">
        <x:v>PIF-I01</x:v>
      </x:c>
      <x:c r="C13" s="21" t="str">
        <x:v>Passive interface</x:v>
      </x:c>
      <x:c r="D13" s="21" t="str">
        <x:v>PIF-3</x:v>
      </x:c>
      <x:c r="E13" s="32" t="n">
        <x:v>40</x:v>
      </x:c>
      <x:c r="F13" s="32" t="n">
        <x:v>0.08</x:v>
      </x:c>
      <x:c r="G13" s="32" t="n">
        <x:v>20</x:v>
      </x:c>
      <x:c r="H13" s="32" t="n">
        <x:v>80</x:v>
      </x:c>
      <x:c r="I13" s="32" t="n">
        <x:v>0</x:v>
      </x:c>
      <x:c r="J13" s="32" t="n">
        <x:f>G13*168*1.25/1000</x:f>
        <x:v>4.2</x:v>
      </x:c>
      <x:c r="K13" s="32" t="n">
        <x:f>H13*1.2/1000</x:f>
        <x:v>0.096</x:v>
      </x:c>
      <x:c r="L13" s="32" t="n">
        <x:v>30</x:v>
      </x:c>
      <x:c r="M13" s="32" t="n">
        <x:v>60</x:v>
      </x:c>
      <x:c r="N13" s="32" t="n">
        <x:v>12</x:v>
      </x:c>
      <x:c r="O13" s="32" t="n">
        <x:v>18</x:v>
      </x:c>
      <x:c r="P13" s="32" t="n">
        <x:v>30</x:v>
      </x:c>
      <x:c r="Q13" s="32" t="n">
        <x:v>0.5</x:v>
      </x:c>
      <x:c r="R13" s="32" t="n">
        <x:v>0.18</x:v>
      </x:c>
      <x:c r="S13" s="23" t="str">
        <x:v>interface authority</x:v>
      </x:c>
    </x:row>
    <x:row r="14">
      <x:c r="B14" s="21" t="str">
        <x:v>EPS-P01</x:v>
      </x:c>
      <x:c r="C14" s="21" t="str">
        <x:v>Independent energy</x:v>
      </x:c>
      <x:c r="D14" s="21" t="str">
        <x:v>EPS-2</x:v>
      </x:c>
      <x:c r="E14" s="32" t="n">
        <x:v>1145.46</x:v>
      </x:c>
      <x:c r="F14" s="32" t="n">
        <x:v>2.5</x:v>
      </x:c>
      <x:c r="G14" s="32" t="n">
        <x:v>20</x:v>
      </x:c>
      <x:c r="H14" s="32" t="n">
        <x:v>200</x:v>
      </x:c>
      <x:c r="I14" s="32" t="n">
        <x:v>0</x:v>
      </x:c>
      <x:c r="J14" s="32" t="n">
        <x:f>G14*168*1.25/1000</x:f>
        <x:v>4.2</x:v>
      </x:c>
      <x:c r="K14" s="32" t="n">
        <x:f>H14*1.2/1000</x:f>
        <x:v>0.24</x:v>
      </x:c>
      <x:c r="L14" s="32" t="n">
        <x:v>24</x:v>
      </x:c>
      <x:c r="M14" s="32" t="n">
        <x:v>20</x:v>
      </x:c>
      <x:c r="N14" s="32" t="n">
        <x:v>4</x:v>
      </x:c>
      <x:c r="O14" s="32" t="n">
        <x:v>6</x:v>
      </x:c>
      <x:c r="P14" s="32" t="n">
        <x:v>10</x:v>
      </x:c>
      <x:c r="Q14" s="32" t="n">
        <x:v>3</x:v>
      </x:c>
      <x:c r="R14" s="32" t="n">
        <x:v>0.32</x:v>
      </x:c>
      <x:c r="S14" s="23" t="str">
        <x:v>energy safety authority</x:v>
      </x:c>
    </x:row>
    <x:row r="15">
      <x:c r="B15" s="21" t="str">
        <x:v>TKS-C01</x:v>
      </x:c>
      <x:c r="C15" s="21" t="str">
        <x:v>Denied time</x:v>
      </x:c>
      <x:c r="D15" s="21" t="str">
        <x:v>TKS-2</x:v>
      </x:c>
      <x:c r="E15" s="32" t="n">
        <x:v>10</x:v>
      </x:c>
      <x:c r="F15" s="32" t="n">
        <x:v>0.02</x:v>
      </x:c>
      <x:c r="G15" s="32" t="n">
        <x:v>20</x:v>
      </x:c>
      <x:c r="H15" s="32" t="n">
        <x:v>50</x:v>
      </x:c>
      <x:c r="I15" s="32" t="n">
        <x:v>0</x:v>
      </x:c>
      <x:c r="J15" s="32" t="n">
        <x:f>G15*168*1.25/1000</x:f>
        <x:v>4.2</x:v>
      </x:c>
      <x:c r="K15" s="32" t="n">
        <x:f>H15*1.2/1000</x:f>
        <x:v>0.06</x:v>
      </x:c>
      <x:c r="L15" s="32" t="n">
        <x:v>36</x:v>
      </x:c>
      <x:c r="M15" s="32" t="n">
        <x:v>20</x:v>
      </x:c>
      <x:c r="N15" s="32" t="n">
        <x:v>4</x:v>
      </x:c>
      <x:c r="O15" s="32" t="n">
        <x:v>6</x:v>
      </x:c>
      <x:c r="P15" s="32" t="n">
        <x:v>10</x:v>
      </x:c>
      <x:c r="Q15" s="32" t="n">
        <x:v>2</x:v>
      </x:c>
      <x:c r="R15" s="32" t="n">
        <x:v>0.16</x:v>
      </x:c>
      <x:c r="S15" s="23" t="str">
        <x:v>time authority</x:v>
      </x:c>
    </x:row>
    <x:row r="16">
      <x:c r="B16" s="21" t="str">
        <x:v>STG-S01</x:v>
      </x:c>
      <x:c r="C16" s="21" t="str">
        <x:v>Immutable storage</x:v>
      </x:c>
      <x:c r="D16" s="21" t="str">
        <x:v>STG-2</x:v>
      </x:c>
      <x:c r="E16" s="32" t="n">
        <x:v>40</x:v>
      </x:c>
      <x:c r="F16" s="32" t="n">
        <x:v>0.12</x:v>
      </x:c>
      <x:c r="G16" s="32" t="n">
        <x:v>90</x:v>
      </x:c>
      <x:c r="H16" s="32" t="n">
        <x:v>220</x:v>
      </x:c>
      <x:c r="I16" s="32" t="n">
        <x:v>64</x:v>
      </x:c>
      <x:c r="J16" s="32" t="n">
        <x:f>G16*168*1.25/1000</x:f>
        <x:v>18.9</x:v>
      </x:c>
      <x:c r="K16" s="32" t="n">
        <x:f>H16*1.2/1000</x:f>
        <x:v>0.264</x:v>
      </x:c>
      <x:c r="L16" s="32" t="n">
        <x:v>24</x:v>
      </x:c>
      <x:c r="M16" s="32" t="n">
        <x:v>20</x:v>
      </x:c>
      <x:c r="N16" s="32" t="n">
        <x:v>4</x:v>
      </x:c>
      <x:c r="O16" s="32" t="n">
        <x:v>6</x:v>
      </x:c>
      <x:c r="P16" s="32" t="n">
        <x:v>10</x:v>
      </x:c>
      <x:c r="Q16" s="32" t="n">
        <x:v>1</x:v>
      </x:c>
      <x:c r="R16" s="32" t="n">
        <x:v>0.17</x:v>
      </x:c>
      <x:c r="S16" s="23" t="str">
        <x:v>data authority</x:v>
      </x:c>
    </x:row>
    <x:row r="17">
      <x:c r="B17" s="24" t="str">
        <x:v>MHE-E01</x:v>
      </x:c>
      <x:c r="C17" s="24" t="str">
        <x:v>Mass and heat emulator</x:v>
      </x:c>
      <x:c r="D17" s="24" t="str">
        <x:v>MHE-3</x:v>
      </x:c>
      <x:c r="E17" s="33" t="n">
        <x:v>2800</x:v>
      </x:c>
      <x:c r="F17" s="33" t="n">
        <x:v>12</x:v>
      </x:c>
      <x:c r="G17" s="33" t="n">
        <x:v>1200</x:v>
      </x:c>
      <x:c r="H17" s="33" t="n">
        <x:v>3200</x:v>
      </x:c>
      <x:c r="I17" s="33" t="n">
        <x:v>0</x:v>
      </x:c>
      <x:c r="J17" s="33" t="n">
        <x:f>G17*168*1.25/1000</x:f>
        <x:v>252</x:v>
      </x:c>
      <x:c r="K17" s="33" t="n">
        <x:f>H17*1.2/1000</x:f>
        <x:v>3.84</x:v>
      </x:c>
      <x:c r="L17" s="33" t="n">
        <x:v>60</x:v>
      </x:c>
      <x:c r="M17" s="33" t="n">
        <x:v>20</x:v>
      </x:c>
      <x:c r="N17" s="33" t="n">
        <x:v>4</x:v>
      </x:c>
      <x:c r="O17" s="33" t="n">
        <x:v>4</x:v>
      </x:c>
      <x:c r="P17" s="33" t="n">
        <x:v>12</x:v>
      </x:c>
      <x:c r="Q17" s="33" t="n">
        <x:v>2</x:v>
      </x:c>
      <x:c r="R17" s="33" t="n">
        <x:v>0.25</x:v>
      </x:c>
      <x:c r="S17" s="26" t="str">
        <x:v>equivalence authority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>
      <x:c r="B20" s="28" t="str">
        <x:v>Solicitation rule</x:v>
      </x:c>
      <x:c r="C20" s="29" t="str">
        <x:v>Solicitation rule</x:v>
      </x:c>
      <x:c r="D20" s="29" t="str">
        <x:v>Solicitation rule</x:v>
      </x:c>
      <x:c r="E20" s="29" t="str">
        <x:v>Solicitation rule</x:v>
      </x:c>
      <x:c r="F20" s="29" t="str">
        <x:v>Solicitation rule</x:v>
      </x:c>
      <x:c r="G20" s="29" t="str">
        <x:v>Solicitation rule</x:v>
      </x:c>
      <x:c r="H20" s="29" t="str">
        <x:v>Solicitation rule</x:v>
      </x:c>
      <x:c r="I20" s="29" t="str">
        <x:v>Solicitation rule</x:v>
      </x:c>
      <x:c r="J20" s="29" t="str">
        <x:v>Solicitation rule</x:v>
      </x:c>
      <x:c r="K20" s="29" t="str">
        <x:v>Solicitation rule</x:v>
      </x:c>
      <x:c r="L20" s="29" t="str">
        <x:v>Solicitation rule</x:v>
      </x:c>
      <x:c r="M20" s="29" t="str">
        <x:v>Solicitation rule</x:v>
      </x:c>
      <x:c r="N20" s="29" t="str">
        <x:v>Solicitation rule</x:v>
      </x:c>
      <x:c r="O20" s="29" t="str">
        <x:v>Solicitation rule</x:v>
      </x:c>
      <x:c r="P20" s="29" t="str">
        <x:v>Solicitation rule</x:v>
      </x:c>
      <x:c r="Q20" s="29" t="str">
        <x:v>Solicitation rule</x:v>
      </x:c>
      <x:c r="R20" s="29" t="str">
        <x:v>Solicitation rule</x:v>
      </x:c>
      <x:c r="S20" s="30" t="str">
        <x:v>Solicitation rule</x:v>
      </x:c>
    </x:row>
    <x:row r="21">
      <x:c r="B21" s="2" t="str">
        <x:v>A family package freezes what must be learned, what burden may be consumed, and who may accept evidence; it does not prescribe a winning mechanism.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</x:row>
    <x:row r="22">
      <x:c r="B22" s="2" t="str">
        <x:v>Two unlike build roots remain funded until representative evidence; a third challenge root may close one declared blocking gate but receives no serial authority.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</x:row>
  </x:sheetData>
  <x:mergeCells>
    <x:mergeCell ref="B3:S3"/>
    <x:mergeCell ref="B20:S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25" hidden="0" customWidth="1"/>
    <x:col min="5" max="5" width="12" hidden="0" customWidth="1"/>
    <x:col min="6" max="6" width="29" hidden="0" customWidth="1"/>
    <x:col min="7" max="7" width="62" hidden="0" customWidth="1"/>
    <x:col min="8" max="8" width="48" hidden="0" customWidth="1"/>
    <x:col min="9" max="9" width="27" hidden="0" customWidth="1"/>
    <x:col min="10" max="10" width="13" hidden="0" customWidth="1"/>
    <x:col min="11" max="11" width="13" hidden="0" customWidth="1"/>
  </x:cols>
  <x:sheetData>
    <x:row r="2">
      <x:c r="B2" s="3" t="str">
        <x:v>Non-negotiable solicitation requirements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Twelve inspectable questions apply to every family. A missing answer is a failed gate, not a scoring disadvantage.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Requirement</x:v>
      </x:c>
      <x:c r="C6" s="20" t="str">
        <x:v>Family</x:v>
      </x:c>
      <x:c r="D6" s="20" t="str">
        <x:v>System</x:v>
      </x:c>
      <x:c r="E6" s="20" t="str">
        <x:v>Code</x:v>
      </x:c>
      <x:c r="F6" s="20" t="str">
        <x:v>Subject</x:v>
      </x:c>
      <x:c r="G6" s="20" t="str">
        <x:v>Question</x:v>
      </x:c>
      <x:c r="H6" s="20" t="str">
        <x:v>Minimum threshold</x:v>
      </x:c>
      <x:c r="I6" s="20" t="str">
        <x:v>Acceptance authority</x:v>
      </x:c>
      <x:c r="J6" s="20" t="str">
        <x:v>Baseline</x:v>
      </x:c>
      <x:c r="K6" s="20" t="str">
        <x:v>Evidence</x:v>
      </x:c>
    </x:row>
    <x:row r="7">
      <x:c r="B7" s="21" t="str">
        <x:v>ATC-A01-Q01</x:v>
      </x:c>
      <x:c r="C7" s="21" t="str">
        <x:v>ATC-A01</x:v>
      </x:c>
      <x:c r="D7" s="21" t="str">
        <x:v>Air tile cassette</x:v>
      </x:c>
      <x:c r="E7" s="21" t="str">
        <x:v>Q01</x:v>
      </x:c>
      <x:c r="F7" s="21" t="str">
        <x:v>public effect boundary</x:v>
      </x:c>
      <x:c r="G7" s="21" t="str">
        <x:v>Define the observation needed to falsify the registered mission without helping it.</x:v>
      </x:c>
      <x:c r="H7" s="21" t="str">
        <x:v>complete local decision and invalid-state grammar</x:v>
      </x:c>
      <x:c r="I7" s="21" t="str">
        <x:v>article evidence authority</x:v>
      </x:c>
      <x:c r="J7" s="21" t="str">
        <x:v>FROZEN</x:v>
      </x:c>
      <x:c r="K7" s="23" t="str">
        <x:v>OPEN</x:v>
      </x:c>
    </x:row>
    <x:row r="8">
      <x:c r="B8" s="21" t="str">
        <x:v>ATC-A01-Q02</x:v>
      </x:c>
      <x:c r="C8" s="21" t="str">
        <x:v>ATC-A01</x:v>
      </x:c>
      <x:c r="D8" s="21" t="str">
        <x:v>Air tile cassette</x:v>
      </x:c>
      <x:c r="E8" s="21" t="str">
        <x:v>Q02</x:v>
      </x:c>
      <x:c r="F8" s="21" t="str">
        <x:v>mass volume and reserve</x:v>
      </x:c>
      <x:c r="G8" s="21" t="str">
        <x:v>Close installed mass, cube, moments and access while preserving 10 percent integration and 5 percent growth reserve.</x:v>
      </x:c>
      <x:c r="H8" s="21" t="str">
        <x:v>inside frozen family envelope with both reserves explicit</x:v>
      </x:c>
      <x:c r="I8" s="21" t="str">
        <x:v>article evidence authority</x:v>
      </x:c>
      <x:c r="J8" s="21" t="str">
        <x:v>FROZEN</x:v>
      </x:c>
      <x:c r="K8" s="23" t="str">
        <x:v>OPEN</x:v>
      </x:c>
    </x:row>
    <x:row r="9">
      <x:c r="B9" s="21" t="str">
        <x:v>ATC-A01-Q03</x:v>
      </x:c>
      <x:c r="C9" s="21" t="str">
        <x:v>ATC-A01</x:v>
      </x:c>
      <x:c r="D9" s="21" t="str">
        <x:v>Air tile cassette</x:v>
      </x:c>
      <x:c r="E9" s="21" t="str">
        <x:v>Q03</x:v>
      </x:c>
      <x:c r="F9" s="21" t="str">
        <x:v>independent endurance</x:v>
      </x:c>
      <x:c r="G9" s="21" t="str">
        <x:v>Supply 168 hours plus 25 percent nameplate reserve without mission power or recharge.</x:v>
      </x:c>
      <x:c r="H9" s="21" t="str">
        <x:v>full interval and registered peak sequence</x:v>
      </x:c>
      <x:c r="I9" s="21" t="str">
        <x:v>article evidence authority</x:v>
      </x:c>
      <x:c r="J9" s="21" t="str">
        <x:v>FROZEN</x:v>
      </x:c>
      <x:c r="K9" s="23" t="str">
        <x:v>OPEN</x:v>
      </x:c>
    </x:row>
    <x:row r="10">
      <x:c r="B10" s="21" t="str">
        <x:v>ATC-A01-Q04</x:v>
      </x:c>
      <x:c r="C10" s="21" t="str">
        <x:v>ATC-A01</x:v>
      </x:c>
      <x:c r="D10" s="21" t="str">
        <x:v>Air tile cassette</x:v>
      </x:c>
      <x:c r="E10" s="21" t="str">
        <x:v>Q04</x:v>
      </x:c>
      <x:c r="F10" s="21" t="str">
        <x:v>outward thermal rejection</x:v>
      </x:c>
      <x:c r="G10" s="21" t="str">
        <x:v>Reject steady, peak and fault heat without using the mission structure as an undeclared sink.</x:v>
      </x:c>
      <x:c r="H10" s="21" t="str">
        <x:v>all evidence heat crosses its own measured boundary</x:v>
      </x:c>
      <x:c r="I10" s="21" t="str">
        <x:v>article evidence authority</x:v>
      </x:c>
      <x:c r="J10" s="21" t="str">
        <x:v>FROZEN</x:v>
      </x:c>
      <x:c r="K10" s="23" t="str">
        <x:v>OPEN</x:v>
      </x:c>
    </x:row>
    <x:row r="11">
      <x:c r="B11" s="21" t="str">
        <x:v>ATC-A01-Q05</x:v>
      </x:c>
      <x:c r="C11" s="21" t="str">
        <x:v>ATC-A01</x:v>
      </x:c>
      <x:c r="D11" s="21" t="str">
        <x:v>Air tile cassette</x:v>
      </x:c>
      <x:c r="E11" s="21" t="str">
        <x:v>Q05</x:v>
      </x:c>
      <x:c r="F11" s="21" t="str">
        <x:v>complete local original</x:v>
      </x:c>
      <x:c r="G11" s="21" t="str">
        <x:v>Retain every original segment, clock state and explicit invalid interval through network and one-media loss.</x:v>
      </x:c>
      <x:c r="H11" s="21" t="str">
        <x:v>complete original or declared bounded loss</x:v>
      </x:c>
      <x:c r="I11" s="21" t="str">
        <x:v>article evidence authority</x:v>
      </x:c>
      <x:c r="J11" s="21" t="str">
        <x:v>FROZEN</x:v>
      </x:c>
      <x:c r="K11" s="23" t="str">
        <x:v>OPEN</x:v>
      </x:c>
    </x:row>
    <x:row r="12">
      <x:c r="B12" s="21" t="str">
        <x:v>ATC-A01-Q06</x:v>
      </x:c>
      <x:c r="C12" s="21" t="str">
        <x:v>ATC-A01</x:v>
      </x:c>
      <x:c r="D12" s="21" t="str">
        <x:v>Air tile cassette</x:v>
      </x:c>
      <x:c r="E12" s="21" t="str">
        <x:v>Q06</x:v>
      </x:c>
      <x:c r="F12" s="21" t="str">
        <x:v>denied event time</x:v>
      </x:c>
      <x:c r="G12" s="21" t="str">
        <x:v>Order all decisive events after external time and network loss.</x:v>
      </x:c>
      <x:c r="H12" s="21" t="str">
        <x:v>inside family U95 allocation</x:v>
      </x:c>
      <x:c r="I12" s="21" t="str">
        <x:v>article evidence authority</x:v>
      </x:c>
      <x:c r="J12" s="21" t="str">
        <x:v>FROZEN</x:v>
      </x:c>
      <x:c r="K12" s="23" t="str">
        <x:v>OPEN</x:v>
      </x:c>
    </x:row>
    <x:row r="13">
      <x:c r="B13" s="21" t="str">
        <x:v>ATC-A01-Q07</x:v>
      </x:c>
      <x:c r="C13" s="21" t="str">
        <x:v>ATC-A01</x:v>
      </x:c>
      <x:c r="D13" s="21" t="str">
        <x:v>Air tile cassette</x:v>
      </x:c>
      <x:c r="E13" s="21" t="str">
        <x:v>Q07</x:v>
      </x:c>
      <x:c r="F13" s="21" t="str">
        <x:v>physical non-actuation</x:v>
      </x:c>
      <x:c r="G13" s="21" t="str">
        <x:v>Demonstrate zero useful reverse energy, return data, control authority and mission contribution.</x:v>
      </x:c>
      <x:c r="H13" s="21" t="str">
        <x:v>teardown and injection show no useful path</x:v>
      </x:c>
      <x:c r="I13" s="21" t="str">
        <x:v>article evidence authority</x:v>
      </x:c>
      <x:c r="J13" s="21" t="str">
        <x:v>FROZEN</x:v>
      </x:c>
      <x:c r="K13" s="23" t="str">
        <x:v>OPEN</x:v>
      </x:c>
    </x:row>
    <x:row r="14">
      <x:c r="B14" s="21" t="str">
        <x:v>ATC-A01-Q08</x:v>
      </x:c>
      <x:c r="C14" s="21" t="str">
        <x:v>ATC-A01</x:v>
      </x:c>
      <x:c r="D14" s="21" t="str">
        <x:v>Air tile cassette</x:v>
      </x:c>
      <x:c r="E14" s="21" t="str">
        <x:v>Q08</x:v>
      </x:c>
      <x:c r="F14" s="21" t="str">
        <x:v>hazard behavior</x:v>
      </x:c>
      <x:c r="G14" s="21" t="str">
        <x:v>Survive or explicitly invalidate across shock, vibration, thermal, water, dust, chemistry and fire.</x:v>
      </x:c>
      <x:c r="H14" s="21" t="str">
        <x:v>no silent state and safe disposition</x:v>
      </x:c>
      <x:c r="I14" s="21" t="str">
        <x:v>article evidence authority</x:v>
      </x:c>
      <x:c r="J14" s="21" t="str">
        <x:v>FROZEN</x:v>
      </x:c>
      <x:c r="K14" s="23" t="str">
        <x:v>OPEN</x:v>
      </x:c>
    </x:row>
    <x:row r="15">
      <x:c r="B15" s="21" t="str">
        <x:v>ATC-A01-Q09</x:v>
      </x:c>
      <x:c r="C15" s="21" t="str">
        <x:v>ATC-A01</x:v>
      </x:c>
      <x:c r="D15" s="21" t="str">
        <x:v>Air tile cassette</x:v>
      </x:c>
      <x:c r="E15" s="21" t="str">
        <x:v>Q09</x:v>
      </x:c>
      <x:c r="F15" s="21" t="str">
        <x:v>maintenance and quarantine</x:v>
      </x:c>
      <x:c r="G15" s="21" t="str">
        <x:v>Enable blinded inspection, removal, decontamination and quarantine with declared tools and time.</x:v>
      </x:c>
      <x:c r="H15" s="21" t="str">
        <x:v>family access limit and lawful custody</x:v>
      </x:c>
      <x:c r="I15" s="21" t="str">
        <x:v>article evidence authority</x:v>
      </x:c>
      <x:c r="J15" s="21" t="str">
        <x:v>FROZEN</x:v>
      </x:c>
      <x:c r="K15" s="23" t="str">
        <x:v>OPEN</x:v>
      </x:c>
    </x:row>
    <x:row r="16">
      <x:c r="B16" s="21" t="str">
        <x:v>ATC-A01-Q10</x:v>
      </x:c>
      <x:c r="C16" s="21" t="str">
        <x:v>ATC-A01</x:v>
      </x:c>
      <x:c r="D16" s="21" t="str">
        <x:v>Air tile cassette</x:v>
      </x:c>
      <x:c r="E16" s="21" t="str">
        <x:v>Q10</x:v>
      </x:c>
      <x:c r="F16" s="21" t="str">
        <x:v>decisive ancestry</x:v>
      </x:c>
      <x:c r="G16" s="21" t="str">
        <x:v>Disclose the component, process, firmware, facility and calibration roots that can create common failure.</x:v>
      </x:c>
      <x:c r="H16" s="21" t="str">
        <x:v>no undisclosed decisive root</x:v>
      </x:c>
      <x:c r="I16" s="21" t="str">
        <x:v>article evidence authority</x:v>
      </x:c>
      <x:c r="J16" s="21" t="str">
        <x:v>FROZEN</x:v>
      </x:c>
      <x:c r="K16" s="23" t="str">
        <x:v>OPEN</x:v>
      </x:c>
    </x:row>
    <x:row r="17">
      <x:c r="B17" s="21" t="str">
        <x:v>ATC-A01-Q11</x:v>
      </x:c>
      <x:c r="C17" s="21" t="str">
        <x:v>ATC-A01</x:v>
      </x:c>
      <x:c r="D17" s="21" t="str">
        <x:v>Air tile cassette</x:v>
      </x:c>
      <x:c r="E17" s="21" t="str">
        <x:v>Q11</x:v>
      </x:c>
      <x:c r="F17" s="21" t="str">
        <x:v>technical rights and reproduction</x:v>
      </x:c>
      <x:c r="G17" s="21" t="str">
        <x:v>Grant teardown, second-team build, interface and evidence-data rights.</x:v>
      </x:c>
      <x:c r="H17" s="21" t="str">
        <x:v>government can reproduce the decision</x:v>
      </x:c>
      <x:c r="I17" s="21" t="str">
        <x:v>article evidence authority</x:v>
      </x:c>
      <x:c r="J17" s="21" t="str">
        <x:v>FROZEN</x:v>
      </x:c>
      <x:c r="K17" s="23" t="str">
        <x:v>OPEN</x:v>
      </x:c>
    </x:row>
    <x:row r="18">
      <x:c r="B18" s="21" t="str">
        <x:v>ATC-A01-Q12</x:v>
      </x:c>
      <x:c r="C18" s="21" t="str">
        <x:v>ATC-A01</x:v>
      </x:c>
      <x:c r="D18" s="21" t="str">
        <x:v>Air tile cassette</x:v>
      </x:c>
      <x:c r="E18" s="21" t="str">
        <x:v>Q12</x:v>
      </x:c>
      <x:c r="F18" s="21" t="str">
        <x:v>facility schedule and cost</x:v>
      </x:c>
      <x:c r="G18" s="21" t="str">
        <x:v>Name qualified facilities, long leads, lot releases, milestone artifacts and constant-dollar ceiling.</x:v>
      </x:c>
      <x:c r="H18" s="21" t="str">
        <x:v>all articles available before registered need</x:v>
      </x:c>
      <x:c r="I18" s="21" t="str">
        <x:v>article evidence authority</x:v>
      </x:c>
      <x:c r="J18" s="21" t="str">
        <x:v>FROZEN</x:v>
      </x:c>
      <x:c r="K18" s="23" t="str">
        <x:v>OPEN</x:v>
      </x:c>
    </x:row>
    <x:row r="19">
      <x:c r="B19" s="21" t="str">
        <x:v>TTC-T01-Q01</x:v>
      </x:c>
      <x:c r="C19" s="21" t="str">
        <x:v>TTC-T01</x:v>
      </x:c>
      <x:c r="D19" s="21" t="str">
        <x:v>Terrain tile cassette</x:v>
      </x:c>
      <x:c r="E19" s="21" t="str">
        <x:v>Q01</x:v>
      </x:c>
      <x:c r="F19" s="21" t="str">
        <x:v>public effect boundary</x:v>
      </x:c>
      <x:c r="G19" s="21" t="str">
        <x:v>Define the observation needed to falsify the registered mission without helping it.</x:v>
      </x:c>
      <x:c r="H19" s="21" t="str">
        <x:v>complete local decision and invalid-state grammar</x:v>
      </x:c>
      <x:c r="I19" s="21" t="str">
        <x:v>article evidence authority</x:v>
      </x:c>
      <x:c r="J19" s="21" t="str">
        <x:v>FROZEN</x:v>
      </x:c>
      <x:c r="K19" s="23" t="str">
        <x:v>OPEN</x:v>
      </x:c>
    </x:row>
    <x:row r="20">
      <x:c r="B20" s="21" t="str">
        <x:v>TTC-T01-Q02</x:v>
      </x:c>
      <x:c r="C20" s="21" t="str">
        <x:v>TTC-T01</x:v>
      </x:c>
      <x:c r="D20" s="21" t="str">
        <x:v>Terrain tile cassette</x:v>
      </x:c>
      <x:c r="E20" s="21" t="str">
        <x:v>Q02</x:v>
      </x:c>
      <x:c r="F20" s="21" t="str">
        <x:v>mass volume and reserve</x:v>
      </x:c>
      <x:c r="G20" s="21" t="str">
        <x:v>Close installed mass, cube, moments and access while preserving 10 percent integration and 5 percent growth reserve.</x:v>
      </x:c>
      <x:c r="H20" s="21" t="str">
        <x:v>inside frozen family envelope with both reserves explicit</x:v>
      </x:c>
      <x:c r="I20" s="21" t="str">
        <x:v>article evidence authority</x:v>
      </x:c>
      <x:c r="J20" s="21" t="str">
        <x:v>FROZEN</x:v>
      </x:c>
      <x:c r="K20" s="23" t="str">
        <x:v>OPEN</x:v>
      </x:c>
    </x:row>
    <x:row r="21">
      <x:c r="B21" s="21" t="str">
        <x:v>TTC-T01-Q03</x:v>
      </x:c>
      <x:c r="C21" s="21" t="str">
        <x:v>TTC-T01</x:v>
      </x:c>
      <x:c r="D21" s="21" t="str">
        <x:v>Terrain tile cassette</x:v>
      </x:c>
      <x:c r="E21" s="21" t="str">
        <x:v>Q03</x:v>
      </x:c>
      <x:c r="F21" s="21" t="str">
        <x:v>independent endurance</x:v>
      </x:c>
      <x:c r="G21" s="21" t="str">
        <x:v>Supply 168 hours plus 25 percent nameplate reserve without mission power or recharge.</x:v>
      </x:c>
      <x:c r="H21" s="21" t="str">
        <x:v>full interval and registered peak sequence</x:v>
      </x:c>
      <x:c r="I21" s="21" t="str">
        <x:v>article evidence authority</x:v>
      </x:c>
      <x:c r="J21" s="21" t="str">
        <x:v>FROZEN</x:v>
      </x:c>
      <x:c r="K21" s="23" t="str">
        <x:v>OPEN</x:v>
      </x:c>
    </x:row>
    <x:row r="22">
      <x:c r="B22" s="21" t="str">
        <x:v>TTC-T01-Q04</x:v>
      </x:c>
      <x:c r="C22" s="21" t="str">
        <x:v>TTC-T01</x:v>
      </x:c>
      <x:c r="D22" s="21" t="str">
        <x:v>Terrain tile cassette</x:v>
      </x:c>
      <x:c r="E22" s="21" t="str">
        <x:v>Q04</x:v>
      </x:c>
      <x:c r="F22" s="21" t="str">
        <x:v>outward thermal rejection</x:v>
      </x:c>
      <x:c r="G22" s="21" t="str">
        <x:v>Reject steady, peak and fault heat without using the mission structure as an undeclared sink.</x:v>
      </x:c>
      <x:c r="H22" s="21" t="str">
        <x:v>all evidence heat crosses its own measured boundary</x:v>
      </x:c>
      <x:c r="I22" s="21" t="str">
        <x:v>article evidence authority</x:v>
      </x:c>
      <x:c r="J22" s="21" t="str">
        <x:v>FROZEN</x:v>
      </x:c>
      <x:c r="K22" s="23" t="str">
        <x:v>OPEN</x:v>
      </x:c>
    </x:row>
    <x:row r="23">
      <x:c r="B23" s="21" t="str">
        <x:v>TTC-T01-Q05</x:v>
      </x:c>
      <x:c r="C23" s="21" t="str">
        <x:v>TTC-T01</x:v>
      </x:c>
      <x:c r="D23" s="21" t="str">
        <x:v>Terrain tile cassette</x:v>
      </x:c>
      <x:c r="E23" s="21" t="str">
        <x:v>Q05</x:v>
      </x:c>
      <x:c r="F23" s="21" t="str">
        <x:v>complete local original</x:v>
      </x:c>
      <x:c r="G23" s="21" t="str">
        <x:v>Retain every original segment, clock state and explicit invalid interval through network and one-media loss.</x:v>
      </x:c>
      <x:c r="H23" s="21" t="str">
        <x:v>complete original or declared bounded loss</x:v>
      </x:c>
      <x:c r="I23" s="21" t="str">
        <x:v>article evidence authority</x:v>
      </x:c>
      <x:c r="J23" s="21" t="str">
        <x:v>FROZEN</x:v>
      </x:c>
      <x:c r="K23" s="23" t="str">
        <x:v>OPEN</x:v>
      </x:c>
    </x:row>
    <x:row r="24">
      <x:c r="B24" s="21" t="str">
        <x:v>TTC-T01-Q06</x:v>
      </x:c>
      <x:c r="C24" s="21" t="str">
        <x:v>TTC-T01</x:v>
      </x:c>
      <x:c r="D24" s="21" t="str">
        <x:v>Terrain tile cassette</x:v>
      </x:c>
      <x:c r="E24" s="21" t="str">
        <x:v>Q06</x:v>
      </x:c>
      <x:c r="F24" s="21" t="str">
        <x:v>denied event time</x:v>
      </x:c>
      <x:c r="G24" s="21" t="str">
        <x:v>Order all decisive events after external time and network loss.</x:v>
      </x:c>
      <x:c r="H24" s="21" t="str">
        <x:v>inside family U95 allocation</x:v>
      </x:c>
      <x:c r="I24" s="21" t="str">
        <x:v>article evidence authority</x:v>
      </x:c>
      <x:c r="J24" s="21" t="str">
        <x:v>FROZEN</x:v>
      </x:c>
      <x:c r="K24" s="23" t="str">
        <x:v>OPEN</x:v>
      </x:c>
    </x:row>
    <x:row r="25">
      <x:c r="B25" s="21" t="str">
        <x:v>TTC-T01-Q07</x:v>
      </x:c>
      <x:c r="C25" s="21" t="str">
        <x:v>TTC-T01</x:v>
      </x:c>
      <x:c r="D25" s="21" t="str">
        <x:v>Terrain tile cassette</x:v>
      </x:c>
      <x:c r="E25" s="21" t="str">
        <x:v>Q07</x:v>
      </x:c>
      <x:c r="F25" s="21" t="str">
        <x:v>physical non-actuation</x:v>
      </x:c>
      <x:c r="G25" s="21" t="str">
        <x:v>Demonstrate zero useful reverse energy, return data, control authority and mission contribution.</x:v>
      </x:c>
      <x:c r="H25" s="21" t="str">
        <x:v>teardown and injection show no useful path</x:v>
      </x:c>
      <x:c r="I25" s="21" t="str">
        <x:v>article evidence authority</x:v>
      </x:c>
      <x:c r="J25" s="21" t="str">
        <x:v>FROZEN</x:v>
      </x:c>
      <x:c r="K25" s="23" t="str">
        <x:v>OPEN</x:v>
      </x:c>
    </x:row>
    <x:row r="26">
      <x:c r="B26" s="21" t="str">
        <x:v>TTC-T01-Q08</x:v>
      </x:c>
      <x:c r="C26" s="21" t="str">
        <x:v>TTC-T01</x:v>
      </x:c>
      <x:c r="D26" s="21" t="str">
        <x:v>Terrain tile cassette</x:v>
      </x:c>
      <x:c r="E26" s="21" t="str">
        <x:v>Q08</x:v>
      </x:c>
      <x:c r="F26" s="21" t="str">
        <x:v>hazard behavior</x:v>
      </x:c>
      <x:c r="G26" s="21" t="str">
        <x:v>Survive or explicitly invalidate across shock, vibration, thermal, water, dust, chemistry and fire.</x:v>
      </x:c>
      <x:c r="H26" s="21" t="str">
        <x:v>no silent state and safe disposition</x:v>
      </x:c>
      <x:c r="I26" s="21" t="str">
        <x:v>article evidence authority</x:v>
      </x:c>
      <x:c r="J26" s="21" t="str">
        <x:v>FROZEN</x:v>
      </x:c>
      <x:c r="K26" s="23" t="str">
        <x:v>OPEN</x:v>
      </x:c>
    </x:row>
    <x:row r="27">
      <x:c r="B27" s="21" t="str">
        <x:v>TTC-T01-Q09</x:v>
      </x:c>
      <x:c r="C27" s="21" t="str">
        <x:v>TTC-T01</x:v>
      </x:c>
      <x:c r="D27" s="21" t="str">
        <x:v>Terrain tile cassette</x:v>
      </x:c>
      <x:c r="E27" s="21" t="str">
        <x:v>Q09</x:v>
      </x:c>
      <x:c r="F27" s="21" t="str">
        <x:v>maintenance and quarantine</x:v>
      </x:c>
      <x:c r="G27" s="21" t="str">
        <x:v>Enable blinded inspection, removal, decontamination and quarantine with declared tools and time.</x:v>
      </x:c>
      <x:c r="H27" s="21" t="str">
        <x:v>family access limit and lawful custody</x:v>
      </x:c>
      <x:c r="I27" s="21" t="str">
        <x:v>article evidence authority</x:v>
      </x:c>
      <x:c r="J27" s="21" t="str">
        <x:v>FROZEN</x:v>
      </x:c>
      <x:c r="K27" s="23" t="str">
        <x:v>OPEN</x:v>
      </x:c>
    </x:row>
    <x:row r="28">
      <x:c r="B28" s="21" t="str">
        <x:v>TTC-T01-Q10</x:v>
      </x:c>
      <x:c r="C28" s="21" t="str">
        <x:v>TTC-T01</x:v>
      </x:c>
      <x:c r="D28" s="21" t="str">
        <x:v>Terrain tile cassette</x:v>
      </x:c>
      <x:c r="E28" s="21" t="str">
        <x:v>Q10</x:v>
      </x:c>
      <x:c r="F28" s="21" t="str">
        <x:v>decisive ancestry</x:v>
      </x:c>
      <x:c r="G28" s="21" t="str">
        <x:v>Disclose the component, process, firmware, facility and calibration roots that can create common failure.</x:v>
      </x:c>
      <x:c r="H28" s="21" t="str">
        <x:v>no undisclosed decisive root</x:v>
      </x:c>
      <x:c r="I28" s="21" t="str">
        <x:v>article evidence authority</x:v>
      </x:c>
      <x:c r="J28" s="21" t="str">
        <x:v>FROZEN</x:v>
      </x:c>
      <x:c r="K28" s="23" t="str">
        <x:v>OPEN</x:v>
      </x:c>
    </x:row>
    <x:row r="29">
      <x:c r="B29" s="21" t="str">
        <x:v>TTC-T01-Q11</x:v>
      </x:c>
      <x:c r="C29" s="21" t="str">
        <x:v>TTC-T01</x:v>
      </x:c>
      <x:c r="D29" s="21" t="str">
        <x:v>Terrain tile cassette</x:v>
      </x:c>
      <x:c r="E29" s="21" t="str">
        <x:v>Q11</x:v>
      </x:c>
      <x:c r="F29" s="21" t="str">
        <x:v>technical rights and reproduction</x:v>
      </x:c>
      <x:c r="G29" s="21" t="str">
        <x:v>Grant teardown, second-team build, interface and evidence-data rights.</x:v>
      </x:c>
      <x:c r="H29" s="21" t="str">
        <x:v>government can reproduce the decision</x:v>
      </x:c>
      <x:c r="I29" s="21" t="str">
        <x:v>article evidence authority</x:v>
      </x:c>
      <x:c r="J29" s="21" t="str">
        <x:v>FROZEN</x:v>
      </x:c>
      <x:c r="K29" s="23" t="str">
        <x:v>OPEN</x:v>
      </x:c>
    </x:row>
    <x:row r="30">
      <x:c r="B30" s="21" t="str">
        <x:v>TTC-T01-Q12</x:v>
      </x:c>
      <x:c r="C30" s="21" t="str">
        <x:v>TTC-T01</x:v>
      </x:c>
      <x:c r="D30" s="21" t="str">
        <x:v>Terrain tile cassette</x:v>
      </x:c>
      <x:c r="E30" s="21" t="str">
        <x:v>Q12</x:v>
      </x:c>
      <x:c r="F30" s="21" t="str">
        <x:v>facility schedule and cost</x:v>
      </x:c>
      <x:c r="G30" s="21" t="str">
        <x:v>Name qualified facilities, long leads, lot releases, milestone artifacts and constant-dollar ceiling.</x:v>
      </x:c>
      <x:c r="H30" s="21" t="str">
        <x:v>all articles available before registered need</x:v>
      </x:c>
      <x:c r="I30" s="21" t="str">
        <x:v>article evidence authority</x:v>
      </x:c>
      <x:c r="J30" s="21" t="str">
        <x:v>FROZEN</x:v>
      </x:c>
      <x:c r="K30" s="23" t="str">
        <x:v>OPEN</x:v>
      </x:c>
    </x:row>
    <x:row r="31">
      <x:c r="B31" s="21" t="str">
        <x:v>ACN-A01-Q01</x:v>
      </x:c>
      <x:c r="C31" s="21" t="str">
        <x:v>ACN-A01</x:v>
      </x:c>
      <x:c r="D31" s="21" t="str">
        <x:v>Air carrier node</x:v>
      </x:c>
      <x:c r="E31" s="21" t="str">
        <x:v>Q01</x:v>
      </x:c>
      <x:c r="F31" s="21" t="str">
        <x:v>public effect boundary</x:v>
      </x:c>
      <x:c r="G31" s="21" t="str">
        <x:v>Define the observation needed to falsify the registered mission without helping it.</x:v>
      </x:c>
      <x:c r="H31" s="21" t="str">
        <x:v>complete local decision and invalid-state grammar</x:v>
      </x:c>
      <x:c r="I31" s="21" t="str">
        <x:v>air evidence authority</x:v>
      </x:c>
      <x:c r="J31" s="21" t="str">
        <x:v>FROZEN</x:v>
      </x:c>
      <x:c r="K31" s="23" t="str">
        <x:v>OPEN</x:v>
      </x:c>
    </x:row>
    <x:row r="32">
      <x:c r="B32" s="21" t="str">
        <x:v>ACN-A01-Q02</x:v>
      </x:c>
      <x:c r="C32" s="21" t="str">
        <x:v>ACN-A01</x:v>
      </x:c>
      <x:c r="D32" s="21" t="str">
        <x:v>Air carrier node</x:v>
      </x:c>
      <x:c r="E32" s="21" t="str">
        <x:v>Q02</x:v>
      </x:c>
      <x:c r="F32" s="21" t="str">
        <x:v>mass volume and reserve</x:v>
      </x:c>
      <x:c r="G32" s="21" t="str">
        <x:v>Close installed mass, cube, moments and access while preserving 10 percent integration and 5 percent growth reserve.</x:v>
      </x:c>
      <x:c r="H32" s="21" t="str">
        <x:v>inside frozen family envelope with both reserves explicit</x:v>
      </x:c>
      <x:c r="I32" s="21" t="str">
        <x:v>air evidence authority</x:v>
      </x:c>
      <x:c r="J32" s="21" t="str">
        <x:v>FROZEN</x:v>
      </x:c>
      <x:c r="K32" s="23" t="str">
        <x:v>OPEN</x:v>
      </x:c>
    </x:row>
    <x:row r="33">
      <x:c r="B33" s="21" t="str">
        <x:v>ACN-A01-Q03</x:v>
      </x:c>
      <x:c r="C33" s="21" t="str">
        <x:v>ACN-A01</x:v>
      </x:c>
      <x:c r="D33" s="21" t="str">
        <x:v>Air carrier node</x:v>
      </x:c>
      <x:c r="E33" s="21" t="str">
        <x:v>Q03</x:v>
      </x:c>
      <x:c r="F33" s="21" t="str">
        <x:v>independent endurance</x:v>
      </x:c>
      <x:c r="G33" s="21" t="str">
        <x:v>Supply 168 hours plus 25 percent nameplate reserve without mission power or recharge.</x:v>
      </x:c>
      <x:c r="H33" s="21" t="str">
        <x:v>full interval and registered peak sequence</x:v>
      </x:c>
      <x:c r="I33" s="21" t="str">
        <x:v>air evidence authority</x:v>
      </x:c>
      <x:c r="J33" s="21" t="str">
        <x:v>FROZEN</x:v>
      </x:c>
      <x:c r="K33" s="23" t="str">
        <x:v>OPEN</x:v>
      </x:c>
    </x:row>
    <x:row r="34">
      <x:c r="B34" s="21" t="str">
        <x:v>ACN-A01-Q04</x:v>
      </x:c>
      <x:c r="C34" s="21" t="str">
        <x:v>ACN-A01</x:v>
      </x:c>
      <x:c r="D34" s="21" t="str">
        <x:v>Air carrier node</x:v>
      </x:c>
      <x:c r="E34" s="21" t="str">
        <x:v>Q04</x:v>
      </x:c>
      <x:c r="F34" s="21" t="str">
        <x:v>outward thermal rejection</x:v>
      </x:c>
      <x:c r="G34" s="21" t="str">
        <x:v>Reject steady, peak and fault heat without using the mission structure as an undeclared sink.</x:v>
      </x:c>
      <x:c r="H34" s="21" t="str">
        <x:v>all evidence heat crosses its own measured boundary</x:v>
      </x:c>
      <x:c r="I34" s="21" t="str">
        <x:v>air evidence authority</x:v>
      </x:c>
      <x:c r="J34" s="21" t="str">
        <x:v>FROZEN</x:v>
      </x:c>
      <x:c r="K34" s="23" t="str">
        <x:v>OPEN</x:v>
      </x:c>
    </x:row>
    <x:row r="35">
      <x:c r="B35" s="21" t="str">
        <x:v>ACN-A01-Q05</x:v>
      </x:c>
      <x:c r="C35" s="21" t="str">
        <x:v>ACN-A01</x:v>
      </x:c>
      <x:c r="D35" s="21" t="str">
        <x:v>Air carrier node</x:v>
      </x:c>
      <x:c r="E35" s="21" t="str">
        <x:v>Q05</x:v>
      </x:c>
      <x:c r="F35" s="21" t="str">
        <x:v>complete local original</x:v>
      </x:c>
      <x:c r="G35" s="21" t="str">
        <x:v>Retain every original segment, clock state and explicit invalid interval through network and one-media loss.</x:v>
      </x:c>
      <x:c r="H35" s="21" t="str">
        <x:v>complete original or declared bounded loss</x:v>
      </x:c>
      <x:c r="I35" s="21" t="str">
        <x:v>air evidence authority</x:v>
      </x:c>
      <x:c r="J35" s="21" t="str">
        <x:v>FROZEN</x:v>
      </x:c>
      <x:c r="K35" s="23" t="str">
        <x:v>OPEN</x:v>
      </x:c>
    </x:row>
    <x:row r="36">
      <x:c r="B36" s="21" t="str">
        <x:v>ACN-A01-Q06</x:v>
      </x:c>
      <x:c r="C36" s="21" t="str">
        <x:v>ACN-A01</x:v>
      </x:c>
      <x:c r="D36" s="21" t="str">
        <x:v>Air carrier node</x:v>
      </x:c>
      <x:c r="E36" s="21" t="str">
        <x:v>Q06</x:v>
      </x:c>
      <x:c r="F36" s="21" t="str">
        <x:v>denied event time</x:v>
      </x:c>
      <x:c r="G36" s="21" t="str">
        <x:v>Order all decisive events after external time and network loss.</x:v>
      </x:c>
      <x:c r="H36" s="21" t="str">
        <x:v>inside family U95 allocation</x:v>
      </x:c>
      <x:c r="I36" s="21" t="str">
        <x:v>air evidence authority</x:v>
      </x:c>
      <x:c r="J36" s="21" t="str">
        <x:v>FROZEN</x:v>
      </x:c>
      <x:c r="K36" s="23" t="str">
        <x:v>OPEN</x:v>
      </x:c>
    </x:row>
    <x:row r="37">
      <x:c r="B37" s="21" t="str">
        <x:v>ACN-A01-Q07</x:v>
      </x:c>
      <x:c r="C37" s="21" t="str">
        <x:v>ACN-A01</x:v>
      </x:c>
      <x:c r="D37" s="21" t="str">
        <x:v>Air carrier node</x:v>
      </x:c>
      <x:c r="E37" s="21" t="str">
        <x:v>Q07</x:v>
      </x:c>
      <x:c r="F37" s="21" t="str">
        <x:v>physical non-actuation</x:v>
      </x:c>
      <x:c r="G37" s="21" t="str">
        <x:v>Demonstrate zero useful reverse energy, return data, control authority and mission contribution.</x:v>
      </x:c>
      <x:c r="H37" s="21" t="str">
        <x:v>teardown and injection show no useful path</x:v>
      </x:c>
      <x:c r="I37" s="21" t="str">
        <x:v>air evidence authority</x:v>
      </x:c>
      <x:c r="J37" s="21" t="str">
        <x:v>FROZEN</x:v>
      </x:c>
      <x:c r="K37" s="23" t="str">
        <x:v>OPEN</x:v>
      </x:c>
    </x:row>
    <x:row r="38">
      <x:c r="B38" s="21" t="str">
        <x:v>ACN-A01-Q08</x:v>
      </x:c>
      <x:c r="C38" s="21" t="str">
        <x:v>ACN-A01</x:v>
      </x:c>
      <x:c r="D38" s="21" t="str">
        <x:v>Air carrier node</x:v>
      </x:c>
      <x:c r="E38" s="21" t="str">
        <x:v>Q08</x:v>
      </x:c>
      <x:c r="F38" s="21" t="str">
        <x:v>hazard behavior</x:v>
      </x:c>
      <x:c r="G38" s="21" t="str">
        <x:v>Survive or explicitly invalidate across shock, vibration, thermal, water, dust, chemistry and fire.</x:v>
      </x:c>
      <x:c r="H38" s="21" t="str">
        <x:v>no silent state and safe disposition</x:v>
      </x:c>
      <x:c r="I38" s="21" t="str">
        <x:v>air evidence authority</x:v>
      </x:c>
      <x:c r="J38" s="21" t="str">
        <x:v>FROZEN</x:v>
      </x:c>
      <x:c r="K38" s="23" t="str">
        <x:v>OPEN</x:v>
      </x:c>
    </x:row>
    <x:row r="39">
      <x:c r="B39" s="21" t="str">
        <x:v>ACN-A01-Q09</x:v>
      </x:c>
      <x:c r="C39" s="21" t="str">
        <x:v>ACN-A01</x:v>
      </x:c>
      <x:c r="D39" s="21" t="str">
        <x:v>Air carrier node</x:v>
      </x:c>
      <x:c r="E39" s="21" t="str">
        <x:v>Q09</x:v>
      </x:c>
      <x:c r="F39" s="21" t="str">
        <x:v>maintenance and quarantine</x:v>
      </x:c>
      <x:c r="G39" s="21" t="str">
        <x:v>Enable blinded inspection, removal, decontamination and quarantine with declared tools and time.</x:v>
      </x:c>
      <x:c r="H39" s="21" t="str">
        <x:v>family access limit and lawful custody</x:v>
      </x:c>
      <x:c r="I39" s="21" t="str">
        <x:v>air evidence authority</x:v>
      </x:c>
      <x:c r="J39" s="21" t="str">
        <x:v>FROZEN</x:v>
      </x:c>
      <x:c r="K39" s="23" t="str">
        <x:v>OPEN</x:v>
      </x:c>
    </x:row>
    <x:row r="40">
      <x:c r="B40" s="21" t="str">
        <x:v>ACN-A01-Q10</x:v>
      </x:c>
      <x:c r="C40" s="21" t="str">
        <x:v>ACN-A01</x:v>
      </x:c>
      <x:c r="D40" s="21" t="str">
        <x:v>Air carrier node</x:v>
      </x:c>
      <x:c r="E40" s="21" t="str">
        <x:v>Q10</x:v>
      </x:c>
      <x:c r="F40" s="21" t="str">
        <x:v>decisive ancestry</x:v>
      </x:c>
      <x:c r="G40" s="21" t="str">
        <x:v>Disclose the component, process, firmware, facility and calibration roots that can create common failure.</x:v>
      </x:c>
      <x:c r="H40" s="21" t="str">
        <x:v>no undisclosed decisive root</x:v>
      </x:c>
      <x:c r="I40" s="21" t="str">
        <x:v>air evidence authority</x:v>
      </x:c>
      <x:c r="J40" s="21" t="str">
        <x:v>FROZEN</x:v>
      </x:c>
      <x:c r="K40" s="23" t="str">
        <x:v>OPEN</x:v>
      </x:c>
    </x:row>
    <x:row r="41">
      <x:c r="B41" s="21" t="str">
        <x:v>ACN-A01-Q11</x:v>
      </x:c>
      <x:c r="C41" s="21" t="str">
        <x:v>ACN-A01</x:v>
      </x:c>
      <x:c r="D41" s="21" t="str">
        <x:v>Air carrier node</x:v>
      </x:c>
      <x:c r="E41" s="21" t="str">
        <x:v>Q11</x:v>
      </x:c>
      <x:c r="F41" s="21" t="str">
        <x:v>technical rights and reproduction</x:v>
      </x:c>
      <x:c r="G41" s="21" t="str">
        <x:v>Grant teardown, second-team build, interface and evidence-data rights.</x:v>
      </x:c>
      <x:c r="H41" s="21" t="str">
        <x:v>government can reproduce the decision</x:v>
      </x:c>
      <x:c r="I41" s="21" t="str">
        <x:v>air evidence authority</x:v>
      </x:c>
      <x:c r="J41" s="21" t="str">
        <x:v>FROZEN</x:v>
      </x:c>
      <x:c r="K41" s="23" t="str">
        <x:v>OPEN</x:v>
      </x:c>
    </x:row>
    <x:row r="42">
      <x:c r="B42" s="21" t="str">
        <x:v>ACN-A01-Q12</x:v>
      </x:c>
      <x:c r="C42" s="21" t="str">
        <x:v>ACN-A01</x:v>
      </x:c>
      <x:c r="D42" s="21" t="str">
        <x:v>Air carrier node</x:v>
      </x:c>
      <x:c r="E42" s="21" t="str">
        <x:v>Q12</x:v>
      </x:c>
      <x:c r="F42" s="21" t="str">
        <x:v>facility schedule and cost</x:v>
      </x:c>
      <x:c r="G42" s="21" t="str">
        <x:v>Name qualified facilities, long leads, lot releases, milestone artifacts and constant-dollar ceiling.</x:v>
      </x:c>
      <x:c r="H42" s="21" t="str">
        <x:v>all articles available before registered need</x:v>
      </x:c>
      <x:c r="I42" s="21" t="str">
        <x:v>air evidence authority</x:v>
      </x:c>
      <x:c r="J42" s="21" t="str">
        <x:v>FROZEN</x:v>
      </x:c>
      <x:c r="K42" s="23" t="str">
        <x:v>OPEN</x:v>
      </x:c>
    </x:row>
    <x:row r="43">
      <x:c r="B43" s="21" t="str">
        <x:v>TCN-T01-Q01</x:v>
      </x:c>
      <x:c r="C43" s="21" t="str">
        <x:v>TCN-T01</x:v>
      </x:c>
      <x:c r="D43" s="21" t="str">
        <x:v>Terrain carrier node</x:v>
      </x:c>
      <x:c r="E43" s="21" t="str">
        <x:v>Q01</x:v>
      </x:c>
      <x:c r="F43" s="21" t="str">
        <x:v>public effect boundary</x:v>
      </x:c>
      <x:c r="G43" s="21" t="str">
        <x:v>Define the observation needed to falsify the registered mission without helping it.</x:v>
      </x:c>
      <x:c r="H43" s="21" t="str">
        <x:v>complete local decision and invalid-state grammar</x:v>
      </x:c>
      <x:c r="I43" s="21" t="str">
        <x:v>terrain evidence authority</x:v>
      </x:c>
      <x:c r="J43" s="21" t="str">
        <x:v>FROZEN</x:v>
      </x:c>
      <x:c r="K43" s="23" t="str">
        <x:v>OPEN</x:v>
      </x:c>
    </x:row>
    <x:row r="44">
      <x:c r="B44" s="21" t="str">
        <x:v>TCN-T01-Q02</x:v>
      </x:c>
      <x:c r="C44" s="21" t="str">
        <x:v>TCN-T01</x:v>
      </x:c>
      <x:c r="D44" s="21" t="str">
        <x:v>Terrain carrier node</x:v>
      </x:c>
      <x:c r="E44" s="21" t="str">
        <x:v>Q02</x:v>
      </x:c>
      <x:c r="F44" s="21" t="str">
        <x:v>mass volume and reserve</x:v>
      </x:c>
      <x:c r="G44" s="21" t="str">
        <x:v>Close installed mass, cube, moments and access while preserving 10 percent integration and 5 percent growth reserve.</x:v>
      </x:c>
      <x:c r="H44" s="21" t="str">
        <x:v>inside frozen family envelope with both reserves explicit</x:v>
      </x:c>
      <x:c r="I44" s="21" t="str">
        <x:v>terrain evidence authority</x:v>
      </x:c>
      <x:c r="J44" s="21" t="str">
        <x:v>FROZEN</x:v>
      </x:c>
      <x:c r="K44" s="23" t="str">
        <x:v>OPEN</x:v>
      </x:c>
    </x:row>
    <x:row r="45">
      <x:c r="B45" s="21" t="str">
        <x:v>TCN-T01-Q03</x:v>
      </x:c>
      <x:c r="C45" s="21" t="str">
        <x:v>TCN-T01</x:v>
      </x:c>
      <x:c r="D45" s="21" t="str">
        <x:v>Terrain carrier node</x:v>
      </x:c>
      <x:c r="E45" s="21" t="str">
        <x:v>Q03</x:v>
      </x:c>
      <x:c r="F45" s="21" t="str">
        <x:v>independent endurance</x:v>
      </x:c>
      <x:c r="G45" s="21" t="str">
        <x:v>Supply 168 hours plus 25 percent nameplate reserve without mission power or recharge.</x:v>
      </x:c>
      <x:c r="H45" s="21" t="str">
        <x:v>full interval and registered peak sequence</x:v>
      </x:c>
      <x:c r="I45" s="21" t="str">
        <x:v>terrain evidence authority</x:v>
      </x:c>
      <x:c r="J45" s="21" t="str">
        <x:v>FROZEN</x:v>
      </x:c>
      <x:c r="K45" s="23" t="str">
        <x:v>OPEN</x:v>
      </x:c>
    </x:row>
    <x:row r="46">
      <x:c r="B46" s="21" t="str">
        <x:v>TCN-T01-Q04</x:v>
      </x:c>
      <x:c r="C46" s="21" t="str">
        <x:v>TCN-T01</x:v>
      </x:c>
      <x:c r="D46" s="21" t="str">
        <x:v>Terrain carrier node</x:v>
      </x:c>
      <x:c r="E46" s="21" t="str">
        <x:v>Q04</x:v>
      </x:c>
      <x:c r="F46" s="21" t="str">
        <x:v>outward thermal rejection</x:v>
      </x:c>
      <x:c r="G46" s="21" t="str">
        <x:v>Reject steady, peak and fault heat without using the mission structure as an undeclared sink.</x:v>
      </x:c>
      <x:c r="H46" s="21" t="str">
        <x:v>all evidence heat crosses its own measured boundary</x:v>
      </x:c>
      <x:c r="I46" s="21" t="str">
        <x:v>terrain evidence authority</x:v>
      </x:c>
      <x:c r="J46" s="21" t="str">
        <x:v>FROZEN</x:v>
      </x:c>
      <x:c r="K46" s="23" t="str">
        <x:v>OPEN</x:v>
      </x:c>
    </x:row>
    <x:row r="47">
      <x:c r="B47" s="21" t="str">
        <x:v>TCN-T01-Q05</x:v>
      </x:c>
      <x:c r="C47" s="21" t="str">
        <x:v>TCN-T01</x:v>
      </x:c>
      <x:c r="D47" s="21" t="str">
        <x:v>Terrain carrier node</x:v>
      </x:c>
      <x:c r="E47" s="21" t="str">
        <x:v>Q05</x:v>
      </x:c>
      <x:c r="F47" s="21" t="str">
        <x:v>complete local original</x:v>
      </x:c>
      <x:c r="G47" s="21" t="str">
        <x:v>Retain every original segment, clock state and explicit invalid interval through network and one-media loss.</x:v>
      </x:c>
      <x:c r="H47" s="21" t="str">
        <x:v>complete original or declared bounded loss</x:v>
      </x:c>
      <x:c r="I47" s="21" t="str">
        <x:v>terrain evidence authority</x:v>
      </x:c>
      <x:c r="J47" s="21" t="str">
        <x:v>FROZEN</x:v>
      </x:c>
      <x:c r="K47" s="23" t="str">
        <x:v>OPEN</x:v>
      </x:c>
    </x:row>
    <x:row r="48">
      <x:c r="B48" s="21" t="str">
        <x:v>TCN-T01-Q06</x:v>
      </x:c>
      <x:c r="C48" s="21" t="str">
        <x:v>TCN-T01</x:v>
      </x:c>
      <x:c r="D48" s="21" t="str">
        <x:v>Terrain carrier node</x:v>
      </x:c>
      <x:c r="E48" s="21" t="str">
        <x:v>Q06</x:v>
      </x:c>
      <x:c r="F48" s="21" t="str">
        <x:v>denied event time</x:v>
      </x:c>
      <x:c r="G48" s="21" t="str">
        <x:v>Order all decisive events after external time and network loss.</x:v>
      </x:c>
      <x:c r="H48" s="21" t="str">
        <x:v>inside family U95 allocation</x:v>
      </x:c>
      <x:c r="I48" s="21" t="str">
        <x:v>terrain evidence authority</x:v>
      </x:c>
      <x:c r="J48" s="21" t="str">
        <x:v>FROZEN</x:v>
      </x:c>
      <x:c r="K48" s="23" t="str">
        <x:v>OPEN</x:v>
      </x:c>
    </x:row>
    <x:row r="49">
      <x:c r="B49" s="21" t="str">
        <x:v>TCN-T01-Q07</x:v>
      </x:c>
      <x:c r="C49" s="21" t="str">
        <x:v>TCN-T01</x:v>
      </x:c>
      <x:c r="D49" s="21" t="str">
        <x:v>Terrain carrier node</x:v>
      </x:c>
      <x:c r="E49" s="21" t="str">
        <x:v>Q07</x:v>
      </x:c>
      <x:c r="F49" s="21" t="str">
        <x:v>physical non-actuation</x:v>
      </x:c>
      <x:c r="G49" s="21" t="str">
        <x:v>Demonstrate zero useful reverse energy, return data, control authority and mission contribution.</x:v>
      </x:c>
      <x:c r="H49" s="21" t="str">
        <x:v>teardown and injection show no useful path</x:v>
      </x:c>
      <x:c r="I49" s="21" t="str">
        <x:v>terrain evidence authority</x:v>
      </x:c>
      <x:c r="J49" s="21" t="str">
        <x:v>FROZEN</x:v>
      </x:c>
      <x:c r="K49" s="23" t="str">
        <x:v>OPEN</x:v>
      </x:c>
    </x:row>
    <x:row r="50">
      <x:c r="B50" s="21" t="str">
        <x:v>TCN-T01-Q08</x:v>
      </x:c>
      <x:c r="C50" s="21" t="str">
        <x:v>TCN-T01</x:v>
      </x:c>
      <x:c r="D50" s="21" t="str">
        <x:v>Terrain carrier node</x:v>
      </x:c>
      <x:c r="E50" s="21" t="str">
        <x:v>Q08</x:v>
      </x:c>
      <x:c r="F50" s="21" t="str">
        <x:v>hazard behavior</x:v>
      </x:c>
      <x:c r="G50" s="21" t="str">
        <x:v>Survive or explicitly invalidate across shock, vibration, thermal, water, dust, chemistry and fire.</x:v>
      </x:c>
      <x:c r="H50" s="21" t="str">
        <x:v>no silent state and safe disposition</x:v>
      </x:c>
      <x:c r="I50" s="21" t="str">
        <x:v>terrain evidence authority</x:v>
      </x:c>
      <x:c r="J50" s="21" t="str">
        <x:v>FROZEN</x:v>
      </x:c>
      <x:c r="K50" s="23" t="str">
        <x:v>OPEN</x:v>
      </x:c>
    </x:row>
    <x:row r="51">
      <x:c r="B51" s="21" t="str">
        <x:v>TCN-T01-Q09</x:v>
      </x:c>
      <x:c r="C51" s="21" t="str">
        <x:v>TCN-T01</x:v>
      </x:c>
      <x:c r="D51" s="21" t="str">
        <x:v>Terrain carrier node</x:v>
      </x:c>
      <x:c r="E51" s="21" t="str">
        <x:v>Q09</x:v>
      </x:c>
      <x:c r="F51" s="21" t="str">
        <x:v>maintenance and quarantine</x:v>
      </x:c>
      <x:c r="G51" s="21" t="str">
        <x:v>Enable blinded inspection, removal, decontamination and quarantine with declared tools and time.</x:v>
      </x:c>
      <x:c r="H51" s="21" t="str">
        <x:v>family access limit and lawful custody</x:v>
      </x:c>
      <x:c r="I51" s="21" t="str">
        <x:v>terrain evidence authority</x:v>
      </x:c>
      <x:c r="J51" s="21" t="str">
        <x:v>FROZEN</x:v>
      </x:c>
      <x:c r="K51" s="23" t="str">
        <x:v>OPEN</x:v>
      </x:c>
    </x:row>
    <x:row r="52">
      <x:c r="B52" s="21" t="str">
        <x:v>TCN-T01-Q10</x:v>
      </x:c>
      <x:c r="C52" s="21" t="str">
        <x:v>TCN-T01</x:v>
      </x:c>
      <x:c r="D52" s="21" t="str">
        <x:v>Terrain carrier node</x:v>
      </x:c>
      <x:c r="E52" s="21" t="str">
        <x:v>Q10</x:v>
      </x:c>
      <x:c r="F52" s="21" t="str">
        <x:v>decisive ancestry</x:v>
      </x:c>
      <x:c r="G52" s="21" t="str">
        <x:v>Disclose the component, process, firmware, facility and calibration roots that can create common failure.</x:v>
      </x:c>
      <x:c r="H52" s="21" t="str">
        <x:v>no undisclosed decisive root</x:v>
      </x:c>
      <x:c r="I52" s="21" t="str">
        <x:v>terrain evidence authority</x:v>
      </x:c>
      <x:c r="J52" s="21" t="str">
        <x:v>FROZEN</x:v>
      </x:c>
      <x:c r="K52" s="23" t="str">
        <x:v>OPEN</x:v>
      </x:c>
    </x:row>
    <x:row r="53">
      <x:c r="B53" s="21" t="str">
        <x:v>TCN-T01-Q11</x:v>
      </x:c>
      <x:c r="C53" s="21" t="str">
        <x:v>TCN-T01</x:v>
      </x:c>
      <x:c r="D53" s="21" t="str">
        <x:v>Terrain carrier node</x:v>
      </x:c>
      <x:c r="E53" s="21" t="str">
        <x:v>Q11</x:v>
      </x:c>
      <x:c r="F53" s="21" t="str">
        <x:v>technical rights and reproduction</x:v>
      </x:c>
      <x:c r="G53" s="21" t="str">
        <x:v>Grant teardown, second-team build, interface and evidence-data rights.</x:v>
      </x:c>
      <x:c r="H53" s="21" t="str">
        <x:v>government can reproduce the decision</x:v>
      </x:c>
      <x:c r="I53" s="21" t="str">
        <x:v>terrain evidence authority</x:v>
      </x:c>
      <x:c r="J53" s="21" t="str">
        <x:v>FROZEN</x:v>
      </x:c>
      <x:c r="K53" s="23" t="str">
        <x:v>OPEN</x:v>
      </x:c>
    </x:row>
    <x:row r="54">
      <x:c r="B54" s="21" t="str">
        <x:v>TCN-T01-Q12</x:v>
      </x:c>
      <x:c r="C54" s="21" t="str">
        <x:v>TCN-T01</x:v>
      </x:c>
      <x:c r="D54" s="21" t="str">
        <x:v>Terrain carrier node</x:v>
      </x:c>
      <x:c r="E54" s="21" t="str">
        <x:v>Q12</x:v>
      </x:c>
      <x:c r="F54" s="21" t="str">
        <x:v>facility schedule and cost</x:v>
      </x:c>
      <x:c r="G54" s="21" t="str">
        <x:v>Name qualified facilities, long leads, lot releases, milestone artifacts and constant-dollar ceiling.</x:v>
      </x:c>
      <x:c r="H54" s="21" t="str">
        <x:v>all articles available before registered need</x:v>
      </x:c>
      <x:c r="I54" s="21" t="str">
        <x:v>terrain evidence authority</x:v>
      </x:c>
      <x:c r="J54" s="21" t="str">
        <x:v>FROZEN</x:v>
      </x:c>
      <x:c r="K54" s="23" t="str">
        <x:v>OPEN</x:v>
      </x:c>
    </x:row>
    <x:row r="55">
      <x:c r="B55" s="21" t="str">
        <x:v>CRS-R01-Q01</x:v>
      </x:c>
      <x:c r="C55" s="21" t="str">
        <x:v>CRS-R01</x:v>
      </x:c>
      <x:c r="D55" s="21" t="str">
        <x:v>Civil receiver</x:v>
      </x:c>
      <x:c r="E55" s="21" t="str">
        <x:v>Q01</x:v>
      </x:c>
      <x:c r="F55" s="21" t="str">
        <x:v>public effect boundary</x:v>
      </x:c>
      <x:c r="G55" s="21" t="str">
        <x:v>Define the observation needed to falsify the registered mission without helping it.</x:v>
      </x:c>
      <x:c r="H55" s="21" t="str">
        <x:v>complete local decision and invalid-state grammar</x:v>
      </x:c>
      <x:c r="I55" s="21" t="str">
        <x:v>civil-effect authority</x:v>
      </x:c>
      <x:c r="J55" s="21" t="str">
        <x:v>FROZEN</x:v>
      </x:c>
      <x:c r="K55" s="23" t="str">
        <x:v>OPEN</x:v>
      </x:c>
    </x:row>
    <x:row r="56">
      <x:c r="B56" s="21" t="str">
        <x:v>CRS-R01-Q02</x:v>
      </x:c>
      <x:c r="C56" s="21" t="str">
        <x:v>CRS-R01</x:v>
      </x:c>
      <x:c r="D56" s="21" t="str">
        <x:v>Civil receiver</x:v>
      </x:c>
      <x:c r="E56" s="21" t="str">
        <x:v>Q02</x:v>
      </x:c>
      <x:c r="F56" s="21" t="str">
        <x:v>mass volume and reserve</x:v>
      </x:c>
      <x:c r="G56" s="21" t="str">
        <x:v>Close installed mass, cube, moments and access while preserving 10 percent integration and 5 percent growth reserve.</x:v>
      </x:c>
      <x:c r="H56" s="21" t="str">
        <x:v>inside frozen family envelope with both reserves explicit</x:v>
      </x:c>
      <x:c r="I56" s="21" t="str">
        <x:v>civil-effect authority</x:v>
      </x:c>
      <x:c r="J56" s="21" t="str">
        <x:v>FROZEN</x:v>
      </x:c>
      <x:c r="K56" s="23" t="str">
        <x:v>OPEN</x:v>
      </x:c>
    </x:row>
    <x:row r="57">
      <x:c r="B57" s="21" t="str">
        <x:v>CRS-R01-Q03</x:v>
      </x:c>
      <x:c r="C57" s="21" t="str">
        <x:v>CRS-R01</x:v>
      </x:c>
      <x:c r="D57" s="21" t="str">
        <x:v>Civil receiver</x:v>
      </x:c>
      <x:c r="E57" s="21" t="str">
        <x:v>Q03</x:v>
      </x:c>
      <x:c r="F57" s="21" t="str">
        <x:v>independent endurance</x:v>
      </x:c>
      <x:c r="G57" s="21" t="str">
        <x:v>Supply 168 hours plus 25 percent nameplate reserve without mission power or recharge.</x:v>
      </x:c>
      <x:c r="H57" s="21" t="str">
        <x:v>full interval and registered peak sequence</x:v>
      </x:c>
      <x:c r="I57" s="21" t="str">
        <x:v>civil-effect authority</x:v>
      </x:c>
      <x:c r="J57" s="21" t="str">
        <x:v>FROZEN</x:v>
      </x:c>
      <x:c r="K57" s="23" t="str">
        <x:v>OPEN</x:v>
      </x:c>
    </x:row>
    <x:row r="58">
      <x:c r="B58" s="21" t="str">
        <x:v>CRS-R01-Q04</x:v>
      </x:c>
      <x:c r="C58" s="21" t="str">
        <x:v>CRS-R01</x:v>
      </x:c>
      <x:c r="D58" s="21" t="str">
        <x:v>Civil receiver</x:v>
      </x:c>
      <x:c r="E58" s="21" t="str">
        <x:v>Q04</x:v>
      </x:c>
      <x:c r="F58" s="21" t="str">
        <x:v>outward thermal rejection</x:v>
      </x:c>
      <x:c r="G58" s="21" t="str">
        <x:v>Reject steady, peak and fault heat without using the mission structure as an undeclared sink.</x:v>
      </x:c>
      <x:c r="H58" s="21" t="str">
        <x:v>all evidence heat crosses its own measured boundary</x:v>
      </x:c>
      <x:c r="I58" s="21" t="str">
        <x:v>civil-effect authority</x:v>
      </x:c>
      <x:c r="J58" s="21" t="str">
        <x:v>FROZEN</x:v>
      </x:c>
      <x:c r="K58" s="23" t="str">
        <x:v>OPEN</x:v>
      </x:c>
    </x:row>
    <x:row r="59">
      <x:c r="B59" s="21" t="str">
        <x:v>CRS-R01-Q05</x:v>
      </x:c>
      <x:c r="C59" s="21" t="str">
        <x:v>CRS-R01</x:v>
      </x:c>
      <x:c r="D59" s="21" t="str">
        <x:v>Civil receiver</x:v>
      </x:c>
      <x:c r="E59" s="21" t="str">
        <x:v>Q05</x:v>
      </x:c>
      <x:c r="F59" s="21" t="str">
        <x:v>complete local original</x:v>
      </x:c>
      <x:c r="G59" s="21" t="str">
        <x:v>Retain every original segment, clock state and explicit invalid interval through network and one-media loss.</x:v>
      </x:c>
      <x:c r="H59" s="21" t="str">
        <x:v>complete original or declared bounded loss</x:v>
      </x:c>
      <x:c r="I59" s="21" t="str">
        <x:v>civil-effect authority</x:v>
      </x:c>
      <x:c r="J59" s="21" t="str">
        <x:v>FROZEN</x:v>
      </x:c>
      <x:c r="K59" s="23" t="str">
        <x:v>OPEN</x:v>
      </x:c>
    </x:row>
    <x:row r="60">
      <x:c r="B60" s="21" t="str">
        <x:v>CRS-R01-Q06</x:v>
      </x:c>
      <x:c r="C60" s="21" t="str">
        <x:v>CRS-R01</x:v>
      </x:c>
      <x:c r="D60" s="21" t="str">
        <x:v>Civil receiver</x:v>
      </x:c>
      <x:c r="E60" s="21" t="str">
        <x:v>Q06</x:v>
      </x:c>
      <x:c r="F60" s="21" t="str">
        <x:v>denied event time</x:v>
      </x:c>
      <x:c r="G60" s="21" t="str">
        <x:v>Order all decisive events after external time and network loss.</x:v>
      </x:c>
      <x:c r="H60" s="21" t="str">
        <x:v>inside family U95 allocation</x:v>
      </x:c>
      <x:c r="I60" s="21" t="str">
        <x:v>civil-effect authority</x:v>
      </x:c>
      <x:c r="J60" s="21" t="str">
        <x:v>FROZEN</x:v>
      </x:c>
      <x:c r="K60" s="23" t="str">
        <x:v>OPEN</x:v>
      </x:c>
    </x:row>
    <x:row r="61">
      <x:c r="B61" s="21" t="str">
        <x:v>CRS-R01-Q07</x:v>
      </x:c>
      <x:c r="C61" s="21" t="str">
        <x:v>CRS-R01</x:v>
      </x:c>
      <x:c r="D61" s="21" t="str">
        <x:v>Civil receiver</x:v>
      </x:c>
      <x:c r="E61" s="21" t="str">
        <x:v>Q07</x:v>
      </x:c>
      <x:c r="F61" s="21" t="str">
        <x:v>physical non-actuation</x:v>
      </x:c>
      <x:c r="G61" s="21" t="str">
        <x:v>Demonstrate zero useful reverse energy, return data, control authority and mission contribution.</x:v>
      </x:c>
      <x:c r="H61" s="21" t="str">
        <x:v>teardown and injection show no useful path</x:v>
      </x:c>
      <x:c r="I61" s="21" t="str">
        <x:v>civil-effect authority</x:v>
      </x:c>
      <x:c r="J61" s="21" t="str">
        <x:v>FROZEN</x:v>
      </x:c>
      <x:c r="K61" s="23" t="str">
        <x:v>OPEN</x:v>
      </x:c>
    </x:row>
    <x:row r="62">
      <x:c r="B62" s="21" t="str">
        <x:v>CRS-R01-Q08</x:v>
      </x:c>
      <x:c r="C62" s="21" t="str">
        <x:v>CRS-R01</x:v>
      </x:c>
      <x:c r="D62" s="21" t="str">
        <x:v>Civil receiver</x:v>
      </x:c>
      <x:c r="E62" s="21" t="str">
        <x:v>Q08</x:v>
      </x:c>
      <x:c r="F62" s="21" t="str">
        <x:v>hazard behavior</x:v>
      </x:c>
      <x:c r="G62" s="21" t="str">
        <x:v>Survive or explicitly invalidate across shock, vibration, thermal, water, dust, chemistry and fire.</x:v>
      </x:c>
      <x:c r="H62" s="21" t="str">
        <x:v>no silent state and safe disposition</x:v>
      </x:c>
      <x:c r="I62" s="21" t="str">
        <x:v>civil-effect authority</x:v>
      </x:c>
      <x:c r="J62" s="21" t="str">
        <x:v>FROZEN</x:v>
      </x:c>
      <x:c r="K62" s="23" t="str">
        <x:v>OPEN</x:v>
      </x:c>
    </x:row>
    <x:row r="63">
      <x:c r="B63" s="21" t="str">
        <x:v>CRS-R01-Q09</x:v>
      </x:c>
      <x:c r="C63" s="21" t="str">
        <x:v>CRS-R01</x:v>
      </x:c>
      <x:c r="D63" s="21" t="str">
        <x:v>Civil receiver</x:v>
      </x:c>
      <x:c r="E63" s="21" t="str">
        <x:v>Q09</x:v>
      </x:c>
      <x:c r="F63" s="21" t="str">
        <x:v>maintenance and quarantine</x:v>
      </x:c>
      <x:c r="G63" s="21" t="str">
        <x:v>Enable blinded inspection, removal, decontamination and quarantine with declared tools and time.</x:v>
      </x:c>
      <x:c r="H63" s="21" t="str">
        <x:v>family access limit and lawful custody</x:v>
      </x:c>
      <x:c r="I63" s="21" t="str">
        <x:v>civil-effect authority</x:v>
      </x:c>
      <x:c r="J63" s="21" t="str">
        <x:v>FROZEN</x:v>
      </x:c>
      <x:c r="K63" s="23" t="str">
        <x:v>OPEN</x:v>
      </x:c>
    </x:row>
    <x:row r="64">
      <x:c r="B64" s="21" t="str">
        <x:v>CRS-R01-Q10</x:v>
      </x:c>
      <x:c r="C64" s="21" t="str">
        <x:v>CRS-R01</x:v>
      </x:c>
      <x:c r="D64" s="21" t="str">
        <x:v>Civil receiver</x:v>
      </x:c>
      <x:c r="E64" s="21" t="str">
        <x:v>Q10</x:v>
      </x:c>
      <x:c r="F64" s="21" t="str">
        <x:v>decisive ancestry</x:v>
      </x:c>
      <x:c r="G64" s="21" t="str">
        <x:v>Disclose the component, process, firmware, facility and calibration roots that can create common failure.</x:v>
      </x:c>
      <x:c r="H64" s="21" t="str">
        <x:v>no undisclosed decisive root</x:v>
      </x:c>
      <x:c r="I64" s="21" t="str">
        <x:v>civil-effect authority</x:v>
      </x:c>
      <x:c r="J64" s="21" t="str">
        <x:v>FROZEN</x:v>
      </x:c>
      <x:c r="K64" s="23" t="str">
        <x:v>OPEN</x:v>
      </x:c>
    </x:row>
    <x:row r="65">
      <x:c r="B65" s="21" t="str">
        <x:v>CRS-R01-Q11</x:v>
      </x:c>
      <x:c r="C65" s="21" t="str">
        <x:v>CRS-R01</x:v>
      </x:c>
      <x:c r="D65" s="21" t="str">
        <x:v>Civil receiver</x:v>
      </x:c>
      <x:c r="E65" s="21" t="str">
        <x:v>Q11</x:v>
      </x:c>
      <x:c r="F65" s="21" t="str">
        <x:v>technical rights and reproduction</x:v>
      </x:c>
      <x:c r="G65" s="21" t="str">
        <x:v>Grant teardown, second-team build, interface and evidence-data rights.</x:v>
      </x:c>
      <x:c r="H65" s="21" t="str">
        <x:v>government can reproduce the decision</x:v>
      </x:c>
      <x:c r="I65" s="21" t="str">
        <x:v>civil-effect authority</x:v>
      </x:c>
      <x:c r="J65" s="21" t="str">
        <x:v>FROZEN</x:v>
      </x:c>
      <x:c r="K65" s="23" t="str">
        <x:v>OPEN</x:v>
      </x:c>
    </x:row>
    <x:row r="66">
      <x:c r="B66" s="21" t="str">
        <x:v>CRS-R01-Q12</x:v>
      </x:c>
      <x:c r="C66" s="21" t="str">
        <x:v>CRS-R01</x:v>
      </x:c>
      <x:c r="D66" s="21" t="str">
        <x:v>Civil receiver</x:v>
      </x:c>
      <x:c r="E66" s="21" t="str">
        <x:v>Q12</x:v>
      </x:c>
      <x:c r="F66" s="21" t="str">
        <x:v>facility schedule and cost</x:v>
      </x:c>
      <x:c r="G66" s="21" t="str">
        <x:v>Name qualified facilities, long leads, lot releases, milestone artifacts and constant-dollar ceiling.</x:v>
      </x:c>
      <x:c r="H66" s="21" t="str">
        <x:v>all articles available before registered need</x:v>
      </x:c>
      <x:c r="I66" s="21" t="str">
        <x:v>civil-effect authority</x:v>
      </x:c>
      <x:c r="J66" s="21" t="str">
        <x:v>FROZEN</x:v>
      </x:c>
      <x:c r="K66" s="23" t="str">
        <x:v>OPEN</x:v>
      </x:c>
    </x:row>
    <x:row r="67">
      <x:c r="B67" s="21" t="str">
        <x:v>PSS-T01-Q01</x:v>
      </x:c>
      <x:c r="C67" s="21" t="str">
        <x:v>PSS-T01</x:v>
      </x:c>
      <x:c r="D67" s="21" t="str">
        <x:v>Pressure skin</x:v>
      </x:c>
      <x:c r="E67" s="21" t="str">
        <x:v>Q01</x:v>
      </x:c>
      <x:c r="F67" s="21" t="str">
        <x:v>public effect boundary</x:v>
      </x:c>
      <x:c r="G67" s="21" t="str">
        <x:v>Define the observation needed to falsify the registered mission without helping it.</x:v>
      </x:c>
      <x:c r="H67" s="21" t="str">
        <x:v>complete local decision and invalid-state grammar</x:v>
      </x:c>
      <x:c r="I67" s="21" t="str">
        <x:v>terrain metrology</x:v>
      </x:c>
      <x:c r="J67" s="21" t="str">
        <x:v>FROZEN</x:v>
      </x:c>
      <x:c r="K67" s="23" t="str">
        <x:v>OPEN</x:v>
      </x:c>
    </x:row>
    <x:row r="68">
      <x:c r="B68" s="21" t="str">
        <x:v>PSS-T01-Q02</x:v>
      </x:c>
      <x:c r="C68" s="21" t="str">
        <x:v>PSS-T01</x:v>
      </x:c>
      <x:c r="D68" s="21" t="str">
        <x:v>Pressure skin</x:v>
      </x:c>
      <x:c r="E68" s="21" t="str">
        <x:v>Q02</x:v>
      </x:c>
      <x:c r="F68" s="21" t="str">
        <x:v>mass volume and reserve</x:v>
      </x:c>
      <x:c r="G68" s="21" t="str">
        <x:v>Close installed mass, cube, moments and access while preserving 10 percent integration and 5 percent growth reserve.</x:v>
      </x:c>
      <x:c r="H68" s="21" t="str">
        <x:v>inside frozen family envelope with both reserves explicit</x:v>
      </x:c>
      <x:c r="I68" s="21" t="str">
        <x:v>terrain metrology</x:v>
      </x:c>
      <x:c r="J68" s="21" t="str">
        <x:v>FROZEN</x:v>
      </x:c>
      <x:c r="K68" s="23" t="str">
        <x:v>OPEN</x:v>
      </x:c>
    </x:row>
    <x:row r="69">
      <x:c r="B69" s="21" t="str">
        <x:v>PSS-T01-Q03</x:v>
      </x:c>
      <x:c r="C69" s="21" t="str">
        <x:v>PSS-T01</x:v>
      </x:c>
      <x:c r="D69" s="21" t="str">
        <x:v>Pressure skin</x:v>
      </x:c>
      <x:c r="E69" s="21" t="str">
        <x:v>Q03</x:v>
      </x:c>
      <x:c r="F69" s="21" t="str">
        <x:v>independent endurance</x:v>
      </x:c>
      <x:c r="G69" s="21" t="str">
        <x:v>Supply 168 hours plus 25 percent nameplate reserve without mission power or recharge.</x:v>
      </x:c>
      <x:c r="H69" s="21" t="str">
        <x:v>full interval and registered peak sequence</x:v>
      </x:c>
      <x:c r="I69" s="21" t="str">
        <x:v>terrain metrology</x:v>
      </x:c>
      <x:c r="J69" s="21" t="str">
        <x:v>FROZEN</x:v>
      </x:c>
      <x:c r="K69" s="23" t="str">
        <x:v>OPEN</x:v>
      </x:c>
    </x:row>
    <x:row r="70">
      <x:c r="B70" s="21" t="str">
        <x:v>PSS-T01-Q04</x:v>
      </x:c>
      <x:c r="C70" s="21" t="str">
        <x:v>PSS-T01</x:v>
      </x:c>
      <x:c r="D70" s="21" t="str">
        <x:v>Pressure skin</x:v>
      </x:c>
      <x:c r="E70" s="21" t="str">
        <x:v>Q04</x:v>
      </x:c>
      <x:c r="F70" s="21" t="str">
        <x:v>outward thermal rejection</x:v>
      </x:c>
      <x:c r="G70" s="21" t="str">
        <x:v>Reject steady, peak and fault heat without using the mission structure as an undeclared sink.</x:v>
      </x:c>
      <x:c r="H70" s="21" t="str">
        <x:v>all evidence heat crosses its own measured boundary</x:v>
      </x:c>
      <x:c r="I70" s="21" t="str">
        <x:v>terrain metrology</x:v>
      </x:c>
      <x:c r="J70" s="21" t="str">
        <x:v>FROZEN</x:v>
      </x:c>
      <x:c r="K70" s="23" t="str">
        <x:v>OPEN</x:v>
      </x:c>
    </x:row>
    <x:row r="71">
      <x:c r="B71" s="21" t="str">
        <x:v>PSS-T01-Q05</x:v>
      </x:c>
      <x:c r="C71" s="21" t="str">
        <x:v>PSS-T01</x:v>
      </x:c>
      <x:c r="D71" s="21" t="str">
        <x:v>Pressure skin</x:v>
      </x:c>
      <x:c r="E71" s="21" t="str">
        <x:v>Q05</x:v>
      </x:c>
      <x:c r="F71" s="21" t="str">
        <x:v>complete local original</x:v>
      </x:c>
      <x:c r="G71" s="21" t="str">
        <x:v>Retain every original segment, clock state and explicit invalid interval through network and one-media loss.</x:v>
      </x:c>
      <x:c r="H71" s="21" t="str">
        <x:v>complete original or declared bounded loss</x:v>
      </x:c>
      <x:c r="I71" s="21" t="str">
        <x:v>terrain metrology</x:v>
      </x:c>
      <x:c r="J71" s="21" t="str">
        <x:v>FROZEN</x:v>
      </x:c>
      <x:c r="K71" s="23" t="str">
        <x:v>OPEN</x:v>
      </x:c>
    </x:row>
    <x:row r="72">
      <x:c r="B72" s="21" t="str">
        <x:v>PSS-T01-Q06</x:v>
      </x:c>
      <x:c r="C72" s="21" t="str">
        <x:v>PSS-T01</x:v>
      </x:c>
      <x:c r="D72" s="21" t="str">
        <x:v>Pressure skin</x:v>
      </x:c>
      <x:c r="E72" s="21" t="str">
        <x:v>Q06</x:v>
      </x:c>
      <x:c r="F72" s="21" t="str">
        <x:v>denied event time</x:v>
      </x:c>
      <x:c r="G72" s="21" t="str">
        <x:v>Order all decisive events after external time and network loss.</x:v>
      </x:c>
      <x:c r="H72" s="21" t="str">
        <x:v>inside family U95 allocation</x:v>
      </x:c>
      <x:c r="I72" s="21" t="str">
        <x:v>terrain metrology</x:v>
      </x:c>
      <x:c r="J72" s="21" t="str">
        <x:v>FROZEN</x:v>
      </x:c>
      <x:c r="K72" s="23" t="str">
        <x:v>OPEN</x:v>
      </x:c>
    </x:row>
    <x:row r="73">
      <x:c r="B73" s="21" t="str">
        <x:v>PSS-T01-Q07</x:v>
      </x:c>
      <x:c r="C73" s="21" t="str">
        <x:v>PSS-T01</x:v>
      </x:c>
      <x:c r="D73" s="21" t="str">
        <x:v>Pressure skin</x:v>
      </x:c>
      <x:c r="E73" s="21" t="str">
        <x:v>Q07</x:v>
      </x:c>
      <x:c r="F73" s="21" t="str">
        <x:v>physical non-actuation</x:v>
      </x:c>
      <x:c r="G73" s="21" t="str">
        <x:v>Demonstrate zero useful reverse energy, return data, control authority and mission contribution.</x:v>
      </x:c>
      <x:c r="H73" s="21" t="str">
        <x:v>teardown and injection show no useful path</x:v>
      </x:c>
      <x:c r="I73" s="21" t="str">
        <x:v>terrain metrology</x:v>
      </x:c>
      <x:c r="J73" s="21" t="str">
        <x:v>FROZEN</x:v>
      </x:c>
      <x:c r="K73" s="23" t="str">
        <x:v>OPEN</x:v>
      </x:c>
    </x:row>
    <x:row r="74">
      <x:c r="B74" s="21" t="str">
        <x:v>PSS-T01-Q08</x:v>
      </x:c>
      <x:c r="C74" s="21" t="str">
        <x:v>PSS-T01</x:v>
      </x:c>
      <x:c r="D74" s="21" t="str">
        <x:v>Pressure skin</x:v>
      </x:c>
      <x:c r="E74" s="21" t="str">
        <x:v>Q08</x:v>
      </x:c>
      <x:c r="F74" s="21" t="str">
        <x:v>hazard behavior</x:v>
      </x:c>
      <x:c r="G74" s="21" t="str">
        <x:v>Survive or explicitly invalidate across shock, vibration, thermal, water, dust, chemistry and fire.</x:v>
      </x:c>
      <x:c r="H74" s="21" t="str">
        <x:v>no silent state and safe disposition</x:v>
      </x:c>
      <x:c r="I74" s="21" t="str">
        <x:v>terrain metrology</x:v>
      </x:c>
      <x:c r="J74" s="21" t="str">
        <x:v>FROZEN</x:v>
      </x:c>
      <x:c r="K74" s="23" t="str">
        <x:v>OPEN</x:v>
      </x:c>
    </x:row>
    <x:row r="75">
      <x:c r="B75" s="21" t="str">
        <x:v>PSS-T01-Q09</x:v>
      </x:c>
      <x:c r="C75" s="21" t="str">
        <x:v>PSS-T01</x:v>
      </x:c>
      <x:c r="D75" s="21" t="str">
        <x:v>Pressure skin</x:v>
      </x:c>
      <x:c r="E75" s="21" t="str">
        <x:v>Q09</x:v>
      </x:c>
      <x:c r="F75" s="21" t="str">
        <x:v>maintenance and quarantine</x:v>
      </x:c>
      <x:c r="G75" s="21" t="str">
        <x:v>Enable blinded inspection, removal, decontamination and quarantine with declared tools and time.</x:v>
      </x:c>
      <x:c r="H75" s="21" t="str">
        <x:v>family access limit and lawful custody</x:v>
      </x:c>
      <x:c r="I75" s="21" t="str">
        <x:v>terrain metrology</x:v>
      </x:c>
      <x:c r="J75" s="21" t="str">
        <x:v>FROZEN</x:v>
      </x:c>
      <x:c r="K75" s="23" t="str">
        <x:v>OPEN</x:v>
      </x:c>
    </x:row>
    <x:row r="76">
      <x:c r="B76" s="21" t="str">
        <x:v>PSS-T01-Q10</x:v>
      </x:c>
      <x:c r="C76" s="21" t="str">
        <x:v>PSS-T01</x:v>
      </x:c>
      <x:c r="D76" s="21" t="str">
        <x:v>Pressure skin</x:v>
      </x:c>
      <x:c r="E76" s="21" t="str">
        <x:v>Q10</x:v>
      </x:c>
      <x:c r="F76" s="21" t="str">
        <x:v>decisive ancestry</x:v>
      </x:c>
      <x:c r="G76" s="21" t="str">
        <x:v>Disclose the component, process, firmware, facility and calibration roots that can create common failure.</x:v>
      </x:c>
      <x:c r="H76" s="21" t="str">
        <x:v>no undisclosed decisive root</x:v>
      </x:c>
      <x:c r="I76" s="21" t="str">
        <x:v>terrain metrology</x:v>
      </x:c>
      <x:c r="J76" s="21" t="str">
        <x:v>FROZEN</x:v>
      </x:c>
      <x:c r="K76" s="23" t="str">
        <x:v>OPEN</x:v>
      </x:c>
    </x:row>
    <x:row r="77">
      <x:c r="B77" s="21" t="str">
        <x:v>PSS-T01-Q11</x:v>
      </x:c>
      <x:c r="C77" s="21" t="str">
        <x:v>PSS-T01</x:v>
      </x:c>
      <x:c r="D77" s="21" t="str">
        <x:v>Pressure skin</x:v>
      </x:c>
      <x:c r="E77" s="21" t="str">
        <x:v>Q11</x:v>
      </x:c>
      <x:c r="F77" s="21" t="str">
        <x:v>technical rights and reproduction</x:v>
      </x:c>
      <x:c r="G77" s="21" t="str">
        <x:v>Grant teardown, second-team build, interface and evidence-data rights.</x:v>
      </x:c>
      <x:c r="H77" s="21" t="str">
        <x:v>government can reproduce the decision</x:v>
      </x:c>
      <x:c r="I77" s="21" t="str">
        <x:v>terrain metrology</x:v>
      </x:c>
      <x:c r="J77" s="21" t="str">
        <x:v>FROZEN</x:v>
      </x:c>
      <x:c r="K77" s="23" t="str">
        <x:v>OPEN</x:v>
      </x:c>
    </x:row>
    <x:row r="78">
      <x:c r="B78" s="21" t="str">
        <x:v>PSS-T01-Q12</x:v>
      </x:c>
      <x:c r="C78" s="21" t="str">
        <x:v>PSS-T01</x:v>
      </x:c>
      <x:c r="D78" s="21" t="str">
        <x:v>Pressure skin</x:v>
      </x:c>
      <x:c r="E78" s="21" t="str">
        <x:v>Q12</x:v>
      </x:c>
      <x:c r="F78" s="21" t="str">
        <x:v>facility schedule and cost</x:v>
      </x:c>
      <x:c r="G78" s="21" t="str">
        <x:v>Name qualified facilities, long leads, lot releases, milestone artifacts and constant-dollar ceiling.</x:v>
      </x:c>
      <x:c r="H78" s="21" t="str">
        <x:v>all articles available before registered need</x:v>
      </x:c>
      <x:c r="I78" s="21" t="str">
        <x:v>terrain metrology</x:v>
      </x:c>
      <x:c r="J78" s="21" t="str">
        <x:v>FROZEN</x:v>
      </x:c>
      <x:c r="K78" s="23" t="str">
        <x:v>OPEN</x:v>
      </x:c>
    </x:row>
    <x:row r="79">
      <x:c r="B79" s="21" t="str">
        <x:v>PIF-I01-Q01</x:v>
      </x:c>
      <x:c r="C79" s="21" t="str">
        <x:v>PIF-I01</x:v>
      </x:c>
      <x:c r="D79" s="21" t="str">
        <x:v>Passive interface</x:v>
      </x:c>
      <x:c r="E79" s="21" t="str">
        <x:v>Q01</x:v>
      </x:c>
      <x:c r="F79" s="21" t="str">
        <x:v>public effect boundary</x:v>
      </x:c>
      <x:c r="G79" s="21" t="str">
        <x:v>Define the observation needed to falsify the registered mission without helping it.</x:v>
      </x:c>
      <x:c r="H79" s="21" t="str">
        <x:v>complete local decision and invalid-state grammar</x:v>
      </x:c>
      <x:c r="I79" s="21" t="str">
        <x:v>interface authority</x:v>
      </x:c>
      <x:c r="J79" s="21" t="str">
        <x:v>FROZEN</x:v>
      </x:c>
      <x:c r="K79" s="23" t="str">
        <x:v>OPEN</x:v>
      </x:c>
    </x:row>
    <x:row r="80">
      <x:c r="B80" s="21" t="str">
        <x:v>PIF-I01-Q02</x:v>
      </x:c>
      <x:c r="C80" s="21" t="str">
        <x:v>PIF-I01</x:v>
      </x:c>
      <x:c r="D80" s="21" t="str">
        <x:v>Passive interface</x:v>
      </x:c>
      <x:c r="E80" s="21" t="str">
        <x:v>Q02</x:v>
      </x:c>
      <x:c r="F80" s="21" t="str">
        <x:v>mass volume and reserve</x:v>
      </x:c>
      <x:c r="G80" s="21" t="str">
        <x:v>Close installed mass, cube, moments and access while preserving 10 percent integration and 5 percent growth reserve.</x:v>
      </x:c>
      <x:c r="H80" s="21" t="str">
        <x:v>inside frozen family envelope with both reserves explicit</x:v>
      </x:c>
      <x:c r="I80" s="21" t="str">
        <x:v>interface authority</x:v>
      </x:c>
      <x:c r="J80" s="21" t="str">
        <x:v>FROZEN</x:v>
      </x:c>
      <x:c r="K80" s="23" t="str">
        <x:v>OPEN</x:v>
      </x:c>
    </x:row>
    <x:row r="81">
      <x:c r="B81" s="21" t="str">
        <x:v>PIF-I01-Q03</x:v>
      </x:c>
      <x:c r="C81" s="21" t="str">
        <x:v>PIF-I01</x:v>
      </x:c>
      <x:c r="D81" s="21" t="str">
        <x:v>Passive interface</x:v>
      </x:c>
      <x:c r="E81" s="21" t="str">
        <x:v>Q03</x:v>
      </x:c>
      <x:c r="F81" s="21" t="str">
        <x:v>independent endurance</x:v>
      </x:c>
      <x:c r="G81" s="21" t="str">
        <x:v>Supply 168 hours plus 25 percent nameplate reserve without mission power or recharge.</x:v>
      </x:c>
      <x:c r="H81" s="21" t="str">
        <x:v>full interval and registered peak sequence</x:v>
      </x:c>
      <x:c r="I81" s="21" t="str">
        <x:v>interface authority</x:v>
      </x:c>
      <x:c r="J81" s="21" t="str">
        <x:v>FROZEN</x:v>
      </x:c>
      <x:c r="K81" s="23" t="str">
        <x:v>OPEN</x:v>
      </x:c>
    </x:row>
    <x:row r="82">
      <x:c r="B82" s="21" t="str">
        <x:v>PIF-I01-Q04</x:v>
      </x:c>
      <x:c r="C82" s="21" t="str">
        <x:v>PIF-I01</x:v>
      </x:c>
      <x:c r="D82" s="21" t="str">
        <x:v>Passive interface</x:v>
      </x:c>
      <x:c r="E82" s="21" t="str">
        <x:v>Q04</x:v>
      </x:c>
      <x:c r="F82" s="21" t="str">
        <x:v>outward thermal rejection</x:v>
      </x:c>
      <x:c r="G82" s="21" t="str">
        <x:v>Reject steady, peak and fault heat without using the mission structure as an undeclared sink.</x:v>
      </x:c>
      <x:c r="H82" s="21" t="str">
        <x:v>all evidence heat crosses its own measured boundary</x:v>
      </x:c>
      <x:c r="I82" s="21" t="str">
        <x:v>interface authority</x:v>
      </x:c>
      <x:c r="J82" s="21" t="str">
        <x:v>FROZEN</x:v>
      </x:c>
      <x:c r="K82" s="23" t="str">
        <x:v>OPEN</x:v>
      </x:c>
    </x:row>
    <x:row r="83">
      <x:c r="B83" s="21" t="str">
        <x:v>PIF-I01-Q05</x:v>
      </x:c>
      <x:c r="C83" s="21" t="str">
        <x:v>PIF-I01</x:v>
      </x:c>
      <x:c r="D83" s="21" t="str">
        <x:v>Passive interface</x:v>
      </x:c>
      <x:c r="E83" s="21" t="str">
        <x:v>Q05</x:v>
      </x:c>
      <x:c r="F83" s="21" t="str">
        <x:v>complete local original</x:v>
      </x:c>
      <x:c r="G83" s="21" t="str">
        <x:v>Retain every original segment, clock state and explicit invalid interval through network and one-media loss.</x:v>
      </x:c>
      <x:c r="H83" s="21" t="str">
        <x:v>complete original or declared bounded loss</x:v>
      </x:c>
      <x:c r="I83" s="21" t="str">
        <x:v>interface authority</x:v>
      </x:c>
      <x:c r="J83" s="21" t="str">
        <x:v>FROZEN</x:v>
      </x:c>
      <x:c r="K83" s="23" t="str">
        <x:v>OPEN</x:v>
      </x:c>
    </x:row>
    <x:row r="84">
      <x:c r="B84" s="21" t="str">
        <x:v>PIF-I01-Q06</x:v>
      </x:c>
      <x:c r="C84" s="21" t="str">
        <x:v>PIF-I01</x:v>
      </x:c>
      <x:c r="D84" s="21" t="str">
        <x:v>Passive interface</x:v>
      </x:c>
      <x:c r="E84" s="21" t="str">
        <x:v>Q06</x:v>
      </x:c>
      <x:c r="F84" s="21" t="str">
        <x:v>denied event time</x:v>
      </x:c>
      <x:c r="G84" s="21" t="str">
        <x:v>Order all decisive events after external time and network loss.</x:v>
      </x:c>
      <x:c r="H84" s="21" t="str">
        <x:v>inside family U95 allocation</x:v>
      </x:c>
      <x:c r="I84" s="21" t="str">
        <x:v>interface authority</x:v>
      </x:c>
      <x:c r="J84" s="21" t="str">
        <x:v>FROZEN</x:v>
      </x:c>
      <x:c r="K84" s="23" t="str">
        <x:v>OPEN</x:v>
      </x:c>
    </x:row>
    <x:row r="85">
      <x:c r="B85" s="21" t="str">
        <x:v>PIF-I01-Q07</x:v>
      </x:c>
      <x:c r="C85" s="21" t="str">
        <x:v>PIF-I01</x:v>
      </x:c>
      <x:c r="D85" s="21" t="str">
        <x:v>Passive interface</x:v>
      </x:c>
      <x:c r="E85" s="21" t="str">
        <x:v>Q07</x:v>
      </x:c>
      <x:c r="F85" s="21" t="str">
        <x:v>physical non-actuation</x:v>
      </x:c>
      <x:c r="G85" s="21" t="str">
        <x:v>Demonstrate zero useful reverse energy, return data, control authority and mission contribution.</x:v>
      </x:c>
      <x:c r="H85" s="21" t="str">
        <x:v>teardown and injection show no useful path</x:v>
      </x:c>
      <x:c r="I85" s="21" t="str">
        <x:v>interface authority</x:v>
      </x:c>
      <x:c r="J85" s="21" t="str">
        <x:v>FROZEN</x:v>
      </x:c>
      <x:c r="K85" s="23" t="str">
        <x:v>OPEN</x:v>
      </x:c>
    </x:row>
    <x:row r="86">
      <x:c r="B86" s="21" t="str">
        <x:v>PIF-I01-Q08</x:v>
      </x:c>
      <x:c r="C86" s="21" t="str">
        <x:v>PIF-I01</x:v>
      </x:c>
      <x:c r="D86" s="21" t="str">
        <x:v>Passive interface</x:v>
      </x:c>
      <x:c r="E86" s="21" t="str">
        <x:v>Q08</x:v>
      </x:c>
      <x:c r="F86" s="21" t="str">
        <x:v>hazard behavior</x:v>
      </x:c>
      <x:c r="G86" s="21" t="str">
        <x:v>Survive or explicitly invalidate across shock, vibration, thermal, water, dust, chemistry and fire.</x:v>
      </x:c>
      <x:c r="H86" s="21" t="str">
        <x:v>no silent state and safe disposition</x:v>
      </x:c>
      <x:c r="I86" s="21" t="str">
        <x:v>interface authority</x:v>
      </x:c>
      <x:c r="J86" s="21" t="str">
        <x:v>FROZEN</x:v>
      </x:c>
      <x:c r="K86" s="23" t="str">
        <x:v>OPEN</x:v>
      </x:c>
    </x:row>
    <x:row r="87">
      <x:c r="B87" s="21" t="str">
        <x:v>PIF-I01-Q09</x:v>
      </x:c>
      <x:c r="C87" s="21" t="str">
        <x:v>PIF-I01</x:v>
      </x:c>
      <x:c r="D87" s="21" t="str">
        <x:v>Passive interface</x:v>
      </x:c>
      <x:c r="E87" s="21" t="str">
        <x:v>Q09</x:v>
      </x:c>
      <x:c r="F87" s="21" t="str">
        <x:v>maintenance and quarantine</x:v>
      </x:c>
      <x:c r="G87" s="21" t="str">
        <x:v>Enable blinded inspection, removal, decontamination and quarantine with declared tools and time.</x:v>
      </x:c>
      <x:c r="H87" s="21" t="str">
        <x:v>family access limit and lawful custody</x:v>
      </x:c>
      <x:c r="I87" s="21" t="str">
        <x:v>interface authority</x:v>
      </x:c>
      <x:c r="J87" s="21" t="str">
        <x:v>FROZEN</x:v>
      </x:c>
      <x:c r="K87" s="23" t="str">
        <x:v>OPEN</x:v>
      </x:c>
    </x:row>
    <x:row r="88">
      <x:c r="B88" s="21" t="str">
        <x:v>PIF-I01-Q10</x:v>
      </x:c>
      <x:c r="C88" s="21" t="str">
        <x:v>PIF-I01</x:v>
      </x:c>
      <x:c r="D88" s="21" t="str">
        <x:v>Passive interface</x:v>
      </x:c>
      <x:c r="E88" s="21" t="str">
        <x:v>Q10</x:v>
      </x:c>
      <x:c r="F88" s="21" t="str">
        <x:v>decisive ancestry</x:v>
      </x:c>
      <x:c r="G88" s="21" t="str">
        <x:v>Disclose the component, process, firmware, facility and calibration roots that can create common failure.</x:v>
      </x:c>
      <x:c r="H88" s="21" t="str">
        <x:v>no undisclosed decisive root</x:v>
      </x:c>
      <x:c r="I88" s="21" t="str">
        <x:v>interface authority</x:v>
      </x:c>
      <x:c r="J88" s="21" t="str">
        <x:v>FROZEN</x:v>
      </x:c>
      <x:c r="K88" s="23" t="str">
        <x:v>OPEN</x:v>
      </x:c>
    </x:row>
    <x:row r="89">
      <x:c r="B89" s="21" t="str">
        <x:v>PIF-I01-Q11</x:v>
      </x:c>
      <x:c r="C89" s="21" t="str">
        <x:v>PIF-I01</x:v>
      </x:c>
      <x:c r="D89" s="21" t="str">
        <x:v>Passive interface</x:v>
      </x:c>
      <x:c r="E89" s="21" t="str">
        <x:v>Q11</x:v>
      </x:c>
      <x:c r="F89" s="21" t="str">
        <x:v>technical rights and reproduction</x:v>
      </x:c>
      <x:c r="G89" s="21" t="str">
        <x:v>Grant teardown, second-team build, interface and evidence-data rights.</x:v>
      </x:c>
      <x:c r="H89" s="21" t="str">
        <x:v>government can reproduce the decision</x:v>
      </x:c>
      <x:c r="I89" s="21" t="str">
        <x:v>interface authority</x:v>
      </x:c>
      <x:c r="J89" s="21" t="str">
        <x:v>FROZEN</x:v>
      </x:c>
      <x:c r="K89" s="23" t="str">
        <x:v>OPEN</x:v>
      </x:c>
    </x:row>
    <x:row r="90">
      <x:c r="B90" s="21" t="str">
        <x:v>PIF-I01-Q12</x:v>
      </x:c>
      <x:c r="C90" s="21" t="str">
        <x:v>PIF-I01</x:v>
      </x:c>
      <x:c r="D90" s="21" t="str">
        <x:v>Passive interface</x:v>
      </x:c>
      <x:c r="E90" s="21" t="str">
        <x:v>Q12</x:v>
      </x:c>
      <x:c r="F90" s="21" t="str">
        <x:v>facility schedule and cost</x:v>
      </x:c>
      <x:c r="G90" s="21" t="str">
        <x:v>Name qualified facilities, long leads, lot releases, milestone artifacts and constant-dollar ceiling.</x:v>
      </x:c>
      <x:c r="H90" s="21" t="str">
        <x:v>all articles available before registered need</x:v>
      </x:c>
      <x:c r="I90" s="21" t="str">
        <x:v>interface authority</x:v>
      </x:c>
      <x:c r="J90" s="21" t="str">
        <x:v>FROZEN</x:v>
      </x:c>
      <x:c r="K90" s="23" t="str">
        <x:v>OPEN</x:v>
      </x:c>
    </x:row>
    <x:row r="91">
      <x:c r="B91" s="21" t="str">
        <x:v>EPS-P01-Q01</x:v>
      </x:c>
      <x:c r="C91" s="21" t="str">
        <x:v>EPS-P01</x:v>
      </x:c>
      <x:c r="D91" s="21" t="str">
        <x:v>Independent energy</x:v>
      </x:c>
      <x:c r="E91" s="21" t="str">
        <x:v>Q01</x:v>
      </x:c>
      <x:c r="F91" s="21" t="str">
        <x:v>public effect boundary</x:v>
      </x:c>
      <x:c r="G91" s="21" t="str">
        <x:v>Define the observation needed to falsify the registered mission without helping it.</x:v>
      </x:c>
      <x:c r="H91" s="21" t="str">
        <x:v>complete local decision and invalid-state grammar</x:v>
      </x:c>
      <x:c r="I91" s="21" t="str">
        <x:v>energy safety authority</x:v>
      </x:c>
      <x:c r="J91" s="21" t="str">
        <x:v>FROZEN</x:v>
      </x:c>
      <x:c r="K91" s="23" t="str">
        <x:v>OPEN</x:v>
      </x:c>
    </x:row>
    <x:row r="92">
      <x:c r="B92" s="21" t="str">
        <x:v>EPS-P01-Q02</x:v>
      </x:c>
      <x:c r="C92" s="21" t="str">
        <x:v>EPS-P01</x:v>
      </x:c>
      <x:c r="D92" s="21" t="str">
        <x:v>Independent energy</x:v>
      </x:c>
      <x:c r="E92" s="21" t="str">
        <x:v>Q02</x:v>
      </x:c>
      <x:c r="F92" s="21" t="str">
        <x:v>mass volume and reserve</x:v>
      </x:c>
      <x:c r="G92" s="21" t="str">
        <x:v>Close installed mass, cube, moments and access while preserving 10 percent integration and 5 percent growth reserve.</x:v>
      </x:c>
      <x:c r="H92" s="21" t="str">
        <x:v>inside frozen family envelope with both reserves explicit</x:v>
      </x:c>
      <x:c r="I92" s="21" t="str">
        <x:v>energy safety authority</x:v>
      </x:c>
      <x:c r="J92" s="21" t="str">
        <x:v>FROZEN</x:v>
      </x:c>
      <x:c r="K92" s="23" t="str">
        <x:v>OPEN</x:v>
      </x:c>
    </x:row>
    <x:row r="93">
      <x:c r="B93" s="21" t="str">
        <x:v>EPS-P01-Q03</x:v>
      </x:c>
      <x:c r="C93" s="21" t="str">
        <x:v>EPS-P01</x:v>
      </x:c>
      <x:c r="D93" s="21" t="str">
        <x:v>Independent energy</x:v>
      </x:c>
      <x:c r="E93" s="21" t="str">
        <x:v>Q03</x:v>
      </x:c>
      <x:c r="F93" s="21" t="str">
        <x:v>independent endurance</x:v>
      </x:c>
      <x:c r="G93" s="21" t="str">
        <x:v>Supply 168 hours plus 25 percent nameplate reserve without mission power or recharge.</x:v>
      </x:c>
      <x:c r="H93" s="21" t="str">
        <x:v>full interval and registered peak sequence</x:v>
      </x:c>
      <x:c r="I93" s="21" t="str">
        <x:v>energy safety authority</x:v>
      </x:c>
      <x:c r="J93" s="21" t="str">
        <x:v>FROZEN</x:v>
      </x:c>
      <x:c r="K93" s="23" t="str">
        <x:v>OPEN</x:v>
      </x:c>
    </x:row>
    <x:row r="94">
      <x:c r="B94" s="21" t="str">
        <x:v>EPS-P01-Q04</x:v>
      </x:c>
      <x:c r="C94" s="21" t="str">
        <x:v>EPS-P01</x:v>
      </x:c>
      <x:c r="D94" s="21" t="str">
        <x:v>Independent energy</x:v>
      </x:c>
      <x:c r="E94" s="21" t="str">
        <x:v>Q04</x:v>
      </x:c>
      <x:c r="F94" s="21" t="str">
        <x:v>outward thermal rejection</x:v>
      </x:c>
      <x:c r="G94" s="21" t="str">
        <x:v>Reject steady, peak and fault heat without using the mission structure as an undeclared sink.</x:v>
      </x:c>
      <x:c r="H94" s="21" t="str">
        <x:v>all evidence heat crosses its own measured boundary</x:v>
      </x:c>
      <x:c r="I94" s="21" t="str">
        <x:v>energy safety authority</x:v>
      </x:c>
      <x:c r="J94" s="21" t="str">
        <x:v>FROZEN</x:v>
      </x:c>
      <x:c r="K94" s="23" t="str">
        <x:v>OPEN</x:v>
      </x:c>
    </x:row>
    <x:row r="95">
      <x:c r="B95" s="21" t="str">
        <x:v>EPS-P01-Q05</x:v>
      </x:c>
      <x:c r="C95" s="21" t="str">
        <x:v>EPS-P01</x:v>
      </x:c>
      <x:c r="D95" s="21" t="str">
        <x:v>Independent energy</x:v>
      </x:c>
      <x:c r="E95" s="21" t="str">
        <x:v>Q05</x:v>
      </x:c>
      <x:c r="F95" s="21" t="str">
        <x:v>complete local original</x:v>
      </x:c>
      <x:c r="G95" s="21" t="str">
        <x:v>Retain every original segment, clock state and explicit invalid interval through network and one-media loss.</x:v>
      </x:c>
      <x:c r="H95" s="21" t="str">
        <x:v>complete original or declared bounded loss</x:v>
      </x:c>
      <x:c r="I95" s="21" t="str">
        <x:v>energy safety authority</x:v>
      </x:c>
      <x:c r="J95" s="21" t="str">
        <x:v>FROZEN</x:v>
      </x:c>
      <x:c r="K95" s="23" t="str">
        <x:v>OPEN</x:v>
      </x:c>
    </x:row>
    <x:row r="96">
      <x:c r="B96" s="21" t="str">
        <x:v>EPS-P01-Q06</x:v>
      </x:c>
      <x:c r="C96" s="21" t="str">
        <x:v>EPS-P01</x:v>
      </x:c>
      <x:c r="D96" s="21" t="str">
        <x:v>Independent energy</x:v>
      </x:c>
      <x:c r="E96" s="21" t="str">
        <x:v>Q06</x:v>
      </x:c>
      <x:c r="F96" s="21" t="str">
        <x:v>denied event time</x:v>
      </x:c>
      <x:c r="G96" s="21" t="str">
        <x:v>Order all decisive events after external time and network loss.</x:v>
      </x:c>
      <x:c r="H96" s="21" t="str">
        <x:v>inside family U95 allocation</x:v>
      </x:c>
      <x:c r="I96" s="21" t="str">
        <x:v>energy safety authority</x:v>
      </x:c>
      <x:c r="J96" s="21" t="str">
        <x:v>FROZEN</x:v>
      </x:c>
      <x:c r="K96" s="23" t="str">
        <x:v>OPEN</x:v>
      </x:c>
    </x:row>
    <x:row r="97">
      <x:c r="B97" s="21" t="str">
        <x:v>EPS-P01-Q07</x:v>
      </x:c>
      <x:c r="C97" s="21" t="str">
        <x:v>EPS-P01</x:v>
      </x:c>
      <x:c r="D97" s="21" t="str">
        <x:v>Independent energy</x:v>
      </x:c>
      <x:c r="E97" s="21" t="str">
        <x:v>Q07</x:v>
      </x:c>
      <x:c r="F97" s="21" t="str">
        <x:v>physical non-actuation</x:v>
      </x:c>
      <x:c r="G97" s="21" t="str">
        <x:v>Demonstrate zero useful reverse energy, return data, control authority and mission contribution.</x:v>
      </x:c>
      <x:c r="H97" s="21" t="str">
        <x:v>teardown and injection show no useful path</x:v>
      </x:c>
      <x:c r="I97" s="21" t="str">
        <x:v>energy safety authority</x:v>
      </x:c>
      <x:c r="J97" s="21" t="str">
        <x:v>FROZEN</x:v>
      </x:c>
      <x:c r="K97" s="23" t="str">
        <x:v>OPEN</x:v>
      </x:c>
    </x:row>
    <x:row r="98">
      <x:c r="B98" s="21" t="str">
        <x:v>EPS-P01-Q08</x:v>
      </x:c>
      <x:c r="C98" s="21" t="str">
        <x:v>EPS-P01</x:v>
      </x:c>
      <x:c r="D98" s="21" t="str">
        <x:v>Independent energy</x:v>
      </x:c>
      <x:c r="E98" s="21" t="str">
        <x:v>Q08</x:v>
      </x:c>
      <x:c r="F98" s="21" t="str">
        <x:v>hazard behavior</x:v>
      </x:c>
      <x:c r="G98" s="21" t="str">
        <x:v>Survive or explicitly invalidate across shock, vibration, thermal, water, dust, chemistry and fire.</x:v>
      </x:c>
      <x:c r="H98" s="21" t="str">
        <x:v>no silent state and safe disposition</x:v>
      </x:c>
      <x:c r="I98" s="21" t="str">
        <x:v>energy safety authority</x:v>
      </x:c>
      <x:c r="J98" s="21" t="str">
        <x:v>FROZEN</x:v>
      </x:c>
      <x:c r="K98" s="23" t="str">
        <x:v>OPEN</x:v>
      </x:c>
    </x:row>
    <x:row r="99">
      <x:c r="B99" s="21" t="str">
        <x:v>EPS-P01-Q09</x:v>
      </x:c>
      <x:c r="C99" s="21" t="str">
        <x:v>EPS-P01</x:v>
      </x:c>
      <x:c r="D99" s="21" t="str">
        <x:v>Independent energy</x:v>
      </x:c>
      <x:c r="E99" s="21" t="str">
        <x:v>Q09</x:v>
      </x:c>
      <x:c r="F99" s="21" t="str">
        <x:v>maintenance and quarantine</x:v>
      </x:c>
      <x:c r="G99" s="21" t="str">
        <x:v>Enable blinded inspection, removal, decontamination and quarantine with declared tools and time.</x:v>
      </x:c>
      <x:c r="H99" s="21" t="str">
        <x:v>family access limit and lawful custody</x:v>
      </x:c>
      <x:c r="I99" s="21" t="str">
        <x:v>energy safety authority</x:v>
      </x:c>
      <x:c r="J99" s="21" t="str">
        <x:v>FROZEN</x:v>
      </x:c>
      <x:c r="K99" s="23" t="str">
        <x:v>OPEN</x:v>
      </x:c>
    </x:row>
    <x:row r="100">
      <x:c r="B100" s="21" t="str">
        <x:v>EPS-P01-Q10</x:v>
      </x:c>
      <x:c r="C100" s="21" t="str">
        <x:v>EPS-P01</x:v>
      </x:c>
      <x:c r="D100" s="21" t="str">
        <x:v>Independent energy</x:v>
      </x:c>
      <x:c r="E100" s="21" t="str">
        <x:v>Q10</x:v>
      </x:c>
      <x:c r="F100" s="21" t="str">
        <x:v>decisive ancestry</x:v>
      </x:c>
      <x:c r="G100" s="21" t="str">
        <x:v>Disclose the component, process, firmware, facility and calibration roots that can create common failure.</x:v>
      </x:c>
      <x:c r="H100" s="21" t="str">
        <x:v>no undisclosed decisive root</x:v>
      </x:c>
      <x:c r="I100" s="21" t="str">
        <x:v>energy safety authority</x:v>
      </x:c>
      <x:c r="J100" s="21" t="str">
        <x:v>FROZEN</x:v>
      </x:c>
      <x:c r="K100" s="23" t="str">
        <x:v>OPEN</x:v>
      </x:c>
    </x:row>
    <x:row r="101">
      <x:c r="B101" s="21" t="str">
        <x:v>EPS-P01-Q11</x:v>
      </x:c>
      <x:c r="C101" s="21" t="str">
        <x:v>EPS-P01</x:v>
      </x:c>
      <x:c r="D101" s="21" t="str">
        <x:v>Independent energy</x:v>
      </x:c>
      <x:c r="E101" s="21" t="str">
        <x:v>Q11</x:v>
      </x:c>
      <x:c r="F101" s="21" t="str">
        <x:v>technical rights and reproduction</x:v>
      </x:c>
      <x:c r="G101" s="21" t="str">
        <x:v>Grant teardown, second-team build, interface and evidence-data rights.</x:v>
      </x:c>
      <x:c r="H101" s="21" t="str">
        <x:v>government can reproduce the decision</x:v>
      </x:c>
      <x:c r="I101" s="21" t="str">
        <x:v>energy safety authority</x:v>
      </x:c>
      <x:c r="J101" s="21" t="str">
        <x:v>FROZEN</x:v>
      </x:c>
      <x:c r="K101" s="23" t="str">
        <x:v>OPEN</x:v>
      </x:c>
    </x:row>
    <x:row r="102">
      <x:c r="B102" s="21" t="str">
        <x:v>EPS-P01-Q12</x:v>
      </x:c>
      <x:c r="C102" s="21" t="str">
        <x:v>EPS-P01</x:v>
      </x:c>
      <x:c r="D102" s="21" t="str">
        <x:v>Independent energy</x:v>
      </x:c>
      <x:c r="E102" s="21" t="str">
        <x:v>Q12</x:v>
      </x:c>
      <x:c r="F102" s="21" t="str">
        <x:v>facility schedule and cost</x:v>
      </x:c>
      <x:c r="G102" s="21" t="str">
        <x:v>Name qualified facilities, long leads, lot releases, milestone artifacts and constant-dollar ceiling.</x:v>
      </x:c>
      <x:c r="H102" s="21" t="str">
        <x:v>all articles available before registered need</x:v>
      </x:c>
      <x:c r="I102" s="21" t="str">
        <x:v>energy safety authority</x:v>
      </x:c>
      <x:c r="J102" s="21" t="str">
        <x:v>FROZEN</x:v>
      </x:c>
      <x:c r="K102" s="23" t="str">
        <x:v>OPEN</x:v>
      </x:c>
    </x:row>
    <x:row r="103">
      <x:c r="B103" s="21" t="str">
        <x:v>TKS-C01-Q01</x:v>
      </x:c>
      <x:c r="C103" s="21" t="str">
        <x:v>TKS-C01</x:v>
      </x:c>
      <x:c r="D103" s="21" t="str">
        <x:v>Denied time</x:v>
      </x:c>
      <x:c r="E103" s="21" t="str">
        <x:v>Q01</x:v>
      </x:c>
      <x:c r="F103" s="21" t="str">
        <x:v>public effect boundary</x:v>
      </x:c>
      <x:c r="G103" s="21" t="str">
        <x:v>Define the observation needed to falsify the registered mission without helping it.</x:v>
      </x:c>
      <x:c r="H103" s="21" t="str">
        <x:v>complete local decision and invalid-state grammar</x:v>
      </x:c>
      <x:c r="I103" s="21" t="str">
        <x:v>time authority</x:v>
      </x:c>
      <x:c r="J103" s="21" t="str">
        <x:v>FROZEN</x:v>
      </x:c>
      <x:c r="K103" s="23" t="str">
        <x:v>OPEN</x:v>
      </x:c>
    </x:row>
    <x:row r="104">
      <x:c r="B104" s="21" t="str">
        <x:v>TKS-C01-Q02</x:v>
      </x:c>
      <x:c r="C104" s="21" t="str">
        <x:v>TKS-C01</x:v>
      </x:c>
      <x:c r="D104" s="21" t="str">
        <x:v>Denied time</x:v>
      </x:c>
      <x:c r="E104" s="21" t="str">
        <x:v>Q02</x:v>
      </x:c>
      <x:c r="F104" s="21" t="str">
        <x:v>mass volume and reserve</x:v>
      </x:c>
      <x:c r="G104" s="21" t="str">
        <x:v>Close installed mass, cube, moments and access while preserving 10 percent integration and 5 percent growth reserve.</x:v>
      </x:c>
      <x:c r="H104" s="21" t="str">
        <x:v>inside frozen family envelope with both reserves explicit</x:v>
      </x:c>
      <x:c r="I104" s="21" t="str">
        <x:v>time authority</x:v>
      </x:c>
      <x:c r="J104" s="21" t="str">
        <x:v>FROZEN</x:v>
      </x:c>
      <x:c r="K104" s="23" t="str">
        <x:v>OPEN</x:v>
      </x:c>
    </x:row>
    <x:row r="105">
      <x:c r="B105" s="21" t="str">
        <x:v>TKS-C01-Q03</x:v>
      </x:c>
      <x:c r="C105" s="21" t="str">
        <x:v>TKS-C01</x:v>
      </x:c>
      <x:c r="D105" s="21" t="str">
        <x:v>Denied time</x:v>
      </x:c>
      <x:c r="E105" s="21" t="str">
        <x:v>Q03</x:v>
      </x:c>
      <x:c r="F105" s="21" t="str">
        <x:v>independent endurance</x:v>
      </x:c>
      <x:c r="G105" s="21" t="str">
        <x:v>Supply 168 hours plus 25 percent nameplate reserve without mission power or recharge.</x:v>
      </x:c>
      <x:c r="H105" s="21" t="str">
        <x:v>full interval and registered peak sequence</x:v>
      </x:c>
      <x:c r="I105" s="21" t="str">
        <x:v>time authority</x:v>
      </x:c>
      <x:c r="J105" s="21" t="str">
        <x:v>FROZEN</x:v>
      </x:c>
      <x:c r="K105" s="23" t="str">
        <x:v>OPEN</x:v>
      </x:c>
    </x:row>
    <x:row r="106">
      <x:c r="B106" s="21" t="str">
        <x:v>TKS-C01-Q04</x:v>
      </x:c>
      <x:c r="C106" s="21" t="str">
        <x:v>TKS-C01</x:v>
      </x:c>
      <x:c r="D106" s="21" t="str">
        <x:v>Denied time</x:v>
      </x:c>
      <x:c r="E106" s="21" t="str">
        <x:v>Q04</x:v>
      </x:c>
      <x:c r="F106" s="21" t="str">
        <x:v>outward thermal rejection</x:v>
      </x:c>
      <x:c r="G106" s="21" t="str">
        <x:v>Reject steady, peak and fault heat without using the mission structure as an undeclared sink.</x:v>
      </x:c>
      <x:c r="H106" s="21" t="str">
        <x:v>all evidence heat crosses its own measured boundary</x:v>
      </x:c>
      <x:c r="I106" s="21" t="str">
        <x:v>time authority</x:v>
      </x:c>
      <x:c r="J106" s="21" t="str">
        <x:v>FROZEN</x:v>
      </x:c>
      <x:c r="K106" s="23" t="str">
        <x:v>OPEN</x:v>
      </x:c>
    </x:row>
    <x:row r="107">
      <x:c r="B107" s="21" t="str">
        <x:v>TKS-C01-Q05</x:v>
      </x:c>
      <x:c r="C107" s="21" t="str">
        <x:v>TKS-C01</x:v>
      </x:c>
      <x:c r="D107" s="21" t="str">
        <x:v>Denied time</x:v>
      </x:c>
      <x:c r="E107" s="21" t="str">
        <x:v>Q05</x:v>
      </x:c>
      <x:c r="F107" s="21" t="str">
        <x:v>complete local original</x:v>
      </x:c>
      <x:c r="G107" s="21" t="str">
        <x:v>Retain every original segment, clock state and explicit invalid interval through network and one-media loss.</x:v>
      </x:c>
      <x:c r="H107" s="21" t="str">
        <x:v>complete original or declared bounded loss</x:v>
      </x:c>
      <x:c r="I107" s="21" t="str">
        <x:v>time authority</x:v>
      </x:c>
      <x:c r="J107" s="21" t="str">
        <x:v>FROZEN</x:v>
      </x:c>
      <x:c r="K107" s="23" t="str">
        <x:v>OPEN</x:v>
      </x:c>
    </x:row>
    <x:row r="108">
      <x:c r="B108" s="21" t="str">
        <x:v>TKS-C01-Q06</x:v>
      </x:c>
      <x:c r="C108" s="21" t="str">
        <x:v>TKS-C01</x:v>
      </x:c>
      <x:c r="D108" s="21" t="str">
        <x:v>Denied time</x:v>
      </x:c>
      <x:c r="E108" s="21" t="str">
        <x:v>Q06</x:v>
      </x:c>
      <x:c r="F108" s="21" t="str">
        <x:v>denied event time</x:v>
      </x:c>
      <x:c r="G108" s="21" t="str">
        <x:v>Order all decisive events after external time and network loss.</x:v>
      </x:c>
      <x:c r="H108" s="21" t="str">
        <x:v>inside family U95 allocation</x:v>
      </x:c>
      <x:c r="I108" s="21" t="str">
        <x:v>time authority</x:v>
      </x:c>
      <x:c r="J108" s="21" t="str">
        <x:v>FROZEN</x:v>
      </x:c>
      <x:c r="K108" s="23" t="str">
        <x:v>OPEN</x:v>
      </x:c>
    </x:row>
    <x:row r="109">
      <x:c r="B109" s="21" t="str">
        <x:v>TKS-C01-Q07</x:v>
      </x:c>
      <x:c r="C109" s="21" t="str">
        <x:v>TKS-C01</x:v>
      </x:c>
      <x:c r="D109" s="21" t="str">
        <x:v>Denied time</x:v>
      </x:c>
      <x:c r="E109" s="21" t="str">
        <x:v>Q07</x:v>
      </x:c>
      <x:c r="F109" s="21" t="str">
        <x:v>physical non-actuation</x:v>
      </x:c>
      <x:c r="G109" s="21" t="str">
        <x:v>Demonstrate zero useful reverse energy, return data, control authority and mission contribution.</x:v>
      </x:c>
      <x:c r="H109" s="21" t="str">
        <x:v>teardown and injection show no useful path</x:v>
      </x:c>
      <x:c r="I109" s="21" t="str">
        <x:v>time authority</x:v>
      </x:c>
      <x:c r="J109" s="21" t="str">
        <x:v>FROZEN</x:v>
      </x:c>
      <x:c r="K109" s="23" t="str">
        <x:v>OPEN</x:v>
      </x:c>
    </x:row>
    <x:row r="110">
      <x:c r="B110" s="21" t="str">
        <x:v>TKS-C01-Q08</x:v>
      </x:c>
      <x:c r="C110" s="21" t="str">
        <x:v>TKS-C01</x:v>
      </x:c>
      <x:c r="D110" s="21" t="str">
        <x:v>Denied time</x:v>
      </x:c>
      <x:c r="E110" s="21" t="str">
        <x:v>Q08</x:v>
      </x:c>
      <x:c r="F110" s="21" t="str">
        <x:v>hazard behavior</x:v>
      </x:c>
      <x:c r="G110" s="21" t="str">
        <x:v>Survive or explicitly invalidate across shock, vibration, thermal, water, dust, chemistry and fire.</x:v>
      </x:c>
      <x:c r="H110" s="21" t="str">
        <x:v>no silent state and safe disposition</x:v>
      </x:c>
      <x:c r="I110" s="21" t="str">
        <x:v>time authority</x:v>
      </x:c>
      <x:c r="J110" s="21" t="str">
        <x:v>FROZEN</x:v>
      </x:c>
      <x:c r="K110" s="23" t="str">
        <x:v>OPEN</x:v>
      </x:c>
    </x:row>
    <x:row r="111">
      <x:c r="B111" s="21" t="str">
        <x:v>TKS-C01-Q09</x:v>
      </x:c>
      <x:c r="C111" s="21" t="str">
        <x:v>TKS-C01</x:v>
      </x:c>
      <x:c r="D111" s="21" t="str">
        <x:v>Denied time</x:v>
      </x:c>
      <x:c r="E111" s="21" t="str">
        <x:v>Q09</x:v>
      </x:c>
      <x:c r="F111" s="21" t="str">
        <x:v>maintenance and quarantine</x:v>
      </x:c>
      <x:c r="G111" s="21" t="str">
        <x:v>Enable blinded inspection, removal, decontamination and quarantine with declared tools and time.</x:v>
      </x:c>
      <x:c r="H111" s="21" t="str">
        <x:v>family access limit and lawful custody</x:v>
      </x:c>
      <x:c r="I111" s="21" t="str">
        <x:v>time authority</x:v>
      </x:c>
      <x:c r="J111" s="21" t="str">
        <x:v>FROZEN</x:v>
      </x:c>
      <x:c r="K111" s="23" t="str">
        <x:v>OPEN</x:v>
      </x:c>
    </x:row>
    <x:row r="112">
      <x:c r="B112" s="21" t="str">
        <x:v>TKS-C01-Q10</x:v>
      </x:c>
      <x:c r="C112" s="21" t="str">
        <x:v>TKS-C01</x:v>
      </x:c>
      <x:c r="D112" s="21" t="str">
        <x:v>Denied time</x:v>
      </x:c>
      <x:c r="E112" s="21" t="str">
        <x:v>Q10</x:v>
      </x:c>
      <x:c r="F112" s="21" t="str">
        <x:v>decisive ancestry</x:v>
      </x:c>
      <x:c r="G112" s="21" t="str">
        <x:v>Disclose the component, process, firmware, facility and calibration roots that can create common failure.</x:v>
      </x:c>
      <x:c r="H112" s="21" t="str">
        <x:v>no undisclosed decisive root</x:v>
      </x:c>
      <x:c r="I112" s="21" t="str">
        <x:v>time authority</x:v>
      </x:c>
      <x:c r="J112" s="21" t="str">
        <x:v>FROZEN</x:v>
      </x:c>
      <x:c r="K112" s="23" t="str">
        <x:v>OPEN</x:v>
      </x:c>
    </x:row>
    <x:row r="113">
      <x:c r="B113" s="21" t="str">
        <x:v>TKS-C01-Q11</x:v>
      </x:c>
      <x:c r="C113" s="21" t="str">
        <x:v>TKS-C01</x:v>
      </x:c>
      <x:c r="D113" s="21" t="str">
        <x:v>Denied time</x:v>
      </x:c>
      <x:c r="E113" s="21" t="str">
        <x:v>Q11</x:v>
      </x:c>
      <x:c r="F113" s="21" t="str">
        <x:v>technical rights and reproduction</x:v>
      </x:c>
      <x:c r="G113" s="21" t="str">
        <x:v>Grant teardown, second-team build, interface and evidence-data rights.</x:v>
      </x:c>
      <x:c r="H113" s="21" t="str">
        <x:v>government can reproduce the decision</x:v>
      </x:c>
      <x:c r="I113" s="21" t="str">
        <x:v>time authority</x:v>
      </x:c>
      <x:c r="J113" s="21" t="str">
        <x:v>FROZEN</x:v>
      </x:c>
      <x:c r="K113" s="23" t="str">
        <x:v>OPEN</x:v>
      </x:c>
    </x:row>
    <x:row r="114">
      <x:c r="B114" s="21" t="str">
        <x:v>TKS-C01-Q12</x:v>
      </x:c>
      <x:c r="C114" s="21" t="str">
        <x:v>TKS-C01</x:v>
      </x:c>
      <x:c r="D114" s="21" t="str">
        <x:v>Denied time</x:v>
      </x:c>
      <x:c r="E114" s="21" t="str">
        <x:v>Q12</x:v>
      </x:c>
      <x:c r="F114" s="21" t="str">
        <x:v>facility schedule and cost</x:v>
      </x:c>
      <x:c r="G114" s="21" t="str">
        <x:v>Name qualified facilities, long leads, lot releases, milestone artifacts and constant-dollar ceiling.</x:v>
      </x:c>
      <x:c r="H114" s="21" t="str">
        <x:v>all articles available before registered need</x:v>
      </x:c>
      <x:c r="I114" s="21" t="str">
        <x:v>time authority</x:v>
      </x:c>
      <x:c r="J114" s="21" t="str">
        <x:v>FROZEN</x:v>
      </x:c>
      <x:c r="K114" s="23" t="str">
        <x:v>OPEN</x:v>
      </x:c>
    </x:row>
    <x:row r="115">
      <x:c r="B115" s="21" t="str">
        <x:v>STG-S01-Q01</x:v>
      </x:c>
      <x:c r="C115" s="21" t="str">
        <x:v>STG-S01</x:v>
      </x:c>
      <x:c r="D115" s="21" t="str">
        <x:v>Immutable storage</x:v>
      </x:c>
      <x:c r="E115" s="21" t="str">
        <x:v>Q01</x:v>
      </x:c>
      <x:c r="F115" s="21" t="str">
        <x:v>public effect boundary</x:v>
      </x:c>
      <x:c r="G115" s="21" t="str">
        <x:v>Define the observation needed to falsify the registered mission without helping it.</x:v>
      </x:c>
      <x:c r="H115" s="21" t="str">
        <x:v>complete local decision and invalid-state grammar</x:v>
      </x:c>
      <x:c r="I115" s="21" t="str">
        <x:v>data authority</x:v>
      </x:c>
      <x:c r="J115" s="21" t="str">
        <x:v>FROZEN</x:v>
      </x:c>
      <x:c r="K115" s="23" t="str">
        <x:v>OPEN</x:v>
      </x:c>
    </x:row>
    <x:row r="116">
      <x:c r="B116" s="21" t="str">
        <x:v>STG-S01-Q02</x:v>
      </x:c>
      <x:c r="C116" s="21" t="str">
        <x:v>STG-S01</x:v>
      </x:c>
      <x:c r="D116" s="21" t="str">
        <x:v>Immutable storage</x:v>
      </x:c>
      <x:c r="E116" s="21" t="str">
        <x:v>Q02</x:v>
      </x:c>
      <x:c r="F116" s="21" t="str">
        <x:v>mass volume and reserve</x:v>
      </x:c>
      <x:c r="G116" s="21" t="str">
        <x:v>Close installed mass, cube, moments and access while preserving 10 percent integration and 5 percent growth reserve.</x:v>
      </x:c>
      <x:c r="H116" s="21" t="str">
        <x:v>inside frozen family envelope with both reserves explicit</x:v>
      </x:c>
      <x:c r="I116" s="21" t="str">
        <x:v>data authority</x:v>
      </x:c>
      <x:c r="J116" s="21" t="str">
        <x:v>FROZEN</x:v>
      </x:c>
      <x:c r="K116" s="23" t="str">
        <x:v>OPEN</x:v>
      </x:c>
    </x:row>
    <x:row r="117">
      <x:c r="B117" s="21" t="str">
        <x:v>STG-S01-Q03</x:v>
      </x:c>
      <x:c r="C117" s="21" t="str">
        <x:v>STG-S01</x:v>
      </x:c>
      <x:c r="D117" s="21" t="str">
        <x:v>Immutable storage</x:v>
      </x:c>
      <x:c r="E117" s="21" t="str">
        <x:v>Q03</x:v>
      </x:c>
      <x:c r="F117" s="21" t="str">
        <x:v>independent endurance</x:v>
      </x:c>
      <x:c r="G117" s="21" t="str">
        <x:v>Supply 168 hours plus 25 percent nameplate reserve without mission power or recharge.</x:v>
      </x:c>
      <x:c r="H117" s="21" t="str">
        <x:v>full interval and registered peak sequence</x:v>
      </x:c>
      <x:c r="I117" s="21" t="str">
        <x:v>data authority</x:v>
      </x:c>
      <x:c r="J117" s="21" t="str">
        <x:v>FROZEN</x:v>
      </x:c>
      <x:c r="K117" s="23" t="str">
        <x:v>OPEN</x:v>
      </x:c>
    </x:row>
    <x:row r="118">
      <x:c r="B118" s="21" t="str">
        <x:v>STG-S01-Q04</x:v>
      </x:c>
      <x:c r="C118" s="21" t="str">
        <x:v>STG-S01</x:v>
      </x:c>
      <x:c r="D118" s="21" t="str">
        <x:v>Immutable storage</x:v>
      </x:c>
      <x:c r="E118" s="21" t="str">
        <x:v>Q04</x:v>
      </x:c>
      <x:c r="F118" s="21" t="str">
        <x:v>outward thermal rejection</x:v>
      </x:c>
      <x:c r="G118" s="21" t="str">
        <x:v>Reject steady, peak and fault heat without using the mission structure as an undeclared sink.</x:v>
      </x:c>
      <x:c r="H118" s="21" t="str">
        <x:v>all evidence heat crosses its own measured boundary</x:v>
      </x:c>
      <x:c r="I118" s="21" t="str">
        <x:v>data authority</x:v>
      </x:c>
      <x:c r="J118" s="21" t="str">
        <x:v>FROZEN</x:v>
      </x:c>
      <x:c r="K118" s="23" t="str">
        <x:v>OPEN</x:v>
      </x:c>
    </x:row>
    <x:row r="119">
      <x:c r="B119" s="21" t="str">
        <x:v>STG-S01-Q05</x:v>
      </x:c>
      <x:c r="C119" s="21" t="str">
        <x:v>STG-S01</x:v>
      </x:c>
      <x:c r="D119" s="21" t="str">
        <x:v>Immutable storage</x:v>
      </x:c>
      <x:c r="E119" s="21" t="str">
        <x:v>Q05</x:v>
      </x:c>
      <x:c r="F119" s="21" t="str">
        <x:v>complete local original</x:v>
      </x:c>
      <x:c r="G119" s="21" t="str">
        <x:v>Retain every original segment, clock state and explicit invalid interval through network and one-media loss.</x:v>
      </x:c>
      <x:c r="H119" s="21" t="str">
        <x:v>complete original or declared bounded loss</x:v>
      </x:c>
      <x:c r="I119" s="21" t="str">
        <x:v>data authority</x:v>
      </x:c>
      <x:c r="J119" s="21" t="str">
        <x:v>FROZEN</x:v>
      </x:c>
      <x:c r="K119" s="23" t="str">
        <x:v>OPEN</x:v>
      </x:c>
    </x:row>
    <x:row r="120">
      <x:c r="B120" s="21" t="str">
        <x:v>STG-S01-Q06</x:v>
      </x:c>
      <x:c r="C120" s="21" t="str">
        <x:v>STG-S01</x:v>
      </x:c>
      <x:c r="D120" s="21" t="str">
        <x:v>Immutable storage</x:v>
      </x:c>
      <x:c r="E120" s="21" t="str">
        <x:v>Q06</x:v>
      </x:c>
      <x:c r="F120" s="21" t="str">
        <x:v>denied event time</x:v>
      </x:c>
      <x:c r="G120" s="21" t="str">
        <x:v>Order all decisive events after external time and network loss.</x:v>
      </x:c>
      <x:c r="H120" s="21" t="str">
        <x:v>inside family U95 allocation</x:v>
      </x:c>
      <x:c r="I120" s="21" t="str">
        <x:v>data authority</x:v>
      </x:c>
      <x:c r="J120" s="21" t="str">
        <x:v>FROZEN</x:v>
      </x:c>
      <x:c r="K120" s="23" t="str">
        <x:v>OPEN</x:v>
      </x:c>
    </x:row>
    <x:row r="121">
      <x:c r="B121" s="21" t="str">
        <x:v>STG-S01-Q07</x:v>
      </x:c>
      <x:c r="C121" s="21" t="str">
        <x:v>STG-S01</x:v>
      </x:c>
      <x:c r="D121" s="21" t="str">
        <x:v>Immutable storage</x:v>
      </x:c>
      <x:c r="E121" s="21" t="str">
        <x:v>Q07</x:v>
      </x:c>
      <x:c r="F121" s="21" t="str">
        <x:v>physical non-actuation</x:v>
      </x:c>
      <x:c r="G121" s="21" t="str">
        <x:v>Demonstrate zero useful reverse energy, return data, control authority and mission contribution.</x:v>
      </x:c>
      <x:c r="H121" s="21" t="str">
        <x:v>teardown and injection show no useful path</x:v>
      </x:c>
      <x:c r="I121" s="21" t="str">
        <x:v>data authority</x:v>
      </x:c>
      <x:c r="J121" s="21" t="str">
        <x:v>FROZEN</x:v>
      </x:c>
      <x:c r="K121" s="23" t="str">
        <x:v>OPEN</x:v>
      </x:c>
    </x:row>
    <x:row r="122">
      <x:c r="B122" s="21" t="str">
        <x:v>STG-S01-Q08</x:v>
      </x:c>
      <x:c r="C122" s="21" t="str">
        <x:v>STG-S01</x:v>
      </x:c>
      <x:c r="D122" s="21" t="str">
        <x:v>Immutable storage</x:v>
      </x:c>
      <x:c r="E122" s="21" t="str">
        <x:v>Q08</x:v>
      </x:c>
      <x:c r="F122" s="21" t="str">
        <x:v>hazard behavior</x:v>
      </x:c>
      <x:c r="G122" s="21" t="str">
        <x:v>Survive or explicitly invalidate across shock, vibration, thermal, water, dust, chemistry and fire.</x:v>
      </x:c>
      <x:c r="H122" s="21" t="str">
        <x:v>no silent state and safe disposition</x:v>
      </x:c>
      <x:c r="I122" s="21" t="str">
        <x:v>data authority</x:v>
      </x:c>
      <x:c r="J122" s="21" t="str">
        <x:v>FROZEN</x:v>
      </x:c>
      <x:c r="K122" s="23" t="str">
        <x:v>OPEN</x:v>
      </x:c>
    </x:row>
    <x:row r="123">
      <x:c r="B123" s="21" t="str">
        <x:v>STG-S01-Q09</x:v>
      </x:c>
      <x:c r="C123" s="21" t="str">
        <x:v>STG-S01</x:v>
      </x:c>
      <x:c r="D123" s="21" t="str">
        <x:v>Immutable storage</x:v>
      </x:c>
      <x:c r="E123" s="21" t="str">
        <x:v>Q09</x:v>
      </x:c>
      <x:c r="F123" s="21" t="str">
        <x:v>maintenance and quarantine</x:v>
      </x:c>
      <x:c r="G123" s="21" t="str">
        <x:v>Enable blinded inspection, removal, decontamination and quarantine with declared tools and time.</x:v>
      </x:c>
      <x:c r="H123" s="21" t="str">
        <x:v>family access limit and lawful custody</x:v>
      </x:c>
      <x:c r="I123" s="21" t="str">
        <x:v>data authority</x:v>
      </x:c>
      <x:c r="J123" s="21" t="str">
        <x:v>FROZEN</x:v>
      </x:c>
      <x:c r="K123" s="23" t="str">
        <x:v>OPEN</x:v>
      </x:c>
    </x:row>
    <x:row r="124">
      <x:c r="B124" s="21" t="str">
        <x:v>STG-S01-Q10</x:v>
      </x:c>
      <x:c r="C124" s="21" t="str">
        <x:v>STG-S01</x:v>
      </x:c>
      <x:c r="D124" s="21" t="str">
        <x:v>Immutable storage</x:v>
      </x:c>
      <x:c r="E124" s="21" t="str">
        <x:v>Q10</x:v>
      </x:c>
      <x:c r="F124" s="21" t="str">
        <x:v>decisive ancestry</x:v>
      </x:c>
      <x:c r="G124" s="21" t="str">
        <x:v>Disclose the component, process, firmware, facility and calibration roots that can create common failure.</x:v>
      </x:c>
      <x:c r="H124" s="21" t="str">
        <x:v>no undisclosed decisive root</x:v>
      </x:c>
      <x:c r="I124" s="21" t="str">
        <x:v>data authority</x:v>
      </x:c>
      <x:c r="J124" s="21" t="str">
        <x:v>FROZEN</x:v>
      </x:c>
      <x:c r="K124" s="23" t="str">
        <x:v>OPEN</x:v>
      </x:c>
    </x:row>
    <x:row r="125">
      <x:c r="B125" s="21" t="str">
        <x:v>STG-S01-Q11</x:v>
      </x:c>
      <x:c r="C125" s="21" t="str">
        <x:v>STG-S01</x:v>
      </x:c>
      <x:c r="D125" s="21" t="str">
        <x:v>Immutable storage</x:v>
      </x:c>
      <x:c r="E125" s="21" t="str">
        <x:v>Q11</x:v>
      </x:c>
      <x:c r="F125" s="21" t="str">
        <x:v>technical rights and reproduction</x:v>
      </x:c>
      <x:c r="G125" s="21" t="str">
        <x:v>Grant teardown, second-team build, interface and evidence-data rights.</x:v>
      </x:c>
      <x:c r="H125" s="21" t="str">
        <x:v>government can reproduce the decision</x:v>
      </x:c>
      <x:c r="I125" s="21" t="str">
        <x:v>data authority</x:v>
      </x:c>
      <x:c r="J125" s="21" t="str">
        <x:v>FROZEN</x:v>
      </x:c>
      <x:c r="K125" s="23" t="str">
        <x:v>OPEN</x:v>
      </x:c>
    </x:row>
    <x:row r="126">
      <x:c r="B126" s="21" t="str">
        <x:v>STG-S01-Q12</x:v>
      </x:c>
      <x:c r="C126" s="21" t="str">
        <x:v>STG-S01</x:v>
      </x:c>
      <x:c r="D126" s="21" t="str">
        <x:v>Immutable storage</x:v>
      </x:c>
      <x:c r="E126" s="21" t="str">
        <x:v>Q12</x:v>
      </x:c>
      <x:c r="F126" s="21" t="str">
        <x:v>facility schedule and cost</x:v>
      </x:c>
      <x:c r="G126" s="21" t="str">
        <x:v>Name qualified facilities, long leads, lot releases, milestone artifacts and constant-dollar ceiling.</x:v>
      </x:c>
      <x:c r="H126" s="21" t="str">
        <x:v>all articles available before registered need</x:v>
      </x:c>
      <x:c r="I126" s="21" t="str">
        <x:v>data authority</x:v>
      </x:c>
      <x:c r="J126" s="21" t="str">
        <x:v>FROZEN</x:v>
      </x:c>
      <x:c r="K126" s="23" t="str">
        <x:v>OPEN</x:v>
      </x:c>
    </x:row>
    <x:row r="127">
      <x:c r="B127" s="21" t="str">
        <x:v>MHE-E01-Q01</x:v>
      </x:c>
      <x:c r="C127" s="21" t="str">
        <x:v>MHE-E01</x:v>
      </x:c>
      <x:c r="D127" s="21" t="str">
        <x:v>Mass and heat emulator</x:v>
      </x:c>
      <x:c r="E127" s="21" t="str">
        <x:v>Q01</x:v>
      </x:c>
      <x:c r="F127" s="21" t="str">
        <x:v>public effect boundary</x:v>
      </x:c>
      <x:c r="G127" s="21" t="str">
        <x:v>Define the observation needed to falsify the registered mission without helping it.</x:v>
      </x:c>
      <x:c r="H127" s="21" t="str">
        <x:v>complete local decision and invalid-state grammar</x:v>
      </x:c>
      <x:c r="I127" s="21" t="str">
        <x:v>equivalence authority</x:v>
      </x:c>
      <x:c r="J127" s="21" t="str">
        <x:v>FROZEN</x:v>
      </x:c>
      <x:c r="K127" s="23" t="str">
        <x:v>OPEN</x:v>
      </x:c>
    </x:row>
    <x:row r="128">
      <x:c r="B128" s="21" t="str">
        <x:v>MHE-E01-Q02</x:v>
      </x:c>
      <x:c r="C128" s="21" t="str">
        <x:v>MHE-E01</x:v>
      </x:c>
      <x:c r="D128" s="21" t="str">
        <x:v>Mass and heat emulator</x:v>
      </x:c>
      <x:c r="E128" s="21" t="str">
        <x:v>Q02</x:v>
      </x:c>
      <x:c r="F128" s="21" t="str">
        <x:v>mass volume and reserve</x:v>
      </x:c>
      <x:c r="G128" s="21" t="str">
        <x:v>Close installed mass, cube, moments and access while preserving 10 percent integration and 5 percent growth reserve.</x:v>
      </x:c>
      <x:c r="H128" s="21" t="str">
        <x:v>inside frozen family envelope with both reserves explicit</x:v>
      </x:c>
      <x:c r="I128" s="21" t="str">
        <x:v>equivalence authority</x:v>
      </x:c>
      <x:c r="J128" s="21" t="str">
        <x:v>FROZEN</x:v>
      </x:c>
      <x:c r="K128" s="23" t="str">
        <x:v>OPEN</x:v>
      </x:c>
    </x:row>
    <x:row r="129">
      <x:c r="B129" s="21" t="str">
        <x:v>MHE-E01-Q03</x:v>
      </x:c>
      <x:c r="C129" s="21" t="str">
        <x:v>MHE-E01</x:v>
      </x:c>
      <x:c r="D129" s="21" t="str">
        <x:v>Mass and heat emulator</x:v>
      </x:c>
      <x:c r="E129" s="21" t="str">
        <x:v>Q03</x:v>
      </x:c>
      <x:c r="F129" s="21" t="str">
        <x:v>independent endurance</x:v>
      </x:c>
      <x:c r="G129" s="21" t="str">
        <x:v>Supply 168 hours plus 25 percent nameplate reserve without mission power or recharge.</x:v>
      </x:c>
      <x:c r="H129" s="21" t="str">
        <x:v>full interval and registered peak sequence</x:v>
      </x:c>
      <x:c r="I129" s="21" t="str">
        <x:v>equivalence authority</x:v>
      </x:c>
      <x:c r="J129" s="21" t="str">
        <x:v>FROZEN</x:v>
      </x:c>
      <x:c r="K129" s="23" t="str">
        <x:v>OPEN</x:v>
      </x:c>
    </x:row>
    <x:row r="130">
      <x:c r="B130" s="21" t="str">
        <x:v>MHE-E01-Q04</x:v>
      </x:c>
      <x:c r="C130" s="21" t="str">
        <x:v>MHE-E01</x:v>
      </x:c>
      <x:c r="D130" s="21" t="str">
        <x:v>Mass and heat emulator</x:v>
      </x:c>
      <x:c r="E130" s="21" t="str">
        <x:v>Q04</x:v>
      </x:c>
      <x:c r="F130" s="21" t="str">
        <x:v>outward thermal rejection</x:v>
      </x:c>
      <x:c r="G130" s="21" t="str">
        <x:v>Reject steady, peak and fault heat without using the mission structure as an undeclared sink.</x:v>
      </x:c>
      <x:c r="H130" s="21" t="str">
        <x:v>all evidence heat crosses its own measured boundary</x:v>
      </x:c>
      <x:c r="I130" s="21" t="str">
        <x:v>equivalence authority</x:v>
      </x:c>
      <x:c r="J130" s="21" t="str">
        <x:v>FROZEN</x:v>
      </x:c>
      <x:c r="K130" s="23" t="str">
        <x:v>OPEN</x:v>
      </x:c>
    </x:row>
    <x:row r="131">
      <x:c r="B131" s="21" t="str">
        <x:v>MHE-E01-Q05</x:v>
      </x:c>
      <x:c r="C131" s="21" t="str">
        <x:v>MHE-E01</x:v>
      </x:c>
      <x:c r="D131" s="21" t="str">
        <x:v>Mass and heat emulator</x:v>
      </x:c>
      <x:c r="E131" s="21" t="str">
        <x:v>Q05</x:v>
      </x:c>
      <x:c r="F131" s="21" t="str">
        <x:v>complete local original</x:v>
      </x:c>
      <x:c r="G131" s="21" t="str">
        <x:v>Retain every original segment, clock state and explicit invalid interval through network and one-media loss.</x:v>
      </x:c>
      <x:c r="H131" s="21" t="str">
        <x:v>complete original or declared bounded loss</x:v>
      </x:c>
      <x:c r="I131" s="21" t="str">
        <x:v>equivalence authority</x:v>
      </x:c>
      <x:c r="J131" s="21" t="str">
        <x:v>FROZEN</x:v>
      </x:c>
      <x:c r="K131" s="23" t="str">
        <x:v>OPEN</x:v>
      </x:c>
    </x:row>
    <x:row r="132">
      <x:c r="B132" s="21" t="str">
        <x:v>MHE-E01-Q06</x:v>
      </x:c>
      <x:c r="C132" s="21" t="str">
        <x:v>MHE-E01</x:v>
      </x:c>
      <x:c r="D132" s="21" t="str">
        <x:v>Mass and heat emulator</x:v>
      </x:c>
      <x:c r="E132" s="21" t="str">
        <x:v>Q06</x:v>
      </x:c>
      <x:c r="F132" s="21" t="str">
        <x:v>denied event time</x:v>
      </x:c>
      <x:c r="G132" s="21" t="str">
        <x:v>Order all decisive events after external time and network loss.</x:v>
      </x:c>
      <x:c r="H132" s="21" t="str">
        <x:v>inside family U95 allocation</x:v>
      </x:c>
      <x:c r="I132" s="21" t="str">
        <x:v>equivalence authority</x:v>
      </x:c>
      <x:c r="J132" s="21" t="str">
        <x:v>FROZEN</x:v>
      </x:c>
      <x:c r="K132" s="23" t="str">
        <x:v>OPEN</x:v>
      </x:c>
    </x:row>
    <x:row r="133">
      <x:c r="B133" s="21" t="str">
        <x:v>MHE-E01-Q07</x:v>
      </x:c>
      <x:c r="C133" s="21" t="str">
        <x:v>MHE-E01</x:v>
      </x:c>
      <x:c r="D133" s="21" t="str">
        <x:v>Mass and heat emulator</x:v>
      </x:c>
      <x:c r="E133" s="21" t="str">
        <x:v>Q07</x:v>
      </x:c>
      <x:c r="F133" s="21" t="str">
        <x:v>physical non-actuation</x:v>
      </x:c>
      <x:c r="G133" s="21" t="str">
        <x:v>Demonstrate zero useful reverse energy, return data, control authority and mission contribution.</x:v>
      </x:c>
      <x:c r="H133" s="21" t="str">
        <x:v>teardown and injection show no useful path</x:v>
      </x:c>
      <x:c r="I133" s="21" t="str">
        <x:v>equivalence authority</x:v>
      </x:c>
      <x:c r="J133" s="21" t="str">
        <x:v>FROZEN</x:v>
      </x:c>
      <x:c r="K133" s="23" t="str">
        <x:v>OPEN</x:v>
      </x:c>
    </x:row>
    <x:row r="134">
      <x:c r="B134" s="21" t="str">
        <x:v>MHE-E01-Q08</x:v>
      </x:c>
      <x:c r="C134" s="21" t="str">
        <x:v>MHE-E01</x:v>
      </x:c>
      <x:c r="D134" s="21" t="str">
        <x:v>Mass and heat emulator</x:v>
      </x:c>
      <x:c r="E134" s="21" t="str">
        <x:v>Q08</x:v>
      </x:c>
      <x:c r="F134" s="21" t="str">
        <x:v>hazard behavior</x:v>
      </x:c>
      <x:c r="G134" s="21" t="str">
        <x:v>Survive or explicitly invalidate across shock, vibration, thermal, water, dust, chemistry and fire.</x:v>
      </x:c>
      <x:c r="H134" s="21" t="str">
        <x:v>no silent state and safe disposition</x:v>
      </x:c>
      <x:c r="I134" s="21" t="str">
        <x:v>equivalence authority</x:v>
      </x:c>
      <x:c r="J134" s="21" t="str">
        <x:v>FROZEN</x:v>
      </x:c>
      <x:c r="K134" s="23" t="str">
        <x:v>OPEN</x:v>
      </x:c>
    </x:row>
    <x:row r="135">
      <x:c r="B135" s="21" t="str">
        <x:v>MHE-E01-Q09</x:v>
      </x:c>
      <x:c r="C135" s="21" t="str">
        <x:v>MHE-E01</x:v>
      </x:c>
      <x:c r="D135" s="21" t="str">
        <x:v>Mass and heat emulator</x:v>
      </x:c>
      <x:c r="E135" s="21" t="str">
        <x:v>Q09</x:v>
      </x:c>
      <x:c r="F135" s="21" t="str">
        <x:v>maintenance and quarantine</x:v>
      </x:c>
      <x:c r="G135" s="21" t="str">
        <x:v>Enable blinded inspection, removal, decontamination and quarantine with declared tools and time.</x:v>
      </x:c>
      <x:c r="H135" s="21" t="str">
        <x:v>family access limit and lawful custody</x:v>
      </x:c>
      <x:c r="I135" s="21" t="str">
        <x:v>equivalence authority</x:v>
      </x:c>
      <x:c r="J135" s="21" t="str">
        <x:v>FROZEN</x:v>
      </x:c>
      <x:c r="K135" s="23" t="str">
        <x:v>OPEN</x:v>
      </x:c>
    </x:row>
    <x:row r="136">
      <x:c r="B136" s="21" t="str">
        <x:v>MHE-E01-Q10</x:v>
      </x:c>
      <x:c r="C136" s="21" t="str">
        <x:v>MHE-E01</x:v>
      </x:c>
      <x:c r="D136" s="21" t="str">
        <x:v>Mass and heat emulator</x:v>
      </x:c>
      <x:c r="E136" s="21" t="str">
        <x:v>Q10</x:v>
      </x:c>
      <x:c r="F136" s="21" t="str">
        <x:v>decisive ancestry</x:v>
      </x:c>
      <x:c r="G136" s="21" t="str">
        <x:v>Disclose the component, process, firmware, facility and calibration roots that can create common failure.</x:v>
      </x:c>
      <x:c r="H136" s="21" t="str">
        <x:v>no undisclosed decisive root</x:v>
      </x:c>
      <x:c r="I136" s="21" t="str">
        <x:v>equivalence authority</x:v>
      </x:c>
      <x:c r="J136" s="21" t="str">
        <x:v>FROZEN</x:v>
      </x:c>
      <x:c r="K136" s="23" t="str">
        <x:v>OPEN</x:v>
      </x:c>
    </x:row>
    <x:row r="137">
      <x:c r="B137" s="21" t="str">
        <x:v>MHE-E01-Q11</x:v>
      </x:c>
      <x:c r="C137" s="21" t="str">
        <x:v>MHE-E01</x:v>
      </x:c>
      <x:c r="D137" s="21" t="str">
        <x:v>Mass and heat emulator</x:v>
      </x:c>
      <x:c r="E137" s="21" t="str">
        <x:v>Q11</x:v>
      </x:c>
      <x:c r="F137" s="21" t="str">
        <x:v>technical rights and reproduction</x:v>
      </x:c>
      <x:c r="G137" s="21" t="str">
        <x:v>Grant teardown, second-team build, interface and evidence-data rights.</x:v>
      </x:c>
      <x:c r="H137" s="21" t="str">
        <x:v>government can reproduce the decision</x:v>
      </x:c>
      <x:c r="I137" s="21" t="str">
        <x:v>equivalence authority</x:v>
      </x:c>
      <x:c r="J137" s="21" t="str">
        <x:v>FROZEN</x:v>
      </x:c>
      <x:c r="K137" s="23" t="str">
        <x:v>OPEN</x:v>
      </x:c>
    </x:row>
    <x:row r="138">
      <x:c r="B138" s="24" t="str">
        <x:v>MHE-E01-Q12</x:v>
      </x:c>
      <x:c r="C138" s="24" t="str">
        <x:v>MHE-E01</x:v>
      </x:c>
      <x:c r="D138" s="24" t="str">
        <x:v>Mass and heat emulator</x:v>
      </x:c>
      <x:c r="E138" s="24" t="str">
        <x:v>Q12</x:v>
      </x:c>
      <x:c r="F138" s="24" t="str">
        <x:v>facility schedule and cost</x:v>
      </x:c>
      <x:c r="G138" s="24" t="str">
        <x:v>Name qualified facilities, long leads, lot releases, milestone artifacts and constant-dollar ceiling.</x:v>
      </x:c>
      <x:c r="H138" s="24" t="str">
        <x:v>all articles available before registered need</x:v>
      </x:c>
      <x:c r="I138" s="24" t="str">
        <x:v>equivalence authority</x:v>
      </x:c>
      <x:c r="J138" s="24" t="str">
        <x:v>FROZEN</x:v>
      </x:c>
      <x:c r="K138" s="26" t="str">
        <x:v>OPEN</x:v>
      </x:c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</x:sheetData>
  <x:mergeCells>
    <x:mergeCell ref="B3:K3"/>
  </x:mergeCells>
  <x:conditionalFormatting sqref="K7:K138">
    <x:cfRule type="containsText" dxfId="5" priority="1" operator="containsText" text="OPEN"/>
    <x:cfRule type="containsText" dxfId="6" priority="2" operator="containsText" text="HOLD"/>
    <x:cfRule type="containsText" dxfId="7" priority="3" operator="containsText" text="BLOCKED"/>
    <x:cfRule type="containsText" dxfId="8" priority="4" operator="containsText" text="CHALLENGE ONLY"/>
    <x:cfRule type="containsText" dxfId="9" priority="5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25" hidden="0" customWidth="1"/>
    <x:col min="5" max="5" width="11" hidden="0" customWidth="1"/>
    <x:col min="6" max="6" width="21" hidden="0" customWidth="1"/>
    <x:col min="7" max="7" width="20" hidden="0" customWidth="1"/>
    <x:col min="8" max="8" width="36" hidden="0" customWidth="1"/>
    <x:col min="9" max="9" width="42" hidden="0" customWidth="1"/>
    <x:col min="10" max="10" width="44" hidden="0" customWidth="1"/>
    <x:col min="11" max="11" width="18" hidden="0" customWidth="1"/>
    <x:col min="12" max="12" width="19" hidden="0" customWidth="1"/>
    <x:col min="13" max="13" width="13" hidden="0" customWidth="1"/>
  </x:cols>
  <x:sheetData>
    <x:row r="2">
      <x:c r="B2" s="3" t="str">
        <x:v>Fictional proposal and technical-root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Three rival architectures per family test whether the solicitation can admit genuine mechanism diversity without relaxing the decision boundary.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19" t="str">
        <x:v>Proposal</x:v>
      </x:c>
      <x:c r="C6" s="20" t="str">
        <x:v>Family</x:v>
      </x:c>
      <x:c r="D6" s="20" t="str">
        <x:v>System</x:v>
      </x:c>
      <x:c r="E6" s="20" t="str">
        <x:v>Variant</x:v>
      </x:c>
      <x:c r="F6" s="20" t="str">
        <x:v>Integrator archetype</x:v>
      </x:c>
      <x:c r="G6" s="20" t="str">
        <x:v>Root code</x:v>
      </x:c>
      <x:c r="H6" s="20" t="str">
        <x:v>Technical root</x:v>
      </x:c>
      <x:c r="I6" s="20" t="str">
        <x:v>Decisive ancestry</x:v>
      </x:c>
      <x:c r="J6" s="20" t="str">
        <x:v>Innovation leap</x:v>
      </x:c>
      <x:c r="K6" s="20" t="str">
        <x:v>Declared failed gate</x:v>
      </x:c>
      <x:c r="L6" s="20" t="str">
        <x:v>Path</x:v>
      </x:c>
      <x:c r="M6" s="20" t="str">
        <x:v>Evidence</x:v>
      </x:c>
    </x:row>
    <x:row r="7">
      <x:c r="B7" s="21" t="str">
        <x:v>ATC-A01-A</x:v>
      </x:c>
      <x:c r="C7" s="21" t="str">
        <x:v>ATC-A01</x:v>
      </x:c>
      <x:c r="D7" s="21" t="str">
        <x:v>Air tile cassette</x:v>
      </x:c>
      <x:c r="E7" s="21" t="str">
        <x:v>A</x:v>
      </x:c>
      <x:c r="F7" s="21" t="str">
        <x:v>Integrator I01</x:v>
      </x:c>
      <x:c r="G7" s="21" t="str">
        <x:v>ATC-A01-R1</x:v>
      </x:c>
      <x:c r="H7" s="21" t="str">
        <x:v>zonal optoelectronic vault</x:v>
      </x:c>
      <x:c r="I7" s="21" t="str">
        <x:v>isolated silicon plus optical witness</x:v>
      </x:c>
      <x:c r="J7" s="21" t="str">
        <x:v>rugged three-zone evidence cassette</x:v>
      </x:c>
      <x:c r="K7" s="21" t="str">
        <x:v>none</x:v>
      </x:c>
      <x:c r="L7" s="21" t="str">
        <x:v>PROVISIONAL BUILD</x:v>
      </x:c>
      <x:c r="M7" s="23" t="str">
        <x:v>OPEN</x:v>
      </x:c>
    </x:row>
    <x:row r="8">
      <x:c r="B8" s="21" t="str">
        <x:v>ATC-A01-B</x:v>
      </x:c>
      <x:c r="C8" s="21" t="str">
        <x:v>ATC-A01</x:v>
      </x:c>
      <x:c r="D8" s="21" t="str">
        <x:v>Air tile cassette</x:v>
      </x:c>
      <x:c r="E8" s="21" t="str">
        <x:v>B</x:v>
      </x:c>
      <x:c r="F8" s="21" t="str">
        <x:v>Integrator I02</x:v>
      </x:c>
      <x:c r="G8" s="21" t="str">
        <x:v>ATC-A01-R2</x:v>
      </x:c>
      <x:c r="H8" s="21" t="str">
        <x:v>distributed fiber-photonic skin</x:v>
      </x:c>
      <x:c r="I8" s="21" t="str">
        <x:v>fiber sensing plus remote passive gratings</x:v>
      </x:c>
      <x:c r="J8" s="21" t="str">
        <x:v>structure becomes the evidence network</x:v>
      </x:c>
      <x:c r="K8" s="21" t="str">
        <x:v>none</x:v>
      </x:c>
      <x:c r="L8" s="21" t="str">
        <x:v>PROVISIONAL BUILD</x:v>
      </x:c>
      <x:c r="M8" s="23" t="str">
        <x:v>OPEN</x:v>
      </x:c>
    </x:row>
    <x:row r="9">
      <x:c r="B9" s="21" t="str">
        <x:v>ATC-A01-C</x:v>
      </x:c>
      <x:c r="C9" s="21" t="str">
        <x:v>ATC-A01</x:v>
      </x:c>
      <x:c r="D9" s="21" t="str">
        <x:v>Air tile cassette</x:v>
      </x:c>
      <x:c r="E9" s="21" t="str">
        <x:v>C</x:v>
      </x:c>
      <x:c r="F9" s="21" t="str">
        <x:v>Integrator I03</x:v>
      </x:c>
      <x:c r="G9" s="21" t="str">
        <x:v>ATC-A01-R3</x:v>
      </x:c>
      <x:c r="H9" s="21" t="str">
        <x:v>MEMS mesh with mechanical witness</x:v>
      </x:c>
      <x:c r="I9" s="21" t="str">
        <x:v>distributed MEMS plus irreversible event witness</x:v>
      </x:c>
      <x:c r="J9" s="21" t="str">
        <x:v>dense local observation with no central logger</x:v>
      </x:c>
      <x:c r="K9" s="21" t="str">
        <x:v>G02</x:v>
      </x:c>
      <x:c r="L9" s="21" t="str">
        <x:v>CHALLENGE ONLY</x:v>
      </x:c>
      <x:c r="M9" s="23" t="str">
        <x:v>OPEN</x:v>
      </x:c>
    </x:row>
    <x:row r="10">
      <x:c r="B10" s="21" t="str">
        <x:v>TTC-T01-A</x:v>
      </x:c>
      <x:c r="C10" s="21" t="str">
        <x:v>TTC-T01</x:v>
      </x:c>
      <x:c r="D10" s="21" t="str">
        <x:v>Terrain tile cassette</x:v>
      </x:c>
      <x:c r="E10" s="21" t="str">
        <x:v>A</x:v>
      </x:c>
      <x:c r="F10" s="21" t="str">
        <x:v>Integrator I03</x:v>
      </x:c>
      <x:c r="G10" s="21" t="str">
        <x:v>TTC-T01-R1</x:v>
      </x:c>
      <x:c r="H10" s="21" t="str">
        <x:v>pod-local fiber and force cassette</x:v>
      </x:c>
      <x:c r="I10" s="21" t="str">
        <x:v>fiber strain plus sealed force nodes</x:v>
      </x:c>
      <x:c r="J10" s="21" t="str">
        <x:v>each terrain pod retains its own truth</x:v>
      </x:c>
      <x:c r="K10" s="21" t="str">
        <x:v>none</x:v>
      </x:c>
      <x:c r="L10" s="21" t="str">
        <x:v>PROVISIONAL BUILD</x:v>
      </x:c>
      <x:c r="M10" s="23" t="str">
        <x:v>OPEN</x:v>
      </x:c>
    </x:row>
    <x:row r="11">
      <x:c r="B11" s="21" t="str">
        <x:v>TTC-T01-B</x:v>
      </x:c>
      <x:c r="C11" s="21" t="str">
        <x:v>TTC-T01</x:v>
      </x:c>
      <x:c r="D11" s="21" t="str">
        <x:v>Terrain tile cassette</x:v>
      </x:c>
      <x:c r="E11" s="21" t="str">
        <x:v>B</x:v>
      </x:c>
      <x:c r="F11" s="21" t="str">
        <x:v>Integrator I04</x:v>
      </x:c>
      <x:c r="G11" s="21" t="str">
        <x:v>TTC-T01-R2</x:v>
      </x:c>
      <x:c r="H11" s="21" t="str">
        <x:v>printed piezoresistive laminate</x:v>
      </x:c>
      <x:c r="I11" s="21" t="str">
        <x:v>printed force-shear laminate plus optical check</x:v>
      </x:c>
      <x:c r="J11" s="21" t="str">
        <x:v>replaceable sensing surface at large area</x:v>
      </x:c>
      <x:c r="K11" s="21" t="str">
        <x:v>none</x:v>
      </x:c>
      <x:c r="L11" s="21" t="str">
        <x:v>PROVISIONAL BUILD</x:v>
      </x:c>
      <x:c r="M11" s="23" t="str">
        <x:v>OPEN</x:v>
      </x:c>
    </x:row>
    <x:row r="12">
      <x:c r="B12" s="21" t="str">
        <x:v>TTC-T01-C</x:v>
      </x:c>
      <x:c r="C12" s="21" t="str">
        <x:v>TTC-T01</x:v>
      </x:c>
      <x:c r="D12" s="21" t="str">
        <x:v>Terrain tile cassette</x:v>
      </x:c>
      <x:c r="E12" s="21" t="str">
        <x:v>C</x:v>
      </x:c>
      <x:c r="F12" s="21" t="str">
        <x:v>Integrator I05</x:v>
      </x:c>
      <x:c r="G12" s="21" t="str">
        <x:v>TTC-T01-R3</x:v>
      </x:c>
      <x:c r="H12" s="21" t="str">
        <x:v>fluidic pressure-shear network</x:v>
      </x:c>
      <x:c r="I12" s="21" t="str">
        <x:v>microfluidic cells plus mechanical recorder</x:v>
      </x:c>
      <x:c r="J12" s="21" t="str">
        <x:v>electronics-light contact reconstruction</x:v>
      </x:c>
      <x:c r="K12" s="21" t="str">
        <x:v>G03</x:v>
      </x:c>
      <x:c r="L12" s="21" t="str">
        <x:v>CHALLENGE ONLY</x:v>
      </x:c>
      <x:c r="M12" s="23" t="str">
        <x:v>OPEN</x:v>
      </x:c>
    </x:row>
    <x:row r="13">
      <x:c r="B13" s="21" t="str">
        <x:v>ACN-A01-A</x:v>
      </x:c>
      <x:c r="C13" s="21" t="str">
        <x:v>ACN-A01</x:v>
      </x:c>
      <x:c r="D13" s="21" t="str">
        <x:v>Air carrier node</x:v>
      </x:c>
      <x:c r="E13" s="21" t="str">
        <x:v>A</x:v>
      </x:c>
      <x:c r="F13" s="21" t="str">
        <x:v>Integrator I05</x:v>
      </x:c>
      <x:c r="G13" s="21" t="str">
        <x:v>ACN-A01-R1</x:v>
      </x:c>
      <x:c r="H13" s="21" t="str">
        <x:v>triple isolated evidence vault</x:v>
      </x:c>
      <x:c r="I13" s="21" t="str">
        <x:v>three isolated acquisition zones</x:v>
      </x:c>
      <x:c r="J13" s="21" t="str">
        <x:v>zonal carrier truth survives one vault casualty</x:v>
      </x:c>
      <x:c r="K13" s="21" t="str">
        <x:v>none</x:v>
      </x:c>
      <x:c r="L13" s="21" t="str">
        <x:v>PROVISIONAL BUILD</x:v>
      </x:c>
      <x:c r="M13" s="23" t="str">
        <x:v>OPEN</x:v>
      </x:c>
    </x:row>
    <x:row r="14">
      <x:c r="B14" s="21" t="str">
        <x:v>ACN-A01-B</x:v>
      </x:c>
      <x:c r="C14" s="21" t="str">
        <x:v>ACN-A01</x:v>
      </x:c>
      <x:c r="D14" s="21" t="str">
        <x:v>Air carrier node</x:v>
      </x:c>
      <x:c r="E14" s="21" t="str">
        <x:v>B</x:v>
      </x:c>
      <x:c r="F14" s="21" t="str">
        <x:v>Integrator I06</x:v>
      </x:c>
      <x:c r="G14" s="21" t="str">
        <x:v>ACN-A01-R2</x:v>
      </x:c>
      <x:c r="H14" s="21" t="str">
        <x:v>distributed analog event islands</x:v>
      </x:c>
      <x:c r="I14" s="21" t="str">
        <x:v>analog capture islands plus optical aggregation</x:v>
      </x:c>
      <x:c r="J14" s="21" t="str">
        <x:v>events remain local through bus loss</x:v>
      </x:c>
      <x:c r="K14" s="21" t="str">
        <x:v>none</x:v>
      </x:c>
      <x:c r="L14" s="21" t="str">
        <x:v>PROVISIONAL BUILD</x:v>
      </x:c>
      <x:c r="M14" s="23" t="str">
        <x:v>OPEN</x:v>
      </x:c>
    </x:row>
    <x:row r="15">
      <x:c r="B15" s="21" t="str">
        <x:v>ACN-A01-C</x:v>
      </x:c>
      <x:c r="C15" s="21" t="str">
        <x:v>ACN-A01</x:v>
      </x:c>
      <x:c r="D15" s="21" t="str">
        <x:v>Air carrier node</x:v>
      </x:c>
      <x:c r="E15" s="21" t="str">
        <x:v>C</x:v>
      </x:c>
      <x:c r="F15" s="21" t="str">
        <x:v>Integrator I01</x:v>
      </x:c>
      <x:c r="G15" s="21" t="str">
        <x:v>ACN-A01-R3</x:v>
      </x:c>
      <x:c r="H15" s="21" t="str">
        <x:v>photonic electromechanical witness ring</x:v>
      </x:c>
      <x:c r="I15" s="21" t="str">
        <x:v>passive optical geometry plus mechanical state memory</x:v>
      </x:c>
      <x:c r="J15" s="21" t="str">
        <x:v>carrier state reconstructed without flight-control access</x:v>
      </x:c>
      <x:c r="K15" s="21" t="str">
        <x:v>G04</x:v>
      </x:c>
      <x:c r="L15" s="21" t="str">
        <x:v>CHALLENGE ONLY</x:v>
      </x:c>
      <x:c r="M15" s="23" t="str">
        <x:v>OPEN</x:v>
      </x:c>
    </x:row>
    <x:row r="16">
      <x:c r="B16" s="21" t="str">
        <x:v>TCN-T01-A</x:v>
      </x:c>
      <x:c r="C16" s="21" t="str">
        <x:v>TCN-T01</x:v>
      </x:c>
      <x:c r="D16" s="21" t="str">
        <x:v>Terrain carrier node</x:v>
      </x:c>
      <x:c r="E16" s="21" t="str">
        <x:v>A</x:v>
      </x:c>
      <x:c r="F16" s="21" t="str">
        <x:v>Integrator I01</x:v>
      </x:c>
      <x:c r="G16" s="21" t="str">
        <x:v>TCN-T01-R1</x:v>
      </x:c>
      <x:c r="H16" s="21" t="str">
        <x:v>pod-local dual vault</x:v>
      </x:c>
      <x:c r="I16" s="21" t="str">
        <x:v>two unlike stores in each pod</x:v>
      </x:c>
      <x:c r="J16" s="21" t="str">
        <x:v>contact truth survives pod and center faults</x:v>
      </x:c>
      <x:c r="K16" s="21" t="str">
        <x:v>none</x:v>
      </x:c>
      <x:c r="L16" s="21" t="str">
        <x:v>PROVISIONAL BUILD</x:v>
      </x:c>
      <x:c r="M16" s="23" t="str">
        <x:v>OPEN</x:v>
      </x:c>
    </x:row>
    <x:row r="17">
      <x:c r="B17" s="21" t="str">
        <x:v>TCN-T01-B</x:v>
      </x:c>
      <x:c r="C17" s="21" t="str">
        <x:v>TCN-T01</x:v>
      </x:c>
      <x:c r="D17" s="21" t="str">
        <x:v>Terrain carrier node</x:v>
      </x:c>
      <x:c r="E17" s="21" t="str">
        <x:v>B</x:v>
      </x:c>
      <x:c r="F17" s="21" t="str">
        <x:v>Integrator I02</x:v>
      </x:c>
      <x:c r="G17" s="21" t="str">
        <x:v>TCN-T01-R2</x:v>
      </x:c>
      <x:c r="H17" s="21" t="str">
        <x:v>structural-wave acquisition lattice</x:v>
      </x:c>
      <x:c r="I17" s="21" t="str">
        <x:v>acoustic and strain-wave event reconstruction</x:v>
      </x:c>
      <x:c r="J17" s="21" t="str">
        <x:v>distributed evidence without a central load bus</x:v>
      </x:c>
      <x:c r="K17" s="21" t="str">
        <x:v>none</x:v>
      </x:c>
      <x:c r="L17" s="21" t="str">
        <x:v>PROVISIONAL BUILD</x:v>
      </x:c>
      <x:c r="M17" s="23" t="str">
        <x:v>OPEN</x:v>
      </x:c>
    </x:row>
    <x:row r="18">
      <x:c r="B18" s="21" t="str">
        <x:v>TCN-T01-C</x:v>
      </x:c>
      <x:c r="C18" s="21" t="str">
        <x:v>TCN-T01</x:v>
      </x:c>
      <x:c r="D18" s="21" t="str">
        <x:v>Terrain carrier node</x:v>
      </x:c>
      <x:c r="E18" s="21" t="str">
        <x:v>C</x:v>
      </x:c>
      <x:c r="F18" s="21" t="str">
        <x:v>Integrator I03</x:v>
      </x:c>
      <x:c r="G18" s="21" t="str">
        <x:v>TCN-T01-R3</x:v>
      </x:c>
      <x:c r="H18" s="21" t="str">
        <x:v>fluidic mechanical recorder array</x:v>
      </x:c>
      <x:c r="I18" s="21" t="str">
        <x:v>sealed hydraulic cells plus mechanical maxima</x:v>
      </x:c>
      <x:c r="J18" s="21" t="str">
        <x:v>terrain burden captured without shared electronics</x:v>
      </x:c>
      <x:c r="K18" s="21" t="str">
        <x:v>G05</x:v>
      </x:c>
      <x:c r="L18" s="21" t="str">
        <x:v>CHALLENGE ONLY</x:v>
      </x:c>
      <x:c r="M18" s="23" t="str">
        <x:v>OPEN</x:v>
      </x:c>
    </x:row>
    <x:row r="19">
      <x:c r="B19" s="21" t="str">
        <x:v>CRS-R01-A</x:v>
      </x:c>
      <x:c r="C19" s="21" t="str">
        <x:v>CRS-R01</x:v>
      </x:c>
      <x:c r="D19" s="21" t="str">
        <x:v>Civil receiver</x:v>
      </x:c>
      <x:c r="E19" s="21" t="str">
        <x:v>A</x:v>
      </x:c>
      <x:c r="F19" s="21" t="str">
        <x:v>Integrator I03</x:v>
      </x:c>
      <x:c r="G19" s="21" t="str">
        <x:v>CRS-R01-R1</x:v>
      </x:c>
      <x:c r="H19" s="21" t="str">
        <x:v>three-module assay utility civil station</x:v>
      </x:c>
      <x:c r="I19" s="21" t="str">
        <x:v>separate assay utility and release modules</x:v>
      </x:c>
      <x:c r="J19" s="21" t="str">
        <x:v>civil release survives one module fault</x:v>
      </x:c>
      <x:c r="K19" s="21" t="str">
        <x:v>none</x:v>
      </x:c>
      <x:c r="L19" s="21" t="str">
        <x:v>PROVISIONAL BUILD</x:v>
      </x:c>
      <x:c r="M19" s="23" t="str">
        <x:v>OPEN</x:v>
      </x:c>
    </x:row>
    <x:row r="20">
      <x:c r="B20" s="21" t="str">
        <x:v>CRS-R01-B</x:v>
      </x:c>
      <x:c r="C20" s="21" t="str">
        <x:v>CRS-R01</x:v>
      </x:c>
      <x:c r="D20" s="21" t="str">
        <x:v>Civil receiver</x:v>
      </x:c>
      <x:c r="E20" s="21" t="str">
        <x:v>B</x:v>
      </x:c>
      <x:c r="F20" s="21" t="str">
        <x:v>Integrator I04</x:v>
      </x:c>
      <x:c r="G20" s="21" t="str">
        <x:v>CRS-R01-R2</x:v>
      </x:c>
      <x:c r="H20" s="21" t="str">
        <x:v>microfluidic assay and grid-forming witness</x:v>
      </x:c>
      <x:c r="I20" s="21" t="str">
        <x:v>microfluidic provenance plus isolated power-quality witness</x:v>
      </x:c>
      <x:c r="J20" s="21" t="str">
        <x:v>utility truth and assay share no controller</x:v>
      </x:c>
      <x:c r="K20" s="21" t="str">
        <x:v>none</x:v>
      </x:c>
      <x:c r="L20" s="21" t="str">
        <x:v>PROVISIONAL BUILD</x:v>
      </x:c>
      <x:c r="M20" s="23" t="str">
        <x:v>OPEN</x:v>
      </x:c>
    </x:row>
    <x:row r="21">
      <x:c r="B21" s="21" t="str">
        <x:v>CRS-R01-C</x:v>
      </x:c>
      <x:c r="C21" s="21" t="str">
        <x:v>CRS-R01</x:v>
      </x:c>
      <x:c r="D21" s="21" t="str">
        <x:v>Civil receiver</x:v>
      </x:c>
      <x:c r="E21" s="21" t="str">
        <x:v>C</x:v>
      </x:c>
      <x:c r="F21" s="21" t="str">
        <x:v>Integrator I05</x:v>
      </x:c>
      <x:c r="G21" s="21" t="str">
        <x:v>CRS-R01-R3</x:v>
      </x:c>
      <x:c r="H21" s="21" t="str">
        <x:v>electrochemical and paper-optical fabric</x:v>
      </x:c>
      <x:c r="I21" s="21" t="str">
        <x:v>disposable assay arrays plus optical readout</x:v>
      </x:c>
      <x:c r="J21" s="21" t="str">
        <x:v>high-volume receiver truth with low dependence</x:v>
      </x:c>
      <x:c r="K21" s="21" t="str">
        <x:v>G06</x:v>
      </x:c>
      <x:c r="L21" s="21" t="str">
        <x:v>CHALLENGE ONLY</x:v>
      </x:c>
      <x:c r="M21" s="23" t="str">
        <x:v>OPEN</x:v>
      </x:c>
    </x:row>
    <x:row r="22">
      <x:c r="B22" s="21" t="str">
        <x:v>PSS-T01-A</x:v>
      </x:c>
      <x:c r="C22" s="21" t="str">
        <x:v>PSS-T01</x:v>
      </x:c>
      <x:c r="D22" s="21" t="str">
        <x:v>Pressure skin</x:v>
      </x:c>
      <x:c r="E22" s="21" t="str">
        <x:v>A</x:v>
      </x:c>
      <x:c r="F22" s="21" t="str">
        <x:v>Integrator I05</x:v>
      </x:c>
      <x:c r="G22" s="21" t="str">
        <x:v>PSS-T01-R1</x:v>
      </x:c>
      <x:c r="H22" s="21" t="str">
        <x:v>force mosaic plus optical geometry</x:v>
      </x:c>
      <x:c r="I22" s="21" t="str">
        <x:v>dual-physics load field and boundary reconstruction</x:v>
      </x:c>
      <x:c r="J22" s="21" t="str">
        <x:v>unlike physics exposes contact inference error</x:v>
      </x:c>
      <x:c r="K22" s="21" t="str">
        <x:v>none</x:v>
      </x:c>
      <x:c r="L22" s="21" t="str">
        <x:v>PROVISIONAL BUILD</x:v>
      </x:c>
      <x:c r="M22" s="23" t="str">
        <x:v>OPEN</x:v>
      </x:c>
    </x:row>
    <x:row r="23">
      <x:c r="B23" s="21" t="str">
        <x:v>PSS-T01-B</x:v>
      </x:c>
      <x:c r="C23" s="21" t="str">
        <x:v>PSS-T01</x:v>
      </x:c>
      <x:c r="D23" s="21" t="str">
        <x:v>Pressure skin</x:v>
      </x:c>
      <x:c r="E23" s="21" t="str">
        <x:v>B</x:v>
      </x:c>
      <x:c r="F23" s="21" t="str">
        <x:v>Integrator I06</x:v>
      </x:c>
      <x:c r="G23" s="21" t="str">
        <x:v>PSS-T01-R2</x:v>
      </x:c>
      <x:c r="H23" s="21" t="str">
        <x:v>printed piezoelectric skin plus lidar</x:v>
      </x:c>
      <x:c r="I23" s="21" t="str">
        <x:v>continuous printed sheet plus independent optical surface</x:v>
      </x:c>
      <x:c r="J23" s="21" t="str">
        <x:v>rapidly replaceable large-area contact metrology</x:v>
      </x:c>
      <x:c r="K23" s="21" t="str">
        <x:v>none</x:v>
      </x:c>
      <x:c r="L23" s="21" t="str">
        <x:v>PROVISIONAL BUILD</x:v>
      </x:c>
      <x:c r="M23" s="23" t="str">
        <x:v>OPEN</x:v>
      </x:c>
    </x:row>
    <x:row r="24">
      <x:c r="B24" s="21" t="str">
        <x:v>PSS-T01-C</x:v>
      </x:c>
      <x:c r="C24" s="21" t="str">
        <x:v>PSS-T01</x:v>
      </x:c>
      <x:c r="D24" s="21" t="str">
        <x:v>Pressure skin</x:v>
      </x:c>
      <x:c r="E24" s="21" t="str">
        <x:v>C</x:v>
      </x:c>
      <x:c r="F24" s="21" t="str">
        <x:v>Integrator I01</x:v>
      </x:c>
      <x:c r="G24" s="21" t="str">
        <x:v>PSS-T01-R3</x:v>
      </x:c>
      <x:c r="H24" s="21" t="str">
        <x:v>hydraulic microcell mattress plus photogrammetry</x:v>
      </x:c>
      <x:c r="I24" s="21" t="str">
        <x:v>sealed fluid cells plus visual geometry</x:v>
      </x:c>
      <x:c r="J24" s="21" t="str">
        <x:v>mechanically legible pressure field under electronics loss</x:v>
      </x:c>
      <x:c r="K24" s="21" t="str">
        <x:v>G07</x:v>
      </x:c>
      <x:c r="L24" s="21" t="str">
        <x:v>CHALLENGE ONLY</x:v>
      </x:c>
      <x:c r="M24" s="23" t="str">
        <x:v>OPEN</x:v>
      </x:c>
    </x:row>
    <x:row r="25">
      <x:c r="B25" s="21" t="str">
        <x:v>PIF-I01-A</x:v>
      </x:c>
      <x:c r="C25" s="21" t="str">
        <x:v>PIF-I01</x:v>
      </x:c>
      <x:c r="D25" s="21" t="str">
        <x:v>Passive interface</x:v>
      </x:c>
      <x:c r="E25" s="21" t="str">
        <x:v>A</x:v>
      </x:c>
      <x:c r="F25" s="21" t="str">
        <x:v>Integrator I01</x:v>
      </x:c>
      <x:c r="G25" s="21" t="str">
        <x:v>PIF-I01-R1</x:v>
      </x:c>
      <x:c r="H25" s="21" t="str">
        <x:v>split optical voltage-current bridge</x:v>
      </x:c>
      <x:c r="I25" s="21" t="str">
        <x:v>separate transducers and passive optical mirror</x:v>
      </x:c>
      <x:c r="J25" s="21" t="str">
        <x:v>observable state with inspectable energy isolation</x:v>
      </x:c>
      <x:c r="K25" s="21" t="str">
        <x:v>none</x:v>
      </x:c>
      <x:c r="L25" s="21" t="str">
        <x:v>PROVISIONAL BUILD</x:v>
      </x:c>
      <x:c r="M25" s="23" t="str">
        <x:v>OPEN</x:v>
      </x:c>
    </x:row>
    <x:row r="26">
      <x:c r="B26" s="21" t="str">
        <x:v>PIF-I01-B</x:v>
      </x:c>
      <x:c r="C26" s="21" t="str">
        <x:v>PIF-I01</x:v>
      </x:c>
      <x:c r="D26" s="21" t="str">
        <x:v>Passive interface</x:v>
      </x:c>
      <x:c r="E26" s="21" t="str">
        <x:v>B</x:v>
      </x:c>
      <x:c r="F26" s="21" t="str">
        <x:v>Integrator I02</x:v>
      </x:c>
      <x:c r="G26" s="21" t="str">
        <x:v>PIF-I01-R2</x:v>
      </x:c>
      <x:c r="H26" s="21" t="str">
        <x:v>magneto-optic transducer bridge</x:v>
      </x:c>
      <x:c r="I26" s="21" t="str">
        <x:v>field coupling plus optical readout</x:v>
      </x:c>
      <x:c r="J26" s="21" t="str">
        <x:v>no galvanic mission return path</x:v>
      </x:c>
      <x:c r="K26" s="21" t="str">
        <x:v>none</x:v>
      </x:c>
      <x:c r="L26" s="21" t="str">
        <x:v>PROVISIONAL BUILD</x:v>
      </x:c>
      <x:c r="M26" s="23" t="str">
        <x:v>OPEN</x:v>
      </x:c>
    </x:row>
    <x:row r="27">
      <x:c r="B27" s="21" t="str">
        <x:v>PIF-I01-C</x:v>
      </x:c>
      <x:c r="C27" s="21" t="str">
        <x:v>PIF-I01</x:v>
      </x:c>
      <x:c r="D27" s="21" t="str">
        <x:v>Passive interface</x:v>
      </x:c>
      <x:c r="E27" s="21" t="str">
        <x:v>C</x:v>
      </x:c>
      <x:c r="F27" s="21" t="str">
        <x:v>Integrator I03</x:v>
      </x:c>
      <x:c r="G27" s="21" t="str">
        <x:v>PIF-I01-R3</x:v>
      </x:c>
      <x:c r="H27" s="21" t="str">
        <x:v>pneumatic mechanical state mirror</x:v>
      </x:c>
      <x:c r="I27" s="21" t="str">
        <x:v>bounded pressure pulse plus mechanical memory</x:v>
      </x:c>
      <x:c r="J27" s="21" t="str">
        <x:v>fully non-electronic one-way witness</x:v>
      </x:c>
      <x:c r="K27" s="21" t="str">
        <x:v>G08</x:v>
      </x:c>
      <x:c r="L27" s="21" t="str">
        <x:v>CHALLENGE ONLY</x:v>
      </x:c>
      <x:c r="M27" s="23" t="str">
        <x:v>OPEN</x:v>
      </x:c>
    </x:row>
    <x:row r="28">
      <x:c r="B28" s="21" t="str">
        <x:v>EPS-P01-A</x:v>
      </x:c>
      <x:c r="C28" s="21" t="str">
        <x:v>EPS-P01</x:v>
      </x:c>
      <x:c r="D28" s="21" t="str">
        <x:v>Independent energy</x:v>
      </x:c>
      <x:c r="E28" s="21" t="str">
        <x:v>A</x:v>
      </x:c>
      <x:c r="F28" s="21" t="str">
        <x:v>Integrator I03</x:v>
      </x:c>
      <x:c r="G28" s="21" t="str">
        <x:v>EPS-P01-R1</x:v>
      </x:c>
      <x:c r="H28" s="21" t="str">
        <x:v>metal-air primary core plus supercapacitor</x:v>
      </x:c>
      <x:c r="I28" s="21" t="str">
        <x:v>metal-air endurance and isolated pulse buffer</x:v>
      </x:c>
      <x:c r="J28" s="21" t="str">
        <x:v>seven-day autonomy with separated event power</x:v>
      </x:c>
      <x:c r="K28" s="21" t="str">
        <x:v>none</x:v>
      </x:c>
      <x:c r="L28" s="21" t="str">
        <x:v>PROVISIONAL BUILD</x:v>
      </x:c>
      <x:c r="M28" s="23" t="str">
        <x:v>OPEN</x:v>
      </x:c>
    </x:row>
    <x:row r="29">
      <x:c r="B29" s="21" t="str">
        <x:v>EPS-P01-B</x:v>
      </x:c>
      <x:c r="C29" s="21" t="str">
        <x:v>EPS-P01</x:v>
      </x:c>
      <x:c r="D29" s="21" t="str">
        <x:v>Independent energy</x:v>
      </x:c>
      <x:c r="E29" s="21" t="str">
        <x:v>B</x:v>
      </x:c>
      <x:c r="F29" s="21" t="str">
        <x:v>Integrator I04</x:v>
      </x:c>
      <x:c r="G29" s="21" t="str">
        <x:v>EPS-P01-R2</x:v>
      </x:c>
      <x:c r="H29" s="21" t="str">
        <x:v>lithium primary core plus titanate buffer</x:v>
      </x:c>
      <x:c r="I29" s="21" t="str">
        <x:v>high-specific-energy primary cells and safe high-rate buffer</x:v>
      </x:c>
      <x:c r="J29" s="21" t="str">
        <x:v>mature roots used in a new isolated architecture</x:v>
      </x:c>
      <x:c r="K29" s="21" t="str">
        <x:v>none</x:v>
      </x:c>
      <x:c r="L29" s="21" t="str">
        <x:v>PROVISIONAL BUILD</x:v>
      </x:c>
      <x:c r="M29" s="23" t="str">
        <x:v>OPEN</x:v>
      </x:c>
    </x:row>
    <x:row r="30">
      <x:c r="B30" s="21" t="str">
        <x:v>EPS-P01-C</x:v>
      </x:c>
      <x:c r="C30" s="21" t="str">
        <x:v>EPS-P01</x:v>
      </x:c>
      <x:c r="D30" s="21" t="str">
        <x:v>Independent energy</x:v>
      </x:c>
      <x:c r="E30" s="21" t="str">
        <x:v>C</x:v>
      </x:c>
      <x:c r="F30" s="21" t="str">
        <x:v>Integrator I05</x:v>
      </x:c>
      <x:c r="G30" s="21" t="str">
        <x:v>EPS-P01-R3</x:v>
      </x:c>
      <x:c r="H30" s="21" t="str">
        <x:v>sodium thermal reserve plus solid-state buffer</x:v>
      </x:c>
      <x:c r="I30" s="21" t="str">
        <x:v>activated thermal reserve and solid-state pulse store</x:v>
      </x:c>
      <x:c r="J30" s="21" t="str">
        <x:v>long dormant life with no mission recharge</x:v>
      </x:c>
      <x:c r="K30" s="21" t="str">
        <x:v>G09</x:v>
      </x:c>
      <x:c r="L30" s="21" t="str">
        <x:v>CHALLENGE ONLY</x:v>
      </x:c>
      <x:c r="M30" s="23" t="str">
        <x:v>OPEN</x:v>
      </x:c>
    </x:row>
    <x:row r="31">
      <x:c r="B31" s="21" t="str">
        <x:v>TKS-C01-A</x:v>
      </x:c>
      <x:c r="C31" s="21" t="str">
        <x:v>TKS-C01</x:v>
      </x:c>
      <x:c r="D31" s="21" t="str">
        <x:v>Denied time</x:v>
      </x:c>
      <x:c r="E31" s="21" t="str">
        <x:v>A</x:v>
      </x:c>
      <x:c r="F31" s="21" t="str">
        <x:v>Integrator I05</x:v>
      </x:c>
      <x:c r="G31" s="21" t="str">
        <x:v>TKS-C01-R1</x:v>
      </x:c>
      <x:c r="H31" s="21" t="str">
        <x:v>dual atomic roots plus quartz witness</x:v>
      </x:c>
      <x:c r="I31" s="21" t="str">
        <x:v>unlike atomic references and quartz comparison</x:v>
      </x:c>
      <x:c r="J31" s="21" t="str">
        <x:v>event order survives loss of external time</x:v>
      </x:c>
      <x:c r="K31" s="21" t="str">
        <x:v>none</x:v>
      </x:c>
      <x:c r="L31" s="21" t="str">
        <x:v>PROVISIONAL BUILD</x:v>
      </x:c>
      <x:c r="M31" s="23" t="str">
        <x:v>OPEN</x:v>
      </x:c>
    </x:row>
    <x:row r="32">
      <x:c r="B32" s="21" t="str">
        <x:v>TKS-C01-B</x:v>
      </x:c>
      <x:c r="C32" s="21" t="str">
        <x:v>TKS-C01</x:v>
      </x:c>
      <x:c r="D32" s="21" t="str">
        <x:v>Denied time</x:v>
      </x:c>
      <x:c r="E32" s="21" t="str">
        <x:v>B</x:v>
      </x:c>
      <x:c r="F32" s="21" t="str">
        <x:v>Integrator I06</x:v>
      </x:c>
      <x:c r="G32" s="21" t="str">
        <x:v>TKS-C01-R2</x:v>
      </x:c>
      <x:c r="H32" s="21" t="str">
        <x:v>chip optical clock plus mechanical oscillator</x:v>
      </x:c>
      <x:c r="I32" s="21" t="str">
        <x:v>photonic frequency root and unlike holdover</x:v>
      </x:c>
      <x:c r="J32" s="21" t="str">
        <x:v>field time sovereignty below laboratory scale</x:v>
      </x:c>
      <x:c r="K32" s="21" t="str">
        <x:v>none</x:v>
      </x:c>
      <x:c r="L32" s="21" t="str">
        <x:v>PROVISIONAL BUILD</x:v>
      </x:c>
      <x:c r="M32" s="23" t="str">
        <x:v>OPEN</x:v>
      </x:c>
    </x:row>
    <x:row r="33">
      <x:c r="B33" s="21" t="str">
        <x:v>TKS-C01-C</x:v>
      </x:c>
      <x:c r="C33" s="21" t="str">
        <x:v>TKS-C01</x:v>
      </x:c>
      <x:c r="D33" s="21" t="str">
        <x:v>Denied time</x:v>
      </x:c>
      <x:c r="E33" s="21" t="str">
        <x:v>C</x:v>
      </x:c>
      <x:c r="F33" s="21" t="str">
        <x:v>Integrator I01</x:v>
      </x:c>
      <x:c r="G33" s="21" t="str">
        <x:v>TKS-C01-R3</x:v>
      </x:c>
      <x:c r="H33" s="21" t="str">
        <x:v>nuclear-magnetic reference plus quartz</x:v>
      </x:c>
      <x:c r="I33" s="21" t="str">
        <x:v>magnetic-resonance reference and independent oscillator</x:v>
      </x:c>
      <x:c r="J33" s="21" t="str">
        <x:v>new compact time root outside common atomic supply</x:v>
      </x:c>
      <x:c r="K33" s="21" t="str">
        <x:v>G10</x:v>
      </x:c>
      <x:c r="L33" s="21" t="str">
        <x:v>CHALLENGE ONLY</x:v>
      </x:c>
      <x:c r="M33" s="23" t="str">
        <x:v>OPEN</x:v>
      </x:c>
    </x:row>
    <x:row r="34">
      <x:c r="B34" s="21" t="str">
        <x:v>STG-S01-A</x:v>
      </x:c>
      <x:c r="C34" s="21" t="str">
        <x:v>STG-S01</x:v>
      </x:c>
      <x:c r="D34" s="21" t="str">
        <x:v>Immutable storage</x:v>
      </x:c>
      <x:c r="E34" s="21" t="str">
        <x:v>A</x:v>
      </x:c>
      <x:c r="F34" s="21" t="str">
        <x:v>Integrator I01</x:v>
      </x:c>
      <x:c r="G34" s="21" t="str">
        <x:v>STG-S01-R1</x:v>
      </x:c>
      <x:c r="H34" s="21" t="str">
        <x:v>dual cross-hashed solid-state vault</x:v>
      </x:c>
      <x:c r="I34" s="21" t="str">
        <x:v>unlike controllers and media</x:v>
      </x:c>
      <x:c r="J34" s="21" t="str">
        <x:v>local originals survive controller and media faults</x:v>
      </x:c>
      <x:c r="K34" s="21" t="str">
        <x:v>none</x:v>
      </x:c>
      <x:c r="L34" s="21" t="str">
        <x:v>PROVISIONAL BUILD</x:v>
      </x:c>
      <x:c r="M34" s="23" t="str">
        <x:v>OPEN</x:v>
      </x:c>
    </x:row>
    <x:row r="35">
      <x:c r="B35" s="21" t="str">
        <x:v>STG-S01-B</x:v>
      </x:c>
      <x:c r="C35" s="21" t="str">
        <x:v>STG-S01</x:v>
      </x:c>
      <x:c r="D35" s="21" t="str">
        <x:v>Immutable storage</x:v>
      </x:c>
      <x:c r="E35" s="21" t="str">
        <x:v>B</x:v>
      </x:c>
      <x:c r="F35" s="21" t="str">
        <x:v>Integrator I02</x:v>
      </x:c>
      <x:c r="G35" s="21" t="str">
        <x:v>STG-S01-R2</x:v>
      </x:c>
      <x:c r="H35" s="21" t="str">
        <x:v>sapphire optical WORM plus solid-state index</x:v>
      </x:c>
      <x:c r="I35" s="21" t="str">
        <x:v>write-once optical body with separate searchable index</x:v>
      </x:c>
      <x:c r="J35" s="21" t="str">
        <x:v>century-scale immutable field original</x:v>
      </x:c>
      <x:c r="K35" s="21" t="str">
        <x:v>none</x:v>
      </x:c>
      <x:c r="L35" s="21" t="str">
        <x:v>PROVISIONAL BUILD</x:v>
      </x:c>
      <x:c r="M35" s="23" t="str">
        <x:v>OPEN</x:v>
      </x:c>
    </x:row>
    <x:row r="36">
      <x:c r="B36" s="21" t="str">
        <x:v>STG-S01-C</x:v>
      </x:c>
      <x:c r="C36" s="21" t="str">
        <x:v>STG-S01</x:v>
      </x:c>
      <x:c r="D36" s="21" t="str">
        <x:v>Immutable storage</x:v>
      </x:c>
      <x:c r="E36" s="21" t="str">
        <x:v>C</x:v>
      </x:c>
      <x:c r="F36" s="21" t="str">
        <x:v>Integrator I03</x:v>
      </x:c>
      <x:c r="G36" s="21" t="str">
        <x:v>STG-S01-R3</x:v>
      </x:c>
      <x:c r="H36" s="21" t="str">
        <x:v>phase-change WORM plus mechanical custody seal</x:v>
      </x:c>
      <x:c r="I36" s="21" t="str">
        <x:v>irreversible phase memory and physical segment seal</x:v>
      </x:c>
      <x:c r="J36" s="21" t="str">
        <x:v>low-power original storage with visible tamper state</x:v>
      </x:c>
      <x:c r="K36" s="21" t="str">
        <x:v>G11</x:v>
      </x:c>
      <x:c r="L36" s="21" t="str">
        <x:v>CHALLENGE ONLY</x:v>
      </x:c>
      <x:c r="M36" s="23" t="str">
        <x:v>OPEN</x:v>
      </x:c>
    </x:row>
    <x:row r="37">
      <x:c r="B37" s="21" t="str">
        <x:v>MHE-E01-A</x:v>
      </x:c>
      <x:c r="C37" s="21" t="str">
        <x:v>MHE-E01</x:v>
      </x:c>
      <x:c r="D37" s="21" t="str">
        <x:v>Mass and heat emulator</x:v>
      </x:c>
      <x:c r="E37" s="21" t="str">
        <x:v>A</x:v>
      </x:c>
      <x:c r="F37" s="21" t="str">
        <x:v>Integrator I03</x:v>
      </x:c>
      <x:c r="G37" s="21" t="str">
        <x:v>MHE-E01-R1</x:v>
      </x:c>
      <x:c r="H37" s="21" t="str">
        <x:v>modular dense ballast and resistance heater</x:v>
      </x:c>
      <x:c r="I37" s="21" t="str">
        <x:v>fixed inertial cartridges and outward heater</x:v>
      </x:c>
      <x:c r="J37" s="21" t="str">
        <x:v>simple passive burden equivalence</x:v>
      </x:c>
      <x:c r="K37" s="21" t="str">
        <x:v>none</x:v>
      </x:c>
      <x:c r="L37" s="21" t="str">
        <x:v>PROVISIONAL BUILD</x:v>
      </x:c>
      <x:c r="M37" s="23" t="str">
        <x:v>OPEN</x:v>
      </x:c>
    </x:row>
    <x:row r="38">
      <x:c r="B38" s="21" t="str">
        <x:v>MHE-E01-B</x:v>
      </x:c>
      <x:c r="C38" s="21" t="str">
        <x:v>MHE-E01</x:v>
      </x:c>
      <x:c r="D38" s="21" t="str">
        <x:v>Mass and heat emulator</x:v>
      </x:c>
      <x:c r="E38" s="21" t="str">
        <x:v>B</x:v>
      </x:c>
      <x:c r="F38" s="21" t="str">
        <x:v>Integrator I04</x:v>
      </x:c>
      <x:c r="G38" s="21" t="str">
        <x:v>MHE-E01-R2</x:v>
      </x:c>
      <x:c r="H38" s="21" t="str">
        <x:v>phase-change ballast with heat pipes</x:v>
      </x:c>
      <x:c r="I38" s="21" t="str">
        <x:v>tunable thermal mass and passive heat transport</x:v>
      </x:c>
      <x:c r="J38" s="21" t="str">
        <x:v>dynamic heat signature without mission sensing</x:v>
      </x:c>
      <x:c r="K38" s="21" t="str">
        <x:v>none</x:v>
      </x:c>
      <x:c r="L38" s="21" t="str">
        <x:v>PROVISIONAL BUILD</x:v>
      </x:c>
      <x:c r="M38" s="23" t="str">
        <x:v>OPEN</x:v>
      </x:c>
    </x:row>
    <x:row r="39">
      <x:c r="B39" s="24" t="str">
        <x:v>MHE-E01-C</x:v>
      </x:c>
      <x:c r="C39" s="24" t="str">
        <x:v>MHE-E01</x:v>
      </x:c>
      <x:c r="D39" s="24" t="str">
        <x:v>Mass and heat emulator</x:v>
      </x:c>
      <x:c r="E39" s="24" t="str">
        <x:v>C</x:v>
      </x:c>
      <x:c r="F39" s="24" t="str">
        <x:v>Integrator I05</x:v>
      </x:c>
      <x:c r="G39" s="24" t="str">
        <x:v>MHE-E01-R3</x:v>
      </x:c>
      <x:c r="H39" s="24" t="str">
        <x:v>granular inertia cartridge and impedance bank</x:v>
      </x:c>
      <x:c r="I39" s="24" t="str">
        <x:v>reconfigurable mass tensor and passive impedance</x:v>
      </x:c>
      <x:c r="J39" s="24" t="str">
        <x:v>one emulator family spans multiple host states</x:v>
      </x:c>
      <x:c r="K39" s="24" t="str">
        <x:v>G12</x:v>
      </x:c>
      <x:c r="L39" s="24" t="str">
        <x:v>CHALLENGE ONLY</x:v>
      </x:c>
      <x:c r="M39" s="26" t="str">
        <x:v>OPEN</x:v>
      </x:c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mergeCells>
    <x:mergeCell ref="B3:M3"/>
  </x:mergeCells>
  <x:conditionalFormatting sqref="L7:M39">
    <x:cfRule type="containsText" dxfId="10" priority="1" operator="containsText" text="OPEN"/>
    <x:cfRule type="containsText" dxfId="11" priority="2" operator="containsText" text="HOLD"/>
    <x:cfRule type="containsText" dxfId="12" priority="3" operator="containsText" text="BLOCKED"/>
    <x:cfRule type="containsText" dxfId="13" priority="4" operator="containsText" text="CHALLENGE ONLY"/>
    <x:cfRule type="containsText" dxfId="14" priority="5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4" hidden="0" customWidth="1"/>
    <x:col min="3" max="3" width="18" hidden="0" customWidth="1"/>
    <x:col min="4" max="4" width="14" hidden="0" customWidth="1"/>
    <x:col min="5" max="5" width="11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48" hidden="0" customWidth="1"/>
    <x:col min="11" max="11" width="34" hidden="0" customWidth="1"/>
  </x:cols>
  <x:sheetData>
    <x:row r="2">
      <x:c r="B2" s="3" t="str">
        <x:v>Hard-gate screening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A proposal must pass all twelve hard gates before any build path is considered. The challenge path records one explicit defect and an experiment to close it.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Record</x:v>
      </x:c>
      <x:c r="C6" s="20" t="str">
        <x:v>Proposal</x:v>
      </x:c>
      <x:c r="D6" s="20" t="str">
        <x:v>Family</x:v>
      </x:c>
      <x:c r="E6" s="20" t="str">
        <x:v>Gate</x:v>
      </x:c>
      <x:c r="F6" s="20" t="str">
        <x:v>Subject</x:v>
      </x:c>
      <x:c r="G6" s="20" t="str">
        <x:v>Observed</x:v>
      </x:c>
      <x:c r="H6" s="20" t="str">
        <x:v>Required</x:v>
      </x:c>
      <x:c r="I6" s="20" t="str">
        <x:v>Result</x:v>
      </x:c>
      <x:c r="J6" s="20" t="str">
        <x:v>Threshold</x:v>
      </x:c>
      <x:c r="K6" s="20" t="str">
        <x:v>Consequence</x:v>
      </x:c>
    </x:row>
    <x:row r="7">
      <x:c r="B7" s="21" t="str">
        <x:v>ATC-A01-A-G01</x:v>
      </x:c>
      <x:c r="C7" s="21" t="str">
        <x:v>ATC-A01-A</x:v>
      </x:c>
      <x:c r="D7" s="21" t="str">
        <x:v>ATC-A01</x:v>
      </x:c>
      <x:c r="E7" s="21" t="str">
        <x:v>G01</x:v>
      </x:c>
      <x:c r="F7" s="21" t="str">
        <x:v>public effect boundary</x:v>
      </x:c>
      <x:c r="G7" s="21" t="n">
        <x:v>1</x:v>
      </x:c>
      <x:c r="H7" s="21" t="n">
        <x:v>1</x:v>
      </x:c>
      <x:c r="I7" s="21" t="str">
        <x:v>PASS</x:v>
      </x:c>
      <x:c r="J7" s="21" t="str">
        <x:v>complete local decision and invalid-state grammar</x:v>
      </x:c>
      <x:c r="K7" s="23" t="str">
        <x:v>reject mission substitution</x:v>
      </x:c>
    </x:row>
    <x:row r="8">
      <x:c r="B8" s="21" t="str">
        <x:v>ATC-A01-A-G02</x:v>
      </x:c>
      <x:c r="C8" s="21" t="str">
        <x:v>ATC-A01-A</x:v>
      </x:c>
      <x:c r="D8" s="21" t="str">
        <x:v>ATC-A01</x:v>
      </x:c>
      <x:c r="E8" s="21" t="str">
        <x:v>G02</x:v>
      </x:c>
      <x:c r="F8" s="21" t="str">
        <x:v>mass volume and reserve</x:v>
      </x:c>
      <x:c r="G8" s="21" t="n">
        <x:v>1</x:v>
      </x:c>
      <x:c r="H8" s="21" t="n">
        <x:v>1</x:v>
      </x:c>
      <x:c r="I8" s="21" t="str">
        <x:v>PASS</x:v>
      </x:c>
      <x:c r="J8" s="21" t="str">
        <x:v>inside frozen family envelope with both reserves explicit</x:v>
      </x:c>
      <x:c r="K8" s="23" t="str">
        <x:v>reopen burden allocation</x:v>
      </x:c>
    </x:row>
    <x:row r="9">
      <x:c r="B9" s="21" t="str">
        <x:v>ATC-A01-A-G03</x:v>
      </x:c>
      <x:c r="C9" s="21" t="str">
        <x:v>ATC-A01-A</x:v>
      </x:c>
      <x:c r="D9" s="21" t="str">
        <x:v>ATC-A01</x:v>
      </x:c>
      <x:c r="E9" s="21" t="str">
        <x:v>G03</x:v>
      </x:c>
      <x:c r="F9" s="21" t="str">
        <x:v>independent endurance</x:v>
      </x:c>
      <x:c r="G9" s="21" t="n">
        <x:v>1</x:v>
      </x:c>
      <x:c r="H9" s="21" t="n">
        <x:v>1</x:v>
      </x:c>
      <x:c r="I9" s="21" t="str">
        <x:v>PASS</x:v>
      </x:c>
      <x:c r="J9" s="21" t="str">
        <x:v>full interval and registered peak sequence</x:v>
      </x:c>
      <x:c r="K9" s="23" t="str">
        <x:v>redesign autonomous energy</x:v>
      </x:c>
    </x:row>
    <x:row r="10">
      <x:c r="B10" s="21" t="str">
        <x:v>ATC-A01-A-G04</x:v>
      </x:c>
      <x:c r="C10" s="21" t="str">
        <x:v>ATC-A01-A</x:v>
      </x:c>
      <x:c r="D10" s="21" t="str">
        <x:v>ATC-A01</x:v>
      </x:c>
      <x:c r="E10" s="21" t="str">
        <x:v>G04</x:v>
      </x:c>
      <x:c r="F10" s="21" t="str">
        <x:v>outward thermal rejection</x:v>
      </x:c>
      <x:c r="G10" s="21" t="n">
        <x:v>1</x:v>
      </x:c>
      <x:c r="H10" s="21" t="n">
        <x:v>1</x:v>
      </x:c>
      <x:c r="I10" s="21" t="str">
        <x:v>PASS</x:v>
      </x:c>
      <x:c r="J10" s="21" t="str">
        <x:v>all evidence heat crosses its own measured boundary</x:v>
      </x:c>
      <x:c r="K10" s="23" t="str">
        <x:v>redesign thermal boundary</x:v>
      </x:c>
    </x:row>
    <x:row r="11">
      <x:c r="B11" s="21" t="str">
        <x:v>ATC-A01-A-G05</x:v>
      </x:c>
      <x:c r="C11" s="21" t="str">
        <x:v>ATC-A01-A</x:v>
      </x:c>
      <x:c r="D11" s="21" t="str">
        <x:v>ATC-A01</x:v>
      </x:c>
      <x:c r="E11" s="21" t="str">
        <x:v>G05</x:v>
      </x:c>
      <x:c r="F11" s="21" t="str">
        <x:v>complete local original</x:v>
      </x:c>
      <x:c r="G11" s="21" t="n">
        <x:v>1</x:v>
      </x:c>
      <x:c r="H11" s="21" t="n">
        <x:v>1</x:v>
      </x:c>
      <x:c r="I11" s="21" t="str">
        <x:v>PASS</x:v>
      </x:c>
      <x:c r="J11" s="21" t="str">
        <x:v>complete original or declared bounded loss</x:v>
      </x:c>
      <x:c r="K11" s="23" t="str">
        <x:v>reject custody architecture</x:v>
      </x:c>
    </x:row>
    <x:row r="12">
      <x:c r="B12" s="21" t="str">
        <x:v>ATC-A01-A-G06</x:v>
      </x:c>
      <x:c r="C12" s="21" t="str">
        <x:v>ATC-A01-A</x:v>
      </x:c>
      <x:c r="D12" s="21" t="str">
        <x:v>ATC-A01</x:v>
      </x:c>
      <x:c r="E12" s="21" t="str">
        <x:v>G06</x:v>
      </x:c>
      <x:c r="F12" s="21" t="str">
        <x:v>denied event time</x:v>
      </x:c>
      <x:c r="G12" s="21" t="n">
        <x:v>1</x:v>
      </x:c>
      <x:c r="H12" s="21" t="n">
        <x:v>1</x:v>
      </x:c>
      <x:c r="I12" s="21" t="str">
        <x:v>PASS</x:v>
      </x:c>
      <x:c r="J12" s="21" t="str">
        <x:v>inside family U95 allocation</x:v>
      </x:c>
      <x:c r="K12" s="23" t="str">
        <x:v>redesign time roots</x:v>
      </x:c>
    </x:row>
    <x:row r="13">
      <x:c r="B13" s="21" t="str">
        <x:v>ATC-A01-A-G07</x:v>
      </x:c>
      <x:c r="C13" s="21" t="str">
        <x:v>ATC-A01-A</x:v>
      </x:c>
      <x:c r="D13" s="21" t="str">
        <x:v>ATC-A01</x:v>
      </x:c>
      <x:c r="E13" s="21" t="str">
        <x:v>G07</x:v>
      </x:c>
      <x:c r="F13" s="21" t="str">
        <x:v>physical non-actuation</x:v>
      </x:c>
      <x:c r="G13" s="21" t="n">
        <x:v>1</x:v>
      </x:c>
      <x:c r="H13" s="21" t="n">
        <x:v>1</x:v>
      </x:c>
      <x:c r="I13" s="21" t="str">
        <x:v>PASS</x:v>
      </x:c>
      <x:c r="J13" s="21" t="str">
        <x:v>teardown and injection show no useful path</x:v>
      </x:c>
      <x:c r="K13" s="23" t="str">
        <x:v>reject interface family</x:v>
      </x:c>
    </x:row>
    <x:row r="14">
      <x:c r="B14" s="21" t="str">
        <x:v>ATC-A01-A-G08</x:v>
      </x:c>
      <x:c r="C14" s="21" t="str">
        <x:v>ATC-A01-A</x:v>
      </x:c>
      <x:c r="D14" s="21" t="str">
        <x:v>ATC-A01</x:v>
      </x:c>
      <x:c r="E14" s="21" t="str">
        <x:v>G08</x:v>
      </x:c>
      <x:c r="F14" s="21" t="str">
        <x:v>hazard behavior</x:v>
      </x:c>
      <x:c r="G14" s="21" t="n">
        <x:v>1</x:v>
      </x:c>
      <x:c r="H14" s="21" t="n">
        <x:v>1</x:v>
      </x:c>
      <x:c r="I14" s="21" t="str">
        <x:v>PASS</x:v>
      </x:c>
      <x:c r="J14" s="21" t="str">
        <x:v>no silent state and safe disposition</x:v>
      </x:c>
      <x:c r="K14" s="23" t="str">
        <x:v>rework enclosure and disposition</x:v>
      </x:c>
    </x:row>
    <x:row r="15">
      <x:c r="B15" s="21" t="str">
        <x:v>ATC-A01-A-G09</x:v>
      </x:c>
      <x:c r="C15" s="21" t="str">
        <x:v>ATC-A01-A</x:v>
      </x:c>
      <x:c r="D15" s="21" t="str">
        <x:v>ATC-A01</x:v>
      </x:c>
      <x:c r="E15" s="21" t="str">
        <x:v>G09</x:v>
      </x:c>
      <x:c r="F15" s="21" t="str">
        <x:v>maintenance and quarantine</x:v>
      </x:c>
      <x:c r="G15" s="21" t="n">
        <x:v>1</x:v>
      </x:c>
      <x:c r="H15" s="21" t="n">
        <x:v>1</x:v>
      </x:c>
      <x:c r="I15" s="21" t="str">
        <x:v>PASS</x:v>
      </x:c>
      <x:c r="J15" s="21" t="str">
        <x:v>family access limit and lawful custody</x:v>
      </x:c>
      <x:c r="K15" s="23" t="str">
        <x:v>rework access package</x:v>
      </x:c>
    </x:row>
    <x:row r="16">
      <x:c r="B16" s="21" t="str">
        <x:v>ATC-A01-A-G10</x:v>
      </x:c>
      <x:c r="C16" s="21" t="str">
        <x:v>ATC-A01-A</x:v>
      </x:c>
      <x:c r="D16" s="21" t="str">
        <x:v>ATC-A01</x:v>
      </x:c>
      <x:c r="E16" s="21" t="str">
        <x:v>G10</x:v>
      </x:c>
      <x:c r="F16" s="21" t="str">
        <x:v>decisive ancestry</x:v>
      </x:c>
      <x:c r="G16" s="21" t="n">
        <x:v>1</x:v>
      </x:c>
      <x:c r="H16" s="21" t="n">
        <x:v>1</x:v>
      </x:c>
      <x:c r="I16" s="21" t="str">
        <x:v>PASS</x:v>
      </x:c>
      <x:c r="J16" s="21" t="str">
        <x:v>no undisclosed decisive root</x:v>
      </x:c>
      <x:c r="K16" s="23" t="str">
        <x:v>recompete decisive root</x:v>
      </x:c>
    </x:row>
    <x:row r="17">
      <x:c r="B17" s="21" t="str">
        <x:v>ATC-A01-A-G11</x:v>
      </x:c>
      <x:c r="C17" s="21" t="str">
        <x:v>ATC-A01-A</x:v>
      </x:c>
      <x:c r="D17" s="21" t="str">
        <x:v>ATC-A01</x:v>
      </x:c>
      <x:c r="E17" s="21" t="str">
        <x:v>G11</x:v>
      </x:c>
      <x:c r="F17" s="21" t="str">
        <x:v>technical rights and reproduction</x:v>
      </x:c>
      <x:c r="G17" s="21" t="n">
        <x:v>1</x:v>
      </x:c>
      <x:c r="H17" s="21" t="n">
        <x:v>1</x:v>
      </x:c>
      <x:c r="I17" s="21" t="str">
        <x:v>PASS</x:v>
      </x:c>
      <x:c r="J17" s="21" t="str">
        <x:v>government can reproduce the decision</x:v>
      </x:c>
      <x:c r="K17" s="23" t="str">
        <x:v>withhold reproduction authority</x:v>
      </x:c>
    </x:row>
    <x:row r="18">
      <x:c r="B18" s="21" t="str">
        <x:v>ATC-A01-A-G12</x:v>
      </x:c>
      <x:c r="C18" s="21" t="str">
        <x:v>ATC-A01-A</x:v>
      </x:c>
      <x:c r="D18" s="21" t="str">
        <x:v>ATC-A01</x:v>
      </x:c>
      <x:c r="E18" s="21" t="str">
        <x:v>G12</x:v>
      </x:c>
      <x:c r="F18" s="21" t="str">
        <x:v>facility schedule and cost</x:v>
      </x:c>
      <x:c r="G18" s="21" t="n">
        <x:v>1</x:v>
      </x:c>
      <x:c r="H18" s="21" t="n">
        <x:v>1</x:v>
      </x:c>
      <x:c r="I18" s="21" t="str">
        <x:v>PASS</x:v>
      </x:c>
      <x:c r="J18" s="21" t="str">
        <x:v>all articles available before registered need</x:v>
      </x:c>
      <x:c r="K18" s="23" t="str">
        <x:v>shift award or add capacity</x:v>
      </x:c>
    </x:row>
    <x:row r="19">
      <x:c r="B19" s="21" t="str">
        <x:v>ATC-A01-B-G01</x:v>
      </x:c>
      <x:c r="C19" s="21" t="str">
        <x:v>ATC-A01-B</x:v>
      </x:c>
      <x:c r="D19" s="21" t="str">
        <x:v>ATC-A01</x:v>
      </x:c>
      <x:c r="E19" s="21" t="str">
        <x:v>G01</x:v>
      </x:c>
      <x:c r="F19" s="21" t="str">
        <x:v>public effect boundary</x:v>
      </x:c>
      <x:c r="G19" s="21" t="n">
        <x:v>1</x:v>
      </x:c>
      <x:c r="H19" s="21" t="n">
        <x:v>1</x:v>
      </x:c>
      <x:c r="I19" s="21" t="str">
        <x:v>PASS</x:v>
      </x:c>
      <x:c r="J19" s="21" t="str">
        <x:v>complete local decision and invalid-state grammar</x:v>
      </x:c>
      <x:c r="K19" s="23" t="str">
        <x:v>reject mission substitution</x:v>
      </x:c>
    </x:row>
    <x:row r="20">
      <x:c r="B20" s="21" t="str">
        <x:v>ATC-A01-B-G02</x:v>
      </x:c>
      <x:c r="C20" s="21" t="str">
        <x:v>ATC-A01-B</x:v>
      </x:c>
      <x:c r="D20" s="21" t="str">
        <x:v>ATC-A01</x:v>
      </x:c>
      <x:c r="E20" s="21" t="str">
        <x:v>G02</x:v>
      </x:c>
      <x:c r="F20" s="21" t="str">
        <x:v>mass volume and reserve</x:v>
      </x:c>
      <x:c r="G20" s="21" t="n">
        <x:v>1</x:v>
      </x:c>
      <x:c r="H20" s="21" t="n">
        <x:v>1</x:v>
      </x:c>
      <x:c r="I20" s="21" t="str">
        <x:v>PASS</x:v>
      </x:c>
      <x:c r="J20" s="21" t="str">
        <x:v>inside frozen family envelope with both reserves explicit</x:v>
      </x:c>
      <x:c r="K20" s="23" t="str">
        <x:v>reopen burden allocation</x:v>
      </x:c>
    </x:row>
    <x:row r="21">
      <x:c r="B21" s="21" t="str">
        <x:v>ATC-A01-B-G03</x:v>
      </x:c>
      <x:c r="C21" s="21" t="str">
        <x:v>ATC-A01-B</x:v>
      </x:c>
      <x:c r="D21" s="21" t="str">
        <x:v>ATC-A01</x:v>
      </x:c>
      <x:c r="E21" s="21" t="str">
        <x:v>G03</x:v>
      </x:c>
      <x:c r="F21" s="21" t="str">
        <x:v>independent endurance</x:v>
      </x:c>
      <x:c r="G21" s="21" t="n">
        <x:v>1</x:v>
      </x:c>
      <x:c r="H21" s="21" t="n">
        <x:v>1</x:v>
      </x:c>
      <x:c r="I21" s="21" t="str">
        <x:v>PASS</x:v>
      </x:c>
      <x:c r="J21" s="21" t="str">
        <x:v>full interval and registered peak sequence</x:v>
      </x:c>
      <x:c r="K21" s="23" t="str">
        <x:v>redesign autonomous energy</x:v>
      </x:c>
    </x:row>
    <x:row r="22">
      <x:c r="B22" s="21" t="str">
        <x:v>ATC-A01-B-G04</x:v>
      </x:c>
      <x:c r="C22" s="21" t="str">
        <x:v>ATC-A01-B</x:v>
      </x:c>
      <x:c r="D22" s="21" t="str">
        <x:v>ATC-A01</x:v>
      </x:c>
      <x:c r="E22" s="21" t="str">
        <x:v>G04</x:v>
      </x:c>
      <x:c r="F22" s="21" t="str">
        <x:v>outward thermal rejection</x:v>
      </x:c>
      <x:c r="G22" s="21" t="n">
        <x:v>1</x:v>
      </x:c>
      <x:c r="H22" s="21" t="n">
        <x:v>1</x:v>
      </x:c>
      <x:c r="I22" s="21" t="str">
        <x:v>PASS</x:v>
      </x:c>
      <x:c r="J22" s="21" t="str">
        <x:v>all evidence heat crosses its own measured boundary</x:v>
      </x:c>
      <x:c r="K22" s="23" t="str">
        <x:v>redesign thermal boundary</x:v>
      </x:c>
    </x:row>
    <x:row r="23">
      <x:c r="B23" s="21" t="str">
        <x:v>ATC-A01-B-G05</x:v>
      </x:c>
      <x:c r="C23" s="21" t="str">
        <x:v>ATC-A01-B</x:v>
      </x:c>
      <x:c r="D23" s="21" t="str">
        <x:v>ATC-A01</x:v>
      </x:c>
      <x:c r="E23" s="21" t="str">
        <x:v>G05</x:v>
      </x:c>
      <x:c r="F23" s="21" t="str">
        <x:v>complete local original</x:v>
      </x:c>
      <x:c r="G23" s="21" t="n">
        <x:v>1</x:v>
      </x:c>
      <x:c r="H23" s="21" t="n">
        <x:v>1</x:v>
      </x:c>
      <x:c r="I23" s="21" t="str">
        <x:v>PASS</x:v>
      </x:c>
      <x:c r="J23" s="21" t="str">
        <x:v>complete original or declared bounded loss</x:v>
      </x:c>
      <x:c r="K23" s="23" t="str">
        <x:v>reject custody architecture</x:v>
      </x:c>
    </x:row>
    <x:row r="24">
      <x:c r="B24" s="21" t="str">
        <x:v>ATC-A01-B-G06</x:v>
      </x:c>
      <x:c r="C24" s="21" t="str">
        <x:v>ATC-A01-B</x:v>
      </x:c>
      <x:c r="D24" s="21" t="str">
        <x:v>ATC-A01</x:v>
      </x:c>
      <x:c r="E24" s="21" t="str">
        <x:v>G06</x:v>
      </x:c>
      <x:c r="F24" s="21" t="str">
        <x:v>denied event time</x:v>
      </x:c>
      <x:c r="G24" s="21" t="n">
        <x:v>1</x:v>
      </x:c>
      <x:c r="H24" s="21" t="n">
        <x:v>1</x:v>
      </x:c>
      <x:c r="I24" s="21" t="str">
        <x:v>PASS</x:v>
      </x:c>
      <x:c r="J24" s="21" t="str">
        <x:v>inside family U95 allocation</x:v>
      </x:c>
      <x:c r="K24" s="23" t="str">
        <x:v>redesign time roots</x:v>
      </x:c>
    </x:row>
    <x:row r="25">
      <x:c r="B25" s="21" t="str">
        <x:v>ATC-A01-B-G07</x:v>
      </x:c>
      <x:c r="C25" s="21" t="str">
        <x:v>ATC-A01-B</x:v>
      </x:c>
      <x:c r="D25" s="21" t="str">
        <x:v>ATC-A01</x:v>
      </x:c>
      <x:c r="E25" s="21" t="str">
        <x:v>G07</x:v>
      </x:c>
      <x:c r="F25" s="21" t="str">
        <x:v>physical non-actuation</x:v>
      </x:c>
      <x:c r="G25" s="21" t="n">
        <x:v>1</x:v>
      </x:c>
      <x:c r="H25" s="21" t="n">
        <x:v>1</x:v>
      </x:c>
      <x:c r="I25" s="21" t="str">
        <x:v>PASS</x:v>
      </x:c>
      <x:c r="J25" s="21" t="str">
        <x:v>teardown and injection show no useful path</x:v>
      </x:c>
      <x:c r="K25" s="23" t="str">
        <x:v>reject interface family</x:v>
      </x:c>
    </x:row>
    <x:row r="26">
      <x:c r="B26" s="21" t="str">
        <x:v>ATC-A01-B-G08</x:v>
      </x:c>
      <x:c r="C26" s="21" t="str">
        <x:v>ATC-A01-B</x:v>
      </x:c>
      <x:c r="D26" s="21" t="str">
        <x:v>ATC-A01</x:v>
      </x:c>
      <x:c r="E26" s="21" t="str">
        <x:v>G08</x:v>
      </x:c>
      <x:c r="F26" s="21" t="str">
        <x:v>hazard behavior</x:v>
      </x:c>
      <x:c r="G26" s="21" t="n">
        <x:v>1</x:v>
      </x:c>
      <x:c r="H26" s="21" t="n">
        <x:v>1</x:v>
      </x:c>
      <x:c r="I26" s="21" t="str">
        <x:v>PASS</x:v>
      </x:c>
      <x:c r="J26" s="21" t="str">
        <x:v>no silent state and safe disposition</x:v>
      </x:c>
      <x:c r="K26" s="23" t="str">
        <x:v>rework enclosure and disposition</x:v>
      </x:c>
    </x:row>
    <x:row r="27">
      <x:c r="B27" s="21" t="str">
        <x:v>ATC-A01-B-G09</x:v>
      </x:c>
      <x:c r="C27" s="21" t="str">
        <x:v>ATC-A01-B</x:v>
      </x:c>
      <x:c r="D27" s="21" t="str">
        <x:v>ATC-A01</x:v>
      </x:c>
      <x:c r="E27" s="21" t="str">
        <x:v>G09</x:v>
      </x:c>
      <x:c r="F27" s="21" t="str">
        <x:v>maintenance and quarantine</x:v>
      </x:c>
      <x:c r="G27" s="21" t="n">
        <x:v>1</x:v>
      </x:c>
      <x:c r="H27" s="21" t="n">
        <x:v>1</x:v>
      </x:c>
      <x:c r="I27" s="21" t="str">
        <x:v>PASS</x:v>
      </x:c>
      <x:c r="J27" s="21" t="str">
        <x:v>family access limit and lawful custody</x:v>
      </x:c>
      <x:c r="K27" s="23" t="str">
        <x:v>rework access package</x:v>
      </x:c>
    </x:row>
    <x:row r="28">
      <x:c r="B28" s="21" t="str">
        <x:v>ATC-A01-B-G10</x:v>
      </x:c>
      <x:c r="C28" s="21" t="str">
        <x:v>ATC-A01-B</x:v>
      </x:c>
      <x:c r="D28" s="21" t="str">
        <x:v>ATC-A01</x:v>
      </x:c>
      <x:c r="E28" s="21" t="str">
        <x:v>G10</x:v>
      </x:c>
      <x:c r="F28" s="21" t="str">
        <x:v>decisive ancestry</x:v>
      </x:c>
      <x:c r="G28" s="21" t="n">
        <x:v>1</x:v>
      </x:c>
      <x:c r="H28" s="21" t="n">
        <x:v>1</x:v>
      </x:c>
      <x:c r="I28" s="21" t="str">
        <x:v>PASS</x:v>
      </x:c>
      <x:c r="J28" s="21" t="str">
        <x:v>no undisclosed decisive root</x:v>
      </x:c>
      <x:c r="K28" s="23" t="str">
        <x:v>recompete decisive root</x:v>
      </x:c>
    </x:row>
    <x:row r="29">
      <x:c r="B29" s="21" t="str">
        <x:v>ATC-A01-B-G11</x:v>
      </x:c>
      <x:c r="C29" s="21" t="str">
        <x:v>ATC-A01-B</x:v>
      </x:c>
      <x:c r="D29" s="21" t="str">
        <x:v>ATC-A01</x:v>
      </x:c>
      <x:c r="E29" s="21" t="str">
        <x:v>G11</x:v>
      </x:c>
      <x:c r="F29" s="21" t="str">
        <x:v>technical rights and reproduction</x:v>
      </x:c>
      <x:c r="G29" s="21" t="n">
        <x:v>1</x:v>
      </x:c>
      <x:c r="H29" s="21" t="n">
        <x:v>1</x:v>
      </x:c>
      <x:c r="I29" s="21" t="str">
        <x:v>PASS</x:v>
      </x:c>
      <x:c r="J29" s="21" t="str">
        <x:v>government can reproduce the decision</x:v>
      </x:c>
      <x:c r="K29" s="23" t="str">
        <x:v>withhold reproduction authority</x:v>
      </x:c>
    </x:row>
    <x:row r="30">
      <x:c r="B30" s="21" t="str">
        <x:v>ATC-A01-B-G12</x:v>
      </x:c>
      <x:c r="C30" s="21" t="str">
        <x:v>ATC-A01-B</x:v>
      </x:c>
      <x:c r="D30" s="21" t="str">
        <x:v>ATC-A01</x:v>
      </x:c>
      <x:c r="E30" s="21" t="str">
        <x:v>G12</x:v>
      </x:c>
      <x:c r="F30" s="21" t="str">
        <x:v>facility schedule and cost</x:v>
      </x:c>
      <x:c r="G30" s="21" t="n">
        <x:v>1</x:v>
      </x:c>
      <x:c r="H30" s="21" t="n">
        <x:v>1</x:v>
      </x:c>
      <x:c r="I30" s="21" t="str">
        <x:v>PASS</x:v>
      </x:c>
      <x:c r="J30" s="21" t="str">
        <x:v>all articles available before registered need</x:v>
      </x:c>
      <x:c r="K30" s="23" t="str">
        <x:v>shift award or add capacity</x:v>
      </x:c>
    </x:row>
    <x:row r="31">
      <x:c r="B31" s="21" t="str">
        <x:v>ATC-A01-C-G01</x:v>
      </x:c>
      <x:c r="C31" s="21" t="str">
        <x:v>ATC-A01-C</x:v>
      </x:c>
      <x:c r="D31" s="21" t="str">
        <x:v>ATC-A01</x:v>
      </x:c>
      <x:c r="E31" s="21" t="str">
        <x:v>G01</x:v>
      </x:c>
      <x:c r="F31" s="21" t="str">
        <x:v>public effect boundary</x:v>
      </x:c>
      <x:c r="G31" s="21" t="n">
        <x:v>1</x:v>
      </x:c>
      <x:c r="H31" s="21" t="n">
        <x:v>1</x:v>
      </x:c>
      <x:c r="I31" s="21" t="str">
        <x:v>PASS</x:v>
      </x:c>
      <x:c r="J31" s="21" t="str">
        <x:v>complete local decision and invalid-state grammar</x:v>
      </x:c>
      <x:c r="K31" s="23" t="str">
        <x:v>reject mission substitution</x:v>
      </x:c>
    </x:row>
    <x:row r="32">
      <x:c r="B32" s="21" t="str">
        <x:v>ATC-A01-C-G02</x:v>
      </x:c>
      <x:c r="C32" s="21" t="str">
        <x:v>ATC-A01-C</x:v>
      </x:c>
      <x:c r="D32" s="21" t="str">
        <x:v>ATC-A01</x:v>
      </x:c>
      <x:c r="E32" s="21" t="str">
        <x:v>G02</x:v>
      </x:c>
      <x:c r="F32" s="21" t="str">
        <x:v>mass volume and reserve</x:v>
      </x:c>
      <x:c r="G32" s="21" t="n">
        <x:v>0</x:v>
      </x:c>
      <x:c r="H32" s="21" t="n">
        <x:v>1</x:v>
      </x:c>
      <x:c r="I32" s="21" t="str">
        <x:v>FAIL</x:v>
      </x:c>
      <x:c r="J32" s="21" t="str">
        <x:v>inside frozen family envelope with both reserves explicit</x:v>
      </x:c>
      <x:c r="K32" s="23" t="str">
        <x:v>reopen burden allocation</x:v>
      </x:c>
    </x:row>
    <x:row r="33">
      <x:c r="B33" s="21" t="str">
        <x:v>ATC-A01-C-G03</x:v>
      </x:c>
      <x:c r="C33" s="21" t="str">
        <x:v>ATC-A01-C</x:v>
      </x:c>
      <x:c r="D33" s="21" t="str">
        <x:v>ATC-A01</x:v>
      </x:c>
      <x:c r="E33" s="21" t="str">
        <x:v>G03</x:v>
      </x:c>
      <x:c r="F33" s="21" t="str">
        <x:v>independent endurance</x:v>
      </x:c>
      <x:c r="G33" s="21" t="n">
        <x:v>1</x:v>
      </x:c>
      <x:c r="H33" s="21" t="n">
        <x:v>1</x:v>
      </x:c>
      <x:c r="I33" s="21" t="str">
        <x:v>PASS</x:v>
      </x:c>
      <x:c r="J33" s="21" t="str">
        <x:v>full interval and registered peak sequence</x:v>
      </x:c>
      <x:c r="K33" s="23" t="str">
        <x:v>redesign autonomous energy</x:v>
      </x:c>
    </x:row>
    <x:row r="34">
      <x:c r="B34" s="21" t="str">
        <x:v>ATC-A01-C-G04</x:v>
      </x:c>
      <x:c r="C34" s="21" t="str">
        <x:v>ATC-A01-C</x:v>
      </x:c>
      <x:c r="D34" s="21" t="str">
        <x:v>ATC-A01</x:v>
      </x:c>
      <x:c r="E34" s="21" t="str">
        <x:v>G04</x:v>
      </x:c>
      <x:c r="F34" s="21" t="str">
        <x:v>outward thermal rejection</x:v>
      </x:c>
      <x:c r="G34" s="21" t="n">
        <x:v>1</x:v>
      </x:c>
      <x:c r="H34" s="21" t="n">
        <x:v>1</x:v>
      </x:c>
      <x:c r="I34" s="21" t="str">
        <x:v>PASS</x:v>
      </x:c>
      <x:c r="J34" s="21" t="str">
        <x:v>all evidence heat crosses its own measured boundary</x:v>
      </x:c>
      <x:c r="K34" s="23" t="str">
        <x:v>redesign thermal boundary</x:v>
      </x:c>
    </x:row>
    <x:row r="35">
      <x:c r="B35" s="21" t="str">
        <x:v>ATC-A01-C-G05</x:v>
      </x:c>
      <x:c r="C35" s="21" t="str">
        <x:v>ATC-A01-C</x:v>
      </x:c>
      <x:c r="D35" s="21" t="str">
        <x:v>ATC-A01</x:v>
      </x:c>
      <x:c r="E35" s="21" t="str">
        <x:v>G05</x:v>
      </x:c>
      <x:c r="F35" s="21" t="str">
        <x:v>complete local original</x:v>
      </x:c>
      <x:c r="G35" s="21" t="n">
        <x:v>1</x:v>
      </x:c>
      <x:c r="H35" s="21" t="n">
        <x:v>1</x:v>
      </x:c>
      <x:c r="I35" s="21" t="str">
        <x:v>PASS</x:v>
      </x:c>
      <x:c r="J35" s="21" t="str">
        <x:v>complete original or declared bounded loss</x:v>
      </x:c>
      <x:c r="K35" s="23" t="str">
        <x:v>reject custody architecture</x:v>
      </x:c>
    </x:row>
    <x:row r="36">
      <x:c r="B36" s="21" t="str">
        <x:v>ATC-A01-C-G06</x:v>
      </x:c>
      <x:c r="C36" s="21" t="str">
        <x:v>ATC-A01-C</x:v>
      </x:c>
      <x:c r="D36" s="21" t="str">
        <x:v>ATC-A01</x:v>
      </x:c>
      <x:c r="E36" s="21" t="str">
        <x:v>G06</x:v>
      </x:c>
      <x:c r="F36" s="21" t="str">
        <x:v>denied event time</x:v>
      </x:c>
      <x:c r="G36" s="21" t="n">
        <x:v>1</x:v>
      </x:c>
      <x:c r="H36" s="21" t="n">
        <x:v>1</x:v>
      </x:c>
      <x:c r="I36" s="21" t="str">
        <x:v>PASS</x:v>
      </x:c>
      <x:c r="J36" s="21" t="str">
        <x:v>inside family U95 allocation</x:v>
      </x:c>
      <x:c r="K36" s="23" t="str">
        <x:v>redesign time roots</x:v>
      </x:c>
    </x:row>
    <x:row r="37">
      <x:c r="B37" s="21" t="str">
        <x:v>ATC-A01-C-G07</x:v>
      </x:c>
      <x:c r="C37" s="21" t="str">
        <x:v>ATC-A01-C</x:v>
      </x:c>
      <x:c r="D37" s="21" t="str">
        <x:v>ATC-A01</x:v>
      </x:c>
      <x:c r="E37" s="21" t="str">
        <x:v>G07</x:v>
      </x:c>
      <x:c r="F37" s="21" t="str">
        <x:v>physical non-actuation</x:v>
      </x:c>
      <x:c r="G37" s="21" t="n">
        <x:v>1</x:v>
      </x:c>
      <x:c r="H37" s="21" t="n">
        <x:v>1</x:v>
      </x:c>
      <x:c r="I37" s="21" t="str">
        <x:v>PASS</x:v>
      </x:c>
      <x:c r="J37" s="21" t="str">
        <x:v>teardown and injection show no useful path</x:v>
      </x:c>
      <x:c r="K37" s="23" t="str">
        <x:v>reject interface family</x:v>
      </x:c>
    </x:row>
    <x:row r="38">
      <x:c r="B38" s="21" t="str">
        <x:v>ATC-A01-C-G08</x:v>
      </x:c>
      <x:c r="C38" s="21" t="str">
        <x:v>ATC-A01-C</x:v>
      </x:c>
      <x:c r="D38" s="21" t="str">
        <x:v>ATC-A01</x:v>
      </x:c>
      <x:c r="E38" s="21" t="str">
        <x:v>G08</x:v>
      </x:c>
      <x:c r="F38" s="21" t="str">
        <x:v>hazard behavior</x:v>
      </x:c>
      <x:c r="G38" s="21" t="n">
        <x:v>1</x:v>
      </x:c>
      <x:c r="H38" s="21" t="n">
        <x:v>1</x:v>
      </x:c>
      <x:c r="I38" s="21" t="str">
        <x:v>PASS</x:v>
      </x:c>
      <x:c r="J38" s="21" t="str">
        <x:v>no silent state and safe disposition</x:v>
      </x:c>
      <x:c r="K38" s="23" t="str">
        <x:v>rework enclosure and disposition</x:v>
      </x:c>
    </x:row>
    <x:row r="39">
      <x:c r="B39" s="21" t="str">
        <x:v>ATC-A01-C-G09</x:v>
      </x:c>
      <x:c r="C39" s="21" t="str">
        <x:v>ATC-A01-C</x:v>
      </x:c>
      <x:c r="D39" s="21" t="str">
        <x:v>ATC-A01</x:v>
      </x:c>
      <x:c r="E39" s="21" t="str">
        <x:v>G09</x:v>
      </x:c>
      <x:c r="F39" s="21" t="str">
        <x:v>maintenance and quarantine</x:v>
      </x:c>
      <x:c r="G39" s="21" t="n">
        <x:v>1</x:v>
      </x:c>
      <x:c r="H39" s="21" t="n">
        <x:v>1</x:v>
      </x:c>
      <x:c r="I39" s="21" t="str">
        <x:v>PASS</x:v>
      </x:c>
      <x:c r="J39" s="21" t="str">
        <x:v>family access limit and lawful custody</x:v>
      </x:c>
      <x:c r="K39" s="23" t="str">
        <x:v>rework access package</x:v>
      </x:c>
    </x:row>
    <x:row r="40">
      <x:c r="B40" s="21" t="str">
        <x:v>ATC-A01-C-G10</x:v>
      </x:c>
      <x:c r="C40" s="21" t="str">
        <x:v>ATC-A01-C</x:v>
      </x:c>
      <x:c r="D40" s="21" t="str">
        <x:v>ATC-A01</x:v>
      </x:c>
      <x:c r="E40" s="21" t="str">
        <x:v>G10</x:v>
      </x:c>
      <x:c r="F40" s="21" t="str">
        <x:v>decisive ancestry</x:v>
      </x:c>
      <x:c r="G40" s="21" t="n">
        <x:v>1</x:v>
      </x:c>
      <x:c r="H40" s="21" t="n">
        <x:v>1</x:v>
      </x:c>
      <x:c r="I40" s="21" t="str">
        <x:v>PASS</x:v>
      </x:c>
      <x:c r="J40" s="21" t="str">
        <x:v>no undisclosed decisive root</x:v>
      </x:c>
      <x:c r="K40" s="23" t="str">
        <x:v>recompete decisive root</x:v>
      </x:c>
    </x:row>
    <x:row r="41">
      <x:c r="B41" s="21" t="str">
        <x:v>ATC-A01-C-G11</x:v>
      </x:c>
      <x:c r="C41" s="21" t="str">
        <x:v>ATC-A01-C</x:v>
      </x:c>
      <x:c r="D41" s="21" t="str">
        <x:v>ATC-A01</x:v>
      </x:c>
      <x:c r="E41" s="21" t="str">
        <x:v>G11</x:v>
      </x:c>
      <x:c r="F41" s="21" t="str">
        <x:v>technical rights and reproduction</x:v>
      </x:c>
      <x:c r="G41" s="21" t="n">
        <x:v>1</x:v>
      </x:c>
      <x:c r="H41" s="21" t="n">
        <x:v>1</x:v>
      </x:c>
      <x:c r="I41" s="21" t="str">
        <x:v>PASS</x:v>
      </x:c>
      <x:c r="J41" s="21" t="str">
        <x:v>government can reproduce the decision</x:v>
      </x:c>
      <x:c r="K41" s="23" t="str">
        <x:v>withhold reproduction authority</x:v>
      </x:c>
    </x:row>
    <x:row r="42">
      <x:c r="B42" s="21" t="str">
        <x:v>ATC-A01-C-G12</x:v>
      </x:c>
      <x:c r="C42" s="21" t="str">
        <x:v>ATC-A01-C</x:v>
      </x:c>
      <x:c r="D42" s="21" t="str">
        <x:v>ATC-A01</x:v>
      </x:c>
      <x:c r="E42" s="21" t="str">
        <x:v>G12</x:v>
      </x:c>
      <x:c r="F42" s="21" t="str">
        <x:v>facility schedule and cost</x:v>
      </x:c>
      <x:c r="G42" s="21" t="n">
        <x:v>1</x:v>
      </x:c>
      <x:c r="H42" s="21" t="n">
        <x:v>1</x:v>
      </x:c>
      <x:c r="I42" s="21" t="str">
        <x:v>PASS</x:v>
      </x:c>
      <x:c r="J42" s="21" t="str">
        <x:v>all articles available before registered need</x:v>
      </x:c>
      <x:c r="K42" s="23" t="str">
        <x:v>shift award or add capacity</x:v>
      </x:c>
    </x:row>
    <x:row r="43">
      <x:c r="B43" s="21" t="str">
        <x:v>TTC-T01-A-G01</x:v>
      </x:c>
      <x:c r="C43" s="21" t="str">
        <x:v>TTC-T01-A</x:v>
      </x:c>
      <x:c r="D43" s="21" t="str">
        <x:v>TTC-T01</x:v>
      </x:c>
      <x:c r="E43" s="21" t="str">
        <x:v>G01</x:v>
      </x:c>
      <x:c r="F43" s="21" t="str">
        <x:v>public effect boundary</x:v>
      </x:c>
      <x:c r="G43" s="21" t="n">
        <x:v>1</x:v>
      </x:c>
      <x:c r="H43" s="21" t="n">
        <x:v>1</x:v>
      </x:c>
      <x:c r="I43" s="21" t="str">
        <x:v>PASS</x:v>
      </x:c>
      <x:c r="J43" s="21" t="str">
        <x:v>complete local decision and invalid-state grammar</x:v>
      </x:c>
      <x:c r="K43" s="23" t="str">
        <x:v>reject mission substitution</x:v>
      </x:c>
    </x:row>
    <x:row r="44">
      <x:c r="B44" s="21" t="str">
        <x:v>TTC-T01-A-G02</x:v>
      </x:c>
      <x:c r="C44" s="21" t="str">
        <x:v>TTC-T01-A</x:v>
      </x:c>
      <x:c r="D44" s="21" t="str">
        <x:v>TTC-T01</x:v>
      </x:c>
      <x:c r="E44" s="21" t="str">
        <x:v>G02</x:v>
      </x:c>
      <x:c r="F44" s="21" t="str">
        <x:v>mass volume and reserve</x:v>
      </x:c>
      <x:c r="G44" s="21" t="n">
        <x:v>1</x:v>
      </x:c>
      <x:c r="H44" s="21" t="n">
        <x:v>1</x:v>
      </x:c>
      <x:c r="I44" s="21" t="str">
        <x:v>PASS</x:v>
      </x:c>
      <x:c r="J44" s="21" t="str">
        <x:v>inside frozen family envelope with both reserves explicit</x:v>
      </x:c>
      <x:c r="K44" s="23" t="str">
        <x:v>reopen burden allocation</x:v>
      </x:c>
    </x:row>
    <x:row r="45">
      <x:c r="B45" s="21" t="str">
        <x:v>TTC-T01-A-G03</x:v>
      </x:c>
      <x:c r="C45" s="21" t="str">
        <x:v>TTC-T01-A</x:v>
      </x:c>
      <x:c r="D45" s="21" t="str">
        <x:v>TTC-T01</x:v>
      </x:c>
      <x:c r="E45" s="21" t="str">
        <x:v>G03</x:v>
      </x:c>
      <x:c r="F45" s="21" t="str">
        <x:v>independent endurance</x:v>
      </x:c>
      <x:c r="G45" s="21" t="n">
        <x:v>1</x:v>
      </x:c>
      <x:c r="H45" s="21" t="n">
        <x:v>1</x:v>
      </x:c>
      <x:c r="I45" s="21" t="str">
        <x:v>PASS</x:v>
      </x:c>
      <x:c r="J45" s="21" t="str">
        <x:v>full interval and registered peak sequence</x:v>
      </x:c>
      <x:c r="K45" s="23" t="str">
        <x:v>redesign autonomous energy</x:v>
      </x:c>
    </x:row>
    <x:row r="46">
      <x:c r="B46" s="21" t="str">
        <x:v>TTC-T01-A-G04</x:v>
      </x:c>
      <x:c r="C46" s="21" t="str">
        <x:v>TTC-T01-A</x:v>
      </x:c>
      <x:c r="D46" s="21" t="str">
        <x:v>TTC-T01</x:v>
      </x:c>
      <x:c r="E46" s="21" t="str">
        <x:v>G04</x:v>
      </x:c>
      <x:c r="F46" s="21" t="str">
        <x:v>outward thermal rejection</x:v>
      </x:c>
      <x:c r="G46" s="21" t="n">
        <x:v>1</x:v>
      </x:c>
      <x:c r="H46" s="21" t="n">
        <x:v>1</x:v>
      </x:c>
      <x:c r="I46" s="21" t="str">
        <x:v>PASS</x:v>
      </x:c>
      <x:c r="J46" s="21" t="str">
        <x:v>all evidence heat crosses its own measured boundary</x:v>
      </x:c>
      <x:c r="K46" s="23" t="str">
        <x:v>redesign thermal boundary</x:v>
      </x:c>
    </x:row>
    <x:row r="47">
      <x:c r="B47" s="21" t="str">
        <x:v>TTC-T01-A-G05</x:v>
      </x:c>
      <x:c r="C47" s="21" t="str">
        <x:v>TTC-T01-A</x:v>
      </x:c>
      <x:c r="D47" s="21" t="str">
        <x:v>TTC-T01</x:v>
      </x:c>
      <x:c r="E47" s="21" t="str">
        <x:v>G05</x:v>
      </x:c>
      <x:c r="F47" s="21" t="str">
        <x:v>complete local original</x:v>
      </x:c>
      <x:c r="G47" s="21" t="n">
        <x:v>1</x:v>
      </x:c>
      <x:c r="H47" s="21" t="n">
        <x:v>1</x:v>
      </x:c>
      <x:c r="I47" s="21" t="str">
        <x:v>PASS</x:v>
      </x:c>
      <x:c r="J47" s="21" t="str">
        <x:v>complete original or declared bounded loss</x:v>
      </x:c>
      <x:c r="K47" s="23" t="str">
        <x:v>reject custody architecture</x:v>
      </x:c>
    </x:row>
    <x:row r="48">
      <x:c r="B48" s="21" t="str">
        <x:v>TTC-T01-A-G06</x:v>
      </x:c>
      <x:c r="C48" s="21" t="str">
        <x:v>TTC-T01-A</x:v>
      </x:c>
      <x:c r="D48" s="21" t="str">
        <x:v>TTC-T01</x:v>
      </x:c>
      <x:c r="E48" s="21" t="str">
        <x:v>G06</x:v>
      </x:c>
      <x:c r="F48" s="21" t="str">
        <x:v>denied event time</x:v>
      </x:c>
      <x:c r="G48" s="21" t="n">
        <x:v>1</x:v>
      </x:c>
      <x:c r="H48" s="21" t="n">
        <x:v>1</x:v>
      </x:c>
      <x:c r="I48" s="21" t="str">
        <x:v>PASS</x:v>
      </x:c>
      <x:c r="J48" s="21" t="str">
        <x:v>inside family U95 allocation</x:v>
      </x:c>
      <x:c r="K48" s="23" t="str">
        <x:v>redesign time roots</x:v>
      </x:c>
    </x:row>
    <x:row r="49">
      <x:c r="B49" s="21" t="str">
        <x:v>TTC-T01-A-G07</x:v>
      </x:c>
      <x:c r="C49" s="21" t="str">
        <x:v>TTC-T01-A</x:v>
      </x:c>
      <x:c r="D49" s="21" t="str">
        <x:v>TTC-T01</x:v>
      </x:c>
      <x:c r="E49" s="21" t="str">
        <x:v>G07</x:v>
      </x:c>
      <x:c r="F49" s="21" t="str">
        <x:v>physical non-actuation</x:v>
      </x:c>
      <x:c r="G49" s="21" t="n">
        <x:v>1</x:v>
      </x:c>
      <x:c r="H49" s="21" t="n">
        <x:v>1</x:v>
      </x:c>
      <x:c r="I49" s="21" t="str">
        <x:v>PASS</x:v>
      </x:c>
      <x:c r="J49" s="21" t="str">
        <x:v>teardown and injection show no useful path</x:v>
      </x:c>
      <x:c r="K49" s="23" t="str">
        <x:v>reject interface family</x:v>
      </x:c>
    </x:row>
    <x:row r="50">
      <x:c r="B50" s="21" t="str">
        <x:v>TTC-T01-A-G08</x:v>
      </x:c>
      <x:c r="C50" s="21" t="str">
        <x:v>TTC-T01-A</x:v>
      </x:c>
      <x:c r="D50" s="21" t="str">
        <x:v>TTC-T01</x:v>
      </x:c>
      <x:c r="E50" s="21" t="str">
        <x:v>G08</x:v>
      </x:c>
      <x:c r="F50" s="21" t="str">
        <x:v>hazard behavior</x:v>
      </x:c>
      <x:c r="G50" s="21" t="n">
        <x:v>1</x:v>
      </x:c>
      <x:c r="H50" s="21" t="n">
        <x:v>1</x:v>
      </x:c>
      <x:c r="I50" s="21" t="str">
        <x:v>PASS</x:v>
      </x:c>
      <x:c r="J50" s="21" t="str">
        <x:v>no silent state and safe disposition</x:v>
      </x:c>
      <x:c r="K50" s="23" t="str">
        <x:v>rework enclosure and disposition</x:v>
      </x:c>
    </x:row>
    <x:row r="51">
      <x:c r="B51" s="21" t="str">
        <x:v>TTC-T01-A-G09</x:v>
      </x:c>
      <x:c r="C51" s="21" t="str">
        <x:v>TTC-T01-A</x:v>
      </x:c>
      <x:c r="D51" s="21" t="str">
        <x:v>TTC-T01</x:v>
      </x:c>
      <x:c r="E51" s="21" t="str">
        <x:v>G09</x:v>
      </x:c>
      <x:c r="F51" s="21" t="str">
        <x:v>maintenance and quarantine</x:v>
      </x:c>
      <x:c r="G51" s="21" t="n">
        <x:v>1</x:v>
      </x:c>
      <x:c r="H51" s="21" t="n">
        <x:v>1</x:v>
      </x:c>
      <x:c r="I51" s="21" t="str">
        <x:v>PASS</x:v>
      </x:c>
      <x:c r="J51" s="21" t="str">
        <x:v>family access limit and lawful custody</x:v>
      </x:c>
      <x:c r="K51" s="23" t="str">
        <x:v>rework access package</x:v>
      </x:c>
    </x:row>
    <x:row r="52">
      <x:c r="B52" s="21" t="str">
        <x:v>TTC-T01-A-G10</x:v>
      </x:c>
      <x:c r="C52" s="21" t="str">
        <x:v>TTC-T01-A</x:v>
      </x:c>
      <x:c r="D52" s="21" t="str">
        <x:v>TTC-T01</x:v>
      </x:c>
      <x:c r="E52" s="21" t="str">
        <x:v>G10</x:v>
      </x:c>
      <x:c r="F52" s="21" t="str">
        <x:v>decisive ancestry</x:v>
      </x:c>
      <x:c r="G52" s="21" t="n">
        <x:v>1</x:v>
      </x:c>
      <x:c r="H52" s="21" t="n">
        <x:v>1</x:v>
      </x:c>
      <x:c r="I52" s="21" t="str">
        <x:v>PASS</x:v>
      </x:c>
      <x:c r="J52" s="21" t="str">
        <x:v>no undisclosed decisive root</x:v>
      </x:c>
      <x:c r="K52" s="23" t="str">
        <x:v>recompete decisive root</x:v>
      </x:c>
    </x:row>
    <x:row r="53">
      <x:c r="B53" s="21" t="str">
        <x:v>TTC-T01-A-G11</x:v>
      </x:c>
      <x:c r="C53" s="21" t="str">
        <x:v>TTC-T01-A</x:v>
      </x:c>
      <x:c r="D53" s="21" t="str">
        <x:v>TTC-T01</x:v>
      </x:c>
      <x:c r="E53" s="21" t="str">
        <x:v>G11</x:v>
      </x:c>
      <x:c r="F53" s="21" t="str">
        <x:v>technical rights and reproduction</x:v>
      </x:c>
      <x:c r="G53" s="21" t="n">
        <x:v>1</x:v>
      </x:c>
      <x:c r="H53" s="21" t="n">
        <x:v>1</x:v>
      </x:c>
      <x:c r="I53" s="21" t="str">
        <x:v>PASS</x:v>
      </x:c>
      <x:c r="J53" s="21" t="str">
        <x:v>government can reproduce the decision</x:v>
      </x:c>
      <x:c r="K53" s="23" t="str">
        <x:v>withhold reproduction authority</x:v>
      </x:c>
    </x:row>
    <x:row r="54">
      <x:c r="B54" s="21" t="str">
        <x:v>TTC-T01-A-G12</x:v>
      </x:c>
      <x:c r="C54" s="21" t="str">
        <x:v>TTC-T01-A</x:v>
      </x:c>
      <x:c r="D54" s="21" t="str">
        <x:v>TTC-T01</x:v>
      </x:c>
      <x:c r="E54" s="21" t="str">
        <x:v>G12</x:v>
      </x:c>
      <x:c r="F54" s="21" t="str">
        <x:v>facility schedule and cost</x:v>
      </x:c>
      <x:c r="G54" s="21" t="n">
        <x:v>1</x:v>
      </x:c>
      <x:c r="H54" s="21" t="n">
        <x:v>1</x:v>
      </x:c>
      <x:c r="I54" s="21" t="str">
        <x:v>PASS</x:v>
      </x:c>
      <x:c r="J54" s="21" t="str">
        <x:v>all articles available before registered need</x:v>
      </x:c>
      <x:c r="K54" s="23" t="str">
        <x:v>shift award or add capacity</x:v>
      </x:c>
    </x:row>
    <x:row r="55">
      <x:c r="B55" s="21" t="str">
        <x:v>TTC-T01-B-G01</x:v>
      </x:c>
      <x:c r="C55" s="21" t="str">
        <x:v>TTC-T01-B</x:v>
      </x:c>
      <x:c r="D55" s="21" t="str">
        <x:v>TTC-T01</x:v>
      </x:c>
      <x:c r="E55" s="21" t="str">
        <x:v>G01</x:v>
      </x:c>
      <x:c r="F55" s="21" t="str">
        <x:v>public effect boundary</x:v>
      </x:c>
      <x:c r="G55" s="21" t="n">
        <x:v>1</x:v>
      </x:c>
      <x:c r="H55" s="21" t="n">
        <x:v>1</x:v>
      </x:c>
      <x:c r="I55" s="21" t="str">
        <x:v>PASS</x:v>
      </x:c>
      <x:c r="J55" s="21" t="str">
        <x:v>complete local decision and invalid-state grammar</x:v>
      </x:c>
      <x:c r="K55" s="23" t="str">
        <x:v>reject mission substitution</x:v>
      </x:c>
    </x:row>
    <x:row r="56">
      <x:c r="B56" s="21" t="str">
        <x:v>TTC-T01-B-G02</x:v>
      </x:c>
      <x:c r="C56" s="21" t="str">
        <x:v>TTC-T01-B</x:v>
      </x:c>
      <x:c r="D56" s="21" t="str">
        <x:v>TTC-T01</x:v>
      </x:c>
      <x:c r="E56" s="21" t="str">
        <x:v>G02</x:v>
      </x:c>
      <x:c r="F56" s="21" t="str">
        <x:v>mass volume and reserve</x:v>
      </x:c>
      <x:c r="G56" s="21" t="n">
        <x:v>1</x:v>
      </x:c>
      <x:c r="H56" s="21" t="n">
        <x:v>1</x:v>
      </x:c>
      <x:c r="I56" s="21" t="str">
        <x:v>PASS</x:v>
      </x:c>
      <x:c r="J56" s="21" t="str">
        <x:v>inside frozen family envelope with both reserves explicit</x:v>
      </x:c>
      <x:c r="K56" s="23" t="str">
        <x:v>reopen burden allocation</x:v>
      </x:c>
    </x:row>
    <x:row r="57">
      <x:c r="B57" s="21" t="str">
        <x:v>TTC-T01-B-G03</x:v>
      </x:c>
      <x:c r="C57" s="21" t="str">
        <x:v>TTC-T01-B</x:v>
      </x:c>
      <x:c r="D57" s="21" t="str">
        <x:v>TTC-T01</x:v>
      </x:c>
      <x:c r="E57" s="21" t="str">
        <x:v>G03</x:v>
      </x:c>
      <x:c r="F57" s="21" t="str">
        <x:v>independent endurance</x:v>
      </x:c>
      <x:c r="G57" s="21" t="n">
        <x:v>1</x:v>
      </x:c>
      <x:c r="H57" s="21" t="n">
        <x:v>1</x:v>
      </x:c>
      <x:c r="I57" s="21" t="str">
        <x:v>PASS</x:v>
      </x:c>
      <x:c r="J57" s="21" t="str">
        <x:v>full interval and registered peak sequence</x:v>
      </x:c>
      <x:c r="K57" s="23" t="str">
        <x:v>redesign autonomous energy</x:v>
      </x:c>
    </x:row>
    <x:row r="58">
      <x:c r="B58" s="21" t="str">
        <x:v>TTC-T01-B-G04</x:v>
      </x:c>
      <x:c r="C58" s="21" t="str">
        <x:v>TTC-T01-B</x:v>
      </x:c>
      <x:c r="D58" s="21" t="str">
        <x:v>TTC-T01</x:v>
      </x:c>
      <x:c r="E58" s="21" t="str">
        <x:v>G04</x:v>
      </x:c>
      <x:c r="F58" s="21" t="str">
        <x:v>outward thermal rejection</x:v>
      </x:c>
      <x:c r="G58" s="21" t="n">
        <x:v>1</x:v>
      </x:c>
      <x:c r="H58" s="21" t="n">
        <x:v>1</x:v>
      </x:c>
      <x:c r="I58" s="21" t="str">
        <x:v>PASS</x:v>
      </x:c>
      <x:c r="J58" s="21" t="str">
        <x:v>all evidence heat crosses its own measured boundary</x:v>
      </x:c>
      <x:c r="K58" s="23" t="str">
        <x:v>redesign thermal boundary</x:v>
      </x:c>
    </x:row>
    <x:row r="59">
      <x:c r="B59" s="21" t="str">
        <x:v>TTC-T01-B-G05</x:v>
      </x:c>
      <x:c r="C59" s="21" t="str">
        <x:v>TTC-T01-B</x:v>
      </x:c>
      <x:c r="D59" s="21" t="str">
        <x:v>TTC-T01</x:v>
      </x:c>
      <x:c r="E59" s="21" t="str">
        <x:v>G05</x:v>
      </x:c>
      <x:c r="F59" s="21" t="str">
        <x:v>complete local original</x:v>
      </x:c>
      <x:c r="G59" s="21" t="n">
        <x:v>1</x:v>
      </x:c>
      <x:c r="H59" s="21" t="n">
        <x:v>1</x:v>
      </x:c>
      <x:c r="I59" s="21" t="str">
        <x:v>PASS</x:v>
      </x:c>
      <x:c r="J59" s="21" t="str">
        <x:v>complete original or declared bounded loss</x:v>
      </x:c>
      <x:c r="K59" s="23" t="str">
        <x:v>reject custody architecture</x:v>
      </x:c>
    </x:row>
    <x:row r="60">
      <x:c r="B60" s="21" t="str">
        <x:v>TTC-T01-B-G06</x:v>
      </x:c>
      <x:c r="C60" s="21" t="str">
        <x:v>TTC-T01-B</x:v>
      </x:c>
      <x:c r="D60" s="21" t="str">
        <x:v>TTC-T01</x:v>
      </x:c>
      <x:c r="E60" s="21" t="str">
        <x:v>G06</x:v>
      </x:c>
      <x:c r="F60" s="21" t="str">
        <x:v>denied event time</x:v>
      </x:c>
      <x:c r="G60" s="21" t="n">
        <x:v>1</x:v>
      </x:c>
      <x:c r="H60" s="21" t="n">
        <x:v>1</x:v>
      </x:c>
      <x:c r="I60" s="21" t="str">
        <x:v>PASS</x:v>
      </x:c>
      <x:c r="J60" s="21" t="str">
        <x:v>inside family U95 allocation</x:v>
      </x:c>
      <x:c r="K60" s="23" t="str">
        <x:v>redesign time roots</x:v>
      </x:c>
    </x:row>
    <x:row r="61">
      <x:c r="B61" s="21" t="str">
        <x:v>TTC-T01-B-G07</x:v>
      </x:c>
      <x:c r="C61" s="21" t="str">
        <x:v>TTC-T01-B</x:v>
      </x:c>
      <x:c r="D61" s="21" t="str">
        <x:v>TTC-T01</x:v>
      </x:c>
      <x:c r="E61" s="21" t="str">
        <x:v>G07</x:v>
      </x:c>
      <x:c r="F61" s="21" t="str">
        <x:v>physical non-actuation</x:v>
      </x:c>
      <x:c r="G61" s="21" t="n">
        <x:v>1</x:v>
      </x:c>
      <x:c r="H61" s="21" t="n">
        <x:v>1</x:v>
      </x:c>
      <x:c r="I61" s="21" t="str">
        <x:v>PASS</x:v>
      </x:c>
      <x:c r="J61" s="21" t="str">
        <x:v>teardown and injection show no useful path</x:v>
      </x:c>
      <x:c r="K61" s="23" t="str">
        <x:v>reject interface family</x:v>
      </x:c>
    </x:row>
    <x:row r="62">
      <x:c r="B62" s="21" t="str">
        <x:v>TTC-T01-B-G08</x:v>
      </x:c>
      <x:c r="C62" s="21" t="str">
        <x:v>TTC-T01-B</x:v>
      </x:c>
      <x:c r="D62" s="21" t="str">
        <x:v>TTC-T01</x:v>
      </x:c>
      <x:c r="E62" s="21" t="str">
        <x:v>G08</x:v>
      </x:c>
      <x:c r="F62" s="21" t="str">
        <x:v>hazard behavior</x:v>
      </x:c>
      <x:c r="G62" s="21" t="n">
        <x:v>1</x:v>
      </x:c>
      <x:c r="H62" s="21" t="n">
        <x:v>1</x:v>
      </x:c>
      <x:c r="I62" s="21" t="str">
        <x:v>PASS</x:v>
      </x:c>
      <x:c r="J62" s="21" t="str">
        <x:v>no silent state and safe disposition</x:v>
      </x:c>
      <x:c r="K62" s="23" t="str">
        <x:v>rework enclosure and disposition</x:v>
      </x:c>
    </x:row>
    <x:row r="63">
      <x:c r="B63" s="21" t="str">
        <x:v>TTC-T01-B-G09</x:v>
      </x:c>
      <x:c r="C63" s="21" t="str">
        <x:v>TTC-T01-B</x:v>
      </x:c>
      <x:c r="D63" s="21" t="str">
        <x:v>TTC-T01</x:v>
      </x:c>
      <x:c r="E63" s="21" t="str">
        <x:v>G09</x:v>
      </x:c>
      <x:c r="F63" s="21" t="str">
        <x:v>maintenance and quarantine</x:v>
      </x:c>
      <x:c r="G63" s="21" t="n">
        <x:v>1</x:v>
      </x:c>
      <x:c r="H63" s="21" t="n">
        <x:v>1</x:v>
      </x:c>
      <x:c r="I63" s="21" t="str">
        <x:v>PASS</x:v>
      </x:c>
      <x:c r="J63" s="21" t="str">
        <x:v>family access limit and lawful custody</x:v>
      </x:c>
      <x:c r="K63" s="23" t="str">
        <x:v>rework access package</x:v>
      </x:c>
    </x:row>
    <x:row r="64">
      <x:c r="B64" s="21" t="str">
        <x:v>TTC-T01-B-G10</x:v>
      </x:c>
      <x:c r="C64" s="21" t="str">
        <x:v>TTC-T01-B</x:v>
      </x:c>
      <x:c r="D64" s="21" t="str">
        <x:v>TTC-T01</x:v>
      </x:c>
      <x:c r="E64" s="21" t="str">
        <x:v>G10</x:v>
      </x:c>
      <x:c r="F64" s="21" t="str">
        <x:v>decisive ancestry</x:v>
      </x:c>
      <x:c r="G64" s="21" t="n">
        <x:v>1</x:v>
      </x:c>
      <x:c r="H64" s="21" t="n">
        <x:v>1</x:v>
      </x:c>
      <x:c r="I64" s="21" t="str">
        <x:v>PASS</x:v>
      </x:c>
      <x:c r="J64" s="21" t="str">
        <x:v>no undisclosed decisive root</x:v>
      </x:c>
      <x:c r="K64" s="23" t="str">
        <x:v>recompete decisive root</x:v>
      </x:c>
    </x:row>
    <x:row r="65">
      <x:c r="B65" s="21" t="str">
        <x:v>TTC-T01-B-G11</x:v>
      </x:c>
      <x:c r="C65" s="21" t="str">
        <x:v>TTC-T01-B</x:v>
      </x:c>
      <x:c r="D65" s="21" t="str">
        <x:v>TTC-T01</x:v>
      </x:c>
      <x:c r="E65" s="21" t="str">
        <x:v>G11</x:v>
      </x:c>
      <x:c r="F65" s="21" t="str">
        <x:v>technical rights and reproduction</x:v>
      </x:c>
      <x:c r="G65" s="21" t="n">
        <x:v>1</x:v>
      </x:c>
      <x:c r="H65" s="21" t="n">
        <x:v>1</x:v>
      </x:c>
      <x:c r="I65" s="21" t="str">
        <x:v>PASS</x:v>
      </x:c>
      <x:c r="J65" s="21" t="str">
        <x:v>government can reproduce the decision</x:v>
      </x:c>
      <x:c r="K65" s="23" t="str">
        <x:v>withhold reproduction authority</x:v>
      </x:c>
    </x:row>
    <x:row r="66">
      <x:c r="B66" s="21" t="str">
        <x:v>TTC-T01-B-G12</x:v>
      </x:c>
      <x:c r="C66" s="21" t="str">
        <x:v>TTC-T01-B</x:v>
      </x:c>
      <x:c r="D66" s="21" t="str">
        <x:v>TTC-T01</x:v>
      </x:c>
      <x:c r="E66" s="21" t="str">
        <x:v>G12</x:v>
      </x:c>
      <x:c r="F66" s="21" t="str">
        <x:v>facility schedule and cost</x:v>
      </x:c>
      <x:c r="G66" s="21" t="n">
        <x:v>1</x:v>
      </x:c>
      <x:c r="H66" s="21" t="n">
        <x:v>1</x:v>
      </x:c>
      <x:c r="I66" s="21" t="str">
        <x:v>PASS</x:v>
      </x:c>
      <x:c r="J66" s="21" t="str">
        <x:v>all articles available before registered need</x:v>
      </x:c>
      <x:c r="K66" s="23" t="str">
        <x:v>shift award or add capacity</x:v>
      </x:c>
    </x:row>
    <x:row r="67">
      <x:c r="B67" s="21" t="str">
        <x:v>TTC-T01-C-G01</x:v>
      </x:c>
      <x:c r="C67" s="21" t="str">
        <x:v>TTC-T01-C</x:v>
      </x:c>
      <x:c r="D67" s="21" t="str">
        <x:v>TTC-T01</x:v>
      </x:c>
      <x:c r="E67" s="21" t="str">
        <x:v>G01</x:v>
      </x:c>
      <x:c r="F67" s="21" t="str">
        <x:v>public effect boundary</x:v>
      </x:c>
      <x:c r="G67" s="21" t="n">
        <x:v>1</x:v>
      </x:c>
      <x:c r="H67" s="21" t="n">
        <x:v>1</x:v>
      </x:c>
      <x:c r="I67" s="21" t="str">
        <x:v>PASS</x:v>
      </x:c>
      <x:c r="J67" s="21" t="str">
        <x:v>complete local decision and invalid-state grammar</x:v>
      </x:c>
      <x:c r="K67" s="23" t="str">
        <x:v>reject mission substitution</x:v>
      </x:c>
    </x:row>
    <x:row r="68">
      <x:c r="B68" s="21" t="str">
        <x:v>TTC-T01-C-G02</x:v>
      </x:c>
      <x:c r="C68" s="21" t="str">
        <x:v>TTC-T01-C</x:v>
      </x:c>
      <x:c r="D68" s="21" t="str">
        <x:v>TTC-T01</x:v>
      </x:c>
      <x:c r="E68" s="21" t="str">
        <x:v>G02</x:v>
      </x:c>
      <x:c r="F68" s="21" t="str">
        <x:v>mass volume and reserve</x:v>
      </x:c>
      <x:c r="G68" s="21" t="n">
        <x:v>1</x:v>
      </x:c>
      <x:c r="H68" s="21" t="n">
        <x:v>1</x:v>
      </x:c>
      <x:c r="I68" s="21" t="str">
        <x:v>PASS</x:v>
      </x:c>
      <x:c r="J68" s="21" t="str">
        <x:v>inside frozen family envelope with both reserves explicit</x:v>
      </x:c>
      <x:c r="K68" s="23" t="str">
        <x:v>reopen burden allocation</x:v>
      </x:c>
    </x:row>
    <x:row r="69">
      <x:c r="B69" s="21" t="str">
        <x:v>TTC-T01-C-G03</x:v>
      </x:c>
      <x:c r="C69" s="21" t="str">
        <x:v>TTC-T01-C</x:v>
      </x:c>
      <x:c r="D69" s="21" t="str">
        <x:v>TTC-T01</x:v>
      </x:c>
      <x:c r="E69" s="21" t="str">
        <x:v>G03</x:v>
      </x:c>
      <x:c r="F69" s="21" t="str">
        <x:v>independent endurance</x:v>
      </x:c>
      <x:c r="G69" s="21" t="n">
        <x:v>0</x:v>
      </x:c>
      <x:c r="H69" s="21" t="n">
        <x:v>1</x:v>
      </x:c>
      <x:c r="I69" s="21" t="str">
        <x:v>FAIL</x:v>
      </x:c>
      <x:c r="J69" s="21" t="str">
        <x:v>full interval and registered peak sequence</x:v>
      </x:c>
      <x:c r="K69" s="23" t="str">
        <x:v>redesign autonomous energy</x:v>
      </x:c>
    </x:row>
    <x:row r="70">
      <x:c r="B70" s="21" t="str">
        <x:v>TTC-T01-C-G04</x:v>
      </x:c>
      <x:c r="C70" s="21" t="str">
        <x:v>TTC-T01-C</x:v>
      </x:c>
      <x:c r="D70" s="21" t="str">
        <x:v>TTC-T01</x:v>
      </x:c>
      <x:c r="E70" s="21" t="str">
        <x:v>G04</x:v>
      </x:c>
      <x:c r="F70" s="21" t="str">
        <x:v>outward thermal rejection</x:v>
      </x:c>
      <x:c r="G70" s="21" t="n">
        <x:v>1</x:v>
      </x:c>
      <x:c r="H70" s="21" t="n">
        <x:v>1</x:v>
      </x:c>
      <x:c r="I70" s="21" t="str">
        <x:v>PASS</x:v>
      </x:c>
      <x:c r="J70" s="21" t="str">
        <x:v>all evidence heat crosses its own measured boundary</x:v>
      </x:c>
      <x:c r="K70" s="23" t="str">
        <x:v>redesign thermal boundary</x:v>
      </x:c>
    </x:row>
    <x:row r="71">
      <x:c r="B71" s="21" t="str">
        <x:v>TTC-T01-C-G05</x:v>
      </x:c>
      <x:c r="C71" s="21" t="str">
        <x:v>TTC-T01-C</x:v>
      </x:c>
      <x:c r="D71" s="21" t="str">
        <x:v>TTC-T01</x:v>
      </x:c>
      <x:c r="E71" s="21" t="str">
        <x:v>G05</x:v>
      </x:c>
      <x:c r="F71" s="21" t="str">
        <x:v>complete local original</x:v>
      </x:c>
      <x:c r="G71" s="21" t="n">
        <x:v>1</x:v>
      </x:c>
      <x:c r="H71" s="21" t="n">
        <x:v>1</x:v>
      </x:c>
      <x:c r="I71" s="21" t="str">
        <x:v>PASS</x:v>
      </x:c>
      <x:c r="J71" s="21" t="str">
        <x:v>complete original or declared bounded loss</x:v>
      </x:c>
      <x:c r="K71" s="23" t="str">
        <x:v>reject custody architecture</x:v>
      </x:c>
    </x:row>
    <x:row r="72">
      <x:c r="B72" s="21" t="str">
        <x:v>TTC-T01-C-G06</x:v>
      </x:c>
      <x:c r="C72" s="21" t="str">
        <x:v>TTC-T01-C</x:v>
      </x:c>
      <x:c r="D72" s="21" t="str">
        <x:v>TTC-T01</x:v>
      </x:c>
      <x:c r="E72" s="21" t="str">
        <x:v>G06</x:v>
      </x:c>
      <x:c r="F72" s="21" t="str">
        <x:v>denied event time</x:v>
      </x:c>
      <x:c r="G72" s="21" t="n">
        <x:v>1</x:v>
      </x:c>
      <x:c r="H72" s="21" t="n">
        <x:v>1</x:v>
      </x:c>
      <x:c r="I72" s="21" t="str">
        <x:v>PASS</x:v>
      </x:c>
      <x:c r="J72" s="21" t="str">
        <x:v>inside family U95 allocation</x:v>
      </x:c>
      <x:c r="K72" s="23" t="str">
        <x:v>redesign time roots</x:v>
      </x:c>
    </x:row>
    <x:row r="73">
      <x:c r="B73" s="21" t="str">
        <x:v>TTC-T01-C-G07</x:v>
      </x:c>
      <x:c r="C73" s="21" t="str">
        <x:v>TTC-T01-C</x:v>
      </x:c>
      <x:c r="D73" s="21" t="str">
        <x:v>TTC-T01</x:v>
      </x:c>
      <x:c r="E73" s="21" t="str">
        <x:v>G07</x:v>
      </x:c>
      <x:c r="F73" s="21" t="str">
        <x:v>physical non-actuation</x:v>
      </x:c>
      <x:c r="G73" s="21" t="n">
        <x:v>1</x:v>
      </x:c>
      <x:c r="H73" s="21" t="n">
        <x:v>1</x:v>
      </x:c>
      <x:c r="I73" s="21" t="str">
        <x:v>PASS</x:v>
      </x:c>
      <x:c r="J73" s="21" t="str">
        <x:v>teardown and injection show no useful path</x:v>
      </x:c>
      <x:c r="K73" s="23" t="str">
        <x:v>reject interface family</x:v>
      </x:c>
    </x:row>
    <x:row r="74">
      <x:c r="B74" s="21" t="str">
        <x:v>TTC-T01-C-G08</x:v>
      </x:c>
      <x:c r="C74" s="21" t="str">
        <x:v>TTC-T01-C</x:v>
      </x:c>
      <x:c r="D74" s="21" t="str">
        <x:v>TTC-T01</x:v>
      </x:c>
      <x:c r="E74" s="21" t="str">
        <x:v>G08</x:v>
      </x:c>
      <x:c r="F74" s="21" t="str">
        <x:v>hazard behavior</x:v>
      </x:c>
      <x:c r="G74" s="21" t="n">
        <x:v>1</x:v>
      </x:c>
      <x:c r="H74" s="21" t="n">
        <x:v>1</x:v>
      </x:c>
      <x:c r="I74" s="21" t="str">
        <x:v>PASS</x:v>
      </x:c>
      <x:c r="J74" s="21" t="str">
        <x:v>no silent state and safe disposition</x:v>
      </x:c>
      <x:c r="K74" s="23" t="str">
        <x:v>rework enclosure and disposition</x:v>
      </x:c>
    </x:row>
    <x:row r="75">
      <x:c r="B75" s="21" t="str">
        <x:v>TTC-T01-C-G09</x:v>
      </x:c>
      <x:c r="C75" s="21" t="str">
        <x:v>TTC-T01-C</x:v>
      </x:c>
      <x:c r="D75" s="21" t="str">
        <x:v>TTC-T01</x:v>
      </x:c>
      <x:c r="E75" s="21" t="str">
        <x:v>G09</x:v>
      </x:c>
      <x:c r="F75" s="21" t="str">
        <x:v>maintenance and quarantine</x:v>
      </x:c>
      <x:c r="G75" s="21" t="n">
        <x:v>1</x:v>
      </x:c>
      <x:c r="H75" s="21" t="n">
        <x:v>1</x:v>
      </x:c>
      <x:c r="I75" s="21" t="str">
        <x:v>PASS</x:v>
      </x:c>
      <x:c r="J75" s="21" t="str">
        <x:v>family access limit and lawful custody</x:v>
      </x:c>
      <x:c r="K75" s="23" t="str">
        <x:v>rework access package</x:v>
      </x:c>
    </x:row>
    <x:row r="76">
      <x:c r="B76" s="21" t="str">
        <x:v>TTC-T01-C-G10</x:v>
      </x:c>
      <x:c r="C76" s="21" t="str">
        <x:v>TTC-T01-C</x:v>
      </x:c>
      <x:c r="D76" s="21" t="str">
        <x:v>TTC-T01</x:v>
      </x:c>
      <x:c r="E76" s="21" t="str">
        <x:v>G10</x:v>
      </x:c>
      <x:c r="F76" s="21" t="str">
        <x:v>decisive ancestry</x:v>
      </x:c>
      <x:c r="G76" s="21" t="n">
        <x:v>1</x:v>
      </x:c>
      <x:c r="H76" s="21" t="n">
        <x:v>1</x:v>
      </x:c>
      <x:c r="I76" s="21" t="str">
        <x:v>PASS</x:v>
      </x:c>
      <x:c r="J76" s="21" t="str">
        <x:v>no undisclosed decisive root</x:v>
      </x:c>
      <x:c r="K76" s="23" t="str">
        <x:v>recompete decisive root</x:v>
      </x:c>
    </x:row>
    <x:row r="77">
      <x:c r="B77" s="21" t="str">
        <x:v>TTC-T01-C-G11</x:v>
      </x:c>
      <x:c r="C77" s="21" t="str">
        <x:v>TTC-T01-C</x:v>
      </x:c>
      <x:c r="D77" s="21" t="str">
        <x:v>TTC-T01</x:v>
      </x:c>
      <x:c r="E77" s="21" t="str">
        <x:v>G11</x:v>
      </x:c>
      <x:c r="F77" s="21" t="str">
        <x:v>technical rights and reproduction</x:v>
      </x:c>
      <x:c r="G77" s="21" t="n">
        <x:v>1</x:v>
      </x:c>
      <x:c r="H77" s="21" t="n">
        <x:v>1</x:v>
      </x:c>
      <x:c r="I77" s="21" t="str">
        <x:v>PASS</x:v>
      </x:c>
      <x:c r="J77" s="21" t="str">
        <x:v>government can reproduce the decision</x:v>
      </x:c>
      <x:c r="K77" s="23" t="str">
        <x:v>withhold reproduction authority</x:v>
      </x:c>
    </x:row>
    <x:row r="78">
      <x:c r="B78" s="21" t="str">
        <x:v>TTC-T01-C-G12</x:v>
      </x:c>
      <x:c r="C78" s="21" t="str">
        <x:v>TTC-T01-C</x:v>
      </x:c>
      <x:c r="D78" s="21" t="str">
        <x:v>TTC-T01</x:v>
      </x:c>
      <x:c r="E78" s="21" t="str">
        <x:v>G12</x:v>
      </x:c>
      <x:c r="F78" s="21" t="str">
        <x:v>facility schedule and cost</x:v>
      </x:c>
      <x:c r="G78" s="21" t="n">
        <x:v>1</x:v>
      </x:c>
      <x:c r="H78" s="21" t="n">
        <x:v>1</x:v>
      </x:c>
      <x:c r="I78" s="21" t="str">
        <x:v>PASS</x:v>
      </x:c>
      <x:c r="J78" s="21" t="str">
        <x:v>all articles available before registered need</x:v>
      </x:c>
      <x:c r="K78" s="23" t="str">
        <x:v>shift award or add capacity</x:v>
      </x:c>
    </x:row>
    <x:row r="79">
      <x:c r="B79" s="21" t="str">
        <x:v>ACN-A01-A-G01</x:v>
      </x:c>
      <x:c r="C79" s="21" t="str">
        <x:v>ACN-A01-A</x:v>
      </x:c>
      <x:c r="D79" s="21" t="str">
        <x:v>ACN-A01</x:v>
      </x:c>
      <x:c r="E79" s="21" t="str">
        <x:v>G01</x:v>
      </x:c>
      <x:c r="F79" s="21" t="str">
        <x:v>public effect boundary</x:v>
      </x:c>
      <x:c r="G79" s="21" t="n">
        <x:v>1</x:v>
      </x:c>
      <x:c r="H79" s="21" t="n">
        <x:v>1</x:v>
      </x:c>
      <x:c r="I79" s="21" t="str">
        <x:v>PASS</x:v>
      </x:c>
      <x:c r="J79" s="21" t="str">
        <x:v>complete local decision and invalid-state grammar</x:v>
      </x:c>
      <x:c r="K79" s="23" t="str">
        <x:v>reject mission substitution</x:v>
      </x:c>
    </x:row>
    <x:row r="80">
      <x:c r="B80" s="21" t="str">
        <x:v>ACN-A01-A-G02</x:v>
      </x:c>
      <x:c r="C80" s="21" t="str">
        <x:v>ACN-A01-A</x:v>
      </x:c>
      <x:c r="D80" s="21" t="str">
        <x:v>ACN-A01</x:v>
      </x:c>
      <x:c r="E80" s="21" t="str">
        <x:v>G02</x:v>
      </x:c>
      <x:c r="F80" s="21" t="str">
        <x:v>mass volume and reserve</x:v>
      </x:c>
      <x:c r="G80" s="21" t="n">
        <x:v>1</x:v>
      </x:c>
      <x:c r="H80" s="21" t="n">
        <x:v>1</x:v>
      </x:c>
      <x:c r="I80" s="21" t="str">
        <x:v>PASS</x:v>
      </x:c>
      <x:c r="J80" s="21" t="str">
        <x:v>inside frozen family envelope with both reserves explicit</x:v>
      </x:c>
      <x:c r="K80" s="23" t="str">
        <x:v>reopen burden allocation</x:v>
      </x:c>
    </x:row>
    <x:row r="81">
      <x:c r="B81" s="21" t="str">
        <x:v>ACN-A01-A-G03</x:v>
      </x:c>
      <x:c r="C81" s="21" t="str">
        <x:v>ACN-A01-A</x:v>
      </x:c>
      <x:c r="D81" s="21" t="str">
        <x:v>ACN-A01</x:v>
      </x:c>
      <x:c r="E81" s="21" t="str">
        <x:v>G03</x:v>
      </x:c>
      <x:c r="F81" s="21" t="str">
        <x:v>independent endurance</x:v>
      </x:c>
      <x:c r="G81" s="21" t="n">
        <x:v>1</x:v>
      </x:c>
      <x:c r="H81" s="21" t="n">
        <x:v>1</x:v>
      </x:c>
      <x:c r="I81" s="21" t="str">
        <x:v>PASS</x:v>
      </x:c>
      <x:c r="J81" s="21" t="str">
        <x:v>full interval and registered peak sequence</x:v>
      </x:c>
      <x:c r="K81" s="23" t="str">
        <x:v>redesign autonomous energy</x:v>
      </x:c>
    </x:row>
    <x:row r="82">
      <x:c r="B82" s="21" t="str">
        <x:v>ACN-A01-A-G04</x:v>
      </x:c>
      <x:c r="C82" s="21" t="str">
        <x:v>ACN-A01-A</x:v>
      </x:c>
      <x:c r="D82" s="21" t="str">
        <x:v>ACN-A01</x:v>
      </x:c>
      <x:c r="E82" s="21" t="str">
        <x:v>G04</x:v>
      </x:c>
      <x:c r="F82" s="21" t="str">
        <x:v>outward thermal rejection</x:v>
      </x:c>
      <x:c r="G82" s="21" t="n">
        <x:v>1</x:v>
      </x:c>
      <x:c r="H82" s="21" t="n">
        <x:v>1</x:v>
      </x:c>
      <x:c r="I82" s="21" t="str">
        <x:v>PASS</x:v>
      </x:c>
      <x:c r="J82" s="21" t="str">
        <x:v>all evidence heat crosses its own measured boundary</x:v>
      </x:c>
      <x:c r="K82" s="23" t="str">
        <x:v>redesign thermal boundary</x:v>
      </x:c>
    </x:row>
    <x:row r="83">
      <x:c r="B83" s="21" t="str">
        <x:v>ACN-A01-A-G05</x:v>
      </x:c>
      <x:c r="C83" s="21" t="str">
        <x:v>ACN-A01-A</x:v>
      </x:c>
      <x:c r="D83" s="21" t="str">
        <x:v>ACN-A01</x:v>
      </x:c>
      <x:c r="E83" s="21" t="str">
        <x:v>G05</x:v>
      </x:c>
      <x:c r="F83" s="21" t="str">
        <x:v>complete local original</x:v>
      </x:c>
      <x:c r="G83" s="21" t="n">
        <x:v>1</x:v>
      </x:c>
      <x:c r="H83" s="21" t="n">
        <x:v>1</x:v>
      </x:c>
      <x:c r="I83" s="21" t="str">
        <x:v>PASS</x:v>
      </x:c>
      <x:c r="J83" s="21" t="str">
        <x:v>complete original or declared bounded loss</x:v>
      </x:c>
      <x:c r="K83" s="23" t="str">
        <x:v>reject custody architecture</x:v>
      </x:c>
    </x:row>
    <x:row r="84">
      <x:c r="B84" s="21" t="str">
        <x:v>ACN-A01-A-G06</x:v>
      </x:c>
      <x:c r="C84" s="21" t="str">
        <x:v>ACN-A01-A</x:v>
      </x:c>
      <x:c r="D84" s="21" t="str">
        <x:v>ACN-A01</x:v>
      </x:c>
      <x:c r="E84" s="21" t="str">
        <x:v>G06</x:v>
      </x:c>
      <x:c r="F84" s="21" t="str">
        <x:v>denied event time</x:v>
      </x:c>
      <x:c r="G84" s="21" t="n">
        <x:v>1</x:v>
      </x:c>
      <x:c r="H84" s="21" t="n">
        <x:v>1</x:v>
      </x:c>
      <x:c r="I84" s="21" t="str">
        <x:v>PASS</x:v>
      </x:c>
      <x:c r="J84" s="21" t="str">
        <x:v>inside family U95 allocation</x:v>
      </x:c>
      <x:c r="K84" s="23" t="str">
        <x:v>redesign time roots</x:v>
      </x:c>
    </x:row>
    <x:row r="85">
      <x:c r="B85" s="21" t="str">
        <x:v>ACN-A01-A-G07</x:v>
      </x:c>
      <x:c r="C85" s="21" t="str">
        <x:v>ACN-A01-A</x:v>
      </x:c>
      <x:c r="D85" s="21" t="str">
        <x:v>ACN-A01</x:v>
      </x:c>
      <x:c r="E85" s="21" t="str">
        <x:v>G07</x:v>
      </x:c>
      <x:c r="F85" s="21" t="str">
        <x:v>physical non-actuation</x:v>
      </x:c>
      <x:c r="G85" s="21" t="n">
        <x:v>1</x:v>
      </x:c>
      <x:c r="H85" s="21" t="n">
        <x:v>1</x:v>
      </x:c>
      <x:c r="I85" s="21" t="str">
        <x:v>PASS</x:v>
      </x:c>
      <x:c r="J85" s="21" t="str">
        <x:v>teardown and injection show no useful path</x:v>
      </x:c>
      <x:c r="K85" s="23" t="str">
        <x:v>reject interface family</x:v>
      </x:c>
    </x:row>
    <x:row r="86">
      <x:c r="B86" s="21" t="str">
        <x:v>ACN-A01-A-G08</x:v>
      </x:c>
      <x:c r="C86" s="21" t="str">
        <x:v>ACN-A01-A</x:v>
      </x:c>
      <x:c r="D86" s="21" t="str">
        <x:v>ACN-A01</x:v>
      </x:c>
      <x:c r="E86" s="21" t="str">
        <x:v>G08</x:v>
      </x:c>
      <x:c r="F86" s="21" t="str">
        <x:v>hazard behavior</x:v>
      </x:c>
      <x:c r="G86" s="21" t="n">
        <x:v>1</x:v>
      </x:c>
      <x:c r="H86" s="21" t="n">
        <x:v>1</x:v>
      </x:c>
      <x:c r="I86" s="21" t="str">
        <x:v>PASS</x:v>
      </x:c>
      <x:c r="J86" s="21" t="str">
        <x:v>no silent state and safe disposition</x:v>
      </x:c>
      <x:c r="K86" s="23" t="str">
        <x:v>rework enclosure and disposition</x:v>
      </x:c>
    </x:row>
    <x:row r="87">
      <x:c r="B87" s="21" t="str">
        <x:v>ACN-A01-A-G09</x:v>
      </x:c>
      <x:c r="C87" s="21" t="str">
        <x:v>ACN-A01-A</x:v>
      </x:c>
      <x:c r="D87" s="21" t="str">
        <x:v>ACN-A01</x:v>
      </x:c>
      <x:c r="E87" s="21" t="str">
        <x:v>G09</x:v>
      </x:c>
      <x:c r="F87" s="21" t="str">
        <x:v>maintenance and quarantine</x:v>
      </x:c>
      <x:c r="G87" s="21" t="n">
        <x:v>1</x:v>
      </x:c>
      <x:c r="H87" s="21" t="n">
        <x:v>1</x:v>
      </x:c>
      <x:c r="I87" s="21" t="str">
        <x:v>PASS</x:v>
      </x:c>
      <x:c r="J87" s="21" t="str">
        <x:v>family access limit and lawful custody</x:v>
      </x:c>
      <x:c r="K87" s="23" t="str">
        <x:v>rework access package</x:v>
      </x:c>
    </x:row>
    <x:row r="88">
      <x:c r="B88" s="21" t="str">
        <x:v>ACN-A01-A-G10</x:v>
      </x:c>
      <x:c r="C88" s="21" t="str">
        <x:v>ACN-A01-A</x:v>
      </x:c>
      <x:c r="D88" s="21" t="str">
        <x:v>ACN-A01</x:v>
      </x:c>
      <x:c r="E88" s="21" t="str">
        <x:v>G10</x:v>
      </x:c>
      <x:c r="F88" s="21" t="str">
        <x:v>decisive ancestry</x:v>
      </x:c>
      <x:c r="G88" s="21" t="n">
        <x:v>1</x:v>
      </x:c>
      <x:c r="H88" s="21" t="n">
        <x:v>1</x:v>
      </x:c>
      <x:c r="I88" s="21" t="str">
        <x:v>PASS</x:v>
      </x:c>
      <x:c r="J88" s="21" t="str">
        <x:v>no undisclosed decisive root</x:v>
      </x:c>
      <x:c r="K88" s="23" t="str">
        <x:v>recompete decisive root</x:v>
      </x:c>
    </x:row>
    <x:row r="89">
      <x:c r="B89" s="21" t="str">
        <x:v>ACN-A01-A-G11</x:v>
      </x:c>
      <x:c r="C89" s="21" t="str">
        <x:v>ACN-A01-A</x:v>
      </x:c>
      <x:c r="D89" s="21" t="str">
        <x:v>ACN-A01</x:v>
      </x:c>
      <x:c r="E89" s="21" t="str">
        <x:v>G11</x:v>
      </x:c>
      <x:c r="F89" s="21" t="str">
        <x:v>technical rights and reproduction</x:v>
      </x:c>
      <x:c r="G89" s="21" t="n">
        <x:v>1</x:v>
      </x:c>
      <x:c r="H89" s="21" t="n">
        <x:v>1</x:v>
      </x:c>
      <x:c r="I89" s="21" t="str">
        <x:v>PASS</x:v>
      </x:c>
      <x:c r="J89" s="21" t="str">
        <x:v>government can reproduce the decision</x:v>
      </x:c>
      <x:c r="K89" s="23" t="str">
        <x:v>withhold reproduction authority</x:v>
      </x:c>
    </x:row>
    <x:row r="90">
      <x:c r="B90" s="21" t="str">
        <x:v>ACN-A01-A-G12</x:v>
      </x:c>
      <x:c r="C90" s="21" t="str">
        <x:v>ACN-A01-A</x:v>
      </x:c>
      <x:c r="D90" s="21" t="str">
        <x:v>ACN-A01</x:v>
      </x:c>
      <x:c r="E90" s="21" t="str">
        <x:v>G12</x:v>
      </x:c>
      <x:c r="F90" s="21" t="str">
        <x:v>facility schedule and cost</x:v>
      </x:c>
      <x:c r="G90" s="21" t="n">
        <x:v>1</x:v>
      </x:c>
      <x:c r="H90" s="21" t="n">
        <x:v>1</x:v>
      </x:c>
      <x:c r="I90" s="21" t="str">
        <x:v>PASS</x:v>
      </x:c>
      <x:c r="J90" s="21" t="str">
        <x:v>all articles available before registered need</x:v>
      </x:c>
      <x:c r="K90" s="23" t="str">
        <x:v>shift award or add capacity</x:v>
      </x:c>
    </x:row>
    <x:row r="91">
      <x:c r="B91" s="21" t="str">
        <x:v>ACN-A01-B-G01</x:v>
      </x:c>
      <x:c r="C91" s="21" t="str">
        <x:v>ACN-A01-B</x:v>
      </x:c>
      <x:c r="D91" s="21" t="str">
        <x:v>ACN-A01</x:v>
      </x:c>
      <x:c r="E91" s="21" t="str">
        <x:v>G01</x:v>
      </x:c>
      <x:c r="F91" s="21" t="str">
        <x:v>public effect boundary</x:v>
      </x:c>
      <x:c r="G91" s="21" t="n">
        <x:v>1</x:v>
      </x:c>
      <x:c r="H91" s="21" t="n">
        <x:v>1</x:v>
      </x:c>
      <x:c r="I91" s="21" t="str">
        <x:v>PASS</x:v>
      </x:c>
      <x:c r="J91" s="21" t="str">
        <x:v>complete local decision and invalid-state grammar</x:v>
      </x:c>
      <x:c r="K91" s="23" t="str">
        <x:v>reject mission substitution</x:v>
      </x:c>
    </x:row>
    <x:row r="92">
      <x:c r="B92" s="21" t="str">
        <x:v>ACN-A01-B-G02</x:v>
      </x:c>
      <x:c r="C92" s="21" t="str">
        <x:v>ACN-A01-B</x:v>
      </x:c>
      <x:c r="D92" s="21" t="str">
        <x:v>ACN-A01</x:v>
      </x:c>
      <x:c r="E92" s="21" t="str">
        <x:v>G02</x:v>
      </x:c>
      <x:c r="F92" s="21" t="str">
        <x:v>mass volume and reserve</x:v>
      </x:c>
      <x:c r="G92" s="21" t="n">
        <x:v>1</x:v>
      </x:c>
      <x:c r="H92" s="21" t="n">
        <x:v>1</x:v>
      </x:c>
      <x:c r="I92" s="21" t="str">
        <x:v>PASS</x:v>
      </x:c>
      <x:c r="J92" s="21" t="str">
        <x:v>inside frozen family envelope with both reserves explicit</x:v>
      </x:c>
      <x:c r="K92" s="23" t="str">
        <x:v>reopen burden allocation</x:v>
      </x:c>
    </x:row>
    <x:row r="93">
      <x:c r="B93" s="21" t="str">
        <x:v>ACN-A01-B-G03</x:v>
      </x:c>
      <x:c r="C93" s="21" t="str">
        <x:v>ACN-A01-B</x:v>
      </x:c>
      <x:c r="D93" s="21" t="str">
        <x:v>ACN-A01</x:v>
      </x:c>
      <x:c r="E93" s="21" t="str">
        <x:v>G03</x:v>
      </x:c>
      <x:c r="F93" s="21" t="str">
        <x:v>independent endurance</x:v>
      </x:c>
      <x:c r="G93" s="21" t="n">
        <x:v>1</x:v>
      </x:c>
      <x:c r="H93" s="21" t="n">
        <x:v>1</x:v>
      </x:c>
      <x:c r="I93" s="21" t="str">
        <x:v>PASS</x:v>
      </x:c>
      <x:c r="J93" s="21" t="str">
        <x:v>full interval and registered peak sequence</x:v>
      </x:c>
      <x:c r="K93" s="23" t="str">
        <x:v>redesign autonomous energy</x:v>
      </x:c>
    </x:row>
    <x:row r="94">
      <x:c r="B94" s="21" t="str">
        <x:v>ACN-A01-B-G04</x:v>
      </x:c>
      <x:c r="C94" s="21" t="str">
        <x:v>ACN-A01-B</x:v>
      </x:c>
      <x:c r="D94" s="21" t="str">
        <x:v>ACN-A01</x:v>
      </x:c>
      <x:c r="E94" s="21" t="str">
        <x:v>G04</x:v>
      </x:c>
      <x:c r="F94" s="21" t="str">
        <x:v>outward thermal rejection</x:v>
      </x:c>
      <x:c r="G94" s="21" t="n">
        <x:v>1</x:v>
      </x:c>
      <x:c r="H94" s="21" t="n">
        <x:v>1</x:v>
      </x:c>
      <x:c r="I94" s="21" t="str">
        <x:v>PASS</x:v>
      </x:c>
      <x:c r="J94" s="21" t="str">
        <x:v>all evidence heat crosses its own measured boundary</x:v>
      </x:c>
      <x:c r="K94" s="23" t="str">
        <x:v>redesign thermal boundary</x:v>
      </x:c>
    </x:row>
    <x:row r="95">
      <x:c r="B95" s="21" t="str">
        <x:v>ACN-A01-B-G05</x:v>
      </x:c>
      <x:c r="C95" s="21" t="str">
        <x:v>ACN-A01-B</x:v>
      </x:c>
      <x:c r="D95" s="21" t="str">
        <x:v>ACN-A01</x:v>
      </x:c>
      <x:c r="E95" s="21" t="str">
        <x:v>G05</x:v>
      </x:c>
      <x:c r="F95" s="21" t="str">
        <x:v>complete local original</x:v>
      </x:c>
      <x:c r="G95" s="21" t="n">
        <x:v>1</x:v>
      </x:c>
      <x:c r="H95" s="21" t="n">
        <x:v>1</x:v>
      </x:c>
      <x:c r="I95" s="21" t="str">
        <x:v>PASS</x:v>
      </x:c>
      <x:c r="J95" s="21" t="str">
        <x:v>complete original or declared bounded loss</x:v>
      </x:c>
      <x:c r="K95" s="23" t="str">
        <x:v>reject custody architecture</x:v>
      </x:c>
    </x:row>
    <x:row r="96">
      <x:c r="B96" s="21" t="str">
        <x:v>ACN-A01-B-G06</x:v>
      </x:c>
      <x:c r="C96" s="21" t="str">
        <x:v>ACN-A01-B</x:v>
      </x:c>
      <x:c r="D96" s="21" t="str">
        <x:v>ACN-A01</x:v>
      </x:c>
      <x:c r="E96" s="21" t="str">
        <x:v>G06</x:v>
      </x:c>
      <x:c r="F96" s="21" t="str">
        <x:v>denied event time</x:v>
      </x:c>
      <x:c r="G96" s="21" t="n">
        <x:v>1</x:v>
      </x:c>
      <x:c r="H96" s="21" t="n">
        <x:v>1</x:v>
      </x:c>
      <x:c r="I96" s="21" t="str">
        <x:v>PASS</x:v>
      </x:c>
      <x:c r="J96" s="21" t="str">
        <x:v>inside family U95 allocation</x:v>
      </x:c>
      <x:c r="K96" s="23" t="str">
        <x:v>redesign time roots</x:v>
      </x:c>
    </x:row>
    <x:row r="97">
      <x:c r="B97" s="21" t="str">
        <x:v>ACN-A01-B-G07</x:v>
      </x:c>
      <x:c r="C97" s="21" t="str">
        <x:v>ACN-A01-B</x:v>
      </x:c>
      <x:c r="D97" s="21" t="str">
        <x:v>ACN-A01</x:v>
      </x:c>
      <x:c r="E97" s="21" t="str">
        <x:v>G07</x:v>
      </x:c>
      <x:c r="F97" s="21" t="str">
        <x:v>physical non-actuation</x:v>
      </x:c>
      <x:c r="G97" s="21" t="n">
        <x:v>1</x:v>
      </x:c>
      <x:c r="H97" s="21" t="n">
        <x:v>1</x:v>
      </x:c>
      <x:c r="I97" s="21" t="str">
        <x:v>PASS</x:v>
      </x:c>
      <x:c r="J97" s="21" t="str">
        <x:v>teardown and injection show no useful path</x:v>
      </x:c>
      <x:c r="K97" s="23" t="str">
        <x:v>reject interface family</x:v>
      </x:c>
    </x:row>
    <x:row r="98">
      <x:c r="B98" s="21" t="str">
        <x:v>ACN-A01-B-G08</x:v>
      </x:c>
      <x:c r="C98" s="21" t="str">
        <x:v>ACN-A01-B</x:v>
      </x:c>
      <x:c r="D98" s="21" t="str">
        <x:v>ACN-A01</x:v>
      </x:c>
      <x:c r="E98" s="21" t="str">
        <x:v>G08</x:v>
      </x:c>
      <x:c r="F98" s="21" t="str">
        <x:v>hazard behavior</x:v>
      </x:c>
      <x:c r="G98" s="21" t="n">
        <x:v>1</x:v>
      </x:c>
      <x:c r="H98" s="21" t="n">
        <x:v>1</x:v>
      </x:c>
      <x:c r="I98" s="21" t="str">
        <x:v>PASS</x:v>
      </x:c>
      <x:c r="J98" s="21" t="str">
        <x:v>no silent state and safe disposition</x:v>
      </x:c>
      <x:c r="K98" s="23" t="str">
        <x:v>rework enclosure and disposition</x:v>
      </x:c>
    </x:row>
    <x:row r="99">
      <x:c r="B99" s="21" t="str">
        <x:v>ACN-A01-B-G09</x:v>
      </x:c>
      <x:c r="C99" s="21" t="str">
        <x:v>ACN-A01-B</x:v>
      </x:c>
      <x:c r="D99" s="21" t="str">
        <x:v>ACN-A01</x:v>
      </x:c>
      <x:c r="E99" s="21" t="str">
        <x:v>G09</x:v>
      </x:c>
      <x:c r="F99" s="21" t="str">
        <x:v>maintenance and quarantine</x:v>
      </x:c>
      <x:c r="G99" s="21" t="n">
        <x:v>1</x:v>
      </x:c>
      <x:c r="H99" s="21" t="n">
        <x:v>1</x:v>
      </x:c>
      <x:c r="I99" s="21" t="str">
        <x:v>PASS</x:v>
      </x:c>
      <x:c r="J99" s="21" t="str">
        <x:v>family access limit and lawful custody</x:v>
      </x:c>
      <x:c r="K99" s="23" t="str">
        <x:v>rework access package</x:v>
      </x:c>
    </x:row>
    <x:row r="100">
      <x:c r="B100" s="21" t="str">
        <x:v>ACN-A01-B-G10</x:v>
      </x:c>
      <x:c r="C100" s="21" t="str">
        <x:v>ACN-A01-B</x:v>
      </x:c>
      <x:c r="D100" s="21" t="str">
        <x:v>ACN-A01</x:v>
      </x:c>
      <x:c r="E100" s="21" t="str">
        <x:v>G10</x:v>
      </x:c>
      <x:c r="F100" s="21" t="str">
        <x:v>decisive ancestry</x:v>
      </x:c>
      <x:c r="G100" s="21" t="n">
        <x:v>1</x:v>
      </x:c>
      <x:c r="H100" s="21" t="n">
        <x:v>1</x:v>
      </x:c>
      <x:c r="I100" s="21" t="str">
        <x:v>PASS</x:v>
      </x:c>
      <x:c r="J100" s="21" t="str">
        <x:v>no undisclosed decisive root</x:v>
      </x:c>
      <x:c r="K100" s="23" t="str">
        <x:v>recompete decisive root</x:v>
      </x:c>
    </x:row>
    <x:row r="101">
      <x:c r="B101" s="21" t="str">
        <x:v>ACN-A01-B-G11</x:v>
      </x:c>
      <x:c r="C101" s="21" t="str">
        <x:v>ACN-A01-B</x:v>
      </x:c>
      <x:c r="D101" s="21" t="str">
        <x:v>ACN-A01</x:v>
      </x:c>
      <x:c r="E101" s="21" t="str">
        <x:v>G11</x:v>
      </x:c>
      <x:c r="F101" s="21" t="str">
        <x:v>technical rights and reproduction</x:v>
      </x:c>
      <x:c r="G101" s="21" t="n">
        <x:v>1</x:v>
      </x:c>
      <x:c r="H101" s="21" t="n">
        <x:v>1</x:v>
      </x:c>
      <x:c r="I101" s="21" t="str">
        <x:v>PASS</x:v>
      </x:c>
      <x:c r="J101" s="21" t="str">
        <x:v>government can reproduce the decision</x:v>
      </x:c>
      <x:c r="K101" s="23" t="str">
        <x:v>withhold reproduction authority</x:v>
      </x:c>
    </x:row>
    <x:row r="102">
      <x:c r="B102" s="21" t="str">
        <x:v>ACN-A01-B-G12</x:v>
      </x:c>
      <x:c r="C102" s="21" t="str">
        <x:v>ACN-A01-B</x:v>
      </x:c>
      <x:c r="D102" s="21" t="str">
        <x:v>ACN-A01</x:v>
      </x:c>
      <x:c r="E102" s="21" t="str">
        <x:v>G12</x:v>
      </x:c>
      <x:c r="F102" s="21" t="str">
        <x:v>facility schedule and cost</x:v>
      </x:c>
      <x:c r="G102" s="21" t="n">
        <x:v>1</x:v>
      </x:c>
      <x:c r="H102" s="21" t="n">
        <x:v>1</x:v>
      </x:c>
      <x:c r="I102" s="21" t="str">
        <x:v>PASS</x:v>
      </x:c>
      <x:c r="J102" s="21" t="str">
        <x:v>all articles available before registered need</x:v>
      </x:c>
      <x:c r="K102" s="23" t="str">
        <x:v>shift award or add capacity</x:v>
      </x:c>
    </x:row>
    <x:row r="103">
      <x:c r="B103" s="21" t="str">
        <x:v>ACN-A01-C-G01</x:v>
      </x:c>
      <x:c r="C103" s="21" t="str">
        <x:v>ACN-A01-C</x:v>
      </x:c>
      <x:c r="D103" s="21" t="str">
        <x:v>ACN-A01</x:v>
      </x:c>
      <x:c r="E103" s="21" t="str">
        <x:v>G01</x:v>
      </x:c>
      <x:c r="F103" s="21" t="str">
        <x:v>public effect boundary</x:v>
      </x:c>
      <x:c r="G103" s="21" t="n">
        <x:v>1</x:v>
      </x:c>
      <x:c r="H103" s="21" t="n">
        <x:v>1</x:v>
      </x:c>
      <x:c r="I103" s="21" t="str">
        <x:v>PASS</x:v>
      </x:c>
      <x:c r="J103" s="21" t="str">
        <x:v>complete local decision and invalid-state grammar</x:v>
      </x:c>
      <x:c r="K103" s="23" t="str">
        <x:v>reject mission substitution</x:v>
      </x:c>
    </x:row>
    <x:row r="104">
      <x:c r="B104" s="21" t="str">
        <x:v>ACN-A01-C-G02</x:v>
      </x:c>
      <x:c r="C104" s="21" t="str">
        <x:v>ACN-A01-C</x:v>
      </x:c>
      <x:c r="D104" s="21" t="str">
        <x:v>ACN-A01</x:v>
      </x:c>
      <x:c r="E104" s="21" t="str">
        <x:v>G02</x:v>
      </x:c>
      <x:c r="F104" s="21" t="str">
        <x:v>mass volume and reserve</x:v>
      </x:c>
      <x:c r="G104" s="21" t="n">
        <x:v>1</x:v>
      </x:c>
      <x:c r="H104" s="21" t="n">
        <x:v>1</x:v>
      </x:c>
      <x:c r="I104" s="21" t="str">
        <x:v>PASS</x:v>
      </x:c>
      <x:c r="J104" s="21" t="str">
        <x:v>inside frozen family envelope with both reserves explicit</x:v>
      </x:c>
      <x:c r="K104" s="23" t="str">
        <x:v>reopen burden allocation</x:v>
      </x:c>
    </x:row>
    <x:row r="105">
      <x:c r="B105" s="21" t="str">
        <x:v>ACN-A01-C-G03</x:v>
      </x:c>
      <x:c r="C105" s="21" t="str">
        <x:v>ACN-A01-C</x:v>
      </x:c>
      <x:c r="D105" s="21" t="str">
        <x:v>ACN-A01</x:v>
      </x:c>
      <x:c r="E105" s="21" t="str">
        <x:v>G03</x:v>
      </x:c>
      <x:c r="F105" s="21" t="str">
        <x:v>independent endurance</x:v>
      </x:c>
      <x:c r="G105" s="21" t="n">
        <x:v>1</x:v>
      </x:c>
      <x:c r="H105" s="21" t="n">
        <x:v>1</x:v>
      </x:c>
      <x:c r="I105" s="21" t="str">
        <x:v>PASS</x:v>
      </x:c>
      <x:c r="J105" s="21" t="str">
        <x:v>full interval and registered peak sequence</x:v>
      </x:c>
      <x:c r="K105" s="23" t="str">
        <x:v>redesign autonomous energy</x:v>
      </x:c>
    </x:row>
    <x:row r="106">
      <x:c r="B106" s="21" t="str">
        <x:v>ACN-A01-C-G04</x:v>
      </x:c>
      <x:c r="C106" s="21" t="str">
        <x:v>ACN-A01-C</x:v>
      </x:c>
      <x:c r="D106" s="21" t="str">
        <x:v>ACN-A01</x:v>
      </x:c>
      <x:c r="E106" s="21" t="str">
        <x:v>G04</x:v>
      </x:c>
      <x:c r="F106" s="21" t="str">
        <x:v>outward thermal rejection</x:v>
      </x:c>
      <x:c r="G106" s="21" t="n">
        <x:v>0</x:v>
      </x:c>
      <x:c r="H106" s="21" t="n">
        <x:v>1</x:v>
      </x:c>
      <x:c r="I106" s="21" t="str">
        <x:v>FAIL</x:v>
      </x:c>
      <x:c r="J106" s="21" t="str">
        <x:v>all evidence heat crosses its own measured boundary</x:v>
      </x:c>
      <x:c r="K106" s="23" t="str">
        <x:v>redesign thermal boundary</x:v>
      </x:c>
    </x:row>
    <x:row r="107">
      <x:c r="B107" s="21" t="str">
        <x:v>ACN-A01-C-G05</x:v>
      </x:c>
      <x:c r="C107" s="21" t="str">
        <x:v>ACN-A01-C</x:v>
      </x:c>
      <x:c r="D107" s="21" t="str">
        <x:v>ACN-A01</x:v>
      </x:c>
      <x:c r="E107" s="21" t="str">
        <x:v>G05</x:v>
      </x:c>
      <x:c r="F107" s="21" t="str">
        <x:v>complete local original</x:v>
      </x:c>
      <x:c r="G107" s="21" t="n">
        <x:v>1</x:v>
      </x:c>
      <x:c r="H107" s="21" t="n">
        <x:v>1</x:v>
      </x:c>
      <x:c r="I107" s="21" t="str">
        <x:v>PASS</x:v>
      </x:c>
      <x:c r="J107" s="21" t="str">
        <x:v>complete original or declared bounded loss</x:v>
      </x:c>
      <x:c r="K107" s="23" t="str">
        <x:v>reject custody architecture</x:v>
      </x:c>
    </x:row>
    <x:row r="108">
      <x:c r="B108" s="21" t="str">
        <x:v>ACN-A01-C-G06</x:v>
      </x:c>
      <x:c r="C108" s="21" t="str">
        <x:v>ACN-A01-C</x:v>
      </x:c>
      <x:c r="D108" s="21" t="str">
        <x:v>ACN-A01</x:v>
      </x:c>
      <x:c r="E108" s="21" t="str">
        <x:v>G06</x:v>
      </x:c>
      <x:c r="F108" s="21" t="str">
        <x:v>denied event time</x:v>
      </x:c>
      <x:c r="G108" s="21" t="n">
        <x:v>1</x:v>
      </x:c>
      <x:c r="H108" s="21" t="n">
        <x:v>1</x:v>
      </x:c>
      <x:c r="I108" s="21" t="str">
        <x:v>PASS</x:v>
      </x:c>
      <x:c r="J108" s="21" t="str">
        <x:v>inside family U95 allocation</x:v>
      </x:c>
      <x:c r="K108" s="23" t="str">
        <x:v>redesign time roots</x:v>
      </x:c>
    </x:row>
    <x:row r="109">
      <x:c r="B109" s="21" t="str">
        <x:v>ACN-A01-C-G07</x:v>
      </x:c>
      <x:c r="C109" s="21" t="str">
        <x:v>ACN-A01-C</x:v>
      </x:c>
      <x:c r="D109" s="21" t="str">
        <x:v>ACN-A01</x:v>
      </x:c>
      <x:c r="E109" s="21" t="str">
        <x:v>G07</x:v>
      </x:c>
      <x:c r="F109" s="21" t="str">
        <x:v>physical non-actuation</x:v>
      </x:c>
      <x:c r="G109" s="21" t="n">
        <x:v>1</x:v>
      </x:c>
      <x:c r="H109" s="21" t="n">
        <x:v>1</x:v>
      </x:c>
      <x:c r="I109" s="21" t="str">
        <x:v>PASS</x:v>
      </x:c>
      <x:c r="J109" s="21" t="str">
        <x:v>teardown and injection show no useful path</x:v>
      </x:c>
      <x:c r="K109" s="23" t="str">
        <x:v>reject interface family</x:v>
      </x:c>
    </x:row>
    <x:row r="110">
      <x:c r="B110" s="21" t="str">
        <x:v>ACN-A01-C-G08</x:v>
      </x:c>
      <x:c r="C110" s="21" t="str">
        <x:v>ACN-A01-C</x:v>
      </x:c>
      <x:c r="D110" s="21" t="str">
        <x:v>ACN-A01</x:v>
      </x:c>
      <x:c r="E110" s="21" t="str">
        <x:v>G08</x:v>
      </x:c>
      <x:c r="F110" s="21" t="str">
        <x:v>hazard behavior</x:v>
      </x:c>
      <x:c r="G110" s="21" t="n">
        <x:v>1</x:v>
      </x:c>
      <x:c r="H110" s="21" t="n">
        <x:v>1</x:v>
      </x:c>
      <x:c r="I110" s="21" t="str">
        <x:v>PASS</x:v>
      </x:c>
      <x:c r="J110" s="21" t="str">
        <x:v>no silent state and safe disposition</x:v>
      </x:c>
      <x:c r="K110" s="23" t="str">
        <x:v>rework enclosure and disposition</x:v>
      </x:c>
    </x:row>
    <x:row r="111">
      <x:c r="B111" s="21" t="str">
        <x:v>ACN-A01-C-G09</x:v>
      </x:c>
      <x:c r="C111" s="21" t="str">
        <x:v>ACN-A01-C</x:v>
      </x:c>
      <x:c r="D111" s="21" t="str">
        <x:v>ACN-A01</x:v>
      </x:c>
      <x:c r="E111" s="21" t="str">
        <x:v>G09</x:v>
      </x:c>
      <x:c r="F111" s="21" t="str">
        <x:v>maintenance and quarantine</x:v>
      </x:c>
      <x:c r="G111" s="21" t="n">
        <x:v>1</x:v>
      </x:c>
      <x:c r="H111" s="21" t="n">
        <x:v>1</x:v>
      </x:c>
      <x:c r="I111" s="21" t="str">
        <x:v>PASS</x:v>
      </x:c>
      <x:c r="J111" s="21" t="str">
        <x:v>family access limit and lawful custody</x:v>
      </x:c>
      <x:c r="K111" s="23" t="str">
        <x:v>rework access package</x:v>
      </x:c>
    </x:row>
    <x:row r="112">
      <x:c r="B112" s="21" t="str">
        <x:v>ACN-A01-C-G10</x:v>
      </x:c>
      <x:c r="C112" s="21" t="str">
        <x:v>ACN-A01-C</x:v>
      </x:c>
      <x:c r="D112" s="21" t="str">
        <x:v>ACN-A01</x:v>
      </x:c>
      <x:c r="E112" s="21" t="str">
        <x:v>G10</x:v>
      </x:c>
      <x:c r="F112" s="21" t="str">
        <x:v>decisive ancestry</x:v>
      </x:c>
      <x:c r="G112" s="21" t="n">
        <x:v>1</x:v>
      </x:c>
      <x:c r="H112" s="21" t="n">
        <x:v>1</x:v>
      </x:c>
      <x:c r="I112" s="21" t="str">
        <x:v>PASS</x:v>
      </x:c>
      <x:c r="J112" s="21" t="str">
        <x:v>no undisclosed decisive root</x:v>
      </x:c>
      <x:c r="K112" s="23" t="str">
        <x:v>recompete decisive root</x:v>
      </x:c>
    </x:row>
    <x:row r="113">
      <x:c r="B113" s="21" t="str">
        <x:v>ACN-A01-C-G11</x:v>
      </x:c>
      <x:c r="C113" s="21" t="str">
        <x:v>ACN-A01-C</x:v>
      </x:c>
      <x:c r="D113" s="21" t="str">
        <x:v>ACN-A01</x:v>
      </x:c>
      <x:c r="E113" s="21" t="str">
        <x:v>G11</x:v>
      </x:c>
      <x:c r="F113" s="21" t="str">
        <x:v>technical rights and reproduction</x:v>
      </x:c>
      <x:c r="G113" s="21" t="n">
        <x:v>1</x:v>
      </x:c>
      <x:c r="H113" s="21" t="n">
        <x:v>1</x:v>
      </x:c>
      <x:c r="I113" s="21" t="str">
        <x:v>PASS</x:v>
      </x:c>
      <x:c r="J113" s="21" t="str">
        <x:v>government can reproduce the decision</x:v>
      </x:c>
      <x:c r="K113" s="23" t="str">
        <x:v>withhold reproduction authority</x:v>
      </x:c>
    </x:row>
    <x:row r="114">
      <x:c r="B114" s="21" t="str">
        <x:v>ACN-A01-C-G12</x:v>
      </x:c>
      <x:c r="C114" s="21" t="str">
        <x:v>ACN-A01-C</x:v>
      </x:c>
      <x:c r="D114" s="21" t="str">
        <x:v>ACN-A01</x:v>
      </x:c>
      <x:c r="E114" s="21" t="str">
        <x:v>G12</x:v>
      </x:c>
      <x:c r="F114" s="21" t="str">
        <x:v>facility schedule and cost</x:v>
      </x:c>
      <x:c r="G114" s="21" t="n">
        <x:v>1</x:v>
      </x:c>
      <x:c r="H114" s="21" t="n">
        <x:v>1</x:v>
      </x:c>
      <x:c r="I114" s="21" t="str">
        <x:v>PASS</x:v>
      </x:c>
      <x:c r="J114" s="21" t="str">
        <x:v>all articles available before registered need</x:v>
      </x:c>
      <x:c r="K114" s="23" t="str">
        <x:v>shift award or add capacity</x:v>
      </x:c>
    </x:row>
    <x:row r="115">
      <x:c r="B115" s="21" t="str">
        <x:v>TCN-T01-A-G01</x:v>
      </x:c>
      <x:c r="C115" s="21" t="str">
        <x:v>TCN-T01-A</x:v>
      </x:c>
      <x:c r="D115" s="21" t="str">
        <x:v>TCN-T01</x:v>
      </x:c>
      <x:c r="E115" s="21" t="str">
        <x:v>G01</x:v>
      </x:c>
      <x:c r="F115" s="21" t="str">
        <x:v>public effect boundary</x:v>
      </x:c>
      <x:c r="G115" s="21" t="n">
        <x:v>1</x:v>
      </x:c>
      <x:c r="H115" s="21" t="n">
        <x:v>1</x:v>
      </x:c>
      <x:c r="I115" s="21" t="str">
        <x:v>PASS</x:v>
      </x:c>
      <x:c r="J115" s="21" t="str">
        <x:v>complete local decision and invalid-state grammar</x:v>
      </x:c>
      <x:c r="K115" s="23" t="str">
        <x:v>reject mission substitution</x:v>
      </x:c>
    </x:row>
    <x:row r="116">
      <x:c r="B116" s="21" t="str">
        <x:v>TCN-T01-A-G02</x:v>
      </x:c>
      <x:c r="C116" s="21" t="str">
        <x:v>TCN-T01-A</x:v>
      </x:c>
      <x:c r="D116" s="21" t="str">
        <x:v>TCN-T01</x:v>
      </x:c>
      <x:c r="E116" s="21" t="str">
        <x:v>G02</x:v>
      </x:c>
      <x:c r="F116" s="21" t="str">
        <x:v>mass volume and reserve</x:v>
      </x:c>
      <x:c r="G116" s="21" t="n">
        <x:v>1</x:v>
      </x:c>
      <x:c r="H116" s="21" t="n">
        <x:v>1</x:v>
      </x:c>
      <x:c r="I116" s="21" t="str">
        <x:v>PASS</x:v>
      </x:c>
      <x:c r="J116" s="21" t="str">
        <x:v>inside frozen family envelope with both reserves explicit</x:v>
      </x:c>
      <x:c r="K116" s="23" t="str">
        <x:v>reopen burden allocation</x:v>
      </x:c>
    </x:row>
    <x:row r="117">
      <x:c r="B117" s="21" t="str">
        <x:v>TCN-T01-A-G03</x:v>
      </x:c>
      <x:c r="C117" s="21" t="str">
        <x:v>TCN-T01-A</x:v>
      </x:c>
      <x:c r="D117" s="21" t="str">
        <x:v>TCN-T01</x:v>
      </x:c>
      <x:c r="E117" s="21" t="str">
        <x:v>G03</x:v>
      </x:c>
      <x:c r="F117" s="21" t="str">
        <x:v>independent endurance</x:v>
      </x:c>
      <x:c r="G117" s="21" t="n">
        <x:v>1</x:v>
      </x:c>
      <x:c r="H117" s="21" t="n">
        <x:v>1</x:v>
      </x:c>
      <x:c r="I117" s="21" t="str">
        <x:v>PASS</x:v>
      </x:c>
      <x:c r="J117" s="21" t="str">
        <x:v>full interval and registered peak sequence</x:v>
      </x:c>
      <x:c r="K117" s="23" t="str">
        <x:v>redesign autonomous energy</x:v>
      </x:c>
    </x:row>
    <x:row r="118">
      <x:c r="B118" s="21" t="str">
        <x:v>TCN-T01-A-G04</x:v>
      </x:c>
      <x:c r="C118" s="21" t="str">
        <x:v>TCN-T01-A</x:v>
      </x:c>
      <x:c r="D118" s="21" t="str">
        <x:v>TCN-T01</x:v>
      </x:c>
      <x:c r="E118" s="21" t="str">
        <x:v>G04</x:v>
      </x:c>
      <x:c r="F118" s="21" t="str">
        <x:v>outward thermal rejection</x:v>
      </x:c>
      <x:c r="G118" s="21" t="n">
        <x:v>1</x:v>
      </x:c>
      <x:c r="H118" s="21" t="n">
        <x:v>1</x:v>
      </x:c>
      <x:c r="I118" s="21" t="str">
        <x:v>PASS</x:v>
      </x:c>
      <x:c r="J118" s="21" t="str">
        <x:v>all evidence heat crosses its own measured boundary</x:v>
      </x:c>
      <x:c r="K118" s="23" t="str">
        <x:v>redesign thermal boundary</x:v>
      </x:c>
    </x:row>
    <x:row r="119">
      <x:c r="B119" s="21" t="str">
        <x:v>TCN-T01-A-G05</x:v>
      </x:c>
      <x:c r="C119" s="21" t="str">
        <x:v>TCN-T01-A</x:v>
      </x:c>
      <x:c r="D119" s="21" t="str">
        <x:v>TCN-T01</x:v>
      </x:c>
      <x:c r="E119" s="21" t="str">
        <x:v>G05</x:v>
      </x:c>
      <x:c r="F119" s="21" t="str">
        <x:v>complete local original</x:v>
      </x:c>
      <x:c r="G119" s="21" t="n">
        <x:v>1</x:v>
      </x:c>
      <x:c r="H119" s="21" t="n">
        <x:v>1</x:v>
      </x:c>
      <x:c r="I119" s="21" t="str">
        <x:v>PASS</x:v>
      </x:c>
      <x:c r="J119" s="21" t="str">
        <x:v>complete original or declared bounded loss</x:v>
      </x:c>
      <x:c r="K119" s="23" t="str">
        <x:v>reject custody architecture</x:v>
      </x:c>
    </x:row>
    <x:row r="120">
      <x:c r="B120" s="21" t="str">
        <x:v>TCN-T01-A-G06</x:v>
      </x:c>
      <x:c r="C120" s="21" t="str">
        <x:v>TCN-T01-A</x:v>
      </x:c>
      <x:c r="D120" s="21" t="str">
        <x:v>TCN-T01</x:v>
      </x:c>
      <x:c r="E120" s="21" t="str">
        <x:v>G06</x:v>
      </x:c>
      <x:c r="F120" s="21" t="str">
        <x:v>denied event time</x:v>
      </x:c>
      <x:c r="G120" s="21" t="n">
        <x:v>1</x:v>
      </x:c>
      <x:c r="H120" s="21" t="n">
        <x:v>1</x:v>
      </x:c>
      <x:c r="I120" s="21" t="str">
        <x:v>PASS</x:v>
      </x:c>
      <x:c r="J120" s="21" t="str">
        <x:v>inside family U95 allocation</x:v>
      </x:c>
      <x:c r="K120" s="23" t="str">
        <x:v>redesign time roots</x:v>
      </x:c>
    </x:row>
    <x:row r="121">
      <x:c r="B121" s="21" t="str">
        <x:v>TCN-T01-A-G07</x:v>
      </x:c>
      <x:c r="C121" s="21" t="str">
        <x:v>TCN-T01-A</x:v>
      </x:c>
      <x:c r="D121" s="21" t="str">
        <x:v>TCN-T01</x:v>
      </x:c>
      <x:c r="E121" s="21" t="str">
        <x:v>G07</x:v>
      </x:c>
      <x:c r="F121" s="21" t="str">
        <x:v>physical non-actuation</x:v>
      </x:c>
      <x:c r="G121" s="21" t="n">
        <x:v>1</x:v>
      </x:c>
      <x:c r="H121" s="21" t="n">
        <x:v>1</x:v>
      </x:c>
      <x:c r="I121" s="21" t="str">
        <x:v>PASS</x:v>
      </x:c>
      <x:c r="J121" s="21" t="str">
        <x:v>teardown and injection show no useful path</x:v>
      </x:c>
      <x:c r="K121" s="23" t="str">
        <x:v>reject interface family</x:v>
      </x:c>
    </x:row>
    <x:row r="122">
      <x:c r="B122" s="21" t="str">
        <x:v>TCN-T01-A-G08</x:v>
      </x:c>
      <x:c r="C122" s="21" t="str">
        <x:v>TCN-T01-A</x:v>
      </x:c>
      <x:c r="D122" s="21" t="str">
        <x:v>TCN-T01</x:v>
      </x:c>
      <x:c r="E122" s="21" t="str">
        <x:v>G08</x:v>
      </x:c>
      <x:c r="F122" s="21" t="str">
        <x:v>hazard behavior</x:v>
      </x:c>
      <x:c r="G122" s="21" t="n">
        <x:v>1</x:v>
      </x:c>
      <x:c r="H122" s="21" t="n">
        <x:v>1</x:v>
      </x:c>
      <x:c r="I122" s="21" t="str">
        <x:v>PASS</x:v>
      </x:c>
      <x:c r="J122" s="21" t="str">
        <x:v>no silent state and safe disposition</x:v>
      </x:c>
      <x:c r="K122" s="23" t="str">
        <x:v>rework enclosure and disposition</x:v>
      </x:c>
    </x:row>
    <x:row r="123">
      <x:c r="B123" s="21" t="str">
        <x:v>TCN-T01-A-G09</x:v>
      </x:c>
      <x:c r="C123" s="21" t="str">
        <x:v>TCN-T01-A</x:v>
      </x:c>
      <x:c r="D123" s="21" t="str">
        <x:v>TCN-T01</x:v>
      </x:c>
      <x:c r="E123" s="21" t="str">
        <x:v>G09</x:v>
      </x:c>
      <x:c r="F123" s="21" t="str">
        <x:v>maintenance and quarantine</x:v>
      </x:c>
      <x:c r="G123" s="21" t="n">
        <x:v>1</x:v>
      </x:c>
      <x:c r="H123" s="21" t="n">
        <x:v>1</x:v>
      </x:c>
      <x:c r="I123" s="21" t="str">
        <x:v>PASS</x:v>
      </x:c>
      <x:c r="J123" s="21" t="str">
        <x:v>family access limit and lawful custody</x:v>
      </x:c>
      <x:c r="K123" s="23" t="str">
        <x:v>rework access package</x:v>
      </x:c>
    </x:row>
    <x:row r="124">
      <x:c r="B124" s="21" t="str">
        <x:v>TCN-T01-A-G10</x:v>
      </x:c>
      <x:c r="C124" s="21" t="str">
        <x:v>TCN-T01-A</x:v>
      </x:c>
      <x:c r="D124" s="21" t="str">
        <x:v>TCN-T01</x:v>
      </x:c>
      <x:c r="E124" s="21" t="str">
        <x:v>G10</x:v>
      </x:c>
      <x:c r="F124" s="21" t="str">
        <x:v>decisive ancestry</x:v>
      </x:c>
      <x:c r="G124" s="21" t="n">
        <x:v>1</x:v>
      </x:c>
      <x:c r="H124" s="21" t="n">
        <x:v>1</x:v>
      </x:c>
      <x:c r="I124" s="21" t="str">
        <x:v>PASS</x:v>
      </x:c>
      <x:c r="J124" s="21" t="str">
        <x:v>no undisclosed decisive root</x:v>
      </x:c>
      <x:c r="K124" s="23" t="str">
        <x:v>recompete decisive root</x:v>
      </x:c>
    </x:row>
    <x:row r="125">
      <x:c r="B125" s="21" t="str">
        <x:v>TCN-T01-A-G11</x:v>
      </x:c>
      <x:c r="C125" s="21" t="str">
        <x:v>TCN-T01-A</x:v>
      </x:c>
      <x:c r="D125" s="21" t="str">
        <x:v>TCN-T01</x:v>
      </x:c>
      <x:c r="E125" s="21" t="str">
        <x:v>G11</x:v>
      </x:c>
      <x:c r="F125" s="21" t="str">
        <x:v>technical rights and reproduction</x:v>
      </x:c>
      <x:c r="G125" s="21" t="n">
        <x:v>1</x:v>
      </x:c>
      <x:c r="H125" s="21" t="n">
        <x:v>1</x:v>
      </x:c>
      <x:c r="I125" s="21" t="str">
        <x:v>PASS</x:v>
      </x:c>
      <x:c r="J125" s="21" t="str">
        <x:v>government can reproduce the decision</x:v>
      </x:c>
      <x:c r="K125" s="23" t="str">
        <x:v>withhold reproduction authority</x:v>
      </x:c>
    </x:row>
    <x:row r="126">
      <x:c r="B126" s="21" t="str">
        <x:v>TCN-T01-A-G12</x:v>
      </x:c>
      <x:c r="C126" s="21" t="str">
        <x:v>TCN-T01-A</x:v>
      </x:c>
      <x:c r="D126" s="21" t="str">
        <x:v>TCN-T01</x:v>
      </x:c>
      <x:c r="E126" s="21" t="str">
        <x:v>G12</x:v>
      </x:c>
      <x:c r="F126" s="21" t="str">
        <x:v>facility schedule and cost</x:v>
      </x:c>
      <x:c r="G126" s="21" t="n">
        <x:v>1</x:v>
      </x:c>
      <x:c r="H126" s="21" t="n">
        <x:v>1</x:v>
      </x:c>
      <x:c r="I126" s="21" t="str">
        <x:v>PASS</x:v>
      </x:c>
      <x:c r="J126" s="21" t="str">
        <x:v>all articles available before registered need</x:v>
      </x:c>
      <x:c r="K126" s="23" t="str">
        <x:v>shift award or add capacity</x:v>
      </x:c>
    </x:row>
    <x:row r="127">
      <x:c r="B127" s="21" t="str">
        <x:v>TCN-T01-B-G01</x:v>
      </x:c>
      <x:c r="C127" s="21" t="str">
        <x:v>TCN-T01-B</x:v>
      </x:c>
      <x:c r="D127" s="21" t="str">
        <x:v>TCN-T01</x:v>
      </x:c>
      <x:c r="E127" s="21" t="str">
        <x:v>G01</x:v>
      </x:c>
      <x:c r="F127" s="21" t="str">
        <x:v>public effect boundary</x:v>
      </x:c>
      <x:c r="G127" s="21" t="n">
        <x:v>1</x:v>
      </x:c>
      <x:c r="H127" s="21" t="n">
        <x:v>1</x:v>
      </x:c>
      <x:c r="I127" s="21" t="str">
        <x:v>PASS</x:v>
      </x:c>
      <x:c r="J127" s="21" t="str">
        <x:v>complete local decision and invalid-state grammar</x:v>
      </x:c>
      <x:c r="K127" s="23" t="str">
        <x:v>reject mission substitution</x:v>
      </x:c>
    </x:row>
    <x:row r="128">
      <x:c r="B128" s="21" t="str">
        <x:v>TCN-T01-B-G02</x:v>
      </x:c>
      <x:c r="C128" s="21" t="str">
        <x:v>TCN-T01-B</x:v>
      </x:c>
      <x:c r="D128" s="21" t="str">
        <x:v>TCN-T01</x:v>
      </x:c>
      <x:c r="E128" s="21" t="str">
        <x:v>G02</x:v>
      </x:c>
      <x:c r="F128" s="21" t="str">
        <x:v>mass volume and reserve</x:v>
      </x:c>
      <x:c r="G128" s="21" t="n">
        <x:v>1</x:v>
      </x:c>
      <x:c r="H128" s="21" t="n">
        <x:v>1</x:v>
      </x:c>
      <x:c r="I128" s="21" t="str">
        <x:v>PASS</x:v>
      </x:c>
      <x:c r="J128" s="21" t="str">
        <x:v>inside frozen family envelope with both reserves explicit</x:v>
      </x:c>
      <x:c r="K128" s="23" t="str">
        <x:v>reopen burden allocation</x:v>
      </x:c>
    </x:row>
    <x:row r="129">
      <x:c r="B129" s="21" t="str">
        <x:v>TCN-T01-B-G03</x:v>
      </x:c>
      <x:c r="C129" s="21" t="str">
        <x:v>TCN-T01-B</x:v>
      </x:c>
      <x:c r="D129" s="21" t="str">
        <x:v>TCN-T01</x:v>
      </x:c>
      <x:c r="E129" s="21" t="str">
        <x:v>G03</x:v>
      </x:c>
      <x:c r="F129" s="21" t="str">
        <x:v>independent endurance</x:v>
      </x:c>
      <x:c r="G129" s="21" t="n">
        <x:v>1</x:v>
      </x:c>
      <x:c r="H129" s="21" t="n">
        <x:v>1</x:v>
      </x:c>
      <x:c r="I129" s="21" t="str">
        <x:v>PASS</x:v>
      </x:c>
      <x:c r="J129" s="21" t="str">
        <x:v>full interval and registered peak sequence</x:v>
      </x:c>
      <x:c r="K129" s="23" t="str">
        <x:v>redesign autonomous energy</x:v>
      </x:c>
    </x:row>
    <x:row r="130">
      <x:c r="B130" s="21" t="str">
        <x:v>TCN-T01-B-G04</x:v>
      </x:c>
      <x:c r="C130" s="21" t="str">
        <x:v>TCN-T01-B</x:v>
      </x:c>
      <x:c r="D130" s="21" t="str">
        <x:v>TCN-T01</x:v>
      </x:c>
      <x:c r="E130" s="21" t="str">
        <x:v>G04</x:v>
      </x:c>
      <x:c r="F130" s="21" t="str">
        <x:v>outward thermal rejection</x:v>
      </x:c>
      <x:c r="G130" s="21" t="n">
        <x:v>1</x:v>
      </x:c>
      <x:c r="H130" s="21" t="n">
        <x:v>1</x:v>
      </x:c>
      <x:c r="I130" s="21" t="str">
        <x:v>PASS</x:v>
      </x:c>
      <x:c r="J130" s="21" t="str">
        <x:v>all evidence heat crosses its own measured boundary</x:v>
      </x:c>
      <x:c r="K130" s="23" t="str">
        <x:v>redesign thermal boundary</x:v>
      </x:c>
    </x:row>
    <x:row r="131">
      <x:c r="B131" s="21" t="str">
        <x:v>TCN-T01-B-G05</x:v>
      </x:c>
      <x:c r="C131" s="21" t="str">
        <x:v>TCN-T01-B</x:v>
      </x:c>
      <x:c r="D131" s="21" t="str">
        <x:v>TCN-T01</x:v>
      </x:c>
      <x:c r="E131" s="21" t="str">
        <x:v>G05</x:v>
      </x:c>
      <x:c r="F131" s="21" t="str">
        <x:v>complete local original</x:v>
      </x:c>
      <x:c r="G131" s="21" t="n">
        <x:v>1</x:v>
      </x:c>
      <x:c r="H131" s="21" t="n">
        <x:v>1</x:v>
      </x:c>
      <x:c r="I131" s="21" t="str">
        <x:v>PASS</x:v>
      </x:c>
      <x:c r="J131" s="21" t="str">
        <x:v>complete original or declared bounded loss</x:v>
      </x:c>
      <x:c r="K131" s="23" t="str">
        <x:v>reject custody architecture</x:v>
      </x:c>
    </x:row>
    <x:row r="132">
      <x:c r="B132" s="21" t="str">
        <x:v>TCN-T01-B-G06</x:v>
      </x:c>
      <x:c r="C132" s="21" t="str">
        <x:v>TCN-T01-B</x:v>
      </x:c>
      <x:c r="D132" s="21" t="str">
        <x:v>TCN-T01</x:v>
      </x:c>
      <x:c r="E132" s="21" t="str">
        <x:v>G06</x:v>
      </x:c>
      <x:c r="F132" s="21" t="str">
        <x:v>denied event time</x:v>
      </x:c>
      <x:c r="G132" s="21" t="n">
        <x:v>1</x:v>
      </x:c>
      <x:c r="H132" s="21" t="n">
        <x:v>1</x:v>
      </x:c>
      <x:c r="I132" s="21" t="str">
        <x:v>PASS</x:v>
      </x:c>
      <x:c r="J132" s="21" t="str">
        <x:v>inside family U95 allocation</x:v>
      </x:c>
      <x:c r="K132" s="23" t="str">
        <x:v>redesign time roots</x:v>
      </x:c>
    </x:row>
    <x:row r="133">
      <x:c r="B133" s="21" t="str">
        <x:v>TCN-T01-B-G07</x:v>
      </x:c>
      <x:c r="C133" s="21" t="str">
        <x:v>TCN-T01-B</x:v>
      </x:c>
      <x:c r="D133" s="21" t="str">
        <x:v>TCN-T01</x:v>
      </x:c>
      <x:c r="E133" s="21" t="str">
        <x:v>G07</x:v>
      </x:c>
      <x:c r="F133" s="21" t="str">
        <x:v>physical non-actuation</x:v>
      </x:c>
      <x:c r="G133" s="21" t="n">
        <x:v>1</x:v>
      </x:c>
      <x:c r="H133" s="21" t="n">
        <x:v>1</x:v>
      </x:c>
      <x:c r="I133" s="21" t="str">
        <x:v>PASS</x:v>
      </x:c>
      <x:c r="J133" s="21" t="str">
        <x:v>teardown and injection show no useful path</x:v>
      </x:c>
      <x:c r="K133" s="23" t="str">
        <x:v>reject interface family</x:v>
      </x:c>
    </x:row>
    <x:row r="134">
      <x:c r="B134" s="21" t="str">
        <x:v>TCN-T01-B-G08</x:v>
      </x:c>
      <x:c r="C134" s="21" t="str">
        <x:v>TCN-T01-B</x:v>
      </x:c>
      <x:c r="D134" s="21" t="str">
        <x:v>TCN-T01</x:v>
      </x:c>
      <x:c r="E134" s="21" t="str">
        <x:v>G08</x:v>
      </x:c>
      <x:c r="F134" s="21" t="str">
        <x:v>hazard behavior</x:v>
      </x:c>
      <x:c r="G134" s="21" t="n">
        <x:v>1</x:v>
      </x:c>
      <x:c r="H134" s="21" t="n">
        <x:v>1</x:v>
      </x:c>
      <x:c r="I134" s="21" t="str">
        <x:v>PASS</x:v>
      </x:c>
      <x:c r="J134" s="21" t="str">
        <x:v>no silent state and safe disposition</x:v>
      </x:c>
      <x:c r="K134" s="23" t="str">
        <x:v>rework enclosure and disposition</x:v>
      </x:c>
    </x:row>
    <x:row r="135">
      <x:c r="B135" s="21" t="str">
        <x:v>TCN-T01-B-G09</x:v>
      </x:c>
      <x:c r="C135" s="21" t="str">
        <x:v>TCN-T01-B</x:v>
      </x:c>
      <x:c r="D135" s="21" t="str">
        <x:v>TCN-T01</x:v>
      </x:c>
      <x:c r="E135" s="21" t="str">
        <x:v>G09</x:v>
      </x:c>
      <x:c r="F135" s="21" t="str">
        <x:v>maintenance and quarantine</x:v>
      </x:c>
      <x:c r="G135" s="21" t="n">
        <x:v>1</x:v>
      </x:c>
      <x:c r="H135" s="21" t="n">
        <x:v>1</x:v>
      </x:c>
      <x:c r="I135" s="21" t="str">
        <x:v>PASS</x:v>
      </x:c>
      <x:c r="J135" s="21" t="str">
        <x:v>family access limit and lawful custody</x:v>
      </x:c>
      <x:c r="K135" s="23" t="str">
        <x:v>rework access package</x:v>
      </x:c>
    </x:row>
    <x:row r="136">
      <x:c r="B136" s="21" t="str">
        <x:v>TCN-T01-B-G10</x:v>
      </x:c>
      <x:c r="C136" s="21" t="str">
        <x:v>TCN-T01-B</x:v>
      </x:c>
      <x:c r="D136" s="21" t="str">
        <x:v>TCN-T01</x:v>
      </x:c>
      <x:c r="E136" s="21" t="str">
        <x:v>G10</x:v>
      </x:c>
      <x:c r="F136" s="21" t="str">
        <x:v>decisive ancestry</x:v>
      </x:c>
      <x:c r="G136" s="21" t="n">
        <x:v>1</x:v>
      </x:c>
      <x:c r="H136" s="21" t="n">
        <x:v>1</x:v>
      </x:c>
      <x:c r="I136" s="21" t="str">
        <x:v>PASS</x:v>
      </x:c>
      <x:c r="J136" s="21" t="str">
        <x:v>no undisclosed decisive root</x:v>
      </x:c>
      <x:c r="K136" s="23" t="str">
        <x:v>recompete decisive root</x:v>
      </x:c>
    </x:row>
    <x:row r="137">
      <x:c r="B137" s="21" t="str">
        <x:v>TCN-T01-B-G11</x:v>
      </x:c>
      <x:c r="C137" s="21" t="str">
        <x:v>TCN-T01-B</x:v>
      </x:c>
      <x:c r="D137" s="21" t="str">
        <x:v>TCN-T01</x:v>
      </x:c>
      <x:c r="E137" s="21" t="str">
        <x:v>G11</x:v>
      </x:c>
      <x:c r="F137" s="21" t="str">
        <x:v>technical rights and reproduction</x:v>
      </x:c>
      <x:c r="G137" s="21" t="n">
        <x:v>1</x:v>
      </x:c>
      <x:c r="H137" s="21" t="n">
        <x:v>1</x:v>
      </x:c>
      <x:c r="I137" s="21" t="str">
        <x:v>PASS</x:v>
      </x:c>
      <x:c r="J137" s="21" t="str">
        <x:v>government can reproduce the decision</x:v>
      </x:c>
      <x:c r="K137" s="23" t="str">
        <x:v>withhold reproduction authority</x:v>
      </x:c>
    </x:row>
    <x:row r="138">
      <x:c r="B138" s="21" t="str">
        <x:v>TCN-T01-B-G12</x:v>
      </x:c>
      <x:c r="C138" s="21" t="str">
        <x:v>TCN-T01-B</x:v>
      </x:c>
      <x:c r="D138" s="21" t="str">
        <x:v>TCN-T01</x:v>
      </x:c>
      <x:c r="E138" s="21" t="str">
        <x:v>G12</x:v>
      </x:c>
      <x:c r="F138" s="21" t="str">
        <x:v>facility schedule and cost</x:v>
      </x:c>
      <x:c r="G138" s="21" t="n">
        <x:v>1</x:v>
      </x:c>
      <x:c r="H138" s="21" t="n">
        <x:v>1</x:v>
      </x:c>
      <x:c r="I138" s="21" t="str">
        <x:v>PASS</x:v>
      </x:c>
      <x:c r="J138" s="21" t="str">
        <x:v>all articles available before registered need</x:v>
      </x:c>
      <x:c r="K138" s="23" t="str">
        <x:v>shift award or add capacity</x:v>
      </x:c>
    </x:row>
    <x:row r="139">
      <x:c r="B139" s="21" t="str">
        <x:v>TCN-T01-C-G01</x:v>
      </x:c>
      <x:c r="C139" s="21" t="str">
        <x:v>TCN-T01-C</x:v>
      </x:c>
      <x:c r="D139" s="21" t="str">
        <x:v>TCN-T01</x:v>
      </x:c>
      <x:c r="E139" s="21" t="str">
        <x:v>G01</x:v>
      </x:c>
      <x:c r="F139" s="21" t="str">
        <x:v>public effect boundary</x:v>
      </x:c>
      <x:c r="G139" s="21" t="n">
        <x:v>1</x:v>
      </x:c>
      <x:c r="H139" s="21" t="n">
        <x:v>1</x:v>
      </x:c>
      <x:c r="I139" s="21" t="str">
        <x:v>PASS</x:v>
      </x:c>
      <x:c r="J139" s="21" t="str">
        <x:v>complete local decision and invalid-state grammar</x:v>
      </x:c>
      <x:c r="K139" s="23" t="str">
        <x:v>reject mission substitution</x:v>
      </x:c>
    </x:row>
    <x:row r="140">
      <x:c r="B140" s="21" t="str">
        <x:v>TCN-T01-C-G02</x:v>
      </x:c>
      <x:c r="C140" s="21" t="str">
        <x:v>TCN-T01-C</x:v>
      </x:c>
      <x:c r="D140" s="21" t="str">
        <x:v>TCN-T01</x:v>
      </x:c>
      <x:c r="E140" s="21" t="str">
        <x:v>G02</x:v>
      </x:c>
      <x:c r="F140" s="21" t="str">
        <x:v>mass volume and reserve</x:v>
      </x:c>
      <x:c r="G140" s="21" t="n">
        <x:v>1</x:v>
      </x:c>
      <x:c r="H140" s="21" t="n">
        <x:v>1</x:v>
      </x:c>
      <x:c r="I140" s="21" t="str">
        <x:v>PASS</x:v>
      </x:c>
      <x:c r="J140" s="21" t="str">
        <x:v>inside frozen family envelope with both reserves explicit</x:v>
      </x:c>
      <x:c r="K140" s="23" t="str">
        <x:v>reopen burden allocation</x:v>
      </x:c>
    </x:row>
    <x:row r="141">
      <x:c r="B141" s="21" t="str">
        <x:v>TCN-T01-C-G03</x:v>
      </x:c>
      <x:c r="C141" s="21" t="str">
        <x:v>TCN-T01-C</x:v>
      </x:c>
      <x:c r="D141" s="21" t="str">
        <x:v>TCN-T01</x:v>
      </x:c>
      <x:c r="E141" s="21" t="str">
        <x:v>G03</x:v>
      </x:c>
      <x:c r="F141" s="21" t="str">
        <x:v>independent endurance</x:v>
      </x:c>
      <x:c r="G141" s="21" t="n">
        <x:v>1</x:v>
      </x:c>
      <x:c r="H141" s="21" t="n">
        <x:v>1</x:v>
      </x:c>
      <x:c r="I141" s="21" t="str">
        <x:v>PASS</x:v>
      </x:c>
      <x:c r="J141" s="21" t="str">
        <x:v>full interval and registered peak sequence</x:v>
      </x:c>
      <x:c r="K141" s="23" t="str">
        <x:v>redesign autonomous energy</x:v>
      </x:c>
    </x:row>
    <x:row r="142">
      <x:c r="B142" s="21" t="str">
        <x:v>TCN-T01-C-G04</x:v>
      </x:c>
      <x:c r="C142" s="21" t="str">
        <x:v>TCN-T01-C</x:v>
      </x:c>
      <x:c r="D142" s="21" t="str">
        <x:v>TCN-T01</x:v>
      </x:c>
      <x:c r="E142" s="21" t="str">
        <x:v>G04</x:v>
      </x:c>
      <x:c r="F142" s="21" t="str">
        <x:v>outward thermal rejection</x:v>
      </x:c>
      <x:c r="G142" s="21" t="n">
        <x:v>1</x:v>
      </x:c>
      <x:c r="H142" s="21" t="n">
        <x:v>1</x:v>
      </x:c>
      <x:c r="I142" s="21" t="str">
        <x:v>PASS</x:v>
      </x:c>
      <x:c r="J142" s="21" t="str">
        <x:v>all evidence heat crosses its own measured boundary</x:v>
      </x:c>
      <x:c r="K142" s="23" t="str">
        <x:v>redesign thermal boundary</x:v>
      </x:c>
    </x:row>
    <x:row r="143">
      <x:c r="B143" s="21" t="str">
        <x:v>TCN-T01-C-G05</x:v>
      </x:c>
      <x:c r="C143" s="21" t="str">
        <x:v>TCN-T01-C</x:v>
      </x:c>
      <x:c r="D143" s="21" t="str">
        <x:v>TCN-T01</x:v>
      </x:c>
      <x:c r="E143" s="21" t="str">
        <x:v>G05</x:v>
      </x:c>
      <x:c r="F143" s="21" t="str">
        <x:v>complete local original</x:v>
      </x:c>
      <x:c r="G143" s="21" t="n">
        <x:v>0</x:v>
      </x:c>
      <x:c r="H143" s="21" t="n">
        <x:v>1</x:v>
      </x:c>
      <x:c r="I143" s="21" t="str">
        <x:v>FAIL</x:v>
      </x:c>
      <x:c r="J143" s="21" t="str">
        <x:v>complete original or declared bounded loss</x:v>
      </x:c>
      <x:c r="K143" s="23" t="str">
        <x:v>reject custody architecture</x:v>
      </x:c>
    </x:row>
    <x:row r="144">
      <x:c r="B144" s="21" t="str">
        <x:v>TCN-T01-C-G06</x:v>
      </x:c>
      <x:c r="C144" s="21" t="str">
        <x:v>TCN-T01-C</x:v>
      </x:c>
      <x:c r="D144" s="21" t="str">
        <x:v>TCN-T01</x:v>
      </x:c>
      <x:c r="E144" s="21" t="str">
        <x:v>G06</x:v>
      </x:c>
      <x:c r="F144" s="21" t="str">
        <x:v>denied event time</x:v>
      </x:c>
      <x:c r="G144" s="21" t="n">
        <x:v>1</x:v>
      </x:c>
      <x:c r="H144" s="21" t="n">
        <x:v>1</x:v>
      </x:c>
      <x:c r="I144" s="21" t="str">
        <x:v>PASS</x:v>
      </x:c>
      <x:c r="J144" s="21" t="str">
        <x:v>inside family U95 allocation</x:v>
      </x:c>
      <x:c r="K144" s="23" t="str">
        <x:v>redesign time roots</x:v>
      </x:c>
    </x:row>
    <x:row r="145">
      <x:c r="B145" s="21" t="str">
        <x:v>TCN-T01-C-G07</x:v>
      </x:c>
      <x:c r="C145" s="21" t="str">
        <x:v>TCN-T01-C</x:v>
      </x:c>
      <x:c r="D145" s="21" t="str">
        <x:v>TCN-T01</x:v>
      </x:c>
      <x:c r="E145" s="21" t="str">
        <x:v>G07</x:v>
      </x:c>
      <x:c r="F145" s="21" t="str">
        <x:v>physical non-actuation</x:v>
      </x:c>
      <x:c r="G145" s="21" t="n">
        <x:v>1</x:v>
      </x:c>
      <x:c r="H145" s="21" t="n">
        <x:v>1</x:v>
      </x:c>
      <x:c r="I145" s="21" t="str">
        <x:v>PASS</x:v>
      </x:c>
      <x:c r="J145" s="21" t="str">
        <x:v>teardown and injection show no useful path</x:v>
      </x:c>
      <x:c r="K145" s="23" t="str">
        <x:v>reject interface family</x:v>
      </x:c>
    </x:row>
    <x:row r="146">
      <x:c r="B146" s="21" t="str">
        <x:v>TCN-T01-C-G08</x:v>
      </x:c>
      <x:c r="C146" s="21" t="str">
        <x:v>TCN-T01-C</x:v>
      </x:c>
      <x:c r="D146" s="21" t="str">
        <x:v>TCN-T01</x:v>
      </x:c>
      <x:c r="E146" s="21" t="str">
        <x:v>G08</x:v>
      </x:c>
      <x:c r="F146" s="21" t="str">
        <x:v>hazard behavior</x:v>
      </x:c>
      <x:c r="G146" s="21" t="n">
        <x:v>1</x:v>
      </x:c>
      <x:c r="H146" s="21" t="n">
        <x:v>1</x:v>
      </x:c>
      <x:c r="I146" s="21" t="str">
        <x:v>PASS</x:v>
      </x:c>
      <x:c r="J146" s="21" t="str">
        <x:v>no silent state and safe disposition</x:v>
      </x:c>
      <x:c r="K146" s="23" t="str">
        <x:v>rework enclosure and disposition</x:v>
      </x:c>
    </x:row>
    <x:row r="147">
      <x:c r="B147" s="21" t="str">
        <x:v>TCN-T01-C-G09</x:v>
      </x:c>
      <x:c r="C147" s="21" t="str">
        <x:v>TCN-T01-C</x:v>
      </x:c>
      <x:c r="D147" s="21" t="str">
        <x:v>TCN-T01</x:v>
      </x:c>
      <x:c r="E147" s="21" t="str">
        <x:v>G09</x:v>
      </x:c>
      <x:c r="F147" s="21" t="str">
        <x:v>maintenance and quarantine</x:v>
      </x:c>
      <x:c r="G147" s="21" t="n">
        <x:v>1</x:v>
      </x:c>
      <x:c r="H147" s="21" t="n">
        <x:v>1</x:v>
      </x:c>
      <x:c r="I147" s="21" t="str">
        <x:v>PASS</x:v>
      </x:c>
      <x:c r="J147" s="21" t="str">
        <x:v>family access limit and lawful custody</x:v>
      </x:c>
      <x:c r="K147" s="23" t="str">
        <x:v>rework access package</x:v>
      </x:c>
    </x:row>
    <x:row r="148">
      <x:c r="B148" s="21" t="str">
        <x:v>TCN-T01-C-G10</x:v>
      </x:c>
      <x:c r="C148" s="21" t="str">
        <x:v>TCN-T01-C</x:v>
      </x:c>
      <x:c r="D148" s="21" t="str">
        <x:v>TCN-T01</x:v>
      </x:c>
      <x:c r="E148" s="21" t="str">
        <x:v>G10</x:v>
      </x:c>
      <x:c r="F148" s="21" t="str">
        <x:v>decisive ancestry</x:v>
      </x:c>
      <x:c r="G148" s="21" t="n">
        <x:v>1</x:v>
      </x:c>
      <x:c r="H148" s="21" t="n">
        <x:v>1</x:v>
      </x:c>
      <x:c r="I148" s="21" t="str">
        <x:v>PASS</x:v>
      </x:c>
      <x:c r="J148" s="21" t="str">
        <x:v>no undisclosed decisive root</x:v>
      </x:c>
      <x:c r="K148" s="23" t="str">
        <x:v>recompete decisive root</x:v>
      </x:c>
    </x:row>
    <x:row r="149">
      <x:c r="B149" s="21" t="str">
        <x:v>TCN-T01-C-G11</x:v>
      </x:c>
      <x:c r="C149" s="21" t="str">
        <x:v>TCN-T01-C</x:v>
      </x:c>
      <x:c r="D149" s="21" t="str">
        <x:v>TCN-T01</x:v>
      </x:c>
      <x:c r="E149" s="21" t="str">
        <x:v>G11</x:v>
      </x:c>
      <x:c r="F149" s="21" t="str">
        <x:v>technical rights and reproduction</x:v>
      </x:c>
      <x:c r="G149" s="21" t="n">
        <x:v>1</x:v>
      </x:c>
      <x:c r="H149" s="21" t="n">
        <x:v>1</x:v>
      </x:c>
      <x:c r="I149" s="21" t="str">
        <x:v>PASS</x:v>
      </x:c>
      <x:c r="J149" s="21" t="str">
        <x:v>government can reproduce the decision</x:v>
      </x:c>
      <x:c r="K149" s="23" t="str">
        <x:v>withhold reproduction authority</x:v>
      </x:c>
    </x:row>
    <x:row r="150">
      <x:c r="B150" s="21" t="str">
        <x:v>TCN-T01-C-G12</x:v>
      </x:c>
      <x:c r="C150" s="21" t="str">
        <x:v>TCN-T01-C</x:v>
      </x:c>
      <x:c r="D150" s="21" t="str">
        <x:v>TCN-T01</x:v>
      </x:c>
      <x:c r="E150" s="21" t="str">
        <x:v>G12</x:v>
      </x:c>
      <x:c r="F150" s="21" t="str">
        <x:v>facility schedule and cost</x:v>
      </x:c>
      <x:c r="G150" s="21" t="n">
        <x:v>1</x:v>
      </x:c>
      <x:c r="H150" s="21" t="n">
        <x:v>1</x:v>
      </x:c>
      <x:c r="I150" s="21" t="str">
        <x:v>PASS</x:v>
      </x:c>
      <x:c r="J150" s="21" t="str">
        <x:v>all articles available before registered need</x:v>
      </x:c>
      <x:c r="K150" s="23" t="str">
        <x:v>shift award or add capacity</x:v>
      </x:c>
    </x:row>
    <x:row r="151">
      <x:c r="B151" s="21" t="str">
        <x:v>CRS-R01-A-G01</x:v>
      </x:c>
      <x:c r="C151" s="21" t="str">
        <x:v>CRS-R01-A</x:v>
      </x:c>
      <x:c r="D151" s="21" t="str">
        <x:v>CRS-R01</x:v>
      </x:c>
      <x:c r="E151" s="21" t="str">
        <x:v>G01</x:v>
      </x:c>
      <x:c r="F151" s="21" t="str">
        <x:v>public effect boundary</x:v>
      </x:c>
      <x:c r="G151" s="21" t="n">
        <x:v>1</x:v>
      </x:c>
      <x:c r="H151" s="21" t="n">
        <x:v>1</x:v>
      </x:c>
      <x:c r="I151" s="21" t="str">
        <x:v>PASS</x:v>
      </x:c>
      <x:c r="J151" s="21" t="str">
        <x:v>complete local decision and invalid-state grammar</x:v>
      </x:c>
      <x:c r="K151" s="23" t="str">
        <x:v>reject mission substitution</x:v>
      </x:c>
    </x:row>
    <x:row r="152">
      <x:c r="B152" s="21" t="str">
        <x:v>CRS-R01-A-G02</x:v>
      </x:c>
      <x:c r="C152" s="21" t="str">
        <x:v>CRS-R01-A</x:v>
      </x:c>
      <x:c r="D152" s="21" t="str">
        <x:v>CRS-R01</x:v>
      </x:c>
      <x:c r="E152" s="21" t="str">
        <x:v>G02</x:v>
      </x:c>
      <x:c r="F152" s="21" t="str">
        <x:v>mass volume and reserve</x:v>
      </x:c>
      <x:c r="G152" s="21" t="n">
        <x:v>1</x:v>
      </x:c>
      <x:c r="H152" s="21" t="n">
        <x:v>1</x:v>
      </x:c>
      <x:c r="I152" s="21" t="str">
        <x:v>PASS</x:v>
      </x:c>
      <x:c r="J152" s="21" t="str">
        <x:v>inside frozen family envelope with both reserves explicit</x:v>
      </x:c>
      <x:c r="K152" s="23" t="str">
        <x:v>reopen burden allocation</x:v>
      </x:c>
    </x:row>
    <x:row r="153">
      <x:c r="B153" s="21" t="str">
        <x:v>CRS-R01-A-G03</x:v>
      </x:c>
      <x:c r="C153" s="21" t="str">
        <x:v>CRS-R01-A</x:v>
      </x:c>
      <x:c r="D153" s="21" t="str">
        <x:v>CRS-R01</x:v>
      </x:c>
      <x:c r="E153" s="21" t="str">
        <x:v>G03</x:v>
      </x:c>
      <x:c r="F153" s="21" t="str">
        <x:v>independent endurance</x:v>
      </x:c>
      <x:c r="G153" s="21" t="n">
        <x:v>1</x:v>
      </x:c>
      <x:c r="H153" s="21" t="n">
        <x:v>1</x:v>
      </x:c>
      <x:c r="I153" s="21" t="str">
        <x:v>PASS</x:v>
      </x:c>
      <x:c r="J153" s="21" t="str">
        <x:v>full interval and registered peak sequence</x:v>
      </x:c>
      <x:c r="K153" s="23" t="str">
        <x:v>redesign autonomous energy</x:v>
      </x:c>
    </x:row>
    <x:row r="154">
      <x:c r="B154" s="21" t="str">
        <x:v>CRS-R01-A-G04</x:v>
      </x:c>
      <x:c r="C154" s="21" t="str">
        <x:v>CRS-R01-A</x:v>
      </x:c>
      <x:c r="D154" s="21" t="str">
        <x:v>CRS-R01</x:v>
      </x:c>
      <x:c r="E154" s="21" t="str">
        <x:v>G04</x:v>
      </x:c>
      <x:c r="F154" s="21" t="str">
        <x:v>outward thermal rejection</x:v>
      </x:c>
      <x:c r="G154" s="21" t="n">
        <x:v>1</x:v>
      </x:c>
      <x:c r="H154" s="21" t="n">
        <x:v>1</x:v>
      </x:c>
      <x:c r="I154" s="21" t="str">
        <x:v>PASS</x:v>
      </x:c>
      <x:c r="J154" s="21" t="str">
        <x:v>all evidence heat crosses its own measured boundary</x:v>
      </x:c>
      <x:c r="K154" s="23" t="str">
        <x:v>redesign thermal boundary</x:v>
      </x:c>
    </x:row>
    <x:row r="155">
      <x:c r="B155" s="21" t="str">
        <x:v>CRS-R01-A-G05</x:v>
      </x:c>
      <x:c r="C155" s="21" t="str">
        <x:v>CRS-R01-A</x:v>
      </x:c>
      <x:c r="D155" s="21" t="str">
        <x:v>CRS-R01</x:v>
      </x:c>
      <x:c r="E155" s="21" t="str">
        <x:v>G05</x:v>
      </x:c>
      <x:c r="F155" s="21" t="str">
        <x:v>complete local original</x:v>
      </x:c>
      <x:c r="G155" s="21" t="n">
        <x:v>1</x:v>
      </x:c>
      <x:c r="H155" s="21" t="n">
        <x:v>1</x:v>
      </x:c>
      <x:c r="I155" s="21" t="str">
        <x:v>PASS</x:v>
      </x:c>
      <x:c r="J155" s="21" t="str">
        <x:v>complete original or declared bounded loss</x:v>
      </x:c>
      <x:c r="K155" s="23" t="str">
        <x:v>reject custody architecture</x:v>
      </x:c>
    </x:row>
    <x:row r="156">
      <x:c r="B156" s="21" t="str">
        <x:v>CRS-R01-A-G06</x:v>
      </x:c>
      <x:c r="C156" s="21" t="str">
        <x:v>CRS-R01-A</x:v>
      </x:c>
      <x:c r="D156" s="21" t="str">
        <x:v>CRS-R01</x:v>
      </x:c>
      <x:c r="E156" s="21" t="str">
        <x:v>G06</x:v>
      </x:c>
      <x:c r="F156" s="21" t="str">
        <x:v>denied event time</x:v>
      </x:c>
      <x:c r="G156" s="21" t="n">
        <x:v>1</x:v>
      </x:c>
      <x:c r="H156" s="21" t="n">
        <x:v>1</x:v>
      </x:c>
      <x:c r="I156" s="21" t="str">
        <x:v>PASS</x:v>
      </x:c>
      <x:c r="J156" s="21" t="str">
        <x:v>inside family U95 allocation</x:v>
      </x:c>
      <x:c r="K156" s="23" t="str">
        <x:v>redesign time roots</x:v>
      </x:c>
    </x:row>
    <x:row r="157">
      <x:c r="B157" s="21" t="str">
        <x:v>CRS-R01-A-G07</x:v>
      </x:c>
      <x:c r="C157" s="21" t="str">
        <x:v>CRS-R01-A</x:v>
      </x:c>
      <x:c r="D157" s="21" t="str">
        <x:v>CRS-R01</x:v>
      </x:c>
      <x:c r="E157" s="21" t="str">
        <x:v>G07</x:v>
      </x:c>
      <x:c r="F157" s="21" t="str">
        <x:v>physical non-actuation</x:v>
      </x:c>
      <x:c r="G157" s="21" t="n">
        <x:v>1</x:v>
      </x:c>
      <x:c r="H157" s="21" t="n">
        <x:v>1</x:v>
      </x:c>
      <x:c r="I157" s="21" t="str">
        <x:v>PASS</x:v>
      </x:c>
      <x:c r="J157" s="21" t="str">
        <x:v>teardown and injection show no useful path</x:v>
      </x:c>
      <x:c r="K157" s="23" t="str">
        <x:v>reject interface family</x:v>
      </x:c>
    </x:row>
    <x:row r="158">
      <x:c r="B158" s="21" t="str">
        <x:v>CRS-R01-A-G08</x:v>
      </x:c>
      <x:c r="C158" s="21" t="str">
        <x:v>CRS-R01-A</x:v>
      </x:c>
      <x:c r="D158" s="21" t="str">
        <x:v>CRS-R01</x:v>
      </x:c>
      <x:c r="E158" s="21" t="str">
        <x:v>G08</x:v>
      </x:c>
      <x:c r="F158" s="21" t="str">
        <x:v>hazard behavior</x:v>
      </x:c>
      <x:c r="G158" s="21" t="n">
        <x:v>1</x:v>
      </x:c>
      <x:c r="H158" s="21" t="n">
        <x:v>1</x:v>
      </x:c>
      <x:c r="I158" s="21" t="str">
        <x:v>PASS</x:v>
      </x:c>
      <x:c r="J158" s="21" t="str">
        <x:v>no silent state and safe disposition</x:v>
      </x:c>
      <x:c r="K158" s="23" t="str">
        <x:v>rework enclosure and disposition</x:v>
      </x:c>
    </x:row>
    <x:row r="159">
      <x:c r="B159" s="21" t="str">
        <x:v>CRS-R01-A-G09</x:v>
      </x:c>
      <x:c r="C159" s="21" t="str">
        <x:v>CRS-R01-A</x:v>
      </x:c>
      <x:c r="D159" s="21" t="str">
        <x:v>CRS-R01</x:v>
      </x:c>
      <x:c r="E159" s="21" t="str">
        <x:v>G09</x:v>
      </x:c>
      <x:c r="F159" s="21" t="str">
        <x:v>maintenance and quarantine</x:v>
      </x:c>
      <x:c r="G159" s="21" t="n">
        <x:v>1</x:v>
      </x:c>
      <x:c r="H159" s="21" t="n">
        <x:v>1</x:v>
      </x:c>
      <x:c r="I159" s="21" t="str">
        <x:v>PASS</x:v>
      </x:c>
      <x:c r="J159" s="21" t="str">
        <x:v>family access limit and lawful custody</x:v>
      </x:c>
      <x:c r="K159" s="23" t="str">
        <x:v>rework access package</x:v>
      </x:c>
    </x:row>
    <x:row r="160">
      <x:c r="B160" s="21" t="str">
        <x:v>CRS-R01-A-G10</x:v>
      </x:c>
      <x:c r="C160" s="21" t="str">
        <x:v>CRS-R01-A</x:v>
      </x:c>
      <x:c r="D160" s="21" t="str">
        <x:v>CRS-R01</x:v>
      </x:c>
      <x:c r="E160" s="21" t="str">
        <x:v>G10</x:v>
      </x:c>
      <x:c r="F160" s="21" t="str">
        <x:v>decisive ancestry</x:v>
      </x:c>
      <x:c r="G160" s="21" t="n">
        <x:v>1</x:v>
      </x:c>
      <x:c r="H160" s="21" t="n">
        <x:v>1</x:v>
      </x:c>
      <x:c r="I160" s="21" t="str">
        <x:v>PASS</x:v>
      </x:c>
      <x:c r="J160" s="21" t="str">
        <x:v>no undisclosed decisive root</x:v>
      </x:c>
      <x:c r="K160" s="23" t="str">
        <x:v>recompete decisive root</x:v>
      </x:c>
    </x:row>
    <x:row r="161">
      <x:c r="B161" s="21" t="str">
        <x:v>CRS-R01-A-G11</x:v>
      </x:c>
      <x:c r="C161" s="21" t="str">
        <x:v>CRS-R01-A</x:v>
      </x:c>
      <x:c r="D161" s="21" t="str">
        <x:v>CRS-R01</x:v>
      </x:c>
      <x:c r="E161" s="21" t="str">
        <x:v>G11</x:v>
      </x:c>
      <x:c r="F161" s="21" t="str">
        <x:v>technical rights and reproduction</x:v>
      </x:c>
      <x:c r="G161" s="21" t="n">
        <x:v>1</x:v>
      </x:c>
      <x:c r="H161" s="21" t="n">
        <x:v>1</x:v>
      </x:c>
      <x:c r="I161" s="21" t="str">
        <x:v>PASS</x:v>
      </x:c>
      <x:c r="J161" s="21" t="str">
        <x:v>government can reproduce the decision</x:v>
      </x:c>
      <x:c r="K161" s="23" t="str">
        <x:v>withhold reproduction authority</x:v>
      </x:c>
    </x:row>
    <x:row r="162">
      <x:c r="B162" s="21" t="str">
        <x:v>CRS-R01-A-G12</x:v>
      </x:c>
      <x:c r="C162" s="21" t="str">
        <x:v>CRS-R01-A</x:v>
      </x:c>
      <x:c r="D162" s="21" t="str">
        <x:v>CRS-R01</x:v>
      </x:c>
      <x:c r="E162" s="21" t="str">
        <x:v>G12</x:v>
      </x:c>
      <x:c r="F162" s="21" t="str">
        <x:v>facility schedule and cost</x:v>
      </x:c>
      <x:c r="G162" s="21" t="n">
        <x:v>1</x:v>
      </x:c>
      <x:c r="H162" s="21" t="n">
        <x:v>1</x:v>
      </x:c>
      <x:c r="I162" s="21" t="str">
        <x:v>PASS</x:v>
      </x:c>
      <x:c r="J162" s="21" t="str">
        <x:v>all articles available before registered need</x:v>
      </x:c>
      <x:c r="K162" s="23" t="str">
        <x:v>shift award or add capacity</x:v>
      </x:c>
    </x:row>
    <x:row r="163">
      <x:c r="B163" s="21" t="str">
        <x:v>CRS-R01-B-G01</x:v>
      </x:c>
      <x:c r="C163" s="21" t="str">
        <x:v>CRS-R01-B</x:v>
      </x:c>
      <x:c r="D163" s="21" t="str">
        <x:v>CRS-R01</x:v>
      </x:c>
      <x:c r="E163" s="21" t="str">
        <x:v>G01</x:v>
      </x:c>
      <x:c r="F163" s="21" t="str">
        <x:v>public effect boundary</x:v>
      </x:c>
      <x:c r="G163" s="21" t="n">
        <x:v>1</x:v>
      </x:c>
      <x:c r="H163" s="21" t="n">
        <x:v>1</x:v>
      </x:c>
      <x:c r="I163" s="21" t="str">
        <x:v>PASS</x:v>
      </x:c>
      <x:c r="J163" s="21" t="str">
        <x:v>complete local decision and invalid-state grammar</x:v>
      </x:c>
      <x:c r="K163" s="23" t="str">
        <x:v>reject mission substitution</x:v>
      </x:c>
    </x:row>
    <x:row r="164">
      <x:c r="B164" s="21" t="str">
        <x:v>CRS-R01-B-G02</x:v>
      </x:c>
      <x:c r="C164" s="21" t="str">
        <x:v>CRS-R01-B</x:v>
      </x:c>
      <x:c r="D164" s="21" t="str">
        <x:v>CRS-R01</x:v>
      </x:c>
      <x:c r="E164" s="21" t="str">
        <x:v>G02</x:v>
      </x:c>
      <x:c r="F164" s="21" t="str">
        <x:v>mass volume and reserve</x:v>
      </x:c>
      <x:c r="G164" s="21" t="n">
        <x:v>1</x:v>
      </x:c>
      <x:c r="H164" s="21" t="n">
        <x:v>1</x:v>
      </x:c>
      <x:c r="I164" s="21" t="str">
        <x:v>PASS</x:v>
      </x:c>
      <x:c r="J164" s="21" t="str">
        <x:v>inside frozen family envelope with both reserves explicit</x:v>
      </x:c>
      <x:c r="K164" s="23" t="str">
        <x:v>reopen burden allocation</x:v>
      </x:c>
    </x:row>
    <x:row r="165">
      <x:c r="B165" s="21" t="str">
        <x:v>CRS-R01-B-G03</x:v>
      </x:c>
      <x:c r="C165" s="21" t="str">
        <x:v>CRS-R01-B</x:v>
      </x:c>
      <x:c r="D165" s="21" t="str">
        <x:v>CRS-R01</x:v>
      </x:c>
      <x:c r="E165" s="21" t="str">
        <x:v>G03</x:v>
      </x:c>
      <x:c r="F165" s="21" t="str">
        <x:v>independent endurance</x:v>
      </x:c>
      <x:c r="G165" s="21" t="n">
        <x:v>1</x:v>
      </x:c>
      <x:c r="H165" s="21" t="n">
        <x:v>1</x:v>
      </x:c>
      <x:c r="I165" s="21" t="str">
        <x:v>PASS</x:v>
      </x:c>
      <x:c r="J165" s="21" t="str">
        <x:v>full interval and registered peak sequence</x:v>
      </x:c>
      <x:c r="K165" s="23" t="str">
        <x:v>redesign autonomous energy</x:v>
      </x:c>
    </x:row>
    <x:row r="166">
      <x:c r="B166" s="21" t="str">
        <x:v>CRS-R01-B-G04</x:v>
      </x:c>
      <x:c r="C166" s="21" t="str">
        <x:v>CRS-R01-B</x:v>
      </x:c>
      <x:c r="D166" s="21" t="str">
        <x:v>CRS-R01</x:v>
      </x:c>
      <x:c r="E166" s="21" t="str">
        <x:v>G04</x:v>
      </x:c>
      <x:c r="F166" s="21" t="str">
        <x:v>outward thermal rejection</x:v>
      </x:c>
      <x:c r="G166" s="21" t="n">
        <x:v>1</x:v>
      </x:c>
      <x:c r="H166" s="21" t="n">
        <x:v>1</x:v>
      </x:c>
      <x:c r="I166" s="21" t="str">
        <x:v>PASS</x:v>
      </x:c>
      <x:c r="J166" s="21" t="str">
        <x:v>all evidence heat crosses its own measured boundary</x:v>
      </x:c>
      <x:c r="K166" s="23" t="str">
        <x:v>redesign thermal boundary</x:v>
      </x:c>
    </x:row>
    <x:row r="167">
      <x:c r="B167" s="21" t="str">
        <x:v>CRS-R01-B-G05</x:v>
      </x:c>
      <x:c r="C167" s="21" t="str">
        <x:v>CRS-R01-B</x:v>
      </x:c>
      <x:c r="D167" s="21" t="str">
        <x:v>CRS-R01</x:v>
      </x:c>
      <x:c r="E167" s="21" t="str">
        <x:v>G05</x:v>
      </x:c>
      <x:c r="F167" s="21" t="str">
        <x:v>complete local original</x:v>
      </x:c>
      <x:c r="G167" s="21" t="n">
        <x:v>1</x:v>
      </x:c>
      <x:c r="H167" s="21" t="n">
        <x:v>1</x:v>
      </x:c>
      <x:c r="I167" s="21" t="str">
        <x:v>PASS</x:v>
      </x:c>
      <x:c r="J167" s="21" t="str">
        <x:v>complete original or declared bounded loss</x:v>
      </x:c>
      <x:c r="K167" s="23" t="str">
        <x:v>reject custody architecture</x:v>
      </x:c>
    </x:row>
    <x:row r="168">
      <x:c r="B168" s="21" t="str">
        <x:v>CRS-R01-B-G06</x:v>
      </x:c>
      <x:c r="C168" s="21" t="str">
        <x:v>CRS-R01-B</x:v>
      </x:c>
      <x:c r="D168" s="21" t="str">
        <x:v>CRS-R01</x:v>
      </x:c>
      <x:c r="E168" s="21" t="str">
        <x:v>G06</x:v>
      </x:c>
      <x:c r="F168" s="21" t="str">
        <x:v>denied event time</x:v>
      </x:c>
      <x:c r="G168" s="21" t="n">
        <x:v>1</x:v>
      </x:c>
      <x:c r="H168" s="21" t="n">
        <x:v>1</x:v>
      </x:c>
      <x:c r="I168" s="21" t="str">
        <x:v>PASS</x:v>
      </x:c>
      <x:c r="J168" s="21" t="str">
        <x:v>inside family U95 allocation</x:v>
      </x:c>
      <x:c r="K168" s="23" t="str">
        <x:v>redesign time roots</x:v>
      </x:c>
    </x:row>
    <x:row r="169">
      <x:c r="B169" s="21" t="str">
        <x:v>CRS-R01-B-G07</x:v>
      </x:c>
      <x:c r="C169" s="21" t="str">
        <x:v>CRS-R01-B</x:v>
      </x:c>
      <x:c r="D169" s="21" t="str">
        <x:v>CRS-R01</x:v>
      </x:c>
      <x:c r="E169" s="21" t="str">
        <x:v>G07</x:v>
      </x:c>
      <x:c r="F169" s="21" t="str">
        <x:v>physical non-actuation</x:v>
      </x:c>
      <x:c r="G169" s="21" t="n">
        <x:v>1</x:v>
      </x:c>
      <x:c r="H169" s="21" t="n">
        <x:v>1</x:v>
      </x:c>
      <x:c r="I169" s="21" t="str">
        <x:v>PASS</x:v>
      </x:c>
      <x:c r="J169" s="21" t="str">
        <x:v>teardown and injection show no useful path</x:v>
      </x:c>
      <x:c r="K169" s="23" t="str">
        <x:v>reject interface family</x:v>
      </x:c>
    </x:row>
    <x:row r="170">
      <x:c r="B170" s="21" t="str">
        <x:v>CRS-R01-B-G08</x:v>
      </x:c>
      <x:c r="C170" s="21" t="str">
        <x:v>CRS-R01-B</x:v>
      </x:c>
      <x:c r="D170" s="21" t="str">
        <x:v>CRS-R01</x:v>
      </x:c>
      <x:c r="E170" s="21" t="str">
        <x:v>G08</x:v>
      </x:c>
      <x:c r="F170" s="21" t="str">
        <x:v>hazard behavior</x:v>
      </x:c>
      <x:c r="G170" s="21" t="n">
        <x:v>1</x:v>
      </x:c>
      <x:c r="H170" s="21" t="n">
        <x:v>1</x:v>
      </x:c>
      <x:c r="I170" s="21" t="str">
        <x:v>PASS</x:v>
      </x:c>
      <x:c r="J170" s="21" t="str">
        <x:v>no silent state and safe disposition</x:v>
      </x:c>
      <x:c r="K170" s="23" t="str">
        <x:v>rework enclosure and disposition</x:v>
      </x:c>
    </x:row>
    <x:row r="171">
      <x:c r="B171" s="21" t="str">
        <x:v>CRS-R01-B-G09</x:v>
      </x:c>
      <x:c r="C171" s="21" t="str">
        <x:v>CRS-R01-B</x:v>
      </x:c>
      <x:c r="D171" s="21" t="str">
        <x:v>CRS-R01</x:v>
      </x:c>
      <x:c r="E171" s="21" t="str">
        <x:v>G09</x:v>
      </x:c>
      <x:c r="F171" s="21" t="str">
        <x:v>maintenance and quarantine</x:v>
      </x:c>
      <x:c r="G171" s="21" t="n">
        <x:v>1</x:v>
      </x:c>
      <x:c r="H171" s="21" t="n">
        <x:v>1</x:v>
      </x:c>
      <x:c r="I171" s="21" t="str">
        <x:v>PASS</x:v>
      </x:c>
      <x:c r="J171" s="21" t="str">
        <x:v>family access limit and lawful custody</x:v>
      </x:c>
      <x:c r="K171" s="23" t="str">
        <x:v>rework access package</x:v>
      </x:c>
    </x:row>
    <x:row r="172">
      <x:c r="B172" s="21" t="str">
        <x:v>CRS-R01-B-G10</x:v>
      </x:c>
      <x:c r="C172" s="21" t="str">
        <x:v>CRS-R01-B</x:v>
      </x:c>
      <x:c r="D172" s="21" t="str">
        <x:v>CRS-R01</x:v>
      </x:c>
      <x:c r="E172" s="21" t="str">
        <x:v>G10</x:v>
      </x:c>
      <x:c r="F172" s="21" t="str">
        <x:v>decisive ancestry</x:v>
      </x:c>
      <x:c r="G172" s="21" t="n">
        <x:v>1</x:v>
      </x:c>
      <x:c r="H172" s="21" t="n">
        <x:v>1</x:v>
      </x:c>
      <x:c r="I172" s="21" t="str">
        <x:v>PASS</x:v>
      </x:c>
      <x:c r="J172" s="21" t="str">
        <x:v>no undisclosed decisive root</x:v>
      </x:c>
      <x:c r="K172" s="23" t="str">
        <x:v>recompete decisive root</x:v>
      </x:c>
    </x:row>
    <x:row r="173">
      <x:c r="B173" s="21" t="str">
        <x:v>CRS-R01-B-G11</x:v>
      </x:c>
      <x:c r="C173" s="21" t="str">
        <x:v>CRS-R01-B</x:v>
      </x:c>
      <x:c r="D173" s="21" t="str">
        <x:v>CRS-R01</x:v>
      </x:c>
      <x:c r="E173" s="21" t="str">
        <x:v>G11</x:v>
      </x:c>
      <x:c r="F173" s="21" t="str">
        <x:v>technical rights and reproduction</x:v>
      </x:c>
      <x:c r="G173" s="21" t="n">
        <x:v>1</x:v>
      </x:c>
      <x:c r="H173" s="21" t="n">
        <x:v>1</x:v>
      </x:c>
      <x:c r="I173" s="21" t="str">
        <x:v>PASS</x:v>
      </x:c>
      <x:c r="J173" s="21" t="str">
        <x:v>government can reproduce the decision</x:v>
      </x:c>
      <x:c r="K173" s="23" t="str">
        <x:v>withhold reproduction authority</x:v>
      </x:c>
    </x:row>
    <x:row r="174">
      <x:c r="B174" s="21" t="str">
        <x:v>CRS-R01-B-G12</x:v>
      </x:c>
      <x:c r="C174" s="21" t="str">
        <x:v>CRS-R01-B</x:v>
      </x:c>
      <x:c r="D174" s="21" t="str">
        <x:v>CRS-R01</x:v>
      </x:c>
      <x:c r="E174" s="21" t="str">
        <x:v>G12</x:v>
      </x:c>
      <x:c r="F174" s="21" t="str">
        <x:v>facility schedule and cost</x:v>
      </x:c>
      <x:c r="G174" s="21" t="n">
        <x:v>1</x:v>
      </x:c>
      <x:c r="H174" s="21" t="n">
        <x:v>1</x:v>
      </x:c>
      <x:c r="I174" s="21" t="str">
        <x:v>PASS</x:v>
      </x:c>
      <x:c r="J174" s="21" t="str">
        <x:v>all articles available before registered need</x:v>
      </x:c>
      <x:c r="K174" s="23" t="str">
        <x:v>shift award or add capacity</x:v>
      </x:c>
    </x:row>
    <x:row r="175">
      <x:c r="B175" s="21" t="str">
        <x:v>CRS-R01-C-G01</x:v>
      </x:c>
      <x:c r="C175" s="21" t="str">
        <x:v>CRS-R01-C</x:v>
      </x:c>
      <x:c r="D175" s="21" t="str">
        <x:v>CRS-R01</x:v>
      </x:c>
      <x:c r="E175" s="21" t="str">
        <x:v>G01</x:v>
      </x:c>
      <x:c r="F175" s="21" t="str">
        <x:v>public effect boundary</x:v>
      </x:c>
      <x:c r="G175" s="21" t="n">
        <x:v>1</x:v>
      </x:c>
      <x:c r="H175" s="21" t="n">
        <x:v>1</x:v>
      </x:c>
      <x:c r="I175" s="21" t="str">
        <x:v>PASS</x:v>
      </x:c>
      <x:c r="J175" s="21" t="str">
        <x:v>complete local decision and invalid-state grammar</x:v>
      </x:c>
      <x:c r="K175" s="23" t="str">
        <x:v>reject mission substitution</x:v>
      </x:c>
    </x:row>
    <x:row r="176">
      <x:c r="B176" s="21" t="str">
        <x:v>CRS-R01-C-G02</x:v>
      </x:c>
      <x:c r="C176" s="21" t="str">
        <x:v>CRS-R01-C</x:v>
      </x:c>
      <x:c r="D176" s="21" t="str">
        <x:v>CRS-R01</x:v>
      </x:c>
      <x:c r="E176" s="21" t="str">
        <x:v>G02</x:v>
      </x:c>
      <x:c r="F176" s="21" t="str">
        <x:v>mass volume and reserve</x:v>
      </x:c>
      <x:c r="G176" s="21" t="n">
        <x:v>1</x:v>
      </x:c>
      <x:c r="H176" s="21" t="n">
        <x:v>1</x:v>
      </x:c>
      <x:c r="I176" s="21" t="str">
        <x:v>PASS</x:v>
      </x:c>
      <x:c r="J176" s="21" t="str">
        <x:v>inside frozen family envelope with both reserves explicit</x:v>
      </x:c>
      <x:c r="K176" s="23" t="str">
        <x:v>reopen burden allocation</x:v>
      </x:c>
    </x:row>
    <x:row r="177">
      <x:c r="B177" s="21" t="str">
        <x:v>CRS-R01-C-G03</x:v>
      </x:c>
      <x:c r="C177" s="21" t="str">
        <x:v>CRS-R01-C</x:v>
      </x:c>
      <x:c r="D177" s="21" t="str">
        <x:v>CRS-R01</x:v>
      </x:c>
      <x:c r="E177" s="21" t="str">
        <x:v>G03</x:v>
      </x:c>
      <x:c r="F177" s="21" t="str">
        <x:v>independent endurance</x:v>
      </x:c>
      <x:c r="G177" s="21" t="n">
        <x:v>1</x:v>
      </x:c>
      <x:c r="H177" s="21" t="n">
        <x:v>1</x:v>
      </x:c>
      <x:c r="I177" s="21" t="str">
        <x:v>PASS</x:v>
      </x:c>
      <x:c r="J177" s="21" t="str">
        <x:v>full interval and registered peak sequence</x:v>
      </x:c>
      <x:c r="K177" s="23" t="str">
        <x:v>redesign autonomous energy</x:v>
      </x:c>
    </x:row>
    <x:row r="178">
      <x:c r="B178" s="21" t="str">
        <x:v>CRS-R01-C-G04</x:v>
      </x:c>
      <x:c r="C178" s="21" t="str">
        <x:v>CRS-R01-C</x:v>
      </x:c>
      <x:c r="D178" s="21" t="str">
        <x:v>CRS-R01</x:v>
      </x:c>
      <x:c r="E178" s="21" t="str">
        <x:v>G04</x:v>
      </x:c>
      <x:c r="F178" s="21" t="str">
        <x:v>outward thermal rejection</x:v>
      </x:c>
      <x:c r="G178" s="21" t="n">
        <x:v>1</x:v>
      </x:c>
      <x:c r="H178" s="21" t="n">
        <x:v>1</x:v>
      </x:c>
      <x:c r="I178" s="21" t="str">
        <x:v>PASS</x:v>
      </x:c>
      <x:c r="J178" s="21" t="str">
        <x:v>all evidence heat crosses its own measured boundary</x:v>
      </x:c>
      <x:c r="K178" s="23" t="str">
        <x:v>redesign thermal boundary</x:v>
      </x:c>
    </x:row>
    <x:row r="179">
      <x:c r="B179" s="21" t="str">
        <x:v>CRS-R01-C-G05</x:v>
      </x:c>
      <x:c r="C179" s="21" t="str">
        <x:v>CRS-R01-C</x:v>
      </x:c>
      <x:c r="D179" s="21" t="str">
        <x:v>CRS-R01</x:v>
      </x:c>
      <x:c r="E179" s="21" t="str">
        <x:v>G05</x:v>
      </x:c>
      <x:c r="F179" s="21" t="str">
        <x:v>complete local original</x:v>
      </x:c>
      <x:c r="G179" s="21" t="n">
        <x:v>1</x:v>
      </x:c>
      <x:c r="H179" s="21" t="n">
        <x:v>1</x:v>
      </x:c>
      <x:c r="I179" s="21" t="str">
        <x:v>PASS</x:v>
      </x:c>
      <x:c r="J179" s="21" t="str">
        <x:v>complete original or declared bounded loss</x:v>
      </x:c>
      <x:c r="K179" s="23" t="str">
        <x:v>reject custody architecture</x:v>
      </x:c>
    </x:row>
    <x:row r="180">
      <x:c r="B180" s="21" t="str">
        <x:v>CRS-R01-C-G06</x:v>
      </x:c>
      <x:c r="C180" s="21" t="str">
        <x:v>CRS-R01-C</x:v>
      </x:c>
      <x:c r="D180" s="21" t="str">
        <x:v>CRS-R01</x:v>
      </x:c>
      <x:c r="E180" s="21" t="str">
        <x:v>G06</x:v>
      </x:c>
      <x:c r="F180" s="21" t="str">
        <x:v>denied event time</x:v>
      </x:c>
      <x:c r="G180" s="21" t="n">
        <x:v>0</x:v>
      </x:c>
      <x:c r="H180" s="21" t="n">
        <x:v>1</x:v>
      </x:c>
      <x:c r="I180" s="21" t="str">
        <x:v>FAIL</x:v>
      </x:c>
      <x:c r="J180" s="21" t="str">
        <x:v>inside family U95 allocation</x:v>
      </x:c>
      <x:c r="K180" s="23" t="str">
        <x:v>redesign time roots</x:v>
      </x:c>
    </x:row>
    <x:row r="181">
      <x:c r="B181" s="21" t="str">
        <x:v>CRS-R01-C-G07</x:v>
      </x:c>
      <x:c r="C181" s="21" t="str">
        <x:v>CRS-R01-C</x:v>
      </x:c>
      <x:c r="D181" s="21" t="str">
        <x:v>CRS-R01</x:v>
      </x:c>
      <x:c r="E181" s="21" t="str">
        <x:v>G07</x:v>
      </x:c>
      <x:c r="F181" s="21" t="str">
        <x:v>physical non-actuation</x:v>
      </x:c>
      <x:c r="G181" s="21" t="n">
        <x:v>1</x:v>
      </x:c>
      <x:c r="H181" s="21" t="n">
        <x:v>1</x:v>
      </x:c>
      <x:c r="I181" s="21" t="str">
        <x:v>PASS</x:v>
      </x:c>
      <x:c r="J181" s="21" t="str">
        <x:v>teardown and injection show no useful path</x:v>
      </x:c>
      <x:c r="K181" s="23" t="str">
        <x:v>reject interface family</x:v>
      </x:c>
    </x:row>
    <x:row r="182">
      <x:c r="B182" s="21" t="str">
        <x:v>CRS-R01-C-G08</x:v>
      </x:c>
      <x:c r="C182" s="21" t="str">
        <x:v>CRS-R01-C</x:v>
      </x:c>
      <x:c r="D182" s="21" t="str">
        <x:v>CRS-R01</x:v>
      </x:c>
      <x:c r="E182" s="21" t="str">
        <x:v>G08</x:v>
      </x:c>
      <x:c r="F182" s="21" t="str">
        <x:v>hazard behavior</x:v>
      </x:c>
      <x:c r="G182" s="21" t="n">
        <x:v>1</x:v>
      </x:c>
      <x:c r="H182" s="21" t="n">
        <x:v>1</x:v>
      </x:c>
      <x:c r="I182" s="21" t="str">
        <x:v>PASS</x:v>
      </x:c>
      <x:c r="J182" s="21" t="str">
        <x:v>no silent state and safe disposition</x:v>
      </x:c>
      <x:c r="K182" s="23" t="str">
        <x:v>rework enclosure and disposition</x:v>
      </x:c>
    </x:row>
    <x:row r="183">
      <x:c r="B183" s="21" t="str">
        <x:v>CRS-R01-C-G09</x:v>
      </x:c>
      <x:c r="C183" s="21" t="str">
        <x:v>CRS-R01-C</x:v>
      </x:c>
      <x:c r="D183" s="21" t="str">
        <x:v>CRS-R01</x:v>
      </x:c>
      <x:c r="E183" s="21" t="str">
        <x:v>G09</x:v>
      </x:c>
      <x:c r="F183" s="21" t="str">
        <x:v>maintenance and quarantine</x:v>
      </x:c>
      <x:c r="G183" s="21" t="n">
        <x:v>1</x:v>
      </x:c>
      <x:c r="H183" s="21" t="n">
        <x:v>1</x:v>
      </x:c>
      <x:c r="I183" s="21" t="str">
        <x:v>PASS</x:v>
      </x:c>
      <x:c r="J183" s="21" t="str">
        <x:v>family access limit and lawful custody</x:v>
      </x:c>
      <x:c r="K183" s="23" t="str">
        <x:v>rework access package</x:v>
      </x:c>
    </x:row>
    <x:row r="184">
      <x:c r="B184" s="21" t="str">
        <x:v>CRS-R01-C-G10</x:v>
      </x:c>
      <x:c r="C184" s="21" t="str">
        <x:v>CRS-R01-C</x:v>
      </x:c>
      <x:c r="D184" s="21" t="str">
        <x:v>CRS-R01</x:v>
      </x:c>
      <x:c r="E184" s="21" t="str">
        <x:v>G10</x:v>
      </x:c>
      <x:c r="F184" s="21" t="str">
        <x:v>decisive ancestry</x:v>
      </x:c>
      <x:c r="G184" s="21" t="n">
        <x:v>1</x:v>
      </x:c>
      <x:c r="H184" s="21" t="n">
        <x:v>1</x:v>
      </x:c>
      <x:c r="I184" s="21" t="str">
        <x:v>PASS</x:v>
      </x:c>
      <x:c r="J184" s="21" t="str">
        <x:v>no undisclosed decisive root</x:v>
      </x:c>
      <x:c r="K184" s="23" t="str">
        <x:v>recompete decisive root</x:v>
      </x:c>
    </x:row>
    <x:row r="185">
      <x:c r="B185" s="21" t="str">
        <x:v>CRS-R01-C-G11</x:v>
      </x:c>
      <x:c r="C185" s="21" t="str">
        <x:v>CRS-R01-C</x:v>
      </x:c>
      <x:c r="D185" s="21" t="str">
        <x:v>CRS-R01</x:v>
      </x:c>
      <x:c r="E185" s="21" t="str">
        <x:v>G11</x:v>
      </x:c>
      <x:c r="F185" s="21" t="str">
        <x:v>technical rights and reproduction</x:v>
      </x:c>
      <x:c r="G185" s="21" t="n">
        <x:v>1</x:v>
      </x:c>
      <x:c r="H185" s="21" t="n">
        <x:v>1</x:v>
      </x:c>
      <x:c r="I185" s="21" t="str">
        <x:v>PASS</x:v>
      </x:c>
      <x:c r="J185" s="21" t="str">
        <x:v>government can reproduce the decision</x:v>
      </x:c>
      <x:c r="K185" s="23" t="str">
        <x:v>withhold reproduction authority</x:v>
      </x:c>
    </x:row>
    <x:row r="186">
      <x:c r="B186" s="21" t="str">
        <x:v>CRS-R01-C-G12</x:v>
      </x:c>
      <x:c r="C186" s="21" t="str">
        <x:v>CRS-R01-C</x:v>
      </x:c>
      <x:c r="D186" s="21" t="str">
        <x:v>CRS-R01</x:v>
      </x:c>
      <x:c r="E186" s="21" t="str">
        <x:v>G12</x:v>
      </x:c>
      <x:c r="F186" s="21" t="str">
        <x:v>facility schedule and cost</x:v>
      </x:c>
      <x:c r="G186" s="21" t="n">
        <x:v>1</x:v>
      </x:c>
      <x:c r="H186" s="21" t="n">
        <x:v>1</x:v>
      </x:c>
      <x:c r="I186" s="21" t="str">
        <x:v>PASS</x:v>
      </x:c>
      <x:c r="J186" s="21" t="str">
        <x:v>all articles available before registered need</x:v>
      </x:c>
      <x:c r="K186" s="23" t="str">
        <x:v>shift award or add capacity</x:v>
      </x:c>
    </x:row>
    <x:row r="187">
      <x:c r="B187" s="21" t="str">
        <x:v>PSS-T01-A-G01</x:v>
      </x:c>
      <x:c r="C187" s="21" t="str">
        <x:v>PSS-T01-A</x:v>
      </x:c>
      <x:c r="D187" s="21" t="str">
        <x:v>PSS-T01</x:v>
      </x:c>
      <x:c r="E187" s="21" t="str">
        <x:v>G01</x:v>
      </x:c>
      <x:c r="F187" s="21" t="str">
        <x:v>public effect boundary</x:v>
      </x:c>
      <x:c r="G187" s="21" t="n">
        <x:v>1</x:v>
      </x:c>
      <x:c r="H187" s="21" t="n">
        <x:v>1</x:v>
      </x:c>
      <x:c r="I187" s="21" t="str">
        <x:v>PASS</x:v>
      </x:c>
      <x:c r="J187" s="21" t="str">
        <x:v>complete local decision and invalid-state grammar</x:v>
      </x:c>
      <x:c r="K187" s="23" t="str">
        <x:v>reject mission substitution</x:v>
      </x:c>
    </x:row>
    <x:row r="188">
      <x:c r="B188" s="21" t="str">
        <x:v>PSS-T01-A-G02</x:v>
      </x:c>
      <x:c r="C188" s="21" t="str">
        <x:v>PSS-T01-A</x:v>
      </x:c>
      <x:c r="D188" s="21" t="str">
        <x:v>PSS-T01</x:v>
      </x:c>
      <x:c r="E188" s="21" t="str">
        <x:v>G02</x:v>
      </x:c>
      <x:c r="F188" s="21" t="str">
        <x:v>mass volume and reserve</x:v>
      </x:c>
      <x:c r="G188" s="21" t="n">
        <x:v>1</x:v>
      </x:c>
      <x:c r="H188" s="21" t="n">
        <x:v>1</x:v>
      </x:c>
      <x:c r="I188" s="21" t="str">
        <x:v>PASS</x:v>
      </x:c>
      <x:c r="J188" s="21" t="str">
        <x:v>inside frozen family envelope with both reserves explicit</x:v>
      </x:c>
      <x:c r="K188" s="23" t="str">
        <x:v>reopen burden allocation</x:v>
      </x:c>
    </x:row>
    <x:row r="189">
      <x:c r="B189" s="21" t="str">
        <x:v>PSS-T01-A-G03</x:v>
      </x:c>
      <x:c r="C189" s="21" t="str">
        <x:v>PSS-T01-A</x:v>
      </x:c>
      <x:c r="D189" s="21" t="str">
        <x:v>PSS-T01</x:v>
      </x:c>
      <x:c r="E189" s="21" t="str">
        <x:v>G03</x:v>
      </x:c>
      <x:c r="F189" s="21" t="str">
        <x:v>independent endurance</x:v>
      </x:c>
      <x:c r="G189" s="21" t="n">
        <x:v>1</x:v>
      </x:c>
      <x:c r="H189" s="21" t="n">
        <x:v>1</x:v>
      </x:c>
      <x:c r="I189" s="21" t="str">
        <x:v>PASS</x:v>
      </x:c>
      <x:c r="J189" s="21" t="str">
        <x:v>full interval and registered peak sequence</x:v>
      </x:c>
      <x:c r="K189" s="23" t="str">
        <x:v>redesign autonomous energy</x:v>
      </x:c>
    </x:row>
    <x:row r="190">
      <x:c r="B190" s="21" t="str">
        <x:v>PSS-T01-A-G04</x:v>
      </x:c>
      <x:c r="C190" s="21" t="str">
        <x:v>PSS-T01-A</x:v>
      </x:c>
      <x:c r="D190" s="21" t="str">
        <x:v>PSS-T01</x:v>
      </x:c>
      <x:c r="E190" s="21" t="str">
        <x:v>G04</x:v>
      </x:c>
      <x:c r="F190" s="21" t="str">
        <x:v>outward thermal rejection</x:v>
      </x:c>
      <x:c r="G190" s="21" t="n">
        <x:v>1</x:v>
      </x:c>
      <x:c r="H190" s="21" t="n">
        <x:v>1</x:v>
      </x:c>
      <x:c r="I190" s="21" t="str">
        <x:v>PASS</x:v>
      </x:c>
      <x:c r="J190" s="21" t="str">
        <x:v>all evidence heat crosses its own measured boundary</x:v>
      </x:c>
      <x:c r="K190" s="23" t="str">
        <x:v>redesign thermal boundary</x:v>
      </x:c>
    </x:row>
    <x:row r="191">
      <x:c r="B191" s="21" t="str">
        <x:v>PSS-T01-A-G05</x:v>
      </x:c>
      <x:c r="C191" s="21" t="str">
        <x:v>PSS-T01-A</x:v>
      </x:c>
      <x:c r="D191" s="21" t="str">
        <x:v>PSS-T01</x:v>
      </x:c>
      <x:c r="E191" s="21" t="str">
        <x:v>G05</x:v>
      </x:c>
      <x:c r="F191" s="21" t="str">
        <x:v>complete local original</x:v>
      </x:c>
      <x:c r="G191" s="21" t="n">
        <x:v>1</x:v>
      </x:c>
      <x:c r="H191" s="21" t="n">
        <x:v>1</x:v>
      </x:c>
      <x:c r="I191" s="21" t="str">
        <x:v>PASS</x:v>
      </x:c>
      <x:c r="J191" s="21" t="str">
        <x:v>complete original or declared bounded loss</x:v>
      </x:c>
      <x:c r="K191" s="23" t="str">
        <x:v>reject custody architecture</x:v>
      </x:c>
    </x:row>
    <x:row r="192">
      <x:c r="B192" s="21" t="str">
        <x:v>PSS-T01-A-G06</x:v>
      </x:c>
      <x:c r="C192" s="21" t="str">
        <x:v>PSS-T01-A</x:v>
      </x:c>
      <x:c r="D192" s="21" t="str">
        <x:v>PSS-T01</x:v>
      </x:c>
      <x:c r="E192" s="21" t="str">
        <x:v>G06</x:v>
      </x:c>
      <x:c r="F192" s="21" t="str">
        <x:v>denied event time</x:v>
      </x:c>
      <x:c r="G192" s="21" t="n">
        <x:v>1</x:v>
      </x:c>
      <x:c r="H192" s="21" t="n">
        <x:v>1</x:v>
      </x:c>
      <x:c r="I192" s="21" t="str">
        <x:v>PASS</x:v>
      </x:c>
      <x:c r="J192" s="21" t="str">
        <x:v>inside family U95 allocation</x:v>
      </x:c>
      <x:c r="K192" s="23" t="str">
        <x:v>redesign time roots</x:v>
      </x:c>
    </x:row>
    <x:row r="193">
      <x:c r="B193" s="21" t="str">
        <x:v>PSS-T01-A-G07</x:v>
      </x:c>
      <x:c r="C193" s="21" t="str">
        <x:v>PSS-T01-A</x:v>
      </x:c>
      <x:c r="D193" s="21" t="str">
        <x:v>PSS-T01</x:v>
      </x:c>
      <x:c r="E193" s="21" t="str">
        <x:v>G07</x:v>
      </x:c>
      <x:c r="F193" s="21" t="str">
        <x:v>physical non-actuation</x:v>
      </x:c>
      <x:c r="G193" s="21" t="n">
        <x:v>1</x:v>
      </x:c>
      <x:c r="H193" s="21" t="n">
        <x:v>1</x:v>
      </x:c>
      <x:c r="I193" s="21" t="str">
        <x:v>PASS</x:v>
      </x:c>
      <x:c r="J193" s="21" t="str">
        <x:v>teardown and injection show no useful path</x:v>
      </x:c>
      <x:c r="K193" s="23" t="str">
        <x:v>reject interface family</x:v>
      </x:c>
    </x:row>
    <x:row r="194">
      <x:c r="B194" s="21" t="str">
        <x:v>PSS-T01-A-G08</x:v>
      </x:c>
      <x:c r="C194" s="21" t="str">
        <x:v>PSS-T01-A</x:v>
      </x:c>
      <x:c r="D194" s="21" t="str">
        <x:v>PSS-T01</x:v>
      </x:c>
      <x:c r="E194" s="21" t="str">
        <x:v>G08</x:v>
      </x:c>
      <x:c r="F194" s="21" t="str">
        <x:v>hazard behavior</x:v>
      </x:c>
      <x:c r="G194" s="21" t="n">
        <x:v>1</x:v>
      </x:c>
      <x:c r="H194" s="21" t="n">
        <x:v>1</x:v>
      </x:c>
      <x:c r="I194" s="21" t="str">
        <x:v>PASS</x:v>
      </x:c>
      <x:c r="J194" s="21" t="str">
        <x:v>no silent state and safe disposition</x:v>
      </x:c>
      <x:c r="K194" s="23" t="str">
        <x:v>rework enclosure and disposition</x:v>
      </x:c>
    </x:row>
    <x:row r="195">
      <x:c r="B195" s="21" t="str">
        <x:v>PSS-T01-A-G09</x:v>
      </x:c>
      <x:c r="C195" s="21" t="str">
        <x:v>PSS-T01-A</x:v>
      </x:c>
      <x:c r="D195" s="21" t="str">
        <x:v>PSS-T01</x:v>
      </x:c>
      <x:c r="E195" s="21" t="str">
        <x:v>G09</x:v>
      </x:c>
      <x:c r="F195" s="21" t="str">
        <x:v>maintenance and quarantine</x:v>
      </x:c>
      <x:c r="G195" s="21" t="n">
        <x:v>1</x:v>
      </x:c>
      <x:c r="H195" s="21" t="n">
        <x:v>1</x:v>
      </x:c>
      <x:c r="I195" s="21" t="str">
        <x:v>PASS</x:v>
      </x:c>
      <x:c r="J195" s="21" t="str">
        <x:v>family access limit and lawful custody</x:v>
      </x:c>
      <x:c r="K195" s="23" t="str">
        <x:v>rework access package</x:v>
      </x:c>
    </x:row>
    <x:row r="196">
      <x:c r="B196" s="21" t="str">
        <x:v>PSS-T01-A-G10</x:v>
      </x:c>
      <x:c r="C196" s="21" t="str">
        <x:v>PSS-T01-A</x:v>
      </x:c>
      <x:c r="D196" s="21" t="str">
        <x:v>PSS-T01</x:v>
      </x:c>
      <x:c r="E196" s="21" t="str">
        <x:v>G10</x:v>
      </x:c>
      <x:c r="F196" s="21" t="str">
        <x:v>decisive ancestry</x:v>
      </x:c>
      <x:c r="G196" s="21" t="n">
        <x:v>1</x:v>
      </x:c>
      <x:c r="H196" s="21" t="n">
        <x:v>1</x:v>
      </x:c>
      <x:c r="I196" s="21" t="str">
        <x:v>PASS</x:v>
      </x:c>
      <x:c r="J196" s="21" t="str">
        <x:v>no undisclosed decisive root</x:v>
      </x:c>
      <x:c r="K196" s="23" t="str">
        <x:v>recompete decisive root</x:v>
      </x:c>
    </x:row>
    <x:row r="197">
      <x:c r="B197" s="21" t="str">
        <x:v>PSS-T01-A-G11</x:v>
      </x:c>
      <x:c r="C197" s="21" t="str">
        <x:v>PSS-T01-A</x:v>
      </x:c>
      <x:c r="D197" s="21" t="str">
        <x:v>PSS-T01</x:v>
      </x:c>
      <x:c r="E197" s="21" t="str">
        <x:v>G11</x:v>
      </x:c>
      <x:c r="F197" s="21" t="str">
        <x:v>technical rights and reproduction</x:v>
      </x:c>
      <x:c r="G197" s="21" t="n">
        <x:v>1</x:v>
      </x:c>
      <x:c r="H197" s="21" t="n">
        <x:v>1</x:v>
      </x:c>
      <x:c r="I197" s="21" t="str">
        <x:v>PASS</x:v>
      </x:c>
      <x:c r="J197" s="21" t="str">
        <x:v>government can reproduce the decision</x:v>
      </x:c>
      <x:c r="K197" s="23" t="str">
        <x:v>withhold reproduction authority</x:v>
      </x:c>
    </x:row>
    <x:row r="198">
      <x:c r="B198" s="21" t="str">
        <x:v>PSS-T01-A-G12</x:v>
      </x:c>
      <x:c r="C198" s="21" t="str">
        <x:v>PSS-T01-A</x:v>
      </x:c>
      <x:c r="D198" s="21" t="str">
        <x:v>PSS-T01</x:v>
      </x:c>
      <x:c r="E198" s="21" t="str">
        <x:v>G12</x:v>
      </x:c>
      <x:c r="F198" s="21" t="str">
        <x:v>facility schedule and cost</x:v>
      </x:c>
      <x:c r="G198" s="21" t="n">
        <x:v>1</x:v>
      </x:c>
      <x:c r="H198" s="21" t="n">
        <x:v>1</x:v>
      </x:c>
      <x:c r="I198" s="21" t="str">
        <x:v>PASS</x:v>
      </x:c>
      <x:c r="J198" s="21" t="str">
        <x:v>all articles available before registered need</x:v>
      </x:c>
      <x:c r="K198" s="23" t="str">
        <x:v>shift award or add capacity</x:v>
      </x:c>
    </x:row>
    <x:row r="199">
      <x:c r="B199" s="21" t="str">
        <x:v>PSS-T01-B-G01</x:v>
      </x:c>
      <x:c r="C199" s="21" t="str">
        <x:v>PSS-T01-B</x:v>
      </x:c>
      <x:c r="D199" s="21" t="str">
        <x:v>PSS-T01</x:v>
      </x:c>
      <x:c r="E199" s="21" t="str">
        <x:v>G01</x:v>
      </x:c>
      <x:c r="F199" s="21" t="str">
        <x:v>public effect boundary</x:v>
      </x:c>
      <x:c r="G199" s="21" t="n">
        <x:v>1</x:v>
      </x:c>
      <x:c r="H199" s="21" t="n">
        <x:v>1</x:v>
      </x:c>
      <x:c r="I199" s="21" t="str">
        <x:v>PASS</x:v>
      </x:c>
      <x:c r="J199" s="21" t="str">
        <x:v>complete local decision and invalid-state grammar</x:v>
      </x:c>
      <x:c r="K199" s="23" t="str">
        <x:v>reject mission substitution</x:v>
      </x:c>
    </x:row>
    <x:row r="200">
      <x:c r="B200" s="21" t="str">
        <x:v>PSS-T01-B-G02</x:v>
      </x:c>
      <x:c r="C200" s="21" t="str">
        <x:v>PSS-T01-B</x:v>
      </x:c>
      <x:c r="D200" s="21" t="str">
        <x:v>PSS-T01</x:v>
      </x:c>
      <x:c r="E200" s="21" t="str">
        <x:v>G02</x:v>
      </x:c>
      <x:c r="F200" s="21" t="str">
        <x:v>mass volume and reserve</x:v>
      </x:c>
      <x:c r="G200" s="21" t="n">
        <x:v>1</x:v>
      </x:c>
      <x:c r="H200" s="21" t="n">
        <x:v>1</x:v>
      </x:c>
      <x:c r="I200" s="21" t="str">
        <x:v>PASS</x:v>
      </x:c>
      <x:c r="J200" s="21" t="str">
        <x:v>inside frozen family envelope with both reserves explicit</x:v>
      </x:c>
      <x:c r="K200" s="23" t="str">
        <x:v>reopen burden allocation</x:v>
      </x:c>
    </x:row>
    <x:row r="201">
      <x:c r="B201" s="21" t="str">
        <x:v>PSS-T01-B-G03</x:v>
      </x:c>
      <x:c r="C201" s="21" t="str">
        <x:v>PSS-T01-B</x:v>
      </x:c>
      <x:c r="D201" s="21" t="str">
        <x:v>PSS-T01</x:v>
      </x:c>
      <x:c r="E201" s="21" t="str">
        <x:v>G03</x:v>
      </x:c>
      <x:c r="F201" s="21" t="str">
        <x:v>independent endurance</x:v>
      </x:c>
      <x:c r="G201" s="21" t="n">
        <x:v>1</x:v>
      </x:c>
      <x:c r="H201" s="21" t="n">
        <x:v>1</x:v>
      </x:c>
      <x:c r="I201" s="21" t="str">
        <x:v>PASS</x:v>
      </x:c>
      <x:c r="J201" s="21" t="str">
        <x:v>full interval and registered peak sequence</x:v>
      </x:c>
      <x:c r="K201" s="23" t="str">
        <x:v>redesign autonomous energy</x:v>
      </x:c>
    </x:row>
    <x:row r="202">
      <x:c r="B202" s="21" t="str">
        <x:v>PSS-T01-B-G04</x:v>
      </x:c>
      <x:c r="C202" s="21" t="str">
        <x:v>PSS-T01-B</x:v>
      </x:c>
      <x:c r="D202" s="21" t="str">
        <x:v>PSS-T01</x:v>
      </x:c>
      <x:c r="E202" s="21" t="str">
        <x:v>G04</x:v>
      </x:c>
      <x:c r="F202" s="21" t="str">
        <x:v>outward thermal rejection</x:v>
      </x:c>
      <x:c r="G202" s="21" t="n">
        <x:v>1</x:v>
      </x:c>
      <x:c r="H202" s="21" t="n">
        <x:v>1</x:v>
      </x:c>
      <x:c r="I202" s="21" t="str">
        <x:v>PASS</x:v>
      </x:c>
      <x:c r="J202" s="21" t="str">
        <x:v>all evidence heat crosses its own measured boundary</x:v>
      </x:c>
      <x:c r="K202" s="23" t="str">
        <x:v>redesign thermal boundary</x:v>
      </x:c>
    </x:row>
    <x:row r="203">
      <x:c r="B203" s="21" t="str">
        <x:v>PSS-T01-B-G05</x:v>
      </x:c>
      <x:c r="C203" s="21" t="str">
        <x:v>PSS-T01-B</x:v>
      </x:c>
      <x:c r="D203" s="21" t="str">
        <x:v>PSS-T01</x:v>
      </x:c>
      <x:c r="E203" s="21" t="str">
        <x:v>G05</x:v>
      </x:c>
      <x:c r="F203" s="21" t="str">
        <x:v>complete local original</x:v>
      </x:c>
      <x:c r="G203" s="21" t="n">
        <x:v>1</x:v>
      </x:c>
      <x:c r="H203" s="21" t="n">
        <x:v>1</x:v>
      </x:c>
      <x:c r="I203" s="21" t="str">
        <x:v>PASS</x:v>
      </x:c>
      <x:c r="J203" s="21" t="str">
        <x:v>complete original or declared bounded loss</x:v>
      </x:c>
      <x:c r="K203" s="23" t="str">
        <x:v>reject custody architecture</x:v>
      </x:c>
    </x:row>
    <x:row r="204">
      <x:c r="B204" s="21" t="str">
        <x:v>PSS-T01-B-G06</x:v>
      </x:c>
      <x:c r="C204" s="21" t="str">
        <x:v>PSS-T01-B</x:v>
      </x:c>
      <x:c r="D204" s="21" t="str">
        <x:v>PSS-T01</x:v>
      </x:c>
      <x:c r="E204" s="21" t="str">
        <x:v>G06</x:v>
      </x:c>
      <x:c r="F204" s="21" t="str">
        <x:v>denied event time</x:v>
      </x:c>
      <x:c r="G204" s="21" t="n">
        <x:v>1</x:v>
      </x:c>
      <x:c r="H204" s="21" t="n">
        <x:v>1</x:v>
      </x:c>
      <x:c r="I204" s="21" t="str">
        <x:v>PASS</x:v>
      </x:c>
      <x:c r="J204" s="21" t="str">
        <x:v>inside family U95 allocation</x:v>
      </x:c>
      <x:c r="K204" s="23" t="str">
        <x:v>redesign time roots</x:v>
      </x:c>
    </x:row>
    <x:row r="205">
      <x:c r="B205" s="21" t="str">
        <x:v>PSS-T01-B-G07</x:v>
      </x:c>
      <x:c r="C205" s="21" t="str">
        <x:v>PSS-T01-B</x:v>
      </x:c>
      <x:c r="D205" s="21" t="str">
        <x:v>PSS-T01</x:v>
      </x:c>
      <x:c r="E205" s="21" t="str">
        <x:v>G07</x:v>
      </x:c>
      <x:c r="F205" s="21" t="str">
        <x:v>physical non-actuation</x:v>
      </x:c>
      <x:c r="G205" s="21" t="n">
        <x:v>1</x:v>
      </x:c>
      <x:c r="H205" s="21" t="n">
        <x:v>1</x:v>
      </x:c>
      <x:c r="I205" s="21" t="str">
        <x:v>PASS</x:v>
      </x:c>
      <x:c r="J205" s="21" t="str">
        <x:v>teardown and injection show no useful path</x:v>
      </x:c>
      <x:c r="K205" s="23" t="str">
        <x:v>reject interface family</x:v>
      </x:c>
    </x:row>
    <x:row r="206">
      <x:c r="B206" s="21" t="str">
        <x:v>PSS-T01-B-G08</x:v>
      </x:c>
      <x:c r="C206" s="21" t="str">
        <x:v>PSS-T01-B</x:v>
      </x:c>
      <x:c r="D206" s="21" t="str">
        <x:v>PSS-T01</x:v>
      </x:c>
      <x:c r="E206" s="21" t="str">
        <x:v>G08</x:v>
      </x:c>
      <x:c r="F206" s="21" t="str">
        <x:v>hazard behavior</x:v>
      </x:c>
      <x:c r="G206" s="21" t="n">
        <x:v>1</x:v>
      </x:c>
      <x:c r="H206" s="21" t="n">
        <x:v>1</x:v>
      </x:c>
      <x:c r="I206" s="21" t="str">
        <x:v>PASS</x:v>
      </x:c>
      <x:c r="J206" s="21" t="str">
        <x:v>no silent state and safe disposition</x:v>
      </x:c>
      <x:c r="K206" s="23" t="str">
        <x:v>rework enclosure and disposition</x:v>
      </x:c>
    </x:row>
    <x:row r="207">
      <x:c r="B207" s="21" t="str">
        <x:v>PSS-T01-B-G09</x:v>
      </x:c>
      <x:c r="C207" s="21" t="str">
        <x:v>PSS-T01-B</x:v>
      </x:c>
      <x:c r="D207" s="21" t="str">
        <x:v>PSS-T01</x:v>
      </x:c>
      <x:c r="E207" s="21" t="str">
        <x:v>G09</x:v>
      </x:c>
      <x:c r="F207" s="21" t="str">
        <x:v>maintenance and quarantine</x:v>
      </x:c>
      <x:c r="G207" s="21" t="n">
        <x:v>1</x:v>
      </x:c>
      <x:c r="H207" s="21" t="n">
        <x:v>1</x:v>
      </x:c>
      <x:c r="I207" s="21" t="str">
        <x:v>PASS</x:v>
      </x:c>
      <x:c r="J207" s="21" t="str">
        <x:v>family access limit and lawful custody</x:v>
      </x:c>
      <x:c r="K207" s="23" t="str">
        <x:v>rework access package</x:v>
      </x:c>
    </x:row>
    <x:row r="208">
      <x:c r="B208" s="21" t="str">
        <x:v>PSS-T01-B-G10</x:v>
      </x:c>
      <x:c r="C208" s="21" t="str">
        <x:v>PSS-T01-B</x:v>
      </x:c>
      <x:c r="D208" s="21" t="str">
        <x:v>PSS-T01</x:v>
      </x:c>
      <x:c r="E208" s="21" t="str">
        <x:v>G10</x:v>
      </x:c>
      <x:c r="F208" s="21" t="str">
        <x:v>decisive ancestry</x:v>
      </x:c>
      <x:c r="G208" s="21" t="n">
        <x:v>1</x:v>
      </x:c>
      <x:c r="H208" s="21" t="n">
        <x:v>1</x:v>
      </x:c>
      <x:c r="I208" s="21" t="str">
        <x:v>PASS</x:v>
      </x:c>
      <x:c r="J208" s="21" t="str">
        <x:v>no undisclosed decisive root</x:v>
      </x:c>
      <x:c r="K208" s="23" t="str">
        <x:v>recompete decisive root</x:v>
      </x:c>
    </x:row>
    <x:row r="209">
      <x:c r="B209" s="21" t="str">
        <x:v>PSS-T01-B-G11</x:v>
      </x:c>
      <x:c r="C209" s="21" t="str">
        <x:v>PSS-T01-B</x:v>
      </x:c>
      <x:c r="D209" s="21" t="str">
        <x:v>PSS-T01</x:v>
      </x:c>
      <x:c r="E209" s="21" t="str">
        <x:v>G11</x:v>
      </x:c>
      <x:c r="F209" s="21" t="str">
        <x:v>technical rights and reproduction</x:v>
      </x:c>
      <x:c r="G209" s="21" t="n">
        <x:v>1</x:v>
      </x:c>
      <x:c r="H209" s="21" t="n">
        <x:v>1</x:v>
      </x:c>
      <x:c r="I209" s="21" t="str">
        <x:v>PASS</x:v>
      </x:c>
      <x:c r="J209" s="21" t="str">
        <x:v>government can reproduce the decision</x:v>
      </x:c>
      <x:c r="K209" s="23" t="str">
        <x:v>withhold reproduction authority</x:v>
      </x:c>
    </x:row>
    <x:row r="210">
      <x:c r="B210" s="21" t="str">
        <x:v>PSS-T01-B-G12</x:v>
      </x:c>
      <x:c r="C210" s="21" t="str">
        <x:v>PSS-T01-B</x:v>
      </x:c>
      <x:c r="D210" s="21" t="str">
        <x:v>PSS-T01</x:v>
      </x:c>
      <x:c r="E210" s="21" t="str">
        <x:v>G12</x:v>
      </x:c>
      <x:c r="F210" s="21" t="str">
        <x:v>facility schedule and cost</x:v>
      </x:c>
      <x:c r="G210" s="21" t="n">
        <x:v>1</x:v>
      </x:c>
      <x:c r="H210" s="21" t="n">
        <x:v>1</x:v>
      </x:c>
      <x:c r="I210" s="21" t="str">
        <x:v>PASS</x:v>
      </x:c>
      <x:c r="J210" s="21" t="str">
        <x:v>all articles available before registered need</x:v>
      </x:c>
      <x:c r="K210" s="23" t="str">
        <x:v>shift award or add capacity</x:v>
      </x:c>
    </x:row>
    <x:row r="211">
      <x:c r="B211" s="21" t="str">
        <x:v>PSS-T01-C-G01</x:v>
      </x:c>
      <x:c r="C211" s="21" t="str">
        <x:v>PSS-T01-C</x:v>
      </x:c>
      <x:c r="D211" s="21" t="str">
        <x:v>PSS-T01</x:v>
      </x:c>
      <x:c r="E211" s="21" t="str">
        <x:v>G01</x:v>
      </x:c>
      <x:c r="F211" s="21" t="str">
        <x:v>public effect boundary</x:v>
      </x:c>
      <x:c r="G211" s="21" t="n">
        <x:v>1</x:v>
      </x:c>
      <x:c r="H211" s="21" t="n">
        <x:v>1</x:v>
      </x:c>
      <x:c r="I211" s="21" t="str">
        <x:v>PASS</x:v>
      </x:c>
      <x:c r="J211" s="21" t="str">
        <x:v>complete local decision and invalid-state grammar</x:v>
      </x:c>
      <x:c r="K211" s="23" t="str">
        <x:v>reject mission substitution</x:v>
      </x:c>
    </x:row>
    <x:row r="212">
      <x:c r="B212" s="21" t="str">
        <x:v>PSS-T01-C-G02</x:v>
      </x:c>
      <x:c r="C212" s="21" t="str">
        <x:v>PSS-T01-C</x:v>
      </x:c>
      <x:c r="D212" s="21" t="str">
        <x:v>PSS-T01</x:v>
      </x:c>
      <x:c r="E212" s="21" t="str">
        <x:v>G02</x:v>
      </x:c>
      <x:c r="F212" s="21" t="str">
        <x:v>mass volume and reserve</x:v>
      </x:c>
      <x:c r="G212" s="21" t="n">
        <x:v>1</x:v>
      </x:c>
      <x:c r="H212" s="21" t="n">
        <x:v>1</x:v>
      </x:c>
      <x:c r="I212" s="21" t="str">
        <x:v>PASS</x:v>
      </x:c>
      <x:c r="J212" s="21" t="str">
        <x:v>inside frozen family envelope with both reserves explicit</x:v>
      </x:c>
      <x:c r="K212" s="23" t="str">
        <x:v>reopen burden allocation</x:v>
      </x:c>
    </x:row>
    <x:row r="213">
      <x:c r="B213" s="21" t="str">
        <x:v>PSS-T01-C-G03</x:v>
      </x:c>
      <x:c r="C213" s="21" t="str">
        <x:v>PSS-T01-C</x:v>
      </x:c>
      <x:c r="D213" s="21" t="str">
        <x:v>PSS-T01</x:v>
      </x:c>
      <x:c r="E213" s="21" t="str">
        <x:v>G03</x:v>
      </x:c>
      <x:c r="F213" s="21" t="str">
        <x:v>independent endurance</x:v>
      </x:c>
      <x:c r="G213" s="21" t="n">
        <x:v>1</x:v>
      </x:c>
      <x:c r="H213" s="21" t="n">
        <x:v>1</x:v>
      </x:c>
      <x:c r="I213" s="21" t="str">
        <x:v>PASS</x:v>
      </x:c>
      <x:c r="J213" s="21" t="str">
        <x:v>full interval and registered peak sequence</x:v>
      </x:c>
      <x:c r="K213" s="23" t="str">
        <x:v>redesign autonomous energy</x:v>
      </x:c>
    </x:row>
    <x:row r="214">
      <x:c r="B214" s="21" t="str">
        <x:v>PSS-T01-C-G04</x:v>
      </x:c>
      <x:c r="C214" s="21" t="str">
        <x:v>PSS-T01-C</x:v>
      </x:c>
      <x:c r="D214" s="21" t="str">
        <x:v>PSS-T01</x:v>
      </x:c>
      <x:c r="E214" s="21" t="str">
        <x:v>G04</x:v>
      </x:c>
      <x:c r="F214" s="21" t="str">
        <x:v>outward thermal rejection</x:v>
      </x:c>
      <x:c r="G214" s="21" t="n">
        <x:v>1</x:v>
      </x:c>
      <x:c r="H214" s="21" t="n">
        <x:v>1</x:v>
      </x:c>
      <x:c r="I214" s="21" t="str">
        <x:v>PASS</x:v>
      </x:c>
      <x:c r="J214" s="21" t="str">
        <x:v>all evidence heat crosses its own measured boundary</x:v>
      </x:c>
      <x:c r="K214" s="23" t="str">
        <x:v>redesign thermal boundary</x:v>
      </x:c>
    </x:row>
    <x:row r="215">
      <x:c r="B215" s="21" t="str">
        <x:v>PSS-T01-C-G05</x:v>
      </x:c>
      <x:c r="C215" s="21" t="str">
        <x:v>PSS-T01-C</x:v>
      </x:c>
      <x:c r="D215" s="21" t="str">
        <x:v>PSS-T01</x:v>
      </x:c>
      <x:c r="E215" s="21" t="str">
        <x:v>G05</x:v>
      </x:c>
      <x:c r="F215" s="21" t="str">
        <x:v>complete local original</x:v>
      </x:c>
      <x:c r="G215" s="21" t="n">
        <x:v>1</x:v>
      </x:c>
      <x:c r="H215" s="21" t="n">
        <x:v>1</x:v>
      </x:c>
      <x:c r="I215" s="21" t="str">
        <x:v>PASS</x:v>
      </x:c>
      <x:c r="J215" s="21" t="str">
        <x:v>complete original or declared bounded loss</x:v>
      </x:c>
      <x:c r="K215" s="23" t="str">
        <x:v>reject custody architecture</x:v>
      </x:c>
    </x:row>
    <x:row r="216">
      <x:c r="B216" s="21" t="str">
        <x:v>PSS-T01-C-G06</x:v>
      </x:c>
      <x:c r="C216" s="21" t="str">
        <x:v>PSS-T01-C</x:v>
      </x:c>
      <x:c r="D216" s="21" t="str">
        <x:v>PSS-T01</x:v>
      </x:c>
      <x:c r="E216" s="21" t="str">
        <x:v>G06</x:v>
      </x:c>
      <x:c r="F216" s="21" t="str">
        <x:v>denied event time</x:v>
      </x:c>
      <x:c r="G216" s="21" t="n">
        <x:v>1</x:v>
      </x:c>
      <x:c r="H216" s="21" t="n">
        <x:v>1</x:v>
      </x:c>
      <x:c r="I216" s="21" t="str">
        <x:v>PASS</x:v>
      </x:c>
      <x:c r="J216" s="21" t="str">
        <x:v>inside family U95 allocation</x:v>
      </x:c>
      <x:c r="K216" s="23" t="str">
        <x:v>redesign time roots</x:v>
      </x:c>
    </x:row>
    <x:row r="217">
      <x:c r="B217" s="21" t="str">
        <x:v>PSS-T01-C-G07</x:v>
      </x:c>
      <x:c r="C217" s="21" t="str">
        <x:v>PSS-T01-C</x:v>
      </x:c>
      <x:c r="D217" s="21" t="str">
        <x:v>PSS-T01</x:v>
      </x:c>
      <x:c r="E217" s="21" t="str">
        <x:v>G07</x:v>
      </x:c>
      <x:c r="F217" s="21" t="str">
        <x:v>physical non-actuation</x:v>
      </x:c>
      <x:c r="G217" s="21" t="n">
        <x:v>0</x:v>
      </x:c>
      <x:c r="H217" s="21" t="n">
        <x:v>1</x:v>
      </x:c>
      <x:c r="I217" s="21" t="str">
        <x:v>FAIL</x:v>
      </x:c>
      <x:c r="J217" s="21" t="str">
        <x:v>teardown and injection show no useful path</x:v>
      </x:c>
      <x:c r="K217" s="23" t="str">
        <x:v>reject interface family</x:v>
      </x:c>
    </x:row>
    <x:row r="218">
      <x:c r="B218" s="21" t="str">
        <x:v>PSS-T01-C-G08</x:v>
      </x:c>
      <x:c r="C218" s="21" t="str">
        <x:v>PSS-T01-C</x:v>
      </x:c>
      <x:c r="D218" s="21" t="str">
        <x:v>PSS-T01</x:v>
      </x:c>
      <x:c r="E218" s="21" t="str">
        <x:v>G08</x:v>
      </x:c>
      <x:c r="F218" s="21" t="str">
        <x:v>hazard behavior</x:v>
      </x:c>
      <x:c r="G218" s="21" t="n">
        <x:v>1</x:v>
      </x:c>
      <x:c r="H218" s="21" t="n">
        <x:v>1</x:v>
      </x:c>
      <x:c r="I218" s="21" t="str">
        <x:v>PASS</x:v>
      </x:c>
      <x:c r="J218" s="21" t="str">
        <x:v>no silent state and safe disposition</x:v>
      </x:c>
      <x:c r="K218" s="23" t="str">
        <x:v>rework enclosure and disposition</x:v>
      </x:c>
    </x:row>
    <x:row r="219">
      <x:c r="B219" s="21" t="str">
        <x:v>PSS-T01-C-G09</x:v>
      </x:c>
      <x:c r="C219" s="21" t="str">
        <x:v>PSS-T01-C</x:v>
      </x:c>
      <x:c r="D219" s="21" t="str">
        <x:v>PSS-T01</x:v>
      </x:c>
      <x:c r="E219" s="21" t="str">
        <x:v>G09</x:v>
      </x:c>
      <x:c r="F219" s="21" t="str">
        <x:v>maintenance and quarantine</x:v>
      </x:c>
      <x:c r="G219" s="21" t="n">
        <x:v>1</x:v>
      </x:c>
      <x:c r="H219" s="21" t="n">
        <x:v>1</x:v>
      </x:c>
      <x:c r="I219" s="21" t="str">
        <x:v>PASS</x:v>
      </x:c>
      <x:c r="J219" s="21" t="str">
        <x:v>family access limit and lawful custody</x:v>
      </x:c>
      <x:c r="K219" s="23" t="str">
        <x:v>rework access package</x:v>
      </x:c>
    </x:row>
    <x:row r="220">
      <x:c r="B220" s="21" t="str">
        <x:v>PSS-T01-C-G10</x:v>
      </x:c>
      <x:c r="C220" s="21" t="str">
        <x:v>PSS-T01-C</x:v>
      </x:c>
      <x:c r="D220" s="21" t="str">
        <x:v>PSS-T01</x:v>
      </x:c>
      <x:c r="E220" s="21" t="str">
        <x:v>G10</x:v>
      </x:c>
      <x:c r="F220" s="21" t="str">
        <x:v>decisive ancestry</x:v>
      </x:c>
      <x:c r="G220" s="21" t="n">
        <x:v>1</x:v>
      </x:c>
      <x:c r="H220" s="21" t="n">
        <x:v>1</x:v>
      </x:c>
      <x:c r="I220" s="21" t="str">
        <x:v>PASS</x:v>
      </x:c>
      <x:c r="J220" s="21" t="str">
        <x:v>no undisclosed decisive root</x:v>
      </x:c>
      <x:c r="K220" s="23" t="str">
        <x:v>recompete decisive root</x:v>
      </x:c>
    </x:row>
    <x:row r="221">
      <x:c r="B221" s="21" t="str">
        <x:v>PSS-T01-C-G11</x:v>
      </x:c>
      <x:c r="C221" s="21" t="str">
        <x:v>PSS-T01-C</x:v>
      </x:c>
      <x:c r="D221" s="21" t="str">
        <x:v>PSS-T01</x:v>
      </x:c>
      <x:c r="E221" s="21" t="str">
        <x:v>G11</x:v>
      </x:c>
      <x:c r="F221" s="21" t="str">
        <x:v>technical rights and reproduction</x:v>
      </x:c>
      <x:c r="G221" s="21" t="n">
        <x:v>1</x:v>
      </x:c>
      <x:c r="H221" s="21" t="n">
        <x:v>1</x:v>
      </x:c>
      <x:c r="I221" s="21" t="str">
        <x:v>PASS</x:v>
      </x:c>
      <x:c r="J221" s="21" t="str">
        <x:v>government can reproduce the decision</x:v>
      </x:c>
      <x:c r="K221" s="23" t="str">
        <x:v>withhold reproduction authority</x:v>
      </x:c>
    </x:row>
    <x:row r="222">
      <x:c r="B222" s="21" t="str">
        <x:v>PSS-T01-C-G12</x:v>
      </x:c>
      <x:c r="C222" s="21" t="str">
        <x:v>PSS-T01-C</x:v>
      </x:c>
      <x:c r="D222" s="21" t="str">
        <x:v>PSS-T01</x:v>
      </x:c>
      <x:c r="E222" s="21" t="str">
        <x:v>G12</x:v>
      </x:c>
      <x:c r="F222" s="21" t="str">
        <x:v>facility schedule and cost</x:v>
      </x:c>
      <x:c r="G222" s="21" t="n">
        <x:v>1</x:v>
      </x:c>
      <x:c r="H222" s="21" t="n">
        <x:v>1</x:v>
      </x:c>
      <x:c r="I222" s="21" t="str">
        <x:v>PASS</x:v>
      </x:c>
      <x:c r="J222" s="21" t="str">
        <x:v>all articles available before registered need</x:v>
      </x:c>
      <x:c r="K222" s="23" t="str">
        <x:v>shift award or add capacity</x:v>
      </x:c>
    </x:row>
    <x:row r="223">
      <x:c r="B223" s="21" t="str">
        <x:v>PIF-I01-A-G01</x:v>
      </x:c>
      <x:c r="C223" s="21" t="str">
        <x:v>PIF-I01-A</x:v>
      </x:c>
      <x:c r="D223" s="21" t="str">
        <x:v>PIF-I01</x:v>
      </x:c>
      <x:c r="E223" s="21" t="str">
        <x:v>G01</x:v>
      </x:c>
      <x:c r="F223" s="21" t="str">
        <x:v>public effect boundary</x:v>
      </x:c>
      <x:c r="G223" s="21" t="n">
        <x:v>1</x:v>
      </x:c>
      <x:c r="H223" s="21" t="n">
        <x:v>1</x:v>
      </x:c>
      <x:c r="I223" s="21" t="str">
        <x:v>PASS</x:v>
      </x:c>
      <x:c r="J223" s="21" t="str">
        <x:v>complete local decision and invalid-state grammar</x:v>
      </x:c>
      <x:c r="K223" s="23" t="str">
        <x:v>reject mission substitution</x:v>
      </x:c>
    </x:row>
    <x:row r="224">
      <x:c r="B224" s="21" t="str">
        <x:v>PIF-I01-A-G02</x:v>
      </x:c>
      <x:c r="C224" s="21" t="str">
        <x:v>PIF-I01-A</x:v>
      </x:c>
      <x:c r="D224" s="21" t="str">
        <x:v>PIF-I01</x:v>
      </x:c>
      <x:c r="E224" s="21" t="str">
        <x:v>G02</x:v>
      </x:c>
      <x:c r="F224" s="21" t="str">
        <x:v>mass volume and reserve</x:v>
      </x:c>
      <x:c r="G224" s="21" t="n">
        <x:v>1</x:v>
      </x:c>
      <x:c r="H224" s="21" t="n">
        <x:v>1</x:v>
      </x:c>
      <x:c r="I224" s="21" t="str">
        <x:v>PASS</x:v>
      </x:c>
      <x:c r="J224" s="21" t="str">
        <x:v>inside frozen family envelope with both reserves explicit</x:v>
      </x:c>
      <x:c r="K224" s="23" t="str">
        <x:v>reopen burden allocation</x:v>
      </x:c>
    </x:row>
    <x:row r="225">
      <x:c r="B225" s="21" t="str">
        <x:v>PIF-I01-A-G03</x:v>
      </x:c>
      <x:c r="C225" s="21" t="str">
        <x:v>PIF-I01-A</x:v>
      </x:c>
      <x:c r="D225" s="21" t="str">
        <x:v>PIF-I01</x:v>
      </x:c>
      <x:c r="E225" s="21" t="str">
        <x:v>G03</x:v>
      </x:c>
      <x:c r="F225" s="21" t="str">
        <x:v>independent endurance</x:v>
      </x:c>
      <x:c r="G225" s="21" t="n">
        <x:v>1</x:v>
      </x:c>
      <x:c r="H225" s="21" t="n">
        <x:v>1</x:v>
      </x:c>
      <x:c r="I225" s="21" t="str">
        <x:v>PASS</x:v>
      </x:c>
      <x:c r="J225" s="21" t="str">
        <x:v>full interval and registered peak sequence</x:v>
      </x:c>
      <x:c r="K225" s="23" t="str">
        <x:v>redesign autonomous energy</x:v>
      </x:c>
    </x:row>
    <x:row r="226">
      <x:c r="B226" s="21" t="str">
        <x:v>PIF-I01-A-G04</x:v>
      </x:c>
      <x:c r="C226" s="21" t="str">
        <x:v>PIF-I01-A</x:v>
      </x:c>
      <x:c r="D226" s="21" t="str">
        <x:v>PIF-I01</x:v>
      </x:c>
      <x:c r="E226" s="21" t="str">
        <x:v>G04</x:v>
      </x:c>
      <x:c r="F226" s="21" t="str">
        <x:v>outward thermal rejection</x:v>
      </x:c>
      <x:c r="G226" s="21" t="n">
        <x:v>1</x:v>
      </x:c>
      <x:c r="H226" s="21" t="n">
        <x:v>1</x:v>
      </x:c>
      <x:c r="I226" s="21" t="str">
        <x:v>PASS</x:v>
      </x:c>
      <x:c r="J226" s="21" t="str">
        <x:v>all evidence heat crosses its own measured boundary</x:v>
      </x:c>
      <x:c r="K226" s="23" t="str">
        <x:v>redesign thermal boundary</x:v>
      </x:c>
    </x:row>
    <x:row r="227">
      <x:c r="B227" s="21" t="str">
        <x:v>PIF-I01-A-G05</x:v>
      </x:c>
      <x:c r="C227" s="21" t="str">
        <x:v>PIF-I01-A</x:v>
      </x:c>
      <x:c r="D227" s="21" t="str">
        <x:v>PIF-I01</x:v>
      </x:c>
      <x:c r="E227" s="21" t="str">
        <x:v>G05</x:v>
      </x:c>
      <x:c r="F227" s="21" t="str">
        <x:v>complete local original</x:v>
      </x:c>
      <x:c r="G227" s="21" t="n">
        <x:v>1</x:v>
      </x:c>
      <x:c r="H227" s="21" t="n">
        <x:v>1</x:v>
      </x:c>
      <x:c r="I227" s="21" t="str">
        <x:v>PASS</x:v>
      </x:c>
      <x:c r="J227" s="21" t="str">
        <x:v>complete original or declared bounded loss</x:v>
      </x:c>
      <x:c r="K227" s="23" t="str">
        <x:v>reject custody architecture</x:v>
      </x:c>
    </x:row>
    <x:row r="228">
      <x:c r="B228" s="21" t="str">
        <x:v>PIF-I01-A-G06</x:v>
      </x:c>
      <x:c r="C228" s="21" t="str">
        <x:v>PIF-I01-A</x:v>
      </x:c>
      <x:c r="D228" s="21" t="str">
        <x:v>PIF-I01</x:v>
      </x:c>
      <x:c r="E228" s="21" t="str">
        <x:v>G06</x:v>
      </x:c>
      <x:c r="F228" s="21" t="str">
        <x:v>denied event time</x:v>
      </x:c>
      <x:c r="G228" s="21" t="n">
        <x:v>1</x:v>
      </x:c>
      <x:c r="H228" s="21" t="n">
        <x:v>1</x:v>
      </x:c>
      <x:c r="I228" s="21" t="str">
        <x:v>PASS</x:v>
      </x:c>
      <x:c r="J228" s="21" t="str">
        <x:v>inside family U95 allocation</x:v>
      </x:c>
      <x:c r="K228" s="23" t="str">
        <x:v>redesign time roots</x:v>
      </x:c>
    </x:row>
    <x:row r="229">
      <x:c r="B229" s="21" t="str">
        <x:v>PIF-I01-A-G07</x:v>
      </x:c>
      <x:c r="C229" s="21" t="str">
        <x:v>PIF-I01-A</x:v>
      </x:c>
      <x:c r="D229" s="21" t="str">
        <x:v>PIF-I01</x:v>
      </x:c>
      <x:c r="E229" s="21" t="str">
        <x:v>G07</x:v>
      </x:c>
      <x:c r="F229" s="21" t="str">
        <x:v>physical non-actuation</x:v>
      </x:c>
      <x:c r="G229" s="21" t="n">
        <x:v>1</x:v>
      </x:c>
      <x:c r="H229" s="21" t="n">
        <x:v>1</x:v>
      </x:c>
      <x:c r="I229" s="21" t="str">
        <x:v>PASS</x:v>
      </x:c>
      <x:c r="J229" s="21" t="str">
        <x:v>teardown and injection show no useful path</x:v>
      </x:c>
      <x:c r="K229" s="23" t="str">
        <x:v>reject interface family</x:v>
      </x:c>
    </x:row>
    <x:row r="230">
      <x:c r="B230" s="21" t="str">
        <x:v>PIF-I01-A-G08</x:v>
      </x:c>
      <x:c r="C230" s="21" t="str">
        <x:v>PIF-I01-A</x:v>
      </x:c>
      <x:c r="D230" s="21" t="str">
        <x:v>PIF-I01</x:v>
      </x:c>
      <x:c r="E230" s="21" t="str">
        <x:v>G08</x:v>
      </x:c>
      <x:c r="F230" s="21" t="str">
        <x:v>hazard behavior</x:v>
      </x:c>
      <x:c r="G230" s="21" t="n">
        <x:v>1</x:v>
      </x:c>
      <x:c r="H230" s="21" t="n">
        <x:v>1</x:v>
      </x:c>
      <x:c r="I230" s="21" t="str">
        <x:v>PASS</x:v>
      </x:c>
      <x:c r="J230" s="21" t="str">
        <x:v>no silent state and safe disposition</x:v>
      </x:c>
      <x:c r="K230" s="23" t="str">
        <x:v>rework enclosure and disposition</x:v>
      </x:c>
    </x:row>
    <x:row r="231">
      <x:c r="B231" s="21" t="str">
        <x:v>PIF-I01-A-G09</x:v>
      </x:c>
      <x:c r="C231" s="21" t="str">
        <x:v>PIF-I01-A</x:v>
      </x:c>
      <x:c r="D231" s="21" t="str">
        <x:v>PIF-I01</x:v>
      </x:c>
      <x:c r="E231" s="21" t="str">
        <x:v>G09</x:v>
      </x:c>
      <x:c r="F231" s="21" t="str">
        <x:v>maintenance and quarantine</x:v>
      </x:c>
      <x:c r="G231" s="21" t="n">
        <x:v>1</x:v>
      </x:c>
      <x:c r="H231" s="21" t="n">
        <x:v>1</x:v>
      </x:c>
      <x:c r="I231" s="21" t="str">
        <x:v>PASS</x:v>
      </x:c>
      <x:c r="J231" s="21" t="str">
        <x:v>family access limit and lawful custody</x:v>
      </x:c>
      <x:c r="K231" s="23" t="str">
        <x:v>rework access package</x:v>
      </x:c>
    </x:row>
    <x:row r="232">
      <x:c r="B232" s="21" t="str">
        <x:v>PIF-I01-A-G10</x:v>
      </x:c>
      <x:c r="C232" s="21" t="str">
        <x:v>PIF-I01-A</x:v>
      </x:c>
      <x:c r="D232" s="21" t="str">
        <x:v>PIF-I01</x:v>
      </x:c>
      <x:c r="E232" s="21" t="str">
        <x:v>G10</x:v>
      </x:c>
      <x:c r="F232" s="21" t="str">
        <x:v>decisive ancestry</x:v>
      </x:c>
      <x:c r="G232" s="21" t="n">
        <x:v>1</x:v>
      </x:c>
      <x:c r="H232" s="21" t="n">
        <x:v>1</x:v>
      </x:c>
      <x:c r="I232" s="21" t="str">
        <x:v>PASS</x:v>
      </x:c>
      <x:c r="J232" s="21" t="str">
        <x:v>no undisclosed decisive root</x:v>
      </x:c>
      <x:c r="K232" s="23" t="str">
        <x:v>recompete decisive root</x:v>
      </x:c>
    </x:row>
    <x:row r="233">
      <x:c r="B233" s="21" t="str">
        <x:v>PIF-I01-A-G11</x:v>
      </x:c>
      <x:c r="C233" s="21" t="str">
        <x:v>PIF-I01-A</x:v>
      </x:c>
      <x:c r="D233" s="21" t="str">
        <x:v>PIF-I01</x:v>
      </x:c>
      <x:c r="E233" s="21" t="str">
        <x:v>G11</x:v>
      </x:c>
      <x:c r="F233" s="21" t="str">
        <x:v>technical rights and reproduction</x:v>
      </x:c>
      <x:c r="G233" s="21" t="n">
        <x:v>1</x:v>
      </x:c>
      <x:c r="H233" s="21" t="n">
        <x:v>1</x:v>
      </x:c>
      <x:c r="I233" s="21" t="str">
        <x:v>PASS</x:v>
      </x:c>
      <x:c r="J233" s="21" t="str">
        <x:v>government can reproduce the decision</x:v>
      </x:c>
      <x:c r="K233" s="23" t="str">
        <x:v>withhold reproduction authority</x:v>
      </x:c>
    </x:row>
    <x:row r="234">
      <x:c r="B234" s="21" t="str">
        <x:v>PIF-I01-A-G12</x:v>
      </x:c>
      <x:c r="C234" s="21" t="str">
        <x:v>PIF-I01-A</x:v>
      </x:c>
      <x:c r="D234" s="21" t="str">
        <x:v>PIF-I01</x:v>
      </x:c>
      <x:c r="E234" s="21" t="str">
        <x:v>G12</x:v>
      </x:c>
      <x:c r="F234" s="21" t="str">
        <x:v>facility schedule and cost</x:v>
      </x:c>
      <x:c r="G234" s="21" t="n">
        <x:v>1</x:v>
      </x:c>
      <x:c r="H234" s="21" t="n">
        <x:v>1</x:v>
      </x:c>
      <x:c r="I234" s="21" t="str">
        <x:v>PASS</x:v>
      </x:c>
      <x:c r="J234" s="21" t="str">
        <x:v>all articles available before registered need</x:v>
      </x:c>
      <x:c r="K234" s="23" t="str">
        <x:v>shift award or add capacity</x:v>
      </x:c>
    </x:row>
    <x:row r="235">
      <x:c r="B235" s="21" t="str">
        <x:v>PIF-I01-B-G01</x:v>
      </x:c>
      <x:c r="C235" s="21" t="str">
        <x:v>PIF-I01-B</x:v>
      </x:c>
      <x:c r="D235" s="21" t="str">
        <x:v>PIF-I01</x:v>
      </x:c>
      <x:c r="E235" s="21" t="str">
        <x:v>G01</x:v>
      </x:c>
      <x:c r="F235" s="21" t="str">
        <x:v>public effect boundary</x:v>
      </x:c>
      <x:c r="G235" s="21" t="n">
        <x:v>1</x:v>
      </x:c>
      <x:c r="H235" s="21" t="n">
        <x:v>1</x:v>
      </x:c>
      <x:c r="I235" s="21" t="str">
        <x:v>PASS</x:v>
      </x:c>
      <x:c r="J235" s="21" t="str">
        <x:v>complete local decision and invalid-state grammar</x:v>
      </x:c>
      <x:c r="K235" s="23" t="str">
        <x:v>reject mission substitution</x:v>
      </x:c>
    </x:row>
    <x:row r="236">
      <x:c r="B236" s="21" t="str">
        <x:v>PIF-I01-B-G02</x:v>
      </x:c>
      <x:c r="C236" s="21" t="str">
        <x:v>PIF-I01-B</x:v>
      </x:c>
      <x:c r="D236" s="21" t="str">
        <x:v>PIF-I01</x:v>
      </x:c>
      <x:c r="E236" s="21" t="str">
        <x:v>G02</x:v>
      </x:c>
      <x:c r="F236" s="21" t="str">
        <x:v>mass volume and reserve</x:v>
      </x:c>
      <x:c r="G236" s="21" t="n">
        <x:v>1</x:v>
      </x:c>
      <x:c r="H236" s="21" t="n">
        <x:v>1</x:v>
      </x:c>
      <x:c r="I236" s="21" t="str">
        <x:v>PASS</x:v>
      </x:c>
      <x:c r="J236" s="21" t="str">
        <x:v>inside frozen family envelope with both reserves explicit</x:v>
      </x:c>
      <x:c r="K236" s="23" t="str">
        <x:v>reopen burden allocation</x:v>
      </x:c>
    </x:row>
    <x:row r="237">
      <x:c r="B237" s="21" t="str">
        <x:v>PIF-I01-B-G03</x:v>
      </x:c>
      <x:c r="C237" s="21" t="str">
        <x:v>PIF-I01-B</x:v>
      </x:c>
      <x:c r="D237" s="21" t="str">
        <x:v>PIF-I01</x:v>
      </x:c>
      <x:c r="E237" s="21" t="str">
        <x:v>G03</x:v>
      </x:c>
      <x:c r="F237" s="21" t="str">
        <x:v>independent endurance</x:v>
      </x:c>
      <x:c r="G237" s="21" t="n">
        <x:v>1</x:v>
      </x:c>
      <x:c r="H237" s="21" t="n">
        <x:v>1</x:v>
      </x:c>
      <x:c r="I237" s="21" t="str">
        <x:v>PASS</x:v>
      </x:c>
      <x:c r="J237" s="21" t="str">
        <x:v>full interval and registered peak sequence</x:v>
      </x:c>
      <x:c r="K237" s="23" t="str">
        <x:v>redesign autonomous energy</x:v>
      </x:c>
    </x:row>
    <x:row r="238">
      <x:c r="B238" s="21" t="str">
        <x:v>PIF-I01-B-G04</x:v>
      </x:c>
      <x:c r="C238" s="21" t="str">
        <x:v>PIF-I01-B</x:v>
      </x:c>
      <x:c r="D238" s="21" t="str">
        <x:v>PIF-I01</x:v>
      </x:c>
      <x:c r="E238" s="21" t="str">
        <x:v>G04</x:v>
      </x:c>
      <x:c r="F238" s="21" t="str">
        <x:v>outward thermal rejection</x:v>
      </x:c>
      <x:c r="G238" s="21" t="n">
        <x:v>1</x:v>
      </x:c>
      <x:c r="H238" s="21" t="n">
        <x:v>1</x:v>
      </x:c>
      <x:c r="I238" s="21" t="str">
        <x:v>PASS</x:v>
      </x:c>
      <x:c r="J238" s="21" t="str">
        <x:v>all evidence heat crosses its own measured boundary</x:v>
      </x:c>
      <x:c r="K238" s="23" t="str">
        <x:v>redesign thermal boundary</x:v>
      </x:c>
    </x:row>
    <x:row r="239">
      <x:c r="B239" s="21" t="str">
        <x:v>PIF-I01-B-G05</x:v>
      </x:c>
      <x:c r="C239" s="21" t="str">
        <x:v>PIF-I01-B</x:v>
      </x:c>
      <x:c r="D239" s="21" t="str">
        <x:v>PIF-I01</x:v>
      </x:c>
      <x:c r="E239" s="21" t="str">
        <x:v>G05</x:v>
      </x:c>
      <x:c r="F239" s="21" t="str">
        <x:v>complete local original</x:v>
      </x:c>
      <x:c r="G239" s="21" t="n">
        <x:v>1</x:v>
      </x:c>
      <x:c r="H239" s="21" t="n">
        <x:v>1</x:v>
      </x:c>
      <x:c r="I239" s="21" t="str">
        <x:v>PASS</x:v>
      </x:c>
      <x:c r="J239" s="21" t="str">
        <x:v>complete original or declared bounded loss</x:v>
      </x:c>
      <x:c r="K239" s="23" t="str">
        <x:v>reject custody architecture</x:v>
      </x:c>
    </x:row>
    <x:row r="240">
      <x:c r="B240" s="21" t="str">
        <x:v>PIF-I01-B-G06</x:v>
      </x:c>
      <x:c r="C240" s="21" t="str">
        <x:v>PIF-I01-B</x:v>
      </x:c>
      <x:c r="D240" s="21" t="str">
        <x:v>PIF-I01</x:v>
      </x:c>
      <x:c r="E240" s="21" t="str">
        <x:v>G06</x:v>
      </x:c>
      <x:c r="F240" s="21" t="str">
        <x:v>denied event time</x:v>
      </x:c>
      <x:c r="G240" s="21" t="n">
        <x:v>1</x:v>
      </x:c>
      <x:c r="H240" s="21" t="n">
        <x:v>1</x:v>
      </x:c>
      <x:c r="I240" s="21" t="str">
        <x:v>PASS</x:v>
      </x:c>
      <x:c r="J240" s="21" t="str">
        <x:v>inside family U95 allocation</x:v>
      </x:c>
      <x:c r="K240" s="23" t="str">
        <x:v>redesign time roots</x:v>
      </x:c>
    </x:row>
    <x:row r="241">
      <x:c r="B241" s="21" t="str">
        <x:v>PIF-I01-B-G07</x:v>
      </x:c>
      <x:c r="C241" s="21" t="str">
        <x:v>PIF-I01-B</x:v>
      </x:c>
      <x:c r="D241" s="21" t="str">
        <x:v>PIF-I01</x:v>
      </x:c>
      <x:c r="E241" s="21" t="str">
        <x:v>G07</x:v>
      </x:c>
      <x:c r="F241" s="21" t="str">
        <x:v>physical non-actuation</x:v>
      </x:c>
      <x:c r="G241" s="21" t="n">
        <x:v>1</x:v>
      </x:c>
      <x:c r="H241" s="21" t="n">
        <x:v>1</x:v>
      </x:c>
      <x:c r="I241" s="21" t="str">
        <x:v>PASS</x:v>
      </x:c>
      <x:c r="J241" s="21" t="str">
        <x:v>teardown and injection show no useful path</x:v>
      </x:c>
      <x:c r="K241" s="23" t="str">
        <x:v>reject interface family</x:v>
      </x:c>
    </x:row>
    <x:row r="242">
      <x:c r="B242" s="21" t="str">
        <x:v>PIF-I01-B-G08</x:v>
      </x:c>
      <x:c r="C242" s="21" t="str">
        <x:v>PIF-I01-B</x:v>
      </x:c>
      <x:c r="D242" s="21" t="str">
        <x:v>PIF-I01</x:v>
      </x:c>
      <x:c r="E242" s="21" t="str">
        <x:v>G08</x:v>
      </x:c>
      <x:c r="F242" s="21" t="str">
        <x:v>hazard behavior</x:v>
      </x:c>
      <x:c r="G242" s="21" t="n">
        <x:v>1</x:v>
      </x:c>
      <x:c r="H242" s="21" t="n">
        <x:v>1</x:v>
      </x:c>
      <x:c r="I242" s="21" t="str">
        <x:v>PASS</x:v>
      </x:c>
      <x:c r="J242" s="21" t="str">
        <x:v>no silent state and safe disposition</x:v>
      </x:c>
      <x:c r="K242" s="23" t="str">
        <x:v>rework enclosure and disposition</x:v>
      </x:c>
    </x:row>
    <x:row r="243">
      <x:c r="B243" s="21" t="str">
        <x:v>PIF-I01-B-G09</x:v>
      </x:c>
      <x:c r="C243" s="21" t="str">
        <x:v>PIF-I01-B</x:v>
      </x:c>
      <x:c r="D243" s="21" t="str">
        <x:v>PIF-I01</x:v>
      </x:c>
      <x:c r="E243" s="21" t="str">
        <x:v>G09</x:v>
      </x:c>
      <x:c r="F243" s="21" t="str">
        <x:v>maintenance and quarantine</x:v>
      </x:c>
      <x:c r="G243" s="21" t="n">
        <x:v>1</x:v>
      </x:c>
      <x:c r="H243" s="21" t="n">
        <x:v>1</x:v>
      </x:c>
      <x:c r="I243" s="21" t="str">
        <x:v>PASS</x:v>
      </x:c>
      <x:c r="J243" s="21" t="str">
        <x:v>family access limit and lawful custody</x:v>
      </x:c>
      <x:c r="K243" s="23" t="str">
        <x:v>rework access package</x:v>
      </x:c>
    </x:row>
    <x:row r="244">
      <x:c r="B244" s="21" t="str">
        <x:v>PIF-I01-B-G10</x:v>
      </x:c>
      <x:c r="C244" s="21" t="str">
        <x:v>PIF-I01-B</x:v>
      </x:c>
      <x:c r="D244" s="21" t="str">
        <x:v>PIF-I01</x:v>
      </x:c>
      <x:c r="E244" s="21" t="str">
        <x:v>G10</x:v>
      </x:c>
      <x:c r="F244" s="21" t="str">
        <x:v>decisive ancestry</x:v>
      </x:c>
      <x:c r="G244" s="21" t="n">
        <x:v>1</x:v>
      </x:c>
      <x:c r="H244" s="21" t="n">
        <x:v>1</x:v>
      </x:c>
      <x:c r="I244" s="21" t="str">
        <x:v>PASS</x:v>
      </x:c>
      <x:c r="J244" s="21" t="str">
        <x:v>no undisclosed decisive root</x:v>
      </x:c>
      <x:c r="K244" s="23" t="str">
        <x:v>recompete decisive root</x:v>
      </x:c>
    </x:row>
    <x:row r="245">
      <x:c r="B245" s="21" t="str">
        <x:v>PIF-I01-B-G11</x:v>
      </x:c>
      <x:c r="C245" s="21" t="str">
        <x:v>PIF-I01-B</x:v>
      </x:c>
      <x:c r="D245" s="21" t="str">
        <x:v>PIF-I01</x:v>
      </x:c>
      <x:c r="E245" s="21" t="str">
        <x:v>G11</x:v>
      </x:c>
      <x:c r="F245" s="21" t="str">
        <x:v>technical rights and reproduction</x:v>
      </x:c>
      <x:c r="G245" s="21" t="n">
        <x:v>1</x:v>
      </x:c>
      <x:c r="H245" s="21" t="n">
        <x:v>1</x:v>
      </x:c>
      <x:c r="I245" s="21" t="str">
        <x:v>PASS</x:v>
      </x:c>
      <x:c r="J245" s="21" t="str">
        <x:v>government can reproduce the decision</x:v>
      </x:c>
      <x:c r="K245" s="23" t="str">
        <x:v>withhold reproduction authority</x:v>
      </x:c>
    </x:row>
    <x:row r="246">
      <x:c r="B246" s="21" t="str">
        <x:v>PIF-I01-B-G12</x:v>
      </x:c>
      <x:c r="C246" s="21" t="str">
        <x:v>PIF-I01-B</x:v>
      </x:c>
      <x:c r="D246" s="21" t="str">
        <x:v>PIF-I01</x:v>
      </x:c>
      <x:c r="E246" s="21" t="str">
        <x:v>G12</x:v>
      </x:c>
      <x:c r="F246" s="21" t="str">
        <x:v>facility schedule and cost</x:v>
      </x:c>
      <x:c r="G246" s="21" t="n">
        <x:v>1</x:v>
      </x:c>
      <x:c r="H246" s="21" t="n">
        <x:v>1</x:v>
      </x:c>
      <x:c r="I246" s="21" t="str">
        <x:v>PASS</x:v>
      </x:c>
      <x:c r="J246" s="21" t="str">
        <x:v>all articles available before registered need</x:v>
      </x:c>
      <x:c r="K246" s="23" t="str">
        <x:v>shift award or add capacity</x:v>
      </x:c>
    </x:row>
    <x:row r="247">
      <x:c r="B247" s="21" t="str">
        <x:v>PIF-I01-C-G01</x:v>
      </x:c>
      <x:c r="C247" s="21" t="str">
        <x:v>PIF-I01-C</x:v>
      </x:c>
      <x:c r="D247" s="21" t="str">
        <x:v>PIF-I01</x:v>
      </x:c>
      <x:c r="E247" s="21" t="str">
        <x:v>G01</x:v>
      </x:c>
      <x:c r="F247" s="21" t="str">
        <x:v>public effect boundary</x:v>
      </x:c>
      <x:c r="G247" s="21" t="n">
        <x:v>1</x:v>
      </x:c>
      <x:c r="H247" s="21" t="n">
        <x:v>1</x:v>
      </x:c>
      <x:c r="I247" s="21" t="str">
        <x:v>PASS</x:v>
      </x:c>
      <x:c r="J247" s="21" t="str">
        <x:v>complete local decision and invalid-state grammar</x:v>
      </x:c>
      <x:c r="K247" s="23" t="str">
        <x:v>reject mission substitution</x:v>
      </x:c>
    </x:row>
    <x:row r="248">
      <x:c r="B248" s="21" t="str">
        <x:v>PIF-I01-C-G02</x:v>
      </x:c>
      <x:c r="C248" s="21" t="str">
        <x:v>PIF-I01-C</x:v>
      </x:c>
      <x:c r="D248" s="21" t="str">
        <x:v>PIF-I01</x:v>
      </x:c>
      <x:c r="E248" s="21" t="str">
        <x:v>G02</x:v>
      </x:c>
      <x:c r="F248" s="21" t="str">
        <x:v>mass volume and reserve</x:v>
      </x:c>
      <x:c r="G248" s="21" t="n">
        <x:v>1</x:v>
      </x:c>
      <x:c r="H248" s="21" t="n">
        <x:v>1</x:v>
      </x:c>
      <x:c r="I248" s="21" t="str">
        <x:v>PASS</x:v>
      </x:c>
      <x:c r="J248" s="21" t="str">
        <x:v>inside frozen family envelope with both reserves explicit</x:v>
      </x:c>
      <x:c r="K248" s="23" t="str">
        <x:v>reopen burden allocation</x:v>
      </x:c>
    </x:row>
    <x:row r="249">
      <x:c r="B249" s="21" t="str">
        <x:v>PIF-I01-C-G03</x:v>
      </x:c>
      <x:c r="C249" s="21" t="str">
        <x:v>PIF-I01-C</x:v>
      </x:c>
      <x:c r="D249" s="21" t="str">
        <x:v>PIF-I01</x:v>
      </x:c>
      <x:c r="E249" s="21" t="str">
        <x:v>G03</x:v>
      </x:c>
      <x:c r="F249" s="21" t="str">
        <x:v>independent endurance</x:v>
      </x:c>
      <x:c r="G249" s="21" t="n">
        <x:v>1</x:v>
      </x:c>
      <x:c r="H249" s="21" t="n">
        <x:v>1</x:v>
      </x:c>
      <x:c r="I249" s="21" t="str">
        <x:v>PASS</x:v>
      </x:c>
      <x:c r="J249" s="21" t="str">
        <x:v>full interval and registered peak sequence</x:v>
      </x:c>
      <x:c r="K249" s="23" t="str">
        <x:v>redesign autonomous energy</x:v>
      </x:c>
    </x:row>
    <x:row r="250">
      <x:c r="B250" s="21" t="str">
        <x:v>PIF-I01-C-G04</x:v>
      </x:c>
      <x:c r="C250" s="21" t="str">
        <x:v>PIF-I01-C</x:v>
      </x:c>
      <x:c r="D250" s="21" t="str">
        <x:v>PIF-I01</x:v>
      </x:c>
      <x:c r="E250" s="21" t="str">
        <x:v>G04</x:v>
      </x:c>
      <x:c r="F250" s="21" t="str">
        <x:v>outward thermal rejection</x:v>
      </x:c>
      <x:c r="G250" s="21" t="n">
        <x:v>1</x:v>
      </x:c>
      <x:c r="H250" s="21" t="n">
        <x:v>1</x:v>
      </x:c>
      <x:c r="I250" s="21" t="str">
        <x:v>PASS</x:v>
      </x:c>
      <x:c r="J250" s="21" t="str">
        <x:v>all evidence heat crosses its own measured boundary</x:v>
      </x:c>
      <x:c r="K250" s="23" t="str">
        <x:v>redesign thermal boundary</x:v>
      </x:c>
    </x:row>
    <x:row r="251">
      <x:c r="B251" s="21" t="str">
        <x:v>PIF-I01-C-G05</x:v>
      </x:c>
      <x:c r="C251" s="21" t="str">
        <x:v>PIF-I01-C</x:v>
      </x:c>
      <x:c r="D251" s="21" t="str">
        <x:v>PIF-I01</x:v>
      </x:c>
      <x:c r="E251" s="21" t="str">
        <x:v>G05</x:v>
      </x:c>
      <x:c r="F251" s="21" t="str">
        <x:v>complete local original</x:v>
      </x:c>
      <x:c r="G251" s="21" t="n">
        <x:v>1</x:v>
      </x:c>
      <x:c r="H251" s="21" t="n">
        <x:v>1</x:v>
      </x:c>
      <x:c r="I251" s="21" t="str">
        <x:v>PASS</x:v>
      </x:c>
      <x:c r="J251" s="21" t="str">
        <x:v>complete original or declared bounded loss</x:v>
      </x:c>
      <x:c r="K251" s="23" t="str">
        <x:v>reject custody architecture</x:v>
      </x:c>
    </x:row>
    <x:row r="252">
      <x:c r="B252" s="21" t="str">
        <x:v>PIF-I01-C-G06</x:v>
      </x:c>
      <x:c r="C252" s="21" t="str">
        <x:v>PIF-I01-C</x:v>
      </x:c>
      <x:c r="D252" s="21" t="str">
        <x:v>PIF-I01</x:v>
      </x:c>
      <x:c r="E252" s="21" t="str">
        <x:v>G06</x:v>
      </x:c>
      <x:c r="F252" s="21" t="str">
        <x:v>denied event time</x:v>
      </x:c>
      <x:c r="G252" s="21" t="n">
        <x:v>1</x:v>
      </x:c>
      <x:c r="H252" s="21" t="n">
        <x:v>1</x:v>
      </x:c>
      <x:c r="I252" s="21" t="str">
        <x:v>PASS</x:v>
      </x:c>
      <x:c r="J252" s="21" t="str">
        <x:v>inside family U95 allocation</x:v>
      </x:c>
      <x:c r="K252" s="23" t="str">
        <x:v>redesign time roots</x:v>
      </x:c>
    </x:row>
    <x:row r="253">
      <x:c r="B253" s="21" t="str">
        <x:v>PIF-I01-C-G07</x:v>
      </x:c>
      <x:c r="C253" s="21" t="str">
        <x:v>PIF-I01-C</x:v>
      </x:c>
      <x:c r="D253" s="21" t="str">
        <x:v>PIF-I01</x:v>
      </x:c>
      <x:c r="E253" s="21" t="str">
        <x:v>G07</x:v>
      </x:c>
      <x:c r="F253" s="21" t="str">
        <x:v>physical non-actuation</x:v>
      </x:c>
      <x:c r="G253" s="21" t="n">
        <x:v>1</x:v>
      </x:c>
      <x:c r="H253" s="21" t="n">
        <x:v>1</x:v>
      </x:c>
      <x:c r="I253" s="21" t="str">
        <x:v>PASS</x:v>
      </x:c>
      <x:c r="J253" s="21" t="str">
        <x:v>teardown and injection show no useful path</x:v>
      </x:c>
      <x:c r="K253" s="23" t="str">
        <x:v>reject interface family</x:v>
      </x:c>
    </x:row>
    <x:row r="254">
      <x:c r="B254" s="21" t="str">
        <x:v>PIF-I01-C-G08</x:v>
      </x:c>
      <x:c r="C254" s="21" t="str">
        <x:v>PIF-I01-C</x:v>
      </x:c>
      <x:c r="D254" s="21" t="str">
        <x:v>PIF-I01</x:v>
      </x:c>
      <x:c r="E254" s="21" t="str">
        <x:v>G08</x:v>
      </x:c>
      <x:c r="F254" s="21" t="str">
        <x:v>hazard behavior</x:v>
      </x:c>
      <x:c r="G254" s="21" t="n">
        <x:v>0</x:v>
      </x:c>
      <x:c r="H254" s="21" t="n">
        <x:v>1</x:v>
      </x:c>
      <x:c r="I254" s="21" t="str">
        <x:v>FAIL</x:v>
      </x:c>
      <x:c r="J254" s="21" t="str">
        <x:v>no silent state and safe disposition</x:v>
      </x:c>
      <x:c r="K254" s="23" t="str">
        <x:v>rework enclosure and disposition</x:v>
      </x:c>
    </x:row>
    <x:row r="255">
      <x:c r="B255" s="21" t="str">
        <x:v>PIF-I01-C-G09</x:v>
      </x:c>
      <x:c r="C255" s="21" t="str">
        <x:v>PIF-I01-C</x:v>
      </x:c>
      <x:c r="D255" s="21" t="str">
        <x:v>PIF-I01</x:v>
      </x:c>
      <x:c r="E255" s="21" t="str">
        <x:v>G09</x:v>
      </x:c>
      <x:c r="F255" s="21" t="str">
        <x:v>maintenance and quarantine</x:v>
      </x:c>
      <x:c r="G255" s="21" t="n">
        <x:v>1</x:v>
      </x:c>
      <x:c r="H255" s="21" t="n">
        <x:v>1</x:v>
      </x:c>
      <x:c r="I255" s="21" t="str">
        <x:v>PASS</x:v>
      </x:c>
      <x:c r="J255" s="21" t="str">
        <x:v>family access limit and lawful custody</x:v>
      </x:c>
      <x:c r="K255" s="23" t="str">
        <x:v>rework access package</x:v>
      </x:c>
    </x:row>
    <x:row r="256">
      <x:c r="B256" s="21" t="str">
        <x:v>PIF-I01-C-G10</x:v>
      </x:c>
      <x:c r="C256" s="21" t="str">
        <x:v>PIF-I01-C</x:v>
      </x:c>
      <x:c r="D256" s="21" t="str">
        <x:v>PIF-I01</x:v>
      </x:c>
      <x:c r="E256" s="21" t="str">
        <x:v>G10</x:v>
      </x:c>
      <x:c r="F256" s="21" t="str">
        <x:v>decisive ancestry</x:v>
      </x:c>
      <x:c r="G256" s="21" t="n">
        <x:v>1</x:v>
      </x:c>
      <x:c r="H256" s="21" t="n">
        <x:v>1</x:v>
      </x:c>
      <x:c r="I256" s="21" t="str">
        <x:v>PASS</x:v>
      </x:c>
      <x:c r="J256" s="21" t="str">
        <x:v>no undisclosed decisive root</x:v>
      </x:c>
      <x:c r="K256" s="23" t="str">
        <x:v>recompete decisive root</x:v>
      </x:c>
    </x:row>
    <x:row r="257">
      <x:c r="B257" s="21" t="str">
        <x:v>PIF-I01-C-G11</x:v>
      </x:c>
      <x:c r="C257" s="21" t="str">
        <x:v>PIF-I01-C</x:v>
      </x:c>
      <x:c r="D257" s="21" t="str">
        <x:v>PIF-I01</x:v>
      </x:c>
      <x:c r="E257" s="21" t="str">
        <x:v>G11</x:v>
      </x:c>
      <x:c r="F257" s="21" t="str">
        <x:v>technical rights and reproduction</x:v>
      </x:c>
      <x:c r="G257" s="21" t="n">
        <x:v>1</x:v>
      </x:c>
      <x:c r="H257" s="21" t="n">
        <x:v>1</x:v>
      </x:c>
      <x:c r="I257" s="21" t="str">
        <x:v>PASS</x:v>
      </x:c>
      <x:c r="J257" s="21" t="str">
        <x:v>government can reproduce the decision</x:v>
      </x:c>
      <x:c r="K257" s="23" t="str">
        <x:v>withhold reproduction authority</x:v>
      </x:c>
    </x:row>
    <x:row r="258">
      <x:c r="B258" s="21" t="str">
        <x:v>PIF-I01-C-G12</x:v>
      </x:c>
      <x:c r="C258" s="21" t="str">
        <x:v>PIF-I01-C</x:v>
      </x:c>
      <x:c r="D258" s="21" t="str">
        <x:v>PIF-I01</x:v>
      </x:c>
      <x:c r="E258" s="21" t="str">
        <x:v>G12</x:v>
      </x:c>
      <x:c r="F258" s="21" t="str">
        <x:v>facility schedule and cost</x:v>
      </x:c>
      <x:c r="G258" s="21" t="n">
        <x:v>1</x:v>
      </x:c>
      <x:c r="H258" s="21" t="n">
        <x:v>1</x:v>
      </x:c>
      <x:c r="I258" s="21" t="str">
        <x:v>PASS</x:v>
      </x:c>
      <x:c r="J258" s="21" t="str">
        <x:v>all articles available before registered need</x:v>
      </x:c>
      <x:c r="K258" s="23" t="str">
        <x:v>shift award or add capacity</x:v>
      </x:c>
    </x:row>
    <x:row r="259">
      <x:c r="B259" s="21" t="str">
        <x:v>EPS-P01-A-G01</x:v>
      </x:c>
      <x:c r="C259" s="21" t="str">
        <x:v>EPS-P01-A</x:v>
      </x:c>
      <x:c r="D259" s="21" t="str">
        <x:v>EPS-P01</x:v>
      </x:c>
      <x:c r="E259" s="21" t="str">
        <x:v>G01</x:v>
      </x:c>
      <x:c r="F259" s="21" t="str">
        <x:v>public effect boundary</x:v>
      </x:c>
      <x:c r="G259" s="21" t="n">
        <x:v>1</x:v>
      </x:c>
      <x:c r="H259" s="21" t="n">
        <x:v>1</x:v>
      </x:c>
      <x:c r="I259" s="21" t="str">
        <x:v>PASS</x:v>
      </x:c>
      <x:c r="J259" s="21" t="str">
        <x:v>complete local decision and invalid-state grammar</x:v>
      </x:c>
      <x:c r="K259" s="23" t="str">
        <x:v>reject mission substitution</x:v>
      </x:c>
    </x:row>
    <x:row r="260">
      <x:c r="B260" s="21" t="str">
        <x:v>EPS-P01-A-G02</x:v>
      </x:c>
      <x:c r="C260" s="21" t="str">
        <x:v>EPS-P01-A</x:v>
      </x:c>
      <x:c r="D260" s="21" t="str">
        <x:v>EPS-P01</x:v>
      </x:c>
      <x:c r="E260" s="21" t="str">
        <x:v>G02</x:v>
      </x:c>
      <x:c r="F260" s="21" t="str">
        <x:v>mass volume and reserve</x:v>
      </x:c>
      <x:c r="G260" s="21" t="n">
        <x:v>1</x:v>
      </x:c>
      <x:c r="H260" s="21" t="n">
        <x:v>1</x:v>
      </x:c>
      <x:c r="I260" s="21" t="str">
        <x:v>PASS</x:v>
      </x:c>
      <x:c r="J260" s="21" t="str">
        <x:v>inside frozen family envelope with both reserves explicit</x:v>
      </x:c>
      <x:c r="K260" s="23" t="str">
        <x:v>reopen burden allocation</x:v>
      </x:c>
    </x:row>
    <x:row r="261">
      <x:c r="B261" s="21" t="str">
        <x:v>EPS-P01-A-G03</x:v>
      </x:c>
      <x:c r="C261" s="21" t="str">
        <x:v>EPS-P01-A</x:v>
      </x:c>
      <x:c r="D261" s="21" t="str">
        <x:v>EPS-P01</x:v>
      </x:c>
      <x:c r="E261" s="21" t="str">
        <x:v>G03</x:v>
      </x:c>
      <x:c r="F261" s="21" t="str">
        <x:v>independent endurance</x:v>
      </x:c>
      <x:c r="G261" s="21" t="n">
        <x:v>1</x:v>
      </x:c>
      <x:c r="H261" s="21" t="n">
        <x:v>1</x:v>
      </x:c>
      <x:c r="I261" s="21" t="str">
        <x:v>PASS</x:v>
      </x:c>
      <x:c r="J261" s="21" t="str">
        <x:v>full interval and registered peak sequence</x:v>
      </x:c>
      <x:c r="K261" s="23" t="str">
        <x:v>redesign autonomous energy</x:v>
      </x:c>
    </x:row>
    <x:row r="262">
      <x:c r="B262" s="21" t="str">
        <x:v>EPS-P01-A-G04</x:v>
      </x:c>
      <x:c r="C262" s="21" t="str">
        <x:v>EPS-P01-A</x:v>
      </x:c>
      <x:c r="D262" s="21" t="str">
        <x:v>EPS-P01</x:v>
      </x:c>
      <x:c r="E262" s="21" t="str">
        <x:v>G04</x:v>
      </x:c>
      <x:c r="F262" s="21" t="str">
        <x:v>outward thermal rejection</x:v>
      </x:c>
      <x:c r="G262" s="21" t="n">
        <x:v>1</x:v>
      </x:c>
      <x:c r="H262" s="21" t="n">
        <x:v>1</x:v>
      </x:c>
      <x:c r="I262" s="21" t="str">
        <x:v>PASS</x:v>
      </x:c>
      <x:c r="J262" s="21" t="str">
        <x:v>all evidence heat crosses its own measured boundary</x:v>
      </x:c>
      <x:c r="K262" s="23" t="str">
        <x:v>redesign thermal boundary</x:v>
      </x:c>
    </x:row>
    <x:row r="263">
      <x:c r="B263" s="21" t="str">
        <x:v>EPS-P01-A-G05</x:v>
      </x:c>
      <x:c r="C263" s="21" t="str">
        <x:v>EPS-P01-A</x:v>
      </x:c>
      <x:c r="D263" s="21" t="str">
        <x:v>EPS-P01</x:v>
      </x:c>
      <x:c r="E263" s="21" t="str">
        <x:v>G05</x:v>
      </x:c>
      <x:c r="F263" s="21" t="str">
        <x:v>complete local original</x:v>
      </x:c>
      <x:c r="G263" s="21" t="n">
        <x:v>1</x:v>
      </x:c>
      <x:c r="H263" s="21" t="n">
        <x:v>1</x:v>
      </x:c>
      <x:c r="I263" s="21" t="str">
        <x:v>PASS</x:v>
      </x:c>
      <x:c r="J263" s="21" t="str">
        <x:v>complete original or declared bounded loss</x:v>
      </x:c>
      <x:c r="K263" s="23" t="str">
        <x:v>reject custody architecture</x:v>
      </x:c>
    </x:row>
    <x:row r="264">
      <x:c r="B264" s="21" t="str">
        <x:v>EPS-P01-A-G06</x:v>
      </x:c>
      <x:c r="C264" s="21" t="str">
        <x:v>EPS-P01-A</x:v>
      </x:c>
      <x:c r="D264" s="21" t="str">
        <x:v>EPS-P01</x:v>
      </x:c>
      <x:c r="E264" s="21" t="str">
        <x:v>G06</x:v>
      </x:c>
      <x:c r="F264" s="21" t="str">
        <x:v>denied event time</x:v>
      </x:c>
      <x:c r="G264" s="21" t="n">
        <x:v>1</x:v>
      </x:c>
      <x:c r="H264" s="21" t="n">
        <x:v>1</x:v>
      </x:c>
      <x:c r="I264" s="21" t="str">
        <x:v>PASS</x:v>
      </x:c>
      <x:c r="J264" s="21" t="str">
        <x:v>inside family U95 allocation</x:v>
      </x:c>
      <x:c r="K264" s="23" t="str">
        <x:v>redesign time roots</x:v>
      </x:c>
    </x:row>
    <x:row r="265">
      <x:c r="B265" s="21" t="str">
        <x:v>EPS-P01-A-G07</x:v>
      </x:c>
      <x:c r="C265" s="21" t="str">
        <x:v>EPS-P01-A</x:v>
      </x:c>
      <x:c r="D265" s="21" t="str">
        <x:v>EPS-P01</x:v>
      </x:c>
      <x:c r="E265" s="21" t="str">
        <x:v>G07</x:v>
      </x:c>
      <x:c r="F265" s="21" t="str">
        <x:v>physical non-actuation</x:v>
      </x:c>
      <x:c r="G265" s="21" t="n">
        <x:v>1</x:v>
      </x:c>
      <x:c r="H265" s="21" t="n">
        <x:v>1</x:v>
      </x:c>
      <x:c r="I265" s="21" t="str">
        <x:v>PASS</x:v>
      </x:c>
      <x:c r="J265" s="21" t="str">
        <x:v>teardown and injection show no useful path</x:v>
      </x:c>
      <x:c r="K265" s="23" t="str">
        <x:v>reject interface family</x:v>
      </x:c>
    </x:row>
    <x:row r="266">
      <x:c r="B266" s="21" t="str">
        <x:v>EPS-P01-A-G08</x:v>
      </x:c>
      <x:c r="C266" s="21" t="str">
        <x:v>EPS-P01-A</x:v>
      </x:c>
      <x:c r="D266" s="21" t="str">
        <x:v>EPS-P01</x:v>
      </x:c>
      <x:c r="E266" s="21" t="str">
        <x:v>G08</x:v>
      </x:c>
      <x:c r="F266" s="21" t="str">
        <x:v>hazard behavior</x:v>
      </x:c>
      <x:c r="G266" s="21" t="n">
        <x:v>1</x:v>
      </x:c>
      <x:c r="H266" s="21" t="n">
        <x:v>1</x:v>
      </x:c>
      <x:c r="I266" s="21" t="str">
        <x:v>PASS</x:v>
      </x:c>
      <x:c r="J266" s="21" t="str">
        <x:v>no silent state and safe disposition</x:v>
      </x:c>
      <x:c r="K266" s="23" t="str">
        <x:v>rework enclosure and disposition</x:v>
      </x:c>
    </x:row>
    <x:row r="267">
      <x:c r="B267" s="21" t="str">
        <x:v>EPS-P01-A-G09</x:v>
      </x:c>
      <x:c r="C267" s="21" t="str">
        <x:v>EPS-P01-A</x:v>
      </x:c>
      <x:c r="D267" s="21" t="str">
        <x:v>EPS-P01</x:v>
      </x:c>
      <x:c r="E267" s="21" t="str">
        <x:v>G09</x:v>
      </x:c>
      <x:c r="F267" s="21" t="str">
        <x:v>maintenance and quarantine</x:v>
      </x:c>
      <x:c r="G267" s="21" t="n">
        <x:v>1</x:v>
      </x:c>
      <x:c r="H267" s="21" t="n">
        <x:v>1</x:v>
      </x:c>
      <x:c r="I267" s="21" t="str">
        <x:v>PASS</x:v>
      </x:c>
      <x:c r="J267" s="21" t="str">
        <x:v>family access limit and lawful custody</x:v>
      </x:c>
      <x:c r="K267" s="23" t="str">
        <x:v>rework access package</x:v>
      </x:c>
    </x:row>
    <x:row r="268">
      <x:c r="B268" s="21" t="str">
        <x:v>EPS-P01-A-G10</x:v>
      </x:c>
      <x:c r="C268" s="21" t="str">
        <x:v>EPS-P01-A</x:v>
      </x:c>
      <x:c r="D268" s="21" t="str">
        <x:v>EPS-P01</x:v>
      </x:c>
      <x:c r="E268" s="21" t="str">
        <x:v>G10</x:v>
      </x:c>
      <x:c r="F268" s="21" t="str">
        <x:v>decisive ancestry</x:v>
      </x:c>
      <x:c r="G268" s="21" t="n">
        <x:v>1</x:v>
      </x:c>
      <x:c r="H268" s="21" t="n">
        <x:v>1</x:v>
      </x:c>
      <x:c r="I268" s="21" t="str">
        <x:v>PASS</x:v>
      </x:c>
      <x:c r="J268" s="21" t="str">
        <x:v>no undisclosed decisive root</x:v>
      </x:c>
      <x:c r="K268" s="23" t="str">
        <x:v>recompete decisive root</x:v>
      </x:c>
    </x:row>
    <x:row r="269">
      <x:c r="B269" s="21" t="str">
        <x:v>EPS-P01-A-G11</x:v>
      </x:c>
      <x:c r="C269" s="21" t="str">
        <x:v>EPS-P01-A</x:v>
      </x:c>
      <x:c r="D269" s="21" t="str">
        <x:v>EPS-P01</x:v>
      </x:c>
      <x:c r="E269" s="21" t="str">
        <x:v>G11</x:v>
      </x:c>
      <x:c r="F269" s="21" t="str">
        <x:v>technical rights and reproduction</x:v>
      </x:c>
      <x:c r="G269" s="21" t="n">
        <x:v>1</x:v>
      </x:c>
      <x:c r="H269" s="21" t="n">
        <x:v>1</x:v>
      </x:c>
      <x:c r="I269" s="21" t="str">
        <x:v>PASS</x:v>
      </x:c>
      <x:c r="J269" s="21" t="str">
        <x:v>government can reproduce the decision</x:v>
      </x:c>
      <x:c r="K269" s="23" t="str">
        <x:v>withhold reproduction authority</x:v>
      </x:c>
    </x:row>
    <x:row r="270">
      <x:c r="B270" s="21" t="str">
        <x:v>EPS-P01-A-G12</x:v>
      </x:c>
      <x:c r="C270" s="21" t="str">
        <x:v>EPS-P01-A</x:v>
      </x:c>
      <x:c r="D270" s="21" t="str">
        <x:v>EPS-P01</x:v>
      </x:c>
      <x:c r="E270" s="21" t="str">
        <x:v>G12</x:v>
      </x:c>
      <x:c r="F270" s="21" t="str">
        <x:v>facility schedule and cost</x:v>
      </x:c>
      <x:c r="G270" s="21" t="n">
        <x:v>1</x:v>
      </x:c>
      <x:c r="H270" s="21" t="n">
        <x:v>1</x:v>
      </x:c>
      <x:c r="I270" s="21" t="str">
        <x:v>PASS</x:v>
      </x:c>
      <x:c r="J270" s="21" t="str">
        <x:v>all articles available before registered need</x:v>
      </x:c>
      <x:c r="K270" s="23" t="str">
        <x:v>shift award or add capacity</x:v>
      </x:c>
    </x:row>
    <x:row r="271">
      <x:c r="B271" s="21" t="str">
        <x:v>EPS-P01-B-G01</x:v>
      </x:c>
      <x:c r="C271" s="21" t="str">
        <x:v>EPS-P01-B</x:v>
      </x:c>
      <x:c r="D271" s="21" t="str">
        <x:v>EPS-P01</x:v>
      </x:c>
      <x:c r="E271" s="21" t="str">
        <x:v>G01</x:v>
      </x:c>
      <x:c r="F271" s="21" t="str">
        <x:v>public effect boundary</x:v>
      </x:c>
      <x:c r="G271" s="21" t="n">
        <x:v>1</x:v>
      </x:c>
      <x:c r="H271" s="21" t="n">
        <x:v>1</x:v>
      </x:c>
      <x:c r="I271" s="21" t="str">
        <x:v>PASS</x:v>
      </x:c>
      <x:c r="J271" s="21" t="str">
        <x:v>complete local decision and invalid-state grammar</x:v>
      </x:c>
      <x:c r="K271" s="23" t="str">
        <x:v>reject mission substitution</x:v>
      </x:c>
    </x:row>
    <x:row r="272">
      <x:c r="B272" s="21" t="str">
        <x:v>EPS-P01-B-G02</x:v>
      </x:c>
      <x:c r="C272" s="21" t="str">
        <x:v>EPS-P01-B</x:v>
      </x:c>
      <x:c r="D272" s="21" t="str">
        <x:v>EPS-P01</x:v>
      </x:c>
      <x:c r="E272" s="21" t="str">
        <x:v>G02</x:v>
      </x:c>
      <x:c r="F272" s="21" t="str">
        <x:v>mass volume and reserve</x:v>
      </x:c>
      <x:c r="G272" s="21" t="n">
        <x:v>1</x:v>
      </x:c>
      <x:c r="H272" s="21" t="n">
        <x:v>1</x:v>
      </x:c>
      <x:c r="I272" s="21" t="str">
        <x:v>PASS</x:v>
      </x:c>
      <x:c r="J272" s="21" t="str">
        <x:v>inside frozen family envelope with both reserves explicit</x:v>
      </x:c>
      <x:c r="K272" s="23" t="str">
        <x:v>reopen burden allocation</x:v>
      </x:c>
    </x:row>
    <x:row r="273">
      <x:c r="B273" s="21" t="str">
        <x:v>EPS-P01-B-G03</x:v>
      </x:c>
      <x:c r="C273" s="21" t="str">
        <x:v>EPS-P01-B</x:v>
      </x:c>
      <x:c r="D273" s="21" t="str">
        <x:v>EPS-P01</x:v>
      </x:c>
      <x:c r="E273" s="21" t="str">
        <x:v>G03</x:v>
      </x:c>
      <x:c r="F273" s="21" t="str">
        <x:v>independent endurance</x:v>
      </x:c>
      <x:c r="G273" s="21" t="n">
        <x:v>1</x:v>
      </x:c>
      <x:c r="H273" s="21" t="n">
        <x:v>1</x:v>
      </x:c>
      <x:c r="I273" s="21" t="str">
        <x:v>PASS</x:v>
      </x:c>
      <x:c r="J273" s="21" t="str">
        <x:v>full interval and registered peak sequence</x:v>
      </x:c>
      <x:c r="K273" s="23" t="str">
        <x:v>redesign autonomous energy</x:v>
      </x:c>
    </x:row>
    <x:row r="274">
      <x:c r="B274" s="21" t="str">
        <x:v>EPS-P01-B-G04</x:v>
      </x:c>
      <x:c r="C274" s="21" t="str">
        <x:v>EPS-P01-B</x:v>
      </x:c>
      <x:c r="D274" s="21" t="str">
        <x:v>EPS-P01</x:v>
      </x:c>
      <x:c r="E274" s="21" t="str">
        <x:v>G04</x:v>
      </x:c>
      <x:c r="F274" s="21" t="str">
        <x:v>outward thermal rejection</x:v>
      </x:c>
      <x:c r="G274" s="21" t="n">
        <x:v>1</x:v>
      </x:c>
      <x:c r="H274" s="21" t="n">
        <x:v>1</x:v>
      </x:c>
      <x:c r="I274" s="21" t="str">
        <x:v>PASS</x:v>
      </x:c>
      <x:c r="J274" s="21" t="str">
        <x:v>all evidence heat crosses its own measured boundary</x:v>
      </x:c>
      <x:c r="K274" s="23" t="str">
        <x:v>redesign thermal boundary</x:v>
      </x:c>
    </x:row>
    <x:row r="275">
      <x:c r="B275" s="21" t="str">
        <x:v>EPS-P01-B-G05</x:v>
      </x:c>
      <x:c r="C275" s="21" t="str">
        <x:v>EPS-P01-B</x:v>
      </x:c>
      <x:c r="D275" s="21" t="str">
        <x:v>EPS-P01</x:v>
      </x:c>
      <x:c r="E275" s="21" t="str">
        <x:v>G05</x:v>
      </x:c>
      <x:c r="F275" s="21" t="str">
        <x:v>complete local original</x:v>
      </x:c>
      <x:c r="G275" s="21" t="n">
        <x:v>1</x:v>
      </x:c>
      <x:c r="H275" s="21" t="n">
        <x:v>1</x:v>
      </x:c>
      <x:c r="I275" s="21" t="str">
        <x:v>PASS</x:v>
      </x:c>
      <x:c r="J275" s="21" t="str">
        <x:v>complete original or declared bounded loss</x:v>
      </x:c>
      <x:c r="K275" s="23" t="str">
        <x:v>reject custody architecture</x:v>
      </x:c>
    </x:row>
    <x:row r="276">
      <x:c r="B276" s="21" t="str">
        <x:v>EPS-P01-B-G06</x:v>
      </x:c>
      <x:c r="C276" s="21" t="str">
        <x:v>EPS-P01-B</x:v>
      </x:c>
      <x:c r="D276" s="21" t="str">
        <x:v>EPS-P01</x:v>
      </x:c>
      <x:c r="E276" s="21" t="str">
        <x:v>G06</x:v>
      </x:c>
      <x:c r="F276" s="21" t="str">
        <x:v>denied event time</x:v>
      </x:c>
      <x:c r="G276" s="21" t="n">
        <x:v>1</x:v>
      </x:c>
      <x:c r="H276" s="21" t="n">
        <x:v>1</x:v>
      </x:c>
      <x:c r="I276" s="21" t="str">
        <x:v>PASS</x:v>
      </x:c>
      <x:c r="J276" s="21" t="str">
        <x:v>inside family U95 allocation</x:v>
      </x:c>
      <x:c r="K276" s="23" t="str">
        <x:v>redesign time roots</x:v>
      </x:c>
    </x:row>
    <x:row r="277">
      <x:c r="B277" s="21" t="str">
        <x:v>EPS-P01-B-G07</x:v>
      </x:c>
      <x:c r="C277" s="21" t="str">
        <x:v>EPS-P01-B</x:v>
      </x:c>
      <x:c r="D277" s="21" t="str">
        <x:v>EPS-P01</x:v>
      </x:c>
      <x:c r="E277" s="21" t="str">
        <x:v>G07</x:v>
      </x:c>
      <x:c r="F277" s="21" t="str">
        <x:v>physical non-actuation</x:v>
      </x:c>
      <x:c r="G277" s="21" t="n">
        <x:v>1</x:v>
      </x:c>
      <x:c r="H277" s="21" t="n">
        <x:v>1</x:v>
      </x:c>
      <x:c r="I277" s="21" t="str">
        <x:v>PASS</x:v>
      </x:c>
      <x:c r="J277" s="21" t="str">
        <x:v>teardown and injection show no useful path</x:v>
      </x:c>
      <x:c r="K277" s="23" t="str">
        <x:v>reject interface family</x:v>
      </x:c>
    </x:row>
    <x:row r="278">
      <x:c r="B278" s="21" t="str">
        <x:v>EPS-P01-B-G08</x:v>
      </x:c>
      <x:c r="C278" s="21" t="str">
        <x:v>EPS-P01-B</x:v>
      </x:c>
      <x:c r="D278" s="21" t="str">
        <x:v>EPS-P01</x:v>
      </x:c>
      <x:c r="E278" s="21" t="str">
        <x:v>G08</x:v>
      </x:c>
      <x:c r="F278" s="21" t="str">
        <x:v>hazard behavior</x:v>
      </x:c>
      <x:c r="G278" s="21" t="n">
        <x:v>1</x:v>
      </x:c>
      <x:c r="H278" s="21" t="n">
        <x:v>1</x:v>
      </x:c>
      <x:c r="I278" s="21" t="str">
        <x:v>PASS</x:v>
      </x:c>
      <x:c r="J278" s="21" t="str">
        <x:v>no silent state and safe disposition</x:v>
      </x:c>
      <x:c r="K278" s="23" t="str">
        <x:v>rework enclosure and disposition</x:v>
      </x:c>
    </x:row>
    <x:row r="279">
      <x:c r="B279" s="21" t="str">
        <x:v>EPS-P01-B-G09</x:v>
      </x:c>
      <x:c r="C279" s="21" t="str">
        <x:v>EPS-P01-B</x:v>
      </x:c>
      <x:c r="D279" s="21" t="str">
        <x:v>EPS-P01</x:v>
      </x:c>
      <x:c r="E279" s="21" t="str">
        <x:v>G09</x:v>
      </x:c>
      <x:c r="F279" s="21" t="str">
        <x:v>maintenance and quarantine</x:v>
      </x:c>
      <x:c r="G279" s="21" t="n">
        <x:v>1</x:v>
      </x:c>
      <x:c r="H279" s="21" t="n">
        <x:v>1</x:v>
      </x:c>
      <x:c r="I279" s="21" t="str">
        <x:v>PASS</x:v>
      </x:c>
      <x:c r="J279" s="21" t="str">
        <x:v>family access limit and lawful custody</x:v>
      </x:c>
      <x:c r="K279" s="23" t="str">
        <x:v>rework access package</x:v>
      </x:c>
    </x:row>
    <x:row r="280">
      <x:c r="B280" s="21" t="str">
        <x:v>EPS-P01-B-G10</x:v>
      </x:c>
      <x:c r="C280" s="21" t="str">
        <x:v>EPS-P01-B</x:v>
      </x:c>
      <x:c r="D280" s="21" t="str">
        <x:v>EPS-P01</x:v>
      </x:c>
      <x:c r="E280" s="21" t="str">
        <x:v>G10</x:v>
      </x:c>
      <x:c r="F280" s="21" t="str">
        <x:v>decisive ancestry</x:v>
      </x:c>
      <x:c r="G280" s="21" t="n">
        <x:v>1</x:v>
      </x:c>
      <x:c r="H280" s="21" t="n">
        <x:v>1</x:v>
      </x:c>
      <x:c r="I280" s="21" t="str">
        <x:v>PASS</x:v>
      </x:c>
      <x:c r="J280" s="21" t="str">
        <x:v>no undisclosed decisive root</x:v>
      </x:c>
      <x:c r="K280" s="23" t="str">
        <x:v>recompete decisive root</x:v>
      </x:c>
    </x:row>
    <x:row r="281">
      <x:c r="B281" s="21" t="str">
        <x:v>EPS-P01-B-G11</x:v>
      </x:c>
      <x:c r="C281" s="21" t="str">
        <x:v>EPS-P01-B</x:v>
      </x:c>
      <x:c r="D281" s="21" t="str">
        <x:v>EPS-P01</x:v>
      </x:c>
      <x:c r="E281" s="21" t="str">
        <x:v>G11</x:v>
      </x:c>
      <x:c r="F281" s="21" t="str">
        <x:v>technical rights and reproduction</x:v>
      </x:c>
      <x:c r="G281" s="21" t="n">
        <x:v>1</x:v>
      </x:c>
      <x:c r="H281" s="21" t="n">
        <x:v>1</x:v>
      </x:c>
      <x:c r="I281" s="21" t="str">
        <x:v>PASS</x:v>
      </x:c>
      <x:c r="J281" s="21" t="str">
        <x:v>government can reproduce the decision</x:v>
      </x:c>
      <x:c r="K281" s="23" t="str">
        <x:v>withhold reproduction authority</x:v>
      </x:c>
    </x:row>
    <x:row r="282">
      <x:c r="B282" s="21" t="str">
        <x:v>EPS-P01-B-G12</x:v>
      </x:c>
      <x:c r="C282" s="21" t="str">
        <x:v>EPS-P01-B</x:v>
      </x:c>
      <x:c r="D282" s="21" t="str">
        <x:v>EPS-P01</x:v>
      </x:c>
      <x:c r="E282" s="21" t="str">
        <x:v>G12</x:v>
      </x:c>
      <x:c r="F282" s="21" t="str">
        <x:v>facility schedule and cost</x:v>
      </x:c>
      <x:c r="G282" s="21" t="n">
        <x:v>1</x:v>
      </x:c>
      <x:c r="H282" s="21" t="n">
        <x:v>1</x:v>
      </x:c>
      <x:c r="I282" s="21" t="str">
        <x:v>PASS</x:v>
      </x:c>
      <x:c r="J282" s="21" t="str">
        <x:v>all articles available before registered need</x:v>
      </x:c>
      <x:c r="K282" s="23" t="str">
        <x:v>shift award or add capacity</x:v>
      </x:c>
    </x:row>
    <x:row r="283">
      <x:c r="B283" s="21" t="str">
        <x:v>EPS-P01-C-G01</x:v>
      </x:c>
      <x:c r="C283" s="21" t="str">
        <x:v>EPS-P01-C</x:v>
      </x:c>
      <x:c r="D283" s="21" t="str">
        <x:v>EPS-P01</x:v>
      </x:c>
      <x:c r="E283" s="21" t="str">
        <x:v>G01</x:v>
      </x:c>
      <x:c r="F283" s="21" t="str">
        <x:v>public effect boundary</x:v>
      </x:c>
      <x:c r="G283" s="21" t="n">
        <x:v>1</x:v>
      </x:c>
      <x:c r="H283" s="21" t="n">
        <x:v>1</x:v>
      </x:c>
      <x:c r="I283" s="21" t="str">
        <x:v>PASS</x:v>
      </x:c>
      <x:c r="J283" s="21" t="str">
        <x:v>complete local decision and invalid-state grammar</x:v>
      </x:c>
      <x:c r="K283" s="23" t="str">
        <x:v>reject mission substitution</x:v>
      </x:c>
    </x:row>
    <x:row r="284">
      <x:c r="B284" s="21" t="str">
        <x:v>EPS-P01-C-G02</x:v>
      </x:c>
      <x:c r="C284" s="21" t="str">
        <x:v>EPS-P01-C</x:v>
      </x:c>
      <x:c r="D284" s="21" t="str">
        <x:v>EPS-P01</x:v>
      </x:c>
      <x:c r="E284" s="21" t="str">
        <x:v>G02</x:v>
      </x:c>
      <x:c r="F284" s="21" t="str">
        <x:v>mass volume and reserve</x:v>
      </x:c>
      <x:c r="G284" s="21" t="n">
        <x:v>1</x:v>
      </x:c>
      <x:c r="H284" s="21" t="n">
        <x:v>1</x:v>
      </x:c>
      <x:c r="I284" s="21" t="str">
        <x:v>PASS</x:v>
      </x:c>
      <x:c r="J284" s="21" t="str">
        <x:v>inside frozen family envelope with both reserves explicit</x:v>
      </x:c>
      <x:c r="K284" s="23" t="str">
        <x:v>reopen burden allocation</x:v>
      </x:c>
    </x:row>
    <x:row r="285">
      <x:c r="B285" s="21" t="str">
        <x:v>EPS-P01-C-G03</x:v>
      </x:c>
      <x:c r="C285" s="21" t="str">
        <x:v>EPS-P01-C</x:v>
      </x:c>
      <x:c r="D285" s="21" t="str">
        <x:v>EPS-P01</x:v>
      </x:c>
      <x:c r="E285" s="21" t="str">
        <x:v>G03</x:v>
      </x:c>
      <x:c r="F285" s="21" t="str">
        <x:v>independent endurance</x:v>
      </x:c>
      <x:c r="G285" s="21" t="n">
        <x:v>1</x:v>
      </x:c>
      <x:c r="H285" s="21" t="n">
        <x:v>1</x:v>
      </x:c>
      <x:c r="I285" s="21" t="str">
        <x:v>PASS</x:v>
      </x:c>
      <x:c r="J285" s="21" t="str">
        <x:v>full interval and registered peak sequence</x:v>
      </x:c>
      <x:c r="K285" s="23" t="str">
        <x:v>redesign autonomous energy</x:v>
      </x:c>
    </x:row>
    <x:row r="286">
      <x:c r="B286" s="21" t="str">
        <x:v>EPS-P01-C-G04</x:v>
      </x:c>
      <x:c r="C286" s="21" t="str">
        <x:v>EPS-P01-C</x:v>
      </x:c>
      <x:c r="D286" s="21" t="str">
        <x:v>EPS-P01</x:v>
      </x:c>
      <x:c r="E286" s="21" t="str">
        <x:v>G04</x:v>
      </x:c>
      <x:c r="F286" s="21" t="str">
        <x:v>outward thermal rejection</x:v>
      </x:c>
      <x:c r="G286" s="21" t="n">
        <x:v>1</x:v>
      </x:c>
      <x:c r="H286" s="21" t="n">
        <x:v>1</x:v>
      </x:c>
      <x:c r="I286" s="21" t="str">
        <x:v>PASS</x:v>
      </x:c>
      <x:c r="J286" s="21" t="str">
        <x:v>all evidence heat crosses its own measured boundary</x:v>
      </x:c>
      <x:c r="K286" s="23" t="str">
        <x:v>redesign thermal boundary</x:v>
      </x:c>
    </x:row>
    <x:row r="287">
      <x:c r="B287" s="21" t="str">
        <x:v>EPS-P01-C-G05</x:v>
      </x:c>
      <x:c r="C287" s="21" t="str">
        <x:v>EPS-P01-C</x:v>
      </x:c>
      <x:c r="D287" s="21" t="str">
        <x:v>EPS-P01</x:v>
      </x:c>
      <x:c r="E287" s="21" t="str">
        <x:v>G05</x:v>
      </x:c>
      <x:c r="F287" s="21" t="str">
        <x:v>complete local original</x:v>
      </x:c>
      <x:c r="G287" s="21" t="n">
        <x:v>1</x:v>
      </x:c>
      <x:c r="H287" s="21" t="n">
        <x:v>1</x:v>
      </x:c>
      <x:c r="I287" s="21" t="str">
        <x:v>PASS</x:v>
      </x:c>
      <x:c r="J287" s="21" t="str">
        <x:v>complete original or declared bounded loss</x:v>
      </x:c>
      <x:c r="K287" s="23" t="str">
        <x:v>reject custody architecture</x:v>
      </x:c>
    </x:row>
    <x:row r="288">
      <x:c r="B288" s="21" t="str">
        <x:v>EPS-P01-C-G06</x:v>
      </x:c>
      <x:c r="C288" s="21" t="str">
        <x:v>EPS-P01-C</x:v>
      </x:c>
      <x:c r="D288" s="21" t="str">
        <x:v>EPS-P01</x:v>
      </x:c>
      <x:c r="E288" s="21" t="str">
        <x:v>G06</x:v>
      </x:c>
      <x:c r="F288" s="21" t="str">
        <x:v>denied event time</x:v>
      </x:c>
      <x:c r="G288" s="21" t="n">
        <x:v>1</x:v>
      </x:c>
      <x:c r="H288" s="21" t="n">
        <x:v>1</x:v>
      </x:c>
      <x:c r="I288" s="21" t="str">
        <x:v>PASS</x:v>
      </x:c>
      <x:c r="J288" s="21" t="str">
        <x:v>inside family U95 allocation</x:v>
      </x:c>
      <x:c r="K288" s="23" t="str">
        <x:v>redesign time roots</x:v>
      </x:c>
    </x:row>
    <x:row r="289">
      <x:c r="B289" s="21" t="str">
        <x:v>EPS-P01-C-G07</x:v>
      </x:c>
      <x:c r="C289" s="21" t="str">
        <x:v>EPS-P01-C</x:v>
      </x:c>
      <x:c r="D289" s="21" t="str">
        <x:v>EPS-P01</x:v>
      </x:c>
      <x:c r="E289" s="21" t="str">
        <x:v>G07</x:v>
      </x:c>
      <x:c r="F289" s="21" t="str">
        <x:v>physical non-actuation</x:v>
      </x:c>
      <x:c r="G289" s="21" t="n">
        <x:v>1</x:v>
      </x:c>
      <x:c r="H289" s="21" t="n">
        <x:v>1</x:v>
      </x:c>
      <x:c r="I289" s="21" t="str">
        <x:v>PASS</x:v>
      </x:c>
      <x:c r="J289" s="21" t="str">
        <x:v>teardown and injection show no useful path</x:v>
      </x:c>
      <x:c r="K289" s="23" t="str">
        <x:v>reject interface family</x:v>
      </x:c>
    </x:row>
    <x:row r="290">
      <x:c r="B290" s="21" t="str">
        <x:v>EPS-P01-C-G08</x:v>
      </x:c>
      <x:c r="C290" s="21" t="str">
        <x:v>EPS-P01-C</x:v>
      </x:c>
      <x:c r="D290" s="21" t="str">
        <x:v>EPS-P01</x:v>
      </x:c>
      <x:c r="E290" s="21" t="str">
        <x:v>G08</x:v>
      </x:c>
      <x:c r="F290" s="21" t="str">
        <x:v>hazard behavior</x:v>
      </x:c>
      <x:c r="G290" s="21" t="n">
        <x:v>1</x:v>
      </x:c>
      <x:c r="H290" s="21" t="n">
        <x:v>1</x:v>
      </x:c>
      <x:c r="I290" s="21" t="str">
        <x:v>PASS</x:v>
      </x:c>
      <x:c r="J290" s="21" t="str">
        <x:v>no silent state and safe disposition</x:v>
      </x:c>
      <x:c r="K290" s="23" t="str">
        <x:v>rework enclosure and disposition</x:v>
      </x:c>
    </x:row>
    <x:row r="291">
      <x:c r="B291" s="21" t="str">
        <x:v>EPS-P01-C-G09</x:v>
      </x:c>
      <x:c r="C291" s="21" t="str">
        <x:v>EPS-P01-C</x:v>
      </x:c>
      <x:c r="D291" s="21" t="str">
        <x:v>EPS-P01</x:v>
      </x:c>
      <x:c r="E291" s="21" t="str">
        <x:v>G09</x:v>
      </x:c>
      <x:c r="F291" s="21" t="str">
        <x:v>maintenance and quarantine</x:v>
      </x:c>
      <x:c r="G291" s="21" t="n">
        <x:v>0</x:v>
      </x:c>
      <x:c r="H291" s="21" t="n">
        <x:v>1</x:v>
      </x:c>
      <x:c r="I291" s="21" t="str">
        <x:v>FAIL</x:v>
      </x:c>
      <x:c r="J291" s="21" t="str">
        <x:v>family access limit and lawful custody</x:v>
      </x:c>
      <x:c r="K291" s="23" t="str">
        <x:v>rework access package</x:v>
      </x:c>
    </x:row>
    <x:row r="292">
      <x:c r="B292" s="21" t="str">
        <x:v>EPS-P01-C-G10</x:v>
      </x:c>
      <x:c r="C292" s="21" t="str">
        <x:v>EPS-P01-C</x:v>
      </x:c>
      <x:c r="D292" s="21" t="str">
        <x:v>EPS-P01</x:v>
      </x:c>
      <x:c r="E292" s="21" t="str">
        <x:v>G10</x:v>
      </x:c>
      <x:c r="F292" s="21" t="str">
        <x:v>decisive ancestry</x:v>
      </x:c>
      <x:c r="G292" s="21" t="n">
        <x:v>1</x:v>
      </x:c>
      <x:c r="H292" s="21" t="n">
        <x:v>1</x:v>
      </x:c>
      <x:c r="I292" s="21" t="str">
        <x:v>PASS</x:v>
      </x:c>
      <x:c r="J292" s="21" t="str">
        <x:v>no undisclosed decisive root</x:v>
      </x:c>
      <x:c r="K292" s="23" t="str">
        <x:v>recompete decisive root</x:v>
      </x:c>
    </x:row>
    <x:row r="293">
      <x:c r="B293" s="21" t="str">
        <x:v>EPS-P01-C-G11</x:v>
      </x:c>
      <x:c r="C293" s="21" t="str">
        <x:v>EPS-P01-C</x:v>
      </x:c>
      <x:c r="D293" s="21" t="str">
        <x:v>EPS-P01</x:v>
      </x:c>
      <x:c r="E293" s="21" t="str">
        <x:v>G11</x:v>
      </x:c>
      <x:c r="F293" s="21" t="str">
        <x:v>technical rights and reproduction</x:v>
      </x:c>
      <x:c r="G293" s="21" t="n">
        <x:v>1</x:v>
      </x:c>
      <x:c r="H293" s="21" t="n">
        <x:v>1</x:v>
      </x:c>
      <x:c r="I293" s="21" t="str">
        <x:v>PASS</x:v>
      </x:c>
      <x:c r="J293" s="21" t="str">
        <x:v>government can reproduce the decision</x:v>
      </x:c>
      <x:c r="K293" s="23" t="str">
        <x:v>withhold reproduction authority</x:v>
      </x:c>
    </x:row>
    <x:row r="294">
      <x:c r="B294" s="21" t="str">
        <x:v>EPS-P01-C-G12</x:v>
      </x:c>
      <x:c r="C294" s="21" t="str">
        <x:v>EPS-P01-C</x:v>
      </x:c>
      <x:c r="D294" s="21" t="str">
        <x:v>EPS-P01</x:v>
      </x:c>
      <x:c r="E294" s="21" t="str">
        <x:v>G12</x:v>
      </x:c>
      <x:c r="F294" s="21" t="str">
        <x:v>facility schedule and cost</x:v>
      </x:c>
      <x:c r="G294" s="21" t="n">
        <x:v>1</x:v>
      </x:c>
      <x:c r="H294" s="21" t="n">
        <x:v>1</x:v>
      </x:c>
      <x:c r="I294" s="21" t="str">
        <x:v>PASS</x:v>
      </x:c>
      <x:c r="J294" s="21" t="str">
        <x:v>all articles available before registered need</x:v>
      </x:c>
      <x:c r="K294" s="23" t="str">
        <x:v>shift award or add capacity</x:v>
      </x:c>
    </x:row>
    <x:row r="295">
      <x:c r="B295" s="21" t="str">
        <x:v>TKS-C01-A-G01</x:v>
      </x:c>
      <x:c r="C295" s="21" t="str">
        <x:v>TKS-C01-A</x:v>
      </x:c>
      <x:c r="D295" s="21" t="str">
        <x:v>TKS-C01</x:v>
      </x:c>
      <x:c r="E295" s="21" t="str">
        <x:v>G01</x:v>
      </x:c>
      <x:c r="F295" s="21" t="str">
        <x:v>public effect boundary</x:v>
      </x:c>
      <x:c r="G295" s="21" t="n">
        <x:v>1</x:v>
      </x:c>
      <x:c r="H295" s="21" t="n">
        <x:v>1</x:v>
      </x:c>
      <x:c r="I295" s="21" t="str">
        <x:v>PASS</x:v>
      </x:c>
      <x:c r="J295" s="21" t="str">
        <x:v>complete local decision and invalid-state grammar</x:v>
      </x:c>
      <x:c r="K295" s="23" t="str">
        <x:v>reject mission substitution</x:v>
      </x:c>
    </x:row>
    <x:row r="296">
      <x:c r="B296" s="21" t="str">
        <x:v>TKS-C01-A-G02</x:v>
      </x:c>
      <x:c r="C296" s="21" t="str">
        <x:v>TKS-C01-A</x:v>
      </x:c>
      <x:c r="D296" s="21" t="str">
        <x:v>TKS-C01</x:v>
      </x:c>
      <x:c r="E296" s="21" t="str">
        <x:v>G02</x:v>
      </x:c>
      <x:c r="F296" s="21" t="str">
        <x:v>mass volume and reserve</x:v>
      </x:c>
      <x:c r="G296" s="21" t="n">
        <x:v>1</x:v>
      </x:c>
      <x:c r="H296" s="21" t="n">
        <x:v>1</x:v>
      </x:c>
      <x:c r="I296" s="21" t="str">
        <x:v>PASS</x:v>
      </x:c>
      <x:c r="J296" s="21" t="str">
        <x:v>inside frozen family envelope with both reserves explicit</x:v>
      </x:c>
      <x:c r="K296" s="23" t="str">
        <x:v>reopen burden allocation</x:v>
      </x:c>
    </x:row>
    <x:row r="297">
      <x:c r="B297" s="21" t="str">
        <x:v>TKS-C01-A-G03</x:v>
      </x:c>
      <x:c r="C297" s="21" t="str">
        <x:v>TKS-C01-A</x:v>
      </x:c>
      <x:c r="D297" s="21" t="str">
        <x:v>TKS-C01</x:v>
      </x:c>
      <x:c r="E297" s="21" t="str">
        <x:v>G03</x:v>
      </x:c>
      <x:c r="F297" s="21" t="str">
        <x:v>independent endurance</x:v>
      </x:c>
      <x:c r="G297" s="21" t="n">
        <x:v>1</x:v>
      </x:c>
      <x:c r="H297" s="21" t="n">
        <x:v>1</x:v>
      </x:c>
      <x:c r="I297" s="21" t="str">
        <x:v>PASS</x:v>
      </x:c>
      <x:c r="J297" s="21" t="str">
        <x:v>full interval and registered peak sequence</x:v>
      </x:c>
      <x:c r="K297" s="23" t="str">
        <x:v>redesign autonomous energy</x:v>
      </x:c>
    </x:row>
    <x:row r="298">
      <x:c r="B298" s="21" t="str">
        <x:v>TKS-C01-A-G04</x:v>
      </x:c>
      <x:c r="C298" s="21" t="str">
        <x:v>TKS-C01-A</x:v>
      </x:c>
      <x:c r="D298" s="21" t="str">
        <x:v>TKS-C01</x:v>
      </x:c>
      <x:c r="E298" s="21" t="str">
        <x:v>G04</x:v>
      </x:c>
      <x:c r="F298" s="21" t="str">
        <x:v>outward thermal rejection</x:v>
      </x:c>
      <x:c r="G298" s="21" t="n">
        <x:v>1</x:v>
      </x:c>
      <x:c r="H298" s="21" t="n">
        <x:v>1</x:v>
      </x:c>
      <x:c r="I298" s="21" t="str">
        <x:v>PASS</x:v>
      </x:c>
      <x:c r="J298" s="21" t="str">
        <x:v>all evidence heat crosses its own measured boundary</x:v>
      </x:c>
      <x:c r="K298" s="23" t="str">
        <x:v>redesign thermal boundary</x:v>
      </x:c>
    </x:row>
    <x:row r="299">
      <x:c r="B299" s="21" t="str">
        <x:v>TKS-C01-A-G05</x:v>
      </x:c>
      <x:c r="C299" s="21" t="str">
        <x:v>TKS-C01-A</x:v>
      </x:c>
      <x:c r="D299" s="21" t="str">
        <x:v>TKS-C01</x:v>
      </x:c>
      <x:c r="E299" s="21" t="str">
        <x:v>G05</x:v>
      </x:c>
      <x:c r="F299" s="21" t="str">
        <x:v>complete local original</x:v>
      </x:c>
      <x:c r="G299" s="21" t="n">
        <x:v>1</x:v>
      </x:c>
      <x:c r="H299" s="21" t="n">
        <x:v>1</x:v>
      </x:c>
      <x:c r="I299" s="21" t="str">
        <x:v>PASS</x:v>
      </x:c>
      <x:c r="J299" s="21" t="str">
        <x:v>complete original or declared bounded loss</x:v>
      </x:c>
      <x:c r="K299" s="23" t="str">
        <x:v>reject custody architecture</x:v>
      </x:c>
    </x:row>
    <x:row r="300">
      <x:c r="B300" s="21" t="str">
        <x:v>TKS-C01-A-G06</x:v>
      </x:c>
      <x:c r="C300" s="21" t="str">
        <x:v>TKS-C01-A</x:v>
      </x:c>
      <x:c r="D300" s="21" t="str">
        <x:v>TKS-C01</x:v>
      </x:c>
      <x:c r="E300" s="21" t="str">
        <x:v>G06</x:v>
      </x:c>
      <x:c r="F300" s="21" t="str">
        <x:v>denied event time</x:v>
      </x:c>
      <x:c r="G300" s="21" t="n">
        <x:v>1</x:v>
      </x:c>
      <x:c r="H300" s="21" t="n">
        <x:v>1</x:v>
      </x:c>
      <x:c r="I300" s="21" t="str">
        <x:v>PASS</x:v>
      </x:c>
      <x:c r="J300" s="21" t="str">
        <x:v>inside family U95 allocation</x:v>
      </x:c>
      <x:c r="K300" s="23" t="str">
        <x:v>redesign time roots</x:v>
      </x:c>
    </x:row>
    <x:row r="301">
      <x:c r="B301" s="21" t="str">
        <x:v>TKS-C01-A-G07</x:v>
      </x:c>
      <x:c r="C301" s="21" t="str">
        <x:v>TKS-C01-A</x:v>
      </x:c>
      <x:c r="D301" s="21" t="str">
        <x:v>TKS-C01</x:v>
      </x:c>
      <x:c r="E301" s="21" t="str">
        <x:v>G07</x:v>
      </x:c>
      <x:c r="F301" s="21" t="str">
        <x:v>physical non-actuation</x:v>
      </x:c>
      <x:c r="G301" s="21" t="n">
        <x:v>1</x:v>
      </x:c>
      <x:c r="H301" s="21" t="n">
        <x:v>1</x:v>
      </x:c>
      <x:c r="I301" s="21" t="str">
        <x:v>PASS</x:v>
      </x:c>
      <x:c r="J301" s="21" t="str">
        <x:v>teardown and injection show no useful path</x:v>
      </x:c>
      <x:c r="K301" s="23" t="str">
        <x:v>reject interface family</x:v>
      </x:c>
    </x:row>
    <x:row r="302">
      <x:c r="B302" s="21" t="str">
        <x:v>TKS-C01-A-G08</x:v>
      </x:c>
      <x:c r="C302" s="21" t="str">
        <x:v>TKS-C01-A</x:v>
      </x:c>
      <x:c r="D302" s="21" t="str">
        <x:v>TKS-C01</x:v>
      </x:c>
      <x:c r="E302" s="21" t="str">
        <x:v>G08</x:v>
      </x:c>
      <x:c r="F302" s="21" t="str">
        <x:v>hazard behavior</x:v>
      </x:c>
      <x:c r="G302" s="21" t="n">
        <x:v>1</x:v>
      </x:c>
      <x:c r="H302" s="21" t="n">
        <x:v>1</x:v>
      </x:c>
      <x:c r="I302" s="21" t="str">
        <x:v>PASS</x:v>
      </x:c>
      <x:c r="J302" s="21" t="str">
        <x:v>no silent state and safe disposition</x:v>
      </x:c>
      <x:c r="K302" s="23" t="str">
        <x:v>rework enclosure and disposition</x:v>
      </x:c>
    </x:row>
    <x:row r="303">
      <x:c r="B303" s="21" t="str">
        <x:v>TKS-C01-A-G09</x:v>
      </x:c>
      <x:c r="C303" s="21" t="str">
        <x:v>TKS-C01-A</x:v>
      </x:c>
      <x:c r="D303" s="21" t="str">
        <x:v>TKS-C01</x:v>
      </x:c>
      <x:c r="E303" s="21" t="str">
        <x:v>G09</x:v>
      </x:c>
      <x:c r="F303" s="21" t="str">
        <x:v>maintenance and quarantine</x:v>
      </x:c>
      <x:c r="G303" s="21" t="n">
        <x:v>1</x:v>
      </x:c>
      <x:c r="H303" s="21" t="n">
        <x:v>1</x:v>
      </x:c>
      <x:c r="I303" s="21" t="str">
        <x:v>PASS</x:v>
      </x:c>
      <x:c r="J303" s="21" t="str">
        <x:v>family access limit and lawful custody</x:v>
      </x:c>
      <x:c r="K303" s="23" t="str">
        <x:v>rework access package</x:v>
      </x:c>
    </x:row>
    <x:row r="304">
      <x:c r="B304" s="21" t="str">
        <x:v>TKS-C01-A-G10</x:v>
      </x:c>
      <x:c r="C304" s="21" t="str">
        <x:v>TKS-C01-A</x:v>
      </x:c>
      <x:c r="D304" s="21" t="str">
        <x:v>TKS-C01</x:v>
      </x:c>
      <x:c r="E304" s="21" t="str">
        <x:v>G10</x:v>
      </x:c>
      <x:c r="F304" s="21" t="str">
        <x:v>decisive ancestry</x:v>
      </x:c>
      <x:c r="G304" s="21" t="n">
        <x:v>1</x:v>
      </x:c>
      <x:c r="H304" s="21" t="n">
        <x:v>1</x:v>
      </x:c>
      <x:c r="I304" s="21" t="str">
        <x:v>PASS</x:v>
      </x:c>
      <x:c r="J304" s="21" t="str">
        <x:v>no undisclosed decisive root</x:v>
      </x:c>
      <x:c r="K304" s="23" t="str">
        <x:v>recompete decisive root</x:v>
      </x:c>
    </x:row>
    <x:row r="305">
      <x:c r="B305" s="21" t="str">
        <x:v>TKS-C01-A-G11</x:v>
      </x:c>
      <x:c r="C305" s="21" t="str">
        <x:v>TKS-C01-A</x:v>
      </x:c>
      <x:c r="D305" s="21" t="str">
        <x:v>TKS-C01</x:v>
      </x:c>
      <x:c r="E305" s="21" t="str">
        <x:v>G11</x:v>
      </x:c>
      <x:c r="F305" s="21" t="str">
        <x:v>technical rights and reproduction</x:v>
      </x:c>
      <x:c r="G305" s="21" t="n">
        <x:v>1</x:v>
      </x:c>
      <x:c r="H305" s="21" t="n">
        <x:v>1</x:v>
      </x:c>
      <x:c r="I305" s="21" t="str">
        <x:v>PASS</x:v>
      </x:c>
      <x:c r="J305" s="21" t="str">
        <x:v>government can reproduce the decision</x:v>
      </x:c>
      <x:c r="K305" s="23" t="str">
        <x:v>withhold reproduction authority</x:v>
      </x:c>
    </x:row>
    <x:row r="306">
      <x:c r="B306" s="21" t="str">
        <x:v>TKS-C01-A-G12</x:v>
      </x:c>
      <x:c r="C306" s="21" t="str">
        <x:v>TKS-C01-A</x:v>
      </x:c>
      <x:c r="D306" s="21" t="str">
        <x:v>TKS-C01</x:v>
      </x:c>
      <x:c r="E306" s="21" t="str">
        <x:v>G12</x:v>
      </x:c>
      <x:c r="F306" s="21" t="str">
        <x:v>facility schedule and cost</x:v>
      </x:c>
      <x:c r="G306" s="21" t="n">
        <x:v>1</x:v>
      </x:c>
      <x:c r="H306" s="21" t="n">
        <x:v>1</x:v>
      </x:c>
      <x:c r="I306" s="21" t="str">
        <x:v>PASS</x:v>
      </x:c>
      <x:c r="J306" s="21" t="str">
        <x:v>all articles available before registered need</x:v>
      </x:c>
      <x:c r="K306" s="23" t="str">
        <x:v>shift award or add capacity</x:v>
      </x:c>
    </x:row>
    <x:row r="307">
      <x:c r="B307" s="21" t="str">
        <x:v>TKS-C01-B-G01</x:v>
      </x:c>
      <x:c r="C307" s="21" t="str">
        <x:v>TKS-C01-B</x:v>
      </x:c>
      <x:c r="D307" s="21" t="str">
        <x:v>TKS-C01</x:v>
      </x:c>
      <x:c r="E307" s="21" t="str">
        <x:v>G01</x:v>
      </x:c>
      <x:c r="F307" s="21" t="str">
        <x:v>public effect boundary</x:v>
      </x:c>
      <x:c r="G307" s="21" t="n">
        <x:v>1</x:v>
      </x:c>
      <x:c r="H307" s="21" t="n">
        <x:v>1</x:v>
      </x:c>
      <x:c r="I307" s="21" t="str">
        <x:v>PASS</x:v>
      </x:c>
      <x:c r="J307" s="21" t="str">
        <x:v>complete local decision and invalid-state grammar</x:v>
      </x:c>
      <x:c r="K307" s="23" t="str">
        <x:v>reject mission substitution</x:v>
      </x:c>
    </x:row>
    <x:row r="308">
      <x:c r="B308" s="21" t="str">
        <x:v>TKS-C01-B-G02</x:v>
      </x:c>
      <x:c r="C308" s="21" t="str">
        <x:v>TKS-C01-B</x:v>
      </x:c>
      <x:c r="D308" s="21" t="str">
        <x:v>TKS-C01</x:v>
      </x:c>
      <x:c r="E308" s="21" t="str">
        <x:v>G02</x:v>
      </x:c>
      <x:c r="F308" s="21" t="str">
        <x:v>mass volume and reserve</x:v>
      </x:c>
      <x:c r="G308" s="21" t="n">
        <x:v>1</x:v>
      </x:c>
      <x:c r="H308" s="21" t="n">
        <x:v>1</x:v>
      </x:c>
      <x:c r="I308" s="21" t="str">
        <x:v>PASS</x:v>
      </x:c>
      <x:c r="J308" s="21" t="str">
        <x:v>inside frozen family envelope with both reserves explicit</x:v>
      </x:c>
      <x:c r="K308" s="23" t="str">
        <x:v>reopen burden allocation</x:v>
      </x:c>
    </x:row>
    <x:row r="309">
      <x:c r="B309" s="21" t="str">
        <x:v>TKS-C01-B-G03</x:v>
      </x:c>
      <x:c r="C309" s="21" t="str">
        <x:v>TKS-C01-B</x:v>
      </x:c>
      <x:c r="D309" s="21" t="str">
        <x:v>TKS-C01</x:v>
      </x:c>
      <x:c r="E309" s="21" t="str">
        <x:v>G03</x:v>
      </x:c>
      <x:c r="F309" s="21" t="str">
        <x:v>independent endurance</x:v>
      </x:c>
      <x:c r="G309" s="21" t="n">
        <x:v>1</x:v>
      </x:c>
      <x:c r="H309" s="21" t="n">
        <x:v>1</x:v>
      </x:c>
      <x:c r="I309" s="21" t="str">
        <x:v>PASS</x:v>
      </x:c>
      <x:c r="J309" s="21" t="str">
        <x:v>full interval and registered peak sequence</x:v>
      </x:c>
      <x:c r="K309" s="23" t="str">
        <x:v>redesign autonomous energy</x:v>
      </x:c>
    </x:row>
    <x:row r="310">
      <x:c r="B310" s="21" t="str">
        <x:v>TKS-C01-B-G04</x:v>
      </x:c>
      <x:c r="C310" s="21" t="str">
        <x:v>TKS-C01-B</x:v>
      </x:c>
      <x:c r="D310" s="21" t="str">
        <x:v>TKS-C01</x:v>
      </x:c>
      <x:c r="E310" s="21" t="str">
        <x:v>G04</x:v>
      </x:c>
      <x:c r="F310" s="21" t="str">
        <x:v>outward thermal rejection</x:v>
      </x:c>
      <x:c r="G310" s="21" t="n">
        <x:v>1</x:v>
      </x:c>
      <x:c r="H310" s="21" t="n">
        <x:v>1</x:v>
      </x:c>
      <x:c r="I310" s="21" t="str">
        <x:v>PASS</x:v>
      </x:c>
      <x:c r="J310" s="21" t="str">
        <x:v>all evidence heat crosses its own measured boundary</x:v>
      </x:c>
      <x:c r="K310" s="23" t="str">
        <x:v>redesign thermal boundary</x:v>
      </x:c>
    </x:row>
    <x:row r="311">
      <x:c r="B311" s="21" t="str">
        <x:v>TKS-C01-B-G05</x:v>
      </x:c>
      <x:c r="C311" s="21" t="str">
        <x:v>TKS-C01-B</x:v>
      </x:c>
      <x:c r="D311" s="21" t="str">
        <x:v>TKS-C01</x:v>
      </x:c>
      <x:c r="E311" s="21" t="str">
        <x:v>G05</x:v>
      </x:c>
      <x:c r="F311" s="21" t="str">
        <x:v>complete local original</x:v>
      </x:c>
      <x:c r="G311" s="21" t="n">
        <x:v>1</x:v>
      </x:c>
      <x:c r="H311" s="21" t="n">
        <x:v>1</x:v>
      </x:c>
      <x:c r="I311" s="21" t="str">
        <x:v>PASS</x:v>
      </x:c>
      <x:c r="J311" s="21" t="str">
        <x:v>complete original or declared bounded loss</x:v>
      </x:c>
      <x:c r="K311" s="23" t="str">
        <x:v>reject custody architecture</x:v>
      </x:c>
    </x:row>
    <x:row r="312">
      <x:c r="B312" s="21" t="str">
        <x:v>TKS-C01-B-G06</x:v>
      </x:c>
      <x:c r="C312" s="21" t="str">
        <x:v>TKS-C01-B</x:v>
      </x:c>
      <x:c r="D312" s="21" t="str">
        <x:v>TKS-C01</x:v>
      </x:c>
      <x:c r="E312" s="21" t="str">
        <x:v>G06</x:v>
      </x:c>
      <x:c r="F312" s="21" t="str">
        <x:v>denied event time</x:v>
      </x:c>
      <x:c r="G312" s="21" t="n">
        <x:v>1</x:v>
      </x:c>
      <x:c r="H312" s="21" t="n">
        <x:v>1</x:v>
      </x:c>
      <x:c r="I312" s="21" t="str">
        <x:v>PASS</x:v>
      </x:c>
      <x:c r="J312" s="21" t="str">
        <x:v>inside family U95 allocation</x:v>
      </x:c>
      <x:c r="K312" s="23" t="str">
        <x:v>redesign time roots</x:v>
      </x:c>
    </x:row>
    <x:row r="313">
      <x:c r="B313" s="21" t="str">
        <x:v>TKS-C01-B-G07</x:v>
      </x:c>
      <x:c r="C313" s="21" t="str">
        <x:v>TKS-C01-B</x:v>
      </x:c>
      <x:c r="D313" s="21" t="str">
        <x:v>TKS-C01</x:v>
      </x:c>
      <x:c r="E313" s="21" t="str">
        <x:v>G07</x:v>
      </x:c>
      <x:c r="F313" s="21" t="str">
        <x:v>physical non-actuation</x:v>
      </x:c>
      <x:c r="G313" s="21" t="n">
        <x:v>1</x:v>
      </x:c>
      <x:c r="H313" s="21" t="n">
        <x:v>1</x:v>
      </x:c>
      <x:c r="I313" s="21" t="str">
        <x:v>PASS</x:v>
      </x:c>
      <x:c r="J313" s="21" t="str">
        <x:v>teardown and injection show no useful path</x:v>
      </x:c>
      <x:c r="K313" s="23" t="str">
        <x:v>reject interface family</x:v>
      </x:c>
    </x:row>
    <x:row r="314">
      <x:c r="B314" s="21" t="str">
        <x:v>TKS-C01-B-G08</x:v>
      </x:c>
      <x:c r="C314" s="21" t="str">
        <x:v>TKS-C01-B</x:v>
      </x:c>
      <x:c r="D314" s="21" t="str">
        <x:v>TKS-C01</x:v>
      </x:c>
      <x:c r="E314" s="21" t="str">
        <x:v>G08</x:v>
      </x:c>
      <x:c r="F314" s="21" t="str">
        <x:v>hazard behavior</x:v>
      </x:c>
      <x:c r="G314" s="21" t="n">
        <x:v>1</x:v>
      </x:c>
      <x:c r="H314" s="21" t="n">
        <x:v>1</x:v>
      </x:c>
      <x:c r="I314" s="21" t="str">
        <x:v>PASS</x:v>
      </x:c>
      <x:c r="J314" s="21" t="str">
        <x:v>no silent state and safe disposition</x:v>
      </x:c>
      <x:c r="K314" s="23" t="str">
        <x:v>rework enclosure and disposition</x:v>
      </x:c>
    </x:row>
    <x:row r="315">
      <x:c r="B315" s="21" t="str">
        <x:v>TKS-C01-B-G09</x:v>
      </x:c>
      <x:c r="C315" s="21" t="str">
        <x:v>TKS-C01-B</x:v>
      </x:c>
      <x:c r="D315" s="21" t="str">
        <x:v>TKS-C01</x:v>
      </x:c>
      <x:c r="E315" s="21" t="str">
        <x:v>G09</x:v>
      </x:c>
      <x:c r="F315" s="21" t="str">
        <x:v>maintenance and quarantine</x:v>
      </x:c>
      <x:c r="G315" s="21" t="n">
        <x:v>1</x:v>
      </x:c>
      <x:c r="H315" s="21" t="n">
        <x:v>1</x:v>
      </x:c>
      <x:c r="I315" s="21" t="str">
        <x:v>PASS</x:v>
      </x:c>
      <x:c r="J315" s="21" t="str">
        <x:v>family access limit and lawful custody</x:v>
      </x:c>
      <x:c r="K315" s="23" t="str">
        <x:v>rework access package</x:v>
      </x:c>
    </x:row>
    <x:row r="316">
      <x:c r="B316" s="21" t="str">
        <x:v>TKS-C01-B-G10</x:v>
      </x:c>
      <x:c r="C316" s="21" t="str">
        <x:v>TKS-C01-B</x:v>
      </x:c>
      <x:c r="D316" s="21" t="str">
        <x:v>TKS-C01</x:v>
      </x:c>
      <x:c r="E316" s="21" t="str">
        <x:v>G10</x:v>
      </x:c>
      <x:c r="F316" s="21" t="str">
        <x:v>decisive ancestry</x:v>
      </x:c>
      <x:c r="G316" s="21" t="n">
        <x:v>1</x:v>
      </x:c>
      <x:c r="H316" s="21" t="n">
        <x:v>1</x:v>
      </x:c>
      <x:c r="I316" s="21" t="str">
        <x:v>PASS</x:v>
      </x:c>
      <x:c r="J316" s="21" t="str">
        <x:v>no undisclosed decisive root</x:v>
      </x:c>
      <x:c r="K316" s="23" t="str">
        <x:v>recompete decisive root</x:v>
      </x:c>
    </x:row>
    <x:row r="317">
      <x:c r="B317" s="21" t="str">
        <x:v>TKS-C01-B-G11</x:v>
      </x:c>
      <x:c r="C317" s="21" t="str">
        <x:v>TKS-C01-B</x:v>
      </x:c>
      <x:c r="D317" s="21" t="str">
        <x:v>TKS-C01</x:v>
      </x:c>
      <x:c r="E317" s="21" t="str">
        <x:v>G11</x:v>
      </x:c>
      <x:c r="F317" s="21" t="str">
        <x:v>technical rights and reproduction</x:v>
      </x:c>
      <x:c r="G317" s="21" t="n">
        <x:v>1</x:v>
      </x:c>
      <x:c r="H317" s="21" t="n">
        <x:v>1</x:v>
      </x:c>
      <x:c r="I317" s="21" t="str">
        <x:v>PASS</x:v>
      </x:c>
      <x:c r="J317" s="21" t="str">
        <x:v>government can reproduce the decision</x:v>
      </x:c>
      <x:c r="K317" s="23" t="str">
        <x:v>withhold reproduction authority</x:v>
      </x:c>
    </x:row>
    <x:row r="318">
      <x:c r="B318" s="21" t="str">
        <x:v>TKS-C01-B-G12</x:v>
      </x:c>
      <x:c r="C318" s="21" t="str">
        <x:v>TKS-C01-B</x:v>
      </x:c>
      <x:c r="D318" s="21" t="str">
        <x:v>TKS-C01</x:v>
      </x:c>
      <x:c r="E318" s="21" t="str">
        <x:v>G12</x:v>
      </x:c>
      <x:c r="F318" s="21" t="str">
        <x:v>facility schedule and cost</x:v>
      </x:c>
      <x:c r="G318" s="21" t="n">
        <x:v>1</x:v>
      </x:c>
      <x:c r="H318" s="21" t="n">
        <x:v>1</x:v>
      </x:c>
      <x:c r="I318" s="21" t="str">
        <x:v>PASS</x:v>
      </x:c>
      <x:c r="J318" s="21" t="str">
        <x:v>all articles available before registered need</x:v>
      </x:c>
      <x:c r="K318" s="23" t="str">
        <x:v>shift award or add capacity</x:v>
      </x:c>
    </x:row>
    <x:row r="319">
      <x:c r="B319" s="21" t="str">
        <x:v>TKS-C01-C-G01</x:v>
      </x:c>
      <x:c r="C319" s="21" t="str">
        <x:v>TKS-C01-C</x:v>
      </x:c>
      <x:c r="D319" s="21" t="str">
        <x:v>TKS-C01</x:v>
      </x:c>
      <x:c r="E319" s="21" t="str">
        <x:v>G01</x:v>
      </x:c>
      <x:c r="F319" s="21" t="str">
        <x:v>public effect boundary</x:v>
      </x:c>
      <x:c r="G319" s="21" t="n">
        <x:v>1</x:v>
      </x:c>
      <x:c r="H319" s="21" t="n">
        <x:v>1</x:v>
      </x:c>
      <x:c r="I319" s="21" t="str">
        <x:v>PASS</x:v>
      </x:c>
      <x:c r="J319" s="21" t="str">
        <x:v>complete local decision and invalid-state grammar</x:v>
      </x:c>
      <x:c r="K319" s="23" t="str">
        <x:v>reject mission substitution</x:v>
      </x:c>
    </x:row>
    <x:row r="320">
      <x:c r="B320" s="21" t="str">
        <x:v>TKS-C01-C-G02</x:v>
      </x:c>
      <x:c r="C320" s="21" t="str">
        <x:v>TKS-C01-C</x:v>
      </x:c>
      <x:c r="D320" s="21" t="str">
        <x:v>TKS-C01</x:v>
      </x:c>
      <x:c r="E320" s="21" t="str">
        <x:v>G02</x:v>
      </x:c>
      <x:c r="F320" s="21" t="str">
        <x:v>mass volume and reserve</x:v>
      </x:c>
      <x:c r="G320" s="21" t="n">
        <x:v>1</x:v>
      </x:c>
      <x:c r="H320" s="21" t="n">
        <x:v>1</x:v>
      </x:c>
      <x:c r="I320" s="21" t="str">
        <x:v>PASS</x:v>
      </x:c>
      <x:c r="J320" s="21" t="str">
        <x:v>inside frozen family envelope with both reserves explicit</x:v>
      </x:c>
      <x:c r="K320" s="23" t="str">
        <x:v>reopen burden allocation</x:v>
      </x:c>
    </x:row>
    <x:row r="321">
      <x:c r="B321" s="21" t="str">
        <x:v>TKS-C01-C-G03</x:v>
      </x:c>
      <x:c r="C321" s="21" t="str">
        <x:v>TKS-C01-C</x:v>
      </x:c>
      <x:c r="D321" s="21" t="str">
        <x:v>TKS-C01</x:v>
      </x:c>
      <x:c r="E321" s="21" t="str">
        <x:v>G03</x:v>
      </x:c>
      <x:c r="F321" s="21" t="str">
        <x:v>independent endurance</x:v>
      </x:c>
      <x:c r="G321" s="21" t="n">
        <x:v>1</x:v>
      </x:c>
      <x:c r="H321" s="21" t="n">
        <x:v>1</x:v>
      </x:c>
      <x:c r="I321" s="21" t="str">
        <x:v>PASS</x:v>
      </x:c>
      <x:c r="J321" s="21" t="str">
        <x:v>full interval and registered peak sequence</x:v>
      </x:c>
      <x:c r="K321" s="23" t="str">
        <x:v>redesign autonomous energy</x:v>
      </x:c>
    </x:row>
    <x:row r="322">
      <x:c r="B322" s="21" t="str">
        <x:v>TKS-C01-C-G04</x:v>
      </x:c>
      <x:c r="C322" s="21" t="str">
        <x:v>TKS-C01-C</x:v>
      </x:c>
      <x:c r="D322" s="21" t="str">
        <x:v>TKS-C01</x:v>
      </x:c>
      <x:c r="E322" s="21" t="str">
        <x:v>G04</x:v>
      </x:c>
      <x:c r="F322" s="21" t="str">
        <x:v>outward thermal rejection</x:v>
      </x:c>
      <x:c r="G322" s="21" t="n">
        <x:v>1</x:v>
      </x:c>
      <x:c r="H322" s="21" t="n">
        <x:v>1</x:v>
      </x:c>
      <x:c r="I322" s="21" t="str">
        <x:v>PASS</x:v>
      </x:c>
      <x:c r="J322" s="21" t="str">
        <x:v>all evidence heat crosses its own measured boundary</x:v>
      </x:c>
      <x:c r="K322" s="23" t="str">
        <x:v>redesign thermal boundary</x:v>
      </x:c>
    </x:row>
    <x:row r="323">
      <x:c r="B323" s="21" t="str">
        <x:v>TKS-C01-C-G05</x:v>
      </x:c>
      <x:c r="C323" s="21" t="str">
        <x:v>TKS-C01-C</x:v>
      </x:c>
      <x:c r="D323" s="21" t="str">
        <x:v>TKS-C01</x:v>
      </x:c>
      <x:c r="E323" s="21" t="str">
        <x:v>G05</x:v>
      </x:c>
      <x:c r="F323" s="21" t="str">
        <x:v>complete local original</x:v>
      </x:c>
      <x:c r="G323" s="21" t="n">
        <x:v>1</x:v>
      </x:c>
      <x:c r="H323" s="21" t="n">
        <x:v>1</x:v>
      </x:c>
      <x:c r="I323" s="21" t="str">
        <x:v>PASS</x:v>
      </x:c>
      <x:c r="J323" s="21" t="str">
        <x:v>complete original or declared bounded loss</x:v>
      </x:c>
      <x:c r="K323" s="23" t="str">
        <x:v>reject custody architecture</x:v>
      </x:c>
    </x:row>
    <x:row r="324">
      <x:c r="B324" s="21" t="str">
        <x:v>TKS-C01-C-G06</x:v>
      </x:c>
      <x:c r="C324" s="21" t="str">
        <x:v>TKS-C01-C</x:v>
      </x:c>
      <x:c r="D324" s="21" t="str">
        <x:v>TKS-C01</x:v>
      </x:c>
      <x:c r="E324" s="21" t="str">
        <x:v>G06</x:v>
      </x:c>
      <x:c r="F324" s="21" t="str">
        <x:v>denied event time</x:v>
      </x:c>
      <x:c r="G324" s="21" t="n">
        <x:v>1</x:v>
      </x:c>
      <x:c r="H324" s="21" t="n">
        <x:v>1</x:v>
      </x:c>
      <x:c r="I324" s="21" t="str">
        <x:v>PASS</x:v>
      </x:c>
      <x:c r="J324" s="21" t="str">
        <x:v>inside family U95 allocation</x:v>
      </x:c>
      <x:c r="K324" s="23" t="str">
        <x:v>redesign time roots</x:v>
      </x:c>
    </x:row>
    <x:row r="325">
      <x:c r="B325" s="21" t="str">
        <x:v>TKS-C01-C-G07</x:v>
      </x:c>
      <x:c r="C325" s="21" t="str">
        <x:v>TKS-C01-C</x:v>
      </x:c>
      <x:c r="D325" s="21" t="str">
        <x:v>TKS-C01</x:v>
      </x:c>
      <x:c r="E325" s="21" t="str">
        <x:v>G07</x:v>
      </x:c>
      <x:c r="F325" s="21" t="str">
        <x:v>physical non-actuation</x:v>
      </x:c>
      <x:c r="G325" s="21" t="n">
        <x:v>1</x:v>
      </x:c>
      <x:c r="H325" s="21" t="n">
        <x:v>1</x:v>
      </x:c>
      <x:c r="I325" s="21" t="str">
        <x:v>PASS</x:v>
      </x:c>
      <x:c r="J325" s="21" t="str">
        <x:v>teardown and injection show no useful path</x:v>
      </x:c>
      <x:c r="K325" s="23" t="str">
        <x:v>reject interface family</x:v>
      </x:c>
    </x:row>
    <x:row r="326">
      <x:c r="B326" s="21" t="str">
        <x:v>TKS-C01-C-G08</x:v>
      </x:c>
      <x:c r="C326" s="21" t="str">
        <x:v>TKS-C01-C</x:v>
      </x:c>
      <x:c r="D326" s="21" t="str">
        <x:v>TKS-C01</x:v>
      </x:c>
      <x:c r="E326" s="21" t="str">
        <x:v>G08</x:v>
      </x:c>
      <x:c r="F326" s="21" t="str">
        <x:v>hazard behavior</x:v>
      </x:c>
      <x:c r="G326" s="21" t="n">
        <x:v>1</x:v>
      </x:c>
      <x:c r="H326" s="21" t="n">
        <x:v>1</x:v>
      </x:c>
      <x:c r="I326" s="21" t="str">
        <x:v>PASS</x:v>
      </x:c>
      <x:c r="J326" s="21" t="str">
        <x:v>no silent state and safe disposition</x:v>
      </x:c>
      <x:c r="K326" s="23" t="str">
        <x:v>rework enclosure and disposition</x:v>
      </x:c>
    </x:row>
    <x:row r="327">
      <x:c r="B327" s="21" t="str">
        <x:v>TKS-C01-C-G09</x:v>
      </x:c>
      <x:c r="C327" s="21" t="str">
        <x:v>TKS-C01-C</x:v>
      </x:c>
      <x:c r="D327" s="21" t="str">
        <x:v>TKS-C01</x:v>
      </x:c>
      <x:c r="E327" s="21" t="str">
        <x:v>G09</x:v>
      </x:c>
      <x:c r="F327" s="21" t="str">
        <x:v>maintenance and quarantine</x:v>
      </x:c>
      <x:c r="G327" s="21" t="n">
        <x:v>1</x:v>
      </x:c>
      <x:c r="H327" s="21" t="n">
        <x:v>1</x:v>
      </x:c>
      <x:c r="I327" s="21" t="str">
        <x:v>PASS</x:v>
      </x:c>
      <x:c r="J327" s="21" t="str">
        <x:v>family access limit and lawful custody</x:v>
      </x:c>
      <x:c r="K327" s="23" t="str">
        <x:v>rework access package</x:v>
      </x:c>
    </x:row>
    <x:row r="328">
      <x:c r="B328" s="21" t="str">
        <x:v>TKS-C01-C-G10</x:v>
      </x:c>
      <x:c r="C328" s="21" t="str">
        <x:v>TKS-C01-C</x:v>
      </x:c>
      <x:c r="D328" s="21" t="str">
        <x:v>TKS-C01</x:v>
      </x:c>
      <x:c r="E328" s="21" t="str">
        <x:v>G10</x:v>
      </x:c>
      <x:c r="F328" s="21" t="str">
        <x:v>decisive ancestry</x:v>
      </x:c>
      <x:c r="G328" s="21" t="n">
        <x:v>0</x:v>
      </x:c>
      <x:c r="H328" s="21" t="n">
        <x:v>1</x:v>
      </x:c>
      <x:c r="I328" s="21" t="str">
        <x:v>FAIL</x:v>
      </x:c>
      <x:c r="J328" s="21" t="str">
        <x:v>no undisclosed decisive root</x:v>
      </x:c>
      <x:c r="K328" s="23" t="str">
        <x:v>recompete decisive root</x:v>
      </x:c>
    </x:row>
    <x:row r="329">
      <x:c r="B329" s="21" t="str">
        <x:v>TKS-C01-C-G11</x:v>
      </x:c>
      <x:c r="C329" s="21" t="str">
        <x:v>TKS-C01-C</x:v>
      </x:c>
      <x:c r="D329" s="21" t="str">
        <x:v>TKS-C01</x:v>
      </x:c>
      <x:c r="E329" s="21" t="str">
        <x:v>G11</x:v>
      </x:c>
      <x:c r="F329" s="21" t="str">
        <x:v>technical rights and reproduction</x:v>
      </x:c>
      <x:c r="G329" s="21" t="n">
        <x:v>1</x:v>
      </x:c>
      <x:c r="H329" s="21" t="n">
        <x:v>1</x:v>
      </x:c>
      <x:c r="I329" s="21" t="str">
        <x:v>PASS</x:v>
      </x:c>
      <x:c r="J329" s="21" t="str">
        <x:v>government can reproduce the decision</x:v>
      </x:c>
      <x:c r="K329" s="23" t="str">
        <x:v>withhold reproduction authority</x:v>
      </x:c>
    </x:row>
    <x:row r="330">
      <x:c r="B330" s="21" t="str">
        <x:v>TKS-C01-C-G12</x:v>
      </x:c>
      <x:c r="C330" s="21" t="str">
        <x:v>TKS-C01-C</x:v>
      </x:c>
      <x:c r="D330" s="21" t="str">
        <x:v>TKS-C01</x:v>
      </x:c>
      <x:c r="E330" s="21" t="str">
        <x:v>G12</x:v>
      </x:c>
      <x:c r="F330" s="21" t="str">
        <x:v>facility schedule and cost</x:v>
      </x:c>
      <x:c r="G330" s="21" t="n">
        <x:v>1</x:v>
      </x:c>
      <x:c r="H330" s="21" t="n">
        <x:v>1</x:v>
      </x:c>
      <x:c r="I330" s="21" t="str">
        <x:v>PASS</x:v>
      </x:c>
      <x:c r="J330" s="21" t="str">
        <x:v>all articles available before registered need</x:v>
      </x:c>
      <x:c r="K330" s="23" t="str">
        <x:v>shift award or add capacity</x:v>
      </x:c>
    </x:row>
    <x:row r="331">
      <x:c r="B331" s="21" t="str">
        <x:v>STG-S01-A-G01</x:v>
      </x:c>
      <x:c r="C331" s="21" t="str">
        <x:v>STG-S01-A</x:v>
      </x:c>
      <x:c r="D331" s="21" t="str">
        <x:v>STG-S01</x:v>
      </x:c>
      <x:c r="E331" s="21" t="str">
        <x:v>G01</x:v>
      </x:c>
      <x:c r="F331" s="21" t="str">
        <x:v>public effect boundary</x:v>
      </x:c>
      <x:c r="G331" s="21" t="n">
        <x:v>1</x:v>
      </x:c>
      <x:c r="H331" s="21" t="n">
        <x:v>1</x:v>
      </x:c>
      <x:c r="I331" s="21" t="str">
        <x:v>PASS</x:v>
      </x:c>
      <x:c r="J331" s="21" t="str">
        <x:v>complete local decision and invalid-state grammar</x:v>
      </x:c>
      <x:c r="K331" s="23" t="str">
        <x:v>reject mission substitution</x:v>
      </x:c>
    </x:row>
    <x:row r="332">
      <x:c r="B332" s="21" t="str">
        <x:v>STG-S01-A-G02</x:v>
      </x:c>
      <x:c r="C332" s="21" t="str">
        <x:v>STG-S01-A</x:v>
      </x:c>
      <x:c r="D332" s="21" t="str">
        <x:v>STG-S01</x:v>
      </x:c>
      <x:c r="E332" s="21" t="str">
        <x:v>G02</x:v>
      </x:c>
      <x:c r="F332" s="21" t="str">
        <x:v>mass volume and reserve</x:v>
      </x:c>
      <x:c r="G332" s="21" t="n">
        <x:v>1</x:v>
      </x:c>
      <x:c r="H332" s="21" t="n">
        <x:v>1</x:v>
      </x:c>
      <x:c r="I332" s="21" t="str">
        <x:v>PASS</x:v>
      </x:c>
      <x:c r="J332" s="21" t="str">
        <x:v>inside frozen family envelope with both reserves explicit</x:v>
      </x:c>
      <x:c r="K332" s="23" t="str">
        <x:v>reopen burden allocation</x:v>
      </x:c>
    </x:row>
    <x:row r="333">
      <x:c r="B333" s="21" t="str">
        <x:v>STG-S01-A-G03</x:v>
      </x:c>
      <x:c r="C333" s="21" t="str">
        <x:v>STG-S01-A</x:v>
      </x:c>
      <x:c r="D333" s="21" t="str">
        <x:v>STG-S01</x:v>
      </x:c>
      <x:c r="E333" s="21" t="str">
        <x:v>G03</x:v>
      </x:c>
      <x:c r="F333" s="21" t="str">
        <x:v>independent endurance</x:v>
      </x:c>
      <x:c r="G333" s="21" t="n">
        <x:v>1</x:v>
      </x:c>
      <x:c r="H333" s="21" t="n">
        <x:v>1</x:v>
      </x:c>
      <x:c r="I333" s="21" t="str">
        <x:v>PASS</x:v>
      </x:c>
      <x:c r="J333" s="21" t="str">
        <x:v>full interval and registered peak sequence</x:v>
      </x:c>
      <x:c r="K333" s="23" t="str">
        <x:v>redesign autonomous energy</x:v>
      </x:c>
    </x:row>
    <x:row r="334">
      <x:c r="B334" s="21" t="str">
        <x:v>STG-S01-A-G04</x:v>
      </x:c>
      <x:c r="C334" s="21" t="str">
        <x:v>STG-S01-A</x:v>
      </x:c>
      <x:c r="D334" s="21" t="str">
        <x:v>STG-S01</x:v>
      </x:c>
      <x:c r="E334" s="21" t="str">
        <x:v>G04</x:v>
      </x:c>
      <x:c r="F334" s="21" t="str">
        <x:v>outward thermal rejection</x:v>
      </x:c>
      <x:c r="G334" s="21" t="n">
        <x:v>1</x:v>
      </x:c>
      <x:c r="H334" s="21" t="n">
        <x:v>1</x:v>
      </x:c>
      <x:c r="I334" s="21" t="str">
        <x:v>PASS</x:v>
      </x:c>
      <x:c r="J334" s="21" t="str">
        <x:v>all evidence heat crosses its own measured boundary</x:v>
      </x:c>
      <x:c r="K334" s="23" t="str">
        <x:v>redesign thermal boundary</x:v>
      </x:c>
    </x:row>
    <x:row r="335">
      <x:c r="B335" s="21" t="str">
        <x:v>STG-S01-A-G05</x:v>
      </x:c>
      <x:c r="C335" s="21" t="str">
        <x:v>STG-S01-A</x:v>
      </x:c>
      <x:c r="D335" s="21" t="str">
        <x:v>STG-S01</x:v>
      </x:c>
      <x:c r="E335" s="21" t="str">
        <x:v>G05</x:v>
      </x:c>
      <x:c r="F335" s="21" t="str">
        <x:v>complete local original</x:v>
      </x:c>
      <x:c r="G335" s="21" t="n">
        <x:v>1</x:v>
      </x:c>
      <x:c r="H335" s="21" t="n">
        <x:v>1</x:v>
      </x:c>
      <x:c r="I335" s="21" t="str">
        <x:v>PASS</x:v>
      </x:c>
      <x:c r="J335" s="21" t="str">
        <x:v>complete original or declared bounded loss</x:v>
      </x:c>
      <x:c r="K335" s="23" t="str">
        <x:v>reject custody architecture</x:v>
      </x:c>
    </x:row>
    <x:row r="336">
      <x:c r="B336" s="21" t="str">
        <x:v>STG-S01-A-G06</x:v>
      </x:c>
      <x:c r="C336" s="21" t="str">
        <x:v>STG-S01-A</x:v>
      </x:c>
      <x:c r="D336" s="21" t="str">
        <x:v>STG-S01</x:v>
      </x:c>
      <x:c r="E336" s="21" t="str">
        <x:v>G06</x:v>
      </x:c>
      <x:c r="F336" s="21" t="str">
        <x:v>denied event time</x:v>
      </x:c>
      <x:c r="G336" s="21" t="n">
        <x:v>1</x:v>
      </x:c>
      <x:c r="H336" s="21" t="n">
        <x:v>1</x:v>
      </x:c>
      <x:c r="I336" s="21" t="str">
        <x:v>PASS</x:v>
      </x:c>
      <x:c r="J336" s="21" t="str">
        <x:v>inside family U95 allocation</x:v>
      </x:c>
      <x:c r="K336" s="23" t="str">
        <x:v>redesign time roots</x:v>
      </x:c>
    </x:row>
    <x:row r="337">
      <x:c r="B337" s="21" t="str">
        <x:v>STG-S01-A-G07</x:v>
      </x:c>
      <x:c r="C337" s="21" t="str">
        <x:v>STG-S01-A</x:v>
      </x:c>
      <x:c r="D337" s="21" t="str">
        <x:v>STG-S01</x:v>
      </x:c>
      <x:c r="E337" s="21" t="str">
        <x:v>G07</x:v>
      </x:c>
      <x:c r="F337" s="21" t="str">
        <x:v>physical non-actuation</x:v>
      </x:c>
      <x:c r="G337" s="21" t="n">
        <x:v>1</x:v>
      </x:c>
      <x:c r="H337" s="21" t="n">
        <x:v>1</x:v>
      </x:c>
      <x:c r="I337" s="21" t="str">
        <x:v>PASS</x:v>
      </x:c>
      <x:c r="J337" s="21" t="str">
        <x:v>teardown and injection show no useful path</x:v>
      </x:c>
      <x:c r="K337" s="23" t="str">
        <x:v>reject interface family</x:v>
      </x:c>
    </x:row>
    <x:row r="338">
      <x:c r="B338" s="21" t="str">
        <x:v>STG-S01-A-G08</x:v>
      </x:c>
      <x:c r="C338" s="21" t="str">
        <x:v>STG-S01-A</x:v>
      </x:c>
      <x:c r="D338" s="21" t="str">
        <x:v>STG-S01</x:v>
      </x:c>
      <x:c r="E338" s="21" t="str">
        <x:v>G08</x:v>
      </x:c>
      <x:c r="F338" s="21" t="str">
        <x:v>hazard behavior</x:v>
      </x:c>
      <x:c r="G338" s="21" t="n">
        <x:v>1</x:v>
      </x:c>
      <x:c r="H338" s="21" t="n">
        <x:v>1</x:v>
      </x:c>
      <x:c r="I338" s="21" t="str">
        <x:v>PASS</x:v>
      </x:c>
      <x:c r="J338" s="21" t="str">
        <x:v>no silent state and safe disposition</x:v>
      </x:c>
      <x:c r="K338" s="23" t="str">
        <x:v>rework enclosure and disposition</x:v>
      </x:c>
    </x:row>
    <x:row r="339">
      <x:c r="B339" s="21" t="str">
        <x:v>STG-S01-A-G09</x:v>
      </x:c>
      <x:c r="C339" s="21" t="str">
        <x:v>STG-S01-A</x:v>
      </x:c>
      <x:c r="D339" s="21" t="str">
        <x:v>STG-S01</x:v>
      </x:c>
      <x:c r="E339" s="21" t="str">
        <x:v>G09</x:v>
      </x:c>
      <x:c r="F339" s="21" t="str">
        <x:v>maintenance and quarantine</x:v>
      </x:c>
      <x:c r="G339" s="21" t="n">
        <x:v>1</x:v>
      </x:c>
      <x:c r="H339" s="21" t="n">
        <x:v>1</x:v>
      </x:c>
      <x:c r="I339" s="21" t="str">
        <x:v>PASS</x:v>
      </x:c>
      <x:c r="J339" s="21" t="str">
        <x:v>family access limit and lawful custody</x:v>
      </x:c>
      <x:c r="K339" s="23" t="str">
        <x:v>rework access package</x:v>
      </x:c>
    </x:row>
    <x:row r="340">
      <x:c r="B340" s="21" t="str">
        <x:v>STG-S01-A-G10</x:v>
      </x:c>
      <x:c r="C340" s="21" t="str">
        <x:v>STG-S01-A</x:v>
      </x:c>
      <x:c r="D340" s="21" t="str">
        <x:v>STG-S01</x:v>
      </x:c>
      <x:c r="E340" s="21" t="str">
        <x:v>G10</x:v>
      </x:c>
      <x:c r="F340" s="21" t="str">
        <x:v>decisive ancestry</x:v>
      </x:c>
      <x:c r="G340" s="21" t="n">
        <x:v>1</x:v>
      </x:c>
      <x:c r="H340" s="21" t="n">
        <x:v>1</x:v>
      </x:c>
      <x:c r="I340" s="21" t="str">
        <x:v>PASS</x:v>
      </x:c>
      <x:c r="J340" s="21" t="str">
        <x:v>no undisclosed decisive root</x:v>
      </x:c>
      <x:c r="K340" s="23" t="str">
        <x:v>recompete decisive root</x:v>
      </x:c>
    </x:row>
    <x:row r="341">
      <x:c r="B341" s="21" t="str">
        <x:v>STG-S01-A-G11</x:v>
      </x:c>
      <x:c r="C341" s="21" t="str">
        <x:v>STG-S01-A</x:v>
      </x:c>
      <x:c r="D341" s="21" t="str">
        <x:v>STG-S01</x:v>
      </x:c>
      <x:c r="E341" s="21" t="str">
        <x:v>G11</x:v>
      </x:c>
      <x:c r="F341" s="21" t="str">
        <x:v>technical rights and reproduction</x:v>
      </x:c>
      <x:c r="G341" s="21" t="n">
        <x:v>1</x:v>
      </x:c>
      <x:c r="H341" s="21" t="n">
        <x:v>1</x:v>
      </x:c>
      <x:c r="I341" s="21" t="str">
        <x:v>PASS</x:v>
      </x:c>
      <x:c r="J341" s="21" t="str">
        <x:v>government can reproduce the decision</x:v>
      </x:c>
      <x:c r="K341" s="23" t="str">
        <x:v>withhold reproduction authority</x:v>
      </x:c>
    </x:row>
    <x:row r="342">
      <x:c r="B342" s="21" t="str">
        <x:v>STG-S01-A-G12</x:v>
      </x:c>
      <x:c r="C342" s="21" t="str">
        <x:v>STG-S01-A</x:v>
      </x:c>
      <x:c r="D342" s="21" t="str">
        <x:v>STG-S01</x:v>
      </x:c>
      <x:c r="E342" s="21" t="str">
        <x:v>G12</x:v>
      </x:c>
      <x:c r="F342" s="21" t="str">
        <x:v>facility schedule and cost</x:v>
      </x:c>
      <x:c r="G342" s="21" t="n">
        <x:v>1</x:v>
      </x:c>
      <x:c r="H342" s="21" t="n">
        <x:v>1</x:v>
      </x:c>
      <x:c r="I342" s="21" t="str">
        <x:v>PASS</x:v>
      </x:c>
      <x:c r="J342" s="21" t="str">
        <x:v>all articles available before registered need</x:v>
      </x:c>
      <x:c r="K342" s="23" t="str">
        <x:v>shift award or add capacity</x:v>
      </x:c>
    </x:row>
    <x:row r="343">
      <x:c r="B343" s="21" t="str">
        <x:v>STG-S01-B-G01</x:v>
      </x:c>
      <x:c r="C343" s="21" t="str">
        <x:v>STG-S01-B</x:v>
      </x:c>
      <x:c r="D343" s="21" t="str">
        <x:v>STG-S01</x:v>
      </x:c>
      <x:c r="E343" s="21" t="str">
        <x:v>G01</x:v>
      </x:c>
      <x:c r="F343" s="21" t="str">
        <x:v>public effect boundary</x:v>
      </x:c>
      <x:c r="G343" s="21" t="n">
        <x:v>1</x:v>
      </x:c>
      <x:c r="H343" s="21" t="n">
        <x:v>1</x:v>
      </x:c>
      <x:c r="I343" s="21" t="str">
        <x:v>PASS</x:v>
      </x:c>
      <x:c r="J343" s="21" t="str">
        <x:v>complete local decision and invalid-state grammar</x:v>
      </x:c>
      <x:c r="K343" s="23" t="str">
        <x:v>reject mission substitution</x:v>
      </x:c>
    </x:row>
    <x:row r="344">
      <x:c r="B344" s="21" t="str">
        <x:v>STG-S01-B-G02</x:v>
      </x:c>
      <x:c r="C344" s="21" t="str">
        <x:v>STG-S01-B</x:v>
      </x:c>
      <x:c r="D344" s="21" t="str">
        <x:v>STG-S01</x:v>
      </x:c>
      <x:c r="E344" s="21" t="str">
        <x:v>G02</x:v>
      </x:c>
      <x:c r="F344" s="21" t="str">
        <x:v>mass volume and reserve</x:v>
      </x:c>
      <x:c r="G344" s="21" t="n">
        <x:v>1</x:v>
      </x:c>
      <x:c r="H344" s="21" t="n">
        <x:v>1</x:v>
      </x:c>
      <x:c r="I344" s="21" t="str">
        <x:v>PASS</x:v>
      </x:c>
      <x:c r="J344" s="21" t="str">
        <x:v>inside frozen family envelope with both reserves explicit</x:v>
      </x:c>
      <x:c r="K344" s="23" t="str">
        <x:v>reopen burden allocation</x:v>
      </x:c>
    </x:row>
    <x:row r="345">
      <x:c r="B345" s="21" t="str">
        <x:v>STG-S01-B-G03</x:v>
      </x:c>
      <x:c r="C345" s="21" t="str">
        <x:v>STG-S01-B</x:v>
      </x:c>
      <x:c r="D345" s="21" t="str">
        <x:v>STG-S01</x:v>
      </x:c>
      <x:c r="E345" s="21" t="str">
        <x:v>G03</x:v>
      </x:c>
      <x:c r="F345" s="21" t="str">
        <x:v>independent endurance</x:v>
      </x:c>
      <x:c r="G345" s="21" t="n">
        <x:v>1</x:v>
      </x:c>
      <x:c r="H345" s="21" t="n">
        <x:v>1</x:v>
      </x:c>
      <x:c r="I345" s="21" t="str">
        <x:v>PASS</x:v>
      </x:c>
      <x:c r="J345" s="21" t="str">
        <x:v>full interval and registered peak sequence</x:v>
      </x:c>
      <x:c r="K345" s="23" t="str">
        <x:v>redesign autonomous energy</x:v>
      </x:c>
    </x:row>
    <x:row r="346">
      <x:c r="B346" s="21" t="str">
        <x:v>STG-S01-B-G04</x:v>
      </x:c>
      <x:c r="C346" s="21" t="str">
        <x:v>STG-S01-B</x:v>
      </x:c>
      <x:c r="D346" s="21" t="str">
        <x:v>STG-S01</x:v>
      </x:c>
      <x:c r="E346" s="21" t="str">
        <x:v>G04</x:v>
      </x:c>
      <x:c r="F346" s="21" t="str">
        <x:v>outward thermal rejection</x:v>
      </x:c>
      <x:c r="G346" s="21" t="n">
        <x:v>1</x:v>
      </x:c>
      <x:c r="H346" s="21" t="n">
        <x:v>1</x:v>
      </x:c>
      <x:c r="I346" s="21" t="str">
        <x:v>PASS</x:v>
      </x:c>
      <x:c r="J346" s="21" t="str">
        <x:v>all evidence heat crosses its own measured boundary</x:v>
      </x:c>
      <x:c r="K346" s="23" t="str">
        <x:v>redesign thermal boundary</x:v>
      </x:c>
    </x:row>
    <x:row r="347">
      <x:c r="B347" s="21" t="str">
        <x:v>STG-S01-B-G05</x:v>
      </x:c>
      <x:c r="C347" s="21" t="str">
        <x:v>STG-S01-B</x:v>
      </x:c>
      <x:c r="D347" s="21" t="str">
        <x:v>STG-S01</x:v>
      </x:c>
      <x:c r="E347" s="21" t="str">
        <x:v>G05</x:v>
      </x:c>
      <x:c r="F347" s="21" t="str">
        <x:v>complete local original</x:v>
      </x:c>
      <x:c r="G347" s="21" t="n">
        <x:v>1</x:v>
      </x:c>
      <x:c r="H347" s="21" t="n">
        <x:v>1</x:v>
      </x:c>
      <x:c r="I347" s="21" t="str">
        <x:v>PASS</x:v>
      </x:c>
      <x:c r="J347" s="21" t="str">
        <x:v>complete original or declared bounded loss</x:v>
      </x:c>
      <x:c r="K347" s="23" t="str">
        <x:v>reject custody architecture</x:v>
      </x:c>
    </x:row>
    <x:row r="348">
      <x:c r="B348" s="21" t="str">
        <x:v>STG-S01-B-G06</x:v>
      </x:c>
      <x:c r="C348" s="21" t="str">
        <x:v>STG-S01-B</x:v>
      </x:c>
      <x:c r="D348" s="21" t="str">
        <x:v>STG-S01</x:v>
      </x:c>
      <x:c r="E348" s="21" t="str">
        <x:v>G06</x:v>
      </x:c>
      <x:c r="F348" s="21" t="str">
        <x:v>denied event time</x:v>
      </x:c>
      <x:c r="G348" s="21" t="n">
        <x:v>1</x:v>
      </x:c>
      <x:c r="H348" s="21" t="n">
        <x:v>1</x:v>
      </x:c>
      <x:c r="I348" s="21" t="str">
        <x:v>PASS</x:v>
      </x:c>
      <x:c r="J348" s="21" t="str">
        <x:v>inside family U95 allocation</x:v>
      </x:c>
      <x:c r="K348" s="23" t="str">
        <x:v>redesign time roots</x:v>
      </x:c>
    </x:row>
    <x:row r="349">
      <x:c r="B349" s="21" t="str">
        <x:v>STG-S01-B-G07</x:v>
      </x:c>
      <x:c r="C349" s="21" t="str">
        <x:v>STG-S01-B</x:v>
      </x:c>
      <x:c r="D349" s="21" t="str">
        <x:v>STG-S01</x:v>
      </x:c>
      <x:c r="E349" s="21" t="str">
        <x:v>G07</x:v>
      </x:c>
      <x:c r="F349" s="21" t="str">
        <x:v>physical non-actuation</x:v>
      </x:c>
      <x:c r="G349" s="21" t="n">
        <x:v>1</x:v>
      </x:c>
      <x:c r="H349" s="21" t="n">
        <x:v>1</x:v>
      </x:c>
      <x:c r="I349" s="21" t="str">
        <x:v>PASS</x:v>
      </x:c>
      <x:c r="J349" s="21" t="str">
        <x:v>teardown and injection show no useful path</x:v>
      </x:c>
      <x:c r="K349" s="23" t="str">
        <x:v>reject interface family</x:v>
      </x:c>
    </x:row>
    <x:row r="350">
      <x:c r="B350" s="21" t="str">
        <x:v>STG-S01-B-G08</x:v>
      </x:c>
      <x:c r="C350" s="21" t="str">
        <x:v>STG-S01-B</x:v>
      </x:c>
      <x:c r="D350" s="21" t="str">
        <x:v>STG-S01</x:v>
      </x:c>
      <x:c r="E350" s="21" t="str">
        <x:v>G08</x:v>
      </x:c>
      <x:c r="F350" s="21" t="str">
        <x:v>hazard behavior</x:v>
      </x:c>
      <x:c r="G350" s="21" t="n">
        <x:v>1</x:v>
      </x:c>
      <x:c r="H350" s="21" t="n">
        <x:v>1</x:v>
      </x:c>
      <x:c r="I350" s="21" t="str">
        <x:v>PASS</x:v>
      </x:c>
      <x:c r="J350" s="21" t="str">
        <x:v>no silent state and safe disposition</x:v>
      </x:c>
      <x:c r="K350" s="23" t="str">
        <x:v>rework enclosure and disposition</x:v>
      </x:c>
    </x:row>
    <x:row r="351">
      <x:c r="B351" s="21" t="str">
        <x:v>STG-S01-B-G09</x:v>
      </x:c>
      <x:c r="C351" s="21" t="str">
        <x:v>STG-S01-B</x:v>
      </x:c>
      <x:c r="D351" s="21" t="str">
        <x:v>STG-S01</x:v>
      </x:c>
      <x:c r="E351" s="21" t="str">
        <x:v>G09</x:v>
      </x:c>
      <x:c r="F351" s="21" t="str">
        <x:v>maintenance and quarantine</x:v>
      </x:c>
      <x:c r="G351" s="21" t="n">
        <x:v>1</x:v>
      </x:c>
      <x:c r="H351" s="21" t="n">
        <x:v>1</x:v>
      </x:c>
      <x:c r="I351" s="21" t="str">
        <x:v>PASS</x:v>
      </x:c>
      <x:c r="J351" s="21" t="str">
        <x:v>family access limit and lawful custody</x:v>
      </x:c>
      <x:c r="K351" s="23" t="str">
        <x:v>rework access package</x:v>
      </x:c>
    </x:row>
    <x:row r="352">
      <x:c r="B352" s="21" t="str">
        <x:v>STG-S01-B-G10</x:v>
      </x:c>
      <x:c r="C352" s="21" t="str">
        <x:v>STG-S01-B</x:v>
      </x:c>
      <x:c r="D352" s="21" t="str">
        <x:v>STG-S01</x:v>
      </x:c>
      <x:c r="E352" s="21" t="str">
        <x:v>G10</x:v>
      </x:c>
      <x:c r="F352" s="21" t="str">
        <x:v>decisive ancestry</x:v>
      </x:c>
      <x:c r="G352" s="21" t="n">
        <x:v>1</x:v>
      </x:c>
      <x:c r="H352" s="21" t="n">
        <x:v>1</x:v>
      </x:c>
      <x:c r="I352" s="21" t="str">
        <x:v>PASS</x:v>
      </x:c>
      <x:c r="J352" s="21" t="str">
        <x:v>no undisclosed decisive root</x:v>
      </x:c>
      <x:c r="K352" s="23" t="str">
        <x:v>recompete decisive root</x:v>
      </x:c>
    </x:row>
    <x:row r="353">
      <x:c r="B353" s="21" t="str">
        <x:v>STG-S01-B-G11</x:v>
      </x:c>
      <x:c r="C353" s="21" t="str">
        <x:v>STG-S01-B</x:v>
      </x:c>
      <x:c r="D353" s="21" t="str">
        <x:v>STG-S01</x:v>
      </x:c>
      <x:c r="E353" s="21" t="str">
        <x:v>G11</x:v>
      </x:c>
      <x:c r="F353" s="21" t="str">
        <x:v>technical rights and reproduction</x:v>
      </x:c>
      <x:c r="G353" s="21" t="n">
        <x:v>1</x:v>
      </x:c>
      <x:c r="H353" s="21" t="n">
        <x:v>1</x:v>
      </x:c>
      <x:c r="I353" s="21" t="str">
        <x:v>PASS</x:v>
      </x:c>
      <x:c r="J353" s="21" t="str">
        <x:v>government can reproduce the decision</x:v>
      </x:c>
      <x:c r="K353" s="23" t="str">
        <x:v>withhold reproduction authority</x:v>
      </x:c>
    </x:row>
    <x:row r="354">
      <x:c r="B354" s="21" t="str">
        <x:v>STG-S01-B-G12</x:v>
      </x:c>
      <x:c r="C354" s="21" t="str">
        <x:v>STG-S01-B</x:v>
      </x:c>
      <x:c r="D354" s="21" t="str">
        <x:v>STG-S01</x:v>
      </x:c>
      <x:c r="E354" s="21" t="str">
        <x:v>G12</x:v>
      </x:c>
      <x:c r="F354" s="21" t="str">
        <x:v>facility schedule and cost</x:v>
      </x:c>
      <x:c r="G354" s="21" t="n">
        <x:v>1</x:v>
      </x:c>
      <x:c r="H354" s="21" t="n">
        <x:v>1</x:v>
      </x:c>
      <x:c r="I354" s="21" t="str">
        <x:v>PASS</x:v>
      </x:c>
      <x:c r="J354" s="21" t="str">
        <x:v>all articles available before registered need</x:v>
      </x:c>
      <x:c r="K354" s="23" t="str">
        <x:v>shift award or add capacity</x:v>
      </x:c>
    </x:row>
    <x:row r="355">
      <x:c r="B355" s="21" t="str">
        <x:v>STG-S01-C-G01</x:v>
      </x:c>
      <x:c r="C355" s="21" t="str">
        <x:v>STG-S01-C</x:v>
      </x:c>
      <x:c r="D355" s="21" t="str">
        <x:v>STG-S01</x:v>
      </x:c>
      <x:c r="E355" s="21" t="str">
        <x:v>G01</x:v>
      </x:c>
      <x:c r="F355" s="21" t="str">
        <x:v>public effect boundary</x:v>
      </x:c>
      <x:c r="G355" s="21" t="n">
        <x:v>1</x:v>
      </x:c>
      <x:c r="H355" s="21" t="n">
        <x:v>1</x:v>
      </x:c>
      <x:c r="I355" s="21" t="str">
        <x:v>PASS</x:v>
      </x:c>
      <x:c r="J355" s="21" t="str">
        <x:v>complete local decision and invalid-state grammar</x:v>
      </x:c>
      <x:c r="K355" s="23" t="str">
        <x:v>reject mission substitution</x:v>
      </x:c>
    </x:row>
    <x:row r="356">
      <x:c r="B356" s="21" t="str">
        <x:v>STG-S01-C-G02</x:v>
      </x:c>
      <x:c r="C356" s="21" t="str">
        <x:v>STG-S01-C</x:v>
      </x:c>
      <x:c r="D356" s="21" t="str">
        <x:v>STG-S01</x:v>
      </x:c>
      <x:c r="E356" s="21" t="str">
        <x:v>G02</x:v>
      </x:c>
      <x:c r="F356" s="21" t="str">
        <x:v>mass volume and reserve</x:v>
      </x:c>
      <x:c r="G356" s="21" t="n">
        <x:v>1</x:v>
      </x:c>
      <x:c r="H356" s="21" t="n">
        <x:v>1</x:v>
      </x:c>
      <x:c r="I356" s="21" t="str">
        <x:v>PASS</x:v>
      </x:c>
      <x:c r="J356" s="21" t="str">
        <x:v>inside frozen family envelope with both reserves explicit</x:v>
      </x:c>
      <x:c r="K356" s="23" t="str">
        <x:v>reopen burden allocation</x:v>
      </x:c>
    </x:row>
    <x:row r="357">
      <x:c r="B357" s="21" t="str">
        <x:v>STG-S01-C-G03</x:v>
      </x:c>
      <x:c r="C357" s="21" t="str">
        <x:v>STG-S01-C</x:v>
      </x:c>
      <x:c r="D357" s="21" t="str">
        <x:v>STG-S01</x:v>
      </x:c>
      <x:c r="E357" s="21" t="str">
        <x:v>G03</x:v>
      </x:c>
      <x:c r="F357" s="21" t="str">
        <x:v>independent endurance</x:v>
      </x:c>
      <x:c r="G357" s="21" t="n">
        <x:v>1</x:v>
      </x:c>
      <x:c r="H357" s="21" t="n">
        <x:v>1</x:v>
      </x:c>
      <x:c r="I357" s="21" t="str">
        <x:v>PASS</x:v>
      </x:c>
      <x:c r="J357" s="21" t="str">
        <x:v>full interval and registered peak sequence</x:v>
      </x:c>
      <x:c r="K357" s="23" t="str">
        <x:v>redesign autonomous energy</x:v>
      </x:c>
    </x:row>
    <x:row r="358">
      <x:c r="B358" s="21" t="str">
        <x:v>STG-S01-C-G04</x:v>
      </x:c>
      <x:c r="C358" s="21" t="str">
        <x:v>STG-S01-C</x:v>
      </x:c>
      <x:c r="D358" s="21" t="str">
        <x:v>STG-S01</x:v>
      </x:c>
      <x:c r="E358" s="21" t="str">
        <x:v>G04</x:v>
      </x:c>
      <x:c r="F358" s="21" t="str">
        <x:v>outward thermal rejection</x:v>
      </x:c>
      <x:c r="G358" s="21" t="n">
        <x:v>1</x:v>
      </x:c>
      <x:c r="H358" s="21" t="n">
        <x:v>1</x:v>
      </x:c>
      <x:c r="I358" s="21" t="str">
        <x:v>PASS</x:v>
      </x:c>
      <x:c r="J358" s="21" t="str">
        <x:v>all evidence heat crosses its own measured boundary</x:v>
      </x:c>
      <x:c r="K358" s="23" t="str">
        <x:v>redesign thermal boundary</x:v>
      </x:c>
    </x:row>
    <x:row r="359">
      <x:c r="B359" s="21" t="str">
        <x:v>STG-S01-C-G05</x:v>
      </x:c>
      <x:c r="C359" s="21" t="str">
        <x:v>STG-S01-C</x:v>
      </x:c>
      <x:c r="D359" s="21" t="str">
        <x:v>STG-S01</x:v>
      </x:c>
      <x:c r="E359" s="21" t="str">
        <x:v>G05</x:v>
      </x:c>
      <x:c r="F359" s="21" t="str">
        <x:v>complete local original</x:v>
      </x:c>
      <x:c r="G359" s="21" t="n">
        <x:v>1</x:v>
      </x:c>
      <x:c r="H359" s="21" t="n">
        <x:v>1</x:v>
      </x:c>
      <x:c r="I359" s="21" t="str">
        <x:v>PASS</x:v>
      </x:c>
      <x:c r="J359" s="21" t="str">
        <x:v>complete original or declared bounded loss</x:v>
      </x:c>
      <x:c r="K359" s="23" t="str">
        <x:v>reject custody architecture</x:v>
      </x:c>
    </x:row>
    <x:row r="360">
      <x:c r="B360" s="21" t="str">
        <x:v>STG-S01-C-G06</x:v>
      </x:c>
      <x:c r="C360" s="21" t="str">
        <x:v>STG-S01-C</x:v>
      </x:c>
      <x:c r="D360" s="21" t="str">
        <x:v>STG-S01</x:v>
      </x:c>
      <x:c r="E360" s="21" t="str">
        <x:v>G06</x:v>
      </x:c>
      <x:c r="F360" s="21" t="str">
        <x:v>denied event time</x:v>
      </x:c>
      <x:c r="G360" s="21" t="n">
        <x:v>1</x:v>
      </x:c>
      <x:c r="H360" s="21" t="n">
        <x:v>1</x:v>
      </x:c>
      <x:c r="I360" s="21" t="str">
        <x:v>PASS</x:v>
      </x:c>
      <x:c r="J360" s="21" t="str">
        <x:v>inside family U95 allocation</x:v>
      </x:c>
      <x:c r="K360" s="23" t="str">
        <x:v>redesign time roots</x:v>
      </x:c>
    </x:row>
    <x:row r="361">
      <x:c r="B361" s="21" t="str">
        <x:v>STG-S01-C-G07</x:v>
      </x:c>
      <x:c r="C361" s="21" t="str">
        <x:v>STG-S01-C</x:v>
      </x:c>
      <x:c r="D361" s="21" t="str">
        <x:v>STG-S01</x:v>
      </x:c>
      <x:c r="E361" s="21" t="str">
        <x:v>G07</x:v>
      </x:c>
      <x:c r="F361" s="21" t="str">
        <x:v>physical non-actuation</x:v>
      </x:c>
      <x:c r="G361" s="21" t="n">
        <x:v>1</x:v>
      </x:c>
      <x:c r="H361" s="21" t="n">
        <x:v>1</x:v>
      </x:c>
      <x:c r="I361" s="21" t="str">
        <x:v>PASS</x:v>
      </x:c>
      <x:c r="J361" s="21" t="str">
        <x:v>teardown and injection show no useful path</x:v>
      </x:c>
      <x:c r="K361" s="23" t="str">
        <x:v>reject interface family</x:v>
      </x:c>
    </x:row>
    <x:row r="362">
      <x:c r="B362" s="21" t="str">
        <x:v>STG-S01-C-G08</x:v>
      </x:c>
      <x:c r="C362" s="21" t="str">
        <x:v>STG-S01-C</x:v>
      </x:c>
      <x:c r="D362" s="21" t="str">
        <x:v>STG-S01</x:v>
      </x:c>
      <x:c r="E362" s="21" t="str">
        <x:v>G08</x:v>
      </x:c>
      <x:c r="F362" s="21" t="str">
        <x:v>hazard behavior</x:v>
      </x:c>
      <x:c r="G362" s="21" t="n">
        <x:v>1</x:v>
      </x:c>
      <x:c r="H362" s="21" t="n">
        <x:v>1</x:v>
      </x:c>
      <x:c r="I362" s="21" t="str">
        <x:v>PASS</x:v>
      </x:c>
      <x:c r="J362" s="21" t="str">
        <x:v>no silent state and safe disposition</x:v>
      </x:c>
      <x:c r="K362" s="23" t="str">
        <x:v>rework enclosure and disposition</x:v>
      </x:c>
    </x:row>
    <x:row r="363">
      <x:c r="B363" s="21" t="str">
        <x:v>STG-S01-C-G09</x:v>
      </x:c>
      <x:c r="C363" s="21" t="str">
        <x:v>STG-S01-C</x:v>
      </x:c>
      <x:c r="D363" s="21" t="str">
        <x:v>STG-S01</x:v>
      </x:c>
      <x:c r="E363" s="21" t="str">
        <x:v>G09</x:v>
      </x:c>
      <x:c r="F363" s="21" t="str">
        <x:v>maintenance and quarantine</x:v>
      </x:c>
      <x:c r="G363" s="21" t="n">
        <x:v>1</x:v>
      </x:c>
      <x:c r="H363" s="21" t="n">
        <x:v>1</x:v>
      </x:c>
      <x:c r="I363" s="21" t="str">
        <x:v>PASS</x:v>
      </x:c>
      <x:c r="J363" s="21" t="str">
        <x:v>family access limit and lawful custody</x:v>
      </x:c>
      <x:c r="K363" s="23" t="str">
        <x:v>rework access package</x:v>
      </x:c>
    </x:row>
    <x:row r="364">
      <x:c r="B364" s="21" t="str">
        <x:v>STG-S01-C-G10</x:v>
      </x:c>
      <x:c r="C364" s="21" t="str">
        <x:v>STG-S01-C</x:v>
      </x:c>
      <x:c r="D364" s="21" t="str">
        <x:v>STG-S01</x:v>
      </x:c>
      <x:c r="E364" s="21" t="str">
        <x:v>G10</x:v>
      </x:c>
      <x:c r="F364" s="21" t="str">
        <x:v>decisive ancestry</x:v>
      </x:c>
      <x:c r="G364" s="21" t="n">
        <x:v>1</x:v>
      </x:c>
      <x:c r="H364" s="21" t="n">
        <x:v>1</x:v>
      </x:c>
      <x:c r="I364" s="21" t="str">
        <x:v>PASS</x:v>
      </x:c>
      <x:c r="J364" s="21" t="str">
        <x:v>no undisclosed decisive root</x:v>
      </x:c>
      <x:c r="K364" s="23" t="str">
        <x:v>recompete decisive root</x:v>
      </x:c>
    </x:row>
    <x:row r="365">
      <x:c r="B365" s="21" t="str">
        <x:v>STG-S01-C-G11</x:v>
      </x:c>
      <x:c r="C365" s="21" t="str">
        <x:v>STG-S01-C</x:v>
      </x:c>
      <x:c r="D365" s="21" t="str">
        <x:v>STG-S01</x:v>
      </x:c>
      <x:c r="E365" s="21" t="str">
        <x:v>G11</x:v>
      </x:c>
      <x:c r="F365" s="21" t="str">
        <x:v>technical rights and reproduction</x:v>
      </x:c>
      <x:c r="G365" s="21" t="n">
        <x:v>0</x:v>
      </x:c>
      <x:c r="H365" s="21" t="n">
        <x:v>1</x:v>
      </x:c>
      <x:c r="I365" s="21" t="str">
        <x:v>FAIL</x:v>
      </x:c>
      <x:c r="J365" s="21" t="str">
        <x:v>government can reproduce the decision</x:v>
      </x:c>
      <x:c r="K365" s="23" t="str">
        <x:v>withhold reproduction authority</x:v>
      </x:c>
    </x:row>
    <x:row r="366">
      <x:c r="B366" s="21" t="str">
        <x:v>STG-S01-C-G12</x:v>
      </x:c>
      <x:c r="C366" s="21" t="str">
        <x:v>STG-S01-C</x:v>
      </x:c>
      <x:c r="D366" s="21" t="str">
        <x:v>STG-S01</x:v>
      </x:c>
      <x:c r="E366" s="21" t="str">
        <x:v>G12</x:v>
      </x:c>
      <x:c r="F366" s="21" t="str">
        <x:v>facility schedule and cost</x:v>
      </x:c>
      <x:c r="G366" s="21" t="n">
        <x:v>1</x:v>
      </x:c>
      <x:c r="H366" s="21" t="n">
        <x:v>1</x:v>
      </x:c>
      <x:c r="I366" s="21" t="str">
        <x:v>PASS</x:v>
      </x:c>
      <x:c r="J366" s="21" t="str">
        <x:v>all articles available before registered need</x:v>
      </x:c>
      <x:c r="K366" s="23" t="str">
        <x:v>shift award or add capacity</x:v>
      </x:c>
    </x:row>
    <x:row r="367">
      <x:c r="B367" s="21" t="str">
        <x:v>MHE-E01-A-G01</x:v>
      </x:c>
      <x:c r="C367" s="21" t="str">
        <x:v>MHE-E01-A</x:v>
      </x:c>
      <x:c r="D367" s="21" t="str">
        <x:v>MHE-E01</x:v>
      </x:c>
      <x:c r="E367" s="21" t="str">
        <x:v>G01</x:v>
      </x:c>
      <x:c r="F367" s="21" t="str">
        <x:v>public effect boundary</x:v>
      </x:c>
      <x:c r="G367" s="21" t="n">
        <x:v>1</x:v>
      </x:c>
      <x:c r="H367" s="21" t="n">
        <x:v>1</x:v>
      </x:c>
      <x:c r="I367" s="21" t="str">
        <x:v>PASS</x:v>
      </x:c>
      <x:c r="J367" s="21" t="str">
        <x:v>complete local decision and invalid-state grammar</x:v>
      </x:c>
      <x:c r="K367" s="23" t="str">
        <x:v>reject mission substitution</x:v>
      </x:c>
    </x:row>
    <x:row r="368">
      <x:c r="B368" s="21" t="str">
        <x:v>MHE-E01-A-G02</x:v>
      </x:c>
      <x:c r="C368" s="21" t="str">
        <x:v>MHE-E01-A</x:v>
      </x:c>
      <x:c r="D368" s="21" t="str">
        <x:v>MHE-E01</x:v>
      </x:c>
      <x:c r="E368" s="21" t="str">
        <x:v>G02</x:v>
      </x:c>
      <x:c r="F368" s="21" t="str">
        <x:v>mass volume and reserve</x:v>
      </x:c>
      <x:c r="G368" s="21" t="n">
        <x:v>1</x:v>
      </x:c>
      <x:c r="H368" s="21" t="n">
        <x:v>1</x:v>
      </x:c>
      <x:c r="I368" s="21" t="str">
        <x:v>PASS</x:v>
      </x:c>
      <x:c r="J368" s="21" t="str">
        <x:v>inside frozen family envelope with both reserves explicit</x:v>
      </x:c>
      <x:c r="K368" s="23" t="str">
        <x:v>reopen burden allocation</x:v>
      </x:c>
    </x:row>
    <x:row r="369">
      <x:c r="B369" s="21" t="str">
        <x:v>MHE-E01-A-G03</x:v>
      </x:c>
      <x:c r="C369" s="21" t="str">
        <x:v>MHE-E01-A</x:v>
      </x:c>
      <x:c r="D369" s="21" t="str">
        <x:v>MHE-E01</x:v>
      </x:c>
      <x:c r="E369" s="21" t="str">
        <x:v>G03</x:v>
      </x:c>
      <x:c r="F369" s="21" t="str">
        <x:v>independent endurance</x:v>
      </x:c>
      <x:c r="G369" s="21" t="n">
        <x:v>1</x:v>
      </x:c>
      <x:c r="H369" s="21" t="n">
        <x:v>1</x:v>
      </x:c>
      <x:c r="I369" s="21" t="str">
        <x:v>PASS</x:v>
      </x:c>
      <x:c r="J369" s="21" t="str">
        <x:v>full interval and registered peak sequence</x:v>
      </x:c>
      <x:c r="K369" s="23" t="str">
        <x:v>redesign autonomous energy</x:v>
      </x:c>
    </x:row>
    <x:row r="370">
      <x:c r="B370" s="21" t="str">
        <x:v>MHE-E01-A-G04</x:v>
      </x:c>
      <x:c r="C370" s="21" t="str">
        <x:v>MHE-E01-A</x:v>
      </x:c>
      <x:c r="D370" s="21" t="str">
        <x:v>MHE-E01</x:v>
      </x:c>
      <x:c r="E370" s="21" t="str">
        <x:v>G04</x:v>
      </x:c>
      <x:c r="F370" s="21" t="str">
        <x:v>outward thermal rejection</x:v>
      </x:c>
      <x:c r="G370" s="21" t="n">
        <x:v>1</x:v>
      </x:c>
      <x:c r="H370" s="21" t="n">
        <x:v>1</x:v>
      </x:c>
      <x:c r="I370" s="21" t="str">
        <x:v>PASS</x:v>
      </x:c>
      <x:c r="J370" s="21" t="str">
        <x:v>all evidence heat crosses its own measured boundary</x:v>
      </x:c>
      <x:c r="K370" s="23" t="str">
        <x:v>redesign thermal boundary</x:v>
      </x:c>
    </x:row>
    <x:row r="371">
      <x:c r="B371" s="21" t="str">
        <x:v>MHE-E01-A-G05</x:v>
      </x:c>
      <x:c r="C371" s="21" t="str">
        <x:v>MHE-E01-A</x:v>
      </x:c>
      <x:c r="D371" s="21" t="str">
        <x:v>MHE-E01</x:v>
      </x:c>
      <x:c r="E371" s="21" t="str">
        <x:v>G05</x:v>
      </x:c>
      <x:c r="F371" s="21" t="str">
        <x:v>complete local original</x:v>
      </x:c>
      <x:c r="G371" s="21" t="n">
        <x:v>1</x:v>
      </x:c>
      <x:c r="H371" s="21" t="n">
        <x:v>1</x:v>
      </x:c>
      <x:c r="I371" s="21" t="str">
        <x:v>PASS</x:v>
      </x:c>
      <x:c r="J371" s="21" t="str">
        <x:v>complete original or declared bounded loss</x:v>
      </x:c>
      <x:c r="K371" s="23" t="str">
        <x:v>reject custody architecture</x:v>
      </x:c>
    </x:row>
    <x:row r="372">
      <x:c r="B372" s="21" t="str">
        <x:v>MHE-E01-A-G06</x:v>
      </x:c>
      <x:c r="C372" s="21" t="str">
        <x:v>MHE-E01-A</x:v>
      </x:c>
      <x:c r="D372" s="21" t="str">
        <x:v>MHE-E01</x:v>
      </x:c>
      <x:c r="E372" s="21" t="str">
        <x:v>G06</x:v>
      </x:c>
      <x:c r="F372" s="21" t="str">
        <x:v>denied event time</x:v>
      </x:c>
      <x:c r="G372" s="21" t="n">
        <x:v>1</x:v>
      </x:c>
      <x:c r="H372" s="21" t="n">
        <x:v>1</x:v>
      </x:c>
      <x:c r="I372" s="21" t="str">
        <x:v>PASS</x:v>
      </x:c>
      <x:c r="J372" s="21" t="str">
        <x:v>inside family U95 allocation</x:v>
      </x:c>
      <x:c r="K372" s="23" t="str">
        <x:v>redesign time roots</x:v>
      </x:c>
    </x:row>
    <x:row r="373">
      <x:c r="B373" s="21" t="str">
        <x:v>MHE-E01-A-G07</x:v>
      </x:c>
      <x:c r="C373" s="21" t="str">
        <x:v>MHE-E01-A</x:v>
      </x:c>
      <x:c r="D373" s="21" t="str">
        <x:v>MHE-E01</x:v>
      </x:c>
      <x:c r="E373" s="21" t="str">
        <x:v>G07</x:v>
      </x:c>
      <x:c r="F373" s="21" t="str">
        <x:v>physical non-actuation</x:v>
      </x:c>
      <x:c r="G373" s="21" t="n">
        <x:v>1</x:v>
      </x:c>
      <x:c r="H373" s="21" t="n">
        <x:v>1</x:v>
      </x:c>
      <x:c r="I373" s="21" t="str">
        <x:v>PASS</x:v>
      </x:c>
      <x:c r="J373" s="21" t="str">
        <x:v>teardown and injection show no useful path</x:v>
      </x:c>
      <x:c r="K373" s="23" t="str">
        <x:v>reject interface family</x:v>
      </x:c>
    </x:row>
    <x:row r="374">
      <x:c r="B374" s="21" t="str">
        <x:v>MHE-E01-A-G08</x:v>
      </x:c>
      <x:c r="C374" s="21" t="str">
        <x:v>MHE-E01-A</x:v>
      </x:c>
      <x:c r="D374" s="21" t="str">
        <x:v>MHE-E01</x:v>
      </x:c>
      <x:c r="E374" s="21" t="str">
        <x:v>G08</x:v>
      </x:c>
      <x:c r="F374" s="21" t="str">
        <x:v>hazard behavior</x:v>
      </x:c>
      <x:c r="G374" s="21" t="n">
        <x:v>1</x:v>
      </x:c>
      <x:c r="H374" s="21" t="n">
        <x:v>1</x:v>
      </x:c>
      <x:c r="I374" s="21" t="str">
        <x:v>PASS</x:v>
      </x:c>
      <x:c r="J374" s="21" t="str">
        <x:v>no silent state and safe disposition</x:v>
      </x:c>
      <x:c r="K374" s="23" t="str">
        <x:v>rework enclosure and disposition</x:v>
      </x:c>
    </x:row>
    <x:row r="375">
      <x:c r="B375" s="21" t="str">
        <x:v>MHE-E01-A-G09</x:v>
      </x:c>
      <x:c r="C375" s="21" t="str">
        <x:v>MHE-E01-A</x:v>
      </x:c>
      <x:c r="D375" s="21" t="str">
        <x:v>MHE-E01</x:v>
      </x:c>
      <x:c r="E375" s="21" t="str">
        <x:v>G09</x:v>
      </x:c>
      <x:c r="F375" s="21" t="str">
        <x:v>maintenance and quarantine</x:v>
      </x:c>
      <x:c r="G375" s="21" t="n">
        <x:v>1</x:v>
      </x:c>
      <x:c r="H375" s="21" t="n">
        <x:v>1</x:v>
      </x:c>
      <x:c r="I375" s="21" t="str">
        <x:v>PASS</x:v>
      </x:c>
      <x:c r="J375" s="21" t="str">
        <x:v>family access limit and lawful custody</x:v>
      </x:c>
      <x:c r="K375" s="23" t="str">
        <x:v>rework access package</x:v>
      </x:c>
    </x:row>
    <x:row r="376">
      <x:c r="B376" s="21" t="str">
        <x:v>MHE-E01-A-G10</x:v>
      </x:c>
      <x:c r="C376" s="21" t="str">
        <x:v>MHE-E01-A</x:v>
      </x:c>
      <x:c r="D376" s="21" t="str">
        <x:v>MHE-E01</x:v>
      </x:c>
      <x:c r="E376" s="21" t="str">
        <x:v>G10</x:v>
      </x:c>
      <x:c r="F376" s="21" t="str">
        <x:v>decisive ancestry</x:v>
      </x:c>
      <x:c r="G376" s="21" t="n">
        <x:v>1</x:v>
      </x:c>
      <x:c r="H376" s="21" t="n">
        <x:v>1</x:v>
      </x:c>
      <x:c r="I376" s="21" t="str">
        <x:v>PASS</x:v>
      </x:c>
      <x:c r="J376" s="21" t="str">
        <x:v>no undisclosed decisive root</x:v>
      </x:c>
      <x:c r="K376" s="23" t="str">
        <x:v>recompete decisive root</x:v>
      </x:c>
    </x:row>
    <x:row r="377">
      <x:c r="B377" s="21" t="str">
        <x:v>MHE-E01-A-G11</x:v>
      </x:c>
      <x:c r="C377" s="21" t="str">
        <x:v>MHE-E01-A</x:v>
      </x:c>
      <x:c r="D377" s="21" t="str">
        <x:v>MHE-E01</x:v>
      </x:c>
      <x:c r="E377" s="21" t="str">
        <x:v>G11</x:v>
      </x:c>
      <x:c r="F377" s="21" t="str">
        <x:v>technical rights and reproduction</x:v>
      </x:c>
      <x:c r="G377" s="21" t="n">
        <x:v>1</x:v>
      </x:c>
      <x:c r="H377" s="21" t="n">
        <x:v>1</x:v>
      </x:c>
      <x:c r="I377" s="21" t="str">
        <x:v>PASS</x:v>
      </x:c>
      <x:c r="J377" s="21" t="str">
        <x:v>government can reproduce the decision</x:v>
      </x:c>
      <x:c r="K377" s="23" t="str">
        <x:v>withhold reproduction authority</x:v>
      </x:c>
    </x:row>
    <x:row r="378">
      <x:c r="B378" s="21" t="str">
        <x:v>MHE-E01-A-G12</x:v>
      </x:c>
      <x:c r="C378" s="21" t="str">
        <x:v>MHE-E01-A</x:v>
      </x:c>
      <x:c r="D378" s="21" t="str">
        <x:v>MHE-E01</x:v>
      </x:c>
      <x:c r="E378" s="21" t="str">
        <x:v>G12</x:v>
      </x:c>
      <x:c r="F378" s="21" t="str">
        <x:v>facility schedule and cost</x:v>
      </x:c>
      <x:c r="G378" s="21" t="n">
        <x:v>1</x:v>
      </x:c>
      <x:c r="H378" s="21" t="n">
        <x:v>1</x:v>
      </x:c>
      <x:c r="I378" s="21" t="str">
        <x:v>PASS</x:v>
      </x:c>
      <x:c r="J378" s="21" t="str">
        <x:v>all articles available before registered need</x:v>
      </x:c>
      <x:c r="K378" s="23" t="str">
        <x:v>shift award or add capacity</x:v>
      </x:c>
    </x:row>
    <x:row r="379">
      <x:c r="B379" s="21" t="str">
        <x:v>MHE-E01-B-G01</x:v>
      </x:c>
      <x:c r="C379" s="21" t="str">
        <x:v>MHE-E01-B</x:v>
      </x:c>
      <x:c r="D379" s="21" t="str">
        <x:v>MHE-E01</x:v>
      </x:c>
      <x:c r="E379" s="21" t="str">
        <x:v>G01</x:v>
      </x:c>
      <x:c r="F379" s="21" t="str">
        <x:v>public effect boundary</x:v>
      </x:c>
      <x:c r="G379" s="21" t="n">
        <x:v>1</x:v>
      </x:c>
      <x:c r="H379" s="21" t="n">
        <x:v>1</x:v>
      </x:c>
      <x:c r="I379" s="21" t="str">
        <x:v>PASS</x:v>
      </x:c>
      <x:c r="J379" s="21" t="str">
        <x:v>complete local decision and invalid-state grammar</x:v>
      </x:c>
      <x:c r="K379" s="23" t="str">
        <x:v>reject mission substitution</x:v>
      </x:c>
    </x:row>
    <x:row r="380">
      <x:c r="B380" s="21" t="str">
        <x:v>MHE-E01-B-G02</x:v>
      </x:c>
      <x:c r="C380" s="21" t="str">
        <x:v>MHE-E01-B</x:v>
      </x:c>
      <x:c r="D380" s="21" t="str">
        <x:v>MHE-E01</x:v>
      </x:c>
      <x:c r="E380" s="21" t="str">
        <x:v>G02</x:v>
      </x:c>
      <x:c r="F380" s="21" t="str">
        <x:v>mass volume and reserve</x:v>
      </x:c>
      <x:c r="G380" s="21" t="n">
        <x:v>1</x:v>
      </x:c>
      <x:c r="H380" s="21" t="n">
        <x:v>1</x:v>
      </x:c>
      <x:c r="I380" s="21" t="str">
        <x:v>PASS</x:v>
      </x:c>
      <x:c r="J380" s="21" t="str">
        <x:v>inside frozen family envelope with both reserves explicit</x:v>
      </x:c>
      <x:c r="K380" s="23" t="str">
        <x:v>reopen burden allocation</x:v>
      </x:c>
    </x:row>
    <x:row r="381">
      <x:c r="B381" s="21" t="str">
        <x:v>MHE-E01-B-G03</x:v>
      </x:c>
      <x:c r="C381" s="21" t="str">
        <x:v>MHE-E01-B</x:v>
      </x:c>
      <x:c r="D381" s="21" t="str">
        <x:v>MHE-E01</x:v>
      </x:c>
      <x:c r="E381" s="21" t="str">
        <x:v>G03</x:v>
      </x:c>
      <x:c r="F381" s="21" t="str">
        <x:v>independent endurance</x:v>
      </x:c>
      <x:c r="G381" s="21" t="n">
        <x:v>1</x:v>
      </x:c>
      <x:c r="H381" s="21" t="n">
        <x:v>1</x:v>
      </x:c>
      <x:c r="I381" s="21" t="str">
        <x:v>PASS</x:v>
      </x:c>
      <x:c r="J381" s="21" t="str">
        <x:v>full interval and registered peak sequence</x:v>
      </x:c>
      <x:c r="K381" s="23" t="str">
        <x:v>redesign autonomous energy</x:v>
      </x:c>
    </x:row>
    <x:row r="382">
      <x:c r="B382" s="21" t="str">
        <x:v>MHE-E01-B-G04</x:v>
      </x:c>
      <x:c r="C382" s="21" t="str">
        <x:v>MHE-E01-B</x:v>
      </x:c>
      <x:c r="D382" s="21" t="str">
        <x:v>MHE-E01</x:v>
      </x:c>
      <x:c r="E382" s="21" t="str">
        <x:v>G04</x:v>
      </x:c>
      <x:c r="F382" s="21" t="str">
        <x:v>outward thermal rejection</x:v>
      </x:c>
      <x:c r="G382" s="21" t="n">
        <x:v>1</x:v>
      </x:c>
      <x:c r="H382" s="21" t="n">
        <x:v>1</x:v>
      </x:c>
      <x:c r="I382" s="21" t="str">
        <x:v>PASS</x:v>
      </x:c>
      <x:c r="J382" s="21" t="str">
        <x:v>all evidence heat crosses its own measured boundary</x:v>
      </x:c>
      <x:c r="K382" s="23" t="str">
        <x:v>redesign thermal boundary</x:v>
      </x:c>
    </x:row>
    <x:row r="383">
      <x:c r="B383" s="21" t="str">
        <x:v>MHE-E01-B-G05</x:v>
      </x:c>
      <x:c r="C383" s="21" t="str">
        <x:v>MHE-E01-B</x:v>
      </x:c>
      <x:c r="D383" s="21" t="str">
        <x:v>MHE-E01</x:v>
      </x:c>
      <x:c r="E383" s="21" t="str">
        <x:v>G05</x:v>
      </x:c>
      <x:c r="F383" s="21" t="str">
        <x:v>complete local original</x:v>
      </x:c>
      <x:c r="G383" s="21" t="n">
        <x:v>1</x:v>
      </x:c>
      <x:c r="H383" s="21" t="n">
        <x:v>1</x:v>
      </x:c>
      <x:c r="I383" s="21" t="str">
        <x:v>PASS</x:v>
      </x:c>
      <x:c r="J383" s="21" t="str">
        <x:v>complete original or declared bounded loss</x:v>
      </x:c>
      <x:c r="K383" s="23" t="str">
        <x:v>reject custody architecture</x:v>
      </x:c>
    </x:row>
    <x:row r="384">
      <x:c r="B384" s="21" t="str">
        <x:v>MHE-E01-B-G06</x:v>
      </x:c>
      <x:c r="C384" s="21" t="str">
        <x:v>MHE-E01-B</x:v>
      </x:c>
      <x:c r="D384" s="21" t="str">
        <x:v>MHE-E01</x:v>
      </x:c>
      <x:c r="E384" s="21" t="str">
        <x:v>G06</x:v>
      </x:c>
      <x:c r="F384" s="21" t="str">
        <x:v>denied event time</x:v>
      </x:c>
      <x:c r="G384" s="21" t="n">
        <x:v>1</x:v>
      </x:c>
      <x:c r="H384" s="21" t="n">
        <x:v>1</x:v>
      </x:c>
      <x:c r="I384" s="21" t="str">
        <x:v>PASS</x:v>
      </x:c>
      <x:c r="J384" s="21" t="str">
        <x:v>inside family U95 allocation</x:v>
      </x:c>
      <x:c r="K384" s="23" t="str">
        <x:v>redesign time roots</x:v>
      </x:c>
    </x:row>
    <x:row r="385">
      <x:c r="B385" s="21" t="str">
        <x:v>MHE-E01-B-G07</x:v>
      </x:c>
      <x:c r="C385" s="21" t="str">
        <x:v>MHE-E01-B</x:v>
      </x:c>
      <x:c r="D385" s="21" t="str">
        <x:v>MHE-E01</x:v>
      </x:c>
      <x:c r="E385" s="21" t="str">
        <x:v>G07</x:v>
      </x:c>
      <x:c r="F385" s="21" t="str">
        <x:v>physical non-actuation</x:v>
      </x:c>
      <x:c r="G385" s="21" t="n">
        <x:v>1</x:v>
      </x:c>
      <x:c r="H385" s="21" t="n">
        <x:v>1</x:v>
      </x:c>
      <x:c r="I385" s="21" t="str">
        <x:v>PASS</x:v>
      </x:c>
      <x:c r="J385" s="21" t="str">
        <x:v>teardown and injection show no useful path</x:v>
      </x:c>
      <x:c r="K385" s="23" t="str">
        <x:v>reject interface family</x:v>
      </x:c>
    </x:row>
    <x:row r="386">
      <x:c r="B386" s="21" t="str">
        <x:v>MHE-E01-B-G08</x:v>
      </x:c>
      <x:c r="C386" s="21" t="str">
        <x:v>MHE-E01-B</x:v>
      </x:c>
      <x:c r="D386" s="21" t="str">
        <x:v>MHE-E01</x:v>
      </x:c>
      <x:c r="E386" s="21" t="str">
        <x:v>G08</x:v>
      </x:c>
      <x:c r="F386" s="21" t="str">
        <x:v>hazard behavior</x:v>
      </x:c>
      <x:c r="G386" s="21" t="n">
        <x:v>1</x:v>
      </x:c>
      <x:c r="H386" s="21" t="n">
        <x:v>1</x:v>
      </x:c>
      <x:c r="I386" s="21" t="str">
        <x:v>PASS</x:v>
      </x:c>
      <x:c r="J386" s="21" t="str">
        <x:v>no silent state and safe disposition</x:v>
      </x:c>
      <x:c r="K386" s="23" t="str">
        <x:v>rework enclosure and disposition</x:v>
      </x:c>
    </x:row>
    <x:row r="387">
      <x:c r="B387" s="21" t="str">
        <x:v>MHE-E01-B-G09</x:v>
      </x:c>
      <x:c r="C387" s="21" t="str">
        <x:v>MHE-E01-B</x:v>
      </x:c>
      <x:c r="D387" s="21" t="str">
        <x:v>MHE-E01</x:v>
      </x:c>
      <x:c r="E387" s="21" t="str">
        <x:v>G09</x:v>
      </x:c>
      <x:c r="F387" s="21" t="str">
        <x:v>maintenance and quarantine</x:v>
      </x:c>
      <x:c r="G387" s="21" t="n">
        <x:v>1</x:v>
      </x:c>
      <x:c r="H387" s="21" t="n">
        <x:v>1</x:v>
      </x:c>
      <x:c r="I387" s="21" t="str">
        <x:v>PASS</x:v>
      </x:c>
      <x:c r="J387" s="21" t="str">
        <x:v>family access limit and lawful custody</x:v>
      </x:c>
      <x:c r="K387" s="23" t="str">
        <x:v>rework access package</x:v>
      </x:c>
    </x:row>
    <x:row r="388">
      <x:c r="B388" s="21" t="str">
        <x:v>MHE-E01-B-G10</x:v>
      </x:c>
      <x:c r="C388" s="21" t="str">
        <x:v>MHE-E01-B</x:v>
      </x:c>
      <x:c r="D388" s="21" t="str">
        <x:v>MHE-E01</x:v>
      </x:c>
      <x:c r="E388" s="21" t="str">
        <x:v>G10</x:v>
      </x:c>
      <x:c r="F388" s="21" t="str">
        <x:v>decisive ancestry</x:v>
      </x:c>
      <x:c r="G388" s="21" t="n">
        <x:v>1</x:v>
      </x:c>
      <x:c r="H388" s="21" t="n">
        <x:v>1</x:v>
      </x:c>
      <x:c r="I388" s="21" t="str">
        <x:v>PASS</x:v>
      </x:c>
      <x:c r="J388" s="21" t="str">
        <x:v>no undisclosed decisive root</x:v>
      </x:c>
      <x:c r="K388" s="23" t="str">
        <x:v>recompete decisive root</x:v>
      </x:c>
    </x:row>
    <x:row r="389">
      <x:c r="B389" s="21" t="str">
        <x:v>MHE-E01-B-G11</x:v>
      </x:c>
      <x:c r="C389" s="21" t="str">
        <x:v>MHE-E01-B</x:v>
      </x:c>
      <x:c r="D389" s="21" t="str">
        <x:v>MHE-E01</x:v>
      </x:c>
      <x:c r="E389" s="21" t="str">
        <x:v>G11</x:v>
      </x:c>
      <x:c r="F389" s="21" t="str">
        <x:v>technical rights and reproduction</x:v>
      </x:c>
      <x:c r="G389" s="21" t="n">
        <x:v>1</x:v>
      </x:c>
      <x:c r="H389" s="21" t="n">
        <x:v>1</x:v>
      </x:c>
      <x:c r="I389" s="21" t="str">
        <x:v>PASS</x:v>
      </x:c>
      <x:c r="J389" s="21" t="str">
        <x:v>government can reproduce the decision</x:v>
      </x:c>
      <x:c r="K389" s="23" t="str">
        <x:v>withhold reproduction authority</x:v>
      </x:c>
    </x:row>
    <x:row r="390">
      <x:c r="B390" s="21" t="str">
        <x:v>MHE-E01-B-G12</x:v>
      </x:c>
      <x:c r="C390" s="21" t="str">
        <x:v>MHE-E01-B</x:v>
      </x:c>
      <x:c r="D390" s="21" t="str">
        <x:v>MHE-E01</x:v>
      </x:c>
      <x:c r="E390" s="21" t="str">
        <x:v>G12</x:v>
      </x:c>
      <x:c r="F390" s="21" t="str">
        <x:v>facility schedule and cost</x:v>
      </x:c>
      <x:c r="G390" s="21" t="n">
        <x:v>1</x:v>
      </x:c>
      <x:c r="H390" s="21" t="n">
        <x:v>1</x:v>
      </x:c>
      <x:c r="I390" s="21" t="str">
        <x:v>PASS</x:v>
      </x:c>
      <x:c r="J390" s="21" t="str">
        <x:v>all articles available before registered need</x:v>
      </x:c>
      <x:c r="K390" s="23" t="str">
        <x:v>shift award or add capacity</x:v>
      </x:c>
    </x:row>
    <x:row r="391">
      <x:c r="B391" s="21" t="str">
        <x:v>MHE-E01-C-G01</x:v>
      </x:c>
      <x:c r="C391" s="21" t="str">
        <x:v>MHE-E01-C</x:v>
      </x:c>
      <x:c r="D391" s="21" t="str">
        <x:v>MHE-E01</x:v>
      </x:c>
      <x:c r="E391" s="21" t="str">
        <x:v>G01</x:v>
      </x:c>
      <x:c r="F391" s="21" t="str">
        <x:v>public effect boundary</x:v>
      </x:c>
      <x:c r="G391" s="21" t="n">
        <x:v>1</x:v>
      </x:c>
      <x:c r="H391" s="21" t="n">
        <x:v>1</x:v>
      </x:c>
      <x:c r="I391" s="21" t="str">
        <x:v>PASS</x:v>
      </x:c>
      <x:c r="J391" s="21" t="str">
        <x:v>complete local decision and invalid-state grammar</x:v>
      </x:c>
      <x:c r="K391" s="23" t="str">
        <x:v>reject mission substitution</x:v>
      </x:c>
    </x:row>
    <x:row r="392">
      <x:c r="B392" s="21" t="str">
        <x:v>MHE-E01-C-G02</x:v>
      </x:c>
      <x:c r="C392" s="21" t="str">
        <x:v>MHE-E01-C</x:v>
      </x:c>
      <x:c r="D392" s="21" t="str">
        <x:v>MHE-E01</x:v>
      </x:c>
      <x:c r="E392" s="21" t="str">
        <x:v>G02</x:v>
      </x:c>
      <x:c r="F392" s="21" t="str">
        <x:v>mass volume and reserve</x:v>
      </x:c>
      <x:c r="G392" s="21" t="n">
        <x:v>1</x:v>
      </x:c>
      <x:c r="H392" s="21" t="n">
        <x:v>1</x:v>
      </x:c>
      <x:c r="I392" s="21" t="str">
        <x:v>PASS</x:v>
      </x:c>
      <x:c r="J392" s="21" t="str">
        <x:v>inside frozen family envelope with both reserves explicit</x:v>
      </x:c>
      <x:c r="K392" s="23" t="str">
        <x:v>reopen burden allocation</x:v>
      </x:c>
    </x:row>
    <x:row r="393">
      <x:c r="B393" s="21" t="str">
        <x:v>MHE-E01-C-G03</x:v>
      </x:c>
      <x:c r="C393" s="21" t="str">
        <x:v>MHE-E01-C</x:v>
      </x:c>
      <x:c r="D393" s="21" t="str">
        <x:v>MHE-E01</x:v>
      </x:c>
      <x:c r="E393" s="21" t="str">
        <x:v>G03</x:v>
      </x:c>
      <x:c r="F393" s="21" t="str">
        <x:v>independent endurance</x:v>
      </x:c>
      <x:c r="G393" s="21" t="n">
        <x:v>1</x:v>
      </x:c>
      <x:c r="H393" s="21" t="n">
        <x:v>1</x:v>
      </x:c>
      <x:c r="I393" s="21" t="str">
        <x:v>PASS</x:v>
      </x:c>
      <x:c r="J393" s="21" t="str">
        <x:v>full interval and registered peak sequence</x:v>
      </x:c>
      <x:c r="K393" s="23" t="str">
        <x:v>redesign autonomous energy</x:v>
      </x:c>
    </x:row>
    <x:row r="394">
      <x:c r="B394" s="21" t="str">
        <x:v>MHE-E01-C-G04</x:v>
      </x:c>
      <x:c r="C394" s="21" t="str">
        <x:v>MHE-E01-C</x:v>
      </x:c>
      <x:c r="D394" s="21" t="str">
        <x:v>MHE-E01</x:v>
      </x:c>
      <x:c r="E394" s="21" t="str">
        <x:v>G04</x:v>
      </x:c>
      <x:c r="F394" s="21" t="str">
        <x:v>outward thermal rejection</x:v>
      </x:c>
      <x:c r="G394" s="21" t="n">
        <x:v>1</x:v>
      </x:c>
      <x:c r="H394" s="21" t="n">
        <x:v>1</x:v>
      </x:c>
      <x:c r="I394" s="21" t="str">
        <x:v>PASS</x:v>
      </x:c>
      <x:c r="J394" s="21" t="str">
        <x:v>all evidence heat crosses its own measured boundary</x:v>
      </x:c>
      <x:c r="K394" s="23" t="str">
        <x:v>redesign thermal boundary</x:v>
      </x:c>
    </x:row>
    <x:row r="395">
      <x:c r="B395" s="21" t="str">
        <x:v>MHE-E01-C-G05</x:v>
      </x:c>
      <x:c r="C395" s="21" t="str">
        <x:v>MHE-E01-C</x:v>
      </x:c>
      <x:c r="D395" s="21" t="str">
        <x:v>MHE-E01</x:v>
      </x:c>
      <x:c r="E395" s="21" t="str">
        <x:v>G05</x:v>
      </x:c>
      <x:c r="F395" s="21" t="str">
        <x:v>complete local original</x:v>
      </x:c>
      <x:c r="G395" s="21" t="n">
        <x:v>1</x:v>
      </x:c>
      <x:c r="H395" s="21" t="n">
        <x:v>1</x:v>
      </x:c>
      <x:c r="I395" s="21" t="str">
        <x:v>PASS</x:v>
      </x:c>
      <x:c r="J395" s="21" t="str">
        <x:v>complete original or declared bounded loss</x:v>
      </x:c>
      <x:c r="K395" s="23" t="str">
        <x:v>reject custody architecture</x:v>
      </x:c>
    </x:row>
    <x:row r="396">
      <x:c r="B396" s="21" t="str">
        <x:v>MHE-E01-C-G06</x:v>
      </x:c>
      <x:c r="C396" s="21" t="str">
        <x:v>MHE-E01-C</x:v>
      </x:c>
      <x:c r="D396" s="21" t="str">
        <x:v>MHE-E01</x:v>
      </x:c>
      <x:c r="E396" s="21" t="str">
        <x:v>G06</x:v>
      </x:c>
      <x:c r="F396" s="21" t="str">
        <x:v>denied event time</x:v>
      </x:c>
      <x:c r="G396" s="21" t="n">
        <x:v>1</x:v>
      </x:c>
      <x:c r="H396" s="21" t="n">
        <x:v>1</x:v>
      </x:c>
      <x:c r="I396" s="21" t="str">
        <x:v>PASS</x:v>
      </x:c>
      <x:c r="J396" s="21" t="str">
        <x:v>inside family U95 allocation</x:v>
      </x:c>
      <x:c r="K396" s="23" t="str">
        <x:v>redesign time roots</x:v>
      </x:c>
    </x:row>
    <x:row r="397">
      <x:c r="B397" s="21" t="str">
        <x:v>MHE-E01-C-G07</x:v>
      </x:c>
      <x:c r="C397" s="21" t="str">
        <x:v>MHE-E01-C</x:v>
      </x:c>
      <x:c r="D397" s="21" t="str">
        <x:v>MHE-E01</x:v>
      </x:c>
      <x:c r="E397" s="21" t="str">
        <x:v>G07</x:v>
      </x:c>
      <x:c r="F397" s="21" t="str">
        <x:v>physical non-actuation</x:v>
      </x:c>
      <x:c r="G397" s="21" t="n">
        <x:v>1</x:v>
      </x:c>
      <x:c r="H397" s="21" t="n">
        <x:v>1</x:v>
      </x:c>
      <x:c r="I397" s="21" t="str">
        <x:v>PASS</x:v>
      </x:c>
      <x:c r="J397" s="21" t="str">
        <x:v>teardown and injection show no useful path</x:v>
      </x:c>
      <x:c r="K397" s="23" t="str">
        <x:v>reject interface family</x:v>
      </x:c>
    </x:row>
    <x:row r="398">
      <x:c r="B398" s="21" t="str">
        <x:v>MHE-E01-C-G08</x:v>
      </x:c>
      <x:c r="C398" s="21" t="str">
        <x:v>MHE-E01-C</x:v>
      </x:c>
      <x:c r="D398" s="21" t="str">
        <x:v>MHE-E01</x:v>
      </x:c>
      <x:c r="E398" s="21" t="str">
        <x:v>G08</x:v>
      </x:c>
      <x:c r="F398" s="21" t="str">
        <x:v>hazard behavior</x:v>
      </x:c>
      <x:c r="G398" s="21" t="n">
        <x:v>1</x:v>
      </x:c>
      <x:c r="H398" s="21" t="n">
        <x:v>1</x:v>
      </x:c>
      <x:c r="I398" s="21" t="str">
        <x:v>PASS</x:v>
      </x:c>
      <x:c r="J398" s="21" t="str">
        <x:v>no silent state and safe disposition</x:v>
      </x:c>
      <x:c r="K398" s="23" t="str">
        <x:v>rework enclosure and disposition</x:v>
      </x:c>
    </x:row>
    <x:row r="399">
      <x:c r="B399" s="21" t="str">
        <x:v>MHE-E01-C-G09</x:v>
      </x:c>
      <x:c r="C399" s="21" t="str">
        <x:v>MHE-E01-C</x:v>
      </x:c>
      <x:c r="D399" s="21" t="str">
        <x:v>MHE-E01</x:v>
      </x:c>
      <x:c r="E399" s="21" t="str">
        <x:v>G09</x:v>
      </x:c>
      <x:c r="F399" s="21" t="str">
        <x:v>maintenance and quarantine</x:v>
      </x:c>
      <x:c r="G399" s="21" t="n">
        <x:v>1</x:v>
      </x:c>
      <x:c r="H399" s="21" t="n">
        <x:v>1</x:v>
      </x:c>
      <x:c r="I399" s="21" t="str">
        <x:v>PASS</x:v>
      </x:c>
      <x:c r="J399" s="21" t="str">
        <x:v>family access limit and lawful custody</x:v>
      </x:c>
      <x:c r="K399" s="23" t="str">
        <x:v>rework access package</x:v>
      </x:c>
    </x:row>
    <x:row r="400">
      <x:c r="B400" s="21" t="str">
        <x:v>MHE-E01-C-G10</x:v>
      </x:c>
      <x:c r="C400" s="21" t="str">
        <x:v>MHE-E01-C</x:v>
      </x:c>
      <x:c r="D400" s="21" t="str">
        <x:v>MHE-E01</x:v>
      </x:c>
      <x:c r="E400" s="21" t="str">
        <x:v>G10</x:v>
      </x:c>
      <x:c r="F400" s="21" t="str">
        <x:v>decisive ancestry</x:v>
      </x:c>
      <x:c r="G400" s="21" t="n">
        <x:v>1</x:v>
      </x:c>
      <x:c r="H400" s="21" t="n">
        <x:v>1</x:v>
      </x:c>
      <x:c r="I400" s="21" t="str">
        <x:v>PASS</x:v>
      </x:c>
      <x:c r="J400" s="21" t="str">
        <x:v>no undisclosed decisive root</x:v>
      </x:c>
      <x:c r="K400" s="23" t="str">
        <x:v>recompete decisive root</x:v>
      </x:c>
    </x:row>
    <x:row r="401">
      <x:c r="B401" s="21" t="str">
        <x:v>MHE-E01-C-G11</x:v>
      </x:c>
      <x:c r="C401" s="21" t="str">
        <x:v>MHE-E01-C</x:v>
      </x:c>
      <x:c r="D401" s="21" t="str">
        <x:v>MHE-E01</x:v>
      </x:c>
      <x:c r="E401" s="21" t="str">
        <x:v>G11</x:v>
      </x:c>
      <x:c r="F401" s="21" t="str">
        <x:v>technical rights and reproduction</x:v>
      </x:c>
      <x:c r="G401" s="21" t="n">
        <x:v>1</x:v>
      </x:c>
      <x:c r="H401" s="21" t="n">
        <x:v>1</x:v>
      </x:c>
      <x:c r="I401" s="21" t="str">
        <x:v>PASS</x:v>
      </x:c>
      <x:c r="J401" s="21" t="str">
        <x:v>government can reproduce the decision</x:v>
      </x:c>
      <x:c r="K401" s="23" t="str">
        <x:v>withhold reproduction authority</x:v>
      </x:c>
    </x:row>
    <x:row r="402">
      <x:c r="B402" s="24" t="str">
        <x:v>MHE-E01-C-G12</x:v>
      </x:c>
      <x:c r="C402" s="24" t="str">
        <x:v>MHE-E01-C</x:v>
      </x:c>
      <x:c r="D402" s="24" t="str">
        <x:v>MHE-E01</x:v>
      </x:c>
      <x:c r="E402" s="24" t="str">
        <x:v>G12</x:v>
      </x:c>
      <x:c r="F402" s="24" t="str">
        <x:v>facility schedule and cost</x:v>
      </x:c>
      <x:c r="G402" s="24" t="n">
        <x:v>0</x:v>
      </x:c>
      <x:c r="H402" s="24" t="n">
        <x:v>1</x:v>
      </x:c>
      <x:c r="I402" s="24" t="str">
        <x:v>FAIL</x:v>
      </x:c>
      <x:c r="J402" s="24" t="str">
        <x:v>all articles available before registered need</x:v>
      </x:c>
      <x:c r="K402" s="26" t="str">
        <x:v>shift award or add capacity</x:v>
      </x:c>
    </x:row>
    <x:row r="403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</x:row>
    <x:row r="404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</x:row>
    <x:row r="405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</x:row>
  </x:sheetData>
  <x:mergeCells>
    <x:mergeCell ref="B3:K3"/>
  </x:mergeCells>
  <x:conditionalFormatting sqref="I7:I402">
    <x:cfRule type="containsText" dxfId="15" priority="1" operator="containsText" text="OPEN"/>
    <x:cfRule type="containsText" dxfId="16" priority="2" operator="containsText" text="HOLD"/>
    <x:cfRule type="containsText" dxfId="17" priority="3" operator="containsText" text="BLOCKED"/>
    <x:cfRule type="containsText" dxfId="18" priority="4" operator="containsText" text="CHALLENGE ONLY"/>
    <x:cfRule type="containsText" dxfId="19" priority="5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4" hidden="0" customWidth="1"/>
    <x:col min="3" max="3" width="18" hidden="0" customWidth="1"/>
    <x:col min="4" max="4" width="14" hidden="0" customWidth="1"/>
    <x:col min="5" max="5" width="11" hidden="0" customWidth="1"/>
    <x:col min="6" max="6" width="28" hidden="0" customWidth="1"/>
    <x:col min="7" max="7" width="12" hidden="0" customWidth="1"/>
    <x:col min="8" max="8" width="12" hidden="0" customWidth="1"/>
    <x:col min="9" max="9" width="18" hidden="0" customWidth="1"/>
    <x:col min="10" max="10" width="24" hidden="0" customWidth="1"/>
  </x:cols>
  <x:sheetData>
    <x:row r="2">
      <x:c r="B2" s="3" t="str">
        <x:v>Post-gate merit review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Weighted merit values compare the learning value of proposals that satisfy the hard boundary. Scores remain planning judgments, not source-selection findings.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Record</x:v>
      </x:c>
      <x:c r="C6" s="20" t="str">
        <x:v>Proposal</x:v>
      </x:c>
      <x:c r="D6" s="20" t="str">
        <x:v>Family</x:v>
      </x:c>
      <x:c r="E6" s="20" t="str">
        <x:v>Code</x:v>
      </x:c>
      <x:c r="F6" s="20" t="str">
        <x:v>Dimension</x:v>
      </x:c>
      <x:c r="G6" s="20" t="str">
        <x:v>Weight</x:v>
      </x:c>
      <x:c r="H6" s="20" t="str">
        <x:v>Score</x:v>
      </x:c>
      <x:c r="I6" s="20" t="str">
        <x:v>Weighted score</x:v>
      </x:c>
      <x:c r="J6" s="20" t="str">
        <x:v>Use</x:v>
      </x:c>
    </x:row>
    <x:row r="7">
      <x:c r="B7" s="21" t="str">
        <x:v>ATC-A01-A-M01</x:v>
      </x:c>
      <x:c r="C7" s="21" t="str">
        <x:v>ATC-A01-A</x:v>
      </x:c>
      <x:c r="D7" s="21" t="str">
        <x:v>ATC-A01</x:v>
      </x:c>
      <x:c r="E7" s="21" t="str">
        <x:v>M01</x:v>
      </x:c>
      <x:c r="F7" s="21" t="str">
        <x:v>mission learning</x:v>
      </x:c>
      <x:c r="G7" s="35" t="n">
        <x:v>0.25</x:v>
      </x:c>
      <x:c r="H7" s="35" t="n">
        <x:v>82</x:v>
      </x:c>
      <x:c r="I7" s="35" t="n">
        <x:f>G7*H7</x:f>
        <x:v>20.5</x:v>
      </x:c>
      <x:c r="J7" s="23" t="str">
        <x:v>planning review only</x:v>
      </x:c>
    </x:row>
    <x:row r="8">
      <x:c r="B8" s="21" t="str">
        <x:v>ATC-A01-A-M02</x:v>
      </x:c>
      <x:c r="C8" s="21" t="str">
        <x:v>ATC-A01-A</x:v>
      </x:c>
      <x:c r="D8" s="21" t="str">
        <x:v>ATC-A01</x:v>
      </x:c>
      <x:c r="E8" s="21" t="str">
        <x:v>M02</x:v>
      </x:c>
      <x:c r="F8" s="21" t="str">
        <x:v>technical divergence</x:v>
      </x:c>
      <x:c r="G8" s="35" t="n">
        <x:v>0.2</x:v>
      </x:c>
      <x:c r="H8" s="35" t="n">
        <x:v>81</x:v>
      </x:c>
      <x:c r="I8" s="35" t="n">
        <x:f>G8*H8</x:f>
        <x:v>16.2</x:v>
      </x:c>
      <x:c r="J8" s="23" t="str">
        <x:v>planning review only</x:v>
      </x:c>
    </x:row>
    <x:row r="9">
      <x:c r="B9" s="21" t="str">
        <x:v>ATC-A01-A-M03</x:v>
      </x:c>
      <x:c r="C9" s="21" t="str">
        <x:v>ATC-A01-A</x:v>
      </x:c>
      <x:c r="D9" s="21" t="str">
        <x:v>ATC-A01</x:v>
      </x:c>
      <x:c r="E9" s="21" t="str">
        <x:v>M03</x:v>
      </x:c>
      <x:c r="F9" s="21" t="str">
        <x:v>testability</x:v>
      </x:c>
      <x:c r="G9" s="35" t="n">
        <x:v>0.2</x:v>
      </x:c>
      <x:c r="H9" s="35" t="n">
        <x:v>86</x:v>
      </x:c>
      <x:c r="I9" s="35" t="n">
        <x:f>G9*H9</x:f>
        <x:v>17.2</x:v>
      </x:c>
      <x:c r="J9" s="23" t="str">
        <x:v>planning review only</x:v>
      </x:c>
    </x:row>
    <x:row r="10">
      <x:c r="B10" s="21" t="str">
        <x:v>ATC-A01-A-M04</x:v>
      </x:c>
      <x:c r="C10" s="21" t="str">
        <x:v>ATC-A01-A</x:v>
      </x:c>
      <x:c r="D10" s="21" t="str">
        <x:v>ATC-A01</x:v>
      </x:c>
      <x:c r="E10" s="21" t="str">
        <x:v>M04</x:v>
      </x:c>
      <x:c r="F10" s="21" t="str">
        <x:v>field maintainability</x:v>
      </x:c>
      <x:c r="G10" s="35" t="n">
        <x:v>0.15</x:v>
      </x:c>
      <x:c r="H10" s="35" t="n">
        <x:v>79</x:v>
      </x:c>
      <x:c r="I10" s="35" t="n">
        <x:f>G10*H10</x:f>
        <x:v>11.85</x:v>
      </x:c>
      <x:c r="J10" s="23" t="str">
        <x:v>planning review only</x:v>
      </x:c>
    </x:row>
    <x:row r="11">
      <x:c r="B11" s="21" t="str">
        <x:v>ATC-A01-A-M05</x:v>
      </x:c>
      <x:c r="C11" s="21" t="str">
        <x:v>ATC-A01-A</x:v>
      </x:c>
      <x:c r="D11" s="21" t="str">
        <x:v>ATC-A01</x:v>
      </x:c>
      <x:c r="E11" s="21" t="str">
        <x:v>M05</x:v>
      </x:c>
      <x:c r="F11" s="21" t="str">
        <x:v>manufacturing scale</x:v>
      </x:c>
      <x:c r="G11" s="35" t="n">
        <x:v>0.1</x:v>
      </x:c>
      <x:c r="H11" s="35" t="n">
        <x:v>78</x:v>
      </x:c>
      <x:c r="I11" s="35" t="n">
        <x:f>G11*H11</x:f>
        <x:v>7.800000000000001</x:v>
      </x:c>
      <x:c r="J11" s="23" t="str">
        <x:v>planning review only</x:v>
      </x:c>
    </x:row>
    <x:row r="12">
      <x:c r="B12" s="21" t="str">
        <x:v>ATC-A01-A-M06</x:v>
      </x:c>
      <x:c r="C12" s="21" t="str">
        <x:v>ATC-A01-A</x:v>
      </x:c>
      <x:c r="D12" s="21" t="str">
        <x:v>ATC-A01</x:v>
      </x:c>
      <x:c r="E12" s="21" t="str">
        <x:v>M06</x:v>
      </x:c>
      <x:c r="F12" s="21" t="str">
        <x:v>export portability</x:v>
      </x:c>
      <x:c r="G12" s="35" t="n">
        <x:v>0.1</x:v>
      </x:c>
      <x:c r="H12" s="35" t="n">
        <x:v>72</x:v>
      </x:c>
      <x:c r="I12" s="35" t="n">
        <x:f>G12*H12</x:f>
        <x:v>7.2</x:v>
      </x:c>
      <x:c r="J12" s="23" t="str">
        <x:v>planning review only</x:v>
      </x:c>
    </x:row>
    <x:row r="13">
      <x:c r="B13" s="21" t="str">
        <x:v>ATC-A01-B-M01</x:v>
      </x:c>
      <x:c r="C13" s="21" t="str">
        <x:v>ATC-A01-B</x:v>
      </x:c>
      <x:c r="D13" s="21" t="str">
        <x:v>ATC-A01</x:v>
      </x:c>
      <x:c r="E13" s="21" t="str">
        <x:v>M01</x:v>
      </x:c>
      <x:c r="F13" s="21" t="str">
        <x:v>mission learning</x:v>
      </x:c>
      <x:c r="G13" s="35" t="n">
        <x:v>0.25</x:v>
      </x:c>
      <x:c r="H13" s="35" t="n">
        <x:v>80</x:v>
      </x:c>
      <x:c r="I13" s="35" t="n">
        <x:f>G13*H13</x:f>
        <x:v>20</x:v>
      </x:c>
      <x:c r="J13" s="23" t="str">
        <x:v>planning review only</x:v>
      </x:c>
    </x:row>
    <x:row r="14">
      <x:c r="B14" s="21" t="str">
        <x:v>ATC-A01-B-M02</x:v>
      </x:c>
      <x:c r="C14" s="21" t="str">
        <x:v>ATC-A01-B</x:v>
      </x:c>
      <x:c r="D14" s="21" t="str">
        <x:v>ATC-A01</x:v>
      </x:c>
      <x:c r="E14" s="21" t="str">
        <x:v>M02</x:v>
      </x:c>
      <x:c r="F14" s="21" t="str">
        <x:v>technical divergence</x:v>
      </x:c>
      <x:c r="G14" s="35" t="n">
        <x:v>0.2</x:v>
      </x:c>
      <x:c r="H14" s="35" t="n">
        <x:v>91</x:v>
      </x:c>
      <x:c r="I14" s="35" t="n">
        <x:f>G14*H14</x:f>
        <x:v>18.2</x:v>
      </x:c>
      <x:c r="J14" s="23" t="str">
        <x:v>planning review only</x:v>
      </x:c>
    </x:row>
    <x:row r="15">
      <x:c r="B15" s="21" t="str">
        <x:v>ATC-A01-B-M03</x:v>
      </x:c>
      <x:c r="C15" s="21" t="str">
        <x:v>ATC-A01-B</x:v>
      </x:c>
      <x:c r="D15" s="21" t="str">
        <x:v>ATC-A01</x:v>
      </x:c>
      <x:c r="E15" s="21" t="str">
        <x:v>M03</x:v>
      </x:c>
      <x:c r="F15" s="21" t="str">
        <x:v>testability</x:v>
      </x:c>
      <x:c r="G15" s="35" t="n">
        <x:v>0.2</x:v>
      </x:c>
      <x:c r="H15" s="35" t="n">
        <x:v>84</x:v>
      </x:c>
      <x:c r="I15" s="35" t="n">
        <x:f>G15*H15</x:f>
        <x:v>16.8</x:v>
      </x:c>
      <x:c r="J15" s="23" t="str">
        <x:v>planning review only</x:v>
      </x:c>
    </x:row>
    <x:row r="16">
      <x:c r="B16" s="21" t="str">
        <x:v>ATC-A01-B-M04</x:v>
      </x:c>
      <x:c r="C16" s="21" t="str">
        <x:v>ATC-A01-B</x:v>
      </x:c>
      <x:c r="D16" s="21" t="str">
        <x:v>ATC-A01</x:v>
      </x:c>
      <x:c r="E16" s="21" t="str">
        <x:v>M04</x:v>
      </x:c>
      <x:c r="F16" s="21" t="str">
        <x:v>field maintainability</x:v>
      </x:c>
      <x:c r="G16" s="35" t="n">
        <x:v>0.15</x:v>
      </x:c>
      <x:c r="H16" s="35" t="n">
        <x:v>81</x:v>
      </x:c>
      <x:c r="I16" s="35" t="n">
        <x:f>G16*H16</x:f>
        <x:v>12.15</x:v>
      </x:c>
      <x:c r="J16" s="23" t="str">
        <x:v>planning review only</x:v>
      </x:c>
    </x:row>
    <x:row r="17">
      <x:c r="B17" s="21" t="str">
        <x:v>ATC-A01-B-M05</x:v>
      </x:c>
      <x:c r="C17" s="21" t="str">
        <x:v>ATC-A01-B</x:v>
      </x:c>
      <x:c r="D17" s="21" t="str">
        <x:v>ATC-A01</x:v>
      </x:c>
      <x:c r="E17" s="21" t="str">
        <x:v>M05</x:v>
      </x:c>
      <x:c r="F17" s="21" t="str">
        <x:v>manufacturing scale</x:v>
      </x:c>
      <x:c r="G17" s="35" t="n">
        <x:v>0.1</x:v>
      </x:c>
      <x:c r="H17" s="35" t="n">
        <x:v>74</x:v>
      </x:c>
      <x:c r="I17" s="35" t="n">
        <x:f>G17*H17</x:f>
        <x:v>7.4</x:v>
      </x:c>
      <x:c r="J17" s="23" t="str">
        <x:v>planning review only</x:v>
      </x:c>
    </x:row>
    <x:row r="18">
      <x:c r="B18" s="21" t="str">
        <x:v>ATC-A01-B-M06</x:v>
      </x:c>
      <x:c r="C18" s="21" t="str">
        <x:v>ATC-A01-B</x:v>
      </x:c>
      <x:c r="D18" s="21" t="str">
        <x:v>ATC-A01</x:v>
      </x:c>
      <x:c r="E18" s="21" t="str">
        <x:v>M06</x:v>
      </x:c>
      <x:c r="F18" s="21" t="str">
        <x:v>export portability</x:v>
      </x:c>
      <x:c r="G18" s="35" t="n">
        <x:v>0.1</x:v>
      </x:c>
      <x:c r="H18" s="35" t="n">
        <x:v>80</x:v>
      </x:c>
      <x:c r="I18" s="35" t="n">
        <x:f>G18*H18</x:f>
        <x:v>8</x:v>
      </x:c>
      <x:c r="J18" s="23" t="str">
        <x:v>planning review only</x:v>
      </x:c>
    </x:row>
    <x:row r="19">
      <x:c r="B19" s="21" t="str">
        <x:v>ATC-A01-C-M01</x:v>
      </x:c>
      <x:c r="C19" s="21" t="str">
        <x:v>ATC-A01-C</x:v>
      </x:c>
      <x:c r="D19" s="21" t="str">
        <x:v>ATC-A01</x:v>
      </x:c>
      <x:c r="E19" s="21" t="str">
        <x:v>M01</x:v>
      </x:c>
      <x:c r="F19" s="21" t="str">
        <x:v>mission learning</x:v>
      </x:c>
      <x:c r="G19" s="35" t="n">
        <x:v>0.25</x:v>
      </x:c>
      <x:c r="H19" s="35" t="n">
        <x:v>92</x:v>
      </x:c>
      <x:c r="I19" s="35" t="n">
        <x:f>G19*H19</x:f>
        <x:v>23</x:v>
      </x:c>
      <x:c r="J19" s="23" t="str">
        <x:v>planning review only</x:v>
      </x:c>
    </x:row>
    <x:row r="20">
      <x:c r="B20" s="21" t="str">
        <x:v>ATC-A01-C-M02</x:v>
      </x:c>
      <x:c r="C20" s="21" t="str">
        <x:v>ATC-A01-C</x:v>
      </x:c>
      <x:c r="D20" s="21" t="str">
        <x:v>ATC-A01</x:v>
      </x:c>
      <x:c r="E20" s="21" t="str">
        <x:v>M02</x:v>
      </x:c>
      <x:c r="F20" s="21" t="str">
        <x:v>technical divergence</x:v>
      </x:c>
      <x:c r="G20" s="35" t="n">
        <x:v>0.2</x:v>
      </x:c>
      <x:c r="H20" s="35" t="n">
        <x:v>95</x:v>
      </x:c>
      <x:c r="I20" s="35" t="n">
        <x:f>G20*H20</x:f>
        <x:v>19</x:v>
      </x:c>
      <x:c r="J20" s="23" t="str">
        <x:v>planning review only</x:v>
      </x:c>
    </x:row>
    <x:row r="21">
      <x:c r="B21" s="21" t="str">
        <x:v>ATC-A01-C-M03</x:v>
      </x:c>
      <x:c r="C21" s="21" t="str">
        <x:v>ATC-A01-C</x:v>
      </x:c>
      <x:c r="D21" s="21" t="str">
        <x:v>ATC-A01</x:v>
      </x:c>
      <x:c r="E21" s="21" t="str">
        <x:v>M03</x:v>
      </x:c>
      <x:c r="F21" s="21" t="str">
        <x:v>testability</x:v>
      </x:c>
      <x:c r="G21" s="35" t="n">
        <x:v>0.2</x:v>
      </x:c>
      <x:c r="H21" s="35" t="n">
        <x:v>62</x:v>
      </x:c>
      <x:c r="I21" s="35" t="n">
        <x:f>G21*H21</x:f>
        <x:v>12.4</x:v>
      </x:c>
      <x:c r="J21" s="23" t="str">
        <x:v>planning review only</x:v>
      </x:c>
    </x:row>
    <x:row r="22">
      <x:c r="B22" s="21" t="str">
        <x:v>ATC-A01-C-M04</x:v>
      </x:c>
      <x:c r="C22" s="21" t="str">
        <x:v>ATC-A01-C</x:v>
      </x:c>
      <x:c r="D22" s="21" t="str">
        <x:v>ATC-A01</x:v>
      </x:c>
      <x:c r="E22" s="21" t="str">
        <x:v>M04</x:v>
      </x:c>
      <x:c r="F22" s="21" t="str">
        <x:v>field maintainability</x:v>
      </x:c>
      <x:c r="G22" s="35" t="n">
        <x:v>0.15</x:v>
      </x:c>
      <x:c r="H22" s="35" t="n">
        <x:v>67</x:v>
      </x:c>
      <x:c r="I22" s="35" t="n">
        <x:f>G22*H22</x:f>
        <x:v>10.049999999999999</x:v>
      </x:c>
      <x:c r="J22" s="23" t="str">
        <x:v>planning review only</x:v>
      </x:c>
    </x:row>
    <x:row r="23">
      <x:c r="B23" s="21" t="str">
        <x:v>ATC-A01-C-M05</x:v>
      </x:c>
      <x:c r="C23" s="21" t="str">
        <x:v>ATC-A01-C</x:v>
      </x:c>
      <x:c r="D23" s="21" t="str">
        <x:v>ATC-A01</x:v>
      </x:c>
      <x:c r="E23" s="21" t="str">
        <x:v>M05</x:v>
      </x:c>
      <x:c r="F23" s="21" t="str">
        <x:v>manufacturing scale</x:v>
      </x:c>
      <x:c r="G23" s="35" t="n">
        <x:v>0.1</x:v>
      </x:c>
      <x:c r="H23" s="35" t="n">
        <x:v>60</x:v>
      </x:c>
      <x:c r="I23" s="35" t="n">
        <x:f>G23*H23</x:f>
        <x:v>6</x:v>
      </x:c>
      <x:c r="J23" s="23" t="str">
        <x:v>planning review only</x:v>
      </x:c>
    </x:row>
    <x:row r="24">
      <x:c r="B24" s="21" t="str">
        <x:v>ATC-A01-C-M06</x:v>
      </x:c>
      <x:c r="C24" s="21" t="str">
        <x:v>ATC-A01-C</x:v>
      </x:c>
      <x:c r="D24" s="21" t="str">
        <x:v>ATC-A01</x:v>
      </x:c>
      <x:c r="E24" s="21" t="str">
        <x:v>M06</x:v>
      </x:c>
      <x:c r="F24" s="21" t="str">
        <x:v>export portability</x:v>
      </x:c>
      <x:c r="G24" s="35" t="n">
        <x:v>0.1</x:v>
      </x:c>
      <x:c r="H24" s="35" t="n">
        <x:v>88</x:v>
      </x:c>
      <x:c r="I24" s="35" t="n">
        <x:f>G24*H24</x:f>
        <x:v>8.8</x:v>
      </x:c>
      <x:c r="J24" s="23" t="str">
        <x:v>planning review only</x:v>
      </x:c>
    </x:row>
    <x:row r="25">
      <x:c r="B25" s="21" t="str">
        <x:v>TTC-T01-A-M01</x:v>
      </x:c>
      <x:c r="C25" s="21" t="str">
        <x:v>TTC-T01-A</x:v>
      </x:c>
      <x:c r="D25" s="21" t="str">
        <x:v>TTC-T01</x:v>
      </x:c>
      <x:c r="E25" s="21" t="str">
        <x:v>M01</x:v>
      </x:c>
      <x:c r="F25" s="21" t="str">
        <x:v>mission learning</x:v>
      </x:c>
      <x:c r="G25" s="35" t="n">
        <x:v>0.25</x:v>
      </x:c>
      <x:c r="H25" s="35" t="n">
        <x:v>83</x:v>
      </x:c>
      <x:c r="I25" s="35" t="n">
        <x:f>G25*H25</x:f>
        <x:v>20.75</x:v>
      </x:c>
      <x:c r="J25" s="23" t="str">
        <x:v>planning review only</x:v>
      </x:c>
    </x:row>
    <x:row r="26">
      <x:c r="B26" s="21" t="str">
        <x:v>TTC-T01-A-M02</x:v>
      </x:c>
      <x:c r="C26" s="21" t="str">
        <x:v>TTC-T01-A</x:v>
      </x:c>
      <x:c r="D26" s="21" t="str">
        <x:v>TTC-T01</x:v>
      </x:c>
      <x:c r="E26" s="21" t="str">
        <x:v>M02</x:v>
      </x:c>
      <x:c r="F26" s="21" t="str">
        <x:v>technical divergence</x:v>
      </x:c>
      <x:c r="G26" s="35" t="n">
        <x:v>0.2</x:v>
      </x:c>
      <x:c r="H26" s="35" t="n">
        <x:v>82</x:v>
      </x:c>
      <x:c r="I26" s="35" t="n">
        <x:f>G26*H26</x:f>
        <x:v>16.400000000000002</x:v>
      </x:c>
      <x:c r="J26" s="23" t="str">
        <x:v>planning review only</x:v>
      </x:c>
    </x:row>
    <x:row r="27">
      <x:c r="B27" s="21" t="str">
        <x:v>TTC-T01-A-M03</x:v>
      </x:c>
      <x:c r="C27" s="21" t="str">
        <x:v>TTC-T01-A</x:v>
      </x:c>
      <x:c r="D27" s="21" t="str">
        <x:v>TTC-T01</x:v>
      </x:c>
      <x:c r="E27" s="21" t="str">
        <x:v>M03</x:v>
      </x:c>
      <x:c r="F27" s="21" t="str">
        <x:v>testability</x:v>
      </x:c>
      <x:c r="G27" s="35" t="n">
        <x:v>0.2</x:v>
      </x:c>
      <x:c r="H27" s="35" t="n">
        <x:v>87</x:v>
      </x:c>
      <x:c r="I27" s="35" t="n">
        <x:f>G27*H27</x:f>
        <x:v>17.400000000000002</x:v>
      </x:c>
      <x:c r="J27" s="23" t="str">
        <x:v>planning review only</x:v>
      </x:c>
    </x:row>
    <x:row r="28">
      <x:c r="B28" s="21" t="str">
        <x:v>TTC-T01-A-M04</x:v>
      </x:c>
      <x:c r="C28" s="21" t="str">
        <x:v>TTC-T01-A</x:v>
      </x:c>
      <x:c r="D28" s="21" t="str">
        <x:v>TTC-T01</x:v>
      </x:c>
      <x:c r="E28" s="21" t="str">
        <x:v>M04</x:v>
      </x:c>
      <x:c r="F28" s="21" t="str">
        <x:v>field maintainability</x:v>
      </x:c>
      <x:c r="G28" s="35" t="n">
        <x:v>0.15</x:v>
      </x:c>
      <x:c r="H28" s="35" t="n">
        <x:v>80</x:v>
      </x:c>
      <x:c r="I28" s="35" t="n">
        <x:f>G28*H28</x:f>
        <x:v>12</x:v>
      </x:c>
      <x:c r="J28" s="23" t="str">
        <x:v>planning review only</x:v>
      </x:c>
    </x:row>
    <x:row r="29">
      <x:c r="B29" s="21" t="str">
        <x:v>TTC-T01-A-M05</x:v>
      </x:c>
      <x:c r="C29" s="21" t="str">
        <x:v>TTC-T01-A</x:v>
      </x:c>
      <x:c r="D29" s="21" t="str">
        <x:v>TTC-T01</x:v>
      </x:c>
      <x:c r="E29" s="21" t="str">
        <x:v>M05</x:v>
      </x:c>
      <x:c r="F29" s="21" t="str">
        <x:v>manufacturing scale</x:v>
      </x:c>
      <x:c r="G29" s="35" t="n">
        <x:v>0.1</x:v>
      </x:c>
      <x:c r="H29" s="35" t="n">
        <x:v>74</x:v>
      </x:c>
      <x:c r="I29" s="35" t="n">
        <x:f>G29*H29</x:f>
        <x:v>7.4</x:v>
      </x:c>
      <x:c r="J29" s="23" t="str">
        <x:v>planning review only</x:v>
      </x:c>
    </x:row>
    <x:row r="30">
      <x:c r="B30" s="21" t="str">
        <x:v>TTC-T01-A-M06</x:v>
      </x:c>
      <x:c r="C30" s="21" t="str">
        <x:v>TTC-T01-A</x:v>
      </x:c>
      <x:c r="D30" s="21" t="str">
        <x:v>TTC-T01</x:v>
      </x:c>
      <x:c r="E30" s="21" t="str">
        <x:v>M06</x:v>
      </x:c>
      <x:c r="F30" s="21" t="str">
        <x:v>export portability</x:v>
      </x:c>
      <x:c r="G30" s="35" t="n">
        <x:v>0.1</x:v>
      </x:c>
      <x:c r="H30" s="35" t="n">
        <x:v>73</x:v>
      </x:c>
      <x:c r="I30" s="35" t="n">
        <x:f>G30*H30</x:f>
        <x:v>7.300000000000001</x:v>
      </x:c>
      <x:c r="J30" s="23" t="str">
        <x:v>planning review only</x:v>
      </x:c>
    </x:row>
    <x:row r="31">
      <x:c r="B31" s="21" t="str">
        <x:v>TTC-T01-B-M01</x:v>
      </x:c>
      <x:c r="C31" s="21" t="str">
        <x:v>TTC-T01-B</x:v>
      </x:c>
      <x:c r="D31" s="21" t="str">
        <x:v>TTC-T01</x:v>
      </x:c>
      <x:c r="E31" s="21" t="str">
        <x:v>M01</x:v>
      </x:c>
      <x:c r="F31" s="21" t="str">
        <x:v>mission learning</x:v>
      </x:c>
      <x:c r="G31" s="35" t="n">
        <x:v>0.25</x:v>
      </x:c>
      <x:c r="H31" s="35" t="n">
        <x:v>81</x:v>
      </x:c>
      <x:c r="I31" s="35" t="n">
        <x:f>G31*H31</x:f>
        <x:v>20.25</x:v>
      </x:c>
      <x:c r="J31" s="23" t="str">
        <x:v>planning review only</x:v>
      </x:c>
    </x:row>
    <x:row r="32">
      <x:c r="B32" s="21" t="str">
        <x:v>TTC-T01-B-M02</x:v>
      </x:c>
      <x:c r="C32" s="21" t="str">
        <x:v>TTC-T01-B</x:v>
      </x:c>
      <x:c r="D32" s="21" t="str">
        <x:v>TTC-T01</x:v>
      </x:c>
      <x:c r="E32" s="21" t="str">
        <x:v>M02</x:v>
      </x:c>
      <x:c r="F32" s="21" t="str">
        <x:v>technical divergence</x:v>
      </x:c>
      <x:c r="G32" s="35" t="n">
        <x:v>0.2</x:v>
      </x:c>
      <x:c r="H32" s="35" t="n">
        <x:v>92</x:v>
      </x:c>
      <x:c r="I32" s="35" t="n">
        <x:f>G32*H32</x:f>
        <x:v>18.400000000000002</x:v>
      </x:c>
      <x:c r="J32" s="23" t="str">
        <x:v>planning review only</x:v>
      </x:c>
    </x:row>
    <x:row r="33">
      <x:c r="B33" s="21" t="str">
        <x:v>TTC-T01-B-M03</x:v>
      </x:c>
      <x:c r="C33" s="21" t="str">
        <x:v>TTC-T01-B</x:v>
      </x:c>
      <x:c r="D33" s="21" t="str">
        <x:v>TTC-T01</x:v>
      </x:c>
      <x:c r="E33" s="21" t="str">
        <x:v>M03</x:v>
      </x:c>
      <x:c r="F33" s="21" t="str">
        <x:v>testability</x:v>
      </x:c>
      <x:c r="G33" s="35" t="n">
        <x:v>0.2</x:v>
      </x:c>
      <x:c r="H33" s="35" t="n">
        <x:v>85</x:v>
      </x:c>
      <x:c r="I33" s="35" t="n">
        <x:f>G33*H33</x:f>
        <x:v>17</x:v>
      </x:c>
      <x:c r="J33" s="23" t="str">
        <x:v>planning review only</x:v>
      </x:c>
    </x:row>
    <x:row r="34">
      <x:c r="B34" s="21" t="str">
        <x:v>TTC-T01-B-M04</x:v>
      </x:c>
      <x:c r="C34" s="21" t="str">
        <x:v>TTC-T01-B</x:v>
      </x:c>
      <x:c r="D34" s="21" t="str">
        <x:v>TTC-T01</x:v>
      </x:c>
      <x:c r="E34" s="21" t="str">
        <x:v>M04</x:v>
      </x:c>
      <x:c r="F34" s="21" t="str">
        <x:v>field maintainability</x:v>
      </x:c>
      <x:c r="G34" s="35" t="n">
        <x:v>0.15</x:v>
      </x:c>
      <x:c r="H34" s="35" t="n">
        <x:v>82</x:v>
      </x:c>
      <x:c r="I34" s="35" t="n">
        <x:f>G34*H34</x:f>
        <x:v>12.299999999999999</x:v>
      </x:c>
      <x:c r="J34" s="23" t="str">
        <x:v>planning review only</x:v>
      </x:c>
    </x:row>
    <x:row r="35">
      <x:c r="B35" s="21" t="str">
        <x:v>TTC-T01-B-M05</x:v>
      </x:c>
      <x:c r="C35" s="21" t="str">
        <x:v>TTC-T01-B</x:v>
      </x:c>
      <x:c r="D35" s="21" t="str">
        <x:v>TTC-T01</x:v>
      </x:c>
      <x:c r="E35" s="21" t="str">
        <x:v>M05</x:v>
      </x:c>
      <x:c r="F35" s="21" t="str">
        <x:v>manufacturing scale</x:v>
      </x:c>
      <x:c r="G35" s="35" t="n">
        <x:v>0.1</x:v>
      </x:c>
      <x:c r="H35" s="35" t="n">
        <x:v>70</x:v>
      </x:c>
      <x:c r="I35" s="35" t="n">
        <x:f>G35*H35</x:f>
        <x:v>7</x:v>
      </x:c>
      <x:c r="J35" s="23" t="str">
        <x:v>planning review only</x:v>
      </x:c>
    </x:row>
    <x:row r="36">
      <x:c r="B36" s="21" t="str">
        <x:v>TTC-T01-B-M06</x:v>
      </x:c>
      <x:c r="C36" s="21" t="str">
        <x:v>TTC-T01-B</x:v>
      </x:c>
      <x:c r="D36" s="21" t="str">
        <x:v>TTC-T01</x:v>
      </x:c>
      <x:c r="E36" s="21" t="str">
        <x:v>M06</x:v>
      </x:c>
      <x:c r="F36" s="21" t="str">
        <x:v>export portability</x:v>
      </x:c>
      <x:c r="G36" s="35" t="n">
        <x:v>0.1</x:v>
      </x:c>
      <x:c r="H36" s="35" t="n">
        <x:v>81</x:v>
      </x:c>
      <x:c r="I36" s="35" t="n">
        <x:f>G36*H36</x:f>
        <x:v>8.1</x:v>
      </x:c>
      <x:c r="J36" s="23" t="str">
        <x:v>planning review only</x:v>
      </x:c>
    </x:row>
    <x:row r="37">
      <x:c r="B37" s="21" t="str">
        <x:v>TTC-T01-C-M01</x:v>
      </x:c>
      <x:c r="C37" s="21" t="str">
        <x:v>TTC-T01-C</x:v>
      </x:c>
      <x:c r="D37" s="21" t="str">
        <x:v>TTC-T01</x:v>
      </x:c>
      <x:c r="E37" s="21" t="str">
        <x:v>M01</x:v>
      </x:c>
      <x:c r="F37" s="21" t="str">
        <x:v>mission learning</x:v>
      </x:c>
      <x:c r="G37" s="35" t="n">
        <x:v>0.25</x:v>
      </x:c>
      <x:c r="H37" s="35" t="n">
        <x:v>93</x:v>
      </x:c>
      <x:c r="I37" s="35" t="n">
        <x:f>G37*H37</x:f>
        <x:v>23.25</x:v>
      </x:c>
      <x:c r="J37" s="23" t="str">
        <x:v>planning review only</x:v>
      </x:c>
    </x:row>
    <x:row r="38">
      <x:c r="B38" s="21" t="str">
        <x:v>TTC-T01-C-M02</x:v>
      </x:c>
      <x:c r="C38" s="21" t="str">
        <x:v>TTC-T01-C</x:v>
      </x:c>
      <x:c r="D38" s="21" t="str">
        <x:v>TTC-T01</x:v>
      </x:c>
      <x:c r="E38" s="21" t="str">
        <x:v>M02</x:v>
      </x:c>
      <x:c r="F38" s="21" t="str">
        <x:v>technical divergence</x:v>
      </x:c>
      <x:c r="G38" s="35" t="n">
        <x:v>0.2</x:v>
      </x:c>
      <x:c r="H38" s="35" t="n">
        <x:v>96</x:v>
      </x:c>
      <x:c r="I38" s="35" t="n">
        <x:f>G38*H38</x:f>
        <x:v>19.200000000000003</x:v>
      </x:c>
      <x:c r="J38" s="23" t="str">
        <x:v>planning review only</x:v>
      </x:c>
    </x:row>
    <x:row r="39">
      <x:c r="B39" s="21" t="str">
        <x:v>TTC-T01-C-M03</x:v>
      </x:c>
      <x:c r="C39" s="21" t="str">
        <x:v>TTC-T01-C</x:v>
      </x:c>
      <x:c r="D39" s="21" t="str">
        <x:v>TTC-T01</x:v>
      </x:c>
      <x:c r="E39" s="21" t="str">
        <x:v>M03</x:v>
      </x:c>
      <x:c r="F39" s="21" t="str">
        <x:v>testability</x:v>
      </x:c>
      <x:c r="G39" s="35" t="n">
        <x:v>0.2</x:v>
      </x:c>
      <x:c r="H39" s="35" t="n">
        <x:v>63</x:v>
      </x:c>
      <x:c r="I39" s="35" t="n">
        <x:f>G39*H39</x:f>
        <x:v>12.600000000000001</x:v>
      </x:c>
      <x:c r="J39" s="23" t="str">
        <x:v>planning review only</x:v>
      </x:c>
    </x:row>
    <x:row r="40">
      <x:c r="B40" s="21" t="str">
        <x:v>TTC-T01-C-M04</x:v>
      </x:c>
      <x:c r="C40" s="21" t="str">
        <x:v>TTC-T01-C</x:v>
      </x:c>
      <x:c r="D40" s="21" t="str">
        <x:v>TTC-T01</x:v>
      </x:c>
      <x:c r="E40" s="21" t="str">
        <x:v>M04</x:v>
      </x:c>
      <x:c r="F40" s="21" t="str">
        <x:v>field maintainability</x:v>
      </x:c>
      <x:c r="G40" s="35" t="n">
        <x:v>0.15</x:v>
      </x:c>
      <x:c r="H40" s="35" t="n">
        <x:v>68</x:v>
      </x:c>
      <x:c r="I40" s="35" t="n">
        <x:f>G40*H40</x:f>
        <x:v>10.2</x:v>
      </x:c>
      <x:c r="J40" s="23" t="str">
        <x:v>planning review only</x:v>
      </x:c>
    </x:row>
    <x:row r="41">
      <x:c r="B41" s="21" t="str">
        <x:v>TTC-T01-C-M05</x:v>
      </x:c>
      <x:c r="C41" s="21" t="str">
        <x:v>TTC-T01-C</x:v>
      </x:c>
      <x:c r="D41" s="21" t="str">
        <x:v>TTC-T01</x:v>
      </x:c>
      <x:c r="E41" s="21" t="str">
        <x:v>M05</x:v>
      </x:c>
      <x:c r="F41" s="21" t="str">
        <x:v>manufacturing scale</x:v>
      </x:c>
      <x:c r="G41" s="35" t="n">
        <x:v>0.1</x:v>
      </x:c>
      <x:c r="H41" s="35" t="n">
        <x:v>56</x:v>
      </x:c>
      <x:c r="I41" s="35" t="n">
        <x:f>G41*H41</x:f>
        <x:v>5.6000000000000005</x:v>
      </x:c>
      <x:c r="J41" s="23" t="str">
        <x:v>planning review only</x:v>
      </x:c>
    </x:row>
    <x:row r="42">
      <x:c r="B42" s="21" t="str">
        <x:v>TTC-T01-C-M06</x:v>
      </x:c>
      <x:c r="C42" s="21" t="str">
        <x:v>TTC-T01-C</x:v>
      </x:c>
      <x:c r="D42" s="21" t="str">
        <x:v>TTC-T01</x:v>
      </x:c>
      <x:c r="E42" s="21" t="str">
        <x:v>M06</x:v>
      </x:c>
      <x:c r="F42" s="21" t="str">
        <x:v>export portability</x:v>
      </x:c>
      <x:c r="G42" s="35" t="n">
        <x:v>0.1</x:v>
      </x:c>
      <x:c r="H42" s="35" t="n">
        <x:v>89</x:v>
      </x:c>
      <x:c r="I42" s="35" t="n">
        <x:f>G42*H42</x:f>
        <x:v>8.9</x:v>
      </x:c>
      <x:c r="J42" s="23" t="str">
        <x:v>planning review only</x:v>
      </x:c>
    </x:row>
    <x:row r="43">
      <x:c r="B43" s="21" t="str">
        <x:v>ACN-A01-A-M01</x:v>
      </x:c>
      <x:c r="C43" s="21" t="str">
        <x:v>ACN-A01-A</x:v>
      </x:c>
      <x:c r="D43" s="21" t="str">
        <x:v>ACN-A01</x:v>
      </x:c>
      <x:c r="E43" s="21" t="str">
        <x:v>M01</x:v>
      </x:c>
      <x:c r="F43" s="21" t="str">
        <x:v>mission learning</x:v>
      </x:c>
      <x:c r="G43" s="35" t="n">
        <x:v>0.25</x:v>
      </x:c>
      <x:c r="H43" s="35" t="n">
        <x:v>84</x:v>
      </x:c>
      <x:c r="I43" s="35" t="n">
        <x:f>G43*H43</x:f>
        <x:v>21</x:v>
      </x:c>
      <x:c r="J43" s="23" t="str">
        <x:v>planning review only</x:v>
      </x:c>
    </x:row>
    <x:row r="44">
      <x:c r="B44" s="21" t="str">
        <x:v>ACN-A01-A-M02</x:v>
      </x:c>
      <x:c r="C44" s="21" t="str">
        <x:v>ACN-A01-A</x:v>
      </x:c>
      <x:c r="D44" s="21" t="str">
        <x:v>ACN-A01</x:v>
      </x:c>
      <x:c r="E44" s="21" t="str">
        <x:v>M02</x:v>
      </x:c>
      <x:c r="F44" s="21" t="str">
        <x:v>technical divergence</x:v>
      </x:c>
      <x:c r="G44" s="35" t="n">
        <x:v>0.2</x:v>
      </x:c>
      <x:c r="H44" s="35" t="n">
        <x:v>83</x:v>
      </x:c>
      <x:c r="I44" s="35" t="n">
        <x:f>G44*H44</x:f>
        <x:v>16.6</x:v>
      </x:c>
      <x:c r="J44" s="23" t="str">
        <x:v>planning review only</x:v>
      </x:c>
    </x:row>
    <x:row r="45">
      <x:c r="B45" s="21" t="str">
        <x:v>ACN-A01-A-M03</x:v>
      </x:c>
      <x:c r="C45" s="21" t="str">
        <x:v>ACN-A01-A</x:v>
      </x:c>
      <x:c r="D45" s="21" t="str">
        <x:v>ACN-A01</x:v>
      </x:c>
      <x:c r="E45" s="21" t="str">
        <x:v>M03</x:v>
      </x:c>
      <x:c r="F45" s="21" t="str">
        <x:v>testability</x:v>
      </x:c>
      <x:c r="G45" s="35" t="n">
        <x:v>0.2</x:v>
      </x:c>
      <x:c r="H45" s="35" t="n">
        <x:v>88</x:v>
      </x:c>
      <x:c r="I45" s="35" t="n">
        <x:f>G45*H45</x:f>
        <x:v>17.6</x:v>
      </x:c>
      <x:c r="J45" s="23" t="str">
        <x:v>planning review only</x:v>
      </x:c>
    </x:row>
    <x:row r="46">
      <x:c r="B46" s="21" t="str">
        <x:v>ACN-A01-A-M04</x:v>
      </x:c>
      <x:c r="C46" s="21" t="str">
        <x:v>ACN-A01-A</x:v>
      </x:c>
      <x:c r="D46" s="21" t="str">
        <x:v>ACN-A01</x:v>
      </x:c>
      <x:c r="E46" s="21" t="str">
        <x:v>M04</x:v>
      </x:c>
      <x:c r="F46" s="21" t="str">
        <x:v>field maintainability</x:v>
      </x:c>
      <x:c r="G46" s="35" t="n">
        <x:v>0.15</x:v>
      </x:c>
      <x:c r="H46" s="35" t="n">
        <x:v>76</x:v>
      </x:c>
      <x:c r="I46" s="35" t="n">
        <x:f>G46*H46</x:f>
        <x:v>11.4</x:v>
      </x:c>
      <x:c r="J46" s="23" t="str">
        <x:v>planning review only</x:v>
      </x:c>
    </x:row>
    <x:row r="47">
      <x:c r="B47" s="21" t="str">
        <x:v>ACN-A01-A-M05</x:v>
      </x:c>
      <x:c r="C47" s="21" t="str">
        <x:v>ACN-A01-A</x:v>
      </x:c>
      <x:c r="D47" s="21" t="str">
        <x:v>ACN-A01</x:v>
      </x:c>
      <x:c r="E47" s="21" t="str">
        <x:v>M05</x:v>
      </x:c>
      <x:c r="F47" s="21" t="str">
        <x:v>manufacturing scale</x:v>
      </x:c>
      <x:c r="G47" s="35" t="n">
        <x:v>0.1</x:v>
      </x:c>
      <x:c r="H47" s="35" t="n">
        <x:v>75</x:v>
      </x:c>
      <x:c r="I47" s="35" t="n">
        <x:f>G47*H47</x:f>
        <x:v>7.5</x:v>
      </x:c>
      <x:c r="J47" s="23" t="str">
        <x:v>planning review only</x:v>
      </x:c>
    </x:row>
    <x:row r="48">
      <x:c r="B48" s="21" t="str">
        <x:v>ACN-A01-A-M06</x:v>
      </x:c>
      <x:c r="C48" s="21" t="str">
        <x:v>ACN-A01-A</x:v>
      </x:c>
      <x:c r="D48" s="21" t="str">
        <x:v>ACN-A01</x:v>
      </x:c>
      <x:c r="E48" s="21" t="str">
        <x:v>M06</x:v>
      </x:c>
      <x:c r="F48" s="21" t="str">
        <x:v>export portability</x:v>
      </x:c>
      <x:c r="G48" s="35" t="n">
        <x:v>0.1</x:v>
      </x:c>
      <x:c r="H48" s="35" t="n">
        <x:v>74</x:v>
      </x:c>
      <x:c r="I48" s="35" t="n">
        <x:f>G48*H48</x:f>
        <x:v>7.4</x:v>
      </x:c>
      <x:c r="J48" s="23" t="str">
        <x:v>planning review only</x:v>
      </x:c>
    </x:row>
    <x:row r="49">
      <x:c r="B49" s="21" t="str">
        <x:v>ACN-A01-B-M01</x:v>
      </x:c>
      <x:c r="C49" s="21" t="str">
        <x:v>ACN-A01-B</x:v>
      </x:c>
      <x:c r="D49" s="21" t="str">
        <x:v>ACN-A01</x:v>
      </x:c>
      <x:c r="E49" s="21" t="str">
        <x:v>M01</x:v>
      </x:c>
      <x:c r="F49" s="21" t="str">
        <x:v>mission learning</x:v>
      </x:c>
      <x:c r="G49" s="35" t="n">
        <x:v>0.25</x:v>
      </x:c>
      <x:c r="H49" s="35" t="n">
        <x:v>82</x:v>
      </x:c>
      <x:c r="I49" s="35" t="n">
        <x:f>G49*H49</x:f>
        <x:v>20.5</x:v>
      </x:c>
      <x:c r="J49" s="23" t="str">
        <x:v>planning review only</x:v>
      </x:c>
    </x:row>
    <x:row r="50">
      <x:c r="B50" s="21" t="str">
        <x:v>ACN-A01-B-M02</x:v>
      </x:c>
      <x:c r="C50" s="21" t="str">
        <x:v>ACN-A01-B</x:v>
      </x:c>
      <x:c r="D50" s="21" t="str">
        <x:v>ACN-A01</x:v>
      </x:c>
      <x:c r="E50" s="21" t="str">
        <x:v>M02</x:v>
      </x:c>
      <x:c r="F50" s="21" t="str">
        <x:v>technical divergence</x:v>
      </x:c>
      <x:c r="G50" s="35" t="n">
        <x:v>0.2</x:v>
      </x:c>
      <x:c r="H50" s="35" t="n">
        <x:v>93</x:v>
      </x:c>
      <x:c r="I50" s="35" t="n">
        <x:f>G50*H50</x:f>
        <x:v>18.6</x:v>
      </x:c>
      <x:c r="J50" s="23" t="str">
        <x:v>planning review only</x:v>
      </x:c>
    </x:row>
    <x:row r="51">
      <x:c r="B51" s="21" t="str">
        <x:v>ACN-A01-B-M03</x:v>
      </x:c>
      <x:c r="C51" s="21" t="str">
        <x:v>ACN-A01-B</x:v>
      </x:c>
      <x:c r="D51" s="21" t="str">
        <x:v>ACN-A01</x:v>
      </x:c>
      <x:c r="E51" s="21" t="str">
        <x:v>M03</x:v>
      </x:c>
      <x:c r="F51" s="21" t="str">
        <x:v>testability</x:v>
      </x:c>
      <x:c r="G51" s="35" t="n">
        <x:v>0.2</x:v>
      </x:c>
      <x:c r="H51" s="35" t="n">
        <x:v>86</x:v>
      </x:c>
      <x:c r="I51" s="35" t="n">
        <x:f>G51*H51</x:f>
        <x:v>17.2</x:v>
      </x:c>
      <x:c r="J51" s="23" t="str">
        <x:v>planning review only</x:v>
      </x:c>
    </x:row>
    <x:row r="52">
      <x:c r="B52" s="21" t="str">
        <x:v>ACN-A01-B-M04</x:v>
      </x:c>
      <x:c r="C52" s="21" t="str">
        <x:v>ACN-A01-B</x:v>
      </x:c>
      <x:c r="D52" s="21" t="str">
        <x:v>ACN-A01</x:v>
      </x:c>
      <x:c r="E52" s="21" t="str">
        <x:v>M04</x:v>
      </x:c>
      <x:c r="F52" s="21" t="str">
        <x:v>field maintainability</x:v>
      </x:c>
      <x:c r="G52" s="35" t="n">
        <x:v>0.15</x:v>
      </x:c>
      <x:c r="H52" s="35" t="n">
        <x:v>78</x:v>
      </x:c>
      <x:c r="I52" s="35" t="n">
        <x:f>G52*H52</x:f>
        <x:v>11.7</x:v>
      </x:c>
      <x:c r="J52" s="23" t="str">
        <x:v>planning review only</x:v>
      </x:c>
    </x:row>
    <x:row r="53">
      <x:c r="B53" s="21" t="str">
        <x:v>ACN-A01-B-M05</x:v>
      </x:c>
      <x:c r="C53" s="21" t="str">
        <x:v>ACN-A01-B</x:v>
      </x:c>
      <x:c r="D53" s="21" t="str">
        <x:v>ACN-A01</x:v>
      </x:c>
      <x:c r="E53" s="21" t="str">
        <x:v>M05</x:v>
      </x:c>
      <x:c r="F53" s="21" t="str">
        <x:v>manufacturing scale</x:v>
      </x:c>
      <x:c r="G53" s="35" t="n">
        <x:v>0.1</x:v>
      </x:c>
      <x:c r="H53" s="35" t="n">
        <x:v>71</x:v>
      </x:c>
      <x:c r="I53" s="35" t="n">
        <x:f>G53*H53</x:f>
        <x:v>7.1000000000000005</x:v>
      </x:c>
      <x:c r="J53" s="23" t="str">
        <x:v>planning review only</x:v>
      </x:c>
    </x:row>
    <x:row r="54">
      <x:c r="B54" s="21" t="str">
        <x:v>ACN-A01-B-M06</x:v>
      </x:c>
      <x:c r="C54" s="21" t="str">
        <x:v>ACN-A01-B</x:v>
      </x:c>
      <x:c r="D54" s="21" t="str">
        <x:v>ACN-A01</x:v>
      </x:c>
      <x:c r="E54" s="21" t="str">
        <x:v>M06</x:v>
      </x:c>
      <x:c r="F54" s="21" t="str">
        <x:v>export portability</x:v>
      </x:c>
      <x:c r="G54" s="35" t="n">
        <x:v>0.1</x:v>
      </x:c>
      <x:c r="H54" s="35" t="n">
        <x:v>82</x:v>
      </x:c>
      <x:c r="I54" s="35" t="n">
        <x:f>G54*H54</x:f>
        <x:v>8.200000000000001</x:v>
      </x:c>
      <x:c r="J54" s="23" t="str">
        <x:v>planning review only</x:v>
      </x:c>
    </x:row>
    <x:row r="55">
      <x:c r="B55" s="21" t="str">
        <x:v>ACN-A01-C-M01</x:v>
      </x:c>
      <x:c r="C55" s="21" t="str">
        <x:v>ACN-A01-C</x:v>
      </x:c>
      <x:c r="D55" s="21" t="str">
        <x:v>ACN-A01</x:v>
      </x:c>
      <x:c r="E55" s="21" t="str">
        <x:v>M01</x:v>
      </x:c>
      <x:c r="F55" s="21" t="str">
        <x:v>mission learning</x:v>
      </x:c>
      <x:c r="G55" s="35" t="n">
        <x:v>0.25</x:v>
      </x:c>
      <x:c r="H55" s="35" t="n">
        <x:v>94</x:v>
      </x:c>
      <x:c r="I55" s="35" t="n">
        <x:f>G55*H55</x:f>
        <x:v>23.5</x:v>
      </x:c>
      <x:c r="J55" s="23" t="str">
        <x:v>planning review only</x:v>
      </x:c>
    </x:row>
    <x:row r="56">
      <x:c r="B56" s="21" t="str">
        <x:v>ACN-A01-C-M02</x:v>
      </x:c>
      <x:c r="C56" s="21" t="str">
        <x:v>ACN-A01-C</x:v>
      </x:c>
      <x:c r="D56" s="21" t="str">
        <x:v>ACN-A01</x:v>
      </x:c>
      <x:c r="E56" s="21" t="str">
        <x:v>M02</x:v>
      </x:c>
      <x:c r="F56" s="21" t="str">
        <x:v>technical divergence</x:v>
      </x:c>
      <x:c r="G56" s="35" t="n">
        <x:v>0.2</x:v>
      </x:c>
      <x:c r="H56" s="35" t="n">
        <x:v>97</x:v>
      </x:c>
      <x:c r="I56" s="35" t="n">
        <x:f>G56*H56</x:f>
        <x:v>19.400000000000002</x:v>
      </x:c>
      <x:c r="J56" s="23" t="str">
        <x:v>planning review only</x:v>
      </x:c>
    </x:row>
    <x:row r="57">
      <x:c r="B57" s="21" t="str">
        <x:v>ACN-A01-C-M03</x:v>
      </x:c>
      <x:c r="C57" s="21" t="str">
        <x:v>ACN-A01-C</x:v>
      </x:c>
      <x:c r="D57" s="21" t="str">
        <x:v>ACN-A01</x:v>
      </x:c>
      <x:c r="E57" s="21" t="str">
        <x:v>M03</x:v>
      </x:c>
      <x:c r="F57" s="21" t="str">
        <x:v>testability</x:v>
      </x:c>
      <x:c r="G57" s="35" t="n">
        <x:v>0.2</x:v>
      </x:c>
      <x:c r="H57" s="35" t="n">
        <x:v>64</x:v>
      </x:c>
      <x:c r="I57" s="35" t="n">
        <x:f>G57*H57</x:f>
        <x:v>12.8</x:v>
      </x:c>
      <x:c r="J57" s="23" t="str">
        <x:v>planning review only</x:v>
      </x:c>
    </x:row>
    <x:row r="58">
      <x:c r="B58" s="21" t="str">
        <x:v>ACN-A01-C-M04</x:v>
      </x:c>
      <x:c r="C58" s="21" t="str">
        <x:v>ACN-A01-C</x:v>
      </x:c>
      <x:c r="D58" s="21" t="str">
        <x:v>ACN-A01</x:v>
      </x:c>
      <x:c r="E58" s="21" t="str">
        <x:v>M04</x:v>
      </x:c>
      <x:c r="F58" s="21" t="str">
        <x:v>field maintainability</x:v>
      </x:c>
      <x:c r="G58" s="35" t="n">
        <x:v>0.15</x:v>
      </x:c>
      <x:c r="H58" s="35" t="n">
        <x:v>64</x:v>
      </x:c>
      <x:c r="I58" s="35" t="n">
        <x:f>G58*H58</x:f>
        <x:v>9.6</x:v>
      </x:c>
      <x:c r="J58" s="23" t="str">
        <x:v>planning review only</x:v>
      </x:c>
    </x:row>
    <x:row r="59">
      <x:c r="B59" s="21" t="str">
        <x:v>ACN-A01-C-M05</x:v>
      </x:c>
      <x:c r="C59" s="21" t="str">
        <x:v>ACN-A01-C</x:v>
      </x:c>
      <x:c r="D59" s="21" t="str">
        <x:v>ACN-A01</x:v>
      </x:c>
      <x:c r="E59" s="21" t="str">
        <x:v>M05</x:v>
      </x:c>
      <x:c r="F59" s="21" t="str">
        <x:v>manufacturing scale</x:v>
      </x:c>
      <x:c r="G59" s="35" t="n">
        <x:v>0.1</x:v>
      </x:c>
      <x:c r="H59" s="35" t="n">
        <x:v>57</x:v>
      </x:c>
      <x:c r="I59" s="35" t="n">
        <x:f>G59*H59</x:f>
        <x:v>5.7</x:v>
      </x:c>
      <x:c r="J59" s="23" t="str">
        <x:v>planning review only</x:v>
      </x:c>
    </x:row>
    <x:row r="60">
      <x:c r="B60" s="21" t="str">
        <x:v>ACN-A01-C-M06</x:v>
      </x:c>
      <x:c r="C60" s="21" t="str">
        <x:v>ACN-A01-C</x:v>
      </x:c>
      <x:c r="D60" s="21" t="str">
        <x:v>ACN-A01</x:v>
      </x:c>
      <x:c r="E60" s="21" t="str">
        <x:v>M06</x:v>
      </x:c>
      <x:c r="F60" s="21" t="str">
        <x:v>export portability</x:v>
      </x:c>
      <x:c r="G60" s="35" t="n">
        <x:v>0.1</x:v>
      </x:c>
      <x:c r="H60" s="35" t="n">
        <x:v>90</x:v>
      </x:c>
      <x:c r="I60" s="35" t="n">
        <x:f>G60*H60</x:f>
        <x:v>9</x:v>
      </x:c>
      <x:c r="J60" s="23" t="str">
        <x:v>planning review only</x:v>
      </x:c>
    </x:row>
    <x:row r="61">
      <x:c r="B61" s="21" t="str">
        <x:v>TCN-T01-A-M01</x:v>
      </x:c>
      <x:c r="C61" s="21" t="str">
        <x:v>TCN-T01-A</x:v>
      </x:c>
      <x:c r="D61" s="21" t="str">
        <x:v>TCN-T01</x:v>
      </x:c>
      <x:c r="E61" s="21" t="str">
        <x:v>M01</x:v>
      </x:c>
      <x:c r="F61" s="21" t="str">
        <x:v>mission learning</x:v>
      </x:c>
      <x:c r="G61" s="35" t="n">
        <x:v>0.25</x:v>
      </x:c>
      <x:c r="H61" s="35" t="n">
        <x:v>85</x:v>
      </x:c>
      <x:c r="I61" s="35" t="n">
        <x:f>G61*H61</x:f>
        <x:v>21.25</x:v>
      </x:c>
      <x:c r="J61" s="23" t="str">
        <x:v>planning review only</x:v>
      </x:c>
    </x:row>
    <x:row r="62">
      <x:c r="B62" s="21" t="str">
        <x:v>TCN-T01-A-M02</x:v>
      </x:c>
      <x:c r="C62" s="21" t="str">
        <x:v>TCN-T01-A</x:v>
      </x:c>
      <x:c r="D62" s="21" t="str">
        <x:v>TCN-T01</x:v>
      </x:c>
      <x:c r="E62" s="21" t="str">
        <x:v>M02</x:v>
      </x:c>
      <x:c r="F62" s="21" t="str">
        <x:v>technical divergence</x:v>
      </x:c>
      <x:c r="G62" s="35" t="n">
        <x:v>0.2</x:v>
      </x:c>
      <x:c r="H62" s="35" t="n">
        <x:v>84</x:v>
      </x:c>
      <x:c r="I62" s="35" t="n">
        <x:f>G62*H62</x:f>
        <x:v>16.8</x:v>
      </x:c>
      <x:c r="J62" s="23" t="str">
        <x:v>planning review only</x:v>
      </x:c>
    </x:row>
    <x:row r="63">
      <x:c r="B63" s="21" t="str">
        <x:v>TCN-T01-A-M03</x:v>
      </x:c>
      <x:c r="C63" s="21" t="str">
        <x:v>TCN-T01-A</x:v>
      </x:c>
      <x:c r="D63" s="21" t="str">
        <x:v>TCN-T01</x:v>
      </x:c>
      <x:c r="E63" s="21" t="str">
        <x:v>M03</x:v>
      </x:c>
      <x:c r="F63" s="21" t="str">
        <x:v>testability</x:v>
      </x:c>
      <x:c r="G63" s="35" t="n">
        <x:v>0.2</x:v>
      </x:c>
      <x:c r="H63" s="35" t="n">
        <x:v>84</x:v>
      </x:c>
      <x:c r="I63" s="35" t="n">
        <x:f>G63*H63</x:f>
        <x:v>16.8</x:v>
      </x:c>
      <x:c r="J63" s="23" t="str">
        <x:v>planning review only</x:v>
      </x:c>
    </x:row>
    <x:row r="64">
      <x:c r="B64" s="21" t="str">
        <x:v>TCN-T01-A-M04</x:v>
      </x:c>
      <x:c r="C64" s="21" t="str">
        <x:v>TCN-T01-A</x:v>
      </x:c>
      <x:c r="D64" s="21" t="str">
        <x:v>TCN-T01</x:v>
      </x:c>
      <x:c r="E64" s="21" t="str">
        <x:v>M04</x:v>
      </x:c>
      <x:c r="F64" s="21" t="str">
        <x:v>field maintainability</x:v>
      </x:c>
      <x:c r="G64" s="35" t="n">
        <x:v>0.15</x:v>
      </x:c>
      <x:c r="H64" s="35" t="n">
        <x:v>77</x:v>
      </x:c>
      <x:c r="I64" s="35" t="n">
        <x:f>G64*H64</x:f>
        <x:v>11.549999999999999</x:v>
      </x:c>
      <x:c r="J64" s="23" t="str">
        <x:v>planning review only</x:v>
      </x:c>
    </x:row>
    <x:row r="65">
      <x:c r="B65" s="21" t="str">
        <x:v>TCN-T01-A-M05</x:v>
      </x:c>
      <x:c r="C65" s="21" t="str">
        <x:v>TCN-T01-A</x:v>
      </x:c>
      <x:c r="D65" s="21" t="str">
        <x:v>TCN-T01</x:v>
      </x:c>
      <x:c r="E65" s="21" t="str">
        <x:v>M05</x:v>
      </x:c>
      <x:c r="F65" s="21" t="str">
        <x:v>manufacturing scale</x:v>
      </x:c>
      <x:c r="G65" s="35" t="n">
        <x:v>0.1</x:v>
      </x:c>
      <x:c r="H65" s="35" t="n">
        <x:v>76</x:v>
      </x:c>
      <x:c r="I65" s="35" t="n">
        <x:f>G65*H65</x:f>
        <x:v>7.6000000000000005</x:v>
      </x:c>
      <x:c r="J65" s="23" t="str">
        <x:v>planning review only</x:v>
      </x:c>
    </x:row>
    <x:row r="66">
      <x:c r="B66" s="21" t="str">
        <x:v>TCN-T01-A-M06</x:v>
      </x:c>
      <x:c r="C66" s="21" t="str">
        <x:v>TCN-T01-A</x:v>
      </x:c>
      <x:c r="D66" s="21" t="str">
        <x:v>TCN-T01</x:v>
      </x:c>
      <x:c r="E66" s="21" t="str">
        <x:v>M06</x:v>
      </x:c>
      <x:c r="F66" s="21" t="str">
        <x:v>export portability</x:v>
      </x:c>
      <x:c r="G66" s="35" t="n">
        <x:v>0.1</x:v>
      </x:c>
      <x:c r="H66" s="35" t="n">
        <x:v>75</x:v>
      </x:c>
      <x:c r="I66" s="35" t="n">
        <x:f>G66*H66</x:f>
        <x:v>7.5</x:v>
      </x:c>
      <x:c r="J66" s="23" t="str">
        <x:v>planning review only</x:v>
      </x:c>
    </x:row>
    <x:row r="67">
      <x:c r="B67" s="21" t="str">
        <x:v>TCN-T01-B-M01</x:v>
      </x:c>
      <x:c r="C67" s="21" t="str">
        <x:v>TCN-T01-B</x:v>
      </x:c>
      <x:c r="D67" s="21" t="str">
        <x:v>TCN-T01</x:v>
      </x:c>
      <x:c r="E67" s="21" t="str">
        <x:v>M01</x:v>
      </x:c>
      <x:c r="F67" s="21" t="str">
        <x:v>mission learning</x:v>
      </x:c>
      <x:c r="G67" s="35" t="n">
        <x:v>0.25</x:v>
      </x:c>
      <x:c r="H67" s="35" t="n">
        <x:v>83</x:v>
      </x:c>
      <x:c r="I67" s="35" t="n">
        <x:f>G67*H67</x:f>
        <x:v>20.75</x:v>
      </x:c>
      <x:c r="J67" s="23" t="str">
        <x:v>planning review only</x:v>
      </x:c>
    </x:row>
    <x:row r="68">
      <x:c r="B68" s="21" t="str">
        <x:v>TCN-T01-B-M02</x:v>
      </x:c>
      <x:c r="C68" s="21" t="str">
        <x:v>TCN-T01-B</x:v>
      </x:c>
      <x:c r="D68" s="21" t="str">
        <x:v>TCN-T01</x:v>
      </x:c>
      <x:c r="E68" s="21" t="str">
        <x:v>M02</x:v>
      </x:c>
      <x:c r="F68" s="21" t="str">
        <x:v>technical divergence</x:v>
      </x:c>
      <x:c r="G68" s="35" t="n">
        <x:v>0.2</x:v>
      </x:c>
      <x:c r="H68" s="35" t="n">
        <x:v>94</x:v>
      </x:c>
      <x:c r="I68" s="35" t="n">
        <x:f>G68*H68</x:f>
        <x:v>18.8</x:v>
      </x:c>
      <x:c r="J68" s="23" t="str">
        <x:v>planning review only</x:v>
      </x:c>
    </x:row>
    <x:row r="69">
      <x:c r="B69" s="21" t="str">
        <x:v>TCN-T01-B-M03</x:v>
      </x:c>
      <x:c r="C69" s="21" t="str">
        <x:v>TCN-T01-B</x:v>
      </x:c>
      <x:c r="D69" s="21" t="str">
        <x:v>TCN-T01</x:v>
      </x:c>
      <x:c r="E69" s="21" t="str">
        <x:v>M03</x:v>
      </x:c>
      <x:c r="F69" s="21" t="str">
        <x:v>testability</x:v>
      </x:c>
      <x:c r="G69" s="35" t="n">
        <x:v>0.2</x:v>
      </x:c>
      <x:c r="H69" s="35" t="n">
        <x:v>82</x:v>
      </x:c>
      <x:c r="I69" s="35" t="n">
        <x:f>G69*H69</x:f>
        <x:v>16.400000000000002</x:v>
      </x:c>
      <x:c r="J69" s="23" t="str">
        <x:v>planning review only</x:v>
      </x:c>
    </x:row>
    <x:row r="70">
      <x:c r="B70" s="21" t="str">
        <x:v>TCN-T01-B-M04</x:v>
      </x:c>
      <x:c r="C70" s="21" t="str">
        <x:v>TCN-T01-B</x:v>
      </x:c>
      <x:c r="D70" s="21" t="str">
        <x:v>TCN-T01</x:v>
      </x:c>
      <x:c r="E70" s="21" t="str">
        <x:v>M04</x:v>
      </x:c>
      <x:c r="F70" s="21" t="str">
        <x:v>field maintainability</x:v>
      </x:c>
      <x:c r="G70" s="35" t="n">
        <x:v>0.15</x:v>
      </x:c>
      <x:c r="H70" s="35" t="n">
        <x:v>79</x:v>
      </x:c>
      <x:c r="I70" s="35" t="n">
        <x:f>G70*H70</x:f>
        <x:v>11.85</x:v>
      </x:c>
      <x:c r="J70" s="23" t="str">
        <x:v>planning review only</x:v>
      </x:c>
    </x:row>
    <x:row r="71">
      <x:c r="B71" s="21" t="str">
        <x:v>TCN-T01-B-M05</x:v>
      </x:c>
      <x:c r="C71" s="21" t="str">
        <x:v>TCN-T01-B</x:v>
      </x:c>
      <x:c r="D71" s="21" t="str">
        <x:v>TCN-T01</x:v>
      </x:c>
      <x:c r="E71" s="21" t="str">
        <x:v>M05</x:v>
      </x:c>
      <x:c r="F71" s="21" t="str">
        <x:v>manufacturing scale</x:v>
      </x:c>
      <x:c r="G71" s="35" t="n">
        <x:v>0.1</x:v>
      </x:c>
      <x:c r="H71" s="35" t="n">
        <x:v>72</x:v>
      </x:c>
      <x:c r="I71" s="35" t="n">
        <x:f>G71*H71</x:f>
        <x:v>7.2</x:v>
      </x:c>
      <x:c r="J71" s="23" t="str">
        <x:v>planning review only</x:v>
      </x:c>
    </x:row>
    <x:row r="72">
      <x:c r="B72" s="21" t="str">
        <x:v>TCN-T01-B-M06</x:v>
      </x:c>
      <x:c r="C72" s="21" t="str">
        <x:v>TCN-T01-B</x:v>
      </x:c>
      <x:c r="D72" s="21" t="str">
        <x:v>TCN-T01</x:v>
      </x:c>
      <x:c r="E72" s="21" t="str">
        <x:v>M06</x:v>
      </x:c>
      <x:c r="F72" s="21" t="str">
        <x:v>export portability</x:v>
      </x:c>
      <x:c r="G72" s="35" t="n">
        <x:v>0.1</x:v>
      </x:c>
      <x:c r="H72" s="35" t="n">
        <x:v>83</x:v>
      </x:c>
      <x:c r="I72" s="35" t="n">
        <x:f>G72*H72</x:f>
        <x:v>8.3</x:v>
      </x:c>
      <x:c r="J72" s="23" t="str">
        <x:v>planning review only</x:v>
      </x:c>
    </x:row>
    <x:row r="73">
      <x:c r="B73" s="21" t="str">
        <x:v>TCN-T01-C-M01</x:v>
      </x:c>
      <x:c r="C73" s="21" t="str">
        <x:v>TCN-T01-C</x:v>
      </x:c>
      <x:c r="D73" s="21" t="str">
        <x:v>TCN-T01</x:v>
      </x:c>
      <x:c r="E73" s="21" t="str">
        <x:v>M01</x:v>
      </x:c>
      <x:c r="F73" s="21" t="str">
        <x:v>mission learning</x:v>
      </x:c>
      <x:c r="G73" s="35" t="n">
        <x:v>0.25</x:v>
      </x:c>
      <x:c r="H73" s="35" t="n">
        <x:v>95</x:v>
      </x:c>
      <x:c r="I73" s="35" t="n">
        <x:f>G73*H73</x:f>
        <x:v>23.75</x:v>
      </x:c>
      <x:c r="J73" s="23" t="str">
        <x:v>planning review only</x:v>
      </x:c>
    </x:row>
    <x:row r="74">
      <x:c r="B74" s="21" t="str">
        <x:v>TCN-T01-C-M02</x:v>
      </x:c>
      <x:c r="C74" s="21" t="str">
        <x:v>TCN-T01-C</x:v>
      </x:c>
      <x:c r="D74" s="21" t="str">
        <x:v>TCN-T01</x:v>
      </x:c>
      <x:c r="E74" s="21" t="str">
        <x:v>M02</x:v>
      </x:c>
      <x:c r="F74" s="21" t="str">
        <x:v>technical divergence</x:v>
      </x:c>
      <x:c r="G74" s="35" t="n">
        <x:v>0.2</x:v>
      </x:c>
      <x:c r="H74" s="35" t="n">
        <x:v>98</x:v>
      </x:c>
      <x:c r="I74" s="35" t="n">
        <x:f>G74*H74</x:f>
        <x:v>19.6</x:v>
      </x:c>
      <x:c r="J74" s="23" t="str">
        <x:v>planning review only</x:v>
      </x:c>
    </x:row>
    <x:row r="75">
      <x:c r="B75" s="21" t="str">
        <x:v>TCN-T01-C-M03</x:v>
      </x:c>
      <x:c r="C75" s="21" t="str">
        <x:v>TCN-T01-C</x:v>
      </x:c>
      <x:c r="D75" s="21" t="str">
        <x:v>TCN-T01</x:v>
      </x:c>
      <x:c r="E75" s="21" t="str">
        <x:v>M03</x:v>
      </x:c>
      <x:c r="F75" s="21" t="str">
        <x:v>testability</x:v>
      </x:c>
      <x:c r="G75" s="35" t="n">
        <x:v>0.2</x:v>
      </x:c>
      <x:c r="H75" s="35" t="n">
        <x:v>60</x:v>
      </x:c>
      <x:c r="I75" s="35" t="n">
        <x:f>G75*H75</x:f>
        <x:v>12</x:v>
      </x:c>
      <x:c r="J75" s="23" t="str">
        <x:v>planning review only</x:v>
      </x:c>
    </x:row>
    <x:row r="76">
      <x:c r="B76" s="21" t="str">
        <x:v>TCN-T01-C-M04</x:v>
      </x:c>
      <x:c r="C76" s="21" t="str">
        <x:v>TCN-T01-C</x:v>
      </x:c>
      <x:c r="D76" s="21" t="str">
        <x:v>TCN-T01</x:v>
      </x:c>
      <x:c r="E76" s="21" t="str">
        <x:v>M04</x:v>
      </x:c>
      <x:c r="F76" s="21" t="str">
        <x:v>field maintainability</x:v>
      </x:c>
      <x:c r="G76" s="35" t="n">
        <x:v>0.15</x:v>
      </x:c>
      <x:c r="H76" s="35" t="n">
        <x:v>65</x:v>
      </x:c>
      <x:c r="I76" s="35" t="n">
        <x:f>G76*H76</x:f>
        <x:v>9.75</x:v>
      </x:c>
      <x:c r="J76" s="23" t="str">
        <x:v>planning review only</x:v>
      </x:c>
    </x:row>
    <x:row r="77">
      <x:c r="B77" s="21" t="str">
        <x:v>TCN-T01-C-M05</x:v>
      </x:c>
      <x:c r="C77" s="21" t="str">
        <x:v>TCN-T01-C</x:v>
      </x:c>
      <x:c r="D77" s="21" t="str">
        <x:v>TCN-T01</x:v>
      </x:c>
      <x:c r="E77" s="21" t="str">
        <x:v>M05</x:v>
      </x:c>
      <x:c r="F77" s="21" t="str">
        <x:v>manufacturing scale</x:v>
      </x:c>
      <x:c r="G77" s="35" t="n">
        <x:v>0.1</x:v>
      </x:c>
      <x:c r="H77" s="35" t="n">
        <x:v>58</x:v>
      </x:c>
      <x:c r="I77" s="35" t="n">
        <x:f>G77*H77</x:f>
        <x:v>5.800000000000001</x:v>
      </x:c>
      <x:c r="J77" s="23" t="str">
        <x:v>planning review only</x:v>
      </x:c>
    </x:row>
    <x:row r="78">
      <x:c r="B78" s="21" t="str">
        <x:v>TCN-T01-C-M06</x:v>
      </x:c>
      <x:c r="C78" s="21" t="str">
        <x:v>TCN-T01-C</x:v>
      </x:c>
      <x:c r="D78" s="21" t="str">
        <x:v>TCN-T01</x:v>
      </x:c>
      <x:c r="E78" s="21" t="str">
        <x:v>M06</x:v>
      </x:c>
      <x:c r="F78" s="21" t="str">
        <x:v>export portability</x:v>
      </x:c>
      <x:c r="G78" s="35" t="n">
        <x:v>0.1</x:v>
      </x:c>
      <x:c r="H78" s="35" t="n">
        <x:v>91</x:v>
      </x:c>
      <x:c r="I78" s="35" t="n">
        <x:f>G78*H78</x:f>
        <x:v>9.1</x:v>
      </x:c>
      <x:c r="J78" s="23" t="str">
        <x:v>planning review only</x:v>
      </x:c>
    </x:row>
    <x:row r="79">
      <x:c r="B79" s="21" t="str">
        <x:v>CRS-R01-A-M01</x:v>
      </x:c>
      <x:c r="C79" s="21" t="str">
        <x:v>CRS-R01-A</x:v>
      </x:c>
      <x:c r="D79" s="21" t="str">
        <x:v>CRS-R01</x:v>
      </x:c>
      <x:c r="E79" s="21" t="str">
        <x:v>M01</x:v>
      </x:c>
      <x:c r="F79" s="21" t="str">
        <x:v>mission learning</x:v>
      </x:c>
      <x:c r="G79" s="35" t="n">
        <x:v>0.25</x:v>
      </x:c>
      <x:c r="H79" s="35" t="n">
        <x:v>86</x:v>
      </x:c>
      <x:c r="I79" s="35" t="n">
        <x:f>G79*H79</x:f>
        <x:v>21.5</x:v>
      </x:c>
      <x:c r="J79" s="23" t="str">
        <x:v>planning review only</x:v>
      </x:c>
    </x:row>
    <x:row r="80">
      <x:c r="B80" s="21" t="str">
        <x:v>CRS-R01-A-M02</x:v>
      </x:c>
      <x:c r="C80" s="21" t="str">
        <x:v>CRS-R01-A</x:v>
      </x:c>
      <x:c r="D80" s="21" t="str">
        <x:v>CRS-R01</x:v>
      </x:c>
      <x:c r="E80" s="21" t="str">
        <x:v>M02</x:v>
      </x:c>
      <x:c r="F80" s="21" t="str">
        <x:v>technical divergence</x:v>
      </x:c>
      <x:c r="G80" s="35" t="n">
        <x:v>0.2</x:v>
      </x:c>
      <x:c r="H80" s="35" t="n">
        <x:v>80</x:v>
      </x:c>
      <x:c r="I80" s="35" t="n">
        <x:f>G80*H80</x:f>
        <x:v>16</x:v>
      </x:c>
      <x:c r="J80" s="23" t="str">
        <x:v>planning review only</x:v>
      </x:c>
    </x:row>
    <x:row r="81">
      <x:c r="B81" s="21" t="str">
        <x:v>CRS-R01-A-M03</x:v>
      </x:c>
      <x:c r="C81" s="21" t="str">
        <x:v>CRS-R01-A</x:v>
      </x:c>
      <x:c r="D81" s="21" t="str">
        <x:v>CRS-R01</x:v>
      </x:c>
      <x:c r="E81" s="21" t="str">
        <x:v>M03</x:v>
      </x:c>
      <x:c r="F81" s="21" t="str">
        <x:v>testability</x:v>
      </x:c>
      <x:c r="G81" s="35" t="n">
        <x:v>0.2</x:v>
      </x:c>
      <x:c r="H81" s="35" t="n">
        <x:v>85</x:v>
      </x:c>
      <x:c r="I81" s="35" t="n">
        <x:f>G81*H81</x:f>
        <x:v>17</x:v>
      </x:c>
      <x:c r="J81" s="23" t="str">
        <x:v>planning review only</x:v>
      </x:c>
    </x:row>
    <x:row r="82">
      <x:c r="B82" s="21" t="str">
        <x:v>CRS-R01-A-M04</x:v>
      </x:c>
      <x:c r="C82" s="21" t="str">
        <x:v>CRS-R01-A</x:v>
      </x:c>
      <x:c r="D82" s="21" t="str">
        <x:v>CRS-R01</x:v>
      </x:c>
      <x:c r="E82" s="21" t="str">
        <x:v>M04</x:v>
      </x:c>
      <x:c r="F82" s="21" t="str">
        <x:v>field maintainability</x:v>
      </x:c>
      <x:c r="G82" s="35" t="n">
        <x:v>0.15</x:v>
      </x:c>
      <x:c r="H82" s="35" t="n">
        <x:v>78</x:v>
      </x:c>
      <x:c r="I82" s="35" t="n">
        <x:f>G82*H82</x:f>
        <x:v>11.7</x:v>
      </x:c>
      <x:c r="J82" s="23" t="str">
        <x:v>planning review only</x:v>
      </x:c>
    </x:row>
    <x:row r="83">
      <x:c r="B83" s="21" t="str">
        <x:v>CRS-R01-A-M05</x:v>
      </x:c>
      <x:c r="C83" s="21" t="str">
        <x:v>CRS-R01-A</x:v>
      </x:c>
      <x:c r="D83" s="21" t="str">
        <x:v>CRS-R01</x:v>
      </x:c>
      <x:c r="E83" s="21" t="str">
        <x:v>M05</x:v>
      </x:c>
      <x:c r="F83" s="21" t="str">
        <x:v>manufacturing scale</x:v>
      </x:c>
      <x:c r="G83" s="35" t="n">
        <x:v>0.1</x:v>
      </x:c>
      <x:c r="H83" s="35" t="n">
        <x:v>77</x:v>
      </x:c>
      <x:c r="I83" s="35" t="n">
        <x:f>G83*H83</x:f>
        <x:v>7.7</x:v>
      </x:c>
      <x:c r="J83" s="23" t="str">
        <x:v>planning review only</x:v>
      </x:c>
    </x:row>
    <x:row r="84">
      <x:c r="B84" s="21" t="str">
        <x:v>CRS-R01-A-M06</x:v>
      </x:c>
      <x:c r="C84" s="21" t="str">
        <x:v>CRS-R01-A</x:v>
      </x:c>
      <x:c r="D84" s="21" t="str">
        <x:v>CRS-R01</x:v>
      </x:c>
      <x:c r="E84" s="21" t="str">
        <x:v>M06</x:v>
      </x:c>
      <x:c r="F84" s="21" t="str">
        <x:v>export portability</x:v>
      </x:c>
      <x:c r="G84" s="35" t="n">
        <x:v>0.1</x:v>
      </x:c>
      <x:c r="H84" s="35" t="n">
        <x:v>76</x:v>
      </x:c>
      <x:c r="I84" s="35" t="n">
        <x:f>G84*H84</x:f>
        <x:v>7.6000000000000005</x:v>
      </x:c>
      <x:c r="J84" s="23" t="str">
        <x:v>planning review only</x:v>
      </x:c>
    </x:row>
    <x:row r="85">
      <x:c r="B85" s="21" t="str">
        <x:v>CRS-R01-B-M01</x:v>
      </x:c>
      <x:c r="C85" s="21" t="str">
        <x:v>CRS-R01-B</x:v>
      </x:c>
      <x:c r="D85" s="21" t="str">
        <x:v>CRS-R01</x:v>
      </x:c>
      <x:c r="E85" s="21" t="str">
        <x:v>M01</x:v>
      </x:c>
      <x:c r="F85" s="21" t="str">
        <x:v>mission learning</x:v>
      </x:c>
      <x:c r="G85" s="35" t="n">
        <x:v>0.25</x:v>
      </x:c>
      <x:c r="H85" s="35" t="n">
        <x:v>84</x:v>
      </x:c>
      <x:c r="I85" s="35" t="n">
        <x:f>G85*H85</x:f>
        <x:v>21</x:v>
      </x:c>
      <x:c r="J85" s="23" t="str">
        <x:v>planning review only</x:v>
      </x:c>
    </x:row>
    <x:row r="86">
      <x:c r="B86" s="21" t="str">
        <x:v>CRS-R01-B-M02</x:v>
      </x:c>
      <x:c r="C86" s="21" t="str">
        <x:v>CRS-R01-B</x:v>
      </x:c>
      <x:c r="D86" s="21" t="str">
        <x:v>CRS-R01</x:v>
      </x:c>
      <x:c r="E86" s="21" t="str">
        <x:v>M02</x:v>
      </x:c>
      <x:c r="F86" s="21" t="str">
        <x:v>technical divergence</x:v>
      </x:c>
      <x:c r="G86" s="35" t="n">
        <x:v>0.2</x:v>
      </x:c>
      <x:c r="H86" s="35" t="n">
        <x:v>90</x:v>
      </x:c>
      <x:c r="I86" s="35" t="n">
        <x:f>G86*H86</x:f>
        <x:v>18</x:v>
      </x:c>
      <x:c r="J86" s="23" t="str">
        <x:v>planning review only</x:v>
      </x:c>
    </x:row>
    <x:row r="87">
      <x:c r="B87" s="21" t="str">
        <x:v>CRS-R01-B-M03</x:v>
      </x:c>
      <x:c r="C87" s="21" t="str">
        <x:v>CRS-R01-B</x:v>
      </x:c>
      <x:c r="D87" s="21" t="str">
        <x:v>CRS-R01</x:v>
      </x:c>
      <x:c r="E87" s="21" t="str">
        <x:v>M03</x:v>
      </x:c>
      <x:c r="F87" s="21" t="str">
        <x:v>testability</x:v>
      </x:c>
      <x:c r="G87" s="35" t="n">
        <x:v>0.2</x:v>
      </x:c>
      <x:c r="H87" s="35" t="n">
        <x:v>83</x:v>
      </x:c>
      <x:c r="I87" s="35" t="n">
        <x:f>G87*H87</x:f>
        <x:v>16.6</x:v>
      </x:c>
      <x:c r="J87" s="23" t="str">
        <x:v>planning review only</x:v>
      </x:c>
    </x:row>
    <x:row r="88">
      <x:c r="B88" s="21" t="str">
        <x:v>CRS-R01-B-M04</x:v>
      </x:c>
      <x:c r="C88" s="21" t="str">
        <x:v>CRS-R01-B</x:v>
      </x:c>
      <x:c r="D88" s="21" t="str">
        <x:v>CRS-R01</x:v>
      </x:c>
      <x:c r="E88" s="21" t="str">
        <x:v>M04</x:v>
      </x:c>
      <x:c r="F88" s="21" t="str">
        <x:v>field maintainability</x:v>
      </x:c>
      <x:c r="G88" s="35" t="n">
        <x:v>0.15</x:v>
      </x:c>
      <x:c r="H88" s="35" t="n">
        <x:v>80</x:v>
      </x:c>
      <x:c r="I88" s="35" t="n">
        <x:f>G88*H88</x:f>
        <x:v>12</x:v>
      </x:c>
      <x:c r="J88" s="23" t="str">
        <x:v>planning review only</x:v>
      </x:c>
    </x:row>
    <x:row r="89">
      <x:c r="B89" s="21" t="str">
        <x:v>CRS-R01-B-M05</x:v>
      </x:c>
      <x:c r="C89" s="21" t="str">
        <x:v>CRS-R01-B</x:v>
      </x:c>
      <x:c r="D89" s="21" t="str">
        <x:v>CRS-R01</x:v>
      </x:c>
      <x:c r="E89" s="21" t="str">
        <x:v>M05</x:v>
      </x:c>
      <x:c r="F89" s="21" t="str">
        <x:v>manufacturing scale</x:v>
      </x:c>
      <x:c r="G89" s="35" t="n">
        <x:v>0.1</x:v>
      </x:c>
      <x:c r="H89" s="35" t="n">
        <x:v>73</x:v>
      </x:c>
      <x:c r="I89" s="35" t="n">
        <x:f>G89*H89</x:f>
        <x:v>7.300000000000001</x:v>
      </x:c>
      <x:c r="J89" s="23" t="str">
        <x:v>planning review only</x:v>
      </x:c>
    </x:row>
    <x:row r="90">
      <x:c r="B90" s="21" t="str">
        <x:v>CRS-R01-B-M06</x:v>
      </x:c>
      <x:c r="C90" s="21" t="str">
        <x:v>CRS-R01-B</x:v>
      </x:c>
      <x:c r="D90" s="21" t="str">
        <x:v>CRS-R01</x:v>
      </x:c>
      <x:c r="E90" s="21" t="str">
        <x:v>M06</x:v>
      </x:c>
      <x:c r="F90" s="21" t="str">
        <x:v>export portability</x:v>
      </x:c>
      <x:c r="G90" s="35" t="n">
        <x:v>0.1</x:v>
      </x:c>
      <x:c r="H90" s="35" t="n">
        <x:v>84</x:v>
      </x:c>
      <x:c r="I90" s="35" t="n">
        <x:f>G90*H90</x:f>
        <x:v>8.4</x:v>
      </x:c>
      <x:c r="J90" s="23" t="str">
        <x:v>planning review only</x:v>
      </x:c>
    </x:row>
    <x:row r="91">
      <x:c r="B91" s="21" t="str">
        <x:v>CRS-R01-C-M01</x:v>
      </x:c>
      <x:c r="C91" s="21" t="str">
        <x:v>CRS-R01-C</x:v>
      </x:c>
      <x:c r="D91" s="21" t="str">
        <x:v>CRS-R01</x:v>
      </x:c>
      <x:c r="E91" s="21" t="str">
        <x:v>M01</x:v>
      </x:c>
      <x:c r="F91" s="21" t="str">
        <x:v>mission learning</x:v>
      </x:c>
      <x:c r="G91" s="35" t="n">
        <x:v>0.25</x:v>
      </x:c>
      <x:c r="H91" s="35" t="n">
        <x:v>96</x:v>
      </x:c>
      <x:c r="I91" s="35" t="n">
        <x:f>G91*H91</x:f>
        <x:v>24</x:v>
      </x:c>
      <x:c r="J91" s="23" t="str">
        <x:v>planning review only</x:v>
      </x:c>
    </x:row>
    <x:row r="92">
      <x:c r="B92" s="21" t="str">
        <x:v>CRS-R01-C-M02</x:v>
      </x:c>
      <x:c r="C92" s="21" t="str">
        <x:v>CRS-R01-C</x:v>
      </x:c>
      <x:c r="D92" s="21" t="str">
        <x:v>CRS-R01</x:v>
      </x:c>
      <x:c r="E92" s="21" t="str">
        <x:v>M02</x:v>
      </x:c>
      <x:c r="F92" s="21" t="str">
        <x:v>technical divergence</x:v>
      </x:c>
      <x:c r="G92" s="35" t="n">
        <x:v>0.2</x:v>
      </x:c>
      <x:c r="H92" s="35" t="n">
        <x:v>94</x:v>
      </x:c>
      <x:c r="I92" s="35" t="n">
        <x:f>G92*H92</x:f>
        <x:v>18.8</x:v>
      </x:c>
      <x:c r="J92" s="23" t="str">
        <x:v>planning review only</x:v>
      </x:c>
    </x:row>
    <x:row r="93">
      <x:c r="B93" s="21" t="str">
        <x:v>CRS-R01-C-M03</x:v>
      </x:c>
      <x:c r="C93" s="21" t="str">
        <x:v>CRS-R01-C</x:v>
      </x:c>
      <x:c r="D93" s="21" t="str">
        <x:v>CRS-R01</x:v>
      </x:c>
      <x:c r="E93" s="21" t="str">
        <x:v>M03</x:v>
      </x:c>
      <x:c r="F93" s="21" t="str">
        <x:v>testability</x:v>
      </x:c>
      <x:c r="G93" s="35" t="n">
        <x:v>0.2</x:v>
      </x:c>
      <x:c r="H93" s="35" t="n">
        <x:v>61</x:v>
      </x:c>
      <x:c r="I93" s="35" t="n">
        <x:f>G93*H93</x:f>
        <x:v>12.200000000000001</x:v>
      </x:c>
      <x:c r="J93" s="23" t="str">
        <x:v>planning review only</x:v>
      </x:c>
    </x:row>
    <x:row r="94">
      <x:c r="B94" s="21" t="str">
        <x:v>CRS-R01-C-M04</x:v>
      </x:c>
      <x:c r="C94" s="21" t="str">
        <x:v>CRS-R01-C</x:v>
      </x:c>
      <x:c r="D94" s="21" t="str">
        <x:v>CRS-R01</x:v>
      </x:c>
      <x:c r="E94" s="21" t="str">
        <x:v>M04</x:v>
      </x:c>
      <x:c r="F94" s="21" t="str">
        <x:v>field maintainability</x:v>
      </x:c>
      <x:c r="G94" s="35" t="n">
        <x:v>0.15</x:v>
      </x:c>
      <x:c r="H94" s="35" t="n">
        <x:v>66</x:v>
      </x:c>
      <x:c r="I94" s="35" t="n">
        <x:f>G94*H94</x:f>
        <x:v>9.9</x:v>
      </x:c>
      <x:c r="J94" s="23" t="str">
        <x:v>planning review only</x:v>
      </x:c>
    </x:row>
    <x:row r="95">
      <x:c r="B95" s="21" t="str">
        <x:v>CRS-R01-C-M05</x:v>
      </x:c>
      <x:c r="C95" s="21" t="str">
        <x:v>CRS-R01-C</x:v>
      </x:c>
      <x:c r="D95" s="21" t="str">
        <x:v>CRS-R01</x:v>
      </x:c>
      <x:c r="E95" s="21" t="str">
        <x:v>M05</x:v>
      </x:c>
      <x:c r="F95" s="21" t="str">
        <x:v>manufacturing scale</x:v>
      </x:c>
      <x:c r="G95" s="35" t="n">
        <x:v>0.1</x:v>
      </x:c>
      <x:c r="H95" s="35" t="n">
        <x:v>59</x:v>
      </x:c>
      <x:c r="I95" s="35" t="n">
        <x:f>G95*H95</x:f>
        <x:v>5.9</x:v>
      </x:c>
      <x:c r="J95" s="23" t="str">
        <x:v>planning review only</x:v>
      </x:c>
    </x:row>
    <x:row r="96">
      <x:c r="B96" s="21" t="str">
        <x:v>CRS-R01-C-M06</x:v>
      </x:c>
      <x:c r="C96" s="21" t="str">
        <x:v>CRS-R01-C</x:v>
      </x:c>
      <x:c r="D96" s="21" t="str">
        <x:v>CRS-R01</x:v>
      </x:c>
      <x:c r="E96" s="21" t="str">
        <x:v>M06</x:v>
      </x:c>
      <x:c r="F96" s="21" t="str">
        <x:v>export portability</x:v>
      </x:c>
      <x:c r="G96" s="35" t="n">
        <x:v>0.1</x:v>
      </x:c>
      <x:c r="H96" s="35" t="n">
        <x:v>92</x:v>
      </x:c>
      <x:c r="I96" s="35" t="n">
        <x:f>G96*H96</x:f>
        <x:v>9.200000000000001</x:v>
      </x:c>
      <x:c r="J96" s="23" t="str">
        <x:v>planning review only</x:v>
      </x:c>
    </x:row>
    <x:row r="97">
      <x:c r="B97" s="21" t="str">
        <x:v>PSS-T01-A-M01</x:v>
      </x:c>
      <x:c r="C97" s="21" t="str">
        <x:v>PSS-T01-A</x:v>
      </x:c>
      <x:c r="D97" s="21" t="str">
        <x:v>PSS-T01</x:v>
      </x:c>
      <x:c r="E97" s="21" t="str">
        <x:v>M01</x:v>
      </x:c>
      <x:c r="F97" s="21" t="str">
        <x:v>mission learning</x:v>
      </x:c>
      <x:c r="G97" s="35" t="n">
        <x:v>0.25</x:v>
      </x:c>
      <x:c r="H97" s="35" t="n">
        <x:v>82</x:v>
      </x:c>
      <x:c r="I97" s="35" t="n">
        <x:f>G97*H97</x:f>
        <x:v>20.5</x:v>
      </x:c>
      <x:c r="J97" s="23" t="str">
        <x:v>planning review only</x:v>
      </x:c>
    </x:row>
    <x:row r="98">
      <x:c r="B98" s="21" t="str">
        <x:v>PSS-T01-A-M02</x:v>
      </x:c>
      <x:c r="C98" s="21" t="str">
        <x:v>PSS-T01-A</x:v>
      </x:c>
      <x:c r="D98" s="21" t="str">
        <x:v>PSS-T01</x:v>
      </x:c>
      <x:c r="E98" s="21" t="str">
        <x:v>M02</x:v>
      </x:c>
      <x:c r="F98" s="21" t="str">
        <x:v>technical divergence</x:v>
      </x:c>
      <x:c r="G98" s="35" t="n">
        <x:v>0.2</x:v>
      </x:c>
      <x:c r="H98" s="35" t="n">
        <x:v>81</x:v>
      </x:c>
      <x:c r="I98" s="35" t="n">
        <x:f>G98*H98</x:f>
        <x:v>16.2</x:v>
      </x:c>
      <x:c r="J98" s="23" t="str">
        <x:v>planning review only</x:v>
      </x:c>
    </x:row>
    <x:row r="99">
      <x:c r="B99" s="21" t="str">
        <x:v>PSS-T01-A-M03</x:v>
      </x:c>
      <x:c r="C99" s="21" t="str">
        <x:v>PSS-T01-A</x:v>
      </x:c>
      <x:c r="D99" s="21" t="str">
        <x:v>PSS-T01</x:v>
      </x:c>
      <x:c r="E99" s="21" t="str">
        <x:v>M03</x:v>
      </x:c>
      <x:c r="F99" s="21" t="str">
        <x:v>testability</x:v>
      </x:c>
      <x:c r="G99" s="35" t="n">
        <x:v>0.2</x:v>
      </x:c>
      <x:c r="H99" s="35" t="n">
        <x:v>86</x:v>
      </x:c>
      <x:c r="I99" s="35" t="n">
        <x:f>G99*H99</x:f>
        <x:v>17.2</x:v>
      </x:c>
      <x:c r="J99" s="23" t="str">
        <x:v>planning review only</x:v>
      </x:c>
    </x:row>
    <x:row r="100">
      <x:c r="B100" s="21" t="str">
        <x:v>PSS-T01-A-M04</x:v>
      </x:c>
      <x:c r="C100" s="21" t="str">
        <x:v>PSS-T01-A</x:v>
      </x:c>
      <x:c r="D100" s="21" t="str">
        <x:v>PSS-T01</x:v>
      </x:c>
      <x:c r="E100" s="21" t="str">
        <x:v>M04</x:v>
      </x:c>
      <x:c r="F100" s="21" t="str">
        <x:v>field maintainability</x:v>
      </x:c>
      <x:c r="G100" s="35" t="n">
        <x:v>0.15</x:v>
      </x:c>
      <x:c r="H100" s="35" t="n">
        <x:v>79</x:v>
      </x:c>
      <x:c r="I100" s="35" t="n">
        <x:f>G100*H100</x:f>
        <x:v>11.85</x:v>
      </x:c>
      <x:c r="J100" s="23" t="str">
        <x:v>planning review only</x:v>
      </x:c>
    </x:row>
    <x:row r="101">
      <x:c r="B101" s="21" t="str">
        <x:v>PSS-T01-A-M05</x:v>
      </x:c>
      <x:c r="C101" s="21" t="str">
        <x:v>PSS-T01-A</x:v>
      </x:c>
      <x:c r="D101" s="21" t="str">
        <x:v>PSS-T01</x:v>
      </x:c>
      <x:c r="E101" s="21" t="str">
        <x:v>M05</x:v>
      </x:c>
      <x:c r="F101" s="21" t="str">
        <x:v>manufacturing scale</x:v>
      </x:c>
      <x:c r="G101" s="35" t="n">
        <x:v>0.1</x:v>
      </x:c>
      <x:c r="H101" s="35" t="n">
        <x:v>78</x:v>
      </x:c>
      <x:c r="I101" s="35" t="n">
        <x:f>G101*H101</x:f>
        <x:v>7.800000000000001</x:v>
      </x:c>
      <x:c r="J101" s="23" t="str">
        <x:v>planning review only</x:v>
      </x:c>
    </x:row>
    <x:row r="102">
      <x:c r="B102" s="21" t="str">
        <x:v>PSS-T01-A-M06</x:v>
      </x:c>
      <x:c r="C102" s="21" t="str">
        <x:v>PSS-T01-A</x:v>
      </x:c>
      <x:c r="D102" s="21" t="str">
        <x:v>PSS-T01</x:v>
      </x:c>
      <x:c r="E102" s="21" t="str">
        <x:v>M06</x:v>
      </x:c>
      <x:c r="F102" s="21" t="str">
        <x:v>export portability</x:v>
      </x:c>
      <x:c r="G102" s="35" t="n">
        <x:v>0.1</x:v>
      </x:c>
      <x:c r="H102" s="35" t="n">
        <x:v>72</x:v>
      </x:c>
      <x:c r="I102" s="35" t="n">
        <x:f>G102*H102</x:f>
        <x:v>7.2</x:v>
      </x:c>
      <x:c r="J102" s="23" t="str">
        <x:v>planning review only</x:v>
      </x:c>
    </x:row>
    <x:row r="103">
      <x:c r="B103" s="21" t="str">
        <x:v>PSS-T01-B-M01</x:v>
      </x:c>
      <x:c r="C103" s="21" t="str">
        <x:v>PSS-T01-B</x:v>
      </x:c>
      <x:c r="D103" s="21" t="str">
        <x:v>PSS-T01</x:v>
      </x:c>
      <x:c r="E103" s="21" t="str">
        <x:v>M01</x:v>
      </x:c>
      <x:c r="F103" s="21" t="str">
        <x:v>mission learning</x:v>
      </x:c>
      <x:c r="G103" s="35" t="n">
        <x:v>0.25</x:v>
      </x:c>
      <x:c r="H103" s="35" t="n">
        <x:v>80</x:v>
      </x:c>
      <x:c r="I103" s="35" t="n">
        <x:f>G103*H103</x:f>
        <x:v>20</x:v>
      </x:c>
      <x:c r="J103" s="23" t="str">
        <x:v>planning review only</x:v>
      </x:c>
    </x:row>
    <x:row r="104">
      <x:c r="B104" s="21" t="str">
        <x:v>PSS-T01-B-M02</x:v>
      </x:c>
      <x:c r="C104" s="21" t="str">
        <x:v>PSS-T01-B</x:v>
      </x:c>
      <x:c r="D104" s="21" t="str">
        <x:v>PSS-T01</x:v>
      </x:c>
      <x:c r="E104" s="21" t="str">
        <x:v>M02</x:v>
      </x:c>
      <x:c r="F104" s="21" t="str">
        <x:v>technical divergence</x:v>
      </x:c>
      <x:c r="G104" s="35" t="n">
        <x:v>0.2</x:v>
      </x:c>
      <x:c r="H104" s="35" t="n">
        <x:v>91</x:v>
      </x:c>
      <x:c r="I104" s="35" t="n">
        <x:f>G104*H104</x:f>
        <x:v>18.2</x:v>
      </x:c>
      <x:c r="J104" s="23" t="str">
        <x:v>planning review only</x:v>
      </x:c>
    </x:row>
    <x:row r="105">
      <x:c r="B105" s="21" t="str">
        <x:v>PSS-T01-B-M03</x:v>
      </x:c>
      <x:c r="C105" s="21" t="str">
        <x:v>PSS-T01-B</x:v>
      </x:c>
      <x:c r="D105" s="21" t="str">
        <x:v>PSS-T01</x:v>
      </x:c>
      <x:c r="E105" s="21" t="str">
        <x:v>M03</x:v>
      </x:c>
      <x:c r="F105" s="21" t="str">
        <x:v>testability</x:v>
      </x:c>
      <x:c r="G105" s="35" t="n">
        <x:v>0.2</x:v>
      </x:c>
      <x:c r="H105" s="35" t="n">
        <x:v>84</x:v>
      </x:c>
      <x:c r="I105" s="35" t="n">
        <x:f>G105*H105</x:f>
        <x:v>16.8</x:v>
      </x:c>
      <x:c r="J105" s="23" t="str">
        <x:v>planning review only</x:v>
      </x:c>
    </x:row>
    <x:row r="106">
      <x:c r="B106" s="21" t="str">
        <x:v>PSS-T01-B-M04</x:v>
      </x:c>
      <x:c r="C106" s="21" t="str">
        <x:v>PSS-T01-B</x:v>
      </x:c>
      <x:c r="D106" s="21" t="str">
        <x:v>PSS-T01</x:v>
      </x:c>
      <x:c r="E106" s="21" t="str">
        <x:v>M04</x:v>
      </x:c>
      <x:c r="F106" s="21" t="str">
        <x:v>field maintainability</x:v>
      </x:c>
      <x:c r="G106" s="35" t="n">
        <x:v>0.15</x:v>
      </x:c>
      <x:c r="H106" s="35" t="n">
        <x:v>81</x:v>
      </x:c>
      <x:c r="I106" s="35" t="n">
        <x:f>G106*H106</x:f>
        <x:v>12.15</x:v>
      </x:c>
      <x:c r="J106" s="23" t="str">
        <x:v>planning review only</x:v>
      </x:c>
    </x:row>
    <x:row r="107">
      <x:c r="B107" s="21" t="str">
        <x:v>PSS-T01-B-M05</x:v>
      </x:c>
      <x:c r="C107" s="21" t="str">
        <x:v>PSS-T01-B</x:v>
      </x:c>
      <x:c r="D107" s="21" t="str">
        <x:v>PSS-T01</x:v>
      </x:c>
      <x:c r="E107" s="21" t="str">
        <x:v>M05</x:v>
      </x:c>
      <x:c r="F107" s="21" t="str">
        <x:v>manufacturing scale</x:v>
      </x:c>
      <x:c r="G107" s="35" t="n">
        <x:v>0.1</x:v>
      </x:c>
      <x:c r="H107" s="35" t="n">
        <x:v>74</x:v>
      </x:c>
      <x:c r="I107" s="35" t="n">
        <x:f>G107*H107</x:f>
        <x:v>7.4</x:v>
      </x:c>
      <x:c r="J107" s="23" t="str">
        <x:v>planning review only</x:v>
      </x:c>
    </x:row>
    <x:row r="108">
      <x:c r="B108" s="21" t="str">
        <x:v>PSS-T01-B-M06</x:v>
      </x:c>
      <x:c r="C108" s="21" t="str">
        <x:v>PSS-T01-B</x:v>
      </x:c>
      <x:c r="D108" s="21" t="str">
        <x:v>PSS-T01</x:v>
      </x:c>
      <x:c r="E108" s="21" t="str">
        <x:v>M06</x:v>
      </x:c>
      <x:c r="F108" s="21" t="str">
        <x:v>export portability</x:v>
      </x:c>
      <x:c r="G108" s="35" t="n">
        <x:v>0.1</x:v>
      </x:c>
      <x:c r="H108" s="35" t="n">
        <x:v>80</x:v>
      </x:c>
      <x:c r="I108" s="35" t="n">
        <x:f>G108*H108</x:f>
        <x:v>8</x:v>
      </x:c>
      <x:c r="J108" s="23" t="str">
        <x:v>planning review only</x:v>
      </x:c>
    </x:row>
    <x:row r="109">
      <x:c r="B109" s="21" t="str">
        <x:v>PSS-T01-C-M01</x:v>
      </x:c>
      <x:c r="C109" s="21" t="str">
        <x:v>PSS-T01-C</x:v>
      </x:c>
      <x:c r="D109" s="21" t="str">
        <x:v>PSS-T01</x:v>
      </x:c>
      <x:c r="E109" s="21" t="str">
        <x:v>M01</x:v>
      </x:c>
      <x:c r="F109" s="21" t="str">
        <x:v>mission learning</x:v>
      </x:c>
      <x:c r="G109" s="35" t="n">
        <x:v>0.25</x:v>
      </x:c>
      <x:c r="H109" s="35" t="n">
        <x:v>92</x:v>
      </x:c>
      <x:c r="I109" s="35" t="n">
        <x:f>G109*H109</x:f>
        <x:v>23</x:v>
      </x:c>
      <x:c r="J109" s="23" t="str">
        <x:v>planning review only</x:v>
      </x:c>
    </x:row>
    <x:row r="110">
      <x:c r="B110" s="21" t="str">
        <x:v>PSS-T01-C-M02</x:v>
      </x:c>
      <x:c r="C110" s="21" t="str">
        <x:v>PSS-T01-C</x:v>
      </x:c>
      <x:c r="D110" s="21" t="str">
        <x:v>PSS-T01</x:v>
      </x:c>
      <x:c r="E110" s="21" t="str">
        <x:v>M02</x:v>
      </x:c>
      <x:c r="F110" s="21" t="str">
        <x:v>technical divergence</x:v>
      </x:c>
      <x:c r="G110" s="35" t="n">
        <x:v>0.2</x:v>
      </x:c>
      <x:c r="H110" s="35" t="n">
        <x:v>95</x:v>
      </x:c>
      <x:c r="I110" s="35" t="n">
        <x:f>G110*H110</x:f>
        <x:v>19</x:v>
      </x:c>
      <x:c r="J110" s="23" t="str">
        <x:v>planning review only</x:v>
      </x:c>
    </x:row>
    <x:row r="111">
      <x:c r="B111" s="21" t="str">
        <x:v>PSS-T01-C-M03</x:v>
      </x:c>
      <x:c r="C111" s="21" t="str">
        <x:v>PSS-T01-C</x:v>
      </x:c>
      <x:c r="D111" s="21" t="str">
        <x:v>PSS-T01</x:v>
      </x:c>
      <x:c r="E111" s="21" t="str">
        <x:v>M03</x:v>
      </x:c>
      <x:c r="F111" s="21" t="str">
        <x:v>testability</x:v>
      </x:c>
      <x:c r="G111" s="35" t="n">
        <x:v>0.2</x:v>
      </x:c>
      <x:c r="H111" s="35" t="n">
        <x:v>62</x:v>
      </x:c>
      <x:c r="I111" s="35" t="n">
        <x:f>G111*H111</x:f>
        <x:v>12.4</x:v>
      </x:c>
      <x:c r="J111" s="23" t="str">
        <x:v>planning review only</x:v>
      </x:c>
    </x:row>
    <x:row r="112">
      <x:c r="B112" s="21" t="str">
        <x:v>PSS-T01-C-M04</x:v>
      </x:c>
      <x:c r="C112" s="21" t="str">
        <x:v>PSS-T01-C</x:v>
      </x:c>
      <x:c r="D112" s="21" t="str">
        <x:v>PSS-T01</x:v>
      </x:c>
      <x:c r="E112" s="21" t="str">
        <x:v>M04</x:v>
      </x:c>
      <x:c r="F112" s="21" t="str">
        <x:v>field maintainability</x:v>
      </x:c>
      <x:c r="G112" s="35" t="n">
        <x:v>0.15</x:v>
      </x:c>
      <x:c r="H112" s="35" t="n">
        <x:v>67</x:v>
      </x:c>
      <x:c r="I112" s="35" t="n">
        <x:f>G112*H112</x:f>
        <x:v>10.049999999999999</x:v>
      </x:c>
      <x:c r="J112" s="23" t="str">
        <x:v>planning review only</x:v>
      </x:c>
    </x:row>
    <x:row r="113">
      <x:c r="B113" s="21" t="str">
        <x:v>PSS-T01-C-M05</x:v>
      </x:c>
      <x:c r="C113" s="21" t="str">
        <x:v>PSS-T01-C</x:v>
      </x:c>
      <x:c r="D113" s="21" t="str">
        <x:v>PSS-T01</x:v>
      </x:c>
      <x:c r="E113" s="21" t="str">
        <x:v>M05</x:v>
      </x:c>
      <x:c r="F113" s="21" t="str">
        <x:v>manufacturing scale</x:v>
      </x:c>
      <x:c r="G113" s="35" t="n">
        <x:v>0.1</x:v>
      </x:c>
      <x:c r="H113" s="35" t="n">
        <x:v>60</x:v>
      </x:c>
      <x:c r="I113" s="35" t="n">
        <x:f>G113*H113</x:f>
        <x:v>6</x:v>
      </x:c>
      <x:c r="J113" s="23" t="str">
        <x:v>planning review only</x:v>
      </x:c>
    </x:row>
    <x:row r="114">
      <x:c r="B114" s="21" t="str">
        <x:v>PSS-T01-C-M06</x:v>
      </x:c>
      <x:c r="C114" s="21" t="str">
        <x:v>PSS-T01-C</x:v>
      </x:c>
      <x:c r="D114" s="21" t="str">
        <x:v>PSS-T01</x:v>
      </x:c>
      <x:c r="E114" s="21" t="str">
        <x:v>M06</x:v>
      </x:c>
      <x:c r="F114" s="21" t="str">
        <x:v>export portability</x:v>
      </x:c>
      <x:c r="G114" s="35" t="n">
        <x:v>0.1</x:v>
      </x:c>
      <x:c r="H114" s="35" t="n">
        <x:v>88</x:v>
      </x:c>
      <x:c r="I114" s="35" t="n">
        <x:f>G114*H114</x:f>
        <x:v>8.8</x:v>
      </x:c>
      <x:c r="J114" s="23" t="str">
        <x:v>planning review only</x:v>
      </x:c>
    </x:row>
    <x:row r="115">
      <x:c r="B115" s="21" t="str">
        <x:v>PIF-I01-A-M01</x:v>
      </x:c>
      <x:c r="C115" s="21" t="str">
        <x:v>PIF-I01-A</x:v>
      </x:c>
      <x:c r="D115" s="21" t="str">
        <x:v>PIF-I01</x:v>
      </x:c>
      <x:c r="E115" s="21" t="str">
        <x:v>M01</x:v>
      </x:c>
      <x:c r="F115" s="21" t="str">
        <x:v>mission learning</x:v>
      </x:c>
      <x:c r="G115" s="35" t="n">
        <x:v>0.25</x:v>
      </x:c>
      <x:c r="H115" s="35" t="n">
        <x:v>83</x:v>
      </x:c>
      <x:c r="I115" s="35" t="n">
        <x:f>G115*H115</x:f>
        <x:v>20.75</x:v>
      </x:c>
      <x:c r="J115" s="23" t="str">
        <x:v>planning review only</x:v>
      </x:c>
    </x:row>
    <x:row r="116">
      <x:c r="B116" s="21" t="str">
        <x:v>PIF-I01-A-M02</x:v>
      </x:c>
      <x:c r="C116" s="21" t="str">
        <x:v>PIF-I01-A</x:v>
      </x:c>
      <x:c r="D116" s="21" t="str">
        <x:v>PIF-I01</x:v>
      </x:c>
      <x:c r="E116" s="21" t="str">
        <x:v>M02</x:v>
      </x:c>
      <x:c r="F116" s="21" t="str">
        <x:v>technical divergence</x:v>
      </x:c>
      <x:c r="G116" s="35" t="n">
        <x:v>0.2</x:v>
      </x:c>
      <x:c r="H116" s="35" t="n">
        <x:v>82</x:v>
      </x:c>
      <x:c r="I116" s="35" t="n">
        <x:f>G116*H116</x:f>
        <x:v>16.400000000000002</x:v>
      </x:c>
      <x:c r="J116" s="23" t="str">
        <x:v>planning review only</x:v>
      </x:c>
    </x:row>
    <x:row r="117">
      <x:c r="B117" s="21" t="str">
        <x:v>PIF-I01-A-M03</x:v>
      </x:c>
      <x:c r="C117" s="21" t="str">
        <x:v>PIF-I01-A</x:v>
      </x:c>
      <x:c r="D117" s="21" t="str">
        <x:v>PIF-I01</x:v>
      </x:c>
      <x:c r="E117" s="21" t="str">
        <x:v>M03</x:v>
      </x:c>
      <x:c r="F117" s="21" t="str">
        <x:v>testability</x:v>
      </x:c>
      <x:c r="G117" s="35" t="n">
        <x:v>0.2</x:v>
      </x:c>
      <x:c r="H117" s="35" t="n">
        <x:v>87</x:v>
      </x:c>
      <x:c r="I117" s="35" t="n">
        <x:f>G117*H117</x:f>
        <x:v>17.400000000000002</x:v>
      </x:c>
      <x:c r="J117" s="23" t="str">
        <x:v>planning review only</x:v>
      </x:c>
    </x:row>
    <x:row r="118">
      <x:c r="B118" s="21" t="str">
        <x:v>PIF-I01-A-M04</x:v>
      </x:c>
      <x:c r="C118" s="21" t="str">
        <x:v>PIF-I01-A</x:v>
      </x:c>
      <x:c r="D118" s="21" t="str">
        <x:v>PIF-I01</x:v>
      </x:c>
      <x:c r="E118" s="21" t="str">
        <x:v>M04</x:v>
      </x:c>
      <x:c r="F118" s="21" t="str">
        <x:v>field maintainability</x:v>
      </x:c>
      <x:c r="G118" s="35" t="n">
        <x:v>0.15</x:v>
      </x:c>
      <x:c r="H118" s="35" t="n">
        <x:v>80</x:v>
      </x:c>
      <x:c r="I118" s="35" t="n">
        <x:f>G118*H118</x:f>
        <x:v>12</x:v>
      </x:c>
      <x:c r="J118" s="23" t="str">
        <x:v>planning review only</x:v>
      </x:c>
    </x:row>
    <x:row r="119">
      <x:c r="B119" s="21" t="str">
        <x:v>PIF-I01-A-M05</x:v>
      </x:c>
      <x:c r="C119" s="21" t="str">
        <x:v>PIF-I01-A</x:v>
      </x:c>
      <x:c r="D119" s="21" t="str">
        <x:v>PIF-I01</x:v>
      </x:c>
      <x:c r="E119" s="21" t="str">
        <x:v>M05</x:v>
      </x:c>
      <x:c r="F119" s="21" t="str">
        <x:v>manufacturing scale</x:v>
      </x:c>
      <x:c r="G119" s="35" t="n">
        <x:v>0.1</x:v>
      </x:c>
      <x:c r="H119" s="35" t="n">
        <x:v>74</x:v>
      </x:c>
      <x:c r="I119" s="35" t="n">
        <x:f>G119*H119</x:f>
        <x:v>7.4</x:v>
      </x:c>
      <x:c r="J119" s="23" t="str">
        <x:v>planning review only</x:v>
      </x:c>
    </x:row>
    <x:row r="120">
      <x:c r="B120" s="21" t="str">
        <x:v>PIF-I01-A-M06</x:v>
      </x:c>
      <x:c r="C120" s="21" t="str">
        <x:v>PIF-I01-A</x:v>
      </x:c>
      <x:c r="D120" s="21" t="str">
        <x:v>PIF-I01</x:v>
      </x:c>
      <x:c r="E120" s="21" t="str">
        <x:v>M06</x:v>
      </x:c>
      <x:c r="F120" s="21" t="str">
        <x:v>export portability</x:v>
      </x:c>
      <x:c r="G120" s="35" t="n">
        <x:v>0.1</x:v>
      </x:c>
      <x:c r="H120" s="35" t="n">
        <x:v>73</x:v>
      </x:c>
      <x:c r="I120" s="35" t="n">
        <x:f>G120*H120</x:f>
        <x:v>7.300000000000001</x:v>
      </x:c>
      <x:c r="J120" s="23" t="str">
        <x:v>planning review only</x:v>
      </x:c>
    </x:row>
    <x:row r="121">
      <x:c r="B121" s="21" t="str">
        <x:v>PIF-I01-B-M01</x:v>
      </x:c>
      <x:c r="C121" s="21" t="str">
        <x:v>PIF-I01-B</x:v>
      </x:c>
      <x:c r="D121" s="21" t="str">
        <x:v>PIF-I01</x:v>
      </x:c>
      <x:c r="E121" s="21" t="str">
        <x:v>M01</x:v>
      </x:c>
      <x:c r="F121" s="21" t="str">
        <x:v>mission learning</x:v>
      </x:c>
      <x:c r="G121" s="35" t="n">
        <x:v>0.25</x:v>
      </x:c>
      <x:c r="H121" s="35" t="n">
        <x:v>81</x:v>
      </x:c>
      <x:c r="I121" s="35" t="n">
        <x:f>G121*H121</x:f>
        <x:v>20.25</x:v>
      </x:c>
      <x:c r="J121" s="23" t="str">
        <x:v>planning review only</x:v>
      </x:c>
    </x:row>
    <x:row r="122">
      <x:c r="B122" s="21" t="str">
        <x:v>PIF-I01-B-M02</x:v>
      </x:c>
      <x:c r="C122" s="21" t="str">
        <x:v>PIF-I01-B</x:v>
      </x:c>
      <x:c r="D122" s="21" t="str">
        <x:v>PIF-I01</x:v>
      </x:c>
      <x:c r="E122" s="21" t="str">
        <x:v>M02</x:v>
      </x:c>
      <x:c r="F122" s="21" t="str">
        <x:v>technical divergence</x:v>
      </x:c>
      <x:c r="G122" s="35" t="n">
        <x:v>0.2</x:v>
      </x:c>
      <x:c r="H122" s="35" t="n">
        <x:v>92</x:v>
      </x:c>
      <x:c r="I122" s="35" t="n">
        <x:f>G122*H122</x:f>
        <x:v>18.400000000000002</x:v>
      </x:c>
      <x:c r="J122" s="23" t="str">
        <x:v>planning review only</x:v>
      </x:c>
    </x:row>
    <x:row r="123">
      <x:c r="B123" s="21" t="str">
        <x:v>PIF-I01-B-M03</x:v>
      </x:c>
      <x:c r="C123" s="21" t="str">
        <x:v>PIF-I01-B</x:v>
      </x:c>
      <x:c r="D123" s="21" t="str">
        <x:v>PIF-I01</x:v>
      </x:c>
      <x:c r="E123" s="21" t="str">
        <x:v>M03</x:v>
      </x:c>
      <x:c r="F123" s="21" t="str">
        <x:v>testability</x:v>
      </x:c>
      <x:c r="G123" s="35" t="n">
        <x:v>0.2</x:v>
      </x:c>
      <x:c r="H123" s="35" t="n">
        <x:v>85</x:v>
      </x:c>
      <x:c r="I123" s="35" t="n">
        <x:f>G123*H123</x:f>
        <x:v>17</x:v>
      </x:c>
      <x:c r="J123" s="23" t="str">
        <x:v>planning review only</x:v>
      </x:c>
    </x:row>
    <x:row r="124">
      <x:c r="B124" s="21" t="str">
        <x:v>PIF-I01-B-M04</x:v>
      </x:c>
      <x:c r="C124" s="21" t="str">
        <x:v>PIF-I01-B</x:v>
      </x:c>
      <x:c r="D124" s="21" t="str">
        <x:v>PIF-I01</x:v>
      </x:c>
      <x:c r="E124" s="21" t="str">
        <x:v>M04</x:v>
      </x:c>
      <x:c r="F124" s="21" t="str">
        <x:v>field maintainability</x:v>
      </x:c>
      <x:c r="G124" s="35" t="n">
        <x:v>0.15</x:v>
      </x:c>
      <x:c r="H124" s="35" t="n">
        <x:v>82</x:v>
      </x:c>
      <x:c r="I124" s="35" t="n">
        <x:f>G124*H124</x:f>
        <x:v>12.299999999999999</x:v>
      </x:c>
      <x:c r="J124" s="23" t="str">
        <x:v>planning review only</x:v>
      </x:c>
    </x:row>
    <x:row r="125">
      <x:c r="B125" s="21" t="str">
        <x:v>PIF-I01-B-M05</x:v>
      </x:c>
      <x:c r="C125" s="21" t="str">
        <x:v>PIF-I01-B</x:v>
      </x:c>
      <x:c r="D125" s="21" t="str">
        <x:v>PIF-I01</x:v>
      </x:c>
      <x:c r="E125" s="21" t="str">
        <x:v>M05</x:v>
      </x:c>
      <x:c r="F125" s="21" t="str">
        <x:v>manufacturing scale</x:v>
      </x:c>
      <x:c r="G125" s="35" t="n">
        <x:v>0.1</x:v>
      </x:c>
      <x:c r="H125" s="35" t="n">
        <x:v>70</x:v>
      </x:c>
      <x:c r="I125" s="35" t="n">
        <x:f>G125*H125</x:f>
        <x:v>7</x:v>
      </x:c>
      <x:c r="J125" s="23" t="str">
        <x:v>planning review only</x:v>
      </x:c>
    </x:row>
    <x:row r="126">
      <x:c r="B126" s="21" t="str">
        <x:v>PIF-I01-B-M06</x:v>
      </x:c>
      <x:c r="C126" s="21" t="str">
        <x:v>PIF-I01-B</x:v>
      </x:c>
      <x:c r="D126" s="21" t="str">
        <x:v>PIF-I01</x:v>
      </x:c>
      <x:c r="E126" s="21" t="str">
        <x:v>M06</x:v>
      </x:c>
      <x:c r="F126" s="21" t="str">
        <x:v>export portability</x:v>
      </x:c>
      <x:c r="G126" s="35" t="n">
        <x:v>0.1</x:v>
      </x:c>
      <x:c r="H126" s="35" t="n">
        <x:v>81</x:v>
      </x:c>
      <x:c r="I126" s="35" t="n">
        <x:f>G126*H126</x:f>
        <x:v>8.1</x:v>
      </x:c>
      <x:c r="J126" s="23" t="str">
        <x:v>planning review only</x:v>
      </x:c>
    </x:row>
    <x:row r="127">
      <x:c r="B127" s="21" t="str">
        <x:v>PIF-I01-C-M01</x:v>
      </x:c>
      <x:c r="C127" s="21" t="str">
        <x:v>PIF-I01-C</x:v>
      </x:c>
      <x:c r="D127" s="21" t="str">
        <x:v>PIF-I01</x:v>
      </x:c>
      <x:c r="E127" s="21" t="str">
        <x:v>M01</x:v>
      </x:c>
      <x:c r="F127" s="21" t="str">
        <x:v>mission learning</x:v>
      </x:c>
      <x:c r="G127" s="35" t="n">
        <x:v>0.25</x:v>
      </x:c>
      <x:c r="H127" s="35" t="n">
        <x:v>93</x:v>
      </x:c>
      <x:c r="I127" s="35" t="n">
        <x:f>G127*H127</x:f>
        <x:v>23.25</x:v>
      </x:c>
      <x:c r="J127" s="23" t="str">
        <x:v>planning review only</x:v>
      </x:c>
    </x:row>
    <x:row r="128">
      <x:c r="B128" s="21" t="str">
        <x:v>PIF-I01-C-M02</x:v>
      </x:c>
      <x:c r="C128" s="21" t="str">
        <x:v>PIF-I01-C</x:v>
      </x:c>
      <x:c r="D128" s="21" t="str">
        <x:v>PIF-I01</x:v>
      </x:c>
      <x:c r="E128" s="21" t="str">
        <x:v>M02</x:v>
      </x:c>
      <x:c r="F128" s="21" t="str">
        <x:v>technical divergence</x:v>
      </x:c>
      <x:c r="G128" s="35" t="n">
        <x:v>0.2</x:v>
      </x:c>
      <x:c r="H128" s="35" t="n">
        <x:v>96</x:v>
      </x:c>
      <x:c r="I128" s="35" t="n">
        <x:f>G128*H128</x:f>
        <x:v>19.200000000000003</x:v>
      </x:c>
      <x:c r="J128" s="23" t="str">
        <x:v>planning review only</x:v>
      </x:c>
    </x:row>
    <x:row r="129">
      <x:c r="B129" s="21" t="str">
        <x:v>PIF-I01-C-M03</x:v>
      </x:c>
      <x:c r="C129" s="21" t="str">
        <x:v>PIF-I01-C</x:v>
      </x:c>
      <x:c r="D129" s="21" t="str">
        <x:v>PIF-I01</x:v>
      </x:c>
      <x:c r="E129" s="21" t="str">
        <x:v>M03</x:v>
      </x:c>
      <x:c r="F129" s="21" t="str">
        <x:v>testability</x:v>
      </x:c>
      <x:c r="G129" s="35" t="n">
        <x:v>0.2</x:v>
      </x:c>
      <x:c r="H129" s="35" t="n">
        <x:v>63</x:v>
      </x:c>
      <x:c r="I129" s="35" t="n">
        <x:f>G129*H129</x:f>
        <x:v>12.600000000000001</x:v>
      </x:c>
      <x:c r="J129" s="23" t="str">
        <x:v>planning review only</x:v>
      </x:c>
    </x:row>
    <x:row r="130">
      <x:c r="B130" s="21" t="str">
        <x:v>PIF-I01-C-M04</x:v>
      </x:c>
      <x:c r="C130" s="21" t="str">
        <x:v>PIF-I01-C</x:v>
      </x:c>
      <x:c r="D130" s="21" t="str">
        <x:v>PIF-I01</x:v>
      </x:c>
      <x:c r="E130" s="21" t="str">
        <x:v>M04</x:v>
      </x:c>
      <x:c r="F130" s="21" t="str">
        <x:v>field maintainability</x:v>
      </x:c>
      <x:c r="G130" s="35" t="n">
        <x:v>0.15</x:v>
      </x:c>
      <x:c r="H130" s="35" t="n">
        <x:v>68</x:v>
      </x:c>
      <x:c r="I130" s="35" t="n">
        <x:f>G130*H130</x:f>
        <x:v>10.2</x:v>
      </x:c>
      <x:c r="J130" s="23" t="str">
        <x:v>planning review only</x:v>
      </x:c>
    </x:row>
    <x:row r="131">
      <x:c r="B131" s="21" t="str">
        <x:v>PIF-I01-C-M05</x:v>
      </x:c>
      <x:c r="C131" s="21" t="str">
        <x:v>PIF-I01-C</x:v>
      </x:c>
      <x:c r="D131" s="21" t="str">
        <x:v>PIF-I01</x:v>
      </x:c>
      <x:c r="E131" s="21" t="str">
        <x:v>M05</x:v>
      </x:c>
      <x:c r="F131" s="21" t="str">
        <x:v>manufacturing scale</x:v>
      </x:c>
      <x:c r="G131" s="35" t="n">
        <x:v>0.1</x:v>
      </x:c>
      <x:c r="H131" s="35" t="n">
        <x:v>56</x:v>
      </x:c>
      <x:c r="I131" s="35" t="n">
        <x:f>G131*H131</x:f>
        <x:v>5.6000000000000005</x:v>
      </x:c>
      <x:c r="J131" s="23" t="str">
        <x:v>planning review only</x:v>
      </x:c>
    </x:row>
    <x:row r="132">
      <x:c r="B132" s="21" t="str">
        <x:v>PIF-I01-C-M06</x:v>
      </x:c>
      <x:c r="C132" s="21" t="str">
        <x:v>PIF-I01-C</x:v>
      </x:c>
      <x:c r="D132" s="21" t="str">
        <x:v>PIF-I01</x:v>
      </x:c>
      <x:c r="E132" s="21" t="str">
        <x:v>M06</x:v>
      </x:c>
      <x:c r="F132" s="21" t="str">
        <x:v>export portability</x:v>
      </x:c>
      <x:c r="G132" s="35" t="n">
        <x:v>0.1</x:v>
      </x:c>
      <x:c r="H132" s="35" t="n">
        <x:v>89</x:v>
      </x:c>
      <x:c r="I132" s="35" t="n">
        <x:f>G132*H132</x:f>
        <x:v>8.9</x:v>
      </x:c>
      <x:c r="J132" s="23" t="str">
        <x:v>planning review only</x:v>
      </x:c>
    </x:row>
    <x:row r="133">
      <x:c r="B133" s="21" t="str">
        <x:v>EPS-P01-A-M01</x:v>
      </x:c>
      <x:c r="C133" s="21" t="str">
        <x:v>EPS-P01-A</x:v>
      </x:c>
      <x:c r="D133" s="21" t="str">
        <x:v>EPS-P01</x:v>
      </x:c>
      <x:c r="E133" s="21" t="str">
        <x:v>M01</x:v>
      </x:c>
      <x:c r="F133" s="21" t="str">
        <x:v>mission learning</x:v>
      </x:c>
      <x:c r="G133" s="35" t="n">
        <x:v>0.25</x:v>
      </x:c>
      <x:c r="H133" s="35" t="n">
        <x:v>84</x:v>
      </x:c>
      <x:c r="I133" s="35" t="n">
        <x:f>G133*H133</x:f>
        <x:v>21</x:v>
      </x:c>
      <x:c r="J133" s="23" t="str">
        <x:v>planning review only</x:v>
      </x:c>
    </x:row>
    <x:row r="134">
      <x:c r="B134" s="21" t="str">
        <x:v>EPS-P01-A-M02</x:v>
      </x:c>
      <x:c r="C134" s="21" t="str">
        <x:v>EPS-P01-A</x:v>
      </x:c>
      <x:c r="D134" s="21" t="str">
        <x:v>EPS-P01</x:v>
      </x:c>
      <x:c r="E134" s="21" t="str">
        <x:v>M02</x:v>
      </x:c>
      <x:c r="F134" s="21" t="str">
        <x:v>technical divergence</x:v>
      </x:c>
      <x:c r="G134" s="35" t="n">
        <x:v>0.2</x:v>
      </x:c>
      <x:c r="H134" s="35" t="n">
        <x:v>83</x:v>
      </x:c>
      <x:c r="I134" s="35" t="n">
        <x:f>G134*H134</x:f>
        <x:v>16.6</x:v>
      </x:c>
      <x:c r="J134" s="23" t="str">
        <x:v>planning review only</x:v>
      </x:c>
    </x:row>
    <x:row r="135">
      <x:c r="B135" s="21" t="str">
        <x:v>EPS-P01-A-M03</x:v>
      </x:c>
      <x:c r="C135" s="21" t="str">
        <x:v>EPS-P01-A</x:v>
      </x:c>
      <x:c r="D135" s="21" t="str">
        <x:v>EPS-P01</x:v>
      </x:c>
      <x:c r="E135" s="21" t="str">
        <x:v>M03</x:v>
      </x:c>
      <x:c r="F135" s="21" t="str">
        <x:v>testability</x:v>
      </x:c>
      <x:c r="G135" s="35" t="n">
        <x:v>0.2</x:v>
      </x:c>
      <x:c r="H135" s="35" t="n">
        <x:v>88</x:v>
      </x:c>
      <x:c r="I135" s="35" t="n">
        <x:f>G135*H135</x:f>
        <x:v>17.6</x:v>
      </x:c>
      <x:c r="J135" s="23" t="str">
        <x:v>planning review only</x:v>
      </x:c>
    </x:row>
    <x:row r="136">
      <x:c r="B136" s="21" t="str">
        <x:v>EPS-P01-A-M04</x:v>
      </x:c>
      <x:c r="C136" s="21" t="str">
        <x:v>EPS-P01-A</x:v>
      </x:c>
      <x:c r="D136" s="21" t="str">
        <x:v>EPS-P01</x:v>
      </x:c>
      <x:c r="E136" s="21" t="str">
        <x:v>M04</x:v>
      </x:c>
      <x:c r="F136" s="21" t="str">
        <x:v>field maintainability</x:v>
      </x:c>
      <x:c r="G136" s="35" t="n">
        <x:v>0.15</x:v>
      </x:c>
      <x:c r="H136" s="35" t="n">
        <x:v>76</x:v>
      </x:c>
      <x:c r="I136" s="35" t="n">
        <x:f>G136*H136</x:f>
        <x:v>11.4</x:v>
      </x:c>
      <x:c r="J136" s="23" t="str">
        <x:v>planning review only</x:v>
      </x:c>
    </x:row>
    <x:row r="137">
      <x:c r="B137" s="21" t="str">
        <x:v>EPS-P01-A-M05</x:v>
      </x:c>
      <x:c r="C137" s="21" t="str">
        <x:v>EPS-P01-A</x:v>
      </x:c>
      <x:c r="D137" s="21" t="str">
        <x:v>EPS-P01</x:v>
      </x:c>
      <x:c r="E137" s="21" t="str">
        <x:v>M05</x:v>
      </x:c>
      <x:c r="F137" s="21" t="str">
        <x:v>manufacturing scale</x:v>
      </x:c>
      <x:c r="G137" s="35" t="n">
        <x:v>0.1</x:v>
      </x:c>
      <x:c r="H137" s="35" t="n">
        <x:v>75</x:v>
      </x:c>
      <x:c r="I137" s="35" t="n">
        <x:f>G137*H137</x:f>
        <x:v>7.5</x:v>
      </x:c>
      <x:c r="J137" s="23" t="str">
        <x:v>planning review only</x:v>
      </x:c>
    </x:row>
    <x:row r="138">
      <x:c r="B138" s="21" t="str">
        <x:v>EPS-P01-A-M06</x:v>
      </x:c>
      <x:c r="C138" s="21" t="str">
        <x:v>EPS-P01-A</x:v>
      </x:c>
      <x:c r="D138" s="21" t="str">
        <x:v>EPS-P01</x:v>
      </x:c>
      <x:c r="E138" s="21" t="str">
        <x:v>M06</x:v>
      </x:c>
      <x:c r="F138" s="21" t="str">
        <x:v>export portability</x:v>
      </x:c>
      <x:c r="G138" s="35" t="n">
        <x:v>0.1</x:v>
      </x:c>
      <x:c r="H138" s="35" t="n">
        <x:v>74</x:v>
      </x:c>
      <x:c r="I138" s="35" t="n">
        <x:f>G138*H138</x:f>
        <x:v>7.4</x:v>
      </x:c>
      <x:c r="J138" s="23" t="str">
        <x:v>planning review only</x:v>
      </x:c>
    </x:row>
    <x:row r="139">
      <x:c r="B139" s="21" t="str">
        <x:v>EPS-P01-B-M01</x:v>
      </x:c>
      <x:c r="C139" s="21" t="str">
        <x:v>EPS-P01-B</x:v>
      </x:c>
      <x:c r="D139" s="21" t="str">
        <x:v>EPS-P01</x:v>
      </x:c>
      <x:c r="E139" s="21" t="str">
        <x:v>M01</x:v>
      </x:c>
      <x:c r="F139" s="21" t="str">
        <x:v>mission learning</x:v>
      </x:c>
      <x:c r="G139" s="35" t="n">
        <x:v>0.25</x:v>
      </x:c>
      <x:c r="H139" s="35" t="n">
        <x:v>82</x:v>
      </x:c>
      <x:c r="I139" s="35" t="n">
        <x:f>G139*H139</x:f>
        <x:v>20.5</x:v>
      </x:c>
      <x:c r="J139" s="23" t="str">
        <x:v>planning review only</x:v>
      </x:c>
    </x:row>
    <x:row r="140">
      <x:c r="B140" s="21" t="str">
        <x:v>EPS-P01-B-M02</x:v>
      </x:c>
      <x:c r="C140" s="21" t="str">
        <x:v>EPS-P01-B</x:v>
      </x:c>
      <x:c r="D140" s="21" t="str">
        <x:v>EPS-P01</x:v>
      </x:c>
      <x:c r="E140" s="21" t="str">
        <x:v>M02</x:v>
      </x:c>
      <x:c r="F140" s="21" t="str">
        <x:v>technical divergence</x:v>
      </x:c>
      <x:c r="G140" s="35" t="n">
        <x:v>0.2</x:v>
      </x:c>
      <x:c r="H140" s="35" t="n">
        <x:v>93</x:v>
      </x:c>
      <x:c r="I140" s="35" t="n">
        <x:f>G140*H140</x:f>
        <x:v>18.6</x:v>
      </x:c>
      <x:c r="J140" s="23" t="str">
        <x:v>planning review only</x:v>
      </x:c>
    </x:row>
    <x:row r="141">
      <x:c r="B141" s="21" t="str">
        <x:v>EPS-P01-B-M03</x:v>
      </x:c>
      <x:c r="C141" s="21" t="str">
        <x:v>EPS-P01-B</x:v>
      </x:c>
      <x:c r="D141" s="21" t="str">
        <x:v>EPS-P01</x:v>
      </x:c>
      <x:c r="E141" s="21" t="str">
        <x:v>M03</x:v>
      </x:c>
      <x:c r="F141" s="21" t="str">
        <x:v>testability</x:v>
      </x:c>
      <x:c r="G141" s="35" t="n">
        <x:v>0.2</x:v>
      </x:c>
      <x:c r="H141" s="35" t="n">
        <x:v>86</x:v>
      </x:c>
      <x:c r="I141" s="35" t="n">
        <x:f>G141*H141</x:f>
        <x:v>17.2</x:v>
      </x:c>
      <x:c r="J141" s="23" t="str">
        <x:v>planning review only</x:v>
      </x:c>
    </x:row>
    <x:row r="142">
      <x:c r="B142" s="21" t="str">
        <x:v>EPS-P01-B-M04</x:v>
      </x:c>
      <x:c r="C142" s="21" t="str">
        <x:v>EPS-P01-B</x:v>
      </x:c>
      <x:c r="D142" s="21" t="str">
        <x:v>EPS-P01</x:v>
      </x:c>
      <x:c r="E142" s="21" t="str">
        <x:v>M04</x:v>
      </x:c>
      <x:c r="F142" s="21" t="str">
        <x:v>field maintainability</x:v>
      </x:c>
      <x:c r="G142" s="35" t="n">
        <x:v>0.15</x:v>
      </x:c>
      <x:c r="H142" s="35" t="n">
        <x:v>78</x:v>
      </x:c>
      <x:c r="I142" s="35" t="n">
        <x:f>G142*H142</x:f>
        <x:v>11.7</x:v>
      </x:c>
      <x:c r="J142" s="23" t="str">
        <x:v>planning review only</x:v>
      </x:c>
    </x:row>
    <x:row r="143">
      <x:c r="B143" s="21" t="str">
        <x:v>EPS-P01-B-M05</x:v>
      </x:c>
      <x:c r="C143" s="21" t="str">
        <x:v>EPS-P01-B</x:v>
      </x:c>
      <x:c r="D143" s="21" t="str">
        <x:v>EPS-P01</x:v>
      </x:c>
      <x:c r="E143" s="21" t="str">
        <x:v>M05</x:v>
      </x:c>
      <x:c r="F143" s="21" t="str">
        <x:v>manufacturing scale</x:v>
      </x:c>
      <x:c r="G143" s="35" t="n">
        <x:v>0.1</x:v>
      </x:c>
      <x:c r="H143" s="35" t="n">
        <x:v>71</x:v>
      </x:c>
      <x:c r="I143" s="35" t="n">
        <x:f>G143*H143</x:f>
        <x:v>7.1000000000000005</x:v>
      </x:c>
      <x:c r="J143" s="23" t="str">
        <x:v>planning review only</x:v>
      </x:c>
    </x:row>
    <x:row r="144">
      <x:c r="B144" s="21" t="str">
        <x:v>EPS-P01-B-M06</x:v>
      </x:c>
      <x:c r="C144" s="21" t="str">
        <x:v>EPS-P01-B</x:v>
      </x:c>
      <x:c r="D144" s="21" t="str">
        <x:v>EPS-P01</x:v>
      </x:c>
      <x:c r="E144" s="21" t="str">
        <x:v>M06</x:v>
      </x:c>
      <x:c r="F144" s="21" t="str">
        <x:v>export portability</x:v>
      </x:c>
      <x:c r="G144" s="35" t="n">
        <x:v>0.1</x:v>
      </x:c>
      <x:c r="H144" s="35" t="n">
        <x:v>82</x:v>
      </x:c>
      <x:c r="I144" s="35" t="n">
        <x:f>G144*H144</x:f>
        <x:v>8.200000000000001</x:v>
      </x:c>
      <x:c r="J144" s="23" t="str">
        <x:v>planning review only</x:v>
      </x:c>
    </x:row>
    <x:row r="145">
      <x:c r="B145" s="21" t="str">
        <x:v>EPS-P01-C-M01</x:v>
      </x:c>
      <x:c r="C145" s="21" t="str">
        <x:v>EPS-P01-C</x:v>
      </x:c>
      <x:c r="D145" s="21" t="str">
        <x:v>EPS-P01</x:v>
      </x:c>
      <x:c r="E145" s="21" t="str">
        <x:v>M01</x:v>
      </x:c>
      <x:c r="F145" s="21" t="str">
        <x:v>mission learning</x:v>
      </x:c>
      <x:c r="G145" s="35" t="n">
        <x:v>0.25</x:v>
      </x:c>
      <x:c r="H145" s="35" t="n">
        <x:v>94</x:v>
      </x:c>
      <x:c r="I145" s="35" t="n">
        <x:f>G145*H145</x:f>
        <x:v>23.5</x:v>
      </x:c>
      <x:c r="J145" s="23" t="str">
        <x:v>planning review only</x:v>
      </x:c>
    </x:row>
    <x:row r="146">
      <x:c r="B146" s="21" t="str">
        <x:v>EPS-P01-C-M02</x:v>
      </x:c>
      <x:c r="C146" s="21" t="str">
        <x:v>EPS-P01-C</x:v>
      </x:c>
      <x:c r="D146" s="21" t="str">
        <x:v>EPS-P01</x:v>
      </x:c>
      <x:c r="E146" s="21" t="str">
        <x:v>M02</x:v>
      </x:c>
      <x:c r="F146" s="21" t="str">
        <x:v>technical divergence</x:v>
      </x:c>
      <x:c r="G146" s="35" t="n">
        <x:v>0.2</x:v>
      </x:c>
      <x:c r="H146" s="35" t="n">
        <x:v>97</x:v>
      </x:c>
      <x:c r="I146" s="35" t="n">
        <x:f>G146*H146</x:f>
        <x:v>19.400000000000002</x:v>
      </x:c>
      <x:c r="J146" s="23" t="str">
        <x:v>planning review only</x:v>
      </x:c>
    </x:row>
    <x:row r="147">
      <x:c r="B147" s="21" t="str">
        <x:v>EPS-P01-C-M03</x:v>
      </x:c>
      <x:c r="C147" s="21" t="str">
        <x:v>EPS-P01-C</x:v>
      </x:c>
      <x:c r="D147" s="21" t="str">
        <x:v>EPS-P01</x:v>
      </x:c>
      <x:c r="E147" s="21" t="str">
        <x:v>M03</x:v>
      </x:c>
      <x:c r="F147" s="21" t="str">
        <x:v>testability</x:v>
      </x:c>
      <x:c r="G147" s="35" t="n">
        <x:v>0.2</x:v>
      </x:c>
      <x:c r="H147" s="35" t="n">
        <x:v>64</x:v>
      </x:c>
      <x:c r="I147" s="35" t="n">
        <x:f>G147*H147</x:f>
        <x:v>12.8</x:v>
      </x:c>
      <x:c r="J147" s="23" t="str">
        <x:v>planning review only</x:v>
      </x:c>
    </x:row>
    <x:row r="148">
      <x:c r="B148" s="21" t="str">
        <x:v>EPS-P01-C-M04</x:v>
      </x:c>
      <x:c r="C148" s="21" t="str">
        <x:v>EPS-P01-C</x:v>
      </x:c>
      <x:c r="D148" s="21" t="str">
        <x:v>EPS-P01</x:v>
      </x:c>
      <x:c r="E148" s="21" t="str">
        <x:v>M04</x:v>
      </x:c>
      <x:c r="F148" s="21" t="str">
        <x:v>field maintainability</x:v>
      </x:c>
      <x:c r="G148" s="35" t="n">
        <x:v>0.15</x:v>
      </x:c>
      <x:c r="H148" s="35" t="n">
        <x:v>64</x:v>
      </x:c>
      <x:c r="I148" s="35" t="n">
        <x:f>G148*H148</x:f>
        <x:v>9.6</x:v>
      </x:c>
      <x:c r="J148" s="23" t="str">
        <x:v>planning review only</x:v>
      </x:c>
    </x:row>
    <x:row r="149">
      <x:c r="B149" s="21" t="str">
        <x:v>EPS-P01-C-M05</x:v>
      </x:c>
      <x:c r="C149" s="21" t="str">
        <x:v>EPS-P01-C</x:v>
      </x:c>
      <x:c r="D149" s="21" t="str">
        <x:v>EPS-P01</x:v>
      </x:c>
      <x:c r="E149" s="21" t="str">
        <x:v>M05</x:v>
      </x:c>
      <x:c r="F149" s="21" t="str">
        <x:v>manufacturing scale</x:v>
      </x:c>
      <x:c r="G149" s="35" t="n">
        <x:v>0.1</x:v>
      </x:c>
      <x:c r="H149" s="35" t="n">
        <x:v>57</x:v>
      </x:c>
      <x:c r="I149" s="35" t="n">
        <x:f>G149*H149</x:f>
        <x:v>5.7</x:v>
      </x:c>
      <x:c r="J149" s="23" t="str">
        <x:v>planning review only</x:v>
      </x:c>
    </x:row>
    <x:row r="150">
      <x:c r="B150" s="21" t="str">
        <x:v>EPS-P01-C-M06</x:v>
      </x:c>
      <x:c r="C150" s="21" t="str">
        <x:v>EPS-P01-C</x:v>
      </x:c>
      <x:c r="D150" s="21" t="str">
        <x:v>EPS-P01</x:v>
      </x:c>
      <x:c r="E150" s="21" t="str">
        <x:v>M06</x:v>
      </x:c>
      <x:c r="F150" s="21" t="str">
        <x:v>export portability</x:v>
      </x:c>
      <x:c r="G150" s="35" t="n">
        <x:v>0.1</x:v>
      </x:c>
      <x:c r="H150" s="35" t="n">
        <x:v>90</x:v>
      </x:c>
      <x:c r="I150" s="35" t="n">
        <x:f>G150*H150</x:f>
        <x:v>9</x:v>
      </x:c>
      <x:c r="J150" s="23" t="str">
        <x:v>planning review only</x:v>
      </x:c>
    </x:row>
    <x:row r="151">
      <x:c r="B151" s="21" t="str">
        <x:v>TKS-C01-A-M01</x:v>
      </x:c>
      <x:c r="C151" s="21" t="str">
        <x:v>TKS-C01-A</x:v>
      </x:c>
      <x:c r="D151" s="21" t="str">
        <x:v>TKS-C01</x:v>
      </x:c>
      <x:c r="E151" s="21" t="str">
        <x:v>M01</x:v>
      </x:c>
      <x:c r="F151" s="21" t="str">
        <x:v>mission learning</x:v>
      </x:c>
      <x:c r="G151" s="35" t="n">
        <x:v>0.25</x:v>
      </x:c>
      <x:c r="H151" s="35" t="n">
        <x:v>85</x:v>
      </x:c>
      <x:c r="I151" s="35" t="n">
        <x:f>G151*H151</x:f>
        <x:v>21.25</x:v>
      </x:c>
      <x:c r="J151" s="23" t="str">
        <x:v>planning review only</x:v>
      </x:c>
    </x:row>
    <x:row r="152">
      <x:c r="B152" s="21" t="str">
        <x:v>TKS-C01-A-M02</x:v>
      </x:c>
      <x:c r="C152" s="21" t="str">
        <x:v>TKS-C01-A</x:v>
      </x:c>
      <x:c r="D152" s="21" t="str">
        <x:v>TKS-C01</x:v>
      </x:c>
      <x:c r="E152" s="21" t="str">
        <x:v>M02</x:v>
      </x:c>
      <x:c r="F152" s="21" t="str">
        <x:v>technical divergence</x:v>
      </x:c>
      <x:c r="G152" s="35" t="n">
        <x:v>0.2</x:v>
      </x:c>
      <x:c r="H152" s="35" t="n">
        <x:v>84</x:v>
      </x:c>
      <x:c r="I152" s="35" t="n">
        <x:f>G152*H152</x:f>
        <x:v>16.8</x:v>
      </x:c>
      <x:c r="J152" s="23" t="str">
        <x:v>planning review only</x:v>
      </x:c>
    </x:row>
    <x:row r="153">
      <x:c r="B153" s="21" t="str">
        <x:v>TKS-C01-A-M03</x:v>
      </x:c>
      <x:c r="C153" s="21" t="str">
        <x:v>TKS-C01-A</x:v>
      </x:c>
      <x:c r="D153" s="21" t="str">
        <x:v>TKS-C01</x:v>
      </x:c>
      <x:c r="E153" s="21" t="str">
        <x:v>M03</x:v>
      </x:c>
      <x:c r="F153" s="21" t="str">
        <x:v>testability</x:v>
      </x:c>
      <x:c r="G153" s="35" t="n">
        <x:v>0.2</x:v>
      </x:c>
      <x:c r="H153" s="35" t="n">
        <x:v>84</x:v>
      </x:c>
      <x:c r="I153" s="35" t="n">
        <x:f>G153*H153</x:f>
        <x:v>16.8</x:v>
      </x:c>
      <x:c r="J153" s="23" t="str">
        <x:v>planning review only</x:v>
      </x:c>
    </x:row>
    <x:row r="154">
      <x:c r="B154" s="21" t="str">
        <x:v>TKS-C01-A-M04</x:v>
      </x:c>
      <x:c r="C154" s="21" t="str">
        <x:v>TKS-C01-A</x:v>
      </x:c>
      <x:c r="D154" s="21" t="str">
        <x:v>TKS-C01</x:v>
      </x:c>
      <x:c r="E154" s="21" t="str">
        <x:v>M04</x:v>
      </x:c>
      <x:c r="F154" s="21" t="str">
        <x:v>field maintainability</x:v>
      </x:c>
      <x:c r="G154" s="35" t="n">
        <x:v>0.15</x:v>
      </x:c>
      <x:c r="H154" s="35" t="n">
        <x:v>77</x:v>
      </x:c>
      <x:c r="I154" s="35" t="n">
        <x:f>G154*H154</x:f>
        <x:v>11.549999999999999</x:v>
      </x:c>
      <x:c r="J154" s="23" t="str">
        <x:v>planning review only</x:v>
      </x:c>
    </x:row>
    <x:row r="155">
      <x:c r="B155" s="21" t="str">
        <x:v>TKS-C01-A-M05</x:v>
      </x:c>
      <x:c r="C155" s="21" t="str">
        <x:v>TKS-C01-A</x:v>
      </x:c>
      <x:c r="D155" s="21" t="str">
        <x:v>TKS-C01</x:v>
      </x:c>
      <x:c r="E155" s="21" t="str">
        <x:v>M05</x:v>
      </x:c>
      <x:c r="F155" s="21" t="str">
        <x:v>manufacturing scale</x:v>
      </x:c>
      <x:c r="G155" s="35" t="n">
        <x:v>0.1</x:v>
      </x:c>
      <x:c r="H155" s="35" t="n">
        <x:v>76</x:v>
      </x:c>
      <x:c r="I155" s="35" t="n">
        <x:f>G155*H155</x:f>
        <x:v>7.6000000000000005</x:v>
      </x:c>
      <x:c r="J155" s="23" t="str">
        <x:v>planning review only</x:v>
      </x:c>
    </x:row>
    <x:row r="156">
      <x:c r="B156" s="21" t="str">
        <x:v>TKS-C01-A-M06</x:v>
      </x:c>
      <x:c r="C156" s="21" t="str">
        <x:v>TKS-C01-A</x:v>
      </x:c>
      <x:c r="D156" s="21" t="str">
        <x:v>TKS-C01</x:v>
      </x:c>
      <x:c r="E156" s="21" t="str">
        <x:v>M06</x:v>
      </x:c>
      <x:c r="F156" s="21" t="str">
        <x:v>export portability</x:v>
      </x:c>
      <x:c r="G156" s="35" t="n">
        <x:v>0.1</x:v>
      </x:c>
      <x:c r="H156" s="35" t="n">
        <x:v>75</x:v>
      </x:c>
      <x:c r="I156" s="35" t="n">
        <x:f>G156*H156</x:f>
        <x:v>7.5</x:v>
      </x:c>
      <x:c r="J156" s="23" t="str">
        <x:v>planning review only</x:v>
      </x:c>
    </x:row>
    <x:row r="157">
      <x:c r="B157" s="21" t="str">
        <x:v>TKS-C01-B-M01</x:v>
      </x:c>
      <x:c r="C157" s="21" t="str">
        <x:v>TKS-C01-B</x:v>
      </x:c>
      <x:c r="D157" s="21" t="str">
        <x:v>TKS-C01</x:v>
      </x:c>
      <x:c r="E157" s="21" t="str">
        <x:v>M01</x:v>
      </x:c>
      <x:c r="F157" s="21" t="str">
        <x:v>mission learning</x:v>
      </x:c>
      <x:c r="G157" s="35" t="n">
        <x:v>0.25</x:v>
      </x:c>
      <x:c r="H157" s="35" t="n">
        <x:v>83</x:v>
      </x:c>
      <x:c r="I157" s="35" t="n">
        <x:f>G157*H157</x:f>
        <x:v>20.75</x:v>
      </x:c>
      <x:c r="J157" s="23" t="str">
        <x:v>planning review only</x:v>
      </x:c>
    </x:row>
    <x:row r="158">
      <x:c r="B158" s="21" t="str">
        <x:v>TKS-C01-B-M02</x:v>
      </x:c>
      <x:c r="C158" s="21" t="str">
        <x:v>TKS-C01-B</x:v>
      </x:c>
      <x:c r="D158" s="21" t="str">
        <x:v>TKS-C01</x:v>
      </x:c>
      <x:c r="E158" s="21" t="str">
        <x:v>M02</x:v>
      </x:c>
      <x:c r="F158" s="21" t="str">
        <x:v>technical divergence</x:v>
      </x:c>
      <x:c r="G158" s="35" t="n">
        <x:v>0.2</x:v>
      </x:c>
      <x:c r="H158" s="35" t="n">
        <x:v>94</x:v>
      </x:c>
      <x:c r="I158" s="35" t="n">
        <x:f>G158*H158</x:f>
        <x:v>18.8</x:v>
      </x:c>
      <x:c r="J158" s="23" t="str">
        <x:v>planning review only</x:v>
      </x:c>
    </x:row>
    <x:row r="159">
      <x:c r="B159" s="21" t="str">
        <x:v>TKS-C01-B-M03</x:v>
      </x:c>
      <x:c r="C159" s="21" t="str">
        <x:v>TKS-C01-B</x:v>
      </x:c>
      <x:c r="D159" s="21" t="str">
        <x:v>TKS-C01</x:v>
      </x:c>
      <x:c r="E159" s="21" t="str">
        <x:v>M03</x:v>
      </x:c>
      <x:c r="F159" s="21" t="str">
        <x:v>testability</x:v>
      </x:c>
      <x:c r="G159" s="35" t="n">
        <x:v>0.2</x:v>
      </x:c>
      <x:c r="H159" s="35" t="n">
        <x:v>82</x:v>
      </x:c>
      <x:c r="I159" s="35" t="n">
        <x:f>G159*H159</x:f>
        <x:v>16.400000000000002</x:v>
      </x:c>
      <x:c r="J159" s="23" t="str">
        <x:v>planning review only</x:v>
      </x:c>
    </x:row>
    <x:row r="160">
      <x:c r="B160" s="21" t="str">
        <x:v>TKS-C01-B-M04</x:v>
      </x:c>
      <x:c r="C160" s="21" t="str">
        <x:v>TKS-C01-B</x:v>
      </x:c>
      <x:c r="D160" s="21" t="str">
        <x:v>TKS-C01</x:v>
      </x:c>
      <x:c r="E160" s="21" t="str">
        <x:v>M04</x:v>
      </x:c>
      <x:c r="F160" s="21" t="str">
        <x:v>field maintainability</x:v>
      </x:c>
      <x:c r="G160" s="35" t="n">
        <x:v>0.15</x:v>
      </x:c>
      <x:c r="H160" s="35" t="n">
        <x:v>79</x:v>
      </x:c>
      <x:c r="I160" s="35" t="n">
        <x:f>G160*H160</x:f>
        <x:v>11.85</x:v>
      </x:c>
      <x:c r="J160" s="23" t="str">
        <x:v>planning review only</x:v>
      </x:c>
    </x:row>
    <x:row r="161">
      <x:c r="B161" s="21" t="str">
        <x:v>TKS-C01-B-M05</x:v>
      </x:c>
      <x:c r="C161" s="21" t="str">
        <x:v>TKS-C01-B</x:v>
      </x:c>
      <x:c r="D161" s="21" t="str">
        <x:v>TKS-C01</x:v>
      </x:c>
      <x:c r="E161" s="21" t="str">
        <x:v>M05</x:v>
      </x:c>
      <x:c r="F161" s="21" t="str">
        <x:v>manufacturing scale</x:v>
      </x:c>
      <x:c r="G161" s="35" t="n">
        <x:v>0.1</x:v>
      </x:c>
      <x:c r="H161" s="35" t="n">
        <x:v>72</x:v>
      </x:c>
      <x:c r="I161" s="35" t="n">
        <x:f>G161*H161</x:f>
        <x:v>7.2</x:v>
      </x:c>
      <x:c r="J161" s="23" t="str">
        <x:v>planning review only</x:v>
      </x:c>
    </x:row>
    <x:row r="162">
      <x:c r="B162" s="21" t="str">
        <x:v>TKS-C01-B-M06</x:v>
      </x:c>
      <x:c r="C162" s="21" t="str">
        <x:v>TKS-C01-B</x:v>
      </x:c>
      <x:c r="D162" s="21" t="str">
        <x:v>TKS-C01</x:v>
      </x:c>
      <x:c r="E162" s="21" t="str">
        <x:v>M06</x:v>
      </x:c>
      <x:c r="F162" s="21" t="str">
        <x:v>export portability</x:v>
      </x:c>
      <x:c r="G162" s="35" t="n">
        <x:v>0.1</x:v>
      </x:c>
      <x:c r="H162" s="35" t="n">
        <x:v>83</x:v>
      </x:c>
      <x:c r="I162" s="35" t="n">
        <x:f>G162*H162</x:f>
        <x:v>8.3</x:v>
      </x:c>
      <x:c r="J162" s="23" t="str">
        <x:v>planning review only</x:v>
      </x:c>
    </x:row>
    <x:row r="163">
      <x:c r="B163" s="21" t="str">
        <x:v>TKS-C01-C-M01</x:v>
      </x:c>
      <x:c r="C163" s="21" t="str">
        <x:v>TKS-C01-C</x:v>
      </x:c>
      <x:c r="D163" s="21" t="str">
        <x:v>TKS-C01</x:v>
      </x:c>
      <x:c r="E163" s="21" t="str">
        <x:v>M01</x:v>
      </x:c>
      <x:c r="F163" s="21" t="str">
        <x:v>mission learning</x:v>
      </x:c>
      <x:c r="G163" s="35" t="n">
        <x:v>0.25</x:v>
      </x:c>
      <x:c r="H163" s="35" t="n">
        <x:v>95</x:v>
      </x:c>
      <x:c r="I163" s="35" t="n">
        <x:f>G163*H163</x:f>
        <x:v>23.75</x:v>
      </x:c>
      <x:c r="J163" s="23" t="str">
        <x:v>planning review only</x:v>
      </x:c>
    </x:row>
    <x:row r="164">
      <x:c r="B164" s="21" t="str">
        <x:v>TKS-C01-C-M02</x:v>
      </x:c>
      <x:c r="C164" s="21" t="str">
        <x:v>TKS-C01-C</x:v>
      </x:c>
      <x:c r="D164" s="21" t="str">
        <x:v>TKS-C01</x:v>
      </x:c>
      <x:c r="E164" s="21" t="str">
        <x:v>M02</x:v>
      </x:c>
      <x:c r="F164" s="21" t="str">
        <x:v>technical divergence</x:v>
      </x:c>
      <x:c r="G164" s="35" t="n">
        <x:v>0.2</x:v>
      </x:c>
      <x:c r="H164" s="35" t="n">
        <x:v>98</x:v>
      </x:c>
      <x:c r="I164" s="35" t="n">
        <x:f>G164*H164</x:f>
        <x:v>19.6</x:v>
      </x:c>
      <x:c r="J164" s="23" t="str">
        <x:v>planning review only</x:v>
      </x:c>
    </x:row>
    <x:row r="165">
      <x:c r="B165" s="21" t="str">
        <x:v>TKS-C01-C-M03</x:v>
      </x:c>
      <x:c r="C165" s="21" t="str">
        <x:v>TKS-C01-C</x:v>
      </x:c>
      <x:c r="D165" s="21" t="str">
        <x:v>TKS-C01</x:v>
      </x:c>
      <x:c r="E165" s="21" t="str">
        <x:v>M03</x:v>
      </x:c>
      <x:c r="F165" s="21" t="str">
        <x:v>testability</x:v>
      </x:c>
      <x:c r="G165" s="35" t="n">
        <x:v>0.2</x:v>
      </x:c>
      <x:c r="H165" s="35" t="n">
        <x:v>60</x:v>
      </x:c>
      <x:c r="I165" s="35" t="n">
        <x:f>G165*H165</x:f>
        <x:v>12</x:v>
      </x:c>
      <x:c r="J165" s="23" t="str">
        <x:v>planning review only</x:v>
      </x:c>
    </x:row>
    <x:row r="166">
      <x:c r="B166" s="21" t="str">
        <x:v>TKS-C01-C-M04</x:v>
      </x:c>
      <x:c r="C166" s="21" t="str">
        <x:v>TKS-C01-C</x:v>
      </x:c>
      <x:c r="D166" s="21" t="str">
        <x:v>TKS-C01</x:v>
      </x:c>
      <x:c r="E166" s="21" t="str">
        <x:v>M04</x:v>
      </x:c>
      <x:c r="F166" s="21" t="str">
        <x:v>field maintainability</x:v>
      </x:c>
      <x:c r="G166" s="35" t="n">
        <x:v>0.15</x:v>
      </x:c>
      <x:c r="H166" s="35" t="n">
        <x:v>65</x:v>
      </x:c>
      <x:c r="I166" s="35" t="n">
        <x:f>G166*H166</x:f>
        <x:v>9.75</x:v>
      </x:c>
      <x:c r="J166" s="23" t="str">
        <x:v>planning review only</x:v>
      </x:c>
    </x:row>
    <x:row r="167">
      <x:c r="B167" s="21" t="str">
        <x:v>TKS-C01-C-M05</x:v>
      </x:c>
      <x:c r="C167" s="21" t="str">
        <x:v>TKS-C01-C</x:v>
      </x:c>
      <x:c r="D167" s="21" t="str">
        <x:v>TKS-C01</x:v>
      </x:c>
      <x:c r="E167" s="21" t="str">
        <x:v>M05</x:v>
      </x:c>
      <x:c r="F167" s="21" t="str">
        <x:v>manufacturing scale</x:v>
      </x:c>
      <x:c r="G167" s="35" t="n">
        <x:v>0.1</x:v>
      </x:c>
      <x:c r="H167" s="35" t="n">
        <x:v>58</x:v>
      </x:c>
      <x:c r="I167" s="35" t="n">
        <x:f>G167*H167</x:f>
        <x:v>5.800000000000001</x:v>
      </x:c>
      <x:c r="J167" s="23" t="str">
        <x:v>planning review only</x:v>
      </x:c>
    </x:row>
    <x:row r="168">
      <x:c r="B168" s="21" t="str">
        <x:v>TKS-C01-C-M06</x:v>
      </x:c>
      <x:c r="C168" s="21" t="str">
        <x:v>TKS-C01-C</x:v>
      </x:c>
      <x:c r="D168" s="21" t="str">
        <x:v>TKS-C01</x:v>
      </x:c>
      <x:c r="E168" s="21" t="str">
        <x:v>M06</x:v>
      </x:c>
      <x:c r="F168" s="21" t="str">
        <x:v>export portability</x:v>
      </x:c>
      <x:c r="G168" s="35" t="n">
        <x:v>0.1</x:v>
      </x:c>
      <x:c r="H168" s="35" t="n">
        <x:v>91</x:v>
      </x:c>
      <x:c r="I168" s="35" t="n">
        <x:f>G168*H168</x:f>
        <x:v>9.1</x:v>
      </x:c>
      <x:c r="J168" s="23" t="str">
        <x:v>planning review only</x:v>
      </x:c>
    </x:row>
    <x:row r="169">
      <x:c r="B169" s="21" t="str">
        <x:v>STG-S01-A-M01</x:v>
      </x:c>
      <x:c r="C169" s="21" t="str">
        <x:v>STG-S01-A</x:v>
      </x:c>
      <x:c r="D169" s="21" t="str">
        <x:v>STG-S01</x:v>
      </x:c>
      <x:c r="E169" s="21" t="str">
        <x:v>M01</x:v>
      </x:c>
      <x:c r="F169" s="21" t="str">
        <x:v>mission learning</x:v>
      </x:c>
      <x:c r="G169" s="35" t="n">
        <x:v>0.25</x:v>
      </x:c>
      <x:c r="H169" s="35" t="n">
        <x:v>86</x:v>
      </x:c>
      <x:c r="I169" s="35" t="n">
        <x:f>G169*H169</x:f>
        <x:v>21.5</x:v>
      </x:c>
      <x:c r="J169" s="23" t="str">
        <x:v>planning review only</x:v>
      </x:c>
    </x:row>
    <x:row r="170">
      <x:c r="B170" s="21" t="str">
        <x:v>STG-S01-A-M02</x:v>
      </x:c>
      <x:c r="C170" s="21" t="str">
        <x:v>STG-S01-A</x:v>
      </x:c>
      <x:c r="D170" s="21" t="str">
        <x:v>STG-S01</x:v>
      </x:c>
      <x:c r="E170" s="21" t="str">
        <x:v>M02</x:v>
      </x:c>
      <x:c r="F170" s="21" t="str">
        <x:v>technical divergence</x:v>
      </x:c>
      <x:c r="G170" s="35" t="n">
        <x:v>0.2</x:v>
      </x:c>
      <x:c r="H170" s="35" t="n">
        <x:v>80</x:v>
      </x:c>
      <x:c r="I170" s="35" t="n">
        <x:f>G170*H170</x:f>
        <x:v>16</x:v>
      </x:c>
      <x:c r="J170" s="23" t="str">
        <x:v>planning review only</x:v>
      </x:c>
    </x:row>
    <x:row r="171">
      <x:c r="B171" s="21" t="str">
        <x:v>STG-S01-A-M03</x:v>
      </x:c>
      <x:c r="C171" s="21" t="str">
        <x:v>STG-S01-A</x:v>
      </x:c>
      <x:c r="D171" s="21" t="str">
        <x:v>STG-S01</x:v>
      </x:c>
      <x:c r="E171" s="21" t="str">
        <x:v>M03</x:v>
      </x:c>
      <x:c r="F171" s="21" t="str">
        <x:v>testability</x:v>
      </x:c>
      <x:c r="G171" s="35" t="n">
        <x:v>0.2</x:v>
      </x:c>
      <x:c r="H171" s="35" t="n">
        <x:v>85</x:v>
      </x:c>
      <x:c r="I171" s="35" t="n">
        <x:f>G171*H171</x:f>
        <x:v>17</x:v>
      </x:c>
      <x:c r="J171" s="23" t="str">
        <x:v>planning review only</x:v>
      </x:c>
    </x:row>
    <x:row r="172">
      <x:c r="B172" s="21" t="str">
        <x:v>STG-S01-A-M04</x:v>
      </x:c>
      <x:c r="C172" s="21" t="str">
        <x:v>STG-S01-A</x:v>
      </x:c>
      <x:c r="D172" s="21" t="str">
        <x:v>STG-S01</x:v>
      </x:c>
      <x:c r="E172" s="21" t="str">
        <x:v>M04</x:v>
      </x:c>
      <x:c r="F172" s="21" t="str">
        <x:v>field maintainability</x:v>
      </x:c>
      <x:c r="G172" s="35" t="n">
        <x:v>0.15</x:v>
      </x:c>
      <x:c r="H172" s="35" t="n">
        <x:v>78</x:v>
      </x:c>
      <x:c r="I172" s="35" t="n">
        <x:f>G172*H172</x:f>
        <x:v>11.7</x:v>
      </x:c>
      <x:c r="J172" s="23" t="str">
        <x:v>planning review only</x:v>
      </x:c>
    </x:row>
    <x:row r="173">
      <x:c r="B173" s="21" t="str">
        <x:v>STG-S01-A-M05</x:v>
      </x:c>
      <x:c r="C173" s="21" t="str">
        <x:v>STG-S01-A</x:v>
      </x:c>
      <x:c r="D173" s="21" t="str">
        <x:v>STG-S01</x:v>
      </x:c>
      <x:c r="E173" s="21" t="str">
        <x:v>M05</x:v>
      </x:c>
      <x:c r="F173" s="21" t="str">
        <x:v>manufacturing scale</x:v>
      </x:c>
      <x:c r="G173" s="35" t="n">
        <x:v>0.1</x:v>
      </x:c>
      <x:c r="H173" s="35" t="n">
        <x:v>77</x:v>
      </x:c>
      <x:c r="I173" s="35" t="n">
        <x:f>G173*H173</x:f>
        <x:v>7.7</x:v>
      </x:c>
      <x:c r="J173" s="23" t="str">
        <x:v>planning review only</x:v>
      </x:c>
    </x:row>
    <x:row r="174">
      <x:c r="B174" s="21" t="str">
        <x:v>STG-S01-A-M06</x:v>
      </x:c>
      <x:c r="C174" s="21" t="str">
        <x:v>STG-S01-A</x:v>
      </x:c>
      <x:c r="D174" s="21" t="str">
        <x:v>STG-S01</x:v>
      </x:c>
      <x:c r="E174" s="21" t="str">
        <x:v>M06</x:v>
      </x:c>
      <x:c r="F174" s="21" t="str">
        <x:v>export portability</x:v>
      </x:c>
      <x:c r="G174" s="35" t="n">
        <x:v>0.1</x:v>
      </x:c>
      <x:c r="H174" s="35" t="n">
        <x:v>76</x:v>
      </x:c>
      <x:c r="I174" s="35" t="n">
        <x:f>G174*H174</x:f>
        <x:v>7.6000000000000005</x:v>
      </x:c>
      <x:c r="J174" s="23" t="str">
        <x:v>planning review only</x:v>
      </x:c>
    </x:row>
    <x:row r="175">
      <x:c r="B175" s="21" t="str">
        <x:v>STG-S01-B-M01</x:v>
      </x:c>
      <x:c r="C175" s="21" t="str">
        <x:v>STG-S01-B</x:v>
      </x:c>
      <x:c r="D175" s="21" t="str">
        <x:v>STG-S01</x:v>
      </x:c>
      <x:c r="E175" s="21" t="str">
        <x:v>M01</x:v>
      </x:c>
      <x:c r="F175" s="21" t="str">
        <x:v>mission learning</x:v>
      </x:c>
      <x:c r="G175" s="35" t="n">
        <x:v>0.25</x:v>
      </x:c>
      <x:c r="H175" s="35" t="n">
        <x:v>84</x:v>
      </x:c>
      <x:c r="I175" s="35" t="n">
        <x:f>G175*H175</x:f>
        <x:v>21</x:v>
      </x:c>
      <x:c r="J175" s="23" t="str">
        <x:v>planning review only</x:v>
      </x:c>
    </x:row>
    <x:row r="176">
      <x:c r="B176" s="21" t="str">
        <x:v>STG-S01-B-M02</x:v>
      </x:c>
      <x:c r="C176" s="21" t="str">
        <x:v>STG-S01-B</x:v>
      </x:c>
      <x:c r="D176" s="21" t="str">
        <x:v>STG-S01</x:v>
      </x:c>
      <x:c r="E176" s="21" t="str">
        <x:v>M02</x:v>
      </x:c>
      <x:c r="F176" s="21" t="str">
        <x:v>technical divergence</x:v>
      </x:c>
      <x:c r="G176" s="35" t="n">
        <x:v>0.2</x:v>
      </x:c>
      <x:c r="H176" s="35" t="n">
        <x:v>90</x:v>
      </x:c>
      <x:c r="I176" s="35" t="n">
        <x:f>G176*H176</x:f>
        <x:v>18</x:v>
      </x:c>
      <x:c r="J176" s="23" t="str">
        <x:v>planning review only</x:v>
      </x:c>
    </x:row>
    <x:row r="177">
      <x:c r="B177" s="21" t="str">
        <x:v>STG-S01-B-M03</x:v>
      </x:c>
      <x:c r="C177" s="21" t="str">
        <x:v>STG-S01-B</x:v>
      </x:c>
      <x:c r="D177" s="21" t="str">
        <x:v>STG-S01</x:v>
      </x:c>
      <x:c r="E177" s="21" t="str">
        <x:v>M03</x:v>
      </x:c>
      <x:c r="F177" s="21" t="str">
        <x:v>testability</x:v>
      </x:c>
      <x:c r="G177" s="35" t="n">
        <x:v>0.2</x:v>
      </x:c>
      <x:c r="H177" s="35" t="n">
        <x:v>83</x:v>
      </x:c>
      <x:c r="I177" s="35" t="n">
        <x:f>G177*H177</x:f>
        <x:v>16.6</x:v>
      </x:c>
      <x:c r="J177" s="23" t="str">
        <x:v>planning review only</x:v>
      </x:c>
    </x:row>
    <x:row r="178">
      <x:c r="B178" s="21" t="str">
        <x:v>STG-S01-B-M04</x:v>
      </x:c>
      <x:c r="C178" s="21" t="str">
        <x:v>STG-S01-B</x:v>
      </x:c>
      <x:c r="D178" s="21" t="str">
        <x:v>STG-S01</x:v>
      </x:c>
      <x:c r="E178" s="21" t="str">
        <x:v>M04</x:v>
      </x:c>
      <x:c r="F178" s="21" t="str">
        <x:v>field maintainability</x:v>
      </x:c>
      <x:c r="G178" s="35" t="n">
        <x:v>0.15</x:v>
      </x:c>
      <x:c r="H178" s="35" t="n">
        <x:v>80</x:v>
      </x:c>
      <x:c r="I178" s="35" t="n">
        <x:f>G178*H178</x:f>
        <x:v>12</x:v>
      </x:c>
      <x:c r="J178" s="23" t="str">
        <x:v>planning review only</x:v>
      </x:c>
    </x:row>
    <x:row r="179">
      <x:c r="B179" s="21" t="str">
        <x:v>STG-S01-B-M05</x:v>
      </x:c>
      <x:c r="C179" s="21" t="str">
        <x:v>STG-S01-B</x:v>
      </x:c>
      <x:c r="D179" s="21" t="str">
        <x:v>STG-S01</x:v>
      </x:c>
      <x:c r="E179" s="21" t="str">
        <x:v>M05</x:v>
      </x:c>
      <x:c r="F179" s="21" t="str">
        <x:v>manufacturing scale</x:v>
      </x:c>
      <x:c r="G179" s="35" t="n">
        <x:v>0.1</x:v>
      </x:c>
      <x:c r="H179" s="35" t="n">
        <x:v>73</x:v>
      </x:c>
      <x:c r="I179" s="35" t="n">
        <x:f>G179*H179</x:f>
        <x:v>7.300000000000001</x:v>
      </x:c>
      <x:c r="J179" s="23" t="str">
        <x:v>planning review only</x:v>
      </x:c>
    </x:row>
    <x:row r="180">
      <x:c r="B180" s="21" t="str">
        <x:v>STG-S01-B-M06</x:v>
      </x:c>
      <x:c r="C180" s="21" t="str">
        <x:v>STG-S01-B</x:v>
      </x:c>
      <x:c r="D180" s="21" t="str">
        <x:v>STG-S01</x:v>
      </x:c>
      <x:c r="E180" s="21" t="str">
        <x:v>M06</x:v>
      </x:c>
      <x:c r="F180" s="21" t="str">
        <x:v>export portability</x:v>
      </x:c>
      <x:c r="G180" s="35" t="n">
        <x:v>0.1</x:v>
      </x:c>
      <x:c r="H180" s="35" t="n">
        <x:v>84</x:v>
      </x:c>
      <x:c r="I180" s="35" t="n">
        <x:f>G180*H180</x:f>
        <x:v>8.4</x:v>
      </x:c>
      <x:c r="J180" s="23" t="str">
        <x:v>planning review only</x:v>
      </x:c>
    </x:row>
    <x:row r="181">
      <x:c r="B181" s="21" t="str">
        <x:v>STG-S01-C-M01</x:v>
      </x:c>
      <x:c r="C181" s="21" t="str">
        <x:v>STG-S01-C</x:v>
      </x:c>
      <x:c r="D181" s="21" t="str">
        <x:v>STG-S01</x:v>
      </x:c>
      <x:c r="E181" s="21" t="str">
        <x:v>M01</x:v>
      </x:c>
      <x:c r="F181" s="21" t="str">
        <x:v>mission learning</x:v>
      </x:c>
      <x:c r="G181" s="35" t="n">
        <x:v>0.25</x:v>
      </x:c>
      <x:c r="H181" s="35" t="n">
        <x:v>96</x:v>
      </x:c>
      <x:c r="I181" s="35" t="n">
        <x:f>G181*H181</x:f>
        <x:v>24</x:v>
      </x:c>
      <x:c r="J181" s="23" t="str">
        <x:v>planning review only</x:v>
      </x:c>
    </x:row>
    <x:row r="182">
      <x:c r="B182" s="21" t="str">
        <x:v>STG-S01-C-M02</x:v>
      </x:c>
      <x:c r="C182" s="21" t="str">
        <x:v>STG-S01-C</x:v>
      </x:c>
      <x:c r="D182" s="21" t="str">
        <x:v>STG-S01</x:v>
      </x:c>
      <x:c r="E182" s="21" t="str">
        <x:v>M02</x:v>
      </x:c>
      <x:c r="F182" s="21" t="str">
        <x:v>technical divergence</x:v>
      </x:c>
      <x:c r="G182" s="35" t="n">
        <x:v>0.2</x:v>
      </x:c>
      <x:c r="H182" s="35" t="n">
        <x:v>94</x:v>
      </x:c>
      <x:c r="I182" s="35" t="n">
        <x:f>G182*H182</x:f>
        <x:v>18.8</x:v>
      </x:c>
      <x:c r="J182" s="23" t="str">
        <x:v>planning review only</x:v>
      </x:c>
    </x:row>
    <x:row r="183">
      <x:c r="B183" s="21" t="str">
        <x:v>STG-S01-C-M03</x:v>
      </x:c>
      <x:c r="C183" s="21" t="str">
        <x:v>STG-S01-C</x:v>
      </x:c>
      <x:c r="D183" s="21" t="str">
        <x:v>STG-S01</x:v>
      </x:c>
      <x:c r="E183" s="21" t="str">
        <x:v>M03</x:v>
      </x:c>
      <x:c r="F183" s="21" t="str">
        <x:v>testability</x:v>
      </x:c>
      <x:c r="G183" s="35" t="n">
        <x:v>0.2</x:v>
      </x:c>
      <x:c r="H183" s="35" t="n">
        <x:v>61</x:v>
      </x:c>
      <x:c r="I183" s="35" t="n">
        <x:f>G183*H183</x:f>
        <x:v>12.200000000000001</x:v>
      </x:c>
      <x:c r="J183" s="23" t="str">
        <x:v>planning review only</x:v>
      </x:c>
    </x:row>
    <x:row r="184">
      <x:c r="B184" s="21" t="str">
        <x:v>STG-S01-C-M04</x:v>
      </x:c>
      <x:c r="C184" s="21" t="str">
        <x:v>STG-S01-C</x:v>
      </x:c>
      <x:c r="D184" s="21" t="str">
        <x:v>STG-S01</x:v>
      </x:c>
      <x:c r="E184" s="21" t="str">
        <x:v>M04</x:v>
      </x:c>
      <x:c r="F184" s="21" t="str">
        <x:v>field maintainability</x:v>
      </x:c>
      <x:c r="G184" s="35" t="n">
        <x:v>0.15</x:v>
      </x:c>
      <x:c r="H184" s="35" t="n">
        <x:v>66</x:v>
      </x:c>
      <x:c r="I184" s="35" t="n">
        <x:f>G184*H184</x:f>
        <x:v>9.9</x:v>
      </x:c>
      <x:c r="J184" s="23" t="str">
        <x:v>planning review only</x:v>
      </x:c>
    </x:row>
    <x:row r="185">
      <x:c r="B185" s="21" t="str">
        <x:v>STG-S01-C-M05</x:v>
      </x:c>
      <x:c r="C185" s="21" t="str">
        <x:v>STG-S01-C</x:v>
      </x:c>
      <x:c r="D185" s="21" t="str">
        <x:v>STG-S01</x:v>
      </x:c>
      <x:c r="E185" s="21" t="str">
        <x:v>M05</x:v>
      </x:c>
      <x:c r="F185" s="21" t="str">
        <x:v>manufacturing scale</x:v>
      </x:c>
      <x:c r="G185" s="35" t="n">
        <x:v>0.1</x:v>
      </x:c>
      <x:c r="H185" s="35" t="n">
        <x:v>59</x:v>
      </x:c>
      <x:c r="I185" s="35" t="n">
        <x:f>G185*H185</x:f>
        <x:v>5.9</x:v>
      </x:c>
      <x:c r="J185" s="23" t="str">
        <x:v>planning review only</x:v>
      </x:c>
    </x:row>
    <x:row r="186">
      <x:c r="B186" s="21" t="str">
        <x:v>STG-S01-C-M06</x:v>
      </x:c>
      <x:c r="C186" s="21" t="str">
        <x:v>STG-S01-C</x:v>
      </x:c>
      <x:c r="D186" s="21" t="str">
        <x:v>STG-S01</x:v>
      </x:c>
      <x:c r="E186" s="21" t="str">
        <x:v>M06</x:v>
      </x:c>
      <x:c r="F186" s="21" t="str">
        <x:v>export portability</x:v>
      </x:c>
      <x:c r="G186" s="35" t="n">
        <x:v>0.1</x:v>
      </x:c>
      <x:c r="H186" s="35" t="n">
        <x:v>92</x:v>
      </x:c>
      <x:c r="I186" s="35" t="n">
        <x:f>G186*H186</x:f>
        <x:v>9.200000000000001</x:v>
      </x:c>
      <x:c r="J186" s="23" t="str">
        <x:v>planning review only</x:v>
      </x:c>
    </x:row>
    <x:row r="187">
      <x:c r="B187" s="21" t="str">
        <x:v>MHE-E01-A-M01</x:v>
      </x:c>
      <x:c r="C187" s="21" t="str">
        <x:v>MHE-E01-A</x:v>
      </x:c>
      <x:c r="D187" s="21" t="str">
        <x:v>MHE-E01</x:v>
      </x:c>
      <x:c r="E187" s="21" t="str">
        <x:v>M01</x:v>
      </x:c>
      <x:c r="F187" s="21" t="str">
        <x:v>mission learning</x:v>
      </x:c>
      <x:c r="G187" s="35" t="n">
        <x:v>0.25</x:v>
      </x:c>
      <x:c r="H187" s="35" t="n">
        <x:v>82</x:v>
      </x:c>
      <x:c r="I187" s="35" t="n">
        <x:f>G187*H187</x:f>
        <x:v>20.5</x:v>
      </x:c>
      <x:c r="J187" s="23" t="str">
        <x:v>planning review only</x:v>
      </x:c>
    </x:row>
    <x:row r="188">
      <x:c r="B188" s="21" t="str">
        <x:v>MHE-E01-A-M02</x:v>
      </x:c>
      <x:c r="C188" s="21" t="str">
        <x:v>MHE-E01-A</x:v>
      </x:c>
      <x:c r="D188" s="21" t="str">
        <x:v>MHE-E01</x:v>
      </x:c>
      <x:c r="E188" s="21" t="str">
        <x:v>M02</x:v>
      </x:c>
      <x:c r="F188" s="21" t="str">
        <x:v>technical divergence</x:v>
      </x:c>
      <x:c r="G188" s="35" t="n">
        <x:v>0.2</x:v>
      </x:c>
      <x:c r="H188" s="35" t="n">
        <x:v>81</x:v>
      </x:c>
      <x:c r="I188" s="35" t="n">
        <x:f>G188*H188</x:f>
        <x:v>16.2</x:v>
      </x:c>
      <x:c r="J188" s="23" t="str">
        <x:v>planning review only</x:v>
      </x:c>
    </x:row>
    <x:row r="189">
      <x:c r="B189" s="21" t="str">
        <x:v>MHE-E01-A-M03</x:v>
      </x:c>
      <x:c r="C189" s="21" t="str">
        <x:v>MHE-E01-A</x:v>
      </x:c>
      <x:c r="D189" s="21" t="str">
        <x:v>MHE-E01</x:v>
      </x:c>
      <x:c r="E189" s="21" t="str">
        <x:v>M03</x:v>
      </x:c>
      <x:c r="F189" s="21" t="str">
        <x:v>testability</x:v>
      </x:c>
      <x:c r="G189" s="35" t="n">
        <x:v>0.2</x:v>
      </x:c>
      <x:c r="H189" s="35" t="n">
        <x:v>86</x:v>
      </x:c>
      <x:c r="I189" s="35" t="n">
        <x:f>G189*H189</x:f>
        <x:v>17.2</x:v>
      </x:c>
      <x:c r="J189" s="23" t="str">
        <x:v>planning review only</x:v>
      </x:c>
    </x:row>
    <x:row r="190">
      <x:c r="B190" s="21" t="str">
        <x:v>MHE-E01-A-M04</x:v>
      </x:c>
      <x:c r="C190" s="21" t="str">
        <x:v>MHE-E01-A</x:v>
      </x:c>
      <x:c r="D190" s="21" t="str">
        <x:v>MHE-E01</x:v>
      </x:c>
      <x:c r="E190" s="21" t="str">
        <x:v>M04</x:v>
      </x:c>
      <x:c r="F190" s="21" t="str">
        <x:v>field maintainability</x:v>
      </x:c>
      <x:c r="G190" s="35" t="n">
        <x:v>0.15</x:v>
      </x:c>
      <x:c r="H190" s="35" t="n">
        <x:v>79</x:v>
      </x:c>
      <x:c r="I190" s="35" t="n">
        <x:f>G190*H190</x:f>
        <x:v>11.85</x:v>
      </x:c>
      <x:c r="J190" s="23" t="str">
        <x:v>planning review only</x:v>
      </x:c>
    </x:row>
    <x:row r="191">
      <x:c r="B191" s="21" t="str">
        <x:v>MHE-E01-A-M05</x:v>
      </x:c>
      <x:c r="C191" s="21" t="str">
        <x:v>MHE-E01-A</x:v>
      </x:c>
      <x:c r="D191" s="21" t="str">
        <x:v>MHE-E01</x:v>
      </x:c>
      <x:c r="E191" s="21" t="str">
        <x:v>M05</x:v>
      </x:c>
      <x:c r="F191" s="21" t="str">
        <x:v>manufacturing scale</x:v>
      </x:c>
      <x:c r="G191" s="35" t="n">
        <x:v>0.1</x:v>
      </x:c>
      <x:c r="H191" s="35" t="n">
        <x:v>78</x:v>
      </x:c>
      <x:c r="I191" s="35" t="n">
        <x:f>G191*H191</x:f>
        <x:v>7.800000000000001</x:v>
      </x:c>
      <x:c r="J191" s="23" t="str">
        <x:v>planning review only</x:v>
      </x:c>
    </x:row>
    <x:row r="192">
      <x:c r="B192" s="21" t="str">
        <x:v>MHE-E01-A-M06</x:v>
      </x:c>
      <x:c r="C192" s="21" t="str">
        <x:v>MHE-E01-A</x:v>
      </x:c>
      <x:c r="D192" s="21" t="str">
        <x:v>MHE-E01</x:v>
      </x:c>
      <x:c r="E192" s="21" t="str">
        <x:v>M06</x:v>
      </x:c>
      <x:c r="F192" s="21" t="str">
        <x:v>export portability</x:v>
      </x:c>
      <x:c r="G192" s="35" t="n">
        <x:v>0.1</x:v>
      </x:c>
      <x:c r="H192" s="35" t="n">
        <x:v>72</x:v>
      </x:c>
      <x:c r="I192" s="35" t="n">
        <x:f>G192*H192</x:f>
        <x:v>7.2</x:v>
      </x:c>
      <x:c r="J192" s="23" t="str">
        <x:v>planning review only</x:v>
      </x:c>
    </x:row>
    <x:row r="193">
      <x:c r="B193" s="21" t="str">
        <x:v>MHE-E01-B-M01</x:v>
      </x:c>
      <x:c r="C193" s="21" t="str">
        <x:v>MHE-E01-B</x:v>
      </x:c>
      <x:c r="D193" s="21" t="str">
        <x:v>MHE-E01</x:v>
      </x:c>
      <x:c r="E193" s="21" t="str">
        <x:v>M01</x:v>
      </x:c>
      <x:c r="F193" s="21" t="str">
        <x:v>mission learning</x:v>
      </x:c>
      <x:c r="G193" s="35" t="n">
        <x:v>0.25</x:v>
      </x:c>
      <x:c r="H193" s="35" t="n">
        <x:v>80</x:v>
      </x:c>
      <x:c r="I193" s="35" t="n">
        <x:f>G193*H193</x:f>
        <x:v>20</x:v>
      </x:c>
      <x:c r="J193" s="23" t="str">
        <x:v>planning review only</x:v>
      </x:c>
    </x:row>
    <x:row r="194">
      <x:c r="B194" s="21" t="str">
        <x:v>MHE-E01-B-M02</x:v>
      </x:c>
      <x:c r="C194" s="21" t="str">
        <x:v>MHE-E01-B</x:v>
      </x:c>
      <x:c r="D194" s="21" t="str">
        <x:v>MHE-E01</x:v>
      </x:c>
      <x:c r="E194" s="21" t="str">
        <x:v>M02</x:v>
      </x:c>
      <x:c r="F194" s="21" t="str">
        <x:v>technical divergence</x:v>
      </x:c>
      <x:c r="G194" s="35" t="n">
        <x:v>0.2</x:v>
      </x:c>
      <x:c r="H194" s="35" t="n">
        <x:v>91</x:v>
      </x:c>
      <x:c r="I194" s="35" t="n">
        <x:f>G194*H194</x:f>
        <x:v>18.2</x:v>
      </x:c>
      <x:c r="J194" s="23" t="str">
        <x:v>planning review only</x:v>
      </x:c>
    </x:row>
    <x:row r="195">
      <x:c r="B195" s="21" t="str">
        <x:v>MHE-E01-B-M03</x:v>
      </x:c>
      <x:c r="C195" s="21" t="str">
        <x:v>MHE-E01-B</x:v>
      </x:c>
      <x:c r="D195" s="21" t="str">
        <x:v>MHE-E01</x:v>
      </x:c>
      <x:c r="E195" s="21" t="str">
        <x:v>M03</x:v>
      </x:c>
      <x:c r="F195" s="21" t="str">
        <x:v>testability</x:v>
      </x:c>
      <x:c r="G195" s="35" t="n">
        <x:v>0.2</x:v>
      </x:c>
      <x:c r="H195" s="35" t="n">
        <x:v>84</x:v>
      </x:c>
      <x:c r="I195" s="35" t="n">
        <x:f>G195*H195</x:f>
        <x:v>16.8</x:v>
      </x:c>
      <x:c r="J195" s="23" t="str">
        <x:v>planning review only</x:v>
      </x:c>
    </x:row>
    <x:row r="196">
      <x:c r="B196" s="21" t="str">
        <x:v>MHE-E01-B-M04</x:v>
      </x:c>
      <x:c r="C196" s="21" t="str">
        <x:v>MHE-E01-B</x:v>
      </x:c>
      <x:c r="D196" s="21" t="str">
        <x:v>MHE-E01</x:v>
      </x:c>
      <x:c r="E196" s="21" t="str">
        <x:v>M04</x:v>
      </x:c>
      <x:c r="F196" s="21" t="str">
        <x:v>field maintainability</x:v>
      </x:c>
      <x:c r="G196" s="35" t="n">
        <x:v>0.15</x:v>
      </x:c>
      <x:c r="H196" s="35" t="n">
        <x:v>81</x:v>
      </x:c>
      <x:c r="I196" s="35" t="n">
        <x:f>G196*H196</x:f>
        <x:v>12.15</x:v>
      </x:c>
      <x:c r="J196" s="23" t="str">
        <x:v>planning review only</x:v>
      </x:c>
    </x:row>
    <x:row r="197">
      <x:c r="B197" s="21" t="str">
        <x:v>MHE-E01-B-M05</x:v>
      </x:c>
      <x:c r="C197" s="21" t="str">
        <x:v>MHE-E01-B</x:v>
      </x:c>
      <x:c r="D197" s="21" t="str">
        <x:v>MHE-E01</x:v>
      </x:c>
      <x:c r="E197" s="21" t="str">
        <x:v>M05</x:v>
      </x:c>
      <x:c r="F197" s="21" t="str">
        <x:v>manufacturing scale</x:v>
      </x:c>
      <x:c r="G197" s="35" t="n">
        <x:v>0.1</x:v>
      </x:c>
      <x:c r="H197" s="35" t="n">
        <x:v>74</x:v>
      </x:c>
      <x:c r="I197" s="35" t="n">
        <x:f>G197*H197</x:f>
        <x:v>7.4</x:v>
      </x:c>
      <x:c r="J197" s="23" t="str">
        <x:v>planning review only</x:v>
      </x:c>
    </x:row>
    <x:row r="198">
      <x:c r="B198" s="21" t="str">
        <x:v>MHE-E01-B-M06</x:v>
      </x:c>
      <x:c r="C198" s="21" t="str">
        <x:v>MHE-E01-B</x:v>
      </x:c>
      <x:c r="D198" s="21" t="str">
        <x:v>MHE-E01</x:v>
      </x:c>
      <x:c r="E198" s="21" t="str">
        <x:v>M06</x:v>
      </x:c>
      <x:c r="F198" s="21" t="str">
        <x:v>export portability</x:v>
      </x:c>
      <x:c r="G198" s="35" t="n">
        <x:v>0.1</x:v>
      </x:c>
      <x:c r="H198" s="35" t="n">
        <x:v>80</x:v>
      </x:c>
      <x:c r="I198" s="35" t="n">
        <x:f>G198*H198</x:f>
        <x:v>8</x:v>
      </x:c>
      <x:c r="J198" s="23" t="str">
        <x:v>planning review only</x:v>
      </x:c>
    </x:row>
    <x:row r="199">
      <x:c r="B199" s="21" t="str">
        <x:v>MHE-E01-C-M01</x:v>
      </x:c>
      <x:c r="C199" s="21" t="str">
        <x:v>MHE-E01-C</x:v>
      </x:c>
      <x:c r="D199" s="21" t="str">
        <x:v>MHE-E01</x:v>
      </x:c>
      <x:c r="E199" s="21" t="str">
        <x:v>M01</x:v>
      </x:c>
      <x:c r="F199" s="21" t="str">
        <x:v>mission learning</x:v>
      </x:c>
      <x:c r="G199" s="35" t="n">
        <x:v>0.25</x:v>
      </x:c>
      <x:c r="H199" s="35" t="n">
        <x:v>92</x:v>
      </x:c>
      <x:c r="I199" s="35" t="n">
        <x:f>G199*H199</x:f>
        <x:v>23</x:v>
      </x:c>
      <x:c r="J199" s="23" t="str">
        <x:v>planning review only</x:v>
      </x:c>
    </x:row>
    <x:row r="200">
      <x:c r="B200" s="21" t="str">
        <x:v>MHE-E01-C-M02</x:v>
      </x:c>
      <x:c r="C200" s="21" t="str">
        <x:v>MHE-E01-C</x:v>
      </x:c>
      <x:c r="D200" s="21" t="str">
        <x:v>MHE-E01</x:v>
      </x:c>
      <x:c r="E200" s="21" t="str">
        <x:v>M02</x:v>
      </x:c>
      <x:c r="F200" s="21" t="str">
        <x:v>technical divergence</x:v>
      </x:c>
      <x:c r="G200" s="35" t="n">
        <x:v>0.2</x:v>
      </x:c>
      <x:c r="H200" s="35" t="n">
        <x:v>95</x:v>
      </x:c>
      <x:c r="I200" s="35" t="n">
        <x:f>G200*H200</x:f>
        <x:v>19</x:v>
      </x:c>
      <x:c r="J200" s="23" t="str">
        <x:v>planning review only</x:v>
      </x:c>
    </x:row>
    <x:row r="201">
      <x:c r="B201" s="21" t="str">
        <x:v>MHE-E01-C-M03</x:v>
      </x:c>
      <x:c r="C201" s="21" t="str">
        <x:v>MHE-E01-C</x:v>
      </x:c>
      <x:c r="D201" s="21" t="str">
        <x:v>MHE-E01</x:v>
      </x:c>
      <x:c r="E201" s="21" t="str">
        <x:v>M03</x:v>
      </x:c>
      <x:c r="F201" s="21" t="str">
        <x:v>testability</x:v>
      </x:c>
      <x:c r="G201" s="35" t="n">
        <x:v>0.2</x:v>
      </x:c>
      <x:c r="H201" s="35" t="n">
        <x:v>62</x:v>
      </x:c>
      <x:c r="I201" s="35" t="n">
        <x:f>G201*H201</x:f>
        <x:v>12.4</x:v>
      </x:c>
      <x:c r="J201" s="23" t="str">
        <x:v>planning review only</x:v>
      </x:c>
    </x:row>
    <x:row r="202">
      <x:c r="B202" s="21" t="str">
        <x:v>MHE-E01-C-M04</x:v>
      </x:c>
      <x:c r="C202" s="21" t="str">
        <x:v>MHE-E01-C</x:v>
      </x:c>
      <x:c r="D202" s="21" t="str">
        <x:v>MHE-E01</x:v>
      </x:c>
      <x:c r="E202" s="21" t="str">
        <x:v>M04</x:v>
      </x:c>
      <x:c r="F202" s="21" t="str">
        <x:v>field maintainability</x:v>
      </x:c>
      <x:c r="G202" s="35" t="n">
        <x:v>0.15</x:v>
      </x:c>
      <x:c r="H202" s="35" t="n">
        <x:v>67</x:v>
      </x:c>
      <x:c r="I202" s="35" t="n">
        <x:f>G202*H202</x:f>
        <x:v>10.049999999999999</x:v>
      </x:c>
      <x:c r="J202" s="23" t="str">
        <x:v>planning review only</x:v>
      </x:c>
    </x:row>
    <x:row r="203">
      <x:c r="B203" s="21" t="str">
        <x:v>MHE-E01-C-M05</x:v>
      </x:c>
      <x:c r="C203" s="21" t="str">
        <x:v>MHE-E01-C</x:v>
      </x:c>
      <x:c r="D203" s="21" t="str">
        <x:v>MHE-E01</x:v>
      </x:c>
      <x:c r="E203" s="21" t="str">
        <x:v>M05</x:v>
      </x:c>
      <x:c r="F203" s="21" t="str">
        <x:v>manufacturing scale</x:v>
      </x:c>
      <x:c r="G203" s="35" t="n">
        <x:v>0.1</x:v>
      </x:c>
      <x:c r="H203" s="35" t="n">
        <x:v>60</x:v>
      </x:c>
      <x:c r="I203" s="35" t="n">
        <x:f>G203*H203</x:f>
        <x:v>6</x:v>
      </x:c>
      <x:c r="J203" s="23" t="str">
        <x:v>planning review only</x:v>
      </x:c>
    </x:row>
    <x:row r="204">
      <x:c r="B204" s="24" t="str">
        <x:v>MHE-E01-C-M06</x:v>
      </x:c>
      <x:c r="C204" s="24" t="str">
        <x:v>MHE-E01-C</x:v>
      </x:c>
      <x:c r="D204" s="24" t="str">
        <x:v>MHE-E01</x:v>
      </x:c>
      <x:c r="E204" s="24" t="str">
        <x:v>M06</x:v>
      </x:c>
      <x:c r="F204" s="24" t="str">
        <x:v>export portability</x:v>
      </x:c>
      <x:c r="G204" s="36" t="n">
        <x:v>0.1</x:v>
      </x:c>
      <x:c r="H204" s="36" t="n">
        <x:v>88</x:v>
      </x:c>
      <x:c r="I204" s="36" t="n">
        <x:f>G204*H204</x:f>
        <x:v>8.8</x:v>
      </x:c>
      <x:c r="J204" s="26" t="str">
        <x:v>planning review only</x:v>
      </x:c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</x:row>
  </x:sheetData>
  <x:mergeCells>
    <x:mergeCell ref="B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4" hidden="0" customWidth="1"/>
    <x:col min="4" max="4" width="25" hidden="0" customWidth="1"/>
    <x:col min="5" max="5" width="11" hidden="0" customWidth="1"/>
    <x:col min="6" max="6" width="21" hidden="0" customWidth="1"/>
    <x:col min="7" max="7" width="16" hidden="0" customWidth="1"/>
    <x:col min="8" max="8" width="17" hidden="0" customWidth="1"/>
    <x:col min="9" max="9" width="17" hidden="0" customWidth="1"/>
    <x:col min="10" max="10" width="21" hidden="0" customWidth="1"/>
    <x:col min="11" max="11" width="17" hidden="0" customWidth="1"/>
    <x:col min="12" max="12" width="13" hidden="0" customWidth="1"/>
  </x:cols>
  <x:sheetData>
    <x:row r="2">
      <x:c r="B2" s="3" t="str">
        <x:v>Provisional award portfolio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Two build roots and one challenge root are reserved per family. No row carries construction, payment, evidence, or production authority.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Proposal</x:v>
      </x:c>
      <x:c r="C6" s="20" t="str">
        <x:v>Family</x:v>
      </x:c>
      <x:c r="D6" s="20" t="str">
        <x:v>System</x:v>
      </x:c>
      <x:c r="E6" s="20" t="str">
        <x:v>Variant</x:v>
      </x:c>
      <x:c r="F6" s="20" t="str">
        <x:v>Integrator</x:v>
      </x:c>
      <x:c r="G6" s="20" t="str">
        <x:v>Hard passes</x:v>
      </x:c>
      <x:c r="H6" s="20" t="str">
        <x:v>Weighted merit</x:v>
      </x:c>
      <x:c r="I6" s="20" t="str">
        <x:v>Contract USD B</x:v>
      </x:c>
      <x:c r="J6" s="20" t="str">
        <x:v>Path</x:v>
      </x:c>
      <x:c r="K6" s="20" t="str">
        <x:v>Build authority</x:v>
      </x:c>
      <x:c r="L6" s="20" t="str">
        <x:v>Evidence</x:v>
      </x:c>
    </x:row>
    <x:row r="7">
      <x:c r="B7" s="21" t="str">
        <x:v>ATC-A01-A</x:v>
      </x:c>
      <x:c r="C7" s="21" t="str">
        <x:v>ATC-A01</x:v>
      </x:c>
      <x:c r="D7" s="21" t="str">
        <x:v>Air tile cassette</x:v>
      </x:c>
      <x:c r="E7" s="21" t="str">
        <x:v>A</x:v>
      </x:c>
      <x:c r="F7" s="21" t="str">
        <x:v>Integrator I01</x:v>
      </x:c>
      <x:c r="G7" s="21" t="n">
        <x:f>COUNTIFS('Paper Gates'!C7:C402,B7,'Paper Gates'!I7:I402,"PASS")</x:f>
        <x:v>12</x:v>
      </x:c>
      <x:c r="H7" s="32" t="n">
        <x:f>SUMIFS('Merit Review'!I7:I204,'Merit Review'!C7:C204,B7)</x:f>
        <x:v>80.75</x:v>
      </x:c>
      <x:c r="I7" s="32" t="n">
        <x:f>'Family Packages'!R7*0.45</x:f>
        <x:v>0.108</x:v>
      </x:c>
      <x:c r="J7" s="21" t="str">
        <x:v>PROVISIONAL BUILD</x:v>
      </x:c>
      <x:c r="K7" s="21" t="str">
        <x:v>HOLD</x:v>
      </x:c>
      <x:c r="L7" s="23" t="str">
        <x:v>OPEN</x:v>
      </x:c>
    </x:row>
    <x:row r="8">
      <x:c r="B8" s="21" t="str">
        <x:v>ATC-A01-B</x:v>
      </x:c>
      <x:c r="C8" s="21" t="str">
        <x:v>ATC-A01</x:v>
      </x:c>
      <x:c r="D8" s="21" t="str">
        <x:v>Air tile cassette</x:v>
      </x:c>
      <x:c r="E8" s="21" t="str">
        <x:v>B</x:v>
      </x:c>
      <x:c r="F8" s="21" t="str">
        <x:v>Integrator I02</x:v>
      </x:c>
      <x:c r="G8" s="21" t="n">
        <x:f>COUNTIFS('Paper Gates'!C7:C402,B8,'Paper Gates'!I7:I402,"PASS")</x:f>
        <x:v>12</x:v>
      </x:c>
      <x:c r="H8" s="32" t="n">
        <x:f>SUMIFS('Merit Review'!I7:I204,'Merit Review'!C7:C204,B8)</x:f>
        <x:v>82.55000000000001</x:v>
      </x:c>
      <x:c r="I8" s="32" t="n">
        <x:f>'Family Packages'!R7*0.45</x:f>
        <x:v>0.108</x:v>
      </x:c>
      <x:c r="J8" s="21" t="str">
        <x:v>PROVISIONAL BUILD</x:v>
      </x:c>
      <x:c r="K8" s="21" t="str">
        <x:v>HOLD</x:v>
      </x:c>
      <x:c r="L8" s="23" t="str">
        <x:v>OPEN</x:v>
      </x:c>
    </x:row>
    <x:row r="9">
      <x:c r="B9" s="21" t="str">
        <x:v>ATC-A01-C</x:v>
      </x:c>
      <x:c r="C9" s="21" t="str">
        <x:v>ATC-A01</x:v>
      </x:c>
      <x:c r="D9" s="21" t="str">
        <x:v>Air tile cassette</x:v>
      </x:c>
      <x:c r="E9" s="21" t="str">
        <x:v>C</x:v>
      </x:c>
      <x:c r="F9" s="21" t="str">
        <x:v>Integrator I03</x:v>
      </x:c>
      <x:c r="G9" s="21" t="n">
        <x:f>COUNTIFS('Paper Gates'!C7:C402,B9,'Paper Gates'!I7:I402,"PASS")</x:f>
        <x:v>11</x:v>
      </x:c>
      <x:c r="H9" s="32" t="n">
        <x:f>SUMIFS('Merit Review'!I7:I204,'Merit Review'!C7:C204,B9)</x:f>
        <x:v>79.25</x:v>
      </x:c>
      <x:c r="I9" s="32" t="n">
        <x:f>'Family Packages'!R7*0.1</x:f>
        <x:v>0.024</x:v>
      </x:c>
      <x:c r="J9" s="21" t="str">
        <x:v>CHALLENGE ONLY</x:v>
      </x:c>
      <x:c r="K9" s="21" t="str">
        <x:v>HOLD</x:v>
      </x:c>
      <x:c r="L9" s="23" t="str">
        <x:v>OPEN</x:v>
      </x:c>
    </x:row>
    <x:row r="10">
      <x:c r="B10" s="21" t="str">
        <x:v>TTC-T01-A</x:v>
      </x:c>
      <x:c r="C10" s="21" t="str">
        <x:v>TTC-T01</x:v>
      </x:c>
      <x:c r="D10" s="21" t="str">
        <x:v>Terrain tile cassette</x:v>
      </x:c>
      <x:c r="E10" s="21" t="str">
        <x:v>A</x:v>
      </x:c>
      <x:c r="F10" s="21" t="str">
        <x:v>Integrator I03</x:v>
      </x:c>
      <x:c r="G10" s="21" t="n">
        <x:f>COUNTIFS('Paper Gates'!C7:C402,B10,'Paper Gates'!I7:I402,"PASS")</x:f>
        <x:v>12</x:v>
      </x:c>
      <x:c r="H10" s="32" t="n">
        <x:f>SUMIFS('Merit Review'!I7:I204,'Merit Review'!C7:C204,B10)</x:f>
        <x:v>81.25000000000001</x:v>
      </x:c>
      <x:c r="I10" s="32" t="n">
        <x:f>'Family Packages'!R8*0.45</x:f>
        <x:v>0.12150000000000001</x:v>
      </x:c>
      <x:c r="J10" s="21" t="str">
        <x:v>PROVISIONAL BUILD</x:v>
      </x:c>
      <x:c r="K10" s="21" t="str">
        <x:v>HOLD</x:v>
      </x:c>
      <x:c r="L10" s="23" t="str">
        <x:v>OPEN</x:v>
      </x:c>
    </x:row>
    <x:row r="11">
      <x:c r="B11" s="21" t="str">
        <x:v>TTC-T01-B</x:v>
      </x:c>
      <x:c r="C11" s="21" t="str">
        <x:v>TTC-T01</x:v>
      </x:c>
      <x:c r="D11" s="21" t="str">
        <x:v>Terrain tile cassette</x:v>
      </x:c>
      <x:c r="E11" s="21" t="str">
        <x:v>B</x:v>
      </x:c>
      <x:c r="F11" s="21" t="str">
        <x:v>Integrator I04</x:v>
      </x:c>
      <x:c r="G11" s="21" t="n">
        <x:f>COUNTIFS('Paper Gates'!C7:C402,B11,'Paper Gates'!I7:I402,"PASS")</x:f>
        <x:v>12</x:v>
      </x:c>
      <x:c r="H11" s="32" t="n">
        <x:f>SUMIFS('Merit Review'!I7:I204,'Merit Review'!C7:C204,B11)</x:f>
        <x:v>83.05</x:v>
      </x:c>
      <x:c r="I11" s="32" t="n">
        <x:f>'Family Packages'!R8*0.45</x:f>
        <x:v>0.12150000000000001</x:v>
      </x:c>
      <x:c r="J11" s="21" t="str">
        <x:v>PROVISIONAL BUILD</x:v>
      </x:c>
      <x:c r="K11" s="21" t="str">
        <x:v>HOLD</x:v>
      </x:c>
      <x:c r="L11" s="23" t="str">
        <x:v>OPEN</x:v>
      </x:c>
    </x:row>
    <x:row r="12">
      <x:c r="B12" s="21" t="str">
        <x:v>TTC-T01-C</x:v>
      </x:c>
      <x:c r="C12" s="21" t="str">
        <x:v>TTC-T01</x:v>
      </x:c>
      <x:c r="D12" s="21" t="str">
        <x:v>Terrain tile cassette</x:v>
      </x:c>
      <x:c r="E12" s="21" t="str">
        <x:v>C</x:v>
      </x:c>
      <x:c r="F12" s="21" t="str">
        <x:v>Integrator I05</x:v>
      </x:c>
      <x:c r="G12" s="21" t="n">
        <x:f>COUNTIFS('Paper Gates'!C7:C402,B12,'Paper Gates'!I7:I402,"PASS")</x:f>
        <x:v>11</x:v>
      </x:c>
      <x:c r="H12" s="32" t="n">
        <x:f>SUMIFS('Merit Review'!I7:I204,'Merit Review'!C7:C204,B12)</x:f>
        <x:v>79.75</x:v>
      </x:c>
      <x:c r="I12" s="32" t="n">
        <x:f>'Family Packages'!R8*0.1</x:f>
        <x:v>0.027000000000000003</x:v>
      </x:c>
      <x:c r="J12" s="21" t="str">
        <x:v>CHALLENGE ONLY</x:v>
      </x:c>
      <x:c r="K12" s="21" t="str">
        <x:v>HOLD</x:v>
      </x:c>
      <x:c r="L12" s="23" t="str">
        <x:v>OPEN</x:v>
      </x:c>
    </x:row>
    <x:row r="13">
      <x:c r="B13" s="21" t="str">
        <x:v>ACN-A01-A</x:v>
      </x:c>
      <x:c r="C13" s="21" t="str">
        <x:v>ACN-A01</x:v>
      </x:c>
      <x:c r="D13" s="21" t="str">
        <x:v>Air carrier node</x:v>
      </x:c>
      <x:c r="E13" s="21" t="str">
        <x:v>A</x:v>
      </x:c>
      <x:c r="F13" s="21" t="str">
        <x:v>Integrator I05</x:v>
      </x:c>
      <x:c r="G13" s="21" t="n">
        <x:f>COUNTIFS('Paper Gates'!C7:C402,B13,'Paper Gates'!I7:I402,"PASS")</x:f>
        <x:v>12</x:v>
      </x:c>
      <x:c r="H13" s="32" t="n">
        <x:f>SUMIFS('Merit Review'!I7:I204,'Merit Review'!C7:C204,B13)</x:f>
        <x:v>81.50000000000001</x:v>
      </x:c>
      <x:c r="I13" s="32" t="n">
        <x:f>'Family Packages'!R9*0.45</x:f>
        <x:v>0.171</x:v>
      </x:c>
      <x:c r="J13" s="21" t="str">
        <x:v>PROVISIONAL BUILD</x:v>
      </x:c>
      <x:c r="K13" s="21" t="str">
        <x:v>HOLD</x:v>
      </x:c>
      <x:c r="L13" s="23" t="str">
        <x:v>OPEN</x:v>
      </x:c>
    </x:row>
    <x:row r="14">
      <x:c r="B14" s="21" t="str">
        <x:v>ACN-A01-B</x:v>
      </x:c>
      <x:c r="C14" s="21" t="str">
        <x:v>ACN-A01</x:v>
      </x:c>
      <x:c r="D14" s="21" t="str">
        <x:v>Air carrier node</x:v>
      </x:c>
      <x:c r="E14" s="21" t="str">
        <x:v>B</x:v>
      </x:c>
      <x:c r="F14" s="21" t="str">
        <x:v>Integrator I06</x:v>
      </x:c>
      <x:c r="G14" s="21" t="n">
        <x:f>COUNTIFS('Paper Gates'!C7:C402,B14,'Paper Gates'!I7:I402,"PASS")</x:f>
        <x:v>12</x:v>
      </x:c>
      <x:c r="H14" s="32" t="n">
        <x:f>SUMIFS('Merit Review'!I7:I204,'Merit Review'!C7:C204,B14)</x:f>
        <x:v>83.3</x:v>
      </x:c>
      <x:c r="I14" s="32" t="n">
        <x:f>'Family Packages'!R9*0.45</x:f>
        <x:v>0.171</x:v>
      </x:c>
      <x:c r="J14" s="21" t="str">
        <x:v>PROVISIONAL BUILD</x:v>
      </x:c>
      <x:c r="K14" s="21" t="str">
        <x:v>HOLD</x:v>
      </x:c>
      <x:c r="L14" s="23" t="str">
        <x:v>OPEN</x:v>
      </x:c>
    </x:row>
    <x:row r="15">
      <x:c r="B15" s="21" t="str">
        <x:v>ACN-A01-C</x:v>
      </x:c>
      <x:c r="C15" s="21" t="str">
        <x:v>ACN-A01</x:v>
      </x:c>
      <x:c r="D15" s="21" t="str">
        <x:v>Air carrier node</x:v>
      </x:c>
      <x:c r="E15" s="21" t="str">
        <x:v>C</x:v>
      </x:c>
      <x:c r="F15" s="21" t="str">
        <x:v>Integrator I01</x:v>
      </x:c>
      <x:c r="G15" s="21" t="n">
        <x:f>COUNTIFS('Paper Gates'!C7:C402,B15,'Paper Gates'!I7:I402,"PASS")</x:f>
        <x:v>11</x:v>
      </x:c>
      <x:c r="H15" s="32" t="n">
        <x:f>SUMIFS('Merit Review'!I7:I204,'Merit Review'!C7:C204,B15)</x:f>
        <x:v>80</x:v>
      </x:c>
      <x:c r="I15" s="32" t="n">
        <x:f>'Family Packages'!R9*0.1</x:f>
        <x:v>0.038000000000000006</x:v>
      </x:c>
      <x:c r="J15" s="21" t="str">
        <x:v>CHALLENGE ONLY</x:v>
      </x:c>
      <x:c r="K15" s="21" t="str">
        <x:v>HOLD</x:v>
      </x:c>
      <x:c r="L15" s="23" t="str">
        <x:v>OPEN</x:v>
      </x:c>
    </x:row>
    <x:row r="16">
      <x:c r="B16" s="21" t="str">
        <x:v>TCN-T01-A</x:v>
      </x:c>
      <x:c r="C16" s="21" t="str">
        <x:v>TCN-T01</x:v>
      </x:c>
      <x:c r="D16" s="21" t="str">
        <x:v>Terrain carrier node</x:v>
      </x:c>
      <x:c r="E16" s="21" t="str">
        <x:v>A</x:v>
      </x:c>
      <x:c r="F16" s="21" t="str">
        <x:v>Integrator I01</x:v>
      </x:c>
      <x:c r="G16" s="21" t="n">
        <x:f>COUNTIFS('Paper Gates'!C7:C402,B16,'Paper Gates'!I7:I402,"PASS")</x:f>
        <x:v>12</x:v>
      </x:c>
      <x:c r="H16" s="32" t="n">
        <x:f>SUMIFS('Merit Review'!I7:I204,'Merit Review'!C7:C204,B16)</x:f>
        <x:v>81.49999999999999</x:v>
      </x:c>
      <x:c r="I16" s="32" t="n">
        <x:f>'Family Packages'!R10*0.45</x:f>
        <x:v>0.225</x:v>
      </x:c>
      <x:c r="J16" s="21" t="str">
        <x:v>PROVISIONAL BUILD</x:v>
      </x:c>
      <x:c r="K16" s="21" t="str">
        <x:v>HOLD</x:v>
      </x:c>
      <x:c r="L16" s="23" t="str">
        <x:v>OPEN</x:v>
      </x:c>
    </x:row>
    <x:row r="17">
      <x:c r="B17" s="21" t="str">
        <x:v>TCN-T01-B</x:v>
      </x:c>
      <x:c r="C17" s="21" t="str">
        <x:v>TCN-T01</x:v>
      </x:c>
      <x:c r="D17" s="21" t="str">
        <x:v>Terrain carrier node</x:v>
      </x:c>
      <x:c r="E17" s="21" t="str">
        <x:v>B</x:v>
      </x:c>
      <x:c r="F17" s="21" t="str">
        <x:v>Integrator I02</x:v>
      </x:c>
      <x:c r="G17" s="21" t="n">
        <x:f>COUNTIFS('Paper Gates'!C7:C402,B17,'Paper Gates'!I7:I402,"PASS")</x:f>
        <x:v>12</x:v>
      </x:c>
      <x:c r="H17" s="32" t="n">
        <x:f>SUMIFS('Merit Review'!I7:I204,'Merit Review'!C7:C204,B17)</x:f>
        <x:v>83.3</x:v>
      </x:c>
      <x:c r="I17" s="32" t="n">
        <x:f>'Family Packages'!R10*0.45</x:f>
        <x:v>0.225</x:v>
      </x:c>
      <x:c r="J17" s="21" t="str">
        <x:v>PROVISIONAL BUILD</x:v>
      </x:c>
      <x:c r="K17" s="21" t="str">
        <x:v>HOLD</x:v>
      </x:c>
      <x:c r="L17" s="23" t="str">
        <x:v>OPEN</x:v>
      </x:c>
    </x:row>
    <x:row r="18">
      <x:c r="B18" s="21" t="str">
        <x:v>TCN-T01-C</x:v>
      </x:c>
      <x:c r="C18" s="21" t="str">
        <x:v>TCN-T01</x:v>
      </x:c>
      <x:c r="D18" s="21" t="str">
        <x:v>Terrain carrier node</x:v>
      </x:c>
      <x:c r="E18" s="21" t="str">
        <x:v>C</x:v>
      </x:c>
      <x:c r="F18" s="21" t="str">
        <x:v>Integrator I03</x:v>
      </x:c>
      <x:c r="G18" s="21" t="n">
        <x:f>COUNTIFS('Paper Gates'!C7:C402,B18,'Paper Gates'!I7:I402,"PASS")</x:f>
        <x:v>11</x:v>
      </x:c>
      <x:c r="H18" s="32" t="n">
        <x:f>SUMIFS('Merit Review'!I7:I204,'Merit Review'!C7:C204,B18)</x:f>
        <x:v>79.99999999999999</x:v>
      </x:c>
      <x:c r="I18" s="32" t="n">
        <x:f>'Family Packages'!R10*0.1</x:f>
        <x:v>0.05</x:v>
      </x:c>
      <x:c r="J18" s="21" t="str">
        <x:v>CHALLENGE ONLY</x:v>
      </x:c>
      <x:c r="K18" s="21" t="str">
        <x:v>HOLD</x:v>
      </x:c>
      <x:c r="L18" s="23" t="str">
        <x:v>OPEN</x:v>
      </x:c>
    </x:row>
    <x:row r="19">
      <x:c r="B19" s="21" t="str">
        <x:v>CRS-R01-A</x:v>
      </x:c>
      <x:c r="C19" s="21" t="str">
        <x:v>CRS-R01</x:v>
      </x:c>
      <x:c r="D19" s="21" t="str">
        <x:v>Civil receiver</x:v>
      </x:c>
      <x:c r="E19" s="21" t="str">
        <x:v>A</x:v>
      </x:c>
      <x:c r="F19" s="21" t="str">
        <x:v>Integrator I03</x:v>
      </x:c>
      <x:c r="G19" s="21" t="n">
        <x:f>COUNTIFS('Paper Gates'!C7:C402,B19,'Paper Gates'!I7:I402,"PASS")</x:f>
        <x:v>12</x:v>
      </x:c>
      <x:c r="H19" s="32" t="n">
        <x:f>SUMIFS('Merit Review'!I7:I204,'Merit Review'!C7:C204,B19)</x:f>
        <x:v>81.5</x:v>
      </x:c>
      <x:c r="I19" s="32" t="n">
        <x:f>'Family Packages'!R11*0.45</x:f>
        <x:v>0.18000000000000002</x:v>
      </x:c>
      <x:c r="J19" s="21" t="str">
        <x:v>PROVISIONAL BUILD</x:v>
      </x:c>
      <x:c r="K19" s="21" t="str">
        <x:v>HOLD</x:v>
      </x:c>
      <x:c r="L19" s="23" t="str">
        <x:v>OPEN</x:v>
      </x:c>
    </x:row>
    <x:row r="20">
      <x:c r="B20" s="21" t="str">
        <x:v>CRS-R01-B</x:v>
      </x:c>
      <x:c r="C20" s="21" t="str">
        <x:v>CRS-R01</x:v>
      </x:c>
      <x:c r="D20" s="21" t="str">
        <x:v>Civil receiver</x:v>
      </x:c>
      <x:c r="E20" s="21" t="str">
        <x:v>B</x:v>
      </x:c>
      <x:c r="F20" s="21" t="str">
        <x:v>Integrator I04</x:v>
      </x:c>
      <x:c r="G20" s="21" t="n">
        <x:f>COUNTIFS('Paper Gates'!C7:C402,B20,'Paper Gates'!I7:I402,"PASS")</x:f>
        <x:v>12</x:v>
      </x:c>
      <x:c r="H20" s="32" t="n">
        <x:f>SUMIFS('Merit Review'!I7:I204,'Merit Review'!C7:C204,B20)</x:f>
        <x:v>83.3</x:v>
      </x:c>
      <x:c r="I20" s="32" t="n">
        <x:f>'Family Packages'!R11*0.45</x:f>
        <x:v>0.18000000000000002</x:v>
      </x:c>
      <x:c r="J20" s="21" t="str">
        <x:v>PROVISIONAL BUILD</x:v>
      </x:c>
      <x:c r="K20" s="21" t="str">
        <x:v>HOLD</x:v>
      </x:c>
      <x:c r="L20" s="23" t="str">
        <x:v>OPEN</x:v>
      </x:c>
    </x:row>
    <x:row r="21">
      <x:c r="B21" s="21" t="str">
        <x:v>CRS-R01-C</x:v>
      </x:c>
      <x:c r="C21" s="21" t="str">
        <x:v>CRS-R01</x:v>
      </x:c>
      <x:c r="D21" s="21" t="str">
        <x:v>Civil receiver</x:v>
      </x:c>
      <x:c r="E21" s="21" t="str">
        <x:v>C</x:v>
      </x:c>
      <x:c r="F21" s="21" t="str">
        <x:v>Integrator I05</x:v>
      </x:c>
      <x:c r="G21" s="21" t="n">
        <x:f>COUNTIFS('Paper Gates'!C7:C402,B21,'Paper Gates'!I7:I402,"PASS")</x:f>
        <x:v>11</x:v>
      </x:c>
      <x:c r="H21" s="32" t="n">
        <x:f>SUMIFS('Merit Review'!I7:I204,'Merit Review'!C7:C204,B21)</x:f>
        <x:v>80.00000000000001</x:v>
      </x:c>
      <x:c r="I21" s="32" t="n">
        <x:f>'Family Packages'!R11*0.1</x:f>
        <x:v>0.04000000000000001</x:v>
      </x:c>
      <x:c r="J21" s="21" t="str">
        <x:v>CHALLENGE ONLY</x:v>
      </x:c>
      <x:c r="K21" s="21" t="str">
        <x:v>HOLD</x:v>
      </x:c>
      <x:c r="L21" s="23" t="str">
        <x:v>OPEN</x:v>
      </x:c>
    </x:row>
    <x:row r="22">
      <x:c r="B22" s="21" t="str">
        <x:v>PSS-T01-A</x:v>
      </x:c>
      <x:c r="C22" s="21" t="str">
        <x:v>PSS-T01</x:v>
      </x:c>
      <x:c r="D22" s="21" t="str">
        <x:v>Pressure skin</x:v>
      </x:c>
      <x:c r="E22" s="21" t="str">
        <x:v>A</x:v>
      </x:c>
      <x:c r="F22" s="21" t="str">
        <x:v>Integrator I05</x:v>
      </x:c>
      <x:c r="G22" s="21" t="n">
        <x:f>COUNTIFS('Paper Gates'!C7:C402,B22,'Paper Gates'!I7:I402,"PASS")</x:f>
        <x:v>12</x:v>
      </x:c>
      <x:c r="H22" s="32" t="n">
        <x:f>SUMIFS('Merit Review'!I7:I204,'Merit Review'!C7:C204,B22)</x:f>
        <x:v>80.75</x:v>
      </x:c>
      <x:c r="I22" s="32" t="n">
        <x:f>'Family Packages'!R12*0.45</x:f>
        <x:v>0.24750000000000003</x:v>
      </x:c>
      <x:c r="J22" s="21" t="str">
        <x:v>PROVISIONAL BUILD</x:v>
      </x:c>
      <x:c r="K22" s="21" t="str">
        <x:v>HOLD</x:v>
      </x:c>
      <x:c r="L22" s="23" t="str">
        <x:v>OPEN</x:v>
      </x:c>
    </x:row>
    <x:row r="23">
      <x:c r="B23" s="21" t="str">
        <x:v>PSS-T01-B</x:v>
      </x:c>
      <x:c r="C23" s="21" t="str">
        <x:v>PSS-T01</x:v>
      </x:c>
      <x:c r="D23" s="21" t="str">
        <x:v>Pressure skin</x:v>
      </x:c>
      <x:c r="E23" s="21" t="str">
        <x:v>B</x:v>
      </x:c>
      <x:c r="F23" s="21" t="str">
        <x:v>Integrator I06</x:v>
      </x:c>
      <x:c r="G23" s="21" t="n">
        <x:f>COUNTIFS('Paper Gates'!C7:C402,B23,'Paper Gates'!I7:I402,"PASS")</x:f>
        <x:v>12</x:v>
      </x:c>
      <x:c r="H23" s="32" t="n">
        <x:f>SUMIFS('Merit Review'!I7:I204,'Merit Review'!C7:C204,B23)</x:f>
        <x:v>82.55000000000001</x:v>
      </x:c>
      <x:c r="I23" s="32" t="n">
        <x:f>'Family Packages'!R12*0.45</x:f>
        <x:v>0.24750000000000003</x:v>
      </x:c>
      <x:c r="J23" s="21" t="str">
        <x:v>PROVISIONAL BUILD</x:v>
      </x:c>
      <x:c r="K23" s="21" t="str">
        <x:v>HOLD</x:v>
      </x:c>
      <x:c r="L23" s="23" t="str">
        <x:v>OPEN</x:v>
      </x:c>
    </x:row>
    <x:row r="24">
      <x:c r="B24" s="21" t="str">
        <x:v>PSS-T01-C</x:v>
      </x:c>
      <x:c r="C24" s="21" t="str">
        <x:v>PSS-T01</x:v>
      </x:c>
      <x:c r="D24" s="21" t="str">
        <x:v>Pressure skin</x:v>
      </x:c>
      <x:c r="E24" s="21" t="str">
        <x:v>C</x:v>
      </x:c>
      <x:c r="F24" s="21" t="str">
        <x:v>Integrator I01</x:v>
      </x:c>
      <x:c r="G24" s="21" t="n">
        <x:f>COUNTIFS('Paper Gates'!C7:C402,B24,'Paper Gates'!I7:I402,"PASS")</x:f>
        <x:v>11</x:v>
      </x:c>
      <x:c r="H24" s="32" t="n">
        <x:f>SUMIFS('Merit Review'!I7:I204,'Merit Review'!C7:C204,B24)</x:f>
        <x:v>79.25</x:v>
      </x:c>
      <x:c r="I24" s="32" t="n">
        <x:f>'Family Packages'!R12*0.1</x:f>
        <x:v>0.05500000000000001</x:v>
      </x:c>
      <x:c r="J24" s="21" t="str">
        <x:v>CHALLENGE ONLY</x:v>
      </x:c>
      <x:c r="K24" s="21" t="str">
        <x:v>HOLD</x:v>
      </x:c>
      <x:c r="L24" s="23" t="str">
        <x:v>OPEN</x:v>
      </x:c>
    </x:row>
    <x:row r="25">
      <x:c r="B25" s="21" t="str">
        <x:v>PIF-I01-A</x:v>
      </x:c>
      <x:c r="C25" s="21" t="str">
        <x:v>PIF-I01</x:v>
      </x:c>
      <x:c r="D25" s="21" t="str">
        <x:v>Passive interface</x:v>
      </x:c>
      <x:c r="E25" s="21" t="str">
        <x:v>A</x:v>
      </x:c>
      <x:c r="F25" s="21" t="str">
        <x:v>Integrator I01</x:v>
      </x:c>
      <x:c r="G25" s="21" t="n">
        <x:f>COUNTIFS('Paper Gates'!C7:C402,B25,'Paper Gates'!I7:I402,"PASS")</x:f>
        <x:v>12</x:v>
      </x:c>
      <x:c r="H25" s="32" t="n">
        <x:f>SUMIFS('Merit Review'!I7:I204,'Merit Review'!C7:C204,B25)</x:f>
        <x:v>81.25000000000001</x:v>
      </x:c>
      <x:c r="I25" s="32" t="n">
        <x:f>'Family Packages'!R13*0.45</x:f>
        <x:v>0.081</x:v>
      </x:c>
      <x:c r="J25" s="21" t="str">
        <x:v>PROVISIONAL BUILD</x:v>
      </x:c>
      <x:c r="K25" s="21" t="str">
        <x:v>HOLD</x:v>
      </x:c>
      <x:c r="L25" s="23" t="str">
        <x:v>OPEN</x:v>
      </x:c>
    </x:row>
    <x:row r="26">
      <x:c r="B26" s="21" t="str">
        <x:v>PIF-I01-B</x:v>
      </x:c>
      <x:c r="C26" s="21" t="str">
        <x:v>PIF-I01</x:v>
      </x:c>
      <x:c r="D26" s="21" t="str">
        <x:v>Passive interface</x:v>
      </x:c>
      <x:c r="E26" s="21" t="str">
        <x:v>B</x:v>
      </x:c>
      <x:c r="F26" s="21" t="str">
        <x:v>Integrator I02</x:v>
      </x:c>
      <x:c r="G26" s="21" t="n">
        <x:f>COUNTIFS('Paper Gates'!C7:C402,B26,'Paper Gates'!I7:I402,"PASS")</x:f>
        <x:v>12</x:v>
      </x:c>
      <x:c r="H26" s="32" t="n">
        <x:f>SUMIFS('Merit Review'!I7:I204,'Merit Review'!C7:C204,B26)</x:f>
        <x:v>83.05</x:v>
      </x:c>
      <x:c r="I26" s="32" t="n">
        <x:f>'Family Packages'!R13*0.45</x:f>
        <x:v>0.081</x:v>
      </x:c>
      <x:c r="J26" s="21" t="str">
        <x:v>PROVISIONAL BUILD</x:v>
      </x:c>
      <x:c r="K26" s="21" t="str">
        <x:v>HOLD</x:v>
      </x:c>
      <x:c r="L26" s="23" t="str">
        <x:v>OPEN</x:v>
      </x:c>
    </x:row>
    <x:row r="27">
      <x:c r="B27" s="21" t="str">
        <x:v>PIF-I01-C</x:v>
      </x:c>
      <x:c r="C27" s="21" t="str">
        <x:v>PIF-I01</x:v>
      </x:c>
      <x:c r="D27" s="21" t="str">
        <x:v>Passive interface</x:v>
      </x:c>
      <x:c r="E27" s="21" t="str">
        <x:v>C</x:v>
      </x:c>
      <x:c r="F27" s="21" t="str">
        <x:v>Integrator I03</x:v>
      </x:c>
      <x:c r="G27" s="21" t="n">
        <x:f>COUNTIFS('Paper Gates'!C7:C402,B27,'Paper Gates'!I7:I402,"PASS")</x:f>
        <x:v>11</x:v>
      </x:c>
      <x:c r="H27" s="32" t="n">
        <x:f>SUMIFS('Merit Review'!I7:I204,'Merit Review'!C7:C204,B27)</x:f>
        <x:v>79.75</x:v>
      </x:c>
      <x:c r="I27" s="32" t="n">
        <x:f>'Family Packages'!R13*0.1</x:f>
        <x:v>0.018</x:v>
      </x:c>
      <x:c r="J27" s="21" t="str">
        <x:v>CHALLENGE ONLY</x:v>
      </x:c>
      <x:c r="K27" s="21" t="str">
        <x:v>HOLD</x:v>
      </x:c>
      <x:c r="L27" s="23" t="str">
        <x:v>OPEN</x:v>
      </x:c>
    </x:row>
    <x:row r="28">
      <x:c r="B28" s="21" t="str">
        <x:v>EPS-P01-A</x:v>
      </x:c>
      <x:c r="C28" s="21" t="str">
        <x:v>EPS-P01</x:v>
      </x:c>
      <x:c r="D28" s="21" t="str">
        <x:v>Independent energy</x:v>
      </x:c>
      <x:c r="E28" s="21" t="str">
        <x:v>A</x:v>
      </x:c>
      <x:c r="F28" s="21" t="str">
        <x:v>Integrator I03</x:v>
      </x:c>
      <x:c r="G28" s="21" t="n">
        <x:f>COUNTIFS('Paper Gates'!C7:C402,B28,'Paper Gates'!I7:I402,"PASS")</x:f>
        <x:v>12</x:v>
      </x:c>
      <x:c r="H28" s="32" t="n">
        <x:f>SUMIFS('Merit Review'!I7:I204,'Merit Review'!C7:C204,B28)</x:f>
        <x:v>81.50000000000001</x:v>
      </x:c>
      <x:c r="I28" s="32" t="n">
        <x:f>'Family Packages'!R14*0.45</x:f>
        <x:v>0.14400000000000002</x:v>
      </x:c>
      <x:c r="J28" s="21" t="str">
        <x:v>PROVISIONAL BUILD</x:v>
      </x:c>
      <x:c r="K28" s="21" t="str">
        <x:v>HOLD</x:v>
      </x:c>
      <x:c r="L28" s="23" t="str">
        <x:v>OPEN</x:v>
      </x:c>
    </x:row>
    <x:row r="29">
      <x:c r="B29" s="21" t="str">
        <x:v>EPS-P01-B</x:v>
      </x:c>
      <x:c r="C29" s="21" t="str">
        <x:v>EPS-P01</x:v>
      </x:c>
      <x:c r="D29" s="21" t="str">
        <x:v>Independent energy</x:v>
      </x:c>
      <x:c r="E29" s="21" t="str">
        <x:v>B</x:v>
      </x:c>
      <x:c r="F29" s="21" t="str">
        <x:v>Integrator I04</x:v>
      </x:c>
      <x:c r="G29" s="21" t="n">
        <x:f>COUNTIFS('Paper Gates'!C7:C402,B29,'Paper Gates'!I7:I402,"PASS")</x:f>
        <x:v>12</x:v>
      </x:c>
      <x:c r="H29" s="32" t="n">
        <x:f>SUMIFS('Merit Review'!I7:I204,'Merit Review'!C7:C204,B29)</x:f>
        <x:v>83.3</x:v>
      </x:c>
      <x:c r="I29" s="32" t="n">
        <x:f>'Family Packages'!R14*0.45</x:f>
        <x:v>0.14400000000000002</x:v>
      </x:c>
      <x:c r="J29" s="21" t="str">
        <x:v>PROVISIONAL BUILD</x:v>
      </x:c>
      <x:c r="K29" s="21" t="str">
        <x:v>HOLD</x:v>
      </x:c>
      <x:c r="L29" s="23" t="str">
        <x:v>OPEN</x:v>
      </x:c>
    </x:row>
    <x:row r="30">
      <x:c r="B30" s="21" t="str">
        <x:v>EPS-P01-C</x:v>
      </x:c>
      <x:c r="C30" s="21" t="str">
        <x:v>EPS-P01</x:v>
      </x:c>
      <x:c r="D30" s="21" t="str">
        <x:v>Independent energy</x:v>
      </x:c>
      <x:c r="E30" s="21" t="str">
        <x:v>C</x:v>
      </x:c>
      <x:c r="F30" s="21" t="str">
        <x:v>Integrator I05</x:v>
      </x:c>
      <x:c r="G30" s="21" t="n">
        <x:f>COUNTIFS('Paper Gates'!C7:C402,B30,'Paper Gates'!I7:I402,"PASS")</x:f>
        <x:v>11</x:v>
      </x:c>
      <x:c r="H30" s="32" t="n">
        <x:f>SUMIFS('Merit Review'!I7:I204,'Merit Review'!C7:C204,B30)</x:f>
        <x:v>80</x:v>
      </x:c>
      <x:c r="I30" s="32" t="n">
        <x:f>'Family Packages'!R14*0.1</x:f>
        <x:v>0.032</x:v>
      </x:c>
      <x:c r="J30" s="21" t="str">
        <x:v>CHALLENGE ONLY</x:v>
      </x:c>
      <x:c r="K30" s="21" t="str">
        <x:v>HOLD</x:v>
      </x:c>
      <x:c r="L30" s="23" t="str">
        <x:v>OPEN</x:v>
      </x:c>
    </x:row>
    <x:row r="31">
      <x:c r="B31" s="21" t="str">
        <x:v>TKS-C01-A</x:v>
      </x:c>
      <x:c r="C31" s="21" t="str">
        <x:v>TKS-C01</x:v>
      </x:c>
      <x:c r="D31" s="21" t="str">
        <x:v>Denied time</x:v>
      </x:c>
      <x:c r="E31" s="21" t="str">
        <x:v>A</x:v>
      </x:c>
      <x:c r="F31" s="21" t="str">
        <x:v>Integrator I05</x:v>
      </x:c>
      <x:c r="G31" s="21" t="n">
        <x:f>COUNTIFS('Paper Gates'!C7:C402,B31,'Paper Gates'!I7:I402,"PASS")</x:f>
        <x:v>12</x:v>
      </x:c>
      <x:c r="H31" s="32" t="n">
        <x:f>SUMIFS('Merit Review'!I7:I204,'Merit Review'!C7:C204,B31)</x:f>
        <x:v>81.49999999999999</x:v>
      </x:c>
      <x:c r="I31" s="32" t="n">
        <x:f>'Family Packages'!R15*0.45</x:f>
        <x:v>0.07200000000000001</x:v>
      </x:c>
      <x:c r="J31" s="21" t="str">
        <x:v>PROVISIONAL BUILD</x:v>
      </x:c>
      <x:c r="K31" s="21" t="str">
        <x:v>HOLD</x:v>
      </x:c>
      <x:c r="L31" s="23" t="str">
        <x:v>OPEN</x:v>
      </x:c>
    </x:row>
    <x:row r="32">
      <x:c r="B32" s="21" t="str">
        <x:v>TKS-C01-B</x:v>
      </x:c>
      <x:c r="C32" s="21" t="str">
        <x:v>TKS-C01</x:v>
      </x:c>
      <x:c r="D32" s="21" t="str">
        <x:v>Denied time</x:v>
      </x:c>
      <x:c r="E32" s="21" t="str">
        <x:v>B</x:v>
      </x:c>
      <x:c r="F32" s="21" t="str">
        <x:v>Integrator I06</x:v>
      </x:c>
      <x:c r="G32" s="21" t="n">
        <x:f>COUNTIFS('Paper Gates'!C7:C402,B32,'Paper Gates'!I7:I402,"PASS")</x:f>
        <x:v>12</x:v>
      </x:c>
      <x:c r="H32" s="32" t="n">
        <x:f>SUMIFS('Merit Review'!I7:I204,'Merit Review'!C7:C204,B32)</x:f>
        <x:v>83.3</x:v>
      </x:c>
      <x:c r="I32" s="32" t="n">
        <x:f>'Family Packages'!R15*0.45</x:f>
        <x:v>0.07200000000000001</x:v>
      </x:c>
      <x:c r="J32" s="21" t="str">
        <x:v>PROVISIONAL BUILD</x:v>
      </x:c>
      <x:c r="K32" s="21" t="str">
        <x:v>HOLD</x:v>
      </x:c>
      <x:c r="L32" s="23" t="str">
        <x:v>OPEN</x:v>
      </x:c>
    </x:row>
    <x:row r="33">
      <x:c r="B33" s="21" t="str">
        <x:v>TKS-C01-C</x:v>
      </x:c>
      <x:c r="C33" s="21" t="str">
        <x:v>TKS-C01</x:v>
      </x:c>
      <x:c r="D33" s="21" t="str">
        <x:v>Denied time</x:v>
      </x:c>
      <x:c r="E33" s="21" t="str">
        <x:v>C</x:v>
      </x:c>
      <x:c r="F33" s="21" t="str">
        <x:v>Integrator I01</x:v>
      </x:c>
      <x:c r="G33" s="21" t="n">
        <x:f>COUNTIFS('Paper Gates'!C7:C402,B33,'Paper Gates'!I7:I402,"PASS")</x:f>
        <x:v>11</x:v>
      </x:c>
      <x:c r="H33" s="32" t="n">
        <x:f>SUMIFS('Merit Review'!I7:I204,'Merit Review'!C7:C204,B33)</x:f>
        <x:v>79.99999999999999</x:v>
      </x:c>
      <x:c r="I33" s="32" t="n">
        <x:f>'Family Packages'!R15*0.1</x:f>
        <x:v>0.016</x:v>
      </x:c>
      <x:c r="J33" s="21" t="str">
        <x:v>CHALLENGE ONLY</x:v>
      </x:c>
      <x:c r="K33" s="21" t="str">
        <x:v>HOLD</x:v>
      </x:c>
      <x:c r="L33" s="23" t="str">
        <x:v>OPEN</x:v>
      </x:c>
    </x:row>
    <x:row r="34">
      <x:c r="B34" s="21" t="str">
        <x:v>STG-S01-A</x:v>
      </x:c>
      <x:c r="C34" s="21" t="str">
        <x:v>STG-S01</x:v>
      </x:c>
      <x:c r="D34" s="21" t="str">
        <x:v>Immutable storage</x:v>
      </x:c>
      <x:c r="E34" s="21" t="str">
        <x:v>A</x:v>
      </x:c>
      <x:c r="F34" s="21" t="str">
        <x:v>Integrator I01</x:v>
      </x:c>
      <x:c r="G34" s="21" t="n">
        <x:f>COUNTIFS('Paper Gates'!C7:C402,B34,'Paper Gates'!I7:I402,"PASS")</x:f>
        <x:v>12</x:v>
      </x:c>
      <x:c r="H34" s="32" t="n">
        <x:f>SUMIFS('Merit Review'!I7:I204,'Merit Review'!C7:C204,B34)</x:f>
        <x:v>81.5</x:v>
      </x:c>
      <x:c r="I34" s="32" t="n">
        <x:f>'Family Packages'!R16*0.45</x:f>
        <x:v>0.07650000000000001</x:v>
      </x:c>
      <x:c r="J34" s="21" t="str">
        <x:v>PROVISIONAL BUILD</x:v>
      </x:c>
      <x:c r="K34" s="21" t="str">
        <x:v>HOLD</x:v>
      </x:c>
      <x:c r="L34" s="23" t="str">
        <x:v>OPEN</x:v>
      </x:c>
    </x:row>
    <x:row r="35">
      <x:c r="B35" s="21" t="str">
        <x:v>STG-S01-B</x:v>
      </x:c>
      <x:c r="C35" s="21" t="str">
        <x:v>STG-S01</x:v>
      </x:c>
      <x:c r="D35" s="21" t="str">
        <x:v>Immutable storage</x:v>
      </x:c>
      <x:c r="E35" s="21" t="str">
        <x:v>B</x:v>
      </x:c>
      <x:c r="F35" s="21" t="str">
        <x:v>Integrator I02</x:v>
      </x:c>
      <x:c r="G35" s="21" t="n">
        <x:f>COUNTIFS('Paper Gates'!C7:C402,B35,'Paper Gates'!I7:I402,"PASS")</x:f>
        <x:v>12</x:v>
      </x:c>
      <x:c r="H35" s="32" t="n">
        <x:f>SUMIFS('Merit Review'!I7:I204,'Merit Review'!C7:C204,B35)</x:f>
        <x:v>83.3</x:v>
      </x:c>
      <x:c r="I35" s="32" t="n">
        <x:f>'Family Packages'!R16*0.45</x:f>
        <x:v>0.07650000000000001</x:v>
      </x:c>
      <x:c r="J35" s="21" t="str">
        <x:v>PROVISIONAL BUILD</x:v>
      </x:c>
      <x:c r="K35" s="21" t="str">
        <x:v>HOLD</x:v>
      </x:c>
      <x:c r="L35" s="23" t="str">
        <x:v>OPEN</x:v>
      </x:c>
    </x:row>
    <x:row r="36">
      <x:c r="B36" s="21" t="str">
        <x:v>STG-S01-C</x:v>
      </x:c>
      <x:c r="C36" s="21" t="str">
        <x:v>STG-S01</x:v>
      </x:c>
      <x:c r="D36" s="21" t="str">
        <x:v>Immutable storage</x:v>
      </x:c>
      <x:c r="E36" s="21" t="str">
        <x:v>C</x:v>
      </x:c>
      <x:c r="F36" s="21" t="str">
        <x:v>Integrator I03</x:v>
      </x:c>
      <x:c r="G36" s="21" t="n">
        <x:f>COUNTIFS('Paper Gates'!C7:C402,B36,'Paper Gates'!I7:I402,"PASS")</x:f>
        <x:v>11</x:v>
      </x:c>
      <x:c r="H36" s="32" t="n">
        <x:f>SUMIFS('Merit Review'!I7:I204,'Merit Review'!C7:C204,B36)</x:f>
        <x:v>80.00000000000001</x:v>
      </x:c>
      <x:c r="I36" s="32" t="n">
        <x:f>'Family Packages'!R16*0.1</x:f>
        <x:v>0.017</x:v>
      </x:c>
      <x:c r="J36" s="21" t="str">
        <x:v>CHALLENGE ONLY</x:v>
      </x:c>
      <x:c r="K36" s="21" t="str">
        <x:v>HOLD</x:v>
      </x:c>
      <x:c r="L36" s="23" t="str">
        <x:v>OPEN</x:v>
      </x:c>
    </x:row>
    <x:row r="37">
      <x:c r="B37" s="21" t="str">
        <x:v>MHE-E01-A</x:v>
      </x:c>
      <x:c r="C37" s="21" t="str">
        <x:v>MHE-E01</x:v>
      </x:c>
      <x:c r="D37" s="21" t="str">
        <x:v>Mass and heat emulator</x:v>
      </x:c>
      <x:c r="E37" s="21" t="str">
        <x:v>A</x:v>
      </x:c>
      <x:c r="F37" s="21" t="str">
        <x:v>Integrator I03</x:v>
      </x:c>
      <x:c r="G37" s="21" t="n">
        <x:f>COUNTIFS('Paper Gates'!C7:C402,B37,'Paper Gates'!I7:I402,"PASS")</x:f>
        <x:v>12</x:v>
      </x:c>
      <x:c r="H37" s="32" t="n">
        <x:f>SUMIFS('Merit Review'!I7:I204,'Merit Review'!C7:C204,B37)</x:f>
        <x:v>80.75</x:v>
      </x:c>
      <x:c r="I37" s="32" t="n">
        <x:f>'Family Packages'!R17*0.45</x:f>
        <x:v>0.1125</x:v>
      </x:c>
      <x:c r="J37" s="21" t="str">
        <x:v>PROVISIONAL BUILD</x:v>
      </x:c>
      <x:c r="K37" s="21" t="str">
        <x:v>HOLD</x:v>
      </x:c>
      <x:c r="L37" s="23" t="str">
        <x:v>OPEN</x:v>
      </x:c>
    </x:row>
    <x:row r="38">
      <x:c r="B38" s="21" t="str">
        <x:v>MHE-E01-B</x:v>
      </x:c>
      <x:c r="C38" s="21" t="str">
        <x:v>MHE-E01</x:v>
      </x:c>
      <x:c r="D38" s="21" t="str">
        <x:v>Mass and heat emulator</x:v>
      </x:c>
      <x:c r="E38" s="21" t="str">
        <x:v>B</x:v>
      </x:c>
      <x:c r="F38" s="21" t="str">
        <x:v>Integrator I04</x:v>
      </x:c>
      <x:c r="G38" s="21" t="n">
        <x:f>COUNTIFS('Paper Gates'!C7:C402,B38,'Paper Gates'!I7:I402,"PASS")</x:f>
        <x:v>12</x:v>
      </x:c>
      <x:c r="H38" s="32" t="n">
        <x:f>SUMIFS('Merit Review'!I7:I204,'Merit Review'!C7:C204,B38)</x:f>
        <x:v>82.55000000000001</x:v>
      </x:c>
      <x:c r="I38" s="32" t="n">
        <x:f>'Family Packages'!R17*0.45</x:f>
        <x:v>0.1125</x:v>
      </x:c>
      <x:c r="J38" s="21" t="str">
        <x:v>PROVISIONAL BUILD</x:v>
      </x:c>
      <x:c r="K38" s="21" t="str">
        <x:v>HOLD</x:v>
      </x:c>
      <x:c r="L38" s="23" t="str">
        <x:v>OPEN</x:v>
      </x:c>
    </x:row>
    <x:row r="39">
      <x:c r="B39" s="24" t="str">
        <x:v>MHE-E01-C</x:v>
      </x:c>
      <x:c r="C39" s="24" t="str">
        <x:v>MHE-E01</x:v>
      </x:c>
      <x:c r="D39" s="24" t="str">
        <x:v>Mass and heat emulator</x:v>
      </x:c>
      <x:c r="E39" s="24" t="str">
        <x:v>C</x:v>
      </x:c>
      <x:c r="F39" s="24" t="str">
        <x:v>Integrator I05</x:v>
      </x:c>
      <x:c r="G39" s="24" t="n">
        <x:f>COUNTIFS('Paper Gates'!C7:C402,B39,'Paper Gates'!I7:I402,"PASS")</x:f>
        <x:v>11</x:v>
      </x:c>
      <x:c r="H39" s="33" t="n">
        <x:f>SUMIFS('Merit Review'!I7:I204,'Merit Review'!C7:C204,B39)</x:f>
        <x:v>79.25</x:v>
      </x:c>
      <x:c r="I39" s="33" t="n">
        <x:f>'Family Packages'!R17*0.1</x:f>
        <x:v>0.025</x:v>
      </x:c>
      <x:c r="J39" s="24" t="str">
        <x:v>CHALLENGE ONLY</x:v>
      </x:c>
      <x:c r="K39" s="24" t="str">
        <x:v>HOLD</x:v>
      </x:c>
      <x:c r="L39" s="26" t="str">
        <x:v>OPEN</x:v>
      </x:c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B43" s="28" t="str">
        <x:v>Prime-concentration control</x:v>
      </x:c>
      <x:c r="C43" s="29" t="str">
        <x:v>Prime-concentration control</x:v>
      </x:c>
      <x:c r="D43" s="29" t="str">
        <x:v>Prime-concentration control</x:v>
      </x:c>
      <x:c r="E43" s="29" t="str">
        <x:v>Prime-concentration control</x:v>
      </x:c>
      <x:c r="F43" s="29" t="str">
        <x:v>Prime-concentration control</x:v>
      </x:c>
      <x:c r="G43" s="29" t="str">
        <x:v>Prime-concentration control</x:v>
      </x:c>
      <x:c r="H43" s="29" t="str">
        <x:v>Prime-concentration control</x:v>
      </x:c>
      <x:c r="I43" s="29" t="str">
        <x:v>Prime-concentration control</x:v>
      </x:c>
      <x:c r="J43" s="29" t="str">
        <x:v>Prime-concentration control</x:v>
      </x:c>
      <x:c r="K43" s="29" t="str">
        <x:v>Prime-concentration control</x:v>
      </x:c>
      <x:c r="L43" s="30" t="str">
        <x:v>Prime-concentration control</x:v>
      </x:c>
    </x:row>
    <x:row r="44">
      <x:c r="B44" s="14" t="str">
        <x:v>Integrator</x:v>
      </x:c>
      <x:c r="C44" s="15" t="str">
        <x:v>Build awards</x:v>
      </x:c>
      <x:c r="D44" s="15" t="str">
        <x:v>Ceiling</x:v>
      </x:c>
      <x:c r="E44" s="15" t="str">
        <x:v>Decision</x:v>
      </x:c>
      <x:c r="F44" s="16" t="str">
        <x:v>Consequence</x:v>
      </x:c>
      <x:c r="G44" s="2"/>
      <x:c r="H44" s="2"/>
      <x:c r="I44" s="2"/>
      <x:c r="J44" s="2"/>
      <x:c r="K44" s="2"/>
      <x:c r="L44" s="2"/>
    </x:row>
    <x:row r="45">
      <x:c r="B45" s="2" t="str">
        <x:v>Integrator I01</x:v>
      </x:c>
      <x:c r="C45" s="2" t="n">
        <x:f>COUNTIFS(F7:F39,B45,J7:J39,"PROVISIONAL BUILD")</x:f>
        <x:v>4</x:v>
      </x:c>
      <x:c r="D45" s="2" t="n">
        <x:f>Assumptions!C16</x:f>
        <x:v>4</x:v>
      </x:c>
      <x:c r="E45" s="2" t="str">
        <x:f>IF(C45&lt;=D45,"PASS","FAIL")</x:f>
        <x:v>PASS</x:v>
      </x:c>
      <x:c r="F45" s="2" t="str">
        <x:v>rebalance before award</x:v>
      </x:c>
      <x:c r="G45" s="2"/>
      <x:c r="H45" s="2"/>
      <x:c r="I45" s="2"/>
      <x:c r="J45" s="2"/>
      <x:c r="K45" s="2"/>
      <x:c r="L45" s="2"/>
    </x:row>
    <x:row r="46">
      <x:c r="B46" s="2" t="str">
        <x:v>Integrator I02</x:v>
      </x:c>
      <x:c r="C46" s="2" t="n">
        <x:f>COUNTIFS(F7:F39,B46,J7:J39,"PROVISIONAL BUILD")</x:f>
        <x:v>4</x:v>
      </x:c>
      <x:c r="D46" s="2" t="n">
        <x:f>Assumptions!C16</x:f>
        <x:v>4</x:v>
      </x:c>
      <x:c r="E46" s="2" t="str">
        <x:f>IF(C46&lt;=D46,"PASS","FAIL")</x:f>
        <x:v>PASS</x:v>
      </x:c>
      <x:c r="F46" s="2" t="str">
        <x:v>rebalance before award</x:v>
      </x:c>
      <x:c r="G46" s="2"/>
      <x:c r="H46" s="2"/>
      <x:c r="I46" s="2"/>
      <x:c r="J46" s="2"/>
      <x:c r="K46" s="2"/>
      <x:c r="L46" s="2"/>
    </x:row>
    <x:row r="47">
      <x:c r="B47" s="2" t="str">
        <x:v>Integrator I03</x:v>
      </x:c>
      <x:c r="C47" s="2" t="n">
        <x:f>COUNTIFS(F7:F39,B47,J7:J39,"PROVISIONAL BUILD")</x:f>
        <x:v>4</x:v>
      </x:c>
      <x:c r="D47" s="2" t="n">
        <x:f>Assumptions!C16</x:f>
        <x:v>4</x:v>
      </x:c>
      <x:c r="E47" s="2" t="str">
        <x:f>IF(C47&lt;=D47,"PASS","FAIL")</x:f>
        <x:v>PASS</x:v>
      </x:c>
      <x:c r="F47" s="2" t="str">
        <x:v>rebalance before award</x:v>
      </x:c>
      <x:c r="G47" s="2"/>
      <x:c r="H47" s="2"/>
      <x:c r="I47" s="2"/>
      <x:c r="J47" s="2"/>
      <x:c r="K47" s="2"/>
      <x:c r="L47" s="2"/>
    </x:row>
    <x:row r="48">
      <x:c r="B48" s="2" t="str">
        <x:v>Integrator I04</x:v>
      </x:c>
      <x:c r="C48" s="2" t="n">
        <x:f>COUNTIFS(F7:F39,B48,J7:J39,"PROVISIONAL BUILD")</x:f>
        <x:v>4</x:v>
      </x:c>
      <x:c r="D48" s="2" t="n">
        <x:f>Assumptions!C16</x:f>
        <x:v>4</x:v>
      </x:c>
      <x:c r="E48" s="2" t="str">
        <x:f>IF(C48&lt;=D48,"PASS","FAIL")</x:f>
        <x:v>PASS</x:v>
      </x:c>
      <x:c r="F48" s="2" t="str">
        <x:v>rebalance before award</x:v>
      </x:c>
      <x:c r="G48" s="2"/>
      <x:c r="H48" s="2"/>
      <x:c r="I48" s="2"/>
      <x:c r="J48" s="2"/>
      <x:c r="K48" s="2"/>
      <x:c r="L48" s="2"/>
    </x:row>
    <x:row r="49">
      <x:c r="B49" s="2" t="str">
        <x:v>Integrator I05</x:v>
      </x:c>
      <x:c r="C49" s="2" t="n">
        <x:f>COUNTIFS(F7:F39,B49,J7:J39,"PROVISIONAL BUILD")</x:f>
        <x:v>3</x:v>
      </x:c>
      <x:c r="D49" s="2" t="n">
        <x:f>Assumptions!C16</x:f>
        <x:v>4</x:v>
      </x:c>
      <x:c r="E49" s="2" t="str">
        <x:f>IF(C49&lt;=D49,"PASS","FAIL")</x:f>
        <x:v>PASS</x:v>
      </x:c>
      <x:c r="F49" s="2" t="str">
        <x:v>rebalance before award</x:v>
      </x:c>
      <x:c r="G49" s="2"/>
      <x:c r="H49" s="2"/>
      <x:c r="I49" s="2"/>
      <x:c r="J49" s="2"/>
      <x:c r="K49" s="2"/>
      <x:c r="L49" s="2"/>
    </x:row>
    <x:row r="50">
      <x:c r="B50" s="2" t="str">
        <x:v>Integrator I06</x:v>
      </x:c>
      <x:c r="C50" s="2" t="n">
        <x:f>COUNTIFS(F7:F39,B50,J7:J39,"PROVISIONAL BUILD")</x:f>
        <x:v>3</x:v>
      </x:c>
      <x:c r="D50" s="2" t="n">
        <x:f>Assumptions!C16</x:f>
        <x:v>4</x:v>
      </x:c>
      <x:c r="E50" s="2" t="str">
        <x:f>IF(C50&lt;=D50,"PASS","FAIL")</x:f>
        <x:v>PASS</x:v>
      </x:c>
      <x:c r="F50" s="2" t="str">
        <x:v>rebalance before award</x:v>
      </x:c>
      <x:c r="G50" s="2"/>
      <x:c r="H50" s="2"/>
      <x:c r="I50" s="2"/>
      <x:c r="J50" s="2"/>
      <x:c r="K50" s="2"/>
      <x:c r="L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mergeCells>
    <x:mergeCell ref="B3:L3"/>
    <x:mergeCell ref="B43:L43"/>
  </x:mergeCells>
  <x:conditionalFormatting sqref="J7:L39">
    <x:cfRule type="containsText" dxfId="20" priority="1" operator="containsText" text="OPEN"/>
    <x:cfRule type="containsText" dxfId="21" priority="2" operator="containsText" text="HOLD"/>
    <x:cfRule type="containsText" dxfId="22" priority="3" operator="containsText" text="BLOCKED"/>
    <x:cfRule type="containsText" dxfId="23" priority="4" operator="containsText" text="CHALLENGE ONLY"/>
    <x:cfRule type="containsText" dxfId="24" priority="5" operator="containsText" text="FAIL"/>
  </x:conditionalFormatting>
  <x:conditionalFormatting sqref="E45:E50">
    <x:cfRule type="containsText" dxfId="25" priority="6" operator="containsText" text="OPEN"/>
    <x:cfRule type="containsText" dxfId="26" priority="7" operator="containsText" text="HOLD"/>
    <x:cfRule type="containsText" dxfId="27" priority="8" operator="containsText" text="BLOCKED"/>
    <x:cfRule type="containsText" dxfId="28" priority="9" operator="containsText" text="CHALLENGE ONLY"/>
    <x:cfRule type="containsText" dxfId="29" priority="10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25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17" hidden="0" customWidth="1"/>
    <x:col min="10" max="10" width="13" hidden="0" customWidth="1"/>
    <x:col min="11" max="11" width="13" hidden="0" customWidth="1"/>
    <x:col min="12" max="12" width="31" hidden="0" customWidth="1"/>
  </x:cols>
  <x:sheetData>
    <x:row r="2">
      <x:c r="B2" s="3" t="str">
        <x:v>Family root-pair independence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The two retained build paths must differ below the integrator: decisive physics, supply ancestry, process, facility, firmware, and calibration are disclosed and challengeable.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Family</x:v>
      </x:c>
      <x:c r="C6" s="20" t="str">
        <x:v>System</x:v>
      </x:c>
      <x:c r="D6" s="20" t="str">
        <x:v>Proposal A</x:v>
      </x:c>
      <x:c r="E6" s="20" t="str">
        <x:v>Root A</x:v>
      </x:c>
      <x:c r="F6" s="20" t="str">
        <x:v>Proposal B</x:v>
      </x:c>
      <x:c r="G6" s="20" t="str">
        <x:v>Root B</x:v>
      </x:c>
      <x:c r="H6" s="20" t="str">
        <x:v>Shared decisive ancestry</x:v>
      </x:c>
      <x:c r="I6" s="20" t="str">
        <x:v>Paper decision</x:v>
      </x:c>
      <x:c r="J6" s="20" t="str">
        <x:v>Evidence</x:v>
      </x:c>
      <x:c r="K6" s="20" t="str">
        <x:v>Authority</x:v>
      </x:c>
      <x:c r="L6" s="20" t="str">
        <x:v>Reopen trigger</x:v>
      </x:c>
    </x:row>
    <x:row r="7">
      <x:c r="B7" s="21" t="str">
        <x:v>ATC-A01</x:v>
      </x:c>
      <x:c r="C7" s="21" t="str">
        <x:v>Air tile cassette</x:v>
      </x:c>
      <x:c r="D7" s="21" t="str">
        <x:v>ATC-A01-A</x:v>
      </x:c>
      <x:c r="E7" s="21" t="str">
        <x:v>ATC-A01-R1</x:v>
      </x:c>
      <x:c r="F7" s="21" t="str">
        <x:v>ATC-A01-B</x:v>
      </x:c>
      <x:c r="G7" s="21" t="str">
        <x:v>ATC-A01-R2</x:v>
      </x:c>
      <x:c r="H7" s="21" t="n">
        <x:v>0</x:v>
      </x:c>
      <x:c r="I7" s="21" t="str">
        <x:v>PAPER PASS</x:v>
      </x:c>
      <x:c r="J7" s="21" t="str">
        <x:v>OPEN</x:v>
      </x:c>
      <x:c r="K7" s="21" t="str">
        <x:v>HOLD</x:v>
      </x:c>
      <x:c r="L7" s="23" t="str">
        <x:v>shared root or provider control</x:v>
      </x:c>
    </x:row>
    <x:row r="8">
      <x:c r="B8" s="21" t="str">
        <x:v>TTC-T01</x:v>
      </x:c>
      <x:c r="C8" s="21" t="str">
        <x:v>Terrain tile cassette</x:v>
      </x:c>
      <x:c r="D8" s="21" t="str">
        <x:v>TTC-T01-A</x:v>
      </x:c>
      <x:c r="E8" s="21" t="str">
        <x:v>TTC-T01-R1</x:v>
      </x:c>
      <x:c r="F8" s="21" t="str">
        <x:v>TTC-T01-B</x:v>
      </x:c>
      <x:c r="G8" s="21" t="str">
        <x:v>TTC-T01-R2</x:v>
      </x:c>
      <x:c r="H8" s="21" t="n">
        <x:v>0</x:v>
      </x:c>
      <x:c r="I8" s="21" t="str">
        <x:v>PAPER PASS</x:v>
      </x:c>
      <x:c r="J8" s="21" t="str">
        <x:v>OPEN</x:v>
      </x:c>
      <x:c r="K8" s="21" t="str">
        <x:v>HOLD</x:v>
      </x:c>
      <x:c r="L8" s="23" t="str">
        <x:v>shared root or provider control</x:v>
      </x:c>
    </x:row>
    <x:row r="9">
      <x:c r="B9" s="21" t="str">
        <x:v>ACN-A01</x:v>
      </x:c>
      <x:c r="C9" s="21" t="str">
        <x:v>Air carrier node</x:v>
      </x:c>
      <x:c r="D9" s="21" t="str">
        <x:v>ACN-A01-A</x:v>
      </x:c>
      <x:c r="E9" s="21" t="str">
        <x:v>ACN-A01-R1</x:v>
      </x:c>
      <x:c r="F9" s="21" t="str">
        <x:v>ACN-A01-B</x:v>
      </x:c>
      <x:c r="G9" s="21" t="str">
        <x:v>ACN-A01-R2</x:v>
      </x:c>
      <x:c r="H9" s="21" t="n">
        <x:v>0</x:v>
      </x:c>
      <x:c r="I9" s="21" t="str">
        <x:v>PAPER PASS</x:v>
      </x:c>
      <x:c r="J9" s="21" t="str">
        <x:v>OPEN</x:v>
      </x:c>
      <x:c r="K9" s="21" t="str">
        <x:v>HOLD</x:v>
      </x:c>
      <x:c r="L9" s="23" t="str">
        <x:v>shared root or provider control</x:v>
      </x:c>
    </x:row>
    <x:row r="10">
      <x:c r="B10" s="21" t="str">
        <x:v>TCN-T01</x:v>
      </x:c>
      <x:c r="C10" s="21" t="str">
        <x:v>Terrain carrier node</x:v>
      </x:c>
      <x:c r="D10" s="21" t="str">
        <x:v>TCN-T01-A</x:v>
      </x:c>
      <x:c r="E10" s="21" t="str">
        <x:v>TCN-T01-R1</x:v>
      </x:c>
      <x:c r="F10" s="21" t="str">
        <x:v>TCN-T01-B</x:v>
      </x:c>
      <x:c r="G10" s="21" t="str">
        <x:v>TCN-T01-R2</x:v>
      </x:c>
      <x:c r="H10" s="21" t="n">
        <x:v>0</x:v>
      </x:c>
      <x:c r="I10" s="21" t="str">
        <x:v>PAPER PASS</x:v>
      </x:c>
      <x:c r="J10" s="21" t="str">
        <x:v>OPEN</x:v>
      </x:c>
      <x:c r="K10" s="21" t="str">
        <x:v>HOLD</x:v>
      </x:c>
      <x:c r="L10" s="23" t="str">
        <x:v>shared root or provider control</x:v>
      </x:c>
    </x:row>
    <x:row r="11">
      <x:c r="B11" s="21" t="str">
        <x:v>CRS-R01</x:v>
      </x:c>
      <x:c r="C11" s="21" t="str">
        <x:v>Civil receiver</x:v>
      </x:c>
      <x:c r="D11" s="21" t="str">
        <x:v>CRS-R01-A</x:v>
      </x:c>
      <x:c r="E11" s="21" t="str">
        <x:v>CRS-R01-R1</x:v>
      </x:c>
      <x:c r="F11" s="21" t="str">
        <x:v>CRS-R01-B</x:v>
      </x:c>
      <x:c r="G11" s="21" t="str">
        <x:v>CRS-R01-R2</x:v>
      </x:c>
      <x:c r="H11" s="21" t="n">
        <x:v>0</x:v>
      </x:c>
      <x:c r="I11" s="21" t="str">
        <x:v>PAPER PASS</x:v>
      </x:c>
      <x:c r="J11" s="21" t="str">
        <x:v>OPEN</x:v>
      </x:c>
      <x:c r="K11" s="21" t="str">
        <x:v>HOLD</x:v>
      </x:c>
      <x:c r="L11" s="23" t="str">
        <x:v>shared root or provider control</x:v>
      </x:c>
    </x:row>
    <x:row r="12">
      <x:c r="B12" s="21" t="str">
        <x:v>PSS-T01</x:v>
      </x:c>
      <x:c r="C12" s="21" t="str">
        <x:v>Pressure skin</x:v>
      </x:c>
      <x:c r="D12" s="21" t="str">
        <x:v>PSS-T01-A</x:v>
      </x:c>
      <x:c r="E12" s="21" t="str">
        <x:v>PSS-T01-R1</x:v>
      </x:c>
      <x:c r="F12" s="21" t="str">
        <x:v>PSS-T01-B</x:v>
      </x:c>
      <x:c r="G12" s="21" t="str">
        <x:v>PSS-T01-R2</x:v>
      </x:c>
      <x:c r="H12" s="21" t="n">
        <x:v>0</x:v>
      </x:c>
      <x:c r="I12" s="21" t="str">
        <x:v>PAPER PASS</x:v>
      </x:c>
      <x:c r="J12" s="21" t="str">
        <x:v>OPEN</x:v>
      </x:c>
      <x:c r="K12" s="21" t="str">
        <x:v>HOLD</x:v>
      </x:c>
      <x:c r="L12" s="23" t="str">
        <x:v>shared root or provider control</x:v>
      </x:c>
    </x:row>
    <x:row r="13">
      <x:c r="B13" s="21" t="str">
        <x:v>PIF-I01</x:v>
      </x:c>
      <x:c r="C13" s="21" t="str">
        <x:v>Passive interface</x:v>
      </x:c>
      <x:c r="D13" s="21" t="str">
        <x:v>PIF-I01-A</x:v>
      </x:c>
      <x:c r="E13" s="21" t="str">
        <x:v>PIF-I01-R1</x:v>
      </x:c>
      <x:c r="F13" s="21" t="str">
        <x:v>PIF-I01-B</x:v>
      </x:c>
      <x:c r="G13" s="21" t="str">
        <x:v>PIF-I01-R2</x:v>
      </x:c>
      <x:c r="H13" s="21" t="n">
        <x:v>0</x:v>
      </x:c>
      <x:c r="I13" s="21" t="str">
        <x:v>PAPER PASS</x:v>
      </x:c>
      <x:c r="J13" s="21" t="str">
        <x:v>OPEN</x:v>
      </x:c>
      <x:c r="K13" s="21" t="str">
        <x:v>HOLD</x:v>
      </x:c>
      <x:c r="L13" s="23" t="str">
        <x:v>shared root or provider control</x:v>
      </x:c>
    </x:row>
    <x:row r="14">
      <x:c r="B14" s="21" t="str">
        <x:v>EPS-P01</x:v>
      </x:c>
      <x:c r="C14" s="21" t="str">
        <x:v>Independent energy</x:v>
      </x:c>
      <x:c r="D14" s="21" t="str">
        <x:v>EPS-P01-A</x:v>
      </x:c>
      <x:c r="E14" s="21" t="str">
        <x:v>EPS-P01-R1</x:v>
      </x:c>
      <x:c r="F14" s="21" t="str">
        <x:v>EPS-P01-B</x:v>
      </x:c>
      <x:c r="G14" s="21" t="str">
        <x:v>EPS-P01-R2</x:v>
      </x:c>
      <x:c r="H14" s="21" t="n">
        <x:v>0</x:v>
      </x:c>
      <x:c r="I14" s="21" t="str">
        <x:v>PAPER PASS</x:v>
      </x:c>
      <x:c r="J14" s="21" t="str">
        <x:v>OPEN</x:v>
      </x:c>
      <x:c r="K14" s="21" t="str">
        <x:v>HOLD</x:v>
      </x:c>
      <x:c r="L14" s="23" t="str">
        <x:v>shared root or provider control</x:v>
      </x:c>
    </x:row>
    <x:row r="15">
      <x:c r="B15" s="21" t="str">
        <x:v>TKS-C01</x:v>
      </x:c>
      <x:c r="C15" s="21" t="str">
        <x:v>Denied time</x:v>
      </x:c>
      <x:c r="D15" s="21" t="str">
        <x:v>TKS-C01-A</x:v>
      </x:c>
      <x:c r="E15" s="21" t="str">
        <x:v>TKS-C01-R1</x:v>
      </x:c>
      <x:c r="F15" s="21" t="str">
        <x:v>TKS-C01-B</x:v>
      </x:c>
      <x:c r="G15" s="21" t="str">
        <x:v>TKS-C01-R2</x:v>
      </x:c>
      <x:c r="H15" s="21" t="n">
        <x:v>0</x:v>
      </x:c>
      <x:c r="I15" s="21" t="str">
        <x:v>PAPER PASS</x:v>
      </x:c>
      <x:c r="J15" s="21" t="str">
        <x:v>OPEN</x:v>
      </x:c>
      <x:c r="K15" s="21" t="str">
        <x:v>HOLD</x:v>
      </x:c>
      <x:c r="L15" s="23" t="str">
        <x:v>shared root or provider control</x:v>
      </x:c>
    </x:row>
    <x:row r="16">
      <x:c r="B16" s="21" t="str">
        <x:v>STG-S01</x:v>
      </x:c>
      <x:c r="C16" s="21" t="str">
        <x:v>Immutable storage</x:v>
      </x:c>
      <x:c r="D16" s="21" t="str">
        <x:v>STG-S01-A</x:v>
      </x:c>
      <x:c r="E16" s="21" t="str">
        <x:v>STG-S01-R1</x:v>
      </x:c>
      <x:c r="F16" s="21" t="str">
        <x:v>STG-S01-B</x:v>
      </x:c>
      <x:c r="G16" s="21" t="str">
        <x:v>STG-S01-R2</x:v>
      </x:c>
      <x:c r="H16" s="21" t="n">
        <x:v>0</x:v>
      </x:c>
      <x:c r="I16" s="21" t="str">
        <x:v>PAPER PASS</x:v>
      </x:c>
      <x:c r="J16" s="21" t="str">
        <x:v>OPEN</x:v>
      </x:c>
      <x:c r="K16" s="21" t="str">
        <x:v>HOLD</x:v>
      </x:c>
      <x:c r="L16" s="23" t="str">
        <x:v>shared root or provider control</x:v>
      </x:c>
    </x:row>
    <x:row r="17">
      <x:c r="B17" s="24" t="str">
        <x:v>MHE-E01</x:v>
      </x:c>
      <x:c r="C17" s="24" t="str">
        <x:v>Mass and heat emulator</x:v>
      </x:c>
      <x:c r="D17" s="24" t="str">
        <x:v>MHE-E01-A</x:v>
      </x:c>
      <x:c r="E17" s="24" t="str">
        <x:v>MHE-E01-R1</x:v>
      </x:c>
      <x:c r="F17" s="24" t="str">
        <x:v>MHE-E01-B</x:v>
      </x:c>
      <x:c r="G17" s="24" t="str">
        <x:v>MHE-E01-R2</x:v>
      </x:c>
      <x:c r="H17" s="24" t="n">
        <x:v>0</x:v>
      </x:c>
      <x:c r="I17" s="24" t="str">
        <x:v>PAPER PASS</x:v>
      </x:c>
      <x:c r="J17" s="24" t="str">
        <x:v>OPEN</x:v>
      </x:c>
      <x:c r="K17" s="24" t="str">
        <x:v>HOLD</x:v>
      </x:c>
      <x:c r="L17" s="26" t="str">
        <x:v>shared root or provider control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3:L3"/>
  </x:mergeCells>
  <x:conditionalFormatting sqref="I7:K17">
    <x:cfRule type="containsText" dxfId="30" priority="1" operator="containsText" text="OPEN"/>
    <x:cfRule type="containsText" dxfId="31" priority="2" operator="containsText" text="HOLD"/>
    <x:cfRule type="containsText" dxfId="32" priority="3" operator="containsText" text="BLOCKED"/>
    <x:cfRule type="containsText" dxfId="33" priority="4" operator="containsText" text="CHALLENGE ONLY"/>
    <x:cfRule type="containsText" dxfId="34" priority="5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4" hidden="0" customWidth="1"/>
    <x:col min="5" max="5" width="20" hidden="0" customWidth="1"/>
    <x:col min="6" max="6" width="40" hidden="0" customWidth="1"/>
    <x:col min="7" max="7" width="12" hidden="0" customWidth="1"/>
    <x:col min="8" max="8" width="12" hidden="0" customWidth="1"/>
    <x:col min="9" max="9" width="13" hidden="0" customWidth="1"/>
    <x:col min="10" max="10" width="12" hidden="0" customWidth="1"/>
    <x:col min="11" max="11" width="29" hidden="0" customWidth="1"/>
  </x:cols>
  <x:sheetData>
    <x:row r="2">
      <x:c r="B2" s="3" t="str">
        <x:v>Technical-rights ledger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Rights attach to every proposed technical root, including challenge contracts, so the government can inspect failure, preserve interfaces, and commission independent reproduction.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Record</x:v>
      </x:c>
      <x:c r="C6" s="20" t="str">
        <x:v>Proposal</x:v>
      </x:c>
      <x:c r="D6" s="20" t="str">
        <x:v>Family</x:v>
      </x:c>
      <x:c r="E6" s="20" t="str">
        <x:v>Root code</x:v>
      </x:c>
      <x:c r="F6" s="20" t="str">
        <x:v>Required right</x:v>
      </x:c>
      <x:c r="G6" s="20" t="str">
        <x:v>Required</x:v>
      </x:c>
      <x:c r="H6" s="20" t="str">
        <x:v>Offered</x:v>
      </x:c>
      <x:c r="I6" s="20" t="str">
        <x:v>Evidence</x:v>
      </x:c>
      <x:c r="J6" s="20" t="str">
        <x:v>Credit</x:v>
      </x:c>
      <x:c r="K6" s="20" t="str">
        <x:v>Reopen trigger</x:v>
      </x:c>
    </x:row>
    <x:row r="7">
      <x:c r="B7" s="21" t="str">
        <x:v>R001</x:v>
      </x:c>
      <x:c r="C7" s="21" t="str">
        <x:v>ATC-A01-A</x:v>
      </x:c>
      <x:c r="D7" s="21" t="str">
        <x:v>ATC-A01</x:v>
      </x:c>
      <x:c r="E7" s="21" t="str">
        <x:v>ATC-A01-R1</x:v>
      </x:c>
      <x:c r="F7" s="21" t="str">
        <x:v>complete bill of materials</x:v>
      </x:c>
      <x:c r="G7" s="21" t="n">
        <x:v>1</x:v>
      </x:c>
      <x:c r="H7" s="21" t="n">
        <x:v>1</x:v>
      </x:c>
      <x:c r="I7" s="21" t="str">
        <x:v>OPEN</x:v>
      </x:c>
      <x:c r="J7" s="21" t="n">
        <x:v>0</x:v>
      </x:c>
      <x:c r="K7" s="23" t="str">
        <x:v>serial or ownership change</x:v>
      </x:c>
    </x:row>
    <x:row r="8">
      <x:c r="B8" s="21" t="str">
        <x:v>R002</x:v>
      </x:c>
      <x:c r="C8" s="21" t="str">
        <x:v>ATC-A01-A</x:v>
      </x:c>
      <x:c r="D8" s="21" t="str">
        <x:v>ATC-A01</x:v>
      </x:c>
      <x:c r="E8" s="21" t="str">
        <x:v>ATC-A01-R1</x:v>
      </x:c>
      <x:c r="F8" s="21" t="str">
        <x:v>bill of process and facility identity</x:v>
      </x:c>
      <x:c r="G8" s="21" t="n">
        <x:v>1</x:v>
      </x:c>
      <x:c r="H8" s="21" t="n">
        <x:v>1</x:v>
      </x:c>
      <x:c r="I8" s="21" t="str">
        <x:v>OPEN</x:v>
      </x:c>
      <x:c r="J8" s="21" t="n">
        <x:v>0</x:v>
      </x:c>
      <x:c r="K8" s="23" t="str">
        <x:v>serial or ownership change</x:v>
      </x:c>
    </x:row>
    <x:row r="9">
      <x:c r="B9" s="21" t="str">
        <x:v>R003</x:v>
      </x:c>
      <x:c r="C9" s="21" t="str">
        <x:v>ATC-A01-A</x:v>
      </x:c>
      <x:c r="D9" s="21" t="str">
        <x:v>ATC-A01</x:v>
      </x:c>
      <x:c r="E9" s="21" t="str">
        <x:v>ATC-A01-R1</x:v>
      </x:c>
      <x:c r="F9" s="21" t="str">
        <x:v>firmware source and software bill of materials</x:v>
      </x:c>
      <x:c r="G9" s="21" t="n">
        <x:v>1</x:v>
      </x:c>
      <x:c r="H9" s="21" t="n">
        <x:v>1</x:v>
      </x:c>
      <x:c r="I9" s="21" t="str">
        <x:v>OPEN</x:v>
      </x:c>
      <x:c r="J9" s="21" t="n">
        <x:v>0</x:v>
      </x:c>
      <x:c r="K9" s="23" t="str">
        <x:v>serial or ownership change</x:v>
      </x:c>
    </x:row>
    <x:row r="10">
      <x:c r="B10" s="21" t="str">
        <x:v>R004</x:v>
      </x:c>
      <x:c r="C10" s="21" t="str">
        <x:v>ATC-A01-A</x:v>
      </x:c>
      <x:c r="D10" s="21" t="str">
        <x:v>ATC-A01</x:v>
      </x:c>
      <x:c r="E10" s="21" t="str">
        <x:v>ATC-A01-R1</x:v>
      </x:c>
      <x:c r="F10" s="21" t="str">
        <x:v>ownership and beneficial-control map</x:v>
      </x:c>
      <x:c r="G10" s="21" t="n">
        <x:v>1</x:v>
      </x:c>
      <x:c r="H10" s="21" t="n">
        <x:v>1</x:v>
      </x:c>
      <x:c r="I10" s="21" t="str">
        <x:v>OPEN</x:v>
      </x:c>
      <x:c r="J10" s="21" t="n">
        <x:v>0</x:v>
      </x:c>
      <x:c r="K10" s="23" t="str">
        <x:v>serial or ownership change</x:v>
      </x:c>
    </x:row>
    <x:row r="11">
      <x:c r="B11" s="21" t="str">
        <x:v>R005</x:v>
      </x:c>
      <x:c r="C11" s="21" t="str">
        <x:v>ATC-A01-A</x:v>
      </x:c>
      <x:c r="D11" s="21" t="str">
        <x:v>ATC-A01</x:v>
      </x:c>
      <x:c r="E11" s="21" t="str">
        <x:v>ATC-A01-R1</x:v>
      </x:c>
      <x:c r="F11" s="21" t="str">
        <x:v>calibration genealogy</x:v>
      </x:c>
      <x:c r="G11" s="21" t="n">
        <x:v>1</x:v>
      </x:c>
      <x:c r="H11" s="21" t="n">
        <x:v>1</x:v>
      </x:c>
      <x:c r="I11" s="21" t="str">
        <x:v>OPEN</x:v>
      </x:c>
      <x:c r="J11" s="21" t="n">
        <x:v>0</x:v>
      </x:c>
      <x:c r="K11" s="23" t="str">
        <x:v>serial or ownership change</x:v>
      </x:c>
    </x:row>
    <x:row r="12">
      <x:c r="B12" s="21" t="str">
        <x:v>R006</x:v>
      </x:c>
      <x:c r="C12" s="21" t="str">
        <x:v>ATC-A01-A</x:v>
      </x:c>
      <x:c r="D12" s="21" t="str">
        <x:v>ATC-A01</x:v>
      </x:c>
      <x:c r="E12" s="21" t="str">
        <x:v>ATC-A01-R1</x:v>
      </x:c>
      <x:c r="F12" s="21" t="str">
        <x:v>destructive teardown right</x:v>
      </x:c>
      <x:c r="G12" s="21" t="n">
        <x:v>1</x:v>
      </x:c>
      <x:c r="H12" s="21" t="n">
        <x:v>1</x:v>
      </x:c>
      <x:c r="I12" s="21" t="str">
        <x:v>OPEN</x:v>
      </x:c>
      <x:c r="J12" s="21" t="n">
        <x:v>0</x:v>
      </x:c>
      <x:c r="K12" s="23" t="str">
        <x:v>serial or ownership change</x:v>
      </x:c>
    </x:row>
    <x:row r="13">
      <x:c r="B13" s="21" t="str">
        <x:v>R007</x:v>
      </x:c>
      <x:c r="C13" s="21" t="str">
        <x:v>ATC-A01-A</x:v>
      </x:c>
      <x:c r="D13" s="21" t="str">
        <x:v>ATC-A01</x:v>
      </x:c>
      <x:c r="E13" s="21" t="str">
        <x:v>ATC-A01-R1</x:v>
      </x:c>
      <x:c r="F13" s="21" t="str">
        <x:v>second-team reproduction right</x:v>
      </x:c>
      <x:c r="G13" s="21" t="n">
        <x:v>1</x:v>
      </x:c>
      <x:c r="H13" s="21" t="n">
        <x:v>1</x:v>
      </x:c>
      <x:c r="I13" s="21" t="str">
        <x:v>OPEN</x:v>
      </x:c>
      <x:c r="J13" s="21" t="n">
        <x:v>0</x:v>
      </x:c>
      <x:c r="K13" s="23" t="str">
        <x:v>serial or ownership change</x:v>
      </x:c>
    </x:row>
    <x:row r="14">
      <x:c r="B14" s="21" t="str">
        <x:v>R008</x:v>
      </x:c>
      <x:c r="C14" s="21" t="str">
        <x:v>ATC-A01-A</x:v>
      </x:c>
      <x:c r="D14" s="21" t="str">
        <x:v>ATC-A01</x:v>
      </x:c>
      <x:c r="E14" s="21" t="str">
        <x:v>ATC-A01-R1</x:v>
      </x:c>
      <x:c r="F14" s="21" t="str">
        <x:v>perpetual interface and evidence-data right</x:v>
      </x:c>
      <x:c r="G14" s="21" t="n">
        <x:v>1</x:v>
      </x:c>
      <x:c r="H14" s="21" t="n">
        <x:v>1</x:v>
      </x:c>
      <x:c r="I14" s="21" t="str">
        <x:v>OPEN</x:v>
      </x:c>
      <x:c r="J14" s="21" t="n">
        <x:v>0</x:v>
      </x:c>
      <x:c r="K14" s="23" t="str">
        <x:v>serial or ownership change</x:v>
      </x:c>
    </x:row>
    <x:row r="15">
      <x:c r="B15" s="21" t="str">
        <x:v>R009</x:v>
      </x:c>
      <x:c r="C15" s="21" t="str">
        <x:v>ATC-A01-B</x:v>
      </x:c>
      <x:c r="D15" s="21" t="str">
        <x:v>ATC-A01</x:v>
      </x:c>
      <x:c r="E15" s="21" t="str">
        <x:v>ATC-A01-R2</x:v>
      </x:c>
      <x:c r="F15" s="21" t="str">
        <x:v>complete bill of materials</x:v>
      </x:c>
      <x:c r="G15" s="21" t="n">
        <x:v>1</x:v>
      </x:c>
      <x:c r="H15" s="21" t="n">
        <x:v>1</x:v>
      </x:c>
      <x:c r="I15" s="21" t="str">
        <x:v>OPEN</x:v>
      </x:c>
      <x:c r="J15" s="21" t="n">
        <x:v>0</x:v>
      </x:c>
      <x:c r="K15" s="23" t="str">
        <x:v>serial or ownership change</x:v>
      </x:c>
    </x:row>
    <x:row r="16">
      <x:c r="B16" s="21" t="str">
        <x:v>R010</x:v>
      </x:c>
      <x:c r="C16" s="21" t="str">
        <x:v>ATC-A01-B</x:v>
      </x:c>
      <x:c r="D16" s="21" t="str">
        <x:v>ATC-A01</x:v>
      </x:c>
      <x:c r="E16" s="21" t="str">
        <x:v>ATC-A01-R2</x:v>
      </x:c>
      <x:c r="F16" s="21" t="str">
        <x:v>bill of process and facility identity</x:v>
      </x:c>
      <x:c r="G16" s="21" t="n">
        <x:v>1</x:v>
      </x:c>
      <x:c r="H16" s="21" t="n">
        <x:v>1</x:v>
      </x:c>
      <x:c r="I16" s="21" t="str">
        <x:v>OPEN</x:v>
      </x:c>
      <x:c r="J16" s="21" t="n">
        <x:v>0</x:v>
      </x:c>
      <x:c r="K16" s="23" t="str">
        <x:v>serial or ownership change</x:v>
      </x:c>
    </x:row>
    <x:row r="17">
      <x:c r="B17" s="21" t="str">
        <x:v>R011</x:v>
      </x:c>
      <x:c r="C17" s="21" t="str">
        <x:v>ATC-A01-B</x:v>
      </x:c>
      <x:c r="D17" s="21" t="str">
        <x:v>ATC-A01</x:v>
      </x:c>
      <x:c r="E17" s="21" t="str">
        <x:v>ATC-A01-R2</x:v>
      </x:c>
      <x:c r="F17" s="21" t="str">
        <x:v>firmware source and software bill of materials</x:v>
      </x:c>
      <x:c r="G17" s="21" t="n">
        <x:v>1</x:v>
      </x:c>
      <x:c r="H17" s="21" t="n">
        <x:v>1</x:v>
      </x:c>
      <x:c r="I17" s="21" t="str">
        <x:v>OPEN</x:v>
      </x:c>
      <x:c r="J17" s="21" t="n">
        <x:v>0</x:v>
      </x:c>
      <x:c r="K17" s="23" t="str">
        <x:v>serial or ownership change</x:v>
      </x:c>
    </x:row>
    <x:row r="18">
      <x:c r="B18" s="21" t="str">
        <x:v>R012</x:v>
      </x:c>
      <x:c r="C18" s="21" t="str">
        <x:v>ATC-A01-B</x:v>
      </x:c>
      <x:c r="D18" s="21" t="str">
        <x:v>ATC-A01</x:v>
      </x:c>
      <x:c r="E18" s="21" t="str">
        <x:v>ATC-A01-R2</x:v>
      </x:c>
      <x:c r="F18" s="21" t="str">
        <x:v>ownership and beneficial-control map</x:v>
      </x:c>
      <x:c r="G18" s="21" t="n">
        <x:v>1</x:v>
      </x:c>
      <x:c r="H18" s="21" t="n">
        <x:v>1</x:v>
      </x:c>
      <x:c r="I18" s="21" t="str">
        <x:v>OPEN</x:v>
      </x:c>
      <x:c r="J18" s="21" t="n">
        <x:v>0</x:v>
      </x:c>
      <x:c r="K18" s="23" t="str">
        <x:v>serial or ownership change</x:v>
      </x:c>
    </x:row>
    <x:row r="19">
      <x:c r="B19" s="21" t="str">
        <x:v>R013</x:v>
      </x:c>
      <x:c r="C19" s="21" t="str">
        <x:v>ATC-A01-B</x:v>
      </x:c>
      <x:c r="D19" s="21" t="str">
        <x:v>ATC-A01</x:v>
      </x:c>
      <x:c r="E19" s="21" t="str">
        <x:v>ATC-A01-R2</x:v>
      </x:c>
      <x:c r="F19" s="21" t="str">
        <x:v>calibration genealogy</x:v>
      </x:c>
      <x:c r="G19" s="21" t="n">
        <x:v>1</x:v>
      </x:c>
      <x:c r="H19" s="21" t="n">
        <x:v>1</x:v>
      </x:c>
      <x:c r="I19" s="21" t="str">
        <x:v>OPEN</x:v>
      </x:c>
      <x:c r="J19" s="21" t="n">
        <x:v>0</x:v>
      </x:c>
      <x:c r="K19" s="23" t="str">
        <x:v>serial or ownership change</x:v>
      </x:c>
    </x:row>
    <x:row r="20">
      <x:c r="B20" s="21" t="str">
        <x:v>R014</x:v>
      </x:c>
      <x:c r="C20" s="21" t="str">
        <x:v>ATC-A01-B</x:v>
      </x:c>
      <x:c r="D20" s="21" t="str">
        <x:v>ATC-A01</x:v>
      </x:c>
      <x:c r="E20" s="21" t="str">
        <x:v>ATC-A01-R2</x:v>
      </x:c>
      <x:c r="F20" s="21" t="str">
        <x:v>destructive teardown right</x:v>
      </x:c>
      <x:c r="G20" s="21" t="n">
        <x:v>1</x:v>
      </x:c>
      <x:c r="H20" s="21" t="n">
        <x:v>1</x:v>
      </x:c>
      <x:c r="I20" s="21" t="str">
        <x:v>OPEN</x:v>
      </x:c>
      <x:c r="J20" s="21" t="n">
        <x:v>0</x:v>
      </x:c>
      <x:c r="K20" s="23" t="str">
        <x:v>serial or ownership change</x:v>
      </x:c>
    </x:row>
    <x:row r="21">
      <x:c r="B21" s="21" t="str">
        <x:v>R015</x:v>
      </x:c>
      <x:c r="C21" s="21" t="str">
        <x:v>ATC-A01-B</x:v>
      </x:c>
      <x:c r="D21" s="21" t="str">
        <x:v>ATC-A01</x:v>
      </x:c>
      <x:c r="E21" s="21" t="str">
        <x:v>ATC-A01-R2</x:v>
      </x:c>
      <x:c r="F21" s="21" t="str">
        <x:v>second-team reproduction right</x:v>
      </x:c>
      <x:c r="G21" s="21" t="n">
        <x:v>1</x:v>
      </x:c>
      <x:c r="H21" s="21" t="n">
        <x:v>1</x:v>
      </x:c>
      <x:c r="I21" s="21" t="str">
        <x:v>OPEN</x:v>
      </x:c>
      <x:c r="J21" s="21" t="n">
        <x:v>0</x:v>
      </x:c>
      <x:c r="K21" s="23" t="str">
        <x:v>serial or ownership change</x:v>
      </x:c>
    </x:row>
    <x:row r="22">
      <x:c r="B22" s="21" t="str">
        <x:v>R016</x:v>
      </x:c>
      <x:c r="C22" s="21" t="str">
        <x:v>ATC-A01-B</x:v>
      </x:c>
      <x:c r="D22" s="21" t="str">
        <x:v>ATC-A01</x:v>
      </x:c>
      <x:c r="E22" s="21" t="str">
        <x:v>ATC-A01-R2</x:v>
      </x:c>
      <x:c r="F22" s="21" t="str">
        <x:v>perpetual interface and evidence-data right</x:v>
      </x:c>
      <x:c r="G22" s="21" t="n">
        <x:v>1</x:v>
      </x:c>
      <x:c r="H22" s="21" t="n">
        <x:v>1</x:v>
      </x:c>
      <x:c r="I22" s="21" t="str">
        <x:v>OPEN</x:v>
      </x:c>
      <x:c r="J22" s="21" t="n">
        <x:v>0</x:v>
      </x:c>
      <x:c r="K22" s="23" t="str">
        <x:v>serial or ownership change</x:v>
      </x:c>
    </x:row>
    <x:row r="23">
      <x:c r="B23" s="21" t="str">
        <x:v>R017</x:v>
      </x:c>
      <x:c r="C23" s="21" t="str">
        <x:v>ATC-A01-C</x:v>
      </x:c>
      <x:c r="D23" s="21" t="str">
        <x:v>ATC-A01</x:v>
      </x:c>
      <x:c r="E23" s="21" t="str">
        <x:v>ATC-A01-R3</x:v>
      </x:c>
      <x:c r="F23" s="21" t="str">
        <x:v>complete bill of materials</x:v>
      </x:c>
      <x:c r="G23" s="21" t="n">
        <x:v>1</x:v>
      </x:c>
      <x:c r="H23" s="21" t="n">
        <x:v>1</x:v>
      </x:c>
      <x:c r="I23" s="21" t="str">
        <x:v>OPEN</x:v>
      </x:c>
      <x:c r="J23" s="21" t="n">
        <x:v>0</x:v>
      </x:c>
      <x:c r="K23" s="23" t="str">
        <x:v>serial or ownership change</x:v>
      </x:c>
    </x:row>
    <x:row r="24">
      <x:c r="B24" s="21" t="str">
        <x:v>R018</x:v>
      </x:c>
      <x:c r="C24" s="21" t="str">
        <x:v>ATC-A01-C</x:v>
      </x:c>
      <x:c r="D24" s="21" t="str">
        <x:v>ATC-A01</x:v>
      </x:c>
      <x:c r="E24" s="21" t="str">
        <x:v>ATC-A01-R3</x:v>
      </x:c>
      <x:c r="F24" s="21" t="str">
        <x:v>bill of process and facility identity</x:v>
      </x:c>
      <x:c r="G24" s="21" t="n">
        <x:v>1</x:v>
      </x:c>
      <x:c r="H24" s="21" t="n">
        <x:v>1</x:v>
      </x:c>
      <x:c r="I24" s="21" t="str">
        <x:v>OPEN</x:v>
      </x:c>
      <x:c r="J24" s="21" t="n">
        <x:v>0</x:v>
      </x:c>
      <x:c r="K24" s="23" t="str">
        <x:v>serial or ownership change</x:v>
      </x:c>
    </x:row>
    <x:row r="25">
      <x:c r="B25" s="21" t="str">
        <x:v>R019</x:v>
      </x:c>
      <x:c r="C25" s="21" t="str">
        <x:v>ATC-A01-C</x:v>
      </x:c>
      <x:c r="D25" s="21" t="str">
        <x:v>ATC-A01</x:v>
      </x:c>
      <x:c r="E25" s="21" t="str">
        <x:v>ATC-A01-R3</x:v>
      </x:c>
      <x:c r="F25" s="21" t="str">
        <x:v>firmware source and software bill of materials</x:v>
      </x:c>
      <x:c r="G25" s="21" t="n">
        <x:v>1</x:v>
      </x:c>
      <x:c r="H25" s="21" t="n">
        <x:v>1</x:v>
      </x:c>
      <x:c r="I25" s="21" t="str">
        <x:v>OPEN</x:v>
      </x:c>
      <x:c r="J25" s="21" t="n">
        <x:v>0</x:v>
      </x:c>
      <x:c r="K25" s="23" t="str">
        <x:v>serial or ownership change</x:v>
      </x:c>
    </x:row>
    <x:row r="26">
      <x:c r="B26" s="21" t="str">
        <x:v>R020</x:v>
      </x:c>
      <x:c r="C26" s="21" t="str">
        <x:v>ATC-A01-C</x:v>
      </x:c>
      <x:c r="D26" s="21" t="str">
        <x:v>ATC-A01</x:v>
      </x:c>
      <x:c r="E26" s="21" t="str">
        <x:v>ATC-A01-R3</x:v>
      </x:c>
      <x:c r="F26" s="21" t="str">
        <x:v>ownership and beneficial-control map</x:v>
      </x:c>
      <x:c r="G26" s="21" t="n">
        <x:v>1</x:v>
      </x:c>
      <x:c r="H26" s="21" t="n">
        <x:v>1</x:v>
      </x:c>
      <x:c r="I26" s="21" t="str">
        <x:v>OPEN</x:v>
      </x:c>
      <x:c r="J26" s="21" t="n">
        <x:v>0</x:v>
      </x:c>
      <x:c r="K26" s="23" t="str">
        <x:v>serial or ownership change</x:v>
      </x:c>
    </x:row>
    <x:row r="27">
      <x:c r="B27" s="21" t="str">
        <x:v>R021</x:v>
      </x:c>
      <x:c r="C27" s="21" t="str">
        <x:v>ATC-A01-C</x:v>
      </x:c>
      <x:c r="D27" s="21" t="str">
        <x:v>ATC-A01</x:v>
      </x:c>
      <x:c r="E27" s="21" t="str">
        <x:v>ATC-A01-R3</x:v>
      </x:c>
      <x:c r="F27" s="21" t="str">
        <x:v>calibration genealogy</x:v>
      </x:c>
      <x:c r="G27" s="21" t="n">
        <x:v>1</x:v>
      </x:c>
      <x:c r="H27" s="21" t="n">
        <x:v>1</x:v>
      </x:c>
      <x:c r="I27" s="21" t="str">
        <x:v>OPEN</x:v>
      </x:c>
      <x:c r="J27" s="21" t="n">
        <x:v>0</x:v>
      </x:c>
      <x:c r="K27" s="23" t="str">
        <x:v>serial or ownership change</x:v>
      </x:c>
    </x:row>
    <x:row r="28">
      <x:c r="B28" s="21" t="str">
        <x:v>R022</x:v>
      </x:c>
      <x:c r="C28" s="21" t="str">
        <x:v>ATC-A01-C</x:v>
      </x:c>
      <x:c r="D28" s="21" t="str">
        <x:v>ATC-A01</x:v>
      </x:c>
      <x:c r="E28" s="21" t="str">
        <x:v>ATC-A01-R3</x:v>
      </x:c>
      <x:c r="F28" s="21" t="str">
        <x:v>destructive teardown right</x:v>
      </x:c>
      <x:c r="G28" s="21" t="n">
        <x:v>1</x:v>
      </x:c>
      <x:c r="H28" s="21" t="n">
        <x:v>1</x:v>
      </x:c>
      <x:c r="I28" s="21" t="str">
        <x:v>OPEN</x:v>
      </x:c>
      <x:c r="J28" s="21" t="n">
        <x:v>0</x:v>
      </x:c>
      <x:c r="K28" s="23" t="str">
        <x:v>serial or ownership change</x:v>
      </x:c>
    </x:row>
    <x:row r="29">
      <x:c r="B29" s="21" t="str">
        <x:v>R023</x:v>
      </x:c>
      <x:c r="C29" s="21" t="str">
        <x:v>ATC-A01-C</x:v>
      </x:c>
      <x:c r="D29" s="21" t="str">
        <x:v>ATC-A01</x:v>
      </x:c>
      <x:c r="E29" s="21" t="str">
        <x:v>ATC-A01-R3</x:v>
      </x:c>
      <x:c r="F29" s="21" t="str">
        <x:v>second-team reproduction right</x:v>
      </x:c>
      <x:c r="G29" s="21" t="n">
        <x:v>1</x:v>
      </x:c>
      <x:c r="H29" s="21" t="n">
        <x:v>1</x:v>
      </x:c>
      <x:c r="I29" s="21" t="str">
        <x:v>OPEN</x:v>
      </x:c>
      <x:c r="J29" s="21" t="n">
        <x:v>0</x:v>
      </x:c>
      <x:c r="K29" s="23" t="str">
        <x:v>serial or ownership change</x:v>
      </x:c>
    </x:row>
    <x:row r="30">
      <x:c r="B30" s="21" t="str">
        <x:v>R024</x:v>
      </x:c>
      <x:c r="C30" s="21" t="str">
        <x:v>ATC-A01-C</x:v>
      </x:c>
      <x:c r="D30" s="21" t="str">
        <x:v>ATC-A01</x:v>
      </x:c>
      <x:c r="E30" s="21" t="str">
        <x:v>ATC-A01-R3</x:v>
      </x:c>
      <x:c r="F30" s="21" t="str">
        <x:v>perpetual interface and evidence-data right</x:v>
      </x:c>
      <x:c r="G30" s="21" t="n">
        <x:v>1</x:v>
      </x:c>
      <x:c r="H30" s="21" t="n">
        <x:v>1</x:v>
      </x:c>
      <x:c r="I30" s="21" t="str">
        <x:v>OPEN</x:v>
      </x:c>
      <x:c r="J30" s="21" t="n">
        <x:v>0</x:v>
      </x:c>
      <x:c r="K30" s="23" t="str">
        <x:v>serial or ownership change</x:v>
      </x:c>
    </x:row>
    <x:row r="31">
      <x:c r="B31" s="21" t="str">
        <x:v>R025</x:v>
      </x:c>
      <x:c r="C31" s="21" t="str">
        <x:v>TTC-T01-A</x:v>
      </x:c>
      <x:c r="D31" s="21" t="str">
        <x:v>TTC-T01</x:v>
      </x:c>
      <x:c r="E31" s="21" t="str">
        <x:v>TTC-T01-R1</x:v>
      </x:c>
      <x:c r="F31" s="21" t="str">
        <x:v>complete bill of materials</x:v>
      </x:c>
      <x:c r="G31" s="21" t="n">
        <x:v>1</x:v>
      </x:c>
      <x:c r="H31" s="21" t="n">
        <x:v>1</x:v>
      </x:c>
      <x:c r="I31" s="21" t="str">
        <x:v>OPEN</x:v>
      </x:c>
      <x:c r="J31" s="21" t="n">
        <x:v>0</x:v>
      </x:c>
      <x:c r="K31" s="23" t="str">
        <x:v>serial or ownership change</x:v>
      </x:c>
    </x:row>
    <x:row r="32">
      <x:c r="B32" s="21" t="str">
        <x:v>R026</x:v>
      </x:c>
      <x:c r="C32" s="21" t="str">
        <x:v>TTC-T01-A</x:v>
      </x:c>
      <x:c r="D32" s="21" t="str">
        <x:v>TTC-T01</x:v>
      </x:c>
      <x:c r="E32" s="21" t="str">
        <x:v>TTC-T01-R1</x:v>
      </x:c>
      <x:c r="F32" s="21" t="str">
        <x:v>bill of process and facility identity</x:v>
      </x:c>
      <x:c r="G32" s="21" t="n">
        <x:v>1</x:v>
      </x:c>
      <x:c r="H32" s="21" t="n">
        <x:v>1</x:v>
      </x:c>
      <x:c r="I32" s="21" t="str">
        <x:v>OPEN</x:v>
      </x:c>
      <x:c r="J32" s="21" t="n">
        <x:v>0</x:v>
      </x:c>
      <x:c r="K32" s="23" t="str">
        <x:v>serial or ownership change</x:v>
      </x:c>
    </x:row>
    <x:row r="33">
      <x:c r="B33" s="21" t="str">
        <x:v>R027</x:v>
      </x:c>
      <x:c r="C33" s="21" t="str">
        <x:v>TTC-T01-A</x:v>
      </x:c>
      <x:c r="D33" s="21" t="str">
        <x:v>TTC-T01</x:v>
      </x:c>
      <x:c r="E33" s="21" t="str">
        <x:v>TTC-T01-R1</x:v>
      </x:c>
      <x:c r="F33" s="21" t="str">
        <x:v>firmware source and software bill of materials</x:v>
      </x:c>
      <x:c r="G33" s="21" t="n">
        <x:v>1</x:v>
      </x:c>
      <x:c r="H33" s="21" t="n">
        <x:v>1</x:v>
      </x:c>
      <x:c r="I33" s="21" t="str">
        <x:v>OPEN</x:v>
      </x:c>
      <x:c r="J33" s="21" t="n">
        <x:v>0</x:v>
      </x:c>
      <x:c r="K33" s="23" t="str">
        <x:v>serial or ownership change</x:v>
      </x:c>
    </x:row>
    <x:row r="34">
      <x:c r="B34" s="21" t="str">
        <x:v>R028</x:v>
      </x:c>
      <x:c r="C34" s="21" t="str">
        <x:v>TTC-T01-A</x:v>
      </x:c>
      <x:c r="D34" s="21" t="str">
        <x:v>TTC-T01</x:v>
      </x:c>
      <x:c r="E34" s="21" t="str">
        <x:v>TTC-T01-R1</x:v>
      </x:c>
      <x:c r="F34" s="21" t="str">
        <x:v>ownership and beneficial-control map</x:v>
      </x:c>
      <x:c r="G34" s="21" t="n">
        <x:v>1</x:v>
      </x:c>
      <x:c r="H34" s="21" t="n">
        <x:v>1</x:v>
      </x:c>
      <x:c r="I34" s="21" t="str">
        <x:v>OPEN</x:v>
      </x:c>
      <x:c r="J34" s="21" t="n">
        <x:v>0</x:v>
      </x:c>
      <x:c r="K34" s="23" t="str">
        <x:v>serial or ownership change</x:v>
      </x:c>
    </x:row>
    <x:row r="35">
      <x:c r="B35" s="21" t="str">
        <x:v>R029</x:v>
      </x:c>
      <x:c r="C35" s="21" t="str">
        <x:v>TTC-T01-A</x:v>
      </x:c>
      <x:c r="D35" s="21" t="str">
        <x:v>TTC-T01</x:v>
      </x:c>
      <x:c r="E35" s="21" t="str">
        <x:v>TTC-T01-R1</x:v>
      </x:c>
      <x:c r="F35" s="21" t="str">
        <x:v>calibration genealogy</x:v>
      </x:c>
      <x:c r="G35" s="21" t="n">
        <x:v>1</x:v>
      </x:c>
      <x:c r="H35" s="21" t="n">
        <x:v>1</x:v>
      </x:c>
      <x:c r="I35" s="21" t="str">
        <x:v>OPEN</x:v>
      </x:c>
      <x:c r="J35" s="21" t="n">
        <x:v>0</x:v>
      </x:c>
      <x:c r="K35" s="23" t="str">
        <x:v>serial or ownership change</x:v>
      </x:c>
    </x:row>
    <x:row r="36">
      <x:c r="B36" s="21" t="str">
        <x:v>R030</x:v>
      </x:c>
      <x:c r="C36" s="21" t="str">
        <x:v>TTC-T01-A</x:v>
      </x:c>
      <x:c r="D36" s="21" t="str">
        <x:v>TTC-T01</x:v>
      </x:c>
      <x:c r="E36" s="21" t="str">
        <x:v>TTC-T01-R1</x:v>
      </x:c>
      <x:c r="F36" s="21" t="str">
        <x:v>destructive teardown right</x:v>
      </x:c>
      <x:c r="G36" s="21" t="n">
        <x:v>1</x:v>
      </x:c>
      <x:c r="H36" s="21" t="n">
        <x:v>1</x:v>
      </x:c>
      <x:c r="I36" s="21" t="str">
        <x:v>OPEN</x:v>
      </x:c>
      <x:c r="J36" s="21" t="n">
        <x:v>0</x:v>
      </x:c>
      <x:c r="K36" s="23" t="str">
        <x:v>serial or ownership change</x:v>
      </x:c>
    </x:row>
    <x:row r="37">
      <x:c r="B37" s="21" t="str">
        <x:v>R031</x:v>
      </x:c>
      <x:c r="C37" s="21" t="str">
        <x:v>TTC-T01-A</x:v>
      </x:c>
      <x:c r="D37" s="21" t="str">
        <x:v>TTC-T01</x:v>
      </x:c>
      <x:c r="E37" s="21" t="str">
        <x:v>TTC-T01-R1</x:v>
      </x:c>
      <x:c r="F37" s="21" t="str">
        <x:v>second-team reproduction right</x:v>
      </x:c>
      <x:c r="G37" s="21" t="n">
        <x:v>1</x:v>
      </x:c>
      <x:c r="H37" s="21" t="n">
        <x:v>1</x:v>
      </x:c>
      <x:c r="I37" s="21" t="str">
        <x:v>OPEN</x:v>
      </x:c>
      <x:c r="J37" s="21" t="n">
        <x:v>0</x:v>
      </x:c>
      <x:c r="K37" s="23" t="str">
        <x:v>serial or ownership change</x:v>
      </x:c>
    </x:row>
    <x:row r="38">
      <x:c r="B38" s="21" t="str">
        <x:v>R032</x:v>
      </x:c>
      <x:c r="C38" s="21" t="str">
        <x:v>TTC-T01-A</x:v>
      </x:c>
      <x:c r="D38" s="21" t="str">
        <x:v>TTC-T01</x:v>
      </x:c>
      <x:c r="E38" s="21" t="str">
        <x:v>TTC-T01-R1</x:v>
      </x:c>
      <x:c r="F38" s="21" t="str">
        <x:v>perpetual interface and evidence-data right</x:v>
      </x:c>
      <x:c r="G38" s="21" t="n">
        <x:v>1</x:v>
      </x:c>
      <x:c r="H38" s="21" t="n">
        <x:v>1</x:v>
      </x:c>
      <x:c r="I38" s="21" t="str">
        <x:v>OPEN</x:v>
      </x:c>
      <x:c r="J38" s="21" t="n">
        <x:v>0</x:v>
      </x:c>
      <x:c r="K38" s="23" t="str">
        <x:v>serial or ownership change</x:v>
      </x:c>
    </x:row>
    <x:row r="39">
      <x:c r="B39" s="21" t="str">
        <x:v>R033</x:v>
      </x:c>
      <x:c r="C39" s="21" t="str">
        <x:v>TTC-T01-B</x:v>
      </x:c>
      <x:c r="D39" s="21" t="str">
        <x:v>TTC-T01</x:v>
      </x:c>
      <x:c r="E39" s="21" t="str">
        <x:v>TTC-T01-R2</x:v>
      </x:c>
      <x:c r="F39" s="21" t="str">
        <x:v>complete bill of materials</x:v>
      </x:c>
      <x:c r="G39" s="21" t="n">
        <x:v>1</x:v>
      </x:c>
      <x:c r="H39" s="21" t="n">
        <x:v>1</x:v>
      </x:c>
      <x:c r="I39" s="21" t="str">
        <x:v>OPEN</x:v>
      </x:c>
      <x:c r="J39" s="21" t="n">
        <x:v>0</x:v>
      </x:c>
      <x:c r="K39" s="23" t="str">
        <x:v>serial or ownership change</x:v>
      </x:c>
    </x:row>
    <x:row r="40">
      <x:c r="B40" s="21" t="str">
        <x:v>R034</x:v>
      </x:c>
      <x:c r="C40" s="21" t="str">
        <x:v>TTC-T01-B</x:v>
      </x:c>
      <x:c r="D40" s="21" t="str">
        <x:v>TTC-T01</x:v>
      </x:c>
      <x:c r="E40" s="21" t="str">
        <x:v>TTC-T01-R2</x:v>
      </x:c>
      <x:c r="F40" s="21" t="str">
        <x:v>bill of process and facility identity</x:v>
      </x:c>
      <x:c r="G40" s="21" t="n">
        <x:v>1</x:v>
      </x:c>
      <x:c r="H40" s="21" t="n">
        <x:v>1</x:v>
      </x:c>
      <x:c r="I40" s="21" t="str">
        <x:v>OPEN</x:v>
      </x:c>
      <x:c r="J40" s="21" t="n">
        <x:v>0</x:v>
      </x:c>
      <x:c r="K40" s="23" t="str">
        <x:v>serial or ownership change</x:v>
      </x:c>
    </x:row>
    <x:row r="41">
      <x:c r="B41" s="21" t="str">
        <x:v>R035</x:v>
      </x:c>
      <x:c r="C41" s="21" t="str">
        <x:v>TTC-T01-B</x:v>
      </x:c>
      <x:c r="D41" s="21" t="str">
        <x:v>TTC-T01</x:v>
      </x:c>
      <x:c r="E41" s="21" t="str">
        <x:v>TTC-T01-R2</x:v>
      </x:c>
      <x:c r="F41" s="21" t="str">
        <x:v>firmware source and software bill of materials</x:v>
      </x:c>
      <x:c r="G41" s="21" t="n">
        <x:v>1</x:v>
      </x:c>
      <x:c r="H41" s="21" t="n">
        <x:v>1</x:v>
      </x:c>
      <x:c r="I41" s="21" t="str">
        <x:v>OPEN</x:v>
      </x:c>
      <x:c r="J41" s="21" t="n">
        <x:v>0</x:v>
      </x:c>
      <x:c r="K41" s="23" t="str">
        <x:v>serial or ownership change</x:v>
      </x:c>
    </x:row>
    <x:row r="42">
      <x:c r="B42" s="21" t="str">
        <x:v>R036</x:v>
      </x:c>
      <x:c r="C42" s="21" t="str">
        <x:v>TTC-T01-B</x:v>
      </x:c>
      <x:c r="D42" s="21" t="str">
        <x:v>TTC-T01</x:v>
      </x:c>
      <x:c r="E42" s="21" t="str">
        <x:v>TTC-T01-R2</x:v>
      </x:c>
      <x:c r="F42" s="21" t="str">
        <x:v>ownership and beneficial-control map</x:v>
      </x:c>
      <x:c r="G42" s="21" t="n">
        <x:v>1</x:v>
      </x:c>
      <x:c r="H42" s="21" t="n">
        <x:v>1</x:v>
      </x:c>
      <x:c r="I42" s="21" t="str">
        <x:v>OPEN</x:v>
      </x:c>
      <x:c r="J42" s="21" t="n">
        <x:v>0</x:v>
      </x:c>
      <x:c r="K42" s="23" t="str">
        <x:v>serial or ownership change</x:v>
      </x:c>
    </x:row>
    <x:row r="43">
      <x:c r="B43" s="21" t="str">
        <x:v>R037</x:v>
      </x:c>
      <x:c r="C43" s="21" t="str">
        <x:v>TTC-T01-B</x:v>
      </x:c>
      <x:c r="D43" s="21" t="str">
        <x:v>TTC-T01</x:v>
      </x:c>
      <x:c r="E43" s="21" t="str">
        <x:v>TTC-T01-R2</x:v>
      </x:c>
      <x:c r="F43" s="21" t="str">
        <x:v>calibration genealogy</x:v>
      </x:c>
      <x:c r="G43" s="21" t="n">
        <x:v>1</x:v>
      </x:c>
      <x:c r="H43" s="21" t="n">
        <x:v>1</x:v>
      </x:c>
      <x:c r="I43" s="21" t="str">
        <x:v>OPEN</x:v>
      </x:c>
      <x:c r="J43" s="21" t="n">
        <x:v>0</x:v>
      </x:c>
      <x:c r="K43" s="23" t="str">
        <x:v>serial or ownership change</x:v>
      </x:c>
    </x:row>
    <x:row r="44">
      <x:c r="B44" s="21" t="str">
        <x:v>R038</x:v>
      </x:c>
      <x:c r="C44" s="21" t="str">
        <x:v>TTC-T01-B</x:v>
      </x:c>
      <x:c r="D44" s="21" t="str">
        <x:v>TTC-T01</x:v>
      </x:c>
      <x:c r="E44" s="21" t="str">
        <x:v>TTC-T01-R2</x:v>
      </x:c>
      <x:c r="F44" s="21" t="str">
        <x:v>destructive teardown right</x:v>
      </x:c>
      <x:c r="G44" s="21" t="n">
        <x:v>1</x:v>
      </x:c>
      <x:c r="H44" s="21" t="n">
        <x:v>1</x:v>
      </x:c>
      <x:c r="I44" s="21" t="str">
        <x:v>OPEN</x:v>
      </x:c>
      <x:c r="J44" s="21" t="n">
        <x:v>0</x:v>
      </x:c>
      <x:c r="K44" s="23" t="str">
        <x:v>serial or ownership change</x:v>
      </x:c>
    </x:row>
    <x:row r="45">
      <x:c r="B45" s="21" t="str">
        <x:v>R039</x:v>
      </x:c>
      <x:c r="C45" s="21" t="str">
        <x:v>TTC-T01-B</x:v>
      </x:c>
      <x:c r="D45" s="21" t="str">
        <x:v>TTC-T01</x:v>
      </x:c>
      <x:c r="E45" s="21" t="str">
        <x:v>TTC-T01-R2</x:v>
      </x:c>
      <x:c r="F45" s="21" t="str">
        <x:v>second-team reproduction right</x:v>
      </x:c>
      <x:c r="G45" s="21" t="n">
        <x:v>1</x:v>
      </x:c>
      <x:c r="H45" s="21" t="n">
        <x:v>1</x:v>
      </x:c>
      <x:c r="I45" s="21" t="str">
        <x:v>OPEN</x:v>
      </x:c>
      <x:c r="J45" s="21" t="n">
        <x:v>0</x:v>
      </x:c>
      <x:c r="K45" s="23" t="str">
        <x:v>serial or ownership change</x:v>
      </x:c>
    </x:row>
    <x:row r="46">
      <x:c r="B46" s="21" t="str">
        <x:v>R040</x:v>
      </x:c>
      <x:c r="C46" s="21" t="str">
        <x:v>TTC-T01-B</x:v>
      </x:c>
      <x:c r="D46" s="21" t="str">
        <x:v>TTC-T01</x:v>
      </x:c>
      <x:c r="E46" s="21" t="str">
        <x:v>TTC-T01-R2</x:v>
      </x:c>
      <x:c r="F46" s="21" t="str">
        <x:v>perpetual interface and evidence-data right</x:v>
      </x:c>
      <x:c r="G46" s="21" t="n">
        <x:v>1</x:v>
      </x:c>
      <x:c r="H46" s="21" t="n">
        <x:v>1</x:v>
      </x:c>
      <x:c r="I46" s="21" t="str">
        <x:v>OPEN</x:v>
      </x:c>
      <x:c r="J46" s="21" t="n">
        <x:v>0</x:v>
      </x:c>
      <x:c r="K46" s="23" t="str">
        <x:v>serial or ownership change</x:v>
      </x:c>
    </x:row>
    <x:row r="47">
      <x:c r="B47" s="21" t="str">
        <x:v>R041</x:v>
      </x:c>
      <x:c r="C47" s="21" t="str">
        <x:v>TTC-T01-C</x:v>
      </x:c>
      <x:c r="D47" s="21" t="str">
        <x:v>TTC-T01</x:v>
      </x:c>
      <x:c r="E47" s="21" t="str">
        <x:v>TTC-T01-R3</x:v>
      </x:c>
      <x:c r="F47" s="21" t="str">
        <x:v>complete bill of materials</x:v>
      </x:c>
      <x:c r="G47" s="21" t="n">
        <x:v>1</x:v>
      </x:c>
      <x:c r="H47" s="21" t="n">
        <x:v>1</x:v>
      </x:c>
      <x:c r="I47" s="21" t="str">
        <x:v>OPEN</x:v>
      </x:c>
      <x:c r="J47" s="21" t="n">
        <x:v>0</x:v>
      </x:c>
      <x:c r="K47" s="23" t="str">
        <x:v>serial or ownership change</x:v>
      </x:c>
    </x:row>
    <x:row r="48">
      <x:c r="B48" s="21" t="str">
        <x:v>R042</x:v>
      </x:c>
      <x:c r="C48" s="21" t="str">
        <x:v>TTC-T01-C</x:v>
      </x:c>
      <x:c r="D48" s="21" t="str">
        <x:v>TTC-T01</x:v>
      </x:c>
      <x:c r="E48" s="21" t="str">
        <x:v>TTC-T01-R3</x:v>
      </x:c>
      <x:c r="F48" s="21" t="str">
        <x:v>bill of process and facility identity</x:v>
      </x:c>
      <x:c r="G48" s="21" t="n">
        <x:v>1</x:v>
      </x:c>
      <x:c r="H48" s="21" t="n">
        <x:v>1</x:v>
      </x:c>
      <x:c r="I48" s="21" t="str">
        <x:v>OPEN</x:v>
      </x:c>
      <x:c r="J48" s="21" t="n">
        <x:v>0</x:v>
      </x:c>
      <x:c r="K48" s="23" t="str">
        <x:v>serial or ownership change</x:v>
      </x:c>
    </x:row>
    <x:row r="49">
      <x:c r="B49" s="21" t="str">
        <x:v>R043</x:v>
      </x:c>
      <x:c r="C49" s="21" t="str">
        <x:v>TTC-T01-C</x:v>
      </x:c>
      <x:c r="D49" s="21" t="str">
        <x:v>TTC-T01</x:v>
      </x:c>
      <x:c r="E49" s="21" t="str">
        <x:v>TTC-T01-R3</x:v>
      </x:c>
      <x:c r="F49" s="21" t="str">
        <x:v>firmware source and software bill of materials</x:v>
      </x:c>
      <x:c r="G49" s="21" t="n">
        <x:v>1</x:v>
      </x:c>
      <x:c r="H49" s="21" t="n">
        <x:v>1</x:v>
      </x:c>
      <x:c r="I49" s="21" t="str">
        <x:v>OPEN</x:v>
      </x:c>
      <x:c r="J49" s="21" t="n">
        <x:v>0</x:v>
      </x:c>
      <x:c r="K49" s="23" t="str">
        <x:v>serial or ownership change</x:v>
      </x:c>
    </x:row>
    <x:row r="50">
      <x:c r="B50" s="21" t="str">
        <x:v>R044</x:v>
      </x:c>
      <x:c r="C50" s="21" t="str">
        <x:v>TTC-T01-C</x:v>
      </x:c>
      <x:c r="D50" s="21" t="str">
        <x:v>TTC-T01</x:v>
      </x:c>
      <x:c r="E50" s="21" t="str">
        <x:v>TTC-T01-R3</x:v>
      </x:c>
      <x:c r="F50" s="21" t="str">
        <x:v>ownership and beneficial-control map</x:v>
      </x:c>
      <x:c r="G50" s="21" t="n">
        <x:v>1</x:v>
      </x:c>
      <x:c r="H50" s="21" t="n">
        <x:v>1</x:v>
      </x:c>
      <x:c r="I50" s="21" t="str">
        <x:v>OPEN</x:v>
      </x:c>
      <x:c r="J50" s="21" t="n">
        <x:v>0</x:v>
      </x:c>
      <x:c r="K50" s="23" t="str">
        <x:v>serial or ownership change</x:v>
      </x:c>
    </x:row>
    <x:row r="51">
      <x:c r="B51" s="21" t="str">
        <x:v>R045</x:v>
      </x:c>
      <x:c r="C51" s="21" t="str">
        <x:v>TTC-T01-C</x:v>
      </x:c>
      <x:c r="D51" s="21" t="str">
        <x:v>TTC-T01</x:v>
      </x:c>
      <x:c r="E51" s="21" t="str">
        <x:v>TTC-T01-R3</x:v>
      </x:c>
      <x:c r="F51" s="21" t="str">
        <x:v>calibration genealogy</x:v>
      </x:c>
      <x:c r="G51" s="21" t="n">
        <x:v>1</x:v>
      </x:c>
      <x:c r="H51" s="21" t="n">
        <x:v>1</x:v>
      </x:c>
      <x:c r="I51" s="21" t="str">
        <x:v>OPEN</x:v>
      </x:c>
      <x:c r="J51" s="21" t="n">
        <x:v>0</x:v>
      </x:c>
      <x:c r="K51" s="23" t="str">
        <x:v>serial or ownership change</x:v>
      </x:c>
    </x:row>
    <x:row r="52">
      <x:c r="B52" s="21" t="str">
        <x:v>R046</x:v>
      </x:c>
      <x:c r="C52" s="21" t="str">
        <x:v>TTC-T01-C</x:v>
      </x:c>
      <x:c r="D52" s="21" t="str">
        <x:v>TTC-T01</x:v>
      </x:c>
      <x:c r="E52" s="21" t="str">
        <x:v>TTC-T01-R3</x:v>
      </x:c>
      <x:c r="F52" s="21" t="str">
        <x:v>destructive teardown right</x:v>
      </x:c>
      <x:c r="G52" s="21" t="n">
        <x:v>1</x:v>
      </x:c>
      <x:c r="H52" s="21" t="n">
        <x:v>1</x:v>
      </x:c>
      <x:c r="I52" s="21" t="str">
        <x:v>OPEN</x:v>
      </x:c>
      <x:c r="J52" s="21" t="n">
        <x:v>0</x:v>
      </x:c>
      <x:c r="K52" s="23" t="str">
        <x:v>serial or ownership change</x:v>
      </x:c>
    </x:row>
    <x:row r="53">
      <x:c r="B53" s="21" t="str">
        <x:v>R047</x:v>
      </x:c>
      <x:c r="C53" s="21" t="str">
        <x:v>TTC-T01-C</x:v>
      </x:c>
      <x:c r="D53" s="21" t="str">
        <x:v>TTC-T01</x:v>
      </x:c>
      <x:c r="E53" s="21" t="str">
        <x:v>TTC-T01-R3</x:v>
      </x:c>
      <x:c r="F53" s="21" t="str">
        <x:v>second-team reproduction right</x:v>
      </x:c>
      <x:c r="G53" s="21" t="n">
        <x:v>1</x:v>
      </x:c>
      <x:c r="H53" s="21" t="n">
        <x:v>1</x:v>
      </x:c>
      <x:c r="I53" s="21" t="str">
        <x:v>OPEN</x:v>
      </x:c>
      <x:c r="J53" s="21" t="n">
        <x:v>0</x:v>
      </x:c>
      <x:c r="K53" s="23" t="str">
        <x:v>serial or ownership change</x:v>
      </x:c>
    </x:row>
    <x:row r="54">
      <x:c r="B54" s="21" t="str">
        <x:v>R048</x:v>
      </x:c>
      <x:c r="C54" s="21" t="str">
        <x:v>TTC-T01-C</x:v>
      </x:c>
      <x:c r="D54" s="21" t="str">
        <x:v>TTC-T01</x:v>
      </x:c>
      <x:c r="E54" s="21" t="str">
        <x:v>TTC-T01-R3</x:v>
      </x:c>
      <x:c r="F54" s="21" t="str">
        <x:v>perpetual interface and evidence-data right</x:v>
      </x:c>
      <x:c r="G54" s="21" t="n">
        <x:v>1</x:v>
      </x:c>
      <x:c r="H54" s="21" t="n">
        <x:v>1</x:v>
      </x:c>
      <x:c r="I54" s="21" t="str">
        <x:v>OPEN</x:v>
      </x:c>
      <x:c r="J54" s="21" t="n">
        <x:v>0</x:v>
      </x:c>
      <x:c r="K54" s="23" t="str">
        <x:v>serial or ownership change</x:v>
      </x:c>
    </x:row>
    <x:row r="55">
      <x:c r="B55" s="21" t="str">
        <x:v>R049</x:v>
      </x:c>
      <x:c r="C55" s="21" t="str">
        <x:v>ACN-A01-A</x:v>
      </x:c>
      <x:c r="D55" s="21" t="str">
        <x:v>ACN-A01</x:v>
      </x:c>
      <x:c r="E55" s="21" t="str">
        <x:v>ACN-A01-R1</x:v>
      </x:c>
      <x:c r="F55" s="21" t="str">
        <x:v>complete bill of materials</x:v>
      </x:c>
      <x:c r="G55" s="21" t="n">
        <x:v>1</x:v>
      </x:c>
      <x:c r="H55" s="21" t="n">
        <x:v>1</x:v>
      </x:c>
      <x:c r="I55" s="21" t="str">
        <x:v>OPEN</x:v>
      </x:c>
      <x:c r="J55" s="21" t="n">
        <x:v>0</x:v>
      </x:c>
      <x:c r="K55" s="23" t="str">
        <x:v>serial or ownership change</x:v>
      </x:c>
    </x:row>
    <x:row r="56">
      <x:c r="B56" s="21" t="str">
        <x:v>R050</x:v>
      </x:c>
      <x:c r="C56" s="21" t="str">
        <x:v>ACN-A01-A</x:v>
      </x:c>
      <x:c r="D56" s="21" t="str">
        <x:v>ACN-A01</x:v>
      </x:c>
      <x:c r="E56" s="21" t="str">
        <x:v>ACN-A01-R1</x:v>
      </x:c>
      <x:c r="F56" s="21" t="str">
        <x:v>bill of process and facility identity</x:v>
      </x:c>
      <x:c r="G56" s="21" t="n">
        <x:v>1</x:v>
      </x:c>
      <x:c r="H56" s="21" t="n">
        <x:v>1</x:v>
      </x:c>
      <x:c r="I56" s="21" t="str">
        <x:v>OPEN</x:v>
      </x:c>
      <x:c r="J56" s="21" t="n">
        <x:v>0</x:v>
      </x:c>
      <x:c r="K56" s="23" t="str">
        <x:v>serial or ownership change</x:v>
      </x:c>
    </x:row>
    <x:row r="57">
      <x:c r="B57" s="21" t="str">
        <x:v>R051</x:v>
      </x:c>
      <x:c r="C57" s="21" t="str">
        <x:v>ACN-A01-A</x:v>
      </x:c>
      <x:c r="D57" s="21" t="str">
        <x:v>ACN-A01</x:v>
      </x:c>
      <x:c r="E57" s="21" t="str">
        <x:v>ACN-A01-R1</x:v>
      </x:c>
      <x:c r="F57" s="21" t="str">
        <x:v>firmware source and software bill of materials</x:v>
      </x:c>
      <x:c r="G57" s="21" t="n">
        <x:v>1</x:v>
      </x:c>
      <x:c r="H57" s="21" t="n">
        <x:v>1</x:v>
      </x:c>
      <x:c r="I57" s="21" t="str">
        <x:v>OPEN</x:v>
      </x:c>
      <x:c r="J57" s="21" t="n">
        <x:v>0</x:v>
      </x:c>
      <x:c r="K57" s="23" t="str">
        <x:v>serial or ownership change</x:v>
      </x:c>
    </x:row>
    <x:row r="58">
      <x:c r="B58" s="21" t="str">
        <x:v>R052</x:v>
      </x:c>
      <x:c r="C58" s="21" t="str">
        <x:v>ACN-A01-A</x:v>
      </x:c>
      <x:c r="D58" s="21" t="str">
        <x:v>ACN-A01</x:v>
      </x:c>
      <x:c r="E58" s="21" t="str">
        <x:v>ACN-A01-R1</x:v>
      </x:c>
      <x:c r="F58" s="21" t="str">
        <x:v>ownership and beneficial-control map</x:v>
      </x:c>
      <x:c r="G58" s="21" t="n">
        <x:v>1</x:v>
      </x:c>
      <x:c r="H58" s="21" t="n">
        <x:v>1</x:v>
      </x:c>
      <x:c r="I58" s="21" t="str">
        <x:v>OPEN</x:v>
      </x:c>
      <x:c r="J58" s="21" t="n">
        <x:v>0</x:v>
      </x:c>
      <x:c r="K58" s="23" t="str">
        <x:v>serial or ownership change</x:v>
      </x:c>
    </x:row>
    <x:row r="59">
      <x:c r="B59" s="21" t="str">
        <x:v>R053</x:v>
      </x:c>
      <x:c r="C59" s="21" t="str">
        <x:v>ACN-A01-A</x:v>
      </x:c>
      <x:c r="D59" s="21" t="str">
        <x:v>ACN-A01</x:v>
      </x:c>
      <x:c r="E59" s="21" t="str">
        <x:v>ACN-A01-R1</x:v>
      </x:c>
      <x:c r="F59" s="21" t="str">
        <x:v>calibration genealogy</x:v>
      </x:c>
      <x:c r="G59" s="21" t="n">
        <x:v>1</x:v>
      </x:c>
      <x:c r="H59" s="21" t="n">
        <x:v>1</x:v>
      </x:c>
      <x:c r="I59" s="21" t="str">
        <x:v>OPEN</x:v>
      </x:c>
      <x:c r="J59" s="21" t="n">
        <x:v>0</x:v>
      </x:c>
      <x:c r="K59" s="23" t="str">
        <x:v>serial or ownership change</x:v>
      </x:c>
    </x:row>
    <x:row r="60">
      <x:c r="B60" s="21" t="str">
        <x:v>R054</x:v>
      </x:c>
      <x:c r="C60" s="21" t="str">
        <x:v>ACN-A01-A</x:v>
      </x:c>
      <x:c r="D60" s="21" t="str">
        <x:v>ACN-A01</x:v>
      </x:c>
      <x:c r="E60" s="21" t="str">
        <x:v>ACN-A01-R1</x:v>
      </x:c>
      <x:c r="F60" s="21" t="str">
        <x:v>destructive teardown right</x:v>
      </x:c>
      <x:c r="G60" s="21" t="n">
        <x:v>1</x:v>
      </x:c>
      <x:c r="H60" s="21" t="n">
        <x:v>1</x:v>
      </x:c>
      <x:c r="I60" s="21" t="str">
        <x:v>OPEN</x:v>
      </x:c>
      <x:c r="J60" s="21" t="n">
        <x:v>0</x:v>
      </x:c>
      <x:c r="K60" s="23" t="str">
        <x:v>serial or ownership change</x:v>
      </x:c>
    </x:row>
    <x:row r="61">
      <x:c r="B61" s="21" t="str">
        <x:v>R055</x:v>
      </x:c>
      <x:c r="C61" s="21" t="str">
        <x:v>ACN-A01-A</x:v>
      </x:c>
      <x:c r="D61" s="21" t="str">
        <x:v>ACN-A01</x:v>
      </x:c>
      <x:c r="E61" s="21" t="str">
        <x:v>ACN-A01-R1</x:v>
      </x:c>
      <x:c r="F61" s="21" t="str">
        <x:v>second-team reproduction right</x:v>
      </x:c>
      <x:c r="G61" s="21" t="n">
        <x:v>1</x:v>
      </x:c>
      <x:c r="H61" s="21" t="n">
        <x:v>1</x:v>
      </x:c>
      <x:c r="I61" s="21" t="str">
        <x:v>OPEN</x:v>
      </x:c>
      <x:c r="J61" s="21" t="n">
        <x:v>0</x:v>
      </x:c>
      <x:c r="K61" s="23" t="str">
        <x:v>serial or ownership change</x:v>
      </x:c>
    </x:row>
    <x:row r="62">
      <x:c r="B62" s="21" t="str">
        <x:v>R056</x:v>
      </x:c>
      <x:c r="C62" s="21" t="str">
        <x:v>ACN-A01-A</x:v>
      </x:c>
      <x:c r="D62" s="21" t="str">
        <x:v>ACN-A01</x:v>
      </x:c>
      <x:c r="E62" s="21" t="str">
        <x:v>ACN-A01-R1</x:v>
      </x:c>
      <x:c r="F62" s="21" t="str">
        <x:v>perpetual interface and evidence-data right</x:v>
      </x:c>
      <x:c r="G62" s="21" t="n">
        <x:v>1</x:v>
      </x:c>
      <x:c r="H62" s="21" t="n">
        <x:v>1</x:v>
      </x:c>
      <x:c r="I62" s="21" t="str">
        <x:v>OPEN</x:v>
      </x:c>
      <x:c r="J62" s="21" t="n">
        <x:v>0</x:v>
      </x:c>
      <x:c r="K62" s="23" t="str">
        <x:v>serial or ownership change</x:v>
      </x:c>
    </x:row>
    <x:row r="63">
      <x:c r="B63" s="21" t="str">
        <x:v>R057</x:v>
      </x:c>
      <x:c r="C63" s="21" t="str">
        <x:v>ACN-A01-B</x:v>
      </x:c>
      <x:c r="D63" s="21" t="str">
        <x:v>ACN-A01</x:v>
      </x:c>
      <x:c r="E63" s="21" t="str">
        <x:v>ACN-A01-R2</x:v>
      </x:c>
      <x:c r="F63" s="21" t="str">
        <x:v>complete bill of materials</x:v>
      </x:c>
      <x:c r="G63" s="21" t="n">
        <x:v>1</x:v>
      </x:c>
      <x:c r="H63" s="21" t="n">
        <x:v>1</x:v>
      </x:c>
      <x:c r="I63" s="21" t="str">
        <x:v>OPEN</x:v>
      </x:c>
      <x:c r="J63" s="21" t="n">
        <x:v>0</x:v>
      </x:c>
      <x:c r="K63" s="23" t="str">
        <x:v>serial or ownership change</x:v>
      </x:c>
    </x:row>
    <x:row r="64">
      <x:c r="B64" s="21" t="str">
        <x:v>R058</x:v>
      </x:c>
      <x:c r="C64" s="21" t="str">
        <x:v>ACN-A01-B</x:v>
      </x:c>
      <x:c r="D64" s="21" t="str">
        <x:v>ACN-A01</x:v>
      </x:c>
      <x:c r="E64" s="21" t="str">
        <x:v>ACN-A01-R2</x:v>
      </x:c>
      <x:c r="F64" s="21" t="str">
        <x:v>bill of process and facility identity</x:v>
      </x:c>
      <x:c r="G64" s="21" t="n">
        <x:v>1</x:v>
      </x:c>
      <x:c r="H64" s="21" t="n">
        <x:v>1</x:v>
      </x:c>
      <x:c r="I64" s="21" t="str">
        <x:v>OPEN</x:v>
      </x:c>
      <x:c r="J64" s="21" t="n">
        <x:v>0</x:v>
      </x:c>
      <x:c r="K64" s="23" t="str">
        <x:v>serial or ownership change</x:v>
      </x:c>
    </x:row>
    <x:row r="65">
      <x:c r="B65" s="21" t="str">
        <x:v>R059</x:v>
      </x:c>
      <x:c r="C65" s="21" t="str">
        <x:v>ACN-A01-B</x:v>
      </x:c>
      <x:c r="D65" s="21" t="str">
        <x:v>ACN-A01</x:v>
      </x:c>
      <x:c r="E65" s="21" t="str">
        <x:v>ACN-A01-R2</x:v>
      </x:c>
      <x:c r="F65" s="21" t="str">
        <x:v>firmware source and software bill of materials</x:v>
      </x:c>
      <x:c r="G65" s="21" t="n">
        <x:v>1</x:v>
      </x:c>
      <x:c r="H65" s="21" t="n">
        <x:v>1</x:v>
      </x:c>
      <x:c r="I65" s="21" t="str">
        <x:v>OPEN</x:v>
      </x:c>
      <x:c r="J65" s="21" t="n">
        <x:v>0</x:v>
      </x:c>
      <x:c r="K65" s="23" t="str">
        <x:v>serial or ownership change</x:v>
      </x:c>
    </x:row>
    <x:row r="66">
      <x:c r="B66" s="21" t="str">
        <x:v>R060</x:v>
      </x:c>
      <x:c r="C66" s="21" t="str">
        <x:v>ACN-A01-B</x:v>
      </x:c>
      <x:c r="D66" s="21" t="str">
        <x:v>ACN-A01</x:v>
      </x:c>
      <x:c r="E66" s="21" t="str">
        <x:v>ACN-A01-R2</x:v>
      </x:c>
      <x:c r="F66" s="21" t="str">
        <x:v>ownership and beneficial-control map</x:v>
      </x:c>
      <x:c r="G66" s="21" t="n">
        <x:v>1</x:v>
      </x:c>
      <x:c r="H66" s="21" t="n">
        <x:v>1</x:v>
      </x:c>
      <x:c r="I66" s="21" t="str">
        <x:v>OPEN</x:v>
      </x:c>
      <x:c r="J66" s="21" t="n">
        <x:v>0</x:v>
      </x:c>
      <x:c r="K66" s="23" t="str">
        <x:v>serial or ownership change</x:v>
      </x:c>
    </x:row>
    <x:row r="67">
      <x:c r="B67" s="21" t="str">
        <x:v>R061</x:v>
      </x:c>
      <x:c r="C67" s="21" t="str">
        <x:v>ACN-A01-B</x:v>
      </x:c>
      <x:c r="D67" s="21" t="str">
        <x:v>ACN-A01</x:v>
      </x:c>
      <x:c r="E67" s="21" t="str">
        <x:v>ACN-A01-R2</x:v>
      </x:c>
      <x:c r="F67" s="21" t="str">
        <x:v>calibration genealogy</x:v>
      </x:c>
      <x:c r="G67" s="21" t="n">
        <x:v>1</x:v>
      </x:c>
      <x:c r="H67" s="21" t="n">
        <x:v>1</x:v>
      </x:c>
      <x:c r="I67" s="21" t="str">
        <x:v>OPEN</x:v>
      </x:c>
      <x:c r="J67" s="21" t="n">
        <x:v>0</x:v>
      </x:c>
      <x:c r="K67" s="23" t="str">
        <x:v>serial or ownership change</x:v>
      </x:c>
    </x:row>
    <x:row r="68">
      <x:c r="B68" s="21" t="str">
        <x:v>R062</x:v>
      </x:c>
      <x:c r="C68" s="21" t="str">
        <x:v>ACN-A01-B</x:v>
      </x:c>
      <x:c r="D68" s="21" t="str">
        <x:v>ACN-A01</x:v>
      </x:c>
      <x:c r="E68" s="21" t="str">
        <x:v>ACN-A01-R2</x:v>
      </x:c>
      <x:c r="F68" s="21" t="str">
        <x:v>destructive teardown right</x:v>
      </x:c>
      <x:c r="G68" s="21" t="n">
        <x:v>1</x:v>
      </x:c>
      <x:c r="H68" s="21" t="n">
        <x:v>1</x:v>
      </x:c>
      <x:c r="I68" s="21" t="str">
        <x:v>OPEN</x:v>
      </x:c>
      <x:c r="J68" s="21" t="n">
        <x:v>0</x:v>
      </x:c>
      <x:c r="K68" s="23" t="str">
        <x:v>serial or ownership change</x:v>
      </x:c>
    </x:row>
    <x:row r="69">
      <x:c r="B69" s="21" t="str">
        <x:v>R063</x:v>
      </x:c>
      <x:c r="C69" s="21" t="str">
        <x:v>ACN-A01-B</x:v>
      </x:c>
      <x:c r="D69" s="21" t="str">
        <x:v>ACN-A01</x:v>
      </x:c>
      <x:c r="E69" s="21" t="str">
        <x:v>ACN-A01-R2</x:v>
      </x:c>
      <x:c r="F69" s="21" t="str">
        <x:v>second-team reproduction right</x:v>
      </x:c>
      <x:c r="G69" s="21" t="n">
        <x:v>1</x:v>
      </x:c>
      <x:c r="H69" s="21" t="n">
        <x:v>1</x:v>
      </x:c>
      <x:c r="I69" s="21" t="str">
        <x:v>OPEN</x:v>
      </x:c>
      <x:c r="J69" s="21" t="n">
        <x:v>0</x:v>
      </x:c>
      <x:c r="K69" s="23" t="str">
        <x:v>serial or ownership change</x:v>
      </x:c>
    </x:row>
    <x:row r="70">
      <x:c r="B70" s="21" t="str">
        <x:v>R064</x:v>
      </x:c>
      <x:c r="C70" s="21" t="str">
        <x:v>ACN-A01-B</x:v>
      </x:c>
      <x:c r="D70" s="21" t="str">
        <x:v>ACN-A01</x:v>
      </x:c>
      <x:c r="E70" s="21" t="str">
        <x:v>ACN-A01-R2</x:v>
      </x:c>
      <x:c r="F70" s="21" t="str">
        <x:v>perpetual interface and evidence-data right</x:v>
      </x:c>
      <x:c r="G70" s="21" t="n">
        <x:v>1</x:v>
      </x:c>
      <x:c r="H70" s="21" t="n">
        <x:v>1</x:v>
      </x:c>
      <x:c r="I70" s="21" t="str">
        <x:v>OPEN</x:v>
      </x:c>
      <x:c r="J70" s="21" t="n">
        <x:v>0</x:v>
      </x:c>
      <x:c r="K70" s="23" t="str">
        <x:v>serial or ownership change</x:v>
      </x:c>
    </x:row>
    <x:row r="71">
      <x:c r="B71" s="21" t="str">
        <x:v>R065</x:v>
      </x:c>
      <x:c r="C71" s="21" t="str">
        <x:v>ACN-A01-C</x:v>
      </x:c>
      <x:c r="D71" s="21" t="str">
        <x:v>ACN-A01</x:v>
      </x:c>
      <x:c r="E71" s="21" t="str">
        <x:v>ACN-A01-R3</x:v>
      </x:c>
      <x:c r="F71" s="21" t="str">
        <x:v>complete bill of materials</x:v>
      </x:c>
      <x:c r="G71" s="21" t="n">
        <x:v>1</x:v>
      </x:c>
      <x:c r="H71" s="21" t="n">
        <x:v>1</x:v>
      </x:c>
      <x:c r="I71" s="21" t="str">
        <x:v>OPEN</x:v>
      </x:c>
      <x:c r="J71" s="21" t="n">
        <x:v>0</x:v>
      </x:c>
      <x:c r="K71" s="23" t="str">
        <x:v>serial or ownership change</x:v>
      </x:c>
    </x:row>
    <x:row r="72">
      <x:c r="B72" s="21" t="str">
        <x:v>R066</x:v>
      </x:c>
      <x:c r="C72" s="21" t="str">
        <x:v>ACN-A01-C</x:v>
      </x:c>
      <x:c r="D72" s="21" t="str">
        <x:v>ACN-A01</x:v>
      </x:c>
      <x:c r="E72" s="21" t="str">
        <x:v>ACN-A01-R3</x:v>
      </x:c>
      <x:c r="F72" s="21" t="str">
        <x:v>bill of process and facility identity</x:v>
      </x:c>
      <x:c r="G72" s="21" t="n">
        <x:v>1</x:v>
      </x:c>
      <x:c r="H72" s="21" t="n">
        <x:v>1</x:v>
      </x:c>
      <x:c r="I72" s="21" t="str">
        <x:v>OPEN</x:v>
      </x:c>
      <x:c r="J72" s="21" t="n">
        <x:v>0</x:v>
      </x:c>
      <x:c r="K72" s="23" t="str">
        <x:v>serial or ownership change</x:v>
      </x:c>
    </x:row>
    <x:row r="73">
      <x:c r="B73" s="21" t="str">
        <x:v>R067</x:v>
      </x:c>
      <x:c r="C73" s="21" t="str">
        <x:v>ACN-A01-C</x:v>
      </x:c>
      <x:c r="D73" s="21" t="str">
        <x:v>ACN-A01</x:v>
      </x:c>
      <x:c r="E73" s="21" t="str">
        <x:v>ACN-A01-R3</x:v>
      </x:c>
      <x:c r="F73" s="21" t="str">
        <x:v>firmware source and software bill of materials</x:v>
      </x:c>
      <x:c r="G73" s="21" t="n">
        <x:v>1</x:v>
      </x:c>
      <x:c r="H73" s="21" t="n">
        <x:v>1</x:v>
      </x:c>
      <x:c r="I73" s="21" t="str">
        <x:v>OPEN</x:v>
      </x:c>
      <x:c r="J73" s="21" t="n">
        <x:v>0</x:v>
      </x:c>
      <x:c r="K73" s="23" t="str">
        <x:v>serial or ownership change</x:v>
      </x:c>
    </x:row>
    <x:row r="74">
      <x:c r="B74" s="21" t="str">
        <x:v>R068</x:v>
      </x:c>
      <x:c r="C74" s="21" t="str">
        <x:v>ACN-A01-C</x:v>
      </x:c>
      <x:c r="D74" s="21" t="str">
        <x:v>ACN-A01</x:v>
      </x:c>
      <x:c r="E74" s="21" t="str">
        <x:v>ACN-A01-R3</x:v>
      </x:c>
      <x:c r="F74" s="21" t="str">
        <x:v>ownership and beneficial-control map</x:v>
      </x:c>
      <x:c r="G74" s="21" t="n">
        <x:v>1</x:v>
      </x:c>
      <x:c r="H74" s="21" t="n">
        <x:v>1</x:v>
      </x:c>
      <x:c r="I74" s="21" t="str">
        <x:v>OPEN</x:v>
      </x:c>
      <x:c r="J74" s="21" t="n">
        <x:v>0</x:v>
      </x:c>
      <x:c r="K74" s="23" t="str">
        <x:v>serial or ownership change</x:v>
      </x:c>
    </x:row>
    <x:row r="75">
      <x:c r="B75" s="21" t="str">
        <x:v>R069</x:v>
      </x:c>
      <x:c r="C75" s="21" t="str">
        <x:v>ACN-A01-C</x:v>
      </x:c>
      <x:c r="D75" s="21" t="str">
        <x:v>ACN-A01</x:v>
      </x:c>
      <x:c r="E75" s="21" t="str">
        <x:v>ACN-A01-R3</x:v>
      </x:c>
      <x:c r="F75" s="21" t="str">
        <x:v>calibration genealogy</x:v>
      </x:c>
      <x:c r="G75" s="21" t="n">
        <x:v>1</x:v>
      </x:c>
      <x:c r="H75" s="21" t="n">
        <x:v>1</x:v>
      </x:c>
      <x:c r="I75" s="21" t="str">
        <x:v>OPEN</x:v>
      </x:c>
      <x:c r="J75" s="21" t="n">
        <x:v>0</x:v>
      </x:c>
      <x:c r="K75" s="23" t="str">
        <x:v>serial or ownership change</x:v>
      </x:c>
    </x:row>
    <x:row r="76">
      <x:c r="B76" s="21" t="str">
        <x:v>R070</x:v>
      </x:c>
      <x:c r="C76" s="21" t="str">
        <x:v>ACN-A01-C</x:v>
      </x:c>
      <x:c r="D76" s="21" t="str">
        <x:v>ACN-A01</x:v>
      </x:c>
      <x:c r="E76" s="21" t="str">
        <x:v>ACN-A01-R3</x:v>
      </x:c>
      <x:c r="F76" s="21" t="str">
        <x:v>destructive teardown right</x:v>
      </x:c>
      <x:c r="G76" s="21" t="n">
        <x:v>1</x:v>
      </x:c>
      <x:c r="H76" s="21" t="n">
        <x:v>1</x:v>
      </x:c>
      <x:c r="I76" s="21" t="str">
        <x:v>OPEN</x:v>
      </x:c>
      <x:c r="J76" s="21" t="n">
        <x:v>0</x:v>
      </x:c>
      <x:c r="K76" s="23" t="str">
        <x:v>serial or ownership change</x:v>
      </x:c>
    </x:row>
    <x:row r="77">
      <x:c r="B77" s="21" t="str">
        <x:v>R071</x:v>
      </x:c>
      <x:c r="C77" s="21" t="str">
        <x:v>ACN-A01-C</x:v>
      </x:c>
      <x:c r="D77" s="21" t="str">
        <x:v>ACN-A01</x:v>
      </x:c>
      <x:c r="E77" s="21" t="str">
        <x:v>ACN-A01-R3</x:v>
      </x:c>
      <x:c r="F77" s="21" t="str">
        <x:v>second-team reproduction right</x:v>
      </x:c>
      <x:c r="G77" s="21" t="n">
        <x:v>1</x:v>
      </x:c>
      <x:c r="H77" s="21" t="n">
        <x:v>1</x:v>
      </x:c>
      <x:c r="I77" s="21" t="str">
        <x:v>OPEN</x:v>
      </x:c>
      <x:c r="J77" s="21" t="n">
        <x:v>0</x:v>
      </x:c>
      <x:c r="K77" s="23" t="str">
        <x:v>serial or ownership change</x:v>
      </x:c>
    </x:row>
    <x:row r="78">
      <x:c r="B78" s="21" t="str">
        <x:v>R072</x:v>
      </x:c>
      <x:c r="C78" s="21" t="str">
        <x:v>ACN-A01-C</x:v>
      </x:c>
      <x:c r="D78" s="21" t="str">
        <x:v>ACN-A01</x:v>
      </x:c>
      <x:c r="E78" s="21" t="str">
        <x:v>ACN-A01-R3</x:v>
      </x:c>
      <x:c r="F78" s="21" t="str">
        <x:v>perpetual interface and evidence-data right</x:v>
      </x:c>
      <x:c r="G78" s="21" t="n">
        <x:v>1</x:v>
      </x:c>
      <x:c r="H78" s="21" t="n">
        <x:v>1</x:v>
      </x:c>
      <x:c r="I78" s="21" t="str">
        <x:v>OPEN</x:v>
      </x:c>
      <x:c r="J78" s="21" t="n">
        <x:v>0</x:v>
      </x:c>
      <x:c r="K78" s="23" t="str">
        <x:v>serial or ownership change</x:v>
      </x:c>
    </x:row>
    <x:row r="79">
      <x:c r="B79" s="21" t="str">
        <x:v>R073</x:v>
      </x:c>
      <x:c r="C79" s="21" t="str">
        <x:v>TCN-T01-A</x:v>
      </x:c>
      <x:c r="D79" s="21" t="str">
        <x:v>TCN-T01</x:v>
      </x:c>
      <x:c r="E79" s="21" t="str">
        <x:v>TCN-T01-R1</x:v>
      </x:c>
      <x:c r="F79" s="21" t="str">
        <x:v>complete bill of materials</x:v>
      </x:c>
      <x:c r="G79" s="21" t="n">
        <x:v>1</x:v>
      </x:c>
      <x:c r="H79" s="21" t="n">
        <x:v>1</x:v>
      </x:c>
      <x:c r="I79" s="21" t="str">
        <x:v>OPEN</x:v>
      </x:c>
      <x:c r="J79" s="21" t="n">
        <x:v>0</x:v>
      </x:c>
      <x:c r="K79" s="23" t="str">
        <x:v>serial or ownership change</x:v>
      </x:c>
    </x:row>
    <x:row r="80">
      <x:c r="B80" s="21" t="str">
        <x:v>R074</x:v>
      </x:c>
      <x:c r="C80" s="21" t="str">
        <x:v>TCN-T01-A</x:v>
      </x:c>
      <x:c r="D80" s="21" t="str">
        <x:v>TCN-T01</x:v>
      </x:c>
      <x:c r="E80" s="21" t="str">
        <x:v>TCN-T01-R1</x:v>
      </x:c>
      <x:c r="F80" s="21" t="str">
        <x:v>bill of process and facility identity</x:v>
      </x:c>
      <x:c r="G80" s="21" t="n">
        <x:v>1</x:v>
      </x:c>
      <x:c r="H80" s="21" t="n">
        <x:v>1</x:v>
      </x:c>
      <x:c r="I80" s="21" t="str">
        <x:v>OPEN</x:v>
      </x:c>
      <x:c r="J80" s="21" t="n">
        <x:v>0</x:v>
      </x:c>
      <x:c r="K80" s="23" t="str">
        <x:v>serial or ownership change</x:v>
      </x:c>
    </x:row>
    <x:row r="81">
      <x:c r="B81" s="21" t="str">
        <x:v>R075</x:v>
      </x:c>
      <x:c r="C81" s="21" t="str">
        <x:v>TCN-T01-A</x:v>
      </x:c>
      <x:c r="D81" s="21" t="str">
        <x:v>TCN-T01</x:v>
      </x:c>
      <x:c r="E81" s="21" t="str">
        <x:v>TCN-T01-R1</x:v>
      </x:c>
      <x:c r="F81" s="21" t="str">
        <x:v>firmware source and software bill of materials</x:v>
      </x:c>
      <x:c r="G81" s="21" t="n">
        <x:v>1</x:v>
      </x:c>
      <x:c r="H81" s="21" t="n">
        <x:v>1</x:v>
      </x:c>
      <x:c r="I81" s="21" t="str">
        <x:v>OPEN</x:v>
      </x:c>
      <x:c r="J81" s="21" t="n">
        <x:v>0</x:v>
      </x:c>
      <x:c r="K81" s="23" t="str">
        <x:v>serial or ownership change</x:v>
      </x:c>
    </x:row>
    <x:row r="82">
      <x:c r="B82" s="21" t="str">
        <x:v>R076</x:v>
      </x:c>
      <x:c r="C82" s="21" t="str">
        <x:v>TCN-T01-A</x:v>
      </x:c>
      <x:c r="D82" s="21" t="str">
        <x:v>TCN-T01</x:v>
      </x:c>
      <x:c r="E82" s="21" t="str">
        <x:v>TCN-T01-R1</x:v>
      </x:c>
      <x:c r="F82" s="21" t="str">
        <x:v>ownership and beneficial-control map</x:v>
      </x:c>
      <x:c r="G82" s="21" t="n">
        <x:v>1</x:v>
      </x:c>
      <x:c r="H82" s="21" t="n">
        <x:v>1</x:v>
      </x:c>
      <x:c r="I82" s="21" t="str">
        <x:v>OPEN</x:v>
      </x:c>
      <x:c r="J82" s="21" t="n">
        <x:v>0</x:v>
      </x:c>
      <x:c r="K82" s="23" t="str">
        <x:v>serial or ownership change</x:v>
      </x:c>
    </x:row>
    <x:row r="83">
      <x:c r="B83" s="21" t="str">
        <x:v>R077</x:v>
      </x:c>
      <x:c r="C83" s="21" t="str">
        <x:v>TCN-T01-A</x:v>
      </x:c>
      <x:c r="D83" s="21" t="str">
        <x:v>TCN-T01</x:v>
      </x:c>
      <x:c r="E83" s="21" t="str">
        <x:v>TCN-T01-R1</x:v>
      </x:c>
      <x:c r="F83" s="21" t="str">
        <x:v>calibration genealogy</x:v>
      </x:c>
      <x:c r="G83" s="21" t="n">
        <x:v>1</x:v>
      </x:c>
      <x:c r="H83" s="21" t="n">
        <x:v>1</x:v>
      </x:c>
      <x:c r="I83" s="21" t="str">
        <x:v>OPEN</x:v>
      </x:c>
      <x:c r="J83" s="21" t="n">
        <x:v>0</x:v>
      </x:c>
      <x:c r="K83" s="23" t="str">
        <x:v>serial or ownership change</x:v>
      </x:c>
    </x:row>
    <x:row r="84">
      <x:c r="B84" s="21" t="str">
        <x:v>R078</x:v>
      </x:c>
      <x:c r="C84" s="21" t="str">
        <x:v>TCN-T01-A</x:v>
      </x:c>
      <x:c r="D84" s="21" t="str">
        <x:v>TCN-T01</x:v>
      </x:c>
      <x:c r="E84" s="21" t="str">
        <x:v>TCN-T01-R1</x:v>
      </x:c>
      <x:c r="F84" s="21" t="str">
        <x:v>destructive teardown right</x:v>
      </x:c>
      <x:c r="G84" s="21" t="n">
        <x:v>1</x:v>
      </x:c>
      <x:c r="H84" s="21" t="n">
        <x:v>1</x:v>
      </x:c>
      <x:c r="I84" s="21" t="str">
        <x:v>OPEN</x:v>
      </x:c>
      <x:c r="J84" s="21" t="n">
        <x:v>0</x:v>
      </x:c>
      <x:c r="K84" s="23" t="str">
        <x:v>serial or ownership change</x:v>
      </x:c>
    </x:row>
    <x:row r="85">
      <x:c r="B85" s="21" t="str">
        <x:v>R079</x:v>
      </x:c>
      <x:c r="C85" s="21" t="str">
        <x:v>TCN-T01-A</x:v>
      </x:c>
      <x:c r="D85" s="21" t="str">
        <x:v>TCN-T01</x:v>
      </x:c>
      <x:c r="E85" s="21" t="str">
        <x:v>TCN-T01-R1</x:v>
      </x:c>
      <x:c r="F85" s="21" t="str">
        <x:v>second-team reproduction right</x:v>
      </x:c>
      <x:c r="G85" s="21" t="n">
        <x:v>1</x:v>
      </x:c>
      <x:c r="H85" s="21" t="n">
        <x:v>1</x:v>
      </x:c>
      <x:c r="I85" s="21" t="str">
        <x:v>OPEN</x:v>
      </x:c>
      <x:c r="J85" s="21" t="n">
        <x:v>0</x:v>
      </x:c>
      <x:c r="K85" s="23" t="str">
        <x:v>serial or ownership change</x:v>
      </x:c>
    </x:row>
    <x:row r="86">
      <x:c r="B86" s="21" t="str">
        <x:v>R080</x:v>
      </x:c>
      <x:c r="C86" s="21" t="str">
        <x:v>TCN-T01-A</x:v>
      </x:c>
      <x:c r="D86" s="21" t="str">
        <x:v>TCN-T01</x:v>
      </x:c>
      <x:c r="E86" s="21" t="str">
        <x:v>TCN-T01-R1</x:v>
      </x:c>
      <x:c r="F86" s="21" t="str">
        <x:v>perpetual interface and evidence-data right</x:v>
      </x:c>
      <x:c r="G86" s="21" t="n">
        <x:v>1</x:v>
      </x:c>
      <x:c r="H86" s="21" t="n">
        <x:v>1</x:v>
      </x:c>
      <x:c r="I86" s="21" t="str">
        <x:v>OPEN</x:v>
      </x:c>
      <x:c r="J86" s="21" t="n">
        <x:v>0</x:v>
      </x:c>
      <x:c r="K86" s="23" t="str">
        <x:v>serial or ownership change</x:v>
      </x:c>
    </x:row>
    <x:row r="87">
      <x:c r="B87" s="21" t="str">
        <x:v>R081</x:v>
      </x:c>
      <x:c r="C87" s="21" t="str">
        <x:v>TCN-T01-B</x:v>
      </x:c>
      <x:c r="D87" s="21" t="str">
        <x:v>TCN-T01</x:v>
      </x:c>
      <x:c r="E87" s="21" t="str">
        <x:v>TCN-T01-R2</x:v>
      </x:c>
      <x:c r="F87" s="21" t="str">
        <x:v>complete bill of materials</x:v>
      </x:c>
      <x:c r="G87" s="21" t="n">
        <x:v>1</x:v>
      </x:c>
      <x:c r="H87" s="21" t="n">
        <x:v>1</x:v>
      </x:c>
      <x:c r="I87" s="21" t="str">
        <x:v>OPEN</x:v>
      </x:c>
      <x:c r="J87" s="21" t="n">
        <x:v>0</x:v>
      </x:c>
      <x:c r="K87" s="23" t="str">
        <x:v>serial or ownership change</x:v>
      </x:c>
    </x:row>
    <x:row r="88">
      <x:c r="B88" s="21" t="str">
        <x:v>R082</x:v>
      </x:c>
      <x:c r="C88" s="21" t="str">
        <x:v>TCN-T01-B</x:v>
      </x:c>
      <x:c r="D88" s="21" t="str">
        <x:v>TCN-T01</x:v>
      </x:c>
      <x:c r="E88" s="21" t="str">
        <x:v>TCN-T01-R2</x:v>
      </x:c>
      <x:c r="F88" s="21" t="str">
        <x:v>bill of process and facility identity</x:v>
      </x:c>
      <x:c r="G88" s="21" t="n">
        <x:v>1</x:v>
      </x:c>
      <x:c r="H88" s="21" t="n">
        <x:v>1</x:v>
      </x:c>
      <x:c r="I88" s="21" t="str">
        <x:v>OPEN</x:v>
      </x:c>
      <x:c r="J88" s="21" t="n">
        <x:v>0</x:v>
      </x:c>
      <x:c r="K88" s="23" t="str">
        <x:v>serial or ownership change</x:v>
      </x:c>
    </x:row>
    <x:row r="89">
      <x:c r="B89" s="21" t="str">
        <x:v>R083</x:v>
      </x:c>
      <x:c r="C89" s="21" t="str">
        <x:v>TCN-T01-B</x:v>
      </x:c>
      <x:c r="D89" s="21" t="str">
        <x:v>TCN-T01</x:v>
      </x:c>
      <x:c r="E89" s="21" t="str">
        <x:v>TCN-T01-R2</x:v>
      </x:c>
      <x:c r="F89" s="21" t="str">
        <x:v>firmware source and software bill of materials</x:v>
      </x:c>
      <x:c r="G89" s="21" t="n">
        <x:v>1</x:v>
      </x:c>
      <x:c r="H89" s="21" t="n">
        <x:v>1</x:v>
      </x:c>
      <x:c r="I89" s="21" t="str">
        <x:v>OPEN</x:v>
      </x:c>
      <x:c r="J89" s="21" t="n">
        <x:v>0</x:v>
      </x:c>
      <x:c r="K89" s="23" t="str">
        <x:v>serial or ownership change</x:v>
      </x:c>
    </x:row>
    <x:row r="90">
      <x:c r="B90" s="21" t="str">
        <x:v>R084</x:v>
      </x:c>
      <x:c r="C90" s="21" t="str">
        <x:v>TCN-T01-B</x:v>
      </x:c>
      <x:c r="D90" s="21" t="str">
        <x:v>TCN-T01</x:v>
      </x:c>
      <x:c r="E90" s="21" t="str">
        <x:v>TCN-T01-R2</x:v>
      </x:c>
      <x:c r="F90" s="21" t="str">
        <x:v>ownership and beneficial-control map</x:v>
      </x:c>
      <x:c r="G90" s="21" t="n">
        <x:v>1</x:v>
      </x:c>
      <x:c r="H90" s="21" t="n">
        <x:v>1</x:v>
      </x:c>
      <x:c r="I90" s="21" t="str">
        <x:v>OPEN</x:v>
      </x:c>
      <x:c r="J90" s="21" t="n">
        <x:v>0</x:v>
      </x:c>
      <x:c r="K90" s="23" t="str">
        <x:v>serial or ownership change</x:v>
      </x:c>
    </x:row>
    <x:row r="91">
      <x:c r="B91" s="21" t="str">
        <x:v>R085</x:v>
      </x:c>
      <x:c r="C91" s="21" t="str">
        <x:v>TCN-T01-B</x:v>
      </x:c>
      <x:c r="D91" s="21" t="str">
        <x:v>TCN-T01</x:v>
      </x:c>
      <x:c r="E91" s="21" t="str">
        <x:v>TCN-T01-R2</x:v>
      </x:c>
      <x:c r="F91" s="21" t="str">
        <x:v>calibration genealogy</x:v>
      </x:c>
      <x:c r="G91" s="21" t="n">
        <x:v>1</x:v>
      </x:c>
      <x:c r="H91" s="21" t="n">
        <x:v>1</x:v>
      </x:c>
      <x:c r="I91" s="21" t="str">
        <x:v>OPEN</x:v>
      </x:c>
      <x:c r="J91" s="21" t="n">
        <x:v>0</x:v>
      </x:c>
      <x:c r="K91" s="23" t="str">
        <x:v>serial or ownership change</x:v>
      </x:c>
    </x:row>
    <x:row r="92">
      <x:c r="B92" s="21" t="str">
        <x:v>R086</x:v>
      </x:c>
      <x:c r="C92" s="21" t="str">
        <x:v>TCN-T01-B</x:v>
      </x:c>
      <x:c r="D92" s="21" t="str">
        <x:v>TCN-T01</x:v>
      </x:c>
      <x:c r="E92" s="21" t="str">
        <x:v>TCN-T01-R2</x:v>
      </x:c>
      <x:c r="F92" s="21" t="str">
        <x:v>destructive teardown right</x:v>
      </x:c>
      <x:c r="G92" s="21" t="n">
        <x:v>1</x:v>
      </x:c>
      <x:c r="H92" s="21" t="n">
        <x:v>1</x:v>
      </x:c>
      <x:c r="I92" s="21" t="str">
        <x:v>OPEN</x:v>
      </x:c>
      <x:c r="J92" s="21" t="n">
        <x:v>0</x:v>
      </x:c>
      <x:c r="K92" s="23" t="str">
        <x:v>serial or ownership change</x:v>
      </x:c>
    </x:row>
    <x:row r="93">
      <x:c r="B93" s="21" t="str">
        <x:v>R087</x:v>
      </x:c>
      <x:c r="C93" s="21" t="str">
        <x:v>TCN-T01-B</x:v>
      </x:c>
      <x:c r="D93" s="21" t="str">
        <x:v>TCN-T01</x:v>
      </x:c>
      <x:c r="E93" s="21" t="str">
        <x:v>TCN-T01-R2</x:v>
      </x:c>
      <x:c r="F93" s="21" t="str">
        <x:v>second-team reproduction right</x:v>
      </x:c>
      <x:c r="G93" s="21" t="n">
        <x:v>1</x:v>
      </x:c>
      <x:c r="H93" s="21" t="n">
        <x:v>1</x:v>
      </x:c>
      <x:c r="I93" s="21" t="str">
        <x:v>OPEN</x:v>
      </x:c>
      <x:c r="J93" s="21" t="n">
        <x:v>0</x:v>
      </x:c>
      <x:c r="K93" s="23" t="str">
        <x:v>serial or ownership change</x:v>
      </x:c>
    </x:row>
    <x:row r="94">
      <x:c r="B94" s="21" t="str">
        <x:v>R088</x:v>
      </x:c>
      <x:c r="C94" s="21" t="str">
        <x:v>TCN-T01-B</x:v>
      </x:c>
      <x:c r="D94" s="21" t="str">
        <x:v>TCN-T01</x:v>
      </x:c>
      <x:c r="E94" s="21" t="str">
        <x:v>TCN-T01-R2</x:v>
      </x:c>
      <x:c r="F94" s="21" t="str">
        <x:v>perpetual interface and evidence-data right</x:v>
      </x:c>
      <x:c r="G94" s="21" t="n">
        <x:v>1</x:v>
      </x:c>
      <x:c r="H94" s="21" t="n">
        <x:v>1</x:v>
      </x:c>
      <x:c r="I94" s="21" t="str">
        <x:v>OPEN</x:v>
      </x:c>
      <x:c r="J94" s="21" t="n">
        <x:v>0</x:v>
      </x:c>
      <x:c r="K94" s="23" t="str">
        <x:v>serial or ownership change</x:v>
      </x:c>
    </x:row>
    <x:row r="95">
      <x:c r="B95" s="21" t="str">
        <x:v>R089</x:v>
      </x:c>
      <x:c r="C95" s="21" t="str">
        <x:v>TCN-T01-C</x:v>
      </x:c>
      <x:c r="D95" s="21" t="str">
        <x:v>TCN-T01</x:v>
      </x:c>
      <x:c r="E95" s="21" t="str">
        <x:v>TCN-T01-R3</x:v>
      </x:c>
      <x:c r="F95" s="21" t="str">
        <x:v>complete bill of materials</x:v>
      </x:c>
      <x:c r="G95" s="21" t="n">
        <x:v>1</x:v>
      </x:c>
      <x:c r="H95" s="21" t="n">
        <x:v>1</x:v>
      </x:c>
      <x:c r="I95" s="21" t="str">
        <x:v>OPEN</x:v>
      </x:c>
      <x:c r="J95" s="21" t="n">
        <x:v>0</x:v>
      </x:c>
      <x:c r="K95" s="23" t="str">
        <x:v>serial or ownership change</x:v>
      </x:c>
    </x:row>
    <x:row r="96">
      <x:c r="B96" s="21" t="str">
        <x:v>R090</x:v>
      </x:c>
      <x:c r="C96" s="21" t="str">
        <x:v>TCN-T01-C</x:v>
      </x:c>
      <x:c r="D96" s="21" t="str">
        <x:v>TCN-T01</x:v>
      </x:c>
      <x:c r="E96" s="21" t="str">
        <x:v>TCN-T01-R3</x:v>
      </x:c>
      <x:c r="F96" s="21" t="str">
        <x:v>bill of process and facility identity</x:v>
      </x:c>
      <x:c r="G96" s="21" t="n">
        <x:v>1</x:v>
      </x:c>
      <x:c r="H96" s="21" t="n">
        <x:v>1</x:v>
      </x:c>
      <x:c r="I96" s="21" t="str">
        <x:v>OPEN</x:v>
      </x:c>
      <x:c r="J96" s="21" t="n">
        <x:v>0</x:v>
      </x:c>
      <x:c r="K96" s="23" t="str">
        <x:v>serial or ownership change</x:v>
      </x:c>
    </x:row>
    <x:row r="97">
      <x:c r="B97" s="21" t="str">
        <x:v>R091</x:v>
      </x:c>
      <x:c r="C97" s="21" t="str">
        <x:v>TCN-T01-C</x:v>
      </x:c>
      <x:c r="D97" s="21" t="str">
        <x:v>TCN-T01</x:v>
      </x:c>
      <x:c r="E97" s="21" t="str">
        <x:v>TCN-T01-R3</x:v>
      </x:c>
      <x:c r="F97" s="21" t="str">
        <x:v>firmware source and software bill of materials</x:v>
      </x:c>
      <x:c r="G97" s="21" t="n">
        <x:v>1</x:v>
      </x:c>
      <x:c r="H97" s="21" t="n">
        <x:v>1</x:v>
      </x:c>
      <x:c r="I97" s="21" t="str">
        <x:v>OPEN</x:v>
      </x:c>
      <x:c r="J97" s="21" t="n">
        <x:v>0</x:v>
      </x:c>
      <x:c r="K97" s="23" t="str">
        <x:v>serial or ownership change</x:v>
      </x:c>
    </x:row>
    <x:row r="98">
      <x:c r="B98" s="21" t="str">
        <x:v>R092</x:v>
      </x:c>
      <x:c r="C98" s="21" t="str">
        <x:v>TCN-T01-C</x:v>
      </x:c>
      <x:c r="D98" s="21" t="str">
        <x:v>TCN-T01</x:v>
      </x:c>
      <x:c r="E98" s="21" t="str">
        <x:v>TCN-T01-R3</x:v>
      </x:c>
      <x:c r="F98" s="21" t="str">
        <x:v>ownership and beneficial-control map</x:v>
      </x:c>
      <x:c r="G98" s="21" t="n">
        <x:v>1</x:v>
      </x:c>
      <x:c r="H98" s="21" t="n">
        <x:v>1</x:v>
      </x:c>
      <x:c r="I98" s="21" t="str">
        <x:v>OPEN</x:v>
      </x:c>
      <x:c r="J98" s="21" t="n">
        <x:v>0</x:v>
      </x:c>
      <x:c r="K98" s="23" t="str">
        <x:v>serial or ownership change</x:v>
      </x:c>
    </x:row>
    <x:row r="99">
      <x:c r="B99" s="21" t="str">
        <x:v>R093</x:v>
      </x:c>
      <x:c r="C99" s="21" t="str">
        <x:v>TCN-T01-C</x:v>
      </x:c>
      <x:c r="D99" s="21" t="str">
        <x:v>TCN-T01</x:v>
      </x:c>
      <x:c r="E99" s="21" t="str">
        <x:v>TCN-T01-R3</x:v>
      </x:c>
      <x:c r="F99" s="21" t="str">
        <x:v>calibration genealogy</x:v>
      </x:c>
      <x:c r="G99" s="21" t="n">
        <x:v>1</x:v>
      </x:c>
      <x:c r="H99" s="21" t="n">
        <x:v>1</x:v>
      </x:c>
      <x:c r="I99" s="21" t="str">
        <x:v>OPEN</x:v>
      </x:c>
      <x:c r="J99" s="21" t="n">
        <x:v>0</x:v>
      </x:c>
      <x:c r="K99" s="23" t="str">
        <x:v>serial or ownership change</x:v>
      </x:c>
    </x:row>
    <x:row r="100">
      <x:c r="B100" s="21" t="str">
        <x:v>R094</x:v>
      </x:c>
      <x:c r="C100" s="21" t="str">
        <x:v>TCN-T01-C</x:v>
      </x:c>
      <x:c r="D100" s="21" t="str">
        <x:v>TCN-T01</x:v>
      </x:c>
      <x:c r="E100" s="21" t="str">
        <x:v>TCN-T01-R3</x:v>
      </x:c>
      <x:c r="F100" s="21" t="str">
        <x:v>destructive teardown right</x:v>
      </x:c>
      <x:c r="G100" s="21" t="n">
        <x:v>1</x:v>
      </x:c>
      <x:c r="H100" s="21" t="n">
        <x:v>1</x:v>
      </x:c>
      <x:c r="I100" s="21" t="str">
        <x:v>OPEN</x:v>
      </x:c>
      <x:c r="J100" s="21" t="n">
        <x:v>0</x:v>
      </x:c>
      <x:c r="K100" s="23" t="str">
        <x:v>serial or ownership change</x:v>
      </x:c>
    </x:row>
    <x:row r="101">
      <x:c r="B101" s="21" t="str">
        <x:v>R095</x:v>
      </x:c>
      <x:c r="C101" s="21" t="str">
        <x:v>TCN-T01-C</x:v>
      </x:c>
      <x:c r="D101" s="21" t="str">
        <x:v>TCN-T01</x:v>
      </x:c>
      <x:c r="E101" s="21" t="str">
        <x:v>TCN-T01-R3</x:v>
      </x:c>
      <x:c r="F101" s="21" t="str">
        <x:v>second-team reproduction right</x:v>
      </x:c>
      <x:c r="G101" s="21" t="n">
        <x:v>1</x:v>
      </x:c>
      <x:c r="H101" s="21" t="n">
        <x:v>1</x:v>
      </x:c>
      <x:c r="I101" s="21" t="str">
        <x:v>OPEN</x:v>
      </x:c>
      <x:c r="J101" s="21" t="n">
        <x:v>0</x:v>
      </x:c>
      <x:c r="K101" s="23" t="str">
        <x:v>serial or ownership change</x:v>
      </x:c>
    </x:row>
    <x:row r="102">
      <x:c r="B102" s="21" t="str">
        <x:v>R096</x:v>
      </x:c>
      <x:c r="C102" s="21" t="str">
        <x:v>TCN-T01-C</x:v>
      </x:c>
      <x:c r="D102" s="21" t="str">
        <x:v>TCN-T01</x:v>
      </x:c>
      <x:c r="E102" s="21" t="str">
        <x:v>TCN-T01-R3</x:v>
      </x:c>
      <x:c r="F102" s="21" t="str">
        <x:v>perpetual interface and evidence-data right</x:v>
      </x:c>
      <x:c r="G102" s="21" t="n">
        <x:v>1</x:v>
      </x:c>
      <x:c r="H102" s="21" t="n">
        <x:v>1</x:v>
      </x:c>
      <x:c r="I102" s="21" t="str">
        <x:v>OPEN</x:v>
      </x:c>
      <x:c r="J102" s="21" t="n">
        <x:v>0</x:v>
      </x:c>
      <x:c r="K102" s="23" t="str">
        <x:v>serial or ownership change</x:v>
      </x:c>
    </x:row>
    <x:row r="103">
      <x:c r="B103" s="21" t="str">
        <x:v>R097</x:v>
      </x:c>
      <x:c r="C103" s="21" t="str">
        <x:v>CRS-R01-A</x:v>
      </x:c>
      <x:c r="D103" s="21" t="str">
        <x:v>CRS-R01</x:v>
      </x:c>
      <x:c r="E103" s="21" t="str">
        <x:v>CRS-R01-R1</x:v>
      </x:c>
      <x:c r="F103" s="21" t="str">
        <x:v>complete bill of materials</x:v>
      </x:c>
      <x:c r="G103" s="21" t="n">
        <x:v>1</x:v>
      </x:c>
      <x:c r="H103" s="21" t="n">
        <x:v>1</x:v>
      </x:c>
      <x:c r="I103" s="21" t="str">
        <x:v>OPEN</x:v>
      </x:c>
      <x:c r="J103" s="21" t="n">
        <x:v>0</x:v>
      </x:c>
      <x:c r="K103" s="23" t="str">
        <x:v>serial or ownership change</x:v>
      </x:c>
    </x:row>
    <x:row r="104">
      <x:c r="B104" s="21" t="str">
        <x:v>R098</x:v>
      </x:c>
      <x:c r="C104" s="21" t="str">
        <x:v>CRS-R01-A</x:v>
      </x:c>
      <x:c r="D104" s="21" t="str">
        <x:v>CRS-R01</x:v>
      </x:c>
      <x:c r="E104" s="21" t="str">
        <x:v>CRS-R01-R1</x:v>
      </x:c>
      <x:c r="F104" s="21" t="str">
        <x:v>bill of process and facility identity</x:v>
      </x:c>
      <x:c r="G104" s="21" t="n">
        <x:v>1</x:v>
      </x:c>
      <x:c r="H104" s="21" t="n">
        <x:v>1</x:v>
      </x:c>
      <x:c r="I104" s="21" t="str">
        <x:v>OPEN</x:v>
      </x:c>
      <x:c r="J104" s="21" t="n">
        <x:v>0</x:v>
      </x:c>
      <x:c r="K104" s="23" t="str">
        <x:v>serial or ownership change</x:v>
      </x:c>
    </x:row>
    <x:row r="105">
      <x:c r="B105" s="21" t="str">
        <x:v>R099</x:v>
      </x:c>
      <x:c r="C105" s="21" t="str">
        <x:v>CRS-R01-A</x:v>
      </x:c>
      <x:c r="D105" s="21" t="str">
        <x:v>CRS-R01</x:v>
      </x:c>
      <x:c r="E105" s="21" t="str">
        <x:v>CRS-R01-R1</x:v>
      </x:c>
      <x:c r="F105" s="21" t="str">
        <x:v>firmware source and software bill of materials</x:v>
      </x:c>
      <x:c r="G105" s="21" t="n">
        <x:v>1</x:v>
      </x:c>
      <x:c r="H105" s="21" t="n">
        <x:v>1</x:v>
      </x:c>
      <x:c r="I105" s="21" t="str">
        <x:v>OPEN</x:v>
      </x:c>
      <x:c r="J105" s="21" t="n">
        <x:v>0</x:v>
      </x:c>
      <x:c r="K105" s="23" t="str">
        <x:v>serial or ownership change</x:v>
      </x:c>
    </x:row>
    <x:row r="106">
      <x:c r="B106" s="21" t="str">
        <x:v>R100</x:v>
      </x:c>
      <x:c r="C106" s="21" t="str">
        <x:v>CRS-R01-A</x:v>
      </x:c>
      <x:c r="D106" s="21" t="str">
        <x:v>CRS-R01</x:v>
      </x:c>
      <x:c r="E106" s="21" t="str">
        <x:v>CRS-R01-R1</x:v>
      </x:c>
      <x:c r="F106" s="21" t="str">
        <x:v>ownership and beneficial-control map</x:v>
      </x:c>
      <x:c r="G106" s="21" t="n">
        <x:v>1</x:v>
      </x:c>
      <x:c r="H106" s="21" t="n">
        <x:v>1</x:v>
      </x:c>
      <x:c r="I106" s="21" t="str">
        <x:v>OPEN</x:v>
      </x:c>
      <x:c r="J106" s="21" t="n">
        <x:v>0</x:v>
      </x:c>
      <x:c r="K106" s="23" t="str">
        <x:v>serial or ownership change</x:v>
      </x:c>
    </x:row>
    <x:row r="107">
      <x:c r="B107" s="21" t="str">
        <x:v>R101</x:v>
      </x:c>
      <x:c r="C107" s="21" t="str">
        <x:v>CRS-R01-A</x:v>
      </x:c>
      <x:c r="D107" s="21" t="str">
        <x:v>CRS-R01</x:v>
      </x:c>
      <x:c r="E107" s="21" t="str">
        <x:v>CRS-R01-R1</x:v>
      </x:c>
      <x:c r="F107" s="21" t="str">
        <x:v>calibration genealogy</x:v>
      </x:c>
      <x:c r="G107" s="21" t="n">
        <x:v>1</x:v>
      </x:c>
      <x:c r="H107" s="21" t="n">
        <x:v>1</x:v>
      </x:c>
      <x:c r="I107" s="21" t="str">
        <x:v>OPEN</x:v>
      </x:c>
      <x:c r="J107" s="21" t="n">
        <x:v>0</x:v>
      </x:c>
      <x:c r="K107" s="23" t="str">
        <x:v>serial or ownership change</x:v>
      </x:c>
    </x:row>
    <x:row r="108">
      <x:c r="B108" s="21" t="str">
        <x:v>R102</x:v>
      </x:c>
      <x:c r="C108" s="21" t="str">
        <x:v>CRS-R01-A</x:v>
      </x:c>
      <x:c r="D108" s="21" t="str">
        <x:v>CRS-R01</x:v>
      </x:c>
      <x:c r="E108" s="21" t="str">
        <x:v>CRS-R01-R1</x:v>
      </x:c>
      <x:c r="F108" s="21" t="str">
        <x:v>destructive teardown right</x:v>
      </x:c>
      <x:c r="G108" s="21" t="n">
        <x:v>1</x:v>
      </x:c>
      <x:c r="H108" s="21" t="n">
        <x:v>1</x:v>
      </x:c>
      <x:c r="I108" s="21" t="str">
        <x:v>OPEN</x:v>
      </x:c>
      <x:c r="J108" s="21" t="n">
        <x:v>0</x:v>
      </x:c>
      <x:c r="K108" s="23" t="str">
        <x:v>serial or ownership change</x:v>
      </x:c>
    </x:row>
    <x:row r="109">
      <x:c r="B109" s="21" t="str">
        <x:v>R103</x:v>
      </x:c>
      <x:c r="C109" s="21" t="str">
        <x:v>CRS-R01-A</x:v>
      </x:c>
      <x:c r="D109" s="21" t="str">
        <x:v>CRS-R01</x:v>
      </x:c>
      <x:c r="E109" s="21" t="str">
        <x:v>CRS-R01-R1</x:v>
      </x:c>
      <x:c r="F109" s="21" t="str">
        <x:v>second-team reproduction right</x:v>
      </x:c>
      <x:c r="G109" s="21" t="n">
        <x:v>1</x:v>
      </x:c>
      <x:c r="H109" s="21" t="n">
        <x:v>1</x:v>
      </x:c>
      <x:c r="I109" s="21" t="str">
        <x:v>OPEN</x:v>
      </x:c>
      <x:c r="J109" s="21" t="n">
        <x:v>0</x:v>
      </x:c>
      <x:c r="K109" s="23" t="str">
        <x:v>serial or ownership change</x:v>
      </x:c>
    </x:row>
    <x:row r="110">
      <x:c r="B110" s="21" t="str">
        <x:v>R104</x:v>
      </x:c>
      <x:c r="C110" s="21" t="str">
        <x:v>CRS-R01-A</x:v>
      </x:c>
      <x:c r="D110" s="21" t="str">
        <x:v>CRS-R01</x:v>
      </x:c>
      <x:c r="E110" s="21" t="str">
        <x:v>CRS-R01-R1</x:v>
      </x:c>
      <x:c r="F110" s="21" t="str">
        <x:v>perpetual interface and evidence-data right</x:v>
      </x:c>
      <x:c r="G110" s="21" t="n">
        <x:v>1</x:v>
      </x:c>
      <x:c r="H110" s="21" t="n">
        <x:v>1</x:v>
      </x:c>
      <x:c r="I110" s="21" t="str">
        <x:v>OPEN</x:v>
      </x:c>
      <x:c r="J110" s="21" t="n">
        <x:v>0</x:v>
      </x:c>
      <x:c r="K110" s="23" t="str">
        <x:v>serial or ownership change</x:v>
      </x:c>
    </x:row>
    <x:row r="111">
      <x:c r="B111" s="21" t="str">
        <x:v>R105</x:v>
      </x:c>
      <x:c r="C111" s="21" t="str">
        <x:v>CRS-R01-B</x:v>
      </x:c>
      <x:c r="D111" s="21" t="str">
        <x:v>CRS-R01</x:v>
      </x:c>
      <x:c r="E111" s="21" t="str">
        <x:v>CRS-R01-R2</x:v>
      </x:c>
      <x:c r="F111" s="21" t="str">
        <x:v>complete bill of materials</x:v>
      </x:c>
      <x:c r="G111" s="21" t="n">
        <x:v>1</x:v>
      </x:c>
      <x:c r="H111" s="21" t="n">
        <x:v>1</x:v>
      </x:c>
      <x:c r="I111" s="21" t="str">
        <x:v>OPEN</x:v>
      </x:c>
      <x:c r="J111" s="21" t="n">
        <x:v>0</x:v>
      </x:c>
      <x:c r="K111" s="23" t="str">
        <x:v>serial or ownership change</x:v>
      </x:c>
    </x:row>
    <x:row r="112">
      <x:c r="B112" s="21" t="str">
        <x:v>R106</x:v>
      </x:c>
      <x:c r="C112" s="21" t="str">
        <x:v>CRS-R01-B</x:v>
      </x:c>
      <x:c r="D112" s="21" t="str">
        <x:v>CRS-R01</x:v>
      </x:c>
      <x:c r="E112" s="21" t="str">
        <x:v>CRS-R01-R2</x:v>
      </x:c>
      <x:c r="F112" s="21" t="str">
        <x:v>bill of process and facility identity</x:v>
      </x:c>
      <x:c r="G112" s="21" t="n">
        <x:v>1</x:v>
      </x:c>
      <x:c r="H112" s="21" t="n">
        <x:v>1</x:v>
      </x:c>
      <x:c r="I112" s="21" t="str">
        <x:v>OPEN</x:v>
      </x:c>
      <x:c r="J112" s="21" t="n">
        <x:v>0</x:v>
      </x:c>
      <x:c r="K112" s="23" t="str">
        <x:v>serial or ownership change</x:v>
      </x:c>
    </x:row>
    <x:row r="113">
      <x:c r="B113" s="21" t="str">
        <x:v>R107</x:v>
      </x:c>
      <x:c r="C113" s="21" t="str">
        <x:v>CRS-R01-B</x:v>
      </x:c>
      <x:c r="D113" s="21" t="str">
        <x:v>CRS-R01</x:v>
      </x:c>
      <x:c r="E113" s="21" t="str">
        <x:v>CRS-R01-R2</x:v>
      </x:c>
      <x:c r="F113" s="21" t="str">
        <x:v>firmware source and software bill of materials</x:v>
      </x:c>
      <x:c r="G113" s="21" t="n">
        <x:v>1</x:v>
      </x:c>
      <x:c r="H113" s="21" t="n">
        <x:v>1</x:v>
      </x:c>
      <x:c r="I113" s="21" t="str">
        <x:v>OPEN</x:v>
      </x:c>
      <x:c r="J113" s="21" t="n">
        <x:v>0</x:v>
      </x:c>
      <x:c r="K113" s="23" t="str">
        <x:v>serial or ownership change</x:v>
      </x:c>
    </x:row>
    <x:row r="114">
      <x:c r="B114" s="21" t="str">
        <x:v>R108</x:v>
      </x:c>
      <x:c r="C114" s="21" t="str">
        <x:v>CRS-R01-B</x:v>
      </x:c>
      <x:c r="D114" s="21" t="str">
        <x:v>CRS-R01</x:v>
      </x:c>
      <x:c r="E114" s="21" t="str">
        <x:v>CRS-R01-R2</x:v>
      </x:c>
      <x:c r="F114" s="21" t="str">
        <x:v>ownership and beneficial-control map</x:v>
      </x:c>
      <x:c r="G114" s="21" t="n">
        <x:v>1</x:v>
      </x:c>
      <x:c r="H114" s="21" t="n">
        <x:v>1</x:v>
      </x:c>
      <x:c r="I114" s="21" t="str">
        <x:v>OPEN</x:v>
      </x:c>
      <x:c r="J114" s="21" t="n">
        <x:v>0</x:v>
      </x:c>
      <x:c r="K114" s="23" t="str">
        <x:v>serial or ownership change</x:v>
      </x:c>
    </x:row>
    <x:row r="115">
      <x:c r="B115" s="21" t="str">
        <x:v>R109</x:v>
      </x:c>
      <x:c r="C115" s="21" t="str">
        <x:v>CRS-R01-B</x:v>
      </x:c>
      <x:c r="D115" s="21" t="str">
        <x:v>CRS-R01</x:v>
      </x:c>
      <x:c r="E115" s="21" t="str">
        <x:v>CRS-R01-R2</x:v>
      </x:c>
      <x:c r="F115" s="21" t="str">
        <x:v>calibration genealogy</x:v>
      </x:c>
      <x:c r="G115" s="21" t="n">
        <x:v>1</x:v>
      </x:c>
      <x:c r="H115" s="21" t="n">
        <x:v>1</x:v>
      </x:c>
      <x:c r="I115" s="21" t="str">
        <x:v>OPEN</x:v>
      </x:c>
      <x:c r="J115" s="21" t="n">
        <x:v>0</x:v>
      </x:c>
      <x:c r="K115" s="23" t="str">
        <x:v>serial or ownership change</x:v>
      </x:c>
    </x:row>
    <x:row r="116">
      <x:c r="B116" s="21" t="str">
        <x:v>R110</x:v>
      </x:c>
      <x:c r="C116" s="21" t="str">
        <x:v>CRS-R01-B</x:v>
      </x:c>
      <x:c r="D116" s="21" t="str">
        <x:v>CRS-R01</x:v>
      </x:c>
      <x:c r="E116" s="21" t="str">
        <x:v>CRS-R01-R2</x:v>
      </x:c>
      <x:c r="F116" s="21" t="str">
        <x:v>destructive teardown right</x:v>
      </x:c>
      <x:c r="G116" s="21" t="n">
        <x:v>1</x:v>
      </x:c>
      <x:c r="H116" s="21" t="n">
        <x:v>1</x:v>
      </x:c>
      <x:c r="I116" s="21" t="str">
        <x:v>OPEN</x:v>
      </x:c>
      <x:c r="J116" s="21" t="n">
        <x:v>0</x:v>
      </x:c>
      <x:c r="K116" s="23" t="str">
        <x:v>serial or ownership change</x:v>
      </x:c>
    </x:row>
    <x:row r="117">
      <x:c r="B117" s="21" t="str">
        <x:v>R111</x:v>
      </x:c>
      <x:c r="C117" s="21" t="str">
        <x:v>CRS-R01-B</x:v>
      </x:c>
      <x:c r="D117" s="21" t="str">
        <x:v>CRS-R01</x:v>
      </x:c>
      <x:c r="E117" s="21" t="str">
        <x:v>CRS-R01-R2</x:v>
      </x:c>
      <x:c r="F117" s="21" t="str">
        <x:v>second-team reproduction right</x:v>
      </x:c>
      <x:c r="G117" s="21" t="n">
        <x:v>1</x:v>
      </x:c>
      <x:c r="H117" s="21" t="n">
        <x:v>1</x:v>
      </x:c>
      <x:c r="I117" s="21" t="str">
        <x:v>OPEN</x:v>
      </x:c>
      <x:c r="J117" s="21" t="n">
        <x:v>0</x:v>
      </x:c>
      <x:c r="K117" s="23" t="str">
        <x:v>serial or ownership change</x:v>
      </x:c>
    </x:row>
    <x:row r="118">
      <x:c r="B118" s="21" t="str">
        <x:v>R112</x:v>
      </x:c>
      <x:c r="C118" s="21" t="str">
        <x:v>CRS-R01-B</x:v>
      </x:c>
      <x:c r="D118" s="21" t="str">
        <x:v>CRS-R01</x:v>
      </x:c>
      <x:c r="E118" s="21" t="str">
        <x:v>CRS-R01-R2</x:v>
      </x:c>
      <x:c r="F118" s="21" t="str">
        <x:v>perpetual interface and evidence-data right</x:v>
      </x:c>
      <x:c r="G118" s="21" t="n">
        <x:v>1</x:v>
      </x:c>
      <x:c r="H118" s="21" t="n">
        <x:v>1</x:v>
      </x:c>
      <x:c r="I118" s="21" t="str">
        <x:v>OPEN</x:v>
      </x:c>
      <x:c r="J118" s="21" t="n">
        <x:v>0</x:v>
      </x:c>
      <x:c r="K118" s="23" t="str">
        <x:v>serial or ownership change</x:v>
      </x:c>
    </x:row>
    <x:row r="119">
      <x:c r="B119" s="21" t="str">
        <x:v>R113</x:v>
      </x:c>
      <x:c r="C119" s="21" t="str">
        <x:v>CRS-R01-C</x:v>
      </x:c>
      <x:c r="D119" s="21" t="str">
        <x:v>CRS-R01</x:v>
      </x:c>
      <x:c r="E119" s="21" t="str">
        <x:v>CRS-R01-R3</x:v>
      </x:c>
      <x:c r="F119" s="21" t="str">
        <x:v>complete bill of materials</x:v>
      </x:c>
      <x:c r="G119" s="21" t="n">
        <x:v>1</x:v>
      </x:c>
      <x:c r="H119" s="21" t="n">
        <x:v>1</x:v>
      </x:c>
      <x:c r="I119" s="21" t="str">
        <x:v>OPEN</x:v>
      </x:c>
      <x:c r="J119" s="21" t="n">
        <x:v>0</x:v>
      </x:c>
      <x:c r="K119" s="23" t="str">
        <x:v>serial or ownership change</x:v>
      </x:c>
    </x:row>
    <x:row r="120">
      <x:c r="B120" s="21" t="str">
        <x:v>R114</x:v>
      </x:c>
      <x:c r="C120" s="21" t="str">
        <x:v>CRS-R01-C</x:v>
      </x:c>
      <x:c r="D120" s="21" t="str">
        <x:v>CRS-R01</x:v>
      </x:c>
      <x:c r="E120" s="21" t="str">
        <x:v>CRS-R01-R3</x:v>
      </x:c>
      <x:c r="F120" s="21" t="str">
        <x:v>bill of process and facility identity</x:v>
      </x:c>
      <x:c r="G120" s="21" t="n">
        <x:v>1</x:v>
      </x:c>
      <x:c r="H120" s="21" t="n">
        <x:v>1</x:v>
      </x:c>
      <x:c r="I120" s="21" t="str">
        <x:v>OPEN</x:v>
      </x:c>
      <x:c r="J120" s="21" t="n">
        <x:v>0</x:v>
      </x:c>
      <x:c r="K120" s="23" t="str">
        <x:v>serial or ownership change</x:v>
      </x:c>
    </x:row>
    <x:row r="121">
      <x:c r="B121" s="21" t="str">
        <x:v>R115</x:v>
      </x:c>
      <x:c r="C121" s="21" t="str">
        <x:v>CRS-R01-C</x:v>
      </x:c>
      <x:c r="D121" s="21" t="str">
        <x:v>CRS-R01</x:v>
      </x:c>
      <x:c r="E121" s="21" t="str">
        <x:v>CRS-R01-R3</x:v>
      </x:c>
      <x:c r="F121" s="21" t="str">
        <x:v>firmware source and software bill of materials</x:v>
      </x:c>
      <x:c r="G121" s="21" t="n">
        <x:v>1</x:v>
      </x:c>
      <x:c r="H121" s="21" t="n">
        <x:v>1</x:v>
      </x:c>
      <x:c r="I121" s="21" t="str">
        <x:v>OPEN</x:v>
      </x:c>
      <x:c r="J121" s="21" t="n">
        <x:v>0</x:v>
      </x:c>
      <x:c r="K121" s="23" t="str">
        <x:v>serial or ownership change</x:v>
      </x:c>
    </x:row>
    <x:row r="122">
      <x:c r="B122" s="21" t="str">
        <x:v>R116</x:v>
      </x:c>
      <x:c r="C122" s="21" t="str">
        <x:v>CRS-R01-C</x:v>
      </x:c>
      <x:c r="D122" s="21" t="str">
        <x:v>CRS-R01</x:v>
      </x:c>
      <x:c r="E122" s="21" t="str">
        <x:v>CRS-R01-R3</x:v>
      </x:c>
      <x:c r="F122" s="21" t="str">
        <x:v>ownership and beneficial-control map</x:v>
      </x:c>
      <x:c r="G122" s="21" t="n">
        <x:v>1</x:v>
      </x:c>
      <x:c r="H122" s="21" t="n">
        <x:v>1</x:v>
      </x:c>
      <x:c r="I122" s="21" t="str">
        <x:v>OPEN</x:v>
      </x:c>
      <x:c r="J122" s="21" t="n">
        <x:v>0</x:v>
      </x:c>
      <x:c r="K122" s="23" t="str">
        <x:v>serial or ownership change</x:v>
      </x:c>
    </x:row>
    <x:row r="123">
      <x:c r="B123" s="21" t="str">
        <x:v>R117</x:v>
      </x:c>
      <x:c r="C123" s="21" t="str">
        <x:v>CRS-R01-C</x:v>
      </x:c>
      <x:c r="D123" s="21" t="str">
        <x:v>CRS-R01</x:v>
      </x:c>
      <x:c r="E123" s="21" t="str">
        <x:v>CRS-R01-R3</x:v>
      </x:c>
      <x:c r="F123" s="21" t="str">
        <x:v>calibration genealogy</x:v>
      </x:c>
      <x:c r="G123" s="21" t="n">
        <x:v>1</x:v>
      </x:c>
      <x:c r="H123" s="21" t="n">
        <x:v>1</x:v>
      </x:c>
      <x:c r="I123" s="21" t="str">
        <x:v>OPEN</x:v>
      </x:c>
      <x:c r="J123" s="21" t="n">
        <x:v>0</x:v>
      </x:c>
      <x:c r="K123" s="23" t="str">
        <x:v>serial or ownership change</x:v>
      </x:c>
    </x:row>
    <x:row r="124">
      <x:c r="B124" s="21" t="str">
        <x:v>R118</x:v>
      </x:c>
      <x:c r="C124" s="21" t="str">
        <x:v>CRS-R01-C</x:v>
      </x:c>
      <x:c r="D124" s="21" t="str">
        <x:v>CRS-R01</x:v>
      </x:c>
      <x:c r="E124" s="21" t="str">
        <x:v>CRS-R01-R3</x:v>
      </x:c>
      <x:c r="F124" s="21" t="str">
        <x:v>destructive teardown right</x:v>
      </x:c>
      <x:c r="G124" s="21" t="n">
        <x:v>1</x:v>
      </x:c>
      <x:c r="H124" s="21" t="n">
        <x:v>1</x:v>
      </x:c>
      <x:c r="I124" s="21" t="str">
        <x:v>OPEN</x:v>
      </x:c>
      <x:c r="J124" s="21" t="n">
        <x:v>0</x:v>
      </x:c>
      <x:c r="K124" s="23" t="str">
        <x:v>serial or ownership change</x:v>
      </x:c>
    </x:row>
    <x:row r="125">
      <x:c r="B125" s="21" t="str">
        <x:v>R119</x:v>
      </x:c>
      <x:c r="C125" s="21" t="str">
        <x:v>CRS-R01-C</x:v>
      </x:c>
      <x:c r="D125" s="21" t="str">
        <x:v>CRS-R01</x:v>
      </x:c>
      <x:c r="E125" s="21" t="str">
        <x:v>CRS-R01-R3</x:v>
      </x:c>
      <x:c r="F125" s="21" t="str">
        <x:v>second-team reproduction right</x:v>
      </x:c>
      <x:c r="G125" s="21" t="n">
        <x:v>1</x:v>
      </x:c>
      <x:c r="H125" s="21" t="n">
        <x:v>1</x:v>
      </x:c>
      <x:c r="I125" s="21" t="str">
        <x:v>OPEN</x:v>
      </x:c>
      <x:c r="J125" s="21" t="n">
        <x:v>0</x:v>
      </x:c>
      <x:c r="K125" s="23" t="str">
        <x:v>serial or ownership change</x:v>
      </x:c>
    </x:row>
    <x:row r="126">
      <x:c r="B126" s="21" t="str">
        <x:v>R120</x:v>
      </x:c>
      <x:c r="C126" s="21" t="str">
        <x:v>CRS-R01-C</x:v>
      </x:c>
      <x:c r="D126" s="21" t="str">
        <x:v>CRS-R01</x:v>
      </x:c>
      <x:c r="E126" s="21" t="str">
        <x:v>CRS-R01-R3</x:v>
      </x:c>
      <x:c r="F126" s="21" t="str">
        <x:v>perpetual interface and evidence-data right</x:v>
      </x:c>
      <x:c r="G126" s="21" t="n">
        <x:v>1</x:v>
      </x:c>
      <x:c r="H126" s="21" t="n">
        <x:v>1</x:v>
      </x:c>
      <x:c r="I126" s="21" t="str">
        <x:v>OPEN</x:v>
      </x:c>
      <x:c r="J126" s="21" t="n">
        <x:v>0</x:v>
      </x:c>
      <x:c r="K126" s="23" t="str">
        <x:v>serial or ownership change</x:v>
      </x:c>
    </x:row>
    <x:row r="127">
      <x:c r="B127" s="21" t="str">
        <x:v>R121</x:v>
      </x:c>
      <x:c r="C127" s="21" t="str">
        <x:v>PSS-T01-A</x:v>
      </x:c>
      <x:c r="D127" s="21" t="str">
        <x:v>PSS-T01</x:v>
      </x:c>
      <x:c r="E127" s="21" t="str">
        <x:v>PSS-T01-R1</x:v>
      </x:c>
      <x:c r="F127" s="21" t="str">
        <x:v>complete bill of materials</x:v>
      </x:c>
      <x:c r="G127" s="21" t="n">
        <x:v>1</x:v>
      </x:c>
      <x:c r="H127" s="21" t="n">
        <x:v>1</x:v>
      </x:c>
      <x:c r="I127" s="21" t="str">
        <x:v>OPEN</x:v>
      </x:c>
      <x:c r="J127" s="21" t="n">
        <x:v>0</x:v>
      </x:c>
      <x:c r="K127" s="23" t="str">
        <x:v>serial or ownership change</x:v>
      </x:c>
    </x:row>
    <x:row r="128">
      <x:c r="B128" s="21" t="str">
        <x:v>R122</x:v>
      </x:c>
      <x:c r="C128" s="21" t="str">
        <x:v>PSS-T01-A</x:v>
      </x:c>
      <x:c r="D128" s="21" t="str">
        <x:v>PSS-T01</x:v>
      </x:c>
      <x:c r="E128" s="21" t="str">
        <x:v>PSS-T01-R1</x:v>
      </x:c>
      <x:c r="F128" s="21" t="str">
        <x:v>bill of process and facility identity</x:v>
      </x:c>
      <x:c r="G128" s="21" t="n">
        <x:v>1</x:v>
      </x:c>
      <x:c r="H128" s="21" t="n">
        <x:v>1</x:v>
      </x:c>
      <x:c r="I128" s="21" t="str">
        <x:v>OPEN</x:v>
      </x:c>
      <x:c r="J128" s="21" t="n">
        <x:v>0</x:v>
      </x:c>
      <x:c r="K128" s="23" t="str">
        <x:v>serial or ownership change</x:v>
      </x:c>
    </x:row>
    <x:row r="129">
      <x:c r="B129" s="21" t="str">
        <x:v>R123</x:v>
      </x:c>
      <x:c r="C129" s="21" t="str">
        <x:v>PSS-T01-A</x:v>
      </x:c>
      <x:c r="D129" s="21" t="str">
        <x:v>PSS-T01</x:v>
      </x:c>
      <x:c r="E129" s="21" t="str">
        <x:v>PSS-T01-R1</x:v>
      </x:c>
      <x:c r="F129" s="21" t="str">
        <x:v>firmware source and software bill of materials</x:v>
      </x:c>
      <x:c r="G129" s="21" t="n">
        <x:v>1</x:v>
      </x:c>
      <x:c r="H129" s="21" t="n">
        <x:v>1</x:v>
      </x:c>
      <x:c r="I129" s="21" t="str">
        <x:v>OPEN</x:v>
      </x:c>
      <x:c r="J129" s="21" t="n">
        <x:v>0</x:v>
      </x:c>
      <x:c r="K129" s="23" t="str">
        <x:v>serial or ownership change</x:v>
      </x:c>
    </x:row>
    <x:row r="130">
      <x:c r="B130" s="21" t="str">
        <x:v>R124</x:v>
      </x:c>
      <x:c r="C130" s="21" t="str">
        <x:v>PSS-T01-A</x:v>
      </x:c>
      <x:c r="D130" s="21" t="str">
        <x:v>PSS-T01</x:v>
      </x:c>
      <x:c r="E130" s="21" t="str">
        <x:v>PSS-T01-R1</x:v>
      </x:c>
      <x:c r="F130" s="21" t="str">
        <x:v>ownership and beneficial-control map</x:v>
      </x:c>
      <x:c r="G130" s="21" t="n">
        <x:v>1</x:v>
      </x:c>
      <x:c r="H130" s="21" t="n">
        <x:v>1</x:v>
      </x:c>
      <x:c r="I130" s="21" t="str">
        <x:v>OPEN</x:v>
      </x:c>
      <x:c r="J130" s="21" t="n">
        <x:v>0</x:v>
      </x:c>
      <x:c r="K130" s="23" t="str">
        <x:v>serial or ownership change</x:v>
      </x:c>
    </x:row>
    <x:row r="131">
      <x:c r="B131" s="21" t="str">
        <x:v>R125</x:v>
      </x:c>
      <x:c r="C131" s="21" t="str">
        <x:v>PSS-T01-A</x:v>
      </x:c>
      <x:c r="D131" s="21" t="str">
        <x:v>PSS-T01</x:v>
      </x:c>
      <x:c r="E131" s="21" t="str">
        <x:v>PSS-T01-R1</x:v>
      </x:c>
      <x:c r="F131" s="21" t="str">
        <x:v>calibration genealogy</x:v>
      </x:c>
      <x:c r="G131" s="21" t="n">
        <x:v>1</x:v>
      </x:c>
      <x:c r="H131" s="21" t="n">
        <x:v>1</x:v>
      </x:c>
      <x:c r="I131" s="21" t="str">
        <x:v>OPEN</x:v>
      </x:c>
      <x:c r="J131" s="21" t="n">
        <x:v>0</x:v>
      </x:c>
      <x:c r="K131" s="23" t="str">
        <x:v>serial or ownership change</x:v>
      </x:c>
    </x:row>
    <x:row r="132">
      <x:c r="B132" s="21" t="str">
        <x:v>R126</x:v>
      </x:c>
      <x:c r="C132" s="21" t="str">
        <x:v>PSS-T01-A</x:v>
      </x:c>
      <x:c r="D132" s="21" t="str">
        <x:v>PSS-T01</x:v>
      </x:c>
      <x:c r="E132" s="21" t="str">
        <x:v>PSS-T01-R1</x:v>
      </x:c>
      <x:c r="F132" s="21" t="str">
        <x:v>destructive teardown right</x:v>
      </x:c>
      <x:c r="G132" s="21" t="n">
        <x:v>1</x:v>
      </x:c>
      <x:c r="H132" s="21" t="n">
        <x:v>1</x:v>
      </x:c>
      <x:c r="I132" s="21" t="str">
        <x:v>OPEN</x:v>
      </x:c>
      <x:c r="J132" s="21" t="n">
        <x:v>0</x:v>
      </x:c>
      <x:c r="K132" s="23" t="str">
        <x:v>serial or ownership change</x:v>
      </x:c>
    </x:row>
    <x:row r="133">
      <x:c r="B133" s="21" t="str">
        <x:v>R127</x:v>
      </x:c>
      <x:c r="C133" s="21" t="str">
        <x:v>PSS-T01-A</x:v>
      </x:c>
      <x:c r="D133" s="21" t="str">
        <x:v>PSS-T01</x:v>
      </x:c>
      <x:c r="E133" s="21" t="str">
        <x:v>PSS-T01-R1</x:v>
      </x:c>
      <x:c r="F133" s="21" t="str">
        <x:v>second-team reproduction right</x:v>
      </x:c>
      <x:c r="G133" s="21" t="n">
        <x:v>1</x:v>
      </x:c>
      <x:c r="H133" s="21" t="n">
        <x:v>1</x:v>
      </x:c>
      <x:c r="I133" s="21" t="str">
        <x:v>OPEN</x:v>
      </x:c>
      <x:c r="J133" s="21" t="n">
        <x:v>0</x:v>
      </x:c>
      <x:c r="K133" s="23" t="str">
        <x:v>serial or ownership change</x:v>
      </x:c>
    </x:row>
    <x:row r="134">
      <x:c r="B134" s="21" t="str">
        <x:v>R128</x:v>
      </x:c>
      <x:c r="C134" s="21" t="str">
        <x:v>PSS-T01-A</x:v>
      </x:c>
      <x:c r="D134" s="21" t="str">
        <x:v>PSS-T01</x:v>
      </x:c>
      <x:c r="E134" s="21" t="str">
        <x:v>PSS-T01-R1</x:v>
      </x:c>
      <x:c r="F134" s="21" t="str">
        <x:v>perpetual interface and evidence-data right</x:v>
      </x:c>
      <x:c r="G134" s="21" t="n">
        <x:v>1</x:v>
      </x:c>
      <x:c r="H134" s="21" t="n">
        <x:v>1</x:v>
      </x:c>
      <x:c r="I134" s="21" t="str">
        <x:v>OPEN</x:v>
      </x:c>
      <x:c r="J134" s="21" t="n">
        <x:v>0</x:v>
      </x:c>
      <x:c r="K134" s="23" t="str">
        <x:v>serial or ownership change</x:v>
      </x:c>
    </x:row>
    <x:row r="135">
      <x:c r="B135" s="21" t="str">
        <x:v>R129</x:v>
      </x:c>
      <x:c r="C135" s="21" t="str">
        <x:v>PSS-T01-B</x:v>
      </x:c>
      <x:c r="D135" s="21" t="str">
        <x:v>PSS-T01</x:v>
      </x:c>
      <x:c r="E135" s="21" t="str">
        <x:v>PSS-T01-R2</x:v>
      </x:c>
      <x:c r="F135" s="21" t="str">
        <x:v>complete bill of materials</x:v>
      </x:c>
      <x:c r="G135" s="21" t="n">
        <x:v>1</x:v>
      </x:c>
      <x:c r="H135" s="21" t="n">
        <x:v>1</x:v>
      </x:c>
      <x:c r="I135" s="21" t="str">
        <x:v>OPEN</x:v>
      </x:c>
      <x:c r="J135" s="21" t="n">
        <x:v>0</x:v>
      </x:c>
      <x:c r="K135" s="23" t="str">
        <x:v>serial or ownership change</x:v>
      </x:c>
    </x:row>
    <x:row r="136">
      <x:c r="B136" s="21" t="str">
        <x:v>R130</x:v>
      </x:c>
      <x:c r="C136" s="21" t="str">
        <x:v>PSS-T01-B</x:v>
      </x:c>
      <x:c r="D136" s="21" t="str">
        <x:v>PSS-T01</x:v>
      </x:c>
      <x:c r="E136" s="21" t="str">
        <x:v>PSS-T01-R2</x:v>
      </x:c>
      <x:c r="F136" s="21" t="str">
        <x:v>bill of process and facility identity</x:v>
      </x:c>
      <x:c r="G136" s="21" t="n">
        <x:v>1</x:v>
      </x:c>
      <x:c r="H136" s="21" t="n">
        <x:v>1</x:v>
      </x:c>
      <x:c r="I136" s="21" t="str">
        <x:v>OPEN</x:v>
      </x:c>
      <x:c r="J136" s="21" t="n">
        <x:v>0</x:v>
      </x:c>
      <x:c r="K136" s="23" t="str">
        <x:v>serial or ownership change</x:v>
      </x:c>
    </x:row>
    <x:row r="137">
      <x:c r="B137" s="21" t="str">
        <x:v>R131</x:v>
      </x:c>
      <x:c r="C137" s="21" t="str">
        <x:v>PSS-T01-B</x:v>
      </x:c>
      <x:c r="D137" s="21" t="str">
        <x:v>PSS-T01</x:v>
      </x:c>
      <x:c r="E137" s="21" t="str">
        <x:v>PSS-T01-R2</x:v>
      </x:c>
      <x:c r="F137" s="21" t="str">
        <x:v>firmware source and software bill of materials</x:v>
      </x:c>
      <x:c r="G137" s="21" t="n">
        <x:v>1</x:v>
      </x:c>
      <x:c r="H137" s="21" t="n">
        <x:v>1</x:v>
      </x:c>
      <x:c r="I137" s="21" t="str">
        <x:v>OPEN</x:v>
      </x:c>
      <x:c r="J137" s="21" t="n">
        <x:v>0</x:v>
      </x:c>
      <x:c r="K137" s="23" t="str">
        <x:v>serial or ownership change</x:v>
      </x:c>
    </x:row>
    <x:row r="138">
      <x:c r="B138" s="21" t="str">
        <x:v>R132</x:v>
      </x:c>
      <x:c r="C138" s="21" t="str">
        <x:v>PSS-T01-B</x:v>
      </x:c>
      <x:c r="D138" s="21" t="str">
        <x:v>PSS-T01</x:v>
      </x:c>
      <x:c r="E138" s="21" t="str">
        <x:v>PSS-T01-R2</x:v>
      </x:c>
      <x:c r="F138" s="21" t="str">
        <x:v>ownership and beneficial-control map</x:v>
      </x:c>
      <x:c r="G138" s="21" t="n">
        <x:v>1</x:v>
      </x:c>
      <x:c r="H138" s="21" t="n">
        <x:v>1</x:v>
      </x:c>
      <x:c r="I138" s="21" t="str">
        <x:v>OPEN</x:v>
      </x:c>
      <x:c r="J138" s="21" t="n">
        <x:v>0</x:v>
      </x:c>
      <x:c r="K138" s="23" t="str">
        <x:v>serial or ownership change</x:v>
      </x:c>
    </x:row>
    <x:row r="139">
      <x:c r="B139" s="21" t="str">
        <x:v>R133</x:v>
      </x:c>
      <x:c r="C139" s="21" t="str">
        <x:v>PSS-T01-B</x:v>
      </x:c>
      <x:c r="D139" s="21" t="str">
        <x:v>PSS-T01</x:v>
      </x:c>
      <x:c r="E139" s="21" t="str">
        <x:v>PSS-T01-R2</x:v>
      </x:c>
      <x:c r="F139" s="21" t="str">
        <x:v>calibration genealogy</x:v>
      </x:c>
      <x:c r="G139" s="21" t="n">
        <x:v>1</x:v>
      </x:c>
      <x:c r="H139" s="21" t="n">
        <x:v>1</x:v>
      </x:c>
      <x:c r="I139" s="21" t="str">
        <x:v>OPEN</x:v>
      </x:c>
      <x:c r="J139" s="21" t="n">
        <x:v>0</x:v>
      </x:c>
      <x:c r="K139" s="23" t="str">
        <x:v>serial or ownership change</x:v>
      </x:c>
    </x:row>
    <x:row r="140">
      <x:c r="B140" s="21" t="str">
        <x:v>R134</x:v>
      </x:c>
      <x:c r="C140" s="21" t="str">
        <x:v>PSS-T01-B</x:v>
      </x:c>
      <x:c r="D140" s="21" t="str">
        <x:v>PSS-T01</x:v>
      </x:c>
      <x:c r="E140" s="21" t="str">
        <x:v>PSS-T01-R2</x:v>
      </x:c>
      <x:c r="F140" s="21" t="str">
        <x:v>destructive teardown right</x:v>
      </x:c>
      <x:c r="G140" s="21" t="n">
        <x:v>1</x:v>
      </x:c>
      <x:c r="H140" s="21" t="n">
        <x:v>1</x:v>
      </x:c>
      <x:c r="I140" s="21" t="str">
        <x:v>OPEN</x:v>
      </x:c>
      <x:c r="J140" s="21" t="n">
        <x:v>0</x:v>
      </x:c>
      <x:c r="K140" s="23" t="str">
        <x:v>serial or ownership change</x:v>
      </x:c>
    </x:row>
    <x:row r="141">
      <x:c r="B141" s="21" t="str">
        <x:v>R135</x:v>
      </x:c>
      <x:c r="C141" s="21" t="str">
        <x:v>PSS-T01-B</x:v>
      </x:c>
      <x:c r="D141" s="21" t="str">
        <x:v>PSS-T01</x:v>
      </x:c>
      <x:c r="E141" s="21" t="str">
        <x:v>PSS-T01-R2</x:v>
      </x:c>
      <x:c r="F141" s="21" t="str">
        <x:v>second-team reproduction right</x:v>
      </x:c>
      <x:c r="G141" s="21" t="n">
        <x:v>1</x:v>
      </x:c>
      <x:c r="H141" s="21" t="n">
        <x:v>1</x:v>
      </x:c>
      <x:c r="I141" s="21" t="str">
        <x:v>OPEN</x:v>
      </x:c>
      <x:c r="J141" s="21" t="n">
        <x:v>0</x:v>
      </x:c>
      <x:c r="K141" s="23" t="str">
        <x:v>serial or ownership change</x:v>
      </x:c>
    </x:row>
    <x:row r="142">
      <x:c r="B142" s="21" t="str">
        <x:v>R136</x:v>
      </x:c>
      <x:c r="C142" s="21" t="str">
        <x:v>PSS-T01-B</x:v>
      </x:c>
      <x:c r="D142" s="21" t="str">
        <x:v>PSS-T01</x:v>
      </x:c>
      <x:c r="E142" s="21" t="str">
        <x:v>PSS-T01-R2</x:v>
      </x:c>
      <x:c r="F142" s="21" t="str">
        <x:v>perpetual interface and evidence-data right</x:v>
      </x:c>
      <x:c r="G142" s="21" t="n">
        <x:v>1</x:v>
      </x:c>
      <x:c r="H142" s="21" t="n">
        <x:v>1</x:v>
      </x:c>
      <x:c r="I142" s="21" t="str">
        <x:v>OPEN</x:v>
      </x:c>
      <x:c r="J142" s="21" t="n">
        <x:v>0</x:v>
      </x:c>
      <x:c r="K142" s="23" t="str">
        <x:v>serial or ownership change</x:v>
      </x:c>
    </x:row>
    <x:row r="143">
      <x:c r="B143" s="21" t="str">
        <x:v>R137</x:v>
      </x:c>
      <x:c r="C143" s="21" t="str">
        <x:v>PSS-T01-C</x:v>
      </x:c>
      <x:c r="D143" s="21" t="str">
        <x:v>PSS-T01</x:v>
      </x:c>
      <x:c r="E143" s="21" t="str">
        <x:v>PSS-T01-R3</x:v>
      </x:c>
      <x:c r="F143" s="21" t="str">
        <x:v>complete bill of materials</x:v>
      </x:c>
      <x:c r="G143" s="21" t="n">
        <x:v>1</x:v>
      </x:c>
      <x:c r="H143" s="21" t="n">
        <x:v>1</x:v>
      </x:c>
      <x:c r="I143" s="21" t="str">
        <x:v>OPEN</x:v>
      </x:c>
      <x:c r="J143" s="21" t="n">
        <x:v>0</x:v>
      </x:c>
      <x:c r="K143" s="23" t="str">
        <x:v>serial or ownership change</x:v>
      </x:c>
    </x:row>
    <x:row r="144">
      <x:c r="B144" s="21" t="str">
        <x:v>R138</x:v>
      </x:c>
      <x:c r="C144" s="21" t="str">
        <x:v>PSS-T01-C</x:v>
      </x:c>
      <x:c r="D144" s="21" t="str">
        <x:v>PSS-T01</x:v>
      </x:c>
      <x:c r="E144" s="21" t="str">
        <x:v>PSS-T01-R3</x:v>
      </x:c>
      <x:c r="F144" s="21" t="str">
        <x:v>bill of process and facility identity</x:v>
      </x:c>
      <x:c r="G144" s="21" t="n">
        <x:v>1</x:v>
      </x:c>
      <x:c r="H144" s="21" t="n">
        <x:v>1</x:v>
      </x:c>
      <x:c r="I144" s="21" t="str">
        <x:v>OPEN</x:v>
      </x:c>
      <x:c r="J144" s="21" t="n">
        <x:v>0</x:v>
      </x:c>
      <x:c r="K144" s="23" t="str">
        <x:v>serial or ownership change</x:v>
      </x:c>
    </x:row>
    <x:row r="145">
      <x:c r="B145" s="21" t="str">
        <x:v>R139</x:v>
      </x:c>
      <x:c r="C145" s="21" t="str">
        <x:v>PSS-T01-C</x:v>
      </x:c>
      <x:c r="D145" s="21" t="str">
        <x:v>PSS-T01</x:v>
      </x:c>
      <x:c r="E145" s="21" t="str">
        <x:v>PSS-T01-R3</x:v>
      </x:c>
      <x:c r="F145" s="21" t="str">
        <x:v>firmware source and software bill of materials</x:v>
      </x:c>
      <x:c r="G145" s="21" t="n">
        <x:v>1</x:v>
      </x:c>
      <x:c r="H145" s="21" t="n">
        <x:v>1</x:v>
      </x:c>
      <x:c r="I145" s="21" t="str">
        <x:v>OPEN</x:v>
      </x:c>
      <x:c r="J145" s="21" t="n">
        <x:v>0</x:v>
      </x:c>
      <x:c r="K145" s="23" t="str">
        <x:v>serial or ownership change</x:v>
      </x:c>
    </x:row>
    <x:row r="146">
      <x:c r="B146" s="21" t="str">
        <x:v>R140</x:v>
      </x:c>
      <x:c r="C146" s="21" t="str">
        <x:v>PSS-T01-C</x:v>
      </x:c>
      <x:c r="D146" s="21" t="str">
        <x:v>PSS-T01</x:v>
      </x:c>
      <x:c r="E146" s="21" t="str">
        <x:v>PSS-T01-R3</x:v>
      </x:c>
      <x:c r="F146" s="21" t="str">
        <x:v>ownership and beneficial-control map</x:v>
      </x:c>
      <x:c r="G146" s="21" t="n">
        <x:v>1</x:v>
      </x:c>
      <x:c r="H146" s="21" t="n">
        <x:v>1</x:v>
      </x:c>
      <x:c r="I146" s="21" t="str">
        <x:v>OPEN</x:v>
      </x:c>
      <x:c r="J146" s="21" t="n">
        <x:v>0</x:v>
      </x:c>
      <x:c r="K146" s="23" t="str">
        <x:v>serial or ownership change</x:v>
      </x:c>
    </x:row>
    <x:row r="147">
      <x:c r="B147" s="21" t="str">
        <x:v>R141</x:v>
      </x:c>
      <x:c r="C147" s="21" t="str">
        <x:v>PSS-T01-C</x:v>
      </x:c>
      <x:c r="D147" s="21" t="str">
        <x:v>PSS-T01</x:v>
      </x:c>
      <x:c r="E147" s="21" t="str">
        <x:v>PSS-T01-R3</x:v>
      </x:c>
      <x:c r="F147" s="21" t="str">
        <x:v>calibration genealogy</x:v>
      </x:c>
      <x:c r="G147" s="21" t="n">
        <x:v>1</x:v>
      </x:c>
      <x:c r="H147" s="21" t="n">
        <x:v>1</x:v>
      </x:c>
      <x:c r="I147" s="21" t="str">
        <x:v>OPEN</x:v>
      </x:c>
      <x:c r="J147" s="21" t="n">
        <x:v>0</x:v>
      </x:c>
      <x:c r="K147" s="23" t="str">
        <x:v>serial or ownership change</x:v>
      </x:c>
    </x:row>
    <x:row r="148">
      <x:c r="B148" s="21" t="str">
        <x:v>R142</x:v>
      </x:c>
      <x:c r="C148" s="21" t="str">
        <x:v>PSS-T01-C</x:v>
      </x:c>
      <x:c r="D148" s="21" t="str">
        <x:v>PSS-T01</x:v>
      </x:c>
      <x:c r="E148" s="21" t="str">
        <x:v>PSS-T01-R3</x:v>
      </x:c>
      <x:c r="F148" s="21" t="str">
        <x:v>destructive teardown right</x:v>
      </x:c>
      <x:c r="G148" s="21" t="n">
        <x:v>1</x:v>
      </x:c>
      <x:c r="H148" s="21" t="n">
        <x:v>1</x:v>
      </x:c>
      <x:c r="I148" s="21" t="str">
        <x:v>OPEN</x:v>
      </x:c>
      <x:c r="J148" s="21" t="n">
        <x:v>0</x:v>
      </x:c>
      <x:c r="K148" s="23" t="str">
        <x:v>serial or ownership change</x:v>
      </x:c>
    </x:row>
    <x:row r="149">
      <x:c r="B149" s="21" t="str">
        <x:v>R143</x:v>
      </x:c>
      <x:c r="C149" s="21" t="str">
        <x:v>PSS-T01-C</x:v>
      </x:c>
      <x:c r="D149" s="21" t="str">
        <x:v>PSS-T01</x:v>
      </x:c>
      <x:c r="E149" s="21" t="str">
        <x:v>PSS-T01-R3</x:v>
      </x:c>
      <x:c r="F149" s="21" t="str">
        <x:v>second-team reproduction right</x:v>
      </x:c>
      <x:c r="G149" s="21" t="n">
        <x:v>1</x:v>
      </x:c>
      <x:c r="H149" s="21" t="n">
        <x:v>1</x:v>
      </x:c>
      <x:c r="I149" s="21" t="str">
        <x:v>OPEN</x:v>
      </x:c>
      <x:c r="J149" s="21" t="n">
        <x:v>0</x:v>
      </x:c>
      <x:c r="K149" s="23" t="str">
        <x:v>serial or ownership change</x:v>
      </x:c>
    </x:row>
    <x:row r="150">
      <x:c r="B150" s="21" t="str">
        <x:v>R144</x:v>
      </x:c>
      <x:c r="C150" s="21" t="str">
        <x:v>PSS-T01-C</x:v>
      </x:c>
      <x:c r="D150" s="21" t="str">
        <x:v>PSS-T01</x:v>
      </x:c>
      <x:c r="E150" s="21" t="str">
        <x:v>PSS-T01-R3</x:v>
      </x:c>
      <x:c r="F150" s="21" t="str">
        <x:v>perpetual interface and evidence-data right</x:v>
      </x:c>
      <x:c r="G150" s="21" t="n">
        <x:v>1</x:v>
      </x:c>
      <x:c r="H150" s="21" t="n">
        <x:v>1</x:v>
      </x:c>
      <x:c r="I150" s="21" t="str">
        <x:v>OPEN</x:v>
      </x:c>
      <x:c r="J150" s="21" t="n">
        <x:v>0</x:v>
      </x:c>
      <x:c r="K150" s="23" t="str">
        <x:v>serial or ownership change</x:v>
      </x:c>
    </x:row>
    <x:row r="151">
      <x:c r="B151" s="21" t="str">
        <x:v>R145</x:v>
      </x:c>
      <x:c r="C151" s="21" t="str">
        <x:v>PIF-I01-A</x:v>
      </x:c>
      <x:c r="D151" s="21" t="str">
        <x:v>PIF-I01</x:v>
      </x:c>
      <x:c r="E151" s="21" t="str">
        <x:v>PIF-I01-R1</x:v>
      </x:c>
      <x:c r="F151" s="21" t="str">
        <x:v>complete bill of materials</x:v>
      </x:c>
      <x:c r="G151" s="21" t="n">
        <x:v>1</x:v>
      </x:c>
      <x:c r="H151" s="21" t="n">
        <x:v>1</x:v>
      </x:c>
      <x:c r="I151" s="21" t="str">
        <x:v>OPEN</x:v>
      </x:c>
      <x:c r="J151" s="21" t="n">
        <x:v>0</x:v>
      </x:c>
      <x:c r="K151" s="23" t="str">
        <x:v>serial or ownership change</x:v>
      </x:c>
    </x:row>
    <x:row r="152">
      <x:c r="B152" s="21" t="str">
        <x:v>R146</x:v>
      </x:c>
      <x:c r="C152" s="21" t="str">
        <x:v>PIF-I01-A</x:v>
      </x:c>
      <x:c r="D152" s="21" t="str">
        <x:v>PIF-I01</x:v>
      </x:c>
      <x:c r="E152" s="21" t="str">
        <x:v>PIF-I01-R1</x:v>
      </x:c>
      <x:c r="F152" s="21" t="str">
        <x:v>bill of process and facility identity</x:v>
      </x:c>
      <x:c r="G152" s="21" t="n">
        <x:v>1</x:v>
      </x:c>
      <x:c r="H152" s="21" t="n">
        <x:v>1</x:v>
      </x:c>
      <x:c r="I152" s="21" t="str">
        <x:v>OPEN</x:v>
      </x:c>
      <x:c r="J152" s="21" t="n">
        <x:v>0</x:v>
      </x:c>
      <x:c r="K152" s="23" t="str">
        <x:v>serial or ownership change</x:v>
      </x:c>
    </x:row>
    <x:row r="153">
      <x:c r="B153" s="21" t="str">
        <x:v>R147</x:v>
      </x:c>
      <x:c r="C153" s="21" t="str">
        <x:v>PIF-I01-A</x:v>
      </x:c>
      <x:c r="D153" s="21" t="str">
        <x:v>PIF-I01</x:v>
      </x:c>
      <x:c r="E153" s="21" t="str">
        <x:v>PIF-I01-R1</x:v>
      </x:c>
      <x:c r="F153" s="21" t="str">
        <x:v>firmware source and software bill of materials</x:v>
      </x:c>
      <x:c r="G153" s="21" t="n">
        <x:v>1</x:v>
      </x:c>
      <x:c r="H153" s="21" t="n">
        <x:v>1</x:v>
      </x:c>
      <x:c r="I153" s="21" t="str">
        <x:v>OPEN</x:v>
      </x:c>
      <x:c r="J153" s="21" t="n">
        <x:v>0</x:v>
      </x:c>
      <x:c r="K153" s="23" t="str">
        <x:v>serial or ownership change</x:v>
      </x:c>
    </x:row>
    <x:row r="154">
      <x:c r="B154" s="21" t="str">
        <x:v>R148</x:v>
      </x:c>
      <x:c r="C154" s="21" t="str">
        <x:v>PIF-I01-A</x:v>
      </x:c>
      <x:c r="D154" s="21" t="str">
        <x:v>PIF-I01</x:v>
      </x:c>
      <x:c r="E154" s="21" t="str">
        <x:v>PIF-I01-R1</x:v>
      </x:c>
      <x:c r="F154" s="21" t="str">
        <x:v>ownership and beneficial-control map</x:v>
      </x:c>
      <x:c r="G154" s="21" t="n">
        <x:v>1</x:v>
      </x:c>
      <x:c r="H154" s="21" t="n">
        <x:v>1</x:v>
      </x:c>
      <x:c r="I154" s="21" t="str">
        <x:v>OPEN</x:v>
      </x:c>
      <x:c r="J154" s="21" t="n">
        <x:v>0</x:v>
      </x:c>
      <x:c r="K154" s="23" t="str">
        <x:v>serial or ownership change</x:v>
      </x:c>
    </x:row>
    <x:row r="155">
      <x:c r="B155" s="21" t="str">
        <x:v>R149</x:v>
      </x:c>
      <x:c r="C155" s="21" t="str">
        <x:v>PIF-I01-A</x:v>
      </x:c>
      <x:c r="D155" s="21" t="str">
        <x:v>PIF-I01</x:v>
      </x:c>
      <x:c r="E155" s="21" t="str">
        <x:v>PIF-I01-R1</x:v>
      </x:c>
      <x:c r="F155" s="21" t="str">
        <x:v>calibration genealogy</x:v>
      </x:c>
      <x:c r="G155" s="21" t="n">
        <x:v>1</x:v>
      </x:c>
      <x:c r="H155" s="21" t="n">
        <x:v>1</x:v>
      </x:c>
      <x:c r="I155" s="21" t="str">
        <x:v>OPEN</x:v>
      </x:c>
      <x:c r="J155" s="21" t="n">
        <x:v>0</x:v>
      </x:c>
      <x:c r="K155" s="23" t="str">
        <x:v>serial or ownership change</x:v>
      </x:c>
    </x:row>
    <x:row r="156">
      <x:c r="B156" s="21" t="str">
        <x:v>R150</x:v>
      </x:c>
      <x:c r="C156" s="21" t="str">
        <x:v>PIF-I01-A</x:v>
      </x:c>
      <x:c r="D156" s="21" t="str">
        <x:v>PIF-I01</x:v>
      </x:c>
      <x:c r="E156" s="21" t="str">
        <x:v>PIF-I01-R1</x:v>
      </x:c>
      <x:c r="F156" s="21" t="str">
        <x:v>destructive teardown right</x:v>
      </x:c>
      <x:c r="G156" s="21" t="n">
        <x:v>1</x:v>
      </x:c>
      <x:c r="H156" s="21" t="n">
        <x:v>1</x:v>
      </x:c>
      <x:c r="I156" s="21" t="str">
        <x:v>OPEN</x:v>
      </x:c>
      <x:c r="J156" s="21" t="n">
        <x:v>0</x:v>
      </x:c>
      <x:c r="K156" s="23" t="str">
        <x:v>serial or ownership change</x:v>
      </x:c>
    </x:row>
    <x:row r="157">
      <x:c r="B157" s="21" t="str">
        <x:v>R151</x:v>
      </x:c>
      <x:c r="C157" s="21" t="str">
        <x:v>PIF-I01-A</x:v>
      </x:c>
      <x:c r="D157" s="21" t="str">
        <x:v>PIF-I01</x:v>
      </x:c>
      <x:c r="E157" s="21" t="str">
        <x:v>PIF-I01-R1</x:v>
      </x:c>
      <x:c r="F157" s="21" t="str">
        <x:v>second-team reproduction right</x:v>
      </x:c>
      <x:c r="G157" s="21" t="n">
        <x:v>1</x:v>
      </x:c>
      <x:c r="H157" s="21" t="n">
        <x:v>1</x:v>
      </x:c>
      <x:c r="I157" s="21" t="str">
        <x:v>OPEN</x:v>
      </x:c>
      <x:c r="J157" s="21" t="n">
        <x:v>0</x:v>
      </x:c>
      <x:c r="K157" s="23" t="str">
        <x:v>serial or ownership change</x:v>
      </x:c>
    </x:row>
    <x:row r="158">
      <x:c r="B158" s="21" t="str">
        <x:v>R152</x:v>
      </x:c>
      <x:c r="C158" s="21" t="str">
        <x:v>PIF-I01-A</x:v>
      </x:c>
      <x:c r="D158" s="21" t="str">
        <x:v>PIF-I01</x:v>
      </x:c>
      <x:c r="E158" s="21" t="str">
        <x:v>PIF-I01-R1</x:v>
      </x:c>
      <x:c r="F158" s="21" t="str">
        <x:v>perpetual interface and evidence-data right</x:v>
      </x:c>
      <x:c r="G158" s="21" t="n">
        <x:v>1</x:v>
      </x:c>
      <x:c r="H158" s="21" t="n">
        <x:v>1</x:v>
      </x:c>
      <x:c r="I158" s="21" t="str">
        <x:v>OPEN</x:v>
      </x:c>
      <x:c r="J158" s="21" t="n">
        <x:v>0</x:v>
      </x:c>
      <x:c r="K158" s="23" t="str">
        <x:v>serial or ownership change</x:v>
      </x:c>
    </x:row>
    <x:row r="159">
      <x:c r="B159" s="21" t="str">
        <x:v>R153</x:v>
      </x:c>
      <x:c r="C159" s="21" t="str">
        <x:v>PIF-I01-B</x:v>
      </x:c>
      <x:c r="D159" s="21" t="str">
        <x:v>PIF-I01</x:v>
      </x:c>
      <x:c r="E159" s="21" t="str">
        <x:v>PIF-I01-R2</x:v>
      </x:c>
      <x:c r="F159" s="21" t="str">
        <x:v>complete bill of materials</x:v>
      </x:c>
      <x:c r="G159" s="21" t="n">
        <x:v>1</x:v>
      </x:c>
      <x:c r="H159" s="21" t="n">
        <x:v>1</x:v>
      </x:c>
      <x:c r="I159" s="21" t="str">
        <x:v>OPEN</x:v>
      </x:c>
      <x:c r="J159" s="21" t="n">
        <x:v>0</x:v>
      </x:c>
      <x:c r="K159" s="23" t="str">
        <x:v>serial or ownership change</x:v>
      </x:c>
    </x:row>
    <x:row r="160">
      <x:c r="B160" s="21" t="str">
        <x:v>R154</x:v>
      </x:c>
      <x:c r="C160" s="21" t="str">
        <x:v>PIF-I01-B</x:v>
      </x:c>
      <x:c r="D160" s="21" t="str">
        <x:v>PIF-I01</x:v>
      </x:c>
      <x:c r="E160" s="21" t="str">
        <x:v>PIF-I01-R2</x:v>
      </x:c>
      <x:c r="F160" s="21" t="str">
        <x:v>bill of process and facility identity</x:v>
      </x:c>
      <x:c r="G160" s="21" t="n">
        <x:v>1</x:v>
      </x:c>
      <x:c r="H160" s="21" t="n">
        <x:v>1</x:v>
      </x:c>
      <x:c r="I160" s="21" t="str">
        <x:v>OPEN</x:v>
      </x:c>
      <x:c r="J160" s="21" t="n">
        <x:v>0</x:v>
      </x:c>
      <x:c r="K160" s="23" t="str">
        <x:v>serial or ownership change</x:v>
      </x:c>
    </x:row>
    <x:row r="161">
      <x:c r="B161" s="21" t="str">
        <x:v>R155</x:v>
      </x:c>
      <x:c r="C161" s="21" t="str">
        <x:v>PIF-I01-B</x:v>
      </x:c>
      <x:c r="D161" s="21" t="str">
        <x:v>PIF-I01</x:v>
      </x:c>
      <x:c r="E161" s="21" t="str">
        <x:v>PIF-I01-R2</x:v>
      </x:c>
      <x:c r="F161" s="21" t="str">
        <x:v>firmware source and software bill of materials</x:v>
      </x:c>
      <x:c r="G161" s="21" t="n">
        <x:v>1</x:v>
      </x:c>
      <x:c r="H161" s="21" t="n">
        <x:v>1</x:v>
      </x:c>
      <x:c r="I161" s="21" t="str">
        <x:v>OPEN</x:v>
      </x:c>
      <x:c r="J161" s="21" t="n">
        <x:v>0</x:v>
      </x:c>
      <x:c r="K161" s="23" t="str">
        <x:v>serial or ownership change</x:v>
      </x:c>
    </x:row>
    <x:row r="162">
      <x:c r="B162" s="21" t="str">
        <x:v>R156</x:v>
      </x:c>
      <x:c r="C162" s="21" t="str">
        <x:v>PIF-I01-B</x:v>
      </x:c>
      <x:c r="D162" s="21" t="str">
        <x:v>PIF-I01</x:v>
      </x:c>
      <x:c r="E162" s="21" t="str">
        <x:v>PIF-I01-R2</x:v>
      </x:c>
      <x:c r="F162" s="21" t="str">
        <x:v>ownership and beneficial-control map</x:v>
      </x:c>
      <x:c r="G162" s="21" t="n">
        <x:v>1</x:v>
      </x:c>
      <x:c r="H162" s="21" t="n">
        <x:v>1</x:v>
      </x:c>
      <x:c r="I162" s="21" t="str">
        <x:v>OPEN</x:v>
      </x:c>
      <x:c r="J162" s="21" t="n">
        <x:v>0</x:v>
      </x:c>
      <x:c r="K162" s="23" t="str">
        <x:v>serial or ownership change</x:v>
      </x:c>
    </x:row>
    <x:row r="163">
      <x:c r="B163" s="21" t="str">
        <x:v>R157</x:v>
      </x:c>
      <x:c r="C163" s="21" t="str">
        <x:v>PIF-I01-B</x:v>
      </x:c>
      <x:c r="D163" s="21" t="str">
        <x:v>PIF-I01</x:v>
      </x:c>
      <x:c r="E163" s="21" t="str">
        <x:v>PIF-I01-R2</x:v>
      </x:c>
      <x:c r="F163" s="21" t="str">
        <x:v>calibration genealogy</x:v>
      </x:c>
      <x:c r="G163" s="21" t="n">
        <x:v>1</x:v>
      </x:c>
      <x:c r="H163" s="21" t="n">
        <x:v>1</x:v>
      </x:c>
      <x:c r="I163" s="21" t="str">
        <x:v>OPEN</x:v>
      </x:c>
      <x:c r="J163" s="21" t="n">
        <x:v>0</x:v>
      </x:c>
      <x:c r="K163" s="23" t="str">
        <x:v>serial or ownership change</x:v>
      </x:c>
    </x:row>
    <x:row r="164">
      <x:c r="B164" s="21" t="str">
        <x:v>R158</x:v>
      </x:c>
      <x:c r="C164" s="21" t="str">
        <x:v>PIF-I01-B</x:v>
      </x:c>
      <x:c r="D164" s="21" t="str">
        <x:v>PIF-I01</x:v>
      </x:c>
      <x:c r="E164" s="21" t="str">
        <x:v>PIF-I01-R2</x:v>
      </x:c>
      <x:c r="F164" s="21" t="str">
        <x:v>destructive teardown right</x:v>
      </x:c>
      <x:c r="G164" s="21" t="n">
        <x:v>1</x:v>
      </x:c>
      <x:c r="H164" s="21" t="n">
        <x:v>1</x:v>
      </x:c>
      <x:c r="I164" s="21" t="str">
        <x:v>OPEN</x:v>
      </x:c>
      <x:c r="J164" s="21" t="n">
        <x:v>0</x:v>
      </x:c>
      <x:c r="K164" s="23" t="str">
        <x:v>serial or ownership change</x:v>
      </x:c>
    </x:row>
    <x:row r="165">
      <x:c r="B165" s="21" t="str">
        <x:v>R159</x:v>
      </x:c>
      <x:c r="C165" s="21" t="str">
        <x:v>PIF-I01-B</x:v>
      </x:c>
      <x:c r="D165" s="21" t="str">
        <x:v>PIF-I01</x:v>
      </x:c>
      <x:c r="E165" s="21" t="str">
        <x:v>PIF-I01-R2</x:v>
      </x:c>
      <x:c r="F165" s="21" t="str">
        <x:v>second-team reproduction right</x:v>
      </x:c>
      <x:c r="G165" s="21" t="n">
        <x:v>1</x:v>
      </x:c>
      <x:c r="H165" s="21" t="n">
        <x:v>1</x:v>
      </x:c>
      <x:c r="I165" s="21" t="str">
        <x:v>OPEN</x:v>
      </x:c>
      <x:c r="J165" s="21" t="n">
        <x:v>0</x:v>
      </x:c>
      <x:c r="K165" s="23" t="str">
        <x:v>serial or ownership change</x:v>
      </x:c>
    </x:row>
    <x:row r="166">
      <x:c r="B166" s="21" t="str">
        <x:v>R160</x:v>
      </x:c>
      <x:c r="C166" s="21" t="str">
        <x:v>PIF-I01-B</x:v>
      </x:c>
      <x:c r="D166" s="21" t="str">
        <x:v>PIF-I01</x:v>
      </x:c>
      <x:c r="E166" s="21" t="str">
        <x:v>PIF-I01-R2</x:v>
      </x:c>
      <x:c r="F166" s="21" t="str">
        <x:v>perpetual interface and evidence-data right</x:v>
      </x:c>
      <x:c r="G166" s="21" t="n">
        <x:v>1</x:v>
      </x:c>
      <x:c r="H166" s="21" t="n">
        <x:v>1</x:v>
      </x:c>
      <x:c r="I166" s="21" t="str">
        <x:v>OPEN</x:v>
      </x:c>
      <x:c r="J166" s="21" t="n">
        <x:v>0</x:v>
      </x:c>
      <x:c r="K166" s="23" t="str">
        <x:v>serial or ownership change</x:v>
      </x:c>
    </x:row>
    <x:row r="167">
      <x:c r="B167" s="21" t="str">
        <x:v>R161</x:v>
      </x:c>
      <x:c r="C167" s="21" t="str">
        <x:v>PIF-I01-C</x:v>
      </x:c>
      <x:c r="D167" s="21" t="str">
        <x:v>PIF-I01</x:v>
      </x:c>
      <x:c r="E167" s="21" t="str">
        <x:v>PIF-I01-R3</x:v>
      </x:c>
      <x:c r="F167" s="21" t="str">
        <x:v>complete bill of materials</x:v>
      </x:c>
      <x:c r="G167" s="21" t="n">
        <x:v>1</x:v>
      </x:c>
      <x:c r="H167" s="21" t="n">
        <x:v>1</x:v>
      </x:c>
      <x:c r="I167" s="21" t="str">
        <x:v>OPEN</x:v>
      </x:c>
      <x:c r="J167" s="21" t="n">
        <x:v>0</x:v>
      </x:c>
      <x:c r="K167" s="23" t="str">
        <x:v>serial or ownership change</x:v>
      </x:c>
    </x:row>
    <x:row r="168">
      <x:c r="B168" s="21" t="str">
        <x:v>R162</x:v>
      </x:c>
      <x:c r="C168" s="21" t="str">
        <x:v>PIF-I01-C</x:v>
      </x:c>
      <x:c r="D168" s="21" t="str">
        <x:v>PIF-I01</x:v>
      </x:c>
      <x:c r="E168" s="21" t="str">
        <x:v>PIF-I01-R3</x:v>
      </x:c>
      <x:c r="F168" s="21" t="str">
        <x:v>bill of process and facility identity</x:v>
      </x:c>
      <x:c r="G168" s="21" t="n">
        <x:v>1</x:v>
      </x:c>
      <x:c r="H168" s="21" t="n">
        <x:v>1</x:v>
      </x:c>
      <x:c r="I168" s="21" t="str">
        <x:v>OPEN</x:v>
      </x:c>
      <x:c r="J168" s="21" t="n">
        <x:v>0</x:v>
      </x:c>
      <x:c r="K168" s="23" t="str">
        <x:v>serial or ownership change</x:v>
      </x:c>
    </x:row>
    <x:row r="169">
      <x:c r="B169" s="21" t="str">
        <x:v>R163</x:v>
      </x:c>
      <x:c r="C169" s="21" t="str">
        <x:v>PIF-I01-C</x:v>
      </x:c>
      <x:c r="D169" s="21" t="str">
        <x:v>PIF-I01</x:v>
      </x:c>
      <x:c r="E169" s="21" t="str">
        <x:v>PIF-I01-R3</x:v>
      </x:c>
      <x:c r="F169" s="21" t="str">
        <x:v>firmware source and software bill of materials</x:v>
      </x:c>
      <x:c r="G169" s="21" t="n">
        <x:v>1</x:v>
      </x:c>
      <x:c r="H169" s="21" t="n">
        <x:v>1</x:v>
      </x:c>
      <x:c r="I169" s="21" t="str">
        <x:v>OPEN</x:v>
      </x:c>
      <x:c r="J169" s="21" t="n">
        <x:v>0</x:v>
      </x:c>
      <x:c r="K169" s="23" t="str">
        <x:v>serial or ownership change</x:v>
      </x:c>
    </x:row>
    <x:row r="170">
      <x:c r="B170" s="21" t="str">
        <x:v>R164</x:v>
      </x:c>
      <x:c r="C170" s="21" t="str">
        <x:v>PIF-I01-C</x:v>
      </x:c>
      <x:c r="D170" s="21" t="str">
        <x:v>PIF-I01</x:v>
      </x:c>
      <x:c r="E170" s="21" t="str">
        <x:v>PIF-I01-R3</x:v>
      </x:c>
      <x:c r="F170" s="21" t="str">
        <x:v>ownership and beneficial-control map</x:v>
      </x:c>
      <x:c r="G170" s="21" t="n">
        <x:v>1</x:v>
      </x:c>
      <x:c r="H170" s="21" t="n">
        <x:v>1</x:v>
      </x:c>
      <x:c r="I170" s="21" t="str">
        <x:v>OPEN</x:v>
      </x:c>
      <x:c r="J170" s="21" t="n">
        <x:v>0</x:v>
      </x:c>
      <x:c r="K170" s="23" t="str">
        <x:v>serial or ownership change</x:v>
      </x:c>
    </x:row>
    <x:row r="171">
      <x:c r="B171" s="21" t="str">
        <x:v>R165</x:v>
      </x:c>
      <x:c r="C171" s="21" t="str">
        <x:v>PIF-I01-C</x:v>
      </x:c>
      <x:c r="D171" s="21" t="str">
        <x:v>PIF-I01</x:v>
      </x:c>
      <x:c r="E171" s="21" t="str">
        <x:v>PIF-I01-R3</x:v>
      </x:c>
      <x:c r="F171" s="21" t="str">
        <x:v>calibration genealogy</x:v>
      </x:c>
      <x:c r="G171" s="21" t="n">
        <x:v>1</x:v>
      </x:c>
      <x:c r="H171" s="21" t="n">
        <x:v>1</x:v>
      </x:c>
      <x:c r="I171" s="21" t="str">
        <x:v>OPEN</x:v>
      </x:c>
      <x:c r="J171" s="21" t="n">
        <x:v>0</x:v>
      </x:c>
      <x:c r="K171" s="23" t="str">
        <x:v>serial or ownership change</x:v>
      </x:c>
    </x:row>
    <x:row r="172">
      <x:c r="B172" s="21" t="str">
        <x:v>R166</x:v>
      </x:c>
      <x:c r="C172" s="21" t="str">
        <x:v>PIF-I01-C</x:v>
      </x:c>
      <x:c r="D172" s="21" t="str">
        <x:v>PIF-I01</x:v>
      </x:c>
      <x:c r="E172" s="21" t="str">
        <x:v>PIF-I01-R3</x:v>
      </x:c>
      <x:c r="F172" s="21" t="str">
        <x:v>destructive teardown right</x:v>
      </x:c>
      <x:c r="G172" s="21" t="n">
        <x:v>1</x:v>
      </x:c>
      <x:c r="H172" s="21" t="n">
        <x:v>1</x:v>
      </x:c>
      <x:c r="I172" s="21" t="str">
        <x:v>OPEN</x:v>
      </x:c>
      <x:c r="J172" s="21" t="n">
        <x:v>0</x:v>
      </x:c>
      <x:c r="K172" s="23" t="str">
        <x:v>serial or ownership change</x:v>
      </x:c>
    </x:row>
    <x:row r="173">
      <x:c r="B173" s="21" t="str">
        <x:v>R167</x:v>
      </x:c>
      <x:c r="C173" s="21" t="str">
        <x:v>PIF-I01-C</x:v>
      </x:c>
      <x:c r="D173" s="21" t="str">
        <x:v>PIF-I01</x:v>
      </x:c>
      <x:c r="E173" s="21" t="str">
        <x:v>PIF-I01-R3</x:v>
      </x:c>
      <x:c r="F173" s="21" t="str">
        <x:v>second-team reproduction right</x:v>
      </x:c>
      <x:c r="G173" s="21" t="n">
        <x:v>1</x:v>
      </x:c>
      <x:c r="H173" s="21" t="n">
        <x:v>1</x:v>
      </x:c>
      <x:c r="I173" s="21" t="str">
        <x:v>OPEN</x:v>
      </x:c>
      <x:c r="J173" s="21" t="n">
        <x:v>0</x:v>
      </x:c>
      <x:c r="K173" s="23" t="str">
        <x:v>serial or ownership change</x:v>
      </x:c>
    </x:row>
    <x:row r="174">
      <x:c r="B174" s="21" t="str">
        <x:v>R168</x:v>
      </x:c>
      <x:c r="C174" s="21" t="str">
        <x:v>PIF-I01-C</x:v>
      </x:c>
      <x:c r="D174" s="21" t="str">
        <x:v>PIF-I01</x:v>
      </x:c>
      <x:c r="E174" s="21" t="str">
        <x:v>PIF-I01-R3</x:v>
      </x:c>
      <x:c r="F174" s="21" t="str">
        <x:v>perpetual interface and evidence-data right</x:v>
      </x:c>
      <x:c r="G174" s="21" t="n">
        <x:v>1</x:v>
      </x:c>
      <x:c r="H174" s="21" t="n">
        <x:v>1</x:v>
      </x:c>
      <x:c r="I174" s="21" t="str">
        <x:v>OPEN</x:v>
      </x:c>
      <x:c r="J174" s="21" t="n">
        <x:v>0</x:v>
      </x:c>
      <x:c r="K174" s="23" t="str">
        <x:v>serial or ownership change</x:v>
      </x:c>
    </x:row>
    <x:row r="175">
      <x:c r="B175" s="21" t="str">
        <x:v>R169</x:v>
      </x:c>
      <x:c r="C175" s="21" t="str">
        <x:v>EPS-P01-A</x:v>
      </x:c>
      <x:c r="D175" s="21" t="str">
        <x:v>EPS-P01</x:v>
      </x:c>
      <x:c r="E175" s="21" t="str">
        <x:v>EPS-P01-R1</x:v>
      </x:c>
      <x:c r="F175" s="21" t="str">
        <x:v>complete bill of materials</x:v>
      </x:c>
      <x:c r="G175" s="21" t="n">
        <x:v>1</x:v>
      </x:c>
      <x:c r="H175" s="21" t="n">
        <x:v>1</x:v>
      </x:c>
      <x:c r="I175" s="21" t="str">
        <x:v>OPEN</x:v>
      </x:c>
      <x:c r="J175" s="21" t="n">
        <x:v>0</x:v>
      </x:c>
      <x:c r="K175" s="23" t="str">
        <x:v>serial or ownership change</x:v>
      </x:c>
    </x:row>
    <x:row r="176">
      <x:c r="B176" s="21" t="str">
        <x:v>R170</x:v>
      </x:c>
      <x:c r="C176" s="21" t="str">
        <x:v>EPS-P01-A</x:v>
      </x:c>
      <x:c r="D176" s="21" t="str">
        <x:v>EPS-P01</x:v>
      </x:c>
      <x:c r="E176" s="21" t="str">
        <x:v>EPS-P01-R1</x:v>
      </x:c>
      <x:c r="F176" s="21" t="str">
        <x:v>bill of process and facility identity</x:v>
      </x:c>
      <x:c r="G176" s="21" t="n">
        <x:v>1</x:v>
      </x:c>
      <x:c r="H176" s="21" t="n">
        <x:v>1</x:v>
      </x:c>
      <x:c r="I176" s="21" t="str">
        <x:v>OPEN</x:v>
      </x:c>
      <x:c r="J176" s="21" t="n">
        <x:v>0</x:v>
      </x:c>
      <x:c r="K176" s="23" t="str">
        <x:v>serial or ownership change</x:v>
      </x:c>
    </x:row>
    <x:row r="177">
      <x:c r="B177" s="21" t="str">
        <x:v>R171</x:v>
      </x:c>
      <x:c r="C177" s="21" t="str">
        <x:v>EPS-P01-A</x:v>
      </x:c>
      <x:c r="D177" s="21" t="str">
        <x:v>EPS-P01</x:v>
      </x:c>
      <x:c r="E177" s="21" t="str">
        <x:v>EPS-P01-R1</x:v>
      </x:c>
      <x:c r="F177" s="21" t="str">
        <x:v>firmware source and software bill of materials</x:v>
      </x:c>
      <x:c r="G177" s="21" t="n">
        <x:v>1</x:v>
      </x:c>
      <x:c r="H177" s="21" t="n">
        <x:v>1</x:v>
      </x:c>
      <x:c r="I177" s="21" t="str">
        <x:v>OPEN</x:v>
      </x:c>
      <x:c r="J177" s="21" t="n">
        <x:v>0</x:v>
      </x:c>
      <x:c r="K177" s="23" t="str">
        <x:v>serial or ownership change</x:v>
      </x:c>
    </x:row>
    <x:row r="178">
      <x:c r="B178" s="21" t="str">
        <x:v>R172</x:v>
      </x:c>
      <x:c r="C178" s="21" t="str">
        <x:v>EPS-P01-A</x:v>
      </x:c>
      <x:c r="D178" s="21" t="str">
        <x:v>EPS-P01</x:v>
      </x:c>
      <x:c r="E178" s="21" t="str">
        <x:v>EPS-P01-R1</x:v>
      </x:c>
      <x:c r="F178" s="21" t="str">
        <x:v>ownership and beneficial-control map</x:v>
      </x:c>
      <x:c r="G178" s="21" t="n">
        <x:v>1</x:v>
      </x:c>
      <x:c r="H178" s="21" t="n">
        <x:v>1</x:v>
      </x:c>
      <x:c r="I178" s="21" t="str">
        <x:v>OPEN</x:v>
      </x:c>
      <x:c r="J178" s="21" t="n">
        <x:v>0</x:v>
      </x:c>
      <x:c r="K178" s="23" t="str">
        <x:v>serial or ownership change</x:v>
      </x:c>
    </x:row>
    <x:row r="179">
      <x:c r="B179" s="21" t="str">
        <x:v>R173</x:v>
      </x:c>
      <x:c r="C179" s="21" t="str">
        <x:v>EPS-P01-A</x:v>
      </x:c>
      <x:c r="D179" s="21" t="str">
        <x:v>EPS-P01</x:v>
      </x:c>
      <x:c r="E179" s="21" t="str">
        <x:v>EPS-P01-R1</x:v>
      </x:c>
      <x:c r="F179" s="21" t="str">
        <x:v>calibration genealogy</x:v>
      </x:c>
      <x:c r="G179" s="21" t="n">
        <x:v>1</x:v>
      </x:c>
      <x:c r="H179" s="21" t="n">
        <x:v>1</x:v>
      </x:c>
      <x:c r="I179" s="21" t="str">
        <x:v>OPEN</x:v>
      </x:c>
      <x:c r="J179" s="21" t="n">
        <x:v>0</x:v>
      </x:c>
      <x:c r="K179" s="23" t="str">
        <x:v>serial or ownership change</x:v>
      </x:c>
    </x:row>
    <x:row r="180">
      <x:c r="B180" s="21" t="str">
        <x:v>R174</x:v>
      </x:c>
      <x:c r="C180" s="21" t="str">
        <x:v>EPS-P01-A</x:v>
      </x:c>
      <x:c r="D180" s="21" t="str">
        <x:v>EPS-P01</x:v>
      </x:c>
      <x:c r="E180" s="21" t="str">
        <x:v>EPS-P01-R1</x:v>
      </x:c>
      <x:c r="F180" s="21" t="str">
        <x:v>destructive teardown right</x:v>
      </x:c>
      <x:c r="G180" s="21" t="n">
        <x:v>1</x:v>
      </x:c>
      <x:c r="H180" s="21" t="n">
        <x:v>1</x:v>
      </x:c>
      <x:c r="I180" s="21" t="str">
        <x:v>OPEN</x:v>
      </x:c>
      <x:c r="J180" s="21" t="n">
        <x:v>0</x:v>
      </x:c>
      <x:c r="K180" s="23" t="str">
        <x:v>serial or ownership change</x:v>
      </x:c>
    </x:row>
    <x:row r="181">
      <x:c r="B181" s="21" t="str">
        <x:v>R175</x:v>
      </x:c>
      <x:c r="C181" s="21" t="str">
        <x:v>EPS-P01-A</x:v>
      </x:c>
      <x:c r="D181" s="21" t="str">
        <x:v>EPS-P01</x:v>
      </x:c>
      <x:c r="E181" s="21" t="str">
        <x:v>EPS-P01-R1</x:v>
      </x:c>
      <x:c r="F181" s="21" t="str">
        <x:v>second-team reproduction right</x:v>
      </x:c>
      <x:c r="G181" s="21" t="n">
        <x:v>1</x:v>
      </x:c>
      <x:c r="H181" s="21" t="n">
        <x:v>1</x:v>
      </x:c>
      <x:c r="I181" s="21" t="str">
        <x:v>OPEN</x:v>
      </x:c>
      <x:c r="J181" s="21" t="n">
        <x:v>0</x:v>
      </x:c>
      <x:c r="K181" s="23" t="str">
        <x:v>serial or ownership change</x:v>
      </x:c>
    </x:row>
    <x:row r="182">
      <x:c r="B182" s="21" t="str">
        <x:v>R176</x:v>
      </x:c>
      <x:c r="C182" s="21" t="str">
        <x:v>EPS-P01-A</x:v>
      </x:c>
      <x:c r="D182" s="21" t="str">
        <x:v>EPS-P01</x:v>
      </x:c>
      <x:c r="E182" s="21" t="str">
        <x:v>EPS-P01-R1</x:v>
      </x:c>
      <x:c r="F182" s="21" t="str">
        <x:v>perpetual interface and evidence-data right</x:v>
      </x:c>
      <x:c r="G182" s="21" t="n">
        <x:v>1</x:v>
      </x:c>
      <x:c r="H182" s="21" t="n">
        <x:v>1</x:v>
      </x:c>
      <x:c r="I182" s="21" t="str">
        <x:v>OPEN</x:v>
      </x:c>
      <x:c r="J182" s="21" t="n">
        <x:v>0</x:v>
      </x:c>
      <x:c r="K182" s="23" t="str">
        <x:v>serial or ownership change</x:v>
      </x:c>
    </x:row>
    <x:row r="183">
      <x:c r="B183" s="21" t="str">
        <x:v>R177</x:v>
      </x:c>
      <x:c r="C183" s="21" t="str">
        <x:v>EPS-P01-B</x:v>
      </x:c>
      <x:c r="D183" s="21" t="str">
        <x:v>EPS-P01</x:v>
      </x:c>
      <x:c r="E183" s="21" t="str">
        <x:v>EPS-P01-R2</x:v>
      </x:c>
      <x:c r="F183" s="21" t="str">
        <x:v>complete bill of materials</x:v>
      </x:c>
      <x:c r="G183" s="21" t="n">
        <x:v>1</x:v>
      </x:c>
      <x:c r="H183" s="21" t="n">
        <x:v>1</x:v>
      </x:c>
      <x:c r="I183" s="21" t="str">
        <x:v>OPEN</x:v>
      </x:c>
      <x:c r="J183" s="21" t="n">
        <x:v>0</x:v>
      </x:c>
      <x:c r="K183" s="23" t="str">
        <x:v>serial or ownership change</x:v>
      </x:c>
    </x:row>
    <x:row r="184">
      <x:c r="B184" s="21" t="str">
        <x:v>R178</x:v>
      </x:c>
      <x:c r="C184" s="21" t="str">
        <x:v>EPS-P01-B</x:v>
      </x:c>
      <x:c r="D184" s="21" t="str">
        <x:v>EPS-P01</x:v>
      </x:c>
      <x:c r="E184" s="21" t="str">
        <x:v>EPS-P01-R2</x:v>
      </x:c>
      <x:c r="F184" s="21" t="str">
        <x:v>bill of process and facility identity</x:v>
      </x:c>
      <x:c r="G184" s="21" t="n">
        <x:v>1</x:v>
      </x:c>
      <x:c r="H184" s="21" t="n">
        <x:v>1</x:v>
      </x:c>
      <x:c r="I184" s="21" t="str">
        <x:v>OPEN</x:v>
      </x:c>
      <x:c r="J184" s="21" t="n">
        <x:v>0</x:v>
      </x:c>
      <x:c r="K184" s="23" t="str">
        <x:v>serial or ownership change</x:v>
      </x:c>
    </x:row>
    <x:row r="185">
      <x:c r="B185" s="21" t="str">
        <x:v>R179</x:v>
      </x:c>
      <x:c r="C185" s="21" t="str">
        <x:v>EPS-P01-B</x:v>
      </x:c>
      <x:c r="D185" s="21" t="str">
        <x:v>EPS-P01</x:v>
      </x:c>
      <x:c r="E185" s="21" t="str">
        <x:v>EPS-P01-R2</x:v>
      </x:c>
      <x:c r="F185" s="21" t="str">
        <x:v>firmware source and software bill of materials</x:v>
      </x:c>
      <x:c r="G185" s="21" t="n">
        <x:v>1</x:v>
      </x:c>
      <x:c r="H185" s="21" t="n">
        <x:v>1</x:v>
      </x:c>
      <x:c r="I185" s="21" t="str">
        <x:v>OPEN</x:v>
      </x:c>
      <x:c r="J185" s="21" t="n">
        <x:v>0</x:v>
      </x:c>
      <x:c r="K185" s="23" t="str">
        <x:v>serial or ownership change</x:v>
      </x:c>
    </x:row>
    <x:row r="186">
      <x:c r="B186" s="21" t="str">
        <x:v>R180</x:v>
      </x:c>
      <x:c r="C186" s="21" t="str">
        <x:v>EPS-P01-B</x:v>
      </x:c>
      <x:c r="D186" s="21" t="str">
        <x:v>EPS-P01</x:v>
      </x:c>
      <x:c r="E186" s="21" t="str">
        <x:v>EPS-P01-R2</x:v>
      </x:c>
      <x:c r="F186" s="21" t="str">
        <x:v>ownership and beneficial-control map</x:v>
      </x:c>
      <x:c r="G186" s="21" t="n">
        <x:v>1</x:v>
      </x:c>
      <x:c r="H186" s="21" t="n">
        <x:v>1</x:v>
      </x:c>
      <x:c r="I186" s="21" t="str">
        <x:v>OPEN</x:v>
      </x:c>
      <x:c r="J186" s="21" t="n">
        <x:v>0</x:v>
      </x:c>
      <x:c r="K186" s="23" t="str">
        <x:v>serial or ownership change</x:v>
      </x:c>
    </x:row>
    <x:row r="187">
      <x:c r="B187" s="21" t="str">
        <x:v>R181</x:v>
      </x:c>
      <x:c r="C187" s="21" t="str">
        <x:v>EPS-P01-B</x:v>
      </x:c>
      <x:c r="D187" s="21" t="str">
        <x:v>EPS-P01</x:v>
      </x:c>
      <x:c r="E187" s="21" t="str">
        <x:v>EPS-P01-R2</x:v>
      </x:c>
      <x:c r="F187" s="21" t="str">
        <x:v>calibration genealogy</x:v>
      </x:c>
      <x:c r="G187" s="21" t="n">
        <x:v>1</x:v>
      </x:c>
      <x:c r="H187" s="21" t="n">
        <x:v>1</x:v>
      </x:c>
      <x:c r="I187" s="21" t="str">
        <x:v>OPEN</x:v>
      </x:c>
      <x:c r="J187" s="21" t="n">
        <x:v>0</x:v>
      </x:c>
      <x:c r="K187" s="23" t="str">
        <x:v>serial or ownership change</x:v>
      </x:c>
    </x:row>
    <x:row r="188">
      <x:c r="B188" s="21" t="str">
        <x:v>R182</x:v>
      </x:c>
      <x:c r="C188" s="21" t="str">
        <x:v>EPS-P01-B</x:v>
      </x:c>
      <x:c r="D188" s="21" t="str">
        <x:v>EPS-P01</x:v>
      </x:c>
      <x:c r="E188" s="21" t="str">
        <x:v>EPS-P01-R2</x:v>
      </x:c>
      <x:c r="F188" s="21" t="str">
        <x:v>destructive teardown right</x:v>
      </x:c>
      <x:c r="G188" s="21" t="n">
        <x:v>1</x:v>
      </x:c>
      <x:c r="H188" s="21" t="n">
        <x:v>1</x:v>
      </x:c>
      <x:c r="I188" s="21" t="str">
        <x:v>OPEN</x:v>
      </x:c>
      <x:c r="J188" s="21" t="n">
        <x:v>0</x:v>
      </x:c>
      <x:c r="K188" s="23" t="str">
        <x:v>serial or ownership change</x:v>
      </x:c>
    </x:row>
    <x:row r="189">
      <x:c r="B189" s="21" t="str">
        <x:v>R183</x:v>
      </x:c>
      <x:c r="C189" s="21" t="str">
        <x:v>EPS-P01-B</x:v>
      </x:c>
      <x:c r="D189" s="21" t="str">
        <x:v>EPS-P01</x:v>
      </x:c>
      <x:c r="E189" s="21" t="str">
        <x:v>EPS-P01-R2</x:v>
      </x:c>
      <x:c r="F189" s="21" t="str">
        <x:v>second-team reproduction right</x:v>
      </x:c>
      <x:c r="G189" s="21" t="n">
        <x:v>1</x:v>
      </x:c>
      <x:c r="H189" s="21" t="n">
        <x:v>1</x:v>
      </x:c>
      <x:c r="I189" s="21" t="str">
        <x:v>OPEN</x:v>
      </x:c>
      <x:c r="J189" s="21" t="n">
        <x:v>0</x:v>
      </x:c>
      <x:c r="K189" s="23" t="str">
        <x:v>serial or ownership change</x:v>
      </x:c>
    </x:row>
    <x:row r="190">
      <x:c r="B190" s="21" t="str">
        <x:v>R184</x:v>
      </x:c>
      <x:c r="C190" s="21" t="str">
        <x:v>EPS-P01-B</x:v>
      </x:c>
      <x:c r="D190" s="21" t="str">
        <x:v>EPS-P01</x:v>
      </x:c>
      <x:c r="E190" s="21" t="str">
        <x:v>EPS-P01-R2</x:v>
      </x:c>
      <x:c r="F190" s="21" t="str">
        <x:v>perpetual interface and evidence-data right</x:v>
      </x:c>
      <x:c r="G190" s="21" t="n">
        <x:v>1</x:v>
      </x:c>
      <x:c r="H190" s="21" t="n">
        <x:v>1</x:v>
      </x:c>
      <x:c r="I190" s="21" t="str">
        <x:v>OPEN</x:v>
      </x:c>
      <x:c r="J190" s="21" t="n">
        <x:v>0</x:v>
      </x:c>
      <x:c r="K190" s="23" t="str">
        <x:v>serial or ownership change</x:v>
      </x:c>
    </x:row>
    <x:row r="191">
      <x:c r="B191" s="21" t="str">
        <x:v>R185</x:v>
      </x:c>
      <x:c r="C191" s="21" t="str">
        <x:v>EPS-P01-C</x:v>
      </x:c>
      <x:c r="D191" s="21" t="str">
        <x:v>EPS-P01</x:v>
      </x:c>
      <x:c r="E191" s="21" t="str">
        <x:v>EPS-P01-R3</x:v>
      </x:c>
      <x:c r="F191" s="21" t="str">
        <x:v>complete bill of materials</x:v>
      </x:c>
      <x:c r="G191" s="21" t="n">
        <x:v>1</x:v>
      </x:c>
      <x:c r="H191" s="21" t="n">
        <x:v>1</x:v>
      </x:c>
      <x:c r="I191" s="21" t="str">
        <x:v>OPEN</x:v>
      </x:c>
      <x:c r="J191" s="21" t="n">
        <x:v>0</x:v>
      </x:c>
      <x:c r="K191" s="23" t="str">
        <x:v>serial or ownership change</x:v>
      </x:c>
    </x:row>
    <x:row r="192">
      <x:c r="B192" s="21" t="str">
        <x:v>R186</x:v>
      </x:c>
      <x:c r="C192" s="21" t="str">
        <x:v>EPS-P01-C</x:v>
      </x:c>
      <x:c r="D192" s="21" t="str">
        <x:v>EPS-P01</x:v>
      </x:c>
      <x:c r="E192" s="21" t="str">
        <x:v>EPS-P01-R3</x:v>
      </x:c>
      <x:c r="F192" s="21" t="str">
        <x:v>bill of process and facility identity</x:v>
      </x:c>
      <x:c r="G192" s="21" t="n">
        <x:v>1</x:v>
      </x:c>
      <x:c r="H192" s="21" t="n">
        <x:v>1</x:v>
      </x:c>
      <x:c r="I192" s="21" t="str">
        <x:v>OPEN</x:v>
      </x:c>
      <x:c r="J192" s="21" t="n">
        <x:v>0</x:v>
      </x:c>
      <x:c r="K192" s="23" t="str">
        <x:v>serial or ownership change</x:v>
      </x:c>
    </x:row>
    <x:row r="193">
      <x:c r="B193" s="21" t="str">
        <x:v>R187</x:v>
      </x:c>
      <x:c r="C193" s="21" t="str">
        <x:v>EPS-P01-C</x:v>
      </x:c>
      <x:c r="D193" s="21" t="str">
        <x:v>EPS-P01</x:v>
      </x:c>
      <x:c r="E193" s="21" t="str">
        <x:v>EPS-P01-R3</x:v>
      </x:c>
      <x:c r="F193" s="21" t="str">
        <x:v>firmware source and software bill of materials</x:v>
      </x:c>
      <x:c r="G193" s="21" t="n">
        <x:v>1</x:v>
      </x:c>
      <x:c r="H193" s="21" t="n">
        <x:v>1</x:v>
      </x:c>
      <x:c r="I193" s="21" t="str">
        <x:v>OPEN</x:v>
      </x:c>
      <x:c r="J193" s="21" t="n">
        <x:v>0</x:v>
      </x:c>
      <x:c r="K193" s="23" t="str">
        <x:v>serial or ownership change</x:v>
      </x:c>
    </x:row>
    <x:row r="194">
      <x:c r="B194" s="21" t="str">
        <x:v>R188</x:v>
      </x:c>
      <x:c r="C194" s="21" t="str">
        <x:v>EPS-P01-C</x:v>
      </x:c>
      <x:c r="D194" s="21" t="str">
        <x:v>EPS-P01</x:v>
      </x:c>
      <x:c r="E194" s="21" t="str">
        <x:v>EPS-P01-R3</x:v>
      </x:c>
      <x:c r="F194" s="21" t="str">
        <x:v>ownership and beneficial-control map</x:v>
      </x:c>
      <x:c r="G194" s="21" t="n">
        <x:v>1</x:v>
      </x:c>
      <x:c r="H194" s="21" t="n">
        <x:v>1</x:v>
      </x:c>
      <x:c r="I194" s="21" t="str">
        <x:v>OPEN</x:v>
      </x:c>
      <x:c r="J194" s="21" t="n">
        <x:v>0</x:v>
      </x:c>
      <x:c r="K194" s="23" t="str">
        <x:v>serial or ownership change</x:v>
      </x:c>
    </x:row>
    <x:row r="195">
      <x:c r="B195" s="21" t="str">
        <x:v>R189</x:v>
      </x:c>
      <x:c r="C195" s="21" t="str">
        <x:v>EPS-P01-C</x:v>
      </x:c>
      <x:c r="D195" s="21" t="str">
        <x:v>EPS-P01</x:v>
      </x:c>
      <x:c r="E195" s="21" t="str">
        <x:v>EPS-P01-R3</x:v>
      </x:c>
      <x:c r="F195" s="21" t="str">
        <x:v>calibration genealogy</x:v>
      </x:c>
      <x:c r="G195" s="21" t="n">
        <x:v>1</x:v>
      </x:c>
      <x:c r="H195" s="21" t="n">
        <x:v>1</x:v>
      </x:c>
      <x:c r="I195" s="21" t="str">
        <x:v>OPEN</x:v>
      </x:c>
      <x:c r="J195" s="21" t="n">
        <x:v>0</x:v>
      </x:c>
      <x:c r="K195" s="23" t="str">
        <x:v>serial or ownership change</x:v>
      </x:c>
    </x:row>
    <x:row r="196">
      <x:c r="B196" s="21" t="str">
        <x:v>R190</x:v>
      </x:c>
      <x:c r="C196" s="21" t="str">
        <x:v>EPS-P01-C</x:v>
      </x:c>
      <x:c r="D196" s="21" t="str">
        <x:v>EPS-P01</x:v>
      </x:c>
      <x:c r="E196" s="21" t="str">
        <x:v>EPS-P01-R3</x:v>
      </x:c>
      <x:c r="F196" s="21" t="str">
        <x:v>destructive teardown right</x:v>
      </x:c>
      <x:c r="G196" s="21" t="n">
        <x:v>1</x:v>
      </x:c>
      <x:c r="H196" s="21" t="n">
        <x:v>1</x:v>
      </x:c>
      <x:c r="I196" s="21" t="str">
        <x:v>OPEN</x:v>
      </x:c>
      <x:c r="J196" s="21" t="n">
        <x:v>0</x:v>
      </x:c>
      <x:c r="K196" s="23" t="str">
        <x:v>serial or ownership change</x:v>
      </x:c>
    </x:row>
    <x:row r="197">
      <x:c r="B197" s="21" t="str">
        <x:v>R191</x:v>
      </x:c>
      <x:c r="C197" s="21" t="str">
        <x:v>EPS-P01-C</x:v>
      </x:c>
      <x:c r="D197" s="21" t="str">
        <x:v>EPS-P01</x:v>
      </x:c>
      <x:c r="E197" s="21" t="str">
        <x:v>EPS-P01-R3</x:v>
      </x:c>
      <x:c r="F197" s="21" t="str">
        <x:v>second-team reproduction right</x:v>
      </x:c>
      <x:c r="G197" s="21" t="n">
        <x:v>1</x:v>
      </x:c>
      <x:c r="H197" s="21" t="n">
        <x:v>1</x:v>
      </x:c>
      <x:c r="I197" s="21" t="str">
        <x:v>OPEN</x:v>
      </x:c>
      <x:c r="J197" s="21" t="n">
        <x:v>0</x:v>
      </x:c>
      <x:c r="K197" s="23" t="str">
        <x:v>serial or ownership change</x:v>
      </x:c>
    </x:row>
    <x:row r="198">
      <x:c r="B198" s="21" t="str">
        <x:v>R192</x:v>
      </x:c>
      <x:c r="C198" s="21" t="str">
        <x:v>EPS-P01-C</x:v>
      </x:c>
      <x:c r="D198" s="21" t="str">
        <x:v>EPS-P01</x:v>
      </x:c>
      <x:c r="E198" s="21" t="str">
        <x:v>EPS-P01-R3</x:v>
      </x:c>
      <x:c r="F198" s="21" t="str">
        <x:v>perpetual interface and evidence-data right</x:v>
      </x:c>
      <x:c r="G198" s="21" t="n">
        <x:v>1</x:v>
      </x:c>
      <x:c r="H198" s="21" t="n">
        <x:v>1</x:v>
      </x:c>
      <x:c r="I198" s="21" t="str">
        <x:v>OPEN</x:v>
      </x:c>
      <x:c r="J198" s="21" t="n">
        <x:v>0</x:v>
      </x:c>
      <x:c r="K198" s="23" t="str">
        <x:v>serial or ownership change</x:v>
      </x:c>
    </x:row>
    <x:row r="199">
      <x:c r="B199" s="21" t="str">
        <x:v>R193</x:v>
      </x:c>
      <x:c r="C199" s="21" t="str">
        <x:v>TKS-C01-A</x:v>
      </x:c>
      <x:c r="D199" s="21" t="str">
        <x:v>TKS-C01</x:v>
      </x:c>
      <x:c r="E199" s="21" t="str">
        <x:v>TKS-C01-R1</x:v>
      </x:c>
      <x:c r="F199" s="21" t="str">
        <x:v>complete bill of materials</x:v>
      </x:c>
      <x:c r="G199" s="21" t="n">
        <x:v>1</x:v>
      </x:c>
      <x:c r="H199" s="21" t="n">
        <x:v>1</x:v>
      </x:c>
      <x:c r="I199" s="21" t="str">
        <x:v>OPEN</x:v>
      </x:c>
      <x:c r="J199" s="21" t="n">
        <x:v>0</x:v>
      </x:c>
      <x:c r="K199" s="23" t="str">
        <x:v>serial or ownership change</x:v>
      </x:c>
    </x:row>
    <x:row r="200">
      <x:c r="B200" s="21" t="str">
        <x:v>R194</x:v>
      </x:c>
      <x:c r="C200" s="21" t="str">
        <x:v>TKS-C01-A</x:v>
      </x:c>
      <x:c r="D200" s="21" t="str">
        <x:v>TKS-C01</x:v>
      </x:c>
      <x:c r="E200" s="21" t="str">
        <x:v>TKS-C01-R1</x:v>
      </x:c>
      <x:c r="F200" s="21" t="str">
        <x:v>bill of process and facility identity</x:v>
      </x:c>
      <x:c r="G200" s="21" t="n">
        <x:v>1</x:v>
      </x:c>
      <x:c r="H200" s="21" t="n">
        <x:v>1</x:v>
      </x:c>
      <x:c r="I200" s="21" t="str">
        <x:v>OPEN</x:v>
      </x:c>
      <x:c r="J200" s="21" t="n">
        <x:v>0</x:v>
      </x:c>
      <x:c r="K200" s="23" t="str">
        <x:v>serial or ownership change</x:v>
      </x:c>
    </x:row>
    <x:row r="201">
      <x:c r="B201" s="21" t="str">
        <x:v>R195</x:v>
      </x:c>
      <x:c r="C201" s="21" t="str">
        <x:v>TKS-C01-A</x:v>
      </x:c>
      <x:c r="D201" s="21" t="str">
        <x:v>TKS-C01</x:v>
      </x:c>
      <x:c r="E201" s="21" t="str">
        <x:v>TKS-C01-R1</x:v>
      </x:c>
      <x:c r="F201" s="21" t="str">
        <x:v>firmware source and software bill of materials</x:v>
      </x:c>
      <x:c r="G201" s="21" t="n">
        <x:v>1</x:v>
      </x:c>
      <x:c r="H201" s="21" t="n">
        <x:v>1</x:v>
      </x:c>
      <x:c r="I201" s="21" t="str">
        <x:v>OPEN</x:v>
      </x:c>
      <x:c r="J201" s="21" t="n">
        <x:v>0</x:v>
      </x:c>
      <x:c r="K201" s="23" t="str">
        <x:v>serial or ownership change</x:v>
      </x:c>
    </x:row>
    <x:row r="202">
      <x:c r="B202" s="21" t="str">
        <x:v>R196</x:v>
      </x:c>
      <x:c r="C202" s="21" t="str">
        <x:v>TKS-C01-A</x:v>
      </x:c>
      <x:c r="D202" s="21" t="str">
        <x:v>TKS-C01</x:v>
      </x:c>
      <x:c r="E202" s="21" t="str">
        <x:v>TKS-C01-R1</x:v>
      </x:c>
      <x:c r="F202" s="21" t="str">
        <x:v>ownership and beneficial-control map</x:v>
      </x:c>
      <x:c r="G202" s="21" t="n">
        <x:v>1</x:v>
      </x:c>
      <x:c r="H202" s="21" t="n">
        <x:v>1</x:v>
      </x:c>
      <x:c r="I202" s="21" t="str">
        <x:v>OPEN</x:v>
      </x:c>
      <x:c r="J202" s="21" t="n">
        <x:v>0</x:v>
      </x:c>
      <x:c r="K202" s="23" t="str">
        <x:v>serial or ownership change</x:v>
      </x:c>
    </x:row>
    <x:row r="203">
      <x:c r="B203" s="21" t="str">
        <x:v>R197</x:v>
      </x:c>
      <x:c r="C203" s="21" t="str">
        <x:v>TKS-C01-A</x:v>
      </x:c>
      <x:c r="D203" s="21" t="str">
        <x:v>TKS-C01</x:v>
      </x:c>
      <x:c r="E203" s="21" t="str">
        <x:v>TKS-C01-R1</x:v>
      </x:c>
      <x:c r="F203" s="21" t="str">
        <x:v>calibration genealogy</x:v>
      </x:c>
      <x:c r="G203" s="21" t="n">
        <x:v>1</x:v>
      </x:c>
      <x:c r="H203" s="21" t="n">
        <x:v>1</x:v>
      </x:c>
      <x:c r="I203" s="21" t="str">
        <x:v>OPEN</x:v>
      </x:c>
      <x:c r="J203" s="21" t="n">
        <x:v>0</x:v>
      </x:c>
      <x:c r="K203" s="23" t="str">
        <x:v>serial or ownership change</x:v>
      </x:c>
    </x:row>
    <x:row r="204">
      <x:c r="B204" s="21" t="str">
        <x:v>R198</x:v>
      </x:c>
      <x:c r="C204" s="21" t="str">
        <x:v>TKS-C01-A</x:v>
      </x:c>
      <x:c r="D204" s="21" t="str">
        <x:v>TKS-C01</x:v>
      </x:c>
      <x:c r="E204" s="21" t="str">
        <x:v>TKS-C01-R1</x:v>
      </x:c>
      <x:c r="F204" s="21" t="str">
        <x:v>destructive teardown right</x:v>
      </x:c>
      <x:c r="G204" s="21" t="n">
        <x:v>1</x:v>
      </x:c>
      <x:c r="H204" s="21" t="n">
        <x:v>1</x:v>
      </x:c>
      <x:c r="I204" s="21" t="str">
        <x:v>OPEN</x:v>
      </x:c>
      <x:c r="J204" s="21" t="n">
        <x:v>0</x:v>
      </x:c>
      <x:c r="K204" s="23" t="str">
        <x:v>serial or ownership change</x:v>
      </x:c>
    </x:row>
    <x:row r="205">
      <x:c r="B205" s="21" t="str">
        <x:v>R199</x:v>
      </x:c>
      <x:c r="C205" s="21" t="str">
        <x:v>TKS-C01-A</x:v>
      </x:c>
      <x:c r="D205" s="21" t="str">
        <x:v>TKS-C01</x:v>
      </x:c>
      <x:c r="E205" s="21" t="str">
        <x:v>TKS-C01-R1</x:v>
      </x:c>
      <x:c r="F205" s="21" t="str">
        <x:v>second-team reproduction right</x:v>
      </x:c>
      <x:c r="G205" s="21" t="n">
        <x:v>1</x:v>
      </x:c>
      <x:c r="H205" s="21" t="n">
        <x:v>1</x:v>
      </x:c>
      <x:c r="I205" s="21" t="str">
        <x:v>OPEN</x:v>
      </x:c>
      <x:c r="J205" s="21" t="n">
        <x:v>0</x:v>
      </x:c>
      <x:c r="K205" s="23" t="str">
        <x:v>serial or ownership change</x:v>
      </x:c>
    </x:row>
    <x:row r="206">
      <x:c r="B206" s="21" t="str">
        <x:v>R200</x:v>
      </x:c>
      <x:c r="C206" s="21" t="str">
        <x:v>TKS-C01-A</x:v>
      </x:c>
      <x:c r="D206" s="21" t="str">
        <x:v>TKS-C01</x:v>
      </x:c>
      <x:c r="E206" s="21" t="str">
        <x:v>TKS-C01-R1</x:v>
      </x:c>
      <x:c r="F206" s="21" t="str">
        <x:v>perpetual interface and evidence-data right</x:v>
      </x:c>
      <x:c r="G206" s="21" t="n">
        <x:v>1</x:v>
      </x:c>
      <x:c r="H206" s="21" t="n">
        <x:v>1</x:v>
      </x:c>
      <x:c r="I206" s="21" t="str">
        <x:v>OPEN</x:v>
      </x:c>
      <x:c r="J206" s="21" t="n">
        <x:v>0</x:v>
      </x:c>
      <x:c r="K206" s="23" t="str">
        <x:v>serial or ownership change</x:v>
      </x:c>
    </x:row>
    <x:row r="207">
      <x:c r="B207" s="21" t="str">
        <x:v>R201</x:v>
      </x:c>
      <x:c r="C207" s="21" t="str">
        <x:v>TKS-C01-B</x:v>
      </x:c>
      <x:c r="D207" s="21" t="str">
        <x:v>TKS-C01</x:v>
      </x:c>
      <x:c r="E207" s="21" t="str">
        <x:v>TKS-C01-R2</x:v>
      </x:c>
      <x:c r="F207" s="21" t="str">
        <x:v>complete bill of materials</x:v>
      </x:c>
      <x:c r="G207" s="21" t="n">
        <x:v>1</x:v>
      </x:c>
      <x:c r="H207" s="21" t="n">
        <x:v>1</x:v>
      </x:c>
      <x:c r="I207" s="21" t="str">
        <x:v>OPEN</x:v>
      </x:c>
      <x:c r="J207" s="21" t="n">
        <x:v>0</x:v>
      </x:c>
      <x:c r="K207" s="23" t="str">
        <x:v>serial or ownership change</x:v>
      </x:c>
    </x:row>
    <x:row r="208">
      <x:c r="B208" s="21" t="str">
        <x:v>R202</x:v>
      </x:c>
      <x:c r="C208" s="21" t="str">
        <x:v>TKS-C01-B</x:v>
      </x:c>
      <x:c r="D208" s="21" t="str">
        <x:v>TKS-C01</x:v>
      </x:c>
      <x:c r="E208" s="21" t="str">
        <x:v>TKS-C01-R2</x:v>
      </x:c>
      <x:c r="F208" s="21" t="str">
        <x:v>bill of process and facility identity</x:v>
      </x:c>
      <x:c r="G208" s="21" t="n">
        <x:v>1</x:v>
      </x:c>
      <x:c r="H208" s="21" t="n">
        <x:v>1</x:v>
      </x:c>
      <x:c r="I208" s="21" t="str">
        <x:v>OPEN</x:v>
      </x:c>
      <x:c r="J208" s="21" t="n">
        <x:v>0</x:v>
      </x:c>
      <x:c r="K208" s="23" t="str">
        <x:v>serial or ownership change</x:v>
      </x:c>
    </x:row>
    <x:row r="209">
      <x:c r="B209" s="21" t="str">
        <x:v>R203</x:v>
      </x:c>
      <x:c r="C209" s="21" t="str">
        <x:v>TKS-C01-B</x:v>
      </x:c>
      <x:c r="D209" s="21" t="str">
        <x:v>TKS-C01</x:v>
      </x:c>
      <x:c r="E209" s="21" t="str">
        <x:v>TKS-C01-R2</x:v>
      </x:c>
      <x:c r="F209" s="21" t="str">
        <x:v>firmware source and software bill of materials</x:v>
      </x:c>
      <x:c r="G209" s="21" t="n">
        <x:v>1</x:v>
      </x:c>
      <x:c r="H209" s="21" t="n">
        <x:v>1</x:v>
      </x:c>
      <x:c r="I209" s="21" t="str">
        <x:v>OPEN</x:v>
      </x:c>
      <x:c r="J209" s="21" t="n">
        <x:v>0</x:v>
      </x:c>
      <x:c r="K209" s="23" t="str">
        <x:v>serial or ownership change</x:v>
      </x:c>
    </x:row>
    <x:row r="210">
      <x:c r="B210" s="21" t="str">
        <x:v>R204</x:v>
      </x:c>
      <x:c r="C210" s="21" t="str">
        <x:v>TKS-C01-B</x:v>
      </x:c>
      <x:c r="D210" s="21" t="str">
        <x:v>TKS-C01</x:v>
      </x:c>
      <x:c r="E210" s="21" t="str">
        <x:v>TKS-C01-R2</x:v>
      </x:c>
      <x:c r="F210" s="21" t="str">
        <x:v>ownership and beneficial-control map</x:v>
      </x:c>
      <x:c r="G210" s="21" t="n">
        <x:v>1</x:v>
      </x:c>
      <x:c r="H210" s="21" t="n">
        <x:v>1</x:v>
      </x:c>
      <x:c r="I210" s="21" t="str">
        <x:v>OPEN</x:v>
      </x:c>
      <x:c r="J210" s="21" t="n">
        <x:v>0</x:v>
      </x:c>
      <x:c r="K210" s="23" t="str">
        <x:v>serial or ownership change</x:v>
      </x:c>
    </x:row>
    <x:row r="211">
      <x:c r="B211" s="21" t="str">
        <x:v>R205</x:v>
      </x:c>
      <x:c r="C211" s="21" t="str">
        <x:v>TKS-C01-B</x:v>
      </x:c>
      <x:c r="D211" s="21" t="str">
        <x:v>TKS-C01</x:v>
      </x:c>
      <x:c r="E211" s="21" t="str">
        <x:v>TKS-C01-R2</x:v>
      </x:c>
      <x:c r="F211" s="21" t="str">
        <x:v>calibration genealogy</x:v>
      </x:c>
      <x:c r="G211" s="21" t="n">
        <x:v>1</x:v>
      </x:c>
      <x:c r="H211" s="21" t="n">
        <x:v>1</x:v>
      </x:c>
      <x:c r="I211" s="21" t="str">
        <x:v>OPEN</x:v>
      </x:c>
      <x:c r="J211" s="21" t="n">
        <x:v>0</x:v>
      </x:c>
      <x:c r="K211" s="23" t="str">
        <x:v>serial or ownership change</x:v>
      </x:c>
    </x:row>
    <x:row r="212">
      <x:c r="B212" s="21" t="str">
        <x:v>R206</x:v>
      </x:c>
      <x:c r="C212" s="21" t="str">
        <x:v>TKS-C01-B</x:v>
      </x:c>
      <x:c r="D212" s="21" t="str">
        <x:v>TKS-C01</x:v>
      </x:c>
      <x:c r="E212" s="21" t="str">
        <x:v>TKS-C01-R2</x:v>
      </x:c>
      <x:c r="F212" s="21" t="str">
        <x:v>destructive teardown right</x:v>
      </x:c>
      <x:c r="G212" s="21" t="n">
        <x:v>1</x:v>
      </x:c>
      <x:c r="H212" s="21" t="n">
        <x:v>1</x:v>
      </x:c>
      <x:c r="I212" s="21" t="str">
        <x:v>OPEN</x:v>
      </x:c>
      <x:c r="J212" s="21" t="n">
        <x:v>0</x:v>
      </x:c>
      <x:c r="K212" s="23" t="str">
        <x:v>serial or ownership change</x:v>
      </x:c>
    </x:row>
    <x:row r="213">
      <x:c r="B213" s="21" t="str">
        <x:v>R207</x:v>
      </x:c>
      <x:c r="C213" s="21" t="str">
        <x:v>TKS-C01-B</x:v>
      </x:c>
      <x:c r="D213" s="21" t="str">
        <x:v>TKS-C01</x:v>
      </x:c>
      <x:c r="E213" s="21" t="str">
        <x:v>TKS-C01-R2</x:v>
      </x:c>
      <x:c r="F213" s="21" t="str">
        <x:v>second-team reproduction right</x:v>
      </x:c>
      <x:c r="G213" s="21" t="n">
        <x:v>1</x:v>
      </x:c>
      <x:c r="H213" s="21" t="n">
        <x:v>1</x:v>
      </x:c>
      <x:c r="I213" s="21" t="str">
        <x:v>OPEN</x:v>
      </x:c>
      <x:c r="J213" s="21" t="n">
        <x:v>0</x:v>
      </x:c>
      <x:c r="K213" s="23" t="str">
        <x:v>serial or ownership change</x:v>
      </x:c>
    </x:row>
    <x:row r="214">
      <x:c r="B214" s="21" t="str">
        <x:v>R208</x:v>
      </x:c>
      <x:c r="C214" s="21" t="str">
        <x:v>TKS-C01-B</x:v>
      </x:c>
      <x:c r="D214" s="21" t="str">
        <x:v>TKS-C01</x:v>
      </x:c>
      <x:c r="E214" s="21" t="str">
        <x:v>TKS-C01-R2</x:v>
      </x:c>
      <x:c r="F214" s="21" t="str">
        <x:v>perpetual interface and evidence-data right</x:v>
      </x:c>
      <x:c r="G214" s="21" t="n">
        <x:v>1</x:v>
      </x:c>
      <x:c r="H214" s="21" t="n">
        <x:v>1</x:v>
      </x:c>
      <x:c r="I214" s="21" t="str">
        <x:v>OPEN</x:v>
      </x:c>
      <x:c r="J214" s="21" t="n">
        <x:v>0</x:v>
      </x:c>
      <x:c r="K214" s="23" t="str">
        <x:v>serial or ownership change</x:v>
      </x:c>
    </x:row>
    <x:row r="215">
      <x:c r="B215" s="21" t="str">
        <x:v>R209</x:v>
      </x:c>
      <x:c r="C215" s="21" t="str">
        <x:v>TKS-C01-C</x:v>
      </x:c>
      <x:c r="D215" s="21" t="str">
        <x:v>TKS-C01</x:v>
      </x:c>
      <x:c r="E215" s="21" t="str">
        <x:v>TKS-C01-R3</x:v>
      </x:c>
      <x:c r="F215" s="21" t="str">
        <x:v>complete bill of materials</x:v>
      </x:c>
      <x:c r="G215" s="21" t="n">
        <x:v>1</x:v>
      </x:c>
      <x:c r="H215" s="21" t="n">
        <x:v>1</x:v>
      </x:c>
      <x:c r="I215" s="21" t="str">
        <x:v>OPEN</x:v>
      </x:c>
      <x:c r="J215" s="21" t="n">
        <x:v>0</x:v>
      </x:c>
      <x:c r="K215" s="23" t="str">
        <x:v>serial or ownership change</x:v>
      </x:c>
    </x:row>
    <x:row r="216">
      <x:c r="B216" s="21" t="str">
        <x:v>R210</x:v>
      </x:c>
      <x:c r="C216" s="21" t="str">
        <x:v>TKS-C01-C</x:v>
      </x:c>
      <x:c r="D216" s="21" t="str">
        <x:v>TKS-C01</x:v>
      </x:c>
      <x:c r="E216" s="21" t="str">
        <x:v>TKS-C01-R3</x:v>
      </x:c>
      <x:c r="F216" s="21" t="str">
        <x:v>bill of process and facility identity</x:v>
      </x:c>
      <x:c r="G216" s="21" t="n">
        <x:v>1</x:v>
      </x:c>
      <x:c r="H216" s="21" t="n">
        <x:v>1</x:v>
      </x:c>
      <x:c r="I216" s="21" t="str">
        <x:v>OPEN</x:v>
      </x:c>
      <x:c r="J216" s="21" t="n">
        <x:v>0</x:v>
      </x:c>
      <x:c r="K216" s="23" t="str">
        <x:v>serial or ownership change</x:v>
      </x:c>
    </x:row>
    <x:row r="217">
      <x:c r="B217" s="21" t="str">
        <x:v>R211</x:v>
      </x:c>
      <x:c r="C217" s="21" t="str">
        <x:v>TKS-C01-C</x:v>
      </x:c>
      <x:c r="D217" s="21" t="str">
        <x:v>TKS-C01</x:v>
      </x:c>
      <x:c r="E217" s="21" t="str">
        <x:v>TKS-C01-R3</x:v>
      </x:c>
      <x:c r="F217" s="21" t="str">
        <x:v>firmware source and software bill of materials</x:v>
      </x:c>
      <x:c r="G217" s="21" t="n">
        <x:v>1</x:v>
      </x:c>
      <x:c r="H217" s="21" t="n">
        <x:v>1</x:v>
      </x:c>
      <x:c r="I217" s="21" t="str">
        <x:v>OPEN</x:v>
      </x:c>
      <x:c r="J217" s="21" t="n">
        <x:v>0</x:v>
      </x:c>
      <x:c r="K217" s="23" t="str">
        <x:v>serial or ownership change</x:v>
      </x:c>
    </x:row>
    <x:row r="218">
      <x:c r="B218" s="21" t="str">
        <x:v>R212</x:v>
      </x:c>
      <x:c r="C218" s="21" t="str">
        <x:v>TKS-C01-C</x:v>
      </x:c>
      <x:c r="D218" s="21" t="str">
        <x:v>TKS-C01</x:v>
      </x:c>
      <x:c r="E218" s="21" t="str">
        <x:v>TKS-C01-R3</x:v>
      </x:c>
      <x:c r="F218" s="21" t="str">
        <x:v>ownership and beneficial-control map</x:v>
      </x:c>
      <x:c r="G218" s="21" t="n">
        <x:v>1</x:v>
      </x:c>
      <x:c r="H218" s="21" t="n">
        <x:v>1</x:v>
      </x:c>
      <x:c r="I218" s="21" t="str">
        <x:v>OPEN</x:v>
      </x:c>
      <x:c r="J218" s="21" t="n">
        <x:v>0</x:v>
      </x:c>
      <x:c r="K218" s="23" t="str">
        <x:v>serial or ownership change</x:v>
      </x:c>
    </x:row>
    <x:row r="219">
      <x:c r="B219" s="21" t="str">
        <x:v>R213</x:v>
      </x:c>
      <x:c r="C219" s="21" t="str">
        <x:v>TKS-C01-C</x:v>
      </x:c>
      <x:c r="D219" s="21" t="str">
        <x:v>TKS-C01</x:v>
      </x:c>
      <x:c r="E219" s="21" t="str">
        <x:v>TKS-C01-R3</x:v>
      </x:c>
      <x:c r="F219" s="21" t="str">
        <x:v>calibration genealogy</x:v>
      </x:c>
      <x:c r="G219" s="21" t="n">
        <x:v>1</x:v>
      </x:c>
      <x:c r="H219" s="21" t="n">
        <x:v>1</x:v>
      </x:c>
      <x:c r="I219" s="21" t="str">
        <x:v>OPEN</x:v>
      </x:c>
      <x:c r="J219" s="21" t="n">
        <x:v>0</x:v>
      </x:c>
      <x:c r="K219" s="23" t="str">
        <x:v>serial or ownership change</x:v>
      </x:c>
    </x:row>
    <x:row r="220">
      <x:c r="B220" s="21" t="str">
        <x:v>R214</x:v>
      </x:c>
      <x:c r="C220" s="21" t="str">
        <x:v>TKS-C01-C</x:v>
      </x:c>
      <x:c r="D220" s="21" t="str">
        <x:v>TKS-C01</x:v>
      </x:c>
      <x:c r="E220" s="21" t="str">
        <x:v>TKS-C01-R3</x:v>
      </x:c>
      <x:c r="F220" s="21" t="str">
        <x:v>destructive teardown right</x:v>
      </x:c>
      <x:c r="G220" s="21" t="n">
        <x:v>1</x:v>
      </x:c>
      <x:c r="H220" s="21" t="n">
        <x:v>1</x:v>
      </x:c>
      <x:c r="I220" s="21" t="str">
        <x:v>OPEN</x:v>
      </x:c>
      <x:c r="J220" s="21" t="n">
        <x:v>0</x:v>
      </x:c>
      <x:c r="K220" s="23" t="str">
        <x:v>serial or ownership change</x:v>
      </x:c>
    </x:row>
    <x:row r="221">
      <x:c r="B221" s="21" t="str">
        <x:v>R215</x:v>
      </x:c>
      <x:c r="C221" s="21" t="str">
        <x:v>TKS-C01-C</x:v>
      </x:c>
      <x:c r="D221" s="21" t="str">
        <x:v>TKS-C01</x:v>
      </x:c>
      <x:c r="E221" s="21" t="str">
        <x:v>TKS-C01-R3</x:v>
      </x:c>
      <x:c r="F221" s="21" t="str">
        <x:v>second-team reproduction right</x:v>
      </x:c>
      <x:c r="G221" s="21" t="n">
        <x:v>1</x:v>
      </x:c>
      <x:c r="H221" s="21" t="n">
        <x:v>1</x:v>
      </x:c>
      <x:c r="I221" s="21" t="str">
        <x:v>OPEN</x:v>
      </x:c>
      <x:c r="J221" s="21" t="n">
        <x:v>0</x:v>
      </x:c>
      <x:c r="K221" s="23" t="str">
        <x:v>serial or ownership change</x:v>
      </x:c>
    </x:row>
    <x:row r="222">
      <x:c r="B222" s="21" t="str">
        <x:v>R216</x:v>
      </x:c>
      <x:c r="C222" s="21" t="str">
        <x:v>TKS-C01-C</x:v>
      </x:c>
      <x:c r="D222" s="21" t="str">
        <x:v>TKS-C01</x:v>
      </x:c>
      <x:c r="E222" s="21" t="str">
        <x:v>TKS-C01-R3</x:v>
      </x:c>
      <x:c r="F222" s="21" t="str">
        <x:v>perpetual interface and evidence-data right</x:v>
      </x:c>
      <x:c r="G222" s="21" t="n">
        <x:v>1</x:v>
      </x:c>
      <x:c r="H222" s="21" t="n">
        <x:v>1</x:v>
      </x:c>
      <x:c r="I222" s="21" t="str">
        <x:v>OPEN</x:v>
      </x:c>
      <x:c r="J222" s="21" t="n">
        <x:v>0</x:v>
      </x:c>
      <x:c r="K222" s="23" t="str">
        <x:v>serial or ownership change</x:v>
      </x:c>
    </x:row>
    <x:row r="223">
      <x:c r="B223" s="21" t="str">
        <x:v>R217</x:v>
      </x:c>
      <x:c r="C223" s="21" t="str">
        <x:v>STG-S01-A</x:v>
      </x:c>
      <x:c r="D223" s="21" t="str">
        <x:v>STG-S01</x:v>
      </x:c>
      <x:c r="E223" s="21" t="str">
        <x:v>STG-S01-R1</x:v>
      </x:c>
      <x:c r="F223" s="21" t="str">
        <x:v>complete bill of materials</x:v>
      </x:c>
      <x:c r="G223" s="21" t="n">
        <x:v>1</x:v>
      </x:c>
      <x:c r="H223" s="21" t="n">
        <x:v>1</x:v>
      </x:c>
      <x:c r="I223" s="21" t="str">
        <x:v>OPEN</x:v>
      </x:c>
      <x:c r="J223" s="21" t="n">
        <x:v>0</x:v>
      </x:c>
      <x:c r="K223" s="23" t="str">
        <x:v>serial or ownership change</x:v>
      </x:c>
    </x:row>
    <x:row r="224">
      <x:c r="B224" s="21" t="str">
        <x:v>R218</x:v>
      </x:c>
      <x:c r="C224" s="21" t="str">
        <x:v>STG-S01-A</x:v>
      </x:c>
      <x:c r="D224" s="21" t="str">
        <x:v>STG-S01</x:v>
      </x:c>
      <x:c r="E224" s="21" t="str">
        <x:v>STG-S01-R1</x:v>
      </x:c>
      <x:c r="F224" s="21" t="str">
        <x:v>bill of process and facility identity</x:v>
      </x:c>
      <x:c r="G224" s="21" t="n">
        <x:v>1</x:v>
      </x:c>
      <x:c r="H224" s="21" t="n">
        <x:v>1</x:v>
      </x:c>
      <x:c r="I224" s="21" t="str">
        <x:v>OPEN</x:v>
      </x:c>
      <x:c r="J224" s="21" t="n">
        <x:v>0</x:v>
      </x:c>
      <x:c r="K224" s="23" t="str">
        <x:v>serial or ownership change</x:v>
      </x:c>
    </x:row>
    <x:row r="225">
      <x:c r="B225" s="21" t="str">
        <x:v>R219</x:v>
      </x:c>
      <x:c r="C225" s="21" t="str">
        <x:v>STG-S01-A</x:v>
      </x:c>
      <x:c r="D225" s="21" t="str">
        <x:v>STG-S01</x:v>
      </x:c>
      <x:c r="E225" s="21" t="str">
        <x:v>STG-S01-R1</x:v>
      </x:c>
      <x:c r="F225" s="21" t="str">
        <x:v>firmware source and software bill of materials</x:v>
      </x:c>
      <x:c r="G225" s="21" t="n">
        <x:v>1</x:v>
      </x:c>
      <x:c r="H225" s="21" t="n">
        <x:v>1</x:v>
      </x:c>
      <x:c r="I225" s="21" t="str">
        <x:v>OPEN</x:v>
      </x:c>
      <x:c r="J225" s="21" t="n">
        <x:v>0</x:v>
      </x:c>
      <x:c r="K225" s="23" t="str">
        <x:v>serial or ownership change</x:v>
      </x:c>
    </x:row>
    <x:row r="226">
      <x:c r="B226" s="21" t="str">
        <x:v>R220</x:v>
      </x:c>
      <x:c r="C226" s="21" t="str">
        <x:v>STG-S01-A</x:v>
      </x:c>
      <x:c r="D226" s="21" t="str">
        <x:v>STG-S01</x:v>
      </x:c>
      <x:c r="E226" s="21" t="str">
        <x:v>STG-S01-R1</x:v>
      </x:c>
      <x:c r="F226" s="21" t="str">
        <x:v>ownership and beneficial-control map</x:v>
      </x:c>
      <x:c r="G226" s="21" t="n">
        <x:v>1</x:v>
      </x:c>
      <x:c r="H226" s="21" t="n">
        <x:v>1</x:v>
      </x:c>
      <x:c r="I226" s="21" t="str">
        <x:v>OPEN</x:v>
      </x:c>
      <x:c r="J226" s="21" t="n">
        <x:v>0</x:v>
      </x:c>
      <x:c r="K226" s="23" t="str">
        <x:v>serial or ownership change</x:v>
      </x:c>
    </x:row>
    <x:row r="227">
      <x:c r="B227" s="21" t="str">
        <x:v>R221</x:v>
      </x:c>
      <x:c r="C227" s="21" t="str">
        <x:v>STG-S01-A</x:v>
      </x:c>
      <x:c r="D227" s="21" t="str">
        <x:v>STG-S01</x:v>
      </x:c>
      <x:c r="E227" s="21" t="str">
        <x:v>STG-S01-R1</x:v>
      </x:c>
      <x:c r="F227" s="21" t="str">
        <x:v>calibration genealogy</x:v>
      </x:c>
      <x:c r="G227" s="21" t="n">
        <x:v>1</x:v>
      </x:c>
      <x:c r="H227" s="21" t="n">
        <x:v>1</x:v>
      </x:c>
      <x:c r="I227" s="21" t="str">
        <x:v>OPEN</x:v>
      </x:c>
      <x:c r="J227" s="21" t="n">
        <x:v>0</x:v>
      </x:c>
      <x:c r="K227" s="23" t="str">
        <x:v>serial or ownership change</x:v>
      </x:c>
    </x:row>
    <x:row r="228">
      <x:c r="B228" s="21" t="str">
        <x:v>R222</x:v>
      </x:c>
      <x:c r="C228" s="21" t="str">
        <x:v>STG-S01-A</x:v>
      </x:c>
      <x:c r="D228" s="21" t="str">
        <x:v>STG-S01</x:v>
      </x:c>
      <x:c r="E228" s="21" t="str">
        <x:v>STG-S01-R1</x:v>
      </x:c>
      <x:c r="F228" s="21" t="str">
        <x:v>destructive teardown right</x:v>
      </x:c>
      <x:c r="G228" s="21" t="n">
        <x:v>1</x:v>
      </x:c>
      <x:c r="H228" s="21" t="n">
        <x:v>1</x:v>
      </x:c>
      <x:c r="I228" s="21" t="str">
        <x:v>OPEN</x:v>
      </x:c>
      <x:c r="J228" s="21" t="n">
        <x:v>0</x:v>
      </x:c>
      <x:c r="K228" s="23" t="str">
        <x:v>serial or ownership change</x:v>
      </x:c>
    </x:row>
    <x:row r="229">
      <x:c r="B229" s="21" t="str">
        <x:v>R223</x:v>
      </x:c>
      <x:c r="C229" s="21" t="str">
        <x:v>STG-S01-A</x:v>
      </x:c>
      <x:c r="D229" s="21" t="str">
        <x:v>STG-S01</x:v>
      </x:c>
      <x:c r="E229" s="21" t="str">
        <x:v>STG-S01-R1</x:v>
      </x:c>
      <x:c r="F229" s="21" t="str">
        <x:v>second-team reproduction right</x:v>
      </x:c>
      <x:c r="G229" s="21" t="n">
        <x:v>1</x:v>
      </x:c>
      <x:c r="H229" s="21" t="n">
        <x:v>1</x:v>
      </x:c>
      <x:c r="I229" s="21" t="str">
        <x:v>OPEN</x:v>
      </x:c>
      <x:c r="J229" s="21" t="n">
        <x:v>0</x:v>
      </x:c>
      <x:c r="K229" s="23" t="str">
        <x:v>serial or ownership change</x:v>
      </x:c>
    </x:row>
    <x:row r="230">
      <x:c r="B230" s="21" t="str">
        <x:v>R224</x:v>
      </x:c>
      <x:c r="C230" s="21" t="str">
        <x:v>STG-S01-A</x:v>
      </x:c>
      <x:c r="D230" s="21" t="str">
        <x:v>STG-S01</x:v>
      </x:c>
      <x:c r="E230" s="21" t="str">
        <x:v>STG-S01-R1</x:v>
      </x:c>
      <x:c r="F230" s="21" t="str">
        <x:v>perpetual interface and evidence-data right</x:v>
      </x:c>
      <x:c r="G230" s="21" t="n">
        <x:v>1</x:v>
      </x:c>
      <x:c r="H230" s="21" t="n">
        <x:v>1</x:v>
      </x:c>
      <x:c r="I230" s="21" t="str">
        <x:v>OPEN</x:v>
      </x:c>
      <x:c r="J230" s="21" t="n">
        <x:v>0</x:v>
      </x:c>
      <x:c r="K230" s="23" t="str">
        <x:v>serial or ownership change</x:v>
      </x:c>
    </x:row>
    <x:row r="231">
      <x:c r="B231" s="21" t="str">
        <x:v>R225</x:v>
      </x:c>
      <x:c r="C231" s="21" t="str">
        <x:v>STG-S01-B</x:v>
      </x:c>
      <x:c r="D231" s="21" t="str">
        <x:v>STG-S01</x:v>
      </x:c>
      <x:c r="E231" s="21" t="str">
        <x:v>STG-S01-R2</x:v>
      </x:c>
      <x:c r="F231" s="21" t="str">
        <x:v>complete bill of materials</x:v>
      </x:c>
      <x:c r="G231" s="21" t="n">
        <x:v>1</x:v>
      </x:c>
      <x:c r="H231" s="21" t="n">
        <x:v>1</x:v>
      </x:c>
      <x:c r="I231" s="21" t="str">
        <x:v>OPEN</x:v>
      </x:c>
      <x:c r="J231" s="21" t="n">
        <x:v>0</x:v>
      </x:c>
      <x:c r="K231" s="23" t="str">
        <x:v>serial or ownership change</x:v>
      </x:c>
    </x:row>
    <x:row r="232">
      <x:c r="B232" s="21" t="str">
        <x:v>R226</x:v>
      </x:c>
      <x:c r="C232" s="21" t="str">
        <x:v>STG-S01-B</x:v>
      </x:c>
      <x:c r="D232" s="21" t="str">
        <x:v>STG-S01</x:v>
      </x:c>
      <x:c r="E232" s="21" t="str">
        <x:v>STG-S01-R2</x:v>
      </x:c>
      <x:c r="F232" s="21" t="str">
        <x:v>bill of process and facility identity</x:v>
      </x:c>
      <x:c r="G232" s="21" t="n">
        <x:v>1</x:v>
      </x:c>
      <x:c r="H232" s="21" t="n">
        <x:v>1</x:v>
      </x:c>
      <x:c r="I232" s="21" t="str">
        <x:v>OPEN</x:v>
      </x:c>
      <x:c r="J232" s="21" t="n">
        <x:v>0</x:v>
      </x:c>
      <x:c r="K232" s="23" t="str">
        <x:v>serial or ownership change</x:v>
      </x:c>
    </x:row>
    <x:row r="233">
      <x:c r="B233" s="21" t="str">
        <x:v>R227</x:v>
      </x:c>
      <x:c r="C233" s="21" t="str">
        <x:v>STG-S01-B</x:v>
      </x:c>
      <x:c r="D233" s="21" t="str">
        <x:v>STG-S01</x:v>
      </x:c>
      <x:c r="E233" s="21" t="str">
        <x:v>STG-S01-R2</x:v>
      </x:c>
      <x:c r="F233" s="21" t="str">
        <x:v>firmware source and software bill of materials</x:v>
      </x:c>
      <x:c r="G233" s="21" t="n">
        <x:v>1</x:v>
      </x:c>
      <x:c r="H233" s="21" t="n">
        <x:v>1</x:v>
      </x:c>
      <x:c r="I233" s="21" t="str">
        <x:v>OPEN</x:v>
      </x:c>
      <x:c r="J233" s="21" t="n">
        <x:v>0</x:v>
      </x:c>
      <x:c r="K233" s="23" t="str">
        <x:v>serial or ownership change</x:v>
      </x:c>
    </x:row>
    <x:row r="234">
      <x:c r="B234" s="21" t="str">
        <x:v>R228</x:v>
      </x:c>
      <x:c r="C234" s="21" t="str">
        <x:v>STG-S01-B</x:v>
      </x:c>
      <x:c r="D234" s="21" t="str">
        <x:v>STG-S01</x:v>
      </x:c>
      <x:c r="E234" s="21" t="str">
        <x:v>STG-S01-R2</x:v>
      </x:c>
      <x:c r="F234" s="21" t="str">
        <x:v>ownership and beneficial-control map</x:v>
      </x:c>
      <x:c r="G234" s="21" t="n">
        <x:v>1</x:v>
      </x:c>
      <x:c r="H234" s="21" t="n">
        <x:v>1</x:v>
      </x:c>
      <x:c r="I234" s="21" t="str">
        <x:v>OPEN</x:v>
      </x:c>
      <x:c r="J234" s="21" t="n">
        <x:v>0</x:v>
      </x:c>
      <x:c r="K234" s="23" t="str">
        <x:v>serial or ownership change</x:v>
      </x:c>
    </x:row>
    <x:row r="235">
      <x:c r="B235" s="21" t="str">
        <x:v>R229</x:v>
      </x:c>
      <x:c r="C235" s="21" t="str">
        <x:v>STG-S01-B</x:v>
      </x:c>
      <x:c r="D235" s="21" t="str">
        <x:v>STG-S01</x:v>
      </x:c>
      <x:c r="E235" s="21" t="str">
        <x:v>STG-S01-R2</x:v>
      </x:c>
      <x:c r="F235" s="21" t="str">
        <x:v>calibration genealogy</x:v>
      </x:c>
      <x:c r="G235" s="21" t="n">
        <x:v>1</x:v>
      </x:c>
      <x:c r="H235" s="21" t="n">
        <x:v>1</x:v>
      </x:c>
      <x:c r="I235" s="21" t="str">
        <x:v>OPEN</x:v>
      </x:c>
      <x:c r="J235" s="21" t="n">
        <x:v>0</x:v>
      </x:c>
      <x:c r="K235" s="23" t="str">
        <x:v>serial or ownership change</x:v>
      </x:c>
    </x:row>
    <x:row r="236">
      <x:c r="B236" s="21" t="str">
        <x:v>R230</x:v>
      </x:c>
      <x:c r="C236" s="21" t="str">
        <x:v>STG-S01-B</x:v>
      </x:c>
      <x:c r="D236" s="21" t="str">
        <x:v>STG-S01</x:v>
      </x:c>
      <x:c r="E236" s="21" t="str">
        <x:v>STG-S01-R2</x:v>
      </x:c>
      <x:c r="F236" s="21" t="str">
        <x:v>destructive teardown right</x:v>
      </x:c>
      <x:c r="G236" s="21" t="n">
        <x:v>1</x:v>
      </x:c>
      <x:c r="H236" s="21" t="n">
        <x:v>1</x:v>
      </x:c>
      <x:c r="I236" s="21" t="str">
        <x:v>OPEN</x:v>
      </x:c>
      <x:c r="J236" s="21" t="n">
        <x:v>0</x:v>
      </x:c>
      <x:c r="K236" s="23" t="str">
        <x:v>serial or ownership change</x:v>
      </x:c>
    </x:row>
    <x:row r="237">
      <x:c r="B237" s="21" t="str">
        <x:v>R231</x:v>
      </x:c>
      <x:c r="C237" s="21" t="str">
        <x:v>STG-S01-B</x:v>
      </x:c>
      <x:c r="D237" s="21" t="str">
        <x:v>STG-S01</x:v>
      </x:c>
      <x:c r="E237" s="21" t="str">
        <x:v>STG-S01-R2</x:v>
      </x:c>
      <x:c r="F237" s="21" t="str">
        <x:v>second-team reproduction right</x:v>
      </x:c>
      <x:c r="G237" s="21" t="n">
        <x:v>1</x:v>
      </x:c>
      <x:c r="H237" s="21" t="n">
        <x:v>1</x:v>
      </x:c>
      <x:c r="I237" s="21" t="str">
        <x:v>OPEN</x:v>
      </x:c>
      <x:c r="J237" s="21" t="n">
        <x:v>0</x:v>
      </x:c>
      <x:c r="K237" s="23" t="str">
        <x:v>serial or ownership change</x:v>
      </x:c>
    </x:row>
    <x:row r="238">
      <x:c r="B238" s="21" t="str">
        <x:v>R232</x:v>
      </x:c>
      <x:c r="C238" s="21" t="str">
        <x:v>STG-S01-B</x:v>
      </x:c>
      <x:c r="D238" s="21" t="str">
        <x:v>STG-S01</x:v>
      </x:c>
      <x:c r="E238" s="21" t="str">
        <x:v>STG-S01-R2</x:v>
      </x:c>
      <x:c r="F238" s="21" t="str">
        <x:v>perpetual interface and evidence-data right</x:v>
      </x:c>
      <x:c r="G238" s="21" t="n">
        <x:v>1</x:v>
      </x:c>
      <x:c r="H238" s="21" t="n">
        <x:v>1</x:v>
      </x:c>
      <x:c r="I238" s="21" t="str">
        <x:v>OPEN</x:v>
      </x:c>
      <x:c r="J238" s="21" t="n">
        <x:v>0</x:v>
      </x:c>
      <x:c r="K238" s="23" t="str">
        <x:v>serial or ownership change</x:v>
      </x:c>
    </x:row>
    <x:row r="239">
      <x:c r="B239" s="21" t="str">
        <x:v>R233</x:v>
      </x:c>
      <x:c r="C239" s="21" t="str">
        <x:v>STG-S01-C</x:v>
      </x:c>
      <x:c r="D239" s="21" t="str">
        <x:v>STG-S01</x:v>
      </x:c>
      <x:c r="E239" s="21" t="str">
        <x:v>STG-S01-R3</x:v>
      </x:c>
      <x:c r="F239" s="21" t="str">
        <x:v>complete bill of materials</x:v>
      </x:c>
      <x:c r="G239" s="21" t="n">
        <x:v>1</x:v>
      </x:c>
      <x:c r="H239" s="21" t="n">
        <x:v>1</x:v>
      </x:c>
      <x:c r="I239" s="21" t="str">
        <x:v>OPEN</x:v>
      </x:c>
      <x:c r="J239" s="21" t="n">
        <x:v>0</x:v>
      </x:c>
      <x:c r="K239" s="23" t="str">
        <x:v>serial or ownership change</x:v>
      </x:c>
    </x:row>
    <x:row r="240">
      <x:c r="B240" s="21" t="str">
        <x:v>R234</x:v>
      </x:c>
      <x:c r="C240" s="21" t="str">
        <x:v>STG-S01-C</x:v>
      </x:c>
      <x:c r="D240" s="21" t="str">
        <x:v>STG-S01</x:v>
      </x:c>
      <x:c r="E240" s="21" t="str">
        <x:v>STG-S01-R3</x:v>
      </x:c>
      <x:c r="F240" s="21" t="str">
        <x:v>bill of process and facility identity</x:v>
      </x:c>
      <x:c r="G240" s="21" t="n">
        <x:v>1</x:v>
      </x:c>
      <x:c r="H240" s="21" t="n">
        <x:v>1</x:v>
      </x:c>
      <x:c r="I240" s="21" t="str">
        <x:v>OPEN</x:v>
      </x:c>
      <x:c r="J240" s="21" t="n">
        <x:v>0</x:v>
      </x:c>
      <x:c r="K240" s="23" t="str">
        <x:v>serial or ownership change</x:v>
      </x:c>
    </x:row>
    <x:row r="241">
      <x:c r="B241" s="21" t="str">
        <x:v>R235</x:v>
      </x:c>
      <x:c r="C241" s="21" t="str">
        <x:v>STG-S01-C</x:v>
      </x:c>
      <x:c r="D241" s="21" t="str">
        <x:v>STG-S01</x:v>
      </x:c>
      <x:c r="E241" s="21" t="str">
        <x:v>STG-S01-R3</x:v>
      </x:c>
      <x:c r="F241" s="21" t="str">
        <x:v>firmware source and software bill of materials</x:v>
      </x:c>
      <x:c r="G241" s="21" t="n">
        <x:v>1</x:v>
      </x:c>
      <x:c r="H241" s="21" t="n">
        <x:v>1</x:v>
      </x:c>
      <x:c r="I241" s="21" t="str">
        <x:v>OPEN</x:v>
      </x:c>
      <x:c r="J241" s="21" t="n">
        <x:v>0</x:v>
      </x:c>
      <x:c r="K241" s="23" t="str">
        <x:v>serial or ownership change</x:v>
      </x:c>
    </x:row>
    <x:row r="242">
      <x:c r="B242" s="21" t="str">
        <x:v>R236</x:v>
      </x:c>
      <x:c r="C242" s="21" t="str">
        <x:v>STG-S01-C</x:v>
      </x:c>
      <x:c r="D242" s="21" t="str">
        <x:v>STG-S01</x:v>
      </x:c>
      <x:c r="E242" s="21" t="str">
        <x:v>STG-S01-R3</x:v>
      </x:c>
      <x:c r="F242" s="21" t="str">
        <x:v>ownership and beneficial-control map</x:v>
      </x:c>
      <x:c r="G242" s="21" t="n">
        <x:v>1</x:v>
      </x:c>
      <x:c r="H242" s="21" t="n">
        <x:v>1</x:v>
      </x:c>
      <x:c r="I242" s="21" t="str">
        <x:v>OPEN</x:v>
      </x:c>
      <x:c r="J242" s="21" t="n">
        <x:v>0</x:v>
      </x:c>
      <x:c r="K242" s="23" t="str">
        <x:v>serial or ownership change</x:v>
      </x:c>
    </x:row>
    <x:row r="243">
      <x:c r="B243" s="21" t="str">
        <x:v>R237</x:v>
      </x:c>
      <x:c r="C243" s="21" t="str">
        <x:v>STG-S01-C</x:v>
      </x:c>
      <x:c r="D243" s="21" t="str">
        <x:v>STG-S01</x:v>
      </x:c>
      <x:c r="E243" s="21" t="str">
        <x:v>STG-S01-R3</x:v>
      </x:c>
      <x:c r="F243" s="21" t="str">
        <x:v>calibration genealogy</x:v>
      </x:c>
      <x:c r="G243" s="21" t="n">
        <x:v>1</x:v>
      </x:c>
      <x:c r="H243" s="21" t="n">
        <x:v>1</x:v>
      </x:c>
      <x:c r="I243" s="21" t="str">
        <x:v>OPEN</x:v>
      </x:c>
      <x:c r="J243" s="21" t="n">
        <x:v>0</x:v>
      </x:c>
      <x:c r="K243" s="23" t="str">
        <x:v>serial or ownership change</x:v>
      </x:c>
    </x:row>
    <x:row r="244">
      <x:c r="B244" s="21" t="str">
        <x:v>R238</x:v>
      </x:c>
      <x:c r="C244" s="21" t="str">
        <x:v>STG-S01-C</x:v>
      </x:c>
      <x:c r="D244" s="21" t="str">
        <x:v>STG-S01</x:v>
      </x:c>
      <x:c r="E244" s="21" t="str">
        <x:v>STG-S01-R3</x:v>
      </x:c>
      <x:c r="F244" s="21" t="str">
        <x:v>destructive teardown right</x:v>
      </x:c>
      <x:c r="G244" s="21" t="n">
        <x:v>1</x:v>
      </x:c>
      <x:c r="H244" s="21" t="n">
        <x:v>1</x:v>
      </x:c>
      <x:c r="I244" s="21" t="str">
        <x:v>OPEN</x:v>
      </x:c>
      <x:c r="J244" s="21" t="n">
        <x:v>0</x:v>
      </x:c>
      <x:c r="K244" s="23" t="str">
        <x:v>serial or ownership change</x:v>
      </x:c>
    </x:row>
    <x:row r="245">
      <x:c r="B245" s="21" t="str">
        <x:v>R239</x:v>
      </x:c>
      <x:c r="C245" s="21" t="str">
        <x:v>STG-S01-C</x:v>
      </x:c>
      <x:c r="D245" s="21" t="str">
        <x:v>STG-S01</x:v>
      </x:c>
      <x:c r="E245" s="21" t="str">
        <x:v>STG-S01-R3</x:v>
      </x:c>
      <x:c r="F245" s="21" t="str">
        <x:v>second-team reproduction right</x:v>
      </x:c>
      <x:c r="G245" s="21" t="n">
        <x:v>1</x:v>
      </x:c>
      <x:c r="H245" s="21" t="n">
        <x:v>1</x:v>
      </x:c>
      <x:c r="I245" s="21" t="str">
        <x:v>OPEN</x:v>
      </x:c>
      <x:c r="J245" s="21" t="n">
        <x:v>0</x:v>
      </x:c>
      <x:c r="K245" s="23" t="str">
        <x:v>serial or ownership change</x:v>
      </x:c>
    </x:row>
    <x:row r="246">
      <x:c r="B246" s="21" t="str">
        <x:v>R240</x:v>
      </x:c>
      <x:c r="C246" s="21" t="str">
        <x:v>STG-S01-C</x:v>
      </x:c>
      <x:c r="D246" s="21" t="str">
        <x:v>STG-S01</x:v>
      </x:c>
      <x:c r="E246" s="21" t="str">
        <x:v>STG-S01-R3</x:v>
      </x:c>
      <x:c r="F246" s="21" t="str">
        <x:v>perpetual interface and evidence-data right</x:v>
      </x:c>
      <x:c r="G246" s="21" t="n">
        <x:v>1</x:v>
      </x:c>
      <x:c r="H246" s="21" t="n">
        <x:v>1</x:v>
      </x:c>
      <x:c r="I246" s="21" t="str">
        <x:v>OPEN</x:v>
      </x:c>
      <x:c r="J246" s="21" t="n">
        <x:v>0</x:v>
      </x:c>
      <x:c r="K246" s="23" t="str">
        <x:v>serial or ownership change</x:v>
      </x:c>
    </x:row>
    <x:row r="247">
      <x:c r="B247" s="21" t="str">
        <x:v>R241</x:v>
      </x:c>
      <x:c r="C247" s="21" t="str">
        <x:v>MHE-E01-A</x:v>
      </x:c>
      <x:c r="D247" s="21" t="str">
        <x:v>MHE-E01</x:v>
      </x:c>
      <x:c r="E247" s="21" t="str">
        <x:v>MHE-E01-R1</x:v>
      </x:c>
      <x:c r="F247" s="21" t="str">
        <x:v>complete bill of materials</x:v>
      </x:c>
      <x:c r="G247" s="21" t="n">
        <x:v>1</x:v>
      </x:c>
      <x:c r="H247" s="21" t="n">
        <x:v>1</x:v>
      </x:c>
      <x:c r="I247" s="21" t="str">
        <x:v>OPEN</x:v>
      </x:c>
      <x:c r="J247" s="21" t="n">
        <x:v>0</x:v>
      </x:c>
      <x:c r="K247" s="23" t="str">
        <x:v>serial or ownership change</x:v>
      </x:c>
    </x:row>
    <x:row r="248">
      <x:c r="B248" s="21" t="str">
        <x:v>R242</x:v>
      </x:c>
      <x:c r="C248" s="21" t="str">
        <x:v>MHE-E01-A</x:v>
      </x:c>
      <x:c r="D248" s="21" t="str">
        <x:v>MHE-E01</x:v>
      </x:c>
      <x:c r="E248" s="21" t="str">
        <x:v>MHE-E01-R1</x:v>
      </x:c>
      <x:c r="F248" s="21" t="str">
        <x:v>bill of process and facility identity</x:v>
      </x:c>
      <x:c r="G248" s="21" t="n">
        <x:v>1</x:v>
      </x:c>
      <x:c r="H248" s="21" t="n">
        <x:v>1</x:v>
      </x:c>
      <x:c r="I248" s="21" t="str">
        <x:v>OPEN</x:v>
      </x:c>
      <x:c r="J248" s="21" t="n">
        <x:v>0</x:v>
      </x:c>
      <x:c r="K248" s="23" t="str">
        <x:v>serial or ownership change</x:v>
      </x:c>
    </x:row>
    <x:row r="249">
      <x:c r="B249" s="21" t="str">
        <x:v>R243</x:v>
      </x:c>
      <x:c r="C249" s="21" t="str">
        <x:v>MHE-E01-A</x:v>
      </x:c>
      <x:c r="D249" s="21" t="str">
        <x:v>MHE-E01</x:v>
      </x:c>
      <x:c r="E249" s="21" t="str">
        <x:v>MHE-E01-R1</x:v>
      </x:c>
      <x:c r="F249" s="21" t="str">
        <x:v>firmware source and software bill of materials</x:v>
      </x:c>
      <x:c r="G249" s="21" t="n">
        <x:v>1</x:v>
      </x:c>
      <x:c r="H249" s="21" t="n">
        <x:v>1</x:v>
      </x:c>
      <x:c r="I249" s="21" t="str">
        <x:v>OPEN</x:v>
      </x:c>
      <x:c r="J249" s="21" t="n">
        <x:v>0</x:v>
      </x:c>
      <x:c r="K249" s="23" t="str">
        <x:v>serial or ownership change</x:v>
      </x:c>
    </x:row>
    <x:row r="250">
      <x:c r="B250" s="21" t="str">
        <x:v>R244</x:v>
      </x:c>
      <x:c r="C250" s="21" t="str">
        <x:v>MHE-E01-A</x:v>
      </x:c>
      <x:c r="D250" s="21" t="str">
        <x:v>MHE-E01</x:v>
      </x:c>
      <x:c r="E250" s="21" t="str">
        <x:v>MHE-E01-R1</x:v>
      </x:c>
      <x:c r="F250" s="21" t="str">
        <x:v>ownership and beneficial-control map</x:v>
      </x:c>
      <x:c r="G250" s="21" t="n">
        <x:v>1</x:v>
      </x:c>
      <x:c r="H250" s="21" t="n">
        <x:v>1</x:v>
      </x:c>
      <x:c r="I250" s="21" t="str">
        <x:v>OPEN</x:v>
      </x:c>
      <x:c r="J250" s="21" t="n">
        <x:v>0</x:v>
      </x:c>
      <x:c r="K250" s="23" t="str">
        <x:v>serial or ownership change</x:v>
      </x:c>
    </x:row>
    <x:row r="251">
      <x:c r="B251" s="21" t="str">
        <x:v>R245</x:v>
      </x:c>
      <x:c r="C251" s="21" t="str">
        <x:v>MHE-E01-A</x:v>
      </x:c>
      <x:c r="D251" s="21" t="str">
        <x:v>MHE-E01</x:v>
      </x:c>
      <x:c r="E251" s="21" t="str">
        <x:v>MHE-E01-R1</x:v>
      </x:c>
      <x:c r="F251" s="21" t="str">
        <x:v>calibration genealogy</x:v>
      </x:c>
      <x:c r="G251" s="21" t="n">
        <x:v>1</x:v>
      </x:c>
      <x:c r="H251" s="21" t="n">
        <x:v>1</x:v>
      </x:c>
      <x:c r="I251" s="21" t="str">
        <x:v>OPEN</x:v>
      </x:c>
      <x:c r="J251" s="21" t="n">
        <x:v>0</x:v>
      </x:c>
      <x:c r="K251" s="23" t="str">
        <x:v>serial or ownership change</x:v>
      </x:c>
    </x:row>
    <x:row r="252">
      <x:c r="B252" s="21" t="str">
        <x:v>R246</x:v>
      </x:c>
      <x:c r="C252" s="21" t="str">
        <x:v>MHE-E01-A</x:v>
      </x:c>
      <x:c r="D252" s="21" t="str">
        <x:v>MHE-E01</x:v>
      </x:c>
      <x:c r="E252" s="21" t="str">
        <x:v>MHE-E01-R1</x:v>
      </x:c>
      <x:c r="F252" s="21" t="str">
        <x:v>destructive teardown right</x:v>
      </x:c>
      <x:c r="G252" s="21" t="n">
        <x:v>1</x:v>
      </x:c>
      <x:c r="H252" s="21" t="n">
        <x:v>1</x:v>
      </x:c>
      <x:c r="I252" s="21" t="str">
        <x:v>OPEN</x:v>
      </x:c>
      <x:c r="J252" s="21" t="n">
        <x:v>0</x:v>
      </x:c>
      <x:c r="K252" s="23" t="str">
        <x:v>serial or ownership change</x:v>
      </x:c>
    </x:row>
    <x:row r="253">
      <x:c r="B253" s="21" t="str">
        <x:v>R247</x:v>
      </x:c>
      <x:c r="C253" s="21" t="str">
        <x:v>MHE-E01-A</x:v>
      </x:c>
      <x:c r="D253" s="21" t="str">
        <x:v>MHE-E01</x:v>
      </x:c>
      <x:c r="E253" s="21" t="str">
        <x:v>MHE-E01-R1</x:v>
      </x:c>
      <x:c r="F253" s="21" t="str">
        <x:v>second-team reproduction right</x:v>
      </x:c>
      <x:c r="G253" s="21" t="n">
        <x:v>1</x:v>
      </x:c>
      <x:c r="H253" s="21" t="n">
        <x:v>1</x:v>
      </x:c>
      <x:c r="I253" s="21" t="str">
        <x:v>OPEN</x:v>
      </x:c>
      <x:c r="J253" s="21" t="n">
        <x:v>0</x:v>
      </x:c>
      <x:c r="K253" s="23" t="str">
        <x:v>serial or ownership change</x:v>
      </x:c>
    </x:row>
    <x:row r="254">
      <x:c r="B254" s="21" t="str">
        <x:v>R248</x:v>
      </x:c>
      <x:c r="C254" s="21" t="str">
        <x:v>MHE-E01-A</x:v>
      </x:c>
      <x:c r="D254" s="21" t="str">
        <x:v>MHE-E01</x:v>
      </x:c>
      <x:c r="E254" s="21" t="str">
        <x:v>MHE-E01-R1</x:v>
      </x:c>
      <x:c r="F254" s="21" t="str">
        <x:v>perpetual interface and evidence-data right</x:v>
      </x:c>
      <x:c r="G254" s="21" t="n">
        <x:v>1</x:v>
      </x:c>
      <x:c r="H254" s="21" t="n">
        <x:v>1</x:v>
      </x:c>
      <x:c r="I254" s="21" t="str">
        <x:v>OPEN</x:v>
      </x:c>
      <x:c r="J254" s="21" t="n">
        <x:v>0</x:v>
      </x:c>
      <x:c r="K254" s="23" t="str">
        <x:v>serial or ownership change</x:v>
      </x:c>
    </x:row>
    <x:row r="255">
      <x:c r="B255" s="21" t="str">
        <x:v>R249</x:v>
      </x:c>
      <x:c r="C255" s="21" t="str">
        <x:v>MHE-E01-B</x:v>
      </x:c>
      <x:c r="D255" s="21" t="str">
        <x:v>MHE-E01</x:v>
      </x:c>
      <x:c r="E255" s="21" t="str">
        <x:v>MHE-E01-R2</x:v>
      </x:c>
      <x:c r="F255" s="21" t="str">
        <x:v>complete bill of materials</x:v>
      </x:c>
      <x:c r="G255" s="21" t="n">
        <x:v>1</x:v>
      </x:c>
      <x:c r="H255" s="21" t="n">
        <x:v>1</x:v>
      </x:c>
      <x:c r="I255" s="21" t="str">
        <x:v>OPEN</x:v>
      </x:c>
      <x:c r="J255" s="21" t="n">
        <x:v>0</x:v>
      </x:c>
      <x:c r="K255" s="23" t="str">
        <x:v>serial or ownership change</x:v>
      </x:c>
    </x:row>
    <x:row r="256">
      <x:c r="B256" s="21" t="str">
        <x:v>R250</x:v>
      </x:c>
      <x:c r="C256" s="21" t="str">
        <x:v>MHE-E01-B</x:v>
      </x:c>
      <x:c r="D256" s="21" t="str">
        <x:v>MHE-E01</x:v>
      </x:c>
      <x:c r="E256" s="21" t="str">
        <x:v>MHE-E01-R2</x:v>
      </x:c>
      <x:c r="F256" s="21" t="str">
        <x:v>bill of process and facility identity</x:v>
      </x:c>
      <x:c r="G256" s="21" t="n">
        <x:v>1</x:v>
      </x:c>
      <x:c r="H256" s="21" t="n">
        <x:v>1</x:v>
      </x:c>
      <x:c r="I256" s="21" t="str">
        <x:v>OPEN</x:v>
      </x:c>
      <x:c r="J256" s="21" t="n">
        <x:v>0</x:v>
      </x:c>
      <x:c r="K256" s="23" t="str">
        <x:v>serial or ownership change</x:v>
      </x:c>
    </x:row>
    <x:row r="257">
      <x:c r="B257" s="21" t="str">
        <x:v>R251</x:v>
      </x:c>
      <x:c r="C257" s="21" t="str">
        <x:v>MHE-E01-B</x:v>
      </x:c>
      <x:c r="D257" s="21" t="str">
        <x:v>MHE-E01</x:v>
      </x:c>
      <x:c r="E257" s="21" t="str">
        <x:v>MHE-E01-R2</x:v>
      </x:c>
      <x:c r="F257" s="21" t="str">
        <x:v>firmware source and software bill of materials</x:v>
      </x:c>
      <x:c r="G257" s="21" t="n">
        <x:v>1</x:v>
      </x:c>
      <x:c r="H257" s="21" t="n">
        <x:v>1</x:v>
      </x:c>
      <x:c r="I257" s="21" t="str">
        <x:v>OPEN</x:v>
      </x:c>
      <x:c r="J257" s="21" t="n">
        <x:v>0</x:v>
      </x:c>
      <x:c r="K257" s="23" t="str">
        <x:v>serial or ownership change</x:v>
      </x:c>
    </x:row>
    <x:row r="258">
      <x:c r="B258" s="21" t="str">
        <x:v>R252</x:v>
      </x:c>
      <x:c r="C258" s="21" t="str">
        <x:v>MHE-E01-B</x:v>
      </x:c>
      <x:c r="D258" s="21" t="str">
        <x:v>MHE-E01</x:v>
      </x:c>
      <x:c r="E258" s="21" t="str">
        <x:v>MHE-E01-R2</x:v>
      </x:c>
      <x:c r="F258" s="21" t="str">
        <x:v>ownership and beneficial-control map</x:v>
      </x:c>
      <x:c r="G258" s="21" t="n">
        <x:v>1</x:v>
      </x:c>
      <x:c r="H258" s="21" t="n">
        <x:v>1</x:v>
      </x:c>
      <x:c r="I258" s="21" t="str">
        <x:v>OPEN</x:v>
      </x:c>
      <x:c r="J258" s="21" t="n">
        <x:v>0</x:v>
      </x:c>
      <x:c r="K258" s="23" t="str">
        <x:v>serial or ownership change</x:v>
      </x:c>
    </x:row>
    <x:row r="259">
      <x:c r="B259" s="21" t="str">
        <x:v>R253</x:v>
      </x:c>
      <x:c r="C259" s="21" t="str">
        <x:v>MHE-E01-B</x:v>
      </x:c>
      <x:c r="D259" s="21" t="str">
        <x:v>MHE-E01</x:v>
      </x:c>
      <x:c r="E259" s="21" t="str">
        <x:v>MHE-E01-R2</x:v>
      </x:c>
      <x:c r="F259" s="21" t="str">
        <x:v>calibration genealogy</x:v>
      </x:c>
      <x:c r="G259" s="21" t="n">
        <x:v>1</x:v>
      </x:c>
      <x:c r="H259" s="21" t="n">
        <x:v>1</x:v>
      </x:c>
      <x:c r="I259" s="21" t="str">
        <x:v>OPEN</x:v>
      </x:c>
      <x:c r="J259" s="21" t="n">
        <x:v>0</x:v>
      </x:c>
      <x:c r="K259" s="23" t="str">
        <x:v>serial or ownership change</x:v>
      </x:c>
    </x:row>
    <x:row r="260">
      <x:c r="B260" s="21" t="str">
        <x:v>R254</x:v>
      </x:c>
      <x:c r="C260" s="21" t="str">
        <x:v>MHE-E01-B</x:v>
      </x:c>
      <x:c r="D260" s="21" t="str">
        <x:v>MHE-E01</x:v>
      </x:c>
      <x:c r="E260" s="21" t="str">
        <x:v>MHE-E01-R2</x:v>
      </x:c>
      <x:c r="F260" s="21" t="str">
        <x:v>destructive teardown right</x:v>
      </x:c>
      <x:c r="G260" s="21" t="n">
        <x:v>1</x:v>
      </x:c>
      <x:c r="H260" s="21" t="n">
        <x:v>1</x:v>
      </x:c>
      <x:c r="I260" s="21" t="str">
        <x:v>OPEN</x:v>
      </x:c>
      <x:c r="J260" s="21" t="n">
        <x:v>0</x:v>
      </x:c>
      <x:c r="K260" s="23" t="str">
        <x:v>serial or ownership change</x:v>
      </x:c>
    </x:row>
    <x:row r="261">
      <x:c r="B261" s="21" t="str">
        <x:v>R255</x:v>
      </x:c>
      <x:c r="C261" s="21" t="str">
        <x:v>MHE-E01-B</x:v>
      </x:c>
      <x:c r="D261" s="21" t="str">
        <x:v>MHE-E01</x:v>
      </x:c>
      <x:c r="E261" s="21" t="str">
        <x:v>MHE-E01-R2</x:v>
      </x:c>
      <x:c r="F261" s="21" t="str">
        <x:v>second-team reproduction right</x:v>
      </x:c>
      <x:c r="G261" s="21" t="n">
        <x:v>1</x:v>
      </x:c>
      <x:c r="H261" s="21" t="n">
        <x:v>1</x:v>
      </x:c>
      <x:c r="I261" s="21" t="str">
        <x:v>OPEN</x:v>
      </x:c>
      <x:c r="J261" s="21" t="n">
        <x:v>0</x:v>
      </x:c>
      <x:c r="K261" s="23" t="str">
        <x:v>serial or ownership change</x:v>
      </x:c>
    </x:row>
    <x:row r="262">
      <x:c r="B262" s="21" t="str">
        <x:v>R256</x:v>
      </x:c>
      <x:c r="C262" s="21" t="str">
        <x:v>MHE-E01-B</x:v>
      </x:c>
      <x:c r="D262" s="21" t="str">
        <x:v>MHE-E01</x:v>
      </x:c>
      <x:c r="E262" s="21" t="str">
        <x:v>MHE-E01-R2</x:v>
      </x:c>
      <x:c r="F262" s="21" t="str">
        <x:v>perpetual interface and evidence-data right</x:v>
      </x:c>
      <x:c r="G262" s="21" t="n">
        <x:v>1</x:v>
      </x:c>
      <x:c r="H262" s="21" t="n">
        <x:v>1</x:v>
      </x:c>
      <x:c r="I262" s="21" t="str">
        <x:v>OPEN</x:v>
      </x:c>
      <x:c r="J262" s="21" t="n">
        <x:v>0</x:v>
      </x:c>
      <x:c r="K262" s="23" t="str">
        <x:v>serial or ownership change</x:v>
      </x:c>
    </x:row>
    <x:row r="263">
      <x:c r="B263" s="21" t="str">
        <x:v>R257</x:v>
      </x:c>
      <x:c r="C263" s="21" t="str">
        <x:v>MHE-E01-C</x:v>
      </x:c>
      <x:c r="D263" s="21" t="str">
        <x:v>MHE-E01</x:v>
      </x:c>
      <x:c r="E263" s="21" t="str">
        <x:v>MHE-E01-R3</x:v>
      </x:c>
      <x:c r="F263" s="21" t="str">
        <x:v>complete bill of materials</x:v>
      </x:c>
      <x:c r="G263" s="21" t="n">
        <x:v>1</x:v>
      </x:c>
      <x:c r="H263" s="21" t="n">
        <x:v>1</x:v>
      </x:c>
      <x:c r="I263" s="21" t="str">
        <x:v>OPEN</x:v>
      </x:c>
      <x:c r="J263" s="21" t="n">
        <x:v>0</x:v>
      </x:c>
      <x:c r="K263" s="23" t="str">
        <x:v>serial or ownership change</x:v>
      </x:c>
    </x:row>
    <x:row r="264">
      <x:c r="B264" s="21" t="str">
        <x:v>R258</x:v>
      </x:c>
      <x:c r="C264" s="21" t="str">
        <x:v>MHE-E01-C</x:v>
      </x:c>
      <x:c r="D264" s="21" t="str">
        <x:v>MHE-E01</x:v>
      </x:c>
      <x:c r="E264" s="21" t="str">
        <x:v>MHE-E01-R3</x:v>
      </x:c>
      <x:c r="F264" s="21" t="str">
        <x:v>bill of process and facility identity</x:v>
      </x:c>
      <x:c r="G264" s="21" t="n">
        <x:v>1</x:v>
      </x:c>
      <x:c r="H264" s="21" t="n">
        <x:v>1</x:v>
      </x:c>
      <x:c r="I264" s="21" t="str">
        <x:v>OPEN</x:v>
      </x:c>
      <x:c r="J264" s="21" t="n">
        <x:v>0</x:v>
      </x:c>
      <x:c r="K264" s="23" t="str">
        <x:v>serial or ownership change</x:v>
      </x:c>
    </x:row>
    <x:row r="265">
      <x:c r="B265" s="21" t="str">
        <x:v>R259</x:v>
      </x:c>
      <x:c r="C265" s="21" t="str">
        <x:v>MHE-E01-C</x:v>
      </x:c>
      <x:c r="D265" s="21" t="str">
        <x:v>MHE-E01</x:v>
      </x:c>
      <x:c r="E265" s="21" t="str">
        <x:v>MHE-E01-R3</x:v>
      </x:c>
      <x:c r="F265" s="21" t="str">
        <x:v>firmware source and software bill of materials</x:v>
      </x:c>
      <x:c r="G265" s="21" t="n">
        <x:v>1</x:v>
      </x:c>
      <x:c r="H265" s="21" t="n">
        <x:v>1</x:v>
      </x:c>
      <x:c r="I265" s="21" t="str">
        <x:v>OPEN</x:v>
      </x:c>
      <x:c r="J265" s="21" t="n">
        <x:v>0</x:v>
      </x:c>
      <x:c r="K265" s="23" t="str">
        <x:v>serial or ownership change</x:v>
      </x:c>
    </x:row>
    <x:row r="266">
      <x:c r="B266" s="21" t="str">
        <x:v>R260</x:v>
      </x:c>
      <x:c r="C266" s="21" t="str">
        <x:v>MHE-E01-C</x:v>
      </x:c>
      <x:c r="D266" s="21" t="str">
        <x:v>MHE-E01</x:v>
      </x:c>
      <x:c r="E266" s="21" t="str">
        <x:v>MHE-E01-R3</x:v>
      </x:c>
      <x:c r="F266" s="21" t="str">
        <x:v>ownership and beneficial-control map</x:v>
      </x:c>
      <x:c r="G266" s="21" t="n">
        <x:v>1</x:v>
      </x:c>
      <x:c r="H266" s="21" t="n">
        <x:v>1</x:v>
      </x:c>
      <x:c r="I266" s="21" t="str">
        <x:v>OPEN</x:v>
      </x:c>
      <x:c r="J266" s="21" t="n">
        <x:v>0</x:v>
      </x:c>
      <x:c r="K266" s="23" t="str">
        <x:v>serial or ownership change</x:v>
      </x:c>
    </x:row>
    <x:row r="267">
      <x:c r="B267" s="21" t="str">
        <x:v>R261</x:v>
      </x:c>
      <x:c r="C267" s="21" t="str">
        <x:v>MHE-E01-C</x:v>
      </x:c>
      <x:c r="D267" s="21" t="str">
        <x:v>MHE-E01</x:v>
      </x:c>
      <x:c r="E267" s="21" t="str">
        <x:v>MHE-E01-R3</x:v>
      </x:c>
      <x:c r="F267" s="21" t="str">
        <x:v>calibration genealogy</x:v>
      </x:c>
      <x:c r="G267" s="21" t="n">
        <x:v>1</x:v>
      </x:c>
      <x:c r="H267" s="21" t="n">
        <x:v>1</x:v>
      </x:c>
      <x:c r="I267" s="21" t="str">
        <x:v>OPEN</x:v>
      </x:c>
      <x:c r="J267" s="21" t="n">
        <x:v>0</x:v>
      </x:c>
      <x:c r="K267" s="23" t="str">
        <x:v>serial or ownership change</x:v>
      </x:c>
    </x:row>
    <x:row r="268">
      <x:c r="B268" s="21" t="str">
        <x:v>R262</x:v>
      </x:c>
      <x:c r="C268" s="21" t="str">
        <x:v>MHE-E01-C</x:v>
      </x:c>
      <x:c r="D268" s="21" t="str">
        <x:v>MHE-E01</x:v>
      </x:c>
      <x:c r="E268" s="21" t="str">
        <x:v>MHE-E01-R3</x:v>
      </x:c>
      <x:c r="F268" s="21" t="str">
        <x:v>destructive teardown right</x:v>
      </x:c>
      <x:c r="G268" s="21" t="n">
        <x:v>1</x:v>
      </x:c>
      <x:c r="H268" s="21" t="n">
        <x:v>1</x:v>
      </x:c>
      <x:c r="I268" s="21" t="str">
        <x:v>OPEN</x:v>
      </x:c>
      <x:c r="J268" s="21" t="n">
        <x:v>0</x:v>
      </x:c>
      <x:c r="K268" s="23" t="str">
        <x:v>serial or ownership change</x:v>
      </x:c>
    </x:row>
    <x:row r="269">
      <x:c r="B269" s="21" t="str">
        <x:v>R263</x:v>
      </x:c>
      <x:c r="C269" s="21" t="str">
        <x:v>MHE-E01-C</x:v>
      </x:c>
      <x:c r="D269" s="21" t="str">
        <x:v>MHE-E01</x:v>
      </x:c>
      <x:c r="E269" s="21" t="str">
        <x:v>MHE-E01-R3</x:v>
      </x:c>
      <x:c r="F269" s="21" t="str">
        <x:v>second-team reproduction right</x:v>
      </x:c>
      <x:c r="G269" s="21" t="n">
        <x:v>1</x:v>
      </x:c>
      <x:c r="H269" s="21" t="n">
        <x:v>1</x:v>
      </x:c>
      <x:c r="I269" s="21" t="str">
        <x:v>OPEN</x:v>
      </x:c>
      <x:c r="J269" s="21" t="n">
        <x:v>0</x:v>
      </x:c>
      <x:c r="K269" s="23" t="str">
        <x:v>serial or ownership change</x:v>
      </x:c>
    </x:row>
    <x:row r="270">
      <x:c r="B270" s="24" t="str">
        <x:v>R264</x:v>
      </x:c>
      <x:c r="C270" s="24" t="str">
        <x:v>MHE-E01-C</x:v>
      </x:c>
      <x:c r="D270" s="24" t="str">
        <x:v>MHE-E01</x:v>
      </x:c>
      <x:c r="E270" s="24" t="str">
        <x:v>MHE-E01-R3</x:v>
      </x:c>
      <x:c r="F270" s="24" t="str">
        <x:v>perpetual interface and evidence-data right</x:v>
      </x:c>
      <x:c r="G270" s="24" t="n">
        <x:v>1</x:v>
      </x:c>
      <x:c r="H270" s="24" t="n">
        <x:v>1</x:v>
      </x:c>
      <x:c r="I270" s="24" t="str">
        <x:v>OPEN</x:v>
      </x:c>
      <x:c r="J270" s="24" t="n">
        <x:v>0</x:v>
      </x:c>
      <x:c r="K270" s="26" t="str">
        <x:v>serial or ownership change</x:v>
      </x:c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</x:row>
  </x:sheetData>
  <x:mergeCells>
    <x:mergeCell ref="B3:K3"/>
  </x:mergeCells>
  <x:conditionalFormatting sqref="I7:I270">
    <x:cfRule type="containsText" dxfId="35" priority="1" operator="containsText" text="OPEN"/>
    <x:cfRule type="containsText" dxfId="36" priority="2" operator="containsText" text="HOLD"/>
    <x:cfRule type="containsText" dxfId="37" priority="3" operator="containsText" text="BLOCKED"/>
    <x:cfRule type="containsText" dxfId="38" priority="4" operator="containsText" text="CHALLENGE ONLY"/>
    <x:cfRule type="containsText" dxfId="39" priority="5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14" hidden="0" customWidth="1"/>
    <x:col min="4" max="4" width="25" hidden="0" customWidth="1"/>
    <x:col min="5" max="5" width="18" hidden="0" customWidth="1"/>
    <x:col min="6" max="6" width="31" hidden="0" customWidth="1"/>
    <x:col min="7" max="7" width="12" hidden="0" customWidth="1"/>
    <x:col min="8" max="8" width="14" hidden="0" customWidth="1"/>
    <x:col min="9" max="9" width="17" hidden="0" customWidth="1"/>
    <x:col min="10" max="10" width="15" hidden="0" customWidth="1"/>
    <x:col min="11" max="11" width="16" hidden="0" customWidth="1"/>
    <x:col min="12" max="12" width="12" hidden="0" customWidth="1"/>
    <x:col min="13" max="13" width="24" hidden="0" customWidth="1"/>
    <x:col min="14" max="14" width="13" hidden="0" customWidth="1"/>
  </x:cols>
  <x:sheetData>
    <x:row r="2">
      <x:c r="B2" s="3" t="str">
        <x:v>Rival serial article lots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Engineering, qualification/destructive, and campaign/protected populations are separately released for both retained roots.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Lot</x:v>
      </x:c>
      <x:c r="C6" s="20" t="str">
        <x:v>Family</x:v>
      </x:c>
      <x:c r="D6" s="20" t="str">
        <x:v>System</x:v>
      </x:c>
      <x:c r="E6" s="20" t="str">
        <x:v>Proposal</x:v>
      </x:c>
      <x:c r="F6" s="20" t="str">
        <x:v>Purpose</x:v>
      </x:c>
      <x:c r="G6" s="20" t="str">
        <x:v>Quantity</x:v>
      </x:c>
      <x:c r="H6" s="20" t="str">
        <x:v>Unit USD M</x:v>
      </x:c>
      <x:c r="I6" s="20" t="str">
        <x:v>Extended USD B</x:v>
      </x:c>
      <x:c r="J6" s="20" t="str">
        <x:v>Release month</x:v>
      </x:c>
      <x:c r="K6" s="20" t="str">
        <x:v>Required month</x:v>
      </x:c>
      <x:c r="L6" s="20" t="str">
        <x:v>Margin</x:v>
      </x:c>
      <x:c r="M6" s="20" t="str">
        <x:v>Custody</x:v>
      </x:c>
      <x:c r="N6" s="20" t="str">
        <x:v>Evidence</x:v>
      </x:c>
    </x:row>
    <x:row r="7">
      <x:c r="B7" s="21" t="str">
        <x:v>ATC-A01-A-E</x:v>
      </x:c>
      <x:c r="C7" s="21" t="str">
        <x:v>ATC-A01</x:v>
      </x:c>
      <x:c r="D7" s="21" t="str">
        <x:v>Air tile cassette</x:v>
      </x:c>
      <x:c r="E7" s="21" t="str">
        <x:v>ATC-A01-A</x:v>
      </x:c>
      <x:c r="F7" s="21" t="str">
        <x:v>engineering</x:v>
      </x:c>
      <x:c r="G7" s="32" t="n">
        <x:v>3</x:v>
      </x:c>
      <x:c r="H7" s="32" t="n">
        <x:v>4</x:v>
      </x:c>
      <x:c r="I7" s="32" t="n">
        <x:f>G7*H7/1000</x:f>
        <x:v>0.012</x:v>
      </x:c>
      <x:c r="J7" s="32" t="n">
        <x:v>18</x:v>
      </x:c>
      <x:c r="K7" s="32" t="n">
        <x:v>19</x:v>
      </x:c>
      <x:c r="L7" s="32" t="n">
        <x:f>K7-J7</x:f>
        <x:v>1</x:v>
      </x:c>
      <x:c r="M7" s="21" t="str">
        <x:v>controlled</x:v>
      </x:c>
      <x:c r="N7" s="23" t="str">
        <x:v>OPEN</x:v>
      </x:c>
    </x:row>
    <x:row r="8">
      <x:c r="B8" s="21" t="str">
        <x:v>ATC-A01-B-E</x:v>
      </x:c>
      <x:c r="C8" s="21" t="str">
        <x:v>ATC-A01</x:v>
      </x:c>
      <x:c r="D8" s="21" t="str">
        <x:v>Air tile cassette</x:v>
      </x:c>
      <x:c r="E8" s="21" t="str">
        <x:v>ATC-A01-B</x:v>
      </x:c>
      <x:c r="F8" s="21" t="str">
        <x:v>engineering</x:v>
      </x:c>
      <x:c r="G8" s="32" t="n">
        <x:v>3</x:v>
      </x:c>
      <x:c r="H8" s="32" t="n">
        <x:v>4</x:v>
      </x:c>
      <x:c r="I8" s="32" t="n">
        <x:f>G8*H8/1000</x:f>
        <x:v>0.012</x:v>
      </x:c>
      <x:c r="J8" s="32" t="n">
        <x:v>18</x:v>
      </x:c>
      <x:c r="K8" s="32" t="n">
        <x:v>19</x:v>
      </x:c>
      <x:c r="L8" s="32" t="n">
        <x:f>K8-J8</x:f>
        <x:v>1</x:v>
      </x:c>
      <x:c r="M8" s="21" t="str">
        <x:v>controlled</x:v>
      </x:c>
      <x:c r="N8" s="23" t="str">
        <x:v>OPEN</x:v>
      </x:c>
    </x:row>
    <x:row r="9">
      <x:c r="B9" s="21" t="str">
        <x:v>ATC-A01-A-Q</x:v>
      </x:c>
      <x:c r="C9" s="21" t="str">
        <x:v>ATC-A01</x:v>
      </x:c>
      <x:c r="D9" s="21" t="str">
        <x:v>Air tile cassette</x:v>
      </x:c>
      <x:c r="E9" s="21" t="str">
        <x:v>ATC-A01-A</x:v>
      </x:c>
      <x:c r="F9" s="21" t="str">
        <x:v>qualification and destructive</x:v>
      </x:c>
      <x:c r="G9" s="32" t="n">
        <x:v>6</x:v>
      </x:c>
      <x:c r="H9" s="32" t="n">
        <x:v>4</x:v>
      </x:c>
      <x:c r="I9" s="32" t="n">
        <x:f>G9*H9/1000</x:f>
        <x:v>0.024</x:v>
      </x:c>
      <x:c r="J9" s="32" t="n">
        <x:v>24</x:v>
      </x:c>
      <x:c r="K9" s="32" t="n">
        <x:v>25</x:v>
      </x:c>
      <x:c r="L9" s="32" t="n">
        <x:f>K9-J9</x:f>
        <x:v>1</x:v>
      </x:c>
      <x:c r="M9" s="21" t="str">
        <x:v>protected/destructive</x:v>
      </x:c>
      <x:c r="N9" s="23" t="str">
        <x:v>OPEN</x:v>
      </x:c>
    </x:row>
    <x:row r="10">
      <x:c r="B10" s="21" t="str">
        <x:v>ATC-A01-B-Q</x:v>
      </x:c>
      <x:c r="C10" s="21" t="str">
        <x:v>ATC-A01</x:v>
      </x:c>
      <x:c r="D10" s="21" t="str">
        <x:v>Air tile cassette</x:v>
      </x:c>
      <x:c r="E10" s="21" t="str">
        <x:v>ATC-A01-B</x:v>
      </x:c>
      <x:c r="F10" s="21" t="str">
        <x:v>qualification and destructive</x:v>
      </x:c>
      <x:c r="G10" s="32" t="n">
        <x:v>6</x:v>
      </x:c>
      <x:c r="H10" s="32" t="n">
        <x:v>4</x:v>
      </x:c>
      <x:c r="I10" s="32" t="n">
        <x:f>G10*H10/1000</x:f>
        <x:v>0.024</x:v>
      </x:c>
      <x:c r="J10" s="32" t="n">
        <x:v>24</x:v>
      </x:c>
      <x:c r="K10" s="32" t="n">
        <x:v>25</x:v>
      </x:c>
      <x:c r="L10" s="32" t="n">
        <x:f>K10-J10</x:f>
        <x:v>1</x:v>
      </x:c>
      <x:c r="M10" s="21" t="str">
        <x:v>protected/destructive</x:v>
      </x:c>
      <x:c r="N10" s="23" t="str">
        <x:v>OPEN</x:v>
      </x:c>
    </x:row>
    <x:row r="11">
      <x:c r="B11" s="21" t="str">
        <x:v>ATC-A01-A-C</x:v>
      </x:c>
      <x:c r="C11" s="21" t="str">
        <x:v>ATC-A01</x:v>
      </x:c>
      <x:c r="D11" s="21" t="str">
        <x:v>Air tile cassette</x:v>
      </x:c>
      <x:c r="E11" s="21" t="str">
        <x:v>ATC-A01-A</x:v>
      </x:c>
      <x:c r="F11" s="21" t="str">
        <x:v>campaign and protected reserve</x:v>
      </x:c>
      <x:c r="G11" s="32" t="n">
        <x:v>9</x:v>
      </x:c>
      <x:c r="H11" s="32" t="n">
        <x:v>4</x:v>
      </x:c>
      <x:c r="I11" s="32" t="n">
        <x:f>G11*H11/1000</x:f>
        <x:v>0.036</x:v>
      </x:c>
      <x:c r="J11" s="32" t="n">
        <x:v>30</x:v>
      </x:c>
      <x:c r="K11" s="32" t="n">
        <x:v>31</x:v>
      </x:c>
      <x:c r="L11" s="32" t="n">
        <x:f>K11-J11</x:f>
        <x:v>1</x:v>
      </x:c>
      <x:c r="M11" s="21" t="str">
        <x:v>protected/destructive</x:v>
      </x:c>
      <x:c r="N11" s="23" t="str">
        <x:v>OPEN</x:v>
      </x:c>
    </x:row>
    <x:row r="12">
      <x:c r="B12" s="21" t="str">
        <x:v>ATC-A01-B-C</x:v>
      </x:c>
      <x:c r="C12" s="21" t="str">
        <x:v>ATC-A01</x:v>
      </x:c>
      <x:c r="D12" s="21" t="str">
        <x:v>Air tile cassette</x:v>
      </x:c>
      <x:c r="E12" s="21" t="str">
        <x:v>ATC-A01-B</x:v>
      </x:c>
      <x:c r="F12" s="21" t="str">
        <x:v>campaign and protected reserve</x:v>
      </x:c>
      <x:c r="G12" s="32" t="n">
        <x:v>9</x:v>
      </x:c>
      <x:c r="H12" s="32" t="n">
        <x:v>4</x:v>
      </x:c>
      <x:c r="I12" s="32" t="n">
        <x:f>G12*H12/1000</x:f>
        <x:v>0.036</x:v>
      </x:c>
      <x:c r="J12" s="32" t="n">
        <x:v>30</x:v>
      </x:c>
      <x:c r="K12" s="32" t="n">
        <x:v>31</x:v>
      </x:c>
      <x:c r="L12" s="32" t="n">
        <x:f>K12-J12</x:f>
        <x:v>1</x:v>
      </x:c>
      <x:c r="M12" s="21" t="str">
        <x:v>protected/destructive</x:v>
      </x:c>
      <x:c r="N12" s="23" t="str">
        <x:v>OPEN</x:v>
      </x:c>
    </x:row>
    <x:row r="13">
      <x:c r="B13" s="21" t="str">
        <x:v>TTC-T01-A-E</x:v>
      </x:c>
      <x:c r="C13" s="21" t="str">
        <x:v>TTC-T01</x:v>
      </x:c>
      <x:c r="D13" s="21" t="str">
        <x:v>Terrain tile cassette</x:v>
      </x:c>
      <x:c r="E13" s="21" t="str">
        <x:v>TTC-T01-A</x:v>
      </x:c>
      <x:c r="F13" s="21" t="str">
        <x:v>engineering</x:v>
      </x:c>
      <x:c r="G13" s="32" t="n">
        <x:v>3</x:v>
      </x:c>
      <x:c r="H13" s="32" t="n">
        <x:v>5</x:v>
      </x:c>
      <x:c r="I13" s="32" t="n">
        <x:f>G13*H13/1000</x:f>
        <x:v>0.015</x:v>
      </x:c>
      <x:c r="J13" s="32" t="n">
        <x:v>18</x:v>
      </x:c>
      <x:c r="K13" s="32" t="n">
        <x:v>19</x:v>
      </x:c>
      <x:c r="L13" s="32" t="n">
        <x:f>K13-J13</x:f>
        <x:v>1</x:v>
      </x:c>
      <x:c r="M13" s="21" t="str">
        <x:v>controlled</x:v>
      </x:c>
      <x:c r="N13" s="23" t="str">
        <x:v>OPEN</x:v>
      </x:c>
    </x:row>
    <x:row r="14">
      <x:c r="B14" s="21" t="str">
        <x:v>TTC-T01-B-E</x:v>
      </x:c>
      <x:c r="C14" s="21" t="str">
        <x:v>TTC-T01</x:v>
      </x:c>
      <x:c r="D14" s="21" t="str">
        <x:v>Terrain tile cassette</x:v>
      </x:c>
      <x:c r="E14" s="21" t="str">
        <x:v>TTC-T01-B</x:v>
      </x:c>
      <x:c r="F14" s="21" t="str">
        <x:v>engineering</x:v>
      </x:c>
      <x:c r="G14" s="32" t="n">
        <x:v>3</x:v>
      </x:c>
      <x:c r="H14" s="32" t="n">
        <x:v>5</x:v>
      </x:c>
      <x:c r="I14" s="32" t="n">
        <x:f>G14*H14/1000</x:f>
        <x:v>0.015</x:v>
      </x:c>
      <x:c r="J14" s="32" t="n">
        <x:v>18</x:v>
      </x:c>
      <x:c r="K14" s="32" t="n">
        <x:v>19</x:v>
      </x:c>
      <x:c r="L14" s="32" t="n">
        <x:f>K14-J14</x:f>
        <x:v>1</x:v>
      </x:c>
      <x:c r="M14" s="21" t="str">
        <x:v>controlled</x:v>
      </x:c>
      <x:c r="N14" s="23" t="str">
        <x:v>OPEN</x:v>
      </x:c>
    </x:row>
    <x:row r="15">
      <x:c r="B15" s="21" t="str">
        <x:v>TTC-T01-A-Q</x:v>
      </x:c>
      <x:c r="C15" s="21" t="str">
        <x:v>TTC-T01</x:v>
      </x:c>
      <x:c r="D15" s="21" t="str">
        <x:v>Terrain tile cassette</x:v>
      </x:c>
      <x:c r="E15" s="21" t="str">
        <x:v>TTC-T01-A</x:v>
      </x:c>
      <x:c r="F15" s="21" t="str">
        <x:v>qualification and destructive</x:v>
      </x:c>
      <x:c r="G15" s="32" t="n">
        <x:v>6</x:v>
      </x:c>
      <x:c r="H15" s="32" t="n">
        <x:v>5</x:v>
      </x:c>
      <x:c r="I15" s="32" t="n">
        <x:f>G15*H15/1000</x:f>
        <x:v>0.03</x:v>
      </x:c>
      <x:c r="J15" s="32" t="n">
        <x:v>24</x:v>
      </x:c>
      <x:c r="K15" s="32" t="n">
        <x:v>25</x:v>
      </x:c>
      <x:c r="L15" s="32" t="n">
        <x:f>K15-J15</x:f>
        <x:v>1</x:v>
      </x:c>
      <x:c r="M15" s="21" t="str">
        <x:v>protected/destructive</x:v>
      </x:c>
      <x:c r="N15" s="23" t="str">
        <x:v>OPEN</x:v>
      </x:c>
    </x:row>
    <x:row r="16">
      <x:c r="B16" s="21" t="str">
        <x:v>TTC-T01-B-Q</x:v>
      </x:c>
      <x:c r="C16" s="21" t="str">
        <x:v>TTC-T01</x:v>
      </x:c>
      <x:c r="D16" s="21" t="str">
        <x:v>Terrain tile cassette</x:v>
      </x:c>
      <x:c r="E16" s="21" t="str">
        <x:v>TTC-T01-B</x:v>
      </x:c>
      <x:c r="F16" s="21" t="str">
        <x:v>qualification and destructive</x:v>
      </x:c>
      <x:c r="G16" s="32" t="n">
        <x:v>6</x:v>
      </x:c>
      <x:c r="H16" s="32" t="n">
        <x:v>5</x:v>
      </x:c>
      <x:c r="I16" s="32" t="n">
        <x:f>G16*H16/1000</x:f>
        <x:v>0.03</x:v>
      </x:c>
      <x:c r="J16" s="32" t="n">
        <x:v>24</x:v>
      </x:c>
      <x:c r="K16" s="32" t="n">
        <x:v>25</x:v>
      </x:c>
      <x:c r="L16" s="32" t="n">
        <x:f>K16-J16</x:f>
        <x:v>1</x:v>
      </x:c>
      <x:c r="M16" s="21" t="str">
        <x:v>protected/destructive</x:v>
      </x:c>
      <x:c r="N16" s="23" t="str">
        <x:v>OPEN</x:v>
      </x:c>
    </x:row>
    <x:row r="17">
      <x:c r="B17" s="21" t="str">
        <x:v>TTC-T01-A-C</x:v>
      </x:c>
      <x:c r="C17" s="21" t="str">
        <x:v>TTC-T01</x:v>
      </x:c>
      <x:c r="D17" s="21" t="str">
        <x:v>Terrain tile cassette</x:v>
      </x:c>
      <x:c r="E17" s="21" t="str">
        <x:v>TTC-T01-A</x:v>
      </x:c>
      <x:c r="F17" s="21" t="str">
        <x:v>campaign and protected reserve</x:v>
      </x:c>
      <x:c r="G17" s="32" t="n">
        <x:v>9</x:v>
      </x:c>
      <x:c r="H17" s="32" t="n">
        <x:v>5</x:v>
      </x:c>
      <x:c r="I17" s="32" t="n">
        <x:f>G17*H17/1000</x:f>
        <x:v>0.045</x:v>
      </x:c>
      <x:c r="J17" s="32" t="n">
        <x:v>30</x:v>
      </x:c>
      <x:c r="K17" s="32" t="n">
        <x:v>31</x:v>
      </x:c>
      <x:c r="L17" s="32" t="n">
        <x:f>K17-J17</x:f>
        <x:v>1</x:v>
      </x:c>
      <x:c r="M17" s="21" t="str">
        <x:v>protected/destructive</x:v>
      </x:c>
      <x:c r="N17" s="23" t="str">
        <x:v>OPEN</x:v>
      </x:c>
    </x:row>
    <x:row r="18">
      <x:c r="B18" s="21" t="str">
        <x:v>TTC-T01-B-C</x:v>
      </x:c>
      <x:c r="C18" s="21" t="str">
        <x:v>TTC-T01</x:v>
      </x:c>
      <x:c r="D18" s="21" t="str">
        <x:v>Terrain tile cassette</x:v>
      </x:c>
      <x:c r="E18" s="21" t="str">
        <x:v>TTC-T01-B</x:v>
      </x:c>
      <x:c r="F18" s="21" t="str">
        <x:v>campaign and protected reserve</x:v>
      </x:c>
      <x:c r="G18" s="32" t="n">
        <x:v>9</x:v>
      </x:c>
      <x:c r="H18" s="32" t="n">
        <x:v>5</x:v>
      </x:c>
      <x:c r="I18" s="32" t="n">
        <x:f>G18*H18/1000</x:f>
        <x:v>0.045</x:v>
      </x:c>
      <x:c r="J18" s="32" t="n">
        <x:v>30</x:v>
      </x:c>
      <x:c r="K18" s="32" t="n">
        <x:v>31</x:v>
      </x:c>
      <x:c r="L18" s="32" t="n">
        <x:f>K18-J18</x:f>
        <x:v>1</x:v>
      </x:c>
      <x:c r="M18" s="21" t="str">
        <x:v>protected/destructive</x:v>
      </x:c>
      <x:c r="N18" s="23" t="str">
        <x:v>OPEN</x:v>
      </x:c>
    </x:row>
    <x:row r="19">
      <x:c r="B19" s="21" t="str">
        <x:v>ACN-A01-A-E</x:v>
      </x:c>
      <x:c r="C19" s="21" t="str">
        <x:v>ACN-A01</x:v>
      </x:c>
      <x:c r="D19" s="21" t="str">
        <x:v>Air carrier node</x:v>
      </x:c>
      <x:c r="E19" s="21" t="str">
        <x:v>ACN-A01-A</x:v>
      </x:c>
      <x:c r="F19" s="21" t="str">
        <x:v>engineering</x:v>
      </x:c>
      <x:c r="G19" s="32" t="n">
        <x:v>1</x:v>
      </x:c>
      <x:c r="H19" s="32" t="n">
        <x:v>25</x:v>
      </x:c>
      <x:c r="I19" s="32" t="n">
        <x:f>G19*H19/1000</x:f>
        <x:v>0.025</x:v>
      </x:c>
      <x:c r="J19" s="32" t="n">
        <x:v>30</x:v>
      </x:c>
      <x:c r="K19" s="32" t="n">
        <x:v>31</x:v>
      </x:c>
      <x:c r="L19" s="32" t="n">
        <x:f>K19-J19</x:f>
        <x:v>1</x:v>
      </x:c>
      <x:c r="M19" s="21" t="str">
        <x:v>controlled</x:v>
      </x:c>
      <x:c r="N19" s="23" t="str">
        <x:v>OPEN</x:v>
      </x:c>
    </x:row>
    <x:row r="20">
      <x:c r="B20" s="21" t="str">
        <x:v>ACN-A01-B-E</x:v>
      </x:c>
      <x:c r="C20" s="21" t="str">
        <x:v>ACN-A01</x:v>
      </x:c>
      <x:c r="D20" s="21" t="str">
        <x:v>Air carrier node</x:v>
      </x:c>
      <x:c r="E20" s="21" t="str">
        <x:v>ACN-A01-B</x:v>
      </x:c>
      <x:c r="F20" s="21" t="str">
        <x:v>engineering</x:v>
      </x:c>
      <x:c r="G20" s="32" t="n">
        <x:v>1</x:v>
      </x:c>
      <x:c r="H20" s="32" t="n">
        <x:v>25</x:v>
      </x:c>
      <x:c r="I20" s="32" t="n">
        <x:f>G20*H20/1000</x:f>
        <x:v>0.025</x:v>
      </x:c>
      <x:c r="J20" s="32" t="n">
        <x:v>30</x:v>
      </x:c>
      <x:c r="K20" s="32" t="n">
        <x:v>31</x:v>
      </x:c>
      <x:c r="L20" s="32" t="n">
        <x:f>K20-J20</x:f>
        <x:v>1</x:v>
      </x:c>
      <x:c r="M20" s="21" t="str">
        <x:v>controlled</x:v>
      </x:c>
      <x:c r="N20" s="23" t="str">
        <x:v>OPEN</x:v>
      </x:c>
    </x:row>
    <x:row r="21">
      <x:c r="B21" s="21" t="str">
        <x:v>ACN-A01-A-Q</x:v>
      </x:c>
      <x:c r="C21" s="21" t="str">
        <x:v>ACN-A01</x:v>
      </x:c>
      <x:c r="D21" s="21" t="str">
        <x:v>Air carrier node</x:v>
      </x:c>
      <x:c r="E21" s="21" t="str">
        <x:v>ACN-A01-A</x:v>
      </x:c>
      <x:c r="F21" s="21" t="str">
        <x:v>qualification and destructive</x:v>
      </x:c>
      <x:c r="G21" s="32" t="n">
        <x:v>1</x:v>
      </x:c>
      <x:c r="H21" s="32" t="n">
        <x:v>25</x:v>
      </x:c>
      <x:c r="I21" s="32" t="n">
        <x:f>G21*H21/1000</x:f>
        <x:v>0.025</x:v>
      </x:c>
      <x:c r="J21" s="32" t="n">
        <x:v>36</x:v>
      </x:c>
      <x:c r="K21" s="32" t="n">
        <x:v>37</x:v>
      </x:c>
      <x:c r="L21" s="32" t="n">
        <x:f>K21-J21</x:f>
        <x:v>1</x:v>
      </x:c>
      <x:c r="M21" s="21" t="str">
        <x:v>protected/destructive</x:v>
      </x:c>
      <x:c r="N21" s="23" t="str">
        <x:v>OPEN</x:v>
      </x:c>
    </x:row>
    <x:row r="22">
      <x:c r="B22" s="21" t="str">
        <x:v>ACN-A01-B-Q</x:v>
      </x:c>
      <x:c r="C22" s="21" t="str">
        <x:v>ACN-A01</x:v>
      </x:c>
      <x:c r="D22" s="21" t="str">
        <x:v>Air carrier node</x:v>
      </x:c>
      <x:c r="E22" s="21" t="str">
        <x:v>ACN-A01-B</x:v>
      </x:c>
      <x:c r="F22" s="21" t="str">
        <x:v>qualification and destructive</x:v>
      </x:c>
      <x:c r="G22" s="32" t="n">
        <x:v>1</x:v>
      </x:c>
      <x:c r="H22" s="32" t="n">
        <x:v>25</x:v>
      </x:c>
      <x:c r="I22" s="32" t="n">
        <x:f>G22*H22/1000</x:f>
        <x:v>0.025</x:v>
      </x:c>
      <x:c r="J22" s="32" t="n">
        <x:v>36</x:v>
      </x:c>
      <x:c r="K22" s="32" t="n">
        <x:v>37</x:v>
      </x:c>
      <x:c r="L22" s="32" t="n">
        <x:f>K22-J22</x:f>
        <x:v>1</x:v>
      </x:c>
      <x:c r="M22" s="21" t="str">
        <x:v>protected/destructive</x:v>
      </x:c>
      <x:c r="N22" s="23" t="str">
        <x:v>OPEN</x:v>
      </x:c>
    </x:row>
    <x:row r="23">
      <x:c r="B23" s="21" t="str">
        <x:v>ACN-A01-A-C</x:v>
      </x:c>
      <x:c r="C23" s="21" t="str">
        <x:v>ACN-A01</x:v>
      </x:c>
      <x:c r="D23" s="21" t="str">
        <x:v>Air carrier node</x:v>
      </x:c>
      <x:c r="E23" s="21" t="str">
        <x:v>ACN-A01-A</x:v>
      </x:c>
      <x:c r="F23" s="21" t="str">
        <x:v>campaign and protected reserve</x:v>
      </x:c>
      <x:c r="G23" s="32" t="n">
        <x:v>2</x:v>
      </x:c>
      <x:c r="H23" s="32" t="n">
        <x:v>25</x:v>
      </x:c>
      <x:c r="I23" s="32" t="n">
        <x:f>G23*H23/1000</x:f>
        <x:v>0.05</x:v>
      </x:c>
      <x:c r="J23" s="32" t="n">
        <x:v>42</x:v>
      </x:c>
      <x:c r="K23" s="32" t="n">
        <x:v>43</x:v>
      </x:c>
      <x:c r="L23" s="32" t="n">
        <x:f>K23-J23</x:f>
        <x:v>1</x:v>
      </x:c>
      <x:c r="M23" s="21" t="str">
        <x:v>protected/destructive</x:v>
      </x:c>
      <x:c r="N23" s="23" t="str">
        <x:v>OPEN</x:v>
      </x:c>
    </x:row>
    <x:row r="24">
      <x:c r="B24" s="21" t="str">
        <x:v>ACN-A01-B-C</x:v>
      </x:c>
      <x:c r="C24" s="21" t="str">
        <x:v>ACN-A01</x:v>
      </x:c>
      <x:c r="D24" s="21" t="str">
        <x:v>Air carrier node</x:v>
      </x:c>
      <x:c r="E24" s="21" t="str">
        <x:v>ACN-A01-B</x:v>
      </x:c>
      <x:c r="F24" s="21" t="str">
        <x:v>campaign and protected reserve</x:v>
      </x:c>
      <x:c r="G24" s="32" t="n">
        <x:v>2</x:v>
      </x:c>
      <x:c r="H24" s="32" t="n">
        <x:v>25</x:v>
      </x:c>
      <x:c r="I24" s="32" t="n">
        <x:f>G24*H24/1000</x:f>
        <x:v>0.05</x:v>
      </x:c>
      <x:c r="J24" s="32" t="n">
        <x:v>42</x:v>
      </x:c>
      <x:c r="K24" s="32" t="n">
        <x:v>43</x:v>
      </x:c>
      <x:c r="L24" s="32" t="n">
        <x:f>K24-J24</x:f>
        <x:v>1</x:v>
      </x:c>
      <x:c r="M24" s="21" t="str">
        <x:v>protected/destructive</x:v>
      </x:c>
      <x:c r="N24" s="23" t="str">
        <x:v>OPEN</x:v>
      </x:c>
    </x:row>
    <x:row r="25">
      <x:c r="B25" s="21" t="str">
        <x:v>TCN-T01-A-E</x:v>
      </x:c>
      <x:c r="C25" s="21" t="str">
        <x:v>TCN-T01</x:v>
      </x:c>
      <x:c r="D25" s="21" t="str">
        <x:v>Terrain carrier node</x:v>
      </x:c>
      <x:c r="E25" s="21" t="str">
        <x:v>TCN-T01-A</x:v>
      </x:c>
      <x:c r="F25" s="21" t="str">
        <x:v>engineering</x:v>
      </x:c>
      <x:c r="G25" s="32" t="n">
        <x:v>1</x:v>
      </x:c>
      <x:c r="H25" s="32" t="n">
        <x:v>45</x:v>
      </x:c>
      <x:c r="I25" s="32" t="n">
        <x:f>G25*H25/1000</x:f>
        <x:v>0.045</x:v>
      </x:c>
      <x:c r="J25" s="32" t="n">
        <x:v>30</x:v>
      </x:c>
      <x:c r="K25" s="32" t="n">
        <x:v>31</x:v>
      </x:c>
      <x:c r="L25" s="32" t="n">
        <x:f>K25-J25</x:f>
        <x:v>1</x:v>
      </x:c>
      <x:c r="M25" s="21" t="str">
        <x:v>controlled</x:v>
      </x:c>
      <x:c r="N25" s="23" t="str">
        <x:v>OPEN</x:v>
      </x:c>
    </x:row>
    <x:row r="26">
      <x:c r="B26" s="21" t="str">
        <x:v>TCN-T01-B-E</x:v>
      </x:c>
      <x:c r="C26" s="21" t="str">
        <x:v>TCN-T01</x:v>
      </x:c>
      <x:c r="D26" s="21" t="str">
        <x:v>Terrain carrier node</x:v>
      </x:c>
      <x:c r="E26" s="21" t="str">
        <x:v>TCN-T01-B</x:v>
      </x:c>
      <x:c r="F26" s="21" t="str">
        <x:v>engineering</x:v>
      </x:c>
      <x:c r="G26" s="32" t="n">
        <x:v>1</x:v>
      </x:c>
      <x:c r="H26" s="32" t="n">
        <x:v>45</x:v>
      </x:c>
      <x:c r="I26" s="32" t="n">
        <x:f>G26*H26/1000</x:f>
        <x:v>0.045</x:v>
      </x:c>
      <x:c r="J26" s="32" t="n">
        <x:v>30</x:v>
      </x:c>
      <x:c r="K26" s="32" t="n">
        <x:v>31</x:v>
      </x:c>
      <x:c r="L26" s="32" t="n">
        <x:f>K26-J26</x:f>
        <x:v>1</x:v>
      </x:c>
      <x:c r="M26" s="21" t="str">
        <x:v>controlled</x:v>
      </x:c>
      <x:c r="N26" s="23" t="str">
        <x:v>OPEN</x:v>
      </x:c>
    </x:row>
    <x:row r="27">
      <x:c r="B27" s="21" t="str">
        <x:v>TCN-T01-A-Q</x:v>
      </x:c>
      <x:c r="C27" s="21" t="str">
        <x:v>TCN-T01</x:v>
      </x:c>
      <x:c r="D27" s="21" t="str">
        <x:v>Terrain carrier node</x:v>
      </x:c>
      <x:c r="E27" s="21" t="str">
        <x:v>TCN-T01-A</x:v>
      </x:c>
      <x:c r="F27" s="21" t="str">
        <x:v>qualification and destructive</x:v>
      </x:c>
      <x:c r="G27" s="32" t="n">
        <x:v>2</x:v>
      </x:c>
      <x:c r="H27" s="32" t="n">
        <x:v>45</x:v>
      </x:c>
      <x:c r="I27" s="32" t="n">
        <x:f>G27*H27/1000</x:f>
        <x:v>0.09</x:v>
      </x:c>
      <x:c r="J27" s="32" t="n">
        <x:v>36</x:v>
      </x:c>
      <x:c r="K27" s="32" t="n">
        <x:v>37</x:v>
      </x:c>
      <x:c r="L27" s="32" t="n">
        <x:f>K27-J27</x:f>
        <x:v>1</x:v>
      </x:c>
      <x:c r="M27" s="21" t="str">
        <x:v>protected/destructive</x:v>
      </x:c>
      <x:c r="N27" s="23" t="str">
        <x:v>OPEN</x:v>
      </x:c>
    </x:row>
    <x:row r="28">
      <x:c r="B28" s="21" t="str">
        <x:v>TCN-T01-B-Q</x:v>
      </x:c>
      <x:c r="C28" s="21" t="str">
        <x:v>TCN-T01</x:v>
      </x:c>
      <x:c r="D28" s="21" t="str">
        <x:v>Terrain carrier node</x:v>
      </x:c>
      <x:c r="E28" s="21" t="str">
        <x:v>TCN-T01-B</x:v>
      </x:c>
      <x:c r="F28" s="21" t="str">
        <x:v>qualification and destructive</x:v>
      </x:c>
      <x:c r="G28" s="32" t="n">
        <x:v>1</x:v>
      </x:c>
      <x:c r="H28" s="32" t="n">
        <x:v>45</x:v>
      </x:c>
      <x:c r="I28" s="32" t="n">
        <x:f>G28*H28/1000</x:f>
        <x:v>0.045</x:v>
      </x:c>
      <x:c r="J28" s="32" t="n">
        <x:v>36</x:v>
      </x:c>
      <x:c r="K28" s="32" t="n">
        <x:v>37</x:v>
      </x:c>
      <x:c r="L28" s="32" t="n">
        <x:f>K28-J28</x:f>
        <x:v>1</x:v>
      </x:c>
      <x:c r="M28" s="21" t="str">
        <x:v>protected/destructive</x:v>
      </x:c>
      <x:c r="N28" s="23" t="str">
        <x:v>OPEN</x:v>
      </x:c>
    </x:row>
    <x:row r="29">
      <x:c r="B29" s="21" t="str">
        <x:v>TCN-T01-A-C</x:v>
      </x:c>
      <x:c r="C29" s="21" t="str">
        <x:v>TCN-T01</x:v>
      </x:c>
      <x:c r="D29" s="21" t="str">
        <x:v>Terrain carrier node</x:v>
      </x:c>
      <x:c r="E29" s="21" t="str">
        <x:v>TCN-T01-A</x:v>
      </x:c>
      <x:c r="F29" s="21" t="str">
        <x:v>campaign and protected reserve</x:v>
      </x:c>
      <x:c r="G29" s="32" t="n">
        <x:v>3</x:v>
      </x:c>
      <x:c r="H29" s="32" t="n">
        <x:v>45</x:v>
      </x:c>
      <x:c r="I29" s="32" t="n">
        <x:f>G29*H29/1000</x:f>
        <x:v>0.135</x:v>
      </x:c>
      <x:c r="J29" s="32" t="n">
        <x:v>42</x:v>
      </x:c>
      <x:c r="K29" s="32" t="n">
        <x:v>43</x:v>
      </x:c>
      <x:c r="L29" s="32" t="n">
        <x:f>K29-J29</x:f>
        <x:v>1</x:v>
      </x:c>
      <x:c r="M29" s="21" t="str">
        <x:v>protected/destructive</x:v>
      </x:c>
      <x:c r="N29" s="23" t="str">
        <x:v>OPEN</x:v>
      </x:c>
    </x:row>
    <x:row r="30">
      <x:c r="B30" s="21" t="str">
        <x:v>TCN-T01-B-C</x:v>
      </x:c>
      <x:c r="C30" s="21" t="str">
        <x:v>TCN-T01</x:v>
      </x:c>
      <x:c r="D30" s="21" t="str">
        <x:v>Terrain carrier node</x:v>
      </x:c>
      <x:c r="E30" s="21" t="str">
        <x:v>TCN-T01-B</x:v>
      </x:c>
      <x:c r="F30" s="21" t="str">
        <x:v>campaign and protected reserve</x:v>
      </x:c>
      <x:c r="G30" s="32" t="n">
        <x:v>2</x:v>
      </x:c>
      <x:c r="H30" s="32" t="n">
        <x:v>45</x:v>
      </x:c>
      <x:c r="I30" s="32" t="n">
        <x:f>G30*H30/1000</x:f>
        <x:v>0.09</x:v>
      </x:c>
      <x:c r="J30" s="32" t="n">
        <x:v>42</x:v>
      </x:c>
      <x:c r="K30" s="32" t="n">
        <x:v>43</x:v>
      </x:c>
      <x:c r="L30" s="32" t="n">
        <x:f>K30-J30</x:f>
        <x:v>1</x:v>
      </x:c>
      <x:c r="M30" s="21" t="str">
        <x:v>protected/destructive</x:v>
      </x:c>
      <x:c r="N30" s="23" t="str">
        <x:v>OPEN</x:v>
      </x:c>
    </x:row>
    <x:row r="31">
      <x:c r="B31" s="21" t="str">
        <x:v>CRS-R01-A-E</x:v>
      </x:c>
      <x:c r="C31" s="21" t="str">
        <x:v>CRS-R01</x:v>
      </x:c>
      <x:c r="D31" s="21" t="str">
        <x:v>Civil receiver</x:v>
      </x:c>
      <x:c r="E31" s="21" t="str">
        <x:v>CRS-R01-A</x:v>
      </x:c>
      <x:c r="F31" s="21" t="str">
        <x:v>engineering</x:v>
      </x:c>
      <x:c r="G31" s="32" t="n">
        <x:v>1</x:v>
      </x:c>
      <x:c r="H31" s="32" t="n">
        <x:v>35</x:v>
      </x:c>
      <x:c r="I31" s="32" t="n">
        <x:f>G31*H31/1000</x:f>
        <x:v>0.035</x:v>
      </x:c>
      <x:c r="J31" s="32" t="n">
        <x:v>36</x:v>
      </x:c>
      <x:c r="K31" s="32" t="n">
        <x:v>37</x:v>
      </x:c>
      <x:c r="L31" s="32" t="n">
        <x:f>K31-J31</x:f>
        <x:v>1</x:v>
      </x:c>
      <x:c r="M31" s="21" t="str">
        <x:v>controlled</x:v>
      </x:c>
      <x:c r="N31" s="23" t="str">
        <x:v>OPEN</x:v>
      </x:c>
    </x:row>
    <x:row r="32">
      <x:c r="B32" s="21" t="str">
        <x:v>CRS-R01-B-E</x:v>
      </x:c>
      <x:c r="C32" s="21" t="str">
        <x:v>CRS-R01</x:v>
      </x:c>
      <x:c r="D32" s="21" t="str">
        <x:v>Civil receiver</x:v>
      </x:c>
      <x:c r="E32" s="21" t="str">
        <x:v>CRS-R01-B</x:v>
      </x:c>
      <x:c r="F32" s="21" t="str">
        <x:v>engineering</x:v>
      </x:c>
      <x:c r="G32" s="32" t="n">
        <x:v>1</x:v>
      </x:c>
      <x:c r="H32" s="32" t="n">
        <x:v>35</x:v>
      </x:c>
      <x:c r="I32" s="32" t="n">
        <x:f>G32*H32/1000</x:f>
        <x:v>0.035</x:v>
      </x:c>
      <x:c r="J32" s="32" t="n">
        <x:v>36</x:v>
      </x:c>
      <x:c r="K32" s="32" t="n">
        <x:v>37</x:v>
      </x:c>
      <x:c r="L32" s="32" t="n">
        <x:f>K32-J32</x:f>
        <x:v>1</x:v>
      </x:c>
      <x:c r="M32" s="21" t="str">
        <x:v>controlled</x:v>
      </x:c>
      <x:c r="N32" s="23" t="str">
        <x:v>OPEN</x:v>
      </x:c>
    </x:row>
    <x:row r="33">
      <x:c r="B33" s="21" t="str">
        <x:v>CRS-R01-A-Q</x:v>
      </x:c>
      <x:c r="C33" s="21" t="str">
        <x:v>CRS-R01</x:v>
      </x:c>
      <x:c r="D33" s="21" t="str">
        <x:v>Civil receiver</x:v>
      </x:c>
      <x:c r="E33" s="21" t="str">
        <x:v>CRS-R01-A</x:v>
      </x:c>
      <x:c r="F33" s="21" t="str">
        <x:v>qualification and destructive</x:v>
      </x:c>
      <x:c r="G33" s="32" t="n">
        <x:v>1</x:v>
      </x:c>
      <x:c r="H33" s="32" t="n">
        <x:v>35</x:v>
      </x:c>
      <x:c r="I33" s="32" t="n">
        <x:f>G33*H33/1000</x:f>
        <x:v>0.035</x:v>
      </x:c>
      <x:c r="J33" s="32" t="n">
        <x:v>42</x:v>
      </x:c>
      <x:c r="K33" s="32" t="n">
        <x:v>43</x:v>
      </x:c>
      <x:c r="L33" s="32" t="n">
        <x:f>K33-J33</x:f>
        <x:v>1</x:v>
      </x:c>
      <x:c r="M33" s="21" t="str">
        <x:v>protected/destructive</x:v>
      </x:c>
      <x:c r="N33" s="23" t="str">
        <x:v>OPEN</x:v>
      </x:c>
    </x:row>
    <x:row r="34">
      <x:c r="B34" s="21" t="str">
        <x:v>CRS-R01-B-Q</x:v>
      </x:c>
      <x:c r="C34" s="21" t="str">
        <x:v>CRS-R01</x:v>
      </x:c>
      <x:c r="D34" s="21" t="str">
        <x:v>Civil receiver</x:v>
      </x:c>
      <x:c r="E34" s="21" t="str">
        <x:v>CRS-R01-B</x:v>
      </x:c>
      <x:c r="F34" s="21" t="str">
        <x:v>qualification and destructive</x:v>
      </x:c>
      <x:c r="G34" s="32" t="n">
        <x:v>1</x:v>
      </x:c>
      <x:c r="H34" s="32" t="n">
        <x:v>35</x:v>
      </x:c>
      <x:c r="I34" s="32" t="n">
        <x:f>G34*H34/1000</x:f>
        <x:v>0.035</x:v>
      </x:c>
      <x:c r="J34" s="32" t="n">
        <x:v>42</x:v>
      </x:c>
      <x:c r="K34" s="32" t="n">
        <x:v>43</x:v>
      </x:c>
      <x:c r="L34" s="32" t="n">
        <x:f>K34-J34</x:f>
        <x:v>1</x:v>
      </x:c>
      <x:c r="M34" s="21" t="str">
        <x:v>protected/destructive</x:v>
      </x:c>
      <x:c r="N34" s="23" t="str">
        <x:v>OPEN</x:v>
      </x:c>
    </x:row>
    <x:row r="35">
      <x:c r="B35" s="21" t="str">
        <x:v>CRS-R01-A-C</x:v>
      </x:c>
      <x:c r="C35" s="21" t="str">
        <x:v>CRS-R01</x:v>
      </x:c>
      <x:c r="D35" s="21" t="str">
        <x:v>Civil receiver</x:v>
      </x:c>
      <x:c r="E35" s="21" t="str">
        <x:v>CRS-R01-A</x:v>
      </x:c>
      <x:c r="F35" s="21" t="str">
        <x:v>campaign and protected reserve</x:v>
      </x:c>
      <x:c r="G35" s="32" t="n">
        <x:v>2</x:v>
      </x:c>
      <x:c r="H35" s="32" t="n">
        <x:v>35</x:v>
      </x:c>
      <x:c r="I35" s="32" t="n">
        <x:f>G35*H35/1000</x:f>
        <x:v>0.07</x:v>
      </x:c>
      <x:c r="J35" s="32" t="n">
        <x:v>48</x:v>
      </x:c>
      <x:c r="K35" s="32" t="n">
        <x:v>49</x:v>
      </x:c>
      <x:c r="L35" s="32" t="n">
        <x:f>K35-J35</x:f>
        <x:v>1</x:v>
      </x:c>
      <x:c r="M35" s="21" t="str">
        <x:v>protected/destructive</x:v>
      </x:c>
      <x:c r="N35" s="23" t="str">
        <x:v>OPEN</x:v>
      </x:c>
    </x:row>
    <x:row r="36">
      <x:c r="B36" s="21" t="str">
        <x:v>CRS-R01-B-C</x:v>
      </x:c>
      <x:c r="C36" s="21" t="str">
        <x:v>CRS-R01</x:v>
      </x:c>
      <x:c r="D36" s="21" t="str">
        <x:v>Civil receiver</x:v>
      </x:c>
      <x:c r="E36" s="21" t="str">
        <x:v>CRS-R01-B</x:v>
      </x:c>
      <x:c r="F36" s="21" t="str">
        <x:v>campaign and protected reserve</x:v>
      </x:c>
      <x:c r="G36" s="32" t="n">
        <x:v>2</x:v>
      </x:c>
      <x:c r="H36" s="32" t="n">
        <x:v>35</x:v>
      </x:c>
      <x:c r="I36" s="32" t="n">
        <x:f>G36*H36/1000</x:f>
        <x:v>0.07</x:v>
      </x:c>
      <x:c r="J36" s="32" t="n">
        <x:v>48</x:v>
      </x:c>
      <x:c r="K36" s="32" t="n">
        <x:v>49</x:v>
      </x:c>
      <x:c r="L36" s="32" t="n">
        <x:f>K36-J36</x:f>
        <x:v>1</x:v>
      </x:c>
      <x:c r="M36" s="21" t="str">
        <x:v>protected/destructive</x:v>
      </x:c>
      <x:c r="N36" s="23" t="str">
        <x:v>OPEN</x:v>
      </x:c>
    </x:row>
    <x:row r="37">
      <x:c r="B37" s="21" t="str">
        <x:v>PSS-T01-A-E</x:v>
      </x:c>
      <x:c r="C37" s="21" t="str">
        <x:v>PSS-T01</x:v>
      </x:c>
      <x:c r="D37" s="21" t="str">
        <x:v>Pressure skin</x:v>
      </x:c>
      <x:c r="E37" s="21" t="str">
        <x:v>PSS-T01-A</x:v>
      </x:c>
      <x:c r="F37" s="21" t="str">
        <x:v>engineering</x:v>
      </x:c>
      <x:c r="G37" s="32" t="n">
        <x:v>2</x:v>
      </x:c>
      <x:c r="H37" s="32" t="n">
        <x:v>20</x:v>
      </x:c>
      <x:c r="I37" s="32" t="n">
        <x:f>G37*H37/1000</x:f>
        <x:v>0.04</x:v>
      </x:c>
      <x:c r="J37" s="32" t="n">
        <x:v>30</x:v>
      </x:c>
      <x:c r="K37" s="32" t="n">
        <x:v>31</x:v>
      </x:c>
      <x:c r="L37" s="32" t="n">
        <x:f>K37-J37</x:f>
        <x:v>1</x:v>
      </x:c>
      <x:c r="M37" s="21" t="str">
        <x:v>controlled</x:v>
      </x:c>
      <x:c r="N37" s="23" t="str">
        <x:v>OPEN</x:v>
      </x:c>
    </x:row>
    <x:row r="38">
      <x:c r="B38" s="21" t="str">
        <x:v>PSS-T01-B-E</x:v>
      </x:c>
      <x:c r="C38" s="21" t="str">
        <x:v>PSS-T01</x:v>
      </x:c>
      <x:c r="D38" s="21" t="str">
        <x:v>Pressure skin</x:v>
      </x:c>
      <x:c r="E38" s="21" t="str">
        <x:v>PSS-T01-B</x:v>
      </x:c>
      <x:c r="F38" s="21" t="str">
        <x:v>engineering</x:v>
      </x:c>
      <x:c r="G38" s="32" t="n">
        <x:v>2</x:v>
      </x:c>
      <x:c r="H38" s="32" t="n">
        <x:v>20</x:v>
      </x:c>
      <x:c r="I38" s="32" t="n">
        <x:f>G38*H38/1000</x:f>
        <x:v>0.04</x:v>
      </x:c>
      <x:c r="J38" s="32" t="n">
        <x:v>30</x:v>
      </x:c>
      <x:c r="K38" s="32" t="n">
        <x:v>31</x:v>
      </x:c>
      <x:c r="L38" s="32" t="n">
        <x:f>K38-J38</x:f>
        <x:v>1</x:v>
      </x:c>
      <x:c r="M38" s="21" t="str">
        <x:v>controlled</x:v>
      </x:c>
      <x:c r="N38" s="23" t="str">
        <x:v>OPEN</x:v>
      </x:c>
    </x:row>
    <x:row r="39">
      <x:c r="B39" s="21" t="str">
        <x:v>PSS-T01-A-Q</x:v>
      </x:c>
      <x:c r="C39" s="21" t="str">
        <x:v>PSS-T01</x:v>
      </x:c>
      <x:c r="D39" s="21" t="str">
        <x:v>Pressure skin</x:v>
      </x:c>
      <x:c r="E39" s="21" t="str">
        <x:v>PSS-T01-A</x:v>
      </x:c>
      <x:c r="F39" s="21" t="str">
        <x:v>qualification and destructive</x:v>
      </x:c>
      <x:c r="G39" s="32" t="n">
        <x:v>2</x:v>
      </x:c>
      <x:c r="H39" s="32" t="n">
        <x:v>20</x:v>
      </x:c>
      <x:c r="I39" s="32" t="n">
        <x:f>G39*H39/1000</x:f>
        <x:v>0.04</x:v>
      </x:c>
      <x:c r="J39" s="32" t="n">
        <x:v>36</x:v>
      </x:c>
      <x:c r="K39" s="32" t="n">
        <x:v>37</x:v>
      </x:c>
      <x:c r="L39" s="32" t="n">
        <x:f>K39-J39</x:f>
        <x:v>1</x:v>
      </x:c>
      <x:c r="M39" s="21" t="str">
        <x:v>protected/destructive</x:v>
      </x:c>
      <x:c r="N39" s="23" t="str">
        <x:v>OPEN</x:v>
      </x:c>
    </x:row>
    <x:row r="40">
      <x:c r="B40" s="21" t="str">
        <x:v>PSS-T01-B-Q</x:v>
      </x:c>
      <x:c r="C40" s="21" t="str">
        <x:v>PSS-T01</x:v>
      </x:c>
      <x:c r="D40" s="21" t="str">
        <x:v>Pressure skin</x:v>
      </x:c>
      <x:c r="E40" s="21" t="str">
        <x:v>PSS-T01-B</x:v>
      </x:c>
      <x:c r="F40" s="21" t="str">
        <x:v>qualification and destructive</x:v>
      </x:c>
      <x:c r="G40" s="32" t="n">
        <x:v>2</x:v>
      </x:c>
      <x:c r="H40" s="32" t="n">
        <x:v>20</x:v>
      </x:c>
      <x:c r="I40" s="32" t="n">
        <x:f>G40*H40/1000</x:f>
        <x:v>0.04</x:v>
      </x:c>
      <x:c r="J40" s="32" t="n">
        <x:v>36</x:v>
      </x:c>
      <x:c r="K40" s="32" t="n">
        <x:v>37</x:v>
      </x:c>
      <x:c r="L40" s="32" t="n">
        <x:f>K40-J40</x:f>
        <x:v>1</x:v>
      </x:c>
      <x:c r="M40" s="21" t="str">
        <x:v>protected/destructive</x:v>
      </x:c>
      <x:c r="N40" s="23" t="str">
        <x:v>OPEN</x:v>
      </x:c>
    </x:row>
    <x:row r="41">
      <x:c r="B41" s="21" t="str">
        <x:v>PSS-T01-A-C</x:v>
      </x:c>
      <x:c r="C41" s="21" t="str">
        <x:v>PSS-T01</x:v>
      </x:c>
      <x:c r="D41" s="21" t="str">
        <x:v>Pressure skin</x:v>
      </x:c>
      <x:c r="E41" s="21" t="str">
        <x:v>PSS-T01-A</x:v>
      </x:c>
      <x:c r="F41" s="21" t="str">
        <x:v>campaign and protected reserve</x:v>
      </x:c>
      <x:c r="G41" s="32" t="n">
        <x:v>4</x:v>
      </x:c>
      <x:c r="H41" s="32" t="n">
        <x:v>20</x:v>
      </x:c>
      <x:c r="I41" s="32" t="n">
        <x:f>G41*H41/1000</x:f>
        <x:v>0.08</x:v>
      </x:c>
      <x:c r="J41" s="32" t="n">
        <x:v>42</x:v>
      </x:c>
      <x:c r="K41" s="32" t="n">
        <x:v>43</x:v>
      </x:c>
      <x:c r="L41" s="32" t="n">
        <x:f>K41-J41</x:f>
        <x:v>1</x:v>
      </x:c>
      <x:c r="M41" s="21" t="str">
        <x:v>protected/destructive</x:v>
      </x:c>
      <x:c r="N41" s="23" t="str">
        <x:v>OPEN</x:v>
      </x:c>
    </x:row>
    <x:row r="42">
      <x:c r="B42" s="21" t="str">
        <x:v>PSS-T01-B-C</x:v>
      </x:c>
      <x:c r="C42" s="21" t="str">
        <x:v>PSS-T01</x:v>
      </x:c>
      <x:c r="D42" s="21" t="str">
        <x:v>Pressure skin</x:v>
      </x:c>
      <x:c r="E42" s="21" t="str">
        <x:v>PSS-T01-B</x:v>
      </x:c>
      <x:c r="F42" s="21" t="str">
        <x:v>campaign and protected reserve</x:v>
      </x:c>
      <x:c r="G42" s="32" t="n">
        <x:v>4</x:v>
      </x:c>
      <x:c r="H42" s="32" t="n">
        <x:v>20</x:v>
      </x:c>
      <x:c r="I42" s="32" t="n">
        <x:f>G42*H42/1000</x:f>
        <x:v>0.08</x:v>
      </x:c>
      <x:c r="J42" s="32" t="n">
        <x:v>42</x:v>
      </x:c>
      <x:c r="K42" s="32" t="n">
        <x:v>43</x:v>
      </x:c>
      <x:c r="L42" s="32" t="n">
        <x:f>K42-J42</x:f>
        <x:v>1</x:v>
      </x:c>
      <x:c r="M42" s="21" t="str">
        <x:v>protected/destructive</x:v>
      </x:c>
      <x:c r="N42" s="23" t="str">
        <x:v>OPEN</x:v>
      </x:c>
    </x:row>
    <x:row r="43">
      <x:c r="B43" s="21" t="str">
        <x:v>PIF-I01-A-E</x:v>
      </x:c>
      <x:c r="C43" s="21" t="str">
        <x:v>PIF-I01</x:v>
      </x:c>
      <x:c r="D43" s="21" t="str">
        <x:v>Passive interface</x:v>
      </x:c>
      <x:c r="E43" s="21" t="str">
        <x:v>PIF-I01-A</x:v>
      </x:c>
      <x:c r="F43" s="21" t="str">
        <x:v>engineering</x:v>
      </x:c>
      <x:c r="G43" s="32" t="n">
        <x:v>6</x:v>
      </x:c>
      <x:c r="H43" s="32" t="n">
        <x:v>0.5</x:v>
      </x:c>
      <x:c r="I43" s="32" t="n">
        <x:f>G43*H43/1000</x:f>
        <x:v>0.003</x:v>
      </x:c>
      <x:c r="J43" s="32" t="n">
        <x:v>18</x:v>
      </x:c>
      <x:c r="K43" s="32" t="n">
        <x:v>19</x:v>
      </x:c>
      <x:c r="L43" s="32" t="n">
        <x:f>K43-J43</x:f>
        <x:v>1</x:v>
      </x:c>
      <x:c r="M43" s="21" t="str">
        <x:v>controlled</x:v>
      </x:c>
      <x:c r="N43" s="23" t="str">
        <x:v>OPEN</x:v>
      </x:c>
    </x:row>
    <x:row r="44">
      <x:c r="B44" s="21" t="str">
        <x:v>PIF-I01-B-E</x:v>
      </x:c>
      <x:c r="C44" s="21" t="str">
        <x:v>PIF-I01</x:v>
      </x:c>
      <x:c r="D44" s="21" t="str">
        <x:v>Passive interface</x:v>
      </x:c>
      <x:c r="E44" s="21" t="str">
        <x:v>PIF-I01-B</x:v>
      </x:c>
      <x:c r="F44" s="21" t="str">
        <x:v>engineering</x:v>
      </x:c>
      <x:c r="G44" s="32" t="n">
        <x:v>6</x:v>
      </x:c>
      <x:c r="H44" s="32" t="n">
        <x:v>0.5</x:v>
      </x:c>
      <x:c r="I44" s="32" t="n">
        <x:f>G44*H44/1000</x:f>
        <x:v>0.003</x:v>
      </x:c>
      <x:c r="J44" s="32" t="n">
        <x:v>18</x:v>
      </x:c>
      <x:c r="K44" s="32" t="n">
        <x:v>19</x:v>
      </x:c>
      <x:c r="L44" s="32" t="n">
        <x:f>K44-J44</x:f>
        <x:v>1</x:v>
      </x:c>
      <x:c r="M44" s="21" t="str">
        <x:v>controlled</x:v>
      </x:c>
      <x:c r="N44" s="23" t="str">
        <x:v>OPEN</x:v>
      </x:c>
    </x:row>
    <x:row r="45">
      <x:c r="B45" s="21" t="str">
        <x:v>PIF-I01-A-Q</x:v>
      </x:c>
      <x:c r="C45" s="21" t="str">
        <x:v>PIF-I01</x:v>
      </x:c>
      <x:c r="D45" s="21" t="str">
        <x:v>Passive interface</x:v>
      </x:c>
      <x:c r="E45" s="21" t="str">
        <x:v>PIF-I01-A</x:v>
      </x:c>
      <x:c r="F45" s="21" t="str">
        <x:v>qualification and destructive</x:v>
      </x:c>
      <x:c r="G45" s="32" t="n">
        <x:v>9</x:v>
      </x:c>
      <x:c r="H45" s="32" t="n">
        <x:v>0.5</x:v>
      </x:c>
      <x:c r="I45" s="32" t="n">
        <x:f>G45*H45/1000</x:f>
        <x:v>0.0045</x:v>
      </x:c>
      <x:c r="J45" s="32" t="n">
        <x:v>24</x:v>
      </x:c>
      <x:c r="K45" s="32" t="n">
        <x:v>25</x:v>
      </x:c>
      <x:c r="L45" s="32" t="n">
        <x:f>K45-J45</x:f>
        <x:v>1</x:v>
      </x:c>
      <x:c r="M45" s="21" t="str">
        <x:v>protected/destructive</x:v>
      </x:c>
      <x:c r="N45" s="23" t="str">
        <x:v>OPEN</x:v>
      </x:c>
    </x:row>
    <x:row r="46">
      <x:c r="B46" s="21" t="str">
        <x:v>PIF-I01-B-Q</x:v>
      </x:c>
      <x:c r="C46" s="21" t="str">
        <x:v>PIF-I01</x:v>
      </x:c>
      <x:c r="D46" s="21" t="str">
        <x:v>Passive interface</x:v>
      </x:c>
      <x:c r="E46" s="21" t="str">
        <x:v>PIF-I01-B</x:v>
      </x:c>
      <x:c r="F46" s="21" t="str">
        <x:v>qualification and destructive</x:v>
      </x:c>
      <x:c r="G46" s="32" t="n">
        <x:v>9</x:v>
      </x:c>
      <x:c r="H46" s="32" t="n">
        <x:v>0.5</x:v>
      </x:c>
      <x:c r="I46" s="32" t="n">
        <x:f>G46*H46/1000</x:f>
        <x:v>0.0045</x:v>
      </x:c>
      <x:c r="J46" s="32" t="n">
        <x:v>24</x:v>
      </x:c>
      <x:c r="K46" s="32" t="n">
        <x:v>25</x:v>
      </x:c>
      <x:c r="L46" s="32" t="n">
        <x:f>K46-J46</x:f>
        <x:v>1</x:v>
      </x:c>
      <x:c r="M46" s="21" t="str">
        <x:v>protected/destructive</x:v>
      </x:c>
      <x:c r="N46" s="23" t="str">
        <x:v>OPEN</x:v>
      </x:c>
    </x:row>
    <x:row r="47">
      <x:c r="B47" s="21" t="str">
        <x:v>PIF-I01-A-C</x:v>
      </x:c>
      <x:c r="C47" s="21" t="str">
        <x:v>PIF-I01</x:v>
      </x:c>
      <x:c r="D47" s="21" t="str">
        <x:v>Passive interface</x:v>
      </x:c>
      <x:c r="E47" s="21" t="str">
        <x:v>PIF-I01-A</x:v>
      </x:c>
      <x:c r="F47" s="21" t="str">
        <x:v>campaign and protected reserve</x:v>
      </x:c>
      <x:c r="G47" s="32" t="n">
        <x:v>15</x:v>
      </x:c>
      <x:c r="H47" s="32" t="n">
        <x:v>0.5</x:v>
      </x:c>
      <x:c r="I47" s="32" t="n">
        <x:f>G47*H47/1000</x:f>
        <x:v>0.0075</x:v>
      </x:c>
      <x:c r="J47" s="32" t="n">
        <x:v>30</x:v>
      </x:c>
      <x:c r="K47" s="32" t="n">
        <x:v>31</x:v>
      </x:c>
      <x:c r="L47" s="32" t="n">
        <x:f>K47-J47</x:f>
        <x:v>1</x:v>
      </x:c>
      <x:c r="M47" s="21" t="str">
        <x:v>protected/destructive</x:v>
      </x:c>
      <x:c r="N47" s="23" t="str">
        <x:v>OPEN</x:v>
      </x:c>
    </x:row>
    <x:row r="48">
      <x:c r="B48" s="21" t="str">
        <x:v>PIF-I01-B-C</x:v>
      </x:c>
      <x:c r="C48" s="21" t="str">
        <x:v>PIF-I01</x:v>
      </x:c>
      <x:c r="D48" s="21" t="str">
        <x:v>Passive interface</x:v>
      </x:c>
      <x:c r="E48" s="21" t="str">
        <x:v>PIF-I01-B</x:v>
      </x:c>
      <x:c r="F48" s="21" t="str">
        <x:v>campaign and protected reserve</x:v>
      </x:c>
      <x:c r="G48" s="32" t="n">
        <x:v>15</x:v>
      </x:c>
      <x:c r="H48" s="32" t="n">
        <x:v>0.5</x:v>
      </x:c>
      <x:c r="I48" s="32" t="n">
        <x:f>G48*H48/1000</x:f>
        <x:v>0.0075</x:v>
      </x:c>
      <x:c r="J48" s="32" t="n">
        <x:v>30</x:v>
      </x:c>
      <x:c r="K48" s="32" t="n">
        <x:v>31</x:v>
      </x:c>
      <x:c r="L48" s="32" t="n">
        <x:f>K48-J48</x:f>
        <x:v>1</x:v>
      </x:c>
      <x:c r="M48" s="21" t="str">
        <x:v>protected/destructive</x:v>
      </x:c>
      <x:c r="N48" s="23" t="str">
        <x:v>OPEN</x:v>
      </x:c>
    </x:row>
    <x:row r="49">
      <x:c r="B49" s="21" t="str">
        <x:v>EPS-P01-A-E</x:v>
      </x:c>
      <x:c r="C49" s="21" t="str">
        <x:v>EPS-P01</x:v>
      </x:c>
      <x:c r="D49" s="21" t="str">
        <x:v>Independent energy</x:v>
      </x:c>
      <x:c r="E49" s="21" t="str">
        <x:v>EPS-P01-A</x:v>
      </x:c>
      <x:c r="F49" s="21" t="str">
        <x:v>engineering</x:v>
      </x:c>
      <x:c r="G49" s="32" t="n">
        <x:v>2</x:v>
      </x:c>
      <x:c r="H49" s="32" t="n">
        <x:v>3</x:v>
      </x:c>
      <x:c r="I49" s="32" t="n">
        <x:f>G49*H49/1000</x:f>
        <x:v>0.006</x:v>
      </x:c>
      <x:c r="J49" s="32" t="n">
        <x:v>12</x:v>
      </x:c>
      <x:c r="K49" s="32" t="n">
        <x:v>13</x:v>
      </x:c>
      <x:c r="L49" s="32" t="n">
        <x:f>K49-J49</x:f>
        <x:v>1</x:v>
      </x:c>
      <x:c r="M49" s="21" t="str">
        <x:v>controlled</x:v>
      </x:c>
      <x:c r="N49" s="23" t="str">
        <x:v>OPEN</x:v>
      </x:c>
    </x:row>
    <x:row r="50">
      <x:c r="B50" s="21" t="str">
        <x:v>EPS-P01-B-E</x:v>
      </x:c>
      <x:c r="C50" s="21" t="str">
        <x:v>EPS-P01</x:v>
      </x:c>
      <x:c r="D50" s="21" t="str">
        <x:v>Independent energy</x:v>
      </x:c>
      <x:c r="E50" s="21" t="str">
        <x:v>EPS-P01-B</x:v>
      </x:c>
      <x:c r="F50" s="21" t="str">
        <x:v>engineering</x:v>
      </x:c>
      <x:c r="G50" s="32" t="n">
        <x:v>2</x:v>
      </x:c>
      <x:c r="H50" s="32" t="n">
        <x:v>3</x:v>
      </x:c>
      <x:c r="I50" s="32" t="n">
        <x:f>G50*H50/1000</x:f>
        <x:v>0.006</x:v>
      </x:c>
      <x:c r="J50" s="32" t="n">
        <x:v>12</x:v>
      </x:c>
      <x:c r="K50" s="32" t="n">
        <x:v>13</x:v>
      </x:c>
      <x:c r="L50" s="32" t="n">
        <x:f>K50-J50</x:f>
        <x:v>1</x:v>
      </x:c>
      <x:c r="M50" s="21" t="str">
        <x:v>controlled</x:v>
      </x:c>
      <x:c r="N50" s="23" t="str">
        <x:v>OPEN</x:v>
      </x:c>
    </x:row>
    <x:row r="51">
      <x:c r="B51" s="21" t="str">
        <x:v>EPS-P01-A-Q</x:v>
      </x:c>
      <x:c r="C51" s="21" t="str">
        <x:v>EPS-P01</x:v>
      </x:c>
      <x:c r="D51" s="21" t="str">
        <x:v>Independent energy</x:v>
      </x:c>
      <x:c r="E51" s="21" t="str">
        <x:v>EPS-P01-A</x:v>
      </x:c>
      <x:c r="F51" s="21" t="str">
        <x:v>qualification and destructive</x:v>
      </x:c>
      <x:c r="G51" s="32" t="n">
        <x:v>3</x:v>
      </x:c>
      <x:c r="H51" s="32" t="n">
        <x:v>3</x:v>
      </x:c>
      <x:c r="I51" s="32" t="n">
        <x:f>G51*H51/1000</x:f>
        <x:v>0.009</x:v>
      </x:c>
      <x:c r="J51" s="32" t="n">
        <x:v>18</x:v>
      </x:c>
      <x:c r="K51" s="32" t="n">
        <x:v>19</x:v>
      </x:c>
      <x:c r="L51" s="32" t="n">
        <x:f>K51-J51</x:f>
        <x:v>1</x:v>
      </x:c>
      <x:c r="M51" s="21" t="str">
        <x:v>protected/destructive</x:v>
      </x:c>
      <x:c r="N51" s="23" t="str">
        <x:v>OPEN</x:v>
      </x:c>
    </x:row>
    <x:row r="52">
      <x:c r="B52" s="21" t="str">
        <x:v>EPS-P01-B-Q</x:v>
      </x:c>
      <x:c r="C52" s="21" t="str">
        <x:v>EPS-P01</x:v>
      </x:c>
      <x:c r="D52" s="21" t="str">
        <x:v>Independent energy</x:v>
      </x:c>
      <x:c r="E52" s="21" t="str">
        <x:v>EPS-P01-B</x:v>
      </x:c>
      <x:c r="F52" s="21" t="str">
        <x:v>qualification and destructive</x:v>
      </x:c>
      <x:c r="G52" s="32" t="n">
        <x:v>3</x:v>
      </x:c>
      <x:c r="H52" s="32" t="n">
        <x:v>3</x:v>
      </x:c>
      <x:c r="I52" s="32" t="n">
        <x:f>G52*H52/1000</x:f>
        <x:v>0.009</x:v>
      </x:c>
      <x:c r="J52" s="32" t="n">
        <x:v>18</x:v>
      </x:c>
      <x:c r="K52" s="32" t="n">
        <x:v>19</x:v>
      </x:c>
      <x:c r="L52" s="32" t="n">
        <x:f>K52-J52</x:f>
        <x:v>1</x:v>
      </x:c>
      <x:c r="M52" s="21" t="str">
        <x:v>protected/destructive</x:v>
      </x:c>
      <x:c r="N52" s="23" t="str">
        <x:v>OPEN</x:v>
      </x:c>
    </x:row>
    <x:row r="53">
      <x:c r="B53" s="21" t="str">
        <x:v>EPS-P01-A-C</x:v>
      </x:c>
      <x:c r="C53" s="21" t="str">
        <x:v>EPS-P01</x:v>
      </x:c>
      <x:c r="D53" s="21" t="str">
        <x:v>Independent energy</x:v>
      </x:c>
      <x:c r="E53" s="21" t="str">
        <x:v>EPS-P01-A</x:v>
      </x:c>
      <x:c r="F53" s="21" t="str">
        <x:v>campaign and protected reserve</x:v>
      </x:c>
      <x:c r="G53" s="32" t="n">
        <x:v>5</x:v>
      </x:c>
      <x:c r="H53" s="32" t="n">
        <x:v>3</x:v>
      </x:c>
      <x:c r="I53" s="32" t="n">
        <x:f>G53*H53/1000</x:f>
        <x:v>0.015</x:v>
      </x:c>
      <x:c r="J53" s="32" t="n">
        <x:v>24</x:v>
      </x:c>
      <x:c r="K53" s="32" t="n">
        <x:v>25</x:v>
      </x:c>
      <x:c r="L53" s="32" t="n">
        <x:f>K53-J53</x:f>
        <x:v>1</x:v>
      </x:c>
      <x:c r="M53" s="21" t="str">
        <x:v>protected/destructive</x:v>
      </x:c>
      <x:c r="N53" s="23" t="str">
        <x:v>OPEN</x:v>
      </x:c>
    </x:row>
    <x:row r="54">
      <x:c r="B54" s="21" t="str">
        <x:v>EPS-P01-B-C</x:v>
      </x:c>
      <x:c r="C54" s="21" t="str">
        <x:v>EPS-P01</x:v>
      </x:c>
      <x:c r="D54" s="21" t="str">
        <x:v>Independent energy</x:v>
      </x:c>
      <x:c r="E54" s="21" t="str">
        <x:v>EPS-P01-B</x:v>
      </x:c>
      <x:c r="F54" s="21" t="str">
        <x:v>campaign and protected reserve</x:v>
      </x:c>
      <x:c r="G54" s="32" t="n">
        <x:v>5</x:v>
      </x:c>
      <x:c r="H54" s="32" t="n">
        <x:v>3</x:v>
      </x:c>
      <x:c r="I54" s="32" t="n">
        <x:f>G54*H54/1000</x:f>
        <x:v>0.015</x:v>
      </x:c>
      <x:c r="J54" s="32" t="n">
        <x:v>24</x:v>
      </x:c>
      <x:c r="K54" s="32" t="n">
        <x:v>25</x:v>
      </x:c>
      <x:c r="L54" s="32" t="n">
        <x:f>K54-J54</x:f>
        <x:v>1</x:v>
      </x:c>
      <x:c r="M54" s="21" t="str">
        <x:v>protected/destructive</x:v>
      </x:c>
      <x:c r="N54" s="23" t="str">
        <x:v>OPEN</x:v>
      </x:c>
    </x:row>
    <x:row r="55">
      <x:c r="B55" s="21" t="str">
        <x:v>TKS-C01-A-E</x:v>
      </x:c>
      <x:c r="C55" s="21" t="str">
        <x:v>TKS-C01</x:v>
      </x:c>
      <x:c r="D55" s="21" t="str">
        <x:v>Denied time</x:v>
      </x:c>
      <x:c r="E55" s="21" t="str">
        <x:v>TKS-C01-A</x:v>
      </x:c>
      <x:c r="F55" s="21" t="str">
        <x:v>engineering</x:v>
      </x:c>
      <x:c r="G55" s="32" t="n">
        <x:v>2</x:v>
      </x:c>
      <x:c r="H55" s="32" t="n">
        <x:v>2</x:v>
      </x:c>
      <x:c r="I55" s="32" t="n">
        <x:f>G55*H55/1000</x:f>
        <x:v>0.004</x:v>
      </x:c>
      <x:c r="J55" s="32" t="n">
        <x:v>24</x:v>
      </x:c>
      <x:c r="K55" s="32" t="n">
        <x:v>25</x:v>
      </x:c>
      <x:c r="L55" s="32" t="n">
        <x:f>K55-J55</x:f>
        <x:v>1</x:v>
      </x:c>
      <x:c r="M55" s="21" t="str">
        <x:v>controlled</x:v>
      </x:c>
      <x:c r="N55" s="23" t="str">
        <x:v>OPEN</x:v>
      </x:c>
    </x:row>
    <x:row r="56">
      <x:c r="B56" s="21" t="str">
        <x:v>TKS-C01-B-E</x:v>
      </x:c>
      <x:c r="C56" s="21" t="str">
        <x:v>TKS-C01</x:v>
      </x:c>
      <x:c r="D56" s="21" t="str">
        <x:v>Denied time</x:v>
      </x:c>
      <x:c r="E56" s="21" t="str">
        <x:v>TKS-C01-B</x:v>
      </x:c>
      <x:c r="F56" s="21" t="str">
        <x:v>engineering</x:v>
      </x:c>
      <x:c r="G56" s="32" t="n">
        <x:v>2</x:v>
      </x:c>
      <x:c r="H56" s="32" t="n">
        <x:v>2</x:v>
      </x:c>
      <x:c r="I56" s="32" t="n">
        <x:f>G56*H56/1000</x:f>
        <x:v>0.004</x:v>
      </x:c>
      <x:c r="J56" s="32" t="n">
        <x:v>24</x:v>
      </x:c>
      <x:c r="K56" s="32" t="n">
        <x:v>25</x:v>
      </x:c>
      <x:c r="L56" s="32" t="n">
        <x:f>K56-J56</x:f>
        <x:v>1</x:v>
      </x:c>
      <x:c r="M56" s="21" t="str">
        <x:v>controlled</x:v>
      </x:c>
      <x:c r="N56" s="23" t="str">
        <x:v>OPEN</x:v>
      </x:c>
    </x:row>
    <x:row r="57">
      <x:c r="B57" s="21" t="str">
        <x:v>TKS-C01-A-Q</x:v>
      </x:c>
      <x:c r="C57" s="21" t="str">
        <x:v>TKS-C01</x:v>
      </x:c>
      <x:c r="D57" s="21" t="str">
        <x:v>Denied time</x:v>
      </x:c>
      <x:c r="E57" s="21" t="str">
        <x:v>TKS-C01-A</x:v>
      </x:c>
      <x:c r="F57" s="21" t="str">
        <x:v>qualification and destructive</x:v>
      </x:c>
      <x:c r="G57" s="32" t="n">
        <x:v>3</x:v>
      </x:c>
      <x:c r="H57" s="32" t="n">
        <x:v>2</x:v>
      </x:c>
      <x:c r="I57" s="32" t="n">
        <x:f>G57*H57/1000</x:f>
        <x:v>0.006</x:v>
      </x:c>
      <x:c r="J57" s="32" t="n">
        <x:v>30</x:v>
      </x:c>
      <x:c r="K57" s="32" t="n">
        <x:v>31</x:v>
      </x:c>
      <x:c r="L57" s="32" t="n">
        <x:f>K57-J57</x:f>
        <x:v>1</x:v>
      </x:c>
      <x:c r="M57" s="21" t="str">
        <x:v>protected/destructive</x:v>
      </x:c>
      <x:c r="N57" s="23" t="str">
        <x:v>OPEN</x:v>
      </x:c>
    </x:row>
    <x:row r="58">
      <x:c r="B58" s="21" t="str">
        <x:v>TKS-C01-B-Q</x:v>
      </x:c>
      <x:c r="C58" s="21" t="str">
        <x:v>TKS-C01</x:v>
      </x:c>
      <x:c r="D58" s="21" t="str">
        <x:v>Denied time</x:v>
      </x:c>
      <x:c r="E58" s="21" t="str">
        <x:v>TKS-C01-B</x:v>
      </x:c>
      <x:c r="F58" s="21" t="str">
        <x:v>qualification and destructive</x:v>
      </x:c>
      <x:c r="G58" s="32" t="n">
        <x:v>3</x:v>
      </x:c>
      <x:c r="H58" s="32" t="n">
        <x:v>2</x:v>
      </x:c>
      <x:c r="I58" s="32" t="n">
        <x:f>G58*H58/1000</x:f>
        <x:v>0.006</x:v>
      </x:c>
      <x:c r="J58" s="32" t="n">
        <x:v>30</x:v>
      </x:c>
      <x:c r="K58" s="32" t="n">
        <x:v>31</x:v>
      </x:c>
      <x:c r="L58" s="32" t="n">
        <x:f>K58-J58</x:f>
        <x:v>1</x:v>
      </x:c>
      <x:c r="M58" s="21" t="str">
        <x:v>protected/destructive</x:v>
      </x:c>
      <x:c r="N58" s="23" t="str">
        <x:v>OPEN</x:v>
      </x:c>
    </x:row>
    <x:row r="59">
      <x:c r="B59" s="21" t="str">
        <x:v>TKS-C01-A-C</x:v>
      </x:c>
      <x:c r="C59" s="21" t="str">
        <x:v>TKS-C01</x:v>
      </x:c>
      <x:c r="D59" s="21" t="str">
        <x:v>Denied time</x:v>
      </x:c>
      <x:c r="E59" s="21" t="str">
        <x:v>TKS-C01-A</x:v>
      </x:c>
      <x:c r="F59" s="21" t="str">
        <x:v>campaign and protected reserve</x:v>
      </x:c>
      <x:c r="G59" s="32" t="n">
        <x:v>5</x:v>
      </x:c>
      <x:c r="H59" s="32" t="n">
        <x:v>2</x:v>
      </x:c>
      <x:c r="I59" s="32" t="n">
        <x:f>G59*H59/1000</x:f>
        <x:v>0.01</x:v>
      </x:c>
      <x:c r="J59" s="32" t="n">
        <x:v>36</x:v>
      </x:c>
      <x:c r="K59" s="32" t="n">
        <x:v>37</x:v>
      </x:c>
      <x:c r="L59" s="32" t="n">
        <x:f>K59-J59</x:f>
        <x:v>1</x:v>
      </x:c>
      <x:c r="M59" s="21" t="str">
        <x:v>protected/destructive</x:v>
      </x:c>
      <x:c r="N59" s="23" t="str">
        <x:v>OPEN</x:v>
      </x:c>
    </x:row>
    <x:row r="60">
      <x:c r="B60" s="21" t="str">
        <x:v>TKS-C01-B-C</x:v>
      </x:c>
      <x:c r="C60" s="21" t="str">
        <x:v>TKS-C01</x:v>
      </x:c>
      <x:c r="D60" s="21" t="str">
        <x:v>Denied time</x:v>
      </x:c>
      <x:c r="E60" s="21" t="str">
        <x:v>TKS-C01-B</x:v>
      </x:c>
      <x:c r="F60" s="21" t="str">
        <x:v>campaign and protected reserve</x:v>
      </x:c>
      <x:c r="G60" s="32" t="n">
        <x:v>5</x:v>
      </x:c>
      <x:c r="H60" s="32" t="n">
        <x:v>2</x:v>
      </x:c>
      <x:c r="I60" s="32" t="n">
        <x:f>G60*H60/1000</x:f>
        <x:v>0.01</x:v>
      </x:c>
      <x:c r="J60" s="32" t="n">
        <x:v>36</x:v>
      </x:c>
      <x:c r="K60" s="32" t="n">
        <x:v>37</x:v>
      </x:c>
      <x:c r="L60" s="32" t="n">
        <x:f>K60-J60</x:f>
        <x:v>1</x:v>
      </x:c>
      <x:c r="M60" s="21" t="str">
        <x:v>protected/destructive</x:v>
      </x:c>
      <x:c r="N60" s="23" t="str">
        <x:v>OPEN</x:v>
      </x:c>
    </x:row>
    <x:row r="61">
      <x:c r="B61" s="21" t="str">
        <x:v>STG-S01-A-E</x:v>
      </x:c>
      <x:c r="C61" s="21" t="str">
        <x:v>STG-S01</x:v>
      </x:c>
      <x:c r="D61" s="21" t="str">
        <x:v>Immutable storage</x:v>
      </x:c>
      <x:c r="E61" s="21" t="str">
        <x:v>STG-S01-A</x:v>
      </x:c>
      <x:c r="F61" s="21" t="str">
        <x:v>engineering</x:v>
      </x:c>
      <x:c r="G61" s="32" t="n">
        <x:v>2</x:v>
      </x:c>
      <x:c r="H61" s="32" t="n">
        <x:v>1</x:v>
      </x:c>
      <x:c r="I61" s="32" t="n">
        <x:f>G61*H61/1000</x:f>
        <x:v>0.002</x:v>
      </x:c>
      <x:c r="J61" s="32" t="n">
        <x:v>12</x:v>
      </x:c>
      <x:c r="K61" s="32" t="n">
        <x:v>13</x:v>
      </x:c>
      <x:c r="L61" s="32" t="n">
        <x:f>K61-J61</x:f>
        <x:v>1</x:v>
      </x:c>
      <x:c r="M61" s="21" t="str">
        <x:v>controlled</x:v>
      </x:c>
      <x:c r="N61" s="23" t="str">
        <x:v>OPEN</x:v>
      </x:c>
    </x:row>
    <x:row r="62">
      <x:c r="B62" s="21" t="str">
        <x:v>STG-S01-B-E</x:v>
      </x:c>
      <x:c r="C62" s="21" t="str">
        <x:v>STG-S01</x:v>
      </x:c>
      <x:c r="D62" s="21" t="str">
        <x:v>Immutable storage</x:v>
      </x:c>
      <x:c r="E62" s="21" t="str">
        <x:v>STG-S01-B</x:v>
      </x:c>
      <x:c r="F62" s="21" t="str">
        <x:v>engineering</x:v>
      </x:c>
      <x:c r="G62" s="32" t="n">
        <x:v>2</x:v>
      </x:c>
      <x:c r="H62" s="32" t="n">
        <x:v>1</x:v>
      </x:c>
      <x:c r="I62" s="32" t="n">
        <x:f>G62*H62/1000</x:f>
        <x:v>0.002</x:v>
      </x:c>
      <x:c r="J62" s="32" t="n">
        <x:v>12</x:v>
      </x:c>
      <x:c r="K62" s="32" t="n">
        <x:v>13</x:v>
      </x:c>
      <x:c r="L62" s="32" t="n">
        <x:f>K62-J62</x:f>
        <x:v>1</x:v>
      </x:c>
      <x:c r="M62" s="21" t="str">
        <x:v>controlled</x:v>
      </x:c>
      <x:c r="N62" s="23" t="str">
        <x:v>OPEN</x:v>
      </x:c>
    </x:row>
    <x:row r="63">
      <x:c r="B63" s="21" t="str">
        <x:v>STG-S01-A-Q</x:v>
      </x:c>
      <x:c r="C63" s="21" t="str">
        <x:v>STG-S01</x:v>
      </x:c>
      <x:c r="D63" s="21" t="str">
        <x:v>Immutable storage</x:v>
      </x:c>
      <x:c r="E63" s="21" t="str">
        <x:v>STG-S01-A</x:v>
      </x:c>
      <x:c r="F63" s="21" t="str">
        <x:v>qualification and destructive</x:v>
      </x:c>
      <x:c r="G63" s="32" t="n">
        <x:v>3</x:v>
      </x:c>
      <x:c r="H63" s="32" t="n">
        <x:v>1</x:v>
      </x:c>
      <x:c r="I63" s="32" t="n">
        <x:f>G63*H63/1000</x:f>
        <x:v>0.003</x:v>
      </x:c>
      <x:c r="J63" s="32" t="n">
        <x:v>18</x:v>
      </x:c>
      <x:c r="K63" s="32" t="n">
        <x:v>19</x:v>
      </x:c>
      <x:c r="L63" s="32" t="n">
        <x:f>K63-J63</x:f>
        <x:v>1</x:v>
      </x:c>
      <x:c r="M63" s="21" t="str">
        <x:v>protected/destructive</x:v>
      </x:c>
      <x:c r="N63" s="23" t="str">
        <x:v>OPEN</x:v>
      </x:c>
    </x:row>
    <x:row r="64">
      <x:c r="B64" s="21" t="str">
        <x:v>STG-S01-B-Q</x:v>
      </x:c>
      <x:c r="C64" s="21" t="str">
        <x:v>STG-S01</x:v>
      </x:c>
      <x:c r="D64" s="21" t="str">
        <x:v>Immutable storage</x:v>
      </x:c>
      <x:c r="E64" s="21" t="str">
        <x:v>STG-S01-B</x:v>
      </x:c>
      <x:c r="F64" s="21" t="str">
        <x:v>qualification and destructive</x:v>
      </x:c>
      <x:c r="G64" s="32" t="n">
        <x:v>3</x:v>
      </x:c>
      <x:c r="H64" s="32" t="n">
        <x:v>1</x:v>
      </x:c>
      <x:c r="I64" s="32" t="n">
        <x:f>G64*H64/1000</x:f>
        <x:v>0.003</x:v>
      </x:c>
      <x:c r="J64" s="32" t="n">
        <x:v>18</x:v>
      </x:c>
      <x:c r="K64" s="32" t="n">
        <x:v>19</x:v>
      </x:c>
      <x:c r="L64" s="32" t="n">
        <x:f>K64-J64</x:f>
        <x:v>1</x:v>
      </x:c>
      <x:c r="M64" s="21" t="str">
        <x:v>protected/destructive</x:v>
      </x:c>
      <x:c r="N64" s="23" t="str">
        <x:v>OPEN</x:v>
      </x:c>
    </x:row>
    <x:row r="65">
      <x:c r="B65" s="21" t="str">
        <x:v>STG-S01-A-C</x:v>
      </x:c>
      <x:c r="C65" s="21" t="str">
        <x:v>STG-S01</x:v>
      </x:c>
      <x:c r="D65" s="21" t="str">
        <x:v>Immutable storage</x:v>
      </x:c>
      <x:c r="E65" s="21" t="str">
        <x:v>STG-S01-A</x:v>
      </x:c>
      <x:c r="F65" s="21" t="str">
        <x:v>campaign and protected reserve</x:v>
      </x:c>
      <x:c r="G65" s="32" t="n">
        <x:v>5</x:v>
      </x:c>
      <x:c r="H65" s="32" t="n">
        <x:v>1</x:v>
      </x:c>
      <x:c r="I65" s="32" t="n">
        <x:f>G65*H65/1000</x:f>
        <x:v>0.005</x:v>
      </x:c>
      <x:c r="J65" s="32" t="n">
        <x:v>24</x:v>
      </x:c>
      <x:c r="K65" s="32" t="n">
        <x:v>25</x:v>
      </x:c>
      <x:c r="L65" s="32" t="n">
        <x:f>K65-J65</x:f>
        <x:v>1</x:v>
      </x:c>
      <x:c r="M65" s="21" t="str">
        <x:v>protected/destructive</x:v>
      </x:c>
      <x:c r="N65" s="23" t="str">
        <x:v>OPEN</x:v>
      </x:c>
    </x:row>
    <x:row r="66">
      <x:c r="B66" s="21" t="str">
        <x:v>STG-S01-B-C</x:v>
      </x:c>
      <x:c r="C66" s="21" t="str">
        <x:v>STG-S01</x:v>
      </x:c>
      <x:c r="D66" s="21" t="str">
        <x:v>Immutable storage</x:v>
      </x:c>
      <x:c r="E66" s="21" t="str">
        <x:v>STG-S01-B</x:v>
      </x:c>
      <x:c r="F66" s="21" t="str">
        <x:v>campaign and protected reserve</x:v>
      </x:c>
      <x:c r="G66" s="32" t="n">
        <x:v>5</x:v>
      </x:c>
      <x:c r="H66" s="32" t="n">
        <x:v>1</x:v>
      </x:c>
      <x:c r="I66" s="32" t="n">
        <x:f>G66*H66/1000</x:f>
        <x:v>0.005</x:v>
      </x:c>
      <x:c r="J66" s="32" t="n">
        <x:v>24</x:v>
      </x:c>
      <x:c r="K66" s="32" t="n">
        <x:v>25</x:v>
      </x:c>
      <x:c r="L66" s="32" t="n">
        <x:f>K66-J66</x:f>
        <x:v>1</x:v>
      </x:c>
      <x:c r="M66" s="21" t="str">
        <x:v>protected/destructive</x:v>
      </x:c>
      <x:c r="N66" s="23" t="str">
        <x:v>OPEN</x:v>
      </x:c>
    </x:row>
    <x:row r="67">
      <x:c r="B67" s="21" t="str">
        <x:v>MHE-E01-A-E</x:v>
      </x:c>
      <x:c r="C67" s="21" t="str">
        <x:v>MHE-E01</x:v>
      </x:c>
      <x:c r="D67" s="21" t="str">
        <x:v>Mass and heat emulator</x:v>
      </x:c>
      <x:c r="E67" s="21" t="str">
        <x:v>MHE-E01-A</x:v>
      </x:c>
      <x:c r="F67" s="21" t="str">
        <x:v>engineering</x:v>
      </x:c>
      <x:c r="G67" s="32" t="n">
        <x:v>2</x:v>
      </x:c>
      <x:c r="H67" s="32" t="n">
        <x:v>2</x:v>
      </x:c>
      <x:c r="I67" s="32" t="n">
        <x:f>G67*H67/1000</x:f>
        <x:v>0.004</x:v>
      </x:c>
      <x:c r="J67" s="32" t="n">
        <x:v>48</x:v>
      </x:c>
      <x:c r="K67" s="32" t="n">
        <x:v>49</x:v>
      </x:c>
      <x:c r="L67" s="32" t="n">
        <x:f>K67-J67</x:f>
        <x:v>1</x:v>
      </x:c>
      <x:c r="M67" s="21" t="str">
        <x:v>controlled</x:v>
      </x:c>
      <x:c r="N67" s="23" t="str">
        <x:v>OPEN</x:v>
      </x:c>
    </x:row>
    <x:row r="68">
      <x:c r="B68" s="21" t="str">
        <x:v>MHE-E01-B-E</x:v>
      </x:c>
      <x:c r="C68" s="21" t="str">
        <x:v>MHE-E01</x:v>
      </x:c>
      <x:c r="D68" s="21" t="str">
        <x:v>Mass and heat emulator</x:v>
      </x:c>
      <x:c r="E68" s="21" t="str">
        <x:v>MHE-E01-B</x:v>
      </x:c>
      <x:c r="F68" s="21" t="str">
        <x:v>engineering</x:v>
      </x:c>
      <x:c r="G68" s="32" t="n">
        <x:v>2</x:v>
      </x:c>
      <x:c r="H68" s="32" t="n">
        <x:v>2</x:v>
      </x:c>
      <x:c r="I68" s="32" t="n">
        <x:f>G68*H68/1000</x:f>
        <x:v>0.004</x:v>
      </x:c>
      <x:c r="J68" s="32" t="n">
        <x:v>48</x:v>
      </x:c>
      <x:c r="K68" s="32" t="n">
        <x:v>49</x:v>
      </x:c>
      <x:c r="L68" s="32" t="n">
        <x:f>K68-J68</x:f>
        <x:v>1</x:v>
      </x:c>
      <x:c r="M68" s="21" t="str">
        <x:v>controlled</x:v>
      </x:c>
      <x:c r="N68" s="23" t="str">
        <x:v>OPEN</x:v>
      </x:c>
    </x:row>
    <x:row r="69">
      <x:c r="B69" s="21" t="str">
        <x:v>MHE-E01-A-Q</x:v>
      </x:c>
      <x:c r="C69" s="21" t="str">
        <x:v>MHE-E01</x:v>
      </x:c>
      <x:c r="D69" s="21" t="str">
        <x:v>Mass and heat emulator</x:v>
      </x:c>
      <x:c r="E69" s="21" t="str">
        <x:v>MHE-E01-A</x:v>
      </x:c>
      <x:c r="F69" s="21" t="str">
        <x:v>qualification and destructive</x:v>
      </x:c>
      <x:c r="G69" s="32" t="n">
        <x:v>2</x:v>
      </x:c>
      <x:c r="H69" s="32" t="n">
        <x:v>2</x:v>
      </x:c>
      <x:c r="I69" s="32" t="n">
        <x:f>G69*H69/1000</x:f>
        <x:v>0.004</x:v>
      </x:c>
      <x:c r="J69" s="32" t="n">
        <x:v>54</x:v>
      </x:c>
      <x:c r="K69" s="32" t="n">
        <x:v>55</x:v>
      </x:c>
      <x:c r="L69" s="32" t="n">
        <x:f>K69-J69</x:f>
        <x:v>1</x:v>
      </x:c>
      <x:c r="M69" s="21" t="str">
        <x:v>protected/destructive</x:v>
      </x:c>
      <x:c r="N69" s="23" t="str">
        <x:v>OPEN</x:v>
      </x:c>
    </x:row>
    <x:row r="70">
      <x:c r="B70" s="21" t="str">
        <x:v>MHE-E01-B-Q</x:v>
      </x:c>
      <x:c r="C70" s="21" t="str">
        <x:v>MHE-E01</x:v>
      </x:c>
      <x:c r="D70" s="21" t="str">
        <x:v>Mass and heat emulator</x:v>
      </x:c>
      <x:c r="E70" s="21" t="str">
        <x:v>MHE-E01-B</x:v>
      </x:c>
      <x:c r="F70" s="21" t="str">
        <x:v>qualification and destructive</x:v>
      </x:c>
      <x:c r="G70" s="32" t="n">
        <x:v>2</x:v>
      </x:c>
      <x:c r="H70" s="32" t="n">
        <x:v>2</x:v>
      </x:c>
      <x:c r="I70" s="32" t="n">
        <x:f>G70*H70/1000</x:f>
        <x:v>0.004</x:v>
      </x:c>
      <x:c r="J70" s="32" t="n">
        <x:v>54</x:v>
      </x:c>
      <x:c r="K70" s="32" t="n">
        <x:v>55</x:v>
      </x:c>
      <x:c r="L70" s="32" t="n">
        <x:f>K70-J70</x:f>
        <x:v>1</x:v>
      </x:c>
      <x:c r="M70" s="21" t="str">
        <x:v>protected/destructive</x:v>
      </x:c>
      <x:c r="N70" s="23" t="str">
        <x:v>OPEN</x:v>
      </x:c>
    </x:row>
    <x:row r="71">
      <x:c r="B71" s="21" t="str">
        <x:v>MHE-E01-A-C</x:v>
      </x:c>
      <x:c r="C71" s="21" t="str">
        <x:v>MHE-E01</x:v>
      </x:c>
      <x:c r="D71" s="21" t="str">
        <x:v>Mass and heat emulator</x:v>
      </x:c>
      <x:c r="E71" s="21" t="str">
        <x:v>MHE-E01-A</x:v>
      </x:c>
      <x:c r="F71" s="21" t="str">
        <x:v>campaign and protected reserve</x:v>
      </x:c>
      <x:c r="G71" s="32" t="n">
        <x:v>6</x:v>
      </x:c>
      <x:c r="H71" s="32" t="n">
        <x:v>2</x:v>
      </x:c>
      <x:c r="I71" s="32" t="n">
        <x:f>G71*H71/1000</x:f>
        <x:v>0.012</x:v>
      </x:c>
      <x:c r="J71" s="32" t="n">
        <x:v>60</x:v>
      </x:c>
      <x:c r="K71" s="32" t="n">
        <x:v>61</x:v>
      </x:c>
      <x:c r="L71" s="32" t="n">
        <x:f>K71-J71</x:f>
        <x:v>1</x:v>
      </x:c>
      <x:c r="M71" s="21" t="str">
        <x:v>protected/destructive</x:v>
      </x:c>
      <x:c r="N71" s="23" t="str">
        <x:v>OPEN</x:v>
      </x:c>
    </x:row>
    <x:row r="72">
      <x:c r="B72" s="24" t="str">
        <x:v>MHE-E01-B-C</x:v>
      </x:c>
      <x:c r="C72" s="24" t="str">
        <x:v>MHE-E01</x:v>
      </x:c>
      <x:c r="D72" s="24" t="str">
        <x:v>Mass and heat emulator</x:v>
      </x:c>
      <x:c r="E72" s="24" t="str">
        <x:v>MHE-E01-B</x:v>
      </x:c>
      <x:c r="F72" s="24" t="str">
        <x:v>campaign and protected reserve</x:v>
      </x:c>
      <x:c r="G72" s="33" t="n">
        <x:v>6</x:v>
      </x:c>
      <x:c r="H72" s="33" t="n">
        <x:v>2</x:v>
      </x:c>
      <x:c r="I72" s="33" t="n">
        <x:f>G72*H72/1000</x:f>
        <x:v>0.012</x:v>
      </x:c>
      <x:c r="J72" s="33" t="n">
        <x:v>60</x:v>
      </x:c>
      <x:c r="K72" s="33" t="n">
        <x:v>61</x:v>
      </x:c>
      <x:c r="L72" s="33" t="n">
        <x:f>K72-J72</x:f>
        <x:v>1</x:v>
      </x:c>
      <x:c r="M72" s="24" t="str">
        <x:v>protected/destructive</x:v>
      </x:c>
      <x:c r="N72" s="26" t="str">
        <x:v>OPEN</x:v>
      </x:c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</x:sheetData>
  <x:mergeCells>
    <x:mergeCell ref="B3:N3"/>
  </x:mergeCells>
  <x:conditionalFormatting sqref="N7:N72">
    <x:cfRule type="containsText" dxfId="40" priority="1" operator="containsText" text="OPEN"/>
    <x:cfRule type="containsText" dxfId="41" priority="2" operator="containsText" text="HOLD"/>
    <x:cfRule type="containsText" dxfId="42" priority="3" operator="containsText" text="BLOCKED"/>
    <x:cfRule type="containsText" dxfId="43" priority="4" operator="containsText" text="CHALLENGE ONLY"/>
    <x:cfRule type="containsText" dxfId="44" priority="5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37" hidden="0" customWidth="1"/>
    <x:col min="4" max="4" width="12" hidden="0" customWidth="1"/>
    <x:col min="5" max="5" width="17" hidden="0" customWidth="1"/>
    <x:col min="6" max="6" width="16" hidden="0" customWidth="1"/>
    <x:col min="7" max="7" width="34" hidden="0" customWidth="1"/>
    <x:col min="8" max="8" width="27" hidden="0" customWidth="1"/>
    <x:col min="9" max="9" width="13" hidden="0" customWidth="1"/>
  </x:cols>
  <x:sheetData>
    <x:row r="2">
      <x:c r="B2" s="3" t="str">
        <x:v>Government-furnished evidence standards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Public fixtures and traveling standards make rival results comparable and prevent a winning builder from owning the definition of success.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Standard</x:v>
      </x:c>
      <x:c r="C6" s="20" t="str">
        <x:v>Description</x:v>
      </x:c>
      <x:c r="D6" s="20" t="str">
        <x:v>Quantity</x:v>
      </x:c>
      <x:c r="E6" s="20" t="str">
        <x:v>Program USD B</x:v>
      </x:c>
      <x:c r="F6" s="20" t="str">
        <x:v>Unit USD M</x:v>
      </x:c>
      <x:c r="G6" s="20" t="str">
        <x:v>Decision use</x:v>
      </x:c>
      <x:c r="H6" s="20" t="str">
        <x:v>Authority</x:v>
      </x:c>
      <x:c r="I6" s="20" t="str">
        <x:v>Evidence</x:v>
      </x:c>
    </x:row>
    <x:row r="7">
      <x:c r="B7" s="21" t="str">
        <x:v>S01</x:v>
      </x:c>
      <x:c r="C7" s="21" t="str">
        <x:v>mass-property reference frames</x:v>
      </x:c>
      <x:c r="D7" s="21" t="n">
        <x:v>4</x:v>
      </x:c>
      <x:c r="E7" s="32" t="n">
        <x:v>0.025</x:v>
      </x:c>
      <x:c r="F7" s="32" t="n">
        <x:f>E7*1000/D7</x:f>
        <x:v>6.25</x:v>
      </x:c>
      <x:c r="G7" s="21" t="str">
        <x:v>mass moments and center of gravity</x:v>
      </x:c>
      <x:c r="H7" s="21" t="str">
        <x:v>public metrology authority</x:v>
      </x:c>
      <x:c r="I7" s="23" t="str">
        <x:v>OPEN</x:v>
      </x:c>
    </x:row>
    <x:row r="8">
      <x:c r="B8" s="21" t="str">
        <x:v>S02</x:v>
      </x:c>
      <x:c r="C8" s="21" t="str">
        <x:v>traveling calorimeters</x:v>
      </x:c>
      <x:c r="D8" s="21" t="n">
        <x:v>4</x:v>
      </x:c>
      <x:c r="E8" s="32" t="n">
        <x:v>0.035</x:v>
      </x:c>
      <x:c r="F8" s="32" t="n">
        <x:f>E8*1000/D8</x:f>
        <x:v>8.75</x:v>
      </x:c>
      <x:c r="G8" s="21" t="str">
        <x:v>steady peak and fault heat</x:v>
      </x:c>
      <x:c r="H8" s="21" t="str">
        <x:v>public metrology authority</x:v>
      </x:c>
      <x:c r="I8" s="23" t="str">
        <x:v>OPEN</x:v>
      </x:c>
    </x:row>
    <x:row r="9">
      <x:c r="B9" s="21" t="str">
        <x:v>S03</x:v>
      </x:c>
      <x:c r="C9" s="21" t="str">
        <x:v>electrical energy standards</x:v>
      </x:c>
      <x:c r="D9" s="21" t="n">
        <x:v>6</x:v>
      </x:c>
      <x:c r="E9" s="32" t="n">
        <x:v>0.03</x:v>
      </x:c>
      <x:c r="F9" s="32" t="n">
        <x:f>E9*1000/D9</x:f>
        <x:v>5</x:v>
      </x:c>
      <x:c r="G9" s="21" t="str">
        <x:v>stored delivered and reverse energy</x:v>
      </x:c>
      <x:c r="H9" s="21" t="str">
        <x:v>public metrology authority</x:v>
      </x:c>
      <x:c r="I9" s="23" t="str">
        <x:v>OPEN</x:v>
      </x:c>
    </x:row>
    <x:row r="10">
      <x:c r="B10" s="21" t="str">
        <x:v>S04</x:v>
      </x:c>
      <x:c r="C10" s="21" t="str">
        <x:v>pressure-flow calibration loops</x:v>
      </x:c>
      <x:c r="D10" s="21" t="n">
        <x:v>4</x:v>
      </x:c>
      <x:c r="E10" s="32" t="n">
        <x:v>0.022</x:v>
      </x:c>
      <x:c r="F10" s="32" t="n">
        <x:f>E10*1000/D10</x:f>
        <x:v>5.5</x:v>
      </x:c>
      <x:c r="G10" s="21" t="str">
        <x:v>fluid state and impedance</x:v>
      </x:c>
      <x:c r="H10" s="21" t="str">
        <x:v>public metrology authority</x:v>
      </x:c>
      <x:c r="I10" s="23" t="str">
        <x:v>OPEN</x:v>
      </x:c>
    </x:row>
    <x:row r="11">
      <x:c r="B11" s="21" t="str">
        <x:v>S05</x:v>
      </x:c>
      <x:c r="C11" s="21" t="str">
        <x:v>force and pressure platens</x:v>
      </x:c>
      <x:c r="D11" s="21" t="n">
        <x:v>4</x:v>
      </x:c>
      <x:c r="E11" s="32" t="n">
        <x:v>0.04</x:v>
      </x:c>
      <x:c r="F11" s="32" t="n">
        <x:f>E11*1000/D11</x:f>
        <x:v>10</x:v>
      </x:c>
      <x:c r="G11" s="21" t="str">
        <x:v>terrain contact and structure</x:v>
      </x:c>
      <x:c r="H11" s="21" t="str">
        <x:v>public metrology authority</x:v>
      </x:c>
      <x:c r="I11" s="23" t="str">
        <x:v>OPEN</x:v>
      </x:c>
    </x:row>
    <x:row r="12">
      <x:c r="B12" s="21" t="str">
        <x:v>S06</x:v>
      </x:c>
      <x:c r="C12" s="21" t="str">
        <x:v>optical geometry fields</x:v>
      </x:c>
      <x:c r="D12" s="21" t="n">
        <x:v>4</x:v>
      </x:c>
      <x:c r="E12" s="32" t="n">
        <x:v>0.028</x:v>
      </x:c>
      <x:c r="F12" s="32" t="n">
        <x:f>E12*1000/D12</x:f>
        <x:v>7</x:v>
      </x:c>
      <x:c r="G12" s="21" t="str">
        <x:v>contact and pose reconstruction</x:v>
      </x:c>
      <x:c r="H12" s="21" t="str">
        <x:v>public metrology authority</x:v>
      </x:c>
      <x:c r="I12" s="23" t="str">
        <x:v>OPEN</x:v>
      </x:c>
    </x:row>
    <x:row r="13">
      <x:c r="B13" s="21" t="str">
        <x:v>S07</x:v>
      </x:c>
      <x:c r="C13" s="21" t="str">
        <x:v>denied-time transfer kits</x:v>
      </x:c>
      <x:c r="D13" s="21" t="n">
        <x:v>6</x:v>
      </x:c>
      <x:c r="E13" s="32" t="n">
        <x:v>0.025</x:v>
      </x:c>
      <x:c r="F13" s="32" t="n">
        <x:f>E13*1000/D13</x:f>
        <x:v>4.166666666666667</x:v>
      </x:c>
      <x:c r="G13" s="21" t="str">
        <x:v>clock drift and event order</x:v>
      </x:c>
      <x:c r="H13" s="21" t="str">
        <x:v>public metrology authority</x:v>
      </x:c>
      <x:c r="I13" s="23" t="str">
        <x:v>OPEN</x:v>
      </x:c>
    </x:row>
    <x:row r="14">
      <x:c r="B14" s="21" t="str">
        <x:v>S08</x:v>
      </x:c>
      <x:c r="C14" s="21" t="str">
        <x:v>known-pattern storage challenges</x:v>
      </x:c>
      <x:c r="D14" s="21" t="n">
        <x:v>8</x:v>
      </x:c>
      <x:c r="E14" s="32" t="n">
        <x:v>0.02</x:v>
      </x:c>
      <x:c r="F14" s="32" t="n">
        <x:f>E14*1000/D14</x:f>
        <x:v>2.5</x:v>
      </x:c>
      <x:c r="G14" s="21" t="str">
        <x:v>silent loss and custody</x:v>
      </x:c>
      <x:c r="H14" s="21" t="str">
        <x:v>public metrology authority</x:v>
      </x:c>
      <x:c r="I14" s="23" t="str">
        <x:v>OPEN</x:v>
      </x:c>
    </x:row>
    <x:row r="15">
      <x:c r="B15" s="21" t="str">
        <x:v>S09</x:v>
      </x:c>
      <x:c r="C15" s="21" t="str">
        <x:v>reverse-energy injectors</x:v>
      </x:c>
      <x:c r="D15" s="21" t="n">
        <x:v>6</x:v>
      </x:c>
      <x:c r="E15" s="32" t="n">
        <x:v>0.03</x:v>
      </x:c>
      <x:c r="F15" s="32" t="n">
        <x:f>E15*1000/D15</x:f>
        <x:v>5</x:v>
      </x:c>
      <x:c r="G15" s="21" t="str">
        <x:v>physical one-way boundaries</x:v>
      </x:c>
      <x:c r="H15" s="21" t="str">
        <x:v>public metrology authority</x:v>
      </x:c>
      <x:c r="I15" s="23" t="str">
        <x:v>OPEN</x:v>
      </x:c>
    </x:row>
    <x:row r="16">
      <x:c r="B16" s="21" t="str">
        <x:v>S10</x:v>
      </x:c>
      <x:c r="C16" s="21" t="str">
        <x:v>vibration profile generators</x:v>
      </x:c>
      <x:c r="D16" s="21" t="n">
        <x:v>4</x:v>
      </x:c>
      <x:c r="E16" s="32" t="n">
        <x:v>0.035</x:v>
      </x:c>
      <x:c r="F16" s="32" t="n">
        <x:f>E16*1000/D16</x:f>
        <x:v>8.75</x:v>
      </x:c>
      <x:c r="G16" s="21" t="str">
        <x:v>registered mechanical exposure</x:v>
      </x:c>
      <x:c r="H16" s="21" t="str">
        <x:v>public metrology authority</x:v>
      </x:c>
      <x:c r="I16" s="23" t="str">
        <x:v>OPEN</x:v>
      </x:c>
    </x:row>
    <x:row r="17">
      <x:c r="B17" s="21" t="str">
        <x:v>S11</x:v>
      </x:c>
      <x:c r="C17" s="21" t="str">
        <x:v>thermal environment chambers</x:v>
      </x:c>
      <x:c r="D17" s="21" t="n">
        <x:v>4</x:v>
      </x:c>
      <x:c r="E17" s="32" t="n">
        <x:v>0.025</x:v>
      </x:c>
      <x:c r="F17" s="32" t="n">
        <x:f>E17*1000/D17</x:f>
        <x:v>6.25</x:v>
      </x:c>
      <x:c r="G17" s="21" t="str">
        <x:v>hot cold and cycling</x:v>
      </x:c>
      <x:c r="H17" s="21" t="str">
        <x:v>public metrology authority</x:v>
      </x:c>
      <x:c r="I17" s="23" t="str">
        <x:v>OPEN</x:v>
      </x:c>
    </x:row>
    <x:row r="18">
      <x:c r="B18" s="21" t="str">
        <x:v>S12</x:v>
      </x:c>
      <x:c r="C18" s="21" t="str">
        <x:v>water salt and decontamination loops</x:v>
      </x:c>
      <x:c r="D18" s="21" t="n">
        <x:v>4</x:v>
      </x:c>
      <x:c r="E18" s="32" t="n">
        <x:v>0.025</x:v>
      </x:c>
      <x:c r="F18" s="32" t="n">
        <x:f>E18*1000/D18</x:f>
        <x:v>6.25</x:v>
      </x:c>
      <x:c r="G18" s="21" t="str">
        <x:v>ingress and chemistry</x:v>
      </x:c>
      <x:c r="H18" s="21" t="str">
        <x:v>public metrology authority</x:v>
      </x:c>
      <x:c r="I18" s="23" t="str">
        <x:v>OPEN</x:v>
      </x:c>
    </x:row>
    <x:row r="19">
      <x:c r="B19" s="21" t="str">
        <x:v>S13</x:v>
      </x:c>
      <x:c r="C19" s="21" t="str">
        <x:v>fire-containment article rigs</x:v>
      </x:c>
      <x:c r="D19" s="21" t="n">
        <x:v>4</x:v>
      </x:c>
      <x:c r="E19" s="32" t="n">
        <x:v>0.05</x:v>
      </x:c>
      <x:c r="F19" s="32" t="n">
        <x:f>E19*1000/D19</x:f>
        <x:v>12.5</x:v>
      </x:c>
      <x:c r="G19" s="21" t="str">
        <x:v>propagation and original survival</x:v>
      </x:c>
      <x:c r="H19" s="21" t="str">
        <x:v>public metrology authority</x:v>
      </x:c>
      <x:c r="I19" s="23" t="str">
        <x:v>OPEN</x:v>
      </x:c>
    </x:row>
    <x:row r="20">
      <x:c r="B20" s="21" t="str">
        <x:v>S14</x:v>
      </x:c>
      <x:c r="C20" s="21" t="str">
        <x:v>receiver assay references</x:v>
      </x:c>
      <x:c r="D20" s="21" t="n">
        <x:v>8</x:v>
      </x:c>
      <x:c r="E20" s="32" t="n">
        <x:v>0.03</x:v>
      </x:c>
      <x:c r="F20" s="32" t="n">
        <x:f>E20*1000/D20</x:f>
        <x:v>3.75</x:v>
      </x:c>
      <x:c r="G20" s="21" t="str">
        <x:v>water power and occupied effect</x:v>
      </x:c>
      <x:c r="H20" s="21" t="str">
        <x:v>public metrology authority</x:v>
      </x:c>
      <x:c r="I20" s="23" t="str">
        <x:v>OPEN</x:v>
      </x:c>
    </x:row>
    <x:row r="21">
      <x:c r="B21" s="24" t="str">
        <x:v>S15</x:v>
      </x:c>
      <x:c r="C21" s="24" t="str">
        <x:v>sealed custody fixtures</x:v>
      </x:c>
      <x:c r="D21" s="24" t="n">
        <x:v>12</x:v>
      </x:c>
      <x:c r="E21" s="33" t="n">
        <x:v>0.02</x:v>
      </x:c>
      <x:c r="F21" s="33" t="n">
        <x:f>E21*1000/D21</x:f>
        <x:v>1.6666666666666667</x:v>
      </x:c>
      <x:c r="G21" s="24" t="str">
        <x:v>lot release quarantine and transfer</x:v>
      </x:c>
      <x:c r="H21" s="24" t="str">
        <x:v>public metrology authority</x:v>
      </x:c>
      <x:c r="I21" s="26" t="str">
        <x:v>OPEN</x:v>
      </x:c>
    </x:row>
    <x:row r="22">
      <x:c r="B22" s="2"/>
      <x:c r="C22" s="2"/>
      <x:c r="D22" s="2"/>
      <x:c r="E22" s="2"/>
      <x:c r="F22" s="2"/>
      <x:c r="G22" s="2"/>
      <x:c r="H22" s="2"/>
      <x:c r="I22" s="2"/>
    </x:row>
    <x:row r="23">
      <x:c r="B23" s="2"/>
      <x:c r="C23" s="2"/>
      <x:c r="D23" s="2"/>
      <x:c r="E23" s="2"/>
      <x:c r="F23" s="2"/>
      <x:c r="G23" s="2"/>
      <x:c r="H23" s="2"/>
      <x:c r="I23" s="2"/>
    </x:row>
    <x:row r="24">
      <x:c r="B24" s="2"/>
      <x:c r="C24" s="2"/>
      <x:c r="D24" s="2"/>
      <x:c r="E24" s="2"/>
      <x:c r="F24" s="2"/>
      <x:c r="G24" s="2"/>
      <x:c r="H24" s="2"/>
      <x:c r="I24" s="2"/>
    </x:row>
    <x:row r="25">
      <x:c r="B25" s="2"/>
      <x:c r="C25" s="2"/>
      <x:c r="D25" s="2"/>
      <x:c r="E25" s="2"/>
      <x:c r="F25" s="2"/>
      <x:c r="G25" s="2"/>
      <x:c r="H25" s="2"/>
      <x:c r="I25" s="2"/>
    </x:row>
  </x:sheetData>
  <x:mergeCells>
    <x:mergeCell ref="B3:I3"/>
  </x:mergeCells>
  <x:conditionalFormatting sqref="I7:I21">
    <x:cfRule type="containsText" dxfId="45" priority="1" operator="containsText" text="OPEN"/>
    <x:cfRule type="containsText" dxfId="46" priority="2" operator="containsText" text="HOLD"/>
    <x:cfRule type="containsText" dxfId="47" priority="3" operator="containsText" text="BLOCKED"/>
    <x:cfRule type="containsText" dxfId="48" priority="4" operator="containsText" text="CHALLENGE ONLY"/>
    <x:cfRule type="containsText" dxfId="49" priority="5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8" hidden="0" customWidth="1"/>
    <x:col min="4" max="4" width="14" hidden="0" customWidth="1"/>
    <x:col min="5" max="5" width="35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2" hidden="0" customWidth="1"/>
    <x:col min="11" max="11" width="13" hidden="0" customWidth="1"/>
    <x:col min="12" max="12" width="31" hidden="0" customWidth="1"/>
  </x:cols>
  <x:sheetData>
    <x:row r="2">
      <x:c r="B2" s="3" t="str">
        <x:v>Decisive long-lead reservations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Each build path exposes one decisive long lead, the date it is needed, the order-by month, and the freeze that must precede commitment.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Record</x:v>
      </x:c>
      <x:c r="C6" s="20" t="str">
        <x:v>Proposal</x:v>
      </x:c>
      <x:c r="D6" s="20" t="str">
        <x:v>Family</x:v>
      </x:c>
      <x:c r="E6" s="20" t="str">
        <x:v>Item</x:v>
      </x:c>
      <x:c r="F6" s="20" t="str">
        <x:v>Lead months</x:v>
      </x:c>
      <x:c r="G6" s="20" t="str">
        <x:v>Need month</x:v>
      </x:c>
      <x:c r="H6" s="20" t="str">
        <x:v>Order-by month</x:v>
      </x:c>
      <x:c r="I6" s="20" t="str">
        <x:v>Freeze month</x:v>
      </x:c>
      <x:c r="J6" s="20" t="str">
        <x:v>Margin</x:v>
      </x:c>
      <x:c r="K6" s="20" t="str">
        <x:v>Evidence</x:v>
      </x:c>
      <x:c r="L6" s="20" t="str">
        <x:v>Action</x:v>
      </x:c>
    </x:row>
    <x:row r="7">
      <x:c r="B7" s="21" t="str">
        <x:v>L01</x:v>
      </x:c>
      <x:c r="C7" s="21" t="str">
        <x:v>ATC-A01-A</x:v>
      </x:c>
      <x:c r="D7" s="21" t="str">
        <x:v>ATC-A01</x:v>
      </x:c>
      <x:c r="E7" s="21" t="str">
        <x:v>isolated acquisition wafers</x:v>
      </x:c>
      <x:c r="F7" s="21" t="n">
        <x:v>14</x:v>
      </x:c>
      <x:c r="G7" s="21" t="n">
        <x:v>24</x:v>
      </x:c>
      <x:c r="H7" s="21" t="n">
        <x:v>10</x:v>
      </x:c>
      <x:c r="I7" s="21" t="n">
        <x:v>4</x:v>
      </x:c>
      <x:c r="J7" s="21" t="n">
        <x:v>6</x:v>
      </x:c>
      <x:c r="K7" s="21" t="str">
        <x:v>OPEN</x:v>
      </x:c>
      <x:c r="L7" s="23" t="str">
        <x:v>second qualified source required</x:v>
      </x:c>
    </x:row>
    <x:row r="8">
      <x:c r="B8" s="21" t="str">
        <x:v>L02</x:v>
      </x:c>
      <x:c r="C8" s="21" t="str">
        <x:v>ATC-A01-B</x:v>
      </x:c>
      <x:c r="D8" s="21" t="str">
        <x:v>ATC-A01</x:v>
      </x:c>
      <x:c r="E8" s="21" t="str">
        <x:v>optical grating substrates</x:v>
      </x:c>
      <x:c r="F8" s="21" t="n">
        <x:v>15</x:v>
      </x:c>
      <x:c r="G8" s="21" t="n">
        <x:v>24</x:v>
      </x:c>
      <x:c r="H8" s="21" t="n">
        <x:v>9</x:v>
      </x:c>
      <x:c r="I8" s="21" t="n">
        <x:v>4</x:v>
      </x:c>
      <x:c r="J8" s="21" t="n">
        <x:v>5</x:v>
      </x:c>
      <x:c r="K8" s="21" t="str">
        <x:v>OPEN</x:v>
      </x:c>
      <x:c r="L8" s="23" t="str">
        <x:v>second qualified source required</x:v>
      </x:c>
    </x:row>
    <x:row r="9">
      <x:c r="B9" s="21" t="str">
        <x:v>L03</x:v>
      </x:c>
      <x:c r="C9" s="21" t="str">
        <x:v>TTC-T01-A</x:v>
      </x:c>
      <x:c r="D9" s="21" t="str">
        <x:v>TTC-T01</x:v>
      </x:c>
      <x:c r="E9" s="21" t="str">
        <x:v>rugged fiber feedthroughs</x:v>
      </x:c>
      <x:c r="F9" s="21" t="n">
        <x:v>16</x:v>
      </x:c>
      <x:c r="G9" s="21" t="n">
        <x:v>24</x:v>
      </x:c>
      <x:c r="H9" s="21" t="n">
        <x:v>8</x:v>
      </x:c>
      <x:c r="I9" s="21" t="n">
        <x:v>4</x:v>
      </x:c>
      <x:c r="J9" s="21" t="n">
        <x:v>4</x:v>
      </x:c>
      <x:c r="K9" s="21" t="str">
        <x:v>OPEN</x:v>
      </x:c>
      <x:c r="L9" s="23" t="str">
        <x:v>second qualified source required</x:v>
      </x:c>
    </x:row>
    <x:row r="10">
      <x:c r="B10" s="21" t="str">
        <x:v>L04</x:v>
      </x:c>
      <x:c r="C10" s="21" t="str">
        <x:v>TTC-T01-B</x:v>
      </x:c>
      <x:c r="D10" s="21" t="str">
        <x:v>TTC-T01</x:v>
      </x:c>
      <x:c r="E10" s="21" t="str">
        <x:v>printed sensing films</x:v>
      </x:c>
      <x:c r="F10" s="21" t="n">
        <x:v>17</x:v>
      </x:c>
      <x:c r="G10" s="21" t="n">
        <x:v>24</x:v>
      </x:c>
      <x:c r="H10" s="21" t="n">
        <x:v>7</x:v>
      </x:c>
      <x:c r="I10" s="21" t="n">
        <x:v>4</x:v>
      </x:c>
      <x:c r="J10" s="21" t="n">
        <x:v>3</x:v>
      </x:c>
      <x:c r="K10" s="21" t="str">
        <x:v>OPEN</x:v>
      </x:c>
      <x:c r="L10" s="23" t="str">
        <x:v>second qualified source required</x:v>
      </x:c>
    </x:row>
    <x:row r="11">
      <x:c r="B11" s="21" t="str">
        <x:v>L05</x:v>
      </x:c>
      <x:c r="C11" s="21" t="str">
        <x:v>ACN-A01-A</x:v>
      </x:c>
      <x:c r="D11" s="21" t="str">
        <x:v>ACN-A01</x:v>
      </x:c>
      <x:c r="E11" s="21" t="str">
        <x:v>high-rate evidence converters</x:v>
      </x:c>
      <x:c r="F11" s="21" t="n">
        <x:v>18</x:v>
      </x:c>
      <x:c r="G11" s="21" t="n">
        <x:v>36</x:v>
      </x:c>
      <x:c r="H11" s="21" t="n">
        <x:v>18</x:v>
      </x:c>
      <x:c r="I11" s="21" t="n">
        <x:v>4</x:v>
      </x:c>
      <x:c r="J11" s="21" t="n">
        <x:v>14</x:v>
      </x:c>
      <x:c r="K11" s="21" t="str">
        <x:v>OPEN</x:v>
      </x:c>
      <x:c r="L11" s="23" t="str">
        <x:v>second qualified source required</x:v>
      </x:c>
    </x:row>
    <x:row r="12">
      <x:c r="B12" s="21" t="str">
        <x:v>L06</x:v>
      </x:c>
      <x:c r="C12" s="21" t="str">
        <x:v>ACN-A01-B</x:v>
      </x:c>
      <x:c r="D12" s="21" t="str">
        <x:v>ACN-A01</x:v>
      </x:c>
      <x:c r="E12" s="21" t="str">
        <x:v>passive geometry rings</x:v>
      </x:c>
      <x:c r="F12" s="21" t="n">
        <x:v>19</x:v>
      </x:c>
      <x:c r="G12" s="21" t="n">
        <x:v>36</x:v>
      </x:c>
      <x:c r="H12" s="21" t="n">
        <x:v>17</x:v>
      </x:c>
      <x:c r="I12" s="21" t="n">
        <x:v>4</x:v>
      </x:c>
      <x:c r="J12" s="21" t="n">
        <x:v>13</x:v>
      </x:c>
      <x:c r="K12" s="21" t="str">
        <x:v>OPEN</x:v>
      </x:c>
      <x:c r="L12" s="23" t="str">
        <x:v>second qualified source required</x:v>
      </x:c>
    </x:row>
    <x:row r="13">
      <x:c r="B13" s="21" t="str">
        <x:v>L07</x:v>
      </x:c>
      <x:c r="C13" s="21" t="str">
        <x:v>TCN-T01-A</x:v>
      </x:c>
      <x:c r="D13" s="21" t="str">
        <x:v>TCN-T01</x:v>
      </x:c>
      <x:c r="E13" s="21" t="str">
        <x:v>pod-local vault enclosures</x:v>
      </x:c>
      <x:c r="F13" s="21" t="n">
        <x:v>20</x:v>
      </x:c>
      <x:c r="G13" s="21" t="n">
        <x:v>36</x:v>
      </x:c>
      <x:c r="H13" s="21" t="n">
        <x:v>16</x:v>
      </x:c>
      <x:c r="I13" s="21" t="n">
        <x:v>4</x:v>
      </x:c>
      <x:c r="J13" s="21" t="n">
        <x:v>12</x:v>
      </x:c>
      <x:c r="K13" s="21" t="str">
        <x:v>OPEN</x:v>
      </x:c>
      <x:c r="L13" s="23" t="str">
        <x:v>second qualified source required</x:v>
      </x:c>
    </x:row>
    <x:row r="14">
      <x:c r="B14" s="21" t="str">
        <x:v>L08</x:v>
      </x:c>
      <x:c r="C14" s="21" t="str">
        <x:v>TCN-T01-B</x:v>
      </x:c>
      <x:c r="D14" s="21" t="str">
        <x:v>TCN-T01</x:v>
      </x:c>
      <x:c r="E14" s="21" t="str">
        <x:v>structural-wave transducers</x:v>
      </x:c>
      <x:c r="F14" s="21" t="n">
        <x:v>14</x:v>
      </x:c>
      <x:c r="G14" s="21" t="n">
        <x:v>36</x:v>
      </x:c>
      <x:c r="H14" s="21" t="n">
        <x:v>22</x:v>
      </x:c>
      <x:c r="I14" s="21" t="n">
        <x:v>4</x:v>
      </x:c>
      <x:c r="J14" s="21" t="n">
        <x:v>18</x:v>
      </x:c>
      <x:c r="K14" s="21" t="str">
        <x:v>OPEN</x:v>
      </x:c>
      <x:c r="L14" s="23" t="str">
        <x:v>second qualified source required</x:v>
      </x:c>
    </x:row>
    <x:row r="15">
      <x:c r="B15" s="21" t="str">
        <x:v>L09</x:v>
      </x:c>
      <x:c r="C15" s="21" t="str">
        <x:v>CRS-R01-A</x:v>
      </x:c>
      <x:c r="D15" s="21" t="str">
        <x:v>CRS-R01</x:v>
      </x:c>
      <x:c r="E15" s="21" t="str">
        <x:v>microfluidic assay cartridges</x:v>
      </x:c>
      <x:c r="F15" s="21" t="n">
        <x:v>15</x:v>
      </x:c>
      <x:c r="G15" s="21" t="n">
        <x:v>42</x:v>
      </x:c>
      <x:c r="H15" s="21" t="n">
        <x:v>27</x:v>
      </x:c>
      <x:c r="I15" s="21" t="n">
        <x:v>4</x:v>
      </x:c>
      <x:c r="J15" s="21" t="n">
        <x:v>23</x:v>
      </x:c>
      <x:c r="K15" s="21" t="str">
        <x:v>OPEN</x:v>
      </x:c>
      <x:c r="L15" s="23" t="str">
        <x:v>second qualified source required</x:v>
      </x:c>
    </x:row>
    <x:row r="16">
      <x:c r="B16" s="21" t="str">
        <x:v>L10</x:v>
      </x:c>
      <x:c r="C16" s="21" t="str">
        <x:v>CRS-R01-B</x:v>
      </x:c>
      <x:c r="D16" s="21" t="str">
        <x:v>CRS-R01</x:v>
      </x:c>
      <x:c r="E16" s="21" t="str">
        <x:v>grid-forming witness converters</x:v>
      </x:c>
      <x:c r="F16" s="21" t="n">
        <x:v>16</x:v>
      </x:c>
      <x:c r="G16" s="21" t="n">
        <x:v>42</x:v>
      </x:c>
      <x:c r="H16" s="21" t="n">
        <x:v>26</x:v>
      </x:c>
      <x:c r="I16" s="21" t="n">
        <x:v>4</x:v>
      </x:c>
      <x:c r="J16" s="21" t="n">
        <x:v>22</x:v>
      </x:c>
      <x:c r="K16" s="21" t="str">
        <x:v>OPEN</x:v>
      </x:c>
      <x:c r="L16" s="23" t="str">
        <x:v>second qualified source required</x:v>
      </x:c>
    </x:row>
    <x:row r="17">
      <x:c r="B17" s="21" t="str">
        <x:v>L11</x:v>
      </x:c>
      <x:c r="C17" s="21" t="str">
        <x:v>PSS-T01-A</x:v>
      </x:c>
      <x:c r="D17" s="21" t="str">
        <x:v>PSS-T01</x:v>
      </x:c>
      <x:c r="E17" s="21" t="str">
        <x:v>force-shear laminate rolls</x:v>
      </x:c>
      <x:c r="F17" s="21" t="n">
        <x:v>17</x:v>
      </x:c>
      <x:c r="G17" s="21" t="n">
        <x:v>36</x:v>
      </x:c>
      <x:c r="H17" s="21" t="n">
        <x:v>19</x:v>
      </x:c>
      <x:c r="I17" s="21" t="n">
        <x:v>4</x:v>
      </x:c>
      <x:c r="J17" s="21" t="n">
        <x:v>15</x:v>
      </x:c>
      <x:c r="K17" s="21" t="str">
        <x:v>OPEN</x:v>
      </x:c>
      <x:c r="L17" s="23" t="str">
        <x:v>second qualified source required</x:v>
      </x:c>
    </x:row>
    <x:row r="18">
      <x:c r="B18" s="21" t="str">
        <x:v>L12</x:v>
      </x:c>
      <x:c r="C18" s="21" t="str">
        <x:v>PSS-T01-B</x:v>
      </x:c>
      <x:c r="D18" s="21" t="str">
        <x:v>PSS-T01</x:v>
      </x:c>
      <x:c r="E18" s="21" t="str">
        <x:v>optical field projectors</x:v>
      </x:c>
      <x:c r="F18" s="21" t="n">
        <x:v>18</x:v>
      </x:c>
      <x:c r="G18" s="21" t="n">
        <x:v>36</x:v>
      </x:c>
      <x:c r="H18" s="21" t="n">
        <x:v>18</x:v>
      </x:c>
      <x:c r="I18" s="21" t="n">
        <x:v>4</x:v>
      </x:c>
      <x:c r="J18" s="21" t="n">
        <x:v>14</x:v>
      </x:c>
      <x:c r="K18" s="21" t="str">
        <x:v>OPEN</x:v>
      </x:c>
      <x:c r="L18" s="23" t="str">
        <x:v>second qualified source required</x:v>
      </x:c>
    </x:row>
    <x:row r="19">
      <x:c r="B19" s="21" t="str">
        <x:v>L13</x:v>
      </x:c>
      <x:c r="C19" s="21" t="str">
        <x:v>PIF-I01-A</x:v>
      </x:c>
      <x:c r="D19" s="21" t="str">
        <x:v>PIF-I01</x:v>
      </x:c>
      <x:c r="E19" s="21" t="str">
        <x:v>magneto-optic isolators</x:v>
      </x:c>
      <x:c r="F19" s="21" t="n">
        <x:v>19</x:v>
      </x:c>
      <x:c r="G19" s="21" t="n">
        <x:v>24</x:v>
      </x:c>
      <x:c r="H19" s="21" t="n">
        <x:v>5</x:v>
      </x:c>
      <x:c r="I19" s="21" t="n">
        <x:v>4</x:v>
      </x:c>
      <x:c r="J19" s="21" t="n">
        <x:v>1</x:v>
      </x:c>
      <x:c r="K19" s="21" t="str">
        <x:v>OPEN</x:v>
      </x:c>
      <x:c r="L19" s="23" t="str">
        <x:v>second qualified source required</x:v>
      </x:c>
    </x:row>
    <x:row r="20">
      <x:c r="B20" s="21" t="str">
        <x:v>L14</x:v>
      </x:c>
      <x:c r="C20" s="21" t="str">
        <x:v>PIF-I01-B</x:v>
      </x:c>
      <x:c r="D20" s="21" t="str">
        <x:v>PIF-I01</x:v>
      </x:c>
      <x:c r="E20" s="21" t="str">
        <x:v>passive state-mirror blanks</x:v>
      </x:c>
      <x:c r="F20" s="21" t="n">
        <x:v>20</x:v>
      </x:c>
      <x:c r="G20" s="21" t="n">
        <x:v>24</x:v>
      </x:c>
      <x:c r="H20" s="21" t="n">
        <x:v>4</x:v>
      </x:c>
      <x:c r="I20" s="21" t="n">
        <x:v>4</x:v>
      </x:c>
      <x:c r="J20" s="21" t="n">
        <x:v>0</x:v>
      </x:c>
      <x:c r="K20" s="21" t="str">
        <x:v>OPEN</x:v>
      </x:c>
      <x:c r="L20" s="23" t="str">
        <x:v>second qualified source required</x:v>
      </x:c>
    </x:row>
    <x:row r="21">
      <x:c r="B21" s="21" t="str">
        <x:v>L15</x:v>
      </x:c>
      <x:c r="C21" s="21" t="str">
        <x:v>EPS-P01-A</x:v>
      </x:c>
      <x:c r="D21" s="21" t="str">
        <x:v>EPS-P01</x:v>
      </x:c>
      <x:c r="E21" s="21" t="str">
        <x:v>metal-air cell stacks</x:v>
      </x:c>
      <x:c r="F21" s="21" t="n">
        <x:v>14</x:v>
      </x:c>
      <x:c r="G21" s="21" t="n">
        <x:v>18</x:v>
      </x:c>
      <x:c r="H21" s="21" t="n">
        <x:v>4</x:v>
      </x:c>
      <x:c r="I21" s="21" t="n">
        <x:v>4</x:v>
      </x:c>
      <x:c r="J21" s="21" t="n">
        <x:v>0</x:v>
      </x:c>
      <x:c r="K21" s="21" t="str">
        <x:v>OPEN</x:v>
      </x:c>
      <x:c r="L21" s="23" t="str">
        <x:v>second qualified source required</x:v>
      </x:c>
    </x:row>
    <x:row r="22">
      <x:c r="B22" s="21" t="str">
        <x:v>L16</x:v>
      </x:c>
      <x:c r="C22" s="21" t="str">
        <x:v>EPS-P01-B</x:v>
      </x:c>
      <x:c r="D22" s="21" t="str">
        <x:v>EPS-P01</x:v>
      </x:c>
      <x:c r="E22" s="21" t="str">
        <x:v>lithium-primary cell lots</x:v>
      </x:c>
      <x:c r="F22" s="21" t="n">
        <x:v>14</x:v>
      </x:c>
      <x:c r="G22" s="21" t="n">
        <x:v>18</x:v>
      </x:c>
      <x:c r="H22" s="21" t="n">
        <x:v>4</x:v>
      </x:c>
      <x:c r="I22" s="21" t="n">
        <x:v>4</x:v>
      </x:c>
      <x:c r="J22" s="21" t="n">
        <x:v>0</x:v>
      </x:c>
      <x:c r="K22" s="21" t="str">
        <x:v>OPEN</x:v>
      </x:c>
      <x:c r="L22" s="23" t="str">
        <x:v>second qualified source required</x:v>
      </x:c>
    </x:row>
    <x:row r="23">
      <x:c r="B23" s="21" t="str">
        <x:v>L17</x:v>
      </x:c>
      <x:c r="C23" s="21" t="str">
        <x:v>TKS-C01-A</x:v>
      </x:c>
      <x:c r="D23" s="21" t="str">
        <x:v>TKS-C01</x:v>
      </x:c>
      <x:c r="E23" s="21" t="str">
        <x:v>field atomic reference packages</x:v>
      </x:c>
      <x:c r="F23" s="21" t="n">
        <x:v>16</x:v>
      </x:c>
      <x:c r="G23" s="21" t="n">
        <x:v>30</x:v>
      </x:c>
      <x:c r="H23" s="21" t="n">
        <x:v>14</x:v>
      </x:c>
      <x:c r="I23" s="21" t="n">
        <x:v>4</x:v>
      </x:c>
      <x:c r="J23" s="21" t="n">
        <x:v>10</x:v>
      </x:c>
      <x:c r="K23" s="21" t="str">
        <x:v>OPEN</x:v>
      </x:c>
      <x:c r="L23" s="23" t="str">
        <x:v>second qualified source required</x:v>
      </x:c>
    </x:row>
    <x:row r="24">
      <x:c r="B24" s="21" t="str">
        <x:v>L18</x:v>
      </x:c>
      <x:c r="C24" s="21" t="str">
        <x:v>TKS-C01-B</x:v>
      </x:c>
      <x:c r="D24" s="21" t="str">
        <x:v>TKS-C01</x:v>
      </x:c>
      <x:c r="E24" s="21" t="str">
        <x:v>compact optical clock dies</x:v>
      </x:c>
      <x:c r="F24" s="21" t="n">
        <x:v>17</x:v>
      </x:c>
      <x:c r="G24" s="21" t="n">
        <x:v>30</x:v>
      </x:c>
      <x:c r="H24" s="21" t="n">
        <x:v>13</x:v>
      </x:c>
      <x:c r="I24" s="21" t="n">
        <x:v>4</x:v>
      </x:c>
      <x:c r="J24" s="21" t="n">
        <x:v>9</x:v>
      </x:c>
      <x:c r="K24" s="21" t="str">
        <x:v>OPEN</x:v>
      </x:c>
      <x:c r="L24" s="23" t="str">
        <x:v>second qualified source required</x:v>
      </x:c>
    </x:row>
    <x:row r="25">
      <x:c r="B25" s="21" t="str">
        <x:v>L19</x:v>
      </x:c>
      <x:c r="C25" s="21" t="str">
        <x:v>STG-S01-A</x:v>
      </x:c>
      <x:c r="D25" s="21" t="str">
        <x:v>STG-S01</x:v>
      </x:c>
      <x:c r="E25" s="21" t="str">
        <x:v>sapphire WORM media</x:v>
      </x:c>
      <x:c r="F25" s="21" t="n">
        <x:v>14</x:v>
      </x:c>
      <x:c r="G25" s="21" t="n">
        <x:v>18</x:v>
      </x:c>
      <x:c r="H25" s="21" t="n">
        <x:v>4</x:v>
      </x:c>
      <x:c r="I25" s="21" t="n">
        <x:v>4</x:v>
      </x:c>
      <x:c r="J25" s="21" t="n">
        <x:v>0</x:v>
      </x:c>
      <x:c r="K25" s="21" t="str">
        <x:v>OPEN</x:v>
      </x:c>
      <x:c r="L25" s="23" t="str">
        <x:v>second qualified source required</x:v>
      </x:c>
    </x:row>
    <x:row r="26">
      <x:c r="B26" s="21" t="str">
        <x:v>L20</x:v>
      </x:c>
      <x:c r="C26" s="21" t="str">
        <x:v>STG-S01-B</x:v>
      </x:c>
      <x:c r="D26" s="21" t="str">
        <x:v>STG-S01</x:v>
      </x:c>
      <x:c r="E26" s="21" t="str">
        <x:v>diverse storage controllers</x:v>
      </x:c>
      <x:c r="F26" s="21" t="n">
        <x:v>14</x:v>
      </x:c>
      <x:c r="G26" s="21" t="n">
        <x:v>18</x:v>
      </x:c>
      <x:c r="H26" s="21" t="n">
        <x:v>4</x:v>
      </x:c>
      <x:c r="I26" s="21" t="n">
        <x:v>4</x:v>
      </x:c>
      <x:c r="J26" s="21" t="n">
        <x:v>0</x:v>
      </x:c>
      <x:c r="K26" s="21" t="str">
        <x:v>OPEN</x:v>
      </x:c>
      <x:c r="L26" s="23" t="str">
        <x:v>second qualified source required</x:v>
      </x:c>
    </x:row>
    <x:row r="27">
      <x:c r="B27" s="21" t="str">
        <x:v>L21</x:v>
      </x:c>
      <x:c r="C27" s="21" t="str">
        <x:v>MHE-E01-A</x:v>
      </x:c>
      <x:c r="D27" s="21" t="str">
        <x:v>MHE-E01</x:v>
      </x:c>
      <x:c r="E27" s="21" t="str">
        <x:v>dense inertial cartridges</x:v>
      </x:c>
      <x:c r="F27" s="21" t="n">
        <x:v>20</x:v>
      </x:c>
      <x:c r="G27" s="21" t="n">
        <x:v>54</x:v>
      </x:c>
      <x:c r="H27" s="21" t="n">
        <x:v>34</x:v>
      </x:c>
      <x:c r="I27" s="21" t="n">
        <x:v>4</x:v>
      </x:c>
      <x:c r="J27" s="21" t="n">
        <x:v>30</x:v>
      </x:c>
      <x:c r="K27" s="21" t="str">
        <x:v>OPEN</x:v>
      </x:c>
      <x:c r="L27" s="23" t="str">
        <x:v>second qualified source required</x:v>
      </x:c>
    </x:row>
    <x:row r="28">
      <x:c r="B28" s="24" t="str">
        <x:v>L22</x:v>
      </x:c>
      <x:c r="C28" s="24" t="str">
        <x:v>MHE-E01-B</x:v>
      </x:c>
      <x:c r="D28" s="24" t="str">
        <x:v>MHE-E01</x:v>
      </x:c>
      <x:c r="E28" s="24" t="str">
        <x:v>phase-change ballast modules</x:v>
      </x:c>
      <x:c r="F28" s="24" t="n">
        <x:v>14</x:v>
      </x:c>
      <x:c r="G28" s="24" t="n">
        <x:v>54</x:v>
      </x:c>
      <x:c r="H28" s="24" t="n">
        <x:v>40</x:v>
      </x:c>
      <x:c r="I28" s="24" t="n">
        <x:v>4</x:v>
      </x:c>
      <x:c r="J28" s="24" t="n">
        <x:v>36</x:v>
      </x:c>
      <x:c r="K28" s="24" t="str">
        <x:v>OPEN</x:v>
      </x:c>
      <x:c r="L28" s="26" t="str">
        <x:v>second qualified source required</x:v>
      </x:c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mergeCells>
    <x:mergeCell ref="B3:L3"/>
  </x:mergeCells>
  <x:conditionalFormatting sqref="K7:K28">
    <x:cfRule type="containsText" dxfId="50" priority="1" operator="containsText" text="OPEN"/>
    <x:cfRule type="containsText" dxfId="51" priority="2" operator="containsText" text="HOLD"/>
    <x:cfRule type="containsText" dxfId="52" priority="3" operator="containsText" text="BLOCKED"/>
    <x:cfRule type="containsText" dxfId="53" priority="4" operator="containsText" text="CHALLENGE ONLY"/>
    <x:cfRule type="containsText" dxfId="54" priority="5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3" hidden="0" customWidth="1"/>
    <x:col min="3" max="3" width="18" hidden="0" customWidth="1"/>
    <x:col min="4" max="4" width="14" hidden="0" customWidth="1"/>
    <x:col min="5" max="5" width="20" hidden="0" customWidth="1"/>
    <x:col min="6" max="6" width="11" hidden="0" customWidth="1"/>
    <x:col min="7" max="7" width="41" hidden="0" customWidth="1"/>
    <x:col min="8" max="8" width="15" hidden="0" customWidth="1"/>
    <x:col min="9" max="9" width="11" hidden="0" customWidth="1"/>
    <x:col min="10" max="10" width="17" hidden="0" customWidth="1"/>
    <x:col min="11" max="11" width="29" hidden="0" customWidth="1"/>
    <x:col min="12" max="12" width="13" hidden="0" customWidth="1"/>
    <x:col min="13" max="13" width="13" hidden="0" customWidth="1"/>
  </x:cols>
  <x:sheetData>
    <x:row r="2">
      <x:c r="B2" s="3" t="str">
        <x:v>Artifact-based milestone schedule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Payments are allocated to accepted physical artifacts. A calendar date or document delivery alone cannot release funds or create evidence credit.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19" t="str">
        <x:v>Record</x:v>
      </x:c>
      <x:c r="C6" s="20" t="str">
        <x:v>Proposal</x:v>
      </x:c>
      <x:c r="D6" s="20" t="str">
        <x:v>Family</x:v>
      </x:c>
      <x:c r="E6" s="20" t="str">
        <x:v>Path</x:v>
      </x:c>
      <x:c r="F6" s="20" t="str">
        <x:v>Code</x:v>
      </x:c>
      <x:c r="G6" s="20" t="str">
        <x:v>Artifact</x:v>
      </x:c>
      <x:c r="H6" s="20" t="str">
        <x:v>Contract share</x:v>
      </x:c>
      <x:c r="I6" s="20" t="str">
        <x:v>Year</x:v>
      </x:c>
      <x:c r="J6" s="20" t="str">
        <x:v>Payment USD B</x:v>
      </x:c>
      <x:c r="K6" s="20" t="str">
        <x:v>Authority</x:v>
      </x:c>
      <x:c r="L6" s="20" t="str">
        <x:v>Evidence</x:v>
      </x:c>
      <x:c r="M6" s="20" t="str">
        <x:v>Decision</x:v>
      </x:c>
    </x:row>
    <x:row r="7">
      <x:c r="B7" s="21" t="str">
        <x:v>ATC-A01-A-K01</x:v>
      </x:c>
      <x:c r="C7" s="21" t="str">
        <x:v>ATC-A01-A</x:v>
      </x:c>
      <x:c r="D7" s="21" t="str">
        <x:v>ATC-A01</x:v>
      </x:c>
      <x:c r="E7" s="21" t="str">
        <x:v>PROVISIONAL BUILD</x:v>
      </x:c>
      <x:c r="F7" s="21" t="str">
        <x:v>K01</x:v>
      </x:c>
      <x:c r="G7" s="21" t="str">
        <x:v>frozen package and conflict disclosure</x:v>
      </x:c>
      <x:c r="H7" s="32" t="n">
        <x:v>0.1</x:v>
      </x:c>
      <x:c r="I7" s="32" t="n">
        <x:v>1</x:v>
      </x:c>
      <x:c r="J7" s="32" t="n">
        <x:f>'Award Portfolio'!I7*H7</x:f>
        <x:v>0.0108</x:v>
      </x:c>
      <x:c r="K7" s="21" t="str">
        <x:v>artifact acceptance authority</x:v>
      </x:c>
      <x:c r="L7" s="21" t="str">
        <x:v>OPEN</x:v>
      </x:c>
      <x:c r="M7" s="23" t="str">
        <x:v>HOLD</x:v>
      </x:c>
    </x:row>
    <x:row r="8">
      <x:c r="B8" s="21" t="str">
        <x:v>ATC-A01-A-K02</x:v>
      </x:c>
      <x:c r="C8" s="21" t="str">
        <x:v>ATC-A01-A</x:v>
      </x:c>
      <x:c r="D8" s="21" t="str">
        <x:v>ATC-A01</x:v>
      </x:c>
      <x:c r="E8" s="21" t="str">
        <x:v>PROVISIONAL BUILD</x:v>
      </x:c>
      <x:c r="F8" s="21" t="str">
        <x:v>K02</x:v>
      </x:c>
      <x:c r="G8" s="21" t="str">
        <x:v>critical design and burden closure</x:v>
      </x:c>
      <x:c r="H8" s="32" t="n">
        <x:v>0.15</x:v>
      </x:c>
      <x:c r="I8" s="32" t="n">
        <x:v>2</x:v>
      </x:c>
      <x:c r="J8" s="32" t="n">
        <x:f>'Award Portfolio'!I7*H8</x:f>
        <x:v>0.0162</x:v>
      </x:c>
      <x:c r="K8" s="21" t="str">
        <x:v>artifact acceptance authority</x:v>
      </x:c>
      <x:c r="L8" s="21" t="str">
        <x:v>OPEN</x:v>
      </x:c>
      <x:c r="M8" s="23" t="str">
        <x:v>HOLD</x:v>
      </x:c>
    </x:row>
    <x:row r="9">
      <x:c r="B9" s="21" t="str">
        <x:v>ATC-A01-A-K03</x:v>
      </x:c>
      <x:c r="C9" s="21" t="str">
        <x:v>ATC-A01-A</x:v>
      </x:c>
      <x:c r="D9" s="21" t="str">
        <x:v>ATC-A01</x:v>
      </x:c>
      <x:c r="E9" s="21" t="str">
        <x:v>PROVISIONAL BUILD</x:v>
      </x:c>
      <x:c r="F9" s="21" t="str">
        <x:v>K03</x:v>
      </x:c>
      <x:c r="G9" s="21" t="str">
        <x:v>engineering lot release</x:v>
      </x:c>
      <x:c r="H9" s="32" t="n">
        <x:v>0.2</x:v>
      </x:c>
      <x:c r="I9" s="32" t="n">
        <x:v>3</x:v>
      </x:c>
      <x:c r="J9" s="32" t="n">
        <x:f>'Award Portfolio'!I7*H9</x:f>
        <x:v>0.0216</x:v>
      </x:c>
      <x:c r="K9" s="21" t="str">
        <x:v>artifact acceptance authority</x:v>
      </x:c>
      <x:c r="L9" s="21" t="str">
        <x:v>OPEN</x:v>
      </x:c>
      <x:c r="M9" s="23" t="str">
        <x:v>HOLD</x:v>
      </x:c>
    </x:row>
    <x:row r="10">
      <x:c r="B10" s="21" t="str">
        <x:v>ATC-A01-A-K04</x:v>
      </x:c>
      <x:c r="C10" s="21" t="str">
        <x:v>ATC-A01-A</x:v>
      </x:c>
      <x:c r="D10" s="21" t="str">
        <x:v>ATC-A01</x:v>
      </x:c>
      <x:c r="E10" s="21" t="str">
        <x:v>PROVISIONAL BUILD</x:v>
      </x:c>
      <x:c r="F10" s="21" t="str">
        <x:v>K04</x:v>
      </x:c>
      <x:c r="G10" s="21" t="str">
        <x:v>qualification lot release</x:v>
      </x:c>
      <x:c r="H10" s="32" t="n">
        <x:v>0.2</x:v>
      </x:c>
      <x:c r="I10" s="32" t="n">
        <x:v>4</x:v>
      </x:c>
      <x:c r="J10" s="32" t="n">
        <x:f>'Award Portfolio'!I7*H10</x:f>
        <x:v>0.0216</x:v>
      </x:c>
      <x:c r="K10" s="21" t="str">
        <x:v>artifact acceptance authority</x:v>
      </x:c>
      <x:c r="L10" s="21" t="str">
        <x:v>OPEN</x:v>
      </x:c>
      <x:c r="M10" s="23" t="str">
        <x:v>HOLD</x:v>
      </x:c>
    </x:row>
    <x:row r="11">
      <x:c r="B11" s="21" t="str">
        <x:v>ATC-A01-A-K05</x:v>
      </x:c>
      <x:c r="C11" s="21" t="str">
        <x:v>ATC-A01-A</x:v>
      </x:c>
      <x:c r="D11" s="21" t="str">
        <x:v>ATC-A01</x:v>
      </x:c>
      <x:c r="E11" s="21" t="str">
        <x:v>PROVISIONAL BUILD</x:v>
      </x:c>
      <x:c r="F11" s="21" t="str">
        <x:v>K05</x:v>
      </x:c>
      <x:c r="G11" s="21" t="str">
        <x:v>family acceptance artifact set</x:v>
      </x:c>
      <x:c r="H11" s="32" t="n">
        <x:v>0.2</x:v>
      </x:c>
      <x:c r="I11" s="32" t="n">
        <x:v>6</x:v>
      </x:c>
      <x:c r="J11" s="32" t="n">
        <x:f>'Award Portfolio'!I7*H11</x:f>
        <x:v>0.0216</x:v>
      </x:c>
      <x:c r="K11" s="21" t="str">
        <x:v>artifact acceptance authority</x:v>
      </x:c>
      <x:c r="L11" s="21" t="str">
        <x:v>OPEN</x:v>
      </x:c>
      <x:c r="M11" s="23" t="str">
        <x:v>HOLD</x:v>
      </x:c>
    </x:row>
    <x:row r="12">
      <x:c r="B12" s="21" t="str">
        <x:v>ATC-A01-A-K06</x:v>
      </x:c>
      <x:c r="C12" s="21" t="str">
        <x:v>ATC-A01-A</x:v>
      </x:c>
      <x:c r="D12" s="21" t="str">
        <x:v>ATC-A01</x:v>
      </x:c>
      <x:c r="E12" s="21" t="str">
        <x:v>PROVISIONAL BUILD</x:v>
      </x:c>
      <x:c r="F12" s="21" t="str">
        <x:v>K06</x:v>
      </x:c>
      <x:c r="G12" s="21" t="str">
        <x:v>independent reproduction artifact</x:v>
      </x:c>
      <x:c r="H12" s="32" t="n">
        <x:v>0.15</x:v>
      </x:c>
      <x:c r="I12" s="32" t="n">
        <x:v>8</x:v>
      </x:c>
      <x:c r="J12" s="32" t="n">
        <x:f>'Award Portfolio'!I7*H12</x:f>
        <x:v>0.0162</x:v>
      </x:c>
      <x:c r="K12" s="21" t="str">
        <x:v>artifact acceptance authority</x:v>
      </x:c>
      <x:c r="L12" s="21" t="str">
        <x:v>OPEN</x:v>
      </x:c>
      <x:c r="M12" s="23" t="str">
        <x:v>HOLD</x:v>
      </x:c>
    </x:row>
    <x:row r="13">
      <x:c r="B13" s="21" t="str">
        <x:v>ATC-A01-B-K01</x:v>
      </x:c>
      <x:c r="C13" s="21" t="str">
        <x:v>ATC-A01-B</x:v>
      </x:c>
      <x:c r="D13" s="21" t="str">
        <x:v>ATC-A01</x:v>
      </x:c>
      <x:c r="E13" s="21" t="str">
        <x:v>PROVISIONAL BUILD</x:v>
      </x:c>
      <x:c r="F13" s="21" t="str">
        <x:v>K01</x:v>
      </x:c>
      <x:c r="G13" s="21" t="str">
        <x:v>frozen package and conflict disclosure</x:v>
      </x:c>
      <x:c r="H13" s="32" t="n">
        <x:v>0.1</x:v>
      </x:c>
      <x:c r="I13" s="32" t="n">
        <x:v>1</x:v>
      </x:c>
      <x:c r="J13" s="32" t="n">
        <x:f>'Award Portfolio'!I8*H13</x:f>
        <x:v>0.0108</x:v>
      </x:c>
      <x:c r="K13" s="21" t="str">
        <x:v>artifact acceptance authority</x:v>
      </x:c>
      <x:c r="L13" s="21" t="str">
        <x:v>OPEN</x:v>
      </x:c>
      <x:c r="M13" s="23" t="str">
        <x:v>HOLD</x:v>
      </x:c>
    </x:row>
    <x:row r="14">
      <x:c r="B14" s="21" t="str">
        <x:v>ATC-A01-B-K02</x:v>
      </x:c>
      <x:c r="C14" s="21" t="str">
        <x:v>ATC-A01-B</x:v>
      </x:c>
      <x:c r="D14" s="21" t="str">
        <x:v>ATC-A01</x:v>
      </x:c>
      <x:c r="E14" s="21" t="str">
        <x:v>PROVISIONAL BUILD</x:v>
      </x:c>
      <x:c r="F14" s="21" t="str">
        <x:v>K02</x:v>
      </x:c>
      <x:c r="G14" s="21" t="str">
        <x:v>critical design and burden closure</x:v>
      </x:c>
      <x:c r="H14" s="32" t="n">
        <x:v>0.15</x:v>
      </x:c>
      <x:c r="I14" s="32" t="n">
        <x:v>2</x:v>
      </x:c>
      <x:c r="J14" s="32" t="n">
        <x:f>'Award Portfolio'!I8*H14</x:f>
        <x:v>0.0162</x:v>
      </x:c>
      <x:c r="K14" s="21" t="str">
        <x:v>artifact acceptance authority</x:v>
      </x:c>
      <x:c r="L14" s="21" t="str">
        <x:v>OPEN</x:v>
      </x:c>
      <x:c r="M14" s="23" t="str">
        <x:v>HOLD</x:v>
      </x:c>
    </x:row>
    <x:row r="15">
      <x:c r="B15" s="21" t="str">
        <x:v>ATC-A01-B-K03</x:v>
      </x:c>
      <x:c r="C15" s="21" t="str">
        <x:v>ATC-A01-B</x:v>
      </x:c>
      <x:c r="D15" s="21" t="str">
        <x:v>ATC-A01</x:v>
      </x:c>
      <x:c r="E15" s="21" t="str">
        <x:v>PROVISIONAL BUILD</x:v>
      </x:c>
      <x:c r="F15" s="21" t="str">
        <x:v>K03</x:v>
      </x:c>
      <x:c r="G15" s="21" t="str">
        <x:v>engineering lot release</x:v>
      </x:c>
      <x:c r="H15" s="32" t="n">
        <x:v>0.2</x:v>
      </x:c>
      <x:c r="I15" s="32" t="n">
        <x:v>3</x:v>
      </x:c>
      <x:c r="J15" s="32" t="n">
        <x:f>'Award Portfolio'!I8*H15</x:f>
        <x:v>0.0216</x:v>
      </x:c>
      <x:c r="K15" s="21" t="str">
        <x:v>artifact acceptance authority</x:v>
      </x:c>
      <x:c r="L15" s="21" t="str">
        <x:v>OPEN</x:v>
      </x:c>
      <x:c r="M15" s="23" t="str">
        <x:v>HOLD</x:v>
      </x:c>
    </x:row>
    <x:row r="16">
      <x:c r="B16" s="21" t="str">
        <x:v>ATC-A01-B-K04</x:v>
      </x:c>
      <x:c r="C16" s="21" t="str">
        <x:v>ATC-A01-B</x:v>
      </x:c>
      <x:c r="D16" s="21" t="str">
        <x:v>ATC-A01</x:v>
      </x:c>
      <x:c r="E16" s="21" t="str">
        <x:v>PROVISIONAL BUILD</x:v>
      </x:c>
      <x:c r="F16" s="21" t="str">
        <x:v>K04</x:v>
      </x:c>
      <x:c r="G16" s="21" t="str">
        <x:v>qualification lot release</x:v>
      </x:c>
      <x:c r="H16" s="32" t="n">
        <x:v>0.2</x:v>
      </x:c>
      <x:c r="I16" s="32" t="n">
        <x:v>4</x:v>
      </x:c>
      <x:c r="J16" s="32" t="n">
        <x:f>'Award Portfolio'!I8*H16</x:f>
        <x:v>0.0216</x:v>
      </x:c>
      <x:c r="K16" s="21" t="str">
        <x:v>artifact acceptance authority</x:v>
      </x:c>
      <x:c r="L16" s="21" t="str">
        <x:v>OPEN</x:v>
      </x:c>
      <x:c r="M16" s="23" t="str">
        <x:v>HOLD</x:v>
      </x:c>
    </x:row>
    <x:row r="17">
      <x:c r="B17" s="21" t="str">
        <x:v>ATC-A01-B-K05</x:v>
      </x:c>
      <x:c r="C17" s="21" t="str">
        <x:v>ATC-A01-B</x:v>
      </x:c>
      <x:c r="D17" s="21" t="str">
        <x:v>ATC-A01</x:v>
      </x:c>
      <x:c r="E17" s="21" t="str">
        <x:v>PROVISIONAL BUILD</x:v>
      </x:c>
      <x:c r="F17" s="21" t="str">
        <x:v>K05</x:v>
      </x:c>
      <x:c r="G17" s="21" t="str">
        <x:v>family acceptance artifact set</x:v>
      </x:c>
      <x:c r="H17" s="32" t="n">
        <x:v>0.2</x:v>
      </x:c>
      <x:c r="I17" s="32" t="n">
        <x:v>6</x:v>
      </x:c>
      <x:c r="J17" s="32" t="n">
        <x:f>'Award Portfolio'!I8*H17</x:f>
        <x:v>0.0216</x:v>
      </x:c>
      <x:c r="K17" s="21" t="str">
        <x:v>artifact acceptance authority</x:v>
      </x:c>
      <x:c r="L17" s="21" t="str">
        <x:v>OPEN</x:v>
      </x:c>
      <x:c r="M17" s="23" t="str">
        <x:v>HOLD</x:v>
      </x:c>
    </x:row>
    <x:row r="18">
      <x:c r="B18" s="21" t="str">
        <x:v>ATC-A01-B-K06</x:v>
      </x:c>
      <x:c r="C18" s="21" t="str">
        <x:v>ATC-A01-B</x:v>
      </x:c>
      <x:c r="D18" s="21" t="str">
        <x:v>ATC-A01</x:v>
      </x:c>
      <x:c r="E18" s="21" t="str">
        <x:v>PROVISIONAL BUILD</x:v>
      </x:c>
      <x:c r="F18" s="21" t="str">
        <x:v>K06</x:v>
      </x:c>
      <x:c r="G18" s="21" t="str">
        <x:v>independent reproduction artifact</x:v>
      </x:c>
      <x:c r="H18" s="32" t="n">
        <x:v>0.15</x:v>
      </x:c>
      <x:c r="I18" s="32" t="n">
        <x:v>8</x:v>
      </x:c>
      <x:c r="J18" s="32" t="n">
        <x:f>'Award Portfolio'!I8*H18</x:f>
        <x:v>0.0162</x:v>
      </x:c>
      <x:c r="K18" s="21" t="str">
        <x:v>artifact acceptance authority</x:v>
      </x:c>
      <x:c r="L18" s="21" t="str">
        <x:v>OPEN</x:v>
      </x:c>
      <x:c r="M18" s="23" t="str">
        <x:v>HOLD</x:v>
      </x:c>
    </x:row>
    <x:row r="19">
      <x:c r="B19" s="21" t="str">
        <x:v>ATC-A01-C-C01</x:v>
      </x:c>
      <x:c r="C19" s="21" t="str">
        <x:v>ATC-A01-C</x:v>
      </x:c>
      <x:c r="D19" s="21" t="str">
        <x:v>ATC-A01</x:v>
      </x:c>
      <x:c r="E19" s="21" t="str">
        <x:v>CHALLENGE ONLY</x:v>
      </x:c>
      <x:c r="F19" s="21" t="str">
        <x:v>C01</x:v>
      </x:c>
      <x:c r="G19" s="21" t="str">
        <x:v>blocking hypothesis and experiment</x:v>
      </x:c>
      <x:c r="H19" s="32" t="n">
        <x:v>0.2</x:v>
      </x:c>
      <x:c r="I19" s="32" t="n">
        <x:v>1</x:v>
      </x:c>
      <x:c r="J19" s="32" t="n">
        <x:f>'Award Portfolio'!I9*H19</x:f>
        <x:v>0.0048000000000000004</x:v>
      </x:c>
      <x:c r="K19" s="21" t="str">
        <x:v>artifact acceptance authority</x:v>
      </x:c>
      <x:c r="L19" s="21" t="str">
        <x:v>OPEN</x:v>
      </x:c>
      <x:c r="M19" s="23" t="str">
        <x:v>HOLD</x:v>
      </x:c>
    </x:row>
    <x:row r="20">
      <x:c r="B20" s="21" t="str">
        <x:v>ATC-A01-C-C02</x:v>
      </x:c>
      <x:c r="C20" s="21" t="str">
        <x:v>ATC-A01-C</x:v>
      </x:c>
      <x:c r="D20" s="21" t="str">
        <x:v>ATC-A01</x:v>
      </x:c>
      <x:c r="E20" s="21" t="str">
        <x:v>CHALLENGE ONLY</x:v>
      </x:c>
      <x:c r="F20" s="21" t="str">
        <x:v>C02</x:v>
      </x:c>
      <x:c r="G20" s="21" t="str">
        <x:v>bench coupon and failure evidence</x:v>
      </x:c>
      <x:c r="H20" s="32" t="n">
        <x:v>0.3</x:v>
      </x:c>
      <x:c r="I20" s="32" t="n">
        <x:v>2</x:v>
      </x:c>
      <x:c r="J20" s="32" t="n">
        <x:f>'Award Portfolio'!I9*H20</x:f>
        <x:v>0.0072</x:v>
      </x:c>
      <x:c r="K20" s="21" t="str">
        <x:v>artifact acceptance authority</x:v>
      </x:c>
      <x:c r="L20" s="21" t="str">
        <x:v>OPEN</x:v>
      </x:c>
      <x:c r="M20" s="23" t="str">
        <x:v>HOLD</x:v>
      </x:c>
    </x:row>
    <x:row r="21">
      <x:c r="B21" s="21" t="str">
        <x:v>ATC-A01-C-C03</x:v>
      </x:c>
      <x:c r="C21" s="21" t="str">
        <x:v>ATC-A01-C</x:v>
      </x:c>
      <x:c r="D21" s="21" t="str">
        <x:v>ATC-A01</x:v>
      </x:c>
      <x:c r="E21" s="21" t="str">
        <x:v>CHALLENGE ONLY</x:v>
      </x:c>
      <x:c r="F21" s="21" t="str">
        <x:v>C03</x:v>
      </x:c>
      <x:c r="G21" s="21" t="str">
        <x:v>registered blocking-gate closure attempt</x:v>
      </x:c>
      <x:c r="H21" s="32" t="n">
        <x:v>0.5</x:v>
      </x:c>
      <x:c r="I21" s="32" t="n">
        <x:v>3</x:v>
      </x:c>
      <x:c r="J21" s="32" t="n">
        <x:f>'Award Portfolio'!I9*H21</x:f>
        <x:v>0.012</x:v>
      </x:c>
      <x:c r="K21" s="21" t="str">
        <x:v>artifact acceptance authority</x:v>
      </x:c>
      <x:c r="L21" s="21" t="str">
        <x:v>OPEN</x:v>
      </x:c>
      <x:c r="M21" s="23" t="str">
        <x:v>HOLD</x:v>
      </x:c>
    </x:row>
    <x:row r="22">
      <x:c r="B22" s="21" t="str">
        <x:v>TTC-T01-A-K01</x:v>
      </x:c>
      <x:c r="C22" s="21" t="str">
        <x:v>TTC-T01-A</x:v>
      </x:c>
      <x:c r="D22" s="21" t="str">
        <x:v>TTC-T01</x:v>
      </x:c>
      <x:c r="E22" s="21" t="str">
        <x:v>PROVISIONAL BUILD</x:v>
      </x:c>
      <x:c r="F22" s="21" t="str">
        <x:v>K01</x:v>
      </x:c>
      <x:c r="G22" s="21" t="str">
        <x:v>frozen package and conflict disclosure</x:v>
      </x:c>
      <x:c r="H22" s="32" t="n">
        <x:v>0.1</x:v>
      </x:c>
      <x:c r="I22" s="32" t="n">
        <x:v>1</x:v>
      </x:c>
      <x:c r="J22" s="32" t="n">
        <x:f>'Award Portfolio'!I10*H22</x:f>
        <x:v>0.012150000000000001</x:v>
      </x:c>
      <x:c r="K22" s="21" t="str">
        <x:v>artifact acceptance authority</x:v>
      </x:c>
      <x:c r="L22" s="21" t="str">
        <x:v>OPEN</x:v>
      </x:c>
      <x:c r="M22" s="23" t="str">
        <x:v>HOLD</x:v>
      </x:c>
    </x:row>
    <x:row r="23">
      <x:c r="B23" s="21" t="str">
        <x:v>TTC-T01-A-K02</x:v>
      </x:c>
      <x:c r="C23" s="21" t="str">
        <x:v>TTC-T01-A</x:v>
      </x:c>
      <x:c r="D23" s="21" t="str">
        <x:v>TTC-T01</x:v>
      </x:c>
      <x:c r="E23" s="21" t="str">
        <x:v>PROVISIONAL BUILD</x:v>
      </x:c>
      <x:c r="F23" s="21" t="str">
        <x:v>K02</x:v>
      </x:c>
      <x:c r="G23" s="21" t="str">
        <x:v>critical design and burden closure</x:v>
      </x:c>
      <x:c r="H23" s="32" t="n">
        <x:v>0.15</x:v>
      </x:c>
      <x:c r="I23" s="32" t="n">
        <x:v>2</x:v>
      </x:c>
      <x:c r="J23" s="32" t="n">
        <x:f>'Award Portfolio'!I10*H23</x:f>
        <x:v>0.018225</x:v>
      </x:c>
      <x:c r="K23" s="21" t="str">
        <x:v>artifact acceptance authority</x:v>
      </x:c>
      <x:c r="L23" s="21" t="str">
        <x:v>OPEN</x:v>
      </x:c>
      <x:c r="M23" s="23" t="str">
        <x:v>HOLD</x:v>
      </x:c>
    </x:row>
    <x:row r="24">
      <x:c r="B24" s="21" t="str">
        <x:v>TTC-T01-A-K03</x:v>
      </x:c>
      <x:c r="C24" s="21" t="str">
        <x:v>TTC-T01-A</x:v>
      </x:c>
      <x:c r="D24" s="21" t="str">
        <x:v>TTC-T01</x:v>
      </x:c>
      <x:c r="E24" s="21" t="str">
        <x:v>PROVISIONAL BUILD</x:v>
      </x:c>
      <x:c r="F24" s="21" t="str">
        <x:v>K03</x:v>
      </x:c>
      <x:c r="G24" s="21" t="str">
        <x:v>engineering lot release</x:v>
      </x:c>
      <x:c r="H24" s="32" t="n">
        <x:v>0.2</x:v>
      </x:c>
      <x:c r="I24" s="32" t="n">
        <x:v>3</x:v>
      </x:c>
      <x:c r="J24" s="32" t="n">
        <x:f>'Award Portfolio'!I10*H24</x:f>
        <x:v>0.024300000000000002</x:v>
      </x:c>
      <x:c r="K24" s="21" t="str">
        <x:v>artifact acceptance authority</x:v>
      </x:c>
      <x:c r="L24" s="21" t="str">
        <x:v>OPEN</x:v>
      </x:c>
      <x:c r="M24" s="23" t="str">
        <x:v>HOLD</x:v>
      </x:c>
    </x:row>
    <x:row r="25">
      <x:c r="B25" s="21" t="str">
        <x:v>TTC-T01-A-K04</x:v>
      </x:c>
      <x:c r="C25" s="21" t="str">
        <x:v>TTC-T01-A</x:v>
      </x:c>
      <x:c r="D25" s="21" t="str">
        <x:v>TTC-T01</x:v>
      </x:c>
      <x:c r="E25" s="21" t="str">
        <x:v>PROVISIONAL BUILD</x:v>
      </x:c>
      <x:c r="F25" s="21" t="str">
        <x:v>K04</x:v>
      </x:c>
      <x:c r="G25" s="21" t="str">
        <x:v>qualification lot release</x:v>
      </x:c>
      <x:c r="H25" s="32" t="n">
        <x:v>0.2</x:v>
      </x:c>
      <x:c r="I25" s="32" t="n">
        <x:v>4</x:v>
      </x:c>
      <x:c r="J25" s="32" t="n">
        <x:f>'Award Portfolio'!I10*H25</x:f>
        <x:v>0.024300000000000002</x:v>
      </x:c>
      <x:c r="K25" s="21" t="str">
        <x:v>artifact acceptance authority</x:v>
      </x:c>
      <x:c r="L25" s="21" t="str">
        <x:v>OPEN</x:v>
      </x:c>
      <x:c r="M25" s="23" t="str">
        <x:v>HOLD</x:v>
      </x:c>
    </x:row>
    <x:row r="26">
      <x:c r="B26" s="21" t="str">
        <x:v>TTC-T01-A-K05</x:v>
      </x:c>
      <x:c r="C26" s="21" t="str">
        <x:v>TTC-T01-A</x:v>
      </x:c>
      <x:c r="D26" s="21" t="str">
        <x:v>TTC-T01</x:v>
      </x:c>
      <x:c r="E26" s="21" t="str">
        <x:v>PROVISIONAL BUILD</x:v>
      </x:c>
      <x:c r="F26" s="21" t="str">
        <x:v>K05</x:v>
      </x:c>
      <x:c r="G26" s="21" t="str">
        <x:v>family acceptance artifact set</x:v>
      </x:c>
      <x:c r="H26" s="32" t="n">
        <x:v>0.2</x:v>
      </x:c>
      <x:c r="I26" s="32" t="n">
        <x:v>6</x:v>
      </x:c>
      <x:c r="J26" s="32" t="n">
        <x:f>'Award Portfolio'!I10*H26</x:f>
        <x:v>0.024300000000000002</x:v>
      </x:c>
      <x:c r="K26" s="21" t="str">
        <x:v>artifact acceptance authority</x:v>
      </x:c>
      <x:c r="L26" s="21" t="str">
        <x:v>OPEN</x:v>
      </x:c>
      <x:c r="M26" s="23" t="str">
        <x:v>HOLD</x:v>
      </x:c>
    </x:row>
    <x:row r="27">
      <x:c r="B27" s="21" t="str">
        <x:v>TTC-T01-A-K06</x:v>
      </x:c>
      <x:c r="C27" s="21" t="str">
        <x:v>TTC-T01-A</x:v>
      </x:c>
      <x:c r="D27" s="21" t="str">
        <x:v>TTC-T01</x:v>
      </x:c>
      <x:c r="E27" s="21" t="str">
        <x:v>PROVISIONAL BUILD</x:v>
      </x:c>
      <x:c r="F27" s="21" t="str">
        <x:v>K06</x:v>
      </x:c>
      <x:c r="G27" s="21" t="str">
        <x:v>independent reproduction artifact</x:v>
      </x:c>
      <x:c r="H27" s="32" t="n">
        <x:v>0.15</x:v>
      </x:c>
      <x:c r="I27" s="32" t="n">
        <x:v>8</x:v>
      </x:c>
      <x:c r="J27" s="32" t="n">
        <x:f>'Award Portfolio'!I10*H27</x:f>
        <x:v>0.018225</x:v>
      </x:c>
      <x:c r="K27" s="21" t="str">
        <x:v>artifact acceptance authority</x:v>
      </x:c>
      <x:c r="L27" s="21" t="str">
        <x:v>OPEN</x:v>
      </x:c>
      <x:c r="M27" s="23" t="str">
        <x:v>HOLD</x:v>
      </x:c>
    </x:row>
    <x:row r="28">
      <x:c r="B28" s="21" t="str">
        <x:v>TTC-T01-B-K01</x:v>
      </x:c>
      <x:c r="C28" s="21" t="str">
        <x:v>TTC-T01-B</x:v>
      </x:c>
      <x:c r="D28" s="21" t="str">
        <x:v>TTC-T01</x:v>
      </x:c>
      <x:c r="E28" s="21" t="str">
        <x:v>PROVISIONAL BUILD</x:v>
      </x:c>
      <x:c r="F28" s="21" t="str">
        <x:v>K01</x:v>
      </x:c>
      <x:c r="G28" s="21" t="str">
        <x:v>frozen package and conflict disclosure</x:v>
      </x:c>
      <x:c r="H28" s="32" t="n">
        <x:v>0.1</x:v>
      </x:c>
      <x:c r="I28" s="32" t="n">
        <x:v>1</x:v>
      </x:c>
      <x:c r="J28" s="32" t="n">
        <x:f>'Award Portfolio'!I11*H28</x:f>
        <x:v>0.012150000000000001</x:v>
      </x:c>
      <x:c r="K28" s="21" t="str">
        <x:v>artifact acceptance authority</x:v>
      </x:c>
      <x:c r="L28" s="21" t="str">
        <x:v>OPEN</x:v>
      </x:c>
      <x:c r="M28" s="23" t="str">
        <x:v>HOLD</x:v>
      </x:c>
    </x:row>
    <x:row r="29">
      <x:c r="B29" s="21" t="str">
        <x:v>TTC-T01-B-K02</x:v>
      </x:c>
      <x:c r="C29" s="21" t="str">
        <x:v>TTC-T01-B</x:v>
      </x:c>
      <x:c r="D29" s="21" t="str">
        <x:v>TTC-T01</x:v>
      </x:c>
      <x:c r="E29" s="21" t="str">
        <x:v>PROVISIONAL BUILD</x:v>
      </x:c>
      <x:c r="F29" s="21" t="str">
        <x:v>K02</x:v>
      </x:c>
      <x:c r="G29" s="21" t="str">
        <x:v>critical design and burden closure</x:v>
      </x:c>
      <x:c r="H29" s="32" t="n">
        <x:v>0.15</x:v>
      </x:c>
      <x:c r="I29" s="32" t="n">
        <x:v>2</x:v>
      </x:c>
      <x:c r="J29" s="32" t="n">
        <x:f>'Award Portfolio'!I11*H29</x:f>
        <x:v>0.018225</x:v>
      </x:c>
      <x:c r="K29" s="21" t="str">
        <x:v>artifact acceptance authority</x:v>
      </x:c>
      <x:c r="L29" s="21" t="str">
        <x:v>OPEN</x:v>
      </x:c>
      <x:c r="M29" s="23" t="str">
        <x:v>HOLD</x:v>
      </x:c>
    </x:row>
    <x:row r="30">
      <x:c r="B30" s="21" t="str">
        <x:v>TTC-T01-B-K03</x:v>
      </x:c>
      <x:c r="C30" s="21" t="str">
        <x:v>TTC-T01-B</x:v>
      </x:c>
      <x:c r="D30" s="21" t="str">
        <x:v>TTC-T01</x:v>
      </x:c>
      <x:c r="E30" s="21" t="str">
        <x:v>PROVISIONAL BUILD</x:v>
      </x:c>
      <x:c r="F30" s="21" t="str">
        <x:v>K03</x:v>
      </x:c>
      <x:c r="G30" s="21" t="str">
        <x:v>engineering lot release</x:v>
      </x:c>
      <x:c r="H30" s="32" t="n">
        <x:v>0.2</x:v>
      </x:c>
      <x:c r="I30" s="32" t="n">
        <x:v>3</x:v>
      </x:c>
      <x:c r="J30" s="32" t="n">
        <x:f>'Award Portfolio'!I11*H30</x:f>
        <x:v>0.024300000000000002</x:v>
      </x:c>
      <x:c r="K30" s="21" t="str">
        <x:v>artifact acceptance authority</x:v>
      </x:c>
      <x:c r="L30" s="21" t="str">
        <x:v>OPEN</x:v>
      </x:c>
      <x:c r="M30" s="23" t="str">
        <x:v>HOLD</x:v>
      </x:c>
    </x:row>
    <x:row r="31">
      <x:c r="B31" s="21" t="str">
        <x:v>TTC-T01-B-K04</x:v>
      </x:c>
      <x:c r="C31" s="21" t="str">
        <x:v>TTC-T01-B</x:v>
      </x:c>
      <x:c r="D31" s="21" t="str">
        <x:v>TTC-T01</x:v>
      </x:c>
      <x:c r="E31" s="21" t="str">
        <x:v>PROVISIONAL BUILD</x:v>
      </x:c>
      <x:c r="F31" s="21" t="str">
        <x:v>K04</x:v>
      </x:c>
      <x:c r="G31" s="21" t="str">
        <x:v>qualification lot release</x:v>
      </x:c>
      <x:c r="H31" s="32" t="n">
        <x:v>0.2</x:v>
      </x:c>
      <x:c r="I31" s="32" t="n">
        <x:v>4</x:v>
      </x:c>
      <x:c r="J31" s="32" t="n">
        <x:f>'Award Portfolio'!I11*H31</x:f>
        <x:v>0.024300000000000002</x:v>
      </x:c>
      <x:c r="K31" s="21" t="str">
        <x:v>artifact acceptance authority</x:v>
      </x:c>
      <x:c r="L31" s="21" t="str">
        <x:v>OPEN</x:v>
      </x:c>
      <x:c r="M31" s="23" t="str">
        <x:v>HOLD</x:v>
      </x:c>
    </x:row>
    <x:row r="32">
      <x:c r="B32" s="21" t="str">
        <x:v>TTC-T01-B-K05</x:v>
      </x:c>
      <x:c r="C32" s="21" t="str">
        <x:v>TTC-T01-B</x:v>
      </x:c>
      <x:c r="D32" s="21" t="str">
        <x:v>TTC-T01</x:v>
      </x:c>
      <x:c r="E32" s="21" t="str">
        <x:v>PROVISIONAL BUILD</x:v>
      </x:c>
      <x:c r="F32" s="21" t="str">
        <x:v>K05</x:v>
      </x:c>
      <x:c r="G32" s="21" t="str">
        <x:v>family acceptance artifact set</x:v>
      </x:c>
      <x:c r="H32" s="32" t="n">
        <x:v>0.2</x:v>
      </x:c>
      <x:c r="I32" s="32" t="n">
        <x:v>6</x:v>
      </x:c>
      <x:c r="J32" s="32" t="n">
        <x:f>'Award Portfolio'!I11*H32</x:f>
        <x:v>0.024300000000000002</x:v>
      </x:c>
      <x:c r="K32" s="21" t="str">
        <x:v>artifact acceptance authority</x:v>
      </x:c>
      <x:c r="L32" s="21" t="str">
        <x:v>OPEN</x:v>
      </x:c>
      <x:c r="M32" s="23" t="str">
        <x:v>HOLD</x:v>
      </x:c>
    </x:row>
    <x:row r="33">
      <x:c r="B33" s="21" t="str">
        <x:v>TTC-T01-B-K06</x:v>
      </x:c>
      <x:c r="C33" s="21" t="str">
        <x:v>TTC-T01-B</x:v>
      </x:c>
      <x:c r="D33" s="21" t="str">
        <x:v>TTC-T01</x:v>
      </x:c>
      <x:c r="E33" s="21" t="str">
        <x:v>PROVISIONAL BUILD</x:v>
      </x:c>
      <x:c r="F33" s="21" t="str">
        <x:v>K06</x:v>
      </x:c>
      <x:c r="G33" s="21" t="str">
        <x:v>independent reproduction artifact</x:v>
      </x:c>
      <x:c r="H33" s="32" t="n">
        <x:v>0.15</x:v>
      </x:c>
      <x:c r="I33" s="32" t="n">
        <x:v>8</x:v>
      </x:c>
      <x:c r="J33" s="32" t="n">
        <x:f>'Award Portfolio'!I11*H33</x:f>
        <x:v>0.018225</x:v>
      </x:c>
      <x:c r="K33" s="21" t="str">
        <x:v>artifact acceptance authority</x:v>
      </x:c>
      <x:c r="L33" s="21" t="str">
        <x:v>OPEN</x:v>
      </x:c>
      <x:c r="M33" s="23" t="str">
        <x:v>HOLD</x:v>
      </x:c>
    </x:row>
    <x:row r="34">
      <x:c r="B34" s="21" t="str">
        <x:v>TTC-T01-C-C01</x:v>
      </x:c>
      <x:c r="C34" s="21" t="str">
        <x:v>TTC-T01-C</x:v>
      </x:c>
      <x:c r="D34" s="21" t="str">
        <x:v>TTC-T01</x:v>
      </x:c>
      <x:c r="E34" s="21" t="str">
        <x:v>CHALLENGE ONLY</x:v>
      </x:c>
      <x:c r="F34" s="21" t="str">
        <x:v>C01</x:v>
      </x:c>
      <x:c r="G34" s="21" t="str">
        <x:v>blocking hypothesis and experiment</x:v>
      </x:c>
      <x:c r="H34" s="32" t="n">
        <x:v>0.2</x:v>
      </x:c>
      <x:c r="I34" s="32" t="n">
        <x:v>1</x:v>
      </x:c>
      <x:c r="J34" s="32" t="n">
        <x:f>'Award Portfolio'!I12*H34</x:f>
        <x:v>0.005400000000000001</x:v>
      </x:c>
      <x:c r="K34" s="21" t="str">
        <x:v>artifact acceptance authority</x:v>
      </x:c>
      <x:c r="L34" s="21" t="str">
        <x:v>OPEN</x:v>
      </x:c>
      <x:c r="M34" s="23" t="str">
        <x:v>HOLD</x:v>
      </x:c>
    </x:row>
    <x:row r="35">
      <x:c r="B35" s="21" t="str">
        <x:v>TTC-T01-C-C02</x:v>
      </x:c>
      <x:c r="C35" s="21" t="str">
        <x:v>TTC-T01-C</x:v>
      </x:c>
      <x:c r="D35" s="21" t="str">
        <x:v>TTC-T01</x:v>
      </x:c>
      <x:c r="E35" s="21" t="str">
        <x:v>CHALLENGE ONLY</x:v>
      </x:c>
      <x:c r="F35" s="21" t="str">
        <x:v>C02</x:v>
      </x:c>
      <x:c r="G35" s="21" t="str">
        <x:v>bench coupon and failure evidence</x:v>
      </x:c>
      <x:c r="H35" s="32" t="n">
        <x:v>0.3</x:v>
      </x:c>
      <x:c r="I35" s="32" t="n">
        <x:v>2</x:v>
      </x:c>
      <x:c r="J35" s="32" t="n">
        <x:f>'Award Portfolio'!I12*H35</x:f>
        <x:v>0.008100000000000001</x:v>
      </x:c>
      <x:c r="K35" s="21" t="str">
        <x:v>artifact acceptance authority</x:v>
      </x:c>
      <x:c r="L35" s="21" t="str">
        <x:v>OPEN</x:v>
      </x:c>
      <x:c r="M35" s="23" t="str">
        <x:v>HOLD</x:v>
      </x:c>
    </x:row>
    <x:row r="36">
      <x:c r="B36" s="21" t="str">
        <x:v>TTC-T01-C-C03</x:v>
      </x:c>
      <x:c r="C36" s="21" t="str">
        <x:v>TTC-T01-C</x:v>
      </x:c>
      <x:c r="D36" s="21" t="str">
        <x:v>TTC-T01</x:v>
      </x:c>
      <x:c r="E36" s="21" t="str">
        <x:v>CHALLENGE ONLY</x:v>
      </x:c>
      <x:c r="F36" s="21" t="str">
        <x:v>C03</x:v>
      </x:c>
      <x:c r="G36" s="21" t="str">
        <x:v>registered blocking-gate closure attempt</x:v>
      </x:c>
      <x:c r="H36" s="32" t="n">
        <x:v>0.5</x:v>
      </x:c>
      <x:c r="I36" s="32" t="n">
        <x:v>3</x:v>
      </x:c>
      <x:c r="J36" s="32" t="n">
        <x:f>'Award Portfolio'!I12*H36</x:f>
        <x:v>0.013500000000000002</x:v>
      </x:c>
      <x:c r="K36" s="21" t="str">
        <x:v>artifact acceptance authority</x:v>
      </x:c>
      <x:c r="L36" s="21" t="str">
        <x:v>OPEN</x:v>
      </x:c>
      <x:c r="M36" s="23" t="str">
        <x:v>HOLD</x:v>
      </x:c>
    </x:row>
    <x:row r="37">
      <x:c r="B37" s="21" t="str">
        <x:v>ACN-A01-A-K01</x:v>
      </x:c>
      <x:c r="C37" s="21" t="str">
        <x:v>ACN-A01-A</x:v>
      </x:c>
      <x:c r="D37" s="21" t="str">
        <x:v>ACN-A01</x:v>
      </x:c>
      <x:c r="E37" s="21" t="str">
        <x:v>PROVISIONAL BUILD</x:v>
      </x:c>
      <x:c r="F37" s="21" t="str">
        <x:v>K01</x:v>
      </x:c>
      <x:c r="G37" s="21" t="str">
        <x:v>frozen package and conflict disclosure</x:v>
      </x:c>
      <x:c r="H37" s="32" t="n">
        <x:v>0.1</x:v>
      </x:c>
      <x:c r="I37" s="32" t="n">
        <x:v>1</x:v>
      </x:c>
      <x:c r="J37" s="32" t="n">
        <x:f>'Award Portfolio'!I13*H37</x:f>
        <x:v>0.0171</x:v>
      </x:c>
      <x:c r="K37" s="21" t="str">
        <x:v>artifact acceptance authority</x:v>
      </x:c>
      <x:c r="L37" s="21" t="str">
        <x:v>OPEN</x:v>
      </x:c>
      <x:c r="M37" s="23" t="str">
        <x:v>HOLD</x:v>
      </x:c>
    </x:row>
    <x:row r="38">
      <x:c r="B38" s="21" t="str">
        <x:v>ACN-A01-A-K02</x:v>
      </x:c>
      <x:c r="C38" s="21" t="str">
        <x:v>ACN-A01-A</x:v>
      </x:c>
      <x:c r="D38" s="21" t="str">
        <x:v>ACN-A01</x:v>
      </x:c>
      <x:c r="E38" s="21" t="str">
        <x:v>PROVISIONAL BUILD</x:v>
      </x:c>
      <x:c r="F38" s="21" t="str">
        <x:v>K02</x:v>
      </x:c>
      <x:c r="G38" s="21" t="str">
        <x:v>critical design and burden closure</x:v>
      </x:c>
      <x:c r="H38" s="32" t="n">
        <x:v>0.15</x:v>
      </x:c>
      <x:c r="I38" s="32" t="n">
        <x:v>2</x:v>
      </x:c>
      <x:c r="J38" s="32" t="n">
        <x:f>'Award Portfolio'!I13*H38</x:f>
        <x:v>0.025650000000000003</x:v>
      </x:c>
      <x:c r="K38" s="21" t="str">
        <x:v>artifact acceptance authority</x:v>
      </x:c>
      <x:c r="L38" s="21" t="str">
        <x:v>OPEN</x:v>
      </x:c>
      <x:c r="M38" s="23" t="str">
        <x:v>HOLD</x:v>
      </x:c>
    </x:row>
    <x:row r="39">
      <x:c r="B39" s="21" t="str">
        <x:v>ACN-A01-A-K03</x:v>
      </x:c>
      <x:c r="C39" s="21" t="str">
        <x:v>ACN-A01-A</x:v>
      </x:c>
      <x:c r="D39" s="21" t="str">
        <x:v>ACN-A01</x:v>
      </x:c>
      <x:c r="E39" s="21" t="str">
        <x:v>PROVISIONAL BUILD</x:v>
      </x:c>
      <x:c r="F39" s="21" t="str">
        <x:v>K03</x:v>
      </x:c>
      <x:c r="G39" s="21" t="str">
        <x:v>engineering lot release</x:v>
      </x:c>
      <x:c r="H39" s="32" t="n">
        <x:v>0.2</x:v>
      </x:c>
      <x:c r="I39" s="32" t="n">
        <x:v>3</x:v>
      </x:c>
      <x:c r="J39" s="32" t="n">
        <x:f>'Award Portfolio'!I13*H39</x:f>
        <x:v>0.0342</x:v>
      </x:c>
      <x:c r="K39" s="21" t="str">
        <x:v>artifact acceptance authority</x:v>
      </x:c>
      <x:c r="L39" s="21" t="str">
        <x:v>OPEN</x:v>
      </x:c>
      <x:c r="M39" s="23" t="str">
        <x:v>HOLD</x:v>
      </x:c>
    </x:row>
    <x:row r="40">
      <x:c r="B40" s="21" t="str">
        <x:v>ACN-A01-A-K04</x:v>
      </x:c>
      <x:c r="C40" s="21" t="str">
        <x:v>ACN-A01-A</x:v>
      </x:c>
      <x:c r="D40" s="21" t="str">
        <x:v>ACN-A01</x:v>
      </x:c>
      <x:c r="E40" s="21" t="str">
        <x:v>PROVISIONAL BUILD</x:v>
      </x:c>
      <x:c r="F40" s="21" t="str">
        <x:v>K04</x:v>
      </x:c>
      <x:c r="G40" s="21" t="str">
        <x:v>qualification lot release</x:v>
      </x:c>
      <x:c r="H40" s="32" t="n">
        <x:v>0.2</x:v>
      </x:c>
      <x:c r="I40" s="32" t="n">
        <x:v>4</x:v>
      </x:c>
      <x:c r="J40" s="32" t="n">
        <x:f>'Award Portfolio'!I13*H40</x:f>
        <x:v>0.0342</x:v>
      </x:c>
      <x:c r="K40" s="21" t="str">
        <x:v>artifact acceptance authority</x:v>
      </x:c>
      <x:c r="L40" s="21" t="str">
        <x:v>OPEN</x:v>
      </x:c>
      <x:c r="M40" s="23" t="str">
        <x:v>HOLD</x:v>
      </x:c>
    </x:row>
    <x:row r="41">
      <x:c r="B41" s="21" t="str">
        <x:v>ACN-A01-A-K05</x:v>
      </x:c>
      <x:c r="C41" s="21" t="str">
        <x:v>ACN-A01-A</x:v>
      </x:c>
      <x:c r="D41" s="21" t="str">
        <x:v>ACN-A01</x:v>
      </x:c>
      <x:c r="E41" s="21" t="str">
        <x:v>PROVISIONAL BUILD</x:v>
      </x:c>
      <x:c r="F41" s="21" t="str">
        <x:v>K05</x:v>
      </x:c>
      <x:c r="G41" s="21" t="str">
        <x:v>family acceptance artifact set</x:v>
      </x:c>
      <x:c r="H41" s="32" t="n">
        <x:v>0.2</x:v>
      </x:c>
      <x:c r="I41" s="32" t="n">
        <x:v>6</x:v>
      </x:c>
      <x:c r="J41" s="32" t="n">
        <x:f>'Award Portfolio'!I13*H41</x:f>
        <x:v>0.0342</x:v>
      </x:c>
      <x:c r="K41" s="21" t="str">
        <x:v>artifact acceptance authority</x:v>
      </x:c>
      <x:c r="L41" s="21" t="str">
        <x:v>OPEN</x:v>
      </x:c>
      <x:c r="M41" s="23" t="str">
        <x:v>HOLD</x:v>
      </x:c>
    </x:row>
    <x:row r="42">
      <x:c r="B42" s="21" t="str">
        <x:v>ACN-A01-A-K06</x:v>
      </x:c>
      <x:c r="C42" s="21" t="str">
        <x:v>ACN-A01-A</x:v>
      </x:c>
      <x:c r="D42" s="21" t="str">
        <x:v>ACN-A01</x:v>
      </x:c>
      <x:c r="E42" s="21" t="str">
        <x:v>PROVISIONAL BUILD</x:v>
      </x:c>
      <x:c r="F42" s="21" t="str">
        <x:v>K06</x:v>
      </x:c>
      <x:c r="G42" s="21" t="str">
        <x:v>independent reproduction artifact</x:v>
      </x:c>
      <x:c r="H42" s="32" t="n">
        <x:v>0.15</x:v>
      </x:c>
      <x:c r="I42" s="32" t="n">
        <x:v>8</x:v>
      </x:c>
      <x:c r="J42" s="32" t="n">
        <x:f>'Award Portfolio'!I13*H42</x:f>
        <x:v>0.025650000000000003</x:v>
      </x:c>
      <x:c r="K42" s="21" t="str">
        <x:v>artifact acceptance authority</x:v>
      </x:c>
      <x:c r="L42" s="21" t="str">
        <x:v>OPEN</x:v>
      </x:c>
      <x:c r="M42" s="23" t="str">
        <x:v>HOLD</x:v>
      </x:c>
    </x:row>
    <x:row r="43">
      <x:c r="B43" s="21" t="str">
        <x:v>ACN-A01-B-K01</x:v>
      </x:c>
      <x:c r="C43" s="21" t="str">
        <x:v>ACN-A01-B</x:v>
      </x:c>
      <x:c r="D43" s="21" t="str">
        <x:v>ACN-A01</x:v>
      </x:c>
      <x:c r="E43" s="21" t="str">
        <x:v>PROVISIONAL BUILD</x:v>
      </x:c>
      <x:c r="F43" s="21" t="str">
        <x:v>K01</x:v>
      </x:c>
      <x:c r="G43" s="21" t="str">
        <x:v>frozen package and conflict disclosure</x:v>
      </x:c>
      <x:c r="H43" s="32" t="n">
        <x:v>0.1</x:v>
      </x:c>
      <x:c r="I43" s="32" t="n">
        <x:v>1</x:v>
      </x:c>
      <x:c r="J43" s="32" t="n">
        <x:f>'Award Portfolio'!I14*H43</x:f>
        <x:v>0.0171</x:v>
      </x:c>
      <x:c r="K43" s="21" t="str">
        <x:v>artifact acceptance authority</x:v>
      </x:c>
      <x:c r="L43" s="21" t="str">
        <x:v>OPEN</x:v>
      </x:c>
      <x:c r="M43" s="23" t="str">
        <x:v>HOLD</x:v>
      </x:c>
    </x:row>
    <x:row r="44">
      <x:c r="B44" s="21" t="str">
        <x:v>ACN-A01-B-K02</x:v>
      </x:c>
      <x:c r="C44" s="21" t="str">
        <x:v>ACN-A01-B</x:v>
      </x:c>
      <x:c r="D44" s="21" t="str">
        <x:v>ACN-A01</x:v>
      </x:c>
      <x:c r="E44" s="21" t="str">
        <x:v>PROVISIONAL BUILD</x:v>
      </x:c>
      <x:c r="F44" s="21" t="str">
        <x:v>K02</x:v>
      </x:c>
      <x:c r="G44" s="21" t="str">
        <x:v>critical design and burden closure</x:v>
      </x:c>
      <x:c r="H44" s="32" t="n">
        <x:v>0.15</x:v>
      </x:c>
      <x:c r="I44" s="32" t="n">
        <x:v>2</x:v>
      </x:c>
      <x:c r="J44" s="32" t="n">
        <x:f>'Award Portfolio'!I14*H44</x:f>
        <x:v>0.025650000000000003</x:v>
      </x:c>
      <x:c r="K44" s="21" t="str">
        <x:v>artifact acceptance authority</x:v>
      </x:c>
      <x:c r="L44" s="21" t="str">
        <x:v>OPEN</x:v>
      </x:c>
      <x:c r="M44" s="23" t="str">
        <x:v>HOLD</x:v>
      </x:c>
    </x:row>
    <x:row r="45">
      <x:c r="B45" s="21" t="str">
        <x:v>ACN-A01-B-K03</x:v>
      </x:c>
      <x:c r="C45" s="21" t="str">
        <x:v>ACN-A01-B</x:v>
      </x:c>
      <x:c r="D45" s="21" t="str">
        <x:v>ACN-A01</x:v>
      </x:c>
      <x:c r="E45" s="21" t="str">
        <x:v>PROVISIONAL BUILD</x:v>
      </x:c>
      <x:c r="F45" s="21" t="str">
        <x:v>K03</x:v>
      </x:c>
      <x:c r="G45" s="21" t="str">
        <x:v>engineering lot release</x:v>
      </x:c>
      <x:c r="H45" s="32" t="n">
        <x:v>0.2</x:v>
      </x:c>
      <x:c r="I45" s="32" t="n">
        <x:v>3</x:v>
      </x:c>
      <x:c r="J45" s="32" t="n">
        <x:f>'Award Portfolio'!I14*H45</x:f>
        <x:v>0.0342</x:v>
      </x:c>
      <x:c r="K45" s="21" t="str">
        <x:v>artifact acceptance authority</x:v>
      </x:c>
      <x:c r="L45" s="21" t="str">
        <x:v>OPEN</x:v>
      </x:c>
      <x:c r="M45" s="23" t="str">
        <x:v>HOLD</x:v>
      </x:c>
    </x:row>
    <x:row r="46">
      <x:c r="B46" s="21" t="str">
        <x:v>ACN-A01-B-K04</x:v>
      </x:c>
      <x:c r="C46" s="21" t="str">
        <x:v>ACN-A01-B</x:v>
      </x:c>
      <x:c r="D46" s="21" t="str">
        <x:v>ACN-A01</x:v>
      </x:c>
      <x:c r="E46" s="21" t="str">
        <x:v>PROVISIONAL BUILD</x:v>
      </x:c>
      <x:c r="F46" s="21" t="str">
        <x:v>K04</x:v>
      </x:c>
      <x:c r="G46" s="21" t="str">
        <x:v>qualification lot release</x:v>
      </x:c>
      <x:c r="H46" s="32" t="n">
        <x:v>0.2</x:v>
      </x:c>
      <x:c r="I46" s="32" t="n">
        <x:v>4</x:v>
      </x:c>
      <x:c r="J46" s="32" t="n">
        <x:f>'Award Portfolio'!I14*H46</x:f>
        <x:v>0.0342</x:v>
      </x:c>
      <x:c r="K46" s="21" t="str">
        <x:v>artifact acceptance authority</x:v>
      </x:c>
      <x:c r="L46" s="21" t="str">
        <x:v>OPEN</x:v>
      </x:c>
      <x:c r="M46" s="23" t="str">
        <x:v>HOLD</x:v>
      </x:c>
    </x:row>
    <x:row r="47">
      <x:c r="B47" s="21" t="str">
        <x:v>ACN-A01-B-K05</x:v>
      </x:c>
      <x:c r="C47" s="21" t="str">
        <x:v>ACN-A01-B</x:v>
      </x:c>
      <x:c r="D47" s="21" t="str">
        <x:v>ACN-A01</x:v>
      </x:c>
      <x:c r="E47" s="21" t="str">
        <x:v>PROVISIONAL BUILD</x:v>
      </x:c>
      <x:c r="F47" s="21" t="str">
        <x:v>K05</x:v>
      </x:c>
      <x:c r="G47" s="21" t="str">
        <x:v>family acceptance artifact set</x:v>
      </x:c>
      <x:c r="H47" s="32" t="n">
        <x:v>0.2</x:v>
      </x:c>
      <x:c r="I47" s="32" t="n">
        <x:v>6</x:v>
      </x:c>
      <x:c r="J47" s="32" t="n">
        <x:f>'Award Portfolio'!I14*H47</x:f>
        <x:v>0.0342</x:v>
      </x:c>
      <x:c r="K47" s="21" t="str">
        <x:v>artifact acceptance authority</x:v>
      </x:c>
      <x:c r="L47" s="21" t="str">
        <x:v>OPEN</x:v>
      </x:c>
      <x:c r="M47" s="23" t="str">
        <x:v>HOLD</x:v>
      </x:c>
    </x:row>
    <x:row r="48">
      <x:c r="B48" s="21" t="str">
        <x:v>ACN-A01-B-K06</x:v>
      </x:c>
      <x:c r="C48" s="21" t="str">
        <x:v>ACN-A01-B</x:v>
      </x:c>
      <x:c r="D48" s="21" t="str">
        <x:v>ACN-A01</x:v>
      </x:c>
      <x:c r="E48" s="21" t="str">
        <x:v>PROVISIONAL BUILD</x:v>
      </x:c>
      <x:c r="F48" s="21" t="str">
        <x:v>K06</x:v>
      </x:c>
      <x:c r="G48" s="21" t="str">
        <x:v>independent reproduction artifact</x:v>
      </x:c>
      <x:c r="H48" s="32" t="n">
        <x:v>0.15</x:v>
      </x:c>
      <x:c r="I48" s="32" t="n">
        <x:v>8</x:v>
      </x:c>
      <x:c r="J48" s="32" t="n">
        <x:f>'Award Portfolio'!I14*H48</x:f>
        <x:v>0.025650000000000003</x:v>
      </x:c>
      <x:c r="K48" s="21" t="str">
        <x:v>artifact acceptance authority</x:v>
      </x:c>
      <x:c r="L48" s="21" t="str">
        <x:v>OPEN</x:v>
      </x:c>
      <x:c r="M48" s="23" t="str">
        <x:v>HOLD</x:v>
      </x:c>
    </x:row>
    <x:row r="49">
      <x:c r="B49" s="21" t="str">
        <x:v>ACN-A01-C-C01</x:v>
      </x:c>
      <x:c r="C49" s="21" t="str">
        <x:v>ACN-A01-C</x:v>
      </x:c>
      <x:c r="D49" s="21" t="str">
        <x:v>ACN-A01</x:v>
      </x:c>
      <x:c r="E49" s="21" t="str">
        <x:v>CHALLENGE ONLY</x:v>
      </x:c>
      <x:c r="F49" s="21" t="str">
        <x:v>C01</x:v>
      </x:c>
      <x:c r="G49" s="21" t="str">
        <x:v>blocking hypothesis and experiment</x:v>
      </x:c>
      <x:c r="H49" s="32" t="n">
        <x:v>0.2</x:v>
      </x:c>
      <x:c r="I49" s="32" t="n">
        <x:v>1</x:v>
      </x:c>
      <x:c r="J49" s="32" t="n">
        <x:f>'Award Portfolio'!I15*H49</x:f>
        <x:v>0.007600000000000002</x:v>
      </x:c>
      <x:c r="K49" s="21" t="str">
        <x:v>artifact acceptance authority</x:v>
      </x:c>
      <x:c r="L49" s="21" t="str">
        <x:v>OPEN</x:v>
      </x:c>
      <x:c r="M49" s="23" t="str">
        <x:v>HOLD</x:v>
      </x:c>
    </x:row>
    <x:row r="50">
      <x:c r="B50" s="21" t="str">
        <x:v>ACN-A01-C-C02</x:v>
      </x:c>
      <x:c r="C50" s="21" t="str">
        <x:v>ACN-A01-C</x:v>
      </x:c>
      <x:c r="D50" s="21" t="str">
        <x:v>ACN-A01</x:v>
      </x:c>
      <x:c r="E50" s="21" t="str">
        <x:v>CHALLENGE ONLY</x:v>
      </x:c>
      <x:c r="F50" s="21" t="str">
        <x:v>C02</x:v>
      </x:c>
      <x:c r="G50" s="21" t="str">
        <x:v>bench coupon and failure evidence</x:v>
      </x:c>
      <x:c r="H50" s="32" t="n">
        <x:v>0.3</x:v>
      </x:c>
      <x:c r="I50" s="32" t="n">
        <x:v>2</x:v>
      </x:c>
      <x:c r="J50" s="32" t="n">
        <x:f>'Award Portfolio'!I15*H50</x:f>
        <x:v>0.011400000000000002</x:v>
      </x:c>
      <x:c r="K50" s="21" t="str">
        <x:v>artifact acceptance authority</x:v>
      </x:c>
      <x:c r="L50" s="21" t="str">
        <x:v>OPEN</x:v>
      </x:c>
      <x:c r="M50" s="23" t="str">
        <x:v>HOLD</x:v>
      </x:c>
    </x:row>
    <x:row r="51">
      <x:c r="B51" s="21" t="str">
        <x:v>ACN-A01-C-C03</x:v>
      </x:c>
      <x:c r="C51" s="21" t="str">
        <x:v>ACN-A01-C</x:v>
      </x:c>
      <x:c r="D51" s="21" t="str">
        <x:v>ACN-A01</x:v>
      </x:c>
      <x:c r="E51" s="21" t="str">
        <x:v>CHALLENGE ONLY</x:v>
      </x:c>
      <x:c r="F51" s="21" t="str">
        <x:v>C03</x:v>
      </x:c>
      <x:c r="G51" s="21" t="str">
        <x:v>registered blocking-gate closure attempt</x:v>
      </x:c>
      <x:c r="H51" s="32" t="n">
        <x:v>0.5</x:v>
      </x:c>
      <x:c r="I51" s="32" t="n">
        <x:v>3</x:v>
      </x:c>
      <x:c r="J51" s="32" t="n">
        <x:f>'Award Portfolio'!I15*H51</x:f>
        <x:v>0.019000000000000003</x:v>
      </x:c>
      <x:c r="K51" s="21" t="str">
        <x:v>artifact acceptance authority</x:v>
      </x:c>
      <x:c r="L51" s="21" t="str">
        <x:v>OPEN</x:v>
      </x:c>
      <x:c r="M51" s="23" t="str">
        <x:v>HOLD</x:v>
      </x:c>
    </x:row>
    <x:row r="52">
      <x:c r="B52" s="21" t="str">
        <x:v>TCN-T01-A-K01</x:v>
      </x:c>
      <x:c r="C52" s="21" t="str">
        <x:v>TCN-T01-A</x:v>
      </x:c>
      <x:c r="D52" s="21" t="str">
        <x:v>TCN-T01</x:v>
      </x:c>
      <x:c r="E52" s="21" t="str">
        <x:v>PROVISIONAL BUILD</x:v>
      </x:c>
      <x:c r="F52" s="21" t="str">
        <x:v>K01</x:v>
      </x:c>
      <x:c r="G52" s="21" t="str">
        <x:v>frozen package and conflict disclosure</x:v>
      </x:c>
      <x:c r="H52" s="32" t="n">
        <x:v>0.1</x:v>
      </x:c>
      <x:c r="I52" s="32" t="n">
        <x:v>1</x:v>
      </x:c>
      <x:c r="J52" s="32" t="n">
        <x:f>'Award Portfolio'!I16*H52</x:f>
        <x:v>0.022500000000000003</x:v>
      </x:c>
      <x:c r="K52" s="21" t="str">
        <x:v>artifact acceptance authority</x:v>
      </x:c>
      <x:c r="L52" s="21" t="str">
        <x:v>OPEN</x:v>
      </x:c>
      <x:c r="M52" s="23" t="str">
        <x:v>HOLD</x:v>
      </x:c>
    </x:row>
    <x:row r="53">
      <x:c r="B53" s="21" t="str">
        <x:v>TCN-T01-A-K02</x:v>
      </x:c>
      <x:c r="C53" s="21" t="str">
        <x:v>TCN-T01-A</x:v>
      </x:c>
      <x:c r="D53" s="21" t="str">
        <x:v>TCN-T01</x:v>
      </x:c>
      <x:c r="E53" s="21" t="str">
        <x:v>PROVISIONAL BUILD</x:v>
      </x:c>
      <x:c r="F53" s="21" t="str">
        <x:v>K02</x:v>
      </x:c>
      <x:c r="G53" s="21" t="str">
        <x:v>critical design and burden closure</x:v>
      </x:c>
      <x:c r="H53" s="32" t="n">
        <x:v>0.15</x:v>
      </x:c>
      <x:c r="I53" s="32" t="n">
        <x:v>2</x:v>
      </x:c>
      <x:c r="J53" s="32" t="n">
        <x:f>'Award Portfolio'!I16*H53</x:f>
        <x:v>0.03375</x:v>
      </x:c>
      <x:c r="K53" s="21" t="str">
        <x:v>artifact acceptance authority</x:v>
      </x:c>
      <x:c r="L53" s="21" t="str">
        <x:v>OPEN</x:v>
      </x:c>
      <x:c r="M53" s="23" t="str">
        <x:v>HOLD</x:v>
      </x:c>
    </x:row>
    <x:row r="54">
      <x:c r="B54" s="21" t="str">
        <x:v>TCN-T01-A-K03</x:v>
      </x:c>
      <x:c r="C54" s="21" t="str">
        <x:v>TCN-T01-A</x:v>
      </x:c>
      <x:c r="D54" s="21" t="str">
        <x:v>TCN-T01</x:v>
      </x:c>
      <x:c r="E54" s="21" t="str">
        <x:v>PROVISIONAL BUILD</x:v>
      </x:c>
      <x:c r="F54" s="21" t="str">
        <x:v>K03</x:v>
      </x:c>
      <x:c r="G54" s="21" t="str">
        <x:v>engineering lot release</x:v>
      </x:c>
      <x:c r="H54" s="32" t="n">
        <x:v>0.2</x:v>
      </x:c>
      <x:c r="I54" s="32" t="n">
        <x:v>3</x:v>
      </x:c>
      <x:c r="J54" s="32" t="n">
        <x:f>'Award Portfolio'!I16*H54</x:f>
        <x:v>0.045000000000000005</x:v>
      </x:c>
      <x:c r="K54" s="21" t="str">
        <x:v>artifact acceptance authority</x:v>
      </x:c>
      <x:c r="L54" s="21" t="str">
        <x:v>OPEN</x:v>
      </x:c>
      <x:c r="M54" s="23" t="str">
        <x:v>HOLD</x:v>
      </x:c>
    </x:row>
    <x:row r="55">
      <x:c r="B55" s="21" t="str">
        <x:v>TCN-T01-A-K04</x:v>
      </x:c>
      <x:c r="C55" s="21" t="str">
        <x:v>TCN-T01-A</x:v>
      </x:c>
      <x:c r="D55" s="21" t="str">
        <x:v>TCN-T01</x:v>
      </x:c>
      <x:c r="E55" s="21" t="str">
        <x:v>PROVISIONAL BUILD</x:v>
      </x:c>
      <x:c r="F55" s="21" t="str">
        <x:v>K04</x:v>
      </x:c>
      <x:c r="G55" s="21" t="str">
        <x:v>qualification lot release</x:v>
      </x:c>
      <x:c r="H55" s="32" t="n">
        <x:v>0.2</x:v>
      </x:c>
      <x:c r="I55" s="32" t="n">
        <x:v>4</x:v>
      </x:c>
      <x:c r="J55" s="32" t="n">
        <x:f>'Award Portfolio'!I16*H55</x:f>
        <x:v>0.045000000000000005</x:v>
      </x:c>
      <x:c r="K55" s="21" t="str">
        <x:v>artifact acceptance authority</x:v>
      </x:c>
      <x:c r="L55" s="21" t="str">
        <x:v>OPEN</x:v>
      </x:c>
      <x:c r="M55" s="23" t="str">
        <x:v>HOLD</x:v>
      </x:c>
    </x:row>
    <x:row r="56">
      <x:c r="B56" s="21" t="str">
        <x:v>TCN-T01-A-K05</x:v>
      </x:c>
      <x:c r="C56" s="21" t="str">
        <x:v>TCN-T01-A</x:v>
      </x:c>
      <x:c r="D56" s="21" t="str">
        <x:v>TCN-T01</x:v>
      </x:c>
      <x:c r="E56" s="21" t="str">
        <x:v>PROVISIONAL BUILD</x:v>
      </x:c>
      <x:c r="F56" s="21" t="str">
        <x:v>K05</x:v>
      </x:c>
      <x:c r="G56" s="21" t="str">
        <x:v>family acceptance artifact set</x:v>
      </x:c>
      <x:c r="H56" s="32" t="n">
        <x:v>0.2</x:v>
      </x:c>
      <x:c r="I56" s="32" t="n">
        <x:v>6</x:v>
      </x:c>
      <x:c r="J56" s="32" t="n">
        <x:f>'Award Portfolio'!I16*H56</x:f>
        <x:v>0.045000000000000005</x:v>
      </x:c>
      <x:c r="K56" s="21" t="str">
        <x:v>artifact acceptance authority</x:v>
      </x:c>
      <x:c r="L56" s="21" t="str">
        <x:v>OPEN</x:v>
      </x:c>
      <x:c r="M56" s="23" t="str">
        <x:v>HOLD</x:v>
      </x:c>
    </x:row>
    <x:row r="57">
      <x:c r="B57" s="21" t="str">
        <x:v>TCN-T01-A-K06</x:v>
      </x:c>
      <x:c r="C57" s="21" t="str">
        <x:v>TCN-T01-A</x:v>
      </x:c>
      <x:c r="D57" s="21" t="str">
        <x:v>TCN-T01</x:v>
      </x:c>
      <x:c r="E57" s="21" t="str">
        <x:v>PROVISIONAL BUILD</x:v>
      </x:c>
      <x:c r="F57" s="21" t="str">
        <x:v>K06</x:v>
      </x:c>
      <x:c r="G57" s="21" t="str">
        <x:v>independent reproduction artifact</x:v>
      </x:c>
      <x:c r="H57" s="32" t="n">
        <x:v>0.15</x:v>
      </x:c>
      <x:c r="I57" s="32" t="n">
        <x:v>8</x:v>
      </x:c>
      <x:c r="J57" s="32" t="n">
        <x:f>'Award Portfolio'!I16*H57</x:f>
        <x:v>0.03375</x:v>
      </x:c>
      <x:c r="K57" s="21" t="str">
        <x:v>artifact acceptance authority</x:v>
      </x:c>
      <x:c r="L57" s="21" t="str">
        <x:v>OPEN</x:v>
      </x:c>
      <x:c r="M57" s="23" t="str">
        <x:v>HOLD</x:v>
      </x:c>
    </x:row>
    <x:row r="58">
      <x:c r="B58" s="21" t="str">
        <x:v>TCN-T01-B-K01</x:v>
      </x:c>
      <x:c r="C58" s="21" t="str">
        <x:v>TCN-T01-B</x:v>
      </x:c>
      <x:c r="D58" s="21" t="str">
        <x:v>TCN-T01</x:v>
      </x:c>
      <x:c r="E58" s="21" t="str">
        <x:v>PROVISIONAL BUILD</x:v>
      </x:c>
      <x:c r="F58" s="21" t="str">
        <x:v>K01</x:v>
      </x:c>
      <x:c r="G58" s="21" t="str">
        <x:v>frozen package and conflict disclosure</x:v>
      </x:c>
      <x:c r="H58" s="32" t="n">
        <x:v>0.1</x:v>
      </x:c>
      <x:c r="I58" s="32" t="n">
        <x:v>1</x:v>
      </x:c>
      <x:c r="J58" s="32" t="n">
        <x:f>'Award Portfolio'!I17*H58</x:f>
        <x:v>0.022500000000000003</x:v>
      </x:c>
      <x:c r="K58" s="21" t="str">
        <x:v>artifact acceptance authority</x:v>
      </x:c>
      <x:c r="L58" s="21" t="str">
        <x:v>OPEN</x:v>
      </x:c>
      <x:c r="M58" s="23" t="str">
        <x:v>HOLD</x:v>
      </x:c>
    </x:row>
    <x:row r="59">
      <x:c r="B59" s="21" t="str">
        <x:v>TCN-T01-B-K02</x:v>
      </x:c>
      <x:c r="C59" s="21" t="str">
        <x:v>TCN-T01-B</x:v>
      </x:c>
      <x:c r="D59" s="21" t="str">
        <x:v>TCN-T01</x:v>
      </x:c>
      <x:c r="E59" s="21" t="str">
        <x:v>PROVISIONAL BUILD</x:v>
      </x:c>
      <x:c r="F59" s="21" t="str">
        <x:v>K02</x:v>
      </x:c>
      <x:c r="G59" s="21" t="str">
        <x:v>critical design and burden closure</x:v>
      </x:c>
      <x:c r="H59" s="32" t="n">
        <x:v>0.15</x:v>
      </x:c>
      <x:c r="I59" s="32" t="n">
        <x:v>2</x:v>
      </x:c>
      <x:c r="J59" s="32" t="n">
        <x:f>'Award Portfolio'!I17*H59</x:f>
        <x:v>0.03375</x:v>
      </x:c>
      <x:c r="K59" s="21" t="str">
        <x:v>artifact acceptance authority</x:v>
      </x:c>
      <x:c r="L59" s="21" t="str">
        <x:v>OPEN</x:v>
      </x:c>
      <x:c r="M59" s="23" t="str">
        <x:v>HOLD</x:v>
      </x:c>
    </x:row>
    <x:row r="60">
      <x:c r="B60" s="21" t="str">
        <x:v>TCN-T01-B-K03</x:v>
      </x:c>
      <x:c r="C60" s="21" t="str">
        <x:v>TCN-T01-B</x:v>
      </x:c>
      <x:c r="D60" s="21" t="str">
        <x:v>TCN-T01</x:v>
      </x:c>
      <x:c r="E60" s="21" t="str">
        <x:v>PROVISIONAL BUILD</x:v>
      </x:c>
      <x:c r="F60" s="21" t="str">
        <x:v>K03</x:v>
      </x:c>
      <x:c r="G60" s="21" t="str">
        <x:v>engineering lot release</x:v>
      </x:c>
      <x:c r="H60" s="32" t="n">
        <x:v>0.2</x:v>
      </x:c>
      <x:c r="I60" s="32" t="n">
        <x:v>3</x:v>
      </x:c>
      <x:c r="J60" s="32" t="n">
        <x:f>'Award Portfolio'!I17*H60</x:f>
        <x:v>0.045000000000000005</x:v>
      </x:c>
      <x:c r="K60" s="21" t="str">
        <x:v>artifact acceptance authority</x:v>
      </x:c>
      <x:c r="L60" s="21" t="str">
        <x:v>OPEN</x:v>
      </x:c>
      <x:c r="M60" s="23" t="str">
        <x:v>HOLD</x:v>
      </x:c>
    </x:row>
    <x:row r="61">
      <x:c r="B61" s="21" t="str">
        <x:v>TCN-T01-B-K04</x:v>
      </x:c>
      <x:c r="C61" s="21" t="str">
        <x:v>TCN-T01-B</x:v>
      </x:c>
      <x:c r="D61" s="21" t="str">
        <x:v>TCN-T01</x:v>
      </x:c>
      <x:c r="E61" s="21" t="str">
        <x:v>PROVISIONAL BUILD</x:v>
      </x:c>
      <x:c r="F61" s="21" t="str">
        <x:v>K04</x:v>
      </x:c>
      <x:c r="G61" s="21" t="str">
        <x:v>qualification lot release</x:v>
      </x:c>
      <x:c r="H61" s="32" t="n">
        <x:v>0.2</x:v>
      </x:c>
      <x:c r="I61" s="32" t="n">
        <x:v>4</x:v>
      </x:c>
      <x:c r="J61" s="32" t="n">
        <x:f>'Award Portfolio'!I17*H61</x:f>
        <x:v>0.045000000000000005</x:v>
      </x:c>
      <x:c r="K61" s="21" t="str">
        <x:v>artifact acceptance authority</x:v>
      </x:c>
      <x:c r="L61" s="21" t="str">
        <x:v>OPEN</x:v>
      </x:c>
      <x:c r="M61" s="23" t="str">
        <x:v>HOLD</x:v>
      </x:c>
    </x:row>
    <x:row r="62">
      <x:c r="B62" s="21" t="str">
        <x:v>TCN-T01-B-K05</x:v>
      </x:c>
      <x:c r="C62" s="21" t="str">
        <x:v>TCN-T01-B</x:v>
      </x:c>
      <x:c r="D62" s="21" t="str">
        <x:v>TCN-T01</x:v>
      </x:c>
      <x:c r="E62" s="21" t="str">
        <x:v>PROVISIONAL BUILD</x:v>
      </x:c>
      <x:c r="F62" s="21" t="str">
        <x:v>K05</x:v>
      </x:c>
      <x:c r="G62" s="21" t="str">
        <x:v>family acceptance artifact set</x:v>
      </x:c>
      <x:c r="H62" s="32" t="n">
        <x:v>0.2</x:v>
      </x:c>
      <x:c r="I62" s="32" t="n">
        <x:v>6</x:v>
      </x:c>
      <x:c r="J62" s="32" t="n">
        <x:f>'Award Portfolio'!I17*H62</x:f>
        <x:v>0.045000000000000005</x:v>
      </x:c>
      <x:c r="K62" s="21" t="str">
        <x:v>artifact acceptance authority</x:v>
      </x:c>
      <x:c r="L62" s="21" t="str">
        <x:v>OPEN</x:v>
      </x:c>
      <x:c r="M62" s="23" t="str">
        <x:v>HOLD</x:v>
      </x:c>
    </x:row>
    <x:row r="63">
      <x:c r="B63" s="21" t="str">
        <x:v>TCN-T01-B-K06</x:v>
      </x:c>
      <x:c r="C63" s="21" t="str">
        <x:v>TCN-T01-B</x:v>
      </x:c>
      <x:c r="D63" s="21" t="str">
        <x:v>TCN-T01</x:v>
      </x:c>
      <x:c r="E63" s="21" t="str">
        <x:v>PROVISIONAL BUILD</x:v>
      </x:c>
      <x:c r="F63" s="21" t="str">
        <x:v>K06</x:v>
      </x:c>
      <x:c r="G63" s="21" t="str">
        <x:v>independent reproduction artifact</x:v>
      </x:c>
      <x:c r="H63" s="32" t="n">
        <x:v>0.15</x:v>
      </x:c>
      <x:c r="I63" s="32" t="n">
        <x:v>8</x:v>
      </x:c>
      <x:c r="J63" s="32" t="n">
        <x:f>'Award Portfolio'!I17*H63</x:f>
        <x:v>0.03375</x:v>
      </x:c>
      <x:c r="K63" s="21" t="str">
        <x:v>artifact acceptance authority</x:v>
      </x:c>
      <x:c r="L63" s="21" t="str">
        <x:v>OPEN</x:v>
      </x:c>
      <x:c r="M63" s="23" t="str">
        <x:v>HOLD</x:v>
      </x:c>
    </x:row>
    <x:row r="64">
      <x:c r="B64" s="21" t="str">
        <x:v>TCN-T01-C-C01</x:v>
      </x:c>
      <x:c r="C64" s="21" t="str">
        <x:v>TCN-T01-C</x:v>
      </x:c>
      <x:c r="D64" s="21" t="str">
        <x:v>TCN-T01</x:v>
      </x:c>
      <x:c r="E64" s="21" t="str">
        <x:v>CHALLENGE ONLY</x:v>
      </x:c>
      <x:c r="F64" s="21" t="str">
        <x:v>C01</x:v>
      </x:c>
      <x:c r="G64" s="21" t="str">
        <x:v>blocking hypothesis and experiment</x:v>
      </x:c>
      <x:c r="H64" s="32" t="n">
        <x:v>0.2</x:v>
      </x:c>
      <x:c r="I64" s="32" t="n">
        <x:v>1</x:v>
      </x:c>
      <x:c r="J64" s="32" t="n">
        <x:f>'Award Portfolio'!I18*H64</x:f>
        <x:v>0.010000000000000002</x:v>
      </x:c>
      <x:c r="K64" s="21" t="str">
        <x:v>artifact acceptance authority</x:v>
      </x:c>
      <x:c r="L64" s="21" t="str">
        <x:v>OPEN</x:v>
      </x:c>
      <x:c r="M64" s="23" t="str">
        <x:v>HOLD</x:v>
      </x:c>
    </x:row>
    <x:row r="65">
      <x:c r="B65" s="21" t="str">
        <x:v>TCN-T01-C-C02</x:v>
      </x:c>
      <x:c r="C65" s="21" t="str">
        <x:v>TCN-T01-C</x:v>
      </x:c>
      <x:c r="D65" s="21" t="str">
        <x:v>TCN-T01</x:v>
      </x:c>
      <x:c r="E65" s="21" t="str">
        <x:v>CHALLENGE ONLY</x:v>
      </x:c>
      <x:c r="F65" s="21" t="str">
        <x:v>C02</x:v>
      </x:c>
      <x:c r="G65" s="21" t="str">
        <x:v>bench coupon and failure evidence</x:v>
      </x:c>
      <x:c r="H65" s="32" t="n">
        <x:v>0.3</x:v>
      </x:c>
      <x:c r="I65" s="32" t="n">
        <x:v>2</x:v>
      </x:c>
      <x:c r="J65" s="32" t="n">
        <x:f>'Award Portfolio'!I18*H65</x:f>
        <x:v>0.015</x:v>
      </x:c>
      <x:c r="K65" s="21" t="str">
        <x:v>artifact acceptance authority</x:v>
      </x:c>
      <x:c r="L65" s="21" t="str">
        <x:v>OPEN</x:v>
      </x:c>
      <x:c r="M65" s="23" t="str">
        <x:v>HOLD</x:v>
      </x:c>
    </x:row>
    <x:row r="66">
      <x:c r="B66" s="21" t="str">
        <x:v>TCN-T01-C-C03</x:v>
      </x:c>
      <x:c r="C66" s="21" t="str">
        <x:v>TCN-T01-C</x:v>
      </x:c>
      <x:c r="D66" s="21" t="str">
        <x:v>TCN-T01</x:v>
      </x:c>
      <x:c r="E66" s="21" t="str">
        <x:v>CHALLENGE ONLY</x:v>
      </x:c>
      <x:c r="F66" s="21" t="str">
        <x:v>C03</x:v>
      </x:c>
      <x:c r="G66" s="21" t="str">
        <x:v>registered blocking-gate closure attempt</x:v>
      </x:c>
      <x:c r="H66" s="32" t="n">
        <x:v>0.5</x:v>
      </x:c>
      <x:c r="I66" s="32" t="n">
        <x:v>3</x:v>
      </x:c>
      <x:c r="J66" s="32" t="n">
        <x:f>'Award Portfolio'!I18*H66</x:f>
        <x:v>0.025</x:v>
      </x:c>
      <x:c r="K66" s="21" t="str">
        <x:v>artifact acceptance authority</x:v>
      </x:c>
      <x:c r="L66" s="21" t="str">
        <x:v>OPEN</x:v>
      </x:c>
      <x:c r="M66" s="23" t="str">
        <x:v>HOLD</x:v>
      </x:c>
    </x:row>
    <x:row r="67">
      <x:c r="B67" s="21" t="str">
        <x:v>CRS-R01-A-K01</x:v>
      </x:c>
      <x:c r="C67" s="21" t="str">
        <x:v>CRS-R01-A</x:v>
      </x:c>
      <x:c r="D67" s="21" t="str">
        <x:v>CRS-R01</x:v>
      </x:c>
      <x:c r="E67" s="21" t="str">
        <x:v>PROVISIONAL BUILD</x:v>
      </x:c>
      <x:c r="F67" s="21" t="str">
        <x:v>K01</x:v>
      </x:c>
      <x:c r="G67" s="21" t="str">
        <x:v>frozen package and conflict disclosure</x:v>
      </x:c>
      <x:c r="H67" s="32" t="n">
        <x:v>0.1</x:v>
      </x:c>
      <x:c r="I67" s="32" t="n">
        <x:v>1</x:v>
      </x:c>
      <x:c r="J67" s="32" t="n">
        <x:f>'Award Portfolio'!I19*H67</x:f>
        <x:v>0.018000000000000002</x:v>
      </x:c>
      <x:c r="K67" s="21" t="str">
        <x:v>artifact acceptance authority</x:v>
      </x:c>
      <x:c r="L67" s="21" t="str">
        <x:v>OPEN</x:v>
      </x:c>
      <x:c r="M67" s="23" t="str">
        <x:v>HOLD</x:v>
      </x:c>
    </x:row>
    <x:row r="68">
      <x:c r="B68" s="21" t="str">
        <x:v>CRS-R01-A-K02</x:v>
      </x:c>
      <x:c r="C68" s="21" t="str">
        <x:v>CRS-R01-A</x:v>
      </x:c>
      <x:c r="D68" s="21" t="str">
        <x:v>CRS-R01</x:v>
      </x:c>
      <x:c r="E68" s="21" t="str">
        <x:v>PROVISIONAL BUILD</x:v>
      </x:c>
      <x:c r="F68" s="21" t="str">
        <x:v>K02</x:v>
      </x:c>
      <x:c r="G68" s="21" t="str">
        <x:v>critical design and burden closure</x:v>
      </x:c>
      <x:c r="H68" s="32" t="n">
        <x:v>0.15</x:v>
      </x:c>
      <x:c r="I68" s="32" t="n">
        <x:v>2</x:v>
      </x:c>
      <x:c r="J68" s="32" t="n">
        <x:f>'Award Portfolio'!I19*H68</x:f>
        <x:v>0.027000000000000003</x:v>
      </x:c>
      <x:c r="K68" s="21" t="str">
        <x:v>artifact acceptance authority</x:v>
      </x:c>
      <x:c r="L68" s="21" t="str">
        <x:v>OPEN</x:v>
      </x:c>
      <x:c r="M68" s="23" t="str">
        <x:v>HOLD</x:v>
      </x:c>
    </x:row>
    <x:row r="69">
      <x:c r="B69" s="21" t="str">
        <x:v>CRS-R01-A-K03</x:v>
      </x:c>
      <x:c r="C69" s="21" t="str">
        <x:v>CRS-R01-A</x:v>
      </x:c>
      <x:c r="D69" s="21" t="str">
        <x:v>CRS-R01</x:v>
      </x:c>
      <x:c r="E69" s="21" t="str">
        <x:v>PROVISIONAL BUILD</x:v>
      </x:c>
      <x:c r="F69" s="21" t="str">
        <x:v>K03</x:v>
      </x:c>
      <x:c r="G69" s="21" t="str">
        <x:v>engineering lot release</x:v>
      </x:c>
      <x:c r="H69" s="32" t="n">
        <x:v>0.2</x:v>
      </x:c>
      <x:c r="I69" s="32" t="n">
        <x:v>3</x:v>
      </x:c>
      <x:c r="J69" s="32" t="n">
        <x:f>'Award Portfolio'!I19*H69</x:f>
        <x:v>0.036000000000000004</x:v>
      </x:c>
      <x:c r="K69" s="21" t="str">
        <x:v>artifact acceptance authority</x:v>
      </x:c>
      <x:c r="L69" s="21" t="str">
        <x:v>OPEN</x:v>
      </x:c>
      <x:c r="M69" s="23" t="str">
        <x:v>HOLD</x:v>
      </x:c>
    </x:row>
    <x:row r="70">
      <x:c r="B70" s="21" t="str">
        <x:v>CRS-R01-A-K04</x:v>
      </x:c>
      <x:c r="C70" s="21" t="str">
        <x:v>CRS-R01-A</x:v>
      </x:c>
      <x:c r="D70" s="21" t="str">
        <x:v>CRS-R01</x:v>
      </x:c>
      <x:c r="E70" s="21" t="str">
        <x:v>PROVISIONAL BUILD</x:v>
      </x:c>
      <x:c r="F70" s="21" t="str">
        <x:v>K04</x:v>
      </x:c>
      <x:c r="G70" s="21" t="str">
        <x:v>qualification lot release</x:v>
      </x:c>
      <x:c r="H70" s="32" t="n">
        <x:v>0.2</x:v>
      </x:c>
      <x:c r="I70" s="32" t="n">
        <x:v>4</x:v>
      </x:c>
      <x:c r="J70" s="32" t="n">
        <x:f>'Award Portfolio'!I19*H70</x:f>
        <x:v>0.036000000000000004</x:v>
      </x:c>
      <x:c r="K70" s="21" t="str">
        <x:v>artifact acceptance authority</x:v>
      </x:c>
      <x:c r="L70" s="21" t="str">
        <x:v>OPEN</x:v>
      </x:c>
      <x:c r="M70" s="23" t="str">
        <x:v>HOLD</x:v>
      </x:c>
    </x:row>
    <x:row r="71">
      <x:c r="B71" s="21" t="str">
        <x:v>CRS-R01-A-K05</x:v>
      </x:c>
      <x:c r="C71" s="21" t="str">
        <x:v>CRS-R01-A</x:v>
      </x:c>
      <x:c r="D71" s="21" t="str">
        <x:v>CRS-R01</x:v>
      </x:c>
      <x:c r="E71" s="21" t="str">
        <x:v>PROVISIONAL BUILD</x:v>
      </x:c>
      <x:c r="F71" s="21" t="str">
        <x:v>K05</x:v>
      </x:c>
      <x:c r="G71" s="21" t="str">
        <x:v>family acceptance artifact set</x:v>
      </x:c>
      <x:c r="H71" s="32" t="n">
        <x:v>0.2</x:v>
      </x:c>
      <x:c r="I71" s="32" t="n">
        <x:v>6</x:v>
      </x:c>
      <x:c r="J71" s="32" t="n">
        <x:f>'Award Portfolio'!I19*H71</x:f>
        <x:v>0.036000000000000004</x:v>
      </x:c>
      <x:c r="K71" s="21" t="str">
        <x:v>artifact acceptance authority</x:v>
      </x:c>
      <x:c r="L71" s="21" t="str">
        <x:v>OPEN</x:v>
      </x:c>
      <x:c r="M71" s="23" t="str">
        <x:v>HOLD</x:v>
      </x:c>
    </x:row>
    <x:row r="72">
      <x:c r="B72" s="21" t="str">
        <x:v>CRS-R01-A-K06</x:v>
      </x:c>
      <x:c r="C72" s="21" t="str">
        <x:v>CRS-R01-A</x:v>
      </x:c>
      <x:c r="D72" s="21" t="str">
        <x:v>CRS-R01</x:v>
      </x:c>
      <x:c r="E72" s="21" t="str">
        <x:v>PROVISIONAL BUILD</x:v>
      </x:c>
      <x:c r="F72" s="21" t="str">
        <x:v>K06</x:v>
      </x:c>
      <x:c r="G72" s="21" t="str">
        <x:v>independent reproduction artifact</x:v>
      </x:c>
      <x:c r="H72" s="32" t="n">
        <x:v>0.15</x:v>
      </x:c>
      <x:c r="I72" s="32" t="n">
        <x:v>8</x:v>
      </x:c>
      <x:c r="J72" s="32" t="n">
        <x:f>'Award Portfolio'!I19*H72</x:f>
        <x:v>0.027000000000000003</x:v>
      </x:c>
      <x:c r="K72" s="21" t="str">
        <x:v>artifact acceptance authority</x:v>
      </x:c>
      <x:c r="L72" s="21" t="str">
        <x:v>OPEN</x:v>
      </x:c>
      <x:c r="M72" s="23" t="str">
        <x:v>HOLD</x:v>
      </x:c>
    </x:row>
    <x:row r="73">
      <x:c r="B73" s="21" t="str">
        <x:v>CRS-R01-B-K01</x:v>
      </x:c>
      <x:c r="C73" s="21" t="str">
        <x:v>CRS-R01-B</x:v>
      </x:c>
      <x:c r="D73" s="21" t="str">
        <x:v>CRS-R01</x:v>
      </x:c>
      <x:c r="E73" s="21" t="str">
        <x:v>PROVISIONAL BUILD</x:v>
      </x:c>
      <x:c r="F73" s="21" t="str">
        <x:v>K01</x:v>
      </x:c>
      <x:c r="G73" s="21" t="str">
        <x:v>frozen package and conflict disclosure</x:v>
      </x:c>
      <x:c r="H73" s="32" t="n">
        <x:v>0.1</x:v>
      </x:c>
      <x:c r="I73" s="32" t="n">
        <x:v>1</x:v>
      </x:c>
      <x:c r="J73" s="32" t="n">
        <x:f>'Award Portfolio'!I20*H73</x:f>
        <x:v>0.018000000000000002</x:v>
      </x:c>
      <x:c r="K73" s="21" t="str">
        <x:v>artifact acceptance authority</x:v>
      </x:c>
      <x:c r="L73" s="21" t="str">
        <x:v>OPEN</x:v>
      </x:c>
      <x:c r="M73" s="23" t="str">
        <x:v>HOLD</x:v>
      </x:c>
    </x:row>
    <x:row r="74">
      <x:c r="B74" s="21" t="str">
        <x:v>CRS-R01-B-K02</x:v>
      </x:c>
      <x:c r="C74" s="21" t="str">
        <x:v>CRS-R01-B</x:v>
      </x:c>
      <x:c r="D74" s="21" t="str">
        <x:v>CRS-R01</x:v>
      </x:c>
      <x:c r="E74" s="21" t="str">
        <x:v>PROVISIONAL BUILD</x:v>
      </x:c>
      <x:c r="F74" s="21" t="str">
        <x:v>K02</x:v>
      </x:c>
      <x:c r="G74" s="21" t="str">
        <x:v>critical design and burden closure</x:v>
      </x:c>
      <x:c r="H74" s="32" t="n">
        <x:v>0.15</x:v>
      </x:c>
      <x:c r="I74" s="32" t="n">
        <x:v>2</x:v>
      </x:c>
      <x:c r="J74" s="32" t="n">
        <x:f>'Award Portfolio'!I20*H74</x:f>
        <x:v>0.027000000000000003</x:v>
      </x:c>
      <x:c r="K74" s="21" t="str">
        <x:v>artifact acceptance authority</x:v>
      </x:c>
      <x:c r="L74" s="21" t="str">
        <x:v>OPEN</x:v>
      </x:c>
      <x:c r="M74" s="23" t="str">
        <x:v>HOLD</x:v>
      </x:c>
    </x:row>
    <x:row r="75">
      <x:c r="B75" s="21" t="str">
        <x:v>CRS-R01-B-K03</x:v>
      </x:c>
      <x:c r="C75" s="21" t="str">
        <x:v>CRS-R01-B</x:v>
      </x:c>
      <x:c r="D75" s="21" t="str">
        <x:v>CRS-R01</x:v>
      </x:c>
      <x:c r="E75" s="21" t="str">
        <x:v>PROVISIONAL BUILD</x:v>
      </x:c>
      <x:c r="F75" s="21" t="str">
        <x:v>K03</x:v>
      </x:c>
      <x:c r="G75" s="21" t="str">
        <x:v>engineering lot release</x:v>
      </x:c>
      <x:c r="H75" s="32" t="n">
        <x:v>0.2</x:v>
      </x:c>
      <x:c r="I75" s="32" t="n">
        <x:v>3</x:v>
      </x:c>
      <x:c r="J75" s="32" t="n">
        <x:f>'Award Portfolio'!I20*H75</x:f>
        <x:v>0.036000000000000004</x:v>
      </x:c>
      <x:c r="K75" s="21" t="str">
        <x:v>artifact acceptance authority</x:v>
      </x:c>
      <x:c r="L75" s="21" t="str">
        <x:v>OPEN</x:v>
      </x:c>
      <x:c r="M75" s="23" t="str">
        <x:v>HOLD</x:v>
      </x:c>
    </x:row>
    <x:row r="76">
      <x:c r="B76" s="21" t="str">
        <x:v>CRS-R01-B-K04</x:v>
      </x:c>
      <x:c r="C76" s="21" t="str">
        <x:v>CRS-R01-B</x:v>
      </x:c>
      <x:c r="D76" s="21" t="str">
        <x:v>CRS-R01</x:v>
      </x:c>
      <x:c r="E76" s="21" t="str">
        <x:v>PROVISIONAL BUILD</x:v>
      </x:c>
      <x:c r="F76" s="21" t="str">
        <x:v>K04</x:v>
      </x:c>
      <x:c r="G76" s="21" t="str">
        <x:v>qualification lot release</x:v>
      </x:c>
      <x:c r="H76" s="32" t="n">
        <x:v>0.2</x:v>
      </x:c>
      <x:c r="I76" s="32" t="n">
        <x:v>4</x:v>
      </x:c>
      <x:c r="J76" s="32" t="n">
        <x:f>'Award Portfolio'!I20*H76</x:f>
        <x:v>0.036000000000000004</x:v>
      </x:c>
      <x:c r="K76" s="21" t="str">
        <x:v>artifact acceptance authority</x:v>
      </x:c>
      <x:c r="L76" s="21" t="str">
        <x:v>OPEN</x:v>
      </x:c>
      <x:c r="M76" s="23" t="str">
        <x:v>HOLD</x:v>
      </x:c>
    </x:row>
    <x:row r="77">
      <x:c r="B77" s="21" t="str">
        <x:v>CRS-R01-B-K05</x:v>
      </x:c>
      <x:c r="C77" s="21" t="str">
        <x:v>CRS-R01-B</x:v>
      </x:c>
      <x:c r="D77" s="21" t="str">
        <x:v>CRS-R01</x:v>
      </x:c>
      <x:c r="E77" s="21" t="str">
        <x:v>PROVISIONAL BUILD</x:v>
      </x:c>
      <x:c r="F77" s="21" t="str">
        <x:v>K05</x:v>
      </x:c>
      <x:c r="G77" s="21" t="str">
        <x:v>family acceptance artifact set</x:v>
      </x:c>
      <x:c r="H77" s="32" t="n">
        <x:v>0.2</x:v>
      </x:c>
      <x:c r="I77" s="32" t="n">
        <x:v>6</x:v>
      </x:c>
      <x:c r="J77" s="32" t="n">
        <x:f>'Award Portfolio'!I20*H77</x:f>
        <x:v>0.036000000000000004</x:v>
      </x:c>
      <x:c r="K77" s="21" t="str">
        <x:v>artifact acceptance authority</x:v>
      </x:c>
      <x:c r="L77" s="21" t="str">
        <x:v>OPEN</x:v>
      </x:c>
      <x:c r="M77" s="23" t="str">
        <x:v>HOLD</x:v>
      </x:c>
    </x:row>
    <x:row r="78">
      <x:c r="B78" s="21" t="str">
        <x:v>CRS-R01-B-K06</x:v>
      </x:c>
      <x:c r="C78" s="21" t="str">
        <x:v>CRS-R01-B</x:v>
      </x:c>
      <x:c r="D78" s="21" t="str">
        <x:v>CRS-R01</x:v>
      </x:c>
      <x:c r="E78" s="21" t="str">
        <x:v>PROVISIONAL BUILD</x:v>
      </x:c>
      <x:c r="F78" s="21" t="str">
        <x:v>K06</x:v>
      </x:c>
      <x:c r="G78" s="21" t="str">
        <x:v>independent reproduction artifact</x:v>
      </x:c>
      <x:c r="H78" s="32" t="n">
        <x:v>0.15</x:v>
      </x:c>
      <x:c r="I78" s="32" t="n">
        <x:v>8</x:v>
      </x:c>
      <x:c r="J78" s="32" t="n">
        <x:f>'Award Portfolio'!I20*H78</x:f>
        <x:v>0.027000000000000003</x:v>
      </x:c>
      <x:c r="K78" s="21" t="str">
        <x:v>artifact acceptance authority</x:v>
      </x:c>
      <x:c r="L78" s="21" t="str">
        <x:v>OPEN</x:v>
      </x:c>
      <x:c r="M78" s="23" t="str">
        <x:v>HOLD</x:v>
      </x:c>
    </x:row>
    <x:row r="79">
      <x:c r="B79" s="21" t="str">
        <x:v>CRS-R01-C-C01</x:v>
      </x:c>
      <x:c r="C79" s="21" t="str">
        <x:v>CRS-R01-C</x:v>
      </x:c>
      <x:c r="D79" s="21" t="str">
        <x:v>CRS-R01</x:v>
      </x:c>
      <x:c r="E79" s="21" t="str">
        <x:v>CHALLENGE ONLY</x:v>
      </x:c>
      <x:c r="F79" s="21" t="str">
        <x:v>C01</x:v>
      </x:c>
      <x:c r="G79" s="21" t="str">
        <x:v>blocking hypothesis and experiment</x:v>
      </x:c>
      <x:c r="H79" s="32" t="n">
        <x:v>0.2</x:v>
      </x:c>
      <x:c r="I79" s="32" t="n">
        <x:v>1</x:v>
      </x:c>
      <x:c r="J79" s="32" t="n">
        <x:f>'Award Portfolio'!I21*H79</x:f>
        <x:v>0.008000000000000002</x:v>
      </x:c>
      <x:c r="K79" s="21" t="str">
        <x:v>artifact acceptance authority</x:v>
      </x:c>
      <x:c r="L79" s="21" t="str">
        <x:v>OPEN</x:v>
      </x:c>
      <x:c r="M79" s="23" t="str">
        <x:v>HOLD</x:v>
      </x:c>
    </x:row>
    <x:row r="80">
      <x:c r="B80" s="21" t="str">
        <x:v>CRS-R01-C-C02</x:v>
      </x:c>
      <x:c r="C80" s="21" t="str">
        <x:v>CRS-R01-C</x:v>
      </x:c>
      <x:c r="D80" s="21" t="str">
        <x:v>CRS-R01</x:v>
      </x:c>
      <x:c r="E80" s="21" t="str">
        <x:v>CHALLENGE ONLY</x:v>
      </x:c>
      <x:c r="F80" s="21" t="str">
        <x:v>C02</x:v>
      </x:c>
      <x:c r="G80" s="21" t="str">
        <x:v>bench coupon and failure evidence</x:v>
      </x:c>
      <x:c r="H80" s="32" t="n">
        <x:v>0.3</x:v>
      </x:c>
      <x:c r="I80" s="32" t="n">
        <x:v>2</x:v>
      </x:c>
      <x:c r="J80" s="32" t="n">
        <x:f>'Award Portfolio'!I21*H80</x:f>
        <x:v>0.012000000000000002</x:v>
      </x:c>
      <x:c r="K80" s="21" t="str">
        <x:v>artifact acceptance authority</x:v>
      </x:c>
      <x:c r="L80" s="21" t="str">
        <x:v>OPEN</x:v>
      </x:c>
      <x:c r="M80" s="23" t="str">
        <x:v>HOLD</x:v>
      </x:c>
    </x:row>
    <x:row r="81">
      <x:c r="B81" s="21" t="str">
        <x:v>CRS-R01-C-C03</x:v>
      </x:c>
      <x:c r="C81" s="21" t="str">
        <x:v>CRS-R01-C</x:v>
      </x:c>
      <x:c r="D81" s="21" t="str">
        <x:v>CRS-R01</x:v>
      </x:c>
      <x:c r="E81" s="21" t="str">
        <x:v>CHALLENGE ONLY</x:v>
      </x:c>
      <x:c r="F81" s="21" t="str">
        <x:v>C03</x:v>
      </x:c>
      <x:c r="G81" s="21" t="str">
        <x:v>registered blocking-gate closure attempt</x:v>
      </x:c>
      <x:c r="H81" s="32" t="n">
        <x:v>0.5</x:v>
      </x:c>
      <x:c r="I81" s="32" t="n">
        <x:v>3</x:v>
      </x:c>
      <x:c r="J81" s="32" t="n">
        <x:f>'Award Portfolio'!I21*H81</x:f>
        <x:v>0.020000000000000004</x:v>
      </x:c>
      <x:c r="K81" s="21" t="str">
        <x:v>artifact acceptance authority</x:v>
      </x:c>
      <x:c r="L81" s="21" t="str">
        <x:v>OPEN</x:v>
      </x:c>
      <x:c r="M81" s="23" t="str">
        <x:v>HOLD</x:v>
      </x:c>
    </x:row>
    <x:row r="82">
      <x:c r="B82" s="21" t="str">
        <x:v>PSS-T01-A-K01</x:v>
      </x:c>
      <x:c r="C82" s="21" t="str">
        <x:v>PSS-T01-A</x:v>
      </x:c>
      <x:c r="D82" s="21" t="str">
        <x:v>PSS-T01</x:v>
      </x:c>
      <x:c r="E82" s="21" t="str">
        <x:v>PROVISIONAL BUILD</x:v>
      </x:c>
      <x:c r="F82" s="21" t="str">
        <x:v>K01</x:v>
      </x:c>
      <x:c r="G82" s="21" t="str">
        <x:v>frozen package and conflict disclosure</x:v>
      </x:c>
      <x:c r="H82" s="32" t="n">
        <x:v>0.1</x:v>
      </x:c>
      <x:c r="I82" s="32" t="n">
        <x:v>1</x:v>
      </x:c>
      <x:c r="J82" s="32" t="n">
        <x:f>'Award Portfolio'!I22*H82</x:f>
        <x:v>0.024750000000000005</x:v>
      </x:c>
      <x:c r="K82" s="21" t="str">
        <x:v>artifact acceptance authority</x:v>
      </x:c>
      <x:c r="L82" s="21" t="str">
        <x:v>OPEN</x:v>
      </x:c>
      <x:c r="M82" s="23" t="str">
        <x:v>HOLD</x:v>
      </x:c>
    </x:row>
    <x:row r="83">
      <x:c r="B83" s="21" t="str">
        <x:v>PSS-T01-A-K02</x:v>
      </x:c>
      <x:c r="C83" s="21" t="str">
        <x:v>PSS-T01-A</x:v>
      </x:c>
      <x:c r="D83" s="21" t="str">
        <x:v>PSS-T01</x:v>
      </x:c>
      <x:c r="E83" s="21" t="str">
        <x:v>PROVISIONAL BUILD</x:v>
      </x:c>
      <x:c r="F83" s="21" t="str">
        <x:v>K02</x:v>
      </x:c>
      <x:c r="G83" s="21" t="str">
        <x:v>critical design and burden closure</x:v>
      </x:c>
      <x:c r="H83" s="32" t="n">
        <x:v>0.15</x:v>
      </x:c>
      <x:c r="I83" s="32" t="n">
        <x:v>2</x:v>
      </x:c>
      <x:c r="J83" s="32" t="n">
        <x:f>'Award Portfolio'!I22*H83</x:f>
        <x:v>0.037125000000000005</x:v>
      </x:c>
      <x:c r="K83" s="21" t="str">
        <x:v>artifact acceptance authority</x:v>
      </x:c>
      <x:c r="L83" s="21" t="str">
        <x:v>OPEN</x:v>
      </x:c>
      <x:c r="M83" s="23" t="str">
        <x:v>HOLD</x:v>
      </x:c>
    </x:row>
    <x:row r="84">
      <x:c r="B84" s="21" t="str">
        <x:v>PSS-T01-A-K03</x:v>
      </x:c>
      <x:c r="C84" s="21" t="str">
        <x:v>PSS-T01-A</x:v>
      </x:c>
      <x:c r="D84" s="21" t="str">
        <x:v>PSS-T01</x:v>
      </x:c>
      <x:c r="E84" s="21" t="str">
        <x:v>PROVISIONAL BUILD</x:v>
      </x:c>
      <x:c r="F84" s="21" t="str">
        <x:v>K03</x:v>
      </x:c>
      <x:c r="G84" s="21" t="str">
        <x:v>engineering lot release</x:v>
      </x:c>
      <x:c r="H84" s="32" t="n">
        <x:v>0.2</x:v>
      </x:c>
      <x:c r="I84" s="32" t="n">
        <x:v>3</x:v>
      </x:c>
      <x:c r="J84" s="32" t="n">
        <x:f>'Award Portfolio'!I22*H84</x:f>
        <x:v>0.04950000000000001</x:v>
      </x:c>
      <x:c r="K84" s="21" t="str">
        <x:v>artifact acceptance authority</x:v>
      </x:c>
      <x:c r="L84" s="21" t="str">
        <x:v>OPEN</x:v>
      </x:c>
      <x:c r="M84" s="23" t="str">
        <x:v>HOLD</x:v>
      </x:c>
    </x:row>
    <x:row r="85">
      <x:c r="B85" s="21" t="str">
        <x:v>PSS-T01-A-K04</x:v>
      </x:c>
      <x:c r="C85" s="21" t="str">
        <x:v>PSS-T01-A</x:v>
      </x:c>
      <x:c r="D85" s="21" t="str">
        <x:v>PSS-T01</x:v>
      </x:c>
      <x:c r="E85" s="21" t="str">
        <x:v>PROVISIONAL BUILD</x:v>
      </x:c>
      <x:c r="F85" s="21" t="str">
        <x:v>K04</x:v>
      </x:c>
      <x:c r="G85" s="21" t="str">
        <x:v>qualification lot release</x:v>
      </x:c>
      <x:c r="H85" s="32" t="n">
        <x:v>0.2</x:v>
      </x:c>
      <x:c r="I85" s="32" t="n">
        <x:v>4</x:v>
      </x:c>
      <x:c r="J85" s="32" t="n">
        <x:f>'Award Portfolio'!I22*H85</x:f>
        <x:v>0.04950000000000001</x:v>
      </x:c>
      <x:c r="K85" s="21" t="str">
        <x:v>artifact acceptance authority</x:v>
      </x:c>
      <x:c r="L85" s="21" t="str">
        <x:v>OPEN</x:v>
      </x:c>
      <x:c r="M85" s="23" t="str">
        <x:v>HOLD</x:v>
      </x:c>
    </x:row>
    <x:row r="86">
      <x:c r="B86" s="21" t="str">
        <x:v>PSS-T01-A-K05</x:v>
      </x:c>
      <x:c r="C86" s="21" t="str">
        <x:v>PSS-T01-A</x:v>
      </x:c>
      <x:c r="D86" s="21" t="str">
        <x:v>PSS-T01</x:v>
      </x:c>
      <x:c r="E86" s="21" t="str">
        <x:v>PROVISIONAL BUILD</x:v>
      </x:c>
      <x:c r="F86" s="21" t="str">
        <x:v>K05</x:v>
      </x:c>
      <x:c r="G86" s="21" t="str">
        <x:v>family acceptance artifact set</x:v>
      </x:c>
      <x:c r="H86" s="32" t="n">
        <x:v>0.2</x:v>
      </x:c>
      <x:c r="I86" s="32" t="n">
        <x:v>6</x:v>
      </x:c>
      <x:c r="J86" s="32" t="n">
        <x:f>'Award Portfolio'!I22*H86</x:f>
        <x:v>0.04950000000000001</x:v>
      </x:c>
      <x:c r="K86" s="21" t="str">
        <x:v>artifact acceptance authority</x:v>
      </x:c>
      <x:c r="L86" s="21" t="str">
        <x:v>OPEN</x:v>
      </x:c>
      <x:c r="M86" s="23" t="str">
        <x:v>HOLD</x:v>
      </x:c>
    </x:row>
    <x:row r="87">
      <x:c r="B87" s="21" t="str">
        <x:v>PSS-T01-A-K06</x:v>
      </x:c>
      <x:c r="C87" s="21" t="str">
        <x:v>PSS-T01-A</x:v>
      </x:c>
      <x:c r="D87" s="21" t="str">
        <x:v>PSS-T01</x:v>
      </x:c>
      <x:c r="E87" s="21" t="str">
        <x:v>PROVISIONAL BUILD</x:v>
      </x:c>
      <x:c r="F87" s="21" t="str">
        <x:v>K06</x:v>
      </x:c>
      <x:c r="G87" s="21" t="str">
        <x:v>independent reproduction artifact</x:v>
      </x:c>
      <x:c r="H87" s="32" t="n">
        <x:v>0.15</x:v>
      </x:c>
      <x:c r="I87" s="32" t="n">
        <x:v>8</x:v>
      </x:c>
      <x:c r="J87" s="32" t="n">
        <x:f>'Award Portfolio'!I22*H87</x:f>
        <x:v>0.037125000000000005</x:v>
      </x:c>
      <x:c r="K87" s="21" t="str">
        <x:v>artifact acceptance authority</x:v>
      </x:c>
      <x:c r="L87" s="21" t="str">
        <x:v>OPEN</x:v>
      </x:c>
      <x:c r="M87" s="23" t="str">
        <x:v>HOLD</x:v>
      </x:c>
    </x:row>
    <x:row r="88">
      <x:c r="B88" s="21" t="str">
        <x:v>PSS-T01-B-K01</x:v>
      </x:c>
      <x:c r="C88" s="21" t="str">
        <x:v>PSS-T01-B</x:v>
      </x:c>
      <x:c r="D88" s="21" t="str">
        <x:v>PSS-T01</x:v>
      </x:c>
      <x:c r="E88" s="21" t="str">
        <x:v>PROVISIONAL BUILD</x:v>
      </x:c>
      <x:c r="F88" s="21" t="str">
        <x:v>K01</x:v>
      </x:c>
      <x:c r="G88" s="21" t="str">
        <x:v>frozen package and conflict disclosure</x:v>
      </x:c>
      <x:c r="H88" s="32" t="n">
        <x:v>0.1</x:v>
      </x:c>
      <x:c r="I88" s="32" t="n">
        <x:v>1</x:v>
      </x:c>
      <x:c r="J88" s="32" t="n">
        <x:f>'Award Portfolio'!I23*H88</x:f>
        <x:v>0.024750000000000005</x:v>
      </x:c>
      <x:c r="K88" s="21" t="str">
        <x:v>artifact acceptance authority</x:v>
      </x:c>
      <x:c r="L88" s="21" t="str">
        <x:v>OPEN</x:v>
      </x:c>
      <x:c r="M88" s="23" t="str">
        <x:v>HOLD</x:v>
      </x:c>
    </x:row>
    <x:row r="89">
      <x:c r="B89" s="21" t="str">
        <x:v>PSS-T01-B-K02</x:v>
      </x:c>
      <x:c r="C89" s="21" t="str">
        <x:v>PSS-T01-B</x:v>
      </x:c>
      <x:c r="D89" s="21" t="str">
        <x:v>PSS-T01</x:v>
      </x:c>
      <x:c r="E89" s="21" t="str">
        <x:v>PROVISIONAL BUILD</x:v>
      </x:c>
      <x:c r="F89" s="21" t="str">
        <x:v>K02</x:v>
      </x:c>
      <x:c r="G89" s="21" t="str">
        <x:v>critical design and burden closure</x:v>
      </x:c>
      <x:c r="H89" s="32" t="n">
        <x:v>0.15</x:v>
      </x:c>
      <x:c r="I89" s="32" t="n">
        <x:v>2</x:v>
      </x:c>
      <x:c r="J89" s="32" t="n">
        <x:f>'Award Portfolio'!I23*H89</x:f>
        <x:v>0.037125000000000005</x:v>
      </x:c>
      <x:c r="K89" s="21" t="str">
        <x:v>artifact acceptance authority</x:v>
      </x:c>
      <x:c r="L89" s="21" t="str">
        <x:v>OPEN</x:v>
      </x:c>
      <x:c r="M89" s="23" t="str">
        <x:v>HOLD</x:v>
      </x:c>
    </x:row>
    <x:row r="90">
      <x:c r="B90" s="21" t="str">
        <x:v>PSS-T01-B-K03</x:v>
      </x:c>
      <x:c r="C90" s="21" t="str">
        <x:v>PSS-T01-B</x:v>
      </x:c>
      <x:c r="D90" s="21" t="str">
        <x:v>PSS-T01</x:v>
      </x:c>
      <x:c r="E90" s="21" t="str">
        <x:v>PROVISIONAL BUILD</x:v>
      </x:c>
      <x:c r="F90" s="21" t="str">
        <x:v>K03</x:v>
      </x:c>
      <x:c r="G90" s="21" t="str">
        <x:v>engineering lot release</x:v>
      </x:c>
      <x:c r="H90" s="32" t="n">
        <x:v>0.2</x:v>
      </x:c>
      <x:c r="I90" s="32" t="n">
        <x:v>3</x:v>
      </x:c>
      <x:c r="J90" s="32" t="n">
        <x:f>'Award Portfolio'!I23*H90</x:f>
        <x:v>0.04950000000000001</x:v>
      </x:c>
      <x:c r="K90" s="21" t="str">
        <x:v>artifact acceptance authority</x:v>
      </x:c>
      <x:c r="L90" s="21" t="str">
        <x:v>OPEN</x:v>
      </x:c>
      <x:c r="M90" s="23" t="str">
        <x:v>HOLD</x:v>
      </x:c>
    </x:row>
    <x:row r="91">
      <x:c r="B91" s="21" t="str">
        <x:v>PSS-T01-B-K04</x:v>
      </x:c>
      <x:c r="C91" s="21" t="str">
        <x:v>PSS-T01-B</x:v>
      </x:c>
      <x:c r="D91" s="21" t="str">
        <x:v>PSS-T01</x:v>
      </x:c>
      <x:c r="E91" s="21" t="str">
        <x:v>PROVISIONAL BUILD</x:v>
      </x:c>
      <x:c r="F91" s="21" t="str">
        <x:v>K04</x:v>
      </x:c>
      <x:c r="G91" s="21" t="str">
        <x:v>qualification lot release</x:v>
      </x:c>
      <x:c r="H91" s="32" t="n">
        <x:v>0.2</x:v>
      </x:c>
      <x:c r="I91" s="32" t="n">
        <x:v>4</x:v>
      </x:c>
      <x:c r="J91" s="32" t="n">
        <x:f>'Award Portfolio'!I23*H91</x:f>
        <x:v>0.04950000000000001</x:v>
      </x:c>
      <x:c r="K91" s="21" t="str">
        <x:v>artifact acceptance authority</x:v>
      </x:c>
      <x:c r="L91" s="21" t="str">
        <x:v>OPEN</x:v>
      </x:c>
      <x:c r="M91" s="23" t="str">
        <x:v>HOLD</x:v>
      </x:c>
    </x:row>
    <x:row r="92">
      <x:c r="B92" s="21" t="str">
        <x:v>PSS-T01-B-K05</x:v>
      </x:c>
      <x:c r="C92" s="21" t="str">
        <x:v>PSS-T01-B</x:v>
      </x:c>
      <x:c r="D92" s="21" t="str">
        <x:v>PSS-T01</x:v>
      </x:c>
      <x:c r="E92" s="21" t="str">
        <x:v>PROVISIONAL BUILD</x:v>
      </x:c>
      <x:c r="F92" s="21" t="str">
        <x:v>K05</x:v>
      </x:c>
      <x:c r="G92" s="21" t="str">
        <x:v>family acceptance artifact set</x:v>
      </x:c>
      <x:c r="H92" s="32" t="n">
        <x:v>0.2</x:v>
      </x:c>
      <x:c r="I92" s="32" t="n">
        <x:v>6</x:v>
      </x:c>
      <x:c r="J92" s="32" t="n">
        <x:f>'Award Portfolio'!I23*H92</x:f>
        <x:v>0.04950000000000001</x:v>
      </x:c>
      <x:c r="K92" s="21" t="str">
        <x:v>artifact acceptance authority</x:v>
      </x:c>
      <x:c r="L92" s="21" t="str">
        <x:v>OPEN</x:v>
      </x:c>
      <x:c r="M92" s="23" t="str">
        <x:v>HOLD</x:v>
      </x:c>
    </x:row>
    <x:row r="93">
      <x:c r="B93" s="21" t="str">
        <x:v>PSS-T01-B-K06</x:v>
      </x:c>
      <x:c r="C93" s="21" t="str">
        <x:v>PSS-T01-B</x:v>
      </x:c>
      <x:c r="D93" s="21" t="str">
        <x:v>PSS-T01</x:v>
      </x:c>
      <x:c r="E93" s="21" t="str">
        <x:v>PROVISIONAL BUILD</x:v>
      </x:c>
      <x:c r="F93" s="21" t="str">
        <x:v>K06</x:v>
      </x:c>
      <x:c r="G93" s="21" t="str">
        <x:v>independent reproduction artifact</x:v>
      </x:c>
      <x:c r="H93" s="32" t="n">
        <x:v>0.15</x:v>
      </x:c>
      <x:c r="I93" s="32" t="n">
        <x:v>8</x:v>
      </x:c>
      <x:c r="J93" s="32" t="n">
        <x:f>'Award Portfolio'!I23*H93</x:f>
        <x:v>0.037125000000000005</x:v>
      </x:c>
      <x:c r="K93" s="21" t="str">
        <x:v>artifact acceptance authority</x:v>
      </x:c>
      <x:c r="L93" s="21" t="str">
        <x:v>OPEN</x:v>
      </x:c>
      <x:c r="M93" s="23" t="str">
        <x:v>HOLD</x:v>
      </x:c>
    </x:row>
    <x:row r="94">
      <x:c r="B94" s="21" t="str">
        <x:v>PSS-T01-C-C01</x:v>
      </x:c>
      <x:c r="C94" s="21" t="str">
        <x:v>PSS-T01-C</x:v>
      </x:c>
      <x:c r="D94" s="21" t="str">
        <x:v>PSS-T01</x:v>
      </x:c>
      <x:c r="E94" s="21" t="str">
        <x:v>CHALLENGE ONLY</x:v>
      </x:c>
      <x:c r="F94" s="21" t="str">
        <x:v>C01</x:v>
      </x:c>
      <x:c r="G94" s="21" t="str">
        <x:v>blocking hypothesis and experiment</x:v>
      </x:c>
      <x:c r="H94" s="32" t="n">
        <x:v>0.2</x:v>
      </x:c>
      <x:c r="I94" s="32" t="n">
        <x:v>1</x:v>
      </x:c>
      <x:c r="J94" s="32" t="n">
        <x:f>'Award Portfolio'!I24*H94</x:f>
        <x:v>0.011000000000000003</x:v>
      </x:c>
      <x:c r="K94" s="21" t="str">
        <x:v>artifact acceptance authority</x:v>
      </x:c>
      <x:c r="L94" s="21" t="str">
        <x:v>OPEN</x:v>
      </x:c>
      <x:c r="M94" s="23" t="str">
        <x:v>HOLD</x:v>
      </x:c>
    </x:row>
    <x:row r="95">
      <x:c r="B95" s="21" t="str">
        <x:v>PSS-T01-C-C02</x:v>
      </x:c>
      <x:c r="C95" s="21" t="str">
        <x:v>PSS-T01-C</x:v>
      </x:c>
      <x:c r="D95" s="21" t="str">
        <x:v>PSS-T01</x:v>
      </x:c>
      <x:c r="E95" s="21" t="str">
        <x:v>CHALLENGE ONLY</x:v>
      </x:c>
      <x:c r="F95" s="21" t="str">
        <x:v>C02</x:v>
      </x:c>
      <x:c r="G95" s="21" t="str">
        <x:v>bench coupon and failure evidence</x:v>
      </x:c>
      <x:c r="H95" s="32" t="n">
        <x:v>0.3</x:v>
      </x:c>
      <x:c r="I95" s="32" t="n">
        <x:v>2</x:v>
      </x:c>
      <x:c r="J95" s="32" t="n">
        <x:f>'Award Portfolio'!I24*H95</x:f>
        <x:v>0.0165</x:v>
      </x:c>
      <x:c r="K95" s="21" t="str">
        <x:v>artifact acceptance authority</x:v>
      </x:c>
      <x:c r="L95" s="21" t="str">
        <x:v>OPEN</x:v>
      </x:c>
      <x:c r="M95" s="23" t="str">
        <x:v>HOLD</x:v>
      </x:c>
    </x:row>
    <x:row r="96">
      <x:c r="B96" s="21" t="str">
        <x:v>PSS-T01-C-C03</x:v>
      </x:c>
      <x:c r="C96" s="21" t="str">
        <x:v>PSS-T01-C</x:v>
      </x:c>
      <x:c r="D96" s="21" t="str">
        <x:v>PSS-T01</x:v>
      </x:c>
      <x:c r="E96" s="21" t="str">
        <x:v>CHALLENGE ONLY</x:v>
      </x:c>
      <x:c r="F96" s="21" t="str">
        <x:v>C03</x:v>
      </x:c>
      <x:c r="G96" s="21" t="str">
        <x:v>registered blocking-gate closure attempt</x:v>
      </x:c>
      <x:c r="H96" s="32" t="n">
        <x:v>0.5</x:v>
      </x:c>
      <x:c r="I96" s="32" t="n">
        <x:v>3</x:v>
      </x:c>
      <x:c r="J96" s="32" t="n">
        <x:f>'Award Portfolio'!I24*H96</x:f>
        <x:v>0.027500000000000004</x:v>
      </x:c>
      <x:c r="K96" s="21" t="str">
        <x:v>artifact acceptance authority</x:v>
      </x:c>
      <x:c r="L96" s="21" t="str">
        <x:v>OPEN</x:v>
      </x:c>
      <x:c r="M96" s="23" t="str">
        <x:v>HOLD</x:v>
      </x:c>
    </x:row>
    <x:row r="97">
      <x:c r="B97" s="21" t="str">
        <x:v>PIF-I01-A-K01</x:v>
      </x:c>
      <x:c r="C97" s="21" t="str">
        <x:v>PIF-I01-A</x:v>
      </x:c>
      <x:c r="D97" s="21" t="str">
        <x:v>PIF-I01</x:v>
      </x:c>
      <x:c r="E97" s="21" t="str">
        <x:v>PROVISIONAL BUILD</x:v>
      </x:c>
      <x:c r="F97" s="21" t="str">
        <x:v>K01</x:v>
      </x:c>
      <x:c r="G97" s="21" t="str">
        <x:v>frozen package and conflict disclosure</x:v>
      </x:c>
      <x:c r="H97" s="32" t="n">
        <x:v>0.1</x:v>
      </x:c>
      <x:c r="I97" s="32" t="n">
        <x:v>1</x:v>
      </x:c>
      <x:c r="J97" s="32" t="n">
        <x:f>'Award Portfolio'!I25*H97</x:f>
        <x:v>0.008100000000000001</x:v>
      </x:c>
      <x:c r="K97" s="21" t="str">
        <x:v>artifact acceptance authority</x:v>
      </x:c>
      <x:c r="L97" s="21" t="str">
        <x:v>OPEN</x:v>
      </x:c>
      <x:c r="M97" s="23" t="str">
        <x:v>HOLD</x:v>
      </x:c>
    </x:row>
    <x:row r="98">
      <x:c r="B98" s="21" t="str">
        <x:v>PIF-I01-A-K02</x:v>
      </x:c>
      <x:c r="C98" s="21" t="str">
        <x:v>PIF-I01-A</x:v>
      </x:c>
      <x:c r="D98" s="21" t="str">
        <x:v>PIF-I01</x:v>
      </x:c>
      <x:c r="E98" s="21" t="str">
        <x:v>PROVISIONAL BUILD</x:v>
      </x:c>
      <x:c r="F98" s="21" t="str">
        <x:v>K02</x:v>
      </x:c>
      <x:c r="G98" s="21" t="str">
        <x:v>critical design and burden closure</x:v>
      </x:c>
      <x:c r="H98" s="32" t="n">
        <x:v>0.15</x:v>
      </x:c>
      <x:c r="I98" s="32" t="n">
        <x:v>2</x:v>
      </x:c>
      <x:c r="J98" s="32" t="n">
        <x:f>'Award Portfolio'!I25*H98</x:f>
        <x:v>0.01215</x:v>
      </x:c>
      <x:c r="K98" s="21" t="str">
        <x:v>artifact acceptance authority</x:v>
      </x:c>
      <x:c r="L98" s="21" t="str">
        <x:v>OPEN</x:v>
      </x:c>
      <x:c r="M98" s="23" t="str">
        <x:v>HOLD</x:v>
      </x:c>
    </x:row>
    <x:row r="99">
      <x:c r="B99" s="21" t="str">
        <x:v>PIF-I01-A-K03</x:v>
      </x:c>
      <x:c r="C99" s="21" t="str">
        <x:v>PIF-I01-A</x:v>
      </x:c>
      <x:c r="D99" s="21" t="str">
        <x:v>PIF-I01</x:v>
      </x:c>
      <x:c r="E99" s="21" t="str">
        <x:v>PROVISIONAL BUILD</x:v>
      </x:c>
      <x:c r="F99" s="21" t="str">
        <x:v>K03</x:v>
      </x:c>
      <x:c r="G99" s="21" t="str">
        <x:v>engineering lot release</x:v>
      </x:c>
      <x:c r="H99" s="32" t="n">
        <x:v>0.2</x:v>
      </x:c>
      <x:c r="I99" s="32" t="n">
        <x:v>3</x:v>
      </x:c>
      <x:c r="J99" s="32" t="n">
        <x:f>'Award Portfolio'!I25*H99</x:f>
        <x:v>0.016200000000000003</x:v>
      </x:c>
      <x:c r="K99" s="21" t="str">
        <x:v>artifact acceptance authority</x:v>
      </x:c>
      <x:c r="L99" s="21" t="str">
        <x:v>OPEN</x:v>
      </x:c>
      <x:c r="M99" s="23" t="str">
        <x:v>HOLD</x:v>
      </x:c>
    </x:row>
    <x:row r="100">
      <x:c r="B100" s="21" t="str">
        <x:v>PIF-I01-A-K04</x:v>
      </x:c>
      <x:c r="C100" s="21" t="str">
        <x:v>PIF-I01-A</x:v>
      </x:c>
      <x:c r="D100" s="21" t="str">
        <x:v>PIF-I01</x:v>
      </x:c>
      <x:c r="E100" s="21" t="str">
        <x:v>PROVISIONAL BUILD</x:v>
      </x:c>
      <x:c r="F100" s="21" t="str">
        <x:v>K04</x:v>
      </x:c>
      <x:c r="G100" s="21" t="str">
        <x:v>qualification lot release</x:v>
      </x:c>
      <x:c r="H100" s="32" t="n">
        <x:v>0.2</x:v>
      </x:c>
      <x:c r="I100" s="32" t="n">
        <x:v>4</x:v>
      </x:c>
      <x:c r="J100" s="32" t="n">
        <x:f>'Award Portfolio'!I25*H100</x:f>
        <x:v>0.016200000000000003</x:v>
      </x:c>
      <x:c r="K100" s="21" t="str">
        <x:v>artifact acceptance authority</x:v>
      </x:c>
      <x:c r="L100" s="21" t="str">
        <x:v>OPEN</x:v>
      </x:c>
      <x:c r="M100" s="23" t="str">
        <x:v>HOLD</x:v>
      </x:c>
    </x:row>
    <x:row r="101">
      <x:c r="B101" s="21" t="str">
        <x:v>PIF-I01-A-K05</x:v>
      </x:c>
      <x:c r="C101" s="21" t="str">
        <x:v>PIF-I01-A</x:v>
      </x:c>
      <x:c r="D101" s="21" t="str">
        <x:v>PIF-I01</x:v>
      </x:c>
      <x:c r="E101" s="21" t="str">
        <x:v>PROVISIONAL BUILD</x:v>
      </x:c>
      <x:c r="F101" s="21" t="str">
        <x:v>K05</x:v>
      </x:c>
      <x:c r="G101" s="21" t="str">
        <x:v>family acceptance artifact set</x:v>
      </x:c>
      <x:c r="H101" s="32" t="n">
        <x:v>0.2</x:v>
      </x:c>
      <x:c r="I101" s="32" t="n">
        <x:v>6</x:v>
      </x:c>
      <x:c r="J101" s="32" t="n">
        <x:f>'Award Portfolio'!I25*H101</x:f>
        <x:v>0.016200000000000003</x:v>
      </x:c>
      <x:c r="K101" s="21" t="str">
        <x:v>artifact acceptance authority</x:v>
      </x:c>
      <x:c r="L101" s="21" t="str">
        <x:v>OPEN</x:v>
      </x:c>
      <x:c r="M101" s="23" t="str">
        <x:v>HOLD</x:v>
      </x:c>
    </x:row>
    <x:row r="102">
      <x:c r="B102" s="21" t="str">
        <x:v>PIF-I01-A-K06</x:v>
      </x:c>
      <x:c r="C102" s="21" t="str">
        <x:v>PIF-I01-A</x:v>
      </x:c>
      <x:c r="D102" s="21" t="str">
        <x:v>PIF-I01</x:v>
      </x:c>
      <x:c r="E102" s="21" t="str">
        <x:v>PROVISIONAL BUILD</x:v>
      </x:c>
      <x:c r="F102" s="21" t="str">
        <x:v>K06</x:v>
      </x:c>
      <x:c r="G102" s="21" t="str">
        <x:v>independent reproduction artifact</x:v>
      </x:c>
      <x:c r="H102" s="32" t="n">
        <x:v>0.15</x:v>
      </x:c>
      <x:c r="I102" s="32" t="n">
        <x:v>8</x:v>
      </x:c>
      <x:c r="J102" s="32" t="n">
        <x:f>'Award Portfolio'!I25*H102</x:f>
        <x:v>0.01215</x:v>
      </x:c>
      <x:c r="K102" s="21" t="str">
        <x:v>artifact acceptance authority</x:v>
      </x:c>
      <x:c r="L102" s="21" t="str">
        <x:v>OPEN</x:v>
      </x:c>
      <x:c r="M102" s="23" t="str">
        <x:v>HOLD</x:v>
      </x:c>
    </x:row>
    <x:row r="103">
      <x:c r="B103" s="21" t="str">
        <x:v>PIF-I01-B-K01</x:v>
      </x:c>
      <x:c r="C103" s="21" t="str">
        <x:v>PIF-I01-B</x:v>
      </x:c>
      <x:c r="D103" s="21" t="str">
        <x:v>PIF-I01</x:v>
      </x:c>
      <x:c r="E103" s="21" t="str">
        <x:v>PROVISIONAL BUILD</x:v>
      </x:c>
      <x:c r="F103" s="21" t="str">
        <x:v>K01</x:v>
      </x:c>
      <x:c r="G103" s="21" t="str">
        <x:v>frozen package and conflict disclosure</x:v>
      </x:c>
      <x:c r="H103" s="32" t="n">
        <x:v>0.1</x:v>
      </x:c>
      <x:c r="I103" s="32" t="n">
        <x:v>1</x:v>
      </x:c>
      <x:c r="J103" s="32" t="n">
        <x:f>'Award Portfolio'!I26*H103</x:f>
        <x:v>0.008100000000000001</x:v>
      </x:c>
      <x:c r="K103" s="21" t="str">
        <x:v>artifact acceptance authority</x:v>
      </x:c>
      <x:c r="L103" s="21" t="str">
        <x:v>OPEN</x:v>
      </x:c>
      <x:c r="M103" s="23" t="str">
        <x:v>HOLD</x:v>
      </x:c>
    </x:row>
    <x:row r="104">
      <x:c r="B104" s="21" t="str">
        <x:v>PIF-I01-B-K02</x:v>
      </x:c>
      <x:c r="C104" s="21" t="str">
        <x:v>PIF-I01-B</x:v>
      </x:c>
      <x:c r="D104" s="21" t="str">
        <x:v>PIF-I01</x:v>
      </x:c>
      <x:c r="E104" s="21" t="str">
        <x:v>PROVISIONAL BUILD</x:v>
      </x:c>
      <x:c r="F104" s="21" t="str">
        <x:v>K02</x:v>
      </x:c>
      <x:c r="G104" s="21" t="str">
        <x:v>critical design and burden closure</x:v>
      </x:c>
      <x:c r="H104" s="32" t="n">
        <x:v>0.15</x:v>
      </x:c>
      <x:c r="I104" s="32" t="n">
        <x:v>2</x:v>
      </x:c>
      <x:c r="J104" s="32" t="n">
        <x:f>'Award Portfolio'!I26*H104</x:f>
        <x:v>0.01215</x:v>
      </x:c>
      <x:c r="K104" s="21" t="str">
        <x:v>artifact acceptance authority</x:v>
      </x:c>
      <x:c r="L104" s="21" t="str">
        <x:v>OPEN</x:v>
      </x:c>
      <x:c r="M104" s="23" t="str">
        <x:v>HOLD</x:v>
      </x:c>
    </x:row>
    <x:row r="105">
      <x:c r="B105" s="21" t="str">
        <x:v>PIF-I01-B-K03</x:v>
      </x:c>
      <x:c r="C105" s="21" t="str">
        <x:v>PIF-I01-B</x:v>
      </x:c>
      <x:c r="D105" s="21" t="str">
        <x:v>PIF-I01</x:v>
      </x:c>
      <x:c r="E105" s="21" t="str">
        <x:v>PROVISIONAL BUILD</x:v>
      </x:c>
      <x:c r="F105" s="21" t="str">
        <x:v>K03</x:v>
      </x:c>
      <x:c r="G105" s="21" t="str">
        <x:v>engineering lot release</x:v>
      </x:c>
      <x:c r="H105" s="32" t="n">
        <x:v>0.2</x:v>
      </x:c>
      <x:c r="I105" s="32" t="n">
        <x:v>3</x:v>
      </x:c>
      <x:c r="J105" s="32" t="n">
        <x:f>'Award Portfolio'!I26*H105</x:f>
        <x:v>0.016200000000000003</x:v>
      </x:c>
      <x:c r="K105" s="21" t="str">
        <x:v>artifact acceptance authority</x:v>
      </x:c>
      <x:c r="L105" s="21" t="str">
        <x:v>OPEN</x:v>
      </x:c>
      <x:c r="M105" s="23" t="str">
        <x:v>HOLD</x:v>
      </x:c>
    </x:row>
    <x:row r="106">
      <x:c r="B106" s="21" t="str">
        <x:v>PIF-I01-B-K04</x:v>
      </x:c>
      <x:c r="C106" s="21" t="str">
        <x:v>PIF-I01-B</x:v>
      </x:c>
      <x:c r="D106" s="21" t="str">
        <x:v>PIF-I01</x:v>
      </x:c>
      <x:c r="E106" s="21" t="str">
        <x:v>PROVISIONAL BUILD</x:v>
      </x:c>
      <x:c r="F106" s="21" t="str">
        <x:v>K04</x:v>
      </x:c>
      <x:c r="G106" s="21" t="str">
        <x:v>qualification lot release</x:v>
      </x:c>
      <x:c r="H106" s="32" t="n">
        <x:v>0.2</x:v>
      </x:c>
      <x:c r="I106" s="32" t="n">
        <x:v>4</x:v>
      </x:c>
      <x:c r="J106" s="32" t="n">
        <x:f>'Award Portfolio'!I26*H106</x:f>
        <x:v>0.016200000000000003</x:v>
      </x:c>
      <x:c r="K106" s="21" t="str">
        <x:v>artifact acceptance authority</x:v>
      </x:c>
      <x:c r="L106" s="21" t="str">
        <x:v>OPEN</x:v>
      </x:c>
      <x:c r="M106" s="23" t="str">
        <x:v>HOLD</x:v>
      </x:c>
    </x:row>
    <x:row r="107">
      <x:c r="B107" s="21" t="str">
        <x:v>PIF-I01-B-K05</x:v>
      </x:c>
      <x:c r="C107" s="21" t="str">
        <x:v>PIF-I01-B</x:v>
      </x:c>
      <x:c r="D107" s="21" t="str">
        <x:v>PIF-I01</x:v>
      </x:c>
      <x:c r="E107" s="21" t="str">
        <x:v>PROVISIONAL BUILD</x:v>
      </x:c>
      <x:c r="F107" s="21" t="str">
        <x:v>K05</x:v>
      </x:c>
      <x:c r="G107" s="21" t="str">
        <x:v>family acceptance artifact set</x:v>
      </x:c>
      <x:c r="H107" s="32" t="n">
        <x:v>0.2</x:v>
      </x:c>
      <x:c r="I107" s="32" t="n">
        <x:v>6</x:v>
      </x:c>
      <x:c r="J107" s="32" t="n">
        <x:f>'Award Portfolio'!I26*H107</x:f>
        <x:v>0.016200000000000003</x:v>
      </x:c>
      <x:c r="K107" s="21" t="str">
        <x:v>artifact acceptance authority</x:v>
      </x:c>
      <x:c r="L107" s="21" t="str">
        <x:v>OPEN</x:v>
      </x:c>
      <x:c r="M107" s="23" t="str">
        <x:v>HOLD</x:v>
      </x:c>
    </x:row>
    <x:row r="108">
      <x:c r="B108" s="21" t="str">
        <x:v>PIF-I01-B-K06</x:v>
      </x:c>
      <x:c r="C108" s="21" t="str">
        <x:v>PIF-I01-B</x:v>
      </x:c>
      <x:c r="D108" s="21" t="str">
        <x:v>PIF-I01</x:v>
      </x:c>
      <x:c r="E108" s="21" t="str">
        <x:v>PROVISIONAL BUILD</x:v>
      </x:c>
      <x:c r="F108" s="21" t="str">
        <x:v>K06</x:v>
      </x:c>
      <x:c r="G108" s="21" t="str">
        <x:v>independent reproduction artifact</x:v>
      </x:c>
      <x:c r="H108" s="32" t="n">
        <x:v>0.15</x:v>
      </x:c>
      <x:c r="I108" s="32" t="n">
        <x:v>8</x:v>
      </x:c>
      <x:c r="J108" s="32" t="n">
        <x:f>'Award Portfolio'!I26*H108</x:f>
        <x:v>0.01215</x:v>
      </x:c>
      <x:c r="K108" s="21" t="str">
        <x:v>artifact acceptance authority</x:v>
      </x:c>
      <x:c r="L108" s="21" t="str">
        <x:v>OPEN</x:v>
      </x:c>
      <x:c r="M108" s="23" t="str">
        <x:v>HOLD</x:v>
      </x:c>
    </x:row>
    <x:row r="109">
      <x:c r="B109" s="21" t="str">
        <x:v>PIF-I01-C-C01</x:v>
      </x:c>
      <x:c r="C109" s="21" t="str">
        <x:v>PIF-I01-C</x:v>
      </x:c>
      <x:c r="D109" s="21" t="str">
        <x:v>PIF-I01</x:v>
      </x:c>
      <x:c r="E109" s="21" t="str">
        <x:v>CHALLENGE ONLY</x:v>
      </x:c>
      <x:c r="F109" s="21" t="str">
        <x:v>C01</x:v>
      </x:c>
      <x:c r="G109" s="21" t="str">
        <x:v>blocking hypothesis and experiment</x:v>
      </x:c>
      <x:c r="H109" s="32" t="n">
        <x:v>0.2</x:v>
      </x:c>
      <x:c r="I109" s="32" t="n">
        <x:v>1</x:v>
      </x:c>
      <x:c r="J109" s="32" t="n">
        <x:f>'Award Portfolio'!I27*H109</x:f>
        <x:v>0.0036</x:v>
      </x:c>
      <x:c r="K109" s="21" t="str">
        <x:v>artifact acceptance authority</x:v>
      </x:c>
      <x:c r="L109" s="21" t="str">
        <x:v>OPEN</x:v>
      </x:c>
      <x:c r="M109" s="23" t="str">
        <x:v>HOLD</x:v>
      </x:c>
    </x:row>
    <x:row r="110">
      <x:c r="B110" s="21" t="str">
        <x:v>PIF-I01-C-C02</x:v>
      </x:c>
      <x:c r="C110" s="21" t="str">
        <x:v>PIF-I01-C</x:v>
      </x:c>
      <x:c r="D110" s="21" t="str">
        <x:v>PIF-I01</x:v>
      </x:c>
      <x:c r="E110" s="21" t="str">
        <x:v>CHALLENGE ONLY</x:v>
      </x:c>
      <x:c r="F110" s="21" t="str">
        <x:v>C02</x:v>
      </x:c>
      <x:c r="G110" s="21" t="str">
        <x:v>bench coupon and failure evidence</x:v>
      </x:c>
      <x:c r="H110" s="32" t="n">
        <x:v>0.3</x:v>
      </x:c>
      <x:c r="I110" s="32" t="n">
        <x:v>2</x:v>
      </x:c>
      <x:c r="J110" s="32" t="n">
        <x:f>'Award Portfolio'!I27*H110</x:f>
        <x:v>0.005399999999999999</x:v>
      </x:c>
      <x:c r="K110" s="21" t="str">
        <x:v>artifact acceptance authority</x:v>
      </x:c>
      <x:c r="L110" s="21" t="str">
        <x:v>OPEN</x:v>
      </x:c>
      <x:c r="M110" s="23" t="str">
        <x:v>HOLD</x:v>
      </x:c>
    </x:row>
    <x:row r="111">
      <x:c r="B111" s="21" t="str">
        <x:v>PIF-I01-C-C03</x:v>
      </x:c>
      <x:c r="C111" s="21" t="str">
        <x:v>PIF-I01-C</x:v>
      </x:c>
      <x:c r="D111" s="21" t="str">
        <x:v>PIF-I01</x:v>
      </x:c>
      <x:c r="E111" s="21" t="str">
        <x:v>CHALLENGE ONLY</x:v>
      </x:c>
      <x:c r="F111" s="21" t="str">
        <x:v>C03</x:v>
      </x:c>
      <x:c r="G111" s="21" t="str">
        <x:v>registered blocking-gate closure attempt</x:v>
      </x:c>
      <x:c r="H111" s="32" t="n">
        <x:v>0.5</x:v>
      </x:c>
      <x:c r="I111" s="32" t="n">
        <x:v>3</x:v>
      </x:c>
      <x:c r="J111" s="32" t="n">
        <x:f>'Award Portfolio'!I27*H111</x:f>
        <x:v>0.009</x:v>
      </x:c>
      <x:c r="K111" s="21" t="str">
        <x:v>artifact acceptance authority</x:v>
      </x:c>
      <x:c r="L111" s="21" t="str">
        <x:v>OPEN</x:v>
      </x:c>
      <x:c r="M111" s="23" t="str">
        <x:v>HOLD</x:v>
      </x:c>
    </x:row>
    <x:row r="112">
      <x:c r="B112" s="21" t="str">
        <x:v>EPS-P01-A-K01</x:v>
      </x:c>
      <x:c r="C112" s="21" t="str">
        <x:v>EPS-P01-A</x:v>
      </x:c>
      <x:c r="D112" s="21" t="str">
        <x:v>EPS-P01</x:v>
      </x:c>
      <x:c r="E112" s="21" t="str">
        <x:v>PROVISIONAL BUILD</x:v>
      </x:c>
      <x:c r="F112" s="21" t="str">
        <x:v>K01</x:v>
      </x:c>
      <x:c r="G112" s="21" t="str">
        <x:v>frozen package and conflict disclosure</x:v>
      </x:c>
      <x:c r="H112" s="32" t="n">
        <x:v>0.1</x:v>
      </x:c>
      <x:c r="I112" s="32" t="n">
        <x:v>1</x:v>
      </x:c>
      <x:c r="J112" s="32" t="n">
        <x:f>'Award Portfolio'!I28*H112</x:f>
        <x:v>0.014400000000000003</x:v>
      </x:c>
      <x:c r="K112" s="21" t="str">
        <x:v>artifact acceptance authority</x:v>
      </x:c>
      <x:c r="L112" s="21" t="str">
        <x:v>OPEN</x:v>
      </x:c>
      <x:c r="M112" s="23" t="str">
        <x:v>HOLD</x:v>
      </x:c>
    </x:row>
    <x:row r="113">
      <x:c r="B113" s="21" t="str">
        <x:v>EPS-P01-A-K02</x:v>
      </x:c>
      <x:c r="C113" s="21" t="str">
        <x:v>EPS-P01-A</x:v>
      </x:c>
      <x:c r="D113" s="21" t="str">
        <x:v>EPS-P01</x:v>
      </x:c>
      <x:c r="E113" s="21" t="str">
        <x:v>PROVISIONAL BUILD</x:v>
      </x:c>
      <x:c r="F113" s="21" t="str">
        <x:v>K02</x:v>
      </x:c>
      <x:c r="G113" s="21" t="str">
        <x:v>critical design and burden closure</x:v>
      </x:c>
      <x:c r="H113" s="32" t="n">
        <x:v>0.15</x:v>
      </x:c>
      <x:c r="I113" s="32" t="n">
        <x:v>2</x:v>
      </x:c>
      <x:c r="J113" s="32" t="n">
        <x:f>'Award Portfolio'!I28*H113</x:f>
        <x:v>0.0216</x:v>
      </x:c>
      <x:c r="K113" s="21" t="str">
        <x:v>artifact acceptance authority</x:v>
      </x:c>
      <x:c r="L113" s="21" t="str">
        <x:v>OPEN</x:v>
      </x:c>
      <x:c r="M113" s="23" t="str">
        <x:v>HOLD</x:v>
      </x:c>
    </x:row>
    <x:row r="114">
      <x:c r="B114" s="21" t="str">
        <x:v>EPS-P01-A-K03</x:v>
      </x:c>
      <x:c r="C114" s="21" t="str">
        <x:v>EPS-P01-A</x:v>
      </x:c>
      <x:c r="D114" s="21" t="str">
        <x:v>EPS-P01</x:v>
      </x:c>
      <x:c r="E114" s="21" t="str">
        <x:v>PROVISIONAL BUILD</x:v>
      </x:c>
      <x:c r="F114" s="21" t="str">
        <x:v>K03</x:v>
      </x:c>
      <x:c r="G114" s="21" t="str">
        <x:v>engineering lot release</x:v>
      </x:c>
      <x:c r="H114" s="32" t="n">
        <x:v>0.2</x:v>
      </x:c>
      <x:c r="I114" s="32" t="n">
        <x:v>3</x:v>
      </x:c>
      <x:c r="J114" s="32" t="n">
        <x:f>'Award Portfolio'!I28*H114</x:f>
        <x:v>0.028800000000000006</x:v>
      </x:c>
      <x:c r="K114" s="21" t="str">
        <x:v>artifact acceptance authority</x:v>
      </x:c>
      <x:c r="L114" s="21" t="str">
        <x:v>OPEN</x:v>
      </x:c>
      <x:c r="M114" s="23" t="str">
        <x:v>HOLD</x:v>
      </x:c>
    </x:row>
    <x:row r="115">
      <x:c r="B115" s="21" t="str">
        <x:v>EPS-P01-A-K04</x:v>
      </x:c>
      <x:c r="C115" s="21" t="str">
        <x:v>EPS-P01-A</x:v>
      </x:c>
      <x:c r="D115" s="21" t="str">
        <x:v>EPS-P01</x:v>
      </x:c>
      <x:c r="E115" s="21" t="str">
        <x:v>PROVISIONAL BUILD</x:v>
      </x:c>
      <x:c r="F115" s="21" t="str">
        <x:v>K04</x:v>
      </x:c>
      <x:c r="G115" s="21" t="str">
        <x:v>qualification lot release</x:v>
      </x:c>
      <x:c r="H115" s="32" t="n">
        <x:v>0.2</x:v>
      </x:c>
      <x:c r="I115" s="32" t="n">
        <x:v>4</x:v>
      </x:c>
      <x:c r="J115" s="32" t="n">
        <x:f>'Award Portfolio'!I28*H115</x:f>
        <x:v>0.028800000000000006</x:v>
      </x:c>
      <x:c r="K115" s="21" t="str">
        <x:v>artifact acceptance authority</x:v>
      </x:c>
      <x:c r="L115" s="21" t="str">
        <x:v>OPEN</x:v>
      </x:c>
      <x:c r="M115" s="23" t="str">
        <x:v>HOLD</x:v>
      </x:c>
    </x:row>
    <x:row r="116">
      <x:c r="B116" s="21" t="str">
        <x:v>EPS-P01-A-K05</x:v>
      </x:c>
      <x:c r="C116" s="21" t="str">
        <x:v>EPS-P01-A</x:v>
      </x:c>
      <x:c r="D116" s="21" t="str">
        <x:v>EPS-P01</x:v>
      </x:c>
      <x:c r="E116" s="21" t="str">
        <x:v>PROVISIONAL BUILD</x:v>
      </x:c>
      <x:c r="F116" s="21" t="str">
        <x:v>K05</x:v>
      </x:c>
      <x:c r="G116" s="21" t="str">
        <x:v>family acceptance artifact set</x:v>
      </x:c>
      <x:c r="H116" s="32" t="n">
        <x:v>0.2</x:v>
      </x:c>
      <x:c r="I116" s="32" t="n">
        <x:v>6</x:v>
      </x:c>
      <x:c r="J116" s="32" t="n">
        <x:f>'Award Portfolio'!I28*H116</x:f>
        <x:v>0.028800000000000006</x:v>
      </x:c>
      <x:c r="K116" s="21" t="str">
        <x:v>artifact acceptance authority</x:v>
      </x:c>
      <x:c r="L116" s="21" t="str">
        <x:v>OPEN</x:v>
      </x:c>
      <x:c r="M116" s="23" t="str">
        <x:v>HOLD</x:v>
      </x:c>
    </x:row>
    <x:row r="117">
      <x:c r="B117" s="21" t="str">
        <x:v>EPS-P01-A-K06</x:v>
      </x:c>
      <x:c r="C117" s="21" t="str">
        <x:v>EPS-P01-A</x:v>
      </x:c>
      <x:c r="D117" s="21" t="str">
        <x:v>EPS-P01</x:v>
      </x:c>
      <x:c r="E117" s="21" t="str">
        <x:v>PROVISIONAL BUILD</x:v>
      </x:c>
      <x:c r="F117" s="21" t="str">
        <x:v>K06</x:v>
      </x:c>
      <x:c r="G117" s="21" t="str">
        <x:v>independent reproduction artifact</x:v>
      </x:c>
      <x:c r="H117" s="32" t="n">
        <x:v>0.15</x:v>
      </x:c>
      <x:c r="I117" s="32" t="n">
        <x:v>8</x:v>
      </x:c>
      <x:c r="J117" s="32" t="n">
        <x:f>'Award Portfolio'!I28*H117</x:f>
        <x:v>0.0216</x:v>
      </x:c>
      <x:c r="K117" s="21" t="str">
        <x:v>artifact acceptance authority</x:v>
      </x:c>
      <x:c r="L117" s="21" t="str">
        <x:v>OPEN</x:v>
      </x:c>
      <x:c r="M117" s="23" t="str">
        <x:v>HOLD</x:v>
      </x:c>
    </x:row>
    <x:row r="118">
      <x:c r="B118" s="21" t="str">
        <x:v>EPS-P01-B-K01</x:v>
      </x:c>
      <x:c r="C118" s="21" t="str">
        <x:v>EPS-P01-B</x:v>
      </x:c>
      <x:c r="D118" s="21" t="str">
        <x:v>EPS-P01</x:v>
      </x:c>
      <x:c r="E118" s="21" t="str">
        <x:v>PROVISIONAL BUILD</x:v>
      </x:c>
      <x:c r="F118" s="21" t="str">
        <x:v>K01</x:v>
      </x:c>
      <x:c r="G118" s="21" t="str">
        <x:v>frozen package and conflict disclosure</x:v>
      </x:c>
      <x:c r="H118" s="32" t="n">
        <x:v>0.1</x:v>
      </x:c>
      <x:c r="I118" s="32" t="n">
        <x:v>1</x:v>
      </x:c>
      <x:c r="J118" s="32" t="n">
        <x:f>'Award Portfolio'!I29*H118</x:f>
        <x:v>0.014400000000000003</x:v>
      </x:c>
      <x:c r="K118" s="21" t="str">
        <x:v>artifact acceptance authority</x:v>
      </x:c>
      <x:c r="L118" s="21" t="str">
        <x:v>OPEN</x:v>
      </x:c>
      <x:c r="M118" s="23" t="str">
        <x:v>HOLD</x:v>
      </x:c>
    </x:row>
    <x:row r="119">
      <x:c r="B119" s="21" t="str">
        <x:v>EPS-P01-B-K02</x:v>
      </x:c>
      <x:c r="C119" s="21" t="str">
        <x:v>EPS-P01-B</x:v>
      </x:c>
      <x:c r="D119" s="21" t="str">
        <x:v>EPS-P01</x:v>
      </x:c>
      <x:c r="E119" s="21" t="str">
        <x:v>PROVISIONAL BUILD</x:v>
      </x:c>
      <x:c r="F119" s="21" t="str">
        <x:v>K02</x:v>
      </x:c>
      <x:c r="G119" s="21" t="str">
        <x:v>critical design and burden closure</x:v>
      </x:c>
      <x:c r="H119" s="32" t="n">
        <x:v>0.15</x:v>
      </x:c>
      <x:c r="I119" s="32" t="n">
        <x:v>2</x:v>
      </x:c>
      <x:c r="J119" s="32" t="n">
        <x:f>'Award Portfolio'!I29*H119</x:f>
        <x:v>0.0216</x:v>
      </x:c>
      <x:c r="K119" s="21" t="str">
        <x:v>artifact acceptance authority</x:v>
      </x:c>
      <x:c r="L119" s="21" t="str">
        <x:v>OPEN</x:v>
      </x:c>
      <x:c r="M119" s="23" t="str">
        <x:v>HOLD</x:v>
      </x:c>
    </x:row>
    <x:row r="120">
      <x:c r="B120" s="21" t="str">
        <x:v>EPS-P01-B-K03</x:v>
      </x:c>
      <x:c r="C120" s="21" t="str">
        <x:v>EPS-P01-B</x:v>
      </x:c>
      <x:c r="D120" s="21" t="str">
        <x:v>EPS-P01</x:v>
      </x:c>
      <x:c r="E120" s="21" t="str">
        <x:v>PROVISIONAL BUILD</x:v>
      </x:c>
      <x:c r="F120" s="21" t="str">
        <x:v>K03</x:v>
      </x:c>
      <x:c r="G120" s="21" t="str">
        <x:v>engineering lot release</x:v>
      </x:c>
      <x:c r="H120" s="32" t="n">
        <x:v>0.2</x:v>
      </x:c>
      <x:c r="I120" s="32" t="n">
        <x:v>3</x:v>
      </x:c>
      <x:c r="J120" s="32" t="n">
        <x:f>'Award Portfolio'!I29*H120</x:f>
        <x:v>0.028800000000000006</x:v>
      </x:c>
      <x:c r="K120" s="21" t="str">
        <x:v>artifact acceptance authority</x:v>
      </x:c>
      <x:c r="L120" s="21" t="str">
        <x:v>OPEN</x:v>
      </x:c>
      <x:c r="M120" s="23" t="str">
        <x:v>HOLD</x:v>
      </x:c>
    </x:row>
    <x:row r="121">
      <x:c r="B121" s="21" t="str">
        <x:v>EPS-P01-B-K04</x:v>
      </x:c>
      <x:c r="C121" s="21" t="str">
        <x:v>EPS-P01-B</x:v>
      </x:c>
      <x:c r="D121" s="21" t="str">
        <x:v>EPS-P01</x:v>
      </x:c>
      <x:c r="E121" s="21" t="str">
        <x:v>PROVISIONAL BUILD</x:v>
      </x:c>
      <x:c r="F121" s="21" t="str">
        <x:v>K04</x:v>
      </x:c>
      <x:c r="G121" s="21" t="str">
        <x:v>qualification lot release</x:v>
      </x:c>
      <x:c r="H121" s="32" t="n">
        <x:v>0.2</x:v>
      </x:c>
      <x:c r="I121" s="32" t="n">
        <x:v>4</x:v>
      </x:c>
      <x:c r="J121" s="32" t="n">
        <x:f>'Award Portfolio'!I29*H121</x:f>
        <x:v>0.028800000000000006</x:v>
      </x:c>
      <x:c r="K121" s="21" t="str">
        <x:v>artifact acceptance authority</x:v>
      </x:c>
      <x:c r="L121" s="21" t="str">
        <x:v>OPEN</x:v>
      </x:c>
      <x:c r="M121" s="23" t="str">
        <x:v>HOLD</x:v>
      </x:c>
    </x:row>
    <x:row r="122">
      <x:c r="B122" s="21" t="str">
        <x:v>EPS-P01-B-K05</x:v>
      </x:c>
      <x:c r="C122" s="21" t="str">
        <x:v>EPS-P01-B</x:v>
      </x:c>
      <x:c r="D122" s="21" t="str">
        <x:v>EPS-P01</x:v>
      </x:c>
      <x:c r="E122" s="21" t="str">
        <x:v>PROVISIONAL BUILD</x:v>
      </x:c>
      <x:c r="F122" s="21" t="str">
        <x:v>K05</x:v>
      </x:c>
      <x:c r="G122" s="21" t="str">
        <x:v>family acceptance artifact set</x:v>
      </x:c>
      <x:c r="H122" s="32" t="n">
        <x:v>0.2</x:v>
      </x:c>
      <x:c r="I122" s="32" t="n">
        <x:v>6</x:v>
      </x:c>
      <x:c r="J122" s="32" t="n">
        <x:f>'Award Portfolio'!I29*H122</x:f>
        <x:v>0.028800000000000006</x:v>
      </x:c>
      <x:c r="K122" s="21" t="str">
        <x:v>artifact acceptance authority</x:v>
      </x:c>
      <x:c r="L122" s="21" t="str">
        <x:v>OPEN</x:v>
      </x:c>
      <x:c r="M122" s="23" t="str">
        <x:v>HOLD</x:v>
      </x:c>
    </x:row>
    <x:row r="123">
      <x:c r="B123" s="21" t="str">
        <x:v>EPS-P01-B-K06</x:v>
      </x:c>
      <x:c r="C123" s="21" t="str">
        <x:v>EPS-P01-B</x:v>
      </x:c>
      <x:c r="D123" s="21" t="str">
        <x:v>EPS-P01</x:v>
      </x:c>
      <x:c r="E123" s="21" t="str">
        <x:v>PROVISIONAL BUILD</x:v>
      </x:c>
      <x:c r="F123" s="21" t="str">
        <x:v>K06</x:v>
      </x:c>
      <x:c r="G123" s="21" t="str">
        <x:v>independent reproduction artifact</x:v>
      </x:c>
      <x:c r="H123" s="32" t="n">
        <x:v>0.15</x:v>
      </x:c>
      <x:c r="I123" s="32" t="n">
        <x:v>8</x:v>
      </x:c>
      <x:c r="J123" s="32" t="n">
        <x:f>'Award Portfolio'!I29*H123</x:f>
        <x:v>0.0216</x:v>
      </x:c>
      <x:c r="K123" s="21" t="str">
        <x:v>artifact acceptance authority</x:v>
      </x:c>
      <x:c r="L123" s="21" t="str">
        <x:v>OPEN</x:v>
      </x:c>
      <x:c r="M123" s="23" t="str">
        <x:v>HOLD</x:v>
      </x:c>
    </x:row>
    <x:row r="124">
      <x:c r="B124" s="21" t="str">
        <x:v>EPS-P01-C-C01</x:v>
      </x:c>
      <x:c r="C124" s="21" t="str">
        <x:v>EPS-P01-C</x:v>
      </x:c>
      <x:c r="D124" s="21" t="str">
        <x:v>EPS-P01</x:v>
      </x:c>
      <x:c r="E124" s="21" t="str">
        <x:v>CHALLENGE ONLY</x:v>
      </x:c>
      <x:c r="F124" s="21" t="str">
        <x:v>C01</x:v>
      </x:c>
      <x:c r="G124" s="21" t="str">
        <x:v>blocking hypothesis and experiment</x:v>
      </x:c>
      <x:c r="H124" s="32" t="n">
        <x:v>0.2</x:v>
      </x:c>
      <x:c r="I124" s="32" t="n">
        <x:v>1</x:v>
      </x:c>
      <x:c r="J124" s="32" t="n">
        <x:f>'Award Portfolio'!I30*H124</x:f>
        <x:v>0.0064</x:v>
      </x:c>
      <x:c r="K124" s="21" t="str">
        <x:v>artifact acceptance authority</x:v>
      </x:c>
      <x:c r="L124" s="21" t="str">
        <x:v>OPEN</x:v>
      </x:c>
      <x:c r="M124" s="23" t="str">
        <x:v>HOLD</x:v>
      </x:c>
    </x:row>
    <x:row r="125">
      <x:c r="B125" s="21" t="str">
        <x:v>EPS-P01-C-C02</x:v>
      </x:c>
      <x:c r="C125" s="21" t="str">
        <x:v>EPS-P01-C</x:v>
      </x:c>
      <x:c r="D125" s="21" t="str">
        <x:v>EPS-P01</x:v>
      </x:c>
      <x:c r="E125" s="21" t="str">
        <x:v>CHALLENGE ONLY</x:v>
      </x:c>
      <x:c r="F125" s="21" t="str">
        <x:v>C02</x:v>
      </x:c>
      <x:c r="G125" s="21" t="str">
        <x:v>bench coupon and failure evidence</x:v>
      </x:c>
      <x:c r="H125" s="32" t="n">
        <x:v>0.3</x:v>
      </x:c>
      <x:c r="I125" s="32" t="n">
        <x:v>2</x:v>
      </x:c>
      <x:c r="J125" s="32" t="n">
        <x:f>'Award Portfolio'!I30*H125</x:f>
        <x:v>0.0096</x:v>
      </x:c>
      <x:c r="K125" s="21" t="str">
        <x:v>artifact acceptance authority</x:v>
      </x:c>
      <x:c r="L125" s="21" t="str">
        <x:v>OPEN</x:v>
      </x:c>
      <x:c r="M125" s="23" t="str">
        <x:v>HOLD</x:v>
      </x:c>
    </x:row>
    <x:row r="126">
      <x:c r="B126" s="21" t="str">
        <x:v>EPS-P01-C-C03</x:v>
      </x:c>
      <x:c r="C126" s="21" t="str">
        <x:v>EPS-P01-C</x:v>
      </x:c>
      <x:c r="D126" s="21" t="str">
        <x:v>EPS-P01</x:v>
      </x:c>
      <x:c r="E126" s="21" t="str">
        <x:v>CHALLENGE ONLY</x:v>
      </x:c>
      <x:c r="F126" s="21" t="str">
        <x:v>C03</x:v>
      </x:c>
      <x:c r="G126" s="21" t="str">
        <x:v>registered blocking-gate closure attempt</x:v>
      </x:c>
      <x:c r="H126" s="32" t="n">
        <x:v>0.5</x:v>
      </x:c>
      <x:c r="I126" s="32" t="n">
        <x:v>3</x:v>
      </x:c>
      <x:c r="J126" s="32" t="n">
        <x:f>'Award Portfolio'!I30*H126</x:f>
        <x:v>0.016</x:v>
      </x:c>
      <x:c r="K126" s="21" t="str">
        <x:v>artifact acceptance authority</x:v>
      </x:c>
      <x:c r="L126" s="21" t="str">
        <x:v>OPEN</x:v>
      </x:c>
      <x:c r="M126" s="23" t="str">
        <x:v>HOLD</x:v>
      </x:c>
    </x:row>
    <x:row r="127">
      <x:c r="B127" s="21" t="str">
        <x:v>TKS-C01-A-K01</x:v>
      </x:c>
      <x:c r="C127" s="21" t="str">
        <x:v>TKS-C01-A</x:v>
      </x:c>
      <x:c r="D127" s="21" t="str">
        <x:v>TKS-C01</x:v>
      </x:c>
      <x:c r="E127" s="21" t="str">
        <x:v>PROVISIONAL BUILD</x:v>
      </x:c>
      <x:c r="F127" s="21" t="str">
        <x:v>K01</x:v>
      </x:c>
      <x:c r="G127" s="21" t="str">
        <x:v>frozen package and conflict disclosure</x:v>
      </x:c>
      <x:c r="H127" s="32" t="n">
        <x:v>0.1</x:v>
      </x:c>
      <x:c r="I127" s="32" t="n">
        <x:v>1</x:v>
      </x:c>
      <x:c r="J127" s="32" t="n">
        <x:f>'Award Portfolio'!I31*H127</x:f>
        <x:v>0.0072000000000000015</x:v>
      </x:c>
      <x:c r="K127" s="21" t="str">
        <x:v>artifact acceptance authority</x:v>
      </x:c>
      <x:c r="L127" s="21" t="str">
        <x:v>OPEN</x:v>
      </x:c>
      <x:c r="M127" s="23" t="str">
        <x:v>HOLD</x:v>
      </x:c>
    </x:row>
    <x:row r="128">
      <x:c r="B128" s="21" t="str">
        <x:v>TKS-C01-A-K02</x:v>
      </x:c>
      <x:c r="C128" s="21" t="str">
        <x:v>TKS-C01-A</x:v>
      </x:c>
      <x:c r="D128" s="21" t="str">
        <x:v>TKS-C01</x:v>
      </x:c>
      <x:c r="E128" s="21" t="str">
        <x:v>PROVISIONAL BUILD</x:v>
      </x:c>
      <x:c r="F128" s="21" t="str">
        <x:v>K02</x:v>
      </x:c>
      <x:c r="G128" s="21" t="str">
        <x:v>critical design and burden closure</x:v>
      </x:c>
      <x:c r="H128" s="32" t="n">
        <x:v>0.15</x:v>
      </x:c>
      <x:c r="I128" s="32" t="n">
        <x:v>2</x:v>
      </x:c>
      <x:c r="J128" s="32" t="n">
        <x:f>'Award Portfolio'!I31*H128</x:f>
        <x:v>0.0108</x:v>
      </x:c>
      <x:c r="K128" s="21" t="str">
        <x:v>artifact acceptance authority</x:v>
      </x:c>
      <x:c r="L128" s="21" t="str">
        <x:v>OPEN</x:v>
      </x:c>
      <x:c r="M128" s="23" t="str">
        <x:v>HOLD</x:v>
      </x:c>
    </x:row>
    <x:row r="129">
      <x:c r="B129" s="21" t="str">
        <x:v>TKS-C01-A-K03</x:v>
      </x:c>
      <x:c r="C129" s="21" t="str">
        <x:v>TKS-C01-A</x:v>
      </x:c>
      <x:c r="D129" s="21" t="str">
        <x:v>TKS-C01</x:v>
      </x:c>
      <x:c r="E129" s="21" t="str">
        <x:v>PROVISIONAL BUILD</x:v>
      </x:c>
      <x:c r="F129" s="21" t="str">
        <x:v>K03</x:v>
      </x:c>
      <x:c r="G129" s="21" t="str">
        <x:v>engineering lot release</x:v>
      </x:c>
      <x:c r="H129" s="32" t="n">
        <x:v>0.2</x:v>
      </x:c>
      <x:c r="I129" s="32" t="n">
        <x:v>3</x:v>
      </x:c>
      <x:c r="J129" s="32" t="n">
        <x:f>'Award Portfolio'!I31*H129</x:f>
        <x:v>0.014400000000000003</x:v>
      </x:c>
      <x:c r="K129" s="21" t="str">
        <x:v>artifact acceptance authority</x:v>
      </x:c>
      <x:c r="L129" s="21" t="str">
        <x:v>OPEN</x:v>
      </x:c>
      <x:c r="M129" s="23" t="str">
        <x:v>HOLD</x:v>
      </x:c>
    </x:row>
    <x:row r="130">
      <x:c r="B130" s="21" t="str">
        <x:v>TKS-C01-A-K04</x:v>
      </x:c>
      <x:c r="C130" s="21" t="str">
        <x:v>TKS-C01-A</x:v>
      </x:c>
      <x:c r="D130" s="21" t="str">
        <x:v>TKS-C01</x:v>
      </x:c>
      <x:c r="E130" s="21" t="str">
        <x:v>PROVISIONAL BUILD</x:v>
      </x:c>
      <x:c r="F130" s="21" t="str">
        <x:v>K04</x:v>
      </x:c>
      <x:c r="G130" s="21" t="str">
        <x:v>qualification lot release</x:v>
      </x:c>
      <x:c r="H130" s="32" t="n">
        <x:v>0.2</x:v>
      </x:c>
      <x:c r="I130" s="32" t="n">
        <x:v>4</x:v>
      </x:c>
      <x:c r="J130" s="32" t="n">
        <x:f>'Award Portfolio'!I31*H130</x:f>
        <x:v>0.014400000000000003</x:v>
      </x:c>
      <x:c r="K130" s="21" t="str">
        <x:v>artifact acceptance authority</x:v>
      </x:c>
      <x:c r="L130" s="21" t="str">
        <x:v>OPEN</x:v>
      </x:c>
      <x:c r="M130" s="23" t="str">
        <x:v>HOLD</x:v>
      </x:c>
    </x:row>
    <x:row r="131">
      <x:c r="B131" s="21" t="str">
        <x:v>TKS-C01-A-K05</x:v>
      </x:c>
      <x:c r="C131" s="21" t="str">
        <x:v>TKS-C01-A</x:v>
      </x:c>
      <x:c r="D131" s="21" t="str">
        <x:v>TKS-C01</x:v>
      </x:c>
      <x:c r="E131" s="21" t="str">
        <x:v>PROVISIONAL BUILD</x:v>
      </x:c>
      <x:c r="F131" s="21" t="str">
        <x:v>K05</x:v>
      </x:c>
      <x:c r="G131" s="21" t="str">
        <x:v>family acceptance artifact set</x:v>
      </x:c>
      <x:c r="H131" s="32" t="n">
        <x:v>0.2</x:v>
      </x:c>
      <x:c r="I131" s="32" t="n">
        <x:v>6</x:v>
      </x:c>
      <x:c r="J131" s="32" t="n">
        <x:f>'Award Portfolio'!I31*H131</x:f>
        <x:v>0.014400000000000003</x:v>
      </x:c>
      <x:c r="K131" s="21" t="str">
        <x:v>artifact acceptance authority</x:v>
      </x:c>
      <x:c r="L131" s="21" t="str">
        <x:v>OPEN</x:v>
      </x:c>
      <x:c r="M131" s="23" t="str">
        <x:v>HOLD</x:v>
      </x:c>
    </x:row>
    <x:row r="132">
      <x:c r="B132" s="21" t="str">
        <x:v>TKS-C01-A-K06</x:v>
      </x:c>
      <x:c r="C132" s="21" t="str">
        <x:v>TKS-C01-A</x:v>
      </x:c>
      <x:c r="D132" s="21" t="str">
        <x:v>TKS-C01</x:v>
      </x:c>
      <x:c r="E132" s="21" t="str">
        <x:v>PROVISIONAL BUILD</x:v>
      </x:c>
      <x:c r="F132" s="21" t="str">
        <x:v>K06</x:v>
      </x:c>
      <x:c r="G132" s="21" t="str">
        <x:v>independent reproduction artifact</x:v>
      </x:c>
      <x:c r="H132" s="32" t="n">
        <x:v>0.15</x:v>
      </x:c>
      <x:c r="I132" s="32" t="n">
        <x:v>8</x:v>
      </x:c>
      <x:c r="J132" s="32" t="n">
        <x:f>'Award Portfolio'!I31*H132</x:f>
        <x:v>0.0108</x:v>
      </x:c>
      <x:c r="K132" s="21" t="str">
        <x:v>artifact acceptance authority</x:v>
      </x:c>
      <x:c r="L132" s="21" t="str">
        <x:v>OPEN</x:v>
      </x:c>
      <x:c r="M132" s="23" t="str">
        <x:v>HOLD</x:v>
      </x:c>
    </x:row>
    <x:row r="133">
      <x:c r="B133" s="21" t="str">
        <x:v>TKS-C01-B-K01</x:v>
      </x:c>
      <x:c r="C133" s="21" t="str">
        <x:v>TKS-C01-B</x:v>
      </x:c>
      <x:c r="D133" s="21" t="str">
        <x:v>TKS-C01</x:v>
      </x:c>
      <x:c r="E133" s="21" t="str">
        <x:v>PROVISIONAL BUILD</x:v>
      </x:c>
      <x:c r="F133" s="21" t="str">
        <x:v>K01</x:v>
      </x:c>
      <x:c r="G133" s="21" t="str">
        <x:v>frozen package and conflict disclosure</x:v>
      </x:c>
      <x:c r="H133" s="32" t="n">
        <x:v>0.1</x:v>
      </x:c>
      <x:c r="I133" s="32" t="n">
        <x:v>1</x:v>
      </x:c>
      <x:c r="J133" s="32" t="n">
        <x:f>'Award Portfolio'!I32*H133</x:f>
        <x:v>0.0072000000000000015</x:v>
      </x:c>
      <x:c r="K133" s="21" t="str">
        <x:v>artifact acceptance authority</x:v>
      </x:c>
      <x:c r="L133" s="21" t="str">
        <x:v>OPEN</x:v>
      </x:c>
      <x:c r="M133" s="23" t="str">
        <x:v>HOLD</x:v>
      </x:c>
    </x:row>
    <x:row r="134">
      <x:c r="B134" s="21" t="str">
        <x:v>TKS-C01-B-K02</x:v>
      </x:c>
      <x:c r="C134" s="21" t="str">
        <x:v>TKS-C01-B</x:v>
      </x:c>
      <x:c r="D134" s="21" t="str">
        <x:v>TKS-C01</x:v>
      </x:c>
      <x:c r="E134" s="21" t="str">
        <x:v>PROVISIONAL BUILD</x:v>
      </x:c>
      <x:c r="F134" s="21" t="str">
        <x:v>K02</x:v>
      </x:c>
      <x:c r="G134" s="21" t="str">
        <x:v>critical design and burden closure</x:v>
      </x:c>
      <x:c r="H134" s="32" t="n">
        <x:v>0.15</x:v>
      </x:c>
      <x:c r="I134" s="32" t="n">
        <x:v>2</x:v>
      </x:c>
      <x:c r="J134" s="32" t="n">
        <x:f>'Award Portfolio'!I32*H134</x:f>
        <x:v>0.0108</x:v>
      </x:c>
      <x:c r="K134" s="21" t="str">
        <x:v>artifact acceptance authority</x:v>
      </x:c>
      <x:c r="L134" s="21" t="str">
        <x:v>OPEN</x:v>
      </x:c>
      <x:c r="M134" s="23" t="str">
        <x:v>HOLD</x:v>
      </x:c>
    </x:row>
    <x:row r="135">
      <x:c r="B135" s="21" t="str">
        <x:v>TKS-C01-B-K03</x:v>
      </x:c>
      <x:c r="C135" s="21" t="str">
        <x:v>TKS-C01-B</x:v>
      </x:c>
      <x:c r="D135" s="21" t="str">
        <x:v>TKS-C01</x:v>
      </x:c>
      <x:c r="E135" s="21" t="str">
        <x:v>PROVISIONAL BUILD</x:v>
      </x:c>
      <x:c r="F135" s="21" t="str">
        <x:v>K03</x:v>
      </x:c>
      <x:c r="G135" s="21" t="str">
        <x:v>engineering lot release</x:v>
      </x:c>
      <x:c r="H135" s="32" t="n">
        <x:v>0.2</x:v>
      </x:c>
      <x:c r="I135" s="32" t="n">
        <x:v>3</x:v>
      </x:c>
      <x:c r="J135" s="32" t="n">
        <x:f>'Award Portfolio'!I32*H135</x:f>
        <x:v>0.014400000000000003</x:v>
      </x:c>
      <x:c r="K135" s="21" t="str">
        <x:v>artifact acceptance authority</x:v>
      </x:c>
      <x:c r="L135" s="21" t="str">
        <x:v>OPEN</x:v>
      </x:c>
      <x:c r="M135" s="23" t="str">
        <x:v>HOLD</x:v>
      </x:c>
    </x:row>
    <x:row r="136">
      <x:c r="B136" s="21" t="str">
        <x:v>TKS-C01-B-K04</x:v>
      </x:c>
      <x:c r="C136" s="21" t="str">
        <x:v>TKS-C01-B</x:v>
      </x:c>
      <x:c r="D136" s="21" t="str">
        <x:v>TKS-C01</x:v>
      </x:c>
      <x:c r="E136" s="21" t="str">
        <x:v>PROVISIONAL BUILD</x:v>
      </x:c>
      <x:c r="F136" s="21" t="str">
        <x:v>K04</x:v>
      </x:c>
      <x:c r="G136" s="21" t="str">
        <x:v>qualification lot release</x:v>
      </x:c>
      <x:c r="H136" s="32" t="n">
        <x:v>0.2</x:v>
      </x:c>
      <x:c r="I136" s="32" t="n">
        <x:v>4</x:v>
      </x:c>
      <x:c r="J136" s="32" t="n">
        <x:f>'Award Portfolio'!I32*H136</x:f>
        <x:v>0.014400000000000003</x:v>
      </x:c>
      <x:c r="K136" s="21" t="str">
        <x:v>artifact acceptance authority</x:v>
      </x:c>
      <x:c r="L136" s="21" t="str">
        <x:v>OPEN</x:v>
      </x:c>
      <x:c r="M136" s="23" t="str">
        <x:v>HOLD</x:v>
      </x:c>
    </x:row>
    <x:row r="137">
      <x:c r="B137" s="21" t="str">
        <x:v>TKS-C01-B-K05</x:v>
      </x:c>
      <x:c r="C137" s="21" t="str">
        <x:v>TKS-C01-B</x:v>
      </x:c>
      <x:c r="D137" s="21" t="str">
        <x:v>TKS-C01</x:v>
      </x:c>
      <x:c r="E137" s="21" t="str">
        <x:v>PROVISIONAL BUILD</x:v>
      </x:c>
      <x:c r="F137" s="21" t="str">
        <x:v>K05</x:v>
      </x:c>
      <x:c r="G137" s="21" t="str">
        <x:v>family acceptance artifact set</x:v>
      </x:c>
      <x:c r="H137" s="32" t="n">
        <x:v>0.2</x:v>
      </x:c>
      <x:c r="I137" s="32" t="n">
        <x:v>6</x:v>
      </x:c>
      <x:c r="J137" s="32" t="n">
        <x:f>'Award Portfolio'!I32*H137</x:f>
        <x:v>0.014400000000000003</x:v>
      </x:c>
      <x:c r="K137" s="21" t="str">
        <x:v>artifact acceptance authority</x:v>
      </x:c>
      <x:c r="L137" s="21" t="str">
        <x:v>OPEN</x:v>
      </x:c>
      <x:c r="M137" s="23" t="str">
        <x:v>HOLD</x:v>
      </x:c>
    </x:row>
    <x:row r="138">
      <x:c r="B138" s="21" t="str">
        <x:v>TKS-C01-B-K06</x:v>
      </x:c>
      <x:c r="C138" s="21" t="str">
        <x:v>TKS-C01-B</x:v>
      </x:c>
      <x:c r="D138" s="21" t="str">
        <x:v>TKS-C01</x:v>
      </x:c>
      <x:c r="E138" s="21" t="str">
        <x:v>PROVISIONAL BUILD</x:v>
      </x:c>
      <x:c r="F138" s="21" t="str">
        <x:v>K06</x:v>
      </x:c>
      <x:c r="G138" s="21" t="str">
        <x:v>independent reproduction artifact</x:v>
      </x:c>
      <x:c r="H138" s="32" t="n">
        <x:v>0.15</x:v>
      </x:c>
      <x:c r="I138" s="32" t="n">
        <x:v>8</x:v>
      </x:c>
      <x:c r="J138" s="32" t="n">
        <x:f>'Award Portfolio'!I32*H138</x:f>
        <x:v>0.0108</x:v>
      </x:c>
      <x:c r="K138" s="21" t="str">
        <x:v>artifact acceptance authority</x:v>
      </x:c>
      <x:c r="L138" s="21" t="str">
        <x:v>OPEN</x:v>
      </x:c>
      <x:c r="M138" s="23" t="str">
        <x:v>HOLD</x:v>
      </x:c>
    </x:row>
    <x:row r="139">
      <x:c r="B139" s="21" t="str">
        <x:v>TKS-C01-C-C01</x:v>
      </x:c>
      <x:c r="C139" s="21" t="str">
        <x:v>TKS-C01-C</x:v>
      </x:c>
      <x:c r="D139" s="21" t="str">
        <x:v>TKS-C01</x:v>
      </x:c>
      <x:c r="E139" s="21" t="str">
        <x:v>CHALLENGE ONLY</x:v>
      </x:c>
      <x:c r="F139" s="21" t="str">
        <x:v>C01</x:v>
      </x:c>
      <x:c r="G139" s="21" t="str">
        <x:v>blocking hypothesis and experiment</x:v>
      </x:c>
      <x:c r="H139" s="32" t="n">
        <x:v>0.2</x:v>
      </x:c>
      <x:c r="I139" s="32" t="n">
        <x:v>1</x:v>
      </x:c>
      <x:c r="J139" s="32" t="n">
        <x:f>'Award Portfolio'!I33*H139</x:f>
        <x:v>0.0032</x:v>
      </x:c>
      <x:c r="K139" s="21" t="str">
        <x:v>artifact acceptance authority</x:v>
      </x:c>
      <x:c r="L139" s="21" t="str">
        <x:v>OPEN</x:v>
      </x:c>
      <x:c r="M139" s="23" t="str">
        <x:v>HOLD</x:v>
      </x:c>
    </x:row>
    <x:row r="140">
      <x:c r="B140" s="21" t="str">
        <x:v>TKS-C01-C-C02</x:v>
      </x:c>
      <x:c r="C140" s="21" t="str">
        <x:v>TKS-C01-C</x:v>
      </x:c>
      <x:c r="D140" s="21" t="str">
        <x:v>TKS-C01</x:v>
      </x:c>
      <x:c r="E140" s="21" t="str">
        <x:v>CHALLENGE ONLY</x:v>
      </x:c>
      <x:c r="F140" s="21" t="str">
        <x:v>C02</x:v>
      </x:c>
      <x:c r="G140" s="21" t="str">
        <x:v>bench coupon and failure evidence</x:v>
      </x:c>
      <x:c r="H140" s="32" t="n">
        <x:v>0.3</x:v>
      </x:c>
      <x:c r="I140" s="32" t="n">
        <x:v>2</x:v>
      </x:c>
      <x:c r="J140" s="32" t="n">
        <x:f>'Award Portfolio'!I33*H140</x:f>
        <x:v>0.0048</x:v>
      </x:c>
      <x:c r="K140" s="21" t="str">
        <x:v>artifact acceptance authority</x:v>
      </x:c>
      <x:c r="L140" s="21" t="str">
        <x:v>OPEN</x:v>
      </x:c>
      <x:c r="M140" s="23" t="str">
        <x:v>HOLD</x:v>
      </x:c>
    </x:row>
    <x:row r="141">
      <x:c r="B141" s="21" t="str">
        <x:v>TKS-C01-C-C03</x:v>
      </x:c>
      <x:c r="C141" s="21" t="str">
        <x:v>TKS-C01-C</x:v>
      </x:c>
      <x:c r="D141" s="21" t="str">
        <x:v>TKS-C01</x:v>
      </x:c>
      <x:c r="E141" s="21" t="str">
        <x:v>CHALLENGE ONLY</x:v>
      </x:c>
      <x:c r="F141" s="21" t="str">
        <x:v>C03</x:v>
      </x:c>
      <x:c r="G141" s="21" t="str">
        <x:v>registered blocking-gate closure attempt</x:v>
      </x:c>
      <x:c r="H141" s="32" t="n">
        <x:v>0.5</x:v>
      </x:c>
      <x:c r="I141" s="32" t="n">
        <x:v>3</x:v>
      </x:c>
      <x:c r="J141" s="32" t="n">
        <x:f>'Award Portfolio'!I33*H141</x:f>
        <x:v>0.008</x:v>
      </x:c>
      <x:c r="K141" s="21" t="str">
        <x:v>artifact acceptance authority</x:v>
      </x:c>
      <x:c r="L141" s="21" t="str">
        <x:v>OPEN</x:v>
      </x:c>
      <x:c r="M141" s="23" t="str">
        <x:v>HOLD</x:v>
      </x:c>
    </x:row>
    <x:row r="142">
      <x:c r="B142" s="21" t="str">
        <x:v>STG-S01-A-K01</x:v>
      </x:c>
      <x:c r="C142" s="21" t="str">
        <x:v>STG-S01-A</x:v>
      </x:c>
      <x:c r="D142" s="21" t="str">
        <x:v>STG-S01</x:v>
      </x:c>
      <x:c r="E142" s="21" t="str">
        <x:v>PROVISIONAL BUILD</x:v>
      </x:c>
      <x:c r="F142" s="21" t="str">
        <x:v>K01</x:v>
      </x:c>
      <x:c r="G142" s="21" t="str">
        <x:v>frozen package and conflict disclosure</x:v>
      </x:c>
      <x:c r="H142" s="32" t="n">
        <x:v>0.1</x:v>
      </x:c>
      <x:c r="I142" s="32" t="n">
        <x:v>1</x:v>
      </x:c>
      <x:c r="J142" s="32" t="n">
        <x:f>'Award Portfolio'!I34*H142</x:f>
        <x:v>0.007650000000000001</x:v>
      </x:c>
      <x:c r="K142" s="21" t="str">
        <x:v>artifact acceptance authority</x:v>
      </x:c>
      <x:c r="L142" s="21" t="str">
        <x:v>OPEN</x:v>
      </x:c>
      <x:c r="M142" s="23" t="str">
        <x:v>HOLD</x:v>
      </x:c>
    </x:row>
    <x:row r="143">
      <x:c r="B143" s="21" t="str">
        <x:v>STG-S01-A-K02</x:v>
      </x:c>
      <x:c r="C143" s="21" t="str">
        <x:v>STG-S01-A</x:v>
      </x:c>
      <x:c r="D143" s="21" t="str">
        <x:v>STG-S01</x:v>
      </x:c>
      <x:c r="E143" s="21" t="str">
        <x:v>PROVISIONAL BUILD</x:v>
      </x:c>
      <x:c r="F143" s="21" t="str">
        <x:v>K02</x:v>
      </x:c>
      <x:c r="G143" s="21" t="str">
        <x:v>critical design and burden closure</x:v>
      </x:c>
      <x:c r="H143" s="32" t="n">
        <x:v>0.15</x:v>
      </x:c>
      <x:c r="I143" s="32" t="n">
        <x:v>2</x:v>
      </x:c>
      <x:c r="J143" s="32" t="n">
        <x:f>'Award Portfolio'!I34*H143</x:f>
        <x:v>0.011475</x:v>
      </x:c>
      <x:c r="K143" s="21" t="str">
        <x:v>artifact acceptance authority</x:v>
      </x:c>
      <x:c r="L143" s="21" t="str">
        <x:v>OPEN</x:v>
      </x:c>
      <x:c r="M143" s="23" t="str">
        <x:v>HOLD</x:v>
      </x:c>
    </x:row>
    <x:row r="144">
      <x:c r="B144" s="21" t="str">
        <x:v>STG-S01-A-K03</x:v>
      </x:c>
      <x:c r="C144" s="21" t="str">
        <x:v>STG-S01-A</x:v>
      </x:c>
      <x:c r="D144" s="21" t="str">
        <x:v>STG-S01</x:v>
      </x:c>
      <x:c r="E144" s="21" t="str">
        <x:v>PROVISIONAL BUILD</x:v>
      </x:c>
      <x:c r="F144" s="21" t="str">
        <x:v>K03</x:v>
      </x:c>
      <x:c r="G144" s="21" t="str">
        <x:v>engineering lot release</x:v>
      </x:c>
      <x:c r="H144" s="32" t="n">
        <x:v>0.2</x:v>
      </x:c>
      <x:c r="I144" s="32" t="n">
        <x:v>3</x:v>
      </x:c>
      <x:c r="J144" s="32" t="n">
        <x:f>'Award Portfolio'!I34*H144</x:f>
        <x:v>0.015300000000000003</x:v>
      </x:c>
      <x:c r="K144" s="21" t="str">
        <x:v>artifact acceptance authority</x:v>
      </x:c>
      <x:c r="L144" s="21" t="str">
        <x:v>OPEN</x:v>
      </x:c>
      <x:c r="M144" s="23" t="str">
        <x:v>HOLD</x:v>
      </x:c>
    </x:row>
    <x:row r="145">
      <x:c r="B145" s="21" t="str">
        <x:v>STG-S01-A-K04</x:v>
      </x:c>
      <x:c r="C145" s="21" t="str">
        <x:v>STG-S01-A</x:v>
      </x:c>
      <x:c r="D145" s="21" t="str">
        <x:v>STG-S01</x:v>
      </x:c>
      <x:c r="E145" s="21" t="str">
        <x:v>PROVISIONAL BUILD</x:v>
      </x:c>
      <x:c r="F145" s="21" t="str">
        <x:v>K04</x:v>
      </x:c>
      <x:c r="G145" s="21" t="str">
        <x:v>qualification lot release</x:v>
      </x:c>
      <x:c r="H145" s="32" t="n">
        <x:v>0.2</x:v>
      </x:c>
      <x:c r="I145" s="32" t="n">
        <x:v>4</x:v>
      </x:c>
      <x:c r="J145" s="32" t="n">
        <x:f>'Award Portfolio'!I34*H145</x:f>
        <x:v>0.015300000000000003</x:v>
      </x:c>
      <x:c r="K145" s="21" t="str">
        <x:v>artifact acceptance authority</x:v>
      </x:c>
      <x:c r="L145" s="21" t="str">
        <x:v>OPEN</x:v>
      </x:c>
      <x:c r="M145" s="23" t="str">
        <x:v>HOLD</x:v>
      </x:c>
    </x:row>
    <x:row r="146">
      <x:c r="B146" s="21" t="str">
        <x:v>STG-S01-A-K05</x:v>
      </x:c>
      <x:c r="C146" s="21" t="str">
        <x:v>STG-S01-A</x:v>
      </x:c>
      <x:c r="D146" s="21" t="str">
        <x:v>STG-S01</x:v>
      </x:c>
      <x:c r="E146" s="21" t="str">
        <x:v>PROVISIONAL BUILD</x:v>
      </x:c>
      <x:c r="F146" s="21" t="str">
        <x:v>K05</x:v>
      </x:c>
      <x:c r="G146" s="21" t="str">
        <x:v>family acceptance artifact set</x:v>
      </x:c>
      <x:c r="H146" s="32" t="n">
        <x:v>0.2</x:v>
      </x:c>
      <x:c r="I146" s="32" t="n">
        <x:v>6</x:v>
      </x:c>
      <x:c r="J146" s="32" t="n">
        <x:f>'Award Portfolio'!I34*H146</x:f>
        <x:v>0.015300000000000003</x:v>
      </x:c>
      <x:c r="K146" s="21" t="str">
        <x:v>artifact acceptance authority</x:v>
      </x:c>
      <x:c r="L146" s="21" t="str">
        <x:v>OPEN</x:v>
      </x:c>
      <x:c r="M146" s="23" t="str">
        <x:v>HOLD</x:v>
      </x:c>
    </x:row>
    <x:row r="147">
      <x:c r="B147" s="21" t="str">
        <x:v>STG-S01-A-K06</x:v>
      </x:c>
      <x:c r="C147" s="21" t="str">
        <x:v>STG-S01-A</x:v>
      </x:c>
      <x:c r="D147" s="21" t="str">
        <x:v>STG-S01</x:v>
      </x:c>
      <x:c r="E147" s="21" t="str">
        <x:v>PROVISIONAL BUILD</x:v>
      </x:c>
      <x:c r="F147" s="21" t="str">
        <x:v>K06</x:v>
      </x:c>
      <x:c r="G147" s="21" t="str">
        <x:v>independent reproduction artifact</x:v>
      </x:c>
      <x:c r="H147" s="32" t="n">
        <x:v>0.15</x:v>
      </x:c>
      <x:c r="I147" s="32" t="n">
        <x:v>8</x:v>
      </x:c>
      <x:c r="J147" s="32" t="n">
        <x:f>'Award Portfolio'!I34*H147</x:f>
        <x:v>0.011475</x:v>
      </x:c>
      <x:c r="K147" s="21" t="str">
        <x:v>artifact acceptance authority</x:v>
      </x:c>
      <x:c r="L147" s="21" t="str">
        <x:v>OPEN</x:v>
      </x:c>
      <x:c r="M147" s="23" t="str">
        <x:v>HOLD</x:v>
      </x:c>
    </x:row>
    <x:row r="148">
      <x:c r="B148" s="21" t="str">
        <x:v>STG-S01-B-K01</x:v>
      </x:c>
      <x:c r="C148" s="21" t="str">
        <x:v>STG-S01-B</x:v>
      </x:c>
      <x:c r="D148" s="21" t="str">
        <x:v>STG-S01</x:v>
      </x:c>
      <x:c r="E148" s="21" t="str">
        <x:v>PROVISIONAL BUILD</x:v>
      </x:c>
      <x:c r="F148" s="21" t="str">
        <x:v>K01</x:v>
      </x:c>
      <x:c r="G148" s="21" t="str">
        <x:v>frozen package and conflict disclosure</x:v>
      </x:c>
      <x:c r="H148" s="32" t="n">
        <x:v>0.1</x:v>
      </x:c>
      <x:c r="I148" s="32" t="n">
        <x:v>1</x:v>
      </x:c>
      <x:c r="J148" s="32" t="n">
        <x:f>'Award Portfolio'!I35*H148</x:f>
        <x:v>0.007650000000000001</x:v>
      </x:c>
      <x:c r="K148" s="21" t="str">
        <x:v>artifact acceptance authority</x:v>
      </x:c>
      <x:c r="L148" s="21" t="str">
        <x:v>OPEN</x:v>
      </x:c>
      <x:c r="M148" s="23" t="str">
        <x:v>HOLD</x:v>
      </x:c>
    </x:row>
    <x:row r="149">
      <x:c r="B149" s="21" t="str">
        <x:v>STG-S01-B-K02</x:v>
      </x:c>
      <x:c r="C149" s="21" t="str">
        <x:v>STG-S01-B</x:v>
      </x:c>
      <x:c r="D149" s="21" t="str">
        <x:v>STG-S01</x:v>
      </x:c>
      <x:c r="E149" s="21" t="str">
        <x:v>PROVISIONAL BUILD</x:v>
      </x:c>
      <x:c r="F149" s="21" t="str">
        <x:v>K02</x:v>
      </x:c>
      <x:c r="G149" s="21" t="str">
        <x:v>critical design and burden closure</x:v>
      </x:c>
      <x:c r="H149" s="32" t="n">
        <x:v>0.15</x:v>
      </x:c>
      <x:c r="I149" s="32" t="n">
        <x:v>2</x:v>
      </x:c>
      <x:c r="J149" s="32" t="n">
        <x:f>'Award Portfolio'!I35*H149</x:f>
        <x:v>0.011475</x:v>
      </x:c>
      <x:c r="K149" s="21" t="str">
        <x:v>artifact acceptance authority</x:v>
      </x:c>
      <x:c r="L149" s="21" t="str">
        <x:v>OPEN</x:v>
      </x:c>
      <x:c r="M149" s="23" t="str">
        <x:v>HOLD</x:v>
      </x:c>
    </x:row>
    <x:row r="150">
      <x:c r="B150" s="21" t="str">
        <x:v>STG-S01-B-K03</x:v>
      </x:c>
      <x:c r="C150" s="21" t="str">
        <x:v>STG-S01-B</x:v>
      </x:c>
      <x:c r="D150" s="21" t="str">
        <x:v>STG-S01</x:v>
      </x:c>
      <x:c r="E150" s="21" t="str">
        <x:v>PROVISIONAL BUILD</x:v>
      </x:c>
      <x:c r="F150" s="21" t="str">
        <x:v>K03</x:v>
      </x:c>
      <x:c r="G150" s="21" t="str">
        <x:v>engineering lot release</x:v>
      </x:c>
      <x:c r="H150" s="32" t="n">
        <x:v>0.2</x:v>
      </x:c>
      <x:c r="I150" s="32" t="n">
        <x:v>3</x:v>
      </x:c>
      <x:c r="J150" s="32" t="n">
        <x:f>'Award Portfolio'!I35*H150</x:f>
        <x:v>0.015300000000000003</x:v>
      </x:c>
      <x:c r="K150" s="21" t="str">
        <x:v>artifact acceptance authority</x:v>
      </x:c>
      <x:c r="L150" s="21" t="str">
        <x:v>OPEN</x:v>
      </x:c>
      <x:c r="M150" s="23" t="str">
        <x:v>HOLD</x:v>
      </x:c>
    </x:row>
    <x:row r="151">
      <x:c r="B151" s="21" t="str">
        <x:v>STG-S01-B-K04</x:v>
      </x:c>
      <x:c r="C151" s="21" t="str">
        <x:v>STG-S01-B</x:v>
      </x:c>
      <x:c r="D151" s="21" t="str">
        <x:v>STG-S01</x:v>
      </x:c>
      <x:c r="E151" s="21" t="str">
        <x:v>PROVISIONAL BUILD</x:v>
      </x:c>
      <x:c r="F151" s="21" t="str">
        <x:v>K04</x:v>
      </x:c>
      <x:c r="G151" s="21" t="str">
        <x:v>qualification lot release</x:v>
      </x:c>
      <x:c r="H151" s="32" t="n">
        <x:v>0.2</x:v>
      </x:c>
      <x:c r="I151" s="32" t="n">
        <x:v>4</x:v>
      </x:c>
      <x:c r="J151" s="32" t="n">
        <x:f>'Award Portfolio'!I35*H151</x:f>
        <x:v>0.015300000000000003</x:v>
      </x:c>
      <x:c r="K151" s="21" t="str">
        <x:v>artifact acceptance authority</x:v>
      </x:c>
      <x:c r="L151" s="21" t="str">
        <x:v>OPEN</x:v>
      </x:c>
      <x:c r="M151" s="23" t="str">
        <x:v>HOLD</x:v>
      </x:c>
    </x:row>
    <x:row r="152">
      <x:c r="B152" s="21" t="str">
        <x:v>STG-S01-B-K05</x:v>
      </x:c>
      <x:c r="C152" s="21" t="str">
        <x:v>STG-S01-B</x:v>
      </x:c>
      <x:c r="D152" s="21" t="str">
        <x:v>STG-S01</x:v>
      </x:c>
      <x:c r="E152" s="21" t="str">
        <x:v>PROVISIONAL BUILD</x:v>
      </x:c>
      <x:c r="F152" s="21" t="str">
        <x:v>K05</x:v>
      </x:c>
      <x:c r="G152" s="21" t="str">
        <x:v>family acceptance artifact set</x:v>
      </x:c>
      <x:c r="H152" s="32" t="n">
        <x:v>0.2</x:v>
      </x:c>
      <x:c r="I152" s="32" t="n">
        <x:v>6</x:v>
      </x:c>
      <x:c r="J152" s="32" t="n">
        <x:f>'Award Portfolio'!I35*H152</x:f>
        <x:v>0.015300000000000003</x:v>
      </x:c>
      <x:c r="K152" s="21" t="str">
        <x:v>artifact acceptance authority</x:v>
      </x:c>
      <x:c r="L152" s="21" t="str">
        <x:v>OPEN</x:v>
      </x:c>
      <x:c r="M152" s="23" t="str">
        <x:v>HOLD</x:v>
      </x:c>
    </x:row>
    <x:row r="153">
      <x:c r="B153" s="21" t="str">
        <x:v>STG-S01-B-K06</x:v>
      </x:c>
      <x:c r="C153" s="21" t="str">
        <x:v>STG-S01-B</x:v>
      </x:c>
      <x:c r="D153" s="21" t="str">
        <x:v>STG-S01</x:v>
      </x:c>
      <x:c r="E153" s="21" t="str">
        <x:v>PROVISIONAL BUILD</x:v>
      </x:c>
      <x:c r="F153" s="21" t="str">
        <x:v>K06</x:v>
      </x:c>
      <x:c r="G153" s="21" t="str">
        <x:v>independent reproduction artifact</x:v>
      </x:c>
      <x:c r="H153" s="32" t="n">
        <x:v>0.15</x:v>
      </x:c>
      <x:c r="I153" s="32" t="n">
        <x:v>8</x:v>
      </x:c>
      <x:c r="J153" s="32" t="n">
        <x:f>'Award Portfolio'!I35*H153</x:f>
        <x:v>0.011475</x:v>
      </x:c>
      <x:c r="K153" s="21" t="str">
        <x:v>artifact acceptance authority</x:v>
      </x:c>
      <x:c r="L153" s="21" t="str">
        <x:v>OPEN</x:v>
      </x:c>
      <x:c r="M153" s="23" t="str">
        <x:v>HOLD</x:v>
      </x:c>
    </x:row>
    <x:row r="154">
      <x:c r="B154" s="21" t="str">
        <x:v>STG-S01-C-C01</x:v>
      </x:c>
      <x:c r="C154" s="21" t="str">
        <x:v>STG-S01-C</x:v>
      </x:c>
      <x:c r="D154" s="21" t="str">
        <x:v>STG-S01</x:v>
      </x:c>
      <x:c r="E154" s="21" t="str">
        <x:v>CHALLENGE ONLY</x:v>
      </x:c>
      <x:c r="F154" s="21" t="str">
        <x:v>C01</x:v>
      </x:c>
      <x:c r="G154" s="21" t="str">
        <x:v>blocking hypothesis and experiment</x:v>
      </x:c>
      <x:c r="H154" s="32" t="n">
        <x:v>0.2</x:v>
      </x:c>
      <x:c r="I154" s="32" t="n">
        <x:v>1</x:v>
      </x:c>
      <x:c r="J154" s="32" t="n">
        <x:f>'Award Portfolio'!I36*H154</x:f>
        <x:v>0.0034000000000000002</x:v>
      </x:c>
      <x:c r="K154" s="21" t="str">
        <x:v>artifact acceptance authority</x:v>
      </x:c>
      <x:c r="L154" s="21" t="str">
        <x:v>OPEN</x:v>
      </x:c>
      <x:c r="M154" s="23" t="str">
        <x:v>HOLD</x:v>
      </x:c>
    </x:row>
    <x:row r="155">
      <x:c r="B155" s="21" t="str">
        <x:v>STG-S01-C-C02</x:v>
      </x:c>
      <x:c r="C155" s="21" t="str">
        <x:v>STG-S01-C</x:v>
      </x:c>
      <x:c r="D155" s="21" t="str">
        <x:v>STG-S01</x:v>
      </x:c>
      <x:c r="E155" s="21" t="str">
        <x:v>CHALLENGE ONLY</x:v>
      </x:c>
      <x:c r="F155" s="21" t="str">
        <x:v>C02</x:v>
      </x:c>
      <x:c r="G155" s="21" t="str">
        <x:v>bench coupon and failure evidence</x:v>
      </x:c>
      <x:c r="H155" s="32" t="n">
        <x:v>0.3</x:v>
      </x:c>
      <x:c r="I155" s="32" t="n">
        <x:v>2</x:v>
      </x:c>
      <x:c r="J155" s="32" t="n">
        <x:f>'Award Portfolio'!I36*H155</x:f>
        <x:v>0.0051</x:v>
      </x:c>
      <x:c r="K155" s="21" t="str">
        <x:v>artifact acceptance authority</x:v>
      </x:c>
      <x:c r="L155" s="21" t="str">
        <x:v>OPEN</x:v>
      </x:c>
      <x:c r="M155" s="23" t="str">
        <x:v>HOLD</x:v>
      </x:c>
    </x:row>
    <x:row r="156">
      <x:c r="B156" s="21" t="str">
        <x:v>STG-S01-C-C03</x:v>
      </x:c>
      <x:c r="C156" s="21" t="str">
        <x:v>STG-S01-C</x:v>
      </x:c>
      <x:c r="D156" s="21" t="str">
        <x:v>STG-S01</x:v>
      </x:c>
      <x:c r="E156" s="21" t="str">
        <x:v>CHALLENGE ONLY</x:v>
      </x:c>
      <x:c r="F156" s="21" t="str">
        <x:v>C03</x:v>
      </x:c>
      <x:c r="G156" s="21" t="str">
        <x:v>registered blocking-gate closure attempt</x:v>
      </x:c>
      <x:c r="H156" s="32" t="n">
        <x:v>0.5</x:v>
      </x:c>
      <x:c r="I156" s="32" t="n">
        <x:v>3</x:v>
      </x:c>
      <x:c r="J156" s="32" t="n">
        <x:f>'Award Portfolio'!I36*H156</x:f>
        <x:v>0.0085</x:v>
      </x:c>
      <x:c r="K156" s="21" t="str">
        <x:v>artifact acceptance authority</x:v>
      </x:c>
      <x:c r="L156" s="21" t="str">
        <x:v>OPEN</x:v>
      </x:c>
      <x:c r="M156" s="23" t="str">
        <x:v>HOLD</x:v>
      </x:c>
    </x:row>
    <x:row r="157">
      <x:c r="B157" s="21" t="str">
        <x:v>MHE-E01-A-K01</x:v>
      </x:c>
      <x:c r="C157" s="21" t="str">
        <x:v>MHE-E01-A</x:v>
      </x:c>
      <x:c r="D157" s="21" t="str">
        <x:v>MHE-E01</x:v>
      </x:c>
      <x:c r="E157" s="21" t="str">
        <x:v>PROVISIONAL BUILD</x:v>
      </x:c>
      <x:c r="F157" s="21" t="str">
        <x:v>K01</x:v>
      </x:c>
      <x:c r="G157" s="21" t="str">
        <x:v>frozen package and conflict disclosure</x:v>
      </x:c>
      <x:c r="H157" s="32" t="n">
        <x:v>0.1</x:v>
      </x:c>
      <x:c r="I157" s="32" t="n">
        <x:v>1</x:v>
      </x:c>
      <x:c r="J157" s="32" t="n">
        <x:f>'Award Portfolio'!I37*H157</x:f>
        <x:v>0.011250000000000001</x:v>
      </x:c>
      <x:c r="K157" s="21" t="str">
        <x:v>artifact acceptance authority</x:v>
      </x:c>
      <x:c r="L157" s="21" t="str">
        <x:v>OPEN</x:v>
      </x:c>
      <x:c r="M157" s="23" t="str">
        <x:v>HOLD</x:v>
      </x:c>
    </x:row>
    <x:row r="158">
      <x:c r="B158" s="21" t="str">
        <x:v>MHE-E01-A-K02</x:v>
      </x:c>
      <x:c r="C158" s="21" t="str">
        <x:v>MHE-E01-A</x:v>
      </x:c>
      <x:c r="D158" s="21" t="str">
        <x:v>MHE-E01</x:v>
      </x:c>
      <x:c r="E158" s="21" t="str">
        <x:v>PROVISIONAL BUILD</x:v>
      </x:c>
      <x:c r="F158" s="21" t="str">
        <x:v>K02</x:v>
      </x:c>
      <x:c r="G158" s="21" t="str">
        <x:v>critical design and burden closure</x:v>
      </x:c>
      <x:c r="H158" s="32" t="n">
        <x:v>0.15</x:v>
      </x:c>
      <x:c r="I158" s="32" t="n">
        <x:v>2</x:v>
      </x:c>
      <x:c r="J158" s="32" t="n">
        <x:f>'Award Portfolio'!I37*H158</x:f>
        <x:v>0.016875</x:v>
      </x:c>
      <x:c r="K158" s="21" t="str">
        <x:v>artifact acceptance authority</x:v>
      </x:c>
      <x:c r="L158" s="21" t="str">
        <x:v>OPEN</x:v>
      </x:c>
      <x:c r="M158" s="23" t="str">
        <x:v>HOLD</x:v>
      </x:c>
    </x:row>
    <x:row r="159">
      <x:c r="B159" s="21" t="str">
        <x:v>MHE-E01-A-K03</x:v>
      </x:c>
      <x:c r="C159" s="21" t="str">
        <x:v>MHE-E01-A</x:v>
      </x:c>
      <x:c r="D159" s="21" t="str">
        <x:v>MHE-E01</x:v>
      </x:c>
      <x:c r="E159" s="21" t="str">
        <x:v>PROVISIONAL BUILD</x:v>
      </x:c>
      <x:c r="F159" s="21" t="str">
        <x:v>K03</x:v>
      </x:c>
      <x:c r="G159" s="21" t="str">
        <x:v>engineering lot release</x:v>
      </x:c>
      <x:c r="H159" s="32" t="n">
        <x:v>0.2</x:v>
      </x:c>
      <x:c r="I159" s="32" t="n">
        <x:v>3</x:v>
      </x:c>
      <x:c r="J159" s="32" t="n">
        <x:f>'Award Portfolio'!I37*H159</x:f>
        <x:v>0.022500000000000003</x:v>
      </x:c>
      <x:c r="K159" s="21" t="str">
        <x:v>artifact acceptance authority</x:v>
      </x:c>
      <x:c r="L159" s="21" t="str">
        <x:v>OPEN</x:v>
      </x:c>
      <x:c r="M159" s="23" t="str">
        <x:v>HOLD</x:v>
      </x:c>
    </x:row>
    <x:row r="160">
      <x:c r="B160" s="21" t="str">
        <x:v>MHE-E01-A-K04</x:v>
      </x:c>
      <x:c r="C160" s="21" t="str">
        <x:v>MHE-E01-A</x:v>
      </x:c>
      <x:c r="D160" s="21" t="str">
        <x:v>MHE-E01</x:v>
      </x:c>
      <x:c r="E160" s="21" t="str">
        <x:v>PROVISIONAL BUILD</x:v>
      </x:c>
      <x:c r="F160" s="21" t="str">
        <x:v>K04</x:v>
      </x:c>
      <x:c r="G160" s="21" t="str">
        <x:v>qualification lot release</x:v>
      </x:c>
      <x:c r="H160" s="32" t="n">
        <x:v>0.2</x:v>
      </x:c>
      <x:c r="I160" s="32" t="n">
        <x:v>4</x:v>
      </x:c>
      <x:c r="J160" s="32" t="n">
        <x:f>'Award Portfolio'!I37*H160</x:f>
        <x:v>0.022500000000000003</x:v>
      </x:c>
      <x:c r="K160" s="21" t="str">
        <x:v>artifact acceptance authority</x:v>
      </x:c>
      <x:c r="L160" s="21" t="str">
        <x:v>OPEN</x:v>
      </x:c>
      <x:c r="M160" s="23" t="str">
        <x:v>HOLD</x:v>
      </x:c>
    </x:row>
    <x:row r="161">
      <x:c r="B161" s="21" t="str">
        <x:v>MHE-E01-A-K05</x:v>
      </x:c>
      <x:c r="C161" s="21" t="str">
        <x:v>MHE-E01-A</x:v>
      </x:c>
      <x:c r="D161" s="21" t="str">
        <x:v>MHE-E01</x:v>
      </x:c>
      <x:c r="E161" s="21" t="str">
        <x:v>PROVISIONAL BUILD</x:v>
      </x:c>
      <x:c r="F161" s="21" t="str">
        <x:v>K05</x:v>
      </x:c>
      <x:c r="G161" s="21" t="str">
        <x:v>family acceptance artifact set</x:v>
      </x:c>
      <x:c r="H161" s="32" t="n">
        <x:v>0.2</x:v>
      </x:c>
      <x:c r="I161" s="32" t="n">
        <x:v>6</x:v>
      </x:c>
      <x:c r="J161" s="32" t="n">
        <x:f>'Award Portfolio'!I37*H161</x:f>
        <x:v>0.022500000000000003</x:v>
      </x:c>
      <x:c r="K161" s="21" t="str">
        <x:v>artifact acceptance authority</x:v>
      </x:c>
      <x:c r="L161" s="21" t="str">
        <x:v>OPEN</x:v>
      </x:c>
      <x:c r="M161" s="23" t="str">
        <x:v>HOLD</x:v>
      </x:c>
    </x:row>
    <x:row r="162">
      <x:c r="B162" s="21" t="str">
        <x:v>MHE-E01-A-K06</x:v>
      </x:c>
      <x:c r="C162" s="21" t="str">
        <x:v>MHE-E01-A</x:v>
      </x:c>
      <x:c r="D162" s="21" t="str">
        <x:v>MHE-E01</x:v>
      </x:c>
      <x:c r="E162" s="21" t="str">
        <x:v>PROVISIONAL BUILD</x:v>
      </x:c>
      <x:c r="F162" s="21" t="str">
        <x:v>K06</x:v>
      </x:c>
      <x:c r="G162" s="21" t="str">
        <x:v>independent reproduction artifact</x:v>
      </x:c>
      <x:c r="H162" s="32" t="n">
        <x:v>0.15</x:v>
      </x:c>
      <x:c r="I162" s="32" t="n">
        <x:v>8</x:v>
      </x:c>
      <x:c r="J162" s="32" t="n">
        <x:f>'Award Portfolio'!I37*H162</x:f>
        <x:v>0.016875</x:v>
      </x:c>
      <x:c r="K162" s="21" t="str">
        <x:v>artifact acceptance authority</x:v>
      </x:c>
      <x:c r="L162" s="21" t="str">
        <x:v>OPEN</x:v>
      </x:c>
      <x:c r="M162" s="23" t="str">
        <x:v>HOLD</x:v>
      </x:c>
    </x:row>
    <x:row r="163">
      <x:c r="B163" s="21" t="str">
        <x:v>MHE-E01-B-K01</x:v>
      </x:c>
      <x:c r="C163" s="21" t="str">
        <x:v>MHE-E01-B</x:v>
      </x:c>
      <x:c r="D163" s="21" t="str">
        <x:v>MHE-E01</x:v>
      </x:c>
      <x:c r="E163" s="21" t="str">
        <x:v>PROVISIONAL BUILD</x:v>
      </x:c>
      <x:c r="F163" s="21" t="str">
        <x:v>K01</x:v>
      </x:c>
      <x:c r="G163" s="21" t="str">
        <x:v>frozen package and conflict disclosure</x:v>
      </x:c>
      <x:c r="H163" s="32" t="n">
        <x:v>0.1</x:v>
      </x:c>
      <x:c r="I163" s="32" t="n">
        <x:v>1</x:v>
      </x:c>
      <x:c r="J163" s="32" t="n">
        <x:f>'Award Portfolio'!I38*H163</x:f>
        <x:v>0.011250000000000001</x:v>
      </x:c>
      <x:c r="K163" s="21" t="str">
        <x:v>artifact acceptance authority</x:v>
      </x:c>
      <x:c r="L163" s="21" t="str">
        <x:v>OPEN</x:v>
      </x:c>
      <x:c r="M163" s="23" t="str">
        <x:v>HOLD</x:v>
      </x:c>
    </x:row>
    <x:row r="164">
      <x:c r="B164" s="21" t="str">
        <x:v>MHE-E01-B-K02</x:v>
      </x:c>
      <x:c r="C164" s="21" t="str">
        <x:v>MHE-E01-B</x:v>
      </x:c>
      <x:c r="D164" s="21" t="str">
        <x:v>MHE-E01</x:v>
      </x:c>
      <x:c r="E164" s="21" t="str">
        <x:v>PROVISIONAL BUILD</x:v>
      </x:c>
      <x:c r="F164" s="21" t="str">
        <x:v>K02</x:v>
      </x:c>
      <x:c r="G164" s="21" t="str">
        <x:v>critical design and burden closure</x:v>
      </x:c>
      <x:c r="H164" s="32" t="n">
        <x:v>0.15</x:v>
      </x:c>
      <x:c r="I164" s="32" t="n">
        <x:v>2</x:v>
      </x:c>
      <x:c r="J164" s="32" t="n">
        <x:f>'Award Portfolio'!I38*H164</x:f>
        <x:v>0.016875</x:v>
      </x:c>
      <x:c r="K164" s="21" t="str">
        <x:v>artifact acceptance authority</x:v>
      </x:c>
      <x:c r="L164" s="21" t="str">
        <x:v>OPEN</x:v>
      </x:c>
      <x:c r="M164" s="23" t="str">
        <x:v>HOLD</x:v>
      </x:c>
    </x:row>
    <x:row r="165">
      <x:c r="B165" s="21" t="str">
        <x:v>MHE-E01-B-K03</x:v>
      </x:c>
      <x:c r="C165" s="21" t="str">
        <x:v>MHE-E01-B</x:v>
      </x:c>
      <x:c r="D165" s="21" t="str">
        <x:v>MHE-E01</x:v>
      </x:c>
      <x:c r="E165" s="21" t="str">
        <x:v>PROVISIONAL BUILD</x:v>
      </x:c>
      <x:c r="F165" s="21" t="str">
        <x:v>K03</x:v>
      </x:c>
      <x:c r="G165" s="21" t="str">
        <x:v>engineering lot release</x:v>
      </x:c>
      <x:c r="H165" s="32" t="n">
        <x:v>0.2</x:v>
      </x:c>
      <x:c r="I165" s="32" t="n">
        <x:v>3</x:v>
      </x:c>
      <x:c r="J165" s="32" t="n">
        <x:f>'Award Portfolio'!I38*H165</x:f>
        <x:v>0.022500000000000003</x:v>
      </x:c>
      <x:c r="K165" s="21" t="str">
        <x:v>artifact acceptance authority</x:v>
      </x:c>
      <x:c r="L165" s="21" t="str">
        <x:v>OPEN</x:v>
      </x:c>
      <x:c r="M165" s="23" t="str">
        <x:v>HOLD</x:v>
      </x:c>
    </x:row>
    <x:row r="166">
      <x:c r="B166" s="21" t="str">
        <x:v>MHE-E01-B-K04</x:v>
      </x:c>
      <x:c r="C166" s="21" t="str">
        <x:v>MHE-E01-B</x:v>
      </x:c>
      <x:c r="D166" s="21" t="str">
        <x:v>MHE-E01</x:v>
      </x:c>
      <x:c r="E166" s="21" t="str">
        <x:v>PROVISIONAL BUILD</x:v>
      </x:c>
      <x:c r="F166" s="21" t="str">
        <x:v>K04</x:v>
      </x:c>
      <x:c r="G166" s="21" t="str">
        <x:v>qualification lot release</x:v>
      </x:c>
      <x:c r="H166" s="32" t="n">
        <x:v>0.2</x:v>
      </x:c>
      <x:c r="I166" s="32" t="n">
        <x:v>4</x:v>
      </x:c>
      <x:c r="J166" s="32" t="n">
        <x:f>'Award Portfolio'!I38*H166</x:f>
        <x:v>0.022500000000000003</x:v>
      </x:c>
      <x:c r="K166" s="21" t="str">
        <x:v>artifact acceptance authority</x:v>
      </x:c>
      <x:c r="L166" s="21" t="str">
        <x:v>OPEN</x:v>
      </x:c>
      <x:c r="M166" s="23" t="str">
        <x:v>HOLD</x:v>
      </x:c>
    </x:row>
    <x:row r="167">
      <x:c r="B167" s="21" t="str">
        <x:v>MHE-E01-B-K05</x:v>
      </x:c>
      <x:c r="C167" s="21" t="str">
        <x:v>MHE-E01-B</x:v>
      </x:c>
      <x:c r="D167" s="21" t="str">
        <x:v>MHE-E01</x:v>
      </x:c>
      <x:c r="E167" s="21" t="str">
        <x:v>PROVISIONAL BUILD</x:v>
      </x:c>
      <x:c r="F167" s="21" t="str">
        <x:v>K05</x:v>
      </x:c>
      <x:c r="G167" s="21" t="str">
        <x:v>family acceptance artifact set</x:v>
      </x:c>
      <x:c r="H167" s="32" t="n">
        <x:v>0.2</x:v>
      </x:c>
      <x:c r="I167" s="32" t="n">
        <x:v>6</x:v>
      </x:c>
      <x:c r="J167" s="32" t="n">
        <x:f>'Award Portfolio'!I38*H167</x:f>
        <x:v>0.022500000000000003</x:v>
      </x:c>
      <x:c r="K167" s="21" t="str">
        <x:v>artifact acceptance authority</x:v>
      </x:c>
      <x:c r="L167" s="21" t="str">
        <x:v>OPEN</x:v>
      </x:c>
      <x:c r="M167" s="23" t="str">
        <x:v>HOLD</x:v>
      </x:c>
    </x:row>
    <x:row r="168">
      <x:c r="B168" s="21" t="str">
        <x:v>MHE-E01-B-K06</x:v>
      </x:c>
      <x:c r="C168" s="21" t="str">
        <x:v>MHE-E01-B</x:v>
      </x:c>
      <x:c r="D168" s="21" t="str">
        <x:v>MHE-E01</x:v>
      </x:c>
      <x:c r="E168" s="21" t="str">
        <x:v>PROVISIONAL BUILD</x:v>
      </x:c>
      <x:c r="F168" s="21" t="str">
        <x:v>K06</x:v>
      </x:c>
      <x:c r="G168" s="21" t="str">
        <x:v>independent reproduction artifact</x:v>
      </x:c>
      <x:c r="H168" s="32" t="n">
        <x:v>0.15</x:v>
      </x:c>
      <x:c r="I168" s="32" t="n">
        <x:v>8</x:v>
      </x:c>
      <x:c r="J168" s="32" t="n">
        <x:f>'Award Portfolio'!I38*H168</x:f>
        <x:v>0.016875</x:v>
      </x:c>
      <x:c r="K168" s="21" t="str">
        <x:v>artifact acceptance authority</x:v>
      </x:c>
      <x:c r="L168" s="21" t="str">
        <x:v>OPEN</x:v>
      </x:c>
      <x:c r="M168" s="23" t="str">
        <x:v>HOLD</x:v>
      </x:c>
    </x:row>
    <x:row r="169">
      <x:c r="B169" s="21" t="str">
        <x:v>MHE-E01-C-C01</x:v>
      </x:c>
      <x:c r="C169" s="21" t="str">
        <x:v>MHE-E01-C</x:v>
      </x:c>
      <x:c r="D169" s="21" t="str">
        <x:v>MHE-E01</x:v>
      </x:c>
      <x:c r="E169" s="21" t="str">
        <x:v>CHALLENGE ONLY</x:v>
      </x:c>
      <x:c r="F169" s="21" t="str">
        <x:v>C01</x:v>
      </x:c>
      <x:c r="G169" s="21" t="str">
        <x:v>blocking hypothesis and experiment</x:v>
      </x:c>
      <x:c r="H169" s="32" t="n">
        <x:v>0.2</x:v>
      </x:c>
      <x:c r="I169" s="32" t="n">
        <x:v>1</x:v>
      </x:c>
      <x:c r="J169" s="32" t="n">
        <x:f>'Award Portfolio'!I39*H169</x:f>
        <x:v>0.005000000000000001</x:v>
      </x:c>
      <x:c r="K169" s="21" t="str">
        <x:v>artifact acceptance authority</x:v>
      </x:c>
      <x:c r="L169" s="21" t="str">
        <x:v>OPEN</x:v>
      </x:c>
      <x:c r="M169" s="23" t="str">
        <x:v>HOLD</x:v>
      </x:c>
    </x:row>
    <x:row r="170">
      <x:c r="B170" s="21" t="str">
        <x:v>MHE-E01-C-C02</x:v>
      </x:c>
      <x:c r="C170" s="21" t="str">
        <x:v>MHE-E01-C</x:v>
      </x:c>
      <x:c r="D170" s="21" t="str">
        <x:v>MHE-E01</x:v>
      </x:c>
      <x:c r="E170" s="21" t="str">
        <x:v>CHALLENGE ONLY</x:v>
      </x:c>
      <x:c r="F170" s="21" t="str">
        <x:v>C02</x:v>
      </x:c>
      <x:c r="G170" s="21" t="str">
        <x:v>bench coupon and failure evidence</x:v>
      </x:c>
      <x:c r="H170" s="32" t="n">
        <x:v>0.3</x:v>
      </x:c>
      <x:c r="I170" s="32" t="n">
        <x:v>2</x:v>
      </x:c>
      <x:c r="J170" s="32" t="n">
        <x:f>'Award Portfolio'!I39*H170</x:f>
        <x:v>0.0075</x:v>
      </x:c>
      <x:c r="K170" s="21" t="str">
        <x:v>artifact acceptance authority</x:v>
      </x:c>
      <x:c r="L170" s="21" t="str">
        <x:v>OPEN</x:v>
      </x:c>
      <x:c r="M170" s="23" t="str">
        <x:v>HOLD</x:v>
      </x:c>
    </x:row>
    <x:row r="171">
      <x:c r="B171" s="24" t="str">
        <x:v>MHE-E01-C-C03</x:v>
      </x:c>
      <x:c r="C171" s="24" t="str">
        <x:v>MHE-E01-C</x:v>
      </x:c>
      <x:c r="D171" s="24" t="str">
        <x:v>MHE-E01</x:v>
      </x:c>
      <x:c r="E171" s="24" t="str">
        <x:v>CHALLENGE ONLY</x:v>
      </x:c>
      <x:c r="F171" s="24" t="str">
        <x:v>C03</x:v>
      </x:c>
      <x:c r="G171" s="24" t="str">
        <x:v>registered blocking-gate closure attempt</x:v>
      </x:c>
      <x:c r="H171" s="33" t="n">
        <x:v>0.5</x:v>
      </x:c>
      <x:c r="I171" s="33" t="n">
        <x:v>3</x:v>
      </x:c>
      <x:c r="J171" s="33" t="n">
        <x:f>'Award Portfolio'!I39*H171</x:f>
        <x:v>0.0125</x:v>
      </x:c>
      <x:c r="K171" s="24" t="str">
        <x:v>artifact acceptance authority</x:v>
      </x:c>
      <x:c r="L171" s="24" t="str">
        <x:v>OPEN</x:v>
      </x:c>
      <x:c r="M171" s="26" t="str">
        <x:v>HOLD</x:v>
      </x:c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</x:row>
  </x:sheetData>
  <x:mergeCells>
    <x:mergeCell ref="B3:M3"/>
  </x:mergeCells>
  <x:conditionalFormatting sqref="L7:M171">
    <x:cfRule type="containsText" dxfId="55" priority="1" operator="containsText" text="OPEN"/>
    <x:cfRule type="containsText" dxfId="56" priority="2" operator="containsText" text="HOLD"/>
    <x:cfRule type="containsText" dxfId="57" priority="3" operator="containsText" text="BLOCKED"/>
    <x:cfRule type="containsText" dxfId="58" priority="4" operator="containsText" text="CHALLENGE ONLY"/>
    <x:cfRule type="containsText" dxfId="59" priority="5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3" hidden="0" customWidth="1"/>
    <x:col min="4" max="4" width="43" hidden="0" customWidth="1"/>
    <x:col min="5" max="5" width="11" hidden="0" customWidth="1"/>
    <x:col min="6" max="6" width="17" hidden="0" customWidth="1"/>
    <x:col min="7" max="7" width="17" hidden="0" customWidth="1"/>
    <x:col min="8" max="8" width="18" hidden="0" customWidth="1"/>
    <x:col min="9" max="9" width="14" hidden="0" customWidth="1"/>
    <x:col min="10" max="10" width="13" hidden="0" customWidth="1"/>
    <x:col min="11" max="11" width="16" hidden="0" customWidth="1"/>
  </x:cols>
  <x:sheetData>
    <x:row r="2">
      <x:c r="B2" s="3" t="str">
        <x:v>Public facility and range reserve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Capacity is reserved as common infrastructure. The portfolio cannot claim competition if one builder controls the only decisive test path.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Record</x:v>
      </x:c>
      <x:c r="C6" s="20" t="str">
        <x:v>Facility</x:v>
      </x:c>
      <x:c r="D6" s="20" t="str">
        <x:v>Function</x:v>
      </x:c>
      <x:c r="E6" s="20" t="str">
        <x:v>Year</x:v>
      </x:c>
      <x:c r="F6" s="20" t="str">
        <x:v>Available days</x:v>
      </x:c>
      <x:c r="G6" s="20" t="str">
        <x:v>Reserved days</x:v>
      </x:c>
      <x:c r="H6" s="20" t="str">
        <x:v>Remaining days</x:v>
      </x:c>
      <x:c r="I6" s="20" t="str">
        <x:v>Utilization</x:v>
      </x:c>
      <x:c r="J6" s="20" t="str">
        <x:v>Evidence</x:v>
      </x:c>
      <x:c r="K6" s="20" t="str">
        <x:v>Decision</x:v>
      </x:c>
    </x:row>
    <x:row r="7">
      <x:c r="B7" s="21" t="str">
        <x:v>F01-Y1</x:v>
      </x:c>
      <x:c r="C7" s="21" t="str">
        <x:v>F01</x:v>
      </x:c>
      <x:c r="D7" s="21" t="str">
        <x:v>public metrology and calibration</x:v>
      </x:c>
      <x:c r="E7" s="21" t="n">
        <x:v>1</x:v>
      </x:c>
      <x:c r="F7" s="21" t="n">
        <x:v>220</x:v>
      </x:c>
      <x:c r="G7" s="21" t="n">
        <x:v>80</x:v>
      </x:c>
      <x:c r="H7" s="21" t="n">
        <x:f>F7-G7</x:f>
        <x:v>140</x:v>
      </x:c>
      <x:c r="I7" s="38" t="n">
        <x:f>G7/F7</x:f>
        <x:v>0.36363636363636365</x:v>
      </x:c>
      <x:c r="J7" s="21" t="str">
        <x:v>OPEN</x:v>
      </x:c>
      <x:c r="K7" s="23" t="str">
        <x:f>IF(H7&gt;=0,"AVAILABLE","OVERLOAD")</x:f>
        <x:v>AVAILABLE</x:v>
      </x:c>
    </x:row>
    <x:row r="8">
      <x:c r="B8" s="21" t="str">
        <x:v>F01-Y2</x:v>
      </x:c>
      <x:c r="C8" s="21" t="str">
        <x:v>F01</x:v>
      </x:c>
      <x:c r="D8" s="21" t="str">
        <x:v>public metrology and calibration</x:v>
      </x:c>
      <x:c r="E8" s="21" t="n">
        <x:v>2</x:v>
      </x:c>
      <x:c r="F8" s="21" t="n">
        <x:v>220</x:v>
      </x:c>
      <x:c r="G8" s="21" t="n">
        <x:v>160</x:v>
      </x:c>
      <x:c r="H8" s="21" t="n">
        <x:f>F8-G8</x:f>
        <x:v>60</x:v>
      </x:c>
      <x:c r="I8" s="38" t="n">
        <x:f>G8/F8</x:f>
        <x:v>0.7272727272727273</x:v>
      </x:c>
      <x:c r="J8" s="21" t="str">
        <x:v>OPEN</x:v>
      </x:c>
      <x:c r="K8" s="23" t="str">
        <x:f>IF(H8&gt;=0,"AVAILABLE","OVERLOAD")</x:f>
        <x:v>AVAILABLE</x:v>
      </x:c>
    </x:row>
    <x:row r="9">
      <x:c r="B9" s="21" t="str">
        <x:v>F01-Y3</x:v>
      </x:c>
      <x:c r="C9" s="21" t="str">
        <x:v>F01</x:v>
      </x:c>
      <x:c r="D9" s="21" t="str">
        <x:v>public metrology and calibration</x:v>
      </x:c>
      <x:c r="E9" s="21" t="n">
        <x:v>3</x:v>
      </x:c>
      <x:c r="F9" s="21" t="n">
        <x:v>220</x:v>
      </x:c>
      <x:c r="G9" s="21" t="n">
        <x:v>190</x:v>
      </x:c>
      <x:c r="H9" s="21" t="n">
        <x:f>F9-G9</x:f>
        <x:v>30</x:v>
      </x:c>
      <x:c r="I9" s="38" t="n">
        <x:f>G9/F9</x:f>
        <x:v>0.8636363636363636</x:v>
      </x:c>
      <x:c r="J9" s="21" t="str">
        <x:v>OPEN</x:v>
      </x:c>
      <x:c r="K9" s="23" t="str">
        <x:f>IF(H9&gt;=0,"AVAILABLE","OVERLOAD")</x:f>
        <x:v>AVAILABLE</x:v>
      </x:c>
    </x:row>
    <x:row r="10">
      <x:c r="B10" s="21" t="str">
        <x:v>F01-Y4</x:v>
      </x:c>
      <x:c r="C10" s="21" t="str">
        <x:v>F01</x:v>
      </x:c>
      <x:c r="D10" s="21" t="str">
        <x:v>public metrology and calibration</x:v>
      </x:c>
      <x:c r="E10" s="21" t="n">
        <x:v>4</x:v>
      </x:c>
      <x:c r="F10" s="21" t="n">
        <x:v>220</x:v>
      </x:c>
      <x:c r="G10" s="21" t="n">
        <x:v>180</x:v>
      </x:c>
      <x:c r="H10" s="21" t="n">
        <x:f>F10-G10</x:f>
        <x:v>40</x:v>
      </x:c>
      <x:c r="I10" s="38" t="n">
        <x:f>G10/F10</x:f>
        <x:v>0.8181818181818182</x:v>
      </x:c>
      <x:c r="J10" s="21" t="str">
        <x:v>OPEN</x:v>
      </x:c>
      <x:c r="K10" s="23" t="str">
        <x:f>IF(H10&gt;=0,"AVAILABLE","OVERLOAD")</x:f>
        <x:v>AVAILABLE</x:v>
      </x:c>
    </x:row>
    <x:row r="11">
      <x:c r="B11" s="21" t="str">
        <x:v>F01-Y5</x:v>
      </x:c>
      <x:c r="C11" s="21" t="str">
        <x:v>F01</x:v>
      </x:c>
      <x:c r="D11" s="21" t="str">
        <x:v>public metrology and calibration</x:v>
      </x:c>
      <x:c r="E11" s="21" t="n">
        <x:v>5</x:v>
      </x:c>
      <x:c r="F11" s="21" t="n">
        <x:v>220</x:v>
      </x:c>
      <x:c r="G11" s="21" t="n">
        <x:v>160</x:v>
      </x:c>
      <x:c r="H11" s="21" t="n">
        <x:f>F11-G11</x:f>
        <x:v>60</x:v>
      </x:c>
      <x:c r="I11" s="38" t="n">
        <x:f>G11/F11</x:f>
        <x:v>0.7272727272727273</x:v>
      </x:c>
      <x:c r="J11" s="21" t="str">
        <x:v>OPEN</x:v>
      </x:c>
      <x:c r="K11" s="23" t="str">
        <x:f>IF(H11&gt;=0,"AVAILABLE","OVERLOAD")</x:f>
        <x:v>AVAILABLE</x:v>
      </x:c>
    </x:row>
    <x:row r="12">
      <x:c r="B12" s="21" t="str">
        <x:v>F01-Y6</x:v>
      </x:c>
      <x:c r="C12" s="21" t="str">
        <x:v>F01</x:v>
      </x:c>
      <x:c r="D12" s="21" t="str">
        <x:v>public metrology and calibration</x:v>
      </x:c>
      <x:c r="E12" s="21" t="n">
        <x:v>6</x:v>
      </x:c>
      <x:c r="F12" s="21" t="n">
        <x:v>220</x:v>
      </x:c>
      <x:c r="G12" s="21" t="n">
        <x:v>120</x:v>
      </x:c>
      <x:c r="H12" s="21" t="n">
        <x:f>F12-G12</x:f>
        <x:v>100</x:v>
      </x:c>
      <x:c r="I12" s="38" t="n">
        <x:f>G12/F12</x:f>
        <x:v>0.5454545454545454</x:v>
      </x:c>
      <x:c r="J12" s="21" t="str">
        <x:v>OPEN</x:v>
      </x:c>
      <x:c r="K12" s="23" t="str">
        <x:f>IF(H12&gt;=0,"AVAILABLE","OVERLOAD")</x:f>
        <x:v>AVAILABLE</x:v>
      </x:c>
    </x:row>
    <x:row r="13">
      <x:c r="B13" s="21" t="str">
        <x:v>F01-Y7</x:v>
      </x:c>
      <x:c r="C13" s="21" t="str">
        <x:v>F01</x:v>
      </x:c>
      <x:c r="D13" s="21" t="str">
        <x:v>public metrology and calibration</x:v>
      </x:c>
      <x:c r="E13" s="21" t="n">
        <x:v>7</x:v>
      </x:c>
      <x:c r="F13" s="21" t="n">
        <x:v>220</x:v>
      </x:c>
      <x:c r="G13" s="21" t="n">
        <x:v>100</x:v>
      </x:c>
      <x:c r="H13" s="21" t="n">
        <x:f>F13-G13</x:f>
        <x:v>120</x:v>
      </x:c>
      <x:c r="I13" s="38" t="n">
        <x:f>G13/F13</x:f>
        <x:v>0.45454545454545453</x:v>
      </x:c>
      <x:c r="J13" s="21" t="str">
        <x:v>OPEN</x:v>
      </x:c>
      <x:c r="K13" s="23" t="str">
        <x:f>IF(H13&gt;=0,"AVAILABLE","OVERLOAD")</x:f>
        <x:v>AVAILABLE</x:v>
      </x:c>
    </x:row>
    <x:row r="14">
      <x:c r="B14" s="21" t="str">
        <x:v>F01-Y8</x:v>
      </x:c>
      <x:c r="C14" s="21" t="str">
        <x:v>F01</x:v>
      </x:c>
      <x:c r="D14" s="21" t="str">
        <x:v>public metrology and calibration</x:v>
      </x:c>
      <x:c r="E14" s="21" t="n">
        <x:v>8</x:v>
      </x:c>
      <x:c r="F14" s="21" t="n">
        <x:v>220</x:v>
      </x:c>
      <x:c r="G14" s="21" t="n">
        <x:v>80</x:v>
      </x:c>
      <x:c r="H14" s="21" t="n">
        <x:f>F14-G14</x:f>
        <x:v>140</x:v>
      </x:c>
      <x:c r="I14" s="38" t="n">
        <x:f>G14/F14</x:f>
        <x:v>0.36363636363636365</x:v>
      </x:c>
      <x:c r="J14" s="21" t="str">
        <x:v>OPEN</x:v>
      </x:c>
      <x:c r="K14" s="23" t="str">
        <x:f>IF(H14&gt;=0,"AVAILABLE","OVERLOAD")</x:f>
        <x:v>AVAILABLE</x:v>
      </x:c>
    </x:row>
    <x:row r="15">
      <x:c r="B15" s="21" t="str">
        <x:v>F01-Y9</x:v>
      </x:c>
      <x:c r="C15" s="21" t="str">
        <x:v>F01</x:v>
      </x:c>
      <x:c r="D15" s="21" t="str">
        <x:v>public metrology and calibration</x:v>
      </x:c>
      <x:c r="E15" s="21" t="n">
        <x:v>9</x:v>
      </x:c>
      <x:c r="F15" s="21" t="n">
        <x:v>220</x:v>
      </x:c>
      <x:c r="G15" s="21" t="n">
        <x:v>60</x:v>
      </x:c>
      <x:c r="H15" s="21" t="n">
        <x:f>F15-G15</x:f>
        <x:v>160</x:v>
      </x:c>
      <x:c r="I15" s="38" t="n">
        <x:f>G15/F15</x:f>
        <x:v>0.2727272727272727</x:v>
      </x:c>
      <x:c r="J15" s="21" t="str">
        <x:v>OPEN</x:v>
      </x:c>
      <x:c r="K15" s="23" t="str">
        <x:f>IF(H15&gt;=0,"AVAILABLE","OVERLOAD")</x:f>
        <x:v>AVAILABLE</x:v>
      </x:c>
    </x:row>
    <x:row r="16">
      <x:c r="B16" s="21" t="str">
        <x:v>F02-Y1</x:v>
      </x:c>
      <x:c r="C16" s="21" t="str">
        <x:v>F02</x:v>
      </x:c>
      <x:c r="D16" s="21" t="str">
        <x:v>energy and fire-containment laboratory</x:v>
      </x:c>
      <x:c r="E16" s="21" t="n">
        <x:v>1</x:v>
      </x:c>
      <x:c r="F16" s="21" t="n">
        <x:v>180</x:v>
      </x:c>
      <x:c r="G16" s="21" t="n">
        <x:v>60</x:v>
      </x:c>
      <x:c r="H16" s="21" t="n">
        <x:f>F16-G16</x:f>
        <x:v>120</x:v>
      </x:c>
      <x:c r="I16" s="38" t="n">
        <x:f>G16/F16</x:f>
        <x:v>0.3333333333333333</x:v>
      </x:c>
      <x:c r="J16" s="21" t="str">
        <x:v>OPEN</x:v>
      </x:c>
      <x:c r="K16" s="23" t="str">
        <x:f>IF(H16&gt;=0,"AVAILABLE","OVERLOAD")</x:f>
        <x:v>AVAILABLE</x:v>
      </x:c>
    </x:row>
    <x:row r="17">
      <x:c r="B17" s="21" t="str">
        <x:v>F02-Y2</x:v>
      </x:c>
      <x:c r="C17" s="21" t="str">
        <x:v>F02</x:v>
      </x:c>
      <x:c r="D17" s="21" t="str">
        <x:v>energy and fire-containment laboratory</x:v>
      </x:c>
      <x:c r="E17" s="21" t="n">
        <x:v>2</x:v>
      </x:c>
      <x:c r="F17" s="21" t="n">
        <x:v>180</x:v>
      </x:c>
      <x:c r="G17" s="21" t="n">
        <x:v>140</x:v>
      </x:c>
      <x:c r="H17" s="21" t="n">
        <x:f>F17-G17</x:f>
        <x:v>40</x:v>
      </x:c>
      <x:c r="I17" s="38" t="n">
        <x:f>G17/F17</x:f>
        <x:v>0.7777777777777778</x:v>
      </x:c>
      <x:c r="J17" s="21" t="str">
        <x:v>OPEN</x:v>
      </x:c>
      <x:c r="K17" s="23" t="str">
        <x:f>IF(H17&gt;=0,"AVAILABLE","OVERLOAD")</x:f>
        <x:v>AVAILABLE</x:v>
      </x:c>
    </x:row>
    <x:row r="18">
      <x:c r="B18" s="21" t="str">
        <x:v>F02-Y3</x:v>
      </x:c>
      <x:c r="C18" s="21" t="str">
        <x:v>F02</x:v>
      </x:c>
      <x:c r="D18" s="21" t="str">
        <x:v>energy and fire-containment laboratory</x:v>
      </x:c>
      <x:c r="E18" s="21" t="n">
        <x:v>3</x:v>
      </x:c>
      <x:c r="F18" s="21" t="n">
        <x:v>180</x:v>
      </x:c>
      <x:c r="G18" s="21" t="n">
        <x:v>160</x:v>
      </x:c>
      <x:c r="H18" s="21" t="n">
        <x:f>F18-G18</x:f>
        <x:v>20</x:v>
      </x:c>
      <x:c r="I18" s="38" t="n">
        <x:f>G18/F18</x:f>
        <x:v>0.8888888888888888</x:v>
      </x:c>
      <x:c r="J18" s="21" t="str">
        <x:v>OPEN</x:v>
      </x:c>
      <x:c r="K18" s="23" t="str">
        <x:f>IF(H18&gt;=0,"AVAILABLE","OVERLOAD")</x:f>
        <x:v>AVAILABLE</x:v>
      </x:c>
    </x:row>
    <x:row r="19">
      <x:c r="B19" s="21" t="str">
        <x:v>F02-Y4</x:v>
      </x:c>
      <x:c r="C19" s="21" t="str">
        <x:v>F02</x:v>
      </x:c>
      <x:c r="D19" s="21" t="str">
        <x:v>energy and fire-containment laboratory</x:v>
      </x:c>
      <x:c r="E19" s="21" t="n">
        <x:v>4</x:v>
      </x:c>
      <x:c r="F19" s="21" t="n">
        <x:v>180</x:v>
      </x:c>
      <x:c r="G19" s="21" t="n">
        <x:v>150</x:v>
      </x:c>
      <x:c r="H19" s="21" t="n">
        <x:f>F19-G19</x:f>
        <x:v>30</x:v>
      </x:c>
      <x:c r="I19" s="38" t="n">
        <x:f>G19/F19</x:f>
        <x:v>0.8333333333333334</x:v>
      </x:c>
      <x:c r="J19" s="21" t="str">
        <x:v>OPEN</x:v>
      </x:c>
      <x:c r="K19" s="23" t="str">
        <x:f>IF(H19&gt;=0,"AVAILABLE","OVERLOAD")</x:f>
        <x:v>AVAILABLE</x:v>
      </x:c>
    </x:row>
    <x:row r="20">
      <x:c r="B20" s="21" t="str">
        <x:v>F02-Y5</x:v>
      </x:c>
      <x:c r="C20" s="21" t="str">
        <x:v>F02</x:v>
      </x:c>
      <x:c r="D20" s="21" t="str">
        <x:v>energy and fire-containment laboratory</x:v>
      </x:c>
      <x:c r="E20" s="21" t="n">
        <x:v>5</x:v>
      </x:c>
      <x:c r="F20" s="21" t="n">
        <x:v>180</x:v>
      </x:c>
      <x:c r="G20" s="21" t="n">
        <x:v>100</x:v>
      </x:c>
      <x:c r="H20" s="21" t="n">
        <x:f>F20-G20</x:f>
        <x:v>80</x:v>
      </x:c>
      <x:c r="I20" s="38" t="n">
        <x:f>G20/F20</x:f>
        <x:v>0.5555555555555556</x:v>
      </x:c>
      <x:c r="J20" s="21" t="str">
        <x:v>OPEN</x:v>
      </x:c>
      <x:c r="K20" s="23" t="str">
        <x:f>IF(H20&gt;=0,"AVAILABLE","OVERLOAD")</x:f>
        <x:v>AVAILABLE</x:v>
      </x:c>
    </x:row>
    <x:row r="21">
      <x:c r="B21" s="21" t="str">
        <x:v>F02-Y6</x:v>
      </x:c>
      <x:c r="C21" s="21" t="str">
        <x:v>F02</x:v>
      </x:c>
      <x:c r="D21" s="21" t="str">
        <x:v>energy and fire-containment laboratory</x:v>
      </x:c>
      <x:c r="E21" s="21" t="n">
        <x:v>6</x:v>
      </x:c>
      <x:c r="F21" s="21" t="n">
        <x:v>180</x:v>
      </x:c>
      <x:c r="G21" s="21" t="n">
        <x:v>80</x:v>
      </x:c>
      <x:c r="H21" s="21" t="n">
        <x:f>F21-G21</x:f>
        <x:v>100</x:v>
      </x:c>
      <x:c r="I21" s="38" t="n">
        <x:f>G21/F21</x:f>
        <x:v>0.4444444444444444</x:v>
      </x:c>
      <x:c r="J21" s="21" t="str">
        <x:v>OPEN</x:v>
      </x:c>
      <x:c r="K21" s="23" t="str">
        <x:f>IF(H21&gt;=0,"AVAILABLE","OVERLOAD")</x:f>
        <x:v>AVAILABLE</x:v>
      </x:c>
    </x:row>
    <x:row r="22">
      <x:c r="B22" s="21" t="str">
        <x:v>F02-Y7</x:v>
      </x:c>
      <x:c r="C22" s="21" t="str">
        <x:v>F02</x:v>
      </x:c>
      <x:c r="D22" s="21" t="str">
        <x:v>energy and fire-containment laboratory</x:v>
      </x:c>
      <x:c r="E22" s="21" t="n">
        <x:v>7</x:v>
      </x:c>
      <x:c r="F22" s="21" t="n">
        <x:v>180</x:v>
      </x:c>
      <x:c r="G22" s="21" t="n">
        <x:v>60</x:v>
      </x:c>
      <x:c r="H22" s="21" t="n">
        <x:f>F22-G22</x:f>
        <x:v>120</x:v>
      </x:c>
      <x:c r="I22" s="38" t="n">
        <x:f>G22/F22</x:f>
        <x:v>0.3333333333333333</x:v>
      </x:c>
      <x:c r="J22" s="21" t="str">
        <x:v>OPEN</x:v>
      </x:c>
      <x:c r="K22" s="23" t="str">
        <x:f>IF(H22&gt;=0,"AVAILABLE","OVERLOAD")</x:f>
        <x:v>AVAILABLE</x:v>
      </x:c>
    </x:row>
    <x:row r="23">
      <x:c r="B23" s="21" t="str">
        <x:v>F02-Y8</x:v>
      </x:c>
      <x:c r="C23" s="21" t="str">
        <x:v>F02</x:v>
      </x:c>
      <x:c r="D23" s="21" t="str">
        <x:v>energy and fire-containment laboratory</x:v>
      </x:c>
      <x:c r="E23" s="21" t="n">
        <x:v>8</x:v>
      </x:c>
      <x:c r="F23" s="21" t="n">
        <x:v>180</x:v>
      </x:c>
      <x:c r="G23" s="21" t="n">
        <x:v>40</x:v>
      </x:c>
      <x:c r="H23" s="21" t="n">
        <x:f>F23-G23</x:f>
        <x:v>140</x:v>
      </x:c>
      <x:c r="I23" s="38" t="n">
        <x:f>G23/F23</x:f>
        <x:v>0.2222222222222222</x:v>
      </x:c>
      <x:c r="J23" s="21" t="str">
        <x:v>OPEN</x:v>
      </x:c>
      <x:c r="K23" s="23" t="str">
        <x:f>IF(H23&gt;=0,"AVAILABLE","OVERLOAD")</x:f>
        <x:v>AVAILABLE</x:v>
      </x:c>
    </x:row>
    <x:row r="24">
      <x:c r="B24" s="21" t="str">
        <x:v>F02-Y9</x:v>
      </x:c>
      <x:c r="C24" s="21" t="str">
        <x:v>F02</x:v>
      </x:c>
      <x:c r="D24" s="21" t="str">
        <x:v>energy and fire-containment laboratory</x:v>
      </x:c>
      <x:c r="E24" s="21" t="n">
        <x:v>9</x:v>
      </x:c>
      <x:c r="F24" s="21" t="n">
        <x:v>180</x:v>
      </x:c>
      <x:c r="G24" s="21" t="n">
        <x:v>30</x:v>
      </x:c>
      <x:c r="H24" s="21" t="n">
        <x:f>F24-G24</x:f>
        <x:v>150</x:v>
      </x:c>
      <x:c r="I24" s="38" t="n">
        <x:f>G24/F24</x:f>
        <x:v>0.16666666666666666</x:v>
      </x:c>
      <x:c r="J24" s="21" t="str">
        <x:v>OPEN</x:v>
      </x:c>
      <x:c r="K24" s="23" t="str">
        <x:f>IF(H24&gt;=0,"AVAILABLE","OVERLOAD")</x:f>
        <x:v>AVAILABLE</x:v>
      </x:c>
    </x:row>
    <x:row r="25">
      <x:c r="B25" s="21" t="str">
        <x:v>F03-Y1</x:v>
      </x:c>
      <x:c r="C25" s="21" t="str">
        <x:v>F03</x:v>
      </x:c>
      <x:c r="D25" s="21" t="str">
        <x:v>materials and pressure-skin laboratory</x:v>
      </x:c>
      <x:c r="E25" s="21" t="n">
        <x:v>1</x:v>
      </x:c>
      <x:c r="F25" s="21" t="n">
        <x:v>220</x:v>
      </x:c>
      <x:c r="G25" s="21" t="n">
        <x:v>40</x:v>
      </x:c>
      <x:c r="H25" s="21" t="n">
        <x:f>F25-G25</x:f>
        <x:v>180</x:v>
      </x:c>
      <x:c r="I25" s="38" t="n">
        <x:f>G25/F25</x:f>
        <x:v>0.18181818181818182</x:v>
      </x:c>
      <x:c r="J25" s="21" t="str">
        <x:v>OPEN</x:v>
      </x:c>
      <x:c r="K25" s="23" t="str">
        <x:f>IF(H25&gt;=0,"AVAILABLE","OVERLOAD")</x:f>
        <x:v>AVAILABLE</x:v>
      </x:c>
    </x:row>
    <x:row r="26">
      <x:c r="B26" s="21" t="str">
        <x:v>F03-Y2</x:v>
      </x:c>
      <x:c r="C26" s="21" t="str">
        <x:v>F03</x:v>
      </x:c>
      <x:c r="D26" s="21" t="str">
        <x:v>materials and pressure-skin laboratory</x:v>
      </x:c>
      <x:c r="E26" s="21" t="n">
        <x:v>2</x:v>
      </x:c>
      <x:c r="F26" s="21" t="n">
        <x:v>220</x:v>
      </x:c>
      <x:c r="G26" s="21" t="n">
        <x:v>120</x:v>
      </x:c>
      <x:c r="H26" s="21" t="n">
        <x:f>F26-G26</x:f>
        <x:v>100</x:v>
      </x:c>
      <x:c r="I26" s="38" t="n">
        <x:f>G26/F26</x:f>
        <x:v>0.5454545454545454</x:v>
      </x:c>
      <x:c r="J26" s="21" t="str">
        <x:v>OPEN</x:v>
      </x:c>
      <x:c r="K26" s="23" t="str">
        <x:f>IF(H26&gt;=0,"AVAILABLE","OVERLOAD")</x:f>
        <x:v>AVAILABLE</x:v>
      </x:c>
    </x:row>
    <x:row r="27">
      <x:c r="B27" s="21" t="str">
        <x:v>F03-Y3</x:v>
      </x:c>
      <x:c r="C27" s="21" t="str">
        <x:v>F03</x:v>
      </x:c>
      <x:c r="D27" s="21" t="str">
        <x:v>materials and pressure-skin laboratory</x:v>
      </x:c>
      <x:c r="E27" s="21" t="n">
        <x:v>3</x:v>
      </x:c>
      <x:c r="F27" s="21" t="n">
        <x:v>220</x:v>
      </x:c>
      <x:c r="G27" s="21" t="n">
        <x:v>180</x:v>
      </x:c>
      <x:c r="H27" s="21" t="n">
        <x:f>F27-G27</x:f>
        <x:v>40</x:v>
      </x:c>
      <x:c r="I27" s="38" t="n">
        <x:f>G27/F27</x:f>
        <x:v>0.8181818181818182</x:v>
      </x:c>
      <x:c r="J27" s="21" t="str">
        <x:v>OPEN</x:v>
      </x:c>
      <x:c r="K27" s="23" t="str">
        <x:f>IF(H27&gt;=0,"AVAILABLE","OVERLOAD")</x:f>
        <x:v>AVAILABLE</x:v>
      </x:c>
    </x:row>
    <x:row r="28">
      <x:c r="B28" s="21" t="str">
        <x:v>F03-Y4</x:v>
      </x:c>
      <x:c r="C28" s="21" t="str">
        <x:v>F03</x:v>
      </x:c>
      <x:c r="D28" s="21" t="str">
        <x:v>materials and pressure-skin laboratory</x:v>
      </x:c>
      <x:c r="E28" s="21" t="n">
        <x:v>4</x:v>
      </x:c>
      <x:c r="F28" s="21" t="n">
        <x:v>220</x:v>
      </x:c>
      <x:c r="G28" s="21" t="n">
        <x:v>200</x:v>
      </x:c>
      <x:c r="H28" s="21" t="n">
        <x:f>F28-G28</x:f>
        <x:v>20</x:v>
      </x:c>
      <x:c r="I28" s="38" t="n">
        <x:f>G28/F28</x:f>
        <x:v>0.9090909090909091</x:v>
      </x:c>
      <x:c r="J28" s="21" t="str">
        <x:v>OPEN</x:v>
      </x:c>
      <x:c r="K28" s="23" t="str">
        <x:f>IF(H28&gt;=0,"AVAILABLE","OVERLOAD")</x:f>
        <x:v>AVAILABLE</x:v>
      </x:c>
    </x:row>
    <x:row r="29">
      <x:c r="B29" s="21" t="str">
        <x:v>F03-Y5</x:v>
      </x:c>
      <x:c r="C29" s="21" t="str">
        <x:v>F03</x:v>
      </x:c>
      <x:c r="D29" s="21" t="str">
        <x:v>materials and pressure-skin laboratory</x:v>
      </x:c>
      <x:c r="E29" s="21" t="n">
        <x:v>5</x:v>
      </x:c>
      <x:c r="F29" s="21" t="n">
        <x:v>220</x:v>
      </x:c>
      <x:c r="G29" s="21" t="n">
        <x:v>190</x:v>
      </x:c>
      <x:c r="H29" s="21" t="n">
        <x:f>F29-G29</x:f>
        <x:v>30</x:v>
      </x:c>
      <x:c r="I29" s="38" t="n">
        <x:f>G29/F29</x:f>
        <x:v>0.8636363636363636</x:v>
      </x:c>
      <x:c r="J29" s="21" t="str">
        <x:v>OPEN</x:v>
      </x:c>
      <x:c r="K29" s="23" t="str">
        <x:f>IF(H29&gt;=0,"AVAILABLE","OVERLOAD")</x:f>
        <x:v>AVAILABLE</x:v>
      </x:c>
    </x:row>
    <x:row r="30">
      <x:c r="B30" s="21" t="str">
        <x:v>F03-Y6</x:v>
      </x:c>
      <x:c r="C30" s="21" t="str">
        <x:v>F03</x:v>
      </x:c>
      <x:c r="D30" s="21" t="str">
        <x:v>materials and pressure-skin laboratory</x:v>
      </x:c>
      <x:c r="E30" s="21" t="n">
        <x:v>6</x:v>
      </x:c>
      <x:c r="F30" s="21" t="n">
        <x:v>220</x:v>
      </x:c>
      <x:c r="G30" s="21" t="n">
        <x:v>160</x:v>
      </x:c>
      <x:c r="H30" s="21" t="n">
        <x:f>F30-G30</x:f>
        <x:v>60</x:v>
      </x:c>
      <x:c r="I30" s="38" t="n">
        <x:f>G30/F30</x:f>
        <x:v>0.7272727272727273</x:v>
      </x:c>
      <x:c r="J30" s="21" t="str">
        <x:v>OPEN</x:v>
      </x:c>
      <x:c r="K30" s="23" t="str">
        <x:f>IF(H30&gt;=0,"AVAILABLE","OVERLOAD")</x:f>
        <x:v>AVAILABLE</x:v>
      </x:c>
    </x:row>
    <x:row r="31">
      <x:c r="B31" s="21" t="str">
        <x:v>F03-Y7</x:v>
      </x:c>
      <x:c r="C31" s="21" t="str">
        <x:v>F03</x:v>
      </x:c>
      <x:c r="D31" s="21" t="str">
        <x:v>materials and pressure-skin laboratory</x:v>
      </x:c>
      <x:c r="E31" s="21" t="n">
        <x:v>7</x:v>
      </x:c>
      <x:c r="F31" s="21" t="n">
        <x:v>220</x:v>
      </x:c>
      <x:c r="G31" s="21" t="n">
        <x:v>100</x:v>
      </x:c>
      <x:c r="H31" s="21" t="n">
        <x:f>F31-G31</x:f>
        <x:v>120</x:v>
      </x:c>
      <x:c r="I31" s="38" t="n">
        <x:f>G31/F31</x:f>
        <x:v>0.45454545454545453</x:v>
      </x:c>
      <x:c r="J31" s="21" t="str">
        <x:v>OPEN</x:v>
      </x:c>
      <x:c r="K31" s="23" t="str">
        <x:f>IF(H31&gt;=0,"AVAILABLE","OVERLOAD")</x:f>
        <x:v>AVAILABLE</x:v>
      </x:c>
    </x:row>
    <x:row r="32">
      <x:c r="B32" s="21" t="str">
        <x:v>F03-Y8</x:v>
      </x:c>
      <x:c r="C32" s="21" t="str">
        <x:v>F03</x:v>
      </x:c>
      <x:c r="D32" s="21" t="str">
        <x:v>materials and pressure-skin laboratory</x:v>
      </x:c>
      <x:c r="E32" s="21" t="n">
        <x:v>8</x:v>
      </x:c>
      <x:c r="F32" s="21" t="n">
        <x:v>220</x:v>
      </x:c>
      <x:c r="G32" s="21" t="n">
        <x:v>60</x:v>
      </x:c>
      <x:c r="H32" s="21" t="n">
        <x:f>F32-G32</x:f>
        <x:v>160</x:v>
      </x:c>
      <x:c r="I32" s="38" t="n">
        <x:f>G32/F32</x:f>
        <x:v>0.2727272727272727</x:v>
      </x:c>
      <x:c r="J32" s="21" t="str">
        <x:v>OPEN</x:v>
      </x:c>
      <x:c r="K32" s="23" t="str">
        <x:f>IF(H32&gt;=0,"AVAILABLE","OVERLOAD")</x:f>
        <x:v>AVAILABLE</x:v>
      </x:c>
    </x:row>
    <x:row r="33">
      <x:c r="B33" s="21" t="str">
        <x:v>F03-Y9</x:v>
      </x:c>
      <x:c r="C33" s="21" t="str">
        <x:v>F03</x:v>
      </x:c>
      <x:c r="D33" s="21" t="str">
        <x:v>materials and pressure-skin laboratory</x:v>
      </x:c>
      <x:c r="E33" s="21" t="n">
        <x:v>9</x:v>
      </x:c>
      <x:c r="F33" s="21" t="n">
        <x:v>220</x:v>
      </x:c>
      <x:c r="G33" s="21" t="n">
        <x:v>40</x:v>
      </x:c>
      <x:c r="H33" s="21" t="n">
        <x:f>F33-G33</x:f>
        <x:v>180</x:v>
      </x:c>
      <x:c r="I33" s="38" t="n">
        <x:f>G33/F33</x:f>
        <x:v>0.18181818181818182</x:v>
      </x:c>
      <x:c r="J33" s="21" t="str">
        <x:v>OPEN</x:v>
      </x:c>
      <x:c r="K33" s="23" t="str">
        <x:f>IF(H33&gt;=0,"AVAILABLE","OVERLOAD")</x:f>
        <x:v>AVAILABLE</x:v>
      </x:c>
    </x:row>
    <x:row r="34">
      <x:c r="B34" s="21" t="str">
        <x:v>F04-Y1</x:v>
      </x:c>
      <x:c r="C34" s="21" t="str">
        <x:v>F04</x:v>
      </x:c>
      <x:c r="D34" s="21" t="str">
        <x:v>environmental exposure complex</x:v>
      </x:c>
      <x:c r="E34" s="21" t="n">
        <x:v>1</x:v>
      </x:c>
      <x:c r="F34" s="21" t="n">
        <x:v>200</x:v>
      </x:c>
      <x:c r="G34" s="21" t="n">
        <x:v>20</x:v>
      </x:c>
      <x:c r="H34" s="21" t="n">
        <x:f>F34-G34</x:f>
        <x:v>180</x:v>
      </x:c>
      <x:c r="I34" s="38" t="n">
        <x:f>G34/F34</x:f>
        <x:v>0.1</x:v>
      </x:c>
      <x:c r="J34" s="21" t="str">
        <x:v>OPEN</x:v>
      </x:c>
      <x:c r="K34" s="23" t="str">
        <x:f>IF(H34&gt;=0,"AVAILABLE","OVERLOAD")</x:f>
        <x:v>AVAILABLE</x:v>
      </x:c>
    </x:row>
    <x:row r="35">
      <x:c r="B35" s="21" t="str">
        <x:v>F04-Y2</x:v>
      </x:c>
      <x:c r="C35" s="21" t="str">
        <x:v>F04</x:v>
      </x:c>
      <x:c r="D35" s="21" t="str">
        <x:v>environmental exposure complex</x:v>
      </x:c>
      <x:c r="E35" s="21" t="n">
        <x:v>2</x:v>
      </x:c>
      <x:c r="F35" s="21" t="n">
        <x:v>200</x:v>
      </x:c>
      <x:c r="G35" s="21" t="n">
        <x:v>100</x:v>
      </x:c>
      <x:c r="H35" s="21" t="n">
        <x:f>F35-G35</x:f>
        <x:v>100</x:v>
      </x:c>
      <x:c r="I35" s="38" t="n">
        <x:f>G35/F35</x:f>
        <x:v>0.5</x:v>
      </x:c>
      <x:c r="J35" s="21" t="str">
        <x:v>OPEN</x:v>
      </x:c>
      <x:c r="K35" s="23" t="str">
        <x:f>IF(H35&gt;=0,"AVAILABLE","OVERLOAD")</x:f>
        <x:v>AVAILABLE</x:v>
      </x:c>
    </x:row>
    <x:row r="36">
      <x:c r="B36" s="21" t="str">
        <x:v>F04-Y3</x:v>
      </x:c>
      <x:c r="C36" s="21" t="str">
        <x:v>F04</x:v>
      </x:c>
      <x:c r="D36" s="21" t="str">
        <x:v>environmental exposure complex</x:v>
      </x:c>
      <x:c r="E36" s="21" t="n">
        <x:v>3</x:v>
      </x:c>
      <x:c r="F36" s="21" t="n">
        <x:v>200</x:v>
      </x:c>
      <x:c r="G36" s="21" t="n">
        <x:v>170</x:v>
      </x:c>
      <x:c r="H36" s="21" t="n">
        <x:f>F36-G36</x:f>
        <x:v>30</x:v>
      </x:c>
      <x:c r="I36" s="38" t="n">
        <x:f>G36/F36</x:f>
        <x:v>0.85</x:v>
      </x:c>
      <x:c r="J36" s="21" t="str">
        <x:v>OPEN</x:v>
      </x:c>
      <x:c r="K36" s="23" t="str">
        <x:f>IF(H36&gt;=0,"AVAILABLE","OVERLOAD")</x:f>
        <x:v>AVAILABLE</x:v>
      </x:c>
    </x:row>
    <x:row r="37">
      <x:c r="B37" s="21" t="str">
        <x:v>F04-Y4</x:v>
      </x:c>
      <x:c r="C37" s="21" t="str">
        <x:v>F04</x:v>
      </x:c>
      <x:c r="D37" s="21" t="str">
        <x:v>environmental exposure complex</x:v>
      </x:c>
      <x:c r="E37" s="21" t="n">
        <x:v>4</x:v>
      </x:c>
      <x:c r="F37" s="21" t="n">
        <x:v>200</x:v>
      </x:c>
      <x:c r="G37" s="21" t="n">
        <x:v>180</x:v>
      </x:c>
      <x:c r="H37" s="21" t="n">
        <x:f>F37-G37</x:f>
        <x:v>20</x:v>
      </x:c>
      <x:c r="I37" s="38" t="n">
        <x:f>G37/F37</x:f>
        <x:v>0.9</x:v>
      </x:c>
      <x:c r="J37" s="21" t="str">
        <x:v>OPEN</x:v>
      </x:c>
      <x:c r="K37" s="23" t="str">
        <x:f>IF(H37&gt;=0,"AVAILABLE","OVERLOAD")</x:f>
        <x:v>AVAILABLE</x:v>
      </x:c>
    </x:row>
    <x:row r="38">
      <x:c r="B38" s="21" t="str">
        <x:v>F04-Y5</x:v>
      </x:c>
      <x:c r="C38" s="21" t="str">
        <x:v>F04</x:v>
      </x:c>
      <x:c r="D38" s="21" t="str">
        <x:v>environmental exposure complex</x:v>
      </x:c>
      <x:c r="E38" s="21" t="n">
        <x:v>5</x:v>
      </x:c>
      <x:c r="F38" s="21" t="n">
        <x:v>200</x:v>
      </x:c>
      <x:c r="G38" s="21" t="n">
        <x:v>180</x:v>
      </x:c>
      <x:c r="H38" s="21" t="n">
        <x:f>F38-G38</x:f>
        <x:v>20</x:v>
      </x:c>
      <x:c r="I38" s="38" t="n">
        <x:f>G38/F38</x:f>
        <x:v>0.9</x:v>
      </x:c>
      <x:c r="J38" s="21" t="str">
        <x:v>OPEN</x:v>
      </x:c>
      <x:c r="K38" s="23" t="str">
        <x:f>IF(H38&gt;=0,"AVAILABLE","OVERLOAD")</x:f>
        <x:v>AVAILABLE</x:v>
      </x:c>
    </x:row>
    <x:row r="39">
      <x:c r="B39" s="21" t="str">
        <x:v>F04-Y6</x:v>
      </x:c>
      <x:c r="C39" s="21" t="str">
        <x:v>F04</x:v>
      </x:c>
      <x:c r="D39" s="21" t="str">
        <x:v>environmental exposure complex</x:v>
      </x:c>
      <x:c r="E39" s="21" t="n">
        <x:v>6</x:v>
      </x:c>
      <x:c r="F39" s="21" t="n">
        <x:v>200</x:v>
      </x:c>
      <x:c r="G39" s="21" t="n">
        <x:v>160</x:v>
      </x:c>
      <x:c r="H39" s="21" t="n">
        <x:f>F39-G39</x:f>
        <x:v>40</x:v>
      </x:c>
      <x:c r="I39" s="38" t="n">
        <x:f>G39/F39</x:f>
        <x:v>0.8</x:v>
      </x:c>
      <x:c r="J39" s="21" t="str">
        <x:v>OPEN</x:v>
      </x:c>
      <x:c r="K39" s="23" t="str">
        <x:f>IF(H39&gt;=0,"AVAILABLE","OVERLOAD")</x:f>
        <x:v>AVAILABLE</x:v>
      </x:c>
    </x:row>
    <x:row r="40">
      <x:c r="B40" s="21" t="str">
        <x:v>F04-Y7</x:v>
      </x:c>
      <x:c r="C40" s="21" t="str">
        <x:v>F04</x:v>
      </x:c>
      <x:c r="D40" s="21" t="str">
        <x:v>environmental exposure complex</x:v>
      </x:c>
      <x:c r="E40" s="21" t="n">
        <x:v>7</x:v>
      </x:c>
      <x:c r="F40" s="21" t="n">
        <x:v>200</x:v>
      </x:c>
      <x:c r="G40" s="21" t="n">
        <x:v>120</x:v>
      </x:c>
      <x:c r="H40" s="21" t="n">
        <x:f>F40-G40</x:f>
        <x:v>80</x:v>
      </x:c>
      <x:c r="I40" s="38" t="n">
        <x:f>G40/F40</x:f>
        <x:v>0.6</x:v>
      </x:c>
      <x:c r="J40" s="21" t="str">
        <x:v>OPEN</x:v>
      </x:c>
      <x:c r="K40" s="23" t="str">
        <x:f>IF(H40&gt;=0,"AVAILABLE","OVERLOAD")</x:f>
        <x:v>AVAILABLE</x:v>
      </x:c>
    </x:row>
    <x:row r="41">
      <x:c r="B41" s="21" t="str">
        <x:v>F04-Y8</x:v>
      </x:c>
      <x:c r="C41" s="21" t="str">
        <x:v>F04</x:v>
      </x:c>
      <x:c r="D41" s="21" t="str">
        <x:v>environmental exposure complex</x:v>
      </x:c>
      <x:c r="E41" s="21" t="n">
        <x:v>8</x:v>
      </x:c>
      <x:c r="F41" s="21" t="n">
        <x:v>200</x:v>
      </x:c>
      <x:c r="G41" s="21" t="n">
        <x:v>80</x:v>
      </x:c>
      <x:c r="H41" s="21" t="n">
        <x:f>F41-G41</x:f>
        <x:v>120</x:v>
      </x:c>
      <x:c r="I41" s="38" t="n">
        <x:f>G41/F41</x:f>
        <x:v>0.4</x:v>
      </x:c>
      <x:c r="J41" s="21" t="str">
        <x:v>OPEN</x:v>
      </x:c>
      <x:c r="K41" s="23" t="str">
        <x:f>IF(H41&gt;=0,"AVAILABLE","OVERLOAD")</x:f>
        <x:v>AVAILABLE</x:v>
      </x:c>
    </x:row>
    <x:row r="42">
      <x:c r="B42" s="21" t="str">
        <x:v>F04-Y9</x:v>
      </x:c>
      <x:c r="C42" s="21" t="str">
        <x:v>F04</x:v>
      </x:c>
      <x:c r="D42" s="21" t="str">
        <x:v>environmental exposure complex</x:v>
      </x:c>
      <x:c r="E42" s="21" t="n">
        <x:v>9</x:v>
      </x:c>
      <x:c r="F42" s="21" t="n">
        <x:v>200</x:v>
      </x:c>
      <x:c r="G42" s="21" t="n">
        <x:v>40</x:v>
      </x:c>
      <x:c r="H42" s="21" t="n">
        <x:f>F42-G42</x:f>
        <x:v>160</x:v>
      </x:c>
      <x:c r="I42" s="38" t="n">
        <x:f>G42/F42</x:f>
        <x:v>0.2</x:v>
      </x:c>
      <x:c r="J42" s="21" t="str">
        <x:v>OPEN</x:v>
      </x:c>
      <x:c r="K42" s="23" t="str">
        <x:f>IF(H42&gt;=0,"AVAILABLE","OVERLOAD")</x:f>
        <x:v>AVAILABLE</x:v>
      </x:c>
    </x:row>
    <x:row r="43">
      <x:c r="B43" s="21" t="str">
        <x:v>F05-Y1</x:v>
      </x:c>
      <x:c r="C43" s="21" t="str">
        <x:v>F05</x:v>
      </x:c>
      <x:c r="D43" s="21" t="str">
        <x:v>air carrier systems range</x:v>
      </x:c>
      <x:c r="E43" s="21" t="n">
        <x:v>1</x:v>
      </x:c>
      <x:c r="F43" s="21" t="n">
        <x:v>140</x:v>
      </x:c>
      <x:c r="G43" s="21" t="n">
        <x:v>0</x:v>
      </x:c>
      <x:c r="H43" s="21" t="n">
        <x:f>F43-G43</x:f>
        <x:v>140</x:v>
      </x:c>
      <x:c r="I43" s="38" t="n">
        <x:f>G43/F43</x:f>
        <x:v>0</x:v>
      </x:c>
      <x:c r="J43" s="21" t="str">
        <x:v>OPEN</x:v>
      </x:c>
      <x:c r="K43" s="23" t="str">
        <x:f>IF(H43&gt;=0,"AVAILABLE","OVERLOAD")</x:f>
        <x:v>AVAILABLE</x:v>
      </x:c>
    </x:row>
    <x:row r="44">
      <x:c r="B44" s="21" t="str">
        <x:v>F05-Y2</x:v>
      </x:c>
      <x:c r="C44" s="21" t="str">
        <x:v>F05</x:v>
      </x:c>
      <x:c r="D44" s="21" t="str">
        <x:v>air carrier systems range</x:v>
      </x:c>
      <x:c r="E44" s="21" t="n">
        <x:v>2</x:v>
      </x:c>
      <x:c r="F44" s="21" t="n">
        <x:v>140</x:v>
      </x:c>
      <x:c r="G44" s="21" t="n">
        <x:v>20</x:v>
      </x:c>
      <x:c r="H44" s="21" t="n">
        <x:f>F44-G44</x:f>
        <x:v>120</x:v>
      </x:c>
      <x:c r="I44" s="38" t="n">
        <x:f>G44/F44</x:f>
        <x:v>0.14285714285714285</x:v>
      </x:c>
      <x:c r="J44" s="21" t="str">
        <x:v>OPEN</x:v>
      </x:c>
      <x:c r="K44" s="23" t="str">
        <x:f>IF(H44&gt;=0,"AVAILABLE","OVERLOAD")</x:f>
        <x:v>AVAILABLE</x:v>
      </x:c>
    </x:row>
    <x:row r="45">
      <x:c r="B45" s="21" t="str">
        <x:v>F05-Y3</x:v>
      </x:c>
      <x:c r="C45" s="21" t="str">
        <x:v>F05</x:v>
      </x:c>
      <x:c r="D45" s="21" t="str">
        <x:v>air carrier systems range</x:v>
      </x:c>
      <x:c r="E45" s="21" t="n">
        <x:v>3</x:v>
      </x:c>
      <x:c r="F45" s="21" t="n">
        <x:v>140</x:v>
      </x:c>
      <x:c r="G45" s="21" t="n">
        <x:v>60</x:v>
      </x:c>
      <x:c r="H45" s="21" t="n">
        <x:f>F45-G45</x:f>
        <x:v>80</x:v>
      </x:c>
      <x:c r="I45" s="38" t="n">
        <x:f>G45/F45</x:f>
        <x:v>0.42857142857142855</x:v>
      </x:c>
      <x:c r="J45" s="21" t="str">
        <x:v>OPEN</x:v>
      </x:c>
      <x:c r="K45" s="23" t="str">
        <x:f>IF(H45&gt;=0,"AVAILABLE","OVERLOAD")</x:f>
        <x:v>AVAILABLE</x:v>
      </x:c>
    </x:row>
    <x:row r="46">
      <x:c r="B46" s="21" t="str">
        <x:v>F05-Y4</x:v>
      </x:c>
      <x:c r="C46" s="21" t="str">
        <x:v>F05</x:v>
      </x:c>
      <x:c r="D46" s="21" t="str">
        <x:v>air carrier systems range</x:v>
      </x:c>
      <x:c r="E46" s="21" t="n">
        <x:v>4</x:v>
      </x:c>
      <x:c r="F46" s="21" t="n">
        <x:v>140</x:v>
      </x:c>
      <x:c r="G46" s="21" t="n">
        <x:v>100</x:v>
      </x:c>
      <x:c r="H46" s="21" t="n">
        <x:f>F46-G46</x:f>
        <x:v>40</x:v>
      </x:c>
      <x:c r="I46" s="38" t="n">
        <x:f>G46/F46</x:f>
        <x:v>0.7142857142857143</x:v>
      </x:c>
      <x:c r="J46" s="21" t="str">
        <x:v>OPEN</x:v>
      </x:c>
      <x:c r="K46" s="23" t="str">
        <x:f>IF(H46&gt;=0,"AVAILABLE","OVERLOAD")</x:f>
        <x:v>AVAILABLE</x:v>
      </x:c>
    </x:row>
    <x:row r="47">
      <x:c r="B47" s="21" t="str">
        <x:v>F05-Y5</x:v>
      </x:c>
      <x:c r="C47" s="21" t="str">
        <x:v>F05</x:v>
      </x:c>
      <x:c r="D47" s="21" t="str">
        <x:v>air carrier systems range</x:v>
      </x:c>
      <x:c r="E47" s="21" t="n">
        <x:v>5</x:v>
      </x:c>
      <x:c r="F47" s="21" t="n">
        <x:v>140</x:v>
      </x:c>
      <x:c r="G47" s="21" t="n">
        <x:v>120</x:v>
      </x:c>
      <x:c r="H47" s="21" t="n">
        <x:f>F47-G47</x:f>
        <x:v>20</x:v>
      </x:c>
      <x:c r="I47" s="38" t="n">
        <x:f>G47/F47</x:f>
        <x:v>0.8571428571428571</x:v>
      </x:c>
      <x:c r="J47" s="21" t="str">
        <x:v>OPEN</x:v>
      </x:c>
      <x:c r="K47" s="23" t="str">
        <x:f>IF(H47&gt;=0,"AVAILABLE","OVERLOAD")</x:f>
        <x:v>AVAILABLE</x:v>
      </x:c>
    </x:row>
    <x:row r="48">
      <x:c r="B48" s="21" t="str">
        <x:v>F05-Y6</x:v>
      </x:c>
      <x:c r="C48" s="21" t="str">
        <x:v>F05</x:v>
      </x:c>
      <x:c r="D48" s="21" t="str">
        <x:v>air carrier systems range</x:v>
      </x:c>
      <x:c r="E48" s="21" t="n">
        <x:v>6</x:v>
      </x:c>
      <x:c r="F48" s="21" t="n">
        <x:v>140</x:v>
      </x:c>
      <x:c r="G48" s="21" t="n">
        <x:v>120</x:v>
      </x:c>
      <x:c r="H48" s="21" t="n">
        <x:f>F48-G48</x:f>
        <x:v>20</x:v>
      </x:c>
      <x:c r="I48" s="38" t="n">
        <x:f>G48/F48</x:f>
        <x:v>0.8571428571428571</x:v>
      </x:c>
      <x:c r="J48" s="21" t="str">
        <x:v>OPEN</x:v>
      </x:c>
      <x:c r="K48" s="23" t="str">
        <x:f>IF(H48&gt;=0,"AVAILABLE","OVERLOAD")</x:f>
        <x:v>AVAILABLE</x:v>
      </x:c>
    </x:row>
    <x:row r="49">
      <x:c r="B49" s="21" t="str">
        <x:v>F05-Y7</x:v>
      </x:c>
      <x:c r="C49" s="21" t="str">
        <x:v>F05</x:v>
      </x:c>
      <x:c r="D49" s="21" t="str">
        <x:v>air carrier systems range</x:v>
      </x:c>
      <x:c r="E49" s="21" t="n">
        <x:v>7</x:v>
      </x:c>
      <x:c r="F49" s="21" t="n">
        <x:v>140</x:v>
      </x:c>
      <x:c r="G49" s="21" t="n">
        <x:v>110</x:v>
      </x:c>
      <x:c r="H49" s="21" t="n">
        <x:f>F49-G49</x:f>
        <x:v>30</x:v>
      </x:c>
      <x:c r="I49" s="38" t="n">
        <x:f>G49/F49</x:f>
        <x:v>0.7857142857142857</x:v>
      </x:c>
      <x:c r="J49" s="21" t="str">
        <x:v>OPEN</x:v>
      </x:c>
      <x:c r="K49" s="23" t="str">
        <x:f>IF(H49&gt;=0,"AVAILABLE","OVERLOAD")</x:f>
        <x:v>AVAILABLE</x:v>
      </x:c>
    </x:row>
    <x:row r="50">
      <x:c r="B50" s="21" t="str">
        <x:v>F05-Y8</x:v>
      </x:c>
      <x:c r="C50" s="21" t="str">
        <x:v>F05</x:v>
      </x:c>
      <x:c r="D50" s="21" t="str">
        <x:v>air carrier systems range</x:v>
      </x:c>
      <x:c r="E50" s="21" t="n">
        <x:v>8</x:v>
      </x:c>
      <x:c r="F50" s="21" t="n">
        <x:v>140</x:v>
      </x:c>
      <x:c r="G50" s="21" t="n">
        <x:v>100</x:v>
      </x:c>
      <x:c r="H50" s="21" t="n">
        <x:f>F50-G50</x:f>
        <x:v>40</x:v>
      </x:c>
      <x:c r="I50" s="38" t="n">
        <x:f>G50/F50</x:f>
        <x:v>0.7142857142857143</x:v>
      </x:c>
      <x:c r="J50" s="21" t="str">
        <x:v>OPEN</x:v>
      </x:c>
      <x:c r="K50" s="23" t="str">
        <x:f>IF(H50&gt;=0,"AVAILABLE","OVERLOAD")</x:f>
        <x:v>AVAILABLE</x:v>
      </x:c>
    </x:row>
    <x:row r="51">
      <x:c r="B51" s="21" t="str">
        <x:v>F05-Y9</x:v>
      </x:c>
      <x:c r="C51" s="21" t="str">
        <x:v>F05</x:v>
      </x:c>
      <x:c r="D51" s="21" t="str">
        <x:v>air carrier systems range</x:v>
      </x:c>
      <x:c r="E51" s="21" t="n">
        <x:v>9</x:v>
      </x:c>
      <x:c r="F51" s="21" t="n">
        <x:v>140</x:v>
      </x:c>
      <x:c r="G51" s="21" t="n">
        <x:v>80</x:v>
      </x:c>
      <x:c r="H51" s="21" t="n">
        <x:f>F51-G51</x:f>
        <x:v>60</x:v>
      </x:c>
      <x:c r="I51" s="38" t="n">
        <x:f>G51/F51</x:f>
        <x:v>0.5714285714285714</x:v>
      </x:c>
      <x:c r="J51" s="21" t="str">
        <x:v>OPEN</x:v>
      </x:c>
      <x:c r="K51" s="23" t="str">
        <x:f>IF(H51&gt;=0,"AVAILABLE","OVERLOAD")</x:f>
        <x:v>AVAILABLE</x:v>
      </x:c>
    </x:row>
    <x:row r="52">
      <x:c r="B52" s="21" t="str">
        <x:v>F06-Y1</x:v>
      </x:c>
      <x:c r="C52" s="21" t="str">
        <x:v>F06</x:v>
      </x:c>
      <x:c r="D52" s="21" t="str">
        <x:v>terrain carrier and soil range</x:v>
      </x:c>
      <x:c r="E52" s="21" t="n">
        <x:v>1</x:v>
      </x:c>
      <x:c r="F52" s="21" t="n">
        <x:v>140</x:v>
      </x:c>
      <x:c r="G52" s="21" t="n">
        <x:v>0</x:v>
      </x:c>
      <x:c r="H52" s="21" t="n">
        <x:f>F52-G52</x:f>
        <x:v>140</x:v>
      </x:c>
      <x:c r="I52" s="38" t="n">
        <x:f>G52/F52</x:f>
        <x:v>0</x:v>
      </x:c>
      <x:c r="J52" s="21" t="str">
        <x:v>OPEN</x:v>
      </x:c>
      <x:c r="K52" s="23" t="str">
        <x:f>IF(H52&gt;=0,"AVAILABLE","OVERLOAD")</x:f>
        <x:v>AVAILABLE</x:v>
      </x:c>
    </x:row>
    <x:row r="53">
      <x:c r="B53" s="21" t="str">
        <x:v>F06-Y2</x:v>
      </x:c>
      <x:c r="C53" s="21" t="str">
        <x:v>F06</x:v>
      </x:c>
      <x:c r="D53" s="21" t="str">
        <x:v>terrain carrier and soil range</x:v>
      </x:c>
      <x:c r="E53" s="21" t="n">
        <x:v>2</x:v>
      </x:c>
      <x:c r="F53" s="21" t="n">
        <x:v>140</x:v>
      </x:c>
      <x:c r="G53" s="21" t="n">
        <x:v>20</x:v>
      </x:c>
      <x:c r="H53" s="21" t="n">
        <x:f>F53-G53</x:f>
        <x:v>120</x:v>
      </x:c>
      <x:c r="I53" s="38" t="n">
        <x:f>G53/F53</x:f>
        <x:v>0.14285714285714285</x:v>
      </x:c>
      <x:c r="J53" s="21" t="str">
        <x:v>OPEN</x:v>
      </x:c>
      <x:c r="K53" s="23" t="str">
        <x:f>IF(H53&gt;=0,"AVAILABLE","OVERLOAD")</x:f>
        <x:v>AVAILABLE</x:v>
      </x:c>
    </x:row>
    <x:row r="54">
      <x:c r="B54" s="21" t="str">
        <x:v>F06-Y3</x:v>
      </x:c>
      <x:c r="C54" s="21" t="str">
        <x:v>F06</x:v>
      </x:c>
      <x:c r="D54" s="21" t="str">
        <x:v>terrain carrier and soil range</x:v>
      </x:c>
      <x:c r="E54" s="21" t="n">
        <x:v>3</x:v>
      </x:c>
      <x:c r="F54" s="21" t="n">
        <x:v>140</x:v>
      </x:c>
      <x:c r="G54" s="21" t="n">
        <x:v>80</x:v>
      </x:c>
      <x:c r="H54" s="21" t="n">
        <x:f>F54-G54</x:f>
        <x:v>60</x:v>
      </x:c>
      <x:c r="I54" s="38" t="n">
        <x:f>G54/F54</x:f>
        <x:v>0.5714285714285714</x:v>
      </x:c>
      <x:c r="J54" s="21" t="str">
        <x:v>OPEN</x:v>
      </x:c>
      <x:c r="K54" s="23" t="str">
        <x:f>IF(H54&gt;=0,"AVAILABLE","OVERLOAD")</x:f>
        <x:v>AVAILABLE</x:v>
      </x:c>
    </x:row>
    <x:row r="55">
      <x:c r="B55" s="21" t="str">
        <x:v>F06-Y4</x:v>
      </x:c>
      <x:c r="C55" s="21" t="str">
        <x:v>F06</x:v>
      </x:c>
      <x:c r="D55" s="21" t="str">
        <x:v>terrain carrier and soil range</x:v>
      </x:c>
      <x:c r="E55" s="21" t="n">
        <x:v>4</x:v>
      </x:c>
      <x:c r="F55" s="21" t="n">
        <x:v>140</x:v>
      </x:c>
      <x:c r="G55" s="21" t="n">
        <x:v>120</x:v>
      </x:c>
      <x:c r="H55" s="21" t="n">
        <x:f>F55-G55</x:f>
        <x:v>20</x:v>
      </x:c>
      <x:c r="I55" s="38" t="n">
        <x:f>G55/F55</x:f>
        <x:v>0.8571428571428571</x:v>
      </x:c>
      <x:c r="J55" s="21" t="str">
        <x:v>OPEN</x:v>
      </x:c>
      <x:c r="K55" s="23" t="str">
        <x:f>IF(H55&gt;=0,"AVAILABLE","OVERLOAD")</x:f>
        <x:v>AVAILABLE</x:v>
      </x:c>
    </x:row>
    <x:row r="56">
      <x:c r="B56" s="21" t="str">
        <x:v>F06-Y5</x:v>
      </x:c>
      <x:c r="C56" s="21" t="str">
        <x:v>F06</x:v>
      </x:c>
      <x:c r="D56" s="21" t="str">
        <x:v>terrain carrier and soil range</x:v>
      </x:c>
      <x:c r="E56" s="21" t="n">
        <x:v>5</x:v>
      </x:c>
      <x:c r="F56" s="21" t="n">
        <x:v>140</x:v>
      </x:c>
      <x:c r="G56" s="21" t="n">
        <x:v>135</x:v>
      </x:c>
      <x:c r="H56" s="21" t="n">
        <x:f>F56-G56</x:f>
        <x:v>5</x:v>
      </x:c>
      <x:c r="I56" s="38" t="n">
        <x:f>G56/F56</x:f>
        <x:v>0.9642857142857143</x:v>
      </x:c>
      <x:c r="J56" s="21" t="str">
        <x:v>OPEN</x:v>
      </x:c>
      <x:c r="K56" s="23" t="str">
        <x:f>IF(H56&gt;=0,"AVAILABLE","OVERLOAD")</x:f>
        <x:v>AVAILABLE</x:v>
      </x:c>
    </x:row>
    <x:row r="57">
      <x:c r="B57" s="21" t="str">
        <x:v>F06-Y6</x:v>
      </x:c>
      <x:c r="C57" s="21" t="str">
        <x:v>F06</x:v>
      </x:c>
      <x:c r="D57" s="21" t="str">
        <x:v>terrain carrier and soil range</x:v>
      </x:c>
      <x:c r="E57" s="21" t="n">
        <x:v>6</x:v>
      </x:c>
      <x:c r="F57" s="21" t="n">
        <x:v>140</x:v>
      </x:c>
      <x:c r="G57" s="21" t="n">
        <x:v>130</x:v>
      </x:c>
      <x:c r="H57" s="21" t="n">
        <x:f>F57-G57</x:f>
        <x:v>10</x:v>
      </x:c>
      <x:c r="I57" s="38" t="n">
        <x:f>G57/F57</x:f>
        <x:v>0.9285714285714286</x:v>
      </x:c>
      <x:c r="J57" s="21" t="str">
        <x:v>OPEN</x:v>
      </x:c>
      <x:c r="K57" s="23" t="str">
        <x:f>IF(H57&gt;=0,"AVAILABLE","OVERLOAD")</x:f>
        <x:v>AVAILABLE</x:v>
      </x:c>
    </x:row>
    <x:row r="58">
      <x:c r="B58" s="21" t="str">
        <x:v>F06-Y7</x:v>
      </x:c>
      <x:c r="C58" s="21" t="str">
        <x:v>F06</x:v>
      </x:c>
      <x:c r="D58" s="21" t="str">
        <x:v>terrain carrier and soil range</x:v>
      </x:c>
      <x:c r="E58" s="21" t="n">
        <x:v>7</x:v>
      </x:c>
      <x:c r="F58" s="21" t="n">
        <x:v>140</x:v>
      </x:c>
      <x:c r="G58" s="21" t="n">
        <x:v>125</x:v>
      </x:c>
      <x:c r="H58" s="21" t="n">
        <x:f>F58-G58</x:f>
        <x:v>15</x:v>
      </x:c>
      <x:c r="I58" s="38" t="n">
        <x:f>G58/F58</x:f>
        <x:v>0.8928571428571429</x:v>
      </x:c>
      <x:c r="J58" s="21" t="str">
        <x:v>OPEN</x:v>
      </x:c>
      <x:c r="K58" s="23" t="str">
        <x:f>IF(H58&gt;=0,"AVAILABLE","OVERLOAD")</x:f>
        <x:v>AVAILABLE</x:v>
      </x:c>
    </x:row>
    <x:row r="59">
      <x:c r="B59" s="21" t="str">
        <x:v>F06-Y8</x:v>
      </x:c>
      <x:c r="C59" s="21" t="str">
        <x:v>F06</x:v>
      </x:c>
      <x:c r="D59" s="21" t="str">
        <x:v>terrain carrier and soil range</x:v>
      </x:c>
      <x:c r="E59" s="21" t="n">
        <x:v>8</x:v>
      </x:c>
      <x:c r="F59" s="21" t="n">
        <x:v>140</x:v>
      </x:c>
      <x:c r="G59" s="21" t="n">
        <x:v>110</x:v>
      </x:c>
      <x:c r="H59" s="21" t="n">
        <x:f>F59-G59</x:f>
        <x:v>30</x:v>
      </x:c>
      <x:c r="I59" s="38" t="n">
        <x:f>G59/F59</x:f>
        <x:v>0.7857142857142857</x:v>
      </x:c>
      <x:c r="J59" s="21" t="str">
        <x:v>OPEN</x:v>
      </x:c>
      <x:c r="K59" s="23" t="str">
        <x:f>IF(H59&gt;=0,"AVAILABLE","OVERLOAD")</x:f>
        <x:v>AVAILABLE</x:v>
      </x:c>
    </x:row>
    <x:row r="60">
      <x:c r="B60" s="21" t="str">
        <x:v>F06-Y9</x:v>
      </x:c>
      <x:c r="C60" s="21" t="str">
        <x:v>F06</x:v>
      </x:c>
      <x:c r="D60" s="21" t="str">
        <x:v>terrain carrier and soil range</x:v>
      </x:c>
      <x:c r="E60" s="21" t="n">
        <x:v>9</x:v>
      </x:c>
      <x:c r="F60" s="21" t="n">
        <x:v>140</x:v>
      </x:c>
      <x:c r="G60" s="21" t="n">
        <x:v>90</x:v>
      </x:c>
      <x:c r="H60" s="21" t="n">
        <x:f>F60-G60</x:f>
        <x:v>50</x:v>
      </x:c>
      <x:c r="I60" s="38" t="n">
        <x:f>G60/F60</x:f>
        <x:v>0.6428571428571429</x:v>
      </x:c>
      <x:c r="J60" s="21" t="str">
        <x:v>OPEN</x:v>
      </x:c>
      <x:c r="K60" s="23" t="str">
        <x:f>IF(H60&gt;=0,"AVAILABLE","OVERLOAD")</x:f>
        <x:v>AVAILABLE</x:v>
      </x:c>
    </x:row>
    <x:row r="61">
      <x:c r="B61" s="21" t="str">
        <x:v>F07-Y1</x:v>
      </x:c>
      <x:c r="C61" s="21" t="str">
        <x:v>F07</x:v>
      </x:c>
      <x:c r="D61" s="21" t="str">
        <x:v>civil receiver and occupied-effect range</x:v>
      </x:c>
      <x:c r="E61" s="21" t="n">
        <x:v>1</x:v>
      </x:c>
      <x:c r="F61" s="21" t="n">
        <x:v>180</x:v>
      </x:c>
      <x:c r="G61" s="21" t="n">
        <x:v>0</x:v>
      </x:c>
      <x:c r="H61" s="21" t="n">
        <x:f>F61-G61</x:f>
        <x:v>180</x:v>
      </x:c>
      <x:c r="I61" s="38" t="n">
        <x:f>G61/F61</x:f>
        <x:v>0</x:v>
      </x:c>
      <x:c r="J61" s="21" t="str">
        <x:v>OPEN</x:v>
      </x:c>
      <x:c r="K61" s="23" t="str">
        <x:f>IF(H61&gt;=0,"AVAILABLE","OVERLOAD")</x:f>
        <x:v>AVAILABLE</x:v>
      </x:c>
    </x:row>
    <x:row r="62">
      <x:c r="B62" s="21" t="str">
        <x:v>F07-Y2</x:v>
      </x:c>
      <x:c r="C62" s="21" t="str">
        <x:v>F07</x:v>
      </x:c>
      <x:c r="D62" s="21" t="str">
        <x:v>civil receiver and occupied-effect range</x:v>
      </x:c>
      <x:c r="E62" s="21" t="n">
        <x:v>2</x:v>
      </x:c>
      <x:c r="F62" s="21" t="n">
        <x:v>180</x:v>
      </x:c>
      <x:c r="G62" s="21" t="n">
        <x:v>0</x:v>
      </x:c>
      <x:c r="H62" s="21" t="n">
        <x:f>F62-G62</x:f>
        <x:v>180</x:v>
      </x:c>
      <x:c r="I62" s="38" t="n">
        <x:f>G62/F62</x:f>
        <x:v>0</x:v>
      </x:c>
      <x:c r="J62" s="21" t="str">
        <x:v>OPEN</x:v>
      </x:c>
      <x:c r="K62" s="23" t="str">
        <x:f>IF(H62&gt;=0,"AVAILABLE","OVERLOAD")</x:f>
        <x:v>AVAILABLE</x:v>
      </x:c>
    </x:row>
    <x:row r="63">
      <x:c r="B63" s="21" t="str">
        <x:v>F07-Y3</x:v>
      </x:c>
      <x:c r="C63" s="21" t="str">
        <x:v>F07</x:v>
      </x:c>
      <x:c r="D63" s="21" t="str">
        <x:v>civil receiver and occupied-effect range</x:v>
      </x:c>
      <x:c r="E63" s="21" t="n">
        <x:v>3</x:v>
      </x:c>
      <x:c r="F63" s="21" t="n">
        <x:v>180</x:v>
      </x:c>
      <x:c r="G63" s="21" t="n">
        <x:v>40</x:v>
      </x:c>
      <x:c r="H63" s="21" t="n">
        <x:f>F63-G63</x:f>
        <x:v>140</x:v>
      </x:c>
      <x:c r="I63" s="38" t="n">
        <x:f>G63/F63</x:f>
        <x:v>0.2222222222222222</x:v>
      </x:c>
      <x:c r="J63" s="21" t="str">
        <x:v>OPEN</x:v>
      </x:c>
      <x:c r="K63" s="23" t="str">
        <x:f>IF(H63&gt;=0,"AVAILABLE","OVERLOAD")</x:f>
        <x:v>AVAILABLE</x:v>
      </x:c>
    </x:row>
    <x:row r="64">
      <x:c r="B64" s="21" t="str">
        <x:v>F07-Y4</x:v>
      </x:c>
      <x:c r="C64" s="21" t="str">
        <x:v>F07</x:v>
      </x:c>
      <x:c r="D64" s="21" t="str">
        <x:v>civil receiver and occupied-effect range</x:v>
      </x:c>
      <x:c r="E64" s="21" t="n">
        <x:v>4</x:v>
      </x:c>
      <x:c r="F64" s="21" t="n">
        <x:v>180</x:v>
      </x:c>
      <x:c r="G64" s="21" t="n">
        <x:v>80</x:v>
      </x:c>
      <x:c r="H64" s="21" t="n">
        <x:f>F64-G64</x:f>
        <x:v>100</x:v>
      </x:c>
      <x:c r="I64" s="38" t="n">
        <x:f>G64/F64</x:f>
        <x:v>0.4444444444444444</x:v>
      </x:c>
      <x:c r="J64" s="21" t="str">
        <x:v>OPEN</x:v>
      </x:c>
      <x:c r="K64" s="23" t="str">
        <x:f>IF(H64&gt;=0,"AVAILABLE","OVERLOAD")</x:f>
        <x:v>AVAILABLE</x:v>
      </x:c>
    </x:row>
    <x:row r="65">
      <x:c r="B65" s="21" t="str">
        <x:v>F07-Y5</x:v>
      </x:c>
      <x:c r="C65" s="21" t="str">
        <x:v>F07</x:v>
      </x:c>
      <x:c r="D65" s="21" t="str">
        <x:v>civil receiver and occupied-effect range</x:v>
      </x:c>
      <x:c r="E65" s="21" t="n">
        <x:v>5</x:v>
      </x:c>
      <x:c r="F65" s="21" t="n">
        <x:v>180</x:v>
      </x:c>
      <x:c r="G65" s="21" t="n">
        <x:v>120</x:v>
      </x:c>
      <x:c r="H65" s="21" t="n">
        <x:f>F65-G65</x:f>
        <x:v>60</x:v>
      </x:c>
      <x:c r="I65" s="38" t="n">
        <x:f>G65/F65</x:f>
        <x:v>0.6666666666666666</x:v>
      </x:c>
      <x:c r="J65" s="21" t="str">
        <x:v>OPEN</x:v>
      </x:c>
      <x:c r="K65" s="23" t="str">
        <x:f>IF(H65&gt;=0,"AVAILABLE","OVERLOAD")</x:f>
        <x:v>AVAILABLE</x:v>
      </x:c>
    </x:row>
    <x:row r="66">
      <x:c r="B66" s="21" t="str">
        <x:v>F07-Y6</x:v>
      </x:c>
      <x:c r="C66" s="21" t="str">
        <x:v>F07</x:v>
      </x:c>
      <x:c r="D66" s="21" t="str">
        <x:v>civil receiver and occupied-effect range</x:v>
      </x:c>
      <x:c r="E66" s="21" t="n">
        <x:v>6</x:v>
      </x:c>
      <x:c r="F66" s="21" t="n">
        <x:v>180</x:v>
      </x:c>
      <x:c r="G66" s="21" t="n">
        <x:v>140</x:v>
      </x:c>
      <x:c r="H66" s="21" t="n">
        <x:f>F66-G66</x:f>
        <x:v>40</x:v>
      </x:c>
      <x:c r="I66" s="38" t="n">
        <x:f>G66/F66</x:f>
        <x:v>0.7777777777777778</x:v>
      </x:c>
      <x:c r="J66" s="21" t="str">
        <x:v>OPEN</x:v>
      </x:c>
      <x:c r="K66" s="23" t="str">
        <x:f>IF(H66&gt;=0,"AVAILABLE","OVERLOAD")</x:f>
        <x:v>AVAILABLE</x:v>
      </x:c>
    </x:row>
    <x:row r="67">
      <x:c r="B67" s="21" t="str">
        <x:v>F07-Y7</x:v>
      </x:c>
      <x:c r="C67" s="21" t="str">
        <x:v>F07</x:v>
      </x:c>
      <x:c r="D67" s="21" t="str">
        <x:v>civil receiver and occupied-effect range</x:v>
      </x:c>
      <x:c r="E67" s="21" t="n">
        <x:v>7</x:v>
      </x:c>
      <x:c r="F67" s="21" t="n">
        <x:v>180</x:v>
      </x:c>
      <x:c r="G67" s="21" t="n">
        <x:v>130</x:v>
      </x:c>
      <x:c r="H67" s="21" t="n">
        <x:f>F67-G67</x:f>
        <x:v>50</x:v>
      </x:c>
      <x:c r="I67" s="38" t="n">
        <x:f>G67/F67</x:f>
        <x:v>0.7222222222222222</x:v>
      </x:c>
      <x:c r="J67" s="21" t="str">
        <x:v>OPEN</x:v>
      </x:c>
      <x:c r="K67" s="23" t="str">
        <x:f>IF(H67&gt;=0,"AVAILABLE","OVERLOAD")</x:f>
        <x:v>AVAILABLE</x:v>
      </x:c>
    </x:row>
    <x:row r="68">
      <x:c r="B68" s="21" t="str">
        <x:v>F07-Y8</x:v>
      </x:c>
      <x:c r="C68" s="21" t="str">
        <x:v>F07</x:v>
      </x:c>
      <x:c r="D68" s="21" t="str">
        <x:v>civil receiver and occupied-effect range</x:v>
      </x:c>
      <x:c r="E68" s="21" t="n">
        <x:v>8</x:v>
      </x:c>
      <x:c r="F68" s="21" t="n">
        <x:v>180</x:v>
      </x:c>
      <x:c r="G68" s="21" t="n">
        <x:v>100</x:v>
      </x:c>
      <x:c r="H68" s="21" t="n">
        <x:f>F68-G68</x:f>
        <x:v>80</x:v>
      </x:c>
      <x:c r="I68" s="38" t="n">
        <x:f>G68/F68</x:f>
        <x:v>0.5555555555555556</x:v>
      </x:c>
      <x:c r="J68" s="21" t="str">
        <x:v>OPEN</x:v>
      </x:c>
      <x:c r="K68" s="23" t="str">
        <x:f>IF(H68&gt;=0,"AVAILABLE","OVERLOAD")</x:f>
        <x:v>AVAILABLE</x:v>
      </x:c>
    </x:row>
    <x:row r="69">
      <x:c r="B69" s="21" t="str">
        <x:v>F07-Y9</x:v>
      </x:c>
      <x:c r="C69" s="21" t="str">
        <x:v>F07</x:v>
      </x:c>
      <x:c r="D69" s="21" t="str">
        <x:v>civil receiver and occupied-effect range</x:v>
      </x:c>
      <x:c r="E69" s="21" t="n">
        <x:v>9</x:v>
      </x:c>
      <x:c r="F69" s="21" t="n">
        <x:v>180</x:v>
      </x:c>
      <x:c r="G69" s="21" t="n">
        <x:v>80</x:v>
      </x:c>
      <x:c r="H69" s="21" t="n">
        <x:f>F69-G69</x:f>
        <x:v>100</x:v>
      </x:c>
      <x:c r="I69" s="38" t="n">
        <x:f>G69/F69</x:f>
        <x:v>0.4444444444444444</x:v>
      </x:c>
      <x:c r="J69" s="21" t="str">
        <x:v>OPEN</x:v>
      </x:c>
      <x:c r="K69" s="23" t="str">
        <x:f>IF(H69&gt;=0,"AVAILABLE","OVERLOAD")</x:f>
        <x:v>AVAILABLE</x:v>
      </x:c>
    </x:row>
    <x:row r="70">
      <x:c r="B70" s="21" t="str">
        <x:v>F08-Y1</x:v>
      </x:c>
      <x:c r="C70" s="21" t="str">
        <x:v>F08</x:v>
      </x:c>
      <x:c r="D70" s="21" t="str">
        <x:v>data time and custody laboratory</x:v>
      </x:c>
      <x:c r="E70" s="21" t="n">
        <x:v>1</x:v>
      </x:c>
      <x:c r="F70" s="21" t="n">
        <x:v>240</x:v>
      </x:c>
      <x:c r="G70" s="21" t="n">
        <x:v>60</x:v>
      </x:c>
      <x:c r="H70" s="21" t="n">
        <x:f>F70-G70</x:f>
        <x:v>180</x:v>
      </x:c>
      <x:c r="I70" s="38" t="n">
        <x:f>G70/F70</x:f>
        <x:v>0.25</x:v>
      </x:c>
      <x:c r="J70" s="21" t="str">
        <x:v>OPEN</x:v>
      </x:c>
      <x:c r="K70" s="23" t="str">
        <x:f>IF(H70&gt;=0,"AVAILABLE","OVERLOAD")</x:f>
        <x:v>AVAILABLE</x:v>
      </x:c>
    </x:row>
    <x:row r="71">
      <x:c r="B71" s="21" t="str">
        <x:v>F08-Y2</x:v>
      </x:c>
      <x:c r="C71" s="21" t="str">
        <x:v>F08</x:v>
      </x:c>
      <x:c r="D71" s="21" t="str">
        <x:v>data time and custody laboratory</x:v>
      </x:c>
      <x:c r="E71" s="21" t="n">
        <x:v>2</x:v>
      </x:c>
      <x:c r="F71" s="21" t="n">
        <x:v>240</x:v>
      </x:c>
      <x:c r="G71" s="21" t="n">
        <x:v>120</x:v>
      </x:c>
      <x:c r="H71" s="21" t="n">
        <x:f>F71-G71</x:f>
        <x:v>120</x:v>
      </x:c>
      <x:c r="I71" s="38" t="n">
        <x:f>G71/F71</x:f>
        <x:v>0.5</x:v>
      </x:c>
      <x:c r="J71" s="21" t="str">
        <x:v>OPEN</x:v>
      </x:c>
      <x:c r="K71" s="23" t="str">
        <x:f>IF(H71&gt;=0,"AVAILABLE","OVERLOAD")</x:f>
        <x:v>AVAILABLE</x:v>
      </x:c>
    </x:row>
    <x:row r="72">
      <x:c r="B72" s="21" t="str">
        <x:v>F08-Y3</x:v>
      </x:c>
      <x:c r="C72" s="21" t="str">
        <x:v>F08</x:v>
      </x:c>
      <x:c r="D72" s="21" t="str">
        <x:v>data time and custody laboratory</x:v>
      </x:c>
      <x:c r="E72" s="21" t="n">
        <x:v>3</x:v>
      </x:c>
      <x:c r="F72" s="21" t="n">
        <x:v>240</x:v>
      </x:c>
      <x:c r="G72" s="21" t="n">
        <x:v>180</x:v>
      </x:c>
      <x:c r="H72" s="21" t="n">
        <x:f>F72-G72</x:f>
        <x:v>60</x:v>
      </x:c>
      <x:c r="I72" s="38" t="n">
        <x:f>G72/F72</x:f>
        <x:v>0.75</x:v>
      </x:c>
      <x:c r="J72" s="21" t="str">
        <x:v>OPEN</x:v>
      </x:c>
      <x:c r="K72" s="23" t="str">
        <x:f>IF(H72&gt;=0,"AVAILABLE","OVERLOAD")</x:f>
        <x:v>AVAILABLE</x:v>
      </x:c>
    </x:row>
    <x:row r="73">
      <x:c r="B73" s="21" t="str">
        <x:v>F08-Y4</x:v>
      </x:c>
      <x:c r="C73" s="21" t="str">
        <x:v>F08</x:v>
      </x:c>
      <x:c r="D73" s="21" t="str">
        <x:v>data time and custody laboratory</x:v>
      </x:c>
      <x:c r="E73" s="21" t="n">
        <x:v>4</x:v>
      </x:c>
      <x:c r="F73" s="21" t="n">
        <x:v>240</x:v>
      </x:c>
      <x:c r="G73" s="21" t="n">
        <x:v>220</x:v>
      </x:c>
      <x:c r="H73" s="21" t="n">
        <x:f>F73-G73</x:f>
        <x:v>20</x:v>
      </x:c>
      <x:c r="I73" s="38" t="n">
        <x:f>G73/F73</x:f>
        <x:v>0.9166666666666666</x:v>
      </x:c>
      <x:c r="J73" s="21" t="str">
        <x:v>OPEN</x:v>
      </x:c>
      <x:c r="K73" s="23" t="str">
        <x:f>IF(H73&gt;=0,"AVAILABLE","OVERLOAD")</x:f>
        <x:v>AVAILABLE</x:v>
      </x:c>
    </x:row>
    <x:row r="74">
      <x:c r="B74" s="21" t="str">
        <x:v>F08-Y5</x:v>
      </x:c>
      <x:c r="C74" s="21" t="str">
        <x:v>F08</x:v>
      </x:c>
      <x:c r="D74" s="21" t="str">
        <x:v>data time and custody laboratory</x:v>
      </x:c>
      <x:c r="E74" s="21" t="n">
        <x:v>5</x:v>
      </x:c>
      <x:c r="F74" s="21" t="n">
        <x:v>240</x:v>
      </x:c>
      <x:c r="G74" s="21" t="n">
        <x:v>220</x:v>
      </x:c>
      <x:c r="H74" s="21" t="n">
        <x:f>F74-G74</x:f>
        <x:v>20</x:v>
      </x:c>
      <x:c r="I74" s="38" t="n">
        <x:f>G74/F74</x:f>
        <x:v>0.9166666666666666</x:v>
      </x:c>
      <x:c r="J74" s="21" t="str">
        <x:v>OPEN</x:v>
      </x:c>
      <x:c r="K74" s="23" t="str">
        <x:f>IF(H74&gt;=0,"AVAILABLE","OVERLOAD")</x:f>
        <x:v>AVAILABLE</x:v>
      </x:c>
    </x:row>
    <x:row r="75">
      <x:c r="B75" s="21" t="str">
        <x:v>F08-Y6</x:v>
      </x:c>
      <x:c r="C75" s="21" t="str">
        <x:v>F08</x:v>
      </x:c>
      <x:c r="D75" s="21" t="str">
        <x:v>data time and custody laboratory</x:v>
      </x:c>
      <x:c r="E75" s="21" t="n">
        <x:v>6</x:v>
      </x:c>
      <x:c r="F75" s="21" t="n">
        <x:v>240</x:v>
      </x:c>
      <x:c r="G75" s="21" t="n">
        <x:v>220</x:v>
      </x:c>
      <x:c r="H75" s="21" t="n">
        <x:f>F75-G75</x:f>
        <x:v>20</x:v>
      </x:c>
      <x:c r="I75" s="38" t="n">
        <x:f>G75/F75</x:f>
        <x:v>0.9166666666666666</x:v>
      </x:c>
      <x:c r="J75" s="21" t="str">
        <x:v>OPEN</x:v>
      </x:c>
      <x:c r="K75" s="23" t="str">
        <x:f>IF(H75&gt;=0,"AVAILABLE","OVERLOAD")</x:f>
        <x:v>AVAILABLE</x:v>
      </x:c>
    </x:row>
    <x:row r="76">
      <x:c r="B76" s="21" t="str">
        <x:v>F08-Y7</x:v>
      </x:c>
      <x:c r="C76" s="21" t="str">
        <x:v>F08</x:v>
      </x:c>
      <x:c r="D76" s="21" t="str">
        <x:v>data time and custody laboratory</x:v>
      </x:c>
      <x:c r="E76" s="21" t="n">
        <x:v>7</x:v>
      </x:c>
      <x:c r="F76" s="21" t="n">
        <x:v>240</x:v>
      </x:c>
      <x:c r="G76" s="21" t="n">
        <x:v>220</x:v>
      </x:c>
      <x:c r="H76" s="21" t="n">
        <x:f>F76-G76</x:f>
        <x:v>20</x:v>
      </x:c>
      <x:c r="I76" s="38" t="n">
        <x:f>G76/F76</x:f>
        <x:v>0.9166666666666666</x:v>
      </x:c>
      <x:c r="J76" s="21" t="str">
        <x:v>OPEN</x:v>
      </x:c>
      <x:c r="K76" s="23" t="str">
        <x:f>IF(H76&gt;=0,"AVAILABLE","OVERLOAD")</x:f>
        <x:v>AVAILABLE</x:v>
      </x:c>
    </x:row>
    <x:row r="77">
      <x:c r="B77" s="21" t="str">
        <x:v>F08-Y8</x:v>
      </x:c>
      <x:c r="C77" s="21" t="str">
        <x:v>F08</x:v>
      </x:c>
      <x:c r="D77" s="21" t="str">
        <x:v>data time and custody laboratory</x:v>
      </x:c>
      <x:c r="E77" s="21" t="n">
        <x:v>8</x:v>
      </x:c>
      <x:c r="F77" s="21" t="n">
        <x:v>240</x:v>
      </x:c>
      <x:c r="G77" s="21" t="n">
        <x:v>200</x:v>
      </x:c>
      <x:c r="H77" s="21" t="n">
        <x:f>F77-G77</x:f>
        <x:v>40</x:v>
      </x:c>
      <x:c r="I77" s="38" t="n">
        <x:f>G77/F77</x:f>
        <x:v>0.8333333333333334</x:v>
      </x:c>
      <x:c r="J77" s="21" t="str">
        <x:v>OPEN</x:v>
      </x:c>
      <x:c r="K77" s="23" t="str">
        <x:f>IF(H77&gt;=0,"AVAILABLE","OVERLOAD")</x:f>
        <x:v>AVAILABLE</x:v>
      </x:c>
    </x:row>
    <x:row r="78">
      <x:c r="B78" s="24" t="str">
        <x:v>F08-Y9</x:v>
      </x:c>
      <x:c r="C78" s="24" t="str">
        <x:v>F08</x:v>
      </x:c>
      <x:c r="D78" s="24" t="str">
        <x:v>data time and custody laboratory</x:v>
      </x:c>
      <x:c r="E78" s="24" t="n">
        <x:v>9</x:v>
      </x:c>
      <x:c r="F78" s="24" t="n">
        <x:v>240</x:v>
      </x:c>
      <x:c r="G78" s="24" t="n">
        <x:v>160</x:v>
      </x:c>
      <x:c r="H78" s="24" t="n">
        <x:f>F78-G78</x:f>
        <x:v>80</x:v>
      </x:c>
      <x:c r="I78" s="39" t="n">
        <x:f>G78/F78</x:f>
        <x:v>0.6666666666666666</x:v>
      </x:c>
      <x:c r="J78" s="24" t="str">
        <x:v>OPEN</x:v>
      </x:c>
      <x:c r="K78" s="26" t="str">
        <x:f>IF(H78&gt;=0,"AVAILABLE","OVERLOAD")</x:f>
        <x:v>AVAILABLE</x:v>
      </x:c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</x:sheetData>
  <x:mergeCells>
    <x:mergeCell ref="B3:K3"/>
  </x:mergeCells>
  <x:conditionalFormatting sqref="J7:K78">
    <x:cfRule type="containsText" dxfId="60" priority="1" operator="containsText" text="OPEN"/>
    <x:cfRule type="containsText" dxfId="61" priority="2" operator="containsText" text="HOLD"/>
    <x:cfRule type="containsText" dxfId="62" priority="3" operator="containsText" text="BLOCKED"/>
    <x:cfRule type="containsText" dxfId="63" priority="4" operator="containsText" text="CHALLENGE ONLY"/>
    <x:cfRule type="containsText" dxfId="64" priority="5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  <x:col min="13" max="13" width="17" hidden="0" customWidth="1"/>
    <x:col min="14" max="14" width="14" hidden="0" customWidth="1"/>
  </x:cols>
  <x:sheetData>
    <x:row r="2">
      <x:c r="B2" s="3" t="str">
        <x:v>Nine-year source-strategy cost phasing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portfolio holds USD 6.8B: rival roots, challenge experiments, public standards, facilities, destructive evidence, reproduction, custody, workforce, and reserve.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Workstream</x:v>
      </x:c>
      <x:c r="C6" s="20" t="str">
        <x:v>Year 1</x:v>
      </x:c>
      <x:c r="D6" s="20" t="str">
        <x:v>Year 2</x:v>
      </x:c>
      <x:c r="E6" s="20" t="str">
        <x:v>Year 3</x:v>
      </x:c>
      <x:c r="F6" s="20" t="str">
        <x:v>Year 4</x:v>
      </x:c>
      <x:c r="G6" s="20" t="str">
        <x:v>Year 5</x:v>
      </x:c>
      <x:c r="H6" s="20" t="str">
        <x:v>Year 6</x:v>
      </x:c>
      <x:c r="I6" s="20" t="str">
        <x:v>Year 7</x:v>
      </x:c>
      <x:c r="J6" s="20" t="str">
        <x:v>Year 8</x:v>
      </x:c>
      <x:c r="K6" s="20" t="str">
        <x:v>Year 9</x:v>
      </x:c>
      <x:c r="L6" s="20" t="str">
        <x:v>Phased total</x:v>
      </x:c>
      <x:c r="M6" s="20" t="str">
        <x:v>Control total</x:v>
      </x:c>
      <x:c r="N6" s="20" t="str">
        <x:v>Variance</x:v>
      </x:c>
    </x:row>
    <x:row r="7">
      <x:c r="B7" s="21" t="str">
        <x:v>Family implementation and challenge contracts</x:v>
      </x:c>
      <x:c r="C7" s="32" t="n">
        <x:v>0.855</x:v>
      </x:c>
      <x:c r="D7" s="32" t="n">
        <x:v>0.855</x:v>
      </x:c>
      <x:c r="E7" s="32" t="n">
        <x:v>0.684</x:v>
      </x:c>
      <x:c r="F7" s="32" t="n">
        <x:v>0.513</x:v>
      </x:c>
      <x:c r="G7" s="32" t="n">
        <x:v>0.342</x:v>
      </x:c>
      <x:c r="H7" s="32" t="n">
        <x:v>0.171</x:v>
      </x:c>
      <x:c r="I7" s="32" t="n">
        <x:v>0</x:v>
      </x:c>
      <x:c r="J7" s="32" t="n">
        <x:v>0</x:v>
      </x:c>
      <x:c r="K7" s="32" t="n">
        <x:v>0</x:v>
      </x:c>
      <x:c r="L7" s="32" t="n">
        <x:f>SUM(C7:K7)</x:f>
        <x:v>3.42</x:v>
      </x:c>
      <x:c r="M7" s="32" t="n">
        <x:v>3.42</x:v>
      </x:c>
      <x:c r="N7" s="40" t="n">
        <x:f>L7-M7</x:f>
        <x:v>0</x:v>
      </x:c>
    </x:row>
    <x:row r="8">
      <x:c r="B8" s="21" t="str">
        <x:v>Government-furnished standards</x:v>
      </x:c>
      <x:c r="C8" s="32" t="n">
        <x:v>0.11</x:v>
      </x:c>
      <x:c r="D8" s="32" t="n">
        <x:v>0.11</x:v>
      </x:c>
      <x:c r="E8" s="32" t="n">
        <x:v>0.08800000000000001</x:v>
      </x:c>
      <x:c r="F8" s="32" t="n">
        <x:v>0.066</x:v>
      </x:c>
      <x:c r="G8" s="32" t="n">
        <x:v>0.044000000000000004</x:v>
      </x:c>
      <x:c r="H8" s="32" t="n">
        <x:v>0.022000000000000002</x:v>
      </x:c>
      <x:c r="I8" s="32" t="n">
        <x:v>0</x:v>
      </x:c>
      <x:c r="J8" s="32" t="n">
        <x:v>0</x:v>
      </x:c>
      <x:c r="K8" s="32" t="n">
        <x:v>0</x:v>
      </x:c>
      <x:c r="L8" s="32" t="n">
        <x:f>SUM(C8:K8)</x:f>
        <x:v>0.44</x:v>
      </x:c>
      <x:c r="M8" s="32" t="n">
        <x:v>0.44</x:v>
      </x:c>
      <x:c r="N8" s="40" t="n">
        <x:f>L8-M8</x:f>
        <x:v>0</x:v>
      </x:c>
    </x:row>
    <x:row r="9">
      <x:c r="B9" s="21" t="str">
        <x:v>Qualified facilities and ranges</x:v>
      </x:c>
      <x:c r="C9" s="32" t="n">
        <x:v>0.058499999999999996</x:v>
      </x:c>
      <x:c r="D9" s="32" t="n">
        <x:v>0.11699999999999999</x:v>
      </x:c>
      <x:c r="E9" s="32" t="n">
        <x:v>0.1755</x:v>
      </x:c>
      <x:c r="F9" s="32" t="n">
        <x:v>0.1755</x:v>
      </x:c>
      <x:c r="G9" s="32" t="n">
        <x:v>0.1755</x:v>
      </x:c>
      <x:c r="H9" s="32" t="n">
        <x:v>0.1755</x:v>
      </x:c>
      <x:c r="I9" s="32" t="n">
        <x:v>0.11699999999999999</x:v>
      </x:c>
      <x:c r="J9" s="32" t="n">
        <x:v>0.11699999999999999</x:v>
      </x:c>
      <x:c r="K9" s="32" t="n">
        <x:v>0.058499999999999996</x:v>
      </x:c>
      <x:c r="L9" s="32" t="n">
        <x:f>SUM(C9:K9)</x:f>
        <x:v>1.17</x:v>
      </x:c>
      <x:c r="M9" s="32" t="n">
        <x:v>1.17</x:v>
      </x:c>
      <x:c r="N9" s="40" t="n">
        <x:f>L9-M9</x:f>
        <x:v>0</x:v>
      </x:c>
    </x:row>
    <x:row r="10">
      <x:c r="B10" s="21" t="str">
        <x:v>Destructive evidence</x:v>
      </x:c>
      <x:c r="C10" s="32" t="n">
        <x:v>0</x:v>
      </x:c>
      <x:c r="D10" s="32" t="n">
        <x:v>0.0165</x:v>
      </x:c>
      <x:c r="E10" s="32" t="n">
        <x:v>0.0495</x:v>
      </x:c>
      <x:c r="F10" s="32" t="n">
        <x:v>0.066</x:v>
      </x:c>
      <x:c r="G10" s="32" t="n">
        <x:v>0.066</x:v>
      </x:c>
      <x:c r="H10" s="32" t="n">
        <x:v>0.0495</x:v>
      </x:c>
      <x:c r="I10" s="32" t="n">
        <x:v>0.033</x:v>
      </x:c>
      <x:c r="J10" s="32" t="n">
        <x:v>0.033</x:v>
      </x:c>
      <x:c r="K10" s="32" t="n">
        <x:v>0.0165</x:v>
      </x:c>
      <x:c r="L10" s="32" t="n">
        <x:f>SUM(C10:K10)</x:f>
        <x:v>0.33</x:v>
      </x:c>
      <x:c r="M10" s="32" t="n">
        <x:v>0.33</x:v>
      </x:c>
      <x:c r="N10" s="40" t="n">
        <x:f>L10-M10</x:f>
        <x:v>0</x:v>
      </x:c>
    </x:row>
    <x:row r="11">
      <x:c r="B11" s="21" t="str">
        <x:v>Independent reproduction</x:v>
      </x:c>
      <x:c r="C11" s="32" t="n">
        <x:v>0</x:v>
      </x:c>
      <x:c r="D11" s="32" t="n">
        <x:v>0</x:v>
      </x:c>
      <x:c r="E11" s="32" t="n">
        <x:v>0.0295</x:v>
      </x:c>
      <x:c r="F11" s="32" t="n">
        <x:v>0.059</x:v>
      </x:c>
      <x:c r="G11" s="32" t="n">
        <x:v>0.0885</x:v>
      </x:c>
      <x:c r="H11" s="32" t="n">
        <x:v>0.118</x:v>
      </x:c>
      <x:c r="I11" s="32" t="n">
        <x:v>0.118</x:v>
      </x:c>
      <x:c r="J11" s="32" t="n">
        <x:v>0.118</x:v>
      </x:c>
      <x:c r="K11" s="32" t="n">
        <x:v>0.059</x:v>
      </x:c>
      <x:c r="L11" s="32" t="n">
        <x:f>SUM(C11:K11)</x:f>
        <x:v>0.5899999999999999</x:v>
      </x:c>
      <x:c r="M11" s="32" t="n">
        <x:v>0.59</x:v>
      </x:c>
      <x:c r="N11" s="40" t="n">
        <x:f>L11-M11</x:f>
        <x:v>-1.1102230246251565e-16</x:v>
      </x:c>
    </x:row>
    <x:row r="12">
      <x:c r="B12" s="21" t="str">
        <x:v>Data custody</x:v>
      </x:c>
      <x:c r="C12" s="32" t="n">
        <x:v>0.03</x:v>
      </x:c>
      <x:c r="D12" s="32" t="n">
        <x:v>0.03</x:v>
      </x:c>
      <x:c r="E12" s="32" t="n">
        <x:v>0.03</x:v>
      </x:c>
      <x:c r="F12" s="32" t="n">
        <x:v>0.03</x:v>
      </x:c>
      <x:c r="G12" s="32" t="n">
        <x:v>0.020000000000000004</x:v>
      </x:c>
      <x:c r="H12" s="32" t="n">
        <x:v>0.020000000000000004</x:v>
      </x:c>
      <x:c r="I12" s="32" t="n">
        <x:v>0.020000000000000004</x:v>
      </x:c>
      <x:c r="J12" s="32" t="n">
        <x:v>0.010000000000000002</x:v>
      </x:c>
      <x:c r="K12" s="32" t="n">
        <x:v>0.010000000000000002</x:v>
      </x:c>
      <x:c r="L12" s="32" t="n">
        <x:f>SUM(C12:K12)</x:f>
        <x:v>0.20000000000000007</x:v>
      </x:c>
      <x:c r="M12" s="32" t="n">
        <x:v>0.2</x:v>
      </x:c>
      <x:c r="N12" s="40" t="n">
        <x:f>L12-M12</x:f>
        <x:v>5.551115123125783e-17</x:v>
      </x:c>
    </x:row>
    <x:row r="13">
      <x:c r="B13" s="21" t="str">
        <x:v>Acquisition and evidence workforce</x:v>
      </x:c>
      <x:c r="C13" s="32" t="n">
        <x:v>0.0525</x:v>
      </x:c>
      <x:c r="D13" s="32" t="n">
        <x:v>0.0525</x:v>
      </x:c>
      <x:c r="E13" s="32" t="n">
        <x:v>0.0525</x:v>
      </x:c>
      <x:c r="F13" s="32" t="n">
        <x:v>0.0525</x:v>
      </x:c>
      <x:c r="G13" s="32" t="n">
        <x:v>0.034999999999999996</x:v>
      </x:c>
      <x:c r="H13" s="32" t="n">
        <x:v>0.034999999999999996</x:v>
      </x:c>
      <x:c r="I13" s="32" t="n">
        <x:v>0.034999999999999996</x:v>
      </x:c>
      <x:c r="J13" s="32" t="n">
        <x:v>0.017499999999999998</x:v>
      </x:c>
      <x:c r="K13" s="32" t="n">
        <x:v>0.017499999999999998</x:v>
      </x:c>
      <x:c r="L13" s="32" t="n">
        <x:f>SUM(C13:K13)</x:f>
        <x:v>0.35</x:v>
      </x:c>
      <x:c r="M13" s="32" t="n">
        <x:v>0.35</x:v>
      </x:c>
      <x:c r="N13" s="40" t="n">
        <x:f>L13-M13</x:f>
        <x:v>0</x:v>
      </x:c>
    </x:row>
    <x:row r="14">
      <x:c r="B14" s="21" t="str">
        <x:v>Portfolio reserve</x:v>
      </x:c>
      <x:c r="C14" s="32" t="n">
        <x:v>0</x:v>
      </x:c>
      <x:c r="D14" s="32" t="n">
        <x:v>0</x:v>
      </x:c>
      <x:c r="E14" s="32" t="n">
        <x:v>0</x:v>
      </x:c>
      <x:c r="F14" s="32" t="n">
        <x:v>0</x:v>
      </x:c>
      <x:c r="G14" s="32" t="n">
        <x:v>0</x:v>
      </x:c>
      <x:c r="H14" s="32" t="n">
        <x:v>0.03</x:v>
      </x:c>
      <x:c r="I14" s="32" t="n">
        <x:v>0.06</x:v>
      </x:c>
      <x:c r="J14" s="32" t="n">
        <x:v>0.09</x:v>
      </x:c>
      <x:c r="K14" s="32" t="n">
        <x:v>0.12</x:v>
      </x:c>
      <x:c r="L14" s="32" t="n">
        <x:f>SUM(C14:K14)</x:f>
        <x:v>0.3</x:v>
      </x:c>
      <x:c r="M14" s="32" t="n">
        <x:v>0.3</x:v>
      </x:c>
      <x:c r="N14" s="40" t="n">
        <x:f>L14-M14</x:f>
        <x:v>0</x:v>
      </x:c>
    </x:row>
    <x:row r="15">
      <x:c r="B15" s="21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40"/>
    </x:row>
    <x:row r="16">
      <x:c r="B16" s="21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40"/>
    </x:row>
    <x:row r="17">
      <x:c r="B17" s="24" t="str">
        <x:v>PROGRAM TOTAL</x:v>
      </x:c>
      <x:c r="C17" s="33" t="n">
        <x:f>SUM(C7:C14)</x:f>
        <x:v>1.1059999999999999</x:v>
      </x:c>
      <x:c r="D17" s="33" t="n">
        <x:f>SUM(D7:D14)</x:f>
        <x:v>1.1809999999999998</x:v>
      </x:c>
      <x:c r="E17" s="33" t="n">
        <x:f>SUM(E7:E14)</x:f>
        <x:v>1.109</x:v>
      </x:c>
      <x:c r="F17" s="33" t="n">
        <x:f>SUM(F7:F14)</x:f>
        <x:v>0.962</x:v>
      </x:c>
      <x:c r="G17" s="33" t="n">
        <x:f>SUM(G7:G14)</x:f>
        <x:v>0.771</x:v>
      </x:c>
      <x:c r="H17" s="33" t="n">
        <x:f>SUM(H7:H14)</x:f>
        <x:v>0.6210000000000001</x:v>
      </x:c>
      <x:c r="I17" s="33" t="n">
        <x:f>SUM(I7:I14)</x:f>
        <x:v>0.383</x:v>
      </x:c>
      <x:c r="J17" s="33" t="n">
        <x:f>SUM(J7:J14)</x:f>
        <x:v>0.38550000000000006</x:v>
      </x:c>
      <x:c r="K17" s="33" t="n">
        <x:f>SUM(K7:K14)</x:f>
        <x:v>0.2815</x:v>
      </x:c>
      <x:c r="L17" s="33" t="n">
        <x:f>SUM(L7:L14)</x:f>
        <x:v>6.799999999999999</x:v>
      </x:c>
      <x:c r="M17" s="33" t="n">
        <x:v>6.8</x:v>
      </x:c>
      <x:c r="N17" s="41" t="n">
        <x:f>L17-M17</x:f>
        <x:v>-8.881784197001252e-16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8" t="str">
        <x:v>Fiscal boundary</x:v>
      </x:c>
      <x:c r="C20" s="29" t="str">
        <x:v>Fiscal boundary</x:v>
      </x:c>
      <x:c r="D20" s="29" t="str">
        <x:v>Fiscal boundary</x:v>
      </x:c>
      <x:c r="E20" s="29" t="str">
        <x:v>Fiscal boundary</x:v>
      </x:c>
      <x:c r="F20" s="29" t="str">
        <x:v>Fiscal boundary</x:v>
      </x:c>
      <x:c r="G20" s="29" t="str">
        <x:v>Fiscal boundary</x:v>
      </x:c>
      <x:c r="H20" s="29" t="str">
        <x:v>Fiscal boundary</x:v>
      </x:c>
      <x:c r="I20" s="29" t="str">
        <x:v>Fiscal boundary</x:v>
      </x:c>
      <x:c r="J20" s="29" t="str">
        <x:v>Fiscal boundary</x:v>
      </x:c>
      <x:c r="K20" s="29" t="str">
        <x:v>Fiscal boundary</x:v>
      </x:c>
      <x:c r="L20" s="29" t="str">
        <x:v>Fiscal boundary</x:v>
      </x:c>
      <x:c r="M20" s="29" t="str">
        <x:v>Fiscal boundary</x:v>
      </x:c>
      <x:c r="N20" s="30" t="str">
        <x:v>Fiscal boundary</x:v>
      </x:c>
    </x:row>
    <x:row r="21">
      <x:c r="B21" s="2" t="str">
        <x:v>The model allocates learning capacity rather than forecasting appropriations. Repeated failure consumes reserve or reopens scope; it does not erase a hard gate.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</x:row>
    <x:row r="22">
      <x:c r="B22" s="2" t="str">
        <x:v>Family contracts total USD 3.42B: each family reserves 45 percent to each build root and 10 percent to its challenge root.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</x:row>
  </x:sheetData>
  <x:mergeCells>
    <x:mergeCell ref="B3:N3"/>
    <x:mergeCell ref="B20:N2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24" hidden="0" customWidth="1"/>
    <x:col min="4" max="4" width="65" hidden="0" customWidth="1"/>
    <x:col min="5" max="5" width="34" hidden="0" customWidth="1"/>
    <x:col min="6" max="6" width="13" hidden="0" customWidth="1"/>
    <x:col min="7" max="7" width="13" hidden="0" customWidth="1"/>
    <x:col min="8" max="8" width="37" hidden="0" customWidth="1"/>
    <x:col min="9" max="9" width="14" hidden="0" customWidth="1"/>
    <x:col min="10" max="10" width="11" hidden="0" customWidth="1"/>
  </x:cols>
  <x:sheetData>
    <x:row r="2">
      <x:c r="B2" s="3" t="str">
        <x:v>Procurement stop rules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source strategy progresses only through recorded artifacts. Ranking, enthusiasm, schedule pressure, or sunk cost cannot substitute for a closed gate.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Gate</x:v>
      </x:c>
      <x:c r="C6" s="20" t="str">
        <x:v>Class</x:v>
      </x:c>
      <x:c r="D6" s="20" t="str">
        <x:v>Decision question</x:v>
      </x:c>
      <x:c r="E6" s="20" t="str">
        <x:v>Required artifact</x:v>
      </x:c>
      <x:c r="F6" s="20" t="str">
        <x:v>Evidence</x:v>
      </x:c>
      <x:c r="G6" s="20" t="str">
        <x:v>Decision</x:v>
      </x:c>
      <x:c r="H6" s="20" t="str">
        <x:v>Consequence</x:v>
      </x:c>
      <x:c r="I6" s="20" t="str">
        <x:v>Rendering</x:v>
      </x:c>
      <x:c r="J6" s="20" t="str">
        <x:v>Credit</x:v>
      </x:c>
    </x:row>
    <x:row r="7">
      <x:c r="B7" s="21" t="str">
        <x:v>D01</x:v>
      </x:c>
      <x:c r="C7" s="21" t="str">
        <x:v>Solicitation baseline</x:v>
      </x:c>
      <x:c r="D7" s="21" t="str">
        <x:v>Are all family effect, burden, interface and failure requirements frozen?</x:v>
      </x:c>
      <x:c r="E7" s="21" t="str">
        <x:v>signed solicitation set</x:v>
      </x:c>
      <x:c r="F7" s="21" t="str">
        <x:v>OPEN</x:v>
      </x:c>
      <x:c r="G7" s="21" t="str">
        <x:v>HOLD</x:v>
      </x:c>
      <x:c r="H7" s="21" t="str">
        <x:v>repeat package freeze</x:v>
      </x:c>
      <x:c r="I7" s="21" t="str">
        <x:v>BLOCKED</x:v>
      </x:c>
      <x:c r="J7" s="23" t="n">
        <x:v>0</x:v>
      </x:c>
    </x:row>
    <x:row r="8">
      <x:c r="B8" s="21" t="str">
        <x:v>D02</x:v>
      </x:c>
      <x:c r="C8" s="21" t="str">
        <x:v>Authority separation</x:v>
      </x:c>
      <x:c r="D8" s="21" t="str">
        <x:v>Are requirements, builder, operator, evidence and release roles separated?</x:v>
      </x:c>
      <x:c r="E8" s="21" t="str">
        <x:v>signed conflict and authority matrix</x:v>
      </x:c>
      <x:c r="F8" s="21" t="str">
        <x:v>OPEN</x:v>
      </x:c>
      <x:c r="G8" s="21" t="str">
        <x:v>HOLD</x:v>
      </x:c>
      <x:c r="H8" s="21" t="str">
        <x:v>reassign authority</x:v>
      </x:c>
      <x:c r="I8" s="21" t="str">
        <x:v>BLOCKED</x:v>
      </x:c>
      <x:c r="J8" s="23" t="n">
        <x:v>0</x:v>
      </x:c>
    </x:row>
    <x:row r="9">
      <x:c r="B9" s="21" t="str">
        <x:v>D03</x:v>
      </x:c>
      <x:c r="C9" s="21" t="str">
        <x:v>Two roots per family</x:v>
      </x:c>
      <x:c r="D9" s="21" t="str">
        <x:v>Does every family retain two disclosed decisive roots?</x:v>
      </x:c>
      <x:c r="E9" s="21" t="str">
        <x:v>root-pair register</x:v>
      </x:c>
      <x:c r="F9" s="21" t="str">
        <x:v>OPEN</x:v>
      </x:c>
      <x:c r="G9" s="21" t="str">
        <x:v>HOLD</x:v>
      </x:c>
      <x:c r="H9" s="21" t="str">
        <x:v>add or recompete source</x:v>
      </x:c>
      <x:c r="I9" s="21" t="str">
        <x:v>BLOCKED</x:v>
      </x:c>
      <x:c r="J9" s="23" t="n">
        <x:v>0</x:v>
      </x:c>
    </x:row>
    <x:row r="10">
      <x:c r="B10" s="21" t="str">
        <x:v>D04</x:v>
      </x:c>
      <x:c r="C10" s="21" t="str">
        <x:v>Hard paper gates</x:v>
      </x:c>
      <x:c r="D10" s="21" t="str">
        <x:v>Does every provisional build award pass all twelve hard gates?</x:v>
      </x:c>
      <x:c r="E10" s="21" t="str">
        <x:v>paper gate record</x:v>
      </x:c>
      <x:c r="F10" s="21" t="str">
        <x:v>OPEN</x:v>
      </x:c>
      <x:c r="G10" s="21" t="str">
        <x:v>HOLD</x:v>
      </x:c>
      <x:c r="H10" s="21" t="str">
        <x:v>withhold build authority</x:v>
      </x:c>
      <x:c r="I10" s="21" t="str">
        <x:v>BLOCKED</x:v>
      </x:c>
      <x:c r="J10" s="23" t="n">
        <x:v>0</x:v>
      </x:c>
    </x:row>
    <x:row r="11">
      <x:c r="B11" s="21" t="str">
        <x:v>D05</x:v>
      </x:c>
      <x:c r="C11" s="21" t="str">
        <x:v>Physical reserves</x:v>
      </x:c>
      <x:c r="D11" s="21" t="str">
        <x:v>Does each proposal preserve 10 percent integration and 5 percent growth?</x:v>
      </x:c>
      <x:c r="E11" s="21" t="str">
        <x:v>burden allocation</x:v>
      </x:c>
      <x:c r="F11" s="21" t="str">
        <x:v>OPEN</x:v>
      </x:c>
      <x:c r="G11" s="21" t="str">
        <x:v>HOLD</x:v>
      </x:c>
      <x:c r="H11" s="21" t="str">
        <x:v>reopen family envelope</x:v>
      </x:c>
      <x:c r="I11" s="21" t="str">
        <x:v>BLOCKED</x:v>
      </x:c>
      <x:c r="J11" s="23" t="n">
        <x:v>0</x:v>
      </x:c>
    </x:row>
    <x:row r="12">
      <x:c r="B12" s="21" t="str">
        <x:v>D06</x:v>
      </x:c>
      <x:c r="C12" s="21" t="str">
        <x:v>Cost and schedule</x:v>
      </x:c>
      <x:c r="D12" s="21" t="str">
        <x:v>Do contract ceilings and lot releases fit the USD 6.8B and month-102 boundaries?</x:v>
      </x:c>
      <x:c r="E12" s="21" t="str">
        <x:v>cost and milestone record</x:v>
      </x:c>
      <x:c r="F12" s="21" t="str">
        <x:v>OPEN</x:v>
      </x:c>
      <x:c r="G12" s="21" t="str">
        <x:v>HOLD</x:v>
      </x:c>
      <x:c r="H12" s="21" t="str">
        <x:v>rephase or reduce scope</x:v>
      </x:c>
      <x:c r="I12" s="21" t="str">
        <x:v>BLOCKED</x:v>
      </x:c>
      <x:c r="J12" s="23" t="n">
        <x:v>0</x:v>
      </x:c>
    </x:row>
    <x:row r="13">
      <x:c r="B13" s="21" t="str">
        <x:v>D07</x:v>
      </x:c>
      <x:c r="C13" s="21" t="str">
        <x:v>Technical rights</x:v>
      </x:c>
      <x:c r="D13" s="21" t="str">
        <x:v>Are teardown, reproduction, interface and data rights complete?</x:v>
      </x:c>
      <x:c r="E13" s="21" t="str">
        <x:v>rights ledger</x:v>
      </x:c>
      <x:c r="F13" s="21" t="str">
        <x:v>OPEN</x:v>
      </x:c>
      <x:c r="G13" s="21" t="str">
        <x:v>HOLD</x:v>
      </x:c>
      <x:c r="H13" s="21" t="str">
        <x:v>withhold award</x:v>
      </x:c>
      <x:c r="I13" s="21" t="str">
        <x:v>BLOCKED</x:v>
      </x:c>
      <x:c r="J13" s="23" t="n">
        <x:v>0</x:v>
      </x:c>
    </x:row>
    <x:row r="14">
      <x:c r="B14" s="21" t="str">
        <x:v>D08</x:v>
      </x:c>
      <x:c r="C14" s="21" t="str">
        <x:v>Facility capacity</x:v>
      </x:c>
      <x:c r="D14" s="21" t="str">
        <x:v>Can independent facilities execute every reserved exposure?</x:v>
      </x:c>
      <x:c r="E14" s="21" t="str">
        <x:v>facility reservation</x:v>
      </x:c>
      <x:c r="F14" s="21" t="str">
        <x:v>OPEN</x:v>
      </x:c>
      <x:c r="G14" s="21" t="str">
        <x:v>HOLD</x:v>
      </x:c>
      <x:c r="H14" s="21" t="str">
        <x:v>add capacity or shift schedule</x:v>
      </x:c>
      <x:c r="I14" s="21" t="str">
        <x:v>BLOCKED</x:v>
      </x:c>
      <x:c r="J14" s="23" t="n">
        <x:v>0</x:v>
      </x:c>
    </x:row>
    <x:row r="15">
      <x:c r="B15" s="21" t="str">
        <x:v>D09</x:v>
      </x:c>
      <x:c r="C15" s="21" t="str">
        <x:v>Long leads</x:v>
      </x:c>
      <x:c r="D15" s="21" t="str">
        <x:v>Can selected roots place every decisive long lead after freeze and before need?</x:v>
      </x:c>
      <x:c r="E15" s="21" t="str">
        <x:v>long-lead register</x:v>
      </x:c>
      <x:c r="F15" s="21" t="str">
        <x:v>OPEN</x:v>
      </x:c>
      <x:c r="G15" s="21" t="str">
        <x:v>HOLD</x:v>
      </x:c>
      <x:c r="H15" s="21" t="str">
        <x:v>accelerate source or delay lot</x:v>
      </x:c>
      <x:c r="I15" s="21" t="str">
        <x:v>BLOCKED</x:v>
      </x:c>
      <x:c r="J15" s="23" t="n">
        <x:v>0</x:v>
      </x:c>
    </x:row>
    <x:row r="16">
      <x:c r="B16" s="21" t="str">
        <x:v>D10</x:v>
      </x:c>
      <x:c r="C16" s="21" t="str">
        <x:v>Government standards</x:v>
      </x:c>
      <x:c r="D16" s="21" t="str">
        <x:v>Are public standards and fixtures funded and available?</x:v>
      </x:c>
      <x:c r="E16" s="21" t="str">
        <x:v>GFE standard register</x:v>
      </x:c>
      <x:c r="F16" s="21" t="str">
        <x:v>OPEN</x:v>
      </x:c>
      <x:c r="G16" s="21" t="str">
        <x:v>HOLD</x:v>
      </x:c>
      <x:c r="H16" s="21" t="str">
        <x:v>withhold evidence start</x:v>
      </x:c>
      <x:c r="I16" s="21" t="str">
        <x:v>BLOCKED</x:v>
      </x:c>
      <x:c r="J16" s="23" t="n">
        <x:v>0</x:v>
      </x:c>
    </x:row>
    <x:row r="17">
      <x:c r="B17" s="21" t="str">
        <x:v>D11</x:v>
      </x:c>
      <x:c r="C17" s="21" t="str">
        <x:v>Prime concentration</x:v>
      </x:c>
      <x:c r="D17" s="21" t="str">
        <x:v>Does no integrator control more than four build awards?</x:v>
      </x:c>
      <x:c r="E17" s="21" t="str">
        <x:v>portfolio concentration table</x:v>
      </x:c>
      <x:c r="F17" s="21" t="str">
        <x:v>OPEN</x:v>
      </x:c>
      <x:c r="G17" s="21" t="str">
        <x:v>HOLD</x:v>
      </x:c>
      <x:c r="H17" s="21" t="str">
        <x:v>rebalance award</x:v>
      </x:c>
      <x:c r="I17" s="21" t="str">
        <x:v>BLOCKED</x:v>
      </x:c>
      <x:c r="J17" s="23" t="n">
        <x:v>0</x:v>
      </x:c>
    </x:row>
    <x:row r="18">
      <x:c r="B18" s="21" t="str">
        <x:v>D12</x:v>
      </x:c>
      <x:c r="C18" s="21" t="str">
        <x:v>Article custody</x:v>
      </x:c>
      <x:c r="D18" s="21" t="str">
        <x:v>Are engineering, destructive and protected lots separate across both roots?</x:v>
      </x:c>
      <x:c r="E18" s="21" t="str">
        <x:v>serial lot ledger</x:v>
      </x:c>
      <x:c r="F18" s="21" t="str">
        <x:v>OPEN</x:v>
      </x:c>
      <x:c r="G18" s="21" t="str">
        <x:v>HOLD</x:v>
      </x:c>
      <x:c r="H18" s="21" t="str">
        <x:v>withhold campaign admission</x:v>
      </x:c>
      <x:c r="I18" s="21" t="str">
        <x:v>BLOCKED</x:v>
      </x:c>
      <x:c r="J18" s="23" t="n">
        <x:v>0</x:v>
      </x:c>
    </x:row>
    <x:row r="19">
      <x:c r="B19" s="21" t="str">
        <x:v>D13</x:v>
      </x:c>
      <x:c r="C19" s="21" t="str">
        <x:v>Artifact payment</x:v>
      </x:c>
      <x:c r="D19" s="21" t="str">
        <x:v>Is payment tied to accepted physical artifacts rather than document completion?</x:v>
      </x:c>
      <x:c r="E19" s="21" t="str">
        <x:v>milestone register</x:v>
      </x:c>
      <x:c r="F19" s="21" t="str">
        <x:v>OPEN</x:v>
      </x:c>
      <x:c r="G19" s="21" t="str">
        <x:v>HOLD</x:v>
      </x:c>
      <x:c r="H19" s="21" t="str">
        <x:v>withhold payment</x:v>
      </x:c>
      <x:c r="I19" s="21" t="str">
        <x:v>BLOCKED</x:v>
      </x:c>
      <x:c r="J19" s="23" t="n">
        <x:v>0</x:v>
      </x:c>
    </x:row>
    <x:row r="20">
      <x:c r="B20" s="21" t="str">
        <x:v>D14</x:v>
      </x:c>
      <x:c r="C20" s="21" t="str">
        <x:v>Representative acceptance</x:v>
      </x:c>
      <x:c r="D20" s="21" t="str">
        <x:v>Have the selected families passed their physical acceptance records?</x:v>
      </x:c>
      <x:c r="E20" s="21" t="str">
        <x:v>accepted MESA-1D set</x:v>
      </x:c>
      <x:c r="F20" s="21" t="str">
        <x:v>OPEN</x:v>
      </x:c>
      <x:c r="G20" s="21" t="str">
        <x:v>HOLD</x:v>
      </x:c>
      <x:c r="H20" s="21" t="str">
        <x:v>hold campaign credit</x:v>
      </x:c>
      <x:c r="I20" s="21" t="str">
        <x:v>BLOCKED</x:v>
      </x:c>
      <x:c r="J20" s="23" t="n">
        <x:v>0</x:v>
      </x:c>
    </x:row>
    <x:row r="21">
      <x:c r="B21" s="21" t="str">
        <x:v>D15</x:v>
      </x:c>
      <x:c r="C21" s="21" t="str">
        <x:v>Independent P08</x:v>
      </x:c>
      <x:c r="D21" s="21" t="str">
        <x:v>Has a second technical root passed the frozen complete mission?</x:v>
      </x:c>
      <x:c r="E21" s="21" t="str">
        <x:v>accepted second-lot P08</x:v>
      </x:c>
      <x:c r="F21" s="21" t="str">
        <x:v>OPEN</x:v>
      </x:c>
      <x:c r="G21" s="21" t="str">
        <x:v>HOLD</x:v>
      </x:c>
      <x:c r="H21" s="21" t="str">
        <x:v>hold production</x:v>
      </x:c>
      <x:c r="I21" s="21" t="str">
        <x:v>BLOCKED</x:v>
      </x:c>
      <x:c r="J21" s="23" t="n">
        <x:v>0</x:v>
      </x:c>
    </x:row>
    <x:row r="22">
      <x:c r="B22" s="24" t="str">
        <x:v>D16</x:v>
      </x:c>
      <x:c r="C22" s="24" t="str">
        <x:v>Form authority</x:v>
      </x:c>
      <x:c r="D22" s="24" t="str">
        <x:v>Do measured sections and accepted P08 support internal and exterior form?</x:v>
      </x:c>
      <x:c r="E22" s="24" t="str">
        <x:v>form-authority record</x:v>
      </x:c>
      <x:c r="F22" s="24" t="str">
        <x:v>OPEN</x:v>
      </x:c>
      <x:c r="G22" s="24" t="str">
        <x:v>HOLD</x:v>
      </x:c>
      <x:c r="H22" s="24" t="str">
        <x:v>retain rendering prohibition</x:v>
      </x:c>
      <x:c r="I22" s="24" t="str">
        <x:v>BLOCKED</x:v>
      </x:c>
      <x:c r="J22" s="26" t="n">
        <x:v>0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B3:J3"/>
  </x:mergeCells>
  <x:conditionalFormatting sqref="F7:I22">
    <x:cfRule type="containsText" dxfId="65" priority="1" operator="containsText" text="OPEN"/>
    <x:cfRule type="containsText" dxfId="66" priority="2" operator="containsText" text="HOLD"/>
    <x:cfRule type="containsText" dxfId="67" priority="3" operator="containsText" text="BLOCKED"/>
    <x:cfRule type="containsText" dxfId="68" priority="4" operator="containsText" text="CHALLENGE ONLY"/>
    <x:cfRule type="containsText" dxfId="69" priority="5" operator="containsText" text="FAIL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0" hidden="0" customWidth="1"/>
    <x:col min="4" max="4" width="66" hidden="0" customWidth="1"/>
    <x:col min="5" max="5" width="18" hidden="0" customWidth="1"/>
    <x:col min="6" max="6" width="18" hidden="0" customWidth="1"/>
    <x:col min="7" max="7" width="12" hidden="0" customWidth="1"/>
  </x:cols>
  <x:sheetData>
    <x:row r="2">
      <x:c r="B2" s="3" t="str">
        <x:v>Deterministic model audit</x:v>
      </x:c>
      <x:c r="C2" s="2"/>
      <x:c r="D2" s="2"/>
      <x:c r="E2" s="2"/>
      <x:c r="F2" s="2"/>
      <x:c r="G2" s="2"/>
    </x:row>
    <x:row r="3">
      <x:c r="B3" s="4" t="str">
        <x:v>Controls validate structure, reconciliation, stop rules, and preservation of uncertainty. Passing this sheet cannot create physical evidence or award authority.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19" t="str">
        <x:v>Control</x:v>
      </x:c>
      <x:c r="C6" s="20" t="str">
        <x:v>Class</x:v>
      </x:c>
      <x:c r="D6" s="20" t="str">
        <x:v>Test</x:v>
      </x:c>
      <x:c r="E6" s="20" t="str">
        <x:v>Observed</x:v>
      </x:c>
      <x:c r="F6" s="20" t="str">
        <x:v>Required</x:v>
      </x:c>
      <x:c r="G6" s="20" t="str">
        <x:v>Result</x:v>
      </x:c>
    </x:row>
    <x:row r="7">
      <x:c r="B7" s="21" t="str">
        <x:v>A0001</x:v>
      </x:c>
      <x:c r="C7" s="21" t="str">
        <x:v>global</x:v>
      </x:c>
      <x:c r="D7" s="21" t="str">
        <x:v>eleven family packages</x:v>
      </x:c>
      <x:c r="E7" s="21" t="n">
        <x:f>COUNTA('Family Packages'!B7:B17)</x:f>
        <x:v>11</x:v>
      </x:c>
      <x:c r="F7" s="21" t="n">
        <x:v>11</x:v>
      </x:c>
      <x:c r="G7" s="23" t="str">
        <x:f>IF(E7=F7,"PASS","FAIL")</x:f>
        <x:v>PASS</x:v>
      </x:c>
    </x:row>
    <x:row r="8">
      <x:c r="B8" s="21" t="str">
        <x:v>A0002</x:v>
      </x:c>
      <x:c r="C8" s="21" t="str">
        <x:v>global</x:v>
      </x:c>
      <x:c r="D8" s="21" t="str">
        <x:v>132 requirements</x:v>
      </x:c>
      <x:c r="E8" s="21" t="n">
        <x:f>COUNTA('Requirement Register'!B7:B138)</x:f>
        <x:v>132</x:v>
      </x:c>
      <x:c r="F8" s="21" t="n">
        <x:v>132</x:v>
      </x:c>
      <x:c r="G8" s="23" t="str">
        <x:f>IF(E8=F8,"PASS","FAIL")</x:f>
        <x:v>PASS</x:v>
      </x:c>
    </x:row>
    <x:row r="9">
      <x:c r="B9" s="21" t="str">
        <x:v>A0003</x:v>
      </x:c>
      <x:c r="C9" s="21" t="str">
        <x:v>global</x:v>
      </x:c>
      <x:c r="D9" s="21" t="str">
        <x:v>33 proposals</x:v>
      </x:c>
      <x:c r="E9" s="21" t="n">
        <x:f>COUNTA('Bid Register'!B7:B39)</x:f>
        <x:v>33</x:v>
      </x:c>
      <x:c r="F9" s="21" t="n">
        <x:v>33</x:v>
      </x:c>
      <x:c r="G9" s="23" t="str">
        <x:f>IF(E9=F9,"PASS","FAIL")</x:f>
        <x:v>PASS</x:v>
      </x:c>
    </x:row>
    <x:row r="10">
      <x:c r="B10" s="21" t="str">
        <x:v>A0004</x:v>
      </x:c>
      <x:c r="C10" s="21" t="str">
        <x:v>global</x:v>
      </x:c>
      <x:c r="D10" s="21" t="str">
        <x:v>396 hard-gate records</x:v>
      </x:c>
      <x:c r="E10" s="21" t="n">
        <x:f>COUNTA('Paper Gates'!B7:B402)</x:f>
        <x:v>396</x:v>
      </x:c>
      <x:c r="F10" s="21" t="n">
        <x:v>396</x:v>
      </x:c>
      <x:c r="G10" s="23" t="str">
        <x:f>IF(E10=F10,"PASS","FAIL")</x:f>
        <x:v>PASS</x:v>
      </x:c>
    </x:row>
    <x:row r="11">
      <x:c r="B11" s="21" t="str">
        <x:v>A0005</x:v>
      </x:c>
      <x:c r="C11" s="21" t="str">
        <x:v>global</x:v>
      </x:c>
      <x:c r="D11" s="21" t="str">
        <x:v>198 merit records</x:v>
      </x:c>
      <x:c r="E11" s="21" t="n">
        <x:f>COUNTA('Merit Review'!B7:B204)</x:f>
        <x:v>198</x:v>
      </x:c>
      <x:c r="F11" s="21" t="n">
        <x:v>198</x:v>
      </x:c>
      <x:c r="G11" s="23" t="str">
        <x:f>IF(E11=F11,"PASS","FAIL")</x:f>
        <x:v>PASS</x:v>
      </x:c>
    </x:row>
    <x:row r="12">
      <x:c r="B12" s="21" t="str">
        <x:v>A0006</x:v>
      </x:c>
      <x:c r="C12" s="21" t="str">
        <x:v>global</x:v>
      </x:c>
      <x:c r="D12" s="21" t="str">
        <x:v>264 rights records</x:v>
      </x:c>
      <x:c r="E12" s="21" t="n">
        <x:f>COUNTA('Rights Register'!B7:B270)</x:f>
        <x:v>264</x:v>
      </x:c>
      <x:c r="F12" s="21" t="n">
        <x:v>264</x:v>
      </x:c>
      <x:c r="G12" s="23" t="str">
        <x:f>IF(E12=F12,"PASS","FAIL")</x:f>
        <x:v>PASS</x:v>
      </x:c>
    </x:row>
    <x:row r="13">
      <x:c r="B13" s="21" t="str">
        <x:v>A0007</x:v>
      </x:c>
      <x:c r="C13" s="21" t="str">
        <x:v>global</x:v>
      </x:c>
      <x:c r="D13" s="21" t="str">
        <x:v>66 article lots</x:v>
      </x:c>
      <x:c r="E13" s="21" t="n">
        <x:f>COUNTA('Article Lots'!B7:B72)</x:f>
        <x:v>66</x:v>
      </x:c>
      <x:c r="F13" s="21" t="n">
        <x:v>66</x:v>
      </x:c>
      <x:c r="G13" s="23" t="str">
        <x:f>IF(E13=F13,"PASS","FAIL")</x:f>
        <x:v>PASS</x:v>
      </x:c>
    </x:row>
    <x:row r="14">
      <x:c r="B14" s="21" t="str">
        <x:v>A0008</x:v>
      </x:c>
      <x:c r="C14" s="21" t="str">
        <x:v>global</x:v>
      </x:c>
      <x:c r="D14" s="21" t="str">
        <x:v>254 articles</x:v>
      </x:c>
      <x:c r="E14" s="21" t="n">
        <x:f>SUM('Article Lots'!G7:G72)</x:f>
        <x:v>254</x:v>
      </x:c>
      <x:c r="F14" s="21" t="n">
        <x:v>254</x:v>
      </x:c>
      <x:c r="G14" s="23" t="str">
        <x:f>IF(E14=F14,"PASS","FAIL")</x:f>
        <x:v>PASS</x:v>
      </x:c>
    </x:row>
    <x:row r="15">
      <x:c r="B15" s="21" t="str">
        <x:v>A0009</x:v>
      </x:c>
      <x:c r="C15" s="21" t="str">
        <x:v>global</x:v>
      </x:c>
      <x:c r="D15" s="21" t="str">
        <x:v>article cost</x:v>
      </x:c>
      <x:c r="E15" s="21" t="n">
        <x:f>SUM('Article Lots'!I7:I72)</x:f>
        <x:v>1.7639999999999993</x:v>
      </x:c>
      <x:c r="F15" s="21" t="n">
        <x:v>1.764</x:v>
      </x:c>
      <x:c r="G15" s="23" t="str">
        <x:f>IF(E15=F15,"PASS","FAIL")</x:f>
        <x:v>PASS</x:v>
      </x:c>
    </x:row>
    <x:row r="16">
      <x:c r="B16" s="21" t="str">
        <x:v>A0010</x:v>
      </x:c>
      <x:c r="C16" s="21" t="str">
        <x:v>global</x:v>
      </x:c>
      <x:c r="D16" s="21" t="str">
        <x:v>15 government standards</x:v>
      </x:c>
      <x:c r="E16" s="21" t="n">
        <x:f>COUNTA('GFE Standards'!B7:B21)</x:f>
        <x:v>15</x:v>
      </x:c>
      <x:c r="F16" s="21" t="n">
        <x:v>15</x:v>
      </x:c>
      <x:c r="G16" s="23" t="str">
        <x:f>IF(E16=F16,"PASS","FAIL")</x:f>
        <x:v>PASS</x:v>
      </x:c>
    </x:row>
    <x:row r="17">
      <x:c r="B17" s="21" t="str">
        <x:v>A0011</x:v>
      </x:c>
      <x:c r="C17" s="21" t="str">
        <x:v>global</x:v>
      </x:c>
      <x:c r="D17" s="21" t="str">
        <x:v>government standards cost</x:v>
      </x:c>
      <x:c r="E17" s="21" t="n">
        <x:f>SUM('GFE Standards'!E7:E21)</x:f>
        <x:v>0.44000000000000006</x:v>
      </x:c>
      <x:c r="F17" s="21" t="n">
        <x:v>0.44</x:v>
      </x:c>
      <x:c r="G17" s="23" t="str">
        <x:f>IF(E17=F17,"PASS","FAIL")</x:f>
        <x:v>PASS</x:v>
      </x:c>
    </x:row>
    <x:row r="18">
      <x:c r="B18" s="21" t="str">
        <x:v>A0012</x:v>
      </x:c>
      <x:c r="C18" s="21" t="str">
        <x:v>global</x:v>
      </x:c>
      <x:c r="D18" s="21" t="str">
        <x:v>22 long leads</x:v>
      </x:c>
      <x:c r="E18" s="21" t="n">
        <x:f>COUNTA('Long Leads'!B7:B28)</x:f>
        <x:v>22</x:v>
      </x:c>
      <x:c r="F18" s="21" t="n">
        <x:v>22</x:v>
      </x:c>
      <x:c r="G18" s="23" t="str">
        <x:f>IF(E18=F18,"PASS","FAIL")</x:f>
        <x:v>PASS</x:v>
      </x:c>
    </x:row>
    <x:row r="19">
      <x:c r="B19" s="21" t="str">
        <x:v>A0013</x:v>
      </x:c>
      <x:c r="C19" s="21" t="str">
        <x:v>global</x:v>
      </x:c>
      <x:c r="D19" s="21" t="str">
        <x:v>165 milestones</x:v>
      </x:c>
      <x:c r="E19" s="21" t="n">
        <x:f>COUNTA(Milestones!B7:B171)</x:f>
        <x:v>165</x:v>
      </x:c>
      <x:c r="F19" s="21" t="n">
        <x:v>165</x:v>
      </x:c>
      <x:c r="G19" s="23" t="str">
        <x:f>IF(E19=F19,"PASS","FAIL")</x:f>
        <x:v>PASS</x:v>
      </x:c>
    </x:row>
    <x:row r="20">
      <x:c r="B20" s="21" t="str">
        <x:v>A0014</x:v>
      </x:c>
      <x:c r="C20" s="21" t="str">
        <x:v>global</x:v>
      </x:c>
      <x:c r="D20" s="21" t="str">
        <x:v>72 facility-years</x:v>
      </x:c>
      <x:c r="E20" s="21" t="n">
        <x:f>COUNTA('Facility Reserve'!B7:B78)</x:f>
        <x:v>72</x:v>
      </x:c>
      <x:c r="F20" s="21" t="n">
        <x:v>72</x:v>
      </x:c>
      <x:c r="G20" s="23" t="str">
        <x:f>IF(E20=F20,"PASS","FAIL")</x:f>
        <x:v>PASS</x:v>
      </x:c>
    </x:row>
    <x:row r="21">
      <x:c r="B21" s="21" t="str">
        <x:v>A0015</x:v>
      </x:c>
      <x:c r="C21" s="21" t="str">
        <x:v>global</x:v>
      </x:c>
      <x:c r="D21" s="21" t="str">
        <x:v>program ceiling</x:v>
      </x:c>
      <x:c r="E21" s="21" t="n">
        <x:f>'Cost Phasing'!L17</x:f>
        <x:v>6.799999999999999</x:v>
      </x:c>
      <x:c r="F21" s="21" t="n">
        <x:v>6.8</x:v>
      </x:c>
      <x:c r="G21" s="23" t="str">
        <x:f>IF(E21=F21,"PASS","FAIL")</x:f>
        <x:v>PASS</x:v>
      </x:c>
    </x:row>
    <x:row r="22">
      <x:c r="B22" s="21" t="str">
        <x:v>A0016</x:v>
      </x:c>
      <x:c r="C22" s="21" t="str">
        <x:v>global</x:v>
      </x:c>
      <x:c r="D22" s="21" t="str">
        <x:v>program variance zero</x:v>
      </x:c>
      <x:c r="E22" s="21" t="n">
        <x:f>'Cost Phasing'!N17</x:f>
        <x:v>-8.881784197001252e-16</x:v>
      </x:c>
      <x:c r="F22" s="21" t="n">
        <x:v>0</x:v>
      </x:c>
      <x:c r="G22" s="23" t="str">
        <x:f>IF(E22=F22,"PASS","FAIL")</x:f>
        <x:v>PASS</x:v>
      </x:c>
    </x:row>
    <x:row r="23">
      <x:c r="B23" s="21" t="str">
        <x:v>A0017</x:v>
      </x:c>
      <x:c r="C23" s="21" t="str">
        <x:v>global</x:v>
      </x:c>
      <x:c r="D23" s="21" t="str">
        <x:v>rendering prohibited</x:v>
      </x:c>
      <x:c r="E23" s="21" t="n">
        <x:f>Assumptions!C26</x:f>
        <x:v>0</x:v>
      </x:c>
      <x:c r="F23" s="21" t="n">
        <x:v>0</x:v>
      </x:c>
      <x:c r="G23" s="23" t="str">
        <x:f>IF(E23=F23,"PASS","FAIL")</x:f>
        <x:v>PASS</x:v>
      </x:c>
    </x:row>
    <x:row r="24">
      <x:c r="B24" s="21" t="str">
        <x:v>A0018</x:v>
      </x:c>
      <x:c r="C24" s="21" t="str">
        <x:v>family</x:v>
      </x:c>
      <x:c r="D24" s="21" t="str">
        <x:v>ATC-A01 positive mass</x:v>
      </x:c>
      <x:c r="E24" s="21" t="n">
        <x:f>IF('Family Packages'!E7&gt;0,1,0)</x:f>
        <x:v>1</x:v>
      </x:c>
      <x:c r="F24" s="21" t="n">
        <x:v>1</x:v>
      </x:c>
      <x:c r="G24" s="23" t="str">
        <x:f>IF(E24=F24,"PASS","FAIL")</x:f>
        <x:v>PASS</x:v>
      </x:c>
    </x:row>
    <x:row r="25">
      <x:c r="B25" s="21" t="str">
        <x:v>A0019</x:v>
      </x:c>
      <x:c r="C25" s="21" t="str">
        <x:v>family</x:v>
      </x:c>
      <x:c r="D25" s="21" t="str">
        <x:v>ATC-A01 positive volume</x:v>
      </x:c>
      <x:c r="E25" s="21" t="n">
        <x:f>IF('Family Packages'!F7&gt;0,1,0)</x:f>
        <x:v>1</x:v>
      </x:c>
      <x:c r="F25" s="21" t="n">
        <x:v>1</x:v>
      </x:c>
      <x:c r="G25" s="23" t="str">
        <x:f>IF(E25=F25,"PASS","FAIL")</x:f>
        <x:v>PASS</x:v>
      </x:c>
    </x:row>
    <x:row r="26">
      <x:c r="B26" s="21" t="str">
        <x:v>A0020</x:v>
      </x:c>
      <x:c r="C26" s="21" t="str">
        <x:v>family</x:v>
      </x:c>
      <x:c r="D26" s="21" t="str">
        <x:v>ATC-A01 energy formula</x:v>
      </x:c>
      <x:c r="E26" s="21" t="n">
        <x:f>IF(ABS('Family Packages'!J7-'Family Packages'!G7*168*1.25/1000)&lt;0.000001,1,0)</x:f>
        <x:v>1</x:v>
      </x:c>
      <x:c r="F26" s="21" t="n">
        <x:v>1</x:v>
      </x:c>
      <x:c r="G26" s="23" t="str">
        <x:f>IF(E26=F26,"PASS","FAIL")</x:f>
        <x:v>PASS</x:v>
      </x:c>
    </x:row>
    <x:row r="27">
      <x:c r="B27" s="21" t="str">
        <x:v>A0021</x:v>
      </x:c>
      <x:c r="C27" s="21" t="str">
        <x:v>family</x:v>
      </x:c>
      <x:c r="D27" s="21" t="str">
        <x:v>ATC-A01 heat formula</x:v>
      </x:c>
      <x:c r="E27" s="21" t="n">
        <x:f>IF(ABS('Family Packages'!K7-'Family Packages'!H7*1.2/1000)&lt;0.000001,1,0)</x:f>
        <x:v>1</x:v>
      </x:c>
      <x:c r="F27" s="21" t="n">
        <x:v>1</x:v>
      </x:c>
      <x:c r="G27" s="23" t="str">
        <x:f>IF(E27=F27,"PASS","FAIL")</x:f>
        <x:v>PASS</x:v>
      </x:c>
    </x:row>
    <x:row r="28">
      <x:c r="B28" s="21" t="str">
        <x:v>A0022</x:v>
      </x:c>
      <x:c r="C28" s="21" t="str">
        <x:v>family</x:v>
      </x:c>
      <x:c r="D28" s="21" t="str">
        <x:v>ATC-A01 three proposals</x:v>
      </x:c>
      <x:c r="E28" s="21" t="n">
        <x:f>COUNTIF('Bid Register'!C7:C39,"ATC-A01")</x:f>
        <x:v>3</x:v>
      </x:c>
      <x:c r="F28" s="21" t="n">
        <x:v>3</x:v>
      </x:c>
      <x:c r="G28" s="23" t="str">
        <x:f>IF(E28=F28,"PASS","FAIL")</x:f>
        <x:v>PASS</x:v>
      </x:c>
    </x:row>
    <x:row r="29">
      <x:c r="B29" s="21" t="str">
        <x:v>A0023</x:v>
      </x:c>
      <x:c r="C29" s="21" t="str">
        <x:v>family</x:v>
      </x:c>
      <x:c r="D29" s="21" t="str">
        <x:v>ATC-A01 two build paths</x:v>
      </x:c>
      <x:c r="E29" s="21" t="n">
        <x:f>COUNTIFS('Award Portfolio'!C7:C39,"ATC-A01",'Award Portfolio'!J7:J39,"PROVISIONAL BUILD")</x:f>
        <x:v>2</x:v>
      </x:c>
      <x:c r="F29" s="21" t="n">
        <x:v>2</x:v>
      </x:c>
      <x:c r="G29" s="23" t="str">
        <x:f>IF(E29=F29,"PASS","FAIL")</x:f>
        <x:v>PASS</x:v>
      </x:c>
    </x:row>
    <x:row r="30">
      <x:c r="B30" s="21" t="str">
        <x:v>A0024</x:v>
      </x:c>
      <x:c r="C30" s="21" t="str">
        <x:v>family</x:v>
      </x:c>
      <x:c r="D30" s="21" t="str">
        <x:v>ATC-A01 one challenge path</x:v>
      </x:c>
      <x:c r="E30" s="21" t="n">
        <x:f>COUNTIFS('Award Portfolio'!C7:C39,"ATC-A01",'Award Portfolio'!J7:J39,"CHALLENGE ONLY")</x:f>
        <x:v>1</x:v>
      </x:c>
      <x:c r="F30" s="21" t="n">
        <x:v>1</x:v>
      </x:c>
      <x:c r="G30" s="23" t="str">
        <x:f>IF(E30=F30,"PASS","FAIL")</x:f>
        <x:v>PASS</x:v>
      </x:c>
    </x:row>
    <x:row r="31">
      <x:c r="B31" s="21" t="str">
        <x:v>A0025</x:v>
      </x:c>
      <x:c r="C31" s="21" t="str">
        <x:v>family</x:v>
      </x:c>
      <x:c r="D31" s="21" t="str">
        <x:v>ATC-A01 twelve requirements</x:v>
      </x:c>
      <x:c r="E31" s="21" t="n">
        <x:f>COUNTIF('Requirement Register'!C7:C138,"ATC-A01")</x:f>
        <x:v>12</x:v>
      </x:c>
      <x:c r="F31" s="21" t="n">
        <x:v>12</x:v>
      </x:c>
      <x:c r="G31" s="23" t="str">
        <x:f>IF(E31=F31,"PASS","FAIL")</x:f>
        <x:v>PASS</x:v>
      </x:c>
    </x:row>
    <x:row r="32">
      <x:c r="B32" s="21" t="str">
        <x:v>A0026</x:v>
      </x:c>
      <x:c r="C32" s="21" t="str">
        <x:v>family</x:v>
      </x:c>
      <x:c r="D32" s="21" t="str">
        <x:v>ATC-A01 thirty-six gate records</x:v>
      </x:c>
      <x:c r="E32" s="21" t="n">
        <x:f>COUNTIF('Paper Gates'!D7:D402,"ATC-A01")</x:f>
        <x:v>36</x:v>
      </x:c>
      <x:c r="F32" s="21" t="n">
        <x:v>36</x:v>
      </x:c>
      <x:c r="G32" s="23" t="str">
        <x:f>IF(E32=F32,"PASS","FAIL")</x:f>
        <x:v>PASS</x:v>
      </x:c>
    </x:row>
    <x:row r="33">
      <x:c r="B33" s="21" t="str">
        <x:v>A0027</x:v>
      </x:c>
      <x:c r="C33" s="21" t="str">
        <x:v>family</x:v>
      </x:c>
      <x:c r="D33" s="21" t="str">
        <x:v>ATC-A01 twenty-four rights</x:v>
      </x:c>
      <x:c r="E33" s="21" t="n">
        <x:f>COUNTIF('Rights Register'!D7:D270,"ATC-A01")</x:f>
        <x:v>24</x:v>
      </x:c>
      <x:c r="F33" s="21" t="n">
        <x:v>24</x:v>
      </x:c>
      <x:c r="G33" s="23" t="str">
        <x:f>IF(E33=F33,"PASS","FAIL")</x:f>
        <x:v>PASS</x:v>
      </x:c>
    </x:row>
    <x:row r="34">
      <x:c r="B34" s="21" t="str">
        <x:v>A0028</x:v>
      </x:c>
      <x:c r="C34" s="21" t="str">
        <x:v>family</x:v>
      </x:c>
      <x:c r="D34" s="21" t="str">
        <x:v>ATC-A01 six lot records</x:v>
      </x:c>
      <x:c r="E34" s="21" t="n">
        <x:f>COUNTIF('Article Lots'!C7:C72,"ATC-A01")</x:f>
        <x:v>6</x:v>
      </x:c>
      <x:c r="F34" s="21" t="n">
        <x:v>6</x:v>
      </x:c>
      <x:c r="G34" s="23" t="str">
        <x:f>IF(E34=F34,"PASS","FAIL")</x:f>
        <x:v>PASS</x:v>
      </x:c>
    </x:row>
    <x:row r="35">
      <x:c r="B35" s="21" t="str">
        <x:v>A0029</x:v>
      </x:c>
      <x:c r="C35" s="21" t="str">
        <x:v>family</x:v>
      </x:c>
      <x:c r="D35" s="21" t="str">
        <x:v>ATC-A01 contract split</x:v>
      </x:c>
      <x:c r="E35" s="21" t="n">
        <x:f>SUMIF('Award Portfolio'!C7:C39,"ATC-A01",'Award Portfolio'!I7:I39)</x:f>
        <x:v>0.24</x:v>
      </x:c>
      <x:c r="F35" s="21" t="n">
        <x:v>0.24</x:v>
      </x:c>
      <x:c r="G35" s="23" t="str">
        <x:f>IF(E35=F35,"PASS","FAIL")</x:f>
        <x:v>PASS</x:v>
      </x:c>
    </x:row>
    <x:row r="36">
      <x:c r="B36" s="21" t="str">
        <x:v>A0030</x:v>
      </x:c>
      <x:c r="C36" s="21" t="str">
        <x:v>family</x:v>
      </x:c>
      <x:c r="D36" s="21" t="str">
        <x:v>TTC-T01 positive mass</x:v>
      </x:c>
      <x:c r="E36" s="21" t="n">
        <x:f>IF('Family Packages'!E8&gt;0,1,0)</x:f>
        <x:v>1</x:v>
      </x:c>
      <x:c r="F36" s="21" t="n">
        <x:v>1</x:v>
      </x:c>
      <x:c r="G36" s="23" t="str">
        <x:f>IF(E36=F36,"PASS","FAIL")</x:f>
        <x:v>PASS</x:v>
      </x:c>
    </x:row>
    <x:row r="37">
      <x:c r="B37" s="21" t="str">
        <x:v>A0031</x:v>
      </x:c>
      <x:c r="C37" s="21" t="str">
        <x:v>family</x:v>
      </x:c>
      <x:c r="D37" s="21" t="str">
        <x:v>TTC-T01 positive volume</x:v>
      </x:c>
      <x:c r="E37" s="21" t="n">
        <x:f>IF('Family Packages'!F8&gt;0,1,0)</x:f>
        <x:v>1</x:v>
      </x:c>
      <x:c r="F37" s="21" t="n">
        <x:v>1</x:v>
      </x:c>
      <x:c r="G37" s="23" t="str">
        <x:f>IF(E37=F37,"PASS","FAIL")</x:f>
        <x:v>PASS</x:v>
      </x:c>
    </x:row>
    <x:row r="38">
      <x:c r="B38" s="21" t="str">
        <x:v>A0032</x:v>
      </x:c>
      <x:c r="C38" s="21" t="str">
        <x:v>family</x:v>
      </x:c>
      <x:c r="D38" s="21" t="str">
        <x:v>TTC-T01 energy formula</x:v>
      </x:c>
      <x:c r="E38" s="21" t="n">
        <x:f>IF(ABS('Family Packages'!J8-'Family Packages'!G8*168*1.25/1000)&lt;0.000001,1,0)</x:f>
        <x:v>1</x:v>
      </x:c>
      <x:c r="F38" s="21" t="n">
        <x:v>1</x:v>
      </x:c>
      <x:c r="G38" s="23" t="str">
        <x:f>IF(E38=F38,"PASS","FAIL")</x:f>
        <x:v>PASS</x:v>
      </x:c>
    </x:row>
    <x:row r="39">
      <x:c r="B39" s="21" t="str">
        <x:v>A0033</x:v>
      </x:c>
      <x:c r="C39" s="21" t="str">
        <x:v>family</x:v>
      </x:c>
      <x:c r="D39" s="21" t="str">
        <x:v>TTC-T01 heat formula</x:v>
      </x:c>
      <x:c r="E39" s="21" t="n">
        <x:f>IF(ABS('Family Packages'!K8-'Family Packages'!H8*1.2/1000)&lt;0.000001,1,0)</x:f>
        <x:v>1</x:v>
      </x:c>
      <x:c r="F39" s="21" t="n">
        <x:v>1</x:v>
      </x:c>
      <x:c r="G39" s="23" t="str">
        <x:f>IF(E39=F39,"PASS","FAIL")</x:f>
        <x:v>PASS</x:v>
      </x:c>
    </x:row>
    <x:row r="40">
      <x:c r="B40" s="21" t="str">
        <x:v>A0034</x:v>
      </x:c>
      <x:c r="C40" s="21" t="str">
        <x:v>family</x:v>
      </x:c>
      <x:c r="D40" s="21" t="str">
        <x:v>TTC-T01 three proposals</x:v>
      </x:c>
      <x:c r="E40" s="21" t="n">
        <x:f>COUNTIF('Bid Register'!C7:C39,"TTC-T01")</x:f>
        <x:v>3</x:v>
      </x:c>
      <x:c r="F40" s="21" t="n">
        <x:v>3</x:v>
      </x:c>
      <x:c r="G40" s="23" t="str">
        <x:f>IF(E40=F40,"PASS","FAIL")</x:f>
        <x:v>PASS</x:v>
      </x:c>
    </x:row>
    <x:row r="41">
      <x:c r="B41" s="21" t="str">
        <x:v>A0035</x:v>
      </x:c>
      <x:c r="C41" s="21" t="str">
        <x:v>family</x:v>
      </x:c>
      <x:c r="D41" s="21" t="str">
        <x:v>TTC-T01 two build paths</x:v>
      </x:c>
      <x:c r="E41" s="21" t="n">
        <x:f>COUNTIFS('Award Portfolio'!C7:C39,"TTC-T01",'Award Portfolio'!J7:J39,"PROVISIONAL BUILD")</x:f>
        <x:v>2</x:v>
      </x:c>
      <x:c r="F41" s="21" t="n">
        <x:v>2</x:v>
      </x:c>
      <x:c r="G41" s="23" t="str">
        <x:f>IF(E41=F41,"PASS","FAIL")</x:f>
        <x:v>PASS</x:v>
      </x:c>
    </x:row>
    <x:row r="42">
      <x:c r="B42" s="21" t="str">
        <x:v>A0036</x:v>
      </x:c>
      <x:c r="C42" s="21" t="str">
        <x:v>family</x:v>
      </x:c>
      <x:c r="D42" s="21" t="str">
        <x:v>TTC-T01 one challenge path</x:v>
      </x:c>
      <x:c r="E42" s="21" t="n">
        <x:f>COUNTIFS('Award Portfolio'!C7:C39,"TTC-T01",'Award Portfolio'!J7:J39,"CHALLENGE ONLY")</x:f>
        <x:v>1</x:v>
      </x:c>
      <x:c r="F42" s="21" t="n">
        <x:v>1</x:v>
      </x:c>
      <x:c r="G42" s="23" t="str">
        <x:f>IF(E42=F42,"PASS","FAIL")</x:f>
        <x:v>PASS</x:v>
      </x:c>
    </x:row>
    <x:row r="43">
      <x:c r="B43" s="21" t="str">
        <x:v>A0037</x:v>
      </x:c>
      <x:c r="C43" s="21" t="str">
        <x:v>family</x:v>
      </x:c>
      <x:c r="D43" s="21" t="str">
        <x:v>TTC-T01 twelve requirements</x:v>
      </x:c>
      <x:c r="E43" s="21" t="n">
        <x:f>COUNTIF('Requirement Register'!C7:C138,"TTC-T01")</x:f>
        <x:v>12</x:v>
      </x:c>
      <x:c r="F43" s="21" t="n">
        <x:v>12</x:v>
      </x:c>
      <x:c r="G43" s="23" t="str">
        <x:f>IF(E43=F43,"PASS","FAIL")</x:f>
        <x:v>PASS</x:v>
      </x:c>
    </x:row>
    <x:row r="44">
      <x:c r="B44" s="21" t="str">
        <x:v>A0038</x:v>
      </x:c>
      <x:c r="C44" s="21" t="str">
        <x:v>family</x:v>
      </x:c>
      <x:c r="D44" s="21" t="str">
        <x:v>TTC-T01 thirty-six gate records</x:v>
      </x:c>
      <x:c r="E44" s="21" t="n">
        <x:f>COUNTIF('Paper Gates'!D7:D402,"TTC-T01")</x:f>
        <x:v>36</x:v>
      </x:c>
      <x:c r="F44" s="21" t="n">
        <x:v>36</x:v>
      </x:c>
      <x:c r="G44" s="23" t="str">
        <x:f>IF(E44=F44,"PASS","FAIL")</x:f>
        <x:v>PASS</x:v>
      </x:c>
    </x:row>
    <x:row r="45">
      <x:c r="B45" s="21" t="str">
        <x:v>A0039</x:v>
      </x:c>
      <x:c r="C45" s="21" t="str">
        <x:v>family</x:v>
      </x:c>
      <x:c r="D45" s="21" t="str">
        <x:v>TTC-T01 twenty-four rights</x:v>
      </x:c>
      <x:c r="E45" s="21" t="n">
        <x:f>COUNTIF('Rights Register'!D7:D270,"TTC-T01")</x:f>
        <x:v>24</x:v>
      </x:c>
      <x:c r="F45" s="21" t="n">
        <x:v>24</x:v>
      </x:c>
      <x:c r="G45" s="23" t="str">
        <x:f>IF(E45=F45,"PASS","FAIL")</x:f>
        <x:v>PASS</x:v>
      </x:c>
    </x:row>
    <x:row r="46">
      <x:c r="B46" s="21" t="str">
        <x:v>A0040</x:v>
      </x:c>
      <x:c r="C46" s="21" t="str">
        <x:v>family</x:v>
      </x:c>
      <x:c r="D46" s="21" t="str">
        <x:v>TTC-T01 six lot records</x:v>
      </x:c>
      <x:c r="E46" s="21" t="n">
        <x:f>COUNTIF('Article Lots'!C7:C72,"TTC-T01")</x:f>
        <x:v>6</x:v>
      </x:c>
      <x:c r="F46" s="21" t="n">
        <x:v>6</x:v>
      </x:c>
      <x:c r="G46" s="23" t="str">
        <x:f>IF(E46=F46,"PASS","FAIL")</x:f>
        <x:v>PASS</x:v>
      </x:c>
    </x:row>
    <x:row r="47">
      <x:c r="B47" s="21" t="str">
        <x:v>A0041</x:v>
      </x:c>
      <x:c r="C47" s="21" t="str">
        <x:v>family</x:v>
      </x:c>
      <x:c r="D47" s="21" t="str">
        <x:v>TTC-T01 contract split</x:v>
      </x:c>
      <x:c r="E47" s="21" t="n">
        <x:f>SUMIF('Award Portfolio'!C7:C39,"TTC-T01",'Award Portfolio'!I7:I39)</x:f>
        <x:v>0.27</x:v>
      </x:c>
      <x:c r="F47" s="21" t="n">
        <x:v>0.27</x:v>
      </x:c>
      <x:c r="G47" s="23" t="str">
        <x:f>IF(E47=F47,"PASS","FAIL")</x:f>
        <x:v>PASS</x:v>
      </x:c>
    </x:row>
    <x:row r="48">
      <x:c r="B48" s="21" t="str">
        <x:v>A0042</x:v>
      </x:c>
      <x:c r="C48" s="21" t="str">
        <x:v>family</x:v>
      </x:c>
      <x:c r="D48" s="21" t="str">
        <x:v>ACN-A01 positive mass</x:v>
      </x:c>
      <x:c r="E48" s="21" t="n">
        <x:f>IF('Family Packages'!E9&gt;0,1,0)</x:f>
        <x:v>1</x:v>
      </x:c>
      <x:c r="F48" s="21" t="n">
        <x:v>1</x:v>
      </x:c>
      <x:c r="G48" s="23" t="str">
        <x:f>IF(E48=F48,"PASS","FAIL")</x:f>
        <x:v>PASS</x:v>
      </x:c>
    </x:row>
    <x:row r="49">
      <x:c r="B49" s="21" t="str">
        <x:v>A0043</x:v>
      </x:c>
      <x:c r="C49" s="21" t="str">
        <x:v>family</x:v>
      </x:c>
      <x:c r="D49" s="21" t="str">
        <x:v>ACN-A01 positive volume</x:v>
      </x:c>
      <x:c r="E49" s="21" t="n">
        <x:f>IF('Family Packages'!F9&gt;0,1,0)</x:f>
        <x:v>1</x:v>
      </x:c>
      <x:c r="F49" s="21" t="n">
        <x:v>1</x:v>
      </x:c>
      <x:c r="G49" s="23" t="str">
        <x:f>IF(E49=F49,"PASS","FAIL")</x:f>
        <x:v>PASS</x:v>
      </x:c>
    </x:row>
    <x:row r="50">
      <x:c r="B50" s="21" t="str">
        <x:v>A0044</x:v>
      </x:c>
      <x:c r="C50" s="21" t="str">
        <x:v>family</x:v>
      </x:c>
      <x:c r="D50" s="21" t="str">
        <x:v>ACN-A01 energy formula</x:v>
      </x:c>
      <x:c r="E50" s="21" t="n">
        <x:f>IF(ABS('Family Packages'!J9-'Family Packages'!G9*168*1.25/1000)&lt;0.000001,1,0)</x:f>
        <x:v>1</x:v>
      </x:c>
      <x:c r="F50" s="21" t="n">
        <x:v>1</x:v>
      </x:c>
      <x:c r="G50" s="23" t="str">
        <x:f>IF(E50=F50,"PASS","FAIL")</x:f>
        <x:v>PASS</x:v>
      </x:c>
    </x:row>
    <x:row r="51">
      <x:c r="B51" s="21" t="str">
        <x:v>A0045</x:v>
      </x:c>
      <x:c r="C51" s="21" t="str">
        <x:v>family</x:v>
      </x:c>
      <x:c r="D51" s="21" t="str">
        <x:v>ACN-A01 heat formula</x:v>
      </x:c>
      <x:c r="E51" s="21" t="n">
        <x:f>IF(ABS('Family Packages'!K9-'Family Packages'!H9*1.2/1000)&lt;0.000001,1,0)</x:f>
        <x:v>1</x:v>
      </x:c>
      <x:c r="F51" s="21" t="n">
        <x:v>1</x:v>
      </x:c>
      <x:c r="G51" s="23" t="str">
        <x:f>IF(E51=F51,"PASS","FAIL")</x:f>
        <x:v>PASS</x:v>
      </x:c>
    </x:row>
    <x:row r="52">
      <x:c r="B52" s="21" t="str">
        <x:v>A0046</x:v>
      </x:c>
      <x:c r="C52" s="21" t="str">
        <x:v>family</x:v>
      </x:c>
      <x:c r="D52" s="21" t="str">
        <x:v>ACN-A01 three proposals</x:v>
      </x:c>
      <x:c r="E52" s="21" t="n">
        <x:f>COUNTIF('Bid Register'!C7:C39,"ACN-A01")</x:f>
        <x:v>3</x:v>
      </x:c>
      <x:c r="F52" s="21" t="n">
        <x:v>3</x:v>
      </x:c>
      <x:c r="G52" s="23" t="str">
        <x:f>IF(E52=F52,"PASS","FAIL")</x:f>
        <x:v>PASS</x:v>
      </x:c>
    </x:row>
    <x:row r="53">
      <x:c r="B53" s="21" t="str">
        <x:v>A0047</x:v>
      </x:c>
      <x:c r="C53" s="21" t="str">
        <x:v>family</x:v>
      </x:c>
      <x:c r="D53" s="21" t="str">
        <x:v>ACN-A01 two build paths</x:v>
      </x:c>
      <x:c r="E53" s="21" t="n">
        <x:f>COUNTIFS('Award Portfolio'!C7:C39,"ACN-A01",'Award Portfolio'!J7:J39,"PROVISIONAL BUILD")</x:f>
        <x:v>2</x:v>
      </x:c>
      <x:c r="F53" s="21" t="n">
        <x:v>2</x:v>
      </x:c>
      <x:c r="G53" s="23" t="str">
        <x:f>IF(E53=F53,"PASS","FAIL")</x:f>
        <x:v>PASS</x:v>
      </x:c>
    </x:row>
    <x:row r="54">
      <x:c r="B54" s="21" t="str">
        <x:v>A0048</x:v>
      </x:c>
      <x:c r="C54" s="21" t="str">
        <x:v>family</x:v>
      </x:c>
      <x:c r="D54" s="21" t="str">
        <x:v>ACN-A01 one challenge path</x:v>
      </x:c>
      <x:c r="E54" s="21" t="n">
        <x:f>COUNTIFS('Award Portfolio'!C7:C39,"ACN-A01",'Award Portfolio'!J7:J39,"CHALLENGE ONLY")</x:f>
        <x:v>1</x:v>
      </x:c>
      <x:c r="F54" s="21" t="n">
        <x:v>1</x:v>
      </x:c>
      <x:c r="G54" s="23" t="str">
        <x:f>IF(E54=F54,"PASS","FAIL")</x:f>
        <x:v>PASS</x:v>
      </x:c>
    </x:row>
    <x:row r="55">
      <x:c r="B55" s="21" t="str">
        <x:v>A0049</x:v>
      </x:c>
      <x:c r="C55" s="21" t="str">
        <x:v>family</x:v>
      </x:c>
      <x:c r="D55" s="21" t="str">
        <x:v>ACN-A01 twelve requirements</x:v>
      </x:c>
      <x:c r="E55" s="21" t="n">
        <x:f>COUNTIF('Requirement Register'!C7:C138,"ACN-A01")</x:f>
        <x:v>12</x:v>
      </x:c>
      <x:c r="F55" s="21" t="n">
        <x:v>12</x:v>
      </x:c>
      <x:c r="G55" s="23" t="str">
        <x:f>IF(E55=F55,"PASS","FAIL")</x:f>
        <x:v>PASS</x:v>
      </x:c>
    </x:row>
    <x:row r="56">
      <x:c r="B56" s="21" t="str">
        <x:v>A0050</x:v>
      </x:c>
      <x:c r="C56" s="21" t="str">
        <x:v>family</x:v>
      </x:c>
      <x:c r="D56" s="21" t="str">
        <x:v>ACN-A01 thirty-six gate records</x:v>
      </x:c>
      <x:c r="E56" s="21" t="n">
        <x:f>COUNTIF('Paper Gates'!D7:D402,"ACN-A01")</x:f>
        <x:v>36</x:v>
      </x:c>
      <x:c r="F56" s="21" t="n">
        <x:v>36</x:v>
      </x:c>
      <x:c r="G56" s="23" t="str">
        <x:f>IF(E56=F56,"PASS","FAIL")</x:f>
        <x:v>PASS</x:v>
      </x:c>
    </x:row>
    <x:row r="57">
      <x:c r="B57" s="21" t="str">
        <x:v>A0051</x:v>
      </x:c>
      <x:c r="C57" s="21" t="str">
        <x:v>family</x:v>
      </x:c>
      <x:c r="D57" s="21" t="str">
        <x:v>ACN-A01 twenty-four rights</x:v>
      </x:c>
      <x:c r="E57" s="21" t="n">
        <x:f>COUNTIF('Rights Register'!D7:D270,"ACN-A01")</x:f>
        <x:v>24</x:v>
      </x:c>
      <x:c r="F57" s="21" t="n">
        <x:v>24</x:v>
      </x:c>
      <x:c r="G57" s="23" t="str">
        <x:f>IF(E57=F57,"PASS","FAIL")</x:f>
        <x:v>PASS</x:v>
      </x:c>
    </x:row>
    <x:row r="58">
      <x:c r="B58" s="21" t="str">
        <x:v>A0052</x:v>
      </x:c>
      <x:c r="C58" s="21" t="str">
        <x:v>family</x:v>
      </x:c>
      <x:c r="D58" s="21" t="str">
        <x:v>ACN-A01 six lot records</x:v>
      </x:c>
      <x:c r="E58" s="21" t="n">
        <x:f>COUNTIF('Article Lots'!C7:C72,"ACN-A01")</x:f>
        <x:v>6</x:v>
      </x:c>
      <x:c r="F58" s="21" t="n">
        <x:v>6</x:v>
      </x:c>
      <x:c r="G58" s="23" t="str">
        <x:f>IF(E58=F58,"PASS","FAIL")</x:f>
        <x:v>PASS</x:v>
      </x:c>
    </x:row>
    <x:row r="59">
      <x:c r="B59" s="21" t="str">
        <x:v>A0053</x:v>
      </x:c>
      <x:c r="C59" s="21" t="str">
        <x:v>family</x:v>
      </x:c>
      <x:c r="D59" s="21" t="str">
        <x:v>ACN-A01 contract split</x:v>
      </x:c>
      <x:c r="E59" s="21" t="n">
        <x:f>SUMIF('Award Portfolio'!C7:C39,"ACN-A01",'Award Portfolio'!I7:I39)</x:f>
        <x:v>0.38</x:v>
      </x:c>
      <x:c r="F59" s="21" t="n">
        <x:v>0.38</x:v>
      </x:c>
      <x:c r="G59" s="23" t="str">
        <x:f>IF(E59=F59,"PASS","FAIL")</x:f>
        <x:v>PASS</x:v>
      </x:c>
    </x:row>
    <x:row r="60">
      <x:c r="B60" s="21" t="str">
        <x:v>A0054</x:v>
      </x:c>
      <x:c r="C60" s="21" t="str">
        <x:v>family</x:v>
      </x:c>
      <x:c r="D60" s="21" t="str">
        <x:v>TCN-T01 positive mass</x:v>
      </x:c>
      <x:c r="E60" s="21" t="n">
        <x:f>IF('Family Packages'!E10&gt;0,1,0)</x:f>
        <x:v>1</x:v>
      </x:c>
      <x:c r="F60" s="21" t="n">
        <x:v>1</x:v>
      </x:c>
      <x:c r="G60" s="23" t="str">
        <x:f>IF(E60=F60,"PASS","FAIL")</x:f>
        <x:v>PASS</x:v>
      </x:c>
    </x:row>
    <x:row r="61">
      <x:c r="B61" s="21" t="str">
        <x:v>A0055</x:v>
      </x:c>
      <x:c r="C61" s="21" t="str">
        <x:v>family</x:v>
      </x:c>
      <x:c r="D61" s="21" t="str">
        <x:v>TCN-T01 positive volume</x:v>
      </x:c>
      <x:c r="E61" s="21" t="n">
        <x:f>IF('Family Packages'!F10&gt;0,1,0)</x:f>
        <x:v>1</x:v>
      </x:c>
      <x:c r="F61" s="21" t="n">
        <x:v>1</x:v>
      </x:c>
      <x:c r="G61" s="23" t="str">
        <x:f>IF(E61=F61,"PASS","FAIL")</x:f>
        <x:v>PASS</x:v>
      </x:c>
    </x:row>
    <x:row r="62">
      <x:c r="B62" s="21" t="str">
        <x:v>A0056</x:v>
      </x:c>
      <x:c r="C62" s="21" t="str">
        <x:v>family</x:v>
      </x:c>
      <x:c r="D62" s="21" t="str">
        <x:v>TCN-T01 energy formula</x:v>
      </x:c>
      <x:c r="E62" s="21" t="n">
        <x:f>IF(ABS('Family Packages'!J10-'Family Packages'!G10*168*1.25/1000)&lt;0.000001,1,0)</x:f>
        <x:v>1</x:v>
      </x:c>
      <x:c r="F62" s="21" t="n">
        <x:v>1</x:v>
      </x:c>
      <x:c r="G62" s="23" t="str">
        <x:f>IF(E62=F62,"PASS","FAIL")</x:f>
        <x:v>PASS</x:v>
      </x:c>
    </x:row>
    <x:row r="63">
      <x:c r="B63" s="21" t="str">
        <x:v>A0057</x:v>
      </x:c>
      <x:c r="C63" s="21" t="str">
        <x:v>family</x:v>
      </x:c>
      <x:c r="D63" s="21" t="str">
        <x:v>TCN-T01 heat formula</x:v>
      </x:c>
      <x:c r="E63" s="21" t="n">
        <x:f>IF(ABS('Family Packages'!K10-'Family Packages'!H10*1.2/1000)&lt;0.000001,1,0)</x:f>
        <x:v>1</x:v>
      </x:c>
      <x:c r="F63" s="21" t="n">
        <x:v>1</x:v>
      </x:c>
      <x:c r="G63" s="23" t="str">
        <x:f>IF(E63=F63,"PASS","FAIL")</x:f>
        <x:v>PASS</x:v>
      </x:c>
    </x:row>
    <x:row r="64">
      <x:c r="B64" s="21" t="str">
        <x:v>A0058</x:v>
      </x:c>
      <x:c r="C64" s="21" t="str">
        <x:v>family</x:v>
      </x:c>
      <x:c r="D64" s="21" t="str">
        <x:v>TCN-T01 three proposals</x:v>
      </x:c>
      <x:c r="E64" s="21" t="n">
        <x:f>COUNTIF('Bid Register'!C7:C39,"TCN-T01")</x:f>
        <x:v>3</x:v>
      </x:c>
      <x:c r="F64" s="21" t="n">
        <x:v>3</x:v>
      </x:c>
      <x:c r="G64" s="23" t="str">
        <x:f>IF(E64=F64,"PASS","FAIL")</x:f>
        <x:v>PASS</x:v>
      </x:c>
    </x:row>
    <x:row r="65">
      <x:c r="B65" s="21" t="str">
        <x:v>A0059</x:v>
      </x:c>
      <x:c r="C65" s="21" t="str">
        <x:v>family</x:v>
      </x:c>
      <x:c r="D65" s="21" t="str">
        <x:v>TCN-T01 two build paths</x:v>
      </x:c>
      <x:c r="E65" s="21" t="n">
        <x:f>COUNTIFS('Award Portfolio'!C7:C39,"TCN-T01",'Award Portfolio'!J7:J39,"PROVISIONAL BUILD")</x:f>
        <x:v>2</x:v>
      </x:c>
      <x:c r="F65" s="21" t="n">
        <x:v>2</x:v>
      </x:c>
      <x:c r="G65" s="23" t="str">
        <x:f>IF(E65=F65,"PASS","FAIL")</x:f>
        <x:v>PASS</x:v>
      </x:c>
    </x:row>
    <x:row r="66">
      <x:c r="B66" s="21" t="str">
        <x:v>A0060</x:v>
      </x:c>
      <x:c r="C66" s="21" t="str">
        <x:v>family</x:v>
      </x:c>
      <x:c r="D66" s="21" t="str">
        <x:v>TCN-T01 one challenge path</x:v>
      </x:c>
      <x:c r="E66" s="21" t="n">
        <x:f>COUNTIFS('Award Portfolio'!C7:C39,"TCN-T01",'Award Portfolio'!J7:J39,"CHALLENGE ONLY")</x:f>
        <x:v>1</x:v>
      </x:c>
      <x:c r="F66" s="21" t="n">
        <x:v>1</x:v>
      </x:c>
      <x:c r="G66" s="23" t="str">
        <x:f>IF(E66=F66,"PASS","FAIL")</x:f>
        <x:v>PASS</x:v>
      </x:c>
    </x:row>
    <x:row r="67">
      <x:c r="B67" s="21" t="str">
        <x:v>A0061</x:v>
      </x:c>
      <x:c r="C67" s="21" t="str">
        <x:v>family</x:v>
      </x:c>
      <x:c r="D67" s="21" t="str">
        <x:v>TCN-T01 twelve requirements</x:v>
      </x:c>
      <x:c r="E67" s="21" t="n">
        <x:f>COUNTIF('Requirement Register'!C7:C138,"TCN-T01")</x:f>
        <x:v>12</x:v>
      </x:c>
      <x:c r="F67" s="21" t="n">
        <x:v>12</x:v>
      </x:c>
      <x:c r="G67" s="23" t="str">
        <x:f>IF(E67=F67,"PASS","FAIL")</x:f>
        <x:v>PASS</x:v>
      </x:c>
    </x:row>
    <x:row r="68">
      <x:c r="B68" s="21" t="str">
        <x:v>A0062</x:v>
      </x:c>
      <x:c r="C68" s="21" t="str">
        <x:v>family</x:v>
      </x:c>
      <x:c r="D68" s="21" t="str">
        <x:v>TCN-T01 thirty-six gate records</x:v>
      </x:c>
      <x:c r="E68" s="21" t="n">
        <x:f>COUNTIF('Paper Gates'!D7:D402,"TCN-T01")</x:f>
        <x:v>36</x:v>
      </x:c>
      <x:c r="F68" s="21" t="n">
        <x:v>36</x:v>
      </x:c>
      <x:c r="G68" s="23" t="str">
        <x:f>IF(E68=F68,"PASS","FAIL")</x:f>
        <x:v>PASS</x:v>
      </x:c>
    </x:row>
    <x:row r="69">
      <x:c r="B69" s="21" t="str">
        <x:v>A0063</x:v>
      </x:c>
      <x:c r="C69" s="21" t="str">
        <x:v>family</x:v>
      </x:c>
      <x:c r="D69" s="21" t="str">
        <x:v>TCN-T01 twenty-four rights</x:v>
      </x:c>
      <x:c r="E69" s="21" t="n">
        <x:f>COUNTIF('Rights Register'!D7:D270,"TCN-T01")</x:f>
        <x:v>24</x:v>
      </x:c>
      <x:c r="F69" s="21" t="n">
        <x:v>24</x:v>
      </x:c>
      <x:c r="G69" s="23" t="str">
        <x:f>IF(E69=F69,"PASS","FAIL")</x:f>
        <x:v>PASS</x:v>
      </x:c>
    </x:row>
    <x:row r="70">
      <x:c r="B70" s="21" t="str">
        <x:v>A0064</x:v>
      </x:c>
      <x:c r="C70" s="21" t="str">
        <x:v>family</x:v>
      </x:c>
      <x:c r="D70" s="21" t="str">
        <x:v>TCN-T01 six lot records</x:v>
      </x:c>
      <x:c r="E70" s="21" t="n">
        <x:f>COUNTIF('Article Lots'!C7:C72,"TCN-T01")</x:f>
        <x:v>6</x:v>
      </x:c>
      <x:c r="F70" s="21" t="n">
        <x:v>6</x:v>
      </x:c>
      <x:c r="G70" s="23" t="str">
        <x:f>IF(E70=F70,"PASS","FAIL")</x:f>
        <x:v>PASS</x:v>
      </x:c>
    </x:row>
    <x:row r="71">
      <x:c r="B71" s="21" t="str">
        <x:v>A0065</x:v>
      </x:c>
      <x:c r="C71" s="21" t="str">
        <x:v>family</x:v>
      </x:c>
      <x:c r="D71" s="21" t="str">
        <x:v>TCN-T01 contract split</x:v>
      </x:c>
      <x:c r="E71" s="21" t="n">
        <x:f>SUMIF('Award Portfolio'!C7:C39,"TCN-T01",'Award Portfolio'!I7:I39)</x:f>
        <x:v>0.5</x:v>
      </x:c>
      <x:c r="F71" s="21" t="n">
        <x:v>0.5</x:v>
      </x:c>
      <x:c r="G71" s="23" t="str">
        <x:f>IF(E71=F71,"PASS","FAIL")</x:f>
        <x:v>PASS</x:v>
      </x:c>
    </x:row>
    <x:row r="72">
      <x:c r="B72" s="21" t="str">
        <x:v>A0066</x:v>
      </x:c>
      <x:c r="C72" s="21" t="str">
        <x:v>family</x:v>
      </x:c>
      <x:c r="D72" s="21" t="str">
        <x:v>CRS-R01 positive mass</x:v>
      </x:c>
      <x:c r="E72" s="21" t="n">
        <x:f>IF('Family Packages'!E11&gt;0,1,0)</x:f>
        <x:v>1</x:v>
      </x:c>
      <x:c r="F72" s="21" t="n">
        <x:v>1</x:v>
      </x:c>
      <x:c r="G72" s="23" t="str">
        <x:f>IF(E72=F72,"PASS","FAIL")</x:f>
        <x:v>PASS</x:v>
      </x:c>
    </x:row>
    <x:row r="73">
      <x:c r="B73" s="21" t="str">
        <x:v>A0067</x:v>
      </x:c>
      <x:c r="C73" s="21" t="str">
        <x:v>family</x:v>
      </x:c>
      <x:c r="D73" s="21" t="str">
        <x:v>CRS-R01 positive volume</x:v>
      </x:c>
      <x:c r="E73" s="21" t="n">
        <x:f>IF('Family Packages'!F11&gt;0,1,0)</x:f>
        <x:v>1</x:v>
      </x:c>
      <x:c r="F73" s="21" t="n">
        <x:v>1</x:v>
      </x:c>
      <x:c r="G73" s="23" t="str">
        <x:f>IF(E73=F73,"PASS","FAIL")</x:f>
        <x:v>PASS</x:v>
      </x:c>
    </x:row>
    <x:row r="74">
      <x:c r="B74" s="21" t="str">
        <x:v>A0068</x:v>
      </x:c>
      <x:c r="C74" s="21" t="str">
        <x:v>family</x:v>
      </x:c>
      <x:c r="D74" s="21" t="str">
        <x:v>CRS-R01 energy formula</x:v>
      </x:c>
      <x:c r="E74" s="21" t="n">
        <x:f>IF(ABS('Family Packages'!J11-'Family Packages'!G11*168*1.25/1000)&lt;0.000001,1,0)</x:f>
        <x:v>1</x:v>
      </x:c>
      <x:c r="F74" s="21" t="n">
        <x:v>1</x:v>
      </x:c>
      <x:c r="G74" s="23" t="str">
        <x:f>IF(E74=F74,"PASS","FAIL")</x:f>
        <x:v>PASS</x:v>
      </x:c>
    </x:row>
    <x:row r="75">
      <x:c r="B75" s="21" t="str">
        <x:v>A0069</x:v>
      </x:c>
      <x:c r="C75" s="21" t="str">
        <x:v>family</x:v>
      </x:c>
      <x:c r="D75" s="21" t="str">
        <x:v>CRS-R01 heat formula</x:v>
      </x:c>
      <x:c r="E75" s="21" t="n">
        <x:f>IF(ABS('Family Packages'!K11-'Family Packages'!H11*1.2/1000)&lt;0.000001,1,0)</x:f>
        <x:v>1</x:v>
      </x:c>
      <x:c r="F75" s="21" t="n">
        <x:v>1</x:v>
      </x:c>
      <x:c r="G75" s="23" t="str">
        <x:f>IF(E75=F75,"PASS","FAIL")</x:f>
        <x:v>PASS</x:v>
      </x:c>
    </x:row>
    <x:row r="76">
      <x:c r="B76" s="21" t="str">
        <x:v>A0070</x:v>
      </x:c>
      <x:c r="C76" s="21" t="str">
        <x:v>family</x:v>
      </x:c>
      <x:c r="D76" s="21" t="str">
        <x:v>CRS-R01 three proposals</x:v>
      </x:c>
      <x:c r="E76" s="21" t="n">
        <x:f>COUNTIF('Bid Register'!C7:C39,"CRS-R01")</x:f>
        <x:v>3</x:v>
      </x:c>
      <x:c r="F76" s="21" t="n">
        <x:v>3</x:v>
      </x:c>
      <x:c r="G76" s="23" t="str">
        <x:f>IF(E76=F76,"PASS","FAIL")</x:f>
        <x:v>PASS</x:v>
      </x:c>
    </x:row>
    <x:row r="77">
      <x:c r="B77" s="21" t="str">
        <x:v>A0071</x:v>
      </x:c>
      <x:c r="C77" s="21" t="str">
        <x:v>family</x:v>
      </x:c>
      <x:c r="D77" s="21" t="str">
        <x:v>CRS-R01 two build paths</x:v>
      </x:c>
      <x:c r="E77" s="21" t="n">
        <x:f>COUNTIFS('Award Portfolio'!C7:C39,"CRS-R01",'Award Portfolio'!J7:J39,"PROVISIONAL BUILD")</x:f>
        <x:v>2</x:v>
      </x:c>
      <x:c r="F77" s="21" t="n">
        <x:v>2</x:v>
      </x:c>
      <x:c r="G77" s="23" t="str">
        <x:f>IF(E77=F77,"PASS","FAIL")</x:f>
        <x:v>PASS</x:v>
      </x:c>
    </x:row>
    <x:row r="78">
      <x:c r="B78" s="21" t="str">
        <x:v>A0072</x:v>
      </x:c>
      <x:c r="C78" s="21" t="str">
        <x:v>family</x:v>
      </x:c>
      <x:c r="D78" s="21" t="str">
        <x:v>CRS-R01 one challenge path</x:v>
      </x:c>
      <x:c r="E78" s="21" t="n">
        <x:f>COUNTIFS('Award Portfolio'!C7:C39,"CRS-R01",'Award Portfolio'!J7:J39,"CHALLENGE ONLY")</x:f>
        <x:v>1</x:v>
      </x:c>
      <x:c r="F78" s="21" t="n">
        <x:v>1</x:v>
      </x:c>
      <x:c r="G78" s="23" t="str">
        <x:f>IF(E78=F78,"PASS","FAIL")</x:f>
        <x:v>PASS</x:v>
      </x:c>
    </x:row>
    <x:row r="79">
      <x:c r="B79" s="21" t="str">
        <x:v>A0073</x:v>
      </x:c>
      <x:c r="C79" s="21" t="str">
        <x:v>family</x:v>
      </x:c>
      <x:c r="D79" s="21" t="str">
        <x:v>CRS-R01 twelve requirements</x:v>
      </x:c>
      <x:c r="E79" s="21" t="n">
        <x:f>COUNTIF('Requirement Register'!C7:C138,"CRS-R01")</x:f>
        <x:v>12</x:v>
      </x:c>
      <x:c r="F79" s="21" t="n">
        <x:v>12</x:v>
      </x:c>
      <x:c r="G79" s="23" t="str">
        <x:f>IF(E79=F79,"PASS","FAIL")</x:f>
        <x:v>PASS</x:v>
      </x:c>
    </x:row>
    <x:row r="80">
      <x:c r="B80" s="21" t="str">
        <x:v>A0074</x:v>
      </x:c>
      <x:c r="C80" s="21" t="str">
        <x:v>family</x:v>
      </x:c>
      <x:c r="D80" s="21" t="str">
        <x:v>CRS-R01 thirty-six gate records</x:v>
      </x:c>
      <x:c r="E80" s="21" t="n">
        <x:f>COUNTIF('Paper Gates'!D7:D402,"CRS-R01")</x:f>
        <x:v>36</x:v>
      </x:c>
      <x:c r="F80" s="21" t="n">
        <x:v>36</x:v>
      </x:c>
      <x:c r="G80" s="23" t="str">
        <x:f>IF(E80=F80,"PASS","FAIL")</x:f>
        <x:v>PASS</x:v>
      </x:c>
    </x:row>
    <x:row r="81">
      <x:c r="B81" s="21" t="str">
        <x:v>A0075</x:v>
      </x:c>
      <x:c r="C81" s="21" t="str">
        <x:v>family</x:v>
      </x:c>
      <x:c r="D81" s="21" t="str">
        <x:v>CRS-R01 twenty-four rights</x:v>
      </x:c>
      <x:c r="E81" s="21" t="n">
        <x:f>COUNTIF('Rights Register'!D7:D270,"CRS-R01")</x:f>
        <x:v>24</x:v>
      </x:c>
      <x:c r="F81" s="21" t="n">
        <x:v>24</x:v>
      </x:c>
      <x:c r="G81" s="23" t="str">
        <x:f>IF(E81=F81,"PASS","FAIL")</x:f>
        <x:v>PASS</x:v>
      </x:c>
    </x:row>
    <x:row r="82">
      <x:c r="B82" s="21" t="str">
        <x:v>A0076</x:v>
      </x:c>
      <x:c r="C82" s="21" t="str">
        <x:v>family</x:v>
      </x:c>
      <x:c r="D82" s="21" t="str">
        <x:v>CRS-R01 six lot records</x:v>
      </x:c>
      <x:c r="E82" s="21" t="n">
        <x:f>COUNTIF('Article Lots'!C7:C72,"CRS-R01")</x:f>
        <x:v>6</x:v>
      </x:c>
      <x:c r="F82" s="21" t="n">
        <x:v>6</x:v>
      </x:c>
      <x:c r="G82" s="23" t="str">
        <x:f>IF(E82=F82,"PASS","FAIL")</x:f>
        <x:v>PASS</x:v>
      </x:c>
    </x:row>
    <x:row r="83">
      <x:c r="B83" s="21" t="str">
        <x:v>A0077</x:v>
      </x:c>
      <x:c r="C83" s="21" t="str">
        <x:v>family</x:v>
      </x:c>
      <x:c r="D83" s="21" t="str">
        <x:v>CRS-R01 contract split</x:v>
      </x:c>
      <x:c r="E83" s="21" t="n">
        <x:f>SUMIF('Award Portfolio'!C7:C39,"CRS-R01",'Award Portfolio'!I7:I39)</x:f>
        <x:v>0.4</x:v>
      </x:c>
      <x:c r="F83" s="21" t="n">
        <x:v>0.4</x:v>
      </x:c>
      <x:c r="G83" s="23" t="str">
        <x:f>IF(E83=F83,"PASS","FAIL")</x:f>
        <x:v>PASS</x:v>
      </x:c>
    </x:row>
    <x:row r="84">
      <x:c r="B84" s="21" t="str">
        <x:v>A0078</x:v>
      </x:c>
      <x:c r="C84" s="21" t="str">
        <x:v>family</x:v>
      </x:c>
      <x:c r="D84" s="21" t="str">
        <x:v>PSS-T01 positive mass</x:v>
      </x:c>
      <x:c r="E84" s="21" t="n">
        <x:f>IF('Family Packages'!E12&gt;0,1,0)</x:f>
        <x:v>1</x:v>
      </x:c>
      <x:c r="F84" s="21" t="n">
        <x:v>1</x:v>
      </x:c>
      <x:c r="G84" s="23" t="str">
        <x:f>IF(E84=F84,"PASS","FAIL")</x:f>
        <x:v>PASS</x:v>
      </x:c>
    </x:row>
    <x:row r="85">
      <x:c r="B85" s="21" t="str">
        <x:v>A0079</x:v>
      </x:c>
      <x:c r="C85" s="21" t="str">
        <x:v>family</x:v>
      </x:c>
      <x:c r="D85" s="21" t="str">
        <x:v>PSS-T01 positive volume</x:v>
      </x:c>
      <x:c r="E85" s="21" t="n">
        <x:f>IF('Family Packages'!F12&gt;0,1,0)</x:f>
        <x:v>1</x:v>
      </x:c>
      <x:c r="F85" s="21" t="n">
        <x:v>1</x:v>
      </x:c>
      <x:c r="G85" s="23" t="str">
        <x:f>IF(E85=F85,"PASS","FAIL")</x:f>
        <x:v>PASS</x:v>
      </x:c>
    </x:row>
    <x:row r="86">
      <x:c r="B86" s="21" t="str">
        <x:v>A0080</x:v>
      </x:c>
      <x:c r="C86" s="21" t="str">
        <x:v>family</x:v>
      </x:c>
      <x:c r="D86" s="21" t="str">
        <x:v>PSS-T01 energy formula</x:v>
      </x:c>
      <x:c r="E86" s="21" t="n">
        <x:f>IF(ABS('Family Packages'!J12-'Family Packages'!G12*168*1.25/1000)&lt;0.000001,1,0)</x:f>
        <x:v>1</x:v>
      </x:c>
      <x:c r="F86" s="21" t="n">
        <x:v>1</x:v>
      </x:c>
      <x:c r="G86" s="23" t="str">
        <x:f>IF(E86=F86,"PASS","FAIL")</x:f>
        <x:v>PASS</x:v>
      </x:c>
    </x:row>
    <x:row r="87">
      <x:c r="B87" s="21" t="str">
        <x:v>A0081</x:v>
      </x:c>
      <x:c r="C87" s="21" t="str">
        <x:v>family</x:v>
      </x:c>
      <x:c r="D87" s="21" t="str">
        <x:v>PSS-T01 heat formula</x:v>
      </x:c>
      <x:c r="E87" s="21" t="n">
        <x:f>IF(ABS('Family Packages'!K12-'Family Packages'!H12*1.2/1000)&lt;0.000001,1,0)</x:f>
        <x:v>1</x:v>
      </x:c>
      <x:c r="F87" s="21" t="n">
        <x:v>1</x:v>
      </x:c>
      <x:c r="G87" s="23" t="str">
        <x:f>IF(E87=F87,"PASS","FAIL")</x:f>
        <x:v>PASS</x:v>
      </x:c>
    </x:row>
    <x:row r="88">
      <x:c r="B88" s="21" t="str">
        <x:v>A0082</x:v>
      </x:c>
      <x:c r="C88" s="21" t="str">
        <x:v>family</x:v>
      </x:c>
      <x:c r="D88" s="21" t="str">
        <x:v>PSS-T01 three proposals</x:v>
      </x:c>
      <x:c r="E88" s="21" t="n">
        <x:f>COUNTIF('Bid Register'!C7:C39,"PSS-T01")</x:f>
        <x:v>3</x:v>
      </x:c>
      <x:c r="F88" s="21" t="n">
        <x:v>3</x:v>
      </x:c>
      <x:c r="G88" s="23" t="str">
        <x:f>IF(E88=F88,"PASS","FAIL")</x:f>
        <x:v>PASS</x:v>
      </x:c>
    </x:row>
    <x:row r="89">
      <x:c r="B89" s="21" t="str">
        <x:v>A0083</x:v>
      </x:c>
      <x:c r="C89" s="21" t="str">
        <x:v>family</x:v>
      </x:c>
      <x:c r="D89" s="21" t="str">
        <x:v>PSS-T01 two build paths</x:v>
      </x:c>
      <x:c r="E89" s="21" t="n">
        <x:f>COUNTIFS('Award Portfolio'!C7:C39,"PSS-T01",'Award Portfolio'!J7:J39,"PROVISIONAL BUILD")</x:f>
        <x:v>2</x:v>
      </x:c>
      <x:c r="F89" s="21" t="n">
        <x:v>2</x:v>
      </x:c>
      <x:c r="G89" s="23" t="str">
        <x:f>IF(E89=F89,"PASS","FAIL")</x:f>
        <x:v>PASS</x:v>
      </x:c>
    </x:row>
    <x:row r="90">
      <x:c r="B90" s="21" t="str">
        <x:v>A0084</x:v>
      </x:c>
      <x:c r="C90" s="21" t="str">
        <x:v>family</x:v>
      </x:c>
      <x:c r="D90" s="21" t="str">
        <x:v>PSS-T01 one challenge path</x:v>
      </x:c>
      <x:c r="E90" s="21" t="n">
        <x:f>COUNTIFS('Award Portfolio'!C7:C39,"PSS-T01",'Award Portfolio'!J7:J39,"CHALLENGE ONLY")</x:f>
        <x:v>1</x:v>
      </x:c>
      <x:c r="F90" s="21" t="n">
        <x:v>1</x:v>
      </x:c>
      <x:c r="G90" s="23" t="str">
        <x:f>IF(E90=F90,"PASS","FAIL")</x:f>
        <x:v>PASS</x:v>
      </x:c>
    </x:row>
    <x:row r="91">
      <x:c r="B91" s="21" t="str">
        <x:v>A0085</x:v>
      </x:c>
      <x:c r="C91" s="21" t="str">
        <x:v>family</x:v>
      </x:c>
      <x:c r="D91" s="21" t="str">
        <x:v>PSS-T01 twelve requirements</x:v>
      </x:c>
      <x:c r="E91" s="21" t="n">
        <x:f>COUNTIF('Requirement Register'!C7:C138,"PSS-T01")</x:f>
        <x:v>12</x:v>
      </x:c>
      <x:c r="F91" s="21" t="n">
        <x:v>12</x:v>
      </x:c>
      <x:c r="G91" s="23" t="str">
        <x:f>IF(E91=F91,"PASS","FAIL")</x:f>
        <x:v>PASS</x:v>
      </x:c>
    </x:row>
    <x:row r="92">
      <x:c r="B92" s="21" t="str">
        <x:v>A0086</x:v>
      </x:c>
      <x:c r="C92" s="21" t="str">
        <x:v>family</x:v>
      </x:c>
      <x:c r="D92" s="21" t="str">
        <x:v>PSS-T01 thirty-six gate records</x:v>
      </x:c>
      <x:c r="E92" s="21" t="n">
        <x:f>COUNTIF('Paper Gates'!D7:D402,"PSS-T01")</x:f>
        <x:v>36</x:v>
      </x:c>
      <x:c r="F92" s="21" t="n">
        <x:v>36</x:v>
      </x:c>
      <x:c r="G92" s="23" t="str">
        <x:f>IF(E92=F92,"PASS","FAIL")</x:f>
        <x:v>PASS</x:v>
      </x:c>
    </x:row>
    <x:row r="93">
      <x:c r="B93" s="21" t="str">
        <x:v>A0087</x:v>
      </x:c>
      <x:c r="C93" s="21" t="str">
        <x:v>family</x:v>
      </x:c>
      <x:c r="D93" s="21" t="str">
        <x:v>PSS-T01 twenty-four rights</x:v>
      </x:c>
      <x:c r="E93" s="21" t="n">
        <x:f>COUNTIF('Rights Register'!D7:D270,"PSS-T01")</x:f>
        <x:v>24</x:v>
      </x:c>
      <x:c r="F93" s="21" t="n">
        <x:v>24</x:v>
      </x:c>
      <x:c r="G93" s="23" t="str">
        <x:f>IF(E93=F93,"PASS","FAIL")</x:f>
        <x:v>PASS</x:v>
      </x:c>
    </x:row>
    <x:row r="94">
      <x:c r="B94" s="21" t="str">
        <x:v>A0088</x:v>
      </x:c>
      <x:c r="C94" s="21" t="str">
        <x:v>family</x:v>
      </x:c>
      <x:c r="D94" s="21" t="str">
        <x:v>PSS-T01 six lot records</x:v>
      </x:c>
      <x:c r="E94" s="21" t="n">
        <x:f>COUNTIF('Article Lots'!C7:C72,"PSS-T01")</x:f>
        <x:v>6</x:v>
      </x:c>
      <x:c r="F94" s="21" t="n">
        <x:v>6</x:v>
      </x:c>
      <x:c r="G94" s="23" t="str">
        <x:f>IF(E94=F94,"PASS","FAIL")</x:f>
        <x:v>PASS</x:v>
      </x:c>
    </x:row>
    <x:row r="95">
      <x:c r="B95" s="21" t="str">
        <x:v>A0089</x:v>
      </x:c>
      <x:c r="C95" s="21" t="str">
        <x:v>family</x:v>
      </x:c>
      <x:c r="D95" s="21" t="str">
        <x:v>PSS-T01 contract split</x:v>
      </x:c>
      <x:c r="E95" s="21" t="n">
        <x:f>SUMIF('Award Portfolio'!C7:C39,"PSS-T01",'Award Portfolio'!I7:I39)</x:f>
        <x:v>0.55</x:v>
      </x:c>
      <x:c r="F95" s="21" t="n">
        <x:v>0.55</x:v>
      </x:c>
      <x:c r="G95" s="23" t="str">
        <x:f>IF(E95=F95,"PASS","FAIL")</x:f>
        <x:v>PASS</x:v>
      </x:c>
    </x:row>
    <x:row r="96">
      <x:c r="B96" s="21" t="str">
        <x:v>A0090</x:v>
      </x:c>
      <x:c r="C96" s="21" t="str">
        <x:v>family</x:v>
      </x:c>
      <x:c r="D96" s="21" t="str">
        <x:v>PIF-I01 positive mass</x:v>
      </x:c>
      <x:c r="E96" s="21" t="n">
        <x:f>IF('Family Packages'!E13&gt;0,1,0)</x:f>
        <x:v>1</x:v>
      </x:c>
      <x:c r="F96" s="21" t="n">
        <x:v>1</x:v>
      </x:c>
      <x:c r="G96" s="23" t="str">
        <x:f>IF(E96=F96,"PASS","FAIL")</x:f>
        <x:v>PASS</x:v>
      </x:c>
    </x:row>
    <x:row r="97">
      <x:c r="B97" s="21" t="str">
        <x:v>A0091</x:v>
      </x:c>
      <x:c r="C97" s="21" t="str">
        <x:v>family</x:v>
      </x:c>
      <x:c r="D97" s="21" t="str">
        <x:v>PIF-I01 positive volume</x:v>
      </x:c>
      <x:c r="E97" s="21" t="n">
        <x:f>IF('Family Packages'!F13&gt;0,1,0)</x:f>
        <x:v>1</x:v>
      </x:c>
      <x:c r="F97" s="21" t="n">
        <x:v>1</x:v>
      </x:c>
      <x:c r="G97" s="23" t="str">
        <x:f>IF(E97=F97,"PASS","FAIL")</x:f>
        <x:v>PASS</x:v>
      </x:c>
    </x:row>
    <x:row r="98">
      <x:c r="B98" s="21" t="str">
        <x:v>A0092</x:v>
      </x:c>
      <x:c r="C98" s="21" t="str">
        <x:v>family</x:v>
      </x:c>
      <x:c r="D98" s="21" t="str">
        <x:v>PIF-I01 energy formula</x:v>
      </x:c>
      <x:c r="E98" s="21" t="n">
        <x:f>IF(ABS('Family Packages'!J13-'Family Packages'!G13*168*1.25/1000)&lt;0.000001,1,0)</x:f>
        <x:v>1</x:v>
      </x:c>
      <x:c r="F98" s="21" t="n">
        <x:v>1</x:v>
      </x:c>
      <x:c r="G98" s="23" t="str">
        <x:f>IF(E98=F98,"PASS","FAIL")</x:f>
        <x:v>PASS</x:v>
      </x:c>
    </x:row>
    <x:row r="99">
      <x:c r="B99" s="21" t="str">
        <x:v>A0093</x:v>
      </x:c>
      <x:c r="C99" s="21" t="str">
        <x:v>family</x:v>
      </x:c>
      <x:c r="D99" s="21" t="str">
        <x:v>PIF-I01 heat formula</x:v>
      </x:c>
      <x:c r="E99" s="21" t="n">
        <x:f>IF(ABS('Family Packages'!K13-'Family Packages'!H13*1.2/1000)&lt;0.000001,1,0)</x:f>
        <x:v>1</x:v>
      </x:c>
      <x:c r="F99" s="21" t="n">
        <x:v>1</x:v>
      </x:c>
      <x:c r="G99" s="23" t="str">
        <x:f>IF(E99=F99,"PASS","FAIL")</x:f>
        <x:v>PASS</x:v>
      </x:c>
    </x:row>
    <x:row r="100">
      <x:c r="B100" s="21" t="str">
        <x:v>A0094</x:v>
      </x:c>
      <x:c r="C100" s="21" t="str">
        <x:v>family</x:v>
      </x:c>
      <x:c r="D100" s="21" t="str">
        <x:v>PIF-I01 three proposals</x:v>
      </x:c>
      <x:c r="E100" s="21" t="n">
        <x:f>COUNTIF('Bid Register'!C7:C39,"PIF-I01")</x:f>
        <x:v>3</x:v>
      </x:c>
      <x:c r="F100" s="21" t="n">
        <x:v>3</x:v>
      </x:c>
      <x:c r="G100" s="23" t="str">
        <x:f>IF(E100=F100,"PASS","FAIL")</x:f>
        <x:v>PASS</x:v>
      </x:c>
    </x:row>
    <x:row r="101">
      <x:c r="B101" s="21" t="str">
        <x:v>A0095</x:v>
      </x:c>
      <x:c r="C101" s="21" t="str">
        <x:v>family</x:v>
      </x:c>
      <x:c r="D101" s="21" t="str">
        <x:v>PIF-I01 two build paths</x:v>
      </x:c>
      <x:c r="E101" s="21" t="n">
        <x:f>COUNTIFS('Award Portfolio'!C7:C39,"PIF-I01",'Award Portfolio'!J7:J39,"PROVISIONAL BUILD")</x:f>
        <x:v>2</x:v>
      </x:c>
      <x:c r="F101" s="21" t="n">
        <x:v>2</x:v>
      </x:c>
      <x:c r="G101" s="23" t="str">
        <x:f>IF(E101=F101,"PASS","FAIL")</x:f>
        <x:v>PASS</x:v>
      </x:c>
    </x:row>
    <x:row r="102">
      <x:c r="B102" s="21" t="str">
        <x:v>A0096</x:v>
      </x:c>
      <x:c r="C102" s="21" t="str">
        <x:v>family</x:v>
      </x:c>
      <x:c r="D102" s="21" t="str">
        <x:v>PIF-I01 one challenge path</x:v>
      </x:c>
      <x:c r="E102" s="21" t="n">
        <x:f>COUNTIFS('Award Portfolio'!C7:C39,"PIF-I01",'Award Portfolio'!J7:J39,"CHALLENGE ONLY")</x:f>
        <x:v>1</x:v>
      </x:c>
      <x:c r="F102" s="21" t="n">
        <x:v>1</x:v>
      </x:c>
      <x:c r="G102" s="23" t="str">
        <x:f>IF(E102=F102,"PASS","FAIL")</x:f>
        <x:v>PASS</x:v>
      </x:c>
    </x:row>
    <x:row r="103">
      <x:c r="B103" s="21" t="str">
        <x:v>A0097</x:v>
      </x:c>
      <x:c r="C103" s="21" t="str">
        <x:v>family</x:v>
      </x:c>
      <x:c r="D103" s="21" t="str">
        <x:v>PIF-I01 twelve requirements</x:v>
      </x:c>
      <x:c r="E103" s="21" t="n">
        <x:f>COUNTIF('Requirement Register'!C7:C138,"PIF-I01")</x:f>
        <x:v>12</x:v>
      </x:c>
      <x:c r="F103" s="21" t="n">
        <x:v>12</x:v>
      </x:c>
      <x:c r="G103" s="23" t="str">
        <x:f>IF(E103=F103,"PASS","FAIL")</x:f>
        <x:v>PASS</x:v>
      </x:c>
    </x:row>
    <x:row r="104">
      <x:c r="B104" s="21" t="str">
        <x:v>A0098</x:v>
      </x:c>
      <x:c r="C104" s="21" t="str">
        <x:v>family</x:v>
      </x:c>
      <x:c r="D104" s="21" t="str">
        <x:v>PIF-I01 thirty-six gate records</x:v>
      </x:c>
      <x:c r="E104" s="21" t="n">
        <x:f>COUNTIF('Paper Gates'!D7:D402,"PIF-I01")</x:f>
        <x:v>36</x:v>
      </x:c>
      <x:c r="F104" s="21" t="n">
        <x:v>36</x:v>
      </x:c>
      <x:c r="G104" s="23" t="str">
        <x:f>IF(E104=F104,"PASS","FAIL")</x:f>
        <x:v>PASS</x:v>
      </x:c>
    </x:row>
    <x:row r="105">
      <x:c r="B105" s="21" t="str">
        <x:v>A0099</x:v>
      </x:c>
      <x:c r="C105" s="21" t="str">
        <x:v>family</x:v>
      </x:c>
      <x:c r="D105" s="21" t="str">
        <x:v>PIF-I01 twenty-four rights</x:v>
      </x:c>
      <x:c r="E105" s="21" t="n">
        <x:f>COUNTIF('Rights Register'!D7:D270,"PIF-I01")</x:f>
        <x:v>24</x:v>
      </x:c>
      <x:c r="F105" s="21" t="n">
        <x:v>24</x:v>
      </x:c>
      <x:c r="G105" s="23" t="str">
        <x:f>IF(E105=F105,"PASS","FAIL")</x:f>
        <x:v>PASS</x:v>
      </x:c>
    </x:row>
    <x:row r="106">
      <x:c r="B106" s="21" t="str">
        <x:v>A0100</x:v>
      </x:c>
      <x:c r="C106" s="21" t="str">
        <x:v>family</x:v>
      </x:c>
      <x:c r="D106" s="21" t="str">
        <x:v>PIF-I01 six lot records</x:v>
      </x:c>
      <x:c r="E106" s="21" t="n">
        <x:f>COUNTIF('Article Lots'!C7:C72,"PIF-I01")</x:f>
        <x:v>6</x:v>
      </x:c>
      <x:c r="F106" s="21" t="n">
        <x:v>6</x:v>
      </x:c>
      <x:c r="G106" s="23" t="str">
        <x:f>IF(E106=F106,"PASS","FAIL")</x:f>
        <x:v>PASS</x:v>
      </x:c>
    </x:row>
    <x:row r="107">
      <x:c r="B107" s="21" t="str">
        <x:v>A0101</x:v>
      </x:c>
      <x:c r="C107" s="21" t="str">
        <x:v>family</x:v>
      </x:c>
      <x:c r="D107" s="21" t="str">
        <x:v>PIF-I01 contract split</x:v>
      </x:c>
      <x:c r="E107" s="21" t="n">
        <x:f>SUMIF('Award Portfolio'!C7:C39,"PIF-I01",'Award Portfolio'!I7:I39)</x:f>
        <x:v>0.18</x:v>
      </x:c>
      <x:c r="F107" s="21" t="n">
        <x:v>0.18</x:v>
      </x:c>
      <x:c r="G107" s="23" t="str">
        <x:f>IF(E107=F107,"PASS","FAIL")</x:f>
        <x:v>PASS</x:v>
      </x:c>
    </x:row>
    <x:row r="108">
      <x:c r="B108" s="21" t="str">
        <x:v>A0102</x:v>
      </x:c>
      <x:c r="C108" s="21" t="str">
        <x:v>family</x:v>
      </x:c>
      <x:c r="D108" s="21" t="str">
        <x:v>EPS-P01 positive mass</x:v>
      </x:c>
      <x:c r="E108" s="21" t="n">
        <x:f>IF('Family Packages'!E14&gt;0,1,0)</x:f>
        <x:v>1</x:v>
      </x:c>
      <x:c r="F108" s="21" t="n">
        <x:v>1</x:v>
      </x:c>
      <x:c r="G108" s="23" t="str">
        <x:f>IF(E108=F108,"PASS","FAIL")</x:f>
        <x:v>PASS</x:v>
      </x:c>
    </x:row>
    <x:row r="109">
      <x:c r="B109" s="21" t="str">
        <x:v>A0103</x:v>
      </x:c>
      <x:c r="C109" s="21" t="str">
        <x:v>family</x:v>
      </x:c>
      <x:c r="D109" s="21" t="str">
        <x:v>EPS-P01 positive volume</x:v>
      </x:c>
      <x:c r="E109" s="21" t="n">
        <x:f>IF('Family Packages'!F14&gt;0,1,0)</x:f>
        <x:v>1</x:v>
      </x:c>
      <x:c r="F109" s="21" t="n">
        <x:v>1</x:v>
      </x:c>
      <x:c r="G109" s="23" t="str">
        <x:f>IF(E109=F109,"PASS","FAIL")</x:f>
        <x:v>PASS</x:v>
      </x:c>
    </x:row>
    <x:row r="110">
      <x:c r="B110" s="21" t="str">
        <x:v>A0104</x:v>
      </x:c>
      <x:c r="C110" s="21" t="str">
        <x:v>family</x:v>
      </x:c>
      <x:c r="D110" s="21" t="str">
        <x:v>EPS-P01 energy formula</x:v>
      </x:c>
      <x:c r="E110" s="21" t="n">
        <x:f>IF(ABS('Family Packages'!J14-'Family Packages'!G14*168*1.25/1000)&lt;0.000001,1,0)</x:f>
        <x:v>1</x:v>
      </x:c>
      <x:c r="F110" s="21" t="n">
        <x:v>1</x:v>
      </x:c>
      <x:c r="G110" s="23" t="str">
        <x:f>IF(E110=F110,"PASS","FAIL")</x:f>
        <x:v>PASS</x:v>
      </x:c>
    </x:row>
    <x:row r="111">
      <x:c r="B111" s="21" t="str">
        <x:v>A0105</x:v>
      </x:c>
      <x:c r="C111" s="21" t="str">
        <x:v>family</x:v>
      </x:c>
      <x:c r="D111" s="21" t="str">
        <x:v>EPS-P01 heat formula</x:v>
      </x:c>
      <x:c r="E111" s="21" t="n">
        <x:f>IF(ABS('Family Packages'!K14-'Family Packages'!H14*1.2/1000)&lt;0.000001,1,0)</x:f>
        <x:v>1</x:v>
      </x:c>
      <x:c r="F111" s="21" t="n">
        <x:v>1</x:v>
      </x:c>
      <x:c r="G111" s="23" t="str">
        <x:f>IF(E111=F111,"PASS","FAIL")</x:f>
        <x:v>PASS</x:v>
      </x:c>
    </x:row>
    <x:row r="112">
      <x:c r="B112" s="21" t="str">
        <x:v>A0106</x:v>
      </x:c>
      <x:c r="C112" s="21" t="str">
        <x:v>family</x:v>
      </x:c>
      <x:c r="D112" s="21" t="str">
        <x:v>EPS-P01 three proposals</x:v>
      </x:c>
      <x:c r="E112" s="21" t="n">
        <x:f>COUNTIF('Bid Register'!C7:C39,"EPS-P01")</x:f>
        <x:v>3</x:v>
      </x:c>
      <x:c r="F112" s="21" t="n">
        <x:v>3</x:v>
      </x:c>
      <x:c r="G112" s="23" t="str">
        <x:f>IF(E112=F112,"PASS","FAIL")</x:f>
        <x:v>PASS</x:v>
      </x:c>
    </x:row>
    <x:row r="113">
      <x:c r="B113" s="21" t="str">
        <x:v>A0107</x:v>
      </x:c>
      <x:c r="C113" s="21" t="str">
        <x:v>family</x:v>
      </x:c>
      <x:c r="D113" s="21" t="str">
        <x:v>EPS-P01 two build paths</x:v>
      </x:c>
      <x:c r="E113" s="21" t="n">
        <x:f>COUNTIFS('Award Portfolio'!C7:C39,"EPS-P01",'Award Portfolio'!J7:J39,"PROVISIONAL BUILD")</x:f>
        <x:v>2</x:v>
      </x:c>
      <x:c r="F113" s="21" t="n">
        <x:v>2</x:v>
      </x:c>
      <x:c r="G113" s="23" t="str">
        <x:f>IF(E113=F113,"PASS","FAIL")</x:f>
        <x:v>PASS</x:v>
      </x:c>
    </x:row>
    <x:row r="114">
      <x:c r="B114" s="21" t="str">
        <x:v>A0108</x:v>
      </x:c>
      <x:c r="C114" s="21" t="str">
        <x:v>family</x:v>
      </x:c>
      <x:c r="D114" s="21" t="str">
        <x:v>EPS-P01 one challenge path</x:v>
      </x:c>
      <x:c r="E114" s="21" t="n">
        <x:f>COUNTIFS('Award Portfolio'!C7:C39,"EPS-P01",'Award Portfolio'!J7:J39,"CHALLENGE ONLY")</x:f>
        <x:v>1</x:v>
      </x:c>
      <x:c r="F114" s="21" t="n">
        <x:v>1</x:v>
      </x:c>
      <x:c r="G114" s="23" t="str">
        <x:f>IF(E114=F114,"PASS","FAIL")</x:f>
        <x:v>PASS</x:v>
      </x:c>
    </x:row>
    <x:row r="115">
      <x:c r="B115" s="21" t="str">
        <x:v>A0109</x:v>
      </x:c>
      <x:c r="C115" s="21" t="str">
        <x:v>family</x:v>
      </x:c>
      <x:c r="D115" s="21" t="str">
        <x:v>EPS-P01 twelve requirements</x:v>
      </x:c>
      <x:c r="E115" s="21" t="n">
        <x:f>COUNTIF('Requirement Register'!C7:C138,"EPS-P01")</x:f>
        <x:v>12</x:v>
      </x:c>
      <x:c r="F115" s="21" t="n">
        <x:v>12</x:v>
      </x:c>
      <x:c r="G115" s="23" t="str">
        <x:f>IF(E115=F115,"PASS","FAIL")</x:f>
        <x:v>PASS</x:v>
      </x:c>
    </x:row>
    <x:row r="116">
      <x:c r="B116" s="21" t="str">
        <x:v>A0110</x:v>
      </x:c>
      <x:c r="C116" s="21" t="str">
        <x:v>family</x:v>
      </x:c>
      <x:c r="D116" s="21" t="str">
        <x:v>EPS-P01 thirty-six gate records</x:v>
      </x:c>
      <x:c r="E116" s="21" t="n">
        <x:f>COUNTIF('Paper Gates'!D7:D402,"EPS-P01")</x:f>
        <x:v>36</x:v>
      </x:c>
      <x:c r="F116" s="21" t="n">
        <x:v>36</x:v>
      </x:c>
      <x:c r="G116" s="23" t="str">
        <x:f>IF(E116=F116,"PASS","FAIL")</x:f>
        <x:v>PASS</x:v>
      </x:c>
    </x:row>
    <x:row r="117">
      <x:c r="B117" s="21" t="str">
        <x:v>A0111</x:v>
      </x:c>
      <x:c r="C117" s="21" t="str">
        <x:v>family</x:v>
      </x:c>
      <x:c r="D117" s="21" t="str">
        <x:v>EPS-P01 twenty-four rights</x:v>
      </x:c>
      <x:c r="E117" s="21" t="n">
        <x:f>COUNTIF('Rights Register'!D7:D270,"EPS-P01")</x:f>
        <x:v>24</x:v>
      </x:c>
      <x:c r="F117" s="21" t="n">
        <x:v>24</x:v>
      </x:c>
      <x:c r="G117" s="23" t="str">
        <x:f>IF(E117=F117,"PASS","FAIL")</x:f>
        <x:v>PASS</x:v>
      </x:c>
    </x:row>
    <x:row r="118">
      <x:c r="B118" s="21" t="str">
        <x:v>A0112</x:v>
      </x:c>
      <x:c r="C118" s="21" t="str">
        <x:v>family</x:v>
      </x:c>
      <x:c r="D118" s="21" t="str">
        <x:v>EPS-P01 six lot records</x:v>
      </x:c>
      <x:c r="E118" s="21" t="n">
        <x:f>COUNTIF('Article Lots'!C7:C72,"EPS-P01")</x:f>
        <x:v>6</x:v>
      </x:c>
      <x:c r="F118" s="21" t="n">
        <x:v>6</x:v>
      </x:c>
      <x:c r="G118" s="23" t="str">
        <x:f>IF(E118=F118,"PASS","FAIL")</x:f>
        <x:v>PASS</x:v>
      </x:c>
    </x:row>
    <x:row r="119">
      <x:c r="B119" s="21" t="str">
        <x:v>A0113</x:v>
      </x:c>
      <x:c r="C119" s="21" t="str">
        <x:v>family</x:v>
      </x:c>
      <x:c r="D119" s="21" t="str">
        <x:v>EPS-P01 contract split</x:v>
      </x:c>
      <x:c r="E119" s="21" t="n">
        <x:f>SUMIF('Award Portfolio'!C7:C39,"EPS-P01",'Award Portfolio'!I7:I39)</x:f>
        <x:v>0.32000000000000006</x:v>
      </x:c>
      <x:c r="F119" s="21" t="n">
        <x:v>0.32</x:v>
      </x:c>
      <x:c r="G119" s="23" t="str">
        <x:f>IF(E119=F119,"PASS","FAIL")</x:f>
        <x:v>PASS</x:v>
      </x:c>
    </x:row>
    <x:row r="120">
      <x:c r="B120" s="21" t="str">
        <x:v>A0114</x:v>
      </x:c>
      <x:c r="C120" s="21" t="str">
        <x:v>family</x:v>
      </x:c>
      <x:c r="D120" s="21" t="str">
        <x:v>TKS-C01 positive mass</x:v>
      </x:c>
      <x:c r="E120" s="21" t="n">
        <x:f>IF('Family Packages'!E15&gt;0,1,0)</x:f>
        <x:v>1</x:v>
      </x:c>
      <x:c r="F120" s="21" t="n">
        <x:v>1</x:v>
      </x:c>
      <x:c r="G120" s="23" t="str">
        <x:f>IF(E120=F120,"PASS","FAIL")</x:f>
        <x:v>PASS</x:v>
      </x:c>
    </x:row>
    <x:row r="121">
      <x:c r="B121" s="21" t="str">
        <x:v>A0115</x:v>
      </x:c>
      <x:c r="C121" s="21" t="str">
        <x:v>family</x:v>
      </x:c>
      <x:c r="D121" s="21" t="str">
        <x:v>TKS-C01 positive volume</x:v>
      </x:c>
      <x:c r="E121" s="21" t="n">
        <x:f>IF('Family Packages'!F15&gt;0,1,0)</x:f>
        <x:v>1</x:v>
      </x:c>
      <x:c r="F121" s="21" t="n">
        <x:v>1</x:v>
      </x:c>
      <x:c r="G121" s="23" t="str">
        <x:f>IF(E121=F121,"PASS","FAIL")</x:f>
        <x:v>PASS</x:v>
      </x:c>
    </x:row>
    <x:row r="122">
      <x:c r="B122" s="21" t="str">
        <x:v>A0116</x:v>
      </x:c>
      <x:c r="C122" s="21" t="str">
        <x:v>family</x:v>
      </x:c>
      <x:c r="D122" s="21" t="str">
        <x:v>TKS-C01 energy formula</x:v>
      </x:c>
      <x:c r="E122" s="21" t="n">
        <x:f>IF(ABS('Family Packages'!J15-'Family Packages'!G15*168*1.25/1000)&lt;0.000001,1,0)</x:f>
        <x:v>1</x:v>
      </x:c>
      <x:c r="F122" s="21" t="n">
        <x:v>1</x:v>
      </x:c>
      <x:c r="G122" s="23" t="str">
        <x:f>IF(E122=F122,"PASS","FAIL")</x:f>
        <x:v>PASS</x:v>
      </x:c>
    </x:row>
    <x:row r="123">
      <x:c r="B123" s="21" t="str">
        <x:v>A0117</x:v>
      </x:c>
      <x:c r="C123" s="21" t="str">
        <x:v>family</x:v>
      </x:c>
      <x:c r="D123" s="21" t="str">
        <x:v>TKS-C01 heat formula</x:v>
      </x:c>
      <x:c r="E123" s="21" t="n">
        <x:f>IF(ABS('Family Packages'!K15-'Family Packages'!H15*1.2/1000)&lt;0.000001,1,0)</x:f>
        <x:v>1</x:v>
      </x:c>
      <x:c r="F123" s="21" t="n">
        <x:v>1</x:v>
      </x:c>
      <x:c r="G123" s="23" t="str">
        <x:f>IF(E123=F123,"PASS","FAIL")</x:f>
        <x:v>PASS</x:v>
      </x:c>
    </x:row>
    <x:row r="124">
      <x:c r="B124" s="21" t="str">
        <x:v>A0118</x:v>
      </x:c>
      <x:c r="C124" s="21" t="str">
        <x:v>family</x:v>
      </x:c>
      <x:c r="D124" s="21" t="str">
        <x:v>TKS-C01 three proposals</x:v>
      </x:c>
      <x:c r="E124" s="21" t="n">
        <x:f>COUNTIF('Bid Register'!C7:C39,"TKS-C01")</x:f>
        <x:v>3</x:v>
      </x:c>
      <x:c r="F124" s="21" t="n">
        <x:v>3</x:v>
      </x:c>
      <x:c r="G124" s="23" t="str">
        <x:f>IF(E124=F124,"PASS","FAIL")</x:f>
        <x:v>PASS</x:v>
      </x:c>
    </x:row>
    <x:row r="125">
      <x:c r="B125" s="21" t="str">
        <x:v>A0119</x:v>
      </x:c>
      <x:c r="C125" s="21" t="str">
        <x:v>family</x:v>
      </x:c>
      <x:c r="D125" s="21" t="str">
        <x:v>TKS-C01 two build paths</x:v>
      </x:c>
      <x:c r="E125" s="21" t="n">
        <x:f>COUNTIFS('Award Portfolio'!C7:C39,"TKS-C01",'Award Portfolio'!J7:J39,"PROVISIONAL BUILD")</x:f>
        <x:v>2</x:v>
      </x:c>
      <x:c r="F125" s="21" t="n">
        <x:v>2</x:v>
      </x:c>
      <x:c r="G125" s="23" t="str">
        <x:f>IF(E125=F125,"PASS","FAIL")</x:f>
        <x:v>PASS</x:v>
      </x:c>
    </x:row>
    <x:row r="126">
      <x:c r="B126" s="21" t="str">
        <x:v>A0120</x:v>
      </x:c>
      <x:c r="C126" s="21" t="str">
        <x:v>family</x:v>
      </x:c>
      <x:c r="D126" s="21" t="str">
        <x:v>TKS-C01 one challenge path</x:v>
      </x:c>
      <x:c r="E126" s="21" t="n">
        <x:f>COUNTIFS('Award Portfolio'!C7:C39,"TKS-C01",'Award Portfolio'!J7:J39,"CHALLENGE ONLY")</x:f>
        <x:v>1</x:v>
      </x:c>
      <x:c r="F126" s="21" t="n">
        <x:v>1</x:v>
      </x:c>
      <x:c r="G126" s="23" t="str">
        <x:f>IF(E126=F126,"PASS","FAIL")</x:f>
        <x:v>PASS</x:v>
      </x:c>
    </x:row>
    <x:row r="127">
      <x:c r="B127" s="21" t="str">
        <x:v>A0121</x:v>
      </x:c>
      <x:c r="C127" s="21" t="str">
        <x:v>family</x:v>
      </x:c>
      <x:c r="D127" s="21" t="str">
        <x:v>TKS-C01 twelve requirements</x:v>
      </x:c>
      <x:c r="E127" s="21" t="n">
        <x:f>COUNTIF('Requirement Register'!C7:C138,"TKS-C01")</x:f>
        <x:v>12</x:v>
      </x:c>
      <x:c r="F127" s="21" t="n">
        <x:v>12</x:v>
      </x:c>
      <x:c r="G127" s="23" t="str">
        <x:f>IF(E127=F127,"PASS","FAIL")</x:f>
        <x:v>PASS</x:v>
      </x:c>
    </x:row>
    <x:row r="128">
      <x:c r="B128" s="21" t="str">
        <x:v>A0122</x:v>
      </x:c>
      <x:c r="C128" s="21" t="str">
        <x:v>family</x:v>
      </x:c>
      <x:c r="D128" s="21" t="str">
        <x:v>TKS-C01 thirty-six gate records</x:v>
      </x:c>
      <x:c r="E128" s="21" t="n">
        <x:f>COUNTIF('Paper Gates'!D7:D402,"TKS-C01")</x:f>
        <x:v>36</x:v>
      </x:c>
      <x:c r="F128" s="21" t="n">
        <x:v>36</x:v>
      </x:c>
      <x:c r="G128" s="23" t="str">
        <x:f>IF(E128=F128,"PASS","FAIL")</x:f>
        <x:v>PASS</x:v>
      </x:c>
    </x:row>
    <x:row r="129">
      <x:c r="B129" s="21" t="str">
        <x:v>A0123</x:v>
      </x:c>
      <x:c r="C129" s="21" t="str">
        <x:v>family</x:v>
      </x:c>
      <x:c r="D129" s="21" t="str">
        <x:v>TKS-C01 twenty-four rights</x:v>
      </x:c>
      <x:c r="E129" s="21" t="n">
        <x:f>COUNTIF('Rights Register'!D7:D270,"TKS-C01")</x:f>
        <x:v>24</x:v>
      </x:c>
      <x:c r="F129" s="21" t="n">
        <x:v>24</x:v>
      </x:c>
      <x:c r="G129" s="23" t="str">
        <x:f>IF(E129=F129,"PASS","FAIL")</x:f>
        <x:v>PASS</x:v>
      </x:c>
    </x:row>
    <x:row r="130">
      <x:c r="B130" s="21" t="str">
        <x:v>A0124</x:v>
      </x:c>
      <x:c r="C130" s="21" t="str">
        <x:v>family</x:v>
      </x:c>
      <x:c r="D130" s="21" t="str">
        <x:v>TKS-C01 six lot records</x:v>
      </x:c>
      <x:c r="E130" s="21" t="n">
        <x:f>COUNTIF('Article Lots'!C7:C72,"TKS-C01")</x:f>
        <x:v>6</x:v>
      </x:c>
      <x:c r="F130" s="21" t="n">
        <x:v>6</x:v>
      </x:c>
      <x:c r="G130" s="23" t="str">
        <x:f>IF(E130=F130,"PASS","FAIL")</x:f>
        <x:v>PASS</x:v>
      </x:c>
    </x:row>
    <x:row r="131">
      <x:c r="B131" s="21" t="str">
        <x:v>A0125</x:v>
      </x:c>
      <x:c r="C131" s="21" t="str">
        <x:v>family</x:v>
      </x:c>
      <x:c r="D131" s="21" t="str">
        <x:v>TKS-C01 contract split</x:v>
      </x:c>
      <x:c r="E131" s="21" t="n">
        <x:f>SUMIF('Award Portfolio'!C7:C39,"TKS-C01",'Award Portfolio'!I7:I39)</x:f>
        <x:v>0.16000000000000003</x:v>
      </x:c>
      <x:c r="F131" s="21" t="n">
        <x:v>0.16</x:v>
      </x:c>
      <x:c r="G131" s="23" t="str">
        <x:f>IF(E131=F131,"PASS","FAIL")</x:f>
        <x:v>PASS</x:v>
      </x:c>
    </x:row>
    <x:row r="132">
      <x:c r="B132" s="21" t="str">
        <x:v>A0126</x:v>
      </x:c>
      <x:c r="C132" s="21" t="str">
        <x:v>family</x:v>
      </x:c>
      <x:c r="D132" s="21" t="str">
        <x:v>STG-S01 positive mass</x:v>
      </x:c>
      <x:c r="E132" s="21" t="n">
        <x:f>IF('Family Packages'!E16&gt;0,1,0)</x:f>
        <x:v>1</x:v>
      </x:c>
      <x:c r="F132" s="21" t="n">
        <x:v>1</x:v>
      </x:c>
      <x:c r="G132" s="23" t="str">
        <x:f>IF(E132=F132,"PASS","FAIL")</x:f>
        <x:v>PASS</x:v>
      </x:c>
    </x:row>
    <x:row r="133">
      <x:c r="B133" s="21" t="str">
        <x:v>A0127</x:v>
      </x:c>
      <x:c r="C133" s="21" t="str">
        <x:v>family</x:v>
      </x:c>
      <x:c r="D133" s="21" t="str">
        <x:v>STG-S01 positive volume</x:v>
      </x:c>
      <x:c r="E133" s="21" t="n">
        <x:f>IF('Family Packages'!F16&gt;0,1,0)</x:f>
        <x:v>1</x:v>
      </x:c>
      <x:c r="F133" s="21" t="n">
        <x:v>1</x:v>
      </x:c>
      <x:c r="G133" s="23" t="str">
        <x:f>IF(E133=F133,"PASS","FAIL")</x:f>
        <x:v>PASS</x:v>
      </x:c>
    </x:row>
    <x:row r="134">
      <x:c r="B134" s="21" t="str">
        <x:v>A0128</x:v>
      </x:c>
      <x:c r="C134" s="21" t="str">
        <x:v>family</x:v>
      </x:c>
      <x:c r="D134" s="21" t="str">
        <x:v>STG-S01 energy formula</x:v>
      </x:c>
      <x:c r="E134" s="21" t="n">
        <x:f>IF(ABS('Family Packages'!J16-'Family Packages'!G16*168*1.25/1000)&lt;0.000001,1,0)</x:f>
        <x:v>1</x:v>
      </x:c>
      <x:c r="F134" s="21" t="n">
        <x:v>1</x:v>
      </x:c>
      <x:c r="G134" s="23" t="str">
        <x:f>IF(E134=F134,"PASS","FAIL")</x:f>
        <x:v>PASS</x:v>
      </x:c>
    </x:row>
    <x:row r="135">
      <x:c r="B135" s="21" t="str">
        <x:v>A0129</x:v>
      </x:c>
      <x:c r="C135" s="21" t="str">
        <x:v>family</x:v>
      </x:c>
      <x:c r="D135" s="21" t="str">
        <x:v>STG-S01 heat formula</x:v>
      </x:c>
      <x:c r="E135" s="21" t="n">
        <x:f>IF(ABS('Family Packages'!K16-'Family Packages'!H16*1.2/1000)&lt;0.000001,1,0)</x:f>
        <x:v>1</x:v>
      </x:c>
      <x:c r="F135" s="21" t="n">
        <x:v>1</x:v>
      </x:c>
      <x:c r="G135" s="23" t="str">
        <x:f>IF(E135=F135,"PASS","FAIL")</x:f>
        <x:v>PASS</x:v>
      </x:c>
    </x:row>
    <x:row r="136">
      <x:c r="B136" s="21" t="str">
        <x:v>A0130</x:v>
      </x:c>
      <x:c r="C136" s="21" t="str">
        <x:v>family</x:v>
      </x:c>
      <x:c r="D136" s="21" t="str">
        <x:v>STG-S01 three proposals</x:v>
      </x:c>
      <x:c r="E136" s="21" t="n">
        <x:f>COUNTIF('Bid Register'!C7:C39,"STG-S01")</x:f>
        <x:v>3</x:v>
      </x:c>
      <x:c r="F136" s="21" t="n">
        <x:v>3</x:v>
      </x:c>
      <x:c r="G136" s="23" t="str">
        <x:f>IF(E136=F136,"PASS","FAIL")</x:f>
        <x:v>PASS</x:v>
      </x:c>
    </x:row>
    <x:row r="137">
      <x:c r="B137" s="21" t="str">
        <x:v>A0131</x:v>
      </x:c>
      <x:c r="C137" s="21" t="str">
        <x:v>family</x:v>
      </x:c>
      <x:c r="D137" s="21" t="str">
        <x:v>STG-S01 two build paths</x:v>
      </x:c>
      <x:c r="E137" s="21" t="n">
        <x:f>COUNTIFS('Award Portfolio'!C7:C39,"STG-S01",'Award Portfolio'!J7:J39,"PROVISIONAL BUILD")</x:f>
        <x:v>2</x:v>
      </x:c>
      <x:c r="F137" s="21" t="n">
        <x:v>2</x:v>
      </x:c>
      <x:c r="G137" s="23" t="str">
        <x:f>IF(E137=F137,"PASS","FAIL")</x:f>
        <x:v>PASS</x:v>
      </x:c>
    </x:row>
    <x:row r="138">
      <x:c r="B138" s="21" t="str">
        <x:v>A0132</x:v>
      </x:c>
      <x:c r="C138" s="21" t="str">
        <x:v>family</x:v>
      </x:c>
      <x:c r="D138" s="21" t="str">
        <x:v>STG-S01 one challenge path</x:v>
      </x:c>
      <x:c r="E138" s="21" t="n">
        <x:f>COUNTIFS('Award Portfolio'!C7:C39,"STG-S01",'Award Portfolio'!J7:J39,"CHALLENGE ONLY")</x:f>
        <x:v>1</x:v>
      </x:c>
      <x:c r="F138" s="21" t="n">
        <x:v>1</x:v>
      </x:c>
      <x:c r="G138" s="23" t="str">
        <x:f>IF(E138=F138,"PASS","FAIL")</x:f>
        <x:v>PASS</x:v>
      </x:c>
    </x:row>
    <x:row r="139">
      <x:c r="B139" s="21" t="str">
        <x:v>A0133</x:v>
      </x:c>
      <x:c r="C139" s="21" t="str">
        <x:v>family</x:v>
      </x:c>
      <x:c r="D139" s="21" t="str">
        <x:v>STG-S01 twelve requirements</x:v>
      </x:c>
      <x:c r="E139" s="21" t="n">
        <x:f>COUNTIF('Requirement Register'!C7:C138,"STG-S01")</x:f>
        <x:v>12</x:v>
      </x:c>
      <x:c r="F139" s="21" t="n">
        <x:v>12</x:v>
      </x:c>
      <x:c r="G139" s="23" t="str">
        <x:f>IF(E139=F139,"PASS","FAIL")</x:f>
        <x:v>PASS</x:v>
      </x:c>
    </x:row>
    <x:row r="140">
      <x:c r="B140" s="21" t="str">
        <x:v>A0134</x:v>
      </x:c>
      <x:c r="C140" s="21" t="str">
        <x:v>family</x:v>
      </x:c>
      <x:c r="D140" s="21" t="str">
        <x:v>STG-S01 thirty-six gate records</x:v>
      </x:c>
      <x:c r="E140" s="21" t="n">
        <x:f>COUNTIF('Paper Gates'!D7:D402,"STG-S01")</x:f>
        <x:v>36</x:v>
      </x:c>
      <x:c r="F140" s="21" t="n">
        <x:v>36</x:v>
      </x:c>
      <x:c r="G140" s="23" t="str">
        <x:f>IF(E140=F140,"PASS","FAIL")</x:f>
        <x:v>PASS</x:v>
      </x:c>
    </x:row>
    <x:row r="141">
      <x:c r="B141" s="21" t="str">
        <x:v>A0135</x:v>
      </x:c>
      <x:c r="C141" s="21" t="str">
        <x:v>family</x:v>
      </x:c>
      <x:c r="D141" s="21" t="str">
        <x:v>STG-S01 twenty-four rights</x:v>
      </x:c>
      <x:c r="E141" s="21" t="n">
        <x:f>COUNTIF('Rights Register'!D7:D270,"STG-S01")</x:f>
        <x:v>24</x:v>
      </x:c>
      <x:c r="F141" s="21" t="n">
        <x:v>24</x:v>
      </x:c>
      <x:c r="G141" s="23" t="str">
        <x:f>IF(E141=F141,"PASS","FAIL")</x:f>
        <x:v>PASS</x:v>
      </x:c>
    </x:row>
    <x:row r="142">
      <x:c r="B142" s="21" t="str">
        <x:v>A0136</x:v>
      </x:c>
      <x:c r="C142" s="21" t="str">
        <x:v>family</x:v>
      </x:c>
      <x:c r="D142" s="21" t="str">
        <x:v>STG-S01 six lot records</x:v>
      </x:c>
      <x:c r="E142" s="21" t="n">
        <x:f>COUNTIF('Article Lots'!C7:C72,"STG-S01")</x:f>
        <x:v>6</x:v>
      </x:c>
      <x:c r="F142" s="21" t="n">
        <x:v>6</x:v>
      </x:c>
      <x:c r="G142" s="23" t="str">
        <x:f>IF(E142=F142,"PASS","FAIL")</x:f>
        <x:v>PASS</x:v>
      </x:c>
    </x:row>
    <x:row r="143">
      <x:c r="B143" s="21" t="str">
        <x:v>A0137</x:v>
      </x:c>
      <x:c r="C143" s="21" t="str">
        <x:v>family</x:v>
      </x:c>
      <x:c r="D143" s="21" t="str">
        <x:v>STG-S01 contract split</x:v>
      </x:c>
      <x:c r="E143" s="21" t="n">
        <x:f>SUMIF('Award Portfolio'!C7:C39,"STG-S01",'Award Portfolio'!I7:I39)</x:f>
        <x:v>0.17000000000000004</x:v>
      </x:c>
      <x:c r="F143" s="21" t="n">
        <x:v>0.17</x:v>
      </x:c>
      <x:c r="G143" s="23" t="str">
        <x:f>IF(E143=F143,"PASS","FAIL")</x:f>
        <x:v>PASS</x:v>
      </x:c>
    </x:row>
    <x:row r="144">
      <x:c r="B144" s="21" t="str">
        <x:v>A0138</x:v>
      </x:c>
      <x:c r="C144" s="21" t="str">
        <x:v>family</x:v>
      </x:c>
      <x:c r="D144" s="21" t="str">
        <x:v>MHE-E01 positive mass</x:v>
      </x:c>
      <x:c r="E144" s="21" t="n">
        <x:f>IF('Family Packages'!E17&gt;0,1,0)</x:f>
        <x:v>1</x:v>
      </x:c>
      <x:c r="F144" s="21" t="n">
        <x:v>1</x:v>
      </x:c>
      <x:c r="G144" s="23" t="str">
        <x:f>IF(E144=F144,"PASS","FAIL")</x:f>
        <x:v>PASS</x:v>
      </x:c>
    </x:row>
    <x:row r="145">
      <x:c r="B145" s="21" t="str">
        <x:v>A0139</x:v>
      </x:c>
      <x:c r="C145" s="21" t="str">
        <x:v>family</x:v>
      </x:c>
      <x:c r="D145" s="21" t="str">
        <x:v>MHE-E01 positive volume</x:v>
      </x:c>
      <x:c r="E145" s="21" t="n">
        <x:f>IF('Family Packages'!F17&gt;0,1,0)</x:f>
        <x:v>1</x:v>
      </x:c>
      <x:c r="F145" s="21" t="n">
        <x:v>1</x:v>
      </x:c>
      <x:c r="G145" s="23" t="str">
        <x:f>IF(E145=F145,"PASS","FAIL")</x:f>
        <x:v>PASS</x:v>
      </x:c>
    </x:row>
    <x:row r="146">
      <x:c r="B146" s="21" t="str">
        <x:v>A0140</x:v>
      </x:c>
      <x:c r="C146" s="21" t="str">
        <x:v>family</x:v>
      </x:c>
      <x:c r="D146" s="21" t="str">
        <x:v>MHE-E01 energy formula</x:v>
      </x:c>
      <x:c r="E146" s="21" t="n">
        <x:f>IF(ABS('Family Packages'!J17-'Family Packages'!G17*168*1.25/1000)&lt;0.000001,1,0)</x:f>
        <x:v>1</x:v>
      </x:c>
      <x:c r="F146" s="21" t="n">
        <x:v>1</x:v>
      </x:c>
      <x:c r="G146" s="23" t="str">
        <x:f>IF(E146=F146,"PASS","FAIL")</x:f>
        <x:v>PASS</x:v>
      </x:c>
    </x:row>
    <x:row r="147">
      <x:c r="B147" s="21" t="str">
        <x:v>A0141</x:v>
      </x:c>
      <x:c r="C147" s="21" t="str">
        <x:v>family</x:v>
      </x:c>
      <x:c r="D147" s="21" t="str">
        <x:v>MHE-E01 heat formula</x:v>
      </x:c>
      <x:c r="E147" s="21" t="n">
        <x:f>IF(ABS('Family Packages'!K17-'Family Packages'!H17*1.2/1000)&lt;0.000001,1,0)</x:f>
        <x:v>1</x:v>
      </x:c>
      <x:c r="F147" s="21" t="n">
        <x:v>1</x:v>
      </x:c>
      <x:c r="G147" s="23" t="str">
        <x:f>IF(E147=F147,"PASS","FAIL")</x:f>
        <x:v>PASS</x:v>
      </x:c>
    </x:row>
    <x:row r="148">
      <x:c r="B148" s="21" t="str">
        <x:v>A0142</x:v>
      </x:c>
      <x:c r="C148" s="21" t="str">
        <x:v>family</x:v>
      </x:c>
      <x:c r="D148" s="21" t="str">
        <x:v>MHE-E01 three proposals</x:v>
      </x:c>
      <x:c r="E148" s="21" t="n">
        <x:f>COUNTIF('Bid Register'!C7:C39,"MHE-E01")</x:f>
        <x:v>3</x:v>
      </x:c>
      <x:c r="F148" s="21" t="n">
        <x:v>3</x:v>
      </x:c>
      <x:c r="G148" s="23" t="str">
        <x:f>IF(E148=F148,"PASS","FAIL")</x:f>
        <x:v>PASS</x:v>
      </x:c>
    </x:row>
    <x:row r="149">
      <x:c r="B149" s="21" t="str">
        <x:v>A0143</x:v>
      </x:c>
      <x:c r="C149" s="21" t="str">
        <x:v>family</x:v>
      </x:c>
      <x:c r="D149" s="21" t="str">
        <x:v>MHE-E01 two build paths</x:v>
      </x:c>
      <x:c r="E149" s="21" t="n">
        <x:f>COUNTIFS('Award Portfolio'!C7:C39,"MHE-E01",'Award Portfolio'!J7:J39,"PROVISIONAL BUILD")</x:f>
        <x:v>2</x:v>
      </x:c>
      <x:c r="F149" s="21" t="n">
        <x:v>2</x:v>
      </x:c>
      <x:c r="G149" s="23" t="str">
        <x:f>IF(E149=F149,"PASS","FAIL")</x:f>
        <x:v>PASS</x:v>
      </x:c>
    </x:row>
    <x:row r="150">
      <x:c r="B150" s="21" t="str">
        <x:v>A0144</x:v>
      </x:c>
      <x:c r="C150" s="21" t="str">
        <x:v>family</x:v>
      </x:c>
      <x:c r="D150" s="21" t="str">
        <x:v>MHE-E01 one challenge path</x:v>
      </x:c>
      <x:c r="E150" s="21" t="n">
        <x:f>COUNTIFS('Award Portfolio'!C7:C39,"MHE-E01",'Award Portfolio'!J7:J39,"CHALLENGE ONLY")</x:f>
        <x:v>1</x:v>
      </x:c>
      <x:c r="F150" s="21" t="n">
        <x:v>1</x:v>
      </x:c>
      <x:c r="G150" s="23" t="str">
        <x:f>IF(E150=F150,"PASS","FAIL")</x:f>
        <x:v>PASS</x:v>
      </x:c>
    </x:row>
    <x:row r="151">
      <x:c r="B151" s="21" t="str">
        <x:v>A0145</x:v>
      </x:c>
      <x:c r="C151" s="21" t="str">
        <x:v>family</x:v>
      </x:c>
      <x:c r="D151" s="21" t="str">
        <x:v>MHE-E01 twelve requirements</x:v>
      </x:c>
      <x:c r="E151" s="21" t="n">
        <x:f>COUNTIF('Requirement Register'!C7:C138,"MHE-E01")</x:f>
        <x:v>12</x:v>
      </x:c>
      <x:c r="F151" s="21" t="n">
        <x:v>12</x:v>
      </x:c>
      <x:c r="G151" s="23" t="str">
        <x:f>IF(E151=F151,"PASS","FAIL")</x:f>
        <x:v>PASS</x:v>
      </x:c>
    </x:row>
    <x:row r="152">
      <x:c r="B152" s="21" t="str">
        <x:v>A0146</x:v>
      </x:c>
      <x:c r="C152" s="21" t="str">
        <x:v>family</x:v>
      </x:c>
      <x:c r="D152" s="21" t="str">
        <x:v>MHE-E01 thirty-six gate records</x:v>
      </x:c>
      <x:c r="E152" s="21" t="n">
        <x:f>COUNTIF('Paper Gates'!D7:D402,"MHE-E01")</x:f>
        <x:v>36</x:v>
      </x:c>
      <x:c r="F152" s="21" t="n">
        <x:v>36</x:v>
      </x:c>
      <x:c r="G152" s="23" t="str">
        <x:f>IF(E152=F152,"PASS","FAIL")</x:f>
        <x:v>PASS</x:v>
      </x:c>
    </x:row>
    <x:row r="153">
      <x:c r="B153" s="21" t="str">
        <x:v>A0147</x:v>
      </x:c>
      <x:c r="C153" s="21" t="str">
        <x:v>family</x:v>
      </x:c>
      <x:c r="D153" s="21" t="str">
        <x:v>MHE-E01 twenty-four rights</x:v>
      </x:c>
      <x:c r="E153" s="21" t="n">
        <x:f>COUNTIF('Rights Register'!D7:D270,"MHE-E01")</x:f>
        <x:v>24</x:v>
      </x:c>
      <x:c r="F153" s="21" t="n">
        <x:v>24</x:v>
      </x:c>
      <x:c r="G153" s="23" t="str">
        <x:f>IF(E153=F153,"PASS","FAIL")</x:f>
        <x:v>PASS</x:v>
      </x:c>
    </x:row>
    <x:row r="154">
      <x:c r="B154" s="21" t="str">
        <x:v>A0148</x:v>
      </x:c>
      <x:c r="C154" s="21" t="str">
        <x:v>family</x:v>
      </x:c>
      <x:c r="D154" s="21" t="str">
        <x:v>MHE-E01 six lot records</x:v>
      </x:c>
      <x:c r="E154" s="21" t="n">
        <x:f>COUNTIF('Article Lots'!C7:C72,"MHE-E01")</x:f>
        <x:v>6</x:v>
      </x:c>
      <x:c r="F154" s="21" t="n">
        <x:v>6</x:v>
      </x:c>
      <x:c r="G154" s="23" t="str">
        <x:f>IF(E154=F154,"PASS","FAIL")</x:f>
        <x:v>PASS</x:v>
      </x:c>
    </x:row>
    <x:row r="155">
      <x:c r="B155" s="21" t="str">
        <x:v>A0149</x:v>
      </x:c>
      <x:c r="C155" s="21" t="str">
        <x:v>family</x:v>
      </x:c>
      <x:c r="D155" s="21" t="str">
        <x:v>MHE-E01 contract split</x:v>
      </x:c>
      <x:c r="E155" s="21" t="n">
        <x:f>SUMIF('Award Portfolio'!C7:C39,"MHE-E01",'Award Portfolio'!I7:I39)</x:f>
        <x:v>0.25</x:v>
      </x:c>
      <x:c r="F155" s="21" t="n">
        <x:v>0.25</x:v>
      </x:c>
      <x:c r="G155" s="23" t="str">
        <x:f>IF(E155=F155,"PASS","FAIL")</x:f>
        <x:v>PASS</x:v>
      </x:c>
    </x:row>
    <x:row r="156">
      <x:c r="B156" s="21" t="str">
        <x:v>A0150</x:v>
      </x:c>
      <x:c r="C156" s="21" t="str">
        <x:v>proposal</x:v>
      </x:c>
      <x:c r="D156" s="21" t="str">
        <x:v>ATC-A01-A twelve gates</x:v>
      </x:c>
      <x:c r="E156" s="21" t="n">
        <x:f>COUNTIF('Paper Gates'!C7:C402,"ATC-A01-A")</x:f>
        <x:v>12</x:v>
      </x:c>
      <x:c r="F156" s="21" t="n">
        <x:v>12</x:v>
      </x:c>
      <x:c r="G156" s="23" t="str">
        <x:f>IF(E156=F156,"PASS","FAIL")</x:f>
        <x:v>PASS</x:v>
      </x:c>
    </x:row>
    <x:row r="157">
      <x:c r="B157" s="21" t="str">
        <x:v>A0151</x:v>
      </x:c>
      <x:c r="C157" s="21" t="str">
        <x:v>proposal</x:v>
      </x:c>
      <x:c r="D157" s="21" t="str">
        <x:v>ATC-A01-A required hard passes</x:v>
      </x:c>
      <x:c r="E157" s="21" t="n">
        <x:f>'Award Portfolio'!G7</x:f>
        <x:v>12</x:v>
      </x:c>
      <x:c r="F157" s="21" t="n">
        <x:v>12</x:v>
      </x:c>
      <x:c r="G157" s="23" t="str">
        <x:f>IF(E157=F157,"PASS","FAIL")</x:f>
        <x:v>PASS</x:v>
      </x:c>
    </x:row>
    <x:row r="158">
      <x:c r="B158" s="21" t="str">
        <x:v>A0152</x:v>
      </x:c>
      <x:c r="C158" s="21" t="str">
        <x:v>proposal</x:v>
      </x:c>
      <x:c r="D158" s="21" t="str">
        <x:v>ATC-A01-A six merit dimensions</x:v>
      </x:c>
      <x:c r="E158" s="21" t="n">
        <x:f>COUNTIF('Merit Review'!C7:C204,"ATC-A01-A")</x:f>
        <x:v>6</x:v>
      </x:c>
      <x:c r="F158" s="21" t="n">
        <x:v>6</x:v>
      </x:c>
      <x:c r="G158" s="23" t="str">
        <x:f>IF(E158=F158,"PASS","FAIL")</x:f>
        <x:v>PASS</x:v>
      </x:c>
    </x:row>
    <x:row r="159">
      <x:c r="B159" s="21" t="str">
        <x:v>A0153</x:v>
      </x:c>
      <x:c r="C159" s="21" t="str">
        <x:v>proposal</x:v>
      </x:c>
      <x:c r="D159" s="21" t="str">
        <x:v>ATC-A01-A merit weights sum one</x:v>
      </x:c>
      <x:c r="E159" s="21" t="n">
        <x:f>SUMIF('Merit Review'!C7:C204,"ATC-A01-A",'Merit Review'!G7:G204)</x:f>
        <x:v>1</x:v>
      </x:c>
      <x:c r="F159" s="21" t="n">
        <x:v>1</x:v>
      </x:c>
      <x:c r="G159" s="23" t="str">
        <x:f>IF(E159=F159,"PASS","FAIL")</x:f>
        <x:v>PASS</x:v>
      </x:c>
    </x:row>
    <x:row r="160">
      <x:c r="B160" s="21" t="str">
        <x:v>A0154</x:v>
      </x:c>
      <x:c r="C160" s="21" t="str">
        <x:v>proposal</x:v>
      </x:c>
      <x:c r="D160" s="21" t="str">
        <x:v>ATC-A01-A eight rights</x:v>
      </x:c>
      <x:c r="E160" s="21" t="n">
        <x:f>COUNTIF('Rights Register'!C7:C270,"ATC-A01-A")</x:f>
        <x:v>8</x:v>
      </x:c>
      <x:c r="F160" s="21" t="n">
        <x:v>8</x:v>
      </x:c>
      <x:c r="G160" s="23" t="str">
        <x:f>IF(E160=F160,"PASS","FAIL")</x:f>
        <x:v>PASS</x:v>
      </x:c>
    </x:row>
    <x:row r="161">
      <x:c r="B161" s="21" t="str">
        <x:v>A0155</x:v>
      </x:c>
      <x:c r="C161" s="21" t="str">
        <x:v>proposal</x:v>
      </x:c>
      <x:c r="D161" s="21" t="str">
        <x:v>ATC-A01-A all rights offered</x:v>
      </x:c>
      <x:c r="E161" s="21" t="n">
        <x:f>SUMIF('Rights Register'!C7:C270,"ATC-A01-A",'Rights Register'!H7:H270)</x:f>
        <x:v>8</x:v>
      </x:c>
      <x:c r="F161" s="21" t="n">
        <x:v>8</x:v>
      </x:c>
      <x:c r="G161" s="23" t="str">
        <x:f>IF(E161=F161,"PASS","FAIL")</x:f>
        <x:v>PASS</x:v>
      </x:c>
    </x:row>
    <x:row r="162">
      <x:c r="B162" s="21" t="str">
        <x:v>A0156</x:v>
      </x:c>
      <x:c r="C162" s="21" t="str">
        <x:v>proposal</x:v>
      </x:c>
      <x:c r="D162" s="21" t="str">
        <x:v>ATC-A01-A evidence open</x:v>
      </x:c>
      <x:c r="E162" s="21" t="n">
        <x:f>IF('Award Portfolio'!L7="OPEN",1,0)</x:f>
        <x:v>1</x:v>
      </x:c>
      <x:c r="F162" s="21" t="n">
        <x:v>1</x:v>
      </x:c>
      <x:c r="G162" s="23" t="str">
        <x:f>IF(E162=F162,"PASS","FAIL")</x:f>
        <x:v>PASS</x:v>
      </x:c>
    </x:row>
    <x:row r="163">
      <x:c r="B163" s="21" t="str">
        <x:v>A0157</x:v>
      </x:c>
      <x:c r="C163" s="21" t="str">
        <x:v>proposal</x:v>
      </x:c>
      <x:c r="D163" s="21" t="str">
        <x:v>ATC-A01-A build authority held</x:v>
      </x:c>
      <x:c r="E163" s="21" t="n">
        <x:f>IF('Award Portfolio'!K7="HOLD",1,0)</x:f>
        <x:v>1</x:v>
      </x:c>
      <x:c r="F163" s="21" t="n">
        <x:v>1</x:v>
      </x:c>
      <x:c r="G163" s="23" t="str">
        <x:f>IF(E163=F163,"PASS","FAIL")</x:f>
        <x:v>PASS</x:v>
      </x:c>
    </x:row>
    <x:row r="164">
      <x:c r="B164" s="21" t="str">
        <x:v>A0158</x:v>
      </x:c>
      <x:c r="C164" s="21" t="str">
        <x:v>proposal</x:v>
      </x:c>
      <x:c r="D164" s="21" t="str">
        <x:v>ATC-A01-B twelve gates</x:v>
      </x:c>
      <x:c r="E164" s="21" t="n">
        <x:f>COUNTIF('Paper Gates'!C7:C402,"ATC-A01-B")</x:f>
        <x:v>12</x:v>
      </x:c>
      <x:c r="F164" s="21" t="n">
        <x:v>12</x:v>
      </x:c>
      <x:c r="G164" s="23" t="str">
        <x:f>IF(E164=F164,"PASS","FAIL")</x:f>
        <x:v>PASS</x:v>
      </x:c>
    </x:row>
    <x:row r="165">
      <x:c r="B165" s="21" t="str">
        <x:v>A0159</x:v>
      </x:c>
      <x:c r="C165" s="21" t="str">
        <x:v>proposal</x:v>
      </x:c>
      <x:c r="D165" s="21" t="str">
        <x:v>ATC-A01-B required hard passes</x:v>
      </x:c>
      <x:c r="E165" s="21" t="n">
        <x:f>'Award Portfolio'!G8</x:f>
        <x:v>12</x:v>
      </x:c>
      <x:c r="F165" s="21" t="n">
        <x:v>12</x:v>
      </x:c>
      <x:c r="G165" s="23" t="str">
        <x:f>IF(E165=F165,"PASS","FAIL")</x:f>
        <x:v>PASS</x:v>
      </x:c>
    </x:row>
    <x:row r="166">
      <x:c r="B166" s="21" t="str">
        <x:v>A0160</x:v>
      </x:c>
      <x:c r="C166" s="21" t="str">
        <x:v>proposal</x:v>
      </x:c>
      <x:c r="D166" s="21" t="str">
        <x:v>ATC-A01-B six merit dimensions</x:v>
      </x:c>
      <x:c r="E166" s="21" t="n">
        <x:f>COUNTIF('Merit Review'!C7:C204,"ATC-A01-B")</x:f>
        <x:v>6</x:v>
      </x:c>
      <x:c r="F166" s="21" t="n">
        <x:v>6</x:v>
      </x:c>
      <x:c r="G166" s="23" t="str">
        <x:f>IF(E166=F166,"PASS","FAIL")</x:f>
        <x:v>PASS</x:v>
      </x:c>
    </x:row>
    <x:row r="167">
      <x:c r="B167" s="21" t="str">
        <x:v>A0161</x:v>
      </x:c>
      <x:c r="C167" s="21" t="str">
        <x:v>proposal</x:v>
      </x:c>
      <x:c r="D167" s="21" t="str">
        <x:v>ATC-A01-B merit weights sum one</x:v>
      </x:c>
      <x:c r="E167" s="21" t="n">
        <x:f>SUMIF('Merit Review'!C7:C204,"ATC-A01-B",'Merit Review'!G7:G204)</x:f>
        <x:v>1</x:v>
      </x:c>
      <x:c r="F167" s="21" t="n">
        <x:v>1</x:v>
      </x:c>
      <x:c r="G167" s="23" t="str">
        <x:f>IF(E167=F167,"PASS","FAIL")</x:f>
        <x:v>PASS</x:v>
      </x:c>
    </x:row>
    <x:row r="168">
      <x:c r="B168" s="21" t="str">
        <x:v>A0162</x:v>
      </x:c>
      <x:c r="C168" s="21" t="str">
        <x:v>proposal</x:v>
      </x:c>
      <x:c r="D168" s="21" t="str">
        <x:v>ATC-A01-B eight rights</x:v>
      </x:c>
      <x:c r="E168" s="21" t="n">
        <x:f>COUNTIF('Rights Register'!C7:C270,"ATC-A01-B")</x:f>
        <x:v>8</x:v>
      </x:c>
      <x:c r="F168" s="21" t="n">
        <x:v>8</x:v>
      </x:c>
      <x:c r="G168" s="23" t="str">
        <x:f>IF(E168=F168,"PASS","FAIL")</x:f>
        <x:v>PASS</x:v>
      </x:c>
    </x:row>
    <x:row r="169">
      <x:c r="B169" s="21" t="str">
        <x:v>A0163</x:v>
      </x:c>
      <x:c r="C169" s="21" t="str">
        <x:v>proposal</x:v>
      </x:c>
      <x:c r="D169" s="21" t="str">
        <x:v>ATC-A01-B all rights offered</x:v>
      </x:c>
      <x:c r="E169" s="21" t="n">
        <x:f>SUMIF('Rights Register'!C7:C270,"ATC-A01-B",'Rights Register'!H7:H270)</x:f>
        <x:v>8</x:v>
      </x:c>
      <x:c r="F169" s="21" t="n">
        <x:v>8</x:v>
      </x:c>
      <x:c r="G169" s="23" t="str">
        <x:f>IF(E169=F169,"PASS","FAIL")</x:f>
        <x:v>PASS</x:v>
      </x:c>
    </x:row>
    <x:row r="170">
      <x:c r="B170" s="21" t="str">
        <x:v>A0164</x:v>
      </x:c>
      <x:c r="C170" s="21" t="str">
        <x:v>proposal</x:v>
      </x:c>
      <x:c r="D170" s="21" t="str">
        <x:v>ATC-A01-B evidence open</x:v>
      </x:c>
      <x:c r="E170" s="21" t="n">
        <x:f>IF('Award Portfolio'!L8="OPEN",1,0)</x:f>
        <x:v>1</x:v>
      </x:c>
      <x:c r="F170" s="21" t="n">
        <x:v>1</x:v>
      </x:c>
      <x:c r="G170" s="23" t="str">
        <x:f>IF(E170=F170,"PASS","FAIL")</x:f>
        <x:v>PASS</x:v>
      </x:c>
    </x:row>
    <x:row r="171">
      <x:c r="B171" s="21" t="str">
        <x:v>A0165</x:v>
      </x:c>
      <x:c r="C171" s="21" t="str">
        <x:v>proposal</x:v>
      </x:c>
      <x:c r="D171" s="21" t="str">
        <x:v>ATC-A01-B build authority held</x:v>
      </x:c>
      <x:c r="E171" s="21" t="n">
        <x:f>IF('Award Portfolio'!K8="HOLD",1,0)</x:f>
        <x:v>1</x:v>
      </x:c>
      <x:c r="F171" s="21" t="n">
        <x:v>1</x:v>
      </x:c>
      <x:c r="G171" s="23" t="str">
        <x:f>IF(E171=F171,"PASS","FAIL")</x:f>
        <x:v>PASS</x:v>
      </x:c>
    </x:row>
    <x:row r="172">
      <x:c r="B172" s="21" t="str">
        <x:v>A0166</x:v>
      </x:c>
      <x:c r="C172" s="21" t="str">
        <x:v>proposal</x:v>
      </x:c>
      <x:c r="D172" s="21" t="str">
        <x:v>ATC-A01-C twelve gates</x:v>
      </x:c>
      <x:c r="E172" s="21" t="n">
        <x:f>COUNTIF('Paper Gates'!C7:C402,"ATC-A01-C")</x:f>
        <x:v>12</x:v>
      </x:c>
      <x:c r="F172" s="21" t="n">
        <x:v>12</x:v>
      </x:c>
      <x:c r="G172" s="23" t="str">
        <x:f>IF(E172=F172,"PASS","FAIL")</x:f>
        <x:v>PASS</x:v>
      </x:c>
    </x:row>
    <x:row r="173">
      <x:c r="B173" s="21" t="str">
        <x:v>A0167</x:v>
      </x:c>
      <x:c r="C173" s="21" t="str">
        <x:v>proposal</x:v>
      </x:c>
      <x:c r="D173" s="21" t="str">
        <x:v>ATC-A01-C required hard passes</x:v>
      </x:c>
      <x:c r="E173" s="21" t="n">
        <x:f>'Award Portfolio'!G9</x:f>
        <x:v>11</x:v>
      </x:c>
      <x:c r="F173" s="21" t="n">
        <x:v>11</x:v>
      </x:c>
      <x:c r="G173" s="23" t="str">
        <x:f>IF(E173=F173,"PASS","FAIL")</x:f>
        <x:v>PASS</x:v>
      </x:c>
    </x:row>
    <x:row r="174">
      <x:c r="B174" s="21" t="str">
        <x:v>A0168</x:v>
      </x:c>
      <x:c r="C174" s="21" t="str">
        <x:v>proposal</x:v>
      </x:c>
      <x:c r="D174" s="21" t="str">
        <x:v>ATC-A01-C six merit dimensions</x:v>
      </x:c>
      <x:c r="E174" s="21" t="n">
        <x:f>COUNTIF('Merit Review'!C7:C204,"ATC-A01-C")</x:f>
        <x:v>6</x:v>
      </x:c>
      <x:c r="F174" s="21" t="n">
        <x:v>6</x:v>
      </x:c>
      <x:c r="G174" s="23" t="str">
        <x:f>IF(E174=F174,"PASS","FAIL")</x:f>
        <x:v>PASS</x:v>
      </x:c>
    </x:row>
    <x:row r="175">
      <x:c r="B175" s="21" t="str">
        <x:v>A0169</x:v>
      </x:c>
      <x:c r="C175" s="21" t="str">
        <x:v>proposal</x:v>
      </x:c>
      <x:c r="D175" s="21" t="str">
        <x:v>ATC-A01-C merit weights sum one</x:v>
      </x:c>
      <x:c r="E175" s="21" t="n">
        <x:f>SUMIF('Merit Review'!C7:C204,"ATC-A01-C",'Merit Review'!G7:G204)</x:f>
        <x:v>1</x:v>
      </x:c>
      <x:c r="F175" s="21" t="n">
        <x:v>1</x:v>
      </x:c>
      <x:c r="G175" s="23" t="str">
        <x:f>IF(E175=F175,"PASS","FAIL")</x:f>
        <x:v>PASS</x:v>
      </x:c>
    </x:row>
    <x:row r="176">
      <x:c r="B176" s="21" t="str">
        <x:v>A0170</x:v>
      </x:c>
      <x:c r="C176" s="21" t="str">
        <x:v>proposal</x:v>
      </x:c>
      <x:c r="D176" s="21" t="str">
        <x:v>ATC-A01-C eight rights</x:v>
      </x:c>
      <x:c r="E176" s="21" t="n">
        <x:f>COUNTIF('Rights Register'!C7:C270,"ATC-A01-C")</x:f>
        <x:v>8</x:v>
      </x:c>
      <x:c r="F176" s="21" t="n">
        <x:v>8</x:v>
      </x:c>
      <x:c r="G176" s="23" t="str">
        <x:f>IF(E176=F176,"PASS","FAIL")</x:f>
        <x:v>PASS</x:v>
      </x:c>
    </x:row>
    <x:row r="177">
      <x:c r="B177" s="21" t="str">
        <x:v>A0171</x:v>
      </x:c>
      <x:c r="C177" s="21" t="str">
        <x:v>proposal</x:v>
      </x:c>
      <x:c r="D177" s="21" t="str">
        <x:v>ATC-A01-C all rights offered</x:v>
      </x:c>
      <x:c r="E177" s="21" t="n">
        <x:f>SUMIF('Rights Register'!C7:C270,"ATC-A01-C",'Rights Register'!H7:H270)</x:f>
        <x:v>8</x:v>
      </x:c>
      <x:c r="F177" s="21" t="n">
        <x:v>8</x:v>
      </x:c>
      <x:c r="G177" s="23" t="str">
        <x:f>IF(E177=F177,"PASS","FAIL")</x:f>
        <x:v>PASS</x:v>
      </x:c>
    </x:row>
    <x:row r="178">
      <x:c r="B178" s="21" t="str">
        <x:v>A0172</x:v>
      </x:c>
      <x:c r="C178" s="21" t="str">
        <x:v>proposal</x:v>
      </x:c>
      <x:c r="D178" s="21" t="str">
        <x:v>ATC-A01-C evidence open</x:v>
      </x:c>
      <x:c r="E178" s="21" t="n">
        <x:f>IF('Award Portfolio'!L9="OPEN",1,0)</x:f>
        <x:v>1</x:v>
      </x:c>
      <x:c r="F178" s="21" t="n">
        <x:v>1</x:v>
      </x:c>
      <x:c r="G178" s="23" t="str">
        <x:f>IF(E178=F178,"PASS","FAIL")</x:f>
        <x:v>PASS</x:v>
      </x:c>
    </x:row>
    <x:row r="179">
      <x:c r="B179" s="21" t="str">
        <x:v>A0173</x:v>
      </x:c>
      <x:c r="C179" s="21" t="str">
        <x:v>proposal</x:v>
      </x:c>
      <x:c r="D179" s="21" t="str">
        <x:v>ATC-A01-C build authority held</x:v>
      </x:c>
      <x:c r="E179" s="21" t="n">
        <x:f>IF('Award Portfolio'!K9="HOLD",1,0)</x:f>
        <x:v>1</x:v>
      </x:c>
      <x:c r="F179" s="21" t="n">
        <x:v>1</x:v>
      </x:c>
      <x:c r="G179" s="23" t="str">
        <x:f>IF(E179=F179,"PASS","FAIL")</x:f>
        <x:v>PASS</x:v>
      </x:c>
    </x:row>
    <x:row r="180">
      <x:c r="B180" s="21" t="str">
        <x:v>A0174</x:v>
      </x:c>
      <x:c r="C180" s="21" t="str">
        <x:v>proposal</x:v>
      </x:c>
      <x:c r="D180" s="21" t="str">
        <x:v>TTC-T01-A twelve gates</x:v>
      </x:c>
      <x:c r="E180" s="21" t="n">
        <x:f>COUNTIF('Paper Gates'!C7:C402,"TTC-T01-A")</x:f>
        <x:v>12</x:v>
      </x:c>
      <x:c r="F180" s="21" t="n">
        <x:v>12</x:v>
      </x:c>
      <x:c r="G180" s="23" t="str">
        <x:f>IF(E180=F180,"PASS","FAIL")</x:f>
        <x:v>PASS</x:v>
      </x:c>
    </x:row>
    <x:row r="181">
      <x:c r="B181" s="21" t="str">
        <x:v>A0175</x:v>
      </x:c>
      <x:c r="C181" s="21" t="str">
        <x:v>proposal</x:v>
      </x:c>
      <x:c r="D181" s="21" t="str">
        <x:v>TTC-T01-A required hard passes</x:v>
      </x:c>
      <x:c r="E181" s="21" t="n">
        <x:f>'Award Portfolio'!G10</x:f>
        <x:v>12</x:v>
      </x:c>
      <x:c r="F181" s="21" t="n">
        <x:v>12</x:v>
      </x:c>
      <x:c r="G181" s="23" t="str">
        <x:f>IF(E181=F181,"PASS","FAIL")</x:f>
        <x:v>PASS</x:v>
      </x:c>
    </x:row>
    <x:row r="182">
      <x:c r="B182" s="21" t="str">
        <x:v>A0176</x:v>
      </x:c>
      <x:c r="C182" s="21" t="str">
        <x:v>proposal</x:v>
      </x:c>
      <x:c r="D182" s="21" t="str">
        <x:v>TTC-T01-A six merit dimensions</x:v>
      </x:c>
      <x:c r="E182" s="21" t="n">
        <x:f>COUNTIF('Merit Review'!C7:C204,"TTC-T01-A")</x:f>
        <x:v>6</x:v>
      </x:c>
      <x:c r="F182" s="21" t="n">
        <x:v>6</x:v>
      </x:c>
      <x:c r="G182" s="23" t="str">
        <x:f>IF(E182=F182,"PASS","FAIL")</x:f>
        <x:v>PASS</x:v>
      </x:c>
    </x:row>
    <x:row r="183">
      <x:c r="B183" s="21" t="str">
        <x:v>A0177</x:v>
      </x:c>
      <x:c r="C183" s="21" t="str">
        <x:v>proposal</x:v>
      </x:c>
      <x:c r="D183" s="21" t="str">
        <x:v>TTC-T01-A merit weights sum one</x:v>
      </x:c>
      <x:c r="E183" s="21" t="n">
        <x:f>SUMIF('Merit Review'!C7:C204,"TTC-T01-A",'Merit Review'!G7:G204)</x:f>
        <x:v>1</x:v>
      </x:c>
      <x:c r="F183" s="21" t="n">
        <x:v>1</x:v>
      </x:c>
      <x:c r="G183" s="23" t="str">
        <x:f>IF(E183=F183,"PASS","FAIL")</x:f>
        <x:v>PASS</x:v>
      </x:c>
    </x:row>
    <x:row r="184">
      <x:c r="B184" s="21" t="str">
        <x:v>A0178</x:v>
      </x:c>
      <x:c r="C184" s="21" t="str">
        <x:v>proposal</x:v>
      </x:c>
      <x:c r="D184" s="21" t="str">
        <x:v>TTC-T01-A eight rights</x:v>
      </x:c>
      <x:c r="E184" s="21" t="n">
        <x:f>COUNTIF('Rights Register'!C7:C270,"TTC-T01-A")</x:f>
        <x:v>8</x:v>
      </x:c>
      <x:c r="F184" s="21" t="n">
        <x:v>8</x:v>
      </x:c>
      <x:c r="G184" s="23" t="str">
        <x:f>IF(E184=F184,"PASS","FAIL")</x:f>
        <x:v>PASS</x:v>
      </x:c>
    </x:row>
    <x:row r="185">
      <x:c r="B185" s="21" t="str">
        <x:v>A0179</x:v>
      </x:c>
      <x:c r="C185" s="21" t="str">
        <x:v>proposal</x:v>
      </x:c>
      <x:c r="D185" s="21" t="str">
        <x:v>TTC-T01-A all rights offered</x:v>
      </x:c>
      <x:c r="E185" s="21" t="n">
        <x:f>SUMIF('Rights Register'!C7:C270,"TTC-T01-A",'Rights Register'!H7:H270)</x:f>
        <x:v>8</x:v>
      </x:c>
      <x:c r="F185" s="21" t="n">
        <x:v>8</x:v>
      </x:c>
      <x:c r="G185" s="23" t="str">
        <x:f>IF(E185=F185,"PASS","FAIL")</x:f>
        <x:v>PASS</x:v>
      </x:c>
    </x:row>
    <x:row r="186">
      <x:c r="B186" s="21" t="str">
        <x:v>A0180</x:v>
      </x:c>
      <x:c r="C186" s="21" t="str">
        <x:v>proposal</x:v>
      </x:c>
      <x:c r="D186" s="21" t="str">
        <x:v>TTC-T01-A evidence open</x:v>
      </x:c>
      <x:c r="E186" s="21" t="n">
        <x:f>IF('Award Portfolio'!L10="OPEN",1,0)</x:f>
        <x:v>1</x:v>
      </x:c>
      <x:c r="F186" s="21" t="n">
        <x:v>1</x:v>
      </x:c>
      <x:c r="G186" s="23" t="str">
        <x:f>IF(E186=F186,"PASS","FAIL")</x:f>
        <x:v>PASS</x:v>
      </x:c>
    </x:row>
    <x:row r="187">
      <x:c r="B187" s="21" t="str">
        <x:v>A0181</x:v>
      </x:c>
      <x:c r="C187" s="21" t="str">
        <x:v>proposal</x:v>
      </x:c>
      <x:c r="D187" s="21" t="str">
        <x:v>TTC-T01-A build authority held</x:v>
      </x:c>
      <x:c r="E187" s="21" t="n">
        <x:f>IF('Award Portfolio'!K10="HOLD",1,0)</x:f>
        <x:v>1</x:v>
      </x:c>
      <x:c r="F187" s="21" t="n">
        <x:v>1</x:v>
      </x:c>
      <x:c r="G187" s="23" t="str">
        <x:f>IF(E187=F187,"PASS","FAIL")</x:f>
        <x:v>PASS</x:v>
      </x:c>
    </x:row>
    <x:row r="188">
      <x:c r="B188" s="21" t="str">
        <x:v>A0182</x:v>
      </x:c>
      <x:c r="C188" s="21" t="str">
        <x:v>proposal</x:v>
      </x:c>
      <x:c r="D188" s="21" t="str">
        <x:v>TTC-T01-B twelve gates</x:v>
      </x:c>
      <x:c r="E188" s="21" t="n">
        <x:f>COUNTIF('Paper Gates'!C7:C402,"TTC-T01-B")</x:f>
        <x:v>12</x:v>
      </x:c>
      <x:c r="F188" s="21" t="n">
        <x:v>12</x:v>
      </x:c>
      <x:c r="G188" s="23" t="str">
        <x:f>IF(E188=F188,"PASS","FAIL")</x:f>
        <x:v>PASS</x:v>
      </x:c>
    </x:row>
    <x:row r="189">
      <x:c r="B189" s="21" t="str">
        <x:v>A0183</x:v>
      </x:c>
      <x:c r="C189" s="21" t="str">
        <x:v>proposal</x:v>
      </x:c>
      <x:c r="D189" s="21" t="str">
        <x:v>TTC-T01-B required hard passes</x:v>
      </x:c>
      <x:c r="E189" s="21" t="n">
        <x:f>'Award Portfolio'!G11</x:f>
        <x:v>12</x:v>
      </x:c>
      <x:c r="F189" s="21" t="n">
        <x:v>12</x:v>
      </x:c>
      <x:c r="G189" s="23" t="str">
        <x:f>IF(E189=F189,"PASS","FAIL")</x:f>
        <x:v>PASS</x:v>
      </x:c>
    </x:row>
    <x:row r="190">
      <x:c r="B190" s="21" t="str">
        <x:v>A0184</x:v>
      </x:c>
      <x:c r="C190" s="21" t="str">
        <x:v>proposal</x:v>
      </x:c>
      <x:c r="D190" s="21" t="str">
        <x:v>TTC-T01-B six merit dimensions</x:v>
      </x:c>
      <x:c r="E190" s="21" t="n">
        <x:f>COUNTIF('Merit Review'!C7:C204,"TTC-T01-B")</x:f>
        <x:v>6</x:v>
      </x:c>
      <x:c r="F190" s="21" t="n">
        <x:v>6</x:v>
      </x:c>
      <x:c r="G190" s="23" t="str">
        <x:f>IF(E190=F190,"PASS","FAIL")</x:f>
        <x:v>PASS</x:v>
      </x:c>
    </x:row>
    <x:row r="191">
      <x:c r="B191" s="21" t="str">
        <x:v>A0185</x:v>
      </x:c>
      <x:c r="C191" s="21" t="str">
        <x:v>proposal</x:v>
      </x:c>
      <x:c r="D191" s="21" t="str">
        <x:v>TTC-T01-B merit weights sum one</x:v>
      </x:c>
      <x:c r="E191" s="21" t="n">
        <x:f>SUMIF('Merit Review'!C7:C204,"TTC-T01-B",'Merit Review'!G7:G204)</x:f>
        <x:v>1</x:v>
      </x:c>
      <x:c r="F191" s="21" t="n">
        <x:v>1</x:v>
      </x:c>
      <x:c r="G191" s="23" t="str">
        <x:f>IF(E191=F191,"PASS","FAIL")</x:f>
        <x:v>PASS</x:v>
      </x:c>
    </x:row>
    <x:row r="192">
      <x:c r="B192" s="21" t="str">
        <x:v>A0186</x:v>
      </x:c>
      <x:c r="C192" s="21" t="str">
        <x:v>proposal</x:v>
      </x:c>
      <x:c r="D192" s="21" t="str">
        <x:v>TTC-T01-B eight rights</x:v>
      </x:c>
      <x:c r="E192" s="21" t="n">
        <x:f>COUNTIF('Rights Register'!C7:C270,"TTC-T01-B")</x:f>
        <x:v>8</x:v>
      </x:c>
      <x:c r="F192" s="21" t="n">
        <x:v>8</x:v>
      </x:c>
      <x:c r="G192" s="23" t="str">
        <x:f>IF(E192=F192,"PASS","FAIL")</x:f>
        <x:v>PASS</x:v>
      </x:c>
    </x:row>
    <x:row r="193">
      <x:c r="B193" s="21" t="str">
        <x:v>A0187</x:v>
      </x:c>
      <x:c r="C193" s="21" t="str">
        <x:v>proposal</x:v>
      </x:c>
      <x:c r="D193" s="21" t="str">
        <x:v>TTC-T01-B all rights offered</x:v>
      </x:c>
      <x:c r="E193" s="21" t="n">
        <x:f>SUMIF('Rights Register'!C7:C270,"TTC-T01-B",'Rights Register'!H7:H270)</x:f>
        <x:v>8</x:v>
      </x:c>
      <x:c r="F193" s="21" t="n">
        <x:v>8</x:v>
      </x:c>
      <x:c r="G193" s="23" t="str">
        <x:f>IF(E193=F193,"PASS","FAIL")</x:f>
        <x:v>PASS</x:v>
      </x:c>
    </x:row>
    <x:row r="194">
      <x:c r="B194" s="21" t="str">
        <x:v>A0188</x:v>
      </x:c>
      <x:c r="C194" s="21" t="str">
        <x:v>proposal</x:v>
      </x:c>
      <x:c r="D194" s="21" t="str">
        <x:v>TTC-T01-B evidence open</x:v>
      </x:c>
      <x:c r="E194" s="21" t="n">
        <x:f>IF('Award Portfolio'!L11="OPEN",1,0)</x:f>
        <x:v>1</x:v>
      </x:c>
      <x:c r="F194" s="21" t="n">
        <x:v>1</x:v>
      </x:c>
      <x:c r="G194" s="23" t="str">
        <x:f>IF(E194=F194,"PASS","FAIL")</x:f>
        <x:v>PASS</x:v>
      </x:c>
    </x:row>
    <x:row r="195">
      <x:c r="B195" s="21" t="str">
        <x:v>A0189</x:v>
      </x:c>
      <x:c r="C195" s="21" t="str">
        <x:v>proposal</x:v>
      </x:c>
      <x:c r="D195" s="21" t="str">
        <x:v>TTC-T01-B build authority held</x:v>
      </x:c>
      <x:c r="E195" s="21" t="n">
        <x:f>IF('Award Portfolio'!K11="HOLD",1,0)</x:f>
        <x:v>1</x:v>
      </x:c>
      <x:c r="F195" s="21" t="n">
        <x:v>1</x:v>
      </x:c>
      <x:c r="G195" s="23" t="str">
        <x:f>IF(E195=F195,"PASS","FAIL")</x:f>
        <x:v>PASS</x:v>
      </x:c>
    </x:row>
    <x:row r="196">
      <x:c r="B196" s="21" t="str">
        <x:v>A0190</x:v>
      </x:c>
      <x:c r="C196" s="21" t="str">
        <x:v>proposal</x:v>
      </x:c>
      <x:c r="D196" s="21" t="str">
        <x:v>TTC-T01-C twelve gates</x:v>
      </x:c>
      <x:c r="E196" s="21" t="n">
        <x:f>COUNTIF('Paper Gates'!C7:C402,"TTC-T01-C")</x:f>
        <x:v>12</x:v>
      </x:c>
      <x:c r="F196" s="21" t="n">
        <x:v>12</x:v>
      </x:c>
      <x:c r="G196" s="23" t="str">
        <x:f>IF(E196=F196,"PASS","FAIL")</x:f>
        <x:v>PASS</x:v>
      </x:c>
    </x:row>
    <x:row r="197">
      <x:c r="B197" s="21" t="str">
        <x:v>A0191</x:v>
      </x:c>
      <x:c r="C197" s="21" t="str">
        <x:v>proposal</x:v>
      </x:c>
      <x:c r="D197" s="21" t="str">
        <x:v>TTC-T01-C required hard passes</x:v>
      </x:c>
      <x:c r="E197" s="21" t="n">
        <x:f>'Award Portfolio'!G12</x:f>
        <x:v>11</x:v>
      </x:c>
      <x:c r="F197" s="21" t="n">
        <x:v>11</x:v>
      </x:c>
      <x:c r="G197" s="23" t="str">
        <x:f>IF(E197=F197,"PASS","FAIL")</x:f>
        <x:v>PASS</x:v>
      </x:c>
    </x:row>
    <x:row r="198">
      <x:c r="B198" s="21" t="str">
        <x:v>A0192</x:v>
      </x:c>
      <x:c r="C198" s="21" t="str">
        <x:v>proposal</x:v>
      </x:c>
      <x:c r="D198" s="21" t="str">
        <x:v>TTC-T01-C six merit dimensions</x:v>
      </x:c>
      <x:c r="E198" s="21" t="n">
        <x:f>COUNTIF('Merit Review'!C7:C204,"TTC-T01-C")</x:f>
        <x:v>6</x:v>
      </x:c>
      <x:c r="F198" s="21" t="n">
        <x:v>6</x:v>
      </x:c>
      <x:c r="G198" s="23" t="str">
        <x:f>IF(E198=F198,"PASS","FAIL")</x:f>
        <x:v>PASS</x:v>
      </x:c>
    </x:row>
    <x:row r="199">
      <x:c r="B199" s="21" t="str">
        <x:v>A0193</x:v>
      </x:c>
      <x:c r="C199" s="21" t="str">
        <x:v>proposal</x:v>
      </x:c>
      <x:c r="D199" s="21" t="str">
        <x:v>TTC-T01-C merit weights sum one</x:v>
      </x:c>
      <x:c r="E199" s="21" t="n">
        <x:f>SUMIF('Merit Review'!C7:C204,"TTC-T01-C",'Merit Review'!G7:G204)</x:f>
        <x:v>1</x:v>
      </x:c>
      <x:c r="F199" s="21" t="n">
        <x:v>1</x:v>
      </x:c>
      <x:c r="G199" s="23" t="str">
        <x:f>IF(E199=F199,"PASS","FAIL")</x:f>
        <x:v>PASS</x:v>
      </x:c>
    </x:row>
    <x:row r="200">
      <x:c r="B200" s="21" t="str">
        <x:v>A0194</x:v>
      </x:c>
      <x:c r="C200" s="21" t="str">
        <x:v>proposal</x:v>
      </x:c>
      <x:c r="D200" s="21" t="str">
        <x:v>TTC-T01-C eight rights</x:v>
      </x:c>
      <x:c r="E200" s="21" t="n">
        <x:f>COUNTIF('Rights Register'!C7:C270,"TTC-T01-C")</x:f>
        <x:v>8</x:v>
      </x:c>
      <x:c r="F200" s="21" t="n">
        <x:v>8</x:v>
      </x:c>
      <x:c r="G200" s="23" t="str">
        <x:f>IF(E200=F200,"PASS","FAIL")</x:f>
        <x:v>PASS</x:v>
      </x:c>
    </x:row>
    <x:row r="201">
      <x:c r="B201" s="21" t="str">
        <x:v>A0195</x:v>
      </x:c>
      <x:c r="C201" s="21" t="str">
        <x:v>proposal</x:v>
      </x:c>
      <x:c r="D201" s="21" t="str">
        <x:v>TTC-T01-C all rights offered</x:v>
      </x:c>
      <x:c r="E201" s="21" t="n">
        <x:f>SUMIF('Rights Register'!C7:C270,"TTC-T01-C",'Rights Register'!H7:H270)</x:f>
        <x:v>8</x:v>
      </x:c>
      <x:c r="F201" s="21" t="n">
        <x:v>8</x:v>
      </x:c>
      <x:c r="G201" s="23" t="str">
        <x:f>IF(E201=F201,"PASS","FAIL")</x:f>
        <x:v>PASS</x:v>
      </x:c>
    </x:row>
    <x:row r="202">
      <x:c r="B202" s="21" t="str">
        <x:v>A0196</x:v>
      </x:c>
      <x:c r="C202" s="21" t="str">
        <x:v>proposal</x:v>
      </x:c>
      <x:c r="D202" s="21" t="str">
        <x:v>TTC-T01-C evidence open</x:v>
      </x:c>
      <x:c r="E202" s="21" t="n">
        <x:f>IF('Award Portfolio'!L12="OPEN",1,0)</x:f>
        <x:v>1</x:v>
      </x:c>
      <x:c r="F202" s="21" t="n">
        <x:v>1</x:v>
      </x:c>
      <x:c r="G202" s="23" t="str">
        <x:f>IF(E202=F202,"PASS","FAIL")</x:f>
        <x:v>PASS</x:v>
      </x:c>
    </x:row>
    <x:row r="203">
      <x:c r="B203" s="21" t="str">
        <x:v>A0197</x:v>
      </x:c>
      <x:c r="C203" s="21" t="str">
        <x:v>proposal</x:v>
      </x:c>
      <x:c r="D203" s="21" t="str">
        <x:v>TTC-T01-C build authority held</x:v>
      </x:c>
      <x:c r="E203" s="21" t="n">
        <x:f>IF('Award Portfolio'!K12="HOLD",1,0)</x:f>
        <x:v>1</x:v>
      </x:c>
      <x:c r="F203" s="21" t="n">
        <x:v>1</x:v>
      </x:c>
      <x:c r="G203" s="23" t="str">
        <x:f>IF(E203=F203,"PASS","FAIL")</x:f>
        <x:v>PASS</x:v>
      </x:c>
    </x:row>
    <x:row r="204">
      <x:c r="B204" s="21" t="str">
        <x:v>A0198</x:v>
      </x:c>
      <x:c r="C204" s="21" t="str">
        <x:v>proposal</x:v>
      </x:c>
      <x:c r="D204" s="21" t="str">
        <x:v>ACN-A01-A twelve gates</x:v>
      </x:c>
      <x:c r="E204" s="21" t="n">
        <x:f>COUNTIF('Paper Gates'!C7:C402,"ACN-A01-A")</x:f>
        <x:v>12</x:v>
      </x:c>
      <x:c r="F204" s="21" t="n">
        <x:v>12</x:v>
      </x:c>
      <x:c r="G204" s="23" t="str">
        <x:f>IF(E204=F204,"PASS","FAIL")</x:f>
        <x:v>PASS</x:v>
      </x:c>
    </x:row>
    <x:row r="205">
      <x:c r="B205" s="21" t="str">
        <x:v>A0199</x:v>
      </x:c>
      <x:c r="C205" s="21" t="str">
        <x:v>proposal</x:v>
      </x:c>
      <x:c r="D205" s="21" t="str">
        <x:v>ACN-A01-A required hard passes</x:v>
      </x:c>
      <x:c r="E205" s="21" t="n">
        <x:f>'Award Portfolio'!G13</x:f>
        <x:v>12</x:v>
      </x:c>
      <x:c r="F205" s="21" t="n">
        <x:v>12</x:v>
      </x:c>
      <x:c r="G205" s="23" t="str">
        <x:f>IF(E205=F205,"PASS","FAIL")</x:f>
        <x:v>PASS</x:v>
      </x:c>
    </x:row>
    <x:row r="206">
      <x:c r="B206" s="21" t="str">
        <x:v>A0200</x:v>
      </x:c>
      <x:c r="C206" s="21" t="str">
        <x:v>proposal</x:v>
      </x:c>
      <x:c r="D206" s="21" t="str">
        <x:v>ACN-A01-A six merit dimensions</x:v>
      </x:c>
      <x:c r="E206" s="21" t="n">
        <x:f>COUNTIF('Merit Review'!C7:C204,"ACN-A01-A")</x:f>
        <x:v>6</x:v>
      </x:c>
      <x:c r="F206" s="21" t="n">
        <x:v>6</x:v>
      </x:c>
      <x:c r="G206" s="23" t="str">
        <x:f>IF(E206=F206,"PASS","FAIL")</x:f>
        <x:v>PASS</x:v>
      </x:c>
    </x:row>
    <x:row r="207">
      <x:c r="B207" s="21" t="str">
        <x:v>A0201</x:v>
      </x:c>
      <x:c r="C207" s="21" t="str">
        <x:v>proposal</x:v>
      </x:c>
      <x:c r="D207" s="21" t="str">
        <x:v>ACN-A01-A merit weights sum one</x:v>
      </x:c>
      <x:c r="E207" s="21" t="n">
        <x:f>SUMIF('Merit Review'!C7:C204,"ACN-A01-A",'Merit Review'!G7:G204)</x:f>
        <x:v>1</x:v>
      </x:c>
      <x:c r="F207" s="21" t="n">
        <x:v>1</x:v>
      </x:c>
      <x:c r="G207" s="23" t="str">
        <x:f>IF(E207=F207,"PASS","FAIL")</x:f>
        <x:v>PASS</x:v>
      </x:c>
    </x:row>
    <x:row r="208">
      <x:c r="B208" s="21" t="str">
        <x:v>A0202</x:v>
      </x:c>
      <x:c r="C208" s="21" t="str">
        <x:v>proposal</x:v>
      </x:c>
      <x:c r="D208" s="21" t="str">
        <x:v>ACN-A01-A eight rights</x:v>
      </x:c>
      <x:c r="E208" s="21" t="n">
        <x:f>COUNTIF('Rights Register'!C7:C270,"ACN-A01-A")</x:f>
        <x:v>8</x:v>
      </x:c>
      <x:c r="F208" s="21" t="n">
        <x:v>8</x:v>
      </x:c>
      <x:c r="G208" s="23" t="str">
        <x:f>IF(E208=F208,"PASS","FAIL")</x:f>
        <x:v>PASS</x:v>
      </x:c>
    </x:row>
    <x:row r="209">
      <x:c r="B209" s="21" t="str">
        <x:v>A0203</x:v>
      </x:c>
      <x:c r="C209" s="21" t="str">
        <x:v>proposal</x:v>
      </x:c>
      <x:c r="D209" s="21" t="str">
        <x:v>ACN-A01-A all rights offered</x:v>
      </x:c>
      <x:c r="E209" s="21" t="n">
        <x:f>SUMIF('Rights Register'!C7:C270,"ACN-A01-A",'Rights Register'!H7:H270)</x:f>
        <x:v>8</x:v>
      </x:c>
      <x:c r="F209" s="21" t="n">
        <x:v>8</x:v>
      </x:c>
      <x:c r="G209" s="23" t="str">
        <x:f>IF(E209=F209,"PASS","FAIL")</x:f>
        <x:v>PASS</x:v>
      </x:c>
    </x:row>
    <x:row r="210">
      <x:c r="B210" s="21" t="str">
        <x:v>A0204</x:v>
      </x:c>
      <x:c r="C210" s="21" t="str">
        <x:v>proposal</x:v>
      </x:c>
      <x:c r="D210" s="21" t="str">
        <x:v>ACN-A01-A evidence open</x:v>
      </x:c>
      <x:c r="E210" s="21" t="n">
        <x:f>IF('Award Portfolio'!L13="OPEN",1,0)</x:f>
        <x:v>1</x:v>
      </x:c>
      <x:c r="F210" s="21" t="n">
        <x:v>1</x:v>
      </x:c>
      <x:c r="G210" s="23" t="str">
        <x:f>IF(E210=F210,"PASS","FAIL")</x:f>
        <x:v>PASS</x:v>
      </x:c>
    </x:row>
    <x:row r="211">
      <x:c r="B211" s="21" t="str">
        <x:v>A0205</x:v>
      </x:c>
      <x:c r="C211" s="21" t="str">
        <x:v>proposal</x:v>
      </x:c>
      <x:c r="D211" s="21" t="str">
        <x:v>ACN-A01-A build authority held</x:v>
      </x:c>
      <x:c r="E211" s="21" t="n">
        <x:f>IF('Award Portfolio'!K13="HOLD",1,0)</x:f>
        <x:v>1</x:v>
      </x:c>
      <x:c r="F211" s="21" t="n">
        <x:v>1</x:v>
      </x:c>
      <x:c r="G211" s="23" t="str">
        <x:f>IF(E211=F211,"PASS","FAIL")</x:f>
        <x:v>PASS</x:v>
      </x:c>
    </x:row>
    <x:row r="212">
      <x:c r="B212" s="21" t="str">
        <x:v>A0206</x:v>
      </x:c>
      <x:c r="C212" s="21" t="str">
        <x:v>proposal</x:v>
      </x:c>
      <x:c r="D212" s="21" t="str">
        <x:v>ACN-A01-B twelve gates</x:v>
      </x:c>
      <x:c r="E212" s="21" t="n">
        <x:f>COUNTIF('Paper Gates'!C7:C402,"ACN-A01-B")</x:f>
        <x:v>12</x:v>
      </x:c>
      <x:c r="F212" s="21" t="n">
        <x:v>12</x:v>
      </x:c>
      <x:c r="G212" s="23" t="str">
        <x:f>IF(E212=F212,"PASS","FAIL")</x:f>
        <x:v>PASS</x:v>
      </x:c>
    </x:row>
    <x:row r="213">
      <x:c r="B213" s="21" t="str">
        <x:v>A0207</x:v>
      </x:c>
      <x:c r="C213" s="21" t="str">
        <x:v>proposal</x:v>
      </x:c>
      <x:c r="D213" s="21" t="str">
        <x:v>ACN-A01-B required hard passes</x:v>
      </x:c>
      <x:c r="E213" s="21" t="n">
        <x:f>'Award Portfolio'!G14</x:f>
        <x:v>12</x:v>
      </x:c>
      <x:c r="F213" s="21" t="n">
        <x:v>12</x:v>
      </x:c>
      <x:c r="G213" s="23" t="str">
        <x:f>IF(E213=F213,"PASS","FAIL")</x:f>
        <x:v>PASS</x:v>
      </x:c>
    </x:row>
    <x:row r="214">
      <x:c r="B214" s="21" t="str">
        <x:v>A0208</x:v>
      </x:c>
      <x:c r="C214" s="21" t="str">
        <x:v>proposal</x:v>
      </x:c>
      <x:c r="D214" s="21" t="str">
        <x:v>ACN-A01-B six merit dimensions</x:v>
      </x:c>
      <x:c r="E214" s="21" t="n">
        <x:f>COUNTIF('Merit Review'!C7:C204,"ACN-A01-B")</x:f>
        <x:v>6</x:v>
      </x:c>
      <x:c r="F214" s="21" t="n">
        <x:v>6</x:v>
      </x:c>
      <x:c r="G214" s="23" t="str">
        <x:f>IF(E214=F214,"PASS","FAIL")</x:f>
        <x:v>PASS</x:v>
      </x:c>
    </x:row>
    <x:row r="215">
      <x:c r="B215" s="21" t="str">
        <x:v>A0209</x:v>
      </x:c>
      <x:c r="C215" s="21" t="str">
        <x:v>proposal</x:v>
      </x:c>
      <x:c r="D215" s="21" t="str">
        <x:v>ACN-A01-B merit weights sum one</x:v>
      </x:c>
      <x:c r="E215" s="21" t="n">
        <x:f>SUMIF('Merit Review'!C7:C204,"ACN-A01-B",'Merit Review'!G7:G204)</x:f>
        <x:v>1</x:v>
      </x:c>
      <x:c r="F215" s="21" t="n">
        <x:v>1</x:v>
      </x:c>
      <x:c r="G215" s="23" t="str">
        <x:f>IF(E215=F215,"PASS","FAIL")</x:f>
        <x:v>PASS</x:v>
      </x:c>
    </x:row>
    <x:row r="216">
      <x:c r="B216" s="21" t="str">
        <x:v>A0210</x:v>
      </x:c>
      <x:c r="C216" s="21" t="str">
        <x:v>proposal</x:v>
      </x:c>
      <x:c r="D216" s="21" t="str">
        <x:v>ACN-A01-B eight rights</x:v>
      </x:c>
      <x:c r="E216" s="21" t="n">
        <x:f>COUNTIF('Rights Register'!C7:C270,"ACN-A01-B")</x:f>
        <x:v>8</x:v>
      </x:c>
      <x:c r="F216" s="21" t="n">
        <x:v>8</x:v>
      </x:c>
      <x:c r="G216" s="23" t="str">
        <x:f>IF(E216=F216,"PASS","FAIL")</x:f>
        <x:v>PASS</x:v>
      </x:c>
    </x:row>
    <x:row r="217">
      <x:c r="B217" s="21" t="str">
        <x:v>A0211</x:v>
      </x:c>
      <x:c r="C217" s="21" t="str">
        <x:v>proposal</x:v>
      </x:c>
      <x:c r="D217" s="21" t="str">
        <x:v>ACN-A01-B all rights offered</x:v>
      </x:c>
      <x:c r="E217" s="21" t="n">
        <x:f>SUMIF('Rights Register'!C7:C270,"ACN-A01-B",'Rights Register'!H7:H270)</x:f>
        <x:v>8</x:v>
      </x:c>
      <x:c r="F217" s="21" t="n">
        <x:v>8</x:v>
      </x:c>
      <x:c r="G217" s="23" t="str">
        <x:f>IF(E217=F217,"PASS","FAIL")</x:f>
        <x:v>PASS</x:v>
      </x:c>
    </x:row>
    <x:row r="218">
      <x:c r="B218" s="21" t="str">
        <x:v>A0212</x:v>
      </x:c>
      <x:c r="C218" s="21" t="str">
        <x:v>proposal</x:v>
      </x:c>
      <x:c r="D218" s="21" t="str">
        <x:v>ACN-A01-B evidence open</x:v>
      </x:c>
      <x:c r="E218" s="21" t="n">
        <x:f>IF('Award Portfolio'!L14="OPEN",1,0)</x:f>
        <x:v>1</x:v>
      </x:c>
      <x:c r="F218" s="21" t="n">
        <x:v>1</x:v>
      </x:c>
      <x:c r="G218" s="23" t="str">
        <x:f>IF(E218=F218,"PASS","FAIL")</x:f>
        <x:v>PASS</x:v>
      </x:c>
    </x:row>
    <x:row r="219">
      <x:c r="B219" s="21" t="str">
        <x:v>A0213</x:v>
      </x:c>
      <x:c r="C219" s="21" t="str">
        <x:v>proposal</x:v>
      </x:c>
      <x:c r="D219" s="21" t="str">
        <x:v>ACN-A01-B build authority held</x:v>
      </x:c>
      <x:c r="E219" s="21" t="n">
        <x:f>IF('Award Portfolio'!K14="HOLD",1,0)</x:f>
        <x:v>1</x:v>
      </x:c>
      <x:c r="F219" s="21" t="n">
        <x:v>1</x:v>
      </x:c>
      <x:c r="G219" s="23" t="str">
        <x:f>IF(E219=F219,"PASS","FAIL")</x:f>
        <x:v>PASS</x:v>
      </x:c>
    </x:row>
    <x:row r="220">
      <x:c r="B220" s="21" t="str">
        <x:v>A0214</x:v>
      </x:c>
      <x:c r="C220" s="21" t="str">
        <x:v>proposal</x:v>
      </x:c>
      <x:c r="D220" s="21" t="str">
        <x:v>ACN-A01-C twelve gates</x:v>
      </x:c>
      <x:c r="E220" s="21" t="n">
        <x:f>COUNTIF('Paper Gates'!C7:C402,"ACN-A01-C")</x:f>
        <x:v>12</x:v>
      </x:c>
      <x:c r="F220" s="21" t="n">
        <x:v>12</x:v>
      </x:c>
      <x:c r="G220" s="23" t="str">
        <x:f>IF(E220=F220,"PASS","FAIL")</x:f>
        <x:v>PASS</x:v>
      </x:c>
    </x:row>
    <x:row r="221">
      <x:c r="B221" s="21" t="str">
        <x:v>A0215</x:v>
      </x:c>
      <x:c r="C221" s="21" t="str">
        <x:v>proposal</x:v>
      </x:c>
      <x:c r="D221" s="21" t="str">
        <x:v>ACN-A01-C required hard passes</x:v>
      </x:c>
      <x:c r="E221" s="21" t="n">
        <x:f>'Award Portfolio'!G15</x:f>
        <x:v>11</x:v>
      </x:c>
      <x:c r="F221" s="21" t="n">
        <x:v>11</x:v>
      </x:c>
      <x:c r="G221" s="23" t="str">
        <x:f>IF(E221=F221,"PASS","FAIL")</x:f>
        <x:v>PASS</x:v>
      </x:c>
    </x:row>
    <x:row r="222">
      <x:c r="B222" s="21" t="str">
        <x:v>A0216</x:v>
      </x:c>
      <x:c r="C222" s="21" t="str">
        <x:v>proposal</x:v>
      </x:c>
      <x:c r="D222" s="21" t="str">
        <x:v>ACN-A01-C six merit dimensions</x:v>
      </x:c>
      <x:c r="E222" s="21" t="n">
        <x:f>COUNTIF('Merit Review'!C7:C204,"ACN-A01-C")</x:f>
        <x:v>6</x:v>
      </x:c>
      <x:c r="F222" s="21" t="n">
        <x:v>6</x:v>
      </x:c>
      <x:c r="G222" s="23" t="str">
        <x:f>IF(E222=F222,"PASS","FAIL")</x:f>
        <x:v>PASS</x:v>
      </x:c>
    </x:row>
    <x:row r="223">
      <x:c r="B223" s="21" t="str">
        <x:v>A0217</x:v>
      </x:c>
      <x:c r="C223" s="21" t="str">
        <x:v>proposal</x:v>
      </x:c>
      <x:c r="D223" s="21" t="str">
        <x:v>ACN-A01-C merit weights sum one</x:v>
      </x:c>
      <x:c r="E223" s="21" t="n">
        <x:f>SUMIF('Merit Review'!C7:C204,"ACN-A01-C",'Merit Review'!G7:G204)</x:f>
        <x:v>1</x:v>
      </x:c>
      <x:c r="F223" s="21" t="n">
        <x:v>1</x:v>
      </x:c>
      <x:c r="G223" s="23" t="str">
        <x:f>IF(E223=F223,"PASS","FAIL")</x:f>
        <x:v>PASS</x:v>
      </x:c>
    </x:row>
    <x:row r="224">
      <x:c r="B224" s="21" t="str">
        <x:v>A0218</x:v>
      </x:c>
      <x:c r="C224" s="21" t="str">
        <x:v>proposal</x:v>
      </x:c>
      <x:c r="D224" s="21" t="str">
        <x:v>ACN-A01-C eight rights</x:v>
      </x:c>
      <x:c r="E224" s="21" t="n">
        <x:f>COUNTIF('Rights Register'!C7:C270,"ACN-A01-C")</x:f>
        <x:v>8</x:v>
      </x:c>
      <x:c r="F224" s="21" t="n">
        <x:v>8</x:v>
      </x:c>
      <x:c r="G224" s="23" t="str">
        <x:f>IF(E224=F224,"PASS","FAIL")</x:f>
        <x:v>PASS</x:v>
      </x:c>
    </x:row>
    <x:row r="225">
      <x:c r="B225" s="21" t="str">
        <x:v>A0219</x:v>
      </x:c>
      <x:c r="C225" s="21" t="str">
        <x:v>proposal</x:v>
      </x:c>
      <x:c r="D225" s="21" t="str">
        <x:v>ACN-A01-C all rights offered</x:v>
      </x:c>
      <x:c r="E225" s="21" t="n">
        <x:f>SUMIF('Rights Register'!C7:C270,"ACN-A01-C",'Rights Register'!H7:H270)</x:f>
        <x:v>8</x:v>
      </x:c>
      <x:c r="F225" s="21" t="n">
        <x:v>8</x:v>
      </x:c>
      <x:c r="G225" s="23" t="str">
        <x:f>IF(E225=F225,"PASS","FAIL")</x:f>
        <x:v>PASS</x:v>
      </x:c>
    </x:row>
    <x:row r="226">
      <x:c r="B226" s="21" t="str">
        <x:v>A0220</x:v>
      </x:c>
      <x:c r="C226" s="21" t="str">
        <x:v>proposal</x:v>
      </x:c>
      <x:c r="D226" s="21" t="str">
        <x:v>ACN-A01-C evidence open</x:v>
      </x:c>
      <x:c r="E226" s="21" t="n">
        <x:f>IF('Award Portfolio'!L15="OPEN",1,0)</x:f>
        <x:v>1</x:v>
      </x:c>
      <x:c r="F226" s="21" t="n">
        <x:v>1</x:v>
      </x:c>
      <x:c r="G226" s="23" t="str">
        <x:f>IF(E226=F226,"PASS","FAIL")</x:f>
        <x:v>PASS</x:v>
      </x:c>
    </x:row>
    <x:row r="227">
      <x:c r="B227" s="21" t="str">
        <x:v>A0221</x:v>
      </x:c>
      <x:c r="C227" s="21" t="str">
        <x:v>proposal</x:v>
      </x:c>
      <x:c r="D227" s="21" t="str">
        <x:v>ACN-A01-C build authority held</x:v>
      </x:c>
      <x:c r="E227" s="21" t="n">
        <x:f>IF('Award Portfolio'!K15="HOLD",1,0)</x:f>
        <x:v>1</x:v>
      </x:c>
      <x:c r="F227" s="21" t="n">
        <x:v>1</x:v>
      </x:c>
      <x:c r="G227" s="23" t="str">
        <x:f>IF(E227=F227,"PASS","FAIL")</x:f>
        <x:v>PASS</x:v>
      </x:c>
    </x:row>
    <x:row r="228">
      <x:c r="B228" s="21" t="str">
        <x:v>A0222</x:v>
      </x:c>
      <x:c r="C228" s="21" t="str">
        <x:v>proposal</x:v>
      </x:c>
      <x:c r="D228" s="21" t="str">
        <x:v>TCN-T01-A twelve gates</x:v>
      </x:c>
      <x:c r="E228" s="21" t="n">
        <x:f>COUNTIF('Paper Gates'!C7:C402,"TCN-T01-A")</x:f>
        <x:v>12</x:v>
      </x:c>
      <x:c r="F228" s="21" t="n">
        <x:v>12</x:v>
      </x:c>
      <x:c r="G228" s="23" t="str">
        <x:f>IF(E228=F228,"PASS","FAIL")</x:f>
        <x:v>PASS</x:v>
      </x:c>
    </x:row>
    <x:row r="229">
      <x:c r="B229" s="21" t="str">
        <x:v>A0223</x:v>
      </x:c>
      <x:c r="C229" s="21" t="str">
        <x:v>proposal</x:v>
      </x:c>
      <x:c r="D229" s="21" t="str">
        <x:v>TCN-T01-A required hard passes</x:v>
      </x:c>
      <x:c r="E229" s="21" t="n">
        <x:f>'Award Portfolio'!G16</x:f>
        <x:v>12</x:v>
      </x:c>
      <x:c r="F229" s="21" t="n">
        <x:v>12</x:v>
      </x:c>
      <x:c r="G229" s="23" t="str">
        <x:f>IF(E229=F229,"PASS","FAIL")</x:f>
        <x:v>PASS</x:v>
      </x:c>
    </x:row>
    <x:row r="230">
      <x:c r="B230" s="21" t="str">
        <x:v>A0224</x:v>
      </x:c>
      <x:c r="C230" s="21" t="str">
        <x:v>proposal</x:v>
      </x:c>
      <x:c r="D230" s="21" t="str">
        <x:v>TCN-T01-A six merit dimensions</x:v>
      </x:c>
      <x:c r="E230" s="21" t="n">
        <x:f>COUNTIF('Merit Review'!C7:C204,"TCN-T01-A")</x:f>
        <x:v>6</x:v>
      </x:c>
      <x:c r="F230" s="21" t="n">
        <x:v>6</x:v>
      </x:c>
      <x:c r="G230" s="23" t="str">
        <x:f>IF(E230=F230,"PASS","FAIL")</x:f>
        <x:v>PASS</x:v>
      </x:c>
    </x:row>
    <x:row r="231">
      <x:c r="B231" s="21" t="str">
        <x:v>A0225</x:v>
      </x:c>
      <x:c r="C231" s="21" t="str">
        <x:v>proposal</x:v>
      </x:c>
      <x:c r="D231" s="21" t="str">
        <x:v>TCN-T01-A merit weights sum one</x:v>
      </x:c>
      <x:c r="E231" s="21" t="n">
        <x:f>SUMIF('Merit Review'!C7:C204,"TCN-T01-A",'Merit Review'!G7:G204)</x:f>
        <x:v>1</x:v>
      </x:c>
      <x:c r="F231" s="21" t="n">
        <x:v>1</x:v>
      </x:c>
      <x:c r="G231" s="23" t="str">
        <x:f>IF(E231=F231,"PASS","FAIL")</x:f>
        <x:v>PASS</x:v>
      </x:c>
    </x:row>
    <x:row r="232">
      <x:c r="B232" s="21" t="str">
        <x:v>A0226</x:v>
      </x:c>
      <x:c r="C232" s="21" t="str">
        <x:v>proposal</x:v>
      </x:c>
      <x:c r="D232" s="21" t="str">
        <x:v>TCN-T01-A eight rights</x:v>
      </x:c>
      <x:c r="E232" s="21" t="n">
        <x:f>COUNTIF('Rights Register'!C7:C270,"TCN-T01-A")</x:f>
        <x:v>8</x:v>
      </x:c>
      <x:c r="F232" s="21" t="n">
        <x:v>8</x:v>
      </x:c>
      <x:c r="G232" s="23" t="str">
        <x:f>IF(E232=F232,"PASS","FAIL")</x:f>
        <x:v>PASS</x:v>
      </x:c>
    </x:row>
    <x:row r="233">
      <x:c r="B233" s="21" t="str">
        <x:v>A0227</x:v>
      </x:c>
      <x:c r="C233" s="21" t="str">
        <x:v>proposal</x:v>
      </x:c>
      <x:c r="D233" s="21" t="str">
        <x:v>TCN-T01-A all rights offered</x:v>
      </x:c>
      <x:c r="E233" s="21" t="n">
        <x:f>SUMIF('Rights Register'!C7:C270,"TCN-T01-A",'Rights Register'!H7:H270)</x:f>
        <x:v>8</x:v>
      </x:c>
      <x:c r="F233" s="21" t="n">
        <x:v>8</x:v>
      </x:c>
      <x:c r="G233" s="23" t="str">
        <x:f>IF(E233=F233,"PASS","FAIL")</x:f>
        <x:v>PASS</x:v>
      </x:c>
    </x:row>
    <x:row r="234">
      <x:c r="B234" s="21" t="str">
        <x:v>A0228</x:v>
      </x:c>
      <x:c r="C234" s="21" t="str">
        <x:v>proposal</x:v>
      </x:c>
      <x:c r="D234" s="21" t="str">
        <x:v>TCN-T01-A evidence open</x:v>
      </x:c>
      <x:c r="E234" s="21" t="n">
        <x:f>IF('Award Portfolio'!L16="OPEN",1,0)</x:f>
        <x:v>1</x:v>
      </x:c>
      <x:c r="F234" s="21" t="n">
        <x:v>1</x:v>
      </x:c>
      <x:c r="G234" s="23" t="str">
        <x:f>IF(E234=F234,"PASS","FAIL")</x:f>
        <x:v>PASS</x:v>
      </x:c>
    </x:row>
    <x:row r="235">
      <x:c r="B235" s="21" t="str">
        <x:v>A0229</x:v>
      </x:c>
      <x:c r="C235" s="21" t="str">
        <x:v>proposal</x:v>
      </x:c>
      <x:c r="D235" s="21" t="str">
        <x:v>TCN-T01-A build authority held</x:v>
      </x:c>
      <x:c r="E235" s="21" t="n">
        <x:f>IF('Award Portfolio'!K16="HOLD",1,0)</x:f>
        <x:v>1</x:v>
      </x:c>
      <x:c r="F235" s="21" t="n">
        <x:v>1</x:v>
      </x:c>
      <x:c r="G235" s="23" t="str">
        <x:f>IF(E235=F235,"PASS","FAIL")</x:f>
        <x:v>PASS</x:v>
      </x:c>
    </x:row>
    <x:row r="236">
      <x:c r="B236" s="21" t="str">
        <x:v>A0230</x:v>
      </x:c>
      <x:c r="C236" s="21" t="str">
        <x:v>proposal</x:v>
      </x:c>
      <x:c r="D236" s="21" t="str">
        <x:v>TCN-T01-B twelve gates</x:v>
      </x:c>
      <x:c r="E236" s="21" t="n">
        <x:f>COUNTIF('Paper Gates'!C7:C402,"TCN-T01-B")</x:f>
        <x:v>12</x:v>
      </x:c>
      <x:c r="F236" s="21" t="n">
        <x:v>12</x:v>
      </x:c>
      <x:c r="G236" s="23" t="str">
        <x:f>IF(E236=F236,"PASS","FAIL")</x:f>
        <x:v>PASS</x:v>
      </x:c>
    </x:row>
    <x:row r="237">
      <x:c r="B237" s="21" t="str">
        <x:v>A0231</x:v>
      </x:c>
      <x:c r="C237" s="21" t="str">
        <x:v>proposal</x:v>
      </x:c>
      <x:c r="D237" s="21" t="str">
        <x:v>TCN-T01-B required hard passes</x:v>
      </x:c>
      <x:c r="E237" s="21" t="n">
        <x:f>'Award Portfolio'!G17</x:f>
        <x:v>12</x:v>
      </x:c>
      <x:c r="F237" s="21" t="n">
        <x:v>12</x:v>
      </x:c>
      <x:c r="G237" s="23" t="str">
        <x:f>IF(E237=F237,"PASS","FAIL")</x:f>
        <x:v>PASS</x:v>
      </x:c>
    </x:row>
    <x:row r="238">
      <x:c r="B238" s="21" t="str">
        <x:v>A0232</x:v>
      </x:c>
      <x:c r="C238" s="21" t="str">
        <x:v>proposal</x:v>
      </x:c>
      <x:c r="D238" s="21" t="str">
        <x:v>TCN-T01-B six merit dimensions</x:v>
      </x:c>
      <x:c r="E238" s="21" t="n">
        <x:f>COUNTIF('Merit Review'!C7:C204,"TCN-T01-B")</x:f>
        <x:v>6</x:v>
      </x:c>
      <x:c r="F238" s="21" t="n">
        <x:v>6</x:v>
      </x:c>
      <x:c r="G238" s="23" t="str">
        <x:f>IF(E238=F238,"PASS","FAIL")</x:f>
        <x:v>PASS</x:v>
      </x:c>
    </x:row>
    <x:row r="239">
      <x:c r="B239" s="21" t="str">
        <x:v>A0233</x:v>
      </x:c>
      <x:c r="C239" s="21" t="str">
        <x:v>proposal</x:v>
      </x:c>
      <x:c r="D239" s="21" t="str">
        <x:v>TCN-T01-B merit weights sum one</x:v>
      </x:c>
      <x:c r="E239" s="21" t="n">
        <x:f>SUMIF('Merit Review'!C7:C204,"TCN-T01-B",'Merit Review'!G7:G204)</x:f>
        <x:v>1</x:v>
      </x:c>
      <x:c r="F239" s="21" t="n">
        <x:v>1</x:v>
      </x:c>
      <x:c r="G239" s="23" t="str">
        <x:f>IF(E239=F239,"PASS","FAIL")</x:f>
        <x:v>PASS</x:v>
      </x:c>
    </x:row>
    <x:row r="240">
      <x:c r="B240" s="21" t="str">
        <x:v>A0234</x:v>
      </x:c>
      <x:c r="C240" s="21" t="str">
        <x:v>proposal</x:v>
      </x:c>
      <x:c r="D240" s="21" t="str">
        <x:v>TCN-T01-B eight rights</x:v>
      </x:c>
      <x:c r="E240" s="21" t="n">
        <x:f>COUNTIF('Rights Register'!C7:C270,"TCN-T01-B")</x:f>
        <x:v>8</x:v>
      </x:c>
      <x:c r="F240" s="21" t="n">
        <x:v>8</x:v>
      </x:c>
      <x:c r="G240" s="23" t="str">
        <x:f>IF(E240=F240,"PASS","FAIL")</x:f>
        <x:v>PASS</x:v>
      </x:c>
    </x:row>
    <x:row r="241">
      <x:c r="B241" s="21" t="str">
        <x:v>A0235</x:v>
      </x:c>
      <x:c r="C241" s="21" t="str">
        <x:v>proposal</x:v>
      </x:c>
      <x:c r="D241" s="21" t="str">
        <x:v>TCN-T01-B all rights offered</x:v>
      </x:c>
      <x:c r="E241" s="21" t="n">
        <x:f>SUMIF('Rights Register'!C7:C270,"TCN-T01-B",'Rights Register'!H7:H270)</x:f>
        <x:v>8</x:v>
      </x:c>
      <x:c r="F241" s="21" t="n">
        <x:v>8</x:v>
      </x:c>
      <x:c r="G241" s="23" t="str">
        <x:f>IF(E241=F241,"PASS","FAIL")</x:f>
        <x:v>PASS</x:v>
      </x:c>
    </x:row>
    <x:row r="242">
      <x:c r="B242" s="21" t="str">
        <x:v>A0236</x:v>
      </x:c>
      <x:c r="C242" s="21" t="str">
        <x:v>proposal</x:v>
      </x:c>
      <x:c r="D242" s="21" t="str">
        <x:v>TCN-T01-B evidence open</x:v>
      </x:c>
      <x:c r="E242" s="21" t="n">
        <x:f>IF('Award Portfolio'!L17="OPEN",1,0)</x:f>
        <x:v>1</x:v>
      </x:c>
      <x:c r="F242" s="21" t="n">
        <x:v>1</x:v>
      </x:c>
      <x:c r="G242" s="23" t="str">
        <x:f>IF(E242=F242,"PASS","FAIL")</x:f>
        <x:v>PASS</x:v>
      </x:c>
    </x:row>
    <x:row r="243">
      <x:c r="B243" s="21" t="str">
        <x:v>A0237</x:v>
      </x:c>
      <x:c r="C243" s="21" t="str">
        <x:v>proposal</x:v>
      </x:c>
      <x:c r="D243" s="21" t="str">
        <x:v>TCN-T01-B build authority held</x:v>
      </x:c>
      <x:c r="E243" s="21" t="n">
        <x:f>IF('Award Portfolio'!K17="HOLD",1,0)</x:f>
        <x:v>1</x:v>
      </x:c>
      <x:c r="F243" s="21" t="n">
        <x:v>1</x:v>
      </x:c>
      <x:c r="G243" s="23" t="str">
        <x:f>IF(E243=F243,"PASS","FAIL")</x:f>
        <x:v>PASS</x:v>
      </x:c>
    </x:row>
    <x:row r="244">
      <x:c r="B244" s="21" t="str">
        <x:v>A0238</x:v>
      </x:c>
      <x:c r="C244" s="21" t="str">
        <x:v>proposal</x:v>
      </x:c>
      <x:c r="D244" s="21" t="str">
        <x:v>TCN-T01-C twelve gates</x:v>
      </x:c>
      <x:c r="E244" s="21" t="n">
        <x:f>COUNTIF('Paper Gates'!C7:C402,"TCN-T01-C")</x:f>
        <x:v>12</x:v>
      </x:c>
      <x:c r="F244" s="21" t="n">
        <x:v>12</x:v>
      </x:c>
      <x:c r="G244" s="23" t="str">
        <x:f>IF(E244=F244,"PASS","FAIL")</x:f>
        <x:v>PASS</x:v>
      </x:c>
    </x:row>
    <x:row r="245">
      <x:c r="B245" s="21" t="str">
        <x:v>A0239</x:v>
      </x:c>
      <x:c r="C245" s="21" t="str">
        <x:v>proposal</x:v>
      </x:c>
      <x:c r="D245" s="21" t="str">
        <x:v>TCN-T01-C required hard passes</x:v>
      </x:c>
      <x:c r="E245" s="21" t="n">
        <x:f>'Award Portfolio'!G18</x:f>
        <x:v>11</x:v>
      </x:c>
      <x:c r="F245" s="21" t="n">
        <x:v>11</x:v>
      </x:c>
      <x:c r="G245" s="23" t="str">
        <x:f>IF(E245=F245,"PASS","FAIL")</x:f>
        <x:v>PASS</x:v>
      </x:c>
    </x:row>
    <x:row r="246">
      <x:c r="B246" s="21" t="str">
        <x:v>A0240</x:v>
      </x:c>
      <x:c r="C246" s="21" t="str">
        <x:v>proposal</x:v>
      </x:c>
      <x:c r="D246" s="21" t="str">
        <x:v>TCN-T01-C six merit dimensions</x:v>
      </x:c>
      <x:c r="E246" s="21" t="n">
        <x:f>COUNTIF('Merit Review'!C7:C204,"TCN-T01-C")</x:f>
        <x:v>6</x:v>
      </x:c>
      <x:c r="F246" s="21" t="n">
        <x:v>6</x:v>
      </x:c>
      <x:c r="G246" s="23" t="str">
        <x:f>IF(E246=F246,"PASS","FAIL")</x:f>
        <x:v>PASS</x:v>
      </x:c>
    </x:row>
    <x:row r="247">
      <x:c r="B247" s="21" t="str">
        <x:v>A0241</x:v>
      </x:c>
      <x:c r="C247" s="21" t="str">
        <x:v>proposal</x:v>
      </x:c>
      <x:c r="D247" s="21" t="str">
        <x:v>TCN-T01-C merit weights sum one</x:v>
      </x:c>
      <x:c r="E247" s="21" t="n">
        <x:f>SUMIF('Merit Review'!C7:C204,"TCN-T01-C",'Merit Review'!G7:G204)</x:f>
        <x:v>1</x:v>
      </x:c>
      <x:c r="F247" s="21" t="n">
        <x:v>1</x:v>
      </x:c>
      <x:c r="G247" s="23" t="str">
        <x:f>IF(E247=F247,"PASS","FAIL")</x:f>
        <x:v>PASS</x:v>
      </x:c>
    </x:row>
    <x:row r="248">
      <x:c r="B248" s="21" t="str">
        <x:v>A0242</x:v>
      </x:c>
      <x:c r="C248" s="21" t="str">
        <x:v>proposal</x:v>
      </x:c>
      <x:c r="D248" s="21" t="str">
        <x:v>TCN-T01-C eight rights</x:v>
      </x:c>
      <x:c r="E248" s="21" t="n">
        <x:f>COUNTIF('Rights Register'!C7:C270,"TCN-T01-C")</x:f>
        <x:v>8</x:v>
      </x:c>
      <x:c r="F248" s="21" t="n">
        <x:v>8</x:v>
      </x:c>
      <x:c r="G248" s="23" t="str">
        <x:f>IF(E248=F248,"PASS","FAIL")</x:f>
        <x:v>PASS</x:v>
      </x:c>
    </x:row>
    <x:row r="249">
      <x:c r="B249" s="21" t="str">
        <x:v>A0243</x:v>
      </x:c>
      <x:c r="C249" s="21" t="str">
        <x:v>proposal</x:v>
      </x:c>
      <x:c r="D249" s="21" t="str">
        <x:v>TCN-T01-C all rights offered</x:v>
      </x:c>
      <x:c r="E249" s="21" t="n">
        <x:f>SUMIF('Rights Register'!C7:C270,"TCN-T01-C",'Rights Register'!H7:H270)</x:f>
        <x:v>8</x:v>
      </x:c>
      <x:c r="F249" s="21" t="n">
        <x:v>8</x:v>
      </x:c>
      <x:c r="G249" s="23" t="str">
        <x:f>IF(E249=F249,"PASS","FAIL")</x:f>
        <x:v>PASS</x:v>
      </x:c>
    </x:row>
    <x:row r="250">
      <x:c r="B250" s="21" t="str">
        <x:v>A0244</x:v>
      </x:c>
      <x:c r="C250" s="21" t="str">
        <x:v>proposal</x:v>
      </x:c>
      <x:c r="D250" s="21" t="str">
        <x:v>TCN-T01-C evidence open</x:v>
      </x:c>
      <x:c r="E250" s="21" t="n">
        <x:f>IF('Award Portfolio'!L18="OPEN",1,0)</x:f>
        <x:v>1</x:v>
      </x:c>
      <x:c r="F250" s="21" t="n">
        <x:v>1</x:v>
      </x:c>
      <x:c r="G250" s="23" t="str">
        <x:f>IF(E250=F250,"PASS","FAIL")</x:f>
        <x:v>PASS</x:v>
      </x:c>
    </x:row>
    <x:row r="251">
      <x:c r="B251" s="21" t="str">
        <x:v>A0245</x:v>
      </x:c>
      <x:c r="C251" s="21" t="str">
        <x:v>proposal</x:v>
      </x:c>
      <x:c r="D251" s="21" t="str">
        <x:v>TCN-T01-C build authority held</x:v>
      </x:c>
      <x:c r="E251" s="21" t="n">
        <x:f>IF('Award Portfolio'!K18="HOLD",1,0)</x:f>
        <x:v>1</x:v>
      </x:c>
      <x:c r="F251" s="21" t="n">
        <x:v>1</x:v>
      </x:c>
      <x:c r="G251" s="23" t="str">
        <x:f>IF(E251=F251,"PASS","FAIL")</x:f>
        <x:v>PASS</x:v>
      </x:c>
    </x:row>
    <x:row r="252">
      <x:c r="B252" s="21" t="str">
        <x:v>A0246</x:v>
      </x:c>
      <x:c r="C252" s="21" t="str">
        <x:v>proposal</x:v>
      </x:c>
      <x:c r="D252" s="21" t="str">
        <x:v>CRS-R01-A twelve gates</x:v>
      </x:c>
      <x:c r="E252" s="21" t="n">
        <x:f>COUNTIF('Paper Gates'!C7:C402,"CRS-R01-A")</x:f>
        <x:v>12</x:v>
      </x:c>
      <x:c r="F252" s="21" t="n">
        <x:v>12</x:v>
      </x:c>
      <x:c r="G252" s="23" t="str">
        <x:f>IF(E252=F252,"PASS","FAIL")</x:f>
        <x:v>PASS</x:v>
      </x:c>
    </x:row>
    <x:row r="253">
      <x:c r="B253" s="21" t="str">
        <x:v>A0247</x:v>
      </x:c>
      <x:c r="C253" s="21" t="str">
        <x:v>proposal</x:v>
      </x:c>
      <x:c r="D253" s="21" t="str">
        <x:v>CRS-R01-A required hard passes</x:v>
      </x:c>
      <x:c r="E253" s="21" t="n">
        <x:f>'Award Portfolio'!G19</x:f>
        <x:v>12</x:v>
      </x:c>
      <x:c r="F253" s="21" t="n">
        <x:v>12</x:v>
      </x:c>
      <x:c r="G253" s="23" t="str">
        <x:f>IF(E253=F253,"PASS","FAIL")</x:f>
        <x:v>PASS</x:v>
      </x:c>
    </x:row>
    <x:row r="254">
      <x:c r="B254" s="21" t="str">
        <x:v>A0248</x:v>
      </x:c>
      <x:c r="C254" s="21" t="str">
        <x:v>proposal</x:v>
      </x:c>
      <x:c r="D254" s="21" t="str">
        <x:v>CRS-R01-A six merit dimensions</x:v>
      </x:c>
      <x:c r="E254" s="21" t="n">
        <x:f>COUNTIF('Merit Review'!C7:C204,"CRS-R01-A")</x:f>
        <x:v>6</x:v>
      </x:c>
      <x:c r="F254" s="21" t="n">
        <x:v>6</x:v>
      </x:c>
      <x:c r="G254" s="23" t="str">
        <x:f>IF(E254=F254,"PASS","FAIL")</x:f>
        <x:v>PASS</x:v>
      </x:c>
    </x:row>
    <x:row r="255">
      <x:c r="B255" s="21" t="str">
        <x:v>A0249</x:v>
      </x:c>
      <x:c r="C255" s="21" t="str">
        <x:v>proposal</x:v>
      </x:c>
      <x:c r="D255" s="21" t="str">
        <x:v>CRS-R01-A merit weights sum one</x:v>
      </x:c>
      <x:c r="E255" s="21" t="n">
        <x:f>SUMIF('Merit Review'!C7:C204,"CRS-R01-A",'Merit Review'!G7:G204)</x:f>
        <x:v>1</x:v>
      </x:c>
      <x:c r="F255" s="21" t="n">
        <x:v>1</x:v>
      </x:c>
      <x:c r="G255" s="23" t="str">
        <x:f>IF(E255=F255,"PASS","FAIL")</x:f>
        <x:v>PASS</x:v>
      </x:c>
    </x:row>
    <x:row r="256">
      <x:c r="B256" s="21" t="str">
        <x:v>A0250</x:v>
      </x:c>
      <x:c r="C256" s="21" t="str">
        <x:v>proposal</x:v>
      </x:c>
      <x:c r="D256" s="21" t="str">
        <x:v>CRS-R01-A eight rights</x:v>
      </x:c>
      <x:c r="E256" s="21" t="n">
        <x:f>COUNTIF('Rights Register'!C7:C270,"CRS-R01-A")</x:f>
        <x:v>8</x:v>
      </x:c>
      <x:c r="F256" s="21" t="n">
        <x:v>8</x:v>
      </x:c>
      <x:c r="G256" s="23" t="str">
        <x:f>IF(E256=F256,"PASS","FAIL")</x:f>
        <x:v>PASS</x:v>
      </x:c>
    </x:row>
    <x:row r="257">
      <x:c r="B257" s="21" t="str">
        <x:v>A0251</x:v>
      </x:c>
      <x:c r="C257" s="21" t="str">
        <x:v>proposal</x:v>
      </x:c>
      <x:c r="D257" s="21" t="str">
        <x:v>CRS-R01-A all rights offered</x:v>
      </x:c>
      <x:c r="E257" s="21" t="n">
        <x:f>SUMIF('Rights Register'!C7:C270,"CRS-R01-A",'Rights Register'!H7:H270)</x:f>
        <x:v>8</x:v>
      </x:c>
      <x:c r="F257" s="21" t="n">
        <x:v>8</x:v>
      </x:c>
      <x:c r="G257" s="23" t="str">
        <x:f>IF(E257=F257,"PASS","FAIL")</x:f>
        <x:v>PASS</x:v>
      </x:c>
    </x:row>
    <x:row r="258">
      <x:c r="B258" s="21" t="str">
        <x:v>A0252</x:v>
      </x:c>
      <x:c r="C258" s="21" t="str">
        <x:v>proposal</x:v>
      </x:c>
      <x:c r="D258" s="21" t="str">
        <x:v>CRS-R01-A evidence open</x:v>
      </x:c>
      <x:c r="E258" s="21" t="n">
        <x:f>IF('Award Portfolio'!L19="OPEN",1,0)</x:f>
        <x:v>1</x:v>
      </x:c>
      <x:c r="F258" s="21" t="n">
        <x:v>1</x:v>
      </x:c>
      <x:c r="G258" s="23" t="str">
        <x:f>IF(E258=F258,"PASS","FAIL")</x:f>
        <x:v>PASS</x:v>
      </x:c>
    </x:row>
    <x:row r="259">
      <x:c r="B259" s="21" t="str">
        <x:v>A0253</x:v>
      </x:c>
      <x:c r="C259" s="21" t="str">
        <x:v>proposal</x:v>
      </x:c>
      <x:c r="D259" s="21" t="str">
        <x:v>CRS-R01-A build authority held</x:v>
      </x:c>
      <x:c r="E259" s="21" t="n">
        <x:f>IF('Award Portfolio'!K19="HOLD",1,0)</x:f>
        <x:v>1</x:v>
      </x:c>
      <x:c r="F259" s="21" t="n">
        <x:v>1</x:v>
      </x:c>
      <x:c r="G259" s="23" t="str">
        <x:f>IF(E259=F259,"PASS","FAIL")</x:f>
        <x:v>PASS</x:v>
      </x:c>
    </x:row>
    <x:row r="260">
      <x:c r="B260" s="21" t="str">
        <x:v>A0254</x:v>
      </x:c>
      <x:c r="C260" s="21" t="str">
        <x:v>proposal</x:v>
      </x:c>
      <x:c r="D260" s="21" t="str">
        <x:v>CRS-R01-B twelve gates</x:v>
      </x:c>
      <x:c r="E260" s="21" t="n">
        <x:f>COUNTIF('Paper Gates'!C7:C402,"CRS-R01-B")</x:f>
        <x:v>12</x:v>
      </x:c>
      <x:c r="F260" s="21" t="n">
        <x:v>12</x:v>
      </x:c>
      <x:c r="G260" s="23" t="str">
        <x:f>IF(E260=F260,"PASS","FAIL")</x:f>
        <x:v>PASS</x:v>
      </x:c>
    </x:row>
    <x:row r="261">
      <x:c r="B261" s="21" t="str">
        <x:v>A0255</x:v>
      </x:c>
      <x:c r="C261" s="21" t="str">
        <x:v>proposal</x:v>
      </x:c>
      <x:c r="D261" s="21" t="str">
        <x:v>CRS-R01-B required hard passes</x:v>
      </x:c>
      <x:c r="E261" s="21" t="n">
        <x:f>'Award Portfolio'!G20</x:f>
        <x:v>12</x:v>
      </x:c>
      <x:c r="F261" s="21" t="n">
        <x:v>12</x:v>
      </x:c>
      <x:c r="G261" s="23" t="str">
        <x:f>IF(E261=F261,"PASS","FAIL")</x:f>
        <x:v>PASS</x:v>
      </x:c>
    </x:row>
    <x:row r="262">
      <x:c r="B262" s="21" t="str">
        <x:v>A0256</x:v>
      </x:c>
      <x:c r="C262" s="21" t="str">
        <x:v>proposal</x:v>
      </x:c>
      <x:c r="D262" s="21" t="str">
        <x:v>CRS-R01-B six merit dimensions</x:v>
      </x:c>
      <x:c r="E262" s="21" t="n">
        <x:f>COUNTIF('Merit Review'!C7:C204,"CRS-R01-B")</x:f>
        <x:v>6</x:v>
      </x:c>
      <x:c r="F262" s="21" t="n">
        <x:v>6</x:v>
      </x:c>
      <x:c r="G262" s="23" t="str">
        <x:f>IF(E262=F262,"PASS","FAIL")</x:f>
        <x:v>PASS</x:v>
      </x:c>
    </x:row>
    <x:row r="263">
      <x:c r="B263" s="21" t="str">
        <x:v>A0257</x:v>
      </x:c>
      <x:c r="C263" s="21" t="str">
        <x:v>proposal</x:v>
      </x:c>
      <x:c r="D263" s="21" t="str">
        <x:v>CRS-R01-B merit weights sum one</x:v>
      </x:c>
      <x:c r="E263" s="21" t="n">
        <x:f>SUMIF('Merit Review'!C7:C204,"CRS-R01-B",'Merit Review'!G7:G204)</x:f>
        <x:v>1</x:v>
      </x:c>
      <x:c r="F263" s="21" t="n">
        <x:v>1</x:v>
      </x:c>
      <x:c r="G263" s="23" t="str">
        <x:f>IF(E263=F263,"PASS","FAIL")</x:f>
        <x:v>PASS</x:v>
      </x:c>
    </x:row>
    <x:row r="264">
      <x:c r="B264" s="21" t="str">
        <x:v>A0258</x:v>
      </x:c>
      <x:c r="C264" s="21" t="str">
        <x:v>proposal</x:v>
      </x:c>
      <x:c r="D264" s="21" t="str">
        <x:v>CRS-R01-B eight rights</x:v>
      </x:c>
      <x:c r="E264" s="21" t="n">
        <x:f>COUNTIF('Rights Register'!C7:C270,"CRS-R01-B")</x:f>
        <x:v>8</x:v>
      </x:c>
      <x:c r="F264" s="21" t="n">
        <x:v>8</x:v>
      </x:c>
      <x:c r="G264" s="23" t="str">
        <x:f>IF(E264=F264,"PASS","FAIL")</x:f>
        <x:v>PASS</x:v>
      </x:c>
    </x:row>
    <x:row r="265">
      <x:c r="B265" s="21" t="str">
        <x:v>A0259</x:v>
      </x:c>
      <x:c r="C265" s="21" t="str">
        <x:v>proposal</x:v>
      </x:c>
      <x:c r="D265" s="21" t="str">
        <x:v>CRS-R01-B all rights offered</x:v>
      </x:c>
      <x:c r="E265" s="21" t="n">
        <x:f>SUMIF('Rights Register'!C7:C270,"CRS-R01-B",'Rights Register'!H7:H270)</x:f>
        <x:v>8</x:v>
      </x:c>
      <x:c r="F265" s="21" t="n">
        <x:v>8</x:v>
      </x:c>
      <x:c r="G265" s="23" t="str">
        <x:f>IF(E265=F265,"PASS","FAIL")</x:f>
        <x:v>PASS</x:v>
      </x:c>
    </x:row>
    <x:row r="266">
      <x:c r="B266" s="21" t="str">
        <x:v>A0260</x:v>
      </x:c>
      <x:c r="C266" s="21" t="str">
        <x:v>proposal</x:v>
      </x:c>
      <x:c r="D266" s="21" t="str">
        <x:v>CRS-R01-B evidence open</x:v>
      </x:c>
      <x:c r="E266" s="21" t="n">
        <x:f>IF('Award Portfolio'!L20="OPEN",1,0)</x:f>
        <x:v>1</x:v>
      </x:c>
      <x:c r="F266" s="21" t="n">
        <x:v>1</x:v>
      </x:c>
      <x:c r="G266" s="23" t="str">
        <x:f>IF(E266=F266,"PASS","FAIL")</x:f>
        <x:v>PASS</x:v>
      </x:c>
    </x:row>
    <x:row r="267">
      <x:c r="B267" s="21" t="str">
        <x:v>A0261</x:v>
      </x:c>
      <x:c r="C267" s="21" t="str">
        <x:v>proposal</x:v>
      </x:c>
      <x:c r="D267" s="21" t="str">
        <x:v>CRS-R01-B build authority held</x:v>
      </x:c>
      <x:c r="E267" s="21" t="n">
        <x:f>IF('Award Portfolio'!K20="HOLD",1,0)</x:f>
        <x:v>1</x:v>
      </x:c>
      <x:c r="F267" s="21" t="n">
        <x:v>1</x:v>
      </x:c>
      <x:c r="G267" s="23" t="str">
        <x:f>IF(E267=F267,"PASS","FAIL")</x:f>
        <x:v>PASS</x:v>
      </x:c>
    </x:row>
    <x:row r="268">
      <x:c r="B268" s="21" t="str">
        <x:v>A0262</x:v>
      </x:c>
      <x:c r="C268" s="21" t="str">
        <x:v>proposal</x:v>
      </x:c>
      <x:c r="D268" s="21" t="str">
        <x:v>CRS-R01-C twelve gates</x:v>
      </x:c>
      <x:c r="E268" s="21" t="n">
        <x:f>COUNTIF('Paper Gates'!C7:C402,"CRS-R01-C")</x:f>
        <x:v>12</x:v>
      </x:c>
      <x:c r="F268" s="21" t="n">
        <x:v>12</x:v>
      </x:c>
      <x:c r="G268" s="23" t="str">
        <x:f>IF(E268=F268,"PASS","FAIL")</x:f>
        <x:v>PASS</x:v>
      </x:c>
    </x:row>
    <x:row r="269">
      <x:c r="B269" s="21" t="str">
        <x:v>A0263</x:v>
      </x:c>
      <x:c r="C269" s="21" t="str">
        <x:v>proposal</x:v>
      </x:c>
      <x:c r="D269" s="21" t="str">
        <x:v>CRS-R01-C required hard passes</x:v>
      </x:c>
      <x:c r="E269" s="21" t="n">
        <x:f>'Award Portfolio'!G21</x:f>
        <x:v>11</x:v>
      </x:c>
      <x:c r="F269" s="21" t="n">
        <x:v>11</x:v>
      </x:c>
      <x:c r="G269" s="23" t="str">
        <x:f>IF(E269=F269,"PASS","FAIL")</x:f>
        <x:v>PASS</x:v>
      </x:c>
    </x:row>
    <x:row r="270">
      <x:c r="B270" s="21" t="str">
        <x:v>A0264</x:v>
      </x:c>
      <x:c r="C270" s="21" t="str">
        <x:v>proposal</x:v>
      </x:c>
      <x:c r="D270" s="21" t="str">
        <x:v>CRS-R01-C six merit dimensions</x:v>
      </x:c>
      <x:c r="E270" s="21" t="n">
        <x:f>COUNTIF('Merit Review'!C7:C204,"CRS-R01-C")</x:f>
        <x:v>6</x:v>
      </x:c>
      <x:c r="F270" s="21" t="n">
        <x:v>6</x:v>
      </x:c>
      <x:c r="G270" s="23" t="str">
        <x:f>IF(E270=F270,"PASS","FAIL")</x:f>
        <x:v>PASS</x:v>
      </x:c>
    </x:row>
    <x:row r="271">
      <x:c r="B271" s="21" t="str">
        <x:v>A0265</x:v>
      </x:c>
      <x:c r="C271" s="21" t="str">
        <x:v>proposal</x:v>
      </x:c>
      <x:c r="D271" s="21" t="str">
        <x:v>CRS-R01-C merit weights sum one</x:v>
      </x:c>
      <x:c r="E271" s="21" t="n">
        <x:f>SUMIF('Merit Review'!C7:C204,"CRS-R01-C",'Merit Review'!G7:G204)</x:f>
        <x:v>1</x:v>
      </x:c>
      <x:c r="F271" s="21" t="n">
        <x:v>1</x:v>
      </x:c>
      <x:c r="G271" s="23" t="str">
        <x:f>IF(E271=F271,"PASS","FAIL")</x:f>
        <x:v>PASS</x:v>
      </x:c>
    </x:row>
    <x:row r="272">
      <x:c r="B272" s="21" t="str">
        <x:v>A0266</x:v>
      </x:c>
      <x:c r="C272" s="21" t="str">
        <x:v>proposal</x:v>
      </x:c>
      <x:c r="D272" s="21" t="str">
        <x:v>CRS-R01-C eight rights</x:v>
      </x:c>
      <x:c r="E272" s="21" t="n">
        <x:f>COUNTIF('Rights Register'!C7:C270,"CRS-R01-C")</x:f>
        <x:v>8</x:v>
      </x:c>
      <x:c r="F272" s="21" t="n">
        <x:v>8</x:v>
      </x:c>
      <x:c r="G272" s="23" t="str">
        <x:f>IF(E272=F272,"PASS","FAIL")</x:f>
        <x:v>PASS</x:v>
      </x:c>
    </x:row>
    <x:row r="273">
      <x:c r="B273" s="21" t="str">
        <x:v>A0267</x:v>
      </x:c>
      <x:c r="C273" s="21" t="str">
        <x:v>proposal</x:v>
      </x:c>
      <x:c r="D273" s="21" t="str">
        <x:v>CRS-R01-C all rights offered</x:v>
      </x:c>
      <x:c r="E273" s="21" t="n">
        <x:f>SUMIF('Rights Register'!C7:C270,"CRS-R01-C",'Rights Register'!H7:H270)</x:f>
        <x:v>8</x:v>
      </x:c>
      <x:c r="F273" s="21" t="n">
        <x:v>8</x:v>
      </x:c>
      <x:c r="G273" s="23" t="str">
        <x:f>IF(E273=F273,"PASS","FAIL")</x:f>
        <x:v>PASS</x:v>
      </x:c>
    </x:row>
    <x:row r="274">
      <x:c r="B274" s="21" t="str">
        <x:v>A0268</x:v>
      </x:c>
      <x:c r="C274" s="21" t="str">
        <x:v>proposal</x:v>
      </x:c>
      <x:c r="D274" s="21" t="str">
        <x:v>CRS-R01-C evidence open</x:v>
      </x:c>
      <x:c r="E274" s="21" t="n">
        <x:f>IF('Award Portfolio'!L21="OPEN",1,0)</x:f>
        <x:v>1</x:v>
      </x:c>
      <x:c r="F274" s="21" t="n">
        <x:v>1</x:v>
      </x:c>
      <x:c r="G274" s="23" t="str">
        <x:f>IF(E274=F274,"PASS","FAIL")</x:f>
        <x:v>PASS</x:v>
      </x:c>
    </x:row>
    <x:row r="275">
      <x:c r="B275" s="21" t="str">
        <x:v>A0269</x:v>
      </x:c>
      <x:c r="C275" s="21" t="str">
        <x:v>proposal</x:v>
      </x:c>
      <x:c r="D275" s="21" t="str">
        <x:v>CRS-R01-C build authority held</x:v>
      </x:c>
      <x:c r="E275" s="21" t="n">
        <x:f>IF('Award Portfolio'!K21="HOLD",1,0)</x:f>
        <x:v>1</x:v>
      </x:c>
      <x:c r="F275" s="21" t="n">
        <x:v>1</x:v>
      </x:c>
      <x:c r="G275" s="23" t="str">
        <x:f>IF(E275=F275,"PASS","FAIL")</x:f>
        <x:v>PASS</x:v>
      </x:c>
    </x:row>
    <x:row r="276">
      <x:c r="B276" s="21" t="str">
        <x:v>A0270</x:v>
      </x:c>
      <x:c r="C276" s="21" t="str">
        <x:v>proposal</x:v>
      </x:c>
      <x:c r="D276" s="21" t="str">
        <x:v>PSS-T01-A twelve gates</x:v>
      </x:c>
      <x:c r="E276" s="21" t="n">
        <x:f>COUNTIF('Paper Gates'!C7:C402,"PSS-T01-A")</x:f>
        <x:v>12</x:v>
      </x:c>
      <x:c r="F276" s="21" t="n">
        <x:v>12</x:v>
      </x:c>
      <x:c r="G276" s="23" t="str">
        <x:f>IF(E276=F276,"PASS","FAIL")</x:f>
        <x:v>PASS</x:v>
      </x:c>
    </x:row>
    <x:row r="277">
      <x:c r="B277" s="21" t="str">
        <x:v>A0271</x:v>
      </x:c>
      <x:c r="C277" s="21" t="str">
        <x:v>proposal</x:v>
      </x:c>
      <x:c r="D277" s="21" t="str">
        <x:v>PSS-T01-A required hard passes</x:v>
      </x:c>
      <x:c r="E277" s="21" t="n">
        <x:f>'Award Portfolio'!G22</x:f>
        <x:v>12</x:v>
      </x:c>
      <x:c r="F277" s="21" t="n">
        <x:v>12</x:v>
      </x:c>
      <x:c r="G277" s="23" t="str">
        <x:f>IF(E277=F277,"PASS","FAIL")</x:f>
        <x:v>PASS</x:v>
      </x:c>
    </x:row>
    <x:row r="278">
      <x:c r="B278" s="21" t="str">
        <x:v>A0272</x:v>
      </x:c>
      <x:c r="C278" s="21" t="str">
        <x:v>proposal</x:v>
      </x:c>
      <x:c r="D278" s="21" t="str">
        <x:v>PSS-T01-A six merit dimensions</x:v>
      </x:c>
      <x:c r="E278" s="21" t="n">
        <x:f>COUNTIF('Merit Review'!C7:C204,"PSS-T01-A")</x:f>
        <x:v>6</x:v>
      </x:c>
      <x:c r="F278" s="21" t="n">
        <x:v>6</x:v>
      </x:c>
      <x:c r="G278" s="23" t="str">
        <x:f>IF(E278=F278,"PASS","FAIL")</x:f>
        <x:v>PASS</x:v>
      </x:c>
    </x:row>
    <x:row r="279">
      <x:c r="B279" s="21" t="str">
        <x:v>A0273</x:v>
      </x:c>
      <x:c r="C279" s="21" t="str">
        <x:v>proposal</x:v>
      </x:c>
      <x:c r="D279" s="21" t="str">
        <x:v>PSS-T01-A merit weights sum one</x:v>
      </x:c>
      <x:c r="E279" s="21" t="n">
        <x:f>SUMIF('Merit Review'!C7:C204,"PSS-T01-A",'Merit Review'!G7:G204)</x:f>
        <x:v>1</x:v>
      </x:c>
      <x:c r="F279" s="21" t="n">
        <x:v>1</x:v>
      </x:c>
      <x:c r="G279" s="23" t="str">
        <x:f>IF(E279=F279,"PASS","FAIL")</x:f>
        <x:v>PASS</x:v>
      </x:c>
    </x:row>
    <x:row r="280">
      <x:c r="B280" s="21" t="str">
        <x:v>A0274</x:v>
      </x:c>
      <x:c r="C280" s="21" t="str">
        <x:v>proposal</x:v>
      </x:c>
      <x:c r="D280" s="21" t="str">
        <x:v>PSS-T01-A eight rights</x:v>
      </x:c>
      <x:c r="E280" s="21" t="n">
        <x:f>COUNTIF('Rights Register'!C7:C270,"PSS-T01-A")</x:f>
        <x:v>8</x:v>
      </x:c>
      <x:c r="F280" s="21" t="n">
        <x:v>8</x:v>
      </x:c>
      <x:c r="G280" s="23" t="str">
        <x:f>IF(E280=F280,"PASS","FAIL")</x:f>
        <x:v>PASS</x:v>
      </x:c>
    </x:row>
    <x:row r="281">
      <x:c r="B281" s="21" t="str">
        <x:v>A0275</x:v>
      </x:c>
      <x:c r="C281" s="21" t="str">
        <x:v>proposal</x:v>
      </x:c>
      <x:c r="D281" s="21" t="str">
        <x:v>PSS-T01-A all rights offered</x:v>
      </x:c>
      <x:c r="E281" s="21" t="n">
        <x:f>SUMIF('Rights Register'!C7:C270,"PSS-T01-A",'Rights Register'!H7:H270)</x:f>
        <x:v>8</x:v>
      </x:c>
      <x:c r="F281" s="21" t="n">
        <x:v>8</x:v>
      </x:c>
      <x:c r="G281" s="23" t="str">
        <x:f>IF(E281=F281,"PASS","FAIL")</x:f>
        <x:v>PASS</x:v>
      </x:c>
    </x:row>
    <x:row r="282">
      <x:c r="B282" s="21" t="str">
        <x:v>A0276</x:v>
      </x:c>
      <x:c r="C282" s="21" t="str">
        <x:v>proposal</x:v>
      </x:c>
      <x:c r="D282" s="21" t="str">
        <x:v>PSS-T01-A evidence open</x:v>
      </x:c>
      <x:c r="E282" s="21" t="n">
        <x:f>IF('Award Portfolio'!L22="OPEN",1,0)</x:f>
        <x:v>1</x:v>
      </x:c>
      <x:c r="F282" s="21" t="n">
        <x:v>1</x:v>
      </x:c>
      <x:c r="G282" s="23" t="str">
        <x:f>IF(E282=F282,"PASS","FAIL")</x:f>
        <x:v>PASS</x:v>
      </x:c>
    </x:row>
    <x:row r="283">
      <x:c r="B283" s="21" t="str">
        <x:v>A0277</x:v>
      </x:c>
      <x:c r="C283" s="21" t="str">
        <x:v>proposal</x:v>
      </x:c>
      <x:c r="D283" s="21" t="str">
        <x:v>PSS-T01-A build authority held</x:v>
      </x:c>
      <x:c r="E283" s="21" t="n">
        <x:f>IF('Award Portfolio'!K22="HOLD",1,0)</x:f>
        <x:v>1</x:v>
      </x:c>
      <x:c r="F283" s="21" t="n">
        <x:v>1</x:v>
      </x:c>
      <x:c r="G283" s="23" t="str">
        <x:f>IF(E283=F283,"PASS","FAIL")</x:f>
        <x:v>PASS</x:v>
      </x:c>
    </x:row>
    <x:row r="284">
      <x:c r="B284" s="21" t="str">
        <x:v>A0278</x:v>
      </x:c>
      <x:c r="C284" s="21" t="str">
        <x:v>proposal</x:v>
      </x:c>
      <x:c r="D284" s="21" t="str">
        <x:v>PSS-T01-B twelve gates</x:v>
      </x:c>
      <x:c r="E284" s="21" t="n">
        <x:f>COUNTIF('Paper Gates'!C7:C402,"PSS-T01-B")</x:f>
        <x:v>12</x:v>
      </x:c>
      <x:c r="F284" s="21" t="n">
        <x:v>12</x:v>
      </x:c>
      <x:c r="G284" s="23" t="str">
        <x:f>IF(E284=F284,"PASS","FAIL")</x:f>
        <x:v>PASS</x:v>
      </x:c>
    </x:row>
    <x:row r="285">
      <x:c r="B285" s="21" t="str">
        <x:v>A0279</x:v>
      </x:c>
      <x:c r="C285" s="21" t="str">
        <x:v>proposal</x:v>
      </x:c>
      <x:c r="D285" s="21" t="str">
        <x:v>PSS-T01-B required hard passes</x:v>
      </x:c>
      <x:c r="E285" s="21" t="n">
        <x:f>'Award Portfolio'!G23</x:f>
        <x:v>12</x:v>
      </x:c>
      <x:c r="F285" s="21" t="n">
        <x:v>12</x:v>
      </x:c>
      <x:c r="G285" s="23" t="str">
        <x:f>IF(E285=F285,"PASS","FAIL")</x:f>
        <x:v>PASS</x:v>
      </x:c>
    </x:row>
    <x:row r="286">
      <x:c r="B286" s="21" t="str">
        <x:v>A0280</x:v>
      </x:c>
      <x:c r="C286" s="21" t="str">
        <x:v>proposal</x:v>
      </x:c>
      <x:c r="D286" s="21" t="str">
        <x:v>PSS-T01-B six merit dimensions</x:v>
      </x:c>
      <x:c r="E286" s="21" t="n">
        <x:f>COUNTIF('Merit Review'!C7:C204,"PSS-T01-B")</x:f>
        <x:v>6</x:v>
      </x:c>
      <x:c r="F286" s="21" t="n">
        <x:v>6</x:v>
      </x:c>
      <x:c r="G286" s="23" t="str">
        <x:f>IF(E286=F286,"PASS","FAIL")</x:f>
        <x:v>PASS</x:v>
      </x:c>
    </x:row>
    <x:row r="287">
      <x:c r="B287" s="21" t="str">
        <x:v>A0281</x:v>
      </x:c>
      <x:c r="C287" s="21" t="str">
        <x:v>proposal</x:v>
      </x:c>
      <x:c r="D287" s="21" t="str">
        <x:v>PSS-T01-B merit weights sum one</x:v>
      </x:c>
      <x:c r="E287" s="21" t="n">
        <x:f>SUMIF('Merit Review'!C7:C204,"PSS-T01-B",'Merit Review'!G7:G204)</x:f>
        <x:v>1</x:v>
      </x:c>
      <x:c r="F287" s="21" t="n">
        <x:v>1</x:v>
      </x:c>
      <x:c r="G287" s="23" t="str">
        <x:f>IF(E287=F287,"PASS","FAIL")</x:f>
        <x:v>PASS</x:v>
      </x:c>
    </x:row>
    <x:row r="288">
      <x:c r="B288" s="21" t="str">
        <x:v>A0282</x:v>
      </x:c>
      <x:c r="C288" s="21" t="str">
        <x:v>proposal</x:v>
      </x:c>
      <x:c r="D288" s="21" t="str">
        <x:v>PSS-T01-B eight rights</x:v>
      </x:c>
      <x:c r="E288" s="21" t="n">
        <x:f>COUNTIF('Rights Register'!C7:C270,"PSS-T01-B")</x:f>
        <x:v>8</x:v>
      </x:c>
      <x:c r="F288" s="21" t="n">
        <x:v>8</x:v>
      </x:c>
      <x:c r="G288" s="23" t="str">
        <x:f>IF(E288=F288,"PASS","FAIL")</x:f>
        <x:v>PASS</x:v>
      </x:c>
    </x:row>
    <x:row r="289">
      <x:c r="B289" s="21" t="str">
        <x:v>A0283</x:v>
      </x:c>
      <x:c r="C289" s="21" t="str">
        <x:v>proposal</x:v>
      </x:c>
      <x:c r="D289" s="21" t="str">
        <x:v>PSS-T01-B all rights offered</x:v>
      </x:c>
      <x:c r="E289" s="21" t="n">
        <x:f>SUMIF('Rights Register'!C7:C270,"PSS-T01-B",'Rights Register'!H7:H270)</x:f>
        <x:v>8</x:v>
      </x:c>
      <x:c r="F289" s="21" t="n">
        <x:v>8</x:v>
      </x:c>
      <x:c r="G289" s="23" t="str">
        <x:f>IF(E289=F289,"PASS","FAIL")</x:f>
        <x:v>PASS</x:v>
      </x:c>
    </x:row>
    <x:row r="290">
      <x:c r="B290" s="21" t="str">
        <x:v>A0284</x:v>
      </x:c>
      <x:c r="C290" s="21" t="str">
        <x:v>proposal</x:v>
      </x:c>
      <x:c r="D290" s="21" t="str">
        <x:v>PSS-T01-B evidence open</x:v>
      </x:c>
      <x:c r="E290" s="21" t="n">
        <x:f>IF('Award Portfolio'!L23="OPEN",1,0)</x:f>
        <x:v>1</x:v>
      </x:c>
      <x:c r="F290" s="21" t="n">
        <x:v>1</x:v>
      </x:c>
      <x:c r="G290" s="23" t="str">
        <x:f>IF(E290=F290,"PASS","FAIL")</x:f>
        <x:v>PASS</x:v>
      </x:c>
    </x:row>
    <x:row r="291">
      <x:c r="B291" s="21" t="str">
        <x:v>A0285</x:v>
      </x:c>
      <x:c r="C291" s="21" t="str">
        <x:v>proposal</x:v>
      </x:c>
      <x:c r="D291" s="21" t="str">
        <x:v>PSS-T01-B build authority held</x:v>
      </x:c>
      <x:c r="E291" s="21" t="n">
        <x:f>IF('Award Portfolio'!K23="HOLD",1,0)</x:f>
        <x:v>1</x:v>
      </x:c>
      <x:c r="F291" s="21" t="n">
        <x:v>1</x:v>
      </x:c>
      <x:c r="G291" s="23" t="str">
        <x:f>IF(E291=F291,"PASS","FAIL")</x:f>
        <x:v>PASS</x:v>
      </x:c>
    </x:row>
    <x:row r="292">
      <x:c r="B292" s="21" t="str">
        <x:v>A0286</x:v>
      </x:c>
      <x:c r="C292" s="21" t="str">
        <x:v>proposal</x:v>
      </x:c>
      <x:c r="D292" s="21" t="str">
        <x:v>PSS-T01-C twelve gates</x:v>
      </x:c>
      <x:c r="E292" s="21" t="n">
        <x:f>COUNTIF('Paper Gates'!C7:C402,"PSS-T01-C")</x:f>
        <x:v>12</x:v>
      </x:c>
      <x:c r="F292" s="21" t="n">
        <x:v>12</x:v>
      </x:c>
      <x:c r="G292" s="23" t="str">
        <x:f>IF(E292=F292,"PASS","FAIL")</x:f>
        <x:v>PASS</x:v>
      </x:c>
    </x:row>
    <x:row r="293">
      <x:c r="B293" s="21" t="str">
        <x:v>A0287</x:v>
      </x:c>
      <x:c r="C293" s="21" t="str">
        <x:v>proposal</x:v>
      </x:c>
      <x:c r="D293" s="21" t="str">
        <x:v>PSS-T01-C required hard passes</x:v>
      </x:c>
      <x:c r="E293" s="21" t="n">
        <x:f>'Award Portfolio'!G24</x:f>
        <x:v>11</x:v>
      </x:c>
      <x:c r="F293" s="21" t="n">
        <x:v>11</x:v>
      </x:c>
      <x:c r="G293" s="23" t="str">
        <x:f>IF(E293=F293,"PASS","FAIL")</x:f>
        <x:v>PASS</x:v>
      </x:c>
    </x:row>
    <x:row r="294">
      <x:c r="B294" s="21" t="str">
        <x:v>A0288</x:v>
      </x:c>
      <x:c r="C294" s="21" t="str">
        <x:v>proposal</x:v>
      </x:c>
      <x:c r="D294" s="21" t="str">
        <x:v>PSS-T01-C six merit dimensions</x:v>
      </x:c>
      <x:c r="E294" s="21" t="n">
        <x:f>COUNTIF('Merit Review'!C7:C204,"PSS-T01-C")</x:f>
        <x:v>6</x:v>
      </x:c>
      <x:c r="F294" s="21" t="n">
        <x:v>6</x:v>
      </x:c>
      <x:c r="G294" s="23" t="str">
        <x:f>IF(E294=F294,"PASS","FAIL")</x:f>
        <x:v>PASS</x:v>
      </x:c>
    </x:row>
    <x:row r="295">
      <x:c r="B295" s="21" t="str">
        <x:v>A0289</x:v>
      </x:c>
      <x:c r="C295" s="21" t="str">
        <x:v>proposal</x:v>
      </x:c>
      <x:c r="D295" s="21" t="str">
        <x:v>PSS-T01-C merit weights sum one</x:v>
      </x:c>
      <x:c r="E295" s="21" t="n">
        <x:f>SUMIF('Merit Review'!C7:C204,"PSS-T01-C",'Merit Review'!G7:G204)</x:f>
        <x:v>1</x:v>
      </x:c>
      <x:c r="F295" s="21" t="n">
        <x:v>1</x:v>
      </x:c>
      <x:c r="G295" s="23" t="str">
        <x:f>IF(E295=F295,"PASS","FAIL")</x:f>
        <x:v>PASS</x:v>
      </x:c>
    </x:row>
    <x:row r="296">
      <x:c r="B296" s="21" t="str">
        <x:v>A0290</x:v>
      </x:c>
      <x:c r="C296" s="21" t="str">
        <x:v>proposal</x:v>
      </x:c>
      <x:c r="D296" s="21" t="str">
        <x:v>PSS-T01-C eight rights</x:v>
      </x:c>
      <x:c r="E296" s="21" t="n">
        <x:f>COUNTIF('Rights Register'!C7:C270,"PSS-T01-C")</x:f>
        <x:v>8</x:v>
      </x:c>
      <x:c r="F296" s="21" t="n">
        <x:v>8</x:v>
      </x:c>
      <x:c r="G296" s="23" t="str">
        <x:f>IF(E296=F296,"PASS","FAIL")</x:f>
        <x:v>PASS</x:v>
      </x:c>
    </x:row>
    <x:row r="297">
      <x:c r="B297" s="21" t="str">
        <x:v>A0291</x:v>
      </x:c>
      <x:c r="C297" s="21" t="str">
        <x:v>proposal</x:v>
      </x:c>
      <x:c r="D297" s="21" t="str">
        <x:v>PSS-T01-C all rights offered</x:v>
      </x:c>
      <x:c r="E297" s="21" t="n">
        <x:f>SUMIF('Rights Register'!C7:C270,"PSS-T01-C",'Rights Register'!H7:H270)</x:f>
        <x:v>8</x:v>
      </x:c>
      <x:c r="F297" s="21" t="n">
        <x:v>8</x:v>
      </x:c>
      <x:c r="G297" s="23" t="str">
        <x:f>IF(E297=F297,"PASS","FAIL")</x:f>
        <x:v>PASS</x:v>
      </x:c>
    </x:row>
    <x:row r="298">
      <x:c r="B298" s="21" t="str">
        <x:v>A0292</x:v>
      </x:c>
      <x:c r="C298" s="21" t="str">
        <x:v>proposal</x:v>
      </x:c>
      <x:c r="D298" s="21" t="str">
        <x:v>PSS-T01-C evidence open</x:v>
      </x:c>
      <x:c r="E298" s="21" t="n">
        <x:f>IF('Award Portfolio'!L24="OPEN",1,0)</x:f>
        <x:v>1</x:v>
      </x:c>
      <x:c r="F298" s="21" t="n">
        <x:v>1</x:v>
      </x:c>
      <x:c r="G298" s="23" t="str">
        <x:f>IF(E298=F298,"PASS","FAIL")</x:f>
        <x:v>PASS</x:v>
      </x:c>
    </x:row>
    <x:row r="299">
      <x:c r="B299" s="21" t="str">
        <x:v>A0293</x:v>
      </x:c>
      <x:c r="C299" s="21" t="str">
        <x:v>proposal</x:v>
      </x:c>
      <x:c r="D299" s="21" t="str">
        <x:v>PSS-T01-C build authority held</x:v>
      </x:c>
      <x:c r="E299" s="21" t="n">
        <x:f>IF('Award Portfolio'!K24="HOLD",1,0)</x:f>
        <x:v>1</x:v>
      </x:c>
      <x:c r="F299" s="21" t="n">
        <x:v>1</x:v>
      </x:c>
      <x:c r="G299" s="23" t="str">
        <x:f>IF(E299=F299,"PASS","FAIL")</x:f>
        <x:v>PASS</x:v>
      </x:c>
    </x:row>
    <x:row r="300">
      <x:c r="B300" s="21" t="str">
        <x:v>A0294</x:v>
      </x:c>
      <x:c r="C300" s="21" t="str">
        <x:v>proposal</x:v>
      </x:c>
      <x:c r="D300" s="21" t="str">
        <x:v>PIF-I01-A twelve gates</x:v>
      </x:c>
      <x:c r="E300" s="21" t="n">
        <x:f>COUNTIF('Paper Gates'!C7:C402,"PIF-I01-A")</x:f>
        <x:v>12</x:v>
      </x:c>
      <x:c r="F300" s="21" t="n">
        <x:v>12</x:v>
      </x:c>
      <x:c r="G300" s="23" t="str">
        <x:f>IF(E300=F300,"PASS","FAIL")</x:f>
        <x:v>PASS</x:v>
      </x:c>
    </x:row>
    <x:row r="301">
      <x:c r="B301" s="21" t="str">
        <x:v>A0295</x:v>
      </x:c>
      <x:c r="C301" s="21" t="str">
        <x:v>proposal</x:v>
      </x:c>
      <x:c r="D301" s="21" t="str">
        <x:v>PIF-I01-A required hard passes</x:v>
      </x:c>
      <x:c r="E301" s="21" t="n">
        <x:f>'Award Portfolio'!G25</x:f>
        <x:v>12</x:v>
      </x:c>
      <x:c r="F301" s="21" t="n">
        <x:v>12</x:v>
      </x:c>
      <x:c r="G301" s="23" t="str">
        <x:f>IF(E301=F301,"PASS","FAIL")</x:f>
        <x:v>PASS</x:v>
      </x:c>
    </x:row>
    <x:row r="302">
      <x:c r="B302" s="21" t="str">
        <x:v>A0296</x:v>
      </x:c>
      <x:c r="C302" s="21" t="str">
        <x:v>proposal</x:v>
      </x:c>
      <x:c r="D302" s="21" t="str">
        <x:v>PIF-I01-A six merit dimensions</x:v>
      </x:c>
      <x:c r="E302" s="21" t="n">
        <x:f>COUNTIF('Merit Review'!C7:C204,"PIF-I01-A")</x:f>
        <x:v>6</x:v>
      </x:c>
      <x:c r="F302" s="21" t="n">
        <x:v>6</x:v>
      </x:c>
      <x:c r="G302" s="23" t="str">
        <x:f>IF(E302=F302,"PASS","FAIL")</x:f>
        <x:v>PASS</x:v>
      </x:c>
    </x:row>
    <x:row r="303">
      <x:c r="B303" s="21" t="str">
        <x:v>A0297</x:v>
      </x:c>
      <x:c r="C303" s="21" t="str">
        <x:v>proposal</x:v>
      </x:c>
      <x:c r="D303" s="21" t="str">
        <x:v>PIF-I01-A merit weights sum one</x:v>
      </x:c>
      <x:c r="E303" s="21" t="n">
        <x:f>SUMIF('Merit Review'!C7:C204,"PIF-I01-A",'Merit Review'!G7:G204)</x:f>
        <x:v>1</x:v>
      </x:c>
      <x:c r="F303" s="21" t="n">
        <x:v>1</x:v>
      </x:c>
      <x:c r="G303" s="23" t="str">
        <x:f>IF(E303=F303,"PASS","FAIL")</x:f>
        <x:v>PASS</x:v>
      </x:c>
    </x:row>
    <x:row r="304">
      <x:c r="B304" s="21" t="str">
        <x:v>A0298</x:v>
      </x:c>
      <x:c r="C304" s="21" t="str">
        <x:v>proposal</x:v>
      </x:c>
      <x:c r="D304" s="21" t="str">
        <x:v>PIF-I01-A eight rights</x:v>
      </x:c>
      <x:c r="E304" s="21" t="n">
        <x:f>COUNTIF('Rights Register'!C7:C270,"PIF-I01-A")</x:f>
        <x:v>8</x:v>
      </x:c>
      <x:c r="F304" s="21" t="n">
        <x:v>8</x:v>
      </x:c>
      <x:c r="G304" s="23" t="str">
        <x:f>IF(E304=F304,"PASS","FAIL")</x:f>
        <x:v>PASS</x:v>
      </x:c>
    </x:row>
    <x:row r="305">
      <x:c r="B305" s="21" t="str">
        <x:v>A0299</x:v>
      </x:c>
      <x:c r="C305" s="21" t="str">
        <x:v>proposal</x:v>
      </x:c>
      <x:c r="D305" s="21" t="str">
        <x:v>PIF-I01-A all rights offered</x:v>
      </x:c>
      <x:c r="E305" s="21" t="n">
        <x:f>SUMIF('Rights Register'!C7:C270,"PIF-I01-A",'Rights Register'!H7:H270)</x:f>
        <x:v>8</x:v>
      </x:c>
      <x:c r="F305" s="21" t="n">
        <x:v>8</x:v>
      </x:c>
      <x:c r="G305" s="23" t="str">
        <x:f>IF(E305=F305,"PASS","FAIL")</x:f>
        <x:v>PASS</x:v>
      </x:c>
    </x:row>
    <x:row r="306">
      <x:c r="B306" s="21" t="str">
        <x:v>A0300</x:v>
      </x:c>
      <x:c r="C306" s="21" t="str">
        <x:v>proposal</x:v>
      </x:c>
      <x:c r="D306" s="21" t="str">
        <x:v>PIF-I01-A evidence open</x:v>
      </x:c>
      <x:c r="E306" s="21" t="n">
        <x:f>IF('Award Portfolio'!L25="OPEN",1,0)</x:f>
        <x:v>1</x:v>
      </x:c>
      <x:c r="F306" s="21" t="n">
        <x:v>1</x:v>
      </x:c>
      <x:c r="G306" s="23" t="str">
        <x:f>IF(E306=F306,"PASS","FAIL")</x:f>
        <x:v>PASS</x:v>
      </x:c>
    </x:row>
    <x:row r="307">
      <x:c r="B307" s="21" t="str">
        <x:v>A0301</x:v>
      </x:c>
      <x:c r="C307" s="21" t="str">
        <x:v>proposal</x:v>
      </x:c>
      <x:c r="D307" s="21" t="str">
        <x:v>PIF-I01-A build authority held</x:v>
      </x:c>
      <x:c r="E307" s="21" t="n">
        <x:f>IF('Award Portfolio'!K25="HOLD",1,0)</x:f>
        <x:v>1</x:v>
      </x:c>
      <x:c r="F307" s="21" t="n">
        <x:v>1</x:v>
      </x:c>
      <x:c r="G307" s="23" t="str">
        <x:f>IF(E307=F307,"PASS","FAIL")</x:f>
        <x:v>PASS</x:v>
      </x:c>
    </x:row>
    <x:row r="308">
      <x:c r="B308" s="21" t="str">
        <x:v>A0302</x:v>
      </x:c>
      <x:c r="C308" s="21" t="str">
        <x:v>proposal</x:v>
      </x:c>
      <x:c r="D308" s="21" t="str">
        <x:v>PIF-I01-B twelve gates</x:v>
      </x:c>
      <x:c r="E308" s="21" t="n">
        <x:f>COUNTIF('Paper Gates'!C7:C402,"PIF-I01-B")</x:f>
        <x:v>12</x:v>
      </x:c>
      <x:c r="F308" s="21" t="n">
        <x:v>12</x:v>
      </x:c>
      <x:c r="G308" s="23" t="str">
        <x:f>IF(E308=F308,"PASS","FAIL")</x:f>
        <x:v>PASS</x:v>
      </x:c>
    </x:row>
    <x:row r="309">
      <x:c r="B309" s="21" t="str">
        <x:v>A0303</x:v>
      </x:c>
      <x:c r="C309" s="21" t="str">
        <x:v>proposal</x:v>
      </x:c>
      <x:c r="D309" s="21" t="str">
        <x:v>PIF-I01-B required hard passes</x:v>
      </x:c>
      <x:c r="E309" s="21" t="n">
        <x:f>'Award Portfolio'!G26</x:f>
        <x:v>12</x:v>
      </x:c>
      <x:c r="F309" s="21" t="n">
        <x:v>12</x:v>
      </x:c>
      <x:c r="G309" s="23" t="str">
        <x:f>IF(E309=F309,"PASS","FAIL")</x:f>
        <x:v>PASS</x:v>
      </x:c>
    </x:row>
    <x:row r="310">
      <x:c r="B310" s="21" t="str">
        <x:v>A0304</x:v>
      </x:c>
      <x:c r="C310" s="21" t="str">
        <x:v>proposal</x:v>
      </x:c>
      <x:c r="D310" s="21" t="str">
        <x:v>PIF-I01-B six merit dimensions</x:v>
      </x:c>
      <x:c r="E310" s="21" t="n">
        <x:f>COUNTIF('Merit Review'!C7:C204,"PIF-I01-B")</x:f>
        <x:v>6</x:v>
      </x:c>
      <x:c r="F310" s="21" t="n">
        <x:v>6</x:v>
      </x:c>
      <x:c r="G310" s="23" t="str">
        <x:f>IF(E310=F310,"PASS","FAIL")</x:f>
        <x:v>PASS</x:v>
      </x:c>
    </x:row>
    <x:row r="311">
      <x:c r="B311" s="21" t="str">
        <x:v>A0305</x:v>
      </x:c>
      <x:c r="C311" s="21" t="str">
        <x:v>proposal</x:v>
      </x:c>
      <x:c r="D311" s="21" t="str">
        <x:v>PIF-I01-B merit weights sum one</x:v>
      </x:c>
      <x:c r="E311" s="21" t="n">
        <x:f>SUMIF('Merit Review'!C7:C204,"PIF-I01-B",'Merit Review'!G7:G204)</x:f>
        <x:v>1</x:v>
      </x:c>
      <x:c r="F311" s="21" t="n">
        <x:v>1</x:v>
      </x:c>
      <x:c r="G311" s="23" t="str">
        <x:f>IF(E311=F311,"PASS","FAIL")</x:f>
        <x:v>PASS</x:v>
      </x:c>
    </x:row>
    <x:row r="312">
      <x:c r="B312" s="21" t="str">
        <x:v>A0306</x:v>
      </x:c>
      <x:c r="C312" s="21" t="str">
        <x:v>proposal</x:v>
      </x:c>
      <x:c r="D312" s="21" t="str">
        <x:v>PIF-I01-B eight rights</x:v>
      </x:c>
      <x:c r="E312" s="21" t="n">
        <x:f>COUNTIF('Rights Register'!C7:C270,"PIF-I01-B")</x:f>
        <x:v>8</x:v>
      </x:c>
      <x:c r="F312" s="21" t="n">
        <x:v>8</x:v>
      </x:c>
      <x:c r="G312" s="23" t="str">
        <x:f>IF(E312=F312,"PASS","FAIL")</x:f>
        <x:v>PASS</x:v>
      </x:c>
    </x:row>
    <x:row r="313">
      <x:c r="B313" s="21" t="str">
        <x:v>A0307</x:v>
      </x:c>
      <x:c r="C313" s="21" t="str">
        <x:v>proposal</x:v>
      </x:c>
      <x:c r="D313" s="21" t="str">
        <x:v>PIF-I01-B all rights offered</x:v>
      </x:c>
      <x:c r="E313" s="21" t="n">
        <x:f>SUMIF('Rights Register'!C7:C270,"PIF-I01-B",'Rights Register'!H7:H270)</x:f>
        <x:v>8</x:v>
      </x:c>
      <x:c r="F313" s="21" t="n">
        <x:v>8</x:v>
      </x:c>
      <x:c r="G313" s="23" t="str">
        <x:f>IF(E313=F313,"PASS","FAIL")</x:f>
        <x:v>PASS</x:v>
      </x:c>
    </x:row>
    <x:row r="314">
      <x:c r="B314" s="21" t="str">
        <x:v>A0308</x:v>
      </x:c>
      <x:c r="C314" s="21" t="str">
        <x:v>proposal</x:v>
      </x:c>
      <x:c r="D314" s="21" t="str">
        <x:v>PIF-I01-B evidence open</x:v>
      </x:c>
      <x:c r="E314" s="21" t="n">
        <x:f>IF('Award Portfolio'!L26="OPEN",1,0)</x:f>
        <x:v>1</x:v>
      </x:c>
      <x:c r="F314" s="21" t="n">
        <x:v>1</x:v>
      </x:c>
      <x:c r="G314" s="23" t="str">
        <x:f>IF(E314=F314,"PASS","FAIL")</x:f>
        <x:v>PASS</x:v>
      </x:c>
    </x:row>
    <x:row r="315">
      <x:c r="B315" s="21" t="str">
        <x:v>A0309</x:v>
      </x:c>
      <x:c r="C315" s="21" t="str">
        <x:v>proposal</x:v>
      </x:c>
      <x:c r="D315" s="21" t="str">
        <x:v>PIF-I01-B build authority held</x:v>
      </x:c>
      <x:c r="E315" s="21" t="n">
        <x:f>IF('Award Portfolio'!K26="HOLD",1,0)</x:f>
        <x:v>1</x:v>
      </x:c>
      <x:c r="F315" s="21" t="n">
        <x:v>1</x:v>
      </x:c>
      <x:c r="G315" s="23" t="str">
        <x:f>IF(E315=F315,"PASS","FAIL")</x:f>
        <x:v>PASS</x:v>
      </x:c>
    </x:row>
    <x:row r="316">
      <x:c r="B316" s="21" t="str">
        <x:v>A0310</x:v>
      </x:c>
      <x:c r="C316" s="21" t="str">
        <x:v>proposal</x:v>
      </x:c>
      <x:c r="D316" s="21" t="str">
        <x:v>PIF-I01-C twelve gates</x:v>
      </x:c>
      <x:c r="E316" s="21" t="n">
        <x:f>COUNTIF('Paper Gates'!C7:C402,"PIF-I01-C")</x:f>
        <x:v>12</x:v>
      </x:c>
      <x:c r="F316" s="21" t="n">
        <x:v>12</x:v>
      </x:c>
      <x:c r="G316" s="23" t="str">
        <x:f>IF(E316=F316,"PASS","FAIL")</x:f>
        <x:v>PASS</x:v>
      </x:c>
    </x:row>
    <x:row r="317">
      <x:c r="B317" s="21" t="str">
        <x:v>A0311</x:v>
      </x:c>
      <x:c r="C317" s="21" t="str">
        <x:v>proposal</x:v>
      </x:c>
      <x:c r="D317" s="21" t="str">
        <x:v>PIF-I01-C required hard passes</x:v>
      </x:c>
      <x:c r="E317" s="21" t="n">
        <x:f>'Award Portfolio'!G27</x:f>
        <x:v>11</x:v>
      </x:c>
      <x:c r="F317" s="21" t="n">
        <x:v>11</x:v>
      </x:c>
      <x:c r="G317" s="23" t="str">
        <x:f>IF(E317=F317,"PASS","FAIL")</x:f>
        <x:v>PASS</x:v>
      </x:c>
    </x:row>
    <x:row r="318">
      <x:c r="B318" s="21" t="str">
        <x:v>A0312</x:v>
      </x:c>
      <x:c r="C318" s="21" t="str">
        <x:v>proposal</x:v>
      </x:c>
      <x:c r="D318" s="21" t="str">
        <x:v>PIF-I01-C six merit dimensions</x:v>
      </x:c>
      <x:c r="E318" s="21" t="n">
        <x:f>COUNTIF('Merit Review'!C7:C204,"PIF-I01-C")</x:f>
        <x:v>6</x:v>
      </x:c>
      <x:c r="F318" s="21" t="n">
        <x:v>6</x:v>
      </x:c>
      <x:c r="G318" s="23" t="str">
        <x:f>IF(E318=F318,"PASS","FAIL")</x:f>
        <x:v>PASS</x:v>
      </x:c>
    </x:row>
    <x:row r="319">
      <x:c r="B319" s="21" t="str">
        <x:v>A0313</x:v>
      </x:c>
      <x:c r="C319" s="21" t="str">
        <x:v>proposal</x:v>
      </x:c>
      <x:c r="D319" s="21" t="str">
        <x:v>PIF-I01-C merit weights sum one</x:v>
      </x:c>
      <x:c r="E319" s="21" t="n">
        <x:f>SUMIF('Merit Review'!C7:C204,"PIF-I01-C",'Merit Review'!G7:G204)</x:f>
        <x:v>1</x:v>
      </x:c>
      <x:c r="F319" s="21" t="n">
        <x:v>1</x:v>
      </x:c>
      <x:c r="G319" s="23" t="str">
        <x:f>IF(E319=F319,"PASS","FAIL")</x:f>
        <x:v>PASS</x:v>
      </x:c>
    </x:row>
    <x:row r="320">
      <x:c r="B320" s="21" t="str">
        <x:v>A0314</x:v>
      </x:c>
      <x:c r="C320" s="21" t="str">
        <x:v>proposal</x:v>
      </x:c>
      <x:c r="D320" s="21" t="str">
        <x:v>PIF-I01-C eight rights</x:v>
      </x:c>
      <x:c r="E320" s="21" t="n">
        <x:f>COUNTIF('Rights Register'!C7:C270,"PIF-I01-C")</x:f>
        <x:v>8</x:v>
      </x:c>
      <x:c r="F320" s="21" t="n">
        <x:v>8</x:v>
      </x:c>
      <x:c r="G320" s="23" t="str">
        <x:f>IF(E320=F320,"PASS","FAIL")</x:f>
        <x:v>PASS</x:v>
      </x:c>
    </x:row>
    <x:row r="321">
      <x:c r="B321" s="21" t="str">
        <x:v>A0315</x:v>
      </x:c>
      <x:c r="C321" s="21" t="str">
        <x:v>proposal</x:v>
      </x:c>
      <x:c r="D321" s="21" t="str">
        <x:v>PIF-I01-C all rights offered</x:v>
      </x:c>
      <x:c r="E321" s="21" t="n">
        <x:f>SUMIF('Rights Register'!C7:C270,"PIF-I01-C",'Rights Register'!H7:H270)</x:f>
        <x:v>8</x:v>
      </x:c>
      <x:c r="F321" s="21" t="n">
        <x:v>8</x:v>
      </x:c>
      <x:c r="G321" s="23" t="str">
        <x:f>IF(E321=F321,"PASS","FAIL")</x:f>
        <x:v>PASS</x:v>
      </x:c>
    </x:row>
    <x:row r="322">
      <x:c r="B322" s="21" t="str">
        <x:v>A0316</x:v>
      </x:c>
      <x:c r="C322" s="21" t="str">
        <x:v>proposal</x:v>
      </x:c>
      <x:c r="D322" s="21" t="str">
        <x:v>PIF-I01-C evidence open</x:v>
      </x:c>
      <x:c r="E322" s="21" t="n">
        <x:f>IF('Award Portfolio'!L27="OPEN",1,0)</x:f>
        <x:v>1</x:v>
      </x:c>
      <x:c r="F322" s="21" t="n">
        <x:v>1</x:v>
      </x:c>
      <x:c r="G322" s="23" t="str">
        <x:f>IF(E322=F322,"PASS","FAIL")</x:f>
        <x:v>PASS</x:v>
      </x:c>
    </x:row>
    <x:row r="323">
      <x:c r="B323" s="21" t="str">
        <x:v>A0317</x:v>
      </x:c>
      <x:c r="C323" s="21" t="str">
        <x:v>proposal</x:v>
      </x:c>
      <x:c r="D323" s="21" t="str">
        <x:v>PIF-I01-C build authority held</x:v>
      </x:c>
      <x:c r="E323" s="21" t="n">
        <x:f>IF('Award Portfolio'!K27="HOLD",1,0)</x:f>
        <x:v>1</x:v>
      </x:c>
      <x:c r="F323" s="21" t="n">
        <x:v>1</x:v>
      </x:c>
      <x:c r="G323" s="23" t="str">
        <x:f>IF(E323=F323,"PASS","FAIL")</x:f>
        <x:v>PASS</x:v>
      </x:c>
    </x:row>
    <x:row r="324">
      <x:c r="B324" s="21" t="str">
        <x:v>A0318</x:v>
      </x:c>
      <x:c r="C324" s="21" t="str">
        <x:v>proposal</x:v>
      </x:c>
      <x:c r="D324" s="21" t="str">
        <x:v>EPS-P01-A twelve gates</x:v>
      </x:c>
      <x:c r="E324" s="21" t="n">
        <x:f>COUNTIF('Paper Gates'!C7:C402,"EPS-P01-A")</x:f>
        <x:v>12</x:v>
      </x:c>
      <x:c r="F324" s="21" t="n">
        <x:v>12</x:v>
      </x:c>
      <x:c r="G324" s="23" t="str">
        <x:f>IF(E324=F324,"PASS","FAIL")</x:f>
        <x:v>PASS</x:v>
      </x:c>
    </x:row>
    <x:row r="325">
      <x:c r="B325" s="21" t="str">
        <x:v>A0319</x:v>
      </x:c>
      <x:c r="C325" s="21" t="str">
        <x:v>proposal</x:v>
      </x:c>
      <x:c r="D325" s="21" t="str">
        <x:v>EPS-P01-A required hard passes</x:v>
      </x:c>
      <x:c r="E325" s="21" t="n">
        <x:f>'Award Portfolio'!G28</x:f>
        <x:v>12</x:v>
      </x:c>
      <x:c r="F325" s="21" t="n">
        <x:v>12</x:v>
      </x:c>
      <x:c r="G325" s="23" t="str">
        <x:f>IF(E325=F325,"PASS","FAIL")</x:f>
        <x:v>PASS</x:v>
      </x:c>
    </x:row>
    <x:row r="326">
      <x:c r="B326" s="21" t="str">
        <x:v>A0320</x:v>
      </x:c>
      <x:c r="C326" s="21" t="str">
        <x:v>proposal</x:v>
      </x:c>
      <x:c r="D326" s="21" t="str">
        <x:v>EPS-P01-A six merit dimensions</x:v>
      </x:c>
      <x:c r="E326" s="21" t="n">
        <x:f>COUNTIF('Merit Review'!C7:C204,"EPS-P01-A")</x:f>
        <x:v>6</x:v>
      </x:c>
      <x:c r="F326" s="21" t="n">
        <x:v>6</x:v>
      </x:c>
      <x:c r="G326" s="23" t="str">
        <x:f>IF(E326=F326,"PASS","FAIL")</x:f>
        <x:v>PASS</x:v>
      </x:c>
    </x:row>
    <x:row r="327">
      <x:c r="B327" s="21" t="str">
        <x:v>A0321</x:v>
      </x:c>
      <x:c r="C327" s="21" t="str">
        <x:v>proposal</x:v>
      </x:c>
      <x:c r="D327" s="21" t="str">
        <x:v>EPS-P01-A merit weights sum one</x:v>
      </x:c>
      <x:c r="E327" s="21" t="n">
        <x:f>SUMIF('Merit Review'!C7:C204,"EPS-P01-A",'Merit Review'!G7:G204)</x:f>
        <x:v>1</x:v>
      </x:c>
      <x:c r="F327" s="21" t="n">
        <x:v>1</x:v>
      </x:c>
      <x:c r="G327" s="23" t="str">
        <x:f>IF(E327=F327,"PASS","FAIL")</x:f>
        <x:v>PASS</x:v>
      </x:c>
    </x:row>
    <x:row r="328">
      <x:c r="B328" s="21" t="str">
        <x:v>A0322</x:v>
      </x:c>
      <x:c r="C328" s="21" t="str">
        <x:v>proposal</x:v>
      </x:c>
      <x:c r="D328" s="21" t="str">
        <x:v>EPS-P01-A eight rights</x:v>
      </x:c>
      <x:c r="E328" s="21" t="n">
        <x:f>COUNTIF('Rights Register'!C7:C270,"EPS-P01-A")</x:f>
        <x:v>8</x:v>
      </x:c>
      <x:c r="F328" s="21" t="n">
        <x:v>8</x:v>
      </x:c>
      <x:c r="G328" s="23" t="str">
        <x:f>IF(E328=F328,"PASS","FAIL")</x:f>
        <x:v>PASS</x:v>
      </x:c>
    </x:row>
    <x:row r="329">
      <x:c r="B329" s="21" t="str">
        <x:v>A0323</x:v>
      </x:c>
      <x:c r="C329" s="21" t="str">
        <x:v>proposal</x:v>
      </x:c>
      <x:c r="D329" s="21" t="str">
        <x:v>EPS-P01-A all rights offered</x:v>
      </x:c>
      <x:c r="E329" s="21" t="n">
        <x:f>SUMIF('Rights Register'!C7:C270,"EPS-P01-A",'Rights Register'!H7:H270)</x:f>
        <x:v>8</x:v>
      </x:c>
      <x:c r="F329" s="21" t="n">
        <x:v>8</x:v>
      </x:c>
      <x:c r="G329" s="23" t="str">
        <x:f>IF(E329=F329,"PASS","FAIL")</x:f>
        <x:v>PASS</x:v>
      </x:c>
    </x:row>
    <x:row r="330">
      <x:c r="B330" s="21" t="str">
        <x:v>A0324</x:v>
      </x:c>
      <x:c r="C330" s="21" t="str">
        <x:v>proposal</x:v>
      </x:c>
      <x:c r="D330" s="21" t="str">
        <x:v>EPS-P01-A evidence open</x:v>
      </x:c>
      <x:c r="E330" s="21" t="n">
        <x:f>IF('Award Portfolio'!L28="OPEN",1,0)</x:f>
        <x:v>1</x:v>
      </x:c>
      <x:c r="F330" s="21" t="n">
        <x:v>1</x:v>
      </x:c>
      <x:c r="G330" s="23" t="str">
        <x:f>IF(E330=F330,"PASS","FAIL")</x:f>
        <x:v>PASS</x:v>
      </x:c>
    </x:row>
    <x:row r="331">
      <x:c r="B331" s="21" t="str">
        <x:v>A0325</x:v>
      </x:c>
      <x:c r="C331" s="21" t="str">
        <x:v>proposal</x:v>
      </x:c>
      <x:c r="D331" s="21" t="str">
        <x:v>EPS-P01-A build authority held</x:v>
      </x:c>
      <x:c r="E331" s="21" t="n">
        <x:f>IF('Award Portfolio'!K28="HOLD",1,0)</x:f>
        <x:v>1</x:v>
      </x:c>
      <x:c r="F331" s="21" t="n">
        <x:v>1</x:v>
      </x:c>
      <x:c r="G331" s="23" t="str">
        <x:f>IF(E331=F331,"PASS","FAIL")</x:f>
        <x:v>PASS</x:v>
      </x:c>
    </x:row>
    <x:row r="332">
      <x:c r="B332" s="21" t="str">
        <x:v>A0326</x:v>
      </x:c>
      <x:c r="C332" s="21" t="str">
        <x:v>proposal</x:v>
      </x:c>
      <x:c r="D332" s="21" t="str">
        <x:v>EPS-P01-B twelve gates</x:v>
      </x:c>
      <x:c r="E332" s="21" t="n">
        <x:f>COUNTIF('Paper Gates'!C7:C402,"EPS-P01-B")</x:f>
        <x:v>12</x:v>
      </x:c>
      <x:c r="F332" s="21" t="n">
        <x:v>12</x:v>
      </x:c>
      <x:c r="G332" s="23" t="str">
        <x:f>IF(E332=F332,"PASS","FAIL")</x:f>
        <x:v>PASS</x:v>
      </x:c>
    </x:row>
    <x:row r="333">
      <x:c r="B333" s="21" t="str">
        <x:v>A0327</x:v>
      </x:c>
      <x:c r="C333" s="21" t="str">
        <x:v>proposal</x:v>
      </x:c>
      <x:c r="D333" s="21" t="str">
        <x:v>EPS-P01-B required hard passes</x:v>
      </x:c>
      <x:c r="E333" s="21" t="n">
        <x:f>'Award Portfolio'!G29</x:f>
        <x:v>12</x:v>
      </x:c>
      <x:c r="F333" s="21" t="n">
        <x:v>12</x:v>
      </x:c>
      <x:c r="G333" s="23" t="str">
        <x:f>IF(E333=F333,"PASS","FAIL")</x:f>
        <x:v>PASS</x:v>
      </x:c>
    </x:row>
    <x:row r="334">
      <x:c r="B334" s="21" t="str">
        <x:v>A0328</x:v>
      </x:c>
      <x:c r="C334" s="21" t="str">
        <x:v>proposal</x:v>
      </x:c>
      <x:c r="D334" s="21" t="str">
        <x:v>EPS-P01-B six merit dimensions</x:v>
      </x:c>
      <x:c r="E334" s="21" t="n">
        <x:f>COUNTIF('Merit Review'!C7:C204,"EPS-P01-B")</x:f>
        <x:v>6</x:v>
      </x:c>
      <x:c r="F334" s="21" t="n">
        <x:v>6</x:v>
      </x:c>
      <x:c r="G334" s="23" t="str">
        <x:f>IF(E334=F334,"PASS","FAIL")</x:f>
        <x:v>PASS</x:v>
      </x:c>
    </x:row>
    <x:row r="335">
      <x:c r="B335" s="21" t="str">
        <x:v>A0329</x:v>
      </x:c>
      <x:c r="C335" s="21" t="str">
        <x:v>proposal</x:v>
      </x:c>
      <x:c r="D335" s="21" t="str">
        <x:v>EPS-P01-B merit weights sum one</x:v>
      </x:c>
      <x:c r="E335" s="21" t="n">
        <x:f>SUMIF('Merit Review'!C7:C204,"EPS-P01-B",'Merit Review'!G7:G204)</x:f>
        <x:v>1</x:v>
      </x:c>
      <x:c r="F335" s="21" t="n">
        <x:v>1</x:v>
      </x:c>
      <x:c r="G335" s="23" t="str">
        <x:f>IF(E335=F335,"PASS","FAIL")</x:f>
        <x:v>PASS</x:v>
      </x:c>
    </x:row>
    <x:row r="336">
      <x:c r="B336" s="21" t="str">
        <x:v>A0330</x:v>
      </x:c>
      <x:c r="C336" s="21" t="str">
        <x:v>proposal</x:v>
      </x:c>
      <x:c r="D336" s="21" t="str">
        <x:v>EPS-P01-B eight rights</x:v>
      </x:c>
      <x:c r="E336" s="21" t="n">
        <x:f>COUNTIF('Rights Register'!C7:C270,"EPS-P01-B")</x:f>
        <x:v>8</x:v>
      </x:c>
      <x:c r="F336" s="21" t="n">
        <x:v>8</x:v>
      </x:c>
      <x:c r="G336" s="23" t="str">
        <x:f>IF(E336=F336,"PASS","FAIL")</x:f>
        <x:v>PASS</x:v>
      </x:c>
    </x:row>
    <x:row r="337">
      <x:c r="B337" s="21" t="str">
        <x:v>A0331</x:v>
      </x:c>
      <x:c r="C337" s="21" t="str">
        <x:v>proposal</x:v>
      </x:c>
      <x:c r="D337" s="21" t="str">
        <x:v>EPS-P01-B all rights offered</x:v>
      </x:c>
      <x:c r="E337" s="21" t="n">
        <x:f>SUMIF('Rights Register'!C7:C270,"EPS-P01-B",'Rights Register'!H7:H270)</x:f>
        <x:v>8</x:v>
      </x:c>
      <x:c r="F337" s="21" t="n">
        <x:v>8</x:v>
      </x:c>
      <x:c r="G337" s="23" t="str">
        <x:f>IF(E337=F337,"PASS","FAIL")</x:f>
        <x:v>PASS</x:v>
      </x:c>
    </x:row>
    <x:row r="338">
      <x:c r="B338" s="21" t="str">
        <x:v>A0332</x:v>
      </x:c>
      <x:c r="C338" s="21" t="str">
        <x:v>proposal</x:v>
      </x:c>
      <x:c r="D338" s="21" t="str">
        <x:v>EPS-P01-B evidence open</x:v>
      </x:c>
      <x:c r="E338" s="21" t="n">
        <x:f>IF('Award Portfolio'!L29="OPEN",1,0)</x:f>
        <x:v>1</x:v>
      </x:c>
      <x:c r="F338" s="21" t="n">
        <x:v>1</x:v>
      </x:c>
      <x:c r="G338" s="23" t="str">
        <x:f>IF(E338=F338,"PASS","FAIL")</x:f>
        <x:v>PASS</x:v>
      </x:c>
    </x:row>
    <x:row r="339">
      <x:c r="B339" s="21" t="str">
        <x:v>A0333</x:v>
      </x:c>
      <x:c r="C339" s="21" t="str">
        <x:v>proposal</x:v>
      </x:c>
      <x:c r="D339" s="21" t="str">
        <x:v>EPS-P01-B build authority held</x:v>
      </x:c>
      <x:c r="E339" s="21" t="n">
        <x:f>IF('Award Portfolio'!K29="HOLD",1,0)</x:f>
        <x:v>1</x:v>
      </x:c>
      <x:c r="F339" s="21" t="n">
        <x:v>1</x:v>
      </x:c>
      <x:c r="G339" s="23" t="str">
        <x:f>IF(E339=F339,"PASS","FAIL")</x:f>
        <x:v>PASS</x:v>
      </x:c>
    </x:row>
    <x:row r="340">
      <x:c r="B340" s="21" t="str">
        <x:v>A0334</x:v>
      </x:c>
      <x:c r="C340" s="21" t="str">
        <x:v>proposal</x:v>
      </x:c>
      <x:c r="D340" s="21" t="str">
        <x:v>EPS-P01-C twelve gates</x:v>
      </x:c>
      <x:c r="E340" s="21" t="n">
        <x:f>COUNTIF('Paper Gates'!C7:C402,"EPS-P01-C")</x:f>
        <x:v>12</x:v>
      </x:c>
      <x:c r="F340" s="21" t="n">
        <x:v>12</x:v>
      </x:c>
      <x:c r="G340" s="23" t="str">
        <x:f>IF(E340=F340,"PASS","FAIL")</x:f>
        <x:v>PASS</x:v>
      </x:c>
    </x:row>
    <x:row r="341">
      <x:c r="B341" s="21" t="str">
        <x:v>A0335</x:v>
      </x:c>
      <x:c r="C341" s="21" t="str">
        <x:v>proposal</x:v>
      </x:c>
      <x:c r="D341" s="21" t="str">
        <x:v>EPS-P01-C required hard passes</x:v>
      </x:c>
      <x:c r="E341" s="21" t="n">
        <x:f>'Award Portfolio'!G30</x:f>
        <x:v>11</x:v>
      </x:c>
      <x:c r="F341" s="21" t="n">
        <x:v>11</x:v>
      </x:c>
      <x:c r="G341" s="23" t="str">
        <x:f>IF(E341=F341,"PASS","FAIL")</x:f>
        <x:v>PASS</x:v>
      </x:c>
    </x:row>
    <x:row r="342">
      <x:c r="B342" s="21" t="str">
        <x:v>A0336</x:v>
      </x:c>
      <x:c r="C342" s="21" t="str">
        <x:v>proposal</x:v>
      </x:c>
      <x:c r="D342" s="21" t="str">
        <x:v>EPS-P01-C six merit dimensions</x:v>
      </x:c>
      <x:c r="E342" s="21" t="n">
        <x:f>COUNTIF('Merit Review'!C7:C204,"EPS-P01-C")</x:f>
        <x:v>6</x:v>
      </x:c>
      <x:c r="F342" s="21" t="n">
        <x:v>6</x:v>
      </x:c>
      <x:c r="G342" s="23" t="str">
        <x:f>IF(E342=F342,"PASS","FAIL")</x:f>
        <x:v>PASS</x:v>
      </x:c>
    </x:row>
    <x:row r="343">
      <x:c r="B343" s="21" t="str">
        <x:v>A0337</x:v>
      </x:c>
      <x:c r="C343" s="21" t="str">
        <x:v>proposal</x:v>
      </x:c>
      <x:c r="D343" s="21" t="str">
        <x:v>EPS-P01-C merit weights sum one</x:v>
      </x:c>
      <x:c r="E343" s="21" t="n">
        <x:f>SUMIF('Merit Review'!C7:C204,"EPS-P01-C",'Merit Review'!G7:G204)</x:f>
        <x:v>1</x:v>
      </x:c>
      <x:c r="F343" s="21" t="n">
        <x:v>1</x:v>
      </x:c>
      <x:c r="G343" s="23" t="str">
        <x:f>IF(E343=F343,"PASS","FAIL")</x:f>
        <x:v>PASS</x:v>
      </x:c>
    </x:row>
    <x:row r="344">
      <x:c r="B344" s="21" t="str">
        <x:v>A0338</x:v>
      </x:c>
      <x:c r="C344" s="21" t="str">
        <x:v>proposal</x:v>
      </x:c>
      <x:c r="D344" s="21" t="str">
        <x:v>EPS-P01-C eight rights</x:v>
      </x:c>
      <x:c r="E344" s="21" t="n">
        <x:f>COUNTIF('Rights Register'!C7:C270,"EPS-P01-C")</x:f>
        <x:v>8</x:v>
      </x:c>
      <x:c r="F344" s="21" t="n">
        <x:v>8</x:v>
      </x:c>
      <x:c r="G344" s="23" t="str">
        <x:f>IF(E344=F344,"PASS","FAIL")</x:f>
        <x:v>PASS</x:v>
      </x:c>
    </x:row>
    <x:row r="345">
      <x:c r="B345" s="21" t="str">
        <x:v>A0339</x:v>
      </x:c>
      <x:c r="C345" s="21" t="str">
        <x:v>proposal</x:v>
      </x:c>
      <x:c r="D345" s="21" t="str">
        <x:v>EPS-P01-C all rights offered</x:v>
      </x:c>
      <x:c r="E345" s="21" t="n">
        <x:f>SUMIF('Rights Register'!C7:C270,"EPS-P01-C",'Rights Register'!H7:H270)</x:f>
        <x:v>8</x:v>
      </x:c>
      <x:c r="F345" s="21" t="n">
        <x:v>8</x:v>
      </x:c>
      <x:c r="G345" s="23" t="str">
        <x:f>IF(E345=F345,"PASS","FAIL")</x:f>
        <x:v>PASS</x:v>
      </x:c>
    </x:row>
    <x:row r="346">
      <x:c r="B346" s="21" t="str">
        <x:v>A0340</x:v>
      </x:c>
      <x:c r="C346" s="21" t="str">
        <x:v>proposal</x:v>
      </x:c>
      <x:c r="D346" s="21" t="str">
        <x:v>EPS-P01-C evidence open</x:v>
      </x:c>
      <x:c r="E346" s="21" t="n">
        <x:f>IF('Award Portfolio'!L30="OPEN",1,0)</x:f>
        <x:v>1</x:v>
      </x:c>
      <x:c r="F346" s="21" t="n">
        <x:v>1</x:v>
      </x:c>
      <x:c r="G346" s="23" t="str">
        <x:f>IF(E346=F346,"PASS","FAIL")</x:f>
        <x:v>PASS</x:v>
      </x:c>
    </x:row>
    <x:row r="347">
      <x:c r="B347" s="21" t="str">
        <x:v>A0341</x:v>
      </x:c>
      <x:c r="C347" s="21" t="str">
        <x:v>proposal</x:v>
      </x:c>
      <x:c r="D347" s="21" t="str">
        <x:v>EPS-P01-C build authority held</x:v>
      </x:c>
      <x:c r="E347" s="21" t="n">
        <x:f>IF('Award Portfolio'!K30="HOLD",1,0)</x:f>
        <x:v>1</x:v>
      </x:c>
      <x:c r="F347" s="21" t="n">
        <x:v>1</x:v>
      </x:c>
      <x:c r="G347" s="23" t="str">
        <x:f>IF(E347=F347,"PASS","FAIL")</x:f>
        <x:v>PASS</x:v>
      </x:c>
    </x:row>
    <x:row r="348">
      <x:c r="B348" s="21" t="str">
        <x:v>A0342</x:v>
      </x:c>
      <x:c r="C348" s="21" t="str">
        <x:v>proposal</x:v>
      </x:c>
      <x:c r="D348" s="21" t="str">
        <x:v>TKS-C01-A twelve gates</x:v>
      </x:c>
      <x:c r="E348" s="21" t="n">
        <x:f>COUNTIF('Paper Gates'!C7:C402,"TKS-C01-A")</x:f>
        <x:v>12</x:v>
      </x:c>
      <x:c r="F348" s="21" t="n">
        <x:v>12</x:v>
      </x:c>
      <x:c r="G348" s="23" t="str">
        <x:f>IF(E348=F348,"PASS","FAIL")</x:f>
        <x:v>PASS</x:v>
      </x:c>
    </x:row>
    <x:row r="349">
      <x:c r="B349" s="21" t="str">
        <x:v>A0343</x:v>
      </x:c>
      <x:c r="C349" s="21" t="str">
        <x:v>proposal</x:v>
      </x:c>
      <x:c r="D349" s="21" t="str">
        <x:v>TKS-C01-A required hard passes</x:v>
      </x:c>
      <x:c r="E349" s="21" t="n">
        <x:f>'Award Portfolio'!G31</x:f>
        <x:v>12</x:v>
      </x:c>
      <x:c r="F349" s="21" t="n">
        <x:v>12</x:v>
      </x:c>
      <x:c r="G349" s="23" t="str">
        <x:f>IF(E349=F349,"PASS","FAIL")</x:f>
        <x:v>PASS</x:v>
      </x:c>
    </x:row>
    <x:row r="350">
      <x:c r="B350" s="21" t="str">
        <x:v>A0344</x:v>
      </x:c>
      <x:c r="C350" s="21" t="str">
        <x:v>proposal</x:v>
      </x:c>
      <x:c r="D350" s="21" t="str">
        <x:v>TKS-C01-A six merit dimensions</x:v>
      </x:c>
      <x:c r="E350" s="21" t="n">
        <x:f>COUNTIF('Merit Review'!C7:C204,"TKS-C01-A")</x:f>
        <x:v>6</x:v>
      </x:c>
      <x:c r="F350" s="21" t="n">
        <x:v>6</x:v>
      </x:c>
      <x:c r="G350" s="23" t="str">
        <x:f>IF(E350=F350,"PASS","FAIL")</x:f>
        <x:v>PASS</x:v>
      </x:c>
    </x:row>
    <x:row r="351">
      <x:c r="B351" s="21" t="str">
        <x:v>A0345</x:v>
      </x:c>
      <x:c r="C351" s="21" t="str">
        <x:v>proposal</x:v>
      </x:c>
      <x:c r="D351" s="21" t="str">
        <x:v>TKS-C01-A merit weights sum one</x:v>
      </x:c>
      <x:c r="E351" s="21" t="n">
        <x:f>SUMIF('Merit Review'!C7:C204,"TKS-C01-A",'Merit Review'!G7:G204)</x:f>
        <x:v>1</x:v>
      </x:c>
      <x:c r="F351" s="21" t="n">
        <x:v>1</x:v>
      </x:c>
      <x:c r="G351" s="23" t="str">
        <x:f>IF(E351=F351,"PASS","FAIL")</x:f>
        <x:v>PASS</x:v>
      </x:c>
    </x:row>
    <x:row r="352">
      <x:c r="B352" s="21" t="str">
        <x:v>A0346</x:v>
      </x:c>
      <x:c r="C352" s="21" t="str">
        <x:v>proposal</x:v>
      </x:c>
      <x:c r="D352" s="21" t="str">
        <x:v>TKS-C01-A eight rights</x:v>
      </x:c>
      <x:c r="E352" s="21" t="n">
        <x:f>COUNTIF('Rights Register'!C7:C270,"TKS-C01-A")</x:f>
        <x:v>8</x:v>
      </x:c>
      <x:c r="F352" s="21" t="n">
        <x:v>8</x:v>
      </x:c>
      <x:c r="G352" s="23" t="str">
        <x:f>IF(E352=F352,"PASS","FAIL")</x:f>
        <x:v>PASS</x:v>
      </x:c>
    </x:row>
    <x:row r="353">
      <x:c r="B353" s="21" t="str">
        <x:v>A0347</x:v>
      </x:c>
      <x:c r="C353" s="21" t="str">
        <x:v>proposal</x:v>
      </x:c>
      <x:c r="D353" s="21" t="str">
        <x:v>TKS-C01-A all rights offered</x:v>
      </x:c>
      <x:c r="E353" s="21" t="n">
        <x:f>SUMIF('Rights Register'!C7:C270,"TKS-C01-A",'Rights Register'!H7:H270)</x:f>
        <x:v>8</x:v>
      </x:c>
      <x:c r="F353" s="21" t="n">
        <x:v>8</x:v>
      </x:c>
      <x:c r="G353" s="23" t="str">
        <x:f>IF(E353=F353,"PASS","FAIL")</x:f>
        <x:v>PASS</x:v>
      </x:c>
    </x:row>
    <x:row r="354">
      <x:c r="B354" s="21" t="str">
        <x:v>A0348</x:v>
      </x:c>
      <x:c r="C354" s="21" t="str">
        <x:v>proposal</x:v>
      </x:c>
      <x:c r="D354" s="21" t="str">
        <x:v>TKS-C01-A evidence open</x:v>
      </x:c>
      <x:c r="E354" s="21" t="n">
        <x:f>IF('Award Portfolio'!L31="OPEN",1,0)</x:f>
        <x:v>1</x:v>
      </x:c>
      <x:c r="F354" s="21" t="n">
        <x:v>1</x:v>
      </x:c>
      <x:c r="G354" s="23" t="str">
        <x:f>IF(E354=F354,"PASS","FAIL")</x:f>
        <x:v>PASS</x:v>
      </x:c>
    </x:row>
    <x:row r="355">
      <x:c r="B355" s="21" t="str">
        <x:v>A0349</x:v>
      </x:c>
      <x:c r="C355" s="21" t="str">
        <x:v>proposal</x:v>
      </x:c>
      <x:c r="D355" s="21" t="str">
        <x:v>TKS-C01-A build authority held</x:v>
      </x:c>
      <x:c r="E355" s="21" t="n">
        <x:f>IF('Award Portfolio'!K31="HOLD",1,0)</x:f>
        <x:v>1</x:v>
      </x:c>
      <x:c r="F355" s="21" t="n">
        <x:v>1</x:v>
      </x:c>
      <x:c r="G355" s="23" t="str">
        <x:f>IF(E355=F355,"PASS","FAIL")</x:f>
        <x:v>PASS</x:v>
      </x:c>
    </x:row>
    <x:row r="356">
      <x:c r="B356" s="21" t="str">
        <x:v>A0350</x:v>
      </x:c>
      <x:c r="C356" s="21" t="str">
        <x:v>proposal</x:v>
      </x:c>
      <x:c r="D356" s="21" t="str">
        <x:v>TKS-C01-B twelve gates</x:v>
      </x:c>
      <x:c r="E356" s="21" t="n">
        <x:f>COUNTIF('Paper Gates'!C7:C402,"TKS-C01-B")</x:f>
        <x:v>12</x:v>
      </x:c>
      <x:c r="F356" s="21" t="n">
        <x:v>12</x:v>
      </x:c>
      <x:c r="G356" s="23" t="str">
        <x:f>IF(E356=F356,"PASS","FAIL")</x:f>
        <x:v>PASS</x:v>
      </x:c>
    </x:row>
    <x:row r="357">
      <x:c r="B357" s="21" t="str">
        <x:v>A0351</x:v>
      </x:c>
      <x:c r="C357" s="21" t="str">
        <x:v>proposal</x:v>
      </x:c>
      <x:c r="D357" s="21" t="str">
        <x:v>TKS-C01-B required hard passes</x:v>
      </x:c>
      <x:c r="E357" s="21" t="n">
        <x:f>'Award Portfolio'!G32</x:f>
        <x:v>12</x:v>
      </x:c>
      <x:c r="F357" s="21" t="n">
        <x:v>12</x:v>
      </x:c>
      <x:c r="G357" s="23" t="str">
        <x:f>IF(E357=F357,"PASS","FAIL")</x:f>
        <x:v>PASS</x:v>
      </x:c>
    </x:row>
    <x:row r="358">
      <x:c r="B358" s="21" t="str">
        <x:v>A0352</x:v>
      </x:c>
      <x:c r="C358" s="21" t="str">
        <x:v>proposal</x:v>
      </x:c>
      <x:c r="D358" s="21" t="str">
        <x:v>TKS-C01-B six merit dimensions</x:v>
      </x:c>
      <x:c r="E358" s="21" t="n">
        <x:f>COUNTIF('Merit Review'!C7:C204,"TKS-C01-B")</x:f>
        <x:v>6</x:v>
      </x:c>
      <x:c r="F358" s="21" t="n">
        <x:v>6</x:v>
      </x:c>
      <x:c r="G358" s="23" t="str">
        <x:f>IF(E358=F358,"PASS","FAIL")</x:f>
        <x:v>PASS</x:v>
      </x:c>
    </x:row>
    <x:row r="359">
      <x:c r="B359" s="21" t="str">
        <x:v>A0353</x:v>
      </x:c>
      <x:c r="C359" s="21" t="str">
        <x:v>proposal</x:v>
      </x:c>
      <x:c r="D359" s="21" t="str">
        <x:v>TKS-C01-B merit weights sum one</x:v>
      </x:c>
      <x:c r="E359" s="21" t="n">
        <x:f>SUMIF('Merit Review'!C7:C204,"TKS-C01-B",'Merit Review'!G7:G204)</x:f>
        <x:v>1</x:v>
      </x:c>
      <x:c r="F359" s="21" t="n">
        <x:v>1</x:v>
      </x:c>
      <x:c r="G359" s="23" t="str">
        <x:f>IF(E359=F359,"PASS","FAIL")</x:f>
        <x:v>PASS</x:v>
      </x:c>
    </x:row>
    <x:row r="360">
      <x:c r="B360" s="21" t="str">
        <x:v>A0354</x:v>
      </x:c>
      <x:c r="C360" s="21" t="str">
        <x:v>proposal</x:v>
      </x:c>
      <x:c r="D360" s="21" t="str">
        <x:v>TKS-C01-B eight rights</x:v>
      </x:c>
      <x:c r="E360" s="21" t="n">
        <x:f>COUNTIF('Rights Register'!C7:C270,"TKS-C01-B")</x:f>
        <x:v>8</x:v>
      </x:c>
      <x:c r="F360" s="21" t="n">
        <x:v>8</x:v>
      </x:c>
      <x:c r="G360" s="23" t="str">
        <x:f>IF(E360=F360,"PASS","FAIL")</x:f>
        <x:v>PASS</x:v>
      </x:c>
    </x:row>
    <x:row r="361">
      <x:c r="B361" s="21" t="str">
        <x:v>A0355</x:v>
      </x:c>
      <x:c r="C361" s="21" t="str">
        <x:v>proposal</x:v>
      </x:c>
      <x:c r="D361" s="21" t="str">
        <x:v>TKS-C01-B all rights offered</x:v>
      </x:c>
      <x:c r="E361" s="21" t="n">
        <x:f>SUMIF('Rights Register'!C7:C270,"TKS-C01-B",'Rights Register'!H7:H270)</x:f>
        <x:v>8</x:v>
      </x:c>
      <x:c r="F361" s="21" t="n">
        <x:v>8</x:v>
      </x:c>
      <x:c r="G361" s="23" t="str">
        <x:f>IF(E361=F361,"PASS","FAIL")</x:f>
        <x:v>PASS</x:v>
      </x:c>
    </x:row>
    <x:row r="362">
      <x:c r="B362" s="21" t="str">
        <x:v>A0356</x:v>
      </x:c>
      <x:c r="C362" s="21" t="str">
        <x:v>proposal</x:v>
      </x:c>
      <x:c r="D362" s="21" t="str">
        <x:v>TKS-C01-B evidence open</x:v>
      </x:c>
      <x:c r="E362" s="21" t="n">
        <x:f>IF('Award Portfolio'!L32="OPEN",1,0)</x:f>
        <x:v>1</x:v>
      </x:c>
      <x:c r="F362" s="21" t="n">
        <x:v>1</x:v>
      </x:c>
      <x:c r="G362" s="23" t="str">
        <x:f>IF(E362=F362,"PASS","FAIL")</x:f>
        <x:v>PASS</x:v>
      </x:c>
    </x:row>
    <x:row r="363">
      <x:c r="B363" s="21" t="str">
        <x:v>A0357</x:v>
      </x:c>
      <x:c r="C363" s="21" t="str">
        <x:v>proposal</x:v>
      </x:c>
      <x:c r="D363" s="21" t="str">
        <x:v>TKS-C01-B build authority held</x:v>
      </x:c>
      <x:c r="E363" s="21" t="n">
        <x:f>IF('Award Portfolio'!K32="HOLD",1,0)</x:f>
        <x:v>1</x:v>
      </x:c>
      <x:c r="F363" s="21" t="n">
        <x:v>1</x:v>
      </x:c>
      <x:c r="G363" s="23" t="str">
        <x:f>IF(E363=F363,"PASS","FAIL")</x:f>
        <x:v>PASS</x:v>
      </x:c>
    </x:row>
    <x:row r="364">
      <x:c r="B364" s="21" t="str">
        <x:v>A0358</x:v>
      </x:c>
      <x:c r="C364" s="21" t="str">
        <x:v>proposal</x:v>
      </x:c>
      <x:c r="D364" s="21" t="str">
        <x:v>TKS-C01-C twelve gates</x:v>
      </x:c>
      <x:c r="E364" s="21" t="n">
        <x:f>COUNTIF('Paper Gates'!C7:C402,"TKS-C01-C")</x:f>
        <x:v>12</x:v>
      </x:c>
      <x:c r="F364" s="21" t="n">
        <x:v>12</x:v>
      </x:c>
      <x:c r="G364" s="23" t="str">
        <x:f>IF(E364=F364,"PASS","FAIL")</x:f>
        <x:v>PASS</x:v>
      </x:c>
    </x:row>
    <x:row r="365">
      <x:c r="B365" s="21" t="str">
        <x:v>A0359</x:v>
      </x:c>
      <x:c r="C365" s="21" t="str">
        <x:v>proposal</x:v>
      </x:c>
      <x:c r="D365" s="21" t="str">
        <x:v>TKS-C01-C required hard passes</x:v>
      </x:c>
      <x:c r="E365" s="21" t="n">
        <x:f>'Award Portfolio'!G33</x:f>
        <x:v>11</x:v>
      </x:c>
      <x:c r="F365" s="21" t="n">
        <x:v>11</x:v>
      </x:c>
      <x:c r="G365" s="23" t="str">
        <x:f>IF(E365=F365,"PASS","FAIL")</x:f>
        <x:v>PASS</x:v>
      </x:c>
    </x:row>
    <x:row r="366">
      <x:c r="B366" s="21" t="str">
        <x:v>A0360</x:v>
      </x:c>
      <x:c r="C366" s="21" t="str">
        <x:v>proposal</x:v>
      </x:c>
      <x:c r="D366" s="21" t="str">
        <x:v>TKS-C01-C six merit dimensions</x:v>
      </x:c>
      <x:c r="E366" s="21" t="n">
        <x:f>COUNTIF('Merit Review'!C7:C204,"TKS-C01-C")</x:f>
        <x:v>6</x:v>
      </x:c>
      <x:c r="F366" s="21" t="n">
        <x:v>6</x:v>
      </x:c>
      <x:c r="G366" s="23" t="str">
        <x:f>IF(E366=F366,"PASS","FAIL")</x:f>
        <x:v>PASS</x:v>
      </x:c>
    </x:row>
    <x:row r="367">
      <x:c r="B367" s="21" t="str">
        <x:v>A0361</x:v>
      </x:c>
      <x:c r="C367" s="21" t="str">
        <x:v>proposal</x:v>
      </x:c>
      <x:c r="D367" s="21" t="str">
        <x:v>TKS-C01-C merit weights sum one</x:v>
      </x:c>
      <x:c r="E367" s="21" t="n">
        <x:f>SUMIF('Merit Review'!C7:C204,"TKS-C01-C",'Merit Review'!G7:G204)</x:f>
        <x:v>1</x:v>
      </x:c>
      <x:c r="F367" s="21" t="n">
        <x:v>1</x:v>
      </x:c>
      <x:c r="G367" s="23" t="str">
        <x:f>IF(E367=F367,"PASS","FAIL")</x:f>
        <x:v>PASS</x:v>
      </x:c>
    </x:row>
    <x:row r="368">
      <x:c r="B368" s="21" t="str">
        <x:v>A0362</x:v>
      </x:c>
      <x:c r="C368" s="21" t="str">
        <x:v>proposal</x:v>
      </x:c>
      <x:c r="D368" s="21" t="str">
        <x:v>TKS-C01-C eight rights</x:v>
      </x:c>
      <x:c r="E368" s="21" t="n">
        <x:f>COUNTIF('Rights Register'!C7:C270,"TKS-C01-C")</x:f>
        <x:v>8</x:v>
      </x:c>
      <x:c r="F368" s="21" t="n">
        <x:v>8</x:v>
      </x:c>
      <x:c r="G368" s="23" t="str">
        <x:f>IF(E368=F368,"PASS","FAIL")</x:f>
        <x:v>PASS</x:v>
      </x:c>
    </x:row>
    <x:row r="369">
      <x:c r="B369" s="21" t="str">
        <x:v>A0363</x:v>
      </x:c>
      <x:c r="C369" s="21" t="str">
        <x:v>proposal</x:v>
      </x:c>
      <x:c r="D369" s="21" t="str">
        <x:v>TKS-C01-C all rights offered</x:v>
      </x:c>
      <x:c r="E369" s="21" t="n">
        <x:f>SUMIF('Rights Register'!C7:C270,"TKS-C01-C",'Rights Register'!H7:H270)</x:f>
        <x:v>8</x:v>
      </x:c>
      <x:c r="F369" s="21" t="n">
        <x:v>8</x:v>
      </x:c>
      <x:c r="G369" s="23" t="str">
        <x:f>IF(E369=F369,"PASS","FAIL")</x:f>
        <x:v>PASS</x:v>
      </x:c>
    </x:row>
    <x:row r="370">
      <x:c r="B370" s="21" t="str">
        <x:v>A0364</x:v>
      </x:c>
      <x:c r="C370" s="21" t="str">
        <x:v>proposal</x:v>
      </x:c>
      <x:c r="D370" s="21" t="str">
        <x:v>TKS-C01-C evidence open</x:v>
      </x:c>
      <x:c r="E370" s="21" t="n">
        <x:f>IF('Award Portfolio'!L33="OPEN",1,0)</x:f>
        <x:v>1</x:v>
      </x:c>
      <x:c r="F370" s="21" t="n">
        <x:v>1</x:v>
      </x:c>
      <x:c r="G370" s="23" t="str">
        <x:f>IF(E370=F370,"PASS","FAIL")</x:f>
        <x:v>PASS</x:v>
      </x:c>
    </x:row>
    <x:row r="371">
      <x:c r="B371" s="21" t="str">
        <x:v>A0365</x:v>
      </x:c>
      <x:c r="C371" s="21" t="str">
        <x:v>proposal</x:v>
      </x:c>
      <x:c r="D371" s="21" t="str">
        <x:v>TKS-C01-C build authority held</x:v>
      </x:c>
      <x:c r="E371" s="21" t="n">
        <x:f>IF('Award Portfolio'!K33="HOLD",1,0)</x:f>
        <x:v>1</x:v>
      </x:c>
      <x:c r="F371" s="21" t="n">
        <x:v>1</x:v>
      </x:c>
      <x:c r="G371" s="23" t="str">
        <x:f>IF(E371=F371,"PASS","FAIL")</x:f>
        <x:v>PASS</x:v>
      </x:c>
    </x:row>
    <x:row r="372">
      <x:c r="B372" s="21" t="str">
        <x:v>A0366</x:v>
      </x:c>
      <x:c r="C372" s="21" t="str">
        <x:v>proposal</x:v>
      </x:c>
      <x:c r="D372" s="21" t="str">
        <x:v>STG-S01-A twelve gates</x:v>
      </x:c>
      <x:c r="E372" s="21" t="n">
        <x:f>COUNTIF('Paper Gates'!C7:C402,"STG-S01-A")</x:f>
        <x:v>12</x:v>
      </x:c>
      <x:c r="F372" s="21" t="n">
        <x:v>12</x:v>
      </x:c>
      <x:c r="G372" s="23" t="str">
        <x:f>IF(E372=F372,"PASS","FAIL")</x:f>
        <x:v>PASS</x:v>
      </x:c>
    </x:row>
    <x:row r="373">
      <x:c r="B373" s="21" t="str">
        <x:v>A0367</x:v>
      </x:c>
      <x:c r="C373" s="21" t="str">
        <x:v>proposal</x:v>
      </x:c>
      <x:c r="D373" s="21" t="str">
        <x:v>STG-S01-A required hard passes</x:v>
      </x:c>
      <x:c r="E373" s="21" t="n">
        <x:f>'Award Portfolio'!G34</x:f>
        <x:v>12</x:v>
      </x:c>
      <x:c r="F373" s="21" t="n">
        <x:v>12</x:v>
      </x:c>
      <x:c r="G373" s="23" t="str">
        <x:f>IF(E373=F373,"PASS","FAIL")</x:f>
        <x:v>PASS</x:v>
      </x:c>
    </x:row>
    <x:row r="374">
      <x:c r="B374" s="21" t="str">
        <x:v>A0368</x:v>
      </x:c>
      <x:c r="C374" s="21" t="str">
        <x:v>proposal</x:v>
      </x:c>
      <x:c r="D374" s="21" t="str">
        <x:v>STG-S01-A six merit dimensions</x:v>
      </x:c>
      <x:c r="E374" s="21" t="n">
        <x:f>COUNTIF('Merit Review'!C7:C204,"STG-S01-A")</x:f>
        <x:v>6</x:v>
      </x:c>
      <x:c r="F374" s="21" t="n">
        <x:v>6</x:v>
      </x:c>
      <x:c r="G374" s="23" t="str">
        <x:f>IF(E374=F374,"PASS","FAIL")</x:f>
        <x:v>PASS</x:v>
      </x:c>
    </x:row>
    <x:row r="375">
      <x:c r="B375" s="21" t="str">
        <x:v>A0369</x:v>
      </x:c>
      <x:c r="C375" s="21" t="str">
        <x:v>proposal</x:v>
      </x:c>
      <x:c r="D375" s="21" t="str">
        <x:v>STG-S01-A merit weights sum one</x:v>
      </x:c>
      <x:c r="E375" s="21" t="n">
        <x:f>SUMIF('Merit Review'!C7:C204,"STG-S01-A",'Merit Review'!G7:G204)</x:f>
        <x:v>1</x:v>
      </x:c>
      <x:c r="F375" s="21" t="n">
        <x:v>1</x:v>
      </x:c>
      <x:c r="G375" s="23" t="str">
        <x:f>IF(E375=F375,"PASS","FAIL")</x:f>
        <x:v>PASS</x:v>
      </x:c>
    </x:row>
    <x:row r="376">
      <x:c r="B376" s="21" t="str">
        <x:v>A0370</x:v>
      </x:c>
      <x:c r="C376" s="21" t="str">
        <x:v>proposal</x:v>
      </x:c>
      <x:c r="D376" s="21" t="str">
        <x:v>STG-S01-A eight rights</x:v>
      </x:c>
      <x:c r="E376" s="21" t="n">
        <x:f>COUNTIF('Rights Register'!C7:C270,"STG-S01-A")</x:f>
        <x:v>8</x:v>
      </x:c>
      <x:c r="F376" s="21" t="n">
        <x:v>8</x:v>
      </x:c>
      <x:c r="G376" s="23" t="str">
        <x:f>IF(E376=F376,"PASS","FAIL")</x:f>
        <x:v>PASS</x:v>
      </x:c>
    </x:row>
    <x:row r="377">
      <x:c r="B377" s="21" t="str">
        <x:v>A0371</x:v>
      </x:c>
      <x:c r="C377" s="21" t="str">
        <x:v>proposal</x:v>
      </x:c>
      <x:c r="D377" s="21" t="str">
        <x:v>STG-S01-A all rights offered</x:v>
      </x:c>
      <x:c r="E377" s="21" t="n">
        <x:f>SUMIF('Rights Register'!C7:C270,"STG-S01-A",'Rights Register'!H7:H270)</x:f>
        <x:v>8</x:v>
      </x:c>
      <x:c r="F377" s="21" t="n">
        <x:v>8</x:v>
      </x:c>
      <x:c r="G377" s="23" t="str">
        <x:f>IF(E377=F377,"PASS","FAIL")</x:f>
        <x:v>PASS</x:v>
      </x:c>
    </x:row>
    <x:row r="378">
      <x:c r="B378" s="21" t="str">
        <x:v>A0372</x:v>
      </x:c>
      <x:c r="C378" s="21" t="str">
        <x:v>proposal</x:v>
      </x:c>
      <x:c r="D378" s="21" t="str">
        <x:v>STG-S01-A evidence open</x:v>
      </x:c>
      <x:c r="E378" s="21" t="n">
        <x:f>IF('Award Portfolio'!L34="OPEN",1,0)</x:f>
        <x:v>1</x:v>
      </x:c>
      <x:c r="F378" s="21" t="n">
        <x:v>1</x:v>
      </x:c>
      <x:c r="G378" s="23" t="str">
        <x:f>IF(E378=F378,"PASS","FAIL")</x:f>
        <x:v>PASS</x:v>
      </x:c>
    </x:row>
    <x:row r="379">
      <x:c r="B379" s="21" t="str">
        <x:v>A0373</x:v>
      </x:c>
      <x:c r="C379" s="21" t="str">
        <x:v>proposal</x:v>
      </x:c>
      <x:c r="D379" s="21" t="str">
        <x:v>STG-S01-A build authority held</x:v>
      </x:c>
      <x:c r="E379" s="21" t="n">
        <x:f>IF('Award Portfolio'!K34="HOLD",1,0)</x:f>
        <x:v>1</x:v>
      </x:c>
      <x:c r="F379" s="21" t="n">
        <x:v>1</x:v>
      </x:c>
      <x:c r="G379" s="23" t="str">
        <x:f>IF(E379=F379,"PASS","FAIL")</x:f>
        <x:v>PASS</x:v>
      </x:c>
    </x:row>
    <x:row r="380">
      <x:c r="B380" s="21" t="str">
        <x:v>A0374</x:v>
      </x:c>
      <x:c r="C380" s="21" t="str">
        <x:v>proposal</x:v>
      </x:c>
      <x:c r="D380" s="21" t="str">
        <x:v>STG-S01-B twelve gates</x:v>
      </x:c>
      <x:c r="E380" s="21" t="n">
        <x:f>COUNTIF('Paper Gates'!C7:C402,"STG-S01-B")</x:f>
        <x:v>12</x:v>
      </x:c>
      <x:c r="F380" s="21" t="n">
        <x:v>12</x:v>
      </x:c>
      <x:c r="G380" s="23" t="str">
        <x:f>IF(E380=F380,"PASS","FAIL")</x:f>
        <x:v>PASS</x:v>
      </x:c>
    </x:row>
    <x:row r="381">
      <x:c r="B381" s="21" t="str">
        <x:v>A0375</x:v>
      </x:c>
      <x:c r="C381" s="21" t="str">
        <x:v>proposal</x:v>
      </x:c>
      <x:c r="D381" s="21" t="str">
        <x:v>STG-S01-B required hard passes</x:v>
      </x:c>
      <x:c r="E381" s="21" t="n">
        <x:f>'Award Portfolio'!G35</x:f>
        <x:v>12</x:v>
      </x:c>
      <x:c r="F381" s="21" t="n">
        <x:v>12</x:v>
      </x:c>
      <x:c r="G381" s="23" t="str">
        <x:f>IF(E381=F381,"PASS","FAIL")</x:f>
        <x:v>PASS</x:v>
      </x:c>
    </x:row>
    <x:row r="382">
      <x:c r="B382" s="21" t="str">
        <x:v>A0376</x:v>
      </x:c>
      <x:c r="C382" s="21" t="str">
        <x:v>proposal</x:v>
      </x:c>
      <x:c r="D382" s="21" t="str">
        <x:v>STG-S01-B six merit dimensions</x:v>
      </x:c>
      <x:c r="E382" s="21" t="n">
        <x:f>COUNTIF('Merit Review'!C7:C204,"STG-S01-B")</x:f>
        <x:v>6</x:v>
      </x:c>
      <x:c r="F382" s="21" t="n">
        <x:v>6</x:v>
      </x:c>
      <x:c r="G382" s="23" t="str">
        <x:f>IF(E382=F382,"PASS","FAIL")</x:f>
        <x:v>PASS</x:v>
      </x:c>
    </x:row>
    <x:row r="383">
      <x:c r="B383" s="21" t="str">
        <x:v>A0377</x:v>
      </x:c>
      <x:c r="C383" s="21" t="str">
        <x:v>proposal</x:v>
      </x:c>
      <x:c r="D383" s="21" t="str">
        <x:v>STG-S01-B merit weights sum one</x:v>
      </x:c>
      <x:c r="E383" s="21" t="n">
        <x:f>SUMIF('Merit Review'!C7:C204,"STG-S01-B",'Merit Review'!G7:G204)</x:f>
        <x:v>1</x:v>
      </x:c>
      <x:c r="F383" s="21" t="n">
        <x:v>1</x:v>
      </x:c>
      <x:c r="G383" s="23" t="str">
        <x:f>IF(E383=F383,"PASS","FAIL")</x:f>
        <x:v>PASS</x:v>
      </x:c>
    </x:row>
    <x:row r="384">
      <x:c r="B384" s="21" t="str">
        <x:v>A0378</x:v>
      </x:c>
      <x:c r="C384" s="21" t="str">
        <x:v>proposal</x:v>
      </x:c>
      <x:c r="D384" s="21" t="str">
        <x:v>STG-S01-B eight rights</x:v>
      </x:c>
      <x:c r="E384" s="21" t="n">
        <x:f>COUNTIF('Rights Register'!C7:C270,"STG-S01-B")</x:f>
        <x:v>8</x:v>
      </x:c>
      <x:c r="F384" s="21" t="n">
        <x:v>8</x:v>
      </x:c>
      <x:c r="G384" s="23" t="str">
        <x:f>IF(E384=F384,"PASS","FAIL")</x:f>
        <x:v>PASS</x:v>
      </x:c>
    </x:row>
    <x:row r="385">
      <x:c r="B385" s="21" t="str">
        <x:v>A0379</x:v>
      </x:c>
      <x:c r="C385" s="21" t="str">
        <x:v>proposal</x:v>
      </x:c>
      <x:c r="D385" s="21" t="str">
        <x:v>STG-S01-B all rights offered</x:v>
      </x:c>
      <x:c r="E385" s="21" t="n">
        <x:f>SUMIF('Rights Register'!C7:C270,"STG-S01-B",'Rights Register'!H7:H270)</x:f>
        <x:v>8</x:v>
      </x:c>
      <x:c r="F385" s="21" t="n">
        <x:v>8</x:v>
      </x:c>
      <x:c r="G385" s="23" t="str">
        <x:f>IF(E385=F385,"PASS","FAIL")</x:f>
        <x:v>PASS</x:v>
      </x:c>
    </x:row>
    <x:row r="386">
      <x:c r="B386" s="21" t="str">
        <x:v>A0380</x:v>
      </x:c>
      <x:c r="C386" s="21" t="str">
        <x:v>proposal</x:v>
      </x:c>
      <x:c r="D386" s="21" t="str">
        <x:v>STG-S01-B evidence open</x:v>
      </x:c>
      <x:c r="E386" s="21" t="n">
        <x:f>IF('Award Portfolio'!L35="OPEN",1,0)</x:f>
        <x:v>1</x:v>
      </x:c>
      <x:c r="F386" s="21" t="n">
        <x:v>1</x:v>
      </x:c>
      <x:c r="G386" s="23" t="str">
        <x:f>IF(E386=F386,"PASS","FAIL")</x:f>
        <x:v>PASS</x:v>
      </x:c>
    </x:row>
    <x:row r="387">
      <x:c r="B387" s="21" t="str">
        <x:v>A0381</x:v>
      </x:c>
      <x:c r="C387" s="21" t="str">
        <x:v>proposal</x:v>
      </x:c>
      <x:c r="D387" s="21" t="str">
        <x:v>STG-S01-B build authority held</x:v>
      </x:c>
      <x:c r="E387" s="21" t="n">
        <x:f>IF('Award Portfolio'!K35="HOLD",1,0)</x:f>
        <x:v>1</x:v>
      </x:c>
      <x:c r="F387" s="21" t="n">
        <x:v>1</x:v>
      </x:c>
      <x:c r="G387" s="23" t="str">
        <x:f>IF(E387=F387,"PASS","FAIL")</x:f>
        <x:v>PASS</x:v>
      </x:c>
    </x:row>
    <x:row r="388">
      <x:c r="B388" s="21" t="str">
        <x:v>A0382</x:v>
      </x:c>
      <x:c r="C388" s="21" t="str">
        <x:v>proposal</x:v>
      </x:c>
      <x:c r="D388" s="21" t="str">
        <x:v>STG-S01-C twelve gates</x:v>
      </x:c>
      <x:c r="E388" s="21" t="n">
        <x:f>COUNTIF('Paper Gates'!C7:C402,"STG-S01-C")</x:f>
        <x:v>12</x:v>
      </x:c>
      <x:c r="F388" s="21" t="n">
        <x:v>12</x:v>
      </x:c>
      <x:c r="G388" s="23" t="str">
        <x:f>IF(E388=F388,"PASS","FAIL")</x:f>
        <x:v>PASS</x:v>
      </x:c>
    </x:row>
    <x:row r="389">
      <x:c r="B389" s="21" t="str">
        <x:v>A0383</x:v>
      </x:c>
      <x:c r="C389" s="21" t="str">
        <x:v>proposal</x:v>
      </x:c>
      <x:c r="D389" s="21" t="str">
        <x:v>STG-S01-C required hard passes</x:v>
      </x:c>
      <x:c r="E389" s="21" t="n">
        <x:f>'Award Portfolio'!G36</x:f>
        <x:v>11</x:v>
      </x:c>
      <x:c r="F389" s="21" t="n">
        <x:v>11</x:v>
      </x:c>
      <x:c r="G389" s="23" t="str">
        <x:f>IF(E389=F389,"PASS","FAIL")</x:f>
        <x:v>PASS</x:v>
      </x:c>
    </x:row>
    <x:row r="390">
      <x:c r="B390" s="21" t="str">
        <x:v>A0384</x:v>
      </x:c>
      <x:c r="C390" s="21" t="str">
        <x:v>proposal</x:v>
      </x:c>
      <x:c r="D390" s="21" t="str">
        <x:v>STG-S01-C six merit dimensions</x:v>
      </x:c>
      <x:c r="E390" s="21" t="n">
        <x:f>COUNTIF('Merit Review'!C7:C204,"STG-S01-C")</x:f>
        <x:v>6</x:v>
      </x:c>
      <x:c r="F390" s="21" t="n">
        <x:v>6</x:v>
      </x:c>
      <x:c r="G390" s="23" t="str">
        <x:f>IF(E390=F390,"PASS","FAIL")</x:f>
        <x:v>PASS</x:v>
      </x:c>
    </x:row>
    <x:row r="391">
      <x:c r="B391" s="21" t="str">
        <x:v>A0385</x:v>
      </x:c>
      <x:c r="C391" s="21" t="str">
        <x:v>proposal</x:v>
      </x:c>
      <x:c r="D391" s="21" t="str">
        <x:v>STG-S01-C merit weights sum one</x:v>
      </x:c>
      <x:c r="E391" s="21" t="n">
        <x:f>SUMIF('Merit Review'!C7:C204,"STG-S01-C",'Merit Review'!G7:G204)</x:f>
        <x:v>1</x:v>
      </x:c>
      <x:c r="F391" s="21" t="n">
        <x:v>1</x:v>
      </x:c>
      <x:c r="G391" s="23" t="str">
        <x:f>IF(E391=F391,"PASS","FAIL")</x:f>
        <x:v>PASS</x:v>
      </x:c>
    </x:row>
    <x:row r="392">
      <x:c r="B392" s="21" t="str">
        <x:v>A0386</x:v>
      </x:c>
      <x:c r="C392" s="21" t="str">
        <x:v>proposal</x:v>
      </x:c>
      <x:c r="D392" s="21" t="str">
        <x:v>STG-S01-C eight rights</x:v>
      </x:c>
      <x:c r="E392" s="21" t="n">
        <x:f>COUNTIF('Rights Register'!C7:C270,"STG-S01-C")</x:f>
        <x:v>8</x:v>
      </x:c>
      <x:c r="F392" s="21" t="n">
        <x:v>8</x:v>
      </x:c>
      <x:c r="G392" s="23" t="str">
        <x:f>IF(E392=F392,"PASS","FAIL")</x:f>
        <x:v>PASS</x:v>
      </x:c>
    </x:row>
    <x:row r="393">
      <x:c r="B393" s="21" t="str">
        <x:v>A0387</x:v>
      </x:c>
      <x:c r="C393" s="21" t="str">
        <x:v>proposal</x:v>
      </x:c>
      <x:c r="D393" s="21" t="str">
        <x:v>STG-S01-C all rights offered</x:v>
      </x:c>
      <x:c r="E393" s="21" t="n">
        <x:f>SUMIF('Rights Register'!C7:C270,"STG-S01-C",'Rights Register'!H7:H270)</x:f>
        <x:v>8</x:v>
      </x:c>
      <x:c r="F393" s="21" t="n">
        <x:v>8</x:v>
      </x:c>
      <x:c r="G393" s="23" t="str">
        <x:f>IF(E393=F393,"PASS","FAIL")</x:f>
        <x:v>PASS</x:v>
      </x:c>
    </x:row>
    <x:row r="394">
      <x:c r="B394" s="21" t="str">
        <x:v>A0388</x:v>
      </x:c>
      <x:c r="C394" s="21" t="str">
        <x:v>proposal</x:v>
      </x:c>
      <x:c r="D394" s="21" t="str">
        <x:v>STG-S01-C evidence open</x:v>
      </x:c>
      <x:c r="E394" s="21" t="n">
        <x:f>IF('Award Portfolio'!L36="OPEN",1,0)</x:f>
        <x:v>1</x:v>
      </x:c>
      <x:c r="F394" s="21" t="n">
        <x:v>1</x:v>
      </x:c>
      <x:c r="G394" s="23" t="str">
        <x:f>IF(E394=F394,"PASS","FAIL")</x:f>
        <x:v>PASS</x:v>
      </x:c>
    </x:row>
    <x:row r="395">
      <x:c r="B395" s="21" t="str">
        <x:v>A0389</x:v>
      </x:c>
      <x:c r="C395" s="21" t="str">
        <x:v>proposal</x:v>
      </x:c>
      <x:c r="D395" s="21" t="str">
        <x:v>STG-S01-C build authority held</x:v>
      </x:c>
      <x:c r="E395" s="21" t="n">
        <x:f>IF('Award Portfolio'!K36="HOLD",1,0)</x:f>
        <x:v>1</x:v>
      </x:c>
      <x:c r="F395" s="21" t="n">
        <x:v>1</x:v>
      </x:c>
      <x:c r="G395" s="23" t="str">
        <x:f>IF(E395=F395,"PASS","FAIL")</x:f>
        <x:v>PASS</x:v>
      </x:c>
    </x:row>
    <x:row r="396">
      <x:c r="B396" s="21" t="str">
        <x:v>A0390</x:v>
      </x:c>
      <x:c r="C396" s="21" t="str">
        <x:v>proposal</x:v>
      </x:c>
      <x:c r="D396" s="21" t="str">
        <x:v>MHE-E01-A twelve gates</x:v>
      </x:c>
      <x:c r="E396" s="21" t="n">
        <x:f>COUNTIF('Paper Gates'!C7:C402,"MHE-E01-A")</x:f>
        <x:v>12</x:v>
      </x:c>
      <x:c r="F396" s="21" t="n">
        <x:v>12</x:v>
      </x:c>
      <x:c r="G396" s="23" t="str">
        <x:f>IF(E396=F396,"PASS","FAIL")</x:f>
        <x:v>PASS</x:v>
      </x:c>
    </x:row>
    <x:row r="397">
      <x:c r="B397" s="21" t="str">
        <x:v>A0391</x:v>
      </x:c>
      <x:c r="C397" s="21" t="str">
        <x:v>proposal</x:v>
      </x:c>
      <x:c r="D397" s="21" t="str">
        <x:v>MHE-E01-A required hard passes</x:v>
      </x:c>
      <x:c r="E397" s="21" t="n">
        <x:f>'Award Portfolio'!G37</x:f>
        <x:v>12</x:v>
      </x:c>
      <x:c r="F397" s="21" t="n">
        <x:v>12</x:v>
      </x:c>
      <x:c r="G397" s="23" t="str">
        <x:f>IF(E397=F397,"PASS","FAIL")</x:f>
        <x:v>PASS</x:v>
      </x:c>
    </x:row>
    <x:row r="398">
      <x:c r="B398" s="21" t="str">
        <x:v>A0392</x:v>
      </x:c>
      <x:c r="C398" s="21" t="str">
        <x:v>proposal</x:v>
      </x:c>
      <x:c r="D398" s="21" t="str">
        <x:v>MHE-E01-A six merit dimensions</x:v>
      </x:c>
      <x:c r="E398" s="21" t="n">
        <x:f>COUNTIF('Merit Review'!C7:C204,"MHE-E01-A")</x:f>
        <x:v>6</x:v>
      </x:c>
      <x:c r="F398" s="21" t="n">
        <x:v>6</x:v>
      </x:c>
      <x:c r="G398" s="23" t="str">
        <x:f>IF(E398=F398,"PASS","FAIL")</x:f>
        <x:v>PASS</x:v>
      </x:c>
    </x:row>
    <x:row r="399">
      <x:c r="B399" s="21" t="str">
        <x:v>A0393</x:v>
      </x:c>
      <x:c r="C399" s="21" t="str">
        <x:v>proposal</x:v>
      </x:c>
      <x:c r="D399" s="21" t="str">
        <x:v>MHE-E01-A merit weights sum one</x:v>
      </x:c>
      <x:c r="E399" s="21" t="n">
        <x:f>SUMIF('Merit Review'!C7:C204,"MHE-E01-A",'Merit Review'!G7:G204)</x:f>
        <x:v>1</x:v>
      </x:c>
      <x:c r="F399" s="21" t="n">
        <x:v>1</x:v>
      </x:c>
      <x:c r="G399" s="23" t="str">
        <x:f>IF(E399=F399,"PASS","FAIL")</x:f>
        <x:v>PASS</x:v>
      </x:c>
    </x:row>
    <x:row r="400">
      <x:c r="B400" s="21" t="str">
        <x:v>A0394</x:v>
      </x:c>
      <x:c r="C400" s="21" t="str">
        <x:v>proposal</x:v>
      </x:c>
      <x:c r="D400" s="21" t="str">
        <x:v>MHE-E01-A eight rights</x:v>
      </x:c>
      <x:c r="E400" s="21" t="n">
        <x:f>COUNTIF('Rights Register'!C7:C270,"MHE-E01-A")</x:f>
        <x:v>8</x:v>
      </x:c>
      <x:c r="F400" s="21" t="n">
        <x:v>8</x:v>
      </x:c>
      <x:c r="G400" s="23" t="str">
        <x:f>IF(E400=F400,"PASS","FAIL")</x:f>
        <x:v>PASS</x:v>
      </x:c>
    </x:row>
    <x:row r="401">
      <x:c r="B401" s="21" t="str">
        <x:v>A0395</x:v>
      </x:c>
      <x:c r="C401" s="21" t="str">
        <x:v>proposal</x:v>
      </x:c>
      <x:c r="D401" s="21" t="str">
        <x:v>MHE-E01-A all rights offered</x:v>
      </x:c>
      <x:c r="E401" s="21" t="n">
        <x:f>SUMIF('Rights Register'!C7:C270,"MHE-E01-A",'Rights Register'!H7:H270)</x:f>
        <x:v>8</x:v>
      </x:c>
      <x:c r="F401" s="21" t="n">
        <x:v>8</x:v>
      </x:c>
      <x:c r="G401" s="23" t="str">
        <x:f>IF(E401=F401,"PASS","FAIL")</x:f>
        <x:v>PASS</x:v>
      </x:c>
    </x:row>
    <x:row r="402">
      <x:c r="B402" s="21" t="str">
        <x:v>A0396</x:v>
      </x:c>
      <x:c r="C402" s="21" t="str">
        <x:v>proposal</x:v>
      </x:c>
      <x:c r="D402" s="21" t="str">
        <x:v>MHE-E01-A evidence open</x:v>
      </x:c>
      <x:c r="E402" s="21" t="n">
        <x:f>IF('Award Portfolio'!L37="OPEN",1,0)</x:f>
        <x:v>1</x:v>
      </x:c>
      <x:c r="F402" s="21" t="n">
        <x:v>1</x:v>
      </x:c>
      <x:c r="G402" s="23" t="str">
        <x:f>IF(E402=F402,"PASS","FAIL")</x:f>
        <x:v>PASS</x:v>
      </x:c>
    </x:row>
    <x:row r="403">
      <x:c r="B403" s="21" t="str">
        <x:v>A0397</x:v>
      </x:c>
      <x:c r="C403" s="21" t="str">
        <x:v>proposal</x:v>
      </x:c>
      <x:c r="D403" s="21" t="str">
        <x:v>MHE-E01-A build authority held</x:v>
      </x:c>
      <x:c r="E403" s="21" t="n">
        <x:f>IF('Award Portfolio'!K37="HOLD",1,0)</x:f>
        <x:v>1</x:v>
      </x:c>
      <x:c r="F403" s="21" t="n">
        <x:v>1</x:v>
      </x:c>
      <x:c r="G403" s="23" t="str">
        <x:f>IF(E403=F403,"PASS","FAIL")</x:f>
        <x:v>PASS</x:v>
      </x:c>
    </x:row>
    <x:row r="404">
      <x:c r="B404" s="21" t="str">
        <x:v>A0398</x:v>
      </x:c>
      <x:c r="C404" s="21" t="str">
        <x:v>proposal</x:v>
      </x:c>
      <x:c r="D404" s="21" t="str">
        <x:v>MHE-E01-B twelve gates</x:v>
      </x:c>
      <x:c r="E404" s="21" t="n">
        <x:f>COUNTIF('Paper Gates'!C7:C402,"MHE-E01-B")</x:f>
        <x:v>12</x:v>
      </x:c>
      <x:c r="F404" s="21" t="n">
        <x:v>12</x:v>
      </x:c>
      <x:c r="G404" s="23" t="str">
        <x:f>IF(E404=F404,"PASS","FAIL")</x:f>
        <x:v>PASS</x:v>
      </x:c>
    </x:row>
    <x:row r="405">
      <x:c r="B405" s="21" t="str">
        <x:v>A0399</x:v>
      </x:c>
      <x:c r="C405" s="21" t="str">
        <x:v>proposal</x:v>
      </x:c>
      <x:c r="D405" s="21" t="str">
        <x:v>MHE-E01-B required hard passes</x:v>
      </x:c>
      <x:c r="E405" s="21" t="n">
        <x:f>'Award Portfolio'!G38</x:f>
        <x:v>12</x:v>
      </x:c>
      <x:c r="F405" s="21" t="n">
        <x:v>12</x:v>
      </x:c>
      <x:c r="G405" s="23" t="str">
        <x:f>IF(E405=F405,"PASS","FAIL")</x:f>
        <x:v>PASS</x:v>
      </x:c>
    </x:row>
    <x:row r="406">
      <x:c r="B406" s="21" t="str">
        <x:v>A0400</x:v>
      </x:c>
      <x:c r="C406" s="21" t="str">
        <x:v>proposal</x:v>
      </x:c>
      <x:c r="D406" s="21" t="str">
        <x:v>MHE-E01-B six merit dimensions</x:v>
      </x:c>
      <x:c r="E406" s="21" t="n">
        <x:f>COUNTIF('Merit Review'!C7:C204,"MHE-E01-B")</x:f>
        <x:v>6</x:v>
      </x:c>
      <x:c r="F406" s="21" t="n">
        <x:v>6</x:v>
      </x:c>
      <x:c r="G406" s="23" t="str">
        <x:f>IF(E406=F406,"PASS","FAIL")</x:f>
        <x:v>PASS</x:v>
      </x:c>
    </x:row>
    <x:row r="407">
      <x:c r="B407" s="21" t="str">
        <x:v>A0401</x:v>
      </x:c>
      <x:c r="C407" s="21" t="str">
        <x:v>proposal</x:v>
      </x:c>
      <x:c r="D407" s="21" t="str">
        <x:v>MHE-E01-B merit weights sum one</x:v>
      </x:c>
      <x:c r="E407" s="21" t="n">
        <x:f>SUMIF('Merit Review'!C7:C204,"MHE-E01-B",'Merit Review'!G7:G204)</x:f>
        <x:v>1</x:v>
      </x:c>
      <x:c r="F407" s="21" t="n">
        <x:v>1</x:v>
      </x:c>
      <x:c r="G407" s="23" t="str">
        <x:f>IF(E407=F407,"PASS","FAIL")</x:f>
        <x:v>PASS</x:v>
      </x:c>
    </x:row>
    <x:row r="408">
      <x:c r="B408" s="21" t="str">
        <x:v>A0402</x:v>
      </x:c>
      <x:c r="C408" s="21" t="str">
        <x:v>proposal</x:v>
      </x:c>
      <x:c r="D408" s="21" t="str">
        <x:v>MHE-E01-B eight rights</x:v>
      </x:c>
      <x:c r="E408" s="21" t="n">
        <x:f>COUNTIF('Rights Register'!C7:C270,"MHE-E01-B")</x:f>
        <x:v>8</x:v>
      </x:c>
      <x:c r="F408" s="21" t="n">
        <x:v>8</x:v>
      </x:c>
      <x:c r="G408" s="23" t="str">
        <x:f>IF(E408=F408,"PASS","FAIL")</x:f>
        <x:v>PASS</x:v>
      </x:c>
    </x:row>
    <x:row r="409">
      <x:c r="B409" s="21" t="str">
        <x:v>A0403</x:v>
      </x:c>
      <x:c r="C409" s="21" t="str">
        <x:v>proposal</x:v>
      </x:c>
      <x:c r="D409" s="21" t="str">
        <x:v>MHE-E01-B all rights offered</x:v>
      </x:c>
      <x:c r="E409" s="21" t="n">
        <x:f>SUMIF('Rights Register'!C7:C270,"MHE-E01-B",'Rights Register'!H7:H270)</x:f>
        <x:v>8</x:v>
      </x:c>
      <x:c r="F409" s="21" t="n">
        <x:v>8</x:v>
      </x:c>
      <x:c r="G409" s="23" t="str">
        <x:f>IF(E409=F409,"PASS","FAIL")</x:f>
        <x:v>PASS</x:v>
      </x:c>
    </x:row>
    <x:row r="410">
      <x:c r="B410" s="21" t="str">
        <x:v>A0404</x:v>
      </x:c>
      <x:c r="C410" s="21" t="str">
        <x:v>proposal</x:v>
      </x:c>
      <x:c r="D410" s="21" t="str">
        <x:v>MHE-E01-B evidence open</x:v>
      </x:c>
      <x:c r="E410" s="21" t="n">
        <x:f>IF('Award Portfolio'!L38="OPEN",1,0)</x:f>
        <x:v>1</x:v>
      </x:c>
      <x:c r="F410" s="21" t="n">
        <x:v>1</x:v>
      </x:c>
      <x:c r="G410" s="23" t="str">
        <x:f>IF(E410=F410,"PASS","FAIL")</x:f>
        <x:v>PASS</x:v>
      </x:c>
    </x:row>
    <x:row r="411">
      <x:c r="B411" s="21" t="str">
        <x:v>A0405</x:v>
      </x:c>
      <x:c r="C411" s="21" t="str">
        <x:v>proposal</x:v>
      </x:c>
      <x:c r="D411" s="21" t="str">
        <x:v>MHE-E01-B build authority held</x:v>
      </x:c>
      <x:c r="E411" s="21" t="n">
        <x:f>IF('Award Portfolio'!K38="HOLD",1,0)</x:f>
        <x:v>1</x:v>
      </x:c>
      <x:c r="F411" s="21" t="n">
        <x:v>1</x:v>
      </x:c>
      <x:c r="G411" s="23" t="str">
        <x:f>IF(E411=F411,"PASS","FAIL")</x:f>
        <x:v>PASS</x:v>
      </x:c>
    </x:row>
    <x:row r="412">
      <x:c r="B412" s="21" t="str">
        <x:v>A0406</x:v>
      </x:c>
      <x:c r="C412" s="21" t="str">
        <x:v>proposal</x:v>
      </x:c>
      <x:c r="D412" s="21" t="str">
        <x:v>MHE-E01-C twelve gates</x:v>
      </x:c>
      <x:c r="E412" s="21" t="n">
        <x:f>COUNTIF('Paper Gates'!C7:C402,"MHE-E01-C")</x:f>
        <x:v>12</x:v>
      </x:c>
      <x:c r="F412" s="21" t="n">
        <x:v>12</x:v>
      </x:c>
      <x:c r="G412" s="23" t="str">
        <x:f>IF(E412=F412,"PASS","FAIL")</x:f>
        <x:v>PASS</x:v>
      </x:c>
    </x:row>
    <x:row r="413">
      <x:c r="B413" s="21" t="str">
        <x:v>A0407</x:v>
      </x:c>
      <x:c r="C413" s="21" t="str">
        <x:v>proposal</x:v>
      </x:c>
      <x:c r="D413" s="21" t="str">
        <x:v>MHE-E01-C required hard passes</x:v>
      </x:c>
      <x:c r="E413" s="21" t="n">
        <x:f>'Award Portfolio'!G39</x:f>
        <x:v>11</x:v>
      </x:c>
      <x:c r="F413" s="21" t="n">
        <x:v>11</x:v>
      </x:c>
      <x:c r="G413" s="23" t="str">
        <x:f>IF(E413=F413,"PASS","FAIL")</x:f>
        <x:v>PASS</x:v>
      </x:c>
    </x:row>
    <x:row r="414">
      <x:c r="B414" s="21" t="str">
        <x:v>A0408</x:v>
      </x:c>
      <x:c r="C414" s="21" t="str">
        <x:v>proposal</x:v>
      </x:c>
      <x:c r="D414" s="21" t="str">
        <x:v>MHE-E01-C six merit dimensions</x:v>
      </x:c>
      <x:c r="E414" s="21" t="n">
        <x:f>COUNTIF('Merit Review'!C7:C204,"MHE-E01-C")</x:f>
        <x:v>6</x:v>
      </x:c>
      <x:c r="F414" s="21" t="n">
        <x:v>6</x:v>
      </x:c>
      <x:c r="G414" s="23" t="str">
        <x:f>IF(E414=F414,"PASS","FAIL")</x:f>
        <x:v>PASS</x:v>
      </x:c>
    </x:row>
    <x:row r="415">
      <x:c r="B415" s="21" t="str">
        <x:v>A0409</x:v>
      </x:c>
      <x:c r="C415" s="21" t="str">
        <x:v>proposal</x:v>
      </x:c>
      <x:c r="D415" s="21" t="str">
        <x:v>MHE-E01-C merit weights sum one</x:v>
      </x:c>
      <x:c r="E415" s="21" t="n">
        <x:f>SUMIF('Merit Review'!C7:C204,"MHE-E01-C",'Merit Review'!G7:G204)</x:f>
        <x:v>1</x:v>
      </x:c>
      <x:c r="F415" s="21" t="n">
        <x:v>1</x:v>
      </x:c>
      <x:c r="G415" s="23" t="str">
        <x:f>IF(E415=F415,"PASS","FAIL")</x:f>
        <x:v>PASS</x:v>
      </x:c>
    </x:row>
    <x:row r="416">
      <x:c r="B416" s="21" t="str">
        <x:v>A0410</x:v>
      </x:c>
      <x:c r="C416" s="21" t="str">
        <x:v>proposal</x:v>
      </x:c>
      <x:c r="D416" s="21" t="str">
        <x:v>MHE-E01-C eight rights</x:v>
      </x:c>
      <x:c r="E416" s="21" t="n">
        <x:f>COUNTIF('Rights Register'!C7:C270,"MHE-E01-C")</x:f>
        <x:v>8</x:v>
      </x:c>
      <x:c r="F416" s="21" t="n">
        <x:v>8</x:v>
      </x:c>
      <x:c r="G416" s="23" t="str">
        <x:f>IF(E416=F416,"PASS","FAIL")</x:f>
        <x:v>PASS</x:v>
      </x:c>
    </x:row>
    <x:row r="417">
      <x:c r="B417" s="21" t="str">
        <x:v>A0411</x:v>
      </x:c>
      <x:c r="C417" s="21" t="str">
        <x:v>proposal</x:v>
      </x:c>
      <x:c r="D417" s="21" t="str">
        <x:v>MHE-E01-C all rights offered</x:v>
      </x:c>
      <x:c r="E417" s="21" t="n">
        <x:f>SUMIF('Rights Register'!C7:C270,"MHE-E01-C",'Rights Register'!H7:H270)</x:f>
        <x:v>8</x:v>
      </x:c>
      <x:c r="F417" s="21" t="n">
        <x:v>8</x:v>
      </x:c>
      <x:c r="G417" s="23" t="str">
        <x:f>IF(E417=F417,"PASS","FAIL")</x:f>
        <x:v>PASS</x:v>
      </x:c>
    </x:row>
    <x:row r="418">
      <x:c r="B418" s="21" t="str">
        <x:v>A0412</x:v>
      </x:c>
      <x:c r="C418" s="21" t="str">
        <x:v>proposal</x:v>
      </x:c>
      <x:c r="D418" s="21" t="str">
        <x:v>MHE-E01-C evidence open</x:v>
      </x:c>
      <x:c r="E418" s="21" t="n">
        <x:f>IF('Award Portfolio'!L39="OPEN",1,0)</x:f>
        <x:v>1</x:v>
      </x:c>
      <x:c r="F418" s="21" t="n">
        <x:v>1</x:v>
      </x:c>
      <x:c r="G418" s="23" t="str">
        <x:f>IF(E418=F418,"PASS","FAIL")</x:f>
        <x:v>PASS</x:v>
      </x:c>
    </x:row>
    <x:row r="419">
      <x:c r="B419" s="21" t="str">
        <x:v>A0413</x:v>
      </x:c>
      <x:c r="C419" s="21" t="str">
        <x:v>proposal</x:v>
      </x:c>
      <x:c r="D419" s="21" t="str">
        <x:v>MHE-E01-C build authority held</x:v>
      </x:c>
      <x:c r="E419" s="21" t="n">
        <x:f>IF('Award Portfolio'!K39="HOLD",1,0)</x:f>
        <x:v>1</x:v>
      </x:c>
      <x:c r="F419" s="21" t="n">
        <x:v>1</x:v>
      </x:c>
      <x:c r="G419" s="23" t="str">
        <x:f>IF(E419=F419,"PASS","FAIL")</x:f>
        <x:v>PASS</x:v>
      </x:c>
    </x:row>
    <x:row r="420">
      <x:c r="B420" s="21" t="str">
        <x:v>A0414</x:v>
      </x:c>
      <x:c r="C420" s="21" t="str">
        <x:v>paper gate</x:v>
      </x:c>
      <x:c r="D420" s="21" t="str">
        <x:v>gate 7 binary observation</x:v>
      </x:c>
      <x:c r="E420" s="21" t="n">
        <x:f>IF(OR('Paper Gates'!G7=0,'Paper Gates'!G7=1),1,0)</x:f>
        <x:v>1</x:v>
      </x:c>
      <x:c r="F420" s="21" t="n">
        <x:v>1</x:v>
      </x:c>
      <x:c r="G420" s="23" t="str">
        <x:f>IF(E420=F420,"PASS","FAIL")</x:f>
        <x:v>PASS</x:v>
      </x:c>
    </x:row>
    <x:row r="421">
      <x:c r="B421" s="21" t="str">
        <x:v>A0415</x:v>
      </x:c>
      <x:c r="C421" s="21" t="str">
        <x:v>paper gate</x:v>
      </x:c>
      <x:c r="D421" s="21" t="str">
        <x:v>gate 7 fixed requirement</x:v>
      </x:c>
      <x:c r="E421" s="21" t="n">
        <x:f>IF('Paper Gates'!H7=1,1,0)</x:f>
        <x:v>1</x:v>
      </x:c>
      <x:c r="F421" s="21" t="n">
        <x:v>1</x:v>
      </x:c>
      <x:c r="G421" s="23" t="str">
        <x:f>IF(E421=F421,"PASS","FAIL")</x:f>
        <x:v>PASS</x:v>
      </x:c>
    </x:row>
    <x:row r="422">
      <x:c r="B422" s="21" t="str">
        <x:v>A0416</x:v>
      </x:c>
      <x:c r="C422" s="21" t="str">
        <x:v>paper gate</x:v>
      </x:c>
      <x:c r="D422" s="21" t="str">
        <x:v>gate 7 result reconciles</x:v>
      </x:c>
      <x:c r="E422" s="21" t="n">
        <x:f>IF('Paper Gates'!I7=IF('Paper Gates'!G7='Paper Gates'!H7,"PASS","FAIL"),1,0)</x:f>
        <x:v>1</x:v>
      </x:c>
      <x:c r="F422" s="21" t="n">
        <x:v>1</x:v>
      </x:c>
      <x:c r="G422" s="23" t="str">
        <x:f>IF(E422=F422,"PASS","FAIL")</x:f>
        <x:v>PASS</x:v>
      </x:c>
    </x:row>
    <x:row r="423">
      <x:c r="B423" s="21" t="str">
        <x:v>A0417</x:v>
      </x:c>
      <x:c r="C423" s="21" t="str">
        <x:v>paper gate</x:v>
      </x:c>
      <x:c r="D423" s="21" t="str">
        <x:v>gate 8 binary observation</x:v>
      </x:c>
      <x:c r="E423" s="21" t="n">
        <x:f>IF(OR('Paper Gates'!G8=0,'Paper Gates'!G8=1),1,0)</x:f>
        <x:v>1</x:v>
      </x:c>
      <x:c r="F423" s="21" t="n">
        <x:v>1</x:v>
      </x:c>
      <x:c r="G423" s="23" t="str">
        <x:f>IF(E423=F423,"PASS","FAIL")</x:f>
        <x:v>PASS</x:v>
      </x:c>
    </x:row>
    <x:row r="424">
      <x:c r="B424" s="21" t="str">
        <x:v>A0418</x:v>
      </x:c>
      <x:c r="C424" s="21" t="str">
        <x:v>paper gate</x:v>
      </x:c>
      <x:c r="D424" s="21" t="str">
        <x:v>gate 8 fixed requirement</x:v>
      </x:c>
      <x:c r="E424" s="21" t="n">
        <x:f>IF('Paper Gates'!H8=1,1,0)</x:f>
        <x:v>1</x:v>
      </x:c>
      <x:c r="F424" s="21" t="n">
        <x:v>1</x:v>
      </x:c>
      <x:c r="G424" s="23" t="str">
        <x:f>IF(E424=F424,"PASS","FAIL")</x:f>
        <x:v>PASS</x:v>
      </x:c>
    </x:row>
    <x:row r="425">
      <x:c r="B425" s="21" t="str">
        <x:v>A0419</x:v>
      </x:c>
      <x:c r="C425" s="21" t="str">
        <x:v>paper gate</x:v>
      </x:c>
      <x:c r="D425" s="21" t="str">
        <x:v>gate 8 result reconciles</x:v>
      </x:c>
      <x:c r="E425" s="21" t="n">
        <x:f>IF('Paper Gates'!I8=IF('Paper Gates'!G8='Paper Gates'!H8,"PASS","FAIL"),1,0)</x:f>
        <x:v>1</x:v>
      </x:c>
      <x:c r="F425" s="21" t="n">
        <x:v>1</x:v>
      </x:c>
      <x:c r="G425" s="23" t="str">
        <x:f>IF(E425=F425,"PASS","FAIL")</x:f>
        <x:v>PASS</x:v>
      </x:c>
    </x:row>
    <x:row r="426">
      <x:c r="B426" s="21" t="str">
        <x:v>A0420</x:v>
      </x:c>
      <x:c r="C426" s="21" t="str">
        <x:v>paper gate</x:v>
      </x:c>
      <x:c r="D426" s="21" t="str">
        <x:v>gate 9 binary observation</x:v>
      </x:c>
      <x:c r="E426" s="21" t="n">
        <x:f>IF(OR('Paper Gates'!G9=0,'Paper Gates'!G9=1),1,0)</x:f>
        <x:v>1</x:v>
      </x:c>
      <x:c r="F426" s="21" t="n">
        <x:v>1</x:v>
      </x:c>
      <x:c r="G426" s="23" t="str">
        <x:f>IF(E426=F426,"PASS","FAIL")</x:f>
        <x:v>PASS</x:v>
      </x:c>
    </x:row>
    <x:row r="427">
      <x:c r="B427" s="21" t="str">
        <x:v>A0421</x:v>
      </x:c>
      <x:c r="C427" s="21" t="str">
        <x:v>paper gate</x:v>
      </x:c>
      <x:c r="D427" s="21" t="str">
        <x:v>gate 9 fixed requirement</x:v>
      </x:c>
      <x:c r="E427" s="21" t="n">
        <x:f>IF('Paper Gates'!H9=1,1,0)</x:f>
        <x:v>1</x:v>
      </x:c>
      <x:c r="F427" s="21" t="n">
        <x:v>1</x:v>
      </x:c>
      <x:c r="G427" s="23" t="str">
        <x:f>IF(E427=F427,"PASS","FAIL")</x:f>
        <x:v>PASS</x:v>
      </x:c>
    </x:row>
    <x:row r="428">
      <x:c r="B428" s="21" t="str">
        <x:v>A0422</x:v>
      </x:c>
      <x:c r="C428" s="21" t="str">
        <x:v>paper gate</x:v>
      </x:c>
      <x:c r="D428" s="21" t="str">
        <x:v>gate 9 result reconciles</x:v>
      </x:c>
      <x:c r="E428" s="21" t="n">
        <x:f>IF('Paper Gates'!I9=IF('Paper Gates'!G9='Paper Gates'!H9,"PASS","FAIL"),1,0)</x:f>
        <x:v>1</x:v>
      </x:c>
      <x:c r="F428" s="21" t="n">
        <x:v>1</x:v>
      </x:c>
      <x:c r="G428" s="23" t="str">
        <x:f>IF(E428=F428,"PASS","FAIL")</x:f>
        <x:v>PASS</x:v>
      </x:c>
    </x:row>
    <x:row r="429">
      <x:c r="B429" s="21" t="str">
        <x:v>A0423</x:v>
      </x:c>
      <x:c r="C429" s="21" t="str">
        <x:v>paper gate</x:v>
      </x:c>
      <x:c r="D429" s="21" t="str">
        <x:v>gate 10 binary observation</x:v>
      </x:c>
      <x:c r="E429" s="21" t="n">
        <x:f>IF(OR('Paper Gates'!G10=0,'Paper Gates'!G10=1),1,0)</x:f>
        <x:v>1</x:v>
      </x:c>
      <x:c r="F429" s="21" t="n">
        <x:v>1</x:v>
      </x:c>
      <x:c r="G429" s="23" t="str">
        <x:f>IF(E429=F429,"PASS","FAIL")</x:f>
        <x:v>PASS</x:v>
      </x:c>
    </x:row>
    <x:row r="430">
      <x:c r="B430" s="21" t="str">
        <x:v>A0424</x:v>
      </x:c>
      <x:c r="C430" s="21" t="str">
        <x:v>paper gate</x:v>
      </x:c>
      <x:c r="D430" s="21" t="str">
        <x:v>gate 10 fixed requirement</x:v>
      </x:c>
      <x:c r="E430" s="21" t="n">
        <x:f>IF('Paper Gates'!H10=1,1,0)</x:f>
        <x:v>1</x:v>
      </x:c>
      <x:c r="F430" s="21" t="n">
        <x:v>1</x:v>
      </x:c>
      <x:c r="G430" s="23" t="str">
        <x:f>IF(E430=F430,"PASS","FAIL")</x:f>
        <x:v>PASS</x:v>
      </x:c>
    </x:row>
    <x:row r="431">
      <x:c r="B431" s="21" t="str">
        <x:v>A0425</x:v>
      </x:c>
      <x:c r="C431" s="21" t="str">
        <x:v>paper gate</x:v>
      </x:c>
      <x:c r="D431" s="21" t="str">
        <x:v>gate 10 result reconciles</x:v>
      </x:c>
      <x:c r="E431" s="21" t="n">
        <x:f>IF('Paper Gates'!I10=IF('Paper Gates'!G10='Paper Gates'!H10,"PASS","FAIL"),1,0)</x:f>
        <x:v>1</x:v>
      </x:c>
      <x:c r="F431" s="21" t="n">
        <x:v>1</x:v>
      </x:c>
      <x:c r="G431" s="23" t="str">
        <x:f>IF(E431=F431,"PASS","FAIL")</x:f>
        <x:v>PASS</x:v>
      </x:c>
    </x:row>
    <x:row r="432">
      <x:c r="B432" s="21" t="str">
        <x:v>A0426</x:v>
      </x:c>
      <x:c r="C432" s="21" t="str">
        <x:v>paper gate</x:v>
      </x:c>
      <x:c r="D432" s="21" t="str">
        <x:v>gate 11 binary observation</x:v>
      </x:c>
      <x:c r="E432" s="21" t="n">
        <x:f>IF(OR('Paper Gates'!G11=0,'Paper Gates'!G11=1),1,0)</x:f>
        <x:v>1</x:v>
      </x:c>
      <x:c r="F432" s="21" t="n">
        <x:v>1</x:v>
      </x:c>
      <x:c r="G432" s="23" t="str">
        <x:f>IF(E432=F432,"PASS","FAIL")</x:f>
        <x:v>PASS</x:v>
      </x:c>
    </x:row>
    <x:row r="433">
      <x:c r="B433" s="21" t="str">
        <x:v>A0427</x:v>
      </x:c>
      <x:c r="C433" s="21" t="str">
        <x:v>paper gate</x:v>
      </x:c>
      <x:c r="D433" s="21" t="str">
        <x:v>gate 11 fixed requirement</x:v>
      </x:c>
      <x:c r="E433" s="21" t="n">
        <x:f>IF('Paper Gates'!H11=1,1,0)</x:f>
        <x:v>1</x:v>
      </x:c>
      <x:c r="F433" s="21" t="n">
        <x:v>1</x:v>
      </x:c>
      <x:c r="G433" s="23" t="str">
        <x:f>IF(E433=F433,"PASS","FAIL")</x:f>
        <x:v>PASS</x:v>
      </x:c>
    </x:row>
    <x:row r="434">
      <x:c r="B434" s="21" t="str">
        <x:v>A0428</x:v>
      </x:c>
      <x:c r="C434" s="21" t="str">
        <x:v>paper gate</x:v>
      </x:c>
      <x:c r="D434" s="21" t="str">
        <x:v>gate 11 result reconciles</x:v>
      </x:c>
      <x:c r="E434" s="21" t="n">
        <x:f>IF('Paper Gates'!I11=IF('Paper Gates'!G11='Paper Gates'!H11,"PASS","FAIL"),1,0)</x:f>
        <x:v>1</x:v>
      </x:c>
      <x:c r="F434" s="21" t="n">
        <x:v>1</x:v>
      </x:c>
      <x:c r="G434" s="23" t="str">
        <x:f>IF(E434=F434,"PASS","FAIL")</x:f>
        <x:v>PASS</x:v>
      </x:c>
    </x:row>
    <x:row r="435">
      <x:c r="B435" s="21" t="str">
        <x:v>A0429</x:v>
      </x:c>
      <x:c r="C435" s="21" t="str">
        <x:v>paper gate</x:v>
      </x:c>
      <x:c r="D435" s="21" t="str">
        <x:v>gate 12 binary observation</x:v>
      </x:c>
      <x:c r="E435" s="21" t="n">
        <x:f>IF(OR('Paper Gates'!G12=0,'Paper Gates'!G12=1),1,0)</x:f>
        <x:v>1</x:v>
      </x:c>
      <x:c r="F435" s="21" t="n">
        <x:v>1</x:v>
      </x:c>
      <x:c r="G435" s="23" t="str">
        <x:f>IF(E435=F435,"PASS","FAIL")</x:f>
        <x:v>PASS</x:v>
      </x:c>
    </x:row>
    <x:row r="436">
      <x:c r="B436" s="21" t="str">
        <x:v>A0430</x:v>
      </x:c>
      <x:c r="C436" s="21" t="str">
        <x:v>paper gate</x:v>
      </x:c>
      <x:c r="D436" s="21" t="str">
        <x:v>gate 12 fixed requirement</x:v>
      </x:c>
      <x:c r="E436" s="21" t="n">
        <x:f>IF('Paper Gates'!H12=1,1,0)</x:f>
        <x:v>1</x:v>
      </x:c>
      <x:c r="F436" s="21" t="n">
        <x:v>1</x:v>
      </x:c>
      <x:c r="G436" s="23" t="str">
        <x:f>IF(E436=F436,"PASS","FAIL")</x:f>
        <x:v>PASS</x:v>
      </x:c>
    </x:row>
    <x:row r="437">
      <x:c r="B437" s="21" t="str">
        <x:v>A0431</x:v>
      </x:c>
      <x:c r="C437" s="21" t="str">
        <x:v>paper gate</x:v>
      </x:c>
      <x:c r="D437" s="21" t="str">
        <x:v>gate 12 result reconciles</x:v>
      </x:c>
      <x:c r="E437" s="21" t="n">
        <x:f>IF('Paper Gates'!I12=IF('Paper Gates'!G12='Paper Gates'!H12,"PASS","FAIL"),1,0)</x:f>
        <x:v>1</x:v>
      </x:c>
      <x:c r="F437" s="21" t="n">
        <x:v>1</x:v>
      </x:c>
      <x:c r="G437" s="23" t="str">
        <x:f>IF(E437=F437,"PASS","FAIL")</x:f>
        <x:v>PASS</x:v>
      </x:c>
    </x:row>
    <x:row r="438">
      <x:c r="B438" s="21" t="str">
        <x:v>A0432</x:v>
      </x:c>
      <x:c r="C438" s="21" t="str">
        <x:v>paper gate</x:v>
      </x:c>
      <x:c r="D438" s="21" t="str">
        <x:v>gate 13 binary observation</x:v>
      </x:c>
      <x:c r="E438" s="21" t="n">
        <x:f>IF(OR('Paper Gates'!G13=0,'Paper Gates'!G13=1),1,0)</x:f>
        <x:v>1</x:v>
      </x:c>
      <x:c r="F438" s="21" t="n">
        <x:v>1</x:v>
      </x:c>
      <x:c r="G438" s="23" t="str">
        <x:f>IF(E438=F438,"PASS","FAIL")</x:f>
        <x:v>PASS</x:v>
      </x:c>
    </x:row>
    <x:row r="439">
      <x:c r="B439" s="21" t="str">
        <x:v>A0433</x:v>
      </x:c>
      <x:c r="C439" s="21" t="str">
        <x:v>paper gate</x:v>
      </x:c>
      <x:c r="D439" s="21" t="str">
        <x:v>gate 13 fixed requirement</x:v>
      </x:c>
      <x:c r="E439" s="21" t="n">
        <x:f>IF('Paper Gates'!H13=1,1,0)</x:f>
        <x:v>1</x:v>
      </x:c>
      <x:c r="F439" s="21" t="n">
        <x:v>1</x:v>
      </x:c>
      <x:c r="G439" s="23" t="str">
        <x:f>IF(E439=F439,"PASS","FAIL")</x:f>
        <x:v>PASS</x:v>
      </x:c>
    </x:row>
    <x:row r="440">
      <x:c r="B440" s="21" t="str">
        <x:v>A0434</x:v>
      </x:c>
      <x:c r="C440" s="21" t="str">
        <x:v>paper gate</x:v>
      </x:c>
      <x:c r="D440" s="21" t="str">
        <x:v>gate 13 result reconciles</x:v>
      </x:c>
      <x:c r="E440" s="21" t="n">
        <x:f>IF('Paper Gates'!I13=IF('Paper Gates'!G13='Paper Gates'!H13,"PASS","FAIL"),1,0)</x:f>
        <x:v>1</x:v>
      </x:c>
      <x:c r="F440" s="21" t="n">
        <x:v>1</x:v>
      </x:c>
      <x:c r="G440" s="23" t="str">
        <x:f>IF(E440=F440,"PASS","FAIL")</x:f>
        <x:v>PASS</x:v>
      </x:c>
    </x:row>
    <x:row r="441">
      <x:c r="B441" s="21" t="str">
        <x:v>A0435</x:v>
      </x:c>
      <x:c r="C441" s="21" t="str">
        <x:v>paper gate</x:v>
      </x:c>
      <x:c r="D441" s="21" t="str">
        <x:v>gate 14 binary observation</x:v>
      </x:c>
      <x:c r="E441" s="21" t="n">
        <x:f>IF(OR('Paper Gates'!G14=0,'Paper Gates'!G14=1),1,0)</x:f>
        <x:v>1</x:v>
      </x:c>
      <x:c r="F441" s="21" t="n">
        <x:v>1</x:v>
      </x:c>
      <x:c r="G441" s="23" t="str">
        <x:f>IF(E441=F441,"PASS","FAIL")</x:f>
        <x:v>PASS</x:v>
      </x:c>
    </x:row>
    <x:row r="442">
      <x:c r="B442" s="21" t="str">
        <x:v>A0436</x:v>
      </x:c>
      <x:c r="C442" s="21" t="str">
        <x:v>paper gate</x:v>
      </x:c>
      <x:c r="D442" s="21" t="str">
        <x:v>gate 14 fixed requirement</x:v>
      </x:c>
      <x:c r="E442" s="21" t="n">
        <x:f>IF('Paper Gates'!H14=1,1,0)</x:f>
        <x:v>1</x:v>
      </x:c>
      <x:c r="F442" s="21" t="n">
        <x:v>1</x:v>
      </x:c>
      <x:c r="G442" s="23" t="str">
        <x:f>IF(E442=F442,"PASS","FAIL")</x:f>
        <x:v>PASS</x:v>
      </x:c>
    </x:row>
    <x:row r="443">
      <x:c r="B443" s="21" t="str">
        <x:v>A0437</x:v>
      </x:c>
      <x:c r="C443" s="21" t="str">
        <x:v>paper gate</x:v>
      </x:c>
      <x:c r="D443" s="21" t="str">
        <x:v>gate 14 result reconciles</x:v>
      </x:c>
      <x:c r="E443" s="21" t="n">
        <x:f>IF('Paper Gates'!I14=IF('Paper Gates'!G14='Paper Gates'!H14,"PASS","FAIL"),1,0)</x:f>
        <x:v>1</x:v>
      </x:c>
      <x:c r="F443" s="21" t="n">
        <x:v>1</x:v>
      </x:c>
      <x:c r="G443" s="23" t="str">
        <x:f>IF(E443=F443,"PASS","FAIL")</x:f>
        <x:v>PASS</x:v>
      </x:c>
    </x:row>
    <x:row r="444">
      <x:c r="B444" s="21" t="str">
        <x:v>A0438</x:v>
      </x:c>
      <x:c r="C444" s="21" t="str">
        <x:v>paper gate</x:v>
      </x:c>
      <x:c r="D444" s="21" t="str">
        <x:v>gate 15 binary observation</x:v>
      </x:c>
      <x:c r="E444" s="21" t="n">
        <x:f>IF(OR('Paper Gates'!G15=0,'Paper Gates'!G15=1),1,0)</x:f>
        <x:v>1</x:v>
      </x:c>
      <x:c r="F444" s="21" t="n">
        <x:v>1</x:v>
      </x:c>
      <x:c r="G444" s="23" t="str">
        <x:f>IF(E444=F444,"PASS","FAIL")</x:f>
        <x:v>PASS</x:v>
      </x:c>
    </x:row>
    <x:row r="445">
      <x:c r="B445" s="21" t="str">
        <x:v>A0439</x:v>
      </x:c>
      <x:c r="C445" s="21" t="str">
        <x:v>paper gate</x:v>
      </x:c>
      <x:c r="D445" s="21" t="str">
        <x:v>gate 15 fixed requirement</x:v>
      </x:c>
      <x:c r="E445" s="21" t="n">
        <x:f>IF('Paper Gates'!H15=1,1,0)</x:f>
        <x:v>1</x:v>
      </x:c>
      <x:c r="F445" s="21" t="n">
        <x:v>1</x:v>
      </x:c>
      <x:c r="G445" s="23" t="str">
        <x:f>IF(E445=F445,"PASS","FAIL")</x:f>
        <x:v>PASS</x:v>
      </x:c>
    </x:row>
    <x:row r="446">
      <x:c r="B446" s="21" t="str">
        <x:v>A0440</x:v>
      </x:c>
      <x:c r="C446" s="21" t="str">
        <x:v>paper gate</x:v>
      </x:c>
      <x:c r="D446" s="21" t="str">
        <x:v>gate 15 result reconciles</x:v>
      </x:c>
      <x:c r="E446" s="21" t="n">
        <x:f>IF('Paper Gates'!I15=IF('Paper Gates'!G15='Paper Gates'!H15,"PASS","FAIL"),1,0)</x:f>
        <x:v>1</x:v>
      </x:c>
      <x:c r="F446" s="21" t="n">
        <x:v>1</x:v>
      </x:c>
      <x:c r="G446" s="23" t="str">
        <x:f>IF(E446=F446,"PASS","FAIL")</x:f>
        <x:v>PASS</x:v>
      </x:c>
    </x:row>
    <x:row r="447">
      <x:c r="B447" s="21" t="str">
        <x:v>A0441</x:v>
      </x:c>
      <x:c r="C447" s="21" t="str">
        <x:v>paper gate</x:v>
      </x:c>
      <x:c r="D447" s="21" t="str">
        <x:v>gate 16 binary observation</x:v>
      </x:c>
      <x:c r="E447" s="21" t="n">
        <x:f>IF(OR('Paper Gates'!G16=0,'Paper Gates'!G16=1),1,0)</x:f>
        <x:v>1</x:v>
      </x:c>
      <x:c r="F447" s="21" t="n">
        <x:v>1</x:v>
      </x:c>
      <x:c r="G447" s="23" t="str">
        <x:f>IF(E447=F447,"PASS","FAIL")</x:f>
        <x:v>PASS</x:v>
      </x:c>
    </x:row>
    <x:row r="448">
      <x:c r="B448" s="21" t="str">
        <x:v>A0442</x:v>
      </x:c>
      <x:c r="C448" s="21" t="str">
        <x:v>paper gate</x:v>
      </x:c>
      <x:c r="D448" s="21" t="str">
        <x:v>gate 16 fixed requirement</x:v>
      </x:c>
      <x:c r="E448" s="21" t="n">
        <x:f>IF('Paper Gates'!H16=1,1,0)</x:f>
        <x:v>1</x:v>
      </x:c>
      <x:c r="F448" s="21" t="n">
        <x:v>1</x:v>
      </x:c>
      <x:c r="G448" s="23" t="str">
        <x:f>IF(E448=F448,"PASS","FAIL")</x:f>
        <x:v>PASS</x:v>
      </x:c>
    </x:row>
    <x:row r="449">
      <x:c r="B449" s="21" t="str">
        <x:v>A0443</x:v>
      </x:c>
      <x:c r="C449" s="21" t="str">
        <x:v>paper gate</x:v>
      </x:c>
      <x:c r="D449" s="21" t="str">
        <x:v>gate 16 result reconciles</x:v>
      </x:c>
      <x:c r="E449" s="21" t="n">
        <x:f>IF('Paper Gates'!I16=IF('Paper Gates'!G16='Paper Gates'!H16,"PASS","FAIL"),1,0)</x:f>
        <x:v>1</x:v>
      </x:c>
      <x:c r="F449" s="21" t="n">
        <x:v>1</x:v>
      </x:c>
      <x:c r="G449" s="23" t="str">
        <x:f>IF(E449=F449,"PASS","FAIL")</x:f>
        <x:v>PASS</x:v>
      </x:c>
    </x:row>
    <x:row r="450">
      <x:c r="B450" s="21" t="str">
        <x:v>A0444</x:v>
      </x:c>
      <x:c r="C450" s="21" t="str">
        <x:v>paper gate</x:v>
      </x:c>
      <x:c r="D450" s="21" t="str">
        <x:v>gate 17 binary observation</x:v>
      </x:c>
      <x:c r="E450" s="21" t="n">
        <x:f>IF(OR('Paper Gates'!G17=0,'Paper Gates'!G17=1),1,0)</x:f>
        <x:v>1</x:v>
      </x:c>
      <x:c r="F450" s="21" t="n">
        <x:v>1</x:v>
      </x:c>
      <x:c r="G450" s="23" t="str">
        <x:f>IF(E450=F450,"PASS","FAIL")</x:f>
        <x:v>PASS</x:v>
      </x:c>
    </x:row>
    <x:row r="451">
      <x:c r="B451" s="21" t="str">
        <x:v>A0445</x:v>
      </x:c>
      <x:c r="C451" s="21" t="str">
        <x:v>paper gate</x:v>
      </x:c>
      <x:c r="D451" s="21" t="str">
        <x:v>gate 17 fixed requirement</x:v>
      </x:c>
      <x:c r="E451" s="21" t="n">
        <x:f>IF('Paper Gates'!H17=1,1,0)</x:f>
        <x:v>1</x:v>
      </x:c>
      <x:c r="F451" s="21" t="n">
        <x:v>1</x:v>
      </x:c>
      <x:c r="G451" s="23" t="str">
        <x:f>IF(E451=F451,"PASS","FAIL")</x:f>
        <x:v>PASS</x:v>
      </x:c>
    </x:row>
    <x:row r="452">
      <x:c r="B452" s="21" t="str">
        <x:v>A0446</x:v>
      </x:c>
      <x:c r="C452" s="21" t="str">
        <x:v>paper gate</x:v>
      </x:c>
      <x:c r="D452" s="21" t="str">
        <x:v>gate 17 result reconciles</x:v>
      </x:c>
      <x:c r="E452" s="21" t="n">
        <x:f>IF('Paper Gates'!I17=IF('Paper Gates'!G17='Paper Gates'!H17,"PASS","FAIL"),1,0)</x:f>
        <x:v>1</x:v>
      </x:c>
      <x:c r="F452" s="21" t="n">
        <x:v>1</x:v>
      </x:c>
      <x:c r="G452" s="23" t="str">
        <x:f>IF(E452=F452,"PASS","FAIL")</x:f>
        <x:v>PASS</x:v>
      </x:c>
    </x:row>
    <x:row r="453">
      <x:c r="B453" s="21" t="str">
        <x:v>A0447</x:v>
      </x:c>
      <x:c r="C453" s="21" t="str">
        <x:v>paper gate</x:v>
      </x:c>
      <x:c r="D453" s="21" t="str">
        <x:v>gate 18 binary observation</x:v>
      </x:c>
      <x:c r="E453" s="21" t="n">
        <x:f>IF(OR('Paper Gates'!G18=0,'Paper Gates'!G18=1),1,0)</x:f>
        <x:v>1</x:v>
      </x:c>
      <x:c r="F453" s="21" t="n">
        <x:v>1</x:v>
      </x:c>
      <x:c r="G453" s="23" t="str">
        <x:f>IF(E453=F453,"PASS","FAIL")</x:f>
        <x:v>PASS</x:v>
      </x:c>
    </x:row>
    <x:row r="454">
      <x:c r="B454" s="21" t="str">
        <x:v>A0448</x:v>
      </x:c>
      <x:c r="C454" s="21" t="str">
        <x:v>paper gate</x:v>
      </x:c>
      <x:c r="D454" s="21" t="str">
        <x:v>gate 18 fixed requirement</x:v>
      </x:c>
      <x:c r="E454" s="21" t="n">
        <x:f>IF('Paper Gates'!H18=1,1,0)</x:f>
        <x:v>1</x:v>
      </x:c>
      <x:c r="F454" s="21" t="n">
        <x:v>1</x:v>
      </x:c>
      <x:c r="G454" s="23" t="str">
        <x:f>IF(E454=F454,"PASS","FAIL")</x:f>
        <x:v>PASS</x:v>
      </x:c>
    </x:row>
    <x:row r="455">
      <x:c r="B455" s="21" t="str">
        <x:v>A0449</x:v>
      </x:c>
      <x:c r="C455" s="21" t="str">
        <x:v>paper gate</x:v>
      </x:c>
      <x:c r="D455" s="21" t="str">
        <x:v>gate 18 result reconciles</x:v>
      </x:c>
      <x:c r="E455" s="21" t="n">
        <x:f>IF('Paper Gates'!I18=IF('Paper Gates'!G18='Paper Gates'!H18,"PASS","FAIL"),1,0)</x:f>
        <x:v>1</x:v>
      </x:c>
      <x:c r="F455" s="21" t="n">
        <x:v>1</x:v>
      </x:c>
      <x:c r="G455" s="23" t="str">
        <x:f>IF(E455=F455,"PASS","FAIL")</x:f>
        <x:v>PASS</x:v>
      </x:c>
    </x:row>
    <x:row r="456">
      <x:c r="B456" s="21" t="str">
        <x:v>A0450</x:v>
      </x:c>
      <x:c r="C456" s="21" t="str">
        <x:v>paper gate</x:v>
      </x:c>
      <x:c r="D456" s="21" t="str">
        <x:v>gate 19 binary observation</x:v>
      </x:c>
      <x:c r="E456" s="21" t="n">
        <x:f>IF(OR('Paper Gates'!G19=0,'Paper Gates'!G19=1),1,0)</x:f>
        <x:v>1</x:v>
      </x:c>
      <x:c r="F456" s="21" t="n">
        <x:v>1</x:v>
      </x:c>
      <x:c r="G456" s="23" t="str">
        <x:f>IF(E456=F456,"PASS","FAIL")</x:f>
        <x:v>PASS</x:v>
      </x:c>
    </x:row>
    <x:row r="457">
      <x:c r="B457" s="21" t="str">
        <x:v>A0451</x:v>
      </x:c>
      <x:c r="C457" s="21" t="str">
        <x:v>paper gate</x:v>
      </x:c>
      <x:c r="D457" s="21" t="str">
        <x:v>gate 19 fixed requirement</x:v>
      </x:c>
      <x:c r="E457" s="21" t="n">
        <x:f>IF('Paper Gates'!H19=1,1,0)</x:f>
        <x:v>1</x:v>
      </x:c>
      <x:c r="F457" s="21" t="n">
        <x:v>1</x:v>
      </x:c>
      <x:c r="G457" s="23" t="str">
        <x:f>IF(E457=F457,"PASS","FAIL")</x:f>
        <x:v>PASS</x:v>
      </x:c>
    </x:row>
    <x:row r="458">
      <x:c r="B458" s="21" t="str">
        <x:v>A0452</x:v>
      </x:c>
      <x:c r="C458" s="21" t="str">
        <x:v>paper gate</x:v>
      </x:c>
      <x:c r="D458" s="21" t="str">
        <x:v>gate 19 result reconciles</x:v>
      </x:c>
      <x:c r="E458" s="21" t="n">
        <x:f>IF('Paper Gates'!I19=IF('Paper Gates'!G19='Paper Gates'!H19,"PASS","FAIL"),1,0)</x:f>
        <x:v>1</x:v>
      </x:c>
      <x:c r="F458" s="21" t="n">
        <x:v>1</x:v>
      </x:c>
      <x:c r="G458" s="23" t="str">
        <x:f>IF(E458=F458,"PASS","FAIL")</x:f>
        <x:v>PASS</x:v>
      </x:c>
    </x:row>
    <x:row r="459">
      <x:c r="B459" s="21" t="str">
        <x:v>A0453</x:v>
      </x:c>
      <x:c r="C459" s="21" t="str">
        <x:v>paper gate</x:v>
      </x:c>
      <x:c r="D459" s="21" t="str">
        <x:v>gate 20 binary observation</x:v>
      </x:c>
      <x:c r="E459" s="21" t="n">
        <x:f>IF(OR('Paper Gates'!G20=0,'Paper Gates'!G20=1),1,0)</x:f>
        <x:v>1</x:v>
      </x:c>
      <x:c r="F459" s="21" t="n">
        <x:v>1</x:v>
      </x:c>
      <x:c r="G459" s="23" t="str">
        <x:f>IF(E459=F459,"PASS","FAIL")</x:f>
        <x:v>PASS</x:v>
      </x:c>
    </x:row>
    <x:row r="460">
      <x:c r="B460" s="21" t="str">
        <x:v>A0454</x:v>
      </x:c>
      <x:c r="C460" s="21" t="str">
        <x:v>paper gate</x:v>
      </x:c>
      <x:c r="D460" s="21" t="str">
        <x:v>gate 20 fixed requirement</x:v>
      </x:c>
      <x:c r="E460" s="21" t="n">
        <x:f>IF('Paper Gates'!H20=1,1,0)</x:f>
        <x:v>1</x:v>
      </x:c>
      <x:c r="F460" s="21" t="n">
        <x:v>1</x:v>
      </x:c>
      <x:c r="G460" s="23" t="str">
        <x:f>IF(E460=F460,"PASS","FAIL")</x:f>
        <x:v>PASS</x:v>
      </x:c>
    </x:row>
    <x:row r="461">
      <x:c r="B461" s="21" t="str">
        <x:v>A0455</x:v>
      </x:c>
      <x:c r="C461" s="21" t="str">
        <x:v>paper gate</x:v>
      </x:c>
      <x:c r="D461" s="21" t="str">
        <x:v>gate 20 result reconciles</x:v>
      </x:c>
      <x:c r="E461" s="21" t="n">
        <x:f>IF('Paper Gates'!I20=IF('Paper Gates'!G20='Paper Gates'!H20,"PASS","FAIL"),1,0)</x:f>
        <x:v>1</x:v>
      </x:c>
      <x:c r="F461" s="21" t="n">
        <x:v>1</x:v>
      </x:c>
      <x:c r="G461" s="23" t="str">
        <x:f>IF(E461=F461,"PASS","FAIL")</x:f>
        <x:v>PASS</x:v>
      </x:c>
    </x:row>
    <x:row r="462">
      <x:c r="B462" s="21" t="str">
        <x:v>A0456</x:v>
      </x:c>
      <x:c r="C462" s="21" t="str">
        <x:v>paper gate</x:v>
      </x:c>
      <x:c r="D462" s="21" t="str">
        <x:v>gate 21 binary observation</x:v>
      </x:c>
      <x:c r="E462" s="21" t="n">
        <x:f>IF(OR('Paper Gates'!G21=0,'Paper Gates'!G21=1),1,0)</x:f>
        <x:v>1</x:v>
      </x:c>
      <x:c r="F462" s="21" t="n">
        <x:v>1</x:v>
      </x:c>
      <x:c r="G462" s="23" t="str">
        <x:f>IF(E462=F462,"PASS","FAIL")</x:f>
        <x:v>PASS</x:v>
      </x:c>
    </x:row>
    <x:row r="463">
      <x:c r="B463" s="21" t="str">
        <x:v>A0457</x:v>
      </x:c>
      <x:c r="C463" s="21" t="str">
        <x:v>paper gate</x:v>
      </x:c>
      <x:c r="D463" s="21" t="str">
        <x:v>gate 21 fixed requirement</x:v>
      </x:c>
      <x:c r="E463" s="21" t="n">
        <x:f>IF('Paper Gates'!H21=1,1,0)</x:f>
        <x:v>1</x:v>
      </x:c>
      <x:c r="F463" s="21" t="n">
        <x:v>1</x:v>
      </x:c>
      <x:c r="G463" s="23" t="str">
        <x:f>IF(E463=F463,"PASS","FAIL")</x:f>
        <x:v>PASS</x:v>
      </x:c>
    </x:row>
    <x:row r="464">
      <x:c r="B464" s="21" t="str">
        <x:v>A0458</x:v>
      </x:c>
      <x:c r="C464" s="21" t="str">
        <x:v>paper gate</x:v>
      </x:c>
      <x:c r="D464" s="21" t="str">
        <x:v>gate 21 result reconciles</x:v>
      </x:c>
      <x:c r="E464" s="21" t="n">
        <x:f>IF('Paper Gates'!I21=IF('Paper Gates'!G21='Paper Gates'!H21,"PASS","FAIL"),1,0)</x:f>
        <x:v>1</x:v>
      </x:c>
      <x:c r="F464" s="21" t="n">
        <x:v>1</x:v>
      </x:c>
      <x:c r="G464" s="23" t="str">
        <x:f>IF(E464=F464,"PASS","FAIL")</x:f>
        <x:v>PASS</x:v>
      </x:c>
    </x:row>
    <x:row r="465">
      <x:c r="B465" s="21" t="str">
        <x:v>A0459</x:v>
      </x:c>
      <x:c r="C465" s="21" t="str">
        <x:v>paper gate</x:v>
      </x:c>
      <x:c r="D465" s="21" t="str">
        <x:v>gate 22 binary observation</x:v>
      </x:c>
      <x:c r="E465" s="21" t="n">
        <x:f>IF(OR('Paper Gates'!G22=0,'Paper Gates'!G22=1),1,0)</x:f>
        <x:v>1</x:v>
      </x:c>
      <x:c r="F465" s="21" t="n">
        <x:v>1</x:v>
      </x:c>
      <x:c r="G465" s="23" t="str">
        <x:f>IF(E465=F465,"PASS","FAIL")</x:f>
        <x:v>PASS</x:v>
      </x:c>
    </x:row>
    <x:row r="466">
      <x:c r="B466" s="21" t="str">
        <x:v>A0460</x:v>
      </x:c>
      <x:c r="C466" s="21" t="str">
        <x:v>paper gate</x:v>
      </x:c>
      <x:c r="D466" s="21" t="str">
        <x:v>gate 22 fixed requirement</x:v>
      </x:c>
      <x:c r="E466" s="21" t="n">
        <x:f>IF('Paper Gates'!H22=1,1,0)</x:f>
        <x:v>1</x:v>
      </x:c>
      <x:c r="F466" s="21" t="n">
        <x:v>1</x:v>
      </x:c>
      <x:c r="G466" s="23" t="str">
        <x:f>IF(E466=F466,"PASS","FAIL")</x:f>
        <x:v>PASS</x:v>
      </x:c>
    </x:row>
    <x:row r="467">
      <x:c r="B467" s="21" t="str">
        <x:v>A0461</x:v>
      </x:c>
      <x:c r="C467" s="21" t="str">
        <x:v>paper gate</x:v>
      </x:c>
      <x:c r="D467" s="21" t="str">
        <x:v>gate 22 result reconciles</x:v>
      </x:c>
      <x:c r="E467" s="21" t="n">
        <x:f>IF('Paper Gates'!I22=IF('Paper Gates'!G22='Paper Gates'!H22,"PASS","FAIL"),1,0)</x:f>
        <x:v>1</x:v>
      </x:c>
      <x:c r="F467" s="21" t="n">
        <x:v>1</x:v>
      </x:c>
      <x:c r="G467" s="23" t="str">
        <x:f>IF(E467=F467,"PASS","FAIL")</x:f>
        <x:v>PASS</x:v>
      </x:c>
    </x:row>
    <x:row r="468">
      <x:c r="B468" s="21" t="str">
        <x:v>A0462</x:v>
      </x:c>
      <x:c r="C468" s="21" t="str">
        <x:v>paper gate</x:v>
      </x:c>
      <x:c r="D468" s="21" t="str">
        <x:v>gate 23 binary observation</x:v>
      </x:c>
      <x:c r="E468" s="21" t="n">
        <x:f>IF(OR('Paper Gates'!G23=0,'Paper Gates'!G23=1),1,0)</x:f>
        <x:v>1</x:v>
      </x:c>
      <x:c r="F468" s="21" t="n">
        <x:v>1</x:v>
      </x:c>
      <x:c r="G468" s="23" t="str">
        <x:f>IF(E468=F468,"PASS","FAIL")</x:f>
        <x:v>PASS</x:v>
      </x:c>
    </x:row>
    <x:row r="469">
      <x:c r="B469" s="21" t="str">
        <x:v>A0463</x:v>
      </x:c>
      <x:c r="C469" s="21" t="str">
        <x:v>paper gate</x:v>
      </x:c>
      <x:c r="D469" s="21" t="str">
        <x:v>gate 23 fixed requirement</x:v>
      </x:c>
      <x:c r="E469" s="21" t="n">
        <x:f>IF('Paper Gates'!H23=1,1,0)</x:f>
        <x:v>1</x:v>
      </x:c>
      <x:c r="F469" s="21" t="n">
        <x:v>1</x:v>
      </x:c>
      <x:c r="G469" s="23" t="str">
        <x:f>IF(E469=F469,"PASS","FAIL")</x:f>
        <x:v>PASS</x:v>
      </x:c>
    </x:row>
    <x:row r="470">
      <x:c r="B470" s="21" t="str">
        <x:v>A0464</x:v>
      </x:c>
      <x:c r="C470" s="21" t="str">
        <x:v>paper gate</x:v>
      </x:c>
      <x:c r="D470" s="21" t="str">
        <x:v>gate 23 result reconciles</x:v>
      </x:c>
      <x:c r="E470" s="21" t="n">
        <x:f>IF('Paper Gates'!I23=IF('Paper Gates'!G23='Paper Gates'!H23,"PASS","FAIL"),1,0)</x:f>
        <x:v>1</x:v>
      </x:c>
      <x:c r="F470" s="21" t="n">
        <x:v>1</x:v>
      </x:c>
      <x:c r="G470" s="23" t="str">
        <x:f>IF(E470=F470,"PASS","FAIL")</x:f>
        <x:v>PASS</x:v>
      </x:c>
    </x:row>
    <x:row r="471">
      <x:c r="B471" s="21" t="str">
        <x:v>A0465</x:v>
      </x:c>
      <x:c r="C471" s="21" t="str">
        <x:v>paper gate</x:v>
      </x:c>
      <x:c r="D471" s="21" t="str">
        <x:v>gate 24 binary observation</x:v>
      </x:c>
      <x:c r="E471" s="21" t="n">
        <x:f>IF(OR('Paper Gates'!G24=0,'Paper Gates'!G24=1),1,0)</x:f>
        <x:v>1</x:v>
      </x:c>
      <x:c r="F471" s="21" t="n">
        <x:v>1</x:v>
      </x:c>
      <x:c r="G471" s="23" t="str">
        <x:f>IF(E471=F471,"PASS","FAIL")</x:f>
        <x:v>PASS</x:v>
      </x:c>
    </x:row>
    <x:row r="472">
      <x:c r="B472" s="21" t="str">
        <x:v>A0466</x:v>
      </x:c>
      <x:c r="C472" s="21" t="str">
        <x:v>paper gate</x:v>
      </x:c>
      <x:c r="D472" s="21" t="str">
        <x:v>gate 24 fixed requirement</x:v>
      </x:c>
      <x:c r="E472" s="21" t="n">
        <x:f>IF('Paper Gates'!H24=1,1,0)</x:f>
        <x:v>1</x:v>
      </x:c>
      <x:c r="F472" s="21" t="n">
        <x:v>1</x:v>
      </x:c>
      <x:c r="G472" s="23" t="str">
        <x:f>IF(E472=F472,"PASS","FAIL")</x:f>
        <x:v>PASS</x:v>
      </x:c>
    </x:row>
    <x:row r="473">
      <x:c r="B473" s="21" t="str">
        <x:v>A0467</x:v>
      </x:c>
      <x:c r="C473" s="21" t="str">
        <x:v>paper gate</x:v>
      </x:c>
      <x:c r="D473" s="21" t="str">
        <x:v>gate 24 result reconciles</x:v>
      </x:c>
      <x:c r="E473" s="21" t="n">
        <x:f>IF('Paper Gates'!I24=IF('Paper Gates'!G24='Paper Gates'!H24,"PASS","FAIL"),1,0)</x:f>
        <x:v>1</x:v>
      </x:c>
      <x:c r="F473" s="21" t="n">
        <x:v>1</x:v>
      </x:c>
      <x:c r="G473" s="23" t="str">
        <x:f>IF(E473=F473,"PASS","FAIL")</x:f>
        <x:v>PASS</x:v>
      </x:c>
    </x:row>
    <x:row r="474">
      <x:c r="B474" s="21" t="str">
        <x:v>A0468</x:v>
      </x:c>
      <x:c r="C474" s="21" t="str">
        <x:v>paper gate</x:v>
      </x:c>
      <x:c r="D474" s="21" t="str">
        <x:v>gate 25 binary observation</x:v>
      </x:c>
      <x:c r="E474" s="21" t="n">
        <x:f>IF(OR('Paper Gates'!G25=0,'Paper Gates'!G25=1),1,0)</x:f>
        <x:v>1</x:v>
      </x:c>
      <x:c r="F474" s="21" t="n">
        <x:v>1</x:v>
      </x:c>
      <x:c r="G474" s="23" t="str">
        <x:f>IF(E474=F474,"PASS","FAIL")</x:f>
        <x:v>PASS</x:v>
      </x:c>
    </x:row>
    <x:row r="475">
      <x:c r="B475" s="21" t="str">
        <x:v>A0469</x:v>
      </x:c>
      <x:c r="C475" s="21" t="str">
        <x:v>paper gate</x:v>
      </x:c>
      <x:c r="D475" s="21" t="str">
        <x:v>gate 25 fixed requirement</x:v>
      </x:c>
      <x:c r="E475" s="21" t="n">
        <x:f>IF('Paper Gates'!H25=1,1,0)</x:f>
        <x:v>1</x:v>
      </x:c>
      <x:c r="F475" s="21" t="n">
        <x:v>1</x:v>
      </x:c>
      <x:c r="G475" s="23" t="str">
        <x:f>IF(E475=F475,"PASS","FAIL")</x:f>
        <x:v>PASS</x:v>
      </x:c>
    </x:row>
    <x:row r="476">
      <x:c r="B476" s="21" t="str">
        <x:v>A0470</x:v>
      </x:c>
      <x:c r="C476" s="21" t="str">
        <x:v>paper gate</x:v>
      </x:c>
      <x:c r="D476" s="21" t="str">
        <x:v>gate 25 result reconciles</x:v>
      </x:c>
      <x:c r="E476" s="21" t="n">
        <x:f>IF('Paper Gates'!I25=IF('Paper Gates'!G25='Paper Gates'!H25,"PASS","FAIL"),1,0)</x:f>
        <x:v>1</x:v>
      </x:c>
      <x:c r="F476" s="21" t="n">
        <x:v>1</x:v>
      </x:c>
      <x:c r="G476" s="23" t="str">
        <x:f>IF(E476=F476,"PASS","FAIL")</x:f>
        <x:v>PASS</x:v>
      </x:c>
    </x:row>
    <x:row r="477">
      <x:c r="B477" s="21" t="str">
        <x:v>A0471</x:v>
      </x:c>
      <x:c r="C477" s="21" t="str">
        <x:v>paper gate</x:v>
      </x:c>
      <x:c r="D477" s="21" t="str">
        <x:v>gate 26 binary observation</x:v>
      </x:c>
      <x:c r="E477" s="21" t="n">
        <x:f>IF(OR('Paper Gates'!G26=0,'Paper Gates'!G26=1),1,0)</x:f>
        <x:v>1</x:v>
      </x:c>
      <x:c r="F477" s="21" t="n">
        <x:v>1</x:v>
      </x:c>
      <x:c r="G477" s="23" t="str">
        <x:f>IF(E477=F477,"PASS","FAIL")</x:f>
        <x:v>PASS</x:v>
      </x:c>
    </x:row>
    <x:row r="478">
      <x:c r="B478" s="21" t="str">
        <x:v>A0472</x:v>
      </x:c>
      <x:c r="C478" s="21" t="str">
        <x:v>paper gate</x:v>
      </x:c>
      <x:c r="D478" s="21" t="str">
        <x:v>gate 26 fixed requirement</x:v>
      </x:c>
      <x:c r="E478" s="21" t="n">
        <x:f>IF('Paper Gates'!H26=1,1,0)</x:f>
        <x:v>1</x:v>
      </x:c>
      <x:c r="F478" s="21" t="n">
        <x:v>1</x:v>
      </x:c>
      <x:c r="G478" s="23" t="str">
        <x:f>IF(E478=F478,"PASS","FAIL")</x:f>
        <x:v>PASS</x:v>
      </x:c>
    </x:row>
    <x:row r="479">
      <x:c r="B479" s="21" t="str">
        <x:v>A0473</x:v>
      </x:c>
      <x:c r="C479" s="21" t="str">
        <x:v>paper gate</x:v>
      </x:c>
      <x:c r="D479" s="21" t="str">
        <x:v>gate 26 result reconciles</x:v>
      </x:c>
      <x:c r="E479" s="21" t="n">
        <x:f>IF('Paper Gates'!I26=IF('Paper Gates'!G26='Paper Gates'!H26,"PASS","FAIL"),1,0)</x:f>
        <x:v>1</x:v>
      </x:c>
      <x:c r="F479" s="21" t="n">
        <x:v>1</x:v>
      </x:c>
      <x:c r="G479" s="23" t="str">
        <x:f>IF(E479=F479,"PASS","FAIL")</x:f>
        <x:v>PASS</x:v>
      </x:c>
    </x:row>
    <x:row r="480">
      <x:c r="B480" s="21" t="str">
        <x:v>A0474</x:v>
      </x:c>
      <x:c r="C480" s="21" t="str">
        <x:v>paper gate</x:v>
      </x:c>
      <x:c r="D480" s="21" t="str">
        <x:v>gate 27 binary observation</x:v>
      </x:c>
      <x:c r="E480" s="21" t="n">
        <x:f>IF(OR('Paper Gates'!G27=0,'Paper Gates'!G27=1),1,0)</x:f>
        <x:v>1</x:v>
      </x:c>
      <x:c r="F480" s="21" t="n">
        <x:v>1</x:v>
      </x:c>
      <x:c r="G480" s="23" t="str">
        <x:f>IF(E480=F480,"PASS","FAIL")</x:f>
        <x:v>PASS</x:v>
      </x:c>
    </x:row>
    <x:row r="481">
      <x:c r="B481" s="21" t="str">
        <x:v>A0475</x:v>
      </x:c>
      <x:c r="C481" s="21" t="str">
        <x:v>paper gate</x:v>
      </x:c>
      <x:c r="D481" s="21" t="str">
        <x:v>gate 27 fixed requirement</x:v>
      </x:c>
      <x:c r="E481" s="21" t="n">
        <x:f>IF('Paper Gates'!H27=1,1,0)</x:f>
        <x:v>1</x:v>
      </x:c>
      <x:c r="F481" s="21" t="n">
        <x:v>1</x:v>
      </x:c>
      <x:c r="G481" s="23" t="str">
        <x:f>IF(E481=F481,"PASS","FAIL")</x:f>
        <x:v>PASS</x:v>
      </x:c>
    </x:row>
    <x:row r="482">
      <x:c r="B482" s="21" t="str">
        <x:v>A0476</x:v>
      </x:c>
      <x:c r="C482" s="21" t="str">
        <x:v>paper gate</x:v>
      </x:c>
      <x:c r="D482" s="21" t="str">
        <x:v>gate 27 result reconciles</x:v>
      </x:c>
      <x:c r="E482" s="21" t="n">
        <x:f>IF('Paper Gates'!I27=IF('Paper Gates'!G27='Paper Gates'!H27,"PASS","FAIL"),1,0)</x:f>
        <x:v>1</x:v>
      </x:c>
      <x:c r="F482" s="21" t="n">
        <x:v>1</x:v>
      </x:c>
      <x:c r="G482" s="23" t="str">
        <x:f>IF(E482=F482,"PASS","FAIL")</x:f>
        <x:v>PASS</x:v>
      </x:c>
    </x:row>
    <x:row r="483">
      <x:c r="B483" s="21" t="str">
        <x:v>A0477</x:v>
      </x:c>
      <x:c r="C483" s="21" t="str">
        <x:v>paper gate</x:v>
      </x:c>
      <x:c r="D483" s="21" t="str">
        <x:v>gate 28 binary observation</x:v>
      </x:c>
      <x:c r="E483" s="21" t="n">
        <x:f>IF(OR('Paper Gates'!G28=0,'Paper Gates'!G28=1),1,0)</x:f>
        <x:v>1</x:v>
      </x:c>
      <x:c r="F483" s="21" t="n">
        <x:v>1</x:v>
      </x:c>
      <x:c r="G483" s="23" t="str">
        <x:f>IF(E483=F483,"PASS","FAIL")</x:f>
        <x:v>PASS</x:v>
      </x:c>
    </x:row>
    <x:row r="484">
      <x:c r="B484" s="21" t="str">
        <x:v>A0478</x:v>
      </x:c>
      <x:c r="C484" s="21" t="str">
        <x:v>paper gate</x:v>
      </x:c>
      <x:c r="D484" s="21" t="str">
        <x:v>gate 28 fixed requirement</x:v>
      </x:c>
      <x:c r="E484" s="21" t="n">
        <x:f>IF('Paper Gates'!H28=1,1,0)</x:f>
        <x:v>1</x:v>
      </x:c>
      <x:c r="F484" s="21" t="n">
        <x:v>1</x:v>
      </x:c>
      <x:c r="G484" s="23" t="str">
        <x:f>IF(E484=F484,"PASS","FAIL")</x:f>
        <x:v>PASS</x:v>
      </x:c>
    </x:row>
    <x:row r="485">
      <x:c r="B485" s="21" t="str">
        <x:v>A0479</x:v>
      </x:c>
      <x:c r="C485" s="21" t="str">
        <x:v>paper gate</x:v>
      </x:c>
      <x:c r="D485" s="21" t="str">
        <x:v>gate 28 result reconciles</x:v>
      </x:c>
      <x:c r="E485" s="21" t="n">
        <x:f>IF('Paper Gates'!I28=IF('Paper Gates'!G28='Paper Gates'!H28,"PASS","FAIL"),1,0)</x:f>
        <x:v>1</x:v>
      </x:c>
      <x:c r="F485" s="21" t="n">
        <x:v>1</x:v>
      </x:c>
      <x:c r="G485" s="23" t="str">
        <x:f>IF(E485=F485,"PASS","FAIL")</x:f>
        <x:v>PASS</x:v>
      </x:c>
    </x:row>
    <x:row r="486">
      <x:c r="B486" s="21" t="str">
        <x:v>A0480</x:v>
      </x:c>
      <x:c r="C486" s="21" t="str">
        <x:v>paper gate</x:v>
      </x:c>
      <x:c r="D486" s="21" t="str">
        <x:v>gate 29 binary observation</x:v>
      </x:c>
      <x:c r="E486" s="21" t="n">
        <x:f>IF(OR('Paper Gates'!G29=0,'Paper Gates'!G29=1),1,0)</x:f>
        <x:v>1</x:v>
      </x:c>
      <x:c r="F486" s="21" t="n">
        <x:v>1</x:v>
      </x:c>
      <x:c r="G486" s="23" t="str">
        <x:f>IF(E486=F486,"PASS","FAIL")</x:f>
        <x:v>PASS</x:v>
      </x:c>
    </x:row>
    <x:row r="487">
      <x:c r="B487" s="21" t="str">
        <x:v>A0481</x:v>
      </x:c>
      <x:c r="C487" s="21" t="str">
        <x:v>paper gate</x:v>
      </x:c>
      <x:c r="D487" s="21" t="str">
        <x:v>gate 29 fixed requirement</x:v>
      </x:c>
      <x:c r="E487" s="21" t="n">
        <x:f>IF('Paper Gates'!H29=1,1,0)</x:f>
        <x:v>1</x:v>
      </x:c>
      <x:c r="F487" s="21" t="n">
        <x:v>1</x:v>
      </x:c>
      <x:c r="G487" s="23" t="str">
        <x:f>IF(E487=F487,"PASS","FAIL")</x:f>
        <x:v>PASS</x:v>
      </x:c>
    </x:row>
    <x:row r="488">
      <x:c r="B488" s="21" t="str">
        <x:v>A0482</x:v>
      </x:c>
      <x:c r="C488" s="21" t="str">
        <x:v>paper gate</x:v>
      </x:c>
      <x:c r="D488" s="21" t="str">
        <x:v>gate 29 result reconciles</x:v>
      </x:c>
      <x:c r="E488" s="21" t="n">
        <x:f>IF('Paper Gates'!I29=IF('Paper Gates'!G29='Paper Gates'!H29,"PASS","FAIL"),1,0)</x:f>
        <x:v>1</x:v>
      </x:c>
      <x:c r="F488" s="21" t="n">
        <x:v>1</x:v>
      </x:c>
      <x:c r="G488" s="23" t="str">
        <x:f>IF(E488=F488,"PASS","FAIL")</x:f>
        <x:v>PASS</x:v>
      </x:c>
    </x:row>
    <x:row r="489">
      <x:c r="B489" s="21" t="str">
        <x:v>A0483</x:v>
      </x:c>
      <x:c r="C489" s="21" t="str">
        <x:v>paper gate</x:v>
      </x:c>
      <x:c r="D489" s="21" t="str">
        <x:v>gate 30 binary observation</x:v>
      </x:c>
      <x:c r="E489" s="21" t="n">
        <x:f>IF(OR('Paper Gates'!G30=0,'Paper Gates'!G30=1),1,0)</x:f>
        <x:v>1</x:v>
      </x:c>
      <x:c r="F489" s="21" t="n">
        <x:v>1</x:v>
      </x:c>
      <x:c r="G489" s="23" t="str">
        <x:f>IF(E489=F489,"PASS","FAIL")</x:f>
        <x:v>PASS</x:v>
      </x:c>
    </x:row>
    <x:row r="490">
      <x:c r="B490" s="21" t="str">
        <x:v>A0484</x:v>
      </x:c>
      <x:c r="C490" s="21" t="str">
        <x:v>paper gate</x:v>
      </x:c>
      <x:c r="D490" s="21" t="str">
        <x:v>gate 30 fixed requirement</x:v>
      </x:c>
      <x:c r="E490" s="21" t="n">
        <x:f>IF('Paper Gates'!H30=1,1,0)</x:f>
        <x:v>1</x:v>
      </x:c>
      <x:c r="F490" s="21" t="n">
        <x:v>1</x:v>
      </x:c>
      <x:c r="G490" s="23" t="str">
        <x:f>IF(E490=F490,"PASS","FAIL")</x:f>
        <x:v>PASS</x:v>
      </x:c>
    </x:row>
    <x:row r="491">
      <x:c r="B491" s="21" t="str">
        <x:v>A0485</x:v>
      </x:c>
      <x:c r="C491" s="21" t="str">
        <x:v>paper gate</x:v>
      </x:c>
      <x:c r="D491" s="21" t="str">
        <x:v>gate 30 result reconciles</x:v>
      </x:c>
      <x:c r="E491" s="21" t="n">
        <x:f>IF('Paper Gates'!I30=IF('Paper Gates'!G30='Paper Gates'!H30,"PASS","FAIL"),1,0)</x:f>
        <x:v>1</x:v>
      </x:c>
      <x:c r="F491" s="21" t="n">
        <x:v>1</x:v>
      </x:c>
      <x:c r="G491" s="23" t="str">
        <x:f>IF(E491=F491,"PASS","FAIL")</x:f>
        <x:v>PASS</x:v>
      </x:c>
    </x:row>
    <x:row r="492">
      <x:c r="B492" s="21" t="str">
        <x:v>A0486</x:v>
      </x:c>
      <x:c r="C492" s="21" t="str">
        <x:v>paper gate</x:v>
      </x:c>
      <x:c r="D492" s="21" t="str">
        <x:v>gate 31 binary observation</x:v>
      </x:c>
      <x:c r="E492" s="21" t="n">
        <x:f>IF(OR('Paper Gates'!G31=0,'Paper Gates'!G31=1),1,0)</x:f>
        <x:v>1</x:v>
      </x:c>
      <x:c r="F492" s="21" t="n">
        <x:v>1</x:v>
      </x:c>
      <x:c r="G492" s="23" t="str">
        <x:f>IF(E492=F492,"PASS","FAIL")</x:f>
        <x:v>PASS</x:v>
      </x:c>
    </x:row>
    <x:row r="493">
      <x:c r="B493" s="21" t="str">
        <x:v>A0487</x:v>
      </x:c>
      <x:c r="C493" s="21" t="str">
        <x:v>paper gate</x:v>
      </x:c>
      <x:c r="D493" s="21" t="str">
        <x:v>gate 31 fixed requirement</x:v>
      </x:c>
      <x:c r="E493" s="21" t="n">
        <x:f>IF('Paper Gates'!H31=1,1,0)</x:f>
        <x:v>1</x:v>
      </x:c>
      <x:c r="F493" s="21" t="n">
        <x:v>1</x:v>
      </x:c>
      <x:c r="G493" s="23" t="str">
        <x:f>IF(E493=F493,"PASS","FAIL")</x:f>
        <x:v>PASS</x:v>
      </x:c>
    </x:row>
    <x:row r="494">
      <x:c r="B494" s="21" t="str">
        <x:v>A0488</x:v>
      </x:c>
      <x:c r="C494" s="21" t="str">
        <x:v>paper gate</x:v>
      </x:c>
      <x:c r="D494" s="21" t="str">
        <x:v>gate 31 result reconciles</x:v>
      </x:c>
      <x:c r="E494" s="21" t="n">
        <x:f>IF('Paper Gates'!I31=IF('Paper Gates'!G31='Paper Gates'!H31,"PASS","FAIL"),1,0)</x:f>
        <x:v>1</x:v>
      </x:c>
      <x:c r="F494" s="21" t="n">
        <x:v>1</x:v>
      </x:c>
      <x:c r="G494" s="23" t="str">
        <x:f>IF(E494=F494,"PASS","FAIL")</x:f>
        <x:v>PASS</x:v>
      </x:c>
    </x:row>
    <x:row r="495">
      <x:c r="B495" s="21" t="str">
        <x:v>A0489</x:v>
      </x:c>
      <x:c r="C495" s="21" t="str">
        <x:v>paper gate</x:v>
      </x:c>
      <x:c r="D495" s="21" t="str">
        <x:v>gate 32 binary observation</x:v>
      </x:c>
      <x:c r="E495" s="21" t="n">
        <x:f>IF(OR('Paper Gates'!G32=0,'Paper Gates'!G32=1),1,0)</x:f>
        <x:v>1</x:v>
      </x:c>
      <x:c r="F495" s="21" t="n">
        <x:v>1</x:v>
      </x:c>
      <x:c r="G495" s="23" t="str">
        <x:f>IF(E495=F495,"PASS","FAIL")</x:f>
        <x:v>PASS</x:v>
      </x:c>
    </x:row>
    <x:row r="496">
      <x:c r="B496" s="21" t="str">
        <x:v>A0490</x:v>
      </x:c>
      <x:c r="C496" s="21" t="str">
        <x:v>paper gate</x:v>
      </x:c>
      <x:c r="D496" s="21" t="str">
        <x:v>gate 32 fixed requirement</x:v>
      </x:c>
      <x:c r="E496" s="21" t="n">
        <x:f>IF('Paper Gates'!H32=1,1,0)</x:f>
        <x:v>1</x:v>
      </x:c>
      <x:c r="F496" s="21" t="n">
        <x:v>1</x:v>
      </x:c>
      <x:c r="G496" s="23" t="str">
        <x:f>IF(E496=F496,"PASS","FAIL")</x:f>
        <x:v>PASS</x:v>
      </x:c>
    </x:row>
    <x:row r="497">
      <x:c r="B497" s="21" t="str">
        <x:v>A0491</x:v>
      </x:c>
      <x:c r="C497" s="21" t="str">
        <x:v>paper gate</x:v>
      </x:c>
      <x:c r="D497" s="21" t="str">
        <x:v>gate 32 result reconciles</x:v>
      </x:c>
      <x:c r="E497" s="21" t="n">
        <x:f>IF('Paper Gates'!I32=IF('Paper Gates'!G32='Paper Gates'!H32,"PASS","FAIL"),1,0)</x:f>
        <x:v>1</x:v>
      </x:c>
      <x:c r="F497" s="21" t="n">
        <x:v>1</x:v>
      </x:c>
      <x:c r="G497" s="23" t="str">
        <x:f>IF(E497=F497,"PASS","FAIL")</x:f>
        <x:v>PASS</x:v>
      </x:c>
    </x:row>
    <x:row r="498">
      <x:c r="B498" s="21" t="str">
        <x:v>A0492</x:v>
      </x:c>
      <x:c r="C498" s="21" t="str">
        <x:v>paper gate</x:v>
      </x:c>
      <x:c r="D498" s="21" t="str">
        <x:v>gate 33 binary observation</x:v>
      </x:c>
      <x:c r="E498" s="21" t="n">
        <x:f>IF(OR('Paper Gates'!G33=0,'Paper Gates'!G33=1),1,0)</x:f>
        <x:v>1</x:v>
      </x:c>
      <x:c r="F498" s="21" t="n">
        <x:v>1</x:v>
      </x:c>
      <x:c r="G498" s="23" t="str">
        <x:f>IF(E498=F498,"PASS","FAIL")</x:f>
        <x:v>PASS</x:v>
      </x:c>
    </x:row>
    <x:row r="499">
      <x:c r="B499" s="21" t="str">
        <x:v>A0493</x:v>
      </x:c>
      <x:c r="C499" s="21" t="str">
        <x:v>paper gate</x:v>
      </x:c>
      <x:c r="D499" s="21" t="str">
        <x:v>gate 33 fixed requirement</x:v>
      </x:c>
      <x:c r="E499" s="21" t="n">
        <x:f>IF('Paper Gates'!H33=1,1,0)</x:f>
        <x:v>1</x:v>
      </x:c>
      <x:c r="F499" s="21" t="n">
        <x:v>1</x:v>
      </x:c>
      <x:c r="G499" s="23" t="str">
        <x:f>IF(E499=F499,"PASS","FAIL")</x:f>
        <x:v>PASS</x:v>
      </x:c>
    </x:row>
    <x:row r="500">
      <x:c r="B500" s="21" t="str">
        <x:v>A0494</x:v>
      </x:c>
      <x:c r="C500" s="21" t="str">
        <x:v>paper gate</x:v>
      </x:c>
      <x:c r="D500" s="21" t="str">
        <x:v>gate 33 result reconciles</x:v>
      </x:c>
      <x:c r="E500" s="21" t="n">
        <x:f>IF('Paper Gates'!I33=IF('Paper Gates'!G33='Paper Gates'!H33,"PASS","FAIL"),1,0)</x:f>
        <x:v>1</x:v>
      </x:c>
      <x:c r="F500" s="21" t="n">
        <x:v>1</x:v>
      </x:c>
      <x:c r="G500" s="23" t="str">
        <x:f>IF(E500=F500,"PASS","FAIL")</x:f>
        <x:v>PASS</x:v>
      </x:c>
    </x:row>
    <x:row r="501">
      <x:c r="B501" s="21" t="str">
        <x:v>A0495</x:v>
      </x:c>
      <x:c r="C501" s="21" t="str">
        <x:v>paper gate</x:v>
      </x:c>
      <x:c r="D501" s="21" t="str">
        <x:v>gate 34 binary observation</x:v>
      </x:c>
      <x:c r="E501" s="21" t="n">
        <x:f>IF(OR('Paper Gates'!G34=0,'Paper Gates'!G34=1),1,0)</x:f>
        <x:v>1</x:v>
      </x:c>
      <x:c r="F501" s="21" t="n">
        <x:v>1</x:v>
      </x:c>
      <x:c r="G501" s="23" t="str">
        <x:f>IF(E501=F501,"PASS","FAIL")</x:f>
        <x:v>PASS</x:v>
      </x:c>
    </x:row>
    <x:row r="502">
      <x:c r="B502" s="21" t="str">
        <x:v>A0496</x:v>
      </x:c>
      <x:c r="C502" s="21" t="str">
        <x:v>paper gate</x:v>
      </x:c>
      <x:c r="D502" s="21" t="str">
        <x:v>gate 34 fixed requirement</x:v>
      </x:c>
      <x:c r="E502" s="21" t="n">
        <x:f>IF('Paper Gates'!H34=1,1,0)</x:f>
        <x:v>1</x:v>
      </x:c>
      <x:c r="F502" s="21" t="n">
        <x:v>1</x:v>
      </x:c>
      <x:c r="G502" s="23" t="str">
        <x:f>IF(E502=F502,"PASS","FAIL")</x:f>
        <x:v>PASS</x:v>
      </x:c>
    </x:row>
    <x:row r="503">
      <x:c r="B503" s="21" t="str">
        <x:v>A0497</x:v>
      </x:c>
      <x:c r="C503" s="21" t="str">
        <x:v>paper gate</x:v>
      </x:c>
      <x:c r="D503" s="21" t="str">
        <x:v>gate 34 result reconciles</x:v>
      </x:c>
      <x:c r="E503" s="21" t="n">
        <x:f>IF('Paper Gates'!I34=IF('Paper Gates'!G34='Paper Gates'!H34,"PASS","FAIL"),1,0)</x:f>
        <x:v>1</x:v>
      </x:c>
      <x:c r="F503" s="21" t="n">
        <x:v>1</x:v>
      </x:c>
      <x:c r="G503" s="23" t="str">
        <x:f>IF(E503=F503,"PASS","FAIL")</x:f>
        <x:v>PASS</x:v>
      </x:c>
    </x:row>
    <x:row r="504">
      <x:c r="B504" s="21" t="str">
        <x:v>A0498</x:v>
      </x:c>
      <x:c r="C504" s="21" t="str">
        <x:v>paper gate</x:v>
      </x:c>
      <x:c r="D504" s="21" t="str">
        <x:v>gate 35 binary observation</x:v>
      </x:c>
      <x:c r="E504" s="21" t="n">
        <x:f>IF(OR('Paper Gates'!G35=0,'Paper Gates'!G35=1),1,0)</x:f>
        <x:v>1</x:v>
      </x:c>
      <x:c r="F504" s="21" t="n">
        <x:v>1</x:v>
      </x:c>
      <x:c r="G504" s="23" t="str">
        <x:f>IF(E504=F504,"PASS","FAIL")</x:f>
        <x:v>PASS</x:v>
      </x:c>
    </x:row>
    <x:row r="505">
      <x:c r="B505" s="21" t="str">
        <x:v>A0499</x:v>
      </x:c>
      <x:c r="C505" s="21" t="str">
        <x:v>paper gate</x:v>
      </x:c>
      <x:c r="D505" s="21" t="str">
        <x:v>gate 35 fixed requirement</x:v>
      </x:c>
      <x:c r="E505" s="21" t="n">
        <x:f>IF('Paper Gates'!H35=1,1,0)</x:f>
        <x:v>1</x:v>
      </x:c>
      <x:c r="F505" s="21" t="n">
        <x:v>1</x:v>
      </x:c>
      <x:c r="G505" s="23" t="str">
        <x:f>IF(E505=F505,"PASS","FAIL")</x:f>
        <x:v>PASS</x:v>
      </x:c>
    </x:row>
    <x:row r="506">
      <x:c r="B506" s="21" t="str">
        <x:v>A0500</x:v>
      </x:c>
      <x:c r="C506" s="21" t="str">
        <x:v>paper gate</x:v>
      </x:c>
      <x:c r="D506" s="21" t="str">
        <x:v>gate 35 result reconciles</x:v>
      </x:c>
      <x:c r="E506" s="21" t="n">
        <x:f>IF('Paper Gates'!I35=IF('Paper Gates'!G35='Paper Gates'!H35,"PASS","FAIL"),1,0)</x:f>
        <x:v>1</x:v>
      </x:c>
      <x:c r="F506" s="21" t="n">
        <x:v>1</x:v>
      </x:c>
      <x:c r="G506" s="23" t="str">
        <x:f>IF(E506=F506,"PASS","FAIL")</x:f>
        <x:v>PASS</x:v>
      </x:c>
    </x:row>
    <x:row r="507">
      <x:c r="B507" s="21" t="str">
        <x:v>A0501</x:v>
      </x:c>
      <x:c r="C507" s="21" t="str">
        <x:v>paper gate</x:v>
      </x:c>
      <x:c r="D507" s="21" t="str">
        <x:v>gate 36 binary observation</x:v>
      </x:c>
      <x:c r="E507" s="21" t="n">
        <x:f>IF(OR('Paper Gates'!G36=0,'Paper Gates'!G36=1),1,0)</x:f>
        <x:v>1</x:v>
      </x:c>
      <x:c r="F507" s="21" t="n">
        <x:v>1</x:v>
      </x:c>
      <x:c r="G507" s="23" t="str">
        <x:f>IF(E507=F507,"PASS","FAIL")</x:f>
        <x:v>PASS</x:v>
      </x:c>
    </x:row>
    <x:row r="508">
      <x:c r="B508" s="21" t="str">
        <x:v>A0502</x:v>
      </x:c>
      <x:c r="C508" s="21" t="str">
        <x:v>paper gate</x:v>
      </x:c>
      <x:c r="D508" s="21" t="str">
        <x:v>gate 36 fixed requirement</x:v>
      </x:c>
      <x:c r="E508" s="21" t="n">
        <x:f>IF('Paper Gates'!H36=1,1,0)</x:f>
        <x:v>1</x:v>
      </x:c>
      <x:c r="F508" s="21" t="n">
        <x:v>1</x:v>
      </x:c>
      <x:c r="G508" s="23" t="str">
        <x:f>IF(E508=F508,"PASS","FAIL")</x:f>
        <x:v>PASS</x:v>
      </x:c>
    </x:row>
    <x:row r="509">
      <x:c r="B509" s="21" t="str">
        <x:v>A0503</x:v>
      </x:c>
      <x:c r="C509" s="21" t="str">
        <x:v>paper gate</x:v>
      </x:c>
      <x:c r="D509" s="21" t="str">
        <x:v>gate 36 result reconciles</x:v>
      </x:c>
      <x:c r="E509" s="21" t="n">
        <x:f>IF('Paper Gates'!I36=IF('Paper Gates'!G36='Paper Gates'!H36,"PASS","FAIL"),1,0)</x:f>
        <x:v>1</x:v>
      </x:c>
      <x:c r="F509" s="21" t="n">
        <x:v>1</x:v>
      </x:c>
      <x:c r="G509" s="23" t="str">
        <x:f>IF(E509=F509,"PASS","FAIL")</x:f>
        <x:v>PASS</x:v>
      </x:c>
    </x:row>
    <x:row r="510">
      <x:c r="B510" s="21" t="str">
        <x:v>A0504</x:v>
      </x:c>
      <x:c r="C510" s="21" t="str">
        <x:v>paper gate</x:v>
      </x:c>
      <x:c r="D510" s="21" t="str">
        <x:v>gate 37 binary observation</x:v>
      </x:c>
      <x:c r="E510" s="21" t="n">
        <x:f>IF(OR('Paper Gates'!G37=0,'Paper Gates'!G37=1),1,0)</x:f>
        <x:v>1</x:v>
      </x:c>
      <x:c r="F510" s="21" t="n">
        <x:v>1</x:v>
      </x:c>
      <x:c r="G510" s="23" t="str">
        <x:f>IF(E510=F510,"PASS","FAIL")</x:f>
        <x:v>PASS</x:v>
      </x:c>
    </x:row>
    <x:row r="511">
      <x:c r="B511" s="21" t="str">
        <x:v>A0505</x:v>
      </x:c>
      <x:c r="C511" s="21" t="str">
        <x:v>paper gate</x:v>
      </x:c>
      <x:c r="D511" s="21" t="str">
        <x:v>gate 37 fixed requirement</x:v>
      </x:c>
      <x:c r="E511" s="21" t="n">
        <x:f>IF('Paper Gates'!H37=1,1,0)</x:f>
        <x:v>1</x:v>
      </x:c>
      <x:c r="F511" s="21" t="n">
        <x:v>1</x:v>
      </x:c>
      <x:c r="G511" s="23" t="str">
        <x:f>IF(E511=F511,"PASS","FAIL")</x:f>
        <x:v>PASS</x:v>
      </x:c>
    </x:row>
    <x:row r="512">
      <x:c r="B512" s="21" t="str">
        <x:v>A0506</x:v>
      </x:c>
      <x:c r="C512" s="21" t="str">
        <x:v>paper gate</x:v>
      </x:c>
      <x:c r="D512" s="21" t="str">
        <x:v>gate 37 result reconciles</x:v>
      </x:c>
      <x:c r="E512" s="21" t="n">
        <x:f>IF('Paper Gates'!I37=IF('Paper Gates'!G37='Paper Gates'!H37,"PASS","FAIL"),1,0)</x:f>
        <x:v>1</x:v>
      </x:c>
      <x:c r="F512" s="21" t="n">
        <x:v>1</x:v>
      </x:c>
      <x:c r="G512" s="23" t="str">
        <x:f>IF(E512=F512,"PASS","FAIL")</x:f>
        <x:v>PASS</x:v>
      </x:c>
    </x:row>
    <x:row r="513">
      <x:c r="B513" s="21" t="str">
        <x:v>A0507</x:v>
      </x:c>
      <x:c r="C513" s="21" t="str">
        <x:v>paper gate</x:v>
      </x:c>
      <x:c r="D513" s="21" t="str">
        <x:v>gate 38 binary observation</x:v>
      </x:c>
      <x:c r="E513" s="21" t="n">
        <x:f>IF(OR('Paper Gates'!G38=0,'Paper Gates'!G38=1),1,0)</x:f>
        <x:v>1</x:v>
      </x:c>
      <x:c r="F513" s="21" t="n">
        <x:v>1</x:v>
      </x:c>
      <x:c r="G513" s="23" t="str">
        <x:f>IF(E513=F513,"PASS","FAIL")</x:f>
        <x:v>PASS</x:v>
      </x:c>
    </x:row>
    <x:row r="514">
      <x:c r="B514" s="21" t="str">
        <x:v>A0508</x:v>
      </x:c>
      <x:c r="C514" s="21" t="str">
        <x:v>paper gate</x:v>
      </x:c>
      <x:c r="D514" s="21" t="str">
        <x:v>gate 38 fixed requirement</x:v>
      </x:c>
      <x:c r="E514" s="21" t="n">
        <x:f>IF('Paper Gates'!H38=1,1,0)</x:f>
        <x:v>1</x:v>
      </x:c>
      <x:c r="F514" s="21" t="n">
        <x:v>1</x:v>
      </x:c>
      <x:c r="G514" s="23" t="str">
        <x:f>IF(E514=F514,"PASS","FAIL")</x:f>
        <x:v>PASS</x:v>
      </x:c>
    </x:row>
    <x:row r="515">
      <x:c r="B515" s="21" t="str">
        <x:v>A0509</x:v>
      </x:c>
      <x:c r="C515" s="21" t="str">
        <x:v>paper gate</x:v>
      </x:c>
      <x:c r="D515" s="21" t="str">
        <x:v>gate 38 result reconciles</x:v>
      </x:c>
      <x:c r="E515" s="21" t="n">
        <x:f>IF('Paper Gates'!I38=IF('Paper Gates'!G38='Paper Gates'!H38,"PASS","FAIL"),1,0)</x:f>
        <x:v>1</x:v>
      </x:c>
      <x:c r="F515" s="21" t="n">
        <x:v>1</x:v>
      </x:c>
      <x:c r="G515" s="23" t="str">
        <x:f>IF(E515=F515,"PASS","FAIL")</x:f>
        <x:v>PASS</x:v>
      </x:c>
    </x:row>
    <x:row r="516">
      <x:c r="B516" s="21" t="str">
        <x:v>A0510</x:v>
      </x:c>
      <x:c r="C516" s="21" t="str">
        <x:v>paper gate</x:v>
      </x:c>
      <x:c r="D516" s="21" t="str">
        <x:v>gate 39 binary observation</x:v>
      </x:c>
      <x:c r="E516" s="21" t="n">
        <x:f>IF(OR('Paper Gates'!G39=0,'Paper Gates'!G39=1),1,0)</x:f>
        <x:v>1</x:v>
      </x:c>
      <x:c r="F516" s="21" t="n">
        <x:v>1</x:v>
      </x:c>
      <x:c r="G516" s="23" t="str">
        <x:f>IF(E516=F516,"PASS","FAIL")</x:f>
        <x:v>PASS</x:v>
      </x:c>
    </x:row>
    <x:row r="517">
      <x:c r="B517" s="21" t="str">
        <x:v>A0511</x:v>
      </x:c>
      <x:c r="C517" s="21" t="str">
        <x:v>paper gate</x:v>
      </x:c>
      <x:c r="D517" s="21" t="str">
        <x:v>gate 39 fixed requirement</x:v>
      </x:c>
      <x:c r="E517" s="21" t="n">
        <x:f>IF('Paper Gates'!H39=1,1,0)</x:f>
        <x:v>1</x:v>
      </x:c>
      <x:c r="F517" s="21" t="n">
        <x:v>1</x:v>
      </x:c>
      <x:c r="G517" s="23" t="str">
        <x:f>IF(E517=F517,"PASS","FAIL")</x:f>
        <x:v>PASS</x:v>
      </x:c>
    </x:row>
    <x:row r="518">
      <x:c r="B518" s="21" t="str">
        <x:v>A0512</x:v>
      </x:c>
      <x:c r="C518" s="21" t="str">
        <x:v>paper gate</x:v>
      </x:c>
      <x:c r="D518" s="21" t="str">
        <x:v>gate 39 result reconciles</x:v>
      </x:c>
      <x:c r="E518" s="21" t="n">
        <x:f>IF('Paper Gates'!I39=IF('Paper Gates'!G39='Paper Gates'!H39,"PASS","FAIL"),1,0)</x:f>
        <x:v>1</x:v>
      </x:c>
      <x:c r="F518" s="21" t="n">
        <x:v>1</x:v>
      </x:c>
      <x:c r="G518" s="23" t="str">
        <x:f>IF(E518=F518,"PASS","FAIL")</x:f>
        <x:v>PASS</x:v>
      </x:c>
    </x:row>
    <x:row r="519">
      <x:c r="B519" s="21" t="str">
        <x:v>A0513</x:v>
      </x:c>
      <x:c r="C519" s="21" t="str">
        <x:v>paper gate</x:v>
      </x:c>
      <x:c r="D519" s="21" t="str">
        <x:v>gate 40 binary observation</x:v>
      </x:c>
      <x:c r="E519" s="21" t="n">
        <x:f>IF(OR('Paper Gates'!G40=0,'Paper Gates'!G40=1),1,0)</x:f>
        <x:v>1</x:v>
      </x:c>
      <x:c r="F519" s="21" t="n">
        <x:v>1</x:v>
      </x:c>
      <x:c r="G519" s="23" t="str">
        <x:f>IF(E519=F519,"PASS","FAIL")</x:f>
        <x:v>PASS</x:v>
      </x:c>
    </x:row>
    <x:row r="520">
      <x:c r="B520" s="21" t="str">
        <x:v>A0514</x:v>
      </x:c>
      <x:c r="C520" s="21" t="str">
        <x:v>paper gate</x:v>
      </x:c>
      <x:c r="D520" s="21" t="str">
        <x:v>gate 40 fixed requirement</x:v>
      </x:c>
      <x:c r="E520" s="21" t="n">
        <x:f>IF('Paper Gates'!H40=1,1,0)</x:f>
        <x:v>1</x:v>
      </x:c>
      <x:c r="F520" s="21" t="n">
        <x:v>1</x:v>
      </x:c>
      <x:c r="G520" s="23" t="str">
        <x:f>IF(E520=F520,"PASS","FAIL")</x:f>
        <x:v>PASS</x:v>
      </x:c>
    </x:row>
    <x:row r="521">
      <x:c r="B521" s="21" t="str">
        <x:v>A0515</x:v>
      </x:c>
      <x:c r="C521" s="21" t="str">
        <x:v>paper gate</x:v>
      </x:c>
      <x:c r="D521" s="21" t="str">
        <x:v>gate 40 result reconciles</x:v>
      </x:c>
      <x:c r="E521" s="21" t="n">
        <x:f>IF('Paper Gates'!I40=IF('Paper Gates'!G40='Paper Gates'!H40,"PASS","FAIL"),1,0)</x:f>
        <x:v>1</x:v>
      </x:c>
      <x:c r="F521" s="21" t="n">
        <x:v>1</x:v>
      </x:c>
      <x:c r="G521" s="23" t="str">
        <x:f>IF(E521=F521,"PASS","FAIL")</x:f>
        <x:v>PASS</x:v>
      </x:c>
    </x:row>
    <x:row r="522">
      <x:c r="B522" s="21" t="str">
        <x:v>A0516</x:v>
      </x:c>
      <x:c r="C522" s="21" t="str">
        <x:v>paper gate</x:v>
      </x:c>
      <x:c r="D522" s="21" t="str">
        <x:v>gate 41 binary observation</x:v>
      </x:c>
      <x:c r="E522" s="21" t="n">
        <x:f>IF(OR('Paper Gates'!G41=0,'Paper Gates'!G41=1),1,0)</x:f>
        <x:v>1</x:v>
      </x:c>
      <x:c r="F522" s="21" t="n">
        <x:v>1</x:v>
      </x:c>
      <x:c r="G522" s="23" t="str">
        <x:f>IF(E522=F522,"PASS","FAIL")</x:f>
        <x:v>PASS</x:v>
      </x:c>
    </x:row>
    <x:row r="523">
      <x:c r="B523" s="21" t="str">
        <x:v>A0517</x:v>
      </x:c>
      <x:c r="C523" s="21" t="str">
        <x:v>paper gate</x:v>
      </x:c>
      <x:c r="D523" s="21" t="str">
        <x:v>gate 41 fixed requirement</x:v>
      </x:c>
      <x:c r="E523" s="21" t="n">
        <x:f>IF('Paper Gates'!H41=1,1,0)</x:f>
        <x:v>1</x:v>
      </x:c>
      <x:c r="F523" s="21" t="n">
        <x:v>1</x:v>
      </x:c>
      <x:c r="G523" s="23" t="str">
        <x:f>IF(E523=F523,"PASS","FAIL")</x:f>
        <x:v>PASS</x:v>
      </x:c>
    </x:row>
    <x:row r="524">
      <x:c r="B524" s="21" t="str">
        <x:v>A0518</x:v>
      </x:c>
      <x:c r="C524" s="21" t="str">
        <x:v>paper gate</x:v>
      </x:c>
      <x:c r="D524" s="21" t="str">
        <x:v>gate 41 result reconciles</x:v>
      </x:c>
      <x:c r="E524" s="21" t="n">
        <x:f>IF('Paper Gates'!I41=IF('Paper Gates'!G41='Paper Gates'!H41,"PASS","FAIL"),1,0)</x:f>
        <x:v>1</x:v>
      </x:c>
      <x:c r="F524" s="21" t="n">
        <x:v>1</x:v>
      </x:c>
      <x:c r="G524" s="23" t="str">
        <x:f>IF(E524=F524,"PASS","FAIL")</x:f>
        <x:v>PASS</x:v>
      </x:c>
    </x:row>
    <x:row r="525">
      <x:c r="B525" s="21" t="str">
        <x:v>A0519</x:v>
      </x:c>
      <x:c r="C525" s="21" t="str">
        <x:v>paper gate</x:v>
      </x:c>
      <x:c r="D525" s="21" t="str">
        <x:v>gate 42 binary observation</x:v>
      </x:c>
      <x:c r="E525" s="21" t="n">
        <x:f>IF(OR('Paper Gates'!G42=0,'Paper Gates'!G42=1),1,0)</x:f>
        <x:v>1</x:v>
      </x:c>
      <x:c r="F525" s="21" t="n">
        <x:v>1</x:v>
      </x:c>
      <x:c r="G525" s="23" t="str">
        <x:f>IF(E525=F525,"PASS","FAIL")</x:f>
        <x:v>PASS</x:v>
      </x:c>
    </x:row>
    <x:row r="526">
      <x:c r="B526" s="21" t="str">
        <x:v>A0520</x:v>
      </x:c>
      <x:c r="C526" s="21" t="str">
        <x:v>paper gate</x:v>
      </x:c>
      <x:c r="D526" s="21" t="str">
        <x:v>gate 42 fixed requirement</x:v>
      </x:c>
      <x:c r="E526" s="21" t="n">
        <x:f>IF('Paper Gates'!H42=1,1,0)</x:f>
        <x:v>1</x:v>
      </x:c>
      <x:c r="F526" s="21" t="n">
        <x:v>1</x:v>
      </x:c>
      <x:c r="G526" s="23" t="str">
        <x:f>IF(E526=F526,"PASS","FAIL")</x:f>
        <x:v>PASS</x:v>
      </x:c>
    </x:row>
    <x:row r="527">
      <x:c r="B527" s="21" t="str">
        <x:v>A0521</x:v>
      </x:c>
      <x:c r="C527" s="21" t="str">
        <x:v>paper gate</x:v>
      </x:c>
      <x:c r="D527" s="21" t="str">
        <x:v>gate 42 result reconciles</x:v>
      </x:c>
      <x:c r="E527" s="21" t="n">
        <x:f>IF('Paper Gates'!I42=IF('Paper Gates'!G42='Paper Gates'!H42,"PASS","FAIL"),1,0)</x:f>
        <x:v>1</x:v>
      </x:c>
      <x:c r="F527" s="21" t="n">
        <x:v>1</x:v>
      </x:c>
      <x:c r="G527" s="23" t="str">
        <x:f>IF(E527=F527,"PASS","FAIL")</x:f>
        <x:v>PASS</x:v>
      </x:c>
    </x:row>
    <x:row r="528">
      <x:c r="B528" s="21" t="str">
        <x:v>A0522</x:v>
      </x:c>
      <x:c r="C528" s="21" t="str">
        <x:v>paper gate</x:v>
      </x:c>
      <x:c r="D528" s="21" t="str">
        <x:v>gate 43 binary observation</x:v>
      </x:c>
      <x:c r="E528" s="21" t="n">
        <x:f>IF(OR('Paper Gates'!G43=0,'Paper Gates'!G43=1),1,0)</x:f>
        <x:v>1</x:v>
      </x:c>
      <x:c r="F528" s="21" t="n">
        <x:v>1</x:v>
      </x:c>
      <x:c r="G528" s="23" t="str">
        <x:f>IF(E528=F528,"PASS","FAIL")</x:f>
        <x:v>PASS</x:v>
      </x:c>
    </x:row>
    <x:row r="529">
      <x:c r="B529" s="21" t="str">
        <x:v>A0523</x:v>
      </x:c>
      <x:c r="C529" s="21" t="str">
        <x:v>paper gate</x:v>
      </x:c>
      <x:c r="D529" s="21" t="str">
        <x:v>gate 43 fixed requirement</x:v>
      </x:c>
      <x:c r="E529" s="21" t="n">
        <x:f>IF('Paper Gates'!H43=1,1,0)</x:f>
        <x:v>1</x:v>
      </x:c>
      <x:c r="F529" s="21" t="n">
        <x:v>1</x:v>
      </x:c>
      <x:c r="G529" s="23" t="str">
        <x:f>IF(E529=F529,"PASS","FAIL")</x:f>
        <x:v>PASS</x:v>
      </x:c>
    </x:row>
    <x:row r="530">
      <x:c r="B530" s="21" t="str">
        <x:v>A0524</x:v>
      </x:c>
      <x:c r="C530" s="21" t="str">
        <x:v>paper gate</x:v>
      </x:c>
      <x:c r="D530" s="21" t="str">
        <x:v>gate 43 result reconciles</x:v>
      </x:c>
      <x:c r="E530" s="21" t="n">
        <x:f>IF('Paper Gates'!I43=IF('Paper Gates'!G43='Paper Gates'!H43,"PASS","FAIL"),1,0)</x:f>
        <x:v>1</x:v>
      </x:c>
      <x:c r="F530" s="21" t="n">
        <x:v>1</x:v>
      </x:c>
      <x:c r="G530" s="23" t="str">
        <x:f>IF(E530=F530,"PASS","FAIL")</x:f>
        <x:v>PASS</x:v>
      </x:c>
    </x:row>
    <x:row r="531">
      <x:c r="B531" s="21" t="str">
        <x:v>A0525</x:v>
      </x:c>
      <x:c r="C531" s="21" t="str">
        <x:v>paper gate</x:v>
      </x:c>
      <x:c r="D531" s="21" t="str">
        <x:v>gate 44 binary observation</x:v>
      </x:c>
      <x:c r="E531" s="21" t="n">
        <x:f>IF(OR('Paper Gates'!G44=0,'Paper Gates'!G44=1),1,0)</x:f>
        <x:v>1</x:v>
      </x:c>
      <x:c r="F531" s="21" t="n">
        <x:v>1</x:v>
      </x:c>
      <x:c r="G531" s="23" t="str">
        <x:f>IF(E531=F531,"PASS","FAIL")</x:f>
        <x:v>PASS</x:v>
      </x:c>
    </x:row>
    <x:row r="532">
      <x:c r="B532" s="21" t="str">
        <x:v>A0526</x:v>
      </x:c>
      <x:c r="C532" s="21" t="str">
        <x:v>paper gate</x:v>
      </x:c>
      <x:c r="D532" s="21" t="str">
        <x:v>gate 44 fixed requirement</x:v>
      </x:c>
      <x:c r="E532" s="21" t="n">
        <x:f>IF('Paper Gates'!H44=1,1,0)</x:f>
        <x:v>1</x:v>
      </x:c>
      <x:c r="F532" s="21" t="n">
        <x:v>1</x:v>
      </x:c>
      <x:c r="G532" s="23" t="str">
        <x:f>IF(E532=F532,"PASS","FAIL")</x:f>
        <x:v>PASS</x:v>
      </x:c>
    </x:row>
    <x:row r="533">
      <x:c r="B533" s="21" t="str">
        <x:v>A0527</x:v>
      </x:c>
      <x:c r="C533" s="21" t="str">
        <x:v>paper gate</x:v>
      </x:c>
      <x:c r="D533" s="21" t="str">
        <x:v>gate 44 result reconciles</x:v>
      </x:c>
      <x:c r="E533" s="21" t="n">
        <x:f>IF('Paper Gates'!I44=IF('Paper Gates'!G44='Paper Gates'!H44,"PASS","FAIL"),1,0)</x:f>
        <x:v>1</x:v>
      </x:c>
      <x:c r="F533" s="21" t="n">
        <x:v>1</x:v>
      </x:c>
      <x:c r="G533" s="23" t="str">
        <x:f>IF(E533=F533,"PASS","FAIL")</x:f>
        <x:v>PASS</x:v>
      </x:c>
    </x:row>
    <x:row r="534">
      <x:c r="B534" s="21" t="str">
        <x:v>A0528</x:v>
      </x:c>
      <x:c r="C534" s="21" t="str">
        <x:v>paper gate</x:v>
      </x:c>
      <x:c r="D534" s="21" t="str">
        <x:v>gate 45 binary observation</x:v>
      </x:c>
      <x:c r="E534" s="21" t="n">
        <x:f>IF(OR('Paper Gates'!G45=0,'Paper Gates'!G45=1),1,0)</x:f>
        <x:v>1</x:v>
      </x:c>
      <x:c r="F534" s="21" t="n">
        <x:v>1</x:v>
      </x:c>
      <x:c r="G534" s="23" t="str">
        <x:f>IF(E534=F534,"PASS","FAIL")</x:f>
        <x:v>PASS</x:v>
      </x:c>
    </x:row>
    <x:row r="535">
      <x:c r="B535" s="21" t="str">
        <x:v>A0529</x:v>
      </x:c>
      <x:c r="C535" s="21" t="str">
        <x:v>paper gate</x:v>
      </x:c>
      <x:c r="D535" s="21" t="str">
        <x:v>gate 45 fixed requirement</x:v>
      </x:c>
      <x:c r="E535" s="21" t="n">
        <x:f>IF('Paper Gates'!H45=1,1,0)</x:f>
        <x:v>1</x:v>
      </x:c>
      <x:c r="F535" s="21" t="n">
        <x:v>1</x:v>
      </x:c>
      <x:c r="G535" s="23" t="str">
        <x:f>IF(E535=F535,"PASS","FAIL")</x:f>
        <x:v>PASS</x:v>
      </x:c>
    </x:row>
    <x:row r="536">
      <x:c r="B536" s="21" t="str">
        <x:v>A0530</x:v>
      </x:c>
      <x:c r="C536" s="21" t="str">
        <x:v>paper gate</x:v>
      </x:c>
      <x:c r="D536" s="21" t="str">
        <x:v>gate 45 result reconciles</x:v>
      </x:c>
      <x:c r="E536" s="21" t="n">
        <x:f>IF('Paper Gates'!I45=IF('Paper Gates'!G45='Paper Gates'!H45,"PASS","FAIL"),1,0)</x:f>
        <x:v>1</x:v>
      </x:c>
      <x:c r="F536" s="21" t="n">
        <x:v>1</x:v>
      </x:c>
      <x:c r="G536" s="23" t="str">
        <x:f>IF(E536=F536,"PASS","FAIL")</x:f>
        <x:v>PASS</x:v>
      </x:c>
    </x:row>
    <x:row r="537">
      <x:c r="B537" s="21" t="str">
        <x:v>A0531</x:v>
      </x:c>
      <x:c r="C537" s="21" t="str">
        <x:v>paper gate</x:v>
      </x:c>
      <x:c r="D537" s="21" t="str">
        <x:v>gate 46 binary observation</x:v>
      </x:c>
      <x:c r="E537" s="21" t="n">
        <x:f>IF(OR('Paper Gates'!G46=0,'Paper Gates'!G46=1),1,0)</x:f>
        <x:v>1</x:v>
      </x:c>
      <x:c r="F537" s="21" t="n">
        <x:v>1</x:v>
      </x:c>
      <x:c r="G537" s="23" t="str">
        <x:f>IF(E537=F537,"PASS","FAIL")</x:f>
        <x:v>PASS</x:v>
      </x:c>
    </x:row>
    <x:row r="538">
      <x:c r="B538" s="21" t="str">
        <x:v>A0532</x:v>
      </x:c>
      <x:c r="C538" s="21" t="str">
        <x:v>paper gate</x:v>
      </x:c>
      <x:c r="D538" s="21" t="str">
        <x:v>gate 46 fixed requirement</x:v>
      </x:c>
      <x:c r="E538" s="21" t="n">
        <x:f>IF('Paper Gates'!H46=1,1,0)</x:f>
        <x:v>1</x:v>
      </x:c>
      <x:c r="F538" s="21" t="n">
        <x:v>1</x:v>
      </x:c>
      <x:c r="G538" s="23" t="str">
        <x:f>IF(E538=F538,"PASS","FAIL")</x:f>
        <x:v>PASS</x:v>
      </x:c>
    </x:row>
    <x:row r="539">
      <x:c r="B539" s="21" t="str">
        <x:v>A0533</x:v>
      </x:c>
      <x:c r="C539" s="21" t="str">
        <x:v>paper gate</x:v>
      </x:c>
      <x:c r="D539" s="21" t="str">
        <x:v>gate 46 result reconciles</x:v>
      </x:c>
      <x:c r="E539" s="21" t="n">
        <x:f>IF('Paper Gates'!I46=IF('Paper Gates'!G46='Paper Gates'!H46,"PASS","FAIL"),1,0)</x:f>
        <x:v>1</x:v>
      </x:c>
      <x:c r="F539" s="21" t="n">
        <x:v>1</x:v>
      </x:c>
      <x:c r="G539" s="23" t="str">
        <x:f>IF(E539=F539,"PASS","FAIL")</x:f>
        <x:v>PASS</x:v>
      </x:c>
    </x:row>
    <x:row r="540">
      <x:c r="B540" s="21" t="str">
        <x:v>A0534</x:v>
      </x:c>
      <x:c r="C540" s="21" t="str">
        <x:v>paper gate</x:v>
      </x:c>
      <x:c r="D540" s="21" t="str">
        <x:v>gate 47 binary observation</x:v>
      </x:c>
      <x:c r="E540" s="21" t="n">
        <x:f>IF(OR('Paper Gates'!G47=0,'Paper Gates'!G47=1),1,0)</x:f>
        <x:v>1</x:v>
      </x:c>
      <x:c r="F540" s="21" t="n">
        <x:v>1</x:v>
      </x:c>
      <x:c r="G540" s="23" t="str">
        <x:f>IF(E540=F540,"PASS","FAIL")</x:f>
        <x:v>PASS</x:v>
      </x:c>
    </x:row>
    <x:row r="541">
      <x:c r="B541" s="21" t="str">
        <x:v>A0535</x:v>
      </x:c>
      <x:c r="C541" s="21" t="str">
        <x:v>paper gate</x:v>
      </x:c>
      <x:c r="D541" s="21" t="str">
        <x:v>gate 47 fixed requirement</x:v>
      </x:c>
      <x:c r="E541" s="21" t="n">
        <x:f>IF('Paper Gates'!H47=1,1,0)</x:f>
        <x:v>1</x:v>
      </x:c>
      <x:c r="F541" s="21" t="n">
        <x:v>1</x:v>
      </x:c>
      <x:c r="G541" s="23" t="str">
        <x:f>IF(E541=F541,"PASS","FAIL")</x:f>
        <x:v>PASS</x:v>
      </x:c>
    </x:row>
    <x:row r="542">
      <x:c r="B542" s="21" t="str">
        <x:v>A0536</x:v>
      </x:c>
      <x:c r="C542" s="21" t="str">
        <x:v>paper gate</x:v>
      </x:c>
      <x:c r="D542" s="21" t="str">
        <x:v>gate 47 result reconciles</x:v>
      </x:c>
      <x:c r="E542" s="21" t="n">
        <x:f>IF('Paper Gates'!I47=IF('Paper Gates'!G47='Paper Gates'!H47,"PASS","FAIL"),1,0)</x:f>
        <x:v>1</x:v>
      </x:c>
      <x:c r="F542" s="21" t="n">
        <x:v>1</x:v>
      </x:c>
      <x:c r="G542" s="23" t="str">
        <x:f>IF(E542=F542,"PASS","FAIL")</x:f>
        <x:v>PASS</x:v>
      </x:c>
    </x:row>
    <x:row r="543">
      <x:c r="B543" s="21" t="str">
        <x:v>A0537</x:v>
      </x:c>
      <x:c r="C543" s="21" t="str">
        <x:v>paper gate</x:v>
      </x:c>
      <x:c r="D543" s="21" t="str">
        <x:v>gate 48 binary observation</x:v>
      </x:c>
      <x:c r="E543" s="21" t="n">
        <x:f>IF(OR('Paper Gates'!G48=0,'Paper Gates'!G48=1),1,0)</x:f>
        <x:v>1</x:v>
      </x:c>
      <x:c r="F543" s="21" t="n">
        <x:v>1</x:v>
      </x:c>
      <x:c r="G543" s="23" t="str">
        <x:f>IF(E543=F543,"PASS","FAIL")</x:f>
        <x:v>PASS</x:v>
      </x:c>
    </x:row>
    <x:row r="544">
      <x:c r="B544" s="21" t="str">
        <x:v>A0538</x:v>
      </x:c>
      <x:c r="C544" s="21" t="str">
        <x:v>paper gate</x:v>
      </x:c>
      <x:c r="D544" s="21" t="str">
        <x:v>gate 48 fixed requirement</x:v>
      </x:c>
      <x:c r="E544" s="21" t="n">
        <x:f>IF('Paper Gates'!H48=1,1,0)</x:f>
        <x:v>1</x:v>
      </x:c>
      <x:c r="F544" s="21" t="n">
        <x:v>1</x:v>
      </x:c>
      <x:c r="G544" s="23" t="str">
        <x:f>IF(E544=F544,"PASS","FAIL")</x:f>
        <x:v>PASS</x:v>
      </x:c>
    </x:row>
    <x:row r="545">
      <x:c r="B545" s="21" t="str">
        <x:v>A0539</x:v>
      </x:c>
      <x:c r="C545" s="21" t="str">
        <x:v>paper gate</x:v>
      </x:c>
      <x:c r="D545" s="21" t="str">
        <x:v>gate 48 result reconciles</x:v>
      </x:c>
      <x:c r="E545" s="21" t="n">
        <x:f>IF('Paper Gates'!I48=IF('Paper Gates'!G48='Paper Gates'!H48,"PASS","FAIL"),1,0)</x:f>
        <x:v>1</x:v>
      </x:c>
      <x:c r="F545" s="21" t="n">
        <x:v>1</x:v>
      </x:c>
      <x:c r="G545" s="23" t="str">
        <x:f>IF(E545=F545,"PASS","FAIL")</x:f>
        <x:v>PASS</x:v>
      </x:c>
    </x:row>
    <x:row r="546">
      <x:c r="B546" s="21" t="str">
        <x:v>A0540</x:v>
      </x:c>
      <x:c r="C546" s="21" t="str">
        <x:v>paper gate</x:v>
      </x:c>
      <x:c r="D546" s="21" t="str">
        <x:v>gate 49 binary observation</x:v>
      </x:c>
      <x:c r="E546" s="21" t="n">
        <x:f>IF(OR('Paper Gates'!G49=0,'Paper Gates'!G49=1),1,0)</x:f>
        <x:v>1</x:v>
      </x:c>
      <x:c r="F546" s="21" t="n">
        <x:v>1</x:v>
      </x:c>
      <x:c r="G546" s="23" t="str">
        <x:f>IF(E546=F546,"PASS","FAIL")</x:f>
        <x:v>PASS</x:v>
      </x:c>
    </x:row>
    <x:row r="547">
      <x:c r="B547" s="21" t="str">
        <x:v>A0541</x:v>
      </x:c>
      <x:c r="C547" s="21" t="str">
        <x:v>paper gate</x:v>
      </x:c>
      <x:c r="D547" s="21" t="str">
        <x:v>gate 49 fixed requirement</x:v>
      </x:c>
      <x:c r="E547" s="21" t="n">
        <x:f>IF('Paper Gates'!H49=1,1,0)</x:f>
        <x:v>1</x:v>
      </x:c>
      <x:c r="F547" s="21" t="n">
        <x:v>1</x:v>
      </x:c>
      <x:c r="G547" s="23" t="str">
        <x:f>IF(E547=F547,"PASS","FAIL")</x:f>
        <x:v>PASS</x:v>
      </x:c>
    </x:row>
    <x:row r="548">
      <x:c r="B548" s="21" t="str">
        <x:v>A0542</x:v>
      </x:c>
      <x:c r="C548" s="21" t="str">
        <x:v>paper gate</x:v>
      </x:c>
      <x:c r="D548" s="21" t="str">
        <x:v>gate 49 result reconciles</x:v>
      </x:c>
      <x:c r="E548" s="21" t="n">
        <x:f>IF('Paper Gates'!I49=IF('Paper Gates'!G49='Paper Gates'!H49,"PASS","FAIL"),1,0)</x:f>
        <x:v>1</x:v>
      </x:c>
      <x:c r="F548" s="21" t="n">
        <x:v>1</x:v>
      </x:c>
      <x:c r="G548" s="23" t="str">
        <x:f>IF(E548=F548,"PASS","FAIL")</x:f>
        <x:v>PASS</x:v>
      </x:c>
    </x:row>
    <x:row r="549">
      <x:c r="B549" s="21" t="str">
        <x:v>A0543</x:v>
      </x:c>
      <x:c r="C549" s="21" t="str">
        <x:v>paper gate</x:v>
      </x:c>
      <x:c r="D549" s="21" t="str">
        <x:v>gate 50 binary observation</x:v>
      </x:c>
      <x:c r="E549" s="21" t="n">
        <x:f>IF(OR('Paper Gates'!G50=0,'Paper Gates'!G50=1),1,0)</x:f>
        <x:v>1</x:v>
      </x:c>
      <x:c r="F549" s="21" t="n">
        <x:v>1</x:v>
      </x:c>
      <x:c r="G549" s="23" t="str">
        <x:f>IF(E549=F549,"PASS","FAIL")</x:f>
        <x:v>PASS</x:v>
      </x:c>
    </x:row>
    <x:row r="550">
      <x:c r="B550" s="21" t="str">
        <x:v>A0544</x:v>
      </x:c>
      <x:c r="C550" s="21" t="str">
        <x:v>paper gate</x:v>
      </x:c>
      <x:c r="D550" s="21" t="str">
        <x:v>gate 50 fixed requirement</x:v>
      </x:c>
      <x:c r="E550" s="21" t="n">
        <x:f>IF('Paper Gates'!H50=1,1,0)</x:f>
        <x:v>1</x:v>
      </x:c>
      <x:c r="F550" s="21" t="n">
        <x:v>1</x:v>
      </x:c>
      <x:c r="G550" s="23" t="str">
        <x:f>IF(E550=F550,"PASS","FAIL")</x:f>
        <x:v>PASS</x:v>
      </x:c>
    </x:row>
    <x:row r="551">
      <x:c r="B551" s="21" t="str">
        <x:v>A0545</x:v>
      </x:c>
      <x:c r="C551" s="21" t="str">
        <x:v>paper gate</x:v>
      </x:c>
      <x:c r="D551" s="21" t="str">
        <x:v>gate 50 result reconciles</x:v>
      </x:c>
      <x:c r="E551" s="21" t="n">
        <x:f>IF('Paper Gates'!I50=IF('Paper Gates'!G50='Paper Gates'!H50,"PASS","FAIL"),1,0)</x:f>
        <x:v>1</x:v>
      </x:c>
      <x:c r="F551" s="21" t="n">
        <x:v>1</x:v>
      </x:c>
      <x:c r="G551" s="23" t="str">
        <x:f>IF(E551=F551,"PASS","FAIL")</x:f>
        <x:v>PASS</x:v>
      </x:c>
    </x:row>
    <x:row r="552">
      <x:c r="B552" s="21" t="str">
        <x:v>A0546</x:v>
      </x:c>
      <x:c r="C552" s="21" t="str">
        <x:v>paper gate</x:v>
      </x:c>
      <x:c r="D552" s="21" t="str">
        <x:v>gate 51 binary observation</x:v>
      </x:c>
      <x:c r="E552" s="21" t="n">
        <x:f>IF(OR('Paper Gates'!G51=0,'Paper Gates'!G51=1),1,0)</x:f>
        <x:v>1</x:v>
      </x:c>
      <x:c r="F552" s="21" t="n">
        <x:v>1</x:v>
      </x:c>
      <x:c r="G552" s="23" t="str">
        <x:f>IF(E552=F552,"PASS","FAIL")</x:f>
        <x:v>PASS</x:v>
      </x:c>
    </x:row>
    <x:row r="553">
      <x:c r="B553" s="21" t="str">
        <x:v>A0547</x:v>
      </x:c>
      <x:c r="C553" s="21" t="str">
        <x:v>paper gate</x:v>
      </x:c>
      <x:c r="D553" s="21" t="str">
        <x:v>gate 51 fixed requirement</x:v>
      </x:c>
      <x:c r="E553" s="21" t="n">
        <x:f>IF('Paper Gates'!H51=1,1,0)</x:f>
        <x:v>1</x:v>
      </x:c>
      <x:c r="F553" s="21" t="n">
        <x:v>1</x:v>
      </x:c>
      <x:c r="G553" s="23" t="str">
        <x:f>IF(E553=F553,"PASS","FAIL")</x:f>
        <x:v>PASS</x:v>
      </x:c>
    </x:row>
    <x:row r="554">
      <x:c r="B554" s="21" t="str">
        <x:v>A0548</x:v>
      </x:c>
      <x:c r="C554" s="21" t="str">
        <x:v>paper gate</x:v>
      </x:c>
      <x:c r="D554" s="21" t="str">
        <x:v>gate 51 result reconciles</x:v>
      </x:c>
      <x:c r="E554" s="21" t="n">
        <x:f>IF('Paper Gates'!I51=IF('Paper Gates'!G51='Paper Gates'!H51,"PASS","FAIL"),1,0)</x:f>
        <x:v>1</x:v>
      </x:c>
      <x:c r="F554" s="21" t="n">
        <x:v>1</x:v>
      </x:c>
      <x:c r="G554" s="23" t="str">
        <x:f>IF(E554=F554,"PASS","FAIL")</x:f>
        <x:v>PASS</x:v>
      </x:c>
    </x:row>
    <x:row r="555">
      <x:c r="B555" s="21" t="str">
        <x:v>A0549</x:v>
      </x:c>
      <x:c r="C555" s="21" t="str">
        <x:v>paper gate</x:v>
      </x:c>
      <x:c r="D555" s="21" t="str">
        <x:v>gate 52 binary observation</x:v>
      </x:c>
      <x:c r="E555" s="21" t="n">
        <x:f>IF(OR('Paper Gates'!G52=0,'Paper Gates'!G52=1),1,0)</x:f>
        <x:v>1</x:v>
      </x:c>
      <x:c r="F555" s="21" t="n">
        <x:v>1</x:v>
      </x:c>
      <x:c r="G555" s="23" t="str">
        <x:f>IF(E555=F555,"PASS","FAIL")</x:f>
        <x:v>PASS</x:v>
      </x:c>
    </x:row>
    <x:row r="556">
      <x:c r="B556" s="21" t="str">
        <x:v>A0550</x:v>
      </x:c>
      <x:c r="C556" s="21" t="str">
        <x:v>paper gate</x:v>
      </x:c>
      <x:c r="D556" s="21" t="str">
        <x:v>gate 52 fixed requirement</x:v>
      </x:c>
      <x:c r="E556" s="21" t="n">
        <x:f>IF('Paper Gates'!H52=1,1,0)</x:f>
        <x:v>1</x:v>
      </x:c>
      <x:c r="F556" s="21" t="n">
        <x:v>1</x:v>
      </x:c>
      <x:c r="G556" s="23" t="str">
        <x:f>IF(E556=F556,"PASS","FAIL")</x:f>
        <x:v>PASS</x:v>
      </x:c>
    </x:row>
    <x:row r="557">
      <x:c r="B557" s="21" t="str">
        <x:v>A0551</x:v>
      </x:c>
      <x:c r="C557" s="21" t="str">
        <x:v>paper gate</x:v>
      </x:c>
      <x:c r="D557" s="21" t="str">
        <x:v>gate 52 result reconciles</x:v>
      </x:c>
      <x:c r="E557" s="21" t="n">
        <x:f>IF('Paper Gates'!I52=IF('Paper Gates'!G52='Paper Gates'!H52,"PASS","FAIL"),1,0)</x:f>
        <x:v>1</x:v>
      </x:c>
      <x:c r="F557" s="21" t="n">
        <x:v>1</x:v>
      </x:c>
      <x:c r="G557" s="23" t="str">
        <x:f>IF(E557=F557,"PASS","FAIL")</x:f>
        <x:v>PASS</x:v>
      </x:c>
    </x:row>
    <x:row r="558">
      <x:c r="B558" s="21" t="str">
        <x:v>A0552</x:v>
      </x:c>
      <x:c r="C558" s="21" t="str">
        <x:v>paper gate</x:v>
      </x:c>
      <x:c r="D558" s="21" t="str">
        <x:v>gate 53 binary observation</x:v>
      </x:c>
      <x:c r="E558" s="21" t="n">
        <x:f>IF(OR('Paper Gates'!G53=0,'Paper Gates'!G53=1),1,0)</x:f>
        <x:v>1</x:v>
      </x:c>
      <x:c r="F558" s="21" t="n">
        <x:v>1</x:v>
      </x:c>
      <x:c r="G558" s="23" t="str">
        <x:f>IF(E558=F558,"PASS","FAIL")</x:f>
        <x:v>PASS</x:v>
      </x:c>
    </x:row>
    <x:row r="559">
      <x:c r="B559" s="21" t="str">
        <x:v>A0553</x:v>
      </x:c>
      <x:c r="C559" s="21" t="str">
        <x:v>paper gate</x:v>
      </x:c>
      <x:c r="D559" s="21" t="str">
        <x:v>gate 53 fixed requirement</x:v>
      </x:c>
      <x:c r="E559" s="21" t="n">
        <x:f>IF('Paper Gates'!H53=1,1,0)</x:f>
        <x:v>1</x:v>
      </x:c>
      <x:c r="F559" s="21" t="n">
        <x:v>1</x:v>
      </x:c>
      <x:c r="G559" s="23" t="str">
        <x:f>IF(E559=F559,"PASS","FAIL")</x:f>
        <x:v>PASS</x:v>
      </x:c>
    </x:row>
    <x:row r="560">
      <x:c r="B560" s="21" t="str">
        <x:v>A0554</x:v>
      </x:c>
      <x:c r="C560" s="21" t="str">
        <x:v>paper gate</x:v>
      </x:c>
      <x:c r="D560" s="21" t="str">
        <x:v>gate 53 result reconciles</x:v>
      </x:c>
      <x:c r="E560" s="21" t="n">
        <x:f>IF('Paper Gates'!I53=IF('Paper Gates'!G53='Paper Gates'!H53,"PASS","FAIL"),1,0)</x:f>
        <x:v>1</x:v>
      </x:c>
      <x:c r="F560" s="21" t="n">
        <x:v>1</x:v>
      </x:c>
      <x:c r="G560" s="23" t="str">
        <x:f>IF(E560=F560,"PASS","FAIL")</x:f>
        <x:v>PASS</x:v>
      </x:c>
    </x:row>
    <x:row r="561">
      <x:c r="B561" s="21" t="str">
        <x:v>A0555</x:v>
      </x:c>
      <x:c r="C561" s="21" t="str">
        <x:v>paper gate</x:v>
      </x:c>
      <x:c r="D561" s="21" t="str">
        <x:v>gate 54 binary observation</x:v>
      </x:c>
      <x:c r="E561" s="21" t="n">
        <x:f>IF(OR('Paper Gates'!G54=0,'Paper Gates'!G54=1),1,0)</x:f>
        <x:v>1</x:v>
      </x:c>
      <x:c r="F561" s="21" t="n">
        <x:v>1</x:v>
      </x:c>
      <x:c r="G561" s="23" t="str">
        <x:f>IF(E561=F561,"PASS","FAIL")</x:f>
        <x:v>PASS</x:v>
      </x:c>
    </x:row>
    <x:row r="562">
      <x:c r="B562" s="21" t="str">
        <x:v>A0556</x:v>
      </x:c>
      <x:c r="C562" s="21" t="str">
        <x:v>paper gate</x:v>
      </x:c>
      <x:c r="D562" s="21" t="str">
        <x:v>gate 54 fixed requirement</x:v>
      </x:c>
      <x:c r="E562" s="21" t="n">
        <x:f>IF('Paper Gates'!H54=1,1,0)</x:f>
        <x:v>1</x:v>
      </x:c>
      <x:c r="F562" s="21" t="n">
        <x:v>1</x:v>
      </x:c>
      <x:c r="G562" s="23" t="str">
        <x:f>IF(E562=F562,"PASS","FAIL")</x:f>
        <x:v>PASS</x:v>
      </x:c>
    </x:row>
    <x:row r="563">
      <x:c r="B563" s="21" t="str">
        <x:v>A0557</x:v>
      </x:c>
      <x:c r="C563" s="21" t="str">
        <x:v>paper gate</x:v>
      </x:c>
      <x:c r="D563" s="21" t="str">
        <x:v>gate 54 result reconciles</x:v>
      </x:c>
      <x:c r="E563" s="21" t="n">
        <x:f>IF('Paper Gates'!I54=IF('Paper Gates'!G54='Paper Gates'!H54,"PASS","FAIL"),1,0)</x:f>
        <x:v>1</x:v>
      </x:c>
      <x:c r="F563" s="21" t="n">
        <x:v>1</x:v>
      </x:c>
      <x:c r="G563" s="23" t="str">
        <x:f>IF(E563=F563,"PASS","FAIL")</x:f>
        <x:v>PASS</x:v>
      </x:c>
    </x:row>
    <x:row r="564">
      <x:c r="B564" s="21" t="str">
        <x:v>A0558</x:v>
      </x:c>
      <x:c r="C564" s="21" t="str">
        <x:v>paper gate</x:v>
      </x:c>
      <x:c r="D564" s="21" t="str">
        <x:v>gate 55 binary observation</x:v>
      </x:c>
      <x:c r="E564" s="21" t="n">
        <x:f>IF(OR('Paper Gates'!G55=0,'Paper Gates'!G55=1),1,0)</x:f>
        <x:v>1</x:v>
      </x:c>
      <x:c r="F564" s="21" t="n">
        <x:v>1</x:v>
      </x:c>
      <x:c r="G564" s="23" t="str">
        <x:f>IF(E564=F564,"PASS","FAIL")</x:f>
        <x:v>PASS</x:v>
      </x:c>
    </x:row>
    <x:row r="565">
      <x:c r="B565" s="21" t="str">
        <x:v>A0559</x:v>
      </x:c>
      <x:c r="C565" s="21" t="str">
        <x:v>paper gate</x:v>
      </x:c>
      <x:c r="D565" s="21" t="str">
        <x:v>gate 55 fixed requirement</x:v>
      </x:c>
      <x:c r="E565" s="21" t="n">
        <x:f>IF('Paper Gates'!H55=1,1,0)</x:f>
        <x:v>1</x:v>
      </x:c>
      <x:c r="F565" s="21" t="n">
        <x:v>1</x:v>
      </x:c>
      <x:c r="G565" s="23" t="str">
        <x:f>IF(E565=F565,"PASS","FAIL")</x:f>
        <x:v>PASS</x:v>
      </x:c>
    </x:row>
    <x:row r="566">
      <x:c r="B566" s="21" t="str">
        <x:v>A0560</x:v>
      </x:c>
      <x:c r="C566" s="21" t="str">
        <x:v>paper gate</x:v>
      </x:c>
      <x:c r="D566" s="21" t="str">
        <x:v>gate 55 result reconciles</x:v>
      </x:c>
      <x:c r="E566" s="21" t="n">
        <x:f>IF('Paper Gates'!I55=IF('Paper Gates'!G55='Paper Gates'!H55,"PASS","FAIL"),1,0)</x:f>
        <x:v>1</x:v>
      </x:c>
      <x:c r="F566" s="21" t="n">
        <x:v>1</x:v>
      </x:c>
      <x:c r="G566" s="23" t="str">
        <x:f>IF(E566=F566,"PASS","FAIL")</x:f>
        <x:v>PASS</x:v>
      </x:c>
    </x:row>
    <x:row r="567">
      <x:c r="B567" s="21" t="str">
        <x:v>A0561</x:v>
      </x:c>
      <x:c r="C567" s="21" t="str">
        <x:v>paper gate</x:v>
      </x:c>
      <x:c r="D567" s="21" t="str">
        <x:v>gate 56 binary observation</x:v>
      </x:c>
      <x:c r="E567" s="21" t="n">
        <x:f>IF(OR('Paper Gates'!G56=0,'Paper Gates'!G56=1),1,0)</x:f>
        <x:v>1</x:v>
      </x:c>
      <x:c r="F567" s="21" t="n">
        <x:v>1</x:v>
      </x:c>
      <x:c r="G567" s="23" t="str">
        <x:f>IF(E567=F567,"PASS","FAIL")</x:f>
        <x:v>PASS</x:v>
      </x:c>
    </x:row>
    <x:row r="568">
      <x:c r="B568" s="21" t="str">
        <x:v>A0562</x:v>
      </x:c>
      <x:c r="C568" s="21" t="str">
        <x:v>paper gate</x:v>
      </x:c>
      <x:c r="D568" s="21" t="str">
        <x:v>gate 56 fixed requirement</x:v>
      </x:c>
      <x:c r="E568" s="21" t="n">
        <x:f>IF('Paper Gates'!H56=1,1,0)</x:f>
        <x:v>1</x:v>
      </x:c>
      <x:c r="F568" s="21" t="n">
        <x:v>1</x:v>
      </x:c>
      <x:c r="G568" s="23" t="str">
        <x:f>IF(E568=F568,"PASS","FAIL")</x:f>
        <x:v>PASS</x:v>
      </x:c>
    </x:row>
    <x:row r="569">
      <x:c r="B569" s="21" t="str">
        <x:v>A0563</x:v>
      </x:c>
      <x:c r="C569" s="21" t="str">
        <x:v>paper gate</x:v>
      </x:c>
      <x:c r="D569" s="21" t="str">
        <x:v>gate 56 result reconciles</x:v>
      </x:c>
      <x:c r="E569" s="21" t="n">
        <x:f>IF('Paper Gates'!I56=IF('Paper Gates'!G56='Paper Gates'!H56,"PASS","FAIL"),1,0)</x:f>
        <x:v>1</x:v>
      </x:c>
      <x:c r="F569" s="21" t="n">
        <x:v>1</x:v>
      </x:c>
      <x:c r="G569" s="23" t="str">
        <x:f>IF(E569=F569,"PASS","FAIL")</x:f>
        <x:v>PASS</x:v>
      </x:c>
    </x:row>
    <x:row r="570">
      <x:c r="B570" s="21" t="str">
        <x:v>A0564</x:v>
      </x:c>
      <x:c r="C570" s="21" t="str">
        <x:v>paper gate</x:v>
      </x:c>
      <x:c r="D570" s="21" t="str">
        <x:v>gate 57 binary observation</x:v>
      </x:c>
      <x:c r="E570" s="21" t="n">
        <x:f>IF(OR('Paper Gates'!G57=0,'Paper Gates'!G57=1),1,0)</x:f>
        <x:v>1</x:v>
      </x:c>
      <x:c r="F570" s="21" t="n">
        <x:v>1</x:v>
      </x:c>
      <x:c r="G570" s="23" t="str">
        <x:f>IF(E570=F570,"PASS","FAIL")</x:f>
        <x:v>PASS</x:v>
      </x:c>
    </x:row>
    <x:row r="571">
      <x:c r="B571" s="21" t="str">
        <x:v>A0565</x:v>
      </x:c>
      <x:c r="C571" s="21" t="str">
        <x:v>paper gate</x:v>
      </x:c>
      <x:c r="D571" s="21" t="str">
        <x:v>gate 57 fixed requirement</x:v>
      </x:c>
      <x:c r="E571" s="21" t="n">
        <x:f>IF('Paper Gates'!H57=1,1,0)</x:f>
        <x:v>1</x:v>
      </x:c>
      <x:c r="F571" s="21" t="n">
        <x:v>1</x:v>
      </x:c>
      <x:c r="G571" s="23" t="str">
        <x:f>IF(E571=F571,"PASS","FAIL")</x:f>
        <x:v>PASS</x:v>
      </x:c>
    </x:row>
    <x:row r="572">
      <x:c r="B572" s="21" t="str">
        <x:v>A0566</x:v>
      </x:c>
      <x:c r="C572" s="21" t="str">
        <x:v>paper gate</x:v>
      </x:c>
      <x:c r="D572" s="21" t="str">
        <x:v>gate 57 result reconciles</x:v>
      </x:c>
      <x:c r="E572" s="21" t="n">
        <x:f>IF('Paper Gates'!I57=IF('Paper Gates'!G57='Paper Gates'!H57,"PASS","FAIL"),1,0)</x:f>
        <x:v>1</x:v>
      </x:c>
      <x:c r="F572" s="21" t="n">
        <x:v>1</x:v>
      </x:c>
      <x:c r="G572" s="23" t="str">
        <x:f>IF(E572=F572,"PASS","FAIL")</x:f>
        <x:v>PASS</x:v>
      </x:c>
    </x:row>
    <x:row r="573">
      <x:c r="B573" s="21" t="str">
        <x:v>A0567</x:v>
      </x:c>
      <x:c r="C573" s="21" t="str">
        <x:v>paper gate</x:v>
      </x:c>
      <x:c r="D573" s="21" t="str">
        <x:v>gate 58 binary observation</x:v>
      </x:c>
      <x:c r="E573" s="21" t="n">
        <x:f>IF(OR('Paper Gates'!G58=0,'Paper Gates'!G58=1),1,0)</x:f>
        <x:v>1</x:v>
      </x:c>
      <x:c r="F573" s="21" t="n">
        <x:v>1</x:v>
      </x:c>
      <x:c r="G573" s="23" t="str">
        <x:f>IF(E573=F573,"PASS","FAIL")</x:f>
        <x:v>PASS</x:v>
      </x:c>
    </x:row>
    <x:row r="574">
      <x:c r="B574" s="21" t="str">
        <x:v>A0568</x:v>
      </x:c>
      <x:c r="C574" s="21" t="str">
        <x:v>paper gate</x:v>
      </x:c>
      <x:c r="D574" s="21" t="str">
        <x:v>gate 58 fixed requirement</x:v>
      </x:c>
      <x:c r="E574" s="21" t="n">
        <x:f>IF('Paper Gates'!H58=1,1,0)</x:f>
        <x:v>1</x:v>
      </x:c>
      <x:c r="F574" s="21" t="n">
        <x:v>1</x:v>
      </x:c>
      <x:c r="G574" s="23" t="str">
        <x:f>IF(E574=F574,"PASS","FAIL")</x:f>
        <x:v>PASS</x:v>
      </x:c>
    </x:row>
    <x:row r="575">
      <x:c r="B575" s="21" t="str">
        <x:v>A0569</x:v>
      </x:c>
      <x:c r="C575" s="21" t="str">
        <x:v>paper gate</x:v>
      </x:c>
      <x:c r="D575" s="21" t="str">
        <x:v>gate 58 result reconciles</x:v>
      </x:c>
      <x:c r="E575" s="21" t="n">
        <x:f>IF('Paper Gates'!I58=IF('Paper Gates'!G58='Paper Gates'!H58,"PASS","FAIL"),1,0)</x:f>
        <x:v>1</x:v>
      </x:c>
      <x:c r="F575" s="21" t="n">
        <x:v>1</x:v>
      </x:c>
      <x:c r="G575" s="23" t="str">
        <x:f>IF(E575=F575,"PASS","FAIL")</x:f>
        <x:v>PASS</x:v>
      </x:c>
    </x:row>
    <x:row r="576">
      <x:c r="B576" s="21" t="str">
        <x:v>A0570</x:v>
      </x:c>
      <x:c r="C576" s="21" t="str">
        <x:v>paper gate</x:v>
      </x:c>
      <x:c r="D576" s="21" t="str">
        <x:v>gate 59 binary observation</x:v>
      </x:c>
      <x:c r="E576" s="21" t="n">
        <x:f>IF(OR('Paper Gates'!G59=0,'Paper Gates'!G59=1),1,0)</x:f>
        <x:v>1</x:v>
      </x:c>
      <x:c r="F576" s="21" t="n">
        <x:v>1</x:v>
      </x:c>
      <x:c r="G576" s="23" t="str">
        <x:f>IF(E576=F576,"PASS","FAIL")</x:f>
        <x:v>PASS</x:v>
      </x:c>
    </x:row>
    <x:row r="577">
      <x:c r="B577" s="21" t="str">
        <x:v>A0571</x:v>
      </x:c>
      <x:c r="C577" s="21" t="str">
        <x:v>paper gate</x:v>
      </x:c>
      <x:c r="D577" s="21" t="str">
        <x:v>gate 59 fixed requirement</x:v>
      </x:c>
      <x:c r="E577" s="21" t="n">
        <x:f>IF('Paper Gates'!H59=1,1,0)</x:f>
        <x:v>1</x:v>
      </x:c>
      <x:c r="F577" s="21" t="n">
        <x:v>1</x:v>
      </x:c>
      <x:c r="G577" s="23" t="str">
        <x:f>IF(E577=F577,"PASS","FAIL")</x:f>
        <x:v>PASS</x:v>
      </x:c>
    </x:row>
    <x:row r="578">
      <x:c r="B578" s="21" t="str">
        <x:v>A0572</x:v>
      </x:c>
      <x:c r="C578" s="21" t="str">
        <x:v>paper gate</x:v>
      </x:c>
      <x:c r="D578" s="21" t="str">
        <x:v>gate 59 result reconciles</x:v>
      </x:c>
      <x:c r="E578" s="21" t="n">
        <x:f>IF('Paper Gates'!I59=IF('Paper Gates'!G59='Paper Gates'!H59,"PASS","FAIL"),1,0)</x:f>
        <x:v>1</x:v>
      </x:c>
      <x:c r="F578" s="21" t="n">
        <x:v>1</x:v>
      </x:c>
      <x:c r="G578" s="23" t="str">
        <x:f>IF(E578=F578,"PASS","FAIL")</x:f>
        <x:v>PASS</x:v>
      </x:c>
    </x:row>
    <x:row r="579">
      <x:c r="B579" s="21" t="str">
        <x:v>A0573</x:v>
      </x:c>
      <x:c r="C579" s="21" t="str">
        <x:v>paper gate</x:v>
      </x:c>
      <x:c r="D579" s="21" t="str">
        <x:v>gate 60 binary observation</x:v>
      </x:c>
      <x:c r="E579" s="21" t="n">
        <x:f>IF(OR('Paper Gates'!G60=0,'Paper Gates'!G60=1),1,0)</x:f>
        <x:v>1</x:v>
      </x:c>
      <x:c r="F579" s="21" t="n">
        <x:v>1</x:v>
      </x:c>
      <x:c r="G579" s="23" t="str">
        <x:f>IF(E579=F579,"PASS","FAIL")</x:f>
        <x:v>PASS</x:v>
      </x:c>
    </x:row>
    <x:row r="580">
      <x:c r="B580" s="21" t="str">
        <x:v>A0574</x:v>
      </x:c>
      <x:c r="C580" s="21" t="str">
        <x:v>paper gate</x:v>
      </x:c>
      <x:c r="D580" s="21" t="str">
        <x:v>gate 60 fixed requirement</x:v>
      </x:c>
      <x:c r="E580" s="21" t="n">
        <x:f>IF('Paper Gates'!H60=1,1,0)</x:f>
        <x:v>1</x:v>
      </x:c>
      <x:c r="F580" s="21" t="n">
        <x:v>1</x:v>
      </x:c>
      <x:c r="G580" s="23" t="str">
        <x:f>IF(E580=F580,"PASS","FAIL")</x:f>
        <x:v>PASS</x:v>
      </x:c>
    </x:row>
    <x:row r="581">
      <x:c r="B581" s="21" t="str">
        <x:v>A0575</x:v>
      </x:c>
      <x:c r="C581" s="21" t="str">
        <x:v>paper gate</x:v>
      </x:c>
      <x:c r="D581" s="21" t="str">
        <x:v>gate 60 result reconciles</x:v>
      </x:c>
      <x:c r="E581" s="21" t="n">
        <x:f>IF('Paper Gates'!I60=IF('Paper Gates'!G60='Paper Gates'!H60,"PASS","FAIL"),1,0)</x:f>
        <x:v>1</x:v>
      </x:c>
      <x:c r="F581" s="21" t="n">
        <x:v>1</x:v>
      </x:c>
      <x:c r="G581" s="23" t="str">
        <x:f>IF(E581=F581,"PASS","FAIL")</x:f>
        <x:v>PASS</x:v>
      </x:c>
    </x:row>
    <x:row r="582">
      <x:c r="B582" s="21" t="str">
        <x:v>A0576</x:v>
      </x:c>
      <x:c r="C582" s="21" t="str">
        <x:v>paper gate</x:v>
      </x:c>
      <x:c r="D582" s="21" t="str">
        <x:v>gate 61 binary observation</x:v>
      </x:c>
      <x:c r="E582" s="21" t="n">
        <x:f>IF(OR('Paper Gates'!G61=0,'Paper Gates'!G61=1),1,0)</x:f>
        <x:v>1</x:v>
      </x:c>
      <x:c r="F582" s="21" t="n">
        <x:v>1</x:v>
      </x:c>
      <x:c r="G582" s="23" t="str">
        <x:f>IF(E582=F582,"PASS","FAIL")</x:f>
        <x:v>PASS</x:v>
      </x:c>
    </x:row>
    <x:row r="583">
      <x:c r="B583" s="21" t="str">
        <x:v>A0577</x:v>
      </x:c>
      <x:c r="C583" s="21" t="str">
        <x:v>paper gate</x:v>
      </x:c>
      <x:c r="D583" s="21" t="str">
        <x:v>gate 61 fixed requirement</x:v>
      </x:c>
      <x:c r="E583" s="21" t="n">
        <x:f>IF('Paper Gates'!H61=1,1,0)</x:f>
        <x:v>1</x:v>
      </x:c>
      <x:c r="F583" s="21" t="n">
        <x:v>1</x:v>
      </x:c>
      <x:c r="G583" s="23" t="str">
        <x:f>IF(E583=F583,"PASS","FAIL")</x:f>
        <x:v>PASS</x:v>
      </x:c>
    </x:row>
    <x:row r="584">
      <x:c r="B584" s="21" t="str">
        <x:v>A0578</x:v>
      </x:c>
      <x:c r="C584" s="21" t="str">
        <x:v>paper gate</x:v>
      </x:c>
      <x:c r="D584" s="21" t="str">
        <x:v>gate 61 result reconciles</x:v>
      </x:c>
      <x:c r="E584" s="21" t="n">
        <x:f>IF('Paper Gates'!I61=IF('Paper Gates'!G61='Paper Gates'!H61,"PASS","FAIL"),1,0)</x:f>
        <x:v>1</x:v>
      </x:c>
      <x:c r="F584" s="21" t="n">
        <x:v>1</x:v>
      </x:c>
      <x:c r="G584" s="23" t="str">
        <x:f>IF(E584=F584,"PASS","FAIL")</x:f>
        <x:v>PASS</x:v>
      </x:c>
    </x:row>
    <x:row r="585">
      <x:c r="B585" s="21" t="str">
        <x:v>A0579</x:v>
      </x:c>
      <x:c r="C585" s="21" t="str">
        <x:v>paper gate</x:v>
      </x:c>
      <x:c r="D585" s="21" t="str">
        <x:v>gate 62 binary observation</x:v>
      </x:c>
      <x:c r="E585" s="21" t="n">
        <x:f>IF(OR('Paper Gates'!G62=0,'Paper Gates'!G62=1),1,0)</x:f>
        <x:v>1</x:v>
      </x:c>
      <x:c r="F585" s="21" t="n">
        <x:v>1</x:v>
      </x:c>
      <x:c r="G585" s="23" t="str">
        <x:f>IF(E585=F585,"PASS","FAIL")</x:f>
        <x:v>PASS</x:v>
      </x:c>
    </x:row>
    <x:row r="586">
      <x:c r="B586" s="21" t="str">
        <x:v>A0580</x:v>
      </x:c>
      <x:c r="C586" s="21" t="str">
        <x:v>paper gate</x:v>
      </x:c>
      <x:c r="D586" s="21" t="str">
        <x:v>gate 62 fixed requirement</x:v>
      </x:c>
      <x:c r="E586" s="21" t="n">
        <x:f>IF('Paper Gates'!H62=1,1,0)</x:f>
        <x:v>1</x:v>
      </x:c>
      <x:c r="F586" s="21" t="n">
        <x:v>1</x:v>
      </x:c>
      <x:c r="G586" s="23" t="str">
        <x:f>IF(E586=F586,"PASS","FAIL")</x:f>
        <x:v>PASS</x:v>
      </x:c>
    </x:row>
    <x:row r="587">
      <x:c r="B587" s="21" t="str">
        <x:v>A0581</x:v>
      </x:c>
      <x:c r="C587" s="21" t="str">
        <x:v>paper gate</x:v>
      </x:c>
      <x:c r="D587" s="21" t="str">
        <x:v>gate 62 result reconciles</x:v>
      </x:c>
      <x:c r="E587" s="21" t="n">
        <x:f>IF('Paper Gates'!I62=IF('Paper Gates'!G62='Paper Gates'!H62,"PASS","FAIL"),1,0)</x:f>
        <x:v>1</x:v>
      </x:c>
      <x:c r="F587" s="21" t="n">
        <x:v>1</x:v>
      </x:c>
      <x:c r="G587" s="23" t="str">
        <x:f>IF(E587=F587,"PASS","FAIL")</x:f>
        <x:v>PASS</x:v>
      </x:c>
    </x:row>
    <x:row r="588">
      <x:c r="B588" s="21" t="str">
        <x:v>A0582</x:v>
      </x:c>
      <x:c r="C588" s="21" t="str">
        <x:v>paper gate</x:v>
      </x:c>
      <x:c r="D588" s="21" t="str">
        <x:v>gate 63 binary observation</x:v>
      </x:c>
      <x:c r="E588" s="21" t="n">
        <x:f>IF(OR('Paper Gates'!G63=0,'Paper Gates'!G63=1),1,0)</x:f>
        <x:v>1</x:v>
      </x:c>
      <x:c r="F588" s="21" t="n">
        <x:v>1</x:v>
      </x:c>
      <x:c r="G588" s="23" t="str">
        <x:f>IF(E588=F588,"PASS","FAIL")</x:f>
        <x:v>PASS</x:v>
      </x:c>
    </x:row>
    <x:row r="589">
      <x:c r="B589" s="21" t="str">
        <x:v>A0583</x:v>
      </x:c>
      <x:c r="C589" s="21" t="str">
        <x:v>paper gate</x:v>
      </x:c>
      <x:c r="D589" s="21" t="str">
        <x:v>gate 63 fixed requirement</x:v>
      </x:c>
      <x:c r="E589" s="21" t="n">
        <x:f>IF('Paper Gates'!H63=1,1,0)</x:f>
        <x:v>1</x:v>
      </x:c>
      <x:c r="F589" s="21" t="n">
        <x:v>1</x:v>
      </x:c>
      <x:c r="G589" s="23" t="str">
        <x:f>IF(E589=F589,"PASS","FAIL")</x:f>
        <x:v>PASS</x:v>
      </x:c>
    </x:row>
    <x:row r="590">
      <x:c r="B590" s="21" t="str">
        <x:v>A0584</x:v>
      </x:c>
      <x:c r="C590" s="21" t="str">
        <x:v>paper gate</x:v>
      </x:c>
      <x:c r="D590" s="21" t="str">
        <x:v>gate 63 result reconciles</x:v>
      </x:c>
      <x:c r="E590" s="21" t="n">
        <x:f>IF('Paper Gates'!I63=IF('Paper Gates'!G63='Paper Gates'!H63,"PASS","FAIL"),1,0)</x:f>
        <x:v>1</x:v>
      </x:c>
      <x:c r="F590" s="21" t="n">
        <x:v>1</x:v>
      </x:c>
      <x:c r="G590" s="23" t="str">
        <x:f>IF(E590=F590,"PASS","FAIL")</x:f>
        <x:v>PASS</x:v>
      </x:c>
    </x:row>
    <x:row r="591">
      <x:c r="B591" s="21" t="str">
        <x:v>A0585</x:v>
      </x:c>
      <x:c r="C591" s="21" t="str">
        <x:v>paper gate</x:v>
      </x:c>
      <x:c r="D591" s="21" t="str">
        <x:v>gate 64 binary observation</x:v>
      </x:c>
      <x:c r="E591" s="21" t="n">
        <x:f>IF(OR('Paper Gates'!G64=0,'Paper Gates'!G64=1),1,0)</x:f>
        <x:v>1</x:v>
      </x:c>
      <x:c r="F591" s="21" t="n">
        <x:v>1</x:v>
      </x:c>
      <x:c r="G591" s="23" t="str">
        <x:f>IF(E591=F591,"PASS","FAIL")</x:f>
        <x:v>PASS</x:v>
      </x:c>
    </x:row>
    <x:row r="592">
      <x:c r="B592" s="21" t="str">
        <x:v>A0586</x:v>
      </x:c>
      <x:c r="C592" s="21" t="str">
        <x:v>paper gate</x:v>
      </x:c>
      <x:c r="D592" s="21" t="str">
        <x:v>gate 64 fixed requirement</x:v>
      </x:c>
      <x:c r="E592" s="21" t="n">
        <x:f>IF('Paper Gates'!H64=1,1,0)</x:f>
        <x:v>1</x:v>
      </x:c>
      <x:c r="F592" s="21" t="n">
        <x:v>1</x:v>
      </x:c>
      <x:c r="G592" s="23" t="str">
        <x:f>IF(E592=F592,"PASS","FAIL")</x:f>
        <x:v>PASS</x:v>
      </x:c>
    </x:row>
    <x:row r="593">
      <x:c r="B593" s="21" t="str">
        <x:v>A0587</x:v>
      </x:c>
      <x:c r="C593" s="21" t="str">
        <x:v>paper gate</x:v>
      </x:c>
      <x:c r="D593" s="21" t="str">
        <x:v>gate 64 result reconciles</x:v>
      </x:c>
      <x:c r="E593" s="21" t="n">
        <x:f>IF('Paper Gates'!I64=IF('Paper Gates'!G64='Paper Gates'!H64,"PASS","FAIL"),1,0)</x:f>
        <x:v>1</x:v>
      </x:c>
      <x:c r="F593" s="21" t="n">
        <x:v>1</x:v>
      </x:c>
      <x:c r="G593" s="23" t="str">
        <x:f>IF(E593=F593,"PASS","FAIL")</x:f>
        <x:v>PASS</x:v>
      </x:c>
    </x:row>
    <x:row r="594">
      <x:c r="B594" s="21" t="str">
        <x:v>A0588</x:v>
      </x:c>
      <x:c r="C594" s="21" t="str">
        <x:v>paper gate</x:v>
      </x:c>
      <x:c r="D594" s="21" t="str">
        <x:v>gate 65 binary observation</x:v>
      </x:c>
      <x:c r="E594" s="21" t="n">
        <x:f>IF(OR('Paper Gates'!G65=0,'Paper Gates'!G65=1),1,0)</x:f>
        <x:v>1</x:v>
      </x:c>
      <x:c r="F594" s="21" t="n">
        <x:v>1</x:v>
      </x:c>
      <x:c r="G594" s="23" t="str">
        <x:f>IF(E594=F594,"PASS","FAIL")</x:f>
        <x:v>PASS</x:v>
      </x:c>
    </x:row>
    <x:row r="595">
      <x:c r="B595" s="21" t="str">
        <x:v>A0589</x:v>
      </x:c>
      <x:c r="C595" s="21" t="str">
        <x:v>paper gate</x:v>
      </x:c>
      <x:c r="D595" s="21" t="str">
        <x:v>gate 65 fixed requirement</x:v>
      </x:c>
      <x:c r="E595" s="21" t="n">
        <x:f>IF('Paper Gates'!H65=1,1,0)</x:f>
        <x:v>1</x:v>
      </x:c>
      <x:c r="F595" s="21" t="n">
        <x:v>1</x:v>
      </x:c>
      <x:c r="G595" s="23" t="str">
        <x:f>IF(E595=F595,"PASS","FAIL")</x:f>
        <x:v>PASS</x:v>
      </x:c>
    </x:row>
    <x:row r="596">
      <x:c r="B596" s="21" t="str">
        <x:v>A0590</x:v>
      </x:c>
      <x:c r="C596" s="21" t="str">
        <x:v>paper gate</x:v>
      </x:c>
      <x:c r="D596" s="21" t="str">
        <x:v>gate 65 result reconciles</x:v>
      </x:c>
      <x:c r="E596" s="21" t="n">
        <x:f>IF('Paper Gates'!I65=IF('Paper Gates'!G65='Paper Gates'!H65,"PASS","FAIL"),1,0)</x:f>
        <x:v>1</x:v>
      </x:c>
      <x:c r="F596" s="21" t="n">
        <x:v>1</x:v>
      </x:c>
      <x:c r="G596" s="23" t="str">
        <x:f>IF(E596=F596,"PASS","FAIL")</x:f>
        <x:v>PASS</x:v>
      </x:c>
    </x:row>
    <x:row r="597">
      <x:c r="B597" s="21" t="str">
        <x:v>A0591</x:v>
      </x:c>
      <x:c r="C597" s="21" t="str">
        <x:v>paper gate</x:v>
      </x:c>
      <x:c r="D597" s="21" t="str">
        <x:v>gate 66 binary observation</x:v>
      </x:c>
      <x:c r="E597" s="21" t="n">
        <x:f>IF(OR('Paper Gates'!G66=0,'Paper Gates'!G66=1),1,0)</x:f>
        <x:v>1</x:v>
      </x:c>
      <x:c r="F597" s="21" t="n">
        <x:v>1</x:v>
      </x:c>
      <x:c r="G597" s="23" t="str">
        <x:f>IF(E597=F597,"PASS","FAIL")</x:f>
        <x:v>PASS</x:v>
      </x:c>
    </x:row>
    <x:row r="598">
      <x:c r="B598" s="21" t="str">
        <x:v>A0592</x:v>
      </x:c>
      <x:c r="C598" s="21" t="str">
        <x:v>paper gate</x:v>
      </x:c>
      <x:c r="D598" s="21" t="str">
        <x:v>gate 66 fixed requirement</x:v>
      </x:c>
      <x:c r="E598" s="21" t="n">
        <x:f>IF('Paper Gates'!H66=1,1,0)</x:f>
        <x:v>1</x:v>
      </x:c>
      <x:c r="F598" s="21" t="n">
        <x:v>1</x:v>
      </x:c>
      <x:c r="G598" s="23" t="str">
        <x:f>IF(E598=F598,"PASS","FAIL")</x:f>
        <x:v>PASS</x:v>
      </x:c>
    </x:row>
    <x:row r="599">
      <x:c r="B599" s="21" t="str">
        <x:v>A0593</x:v>
      </x:c>
      <x:c r="C599" s="21" t="str">
        <x:v>paper gate</x:v>
      </x:c>
      <x:c r="D599" s="21" t="str">
        <x:v>gate 66 result reconciles</x:v>
      </x:c>
      <x:c r="E599" s="21" t="n">
        <x:f>IF('Paper Gates'!I66=IF('Paper Gates'!G66='Paper Gates'!H66,"PASS","FAIL"),1,0)</x:f>
        <x:v>1</x:v>
      </x:c>
      <x:c r="F599" s="21" t="n">
        <x:v>1</x:v>
      </x:c>
      <x:c r="G599" s="23" t="str">
        <x:f>IF(E599=F599,"PASS","FAIL")</x:f>
        <x:v>PASS</x:v>
      </x:c>
    </x:row>
    <x:row r="600">
      <x:c r="B600" s="21" t="str">
        <x:v>A0594</x:v>
      </x:c>
      <x:c r="C600" s="21" t="str">
        <x:v>paper gate</x:v>
      </x:c>
      <x:c r="D600" s="21" t="str">
        <x:v>gate 67 binary observation</x:v>
      </x:c>
      <x:c r="E600" s="21" t="n">
        <x:f>IF(OR('Paper Gates'!G67=0,'Paper Gates'!G67=1),1,0)</x:f>
        <x:v>1</x:v>
      </x:c>
      <x:c r="F600" s="21" t="n">
        <x:v>1</x:v>
      </x:c>
      <x:c r="G600" s="23" t="str">
        <x:f>IF(E600=F600,"PASS","FAIL")</x:f>
        <x:v>PASS</x:v>
      </x:c>
    </x:row>
    <x:row r="601">
      <x:c r="B601" s="21" t="str">
        <x:v>A0595</x:v>
      </x:c>
      <x:c r="C601" s="21" t="str">
        <x:v>paper gate</x:v>
      </x:c>
      <x:c r="D601" s="21" t="str">
        <x:v>gate 67 fixed requirement</x:v>
      </x:c>
      <x:c r="E601" s="21" t="n">
        <x:f>IF('Paper Gates'!H67=1,1,0)</x:f>
        <x:v>1</x:v>
      </x:c>
      <x:c r="F601" s="21" t="n">
        <x:v>1</x:v>
      </x:c>
      <x:c r="G601" s="23" t="str">
        <x:f>IF(E601=F601,"PASS","FAIL")</x:f>
        <x:v>PASS</x:v>
      </x:c>
    </x:row>
    <x:row r="602">
      <x:c r="B602" s="21" t="str">
        <x:v>A0596</x:v>
      </x:c>
      <x:c r="C602" s="21" t="str">
        <x:v>paper gate</x:v>
      </x:c>
      <x:c r="D602" s="21" t="str">
        <x:v>gate 67 result reconciles</x:v>
      </x:c>
      <x:c r="E602" s="21" t="n">
        <x:f>IF('Paper Gates'!I67=IF('Paper Gates'!G67='Paper Gates'!H67,"PASS","FAIL"),1,0)</x:f>
        <x:v>1</x:v>
      </x:c>
      <x:c r="F602" s="21" t="n">
        <x:v>1</x:v>
      </x:c>
      <x:c r="G602" s="23" t="str">
        <x:f>IF(E602=F602,"PASS","FAIL")</x:f>
        <x:v>PASS</x:v>
      </x:c>
    </x:row>
    <x:row r="603">
      <x:c r="B603" s="21" t="str">
        <x:v>A0597</x:v>
      </x:c>
      <x:c r="C603" s="21" t="str">
        <x:v>paper gate</x:v>
      </x:c>
      <x:c r="D603" s="21" t="str">
        <x:v>gate 68 binary observation</x:v>
      </x:c>
      <x:c r="E603" s="21" t="n">
        <x:f>IF(OR('Paper Gates'!G68=0,'Paper Gates'!G68=1),1,0)</x:f>
        <x:v>1</x:v>
      </x:c>
      <x:c r="F603" s="21" t="n">
        <x:v>1</x:v>
      </x:c>
      <x:c r="G603" s="23" t="str">
        <x:f>IF(E603=F603,"PASS","FAIL")</x:f>
        <x:v>PASS</x:v>
      </x:c>
    </x:row>
    <x:row r="604">
      <x:c r="B604" s="21" t="str">
        <x:v>A0598</x:v>
      </x:c>
      <x:c r="C604" s="21" t="str">
        <x:v>paper gate</x:v>
      </x:c>
      <x:c r="D604" s="21" t="str">
        <x:v>gate 68 fixed requirement</x:v>
      </x:c>
      <x:c r="E604" s="21" t="n">
        <x:f>IF('Paper Gates'!H68=1,1,0)</x:f>
        <x:v>1</x:v>
      </x:c>
      <x:c r="F604" s="21" t="n">
        <x:v>1</x:v>
      </x:c>
      <x:c r="G604" s="23" t="str">
        <x:f>IF(E604=F604,"PASS","FAIL")</x:f>
        <x:v>PASS</x:v>
      </x:c>
    </x:row>
    <x:row r="605">
      <x:c r="B605" s="21" t="str">
        <x:v>A0599</x:v>
      </x:c>
      <x:c r="C605" s="21" t="str">
        <x:v>paper gate</x:v>
      </x:c>
      <x:c r="D605" s="21" t="str">
        <x:v>gate 68 result reconciles</x:v>
      </x:c>
      <x:c r="E605" s="21" t="n">
        <x:f>IF('Paper Gates'!I68=IF('Paper Gates'!G68='Paper Gates'!H68,"PASS","FAIL"),1,0)</x:f>
        <x:v>1</x:v>
      </x:c>
      <x:c r="F605" s="21" t="n">
        <x:v>1</x:v>
      </x:c>
      <x:c r="G605" s="23" t="str">
        <x:f>IF(E605=F605,"PASS","FAIL")</x:f>
        <x:v>PASS</x:v>
      </x:c>
    </x:row>
    <x:row r="606">
      <x:c r="B606" s="21" t="str">
        <x:v>A0600</x:v>
      </x:c>
      <x:c r="C606" s="21" t="str">
        <x:v>paper gate</x:v>
      </x:c>
      <x:c r="D606" s="21" t="str">
        <x:v>gate 69 binary observation</x:v>
      </x:c>
      <x:c r="E606" s="21" t="n">
        <x:f>IF(OR('Paper Gates'!G69=0,'Paper Gates'!G69=1),1,0)</x:f>
        <x:v>1</x:v>
      </x:c>
      <x:c r="F606" s="21" t="n">
        <x:v>1</x:v>
      </x:c>
      <x:c r="G606" s="23" t="str">
        <x:f>IF(E606=F606,"PASS","FAIL")</x:f>
        <x:v>PASS</x:v>
      </x:c>
    </x:row>
    <x:row r="607">
      <x:c r="B607" s="21" t="str">
        <x:v>A0601</x:v>
      </x:c>
      <x:c r="C607" s="21" t="str">
        <x:v>paper gate</x:v>
      </x:c>
      <x:c r="D607" s="21" t="str">
        <x:v>gate 69 fixed requirement</x:v>
      </x:c>
      <x:c r="E607" s="21" t="n">
        <x:f>IF('Paper Gates'!H69=1,1,0)</x:f>
        <x:v>1</x:v>
      </x:c>
      <x:c r="F607" s="21" t="n">
        <x:v>1</x:v>
      </x:c>
      <x:c r="G607" s="23" t="str">
        <x:f>IF(E607=F607,"PASS","FAIL")</x:f>
        <x:v>PASS</x:v>
      </x:c>
    </x:row>
    <x:row r="608">
      <x:c r="B608" s="21" t="str">
        <x:v>A0602</x:v>
      </x:c>
      <x:c r="C608" s="21" t="str">
        <x:v>paper gate</x:v>
      </x:c>
      <x:c r="D608" s="21" t="str">
        <x:v>gate 69 result reconciles</x:v>
      </x:c>
      <x:c r="E608" s="21" t="n">
        <x:f>IF('Paper Gates'!I69=IF('Paper Gates'!G69='Paper Gates'!H69,"PASS","FAIL"),1,0)</x:f>
        <x:v>1</x:v>
      </x:c>
      <x:c r="F608" s="21" t="n">
        <x:v>1</x:v>
      </x:c>
      <x:c r="G608" s="23" t="str">
        <x:f>IF(E608=F608,"PASS","FAIL")</x:f>
        <x:v>PASS</x:v>
      </x:c>
    </x:row>
    <x:row r="609">
      <x:c r="B609" s="21" t="str">
        <x:v>A0603</x:v>
      </x:c>
      <x:c r="C609" s="21" t="str">
        <x:v>paper gate</x:v>
      </x:c>
      <x:c r="D609" s="21" t="str">
        <x:v>gate 70 binary observation</x:v>
      </x:c>
      <x:c r="E609" s="21" t="n">
        <x:f>IF(OR('Paper Gates'!G70=0,'Paper Gates'!G70=1),1,0)</x:f>
        <x:v>1</x:v>
      </x:c>
      <x:c r="F609" s="21" t="n">
        <x:v>1</x:v>
      </x:c>
      <x:c r="G609" s="23" t="str">
        <x:f>IF(E609=F609,"PASS","FAIL")</x:f>
        <x:v>PASS</x:v>
      </x:c>
    </x:row>
    <x:row r="610">
      <x:c r="B610" s="21" t="str">
        <x:v>A0604</x:v>
      </x:c>
      <x:c r="C610" s="21" t="str">
        <x:v>paper gate</x:v>
      </x:c>
      <x:c r="D610" s="21" t="str">
        <x:v>gate 70 fixed requirement</x:v>
      </x:c>
      <x:c r="E610" s="21" t="n">
        <x:f>IF('Paper Gates'!H70=1,1,0)</x:f>
        <x:v>1</x:v>
      </x:c>
      <x:c r="F610" s="21" t="n">
        <x:v>1</x:v>
      </x:c>
      <x:c r="G610" s="23" t="str">
        <x:f>IF(E610=F610,"PASS","FAIL")</x:f>
        <x:v>PASS</x:v>
      </x:c>
    </x:row>
    <x:row r="611">
      <x:c r="B611" s="21" t="str">
        <x:v>A0605</x:v>
      </x:c>
      <x:c r="C611" s="21" t="str">
        <x:v>paper gate</x:v>
      </x:c>
      <x:c r="D611" s="21" t="str">
        <x:v>gate 70 result reconciles</x:v>
      </x:c>
      <x:c r="E611" s="21" t="n">
        <x:f>IF('Paper Gates'!I70=IF('Paper Gates'!G70='Paper Gates'!H70,"PASS","FAIL"),1,0)</x:f>
        <x:v>1</x:v>
      </x:c>
      <x:c r="F611" s="21" t="n">
        <x:v>1</x:v>
      </x:c>
      <x:c r="G611" s="23" t="str">
        <x:f>IF(E611=F611,"PASS","FAIL")</x:f>
        <x:v>PASS</x:v>
      </x:c>
    </x:row>
    <x:row r="612">
      <x:c r="B612" s="21" t="str">
        <x:v>A0606</x:v>
      </x:c>
      <x:c r="C612" s="21" t="str">
        <x:v>paper gate</x:v>
      </x:c>
      <x:c r="D612" s="21" t="str">
        <x:v>gate 71 binary observation</x:v>
      </x:c>
      <x:c r="E612" s="21" t="n">
        <x:f>IF(OR('Paper Gates'!G71=0,'Paper Gates'!G71=1),1,0)</x:f>
        <x:v>1</x:v>
      </x:c>
      <x:c r="F612" s="21" t="n">
        <x:v>1</x:v>
      </x:c>
      <x:c r="G612" s="23" t="str">
        <x:f>IF(E612=F612,"PASS","FAIL")</x:f>
        <x:v>PASS</x:v>
      </x:c>
    </x:row>
    <x:row r="613">
      <x:c r="B613" s="21" t="str">
        <x:v>A0607</x:v>
      </x:c>
      <x:c r="C613" s="21" t="str">
        <x:v>paper gate</x:v>
      </x:c>
      <x:c r="D613" s="21" t="str">
        <x:v>gate 71 fixed requirement</x:v>
      </x:c>
      <x:c r="E613" s="21" t="n">
        <x:f>IF('Paper Gates'!H71=1,1,0)</x:f>
        <x:v>1</x:v>
      </x:c>
      <x:c r="F613" s="21" t="n">
        <x:v>1</x:v>
      </x:c>
      <x:c r="G613" s="23" t="str">
        <x:f>IF(E613=F613,"PASS","FAIL")</x:f>
        <x:v>PASS</x:v>
      </x:c>
    </x:row>
    <x:row r="614">
      <x:c r="B614" s="21" t="str">
        <x:v>A0608</x:v>
      </x:c>
      <x:c r="C614" s="21" t="str">
        <x:v>paper gate</x:v>
      </x:c>
      <x:c r="D614" s="21" t="str">
        <x:v>gate 71 result reconciles</x:v>
      </x:c>
      <x:c r="E614" s="21" t="n">
        <x:f>IF('Paper Gates'!I71=IF('Paper Gates'!G71='Paper Gates'!H71,"PASS","FAIL"),1,0)</x:f>
        <x:v>1</x:v>
      </x:c>
      <x:c r="F614" s="21" t="n">
        <x:v>1</x:v>
      </x:c>
      <x:c r="G614" s="23" t="str">
        <x:f>IF(E614=F614,"PASS","FAIL")</x:f>
        <x:v>PASS</x:v>
      </x:c>
    </x:row>
    <x:row r="615">
      <x:c r="B615" s="21" t="str">
        <x:v>A0609</x:v>
      </x:c>
      <x:c r="C615" s="21" t="str">
        <x:v>paper gate</x:v>
      </x:c>
      <x:c r="D615" s="21" t="str">
        <x:v>gate 72 binary observation</x:v>
      </x:c>
      <x:c r="E615" s="21" t="n">
        <x:f>IF(OR('Paper Gates'!G72=0,'Paper Gates'!G72=1),1,0)</x:f>
        <x:v>1</x:v>
      </x:c>
      <x:c r="F615" s="21" t="n">
        <x:v>1</x:v>
      </x:c>
      <x:c r="G615" s="23" t="str">
        <x:f>IF(E615=F615,"PASS","FAIL")</x:f>
        <x:v>PASS</x:v>
      </x:c>
    </x:row>
    <x:row r="616">
      <x:c r="B616" s="21" t="str">
        <x:v>A0610</x:v>
      </x:c>
      <x:c r="C616" s="21" t="str">
        <x:v>paper gate</x:v>
      </x:c>
      <x:c r="D616" s="21" t="str">
        <x:v>gate 72 fixed requirement</x:v>
      </x:c>
      <x:c r="E616" s="21" t="n">
        <x:f>IF('Paper Gates'!H72=1,1,0)</x:f>
        <x:v>1</x:v>
      </x:c>
      <x:c r="F616" s="21" t="n">
        <x:v>1</x:v>
      </x:c>
      <x:c r="G616" s="23" t="str">
        <x:f>IF(E616=F616,"PASS","FAIL")</x:f>
        <x:v>PASS</x:v>
      </x:c>
    </x:row>
    <x:row r="617">
      <x:c r="B617" s="21" t="str">
        <x:v>A0611</x:v>
      </x:c>
      <x:c r="C617" s="21" t="str">
        <x:v>paper gate</x:v>
      </x:c>
      <x:c r="D617" s="21" t="str">
        <x:v>gate 72 result reconciles</x:v>
      </x:c>
      <x:c r="E617" s="21" t="n">
        <x:f>IF('Paper Gates'!I72=IF('Paper Gates'!G72='Paper Gates'!H72,"PASS","FAIL"),1,0)</x:f>
        <x:v>1</x:v>
      </x:c>
      <x:c r="F617" s="21" t="n">
        <x:v>1</x:v>
      </x:c>
      <x:c r="G617" s="23" t="str">
        <x:f>IF(E617=F617,"PASS","FAIL")</x:f>
        <x:v>PASS</x:v>
      </x:c>
    </x:row>
    <x:row r="618">
      <x:c r="B618" s="21" t="str">
        <x:v>A0612</x:v>
      </x:c>
      <x:c r="C618" s="21" t="str">
        <x:v>paper gate</x:v>
      </x:c>
      <x:c r="D618" s="21" t="str">
        <x:v>gate 73 binary observation</x:v>
      </x:c>
      <x:c r="E618" s="21" t="n">
        <x:f>IF(OR('Paper Gates'!G73=0,'Paper Gates'!G73=1),1,0)</x:f>
        <x:v>1</x:v>
      </x:c>
      <x:c r="F618" s="21" t="n">
        <x:v>1</x:v>
      </x:c>
      <x:c r="G618" s="23" t="str">
        <x:f>IF(E618=F618,"PASS","FAIL")</x:f>
        <x:v>PASS</x:v>
      </x:c>
    </x:row>
    <x:row r="619">
      <x:c r="B619" s="21" t="str">
        <x:v>A0613</x:v>
      </x:c>
      <x:c r="C619" s="21" t="str">
        <x:v>paper gate</x:v>
      </x:c>
      <x:c r="D619" s="21" t="str">
        <x:v>gate 73 fixed requirement</x:v>
      </x:c>
      <x:c r="E619" s="21" t="n">
        <x:f>IF('Paper Gates'!H73=1,1,0)</x:f>
        <x:v>1</x:v>
      </x:c>
      <x:c r="F619" s="21" t="n">
        <x:v>1</x:v>
      </x:c>
      <x:c r="G619" s="23" t="str">
        <x:f>IF(E619=F619,"PASS","FAIL")</x:f>
        <x:v>PASS</x:v>
      </x:c>
    </x:row>
    <x:row r="620">
      <x:c r="B620" s="21" t="str">
        <x:v>A0614</x:v>
      </x:c>
      <x:c r="C620" s="21" t="str">
        <x:v>paper gate</x:v>
      </x:c>
      <x:c r="D620" s="21" t="str">
        <x:v>gate 73 result reconciles</x:v>
      </x:c>
      <x:c r="E620" s="21" t="n">
        <x:f>IF('Paper Gates'!I73=IF('Paper Gates'!G73='Paper Gates'!H73,"PASS","FAIL"),1,0)</x:f>
        <x:v>1</x:v>
      </x:c>
      <x:c r="F620" s="21" t="n">
        <x:v>1</x:v>
      </x:c>
      <x:c r="G620" s="23" t="str">
        <x:f>IF(E620=F620,"PASS","FAIL")</x:f>
        <x:v>PASS</x:v>
      </x:c>
    </x:row>
    <x:row r="621">
      <x:c r="B621" s="21" t="str">
        <x:v>A0615</x:v>
      </x:c>
      <x:c r="C621" s="21" t="str">
        <x:v>paper gate</x:v>
      </x:c>
      <x:c r="D621" s="21" t="str">
        <x:v>gate 74 binary observation</x:v>
      </x:c>
      <x:c r="E621" s="21" t="n">
        <x:f>IF(OR('Paper Gates'!G74=0,'Paper Gates'!G74=1),1,0)</x:f>
        <x:v>1</x:v>
      </x:c>
      <x:c r="F621" s="21" t="n">
        <x:v>1</x:v>
      </x:c>
      <x:c r="G621" s="23" t="str">
        <x:f>IF(E621=F621,"PASS","FAIL")</x:f>
        <x:v>PASS</x:v>
      </x:c>
    </x:row>
    <x:row r="622">
      <x:c r="B622" s="21" t="str">
        <x:v>A0616</x:v>
      </x:c>
      <x:c r="C622" s="21" t="str">
        <x:v>paper gate</x:v>
      </x:c>
      <x:c r="D622" s="21" t="str">
        <x:v>gate 74 fixed requirement</x:v>
      </x:c>
      <x:c r="E622" s="21" t="n">
        <x:f>IF('Paper Gates'!H74=1,1,0)</x:f>
        <x:v>1</x:v>
      </x:c>
      <x:c r="F622" s="21" t="n">
        <x:v>1</x:v>
      </x:c>
      <x:c r="G622" s="23" t="str">
        <x:f>IF(E622=F622,"PASS","FAIL")</x:f>
        <x:v>PASS</x:v>
      </x:c>
    </x:row>
    <x:row r="623">
      <x:c r="B623" s="21" t="str">
        <x:v>A0617</x:v>
      </x:c>
      <x:c r="C623" s="21" t="str">
        <x:v>paper gate</x:v>
      </x:c>
      <x:c r="D623" s="21" t="str">
        <x:v>gate 74 result reconciles</x:v>
      </x:c>
      <x:c r="E623" s="21" t="n">
        <x:f>IF('Paper Gates'!I74=IF('Paper Gates'!G74='Paper Gates'!H74,"PASS","FAIL"),1,0)</x:f>
        <x:v>1</x:v>
      </x:c>
      <x:c r="F623" s="21" t="n">
        <x:v>1</x:v>
      </x:c>
      <x:c r="G623" s="23" t="str">
        <x:f>IF(E623=F623,"PASS","FAIL")</x:f>
        <x:v>PASS</x:v>
      </x:c>
    </x:row>
    <x:row r="624">
      <x:c r="B624" s="21" t="str">
        <x:v>A0618</x:v>
      </x:c>
      <x:c r="C624" s="21" t="str">
        <x:v>paper gate</x:v>
      </x:c>
      <x:c r="D624" s="21" t="str">
        <x:v>gate 75 binary observation</x:v>
      </x:c>
      <x:c r="E624" s="21" t="n">
        <x:f>IF(OR('Paper Gates'!G75=0,'Paper Gates'!G75=1),1,0)</x:f>
        <x:v>1</x:v>
      </x:c>
      <x:c r="F624" s="21" t="n">
        <x:v>1</x:v>
      </x:c>
      <x:c r="G624" s="23" t="str">
        <x:f>IF(E624=F624,"PASS","FAIL")</x:f>
        <x:v>PASS</x:v>
      </x:c>
    </x:row>
    <x:row r="625">
      <x:c r="B625" s="21" t="str">
        <x:v>A0619</x:v>
      </x:c>
      <x:c r="C625" s="21" t="str">
        <x:v>paper gate</x:v>
      </x:c>
      <x:c r="D625" s="21" t="str">
        <x:v>gate 75 fixed requirement</x:v>
      </x:c>
      <x:c r="E625" s="21" t="n">
        <x:f>IF('Paper Gates'!H75=1,1,0)</x:f>
        <x:v>1</x:v>
      </x:c>
      <x:c r="F625" s="21" t="n">
        <x:v>1</x:v>
      </x:c>
      <x:c r="G625" s="23" t="str">
        <x:f>IF(E625=F625,"PASS","FAIL")</x:f>
        <x:v>PASS</x:v>
      </x:c>
    </x:row>
    <x:row r="626">
      <x:c r="B626" s="21" t="str">
        <x:v>A0620</x:v>
      </x:c>
      <x:c r="C626" s="21" t="str">
        <x:v>paper gate</x:v>
      </x:c>
      <x:c r="D626" s="21" t="str">
        <x:v>gate 75 result reconciles</x:v>
      </x:c>
      <x:c r="E626" s="21" t="n">
        <x:f>IF('Paper Gates'!I75=IF('Paper Gates'!G75='Paper Gates'!H75,"PASS","FAIL"),1,0)</x:f>
        <x:v>1</x:v>
      </x:c>
      <x:c r="F626" s="21" t="n">
        <x:v>1</x:v>
      </x:c>
      <x:c r="G626" s="23" t="str">
        <x:f>IF(E626=F626,"PASS","FAIL")</x:f>
        <x:v>PASS</x:v>
      </x:c>
    </x:row>
    <x:row r="627">
      <x:c r="B627" s="21" t="str">
        <x:v>A0621</x:v>
      </x:c>
      <x:c r="C627" s="21" t="str">
        <x:v>paper gate</x:v>
      </x:c>
      <x:c r="D627" s="21" t="str">
        <x:v>gate 76 binary observation</x:v>
      </x:c>
      <x:c r="E627" s="21" t="n">
        <x:f>IF(OR('Paper Gates'!G76=0,'Paper Gates'!G76=1),1,0)</x:f>
        <x:v>1</x:v>
      </x:c>
      <x:c r="F627" s="21" t="n">
        <x:v>1</x:v>
      </x:c>
      <x:c r="G627" s="23" t="str">
        <x:f>IF(E627=F627,"PASS","FAIL")</x:f>
        <x:v>PASS</x:v>
      </x:c>
    </x:row>
    <x:row r="628">
      <x:c r="B628" s="21" t="str">
        <x:v>A0622</x:v>
      </x:c>
      <x:c r="C628" s="21" t="str">
        <x:v>paper gate</x:v>
      </x:c>
      <x:c r="D628" s="21" t="str">
        <x:v>gate 76 fixed requirement</x:v>
      </x:c>
      <x:c r="E628" s="21" t="n">
        <x:f>IF('Paper Gates'!H76=1,1,0)</x:f>
        <x:v>1</x:v>
      </x:c>
      <x:c r="F628" s="21" t="n">
        <x:v>1</x:v>
      </x:c>
      <x:c r="G628" s="23" t="str">
        <x:f>IF(E628=F628,"PASS","FAIL")</x:f>
        <x:v>PASS</x:v>
      </x:c>
    </x:row>
    <x:row r="629">
      <x:c r="B629" s="21" t="str">
        <x:v>A0623</x:v>
      </x:c>
      <x:c r="C629" s="21" t="str">
        <x:v>paper gate</x:v>
      </x:c>
      <x:c r="D629" s="21" t="str">
        <x:v>gate 76 result reconciles</x:v>
      </x:c>
      <x:c r="E629" s="21" t="n">
        <x:f>IF('Paper Gates'!I76=IF('Paper Gates'!G76='Paper Gates'!H76,"PASS","FAIL"),1,0)</x:f>
        <x:v>1</x:v>
      </x:c>
      <x:c r="F629" s="21" t="n">
        <x:v>1</x:v>
      </x:c>
      <x:c r="G629" s="23" t="str">
        <x:f>IF(E629=F629,"PASS","FAIL")</x:f>
        <x:v>PASS</x:v>
      </x:c>
    </x:row>
    <x:row r="630">
      <x:c r="B630" s="21" t="str">
        <x:v>A0624</x:v>
      </x:c>
      <x:c r="C630" s="21" t="str">
        <x:v>paper gate</x:v>
      </x:c>
      <x:c r="D630" s="21" t="str">
        <x:v>gate 77 binary observation</x:v>
      </x:c>
      <x:c r="E630" s="21" t="n">
        <x:f>IF(OR('Paper Gates'!G77=0,'Paper Gates'!G77=1),1,0)</x:f>
        <x:v>1</x:v>
      </x:c>
      <x:c r="F630" s="21" t="n">
        <x:v>1</x:v>
      </x:c>
      <x:c r="G630" s="23" t="str">
        <x:f>IF(E630=F630,"PASS","FAIL")</x:f>
        <x:v>PASS</x:v>
      </x:c>
    </x:row>
    <x:row r="631">
      <x:c r="B631" s="21" t="str">
        <x:v>A0625</x:v>
      </x:c>
      <x:c r="C631" s="21" t="str">
        <x:v>paper gate</x:v>
      </x:c>
      <x:c r="D631" s="21" t="str">
        <x:v>gate 77 fixed requirement</x:v>
      </x:c>
      <x:c r="E631" s="21" t="n">
        <x:f>IF('Paper Gates'!H77=1,1,0)</x:f>
        <x:v>1</x:v>
      </x:c>
      <x:c r="F631" s="21" t="n">
        <x:v>1</x:v>
      </x:c>
      <x:c r="G631" s="23" t="str">
        <x:f>IF(E631=F631,"PASS","FAIL")</x:f>
        <x:v>PASS</x:v>
      </x:c>
    </x:row>
    <x:row r="632">
      <x:c r="B632" s="21" t="str">
        <x:v>A0626</x:v>
      </x:c>
      <x:c r="C632" s="21" t="str">
        <x:v>paper gate</x:v>
      </x:c>
      <x:c r="D632" s="21" t="str">
        <x:v>gate 77 result reconciles</x:v>
      </x:c>
      <x:c r="E632" s="21" t="n">
        <x:f>IF('Paper Gates'!I77=IF('Paper Gates'!G77='Paper Gates'!H77,"PASS","FAIL"),1,0)</x:f>
        <x:v>1</x:v>
      </x:c>
      <x:c r="F632" s="21" t="n">
        <x:v>1</x:v>
      </x:c>
      <x:c r="G632" s="23" t="str">
        <x:f>IF(E632=F632,"PASS","FAIL")</x:f>
        <x:v>PASS</x:v>
      </x:c>
    </x:row>
    <x:row r="633">
      <x:c r="B633" s="21" t="str">
        <x:v>A0627</x:v>
      </x:c>
      <x:c r="C633" s="21" t="str">
        <x:v>paper gate</x:v>
      </x:c>
      <x:c r="D633" s="21" t="str">
        <x:v>gate 78 binary observation</x:v>
      </x:c>
      <x:c r="E633" s="21" t="n">
        <x:f>IF(OR('Paper Gates'!G78=0,'Paper Gates'!G78=1),1,0)</x:f>
        <x:v>1</x:v>
      </x:c>
      <x:c r="F633" s="21" t="n">
        <x:v>1</x:v>
      </x:c>
      <x:c r="G633" s="23" t="str">
        <x:f>IF(E633=F633,"PASS","FAIL")</x:f>
        <x:v>PASS</x:v>
      </x:c>
    </x:row>
    <x:row r="634">
      <x:c r="B634" s="21" t="str">
        <x:v>A0628</x:v>
      </x:c>
      <x:c r="C634" s="21" t="str">
        <x:v>paper gate</x:v>
      </x:c>
      <x:c r="D634" s="21" t="str">
        <x:v>gate 78 fixed requirement</x:v>
      </x:c>
      <x:c r="E634" s="21" t="n">
        <x:f>IF('Paper Gates'!H78=1,1,0)</x:f>
        <x:v>1</x:v>
      </x:c>
      <x:c r="F634" s="21" t="n">
        <x:v>1</x:v>
      </x:c>
      <x:c r="G634" s="23" t="str">
        <x:f>IF(E634=F634,"PASS","FAIL")</x:f>
        <x:v>PASS</x:v>
      </x:c>
    </x:row>
    <x:row r="635">
      <x:c r="B635" s="21" t="str">
        <x:v>A0629</x:v>
      </x:c>
      <x:c r="C635" s="21" t="str">
        <x:v>paper gate</x:v>
      </x:c>
      <x:c r="D635" s="21" t="str">
        <x:v>gate 78 result reconciles</x:v>
      </x:c>
      <x:c r="E635" s="21" t="n">
        <x:f>IF('Paper Gates'!I78=IF('Paper Gates'!G78='Paper Gates'!H78,"PASS","FAIL"),1,0)</x:f>
        <x:v>1</x:v>
      </x:c>
      <x:c r="F635" s="21" t="n">
        <x:v>1</x:v>
      </x:c>
      <x:c r="G635" s="23" t="str">
        <x:f>IF(E635=F635,"PASS","FAIL")</x:f>
        <x:v>PASS</x:v>
      </x:c>
    </x:row>
    <x:row r="636">
      <x:c r="B636" s="21" t="str">
        <x:v>A0630</x:v>
      </x:c>
      <x:c r="C636" s="21" t="str">
        <x:v>paper gate</x:v>
      </x:c>
      <x:c r="D636" s="21" t="str">
        <x:v>gate 79 binary observation</x:v>
      </x:c>
      <x:c r="E636" s="21" t="n">
        <x:f>IF(OR('Paper Gates'!G79=0,'Paper Gates'!G79=1),1,0)</x:f>
        <x:v>1</x:v>
      </x:c>
      <x:c r="F636" s="21" t="n">
        <x:v>1</x:v>
      </x:c>
      <x:c r="G636" s="23" t="str">
        <x:f>IF(E636=F636,"PASS","FAIL")</x:f>
        <x:v>PASS</x:v>
      </x:c>
    </x:row>
    <x:row r="637">
      <x:c r="B637" s="21" t="str">
        <x:v>A0631</x:v>
      </x:c>
      <x:c r="C637" s="21" t="str">
        <x:v>paper gate</x:v>
      </x:c>
      <x:c r="D637" s="21" t="str">
        <x:v>gate 79 fixed requirement</x:v>
      </x:c>
      <x:c r="E637" s="21" t="n">
        <x:f>IF('Paper Gates'!H79=1,1,0)</x:f>
        <x:v>1</x:v>
      </x:c>
      <x:c r="F637" s="21" t="n">
        <x:v>1</x:v>
      </x:c>
      <x:c r="G637" s="23" t="str">
        <x:f>IF(E637=F637,"PASS","FAIL")</x:f>
        <x:v>PASS</x:v>
      </x:c>
    </x:row>
    <x:row r="638">
      <x:c r="B638" s="21" t="str">
        <x:v>A0632</x:v>
      </x:c>
      <x:c r="C638" s="21" t="str">
        <x:v>paper gate</x:v>
      </x:c>
      <x:c r="D638" s="21" t="str">
        <x:v>gate 79 result reconciles</x:v>
      </x:c>
      <x:c r="E638" s="21" t="n">
        <x:f>IF('Paper Gates'!I79=IF('Paper Gates'!G79='Paper Gates'!H79,"PASS","FAIL"),1,0)</x:f>
        <x:v>1</x:v>
      </x:c>
      <x:c r="F638" s="21" t="n">
        <x:v>1</x:v>
      </x:c>
      <x:c r="G638" s="23" t="str">
        <x:f>IF(E638=F638,"PASS","FAIL")</x:f>
        <x:v>PASS</x:v>
      </x:c>
    </x:row>
    <x:row r="639">
      <x:c r="B639" s="21" t="str">
        <x:v>A0633</x:v>
      </x:c>
      <x:c r="C639" s="21" t="str">
        <x:v>paper gate</x:v>
      </x:c>
      <x:c r="D639" s="21" t="str">
        <x:v>gate 80 binary observation</x:v>
      </x:c>
      <x:c r="E639" s="21" t="n">
        <x:f>IF(OR('Paper Gates'!G80=0,'Paper Gates'!G80=1),1,0)</x:f>
        <x:v>1</x:v>
      </x:c>
      <x:c r="F639" s="21" t="n">
        <x:v>1</x:v>
      </x:c>
      <x:c r="G639" s="23" t="str">
        <x:f>IF(E639=F639,"PASS","FAIL")</x:f>
        <x:v>PASS</x:v>
      </x:c>
    </x:row>
    <x:row r="640">
      <x:c r="B640" s="21" t="str">
        <x:v>A0634</x:v>
      </x:c>
      <x:c r="C640" s="21" t="str">
        <x:v>paper gate</x:v>
      </x:c>
      <x:c r="D640" s="21" t="str">
        <x:v>gate 80 fixed requirement</x:v>
      </x:c>
      <x:c r="E640" s="21" t="n">
        <x:f>IF('Paper Gates'!H80=1,1,0)</x:f>
        <x:v>1</x:v>
      </x:c>
      <x:c r="F640" s="21" t="n">
        <x:v>1</x:v>
      </x:c>
      <x:c r="G640" s="23" t="str">
        <x:f>IF(E640=F640,"PASS","FAIL")</x:f>
        <x:v>PASS</x:v>
      </x:c>
    </x:row>
    <x:row r="641">
      <x:c r="B641" s="21" t="str">
        <x:v>A0635</x:v>
      </x:c>
      <x:c r="C641" s="21" t="str">
        <x:v>paper gate</x:v>
      </x:c>
      <x:c r="D641" s="21" t="str">
        <x:v>gate 80 result reconciles</x:v>
      </x:c>
      <x:c r="E641" s="21" t="n">
        <x:f>IF('Paper Gates'!I80=IF('Paper Gates'!G80='Paper Gates'!H80,"PASS","FAIL"),1,0)</x:f>
        <x:v>1</x:v>
      </x:c>
      <x:c r="F641" s="21" t="n">
        <x:v>1</x:v>
      </x:c>
      <x:c r="G641" s="23" t="str">
        <x:f>IF(E641=F641,"PASS","FAIL")</x:f>
        <x:v>PASS</x:v>
      </x:c>
    </x:row>
    <x:row r="642">
      <x:c r="B642" s="21" t="str">
        <x:v>A0636</x:v>
      </x:c>
      <x:c r="C642" s="21" t="str">
        <x:v>paper gate</x:v>
      </x:c>
      <x:c r="D642" s="21" t="str">
        <x:v>gate 81 binary observation</x:v>
      </x:c>
      <x:c r="E642" s="21" t="n">
        <x:f>IF(OR('Paper Gates'!G81=0,'Paper Gates'!G81=1),1,0)</x:f>
        <x:v>1</x:v>
      </x:c>
      <x:c r="F642" s="21" t="n">
        <x:v>1</x:v>
      </x:c>
      <x:c r="G642" s="23" t="str">
        <x:f>IF(E642=F642,"PASS","FAIL")</x:f>
        <x:v>PASS</x:v>
      </x:c>
    </x:row>
    <x:row r="643">
      <x:c r="B643" s="21" t="str">
        <x:v>A0637</x:v>
      </x:c>
      <x:c r="C643" s="21" t="str">
        <x:v>paper gate</x:v>
      </x:c>
      <x:c r="D643" s="21" t="str">
        <x:v>gate 81 fixed requirement</x:v>
      </x:c>
      <x:c r="E643" s="21" t="n">
        <x:f>IF('Paper Gates'!H81=1,1,0)</x:f>
        <x:v>1</x:v>
      </x:c>
      <x:c r="F643" s="21" t="n">
        <x:v>1</x:v>
      </x:c>
      <x:c r="G643" s="23" t="str">
        <x:f>IF(E643=F643,"PASS","FAIL")</x:f>
        <x:v>PASS</x:v>
      </x:c>
    </x:row>
    <x:row r="644">
      <x:c r="B644" s="21" t="str">
        <x:v>A0638</x:v>
      </x:c>
      <x:c r="C644" s="21" t="str">
        <x:v>paper gate</x:v>
      </x:c>
      <x:c r="D644" s="21" t="str">
        <x:v>gate 81 result reconciles</x:v>
      </x:c>
      <x:c r="E644" s="21" t="n">
        <x:f>IF('Paper Gates'!I81=IF('Paper Gates'!G81='Paper Gates'!H81,"PASS","FAIL"),1,0)</x:f>
        <x:v>1</x:v>
      </x:c>
      <x:c r="F644" s="21" t="n">
        <x:v>1</x:v>
      </x:c>
      <x:c r="G644" s="23" t="str">
        <x:f>IF(E644=F644,"PASS","FAIL")</x:f>
        <x:v>PASS</x:v>
      </x:c>
    </x:row>
    <x:row r="645">
      <x:c r="B645" s="21" t="str">
        <x:v>A0639</x:v>
      </x:c>
      <x:c r="C645" s="21" t="str">
        <x:v>paper gate</x:v>
      </x:c>
      <x:c r="D645" s="21" t="str">
        <x:v>gate 82 binary observation</x:v>
      </x:c>
      <x:c r="E645" s="21" t="n">
        <x:f>IF(OR('Paper Gates'!G82=0,'Paper Gates'!G82=1),1,0)</x:f>
        <x:v>1</x:v>
      </x:c>
      <x:c r="F645" s="21" t="n">
        <x:v>1</x:v>
      </x:c>
      <x:c r="G645" s="23" t="str">
        <x:f>IF(E645=F645,"PASS","FAIL")</x:f>
        <x:v>PASS</x:v>
      </x:c>
    </x:row>
    <x:row r="646">
      <x:c r="B646" s="21" t="str">
        <x:v>A0640</x:v>
      </x:c>
      <x:c r="C646" s="21" t="str">
        <x:v>paper gate</x:v>
      </x:c>
      <x:c r="D646" s="21" t="str">
        <x:v>gate 82 fixed requirement</x:v>
      </x:c>
      <x:c r="E646" s="21" t="n">
        <x:f>IF('Paper Gates'!H82=1,1,0)</x:f>
        <x:v>1</x:v>
      </x:c>
      <x:c r="F646" s="21" t="n">
        <x:v>1</x:v>
      </x:c>
      <x:c r="G646" s="23" t="str">
        <x:f>IF(E646=F646,"PASS","FAIL")</x:f>
        <x:v>PASS</x:v>
      </x:c>
    </x:row>
    <x:row r="647">
      <x:c r="B647" s="21" t="str">
        <x:v>A0641</x:v>
      </x:c>
      <x:c r="C647" s="21" t="str">
        <x:v>paper gate</x:v>
      </x:c>
      <x:c r="D647" s="21" t="str">
        <x:v>gate 82 result reconciles</x:v>
      </x:c>
      <x:c r="E647" s="21" t="n">
        <x:f>IF('Paper Gates'!I82=IF('Paper Gates'!G82='Paper Gates'!H82,"PASS","FAIL"),1,0)</x:f>
        <x:v>1</x:v>
      </x:c>
      <x:c r="F647" s="21" t="n">
        <x:v>1</x:v>
      </x:c>
      <x:c r="G647" s="23" t="str">
        <x:f>IF(E647=F647,"PASS","FAIL")</x:f>
        <x:v>PASS</x:v>
      </x:c>
    </x:row>
    <x:row r="648">
      <x:c r="B648" s="21" t="str">
        <x:v>A0642</x:v>
      </x:c>
      <x:c r="C648" s="21" t="str">
        <x:v>paper gate</x:v>
      </x:c>
      <x:c r="D648" s="21" t="str">
        <x:v>gate 83 binary observation</x:v>
      </x:c>
      <x:c r="E648" s="21" t="n">
        <x:f>IF(OR('Paper Gates'!G83=0,'Paper Gates'!G83=1),1,0)</x:f>
        <x:v>1</x:v>
      </x:c>
      <x:c r="F648" s="21" t="n">
        <x:v>1</x:v>
      </x:c>
      <x:c r="G648" s="23" t="str">
        <x:f>IF(E648=F648,"PASS","FAIL")</x:f>
        <x:v>PASS</x:v>
      </x:c>
    </x:row>
    <x:row r="649">
      <x:c r="B649" s="21" t="str">
        <x:v>A0643</x:v>
      </x:c>
      <x:c r="C649" s="21" t="str">
        <x:v>paper gate</x:v>
      </x:c>
      <x:c r="D649" s="21" t="str">
        <x:v>gate 83 fixed requirement</x:v>
      </x:c>
      <x:c r="E649" s="21" t="n">
        <x:f>IF('Paper Gates'!H83=1,1,0)</x:f>
        <x:v>1</x:v>
      </x:c>
      <x:c r="F649" s="21" t="n">
        <x:v>1</x:v>
      </x:c>
      <x:c r="G649" s="23" t="str">
        <x:f>IF(E649=F649,"PASS","FAIL")</x:f>
        <x:v>PASS</x:v>
      </x:c>
    </x:row>
    <x:row r="650">
      <x:c r="B650" s="21" t="str">
        <x:v>A0644</x:v>
      </x:c>
      <x:c r="C650" s="21" t="str">
        <x:v>paper gate</x:v>
      </x:c>
      <x:c r="D650" s="21" t="str">
        <x:v>gate 83 result reconciles</x:v>
      </x:c>
      <x:c r="E650" s="21" t="n">
        <x:f>IF('Paper Gates'!I83=IF('Paper Gates'!G83='Paper Gates'!H83,"PASS","FAIL"),1,0)</x:f>
        <x:v>1</x:v>
      </x:c>
      <x:c r="F650" s="21" t="n">
        <x:v>1</x:v>
      </x:c>
      <x:c r="G650" s="23" t="str">
        <x:f>IF(E650=F650,"PASS","FAIL")</x:f>
        <x:v>PASS</x:v>
      </x:c>
    </x:row>
    <x:row r="651">
      <x:c r="B651" s="21" t="str">
        <x:v>A0645</x:v>
      </x:c>
      <x:c r="C651" s="21" t="str">
        <x:v>paper gate</x:v>
      </x:c>
      <x:c r="D651" s="21" t="str">
        <x:v>gate 84 binary observation</x:v>
      </x:c>
      <x:c r="E651" s="21" t="n">
        <x:f>IF(OR('Paper Gates'!G84=0,'Paper Gates'!G84=1),1,0)</x:f>
        <x:v>1</x:v>
      </x:c>
      <x:c r="F651" s="21" t="n">
        <x:v>1</x:v>
      </x:c>
      <x:c r="G651" s="23" t="str">
        <x:f>IF(E651=F651,"PASS","FAIL")</x:f>
        <x:v>PASS</x:v>
      </x:c>
    </x:row>
    <x:row r="652">
      <x:c r="B652" s="21" t="str">
        <x:v>A0646</x:v>
      </x:c>
      <x:c r="C652" s="21" t="str">
        <x:v>paper gate</x:v>
      </x:c>
      <x:c r="D652" s="21" t="str">
        <x:v>gate 84 fixed requirement</x:v>
      </x:c>
      <x:c r="E652" s="21" t="n">
        <x:f>IF('Paper Gates'!H84=1,1,0)</x:f>
        <x:v>1</x:v>
      </x:c>
      <x:c r="F652" s="21" t="n">
        <x:v>1</x:v>
      </x:c>
      <x:c r="G652" s="23" t="str">
        <x:f>IF(E652=F652,"PASS","FAIL")</x:f>
        <x:v>PASS</x:v>
      </x:c>
    </x:row>
    <x:row r="653">
      <x:c r="B653" s="21" t="str">
        <x:v>A0647</x:v>
      </x:c>
      <x:c r="C653" s="21" t="str">
        <x:v>paper gate</x:v>
      </x:c>
      <x:c r="D653" s="21" t="str">
        <x:v>gate 84 result reconciles</x:v>
      </x:c>
      <x:c r="E653" s="21" t="n">
        <x:f>IF('Paper Gates'!I84=IF('Paper Gates'!G84='Paper Gates'!H84,"PASS","FAIL"),1,0)</x:f>
        <x:v>1</x:v>
      </x:c>
      <x:c r="F653" s="21" t="n">
        <x:v>1</x:v>
      </x:c>
      <x:c r="G653" s="23" t="str">
        <x:f>IF(E653=F653,"PASS","FAIL")</x:f>
        <x:v>PASS</x:v>
      </x:c>
    </x:row>
    <x:row r="654">
      <x:c r="B654" s="21" t="str">
        <x:v>A0648</x:v>
      </x:c>
      <x:c r="C654" s="21" t="str">
        <x:v>paper gate</x:v>
      </x:c>
      <x:c r="D654" s="21" t="str">
        <x:v>gate 85 binary observation</x:v>
      </x:c>
      <x:c r="E654" s="21" t="n">
        <x:f>IF(OR('Paper Gates'!G85=0,'Paper Gates'!G85=1),1,0)</x:f>
        <x:v>1</x:v>
      </x:c>
      <x:c r="F654" s="21" t="n">
        <x:v>1</x:v>
      </x:c>
      <x:c r="G654" s="23" t="str">
        <x:f>IF(E654=F654,"PASS","FAIL")</x:f>
        <x:v>PASS</x:v>
      </x:c>
    </x:row>
    <x:row r="655">
      <x:c r="B655" s="21" t="str">
        <x:v>A0649</x:v>
      </x:c>
      <x:c r="C655" s="21" t="str">
        <x:v>paper gate</x:v>
      </x:c>
      <x:c r="D655" s="21" t="str">
        <x:v>gate 85 fixed requirement</x:v>
      </x:c>
      <x:c r="E655" s="21" t="n">
        <x:f>IF('Paper Gates'!H85=1,1,0)</x:f>
        <x:v>1</x:v>
      </x:c>
      <x:c r="F655" s="21" t="n">
        <x:v>1</x:v>
      </x:c>
      <x:c r="G655" s="23" t="str">
        <x:f>IF(E655=F655,"PASS","FAIL")</x:f>
        <x:v>PASS</x:v>
      </x:c>
    </x:row>
    <x:row r="656">
      <x:c r="B656" s="21" t="str">
        <x:v>A0650</x:v>
      </x:c>
      <x:c r="C656" s="21" t="str">
        <x:v>paper gate</x:v>
      </x:c>
      <x:c r="D656" s="21" t="str">
        <x:v>gate 85 result reconciles</x:v>
      </x:c>
      <x:c r="E656" s="21" t="n">
        <x:f>IF('Paper Gates'!I85=IF('Paper Gates'!G85='Paper Gates'!H85,"PASS","FAIL"),1,0)</x:f>
        <x:v>1</x:v>
      </x:c>
      <x:c r="F656" s="21" t="n">
        <x:v>1</x:v>
      </x:c>
      <x:c r="G656" s="23" t="str">
        <x:f>IF(E656=F656,"PASS","FAIL")</x:f>
        <x:v>PASS</x:v>
      </x:c>
    </x:row>
    <x:row r="657">
      <x:c r="B657" s="21" t="str">
        <x:v>A0651</x:v>
      </x:c>
      <x:c r="C657" s="21" t="str">
        <x:v>paper gate</x:v>
      </x:c>
      <x:c r="D657" s="21" t="str">
        <x:v>gate 86 binary observation</x:v>
      </x:c>
      <x:c r="E657" s="21" t="n">
        <x:f>IF(OR('Paper Gates'!G86=0,'Paper Gates'!G86=1),1,0)</x:f>
        <x:v>1</x:v>
      </x:c>
      <x:c r="F657" s="21" t="n">
        <x:v>1</x:v>
      </x:c>
      <x:c r="G657" s="23" t="str">
        <x:f>IF(E657=F657,"PASS","FAIL")</x:f>
        <x:v>PASS</x:v>
      </x:c>
    </x:row>
    <x:row r="658">
      <x:c r="B658" s="21" t="str">
        <x:v>A0652</x:v>
      </x:c>
      <x:c r="C658" s="21" t="str">
        <x:v>paper gate</x:v>
      </x:c>
      <x:c r="D658" s="21" t="str">
        <x:v>gate 86 fixed requirement</x:v>
      </x:c>
      <x:c r="E658" s="21" t="n">
        <x:f>IF('Paper Gates'!H86=1,1,0)</x:f>
        <x:v>1</x:v>
      </x:c>
      <x:c r="F658" s="21" t="n">
        <x:v>1</x:v>
      </x:c>
      <x:c r="G658" s="23" t="str">
        <x:f>IF(E658=F658,"PASS","FAIL")</x:f>
        <x:v>PASS</x:v>
      </x:c>
    </x:row>
    <x:row r="659">
      <x:c r="B659" s="21" t="str">
        <x:v>A0653</x:v>
      </x:c>
      <x:c r="C659" s="21" t="str">
        <x:v>paper gate</x:v>
      </x:c>
      <x:c r="D659" s="21" t="str">
        <x:v>gate 86 result reconciles</x:v>
      </x:c>
      <x:c r="E659" s="21" t="n">
        <x:f>IF('Paper Gates'!I86=IF('Paper Gates'!G86='Paper Gates'!H86,"PASS","FAIL"),1,0)</x:f>
        <x:v>1</x:v>
      </x:c>
      <x:c r="F659" s="21" t="n">
        <x:v>1</x:v>
      </x:c>
      <x:c r="G659" s="23" t="str">
        <x:f>IF(E659=F659,"PASS","FAIL")</x:f>
        <x:v>PASS</x:v>
      </x:c>
    </x:row>
    <x:row r="660">
      <x:c r="B660" s="21" t="str">
        <x:v>A0654</x:v>
      </x:c>
      <x:c r="C660" s="21" t="str">
        <x:v>paper gate</x:v>
      </x:c>
      <x:c r="D660" s="21" t="str">
        <x:v>gate 87 binary observation</x:v>
      </x:c>
      <x:c r="E660" s="21" t="n">
        <x:f>IF(OR('Paper Gates'!G87=0,'Paper Gates'!G87=1),1,0)</x:f>
        <x:v>1</x:v>
      </x:c>
      <x:c r="F660" s="21" t="n">
        <x:v>1</x:v>
      </x:c>
      <x:c r="G660" s="23" t="str">
        <x:f>IF(E660=F660,"PASS","FAIL")</x:f>
        <x:v>PASS</x:v>
      </x:c>
    </x:row>
    <x:row r="661">
      <x:c r="B661" s="21" t="str">
        <x:v>A0655</x:v>
      </x:c>
      <x:c r="C661" s="21" t="str">
        <x:v>paper gate</x:v>
      </x:c>
      <x:c r="D661" s="21" t="str">
        <x:v>gate 87 fixed requirement</x:v>
      </x:c>
      <x:c r="E661" s="21" t="n">
        <x:f>IF('Paper Gates'!H87=1,1,0)</x:f>
        <x:v>1</x:v>
      </x:c>
      <x:c r="F661" s="21" t="n">
        <x:v>1</x:v>
      </x:c>
      <x:c r="G661" s="23" t="str">
        <x:f>IF(E661=F661,"PASS","FAIL")</x:f>
        <x:v>PASS</x:v>
      </x:c>
    </x:row>
    <x:row r="662">
      <x:c r="B662" s="21" t="str">
        <x:v>A0656</x:v>
      </x:c>
      <x:c r="C662" s="21" t="str">
        <x:v>paper gate</x:v>
      </x:c>
      <x:c r="D662" s="21" t="str">
        <x:v>gate 87 result reconciles</x:v>
      </x:c>
      <x:c r="E662" s="21" t="n">
        <x:f>IF('Paper Gates'!I87=IF('Paper Gates'!G87='Paper Gates'!H87,"PASS","FAIL"),1,0)</x:f>
        <x:v>1</x:v>
      </x:c>
      <x:c r="F662" s="21" t="n">
        <x:v>1</x:v>
      </x:c>
      <x:c r="G662" s="23" t="str">
        <x:f>IF(E662=F662,"PASS","FAIL")</x:f>
        <x:v>PASS</x:v>
      </x:c>
    </x:row>
    <x:row r="663">
      <x:c r="B663" s="21" t="str">
        <x:v>A0657</x:v>
      </x:c>
      <x:c r="C663" s="21" t="str">
        <x:v>paper gate</x:v>
      </x:c>
      <x:c r="D663" s="21" t="str">
        <x:v>gate 88 binary observation</x:v>
      </x:c>
      <x:c r="E663" s="21" t="n">
        <x:f>IF(OR('Paper Gates'!G88=0,'Paper Gates'!G88=1),1,0)</x:f>
        <x:v>1</x:v>
      </x:c>
      <x:c r="F663" s="21" t="n">
        <x:v>1</x:v>
      </x:c>
      <x:c r="G663" s="23" t="str">
        <x:f>IF(E663=F663,"PASS","FAIL")</x:f>
        <x:v>PASS</x:v>
      </x:c>
    </x:row>
    <x:row r="664">
      <x:c r="B664" s="21" t="str">
        <x:v>A0658</x:v>
      </x:c>
      <x:c r="C664" s="21" t="str">
        <x:v>paper gate</x:v>
      </x:c>
      <x:c r="D664" s="21" t="str">
        <x:v>gate 88 fixed requirement</x:v>
      </x:c>
      <x:c r="E664" s="21" t="n">
        <x:f>IF('Paper Gates'!H88=1,1,0)</x:f>
        <x:v>1</x:v>
      </x:c>
      <x:c r="F664" s="21" t="n">
        <x:v>1</x:v>
      </x:c>
      <x:c r="G664" s="23" t="str">
        <x:f>IF(E664=F664,"PASS","FAIL")</x:f>
        <x:v>PASS</x:v>
      </x:c>
    </x:row>
    <x:row r="665">
      <x:c r="B665" s="21" t="str">
        <x:v>A0659</x:v>
      </x:c>
      <x:c r="C665" s="21" t="str">
        <x:v>paper gate</x:v>
      </x:c>
      <x:c r="D665" s="21" t="str">
        <x:v>gate 88 result reconciles</x:v>
      </x:c>
      <x:c r="E665" s="21" t="n">
        <x:f>IF('Paper Gates'!I88=IF('Paper Gates'!G88='Paper Gates'!H88,"PASS","FAIL"),1,0)</x:f>
        <x:v>1</x:v>
      </x:c>
      <x:c r="F665" s="21" t="n">
        <x:v>1</x:v>
      </x:c>
      <x:c r="G665" s="23" t="str">
        <x:f>IF(E665=F665,"PASS","FAIL")</x:f>
        <x:v>PASS</x:v>
      </x:c>
    </x:row>
    <x:row r="666">
      <x:c r="B666" s="21" t="str">
        <x:v>A0660</x:v>
      </x:c>
      <x:c r="C666" s="21" t="str">
        <x:v>paper gate</x:v>
      </x:c>
      <x:c r="D666" s="21" t="str">
        <x:v>gate 89 binary observation</x:v>
      </x:c>
      <x:c r="E666" s="21" t="n">
        <x:f>IF(OR('Paper Gates'!G89=0,'Paper Gates'!G89=1),1,0)</x:f>
        <x:v>1</x:v>
      </x:c>
      <x:c r="F666" s="21" t="n">
        <x:v>1</x:v>
      </x:c>
      <x:c r="G666" s="23" t="str">
        <x:f>IF(E666=F666,"PASS","FAIL")</x:f>
        <x:v>PASS</x:v>
      </x:c>
    </x:row>
    <x:row r="667">
      <x:c r="B667" s="21" t="str">
        <x:v>A0661</x:v>
      </x:c>
      <x:c r="C667" s="21" t="str">
        <x:v>paper gate</x:v>
      </x:c>
      <x:c r="D667" s="21" t="str">
        <x:v>gate 89 fixed requirement</x:v>
      </x:c>
      <x:c r="E667" s="21" t="n">
        <x:f>IF('Paper Gates'!H89=1,1,0)</x:f>
        <x:v>1</x:v>
      </x:c>
      <x:c r="F667" s="21" t="n">
        <x:v>1</x:v>
      </x:c>
      <x:c r="G667" s="23" t="str">
        <x:f>IF(E667=F667,"PASS","FAIL")</x:f>
        <x:v>PASS</x:v>
      </x:c>
    </x:row>
    <x:row r="668">
      <x:c r="B668" s="21" t="str">
        <x:v>A0662</x:v>
      </x:c>
      <x:c r="C668" s="21" t="str">
        <x:v>paper gate</x:v>
      </x:c>
      <x:c r="D668" s="21" t="str">
        <x:v>gate 89 result reconciles</x:v>
      </x:c>
      <x:c r="E668" s="21" t="n">
        <x:f>IF('Paper Gates'!I89=IF('Paper Gates'!G89='Paper Gates'!H89,"PASS","FAIL"),1,0)</x:f>
        <x:v>1</x:v>
      </x:c>
      <x:c r="F668" s="21" t="n">
        <x:v>1</x:v>
      </x:c>
      <x:c r="G668" s="23" t="str">
        <x:f>IF(E668=F668,"PASS","FAIL")</x:f>
        <x:v>PASS</x:v>
      </x:c>
    </x:row>
    <x:row r="669">
      <x:c r="B669" s="21" t="str">
        <x:v>A0663</x:v>
      </x:c>
      <x:c r="C669" s="21" t="str">
        <x:v>paper gate</x:v>
      </x:c>
      <x:c r="D669" s="21" t="str">
        <x:v>gate 90 binary observation</x:v>
      </x:c>
      <x:c r="E669" s="21" t="n">
        <x:f>IF(OR('Paper Gates'!G90=0,'Paper Gates'!G90=1),1,0)</x:f>
        <x:v>1</x:v>
      </x:c>
      <x:c r="F669" s="21" t="n">
        <x:v>1</x:v>
      </x:c>
      <x:c r="G669" s="23" t="str">
        <x:f>IF(E669=F669,"PASS","FAIL")</x:f>
        <x:v>PASS</x:v>
      </x:c>
    </x:row>
    <x:row r="670">
      <x:c r="B670" s="21" t="str">
        <x:v>A0664</x:v>
      </x:c>
      <x:c r="C670" s="21" t="str">
        <x:v>paper gate</x:v>
      </x:c>
      <x:c r="D670" s="21" t="str">
        <x:v>gate 90 fixed requirement</x:v>
      </x:c>
      <x:c r="E670" s="21" t="n">
        <x:f>IF('Paper Gates'!H90=1,1,0)</x:f>
        <x:v>1</x:v>
      </x:c>
      <x:c r="F670" s="21" t="n">
        <x:v>1</x:v>
      </x:c>
      <x:c r="G670" s="23" t="str">
        <x:f>IF(E670=F670,"PASS","FAIL")</x:f>
        <x:v>PASS</x:v>
      </x:c>
    </x:row>
    <x:row r="671">
      <x:c r="B671" s="21" t="str">
        <x:v>A0665</x:v>
      </x:c>
      <x:c r="C671" s="21" t="str">
        <x:v>paper gate</x:v>
      </x:c>
      <x:c r="D671" s="21" t="str">
        <x:v>gate 90 result reconciles</x:v>
      </x:c>
      <x:c r="E671" s="21" t="n">
        <x:f>IF('Paper Gates'!I90=IF('Paper Gates'!G90='Paper Gates'!H90,"PASS","FAIL"),1,0)</x:f>
        <x:v>1</x:v>
      </x:c>
      <x:c r="F671" s="21" t="n">
        <x:v>1</x:v>
      </x:c>
      <x:c r="G671" s="23" t="str">
        <x:f>IF(E671=F671,"PASS","FAIL")</x:f>
        <x:v>PASS</x:v>
      </x:c>
    </x:row>
    <x:row r="672">
      <x:c r="B672" s="21" t="str">
        <x:v>A0666</x:v>
      </x:c>
      <x:c r="C672" s="21" t="str">
        <x:v>paper gate</x:v>
      </x:c>
      <x:c r="D672" s="21" t="str">
        <x:v>gate 91 binary observation</x:v>
      </x:c>
      <x:c r="E672" s="21" t="n">
        <x:f>IF(OR('Paper Gates'!G91=0,'Paper Gates'!G91=1),1,0)</x:f>
        <x:v>1</x:v>
      </x:c>
      <x:c r="F672" s="21" t="n">
        <x:v>1</x:v>
      </x:c>
      <x:c r="G672" s="23" t="str">
        <x:f>IF(E672=F672,"PASS","FAIL")</x:f>
        <x:v>PASS</x:v>
      </x:c>
    </x:row>
    <x:row r="673">
      <x:c r="B673" s="21" t="str">
        <x:v>A0667</x:v>
      </x:c>
      <x:c r="C673" s="21" t="str">
        <x:v>paper gate</x:v>
      </x:c>
      <x:c r="D673" s="21" t="str">
        <x:v>gate 91 fixed requirement</x:v>
      </x:c>
      <x:c r="E673" s="21" t="n">
        <x:f>IF('Paper Gates'!H91=1,1,0)</x:f>
        <x:v>1</x:v>
      </x:c>
      <x:c r="F673" s="21" t="n">
        <x:v>1</x:v>
      </x:c>
      <x:c r="G673" s="23" t="str">
        <x:f>IF(E673=F673,"PASS","FAIL")</x:f>
        <x:v>PASS</x:v>
      </x:c>
    </x:row>
    <x:row r="674">
      <x:c r="B674" s="21" t="str">
        <x:v>A0668</x:v>
      </x:c>
      <x:c r="C674" s="21" t="str">
        <x:v>paper gate</x:v>
      </x:c>
      <x:c r="D674" s="21" t="str">
        <x:v>gate 91 result reconciles</x:v>
      </x:c>
      <x:c r="E674" s="21" t="n">
        <x:f>IF('Paper Gates'!I91=IF('Paper Gates'!G91='Paper Gates'!H91,"PASS","FAIL"),1,0)</x:f>
        <x:v>1</x:v>
      </x:c>
      <x:c r="F674" s="21" t="n">
        <x:v>1</x:v>
      </x:c>
      <x:c r="G674" s="23" t="str">
        <x:f>IF(E674=F674,"PASS","FAIL")</x:f>
        <x:v>PASS</x:v>
      </x:c>
    </x:row>
    <x:row r="675">
      <x:c r="B675" s="21" t="str">
        <x:v>A0669</x:v>
      </x:c>
      <x:c r="C675" s="21" t="str">
        <x:v>paper gate</x:v>
      </x:c>
      <x:c r="D675" s="21" t="str">
        <x:v>gate 92 binary observation</x:v>
      </x:c>
      <x:c r="E675" s="21" t="n">
        <x:f>IF(OR('Paper Gates'!G92=0,'Paper Gates'!G92=1),1,0)</x:f>
        <x:v>1</x:v>
      </x:c>
      <x:c r="F675" s="21" t="n">
        <x:v>1</x:v>
      </x:c>
      <x:c r="G675" s="23" t="str">
        <x:f>IF(E675=F675,"PASS","FAIL")</x:f>
        <x:v>PASS</x:v>
      </x:c>
    </x:row>
    <x:row r="676">
      <x:c r="B676" s="21" t="str">
        <x:v>A0670</x:v>
      </x:c>
      <x:c r="C676" s="21" t="str">
        <x:v>paper gate</x:v>
      </x:c>
      <x:c r="D676" s="21" t="str">
        <x:v>gate 92 fixed requirement</x:v>
      </x:c>
      <x:c r="E676" s="21" t="n">
        <x:f>IF('Paper Gates'!H92=1,1,0)</x:f>
        <x:v>1</x:v>
      </x:c>
      <x:c r="F676" s="21" t="n">
        <x:v>1</x:v>
      </x:c>
      <x:c r="G676" s="23" t="str">
        <x:f>IF(E676=F676,"PASS","FAIL")</x:f>
        <x:v>PASS</x:v>
      </x:c>
    </x:row>
    <x:row r="677">
      <x:c r="B677" s="21" t="str">
        <x:v>A0671</x:v>
      </x:c>
      <x:c r="C677" s="21" t="str">
        <x:v>paper gate</x:v>
      </x:c>
      <x:c r="D677" s="21" t="str">
        <x:v>gate 92 result reconciles</x:v>
      </x:c>
      <x:c r="E677" s="21" t="n">
        <x:f>IF('Paper Gates'!I92=IF('Paper Gates'!G92='Paper Gates'!H92,"PASS","FAIL"),1,0)</x:f>
        <x:v>1</x:v>
      </x:c>
      <x:c r="F677" s="21" t="n">
        <x:v>1</x:v>
      </x:c>
      <x:c r="G677" s="23" t="str">
        <x:f>IF(E677=F677,"PASS","FAIL")</x:f>
        <x:v>PASS</x:v>
      </x:c>
    </x:row>
    <x:row r="678">
      <x:c r="B678" s="21" t="str">
        <x:v>A0672</x:v>
      </x:c>
      <x:c r="C678" s="21" t="str">
        <x:v>paper gate</x:v>
      </x:c>
      <x:c r="D678" s="21" t="str">
        <x:v>gate 93 binary observation</x:v>
      </x:c>
      <x:c r="E678" s="21" t="n">
        <x:f>IF(OR('Paper Gates'!G93=0,'Paper Gates'!G93=1),1,0)</x:f>
        <x:v>1</x:v>
      </x:c>
      <x:c r="F678" s="21" t="n">
        <x:v>1</x:v>
      </x:c>
      <x:c r="G678" s="23" t="str">
        <x:f>IF(E678=F678,"PASS","FAIL")</x:f>
        <x:v>PASS</x:v>
      </x:c>
    </x:row>
    <x:row r="679">
      <x:c r="B679" s="21" t="str">
        <x:v>A0673</x:v>
      </x:c>
      <x:c r="C679" s="21" t="str">
        <x:v>paper gate</x:v>
      </x:c>
      <x:c r="D679" s="21" t="str">
        <x:v>gate 93 fixed requirement</x:v>
      </x:c>
      <x:c r="E679" s="21" t="n">
        <x:f>IF('Paper Gates'!H93=1,1,0)</x:f>
        <x:v>1</x:v>
      </x:c>
      <x:c r="F679" s="21" t="n">
        <x:v>1</x:v>
      </x:c>
      <x:c r="G679" s="23" t="str">
        <x:f>IF(E679=F679,"PASS","FAIL")</x:f>
        <x:v>PASS</x:v>
      </x:c>
    </x:row>
    <x:row r="680">
      <x:c r="B680" s="21" t="str">
        <x:v>A0674</x:v>
      </x:c>
      <x:c r="C680" s="21" t="str">
        <x:v>paper gate</x:v>
      </x:c>
      <x:c r="D680" s="21" t="str">
        <x:v>gate 93 result reconciles</x:v>
      </x:c>
      <x:c r="E680" s="21" t="n">
        <x:f>IF('Paper Gates'!I93=IF('Paper Gates'!G93='Paper Gates'!H93,"PASS","FAIL"),1,0)</x:f>
        <x:v>1</x:v>
      </x:c>
      <x:c r="F680" s="21" t="n">
        <x:v>1</x:v>
      </x:c>
      <x:c r="G680" s="23" t="str">
        <x:f>IF(E680=F680,"PASS","FAIL")</x:f>
        <x:v>PASS</x:v>
      </x:c>
    </x:row>
    <x:row r="681">
      <x:c r="B681" s="21" t="str">
        <x:v>A0675</x:v>
      </x:c>
      <x:c r="C681" s="21" t="str">
        <x:v>paper gate</x:v>
      </x:c>
      <x:c r="D681" s="21" t="str">
        <x:v>gate 94 binary observation</x:v>
      </x:c>
      <x:c r="E681" s="21" t="n">
        <x:f>IF(OR('Paper Gates'!G94=0,'Paper Gates'!G94=1),1,0)</x:f>
        <x:v>1</x:v>
      </x:c>
      <x:c r="F681" s="21" t="n">
        <x:v>1</x:v>
      </x:c>
      <x:c r="G681" s="23" t="str">
        <x:f>IF(E681=F681,"PASS","FAIL")</x:f>
        <x:v>PASS</x:v>
      </x:c>
    </x:row>
    <x:row r="682">
      <x:c r="B682" s="21" t="str">
        <x:v>A0676</x:v>
      </x:c>
      <x:c r="C682" s="21" t="str">
        <x:v>paper gate</x:v>
      </x:c>
      <x:c r="D682" s="21" t="str">
        <x:v>gate 94 fixed requirement</x:v>
      </x:c>
      <x:c r="E682" s="21" t="n">
        <x:f>IF('Paper Gates'!H94=1,1,0)</x:f>
        <x:v>1</x:v>
      </x:c>
      <x:c r="F682" s="21" t="n">
        <x:v>1</x:v>
      </x:c>
      <x:c r="G682" s="23" t="str">
        <x:f>IF(E682=F682,"PASS","FAIL")</x:f>
        <x:v>PASS</x:v>
      </x:c>
    </x:row>
    <x:row r="683">
      <x:c r="B683" s="21" t="str">
        <x:v>A0677</x:v>
      </x:c>
      <x:c r="C683" s="21" t="str">
        <x:v>paper gate</x:v>
      </x:c>
      <x:c r="D683" s="21" t="str">
        <x:v>gate 94 result reconciles</x:v>
      </x:c>
      <x:c r="E683" s="21" t="n">
        <x:f>IF('Paper Gates'!I94=IF('Paper Gates'!G94='Paper Gates'!H94,"PASS","FAIL"),1,0)</x:f>
        <x:v>1</x:v>
      </x:c>
      <x:c r="F683" s="21" t="n">
        <x:v>1</x:v>
      </x:c>
      <x:c r="G683" s="23" t="str">
        <x:f>IF(E683=F683,"PASS","FAIL")</x:f>
        <x:v>PASS</x:v>
      </x:c>
    </x:row>
    <x:row r="684">
      <x:c r="B684" s="21" t="str">
        <x:v>A0678</x:v>
      </x:c>
      <x:c r="C684" s="21" t="str">
        <x:v>paper gate</x:v>
      </x:c>
      <x:c r="D684" s="21" t="str">
        <x:v>gate 95 binary observation</x:v>
      </x:c>
      <x:c r="E684" s="21" t="n">
        <x:f>IF(OR('Paper Gates'!G95=0,'Paper Gates'!G95=1),1,0)</x:f>
        <x:v>1</x:v>
      </x:c>
      <x:c r="F684" s="21" t="n">
        <x:v>1</x:v>
      </x:c>
      <x:c r="G684" s="23" t="str">
        <x:f>IF(E684=F684,"PASS","FAIL")</x:f>
        <x:v>PASS</x:v>
      </x:c>
    </x:row>
    <x:row r="685">
      <x:c r="B685" s="21" t="str">
        <x:v>A0679</x:v>
      </x:c>
      <x:c r="C685" s="21" t="str">
        <x:v>paper gate</x:v>
      </x:c>
      <x:c r="D685" s="21" t="str">
        <x:v>gate 95 fixed requirement</x:v>
      </x:c>
      <x:c r="E685" s="21" t="n">
        <x:f>IF('Paper Gates'!H95=1,1,0)</x:f>
        <x:v>1</x:v>
      </x:c>
      <x:c r="F685" s="21" t="n">
        <x:v>1</x:v>
      </x:c>
      <x:c r="G685" s="23" t="str">
        <x:f>IF(E685=F685,"PASS","FAIL")</x:f>
        <x:v>PASS</x:v>
      </x:c>
    </x:row>
    <x:row r="686">
      <x:c r="B686" s="21" t="str">
        <x:v>A0680</x:v>
      </x:c>
      <x:c r="C686" s="21" t="str">
        <x:v>paper gate</x:v>
      </x:c>
      <x:c r="D686" s="21" t="str">
        <x:v>gate 95 result reconciles</x:v>
      </x:c>
      <x:c r="E686" s="21" t="n">
        <x:f>IF('Paper Gates'!I95=IF('Paper Gates'!G95='Paper Gates'!H95,"PASS","FAIL"),1,0)</x:f>
        <x:v>1</x:v>
      </x:c>
      <x:c r="F686" s="21" t="n">
        <x:v>1</x:v>
      </x:c>
      <x:c r="G686" s="23" t="str">
        <x:f>IF(E686=F686,"PASS","FAIL")</x:f>
        <x:v>PASS</x:v>
      </x:c>
    </x:row>
    <x:row r="687">
      <x:c r="B687" s="21" t="str">
        <x:v>A0681</x:v>
      </x:c>
      <x:c r="C687" s="21" t="str">
        <x:v>paper gate</x:v>
      </x:c>
      <x:c r="D687" s="21" t="str">
        <x:v>gate 96 binary observation</x:v>
      </x:c>
      <x:c r="E687" s="21" t="n">
        <x:f>IF(OR('Paper Gates'!G96=0,'Paper Gates'!G96=1),1,0)</x:f>
        <x:v>1</x:v>
      </x:c>
      <x:c r="F687" s="21" t="n">
        <x:v>1</x:v>
      </x:c>
      <x:c r="G687" s="23" t="str">
        <x:f>IF(E687=F687,"PASS","FAIL")</x:f>
        <x:v>PASS</x:v>
      </x:c>
    </x:row>
    <x:row r="688">
      <x:c r="B688" s="21" t="str">
        <x:v>A0682</x:v>
      </x:c>
      <x:c r="C688" s="21" t="str">
        <x:v>paper gate</x:v>
      </x:c>
      <x:c r="D688" s="21" t="str">
        <x:v>gate 96 fixed requirement</x:v>
      </x:c>
      <x:c r="E688" s="21" t="n">
        <x:f>IF('Paper Gates'!H96=1,1,0)</x:f>
        <x:v>1</x:v>
      </x:c>
      <x:c r="F688" s="21" t="n">
        <x:v>1</x:v>
      </x:c>
      <x:c r="G688" s="23" t="str">
        <x:f>IF(E688=F688,"PASS","FAIL")</x:f>
        <x:v>PASS</x:v>
      </x:c>
    </x:row>
    <x:row r="689">
      <x:c r="B689" s="21" t="str">
        <x:v>A0683</x:v>
      </x:c>
      <x:c r="C689" s="21" t="str">
        <x:v>paper gate</x:v>
      </x:c>
      <x:c r="D689" s="21" t="str">
        <x:v>gate 96 result reconciles</x:v>
      </x:c>
      <x:c r="E689" s="21" t="n">
        <x:f>IF('Paper Gates'!I96=IF('Paper Gates'!G96='Paper Gates'!H96,"PASS","FAIL"),1,0)</x:f>
        <x:v>1</x:v>
      </x:c>
      <x:c r="F689" s="21" t="n">
        <x:v>1</x:v>
      </x:c>
      <x:c r="G689" s="23" t="str">
        <x:f>IF(E689=F689,"PASS","FAIL")</x:f>
        <x:v>PASS</x:v>
      </x:c>
    </x:row>
    <x:row r="690">
      <x:c r="B690" s="21" t="str">
        <x:v>A0684</x:v>
      </x:c>
      <x:c r="C690" s="21" t="str">
        <x:v>paper gate</x:v>
      </x:c>
      <x:c r="D690" s="21" t="str">
        <x:v>gate 97 binary observation</x:v>
      </x:c>
      <x:c r="E690" s="21" t="n">
        <x:f>IF(OR('Paper Gates'!G97=0,'Paper Gates'!G97=1),1,0)</x:f>
        <x:v>1</x:v>
      </x:c>
      <x:c r="F690" s="21" t="n">
        <x:v>1</x:v>
      </x:c>
      <x:c r="G690" s="23" t="str">
        <x:f>IF(E690=F690,"PASS","FAIL")</x:f>
        <x:v>PASS</x:v>
      </x:c>
    </x:row>
    <x:row r="691">
      <x:c r="B691" s="21" t="str">
        <x:v>A0685</x:v>
      </x:c>
      <x:c r="C691" s="21" t="str">
        <x:v>paper gate</x:v>
      </x:c>
      <x:c r="D691" s="21" t="str">
        <x:v>gate 97 fixed requirement</x:v>
      </x:c>
      <x:c r="E691" s="21" t="n">
        <x:f>IF('Paper Gates'!H97=1,1,0)</x:f>
        <x:v>1</x:v>
      </x:c>
      <x:c r="F691" s="21" t="n">
        <x:v>1</x:v>
      </x:c>
      <x:c r="G691" s="23" t="str">
        <x:f>IF(E691=F691,"PASS","FAIL")</x:f>
        <x:v>PASS</x:v>
      </x:c>
    </x:row>
    <x:row r="692">
      <x:c r="B692" s="21" t="str">
        <x:v>A0686</x:v>
      </x:c>
      <x:c r="C692" s="21" t="str">
        <x:v>paper gate</x:v>
      </x:c>
      <x:c r="D692" s="21" t="str">
        <x:v>gate 97 result reconciles</x:v>
      </x:c>
      <x:c r="E692" s="21" t="n">
        <x:f>IF('Paper Gates'!I97=IF('Paper Gates'!G97='Paper Gates'!H97,"PASS","FAIL"),1,0)</x:f>
        <x:v>1</x:v>
      </x:c>
      <x:c r="F692" s="21" t="n">
        <x:v>1</x:v>
      </x:c>
      <x:c r="G692" s="23" t="str">
        <x:f>IF(E692=F692,"PASS","FAIL")</x:f>
        <x:v>PASS</x:v>
      </x:c>
    </x:row>
    <x:row r="693">
      <x:c r="B693" s="21" t="str">
        <x:v>A0687</x:v>
      </x:c>
      <x:c r="C693" s="21" t="str">
        <x:v>paper gate</x:v>
      </x:c>
      <x:c r="D693" s="21" t="str">
        <x:v>gate 98 binary observation</x:v>
      </x:c>
      <x:c r="E693" s="21" t="n">
        <x:f>IF(OR('Paper Gates'!G98=0,'Paper Gates'!G98=1),1,0)</x:f>
        <x:v>1</x:v>
      </x:c>
      <x:c r="F693" s="21" t="n">
        <x:v>1</x:v>
      </x:c>
      <x:c r="G693" s="23" t="str">
        <x:f>IF(E693=F693,"PASS","FAIL")</x:f>
        <x:v>PASS</x:v>
      </x:c>
    </x:row>
    <x:row r="694">
      <x:c r="B694" s="21" t="str">
        <x:v>A0688</x:v>
      </x:c>
      <x:c r="C694" s="21" t="str">
        <x:v>paper gate</x:v>
      </x:c>
      <x:c r="D694" s="21" t="str">
        <x:v>gate 98 fixed requirement</x:v>
      </x:c>
      <x:c r="E694" s="21" t="n">
        <x:f>IF('Paper Gates'!H98=1,1,0)</x:f>
        <x:v>1</x:v>
      </x:c>
      <x:c r="F694" s="21" t="n">
        <x:v>1</x:v>
      </x:c>
      <x:c r="G694" s="23" t="str">
        <x:f>IF(E694=F694,"PASS","FAIL")</x:f>
        <x:v>PASS</x:v>
      </x:c>
    </x:row>
    <x:row r="695">
      <x:c r="B695" s="21" t="str">
        <x:v>A0689</x:v>
      </x:c>
      <x:c r="C695" s="21" t="str">
        <x:v>paper gate</x:v>
      </x:c>
      <x:c r="D695" s="21" t="str">
        <x:v>gate 98 result reconciles</x:v>
      </x:c>
      <x:c r="E695" s="21" t="n">
        <x:f>IF('Paper Gates'!I98=IF('Paper Gates'!G98='Paper Gates'!H98,"PASS","FAIL"),1,0)</x:f>
        <x:v>1</x:v>
      </x:c>
      <x:c r="F695" s="21" t="n">
        <x:v>1</x:v>
      </x:c>
      <x:c r="G695" s="23" t="str">
        <x:f>IF(E695=F695,"PASS","FAIL")</x:f>
        <x:v>PASS</x:v>
      </x:c>
    </x:row>
    <x:row r="696">
      <x:c r="B696" s="21" t="str">
        <x:v>A0690</x:v>
      </x:c>
      <x:c r="C696" s="21" t="str">
        <x:v>paper gate</x:v>
      </x:c>
      <x:c r="D696" s="21" t="str">
        <x:v>gate 99 binary observation</x:v>
      </x:c>
      <x:c r="E696" s="21" t="n">
        <x:f>IF(OR('Paper Gates'!G99=0,'Paper Gates'!G99=1),1,0)</x:f>
        <x:v>1</x:v>
      </x:c>
      <x:c r="F696" s="21" t="n">
        <x:v>1</x:v>
      </x:c>
      <x:c r="G696" s="23" t="str">
        <x:f>IF(E696=F696,"PASS","FAIL")</x:f>
        <x:v>PASS</x:v>
      </x:c>
    </x:row>
    <x:row r="697">
      <x:c r="B697" s="21" t="str">
        <x:v>A0691</x:v>
      </x:c>
      <x:c r="C697" s="21" t="str">
        <x:v>paper gate</x:v>
      </x:c>
      <x:c r="D697" s="21" t="str">
        <x:v>gate 99 fixed requirement</x:v>
      </x:c>
      <x:c r="E697" s="21" t="n">
        <x:f>IF('Paper Gates'!H99=1,1,0)</x:f>
        <x:v>1</x:v>
      </x:c>
      <x:c r="F697" s="21" t="n">
        <x:v>1</x:v>
      </x:c>
      <x:c r="G697" s="23" t="str">
        <x:f>IF(E697=F697,"PASS","FAIL")</x:f>
        <x:v>PASS</x:v>
      </x:c>
    </x:row>
    <x:row r="698">
      <x:c r="B698" s="21" t="str">
        <x:v>A0692</x:v>
      </x:c>
      <x:c r="C698" s="21" t="str">
        <x:v>paper gate</x:v>
      </x:c>
      <x:c r="D698" s="21" t="str">
        <x:v>gate 99 result reconciles</x:v>
      </x:c>
      <x:c r="E698" s="21" t="n">
        <x:f>IF('Paper Gates'!I99=IF('Paper Gates'!G99='Paper Gates'!H99,"PASS","FAIL"),1,0)</x:f>
        <x:v>1</x:v>
      </x:c>
      <x:c r="F698" s="21" t="n">
        <x:v>1</x:v>
      </x:c>
      <x:c r="G698" s="23" t="str">
        <x:f>IF(E698=F698,"PASS","FAIL")</x:f>
        <x:v>PASS</x:v>
      </x:c>
    </x:row>
    <x:row r="699">
      <x:c r="B699" s="21" t="str">
        <x:v>A0693</x:v>
      </x:c>
      <x:c r="C699" s="21" t="str">
        <x:v>paper gate</x:v>
      </x:c>
      <x:c r="D699" s="21" t="str">
        <x:v>gate 100 binary observation</x:v>
      </x:c>
      <x:c r="E699" s="21" t="n">
        <x:f>IF(OR('Paper Gates'!G100=0,'Paper Gates'!G100=1),1,0)</x:f>
        <x:v>1</x:v>
      </x:c>
      <x:c r="F699" s="21" t="n">
        <x:v>1</x:v>
      </x:c>
      <x:c r="G699" s="23" t="str">
        <x:f>IF(E699=F699,"PASS","FAIL")</x:f>
        <x:v>PASS</x:v>
      </x:c>
    </x:row>
    <x:row r="700">
      <x:c r="B700" s="21" t="str">
        <x:v>A0694</x:v>
      </x:c>
      <x:c r="C700" s="21" t="str">
        <x:v>paper gate</x:v>
      </x:c>
      <x:c r="D700" s="21" t="str">
        <x:v>gate 100 fixed requirement</x:v>
      </x:c>
      <x:c r="E700" s="21" t="n">
        <x:f>IF('Paper Gates'!H100=1,1,0)</x:f>
        <x:v>1</x:v>
      </x:c>
      <x:c r="F700" s="21" t="n">
        <x:v>1</x:v>
      </x:c>
      <x:c r="G700" s="23" t="str">
        <x:f>IF(E700=F700,"PASS","FAIL")</x:f>
        <x:v>PASS</x:v>
      </x:c>
    </x:row>
    <x:row r="701">
      <x:c r="B701" s="21" t="str">
        <x:v>A0695</x:v>
      </x:c>
      <x:c r="C701" s="21" t="str">
        <x:v>paper gate</x:v>
      </x:c>
      <x:c r="D701" s="21" t="str">
        <x:v>gate 100 result reconciles</x:v>
      </x:c>
      <x:c r="E701" s="21" t="n">
        <x:f>IF('Paper Gates'!I100=IF('Paper Gates'!G100='Paper Gates'!H100,"PASS","FAIL"),1,0)</x:f>
        <x:v>1</x:v>
      </x:c>
      <x:c r="F701" s="21" t="n">
        <x:v>1</x:v>
      </x:c>
      <x:c r="G701" s="23" t="str">
        <x:f>IF(E701=F701,"PASS","FAIL")</x:f>
        <x:v>PASS</x:v>
      </x:c>
    </x:row>
    <x:row r="702">
      <x:c r="B702" s="21" t="str">
        <x:v>A0696</x:v>
      </x:c>
      <x:c r="C702" s="21" t="str">
        <x:v>paper gate</x:v>
      </x:c>
      <x:c r="D702" s="21" t="str">
        <x:v>gate 101 binary observation</x:v>
      </x:c>
      <x:c r="E702" s="21" t="n">
        <x:f>IF(OR('Paper Gates'!G101=0,'Paper Gates'!G101=1),1,0)</x:f>
        <x:v>1</x:v>
      </x:c>
      <x:c r="F702" s="21" t="n">
        <x:v>1</x:v>
      </x:c>
      <x:c r="G702" s="23" t="str">
        <x:f>IF(E702=F702,"PASS","FAIL")</x:f>
        <x:v>PASS</x:v>
      </x:c>
    </x:row>
    <x:row r="703">
      <x:c r="B703" s="21" t="str">
        <x:v>A0697</x:v>
      </x:c>
      <x:c r="C703" s="21" t="str">
        <x:v>paper gate</x:v>
      </x:c>
      <x:c r="D703" s="21" t="str">
        <x:v>gate 101 fixed requirement</x:v>
      </x:c>
      <x:c r="E703" s="21" t="n">
        <x:f>IF('Paper Gates'!H101=1,1,0)</x:f>
        <x:v>1</x:v>
      </x:c>
      <x:c r="F703" s="21" t="n">
        <x:v>1</x:v>
      </x:c>
      <x:c r="G703" s="23" t="str">
        <x:f>IF(E703=F703,"PASS","FAIL")</x:f>
        <x:v>PASS</x:v>
      </x:c>
    </x:row>
    <x:row r="704">
      <x:c r="B704" s="21" t="str">
        <x:v>A0698</x:v>
      </x:c>
      <x:c r="C704" s="21" t="str">
        <x:v>paper gate</x:v>
      </x:c>
      <x:c r="D704" s="21" t="str">
        <x:v>gate 101 result reconciles</x:v>
      </x:c>
      <x:c r="E704" s="21" t="n">
        <x:f>IF('Paper Gates'!I101=IF('Paper Gates'!G101='Paper Gates'!H101,"PASS","FAIL"),1,0)</x:f>
        <x:v>1</x:v>
      </x:c>
      <x:c r="F704" s="21" t="n">
        <x:v>1</x:v>
      </x:c>
      <x:c r="G704" s="23" t="str">
        <x:f>IF(E704=F704,"PASS","FAIL")</x:f>
        <x:v>PASS</x:v>
      </x:c>
    </x:row>
    <x:row r="705">
      <x:c r="B705" s="21" t="str">
        <x:v>A0699</x:v>
      </x:c>
      <x:c r="C705" s="21" t="str">
        <x:v>paper gate</x:v>
      </x:c>
      <x:c r="D705" s="21" t="str">
        <x:v>gate 102 binary observation</x:v>
      </x:c>
      <x:c r="E705" s="21" t="n">
        <x:f>IF(OR('Paper Gates'!G102=0,'Paper Gates'!G102=1),1,0)</x:f>
        <x:v>1</x:v>
      </x:c>
      <x:c r="F705" s="21" t="n">
        <x:v>1</x:v>
      </x:c>
      <x:c r="G705" s="23" t="str">
        <x:f>IF(E705=F705,"PASS","FAIL")</x:f>
        <x:v>PASS</x:v>
      </x:c>
    </x:row>
    <x:row r="706">
      <x:c r="B706" s="21" t="str">
        <x:v>A0700</x:v>
      </x:c>
      <x:c r="C706" s="21" t="str">
        <x:v>paper gate</x:v>
      </x:c>
      <x:c r="D706" s="21" t="str">
        <x:v>gate 102 fixed requirement</x:v>
      </x:c>
      <x:c r="E706" s="21" t="n">
        <x:f>IF('Paper Gates'!H102=1,1,0)</x:f>
        <x:v>1</x:v>
      </x:c>
      <x:c r="F706" s="21" t="n">
        <x:v>1</x:v>
      </x:c>
      <x:c r="G706" s="23" t="str">
        <x:f>IF(E706=F706,"PASS","FAIL")</x:f>
        <x:v>PASS</x:v>
      </x:c>
    </x:row>
    <x:row r="707">
      <x:c r="B707" s="21" t="str">
        <x:v>A0701</x:v>
      </x:c>
      <x:c r="C707" s="21" t="str">
        <x:v>paper gate</x:v>
      </x:c>
      <x:c r="D707" s="21" t="str">
        <x:v>gate 102 result reconciles</x:v>
      </x:c>
      <x:c r="E707" s="21" t="n">
        <x:f>IF('Paper Gates'!I102=IF('Paper Gates'!G102='Paper Gates'!H102,"PASS","FAIL"),1,0)</x:f>
        <x:v>1</x:v>
      </x:c>
      <x:c r="F707" s="21" t="n">
        <x:v>1</x:v>
      </x:c>
      <x:c r="G707" s="23" t="str">
        <x:f>IF(E707=F707,"PASS","FAIL")</x:f>
        <x:v>PASS</x:v>
      </x:c>
    </x:row>
    <x:row r="708">
      <x:c r="B708" s="21" t="str">
        <x:v>A0702</x:v>
      </x:c>
      <x:c r="C708" s="21" t="str">
        <x:v>paper gate</x:v>
      </x:c>
      <x:c r="D708" s="21" t="str">
        <x:v>gate 103 binary observation</x:v>
      </x:c>
      <x:c r="E708" s="21" t="n">
        <x:f>IF(OR('Paper Gates'!G103=0,'Paper Gates'!G103=1),1,0)</x:f>
        <x:v>1</x:v>
      </x:c>
      <x:c r="F708" s="21" t="n">
        <x:v>1</x:v>
      </x:c>
      <x:c r="G708" s="23" t="str">
        <x:f>IF(E708=F708,"PASS","FAIL")</x:f>
        <x:v>PASS</x:v>
      </x:c>
    </x:row>
    <x:row r="709">
      <x:c r="B709" s="21" t="str">
        <x:v>A0703</x:v>
      </x:c>
      <x:c r="C709" s="21" t="str">
        <x:v>paper gate</x:v>
      </x:c>
      <x:c r="D709" s="21" t="str">
        <x:v>gate 103 fixed requirement</x:v>
      </x:c>
      <x:c r="E709" s="21" t="n">
        <x:f>IF('Paper Gates'!H103=1,1,0)</x:f>
        <x:v>1</x:v>
      </x:c>
      <x:c r="F709" s="21" t="n">
        <x:v>1</x:v>
      </x:c>
      <x:c r="G709" s="23" t="str">
        <x:f>IF(E709=F709,"PASS","FAIL")</x:f>
        <x:v>PASS</x:v>
      </x:c>
    </x:row>
    <x:row r="710">
      <x:c r="B710" s="21" t="str">
        <x:v>A0704</x:v>
      </x:c>
      <x:c r="C710" s="21" t="str">
        <x:v>paper gate</x:v>
      </x:c>
      <x:c r="D710" s="21" t="str">
        <x:v>gate 103 result reconciles</x:v>
      </x:c>
      <x:c r="E710" s="21" t="n">
        <x:f>IF('Paper Gates'!I103=IF('Paper Gates'!G103='Paper Gates'!H103,"PASS","FAIL"),1,0)</x:f>
        <x:v>1</x:v>
      </x:c>
      <x:c r="F710" s="21" t="n">
        <x:v>1</x:v>
      </x:c>
      <x:c r="G710" s="23" t="str">
        <x:f>IF(E710=F710,"PASS","FAIL")</x:f>
        <x:v>PASS</x:v>
      </x:c>
    </x:row>
    <x:row r="711">
      <x:c r="B711" s="21" t="str">
        <x:v>A0705</x:v>
      </x:c>
      <x:c r="C711" s="21" t="str">
        <x:v>paper gate</x:v>
      </x:c>
      <x:c r="D711" s="21" t="str">
        <x:v>gate 104 binary observation</x:v>
      </x:c>
      <x:c r="E711" s="21" t="n">
        <x:f>IF(OR('Paper Gates'!G104=0,'Paper Gates'!G104=1),1,0)</x:f>
        <x:v>1</x:v>
      </x:c>
      <x:c r="F711" s="21" t="n">
        <x:v>1</x:v>
      </x:c>
      <x:c r="G711" s="23" t="str">
        <x:f>IF(E711=F711,"PASS","FAIL")</x:f>
        <x:v>PASS</x:v>
      </x:c>
    </x:row>
    <x:row r="712">
      <x:c r="B712" s="21" t="str">
        <x:v>A0706</x:v>
      </x:c>
      <x:c r="C712" s="21" t="str">
        <x:v>paper gate</x:v>
      </x:c>
      <x:c r="D712" s="21" t="str">
        <x:v>gate 104 fixed requirement</x:v>
      </x:c>
      <x:c r="E712" s="21" t="n">
        <x:f>IF('Paper Gates'!H104=1,1,0)</x:f>
        <x:v>1</x:v>
      </x:c>
      <x:c r="F712" s="21" t="n">
        <x:v>1</x:v>
      </x:c>
      <x:c r="G712" s="23" t="str">
        <x:f>IF(E712=F712,"PASS","FAIL")</x:f>
        <x:v>PASS</x:v>
      </x:c>
    </x:row>
    <x:row r="713">
      <x:c r="B713" s="21" t="str">
        <x:v>A0707</x:v>
      </x:c>
      <x:c r="C713" s="21" t="str">
        <x:v>paper gate</x:v>
      </x:c>
      <x:c r="D713" s="21" t="str">
        <x:v>gate 104 result reconciles</x:v>
      </x:c>
      <x:c r="E713" s="21" t="n">
        <x:f>IF('Paper Gates'!I104=IF('Paper Gates'!G104='Paper Gates'!H104,"PASS","FAIL"),1,0)</x:f>
        <x:v>1</x:v>
      </x:c>
      <x:c r="F713" s="21" t="n">
        <x:v>1</x:v>
      </x:c>
      <x:c r="G713" s="23" t="str">
        <x:f>IF(E713=F713,"PASS","FAIL")</x:f>
        <x:v>PASS</x:v>
      </x:c>
    </x:row>
    <x:row r="714">
      <x:c r="B714" s="21" t="str">
        <x:v>A0708</x:v>
      </x:c>
      <x:c r="C714" s="21" t="str">
        <x:v>paper gate</x:v>
      </x:c>
      <x:c r="D714" s="21" t="str">
        <x:v>gate 105 binary observation</x:v>
      </x:c>
      <x:c r="E714" s="21" t="n">
        <x:f>IF(OR('Paper Gates'!G105=0,'Paper Gates'!G105=1),1,0)</x:f>
        <x:v>1</x:v>
      </x:c>
      <x:c r="F714" s="21" t="n">
        <x:v>1</x:v>
      </x:c>
      <x:c r="G714" s="23" t="str">
        <x:f>IF(E714=F714,"PASS","FAIL")</x:f>
        <x:v>PASS</x:v>
      </x:c>
    </x:row>
    <x:row r="715">
      <x:c r="B715" s="21" t="str">
        <x:v>A0709</x:v>
      </x:c>
      <x:c r="C715" s="21" t="str">
        <x:v>paper gate</x:v>
      </x:c>
      <x:c r="D715" s="21" t="str">
        <x:v>gate 105 fixed requirement</x:v>
      </x:c>
      <x:c r="E715" s="21" t="n">
        <x:f>IF('Paper Gates'!H105=1,1,0)</x:f>
        <x:v>1</x:v>
      </x:c>
      <x:c r="F715" s="21" t="n">
        <x:v>1</x:v>
      </x:c>
      <x:c r="G715" s="23" t="str">
        <x:f>IF(E715=F715,"PASS","FAIL")</x:f>
        <x:v>PASS</x:v>
      </x:c>
    </x:row>
    <x:row r="716">
      <x:c r="B716" s="21" t="str">
        <x:v>A0710</x:v>
      </x:c>
      <x:c r="C716" s="21" t="str">
        <x:v>paper gate</x:v>
      </x:c>
      <x:c r="D716" s="21" t="str">
        <x:v>gate 105 result reconciles</x:v>
      </x:c>
      <x:c r="E716" s="21" t="n">
        <x:f>IF('Paper Gates'!I105=IF('Paper Gates'!G105='Paper Gates'!H105,"PASS","FAIL"),1,0)</x:f>
        <x:v>1</x:v>
      </x:c>
      <x:c r="F716" s="21" t="n">
        <x:v>1</x:v>
      </x:c>
      <x:c r="G716" s="23" t="str">
        <x:f>IF(E716=F716,"PASS","FAIL")</x:f>
        <x:v>PASS</x:v>
      </x:c>
    </x:row>
    <x:row r="717">
      <x:c r="B717" s="21" t="str">
        <x:v>A0711</x:v>
      </x:c>
      <x:c r="C717" s="21" t="str">
        <x:v>paper gate</x:v>
      </x:c>
      <x:c r="D717" s="21" t="str">
        <x:v>gate 106 binary observation</x:v>
      </x:c>
      <x:c r="E717" s="21" t="n">
        <x:f>IF(OR('Paper Gates'!G106=0,'Paper Gates'!G106=1),1,0)</x:f>
        <x:v>1</x:v>
      </x:c>
      <x:c r="F717" s="21" t="n">
        <x:v>1</x:v>
      </x:c>
      <x:c r="G717" s="23" t="str">
        <x:f>IF(E717=F717,"PASS","FAIL")</x:f>
        <x:v>PASS</x:v>
      </x:c>
    </x:row>
    <x:row r="718">
      <x:c r="B718" s="21" t="str">
        <x:v>A0712</x:v>
      </x:c>
      <x:c r="C718" s="21" t="str">
        <x:v>paper gate</x:v>
      </x:c>
      <x:c r="D718" s="21" t="str">
        <x:v>gate 106 fixed requirement</x:v>
      </x:c>
      <x:c r="E718" s="21" t="n">
        <x:f>IF('Paper Gates'!H106=1,1,0)</x:f>
        <x:v>1</x:v>
      </x:c>
      <x:c r="F718" s="21" t="n">
        <x:v>1</x:v>
      </x:c>
      <x:c r="G718" s="23" t="str">
        <x:f>IF(E718=F718,"PASS","FAIL")</x:f>
        <x:v>PASS</x:v>
      </x:c>
    </x:row>
    <x:row r="719">
      <x:c r="B719" s="21" t="str">
        <x:v>A0713</x:v>
      </x:c>
      <x:c r="C719" s="21" t="str">
        <x:v>paper gate</x:v>
      </x:c>
      <x:c r="D719" s="21" t="str">
        <x:v>gate 106 result reconciles</x:v>
      </x:c>
      <x:c r="E719" s="21" t="n">
        <x:f>IF('Paper Gates'!I106=IF('Paper Gates'!G106='Paper Gates'!H106,"PASS","FAIL"),1,0)</x:f>
        <x:v>1</x:v>
      </x:c>
      <x:c r="F719" s="21" t="n">
        <x:v>1</x:v>
      </x:c>
      <x:c r="G719" s="23" t="str">
        <x:f>IF(E719=F719,"PASS","FAIL")</x:f>
        <x:v>PASS</x:v>
      </x:c>
    </x:row>
    <x:row r="720">
      <x:c r="B720" s="21" t="str">
        <x:v>A0714</x:v>
      </x:c>
      <x:c r="C720" s="21" t="str">
        <x:v>paper gate</x:v>
      </x:c>
      <x:c r="D720" s="21" t="str">
        <x:v>gate 107 binary observation</x:v>
      </x:c>
      <x:c r="E720" s="21" t="n">
        <x:f>IF(OR('Paper Gates'!G107=0,'Paper Gates'!G107=1),1,0)</x:f>
        <x:v>1</x:v>
      </x:c>
      <x:c r="F720" s="21" t="n">
        <x:v>1</x:v>
      </x:c>
      <x:c r="G720" s="23" t="str">
        <x:f>IF(E720=F720,"PASS","FAIL")</x:f>
        <x:v>PASS</x:v>
      </x:c>
    </x:row>
    <x:row r="721">
      <x:c r="B721" s="21" t="str">
        <x:v>A0715</x:v>
      </x:c>
      <x:c r="C721" s="21" t="str">
        <x:v>paper gate</x:v>
      </x:c>
      <x:c r="D721" s="21" t="str">
        <x:v>gate 107 fixed requirement</x:v>
      </x:c>
      <x:c r="E721" s="21" t="n">
        <x:f>IF('Paper Gates'!H107=1,1,0)</x:f>
        <x:v>1</x:v>
      </x:c>
      <x:c r="F721" s="21" t="n">
        <x:v>1</x:v>
      </x:c>
      <x:c r="G721" s="23" t="str">
        <x:f>IF(E721=F721,"PASS","FAIL")</x:f>
        <x:v>PASS</x:v>
      </x:c>
    </x:row>
    <x:row r="722">
      <x:c r="B722" s="21" t="str">
        <x:v>A0716</x:v>
      </x:c>
      <x:c r="C722" s="21" t="str">
        <x:v>paper gate</x:v>
      </x:c>
      <x:c r="D722" s="21" t="str">
        <x:v>gate 107 result reconciles</x:v>
      </x:c>
      <x:c r="E722" s="21" t="n">
        <x:f>IF('Paper Gates'!I107=IF('Paper Gates'!G107='Paper Gates'!H107,"PASS","FAIL"),1,0)</x:f>
        <x:v>1</x:v>
      </x:c>
      <x:c r="F722" s="21" t="n">
        <x:v>1</x:v>
      </x:c>
      <x:c r="G722" s="23" t="str">
        <x:f>IF(E722=F722,"PASS","FAIL")</x:f>
        <x:v>PASS</x:v>
      </x:c>
    </x:row>
    <x:row r="723">
      <x:c r="B723" s="21" t="str">
        <x:v>A0717</x:v>
      </x:c>
      <x:c r="C723" s="21" t="str">
        <x:v>paper gate</x:v>
      </x:c>
      <x:c r="D723" s="21" t="str">
        <x:v>gate 108 binary observation</x:v>
      </x:c>
      <x:c r="E723" s="21" t="n">
        <x:f>IF(OR('Paper Gates'!G108=0,'Paper Gates'!G108=1),1,0)</x:f>
        <x:v>1</x:v>
      </x:c>
      <x:c r="F723" s="21" t="n">
        <x:v>1</x:v>
      </x:c>
      <x:c r="G723" s="23" t="str">
        <x:f>IF(E723=F723,"PASS","FAIL")</x:f>
        <x:v>PASS</x:v>
      </x:c>
    </x:row>
    <x:row r="724">
      <x:c r="B724" s="21" t="str">
        <x:v>A0718</x:v>
      </x:c>
      <x:c r="C724" s="21" t="str">
        <x:v>paper gate</x:v>
      </x:c>
      <x:c r="D724" s="21" t="str">
        <x:v>gate 108 fixed requirement</x:v>
      </x:c>
      <x:c r="E724" s="21" t="n">
        <x:f>IF('Paper Gates'!H108=1,1,0)</x:f>
        <x:v>1</x:v>
      </x:c>
      <x:c r="F724" s="21" t="n">
        <x:v>1</x:v>
      </x:c>
      <x:c r="G724" s="23" t="str">
        <x:f>IF(E724=F724,"PASS","FAIL")</x:f>
        <x:v>PASS</x:v>
      </x:c>
    </x:row>
    <x:row r="725">
      <x:c r="B725" s="21" t="str">
        <x:v>A0719</x:v>
      </x:c>
      <x:c r="C725" s="21" t="str">
        <x:v>paper gate</x:v>
      </x:c>
      <x:c r="D725" s="21" t="str">
        <x:v>gate 108 result reconciles</x:v>
      </x:c>
      <x:c r="E725" s="21" t="n">
        <x:f>IF('Paper Gates'!I108=IF('Paper Gates'!G108='Paper Gates'!H108,"PASS","FAIL"),1,0)</x:f>
        <x:v>1</x:v>
      </x:c>
      <x:c r="F725" s="21" t="n">
        <x:v>1</x:v>
      </x:c>
      <x:c r="G725" s="23" t="str">
        <x:f>IF(E725=F725,"PASS","FAIL")</x:f>
        <x:v>PASS</x:v>
      </x:c>
    </x:row>
    <x:row r="726">
      <x:c r="B726" s="21" t="str">
        <x:v>A0720</x:v>
      </x:c>
      <x:c r="C726" s="21" t="str">
        <x:v>paper gate</x:v>
      </x:c>
      <x:c r="D726" s="21" t="str">
        <x:v>gate 109 binary observation</x:v>
      </x:c>
      <x:c r="E726" s="21" t="n">
        <x:f>IF(OR('Paper Gates'!G109=0,'Paper Gates'!G109=1),1,0)</x:f>
        <x:v>1</x:v>
      </x:c>
      <x:c r="F726" s="21" t="n">
        <x:v>1</x:v>
      </x:c>
      <x:c r="G726" s="23" t="str">
        <x:f>IF(E726=F726,"PASS","FAIL")</x:f>
        <x:v>PASS</x:v>
      </x:c>
    </x:row>
    <x:row r="727">
      <x:c r="B727" s="21" t="str">
        <x:v>A0721</x:v>
      </x:c>
      <x:c r="C727" s="21" t="str">
        <x:v>paper gate</x:v>
      </x:c>
      <x:c r="D727" s="21" t="str">
        <x:v>gate 109 fixed requirement</x:v>
      </x:c>
      <x:c r="E727" s="21" t="n">
        <x:f>IF('Paper Gates'!H109=1,1,0)</x:f>
        <x:v>1</x:v>
      </x:c>
      <x:c r="F727" s="21" t="n">
        <x:v>1</x:v>
      </x:c>
      <x:c r="G727" s="23" t="str">
        <x:f>IF(E727=F727,"PASS","FAIL")</x:f>
        <x:v>PASS</x:v>
      </x:c>
    </x:row>
    <x:row r="728">
      <x:c r="B728" s="21" t="str">
        <x:v>A0722</x:v>
      </x:c>
      <x:c r="C728" s="21" t="str">
        <x:v>paper gate</x:v>
      </x:c>
      <x:c r="D728" s="21" t="str">
        <x:v>gate 109 result reconciles</x:v>
      </x:c>
      <x:c r="E728" s="21" t="n">
        <x:f>IF('Paper Gates'!I109=IF('Paper Gates'!G109='Paper Gates'!H109,"PASS","FAIL"),1,0)</x:f>
        <x:v>1</x:v>
      </x:c>
      <x:c r="F728" s="21" t="n">
        <x:v>1</x:v>
      </x:c>
      <x:c r="G728" s="23" t="str">
        <x:f>IF(E728=F728,"PASS","FAIL")</x:f>
        <x:v>PASS</x:v>
      </x:c>
    </x:row>
    <x:row r="729">
      <x:c r="B729" s="21" t="str">
        <x:v>A0723</x:v>
      </x:c>
      <x:c r="C729" s="21" t="str">
        <x:v>paper gate</x:v>
      </x:c>
      <x:c r="D729" s="21" t="str">
        <x:v>gate 110 binary observation</x:v>
      </x:c>
      <x:c r="E729" s="21" t="n">
        <x:f>IF(OR('Paper Gates'!G110=0,'Paper Gates'!G110=1),1,0)</x:f>
        <x:v>1</x:v>
      </x:c>
      <x:c r="F729" s="21" t="n">
        <x:v>1</x:v>
      </x:c>
      <x:c r="G729" s="23" t="str">
        <x:f>IF(E729=F729,"PASS","FAIL")</x:f>
        <x:v>PASS</x:v>
      </x:c>
    </x:row>
    <x:row r="730">
      <x:c r="B730" s="21" t="str">
        <x:v>A0724</x:v>
      </x:c>
      <x:c r="C730" s="21" t="str">
        <x:v>paper gate</x:v>
      </x:c>
      <x:c r="D730" s="21" t="str">
        <x:v>gate 110 fixed requirement</x:v>
      </x:c>
      <x:c r="E730" s="21" t="n">
        <x:f>IF('Paper Gates'!H110=1,1,0)</x:f>
        <x:v>1</x:v>
      </x:c>
      <x:c r="F730" s="21" t="n">
        <x:v>1</x:v>
      </x:c>
      <x:c r="G730" s="23" t="str">
        <x:f>IF(E730=F730,"PASS","FAIL")</x:f>
        <x:v>PASS</x:v>
      </x:c>
    </x:row>
    <x:row r="731">
      <x:c r="B731" s="21" t="str">
        <x:v>A0725</x:v>
      </x:c>
      <x:c r="C731" s="21" t="str">
        <x:v>paper gate</x:v>
      </x:c>
      <x:c r="D731" s="21" t="str">
        <x:v>gate 110 result reconciles</x:v>
      </x:c>
      <x:c r="E731" s="21" t="n">
        <x:f>IF('Paper Gates'!I110=IF('Paper Gates'!G110='Paper Gates'!H110,"PASS","FAIL"),1,0)</x:f>
        <x:v>1</x:v>
      </x:c>
      <x:c r="F731" s="21" t="n">
        <x:v>1</x:v>
      </x:c>
      <x:c r="G731" s="23" t="str">
        <x:f>IF(E731=F731,"PASS","FAIL")</x:f>
        <x:v>PASS</x:v>
      </x:c>
    </x:row>
    <x:row r="732">
      <x:c r="B732" s="21" t="str">
        <x:v>A0726</x:v>
      </x:c>
      <x:c r="C732" s="21" t="str">
        <x:v>paper gate</x:v>
      </x:c>
      <x:c r="D732" s="21" t="str">
        <x:v>gate 111 binary observation</x:v>
      </x:c>
      <x:c r="E732" s="21" t="n">
        <x:f>IF(OR('Paper Gates'!G111=0,'Paper Gates'!G111=1),1,0)</x:f>
        <x:v>1</x:v>
      </x:c>
      <x:c r="F732" s="21" t="n">
        <x:v>1</x:v>
      </x:c>
      <x:c r="G732" s="23" t="str">
        <x:f>IF(E732=F732,"PASS","FAIL")</x:f>
        <x:v>PASS</x:v>
      </x:c>
    </x:row>
    <x:row r="733">
      <x:c r="B733" s="21" t="str">
        <x:v>A0727</x:v>
      </x:c>
      <x:c r="C733" s="21" t="str">
        <x:v>paper gate</x:v>
      </x:c>
      <x:c r="D733" s="21" t="str">
        <x:v>gate 111 fixed requirement</x:v>
      </x:c>
      <x:c r="E733" s="21" t="n">
        <x:f>IF('Paper Gates'!H111=1,1,0)</x:f>
        <x:v>1</x:v>
      </x:c>
      <x:c r="F733" s="21" t="n">
        <x:v>1</x:v>
      </x:c>
      <x:c r="G733" s="23" t="str">
        <x:f>IF(E733=F733,"PASS","FAIL")</x:f>
        <x:v>PASS</x:v>
      </x:c>
    </x:row>
    <x:row r="734">
      <x:c r="B734" s="21" t="str">
        <x:v>A0728</x:v>
      </x:c>
      <x:c r="C734" s="21" t="str">
        <x:v>paper gate</x:v>
      </x:c>
      <x:c r="D734" s="21" t="str">
        <x:v>gate 111 result reconciles</x:v>
      </x:c>
      <x:c r="E734" s="21" t="n">
        <x:f>IF('Paper Gates'!I111=IF('Paper Gates'!G111='Paper Gates'!H111,"PASS","FAIL"),1,0)</x:f>
        <x:v>1</x:v>
      </x:c>
      <x:c r="F734" s="21" t="n">
        <x:v>1</x:v>
      </x:c>
      <x:c r="G734" s="23" t="str">
        <x:f>IF(E734=F734,"PASS","FAIL")</x:f>
        <x:v>PASS</x:v>
      </x:c>
    </x:row>
    <x:row r="735">
      <x:c r="B735" s="21" t="str">
        <x:v>A0729</x:v>
      </x:c>
      <x:c r="C735" s="21" t="str">
        <x:v>paper gate</x:v>
      </x:c>
      <x:c r="D735" s="21" t="str">
        <x:v>gate 112 binary observation</x:v>
      </x:c>
      <x:c r="E735" s="21" t="n">
        <x:f>IF(OR('Paper Gates'!G112=0,'Paper Gates'!G112=1),1,0)</x:f>
        <x:v>1</x:v>
      </x:c>
      <x:c r="F735" s="21" t="n">
        <x:v>1</x:v>
      </x:c>
      <x:c r="G735" s="23" t="str">
        <x:f>IF(E735=F735,"PASS","FAIL")</x:f>
        <x:v>PASS</x:v>
      </x:c>
    </x:row>
    <x:row r="736">
      <x:c r="B736" s="21" t="str">
        <x:v>A0730</x:v>
      </x:c>
      <x:c r="C736" s="21" t="str">
        <x:v>paper gate</x:v>
      </x:c>
      <x:c r="D736" s="21" t="str">
        <x:v>gate 112 fixed requirement</x:v>
      </x:c>
      <x:c r="E736" s="21" t="n">
        <x:f>IF('Paper Gates'!H112=1,1,0)</x:f>
        <x:v>1</x:v>
      </x:c>
      <x:c r="F736" s="21" t="n">
        <x:v>1</x:v>
      </x:c>
      <x:c r="G736" s="23" t="str">
        <x:f>IF(E736=F736,"PASS","FAIL")</x:f>
        <x:v>PASS</x:v>
      </x:c>
    </x:row>
    <x:row r="737">
      <x:c r="B737" s="21" t="str">
        <x:v>A0731</x:v>
      </x:c>
      <x:c r="C737" s="21" t="str">
        <x:v>paper gate</x:v>
      </x:c>
      <x:c r="D737" s="21" t="str">
        <x:v>gate 112 result reconciles</x:v>
      </x:c>
      <x:c r="E737" s="21" t="n">
        <x:f>IF('Paper Gates'!I112=IF('Paper Gates'!G112='Paper Gates'!H112,"PASS","FAIL"),1,0)</x:f>
        <x:v>1</x:v>
      </x:c>
      <x:c r="F737" s="21" t="n">
        <x:v>1</x:v>
      </x:c>
      <x:c r="G737" s="23" t="str">
        <x:f>IF(E737=F737,"PASS","FAIL")</x:f>
        <x:v>PASS</x:v>
      </x:c>
    </x:row>
    <x:row r="738">
      <x:c r="B738" s="21" t="str">
        <x:v>A0732</x:v>
      </x:c>
      <x:c r="C738" s="21" t="str">
        <x:v>paper gate</x:v>
      </x:c>
      <x:c r="D738" s="21" t="str">
        <x:v>gate 113 binary observation</x:v>
      </x:c>
      <x:c r="E738" s="21" t="n">
        <x:f>IF(OR('Paper Gates'!G113=0,'Paper Gates'!G113=1),1,0)</x:f>
        <x:v>1</x:v>
      </x:c>
      <x:c r="F738" s="21" t="n">
        <x:v>1</x:v>
      </x:c>
      <x:c r="G738" s="23" t="str">
        <x:f>IF(E738=F738,"PASS","FAIL")</x:f>
        <x:v>PASS</x:v>
      </x:c>
    </x:row>
    <x:row r="739">
      <x:c r="B739" s="21" t="str">
        <x:v>A0733</x:v>
      </x:c>
      <x:c r="C739" s="21" t="str">
        <x:v>paper gate</x:v>
      </x:c>
      <x:c r="D739" s="21" t="str">
        <x:v>gate 113 fixed requirement</x:v>
      </x:c>
      <x:c r="E739" s="21" t="n">
        <x:f>IF('Paper Gates'!H113=1,1,0)</x:f>
        <x:v>1</x:v>
      </x:c>
      <x:c r="F739" s="21" t="n">
        <x:v>1</x:v>
      </x:c>
      <x:c r="G739" s="23" t="str">
        <x:f>IF(E739=F739,"PASS","FAIL")</x:f>
        <x:v>PASS</x:v>
      </x:c>
    </x:row>
    <x:row r="740">
      <x:c r="B740" s="21" t="str">
        <x:v>A0734</x:v>
      </x:c>
      <x:c r="C740" s="21" t="str">
        <x:v>paper gate</x:v>
      </x:c>
      <x:c r="D740" s="21" t="str">
        <x:v>gate 113 result reconciles</x:v>
      </x:c>
      <x:c r="E740" s="21" t="n">
        <x:f>IF('Paper Gates'!I113=IF('Paper Gates'!G113='Paper Gates'!H113,"PASS","FAIL"),1,0)</x:f>
        <x:v>1</x:v>
      </x:c>
      <x:c r="F740" s="21" t="n">
        <x:v>1</x:v>
      </x:c>
      <x:c r="G740" s="23" t="str">
        <x:f>IF(E740=F740,"PASS","FAIL")</x:f>
        <x:v>PASS</x:v>
      </x:c>
    </x:row>
    <x:row r="741">
      <x:c r="B741" s="21" t="str">
        <x:v>A0735</x:v>
      </x:c>
      <x:c r="C741" s="21" t="str">
        <x:v>paper gate</x:v>
      </x:c>
      <x:c r="D741" s="21" t="str">
        <x:v>gate 114 binary observation</x:v>
      </x:c>
      <x:c r="E741" s="21" t="n">
        <x:f>IF(OR('Paper Gates'!G114=0,'Paper Gates'!G114=1),1,0)</x:f>
        <x:v>1</x:v>
      </x:c>
      <x:c r="F741" s="21" t="n">
        <x:v>1</x:v>
      </x:c>
      <x:c r="G741" s="23" t="str">
        <x:f>IF(E741=F741,"PASS","FAIL")</x:f>
        <x:v>PASS</x:v>
      </x:c>
    </x:row>
    <x:row r="742">
      <x:c r="B742" s="21" t="str">
        <x:v>A0736</x:v>
      </x:c>
      <x:c r="C742" s="21" t="str">
        <x:v>paper gate</x:v>
      </x:c>
      <x:c r="D742" s="21" t="str">
        <x:v>gate 114 fixed requirement</x:v>
      </x:c>
      <x:c r="E742" s="21" t="n">
        <x:f>IF('Paper Gates'!H114=1,1,0)</x:f>
        <x:v>1</x:v>
      </x:c>
      <x:c r="F742" s="21" t="n">
        <x:v>1</x:v>
      </x:c>
      <x:c r="G742" s="23" t="str">
        <x:f>IF(E742=F742,"PASS","FAIL")</x:f>
        <x:v>PASS</x:v>
      </x:c>
    </x:row>
    <x:row r="743">
      <x:c r="B743" s="21" t="str">
        <x:v>A0737</x:v>
      </x:c>
      <x:c r="C743" s="21" t="str">
        <x:v>paper gate</x:v>
      </x:c>
      <x:c r="D743" s="21" t="str">
        <x:v>gate 114 result reconciles</x:v>
      </x:c>
      <x:c r="E743" s="21" t="n">
        <x:f>IF('Paper Gates'!I114=IF('Paper Gates'!G114='Paper Gates'!H114,"PASS","FAIL"),1,0)</x:f>
        <x:v>1</x:v>
      </x:c>
      <x:c r="F743" s="21" t="n">
        <x:v>1</x:v>
      </x:c>
      <x:c r="G743" s="23" t="str">
        <x:f>IF(E743=F743,"PASS","FAIL")</x:f>
        <x:v>PASS</x:v>
      </x:c>
    </x:row>
    <x:row r="744">
      <x:c r="B744" s="21" t="str">
        <x:v>A0738</x:v>
      </x:c>
      <x:c r="C744" s="21" t="str">
        <x:v>paper gate</x:v>
      </x:c>
      <x:c r="D744" s="21" t="str">
        <x:v>gate 115 binary observation</x:v>
      </x:c>
      <x:c r="E744" s="21" t="n">
        <x:f>IF(OR('Paper Gates'!G115=0,'Paper Gates'!G115=1),1,0)</x:f>
        <x:v>1</x:v>
      </x:c>
      <x:c r="F744" s="21" t="n">
        <x:v>1</x:v>
      </x:c>
      <x:c r="G744" s="23" t="str">
        <x:f>IF(E744=F744,"PASS","FAIL")</x:f>
        <x:v>PASS</x:v>
      </x:c>
    </x:row>
    <x:row r="745">
      <x:c r="B745" s="21" t="str">
        <x:v>A0739</x:v>
      </x:c>
      <x:c r="C745" s="21" t="str">
        <x:v>paper gate</x:v>
      </x:c>
      <x:c r="D745" s="21" t="str">
        <x:v>gate 115 fixed requirement</x:v>
      </x:c>
      <x:c r="E745" s="21" t="n">
        <x:f>IF('Paper Gates'!H115=1,1,0)</x:f>
        <x:v>1</x:v>
      </x:c>
      <x:c r="F745" s="21" t="n">
        <x:v>1</x:v>
      </x:c>
      <x:c r="G745" s="23" t="str">
        <x:f>IF(E745=F745,"PASS","FAIL")</x:f>
        <x:v>PASS</x:v>
      </x:c>
    </x:row>
    <x:row r="746">
      <x:c r="B746" s="21" t="str">
        <x:v>A0740</x:v>
      </x:c>
      <x:c r="C746" s="21" t="str">
        <x:v>paper gate</x:v>
      </x:c>
      <x:c r="D746" s="21" t="str">
        <x:v>gate 115 result reconciles</x:v>
      </x:c>
      <x:c r="E746" s="21" t="n">
        <x:f>IF('Paper Gates'!I115=IF('Paper Gates'!G115='Paper Gates'!H115,"PASS","FAIL"),1,0)</x:f>
        <x:v>1</x:v>
      </x:c>
      <x:c r="F746" s="21" t="n">
        <x:v>1</x:v>
      </x:c>
      <x:c r="G746" s="23" t="str">
        <x:f>IF(E746=F746,"PASS","FAIL")</x:f>
        <x:v>PASS</x:v>
      </x:c>
    </x:row>
    <x:row r="747">
      <x:c r="B747" s="21" t="str">
        <x:v>A0741</x:v>
      </x:c>
      <x:c r="C747" s="21" t="str">
        <x:v>paper gate</x:v>
      </x:c>
      <x:c r="D747" s="21" t="str">
        <x:v>gate 116 binary observation</x:v>
      </x:c>
      <x:c r="E747" s="21" t="n">
        <x:f>IF(OR('Paper Gates'!G116=0,'Paper Gates'!G116=1),1,0)</x:f>
        <x:v>1</x:v>
      </x:c>
      <x:c r="F747" s="21" t="n">
        <x:v>1</x:v>
      </x:c>
      <x:c r="G747" s="23" t="str">
        <x:f>IF(E747=F747,"PASS","FAIL")</x:f>
        <x:v>PASS</x:v>
      </x:c>
    </x:row>
    <x:row r="748">
      <x:c r="B748" s="21" t="str">
        <x:v>A0742</x:v>
      </x:c>
      <x:c r="C748" s="21" t="str">
        <x:v>paper gate</x:v>
      </x:c>
      <x:c r="D748" s="21" t="str">
        <x:v>gate 116 fixed requirement</x:v>
      </x:c>
      <x:c r="E748" s="21" t="n">
        <x:f>IF('Paper Gates'!H116=1,1,0)</x:f>
        <x:v>1</x:v>
      </x:c>
      <x:c r="F748" s="21" t="n">
        <x:v>1</x:v>
      </x:c>
      <x:c r="G748" s="23" t="str">
        <x:f>IF(E748=F748,"PASS","FAIL")</x:f>
        <x:v>PASS</x:v>
      </x:c>
    </x:row>
    <x:row r="749">
      <x:c r="B749" s="21" t="str">
        <x:v>A0743</x:v>
      </x:c>
      <x:c r="C749" s="21" t="str">
        <x:v>paper gate</x:v>
      </x:c>
      <x:c r="D749" s="21" t="str">
        <x:v>gate 116 result reconciles</x:v>
      </x:c>
      <x:c r="E749" s="21" t="n">
        <x:f>IF('Paper Gates'!I116=IF('Paper Gates'!G116='Paper Gates'!H116,"PASS","FAIL"),1,0)</x:f>
        <x:v>1</x:v>
      </x:c>
      <x:c r="F749" s="21" t="n">
        <x:v>1</x:v>
      </x:c>
      <x:c r="G749" s="23" t="str">
        <x:f>IF(E749=F749,"PASS","FAIL")</x:f>
        <x:v>PASS</x:v>
      </x:c>
    </x:row>
    <x:row r="750">
      <x:c r="B750" s="21" t="str">
        <x:v>A0744</x:v>
      </x:c>
      <x:c r="C750" s="21" t="str">
        <x:v>paper gate</x:v>
      </x:c>
      <x:c r="D750" s="21" t="str">
        <x:v>gate 117 binary observation</x:v>
      </x:c>
      <x:c r="E750" s="21" t="n">
        <x:f>IF(OR('Paper Gates'!G117=0,'Paper Gates'!G117=1),1,0)</x:f>
        <x:v>1</x:v>
      </x:c>
      <x:c r="F750" s="21" t="n">
        <x:v>1</x:v>
      </x:c>
      <x:c r="G750" s="23" t="str">
        <x:f>IF(E750=F750,"PASS","FAIL")</x:f>
        <x:v>PASS</x:v>
      </x:c>
    </x:row>
    <x:row r="751">
      <x:c r="B751" s="21" t="str">
        <x:v>A0745</x:v>
      </x:c>
      <x:c r="C751" s="21" t="str">
        <x:v>paper gate</x:v>
      </x:c>
      <x:c r="D751" s="21" t="str">
        <x:v>gate 117 fixed requirement</x:v>
      </x:c>
      <x:c r="E751" s="21" t="n">
        <x:f>IF('Paper Gates'!H117=1,1,0)</x:f>
        <x:v>1</x:v>
      </x:c>
      <x:c r="F751" s="21" t="n">
        <x:v>1</x:v>
      </x:c>
      <x:c r="G751" s="23" t="str">
        <x:f>IF(E751=F751,"PASS","FAIL")</x:f>
        <x:v>PASS</x:v>
      </x:c>
    </x:row>
    <x:row r="752">
      <x:c r="B752" s="21" t="str">
        <x:v>A0746</x:v>
      </x:c>
      <x:c r="C752" s="21" t="str">
        <x:v>paper gate</x:v>
      </x:c>
      <x:c r="D752" s="21" t="str">
        <x:v>gate 117 result reconciles</x:v>
      </x:c>
      <x:c r="E752" s="21" t="n">
        <x:f>IF('Paper Gates'!I117=IF('Paper Gates'!G117='Paper Gates'!H117,"PASS","FAIL"),1,0)</x:f>
        <x:v>1</x:v>
      </x:c>
      <x:c r="F752" s="21" t="n">
        <x:v>1</x:v>
      </x:c>
      <x:c r="G752" s="23" t="str">
        <x:f>IF(E752=F752,"PASS","FAIL")</x:f>
        <x:v>PASS</x:v>
      </x:c>
    </x:row>
    <x:row r="753">
      <x:c r="B753" s="21" t="str">
        <x:v>A0747</x:v>
      </x:c>
      <x:c r="C753" s="21" t="str">
        <x:v>paper gate</x:v>
      </x:c>
      <x:c r="D753" s="21" t="str">
        <x:v>gate 118 binary observation</x:v>
      </x:c>
      <x:c r="E753" s="21" t="n">
        <x:f>IF(OR('Paper Gates'!G118=0,'Paper Gates'!G118=1),1,0)</x:f>
        <x:v>1</x:v>
      </x:c>
      <x:c r="F753" s="21" t="n">
        <x:v>1</x:v>
      </x:c>
      <x:c r="G753" s="23" t="str">
        <x:f>IF(E753=F753,"PASS","FAIL")</x:f>
        <x:v>PASS</x:v>
      </x:c>
    </x:row>
    <x:row r="754">
      <x:c r="B754" s="21" t="str">
        <x:v>A0748</x:v>
      </x:c>
      <x:c r="C754" s="21" t="str">
        <x:v>paper gate</x:v>
      </x:c>
      <x:c r="D754" s="21" t="str">
        <x:v>gate 118 fixed requirement</x:v>
      </x:c>
      <x:c r="E754" s="21" t="n">
        <x:f>IF('Paper Gates'!H118=1,1,0)</x:f>
        <x:v>1</x:v>
      </x:c>
      <x:c r="F754" s="21" t="n">
        <x:v>1</x:v>
      </x:c>
      <x:c r="G754" s="23" t="str">
        <x:f>IF(E754=F754,"PASS","FAIL")</x:f>
        <x:v>PASS</x:v>
      </x:c>
    </x:row>
    <x:row r="755">
      <x:c r="B755" s="21" t="str">
        <x:v>A0749</x:v>
      </x:c>
      <x:c r="C755" s="21" t="str">
        <x:v>paper gate</x:v>
      </x:c>
      <x:c r="D755" s="21" t="str">
        <x:v>gate 118 result reconciles</x:v>
      </x:c>
      <x:c r="E755" s="21" t="n">
        <x:f>IF('Paper Gates'!I118=IF('Paper Gates'!G118='Paper Gates'!H118,"PASS","FAIL"),1,0)</x:f>
        <x:v>1</x:v>
      </x:c>
      <x:c r="F755" s="21" t="n">
        <x:v>1</x:v>
      </x:c>
      <x:c r="G755" s="23" t="str">
        <x:f>IF(E755=F755,"PASS","FAIL")</x:f>
        <x:v>PASS</x:v>
      </x:c>
    </x:row>
    <x:row r="756">
      <x:c r="B756" s="21" t="str">
        <x:v>A0750</x:v>
      </x:c>
      <x:c r="C756" s="21" t="str">
        <x:v>paper gate</x:v>
      </x:c>
      <x:c r="D756" s="21" t="str">
        <x:v>gate 119 binary observation</x:v>
      </x:c>
      <x:c r="E756" s="21" t="n">
        <x:f>IF(OR('Paper Gates'!G119=0,'Paper Gates'!G119=1),1,0)</x:f>
        <x:v>1</x:v>
      </x:c>
      <x:c r="F756" s="21" t="n">
        <x:v>1</x:v>
      </x:c>
      <x:c r="G756" s="23" t="str">
        <x:f>IF(E756=F756,"PASS","FAIL")</x:f>
        <x:v>PASS</x:v>
      </x:c>
    </x:row>
    <x:row r="757">
      <x:c r="B757" s="21" t="str">
        <x:v>A0751</x:v>
      </x:c>
      <x:c r="C757" s="21" t="str">
        <x:v>paper gate</x:v>
      </x:c>
      <x:c r="D757" s="21" t="str">
        <x:v>gate 119 fixed requirement</x:v>
      </x:c>
      <x:c r="E757" s="21" t="n">
        <x:f>IF('Paper Gates'!H119=1,1,0)</x:f>
        <x:v>1</x:v>
      </x:c>
      <x:c r="F757" s="21" t="n">
        <x:v>1</x:v>
      </x:c>
      <x:c r="G757" s="23" t="str">
        <x:f>IF(E757=F757,"PASS","FAIL")</x:f>
        <x:v>PASS</x:v>
      </x:c>
    </x:row>
    <x:row r="758">
      <x:c r="B758" s="21" t="str">
        <x:v>A0752</x:v>
      </x:c>
      <x:c r="C758" s="21" t="str">
        <x:v>paper gate</x:v>
      </x:c>
      <x:c r="D758" s="21" t="str">
        <x:v>gate 119 result reconciles</x:v>
      </x:c>
      <x:c r="E758" s="21" t="n">
        <x:f>IF('Paper Gates'!I119=IF('Paper Gates'!G119='Paper Gates'!H119,"PASS","FAIL"),1,0)</x:f>
        <x:v>1</x:v>
      </x:c>
      <x:c r="F758" s="21" t="n">
        <x:v>1</x:v>
      </x:c>
      <x:c r="G758" s="23" t="str">
        <x:f>IF(E758=F758,"PASS","FAIL")</x:f>
        <x:v>PASS</x:v>
      </x:c>
    </x:row>
    <x:row r="759">
      <x:c r="B759" s="21" t="str">
        <x:v>A0753</x:v>
      </x:c>
      <x:c r="C759" s="21" t="str">
        <x:v>paper gate</x:v>
      </x:c>
      <x:c r="D759" s="21" t="str">
        <x:v>gate 120 binary observation</x:v>
      </x:c>
      <x:c r="E759" s="21" t="n">
        <x:f>IF(OR('Paper Gates'!G120=0,'Paper Gates'!G120=1),1,0)</x:f>
        <x:v>1</x:v>
      </x:c>
      <x:c r="F759" s="21" t="n">
        <x:v>1</x:v>
      </x:c>
      <x:c r="G759" s="23" t="str">
        <x:f>IF(E759=F759,"PASS","FAIL")</x:f>
        <x:v>PASS</x:v>
      </x:c>
    </x:row>
    <x:row r="760">
      <x:c r="B760" s="21" t="str">
        <x:v>A0754</x:v>
      </x:c>
      <x:c r="C760" s="21" t="str">
        <x:v>paper gate</x:v>
      </x:c>
      <x:c r="D760" s="21" t="str">
        <x:v>gate 120 fixed requirement</x:v>
      </x:c>
      <x:c r="E760" s="21" t="n">
        <x:f>IF('Paper Gates'!H120=1,1,0)</x:f>
        <x:v>1</x:v>
      </x:c>
      <x:c r="F760" s="21" t="n">
        <x:v>1</x:v>
      </x:c>
      <x:c r="G760" s="23" t="str">
        <x:f>IF(E760=F760,"PASS","FAIL")</x:f>
        <x:v>PASS</x:v>
      </x:c>
    </x:row>
    <x:row r="761">
      <x:c r="B761" s="21" t="str">
        <x:v>A0755</x:v>
      </x:c>
      <x:c r="C761" s="21" t="str">
        <x:v>paper gate</x:v>
      </x:c>
      <x:c r="D761" s="21" t="str">
        <x:v>gate 120 result reconciles</x:v>
      </x:c>
      <x:c r="E761" s="21" t="n">
        <x:f>IF('Paper Gates'!I120=IF('Paper Gates'!G120='Paper Gates'!H120,"PASS","FAIL"),1,0)</x:f>
        <x:v>1</x:v>
      </x:c>
      <x:c r="F761" s="21" t="n">
        <x:v>1</x:v>
      </x:c>
      <x:c r="G761" s="23" t="str">
        <x:f>IF(E761=F761,"PASS","FAIL")</x:f>
        <x:v>PASS</x:v>
      </x:c>
    </x:row>
    <x:row r="762">
      <x:c r="B762" s="21" t="str">
        <x:v>A0756</x:v>
      </x:c>
      <x:c r="C762" s="21" t="str">
        <x:v>paper gate</x:v>
      </x:c>
      <x:c r="D762" s="21" t="str">
        <x:v>gate 121 binary observation</x:v>
      </x:c>
      <x:c r="E762" s="21" t="n">
        <x:f>IF(OR('Paper Gates'!G121=0,'Paper Gates'!G121=1),1,0)</x:f>
        <x:v>1</x:v>
      </x:c>
      <x:c r="F762" s="21" t="n">
        <x:v>1</x:v>
      </x:c>
      <x:c r="G762" s="23" t="str">
        <x:f>IF(E762=F762,"PASS","FAIL")</x:f>
        <x:v>PASS</x:v>
      </x:c>
    </x:row>
    <x:row r="763">
      <x:c r="B763" s="21" t="str">
        <x:v>A0757</x:v>
      </x:c>
      <x:c r="C763" s="21" t="str">
        <x:v>paper gate</x:v>
      </x:c>
      <x:c r="D763" s="21" t="str">
        <x:v>gate 121 fixed requirement</x:v>
      </x:c>
      <x:c r="E763" s="21" t="n">
        <x:f>IF('Paper Gates'!H121=1,1,0)</x:f>
        <x:v>1</x:v>
      </x:c>
      <x:c r="F763" s="21" t="n">
        <x:v>1</x:v>
      </x:c>
      <x:c r="G763" s="23" t="str">
        <x:f>IF(E763=F763,"PASS","FAIL")</x:f>
        <x:v>PASS</x:v>
      </x:c>
    </x:row>
    <x:row r="764">
      <x:c r="B764" s="21" t="str">
        <x:v>A0758</x:v>
      </x:c>
      <x:c r="C764" s="21" t="str">
        <x:v>paper gate</x:v>
      </x:c>
      <x:c r="D764" s="21" t="str">
        <x:v>gate 121 result reconciles</x:v>
      </x:c>
      <x:c r="E764" s="21" t="n">
        <x:f>IF('Paper Gates'!I121=IF('Paper Gates'!G121='Paper Gates'!H121,"PASS","FAIL"),1,0)</x:f>
        <x:v>1</x:v>
      </x:c>
      <x:c r="F764" s="21" t="n">
        <x:v>1</x:v>
      </x:c>
      <x:c r="G764" s="23" t="str">
        <x:f>IF(E764=F764,"PASS","FAIL")</x:f>
        <x:v>PASS</x:v>
      </x:c>
    </x:row>
    <x:row r="765">
      <x:c r="B765" s="21" t="str">
        <x:v>A0759</x:v>
      </x:c>
      <x:c r="C765" s="21" t="str">
        <x:v>paper gate</x:v>
      </x:c>
      <x:c r="D765" s="21" t="str">
        <x:v>gate 122 binary observation</x:v>
      </x:c>
      <x:c r="E765" s="21" t="n">
        <x:f>IF(OR('Paper Gates'!G122=0,'Paper Gates'!G122=1),1,0)</x:f>
        <x:v>1</x:v>
      </x:c>
      <x:c r="F765" s="21" t="n">
        <x:v>1</x:v>
      </x:c>
      <x:c r="G765" s="23" t="str">
        <x:f>IF(E765=F765,"PASS","FAIL")</x:f>
        <x:v>PASS</x:v>
      </x:c>
    </x:row>
    <x:row r="766">
      <x:c r="B766" s="21" t="str">
        <x:v>A0760</x:v>
      </x:c>
      <x:c r="C766" s="21" t="str">
        <x:v>paper gate</x:v>
      </x:c>
      <x:c r="D766" s="21" t="str">
        <x:v>gate 122 fixed requirement</x:v>
      </x:c>
      <x:c r="E766" s="21" t="n">
        <x:f>IF('Paper Gates'!H122=1,1,0)</x:f>
        <x:v>1</x:v>
      </x:c>
      <x:c r="F766" s="21" t="n">
        <x:v>1</x:v>
      </x:c>
      <x:c r="G766" s="23" t="str">
        <x:f>IF(E766=F766,"PASS","FAIL")</x:f>
        <x:v>PASS</x:v>
      </x:c>
    </x:row>
    <x:row r="767">
      <x:c r="B767" s="21" t="str">
        <x:v>A0761</x:v>
      </x:c>
      <x:c r="C767" s="21" t="str">
        <x:v>paper gate</x:v>
      </x:c>
      <x:c r="D767" s="21" t="str">
        <x:v>gate 122 result reconciles</x:v>
      </x:c>
      <x:c r="E767" s="21" t="n">
        <x:f>IF('Paper Gates'!I122=IF('Paper Gates'!G122='Paper Gates'!H122,"PASS","FAIL"),1,0)</x:f>
        <x:v>1</x:v>
      </x:c>
      <x:c r="F767" s="21" t="n">
        <x:v>1</x:v>
      </x:c>
      <x:c r="G767" s="23" t="str">
        <x:f>IF(E767=F767,"PASS","FAIL")</x:f>
        <x:v>PASS</x:v>
      </x:c>
    </x:row>
    <x:row r="768">
      <x:c r="B768" s="21" t="str">
        <x:v>A0762</x:v>
      </x:c>
      <x:c r="C768" s="21" t="str">
        <x:v>paper gate</x:v>
      </x:c>
      <x:c r="D768" s="21" t="str">
        <x:v>gate 123 binary observation</x:v>
      </x:c>
      <x:c r="E768" s="21" t="n">
        <x:f>IF(OR('Paper Gates'!G123=0,'Paper Gates'!G123=1),1,0)</x:f>
        <x:v>1</x:v>
      </x:c>
      <x:c r="F768" s="21" t="n">
        <x:v>1</x:v>
      </x:c>
      <x:c r="G768" s="23" t="str">
        <x:f>IF(E768=F768,"PASS","FAIL")</x:f>
        <x:v>PASS</x:v>
      </x:c>
    </x:row>
    <x:row r="769">
      <x:c r="B769" s="21" t="str">
        <x:v>A0763</x:v>
      </x:c>
      <x:c r="C769" s="21" t="str">
        <x:v>paper gate</x:v>
      </x:c>
      <x:c r="D769" s="21" t="str">
        <x:v>gate 123 fixed requirement</x:v>
      </x:c>
      <x:c r="E769" s="21" t="n">
        <x:f>IF('Paper Gates'!H123=1,1,0)</x:f>
        <x:v>1</x:v>
      </x:c>
      <x:c r="F769" s="21" t="n">
        <x:v>1</x:v>
      </x:c>
      <x:c r="G769" s="23" t="str">
        <x:f>IF(E769=F769,"PASS","FAIL")</x:f>
        <x:v>PASS</x:v>
      </x:c>
    </x:row>
    <x:row r="770">
      <x:c r="B770" s="21" t="str">
        <x:v>A0764</x:v>
      </x:c>
      <x:c r="C770" s="21" t="str">
        <x:v>paper gate</x:v>
      </x:c>
      <x:c r="D770" s="21" t="str">
        <x:v>gate 123 result reconciles</x:v>
      </x:c>
      <x:c r="E770" s="21" t="n">
        <x:f>IF('Paper Gates'!I123=IF('Paper Gates'!G123='Paper Gates'!H123,"PASS","FAIL"),1,0)</x:f>
        <x:v>1</x:v>
      </x:c>
      <x:c r="F770" s="21" t="n">
        <x:v>1</x:v>
      </x:c>
      <x:c r="G770" s="23" t="str">
        <x:f>IF(E770=F770,"PASS","FAIL")</x:f>
        <x:v>PASS</x:v>
      </x:c>
    </x:row>
    <x:row r="771">
      <x:c r="B771" s="21" t="str">
        <x:v>A0765</x:v>
      </x:c>
      <x:c r="C771" s="21" t="str">
        <x:v>paper gate</x:v>
      </x:c>
      <x:c r="D771" s="21" t="str">
        <x:v>gate 124 binary observation</x:v>
      </x:c>
      <x:c r="E771" s="21" t="n">
        <x:f>IF(OR('Paper Gates'!G124=0,'Paper Gates'!G124=1),1,0)</x:f>
        <x:v>1</x:v>
      </x:c>
      <x:c r="F771" s="21" t="n">
        <x:v>1</x:v>
      </x:c>
      <x:c r="G771" s="23" t="str">
        <x:f>IF(E771=F771,"PASS","FAIL")</x:f>
        <x:v>PASS</x:v>
      </x:c>
    </x:row>
    <x:row r="772">
      <x:c r="B772" s="21" t="str">
        <x:v>A0766</x:v>
      </x:c>
      <x:c r="C772" s="21" t="str">
        <x:v>paper gate</x:v>
      </x:c>
      <x:c r="D772" s="21" t="str">
        <x:v>gate 124 fixed requirement</x:v>
      </x:c>
      <x:c r="E772" s="21" t="n">
        <x:f>IF('Paper Gates'!H124=1,1,0)</x:f>
        <x:v>1</x:v>
      </x:c>
      <x:c r="F772" s="21" t="n">
        <x:v>1</x:v>
      </x:c>
      <x:c r="G772" s="23" t="str">
        <x:f>IF(E772=F772,"PASS","FAIL")</x:f>
        <x:v>PASS</x:v>
      </x:c>
    </x:row>
    <x:row r="773">
      <x:c r="B773" s="21" t="str">
        <x:v>A0767</x:v>
      </x:c>
      <x:c r="C773" s="21" t="str">
        <x:v>paper gate</x:v>
      </x:c>
      <x:c r="D773" s="21" t="str">
        <x:v>gate 124 result reconciles</x:v>
      </x:c>
      <x:c r="E773" s="21" t="n">
        <x:f>IF('Paper Gates'!I124=IF('Paper Gates'!G124='Paper Gates'!H124,"PASS","FAIL"),1,0)</x:f>
        <x:v>1</x:v>
      </x:c>
      <x:c r="F773" s="21" t="n">
        <x:v>1</x:v>
      </x:c>
      <x:c r="G773" s="23" t="str">
        <x:f>IF(E773=F773,"PASS","FAIL")</x:f>
        <x:v>PASS</x:v>
      </x:c>
    </x:row>
    <x:row r="774">
      <x:c r="B774" s="21" t="str">
        <x:v>A0768</x:v>
      </x:c>
      <x:c r="C774" s="21" t="str">
        <x:v>paper gate</x:v>
      </x:c>
      <x:c r="D774" s="21" t="str">
        <x:v>gate 125 binary observation</x:v>
      </x:c>
      <x:c r="E774" s="21" t="n">
        <x:f>IF(OR('Paper Gates'!G125=0,'Paper Gates'!G125=1),1,0)</x:f>
        <x:v>1</x:v>
      </x:c>
      <x:c r="F774" s="21" t="n">
        <x:v>1</x:v>
      </x:c>
      <x:c r="G774" s="23" t="str">
        <x:f>IF(E774=F774,"PASS","FAIL")</x:f>
        <x:v>PASS</x:v>
      </x:c>
    </x:row>
    <x:row r="775">
      <x:c r="B775" s="21" t="str">
        <x:v>A0769</x:v>
      </x:c>
      <x:c r="C775" s="21" t="str">
        <x:v>paper gate</x:v>
      </x:c>
      <x:c r="D775" s="21" t="str">
        <x:v>gate 125 fixed requirement</x:v>
      </x:c>
      <x:c r="E775" s="21" t="n">
        <x:f>IF('Paper Gates'!H125=1,1,0)</x:f>
        <x:v>1</x:v>
      </x:c>
      <x:c r="F775" s="21" t="n">
        <x:v>1</x:v>
      </x:c>
      <x:c r="G775" s="23" t="str">
        <x:f>IF(E775=F775,"PASS","FAIL")</x:f>
        <x:v>PASS</x:v>
      </x:c>
    </x:row>
    <x:row r="776">
      <x:c r="B776" s="21" t="str">
        <x:v>A0770</x:v>
      </x:c>
      <x:c r="C776" s="21" t="str">
        <x:v>paper gate</x:v>
      </x:c>
      <x:c r="D776" s="21" t="str">
        <x:v>gate 125 result reconciles</x:v>
      </x:c>
      <x:c r="E776" s="21" t="n">
        <x:f>IF('Paper Gates'!I125=IF('Paper Gates'!G125='Paper Gates'!H125,"PASS","FAIL"),1,0)</x:f>
        <x:v>1</x:v>
      </x:c>
      <x:c r="F776" s="21" t="n">
        <x:v>1</x:v>
      </x:c>
      <x:c r="G776" s="23" t="str">
        <x:f>IF(E776=F776,"PASS","FAIL")</x:f>
        <x:v>PASS</x:v>
      </x:c>
    </x:row>
    <x:row r="777">
      <x:c r="B777" s="21" t="str">
        <x:v>A0771</x:v>
      </x:c>
      <x:c r="C777" s="21" t="str">
        <x:v>paper gate</x:v>
      </x:c>
      <x:c r="D777" s="21" t="str">
        <x:v>gate 126 binary observation</x:v>
      </x:c>
      <x:c r="E777" s="21" t="n">
        <x:f>IF(OR('Paper Gates'!G126=0,'Paper Gates'!G126=1),1,0)</x:f>
        <x:v>1</x:v>
      </x:c>
      <x:c r="F777" s="21" t="n">
        <x:v>1</x:v>
      </x:c>
      <x:c r="G777" s="23" t="str">
        <x:f>IF(E777=F777,"PASS","FAIL")</x:f>
        <x:v>PASS</x:v>
      </x:c>
    </x:row>
    <x:row r="778">
      <x:c r="B778" s="21" t="str">
        <x:v>A0772</x:v>
      </x:c>
      <x:c r="C778" s="21" t="str">
        <x:v>paper gate</x:v>
      </x:c>
      <x:c r="D778" s="21" t="str">
        <x:v>gate 126 fixed requirement</x:v>
      </x:c>
      <x:c r="E778" s="21" t="n">
        <x:f>IF('Paper Gates'!H126=1,1,0)</x:f>
        <x:v>1</x:v>
      </x:c>
      <x:c r="F778" s="21" t="n">
        <x:v>1</x:v>
      </x:c>
      <x:c r="G778" s="23" t="str">
        <x:f>IF(E778=F778,"PASS","FAIL")</x:f>
        <x:v>PASS</x:v>
      </x:c>
    </x:row>
    <x:row r="779">
      <x:c r="B779" s="21" t="str">
        <x:v>A0773</x:v>
      </x:c>
      <x:c r="C779" s="21" t="str">
        <x:v>paper gate</x:v>
      </x:c>
      <x:c r="D779" s="21" t="str">
        <x:v>gate 126 result reconciles</x:v>
      </x:c>
      <x:c r="E779" s="21" t="n">
        <x:f>IF('Paper Gates'!I126=IF('Paper Gates'!G126='Paper Gates'!H126,"PASS","FAIL"),1,0)</x:f>
        <x:v>1</x:v>
      </x:c>
      <x:c r="F779" s="21" t="n">
        <x:v>1</x:v>
      </x:c>
      <x:c r="G779" s="23" t="str">
        <x:f>IF(E779=F779,"PASS","FAIL")</x:f>
        <x:v>PASS</x:v>
      </x:c>
    </x:row>
    <x:row r="780">
      <x:c r="B780" s="21" t="str">
        <x:v>A0774</x:v>
      </x:c>
      <x:c r="C780" s="21" t="str">
        <x:v>paper gate</x:v>
      </x:c>
      <x:c r="D780" s="21" t="str">
        <x:v>gate 127 binary observation</x:v>
      </x:c>
      <x:c r="E780" s="21" t="n">
        <x:f>IF(OR('Paper Gates'!G127=0,'Paper Gates'!G127=1),1,0)</x:f>
        <x:v>1</x:v>
      </x:c>
      <x:c r="F780" s="21" t="n">
        <x:v>1</x:v>
      </x:c>
      <x:c r="G780" s="23" t="str">
        <x:f>IF(E780=F780,"PASS","FAIL")</x:f>
        <x:v>PASS</x:v>
      </x:c>
    </x:row>
    <x:row r="781">
      <x:c r="B781" s="21" t="str">
        <x:v>A0775</x:v>
      </x:c>
      <x:c r="C781" s="21" t="str">
        <x:v>paper gate</x:v>
      </x:c>
      <x:c r="D781" s="21" t="str">
        <x:v>gate 127 fixed requirement</x:v>
      </x:c>
      <x:c r="E781" s="21" t="n">
        <x:f>IF('Paper Gates'!H127=1,1,0)</x:f>
        <x:v>1</x:v>
      </x:c>
      <x:c r="F781" s="21" t="n">
        <x:v>1</x:v>
      </x:c>
      <x:c r="G781" s="23" t="str">
        <x:f>IF(E781=F781,"PASS","FAIL")</x:f>
        <x:v>PASS</x:v>
      </x:c>
    </x:row>
    <x:row r="782">
      <x:c r="B782" s="21" t="str">
        <x:v>A0776</x:v>
      </x:c>
      <x:c r="C782" s="21" t="str">
        <x:v>paper gate</x:v>
      </x:c>
      <x:c r="D782" s="21" t="str">
        <x:v>gate 127 result reconciles</x:v>
      </x:c>
      <x:c r="E782" s="21" t="n">
        <x:f>IF('Paper Gates'!I127=IF('Paper Gates'!G127='Paper Gates'!H127,"PASS","FAIL"),1,0)</x:f>
        <x:v>1</x:v>
      </x:c>
      <x:c r="F782" s="21" t="n">
        <x:v>1</x:v>
      </x:c>
      <x:c r="G782" s="23" t="str">
        <x:f>IF(E782=F782,"PASS","FAIL")</x:f>
        <x:v>PASS</x:v>
      </x:c>
    </x:row>
    <x:row r="783">
      <x:c r="B783" s="21" t="str">
        <x:v>A0777</x:v>
      </x:c>
      <x:c r="C783" s="21" t="str">
        <x:v>paper gate</x:v>
      </x:c>
      <x:c r="D783" s="21" t="str">
        <x:v>gate 128 binary observation</x:v>
      </x:c>
      <x:c r="E783" s="21" t="n">
        <x:f>IF(OR('Paper Gates'!G128=0,'Paper Gates'!G128=1),1,0)</x:f>
        <x:v>1</x:v>
      </x:c>
      <x:c r="F783" s="21" t="n">
        <x:v>1</x:v>
      </x:c>
      <x:c r="G783" s="23" t="str">
        <x:f>IF(E783=F783,"PASS","FAIL")</x:f>
        <x:v>PASS</x:v>
      </x:c>
    </x:row>
    <x:row r="784">
      <x:c r="B784" s="21" t="str">
        <x:v>A0778</x:v>
      </x:c>
      <x:c r="C784" s="21" t="str">
        <x:v>paper gate</x:v>
      </x:c>
      <x:c r="D784" s="21" t="str">
        <x:v>gate 128 fixed requirement</x:v>
      </x:c>
      <x:c r="E784" s="21" t="n">
        <x:f>IF('Paper Gates'!H128=1,1,0)</x:f>
        <x:v>1</x:v>
      </x:c>
      <x:c r="F784" s="21" t="n">
        <x:v>1</x:v>
      </x:c>
      <x:c r="G784" s="23" t="str">
        <x:f>IF(E784=F784,"PASS","FAIL")</x:f>
        <x:v>PASS</x:v>
      </x:c>
    </x:row>
    <x:row r="785">
      <x:c r="B785" s="21" t="str">
        <x:v>A0779</x:v>
      </x:c>
      <x:c r="C785" s="21" t="str">
        <x:v>paper gate</x:v>
      </x:c>
      <x:c r="D785" s="21" t="str">
        <x:v>gate 128 result reconciles</x:v>
      </x:c>
      <x:c r="E785" s="21" t="n">
        <x:f>IF('Paper Gates'!I128=IF('Paper Gates'!G128='Paper Gates'!H128,"PASS","FAIL"),1,0)</x:f>
        <x:v>1</x:v>
      </x:c>
      <x:c r="F785" s="21" t="n">
        <x:v>1</x:v>
      </x:c>
      <x:c r="G785" s="23" t="str">
        <x:f>IF(E785=F785,"PASS","FAIL")</x:f>
        <x:v>PASS</x:v>
      </x:c>
    </x:row>
    <x:row r="786">
      <x:c r="B786" s="21" t="str">
        <x:v>A0780</x:v>
      </x:c>
      <x:c r="C786" s="21" t="str">
        <x:v>paper gate</x:v>
      </x:c>
      <x:c r="D786" s="21" t="str">
        <x:v>gate 129 binary observation</x:v>
      </x:c>
      <x:c r="E786" s="21" t="n">
        <x:f>IF(OR('Paper Gates'!G129=0,'Paper Gates'!G129=1),1,0)</x:f>
        <x:v>1</x:v>
      </x:c>
      <x:c r="F786" s="21" t="n">
        <x:v>1</x:v>
      </x:c>
      <x:c r="G786" s="23" t="str">
        <x:f>IF(E786=F786,"PASS","FAIL")</x:f>
        <x:v>PASS</x:v>
      </x:c>
    </x:row>
    <x:row r="787">
      <x:c r="B787" s="21" t="str">
        <x:v>A0781</x:v>
      </x:c>
      <x:c r="C787" s="21" t="str">
        <x:v>paper gate</x:v>
      </x:c>
      <x:c r="D787" s="21" t="str">
        <x:v>gate 129 fixed requirement</x:v>
      </x:c>
      <x:c r="E787" s="21" t="n">
        <x:f>IF('Paper Gates'!H129=1,1,0)</x:f>
        <x:v>1</x:v>
      </x:c>
      <x:c r="F787" s="21" t="n">
        <x:v>1</x:v>
      </x:c>
      <x:c r="G787" s="23" t="str">
        <x:f>IF(E787=F787,"PASS","FAIL")</x:f>
        <x:v>PASS</x:v>
      </x:c>
    </x:row>
    <x:row r="788">
      <x:c r="B788" s="21" t="str">
        <x:v>A0782</x:v>
      </x:c>
      <x:c r="C788" s="21" t="str">
        <x:v>paper gate</x:v>
      </x:c>
      <x:c r="D788" s="21" t="str">
        <x:v>gate 129 result reconciles</x:v>
      </x:c>
      <x:c r="E788" s="21" t="n">
        <x:f>IF('Paper Gates'!I129=IF('Paper Gates'!G129='Paper Gates'!H129,"PASS","FAIL"),1,0)</x:f>
        <x:v>1</x:v>
      </x:c>
      <x:c r="F788" s="21" t="n">
        <x:v>1</x:v>
      </x:c>
      <x:c r="G788" s="23" t="str">
        <x:f>IF(E788=F788,"PASS","FAIL")</x:f>
        <x:v>PASS</x:v>
      </x:c>
    </x:row>
    <x:row r="789">
      <x:c r="B789" s="21" t="str">
        <x:v>A0783</x:v>
      </x:c>
      <x:c r="C789" s="21" t="str">
        <x:v>paper gate</x:v>
      </x:c>
      <x:c r="D789" s="21" t="str">
        <x:v>gate 130 binary observation</x:v>
      </x:c>
      <x:c r="E789" s="21" t="n">
        <x:f>IF(OR('Paper Gates'!G130=0,'Paper Gates'!G130=1),1,0)</x:f>
        <x:v>1</x:v>
      </x:c>
      <x:c r="F789" s="21" t="n">
        <x:v>1</x:v>
      </x:c>
      <x:c r="G789" s="23" t="str">
        <x:f>IF(E789=F789,"PASS","FAIL")</x:f>
        <x:v>PASS</x:v>
      </x:c>
    </x:row>
    <x:row r="790">
      <x:c r="B790" s="21" t="str">
        <x:v>A0784</x:v>
      </x:c>
      <x:c r="C790" s="21" t="str">
        <x:v>paper gate</x:v>
      </x:c>
      <x:c r="D790" s="21" t="str">
        <x:v>gate 130 fixed requirement</x:v>
      </x:c>
      <x:c r="E790" s="21" t="n">
        <x:f>IF('Paper Gates'!H130=1,1,0)</x:f>
        <x:v>1</x:v>
      </x:c>
      <x:c r="F790" s="21" t="n">
        <x:v>1</x:v>
      </x:c>
      <x:c r="G790" s="23" t="str">
        <x:f>IF(E790=F790,"PASS","FAIL")</x:f>
        <x:v>PASS</x:v>
      </x:c>
    </x:row>
    <x:row r="791">
      <x:c r="B791" s="21" t="str">
        <x:v>A0785</x:v>
      </x:c>
      <x:c r="C791" s="21" t="str">
        <x:v>paper gate</x:v>
      </x:c>
      <x:c r="D791" s="21" t="str">
        <x:v>gate 130 result reconciles</x:v>
      </x:c>
      <x:c r="E791" s="21" t="n">
        <x:f>IF('Paper Gates'!I130=IF('Paper Gates'!G130='Paper Gates'!H130,"PASS","FAIL"),1,0)</x:f>
        <x:v>1</x:v>
      </x:c>
      <x:c r="F791" s="21" t="n">
        <x:v>1</x:v>
      </x:c>
      <x:c r="G791" s="23" t="str">
        <x:f>IF(E791=F791,"PASS","FAIL")</x:f>
        <x:v>PASS</x:v>
      </x:c>
    </x:row>
    <x:row r="792">
      <x:c r="B792" s="21" t="str">
        <x:v>A0786</x:v>
      </x:c>
      <x:c r="C792" s="21" t="str">
        <x:v>paper gate</x:v>
      </x:c>
      <x:c r="D792" s="21" t="str">
        <x:v>gate 131 binary observation</x:v>
      </x:c>
      <x:c r="E792" s="21" t="n">
        <x:f>IF(OR('Paper Gates'!G131=0,'Paper Gates'!G131=1),1,0)</x:f>
        <x:v>1</x:v>
      </x:c>
      <x:c r="F792" s="21" t="n">
        <x:v>1</x:v>
      </x:c>
      <x:c r="G792" s="23" t="str">
        <x:f>IF(E792=F792,"PASS","FAIL")</x:f>
        <x:v>PASS</x:v>
      </x:c>
    </x:row>
    <x:row r="793">
      <x:c r="B793" s="21" t="str">
        <x:v>A0787</x:v>
      </x:c>
      <x:c r="C793" s="21" t="str">
        <x:v>paper gate</x:v>
      </x:c>
      <x:c r="D793" s="21" t="str">
        <x:v>gate 131 fixed requirement</x:v>
      </x:c>
      <x:c r="E793" s="21" t="n">
        <x:f>IF('Paper Gates'!H131=1,1,0)</x:f>
        <x:v>1</x:v>
      </x:c>
      <x:c r="F793" s="21" t="n">
        <x:v>1</x:v>
      </x:c>
      <x:c r="G793" s="23" t="str">
        <x:f>IF(E793=F793,"PASS","FAIL")</x:f>
        <x:v>PASS</x:v>
      </x:c>
    </x:row>
    <x:row r="794">
      <x:c r="B794" s="21" t="str">
        <x:v>A0788</x:v>
      </x:c>
      <x:c r="C794" s="21" t="str">
        <x:v>paper gate</x:v>
      </x:c>
      <x:c r="D794" s="21" t="str">
        <x:v>gate 131 result reconciles</x:v>
      </x:c>
      <x:c r="E794" s="21" t="n">
        <x:f>IF('Paper Gates'!I131=IF('Paper Gates'!G131='Paper Gates'!H131,"PASS","FAIL"),1,0)</x:f>
        <x:v>1</x:v>
      </x:c>
      <x:c r="F794" s="21" t="n">
        <x:v>1</x:v>
      </x:c>
      <x:c r="G794" s="23" t="str">
        <x:f>IF(E794=F794,"PASS","FAIL")</x:f>
        <x:v>PASS</x:v>
      </x:c>
    </x:row>
    <x:row r="795">
      <x:c r="B795" s="21" t="str">
        <x:v>A0789</x:v>
      </x:c>
      <x:c r="C795" s="21" t="str">
        <x:v>paper gate</x:v>
      </x:c>
      <x:c r="D795" s="21" t="str">
        <x:v>gate 132 binary observation</x:v>
      </x:c>
      <x:c r="E795" s="21" t="n">
        <x:f>IF(OR('Paper Gates'!G132=0,'Paper Gates'!G132=1),1,0)</x:f>
        <x:v>1</x:v>
      </x:c>
      <x:c r="F795" s="21" t="n">
        <x:v>1</x:v>
      </x:c>
      <x:c r="G795" s="23" t="str">
        <x:f>IF(E795=F795,"PASS","FAIL")</x:f>
        <x:v>PASS</x:v>
      </x:c>
    </x:row>
    <x:row r="796">
      <x:c r="B796" s="21" t="str">
        <x:v>A0790</x:v>
      </x:c>
      <x:c r="C796" s="21" t="str">
        <x:v>paper gate</x:v>
      </x:c>
      <x:c r="D796" s="21" t="str">
        <x:v>gate 132 fixed requirement</x:v>
      </x:c>
      <x:c r="E796" s="21" t="n">
        <x:f>IF('Paper Gates'!H132=1,1,0)</x:f>
        <x:v>1</x:v>
      </x:c>
      <x:c r="F796" s="21" t="n">
        <x:v>1</x:v>
      </x:c>
      <x:c r="G796" s="23" t="str">
        <x:f>IF(E796=F796,"PASS","FAIL")</x:f>
        <x:v>PASS</x:v>
      </x:c>
    </x:row>
    <x:row r="797">
      <x:c r="B797" s="21" t="str">
        <x:v>A0791</x:v>
      </x:c>
      <x:c r="C797" s="21" t="str">
        <x:v>paper gate</x:v>
      </x:c>
      <x:c r="D797" s="21" t="str">
        <x:v>gate 132 result reconciles</x:v>
      </x:c>
      <x:c r="E797" s="21" t="n">
        <x:f>IF('Paper Gates'!I132=IF('Paper Gates'!G132='Paper Gates'!H132,"PASS","FAIL"),1,0)</x:f>
        <x:v>1</x:v>
      </x:c>
      <x:c r="F797" s="21" t="n">
        <x:v>1</x:v>
      </x:c>
      <x:c r="G797" s="23" t="str">
        <x:f>IF(E797=F797,"PASS","FAIL")</x:f>
        <x:v>PASS</x:v>
      </x:c>
    </x:row>
    <x:row r="798">
      <x:c r="B798" s="21" t="str">
        <x:v>A0792</x:v>
      </x:c>
      <x:c r="C798" s="21" t="str">
        <x:v>paper gate</x:v>
      </x:c>
      <x:c r="D798" s="21" t="str">
        <x:v>gate 133 binary observation</x:v>
      </x:c>
      <x:c r="E798" s="21" t="n">
        <x:f>IF(OR('Paper Gates'!G133=0,'Paper Gates'!G133=1),1,0)</x:f>
        <x:v>1</x:v>
      </x:c>
      <x:c r="F798" s="21" t="n">
        <x:v>1</x:v>
      </x:c>
      <x:c r="G798" s="23" t="str">
        <x:f>IF(E798=F798,"PASS","FAIL")</x:f>
        <x:v>PASS</x:v>
      </x:c>
    </x:row>
    <x:row r="799">
      <x:c r="B799" s="21" t="str">
        <x:v>A0793</x:v>
      </x:c>
      <x:c r="C799" s="21" t="str">
        <x:v>paper gate</x:v>
      </x:c>
      <x:c r="D799" s="21" t="str">
        <x:v>gate 133 fixed requirement</x:v>
      </x:c>
      <x:c r="E799" s="21" t="n">
        <x:f>IF('Paper Gates'!H133=1,1,0)</x:f>
        <x:v>1</x:v>
      </x:c>
      <x:c r="F799" s="21" t="n">
        <x:v>1</x:v>
      </x:c>
      <x:c r="G799" s="23" t="str">
        <x:f>IF(E799=F799,"PASS","FAIL")</x:f>
        <x:v>PASS</x:v>
      </x:c>
    </x:row>
    <x:row r="800">
      <x:c r="B800" s="21" t="str">
        <x:v>A0794</x:v>
      </x:c>
      <x:c r="C800" s="21" t="str">
        <x:v>paper gate</x:v>
      </x:c>
      <x:c r="D800" s="21" t="str">
        <x:v>gate 133 result reconciles</x:v>
      </x:c>
      <x:c r="E800" s="21" t="n">
        <x:f>IF('Paper Gates'!I133=IF('Paper Gates'!G133='Paper Gates'!H133,"PASS","FAIL"),1,0)</x:f>
        <x:v>1</x:v>
      </x:c>
      <x:c r="F800" s="21" t="n">
        <x:v>1</x:v>
      </x:c>
      <x:c r="G800" s="23" t="str">
        <x:f>IF(E800=F800,"PASS","FAIL")</x:f>
        <x:v>PASS</x:v>
      </x:c>
    </x:row>
    <x:row r="801">
      <x:c r="B801" s="21" t="str">
        <x:v>A0795</x:v>
      </x:c>
      <x:c r="C801" s="21" t="str">
        <x:v>paper gate</x:v>
      </x:c>
      <x:c r="D801" s="21" t="str">
        <x:v>gate 134 binary observation</x:v>
      </x:c>
      <x:c r="E801" s="21" t="n">
        <x:f>IF(OR('Paper Gates'!G134=0,'Paper Gates'!G134=1),1,0)</x:f>
        <x:v>1</x:v>
      </x:c>
      <x:c r="F801" s="21" t="n">
        <x:v>1</x:v>
      </x:c>
      <x:c r="G801" s="23" t="str">
        <x:f>IF(E801=F801,"PASS","FAIL")</x:f>
        <x:v>PASS</x:v>
      </x:c>
    </x:row>
    <x:row r="802">
      <x:c r="B802" s="21" t="str">
        <x:v>A0796</x:v>
      </x:c>
      <x:c r="C802" s="21" t="str">
        <x:v>paper gate</x:v>
      </x:c>
      <x:c r="D802" s="21" t="str">
        <x:v>gate 134 fixed requirement</x:v>
      </x:c>
      <x:c r="E802" s="21" t="n">
        <x:f>IF('Paper Gates'!H134=1,1,0)</x:f>
        <x:v>1</x:v>
      </x:c>
      <x:c r="F802" s="21" t="n">
        <x:v>1</x:v>
      </x:c>
      <x:c r="G802" s="23" t="str">
        <x:f>IF(E802=F802,"PASS","FAIL")</x:f>
        <x:v>PASS</x:v>
      </x:c>
    </x:row>
    <x:row r="803">
      <x:c r="B803" s="21" t="str">
        <x:v>A0797</x:v>
      </x:c>
      <x:c r="C803" s="21" t="str">
        <x:v>paper gate</x:v>
      </x:c>
      <x:c r="D803" s="21" t="str">
        <x:v>gate 134 result reconciles</x:v>
      </x:c>
      <x:c r="E803" s="21" t="n">
        <x:f>IF('Paper Gates'!I134=IF('Paper Gates'!G134='Paper Gates'!H134,"PASS","FAIL"),1,0)</x:f>
        <x:v>1</x:v>
      </x:c>
      <x:c r="F803" s="21" t="n">
        <x:v>1</x:v>
      </x:c>
      <x:c r="G803" s="23" t="str">
        <x:f>IF(E803=F803,"PASS","FAIL")</x:f>
        <x:v>PASS</x:v>
      </x:c>
    </x:row>
    <x:row r="804">
      <x:c r="B804" s="21" t="str">
        <x:v>A0798</x:v>
      </x:c>
      <x:c r="C804" s="21" t="str">
        <x:v>paper gate</x:v>
      </x:c>
      <x:c r="D804" s="21" t="str">
        <x:v>gate 135 binary observation</x:v>
      </x:c>
      <x:c r="E804" s="21" t="n">
        <x:f>IF(OR('Paper Gates'!G135=0,'Paper Gates'!G135=1),1,0)</x:f>
        <x:v>1</x:v>
      </x:c>
      <x:c r="F804" s="21" t="n">
        <x:v>1</x:v>
      </x:c>
      <x:c r="G804" s="23" t="str">
        <x:f>IF(E804=F804,"PASS","FAIL")</x:f>
        <x:v>PASS</x:v>
      </x:c>
    </x:row>
    <x:row r="805">
      <x:c r="B805" s="21" t="str">
        <x:v>A0799</x:v>
      </x:c>
      <x:c r="C805" s="21" t="str">
        <x:v>paper gate</x:v>
      </x:c>
      <x:c r="D805" s="21" t="str">
        <x:v>gate 135 fixed requirement</x:v>
      </x:c>
      <x:c r="E805" s="21" t="n">
        <x:f>IF('Paper Gates'!H135=1,1,0)</x:f>
        <x:v>1</x:v>
      </x:c>
      <x:c r="F805" s="21" t="n">
        <x:v>1</x:v>
      </x:c>
      <x:c r="G805" s="23" t="str">
        <x:f>IF(E805=F805,"PASS","FAIL")</x:f>
        <x:v>PASS</x:v>
      </x:c>
    </x:row>
    <x:row r="806">
      <x:c r="B806" s="21" t="str">
        <x:v>A0800</x:v>
      </x:c>
      <x:c r="C806" s="21" t="str">
        <x:v>paper gate</x:v>
      </x:c>
      <x:c r="D806" s="21" t="str">
        <x:v>gate 135 result reconciles</x:v>
      </x:c>
      <x:c r="E806" s="21" t="n">
        <x:f>IF('Paper Gates'!I135=IF('Paper Gates'!G135='Paper Gates'!H135,"PASS","FAIL"),1,0)</x:f>
        <x:v>1</x:v>
      </x:c>
      <x:c r="F806" s="21" t="n">
        <x:v>1</x:v>
      </x:c>
      <x:c r="G806" s="23" t="str">
        <x:f>IF(E806=F806,"PASS","FAIL")</x:f>
        <x:v>PASS</x:v>
      </x:c>
    </x:row>
    <x:row r="807">
      <x:c r="B807" s="21" t="str">
        <x:v>A0801</x:v>
      </x:c>
      <x:c r="C807" s="21" t="str">
        <x:v>paper gate</x:v>
      </x:c>
      <x:c r="D807" s="21" t="str">
        <x:v>gate 136 binary observation</x:v>
      </x:c>
      <x:c r="E807" s="21" t="n">
        <x:f>IF(OR('Paper Gates'!G136=0,'Paper Gates'!G136=1),1,0)</x:f>
        <x:v>1</x:v>
      </x:c>
      <x:c r="F807" s="21" t="n">
        <x:v>1</x:v>
      </x:c>
      <x:c r="G807" s="23" t="str">
        <x:f>IF(E807=F807,"PASS","FAIL")</x:f>
        <x:v>PASS</x:v>
      </x:c>
    </x:row>
    <x:row r="808">
      <x:c r="B808" s="21" t="str">
        <x:v>A0802</x:v>
      </x:c>
      <x:c r="C808" s="21" t="str">
        <x:v>paper gate</x:v>
      </x:c>
      <x:c r="D808" s="21" t="str">
        <x:v>gate 136 fixed requirement</x:v>
      </x:c>
      <x:c r="E808" s="21" t="n">
        <x:f>IF('Paper Gates'!H136=1,1,0)</x:f>
        <x:v>1</x:v>
      </x:c>
      <x:c r="F808" s="21" t="n">
        <x:v>1</x:v>
      </x:c>
      <x:c r="G808" s="23" t="str">
        <x:f>IF(E808=F808,"PASS","FAIL")</x:f>
        <x:v>PASS</x:v>
      </x:c>
    </x:row>
    <x:row r="809">
      <x:c r="B809" s="21" t="str">
        <x:v>A0803</x:v>
      </x:c>
      <x:c r="C809" s="21" t="str">
        <x:v>paper gate</x:v>
      </x:c>
      <x:c r="D809" s="21" t="str">
        <x:v>gate 136 result reconciles</x:v>
      </x:c>
      <x:c r="E809" s="21" t="n">
        <x:f>IF('Paper Gates'!I136=IF('Paper Gates'!G136='Paper Gates'!H136,"PASS","FAIL"),1,0)</x:f>
        <x:v>1</x:v>
      </x:c>
      <x:c r="F809" s="21" t="n">
        <x:v>1</x:v>
      </x:c>
      <x:c r="G809" s="23" t="str">
        <x:f>IF(E809=F809,"PASS","FAIL")</x:f>
        <x:v>PASS</x:v>
      </x:c>
    </x:row>
    <x:row r="810">
      <x:c r="B810" s="21" t="str">
        <x:v>A0804</x:v>
      </x:c>
      <x:c r="C810" s="21" t="str">
        <x:v>paper gate</x:v>
      </x:c>
      <x:c r="D810" s="21" t="str">
        <x:v>gate 137 binary observation</x:v>
      </x:c>
      <x:c r="E810" s="21" t="n">
        <x:f>IF(OR('Paper Gates'!G137=0,'Paper Gates'!G137=1),1,0)</x:f>
        <x:v>1</x:v>
      </x:c>
      <x:c r="F810" s="21" t="n">
        <x:v>1</x:v>
      </x:c>
      <x:c r="G810" s="23" t="str">
        <x:f>IF(E810=F810,"PASS","FAIL")</x:f>
        <x:v>PASS</x:v>
      </x:c>
    </x:row>
    <x:row r="811">
      <x:c r="B811" s="21" t="str">
        <x:v>A0805</x:v>
      </x:c>
      <x:c r="C811" s="21" t="str">
        <x:v>paper gate</x:v>
      </x:c>
      <x:c r="D811" s="21" t="str">
        <x:v>gate 137 fixed requirement</x:v>
      </x:c>
      <x:c r="E811" s="21" t="n">
        <x:f>IF('Paper Gates'!H137=1,1,0)</x:f>
        <x:v>1</x:v>
      </x:c>
      <x:c r="F811" s="21" t="n">
        <x:v>1</x:v>
      </x:c>
      <x:c r="G811" s="23" t="str">
        <x:f>IF(E811=F811,"PASS","FAIL")</x:f>
        <x:v>PASS</x:v>
      </x:c>
    </x:row>
    <x:row r="812">
      <x:c r="B812" s="21" t="str">
        <x:v>A0806</x:v>
      </x:c>
      <x:c r="C812" s="21" t="str">
        <x:v>paper gate</x:v>
      </x:c>
      <x:c r="D812" s="21" t="str">
        <x:v>gate 137 result reconciles</x:v>
      </x:c>
      <x:c r="E812" s="21" t="n">
        <x:f>IF('Paper Gates'!I137=IF('Paper Gates'!G137='Paper Gates'!H137,"PASS","FAIL"),1,0)</x:f>
        <x:v>1</x:v>
      </x:c>
      <x:c r="F812" s="21" t="n">
        <x:v>1</x:v>
      </x:c>
      <x:c r="G812" s="23" t="str">
        <x:f>IF(E812=F812,"PASS","FAIL")</x:f>
        <x:v>PASS</x:v>
      </x:c>
    </x:row>
    <x:row r="813">
      <x:c r="B813" s="21" t="str">
        <x:v>A0807</x:v>
      </x:c>
      <x:c r="C813" s="21" t="str">
        <x:v>paper gate</x:v>
      </x:c>
      <x:c r="D813" s="21" t="str">
        <x:v>gate 138 binary observation</x:v>
      </x:c>
      <x:c r="E813" s="21" t="n">
        <x:f>IF(OR('Paper Gates'!G138=0,'Paper Gates'!G138=1),1,0)</x:f>
        <x:v>1</x:v>
      </x:c>
      <x:c r="F813" s="21" t="n">
        <x:v>1</x:v>
      </x:c>
      <x:c r="G813" s="23" t="str">
        <x:f>IF(E813=F813,"PASS","FAIL")</x:f>
        <x:v>PASS</x:v>
      </x:c>
    </x:row>
    <x:row r="814">
      <x:c r="B814" s="21" t="str">
        <x:v>A0808</x:v>
      </x:c>
      <x:c r="C814" s="21" t="str">
        <x:v>paper gate</x:v>
      </x:c>
      <x:c r="D814" s="21" t="str">
        <x:v>gate 138 fixed requirement</x:v>
      </x:c>
      <x:c r="E814" s="21" t="n">
        <x:f>IF('Paper Gates'!H138=1,1,0)</x:f>
        <x:v>1</x:v>
      </x:c>
      <x:c r="F814" s="21" t="n">
        <x:v>1</x:v>
      </x:c>
      <x:c r="G814" s="23" t="str">
        <x:f>IF(E814=F814,"PASS","FAIL")</x:f>
        <x:v>PASS</x:v>
      </x:c>
    </x:row>
    <x:row r="815">
      <x:c r="B815" s="21" t="str">
        <x:v>A0809</x:v>
      </x:c>
      <x:c r="C815" s="21" t="str">
        <x:v>paper gate</x:v>
      </x:c>
      <x:c r="D815" s="21" t="str">
        <x:v>gate 138 result reconciles</x:v>
      </x:c>
      <x:c r="E815" s="21" t="n">
        <x:f>IF('Paper Gates'!I138=IF('Paper Gates'!G138='Paper Gates'!H138,"PASS","FAIL"),1,0)</x:f>
        <x:v>1</x:v>
      </x:c>
      <x:c r="F815" s="21" t="n">
        <x:v>1</x:v>
      </x:c>
      <x:c r="G815" s="23" t="str">
        <x:f>IF(E815=F815,"PASS","FAIL")</x:f>
        <x:v>PASS</x:v>
      </x:c>
    </x:row>
    <x:row r="816">
      <x:c r="B816" s="21" t="str">
        <x:v>A0810</x:v>
      </x:c>
      <x:c r="C816" s="21" t="str">
        <x:v>paper gate</x:v>
      </x:c>
      <x:c r="D816" s="21" t="str">
        <x:v>gate 139 binary observation</x:v>
      </x:c>
      <x:c r="E816" s="21" t="n">
        <x:f>IF(OR('Paper Gates'!G139=0,'Paper Gates'!G139=1),1,0)</x:f>
        <x:v>1</x:v>
      </x:c>
      <x:c r="F816" s="21" t="n">
        <x:v>1</x:v>
      </x:c>
      <x:c r="G816" s="23" t="str">
        <x:f>IF(E816=F816,"PASS","FAIL")</x:f>
        <x:v>PASS</x:v>
      </x:c>
    </x:row>
    <x:row r="817">
      <x:c r="B817" s="21" t="str">
        <x:v>A0811</x:v>
      </x:c>
      <x:c r="C817" s="21" t="str">
        <x:v>paper gate</x:v>
      </x:c>
      <x:c r="D817" s="21" t="str">
        <x:v>gate 139 fixed requirement</x:v>
      </x:c>
      <x:c r="E817" s="21" t="n">
        <x:f>IF('Paper Gates'!H139=1,1,0)</x:f>
        <x:v>1</x:v>
      </x:c>
      <x:c r="F817" s="21" t="n">
        <x:v>1</x:v>
      </x:c>
      <x:c r="G817" s="23" t="str">
        <x:f>IF(E817=F817,"PASS","FAIL")</x:f>
        <x:v>PASS</x:v>
      </x:c>
    </x:row>
    <x:row r="818">
      <x:c r="B818" s="21" t="str">
        <x:v>A0812</x:v>
      </x:c>
      <x:c r="C818" s="21" t="str">
        <x:v>paper gate</x:v>
      </x:c>
      <x:c r="D818" s="21" t="str">
        <x:v>gate 139 result reconciles</x:v>
      </x:c>
      <x:c r="E818" s="21" t="n">
        <x:f>IF('Paper Gates'!I139=IF('Paper Gates'!G139='Paper Gates'!H139,"PASS","FAIL"),1,0)</x:f>
        <x:v>1</x:v>
      </x:c>
      <x:c r="F818" s="21" t="n">
        <x:v>1</x:v>
      </x:c>
      <x:c r="G818" s="23" t="str">
        <x:f>IF(E818=F818,"PASS","FAIL")</x:f>
        <x:v>PASS</x:v>
      </x:c>
    </x:row>
    <x:row r="819">
      <x:c r="B819" s="21" t="str">
        <x:v>A0813</x:v>
      </x:c>
      <x:c r="C819" s="21" t="str">
        <x:v>paper gate</x:v>
      </x:c>
      <x:c r="D819" s="21" t="str">
        <x:v>gate 140 binary observation</x:v>
      </x:c>
      <x:c r="E819" s="21" t="n">
        <x:f>IF(OR('Paper Gates'!G140=0,'Paper Gates'!G140=1),1,0)</x:f>
        <x:v>1</x:v>
      </x:c>
      <x:c r="F819" s="21" t="n">
        <x:v>1</x:v>
      </x:c>
      <x:c r="G819" s="23" t="str">
        <x:f>IF(E819=F819,"PASS","FAIL")</x:f>
        <x:v>PASS</x:v>
      </x:c>
    </x:row>
    <x:row r="820">
      <x:c r="B820" s="21" t="str">
        <x:v>A0814</x:v>
      </x:c>
      <x:c r="C820" s="21" t="str">
        <x:v>paper gate</x:v>
      </x:c>
      <x:c r="D820" s="21" t="str">
        <x:v>gate 140 fixed requirement</x:v>
      </x:c>
      <x:c r="E820" s="21" t="n">
        <x:f>IF('Paper Gates'!H140=1,1,0)</x:f>
        <x:v>1</x:v>
      </x:c>
      <x:c r="F820" s="21" t="n">
        <x:v>1</x:v>
      </x:c>
      <x:c r="G820" s="23" t="str">
        <x:f>IF(E820=F820,"PASS","FAIL")</x:f>
        <x:v>PASS</x:v>
      </x:c>
    </x:row>
    <x:row r="821">
      <x:c r="B821" s="21" t="str">
        <x:v>A0815</x:v>
      </x:c>
      <x:c r="C821" s="21" t="str">
        <x:v>paper gate</x:v>
      </x:c>
      <x:c r="D821" s="21" t="str">
        <x:v>gate 140 result reconciles</x:v>
      </x:c>
      <x:c r="E821" s="21" t="n">
        <x:f>IF('Paper Gates'!I140=IF('Paper Gates'!G140='Paper Gates'!H140,"PASS","FAIL"),1,0)</x:f>
        <x:v>1</x:v>
      </x:c>
      <x:c r="F821" s="21" t="n">
        <x:v>1</x:v>
      </x:c>
      <x:c r="G821" s="23" t="str">
        <x:f>IF(E821=F821,"PASS","FAIL")</x:f>
        <x:v>PASS</x:v>
      </x:c>
    </x:row>
    <x:row r="822">
      <x:c r="B822" s="21" t="str">
        <x:v>A0816</x:v>
      </x:c>
      <x:c r="C822" s="21" t="str">
        <x:v>paper gate</x:v>
      </x:c>
      <x:c r="D822" s="21" t="str">
        <x:v>gate 141 binary observation</x:v>
      </x:c>
      <x:c r="E822" s="21" t="n">
        <x:f>IF(OR('Paper Gates'!G141=0,'Paper Gates'!G141=1),1,0)</x:f>
        <x:v>1</x:v>
      </x:c>
      <x:c r="F822" s="21" t="n">
        <x:v>1</x:v>
      </x:c>
      <x:c r="G822" s="23" t="str">
        <x:f>IF(E822=F822,"PASS","FAIL")</x:f>
        <x:v>PASS</x:v>
      </x:c>
    </x:row>
    <x:row r="823">
      <x:c r="B823" s="21" t="str">
        <x:v>A0817</x:v>
      </x:c>
      <x:c r="C823" s="21" t="str">
        <x:v>paper gate</x:v>
      </x:c>
      <x:c r="D823" s="21" t="str">
        <x:v>gate 141 fixed requirement</x:v>
      </x:c>
      <x:c r="E823" s="21" t="n">
        <x:f>IF('Paper Gates'!H141=1,1,0)</x:f>
        <x:v>1</x:v>
      </x:c>
      <x:c r="F823" s="21" t="n">
        <x:v>1</x:v>
      </x:c>
      <x:c r="G823" s="23" t="str">
        <x:f>IF(E823=F823,"PASS","FAIL")</x:f>
        <x:v>PASS</x:v>
      </x:c>
    </x:row>
    <x:row r="824">
      <x:c r="B824" s="21" t="str">
        <x:v>A0818</x:v>
      </x:c>
      <x:c r="C824" s="21" t="str">
        <x:v>paper gate</x:v>
      </x:c>
      <x:c r="D824" s="21" t="str">
        <x:v>gate 141 result reconciles</x:v>
      </x:c>
      <x:c r="E824" s="21" t="n">
        <x:f>IF('Paper Gates'!I141=IF('Paper Gates'!G141='Paper Gates'!H141,"PASS","FAIL"),1,0)</x:f>
        <x:v>1</x:v>
      </x:c>
      <x:c r="F824" s="21" t="n">
        <x:v>1</x:v>
      </x:c>
      <x:c r="G824" s="23" t="str">
        <x:f>IF(E824=F824,"PASS","FAIL")</x:f>
        <x:v>PASS</x:v>
      </x:c>
    </x:row>
    <x:row r="825">
      <x:c r="B825" s="21" t="str">
        <x:v>A0819</x:v>
      </x:c>
      <x:c r="C825" s="21" t="str">
        <x:v>paper gate</x:v>
      </x:c>
      <x:c r="D825" s="21" t="str">
        <x:v>gate 142 binary observation</x:v>
      </x:c>
      <x:c r="E825" s="21" t="n">
        <x:f>IF(OR('Paper Gates'!G142=0,'Paper Gates'!G142=1),1,0)</x:f>
        <x:v>1</x:v>
      </x:c>
      <x:c r="F825" s="21" t="n">
        <x:v>1</x:v>
      </x:c>
      <x:c r="G825" s="23" t="str">
        <x:f>IF(E825=F825,"PASS","FAIL")</x:f>
        <x:v>PASS</x:v>
      </x:c>
    </x:row>
    <x:row r="826">
      <x:c r="B826" s="21" t="str">
        <x:v>A0820</x:v>
      </x:c>
      <x:c r="C826" s="21" t="str">
        <x:v>paper gate</x:v>
      </x:c>
      <x:c r="D826" s="21" t="str">
        <x:v>gate 142 fixed requirement</x:v>
      </x:c>
      <x:c r="E826" s="21" t="n">
        <x:f>IF('Paper Gates'!H142=1,1,0)</x:f>
        <x:v>1</x:v>
      </x:c>
      <x:c r="F826" s="21" t="n">
        <x:v>1</x:v>
      </x:c>
      <x:c r="G826" s="23" t="str">
        <x:f>IF(E826=F826,"PASS","FAIL")</x:f>
        <x:v>PASS</x:v>
      </x:c>
    </x:row>
    <x:row r="827">
      <x:c r="B827" s="21" t="str">
        <x:v>A0821</x:v>
      </x:c>
      <x:c r="C827" s="21" t="str">
        <x:v>paper gate</x:v>
      </x:c>
      <x:c r="D827" s="21" t="str">
        <x:v>gate 142 result reconciles</x:v>
      </x:c>
      <x:c r="E827" s="21" t="n">
        <x:f>IF('Paper Gates'!I142=IF('Paper Gates'!G142='Paper Gates'!H142,"PASS","FAIL"),1,0)</x:f>
        <x:v>1</x:v>
      </x:c>
      <x:c r="F827" s="21" t="n">
        <x:v>1</x:v>
      </x:c>
      <x:c r="G827" s="23" t="str">
        <x:f>IF(E827=F827,"PASS","FAIL")</x:f>
        <x:v>PASS</x:v>
      </x:c>
    </x:row>
    <x:row r="828">
      <x:c r="B828" s="21" t="str">
        <x:v>A0822</x:v>
      </x:c>
      <x:c r="C828" s="21" t="str">
        <x:v>paper gate</x:v>
      </x:c>
      <x:c r="D828" s="21" t="str">
        <x:v>gate 143 binary observation</x:v>
      </x:c>
      <x:c r="E828" s="21" t="n">
        <x:f>IF(OR('Paper Gates'!G143=0,'Paper Gates'!G143=1),1,0)</x:f>
        <x:v>1</x:v>
      </x:c>
      <x:c r="F828" s="21" t="n">
        <x:v>1</x:v>
      </x:c>
      <x:c r="G828" s="23" t="str">
        <x:f>IF(E828=F828,"PASS","FAIL")</x:f>
        <x:v>PASS</x:v>
      </x:c>
    </x:row>
    <x:row r="829">
      <x:c r="B829" s="21" t="str">
        <x:v>A0823</x:v>
      </x:c>
      <x:c r="C829" s="21" t="str">
        <x:v>paper gate</x:v>
      </x:c>
      <x:c r="D829" s="21" t="str">
        <x:v>gate 143 fixed requirement</x:v>
      </x:c>
      <x:c r="E829" s="21" t="n">
        <x:f>IF('Paper Gates'!H143=1,1,0)</x:f>
        <x:v>1</x:v>
      </x:c>
      <x:c r="F829" s="21" t="n">
        <x:v>1</x:v>
      </x:c>
      <x:c r="G829" s="23" t="str">
        <x:f>IF(E829=F829,"PASS","FAIL")</x:f>
        <x:v>PASS</x:v>
      </x:c>
    </x:row>
    <x:row r="830">
      <x:c r="B830" s="21" t="str">
        <x:v>A0824</x:v>
      </x:c>
      <x:c r="C830" s="21" t="str">
        <x:v>paper gate</x:v>
      </x:c>
      <x:c r="D830" s="21" t="str">
        <x:v>gate 143 result reconciles</x:v>
      </x:c>
      <x:c r="E830" s="21" t="n">
        <x:f>IF('Paper Gates'!I143=IF('Paper Gates'!G143='Paper Gates'!H143,"PASS","FAIL"),1,0)</x:f>
        <x:v>1</x:v>
      </x:c>
      <x:c r="F830" s="21" t="n">
        <x:v>1</x:v>
      </x:c>
      <x:c r="G830" s="23" t="str">
        <x:f>IF(E830=F830,"PASS","FAIL")</x:f>
        <x:v>PASS</x:v>
      </x:c>
    </x:row>
    <x:row r="831">
      <x:c r="B831" s="21" t="str">
        <x:v>A0825</x:v>
      </x:c>
      <x:c r="C831" s="21" t="str">
        <x:v>paper gate</x:v>
      </x:c>
      <x:c r="D831" s="21" t="str">
        <x:v>gate 144 binary observation</x:v>
      </x:c>
      <x:c r="E831" s="21" t="n">
        <x:f>IF(OR('Paper Gates'!G144=0,'Paper Gates'!G144=1),1,0)</x:f>
        <x:v>1</x:v>
      </x:c>
      <x:c r="F831" s="21" t="n">
        <x:v>1</x:v>
      </x:c>
      <x:c r="G831" s="23" t="str">
        <x:f>IF(E831=F831,"PASS","FAIL")</x:f>
        <x:v>PASS</x:v>
      </x:c>
    </x:row>
    <x:row r="832">
      <x:c r="B832" s="21" t="str">
        <x:v>A0826</x:v>
      </x:c>
      <x:c r="C832" s="21" t="str">
        <x:v>paper gate</x:v>
      </x:c>
      <x:c r="D832" s="21" t="str">
        <x:v>gate 144 fixed requirement</x:v>
      </x:c>
      <x:c r="E832" s="21" t="n">
        <x:f>IF('Paper Gates'!H144=1,1,0)</x:f>
        <x:v>1</x:v>
      </x:c>
      <x:c r="F832" s="21" t="n">
        <x:v>1</x:v>
      </x:c>
      <x:c r="G832" s="23" t="str">
        <x:f>IF(E832=F832,"PASS","FAIL")</x:f>
        <x:v>PASS</x:v>
      </x:c>
    </x:row>
    <x:row r="833">
      <x:c r="B833" s="21" t="str">
        <x:v>A0827</x:v>
      </x:c>
      <x:c r="C833" s="21" t="str">
        <x:v>paper gate</x:v>
      </x:c>
      <x:c r="D833" s="21" t="str">
        <x:v>gate 144 result reconciles</x:v>
      </x:c>
      <x:c r="E833" s="21" t="n">
        <x:f>IF('Paper Gates'!I144=IF('Paper Gates'!G144='Paper Gates'!H144,"PASS","FAIL"),1,0)</x:f>
        <x:v>1</x:v>
      </x:c>
      <x:c r="F833" s="21" t="n">
        <x:v>1</x:v>
      </x:c>
      <x:c r="G833" s="23" t="str">
        <x:f>IF(E833=F833,"PASS","FAIL")</x:f>
        <x:v>PASS</x:v>
      </x:c>
    </x:row>
    <x:row r="834">
      <x:c r="B834" s="21" t="str">
        <x:v>A0828</x:v>
      </x:c>
      <x:c r="C834" s="21" t="str">
        <x:v>paper gate</x:v>
      </x:c>
      <x:c r="D834" s="21" t="str">
        <x:v>gate 145 binary observation</x:v>
      </x:c>
      <x:c r="E834" s="21" t="n">
        <x:f>IF(OR('Paper Gates'!G145=0,'Paper Gates'!G145=1),1,0)</x:f>
        <x:v>1</x:v>
      </x:c>
      <x:c r="F834" s="21" t="n">
        <x:v>1</x:v>
      </x:c>
      <x:c r="G834" s="23" t="str">
        <x:f>IF(E834=F834,"PASS","FAIL")</x:f>
        <x:v>PASS</x:v>
      </x:c>
    </x:row>
    <x:row r="835">
      <x:c r="B835" s="21" t="str">
        <x:v>A0829</x:v>
      </x:c>
      <x:c r="C835" s="21" t="str">
        <x:v>paper gate</x:v>
      </x:c>
      <x:c r="D835" s="21" t="str">
        <x:v>gate 145 fixed requirement</x:v>
      </x:c>
      <x:c r="E835" s="21" t="n">
        <x:f>IF('Paper Gates'!H145=1,1,0)</x:f>
        <x:v>1</x:v>
      </x:c>
      <x:c r="F835" s="21" t="n">
        <x:v>1</x:v>
      </x:c>
      <x:c r="G835" s="23" t="str">
        <x:f>IF(E835=F835,"PASS","FAIL")</x:f>
        <x:v>PASS</x:v>
      </x:c>
    </x:row>
    <x:row r="836">
      <x:c r="B836" s="21" t="str">
        <x:v>A0830</x:v>
      </x:c>
      <x:c r="C836" s="21" t="str">
        <x:v>paper gate</x:v>
      </x:c>
      <x:c r="D836" s="21" t="str">
        <x:v>gate 145 result reconciles</x:v>
      </x:c>
      <x:c r="E836" s="21" t="n">
        <x:f>IF('Paper Gates'!I145=IF('Paper Gates'!G145='Paper Gates'!H145,"PASS","FAIL"),1,0)</x:f>
        <x:v>1</x:v>
      </x:c>
      <x:c r="F836" s="21" t="n">
        <x:v>1</x:v>
      </x:c>
      <x:c r="G836" s="23" t="str">
        <x:f>IF(E836=F836,"PASS","FAIL")</x:f>
        <x:v>PASS</x:v>
      </x:c>
    </x:row>
    <x:row r="837">
      <x:c r="B837" s="21" t="str">
        <x:v>A0831</x:v>
      </x:c>
      <x:c r="C837" s="21" t="str">
        <x:v>paper gate</x:v>
      </x:c>
      <x:c r="D837" s="21" t="str">
        <x:v>gate 146 binary observation</x:v>
      </x:c>
      <x:c r="E837" s="21" t="n">
        <x:f>IF(OR('Paper Gates'!G146=0,'Paper Gates'!G146=1),1,0)</x:f>
        <x:v>1</x:v>
      </x:c>
      <x:c r="F837" s="21" t="n">
        <x:v>1</x:v>
      </x:c>
      <x:c r="G837" s="23" t="str">
        <x:f>IF(E837=F837,"PASS","FAIL")</x:f>
        <x:v>PASS</x:v>
      </x:c>
    </x:row>
    <x:row r="838">
      <x:c r="B838" s="21" t="str">
        <x:v>A0832</x:v>
      </x:c>
      <x:c r="C838" s="21" t="str">
        <x:v>paper gate</x:v>
      </x:c>
      <x:c r="D838" s="21" t="str">
        <x:v>gate 146 fixed requirement</x:v>
      </x:c>
      <x:c r="E838" s="21" t="n">
        <x:f>IF('Paper Gates'!H146=1,1,0)</x:f>
        <x:v>1</x:v>
      </x:c>
      <x:c r="F838" s="21" t="n">
        <x:v>1</x:v>
      </x:c>
      <x:c r="G838" s="23" t="str">
        <x:f>IF(E838=F838,"PASS","FAIL")</x:f>
        <x:v>PASS</x:v>
      </x:c>
    </x:row>
    <x:row r="839">
      <x:c r="B839" s="21" t="str">
        <x:v>A0833</x:v>
      </x:c>
      <x:c r="C839" s="21" t="str">
        <x:v>paper gate</x:v>
      </x:c>
      <x:c r="D839" s="21" t="str">
        <x:v>gate 146 result reconciles</x:v>
      </x:c>
      <x:c r="E839" s="21" t="n">
        <x:f>IF('Paper Gates'!I146=IF('Paper Gates'!G146='Paper Gates'!H146,"PASS","FAIL"),1,0)</x:f>
        <x:v>1</x:v>
      </x:c>
      <x:c r="F839" s="21" t="n">
        <x:v>1</x:v>
      </x:c>
      <x:c r="G839" s="23" t="str">
        <x:f>IF(E839=F839,"PASS","FAIL")</x:f>
        <x:v>PASS</x:v>
      </x:c>
    </x:row>
    <x:row r="840">
      <x:c r="B840" s="21" t="str">
        <x:v>A0834</x:v>
      </x:c>
      <x:c r="C840" s="21" t="str">
        <x:v>paper gate</x:v>
      </x:c>
      <x:c r="D840" s="21" t="str">
        <x:v>gate 147 binary observation</x:v>
      </x:c>
      <x:c r="E840" s="21" t="n">
        <x:f>IF(OR('Paper Gates'!G147=0,'Paper Gates'!G147=1),1,0)</x:f>
        <x:v>1</x:v>
      </x:c>
      <x:c r="F840" s="21" t="n">
        <x:v>1</x:v>
      </x:c>
      <x:c r="G840" s="23" t="str">
        <x:f>IF(E840=F840,"PASS","FAIL")</x:f>
        <x:v>PASS</x:v>
      </x:c>
    </x:row>
    <x:row r="841">
      <x:c r="B841" s="21" t="str">
        <x:v>A0835</x:v>
      </x:c>
      <x:c r="C841" s="21" t="str">
        <x:v>paper gate</x:v>
      </x:c>
      <x:c r="D841" s="21" t="str">
        <x:v>gate 147 fixed requirement</x:v>
      </x:c>
      <x:c r="E841" s="21" t="n">
        <x:f>IF('Paper Gates'!H147=1,1,0)</x:f>
        <x:v>1</x:v>
      </x:c>
      <x:c r="F841" s="21" t="n">
        <x:v>1</x:v>
      </x:c>
      <x:c r="G841" s="23" t="str">
        <x:f>IF(E841=F841,"PASS","FAIL")</x:f>
        <x:v>PASS</x:v>
      </x:c>
    </x:row>
    <x:row r="842">
      <x:c r="B842" s="21" t="str">
        <x:v>A0836</x:v>
      </x:c>
      <x:c r="C842" s="21" t="str">
        <x:v>paper gate</x:v>
      </x:c>
      <x:c r="D842" s="21" t="str">
        <x:v>gate 147 result reconciles</x:v>
      </x:c>
      <x:c r="E842" s="21" t="n">
        <x:f>IF('Paper Gates'!I147=IF('Paper Gates'!G147='Paper Gates'!H147,"PASS","FAIL"),1,0)</x:f>
        <x:v>1</x:v>
      </x:c>
      <x:c r="F842" s="21" t="n">
        <x:v>1</x:v>
      </x:c>
      <x:c r="G842" s="23" t="str">
        <x:f>IF(E842=F842,"PASS","FAIL")</x:f>
        <x:v>PASS</x:v>
      </x:c>
    </x:row>
    <x:row r="843">
      <x:c r="B843" s="21" t="str">
        <x:v>A0837</x:v>
      </x:c>
      <x:c r="C843" s="21" t="str">
        <x:v>paper gate</x:v>
      </x:c>
      <x:c r="D843" s="21" t="str">
        <x:v>gate 148 binary observation</x:v>
      </x:c>
      <x:c r="E843" s="21" t="n">
        <x:f>IF(OR('Paper Gates'!G148=0,'Paper Gates'!G148=1),1,0)</x:f>
        <x:v>1</x:v>
      </x:c>
      <x:c r="F843" s="21" t="n">
        <x:v>1</x:v>
      </x:c>
      <x:c r="G843" s="23" t="str">
        <x:f>IF(E843=F843,"PASS","FAIL")</x:f>
        <x:v>PASS</x:v>
      </x:c>
    </x:row>
    <x:row r="844">
      <x:c r="B844" s="21" t="str">
        <x:v>A0838</x:v>
      </x:c>
      <x:c r="C844" s="21" t="str">
        <x:v>paper gate</x:v>
      </x:c>
      <x:c r="D844" s="21" t="str">
        <x:v>gate 148 fixed requirement</x:v>
      </x:c>
      <x:c r="E844" s="21" t="n">
        <x:f>IF('Paper Gates'!H148=1,1,0)</x:f>
        <x:v>1</x:v>
      </x:c>
      <x:c r="F844" s="21" t="n">
        <x:v>1</x:v>
      </x:c>
      <x:c r="G844" s="23" t="str">
        <x:f>IF(E844=F844,"PASS","FAIL")</x:f>
        <x:v>PASS</x:v>
      </x:c>
    </x:row>
    <x:row r="845">
      <x:c r="B845" s="21" t="str">
        <x:v>A0839</x:v>
      </x:c>
      <x:c r="C845" s="21" t="str">
        <x:v>paper gate</x:v>
      </x:c>
      <x:c r="D845" s="21" t="str">
        <x:v>gate 148 result reconciles</x:v>
      </x:c>
      <x:c r="E845" s="21" t="n">
        <x:f>IF('Paper Gates'!I148=IF('Paper Gates'!G148='Paper Gates'!H148,"PASS","FAIL"),1,0)</x:f>
        <x:v>1</x:v>
      </x:c>
      <x:c r="F845" s="21" t="n">
        <x:v>1</x:v>
      </x:c>
      <x:c r="G845" s="23" t="str">
        <x:f>IF(E845=F845,"PASS","FAIL")</x:f>
        <x:v>PASS</x:v>
      </x:c>
    </x:row>
    <x:row r="846">
      <x:c r="B846" s="21" t="str">
        <x:v>A0840</x:v>
      </x:c>
      <x:c r="C846" s="21" t="str">
        <x:v>paper gate</x:v>
      </x:c>
      <x:c r="D846" s="21" t="str">
        <x:v>gate 149 binary observation</x:v>
      </x:c>
      <x:c r="E846" s="21" t="n">
        <x:f>IF(OR('Paper Gates'!G149=0,'Paper Gates'!G149=1),1,0)</x:f>
        <x:v>1</x:v>
      </x:c>
      <x:c r="F846" s="21" t="n">
        <x:v>1</x:v>
      </x:c>
      <x:c r="G846" s="23" t="str">
        <x:f>IF(E846=F846,"PASS","FAIL")</x:f>
        <x:v>PASS</x:v>
      </x:c>
    </x:row>
    <x:row r="847">
      <x:c r="B847" s="21" t="str">
        <x:v>A0841</x:v>
      </x:c>
      <x:c r="C847" s="21" t="str">
        <x:v>paper gate</x:v>
      </x:c>
      <x:c r="D847" s="21" t="str">
        <x:v>gate 149 fixed requirement</x:v>
      </x:c>
      <x:c r="E847" s="21" t="n">
        <x:f>IF('Paper Gates'!H149=1,1,0)</x:f>
        <x:v>1</x:v>
      </x:c>
      <x:c r="F847" s="21" t="n">
        <x:v>1</x:v>
      </x:c>
      <x:c r="G847" s="23" t="str">
        <x:f>IF(E847=F847,"PASS","FAIL")</x:f>
        <x:v>PASS</x:v>
      </x:c>
    </x:row>
    <x:row r="848">
      <x:c r="B848" s="21" t="str">
        <x:v>A0842</x:v>
      </x:c>
      <x:c r="C848" s="21" t="str">
        <x:v>paper gate</x:v>
      </x:c>
      <x:c r="D848" s="21" t="str">
        <x:v>gate 149 result reconciles</x:v>
      </x:c>
      <x:c r="E848" s="21" t="n">
        <x:f>IF('Paper Gates'!I149=IF('Paper Gates'!G149='Paper Gates'!H149,"PASS","FAIL"),1,0)</x:f>
        <x:v>1</x:v>
      </x:c>
      <x:c r="F848" s="21" t="n">
        <x:v>1</x:v>
      </x:c>
      <x:c r="G848" s="23" t="str">
        <x:f>IF(E848=F848,"PASS","FAIL")</x:f>
        <x:v>PASS</x:v>
      </x:c>
    </x:row>
    <x:row r="849">
      <x:c r="B849" s="21" t="str">
        <x:v>A0843</x:v>
      </x:c>
      <x:c r="C849" s="21" t="str">
        <x:v>paper gate</x:v>
      </x:c>
      <x:c r="D849" s="21" t="str">
        <x:v>gate 150 binary observation</x:v>
      </x:c>
      <x:c r="E849" s="21" t="n">
        <x:f>IF(OR('Paper Gates'!G150=0,'Paper Gates'!G150=1),1,0)</x:f>
        <x:v>1</x:v>
      </x:c>
      <x:c r="F849" s="21" t="n">
        <x:v>1</x:v>
      </x:c>
      <x:c r="G849" s="23" t="str">
        <x:f>IF(E849=F849,"PASS","FAIL")</x:f>
        <x:v>PASS</x:v>
      </x:c>
    </x:row>
    <x:row r="850">
      <x:c r="B850" s="21" t="str">
        <x:v>A0844</x:v>
      </x:c>
      <x:c r="C850" s="21" t="str">
        <x:v>paper gate</x:v>
      </x:c>
      <x:c r="D850" s="21" t="str">
        <x:v>gate 150 fixed requirement</x:v>
      </x:c>
      <x:c r="E850" s="21" t="n">
        <x:f>IF('Paper Gates'!H150=1,1,0)</x:f>
        <x:v>1</x:v>
      </x:c>
      <x:c r="F850" s="21" t="n">
        <x:v>1</x:v>
      </x:c>
      <x:c r="G850" s="23" t="str">
        <x:f>IF(E850=F850,"PASS","FAIL")</x:f>
        <x:v>PASS</x:v>
      </x:c>
    </x:row>
    <x:row r="851">
      <x:c r="B851" s="21" t="str">
        <x:v>A0845</x:v>
      </x:c>
      <x:c r="C851" s="21" t="str">
        <x:v>paper gate</x:v>
      </x:c>
      <x:c r="D851" s="21" t="str">
        <x:v>gate 150 result reconciles</x:v>
      </x:c>
      <x:c r="E851" s="21" t="n">
        <x:f>IF('Paper Gates'!I150=IF('Paper Gates'!G150='Paper Gates'!H150,"PASS","FAIL"),1,0)</x:f>
        <x:v>1</x:v>
      </x:c>
      <x:c r="F851" s="21" t="n">
        <x:v>1</x:v>
      </x:c>
      <x:c r="G851" s="23" t="str">
        <x:f>IF(E851=F851,"PASS","FAIL")</x:f>
        <x:v>PASS</x:v>
      </x:c>
    </x:row>
    <x:row r="852">
      <x:c r="B852" s="21" t="str">
        <x:v>A0846</x:v>
      </x:c>
      <x:c r="C852" s="21" t="str">
        <x:v>paper gate</x:v>
      </x:c>
      <x:c r="D852" s="21" t="str">
        <x:v>gate 151 binary observation</x:v>
      </x:c>
      <x:c r="E852" s="21" t="n">
        <x:f>IF(OR('Paper Gates'!G151=0,'Paper Gates'!G151=1),1,0)</x:f>
        <x:v>1</x:v>
      </x:c>
      <x:c r="F852" s="21" t="n">
        <x:v>1</x:v>
      </x:c>
      <x:c r="G852" s="23" t="str">
        <x:f>IF(E852=F852,"PASS","FAIL")</x:f>
        <x:v>PASS</x:v>
      </x:c>
    </x:row>
    <x:row r="853">
      <x:c r="B853" s="21" t="str">
        <x:v>A0847</x:v>
      </x:c>
      <x:c r="C853" s="21" t="str">
        <x:v>paper gate</x:v>
      </x:c>
      <x:c r="D853" s="21" t="str">
        <x:v>gate 151 fixed requirement</x:v>
      </x:c>
      <x:c r="E853" s="21" t="n">
        <x:f>IF('Paper Gates'!H151=1,1,0)</x:f>
        <x:v>1</x:v>
      </x:c>
      <x:c r="F853" s="21" t="n">
        <x:v>1</x:v>
      </x:c>
      <x:c r="G853" s="23" t="str">
        <x:f>IF(E853=F853,"PASS","FAIL")</x:f>
        <x:v>PASS</x:v>
      </x:c>
    </x:row>
    <x:row r="854">
      <x:c r="B854" s="21" t="str">
        <x:v>A0848</x:v>
      </x:c>
      <x:c r="C854" s="21" t="str">
        <x:v>paper gate</x:v>
      </x:c>
      <x:c r="D854" s="21" t="str">
        <x:v>gate 151 result reconciles</x:v>
      </x:c>
      <x:c r="E854" s="21" t="n">
        <x:f>IF('Paper Gates'!I151=IF('Paper Gates'!G151='Paper Gates'!H151,"PASS","FAIL"),1,0)</x:f>
        <x:v>1</x:v>
      </x:c>
      <x:c r="F854" s="21" t="n">
        <x:v>1</x:v>
      </x:c>
      <x:c r="G854" s="23" t="str">
        <x:f>IF(E854=F854,"PASS","FAIL")</x:f>
        <x:v>PASS</x:v>
      </x:c>
    </x:row>
    <x:row r="855">
      <x:c r="B855" s="21" t="str">
        <x:v>A0849</x:v>
      </x:c>
      <x:c r="C855" s="21" t="str">
        <x:v>paper gate</x:v>
      </x:c>
      <x:c r="D855" s="21" t="str">
        <x:v>gate 152 binary observation</x:v>
      </x:c>
      <x:c r="E855" s="21" t="n">
        <x:f>IF(OR('Paper Gates'!G152=0,'Paper Gates'!G152=1),1,0)</x:f>
        <x:v>1</x:v>
      </x:c>
      <x:c r="F855" s="21" t="n">
        <x:v>1</x:v>
      </x:c>
      <x:c r="G855" s="23" t="str">
        <x:f>IF(E855=F855,"PASS","FAIL")</x:f>
        <x:v>PASS</x:v>
      </x:c>
    </x:row>
    <x:row r="856">
      <x:c r="B856" s="21" t="str">
        <x:v>A0850</x:v>
      </x:c>
      <x:c r="C856" s="21" t="str">
        <x:v>paper gate</x:v>
      </x:c>
      <x:c r="D856" s="21" t="str">
        <x:v>gate 152 fixed requirement</x:v>
      </x:c>
      <x:c r="E856" s="21" t="n">
        <x:f>IF('Paper Gates'!H152=1,1,0)</x:f>
        <x:v>1</x:v>
      </x:c>
      <x:c r="F856" s="21" t="n">
        <x:v>1</x:v>
      </x:c>
      <x:c r="G856" s="23" t="str">
        <x:f>IF(E856=F856,"PASS","FAIL")</x:f>
        <x:v>PASS</x:v>
      </x:c>
    </x:row>
    <x:row r="857">
      <x:c r="B857" s="21" t="str">
        <x:v>A0851</x:v>
      </x:c>
      <x:c r="C857" s="21" t="str">
        <x:v>paper gate</x:v>
      </x:c>
      <x:c r="D857" s="21" t="str">
        <x:v>gate 152 result reconciles</x:v>
      </x:c>
      <x:c r="E857" s="21" t="n">
        <x:f>IF('Paper Gates'!I152=IF('Paper Gates'!G152='Paper Gates'!H152,"PASS","FAIL"),1,0)</x:f>
        <x:v>1</x:v>
      </x:c>
      <x:c r="F857" s="21" t="n">
        <x:v>1</x:v>
      </x:c>
      <x:c r="G857" s="23" t="str">
        <x:f>IF(E857=F857,"PASS","FAIL")</x:f>
        <x:v>PASS</x:v>
      </x:c>
    </x:row>
    <x:row r="858">
      <x:c r="B858" s="21" t="str">
        <x:v>A0852</x:v>
      </x:c>
      <x:c r="C858" s="21" t="str">
        <x:v>paper gate</x:v>
      </x:c>
      <x:c r="D858" s="21" t="str">
        <x:v>gate 153 binary observation</x:v>
      </x:c>
      <x:c r="E858" s="21" t="n">
        <x:f>IF(OR('Paper Gates'!G153=0,'Paper Gates'!G153=1),1,0)</x:f>
        <x:v>1</x:v>
      </x:c>
      <x:c r="F858" s="21" t="n">
        <x:v>1</x:v>
      </x:c>
      <x:c r="G858" s="23" t="str">
        <x:f>IF(E858=F858,"PASS","FAIL")</x:f>
        <x:v>PASS</x:v>
      </x:c>
    </x:row>
    <x:row r="859">
      <x:c r="B859" s="21" t="str">
        <x:v>A0853</x:v>
      </x:c>
      <x:c r="C859" s="21" t="str">
        <x:v>paper gate</x:v>
      </x:c>
      <x:c r="D859" s="21" t="str">
        <x:v>gate 153 fixed requirement</x:v>
      </x:c>
      <x:c r="E859" s="21" t="n">
        <x:f>IF('Paper Gates'!H153=1,1,0)</x:f>
        <x:v>1</x:v>
      </x:c>
      <x:c r="F859" s="21" t="n">
        <x:v>1</x:v>
      </x:c>
      <x:c r="G859" s="23" t="str">
        <x:f>IF(E859=F859,"PASS","FAIL")</x:f>
        <x:v>PASS</x:v>
      </x:c>
    </x:row>
    <x:row r="860">
      <x:c r="B860" s="21" t="str">
        <x:v>A0854</x:v>
      </x:c>
      <x:c r="C860" s="21" t="str">
        <x:v>paper gate</x:v>
      </x:c>
      <x:c r="D860" s="21" t="str">
        <x:v>gate 153 result reconciles</x:v>
      </x:c>
      <x:c r="E860" s="21" t="n">
        <x:f>IF('Paper Gates'!I153=IF('Paper Gates'!G153='Paper Gates'!H153,"PASS","FAIL"),1,0)</x:f>
        <x:v>1</x:v>
      </x:c>
      <x:c r="F860" s="21" t="n">
        <x:v>1</x:v>
      </x:c>
      <x:c r="G860" s="23" t="str">
        <x:f>IF(E860=F860,"PASS","FAIL")</x:f>
        <x:v>PASS</x:v>
      </x:c>
    </x:row>
    <x:row r="861">
      <x:c r="B861" s="21" t="str">
        <x:v>A0855</x:v>
      </x:c>
      <x:c r="C861" s="21" t="str">
        <x:v>paper gate</x:v>
      </x:c>
      <x:c r="D861" s="21" t="str">
        <x:v>gate 154 binary observation</x:v>
      </x:c>
      <x:c r="E861" s="21" t="n">
        <x:f>IF(OR('Paper Gates'!G154=0,'Paper Gates'!G154=1),1,0)</x:f>
        <x:v>1</x:v>
      </x:c>
      <x:c r="F861" s="21" t="n">
        <x:v>1</x:v>
      </x:c>
      <x:c r="G861" s="23" t="str">
        <x:f>IF(E861=F861,"PASS","FAIL")</x:f>
        <x:v>PASS</x:v>
      </x:c>
    </x:row>
    <x:row r="862">
      <x:c r="B862" s="21" t="str">
        <x:v>A0856</x:v>
      </x:c>
      <x:c r="C862" s="21" t="str">
        <x:v>paper gate</x:v>
      </x:c>
      <x:c r="D862" s="21" t="str">
        <x:v>gate 154 fixed requirement</x:v>
      </x:c>
      <x:c r="E862" s="21" t="n">
        <x:f>IF('Paper Gates'!H154=1,1,0)</x:f>
        <x:v>1</x:v>
      </x:c>
      <x:c r="F862" s="21" t="n">
        <x:v>1</x:v>
      </x:c>
      <x:c r="G862" s="23" t="str">
        <x:f>IF(E862=F862,"PASS","FAIL")</x:f>
        <x:v>PASS</x:v>
      </x:c>
    </x:row>
    <x:row r="863">
      <x:c r="B863" s="21" t="str">
        <x:v>A0857</x:v>
      </x:c>
      <x:c r="C863" s="21" t="str">
        <x:v>paper gate</x:v>
      </x:c>
      <x:c r="D863" s="21" t="str">
        <x:v>gate 154 result reconciles</x:v>
      </x:c>
      <x:c r="E863" s="21" t="n">
        <x:f>IF('Paper Gates'!I154=IF('Paper Gates'!G154='Paper Gates'!H154,"PASS","FAIL"),1,0)</x:f>
        <x:v>1</x:v>
      </x:c>
      <x:c r="F863" s="21" t="n">
        <x:v>1</x:v>
      </x:c>
      <x:c r="G863" s="23" t="str">
        <x:f>IF(E863=F863,"PASS","FAIL")</x:f>
        <x:v>PASS</x:v>
      </x:c>
    </x:row>
    <x:row r="864">
      <x:c r="B864" s="21" t="str">
        <x:v>A0858</x:v>
      </x:c>
      <x:c r="C864" s="21" t="str">
        <x:v>paper gate</x:v>
      </x:c>
      <x:c r="D864" s="21" t="str">
        <x:v>gate 155 binary observation</x:v>
      </x:c>
      <x:c r="E864" s="21" t="n">
        <x:f>IF(OR('Paper Gates'!G155=0,'Paper Gates'!G155=1),1,0)</x:f>
        <x:v>1</x:v>
      </x:c>
      <x:c r="F864" s="21" t="n">
        <x:v>1</x:v>
      </x:c>
      <x:c r="G864" s="23" t="str">
        <x:f>IF(E864=F864,"PASS","FAIL")</x:f>
        <x:v>PASS</x:v>
      </x:c>
    </x:row>
    <x:row r="865">
      <x:c r="B865" s="21" t="str">
        <x:v>A0859</x:v>
      </x:c>
      <x:c r="C865" s="21" t="str">
        <x:v>paper gate</x:v>
      </x:c>
      <x:c r="D865" s="21" t="str">
        <x:v>gate 155 fixed requirement</x:v>
      </x:c>
      <x:c r="E865" s="21" t="n">
        <x:f>IF('Paper Gates'!H155=1,1,0)</x:f>
        <x:v>1</x:v>
      </x:c>
      <x:c r="F865" s="21" t="n">
        <x:v>1</x:v>
      </x:c>
      <x:c r="G865" s="23" t="str">
        <x:f>IF(E865=F865,"PASS","FAIL")</x:f>
        <x:v>PASS</x:v>
      </x:c>
    </x:row>
    <x:row r="866">
      <x:c r="B866" s="21" t="str">
        <x:v>A0860</x:v>
      </x:c>
      <x:c r="C866" s="21" t="str">
        <x:v>paper gate</x:v>
      </x:c>
      <x:c r="D866" s="21" t="str">
        <x:v>gate 155 result reconciles</x:v>
      </x:c>
      <x:c r="E866" s="21" t="n">
        <x:f>IF('Paper Gates'!I155=IF('Paper Gates'!G155='Paper Gates'!H155,"PASS","FAIL"),1,0)</x:f>
        <x:v>1</x:v>
      </x:c>
      <x:c r="F866" s="21" t="n">
        <x:v>1</x:v>
      </x:c>
      <x:c r="G866" s="23" t="str">
        <x:f>IF(E866=F866,"PASS","FAIL")</x:f>
        <x:v>PASS</x:v>
      </x:c>
    </x:row>
    <x:row r="867">
      <x:c r="B867" s="21" t="str">
        <x:v>A0861</x:v>
      </x:c>
      <x:c r="C867" s="21" t="str">
        <x:v>paper gate</x:v>
      </x:c>
      <x:c r="D867" s="21" t="str">
        <x:v>gate 156 binary observation</x:v>
      </x:c>
      <x:c r="E867" s="21" t="n">
        <x:f>IF(OR('Paper Gates'!G156=0,'Paper Gates'!G156=1),1,0)</x:f>
        <x:v>1</x:v>
      </x:c>
      <x:c r="F867" s="21" t="n">
        <x:v>1</x:v>
      </x:c>
      <x:c r="G867" s="23" t="str">
        <x:f>IF(E867=F867,"PASS","FAIL")</x:f>
        <x:v>PASS</x:v>
      </x:c>
    </x:row>
    <x:row r="868">
      <x:c r="B868" s="21" t="str">
        <x:v>A0862</x:v>
      </x:c>
      <x:c r="C868" s="21" t="str">
        <x:v>paper gate</x:v>
      </x:c>
      <x:c r="D868" s="21" t="str">
        <x:v>gate 156 fixed requirement</x:v>
      </x:c>
      <x:c r="E868" s="21" t="n">
        <x:f>IF('Paper Gates'!H156=1,1,0)</x:f>
        <x:v>1</x:v>
      </x:c>
      <x:c r="F868" s="21" t="n">
        <x:v>1</x:v>
      </x:c>
      <x:c r="G868" s="23" t="str">
        <x:f>IF(E868=F868,"PASS","FAIL")</x:f>
        <x:v>PASS</x:v>
      </x:c>
    </x:row>
    <x:row r="869">
      <x:c r="B869" s="21" t="str">
        <x:v>A0863</x:v>
      </x:c>
      <x:c r="C869" s="21" t="str">
        <x:v>paper gate</x:v>
      </x:c>
      <x:c r="D869" s="21" t="str">
        <x:v>gate 156 result reconciles</x:v>
      </x:c>
      <x:c r="E869" s="21" t="n">
        <x:f>IF('Paper Gates'!I156=IF('Paper Gates'!G156='Paper Gates'!H156,"PASS","FAIL"),1,0)</x:f>
        <x:v>1</x:v>
      </x:c>
      <x:c r="F869" s="21" t="n">
        <x:v>1</x:v>
      </x:c>
      <x:c r="G869" s="23" t="str">
        <x:f>IF(E869=F869,"PASS","FAIL")</x:f>
        <x:v>PASS</x:v>
      </x:c>
    </x:row>
    <x:row r="870">
      <x:c r="B870" s="21" t="str">
        <x:v>A0864</x:v>
      </x:c>
      <x:c r="C870" s="21" t="str">
        <x:v>paper gate</x:v>
      </x:c>
      <x:c r="D870" s="21" t="str">
        <x:v>gate 157 binary observation</x:v>
      </x:c>
      <x:c r="E870" s="21" t="n">
        <x:f>IF(OR('Paper Gates'!G157=0,'Paper Gates'!G157=1),1,0)</x:f>
        <x:v>1</x:v>
      </x:c>
      <x:c r="F870" s="21" t="n">
        <x:v>1</x:v>
      </x:c>
      <x:c r="G870" s="23" t="str">
        <x:f>IF(E870=F870,"PASS","FAIL")</x:f>
        <x:v>PASS</x:v>
      </x:c>
    </x:row>
    <x:row r="871">
      <x:c r="B871" s="21" t="str">
        <x:v>A0865</x:v>
      </x:c>
      <x:c r="C871" s="21" t="str">
        <x:v>paper gate</x:v>
      </x:c>
      <x:c r="D871" s="21" t="str">
        <x:v>gate 157 fixed requirement</x:v>
      </x:c>
      <x:c r="E871" s="21" t="n">
        <x:f>IF('Paper Gates'!H157=1,1,0)</x:f>
        <x:v>1</x:v>
      </x:c>
      <x:c r="F871" s="21" t="n">
        <x:v>1</x:v>
      </x:c>
      <x:c r="G871" s="23" t="str">
        <x:f>IF(E871=F871,"PASS","FAIL")</x:f>
        <x:v>PASS</x:v>
      </x:c>
    </x:row>
    <x:row r="872">
      <x:c r="B872" s="21" t="str">
        <x:v>A0866</x:v>
      </x:c>
      <x:c r="C872" s="21" t="str">
        <x:v>paper gate</x:v>
      </x:c>
      <x:c r="D872" s="21" t="str">
        <x:v>gate 157 result reconciles</x:v>
      </x:c>
      <x:c r="E872" s="21" t="n">
        <x:f>IF('Paper Gates'!I157=IF('Paper Gates'!G157='Paper Gates'!H157,"PASS","FAIL"),1,0)</x:f>
        <x:v>1</x:v>
      </x:c>
      <x:c r="F872" s="21" t="n">
        <x:v>1</x:v>
      </x:c>
      <x:c r="G872" s="23" t="str">
        <x:f>IF(E872=F872,"PASS","FAIL")</x:f>
        <x:v>PASS</x:v>
      </x:c>
    </x:row>
    <x:row r="873">
      <x:c r="B873" s="21" t="str">
        <x:v>A0867</x:v>
      </x:c>
      <x:c r="C873" s="21" t="str">
        <x:v>paper gate</x:v>
      </x:c>
      <x:c r="D873" s="21" t="str">
        <x:v>gate 158 binary observation</x:v>
      </x:c>
      <x:c r="E873" s="21" t="n">
        <x:f>IF(OR('Paper Gates'!G158=0,'Paper Gates'!G158=1),1,0)</x:f>
        <x:v>1</x:v>
      </x:c>
      <x:c r="F873" s="21" t="n">
        <x:v>1</x:v>
      </x:c>
      <x:c r="G873" s="23" t="str">
        <x:f>IF(E873=F873,"PASS","FAIL")</x:f>
        <x:v>PASS</x:v>
      </x:c>
    </x:row>
    <x:row r="874">
      <x:c r="B874" s="21" t="str">
        <x:v>A0868</x:v>
      </x:c>
      <x:c r="C874" s="21" t="str">
        <x:v>paper gate</x:v>
      </x:c>
      <x:c r="D874" s="21" t="str">
        <x:v>gate 158 fixed requirement</x:v>
      </x:c>
      <x:c r="E874" s="21" t="n">
        <x:f>IF('Paper Gates'!H158=1,1,0)</x:f>
        <x:v>1</x:v>
      </x:c>
      <x:c r="F874" s="21" t="n">
        <x:v>1</x:v>
      </x:c>
      <x:c r="G874" s="23" t="str">
        <x:f>IF(E874=F874,"PASS","FAIL")</x:f>
        <x:v>PASS</x:v>
      </x:c>
    </x:row>
    <x:row r="875">
      <x:c r="B875" s="21" t="str">
        <x:v>A0869</x:v>
      </x:c>
      <x:c r="C875" s="21" t="str">
        <x:v>paper gate</x:v>
      </x:c>
      <x:c r="D875" s="21" t="str">
        <x:v>gate 158 result reconciles</x:v>
      </x:c>
      <x:c r="E875" s="21" t="n">
        <x:f>IF('Paper Gates'!I158=IF('Paper Gates'!G158='Paper Gates'!H158,"PASS","FAIL"),1,0)</x:f>
        <x:v>1</x:v>
      </x:c>
      <x:c r="F875" s="21" t="n">
        <x:v>1</x:v>
      </x:c>
      <x:c r="G875" s="23" t="str">
        <x:f>IF(E875=F875,"PASS","FAIL")</x:f>
        <x:v>PASS</x:v>
      </x:c>
    </x:row>
    <x:row r="876">
      <x:c r="B876" s="21" t="str">
        <x:v>A0870</x:v>
      </x:c>
      <x:c r="C876" s="21" t="str">
        <x:v>paper gate</x:v>
      </x:c>
      <x:c r="D876" s="21" t="str">
        <x:v>gate 159 binary observation</x:v>
      </x:c>
      <x:c r="E876" s="21" t="n">
        <x:f>IF(OR('Paper Gates'!G159=0,'Paper Gates'!G159=1),1,0)</x:f>
        <x:v>1</x:v>
      </x:c>
      <x:c r="F876" s="21" t="n">
        <x:v>1</x:v>
      </x:c>
      <x:c r="G876" s="23" t="str">
        <x:f>IF(E876=F876,"PASS","FAIL")</x:f>
        <x:v>PASS</x:v>
      </x:c>
    </x:row>
    <x:row r="877">
      <x:c r="B877" s="21" t="str">
        <x:v>A0871</x:v>
      </x:c>
      <x:c r="C877" s="21" t="str">
        <x:v>paper gate</x:v>
      </x:c>
      <x:c r="D877" s="21" t="str">
        <x:v>gate 159 fixed requirement</x:v>
      </x:c>
      <x:c r="E877" s="21" t="n">
        <x:f>IF('Paper Gates'!H159=1,1,0)</x:f>
        <x:v>1</x:v>
      </x:c>
      <x:c r="F877" s="21" t="n">
        <x:v>1</x:v>
      </x:c>
      <x:c r="G877" s="23" t="str">
        <x:f>IF(E877=F877,"PASS","FAIL")</x:f>
        <x:v>PASS</x:v>
      </x:c>
    </x:row>
    <x:row r="878">
      <x:c r="B878" s="21" t="str">
        <x:v>A0872</x:v>
      </x:c>
      <x:c r="C878" s="21" t="str">
        <x:v>paper gate</x:v>
      </x:c>
      <x:c r="D878" s="21" t="str">
        <x:v>gate 159 result reconciles</x:v>
      </x:c>
      <x:c r="E878" s="21" t="n">
        <x:f>IF('Paper Gates'!I159=IF('Paper Gates'!G159='Paper Gates'!H159,"PASS","FAIL"),1,0)</x:f>
        <x:v>1</x:v>
      </x:c>
      <x:c r="F878" s="21" t="n">
        <x:v>1</x:v>
      </x:c>
      <x:c r="G878" s="23" t="str">
        <x:f>IF(E878=F878,"PASS","FAIL")</x:f>
        <x:v>PASS</x:v>
      </x:c>
    </x:row>
    <x:row r="879">
      <x:c r="B879" s="21" t="str">
        <x:v>A0873</x:v>
      </x:c>
      <x:c r="C879" s="21" t="str">
        <x:v>paper gate</x:v>
      </x:c>
      <x:c r="D879" s="21" t="str">
        <x:v>gate 160 binary observation</x:v>
      </x:c>
      <x:c r="E879" s="21" t="n">
        <x:f>IF(OR('Paper Gates'!G160=0,'Paper Gates'!G160=1),1,0)</x:f>
        <x:v>1</x:v>
      </x:c>
      <x:c r="F879" s="21" t="n">
        <x:v>1</x:v>
      </x:c>
      <x:c r="G879" s="23" t="str">
        <x:f>IF(E879=F879,"PASS","FAIL")</x:f>
        <x:v>PASS</x:v>
      </x:c>
    </x:row>
    <x:row r="880">
      <x:c r="B880" s="21" t="str">
        <x:v>A0874</x:v>
      </x:c>
      <x:c r="C880" s="21" t="str">
        <x:v>paper gate</x:v>
      </x:c>
      <x:c r="D880" s="21" t="str">
        <x:v>gate 160 fixed requirement</x:v>
      </x:c>
      <x:c r="E880" s="21" t="n">
        <x:f>IF('Paper Gates'!H160=1,1,0)</x:f>
        <x:v>1</x:v>
      </x:c>
      <x:c r="F880" s="21" t="n">
        <x:v>1</x:v>
      </x:c>
      <x:c r="G880" s="23" t="str">
        <x:f>IF(E880=F880,"PASS","FAIL")</x:f>
        <x:v>PASS</x:v>
      </x:c>
    </x:row>
    <x:row r="881">
      <x:c r="B881" s="21" t="str">
        <x:v>A0875</x:v>
      </x:c>
      <x:c r="C881" s="21" t="str">
        <x:v>paper gate</x:v>
      </x:c>
      <x:c r="D881" s="21" t="str">
        <x:v>gate 160 result reconciles</x:v>
      </x:c>
      <x:c r="E881" s="21" t="n">
        <x:f>IF('Paper Gates'!I160=IF('Paper Gates'!G160='Paper Gates'!H160,"PASS","FAIL"),1,0)</x:f>
        <x:v>1</x:v>
      </x:c>
      <x:c r="F881" s="21" t="n">
        <x:v>1</x:v>
      </x:c>
      <x:c r="G881" s="23" t="str">
        <x:f>IF(E881=F881,"PASS","FAIL")</x:f>
        <x:v>PASS</x:v>
      </x:c>
    </x:row>
    <x:row r="882">
      <x:c r="B882" s="21" t="str">
        <x:v>A0876</x:v>
      </x:c>
      <x:c r="C882" s="21" t="str">
        <x:v>paper gate</x:v>
      </x:c>
      <x:c r="D882" s="21" t="str">
        <x:v>gate 161 binary observation</x:v>
      </x:c>
      <x:c r="E882" s="21" t="n">
        <x:f>IF(OR('Paper Gates'!G161=0,'Paper Gates'!G161=1),1,0)</x:f>
        <x:v>1</x:v>
      </x:c>
      <x:c r="F882" s="21" t="n">
        <x:v>1</x:v>
      </x:c>
      <x:c r="G882" s="23" t="str">
        <x:f>IF(E882=F882,"PASS","FAIL")</x:f>
        <x:v>PASS</x:v>
      </x:c>
    </x:row>
    <x:row r="883">
      <x:c r="B883" s="21" t="str">
        <x:v>A0877</x:v>
      </x:c>
      <x:c r="C883" s="21" t="str">
        <x:v>paper gate</x:v>
      </x:c>
      <x:c r="D883" s="21" t="str">
        <x:v>gate 161 fixed requirement</x:v>
      </x:c>
      <x:c r="E883" s="21" t="n">
        <x:f>IF('Paper Gates'!H161=1,1,0)</x:f>
        <x:v>1</x:v>
      </x:c>
      <x:c r="F883" s="21" t="n">
        <x:v>1</x:v>
      </x:c>
      <x:c r="G883" s="23" t="str">
        <x:f>IF(E883=F883,"PASS","FAIL")</x:f>
        <x:v>PASS</x:v>
      </x:c>
    </x:row>
    <x:row r="884">
      <x:c r="B884" s="21" t="str">
        <x:v>A0878</x:v>
      </x:c>
      <x:c r="C884" s="21" t="str">
        <x:v>paper gate</x:v>
      </x:c>
      <x:c r="D884" s="21" t="str">
        <x:v>gate 161 result reconciles</x:v>
      </x:c>
      <x:c r="E884" s="21" t="n">
        <x:f>IF('Paper Gates'!I161=IF('Paper Gates'!G161='Paper Gates'!H161,"PASS","FAIL"),1,0)</x:f>
        <x:v>1</x:v>
      </x:c>
      <x:c r="F884" s="21" t="n">
        <x:v>1</x:v>
      </x:c>
      <x:c r="G884" s="23" t="str">
        <x:f>IF(E884=F884,"PASS","FAIL")</x:f>
        <x:v>PASS</x:v>
      </x:c>
    </x:row>
    <x:row r="885">
      <x:c r="B885" s="21" t="str">
        <x:v>A0879</x:v>
      </x:c>
      <x:c r="C885" s="21" t="str">
        <x:v>paper gate</x:v>
      </x:c>
      <x:c r="D885" s="21" t="str">
        <x:v>gate 162 binary observation</x:v>
      </x:c>
      <x:c r="E885" s="21" t="n">
        <x:f>IF(OR('Paper Gates'!G162=0,'Paper Gates'!G162=1),1,0)</x:f>
        <x:v>1</x:v>
      </x:c>
      <x:c r="F885" s="21" t="n">
        <x:v>1</x:v>
      </x:c>
      <x:c r="G885" s="23" t="str">
        <x:f>IF(E885=F885,"PASS","FAIL")</x:f>
        <x:v>PASS</x:v>
      </x:c>
    </x:row>
    <x:row r="886">
      <x:c r="B886" s="21" t="str">
        <x:v>A0880</x:v>
      </x:c>
      <x:c r="C886" s="21" t="str">
        <x:v>paper gate</x:v>
      </x:c>
      <x:c r="D886" s="21" t="str">
        <x:v>gate 162 fixed requirement</x:v>
      </x:c>
      <x:c r="E886" s="21" t="n">
        <x:f>IF('Paper Gates'!H162=1,1,0)</x:f>
        <x:v>1</x:v>
      </x:c>
      <x:c r="F886" s="21" t="n">
        <x:v>1</x:v>
      </x:c>
      <x:c r="G886" s="23" t="str">
        <x:f>IF(E886=F886,"PASS","FAIL")</x:f>
        <x:v>PASS</x:v>
      </x:c>
    </x:row>
    <x:row r="887">
      <x:c r="B887" s="21" t="str">
        <x:v>A0881</x:v>
      </x:c>
      <x:c r="C887" s="21" t="str">
        <x:v>paper gate</x:v>
      </x:c>
      <x:c r="D887" s="21" t="str">
        <x:v>gate 162 result reconciles</x:v>
      </x:c>
      <x:c r="E887" s="21" t="n">
        <x:f>IF('Paper Gates'!I162=IF('Paper Gates'!G162='Paper Gates'!H162,"PASS","FAIL"),1,0)</x:f>
        <x:v>1</x:v>
      </x:c>
      <x:c r="F887" s="21" t="n">
        <x:v>1</x:v>
      </x:c>
      <x:c r="G887" s="23" t="str">
        <x:f>IF(E887=F887,"PASS","FAIL")</x:f>
        <x:v>PASS</x:v>
      </x:c>
    </x:row>
    <x:row r="888">
      <x:c r="B888" s="21" t="str">
        <x:v>A0882</x:v>
      </x:c>
      <x:c r="C888" s="21" t="str">
        <x:v>paper gate</x:v>
      </x:c>
      <x:c r="D888" s="21" t="str">
        <x:v>gate 163 binary observation</x:v>
      </x:c>
      <x:c r="E888" s="21" t="n">
        <x:f>IF(OR('Paper Gates'!G163=0,'Paper Gates'!G163=1),1,0)</x:f>
        <x:v>1</x:v>
      </x:c>
      <x:c r="F888" s="21" t="n">
        <x:v>1</x:v>
      </x:c>
      <x:c r="G888" s="23" t="str">
        <x:f>IF(E888=F888,"PASS","FAIL")</x:f>
        <x:v>PASS</x:v>
      </x:c>
    </x:row>
    <x:row r="889">
      <x:c r="B889" s="21" t="str">
        <x:v>A0883</x:v>
      </x:c>
      <x:c r="C889" s="21" t="str">
        <x:v>paper gate</x:v>
      </x:c>
      <x:c r="D889" s="21" t="str">
        <x:v>gate 163 fixed requirement</x:v>
      </x:c>
      <x:c r="E889" s="21" t="n">
        <x:f>IF('Paper Gates'!H163=1,1,0)</x:f>
        <x:v>1</x:v>
      </x:c>
      <x:c r="F889" s="21" t="n">
        <x:v>1</x:v>
      </x:c>
      <x:c r="G889" s="23" t="str">
        <x:f>IF(E889=F889,"PASS","FAIL")</x:f>
        <x:v>PASS</x:v>
      </x:c>
    </x:row>
    <x:row r="890">
      <x:c r="B890" s="21" t="str">
        <x:v>A0884</x:v>
      </x:c>
      <x:c r="C890" s="21" t="str">
        <x:v>paper gate</x:v>
      </x:c>
      <x:c r="D890" s="21" t="str">
        <x:v>gate 163 result reconciles</x:v>
      </x:c>
      <x:c r="E890" s="21" t="n">
        <x:f>IF('Paper Gates'!I163=IF('Paper Gates'!G163='Paper Gates'!H163,"PASS","FAIL"),1,0)</x:f>
        <x:v>1</x:v>
      </x:c>
      <x:c r="F890" s="21" t="n">
        <x:v>1</x:v>
      </x:c>
      <x:c r="G890" s="23" t="str">
        <x:f>IF(E890=F890,"PASS","FAIL")</x:f>
        <x:v>PASS</x:v>
      </x:c>
    </x:row>
    <x:row r="891">
      <x:c r="B891" s="21" t="str">
        <x:v>A0885</x:v>
      </x:c>
      <x:c r="C891" s="21" t="str">
        <x:v>paper gate</x:v>
      </x:c>
      <x:c r="D891" s="21" t="str">
        <x:v>gate 164 binary observation</x:v>
      </x:c>
      <x:c r="E891" s="21" t="n">
        <x:f>IF(OR('Paper Gates'!G164=0,'Paper Gates'!G164=1),1,0)</x:f>
        <x:v>1</x:v>
      </x:c>
      <x:c r="F891" s="21" t="n">
        <x:v>1</x:v>
      </x:c>
      <x:c r="G891" s="23" t="str">
        <x:f>IF(E891=F891,"PASS","FAIL")</x:f>
        <x:v>PASS</x:v>
      </x:c>
    </x:row>
    <x:row r="892">
      <x:c r="B892" s="21" t="str">
        <x:v>A0886</x:v>
      </x:c>
      <x:c r="C892" s="21" t="str">
        <x:v>paper gate</x:v>
      </x:c>
      <x:c r="D892" s="21" t="str">
        <x:v>gate 164 fixed requirement</x:v>
      </x:c>
      <x:c r="E892" s="21" t="n">
        <x:f>IF('Paper Gates'!H164=1,1,0)</x:f>
        <x:v>1</x:v>
      </x:c>
      <x:c r="F892" s="21" t="n">
        <x:v>1</x:v>
      </x:c>
      <x:c r="G892" s="23" t="str">
        <x:f>IF(E892=F892,"PASS","FAIL")</x:f>
        <x:v>PASS</x:v>
      </x:c>
    </x:row>
    <x:row r="893">
      <x:c r="B893" s="21" t="str">
        <x:v>A0887</x:v>
      </x:c>
      <x:c r="C893" s="21" t="str">
        <x:v>paper gate</x:v>
      </x:c>
      <x:c r="D893" s="21" t="str">
        <x:v>gate 164 result reconciles</x:v>
      </x:c>
      <x:c r="E893" s="21" t="n">
        <x:f>IF('Paper Gates'!I164=IF('Paper Gates'!G164='Paper Gates'!H164,"PASS","FAIL"),1,0)</x:f>
        <x:v>1</x:v>
      </x:c>
      <x:c r="F893" s="21" t="n">
        <x:v>1</x:v>
      </x:c>
      <x:c r="G893" s="23" t="str">
        <x:f>IF(E893=F893,"PASS","FAIL")</x:f>
        <x:v>PASS</x:v>
      </x:c>
    </x:row>
    <x:row r="894">
      <x:c r="B894" s="21" t="str">
        <x:v>A0888</x:v>
      </x:c>
      <x:c r="C894" s="21" t="str">
        <x:v>paper gate</x:v>
      </x:c>
      <x:c r="D894" s="21" t="str">
        <x:v>gate 165 binary observation</x:v>
      </x:c>
      <x:c r="E894" s="21" t="n">
        <x:f>IF(OR('Paper Gates'!G165=0,'Paper Gates'!G165=1),1,0)</x:f>
        <x:v>1</x:v>
      </x:c>
      <x:c r="F894" s="21" t="n">
        <x:v>1</x:v>
      </x:c>
      <x:c r="G894" s="23" t="str">
        <x:f>IF(E894=F894,"PASS","FAIL")</x:f>
        <x:v>PASS</x:v>
      </x:c>
    </x:row>
    <x:row r="895">
      <x:c r="B895" s="21" t="str">
        <x:v>A0889</x:v>
      </x:c>
      <x:c r="C895" s="21" t="str">
        <x:v>paper gate</x:v>
      </x:c>
      <x:c r="D895" s="21" t="str">
        <x:v>gate 165 fixed requirement</x:v>
      </x:c>
      <x:c r="E895" s="21" t="n">
        <x:f>IF('Paper Gates'!H165=1,1,0)</x:f>
        <x:v>1</x:v>
      </x:c>
      <x:c r="F895" s="21" t="n">
        <x:v>1</x:v>
      </x:c>
      <x:c r="G895" s="23" t="str">
        <x:f>IF(E895=F895,"PASS","FAIL")</x:f>
        <x:v>PASS</x:v>
      </x:c>
    </x:row>
    <x:row r="896">
      <x:c r="B896" s="21" t="str">
        <x:v>A0890</x:v>
      </x:c>
      <x:c r="C896" s="21" t="str">
        <x:v>paper gate</x:v>
      </x:c>
      <x:c r="D896" s="21" t="str">
        <x:v>gate 165 result reconciles</x:v>
      </x:c>
      <x:c r="E896" s="21" t="n">
        <x:f>IF('Paper Gates'!I165=IF('Paper Gates'!G165='Paper Gates'!H165,"PASS","FAIL"),1,0)</x:f>
        <x:v>1</x:v>
      </x:c>
      <x:c r="F896" s="21" t="n">
        <x:v>1</x:v>
      </x:c>
      <x:c r="G896" s="23" t="str">
        <x:f>IF(E896=F896,"PASS","FAIL")</x:f>
        <x:v>PASS</x:v>
      </x:c>
    </x:row>
    <x:row r="897">
      <x:c r="B897" s="21" t="str">
        <x:v>A0891</x:v>
      </x:c>
      <x:c r="C897" s="21" t="str">
        <x:v>paper gate</x:v>
      </x:c>
      <x:c r="D897" s="21" t="str">
        <x:v>gate 166 binary observation</x:v>
      </x:c>
      <x:c r="E897" s="21" t="n">
        <x:f>IF(OR('Paper Gates'!G166=0,'Paper Gates'!G166=1),1,0)</x:f>
        <x:v>1</x:v>
      </x:c>
      <x:c r="F897" s="21" t="n">
        <x:v>1</x:v>
      </x:c>
      <x:c r="G897" s="23" t="str">
        <x:f>IF(E897=F897,"PASS","FAIL")</x:f>
        <x:v>PASS</x:v>
      </x:c>
    </x:row>
    <x:row r="898">
      <x:c r="B898" s="21" t="str">
        <x:v>A0892</x:v>
      </x:c>
      <x:c r="C898" s="21" t="str">
        <x:v>paper gate</x:v>
      </x:c>
      <x:c r="D898" s="21" t="str">
        <x:v>gate 166 fixed requirement</x:v>
      </x:c>
      <x:c r="E898" s="21" t="n">
        <x:f>IF('Paper Gates'!H166=1,1,0)</x:f>
        <x:v>1</x:v>
      </x:c>
      <x:c r="F898" s="21" t="n">
        <x:v>1</x:v>
      </x:c>
      <x:c r="G898" s="23" t="str">
        <x:f>IF(E898=F898,"PASS","FAIL")</x:f>
        <x:v>PASS</x:v>
      </x:c>
    </x:row>
    <x:row r="899">
      <x:c r="B899" s="21" t="str">
        <x:v>A0893</x:v>
      </x:c>
      <x:c r="C899" s="21" t="str">
        <x:v>paper gate</x:v>
      </x:c>
      <x:c r="D899" s="21" t="str">
        <x:v>gate 166 result reconciles</x:v>
      </x:c>
      <x:c r="E899" s="21" t="n">
        <x:f>IF('Paper Gates'!I166=IF('Paper Gates'!G166='Paper Gates'!H166,"PASS","FAIL"),1,0)</x:f>
        <x:v>1</x:v>
      </x:c>
      <x:c r="F899" s="21" t="n">
        <x:v>1</x:v>
      </x:c>
      <x:c r="G899" s="23" t="str">
        <x:f>IF(E899=F899,"PASS","FAIL")</x:f>
        <x:v>PASS</x:v>
      </x:c>
    </x:row>
    <x:row r="900">
      <x:c r="B900" s="21" t="str">
        <x:v>A0894</x:v>
      </x:c>
      <x:c r="C900" s="21" t="str">
        <x:v>paper gate</x:v>
      </x:c>
      <x:c r="D900" s="21" t="str">
        <x:v>gate 167 binary observation</x:v>
      </x:c>
      <x:c r="E900" s="21" t="n">
        <x:f>IF(OR('Paper Gates'!G167=0,'Paper Gates'!G167=1),1,0)</x:f>
        <x:v>1</x:v>
      </x:c>
      <x:c r="F900" s="21" t="n">
        <x:v>1</x:v>
      </x:c>
      <x:c r="G900" s="23" t="str">
        <x:f>IF(E900=F900,"PASS","FAIL")</x:f>
        <x:v>PASS</x:v>
      </x:c>
    </x:row>
    <x:row r="901">
      <x:c r="B901" s="21" t="str">
        <x:v>A0895</x:v>
      </x:c>
      <x:c r="C901" s="21" t="str">
        <x:v>paper gate</x:v>
      </x:c>
      <x:c r="D901" s="21" t="str">
        <x:v>gate 167 fixed requirement</x:v>
      </x:c>
      <x:c r="E901" s="21" t="n">
        <x:f>IF('Paper Gates'!H167=1,1,0)</x:f>
        <x:v>1</x:v>
      </x:c>
      <x:c r="F901" s="21" t="n">
        <x:v>1</x:v>
      </x:c>
      <x:c r="G901" s="23" t="str">
        <x:f>IF(E901=F901,"PASS","FAIL")</x:f>
        <x:v>PASS</x:v>
      </x:c>
    </x:row>
    <x:row r="902">
      <x:c r="B902" s="21" t="str">
        <x:v>A0896</x:v>
      </x:c>
      <x:c r="C902" s="21" t="str">
        <x:v>paper gate</x:v>
      </x:c>
      <x:c r="D902" s="21" t="str">
        <x:v>gate 167 result reconciles</x:v>
      </x:c>
      <x:c r="E902" s="21" t="n">
        <x:f>IF('Paper Gates'!I167=IF('Paper Gates'!G167='Paper Gates'!H167,"PASS","FAIL"),1,0)</x:f>
        <x:v>1</x:v>
      </x:c>
      <x:c r="F902" s="21" t="n">
        <x:v>1</x:v>
      </x:c>
      <x:c r="G902" s="23" t="str">
        <x:f>IF(E902=F902,"PASS","FAIL")</x:f>
        <x:v>PASS</x:v>
      </x:c>
    </x:row>
    <x:row r="903">
      <x:c r="B903" s="21" t="str">
        <x:v>A0897</x:v>
      </x:c>
      <x:c r="C903" s="21" t="str">
        <x:v>paper gate</x:v>
      </x:c>
      <x:c r="D903" s="21" t="str">
        <x:v>gate 168 binary observation</x:v>
      </x:c>
      <x:c r="E903" s="21" t="n">
        <x:f>IF(OR('Paper Gates'!G168=0,'Paper Gates'!G168=1),1,0)</x:f>
        <x:v>1</x:v>
      </x:c>
      <x:c r="F903" s="21" t="n">
        <x:v>1</x:v>
      </x:c>
      <x:c r="G903" s="23" t="str">
        <x:f>IF(E903=F903,"PASS","FAIL")</x:f>
        <x:v>PASS</x:v>
      </x:c>
    </x:row>
    <x:row r="904">
      <x:c r="B904" s="21" t="str">
        <x:v>A0898</x:v>
      </x:c>
      <x:c r="C904" s="21" t="str">
        <x:v>paper gate</x:v>
      </x:c>
      <x:c r="D904" s="21" t="str">
        <x:v>gate 168 fixed requirement</x:v>
      </x:c>
      <x:c r="E904" s="21" t="n">
        <x:f>IF('Paper Gates'!H168=1,1,0)</x:f>
        <x:v>1</x:v>
      </x:c>
      <x:c r="F904" s="21" t="n">
        <x:v>1</x:v>
      </x:c>
      <x:c r="G904" s="23" t="str">
        <x:f>IF(E904=F904,"PASS","FAIL")</x:f>
        <x:v>PASS</x:v>
      </x:c>
    </x:row>
    <x:row r="905">
      <x:c r="B905" s="21" t="str">
        <x:v>A0899</x:v>
      </x:c>
      <x:c r="C905" s="21" t="str">
        <x:v>paper gate</x:v>
      </x:c>
      <x:c r="D905" s="21" t="str">
        <x:v>gate 168 result reconciles</x:v>
      </x:c>
      <x:c r="E905" s="21" t="n">
        <x:f>IF('Paper Gates'!I168=IF('Paper Gates'!G168='Paper Gates'!H168,"PASS","FAIL"),1,0)</x:f>
        <x:v>1</x:v>
      </x:c>
      <x:c r="F905" s="21" t="n">
        <x:v>1</x:v>
      </x:c>
      <x:c r="G905" s="23" t="str">
        <x:f>IF(E905=F905,"PASS","FAIL")</x:f>
        <x:v>PASS</x:v>
      </x:c>
    </x:row>
    <x:row r="906">
      <x:c r="B906" s="21" t="str">
        <x:v>A0900</x:v>
      </x:c>
      <x:c r="C906" s="21" t="str">
        <x:v>paper gate</x:v>
      </x:c>
      <x:c r="D906" s="21" t="str">
        <x:v>gate 169 binary observation</x:v>
      </x:c>
      <x:c r="E906" s="21" t="n">
        <x:f>IF(OR('Paper Gates'!G169=0,'Paper Gates'!G169=1),1,0)</x:f>
        <x:v>1</x:v>
      </x:c>
      <x:c r="F906" s="21" t="n">
        <x:v>1</x:v>
      </x:c>
      <x:c r="G906" s="23" t="str">
        <x:f>IF(E906=F906,"PASS","FAIL")</x:f>
        <x:v>PASS</x:v>
      </x:c>
    </x:row>
    <x:row r="907">
      <x:c r="B907" s="21" t="str">
        <x:v>A0901</x:v>
      </x:c>
      <x:c r="C907" s="21" t="str">
        <x:v>paper gate</x:v>
      </x:c>
      <x:c r="D907" s="21" t="str">
        <x:v>gate 169 fixed requirement</x:v>
      </x:c>
      <x:c r="E907" s="21" t="n">
        <x:f>IF('Paper Gates'!H169=1,1,0)</x:f>
        <x:v>1</x:v>
      </x:c>
      <x:c r="F907" s="21" t="n">
        <x:v>1</x:v>
      </x:c>
      <x:c r="G907" s="23" t="str">
        <x:f>IF(E907=F907,"PASS","FAIL")</x:f>
        <x:v>PASS</x:v>
      </x:c>
    </x:row>
    <x:row r="908">
      <x:c r="B908" s="21" t="str">
        <x:v>A0902</x:v>
      </x:c>
      <x:c r="C908" s="21" t="str">
        <x:v>paper gate</x:v>
      </x:c>
      <x:c r="D908" s="21" t="str">
        <x:v>gate 169 result reconciles</x:v>
      </x:c>
      <x:c r="E908" s="21" t="n">
        <x:f>IF('Paper Gates'!I169=IF('Paper Gates'!G169='Paper Gates'!H169,"PASS","FAIL"),1,0)</x:f>
        <x:v>1</x:v>
      </x:c>
      <x:c r="F908" s="21" t="n">
        <x:v>1</x:v>
      </x:c>
      <x:c r="G908" s="23" t="str">
        <x:f>IF(E908=F908,"PASS","FAIL")</x:f>
        <x:v>PASS</x:v>
      </x:c>
    </x:row>
    <x:row r="909">
      <x:c r="B909" s="21" t="str">
        <x:v>A0903</x:v>
      </x:c>
      <x:c r="C909" s="21" t="str">
        <x:v>paper gate</x:v>
      </x:c>
      <x:c r="D909" s="21" t="str">
        <x:v>gate 170 binary observation</x:v>
      </x:c>
      <x:c r="E909" s="21" t="n">
        <x:f>IF(OR('Paper Gates'!G170=0,'Paper Gates'!G170=1),1,0)</x:f>
        <x:v>1</x:v>
      </x:c>
      <x:c r="F909" s="21" t="n">
        <x:v>1</x:v>
      </x:c>
      <x:c r="G909" s="23" t="str">
        <x:f>IF(E909=F909,"PASS","FAIL")</x:f>
        <x:v>PASS</x:v>
      </x:c>
    </x:row>
    <x:row r="910">
      <x:c r="B910" s="21" t="str">
        <x:v>A0904</x:v>
      </x:c>
      <x:c r="C910" s="21" t="str">
        <x:v>paper gate</x:v>
      </x:c>
      <x:c r="D910" s="21" t="str">
        <x:v>gate 170 fixed requirement</x:v>
      </x:c>
      <x:c r="E910" s="21" t="n">
        <x:f>IF('Paper Gates'!H170=1,1,0)</x:f>
        <x:v>1</x:v>
      </x:c>
      <x:c r="F910" s="21" t="n">
        <x:v>1</x:v>
      </x:c>
      <x:c r="G910" s="23" t="str">
        <x:f>IF(E910=F910,"PASS","FAIL")</x:f>
        <x:v>PASS</x:v>
      </x:c>
    </x:row>
    <x:row r="911">
      <x:c r="B911" s="21" t="str">
        <x:v>A0905</x:v>
      </x:c>
      <x:c r="C911" s="21" t="str">
        <x:v>paper gate</x:v>
      </x:c>
      <x:c r="D911" s="21" t="str">
        <x:v>gate 170 result reconciles</x:v>
      </x:c>
      <x:c r="E911" s="21" t="n">
        <x:f>IF('Paper Gates'!I170=IF('Paper Gates'!G170='Paper Gates'!H170,"PASS","FAIL"),1,0)</x:f>
        <x:v>1</x:v>
      </x:c>
      <x:c r="F911" s="21" t="n">
        <x:v>1</x:v>
      </x:c>
      <x:c r="G911" s="23" t="str">
        <x:f>IF(E911=F911,"PASS","FAIL")</x:f>
        <x:v>PASS</x:v>
      </x:c>
    </x:row>
    <x:row r="912">
      <x:c r="B912" s="21" t="str">
        <x:v>A0906</x:v>
      </x:c>
      <x:c r="C912" s="21" t="str">
        <x:v>paper gate</x:v>
      </x:c>
      <x:c r="D912" s="21" t="str">
        <x:v>gate 171 binary observation</x:v>
      </x:c>
      <x:c r="E912" s="21" t="n">
        <x:f>IF(OR('Paper Gates'!G171=0,'Paper Gates'!G171=1),1,0)</x:f>
        <x:v>1</x:v>
      </x:c>
      <x:c r="F912" s="21" t="n">
        <x:v>1</x:v>
      </x:c>
      <x:c r="G912" s="23" t="str">
        <x:f>IF(E912=F912,"PASS","FAIL")</x:f>
        <x:v>PASS</x:v>
      </x:c>
    </x:row>
    <x:row r="913">
      <x:c r="B913" s="21" t="str">
        <x:v>A0907</x:v>
      </x:c>
      <x:c r="C913" s="21" t="str">
        <x:v>paper gate</x:v>
      </x:c>
      <x:c r="D913" s="21" t="str">
        <x:v>gate 171 fixed requirement</x:v>
      </x:c>
      <x:c r="E913" s="21" t="n">
        <x:f>IF('Paper Gates'!H171=1,1,0)</x:f>
        <x:v>1</x:v>
      </x:c>
      <x:c r="F913" s="21" t="n">
        <x:v>1</x:v>
      </x:c>
      <x:c r="G913" s="23" t="str">
        <x:f>IF(E913=F913,"PASS","FAIL")</x:f>
        <x:v>PASS</x:v>
      </x:c>
    </x:row>
    <x:row r="914">
      <x:c r="B914" s="21" t="str">
        <x:v>A0908</x:v>
      </x:c>
      <x:c r="C914" s="21" t="str">
        <x:v>paper gate</x:v>
      </x:c>
      <x:c r="D914" s="21" t="str">
        <x:v>gate 171 result reconciles</x:v>
      </x:c>
      <x:c r="E914" s="21" t="n">
        <x:f>IF('Paper Gates'!I171=IF('Paper Gates'!G171='Paper Gates'!H171,"PASS","FAIL"),1,0)</x:f>
        <x:v>1</x:v>
      </x:c>
      <x:c r="F914" s="21" t="n">
        <x:v>1</x:v>
      </x:c>
      <x:c r="G914" s="23" t="str">
        <x:f>IF(E914=F914,"PASS","FAIL")</x:f>
        <x:v>PASS</x:v>
      </x:c>
    </x:row>
    <x:row r="915">
      <x:c r="B915" s="21" t="str">
        <x:v>A0909</x:v>
      </x:c>
      <x:c r="C915" s="21" t="str">
        <x:v>paper gate</x:v>
      </x:c>
      <x:c r="D915" s="21" t="str">
        <x:v>gate 172 binary observation</x:v>
      </x:c>
      <x:c r="E915" s="21" t="n">
        <x:f>IF(OR('Paper Gates'!G172=0,'Paper Gates'!G172=1),1,0)</x:f>
        <x:v>1</x:v>
      </x:c>
      <x:c r="F915" s="21" t="n">
        <x:v>1</x:v>
      </x:c>
      <x:c r="G915" s="23" t="str">
        <x:f>IF(E915=F915,"PASS","FAIL")</x:f>
        <x:v>PASS</x:v>
      </x:c>
    </x:row>
    <x:row r="916">
      <x:c r="B916" s="21" t="str">
        <x:v>A0910</x:v>
      </x:c>
      <x:c r="C916" s="21" t="str">
        <x:v>paper gate</x:v>
      </x:c>
      <x:c r="D916" s="21" t="str">
        <x:v>gate 172 fixed requirement</x:v>
      </x:c>
      <x:c r="E916" s="21" t="n">
        <x:f>IF('Paper Gates'!H172=1,1,0)</x:f>
        <x:v>1</x:v>
      </x:c>
      <x:c r="F916" s="21" t="n">
        <x:v>1</x:v>
      </x:c>
      <x:c r="G916" s="23" t="str">
        <x:f>IF(E916=F916,"PASS","FAIL")</x:f>
        <x:v>PASS</x:v>
      </x:c>
    </x:row>
    <x:row r="917">
      <x:c r="B917" s="21" t="str">
        <x:v>A0911</x:v>
      </x:c>
      <x:c r="C917" s="21" t="str">
        <x:v>paper gate</x:v>
      </x:c>
      <x:c r="D917" s="21" t="str">
        <x:v>gate 172 result reconciles</x:v>
      </x:c>
      <x:c r="E917" s="21" t="n">
        <x:f>IF('Paper Gates'!I172=IF('Paper Gates'!G172='Paper Gates'!H172,"PASS","FAIL"),1,0)</x:f>
        <x:v>1</x:v>
      </x:c>
      <x:c r="F917" s="21" t="n">
        <x:v>1</x:v>
      </x:c>
      <x:c r="G917" s="23" t="str">
        <x:f>IF(E917=F917,"PASS","FAIL")</x:f>
        <x:v>PASS</x:v>
      </x:c>
    </x:row>
    <x:row r="918">
      <x:c r="B918" s="21" t="str">
        <x:v>A0912</x:v>
      </x:c>
      <x:c r="C918" s="21" t="str">
        <x:v>paper gate</x:v>
      </x:c>
      <x:c r="D918" s="21" t="str">
        <x:v>gate 173 binary observation</x:v>
      </x:c>
      <x:c r="E918" s="21" t="n">
        <x:f>IF(OR('Paper Gates'!G173=0,'Paper Gates'!G173=1),1,0)</x:f>
        <x:v>1</x:v>
      </x:c>
      <x:c r="F918" s="21" t="n">
        <x:v>1</x:v>
      </x:c>
      <x:c r="G918" s="23" t="str">
        <x:f>IF(E918=F918,"PASS","FAIL")</x:f>
        <x:v>PASS</x:v>
      </x:c>
    </x:row>
    <x:row r="919">
      <x:c r="B919" s="21" t="str">
        <x:v>A0913</x:v>
      </x:c>
      <x:c r="C919" s="21" t="str">
        <x:v>paper gate</x:v>
      </x:c>
      <x:c r="D919" s="21" t="str">
        <x:v>gate 173 fixed requirement</x:v>
      </x:c>
      <x:c r="E919" s="21" t="n">
        <x:f>IF('Paper Gates'!H173=1,1,0)</x:f>
        <x:v>1</x:v>
      </x:c>
      <x:c r="F919" s="21" t="n">
        <x:v>1</x:v>
      </x:c>
      <x:c r="G919" s="23" t="str">
        <x:f>IF(E919=F919,"PASS","FAIL")</x:f>
        <x:v>PASS</x:v>
      </x:c>
    </x:row>
    <x:row r="920">
      <x:c r="B920" s="21" t="str">
        <x:v>A0914</x:v>
      </x:c>
      <x:c r="C920" s="21" t="str">
        <x:v>paper gate</x:v>
      </x:c>
      <x:c r="D920" s="21" t="str">
        <x:v>gate 173 result reconciles</x:v>
      </x:c>
      <x:c r="E920" s="21" t="n">
        <x:f>IF('Paper Gates'!I173=IF('Paper Gates'!G173='Paper Gates'!H173,"PASS","FAIL"),1,0)</x:f>
        <x:v>1</x:v>
      </x:c>
      <x:c r="F920" s="21" t="n">
        <x:v>1</x:v>
      </x:c>
      <x:c r="G920" s="23" t="str">
        <x:f>IF(E920=F920,"PASS","FAIL")</x:f>
        <x:v>PASS</x:v>
      </x:c>
    </x:row>
    <x:row r="921">
      <x:c r="B921" s="21" t="str">
        <x:v>A0915</x:v>
      </x:c>
      <x:c r="C921" s="21" t="str">
        <x:v>paper gate</x:v>
      </x:c>
      <x:c r="D921" s="21" t="str">
        <x:v>gate 174 binary observation</x:v>
      </x:c>
      <x:c r="E921" s="21" t="n">
        <x:f>IF(OR('Paper Gates'!G174=0,'Paper Gates'!G174=1),1,0)</x:f>
        <x:v>1</x:v>
      </x:c>
      <x:c r="F921" s="21" t="n">
        <x:v>1</x:v>
      </x:c>
      <x:c r="G921" s="23" t="str">
        <x:f>IF(E921=F921,"PASS","FAIL")</x:f>
        <x:v>PASS</x:v>
      </x:c>
    </x:row>
    <x:row r="922">
      <x:c r="B922" s="21" t="str">
        <x:v>A0916</x:v>
      </x:c>
      <x:c r="C922" s="21" t="str">
        <x:v>paper gate</x:v>
      </x:c>
      <x:c r="D922" s="21" t="str">
        <x:v>gate 174 fixed requirement</x:v>
      </x:c>
      <x:c r="E922" s="21" t="n">
        <x:f>IF('Paper Gates'!H174=1,1,0)</x:f>
        <x:v>1</x:v>
      </x:c>
      <x:c r="F922" s="21" t="n">
        <x:v>1</x:v>
      </x:c>
      <x:c r="G922" s="23" t="str">
        <x:f>IF(E922=F922,"PASS","FAIL")</x:f>
        <x:v>PASS</x:v>
      </x:c>
    </x:row>
    <x:row r="923">
      <x:c r="B923" s="21" t="str">
        <x:v>A0917</x:v>
      </x:c>
      <x:c r="C923" s="21" t="str">
        <x:v>paper gate</x:v>
      </x:c>
      <x:c r="D923" s="21" t="str">
        <x:v>gate 174 result reconciles</x:v>
      </x:c>
      <x:c r="E923" s="21" t="n">
        <x:f>IF('Paper Gates'!I174=IF('Paper Gates'!G174='Paper Gates'!H174,"PASS","FAIL"),1,0)</x:f>
        <x:v>1</x:v>
      </x:c>
      <x:c r="F923" s="21" t="n">
        <x:v>1</x:v>
      </x:c>
      <x:c r="G923" s="23" t="str">
        <x:f>IF(E923=F923,"PASS","FAIL")</x:f>
        <x:v>PASS</x:v>
      </x:c>
    </x:row>
    <x:row r="924">
      <x:c r="B924" s="21" t="str">
        <x:v>A0918</x:v>
      </x:c>
      <x:c r="C924" s="21" t="str">
        <x:v>paper gate</x:v>
      </x:c>
      <x:c r="D924" s="21" t="str">
        <x:v>gate 175 binary observation</x:v>
      </x:c>
      <x:c r="E924" s="21" t="n">
        <x:f>IF(OR('Paper Gates'!G175=0,'Paper Gates'!G175=1),1,0)</x:f>
        <x:v>1</x:v>
      </x:c>
      <x:c r="F924" s="21" t="n">
        <x:v>1</x:v>
      </x:c>
      <x:c r="G924" s="23" t="str">
        <x:f>IF(E924=F924,"PASS","FAIL")</x:f>
        <x:v>PASS</x:v>
      </x:c>
    </x:row>
    <x:row r="925">
      <x:c r="B925" s="21" t="str">
        <x:v>A0919</x:v>
      </x:c>
      <x:c r="C925" s="21" t="str">
        <x:v>paper gate</x:v>
      </x:c>
      <x:c r="D925" s="21" t="str">
        <x:v>gate 175 fixed requirement</x:v>
      </x:c>
      <x:c r="E925" s="21" t="n">
        <x:f>IF('Paper Gates'!H175=1,1,0)</x:f>
        <x:v>1</x:v>
      </x:c>
      <x:c r="F925" s="21" t="n">
        <x:v>1</x:v>
      </x:c>
      <x:c r="G925" s="23" t="str">
        <x:f>IF(E925=F925,"PASS","FAIL")</x:f>
        <x:v>PASS</x:v>
      </x:c>
    </x:row>
    <x:row r="926">
      <x:c r="B926" s="21" t="str">
        <x:v>A0920</x:v>
      </x:c>
      <x:c r="C926" s="21" t="str">
        <x:v>paper gate</x:v>
      </x:c>
      <x:c r="D926" s="21" t="str">
        <x:v>gate 175 result reconciles</x:v>
      </x:c>
      <x:c r="E926" s="21" t="n">
        <x:f>IF('Paper Gates'!I175=IF('Paper Gates'!G175='Paper Gates'!H175,"PASS","FAIL"),1,0)</x:f>
        <x:v>1</x:v>
      </x:c>
      <x:c r="F926" s="21" t="n">
        <x:v>1</x:v>
      </x:c>
      <x:c r="G926" s="23" t="str">
        <x:f>IF(E926=F926,"PASS","FAIL")</x:f>
        <x:v>PASS</x:v>
      </x:c>
    </x:row>
    <x:row r="927">
      <x:c r="B927" s="21" t="str">
        <x:v>A0921</x:v>
      </x:c>
      <x:c r="C927" s="21" t="str">
        <x:v>paper gate</x:v>
      </x:c>
      <x:c r="D927" s="21" t="str">
        <x:v>gate 176 binary observation</x:v>
      </x:c>
      <x:c r="E927" s="21" t="n">
        <x:f>IF(OR('Paper Gates'!G176=0,'Paper Gates'!G176=1),1,0)</x:f>
        <x:v>1</x:v>
      </x:c>
      <x:c r="F927" s="21" t="n">
        <x:v>1</x:v>
      </x:c>
      <x:c r="G927" s="23" t="str">
        <x:f>IF(E927=F927,"PASS","FAIL")</x:f>
        <x:v>PASS</x:v>
      </x:c>
    </x:row>
    <x:row r="928">
      <x:c r="B928" s="21" t="str">
        <x:v>A0922</x:v>
      </x:c>
      <x:c r="C928" s="21" t="str">
        <x:v>paper gate</x:v>
      </x:c>
      <x:c r="D928" s="21" t="str">
        <x:v>gate 176 fixed requirement</x:v>
      </x:c>
      <x:c r="E928" s="21" t="n">
        <x:f>IF('Paper Gates'!H176=1,1,0)</x:f>
        <x:v>1</x:v>
      </x:c>
      <x:c r="F928" s="21" t="n">
        <x:v>1</x:v>
      </x:c>
      <x:c r="G928" s="23" t="str">
        <x:f>IF(E928=F928,"PASS","FAIL")</x:f>
        <x:v>PASS</x:v>
      </x:c>
    </x:row>
    <x:row r="929">
      <x:c r="B929" s="21" t="str">
        <x:v>A0923</x:v>
      </x:c>
      <x:c r="C929" s="21" t="str">
        <x:v>paper gate</x:v>
      </x:c>
      <x:c r="D929" s="21" t="str">
        <x:v>gate 176 result reconciles</x:v>
      </x:c>
      <x:c r="E929" s="21" t="n">
        <x:f>IF('Paper Gates'!I176=IF('Paper Gates'!G176='Paper Gates'!H176,"PASS","FAIL"),1,0)</x:f>
        <x:v>1</x:v>
      </x:c>
      <x:c r="F929" s="21" t="n">
        <x:v>1</x:v>
      </x:c>
      <x:c r="G929" s="23" t="str">
        <x:f>IF(E929=F929,"PASS","FAIL")</x:f>
        <x:v>PASS</x:v>
      </x:c>
    </x:row>
    <x:row r="930">
      <x:c r="B930" s="21" t="str">
        <x:v>A0924</x:v>
      </x:c>
      <x:c r="C930" s="21" t="str">
        <x:v>paper gate</x:v>
      </x:c>
      <x:c r="D930" s="21" t="str">
        <x:v>gate 177 binary observation</x:v>
      </x:c>
      <x:c r="E930" s="21" t="n">
        <x:f>IF(OR('Paper Gates'!G177=0,'Paper Gates'!G177=1),1,0)</x:f>
        <x:v>1</x:v>
      </x:c>
      <x:c r="F930" s="21" t="n">
        <x:v>1</x:v>
      </x:c>
      <x:c r="G930" s="23" t="str">
        <x:f>IF(E930=F930,"PASS","FAIL")</x:f>
        <x:v>PASS</x:v>
      </x:c>
    </x:row>
    <x:row r="931">
      <x:c r="B931" s="21" t="str">
        <x:v>A0925</x:v>
      </x:c>
      <x:c r="C931" s="21" t="str">
        <x:v>paper gate</x:v>
      </x:c>
      <x:c r="D931" s="21" t="str">
        <x:v>gate 177 fixed requirement</x:v>
      </x:c>
      <x:c r="E931" s="21" t="n">
        <x:f>IF('Paper Gates'!H177=1,1,0)</x:f>
        <x:v>1</x:v>
      </x:c>
      <x:c r="F931" s="21" t="n">
        <x:v>1</x:v>
      </x:c>
      <x:c r="G931" s="23" t="str">
        <x:f>IF(E931=F931,"PASS","FAIL")</x:f>
        <x:v>PASS</x:v>
      </x:c>
    </x:row>
    <x:row r="932">
      <x:c r="B932" s="21" t="str">
        <x:v>A0926</x:v>
      </x:c>
      <x:c r="C932" s="21" t="str">
        <x:v>paper gate</x:v>
      </x:c>
      <x:c r="D932" s="21" t="str">
        <x:v>gate 177 result reconciles</x:v>
      </x:c>
      <x:c r="E932" s="21" t="n">
        <x:f>IF('Paper Gates'!I177=IF('Paper Gates'!G177='Paper Gates'!H177,"PASS","FAIL"),1,0)</x:f>
        <x:v>1</x:v>
      </x:c>
      <x:c r="F932" s="21" t="n">
        <x:v>1</x:v>
      </x:c>
      <x:c r="G932" s="23" t="str">
        <x:f>IF(E932=F932,"PASS","FAIL")</x:f>
        <x:v>PASS</x:v>
      </x:c>
    </x:row>
    <x:row r="933">
      <x:c r="B933" s="21" t="str">
        <x:v>A0927</x:v>
      </x:c>
      <x:c r="C933" s="21" t="str">
        <x:v>paper gate</x:v>
      </x:c>
      <x:c r="D933" s="21" t="str">
        <x:v>gate 178 binary observation</x:v>
      </x:c>
      <x:c r="E933" s="21" t="n">
        <x:f>IF(OR('Paper Gates'!G178=0,'Paper Gates'!G178=1),1,0)</x:f>
        <x:v>1</x:v>
      </x:c>
      <x:c r="F933" s="21" t="n">
        <x:v>1</x:v>
      </x:c>
      <x:c r="G933" s="23" t="str">
        <x:f>IF(E933=F933,"PASS","FAIL")</x:f>
        <x:v>PASS</x:v>
      </x:c>
    </x:row>
    <x:row r="934">
      <x:c r="B934" s="21" t="str">
        <x:v>A0928</x:v>
      </x:c>
      <x:c r="C934" s="21" t="str">
        <x:v>paper gate</x:v>
      </x:c>
      <x:c r="D934" s="21" t="str">
        <x:v>gate 178 fixed requirement</x:v>
      </x:c>
      <x:c r="E934" s="21" t="n">
        <x:f>IF('Paper Gates'!H178=1,1,0)</x:f>
        <x:v>1</x:v>
      </x:c>
      <x:c r="F934" s="21" t="n">
        <x:v>1</x:v>
      </x:c>
      <x:c r="G934" s="23" t="str">
        <x:f>IF(E934=F934,"PASS","FAIL")</x:f>
        <x:v>PASS</x:v>
      </x:c>
    </x:row>
    <x:row r="935">
      <x:c r="B935" s="21" t="str">
        <x:v>A0929</x:v>
      </x:c>
      <x:c r="C935" s="21" t="str">
        <x:v>paper gate</x:v>
      </x:c>
      <x:c r="D935" s="21" t="str">
        <x:v>gate 178 result reconciles</x:v>
      </x:c>
      <x:c r="E935" s="21" t="n">
        <x:f>IF('Paper Gates'!I178=IF('Paper Gates'!G178='Paper Gates'!H178,"PASS","FAIL"),1,0)</x:f>
        <x:v>1</x:v>
      </x:c>
      <x:c r="F935" s="21" t="n">
        <x:v>1</x:v>
      </x:c>
      <x:c r="G935" s="23" t="str">
        <x:f>IF(E935=F935,"PASS","FAIL")</x:f>
        <x:v>PASS</x:v>
      </x:c>
    </x:row>
    <x:row r="936">
      <x:c r="B936" s="21" t="str">
        <x:v>A0930</x:v>
      </x:c>
      <x:c r="C936" s="21" t="str">
        <x:v>paper gate</x:v>
      </x:c>
      <x:c r="D936" s="21" t="str">
        <x:v>gate 179 binary observation</x:v>
      </x:c>
      <x:c r="E936" s="21" t="n">
        <x:f>IF(OR('Paper Gates'!G179=0,'Paper Gates'!G179=1),1,0)</x:f>
        <x:v>1</x:v>
      </x:c>
      <x:c r="F936" s="21" t="n">
        <x:v>1</x:v>
      </x:c>
      <x:c r="G936" s="23" t="str">
        <x:f>IF(E936=F936,"PASS","FAIL")</x:f>
        <x:v>PASS</x:v>
      </x:c>
    </x:row>
    <x:row r="937">
      <x:c r="B937" s="21" t="str">
        <x:v>A0931</x:v>
      </x:c>
      <x:c r="C937" s="21" t="str">
        <x:v>paper gate</x:v>
      </x:c>
      <x:c r="D937" s="21" t="str">
        <x:v>gate 179 fixed requirement</x:v>
      </x:c>
      <x:c r="E937" s="21" t="n">
        <x:f>IF('Paper Gates'!H179=1,1,0)</x:f>
        <x:v>1</x:v>
      </x:c>
      <x:c r="F937" s="21" t="n">
        <x:v>1</x:v>
      </x:c>
      <x:c r="G937" s="23" t="str">
        <x:f>IF(E937=F937,"PASS","FAIL")</x:f>
        <x:v>PASS</x:v>
      </x:c>
    </x:row>
    <x:row r="938">
      <x:c r="B938" s="21" t="str">
        <x:v>A0932</x:v>
      </x:c>
      <x:c r="C938" s="21" t="str">
        <x:v>paper gate</x:v>
      </x:c>
      <x:c r="D938" s="21" t="str">
        <x:v>gate 179 result reconciles</x:v>
      </x:c>
      <x:c r="E938" s="21" t="n">
        <x:f>IF('Paper Gates'!I179=IF('Paper Gates'!G179='Paper Gates'!H179,"PASS","FAIL"),1,0)</x:f>
        <x:v>1</x:v>
      </x:c>
      <x:c r="F938" s="21" t="n">
        <x:v>1</x:v>
      </x:c>
      <x:c r="G938" s="23" t="str">
        <x:f>IF(E938=F938,"PASS","FAIL")</x:f>
        <x:v>PASS</x:v>
      </x:c>
    </x:row>
    <x:row r="939">
      <x:c r="B939" s="21" t="str">
        <x:v>A0933</x:v>
      </x:c>
      <x:c r="C939" s="21" t="str">
        <x:v>paper gate</x:v>
      </x:c>
      <x:c r="D939" s="21" t="str">
        <x:v>gate 180 binary observation</x:v>
      </x:c>
      <x:c r="E939" s="21" t="n">
        <x:f>IF(OR('Paper Gates'!G180=0,'Paper Gates'!G180=1),1,0)</x:f>
        <x:v>1</x:v>
      </x:c>
      <x:c r="F939" s="21" t="n">
        <x:v>1</x:v>
      </x:c>
      <x:c r="G939" s="23" t="str">
        <x:f>IF(E939=F939,"PASS","FAIL")</x:f>
        <x:v>PASS</x:v>
      </x:c>
    </x:row>
    <x:row r="940">
      <x:c r="B940" s="21" t="str">
        <x:v>A0934</x:v>
      </x:c>
      <x:c r="C940" s="21" t="str">
        <x:v>paper gate</x:v>
      </x:c>
      <x:c r="D940" s="21" t="str">
        <x:v>gate 180 fixed requirement</x:v>
      </x:c>
      <x:c r="E940" s="21" t="n">
        <x:f>IF('Paper Gates'!H180=1,1,0)</x:f>
        <x:v>1</x:v>
      </x:c>
      <x:c r="F940" s="21" t="n">
        <x:v>1</x:v>
      </x:c>
      <x:c r="G940" s="23" t="str">
        <x:f>IF(E940=F940,"PASS","FAIL")</x:f>
        <x:v>PASS</x:v>
      </x:c>
    </x:row>
    <x:row r="941">
      <x:c r="B941" s="21" t="str">
        <x:v>A0935</x:v>
      </x:c>
      <x:c r="C941" s="21" t="str">
        <x:v>paper gate</x:v>
      </x:c>
      <x:c r="D941" s="21" t="str">
        <x:v>gate 180 result reconciles</x:v>
      </x:c>
      <x:c r="E941" s="21" t="n">
        <x:f>IF('Paper Gates'!I180=IF('Paper Gates'!G180='Paper Gates'!H180,"PASS","FAIL"),1,0)</x:f>
        <x:v>1</x:v>
      </x:c>
      <x:c r="F941" s="21" t="n">
        <x:v>1</x:v>
      </x:c>
      <x:c r="G941" s="23" t="str">
        <x:f>IF(E941=F941,"PASS","FAIL")</x:f>
        <x:v>PASS</x:v>
      </x:c>
    </x:row>
    <x:row r="942">
      <x:c r="B942" s="21" t="str">
        <x:v>A0936</x:v>
      </x:c>
      <x:c r="C942" s="21" t="str">
        <x:v>paper gate</x:v>
      </x:c>
      <x:c r="D942" s="21" t="str">
        <x:v>gate 181 binary observation</x:v>
      </x:c>
      <x:c r="E942" s="21" t="n">
        <x:f>IF(OR('Paper Gates'!G181=0,'Paper Gates'!G181=1),1,0)</x:f>
        <x:v>1</x:v>
      </x:c>
      <x:c r="F942" s="21" t="n">
        <x:v>1</x:v>
      </x:c>
      <x:c r="G942" s="23" t="str">
        <x:f>IF(E942=F942,"PASS","FAIL")</x:f>
        <x:v>PASS</x:v>
      </x:c>
    </x:row>
    <x:row r="943">
      <x:c r="B943" s="21" t="str">
        <x:v>A0937</x:v>
      </x:c>
      <x:c r="C943" s="21" t="str">
        <x:v>paper gate</x:v>
      </x:c>
      <x:c r="D943" s="21" t="str">
        <x:v>gate 181 fixed requirement</x:v>
      </x:c>
      <x:c r="E943" s="21" t="n">
        <x:f>IF('Paper Gates'!H181=1,1,0)</x:f>
        <x:v>1</x:v>
      </x:c>
      <x:c r="F943" s="21" t="n">
        <x:v>1</x:v>
      </x:c>
      <x:c r="G943" s="23" t="str">
        <x:f>IF(E943=F943,"PASS","FAIL")</x:f>
        <x:v>PASS</x:v>
      </x:c>
    </x:row>
    <x:row r="944">
      <x:c r="B944" s="21" t="str">
        <x:v>A0938</x:v>
      </x:c>
      <x:c r="C944" s="21" t="str">
        <x:v>paper gate</x:v>
      </x:c>
      <x:c r="D944" s="21" t="str">
        <x:v>gate 181 result reconciles</x:v>
      </x:c>
      <x:c r="E944" s="21" t="n">
        <x:f>IF('Paper Gates'!I181=IF('Paper Gates'!G181='Paper Gates'!H181,"PASS","FAIL"),1,0)</x:f>
        <x:v>1</x:v>
      </x:c>
      <x:c r="F944" s="21" t="n">
        <x:v>1</x:v>
      </x:c>
      <x:c r="G944" s="23" t="str">
        <x:f>IF(E944=F944,"PASS","FAIL")</x:f>
        <x:v>PASS</x:v>
      </x:c>
    </x:row>
    <x:row r="945">
      <x:c r="B945" s="21" t="str">
        <x:v>A0939</x:v>
      </x:c>
      <x:c r="C945" s="21" t="str">
        <x:v>paper gate</x:v>
      </x:c>
      <x:c r="D945" s="21" t="str">
        <x:v>gate 182 binary observation</x:v>
      </x:c>
      <x:c r="E945" s="21" t="n">
        <x:f>IF(OR('Paper Gates'!G182=0,'Paper Gates'!G182=1),1,0)</x:f>
        <x:v>1</x:v>
      </x:c>
      <x:c r="F945" s="21" t="n">
        <x:v>1</x:v>
      </x:c>
      <x:c r="G945" s="23" t="str">
        <x:f>IF(E945=F945,"PASS","FAIL")</x:f>
        <x:v>PASS</x:v>
      </x:c>
    </x:row>
    <x:row r="946">
      <x:c r="B946" s="21" t="str">
        <x:v>A0940</x:v>
      </x:c>
      <x:c r="C946" s="21" t="str">
        <x:v>paper gate</x:v>
      </x:c>
      <x:c r="D946" s="21" t="str">
        <x:v>gate 182 fixed requirement</x:v>
      </x:c>
      <x:c r="E946" s="21" t="n">
        <x:f>IF('Paper Gates'!H182=1,1,0)</x:f>
        <x:v>1</x:v>
      </x:c>
      <x:c r="F946" s="21" t="n">
        <x:v>1</x:v>
      </x:c>
      <x:c r="G946" s="23" t="str">
        <x:f>IF(E946=F946,"PASS","FAIL")</x:f>
        <x:v>PASS</x:v>
      </x:c>
    </x:row>
    <x:row r="947">
      <x:c r="B947" s="21" t="str">
        <x:v>A0941</x:v>
      </x:c>
      <x:c r="C947" s="21" t="str">
        <x:v>paper gate</x:v>
      </x:c>
      <x:c r="D947" s="21" t="str">
        <x:v>gate 182 result reconciles</x:v>
      </x:c>
      <x:c r="E947" s="21" t="n">
        <x:f>IF('Paper Gates'!I182=IF('Paper Gates'!G182='Paper Gates'!H182,"PASS","FAIL"),1,0)</x:f>
        <x:v>1</x:v>
      </x:c>
      <x:c r="F947" s="21" t="n">
        <x:v>1</x:v>
      </x:c>
      <x:c r="G947" s="23" t="str">
        <x:f>IF(E947=F947,"PASS","FAIL")</x:f>
        <x:v>PASS</x:v>
      </x:c>
    </x:row>
    <x:row r="948">
      <x:c r="B948" s="21" t="str">
        <x:v>A0942</x:v>
      </x:c>
      <x:c r="C948" s="21" t="str">
        <x:v>paper gate</x:v>
      </x:c>
      <x:c r="D948" s="21" t="str">
        <x:v>gate 183 binary observation</x:v>
      </x:c>
      <x:c r="E948" s="21" t="n">
        <x:f>IF(OR('Paper Gates'!G183=0,'Paper Gates'!G183=1),1,0)</x:f>
        <x:v>1</x:v>
      </x:c>
      <x:c r="F948" s="21" t="n">
        <x:v>1</x:v>
      </x:c>
      <x:c r="G948" s="23" t="str">
        <x:f>IF(E948=F948,"PASS","FAIL")</x:f>
        <x:v>PASS</x:v>
      </x:c>
    </x:row>
    <x:row r="949">
      <x:c r="B949" s="21" t="str">
        <x:v>A0943</x:v>
      </x:c>
      <x:c r="C949" s="21" t="str">
        <x:v>paper gate</x:v>
      </x:c>
      <x:c r="D949" s="21" t="str">
        <x:v>gate 183 fixed requirement</x:v>
      </x:c>
      <x:c r="E949" s="21" t="n">
        <x:f>IF('Paper Gates'!H183=1,1,0)</x:f>
        <x:v>1</x:v>
      </x:c>
      <x:c r="F949" s="21" t="n">
        <x:v>1</x:v>
      </x:c>
      <x:c r="G949" s="23" t="str">
        <x:f>IF(E949=F949,"PASS","FAIL")</x:f>
        <x:v>PASS</x:v>
      </x:c>
    </x:row>
    <x:row r="950">
      <x:c r="B950" s="21" t="str">
        <x:v>A0944</x:v>
      </x:c>
      <x:c r="C950" s="21" t="str">
        <x:v>paper gate</x:v>
      </x:c>
      <x:c r="D950" s="21" t="str">
        <x:v>gate 183 result reconciles</x:v>
      </x:c>
      <x:c r="E950" s="21" t="n">
        <x:f>IF('Paper Gates'!I183=IF('Paper Gates'!G183='Paper Gates'!H183,"PASS","FAIL"),1,0)</x:f>
        <x:v>1</x:v>
      </x:c>
      <x:c r="F950" s="21" t="n">
        <x:v>1</x:v>
      </x:c>
      <x:c r="G950" s="23" t="str">
        <x:f>IF(E950=F950,"PASS","FAIL")</x:f>
        <x:v>PASS</x:v>
      </x:c>
    </x:row>
    <x:row r="951">
      <x:c r="B951" s="21" t="str">
        <x:v>A0945</x:v>
      </x:c>
      <x:c r="C951" s="21" t="str">
        <x:v>paper gate</x:v>
      </x:c>
      <x:c r="D951" s="21" t="str">
        <x:v>gate 184 binary observation</x:v>
      </x:c>
      <x:c r="E951" s="21" t="n">
        <x:f>IF(OR('Paper Gates'!G184=0,'Paper Gates'!G184=1),1,0)</x:f>
        <x:v>1</x:v>
      </x:c>
      <x:c r="F951" s="21" t="n">
        <x:v>1</x:v>
      </x:c>
      <x:c r="G951" s="23" t="str">
        <x:f>IF(E951=F951,"PASS","FAIL")</x:f>
        <x:v>PASS</x:v>
      </x:c>
    </x:row>
    <x:row r="952">
      <x:c r="B952" s="21" t="str">
        <x:v>A0946</x:v>
      </x:c>
      <x:c r="C952" s="21" t="str">
        <x:v>paper gate</x:v>
      </x:c>
      <x:c r="D952" s="21" t="str">
        <x:v>gate 184 fixed requirement</x:v>
      </x:c>
      <x:c r="E952" s="21" t="n">
        <x:f>IF('Paper Gates'!H184=1,1,0)</x:f>
        <x:v>1</x:v>
      </x:c>
      <x:c r="F952" s="21" t="n">
        <x:v>1</x:v>
      </x:c>
      <x:c r="G952" s="23" t="str">
        <x:f>IF(E952=F952,"PASS","FAIL")</x:f>
        <x:v>PASS</x:v>
      </x:c>
    </x:row>
    <x:row r="953">
      <x:c r="B953" s="21" t="str">
        <x:v>A0947</x:v>
      </x:c>
      <x:c r="C953" s="21" t="str">
        <x:v>paper gate</x:v>
      </x:c>
      <x:c r="D953" s="21" t="str">
        <x:v>gate 184 result reconciles</x:v>
      </x:c>
      <x:c r="E953" s="21" t="n">
        <x:f>IF('Paper Gates'!I184=IF('Paper Gates'!G184='Paper Gates'!H184,"PASS","FAIL"),1,0)</x:f>
        <x:v>1</x:v>
      </x:c>
      <x:c r="F953" s="21" t="n">
        <x:v>1</x:v>
      </x:c>
      <x:c r="G953" s="23" t="str">
        <x:f>IF(E953=F953,"PASS","FAIL")</x:f>
        <x:v>PASS</x:v>
      </x:c>
    </x:row>
    <x:row r="954">
      <x:c r="B954" s="21" t="str">
        <x:v>A0948</x:v>
      </x:c>
      <x:c r="C954" s="21" t="str">
        <x:v>paper gate</x:v>
      </x:c>
      <x:c r="D954" s="21" t="str">
        <x:v>gate 185 binary observation</x:v>
      </x:c>
      <x:c r="E954" s="21" t="n">
        <x:f>IF(OR('Paper Gates'!G185=0,'Paper Gates'!G185=1),1,0)</x:f>
        <x:v>1</x:v>
      </x:c>
      <x:c r="F954" s="21" t="n">
        <x:v>1</x:v>
      </x:c>
      <x:c r="G954" s="23" t="str">
        <x:f>IF(E954=F954,"PASS","FAIL")</x:f>
        <x:v>PASS</x:v>
      </x:c>
    </x:row>
    <x:row r="955">
      <x:c r="B955" s="21" t="str">
        <x:v>A0949</x:v>
      </x:c>
      <x:c r="C955" s="21" t="str">
        <x:v>paper gate</x:v>
      </x:c>
      <x:c r="D955" s="21" t="str">
        <x:v>gate 185 fixed requirement</x:v>
      </x:c>
      <x:c r="E955" s="21" t="n">
        <x:f>IF('Paper Gates'!H185=1,1,0)</x:f>
        <x:v>1</x:v>
      </x:c>
      <x:c r="F955" s="21" t="n">
        <x:v>1</x:v>
      </x:c>
      <x:c r="G955" s="23" t="str">
        <x:f>IF(E955=F955,"PASS","FAIL")</x:f>
        <x:v>PASS</x:v>
      </x:c>
    </x:row>
    <x:row r="956">
      <x:c r="B956" s="21" t="str">
        <x:v>A0950</x:v>
      </x:c>
      <x:c r="C956" s="21" t="str">
        <x:v>paper gate</x:v>
      </x:c>
      <x:c r="D956" s="21" t="str">
        <x:v>gate 185 result reconciles</x:v>
      </x:c>
      <x:c r="E956" s="21" t="n">
        <x:f>IF('Paper Gates'!I185=IF('Paper Gates'!G185='Paper Gates'!H185,"PASS","FAIL"),1,0)</x:f>
        <x:v>1</x:v>
      </x:c>
      <x:c r="F956" s="21" t="n">
        <x:v>1</x:v>
      </x:c>
      <x:c r="G956" s="23" t="str">
        <x:f>IF(E956=F956,"PASS","FAIL")</x:f>
        <x:v>PASS</x:v>
      </x:c>
    </x:row>
    <x:row r="957">
      <x:c r="B957" s="21" t="str">
        <x:v>A0951</x:v>
      </x:c>
      <x:c r="C957" s="21" t="str">
        <x:v>paper gate</x:v>
      </x:c>
      <x:c r="D957" s="21" t="str">
        <x:v>gate 186 binary observation</x:v>
      </x:c>
      <x:c r="E957" s="21" t="n">
        <x:f>IF(OR('Paper Gates'!G186=0,'Paper Gates'!G186=1),1,0)</x:f>
        <x:v>1</x:v>
      </x:c>
      <x:c r="F957" s="21" t="n">
        <x:v>1</x:v>
      </x:c>
      <x:c r="G957" s="23" t="str">
        <x:f>IF(E957=F957,"PASS","FAIL")</x:f>
        <x:v>PASS</x:v>
      </x:c>
    </x:row>
    <x:row r="958">
      <x:c r="B958" s="21" t="str">
        <x:v>A0952</x:v>
      </x:c>
      <x:c r="C958" s="21" t="str">
        <x:v>paper gate</x:v>
      </x:c>
      <x:c r="D958" s="21" t="str">
        <x:v>gate 186 fixed requirement</x:v>
      </x:c>
      <x:c r="E958" s="21" t="n">
        <x:f>IF('Paper Gates'!H186=1,1,0)</x:f>
        <x:v>1</x:v>
      </x:c>
      <x:c r="F958" s="21" t="n">
        <x:v>1</x:v>
      </x:c>
      <x:c r="G958" s="23" t="str">
        <x:f>IF(E958=F958,"PASS","FAIL")</x:f>
        <x:v>PASS</x:v>
      </x:c>
    </x:row>
    <x:row r="959">
      <x:c r="B959" s="21" t="str">
        <x:v>A0953</x:v>
      </x:c>
      <x:c r="C959" s="21" t="str">
        <x:v>paper gate</x:v>
      </x:c>
      <x:c r="D959" s="21" t="str">
        <x:v>gate 186 result reconciles</x:v>
      </x:c>
      <x:c r="E959" s="21" t="n">
        <x:f>IF('Paper Gates'!I186=IF('Paper Gates'!G186='Paper Gates'!H186,"PASS","FAIL"),1,0)</x:f>
        <x:v>1</x:v>
      </x:c>
      <x:c r="F959" s="21" t="n">
        <x:v>1</x:v>
      </x:c>
      <x:c r="G959" s="23" t="str">
        <x:f>IF(E959=F959,"PASS","FAIL")</x:f>
        <x:v>PASS</x:v>
      </x:c>
    </x:row>
    <x:row r="960">
      <x:c r="B960" s="21" t="str">
        <x:v>A0954</x:v>
      </x:c>
      <x:c r="C960" s="21" t="str">
        <x:v>paper gate</x:v>
      </x:c>
      <x:c r="D960" s="21" t="str">
        <x:v>gate 187 binary observation</x:v>
      </x:c>
      <x:c r="E960" s="21" t="n">
        <x:f>IF(OR('Paper Gates'!G187=0,'Paper Gates'!G187=1),1,0)</x:f>
        <x:v>1</x:v>
      </x:c>
      <x:c r="F960" s="21" t="n">
        <x:v>1</x:v>
      </x:c>
      <x:c r="G960" s="23" t="str">
        <x:f>IF(E960=F960,"PASS","FAIL")</x:f>
        <x:v>PASS</x:v>
      </x:c>
    </x:row>
    <x:row r="961">
      <x:c r="B961" s="21" t="str">
        <x:v>A0955</x:v>
      </x:c>
      <x:c r="C961" s="21" t="str">
        <x:v>paper gate</x:v>
      </x:c>
      <x:c r="D961" s="21" t="str">
        <x:v>gate 187 fixed requirement</x:v>
      </x:c>
      <x:c r="E961" s="21" t="n">
        <x:f>IF('Paper Gates'!H187=1,1,0)</x:f>
        <x:v>1</x:v>
      </x:c>
      <x:c r="F961" s="21" t="n">
        <x:v>1</x:v>
      </x:c>
      <x:c r="G961" s="23" t="str">
        <x:f>IF(E961=F961,"PASS","FAIL")</x:f>
        <x:v>PASS</x:v>
      </x:c>
    </x:row>
    <x:row r="962">
      <x:c r="B962" s="21" t="str">
        <x:v>A0956</x:v>
      </x:c>
      <x:c r="C962" s="21" t="str">
        <x:v>paper gate</x:v>
      </x:c>
      <x:c r="D962" s="21" t="str">
        <x:v>gate 187 result reconciles</x:v>
      </x:c>
      <x:c r="E962" s="21" t="n">
        <x:f>IF('Paper Gates'!I187=IF('Paper Gates'!G187='Paper Gates'!H187,"PASS","FAIL"),1,0)</x:f>
        <x:v>1</x:v>
      </x:c>
      <x:c r="F962" s="21" t="n">
        <x:v>1</x:v>
      </x:c>
      <x:c r="G962" s="23" t="str">
        <x:f>IF(E962=F962,"PASS","FAIL")</x:f>
        <x:v>PASS</x:v>
      </x:c>
    </x:row>
    <x:row r="963">
      <x:c r="B963" s="21" t="str">
        <x:v>A0957</x:v>
      </x:c>
      <x:c r="C963" s="21" t="str">
        <x:v>paper gate</x:v>
      </x:c>
      <x:c r="D963" s="21" t="str">
        <x:v>gate 188 binary observation</x:v>
      </x:c>
      <x:c r="E963" s="21" t="n">
        <x:f>IF(OR('Paper Gates'!G188=0,'Paper Gates'!G188=1),1,0)</x:f>
        <x:v>1</x:v>
      </x:c>
      <x:c r="F963" s="21" t="n">
        <x:v>1</x:v>
      </x:c>
      <x:c r="G963" s="23" t="str">
        <x:f>IF(E963=F963,"PASS","FAIL")</x:f>
        <x:v>PASS</x:v>
      </x:c>
    </x:row>
    <x:row r="964">
      <x:c r="B964" s="21" t="str">
        <x:v>A0958</x:v>
      </x:c>
      <x:c r="C964" s="21" t="str">
        <x:v>paper gate</x:v>
      </x:c>
      <x:c r="D964" s="21" t="str">
        <x:v>gate 188 fixed requirement</x:v>
      </x:c>
      <x:c r="E964" s="21" t="n">
        <x:f>IF('Paper Gates'!H188=1,1,0)</x:f>
        <x:v>1</x:v>
      </x:c>
      <x:c r="F964" s="21" t="n">
        <x:v>1</x:v>
      </x:c>
      <x:c r="G964" s="23" t="str">
        <x:f>IF(E964=F964,"PASS","FAIL")</x:f>
        <x:v>PASS</x:v>
      </x:c>
    </x:row>
    <x:row r="965">
      <x:c r="B965" s="21" t="str">
        <x:v>A0959</x:v>
      </x:c>
      <x:c r="C965" s="21" t="str">
        <x:v>paper gate</x:v>
      </x:c>
      <x:c r="D965" s="21" t="str">
        <x:v>gate 188 result reconciles</x:v>
      </x:c>
      <x:c r="E965" s="21" t="n">
        <x:f>IF('Paper Gates'!I188=IF('Paper Gates'!G188='Paper Gates'!H188,"PASS","FAIL"),1,0)</x:f>
        <x:v>1</x:v>
      </x:c>
      <x:c r="F965" s="21" t="n">
        <x:v>1</x:v>
      </x:c>
      <x:c r="G965" s="23" t="str">
        <x:f>IF(E965=F965,"PASS","FAIL")</x:f>
        <x:v>PASS</x:v>
      </x:c>
    </x:row>
    <x:row r="966">
      <x:c r="B966" s="21" t="str">
        <x:v>A0960</x:v>
      </x:c>
      <x:c r="C966" s="21" t="str">
        <x:v>paper gate</x:v>
      </x:c>
      <x:c r="D966" s="21" t="str">
        <x:v>gate 189 binary observation</x:v>
      </x:c>
      <x:c r="E966" s="21" t="n">
        <x:f>IF(OR('Paper Gates'!G189=0,'Paper Gates'!G189=1),1,0)</x:f>
        <x:v>1</x:v>
      </x:c>
      <x:c r="F966" s="21" t="n">
        <x:v>1</x:v>
      </x:c>
      <x:c r="G966" s="23" t="str">
        <x:f>IF(E966=F966,"PASS","FAIL")</x:f>
        <x:v>PASS</x:v>
      </x:c>
    </x:row>
    <x:row r="967">
      <x:c r="B967" s="21" t="str">
        <x:v>A0961</x:v>
      </x:c>
      <x:c r="C967" s="21" t="str">
        <x:v>paper gate</x:v>
      </x:c>
      <x:c r="D967" s="21" t="str">
        <x:v>gate 189 fixed requirement</x:v>
      </x:c>
      <x:c r="E967" s="21" t="n">
        <x:f>IF('Paper Gates'!H189=1,1,0)</x:f>
        <x:v>1</x:v>
      </x:c>
      <x:c r="F967" s="21" t="n">
        <x:v>1</x:v>
      </x:c>
      <x:c r="G967" s="23" t="str">
        <x:f>IF(E967=F967,"PASS","FAIL")</x:f>
        <x:v>PASS</x:v>
      </x:c>
    </x:row>
    <x:row r="968">
      <x:c r="B968" s="21" t="str">
        <x:v>A0962</x:v>
      </x:c>
      <x:c r="C968" s="21" t="str">
        <x:v>paper gate</x:v>
      </x:c>
      <x:c r="D968" s="21" t="str">
        <x:v>gate 189 result reconciles</x:v>
      </x:c>
      <x:c r="E968" s="21" t="n">
        <x:f>IF('Paper Gates'!I189=IF('Paper Gates'!G189='Paper Gates'!H189,"PASS","FAIL"),1,0)</x:f>
        <x:v>1</x:v>
      </x:c>
      <x:c r="F968" s="21" t="n">
        <x:v>1</x:v>
      </x:c>
      <x:c r="G968" s="23" t="str">
        <x:f>IF(E968=F968,"PASS","FAIL")</x:f>
        <x:v>PASS</x:v>
      </x:c>
    </x:row>
    <x:row r="969">
      <x:c r="B969" s="21" t="str">
        <x:v>A0963</x:v>
      </x:c>
      <x:c r="C969" s="21" t="str">
        <x:v>paper gate</x:v>
      </x:c>
      <x:c r="D969" s="21" t="str">
        <x:v>gate 190 binary observation</x:v>
      </x:c>
      <x:c r="E969" s="21" t="n">
        <x:f>IF(OR('Paper Gates'!G190=0,'Paper Gates'!G190=1),1,0)</x:f>
        <x:v>1</x:v>
      </x:c>
      <x:c r="F969" s="21" t="n">
        <x:v>1</x:v>
      </x:c>
      <x:c r="G969" s="23" t="str">
        <x:f>IF(E969=F969,"PASS","FAIL")</x:f>
        <x:v>PASS</x:v>
      </x:c>
    </x:row>
    <x:row r="970">
      <x:c r="B970" s="21" t="str">
        <x:v>A0964</x:v>
      </x:c>
      <x:c r="C970" s="21" t="str">
        <x:v>paper gate</x:v>
      </x:c>
      <x:c r="D970" s="21" t="str">
        <x:v>gate 190 fixed requirement</x:v>
      </x:c>
      <x:c r="E970" s="21" t="n">
        <x:f>IF('Paper Gates'!H190=1,1,0)</x:f>
        <x:v>1</x:v>
      </x:c>
      <x:c r="F970" s="21" t="n">
        <x:v>1</x:v>
      </x:c>
      <x:c r="G970" s="23" t="str">
        <x:f>IF(E970=F970,"PASS","FAIL")</x:f>
        <x:v>PASS</x:v>
      </x:c>
    </x:row>
    <x:row r="971">
      <x:c r="B971" s="21" t="str">
        <x:v>A0965</x:v>
      </x:c>
      <x:c r="C971" s="21" t="str">
        <x:v>paper gate</x:v>
      </x:c>
      <x:c r="D971" s="21" t="str">
        <x:v>gate 190 result reconciles</x:v>
      </x:c>
      <x:c r="E971" s="21" t="n">
        <x:f>IF('Paper Gates'!I190=IF('Paper Gates'!G190='Paper Gates'!H190,"PASS","FAIL"),1,0)</x:f>
        <x:v>1</x:v>
      </x:c>
      <x:c r="F971" s="21" t="n">
        <x:v>1</x:v>
      </x:c>
      <x:c r="G971" s="23" t="str">
        <x:f>IF(E971=F971,"PASS","FAIL")</x:f>
        <x:v>PASS</x:v>
      </x:c>
    </x:row>
    <x:row r="972">
      <x:c r="B972" s="21" t="str">
        <x:v>A0966</x:v>
      </x:c>
      <x:c r="C972" s="21" t="str">
        <x:v>paper gate</x:v>
      </x:c>
      <x:c r="D972" s="21" t="str">
        <x:v>gate 191 binary observation</x:v>
      </x:c>
      <x:c r="E972" s="21" t="n">
        <x:f>IF(OR('Paper Gates'!G191=0,'Paper Gates'!G191=1),1,0)</x:f>
        <x:v>1</x:v>
      </x:c>
      <x:c r="F972" s="21" t="n">
        <x:v>1</x:v>
      </x:c>
      <x:c r="G972" s="23" t="str">
        <x:f>IF(E972=F972,"PASS","FAIL")</x:f>
        <x:v>PASS</x:v>
      </x:c>
    </x:row>
    <x:row r="973">
      <x:c r="B973" s="21" t="str">
        <x:v>A0967</x:v>
      </x:c>
      <x:c r="C973" s="21" t="str">
        <x:v>paper gate</x:v>
      </x:c>
      <x:c r="D973" s="21" t="str">
        <x:v>gate 191 fixed requirement</x:v>
      </x:c>
      <x:c r="E973" s="21" t="n">
        <x:f>IF('Paper Gates'!H191=1,1,0)</x:f>
        <x:v>1</x:v>
      </x:c>
      <x:c r="F973" s="21" t="n">
        <x:v>1</x:v>
      </x:c>
      <x:c r="G973" s="23" t="str">
        <x:f>IF(E973=F973,"PASS","FAIL")</x:f>
        <x:v>PASS</x:v>
      </x:c>
    </x:row>
    <x:row r="974">
      <x:c r="B974" s="21" t="str">
        <x:v>A0968</x:v>
      </x:c>
      <x:c r="C974" s="21" t="str">
        <x:v>paper gate</x:v>
      </x:c>
      <x:c r="D974" s="21" t="str">
        <x:v>gate 191 result reconciles</x:v>
      </x:c>
      <x:c r="E974" s="21" t="n">
        <x:f>IF('Paper Gates'!I191=IF('Paper Gates'!G191='Paper Gates'!H191,"PASS","FAIL"),1,0)</x:f>
        <x:v>1</x:v>
      </x:c>
      <x:c r="F974" s="21" t="n">
        <x:v>1</x:v>
      </x:c>
      <x:c r="G974" s="23" t="str">
        <x:f>IF(E974=F974,"PASS","FAIL")</x:f>
        <x:v>PASS</x:v>
      </x:c>
    </x:row>
    <x:row r="975">
      <x:c r="B975" s="21" t="str">
        <x:v>A0969</x:v>
      </x:c>
      <x:c r="C975" s="21" t="str">
        <x:v>paper gate</x:v>
      </x:c>
      <x:c r="D975" s="21" t="str">
        <x:v>gate 192 binary observation</x:v>
      </x:c>
      <x:c r="E975" s="21" t="n">
        <x:f>IF(OR('Paper Gates'!G192=0,'Paper Gates'!G192=1),1,0)</x:f>
        <x:v>1</x:v>
      </x:c>
      <x:c r="F975" s="21" t="n">
        <x:v>1</x:v>
      </x:c>
      <x:c r="G975" s="23" t="str">
        <x:f>IF(E975=F975,"PASS","FAIL")</x:f>
        <x:v>PASS</x:v>
      </x:c>
    </x:row>
    <x:row r="976">
      <x:c r="B976" s="21" t="str">
        <x:v>A0970</x:v>
      </x:c>
      <x:c r="C976" s="21" t="str">
        <x:v>paper gate</x:v>
      </x:c>
      <x:c r="D976" s="21" t="str">
        <x:v>gate 192 fixed requirement</x:v>
      </x:c>
      <x:c r="E976" s="21" t="n">
        <x:f>IF('Paper Gates'!H192=1,1,0)</x:f>
        <x:v>1</x:v>
      </x:c>
      <x:c r="F976" s="21" t="n">
        <x:v>1</x:v>
      </x:c>
      <x:c r="G976" s="23" t="str">
        <x:f>IF(E976=F976,"PASS","FAIL")</x:f>
        <x:v>PASS</x:v>
      </x:c>
    </x:row>
    <x:row r="977">
      <x:c r="B977" s="21" t="str">
        <x:v>A0971</x:v>
      </x:c>
      <x:c r="C977" s="21" t="str">
        <x:v>paper gate</x:v>
      </x:c>
      <x:c r="D977" s="21" t="str">
        <x:v>gate 192 result reconciles</x:v>
      </x:c>
      <x:c r="E977" s="21" t="n">
        <x:f>IF('Paper Gates'!I192=IF('Paper Gates'!G192='Paper Gates'!H192,"PASS","FAIL"),1,0)</x:f>
        <x:v>1</x:v>
      </x:c>
      <x:c r="F977" s="21" t="n">
        <x:v>1</x:v>
      </x:c>
      <x:c r="G977" s="23" t="str">
        <x:f>IF(E977=F977,"PASS","FAIL")</x:f>
        <x:v>PASS</x:v>
      </x:c>
    </x:row>
    <x:row r="978">
      <x:c r="B978" s="21" t="str">
        <x:v>A0972</x:v>
      </x:c>
      <x:c r="C978" s="21" t="str">
        <x:v>paper gate</x:v>
      </x:c>
      <x:c r="D978" s="21" t="str">
        <x:v>gate 193 binary observation</x:v>
      </x:c>
      <x:c r="E978" s="21" t="n">
        <x:f>IF(OR('Paper Gates'!G193=0,'Paper Gates'!G193=1),1,0)</x:f>
        <x:v>1</x:v>
      </x:c>
      <x:c r="F978" s="21" t="n">
        <x:v>1</x:v>
      </x:c>
      <x:c r="G978" s="23" t="str">
        <x:f>IF(E978=F978,"PASS","FAIL")</x:f>
        <x:v>PASS</x:v>
      </x:c>
    </x:row>
    <x:row r="979">
      <x:c r="B979" s="21" t="str">
        <x:v>A0973</x:v>
      </x:c>
      <x:c r="C979" s="21" t="str">
        <x:v>paper gate</x:v>
      </x:c>
      <x:c r="D979" s="21" t="str">
        <x:v>gate 193 fixed requirement</x:v>
      </x:c>
      <x:c r="E979" s="21" t="n">
        <x:f>IF('Paper Gates'!H193=1,1,0)</x:f>
        <x:v>1</x:v>
      </x:c>
      <x:c r="F979" s="21" t="n">
        <x:v>1</x:v>
      </x:c>
      <x:c r="G979" s="23" t="str">
        <x:f>IF(E979=F979,"PASS","FAIL")</x:f>
        <x:v>PASS</x:v>
      </x:c>
    </x:row>
    <x:row r="980">
      <x:c r="B980" s="21" t="str">
        <x:v>A0974</x:v>
      </x:c>
      <x:c r="C980" s="21" t="str">
        <x:v>paper gate</x:v>
      </x:c>
      <x:c r="D980" s="21" t="str">
        <x:v>gate 193 result reconciles</x:v>
      </x:c>
      <x:c r="E980" s="21" t="n">
        <x:f>IF('Paper Gates'!I193=IF('Paper Gates'!G193='Paper Gates'!H193,"PASS","FAIL"),1,0)</x:f>
        <x:v>1</x:v>
      </x:c>
      <x:c r="F980" s="21" t="n">
        <x:v>1</x:v>
      </x:c>
      <x:c r="G980" s="23" t="str">
        <x:f>IF(E980=F980,"PASS","FAIL")</x:f>
        <x:v>PASS</x:v>
      </x:c>
    </x:row>
    <x:row r="981">
      <x:c r="B981" s="21" t="str">
        <x:v>A0975</x:v>
      </x:c>
      <x:c r="C981" s="21" t="str">
        <x:v>paper gate</x:v>
      </x:c>
      <x:c r="D981" s="21" t="str">
        <x:v>gate 194 binary observation</x:v>
      </x:c>
      <x:c r="E981" s="21" t="n">
        <x:f>IF(OR('Paper Gates'!G194=0,'Paper Gates'!G194=1),1,0)</x:f>
        <x:v>1</x:v>
      </x:c>
      <x:c r="F981" s="21" t="n">
        <x:v>1</x:v>
      </x:c>
      <x:c r="G981" s="23" t="str">
        <x:f>IF(E981=F981,"PASS","FAIL")</x:f>
        <x:v>PASS</x:v>
      </x:c>
    </x:row>
    <x:row r="982">
      <x:c r="B982" s="21" t="str">
        <x:v>A0976</x:v>
      </x:c>
      <x:c r="C982" s="21" t="str">
        <x:v>paper gate</x:v>
      </x:c>
      <x:c r="D982" s="21" t="str">
        <x:v>gate 194 fixed requirement</x:v>
      </x:c>
      <x:c r="E982" s="21" t="n">
        <x:f>IF('Paper Gates'!H194=1,1,0)</x:f>
        <x:v>1</x:v>
      </x:c>
      <x:c r="F982" s="21" t="n">
        <x:v>1</x:v>
      </x:c>
      <x:c r="G982" s="23" t="str">
        <x:f>IF(E982=F982,"PASS","FAIL")</x:f>
        <x:v>PASS</x:v>
      </x:c>
    </x:row>
    <x:row r="983">
      <x:c r="B983" s="21" t="str">
        <x:v>A0977</x:v>
      </x:c>
      <x:c r="C983" s="21" t="str">
        <x:v>paper gate</x:v>
      </x:c>
      <x:c r="D983" s="21" t="str">
        <x:v>gate 194 result reconciles</x:v>
      </x:c>
      <x:c r="E983" s="21" t="n">
        <x:f>IF('Paper Gates'!I194=IF('Paper Gates'!G194='Paper Gates'!H194,"PASS","FAIL"),1,0)</x:f>
        <x:v>1</x:v>
      </x:c>
      <x:c r="F983" s="21" t="n">
        <x:v>1</x:v>
      </x:c>
      <x:c r="G983" s="23" t="str">
        <x:f>IF(E983=F983,"PASS","FAIL")</x:f>
        <x:v>PASS</x:v>
      </x:c>
    </x:row>
    <x:row r="984">
      <x:c r="B984" s="21" t="str">
        <x:v>A0978</x:v>
      </x:c>
      <x:c r="C984" s="21" t="str">
        <x:v>paper gate</x:v>
      </x:c>
      <x:c r="D984" s="21" t="str">
        <x:v>gate 195 binary observation</x:v>
      </x:c>
      <x:c r="E984" s="21" t="n">
        <x:f>IF(OR('Paper Gates'!G195=0,'Paper Gates'!G195=1),1,0)</x:f>
        <x:v>1</x:v>
      </x:c>
      <x:c r="F984" s="21" t="n">
        <x:v>1</x:v>
      </x:c>
      <x:c r="G984" s="23" t="str">
        <x:f>IF(E984=F984,"PASS","FAIL")</x:f>
        <x:v>PASS</x:v>
      </x:c>
    </x:row>
    <x:row r="985">
      <x:c r="B985" s="21" t="str">
        <x:v>A0979</x:v>
      </x:c>
      <x:c r="C985" s="21" t="str">
        <x:v>paper gate</x:v>
      </x:c>
      <x:c r="D985" s="21" t="str">
        <x:v>gate 195 fixed requirement</x:v>
      </x:c>
      <x:c r="E985" s="21" t="n">
        <x:f>IF('Paper Gates'!H195=1,1,0)</x:f>
        <x:v>1</x:v>
      </x:c>
      <x:c r="F985" s="21" t="n">
        <x:v>1</x:v>
      </x:c>
      <x:c r="G985" s="23" t="str">
        <x:f>IF(E985=F985,"PASS","FAIL")</x:f>
        <x:v>PASS</x:v>
      </x:c>
    </x:row>
    <x:row r="986">
      <x:c r="B986" s="21" t="str">
        <x:v>A0980</x:v>
      </x:c>
      <x:c r="C986" s="21" t="str">
        <x:v>paper gate</x:v>
      </x:c>
      <x:c r="D986" s="21" t="str">
        <x:v>gate 195 result reconciles</x:v>
      </x:c>
      <x:c r="E986" s="21" t="n">
        <x:f>IF('Paper Gates'!I195=IF('Paper Gates'!G195='Paper Gates'!H195,"PASS","FAIL"),1,0)</x:f>
        <x:v>1</x:v>
      </x:c>
      <x:c r="F986" s="21" t="n">
        <x:v>1</x:v>
      </x:c>
      <x:c r="G986" s="23" t="str">
        <x:f>IF(E986=F986,"PASS","FAIL")</x:f>
        <x:v>PASS</x:v>
      </x:c>
    </x:row>
    <x:row r="987">
      <x:c r="B987" s="21" t="str">
        <x:v>A0981</x:v>
      </x:c>
      <x:c r="C987" s="21" t="str">
        <x:v>paper gate</x:v>
      </x:c>
      <x:c r="D987" s="21" t="str">
        <x:v>gate 196 binary observation</x:v>
      </x:c>
      <x:c r="E987" s="21" t="n">
        <x:f>IF(OR('Paper Gates'!G196=0,'Paper Gates'!G196=1),1,0)</x:f>
        <x:v>1</x:v>
      </x:c>
      <x:c r="F987" s="21" t="n">
        <x:v>1</x:v>
      </x:c>
      <x:c r="G987" s="23" t="str">
        <x:f>IF(E987=F987,"PASS","FAIL")</x:f>
        <x:v>PASS</x:v>
      </x:c>
    </x:row>
    <x:row r="988">
      <x:c r="B988" s="21" t="str">
        <x:v>A0982</x:v>
      </x:c>
      <x:c r="C988" s="21" t="str">
        <x:v>paper gate</x:v>
      </x:c>
      <x:c r="D988" s="21" t="str">
        <x:v>gate 196 fixed requirement</x:v>
      </x:c>
      <x:c r="E988" s="21" t="n">
        <x:f>IF('Paper Gates'!H196=1,1,0)</x:f>
        <x:v>1</x:v>
      </x:c>
      <x:c r="F988" s="21" t="n">
        <x:v>1</x:v>
      </x:c>
      <x:c r="G988" s="23" t="str">
        <x:f>IF(E988=F988,"PASS","FAIL")</x:f>
        <x:v>PASS</x:v>
      </x:c>
    </x:row>
    <x:row r="989">
      <x:c r="B989" s="21" t="str">
        <x:v>A0983</x:v>
      </x:c>
      <x:c r="C989" s="21" t="str">
        <x:v>paper gate</x:v>
      </x:c>
      <x:c r="D989" s="21" t="str">
        <x:v>gate 196 result reconciles</x:v>
      </x:c>
      <x:c r="E989" s="21" t="n">
        <x:f>IF('Paper Gates'!I196=IF('Paper Gates'!G196='Paper Gates'!H196,"PASS","FAIL"),1,0)</x:f>
        <x:v>1</x:v>
      </x:c>
      <x:c r="F989" s="21" t="n">
        <x:v>1</x:v>
      </x:c>
      <x:c r="G989" s="23" t="str">
        <x:f>IF(E989=F989,"PASS","FAIL")</x:f>
        <x:v>PASS</x:v>
      </x:c>
    </x:row>
    <x:row r="990">
      <x:c r="B990" s="21" t="str">
        <x:v>A0984</x:v>
      </x:c>
      <x:c r="C990" s="21" t="str">
        <x:v>paper gate</x:v>
      </x:c>
      <x:c r="D990" s="21" t="str">
        <x:v>gate 197 binary observation</x:v>
      </x:c>
      <x:c r="E990" s="21" t="n">
        <x:f>IF(OR('Paper Gates'!G197=0,'Paper Gates'!G197=1),1,0)</x:f>
        <x:v>1</x:v>
      </x:c>
      <x:c r="F990" s="21" t="n">
        <x:v>1</x:v>
      </x:c>
      <x:c r="G990" s="23" t="str">
        <x:f>IF(E990=F990,"PASS","FAIL")</x:f>
        <x:v>PASS</x:v>
      </x:c>
    </x:row>
    <x:row r="991">
      <x:c r="B991" s="21" t="str">
        <x:v>A0985</x:v>
      </x:c>
      <x:c r="C991" s="21" t="str">
        <x:v>paper gate</x:v>
      </x:c>
      <x:c r="D991" s="21" t="str">
        <x:v>gate 197 fixed requirement</x:v>
      </x:c>
      <x:c r="E991" s="21" t="n">
        <x:f>IF('Paper Gates'!H197=1,1,0)</x:f>
        <x:v>1</x:v>
      </x:c>
      <x:c r="F991" s="21" t="n">
        <x:v>1</x:v>
      </x:c>
      <x:c r="G991" s="23" t="str">
        <x:f>IF(E991=F991,"PASS","FAIL")</x:f>
        <x:v>PASS</x:v>
      </x:c>
    </x:row>
    <x:row r="992">
      <x:c r="B992" s="21" t="str">
        <x:v>A0986</x:v>
      </x:c>
      <x:c r="C992" s="21" t="str">
        <x:v>paper gate</x:v>
      </x:c>
      <x:c r="D992" s="21" t="str">
        <x:v>gate 197 result reconciles</x:v>
      </x:c>
      <x:c r="E992" s="21" t="n">
        <x:f>IF('Paper Gates'!I197=IF('Paper Gates'!G197='Paper Gates'!H197,"PASS","FAIL"),1,0)</x:f>
        <x:v>1</x:v>
      </x:c>
      <x:c r="F992" s="21" t="n">
        <x:v>1</x:v>
      </x:c>
      <x:c r="G992" s="23" t="str">
        <x:f>IF(E992=F992,"PASS","FAIL")</x:f>
        <x:v>PASS</x:v>
      </x:c>
    </x:row>
    <x:row r="993">
      <x:c r="B993" s="21" t="str">
        <x:v>A0987</x:v>
      </x:c>
      <x:c r="C993" s="21" t="str">
        <x:v>paper gate</x:v>
      </x:c>
      <x:c r="D993" s="21" t="str">
        <x:v>gate 198 binary observation</x:v>
      </x:c>
      <x:c r="E993" s="21" t="n">
        <x:f>IF(OR('Paper Gates'!G198=0,'Paper Gates'!G198=1),1,0)</x:f>
        <x:v>1</x:v>
      </x:c>
      <x:c r="F993" s="21" t="n">
        <x:v>1</x:v>
      </x:c>
      <x:c r="G993" s="23" t="str">
        <x:f>IF(E993=F993,"PASS","FAIL")</x:f>
        <x:v>PASS</x:v>
      </x:c>
    </x:row>
    <x:row r="994">
      <x:c r="B994" s="21" t="str">
        <x:v>A0988</x:v>
      </x:c>
      <x:c r="C994" s="21" t="str">
        <x:v>paper gate</x:v>
      </x:c>
      <x:c r="D994" s="21" t="str">
        <x:v>gate 198 fixed requirement</x:v>
      </x:c>
      <x:c r="E994" s="21" t="n">
        <x:f>IF('Paper Gates'!H198=1,1,0)</x:f>
        <x:v>1</x:v>
      </x:c>
      <x:c r="F994" s="21" t="n">
        <x:v>1</x:v>
      </x:c>
      <x:c r="G994" s="23" t="str">
        <x:f>IF(E994=F994,"PASS","FAIL")</x:f>
        <x:v>PASS</x:v>
      </x:c>
    </x:row>
    <x:row r="995">
      <x:c r="B995" s="21" t="str">
        <x:v>A0989</x:v>
      </x:c>
      <x:c r="C995" s="21" t="str">
        <x:v>paper gate</x:v>
      </x:c>
      <x:c r="D995" s="21" t="str">
        <x:v>gate 198 result reconciles</x:v>
      </x:c>
      <x:c r="E995" s="21" t="n">
        <x:f>IF('Paper Gates'!I198=IF('Paper Gates'!G198='Paper Gates'!H198,"PASS","FAIL"),1,0)</x:f>
        <x:v>1</x:v>
      </x:c>
      <x:c r="F995" s="21" t="n">
        <x:v>1</x:v>
      </x:c>
      <x:c r="G995" s="23" t="str">
        <x:f>IF(E995=F995,"PASS","FAIL")</x:f>
        <x:v>PASS</x:v>
      </x:c>
    </x:row>
    <x:row r="996">
      <x:c r="B996" s="21" t="str">
        <x:v>A0990</x:v>
      </x:c>
      <x:c r="C996" s="21" t="str">
        <x:v>paper gate</x:v>
      </x:c>
      <x:c r="D996" s="21" t="str">
        <x:v>gate 199 binary observation</x:v>
      </x:c>
      <x:c r="E996" s="21" t="n">
        <x:f>IF(OR('Paper Gates'!G199=0,'Paper Gates'!G199=1),1,0)</x:f>
        <x:v>1</x:v>
      </x:c>
      <x:c r="F996" s="21" t="n">
        <x:v>1</x:v>
      </x:c>
      <x:c r="G996" s="23" t="str">
        <x:f>IF(E996=F996,"PASS","FAIL")</x:f>
        <x:v>PASS</x:v>
      </x:c>
    </x:row>
    <x:row r="997">
      <x:c r="B997" s="21" t="str">
        <x:v>A0991</x:v>
      </x:c>
      <x:c r="C997" s="21" t="str">
        <x:v>paper gate</x:v>
      </x:c>
      <x:c r="D997" s="21" t="str">
        <x:v>gate 199 fixed requirement</x:v>
      </x:c>
      <x:c r="E997" s="21" t="n">
        <x:f>IF('Paper Gates'!H199=1,1,0)</x:f>
        <x:v>1</x:v>
      </x:c>
      <x:c r="F997" s="21" t="n">
        <x:v>1</x:v>
      </x:c>
      <x:c r="G997" s="23" t="str">
        <x:f>IF(E997=F997,"PASS","FAIL")</x:f>
        <x:v>PASS</x:v>
      </x:c>
    </x:row>
    <x:row r="998">
      <x:c r="B998" s="21" t="str">
        <x:v>A0992</x:v>
      </x:c>
      <x:c r="C998" s="21" t="str">
        <x:v>paper gate</x:v>
      </x:c>
      <x:c r="D998" s="21" t="str">
        <x:v>gate 199 result reconciles</x:v>
      </x:c>
      <x:c r="E998" s="21" t="n">
        <x:f>IF('Paper Gates'!I199=IF('Paper Gates'!G199='Paper Gates'!H199,"PASS","FAIL"),1,0)</x:f>
        <x:v>1</x:v>
      </x:c>
      <x:c r="F998" s="21" t="n">
        <x:v>1</x:v>
      </x:c>
      <x:c r="G998" s="23" t="str">
        <x:f>IF(E998=F998,"PASS","FAIL")</x:f>
        <x:v>PASS</x:v>
      </x:c>
    </x:row>
    <x:row r="999">
      <x:c r="B999" s="21" t="str">
        <x:v>A0993</x:v>
      </x:c>
      <x:c r="C999" s="21" t="str">
        <x:v>paper gate</x:v>
      </x:c>
      <x:c r="D999" s="21" t="str">
        <x:v>gate 200 binary observation</x:v>
      </x:c>
      <x:c r="E999" s="21" t="n">
        <x:f>IF(OR('Paper Gates'!G200=0,'Paper Gates'!G200=1),1,0)</x:f>
        <x:v>1</x:v>
      </x:c>
      <x:c r="F999" s="21" t="n">
        <x:v>1</x:v>
      </x:c>
      <x:c r="G999" s="23" t="str">
        <x:f>IF(E999=F999,"PASS","FAIL")</x:f>
        <x:v>PASS</x:v>
      </x:c>
    </x:row>
    <x:row r="1000">
      <x:c r="B1000" s="21" t="str">
        <x:v>A0994</x:v>
      </x:c>
      <x:c r="C1000" s="21" t="str">
        <x:v>paper gate</x:v>
      </x:c>
      <x:c r="D1000" s="21" t="str">
        <x:v>gate 200 fixed requirement</x:v>
      </x:c>
      <x:c r="E1000" s="21" t="n">
        <x:f>IF('Paper Gates'!H200=1,1,0)</x:f>
        <x:v>1</x:v>
      </x:c>
      <x:c r="F1000" s="21" t="n">
        <x:v>1</x:v>
      </x:c>
      <x:c r="G1000" s="23" t="str">
        <x:f>IF(E1000=F1000,"PASS","FAIL")</x:f>
        <x:v>PASS</x:v>
      </x:c>
    </x:row>
    <x:row r="1001">
      <x:c r="B1001" s="21" t="str">
        <x:v>A0995</x:v>
      </x:c>
      <x:c r="C1001" s="21" t="str">
        <x:v>paper gate</x:v>
      </x:c>
      <x:c r="D1001" s="21" t="str">
        <x:v>gate 200 result reconciles</x:v>
      </x:c>
      <x:c r="E1001" s="21" t="n">
        <x:f>IF('Paper Gates'!I200=IF('Paper Gates'!G200='Paper Gates'!H200,"PASS","FAIL"),1,0)</x:f>
        <x:v>1</x:v>
      </x:c>
      <x:c r="F1001" s="21" t="n">
        <x:v>1</x:v>
      </x:c>
      <x:c r="G1001" s="23" t="str">
        <x:f>IF(E1001=F1001,"PASS","FAIL")</x:f>
        <x:v>PASS</x:v>
      </x:c>
    </x:row>
    <x:row r="1002">
      <x:c r="B1002" s="21" t="str">
        <x:v>A0996</x:v>
      </x:c>
      <x:c r="C1002" s="21" t="str">
        <x:v>paper gate</x:v>
      </x:c>
      <x:c r="D1002" s="21" t="str">
        <x:v>gate 201 binary observation</x:v>
      </x:c>
      <x:c r="E1002" s="21" t="n">
        <x:f>IF(OR('Paper Gates'!G201=0,'Paper Gates'!G201=1),1,0)</x:f>
        <x:v>1</x:v>
      </x:c>
      <x:c r="F1002" s="21" t="n">
        <x:v>1</x:v>
      </x:c>
      <x:c r="G1002" s="23" t="str">
        <x:f>IF(E1002=F1002,"PASS","FAIL")</x:f>
        <x:v>PASS</x:v>
      </x:c>
    </x:row>
    <x:row r="1003">
      <x:c r="B1003" s="21" t="str">
        <x:v>A0997</x:v>
      </x:c>
      <x:c r="C1003" s="21" t="str">
        <x:v>paper gate</x:v>
      </x:c>
      <x:c r="D1003" s="21" t="str">
        <x:v>gate 201 fixed requirement</x:v>
      </x:c>
      <x:c r="E1003" s="21" t="n">
        <x:f>IF('Paper Gates'!H201=1,1,0)</x:f>
        <x:v>1</x:v>
      </x:c>
      <x:c r="F1003" s="21" t="n">
        <x:v>1</x:v>
      </x:c>
      <x:c r="G1003" s="23" t="str">
        <x:f>IF(E1003=F1003,"PASS","FAIL")</x:f>
        <x:v>PASS</x:v>
      </x:c>
    </x:row>
    <x:row r="1004">
      <x:c r="B1004" s="21" t="str">
        <x:v>A0998</x:v>
      </x:c>
      <x:c r="C1004" s="21" t="str">
        <x:v>paper gate</x:v>
      </x:c>
      <x:c r="D1004" s="21" t="str">
        <x:v>gate 201 result reconciles</x:v>
      </x:c>
      <x:c r="E1004" s="21" t="n">
        <x:f>IF('Paper Gates'!I201=IF('Paper Gates'!G201='Paper Gates'!H201,"PASS","FAIL"),1,0)</x:f>
        <x:v>1</x:v>
      </x:c>
      <x:c r="F1004" s="21" t="n">
        <x:v>1</x:v>
      </x:c>
      <x:c r="G1004" s="23" t="str">
        <x:f>IF(E1004=F1004,"PASS","FAIL")</x:f>
        <x:v>PASS</x:v>
      </x:c>
    </x:row>
    <x:row r="1005">
      <x:c r="B1005" s="21" t="str">
        <x:v>A0999</x:v>
      </x:c>
      <x:c r="C1005" s="21" t="str">
        <x:v>paper gate</x:v>
      </x:c>
      <x:c r="D1005" s="21" t="str">
        <x:v>gate 202 binary observation</x:v>
      </x:c>
      <x:c r="E1005" s="21" t="n">
        <x:f>IF(OR('Paper Gates'!G202=0,'Paper Gates'!G202=1),1,0)</x:f>
        <x:v>1</x:v>
      </x:c>
      <x:c r="F1005" s="21" t="n">
        <x:v>1</x:v>
      </x:c>
      <x:c r="G1005" s="23" t="str">
        <x:f>IF(E1005=F1005,"PASS","FAIL")</x:f>
        <x:v>PASS</x:v>
      </x:c>
    </x:row>
    <x:row r="1006">
      <x:c r="B1006" s="21" t="str">
        <x:v>A1000</x:v>
      </x:c>
      <x:c r="C1006" s="21" t="str">
        <x:v>paper gate</x:v>
      </x:c>
      <x:c r="D1006" s="21" t="str">
        <x:v>gate 202 fixed requirement</x:v>
      </x:c>
      <x:c r="E1006" s="21" t="n">
        <x:f>IF('Paper Gates'!H202=1,1,0)</x:f>
        <x:v>1</x:v>
      </x:c>
      <x:c r="F1006" s="21" t="n">
        <x:v>1</x:v>
      </x:c>
      <x:c r="G1006" s="23" t="str">
        <x:f>IF(E1006=F1006,"PASS","FAIL")</x:f>
        <x:v>PASS</x:v>
      </x:c>
    </x:row>
    <x:row r="1007">
      <x:c r="B1007" s="21" t="str">
        <x:v>A1001</x:v>
      </x:c>
      <x:c r="C1007" s="21" t="str">
        <x:v>paper gate</x:v>
      </x:c>
      <x:c r="D1007" s="21" t="str">
        <x:v>gate 202 result reconciles</x:v>
      </x:c>
      <x:c r="E1007" s="21" t="n">
        <x:f>IF('Paper Gates'!I202=IF('Paper Gates'!G202='Paper Gates'!H202,"PASS","FAIL"),1,0)</x:f>
        <x:v>1</x:v>
      </x:c>
      <x:c r="F1007" s="21" t="n">
        <x:v>1</x:v>
      </x:c>
      <x:c r="G1007" s="23" t="str">
        <x:f>IF(E1007=F1007,"PASS","FAIL")</x:f>
        <x:v>PASS</x:v>
      </x:c>
    </x:row>
    <x:row r="1008">
      <x:c r="B1008" s="21" t="str">
        <x:v>A1002</x:v>
      </x:c>
      <x:c r="C1008" s="21" t="str">
        <x:v>paper gate</x:v>
      </x:c>
      <x:c r="D1008" s="21" t="str">
        <x:v>gate 203 binary observation</x:v>
      </x:c>
      <x:c r="E1008" s="21" t="n">
        <x:f>IF(OR('Paper Gates'!G203=0,'Paper Gates'!G203=1),1,0)</x:f>
        <x:v>1</x:v>
      </x:c>
      <x:c r="F1008" s="21" t="n">
        <x:v>1</x:v>
      </x:c>
      <x:c r="G1008" s="23" t="str">
        <x:f>IF(E1008=F1008,"PASS","FAIL")</x:f>
        <x:v>PASS</x:v>
      </x:c>
    </x:row>
    <x:row r="1009">
      <x:c r="B1009" s="21" t="str">
        <x:v>A1003</x:v>
      </x:c>
      <x:c r="C1009" s="21" t="str">
        <x:v>paper gate</x:v>
      </x:c>
      <x:c r="D1009" s="21" t="str">
        <x:v>gate 203 fixed requirement</x:v>
      </x:c>
      <x:c r="E1009" s="21" t="n">
        <x:f>IF('Paper Gates'!H203=1,1,0)</x:f>
        <x:v>1</x:v>
      </x:c>
      <x:c r="F1009" s="21" t="n">
        <x:v>1</x:v>
      </x:c>
      <x:c r="G1009" s="23" t="str">
        <x:f>IF(E1009=F1009,"PASS","FAIL")</x:f>
        <x:v>PASS</x:v>
      </x:c>
    </x:row>
    <x:row r="1010">
      <x:c r="B1010" s="21" t="str">
        <x:v>A1004</x:v>
      </x:c>
      <x:c r="C1010" s="21" t="str">
        <x:v>paper gate</x:v>
      </x:c>
      <x:c r="D1010" s="21" t="str">
        <x:v>gate 203 result reconciles</x:v>
      </x:c>
      <x:c r="E1010" s="21" t="n">
        <x:f>IF('Paper Gates'!I203=IF('Paper Gates'!G203='Paper Gates'!H203,"PASS","FAIL"),1,0)</x:f>
        <x:v>1</x:v>
      </x:c>
      <x:c r="F1010" s="21" t="n">
        <x:v>1</x:v>
      </x:c>
      <x:c r="G1010" s="23" t="str">
        <x:f>IF(E1010=F1010,"PASS","FAIL")</x:f>
        <x:v>PASS</x:v>
      </x:c>
    </x:row>
    <x:row r="1011">
      <x:c r="B1011" s="21" t="str">
        <x:v>A1005</x:v>
      </x:c>
      <x:c r="C1011" s="21" t="str">
        <x:v>paper gate</x:v>
      </x:c>
      <x:c r="D1011" s="21" t="str">
        <x:v>gate 204 binary observation</x:v>
      </x:c>
      <x:c r="E1011" s="21" t="n">
        <x:f>IF(OR('Paper Gates'!G204=0,'Paper Gates'!G204=1),1,0)</x:f>
        <x:v>1</x:v>
      </x:c>
      <x:c r="F1011" s="21" t="n">
        <x:v>1</x:v>
      </x:c>
      <x:c r="G1011" s="23" t="str">
        <x:f>IF(E1011=F1011,"PASS","FAIL")</x:f>
        <x:v>PASS</x:v>
      </x:c>
    </x:row>
    <x:row r="1012">
      <x:c r="B1012" s="21" t="str">
        <x:v>A1006</x:v>
      </x:c>
      <x:c r="C1012" s="21" t="str">
        <x:v>paper gate</x:v>
      </x:c>
      <x:c r="D1012" s="21" t="str">
        <x:v>gate 204 fixed requirement</x:v>
      </x:c>
      <x:c r="E1012" s="21" t="n">
        <x:f>IF('Paper Gates'!H204=1,1,0)</x:f>
        <x:v>1</x:v>
      </x:c>
      <x:c r="F1012" s="21" t="n">
        <x:v>1</x:v>
      </x:c>
      <x:c r="G1012" s="23" t="str">
        <x:f>IF(E1012=F1012,"PASS","FAIL")</x:f>
        <x:v>PASS</x:v>
      </x:c>
    </x:row>
    <x:row r="1013">
      <x:c r="B1013" s="21" t="str">
        <x:v>A1007</x:v>
      </x:c>
      <x:c r="C1013" s="21" t="str">
        <x:v>paper gate</x:v>
      </x:c>
      <x:c r="D1013" s="21" t="str">
        <x:v>gate 204 result reconciles</x:v>
      </x:c>
      <x:c r="E1013" s="21" t="n">
        <x:f>IF('Paper Gates'!I204=IF('Paper Gates'!G204='Paper Gates'!H204,"PASS","FAIL"),1,0)</x:f>
        <x:v>1</x:v>
      </x:c>
      <x:c r="F1013" s="21" t="n">
        <x:v>1</x:v>
      </x:c>
      <x:c r="G1013" s="23" t="str">
        <x:f>IF(E1013=F1013,"PASS","FAIL")</x:f>
        <x:v>PASS</x:v>
      </x:c>
    </x:row>
    <x:row r="1014">
      <x:c r="B1014" s="21" t="str">
        <x:v>A1008</x:v>
      </x:c>
      <x:c r="C1014" s="21" t="str">
        <x:v>paper gate</x:v>
      </x:c>
      <x:c r="D1014" s="21" t="str">
        <x:v>gate 205 binary observation</x:v>
      </x:c>
      <x:c r="E1014" s="21" t="n">
        <x:f>IF(OR('Paper Gates'!G205=0,'Paper Gates'!G205=1),1,0)</x:f>
        <x:v>1</x:v>
      </x:c>
      <x:c r="F1014" s="21" t="n">
        <x:v>1</x:v>
      </x:c>
      <x:c r="G1014" s="23" t="str">
        <x:f>IF(E1014=F1014,"PASS","FAIL")</x:f>
        <x:v>PASS</x:v>
      </x:c>
    </x:row>
    <x:row r="1015">
      <x:c r="B1015" s="21" t="str">
        <x:v>A1009</x:v>
      </x:c>
      <x:c r="C1015" s="21" t="str">
        <x:v>paper gate</x:v>
      </x:c>
      <x:c r="D1015" s="21" t="str">
        <x:v>gate 205 fixed requirement</x:v>
      </x:c>
      <x:c r="E1015" s="21" t="n">
        <x:f>IF('Paper Gates'!H205=1,1,0)</x:f>
        <x:v>1</x:v>
      </x:c>
      <x:c r="F1015" s="21" t="n">
        <x:v>1</x:v>
      </x:c>
      <x:c r="G1015" s="23" t="str">
        <x:f>IF(E1015=F1015,"PASS","FAIL")</x:f>
        <x:v>PASS</x:v>
      </x:c>
    </x:row>
    <x:row r="1016">
      <x:c r="B1016" s="21" t="str">
        <x:v>A1010</x:v>
      </x:c>
      <x:c r="C1016" s="21" t="str">
        <x:v>paper gate</x:v>
      </x:c>
      <x:c r="D1016" s="21" t="str">
        <x:v>gate 205 result reconciles</x:v>
      </x:c>
      <x:c r="E1016" s="21" t="n">
        <x:f>IF('Paper Gates'!I205=IF('Paper Gates'!G205='Paper Gates'!H205,"PASS","FAIL"),1,0)</x:f>
        <x:v>1</x:v>
      </x:c>
      <x:c r="F1016" s="21" t="n">
        <x:v>1</x:v>
      </x:c>
      <x:c r="G1016" s="23" t="str">
        <x:f>IF(E1016=F1016,"PASS","FAIL")</x:f>
        <x:v>PASS</x:v>
      </x:c>
    </x:row>
    <x:row r="1017">
      <x:c r="B1017" s="21" t="str">
        <x:v>A1011</x:v>
      </x:c>
      <x:c r="C1017" s="21" t="str">
        <x:v>paper gate</x:v>
      </x:c>
      <x:c r="D1017" s="21" t="str">
        <x:v>gate 206 binary observation</x:v>
      </x:c>
      <x:c r="E1017" s="21" t="n">
        <x:f>IF(OR('Paper Gates'!G206=0,'Paper Gates'!G206=1),1,0)</x:f>
        <x:v>1</x:v>
      </x:c>
      <x:c r="F1017" s="21" t="n">
        <x:v>1</x:v>
      </x:c>
      <x:c r="G1017" s="23" t="str">
        <x:f>IF(E1017=F1017,"PASS","FAIL")</x:f>
        <x:v>PASS</x:v>
      </x:c>
    </x:row>
    <x:row r="1018">
      <x:c r="B1018" s="21" t="str">
        <x:v>A1012</x:v>
      </x:c>
      <x:c r="C1018" s="21" t="str">
        <x:v>paper gate</x:v>
      </x:c>
      <x:c r="D1018" s="21" t="str">
        <x:v>gate 206 fixed requirement</x:v>
      </x:c>
      <x:c r="E1018" s="21" t="n">
        <x:f>IF('Paper Gates'!H206=1,1,0)</x:f>
        <x:v>1</x:v>
      </x:c>
      <x:c r="F1018" s="21" t="n">
        <x:v>1</x:v>
      </x:c>
      <x:c r="G1018" s="23" t="str">
        <x:f>IF(E1018=F1018,"PASS","FAIL")</x:f>
        <x:v>PASS</x:v>
      </x:c>
    </x:row>
    <x:row r="1019">
      <x:c r="B1019" s="21" t="str">
        <x:v>A1013</x:v>
      </x:c>
      <x:c r="C1019" s="21" t="str">
        <x:v>paper gate</x:v>
      </x:c>
      <x:c r="D1019" s="21" t="str">
        <x:v>gate 206 result reconciles</x:v>
      </x:c>
      <x:c r="E1019" s="21" t="n">
        <x:f>IF('Paper Gates'!I206=IF('Paper Gates'!G206='Paper Gates'!H206,"PASS","FAIL"),1,0)</x:f>
        <x:v>1</x:v>
      </x:c>
      <x:c r="F1019" s="21" t="n">
        <x:v>1</x:v>
      </x:c>
      <x:c r="G1019" s="23" t="str">
        <x:f>IF(E1019=F1019,"PASS","FAIL")</x:f>
        <x:v>PASS</x:v>
      </x:c>
    </x:row>
    <x:row r="1020">
      <x:c r="B1020" s="21" t="str">
        <x:v>A1014</x:v>
      </x:c>
      <x:c r="C1020" s="21" t="str">
        <x:v>paper gate</x:v>
      </x:c>
      <x:c r="D1020" s="21" t="str">
        <x:v>gate 207 binary observation</x:v>
      </x:c>
      <x:c r="E1020" s="21" t="n">
        <x:f>IF(OR('Paper Gates'!G207=0,'Paper Gates'!G207=1),1,0)</x:f>
        <x:v>1</x:v>
      </x:c>
      <x:c r="F1020" s="21" t="n">
        <x:v>1</x:v>
      </x:c>
      <x:c r="G1020" s="23" t="str">
        <x:f>IF(E1020=F1020,"PASS","FAIL")</x:f>
        <x:v>PASS</x:v>
      </x:c>
    </x:row>
    <x:row r="1021">
      <x:c r="B1021" s="21" t="str">
        <x:v>A1015</x:v>
      </x:c>
      <x:c r="C1021" s="21" t="str">
        <x:v>paper gate</x:v>
      </x:c>
      <x:c r="D1021" s="21" t="str">
        <x:v>gate 207 fixed requirement</x:v>
      </x:c>
      <x:c r="E1021" s="21" t="n">
        <x:f>IF('Paper Gates'!H207=1,1,0)</x:f>
        <x:v>1</x:v>
      </x:c>
      <x:c r="F1021" s="21" t="n">
        <x:v>1</x:v>
      </x:c>
      <x:c r="G1021" s="23" t="str">
        <x:f>IF(E1021=F1021,"PASS","FAIL")</x:f>
        <x:v>PASS</x:v>
      </x:c>
    </x:row>
    <x:row r="1022">
      <x:c r="B1022" s="21" t="str">
        <x:v>A1016</x:v>
      </x:c>
      <x:c r="C1022" s="21" t="str">
        <x:v>paper gate</x:v>
      </x:c>
      <x:c r="D1022" s="21" t="str">
        <x:v>gate 207 result reconciles</x:v>
      </x:c>
      <x:c r="E1022" s="21" t="n">
        <x:f>IF('Paper Gates'!I207=IF('Paper Gates'!G207='Paper Gates'!H207,"PASS","FAIL"),1,0)</x:f>
        <x:v>1</x:v>
      </x:c>
      <x:c r="F1022" s="21" t="n">
        <x:v>1</x:v>
      </x:c>
      <x:c r="G1022" s="23" t="str">
        <x:f>IF(E1022=F1022,"PASS","FAIL")</x:f>
        <x:v>PASS</x:v>
      </x:c>
    </x:row>
    <x:row r="1023">
      <x:c r="B1023" s="21" t="str">
        <x:v>A1017</x:v>
      </x:c>
      <x:c r="C1023" s="21" t="str">
        <x:v>paper gate</x:v>
      </x:c>
      <x:c r="D1023" s="21" t="str">
        <x:v>gate 208 binary observation</x:v>
      </x:c>
      <x:c r="E1023" s="21" t="n">
        <x:f>IF(OR('Paper Gates'!G208=0,'Paper Gates'!G208=1),1,0)</x:f>
        <x:v>1</x:v>
      </x:c>
      <x:c r="F1023" s="21" t="n">
        <x:v>1</x:v>
      </x:c>
      <x:c r="G1023" s="23" t="str">
        <x:f>IF(E1023=F1023,"PASS","FAIL")</x:f>
        <x:v>PASS</x:v>
      </x:c>
    </x:row>
    <x:row r="1024">
      <x:c r="B1024" s="21" t="str">
        <x:v>A1018</x:v>
      </x:c>
      <x:c r="C1024" s="21" t="str">
        <x:v>paper gate</x:v>
      </x:c>
      <x:c r="D1024" s="21" t="str">
        <x:v>gate 208 fixed requirement</x:v>
      </x:c>
      <x:c r="E1024" s="21" t="n">
        <x:f>IF('Paper Gates'!H208=1,1,0)</x:f>
        <x:v>1</x:v>
      </x:c>
      <x:c r="F1024" s="21" t="n">
        <x:v>1</x:v>
      </x:c>
      <x:c r="G1024" s="23" t="str">
        <x:f>IF(E1024=F1024,"PASS","FAIL")</x:f>
        <x:v>PASS</x:v>
      </x:c>
    </x:row>
    <x:row r="1025">
      <x:c r="B1025" s="21" t="str">
        <x:v>A1019</x:v>
      </x:c>
      <x:c r="C1025" s="21" t="str">
        <x:v>paper gate</x:v>
      </x:c>
      <x:c r="D1025" s="21" t="str">
        <x:v>gate 208 result reconciles</x:v>
      </x:c>
      <x:c r="E1025" s="21" t="n">
        <x:f>IF('Paper Gates'!I208=IF('Paper Gates'!G208='Paper Gates'!H208,"PASS","FAIL"),1,0)</x:f>
        <x:v>1</x:v>
      </x:c>
      <x:c r="F1025" s="21" t="n">
        <x:v>1</x:v>
      </x:c>
      <x:c r="G1025" s="23" t="str">
        <x:f>IF(E1025=F1025,"PASS","FAIL")</x:f>
        <x:v>PASS</x:v>
      </x:c>
    </x:row>
    <x:row r="1026">
      <x:c r="B1026" s="21" t="str">
        <x:v>A1020</x:v>
      </x:c>
      <x:c r="C1026" s="21" t="str">
        <x:v>paper gate</x:v>
      </x:c>
      <x:c r="D1026" s="21" t="str">
        <x:v>gate 209 binary observation</x:v>
      </x:c>
      <x:c r="E1026" s="21" t="n">
        <x:f>IF(OR('Paper Gates'!G209=0,'Paper Gates'!G209=1),1,0)</x:f>
        <x:v>1</x:v>
      </x:c>
      <x:c r="F1026" s="21" t="n">
        <x:v>1</x:v>
      </x:c>
      <x:c r="G1026" s="23" t="str">
        <x:f>IF(E1026=F1026,"PASS","FAIL")</x:f>
        <x:v>PASS</x:v>
      </x:c>
    </x:row>
    <x:row r="1027">
      <x:c r="B1027" s="21" t="str">
        <x:v>A1021</x:v>
      </x:c>
      <x:c r="C1027" s="21" t="str">
        <x:v>paper gate</x:v>
      </x:c>
      <x:c r="D1027" s="21" t="str">
        <x:v>gate 209 fixed requirement</x:v>
      </x:c>
      <x:c r="E1027" s="21" t="n">
        <x:f>IF('Paper Gates'!H209=1,1,0)</x:f>
        <x:v>1</x:v>
      </x:c>
      <x:c r="F1027" s="21" t="n">
        <x:v>1</x:v>
      </x:c>
      <x:c r="G1027" s="23" t="str">
        <x:f>IF(E1027=F1027,"PASS","FAIL")</x:f>
        <x:v>PASS</x:v>
      </x:c>
    </x:row>
    <x:row r="1028">
      <x:c r="B1028" s="21" t="str">
        <x:v>A1022</x:v>
      </x:c>
      <x:c r="C1028" s="21" t="str">
        <x:v>paper gate</x:v>
      </x:c>
      <x:c r="D1028" s="21" t="str">
        <x:v>gate 209 result reconciles</x:v>
      </x:c>
      <x:c r="E1028" s="21" t="n">
        <x:f>IF('Paper Gates'!I209=IF('Paper Gates'!G209='Paper Gates'!H209,"PASS","FAIL"),1,0)</x:f>
        <x:v>1</x:v>
      </x:c>
      <x:c r="F1028" s="21" t="n">
        <x:v>1</x:v>
      </x:c>
      <x:c r="G1028" s="23" t="str">
        <x:f>IF(E1028=F1028,"PASS","FAIL")</x:f>
        <x:v>PASS</x:v>
      </x:c>
    </x:row>
    <x:row r="1029">
      <x:c r="B1029" s="21" t="str">
        <x:v>A1023</x:v>
      </x:c>
      <x:c r="C1029" s="21" t="str">
        <x:v>paper gate</x:v>
      </x:c>
      <x:c r="D1029" s="21" t="str">
        <x:v>gate 210 binary observation</x:v>
      </x:c>
      <x:c r="E1029" s="21" t="n">
        <x:f>IF(OR('Paper Gates'!G210=0,'Paper Gates'!G210=1),1,0)</x:f>
        <x:v>1</x:v>
      </x:c>
      <x:c r="F1029" s="21" t="n">
        <x:v>1</x:v>
      </x:c>
      <x:c r="G1029" s="23" t="str">
        <x:f>IF(E1029=F1029,"PASS","FAIL")</x:f>
        <x:v>PASS</x:v>
      </x:c>
    </x:row>
    <x:row r="1030">
      <x:c r="B1030" s="21" t="str">
        <x:v>A1024</x:v>
      </x:c>
      <x:c r="C1030" s="21" t="str">
        <x:v>paper gate</x:v>
      </x:c>
      <x:c r="D1030" s="21" t="str">
        <x:v>gate 210 fixed requirement</x:v>
      </x:c>
      <x:c r="E1030" s="21" t="n">
        <x:f>IF('Paper Gates'!H210=1,1,0)</x:f>
        <x:v>1</x:v>
      </x:c>
      <x:c r="F1030" s="21" t="n">
        <x:v>1</x:v>
      </x:c>
      <x:c r="G1030" s="23" t="str">
        <x:f>IF(E1030=F1030,"PASS","FAIL")</x:f>
        <x:v>PASS</x:v>
      </x:c>
    </x:row>
    <x:row r="1031">
      <x:c r="B1031" s="21" t="str">
        <x:v>A1025</x:v>
      </x:c>
      <x:c r="C1031" s="21" t="str">
        <x:v>paper gate</x:v>
      </x:c>
      <x:c r="D1031" s="21" t="str">
        <x:v>gate 210 result reconciles</x:v>
      </x:c>
      <x:c r="E1031" s="21" t="n">
        <x:f>IF('Paper Gates'!I210=IF('Paper Gates'!G210='Paper Gates'!H210,"PASS","FAIL"),1,0)</x:f>
        <x:v>1</x:v>
      </x:c>
      <x:c r="F1031" s="21" t="n">
        <x:v>1</x:v>
      </x:c>
      <x:c r="G1031" s="23" t="str">
        <x:f>IF(E1031=F1031,"PASS","FAIL")</x:f>
        <x:v>PASS</x:v>
      </x:c>
    </x:row>
    <x:row r="1032">
      <x:c r="B1032" s="21" t="str">
        <x:v>A1026</x:v>
      </x:c>
      <x:c r="C1032" s="21" t="str">
        <x:v>paper gate</x:v>
      </x:c>
      <x:c r="D1032" s="21" t="str">
        <x:v>gate 211 binary observation</x:v>
      </x:c>
      <x:c r="E1032" s="21" t="n">
        <x:f>IF(OR('Paper Gates'!G211=0,'Paper Gates'!G211=1),1,0)</x:f>
        <x:v>1</x:v>
      </x:c>
      <x:c r="F1032" s="21" t="n">
        <x:v>1</x:v>
      </x:c>
      <x:c r="G1032" s="23" t="str">
        <x:f>IF(E1032=F1032,"PASS","FAIL")</x:f>
        <x:v>PASS</x:v>
      </x:c>
    </x:row>
    <x:row r="1033">
      <x:c r="B1033" s="21" t="str">
        <x:v>A1027</x:v>
      </x:c>
      <x:c r="C1033" s="21" t="str">
        <x:v>paper gate</x:v>
      </x:c>
      <x:c r="D1033" s="21" t="str">
        <x:v>gate 211 fixed requirement</x:v>
      </x:c>
      <x:c r="E1033" s="21" t="n">
        <x:f>IF('Paper Gates'!H211=1,1,0)</x:f>
        <x:v>1</x:v>
      </x:c>
      <x:c r="F1033" s="21" t="n">
        <x:v>1</x:v>
      </x:c>
      <x:c r="G1033" s="23" t="str">
        <x:f>IF(E1033=F1033,"PASS","FAIL")</x:f>
        <x:v>PASS</x:v>
      </x:c>
    </x:row>
    <x:row r="1034">
      <x:c r="B1034" s="21" t="str">
        <x:v>A1028</x:v>
      </x:c>
      <x:c r="C1034" s="21" t="str">
        <x:v>paper gate</x:v>
      </x:c>
      <x:c r="D1034" s="21" t="str">
        <x:v>gate 211 result reconciles</x:v>
      </x:c>
      <x:c r="E1034" s="21" t="n">
        <x:f>IF('Paper Gates'!I211=IF('Paper Gates'!G211='Paper Gates'!H211,"PASS","FAIL"),1,0)</x:f>
        <x:v>1</x:v>
      </x:c>
      <x:c r="F1034" s="21" t="n">
        <x:v>1</x:v>
      </x:c>
      <x:c r="G1034" s="23" t="str">
        <x:f>IF(E1034=F1034,"PASS","FAIL")</x:f>
        <x:v>PASS</x:v>
      </x:c>
    </x:row>
    <x:row r="1035">
      <x:c r="B1035" s="21" t="str">
        <x:v>A1029</x:v>
      </x:c>
      <x:c r="C1035" s="21" t="str">
        <x:v>paper gate</x:v>
      </x:c>
      <x:c r="D1035" s="21" t="str">
        <x:v>gate 212 binary observation</x:v>
      </x:c>
      <x:c r="E1035" s="21" t="n">
        <x:f>IF(OR('Paper Gates'!G212=0,'Paper Gates'!G212=1),1,0)</x:f>
        <x:v>1</x:v>
      </x:c>
      <x:c r="F1035" s="21" t="n">
        <x:v>1</x:v>
      </x:c>
      <x:c r="G1035" s="23" t="str">
        <x:f>IF(E1035=F1035,"PASS","FAIL")</x:f>
        <x:v>PASS</x:v>
      </x:c>
    </x:row>
    <x:row r="1036">
      <x:c r="B1036" s="21" t="str">
        <x:v>A1030</x:v>
      </x:c>
      <x:c r="C1036" s="21" t="str">
        <x:v>paper gate</x:v>
      </x:c>
      <x:c r="D1036" s="21" t="str">
        <x:v>gate 212 fixed requirement</x:v>
      </x:c>
      <x:c r="E1036" s="21" t="n">
        <x:f>IF('Paper Gates'!H212=1,1,0)</x:f>
        <x:v>1</x:v>
      </x:c>
      <x:c r="F1036" s="21" t="n">
        <x:v>1</x:v>
      </x:c>
      <x:c r="G1036" s="23" t="str">
        <x:f>IF(E1036=F1036,"PASS","FAIL")</x:f>
        <x:v>PASS</x:v>
      </x:c>
    </x:row>
    <x:row r="1037">
      <x:c r="B1037" s="21" t="str">
        <x:v>A1031</x:v>
      </x:c>
      <x:c r="C1037" s="21" t="str">
        <x:v>paper gate</x:v>
      </x:c>
      <x:c r="D1037" s="21" t="str">
        <x:v>gate 212 result reconciles</x:v>
      </x:c>
      <x:c r="E1037" s="21" t="n">
        <x:f>IF('Paper Gates'!I212=IF('Paper Gates'!G212='Paper Gates'!H212,"PASS","FAIL"),1,0)</x:f>
        <x:v>1</x:v>
      </x:c>
      <x:c r="F1037" s="21" t="n">
        <x:v>1</x:v>
      </x:c>
      <x:c r="G1037" s="23" t="str">
        <x:f>IF(E1037=F1037,"PASS","FAIL")</x:f>
        <x:v>PASS</x:v>
      </x:c>
    </x:row>
    <x:row r="1038">
      <x:c r="B1038" s="21" t="str">
        <x:v>A1032</x:v>
      </x:c>
      <x:c r="C1038" s="21" t="str">
        <x:v>paper gate</x:v>
      </x:c>
      <x:c r="D1038" s="21" t="str">
        <x:v>gate 213 binary observation</x:v>
      </x:c>
      <x:c r="E1038" s="21" t="n">
        <x:f>IF(OR('Paper Gates'!G213=0,'Paper Gates'!G213=1),1,0)</x:f>
        <x:v>1</x:v>
      </x:c>
      <x:c r="F1038" s="21" t="n">
        <x:v>1</x:v>
      </x:c>
      <x:c r="G1038" s="23" t="str">
        <x:f>IF(E1038=F1038,"PASS","FAIL")</x:f>
        <x:v>PASS</x:v>
      </x:c>
    </x:row>
    <x:row r="1039">
      <x:c r="B1039" s="21" t="str">
        <x:v>A1033</x:v>
      </x:c>
      <x:c r="C1039" s="21" t="str">
        <x:v>paper gate</x:v>
      </x:c>
      <x:c r="D1039" s="21" t="str">
        <x:v>gate 213 fixed requirement</x:v>
      </x:c>
      <x:c r="E1039" s="21" t="n">
        <x:f>IF('Paper Gates'!H213=1,1,0)</x:f>
        <x:v>1</x:v>
      </x:c>
      <x:c r="F1039" s="21" t="n">
        <x:v>1</x:v>
      </x:c>
      <x:c r="G1039" s="23" t="str">
        <x:f>IF(E1039=F1039,"PASS","FAIL")</x:f>
        <x:v>PASS</x:v>
      </x:c>
    </x:row>
    <x:row r="1040">
      <x:c r="B1040" s="21" t="str">
        <x:v>A1034</x:v>
      </x:c>
      <x:c r="C1040" s="21" t="str">
        <x:v>paper gate</x:v>
      </x:c>
      <x:c r="D1040" s="21" t="str">
        <x:v>gate 213 result reconciles</x:v>
      </x:c>
      <x:c r="E1040" s="21" t="n">
        <x:f>IF('Paper Gates'!I213=IF('Paper Gates'!G213='Paper Gates'!H213,"PASS","FAIL"),1,0)</x:f>
        <x:v>1</x:v>
      </x:c>
      <x:c r="F1040" s="21" t="n">
        <x:v>1</x:v>
      </x:c>
      <x:c r="G1040" s="23" t="str">
        <x:f>IF(E1040=F1040,"PASS","FAIL")</x:f>
        <x:v>PASS</x:v>
      </x:c>
    </x:row>
    <x:row r="1041">
      <x:c r="B1041" s="21" t="str">
        <x:v>A1035</x:v>
      </x:c>
      <x:c r="C1041" s="21" t="str">
        <x:v>paper gate</x:v>
      </x:c>
      <x:c r="D1041" s="21" t="str">
        <x:v>gate 214 binary observation</x:v>
      </x:c>
      <x:c r="E1041" s="21" t="n">
        <x:f>IF(OR('Paper Gates'!G214=0,'Paper Gates'!G214=1),1,0)</x:f>
        <x:v>1</x:v>
      </x:c>
      <x:c r="F1041" s="21" t="n">
        <x:v>1</x:v>
      </x:c>
      <x:c r="G1041" s="23" t="str">
        <x:f>IF(E1041=F1041,"PASS","FAIL")</x:f>
        <x:v>PASS</x:v>
      </x:c>
    </x:row>
    <x:row r="1042">
      <x:c r="B1042" s="21" t="str">
        <x:v>A1036</x:v>
      </x:c>
      <x:c r="C1042" s="21" t="str">
        <x:v>paper gate</x:v>
      </x:c>
      <x:c r="D1042" s="21" t="str">
        <x:v>gate 214 fixed requirement</x:v>
      </x:c>
      <x:c r="E1042" s="21" t="n">
        <x:f>IF('Paper Gates'!H214=1,1,0)</x:f>
        <x:v>1</x:v>
      </x:c>
      <x:c r="F1042" s="21" t="n">
        <x:v>1</x:v>
      </x:c>
      <x:c r="G1042" s="23" t="str">
        <x:f>IF(E1042=F1042,"PASS","FAIL")</x:f>
        <x:v>PASS</x:v>
      </x:c>
    </x:row>
    <x:row r="1043">
      <x:c r="B1043" s="21" t="str">
        <x:v>A1037</x:v>
      </x:c>
      <x:c r="C1043" s="21" t="str">
        <x:v>paper gate</x:v>
      </x:c>
      <x:c r="D1043" s="21" t="str">
        <x:v>gate 214 result reconciles</x:v>
      </x:c>
      <x:c r="E1043" s="21" t="n">
        <x:f>IF('Paper Gates'!I214=IF('Paper Gates'!G214='Paper Gates'!H214,"PASS","FAIL"),1,0)</x:f>
        <x:v>1</x:v>
      </x:c>
      <x:c r="F1043" s="21" t="n">
        <x:v>1</x:v>
      </x:c>
      <x:c r="G1043" s="23" t="str">
        <x:f>IF(E1043=F1043,"PASS","FAIL")</x:f>
        <x:v>PASS</x:v>
      </x:c>
    </x:row>
    <x:row r="1044">
      <x:c r="B1044" s="21" t="str">
        <x:v>A1038</x:v>
      </x:c>
      <x:c r="C1044" s="21" t="str">
        <x:v>paper gate</x:v>
      </x:c>
      <x:c r="D1044" s="21" t="str">
        <x:v>gate 215 binary observation</x:v>
      </x:c>
      <x:c r="E1044" s="21" t="n">
        <x:f>IF(OR('Paper Gates'!G215=0,'Paper Gates'!G215=1),1,0)</x:f>
        <x:v>1</x:v>
      </x:c>
      <x:c r="F1044" s="21" t="n">
        <x:v>1</x:v>
      </x:c>
      <x:c r="G1044" s="23" t="str">
        <x:f>IF(E1044=F1044,"PASS","FAIL")</x:f>
        <x:v>PASS</x:v>
      </x:c>
    </x:row>
    <x:row r="1045">
      <x:c r="B1045" s="21" t="str">
        <x:v>A1039</x:v>
      </x:c>
      <x:c r="C1045" s="21" t="str">
        <x:v>paper gate</x:v>
      </x:c>
      <x:c r="D1045" s="21" t="str">
        <x:v>gate 215 fixed requirement</x:v>
      </x:c>
      <x:c r="E1045" s="21" t="n">
        <x:f>IF('Paper Gates'!H215=1,1,0)</x:f>
        <x:v>1</x:v>
      </x:c>
      <x:c r="F1045" s="21" t="n">
        <x:v>1</x:v>
      </x:c>
      <x:c r="G1045" s="23" t="str">
        <x:f>IF(E1045=F1045,"PASS","FAIL")</x:f>
        <x:v>PASS</x:v>
      </x:c>
    </x:row>
    <x:row r="1046">
      <x:c r="B1046" s="21" t="str">
        <x:v>A1040</x:v>
      </x:c>
      <x:c r="C1046" s="21" t="str">
        <x:v>paper gate</x:v>
      </x:c>
      <x:c r="D1046" s="21" t="str">
        <x:v>gate 215 result reconciles</x:v>
      </x:c>
      <x:c r="E1046" s="21" t="n">
        <x:f>IF('Paper Gates'!I215=IF('Paper Gates'!G215='Paper Gates'!H215,"PASS","FAIL"),1,0)</x:f>
        <x:v>1</x:v>
      </x:c>
      <x:c r="F1046" s="21" t="n">
        <x:v>1</x:v>
      </x:c>
      <x:c r="G1046" s="23" t="str">
        <x:f>IF(E1046=F1046,"PASS","FAIL")</x:f>
        <x:v>PASS</x:v>
      </x:c>
    </x:row>
    <x:row r="1047">
      <x:c r="B1047" s="21" t="str">
        <x:v>A1041</x:v>
      </x:c>
      <x:c r="C1047" s="21" t="str">
        <x:v>paper gate</x:v>
      </x:c>
      <x:c r="D1047" s="21" t="str">
        <x:v>gate 216 binary observation</x:v>
      </x:c>
      <x:c r="E1047" s="21" t="n">
        <x:f>IF(OR('Paper Gates'!G216=0,'Paper Gates'!G216=1),1,0)</x:f>
        <x:v>1</x:v>
      </x:c>
      <x:c r="F1047" s="21" t="n">
        <x:v>1</x:v>
      </x:c>
      <x:c r="G1047" s="23" t="str">
        <x:f>IF(E1047=F1047,"PASS","FAIL")</x:f>
        <x:v>PASS</x:v>
      </x:c>
    </x:row>
    <x:row r="1048">
      <x:c r="B1048" s="21" t="str">
        <x:v>A1042</x:v>
      </x:c>
      <x:c r="C1048" s="21" t="str">
        <x:v>paper gate</x:v>
      </x:c>
      <x:c r="D1048" s="21" t="str">
        <x:v>gate 216 fixed requirement</x:v>
      </x:c>
      <x:c r="E1048" s="21" t="n">
        <x:f>IF('Paper Gates'!H216=1,1,0)</x:f>
        <x:v>1</x:v>
      </x:c>
      <x:c r="F1048" s="21" t="n">
        <x:v>1</x:v>
      </x:c>
      <x:c r="G1048" s="23" t="str">
        <x:f>IF(E1048=F1048,"PASS","FAIL")</x:f>
        <x:v>PASS</x:v>
      </x:c>
    </x:row>
    <x:row r="1049">
      <x:c r="B1049" s="21" t="str">
        <x:v>A1043</x:v>
      </x:c>
      <x:c r="C1049" s="21" t="str">
        <x:v>paper gate</x:v>
      </x:c>
      <x:c r="D1049" s="21" t="str">
        <x:v>gate 216 result reconciles</x:v>
      </x:c>
      <x:c r="E1049" s="21" t="n">
        <x:f>IF('Paper Gates'!I216=IF('Paper Gates'!G216='Paper Gates'!H216,"PASS","FAIL"),1,0)</x:f>
        <x:v>1</x:v>
      </x:c>
      <x:c r="F1049" s="21" t="n">
        <x:v>1</x:v>
      </x:c>
      <x:c r="G1049" s="23" t="str">
        <x:f>IF(E1049=F1049,"PASS","FAIL")</x:f>
        <x:v>PASS</x:v>
      </x:c>
    </x:row>
    <x:row r="1050">
      <x:c r="B1050" s="21" t="str">
        <x:v>A1044</x:v>
      </x:c>
      <x:c r="C1050" s="21" t="str">
        <x:v>paper gate</x:v>
      </x:c>
      <x:c r="D1050" s="21" t="str">
        <x:v>gate 217 binary observation</x:v>
      </x:c>
      <x:c r="E1050" s="21" t="n">
        <x:f>IF(OR('Paper Gates'!G217=0,'Paper Gates'!G217=1),1,0)</x:f>
        <x:v>1</x:v>
      </x:c>
      <x:c r="F1050" s="21" t="n">
        <x:v>1</x:v>
      </x:c>
      <x:c r="G1050" s="23" t="str">
        <x:f>IF(E1050=F1050,"PASS","FAIL")</x:f>
        <x:v>PASS</x:v>
      </x:c>
    </x:row>
    <x:row r="1051">
      <x:c r="B1051" s="21" t="str">
        <x:v>A1045</x:v>
      </x:c>
      <x:c r="C1051" s="21" t="str">
        <x:v>paper gate</x:v>
      </x:c>
      <x:c r="D1051" s="21" t="str">
        <x:v>gate 217 fixed requirement</x:v>
      </x:c>
      <x:c r="E1051" s="21" t="n">
        <x:f>IF('Paper Gates'!H217=1,1,0)</x:f>
        <x:v>1</x:v>
      </x:c>
      <x:c r="F1051" s="21" t="n">
        <x:v>1</x:v>
      </x:c>
      <x:c r="G1051" s="23" t="str">
        <x:f>IF(E1051=F1051,"PASS","FAIL")</x:f>
        <x:v>PASS</x:v>
      </x:c>
    </x:row>
    <x:row r="1052">
      <x:c r="B1052" s="21" t="str">
        <x:v>A1046</x:v>
      </x:c>
      <x:c r="C1052" s="21" t="str">
        <x:v>paper gate</x:v>
      </x:c>
      <x:c r="D1052" s="21" t="str">
        <x:v>gate 217 result reconciles</x:v>
      </x:c>
      <x:c r="E1052" s="21" t="n">
        <x:f>IF('Paper Gates'!I217=IF('Paper Gates'!G217='Paper Gates'!H217,"PASS","FAIL"),1,0)</x:f>
        <x:v>1</x:v>
      </x:c>
      <x:c r="F1052" s="21" t="n">
        <x:v>1</x:v>
      </x:c>
      <x:c r="G1052" s="23" t="str">
        <x:f>IF(E1052=F1052,"PASS","FAIL")</x:f>
        <x:v>PASS</x:v>
      </x:c>
    </x:row>
    <x:row r="1053">
      <x:c r="B1053" s="21" t="str">
        <x:v>A1047</x:v>
      </x:c>
      <x:c r="C1053" s="21" t="str">
        <x:v>paper gate</x:v>
      </x:c>
      <x:c r="D1053" s="21" t="str">
        <x:v>gate 218 binary observation</x:v>
      </x:c>
      <x:c r="E1053" s="21" t="n">
        <x:f>IF(OR('Paper Gates'!G218=0,'Paper Gates'!G218=1),1,0)</x:f>
        <x:v>1</x:v>
      </x:c>
      <x:c r="F1053" s="21" t="n">
        <x:v>1</x:v>
      </x:c>
      <x:c r="G1053" s="23" t="str">
        <x:f>IF(E1053=F1053,"PASS","FAIL")</x:f>
        <x:v>PASS</x:v>
      </x:c>
    </x:row>
    <x:row r="1054">
      <x:c r="B1054" s="21" t="str">
        <x:v>A1048</x:v>
      </x:c>
      <x:c r="C1054" s="21" t="str">
        <x:v>paper gate</x:v>
      </x:c>
      <x:c r="D1054" s="21" t="str">
        <x:v>gate 218 fixed requirement</x:v>
      </x:c>
      <x:c r="E1054" s="21" t="n">
        <x:f>IF('Paper Gates'!H218=1,1,0)</x:f>
        <x:v>1</x:v>
      </x:c>
      <x:c r="F1054" s="21" t="n">
        <x:v>1</x:v>
      </x:c>
      <x:c r="G1054" s="23" t="str">
        <x:f>IF(E1054=F1054,"PASS","FAIL")</x:f>
        <x:v>PASS</x:v>
      </x:c>
    </x:row>
    <x:row r="1055">
      <x:c r="B1055" s="21" t="str">
        <x:v>A1049</x:v>
      </x:c>
      <x:c r="C1055" s="21" t="str">
        <x:v>paper gate</x:v>
      </x:c>
      <x:c r="D1055" s="21" t="str">
        <x:v>gate 218 result reconciles</x:v>
      </x:c>
      <x:c r="E1055" s="21" t="n">
        <x:f>IF('Paper Gates'!I218=IF('Paper Gates'!G218='Paper Gates'!H218,"PASS","FAIL"),1,0)</x:f>
        <x:v>1</x:v>
      </x:c>
      <x:c r="F1055" s="21" t="n">
        <x:v>1</x:v>
      </x:c>
      <x:c r="G1055" s="23" t="str">
        <x:f>IF(E1055=F1055,"PASS","FAIL")</x:f>
        <x:v>PASS</x:v>
      </x:c>
    </x:row>
    <x:row r="1056">
      <x:c r="B1056" s="21" t="str">
        <x:v>A1050</x:v>
      </x:c>
      <x:c r="C1056" s="21" t="str">
        <x:v>paper gate</x:v>
      </x:c>
      <x:c r="D1056" s="21" t="str">
        <x:v>gate 219 binary observation</x:v>
      </x:c>
      <x:c r="E1056" s="21" t="n">
        <x:f>IF(OR('Paper Gates'!G219=0,'Paper Gates'!G219=1),1,0)</x:f>
        <x:v>1</x:v>
      </x:c>
      <x:c r="F1056" s="21" t="n">
        <x:v>1</x:v>
      </x:c>
      <x:c r="G1056" s="23" t="str">
        <x:f>IF(E1056=F1056,"PASS","FAIL")</x:f>
        <x:v>PASS</x:v>
      </x:c>
    </x:row>
    <x:row r="1057">
      <x:c r="B1057" s="21" t="str">
        <x:v>A1051</x:v>
      </x:c>
      <x:c r="C1057" s="21" t="str">
        <x:v>paper gate</x:v>
      </x:c>
      <x:c r="D1057" s="21" t="str">
        <x:v>gate 219 fixed requirement</x:v>
      </x:c>
      <x:c r="E1057" s="21" t="n">
        <x:f>IF('Paper Gates'!H219=1,1,0)</x:f>
        <x:v>1</x:v>
      </x:c>
      <x:c r="F1057" s="21" t="n">
        <x:v>1</x:v>
      </x:c>
      <x:c r="G1057" s="23" t="str">
        <x:f>IF(E1057=F1057,"PASS","FAIL")</x:f>
        <x:v>PASS</x:v>
      </x:c>
    </x:row>
    <x:row r="1058">
      <x:c r="B1058" s="21" t="str">
        <x:v>A1052</x:v>
      </x:c>
      <x:c r="C1058" s="21" t="str">
        <x:v>paper gate</x:v>
      </x:c>
      <x:c r="D1058" s="21" t="str">
        <x:v>gate 219 result reconciles</x:v>
      </x:c>
      <x:c r="E1058" s="21" t="n">
        <x:f>IF('Paper Gates'!I219=IF('Paper Gates'!G219='Paper Gates'!H219,"PASS","FAIL"),1,0)</x:f>
        <x:v>1</x:v>
      </x:c>
      <x:c r="F1058" s="21" t="n">
        <x:v>1</x:v>
      </x:c>
      <x:c r="G1058" s="23" t="str">
        <x:f>IF(E1058=F1058,"PASS","FAIL")</x:f>
        <x:v>PASS</x:v>
      </x:c>
    </x:row>
    <x:row r="1059">
      <x:c r="B1059" s="21" t="str">
        <x:v>A1053</x:v>
      </x:c>
      <x:c r="C1059" s="21" t="str">
        <x:v>paper gate</x:v>
      </x:c>
      <x:c r="D1059" s="21" t="str">
        <x:v>gate 220 binary observation</x:v>
      </x:c>
      <x:c r="E1059" s="21" t="n">
        <x:f>IF(OR('Paper Gates'!G220=0,'Paper Gates'!G220=1),1,0)</x:f>
        <x:v>1</x:v>
      </x:c>
      <x:c r="F1059" s="21" t="n">
        <x:v>1</x:v>
      </x:c>
      <x:c r="G1059" s="23" t="str">
        <x:f>IF(E1059=F1059,"PASS","FAIL")</x:f>
        <x:v>PASS</x:v>
      </x:c>
    </x:row>
    <x:row r="1060">
      <x:c r="B1060" s="21" t="str">
        <x:v>A1054</x:v>
      </x:c>
      <x:c r="C1060" s="21" t="str">
        <x:v>paper gate</x:v>
      </x:c>
      <x:c r="D1060" s="21" t="str">
        <x:v>gate 220 fixed requirement</x:v>
      </x:c>
      <x:c r="E1060" s="21" t="n">
        <x:f>IF('Paper Gates'!H220=1,1,0)</x:f>
        <x:v>1</x:v>
      </x:c>
      <x:c r="F1060" s="21" t="n">
        <x:v>1</x:v>
      </x:c>
      <x:c r="G1060" s="23" t="str">
        <x:f>IF(E1060=F1060,"PASS","FAIL")</x:f>
        <x:v>PASS</x:v>
      </x:c>
    </x:row>
    <x:row r="1061">
      <x:c r="B1061" s="21" t="str">
        <x:v>A1055</x:v>
      </x:c>
      <x:c r="C1061" s="21" t="str">
        <x:v>paper gate</x:v>
      </x:c>
      <x:c r="D1061" s="21" t="str">
        <x:v>gate 220 result reconciles</x:v>
      </x:c>
      <x:c r="E1061" s="21" t="n">
        <x:f>IF('Paper Gates'!I220=IF('Paper Gates'!G220='Paper Gates'!H220,"PASS","FAIL"),1,0)</x:f>
        <x:v>1</x:v>
      </x:c>
      <x:c r="F1061" s="21" t="n">
        <x:v>1</x:v>
      </x:c>
      <x:c r="G1061" s="23" t="str">
        <x:f>IF(E1061=F1061,"PASS","FAIL")</x:f>
        <x:v>PASS</x:v>
      </x:c>
    </x:row>
    <x:row r="1062">
      <x:c r="B1062" s="21" t="str">
        <x:v>A1056</x:v>
      </x:c>
      <x:c r="C1062" s="21" t="str">
        <x:v>paper gate</x:v>
      </x:c>
      <x:c r="D1062" s="21" t="str">
        <x:v>gate 221 binary observation</x:v>
      </x:c>
      <x:c r="E1062" s="21" t="n">
        <x:f>IF(OR('Paper Gates'!G221=0,'Paper Gates'!G221=1),1,0)</x:f>
        <x:v>1</x:v>
      </x:c>
      <x:c r="F1062" s="21" t="n">
        <x:v>1</x:v>
      </x:c>
      <x:c r="G1062" s="23" t="str">
        <x:f>IF(E1062=F1062,"PASS","FAIL")</x:f>
        <x:v>PASS</x:v>
      </x:c>
    </x:row>
    <x:row r="1063">
      <x:c r="B1063" s="21" t="str">
        <x:v>A1057</x:v>
      </x:c>
      <x:c r="C1063" s="21" t="str">
        <x:v>paper gate</x:v>
      </x:c>
      <x:c r="D1063" s="21" t="str">
        <x:v>gate 221 fixed requirement</x:v>
      </x:c>
      <x:c r="E1063" s="21" t="n">
        <x:f>IF('Paper Gates'!H221=1,1,0)</x:f>
        <x:v>1</x:v>
      </x:c>
      <x:c r="F1063" s="21" t="n">
        <x:v>1</x:v>
      </x:c>
      <x:c r="G1063" s="23" t="str">
        <x:f>IF(E1063=F1063,"PASS","FAIL")</x:f>
        <x:v>PASS</x:v>
      </x:c>
    </x:row>
    <x:row r="1064">
      <x:c r="B1064" s="21" t="str">
        <x:v>A1058</x:v>
      </x:c>
      <x:c r="C1064" s="21" t="str">
        <x:v>paper gate</x:v>
      </x:c>
      <x:c r="D1064" s="21" t="str">
        <x:v>gate 221 result reconciles</x:v>
      </x:c>
      <x:c r="E1064" s="21" t="n">
        <x:f>IF('Paper Gates'!I221=IF('Paper Gates'!G221='Paper Gates'!H221,"PASS","FAIL"),1,0)</x:f>
        <x:v>1</x:v>
      </x:c>
      <x:c r="F1064" s="21" t="n">
        <x:v>1</x:v>
      </x:c>
      <x:c r="G1064" s="23" t="str">
        <x:f>IF(E1064=F1064,"PASS","FAIL")</x:f>
        <x:v>PASS</x:v>
      </x:c>
    </x:row>
    <x:row r="1065">
      <x:c r="B1065" s="21" t="str">
        <x:v>A1059</x:v>
      </x:c>
      <x:c r="C1065" s="21" t="str">
        <x:v>paper gate</x:v>
      </x:c>
      <x:c r="D1065" s="21" t="str">
        <x:v>gate 222 binary observation</x:v>
      </x:c>
      <x:c r="E1065" s="21" t="n">
        <x:f>IF(OR('Paper Gates'!G222=0,'Paper Gates'!G222=1),1,0)</x:f>
        <x:v>1</x:v>
      </x:c>
      <x:c r="F1065" s="21" t="n">
        <x:v>1</x:v>
      </x:c>
      <x:c r="G1065" s="23" t="str">
        <x:f>IF(E1065=F1065,"PASS","FAIL")</x:f>
        <x:v>PASS</x:v>
      </x:c>
    </x:row>
    <x:row r="1066">
      <x:c r="B1066" s="21" t="str">
        <x:v>A1060</x:v>
      </x:c>
      <x:c r="C1066" s="21" t="str">
        <x:v>paper gate</x:v>
      </x:c>
      <x:c r="D1066" s="21" t="str">
        <x:v>gate 222 fixed requirement</x:v>
      </x:c>
      <x:c r="E1066" s="21" t="n">
        <x:f>IF('Paper Gates'!H222=1,1,0)</x:f>
        <x:v>1</x:v>
      </x:c>
      <x:c r="F1066" s="21" t="n">
        <x:v>1</x:v>
      </x:c>
      <x:c r="G1066" s="23" t="str">
        <x:f>IF(E1066=F1066,"PASS","FAIL")</x:f>
        <x:v>PASS</x:v>
      </x:c>
    </x:row>
    <x:row r="1067">
      <x:c r="B1067" s="21" t="str">
        <x:v>A1061</x:v>
      </x:c>
      <x:c r="C1067" s="21" t="str">
        <x:v>paper gate</x:v>
      </x:c>
      <x:c r="D1067" s="21" t="str">
        <x:v>gate 222 result reconciles</x:v>
      </x:c>
      <x:c r="E1067" s="21" t="n">
        <x:f>IF('Paper Gates'!I222=IF('Paper Gates'!G222='Paper Gates'!H222,"PASS","FAIL"),1,0)</x:f>
        <x:v>1</x:v>
      </x:c>
      <x:c r="F1067" s="21" t="n">
        <x:v>1</x:v>
      </x:c>
      <x:c r="G1067" s="23" t="str">
        <x:f>IF(E1067=F1067,"PASS","FAIL")</x:f>
        <x:v>PASS</x:v>
      </x:c>
    </x:row>
    <x:row r="1068">
      <x:c r="B1068" s="21" t="str">
        <x:v>A1062</x:v>
      </x:c>
      <x:c r="C1068" s="21" t="str">
        <x:v>paper gate</x:v>
      </x:c>
      <x:c r="D1068" s="21" t="str">
        <x:v>gate 223 binary observation</x:v>
      </x:c>
      <x:c r="E1068" s="21" t="n">
        <x:f>IF(OR('Paper Gates'!G223=0,'Paper Gates'!G223=1),1,0)</x:f>
        <x:v>1</x:v>
      </x:c>
      <x:c r="F1068" s="21" t="n">
        <x:v>1</x:v>
      </x:c>
      <x:c r="G1068" s="23" t="str">
        <x:f>IF(E1068=F1068,"PASS","FAIL")</x:f>
        <x:v>PASS</x:v>
      </x:c>
    </x:row>
    <x:row r="1069">
      <x:c r="B1069" s="21" t="str">
        <x:v>A1063</x:v>
      </x:c>
      <x:c r="C1069" s="21" t="str">
        <x:v>paper gate</x:v>
      </x:c>
      <x:c r="D1069" s="21" t="str">
        <x:v>gate 223 fixed requirement</x:v>
      </x:c>
      <x:c r="E1069" s="21" t="n">
        <x:f>IF('Paper Gates'!H223=1,1,0)</x:f>
        <x:v>1</x:v>
      </x:c>
      <x:c r="F1069" s="21" t="n">
        <x:v>1</x:v>
      </x:c>
      <x:c r="G1069" s="23" t="str">
        <x:f>IF(E1069=F1069,"PASS","FAIL")</x:f>
        <x:v>PASS</x:v>
      </x:c>
    </x:row>
    <x:row r="1070">
      <x:c r="B1070" s="21" t="str">
        <x:v>A1064</x:v>
      </x:c>
      <x:c r="C1070" s="21" t="str">
        <x:v>paper gate</x:v>
      </x:c>
      <x:c r="D1070" s="21" t="str">
        <x:v>gate 223 result reconciles</x:v>
      </x:c>
      <x:c r="E1070" s="21" t="n">
        <x:f>IF('Paper Gates'!I223=IF('Paper Gates'!G223='Paper Gates'!H223,"PASS","FAIL"),1,0)</x:f>
        <x:v>1</x:v>
      </x:c>
      <x:c r="F1070" s="21" t="n">
        <x:v>1</x:v>
      </x:c>
      <x:c r="G1070" s="23" t="str">
        <x:f>IF(E1070=F1070,"PASS","FAIL")</x:f>
        <x:v>PASS</x:v>
      </x:c>
    </x:row>
    <x:row r="1071">
      <x:c r="B1071" s="21" t="str">
        <x:v>A1065</x:v>
      </x:c>
      <x:c r="C1071" s="21" t="str">
        <x:v>paper gate</x:v>
      </x:c>
      <x:c r="D1071" s="21" t="str">
        <x:v>gate 224 binary observation</x:v>
      </x:c>
      <x:c r="E1071" s="21" t="n">
        <x:f>IF(OR('Paper Gates'!G224=0,'Paper Gates'!G224=1),1,0)</x:f>
        <x:v>1</x:v>
      </x:c>
      <x:c r="F1071" s="21" t="n">
        <x:v>1</x:v>
      </x:c>
      <x:c r="G1071" s="23" t="str">
        <x:f>IF(E1071=F1071,"PASS","FAIL")</x:f>
        <x:v>PASS</x:v>
      </x:c>
    </x:row>
    <x:row r="1072">
      <x:c r="B1072" s="21" t="str">
        <x:v>A1066</x:v>
      </x:c>
      <x:c r="C1072" s="21" t="str">
        <x:v>paper gate</x:v>
      </x:c>
      <x:c r="D1072" s="21" t="str">
        <x:v>gate 224 fixed requirement</x:v>
      </x:c>
      <x:c r="E1072" s="21" t="n">
        <x:f>IF('Paper Gates'!H224=1,1,0)</x:f>
        <x:v>1</x:v>
      </x:c>
      <x:c r="F1072" s="21" t="n">
        <x:v>1</x:v>
      </x:c>
      <x:c r="G1072" s="23" t="str">
        <x:f>IF(E1072=F1072,"PASS","FAIL")</x:f>
        <x:v>PASS</x:v>
      </x:c>
    </x:row>
    <x:row r="1073">
      <x:c r="B1073" s="21" t="str">
        <x:v>A1067</x:v>
      </x:c>
      <x:c r="C1073" s="21" t="str">
        <x:v>paper gate</x:v>
      </x:c>
      <x:c r="D1073" s="21" t="str">
        <x:v>gate 224 result reconciles</x:v>
      </x:c>
      <x:c r="E1073" s="21" t="n">
        <x:f>IF('Paper Gates'!I224=IF('Paper Gates'!G224='Paper Gates'!H224,"PASS","FAIL"),1,0)</x:f>
        <x:v>1</x:v>
      </x:c>
      <x:c r="F1073" s="21" t="n">
        <x:v>1</x:v>
      </x:c>
      <x:c r="G1073" s="23" t="str">
        <x:f>IF(E1073=F1073,"PASS","FAIL")</x:f>
        <x:v>PASS</x:v>
      </x:c>
    </x:row>
    <x:row r="1074">
      <x:c r="B1074" s="21" t="str">
        <x:v>A1068</x:v>
      </x:c>
      <x:c r="C1074" s="21" t="str">
        <x:v>paper gate</x:v>
      </x:c>
      <x:c r="D1074" s="21" t="str">
        <x:v>gate 225 binary observation</x:v>
      </x:c>
      <x:c r="E1074" s="21" t="n">
        <x:f>IF(OR('Paper Gates'!G225=0,'Paper Gates'!G225=1),1,0)</x:f>
        <x:v>1</x:v>
      </x:c>
      <x:c r="F1074" s="21" t="n">
        <x:v>1</x:v>
      </x:c>
      <x:c r="G1074" s="23" t="str">
        <x:f>IF(E1074=F1074,"PASS","FAIL")</x:f>
        <x:v>PASS</x:v>
      </x:c>
    </x:row>
    <x:row r="1075">
      <x:c r="B1075" s="21" t="str">
        <x:v>A1069</x:v>
      </x:c>
      <x:c r="C1075" s="21" t="str">
        <x:v>paper gate</x:v>
      </x:c>
      <x:c r="D1075" s="21" t="str">
        <x:v>gate 225 fixed requirement</x:v>
      </x:c>
      <x:c r="E1075" s="21" t="n">
        <x:f>IF('Paper Gates'!H225=1,1,0)</x:f>
        <x:v>1</x:v>
      </x:c>
      <x:c r="F1075" s="21" t="n">
        <x:v>1</x:v>
      </x:c>
      <x:c r="G1075" s="23" t="str">
        <x:f>IF(E1075=F1075,"PASS","FAIL")</x:f>
        <x:v>PASS</x:v>
      </x:c>
    </x:row>
    <x:row r="1076">
      <x:c r="B1076" s="21" t="str">
        <x:v>A1070</x:v>
      </x:c>
      <x:c r="C1076" s="21" t="str">
        <x:v>paper gate</x:v>
      </x:c>
      <x:c r="D1076" s="21" t="str">
        <x:v>gate 225 result reconciles</x:v>
      </x:c>
      <x:c r="E1076" s="21" t="n">
        <x:f>IF('Paper Gates'!I225=IF('Paper Gates'!G225='Paper Gates'!H225,"PASS","FAIL"),1,0)</x:f>
        <x:v>1</x:v>
      </x:c>
      <x:c r="F1076" s="21" t="n">
        <x:v>1</x:v>
      </x:c>
      <x:c r="G1076" s="23" t="str">
        <x:f>IF(E1076=F1076,"PASS","FAIL")</x:f>
        <x:v>PASS</x:v>
      </x:c>
    </x:row>
    <x:row r="1077">
      <x:c r="B1077" s="21" t="str">
        <x:v>A1071</x:v>
      </x:c>
      <x:c r="C1077" s="21" t="str">
        <x:v>paper gate</x:v>
      </x:c>
      <x:c r="D1077" s="21" t="str">
        <x:v>gate 226 binary observation</x:v>
      </x:c>
      <x:c r="E1077" s="21" t="n">
        <x:f>IF(OR('Paper Gates'!G226=0,'Paper Gates'!G226=1),1,0)</x:f>
        <x:v>1</x:v>
      </x:c>
      <x:c r="F1077" s="21" t="n">
        <x:v>1</x:v>
      </x:c>
      <x:c r="G1077" s="23" t="str">
        <x:f>IF(E1077=F1077,"PASS","FAIL")</x:f>
        <x:v>PASS</x:v>
      </x:c>
    </x:row>
    <x:row r="1078">
      <x:c r="B1078" s="21" t="str">
        <x:v>A1072</x:v>
      </x:c>
      <x:c r="C1078" s="21" t="str">
        <x:v>paper gate</x:v>
      </x:c>
      <x:c r="D1078" s="21" t="str">
        <x:v>gate 226 fixed requirement</x:v>
      </x:c>
      <x:c r="E1078" s="21" t="n">
        <x:f>IF('Paper Gates'!H226=1,1,0)</x:f>
        <x:v>1</x:v>
      </x:c>
      <x:c r="F1078" s="21" t="n">
        <x:v>1</x:v>
      </x:c>
      <x:c r="G1078" s="23" t="str">
        <x:f>IF(E1078=F1078,"PASS","FAIL")</x:f>
        <x:v>PASS</x:v>
      </x:c>
    </x:row>
    <x:row r="1079">
      <x:c r="B1079" s="21" t="str">
        <x:v>A1073</x:v>
      </x:c>
      <x:c r="C1079" s="21" t="str">
        <x:v>paper gate</x:v>
      </x:c>
      <x:c r="D1079" s="21" t="str">
        <x:v>gate 226 result reconciles</x:v>
      </x:c>
      <x:c r="E1079" s="21" t="n">
        <x:f>IF('Paper Gates'!I226=IF('Paper Gates'!G226='Paper Gates'!H226,"PASS","FAIL"),1,0)</x:f>
        <x:v>1</x:v>
      </x:c>
      <x:c r="F1079" s="21" t="n">
        <x:v>1</x:v>
      </x:c>
      <x:c r="G1079" s="23" t="str">
        <x:f>IF(E1079=F1079,"PASS","FAIL")</x:f>
        <x:v>PASS</x:v>
      </x:c>
    </x:row>
    <x:row r="1080">
      <x:c r="B1080" s="21" t="str">
        <x:v>A1074</x:v>
      </x:c>
      <x:c r="C1080" s="21" t="str">
        <x:v>paper gate</x:v>
      </x:c>
      <x:c r="D1080" s="21" t="str">
        <x:v>gate 227 binary observation</x:v>
      </x:c>
      <x:c r="E1080" s="21" t="n">
        <x:f>IF(OR('Paper Gates'!G227=0,'Paper Gates'!G227=1),1,0)</x:f>
        <x:v>1</x:v>
      </x:c>
      <x:c r="F1080" s="21" t="n">
        <x:v>1</x:v>
      </x:c>
      <x:c r="G1080" s="23" t="str">
        <x:f>IF(E1080=F1080,"PASS","FAIL")</x:f>
        <x:v>PASS</x:v>
      </x:c>
    </x:row>
    <x:row r="1081">
      <x:c r="B1081" s="21" t="str">
        <x:v>A1075</x:v>
      </x:c>
      <x:c r="C1081" s="21" t="str">
        <x:v>paper gate</x:v>
      </x:c>
      <x:c r="D1081" s="21" t="str">
        <x:v>gate 227 fixed requirement</x:v>
      </x:c>
      <x:c r="E1081" s="21" t="n">
        <x:f>IF('Paper Gates'!H227=1,1,0)</x:f>
        <x:v>1</x:v>
      </x:c>
      <x:c r="F1081" s="21" t="n">
        <x:v>1</x:v>
      </x:c>
      <x:c r="G1081" s="23" t="str">
        <x:f>IF(E1081=F1081,"PASS","FAIL")</x:f>
        <x:v>PASS</x:v>
      </x:c>
    </x:row>
    <x:row r="1082">
      <x:c r="B1082" s="21" t="str">
        <x:v>A1076</x:v>
      </x:c>
      <x:c r="C1082" s="21" t="str">
        <x:v>paper gate</x:v>
      </x:c>
      <x:c r="D1082" s="21" t="str">
        <x:v>gate 227 result reconciles</x:v>
      </x:c>
      <x:c r="E1082" s="21" t="n">
        <x:f>IF('Paper Gates'!I227=IF('Paper Gates'!G227='Paper Gates'!H227,"PASS","FAIL"),1,0)</x:f>
        <x:v>1</x:v>
      </x:c>
      <x:c r="F1082" s="21" t="n">
        <x:v>1</x:v>
      </x:c>
      <x:c r="G1082" s="23" t="str">
        <x:f>IF(E1082=F1082,"PASS","FAIL")</x:f>
        <x:v>PASS</x:v>
      </x:c>
    </x:row>
    <x:row r="1083">
      <x:c r="B1083" s="21" t="str">
        <x:v>A1077</x:v>
      </x:c>
      <x:c r="C1083" s="21" t="str">
        <x:v>paper gate</x:v>
      </x:c>
      <x:c r="D1083" s="21" t="str">
        <x:v>gate 228 binary observation</x:v>
      </x:c>
      <x:c r="E1083" s="21" t="n">
        <x:f>IF(OR('Paper Gates'!G228=0,'Paper Gates'!G228=1),1,0)</x:f>
        <x:v>1</x:v>
      </x:c>
      <x:c r="F1083" s="21" t="n">
        <x:v>1</x:v>
      </x:c>
      <x:c r="G1083" s="23" t="str">
        <x:f>IF(E1083=F1083,"PASS","FAIL")</x:f>
        <x:v>PASS</x:v>
      </x:c>
    </x:row>
    <x:row r="1084">
      <x:c r="B1084" s="21" t="str">
        <x:v>A1078</x:v>
      </x:c>
      <x:c r="C1084" s="21" t="str">
        <x:v>paper gate</x:v>
      </x:c>
      <x:c r="D1084" s="21" t="str">
        <x:v>gate 228 fixed requirement</x:v>
      </x:c>
      <x:c r="E1084" s="21" t="n">
        <x:f>IF('Paper Gates'!H228=1,1,0)</x:f>
        <x:v>1</x:v>
      </x:c>
      <x:c r="F1084" s="21" t="n">
        <x:v>1</x:v>
      </x:c>
      <x:c r="G1084" s="23" t="str">
        <x:f>IF(E1084=F1084,"PASS","FAIL")</x:f>
        <x:v>PASS</x:v>
      </x:c>
    </x:row>
    <x:row r="1085">
      <x:c r="B1085" s="21" t="str">
        <x:v>A1079</x:v>
      </x:c>
      <x:c r="C1085" s="21" t="str">
        <x:v>paper gate</x:v>
      </x:c>
      <x:c r="D1085" s="21" t="str">
        <x:v>gate 228 result reconciles</x:v>
      </x:c>
      <x:c r="E1085" s="21" t="n">
        <x:f>IF('Paper Gates'!I228=IF('Paper Gates'!G228='Paper Gates'!H228,"PASS","FAIL"),1,0)</x:f>
        <x:v>1</x:v>
      </x:c>
      <x:c r="F1085" s="21" t="n">
        <x:v>1</x:v>
      </x:c>
      <x:c r="G1085" s="23" t="str">
        <x:f>IF(E1085=F1085,"PASS","FAIL")</x:f>
        <x:v>PASS</x:v>
      </x:c>
    </x:row>
    <x:row r="1086">
      <x:c r="B1086" s="21" t="str">
        <x:v>A1080</x:v>
      </x:c>
      <x:c r="C1086" s="21" t="str">
        <x:v>paper gate</x:v>
      </x:c>
      <x:c r="D1086" s="21" t="str">
        <x:v>gate 229 binary observation</x:v>
      </x:c>
      <x:c r="E1086" s="21" t="n">
        <x:f>IF(OR('Paper Gates'!G229=0,'Paper Gates'!G229=1),1,0)</x:f>
        <x:v>1</x:v>
      </x:c>
      <x:c r="F1086" s="21" t="n">
        <x:v>1</x:v>
      </x:c>
      <x:c r="G1086" s="23" t="str">
        <x:f>IF(E1086=F1086,"PASS","FAIL")</x:f>
        <x:v>PASS</x:v>
      </x:c>
    </x:row>
    <x:row r="1087">
      <x:c r="B1087" s="21" t="str">
        <x:v>A1081</x:v>
      </x:c>
      <x:c r="C1087" s="21" t="str">
        <x:v>paper gate</x:v>
      </x:c>
      <x:c r="D1087" s="21" t="str">
        <x:v>gate 229 fixed requirement</x:v>
      </x:c>
      <x:c r="E1087" s="21" t="n">
        <x:f>IF('Paper Gates'!H229=1,1,0)</x:f>
        <x:v>1</x:v>
      </x:c>
      <x:c r="F1087" s="21" t="n">
        <x:v>1</x:v>
      </x:c>
      <x:c r="G1087" s="23" t="str">
        <x:f>IF(E1087=F1087,"PASS","FAIL")</x:f>
        <x:v>PASS</x:v>
      </x:c>
    </x:row>
    <x:row r="1088">
      <x:c r="B1088" s="21" t="str">
        <x:v>A1082</x:v>
      </x:c>
      <x:c r="C1088" s="21" t="str">
        <x:v>paper gate</x:v>
      </x:c>
      <x:c r="D1088" s="21" t="str">
        <x:v>gate 229 result reconciles</x:v>
      </x:c>
      <x:c r="E1088" s="21" t="n">
        <x:f>IF('Paper Gates'!I229=IF('Paper Gates'!G229='Paper Gates'!H229,"PASS","FAIL"),1,0)</x:f>
        <x:v>1</x:v>
      </x:c>
      <x:c r="F1088" s="21" t="n">
        <x:v>1</x:v>
      </x:c>
      <x:c r="G1088" s="23" t="str">
        <x:f>IF(E1088=F1088,"PASS","FAIL")</x:f>
        <x:v>PASS</x:v>
      </x:c>
    </x:row>
    <x:row r="1089">
      <x:c r="B1089" s="21" t="str">
        <x:v>A1083</x:v>
      </x:c>
      <x:c r="C1089" s="21" t="str">
        <x:v>paper gate</x:v>
      </x:c>
      <x:c r="D1089" s="21" t="str">
        <x:v>gate 230 binary observation</x:v>
      </x:c>
      <x:c r="E1089" s="21" t="n">
        <x:f>IF(OR('Paper Gates'!G230=0,'Paper Gates'!G230=1),1,0)</x:f>
        <x:v>1</x:v>
      </x:c>
      <x:c r="F1089" s="21" t="n">
        <x:v>1</x:v>
      </x:c>
      <x:c r="G1089" s="23" t="str">
        <x:f>IF(E1089=F1089,"PASS","FAIL")</x:f>
        <x:v>PASS</x:v>
      </x:c>
    </x:row>
    <x:row r="1090">
      <x:c r="B1090" s="21" t="str">
        <x:v>A1084</x:v>
      </x:c>
      <x:c r="C1090" s="21" t="str">
        <x:v>paper gate</x:v>
      </x:c>
      <x:c r="D1090" s="21" t="str">
        <x:v>gate 230 fixed requirement</x:v>
      </x:c>
      <x:c r="E1090" s="21" t="n">
        <x:f>IF('Paper Gates'!H230=1,1,0)</x:f>
        <x:v>1</x:v>
      </x:c>
      <x:c r="F1090" s="21" t="n">
        <x:v>1</x:v>
      </x:c>
      <x:c r="G1090" s="23" t="str">
        <x:f>IF(E1090=F1090,"PASS","FAIL")</x:f>
        <x:v>PASS</x:v>
      </x:c>
    </x:row>
    <x:row r="1091">
      <x:c r="B1091" s="21" t="str">
        <x:v>A1085</x:v>
      </x:c>
      <x:c r="C1091" s="21" t="str">
        <x:v>paper gate</x:v>
      </x:c>
      <x:c r="D1091" s="21" t="str">
        <x:v>gate 230 result reconciles</x:v>
      </x:c>
      <x:c r="E1091" s="21" t="n">
        <x:f>IF('Paper Gates'!I230=IF('Paper Gates'!G230='Paper Gates'!H230,"PASS","FAIL"),1,0)</x:f>
        <x:v>1</x:v>
      </x:c>
      <x:c r="F1091" s="21" t="n">
        <x:v>1</x:v>
      </x:c>
      <x:c r="G1091" s="23" t="str">
        <x:f>IF(E1091=F1091,"PASS","FAIL")</x:f>
        <x:v>PASS</x:v>
      </x:c>
    </x:row>
    <x:row r="1092">
      <x:c r="B1092" s="21" t="str">
        <x:v>A1086</x:v>
      </x:c>
      <x:c r="C1092" s="21" t="str">
        <x:v>paper gate</x:v>
      </x:c>
      <x:c r="D1092" s="21" t="str">
        <x:v>gate 231 binary observation</x:v>
      </x:c>
      <x:c r="E1092" s="21" t="n">
        <x:f>IF(OR('Paper Gates'!G231=0,'Paper Gates'!G231=1),1,0)</x:f>
        <x:v>1</x:v>
      </x:c>
      <x:c r="F1092" s="21" t="n">
        <x:v>1</x:v>
      </x:c>
      <x:c r="G1092" s="23" t="str">
        <x:f>IF(E1092=F1092,"PASS","FAIL")</x:f>
        <x:v>PASS</x:v>
      </x:c>
    </x:row>
    <x:row r="1093">
      <x:c r="B1093" s="21" t="str">
        <x:v>A1087</x:v>
      </x:c>
      <x:c r="C1093" s="21" t="str">
        <x:v>paper gate</x:v>
      </x:c>
      <x:c r="D1093" s="21" t="str">
        <x:v>gate 231 fixed requirement</x:v>
      </x:c>
      <x:c r="E1093" s="21" t="n">
        <x:f>IF('Paper Gates'!H231=1,1,0)</x:f>
        <x:v>1</x:v>
      </x:c>
      <x:c r="F1093" s="21" t="n">
        <x:v>1</x:v>
      </x:c>
      <x:c r="G1093" s="23" t="str">
        <x:f>IF(E1093=F1093,"PASS","FAIL")</x:f>
        <x:v>PASS</x:v>
      </x:c>
    </x:row>
    <x:row r="1094">
      <x:c r="B1094" s="21" t="str">
        <x:v>A1088</x:v>
      </x:c>
      <x:c r="C1094" s="21" t="str">
        <x:v>paper gate</x:v>
      </x:c>
      <x:c r="D1094" s="21" t="str">
        <x:v>gate 231 result reconciles</x:v>
      </x:c>
      <x:c r="E1094" s="21" t="n">
        <x:f>IF('Paper Gates'!I231=IF('Paper Gates'!G231='Paper Gates'!H231,"PASS","FAIL"),1,0)</x:f>
        <x:v>1</x:v>
      </x:c>
      <x:c r="F1094" s="21" t="n">
        <x:v>1</x:v>
      </x:c>
      <x:c r="G1094" s="23" t="str">
        <x:f>IF(E1094=F1094,"PASS","FAIL")</x:f>
        <x:v>PASS</x:v>
      </x:c>
    </x:row>
    <x:row r="1095">
      <x:c r="B1095" s="21" t="str">
        <x:v>A1089</x:v>
      </x:c>
      <x:c r="C1095" s="21" t="str">
        <x:v>paper gate</x:v>
      </x:c>
      <x:c r="D1095" s="21" t="str">
        <x:v>gate 232 binary observation</x:v>
      </x:c>
      <x:c r="E1095" s="21" t="n">
        <x:f>IF(OR('Paper Gates'!G232=0,'Paper Gates'!G232=1),1,0)</x:f>
        <x:v>1</x:v>
      </x:c>
      <x:c r="F1095" s="21" t="n">
        <x:v>1</x:v>
      </x:c>
      <x:c r="G1095" s="23" t="str">
        <x:f>IF(E1095=F1095,"PASS","FAIL")</x:f>
        <x:v>PASS</x:v>
      </x:c>
    </x:row>
    <x:row r="1096">
      <x:c r="B1096" s="21" t="str">
        <x:v>A1090</x:v>
      </x:c>
      <x:c r="C1096" s="21" t="str">
        <x:v>paper gate</x:v>
      </x:c>
      <x:c r="D1096" s="21" t="str">
        <x:v>gate 232 fixed requirement</x:v>
      </x:c>
      <x:c r="E1096" s="21" t="n">
        <x:f>IF('Paper Gates'!H232=1,1,0)</x:f>
        <x:v>1</x:v>
      </x:c>
      <x:c r="F1096" s="21" t="n">
        <x:v>1</x:v>
      </x:c>
      <x:c r="G1096" s="23" t="str">
        <x:f>IF(E1096=F1096,"PASS","FAIL")</x:f>
        <x:v>PASS</x:v>
      </x:c>
    </x:row>
    <x:row r="1097">
      <x:c r="B1097" s="21" t="str">
        <x:v>A1091</x:v>
      </x:c>
      <x:c r="C1097" s="21" t="str">
        <x:v>paper gate</x:v>
      </x:c>
      <x:c r="D1097" s="21" t="str">
        <x:v>gate 232 result reconciles</x:v>
      </x:c>
      <x:c r="E1097" s="21" t="n">
        <x:f>IF('Paper Gates'!I232=IF('Paper Gates'!G232='Paper Gates'!H232,"PASS","FAIL"),1,0)</x:f>
        <x:v>1</x:v>
      </x:c>
      <x:c r="F1097" s="21" t="n">
        <x:v>1</x:v>
      </x:c>
      <x:c r="G1097" s="23" t="str">
        <x:f>IF(E1097=F1097,"PASS","FAIL")</x:f>
        <x:v>PASS</x:v>
      </x:c>
    </x:row>
    <x:row r="1098">
      <x:c r="B1098" s="21" t="str">
        <x:v>A1092</x:v>
      </x:c>
      <x:c r="C1098" s="21" t="str">
        <x:v>paper gate</x:v>
      </x:c>
      <x:c r="D1098" s="21" t="str">
        <x:v>gate 233 binary observation</x:v>
      </x:c>
      <x:c r="E1098" s="21" t="n">
        <x:f>IF(OR('Paper Gates'!G233=0,'Paper Gates'!G233=1),1,0)</x:f>
        <x:v>1</x:v>
      </x:c>
      <x:c r="F1098" s="21" t="n">
        <x:v>1</x:v>
      </x:c>
      <x:c r="G1098" s="23" t="str">
        <x:f>IF(E1098=F1098,"PASS","FAIL")</x:f>
        <x:v>PASS</x:v>
      </x:c>
    </x:row>
    <x:row r="1099">
      <x:c r="B1099" s="21" t="str">
        <x:v>A1093</x:v>
      </x:c>
      <x:c r="C1099" s="21" t="str">
        <x:v>paper gate</x:v>
      </x:c>
      <x:c r="D1099" s="21" t="str">
        <x:v>gate 233 fixed requirement</x:v>
      </x:c>
      <x:c r="E1099" s="21" t="n">
        <x:f>IF('Paper Gates'!H233=1,1,0)</x:f>
        <x:v>1</x:v>
      </x:c>
      <x:c r="F1099" s="21" t="n">
        <x:v>1</x:v>
      </x:c>
      <x:c r="G1099" s="23" t="str">
        <x:f>IF(E1099=F1099,"PASS","FAIL")</x:f>
        <x:v>PASS</x:v>
      </x:c>
    </x:row>
    <x:row r="1100">
      <x:c r="B1100" s="21" t="str">
        <x:v>A1094</x:v>
      </x:c>
      <x:c r="C1100" s="21" t="str">
        <x:v>paper gate</x:v>
      </x:c>
      <x:c r="D1100" s="21" t="str">
        <x:v>gate 233 result reconciles</x:v>
      </x:c>
      <x:c r="E1100" s="21" t="n">
        <x:f>IF('Paper Gates'!I233=IF('Paper Gates'!G233='Paper Gates'!H233,"PASS","FAIL"),1,0)</x:f>
        <x:v>1</x:v>
      </x:c>
      <x:c r="F1100" s="21" t="n">
        <x:v>1</x:v>
      </x:c>
      <x:c r="G1100" s="23" t="str">
        <x:f>IF(E1100=F1100,"PASS","FAIL")</x:f>
        <x:v>PASS</x:v>
      </x:c>
    </x:row>
    <x:row r="1101">
      <x:c r="B1101" s="21" t="str">
        <x:v>A1095</x:v>
      </x:c>
      <x:c r="C1101" s="21" t="str">
        <x:v>paper gate</x:v>
      </x:c>
      <x:c r="D1101" s="21" t="str">
        <x:v>gate 234 binary observation</x:v>
      </x:c>
      <x:c r="E1101" s="21" t="n">
        <x:f>IF(OR('Paper Gates'!G234=0,'Paper Gates'!G234=1),1,0)</x:f>
        <x:v>1</x:v>
      </x:c>
      <x:c r="F1101" s="21" t="n">
        <x:v>1</x:v>
      </x:c>
      <x:c r="G1101" s="23" t="str">
        <x:f>IF(E1101=F1101,"PASS","FAIL")</x:f>
        <x:v>PASS</x:v>
      </x:c>
    </x:row>
    <x:row r="1102">
      <x:c r="B1102" s="21" t="str">
        <x:v>A1096</x:v>
      </x:c>
      <x:c r="C1102" s="21" t="str">
        <x:v>paper gate</x:v>
      </x:c>
      <x:c r="D1102" s="21" t="str">
        <x:v>gate 234 fixed requirement</x:v>
      </x:c>
      <x:c r="E1102" s="21" t="n">
        <x:f>IF('Paper Gates'!H234=1,1,0)</x:f>
        <x:v>1</x:v>
      </x:c>
      <x:c r="F1102" s="21" t="n">
        <x:v>1</x:v>
      </x:c>
      <x:c r="G1102" s="23" t="str">
        <x:f>IF(E1102=F1102,"PASS","FAIL")</x:f>
        <x:v>PASS</x:v>
      </x:c>
    </x:row>
    <x:row r="1103">
      <x:c r="B1103" s="21" t="str">
        <x:v>A1097</x:v>
      </x:c>
      <x:c r="C1103" s="21" t="str">
        <x:v>paper gate</x:v>
      </x:c>
      <x:c r="D1103" s="21" t="str">
        <x:v>gate 234 result reconciles</x:v>
      </x:c>
      <x:c r="E1103" s="21" t="n">
        <x:f>IF('Paper Gates'!I234=IF('Paper Gates'!G234='Paper Gates'!H234,"PASS","FAIL"),1,0)</x:f>
        <x:v>1</x:v>
      </x:c>
      <x:c r="F1103" s="21" t="n">
        <x:v>1</x:v>
      </x:c>
      <x:c r="G1103" s="23" t="str">
        <x:f>IF(E1103=F1103,"PASS","FAIL")</x:f>
        <x:v>PASS</x:v>
      </x:c>
    </x:row>
    <x:row r="1104">
      <x:c r="B1104" s="21" t="str">
        <x:v>A1098</x:v>
      </x:c>
      <x:c r="C1104" s="21" t="str">
        <x:v>paper gate</x:v>
      </x:c>
      <x:c r="D1104" s="21" t="str">
        <x:v>gate 235 binary observation</x:v>
      </x:c>
      <x:c r="E1104" s="21" t="n">
        <x:f>IF(OR('Paper Gates'!G235=0,'Paper Gates'!G235=1),1,0)</x:f>
        <x:v>1</x:v>
      </x:c>
      <x:c r="F1104" s="21" t="n">
        <x:v>1</x:v>
      </x:c>
      <x:c r="G1104" s="23" t="str">
        <x:f>IF(E1104=F1104,"PASS","FAIL")</x:f>
        <x:v>PASS</x:v>
      </x:c>
    </x:row>
    <x:row r="1105">
      <x:c r="B1105" s="21" t="str">
        <x:v>A1099</x:v>
      </x:c>
      <x:c r="C1105" s="21" t="str">
        <x:v>paper gate</x:v>
      </x:c>
      <x:c r="D1105" s="21" t="str">
        <x:v>gate 235 fixed requirement</x:v>
      </x:c>
      <x:c r="E1105" s="21" t="n">
        <x:f>IF('Paper Gates'!H235=1,1,0)</x:f>
        <x:v>1</x:v>
      </x:c>
      <x:c r="F1105" s="21" t="n">
        <x:v>1</x:v>
      </x:c>
      <x:c r="G1105" s="23" t="str">
        <x:f>IF(E1105=F1105,"PASS","FAIL")</x:f>
        <x:v>PASS</x:v>
      </x:c>
    </x:row>
    <x:row r="1106">
      <x:c r="B1106" s="21" t="str">
        <x:v>A1100</x:v>
      </x:c>
      <x:c r="C1106" s="21" t="str">
        <x:v>paper gate</x:v>
      </x:c>
      <x:c r="D1106" s="21" t="str">
        <x:v>gate 235 result reconciles</x:v>
      </x:c>
      <x:c r="E1106" s="21" t="n">
        <x:f>IF('Paper Gates'!I235=IF('Paper Gates'!G235='Paper Gates'!H235,"PASS","FAIL"),1,0)</x:f>
        <x:v>1</x:v>
      </x:c>
      <x:c r="F1106" s="21" t="n">
        <x:v>1</x:v>
      </x:c>
      <x:c r="G1106" s="23" t="str">
        <x:f>IF(E1106=F1106,"PASS","FAIL")</x:f>
        <x:v>PASS</x:v>
      </x:c>
    </x:row>
    <x:row r="1107">
      <x:c r="B1107" s="21" t="str">
        <x:v>A1101</x:v>
      </x:c>
      <x:c r="C1107" s="21" t="str">
        <x:v>paper gate</x:v>
      </x:c>
      <x:c r="D1107" s="21" t="str">
        <x:v>gate 236 binary observation</x:v>
      </x:c>
      <x:c r="E1107" s="21" t="n">
        <x:f>IF(OR('Paper Gates'!G236=0,'Paper Gates'!G236=1),1,0)</x:f>
        <x:v>1</x:v>
      </x:c>
      <x:c r="F1107" s="21" t="n">
        <x:v>1</x:v>
      </x:c>
      <x:c r="G1107" s="23" t="str">
        <x:f>IF(E1107=F1107,"PASS","FAIL")</x:f>
        <x:v>PASS</x:v>
      </x:c>
    </x:row>
    <x:row r="1108">
      <x:c r="B1108" s="21" t="str">
        <x:v>A1102</x:v>
      </x:c>
      <x:c r="C1108" s="21" t="str">
        <x:v>paper gate</x:v>
      </x:c>
      <x:c r="D1108" s="21" t="str">
        <x:v>gate 236 fixed requirement</x:v>
      </x:c>
      <x:c r="E1108" s="21" t="n">
        <x:f>IF('Paper Gates'!H236=1,1,0)</x:f>
        <x:v>1</x:v>
      </x:c>
      <x:c r="F1108" s="21" t="n">
        <x:v>1</x:v>
      </x:c>
      <x:c r="G1108" s="23" t="str">
        <x:f>IF(E1108=F1108,"PASS","FAIL")</x:f>
        <x:v>PASS</x:v>
      </x:c>
    </x:row>
    <x:row r="1109">
      <x:c r="B1109" s="21" t="str">
        <x:v>A1103</x:v>
      </x:c>
      <x:c r="C1109" s="21" t="str">
        <x:v>paper gate</x:v>
      </x:c>
      <x:c r="D1109" s="21" t="str">
        <x:v>gate 236 result reconciles</x:v>
      </x:c>
      <x:c r="E1109" s="21" t="n">
        <x:f>IF('Paper Gates'!I236=IF('Paper Gates'!G236='Paper Gates'!H236,"PASS","FAIL"),1,0)</x:f>
        <x:v>1</x:v>
      </x:c>
      <x:c r="F1109" s="21" t="n">
        <x:v>1</x:v>
      </x:c>
      <x:c r="G1109" s="23" t="str">
        <x:f>IF(E1109=F1109,"PASS","FAIL")</x:f>
        <x:v>PASS</x:v>
      </x:c>
    </x:row>
    <x:row r="1110">
      <x:c r="B1110" s="21" t="str">
        <x:v>A1104</x:v>
      </x:c>
      <x:c r="C1110" s="21" t="str">
        <x:v>paper gate</x:v>
      </x:c>
      <x:c r="D1110" s="21" t="str">
        <x:v>gate 237 binary observation</x:v>
      </x:c>
      <x:c r="E1110" s="21" t="n">
        <x:f>IF(OR('Paper Gates'!G237=0,'Paper Gates'!G237=1),1,0)</x:f>
        <x:v>1</x:v>
      </x:c>
      <x:c r="F1110" s="21" t="n">
        <x:v>1</x:v>
      </x:c>
      <x:c r="G1110" s="23" t="str">
        <x:f>IF(E1110=F1110,"PASS","FAIL")</x:f>
        <x:v>PASS</x:v>
      </x:c>
    </x:row>
    <x:row r="1111">
      <x:c r="B1111" s="21" t="str">
        <x:v>A1105</x:v>
      </x:c>
      <x:c r="C1111" s="21" t="str">
        <x:v>paper gate</x:v>
      </x:c>
      <x:c r="D1111" s="21" t="str">
        <x:v>gate 237 fixed requirement</x:v>
      </x:c>
      <x:c r="E1111" s="21" t="n">
        <x:f>IF('Paper Gates'!H237=1,1,0)</x:f>
        <x:v>1</x:v>
      </x:c>
      <x:c r="F1111" s="21" t="n">
        <x:v>1</x:v>
      </x:c>
      <x:c r="G1111" s="23" t="str">
        <x:f>IF(E1111=F1111,"PASS","FAIL")</x:f>
        <x:v>PASS</x:v>
      </x:c>
    </x:row>
    <x:row r="1112">
      <x:c r="B1112" s="21" t="str">
        <x:v>A1106</x:v>
      </x:c>
      <x:c r="C1112" s="21" t="str">
        <x:v>paper gate</x:v>
      </x:c>
      <x:c r="D1112" s="21" t="str">
        <x:v>gate 237 result reconciles</x:v>
      </x:c>
      <x:c r="E1112" s="21" t="n">
        <x:f>IF('Paper Gates'!I237=IF('Paper Gates'!G237='Paper Gates'!H237,"PASS","FAIL"),1,0)</x:f>
        <x:v>1</x:v>
      </x:c>
      <x:c r="F1112" s="21" t="n">
        <x:v>1</x:v>
      </x:c>
      <x:c r="G1112" s="23" t="str">
        <x:f>IF(E1112=F1112,"PASS","FAIL")</x:f>
        <x:v>PASS</x:v>
      </x:c>
    </x:row>
    <x:row r="1113">
      <x:c r="B1113" s="21" t="str">
        <x:v>A1107</x:v>
      </x:c>
      <x:c r="C1113" s="21" t="str">
        <x:v>paper gate</x:v>
      </x:c>
      <x:c r="D1113" s="21" t="str">
        <x:v>gate 238 binary observation</x:v>
      </x:c>
      <x:c r="E1113" s="21" t="n">
        <x:f>IF(OR('Paper Gates'!G238=0,'Paper Gates'!G238=1),1,0)</x:f>
        <x:v>1</x:v>
      </x:c>
      <x:c r="F1113" s="21" t="n">
        <x:v>1</x:v>
      </x:c>
      <x:c r="G1113" s="23" t="str">
        <x:f>IF(E1113=F1113,"PASS","FAIL")</x:f>
        <x:v>PASS</x:v>
      </x:c>
    </x:row>
    <x:row r="1114">
      <x:c r="B1114" s="21" t="str">
        <x:v>A1108</x:v>
      </x:c>
      <x:c r="C1114" s="21" t="str">
        <x:v>paper gate</x:v>
      </x:c>
      <x:c r="D1114" s="21" t="str">
        <x:v>gate 238 fixed requirement</x:v>
      </x:c>
      <x:c r="E1114" s="21" t="n">
        <x:f>IF('Paper Gates'!H238=1,1,0)</x:f>
        <x:v>1</x:v>
      </x:c>
      <x:c r="F1114" s="21" t="n">
        <x:v>1</x:v>
      </x:c>
      <x:c r="G1114" s="23" t="str">
        <x:f>IF(E1114=F1114,"PASS","FAIL")</x:f>
        <x:v>PASS</x:v>
      </x:c>
    </x:row>
    <x:row r="1115">
      <x:c r="B1115" s="21" t="str">
        <x:v>A1109</x:v>
      </x:c>
      <x:c r="C1115" s="21" t="str">
        <x:v>paper gate</x:v>
      </x:c>
      <x:c r="D1115" s="21" t="str">
        <x:v>gate 238 result reconciles</x:v>
      </x:c>
      <x:c r="E1115" s="21" t="n">
        <x:f>IF('Paper Gates'!I238=IF('Paper Gates'!G238='Paper Gates'!H238,"PASS","FAIL"),1,0)</x:f>
        <x:v>1</x:v>
      </x:c>
      <x:c r="F1115" s="21" t="n">
        <x:v>1</x:v>
      </x:c>
      <x:c r="G1115" s="23" t="str">
        <x:f>IF(E1115=F1115,"PASS","FAIL")</x:f>
        <x:v>PASS</x:v>
      </x:c>
    </x:row>
    <x:row r="1116">
      <x:c r="B1116" s="21" t="str">
        <x:v>A1110</x:v>
      </x:c>
      <x:c r="C1116" s="21" t="str">
        <x:v>paper gate</x:v>
      </x:c>
      <x:c r="D1116" s="21" t="str">
        <x:v>gate 239 binary observation</x:v>
      </x:c>
      <x:c r="E1116" s="21" t="n">
        <x:f>IF(OR('Paper Gates'!G239=0,'Paper Gates'!G239=1),1,0)</x:f>
        <x:v>1</x:v>
      </x:c>
      <x:c r="F1116" s="21" t="n">
        <x:v>1</x:v>
      </x:c>
      <x:c r="G1116" s="23" t="str">
        <x:f>IF(E1116=F1116,"PASS","FAIL")</x:f>
        <x:v>PASS</x:v>
      </x:c>
    </x:row>
    <x:row r="1117">
      <x:c r="B1117" s="21" t="str">
        <x:v>A1111</x:v>
      </x:c>
      <x:c r="C1117" s="21" t="str">
        <x:v>paper gate</x:v>
      </x:c>
      <x:c r="D1117" s="21" t="str">
        <x:v>gate 239 fixed requirement</x:v>
      </x:c>
      <x:c r="E1117" s="21" t="n">
        <x:f>IF('Paper Gates'!H239=1,1,0)</x:f>
        <x:v>1</x:v>
      </x:c>
      <x:c r="F1117" s="21" t="n">
        <x:v>1</x:v>
      </x:c>
      <x:c r="G1117" s="23" t="str">
        <x:f>IF(E1117=F1117,"PASS","FAIL")</x:f>
        <x:v>PASS</x:v>
      </x:c>
    </x:row>
    <x:row r="1118">
      <x:c r="B1118" s="21" t="str">
        <x:v>A1112</x:v>
      </x:c>
      <x:c r="C1118" s="21" t="str">
        <x:v>paper gate</x:v>
      </x:c>
      <x:c r="D1118" s="21" t="str">
        <x:v>gate 239 result reconciles</x:v>
      </x:c>
      <x:c r="E1118" s="21" t="n">
        <x:f>IF('Paper Gates'!I239=IF('Paper Gates'!G239='Paper Gates'!H239,"PASS","FAIL"),1,0)</x:f>
        <x:v>1</x:v>
      </x:c>
      <x:c r="F1118" s="21" t="n">
        <x:v>1</x:v>
      </x:c>
      <x:c r="G1118" s="23" t="str">
        <x:f>IF(E1118=F1118,"PASS","FAIL")</x:f>
        <x:v>PASS</x:v>
      </x:c>
    </x:row>
    <x:row r="1119">
      <x:c r="B1119" s="21" t="str">
        <x:v>A1113</x:v>
      </x:c>
      <x:c r="C1119" s="21" t="str">
        <x:v>paper gate</x:v>
      </x:c>
      <x:c r="D1119" s="21" t="str">
        <x:v>gate 240 binary observation</x:v>
      </x:c>
      <x:c r="E1119" s="21" t="n">
        <x:f>IF(OR('Paper Gates'!G240=0,'Paper Gates'!G240=1),1,0)</x:f>
        <x:v>1</x:v>
      </x:c>
      <x:c r="F1119" s="21" t="n">
        <x:v>1</x:v>
      </x:c>
      <x:c r="G1119" s="23" t="str">
        <x:f>IF(E1119=F1119,"PASS","FAIL")</x:f>
        <x:v>PASS</x:v>
      </x:c>
    </x:row>
    <x:row r="1120">
      <x:c r="B1120" s="21" t="str">
        <x:v>A1114</x:v>
      </x:c>
      <x:c r="C1120" s="21" t="str">
        <x:v>paper gate</x:v>
      </x:c>
      <x:c r="D1120" s="21" t="str">
        <x:v>gate 240 fixed requirement</x:v>
      </x:c>
      <x:c r="E1120" s="21" t="n">
        <x:f>IF('Paper Gates'!H240=1,1,0)</x:f>
        <x:v>1</x:v>
      </x:c>
      <x:c r="F1120" s="21" t="n">
        <x:v>1</x:v>
      </x:c>
      <x:c r="G1120" s="23" t="str">
        <x:f>IF(E1120=F1120,"PASS","FAIL")</x:f>
        <x:v>PASS</x:v>
      </x:c>
    </x:row>
    <x:row r="1121">
      <x:c r="B1121" s="21" t="str">
        <x:v>A1115</x:v>
      </x:c>
      <x:c r="C1121" s="21" t="str">
        <x:v>paper gate</x:v>
      </x:c>
      <x:c r="D1121" s="21" t="str">
        <x:v>gate 240 result reconciles</x:v>
      </x:c>
      <x:c r="E1121" s="21" t="n">
        <x:f>IF('Paper Gates'!I240=IF('Paper Gates'!G240='Paper Gates'!H240,"PASS","FAIL"),1,0)</x:f>
        <x:v>1</x:v>
      </x:c>
      <x:c r="F1121" s="21" t="n">
        <x:v>1</x:v>
      </x:c>
      <x:c r="G1121" s="23" t="str">
        <x:f>IF(E1121=F1121,"PASS","FAIL")</x:f>
        <x:v>PASS</x:v>
      </x:c>
    </x:row>
    <x:row r="1122">
      <x:c r="B1122" s="21" t="str">
        <x:v>A1116</x:v>
      </x:c>
      <x:c r="C1122" s="21" t="str">
        <x:v>paper gate</x:v>
      </x:c>
      <x:c r="D1122" s="21" t="str">
        <x:v>gate 241 binary observation</x:v>
      </x:c>
      <x:c r="E1122" s="21" t="n">
        <x:f>IF(OR('Paper Gates'!G241=0,'Paper Gates'!G241=1),1,0)</x:f>
        <x:v>1</x:v>
      </x:c>
      <x:c r="F1122" s="21" t="n">
        <x:v>1</x:v>
      </x:c>
      <x:c r="G1122" s="23" t="str">
        <x:f>IF(E1122=F1122,"PASS","FAIL")</x:f>
        <x:v>PASS</x:v>
      </x:c>
    </x:row>
    <x:row r="1123">
      <x:c r="B1123" s="21" t="str">
        <x:v>A1117</x:v>
      </x:c>
      <x:c r="C1123" s="21" t="str">
        <x:v>paper gate</x:v>
      </x:c>
      <x:c r="D1123" s="21" t="str">
        <x:v>gate 241 fixed requirement</x:v>
      </x:c>
      <x:c r="E1123" s="21" t="n">
        <x:f>IF('Paper Gates'!H241=1,1,0)</x:f>
        <x:v>1</x:v>
      </x:c>
      <x:c r="F1123" s="21" t="n">
        <x:v>1</x:v>
      </x:c>
      <x:c r="G1123" s="23" t="str">
        <x:f>IF(E1123=F1123,"PASS","FAIL")</x:f>
        <x:v>PASS</x:v>
      </x:c>
    </x:row>
    <x:row r="1124">
      <x:c r="B1124" s="21" t="str">
        <x:v>A1118</x:v>
      </x:c>
      <x:c r="C1124" s="21" t="str">
        <x:v>paper gate</x:v>
      </x:c>
      <x:c r="D1124" s="21" t="str">
        <x:v>gate 241 result reconciles</x:v>
      </x:c>
      <x:c r="E1124" s="21" t="n">
        <x:f>IF('Paper Gates'!I241=IF('Paper Gates'!G241='Paper Gates'!H241,"PASS","FAIL"),1,0)</x:f>
        <x:v>1</x:v>
      </x:c>
      <x:c r="F1124" s="21" t="n">
        <x:v>1</x:v>
      </x:c>
      <x:c r="G1124" s="23" t="str">
        <x:f>IF(E1124=F1124,"PASS","FAIL")</x:f>
        <x:v>PASS</x:v>
      </x:c>
    </x:row>
    <x:row r="1125">
      <x:c r="B1125" s="21" t="str">
        <x:v>A1119</x:v>
      </x:c>
      <x:c r="C1125" s="21" t="str">
        <x:v>paper gate</x:v>
      </x:c>
      <x:c r="D1125" s="21" t="str">
        <x:v>gate 242 binary observation</x:v>
      </x:c>
      <x:c r="E1125" s="21" t="n">
        <x:f>IF(OR('Paper Gates'!G242=0,'Paper Gates'!G242=1),1,0)</x:f>
        <x:v>1</x:v>
      </x:c>
      <x:c r="F1125" s="21" t="n">
        <x:v>1</x:v>
      </x:c>
      <x:c r="G1125" s="23" t="str">
        <x:f>IF(E1125=F1125,"PASS","FAIL")</x:f>
        <x:v>PASS</x:v>
      </x:c>
    </x:row>
    <x:row r="1126">
      <x:c r="B1126" s="21" t="str">
        <x:v>A1120</x:v>
      </x:c>
      <x:c r="C1126" s="21" t="str">
        <x:v>paper gate</x:v>
      </x:c>
      <x:c r="D1126" s="21" t="str">
        <x:v>gate 242 fixed requirement</x:v>
      </x:c>
      <x:c r="E1126" s="21" t="n">
        <x:f>IF('Paper Gates'!H242=1,1,0)</x:f>
        <x:v>1</x:v>
      </x:c>
      <x:c r="F1126" s="21" t="n">
        <x:v>1</x:v>
      </x:c>
      <x:c r="G1126" s="23" t="str">
        <x:f>IF(E1126=F1126,"PASS","FAIL")</x:f>
        <x:v>PASS</x:v>
      </x:c>
    </x:row>
    <x:row r="1127">
      <x:c r="B1127" s="21" t="str">
        <x:v>A1121</x:v>
      </x:c>
      <x:c r="C1127" s="21" t="str">
        <x:v>paper gate</x:v>
      </x:c>
      <x:c r="D1127" s="21" t="str">
        <x:v>gate 242 result reconciles</x:v>
      </x:c>
      <x:c r="E1127" s="21" t="n">
        <x:f>IF('Paper Gates'!I242=IF('Paper Gates'!G242='Paper Gates'!H242,"PASS","FAIL"),1,0)</x:f>
        <x:v>1</x:v>
      </x:c>
      <x:c r="F1127" s="21" t="n">
        <x:v>1</x:v>
      </x:c>
      <x:c r="G1127" s="23" t="str">
        <x:f>IF(E1127=F1127,"PASS","FAIL")</x:f>
        <x:v>PASS</x:v>
      </x:c>
    </x:row>
    <x:row r="1128">
      <x:c r="B1128" s="21" t="str">
        <x:v>A1122</x:v>
      </x:c>
      <x:c r="C1128" s="21" t="str">
        <x:v>paper gate</x:v>
      </x:c>
      <x:c r="D1128" s="21" t="str">
        <x:v>gate 243 binary observation</x:v>
      </x:c>
      <x:c r="E1128" s="21" t="n">
        <x:f>IF(OR('Paper Gates'!G243=0,'Paper Gates'!G243=1),1,0)</x:f>
        <x:v>1</x:v>
      </x:c>
      <x:c r="F1128" s="21" t="n">
        <x:v>1</x:v>
      </x:c>
      <x:c r="G1128" s="23" t="str">
        <x:f>IF(E1128=F1128,"PASS","FAIL")</x:f>
        <x:v>PASS</x:v>
      </x:c>
    </x:row>
    <x:row r="1129">
      <x:c r="B1129" s="21" t="str">
        <x:v>A1123</x:v>
      </x:c>
      <x:c r="C1129" s="21" t="str">
        <x:v>paper gate</x:v>
      </x:c>
      <x:c r="D1129" s="21" t="str">
        <x:v>gate 243 fixed requirement</x:v>
      </x:c>
      <x:c r="E1129" s="21" t="n">
        <x:f>IF('Paper Gates'!H243=1,1,0)</x:f>
        <x:v>1</x:v>
      </x:c>
      <x:c r="F1129" s="21" t="n">
        <x:v>1</x:v>
      </x:c>
      <x:c r="G1129" s="23" t="str">
        <x:f>IF(E1129=F1129,"PASS","FAIL")</x:f>
        <x:v>PASS</x:v>
      </x:c>
    </x:row>
    <x:row r="1130">
      <x:c r="B1130" s="21" t="str">
        <x:v>A1124</x:v>
      </x:c>
      <x:c r="C1130" s="21" t="str">
        <x:v>paper gate</x:v>
      </x:c>
      <x:c r="D1130" s="21" t="str">
        <x:v>gate 243 result reconciles</x:v>
      </x:c>
      <x:c r="E1130" s="21" t="n">
        <x:f>IF('Paper Gates'!I243=IF('Paper Gates'!G243='Paper Gates'!H243,"PASS","FAIL"),1,0)</x:f>
        <x:v>1</x:v>
      </x:c>
      <x:c r="F1130" s="21" t="n">
        <x:v>1</x:v>
      </x:c>
      <x:c r="G1130" s="23" t="str">
        <x:f>IF(E1130=F1130,"PASS","FAIL")</x:f>
        <x:v>PASS</x:v>
      </x:c>
    </x:row>
    <x:row r="1131">
      <x:c r="B1131" s="21" t="str">
        <x:v>A1125</x:v>
      </x:c>
      <x:c r="C1131" s="21" t="str">
        <x:v>paper gate</x:v>
      </x:c>
      <x:c r="D1131" s="21" t="str">
        <x:v>gate 244 binary observation</x:v>
      </x:c>
      <x:c r="E1131" s="21" t="n">
        <x:f>IF(OR('Paper Gates'!G244=0,'Paper Gates'!G244=1),1,0)</x:f>
        <x:v>1</x:v>
      </x:c>
      <x:c r="F1131" s="21" t="n">
        <x:v>1</x:v>
      </x:c>
      <x:c r="G1131" s="23" t="str">
        <x:f>IF(E1131=F1131,"PASS","FAIL")</x:f>
        <x:v>PASS</x:v>
      </x:c>
    </x:row>
    <x:row r="1132">
      <x:c r="B1132" s="21" t="str">
        <x:v>A1126</x:v>
      </x:c>
      <x:c r="C1132" s="21" t="str">
        <x:v>paper gate</x:v>
      </x:c>
      <x:c r="D1132" s="21" t="str">
        <x:v>gate 244 fixed requirement</x:v>
      </x:c>
      <x:c r="E1132" s="21" t="n">
        <x:f>IF('Paper Gates'!H244=1,1,0)</x:f>
        <x:v>1</x:v>
      </x:c>
      <x:c r="F1132" s="21" t="n">
        <x:v>1</x:v>
      </x:c>
      <x:c r="G1132" s="23" t="str">
        <x:f>IF(E1132=F1132,"PASS","FAIL")</x:f>
        <x:v>PASS</x:v>
      </x:c>
    </x:row>
    <x:row r="1133">
      <x:c r="B1133" s="21" t="str">
        <x:v>A1127</x:v>
      </x:c>
      <x:c r="C1133" s="21" t="str">
        <x:v>paper gate</x:v>
      </x:c>
      <x:c r="D1133" s="21" t="str">
        <x:v>gate 244 result reconciles</x:v>
      </x:c>
      <x:c r="E1133" s="21" t="n">
        <x:f>IF('Paper Gates'!I244=IF('Paper Gates'!G244='Paper Gates'!H244,"PASS","FAIL"),1,0)</x:f>
        <x:v>1</x:v>
      </x:c>
      <x:c r="F1133" s="21" t="n">
        <x:v>1</x:v>
      </x:c>
      <x:c r="G1133" s="23" t="str">
        <x:f>IF(E1133=F1133,"PASS","FAIL")</x:f>
        <x:v>PASS</x:v>
      </x:c>
    </x:row>
    <x:row r="1134">
      <x:c r="B1134" s="21" t="str">
        <x:v>A1128</x:v>
      </x:c>
      <x:c r="C1134" s="21" t="str">
        <x:v>paper gate</x:v>
      </x:c>
      <x:c r="D1134" s="21" t="str">
        <x:v>gate 245 binary observation</x:v>
      </x:c>
      <x:c r="E1134" s="21" t="n">
        <x:f>IF(OR('Paper Gates'!G245=0,'Paper Gates'!G245=1),1,0)</x:f>
        <x:v>1</x:v>
      </x:c>
      <x:c r="F1134" s="21" t="n">
        <x:v>1</x:v>
      </x:c>
      <x:c r="G1134" s="23" t="str">
        <x:f>IF(E1134=F1134,"PASS","FAIL")</x:f>
        <x:v>PASS</x:v>
      </x:c>
    </x:row>
    <x:row r="1135">
      <x:c r="B1135" s="21" t="str">
        <x:v>A1129</x:v>
      </x:c>
      <x:c r="C1135" s="21" t="str">
        <x:v>paper gate</x:v>
      </x:c>
      <x:c r="D1135" s="21" t="str">
        <x:v>gate 245 fixed requirement</x:v>
      </x:c>
      <x:c r="E1135" s="21" t="n">
        <x:f>IF('Paper Gates'!H245=1,1,0)</x:f>
        <x:v>1</x:v>
      </x:c>
      <x:c r="F1135" s="21" t="n">
        <x:v>1</x:v>
      </x:c>
      <x:c r="G1135" s="23" t="str">
        <x:f>IF(E1135=F1135,"PASS","FAIL")</x:f>
        <x:v>PASS</x:v>
      </x:c>
    </x:row>
    <x:row r="1136">
      <x:c r="B1136" s="21" t="str">
        <x:v>A1130</x:v>
      </x:c>
      <x:c r="C1136" s="21" t="str">
        <x:v>paper gate</x:v>
      </x:c>
      <x:c r="D1136" s="21" t="str">
        <x:v>gate 245 result reconciles</x:v>
      </x:c>
      <x:c r="E1136" s="21" t="n">
        <x:f>IF('Paper Gates'!I245=IF('Paper Gates'!G245='Paper Gates'!H245,"PASS","FAIL"),1,0)</x:f>
        <x:v>1</x:v>
      </x:c>
      <x:c r="F1136" s="21" t="n">
        <x:v>1</x:v>
      </x:c>
      <x:c r="G1136" s="23" t="str">
        <x:f>IF(E1136=F1136,"PASS","FAIL")</x:f>
        <x:v>PASS</x:v>
      </x:c>
    </x:row>
    <x:row r="1137">
      <x:c r="B1137" s="21" t="str">
        <x:v>A1131</x:v>
      </x:c>
      <x:c r="C1137" s="21" t="str">
        <x:v>paper gate</x:v>
      </x:c>
      <x:c r="D1137" s="21" t="str">
        <x:v>gate 246 binary observation</x:v>
      </x:c>
      <x:c r="E1137" s="21" t="n">
        <x:f>IF(OR('Paper Gates'!G246=0,'Paper Gates'!G246=1),1,0)</x:f>
        <x:v>1</x:v>
      </x:c>
      <x:c r="F1137" s="21" t="n">
        <x:v>1</x:v>
      </x:c>
      <x:c r="G1137" s="23" t="str">
        <x:f>IF(E1137=F1137,"PASS","FAIL")</x:f>
        <x:v>PASS</x:v>
      </x:c>
    </x:row>
    <x:row r="1138">
      <x:c r="B1138" s="21" t="str">
        <x:v>A1132</x:v>
      </x:c>
      <x:c r="C1138" s="21" t="str">
        <x:v>paper gate</x:v>
      </x:c>
      <x:c r="D1138" s="21" t="str">
        <x:v>gate 246 fixed requirement</x:v>
      </x:c>
      <x:c r="E1138" s="21" t="n">
        <x:f>IF('Paper Gates'!H246=1,1,0)</x:f>
        <x:v>1</x:v>
      </x:c>
      <x:c r="F1138" s="21" t="n">
        <x:v>1</x:v>
      </x:c>
      <x:c r="G1138" s="23" t="str">
        <x:f>IF(E1138=F1138,"PASS","FAIL")</x:f>
        <x:v>PASS</x:v>
      </x:c>
    </x:row>
    <x:row r="1139">
      <x:c r="B1139" s="21" t="str">
        <x:v>A1133</x:v>
      </x:c>
      <x:c r="C1139" s="21" t="str">
        <x:v>paper gate</x:v>
      </x:c>
      <x:c r="D1139" s="21" t="str">
        <x:v>gate 246 result reconciles</x:v>
      </x:c>
      <x:c r="E1139" s="21" t="n">
        <x:f>IF('Paper Gates'!I246=IF('Paper Gates'!G246='Paper Gates'!H246,"PASS","FAIL"),1,0)</x:f>
        <x:v>1</x:v>
      </x:c>
      <x:c r="F1139" s="21" t="n">
        <x:v>1</x:v>
      </x:c>
      <x:c r="G1139" s="23" t="str">
        <x:f>IF(E1139=F1139,"PASS","FAIL")</x:f>
        <x:v>PASS</x:v>
      </x:c>
    </x:row>
    <x:row r="1140">
      <x:c r="B1140" s="21" t="str">
        <x:v>A1134</x:v>
      </x:c>
      <x:c r="C1140" s="21" t="str">
        <x:v>paper gate</x:v>
      </x:c>
      <x:c r="D1140" s="21" t="str">
        <x:v>gate 247 binary observation</x:v>
      </x:c>
      <x:c r="E1140" s="21" t="n">
        <x:f>IF(OR('Paper Gates'!G247=0,'Paper Gates'!G247=1),1,0)</x:f>
        <x:v>1</x:v>
      </x:c>
      <x:c r="F1140" s="21" t="n">
        <x:v>1</x:v>
      </x:c>
      <x:c r="G1140" s="23" t="str">
        <x:f>IF(E1140=F1140,"PASS","FAIL")</x:f>
        <x:v>PASS</x:v>
      </x:c>
    </x:row>
    <x:row r="1141">
      <x:c r="B1141" s="21" t="str">
        <x:v>A1135</x:v>
      </x:c>
      <x:c r="C1141" s="21" t="str">
        <x:v>paper gate</x:v>
      </x:c>
      <x:c r="D1141" s="21" t="str">
        <x:v>gate 247 fixed requirement</x:v>
      </x:c>
      <x:c r="E1141" s="21" t="n">
        <x:f>IF('Paper Gates'!H247=1,1,0)</x:f>
        <x:v>1</x:v>
      </x:c>
      <x:c r="F1141" s="21" t="n">
        <x:v>1</x:v>
      </x:c>
      <x:c r="G1141" s="23" t="str">
        <x:f>IF(E1141=F1141,"PASS","FAIL")</x:f>
        <x:v>PASS</x:v>
      </x:c>
    </x:row>
    <x:row r="1142">
      <x:c r="B1142" s="21" t="str">
        <x:v>A1136</x:v>
      </x:c>
      <x:c r="C1142" s="21" t="str">
        <x:v>paper gate</x:v>
      </x:c>
      <x:c r="D1142" s="21" t="str">
        <x:v>gate 247 result reconciles</x:v>
      </x:c>
      <x:c r="E1142" s="21" t="n">
        <x:f>IF('Paper Gates'!I247=IF('Paper Gates'!G247='Paper Gates'!H247,"PASS","FAIL"),1,0)</x:f>
        <x:v>1</x:v>
      </x:c>
      <x:c r="F1142" s="21" t="n">
        <x:v>1</x:v>
      </x:c>
      <x:c r="G1142" s="23" t="str">
        <x:f>IF(E1142=F1142,"PASS","FAIL")</x:f>
        <x:v>PASS</x:v>
      </x:c>
    </x:row>
    <x:row r="1143">
      <x:c r="B1143" s="21" t="str">
        <x:v>A1137</x:v>
      </x:c>
      <x:c r="C1143" s="21" t="str">
        <x:v>paper gate</x:v>
      </x:c>
      <x:c r="D1143" s="21" t="str">
        <x:v>gate 248 binary observation</x:v>
      </x:c>
      <x:c r="E1143" s="21" t="n">
        <x:f>IF(OR('Paper Gates'!G248=0,'Paper Gates'!G248=1),1,0)</x:f>
        <x:v>1</x:v>
      </x:c>
      <x:c r="F1143" s="21" t="n">
        <x:v>1</x:v>
      </x:c>
      <x:c r="G1143" s="23" t="str">
        <x:f>IF(E1143=F1143,"PASS","FAIL")</x:f>
        <x:v>PASS</x:v>
      </x:c>
    </x:row>
    <x:row r="1144">
      <x:c r="B1144" s="21" t="str">
        <x:v>A1138</x:v>
      </x:c>
      <x:c r="C1144" s="21" t="str">
        <x:v>paper gate</x:v>
      </x:c>
      <x:c r="D1144" s="21" t="str">
        <x:v>gate 248 fixed requirement</x:v>
      </x:c>
      <x:c r="E1144" s="21" t="n">
        <x:f>IF('Paper Gates'!H248=1,1,0)</x:f>
        <x:v>1</x:v>
      </x:c>
      <x:c r="F1144" s="21" t="n">
        <x:v>1</x:v>
      </x:c>
      <x:c r="G1144" s="23" t="str">
        <x:f>IF(E1144=F1144,"PASS","FAIL")</x:f>
        <x:v>PASS</x:v>
      </x:c>
    </x:row>
    <x:row r="1145">
      <x:c r="B1145" s="21" t="str">
        <x:v>A1139</x:v>
      </x:c>
      <x:c r="C1145" s="21" t="str">
        <x:v>paper gate</x:v>
      </x:c>
      <x:c r="D1145" s="21" t="str">
        <x:v>gate 248 result reconciles</x:v>
      </x:c>
      <x:c r="E1145" s="21" t="n">
        <x:f>IF('Paper Gates'!I248=IF('Paper Gates'!G248='Paper Gates'!H248,"PASS","FAIL"),1,0)</x:f>
        <x:v>1</x:v>
      </x:c>
      <x:c r="F1145" s="21" t="n">
        <x:v>1</x:v>
      </x:c>
      <x:c r="G1145" s="23" t="str">
        <x:f>IF(E1145=F1145,"PASS","FAIL")</x:f>
        <x:v>PASS</x:v>
      </x:c>
    </x:row>
    <x:row r="1146">
      <x:c r="B1146" s="21" t="str">
        <x:v>A1140</x:v>
      </x:c>
      <x:c r="C1146" s="21" t="str">
        <x:v>paper gate</x:v>
      </x:c>
      <x:c r="D1146" s="21" t="str">
        <x:v>gate 249 binary observation</x:v>
      </x:c>
      <x:c r="E1146" s="21" t="n">
        <x:f>IF(OR('Paper Gates'!G249=0,'Paper Gates'!G249=1),1,0)</x:f>
        <x:v>1</x:v>
      </x:c>
      <x:c r="F1146" s="21" t="n">
        <x:v>1</x:v>
      </x:c>
      <x:c r="G1146" s="23" t="str">
        <x:f>IF(E1146=F1146,"PASS","FAIL")</x:f>
        <x:v>PASS</x:v>
      </x:c>
    </x:row>
    <x:row r="1147">
      <x:c r="B1147" s="21" t="str">
        <x:v>A1141</x:v>
      </x:c>
      <x:c r="C1147" s="21" t="str">
        <x:v>paper gate</x:v>
      </x:c>
      <x:c r="D1147" s="21" t="str">
        <x:v>gate 249 fixed requirement</x:v>
      </x:c>
      <x:c r="E1147" s="21" t="n">
        <x:f>IF('Paper Gates'!H249=1,1,0)</x:f>
        <x:v>1</x:v>
      </x:c>
      <x:c r="F1147" s="21" t="n">
        <x:v>1</x:v>
      </x:c>
      <x:c r="G1147" s="23" t="str">
        <x:f>IF(E1147=F1147,"PASS","FAIL")</x:f>
        <x:v>PASS</x:v>
      </x:c>
    </x:row>
    <x:row r="1148">
      <x:c r="B1148" s="21" t="str">
        <x:v>A1142</x:v>
      </x:c>
      <x:c r="C1148" s="21" t="str">
        <x:v>paper gate</x:v>
      </x:c>
      <x:c r="D1148" s="21" t="str">
        <x:v>gate 249 result reconciles</x:v>
      </x:c>
      <x:c r="E1148" s="21" t="n">
        <x:f>IF('Paper Gates'!I249=IF('Paper Gates'!G249='Paper Gates'!H249,"PASS","FAIL"),1,0)</x:f>
        <x:v>1</x:v>
      </x:c>
      <x:c r="F1148" s="21" t="n">
        <x:v>1</x:v>
      </x:c>
      <x:c r="G1148" s="23" t="str">
        <x:f>IF(E1148=F1148,"PASS","FAIL")</x:f>
        <x:v>PASS</x:v>
      </x:c>
    </x:row>
    <x:row r="1149">
      <x:c r="B1149" s="21" t="str">
        <x:v>A1143</x:v>
      </x:c>
      <x:c r="C1149" s="21" t="str">
        <x:v>paper gate</x:v>
      </x:c>
      <x:c r="D1149" s="21" t="str">
        <x:v>gate 250 binary observation</x:v>
      </x:c>
      <x:c r="E1149" s="21" t="n">
        <x:f>IF(OR('Paper Gates'!G250=0,'Paper Gates'!G250=1),1,0)</x:f>
        <x:v>1</x:v>
      </x:c>
      <x:c r="F1149" s="21" t="n">
        <x:v>1</x:v>
      </x:c>
      <x:c r="G1149" s="23" t="str">
        <x:f>IF(E1149=F1149,"PASS","FAIL")</x:f>
        <x:v>PASS</x:v>
      </x:c>
    </x:row>
    <x:row r="1150">
      <x:c r="B1150" s="21" t="str">
        <x:v>A1144</x:v>
      </x:c>
      <x:c r="C1150" s="21" t="str">
        <x:v>paper gate</x:v>
      </x:c>
      <x:c r="D1150" s="21" t="str">
        <x:v>gate 250 fixed requirement</x:v>
      </x:c>
      <x:c r="E1150" s="21" t="n">
        <x:f>IF('Paper Gates'!H250=1,1,0)</x:f>
        <x:v>1</x:v>
      </x:c>
      <x:c r="F1150" s="21" t="n">
        <x:v>1</x:v>
      </x:c>
      <x:c r="G1150" s="23" t="str">
        <x:f>IF(E1150=F1150,"PASS","FAIL")</x:f>
        <x:v>PASS</x:v>
      </x:c>
    </x:row>
    <x:row r="1151">
      <x:c r="B1151" s="21" t="str">
        <x:v>A1145</x:v>
      </x:c>
      <x:c r="C1151" s="21" t="str">
        <x:v>paper gate</x:v>
      </x:c>
      <x:c r="D1151" s="21" t="str">
        <x:v>gate 250 result reconciles</x:v>
      </x:c>
      <x:c r="E1151" s="21" t="n">
        <x:f>IF('Paper Gates'!I250=IF('Paper Gates'!G250='Paper Gates'!H250,"PASS","FAIL"),1,0)</x:f>
        <x:v>1</x:v>
      </x:c>
      <x:c r="F1151" s="21" t="n">
        <x:v>1</x:v>
      </x:c>
      <x:c r="G1151" s="23" t="str">
        <x:f>IF(E1151=F1151,"PASS","FAIL")</x:f>
        <x:v>PASS</x:v>
      </x:c>
    </x:row>
    <x:row r="1152">
      <x:c r="B1152" s="21" t="str">
        <x:v>A1146</x:v>
      </x:c>
      <x:c r="C1152" s="21" t="str">
        <x:v>paper gate</x:v>
      </x:c>
      <x:c r="D1152" s="21" t="str">
        <x:v>gate 251 binary observation</x:v>
      </x:c>
      <x:c r="E1152" s="21" t="n">
        <x:f>IF(OR('Paper Gates'!G251=0,'Paper Gates'!G251=1),1,0)</x:f>
        <x:v>1</x:v>
      </x:c>
      <x:c r="F1152" s="21" t="n">
        <x:v>1</x:v>
      </x:c>
      <x:c r="G1152" s="23" t="str">
        <x:f>IF(E1152=F1152,"PASS","FAIL")</x:f>
        <x:v>PASS</x:v>
      </x:c>
    </x:row>
    <x:row r="1153">
      <x:c r="B1153" s="21" t="str">
        <x:v>A1147</x:v>
      </x:c>
      <x:c r="C1153" s="21" t="str">
        <x:v>paper gate</x:v>
      </x:c>
      <x:c r="D1153" s="21" t="str">
        <x:v>gate 251 fixed requirement</x:v>
      </x:c>
      <x:c r="E1153" s="21" t="n">
        <x:f>IF('Paper Gates'!H251=1,1,0)</x:f>
        <x:v>1</x:v>
      </x:c>
      <x:c r="F1153" s="21" t="n">
        <x:v>1</x:v>
      </x:c>
      <x:c r="G1153" s="23" t="str">
        <x:f>IF(E1153=F1153,"PASS","FAIL")</x:f>
        <x:v>PASS</x:v>
      </x:c>
    </x:row>
    <x:row r="1154">
      <x:c r="B1154" s="21" t="str">
        <x:v>A1148</x:v>
      </x:c>
      <x:c r="C1154" s="21" t="str">
        <x:v>paper gate</x:v>
      </x:c>
      <x:c r="D1154" s="21" t="str">
        <x:v>gate 251 result reconciles</x:v>
      </x:c>
      <x:c r="E1154" s="21" t="n">
        <x:f>IF('Paper Gates'!I251=IF('Paper Gates'!G251='Paper Gates'!H251,"PASS","FAIL"),1,0)</x:f>
        <x:v>1</x:v>
      </x:c>
      <x:c r="F1154" s="21" t="n">
        <x:v>1</x:v>
      </x:c>
      <x:c r="G1154" s="23" t="str">
        <x:f>IF(E1154=F1154,"PASS","FAIL")</x:f>
        <x:v>PASS</x:v>
      </x:c>
    </x:row>
    <x:row r="1155">
      <x:c r="B1155" s="21" t="str">
        <x:v>A1149</x:v>
      </x:c>
      <x:c r="C1155" s="21" t="str">
        <x:v>paper gate</x:v>
      </x:c>
      <x:c r="D1155" s="21" t="str">
        <x:v>gate 252 binary observation</x:v>
      </x:c>
      <x:c r="E1155" s="21" t="n">
        <x:f>IF(OR('Paper Gates'!G252=0,'Paper Gates'!G252=1),1,0)</x:f>
        <x:v>1</x:v>
      </x:c>
      <x:c r="F1155" s="21" t="n">
        <x:v>1</x:v>
      </x:c>
      <x:c r="G1155" s="23" t="str">
        <x:f>IF(E1155=F1155,"PASS","FAIL")</x:f>
        <x:v>PASS</x:v>
      </x:c>
    </x:row>
    <x:row r="1156">
      <x:c r="B1156" s="21" t="str">
        <x:v>A1150</x:v>
      </x:c>
      <x:c r="C1156" s="21" t="str">
        <x:v>paper gate</x:v>
      </x:c>
      <x:c r="D1156" s="21" t="str">
        <x:v>gate 252 fixed requirement</x:v>
      </x:c>
      <x:c r="E1156" s="21" t="n">
        <x:f>IF('Paper Gates'!H252=1,1,0)</x:f>
        <x:v>1</x:v>
      </x:c>
      <x:c r="F1156" s="21" t="n">
        <x:v>1</x:v>
      </x:c>
      <x:c r="G1156" s="23" t="str">
        <x:f>IF(E1156=F1156,"PASS","FAIL")</x:f>
        <x:v>PASS</x:v>
      </x:c>
    </x:row>
    <x:row r="1157">
      <x:c r="B1157" s="21" t="str">
        <x:v>A1151</x:v>
      </x:c>
      <x:c r="C1157" s="21" t="str">
        <x:v>paper gate</x:v>
      </x:c>
      <x:c r="D1157" s="21" t="str">
        <x:v>gate 252 result reconciles</x:v>
      </x:c>
      <x:c r="E1157" s="21" t="n">
        <x:f>IF('Paper Gates'!I252=IF('Paper Gates'!G252='Paper Gates'!H252,"PASS","FAIL"),1,0)</x:f>
        <x:v>1</x:v>
      </x:c>
      <x:c r="F1157" s="21" t="n">
        <x:v>1</x:v>
      </x:c>
      <x:c r="G1157" s="23" t="str">
        <x:f>IF(E1157=F1157,"PASS","FAIL")</x:f>
        <x:v>PASS</x:v>
      </x:c>
    </x:row>
    <x:row r="1158">
      <x:c r="B1158" s="21" t="str">
        <x:v>A1152</x:v>
      </x:c>
      <x:c r="C1158" s="21" t="str">
        <x:v>paper gate</x:v>
      </x:c>
      <x:c r="D1158" s="21" t="str">
        <x:v>gate 253 binary observation</x:v>
      </x:c>
      <x:c r="E1158" s="21" t="n">
        <x:f>IF(OR('Paper Gates'!G253=0,'Paper Gates'!G253=1),1,0)</x:f>
        <x:v>1</x:v>
      </x:c>
      <x:c r="F1158" s="21" t="n">
        <x:v>1</x:v>
      </x:c>
      <x:c r="G1158" s="23" t="str">
        <x:f>IF(E1158=F1158,"PASS","FAIL")</x:f>
        <x:v>PASS</x:v>
      </x:c>
    </x:row>
    <x:row r="1159">
      <x:c r="B1159" s="21" t="str">
        <x:v>A1153</x:v>
      </x:c>
      <x:c r="C1159" s="21" t="str">
        <x:v>paper gate</x:v>
      </x:c>
      <x:c r="D1159" s="21" t="str">
        <x:v>gate 253 fixed requirement</x:v>
      </x:c>
      <x:c r="E1159" s="21" t="n">
        <x:f>IF('Paper Gates'!H253=1,1,0)</x:f>
        <x:v>1</x:v>
      </x:c>
      <x:c r="F1159" s="21" t="n">
        <x:v>1</x:v>
      </x:c>
      <x:c r="G1159" s="23" t="str">
        <x:f>IF(E1159=F1159,"PASS","FAIL")</x:f>
        <x:v>PASS</x:v>
      </x:c>
    </x:row>
    <x:row r="1160">
      <x:c r="B1160" s="21" t="str">
        <x:v>A1154</x:v>
      </x:c>
      <x:c r="C1160" s="21" t="str">
        <x:v>paper gate</x:v>
      </x:c>
      <x:c r="D1160" s="21" t="str">
        <x:v>gate 253 result reconciles</x:v>
      </x:c>
      <x:c r="E1160" s="21" t="n">
        <x:f>IF('Paper Gates'!I253=IF('Paper Gates'!G253='Paper Gates'!H253,"PASS","FAIL"),1,0)</x:f>
        <x:v>1</x:v>
      </x:c>
      <x:c r="F1160" s="21" t="n">
        <x:v>1</x:v>
      </x:c>
      <x:c r="G1160" s="23" t="str">
        <x:f>IF(E1160=F1160,"PASS","FAIL")</x:f>
        <x:v>PASS</x:v>
      </x:c>
    </x:row>
    <x:row r="1161">
      <x:c r="B1161" s="21" t="str">
        <x:v>A1155</x:v>
      </x:c>
      <x:c r="C1161" s="21" t="str">
        <x:v>paper gate</x:v>
      </x:c>
      <x:c r="D1161" s="21" t="str">
        <x:v>gate 254 binary observation</x:v>
      </x:c>
      <x:c r="E1161" s="21" t="n">
        <x:f>IF(OR('Paper Gates'!G254=0,'Paper Gates'!G254=1),1,0)</x:f>
        <x:v>1</x:v>
      </x:c>
      <x:c r="F1161" s="21" t="n">
        <x:v>1</x:v>
      </x:c>
      <x:c r="G1161" s="23" t="str">
        <x:f>IF(E1161=F1161,"PASS","FAIL")</x:f>
        <x:v>PASS</x:v>
      </x:c>
    </x:row>
    <x:row r="1162">
      <x:c r="B1162" s="21" t="str">
        <x:v>A1156</x:v>
      </x:c>
      <x:c r="C1162" s="21" t="str">
        <x:v>paper gate</x:v>
      </x:c>
      <x:c r="D1162" s="21" t="str">
        <x:v>gate 254 fixed requirement</x:v>
      </x:c>
      <x:c r="E1162" s="21" t="n">
        <x:f>IF('Paper Gates'!H254=1,1,0)</x:f>
        <x:v>1</x:v>
      </x:c>
      <x:c r="F1162" s="21" t="n">
        <x:v>1</x:v>
      </x:c>
      <x:c r="G1162" s="23" t="str">
        <x:f>IF(E1162=F1162,"PASS","FAIL")</x:f>
        <x:v>PASS</x:v>
      </x:c>
    </x:row>
    <x:row r="1163">
      <x:c r="B1163" s="21" t="str">
        <x:v>A1157</x:v>
      </x:c>
      <x:c r="C1163" s="21" t="str">
        <x:v>paper gate</x:v>
      </x:c>
      <x:c r="D1163" s="21" t="str">
        <x:v>gate 254 result reconciles</x:v>
      </x:c>
      <x:c r="E1163" s="21" t="n">
        <x:f>IF('Paper Gates'!I254=IF('Paper Gates'!G254='Paper Gates'!H254,"PASS","FAIL"),1,0)</x:f>
        <x:v>1</x:v>
      </x:c>
      <x:c r="F1163" s="21" t="n">
        <x:v>1</x:v>
      </x:c>
      <x:c r="G1163" s="23" t="str">
        <x:f>IF(E1163=F1163,"PASS","FAIL")</x:f>
        <x:v>PASS</x:v>
      </x:c>
    </x:row>
    <x:row r="1164">
      <x:c r="B1164" s="21" t="str">
        <x:v>A1158</x:v>
      </x:c>
      <x:c r="C1164" s="21" t="str">
        <x:v>paper gate</x:v>
      </x:c>
      <x:c r="D1164" s="21" t="str">
        <x:v>gate 255 binary observation</x:v>
      </x:c>
      <x:c r="E1164" s="21" t="n">
        <x:f>IF(OR('Paper Gates'!G255=0,'Paper Gates'!G255=1),1,0)</x:f>
        <x:v>1</x:v>
      </x:c>
      <x:c r="F1164" s="21" t="n">
        <x:v>1</x:v>
      </x:c>
      <x:c r="G1164" s="23" t="str">
        <x:f>IF(E1164=F1164,"PASS","FAIL")</x:f>
        <x:v>PASS</x:v>
      </x:c>
    </x:row>
    <x:row r="1165">
      <x:c r="B1165" s="21" t="str">
        <x:v>A1159</x:v>
      </x:c>
      <x:c r="C1165" s="21" t="str">
        <x:v>paper gate</x:v>
      </x:c>
      <x:c r="D1165" s="21" t="str">
        <x:v>gate 255 fixed requirement</x:v>
      </x:c>
      <x:c r="E1165" s="21" t="n">
        <x:f>IF('Paper Gates'!H255=1,1,0)</x:f>
        <x:v>1</x:v>
      </x:c>
      <x:c r="F1165" s="21" t="n">
        <x:v>1</x:v>
      </x:c>
      <x:c r="G1165" s="23" t="str">
        <x:f>IF(E1165=F1165,"PASS","FAIL")</x:f>
        <x:v>PASS</x:v>
      </x:c>
    </x:row>
    <x:row r="1166">
      <x:c r="B1166" s="21" t="str">
        <x:v>A1160</x:v>
      </x:c>
      <x:c r="C1166" s="21" t="str">
        <x:v>paper gate</x:v>
      </x:c>
      <x:c r="D1166" s="21" t="str">
        <x:v>gate 255 result reconciles</x:v>
      </x:c>
      <x:c r="E1166" s="21" t="n">
        <x:f>IF('Paper Gates'!I255=IF('Paper Gates'!G255='Paper Gates'!H255,"PASS","FAIL"),1,0)</x:f>
        <x:v>1</x:v>
      </x:c>
      <x:c r="F1166" s="21" t="n">
        <x:v>1</x:v>
      </x:c>
      <x:c r="G1166" s="23" t="str">
        <x:f>IF(E1166=F1166,"PASS","FAIL")</x:f>
        <x:v>PASS</x:v>
      </x:c>
    </x:row>
    <x:row r="1167">
      <x:c r="B1167" s="21" t="str">
        <x:v>A1161</x:v>
      </x:c>
      <x:c r="C1167" s="21" t="str">
        <x:v>paper gate</x:v>
      </x:c>
      <x:c r="D1167" s="21" t="str">
        <x:v>gate 256 binary observation</x:v>
      </x:c>
      <x:c r="E1167" s="21" t="n">
        <x:f>IF(OR('Paper Gates'!G256=0,'Paper Gates'!G256=1),1,0)</x:f>
        <x:v>1</x:v>
      </x:c>
      <x:c r="F1167" s="21" t="n">
        <x:v>1</x:v>
      </x:c>
      <x:c r="G1167" s="23" t="str">
        <x:f>IF(E1167=F1167,"PASS","FAIL")</x:f>
        <x:v>PASS</x:v>
      </x:c>
    </x:row>
    <x:row r="1168">
      <x:c r="B1168" s="21" t="str">
        <x:v>A1162</x:v>
      </x:c>
      <x:c r="C1168" s="21" t="str">
        <x:v>paper gate</x:v>
      </x:c>
      <x:c r="D1168" s="21" t="str">
        <x:v>gate 256 fixed requirement</x:v>
      </x:c>
      <x:c r="E1168" s="21" t="n">
        <x:f>IF('Paper Gates'!H256=1,1,0)</x:f>
        <x:v>1</x:v>
      </x:c>
      <x:c r="F1168" s="21" t="n">
        <x:v>1</x:v>
      </x:c>
      <x:c r="G1168" s="23" t="str">
        <x:f>IF(E1168=F1168,"PASS","FAIL")</x:f>
        <x:v>PASS</x:v>
      </x:c>
    </x:row>
    <x:row r="1169">
      <x:c r="B1169" s="21" t="str">
        <x:v>A1163</x:v>
      </x:c>
      <x:c r="C1169" s="21" t="str">
        <x:v>paper gate</x:v>
      </x:c>
      <x:c r="D1169" s="21" t="str">
        <x:v>gate 256 result reconciles</x:v>
      </x:c>
      <x:c r="E1169" s="21" t="n">
        <x:f>IF('Paper Gates'!I256=IF('Paper Gates'!G256='Paper Gates'!H256,"PASS","FAIL"),1,0)</x:f>
        <x:v>1</x:v>
      </x:c>
      <x:c r="F1169" s="21" t="n">
        <x:v>1</x:v>
      </x:c>
      <x:c r="G1169" s="23" t="str">
        <x:f>IF(E1169=F1169,"PASS","FAIL")</x:f>
        <x:v>PASS</x:v>
      </x:c>
    </x:row>
    <x:row r="1170">
      <x:c r="B1170" s="21" t="str">
        <x:v>A1164</x:v>
      </x:c>
      <x:c r="C1170" s="21" t="str">
        <x:v>paper gate</x:v>
      </x:c>
      <x:c r="D1170" s="21" t="str">
        <x:v>gate 257 binary observation</x:v>
      </x:c>
      <x:c r="E1170" s="21" t="n">
        <x:f>IF(OR('Paper Gates'!G257=0,'Paper Gates'!G257=1),1,0)</x:f>
        <x:v>1</x:v>
      </x:c>
      <x:c r="F1170" s="21" t="n">
        <x:v>1</x:v>
      </x:c>
      <x:c r="G1170" s="23" t="str">
        <x:f>IF(E1170=F1170,"PASS","FAIL")</x:f>
        <x:v>PASS</x:v>
      </x:c>
    </x:row>
    <x:row r="1171">
      <x:c r="B1171" s="21" t="str">
        <x:v>A1165</x:v>
      </x:c>
      <x:c r="C1171" s="21" t="str">
        <x:v>paper gate</x:v>
      </x:c>
      <x:c r="D1171" s="21" t="str">
        <x:v>gate 257 fixed requirement</x:v>
      </x:c>
      <x:c r="E1171" s="21" t="n">
        <x:f>IF('Paper Gates'!H257=1,1,0)</x:f>
        <x:v>1</x:v>
      </x:c>
      <x:c r="F1171" s="21" t="n">
        <x:v>1</x:v>
      </x:c>
      <x:c r="G1171" s="23" t="str">
        <x:f>IF(E1171=F1171,"PASS","FAIL")</x:f>
        <x:v>PASS</x:v>
      </x:c>
    </x:row>
    <x:row r="1172">
      <x:c r="B1172" s="21" t="str">
        <x:v>A1166</x:v>
      </x:c>
      <x:c r="C1172" s="21" t="str">
        <x:v>paper gate</x:v>
      </x:c>
      <x:c r="D1172" s="21" t="str">
        <x:v>gate 257 result reconciles</x:v>
      </x:c>
      <x:c r="E1172" s="21" t="n">
        <x:f>IF('Paper Gates'!I257=IF('Paper Gates'!G257='Paper Gates'!H257,"PASS","FAIL"),1,0)</x:f>
        <x:v>1</x:v>
      </x:c>
      <x:c r="F1172" s="21" t="n">
        <x:v>1</x:v>
      </x:c>
      <x:c r="G1172" s="23" t="str">
        <x:f>IF(E1172=F1172,"PASS","FAIL")</x:f>
        <x:v>PASS</x:v>
      </x:c>
    </x:row>
    <x:row r="1173">
      <x:c r="B1173" s="21" t="str">
        <x:v>A1167</x:v>
      </x:c>
      <x:c r="C1173" s="21" t="str">
        <x:v>paper gate</x:v>
      </x:c>
      <x:c r="D1173" s="21" t="str">
        <x:v>gate 258 binary observation</x:v>
      </x:c>
      <x:c r="E1173" s="21" t="n">
        <x:f>IF(OR('Paper Gates'!G258=0,'Paper Gates'!G258=1),1,0)</x:f>
        <x:v>1</x:v>
      </x:c>
      <x:c r="F1173" s="21" t="n">
        <x:v>1</x:v>
      </x:c>
      <x:c r="G1173" s="23" t="str">
        <x:f>IF(E1173=F1173,"PASS","FAIL")</x:f>
        <x:v>PASS</x:v>
      </x:c>
    </x:row>
    <x:row r="1174">
      <x:c r="B1174" s="21" t="str">
        <x:v>A1168</x:v>
      </x:c>
      <x:c r="C1174" s="21" t="str">
        <x:v>paper gate</x:v>
      </x:c>
      <x:c r="D1174" s="21" t="str">
        <x:v>gate 258 fixed requirement</x:v>
      </x:c>
      <x:c r="E1174" s="21" t="n">
        <x:f>IF('Paper Gates'!H258=1,1,0)</x:f>
        <x:v>1</x:v>
      </x:c>
      <x:c r="F1174" s="21" t="n">
        <x:v>1</x:v>
      </x:c>
      <x:c r="G1174" s="23" t="str">
        <x:f>IF(E1174=F1174,"PASS","FAIL")</x:f>
        <x:v>PASS</x:v>
      </x:c>
    </x:row>
    <x:row r="1175">
      <x:c r="B1175" s="21" t="str">
        <x:v>A1169</x:v>
      </x:c>
      <x:c r="C1175" s="21" t="str">
        <x:v>paper gate</x:v>
      </x:c>
      <x:c r="D1175" s="21" t="str">
        <x:v>gate 258 result reconciles</x:v>
      </x:c>
      <x:c r="E1175" s="21" t="n">
        <x:f>IF('Paper Gates'!I258=IF('Paper Gates'!G258='Paper Gates'!H258,"PASS","FAIL"),1,0)</x:f>
        <x:v>1</x:v>
      </x:c>
      <x:c r="F1175" s="21" t="n">
        <x:v>1</x:v>
      </x:c>
      <x:c r="G1175" s="23" t="str">
        <x:f>IF(E1175=F1175,"PASS","FAIL")</x:f>
        <x:v>PASS</x:v>
      </x:c>
    </x:row>
    <x:row r="1176">
      <x:c r="B1176" s="21" t="str">
        <x:v>A1170</x:v>
      </x:c>
      <x:c r="C1176" s="21" t="str">
        <x:v>paper gate</x:v>
      </x:c>
      <x:c r="D1176" s="21" t="str">
        <x:v>gate 259 binary observation</x:v>
      </x:c>
      <x:c r="E1176" s="21" t="n">
        <x:f>IF(OR('Paper Gates'!G259=0,'Paper Gates'!G259=1),1,0)</x:f>
        <x:v>1</x:v>
      </x:c>
      <x:c r="F1176" s="21" t="n">
        <x:v>1</x:v>
      </x:c>
      <x:c r="G1176" s="23" t="str">
        <x:f>IF(E1176=F1176,"PASS","FAIL")</x:f>
        <x:v>PASS</x:v>
      </x:c>
    </x:row>
    <x:row r="1177">
      <x:c r="B1177" s="21" t="str">
        <x:v>A1171</x:v>
      </x:c>
      <x:c r="C1177" s="21" t="str">
        <x:v>paper gate</x:v>
      </x:c>
      <x:c r="D1177" s="21" t="str">
        <x:v>gate 259 fixed requirement</x:v>
      </x:c>
      <x:c r="E1177" s="21" t="n">
        <x:f>IF('Paper Gates'!H259=1,1,0)</x:f>
        <x:v>1</x:v>
      </x:c>
      <x:c r="F1177" s="21" t="n">
        <x:v>1</x:v>
      </x:c>
      <x:c r="G1177" s="23" t="str">
        <x:f>IF(E1177=F1177,"PASS","FAIL")</x:f>
        <x:v>PASS</x:v>
      </x:c>
    </x:row>
    <x:row r="1178">
      <x:c r="B1178" s="21" t="str">
        <x:v>A1172</x:v>
      </x:c>
      <x:c r="C1178" s="21" t="str">
        <x:v>paper gate</x:v>
      </x:c>
      <x:c r="D1178" s="21" t="str">
        <x:v>gate 259 result reconciles</x:v>
      </x:c>
      <x:c r="E1178" s="21" t="n">
        <x:f>IF('Paper Gates'!I259=IF('Paper Gates'!G259='Paper Gates'!H259,"PASS","FAIL"),1,0)</x:f>
        <x:v>1</x:v>
      </x:c>
      <x:c r="F1178" s="21" t="n">
        <x:v>1</x:v>
      </x:c>
      <x:c r="G1178" s="23" t="str">
        <x:f>IF(E1178=F1178,"PASS","FAIL")</x:f>
        <x:v>PASS</x:v>
      </x:c>
    </x:row>
    <x:row r="1179">
      <x:c r="B1179" s="21" t="str">
        <x:v>A1173</x:v>
      </x:c>
      <x:c r="C1179" s="21" t="str">
        <x:v>paper gate</x:v>
      </x:c>
      <x:c r="D1179" s="21" t="str">
        <x:v>gate 260 binary observation</x:v>
      </x:c>
      <x:c r="E1179" s="21" t="n">
        <x:f>IF(OR('Paper Gates'!G260=0,'Paper Gates'!G260=1),1,0)</x:f>
        <x:v>1</x:v>
      </x:c>
      <x:c r="F1179" s="21" t="n">
        <x:v>1</x:v>
      </x:c>
      <x:c r="G1179" s="23" t="str">
        <x:f>IF(E1179=F1179,"PASS","FAIL")</x:f>
        <x:v>PASS</x:v>
      </x:c>
    </x:row>
    <x:row r="1180">
      <x:c r="B1180" s="21" t="str">
        <x:v>A1174</x:v>
      </x:c>
      <x:c r="C1180" s="21" t="str">
        <x:v>paper gate</x:v>
      </x:c>
      <x:c r="D1180" s="21" t="str">
        <x:v>gate 260 fixed requirement</x:v>
      </x:c>
      <x:c r="E1180" s="21" t="n">
        <x:f>IF('Paper Gates'!H260=1,1,0)</x:f>
        <x:v>1</x:v>
      </x:c>
      <x:c r="F1180" s="21" t="n">
        <x:v>1</x:v>
      </x:c>
      <x:c r="G1180" s="23" t="str">
        <x:f>IF(E1180=F1180,"PASS","FAIL")</x:f>
        <x:v>PASS</x:v>
      </x:c>
    </x:row>
    <x:row r="1181">
      <x:c r="B1181" s="21" t="str">
        <x:v>A1175</x:v>
      </x:c>
      <x:c r="C1181" s="21" t="str">
        <x:v>paper gate</x:v>
      </x:c>
      <x:c r="D1181" s="21" t="str">
        <x:v>gate 260 result reconciles</x:v>
      </x:c>
      <x:c r="E1181" s="21" t="n">
        <x:f>IF('Paper Gates'!I260=IF('Paper Gates'!G260='Paper Gates'!H260,"PASS","FAIL"),1,0)</x:f>
        <x:v>1</x:v>
      </x:c>
      <x:c r="F1181" s="21" t="n">
        <x:v>1</x:v>
      </x:c>
      <x:c r="G1181" s="23" t="str">
        <x:f>IF(E1181=F1181,"PASS","FAIL")</x:f>
        <x:v>PASS</x:v>
      </x:c>
    </x:row>
    <x:row r="1182">
      <x:c r="B1182" s="21" t="str">
        <x:v>A1176</x:v>
      </x:c>
      <x:c r="C1182" s="21" t="str">
        <x:v>paper gate</x:v>
      </x:c>
      <x:c r="D1182" s="21" t="str">
        <x:v>gate 261 binary observation</x:v>
      </x:c>
      <x:c r="E1182" s="21" t="n">
        <x:f>IF(OR('Paper Gates'!G261=0,'Paper Gates'!G261=1),1,0)</x:f>
        <x:v>1</x:v>
      </x:c>
      <x:c r="F1182" s="21" t="n">
        <x:v>1</x:v>
      </x:c>
      <x:c r="G1182" s="23" t="str">
        <x:f>IF(E1182=F1182,"PASS","FAIL")</x:f>
        <x:v>PASS</x:v>
      </x:c>
    </x:row>
    <x:row r="1183">
      <x:c r="B1183" s="21" t="str">
        <x:v>A1177</x:v>
      </x:c>
      <x:c r="C1183" s="21" t="str">
        <x:v>paper gate</x:v>
      </x:c>
      <x:c r="D1183" s="21" t="str">
        <x:v>gate 261 fixed requirement</x:v>
      </x:c>
      <x:c r="E1183" s="21" t="n">
        <x:f>IF('Paper Gates'!H261=1,1,0)</x:f>
        <x:v>1</x:v>
      </x:c>
      <x:c r="F1183" s="21" t="n">
        <x:v>1</x:v>
      </x:c>
      <x:c r="G1183" s="23" t="str">
        <x:f>IF(E1183=F1183,"PASS","FAIL")</x:f>
        <x:v>PASS</x:v>
      </x:c>
    </x:row>
    <x:row r="1184">
      <x:c r="B1184" s="21" t="str">
        <x:v>A1178</x:v>
      </x:c>
      <x:c r="C1184" s="21" t="str">
        <x:v>paper gate</x:v>
      </x:c>
      <x:c r="D1184" s="21" t="str">
        <x:v>gate 261 result reconciles</x:v>
      </x:c>
      <x:c r="E1184" s="21" t="n">
        <x:f>IF('Paper Gates'!I261=IF('Paper Gates'!G261='Paper Gates'!H261,"PASS","FAIL"),1,0)</x:f>
        <x:v>1</x:v>
      </x:c>
      <x:c r="F1184" s="21" t="n">
        <x:v>1</x:v>
      </x:c>
      <x:c r="G1184" s="23" t="str">
        <x:f>IF(E1184=F1184,"PASS","FAIL")</x:f>
        <x:v>PASS</x:v>
      </x:c>
    </x:row>
    <x:row r="1185">
      <x:c r="B1185" s="21" t="str">
        <x:v>A1179</x:v>
      </x:c>
      <x:c r="C1185" s="21" t="str">
        <x:v>paper gate</x:v>
      </x:c>
      <x:c r="D1185" s="21" t="str">
        <x:v>gate 262 binary observation</x:v>
      </x:c>
      <x:c r="E1185" s="21" t="n">
        <x:f>IF(OR('Paper Gates'!G262=0,'Paper Gates'!G262=1),1,0)</x:f>
        <x:v>1</x:v>
      </x:c>
      <x:c r="F1185" s="21" t="n">
        <x:v>1</x:v>
      </x:c>
      <x:c r="G1185" s="23" t="str">
        <x:f>IF(E1185=F1185,"PASS","FAIL")</x:f>
        <x:v>PASS</x:v>
      </x:c>
    </x:row>
    <x:row r="1186">
      <x:c r="B1186" s="21" t="str">
        <x:v>A1180</x:v>
      </x:c>
      <x:c r="C1186" s="21" t="str">
        <x:v>paper gate</x:v>
      </x:c>
      <x:c r="D1186" s="21" t="str">
        <x:v>gate 262 fixed requirement</x:v>
      </x:c>
      <x:c r="E1186" s="21" t="n">
        <x:f>IF('Paper Gates'!H262=1,1,0)</x:f>
        <x:v>1</x:v>
      </x:c>
      <x:c r="F1186" s="21" t="n">
        <x:v>1</x:v>
      </x:c>
      <x:c r="G1186" s="23" t="str">
        <x:f>IF(E1186=F1186,"PASS","FAIL")</x:f>
        <x:v>PASS</x:v>
      </x:c>
    </x:row>
    <x:row r="1187">
      <x:c r="B1187" s="21" t="str">
        <x:v>A1181</x:v>
      </x:c>
      <x:c r="C1187" s="21" t="str">
        <x:v>paper gate</x:v>
      </x:c>
      <x:c r="D1187" s="21" t="str">
        <x:v>gate 262 result reconciles</x:v>
      </x:c>
      <x:c r="E1187" s="21" t="n">
        <x:f>IF('Paper Gates'!I262=IF('Paper Gates'!G262='Paper Gates'!H262,"PASS","FAIL"),1,0)</x:f>
        <x:v>1</x:v>
      </x:c>
      <x:c r="F1187" s="21" t="n">
        <x:v>1</x:v>
      </x:c>
      <x:c r="G1187" s="23" t="str">
        <x:f>IF(E1187=F1187,"PASS","FAIL")</x:f>
        <x:v>PASS</x:v>
      </x:c>
    </x:row>
    <x:row r="1188">
      <x:c r="B1188" s="21" t="str">
        <x:v>A1182</x:v>
      </x:c>
      <x:c r="C1188" s="21" t="str">
        <x:v>paper gate</x:v>
      </x:c>
      <x:c r="D1188" s="21" t="str">
        <x:v>gate 263 binary observation</x:v>
      </x:c>
      <x:c r="E1188" s="21" t="n">
        <x:f>IF(OR('Paper Gates'!G263=0,'Paper Gates'!G263=1),1,0)</x:f>
        <x:v>1</x:v>
      </x:c>
      <x:c r="F1188" s="21" t="n">
        <x:v>1</x:v>
      </x:c>
      <x:c r="G1188" s="23" t="str">
        <x:f>IF(E1188=F1188,"PASS","FAIL")</x:f>
        <x:v>PASS</x:v>
      </x:c>
    </x:row>
    <x:row r="1189">
      <x:c r="B1189" s="21" t="str">
        <x:v>A1183</x:v>
      </x:c>
      <x:c r="C1189" s="21" t="str">
        <x:v>paper gate</x:v>
      </x:c>
      <x:c r="D1189" s="21" t="str">
        <x:v>gate 263 fixed requirement</x:v>
      </x:c>
      <x:c r="E1189" s="21" t="n">
        <x:f>IF('Paper Gates'!H263=1,1,0)</x:f>
        <x:v>1</x:v>
      </x:c>
      <x:c r="F1189" s="21" t="n">
        <x:v>1</x:v>
      </x:c>
      <x:c r="G1189" s="23" t="str">
        <x:f>IF(E1189=F1189,"PASS","FAIL")</x:f>
        <x:v>PASS</x:v>
      </x:c>
    </x:row>
    <x:row r="1190">
      <x:c r="B1190" s="21" t="str">
        <x:v>A1184</x:v>
      </x:c>
      <x:c r="C1190" s="21" t="str">
        <x:v>paper gate</x:v>
      </x:c>
      <x:c r="D1190" s="21" t="str">
        <x:v>gate 263 result reconciles</x:v>
      </x:c>
      <x:c r="E1190" s="21" t="n">
        <x:f>IF('Paper Gates'!I263=IF('Paper Gates'!G263='Paper Gates'!H263,"PASS","FAIL"),1,0)</x:f>
        <x:v>1</x:v>
      </x:c>
      <x:c r="F1190" s="21" t="n">
        <x:v>1</x:v>
      </x:c>
      <x:c r="G1190" s="23" t="str">
        <x:f>IF(E1190=F1190,"PASS","FAIL")</x:f>
        <x:v>PASS</x:v>
      </x:c>
    </x:row>
    <x:row r="1191">
      <x:c r="B1191" s="21" t="str">
        <x:v>A1185</x:v>
      </x:c>
      <x:c r="C1191" s="21" t="str">
        <x:v>paper gate</x:v>
      </x:c>
      <x:c r="D1191" s="21" t="str">
        <x:v>gate 264 binary observation</x:v>
      </x:c>
      <x:c r="E1191" s="21" t="n">
        <x:f>IF(OR('Paper Gates'!G264=0,'Paper Gates'!G264=1),1,0)</x:f>
        <x:v>1</x:v>
      </x:c>
      <x:c r="F1191" s="21" t="n">
        <x:v>1</x:v>
      </x:c>
      <x:c r="G1191" s="23" t="str">
        <x:f>IF(E1191=F1191,"PASS","FAIL")</x:f>
        <x:v>PASS</x:v>
      </x:c>
    </x:row>
    <x:row r="1192">
      <x:c r="B1192" s="21" t="str">
        <x:v>A1186</x:v>
      </x:c>
      <x:c r="C1192" s="21" t="str">
        <x:v>paper gate</x:v>
      </x:c>
      <x:c r="D1192" s="21" t="str">
        <x:v>gate 264 fixed requirement</x:v>
      </x:c>
      <x:c r="E1192" s="21" t="n">
        <x:f>IF('Paper Gates'!H264=1,1,0)</x:f>
        <x:v>1</x:v>
      </x:c>
      <x:c r="F1192" s="21" t="n">
        <x:v>1</x:v>
      </x:c>
      <x:c r="G1192" s="23" t="str">
        <x:f>IF(E1192=F1192,"PASS","FAIL")</x:f>
        <x:v>PASS</x:v>
      </x:c>
    </x:row>
    <x:row r="1193">
      <x:c r="B1193" s="21" t="str">
        <x:v>A1187</x:v>
      </x:c>
      <x:c r="C1193" s="21" t="str">
        <x:v>paper gate</x:v>
      </x:c>
      <x:c r="D1193" s="21" t="str">
        <x:v>gate 264 result reconciles</x:v>
      </x:c>
      <x:c r="E1193" s="21" t="n">
        <x:f>IF('Paper Gates'!I264=IF('Paper Gates'!G264='Paper Gates'!H264,"PASS","FAIL"),1,0)</x:f>
        <x:v>1</x:v>
      </x:c>
      <x:c r="F1193" s="21" t="n">
        <x:v>1</x:v>
      </x:c>
      <x:c r="G1193" s="23" t="str">
        <x:f>IF(E1193=F1193,"PASS","FAIL")</x:f>
        <x:v>PASS</x:v>
      </x:c>
    </x:row>
    <x:row r="1194">
      <x:c r="B1194" s="21" t="str">
        <x:v>A1188</x:v>
      </x:c>
      <x:c r="C1194" s="21" t="str">
        <x:v>paper gate</x:v>
      </x:c>
      <x:c r="D1194" s="21" t="str">
        <x:v>gate 265 binary observation</x:v>
      </x:c>
      <x:c r="E1194" s="21" t="n">
        <x:f>IF(OR('Paper Gates'!G265=0,'Paper Gates'!G265=1),1,0)</x:f>
        <x:v>1</x:v>
      </x:c>
      <x:c r="F1194" s="21" t="n">
        <x:v>1</x:v>
      </x:c>
      <x:c r="G1194" s="23" t="str">
        <x:f>IF(E1194=F1194,"PASS","FAIL")</x:f>
        <x:v>PASS</x:v>
      </x:c>
    </x:row>
    <x:row r="1195">
      <x:c r="B1195" s="21" t="str">
        <x:v>A1189</x:v>
      </x:c>
      <x:c r="C1195" s="21" t="str">
        <x:v>paper gate</x:v>
      </x:c>
      <x:c r="D1195" s="21" t="str">
        <x:v>gate 265 fixed requirement</x:v>
      </x:c>
      <x:c r="E1195" s="21" t="n">
        <x:f>IF('Paper Gates'!H265=1,1,0)</x:f>
        <x:v>1</x:v>
      </x:c>
      <x:c r="F1195" s="21" t="n">
        <x:v>1</x:v>
      </x:c>
      <x:c r="G1195" s="23" t="str">
        <x:f>IF(E1195=F1195,"PASS","FAIL")</x:f>
        <x:v>PASS</x:v>
      </x:c>
    </x:row>
    <x:row r="1196">
      <x:c r="B1196" s="21" t="str">
        <x:v>A1190</x:v>
      </x:c>
      <x:c r="C1196" s="21" t="str">
        <x:v>paper gate</x:v>
      </x:c>
      <x:c r="D1196" s="21" t="str">
        <x:v>gate 265 result reconciles</x:v>
      </x:c>
      <x:c r="E1196" s="21" t="n">
        <x:f>IF('Paper Gates'!I265=IF('Paper Gates'!G265='Paper Gates'!H265,"PASS","FAIL"),1,0)</x:f>
        <x:v>1</x:v>
      </x:c>
      <x:c r="F1196" s="21" t="n">
        <x:v>1</x:v>
      </x:c>
      <x:c r="G1196" s="23" t="str">
        <x:f>IF(E1196=F1196,"PASS","FAIL")</x:f>
        <x:v>PASS</x:v>
      </x:c>
    </x:row>
    <x:row r="1197">
      <x:c r="B1197" s="21" t="str">
        <x:v>A1191</x:v>
      </x:c>
      <x:c r="C1197" s="21" t="str">
        <x:v>paper gate</x:v>
      </x:c>
      <x:c r="D1197" s="21" t="str">
        <x:v>gate 266 binary observation</x:v>
      </x:c>
      <x:c r="E1197" s="21" t="n">
        <x:f>IF(OR('Paper Gates'!G266=0,'Paper Gates'!G266=1),1,0)</x:f>
        <x:v>1</x:v>
      </x:c>
      <x:c r="F1197" s="21" t="n">
        <x:v>1</x:v>
      </x:c>
      <x:c r="G1197" s="23" t="str">
        <x:f>IF(E1197=F1197,"PASS","FAIL")</x:f>
        <x:v>PASS</x:v>
      </x:c>
    </x:row>
    <x:row r="1198">
      <x:c r="B1198" s="21" t="str">
        <x:v>A1192</x:v>
      </x:c>
      <x:c r="C1198" s="21" t="str">
        <x:v>paper gate</x:v>
      </x:c>
      <x:c r="D1198" s="21" t="str">
        <x:v>gate 266 fixed requirement</x:v>
      </x:c>
      <x:c r="E1198" s="21" t="n">
        <x:f>IF('Paper Gates'!H266=1,1,0)</x:f>
        <x:v>1</x:v>
      </x:c>
      <x:c r="F1198" s="21" t="n">
        <x:v>1</x:v>
      </x:c>
      <x:c r="G1198" s="23" t="str">
        <x:f>IF(E1198=F1198,"PASS","FAIL")</x:f>
        <x:v>PASS</x:v>
      </x:c>
    </x:row>
    <x:row r="1199">
      <x:c r="B1199" s="21" t="str">
        <x:v>A1193</x:v>
      </x:c>
      <x:c r="C1199" s="21" t="str">
        <x:v>paper gate</x:v>
      </x:c>
      <x:c r="D1199" s="21" t="str">
        <x:v>gate 266 result reconciles</x:v>
      </x:c>
      <x:c r="E1199" s="21" t="n">
        <x:f>IF('Paper Gates'!I266=IF('Paper Gates'!G266='Paper Gates'!H266,"PASS","FAIL"),1,0)</x:f>
        <x:v>1</x:v>
      </x:c>
      <x:c r="F1199" s="21" t="n">
        <x:v>1</x:v>
      </x:c>
      <x:c r="G1199" s="23" t="str">
        <x:f>IF(E1199=F1199,"PASS","FAIL")</x:f>
        <x:v>PASS</x:v>
      </x:c>
    </x:row>
    <x:row r="1200">
      <x:c r="B1200" s="21" t="str">
        <x:v>A1194</x:v>
      </x:c>
      <x:c r="C1200" s="21" t="str">
        <x:v>paper gate</x:v>
      </x:c>
      <x:c r="D1200" s="21" t="str">
        <x:v>gate 267 binary observation</x:v>
      </x:c>
      <x:c r="E1200" s="21" t="n">
        <x:f>IF(OR('Paper Gates'!G267=0,'Paper Gates'!G267=1),1,0)</x:f>
        <x:v>1</x:v>
      </x:c>
      <x:c r="F1200" s="21" t="n">
        <x:v>1</x:v>
      </x:c>
      <x:c r="G1200" s="23" t="str">
        <x:f>IF(E1200=F1200,"PASS","FAIL")</x:f>
        <x:v>PASS</x:v>
      </x:c>
    </x:row>
    <x:row r="1201">
      <x:c r="B1201" s="21" t="str">
        <x:v>A1195</x:v>
      </x:c>
      <x:c r="C1201" s="21" t="str">
        <x:v>paper gate</x:v>
      </x:c>
      <x:c r="D1201" s="21" t="str">
        <x:v>gate 267 fixed requirement</x:v>
      </x:c>
      <x:c r="E1201" s="21" t="n">
        <x:f>IF('Paper Gates'!H267=1,1,0)</x:f>
        <x:v>1</x:v>
      </x:c>
      <x:c r="F1201" s="21" t="n">
        <x:v>1</x:v>
      </x:c>
      <x:c r="G1201" s="23" t="str">
        <x:f>IF(E1201=F1201,"PASS","FAIL")</x:f>
        <x:v>PASS</x:v>
      </x:c>
    </x:row>
    <x:row r="1202">
      <x:c r="B1202" s="21" t="str">
        <x:v>A1196</x:v>
      </x:c>
      <x:c r="C1202" s="21" t="str">
        <x:v>paper gate</x:v>
      </x:c>
      <x:c r="D1202" s="21" t="str">
        <x:v>gate 267 result reconciles</x:v>
      </x:c>
      <x:c r="E1202" s="21" t="n">
        <x:f>IF('Paper Gates'!I267=IF('Paper Gates'!G267='Paper Gates'!H267,"PASS","FAIL"),1,0)</x:f>
        <x:v>1</x:v>
      </x:c>
      <x:c r="F1202" s="21" t="n">
        <x:v>1</x:v>
      </x:c>
      <x:c r="G1202" s="23" t="str">
        <x:f>IF(E1202=F1202,"PASS","FAIL")</x:f>
        <x:v>PASS</x:v>
      </x:c>
    </x:row>
    <x:row r="1203">
      <x:c r="B1203" s="21" t="str">
        <x:v>A1197</x:v>
      </x:c>
      <x:c r="C1203" s="21" t="str">
        <x:v>paper gate</x:v>
      </x:c>
      <x:c r="D1203" s="21" t="str">
        <x:v>gate 268 binary observation</x:v>
      </x:c>
      <x:c r="E1203" s="21" t="n">
        <x:f>IF(OR('Paper Gates'!G268=0,'Paper Gates'!G268=1),1,0)</x:f>
        <x:v>1</x:v>
      </x:c>
      <x:c r="F1203" s="21" t="n">
        <x:v>1</x:v>
      </x:c>
      <x:c r="G1203" s="23" t="str">
        <x:f>IF(E1203=F1203,"PASS","FAIL")</x:f>
        <x:v>PASS</x:v>
      </x:c>
    </x:row>
    <x:row r="1204">
      <x:c r="B1204" s="21" t="str">
        <x:v>A1198</x:v>
      </x:c>
      <x:c r="C1204" s="21" t="str">
        <x:v>paper gate</x:v>
      </x:c>
      <x:c r="D1204" s="21" t="str">
        <x:v>gate 268 fixed requirement</x:v>
      </x:c>
      <x:c r="E1204" s="21" t="n">
        <x:f>IF('Paper Gates'!H268=1,1,0)</x:f>
        <x:v>1</x:v>
      </x:c>
      <x:c r="F1204" s="21" t="n">
        <x:v>1</x:v>
      </x:c>
      <x:c r="G1204" s="23" t="str">
        <x:f>IF(E1204=F1204,"PASS","FAIL")</x:f>
        <x:v>PASS</x:v>
      </x:c>
    </x:row>
    <x:row r="1205">
      <x:c r="B1205" s="21" t="str">
        <x:v>A1199</x:v>
      </x:c>
      <x:c r="C1205" s="21" t="str">
        <x:v>paper gate</x:v>
      </x:c>
      <x:c r="D1205" s="21" t="str">
        <x:v>gate 268 result reconciles</x:v>
      </x:c>
      <x:c r="E1205" s="21" t="n">
        <x:f>IF('Paper Gates'!I268=IF('Paper Gates'!G268='Paper Gates'!H268,"PASS","FAIL"),1,0)</x:f>
        <x:v>1</x:v>
      </x:c>
      <x:c r="F1205" s="21" t="n">
        <x:v>1</x:v>
      </x:c>
      <x:c r="G1205" s="23" t="str">
        <x:f>IF(E1205=F1205,"PASS","FAIL")</x:f>
        <x:v>PASS</x:v>
      </x:c>
    </x:row>
    <x:row r="1206">
      <x:c r="B1206" s="21" t="str">
        <x:v>A1200</x:v>
      </x:c>
      <x:c r="C1206" s="21" t="str">
        <x:v>paper gate</x:v>
      </x:c>
      <x:c r="D1206" s="21" t="str">
        <x:v>gate 269 binary observation</x:v>
      </x:c>
      <x:c r="E1206" s="21" t="n">
        <x:f>IF(OR('Paper Gates'!G269=0,'Paper Gates'!G269=1),1,0)</x:f>
        <x:v>1</x:v>
      </x:c>
      <x:c r="F1206" s="21" t="n">
        <x:v>1</x:v>
      </x:c>
      <x:c r="G1206" s="23" t="str">
        <x:f>IF(E1206=F1206,"PASS","FAIL")</x:f>
        <x:v>PASS</x:v>
      </x:c>
    </x:row>
    <x:row r="1207">
      <x:c r="B1207" s="21" t="str">
        <x:v>A1201</x:v>
      </x:c>
      <x:c r="C1207" s="21" t="str">
        <x:v>paper gate</x:v>
      </x:c>
      <x:c r="D1207" s="21" t="str">
        <x:v>gate 269 fixed requirement</x:v>
      </x:c>
      <x:c r="E1207" s="21" t="n">
        <x:f>IF('Paper Gates'!H269=1,1,0)</x:f>
        <x:v>1</x:v>
      </x:c>
      <x:c r="F1207" s="21" t="n">
        <x:v>1</x:v>
      </x:c>
      <x:c r="G1207" s="23" t="str">
        <x:f>IF(E1207=F1207,"PASS","FAIL")</x:f>
        <x:v>PASS</x:v>
      </x:c>
    </x:row>
    <x:row r="1208">
      <x:c r="B1208" s="21" t="str">
        <x:v>A1202</x:v>
      </x:c>
      <x:c r="C1208" s="21" t="str">
        <x:v>paper gate</x:v>
      </x:c>
      <x:c r="D1208" s="21" t="str">
        <x:v>gate 269 result reconciles</x:v>
      </x:c>
      <x:c r="E1208" s="21" t="n">
        <x:f>IF('Paper Gates'!I269=IF('Paper Gates'!G269='Paper Gates'!H269,"PASS","FAIL"),1,0)</x:f>
        <x:v>1</x:v>
      </x:c>
      <x:c r="F1208" s="21" t="n">
        <x:v>1</x:v>
      </x:c>
      <x:c r="G1208" s="23" t="str">
        <x:f>IF(E1208=F1208,"PASS","FAIL")</x:f>
        <x:v>PASS</x:v>
      </x:c>
    </x:row>
    <x:row r="1209">
      <x:c r="B1209" s="21" t="str">
        <x:v>A1203</x:v>
      </x:c>
      <x:c r="C1209" s="21" t="str">
        <x:v>paper gate</x:v>
      </x:c>
      <x:c r="D1209" s="21" t="str">
        <x:v>gate 270 binary observation</x:v>
      </x:c>
      <x:c r="E1209" s="21" t="n">
        <x:f>IF(OR('Paper Gates'!G270=0,'Paper Gates'!G270=1),1,0)</x:f>
        <x:v>1</x:v>
      </x:c>
      <x:c r="F1209" s="21" t="n">
        <x:v>1</x:v>
      </x:c>
      <x:c r="G1209" s="23" t="str">
        <x:f>IF(E1209=F1209,"PASS","FAIL")</x:f>
        <x:v>PASS</x:v>
      </x:c>
    </x:row>
    <x:row r="1210">
      <x:c r="B1210" s="21" t="str">
        <x:v>A1204</x:v>
      </x:c>
      <x:c r="C1210" s="21" t="str">
        <x:v>paper gate</x:v>
      </x:c>
      <x:c r="D1210" s="21" t="str">
        <x:v>gate 270 fixed requirement</x:v>
      </x:c>
      <x:c r="E1210" s="21" t="n">
        <x:f>IF('Paper Gates'!H270=1,1,0)</x:f>
        <x:v>1</x:v>
      </x:c>
      <x:c r="F1210" s="21" t="n">
        <x:v>1</x:v>
      </x:c>
      <x:c r="G1210" s="23" t="str">
        <x:f>IF(E1210=F1210,"PASS","FAIL")</x:f>
        <x:v>PASS</x:v>
      </x:c>
    </x:row>
    <x:row r="1211">
      <x:c r="B1211" s="21" t="str">
        <x:v>A1205</x:v>
      </x:c>
      <x:c r="C1211" s="21" t="str">
        <x:v>paper gate</x:v>
      </x:c>
      <x:c r="D1211" s="21" t="str">
        <x:v>gate 270 result reconciles</x:v>
      </x:c>
      <x:c r="E1211" s="21" t="n">
        <x:f>IF('Paper Gates'!I270=IF('Paper Gates'!G270='Paper Gates'!H270,"PASS","FAIL"),1,0)</x:f>
        <x:v>1</x:v>
      </x:c>
      <x:c r="F1211" s="21" t="n">
        <x:v>1</x:v>
      </x:c>
      <x:c r="G1211" s="23" t="str">
        <x:f>IF(E1211=F1211,"PASS","FAIL")</x:f>
        <x:v>PASS</x:v>
      </x:c>
    </x:row>
    <x:row r="1212">
      <x:c r="B1212" s="21" t="str">
        <x:v>A1206</x:v>
      </x:c>
      <x:c r="C1212" s="21" t="str">
        <x:v>paper gate</x:v>
      </x:c>
      <x:c r="D1212" s="21" t="str">
        <x:v>gate 271 binary observation</x:v>
      </x:c>
      <x:c r="E1212" s="21" t="n">
        <x:f>IF(OR('Paper Gates'!G271=0,'Paper Gates'!G271=1),1,0)</x:f>
        <x:v>1</x:v>
      </x:c>
      <x:c r="F1212" s="21" t="n">
        <x:v>1</x:v>
      </x:c>
      <x:c r="G1212" s="23" t="str">
        <x:f>IF(E1212=F1212,"PASS","FAIL")</x:f>
        <x:v>PASS</x:v>
      </x:c>
    </x:row>
    <x:row r="1213">
      <x:c r="B1213" s="21" t="str">
        <x:v>A1207</x:v>
      </x:c>
      <x:c r="C1213" s="21" t="str">
        <x:v>paper gate</x:v>
      </x:c>
      <x:c r="D1213" s="21" t="str">
        <x:v>gate 271 fixed requirement</x:v>
      </x:c>
      <x:c r="E1213" s="21" t="n">
        <x:f>IF('Paper Gates'!H271=1,1,0)</x:f>
        <x:v>1</x:v>
      </x:c>
      <x:c r="F1213" s="21" t="n">
        <x:v>1</x:v>
      </x:c>
      <x:c r="G1213" s="23" t="str">
        <x:f>IF(E1213=F1213,"PASS","FAIL")</x:f>
        <x:v>PASS</x:v>
      </x:c>
    </x:row>
    <x:row r="1214">
      <x:c r="B1214" s="21" t="str">
        <x:v>A1208</x:v>
      </x:c>
      <x:c r="C1214" s="21" t="str">
        <x:v>paper gate</x:v>
      </x:c>
      <x:c r="D1214" s="21" t="str">
        <x:v>gate 271 result reconciles</x:v>
      </x:c>
      <x:c r="E1214" s="21" t="n">
        <x:f>IF('Paper Gates'!I271=IF('Paper Gates'!G271='Paper Gates'!H271,"PASS","FAIL"),1,0)</x:f>
        <x:v>1</x:v>
      </x:c>
      <x:c r="F1214" s="21" t="n">
        <x:v>1</x:v>
      </x:c>
      <x:c r="G1214" s="23" t="str">
        <x:f>IF(E1214=F1214,"PASS","FAIL")</x:f>
        <x:v>PASS</x:v>
      </x:c>
    </x:row>
    <x:row r="1215">
      <x:c r="B1215" s="21" t="str">
        <x:v>A1209</x:v>
      </x:c>
      <x:c r="C1215" s="21" t="str">
        <x:v>paper gate</x:v>
      </x:c>
      <x:c r="D1215" s="21" t="str">
        <x:v>gate 272 binary observation</x:v>
      </x:c>
      <x:c r="E1215" s="21" t="n">
        <x:f>IF(OR('Paper Gates'!G272=0,'Paper Gates'!G272=1),1,0)</x:f>
        <x:v>1</x:v>
      </x:c>
      <x:c r="F1215" s="21" t="n">
        <x:v>1</x:v>
      </x:c>
      <x:c r="G1215" s="23" t="str">
        <x:f>IF(E1215=F1215,"PASS","FAIL")</x:f>
        <x:v>PASS</x:v>
      </x:c>
    </x:row>
    <x:row r="1216">
      <x:c r="B1216" s="21" t="str">
        <x:v>A1210</x:v>
      </x:c>
      <x:c r="C1216" s="21" t="str">
        <x:v>paper gate</x:v>
      </x:c>
      <x:c r="D1216" s="21" t="str">
        <x:v>gate 272 fixed requirement</x:v>
      </x:c>
      <x:c r="E1216" s="21" t="n">
        <x:f>IF('Paper Gates'!H272=1,1,0)</x:f>
        <x:v>1</x:v>
      </x:c>
      <x:c r="F1216" s="21" t="n">
        <x:v>1</x:v>
      </x:c>
      <x:c r="G1216" s="23" t="str">
        <x:f>IF(E1216=F1216,"PASS","FAIL")</x:f>
        <x:v>PASS</x:v>
      </x:c>
    </x:row>
    <x:row r="1217">
      <x:c r="B1217" s="21" t="str">
        <x:v>A1211</x:v>
      </x:c>
      <x:c r="C1217" s="21" t="str">
        <x:v>paper gate</x:v>
      </x:c>
      <x:c r="D1217" s="21" t="str">
        <x:v>gate 272 result reconciles</x:v>
      </x:c>
      <x:c r="E1217" s="21" t="n">
        <x:f>IF('Paper Gates'!I272=IF('Paper Gates'!G272='Paper Gates'!H272,"PASS","FAIL"),1,0)</x:f>
        <x:v>1</x:v>
      </x:c>
      <x:c r="F1217" s="21" t="n">
        <x:v>1</x:v>
      </x:c>
      <x:c r="G1217" s="23" t="str">
        <x:f>IF(E1217=F1217,"PASS","FAIL")</x:f>
        <x:v>PASS</x:v>
      </x:c>
    </x:row>
    <x:row r="1218">
      <x:c r="B1218" s="21" t="str">
        <x:v>A1212</x:v>
      </x:c>
      <x:c r="C1218" s="21" t="str">
        <x:v>paper gate</x:v>
      </x:c>
      <x:c r="D1218" s="21" t="str">
        <x:v>gate 273 binary observation</x:v>
      </x:c>
      <x:c r="E1218" s="21" t="n">
        <x:f>IF(OR('Paper Gates'!G273=0,'Paper Gates'!G273=1),1,0)</x:f>
        <x:v>1</x:v>
      </x:c>
      <x:c r="F1218" s="21" t="n">
        <x:v>1</x:v>
      </x:c>
      <x:c r="G1218" s="23" t="str">
        <x:f>IF(E1218=F1218,"PASS","FAIL")</x:f>
        <x:v>PASS</x:v>
      </x:c>
    </x:row>
    <x:row r="1219">
      <x:c r="B1219" s="21" t="str">
        <x:v>A1213</x:v>
      </x:c>
      <x:c r="C1219" s="21" t="str">
        <x:v>paper gate</x:v>
      </x:c>
      <x:c r="D1219" s="21" t="str">
        <x:v>gate 273 fixed requirement</x:v>
      </x:c>
      <x:c r="E1219" s="21" t="n">
        <x:f>IF('Paper Gates'!H273=1,1,0)</x:f>
        <x:v>1</x:v>
      </x:c>
      <x:c r="F1219" s="21" t="n">
        <x:v>1</x:v>
      </x:c>
      <x:c r="G1219" s="23" t="str">
        <x:f>IF(E1219=F1219,"PASS","FAIL")</x:f>
        <x:v>PASS</x:v>
      </x:c>
    </x:row>
    <x:row r="1220">
      <x:c r="B1220" s="21" t="str">
        <x:v>A1214</x:v>
      </x:c>
      <x:c r="C1220" s="21" t="str">
        <x:v>paper gate</x:v>
      </x:c>
      <x:c r="D1220" s="21" t="str">
        <x:v>gate 273 result reconciles</x:v>
      </x:c>
      <x:c r="E1220" s="21" t="n">
        <x:f>IF('Paper Gates'!I273=IF('Paper Gates'!G273='Paper Gates'!H273,"PASS","FAIL"),1,0)</x:f>
        <x:v>1</x:v>
      </x:c>
      <x:c r="F1220" s="21" t="n">
        <x:v>1</x:v>
      </x:c>
      <x:c r="G1220" s="23" t="str">
        <x:f>IF(E1220=F1220,"PASS","FAIL")</x:f>
        <x:v>PASS</x:v>
      </x:c>
    </x:row>
    <x:row r="1221">
      <x:c r="B1221" s="21" t="str">
        <x:v>A1215</x:v>
      </x:c>
      <x:c r="C1221" s="21" t="str">
        <x:v>paper gate</x:v>
      </x:c>
      <x:c r="D1221" s="21" t="str">
        <x:v>gate 274 binary observation</x:v>
      </x:c>
      <x:c r="E1221" s="21" t="n">
        <x:f>IF(OR('Paper Gates'!G274=0,'Paper Gates'!G274=1),1,0)</x:f>
        <x:v>1</x:v>
      </x:c>
      <x:c r="F1221" s="21" t="n">
        <x:v>1</x:v>
      </x:c>
      <x:c r="G1221" s="23" t="str">
        <x:f>IF(E1221=F1221,"PASS","FAIL")</x:f>
        <x:v>PASS</x:v>
      </x:c>
    </x:row>
    <x:row r="1222">
      <x:c r="B1222" s="21" t="str">
        <x:v>A1216</x:v>
      </x:c>
      <x:c r="C1222" s="21" t="str">
        <x:v>paper gate</x:v>
      </x:c>
      <x:c r="D1222" s="21" t="str">
        <x:v>gate 274 fixed requirement</x:v>
      </x:c>
      <x:c r="E1222" s="21" t="n">
        <x:f>IF('Paper Gates'!H274=1,1,0)</x:f>
        <x:v>1</x:v>
      </x:c>
      <x:c r="F1222" s="21" t="n">
        <x:v>1</x:v>
      </x:c>
      <x:c r="G1222" s="23" t="str">
        <x:f>IF(E1222=F1222,"PASS","FAIL")</x:f>
        <x:v>PASS</x:v>
      </x:c>
    </x:row>
    <x:row r="1223">
      <x:c r="B1223" s="21" t="str">
        <x:v>A1217</x:v>
      </x:c>
      <x:c r="C1223" s="21" t="str">
        <x:v>paper gate</x:v>
      </x:c>
      <x:c r="D1223" s="21" t="str">
        <x:v>gate 274 result reconciles</x:v>
      </x:c>
      <x:c r="E1223" s="21" t="n">
        <x:f>IF('Paper Gates'!I274=IF('Paper Gates'!G274='Paper Gates'!H274,"PASS","FAIL"),1,0)</x:f>
        <x:v>1</x:v>
      </x:c>
      <x:c r="F1223" s="21" t="n">
        <x:v>1</x:v>
      </x:c>
      <x:c r="G1223" s="23" t="str">
        <x:f>IF(E1223=F1223,"PASS","FAIL")</x:f>
        <x:v>PASS</x:v>
      </x:c>
    </x:row>
    <x:row r="1224">
      <x:c r="B1224" s="21" t="str">
        <x:v>A1218</x:v>
      </x:c>
      <x:c r="C1224" s="21" t="str">
        <x:v>paper gate</x:v>
      </x:c>
      <x:c r="D1224" s="21" t="str">
        <x:v>gate 275 binary observation</x:v>
      </x:c>
      <x:c r="E1224" s="21" t="n">
        <x:f>IF(OR('Paper Gates'!G275=0,'Paper Gates'!G275=1),1,0)</x:f>
        <x:v>1</x:v>
      </x:c>
      <x:c r="F1224" s="21" t="n">
        <x:v>1</x:v>
      </x:c>
      <x:c r="G1224" s="23" t="str">
        <x:f>IF(E1224=F1224,"PASS","FAIL")</x:f>
        <x:v>PASS</x:v>
      </x:c>
    </x:row>
    <x:row r="1225">
      <x:c r="B1225" s="21" t="str">
        <x:v>A1219</x:v>
      </x:c>
      <x:c r="C1225" s="21" t="str">
        <x:v>paper gate</x:v>
      </x:c>
      <x:c r="D1225" s="21" t="str">
        <x:v>gate 275 fixed requirement</x:v>
      </x:c>
      <x:c r="E1225" s="21" t="n">
        <x:f>IF('Paper Gates'!H275=1,1,0)</x:f>
        <x:v>1</x:v>
      </x:c>
      <x:c r="F1225" s="21" t="n">
        <x:v>1</x:v>
      </x:c>
      <x:c r="G1225" s="23" t="str">
        <x:f>IF(E1225=F1225,"PASS","FAIL")</x:f>
        <x:v>PASS</x:v>
      </x:c>
    </x:row>
    <x:row r="1226">
      <x:c r="B1226" s="21" t="str">
        <x:v>A1220</x:v>
      </x:c>
      <x:c r="C1226" s="21" t="str">
        <x:v>paper gate</x:v>
      </x:c>
      <x:c r="D1226" s="21" t="str">
        <x:v>gate 275 result reconciles</x:v>
      </x:c>
      <x:c r="E1226" s="21" t="n">
        <x:f>IF('Paper Gates'!I275=IF('Paper Gates'!G275='Paper Gates'!H275,"PASS","FAIL"),1,0)</x:f>
        <x:v>1</x:v>
      </x:c>
      <x:c r="F1226" s="21" t="n">
        <x:v>1</x:v>
      </x:c>
      <x:c r="G1226" s="23" t="str">
        <x:f>IF(E1226=F1226,"PASS","FAIL")</x:f>
        <x:v>PASS</x:v>
      </x:c>
    </x:row>
    <x:row r="1227">
      <x:c r="B1227" s="21" t="str">
        <x:v>A1221</x:v>
      </x:c>
      <x:c r="C1227" s="21" t="str">
        <x:v>paper gate</x:v>
      </x:c>
      <x:c r="D1227" s="21" t="str">
        <x:v>gate 276 binary observation</x:v>
      </x:c>
      <x:c r="E1227" s="21" t="n">
        <x:f>IF(OR('Paper Gates'!G276=0,'Paper Gates'!G276=1),1,0)</x:f>
        <x:v>1</x:v>
      </x:c>
      <x:c r="F1227" s="21" t="n">
        <x:v>1</x:v>
      </x:c>
      <x:c r="G1227" s="23" t="str">
        <x:f>IF(E1227=F1227,"PASS","FAIL")</x:f>
        <x:v>PASS</x:v>
      </x:c>
    </x:row>
    <x:row r="1228">
      <x:c r="B1228" s="21" t="str">
        <x:v>A1222</x:v>
      </x:c>
      <x:c r="C1228" s="21" t="str">
        <x:v>paper gate</x:v>
      </x:c>
      <x:c r="D1228" s="21" t="str">
        <x:v>gate 276 fixed requirement</x:v>
      </x:c>
      <x:c r="E1228" s="21" t="n">
        <x:f>IF('Paper Gates'!H276=1,1,0)</x:f>
        <x:v>1</x:v>
      </x:c>
      <x:c r="F1228" s="21" t="n">
        <x:v>1</x:v>
      </x:c>
      <x:c r="G1228" s="23" t="str">
        <x:f>IF(E1228=F1228,"PASS","FAIL")</x:f>
        <x:v>PASS</x:v>
      </x:c>
    </x:row>
    <x:row r="1229">
      <x:c r="B1229" s="21" t="str">
        <x:v>A1223</x:v>
      </x:c>
      <x:c r="C1229" s="21" t="str">
        <x:v>paper gate</x:v>
      </x:c>
      <x:c r="D1229" s="21" t="str">
        <x:v>gate 276 result reconciles</x:v>
      </x:c>
      <x:c r="E1229" s="21" t="n">
        <x:f>IF('Paper Gates'!I276=IF('Paper Gates'!G276='Paper Gates'!H276,"PASS","FAIL"),1,0)</x:f>
        <x:v>1</x:v>
      </x:c>
      <x:c r="F1229" s="21" t="n">
        <x:v>1</x:v>
      </x:c>
      <x:c r="G1229" s="23" t="str">
        <x:f>IF(E1229=F1229,"PASS","FAIL")</x:f>
        <x:v>PASS</x:v>
      </x:c>
    </x:row>
    <x:row r="1230">
      <x:c r="B1230" s="21" t="str">
        <x:v>A1224</x:v>
      </x:c>
      <x:c r="C1230" s="21" t="str">
        <x:v>paper gate</x:v>
      </x:c>
      <x:c r="D1230" s="21" t="str">
        <x:v>gate 277 binary observation</x:v>
      </x:c>
      <x:c r="E1230" s="21" t="n">
        <x:f>IF(OR('Paper Gates'!G277=0,'Paper Gates'!G277=1),1,0)</x:f>
        <x:v>1</x:v>
      </x:c>
      <x:c r="F1230" s="21" t="n">
        <x:v>1</x:v>
      </x:c>
      <x:c r="G1230" s="23" t="str">
        <x:f>IF(E1230=F1230,"PASS","FAIL")</x:f>
        <x:v>PASS</x:v>
      </x:c>
    </x:row>
    <x:row r="1231">
      <x:c r="B1231" s="21" t="str">
        <x:v>A1225</x:v>
      </x:c>
      <x:c r="C1231" s="21" t="str">
        <x:v>paper gate</x:v>
      </x:c>
      <x:c r="D1231" s="21" t="str">
        <x:v>gate 277 fixed requirement</x:v>
      </x:c>
      <x:c r="E1231" s="21" t="n">
        <x:f>IF('Paper Gates'!H277=1,1,0)</x:f>
        <x:v>1</x:v>
      </x:c>
      <x:c r="F1231" s="21" t="n">
        <x:v>1</x:v>
      </x:c>
      <x:c r="G1231" s="23" t="str">
        <x:f>IF(E1231=F1231,"PASS","FAIL")</x:f>
        <x:v>PASS</x:v>
      </x:c>
    </x:row>
    <x:row r="1232">
      <x:c r="B1232" s="21" t="str">
        <x:v>A1226</x:v>
      </x:c>
      <x:c r="C1232" s="21" t="str">
        <x:v>paper gate</x:v>
      </x:c>
      <x:c r="D1232" s="21" t="str">
        <x:v>gate 277 result reconciles</x:v>
      </x:c>
      <x:c r="E1232" s="21" t="n">
        <x:f>IF('Paper Gates'!I277=IF('Paper Gates'!G277='Paper Gates'!H277,"PASS","FAIL"),1,0)</x:f>
        <x:v>1</x:v>
      </x:c>
      <x:c r="F1232" s="21" t="n">
        <x:v>1</x:v>
      </x:c>
      <x:c r="G1232" s="23" t="str">
        <x:f>IF(E1232=F1232,"PASS","FAIL")</x:f>
        <x:v>PASS</x:v>
      </x:c>
    </x:row>
    <x:row r="1233">
      <x:c r="B1233" s="21" t="str">
        <x:v>A1227</x:v>
      </x:c>
      <x:c r="C1233" s="21" t="str">
        <x:v>paper gate</x:v>
      </x:c>
      <x:c r="D1233" s="21" t="str">
        <x:v>gate 278 binary observation</x:v>
      </x:c>
      <x:c r="E1233" s="21" t="n">
        <x:f>IF(OR('Paper Gates'!G278=0,'Paper Gates'!G278=1),1,0)</x:f>
        <x:v>1</x:v>
      </x:c>
      <x:c r="F1233" s="21" t="n">
        <x:v>1</x:v>
      </x:c>
      <x:c r="G1233" s="23" t="str">
        <x:f>IF(E1233=F1233,"PASS","FAIL")</x:f>
        <x:v>PASS</x:v>
      </x:c>
    </x:row>
    <x:row r="1234">
      <x:c r="B1234" s="21" t="str">
        <x:v>A1228</x:v>
      </x:c>
      <x:c r="C1234" s="21" t="str">
        <x:v>paper gate</x:v>
      </x:c>
      <x:c r="D1234" s="21" t="str">
        <x:v>gate 278 fixed requirement</x:v>
      </x:c>
      <x:c r="E1234" s="21" t="n">
        <x:f>IF('Paper Gates'!H278=1,1,0)</x:f>
        <x:v>1</x:v>
      </x:c>
      <x:c r="F1234" s="21" t="n">
        <x:v>1</x:v>
      </x:c>
      <x:c r="G1234" s="23" t="str">
        <x:f>IF(E1234=F1234,"PASS","FAIL")</x:f>
        <x:v>PASS</x:v>
      </x:c>
    </x:row>
    <x:row r="1235">
      <x:c r="B1235" s="21" t="str">
        <x:v>A1229</x:v>
      </x:c>
      <x:c r="C1235" s="21" t="str">
        <x:v>paper gate</x:v>
      </x:c>
      <x:c r="D1235" s="21" t="str">
        <x:v>gate 278 result reconciles</x:v>
      </x:c>
      <x:c r="E1235" s="21" t="n">
        <x:f>IF('Paper Gates'!I278=IF('Paper Gates'!G278='Paper Gates'!H278,"PASS","FAIL"),1,0)</x:f>
        <x:v>1</x:v>
      </x:c>
      <x:c r="F1235" s="21" t="n">
        <x:v>1</x:v>
      </x:c>
      <x:c r="G1235" s="23" t="str">
        <x:f>IF(E1235=F1235,"PASS","FAIL")</x:f>
        <x:v>PASS</x:v>
      </x:c>
    </x:row>
    <x:row r="1236">
      <x:c r="B1236" s="21" t="str">
        <x:v>A1230</x:v>
      </x:c>
      <x:c r="C1236" s="21" t="str">
        <x:v>paper gate</x:v>
      </x:c>
      <x:c r="D1236" s="21" t="str">
        <x:v>gate 279 binary observation</x:v>
      </x:c>
      <x:c r="E1236" s="21" t="n">
        <x:f>IF(OR('Paper Gates'!G279=0,'Paper Gates'!G279=1),1,0)</x:f>
        <x:v>1</x:v>
      </x:c>
      <x:c r="F1236" s="21" t="n">
        <x:v>1</x:v>
      </x:c>
      <x:c r="G1236" s="23" t="str">
        <x:f>IF(E1236=F1236,"PASS","FAIL")</x:f>
        <x:v>PASS</x:v>
      </x:c>
    </x:row>
    <x:row r="1237">
      <x:c r="B1237" s="21" t="str">
        <x:v>A1231</x:v>
      </x:c>
      <x:c r="C1237" s="21" t="str">
        <x:v>paper gate</x:v>
      </x:c>
      <x:c r="D1237" s="21" t="str">
        <x:v>gate 279 fixed requirement</x:v>
      </x:c>
      <x:c r="E1237" s="21" t="n">
        <x:f>IF('Paper Gates'!H279=1,1,0)</x:f>
        <x:v>1</x:v>
      </x:c>
      <x:c r="F1237" s="21" t="n">
        <x:v>1</x:v>
      </x:c>
      <x:c r="G1237" s="23" t="str">
        <x:f>IF(E1237=F1237,"PASS","FAIL")</x:f>
        <x:v>PASS</x:v>
      </x:c>
    </x:row>
    <x:row r="1238">
      <x:c r="B1238" s="21" t="str">
        <x:v>A1232</x:v>
      </x:c>
      <x:c r="C1238" s="21" t="str">
        <x:v>paper gate</x:v>
      </x:c>
      <x:c r="D1238" s="21" t="str">
        <x:v>gate 279 result reconciles</x:v>
      </x:c>
      <x:c r="E1238" s="21" t="n">
        <x:f>IF('Paper Gates'!I279=IF('Paper Gates'!G279='Paper Gates'!H279,"PASS","FAIL"),1,0)</x:f>
        <x:v>1</x:v>
      </x:c>
      <x:c r="F1238" s="21" t="n">
        <x:v>1</x:v>
      </x:c>
      <x:c r="G1238" s="23" t="str">
        <x:f>IF(E1238=F1238,"PASS","FAIL")</x:f>
        <x:v>PASS</x:v>
      </x:c>
    </x:row>
    <x:row r="1239">
      <x:c r="B1239" s="21" t="str">
        <x:v>A1233</x:v>
      </x:c>
      <x:c r="C1239" s="21" t="str">
        <x:v>paper gate</x:v>
      </x:c>
      <x:c r="D1239" s="21" t="str">
        <x:v>gate 280 binary observation</x:v>
      </x:c>
      <x:c r="E1239" s="21" t="n">
        <x:f>IF(OR('Paper Gates'!G280=0,'Paper Gates'!G280=1),1,0)</x:f>
        <x:v>1</x:v>
      </x:c>
      <x:c r="F1239" s="21" t="n">
        <x:v>1</x:v>
      </x:c>
      <x:c r="G1239" s="23" t="str">
        <x:f>IF(E1239=F1239,"PASS","FAIL")</x:f>
        <x:v>PASS</x:v>
      </x:c>
    </x:row>
    <x:row r="1240">
      <x:c r="B1240" s="21" t="str">
        <x:v>A1234</x:v>
      </x:c>
      <x:c r="C1240" s="21" t="str">
        <x:v>paper gate</x:v>
      </x:c>
      <x:c r="D1240" s="21" t="str">
        <x:v>gate 280 fixed requirement</x:v>
      </x:c>
      <x:c r="E1240" s="21" t="n">
        <x:f>IF('Paper Gates'!H280=1,1,0)</x:f>
        <x:v>1</x:v>
      </x:c>
      <x:c r="F1240" s="21" t="n">
        <x:v>1</x:v>
      </x:c>
      <x:c r="G1240" s="23" t="str">
        <x:f>IF(E1240=F1240,"PASS","FAIL")</x:f>
        <x:v>PASS</x:v>
      </x:c>
    </x:row>
    <x:row r="1241">
      <x:c r="B1241" s="21" t="str">
        <x:v>A1235</x:v>
      </x:c>
      <x:c r="C1241" s="21" t="str">
        <x:v>paper gate</x:v>
      </x:c>
      <x:c r="D1241" s="21" t="str">
        <x:v>gate 280 result reconciles</x:v>
      </x:c>
      <x:c r="E1241" s="21" t="n">
        <x:f>IF('Paper Gates'!I280=IF('Paper Gates'!G280='Paper Gates'!H280,"PASS","FAIL"),1,0)</x:f>
        <x:v>1</x:v>
      </x:c>
      <x:c r="F1241" s="21" t="n">
        <x:v>1</x:v>
      </x:c>
      <x:c r="G1241" s="23" t="str">
        <x:f>IF(E1241=F1241,"PASS","FAIL")</x:f>
        <x:v>PASS</x:v>
      </x:c>
    </x:row>
    <x:row r="1242">
      <x:c r="B1242" s="21" t="str">
        <x:v>A1236</x:v>
      </x:c>
      <x:c r="C1242" s="21" t="str">
        <x:v>paper gate</x:v>
      </x:c>
      <x:c r="D1242" s="21" t="str">
        <x:v>gate 281 binary observation</x:v>
      </x:c>
      <x:c r="E1242" s="21" t="n">
        <x:f>IF(OR('Paper Gates'!G281=0,'Paper Gates'!G281=1),1,0)</x:f>
        <x:v>1</x:v>
      </x:c>
      <x:c r="F1242" s="21" t="n">
        <x:v>1</x:v>
      </x:c>
      <x:c r="G1242" s="23" t="str">
        <x:f>IF(E1242=F1242,"PASS","FAIL")</x:f>
        <x:v>PASS</x:v>
      </x:c>
    </x:row>
    <x:row r="1243">
      <x:c r="B1243" s="21" t="str">
        <x:v>A1237</x:v>
      </x:c>
      <x:c r="C1243" s="21" t="str">
        <x:v>paper gate</x:v>
      </x:c>
      <x:c r="D1243" s="21" t="str">
        <x:v>gate 281 fixed requirement</x:v>
      </x:c>
      <x:c r="E1243" s="21" t="n">
        <x:f>IF('Paper Gates'!H281=1,1,0)</x:f>
        <x:v>1</x:v>
      </x:c>
      <x:c r="F1243" s="21" t="n">
        <x:v>1</x:v>
      </x:c>
      <x:c r="G1243" s="23" t="str">
        <x:f>IF(E1243=F1243,"PASS","FAIL")</x:f>
        <x:v>PASS</x:v>
      </x:c>
    </x:row>
    <x:row r="1244">
      <x:c r="B1244" s="21" t="str">
        <x:v>A1238</x:v>
      </x:c>
      <x:c r="C1244" s="21" t="str">
        <x:v>paper gate</x:v>
      </x:c>
      <x:c r="D1244" s="21" t="str">
        <x:v>gate 281 result reconciles</x:v>
      </x:c>
      <x:c r="E1244" s="21" t="n">
        <x:f>IF('Paper Gates'!I281=IF('Paper Gates'!G281='Paper Gates'!H281,"PASS","FAIL"),1,0)</x:f>
        <x:v>1</x:v>
      </x:c>
      <x:c r="F1244" s="21" t="n">
        <x:v>1</x:v>
      </x:c>
      <x:c r="G1244" s="23" t="str">
        <x:f>IF(E1244=F1244,"PASS","FAIL")</x:f>
        <x:v>PASS</x:v>
      </x:c>
    </x:row>
    <x:row r="1245">
      <x:c r="B1245" s="21" t="str">
        <x:v>A1239</x:v>
      </x:c>
      <x:c r="C1245" s="21" t="str">
        <x:v>paper gate</x:v>
      </x:c>
      <x:c r="D1245" s="21" t="str">
        <x:v>gate 282 binary observation</x:v>
      </x:c>
      <x:c r="E1245" s="21" t="n">
        <x:f>IF(OR('Paper Gates'!G282=0,'Paper Gates'!G282=1),1,0)</x:f>
        <x:v>1</x:v>
      </x:c>
      <x:c r="F1245" s="21" t="n">
        <x:v>1</x:v>
      </x:c>
      <x:c r="G1245" s="23" t="str">
        <x:f>IF(E1245=F1245,"PASS","FAIL")</x:f>
        <x:v>PASS</x:v>
      </x:c>
    </x:row>
    <x:row r="1246">
      <x:c r="B1246" s="21" t="str">
        <x:v>A1240</x:v>
      </x:c>
      <x:c r="C1246" s="21" t="str">
        <x:v>paper gate</x:v>
      </x:c>
      <x:c r="D1246" s="21" t="str">
        <x:v>gate 282 fixed requirement</x:v>
      </x:c>
      <x:c r="E1246" s="21" t="n">
        <x:f>IF('Paper Gates'!H282=1,1,0)</x:f>
        <x:v>1</x:v>
      </x:c>
      <x:c r="F1246" s="21" t="n">
        <x:v>1</x:v>
      </x:c>
      <x:c r="G1246" s="23" t="str">
        <x:f>IF(E1246=F1246,"PASS","FAIL")</x:f>
        <x:v>PASS</x:v>
      </x:c>
    </x:row>
    <x:row r="1247">
      <x:c r="B1247" s="21" t="str">
        <x:v>A1241</x:v>
      </x:c>
      <x:c r="C1247" s="21" t="str">
        <x:v>paper gate</x:v>
      </x:c>
      <x:c r="D1247" s="21" t="str">
        <x:v>gate 282 result reconciles</x:v>
      </x:c>
      <x:c r="E1247" s="21" t="n">
        <x:f>IF('Paper Gates'!I282=IF('Paper Gates'!G282='Paper Gates'!H282,"PASS","FAIL"),1,0)</x:f>
        <x:v>1</x:v>
      </x:c>
      <x:c r="F1247" s="21" t="n">
        <x:v>1</x:v>
      </x:c>
      <x:c r="G1247" s="23" t="str">
        <x:f>IF(E1247=F1247,"PASS","FAIL")</x:f>
        <x:v>PASS</x:v>
      </x:c>
    </x:row>
    <x:row r="1248">
      <x:c r="B1248" s="21" t="str">
        <x:v>A1242</x:v>
      </x:c>
      <x:c r="C1248" s="21" t="str">
        <x:v>paper gate</x:v>
      </x:c>
      <x:c r="D1248" s="21" t="str">
        <x:v>gate 283 binary observation</x:v>
      </x:c>
      <x:c r="E1248" s="21" t="n">
        <x:f>IF(OR('Paper Gates'!G283=0,'Paper Gates'!G283=1),1,0)</x:f>
        <x:v>1</x:v>
      </x:c>
      <x:c r="F1248" s="21" t="n">
        <x:v>1</x:v>
      </x:c>
      <x:c r="G1248" s="23" t="str">
        <x:f>IF(E1248=F1248,"PASS","FAIL")</x:f>
        <x:v>PASS</x:v>
      </x:c>
    </x:row>
    <x:row r="1249">
      <x:c r="B1249" s="21" t="str">
        <x:v>A1243</x:v>
      </x:c>
      <x:c r="C1249" s="21" t="str">
        <x:v>paper gate</x:v>
      </x:c>
      <x:c r="D1249" s="21" t="str">
        <x:v>gate 283 fixed requirement</x:v>
      </x:c>
      <x:c r="E1249" s="21" t="n">
        <x:f>IF('Paper Gates'!H283=1,1,0)</x:f>
        <x:v>1</x:v>
      </x:c>
      <x:c r="F1249" s="21" t="n">
        <x:v>1</x:v>
      </x:c>
      <x:c r="G1249" s="23" t="str">
        <x:f>IF(E1249=F1249,"PASS","FAIL")</x:f>
        <x:v>PASS</x:v>
      </x:c>
    </x:row>
    <x:row r="1250">
      <x:c r="B1250" s="21" t="str">
        <x:v>A1244</x:v>
      </x:c>
      <x:c r="C1250" s="21" t="str">
        <x:v>paper gate</x:v>
      </x:c>
      <x:c r="D1250" s="21" t="str">
        <x:v>gate 283 result reconciles</x:v>
      </x:c>
      <x:c r="E1250" s="21" t="n">
        <x:f>IF('Paper Gates'!I283=IF('Paper Gates'!G283='Paper Gates'!H283,"PASS","FAIL"),1,0)</x:f>
        <x:v>1</x:v>
      </x:c>
      <x:c r="F1250" s="21" t="n">
        <x:v>1</x:v>
      </x:c>
      <x:c r="G1250" s="23" t="str">
        <x:f>IF(E1250=F1250,"PASS","FAIL")</x:f>
        <x:v>PASS</x:v>
      </x:c>
    </x:row>
    <x:row r="1251">
      <x:c r="B1251" s="21" t="str">
        <x:v>A1245</x:v>
      </x:c>
      <x:c r="C1251" s="21" t="str">
        <x:v>paper gate</x:v>
      </x:c>
      <x:c r="D1251" s="21" t="str">
        <x:v>gate 284 binary observation</x:v>
      </x:c>
      <x:c r="E1251" s="21" t="n">
        <x:f>IF(OR('Paper Gates'!G284=0,'Paper Gates'!G284=1),1,0)</x:f>
        <x:v>1</x:v>
      </x:c>
      <x:c r="F1251" s="21" t="n">
        <x:v>1</x:v>
      </x:c>
      <x:c r="G1251" s="23" t="str">
        <x:f>IF(E1251=F1251,"PASS","FAIL")</x:f>
        <x:v>PASS</x:v>
      </x:c>
    </x:row>
    <x:row r="1252">
      <x:c r="B1252" s="21" t="str">
        <x:v>A1246</x:v>
      </x:c>
      <x:c r="C1252" s="21" t="str">
        <x:v>paper gate</x:v>
      </x:c>
      <x:c r="D1252" s="21" t="str">
        <x:v>gate 284 fixed requirement</x:v>
      </x:c>
      <x:c r="E1252" s="21" t="n">
        <x:f>IF('Paper Gates'!H284=1,1,0)</x:f>
        <x:v>1</x:v>
      </x:c>
      <x:c r="F1252" s="21" t="n">
        <x:v>1</x:v>
      </x:c>
      <x:c r="G1252" s="23" t="str">
        <x:f>IF(E1252=F1252,"PASS","FAIL")</x:f>
        <x:v>PASS</x:v>
      </x:c>
    </x:row>
    <x:row r="1253">
      <x:c r="B1253" s="21" t="str">
        <x:v>A1247</x:v>
      </x:c>
      <x:c r="C1253" s="21" t="str">
        <x:v>paper gate</x:v>
      </x:c>
      <x:c r="D1253" s="21" t="str">
        <x:v>gate 284 result reconciles</x:v>
      </x:c>
      <x:c r="E1253" s="21" t="n">
        <x:f>IF('Paper Gates'!I284=IF('Paper Gates'!G284='Paper Gates'!H284,"PASS","FAIL"),1,0)</x:f>
        <x:v>1</x:v>
      </x:c>
      <x:c r="F1253" s="21" t="n">
        <x:v>1</x:v>
      </x:c>
      <x:c r="G1253" s="23" t="str">
        <x:f>IF(E1253=F1253,"PASS","FAIL")</x:f>
        <x:v>PASS</x:v>
      </x:c>
    </x:row>
    <x:row r="1254">
      <x:c r="B1254" s="21" t="str">
        <x:v>A1248</x:v>
      </x:c>
      <x:c r="C1254" s="21" t="str">
        <x:v>paper gate</x:v>
      </x:c>
      <x:c r="D1254" s="21" t="str">
        <x:v>gate 285 binary observation</x:v>
      </x:c>
      <x:c r="E1254" s="21" t="n">
        <x:f>IF(OR('Paper Gates'!G285=0,'Paper Gates'!G285=1),1,0)</x:f>
        <x:v>1</x:v>
      </x:c>
      <x:c r="F1254" s="21" t="n">
        <x:v>1</x:v>
      </x:c>
      <x:c r="G1254" s="23" t="str">
        <x:f>IF(E1254=F1254,"PASS","FAIL")</x:f>
        <x:v>PASS</x:v>
      </x:c>
    </x:row>
    <x:row r="1255">
      <x:c r="B1255" s="21" t="str">
        <x:v>A1249</x:v>
      </x:c>
      <x:c r="C1255" s="21" t="str">
        <x:v>paper gate</x:v>
      </x:c>
      <x:c r="D1255" s="21" t="str">
        <x:v>gate 285 fixed requirement</x:v>
      </x:c>
      <x:c r="E1255" s="21" t="n">
        <x:f>IF('Paper Gates'!H285=1,1,0)</x:f>
        <x:v>1</x:v>
      </x:c>
      <x:c r="F1255" s="21" t="n">
        <x:v>1</x:v>
      </x:c>
      <x:c r="G1255" s="23" t="str">
        <x:f>IF(E1255=F1255,"PASS","FAIL")</x:f>
        <x:v>PASS</x:v>
      </x:c>
    </x:row>
    <x:row r="1256">
      <x:c r="B1256" s="21" t="str">
        <x:v>A1250</x:v>
      </x:c>
      <x:c r="C1256" s="21" t="str">
        <x:v>paper gate</x:v>
      </x:c>
      <x:c r="D1256" s="21" t="str">
        <x:v>gate 285 result reconciles</x:v>
      </x:c>
      <x:c r="E1256" s="21" t="n">
        <x:f>IF('Paper Gates'!I285=IF('Paper Gates'!G285='Paper Gates'!H285,"PASS","FAIL"),1,0)</x:f>
        <x:v>1</x:v>
      </x:c>
      <x:c r="F1256" s="21" t="n">
        <x:v>1</x:v>
      </x:c>
      <x:c r="G1256" s="23" t="str">
        <x:f>IF(E1256=F1256,"PASS","FAIL")</x:f>
        <x:v>PASS</x:v>
      </x:c>
    </x:row>
    <x:row r="1257">
      <x:c r="B1257" s="21" t="str">
        <x:v>A1251</x:v>
      </x:c>
      <x:c r="C1257" s="21" t="str">
        <x:v>paper gate</x:v>
      </x:c>
      <x:c r="D1257" s="21" t="str">
        <x:v>gate 286 binary observation</x:v>
      </x:c>
      <x:c r="E1257" s="21" t="n">
        <x:f>IF(OR('Paper Gates'!G286=0,'Paper Gates'!G286=1),1,0)</x:f>
        <x:v>1</x:v>
      </x:c>
      <x:c r="F1257" s="21" t="n">
        <x:v>1</x:v>
      </x:c>
      <x:c r="G1257" s="23" t="str">
        <x:f>IF(E1257=F1257,"PASS","FAIL")</x:f>
        <x:v>PASS</x:v>
      </x:c>
    </x:row>
    <x:row r="1258">
      <x:c r="B1258" s="21" t="str">
        <x:v>A1252</x:v>
      </x:c>
      <x:c r="C1258" s="21" t="str">
        <x:v>paper gate</x:v>
      </x:c>
      <x:c r="D1258" s="21" t="str">
        <x:v>gate 286 fixed requirement</x:v>
      </x:c>
      <x:c r="E1258" s="21" t="n">
        <x:f>IF('Paper Gates'!H286=1,1,0)</x:f>
        <x:v>1</x:v>
      </x:c>
      <x:c r="F1258" s="21" t="n">
        <x:v>1</x:v>
      </x:c>
      <x:c r="G1258" s="23" t="str">
        <x:f>IF(E1258=F1258,"PASS","FAIL")</x:f>
        <x:v>PASS</x:v>
      </x:c>
    </x:row>
    <x:row r="1259">
      <x:c r="B1259" s="21" t="str">
        <x:v>A1253</x:v>
      </x:c>
      <x:c r="C1259" s="21" t="str">
        <x:v>paper gate</x:v>
      </x:c>
      <x:c r="D1259" s="21" t="str">
        <x:v>gate 286 result reconciles</x:v>
      </x:c>
      <x:c r="E1259" s="21" t="n">
        <x:f>IF('Paper Gates'!I286=IF('Paper Gates'!G286='Paper Gates'!H286,"PASS","FAIL"),1,0)</x:f>
        <x:v>1</x:v>
      </x:c>
      <x:c r="F1259" s="21" t="n">
        <x:v>1</x:v>
      </x:c>
      <x:c r="G1259" s="23" t="str">
        <x:f>IF(E1259=F1259,"PASS","FAIL")</x:f>
        <x:v>PASS</x:v>
      </x:c>
    </x:row>
    <x:row r="1260">
      <x:c r="B1260" s="21" t="str">
        <x:v>A1254</x:v>
      </x:c>
      <x:c r="C1260" s="21" t="str">
        <x:v>paper gate</x:v>
      </x:c>
      <x:c r="D1260" s="21" t="str">
        <x:v>gate 287 binary observation</x:v>
      </x:c>
      <x:c r="E1260" s="21" t="n">
        <x:f>IF(OR('Paper Gates'!G287=0,'Paper Gates'!G287=1),1,0)</x:f>
        <x:v>1</x:v>
      </x:c>
      <x:c r="F1260" s="21" t="n">
        <x:v>1</x:v>
      </x:c>
      <x:c r="G1260" s="23" t="str">
        <x:f>IF(E1260=F1260,"PASS","FAIL")</x:f>
        <x:v>PASS</x:v>
      </x:c>
    </x:row>
    <x:row r="1261">
      <x:c r="B1261" s="21" t="str">
        <x:v>A1255</x:v>
      </x:c>
      <x:c r="C1261" s="21" t="str">
        <x:v>paper gate</x:v>
      </x:c>
      <x:c r="D1261" s="21" t="str">
        <x:v>gate 287 fixed requirement</x:v>
      </x:c>
      <x:c r="E1261" s="21" t="n">
        <x:f>IF('Paper Gates'!H287=1,1,0)</x:f>
        <x:v>1</x:v>
      </x:c>
      <x:c r="F1261" s="21" t="n">
        <x:v>1</x:v>
      </x:c>
      <x:c r="G1261" s="23" t="str">
        <x:f>IF(E1261=F1261,"PASS","FAIL")</x:f>
        <x:v>PASS</x:v>
      </x:c>
    </x:row>
    <x:row r="1262">
      <x:c r="B1262" s="21" t="str">
        <x:v>A1256</x:v>
      </x:c>
      <x:c r="C1262" s="21" t="str">
        <x:v>paper gate</x:v>
      </x:c>
      <x:c r="D1262" s="21" t="str">
        <x:v>gate 287 result reconciles</x:v>
      </x:c>
      <x:c r="E1262" s="21" t="n">
        <x:f>IF('Paper Gates'!I287=IF('Paper Gates'!G287='Paper Gates'!H287,"PASS","FAIL"),1,0)</x:f>
        <x:v>1</x:v>
      </x:c>
      <x:c r="F1262" s="21" t="n">
        <x:v>1</x:v>
      </x:c>
      <x:c r="G1262" s="23" t="str">
        <x:f>IF(E1262=F1262,"PASS","FAIL")</x:f>
        <x:v>PASS</x:v>
      </x:c>
    </x:row>
    <x:row r="1263">
      <x:c r="B1263" s="21" t="str">
        <x:v>A1257</x:v>
      </x:c>
      <x:c r="C1263" s="21" t="str">
        <x:v>paper gate</x:v>
      </x:c>
      <x:c r="D1263" s="21" t="str">
        <x:v>gate 288 binary observation</x:v>
      </x:c>
      <x:c r="E1263" s="21" t="n">
        <x:f>IF(OR('Paper Gates'!G288=0,'Paper Gates'!G288=1),1,0)</x:f>
        <x:v>1</x:v>
      </x:c>
      <x:c r="F1263" s="21" t="n">
        <x:v>1</x:v>
      </x:c>
      <x:c r="G1263" s="23" t="str">
        <x:f>IF(E1263=F1263,"PASS","FAIL")</x:f>
        <x:v>PASS</x:v>
      </x:c>
    </x:row>
    <x:row r="1264">
      <x:c r="B1264" s="21" t="str">
        <x:v>A1258</x:v>
      </x:c>
      <x:c r="C1264" s="21" t="str">
        <x:v>paper gate</x:v>
      </x:c>
      <x:c r="D1264" s="21" t="str">
        <x:v>gate 288 fixed requirement</x:v>
      </x:c>
      <x:c r="E1264" s="21" t="n">
        <x:f>IF('Paper Gates'!H288=1,1,0)</x:f>
        <x:v>1</x:v>
      </x:c>
      <x:c r="F1264" s="21" t="n">
        <x:v>1</x:v>
      </x:c>
      <x:c r="G1264" s="23" t="str">
        <x:f>IF(E1264=F1264,"PASS","FAIL")</x:f>
        <x:v>PASS</x:v>
      </x:c>
    </x:row>
    <x:row r="1265">
      <x:c r="B1265" s="21" t="str">
        <x:v>A1259</x:v>
      </x:c>
      <x:c r="C1265" s="21" t="str">
        <x:v>paper gate</x:v>
      </x:c>
      <x:c r="D1265" s="21" t="str">
        <x:v>gate 288 result reconciles</x:v>
      </x:c>
      <x:c r="E1265" s="21" t="n">
        <x:f>IF('Paper Gates'!I288=IF('Paper Gates'!G288='Paper Gates'!H288,"PASS","FAIL"),1,0)</x:f>
        <x:v>1</x:v>
      </x:c>
      <x:c r="F1265" s="21" t="n">
        <x:v>1</x:v>
      </x:c>
      <x:c r="G1265" s="23" t="str">
        <x:f>IF(E1265=F1265,"PASS","FAIL")</x:f>
        <x:v>PASS</x:v>
      </x:c>
    </x:row>
    <x:row r="1266">
      <x:c r="B1266" s="21" t="str">
        <x:v>A1260</x:v>
      </x:c>
      <x:c r="C1266" s="21" t="str">
        <x:v>paper gate</x:v>
      </x:c>
      <x:c r="D1266" s="21" t="str">
        <x:v>gate 289 binary observation</x:v>
      </x:c>
      <x:c r="E1266" s="21" t="n">
        <x:f>IF(OR('Paper Gates'!G289=0,'Paper Gates'!G289=1),1,0)</x:f>
        <x:v>1</x:v>
      </x:c>
      <x:c r="F1266" s="21" t="n">
        <x:v>1</x:v>
      </x:c>
      <x:c r="G1266" s="23" t="str">
        <x:f>IF(E1266=F1266,"PASS","FAIL")</x:f>
        <x:v>PASS</x:v>
      </x:c>
    </x:row>
    <x:row r="1267">
      <x:c r="B1267" s="21" t="str">
        <x:v>A1261</x:v>
      </x:c>
      <x:c r="C1267" s="21" t="str">
        <x:v>paper gate</x:v>
      </x:c>
      <x:c r="D1267" s="21" t="str">
        <x:v>gate 289 fixed requirement</x:v>
      </x:c>
      <x:c r="E1267" s="21" t="n">
        <x:f>IF('Paper Gates'!H289=1,1,0)</x:f>
        <x:v>1</x:v>
      </x:c>
      <x:c r="F1267" s="21" t="n">
        <x:v>1</x:v>
      </x:c>
      <x:c r="G1267" s="23" t="str">
        <x:f>IF(E1267=F1267,"PASS","FAIL")</x:f>
        <x:v>PASS</x:v>
      </x:c>
    </x:row>
    <x:row r="1268">
      <x:c r="B1268" s="21" t="str">
        <x:v>A1262</x:v>
      </x:c>
      <x:c r="C1268" s="21" t="str">
        <x:v>paper gate</x:v>
      </x:c>
      <x:c r="D1268" s="21" t="str">
        <x:v>gate 289 result reconciles</x:v>
      </x:c>
      <x:c r="E1268" s="21" t="n">
        <x:f>IF('Paper Gates'!I289=IF('Paper Gates'!G289='Paper Gates'!H289,"PASS","FAIL"),1,0)</x:f>
        <x:v>1</x:v>
      </x:c>
      <x:c r="F1268" s="21" t="n">
        <x:v>1</x:v>
      </x:c>
      <x:c r="G1268" s="23" t="str">
        <x:f>IF(E1268=F1268,"PASS","FAIL")</x:f>
        <x:v>PASS</x:v>
      </x:c>
    </x:row>
    <x:row r="1269">
      <x:c r="B1269" s="21" t="str">
        <x:v>A1263</x:v>
      </x:c>
      <x:c r="C1269" s="21" t="str">
        <x:v>paper gate</x:v>
      </x:c>
      <x:c r="D1269" s="21" t="str">
        <x:v>gate 290 binary observation</x:v>
      </x:c>
      <x:c r="E1269" s="21" t="n">
        <x:f>IF(OR('Paper Gates'!G290=0,'Paper Gates'!G290=1),1,0)</x:f>
        <x:v>1</x:v>
      </x:c>
      <x:c r="F1269" s="21" t="n">
        <x:v>1</x:v>
      </x:c>
      <x:c r="G1269" s="23" t="str">
        <x:f>IF(E1269=F1269,"PASS","FAIL")</x:f>
        <x:v>PASS</x:v>
      </x:c>
    </x:row>
    <x:row r="1270">
      <x:c r="B1270" s="21" t="str">
        <x:v>A1264</x:v>
      </x:c>
      <x:c r="C1270" s="21" t="str">
        <x:v>paper gate</x:v>
      </x:c>
      <x:c r="D1270" s="21" t="str">
        <x:v>gate 290 fixed requirement</x:v>
      </x:c>
      <x:c r="E1270" s="21" t="n">
        <x:f>IF('Paper Gates'!H290=1,1,0)</x:f>
        <x:v>1</x:v>
      </x:c>
      <x:c r="F1270" s="21" t="n">
        <x:v>1</x:v>
      </x:c>
      <x:c r="G1270" s="23" t="str">
        <x:f>IF(E1270=F1270,"PASS","FAIL")</x:f>
        <x:v>PASS</x:v>
      </x:c>
    </x:row>
    <x:row r="1271">
      <x:c r="B1271" s="21" t="str">
        <x:v>A1265</x:v>
      </x:c>
      <x:c r="C1271" s="21" t="str">
        <x:v>paper gate</x:v>
      </x:c>
      <x:c r="D1271" s="21" t="str">
        <x:v>gate 290 result reconciles</x:v>
      </x:c>
      <x:c r="E1271" s="21" t="n">
        <x:f>IF('Paper Gates'!I290=IF('Paper Gates'!G290='Paper Gates'!H290,"PASS","FAIL"),1,0)</x:f>
        <x:v>1</x:v>
      </x:c>
      <x:c r="F1271" s="21" t="n">
        <x:v>1</x:v>
      </x:c>
      <x:c r="G1271" s="23" t="str">
        <x:f>IF(E1271=F1271,"PASS","FAIL")</x:f>
        <x:v>PASS</x:v>
      </x:c>
    </x:row>
    <x:row r="1272">
      <x:c r="B1272" s="21" t="str">
        <x:v>A1266</x:v>
      </x:c>
      <x:c r="C1272" s="21" t="str">
        <x:v>paper gate</x:v>
      </x:c>
      <x:c r="D1272" s="21" t="str">
        <x:v>gate 291 binary observation</x:v>
      </x:c>
      <x:c r="E1272" s="21" t="n">
        <x:f>IF(OR('Paper Gates'!G291=0,'Paper Gates'!G291=1),1,0)</x:f>
        <x:v>1</x:v>
      </x:c>
      <x:c r="F1272" s="21" t="n">
        <x:v>1</x:v>
      </x:c>
      <x:c r="G1272" s="23" t="str">
        <x:f>IF(E1272=F1272,"PASS","FAIL")</x:f>
        <x:v>PASS</x:v>
      </x:c>
    </x:row>
    <x:row r="1273">
      <x:c r="B1273" s="21" t="str">
        <x:v>A1267</x:v>
      </x:c>
      <x:c r="C1273" s="21" t="str">
        <x:v>paper gate</x:v>
      </x:c>
      <x:c r="D1273" s="21" t="str">
        <x:v>gate 291 fixed requirement</x:v>
      </x:c>
      <x:c r="E1273" s="21" t="n">
        <x:f>IF('Paper Gates'!H291=1,1,0)</x:f>
        <x:v>1</x:v>
      </x:c>
      <x:c r="F1273" s="21" t="n">
        <x:v>1</x:v>
      </x:c>
      <x:c r="G1273" s="23" t="str">
        <x:f>IF(E1273=F1273,"PASS","FAIL")</x:f>
        <x:v>PASS</x:v>
      </x:c>
    </x:row>
    <x:row r="1274">
      <x:c r="B1274" s="21" t="str">
        <x:v>A1268</x:v>
      </x:c>
      <x:c r="C1274" s="21" t="str">
        <x:v>paper gate</x:v>
      </x:c>
      <x:c r="D1274" s="21" t="str">
        <x:v>gate 291 result reconciles</x:v>
      </x:c>
      <x:c r="E1274" s="21" t="n">
        <x:f>IF('Paper Gates'!I291=IF('Paper Gates'!G291='Paper Gates'!H291,"PASS","FAIL"),1,0)</x:f>
        <x:v>1</x:v>
      </x:c>
      <x:c r="F1274" s="21" t="n">
        <x:v>1</x:v>
      </x:c>
      <x:c r="G1274" s="23" t="str">
        <x:f>IF(E1274=F1274,"PASS","FAIL")</x:f>
        <x:v>PASS</x:v>
      </x:c>
    </x:row>
    <x:row r="1275">
      <x:c r="B1275" s="21" t="str">
        <x:v>A1269</x:v>
      </x:c>
      <x:c r="C1275" s="21" t="str">
        <x:v>paper gate</x:v>
      </x:c>
      <x:c r="D1275" s="21" t="str">
        <x:v>gate 292 binary observation</x:v>
      </x:c>
      <x:c r="E1275" s="21" t="n">
        <x:f>IF(OR('Paper Gates'!G292=0,'Paper Gates'!G292=1),1,0)</x:f>
        <x:v>1</x:v>
      </x:c>
      <x:c r="F1275" s="21" t="n">
        <x:v>1</x:v>
      </x:c>
      <x:c r="G1275" s="23" t="str">
        <x:f>IF(E1275=F1275,"PASS","FAIL")</x:f>
        <x:v>PASS</x:v>
      </x:c>
    </x:row>
    <x:row r="1276">
      <x:c r="B1276" s="21" t="str">
        <x:v>A1270</x:v>
      </x:c>
      <x:c r="C1276" s="21" t="str">
        <x:v>paper gate</x:v>
      </x:c>
      <x:c r="D1276" s="21" t="str">
        <x:v>gate 292 fixed requirement</x:v>
      </x:c>
      <x:c r="E1276" s="21" t="n">
        <x:f>IF('Paper Gates'!H292=1,1,0)</x:f>
        <x:v>1</x:v>
      </x:c>
      <x:c r="F1276" s="21" t="n">
        <x:v>1</x:v>
      </x:c>
      <x:c r="G1276" s="23" t="str">
        <x:f>IF(E1276=F1276,"PASS","FAIL")</x:f>
        <x:v>PASS</x:v>
      </x:c>
    </x:row>
    <x:row r="1277">
      <x:c r="B1277" s="21" t="str">
        <x:v>A1271</x:v>
      </x:c>
      <x:c r="C1277" s="21" t="str">
        <x:v>paper gate</x:v>
      </x:c>
      <x:c r="D1277" s="21" t="str">
        <x:v>gate 292 result reconciles</x:v>
      </x:c>
      <x:c r="E1277" s="21" t="n">
        <x:f>IF('Paper Gates'!I292=IF('Paper Gates'!G292='Paper Gates'!H292,"PASS","FAIL"),1,0)</x:f>
        <x:v>1</x:v>
      </x:c>
      <x:c r="F1277" s="21" t="n">
        <x:v>1</x:v>
      </x:c>
      <x:c r="G1277" s="23" t="str">
        <x:f>IF(E1277=F1277,"PASS","FAIL")</x:f>
        <x:v>PASS</x:v>
      </x:c>
    </x:row>
    <x:row r="1278">
      <x:c r="B1278" s="21" t="str">
        <x:v>A1272</x:v>
      </x:c>
      <x:c r="C1278" s="21" t="str">
        <x:v>paper gate</x:v>
      </x:c>
      <x:c r="D1278" s="21" t="str">
        <x:v>gate 293 binary observation</x:v>
      </x:c>
      <x:c r="E1278" s="21" t="n">
        <x:f>IF(OR('Paper Gates'!G293=0,'Paper Gates'!G293=1),1,0)</x:f>
        <x:v>1</x:v>
      </x:c>
      <x:c r="F1278" s="21" t="n">
        <x:v>1</x:v>
      </x:c>
      <x:c r="G1278" s="23" t="str">
        <x:f>IF(E1278=F1278,"PASS","FAIL")</x:f>
        <x:v>PASS</x:v>
      </x:c>
    </x:row>
    <x:row r="1279">
      <x:c r="B1279" s="21" t="str">
        <x:v>A1273</x:v>
      </x:c>
      <x:c r="C1279" s="21" t="str">
        <x:v>paper gate</x:v>
      </x:c>
      <x:c r="D1279" s="21" t="str">
        <x:v>gate 293 fixed requirement</x:v>
      </x:c>
      <x:c r="E1279" s="21" t="n">
        <x:f>IF('Paper Gates'!H293=1,1,0)</x:f>
        <x:v>1</x:v>
      </x:c>
      <x:c r="F1279" s="21" t="n">
        <x:v>1</x:v>
      </x:c>
      <x:c r="G1279" s="23" t="str">
        <x:f>IF(E1279=F1279,"PASS","FAIL")</x:f>
        <x:v>PASS</x:v>
      </x:c>
    </x:row>
    <x:row r="1280">
      <x:c r="B1280" s="21" t="str">
        <x:v>A1274</x:v>
      </x:c>
      <x:c r="C1280" s="21" t="str">
        <x:v>paper gate</x:v>
      </x:c>
      <x:c r="D1280" s="21" t="str">
        <x:v>gate 293 result reconciles</x:v>
      </x:c>
      <x:c r="E1280" s="21" t="n">
        <x:f>IF('Paper Gates'!I293=IF('Paper Gates'!G293='Paper Gates'!H293,"PASS","FAIL"),1,0)</x:f>
        <x:v>1</x:v>
      </x:c>
      <x:c r="F1280" s="21" t="n">
        <x:v>1</x:v>
      </x:c>
      <x:c r="G1280" s="23" t="str">
        <x:f>IF(E1280=F1280,"PASS","FAIL")</x:f>
        <x:v>PASS</x:v>
      </x:c>
    </x:row>
    <x:row r="1281">
      <x:c r="B1281" s="21" t="str">
        <x:v>A1275</x:v>
      </x:c>
      <x:c r="C1281" s="21" t="str">
        <x:v>paper gate</x:v>
      </x:c>
      <x:c r="D1281" s="21" t="str">
        <x:v>gate 294 binary observation</x:v>
      </x:c>
      <x:c r="E1281" s="21" t="n">
        <x:f>IF(OR('Paper Gates'!G294=0,'Paper Gates'!G294=1),1,0)</x:f>
        <x:v>1</x:v>
      </x:c>
      <x:c r="F1281" s="21" t="n">
        <x:v>1</x:v>
      </x:c>
      <x:c r="G1281" s="23" t="str">
        <x:f>IF(E1281=F1281,"PASS","FAIL")</x:f>
        <x:v>PASS</x:v>
      </x:c>
    </x:row>
    <x:row r="1282">
      <x:c r="B1282" s="21" t="str">
        <x:v>A1276</x:v>
      </x:c>
      <x:c r="C1282" s="21" t="str">
        <x:v>paper gate</x:v>
      </x:c>
      <x:c r="D1282" s="21" t="str">
        <x:v>gate 294 fixed requirement</x:v>
      </x:c>
      <x:c r="E1282" s="21" t="n">
        <x:f>IF('Paper Gates'!H294=1,1,0)</x:f>
        <x:v>1</x:v>
      </x:c>
      <x:c r="F1282" s="21" t="n">
        <x:v>1</x:v>
      </x:c>
      <x:c r="G1282" s="23" t="str">
        <x:f>IF(E1282=F1282,"PASS","FAIL")</x:f>
        <x:v>PASS</x:v>
      </x:c>
    </x:row>
    <x:row r="1283">
      <x:c r="B1283" s="21" t="str">
        <x:v>A1277</x:v>
      </x:c>
      <x:c r="C1283" s="21" t="str">
        <x:v>paper gate</x:v>
      </x:c>
      <x:c r="D1283" s="21" t="str">
        <x:v>gate 294 result reconciles</x:v>
      </x:c>
      <x:c r="E1283" s="21" t="n">
        <x:f>IF('Paper Gates'!I294=IF('Paper Gates'!G294='Paper Gates'!H294,"PASS","FAIL"),1,0)</x:f>
        <x:v>1</x:v>
      </x:c>
      <x:c r="F1283" s="21" t="n">
        <x:v>1</x:v>
      </x:c>
      <x:c r="G1283" s="23" t="str">
        <x:f>IF(E1283=F1283,"PASS","FAIL")</x:f>
        <x:v>PASS</x:v>
      </x:c>
    </x:row>
    <x:row r="1284">
      <x:c r="B1284" s="21" t="str">
        <x:v>A1278</x:v>
      </x:c>
      <x:c r="C1284" s="21" t="str">
        <x:v>paper gate</x:v>
      </x:c>
      <x:c r="D1284" s="21" t="str">
        <x:v>gate 295 binary observation</x:v>
      </x:c>
      <x:c r="E1284" s="21" t="n">
        <x:f>IF(OR('Paper Gates'!G295=0,'Paper Gates'!G295=1),1,0)</x:f>
        <x:v>1</x:v>
      </x:c>
      <x:c r="F1284" s="21" t="n">
        <x:v>1</x:v>
      </x:c>
      <x:c r="G1284" s="23" t="str">
        <x:f>IF(E1284=F1284,"PASS","FAIL")</x:f>
        <x:v>PASS</x:v>
      </x:c>
    </x:row>
    <x:row r="1285">
      <x:c r="B1285" s="21" t="str">
        <x:v>A1279</x:v>
      </x:c>
      <x:c r="C1285" s="21" t="str">
        <x:v>paper gate</x:v>
      </x:c>
      <x:c r="D1285" s="21" t="str">
        <x:v>gate 295 fixed requirement</x:v>
      </x:c>
      <x:c r="E1285" s="21" t="n">
        <x:f>IF('Paper Gates'!H295=1,1,0)</x:f>
        <x:v>1</x:v>
      </x:c>
      <x:c r="F1285" s="21" t="n">
        <x:v>1</x:v>
      </x:c>
      <x:c r="G1285" s="23" t="str">
        <x:f>IF(E1285=F1285,"PASS","FAIL")</x:f>
        <x:v>PASS</x:v>
      </x:c>
    </x:row>
    <x:row r="1286">
      <x:c r="B1286" s="21" t="str">
        <x:v>A1280</x:v>
      </x:c>
      <x:c r="C1286" s="21" t="str">
        <x:v>paper gate</x:v>
      </x:c>
      <x:c r="D1286" s="21" t="str">
        <x:v>gate 295 result reconciles</x:v>
      </x:c>
      <x:c r="E1286" s="21" t="n">
        <x:f>IF('Paper Gates'!I295=IF('Paper Gates'!G295='Paper Gates'!H295,"PASS","FAIL"),1,0)</x:f>
        <x:v>1</x:v>
      </x:c>
      <x:c r="F1286" s="21" t="n">
        <x:v>1</x:v>
      </x:c>
      <x:c r="G1286" s="23" t="str">
        <x:f>IF(E1286=F1286,"PASS","FAIL")</x:f>
        <x:v>PASS</x:v>
      </x:c>
    </x:row>
    <x:row r="1287">
      <x:c r="B1287" s="21" t="str">
        <x:v>A1281</x:v>
      </x:c>
      <x:c r="C1287" s="21" t="str">
        <x:v>paper gate</x:v>
      </x:c>
      <x:c r="D1287" s="21" t="str">
        <x:v>gate 296 binary observation</x:v>
      </x:c>
      <x:c r="E1287" s="21" t="n">
        <x:f>IF(OR('Paper Gates'!G296=0,'Paper Gates'!G296=1),1,0)</x:f>
        <x:v>1</x:v>
      </x:c>
      <x:c r="F1287" s="21" t="n">
        <x:v>1</x:v>
      </x:c>
      <x:c r="G1287" s="23" t="str">
        <x:f>IF(E1287=F1287,"PASS","FAIL")</x:f>
        <x:v>PASS</x:v>
      </x:c>
    </x:row>
    <x:row r="1288">
      <x:c r="B1288" s="21" t="str">
        <x:v>A1282</x:v>
      </x:c>
      <x:c r="C1288" s="21" t="str">
        <x:v>paper gate</x:v>
      </x:c>
      <x:c r="D1288" s="21" t="str">
        <x:v>gate 296 fixed requirement</x:v>
      </x:c>
      <x:c r="E1288" s="21" t="n">
        <x:f>IF('Paper Gates'!H296=1,1,0)</x:f>
        <x:v>1</x:v>
      </x:c>
      <x:c r="F1288" s="21" t="n">
        <x:v>1</x:v>
      </x:c>
      <x:c r="G1288" s="23" t="str">
        <x:f>IF(E1288=F1288,"PASS","FAIL")</x:f>
        <x:v>PASS</x:v>
      </x:c>
    </x:row>
    <x:row r="1289">
      <x:c r="B1289" s="21" t="str">
        <x:v>A1283</x:v>
      </x:c>
      <x:c r="C1289" s="21" t="str">
        <x:v>paper gate</x:v>
      </x:c>
      <x:c r="D1289" s="21" t="str">
        <x:v>gate 296 result reconciles</x:v>
      </x:c>
      <x:c r="E1289" s="21" t="n">
        <x:f>IF('Paper Gates'!I296=IF('Paper Gates'!G296='Paper Gates'!H296,"PASS","FAIL"),1,0)</x:f>
        <x:v>1</x:v>
      </x:c>
      <x:c r="F1289" s="21" t="n">
        <x:v>1</x:v>
      </x:c>
      <x:c r="G1289" s="23" t="str">
        <x:f>IF(E1289=F1289,"PASS","FAIL")</x:f>
        <x:v>PASS</x:v>
      </x:c>
    </x:row>
    <x:row r="1290">
      <x:c r="B1290" s="21" t="str">
        <x:v>A1284</x:v>
      </x:c>
      <x:c r="C1290" s="21" t="str">
        <x:v>paper gate</x:v>
      </x:c>
      <x:c r="D1290" s="21" t="str">
        <x:v>gate 297 binary observation</x:v>
      </x:c>
      <x:c r="E1290" s="21" t="n">
        <x:f>IF(OR('Paper Gates'!G297=0,'Paper Gates'!G297=1),1,0)</x:f>
        <x:v>1</x:v>
      </x:c>
      <x:c r="F1290" s="21" t="n">
        <x:v>1</x:v>
      </x:c>
      <x:c r="G1290" s="23" t="str">
        <x:f>IF(E1290=F1290,"PASS","FAIL")</x:f>
        <x:v>PASS</x:v>
      </x:c>
    </x:row>
    <x:row r="1291">
      <x:c r="B1291" s="21" t="str">
        <x:v>A1285</x:v>
      </x:c>
      <x:c r="C1291" s="21" t="str">
        <x:v>paper gate</x:v>
      </x:c>
      <x:c r="D1291" s="21" t="str">
        <x:v>gate 297 fixed requirement</x:v>
      </x:c>
      <x:c r="E1291" s="21" t="n">
        <x:f>IF('Paper Gates'!H297=1,1,0)</x:f>
        <x:v>1</x:v>
      </x:c>
      <x:c r="F1291" s="21" t="n">
        <x:v>1</x:v>
      </x:c>
      <x:c r="G1291" s="23" t="str">
        <x:f>IF(E1291=F1291,"PASS","FAIL")</x:f>
        <x:v>PASS</x:v>
      </x:c>
    </x:row>
    <x:row r="1292">
      <x:c r="B1292" s="21" t="str">
        <x:v>A1286</x:v>
      </x:c>
      <x:c r="C1292" s="21" t="str">
        <x:v>paper gate</x:v>
      </x:c>
      <x:c r="D1292" s="21" t="str">
        <x:v>gate 297 result reconciles</x:v>
      </x:c>
      <x:c r="E1292" s="21" t="n">
        <x:f>IF('Paper Gates'!I297=IF('Paper Gates'!G297='Paper Gates'!H297,"PASS","FAIL"),1,0)</x:f>
        <x:v>1</x:v>
      </x:c>
      <x:c r="F1292" s="21" t="n">
        <x:v>1</x:v>
      </x:c>
      <x:c r="G1292" s="23" t="str">
        <x:f>IF(E1292=F1292,"PASS","FAIL")</x:f>
        <x:v>PASS</x:v>
      </x:c>
    </x:row>
    <x:row r="1293">
      <x:c r="B1293" s="21" t="str">
        <x:v>A1287</x:v>
      </x:c>
      <x:c r="C1293" s="21" t="str">
        <x:v>paper gate</x:v>
      </x:c>
      <x:c r="D1293" s="21" t="str">
        <x:v>gate 298 binary observation</x:v>
      </x:c>
      <x:c r="E1293" s="21" t="n">
        <x:f>IF(OR('Paper Gates'!G298=0,'Paper Gates'!G298=1),1,0)</x:f>
        <x:v>1</x:v>
      </x:c>
      <x:c r="F1293" s="21" t="n">
        <x:v>1</x:v>
      </x:c>
      <x:c r="G1293" s="23" t="str">
        <x:f>IF(E1293=F1293,"PASS","FAIL")</x:f>
        <x:v>PASS</x:v>
      </x:c>
    </x:row>
    <x:row r="1294">
      <x:c r="B1294" s="21" t="str">
        <x:v>A1288</x:v>
      </x:c>
      <x:c r="C1294" s="21" t="str">
        <x:v>paper gate</x:v>
      </x:c>
      <x:c r="D1294" s="21" t="str">
        <x:v>gate 298 fixed requirement</x:v>
      </x:c>
      <x:c r="E1294" s="21" t="n">
        <x:f>IF('Paper Gates'!H298=1,1,0)</x:f>
        <x:v>1</x:v>
      </x:c>
      <x:c r="F1294" s="21" t="n">
        <x:v>1</x:v>
      </x:c>
      <x:c r="G1294" s="23" t="str">
        <x:f>IF(E1294=F1294,"PASS","FAIL")</x:f>
        <x:v>PASS</x:v>
      </x:c>
    </x:row>
    <x:row r="1295">
      <x:c r="B1295" s="21" t="str">
        <x:v>A1289</x:v>
      </x:c>
      <x:c r="C1295" s="21" t="str">
        <x:v>paper gate</x:v>
      </x:c>
      <x:c r="D1295" s="21" t="str">
        <x:v>gate 298 result reconciles</x:v>
      </x:c>
      <x:c r="E1295" s="21" t="n">
        <x:f>IF('Paper Gates'!I298=IF('Paper Gates'!G298='Paper Gates'!H298,"PASS","FAIL"),1,0)</x:f>
        <x:v>1</x:v>
      </x:c>
      <x:c r="F1295" s="21" t="n">
        <x:v>1</x:v>
      </x:c>
      <x:c r="G1295" s="23" t="str">
        <x:f>IF(E1295=F1295,"PASS","FAIL")</x:f>
        <x:v>PASS</x:v>
      </x:c>
    </x:row>
    <x:row r="1296">
      <x:c r="B1296" s="21" t="str">
        <x:v>A1290</x:v>
      </x:c>
      <x:c r="C1296" s="21" t="str">
        <x:v>paper gate</x:v>
      </x:c>
      <x:c r="D1296" s="21" t="str">
        <x:v>gate 299 binary observation</x:v>
      </x:c>
      <x:c r="E1296" s="21" t="n">
        <x:f>IF(OR('Paper Gates'!G299=0,'Paper Gates'!G299=1),1,0)</x:f>
        <x:v>1</x:v>
      </x:c>
      <x:c r="F1296" s="21" t="n">
        <x:v>1</x:v>
      </x:c>
      <x:c r="G1296" s="23" t="str">
        <x:f>IF(E1296=F1296,"PASS","FAIL")</x:f>
        <x:v>PASS</x:v>
      </x:c>
    </x:row>
    <x:row r="1297">
      <x:c r="B1297" s="21" t="str">
        <x:v>A1291</x:v>
      </x:c>
      <x:c r="C1297" s="21" t="str">
        <x:v>paper gate</x:v>
      </x:c>
      <x:c r="D1297" s="21" t="str">
        <x:v>gate 299 fixed requirement</x:v>
      </x:c>
      <x:c r="E1297" s="21" t="n">
        <x:f>IF('Paper Gates'!H299=1,1,0)</x:f>
        <x:v>1</x:v>
      </x:c>
      <x:c r="F1297" s="21" t="n">
        <x:v>1</x:v>
      </x:c>
      <x:c r="G1297" s="23" t="str">
        <x:f>IF(E1297=F1297,"PASS","FAIL")</x:f>
        <x:v>PASS</x:v>
      </x:c>
    </x:row>
    <x:row r="1298">
      <x:c r="B1298" s="21" t="str">
        <x:v>A1292</x:v>
      </x:c>
      <x:c r="C1298" s="21" t="str">
        <x:v>paper gate</x:v>
      </x:c>
      <x:c r="D1298" s="21" t="str">
        <x:v>gate 299 result reconciles</x:v>
      </x:c>
      <x:c r="E1298" s="21" t="n">
        <x:f>IF('Paper Gates'!I299=IF('Paper Gates'!G299='Paper Gates'!H299,"PASS","FAIL"),1,0)</x:f>
        <x:v>1</x:v>
      </x:c>
      <x:c r="F1298" s="21" t="n">
        <x:v>1</x:v>
      </x:c>
      <x:c r="G1298" s="23" t="str">
        <x:f>IF(E1298=F1298,"PASS","FAIL")</x:f>
        <x:v>PASS</x:v>
      </x:c>
    </x:row>
    <x:row r="1299">
      <x:c r="B1299" s="21" t="str">
        <x:v>A1293</x:v>
      </x:c>
      <x:c r="C1299" s="21" t="str">
        <x:v>paper gate</x:v>
      </x:c>
      <x:c r="D1299" s="21" t="str">
        <x:v>gate 300 binary observation</x:v>
      </x:c>
      <x:c r="E1299" s="21" t="n">
        <x:f>IF(OR('Paper Gates'!G300=0,'Paper Gates'!G300=1),1,0)</x:f>
        <x:v>1</x:v>
      </x:c>
      <x:c r="F1299" s="21" t="n">
        <x:v>1</x:v>
      </x:c>
      <x:c r="G1299" s="23" t="str">
        <x:f>IF(E1299=F1299,"PASS","FAIL")</x:f>
        <x:v>PASS</x:v>
      </x:c>
    </x:row>
    <x:row r="1300">
      <x:c r="B1300" s="21" t="str">
        <x:v>A1294</x:v>
      </x:c>
      <x:c r="C1300" s="21" t="str">
        <x:v>paper gate</x:v>
      </x:c>
      <x:c r="D1300" s="21" t="str">
        <x:v>gate 300 fixed requirement</x:v>
      </x:c>
      <x:c r="E1300" s="21" t="n">
        <x:f>IF('Paper Gates'!H300=1,1,0)</x:f>
        <x:v>1</x:v>
      </x:c>
      <x:c r="F1300" s="21" t="n">
        <x:v>1</x:v>
      </x:c>
      <x:c r="G1300" s="23" t="str">
        <x:f>IF(E1300=F1300,"PASS","FAIL")</x:f>
        <x:v>PASS</x:v>
      </x:c>
    </x:row>
    <x:row r="1301">
      <x:c r="B1301" s="21" t="str">
        <x:v>A1295</x:v>
      </x:c>
      <x:c r="C1301" s="21" t="str">
        <x:v>paper gate</x:v>
      </x:c>
      <x:c r="D1301" s="21" t="str">
        <x:v>gate 300 result reconciles</x:v>
      </x:c>
      <x:c r="E1301" s="21" t="n">
        <x:f>IF('Paper Gates'!I300=IF('Paper Gates'!G300='Paper Gates'!H300,"PASS","FAIL"),1,0)</x:f>
        <x:v>1</x:v>
      </x:c>
      <x:c r="F1301" s="21" t="n">
        <x:v>1</x:v>
      </x:c>
      <x:c r="G1301" s="23" t="str">
        <x:f>IF(E1301=F1301,"PASS","FAIL")</x:f>
        <x:v>PASS</x:v>
      </x:c>
    </x:row>
    <x:row r="1302">
      <x:c r="B1302" s="21" t="str">
        <x:v>A1296</x:v>
      </x:c>
      <x:c r="C1302" s="21" t="str">
        <x:v>paper gate</x:v>
      </x:c>
      <x:c r="D1302" s="21" t="str">
        <x:v>gate 301 binary observation</x:v>
      </x:c>
      <x:c r="E1302" s="21" t="n">
        <x:f>IF(OR('Paper Gates'!G301=0,'Paper Gates'!G301=1),1,0)</x:f>
        <x:v>1</x:v>
      </x:c>
      <x:c r="F1302" s="21" t="n">
        <x:v>1</x:v>
      </x:c>
      <x:c r="G1302" s="23" t="str">
        <x:f>IF(E1302=F1302,"PASS","FAIL")</x:f>
        <x:v>PASS</x:v>
      </x:c>
    </x:row>
    <x:row r="1303">
      <x:c r="B1303" s="21" t="str">
        <x:v>A1297</x:v>
      </x:c>
      <x:c r="C1303" s="21" t="str">
        <x:v>paper gate</x:v>
      </x:c>
      <x:c r="D1303" s="21" t="str">
        <x:v>gate 301 fixed requirement</x:v>
      </x:c>
      <x:c r="E1303" s="21" t="n">
        <x:f>IF('Paper Gates'!H301=1,1,0)</x:f>
        <x:v>1</x:v>
      </x:c>
      <x:c r="F1303" s="21" t="n">
        <x:v>1</x:v>
      </x:c>
      <x:c r="G1303" s="23" t="str">
        <x:f>IF(E1303=F1303,"PASS","FAIL")</x:f>
        <x:v>PASS</x:v>
      </x:c>
    </x:row>
    <x:row r="1304">
      <x:c r="B1304" s="21" t="str">
        <x:v>A1298</x:v>
      </x:c>
      <x:c r="C1304" s="21" t="str">
        <x:v>paper gate</x:v>
      </x:c>
      <x:c r="D1304" s="21" t="str">
        <x:v>gate 301 result reconciles</x:v>
      </x:c>
      <x:c r="E1304" s="21" t="n">
        <x:f>IF('Paper Gates'!I301=IF('Paper Gates'!G301='Paper Gates'!H301,"PASS","FAIL"),1,0)</x:f>
        <x:v>1</x:v>
      </x:c>
      <x:c r="F1304" s="21" t="n">
        <x:v>1</x:v>
      </x:c>
      <x:c r="G1304" s="23" t="str">
        <x:f>IF(E1304=F1304,"PASS","FAIL")</x:f>
        <x:v>PASS</x:v>
      </x:c>
    </x:row>
    <x:row r="1305">
      <x:c r="B1305" s="21" t="str">
        <x:v>A1299</x:v>
      </x:c>
      <x:c r="C1305" s="21" t="str">
        <x:v>paper gate</x:v>
      </x:c>
      <x:c r="D1305" s="21" t="str">
        <x:v>gate 302 binary observation</x:v>
      </x:c>
      <x:c r="E1305" s="21" t="n">
        <x:f>IF(OR('Paper Gates'!G302=0,'Paper Gates'!G302=1),1,0)</x:f>
        <x:v>1</x:v>
      </x:c>
      <x:c r="F1305" s="21" t="n">
        <x:v>1</x:v>
      </x:c>
      <x:c r="G1305" s="23" t="str">
        <x:f>IF(E1305=F1305,"PASS","FAIL")</x:f>
        <x:v>PASS</x:v>
      </x:c>
    </x:row>
    <x:row r="1306">
      <x:c r="B1306" s="21" t="str">
        <x:v>A1300</x:v>
      </x:c>
      <x:c r="C1306" s="21" t="str">
        <x:v>paper gate</x:v>
      </x:c>
      <x:c r="D1306" s="21" t="str">
        <x:v>gate 302 fixed requirement</x:v>
      </x:c>
      <x:c r="E1306" s="21" t="n">
        <x:f>IF('Paper Gates'!H302=1,1,0)</x:f>
        <x:v>1</x:v>
      </x:c>
      <x:c r="F1306" s="21" t="n">
        <x:v>1</x:v>
      </x:c>
      <x:c r="G1306" s="23" t="str">
        <x:f>IF(E1306=F1306,"PASS","FAIL")</x:f>
        <x:v>PASS</x:v>
      </x:c>
    </x:row>
    <x:row r="1307">
      <x:c r="B1307" s="21" t="str">
        <x:v>A1301</x:v>
      </x:c>
      <x:c r="C1307" s="21" t="str">
        <x:v>paper gate</x:v>
      </x:c>
      <x:c r="D1307" s="21" t="str">
        <x:v>gate 302 result reconciles</x:v>
      </x:c>
      <x:c r="E1307" s="21" t="n">
        <x:f>IF('Paper Gates'!I302=IF('Paper Gates'!G302='Paper Gates'!H302,"PASS","FAIL"),1,0)</x:f>
        <x:v>1</x:v>
      </x:c>
      <x:c r="F1307" s="21" t="n">
        <x:v>1</x:v>
      </x:c>
      <x:c r="G1307" s="23" t="str">
        <x:f>IF(E1307=F1307,"PASS","FAIL")</x:f>
        <x:v>PASS</x:v>
      </x:c>
    </x:row>
    <x:row r="1308">
      <x:c r="B1308" s="21" t="str">
        <x:v>A1302</x:v>
      </x:c>
      <x:c r="C1308" s="21" t="str">
        <x:v>paper gate</x:v>
      </x:c>
      <x:c r="D1308" s="21" t="str">
        <x:v>gate 303 binary observation</x:v>
      </x:c>
      <x:c r="E1308" s="21" t="n">
        <x:f>IF(OR('Paper Gates'!G303=0,'Paper Gates'!G303=1),1,0)</x:f>
        <x:v>1</x:v>
      </x:c>
      <x:c r="F1308" s="21" t="n">
        <x:v>1</x:v>
      </x:c>
      <x:c r="G1308" s="23" t="str">
        <x:f>IF(E1308=F1308,"PASS","FAIL")</x:f>
        <x:v>PASS</x:v>
      </x:c>
    </x:row>
    <x:row r="1309">
      <x:c r="B1309" s="21" t="str">
        <x:v>A1303</x:v>
      </x:c>
      <x:c r="C1309" s="21" t="str">
        <x:v>paper gate</x:v>
      </x:c>
      <x:c r="D1309" s="21" t="str">
        <x:v>gate 303 fixed requirement</x:v>
      </x:c>
      <x:c r="E1309" s="21" t="n">
        <x:f>IF('Paper Gates'!H303=1,1,0)</x:f>
        <x:v>1</x:v>
      </x:c>
      <x:c r="F1309" s="21" t="n">
        <x:v>1</x:v>
      </x:c>
      <x:c r="G1309" s="23" t="str">
        <x:f>IF(E1309=F1309,"PASS","FAIL")</x:f>
        <x:v>PASS</x:v>
      </x:c>
    </x:row>
    <x:row r="1310">
      <x:c r="B1310" s="21" t="str">
        <x:v>A1304</x:v>
      </x:c>
      <x:c r="C1310" s="21" t="str">
        <x:v>paper gate</x:v>
      </x:c>
      <x:c r="D1310" s="21" t="str">
        <x:v>gate 303 result reconciles</x:v>
      </x:c>
      <x:c r="E1310" s="21" t="n">
        <x:f>IF('Paper Gates'!I303=IF('Paper Gates'!G303='Paper Gates'!H303,"PASS","FAIL"),1,0)</x:f>
        <x:v>1</x:v>
      </x:c>
      <x:c r="F1310" s="21" t="n">
        <x:v>1</x:v>
      </x:c>
      <x:c r="G1310" s="23" t="str">
        <x:f>IF(E1310=F1310,"PASS","FAIL")</x:f>
        <x:v>PASS</x:v>
      </x:c>
    </x:row>
    <x:row r="1311">
      <x:c r="B1311" s="21" t="str">
        <x:v>A1305</x:v>
      </x:c>
      <x:c r="C1311" s="21" t="str">
        <x:v>paper gate</x:v>
      </x:c>
      <x:c r="D1311" s="21" t="str">
        <x:v>gate 304 binary observation</x:v>
      </x:c>
      <x:c r="E1311" s="21" t="n">
        <x:f>IF(OR('Paper Gates'!G304=0,'Paper Gates'!G304=1),1,0)</x:f>
        <x:v>1</x:v>
      </x:c>
      <x:c r="F1311" s="21" t="n">
        <x:v>1</x:v>
      </x:c>
      <x:c r="G1311" s="23" t="str">
        <x:f>IF(E1311=F1311,"PASS","FAIL")</x:f>
        <x:v>PASS</x:v>
      </x:c>
    </x:row>
    <x:row r="1312">
      <x:c r="B1312" s="21" t="str">
        <x:v>A1306</x:v>
      </x:c>
      <x:c r="C1312" s="21" t="str">
        <x:v>paper gate</x:v>
      </x:c>
      <x:c r="D1312" s="21" t="str">
        <x:v>gate 304 fixed requirement</x:v>
      </x:c>
      <x:c r="E1312" s="21" t="n">
        <x:f>IF('Paper Gates'!H304=1,1,0)</x:f>
        <x:v>1</x:v>
      </x:c>
      <x:c r="F1312" s="21" t="n">
        <x:v>1</x:v>
      </x:c>
      <x:c r="G1312" s="23" t="str">
        <x:f>IF(E1312=F1312,"PASS","FAIL")</x:f>
        <x:v>PASS</x:v>
      </x:c>
    </x:row>
    <x:row r="1313">
      <x:c r="B1313" s="21" t="str">
        <x:v>A1307</x:v>
      </x:c>
      <x:c r="C1313" s="21" t="str">
        <x:v>paper gate</x:v>
      </x:c>
      <x:c r="D1313" s="21" t="str">
        <x:v>gate 304 result reconciles</x:v>
      </x:c>
      <x:c r="E1313" s="21" t="n">
        <x:f>IF('Paper Gates'!I304=IF('Paper Gates'!G304='Paper Gates'!H304,"PASS","FAIL"),1,0)</x:f>
        <x:v>1</x:v>
      </x:c>
      <x:c r="F1313" s="21" t="n">
        <x:v>1</x:v>
      </x:c>
      <x:c r="G1313" s="23" t="str">
        <x:f>IF(E1313=F1313,"PASS","FAIL")</x:f>
        <x:v>PASS</x:v>
      </x:c>
    </x:row>
    <x:row r="1314">
      <x:c r="B1314" s="21" t="str">
        <x:v>A1308</x:v>
      </x:c>
      <x:c r="C1314" s="21" t="str">
        <x:v>paper gate</x:v>
      </x:c>
      <x:c r="D1314" s="21" t="str">
        <x:v>gate 305 binary observation</x:v>
      </x:c>
      <x:c r="E1314" s="21" t="n">
        <x:f>IF(OR('Paper Gates'!G305=0,'Paper Gates'!G305=1),1,0)</x:f>
        <x:v>1</x:v>
      </x:c>
      <x:c r="F1314" s="21" t="n">
        <x:v>1</x:v>
      </x:c>
      <x:c r="G1314" s="23" t="str">
        <x:f>IF(E1314=F1314,"PASS","FAIL")</x:f>
        <x:v>PASS</x:v>
      </x:c>
    </x:row>
    <x:row r="1315">
      <x:c r="B1315" s="21" t="str">
        <x:v>A1309</x:v>
      </x:c>
      <x:c r="C1315" s="21" t="str">
        <x:v>paper gate</x:v>
      </x:c>
      <x:c r="D1315" s="21" t="str">
        <x:v>gate 305 fixed requirement</x:v>
      </x:c>
      <x:c r="E1315" s="21" t="n">
        <x:f>IF('Paper Gates'!H305=1,1,0)</x:f>
        <x:v>1</x:v>
      </x:c>
      <x:c r="F1315" s="21" t="n">
        <x:v>1</x:v>
      </x:c>
      <x:c r="G1315" s="23" t="str">
        <x:f>IF(E1315=F1315,"PASS","FAIL")</x:f>
        <x:v>PASS</x:v>
      </x:c>
    </x:row>
    <x:row r="1316">
      <x:c r="B1316" s="21" t="str">
        <x:v>A1310</x:v>
      </x:c>
      <x:c r="C1316" s="21" t="str">
        <x:v>paper gate</x:v>
      </x:c>
      <x:c r="D1316" s="21" t="str">
        <x:v>gate 305 result reconciles</x:v>
      </x:c>
      <x:c r="E1316" s="21" t="n">
        <x:f>IF('Paper Gates'!I305=IF('Paper Gates'!G305='Paper Gates'!H305,"PASS","FAIL"),1,0)</x:f>
        <x:v>1</x:v>
      </x:c>
      <x:c r="F1316" s="21" t="n">
        <x:v>1</x:v>
      </x:c>
      <x:c r="G1316" s="23" t="str">
        <x:f>IF(E1316=F1316,"PASS","FAIL")</x:f>
        <x:v>PASS</x:v>
      </x:c>
    </x:row>
    <x:row r="1317">
      <x:c r="B1317" s="21" t="str">
        <x:v>A1311</x:v>
      </x:c>
      <x:c r="C1317" s="21" t="str">
        <x:v>paper gate</x:v>
      </x:c>
      <x:c r="D1317" s="21" t="str">
        <x:v>gate 306 binary observation</x:v>
      </x:c>
      <x:c r="E1317" s="21" t="n">
        <x:f>IF(OR('Paper Gates'!G306=0,'Paper Gates'!G306=1),1,0)</x:f>
        <x:v>1</x:v>
      </x:c>
      <x:c r="F1317" s="21" t="n">
        <x:v>1</x:v>
      </x:c>
      <x:c r="G1317" s="23" t="str">
        <x:f>IF(E1317=F1317,"PASS","FAIL")</x:f>
        <x:v>PASS</x:v>
      </x:c>
    </x:row>
    <x:row r="1318">
      <x:c r="B1318" s="21" t="str">
        <x:v>A1312</x:v>
      </x:c>
      <x:c r="C1318" s="21" t="str">
        <x:v>paper gate</x:v>
      </x:c>
      <x:c r="D1318" s="21" t="str">
        <x:v>gate 306 fixed requirement</x:v>
      </x:c>
      <x:c r="E1318" s="21" t="n">
        <x:f>IF('Paper Gates'!H306=1,1,0)</x:f>
        <x:v>1</x:v>
      </x:c>
      <x:c r="F1318" s="21" t="n">
        <x:v>1</x:v>
      </x:c>
      <x:c r="G1318" s="23" t="str">
        <x:f>IF(E1318=F1318,"PASS","FAIL")</x:f>
        <x:v>PASS</x:v>
      </x:c>
    </x:row>
    <x:row r="1319">
      <x:c r="B1319" s="21" t="str">
        <x:v>A1313</x:v>
      </x:c>
      <x:c r="C1319" s="21" t="str">
        <x:v>paper gate</x:v>
      </x:c>
      <x:c r="D1319" s="21" t="str">
        <x:v>gate 306 result reconciles</x:v>
      </x:c>
      <x:c r="E1319" s="21" t="n">
        <x:f>IF('Paper Gates'!I306=IF('Paper Gates'!G306='Paper Gates'!H306,"PASS","FAIL"),1,0)</x:f>
        <x:v>1</x:v>
      </x:c>
      <x:c r="F1319" s="21" t="n">
        <x:v>1</x:v>
      </x:c>
      <x:c r="G1319" s="23" t="str">
        <x:f>IF(E1319=F1319,"PASS","FAIL")</x:f>
        <x:v>PASS</x:v>
      </x:c>
    </x:row>
    <x:row r="1320">
      <x:c r="B1320" s="21" t="str">
        <x:v>A1314</x:v>
      </x:c>
      <x:c r="C1320" s="21" t="str">
        <x:v>paper gate</x:v>
      </x:c>
      <x:c r="D1320" s="21" t="str">
        <x:v>gate 307 binary observation</x:v>
      </x:c>
      <x:c r="E1320" s="21" t="n">
        <x:f>IF(OR('Paper Gates'!G307=0,'Paper Gates'!G307=1),1,0)</x:f>
        <x:v>1</x:v>
      </x:c>
      <x:c r="F1320" s="21" t="n">
        <x:v>1</x:v>
      </x:c>
      <x:c r="G1320" s="23" t="str">
        <x:f>IF(E1320=F1320,"PASS","FAIL")</x:f>
        <x:v>PASS</x:v>
      </x:c>
    </x:row>
    <x:row r="1321">
      <x:c r="B1321" s="21" t="str">
        <x:v>A1315</x:v>
      </x:c>
      <x:c r="C1321" s="21" t="str">
        <x:v>paper gate</x:v>
      </x:c>
      <x:c r="D1321" s="21" t="str">
        <x:v>gate 307 fixed requirement</x:v>
      </x:c>
      <x:c r="E1321" s="21" t="n">
        <x:f>IF('Paper Gates'!H307=1,1,0)</x:f>
        <x:v>1</x:v>
      </x:c>
      <x:c r="F1321" s="21" t="n">
        <x:v>1</x:v>
      </x:c>
      <x:c r="G1321" s="23" t="str">
        <x:f>IF(E1321=F1321,"PASS","FAIL")</x:f>
        <x:v>PASS</x:v>
      </x:c>
    </x:row>
    <x:row r="1322">
      <x:c r="B1322" s="21" t="str">
        <x:v>A1316</x:v>
      </x:c>
      <x:c r="C1322" s="21" t="str">
        <x:v>paper gate</x:v>
      </x:c>
      <x:c r="D1322" s="21" t="str">
        <x:v>gate 307 result reconciles</x:v>
      </x:c>
      <x:c r="E1322" s="21" t="n">
        <x:f>IF('Paper Gates'!I307=IF('Paper Gates'!G307='Paper Gates'!H307,"PASS","FAIL"),1,0)</x:f>
        <x:v>1</x:v>
      </x:c>
      <x:c r="F1322" s="21" t="n">
        <x:v>1</x:v>
      </x:c>
      <x:c r="G1322" s="23" t="str">
        <x:f>IF(E1322=F1322,"PASS","FAIL")</x:f>
        <x:v>PASS</x:v>
      </x:c>
    </x:row>
    <x:row r="1323">
      <x:c r="B1323" s="21" t="str">
        <x:v>A1317</x:v>
      </x:c>
      <x:c r="C1323" s="21" t="str">
        <x:v>paper gate</x:v>
      </x:c>
      <x:c r="D1323" s="21" t="str">
        <x:v>gate 308 binary observation</x:v>
      </x:c>
      <x:c r="E1323" s="21" t="n">
        <x:f>IF(OR('Paper Gates'!G308=0,'Paper Gates'!G308=1),1,0)</x:f>
        <x:v>1</x:v>
      </x:c>
      <x:c r="F1323" s="21" t="n">
        <x:v>1</x:v>
      </x:c>
      <x:c r="G1323" s="23" t="str">
        <x:f>IF(E1323=F1323,"PASS","FAIL")</x:f>
        <x:v>PASS</x:v>
      </x:c>
    </x:row>
    <x:row r="1324">
      <x:c r="B1324" s="21" t="str">
        <x:v>A1318</x:v>
      </x:c>
      <x:c r="C1324" s="21" t="str">
        <x:v>paper gate</x:v>
      </x:c>
      <x:c r="D1324" s="21" t="str">
        <x:v>gate 308 fixed requirement</x:v>
      </x:c>
      <x:c r="E1324" s="21" t="n">
        <x:f>IF('Paper Gates'!H308=1,1,0)</x:f>
        <x:v>1</x:v>
      </x:c>
      <x:c r="F1324" s="21" t="n">
        <x:v>1</x:v>
      </x:c>
      <x:c r="G1324" s="23" t="str">
        <x:f>IF(E1324=F1324,"PASS","FAIL")</x:f>
        <x:v>PASS</x:v>
      </x:c>
    </x:row>
    <x:row r="1325">
      <x:c r="B1325" s="21" t="str">
        <x:v>A1319</x:v>
      </x:c>
      <x:c r="C1325" s="21" t="str">
        <x:v>paper gate</x:v>
      </x:c>
      <x:c r="D1325" s="21" t="str">
        <x:v>gate 308 result reconciles</x:v>
      </x:c>
      <x:c r="E1325" s="21" t="n">
        <x:f>IF('Paper Gates'!I308=IF('Paper Gates'!G308='Paper Gates'!H308,"PASS","FAIL"),1,0)</x:f>
        <x:v>1</x:v>
      </x:c>
      <x:c r="F1325" s="21" t="n">
        <x:v>1</x:v>
      </x:c>
      <x:c r="G1325" s="23" t="str">
        <x:f>IF(E1325=F1325,"PASS","FAIL")</x:f>
        <x:v>PASS</x:v>
      </x:c>
    </x:row>
    <x:row r="1326">
      <x:c r="B1326" s="21" t="str">
        <x:v>A1320</x:v>
      </x:c>
      <x:c r="C1326" s="21" t="str">
        <x:v>paper gate</x:v>
      </x:c>
      <x:c r="D1326" s="21" t="str">
        <x:v>gate 309 binary observation</x:v>
      </x:c>
      <x:c r="E1326" s="21" t="n">
        <x:f>IF(OR('Paper Gates'!G309=0,'Paper Gates'!G309=1),1,0)</x:f>
        <x:v>1</x:v>
      </x:c>
      <x:c r="F1326" s="21" t="n">
        <x:v>1</x:v>
      </x:c>
      <x:c r="G1326" s="23" t="str">
        <x:f>IF(E1326=F1326,"PASS","FAIL")</x:f>
        <x:v>PASS</x:v>
      </x:c>
    </x:row>
    <x:row r="1327">
      <x:c r="B1327" s="21" t="str">
        <x:v>A1321</x:v>
      </x:c>
      <x:c r="C1327" s="21" t="str">
        <x:v>paper gate</x:v>
      </x:c>
      <x:c r="D1327" s="21" t="str">
        <x:v>gate 309 fixed requirement</x:v>
      </x:c>
      <x:c r="E1327" s="21" t="n">
        <x:f>IF('Paper Gates'!H309=1,1,0)</x:f>
        <x:v>1</x:v>
      </x:c>
      <x:c r="F1327" s="21" t="n">
        <x:v>1</x:v>
      </x:c>
      <x:c r="G1327" s="23" t="str">
        <x:f>IF(E1327=F1327,"PASS","FAIL")</x:f>
        <x:v>PASS</x:v>
      </x:c>
    </x:row>
    <x:row r="1328">
      <x:c r="B1328" s="21" t="str">
        <x:v>A1322</x:v>
      </x:c>
      <x:c r="C1328" s="21" t="str">
        <x:v>paper gate</x:v>
      </x:c>
      <x:c r="D1328" s="21" t="str">
        <x:v>gate 309 result reconciles</x:v>
      </x:c>
      <x:c r="E1328" s="21" t="n">
        <x:f>IF('Paper Gates'!I309=IF('Paper Gates'!G309='Paper Gates'!H309,"PASS","FAIL"),1,0)</x:f>
        <x:v>1</x:v>
      </x:c>
      <x:c r="F1328" s="21" t="n">
        <x:v>1</x:v>
      </x:c>
      <x:c r="G1328" s="23" t="str">
        <x:f>IF(E1328=F1328,"PASS","FAIL")</x:f>
        <x:v>PASS</x:v>
      </x:c>
    </x:row>
    <x:row r="1329">
      <x:c r="B1329" s="21" t="str">
        <x:v>A1323</x:v>
      </x:c>
      <x:c r="C1329" s="21" t="str">
        <x:v>paper gate</x:v>
      </x:c>
      <x:c r="D1329" s="21" t="str">
        <x:v>gate 310 binary observation</x:v>
      </x:c>
      <x:c r="E1329" s="21" t="n">
        <x:f>IF(OR('Paper Gates'!G310=0,'Paper Gates'!G310=1),1,0)</x:f>
        <x:v>1</x:v>
      </x:c>
      <x:c r="F1329" s="21" t="n">
        <x:v>1</x:v>
      </x:c>
      <x:c r="G1329" s="23" t="str">
        <x:f>IF(E1329=F1329,"PASS","FAIL")</x:f>
        <x:v>PASS</x:v>
      </x:c>
    </x:row>
    <x:row r="1330">
      <x:c r="B1330" s="21" t="str">
        <x:v>A1324</x:v>
      </x:c>
      <x:c r="C1330" s="21" t="str">
        <x:v>paper gate</x:v>
      </x:c>
      <x:c r="D1330" s="21" t="str">
        <x:v>gate 310 fixed requirement</x:v>
      </x:c>
      <x:c r="E1330" s="21" t="n">
        <x:f>IF('Paper Gates'!H310=1,1,0)</x:f>
        <x:v>1</x:v>
      </x:c>
      <x:c r="F1330" s="21" t="n">
        <x:v>1</x:v>
      </x:c>
      <x:c r="G1330" s="23" t="str">
        <x:f>IF(E1330=F1330,"PASS","FAIL")</x:f>
        <x:v>PASS</x:v>
      </x:c>
    </x:row>
    <x:row r="1331">
      <x:c r="B1331" s="21" t="str">
        <x:v>A1325</x:v>
      </x:c>
      <x:c r="C1331" s="21" t="str">
        <x:v>paper gate</x:v>
      </x:c>
      <x:c r="D1331" s="21" t="str">
        <x:v>gate 310 result reconciles</x:v>
      </x:c>
      <x:c r="E1331" s="21" t="n">
        <x:f>IF('Paper Gates'!I310=IF('Paper Gates'!G310='Paper Gates'!H310,"PASS","FAIL"),1,0)</x:f>
        <x:v>1</x:v>
      </x:c>
      <x:c r="F1331" s="21" t="n">
        <x:v>1</x:v>
      </x:c>
      <x:c r="G1331" s="23" t="str">
        <x:f>IF(E1331=F1331,"PASS","FAIL")</x:f>
        <x:v>PASS</x:v>
      </x:c>
    </x:row>
    <x:row r="1332">
      <x:c r="B1332" s="21" t="str">
        <x:v>A1326</x:v>
      </x:c>
      <x:c r="C1332" s="21" t="str">
        <x:v>paper gate</x:v>
      </x:c>
      <x:c r="D1332" s="21" t="str">
        <x:v>gate 311 binary observation</x:v>
      </x:c>
      <x:c r="E1332" s="21" t="n">
        <x:f>IF(OR('Paper Gates'!G311=0,'Paper Gates'!G311=1),1,0)</x:f>
        <x:v>1</x:v>
      </x:c>
      <x:c r="F1332" s="21" t="n">
        <x:v>1</x:v>
      </x:c>
      <x:c r="G1332" s="23" t="str">
        <x:f>IF(E1332=F1332,"PASS","FAIL")</x:f>
        <x:v>PASS</x:v>
      </x:c>
    </x:row>
    <x:row r="1333">
      <x:c r="B1333" s="21" t="str">
        <x:v>A1327</x:v>
      </x:c>
      <x:c r="C1333" s="21" t="str">
        <x:v>paper gate</x:v>
      </x:c>
      <x:c r="D1333" s="21" t="str">
        <x:v>gate 311 fixed requirement</x:v>
      </x:c>
      <x:c r="E1333" s="21" t="n">
        <x:f>IF('Paper Gates'!H311=1,1,0)</x:f>
        <x:v>1</x:v>
      </x:c>
      <x:c r="F1333" s="21" t="n">
        <x:v>1</x:v>
      </x:c>
      <x:c r="G1333" s="23" t="str">
        <x:f>IF(E1333=F1333,"PASS","FAIL")</x:f>
        <x:v>PASS</x:v>
      </x:c>
    </x:row>
    <x:row r="1334">
      <x:c r="B1334" s="21" t="str">
        <x:v>A1328</x:v>
      </x:c>
      <x:c r="C1334" s="21" t="str">
        <x:v>paper gate</x:v>
      </x:c>
      <x:c r="D1334" s="21" t="str">
        <x:v>gate 311 result reconciles</x:v>
      </x:c>
      <x:c r="E1334" s="21" t="n">
        <x:f>IF('Paper Gates'!I311=IF('Paper Gates'!G311='Paper Gates'!H311,"PASS","FAIL"),1,0)</x:f>
        <x:v>1</x:v>
      </x:c>
      <x:c r="F1334" s="21" t="n">
        <x:v>1</x:v>
      </x:c>
      <x:c r="G1334" s="23" t="str">
        <x:f>IF(E1334=F1334,"PASS","FAIL")</x:f>
        <x:v>PASS</x:v>
      </x:c>
    </x:row>
    <x:row r="1335">
      <x:c r="B1335" s="21" t="str">
        <x:v>A1329</x:v>
      </x:c>
      <x:c r="C1335" s="21" t="str">
        <x:v>paper gate</x:v>
      </x:c>
      <x:c r="D1335" s="21" t="str">
        <x:v>gate 312 binary observation</x:v>
      </x:c>
      <x:c r="E1335" s="21" t="n">
        <x:f>IF(OR('Paper Gates'!G312=0,'Paper Gates'!G312=1),1,0)</x:f>
        <x:v>1</x:v>
      </x:c>
      <x:c r="F1335" s="21" t="n">
        <x:v>1</x:v>
      </x:c>
      <x:c r="G1335" s="23" t="str">
        <x:f>IF(E1335=F1335,"PASS","FAIL")</x:f>
        <x:v>PASS</x:v>
      </x:c>
    </x:row>
    <x:row r="1336">
      <x:c r="B1336" s="21" t="str">
        <x:v>A1330</x:v>
      </x:c>
      <x:c r="C1336" s="21" t="str">
        <x:v>paper gate</x:v>
      </x:c>
      <x:c r="D1336" s="21" t="str">
        <x:v>gate 312 fixed requirement</x:v>
      </x:c>
      <x:c r="E1336" s="21" t="n">
        <x:f>IF('Paper Gates'!H312=1,1,0)</x:f>
        <x:v>1</x:v>
      </x:c>
      <x:c r="F1336" s="21" t="n">
        <x:v>1</x:v>
      </x:c>
      <x:c r="G1336" s="23" t="str">
        <x:f>IF(E1336=F1336,"PASS","FAIL")</x:f>
        <x:v>PASS</x:v>
      </x:c>
    </x:row>
    <x:row r="1337">
      <x:c r="B1337" s="21" t="str">
        <x:v>A1331</x:v>
      </x:c>
      <x:c r="C1337" s="21" t="str">
        <x:v>paper gate</x:v>
      </x:c>
      <x:c r="D1337" s="21" t="str">
        <x:v>gate 312 result reconciles</x:v>
      </x:c>
      <x:c r="E1337" s="21" t="n">
        <x:f>IF('Paper Gates'!I312=IF('Paper Gates'!G312='Paper Gates'!H312,"PASS","FAIL"),1,0)</x:f>
        <x:v>1</x:v>
      </x:c>
      <x:c r="F1337" s="21" t="n">
        <x:v>1</x:v>
      </x:c>
      <x:c r="G1337" s="23" t="str">
        <x:f>IF(E1337=F1337,"PASS","FAIL")</x:f>
        <x:v>PASS</x:v>
      </x:c>
    </x:row>
    <x:row r="1338">
      <x:c r="B1338" s="21" t="str">
        <x:v>A1332</x:v>
      </x:c>
      <x:c r="C1338" s="21" t="str">
        <x:v>paper gate</x:v>
      </x:c>
      <x:c r="D1338" s="21" t="str">
        <x:v>gate 313 binary observation</x:v>
      </x:c>
      <x:c r="E1338" s="21" t="n">
        <x:f>IF(OR('Paper Gates'!G313=0,'Paper Gates'!G313=1),1,0)</x:f>
        <x:v>1</x:v>
      </x:c>
      <x:c r="F1338" s="21" t="n">
        <x:v>1</x:v>
      </x:c>
      <x:c r="G1338" s="23" t="str">
        <x:f>IF(E1338=F1338,"PASS","FAIL")</x:f>
        <x:v>PASS</x:v>
      </x:c>
    </x:row>
    <x:row r="1339">
      <x:c r="B1339" s="21" t="str">
        <x:v>A1333</x:v>
      </x:c>
      <x:c r="C1339" s="21" t="str">
        <x:v>paper gate</x:v>
      </x:c>
      <x:c r="D1339" s="21" t="str">
        <x:v>gate 313 fixed requirement</x:v>
      </x:c>
      <x:c r="E1339" s="21" t="n">
        <x:f>IF('Paper Gates'!H313=1,1,0)</x:f>
        <x:v>1</x:v>
      </x:c>
      <x:c r="F1339" s="21" t="n">
        <x:v>1</x:v>
      </x:c>
      <x:c r="G1339" s="23" t="str">
        <x:f>IF(E1339=F1339,"PASS","FAIL")</x:f>
        <x:v>PASS</x:v>
      </x:c>
    </x:row>
    <x:row r="1340">
      <x:c r="B1340" s="21" t="str">
        <x:v>A1334</x:v>
      </x:c>
      <x:c r="C1340" s="21" t="str">
        <x:v>paper gate</x:v>
      </x:c>
      <x:c r="D1340" s="21" t="str">
        <x:v>gate 313 result reconciles</x:v>
      </x:c>
      <x:c r="E1340" s="21" t="n">
        <x:f>IF('Paper Gates'!I313=IF('Paper Gates'!G313='Paper Gates'!H313,"PASS","FAIL"),1,0)</x:f>
        <x:v>1</x:v>
      </x:c>
      <x:c r="F1340" s="21" t="n">
        <x:v>1</x:v>
      </x:c>
      <x:c r="G1340" s="23" t="str">
        <x:f>IF(E1340=F1340,"PASS","FAIL")</x:f>
        <x:v>PASS</x:v>
      </x:c>
    </x:row>
    <x:row r="1341">
      <x:c r="B1341" s="21" t="str">
        <x:v>A1335</x:v>
      </x:c>
      <x:c r="C1341" s="21" t="str">
        <x:v>paper gate</x:v>
      </x:c>
      <x:c r="D1341" s="21" t="str">
        <x:v>gate 314 binary observation</x:v>
      </x:c>
      <x:c r="E1341" s="21" t="n">
        <x:f>IF(OR('Paper Gates'!G314=0,'Paper Gates'!G314=1),1,0)</x:f>
        <x:v>1</x:v>
      </x:c>
      <x:c r="F1341" s="21" t="n">
        <x:v>1</x:v>
      </x:c>
      <x:c r="G1341" s="23" t="str">
        <x:f>IF(E1341=F1341,"PASS","FAIL")</x:f>
        <x:v>PASS</x:v>
      </x:c>
    </x:row>
    <x:row r="1342">
      <x:c r="B1342" s="21" t="str">
        <x:v>A1336</x:v>
      </x:c>
      <x:c r="C1342" s="21" t="str">
        <x:v>paper gate</x:v>
      </x:c>
      <x:c r="D1342" s="21" t="str">
        <x:v>gate 314 fixed requirement</x:v>
      </x:c>
      <x:c r="E1342" s="21" t="n">
        <x:f>IF('Paper Gates'!H314=1,1,0)</x:f>
        <x:v>1</x:v>
      </x:c>
      <x:c r="F1342" s="21" t="n">
        <x:v>1</x:v>
      </x:c>
      <x:c r="G1342" s="23" t="str">
        <x:f>IF(E1342=F1342,"PASS","FAIL")</x:f>
        <x:v>PASS</x:v>
      </x:c>
    </x:row>
    <x:row r="1343">
      <x:c r="B1343" s="21" t="str">
        <x:v>A1337</x:v>
      </x:c>
      <x:c r="C1343" s="21" t="str">
        <x:v>paper gate</x:v>
      </x:c>
      <x:c r="D1343" s="21" t="str">
        <x:v>gate 314 result reconciles</x:v>
      </x:c>
      <x:c r="E1343" s="21" t="n">
        <x:f>IF('Paper Gates'!I314=IF('Paper Gates'!G314='Paper Gates'!H314,"PASS","FAIL"),1,0)</x:f>
        <x:v>1</x:v>
      </x:c>
      <x:c r="F1343" s="21" t="n">
        <x:v>1</x:v>
      </x:c>
      <x:c r="G1343" s="23" t="str">
        <x:f>IF(E1343=F1343,"PASS","FAIL")</x:f>
        <x:v>PASS</x:v>
      </x:c>
    </x:row>
    <x:row r="1344">
      <x:c r="B1344" s="21" t="str">
        <x:v>A1338</x:v>
      </x:c>
      <x:c r="C1344" s="21" t="str">
        <x:v>paper gate</x:v>
      </x:c>
      <x:c r="D1344" s="21" t="str">
        <x:v>gate 315 binary observation</x:v>
      </x:c>
      <x:c r="E1344" s="21" t="n">
        <x:f>IF(OR('Paper Gates'!G315=0,'Paper Gates'!G315=1),1,0)</x:f>
        <x:v>1</x:v>
      </x:c>
      <x:c r="F1344" s="21" t="n">
        <x:v>1</x:v>
      </x:c>
      <x:c r="G1344" s="23" t="str">
        <x:f>IF(E1344=F1344,"PASS","FAIL")</x:f>
        <x:v>PASS</x:v>
      </x:c>
    </x:row>
    <x:row r="1345">
      <x:c r="B1345" s="21" t="str">
        <x:v>A1339</x:v>
      </x:c>
      <x:c r="C1345" s="21" t="str">
        <x:v>paper gate</x:v>
      </x:c>
      <x:c r="D1345" s="21" t="str">
        <x:v>gate 315 fixed requirement</x:v>
      </x:c>
      <x:c r="E1345" s="21" t="n">
        <x:f>IF('Paper Gates'!H315=1,1,0)</x:f>
        <x:v>1</x:v>
      </x:c>
      <x:c r="F1345" s="21" t="n">
        <x:v>1</x:v>
      </x:c>
      <x:c r="G1345" s="23" t="str">
        <x:f>IF(E1345=F1345,"PASS","FAIL")</x:f>
        <x:v>PASS</x:v>
      </x:c>
    </x:row>
    <x:row r="1346">
      <x:c r="B1346" s="21" t="str">
        <x:v>A1340</x:v>
      </x:c>
      <x:c r="C1346" s="21" t="str">
        <x:v>paper gate</x:v>
      </x:c>
      <x:c r="D1346" s="21" t="str">
        <x:v>gate 315 result reconciles</x:v>
      </x:c>
      <x:c r="E1346" s="21" t="n">
        <x:f>IF('Paper Gates'!I315=IF('Paper Gates'!G315='Paper Gates'!H315,"PASS","FAIL"),1,0)</x:f>
        <x:v>1</x:v>
      </x:c>
      <x:c r="F1346" s="21" t="n">
        <x:v>1</x:v>
      </x:c>
      <x:c r="G1346" s="23" t="str">
        <x:f>IF(E1346=F1346,"PASS","FAIL")</x:f>
        <x:v>PASS</x:v>
      </x:c>
    </x:row>
    <x:row r="1347">
      <x:c r="B1347" s="21" t="str">
        <x:v>A1341</x:v>
      </x:c>
      <x:c r="C1347" s="21" t="str">
        <x:v>paper gate</x:v>
      </x:c>
      <x:c r="D1347" s="21" t="str">
        <x:v>gate 316 binary observation</x:v>
      </x:c>
      <x:c r="E1347" s="21" t="n">
        <x:f>IF(OR('Paper Gates'!G316=0,'Paper Gates'!G316=1),1,0)</x:f>
        <x:v>1</x:v>
      </x:c>
      <x:c r="F1347" s="21" t="n">
        <x:v>1</x:v>
      </x:c>
      <x:c r="G1347" s="23" t="str">
        <x:f>IF(E1347=F1347,"PASS","FAIL")</x:f>
        <x:v>PASS</x:v>
      </x:c>
    </x:row>
    <x:row r="1348">
      <x:c r="B1348" s="21" t="str">
        <x:v>A1342</x:v>
      </x:c>
      <x:c r="C1348" s="21" t="str">
        <x:v>paper gate</x:v>
      </x:c>
      <x:c r="D1348" s="21" t="str">
        <x:v>gate 316 fixed requirement</x:v>
      </x:c>
      <x:c r="E1348" s="21" t="n">
        <x:f>IF('Paper Gates'!H316=1,1,0)</x:f>
        <x:v>1</x:v>
      </x:c>
      <x:c r="F1348" s="21" t="n">
        <x:v>1</x:v>
      </x:c>
      <x:c r="G1348" s="23" t="str">
        <x:f>IF(E1348=F1348,"PASS","FAIL")</x:f>
        <x:v>PASS</x:v>
      </x:c>
    </x:row>
    <x:row r="1349">
      <x:c r="B1349" s="21" t="str">
        <x:v>A1343</x:v>
      </x:c>
      <x:c r="C1349" s="21" t="str">
        <x:v>paper gate</x:v>
      </x:c>
      <x:c r="D1349" s="21" t="str">
        <x:v>gate 316 result reconciles</x:v>
      </x:c>
      <x:c r="E1349" s="21" t="n">
        <x:f>IF('Paper Gates'!I316=IF('Paper Gates'!G316='Paper Gates'!H316,"PASS","FAIL"),1,0)</x:f>
        <x:v>1</x:v>
      </x:c>
      <x:c r="F1349" s="21" t="n">
        <x:v>1</x:v>
      </x:c>
      <x:c r="G1349" s="23" t="str">
        <x:f>IF(E1349=F1349,"PASS","FAIL")</x:f>
        <x:v>PASS</x:v>
      </x:c>
    </x:row>
    <x:row r="1350">
      <x:c r="B1350" s="21" t="str">
        <x:v>A1344</x:v>
      </x:c>
      <x:c r="C1350" s="21" t="str">
        <x:v>paper gate</x:v>
      </x:c>
      <x:c r="D1350" s="21" t="str">
        <x:v>gate 317 binary observation</x:v>
      </x:c>
      <x:c r="E1350" s="21" t="n">
        <x:f>IF(OR('Paper Gates'!G317=0,'Paper Gates'!G317=1),1,0)</x:f>
        <x:v>1</x:v>
      </x:c>
      <x:c r="F1350" s="21" t="n">
        <x:v>1</x:v>
      </x:c>
      <x:c r="G1350" s="23" t="str">
        <x:f>IF(E1350=F1350,"PASS","FAIL")</x:f>
        <x:v>PASS</x:v>
      </x:c>
    </x:row>
    <x:row r="1351">
      <x:c r="B1351" s="21" t="str">
        <x:v>A1345</x:v>
      </x:c>
      <x:c r="C1351" s="21" t="str">
        <x:v>paper gate</x:v>
      </x:c>
      <x:c r="D1351" s="21" t="str">
        <x:v>gate 317 fixed requirement</x:v>
      </x:c>
      <x:c r="E1351" s="21" t="n">
        <x:f>IF('Paper Gates'!H317=1,1,0)</x:f>
        <x:v>1</x:v>
      </x:c>
      <x:c r="F1351" s="21" t="n">
        <x:v>1</x:v>
      </x:c>
      <x:c r="G1351" s="23" t="str">
        <x:f>IF(E1351=F1351,"PASS","FAIL")</x:f>
        <x:v>PASS</x:v>
      </x:c>
    </x:row>
    <x:row r="1352">
      <x:c r="B1352" s="21" t="str">
        <x:v>A1346</x:v>
      </x:c>
      <x:c r="C1352" s="21" t="str">
        <x:v>paper gate</x:v>
      </x:c>
      <x:c r="D1352" s="21" t="str">
        <x:v>gate 317 result reconciles</x:v>
      </x:c>
      <x:c r="E1352" s="21" t="n">
        <x:f>IF('Paper Gates'!I317=IF('Paper Gates'!G317='Paper Gates'!H317,"PASS","FAIL"),1,0)</x:f>
        <x:v>1</x:v>
      </x:c>
      <x:c r="F1352" s="21" t="n">
        <x:v>1</x:v>
      </x:c>
      <x:c r="G1352" s="23" t="str">
        <x:f>IF(E1352=F1352,"PASS","FAIL")</x:f>
        <x:v>PASS</x:v>
      </x:c>
    </x:row>
    <x:row r="1353">
      <x:c r="B1353" s="21" t="str">
        <x:v>A1347</x:v>
      </x:c>
      <x:c r="C1353" s="21" t="str">
        <x:v>paper gate</x:v>
      </x:c>
      <x:c r="D1353" s="21" t="str">
        <x:v>gate 318 binary observation</x:v>
      </x:c>
      <x:c r="E1353" s="21" t="n">
        <x:f>IF(OR('Paper Gates'!G318=0,'Paper Gates'!G318=1),1,0)</x:f>
        <x:v>1</x:v>
      </x:c>
      <x:c r="F1353" s="21" t="n">
        <x:v>1</x:v>
      </x:c>
      <x:c r="G1353" s="23" t="str">
        <x:f>IF(E1353=F1353,"PASS","FAIL")</x:f>
        <x:v>PASS</x:v>
      </x:c>
    </x:row>
    <x:row r="1354">
      <x:c r="B1354" s="21" t="str">
        <x:v>A1348</x:v>
      </x:c>
      <x:c r="C1354" s="21" t="str">
        <x:v>paper gate</x:v>
      </x:c>
      <x:c r="D1354" s="21" t="str">
        <x:v>gate 318 fixed requirement</x:v>
      </x:c>
      <x:c r="E1354" s="21" t="n">
        <x:f>IF('Paper Gates'!H318=1,1,0)</x:f>
        <x:v>1</x:v>
      </x:c>
      <x:c r="F1354" s="21" t="n">
        <x:v>1</x:v>
      </x:c>
      <x:c r="G1354" s="23" t="str">
        <x:f>IF(E1354=F1354,"PASS","FAIL")</x:f>
        <x:v>PASS</x:v>
      </x:c>
    </x:row>
    <x:row r="1355">
      <x:c r="B1355" s="21" t="str">
        <x:v>A1349</x:v>
      </x:c>
      <x:c r="C1355" s="21" t="str">
        <x:v>paper gate</x:v>
      </x:c>
      <x:c r="D1355" s="21" t="str">
        <x:v>gate 318 result reconciles</x:v>
      </x:c>
      <x:c r="E1355" s="21" t="n">
        <x:f>IF('Paper Gates'!I318=IF('Paper Gates'!G318='Paper Gates'!H318,"PASS","FAIL"),1,0)</x:f>
        <x:v>1</x:v>
      </x:c>
      <x:c r="F1355" s="21" t="n">
        <x:v>1</x:v>
      </x:c>
      <x:c r="G1355" s="23" t="str">
        <x:f>IF(E1355=F1355,"PASS","FAIL")</x:f>
        <x:v>PASS</x:v>
      </x:c>
    </x:row>
    <x:row r="1356">
      <x:c r="B1356" s="21" t="str">
        <x:v>A1350</x:v>
      </x:c>
      <x:c r="C1356" s="21" t="str">
        <x:v>paper gate</x:v>
      </x:c>
      <x:c r="D1356" s="21" t="str">
        <x:v>gate 319 binary observation</x:v>
      </x:c>
      <x:c r="E1356" s="21" t="n">
        <x:f>IF(OR('Paper Gates'!G319=0,'Paper Gates'!G319=1),1,0)</x:f>
        <x:v>1</x:v>
      </x:c>
      <x:c r="F1356" s="21" t="n">
        <x:v>1</x:v>
      </x:c>
      <x:c r="G1356" s="23" t="str">
        <x:f>IF(E1356=F1356,"PASS","FAIL")</x:f>
        <x:v>PASS</x:v>
      </x:c>
    </x:row>
    <x:row r="1357">
      <x:c r="B1357" s="21" t="str">
        <x:v>A1351</x:v>
      </x:c>
      <x:c r="C1357" s="21" t="str">
        <x:v>paper gate</x:v>
      </x:c>
      <x:c r="D1357" s="21" t="str">
        <x:v>gate 319 fixed requirement</x:v>
      </x:c>
      <x:c r="E1357" s="21" t="n">
        <x:f>IF('Paper Gates'!H319=1,1,0)</x:f>
        <x:v>1</x:v>
      </x:c>
      <x:c r="F1357" s="21" t="n">
        <x:v>1</x:v>
      </x:c>
      <x:c r="G1357" s="23" t="str">
        <x:f>IF(E1357=F1357,"PASS","FAIL")</x:f>
        <x:v>PASS</x:v>
      </x:c>
    </x:row>
    <x:row r="1358">
      <x:c r="B1358" s="21" t="str">
        <x:v>A1352</x:v>
      </x:c>
      <x:c r="C1358" s="21" t="str">
        <x:v>paper gate</x:v>
      </x:c>
      <x:c r="D1358" s="21" t="str">
        <x:v>gate 319 result reconciles</x:v>
      </x:c>
      <x:c r="E1358" s="21" t="n">
        <x:f>IF('Paper Gates'!I319=IF('Paper Gates'!G319='Paper Gates'!H319,"PASS","FAIL"),1,0)</x:f>
        <x:v>1</x:v>
      </x:c>
      <x:c r="F1358" s="21" t="n">
        <x:v>1</x:v>
      </x:c>
      <x:c r="G1358" s="23" t="str">
        <x:f>IF(E1358=F1358,"PASS","FAIL")</x:f>
        <x:v>PASS</x:v>
      </x:c>
    </x:row>
    <x:row r="1359">
      <x:c r="B1359" s="21" t="str">
        <x:v>A1353</x:v>
      </x:c>
      <x:c r="C1359" s="21" t="str">
        <x:v>paper gate</x:v>
      </x:c>
      <x:c r="D1359" s="21" t="str">
        <x:v>gate 320 binary observation</x:v>
      </x:c>
      <x:c r="E1359" s="21" t="n">
        <x:f>IF(OR('Paper Gates'!G320=0,'Paper Gates'!G320=1),1,0)</x:f>
        <x:v>1</x:v>
      </x:c>
      <x:c r="F1359" s="21" t="n">
        <x:v>1</x:v>
      </x:c>
      <x:c r="G1359" s="23" t="str">
        <x:f>IF(E1359=F1359,"PASS","FAIL")</x:f>
        <x:v>PASS</x:v>
      </x:c>
    </x:row>
    <x:row r="1360">
      <x:c r="B1360" s="21" t="str">
        <x:v>A1354</x:v>
      </x:c>
      <x:c r="C1360" s="21" t="str">
        <x:v>paper gate</x:v>
      </x:c>
      <x:c r="D1360" s="21" t="str">
        <x:v>gate 320 fixed requirement</x:v>
      </x:c>
      <x:c r="E1360" s="21" t="n">
        <x:f>IF('Paper Gates'!H320=1,1,0)</x:f>
        <x:v>1</x:v>
      </x:c>
      <x:c r="F1360" s="21" t="n">
        <x:v>1</x:v>
      </x:c>
      <x:c r="G1360" s="23" t="str">
        <x:f>IF(E1360=F1360,"PASS","FAIL")</x:f>
        <x:v>PASS</x:v>
      </x:c>
    </x:row>
    <x:row r="1361">
      <x:c r="B1361" s="21" t="str">
        <x:v>A1355</x:v>
      </x:c>
      <x:c r="C1361" s="21" t="str">
        <x:v>paper gate</x:v>
      </x:c>
      <x:c r="D1361" s="21" t="str">
        <x:v>gate 320 result reconciles</x:v>
      </x:c>
      <x:c r="E1361" s="21" t="n">
        <x:f>IF('Paper Gates'!I320=IF('Paper Gates'!G320='Paper Gates'!H320,"PASS","FAIL"),1,0)</x:f>
        <x:v>1</x:v>
      </x:c>
      <x:c r="F1361" s="21" t="n">
        <x:v>1</x:v>
      </x:c>
      <x:c r="G1361" s="23" t="str">
        <x:f>IF(E1361=F1361,"PASS","FAIL")</x:f>
        <x:v>PASS</x:v>
      </x:c>
    </x:row>
    <x:row r="1362">
      <x:c r="B1362" s="21" t="str">
        <x:v>A1356</x:v>
      </x:c>
      <x:c r="C1362" s="21" t="str">
        <x:v>paper gate</x:v>
      </x:c>
      <x:c r="D1362" s="21" t="str">
        <x:v>gate 321 binary observation</x:v>
      </x:c>
      <x:c r="E1362" s="21" t="n">
        <x:f>IF(OR('Paper Gates'!G321=0,'Paper Gates'!G321=1),1,0)</x:f>
        <x:v>1</x:v>
      </x:c>
      <x:c r="F1362" s="21" t="n">
        <x:v>1</x:v>
      </x:c>
      <x:c r="G1362" s="23" t="str">
        <x:f>IF(E1362=F1362,"PASS","FAIL")</x:f>
        <x:v>PASS</x:v>
      </x:c>
    </x:row>
    <x:row r="1363">
      <x:c r="B1363" s="21" t="str">
        <x:v>A1357</x:v>
      </x:c>
      <x:c r="C1363" s="21" t="str">
        <x:v>paper gate</x:v>
      </x:c>
      <x:c r="D1363" s="21" t="str">
        <x:v>gate 321 fixed requirement</x:v>
      </x:c>
      <x:c r="E1363" s="21" t="n">
        <x:f>IF('Paper Gates'!H321=1,1,0)</x:f>
        <x:v>1</x:v>
      </x:c>
      <x:c r="F1363" s="21" t="n">
        <x:v>1</x:v>
      </x:c>
      <x:c r="G1363" s="23" t="str">
        <x:f>IF(E1363=F1363,"PASS","FAIL")</x:f>
        <x:v>PASS</x:v>
      </x:c>
    </x:row>
    <x:row r="1364">
      <x:c r="B1364" s="21" t="str">
        <x:v>A1358</x:v>
      </x:c>
      <x:c r="C1364" s="21" t="str">
        <x:v>paper gate</x:v>
      </x:c>
      <x:c r="D1364" s="21" t="str">
        <x:v>gate 321 result reconciles</x:v>
      </x:c>
      <x:c r="E1364" s="21" t="n">
        <x:f>IF('Paper Gates'!I321=IF('Paper Gates'!G321='Paper Gates'!H321,"PASS","FAIL"),1,0)</x:f>
        <x:v>1</x:v>
      </x:c>
      <x:c r="F1364" s="21" t="n">
        <x:v>1</x:v>
      </x:c>
      <x:c r="G1364" s="23" t="str">
        <x:f>IF(E1364=F1364,"PASS","FAIL")</x:f>
        <x:v>PASS</x:v>
      </x:c>
    </x:row>
    <x:row r="1365">
      <x:c r="B1365" s="21" t="str">
        <x:v>A1359</x:v>
      </x:c>
      <x:c r="C1365" s="21" t="str">
        <x:v>paper gate</x:v>
      </x:c>
      <x:c r="D1365" s="21" t="str">
        <x:v>gate 322 binary observation</x:v>
      </x:c>
      <x:c r="E1365" s="21" t="n">
        <x:f>IF(OR('Paper Gates'!G322=0,'Paper Gates'!G322=1),1,0)</x:f>
        <x:v>1</x:v>
      </x:c>
      <x:c r="F1365" s="21" t="n">
        <x:v>1</x:v>
      </x:c>
      <x:c r="G1365" s="23" t="str">
        <x:f>IF(E1365=F1365,"PASS","FAIL")</x:f>
        <x:v>PASS</x:v>
      </x:c>
    </x:row>
    <x:row r="1366">
      <x:c r="B1366" s="21" t="str">
        <x:v>A1360</x:v>
      </x:c>
      <x:c r="C1366" s="21" t="str">
        <x:v>paper gate</x:v>
      </x:c>
      <x:c r="D1366" s="21" t="str">
        <x:v>gate 322 fixed requirement</x:v>
      </x:c>
      <x:c r="E1366" s="21" t="n">
        <x:f>IF('Paper Gates'!H322=1,1,0)</x:f>
        <x:v>1</x:v>
      </x:c>
      <x:c r="F1366" s="21" t="n">
        <x:v>1</x:v>
      </x:c>
      <x:c r="G1366" s="23" t="str">
        <x:f>IF(E1366=F1366,"PASS","FAIL")</x:f>
        <x:v>PASS</x:v>
      </x:c>
    </x:row>
    <x:row r="1367">
      <x:c r="B1367" s="21" t="str">
        <x:v>A1361</x:v>
      </x:c>
      <x:c r="C1367" s="21" t="str">
        <x:v>paper gate</x:v>
      </x:c>
      <x:c r="D1367" s="21" t="str">
        <x:v>gate 322 result reconciles</x:v>
      </x:c>
      <x:c r="E1367" s="21" t="n">
        <x:f>IF('Paper Gates'!I322=IF('Paper Gates'!G322='Paper Gates'!H322,"PASS","FAIL"),1,0)</x:f>
        <x:v>1</x:v>
      </x:c>
      <x:c r="F1367" s="21" t="n">
        <x:v>1</x:v>
      </x:c>
      <x:c r="G1367" s="23" t="str">
        <x:f>IF(E1367=F1367,"PASS","FAIL")</x:f>
        <x:v>PASS</x:v>
      </x:c>
    </x:row>
    <x:row r="1368">
      <x:c r="B1368" s="21" t="str">
        <x:v>A1362</x:v>
      </x:c>
      <x:c r="C1368" s="21" t="str">
        <x:v>paper gate</x:v>
      </x:c>
      <x:c r="D1368" s="21" t="str">
        <x:v>gate 323 binary observation</x:v>
      </x:c>
      <x:c r="E1368" s="21" t="n">
        <x:f>IF(OR('Paper Gates'!G323=0,'Paper Gates'!G323=1),1,0)</x:f>
        <x:v>1</x:v>
      </x:c>
      <x:c r="F1368" s="21" t="n">
        <x:v>1</x:v>
      </x:c>
      <x:c r="G1368" s="23" t="str">
        <x:f>IF(E1368=F1368,"PASS","FAIL")</x:f>
        <x:v>PASS</x:v>
      </x:c>
    </x:row>
    <x:row r="1369">
      <x:c r="B1369" s="21" t="str">
        <x:v>A1363</x:v>
      </x:c>
      <x:c r="C1369" s="21" t="str">
        <x:v>paper gate</x:v>
      </x:c>
      <x:c r="D1369" s="21" t="str">
        <x:v>gate 323 fixed requirement</x:v>
      </x:c>
      <x:c r="E1369" s="21" t="n">
        <x:f>IF('Paper Gates'!H323=1,1,0)</x:f>
        <x:v>1</x:v>
      </x:c>
      <x:c r="F1369" s="21" t="n">
        <x:v>1</x:v>
      </x:c>
      <x:c r="G1369" s="23" t="str">
        <x:f>IF(E1369=F1369,"PASS","FAIL")</x:f>
        <x:v>PASS</x:v>
      </x:c>
    </x:row>
    <x:row r="1370">
      <x:c r="B1370" s="21" t="str">
        <x:v>A1364</x:v>
      </x:c>
      <x:c r="C1370" s="21" t="str">
        <x:v>paper gate</x:v>
      </x:c>
      <x:c r="D1370" s="21" t="str">
        <x:v>gate 323 result reconciles</x:v>
      </x:c>
      <x:c r="E1370" s="21" t="n">
        <x:f>IF('Paper Gates'!I323=IF('Paper Gates'!G323='Paper Gates'!H323,"PASS","FAIL"),1,0)</x:f>
        <x:v>1</x:v>
      </x:c>
      <x:c r="F1370" s="21" t="n">
        <x:v>1</x:v>
      </x:c>
      <x:c r="G1370" s="23" t="str">
        <x:f>IF(E1370=F1370,"PASS","FAIL")</x:f>
        <x:v>PASS</x:v>
      </x:c>
    </x:row>
    <x:row r="1371">
      <x:c r="B1371" s="21" t="str">
        <x:v>A1365</x:v>
      </x:c>
      <x:c r="C1371" s="21" t="str">
        <x:v>paper gate</x:v>
      </x:c>
      <x:c r="D1371" s="21" t="str">
        <x:v>gate 324 binary observation</x:v>
      </x:c>
      <x:c r="E1371" s="21" t="n">
        <x:f>IF(OR('Paper Gates'!G324=0,'Paper Gates'!G324=1),1,0)</x:f>
        <x:v>1</x:v>
      </x:c>
      <x:c r="F1371" s="21" t="n">
        <x:v>1</x:v>
      </x:c>
      <x:c r="G1371" s="23" t="str">
        <x:f>IF(E1371=F1371,"PASS","FAIL")</x:f>
        <x:v>PASS</x:v>
      </x:c>
    </x:row>
    <x:row r="1372">
      <x:c r="B1372" s="21" t="str">
        <x:v>A1366</x:v>
      </x:c>
      <x:c r="C1372" s="21" t="str">
        <x:v>paper gate</x:v>
      </x:c>
      <x:c r="D1372" s="21" t="str">
        <x:v>gate 324 fixed requirement</x:v>
      </x:c>
      <x:c r="E1372" s="21" t="n">
        <x:f>IF('Paper Gates'!H324=1,1,0)</x:f>
        <x:v>1</x:v>
      </x:c>
      <x:c r="F1372" s="21" t="n">
        <x:v>1</x:v>
      </x:c>
      <x:c r="G1372" s="23" t="str">
        <x:f>IF(E1372=F1372,"PASS","FAIL")</x:f>
        <x:v>PASS</x:v>
      </x:c>
    </x:row>
    <x:row r="1373">
      <x:c r="B1373" s="21" t="str">
        <x:v>A1367</x:v>
      </x:c>
      <x:c r="C1373" s="21" t="str">
        <x:v>paper gate</x:v>
      </x:c>
      <x:c r="D1373" s="21" t="str">
        <x:v>gate 324 result reconciles</x:v>
      </x:c>
      <x:c r="E1373" s="21" t="n">
        <x:f>IF('Paper Gates'!I324=IF('Paper Gates'!G324='Paper Gates'!H324,"PASS","FAIL"),1,0)</x:f>
        <x:v>1</x:v>
      </x:c>
      <x:c r="F1373" s="21" t="n">
        <x:v>1</x:v>
      </x:c>
      <x:c r="G1373" s="23" t="str">
        <x:f>IF(E1373=F1373,"PASS","FAIL")</x:f>
        <x:v>PASS</x:v>
      </x:c>
    </x:row>
    <x:row r="1374">
      <x:c r="B1374" s="21" t="str">
        <x:v>A1368</x:v>
      </x:c>
      <x:c r="C1374" s="21" t="str">
        <x:v>paper gate</x:v>
      </x:c>
      <x:c r="D1374" s="21" t="str">
        <x:v>gate 325 binary observation</x:v>
      </x:c>
      <x:c r="E1374" s="21" t="n">
        <x:f>IF(OR('Paper Gates'!G325=0,'Paper Gates'!G325=1),1,0)</x:f>
        <x:v>1</x:v>
      </x:c>
      <x:c r="F1374" s="21" t="n">
        <x:v>1</x:v>
      </x:c>
      <x:c r="G1374" s="23" t="str">
        <x:f>IF(E1374=F1374,"PASS","FAIL")</x:f>
        <x:v>PASS</x:v>
      </x:c>
    </x:row>
    <x:row r="1375">
      <x:c r="B1375" s="21" t="str">
        <x:v>A1369</x:v>
      </x:c>
      <x:c r="C1375" s="21" t="str">
        <x:v>paper gate</x:v>
      </x:c>
      <x:c r="D1375" s="21" t="str">
        <x:v>gate 325 fixed requirement</x:v>
      </x:c>
      <x:c r="E1375" s="21" t="n">
        <x:f>IF('Paper Gates'!H325=1,1,0)</x:f>
        <x:v>1</x:v>
      </x:c>
      <x:c r="F1375" s="21" t="n">
        <x:v>1</x:v>
      </x:c>
      <x:c r="G1375" s="23" t="str">
        <x:f>IF(E1375=F1375,"PASS","FAIL")</x:f>
        <x:v>PASS</x:v>
      </x:c>
    </x:row>
    <x:row r="1376">
      <x:c r="B1376" s="21" t="str">
        <x:v>A1370</x:v>
      </x:c>
      <x:c r="C1376" s="21" t="str">
        <x:v>paper gate</x:v>
      </x:c>
      <x:c r="D1376" s="21" t="str">
        <x:v>gate 325 result reconciles</x:v>
      </x:c>
      <x:c r="E1376" s="21" t="n">
        <x:f>IF('Paper Gates'!I325=IF('Paper Gates'!G325='Paper Gates'!H325,"PASS","FAIL"),1,0)</x:f>
        <x:v>1</x:v>
      </x:c>
      <x:c r="F1376" s="21" t="n">
        <x:v>1</x:v>
      </x:c>
      <x:c r="G1376" s="23" t="str">
        <x:f>IF(E1376=F1376,"PASS","FAIL")</x:f>
        <x:v>PASS</x:v>
      </x:c>
    </x:row>
    <x:row r="1377">
      <x:c r="B1377" s="21" t="str">
        <x:v>A1371</x:v>
      </x:c>
      <x:c r="C1377" s="21" t="str">
        <x:v>paper gate</x:v>
      </x:c>
      <x:c r="D1377" s="21" t="str">
        <x:v>gate 326 binary observation</x:v>
      </x:c>
      <x:c r="E1377" s="21" t="n">
        <x:f>IF(OR('Paper Gates'!G326=0,'Paper Gates'!G326=1),1,0)</x:f>
        <x:v>1</x:v>
      </x:c>
      <x:c r="F1377" s="21" t="n">
        <x:v>1</x:v>
      </x:c>
      <x:c r="G1377" s="23" t="str">
        <x:f>IF(E1377=F1377,"PASS","FAIL")</x:f>
        <x:v>PASS</x:v>
      </x:c>
    </x:row>
    <x:row r="1378">
      <x:c r="B1378" s="21" t="str">
        <x:v>A1372</x:v>
      </x:c>
      <x:c r="C1378" s="21" t="str">
        <x:v>paper gate</x:v>
      </x:c>
      <x:c r="D1378" s="21" t="str">
        <x:v>gate 326 fixed requirement</x:v>
      </x:c>
      <x:c r="E1378" s="21" t="n">
        <x:f>IF('Paper Gates'!H326=1,1,0)</x:f>
        <x:v>1</x:v>
      </x:c>
      <x:c r="F1378" s="21" t="n">
        <x:v>1</x:v>
      </x:c>
      <x:c r="G1378" s="23" t="str">
        <x:f>IF(E1378=F1378,"PASS","FAIL")</x:f>
        <x:v>PASS</x:v>
      </x:c>
    </x:row>
    <x:row r="1379">
      <x:c r="B1379" s="21" t="str">
        <x:v>A1373</x:v>
      </x:c>
      <x:c r="C1379" s="21" t="str">
        <x:v>paper gate</x:v>
      </x:c>
      <x:c r="D1379" s="21" t="str">
        <x:v>gate 326 result reconciles</x:v>
      </x:c>
      <x:c r="E1379" s="21" t="n">
        <x:f>IF('Paper Gates'!I326=IF('Paper Gates'!G326='Paper Gates'!H326,"PASS","FAIL"),1,0)</x:f>
        <x:v>1</x:v>
      </x:c>
      <x:c r="F1379" s="21" t="n">
        <x:v>1</x:v>
      </x:c>
      <x:c r="G1379" s="23" t="str">
        <x:f>IF(E1379=F1379,"PASS","FAIL")</x:f>
        <x:v>PASS</x:v>
      </x:c>
    </x:row>
    <x:row r="1380">
      <x:c r="B1380" s="21" t="str">
        <x:v>A1374</x:v>
      </x:c>
      <x:c r="C1380" s="21" t="str">
        <x:v>paper gate</x:v>
      </x:c>
      <x:c r="D1380" s="21" t="str">
        <x:v>gate 327 binary observation</x:v>
      </x:c>
      <x:c r="E1380" s="21" t="n">
        <x:f>IF(OR('Paper Gates'!G327=0,'Paper Gates'!G327=1),1,0)</x:f>
        <x:v>1</x:v>
      </x:c>
      <x:c r="F1380" s="21" t="n">
        <x:v>1</x:v>
      </x:c>
      <x:c r="G1380" s="23" t="str">
        <x:f>IF(E1380=F1380,"PASS","FAIL")</x:f>
        <x:v>PASS</x:v>
      </x:c>
    </x:row>
    <x:row r="1381">
      <x:c r="B1381" s="21" t="str">
        <x:v>A1375</x:v>
      </x:c>
      <x:c r="C1381" s="21" t="str">
        <x:v>paper gate</x:v>
      </x:c>
      <x:c r="D1381" s="21" t="str">
        <x:v>gate 327 fixed requirement</x:v>
      </x:c>
      <x:c r="E1381" s="21" t="n">
        <x:f>IF('Paper Gates'!H327=1,1,0)</x:f>
        <x:v>1</x:v>
      </x:c>
      <x:c r="F1381" s="21" t="n">
        <x:v>1</x:v>
      </x:c>
      <x:c r="G1381" s="23" t="str">
        <x:f>IF(E1381=F1381,"PASS","FAIL")</x:f>
        <x:v>PASS</x:v>
      </x:c>
    </x:row>
    <x:row r="1382">
      <x:c r="B1382" s="21" t="str">
        <x:v>A1376</x:v>
      </x:c>
      <x:c r="C1382" s="21" t="str">
        <x:v>paper gate</x:v>
      </x:c>
      <x:c r="D1382" s="21" t="str">
        <x:v>gate 327 result reconciles</x:v>
      </x:c>
      <x:c r="E1382" s="21" t="n">
        <x:f>IF('Paper Gates'!I327=IF('Paper Gates'!G327='Paper Gates'!H327,"PASS","FAIL"),1,0)</x:f>
        <x:v>1</x:v>
      </x:c>
      <x:c r="F1382" s="21" t="n">
        <x:v>1</x:v>
      </x:c>
      <x:c r="G1382" s="23" t="str">
        <x:f>IF(E1382=F1382,"PASS","FAIL")</x:f>
        <x:v>PASS</x:v>
      </x:c>
    </x:row>
    <x:row r="1383">
      <x:c r="B1383" s="21" t="str">
        <x:v>A1377</x:v>
      </x:c>
      <x:c r="C1383" s="21" t="str">
        <x:v>paper gate</x:v>
      </x:c>
      <x:c r="D1383" s="21" t="str">
        <x:v>gate 328 binary observation</x:v>
      </x:c>
      <x:c r="E1383" s="21" t="n">
        <x:f>IF(OR('Paper Gates'!G328=0,'Paper Gates'!G328=1),1,0)</x:f>
        <x:v>1</x:v>
      </x:c>
      <x:c r="F1383" s="21" t="n">
        <x:v>1</x:v>
      </x:c>
      <x:c r="G1383" s="23" t="str">
        <x:f>IF(E1383=F1383,"PASS","FAIL")</x:f>
        <x:v>PASS</x:v>
      </x:c>
    </x:row>
    <x:row r="1384">
      <x:c r="B1384" s="21" t="str">
        <x:v>A1378</x:v>
      </x:c>
      <x:c r="C1384" s="21" t="str">
        <x:v>paper gate</x:v>
      </x:c>
      <x:c r="D1384" s="21" t="str">
        <x:v>gate 328 fixed requirement</x:v>
      </x:c>
      <x:c r="E1384" s="21" t="n">
        <x:f>IF('Paper Gates'!H328=1,1,0)</x:f>
        <x:v>1</x:v>
      </x:c>
      <x:c r="F1384" s="21" t="n">
        <x:v>1</x:v>
      </x:c>
      <x:c r="G1384" s="23" t="str">
        <x:f>IF(E1384=F1384,"PASS","FAIL")</x:f>
        <x:v>PASS</x:v>
      </x:c>
    </x:row>
    <x:row r="1385">
      <x:c r="B1385" s="21" t="str">
        <x:v>A1379</x:v>
      </x:c>
      <x:c r="C1385" s="21" t="str">
        <x:v>paper gate</x:v>
      </x:c>
      <x:c r="D1385" s="21" t="str">
        <x:v>gate 328 result reconciles</x:v>
      </x:c>
      <x:c r="E1385" s="21" t="n">
        <x:f>IF('Paper Gates'!I328=IF('Paper Gates'!G328='Paper Gates'!H328,"PASS","FAIL"),1,0)</x:f>
        <x:v>1</x:v>
      </x:c>
      <x:c r="F1385" s="21" t="n">
        <x:v>1</x:v>
      </x:c>
      <x:c r="G1385" s="23" t="str">
        <x:f>IF(E1385=F1385,"PASS","FAIL")</x:f>
        <x:v>PASS</x:v>
      </x:c>
    </x:row>
    <x:row r="1386">
      <x:c r="B1386" s="21" t="str">
        <x:v>A1380</x:v>
      </x:c>
      <x:c r="C1386" s="21" t="str">
        <x:v>paper gate</x:v>
      </x:c>
      <x:c r="D1386" s="21" t="str">
        <x:v>gate 329 binary observation</x:v>
      </x:c>
      <x:c r="E1386" s="21" t="n">
        <x:f>IF(OR('Paper Gates'!G329=0,'Paper Gates'!G329=1),1,0)</x:f>
        <x:v>1</x:v>
      </x:c>
      <x:c r="F1386" s="21" t="n">
        <x:v>1</x:v>
      </x:c>
      <x:c r="G1386" s="23" t="str">
        <x:f>IF(E1386=F1386,"PASS","FAIL")</x:f>
        <x:v>PASS</x:v>
      </x:c>
    </x:row>
    <x:row r="1387">
      <x:c r="B1387" s="21" t="str">
        <x:v>A1381</x:v>
      </x:c>
      <x:c r="C1387" s="21" t="str">
        <x:v>paper gate</x:v>
      </x:c>
      <x:c r="D1387" s="21" t="str">
        <x:v>gate 329 fixed requirement</x:v>
      </x:c>
      <x:c r="E1387" s="21" t="n">
        <x:f>IF('Paper Gates'!H329=1,1,0)</x:f>
        <x:v>1</x:v>
      </x:c>
      <x:c r="F1387" s="21" t="n">
        <x:v>1</x:v>
      </x:c>
      <x:c r="G1387" s="23" t="str">
        <x:f>IF(E1387=F1387,"PASS","FAIL")</x:f>
        <x:v>PASS</x:v>
      </x:c>
    </x:row>
    <x:row r="1388">
      <x:c r="B1388" s="21" t="str">
        <x:v>A1382</x:v>
      </x:c>
      <x:c r="C1388" s="21" t="str">
        <x:v>paper gate</x:v>
      </x:c>
      <x:c r="D1388" s="21" t="str">
        <x:v>gate 329 result reconciles</x:v>
      </x:c>
      <x:c r="E1388" s="21" t="n">
        <x:f>IF('Paper Gates'!I329=IF('Paper Gates'!G329='Paper Gates'!H329,"PASS","FAIL"),1,0)</x:f>
        <x:v>1</x:v>
      </x:c>
      <x:c r="F1388" s="21" t="n">
        <x:v>1</x:v>
      </x:c>
      <x:c r="G1388" s="23" t="str">
        <x:f>IF(E1388=F1388,"PASS","FAIL")</x:f>
        <x:v>PASS</x:v>
      </x:c>
    </x:row>
    <x:row r="1389">
      <x:c r="B1389" s="21" t="str">
        <x:v>A1383</x:v>
      </x:c>
      <x:c r="C1389" s="21" t="str">
        <x:v>paper gate</x:v>
      </x:c>
      <x:c r="D1389" s="21" t="str">
        <x:v>gate 330 binary observation</x:v>
      </x:c>
      <x:c r="E1389" s="21" t="n">
        <x:f>IF(OR('Paper Gates'!G330=0,'Paper Gates'!G330=1),1,0)</x:f>
        <x:v>1</x:v>
      </x:c>
      <x:c r="F1389" s="21" t="n">
        <x:v>1</x:v>
      </x:c>
      <x:c r="G1389" s="23" t="str">
        <x:f>IF(E1389=F1389,"PASS","FAIL")</x:f>
        <x:v>PASS</x:v>
      </x:c>
    </x:row>
    <x:row r="1390">
      <x:c r="B1390" s="21" t="str">
        <x:v>A1384</x:v>
      </x:c>
      <x:c r="C1390" s="21" t="str">
        <x:v>paper gate</x:v>
      </x:c>
      <x:c r="D1390" s="21" t="str">
        <x:v>gate 330 fixed requirement</x:v>
      </x:c>
      <x:c r="E1390" s="21" t="n">
        <x:f>IF('Paper Gates'!H330=1,1,0)</x:f>
        <x:v>1</x:v>
      </x:c>
      <x:c r="F1390" s="21" t="n">
        <x:v>1</x:v>
      </x:c>
      <x:c r="G1390" s="23" t="str">
        <x:f>IF(E1390=F1390,"PASS","FAIL")</x:f>
        <x:v>PASS</x:v>
      </x:c>
    </x:row>
    <x:row r="1391">
      <x:c r="B1391" s="21" t="str">
        <x:v>A1385</x:v>
      </x:c>
      <x:c r="C1391" s="21" t="str">
        <x:v>paper gate</x:v>
      </x:c>
      <x:c r="D1391" s="21" t="str">
        <x:v>gate 330 result reconciles</x:v>
      </x:c>
      <x:c r="E1391" s="21" t="n">
        <x:f>IF('Paper Gates'!I330=IF('Paper Gates'!G330='Paper Gates'!H330,"PASS","FAIL"),1,0)</x:f>
        <x:v>1</x:v>
      </x:c>
      <x:c r="F1391" s="21" t="n">
        <x:v>1</x:v>
      </x:c>
      <x:c r="G1391" s="23" t="str">
        <x:f>IF(E1391=F1391,"PASS","FAIL")</x:f>
        <x:v>PASS</x:v>
      </x:c>
    </x:row>
    <x:row r="1392">
      <x:c r="B1392" s="21" t="str">
        <x:v>A1386</x:v>
      </x:c>
      <x:c r="C1392" s="21" t="str">
        <x:v>paper gate</x:v>
      </x:c>
      <x:c r="D1392" s="21" t="str">
        <x:v>gate 331 binary observation</x:v>
      </x:c>
      <x:c r="E1392" s="21" t="n">
        <x:f>IF(OR('Paper Gates'!G331=0,'Paper Gates'!G331=1),1,0)</x:f>
        <x:v>1</x:v>
      </x:c>
      <x:c r="F1392" s="21" t="n">
        <x:v>1</x:v>
      </x:c>
      <x:c r="G1392" s="23" t="str">
        <x:f>IF(E1392=F1392,"PASS","FAIL")</x:f>
        <x:v>PASS</x:v>
      </x:c>
    </x:row>
    <x:row r="1393">
      <x:c r="B1393" s="21" t="str">
        <x:v>A1387</x:v>
      </x:c>
      <x:c r="C1393" s="21" t="str">
        <x:v>paper gate</x:v>
      </x:c>
      <x:c r="D1393" s="21" t="str">
        <x:v>gate 331 fixed requirement</x:v>
      </x:c>
      <x:c r="E1393" s="21" t="n">
        <x:f>IF('Paper Gates'!H331=1,1,0)</x:f>
        <x:v>1</x:v>
      </x:c>
      <x:c r="F1393" s="21" t="n">
        <x:v>1</x:v>
      </x:c>
      <x:c r="G1393" s="23" t="str">
        <x:f>IF(E1393=F1393,"PASS","FAIL")</x:f>
        <x:v>PASS</x:v>
      </x:c>
    </x:row>
    <x:row r="1394">
      <x:c r="B1394" s="21" t="str">
        <x:v>A1388</x:v>
      </x:c>
      <x:c r="C1394" s="21" t="str">
        <x:v>paper gate</x:v>
      </x:c>
      <x:c r="D1394" s="21" t="str">
        <x:v>gate 331 result reconciles</x:v>
      </x:c>
      <x:c r="E1394" s="21" t="n">
        <x:f>IF('Paper Gates'!I331=IF('Paper Gates'!G331='Paper Gates'!H331,"PASS","FAIL"),1,0)</x:f>
        <x:v>1</x:v>
      </x:c>
      <x:c r="F1394" s="21" t="n">
        <x:v>1</x:v>
      </x:c>
      <x:c r="G1394" s="23" t="str">
        <x:f>IF(E1394=F1394,"PASS","FAIL")</x:f>
        <x:v>PASS</x:v>
      </x:c>
    </x:row>
    <x:row r="1395">
      <x:c r="B1395" s="21" t="str">
        <x:v>A1389</x:v>
      </x:c>
      <x:c r="C1395" s="21" t="str">
        <x:v>paper gate</x:v>
      </x:c>
      <x:c r="D1395" s="21" t="str">
        <x:v>gate 332 binary observation</x:v>
      </x:c>
      <x:c r="E1395" s="21" t="n">
        <x:f>IF(OR('Paper Gates'!G332=0,'Paper Gates'!G332=1),1,0)</x:f>
        <x:v>1</x:v>
      </x:c>
      <x:c r="F1395" s="21" t="n">
        <x:v>1</x:v>
      </x:c>
      <x:c r="G1395" s="23" t="str">
        <x:f>IF(E1395=F1395,"PASS","FAIL")</x:f>
        <x:v>PASS</x:v>
      </x:c>
    </x:row>
    <x:row r="1396">
      <x:c r="B1396" s="21" t="str">
        <x:v>A1390</x:v>
      </x:c>
      <x:c r="C1396" s="21" t="str">
        <x:v>paper gate</x:v>
      </x:c>
      <x:c r="D1396" s="21" t="str">
        <x:v>gate 332 fixed requirement</x:v>
      </x:c>
      <x:c r="E1396" s="21" t="n">
        <x:f>IF('Paper Gates'!H332=1,1,0)</x:f>
        <x:v>1</x:v>
      </x:c>
      <x:c r="F1396" s="21" t="n">
        <x:v>1</x:v>
      </x:c>
      <x:c r="G1396" s="23" t="str">
        <x:f>IF(E1396=F1396,"PASS","FAIL")</x:f>
        <x:v>PASS</x:v>
      </x:c>
    </x:row>
    <x:row r="1397">
      <x:c r="B1397" s="21" t="str">
        <x:v>A1391</x:v>
      </x:c>
      <x:c r="C1397" s="21" t="str">
        <x:v>paper gate</x:v>
      </x:c>
      <x:c r="D1397" s="21" t="str">
        <x:v>gate 332 result reconciles</x:v>
      </x:c>
      <x:c r="E1397" s="21" t="n">
        <x:f>IF('Paper Gates'!I332=IF('Paper Gates'!G332='Paper Gates'!H332,"PASS","FAIL"),1,0)</x:f>
        <x:v>1</x:v>
      </x:c>
      <x:c r="F1397" s="21" t="n">
        <x:v>1</x:v>
      </x:c>
      <x:c r="G1397" s="23" t="str">
        <x:f>IF(E1397=F1397,"PASS","FAIL")</x:f>
        <x:v>PASS</x:v>
      </x:c>
    </x:row>
    <x:row r="1398">
      <x:c r="B1398" s="21" t="str">
        <x:v>A1392</x:v>
      </x:c>
      <x:c r="C1398" s="21" t="str">
        <x:v>paper gate</x:v>
      </x:c>
      <x:c r="D1398" s="21" t="str">
        <x:v>gate 333 binary observation</x:v>
      </x:c>
      <x:c r="E1398" s="21" t="n">
        <x:f>IF(OR('Paper Gates'!G333=0,'Paper Gates'!G333=1),1,0)</x:f>
        <x:v>1</x:v>
      </x:c>
      <x:c r="F1398" s="21" t="n">
        <x:v>1</x:v>
      </x:c>
      <x:c r="G1398" s="23" t="str">
        <x:f>IF(E1398=F1398,"PASS","FAIL")</x:f>
        <x:v>PASS</x:v>
      </x:c>
    </x:row>
    <x:row r="1399">
      <x:c r="B1399" s="21" t="str">
        <x:v>A1393</x:v>
      </x:c>
      <x:c r="C1399" s="21" t="str">
        <x:v>paper gate</x:v>
      </x:c>
      <x:c r="D1399" s="21" t="str">
        <x:v>gate 333 fixed requirement</x:v>
      </x:c>
      <x:c r="E1399" s="21" t="n">
        <x:f>IF('Paper Gates'!H333=1,1,0)</x:f>
        <x:v>1</x:v>
      </x:c>
      <x:c r="F1399" s="21" t="n">
        <x:v>1</x:v>
      </x:c>
      <x:c r="G1399" s="23" t="str">
        <x:f>IF(E1399=F1399,"PASS","FAIL")</x:f>
        <x:v>PASS</x:v>
      </x:c>
    </x:row>
    <x:row r="1400">
      <x:c r="B1400" s="21" t="str">
        <x:v>A1394</x:v>
      </x:c>
      <x:c r="C1400" s="21" t="str">
        <x:v>paper gate</x:v>
      </x:c>
      <x:c r="D1400" s="21" t="str">
        <x:v>gate 333 result reconciles</x:v>
      </x:c>
      <x:c r="E1400" s="21" t="n">
        <x:f>IF('Paper Gates'!I333=IF('Paper Gates'!G333='Paper Gates'!H333,"PASS","FAIL"),1,0)</x:f>
        <x:v>1</x:v>
      </x:c>
      <x:c r="F1400" s="21" t="n">
        <x:v>1</x:v>
      </x:c>
      <x:c r="G1400" s="23" t="str">
        <x:f>IF(E1400=F1400,"PASS","FAIL")</x:f>
        <x:v>PASS</x:v>
      </x:c>
    </x:row>
    <x:row r="1401">
      <x:c r="B1401" s="21" t="str">
        <x:v>A1395</x:v>
      </x:c>
      <x:c r="C1401" s="21" t="str">
        <x:v>paper gate</x:v>
      </x:c>
      <x:c r="D1401" s="21" t="str">
        <x:v>gate 334 binary observation</x:v>
      </x:c>
      <x:c r="E1401" s="21" t="n">
        <x:f>IF(OR('Paper Gates'!G334=0,'Paper Gates'!G334=1),1,0)</x:f>
        <x:v>1</x:v>
      </x:c>
      <x:c r="F1401" s="21" t="n">
        <x:v>1</x:v>
      </x:c>
      <x:c r="G1401" s="23" t="str">
        <x:f>IF(E1401=F1401,"PASS","FAIL")</x:f>
        <x:v>PASS</x:v>
      </x:c>
    </x:row>
    <x:row r="1402">
      <x:c r="B1402" s="21" t="str">
        <x:v>A1396</x:v>
      </x:c>
      <x:c r="C1402" s="21" t="str">
        <x:v>paper gate</x:v>
      </x:c>
      <x:c r="D1402" s="21" t="str">
        <x:v>gate 334 fixed requirement</x:v>
      </x:c>
      <x:c r="E1402" s="21" t="n">
        <x:f>IF('Paper Gates'!H334=1,1,0)</x:f>
        <x:v>1</x:v>
      </x:c>
      <x:c r="F1402" s="21" t="n">
        <x:v>1</x:v>
      </x:c>
      <x:c r="G1402" s="23" t="str">
        <x:f>IF(E1402=F1402,"PASS","FAIL")</x:f>
        <x:v>PASS</x:v>
      </x:c>
    </x:row>
    <x:row r="1403">
      <x:c r="B1403" s="21" t="str">
        <x:v>A1397</x:v>
      </x:c>
      <x:c r="C1403" s="21" t="str">
        <x:v>paper gate</x:v>
      </x:c>
      <x:c r="D1403" s="21" t="str">
        <x:v>gate 334 result reconciles</x:v>
      </x:c>
      <x:c r="E1403" s="21" t="n">
        <x:f>IF('Paper Gates'!I334=IF('Paper Gates'!G334='Paper Gates'!H334,"PASS","FAIL"),1,0)</x:f>
        <x:v>1</x:v>
      </x:c>
      <x:c r="F1403" s="21" t="n">
        <x:v>1</x:v>
      </x:c>
      <x:c r="G1403" s="23" t="str">
        <x:f>IF(E1403=F1403,"PASS","FAIL")</x:f>
        <x:v>PASS</x:v>
      </x:c>
    </x:row>
    <x:row r="1404">
      <x:c r="B1404" s="21" t="str">
        <x:v>A1398</x:v>
      </x:c>
      <x:c r="C1404" s="21" t="str">
        <x:v>paper gate</x:v>
      </x:c>
      <x:c r="D1404" s="21" t="str">
        <x:v>gate 335 binary observation</x:v>
      </x:c>
      <x:c r="E1404" s="21" t="n">
        <x:f>IF(OR('Paper Gates'!G335=0,'Paper Gates'!G335=1),1,0)</x:f>
        <x:v>1</x:v>
      </x:c>
      <x:c r="F1404" s="21" t="n">
        <x:v>1</x:v>
      </x:c>
      <x:c r="G1404" s="23" t="str">
        <x:f>IF(E1404=F1404,"PASS","FAIL")</x:f>
        <x:v>PASS</x:v>
      </x:c>
    </x:row>
    <x:row r="1405">
      <x:c r="B1405" s="21" t="str">
        <x:v>A1399</x:v>
      </x:c>
      <x:c r="C1405" s="21" t="str">
        <x:v>paper gate</x:v>
      </x:c>
      <x:c r="D1405" s="21" t="str">
        <x:v>gate 335 fixed requirement</x:v>
      </x:c>
      <x:c r="E1405" s="21" t="n">
        <x:f>IF('Paper Gates'!H335=1,1,0)</x:f>
        <x:v>1</x:v>
      </x:c>
      <x:c r="F1405" s="21" t="n">
        <x:v>1</x:v>
      </x:c>
      <x:c r="G1405" s="23" t="str">
        <x:f>IF(E1405=F1405,"PASS","FAIL")</x:f>
        <x:v>PASS</x:v>
      </x:c>
    </x:row>
    <x:row r="1406">
      <x:c r="B1406" s="21" t="str">
        <x:v>A1400</x:v>
      </x:c>
      <x:c r="C1406" s="21" t="str">
        <x:v>paper gate</x:v>
      </x:c>
      <x:c r="D1406" s="21" t="str">
        <x:v>gate 335 result reconciles</x:v>
      </x:c>
      <x:c r="E1406" s="21" t="n">
        <x:f>IF('Paper Gates'!I335=IF('Paper Gates'!G335='Paper Gates'!H335,"PASS","FAIL"),1,0)</x:f>
        <x:v>1</x:v>
      </x:c>
      <x:c r="F1406" s="21" t="n">
        <x:v>1</x:v>
      </x:c>
      <x:c r="G1406" s="23" t="str">
        <x:f>IF(E1406=F1406,"PASS","FAIL")</x:f>
        <x:v>PASS</x:v>
      </x:c>
    </x:row>
    <x:row r="1407">
      <x:c r="B1407" s="21" t="str">
        <x:v>A1401</x:v>
      </x:c>
      <x:c r="C1407" s="21" t="str">
        <x:v>paper gate</x:v>
      </x:c>
      <x:c r="D1407" s="21" t="str">
        <x:v>gate 336 binary observation</x:v>
      </x:c>
      <x:c r="E1407" s="21" t="n">
        <x:f>IF(OR('Paper Gates'!G336=0,'Paper Gates'!G336=1),1,0)</x:f>
        <x:v>1</x:v>
      </x:c>
      <x:c r="F1407" s="21" t="n">
        <x:v>1</x:v>
      </x:c>
      <x:c r="G1407" s="23" t="str">
        <x:f>IF(E1407=F1407,"PASS","FAIL")</x:f>
        <x:v>PASS</x:v>
      </x:c>
    </x:row>
    <x:row r="1408">
      <x:c r="B1408" s="21" t="str">
        <x:v>A1402</x:v>
      </x:c>
      <x:c r="C1408" s="21" t="str">
        <x:v>paper gate</x:v>
      </x:c>
      <x:c r="D1408" s="21" t="str">
        <x:v>gate 336 fixed requirement</x:v>
      </x:c>
      <x:c r="E1408" s="21" t="n">
        <x:f>IF('Paper Gates'!H336=1,1,0)</x:f>
        <x:v>1</x:v>
      </x:c>
      <x:c r="F1408" s="21" t="n">
        <x:v>1</x:v>
      </x:c>
      <x:c r="G1408" s="23" t="str">
        <x:f>IF(E1408=F1408,"PASS","FAIL")</x:f>
        <x:v>PASS</x:v>
      </x:c>
    </x:row>
    <x:row r="1409">
      <x:c r="B1409" s="21" t="str">
        <x:v>A1403</x:v>
      </x:c>
      <x:c r="C1409" s="21" t="str">
        <x:v>paper gate</x:v>
      </x:c>
      <x:c r="D1409" s="21" t="str">
        <x:v>gate 336 result reconciles</x:v>
      </x:c>
      <x:c r="E1409" s="21" t="n">
        <x:f>IF('Paper Gates'!I336=IF('Paper Gates'!G336='Paper Gates'!H336,"PASS","FAIL"),1,0)</x:f>
        <x:v>1</x:v>
      </x:c>
      <x:c r="F1409" s="21" t="n">
        <x:v>1</x:v>
      </x:c>
      <x:c r="G1409" s="23" t="str">
        <x:f>IF(E1409=F1409,"PASS","FAIL")</x:f>
        <x:v>PASS</x:v>
      </x:c>
    </x:row>
    <x:row r="1410">
      <x:c r="B1410" s="21" t="str">
        <x:v>A1404</x:v>
      </x:c>
      <x:c r="C1410" s="21" t="str">
        <x:v>paper gate</x:v>
      </x:c>
      <x:c r="D1410" s="21" t="str">
        <x:v>gate 337 binary observation</x:v>
      </x:c>
      <x:c r="E1410" s="21" t="n">
        <x:f>IF(OR('Paper Gates'!G337=0,'Paper Gates'!G337=1),1,0)</x:f>
        <x:v>1</x:v>
      </x:c>
      <x:c r="F1410" s="21" t="n">
        <x:v>1</x:v>
      </x:c>
      <x:c r="G1410" s="23" t="str">
        <x:f>IF(E1410=F1410,"PASS","FAIL")</x:f>
        <x:v>PASS</x:v>
      </x:c>
    </x:row>
    <x:row r="1411">
      <x:c r="B1411" s="21" t="str">
        <x:v>A1405</x:v>
      </x:c>
      <x:c r="C1411" s="21" t="str">
        <x:v>paper gate</x:v>
      </x:c>
      <x:c r="D1411" s="21" t="str">
        <x:v>gate 337 fixed requirement</x:v>
      </x:c>
      <x:c r="E1411" s="21" t="n">
        <x:f>IF('Paper Gates'!H337=1,1,0)</x:f>
        <x:v>1</x:v>
      </x:c>
      <x:c r="F1411" s="21" t="n">
        <x:v>1</x:v>
      </x:c>
      <x:c r="G1411" s="23" t="str">
        <x:f>IF(E1411=F1411,"PASS","FAIL")</x:f>
        <x:v>PASS</x:v>
      </x:c>
    </x:row>
    <x:row r="1412">
      <x:c r="B1412" s="21" t="str">
        <x:v>A1406</x:v>
      </x:c>
      <x:c r="C1412" s="21" t="str">
        <x:v>paper gate</x:v>
      </x:c>
      <x:c r="D1412" s="21" t="str">
        <x:v>gate 337 result reconciles</x:v>
      </x:c>
      <x:c r="E1412" s="21" t="n">
        <x:f>IF('Paper Gates'!I337=IF('Paper Gates'!G337='Paper Gates'!H337,"PASS","FAIL"),1,0)</x:f>
        <x:v>1</x:v>
      </x:c>
      <x:c r="F1412" s="21" t="n">
        <x:v>1</x:v>
      </x:c>
      <x:c r="G1412" s="23" t="str">
        <x:f>IF(E1412=F1412,"PASS","FAIL")</x:f>
        <x:v>PASS</x:v>
      </x:c>
    </x:row>
    <x:row r="1413">
      <x:c r="B1413" s="21" t="str">
        <x:v>A1407</x:v>
      </x:c>
      <x:c r="C1413" s="21" t="str">
        <x:v>paper gate</x:v>
      </x:c>
      <x:c r="D1413" s="21" t="str">
        <x:v>gate 338 binary observation</x:v>
      </x:c>
      <x:c r="E1413" s="21" t="n">
        <x:f>IF(OR('Paper Gates'!G338=0,'Paper Gates'!G338=1),1,0)</x:f>
        <x:v>1</x:v>
      </x:c>
      <x:c r="F1413" s="21" t="n">
        <x:v>1</x:v>
      </x:c>
      <x:c r="G1413" s="23" t="str">
        <x:f>IF(E1413=F1413,"PASS","FAIL")</x:f>
        <x:v>PASS</x:v>
      </x:c>
    </x:row>
    <x:row r="1414">
      <x:c r="B1414" s="21" t="str">
        <x:v>A1408</x:v>
      </x:c>
      <x:c r="C1414" s="21" t="str">
        <x:v>paper gate</x:v>
      </x:c>
      <x:c r="D1414" s="21" t="str">
        <x:v>gate 338 fixed requirement</x:v>
      </x:c>
      <x:c r="E1414" s="21" t="n">
        <x:f>IF('Paper Gates'!H338=1,1,0)</x:f>
        <x:v>1</x:v>
      </x:c>
      <x:c r="F1414" s="21" t="n">
        <x:v>1</x:v>
      </x:c>
      <x:c r="G1414" s="23" t="str">
        <x:f>IF(E1414=F1414,"PASS","FAIL")</x:f>
        <x:v>PASS</x:v>
      </x:c>
    </x:row>
    <x:row r="1415">
      <x:c r="B1415" s="21" t="str">
        <x:v>A1409</x:v>
      </x:c>
      <x:c r="C1415" s="21" t="str">
        <x:v>paper gate</x:v>
      </x:c>
      <x:c r="D1415" s="21" t="str">
        <x:v>gate 338 result reconciles</x:v>
      </x:c>
      <x:c r="E1415" s="21" t="n">
        <x:f>IF('Paper Gates'!I338=IF('Paper Gates'!G338='Paper Gates'!H338,"PASS","FAIL"),1,0)</x:f>
        <x:v>1</x:v>
      </x:c>
      <x:c r="F1415" s="21" t="n">
        <x:v>1</x:v>
      </x:c>
      <x:c r="G1415" s="23" t="str">
        <x:f>IF(E1415=F1415,"PASS","FAIL")</x:f>
        <x:v>PASS</x:v>
      </x:c>
    </x:row>
    <x:row r="1416">
      <x:c r="B1416" s="21" t="str">
        <x:v>A1410</x:v>
      </x:c>
      <x:c r="C1416" s="21" t="str">
        <x:v>paper gate</x:v>
      </x:c>
      <x:c r="D1416" s="21" t="str">
        <x:v>gate 339 binary observation</x:v>
      </x:c>
      <x:c r="E1416" s="21" t="n">
        <x:f>IF(OR('Paper Gates'!G339=0,'Paper Gates'!G339=1),1,0)</x:f>
        <x:v>1</x:v>
      </x:c>
      <x:c r="F1416" s="21" t="n">
        <x:v>1</x:v>
      </x:c>
      <x:c r="G1416" s="23" t="str">
        <x:f>IF(E1416=F1416,"PASS","FAIL")</x:f>
        <x:v>PASS</x:v>
      </x:c>
    </x:row>
    <x:row r="1417">
      <x:c r="B1417" s="21" t="str">
        <x:v>A1411</x:v>
      </x:c>
      <x:c r="C1417" s="21" t="str">
        <x:v>paper gate</x:v>
      </x:c>
      <x:c r="D1417" s="21" t="str">
        <x:v>gate 339 fixed requirement</x:v>
      </x:c>
      <x:c r="E1417" s="21" t="n">
        <x:f>IF('Paper Gates'!H339=1,1,0)</x:f>
        <x:v>1</x:v>
      </x:c>
      <x:c r="F1417" s="21" t="n">
        <x:v>1</x:v>
      </x:c>
      <x:c r="G1417" s="23" t="str">
        <x:f>IF(E1417=F1417,"PASS","FAIL")</x:f>
        <x:v>PASS</x:v>
      </x:c>
    </x:row>
    <x:row r="1418">
      <x:c r="B1418" s="21" t="str">
        <x:v>A1412</x:v>
      </x:c>
      <x:c r="C1418" s="21" t="str">
        <x:v>paper gate</x:v>
      </x:c>
      <x:c r="D1418" s="21" t="str">
        <x:v>gate 339 result reconciles</x:v>
      </x:c>
      <x:c r="E1418" s="21" t="n">
        <x:f>IF('Paper Gates'!I339=IF('Paper Gates'!G339='Paper Gates'!H339,"PASS","FAIL"),1,0)</x:f>
        <x:v>1</x:v>
      </x:c>
      <x:c r="F1418" s="21" t="n">
        <x:v>1</x:v>
      </x:c>
      <x:c r="G1418" s="23" t="str">
        <x:f>IF(E1418=F1418,"PASS","FAIL")</x:f>
        <x:v>PASS</x:v>
      </x:c>
    </x:row>
    <x:row r="1419">
      <x:c r="B1419" s="21" t="str">
        <x:v>A1413</x:v>
      </x:c>
      <x:c r="C1419" s="21" t="str">
        <x:v>paper gate</x:v>
      </x:c>
      <x:c r="D1419" s="21" t="str">
        <x:v>gate 340 binary observation</x:v>
      </x:c>
      <x:c r="E1419" s="21" t="n">
        <x:f>IF(OR('Paper Gates'!G340=0,'Paper Gates'!G340=1),1,0)</x:f>
        <x:v>1</x:v>
      </x:c>
      <x:c r="F1419" s="21" t="n">
        <x:v>1</x:v>
      </x:c>
      <x:c r="G1419" s="23" t="str">
        <x:f>IF(E1419=F1419,"PASS","FAIL")</x:f>
        <x:v>PASS</x:v>
      </x:c>
    </x:row>
    <x:row r="1420">
      <x:c r="B1420" s="21" t="str">
        <x:v>A1414</x:v>
      </x:c>
      <x:c r="C1420" s="21" t="str">
        <x:v>paper gate</x:v>
      </x:c>
      <x:c r="D1420" s="21" t="str">
        <x:v>gate 340 fixed requirement</x:v>
      </x:c>
      <x:c r="E1420" s="21" t="n">
        <x:f>IF('Paper Gates'!H340=1,1,0)</x:f>
        <x:v>1</x:v>
      </x:c>
      <x:c r="F1420" s="21" t="n">
        <x:v>1</x:v>
      </x:c>
      <x:c r="G1420" s="23" t="str">
        <x:f>IF(E1420=F1420,"PASS","FAIL")</x:f>
        <x:v>PASS</x:v>
      </x:c>
    </x:row>
    <x:row r="1421">
      <x:c r="B1421" s="21" t="str">
        <x:v>A1415</x:v>
      </x:c>
      <x:c r="C1421" s="21" t="str">
        <x:v>paper gate</x:v>
      </x:c>
      <x:c r="D1421" s="21" t="str">
        <x:v>gate 340 result reconciles</x:v>
      </x:c>
      <x:c r="E1421" s="21" t="n">
        <x:f>IF('Paper Gates'!I340=IF('Paper Gates'!G340='Paper Gates'!H340,"PASS","FAIL"),1,0)</x:f>
        <x:v>1</x:v>
      </x:c>
      <x:c r="F1421" s="21" t="n">
        <x:v>1</x:v>
      </x:c>
      <x:c r="G1421" s="23" t="str">
        <x:f>IF(E1421=F1421,"PASS","FAIL")</x:f>
        <x:v>PASS</x:v>
      </x:c>
    </x:row>
    <x:row r="1422">
      <x:c r="B1422" s="21" t="str">
        <x:v>A1416</x:v>
      </x:c>
      <x:c r="C1422" s="21" t="str">
        <x:v>paper gate</x:v>
      </x:c>
      <x:c r="D1422" s="21" t="str">
        <x:v>gate 341 binary observation</x:v>
      </x:c>
      <x:c r="E1422" s="21" t="n">
        <x:f>IF(OR('Paper Gates'!G341=0,'Paper Gates'!G341=1),1,0)</x:f>
        <x:v>1</x:v>
      </x:c>
      <x:c r="F1422" s="21" t="n">
        <x:v>1</x:v>
      </x:c>
      <x:c r="G1422" s="23" t="str">
        <x:f>IF(E1422=F1422,"PASS","FAIL")</x:f>
        <x:v>PASS</x:v>
      </x:c>
    </x:row>
    <x:row r="1423">
      <x:c r="B1423" s="21" t="str">
        <x:v>A1417</x:v>
      </x:c>
      <x:c r="C1423" s="21" t="str">
        <x:v>paper gate</x:v>
      </x:c>
      <x:c r="D1423" s="21" t="str">
        <x:v>gate 341 fixed requirement</x:v>
      </x:c>
      <x:c r="E1423" s="21" t="n">
        <x:f>IF('Paper Gates'!H341=1,1,0)</x:f>
        <x:v>1</x:v>
      </x:c>
      <x:c r="F1423" s="21" t="n">
        <x:v>1</x:v>
      </x:c>
      <x:c r="G1423" s="23" t="str">
        <x:f>IF(E1423=F1423,"PASS","FAIL")</x:f>
        <x:v>PASS</x:v>
      </x:c>
    </x:row>
    <x:row r="1424">
      <x:c r="B1424" s="21" t="str">
        <x:v>A1418</x:v>
      </x:c>
      <x:c r="C1424" s="21" t="str">
        <x:v>paper gate</x:v>
      </x:c>
      <x:c r="D1424" s="21" t="str">
        <x:v>gate 341 result reconciles</x:v>
      </x:c>
      <x:c r="E1424" s="21" t="n">
        <x:f>IF('Paper Gates'!I341=IF('Paper Gates'!G341='Paper Gates'!H341,"PASS","FAIL"),1,0)</x:f>
        <x:v>1</x:v>
      </x:c>
      <x:c r="F1424" s="21" t="n">
        <x:v>1</x:v>
      </x:c>
      <x:c r="G1424" s="23" t="str">
        <x:f>IF(E1424=F1424,"PASS","FAIL")</x:f>
        <x:v>PASS</x:v>
      </x:c>
    </x:row>
    <x:row r="1425">
      <x:c r="B1425" s="21" t="str">
        <x:v>A1419</x:v>
      </x:c>
      <x:c r="C1425" s="21" t="str">
        <x:v>paper gate</x:v>
      </x:c>
      <x:c r="D1425" s="21" t="str">
        <x:v>gate 342 binary observation</x:v>
      </x:c>
      <x:c r="E1425" s="21" t="n">
        <x:f>IF(OR('Paper Gates'!G342=0,'Paper Gates'!G342=1),1,0)</x:f>
        <x:v>1</x:v>
      </x:c>
      <x:c r="F1425" s="21" t="n">
        <x:v>1</x:v>
      </x:c>
      <x:c r="G1425" s="23" t="str">
        <x:f>IF(E1425=F1425,"PASS","FAIL")</x:f>
        <x:v>PASS</x:v>
      </x:c>
    </x:row>
    <x:row r="1426">
      <x:c r="B1426" s="21" t="str">
        <x:v>A1420</x:v>
      </x:c>
      <x:c r="C1426" s="21" t="str">
        <x:v>paper gate</x:v>
      </x:c>
      <x:c r="D1426" s="21" t="str">
        <x:v>gate 342 fixed requirement</x:v>
      </x:c>
      <x:c r="E1426" s="21" t="n">
        <x:f>IF('Paper Gates'!H342=1,1,0)</x:f>
        <x:v>1</x:v>
      </x:c>
      <x:c r="F1426" s="21" t="n">
        <x:v>1</x:v>
      </x:c>
      <x:c r="G1426" s="23" t="str">
        <x:f>IF(E1426=F1426,"PASS","FAIL")</x:f>
        <x:v>PASS</x:v>
      </x:c>
    </x:row>
    <x:row r="1427">
      <x:c r="B1427" s="21" t="str">
        <x:v>A1421</x:v>
      </x:c>
      <x:c r="C1427" s="21" t="str">
        <x:v>paper gate</x:v>
      </x:c>
      <x:c r="D1427" s="21" t="str">
        <x:v>gate 342 result reconciles</x:v>
      </x:c>
      <x:c r="E1427" s="21" t="n">
        <x:f>IF('Paper Gates'!I342=IF('Paper Gates'!G342='Paper Gates'!H342,"PASS","FAIL"),1,0)</x:f>
        <x:v>1</x:v>
      </x:c>
      <x:c r="F1427" s="21" t="n">
        <x:v>1</x:v>
      </x:c>
      <x:c r="G1427" s="23" t="str">
        <x:f>IF(E1427=F1427,"PASS","FAIL")</x:f>
        <x:v>PASS</x:v>
      </x:c>
    </x:row>
    <x:row r="1428">
      <x:c r="B1428" s="21" t="str">
        <x:v>A1422</x:v>
      </x:c>
      <x:c r="C1428" s="21" t="str">
        <x:v>paper gate</x:v>
      </x:c>
      <x:c r="D1428" s="21" t="str">
        <x:v>gate 343 binary observation</x:v>
      </x:c>
      <x:c r="E1428" s="21" t="n">
        <x:f>IF(OR('Paper Gates'!G343=0,'Paper Gates'!G343=1),1,0)</x:f>
        <x:v>1</x:v>
      </x:c>
      <x:c r="F1428" s="21" t="n">
        <x:v>1</x:v>
      </x:c>
      <x:c r="G1428" s="23" t="str">
        <x:f>IF(E1428=F1428,"PASS","FAIL")</x:f>
        <x:v>PASS</x:v>
      </x:c>
    </x:row>
    <x:row r="1429">
      <x:c r="B1429" s="21" t="str">
        <x:v>A1423</x:v>
      </x:c>
      <x:c r="C1429" s="21" t="str">
        <x:v>paper gate</x:v>
      </x:c>
      <x:c r="D1429" s="21" t="str">
        <x:v>gate 343 fixed requirement</x:v>
      </x:c>
      <x:c r="E1429" s="21" t="n">
        <x:f>IF('Paper Gates'!H343=1,1,0)</x:f>
        <x:v>1</x:v>
      </x:c>
      <x:c r="F1429" s="21" t="n">
        <x:v>1</x:v>
      </x:c>
      <x:c r="G1429" s="23" t="str">
        <x:f>IF(E1429=F1429,"PASS","FAIL")</x:f>
        <x:v>PASS</x:v>
      </x:c>
    </x:row>
    <x:row r="1430">
      <x:c r="B1430" s="21" t="str">
        <x:v>A1424</x:v>
      </x:c>
      <x:c r="C1430" s="21" t="str">
        <x:v>paper gate</x:v>
      </x:c>
      <x:c r="D1430" s="21" t="str">
        <x:v>gate 343 result reconciles</x:v>
      </x:c>
      <x:c r="E1430" s="21" t="n">
        <x:f>IF('Paper Gates'!I343=IF('Paper Gates'!G343='Paper Gates'!H343,"PASS","FAIL"),1,0)</x:f>
        <x:v>1</x:v>
      </x:c>
      <x:c r="F1430" s="21" t="n">
        <x:v>1</x:v>
      </x:c>
      <x:c r="G1430" s="23" t="str">
        <x:f>IF(E1430=F1430,"PASS","FAIL")</x:f>
        <x:v>PASS</x:v>
      </x:c>
    </x:row>
    <x:row r="1431">
      <x:c r="B1431" s="21" t="str">
        <x:v>A1425</x:v>
      </x:c>
      <x:c r="C1431" s="21" t="str">
        <x:v>paper gate</x:v>
      </x:c>
      <x:c r="D1431" s="21" t="str">
        <x:v>gate 344 binary observation</x:v>
      </x:c>
      <x:c r="E1431" s="21" t="n">
        <x:f>IF(OR('Paper Gates'!G344=0,'Paper Gates'!G344=1),1,0)</x:f>
        <x:v>1</x:v>
      </x:c>
      <x:c r="F1431" s="21" t="n">
        <x:v>1</x:v>
      </x:c>
      <x:c r="G1431" s="23" t="str">
        <x:f>IF(E1431=F1431,"PASS","FAIL")</x:f>
        <x:v>PASS</x:v>
      </x:c>
    </x:row>
    <x:row r="1432">
      <x:c r="B1432" s="21" t="str">
        <x:v>A1426</x:v>
      </x:c>
      <x:c r="C1432" s="21" t="str">
        <x:v>paper gate</x:v>
      </x:c>
      <x:c r="D1432" s="21" t="str">
        <x:v>gate 344 fixed requirement</x:v>
      </x:c>
      <x:c r="E1432" s="21" t="n">
        <x:f>IF('Paper Gates'!H344=1,1,0)</x:f>
        <x:v>1</x:v>
      </x:c>
      <x:c r="F1432" s="21" t="n">
        <x:v>1</x:v>
      </x:c>
      <x:c r="G1432" s="23" t="str">
        <x:f>IF(E1432=F1432,"PASS","FAIL")</x:f>
        <x:v>PASS</x:v>
      </x:c>
    </x:row>
    <x:row r="1433">
      <x:c r="B1433" s="21" t="str">
        <x:v>A1427</x:v>
      </x:c>
      <x:c r="C1433" s="21" t="str">
        <x:v>paper gate</x:v>
      </x:c>
      <x:c r="D1433" s="21" t="str">
        <x:v>gate 344 result reconciles</x:v>
      </x:c>
      <x:c r="E1433" s="21" t="n">
        <x:f>IF('Paper Gates'!I344=IF('Paper Gates'!G344='Paper Gates'!H344,"PASS","FAIL"),1,0)</x:f>
        <x:v>1</x:v>
      </x:c>
      <x:c r="F1433" s="21" t="n">
        <x:v>1</x:v>
      </x:c>
      <x:c r="G1433" s="23" t="str">
        <x:f>IF(E1433=F1433,"PASS","FAIL")</x:f>
        <x:v>PASS</x:v>
      </x:c>
    </x:row>
    <x:row r="1434">
      <x:c r="B1434" s="21" t="str">
        <x:v>A1428</x:v>
      </x:c>
      <x:c r="C1434" s="21" t="str">
        <x:v>paper gate</x:v>
      </x:c>
      <x:c r="D1434" s="21" t="str">
        <x:v>gate 345 binary observation</x:v>
      </x:c>
      <x:c r="E1434" s="21" t="n">
        <x:f>IF(OR('Paper Gates'!G345=0,'Paper Gates'!G345=1),1,0)</x:f>
        <x:v>1</x:v>
      </x:c>
      <x:c r="F1434" s="21" t="n">
        <x:v>1</x:v>
      </x:c>
      <x:c r="G1434" s="23" t="str">
        <x:f>IF(E1434=F1434,"PASS","FAIL")</x:f>
        <x:v>PASS</x:v>
      </x:c>
    </x:row>
    <x:row r="1435">
      <x:c r="B1435" s="21" t="str">
        <x:v>A1429</x:v>
      </x:c>
      <x:c r="C1435" s="21" t="str">
        <x:v>paper gate</x:v>
      </x:c>
      <x:c r="D1435" s="21" t="str">
        <x:v>gate 345 fixed requirement</x:v>
      </x:c>
      <x:c r="E1435" s="21" t="n">
        <x:f>IF('Paper Gates'!H345=1,1,0)</x:f>
        <x:v>1</x:v>
      </x:c>
      <x:c r="F1435" s="21" t="n">
        <x:v>1</x:v>
      </x:c>
      <x:c r="G1435" s="23" t="str">
        <x:f>IF(E1435=F1435,"PASS","FAIL")</x:f>
        <x:v>PASS</x:v>
      </x:c>
    </x:row>
    <x:row r="1436">
      <x:c r="B1436" s="21" t="str">
        <x:v>A1430</x:v>
      </x:c>
      <x:c r="C1436" s="21" t="str">
        <x:v>paper gate</x:v>
      </x:c>
      <x:c r="D1436" s="21" t="str">
        <x:v>gate 345 result reconciles</x:v>
      </x:c>
      <x:c r="E1436" s="21" t="n">
        <x:f>IF('Paper Gates'!I345=IF('Paper Gates'!G345='Paper Gates'!H345,"PASS","FAIL"),1,0)</x:f>
        <x:v>1</x:v>
      </x:c>
      <x:c r="F1436" s="21" t="n">
        <x:v>1</x:v>
      </x:c>
      <x:c r="G1436" s="23" t="str">
        <x:f>IF(E1436=F1436,"PASS","FAIL")</x:f>
        <x:v>PASS</x:v>
      </x:c>
    </x:row>
    <x:row r="1437">
      <x:c r="B1437" s="21" t="str">
        <x:v>A1431</x:v>
      </x:c>
      <x:c r="C1437" s="21" t="str">
        <x:v>paper gate</x:v>
      </x:c>
      <x:c r="D1437" s="21" t="str">
        <x:v>gate 346 binary observation</x:v>
      </x:c>
      <x:c r="E1437" s="21" t="n">
        <x:f>IF(OR('Paper Gates'!G346=0,'Paper Gates'!G346=1),1,0)</x:f>
        <x:v>1</x:v>
      </x:c>
      <x:c r="F1437" s="21" t="n">
        <x:v>1</x:v>
      </x:c>
      <x:c r="G1437" s="23" t="str">
        <x:f>IF(E1437=F1437,"PASS","FAIL")</x:f>
        <x:v>PASS</x:v>
      </x:c>
    </x:row>
    <x:row r="1438">
      <x:c r="B1438" s="21" t="str">
        <x:v>A1432</x:v>
      </x:c>
      <x:c r="C1438" s="21" t="str">
        <x:v>paper gate</x:v>
      </x:c>
      <x:c r="D1438" s="21" t="str">
        <x:v>gate 346 fixed requirement</x:v>
      </x:c>
      <x:c r="E1438" s="21" t="n">
        <x:f>IF('Paper Gates'!H346=1,1,0)</x:f>
        <x:v>1</x:v>
      </x:c>
      <x:c r="F1438" s="21" t="n">
        <x:v>1</x:v>
      </x:c>
      <x:c r="G1438" s="23" t="str">
        <x:f>IF(E1438=F1438,"PASS","FAIL")</x:f>
        <x:v>PASS</x:v>
      </x:c>
    </x:row>
    <x:row r="1439">
      <x:c r="B1439" s="21" t="str">
        <x:v>A1433</x:v>
      </x:c>
      <x:c r="C1439" s="21" t="str">
        <x:v>paper gate</x:v>
      </x:c>
      <x:c r="D1439" s="21" t="str">
        <x:v>gate 346 result reconciles</x:v>
      </x:c>
      <x:c r="E1439" s="21" t="n">
        <x:f>IF('Paper Gates'!I346=IF('Paper Gates'!G346='Paper Gates'!H346,"PASS","FAIL"),1,0)</x:f>
        <x:v>1</x:v>
      </x:c>
      <x:c r="F1439" s="21" t="n">
        <x:v>1</x:v>
      </x:c>
      <x:c r="G1439" s="23" t="str">
        <x:f>IF(E1439=F1439,"PASS","FAIL")</x:f>
        <x:v>PASS</x:v>
      </x:c>
    </x:row>
    <x:row r="1440">
      <x:c r="B1440" s="21" t="str">
        <x:v>A1434</x:v>
      </x:c>
      <x:c r="C1440" s="21" t="str">
        <x:v>paper gate</x:v>
      </x:c>
      <x:c r="D1440" s="21" t="str">
        <x:v>gate 347 binary observation</x:v>
      </x:c>
      <x:c r="E1440" s="21" t="n">
        <x:f>IF(OR('Paper Gates'!G347=0,'Paper Gates'!G347=1),1,0)</x:f>
        <x:v>1</x:v>
      </x:c>
      <x:c r="F1440" s="21" t="n">
        <x:v>1</x:v>
      </x:c>
      <x:c r="G1440" s="23" t="str">
        <x:f>IF(E1440=F1440,"PASS","FAIL")</x:f>
        <x:v>PASS</x:v>
      </x:c>
    </x:row>
    <x:row r="1441">
      <x:c r="B1441" s="21" t="str">
        <x:v>A1435</x:v>
      </x:c>
      <x:c r="C1441" s="21" t="str">
        <x:v>paper gate</x:v>
      </x:c>
      <x:c r="D1441" s="21" t="str">
        <x:v>gate 347 fixed requirement</x:v>
      </x:c>
      <x:c r="E1441" s="21" t="n">
        <x:f>IF('Paper Gates'!H347=1,1,0)</x:f>
        <x:v>1</x:v>
      </x:c>
      <x:c r="F1441" s="21" t="n">
        <x:v>1</x:v>
      </x:c>
      <x:c r="G1441" s="23" t="str">
        <x:f>IF(E1441=F1441,"PASS","FAIL")</x:f>
        <x:v>PASS</x:v>
      </x:c>
    </x:row>
    <x:row r="1442">
      <x:c r="B1442" s="21" t="str">
        <x:v>A1436</x:v>
      </x:c>
      <x:c r="C1442" s="21" t="str">
        <x:v>paper gate</x:v>
      </x:c>
      <x:c r="D1442" s="21" t="str">
        <x:v>gate 347 result reconciles</x:v>
      </x:c>
      <x:c r="E1442" s="21" t="n">
        <x:f>IF('Paper Gates'!I347=IF('Paper Gates'!G347='Paper Gates'!H347,"PASS","FAIL"),1,0)</x:f>
        <x:v>1</x:v>
      </x:c>
      <x:c r="F1442" s="21" t="n">
        <x:v>1</x:v>
      </x:c>
      <x:c r="G1442" s="23" t="str">
        <x:f>IF(E1442=F1442,"PASS","FAIL")</x:f>
        <x:v>PASS</x:v>
      </x:c>
    </x:row>
    <x:row r="1443">
      <x:c r="B1443" s="21" t="str">
        <x:v>A1437</x:v>
      </x:c>
      <x:c r="C1443" s="21" t="str">
        <x:v>paper gate</x:v>
      </x:c>
      <x:c r="D1443" s="21" t="str">
        <x:v>gate 348 binary observation</x:v>
      </x:c>
      <x:c r="E1443" s="21" t="n">
        <x:f>IF(OR('Paper Gates'!G348=0,'Paper Gates'!G348=1),1,0)</x:f>
        <x:v>1</x:v>
      </x:c>
      <x:c r="F1443" s="21" t="n">
        <x:v>1</x:v>
      </x:c>
      <x:c r="G1443" s="23" t="str">
        <x:f>IF(E1443=F1443,"PASS","FAIL")</x:f>
        <x:v>PASS</x:v>
      </x:c>
    </x:row>
    <x:row r="1444">
      <x:c r="B1444" s="21" t="str">
        <x:v>A1438</x:v>
      </x:c>
      <x:c r="C1444" s="21" t="str">
        <x:v>paper gate</x:v>
      </x:c>
      <x:c r="D1444" s="21" t="str">
        <x:v>gate 348 fixed requirement</x:v>
      </x:c>
      <x:c r="E1444" s="21" t="n">
        <x:f>IF('Paper Gates'!H348=1,1,0)</x:f>
        <x:v>1</x:v>
      </x:c>
      <x:c r="F1444" s="21" t="n">
        <x:v>1</x:v>
      </x:c>
      <x:c r="G1444" s="23" t="str">
        <x:f>IF(E1444=F1444,"PASS","FAIL")</x:f>
        <x:v>PASS</x:v>
      </x:c>
    </x:row>
    <x:row r="1445">
      <x:c r="B1445" s="21" t="str">
        <x:v>A1439</x:v>
      </x:c>
      <x:c r="C1445" s="21" t="str">
        <x:v>paper gate</x:v>
      </x:c>
      <x:c r="D1445" s="21" t="str">
        <x:v>gate 348 result reconciles</x:v>
      </x:c>
      <x:c r="E1445" s="21" t="n">
        <x:f>IF('Paper Gates'!I348=IF('Paper Gates'!G348='Paper Gates'!H348,"PASS","FAIL"),1,0)</x:f>
        <x:v>1</x:v>
      </x:c>
      <x:c r="F1445" s="21" t="n">
        <x:v>1</x:v>
      </x:c>
      <x:c r="G1445" s="23" t="str">
        <x:f>IF(E1445=F1445,"PASS","FAIL")</x:f>
        <x:v>PASS</x:v>
      </x:c>
    </x:row>
    <x:row r="1446">
      <x:c r="B1446" s="21" t="str">
        <x:v>A1440</x:v>
      </x:c>
      <x:c r="C1446" s="21" t="str">
        <x:v>paper gate</x:v>
      </x:c>
      <x:c r="D1446" s="21" t="str">
        <x:v>gate 349 binary observation</x:v>
      </x:c>
      <x:c r="E1446" s="21" t="n">
        <x:f>IF(OR('Paper Gates'!G349=0,'Paper Gates'!G349=1),1,0)</x:f>
        <x:v>1</x:v>
      </x:c>
      <x:c r="F1446" s="21" t="n">
        <x:v>1</x:v>
      </x:c>
      <x:c r="G1446" s="23" t="str">
        <x:f>IF(E1446=F1446,"PASS","FAIL")</x:f>
        <x:v>PASS</x:v>
      </x:c>
    </x:row>
    <x:row r="1447">
      <x:c r="B1447" s="21" t="str">
        <x:v>A1441</x:v>
      </x:c>
      <x:c r="C1447" s="21" t="str">
        <x:v>paper gate</x:v>
      </x:c>
      <x:c r="D1447" s="21" t="str">
        <x:v>gate 349 fixed requirement</x:v>
      </x:c>
      <x:c r="E1447" s="21" t="n">
        <x:f>IF('Paper Gates'!H349=1,1,0)</x:f>
        <x:v>1</x:v>
      </x:c>
      <x:c r="F1447" s="21" t="n">
        <x:v>1</x:v>
      </x:c>
      <x:c r="G1447" s="23" t="str">
        <x:f>IF(E1447=F1447,"PASS","FAIL")</x:f>
        <x:v>PASS</x:v>
      </x:c>
    </x:row>
    <x:row r="1448">
      <x:c r="B1448" s="21" t="str">
        <x:v>A1442</x:v>
      </x:c>
      <x:c r="C1448" s="21" t="str">
        <x:v>paper gate</x:v>
      </x:c>
      <x:c r="D1448" s="21" t="str">
        <x:v>gate 349 result reconciles</x:v>
      </x:c>
      <x:c r="E1448" s="21" t="n">
        <x:f>IF('Paper Gates'!I349=IF('Paper Gates'!G349='Paper Gates'!H349,"PASS","FAIL"),1,0)</x:f>
        <x:v>1</x:v>
      </x:c>
      <x:c r="F1448" s="21" t="n">
        <x:v>1</x:v>
      </x:c>
      <x:c r="G1448" s="23" t="str">
        <x:f>IF(E1448=F1448,"PASS","FAIL")</x:f>
        <x:v>PASS</x:v>
      </x:c>
    </x:row>
    <x:row r="1449">
      <x:c r="B1449" s="21" t="str">
        <x:v>A1443</x:v>
      </x:c>
      <x:c r="C1449" s="21" t="str">
        <x:v>paper gate</x:v>
      </x:c>
      <x:c r="D1449" s="21" t="str">
        <x:v>gate 350 binary observation</x:v>
      </x:c>
      <x:c r="E1449" s="21" t="n">
        <x:f>IF(OR('Paper Gates'!G350=0,'Paper Gates'!G350=1),1,0)</x:f>
        <x:v>1</x:v>
      </x:c>
      <x:c r="F1449" s="21" t="n">
        <x:v>1</x:v>
      </x:c>
      <x:c r="G1449" s="23" t="str">
        <x:f>IF(E1449=F1449,"PASS","FAIL")</x:f>
        <x:v>PASS</x:v>
      </x:c>
    </x:row>
    <x:row r="1450">
      <x:c r="B1450" s="21" t="str">
        <x:v>A1444</x:v>
      </x:c>
      <x:c r="C1450" s="21" t="str">
        <x:v>paper gate</x:v>
      </x:c>
      <x:c r="D1450" s="21" t="str">
        <x:v>gate 350 fixed requirement</x:v>
      </x:c>
      <x:c r="E1450" s="21" t="n">
        <x:f>IF('Paper Gates'!H350=1,1,0)</x:f>
        <x:v>1</x:v>
      </x:c>
      <x:c r="F1450" s="21" t="n">
        <x:v>1</x:v>
      </x:c>
      <x:c r="G1450" s="23" t="str">
        <x:f>IF(E1450=F1450,"PASS","FAIL")</x:f>
        <x:v>PASS</x:v>
      </x:c>
    </x:row>
    <x:row r="1451">
      <x:c r="B1451" s="21" t="str">
        <x:v>A1445</x:v>
      </x:c>
      <x:c r="C1451" s="21" t="str">
        <x:v>paper gate</x:v>
      </x:c>
      <x:c r="D1451" s="21" t="str">
        <x:v>gate 350 result reconciles</x:v>
      </x:c>
      <x:c r="E1451" s="21" t="n">
        <x:f>IF('Paper Gates'!I350=IF('Paper Gates'!G350='Paper Gates'!H350,"PASS","FAIL"),1,0)</x:f>
        <x:v>1</x:v>
      </x:c>
      <x:c r="F1451" s="21" t="n">
        <x:v>1</x:v>
      </x:c>
      <x:c r="G1451" s="23" t="str">
        <x:f>IF(E1451=F1451,"PASS","FAIL")</x:f>
        <x:v>PASS</x:v>
      </x:c>
    </x:row>
    <x:row r="1452">
      <x:c r="B1452" s="21" t="str">
        <x:v>A1446</x:v>
      </x:c>
      <x:c r="C1452" s="21" t="str">
        <x:v>paper gate</x:v>
      </x:c>
      <x:c r="D1452" s="21" t="str">
        <x:v>gate 351 binary observation</x:v>
      </x:c>
      <x:c r="E1452" s="21" t="n">
        <x:f>IF(OR('Paper Gates'!G351=0,'Paper Gates'!G351=1),1,0)</x:f>
        <x:v>1</x:v>
      </x:c>
      <x:c r="F1452" s="21" t="n">
        <x:v>1</x:v>
      </x:c>
      <x:c r="G1452" s="23" t="str">
        <x:f>IF(E1452=F1452,"PASS","FAIL")</x:f>
        <x:v>PASS</x:v>
      </x:c>
    </x:row>
    <x:row r="1453">
      <x:c r="B1453" s="21" t="str">
        <x:v>A1447</x:v>
      </x:c>
      <x:c r="C1453" s="21" t="str">
        <x:v>paper gate</x:v>
      </x:c>
      <x:c r="D1453" s="21" t="str">
        <x:v>gate 351 fixed requirement</x:v>
      </x:c>
      <x:c r="E1453" s="21" t="n">
        <x:f>IF('Paper Gates'!H351=1,1,0)</x:f>
        <x:v>1</x:v>
      </x:c>
      <x:c r="F1453" s="21" t="n">
        <x:v>1</x:v>
      </x:c>
      <x:c r="G1453" s="23" t="str">
        <x:f>IF(E1453=F1453,"PASS","FAIL")</x:f>
        <x:v>PASS</x:v>
      </x:c>
    </x:row>
    <x:row r="1454">
      <x:c r="B1454" s="21" t="str">
        <x:v>A1448</x:v>
      </x:c>
      <x:c r="C1454" s="21" t="str">
        <x:v>paper gate</x:v>
      </x:c>
      <x:c r="D1454" s="21" t="str">
        <x:v>gate 351 result reconciles</x:v>
      </x:c>
      <x:c r="E1454" s="21" t="n">
        <x:f>IF('Paper Gates'!I351=IF('Paper Gates'!G351='Paper Gates'!H351,"PASS","FAIL"),1,0)</x:f>
        <x:v>1</x:v>
      </x:c>
      <x:c r="F1454" s="21" t="n">
        <x:v>1</x:v>
      </x:c>
      <x:c r="G1454" s="23" t="str">
        <x:f>IF(E1454=F1454,"PASS","FAIL")</x:f>
        <x:v>PASS</x:v>
      </x:c>
    </x:row>
    <x:row r="1455">
      <x:c r="B1455" s="21" t="str">
        <x:v>A1449</x:v>
      </x:c>
      <x:c r="C1455" s="21" t="str">
        <x:v>paper gate</x:v>
      </x:c>
      <x:c r="D1455" s="21" t="str">
        <x:v>gate 352 binary observation</x:v>
      </x:c>
      <x:c r="E1455" s="21" t="n">
        <x:f>IF(OR('Paper Gates'!G352=0,'Paper Gates'!G352=1),1,0)</x:f>
        <x:v>1</x:v>
      </x:c>
      <x:c r="F1455" s="21" t="n">
        <x:v>1</x:v>
      </x:c>
      <x:c r="G1455" s="23" t="str">
        <x:f>IF(E1455=F1455,"PASS","FAIL")</x:f>
        <x:v>PASS</x:v>
      </x:c>
    </x:row>
    <x:row r="1456">
      <x:c r="B1456" s="21" t="str">
        <x:v>A1450</x:v>
      </x:c>
      <x:c r="C1456" s="21" t="str">
        <x:v>paper gate</x:v>
      </x:c>
      <x:c r="D1456" s="21" t="str">
        <x:v>gate 352 fixed requirement</x:v>
      </x:c>
      <x:c r="E1456" s="21" t="n">
        <x:f>IF('Paper Gates'!H352=1,1,0)</x:f>
        <x:v>1</x:v>
      </x:c>
      <x:c r="F1456" s="21" t="n">
        <x:v>1</x:v>
      </x:c>
      <x:c r="G1456" s="23" t="str">
        <x:f>IF(E1456=F1456,"PASS","FAIL")</x:f>
        <x:v>PASS</x:v>
      </x:c>
    </x:row>
    <x:row r="1457">
      <x:c r="B1457" s="21" t="str">
        <x:v>A1451</x:v>
      </x:c>
      <x:c r="C1457" s="21" t="str">
        <x:v>paper gate</x:v>
      </x:c>
      <x:c r="D1457" s="21" t="str">
        <x:v>gate 352 result reconciles</x:v>
      </x:c>
      <x:c r="E1457" s="21" t="n">
        <x:f>IF('Paper Gates'!I352=IF('Paper Gates'!G352='Paper Gates'!H352,"PASS","FAIL"),1,0)</x:f>
        <x:v>1</x:v>
      </x:c>
      <x:c r="F1457" s="21" t="n">
        <x:v>1</x:v>
      </x:c>
      <x:c r="G1457" s="23" t="str">
        <x:f>IF(E1457=F1457,"PASS","FAIL")</x:f>
        <x:v>PASS</x:v>
      </x:c>
    </x:row>
    <x:row r="1458">
      <x:c r="B1458" s="21" t="str">
        <x:v>A1452</x:v>
      </x:c>
      <x:c r="C1458" s="21" t="str">
        <x:v>paper gate</x:v>
      </x:c>
      <x:c r="D1458" s="21" t="str">
        <x:v>gate 353 binary observation</x:v>
      </x:c>
      <x:c r="E1458" s="21" t="n">
        <x:f>IF(OR('Paper Gates'!G353=0,'Paper Gates'!G353=1),1,0)</x:f>
        <x:v>1</x:v>
      </x:c>
      <x:c r="F1458" s="21" t="n">
        <x:v>1</x:v>
      </x:c>
      <x:c r="G1458" s="23" t="str">
        <x:f>IF(E1458=F1458,"PASS","FAIL")</x:f>
        <x:v>PASS</x:v>
      </x:c>
    </x:row>
    <x:row r="1459">
      <x:c r="B1459" s="21" t="str">
        <x:v>A1453</x:v>
      </x:c>
      <x:c r="C1459" s="21" t="str">
        <x:v>paper gate</x:v>
      </x:c>
      <x:c r="D1459" s="21" t="str">
        <x:v>gate 353 fixed requirement</x:v>
      </x:c>
      <x:c r="E1459" s="21" t="n">
        <x:f>IF('Paper Gates'!H353=1,1,0)</x:f>
        <x:v>1</x:v>
      </x:c>
      <x:c r="F1459" s="21" t="n">
        <x:v>1</x:v>
      </x:c>
      <x:c r="G1459" s="23" t="str">
        <x:f>IF(E1459=F1459,"PASS","FAIL")</x:f>
        <x:v>PASS</x:v>
      </x:c>
    </x:row>
    <x:row r="1460">
      <x:c r="B1460" s="21" t="str">
        <x:v>A1454</x:v>
      </x:c>
      <x:c r="C1460" s="21" t="str">
        <x:v>paper gate</x:v>
      </x:c>
      <x:c r="D1460" s="21" t="str">
        <x:v>gate 353 result reconciles</x:v>
      </x:c>
      <x:c r="E1460" s="21" t="n">
        <x:f>IF('Paper Gates'!I353=IF('Paper Gates'!G353='Paper Gates'!H353,"PASS","FAIL"),1,0)</x:f>
        <x:v>1</x:v>
      </x:c>
      <x:c r="F1460" s="21" t="n">
        <x:v>1</x:v>
      </x:c>
      <x:c r="G1460" s="23" t="str">
        <x:f>IF(E1460=F1460,"PASS","FAIL")</x:f>
        <x:v>PASS</x:v>
      </x:c>
    </x:row>
    <x:row r="1461">
      <x:c r="B1461" s="21" t="str">
        <x:v>A1455</x:v>
      </x:c>
      <x:c r="C1461" s="21" t="str">
        <x:v>paper gate</x:v>
      </x:c>
      <x:c r="D1461" s="21" t="str">
        <x:v>gate 354 binary observation</x:v>
      </x:c>
      <x:c r="E1461" s="21" t="n">
        <x:f>IF(OR('Paper Gates'!G354=0,'Paper Gates'!G354=1),1,0)</x:f>
        <x:v>1</x:v>
      </x:c>
      <x:c r="F1461" s="21" t="n">
        <x:v>1</x:v>
      </x:c>
      <x:c r="G1461" s="23" t="str">
        <x:f>IF(E1461=F1461,"PASS","FAIL")</x:f>
        <x:v>PASS</x:v>
      </x:c>
    </x:row>
    <x:row r="1462">
      <x:c r="B1462" s="21" t="str">
        <x:v>A1456</x:v>
      </x:c>
      <x:c r="C1462" s="21" t="str">
        <x:v>paper gate</x:v>
      </x:c>
      <x:c r="D1462" s="21" t="str">
        <x:v>gate 354 fixed requirement</x:v>
      </x:c>
      <x:c r="E1462" s="21" t="n">
        <x:f>IF('Paper Gates'!H354=1,1,0)</x:f>
        <x:v>1</x:v>
      </x:c>
      <x:c r="F1462" s="21" t="n">
        <x:v>1</x:v>
      </x:c>
      <x:c r="G1462" s="23" t="str">
        <x:f>IF(E1462=F1462,"PASS","FAIL")</x:f>
        <x:v>PASS</x:v>
      </x:c>
    </x:row>
    <x:row r="1463">
      <x:c r="B1463" s="21" t="str">
        <x:v>A1457</x:v>
      </x:c>
      <x:c r="C1463" s="21" t="str">
        <x:v>paper gate</x:v>
      </x:c>
      <x:c r="D1463" s="21" t="str">
        <x:v>gate 354 result reconciles</x:v>
      </x:c>
      <x:c r="E1463" s="21" t="n">
        <x:f>IF('Paper Gates'!I354=IF('Paper Gates'!G354='Paper Gates'!H354,"PASS","FAIL"),1,0)</x:f>
        <x:v>1</x:v>
      </x:c>
      <x:c r="F1463" s="21" t="n">
        <x:v>1</x:v>
      </x:c>
      <x:c r="G1463" s="23" t="str">
        <x:f>IF(E1463=F1463,"PASS","FAIL")</x:f>
        <x:v>PASS</x:v>
      </x:c>
    </x:row>
    <x:row r="1464">
      <x:c r="B1464" s="21" t="str">
        <x:v>A1458</x:v>
      </x:c>
      <x:c r="C1464" s="21" t="str">
        <x:v>paper gate</x:v>
      </x:c>
      <x:c r="D1464" s="21" t="str">
        <x:v>gate 355 binary observation</x:v>
      </x:c>
      <x:c r="E1464" s="21" t="n">
        <x:f>IF(OR('Paper Gates'!G355=0,'Paper Gates'!G355=1),1,0)</x:f>
        <x:v>1</x:v>
      </x:c>
      <x:c r="F1464" s="21" t="n">
        <x:v>1</x:v>
      </x:c>
      <x:c r="G1464" s="23" t="str">
        <x:f>IF(E1464=F1464,"PASS","FAIL")</x:f>
        <x:v>PASS</x:v>
      </x:c>
    </x:row>
    <x:row r="1465">
      <x:c r="B1465" s="21" t="str">
        <x:v>A1459</x:v>
      </x:c>
      <x:c r="C1465" s="21" t="str">
        <x:v>paper gate</x:v>
      </x:c>
      <x:c r="D1465" s="21" t="str">
        <x:v>gate 355 fixed requirement</x:v>
      </x:c>
      <x:c r="E1465" s="21" t="n">
        <x:f>IF('Paper Gates'!H355=1,1,0)</x:f>
        <x:v>1</x:v>
      </x:c>
      <x:c r="F1465" s="21" t="n">
        <x:v>1</x:v>
      </x:c>
      <x:c r="G1465" s="23" t="str">
        <x:f>IF(E1465=F1465,"PASS","FAIL")</x:f>
        <x:v>PASS</x:v>
      </x:c>
    </x:row>
    <x:row r="1466">
      <x:c r="B1466" s="21" t="str">
        <x:v>A1460</x:v>
      </x:c>
      <x:c r="C1466" s="21" t="str">
        <x:v>paper gate</x:v>
      </x:c>
      <x:c r="D1466" s="21" t="str">
        <x:v>gate 355 result reconciles</x:v>
      </x:c>
      <x:c r="E1466" s="21" t="n">
        <x:f>IF('Paper Gates'!I355=IF('Paper Gates'!G355='Paper Gates'!H355,"PASS","FAIL"),1,0)</x:f>
        <x:v>1</x:v>
      </x:c>
      <x:c r="F1466" s="21" t="n">
        <x:v>1</x:v>
      </x:c>
      <x:c r="G1466" s="23" t="str">
        <x:f>IF(E1466=F1466,"PASS","FAIL")</x:f>
        <x:v>PASS</x:v>
      </x:c>
    </x:row>
    <x:row r="1467">
      <x:c r="B1467" s="21" t="str">
        <x:v>A1461</x:v>
      </x:c>
      <x:c r="C1467" s="21" t="str">
        <x:v>paper gate</x:v>
      </x:c>
      <x:c r="D1467" s="21" t="str">
        <x:v>gate 356 binary observation</x:v>
      </x:c>
      <x:c r="E1467" s="21" t="n">
        <x:f>IF(OR('Paper Gates'!G356=0,'Paper Gates'!G356=1),1,0)</x:f>
        <x:v>1</x:v>
      </x:c>
      <x:c r="F1467" s="21" t="n">
        <x:v>1</x:v>
      </x:c>
      <x:c r="G1467" s="23" t="str">
        <x:f>IF(E1467=F1467,"PASS","FAIL")</x:f>
        <x:v>PASS</x:v>
      </x:c>
    </x:row>
    <x:row r="1468">
      <x:c r="B1468" s="21" t="str">
        <x:v>A1462</x:v>
      </x:c>
      <x:c r="C1468" s="21" t="str">
        <x:v>paper gate</x:v>
      </x:c>
      <x:c r="D1468" s="21" t="str">
        <x:v>gate 356 fixed requirement</x:v>
      </x:c>
      <x:c r="E1468" s="21" t="n">
        <x:f>IF('Paper Gates'!H356=1,1,0)</x:f>
        <x:v>1</x:v>
      </x:c>
      <x:c r="F1468" s="21" t="n">
        <x:v>1</x:v>
      </x:c>
      <x:c r="G1468" s="23" t="str">
        <x:f>IF(E1468=F1468,"PASS","FAIL")</x:f>
        <x:v>PASS</x:v>
      </x:c>
    </x:row>
    <x:row r="1469">
      <x:c r="B1469" s="21" t="str">
        <x:v>A1463</x:v>
      </x:c>
      <x:c r="C1469" s="21" t="str">
        <x:v>paper gate</x:v>
      </x:c>
      <x:c r="D1469" s="21" t="str">
        <x:v>gate 356 result reconciles</x:v>
      </x:c>
      <x:c r="E1469" s="21" t="n">
        <x:f>IF('Paper Gates'!I356=IF('Paper Gates'!G356='Paper Gates'!H356,"PASS","FAIL"),1,0)</x:f>
        <x:v>1</x:v>
      </x:c>
      <x:c r="F1469" s="21" t="n">
        <x:v>1</x:v>
      </x:c>
      <x:c r="G1469" s="23" t="str">
        <x:f>IF(E1469=F1469,"PASS","FAIL")</x:f>
        <x:v>PASS</x:v>
      </x:c>
    </x:row>
    <x:row r="1470">
      <x:c r="B1470" s="21" t="str">
        <x:v>A1464</x:v>
      </x:c>
      <x:c r="C1470" s="21" t="str">
        <x:v>paper gate</x:v>
      </x:c>
      <x:c r="D1470" s="21" t="str">
        <x:v>gate 357 binary observation</x:v>
      </x:c>
      <x:c r="E1470" s="21" t="n">
        <x:f>IF(OR('Paper Gates'!G357=0,'Paper Gates'!G357=1),1,0)</x:f>
        <x:v>1</x:v>
      </x:c>
      <x:c r="F1470" s="21" t="n">
        <x:v>1</x:v>
      </x:c>
      <x:c r="G1470" s="23" t="str">
        <x:f>IF(E1470=F1470,"PASS","FAIL")</x:f>
        <x:v>PASS</x:v>
      </x:c>
    </x:row>
    <x:row r="1471">
      <x:c r="B1471" s="21" t="str">
        <x:v>A1465</x:v>
      </x:c>
      <x:c r="C1471" s="21" t="str">
        <x:v>paper gate</x:v>
      </x:c>
      <x:c r="D1471" s="21" t="str">
        <x:v>gate 357 fixed requirement</x:v>
      </x:c>
      <x:c r="E1471" s="21" t="n">
        <x:f>IF('Paper Gates'!H357=1,1,0)</x:f>
        <x:v>1</x:v>
      </x:c>
      <x:c r="F1471" s="21" t="n">
        <x:v>1</x:v>
      </x:c>
      <x:c r="G1471" s="23" t="str">
        <x:f>IF(E1471=F1471,"PASS","FAIL")</x:f>
        <x:v>PASS</x:v>
      </x:c>
    </x:row>
    <x:row r="1472">
      <x:c r="B1472" s="21" t="str">
        <x:v>A1466</x:v>
      </x:c>
      <x:c r="C1472" s="21" t="str">
        <x:v>paper gate</x:v>
      </x:c>
      <x:c r="D1472" s="21" t="str">
        <x:v>gate 357 result reconciles</x:v>
      </x:c>
      <x:c r="E1472" s="21" t="n">
        <x:f>IF('Paper Gates'!I357=IF('Paper Gates'!G357='Paper Gates'!H357,"PASS","FAIL"),1,0)</x:f>
        <x:v>1</x:v>
      </x:c>
      <x:c r="F1472" s="21" t="n">
        <x:v>1</x:v>
      </x:c>
      <x:c r="G1472" s="23" t="str">
        <x:f>IF(E1472=F1472,"PASS","FAIL")</x:f>
        <x:v>PASS</x:v>
      </x:c>
    </x:row>
    <x:row r="1473">
      <x:c r="B1473" s="21" t="str">
        <x:v>A1467</x:v>
      </x:c>
      <x:c r="C1473" s="21" t="str">
        <x:v>paper gate</x:v>
      </x:c>
      <x:c r="D1473" s="21" t="str">
        <x:v>gate 358 binary observation</x:v>
      </x:c>
      <x:c r="E1473" s="21" t="n">
        <x:f>IF(OR('Paper Gates'!G358=0,'Paper Gates'!G358=1),1,0)</x:f>
        <x:v>1</x:v>
      </x:c>
      <x:c r="F1473" s="21" t="n">
        <x:v>1</x:v>
      </x:c>
      <x:c r="G1473" s="23" t="str">
        <x:f>IF(E1473=F1473,"PASS","FAIL")</x:f>
        <x:v>PASS</x:v>
      </x:c>
    </x:row>
    <x:row r="1474">
      <x:c r="B1474" s="21" t="str">
        <x:v>A1468</x:v>
      </x:c>
      <x:c r="C1474" s="21" t="str">
        <x:v>paper gate</x:v>
      </x:c>
      <x:c r="D1474" s="21" t="str">
        <x:v>gate 358 fixed requirement</x:v>
      </x:c>
      <x:c r="E1474" s="21" t="n">
        <x:f>IF('Paper Gates'!H358=1,1,0)</x:f>
        <x:v>1</x:v>
      </x:c>
      <x:c r="F1474" s="21" t="n">
        <x:v>1</x:v>
      </x:c>
      <x:c r="G1474" s="23" t="str">
        <x:f>IF(E1474=F1474,"PASS","FAIL")</x:f>
        <x:v>PASS</x:v>
      </x:c>
    </x:row>
    <x:row r="1475">
      <x:c r="B1475" s="21" t="str">
        <x:v>A1469</x:v>
      </x:c>
      <x:c r="C1475" s="21" t="str">
        <x:v>paper gate</x:v>
      </x:c>
      <x:c r="D1475" s="21" t="str">
        <x:v>gate 358 result reconciles</x:v>
      </x:c>
      <x:c r="E1475" s="21" t="n">
        <x:f>IF('Paper Gates'!I358=IF('Paper Gates'!G358='Paper Gates'!H358,"PASS","FAIL"),1,0)</x:f>
        <x:v>1</x:v>
      </x:c>
      <x:c r="F1475" s="21" t="n">
        <x:v>1</x:v>
      </x:c>
      <x:c r="G1475" s="23" t="str">
        <x:f>IF(E1475=F1475,"PASS","FAIL")</x:f>
        <x:v>PASS</x:v>
      </x:c>
    </x:row>
    <x:row r="1476">
      <x:c r="B1476" s="21" t="str">
        <x:v>A1470</x:v>
      </x:c>
      <x:c r="C1476" s="21" t="str">
        <x:v>paper gate</x:v>
      </x:c>
      <x:c r="D1476" s="21" t="str">
        <x:v>gate 359 binary observation</x:v>
      </x:c>
      <x:c r="E1476" s="21" t="n">
        <x:f>IF(OR('Paper Gates'!G359=0,'Paper Gates'!G359=1),1,0)</x:f>
        <x:v>1</x:v>
      </x:c>
      <x:c r="F1476" s="21" t="n">
        <x:v>1</x:v>
      </x:c>
      <x:c r="G1476" s="23" t="str">
        <x:f>IF(E1476=F1476,"PASS","FAIL")</x:f>
        <x:v>PASS</x:v>
      </x:c>
    </x:row>
    <x:row r="1477">
      <x:c r="B1477" s="21" t="str">
        <x:v>A1471</x:v>
      </x:c>
      <x:c r="C1477" s="21" t="str">
        <x:v>paper gate</x:v>
      </x:c>
      <x:c r="D1477" s="21" t="str">
        <x:v>gate 359 fixed requirement</x:v>
      </x:c>
      <x:c r="E1477" s="21" t="n">
        <x:f>IF('Paper Gates'!H359=1,1,0)</x:f>
        <x:v>1</x:v>
      </x:c>
      <x:c r="F1477" s="21" t="n">
        <x:v>1</x:v>
      </x:c>
      <x:c r="G1477" s="23" t="str">
        <x:f>IF(E1477=F1477,"PASS","FAIL")</x:f>
        <x:v>PASS</x:v>
      </x:c>
    </x:row>
    <x:row r="1478">
      <x:c r="B1478" s="21" t="str">
        <x:v>A1472</x:v>
      </x:c>
      <x:c r="C1478" s="21" t="str">
        <x:v>paper gate</x:v>
      </x:c>
      <x:c r="D1478" s="21" t="str">
        <x:v>gate 359 result reconciles</x:v>
      </x:c>
      <x:c r="E1478" s="21" t="n">
        <x:f>IF('Paper Gates'!I359=IF('Paper Gates'!G359='Paper Gates'!H359,"PASS","FAIL"),1,0)</x:f>
        <x:v>1</x:v>
      </x:c>
      <x:c r="F1478" s="21" t="n">
        <x:v>1</x:v>
      </x:c>
      <x:c r="G1478" s="23" t="str">
        <x:f>IF(E1478=F1478,"PASS","FAIL")</x:f>
        <x:v>PASS</x:v>
      </x:c>
    </x:row>
    <x:row r="1479">
      <x:c r="B1479" s="21" t="str">
        <x:v>A1473</x:v>
      </x:c>
      <x:c r="C1479" s="21" t="str">
        <x:v>paper gate</x:v>
      </x:c>
      <x:c r="D1479" s="21" t="str">
        <x:v>gate 360 binary observation</x:v>
      </x:c>
      <x:c r="E1479" s="21" t="n">
        <x:f>IF(OR('Paper Gates'!G360=0,'Paper Gates'!G360=1),1,0)</x:f>
        <x:v>1</x:v>
      </x:c>
      <x:c r="F1479" s="21" t="n">
        <x:v>1</x:v>
      </x:c>
      <x:c r="G1479" s="23" t="str">
        <x:f>IF(E1479=F1479,"PASS","FAIL")</x:f>
        <x:v>PASS</x:v>
      </x:c>
    </x:row>
    <x:row r="1480">
      <x:c r="B1480" s="21" t="str">
        <x:v>A1474</x:v>
      </x:c>
      <x:c r="C1480" s="21" t="str">
        <x:v>paper gate</x:v>
      </x:c>
      <x:c r="D1480" s="21" t="str">
        <x:v>gate 360 fixed requirement</x:v>
      </x:c>
      <x:c r="E1480" s="21" t="n">
        <x:f>IF('Paper Gates'!H360=1,1,0)</x:f>
        <x:v>1</x:v>
      </x:c>
      <x:c r="F1480" s="21" t="n">
        <x:v>1</x:v>
      </x:c>
      <x:c r="G1480" s="23" t="str">
        <x:f>IF(E1480=F1480,"PASS","FAIL")</x:f>
        <x:v>PASS</x:v>
      </x:c>
    </x:row>
    <x:row r="1481">
      <x:c r="B1481" s="21" t="str">
        <x:v>A1475</x:v>
      </x:c>
      <x:c r="C1481" s="21" t="str">
        <x:v>paper gate</x:v>
      </x:c>
      <x:c r="D1481" s="21" t="str">
        <x:v>gate 360 result reconciles</x:v>
      </x:c>
      <x:c r="E1481" s="21" t="n">
        <x:f>IF('Paper Gates'!I360=IF('Paper Gates'!G360='Paper Gates'!H360,"PASS","FAIL"),1,0)</x:f>
        <x:v>1</x:v>
      </x:c>
      <x:c r="F1481" s="21" t="n">
        <x:v>1</x:v>
      </x:c>
      <x:c r="G1481" s="23" t="str">
        <x:f>IF(E1481=F1481,"PASS","FAIL")</x:f>
        <x:v>PASS</x:v>
      </x:c>
    </x:row>
    <x:row r="1482">
      <x:c r="B1482" s="21" t="str">
        <x:v>A1476</x:v>
      </x:c>
      <x:c r="C1482" s="21" t="str">
        <x:v>paper gate</x:v>
      </x:c>
      <x:c r="D1482" s="21" t="str">
        <x:v>gate 361 binary observation</x:v>
      </x:c>
      <x:c r="E1482" s="21" t="n">
        <x:f>IF(OR('Paper Gates'!G361=0,'Paper Gates'!G361=1),1,0)</x:f>
        <x:v>1</x:v>
      </x:c>
      <x:c r="F1482" s="21" t="n">
        <x:v>1</x:v>
      </x:c>
      <x:c r="G1482" s="23" t="str">
        <x:f>IF(E1482=F1482,"PASS","FAIL")</x:f>
        <x:v>PASS</x:v>
      </x:c>
    </x:row>
    <x:row r="1483">
      <x:c r="B1483" s="21" t="str">
        <x:v>A1477</x:v>
      </x:c>
      <x:c r="C1483" s="21" t="str">
        <x:v>paper gate</x:v>
      </x:c>
      <x:c r="D1483" s="21" t="str">
        <x:v>gate 361 fixed requirement</x:v>
      </x:c>
      <x:c r="E1483" s="21" t="n">
        <x:f>IF('Paper Gates'!H361=1,1,0)</x:f>
        <x:v>1</x:v>
      </x:c>
      <x:c r="F1483" s="21" t="n">
        <x:v>1</x:v>
      </x:c>
      <x:c r="G1483" s="23" t="str">
        <x:f>IF(E1483=F1483,"PASS","FAIL")</x:f>
        <x:v>PASS</x:v>
      </x:c>
    </x:row>
    <x:row r="1484">
      <x:c r="B1484" s="21" t="str">
        <x:v>A1478</x:v>
      </x:c>
      <x:c r="C1484" s="21" t="str">
        <x:v>paper gate</x:v>
      </x:c>
      <x:c r="D1484" s="21" t="str">
        <x:v>gate 361 result reconciles</x:v>
      </x:c>
      <x:c r="E1484" s="21" t="n">
        <x:f>IF('Paper Gates'!I361=IF('Paper Gates'!G361='Paper Gates'!H361,"PASS","FAIL"),1,0)</x:f>
        <x:v>1</x:v>
      </x:c>
      <x:c r="F1484" s="21" t="n">
        <x:v>1</x:v>
      </x:c>
      <x:c r="G1484" s="23" t="str">
        <x:f>IF(E1484=F1484,"PASS","FAIL")</x:f>
        <x:v>PASS</x:v>
      </x:c>
    </x:row>
    <x:row r="1485">
      <x:c r="B1485" s="21" t="str">
        <x:v>A1479</x:v>
      </x:c>
      <x:c r="C1485" s="21" t="str">
        <x:v>paper gate</x:v>
      </x:c>
      <x:c r="D1485" s="21" t="str">
        <x:v>gate 362 binary observation</x:v>
      </x:c>
      <x:c r="E1485" s="21" t="n">
        <x:f>IF(OR('Paper Gates'!G362=0,'Paper Gates'!G362=1),1,0)</x:f>
        <x:v>1</x:v>
      </x:c>
      <x:c r="F1485" s="21" t="n">
        <x:v>1</x:v>
      </x:c>
      <x:c r="G1485" s="23" t="str">
        <x:f>IF(E1485=F1485,"PASS","FAIL")</x:f>
        <x:v>PASS</x:v>
      </x:c>
    </x:row>
    <x:row r="1486">
      <x:c r="B1486" s="21" t="str">
        <x:v>A1480</x:v>
      </x:c>
      <x:c r="C1486" s="21" t="str">
        <x:v>paper gate</x:v>
      </x:c>
      <x:c r="D1486" s="21" t="str">
        <x:v>gate 362 fixed requirement</x:v>
      </x:c>
      <x:c r="E1486" s="21" t="n">
        <x:f>IF('Paper Gates'!H362=1,1,0)</x:f>
        <x:v>1</x:v>
      </x:c>
      <x:c r="F1486" s="21" t="n">
        <x:v>1</x:v>
      </x:c>
      <x:c r="G1486" s="23" t="str">
        <x:f>IF(E1486=F1486,"PASS","FAIL")</x:f>
        <x:v>PASS</x:v>
      </x:c>
    </x:row>
    <x:row r="1487">
      <x:c r="B1487" s="21" t="str">
        <x:v>A1481</x:v>
      </x:c>
      <x:c r="C1487" s="21" t="str">
        <x:v>paper gate</x:v>
      </x:c>
      <x:c r="D1487" s="21" t="str">
        <x:v>gate 362 result reconciles</x:v>
      </x:c>
      <x:c r="E1487" s="21" t="n">
        <x:f>IF('Paper Gates'!I362=IF('Paper Gates'!G362='Paper Gates'!H362,"PASS","FAIL"),1,0)</x:f>
        <x:v>1</x:v>
      </x:c>
      <x:c r="F1487" s="21" t="n">
        <x:v>1</x:v>
      </x:c>
      <x:c r="G1487" s="23" t="str">
        <x:f>IF(E1487=F1487,"PASS","FAIL")</x:f>
        <x:v>PASS</x:v>
      </x:c>
    </x:row>
    <x:row r="1488">
      <x:c r="B1488" s="21" t="str">
        <x:v>A1482</x:v>
      </x:c>
      <x:c r="C1488" s="21" t="str">
        <x:v>paper gate</x:v>
      </x:c>
      <x:c r="D1488" s="21" t="str">
        <x:v>gate 363 binary observation</x:v>
      </x:c>
      <x:c r="E1488" s="21" t="n">
        <x:f>IF(OR('Paper Gates'!G363=0,'Paper Gates'!G363=1),1,0)</x:f>
        <x:v>1</x:v>
      </x:c>
      <x:c r="F1488" s="21" t="n">
        <x:v>1</x:v>
      </x:c>
      <x:c r="G1488" s="23" t="str">
        <x:f>IF(E1488=F1488,"PASS","FAIL")</x:f>
        <x:v>PASS</x:v>
      </x:c>
    </x:row>
    <x:row r="1489">
      <x:c r="B1489" s="21" t="str">
        <x:v>A1483</x:v>
      </x:c>
      <x:c r="C1489" s="21" t="str">
        <x:v>paper gate</x:v>
      </x:c>
      <x:c r="D1489" s="21" t="str">
        <x:v>gate 363 fixed requirement</x:v>
      </x:c>
      <x:c r="E1489" s="21" t="n">
        <x:f>IF('Paper Gates'!H363=1,1,0)</x:f>
        <x:v>1</x:v>
      </x:c>
      <x:c r="F1489" s="21" t="n">
        <x:v>1</x:v>
      </x:c>
      <x:c r="G1489" s="23" t="str">
        <x:f>IF(E1489=F1489,"PASS","FAIL")</x:f>
        <x:v>PASS</x:v>
      </x:c>
    </x:row>
    <x:row r="1490">
      <x:c r="B1490" s="21" t="str">
        <x:v>A1484</x:v>
      </x:c>
      <x:c r="C1490" s="21" t="str">
        <x:v>paper gate</x:v>
      </x:c>
      <x:c r="D1490" s="21" t="str">
        <x:v>gate 363 result reconciles</x:v>
      </x:c>
      <x:c r="E1490" s="21" t="n">
        <x:f>IF('Paper Gates'!I363=IF('Paper Gates'!G363='Paper Gates'!H363,"PASS","FAIL"),1,0)</x:f>
        <x:v>1</x:v>
      </x:c>
      <x:c r="F1490" s="21" t="n">
        <x:v>1</x:v>
      </x:c>
      <x:c r="G1490" s="23" t="str">
        <x:f>IF(E1490=F1490,"PASS","FAIL")</x:f>
        <x:v>PASS</x:v>
      </x:c>
    </x:row>
    <x:row r="1491">
      <x:c r="B1491" s="21" t="str">
        <x:v>A1485</x:v>
      </x:c>
      <x:c r="C1491" s="21" t="str">
        <x:v>paper gate</x:v>
      </x:c>
      <x:c r="D1491" s="21" t="str">
        <x:v>gate 364 binary observation</x:v>
      </x:c>
      <x:c r="E1491" s="21" t="n">
        <x:f>IF(OR('Paper Gates'!G364=0,'Paper Gates'!G364=1),1,0)</x:f>
        <x:v>1</x:v>
      </x:c>
      <x:c r="F1491" s="21" t="n">
        <x:v>1</x:v>
      </x:c>
      <x:c r="G1491" s="23" t="str">
        <x:f>IF(E1491=F1491,"PASS","FAIL")</x:f>
        <x:v>PASS</x:v>
      </x:c>
    </x:row>
    <x:row r="1492">
      <x:c r="B1492" s="21" t="str">
        <x:v>A1486</x:v>
      </x:c>
      <x:c r="C1492" s="21" t="str">
        <x:v>paper gate</x:v>
      </x:c>
      <x:c r="D1492" s="21" t="str">
        <x:v>gate 364 fixed requirement</x:v>
      </x:c>
      <x:c r="E1492" s="21" t="n">
        <x:f>IF('Paper Gates'!H364=1,1,0)</x:f>
        <x:v>1</x:v>
      </x:c>
      <x:c r="F1492" s="21" t="n">
        <x:v>1</x:v>
      </x:c>
      <x:c r="G1492" s="23" t="str">
        <x:f>IF(E1492=F1492,"PASS","FAIL")</x:f>
        <x:v>PASS</x:v>
      </x:c>
    </x:row>
    <x:row r="1493">
      <x:c r="B1493" s="21" t="str">
        <x:v>A1487</x:v>
      </x:c>
      <x:c r="C1493" s="21" t="str">
        <x:v>paper gate</x:v>
      </x:c>
      <x:c r="D1493" s="21" t="str">
        <x:v>gate 364 result reconciles</x:v>
      </x:c>
      <x:c r="E1493" s="21" t="n">
        <x:f>IF('Paper Gates'!I364=IF('Paper Gates'!G364='Paper Gates'!H364,"PASS","FAIL"),1,0)</x:f>
        <x:v>1</x:v>
      </x:c>
      <x:c r="F1493" s="21" t="n">
        <x:v>1</x:v>
      </x:c>
      <x:c r="G1493" s="23" t="str">
        <x:f>IF(E1493=F1493,"PASS","FAIL")</x:f>
        <x:v>PASS</x:v>
      </x:c>
    </x:row>
    <x:row r="1494">
      <x:c r="B1494" s="21" t="str">
        <x:v>A1488</x:v>
      </x:c>
      <x:c r="C1494" s="21" t="str">
        <x:v>paper gate</x:v>
      </x:c>
      <x:c r="D1494" s="21" t="str">
        <x:v>gate 365 binary observation</x:v>
      </x:c>
      <x:c r="E1494" s="21" t="n">
        <x:f>IF(OR('Paper Gates'!G365=0,'Paper Gates'!G365=1),1,0)</x:f>
        <x:v>1</x:v>
      </x:c>
      <x:c r="F1494" s="21" t="n">
        <x:v>1</x:v>
      </x:c>
      <x:c r="G1494" s="23" t="str">
        <x:f>IF(E1494=F1494,"PASS","FAIL")</x:f>
        <x:v>PASS</x:v>
      </x:c>
    </x:row>
    <x:row r="1495">
      <x:c r="B1495" s="21" t="str">
        <x:v>A1489</x:v>
      </x:c>
      <x:c r="C1495" s="21" t="str">
        <x:v>paper gate</x:v>
      </x:c>
      <x:c r="D1495" s="21" t="str">
        <x:v>gate 365 fixed requirement</x:v>
      </x:c>
      <x:c r="E1495" s="21" t="n">
        <x:f>IF('Paper Gates'!H365=1,1,0)</x:f>
        <x:v>1</x:v>
      </x:c>
      <x:c r="F1495" s="21" t="n">
        <x:v>1</x:v>
      </x:c>
      <x:c r="G1495" s="23" t="str">
        <x:f>IF(E1495=F1495,"PASS","FAIL")</x:f>
        <x:v>PASS</x:v>
      </x:c>
    </x:row>
    <x:row r="1496">
      <x:c r="B1496" s="21" t="str">
        <x:v>A1490</x:v>
      </x:c>
      <x:c r="C1496" s="21" t="str">
        <x:v>paper gate</x:v>
      </x:c>
      <x:c r="D1496" s="21" t="str">
        <x:v>gate 365 result reconciles</x:v>
      </x:c>
      <x:c r="E1496" s="21" t="n">
        <x:f>IF('Paper Gates'!I365=IF('Paper Gates'!G365='Paper Gates'!H365,"PASS","FAIL"),1,0)</x:f>
        <x:v>1</x:v>
      </x:c>
      <x:c r="F1496" s="21" t="n">
        <x:v>1</x:v>
      </x:c>
      <x:c r="G1496" s="23" t="str">
        <x:f>IF(E1496=F1496,"PASS","FAIL")</x:f>
        <x:v>PASS</x:v>
      </x:c>
    </x:row>
    <x:row r="1497">
      <x:c r="B1497" s="21" t="str">
        <x:v>A1491</x:v>
      </x:c>
      <x:c r="C1497" s="21" t="str">
        <x:v>paper gate</x:v>
      </x:c>
      <x:c r="D1497" s="21" t="str">
        <x:v>gate 366 binary observation</x:v>
      </x:c>
      <x:c r="E1497" s="21" t="n">
        <x:f>IF(OR('Paper Gates'!G366=0,'Paper Gates'!G366=1),1,0)</x:f>
        <x:v>1</x:v>
      </x:c>
      <x:c r="F1497" s="21" t="n">
        <x:v>1</x:v>
      </x:c>
      <x:c r="G1497" s="23" t="str">
        <x:f>IF(E1497=F1497,"PASS","FAIL")</x:f>
        <x:v>PASS</x:v>
      </x:c>
    </x:row>
    <x:row r="1498">
      <x:c r="B1498" s="21" t="str">
        <x:v>A1492</x:v>
      </x:c>
      <x:c r="C1498" s="21" t="str">
        <x:v>paper gate</x:v>
      </x:c>
      <x:c r="D1498" s="21" t="str">
        <x:v>gate 366 fixed requirement</x:v>
      </x:c>
      <x:c r="E1498" s="21" t="n">
        <x:f>IF('Paper Gates'!H366=1,1,0)</x:f>
        <x:v>1</x:v>
      </x:c>
      <x:c r="F1498" s="21" t="n">
        <x:v>1</x:v>
      </x:c>
      <x:c r="G1498" s="23" t="str">
        <x:f>IF(E1498=F1498,"PASS","FAIL")</x:f>
        <x:v>PASS</x:v>
      </x:c>
    </x:row>
    <x:row r="1499">
      <x:c r="B1499" s="21" t="str">
        <x:v>A1493</x:v>
      </x:c>
      <x:c r="C1499" s="21" t="str">
        <x:v>paper gate</x:v>
      </x:c>
      <x:c r="D1499" s="21" t="str">
        <x:v>gate 366 result reconciles</x:v>
      </x:c>
      <x:c r="E1499" s="21" t="n">
        <x:f>IF('Paper Gates'!I366=IF('Paper Gates'!G366='Paper Gates'!H366,"PASS","FAIL"),1,0)</x:f>
        <x:v>1</x:v>
      </x:c>
      <x:c r="F1499" s="21" t="n">
        <x:v>1</x:v>
      </x:c>
      <x:c r="G1499" s="23" t="str">
        <x:f>IF(E1499=F1499,"PASS","FAIL")</x:f>
        <x:v>PASS</x:v>
      </x:c>
    </x:row>
    <x:row r="1500">
      <x:c r="B1500" s="21" t="str">
        <x:v>A1494</x:v>
      </x:c>
      <x:c r="C1500" s="21" t="str">
        <x:v>paper gate</x:v>
      </x:c>
      <x:c r="D1500" s="21" t="str">
        <x:v>gate 367 binary observation</x:v>
      </x:c>
      <x:c r="E1500" s="21" t="n">
        <x:f>IF(OR('Paper Gates'!G367=0,'Paper Gates'!G367=1),1,0)</x:f>
        <x:v>1</x:v>
      </x:c>
      <x:c r="F1500" s="21" t="n">
        <x:v>1</x:v>
      </x:c>
      <x:c r="G1500" s="23" t="str">
        <x:f>IF(E1500=F1500,"PASS","FAIL")</x:f>
        <x:v>PASS</x:v>
      </x:c>
    </x:row>
    <x:row r="1501">
      <x:c r="B1501" s="21" t="str">
        <x:v>A1495</x:v>
      </x:c>
      <x:c r="C1501" s="21" t="str">
        <x:v>paper gate</x:v>
      </x:c>
      <x:c r="D1501" s="21" t="str">
        <x:v>gate 367 fixed requirement</x:v>
      </x:c>
      <x:c r="E1501" s="21" t="n">
        <x:f>IF('Paper Gates'!H367=1,1,0)</x:f>
        <x:v>1</x:v>
      </x:c>
      <x:c r="F1501" s="21" t="n">
        <x:v>1</x:v>
      </x:c>
      <x:c r="G1501" s="23" t="str">
        <x:f>IF(E1501=F1501,"PASS","FAIL")</x:f>
        <x:v>PASS</x:v>
      </x:c>
    </x:row>
    <x:row r="1502">
      <x:c r="B1502" s="21" t="str">
        <x:v>A1496</x:v>
      </x:c>
      <x:c r="C1502" s="21" t="str">
        <x:v>paper gate</x:v>
      </x:c>
      <x:c r="D1502" s="21" t="str">
        <x:v>gate 367 result reconciles</x:v>
      </x:c>
      <x:c r="E1502" s="21" t="n">
        <x:f>IF('Paper Gates'!I367=IF('Paper Gates'!G367='Paper Gates'!H367,"PASS","FAIL"),1,0)</x:f>
        <x:v>1</x:v>
      </x:c>
      <x:c r="F1502" s="21" t="n">
        <x:v>1</x:v>
      </x:c>
      <x:c r="G1502" s="23" t="str">
        <x:f>IF(E1502=F1502,"PASS","FAIL")</x:f>
        <x:v>PASS</x:v>
      </x:c>
    </x:row>
    <x:row r="1503">
      <x:c r="B1503" s="21" t="str">
        <x:v>A1497</x:v>
      </x:c>
      <x:c r="C1503" s="21" t="str">
        <x:v>paper gate</x:v>
      </x:c>
      <x:c r="D1503" s="21" t="str">
        <x:v>gate 368 binary observation</x:v>
      </x:c>
      <x:c r="E1503" s="21" t="n">
        <x:f>IF(OR('Paper Gates'!G368=0,'Paper Gates'!G368=1),1,0)</x:f>
        <x:v>1</x:v>
      </x:c>
      <x:c r="F1503" s="21" t="n">
        <x:v>1</x:v>
      </x:c>
      <x:c r="G1503" s="23" t="str">
        <x:f>IF(E1503=F1503,"PASS","FAIL")</x:f>
        <x:v>PASS</x:v>
      </x:c>
    </x:row>
    <x:row r="1504">
      <x:c r="B1504" s="21" t="str">
        <x:v>A1498</x:v>
      </x:c>
      <x:c r="C1504" s="21" t="str">
        <x:v>paper gate</x:v>
      </x:c>
      <x:c r="D1504" s="21" t="str">
        <x:v>gate 368 fixed requirement</x:v>
      </x:c>
      <x:c r="E1504" s="21" t="n">
        <x:f>IF('Paper Gates'!H368=1,1,0)</x:f>
        <x:v>1</x:v>
      </x:c>
      <x:c r="F1504" s="21" t="n">
        <x:v>1</x:v>
      </x:c>
      <x:c r="G1504" s="23" t="str">
        <x:f>IF(E1504=F1504,"PASS","FAIL")</x:f>
        <x:v>PASS</x:v>
      </x:c>
    </x:row>
    <x:row r="1505">
      <x:c r="B1505" s="21" t="str">
        <x:v>A1499</x:v>
      </x:c>
      <x:c r="C1505" s="21" t="str">
        <x:v>paper gate</x:v>
      </x:c>
      <x:c r="D1505" s="21" t="str">
        <x:v>gate 368 result reconciles</x:v>
      </x:c>
      <x:c r="E1505" s="21" t="n">
        <x:f>IF('Paper Gates'!I368=IF('Paper Gates'!G368='Paper Gates'!H368,"PASS","FAIL"),1,0)</x:f>
        <x:v>1</x:v>
      </x:c>
      <x:c r="F1505" s="21" t="n">
        <x:v>1</x:v>
      </x:c>
      <x:c r="G1505" s="23" t="str">
        <x:f>IF(E1505=F1505,"PASS","FAIL")</x:f>
        <x:v>PASS</x:v>
      </x:c>
    </x:row>
    <x:row r="1506">
      <x:c r="B1506" s="21" t="str">
        <x:v>A1500</x:v>
      </x:c>
      <x:c r="C1506" s="21" t="str">
        <x:v>paper gate</x:v>
      </x:c>
      <x:c r="D1506" s="21" t="str">
        <x:v>gate 369 binary observation</x:v>
      </x:c>
      <x:c r="E1506" s="21" t="n">
        <x:f>IF(OR('Paper Gates'!G369=0,'Paper Gates'!G369=1),1,0)</x:f>
        <x:v>1</x:v>
      </x:c>
      <x:c r="F1506" s="21" t="n">
        <x:v>1</x:v>
      </x:c>
      <x:c r="G1506" s="23" t="str">
        <x:f>IF(E1506=F1506,"PASS","FAIL")</x:f>
        <x:v>PASS</x:v>
      </x:c>
    </x:row>
    <x:row r="1507">
      <x:c r="B1507" s="21" t="str">
        <x:v>A1501</x:v>
      </x:c>
      <x:c r="C1507" s="21" t="str">
        <x:v>paper gate</x:v>
      </x:c>
      <x:c r="D1507" s="21" t="str">
        <x:v>gate 369 fixed requirement</x:v>
      </x:c>
      <x:c r="E1507" s="21" t="n">
        <x:f>IF('Paper Gates'!H369=1,1,0)</x:f>
        <x:v>1</x:v>
      </x:c>
      <x:c r="F1507" s="21" t="n">
        <x:v>1</x:v>
      </x:c>
      <x:c r="G1507" s="23" t="str">
        <x:f>IF(E1507=F1507,"PASS","FAIL")</x:f>
        <x:v>PASS</x:v>
      </x:c>
    </x:row>
    <x:row r="1508">
      <x:c r="B1508" s="21" t="str">
        <x:v>A1502</x:v>
      </x:c>
      <x:c r="C1508" s="21" t="str">
        <x:v>paper gate</x:v>
      </x:c>
      <x:c r="D1508" s="21" t="str">
        <x:v>gate 369 result reconciles</x:v>
      </x:c>
      <x:c r="E1508" s="21" t="n">
        <x:f>IF('Paper Gates'!I369=IF('Paper Gates'!G369='Paper Gates'!H369,"PASS","FAIL"),1,0)</x:f>
        <x:v>1</x:v>
      </x:c>
      <x:c r="F1508" s="21" t="n">
        <x:v>1</x:v>
      </x:c>
      <x:c r="G1508" s="23" t="str">
        <x:f>IF(E1508=F1508,"PASS","FAIL")</x:f>
        <x:v>PASS</x:v>
      </x:c>
    </x:row>
    <x:row r="1509">
      <x:c r="B1509" s="21" t="str">
        <x:v>A1503</x:v>
      </x:c>
      <x:c r="C1509" s="21" t="str">
        <x:v>paper gate</x:v>
      </x:c>
      <x:c r="D1509" s="21" t="str">
        <x:v>gate 370 binary observation</x:v>
      </x:c>
      <x:c r="E1509" s="21" t="n">
        <x:f>IF(OR('Paper Gates'!G370=0,'Paper Gates'!G370=1),1,0)</x:f>
        <x:v>1</x:v>
      </x:c>
      <x:c r="F1509" s="21" t="n">
        <x:v>1</x:v>
      </x:c>
      <x:c r="G1509" s="23" t="str">
        <x:f>IF(E1509=F1509,"PASS","FAIL")</x:f>
        <x:v>PASS</x:v>
      </x:c>
    </x:row>
    <x:row r="1510">
      <x:c r="B1510" s="21" t="str">
        <x:v>A1504</x:v>
      </x:c>
      <x:c r="C1510" s="21" t="str">
        <x:v>paper gate</x:v>
      </x:c>
      <x:c r="D1510" s="21" t="str">
        <x:v>gate 370 fixed requirement</x:v>
      </x:c>
      <x:c r="E1510" s="21" t="n">
        <x:f>IF('Paper Gates'!H370=1,1,0)</x:f>
        <x:v>1</x:v>
      </x:c>
      <x:c r="F1510" s="21" t="n">
        <x:v>1</x:v>
      </x:c>
      <x:c r="G1510" s="23" t="str">
        <x:f>IF(E1510=F1510,"PASS","FAIL")</x:f>
        <x:v>PASS</x:v>
      </x:c>
    </x:row>
    <x:row r="1511">
      <x:c r="B1511" s="21" t="str">
        <x:v>A1505</x:v>
      </x:c>
      <x:c r="C1511" s="21" t="str">
        <x:v>paper gate</x:v>
      </x:c>
      <x:c r="D1511" s="21" t="str">
        <x:v>gate 370 result reconciles</x:v>
      </x:c>
      <x:c r="E1511" s="21" t="n">
        <x:f>IF('Paper Gates'!I370=IF('Paper Gates'!G370='Paper Gates'!H370,"PASS","FAIL"),1,0)</x:f>
        <x:v>1</x:v>
      </x:c>
      <x:c r="F1511" s="21" t="n">
        <x:v>1</x:v>
      </x:c>
      <x:c r="G1511" s="23" t="str">
        <x:f>IF(E1511=F1511,"PASS","FAIL")</x:f>
        <x:v>PASS</x:v>
      </x:c>
    </x:row>
    <x:row r="1512">
      <x:c r="B1512" s="21" t="str">
        <x:v>A1506</x:v>
      </x:c>
      <x:c r="C1512" s="21" t="str">
        <x:v>paper gate</x:v>
      </x:c>
      <x:c r="D1512" s="21" t="str">
        <x:v>gate 371 binary observation</x:v>
      </x:c>
      <x:c r="E1512" s="21" t="n">
        <x:f>IF(OR('Paper Gates'!G371=0,'Paper Gates'!G371=1),1,0)</x:f>
        <x:v>1</x:v>
      </x:c>
      <x:c r="F1512" s="21" t="n">
        <x:v>1</x:v>
      </x:c>
      <x:c r="G1512" s="23" t="str">
        <x:f>IF(E1512=F1512,"PASS","FAIL")</x:f>
        <x:v>PASS</x:v>
      </x:c>
    </x:row>
    <x:row r="1513">
      <x:c r="B1513" s="21" t="str">
        <x:v>A1507</x:v>
      </x:c>
      <x:c r="C1513" s="21" t="str">
        <x:v>paper gate</x:v>
      </x:c>
      <x:c r="D1513" s="21" t="str">
        <x:v>gate 371 fixed requirement</x:v>
      </x:c>
      <x:c r="E1513" s="21" t="n">
        <x:f>IF('Paper Gates'!H371=1,1,0)</x:f>
        <x:v>1</x:v>
      </x:c>
      <x:c r="F1513" s="21" t="n">
        <x:v>1</x:v>
      </x:c>
      <x:c r="G1513" s="23" t="str">
        <x:f>IF(E1513=F1513,"PASS","FAIL")</x:f>
        <x:v>PASS</x:v>
      </x:c>
    </x:row>
    <x:row r="1514">
      <x:c r="B1514" s="21" t="str">
        <x:v>A1508</x:v>
      </x:c>
      <x:c r="C1514" s="21" t="str">
        <x:v>paper gate</x:v>
      </x:c>
      <x:c r="D1514" s="21" t="str">
        <x:v>gate 371 result reconciles</x:v>
      </x:c>
      <x:c r="E1514" s="21" t="n">
        <x:f>IF('Paper Gates'!I371=IF('Paper Gates'!G371='Paper Gates'!H371,"PASS","FAIL"),1,0)</x:f>
        <x:v>1</x:v>
      </x:c>
      <x:c r="F1514" s="21" t="n">
        <x:v>1</x:v>
      </x:c>
      <x:c r="G1514" s="23" t="str">
        <x:f>IF(E1514=F1514,"PASS","FAIL")</x:f>
        <x:v>PASS</x:v>
      </x:c>
    </x:row>
    <x:row r="1515">
      <x:c r="B1515" s="21" t="str">
        <x:v>A1509</x:v>
      </x:c>
      <x:c r="C1515" s="21" t="str">
        <x:v>paper gate</x:v>
      </x:c>
      <x:c r="D1515" s="21" t="str">
        <x:v>gate 372 binary observation</x:v>
      </x:c>
      <x:c r="E1515" s="21" t="n">
        <x:f>IF(OR('Paper Gates'!G372=0,'Paper Gates'!G372=1),1,0)</x:f>
        <x:v>1</x:v>
      </x:c>
      <x:c r="F1515" s="21" t="n">
        <x:v>1</x:v>
      </x:c>
      <x:c r="G1515" s="23" t="str">
        <x:f>IF(E1515=F1515,"PASS","FAIL")</x:f>
        <x:v>PASS</x:v>
      </x:c>
    </x:row>
    <x:row r="1516">
      <x:c r="B1516" s="21" t="str">
        <x:v>A1510</x:v>
      </x:c>
      <x:c r="C1516" s="21" t="str">
        <x:v>paper gate</x:v>
      </x:c>
      <x:c r="D1516" s="21" t="str">
        <x:v>gate 372 fixed requirement</x:v>
      </x:c>
      <x:c r="E1516" s="21" t="n">
        <x:f>IF('Paper Gates'!H372=1,1,0)</x:f>
        <x:v>1</x:v>
      </x:c>
      <x:c r="F1516" s="21" t="n">
        <x:v>1</x:v>
      </x:c>
      <x:c r="G1516" s="23" t="str">
        <x:f>IF(E1516=F1516,"PASS","FAIL")</x:f>
        <x:v>PASS</x:v>
      </x:c>
    </x:row>
    <x:row r="1517">
      <x:c r="B1517" s="21" t="str">
        <x:v>A1511</x:v>
      </x:c>
      <x:c r="C1517" s="21" t="str">
        <x:v>paper gate</x:v>
      </x:c>
      <x:c r="D1517" s="21" t="str">
        <x:v>gate 372 result reconciles</x:v>
      </x:c>
      <x:c r="E1517" s="21" t="n">
        <x:f>IF('Paper Gates'!I372=IF('Paper Gates'!G372='Paper Gates'!H372,"PASS","FAIL"),1,0)</x:f>
        <x:v>1</x:v>
      </x:c>
      <x:c r="F1517" s="21" t="n">
        <x:v>1</x:v>
      </x:c>
      <x:c r="G1517" s="23" t="str">
        <x:f>IF(E1517=F1517,"PASS","FAIL")</x:f>
        <x:v>PASS</x:v>
      </x:c>
    </x:row>
    <x:row r="1518">
      <x:c r="B1518" s="21" t="str">
        <x:v>A1512</x:v>
      </x:c>
      <x:c r="C1518" s="21" t="str">
        <x:v>paper gate</x:v>
      </x:c>
      <x:c r="D1518" s="21" t="str">
        <x:v>gate 373 binary observation</x:v>
      </x:c>
      <x:c r="E1518" s="21" t="n">
        <x:f>IF(OR('Paper Gates'!G373=0,'Paper Gates'!G373=1),1,0)</x:f>
        <x:v>1</x:v>
      </x:c>
      <x:c r="F1518" s="21" t="n">
        <x:v>1</x:v>
      </x:c>
      <x:c r="G1518" s="23" t="str">
        <x:f>IF(E1518=F1518,"PASS","FAIL")</x:f>
        <x:v>PASS</x:v>
      </x:c>
    </x:row>
    <x:row r="1519">
      <x:c r="B1519" s="21" t="str">
        <x:v>A1513</x:v>
      </x:c>
      <x:c r="C1519" s="21" t="str">
        <x:v>paper gate</x:v>
      </x:c>
      <x:c r="D1519" s="21" t="str">
        <x:v>gate 373 fixed requirement</x:v>
      </x:c>
      <x:c r="E1519" s="21" t="n">
        <x:f>IF('Paper Gates'!H373=1,1,0)</x:f>
        <x:v>1</x:v>
      </x:c>
      <x:c r="F1519" s="21" t="n">
        <x:v>1</x:v>
      </x:c>
      <x:c r="G1519" s="23" t="str">
        <x:f>IF(E1519=F1519,"PASS","FAIL")</x:f>
        <x:v>PASS</x:v>
      </x:c>
    </x:row>
    <x:row r="1520">
      <x:c r="B1520" s="21" t="str">
        <x:v>A1514</x:v>
      </x:c>
      <x:c r="C1520" s="21" t="str">
        <x:v>paper gate</x:v>
      </x:c>
      <x:c r="D1520" s="21" t="str">
        <x:v>gate 373 result reconciles</x:v>
      </x:c>
      <x:c r="E1520" s="21" t="n">
        <x:f>IF('Paper Gates'!I373=IF('Paper Gates'!G373='Paper Gates'!H373,"PASS","FAIL"),1,0)</x:f>
        <x:v>1</x:v>
      </x:c>
      <x:c r="F1520" s="21" t="n">
        <x:v>1</x:v>
      </x:c>
      <x:c r="G1520" s="23" t="str">
        <x:f>IF(E1520=F1520,"PASS","FAIL")</x:f>
        <x:v>PASS</x:v>
      </x:c>
    </x:row>
    <x:row r="1521">
      <x:c r="B1521" s="21" t="str">
        <x:v>A1515</x:v>
      </x:c>
      <x:c r="C1521" s="21" t="str">
        <x:v>paper gate</x:v>
      </x:c>
      <x:c r="D1521" s="21" t="str">
        <x:v>gate 374 binary observation</x:v>
      </x:c>
      <x:c r="E1521" s="21" t="n">
        <x:f>IF(OR('Paper Gates'!G374=0,'Paper Gates'!G374=1),1,0)</x:f>
        <x:v>1</x:v>
      </x:c>
      <x:c r="F1521" s="21" t="n">
        <x:v>1</x:v>
      </x:c>
      <x:c r="G1521" s="23" t="str">
        <x:f>IF(E1521=F1521,"PASS","FAIL")</x:f>
        <x:v>PASS</x:v>
      </x:c>
    </x:row>
    <x:row r="1522">
      <x:c r="B1522" s="21" t="str">
        <x:v>A1516</x:v>
      </x:c>
      <x:c r="C1522" s="21" t="str">
        <x:v>paper gate</x:v>
      </x:c>
      <x:c r="D1522" s="21" t="str">
        <x:v>gate 374 fixed requirement</x:v>
      </x:c>
      <x:c r="E1522" s="21" t="n">
        <x:f>IF('Paper Gates'!H374=1,1,0)</x:f>
        <x:v>1</x:v>
      </x:c>
      <x:c r="F1522" s="21" t="n">
        <x:v>1</x:v>
      </x:c>
      <x:c r="G1522" s="23" t="str">
        <x:f>IF(E1522=F1522,"PASS","FAIL")</x:f>
        <x:v>PASS</x:v>
      </x:c>
    </x:row>
    <x:row r="1523">
      <x:c r="B1523" s="21" t="str">
        <x:v>A1517</x:v>
      </x:c>
      <x:c r="C1523" s="21" t="str">
        <x:v>paper gate</x:v>
      </x:c>
      <x:c r="D1523" s="21" t="str">
        <x:v>gate 374 result reconciles</x:v>
      </x:c>
      <x:c r="E1523" s="21" t="n">
        <x:f>IF('Paper Gates'!I374=IF('Paper Gates'!G374='Paper Gates'!H374,"PASS","FAIL"),1,0)</x:f>
        <x:v>1</x:v>
      </x:c>
      <x:c r="F1523" s="21" t="n">
        <x:v>1</x:v>
      </x:c>
      <x:c r="G1523" s="23" t="str">
        <x:f>IF(E1523=F1523,"PASS","FAIL")</x:f>
        <x:v>PASS</x:v>
      </x:c>
    </x:row>
    <x:row r="1524">
      <x:c r="B1524" s="21" t="str">
        <x:v>A1518</x:v>
      </x:c>
      <x:c r="C1524" s="21" t="str">
        <x:v>paper gate</x:v>
      </x:c>
      <x:c r="D1524" s="21" t="str">
        <x:v>gate 375 binary observation</x:v>
      </x:c>
      <x:c r="E1524" s="21" t="n">
        <x:f>IF(OR('Paper Gates'!G375=0,'Paper Gates'!G375=1),1,0)</x:f>
        <x:v>1</x:v>
      </x:c>
      <x:c r="F1524" s="21" t="n">
        <x:v>1</x:v>
      </x:c>
      <x:c r="G1524" s="23" t="str">
        <x:f>IF(E1524=F1524,"PASS","FAIL")</x:f>
        <x:v>PASS</x:v>
      </x:c>
    </x:row>
    <x:row r="1525">
      <x:c r="B1525" s="21" t="str">
        <x:v>A1519</x:v>
      </x:c>
      <x:c r="C1525" s="21" t="str">
        <x:v>paper gate</x:v>
      </x:c>
      <x:c r="D1525" s="21" t="str">
        <x:v>gate 375 fixed requirement</x:v>
      </x:c>
      <x:c r="E1525" s="21" t="n">
        <x:f>IF('Paper Gates'!H375=1,1,0)</x:f>
        <x:v>1</x:v>
      </x:c>
      <x:c r="F1525" s="21" t="n">
        <x:v>1</x:v>
      </x:c>
      <x:c r="G1525" s="23" t="str">
        <x:f>IF(E1525=F1525,"PASS","FAIL")</x:f>
        <x:v>PASS</x:v>
      </x:c>
    </x:row>
    <x:row r="1526">
      <x:c r="B1526" s="21" t="str">
        <x:v>A1520</x:v>
      </x:c>
      <x:c r="C1526" s="21" t="str">
        <x:v>paper gate</x:v>
      </x:c>
      <x:c r="D1526" s="21" t="str">
        <x:v>gate 375 result reconciles</x:v>
      </x:c>
      <x:c r="E1526" s="21" t="n">
        <x:f>IF('Paper Gates'!I375=IF('Paper Gates'!G375='Paper Gates'!H375,"PASS","FAIL"),1,0)</x:f>
        <x:v>1</x:v>
      </x:c>
      <x:c r="F1526" s="21" t="n">
        <x:v>1</x:v>
      </x:c>
      <x:c r="G1526" s="23" t="str">
        <x:f>IF(E1526=F1526,"PASS","FAIL")</x:f>
        <x:v>PASS</x:v>
      </x:c>
    </x:row>
    <x:row r="1527">
      <x:c r="B1527" s="21" t="str">
        <x:v>A1521</x:v>
      </x:c>
      <x:c r="C1527" s="21" t="str">
        <x:v>paper gate</x:v>
      </x:c>
      <x:c r="D1527" s="21" t="str">
        <x:v>gate 376 binary observation</x:v>
      </x:c>
      <x:c r="E1527" s="21" t="n">
        <x:f>IF(OR('Paper Gates'!G376=0,'Paper Gates'!G376=1),1,0)</x:f>
        <x:v>1</x:v>
      </x:c>
      <x:c r="F1527" s="21" t="n">
        <x:v>1</x:v>
      </x:c>
      <x:c r="G1527" s="23" t="str">
        <x:f>IF(E1527=F1527,"PASS","FAIL")</x:f>
        <x:v>PASS</x:v>
      </x:c>
    </x:row>
    <x:row r="1528">
      <x:c r="B1528" s="21" t="str">
        <x:v>A1522</x:v>
      </x:c>
      <x:c r="C1528" s="21" t="str">
        <x:v>paper gate</x:v>
      </x:c>
      <x:c r="D1528" s="21" t="str">
        <x:v>gate 376 fixed requirement</x:v>
      </x:c>
      <x:c r="E1528" s="21" t="n">
        <x:f>IF('Paper Gates'!H376=1,1,0)</x:f>
        <x:v>1</x:v>
      </x:c>
      <x:c r="F1528" s="21" t="n">
        <x:v>1</x:v>
      </x:c>
      <x:c r="G1528" s="23" t="str">
        <x:f>IF(E1528=F1528,"PASS","FAIL")</x:f>
        <x:v>PASS</x:v>
      </x:c>
    </x:row>
    <x:row r="1529">
      <x:c r="B1529" s="21" t="str">
        <x:v>A1523</x:v>
      </x:c>
      <x:c r="C1529" s="21" t="str">
        <x:v>paper gate</x:v>
      </x:c>
      <x:c r="D1529" s="21" t="str">
        <x:v>gate 376 result reconciles</x:v>
      </x:c>
      <x:c r="E1529" s="21" t="n">
        <x:f>IF('Paper Gates'!I376=IF('Paper Gates'!G376='Paper Gates'!H376,"PASS","FAIL"),1,0)</x:f>
        <x:v>1</x:v>
      </x:c>
      <x:c r="F1529" s="21" t="n">
        <x:v>1</x:v>
      </x:c>
      <x:c r="G1529" s="23" t="str">
        <x:f>IF(E1529=F1529,"PASS","FAIL")</x:f>
        <x:v>PASS</x:v>
      </x:c>
    </x:row>
    <x:row r="1530">
      <x:c r="B1530" s="21" t="str">
        <x:v>A1524</x:v>
      </x:c>
      <x:c r="C1530" s="21" t="str">
        <x:v>paper gate</x:v>
      </x:c>
      <x:c r="D1530" s="21" t="str">
        <x:v>gate 377 binary observation</x:v>
      </x:c>
      <x:c r="E1530" s="21" t="n">
        <x:f>IF(OR('Paper Gates'!G377=0,'Paper Gates'!G377=1),1,0)</x:f>
        <x:v>1</x:v>
      </x:c>
      <x:c r="F1530" s="21" t="n">
        <x:v>1</x:v>
      </x:c>
      <x:c r="G1530" s="23" t="str">
        <x:f>IF(E1530=F1530,"PASS","FAIL")</x:f>
        <x:v>PASS</x:v>
      </x:c>
    </x:row>
    <x:row r="1531">
      <x:c r="B1531" s="21" t="str">
        <x:v>A1525</x:v>
      </x:c>
      <x:c r="C1531" s="21" t="str">
        <x:v>paper gate</x:v>
      </x:c>
      <x:c r="D1531" s="21" t="str">
        <x:v>gate 377 fixed requirement</x:v>
      </x:c>
      <x:c r="E1531" s="21" t="n">
        <x:f>IF('Paper Gates'!H377=1,1,0)</x:f>
        <x:v>1</x:v>
      </x:c>
      <x:c r="F1531" s="21" t="n">
        <x:v>1</x:v>
      </x:c>
      <x:c r="G1531" s="23" t="str">
        <x:f>IF(E1531=F1531,"PASS","FAIL")</x:f>
        <x:v>PASS</x:v>
      </x:c>
    </x:row>
    <x:row r="1532">
      <x:c r="B1532" s="21" t="str">
        <x:v>A1526</x:v>
      </x:c>
      <x:c r="C1532" s="21" t="str">
        <x:v>paper gate</x:v>
      </x:c>
      <x:c r="D1532" s="21" t="str">
        <x:v>gate 377 result reconciles</x:v>
      </x:c>
      <x:c r="E1532" s="21" t="n">
        <x:f>IF('Paper Gates'!I377=IF('Paper Gates'!G377='Paper Gates'!H377,"PASS","FAIL"),1,0)</x:f>
        <x:v>1</x:v>
      </x:c>
      <x:c r="F1532" s="21" t="n">
        <x:v>1</x:v>
      </x:c>
      <x:c r="G1532" s="23" t="str">
        <x:f>IF(E1532=F1532,"PASS","FAIL")</x:f>
        <x:v>PASS</x:v>
      </x:c>
    </x:row>
    <x:row r="1533">
      <x:c r="B1533" s="21" t="str">
        <x:v>A1527</x:v>
      </x:c>
      <x:c r="C1533" s="21" t="str">
        <x:v>paper gate</x:v>
      </x:c>
      <x:c r="D1533" s="21" t="str">
        <x:v>gate 378 binary observation</x:v>
      </x:c>
      <x:c r="E1533" s="21" t="n">
        <x:f>IF(OR('Paper Gates'!G378=0,'Paper Gates'!G378=1),1,0)</x:f>
        <x:v>1</x:v>
      </x:c>
      <x:c r="F1533" s="21" t="n">
        <x:v>1</x:v>
      </x:c>
      <x:c r="G1533" s="23" t="str">
        <x:f>IF(E1533=F1533,"PASS","FAIL")</x:f>
        <x:v>PASS</x:v>
      </x:c>
    </x:row>
    <x:row r="1534">
      <x:c r="B1534" s="21" t="str">
        <x:v>A1528</x:v>
      </x:c>
      <x:c r="C1534" s="21" t="str">
        <x:v>paper gate</x:v>
      </x:c>
      <x:c r="D1534" s="21" t="str">
        <x:v>gate 378 fixed requirement</x:v>
      </x:c>
      <x:c r="E1534" s="21" t="n">
        <x:f>IF('Paper Gates'!H378=1,1,0)</x:f>
        <x:v>1</x:v>
      </x:c>
      <x:c r="F1534" s="21" t="n">
        <x:v>1</x:v>
      </x:c>
      <x:c r="G1534" s="23" t="str">
        <x:f>IF(E1534=F1534,"PASS","FAIL")</x:f>
        <x:v>PASS</x:v>
      </x:c>
    </x:row>
    <x:row r="1535">
      <x:c r="B1535" s="21" t="str">
        <x:v>A1529</x:v>
      </x:c>
      <x:c r="C1535" s="21" t="str">
        <x:v>paper gate</x:v>
      </x:c>
      <x:c r="D1535" s="21" t="str">
        <x:v>gate 378 result reconciles</x:v>
      </x:c>
      <x:c r="E1535" s="21" t="n">
        <x:f>IF('Paper Gates'!I378=IF('Paper Gates'!G378='Paper Gates'!H378,"PASS","FAIL"),1,0)</x:f>
        <x:v>1</x:v>
      </x:c>
      <x:c r="F1535" s="21" t="n">
        <x:v>1</x:v>
      </x:c>
      <x:c r="G1535" s="23" t="str">
        <x:f>IF(E1535=F1535,"PASS","FAIL")</x:f>
        <x:v>PASS</x:v>
      </x:c>
    </x:row>
    <x:row r="1536">
      <x:c r="B1536" s="21" t="str">
        <x:v>A1530</x:v>
      </x:c>
      <x:c r="C1536" s="21" t="str">
        <x:v>paper gate</x:v>
      </x:c>
      <x:c r="D1536" s="21" t="str">
        <x:v>gate 379 binary observation</x:v>
      </x:c>
      <x:c r="E1536" s="21" t="n">
        <x:f>IF(OR('Paper Gates'!G379=0,'Paper Gates'!G379=1),1,0)</x:f>
        <x:v>1</x:v>
      </x:c>
      <x:c r="F1536" s="21" t="n">
        <x:v>1</x:v>
      </x:c>
      <x:c r="G1536" s="23" t="str">
        <x:f>IF(E1536=F1536,"PASS","FAIL")</x:f>
        <x:v>PASS</x:v>
      </x:c>
    </x:row>
    <x:row r="1537">
      <x:c r="B1537" s="21" t="str">
        <x:v>A1531</x:v>
      </x:c>
      <x:c r="C1537" s="21" t="str">
        <x:v>paper gate</x:v>
      </x:c>
      <x:c r="D1537" s="21" t="str">
        <x:v>gate 379 fixed requirement</x:v>
      </x:c>
      <x:c r="E1537" s="21" t="n">
        <x:f>IF('Paper Gates'!H379=1,1,0)</x:f>
        <x:v>1</x:v>
      </x:c>
      <x:c r="F1537" s="21" t="n">
        <x:v>1</x:v>
      </x:c>
      <x:c r="G1537" s="23" t="str">
        <x:f>IF(E1537=F1537,"PASS","FAIL")</x:f>
        <x:v>PASS</x:v>
      </x:c>
    </x:row>
    <x:row r="1538">
      <x:c r="B1538" s="21" t="str">
        <x:v>A1532</x:v>
      </x:c>
      <x:c r="C1538" s="21" t="str">
        <x:v>paper gate</x:v>
      </x:c>
      <x:c r="D1538" s="21" t="str">
        <x:v>gate 379 result reconciles</x:v>
      </x:c>
      <x:c r="E1538" s="21" t="n">
        <x:f>IF('Paper Gates'!I379=IF('Paper Gates'!G379='Paper Gates'!H379,"PASS","FAIL"),1,0)</x:f>
        <x:v>1</x:v>
      </x:c>
      <x:c r="F1538" s="21" t="n">
        <x:v>1</x:v>
      </x:c>
      <x:c r="G1538" s="23" t="str">
        <x:f>IF(E1538=F1538,"PASS","FAIL")</x:f>
        <x:v>PASS</x:v>
      </x:c>
    </x:row>
    <x:row r="1539">
      <x:c r="B1539" s="21" t="str">
        <x:v>A1533</x:v>
      </x:c>
      <x:c r="C1539" s="21" t="str">
        <x:v>paper gate</x:v>
      </x:c>
      <x:c r="D1539" s="21" t="str">
        <x:v>gate 380 binary observation</x:v>
      </x:c>
      <x:c r="E1539" s="21" t="n">
        <x:f>IF(OR('Paper Gates'!G380=0,'Paper Gates'!G380=1),1,0)</x:f>
        <x:v>1</x:v>
      </x:c>
      <x:c r="F1539" s="21" t="n">
        <x:v>1</x:v>
      </x:c>
      <x:c r="G1539" s="23" t="str">
        <x:f>IF(E1539=F1539,"PASS","FAIL")</x:f>
        <x:v>PASS</x:v>
      </x:c>
    </x:row>
    <x:row r="1540">
      <x:c r="B1540" s="21" t="str">
        <x:v>A1534</x:v>
      </x:c>
      <x:c r="C1540" s="21" t="str">
        <x:v>paper gate</x:v>
      </x:c>
      <x:c r="D1540" s="21" t="str">
        <x:v>gate 380 fixed requirement</x:v>
      </x:c>
      <x:c r="E1540" s="21" t="n">
        <x:f>IF('Paper Gates'!H380=1,1,0)</x:f>
        <x:v>1</x:v>
      </x:c>
      <x:c r="F1540" s="21" t="n">
        <x:v>1</x:v>
      </x:c>
      <x:c r="G1540" s="23" t="str">
        <x:f>IF(E1540=F1540,"PASS","FAIL")</x:f>
        <x:v>PASS</x:v>
      </x:c>
    </x:row>
    <x:row r="1541">
      <x:c r="B1541" s="21" t="str">
        <x:v>A1535</x:v>
      </x:c>
      <x:c r="C1541" s="21" t="str">
        <x:v>paper gate</x:v>
      </x:c>
      <x:c r="D1541" s="21" t="str">
        <x:v>gate 380 result reconciles</x:v>
      </x:c>
      <x:c r="E1541" s="21" t="n">
        <x:f>IF('Paper Gates'!I380=IF('Paper Gates'!G380='Paper Gates'!H380,"PASS","FAIL"),1,0)</x:f>
        <x:v>1</x:v>
      </x:c>
      <x:c r="F1541" s="21" t="n">
        <x:v>1</x:v>
      </x:c>
      <x:c r="G1541" s="23" t="str">
        <x:f>IF(E1541=F1541,"PASS","FAIL")</x:f>
        <x:v>PASS</x:v>
      </x:c>
    </x:row>
    <x:row r="1542">
      <x:c r="B1542" s="21" t="str">
        <x:v>A1536</x:v>
      </x:c>
      <x:c r="C1542" s="21" t="str">
        <x:v>paper gate</x:v>
      </x:c>
      <x:c r="D1542" s="21" t="str">
        <x:v>gate 381 binary observation</x:v>
      </x:c>
      <x:c r="E1542" s="21" t="n">
        <x:f>IF(OR('Paper Gates'!G381=0,'Paper Gates'!G381=1),1,0)</x:f>
        <x:v>1</x:v>
      </x:c>
      <x:c r="F1542" s="21" t="n">
        <x:v>1</x:v>
      </x:c>
      <x:c r="G1542" s="23" t="str">
        <x:f>IF(E1542=F1542,"PASS","FAIL")</x:f>
        <x:v>PASS</x:v>
      </x:c>
    </x:row>
    <x:row r="1543">
      <x:c r="B1543" s="21" t="str">
        <x:v>A1537</x:v>
      </x:c>
      <x:c r="C1543" s="21" t="str">
        <x:v>paper gate</x:v>
      </x:c>
      <x:c r="D1543" s="21" t="str">
        <x:v>gate 381 fixed requirement</x:v>
      </x:c>
      <x:c r="E1543" s="21" t="n">
        <x:f>IF('Paper Gates'!H381=1,1,0)</x:f>
        <x:v>1</x:v>
      </x:c>
      <x:c r="F1543" s="21" t="n">
        <x:v>1</x:v>
      </x:c>
      <x:c r="G1543" s="23" t="str">
        <x:f>IF(E1543=F1543,"PASS","FAIL")</x:f>
        <x:v>PASS</x:v>
      </x:c>
    </x:row>
    <x:row r="1544">
      <x:c r="B1544" s="21" t="str">
        <x:v>A1538</x:v>
      </x:c>
      <x:c r="C1544" s="21" t="str">
        <x:v>paper gate</x:v>
      </x:c>
      <x:c r="D1544" s="21" t="str">
        <x:v>gate 381 result reconciles</x:v>
      </x:c>
      <x:c r="E1544" s="21" t="n">
        <x:f>IF('Paper Gates'!I381=IF('Paper Gates'!G381='Paper Gates'!H381,"PASS","FAIL"),1,0)</x:f>
        <x:v>1</x:v>
      </x:c>
      <x:c r="F1544" s="21" t="n">
        <x:v>1</x:v>
      </x:c>
      <x:c r="G1544" s="23" t="str">
        <x:f>IF(E1544=F1544,"PASS","FAIL")</x:f>
        <x:v>PASS</x:v>
      </x:c>
    </x:row>
    <x:row r="1545">
      <x:c r="B1545" s="21" t="str">
        <x:v>A1539</x:v>
      </x:c>
      <x:c r="C1545" s="21" t="str">
        <x:v>paper gate</x:v>
      </x:c>
      <x:c r="D1545" s="21" t="str">
        <x:v>gate 382 binary observation</x:v>
      </x:c>
      <x:c r="E1545" s="21" t="n">
        <x:f>IF(OR('Paper Gates'!G382=0,'Paper Gates'!G382=1),1,0)</x:f>
        <x:v>1</x:v>
      </x:c>
      <x:c r="F1545" s="21" t="n">
        <x:v>1</x:v>
      </x:c>
      <x:c r="G1545" s="23" t="str">
        <x:f>IF(E1545=F1545,"PASS","FAIL")</x:f>
        <x:v>PASS</x:v>
      </x:c>
    </x:row>
    <x:row r="1546">
      <x:c r="B1546" s="21" t="str">
        <x:v>A1540</x:v>
      </x:c>
      <x:c r="C1546" s="21" t="str">
        <x:v>paper gate</x:v>
      </x:c>
      <x:c r="D1546" s="21" t="str">
        <x:v>gate 382 fixed requirement</x:v>
      </x:c>
      <x:c r="E1546" s="21" t="n">
        <x:f>IF('Paper Gates'!H382=1,1,0)</x:f>
        <x:v>1</x:v>
      </x:c>
      <x:c r="F1546" s="21" t="n">
        <x:v>1</x:v>
      </x:c>
      <x:c r="G1546" s="23" t="str">
        <x:f>IF(E1546=F1546,"PASS","FAIL")</x:f>
        <x:v>PASS</x:v>
      </x:c>
    </x:row>
    <x:row r="1547">
      <x:c r="B1547" s="21" t="str">
        <x:v>A1541</x:v>
      </x:c>
      <x:c r="C1547" s="21" t="str">
        <x:v>paper gate</x:v>
      </x:c>
      <x:c r="D1547" s="21" t="str">
        <x:v>gate 382 result reconciles</x:v>
      </x:c>
      <x:c r="E1547" s="21" t="n">
        <x:f>IF('Paper Gates'!I382=IF('Paper Gates'!G382='Paper Gates'!H382,"PASS","FAIL"),1,0)</x:f>
        <x:v>1</x:v>
      </x:c>
      <x:c r="F1547" s="21" t="n">
        <x:v>1</x:v>
      </x:c>
      <x:c r="G1547" s="23" t="str">
        <x:f>IF(E1547=F1547,"PASS","FAIL")</x:f>
        <x:v>PASS</x:v>
      </x:c>
    </x:row>
    <x:row r="1548">
      <x:c r="B1548" s="21" t="str">
        <x:v>A1542</x:v>
      </x:c>
      <x:c r="C1548" s="21" t="str">
        <x:v>paper gate</x:v>
      </x:c>
      <x:c r="D1548" s="21" t="str">
        <x:v>gate 383 binary observation</x:v>
      </x:c>
      <x:c r="E1548" s="21" t="n">
        <x:f>IF(OR('Paper Gates'!G383=0,'Paper Gates'!G383=1),1,0)</x:f>
        <x:v>1</x:v>
      </x:c>
      <x:c r="F1548" s="21" t="n">
        <x:v>1</x:v>
      </x:c>
      <x:c r="G1548" s="23" t="str">
        <x:f>IF(E1548=F1548,"PASS","FAIL")</x:f>
        <x:v>PASS</x:v>
      </x:c>
    </x:row>
    <x:row r="1549">
      <x:c r="B1549" s="21" t="str">
        <x:v>A1543</x:v>
      </x:c>
      <x:c r="C1549" s="21" t="str">
        <x:v>paper gate</x:v>
      </x:c>
      <x:c r="D1549" s="21" t="str">
        <x:v>gate 383 fixed requirement</x:v>
      </x:c>
      <x:c r="E1549" s="21" t="n">
        <x:f>IF('Paper Gates'!H383=1,1,0)</x:f>
        <x:v>1</x:v>
      </x:c>
      <x:c r="F1549" s="21" t="n">
        <x:v>1</x:v>
      </x:c>
      <x:c r="G1549" s="23" t="str">
        <x:f>IF(E1549=F1549,"PASS","FAIL")</x:f>
        <x:v>PASS</x:v>
      </x:c>
    </x:row>
    <x:row r="1550">
      <x:c r="B1550" s="21" t="str">
        <x:v>A1544</x:v>
      </x:c>
      <x:c r="C1550" s="21" t="str">
        <x:v>paper gate</x:v>
      </x:c>
      <x:c r="D1550" s="21" t="str">
        <x:v>gate 383 result reconciles</x:v>
      </x:c>
      <x:c r="E1550" s="21" t="n">
        <x:f>IF('Paper Gates'!I383=IF('Paper Gates'!G383='Paper Gates'!H383,"PASS","FAIL"),1,0)</x:f>
        <x:v>1</x:v>
      </x:c>
      <x:c r="F1550" s="21" t="n">
        <x:v>1</x:v>
      </x:c>
      <x:c r="G1550" s="23" t="str">
        <x:f>IF(E1550=F1550,"PASS","FAIL")</x:f>
        <x:v>PASS</x:v>
      </x:c>
    </x:row>
    <x:row r="1551">
      <x:c r="B1551" s="21" t="str">
        <x:v>A1545</x:v>
      </x:c>
      <x:c r="C1551" s="21" t="str">
        <x:v>paper gate</x:v>
      </x:c>
      <x:c r="D1551" s="21" t="str">
        <x:v>gate 384 binary observation</x:v>
      </x:c>
      <x:c r="E1551" s="21" t="n">
        <x:f>IF(OR('Paper Gates'!G384=0,'Paper Gates'!G384=1),1,0)</x:f>
        <x:v>1</x:v>
      </x:c>
      <x:c r="F1551" s="21" t="n">
        <x:v>1</x:v>
      </x:c>
      <x:c r="G1551" s="23" t="str">
        <x:f>IF(E1551=F1551,"PASS","FAIL")</x:f>
        <x:v>PASS</x:v>
      </x:c>
    </x:row>
    <x:row r="1552">
      <x:c r="B1552" s="21" t="str">
        <x:v>A1546</x:v>
      </x:c>
      <x:c r="C1552" s="21" t="str">
        <x:v>paper gate</x:v>
      </x:c>
      <x:c r="D1552" s="21" t="str">
        <x:v>gate 384 fixed requirement</x:v>
      </x:c>
      <x:c r="E1552" s="21" t="n">
        <x:f>IF('Paper Gates'!H384=1,1,0)</x:f>
        <x:v>1</x:v>
      </x:c>
      <x:c r="F1552" s="21" t="n">
        <x:v>1</x:v>
      </x:c>
      <x:c r="G1552" s="23" t="str">
        <x:f>IF(E1552=F1552,"PASS","FAIL")</x:f>
        <x:v>PASS</x:v>
      </x:c>
    </x:row>
    <x:row r="1553">
      <x:c r="B1553" s="21" t="str">
        <x:v>A1547</x:v>
      </x:c>
      <x:c r="C1553" s="21" t="str">
        <x:v>paper gate</x:v>
      </x:c>
      <x:c r="D1553" s="21" t="str">
        <x:v>gate 384 result reconciles</x:v>
      </x:c>
      <x:c r="E1553" s="21" t="n">
        <x:f>IF('Paper Gates'!I384=IF('Paper Gates'!G384='Paper Gates'!H384,"PASS","FAIL"),1,0)</x:f>
        <x:v>1</x:v>
      </x:c>
      <x:c r="F1553" s="21" t="n">
        <x:v>1</x:v>
      </x:c>
      <x:c r="G1553" s="23" t="str">
        <x:f>IF(E1553=F1553,"PASS","FAIL")</x:f>
        <x:v>PASS</x:v>
      </x:c>
    </x:row>
    <x:row r="1554">
      <x:c r="B1554" s="21" t="str">
        <x:v>A1548</x:v>
      </x:c>
      <x:c r="C1554" s="21" t="str">
        <x:v>paper gate</x:v>
      </x:c>
      <x:c r="D1554" s="21" t="str">
        <x:v>gate 385 binary observation</x:v>
      </x:c>
      <x:c r="E1554" s="21" t="n">
        <x:f>IF(OR('Paper Gates'!G385=0,'Paper Gates'!G385=1),1,0)</x:f>
        <x:v>1</x:v>
      </x:c>
      <x:c r="F1554" s="21" t="n">
        <x:v>1</x:v>
      </x:c>
      <x:c r="G1554" s="23" t="str">
        <x:f>IF(E1554=F1554,"PASS","FAIL")</x:f>
        <x:v>PASS</x:v>
      </x:c>
    </x:row>
    <x:row r="1555">
      <x:c r="B1555" s="21" t="str">
        <x:v>A1549</x:v>
      </x:c>
      <x:c r="C1555" s="21" t="str">
        <x:v>paper gate</x:v>
      </x:c>
      <x:c r="D1555" s="21" t="str">
        <x:v>gate 385 fixed requirement</x:v>
      </x:c>
      <x:c r="E1555" s="21" t="n">
        <x:f>IF('Paper Gates'!H385=1,1,0)</x:f>
        <x:v>1</x:v>
      </x:c>
      <x:c r="F1555" s="21" t="n">
        <x:v>1</x:v>
      </x:c>
      <x:c r="G1555" s="23" t="str">
        <x:f>IF(E1555=F1555,"PASS","FAIL")</x:f>
        <x:v>PASS</x:v>
      </x:c>
    </x:row>
    <x:row r="1556">
      <x:c r="B1556" s="21" t="str">
        <x:v>A1550</x:v>
      </x:c>
      <x:c r="C1556" s="21" t="str">
        <x:v>paper gate</x:v>
      </x:c>
      <x:c r="D1556" s="21" t="str">
        <x:v>gate 385 result reconciles</x:v>
      </x:c>
      <x:c r="E1556" s="21" t="n">
        <x:f>IF('Paper Gates'!I385=IF('Paper Gates'!G385='Paper Gates'!H385,"PASS","FAIL"),1,0)</x:f>
        <x:v>1</x:v>
      </x:c>
      <x:c r="F1556" s="21" t="n">
        <x:v>1</x:v>
      </x:c>
      <x:c r="G1556" s="23" t="str">
        <x:f>IF(E1556=F1556,"PASS","FAIL")</x:f>
        <x:v>PASS</x:v>
      </x:c>
    </x:row>
    <x:row r="1557">
      <x:c r="B1557" s="21" t="str">
        <x:v>A1551</x:v>
      </x:c>
      <x:c r="C1557" s="21" t="str">
        <x:v>paper gate</x:v>
      </x:c>
      <x:c r="D1557" s="21" t="str">
        <x:v>gate 386 binary observation</x:v>
      </x:c>
      <x:c r="E1557" s="21" t="n">
        <x:f>IF(OR('Paper Gates'!G386=0,'Paper Gates'!G386=1),1,0)</x:f>
        <x:v>1</x:v>
      </x:c>
      <x:c r="F1557" s="21" t="n">
        <x:v>1</x:v>
      </x:c>
      <x:c r="G1557" s="23" t="str">
        <x:f>IF(E1557=F1557,"PASS","FAIL")</x:f>
        <x:v>PASS</x:v>
      </x:c>
    </x:row>
    <x:row r="1558">
      <x:c r="B1558" s="21" t="str">
        <x:v>A1552</x:v>
      </x:c>
      <x:c r="C1558" s="21" t="str">
        <x:v>paper gate</x:v>
      </x:c>
      <x:c r="D1558" s="21" t="str">
        <x:v>gate 386 fixed requirement</x:v>
      </x:c>
      <x:c r="E1558" s="21" t="n">
        <x:f>IF('Paper Gates'!H386=1,1,0)</x:f>
        <x:v>1</x:v>
      </x:c>
      <x:c r="F1558" s="21" t="n">
        <x:v>1</x:v>
      </x:c>
      <x:c r="G1558" s="23" t="str">
        <x:f>IF(E1558=F1558,"PASS","FAIL")</x:f>
        <x:v>PASS</x:v>
      </x:c>
    </x:row>
    <x:row r="1559">
      <x:c r="B1559" s="21" t="str">
        <x:v>A1553</x:v>
      </x:c>
      <x:c r="C1559" s="21" t="str">
        <x:v>paper gate</x:v>
      </x:c>
      <x:c r="D1559" s="21" t="str">
        <x:v>gate 386 result reconciles</x:v>
      </x:c>
      <x:c r="E1559" s="21" t="n">
        <x:f>IF('Paper Gates'!I386=IF('Paper Gates'!G386='Paper Gates'!H386,"PASS","FAIL"),1,0)</x:f>
        <x:v>1</x:v>
      </x:c>
      <x:c r="F1559" s="21" t="n">
        <x:v>1</x:v>
      </x:c>
      <x:c r="G1559" s="23" t="str">
        <x:f>IF(E1559=F1559,"PASS","FAIL")</x:f>
        <x:v>PASS</x:v>
      </x:c>
    </x:row>
    <x:row r="1560">
      <x:c r="B1560" s="21" t="str">
        <x:v>A1554</x:v>
      </x:c>
      <x:c r="C1560" s="21" t="str">
        <x:v>paper gate</x:v>
      </x:c>
      <x:c r="D1560" s="21" t="str">
        <x:v>gate 387 binary observation</x:v>
      </x:c>
      <x:c r="E1560" s="21" t="n">
        <x:f>IF(OR('Paper Gates'!G387=0,'Paper Gates'!G387=1),1,0)</x:f>
        <x:v>1</x:v>
      </x:c>
      <x:c r="F1560" s="21" t="n">
        <x:v>1</x:v>
      </x:c>
      <x:c r="G1560" s="23" t="str">
        <x:f>IF(E1560=F1560,"PASS","FAIL")</x:f>
        <x:v>PASS</x:v>
      </x:c>
    </x:row>
    <x:row r="1561">
      <x:c r="B1561" s="21" t="str">
        <x:v>A1555</x:v>
      </x:c>
      <x:c r="C1561" s="21" t="str">
        <x:v>paper gate</x:v>
      </x:c>
      <x:c r="D1561" s="21" t="str">
        <x:v>gate 387 fixed requirement</x:v>
      </x:c>
      <x:c r="E1561" s="21" t="n">
        <x:f>IF('Paper Gates'!H387=1,1,0)</x:f>
        <x:v>1</x:v>
      </x:c>
      <x:c r="F1561" s="21" t="n">
        <x:v>1</x:v>
      </x:c>
      <x:c r="G1561" s="23" t="str">
        <x:f>IF(E1561=F1561,"PASS","FAIL")</x:f>
        <x:v>PASS</x:v>
      </x:c>
    </x:row>
    <x:row r="1562">
      <x:c r="B1562" s="21" t="str">
        <x:v>A1556</x:v>
      </x:c>
      <x:c r="C1562" s="21" t="str">
        <x:v>paper gate</x:v>
      </x:c>
      <x:c r="D1562" s="21" t="str">
        <x:v>gate 387 result reconciles</x:v>
      </x:c>
      <x:c r="E1562" s="21" t="n">
        <x:f>IF('Paper Gates'!I387=IF('Paper Gates'!G387='Paper Gates'!H387,"PASS","FAIL"),1,0)</x:f>
        <x:v>1</x:v>
      </x:c>
      <x:c r="F1562" s="21" t="n">
        <x:v>1</x:v>
      </x:c>
      <x:c r="G1562" s="23" t="str">
        <x:f>IF(E1562=F1562,"PASS","FAIL")</x:f>
        <x:v>PASS</x:v>
      </x:c>
    </x:row>
    <x:row r="1563">
      <x:c r="B1563" s="21" t="str">
        <x:v>A1557</x:v>
      </x:c>
      <x:c r="C1563" s="21" t="str">
        <x:v>paper gate</x:v>
      </x:c>
      <x:c r="D1563" s="21" t="str">
        <x:v>gate 388 binary observation</x:v>
      </x:c>
      <x:c r="E1563" s="21" t="n">
        <x:f>IF(OR('Paper Gates'!G388=0,'Paper Gates'!G388=1),1,0)</x:f>
        <x:v>1</x:v>
      </x:c>
      <x:c r="F1563" s="21" t="n">
        <x:v>1</x:v>
      </x:c>
      <x:c r="G1563" s="23" t="str">
        <x:f>IF(E1563=F1563,"PASS","FAIL")</x:f>
        <x:v>PASS</x:v>
      </x:c>
    </x:row>
    <x:row r="1564">
      <x:c r="B1564" s="21" t="str">
        <x:v>A1558</x:v>
      </x:c>
      <x:c r="C1564" s="21" t="str">
        <x:v>paper gate</x:v>
      </x:c>
      <x:c r="D1564" s="21" t="str">
        <x:v>gate 388 fixed requirement</x:v>
      </x:c>
      <x:c r="E1564" s="21" t="n">
        <x:f>IF('Paper Gates'!H388=1,1,0)</x:f>
        <x:v>1</x:v>
      </x:c>
      <x:c r="F1564" s="21" t="n">
        <x:v>1</x:v>
      </x:c>
      <x:c r="G1564" s="23" t="str">
        <x:f>IF(E1564=F1564,"PASS","FAIL")</x:f>
        <x:v>PASS</x:v>
      </x:c>
    </x:row>
    <x:row r="1565">
      <x:c r="B1565" s="21" t="str">
        <x:v>A1559</x:v>
      </x:c>
      <x:c r="C1565" s="21" t="str">
        <x:v>paper gate</x:v>
      </x:c>
      <x:c r="D1565" s="21" t="str">
        <x:v>gate 388 result reconciles</x:v>
      </x:c>
      <x:c r="E1565" s="21" t="n">
        <x:f>IF('Paper Gates'!I388=IF('Paper Gates'!G388='Paper Gates'!H388,"PASS","FAIL"),1,0)</x:f>
        <x:v>1</x:v>
      </x:c>
      <x:c r="F1565" s="21" t="n">
        <x:v>1</x:v>
      </x:c>
      <x:c r="G1565" s="23" t="str">
        <x:f>IF(E1565=F1565,"PASS","FAIL")</x:f>
        <x:v>PASS</x:v>
      </x:c>
    </x:row>
    <x:row r="1566">
      <x:c r="B1566" s="21" t="str">
        <x:v>A1560</x:v>
      </x:c>
      <x:c r="C1566" s="21" t="str">
        <x:v>paper gate</x:v>
      </x:c>
      <x:c r="D1566" s="21" t="str">
        <x:v>gate 389 binary observation</x:v>
      </x:c>
      <x:c r="E1566" s="21" t="n">
        <x:f>IF(OR('Paper Gates'!G389=0,'Paper Gates'!G389=1),1,0)</x:f>
        <x:v>1</x:v>
      </x:c>
      <x:c r="F1566" s="21" t="n">
        <x:v>1</x:v>
      </x:c>
      <x:c r="G1566" s="23" t="str">
        <x:f>IF(E1566=F1566,"PASS","FAIL")</x:f>
        <x:v>PASS</x:v>
      </x:c>
    </x:row>
    <x:row r="1567">
      <x:c r="B1567" s="21" t="str">
        <x:v>A1561</x:v>
      </x:c>
      <x:c r="C1567" s="21" t="str">
        <x:v>paper gate</x:v>
      </x:c>
      <x:c r="D1567" s="21" t="str">
        <x:v>gate 389 fixed requirement</x:v>
      </x:c>
      <x:c r="E1567" s="21" t="n">
        <x:f>IF('Paper Gates'!H389=1,1,0)</x:f>
        <x:v>1</x:v>
      </x:c>
      <x:c r="F1567" s="21" t="n">
        <x:v>1</x:v>
      </x:c>
      <x:c r="G1567" s="23" t="str">
        <x:f>IF(E1567=F1567,"PASS","FAIL")</x:f>
        <x:v>PASS</x:v>
      </x:c>
    </x:row>
    <x:row r="1568">
      <x:c r="B1568" s="21" t="str">
        <x:v>A1562</x:v>
      </x:c>
      <x:c r="C1568" s="21" t="str">
        <x:v>paper gate</x:v>
      </x:c>
      <x:c r="D1568" s="21" t="str">
        <x:v>gate 389 result reconciles</x:v>
      </x:c>
      <x:c r="E1568" s="21" t="n">
        <x:f>IF('Paper Gates'!I389=IF('Paper Gates'!G389='Paper Gates'!H389,"PASS","FAIL"),1,0)</x:f>
        <x:v>1</x:v>
      </x:c>
      <x:c r="F1568" s="21" t="n">
        <x:v>1</x:v>
      </x:c>
      <x:c r="G1568" s="23" t="str">
        <x:f>IF(E1568=F1568,"PASS","FAIL")</x:f>
        <x:v>PASS</x:v>
      </x:c>
    </x:row>
    <x:row r="1569">
      <x:c r="B1569" s="21" t="str">
        <x:v>A1563</x:v>
      </x:c>
      <x:c r="C1569" s="21" t="str">
        <x:v>paper gate</x:v>
      </x:c>
      <x:c r="D1569" s="21" t="str">
        <x:v>gate 390 binary observation</x:v>
      </x:c>
      <x:c r="E1569" s="21" t="n">
        <x:f>IF(OR('Paper Gates'!G390=0,'Paper Gates'!G390=1),1,0)</x:f>
        <x:v>1</x:v>
      </x:c>
      <x:c r="F1569" s="21" t="n">
        <x:v>1</x:v>
      </x:c>
      <x:c r="G1569" s="23" t="str">
        <x:f>IF(E1569=F1569,"PASS","FAIL")</x:f>
        <x:v>PASS</x:v>
      </x:c>
    </x:row>
    <x:row r="1570">
      <x:c r="B1570" s="21" t="str">
        <x:v>A1564</x:v>
      </x:c>
      <x:c r="C1570" s="21" t="str">
        <x:v>paper gate</x:v>
      </x:c>
      <x:c r="D1570" s="21" t="str">
        <x:v>gate 390 fixed requirement</x:v>
      </x:c>
      <x:c r="E1570" s="21" t="n">
        <x:f>IF('Paper Gates'!H390=1,1,0)</x:f>
        <x:v>1</x:v>
      </x:c>
      <x:c r="F1570" s="21" t="n">
        <x:v>1</x:v>
      </x:c>
      <x:c r="G1570" s="23" t="str">
        <x:f>IF(E1570=F1570,"PASS","FAIL")</x:f>
        <x:v>PASS</x:v>
      </x:c>
    </x:row>
    <x:row r="1571">
      <x:c r="B1571" s="21" t="str">
        <x:v>A1565</x:v>
      </x:c>
      <x:c r="C1571" s="21" t="str">
        <x:v>paper gate</x:v>
      </x:c>
      <x:c r="D1571" s="21" t="str">
        <x:v>gate 390 result reconciles</x:v>
      </x:c>
      <x:c r="E1571" s="21" t="n">
        <x:f>IF('Paper Gates'!I390=IF('Paper Gates'!G390='Paper Gates'!H390,"PASS","FAIL"),1,0)</x:f>
        <x:v>1</x:v>
      </x:c>
      <x:c r="F1571" s="21" t="n">
        <x:v>1</x:v>
      </x:c>
      <x:c r="G1571" s="23" t="str">
        <x:f>IF(E1571=F1571,"PASS","FAIL")</x:f>
        <x:v>PASS</x:v>
      </x:c>
    </x:row>
    <x:row r="1572">
      <x:c r="B1572" s="21" t="str">
        <x:v>A1566</x:v>
      </x:c>
      <x:c r="C1572" s="21" t="str">
        <x:v>paper gate</x:v>
      </x:c>
      <x:c r="D1572" s="21" t="str">
        <x:v>gate 391 binary observation</x:v>
      </x:c>
      <x:c r="E1572" s="21" t="n">
        <x:f>IF(OR('Paper Gates'!G391=0,'Paper Gates'!G391=1),1,0)</x:f>
        <x:v>1</x:v>
      </x:c>
      <x:c r="F1572" s="21" t="n">
        <x:v>1</x:v>
      </x:c>
      <x:c r="G1572" s="23" t="str">
        <x:f>IF(E1572=F1572,"PASS","FAIL")</x:f>
        <x:v>PASS</x:v>
      </x:c>
    </x:row>
    <x:row r="1573">
      <x:c r="B1573" s="21" t="str">
        <x:v>A1567</x:v>
      </x:c>
      <x:c r="C1573" s="21" t="str">
        <x:v>paper gate</x:v>
      </x:c>
      <x:c r="D1573" s="21" t="str">
        <x:v>gate 391 fixed requirement</x:v>
      </x:c>
      <x:c r="E1573" s="21" t="n">
        <x:f>IF('Paper Gates'!H391=1,1,0)</x:f>
        <x:v>1</x:v>
      </x:c>
      <x:c r="F1573" s="21" t="n">
        <x:v>1</x:v>
      </x:c>
      <x:c r="G1573" s="23" t="str">
        <x:f>IF(E1573=F1573,"PASS","FAIL")</x:f>
        <x:v>PASS</x:v>
      </x:c>
    </x:row>
    <x:row r="1574">
      <x:c r="B1574" s="21" t="str">
        <x:v>A1568</x:v>
      </x:c>
      <x:c r="C1574" s="21" t="str">
        <x:v>paper gate</x:v>
      </x:c>
      <x:c r="D1574" s="21" t="str">
        <x:v>gate 391 result reconciles</x:v>
      </x:c>
      <x:c r="E1574" s="21" t="n">
        <x:f>IF('Paper Gates'!I391=IF('Paper Gates'!G391='Paper Gates'!H391,"PASS","FAIL"),1,0)</x:f>
        <x:v>1</x:v>
      </x:c>
      <x:c r="F1574" s="21" t="n">
        <x:v>1</x:v>
      </x:c>
      <x:c r="G1574" s="23" t="str">
        <x:f>IF(E1574=F1574,"PASS","FAIL")</x:f>
        <x:v>PASS</x:v>
      </x:c>
    </x:row>
    <x:row r="1575">
      <x:c r="B1575" s="21" t="str">
        <x:v>A1569</x:v>
      </x:c>
      <x:c r="C1575" s="21" t="str">
        <x:v>paper gate</x:v>
      </x:c>
      <x:c r="D1575" s="21" t="str">
        <x:v>gate 392 binary observation</x:v>
      </x:c>
      <x:c r="E1575" s="21" t="n">
        <x:f>IF(OR('Paper Gates'!G392=0,'Paper Gates'!G392=1),1,0)</x:f>
        <x:v>1</x:v>
      </x:c>
      <x:c r="F1575" s="21" t="n">
        <x:v>1</x:v>
      </x:c>
      <x:c r="G1575" s="23" t="str">
        <x:f>IF(E1575=F1575,"PASS","FAIL")</x:f>
        <x:v>PASS</x:v>
      </x:c>
    </x:row>
    <x:row r="1576">
      <x:c r="B1576" s="21" t="str">
        <x:v>A1570</x:v>
      </x:c>
      <x:c r="C1576" s="21" t="str">
        <x:v>paper gate</x:v>
      </x:c>
      <x:c r="D1576" s="21" t="str">
        <x:v>gate 392 fixed requirement</x:v>
      </x:c>
      <x:c r="E1576" s="21" t="n">
        <x:f>IF('Paper Gates'!H392=1,1,0)</x:f>
        <x:v>1</x:v>
      </x:c>
      <x:c r="F1576" s="21" t="n">
        <x:v>1</x:v>
      </x:c>
      <x:c r="G1576" s="23" t="str">
        <x:f>IF(E1576=F1576,"PASS","FAIL")</x:f>
        <x:v>PASS</x:v>
      </x:c>
    </x:row>
    <x:row r="1577">
      <x:c r="B1577" s="21" t="str">
        <x:v>A1571</x:v>
      </x:c>
      <x:c r="C1577" s="21" t="str">
        <x:v>paper gate</x:v>
      </x:c>
      <x:c r="D1577" s="21" t="str">
        <x:v>gate 392 result reconciles</x:v>
      </x:c>
      <x:c r="E1577" s="21" t="n">
        <x:f>IF('Paper Gates'!I392=IF('Paper Gates'!G392='Paper Gates'!H392,"PASS","FAIL"),1,0)</x:f>
        <x:v>1</x:v>
      </x:c>
      <x:c r="F1577" s="21" t="n">
        <x:v>1</x:v>
      </x:c>
      <x:c r="G1577" s="23" t="str">
        <x:f>IF(E1577=F1577,"PASS","FAIL")</x:f>
        <x:v>PASS</x:v>
      </x:c>
    </x:row>
    <x:row r="1578">
      <x:c r="B1578" s="21" t="str">
        <x:v>A1572</x:v>
      </x:c>
      <x:c r="C1578" s="21" t="str">
        <x:v>paper gate</x:v>
      </x:c>
      <x:c r="D1578" s="21" t="str">
        <x:v>gate 393 binary observation</x:v>
      </x:c>
      <x:c r="E1578" s="21" t="n">
        <x:f>IF(OR('Paper Gates'!G393=0,'Paper Gates'!G393=1),1,0)</x:f>
        <x:v>1</x:v>
      </x:c>
      <x:c r="F1578" s="21" t="n">
        <x:v>1</x:v>
      </x:c>
      <x:c r="G1578" s="23" t="str">
        <x:f>IF(E1578=F1578,"PASS","FAIL")</x:f>
        <x:v>PASS</x:v>
      </x:c>
    </x:row>
    <x:row r="1579">
      <x:c r="B1579" s="21" t="str">
        <x:v>A1573</x:v>
      </x:c>
      <x:c r="C1579" s="21" t="str">
        <x:v>paper gate</x:v>
      </x:c>
      <x:c r="D1579" s="21" t="str">
        <x:v>gate 393 fixed requirement</x:v>
      </x:c>
      <x:c r="E1579" s="21" t="n">
        <x:f>IF('Paper Gates'!H393=1,1,0)</x:f>
        <x:v>1</x:v>
      </x:c>
      <x:c r="F1579" s="21" t="n">
        <x:v>1</x:v>
      </x:c>
      <x:c r="G1579" s="23" t="str">
        <x:f>IF(E1579=F1579,"PASS","FAIL")</x:f>
        <x:v>PASS</x:v>
      </x:c>
    </x:row>
    <x:row r="1580">
      <x:c r="B1580" s="21" t="str">
        <x:v>A1574</x:v>
      </x:c>
      <x:c r="C1580" s="21" t="str">
        <x:v>paper gate</x:v>
      </x:c>
      <x:c r="D1580" s="21" t="str">
        <x:v>gate 393 result reconciles</x:v>
      </x:c>
      <x:c r="E1580" s="21" t="n">
        <x:f>IF('Paper Gates'!I393=IF('Paper Gates'!G393='Paper Gates'!H393,"PASS","FAIL"),1,0)</x:f>
        <x:v>1</x:v>
      </x:c>
      <x:c r="F1580" s="21" t="n">
        <x:v>1</x:v>
      </x:c>
      <x:c r="G1580" s="23" t="str">
        <x:f>IF(E1580=F1580,"PASS","FAIL")</x:f>
        <x:v>PASS</x:v>
      </x:c>
    </x:row>
    <x:row r="1581">
      <x:c r="B1581" s="21" t="str">
        <x:v>A1575</x:v>
      </x:c>
      <x:c r="C1581" s="21" t="str">
        <x:v>paper gate</x:v>
      </x:c>
      <x:c r="D1581" s="21" t="str">
        <x:v>gate 394 binary observation</x:v>
      </x:c>
      <x:c r="E1581" s="21" t="n">
        <x:f>IF(OR('Paper Gates'!G394=0,'Paper Gates'!G394=1),1,0)</x:f>
        <x:v>1</x:v>
      </x:c>
      <x:c r="F1581" s="21" t="n">
        <x:v>1</x:v>
      </x:c>
      <x:c r="G1581" s="23" t="str">
        <x:f>IF(E1581=F1581,"PASS","FAIL")</x:f>
        <x:v>PASS</x:v>
      </x:c>
    </x:row>
    <x:row r="1582">
      <x:c r="B1582" s="21" t="str">
        <x:v>A1576</x:v>
      </x:c>
      <x:c r="C1582" s="21" t="str">
        <x:v>paper gate</x:v>
      </x:c>
      <x:c r="D1582" s="21" t="str">
        <x:v>gate 394 fixed requirement</x:v>
      </x:c>
      <x:c r="E1582" s="21" t="n">
        <x:f>IF('Paper Gates'!H394=1,1,0)</x:f>
        <x:v>1</x:v>
      </x:c>
      <x:c r="F1582" s="21" t="n">
        <x:v>1</x:v>
      </x:c>
      <x:c r="G1582" s="23" t="str">
        <x:f>IF(E1582=F1582,"PASS","FAIL")</x:f>
        <x:v>PASS</x:v>
      </x:c>
    </x:row>
    <x:row r="1583">
      <x:c r="B1583" s="21" t="str">
        <x:v>A1577</x:v>
      </x:c>
      <x:c r="C1583" s="21" t="str">
        <x:v>paper gate</x:v>
      </x:c>
      <x:c r="D1583" s="21" t="str">
        <x:v>gate 394 result reconciles</x:v>
      </x:c>
      <x:c r="E1583" s="21" t="n">
        <x:f>IF('Paper Gates'!I394=IF('Paper Gates'!G394='Paper Gates'!H394,"PASS","FAIL"),1,0)</x:f>
        <x:v>1</x:v>
      </x:c>
      <x:c r="F1583" s="21" t="n">
        <x:v>1</x:v>
      </x:c>
      <x:c r="G1583" s="23" t="str">
        <x:f>IF(E1583=F1583,"PASS","FAIL")</x:f>
        <x:v>PASS</x:v>
      </x:c>
    </x:row>
    <x:row r="1584">
      <x:c r="B1584" s="21" t="str">
        <x:v>A1578</x:v>
      </x:c>
      <x:c r="C1584" s="21" t="str">
        <x:v>paper gate</x:v>
      </x:c>
      <x:c r="D1584" s="21" t="str">
        <x:v>gate 395 binary observation</x:v>
      </x:c>
      <x:c r="E1584" s="21" t="n">
        <x:f>IF(OR('Paper Gates'!G395=0,'Paper Gates'!G395=1),1,0)</x:f>
        <x:v>1</x:v>
      </x:c>
      <x:c r="F1584" s="21" t="n">
        <x:v>1</x:v>
      </x:c>
      <x:c r="G1584" s="23" t="str">
        <x:f>IF(E1584=F1584,"PASS","FAIL")</x:f>
        <x:v>PASS</x:v>
      </x:c>
    </x:row>
    <x:row r="1585">
      <x:c r="B1585" s="21" t="str">
        <x:v>A1579</x:v>
      </x:c>
      <x:c r="C1585" s="21" t="str">
        <x:v>paper gate</x:v>
      </x:c>
      <x:c r="D1585" s="21" t="str">
        <x:v>gate 395 fixed requirement</x:v>
      </x:c>
      <x:c r="E1585" s="21" t="n">
        <x:f>IF('Paper Gates'!H395=1,1,0)</x:f>
        <x:v>1</x:v>
      </x:c>
      <x:c r="F1585" s="21" t="n">
        <x:v>1</x:v>
      </x:c>
      <x:c r="G1585" s="23" t="str">
        <x:f>IF(E1585=F1585,"PASS","FAIL")</x:f>
        <x:v>PASS</x:v>
      </x:c>
    </x:row>
    <x:row r="1586">
      <x:c r="B1586" s="21" t="str">
        <x:v>A1580</x:v>
      </x:c>
      <x:c r="C1586" s="21" t="str">
        <x:v>paper gate</x:v>
      </x:c>
      <x:c r="D1586" s="21" t="str">
        <x:v>gate 395 result reconciles</x:v>
      </x:c>
      <x:c r="E1586" s="21" t="n">
        <x:f>IF('Paper Gates'!I395=IF('Paper Gates'!G395='Paper Gates'!H395,"PASS","FAIL"),1,0)</x:f>
        <x:v>1</x:v>
      </x:c>
      <x:c r="F1586" s="21" t="n">
        <x:v>1</x:v>
      </x:c>
      <x:c r="G1586" s="23" t="str">
        <x:f>IF(E1586=F1586,"PASS","FAIL")</x:f>
        <x:v>PASS</x:v>
      </x:c>
    </x:row>
    <x:row r="1587">
      <x:c r="B1587" s="21" t="str">
        <x:v>A1581</x:v>
      </x:c>
      <x:c r="C1587" s="21" t="str">
        <x:v>paper gate</x:v>
      </x:c>
      <x:c r="D1587" s="21" t="str">
        <x:v>gate 396 binary observation</x:v>
      </x:c>
      <x:c r="E1587" s="21" t="n">
        <x:f>IF(OR('Paper Gates'!G396=0,'Paper Gates'!G396=1),1,0)</x:f>
        <x:v>1</x:v>
      </x:c>
      <x:c r="F1587" s="21" t="n">
        <x:v>1</x:v>
      </x:c>
      <x:c r="G1587" s="23" t="str">
        <x:f>IF(E1587=F1587,"PASS","FAIL")</x:f>
        <x:v>PASS</x:v>
      </x:c>
    </x:row>
    <x:row r="1588">
      <x:c r="B1588" s="21" t="str">
        <x:v>A1582</x:v>
      </x:c>
      <x:c r="C1588" s="21" t="str">
        <x:v>paper gate</x:v>
      </x:c>
      <x:c r="D1588" s="21" t="str">
        <x:v>gate 396 fixed requirement</x:v>
      </x:c>
      <x:c r="E1588" s="21" t="n">
        <x:f>IF('Paper Gates'!H396=1,1,0)</x:f>
        <x:v>1</x:v>
      </x:c>
      <x:c r="F1588" s="21" t="n">
        <x:v>1</x:v>
      </x:c>
      <x:c r="G1588" s="23" t="str">
        <x:f>IF(E1588=F1588,"PASS","FAIL")</x:f>
        <x:v>PASS</x:v>
      </x:c>
    </x:row>
    <x:row r="1589">
      <x:c r="B1589" s="21" t="str">
        <x:v>A1583</x:v>
      </x:c>
      <x:c r="C1589" s="21" t="str">
        <x:v>paper gate</x:v>
      </x:c>
      <x:c r="D1589" s="21" t="str">
        <x:v>gate 396 result reconciles</x:v>
      </x:c>
      <x:c r="E1589" s="21" t="n">
        <x:f>IF('Paper Gates'!I396=IF('Paper Gates'!G396='Paper Gates'!H396,"PASS","FAIL"),1,0)</x:f>
        <x:v>1</x:v>
      </x:c>
      <x:c r="F1589" s="21" t="n">
        <x:v>1</x:v>
      </x:c>
      <x:c r="G1589" s="23" t="str">
        <x:f>IF(E1589=F1589,"PASS","FAIL")</x:f>
        <x:v>PASS</x:v>
      </x:c>
    </x:row>
    <x:row r="1590">
      <x:c r="B1590" s="21" t="str">
        <x:v>A1584</x:v>
      </x:c>
      <x:c r="C1590" s="21" t="str">
        <x:v>paper gate</x:v>
      </x:c>
      <x:c r="D1590" s="21" t="str">
        <x:v>gate 397 binary observation</x:v>
      </x:c>
      <x:c r="E1590" s="21" t="n">
        <x:f>IF(OR('Paper Gates'!G397=0,'Paper Gates'!G397=1),1,0)</x:f>
        <x:v>1</x:v>
      </x:c>
      <x:c r="F1590" s="21" t="n">
        <x:v>1</x:v>
      </x:c>
      <x:c r="G1590" s="23" t="str">
        <x:f>IF(E1590=F1590,"PASS","FAIL")</x:f>
        <x:v>PASS</x:v>
      </x:c>
    </x:row>
    <x:row r="1591">
      <x:c r="B1591" s="21" t="str">
        <x:v>A1585</x:v>
      </x:c>
      <x:c r="C1591" s="21" t="str">
        <x:v>paper gate</x:v>
      </x:c>
      <x:c r="D1591" s="21" t="str">
        <x:v>gate 397 fixed requirement</x:v>
      </x:c>
      <x:c r="E1591" s="21" t="n">
        <x:f>IF('Paper Gates'!H397=1,1,0)</x:f>
        <x:v>1</x:v>
      </x:c>
      <x:c r="F1591" s="21" t="n">
        <x:v>1</x:v>
      </x:c>
      <x:c r="G1591" s="23" t="str">
        <x:f>IF(E1591=F1591,"PASS","FAIL")</x:f>
        <x:v>PASS</x:v>
      </x:c>
    </x:row>
    <x:row r="1592">
      <x:c r="B1592" s="21" t="str">
        <x:v>A1586</x:v>
      </x:c>
      <x:c r="C1592" s="21" t="str">
        <x:v>paper gate</x:v>
      </x:c>
      <x:c r="D1592" s="21" t="str">
        <x:v>gate 397 result reconciles</x:v>
      </x:c>
      <x:c r="E1592" s="21" t="n">
        <x:f>IF('Paper Gates'!I397=IF('Paper Gates'!G397='Paper Gates'!H397,"PASS","FAIL"),1,0)</x:f>
        <x:v>1</x:v>
      </x:c>
      <x:c r="F1592" s="21" t="n">
        <x:v>1</x:v>
      </x:c>
      <x:c r="G1592" s="23" t="str">
        <x:f>IF(E1592=F1592,"PASS","FAIL")</x:f>
        <x:v>PASS</x:v>
      </x:c>
    </x:row>
    <x:row r="1593">
      <x:c r="B1593" s="21" t="str">
        <x:v>A1587</x:v>
      </x:c>
      <x:c r="C1593" s="21" t="str">
        <x:v>paper gate</x:v>
      </x:c>
      <x:c r="D1593" s="21" t="str">
        <x:v>gate 398 binary observation</x:v>
      </x:c>
      <x:c r="E1593" s="21" t="n">
        <x:f>IF(OR('Paper Gates'!G398=0,'Paper Gates'!G398=1),1,0)</x:f>
        <x:v>1</x:v>
      </x:c>
      <x:c r="F1593" s="21" t="n">
        <x:v>1</x:v>
      </x:c>
      <x:c r="G1593" s="23" t="str">
        <x:f>IF(E1593=F1593,"PASS","FAIL")</x:f>
        <x:v>PASS</x:v>
      </x:c>
    </x:row>
    <x:row r="1594">
      <x:c r="B1594" s="21" t="str">
        <x:v>A1588</x:v>
      </x:c>
      <x:c r="C1594" s="21" t="str">
        <x:v>paper gate</x:v>
      </x:c>
      <x:c r="D1594" s="21" t="str">
        <x:v>gate 398 fixed requirement</x:v>
      </x:c>
      <x:c r="E1594" s="21" t="n">
        <x:f>IF('Paper Gates'!H398=1,1,0)</x:f>
        <x:v>1</x:v>
      </x:c>
      <x:c r="F1594" s="21" t="n">
        <x:v>1</x:v>
      </x:c>
      <x:c r="G1594" s="23" t="str">
        <x:f>IF(E1594=F1594,"PASS","FAIL")</x:f>
        <x:v>PASS</x:v>
      </x:c>
    </x:row>
    <x:row r="1595">
      <x:c r="B1595" s="21" t="str">
        <x:v>A1589</x:v>
      </x:c>
      <x:c r="C1595" s="21" t="str">
        <x:v>paper gate</x:v>
      </x:c>
      <x:c r="D1595" s="21" t="str">
        <x:v>gate 398 result reconciles</x:v>
      </x:c>
      <x:c r="E1595" s="21" t="n">
        <x:f>IF('Paper Gates'!I398=IF('Paper Gates'!G398='Paper Gates'!H398,"PASS","FAIL"),1,0)</x:f>
        <x:v>1</x:v>
      </x:c>
      <x:c r="F1595" s="21" t="n">
        <x:v>1</x:v>
      </x:c>
      <x:c r="G1595" s="23" t="str">
        <x:f>IF(E1595=F1595,"PASS","FAIL")</x:f>
        <x:v>PASS</x:v>
      </x:c>
    </x:row>
    <x:row r="1596">
      <x:c r="B1596" s="21" t="str">
        <x:v>A1590</x:v>
      </x:c>
      <x:c r="C1596" s="21" t="str">
        <x:v>paper gate</x:v>
      </x:c>
      <x:c r="D1596" s="21" t="str">
        <x:v>gate 399 binary observation</x:v>
      </x:c>
      <x:c r="E1596" s="21" t="n">
        <x:f>IF(OR('Paper Gates'!G399=0,'Paper Gates'!G399=1),1,0)</x:f>
        <x:v>1</x:v>
      </x:c>
      <x:c r="F1596" s="21" t="n">
        <x:v>1</x:v>
      </x:c>
      <x:c r="G1596" s="23" t="str">
        <x:f>IF(E1596=F1596,"PASS","FAIL")</x:f>
        <x:v>PASS</x:v>
      </x:c>
    </x:row>
    <x:row r="1597">
      <x:c r="B1597" s="21" t="str">
        <x:v>A1591</x:v>
      </x:c>
      <x:c r="C1597" s="21" t="str">
        <x:v>paper gate</x:v>
      </x:c>
      <x:c r="D1597" s="21" t="str">
        <x:v>gate 399 fixed requirement</x:v>
      </x:c>
      <x:c r="E1597" s="21" t="n">
        <x:f>IF('Paper Gates'!H399=1,1,0)</x:f>
        <x:v>1</x:v>
      </x:c>
      <x:c r="F1597" s="21" t="n">
        <x:v>1</x:v>
      </x:c>
      <x:c r="G1597" s="23" t="str">
        <x:f>IF(E1597=F1597,"PASS","FAIL")</x:f>
        <x:v>PASS</x:v>
      </x:c>
    </x:row>
    <x:row r="1598">
      <x:c r="B1598" s="21" t="str">
        <x:v>A1592</x:v>
      </x:c>
      <x:c r="C1598" s="21" t="str">
        <x:v>paper gate</x:v>
      </x:c>
      <x:c r="D1598" s="21" t="str">
        <x:v>gate 399 result reconciles</x:v>
      </x:c>
      <x:c r="E1598" s="21" t="n">
        <x:f>IF('Paper Gates'!I399=IF('Paper Gates'!G399='Paper Gates'!H399,"PASS","FAIL"),1,0)</x:f>
        <x:v>1</x:v>
      </x:c>
      <x:c r="F1598" s="21" t="n">
        <x:v>1</x:v>
      </x:c>
      <x:c r="G1598" s="23" t="str">
        <x:f>IF(E1598=F1598,"PASS","FAIL")</x:f>
        <x:v>PASS</x:v>
      </x:c>
    </x:row>
    <x:row r="1599">
      <x:c r="B1599" s="21" t="str">
        <x:v>A1593</x:v>
      </x:c>
      <x:c r="C1599" s="21" t="str">
        <x:v>paper gate</x:v>
      </x:c>
      <x:c r="D1599" s="21" t="str">
        <x:v>gate 400 binary observation</x:v>
      </x:c>
      <x:c r="E1599" s="21" t="n">
        <x:f>IF(OR('Paper Gates'!G400=0,'Paper Gates'!G400=1),1,0)</x:f>
        <x:v>1</x:v>
      </x:c>
      <x:c r="F1599" s="21" t="n">
        <x:v>1</x:v>
      </x:c>
      <x:c r="G1599" s="23" t="str">
        <x:f>IF(E1599=F1599,"PASS","FAIL")</x:f>
        <x:v>PASS</x:v>
      </x:c>
    </x:row>
    <x:row r="1600">
      <x:c r="B1600" s="21" t="str">
        <x:v>A1594</x:v>
      </x:c>
      <x:c r="C1600" s="21" t="str">
        <x:v>paper gate</x:v>
      </x:c>
      <x:c r="D1600" s="21" t="str">
        <x:v>gate 400 fixed requirement</x:v>
      </x:c>
      <x:c r="E1600" s="21" t="n">
        <x:f>IF('Paper Gates'!H400=1,1,0)</x:f>
        <x:v>1</x:v>
      </x:c>
      <x:c r="F1600" s="21" t="n">
        <x:v>1</x:v>
      </x:c>
      <x:c r="G1600" s="23" t="str">
        <x:f>IF(E1600=F1600,"PASS","FAIL")</x:f>
        <x:v>PASS</x:v>
      </x:c>
    </x:row>
    <x:row r="1601">
      <x:c r="B1601" s="21" t="str">
        <x:v>A1595</x:v>
      </x:c>
      <x:c r="C1601" s="21" t="str">
        <x:v>paper gate</x:v>
      </x:c>
      <x:c r="D1601" s="21" t="str">
        <x:v>gate 400 result reconciles</x:v>
      </x:c>
      <x:c r="E1601" s="21" t="n">
        <x:f>IF('Paper Gates'!I400=IF('Paper Gates'!G400='Paper Gates'!H400,"PASS","FAIL"),1,0)</x:f>
        <x:v>1</x:v>
      </x:c>
      <x:c r="F1601" s="21" t="n">
        <x:v>1</x:v>
      </x:c>
      <x:c r="G1601" s="23" t="str">
        <x:f>IF(E1601=F1601,"PASS","FAIL")</x:f>
        <x:v>PASS</x:v>
      </x:c>
    </x:row>
    <x:row r="1602">
      <x:c r="B1602" s="21" t="str">
        <x:v>A1596</x:v>
      </x:c>
      <x:c r="C1602" s="21" t="str">
        <x:v>paper gate</x:v>
      </x:c>
      <x:c r="D1602" s="21" t="str">
        <x:v>gate 401 binary observation</x:v>
      </x:c>
      <x:c r="E1602" s="21" t="n">
        <x:f>IF(OR('Paper Gates'!G401=0,'Paper Gates'!G401=1),1,0)</x:f>
        <x:v>1</x:v>
      </x:c>
      <x:c r="F1602" s="21" t="n">
        <x:v>1</x:v>
      </x:c>
      <x:c r="G1602" s="23" t="str">
        <x:f>IF(E1602=F1602,"PASS","FAIL")</x:f>
        <x:v>PASS</x:v>
      </x:c>
    </x:row>
    <x:row r="1603">
      <x:c r="B1603" s="21" t="str">
        <x:v>A1597</x:v>
      </x:c>
      <x:c r="C1603" s="21" t="str">
        <x:v>paper gate</x:v>
      </x:c>
      <x:c r="D1603" s="21" t="str">
        <x:v>gate 401 fixed requirement</x:v>
      </x:c>
      <x:c r="E1603" s="21" t="n">
        <x:f>IF('Paper Gates'!H401=1,1,0)</x:f>
        <x:v>1</x:v>
      </x:c>
      <x:c r="F1603" s="21" t="n">
        <x:v>1</x:v>
      </x:c>
      <x:c r="G1603" s="23" t="str">
        <x:f>IF(E1603=F1603,"PASS","FAIL")</x:f>
        <x:v>PASS</x:v>
      </x:c>
    </x:row>
    <x:row r="1604">
      <x:c r="B1604" s="21" t="str">
        <x:v>A1598</x:v>
      </x:c>
      <x:c r="C1604" s="21" t="str">
        <x:v>paper gate</x:v>
      </x:c>
      <x:c r="D1604" s="21" t="str">
        <x:v>gate 401 result reconciles</x:v>
      </x:c>
      <x:c r="E1604" s="21" t="n">
        <x:f>IF('Paper Gates'!I401=IF('Paper Gates'!G401='Paper Gates'!H401,"PASS","FAIL"),1,0)</x:f>
        <x:v>1</x:v>
      </x:c>
      <x:c r="F1604" s="21" t="n">
        <x:v>1</x:v>
      </x:c>
      <x:c r="G1604" s="23" t="str">
        <x:f>IF(E1604=F1604,"PASS","FAIL")</x:f>
        <x:v>PASS</x:v>
      </x:c>
    </x:row>
    <x:row r="1605">
      <x:c r="B1605" s="21" t="str">
        <x:v>A1599</x:v>
      </x:c>
      <x:c r="C1605" s="21" t="str">
        <x:v>paper gate</x:v>
      </x:c>
      <x:c r="D1605" s="21" t="str">
        <x:v>gate 402 binary observation</x:v>
      </x:c>
      <x:c r="E1605" s="21" t="n">
        <x:f>IF(OR('Paper Gates'!G402=0,'Paper Gates'!G402=1),1,0)</x:f>
        <x:v>1</x:v>
      </x:c>
      <x:c r="F1605" s="21" t="n">
        <x:v>1</x:v>
      </x:c>
      <x:c r="G1605" s="23" t="str">
        <x:f>IF(E1605=F1605,"PASS","FAIL")</x:f>
        <x:v>PASS</x:v>
      </x:c>
    </x:row>
    <x:row r="1606">
      <x:c r="B1606" s="21" t="str">
        <x:v>A1600</x:v>
      </x:c>
      <x:c r="C1606" s="21" t="str">
        <x:v>paper gate</x:v>
      </x:c>
      <x:c r="D1606" s="21" t="str">
        <x:v>gate 402 fixed requirement</x:v>
      </x:c>
      <x:c r="E1606" s="21" t="n">
        <x:f>IF('Paper Gates'!H402=1,1,0)</x:f>
        <x:v>1</x:v>
      </x:c>
      <x:c r="F1606" s="21" t="n">
        <x:v>1</x:v>
      </x:c>
      <x:c r="G1606" s="23" t="str">
        <x:f>IF(E1606=F1606,"PASS","FAIL")</x:f>
        <x:v>PASS</x:v>
      </x:c>
    </x:row>
    <x:row r="1607">
      <x:c r="B1607" s="21" t="str">
        <x:v>A1601</x:v>
      </x:c>
      <x:c r="C1607" s="21" t="str">
        <x:v>paper gate</x:v>
      </x:c>
      <x:c r="D1607" s="21" t="str">
        <x:v>gate 402 result reconciles</x:v>
      </x:c>
      <x:c r="E1607" s="21" t="n">
        <x:f>IF('Paper Gates'!I402=IF('Paper Gates'!G402='Paper Gates'!H402,"PASS","FAIL"),1,0)</x:f>
        <x:v>1</x:v>
      </x:c>
      <x:c r="F1607" s="21" t="n">
        <x:v>1</x:v>
      </x:c>
      <x:c r="G1607" s="23" t="str">
        <x:f>IF(E1607=F1607,"PASS","FAIL")</x:f>
        <x:v>PASS</x:v>
      </x:c>
    </x:row>
    <x:row r="1608">
      <x:c r="B1608" s="21" t="str">
        <x:v>A1602</x:v>
      </x:c>
      <x:c r="C1608" s="21" t="str">
        <x:v>merit</x:v>
      </x:c>
      <x:c r="D1608" s="21" t="str">
        <x:v>merit 7 weight positive</x:v>
      </x:c>
      <x:c r="E1608" s="21" t="n">
        <x:f>IF('Merit Review'!G7&gt;0,1,0)</x:f>
        <x:v>1</x:v>
      </x:c>
      <x:c r="F1608" s="21" t="n">
        <x:v>1</x:v>
      </x:c>
      <x:c r="G1608" s="23" t="str">
        <x:f>IF(E1608=F1608,"PASS","FAIL")</x:f>
        <x:v>PASS</x:v>
      </x:c>
    </x:row>
    <x:row r="1609">
      <x:c r="B1609" s="21" t="str">
        <x:v>A1603</x:v>
      </x:c>
      <x:c r="C1609" s="21" t="str">
        <x:v>merit</x:v>
      </x:c>
      <x:c r="D1609" s="21" t="str">
        <x:v>merit 7 score bounded</x:v>
      </x:c>
      <x:c r="E1609" s="21" t="n">
        <x:f>IF(AND('Merit Review'!H7&gt;=0,'Merit Review'!H7&lt;=100),1,0)</x:f>
        <x:v>1</x:v>
      </x:c>
      <x:c r="F1609" s="21" t="n">
        <x:v>1</x:v>
      </x:c>
      <x:c r="G1609" s="23" t="str">
        <x:f>IF(E1609=F1609,"PASS","FAIL")</x:f>
        <x:v>PASS</x:v>
      </x:c>
    </x:row>
    <x:row r="1610">
      <x:c r="B1610" s="21" t="str">
        <x:v>A1604</x:v>
      </x:c>
      <x:c r="C1610" s="21" t="str">
        <x:v>merit</x:v>
      </x:c>
      <x:c r="D1610" s="21" t="str">
        <x:v>merit 7 weighted formula</x:v>
      </x:c>
      <x:c r="E1610" s="21" t="n">
        <x:f>IF(ABS('Merit Review'!I7-'Merit Review'!G7*'Merit Review'!H7)&lt;0.000001,1,0)</x:f>
        <x:v>1</x:v>
      </x:c>
      <x:c r="F1610" s="21" t="n">
        <x:v>1</x:v>
      </x:c>
      <x:c r="G1610" s="23" t="str">
        <x:f>IF(E1610=F1610,"PASS","FAIL")</x:f>
        <x:v>PASS</x:v>
      </x:c>
    </x:row>
    <x:row r="1611">
      <x:c r="B1611" s="21" t="str">
        <x:v>A1605</x:v>
      </x:c>
      <x:c r="C1611" s="21" t="str">
        <x:v>merit</x:v>
      </x:c>
      <x:c r="D1611" s="21" t="str">
        <x:v>merit 8 weight positive</x:v>
      </x:c>
      <x:c r="E1611" s="21" t="n">
        <x:f>IF('Merit Review'!G8&gt;0,1,0)</x:f>
        <x:v>1</x:v>
      </x:c>
      <x:c r="F1611" s="21" t="n">
        <x:v>1</x:v>
      </x:c>
      <x:c r="G1611" s="23" t="str">
        <x:f>IF(E1611=F1611,"PASS","FAIL")</x:f>
        <x:v>PASS</x:v>
      </x:c>
    </x:row>
    <x:row r="1612">
      <x:c r="B1612" s="21" t="str">
        <x:v>A1606</x:v>
      </x:c>
      <x:c r="C1612" s="21" t="str">
        <x:v>merit</x:v>
      </x:c>
      <x:c r="D1612" s="21" t="str">
        <x:v>merit 8 score bounded</x:v>
      </x:c>
      <x:c r="E1612" s="21" t="n">
        <x:f>IF(AND('Merit Review'!H8&gt;=0,'Merit Review'!H8&lt;=100),1,0)</x:f>
        <x:v>1</x:v>
      </x:c>
      <x:c r="F1612" s="21" t="n">
        <x:v>1</x:v>
      </x:c>
      <x:c r="G1612" s="23" t="str">
        <x:f>IF(E1612=F1612,"PASS","FAIL")</x:f>
        <x:v>PASS</x:v>
      </x:c>
    </x:row>
    <x:row r="1613">
      <x:c r="B1613" s="21" t="str">
        <x:v>A1607</x:v>
      </x:c>
      <x:c r="C1613" s="21" t="str">
        <x:v>merit</x:v>
      </x:c>
      <x:c r="D1613" s="21" t="str">
        <x:v>merit 8 weighted formula</x:v>
      </x:c>
      <x:c r="E1613" s="21" t="n">
        <x:f>IF(ABS('Merit Review'!I8-'Merit Review'!G8*'Merit Review'!H8)&lt;0.000001,1,0)</x:f>
        <x:v>1</x:v>
      </x:c>
      <x:c r="F1613" s="21" t="n">
        <x:v>1</x:v>
      </x:c>
      <x:c r="G1613" s="23" t="str">
        <x:f>IF(E1613=F1613,"PASS","FAIL")</x:f>
        <x:v>PASS</x:v>
      </x:c>
    </x:row>
    <x:row r="1614">
      <x:c r="B1614" s="21" t="str">
        <x:v>A1608</x:v>
      </x:c>
      <x:c r="C1614" s="21" t="str">
        <x:v>merit</x:v>
      </x:c>
      <x:c r="D1614" s="21" t="str">
        <x:v>merit 9 weight positive</x:v>
      </x:c>
      <x:c r="E1614" s="21" t="n">
        <x:f>IF('Merit Review'!G9&gt;0,1,0)</x:f>
        <x:v>1</x:v>
      </x:c>
      <x:c r="F1614" s="21" t="n">
        <x:v>1</x:v>
      </x:c>
      <x:c r="G1614" s="23" t="str">
        <x:f>IF(E1614=F1614,"PASS","FAIL")</x:f>
        <x:v>PASS</x:v>
      </x:c>
    </x:row>
    <x:row r="1615">
      <x:c r="B1615" s="21" t="str">
        <x:v>A1609</x:v>
      </x:c>
      <x:c r="C1615" s="21" t="str">
        <x:v>merit</x:v>
      </x:c>
      <x:c r="D1615" s="21" t="str">
        <x:v>merit 9 score bounded</x:v>
      </x:c>
      <x:c r="E1615" s="21" t="n">
        <x:f>IF(AND('Merit Review'!H9&gt;=0,'Merit Review'!H9&lt;=100),1,0)</x:f>
        <x:v>1</x:v>
      </x:c>
      <x:c r="F1615" s="21" t="n">
        <x:v>1</x:v>
      </x:c>
      <x:c r="G1615" s="23" t="str">
        <x:f>IF(E1615=F1615,"PASS","FAIL")</x:f>
        <x:v>PASS</x:v>
      </x:c>
    </x:row>
    <x:row r="1616">
      <x:c r="B1616" s="21" t="str">
        <x:v>A1610</x:v>
      </x:c>
      <x:c r="C1616" s="21" t="str">
        <x:v>merit</x:v>
      </x:c>
      <x:c r="D1616" s="21" t="str">
        <x:v>merit 9 weighted formula</x:v>
      </x:c>
      <x:c r="E1616" s="21" t="n">
        <x:f>IF(ABS('Merit Review'!I9-'Merit Review'!G9*'Merit Review'!H9)&lt;0.000001,1,0)</x:f>
        <x:v>1</x:v>
      </x:c>
      <x:c r="F1616" s="21" t="n">
        <x:v>1</x:v>
      </x:c>
      <x:c r="G1616" s="23" t="str">
        <x:f>IF(E1616=F1616,"PASS","FAIL")</x:f>
        <x:v>PASS</x:v>
      </x:c>
    </x:row>
    <x:row r="1617">
      <x:c r="B1617" s="21" t="str">
        <x:v>A1611</x:v>
      </x:c>
      <x:c r="C1617" s="21" t="str">
        <x:v>merit</x:v>
      </x:c>
      <x:c r="D1617" s="21" t="str">
        <x:v>merit 10 weight positive</x:v>
      </x:c>
      <x:c r="E1617" s="21" t="n">
        <x:f>IF('Merit Review'!G10&gt;0,1,0)</x:f>
        <x:v>1</x:v>
      </x:c>
      <x:c r="F1617" s="21" t="n">
        <x:v>1</x:v>
      </x:c>
      <x:c r="G1617" s="23" t="str">
        <x:f>IF(E1617=F1617,"PASS","FAIL")</x:f>
        <x:v>PASS</x:v>
      </x:c>
    </x:row>
    <x:row r="1618">
      <x:c r="B1618" s="21" t="str">
        <x:v>A1612</x:v>
      </x:c>
      <x:c r="C1618" s="21" t="str">
        <x:v>merit</x:v>
      </x:c>
      <x:c r="D1618" s="21" t="str">
        <x:v>merit 10 score bounded</x:v>
      </x:c>
      <x:c r="E1618" s="21" t="n">
        <x:f>IF(AND('Merit Review'!H10&gt;=0,'Merit Review'!H10&lt;=100),1,0)</x:f>
        <x:v>1</x:v>
      </x:c>
      <x:c r="F1618" s="21" t="n">
        <x:v>1</x:v>
      </x:c>
      <x:c r="G1618" s="23" t="str">
        <x:f>IF(E1618=F1618,"PASS","FAIL")</x:f>
        <x:v>PASS</x:v>
      </x:c>
    </x:row>
    <x:row r="1619">
      <x:c r="B1619" s="21" t="str">
        <x:v>A1613</x:v>
      </x:c>
      <x:c r="C1619" s="21" t="str">
        <x:v>merit</x:v>
      </x:c>
      <x:c r="D1619" s="21" t="str">
        <x:v>merit 10 weighted formula</x:v>
      </x:c>
      <x:c r="E1619" s="21" t="n">
        <x:f>IF(ABS('Merit Review'!I10-'Merit Review'!G10*'Merit Review'!H10)&lt;0.000001,1,0)</x:f>
        <x:v>1</x:v>
      </x:c>
      <x:c r="F1619" s="21" t="n">
        <x:v>1</x:v>
      </x:c>
      <x:c r="G1619" s="23" t="str">
        <x:f>IF(E1619=F1619,"PASS","FAIL")</x:f>
        <x:v>PASS</x:v>
      </x:c>
    </x:row>
    <x:row r="1620">
      <x:c r="B1620" s="21" t="str">
        <x:v>A1614</x:v>
      </x:c>
      <x:c r="C1620" s="21" t="str">
        <x:v>merit</x:v>
      </x:c>
      <x:c r="D1620" s="21" t="str">
        <x:v>merit 11 weight positive</x:v>
      </x:c>
      <x:c r="E1620" s="21" t="n">
        <x:f>IF('Merit Review'!G11&gt;0,1,0)</x:f>
        <x:v>1</x:v>
      </x:c>
      <x:c r="F1620" s="21" t="n">
        <x:v>1</x:v>
      </x:c>
      <x:c r="G1620" s="23" t="str">
        <x:f>IF(E1620=F1620,"PASS","FAIL")</x:f>
        <x:v>PASS</x:v>
      </x:c>
    </x:row>
    <x:row r="1621">
      <x:c r="B1621" s="21" t="str">
        <x:v>A1615</x:v>
      </x:c>
      <x:c r="C1621" s="21" t="str">
        <x:v>merit</x:v>
      </x:c>
      <x:c r="D1621" s="21" t="str">
        <x:v>merit 11 score bounded</x:v>
      </x:c>
      <x:c r="E1621" s="21" t="n">
        <x:f>IF(AND('Merit Review'!H11&gt;=0,'Merit Review'!H11&lt;=100),1,0)</x:f>
        <x:v>1</x:v>
      </x:c>
      <x:c r="F1621" s="21" t="n">
        <x:v>1</x:v>
      </x:c>
      <x:c r="G1621" s="23" t="str">
        <x:f>IF(E1621=F1621,"PASS","FAIL")</x:f>
        <x:v>PASS</x:v>
      </x:c>
    </x:row>
    <x:row r="1622">
      <x:c r="B1622" s="21" t="str">
        <x:v>A1616</x:v>
      </x:c>
      <x:c r="C1622" s="21" t="str">
        <x:v>merit</x:v>
      </x:c>
      <x:c r="D1622" s="21" t="str">
        <x:v>merit 11 weighted formula</x:v>
      </x:c>
      <x:c r="E1622" s="21" t="n">
        <x:f>IF(ABS('Merit Review'!I11-'Merit Review'!G11*'Merit Review'!H11)&lt;0.000001,1,0)</x:f>
        <x:v>1</x:v>
      </x:c>
      <x:c r="F1622" s="21" t="n">
        <x:v>1</x:v>
      </x:c>
      <x:c r="G1622" s="23" t="str">
        <x:f>IF(E1622=F1622,"PASS","FAIL")</x:f>
        <x:v>PASS</x:v>
      </x:c>
    </x:row>
    <x:row r="1623">
      <x:c r="B1623" s="21" t="str">
        <x:v>A1617</x:v>
      </x:c>
      <x:c r="C1623" s="21" t="str">
        <x:v>merit</x:v>
      </x:c>
      <x:c r="D1623" s="21" t="str">
        <x:v>merit 12 weight positive</x:v>
      </x:c>
      <x:c r="E1623" s="21" t="n">
        <x:f>IF('Merit Review'!G12&gt;0,1,0)</x:f>
        <x:v>1</x:v>
      </x:c>
      <x:c r="F1623" s="21" t="n">
        <x:v>1</x:v>
      </x:c>
      <x:c r="G1623" s="23" t="str">
        <x:f>IF(E1623=F1623,"PASS","FAIL")</x:f>
        <x:v>PASS</x:v>
      </x:c>
    </x:row>
    <x:row r="1624">
      <x:c r="B1624" s="21" t="str">
        <x:v>A1618</x:v>
      </x:c>
      <x:c r="C1624" s="21" t="str">
        <x:v>merit</x:v>
      </x:c>
      <x:c r="D1624" s="21" t="str">
        <x:v>merit 12 score bounded</x:v>
      </x:c>
      <x:c r="E1624" s="21" t="n">
        <x:f>IF(AND('Merit Review'!H12&gt;=0,'Merit Review'!H12&lt;=100),1,0)</x:f>
        <x:v>1</x:v>
      </x:c>
      <x:c r="F1624" s="21" t="n">
        <x:v>1</x:v>
      </x:c>
      <x:c r="G1624" s="23" t="str">
        <x:f>IF(E1624=F1624,"PASS","FAIL")</x:f>
        <x:v>PASS</x:v>
      </x:c>
    </x:row>
    <x:row r="1625">
      <x:c r="B1625" s="21" t="str">
        <x:v>A1619</x:v>
      </x:c>
      <x:c r="C1625" s="21" t="str">
        <x:v>merit</x:v>
      </x:c>
      <x:c r="D1625" s="21" t="str">
        <x:v>merit 12 weighted formula</x:v>
      </x:c>
      <x:c r="E1625" s="21" t="n">
        <x:f>IF(ABS('Merit Review'!I12-'Merit Review'!G12*'Merit Review'!H12)&lt;0.000001,1,0)</x:f>
        <x:v>1</x:v>
      </x:c>
      <x:c r="F1625" s="21" t="n">
        <x:v>1</x:v>
      </x:c>
      <x:c r="G1625" s="23" t="str">
        <x:f>IF(E1625=F1625,"PASS","FAIL")</x:f>
        <x:v>PASS</x:v>
      </x:c>
    </x:row>
    <x:row r="1626">
      <x:c r="B1626" s="21" t="str">
        <x:v>A1620</x:v>
      </x:c>
      <x:c r="C1626" s="21" t="str">
        <x:v>merit</x:v>
      </x:c>
      <x:c r="D1626" s="21" t="str">
        <x:v>merit 13 weight positive</x:v>
      </x:c>
      <x:c r="E1626" s="21" t="n">
        <x:f>IF('Merit Review'!G13&gt;0,1,0)</x:f>
        <x:v>1</x:v>
      </x:c>
      <x:c r="F1626" s="21" t="n">
        <x:v>1</x:v>
      </x:c>
      <x:c r="G1626" s="23" t="str">
        <x:f>IF(E1626=F1626,"PASS","FAIL")</x:f>
        <x:v>PASS</x:v>
      </x:c>
    </x:row>
    <x:row r="1627">
      <x:c r="B1627" s="21" t="str">
        <x:v>A1621</x:v>
      </x:c>
      <x:c r="C1627" s="21" t="str">
        <x:v>merit</x:v>
      </x:c>
      <x:c r="D1627" s="21" t="str">
        <x:v>merit 13 score bounded</x:v>
      </x:c>
      <x:c r="E1627" s="21" t="n">
        <x:f>IF(AND('Merit Review'!H13&gt;=0,'Merit Review'!H13&lt;=100),1,0)</x:f>
        <x:v>1</x:v>
      </x:c>
      <x:c r="F1627" s="21" t="n">
        <x:v>1</x:v>
      </x:c>
      <x:c r="G1627" s="23" t="str">
        <x:f>IF(E1627=F1627,"PASS","FAIL")</x:f>
        <x:v>PASS</x:v>
      </x:c>
    </x:row>
    <x:row r="1628">
      <x:c r="B1628" s="21" t="str">
        <x:v>A1622</x:v>
      </x:c>
      <x:c r="C1628" s="21" t="str">
        <x:v>merit</x:v>
      </x:c>
      <x:c r="D1628" s="21" t="str">
        <x:v>merit 13 weighted formula</x:v>
      </x:c>
      <x:c r="E1628" s="21" t="n">
        <x:f>IF(ABS('Merit Review'!I13-'Merit Review'!G13*'Merit Review'!H13)&lt;0.000001,1,0)</x:f>
        <x:v>1</x:v>
      </x:c>
      <x:c r="F1628" s="21" t="n">
        <x:v>1</x:v>
      </x:c>
      <x:c r="G1628" s="23" t="str">
        <x:f>IF(E1628=F1628,"PASS","FAIL")</x:f>
        <x:v>PASS</x:v>
      </x:c>
    </x:row>
    <x:row r="1629">
      <x:c r="B1629" s="21" t="str">
        <x:v>A1623</x:v>
      </x:c>
      <x:c r="C1629" s="21" t="str">
        <x:v>merit</x:v>
      </x:c>
      <x:c r="D1629" s="21" t="str">
        <x:v>merit 14 weight positive</x:v>
      </x:c>
      <x:c r="E1629" s="21" t="n">
        <x:f>IF('Merit Review'!G14&gt;0,1,0)</x:f>
        <x:v>1</x:v>
      </x:c>
      <x:c r="F1629" s="21" t="n">
        <x:v>1</x:v>
      </x:c>
      <x:c r="G1629" s="23" t="str">
        <x:f>IF(E1629=F1629,"PASS","FAIL")</x:f>
        <x:v>PASS</x:v>
      </x:c>
    </x:row>
    <x:row r="1630">
      <x:c r="B1630" s="21" t="str">
        <x:v>A1624</x:v>
      </x:c>
      <x:c r="C1630" s="21" t="str">
        <x:v>merit</x:v>
      </x:c>
      <x:c r="D1630" s="21" t="str">
        <x:v>merit 14 score bounded</x:v>
      </x:c>
      <x:c r="E1630" s="21" t="n">
        <x:f>IF(AND('Merit Review'!H14&gt;=0,'Merit Review'!H14&lt;=100),1,0)</x:f>
        <x:v>1</x:v>
      </x:c>
      <x:c r="F1630" s="21" t="n">
        <x:v>1</x:v>
      </x:c>
      <x:c r="G1630" s="23" t="str">
        <x:f>IF(E1630=F1630,"PASS","FAIL")</x:f>
        <x:v>PASS</x:v>
      </x:c>
    </x:row>
    <x:row r="1631">
      <x:c r="B1631" s="21" t="str">
        <x:v>A1625</x:v>
      </x:c>
      <x:c r="C1631" s="21" t="str">
        <x:v>merit</x:v>
      </x:c>
      <x:c r="D1631" s="21" t="str">
        <x:v>merit 14 weighted formula</x:v>
      </x:c>
      <x:c r="E1631" s="21" t="n">
        <x:f>IF(ABS('Merit Review'!I14-'Merit Review'!G14*'Merit Review'!H14)&lt;0.000001,1,0)</x:f>
        <x:v>1</x:v>
      </x:c>
      <x:c r="F1631" s="21" t="n">
        <x:v>1</x:v>
      </x:c>
      <x:c r="G1631" s="23" t="str">
        <x:f>IF(E1631=F1631,"PASS","FAIL")</x:f>
        <x:v>PASS</x:v>
      </x:c>
    </x:row>
    <x:row r="1632">
      <x:c r="B1632" s="21" t="str">
        <x:v>A1626</x:v>
      </x:c>
      <x:c r="C1632" s="21" t="str">
        <x:v>merit</x:v>
      </x:c>
      <x:c r="D1632" s="21" t="str">
        <x:v>merit 15 weight positive</x:v>
      </x:c>
      <x:c r="E1632" s="21" t="n">
        <x:f>IF('Merit Review'!G15&gt;0,1,0)</x:f>
        <x:v>1</x:v>
      </x:c>
      <x:c r="F1632" s="21" t="n">
        <x:v>1</x:v>
      </x:c>
      <x:c r="G1632" s="23" t="str">
        <x:f>IF(E1632=F1632,"PASS","FAIL")</x:f>
        <x:v>PASS</x:v>
      </x:c>
    </x:row>
    <x:row r="1633">
      <x:c r="B1633" s="21" t="str">
        <x:v>A1627</x:v>
      </x:c>
      <x:c r="C1633" s="21" t="str">
        <x:v>merit</x:v>
      </x:c>
      <x:c r="D1633" s="21" t="str">
        <x:v>merit 15 score bounded</x:v>
      </x:c>
      <x:c r="E1633" s="21" t="n">
        <x:f>IF(AND('Merit Review'!H15&gt;=0,'Merit Review'!H15&lt;=100),1,0)</x:f>
        <x:v>1</x:v>
      </x:c>
      <x:c r="F1633" s="21" t="n">
        <x:v>1</x:v>
      </x:c>
      <x:c r="G1633" s="23" t="str">
        <x:f>IF(E1633=F1633,"PASS","FAIL")</x:f>
        <x:v>PASS</x:v>
      </x:c>
    </x:row>
    <x:row r="1634">
      <x:c r="B1634" s="21" t="str">
        <x:v>A1628</x:v>
      </x:c>
      <x:c r="C1634" s="21" t="str">
        <x:v>merit</x:v>
      </x:c>
      <x:c r="D1634" s="21" t="str">
        <x:v>merit 15 weighted formula</x:v>
      </x:c>
      <x:c r="E1634" s="21" t="n">
        <x:f>IF(ABS('Merit Review'!I15-'Merit Review'!G15*'Merit Review'!H15)&lt;0.000001,1,0)</x:f>
        <x:v>1</x:v>
      </x:c>
      <x:c r="F1634" s="21" t="n">
        <x:v>1</x:v>
      </x:c>
      <x:c r="G1634" s="23" t="str">
        <x:f>IF(E1634=F1634,"PASS","FAIL")</x:f>
        <x:v>PASS</x:v>
      </x:c>
    </x:row>
    <x:row r="1635">
      <x:c r="B1635" s="21" t="str">
        <x:v>A1629</x:v>
      </x:c>
      <x:c r="C1635" s="21" t="str">
        <x:v>merit</x:v>
      </x:c>
      <x:c r="D1635" s="21" t="str">
        <x:v>merit 16 weight positive</x:v>
      </x:c>
      <x:c r="E1635" s="21" t="n">
        <x:f>IF('Merit Review'!G16&gt;0,1,0)</x:f>
        <x:v>1</x:v>
      </x:c>
      <x:c r="F1635" s="21" t="n">
        <x:v>1</x:v>
      </x:c>
      <x:c r="G1635" s="23" t="str">
        <x:f>IF(E1635=F1635,"PASS","FAIL")</x:f>
        <x:v>PASS</x:v>
      </x:c>
    </x:row>
    <x:row r="1636">
      <x:c r="B1636" s="21" t="str">
        <x:v>A1630</x:v>
      </x:c>
      <x:c r="C1636" s="21" t="str">
        <x:v>merit</x:v>
      </x:c>
      <x:c r="D1636" s="21" t="str">
        <x:v>merit 16 score bounded</x:v>
      </x:c>
      <x:c r="E1636" s="21" t="n">
        <x:f>IF(AND('Merit Review'!H16&gt;=0,'Merit Review'!H16&lt;=100),1,0)</x:f>
        <x:v>1</x:v>
      </x:c>
      <x:c r="F1636" s="21" t="n">
        <x:v>1</x:v>
      </x:c>
      <x:c r="G1636" s="23" t="str">
        <x:f>IF(E1636=F1636,"PASS","FAIL")</x:f>
        <x:v>PASS</x:v>
      </x:c>
    </x:row>
    <x:row r="1637">
      <x:c r="B1637" s="21" t="str">
        <x:v>A1631</x:v>
      </x:c>
      <x:c r="C1637" s="21" t="str">
        <x:v>merit</x:v>
      </x:c>
      <x:c r="D1637" s="21" t="str">
        <x:v>merit 16 weighted formula</x:v>
      </x:c>
      <x:c r="E1637" s="21" t="n">
        <x:f>IF(ABS('Merit Review'!I16-'Merit Review'!G16*'Merit Review'!H16)&lt;0.000001,1,0)</x:f>
        <x:v>1</x:v>
      </x:c>
      <x:c r="F1637" s="21" t="n">
        <x:v>1</x:v>
      </x:c>
      <x:c r="G1637" s="23" t="str">
        <x:f>IF(E1637=F1637,"PASS","FAIL")</x:f>
        <x:v>PASS</x:v>
      </x:c>
    </x:row>
    <x:row r="1638">
      <x:c r="B1638" s="21" t="str">
        <x:v>A1632</x:v>
      </x:c>
      <x:c r="C1638" s="21" t="str">
        <x:v>merit</x:v>
      </x:c>
      <x:c r="D1638" s="21" t="str">
        <x:v>merit 17 weight positive</x:v>
      </x:c>
      <x:c r="E1638" s="21" t="n">
        <x:f>IF('Merit Review'!G17&gt;0,1,0)</x:f>
        <x:v>1</x:v>
      </x:c>
      <x:c r="F1638" s="21" t="n">
        <x:v>1</x:v>
      </x:c>
      <x:c r="G1638" s="23" t="str">
        <x:f>IF(E1638=F1638,"PASS","FAIL")</x:f>
        <x:v>PASS</x:v>
      </x:c>
    </x:row>
    <x:row r="1639">
      <x:c r="B1639" s="21" t="str">
        <x:v>A1633</x:v>
      </x:c>
      <x:c r="C1639" s="21" t="str">
        <x:v>merit</x:v>
      </x:c>
      <x:c r="D1639" s="21" t="str">
        <x:v>merit 17 score bounded</x:v>
      </x:c>
      <x:c r="E1639" s="21" t="n">
        <x:f>IF(AND('Merit Review'!H17&gt;=0,'Merit Review'!H17&lt;=100),1,0)</x:f>
        <x:v>1</x:v>
      </x:c>
      <x:c r="F1639" s="21" t="n">
        <x:v>1</x:v>
      </x:c>
      <x:c r="G1639" s="23" t="str">
        <x:f>IF(E1639=F1639,"PASS","FAIL")</x:f>
        <x:v>PASS</x:v>
      </x:c>
    </x:row>
    <x:row r="1640">
      <x:c r="B1640" s="21" t="str">
        <x:v>A1634</x:v>
      </x:c>
      <x:c r="C1640" s="21" t="str">
        <x:v>merit</x:v>
      </x:c>
      <x:c r="D1640" s="21" t="str">
        <x:v>merit 17 weighted formula</x:v>
      </x:c>
      <x:c r="E1640" s="21" t="n">
        <x:f>IF(ABS('Merit Review'!I17-'Merit Review'!G17*'Merit Review'!H17)&lt;0.000001,1,0)</x:f>
        <x:v>1</x:v>
      </x:c>
      <x:c r="F1640" s="21" t="n">
        <x:v>1</x:v>
      </x:c>
      <x:c r="G1640" s="23" t="str">
        <x:f>IF(E1640=F1640,"PASS","FAIL")</x:f>
        <x:v>PASS</x:v>
      </x:c>
    </x:row>
    <x:row r="1641">
      <x:c r="B1641" s="21" t="str">
        <x:v>A1635</x:v>
      </x:c>
      <x:c r="C1641" s="21" t="str">
        <x:v>merit</x:v>
      </x:c>
      <x:c r="D1641" s="21" t="str">
        <x:v>merit 18 weight positive</x:v>
      </x:c>
      <x:c r="E1641" s="21" t="n">
        <x:f>IF('Merit Review'!G18&gt;0,1,0)</x:f>
        <x:v>1</x:v>
      </x:c>
      <x:c r="F1641" s="21" t="n">
        <x:v>1</x:v>
      </x:c>
      <x:c r="G1641" s="23" t="str">
        <x:f>IF(E1641=F1641,"PASS","FAIL")</x:f>
        <x:v>PASS</x:v>
      </x:c>
    </x:row>
    <x:row r="1642">
      <x:c r="B1642" s="21" t="str">
        <x:v>A1636</x:v>
      </x:c>
      <x:c r="C1642" s="21" t="str">
        <x:v>merit</x:v>
      </x:c>
      <x:c r="D1642" s="21" t="str">
        <x:v>merit 18 score bounded</x:v>
      </x:c>
      <x:c r="E1642" s="21" t="n">
        <x:f>IF(AND('Merit Review'!H18&gt;=0,'Merit Review'!H18&lt;=100),1,0)</x:f>
        <x:v>1</x:v>
      </x:c>
      <x:c r="F1642" s="21" t="n">
        <x:v>1</x:v>
      </x:c>
      <x:c r="G1642" s="23" t="str">
        <x:f>IF(E1642=F1642,"PASS","FAIL")</x:f>
        <x:v>PASS</x:v>
      </x:c>
    </x:row>
    <x:row r="1643">
      <x:c r="B1643" s="21" t="str">
        <x:v>A1637</x:v>
      </x:c>
      <x:c r="C1643" s="21" t="str">
        <x:v>merit</x:v>
      </x:c>
      <x:c r="D1643" s="21" t="str">
        <x:v>merit 18 weighted formula</x:v>
      </x:c>
      <x:c r="E1643" s="21" t="n">
        <x:f>IF(ABS('Merit Review'!I18-'Merit Review'!G18*'Merit Review'!H18)&lt;0.000001,1,0)</x:f>
        <x:v>1</x:v>
      </x:c>
      <x:c r="F1643" s="21" t="n">
        <x:v>1</x:v>
      </x:c>
      <x:c r="G1643" s="23" t="str">
        <x:f>IF(E1643=F1643,"PASS","FAIL")</x:f>
        <x:v>PASS</x:v>
      </x:c>
    </x:row>
    <x:row r="1644">
      <x:c r="B1644" s="21" t="str">
        <x:v>A1638</x:v>
      </x:c>
      <x:c r="C1644" s="21" t="str">
        <x:v>merit</x:v>
      </x:c>
      <x:c r="D1644" s="21" t="str">
        <x:v>merit 19 weight positive</x:v>
      </x:c>
      <x:c r="E1644" s="21" t="n">
        <x:f>IF('Merit Review'!G19&gt;0,1,0)</x:f>
        <x:v>1</x:v>
      </x:c>
      <x:c r="F1644" s="21" t="n">
        <x:v>1</x:v>
      </x:c>
      <x:c r="G1644" s="23" t="str">
        <x:f>IF(E1644=F1644,"PASS","FAIL")</x:f>
        <x:v>PASS</x:v>
      </x:c>
    </x:row>
    <x:row r="1645">
      <x:c r="B1645" s="21" t="str">
        <x:v>A1639</x:v>
      </x:c>
      <x:c r="C1645" s="21" t="str">
        <x:v>merit</x:v>
      </x:c>
      <x:c r="D1645" s="21" t="str">
        <x:v>merit 19 score bounded</x:v>
      </x:c>
      <x:c r="E1645" s="21" t="n">
        <x:f>IF(AND('Merit Review'!H19&gt;=0,'Merit Review'!H19&lt;=100),1,0)</x:f>
        <x:v>1</x:v>
      </x:c>
      <x:c r="F1645" s="21" t="n">
        <x:v>1</x:v>
      </x:c>
      <x:c r="G1645" s="23" t="str">
        <x:f>IF(E1645=F1645,"PASS","FAIL")</x:f>
        <x:v>PASS</x:v>
      </x:c>
    </x:row>
    <x:row r="1646">
      <x:c r="B1646" s="21" t="str">
        <x:v>A1640</x:v>
      </x:c>
      <x:c r="C1646" s="21" t="str">
        <x:v>merit</x:v>
      </x:c>
      <x:c r="D1646" s="21" t="str">
        <x:v>merit 19 weighted formula</x:v>
      </x:c>
      <x:c r="E1646" s="21" t="n">
        <x:f>IF(ABS('Merit Review'!I19-'Merit Review'!G19*'Merit Review'!H19)&lt;0.000001,1,0)</x:f>
        <x:v>1</x:v>
      </x:c>
      <x:c r="F1646" s="21" t="n">
        <x:v>1</x:v>
      </x:c>
      <x:c r="G1646" s="23" t="str">
        <x:f>IF(E1646=F1646,"PASS","FAIL")</x:f>
        <x:v>PASS</x:v>
      </x:c>
    </x:row>
    <x:row r="1647">
      <x:c r="B1647" s="21" t="str">
        <x:v>A1641</x:v>
      </x:c>
      <x:c r="C1647" s="21" t="str">
        <x:v>merit</x:v>
      </x:c>
      <x:c r="D1647" s="21" t="str">
        <x:v>merit 20 weight positive</x:v>
      </x:c>
      <x:c r="E1647" s="21" t="n">
        <x:f>IF('Merit Review'!G20&gt;0,1,0)</x:f>
        <x:v>1</x:v>
      </x:c>
      <x:c r="F1647" s="21" t="n">
        <x:v>1</x:v>
      </x:c>
      <x:c r="G1647" s="23" t="str">
        <x:f>IF(E1647=F1647,"PASS","FAIL")</x:f>
        <x:v>PASS</x:v>
      </x:c>
    </x:row>
    <x:row r="1648">
      <x:c r="B1648" s="21" t="str">
        <x:v>A1642</x:v>
      </x:c>
      <x:c r="C1648" s="21" t="str">
        <x:v>merit</x:v>
      </x:c>
      <x:c r="D1648" s="21" t="str">
        <x:v>merit 20 score bounded</x:v>
      </x:c>
      <x:c r="E1648" s="21" t="n">
        <x:f>IF(AND('Merit Review'!H20&gt;=0,'Merit Review'!H20&lt;=100),1,0)</x:f>
        <x:v>1</x:v>
      </x:c>
      <x:c r="F1648" s="21" t="n">
        <x:v>1</x:v>
      </x:c>
      <x:c r="G1648" s="23" t="str">
        <x:f>IF(E1648=F1648,"PASS","FAIL")</x:f>
        <x:v>PASS</x:v>
      </x:c>
    </x:row>
    <x:row r="1649">
      <x:c r="B1649" s="21" t="str">
        <x:v>A1643</x:v>
      </x:c>
      <x:c r="C1649" s="21" t="str">
        <x:v>merit</x:v>
      </x:c>
      <x:c r="D1649" s="21" t="str">
        <x:v>merit 20 weighted formula</x:v>
      </x:c>
      <x:c r="E1649" s="21" t="n">
        <x:f>IF(ABS('Merit Review'!I20-'Merit Review'!G20*'Merit Review'!H20)&lt;0.000001,1,0)</x:f>
        <x:v>1</x:v>
      </x:c>
      <x:c r="F1649" s="21" t="n">
        <x:v>1</x:v>
      </x:c>
      <x:c r="G1649" s="23" t="str">
        <x:f>IF(E1649=F1649,"PASS","FAIL")</x:f>
        <x:v>PASS</x:v>
      </x:c>
    </x:row>
    <x:row r="1650">
      <x:c r="B1650" s="21" t="str">
        <x:v>A1644</x:v>
      </x:c>
      <x:c r="C1650" s="21" t="str">
        <x:v>merit</x:v>
      </x:c>
      <x:c r="D1650" s="21" t="str">
        <x:v>merit 21 weight positive</x:v>
      </x:c>
      <x:c r="E1650" s="21" t="n">
        <x:f>IF('Merit Review'!G21&gt;0,1,0)</x:f>
        <x:v>1</x:v>
      </x:c>
      <x:c r="F1650" s="21" t="n">
        <x:v>1</x:v>
      </x:c>
      <x:c r="G1650" s="23" t="str">
        <x:f>IF(E1650=F1650,"PASS","FAIL")</x:f>
        <x:v>PASS</x:v>
      </x:c>
    </x:row>
    <x:row r="1651">
      <x:c r="B1651" s="21" t="str">
        <x:v>A1645</x:v>
      </x:c>
      <x:c r="C1651" s="21" t="str">
        <x:v>merit</x:v>
      </x:c>
      <x:c r="D1651" s="21" t="str">
        <x:v>merit 21 score bounded</x:v>
      </x:c>
      <x:c r="E1651" s="21" t="n">
        <x:f>IF(AND('Merit Review'!H21&gt;=0,'Merit Review'!H21&lt;=100),1,0)</x:f>
        <x:v>1</x:v>
      </x:c>
      <x:c r="F1651" s="21" t="n">
        <x:v>1</x:v>
      </x:c>
      <x:c r="G1651" s="23" t="str">
        <x:f>IF(E1651=F1651,"PASS","FAIL")</x:f>
        <x:v>PASS</x:v>
      </x:c>
    </x:row>
    <x:row r="1652">
      <x:c r="B1652" s="21" t="str">
        <x:v>A1646</x:v>
      </x:c>
      <x:c r="C1652" s="21" t="str">
        <x:v>merit</x:v>
      </x:c>
      <x:c r="D1652" s="21" t="str">
        <x:v>merit 21 weighted formula</x:v>
      </x:c>
      <x:c r="E1652" s="21" t="n">
        <x:f>IF(ABS('Merit Review'!I21-'Merit Review'!G21*'Merit Review'!H21)&lt;0.000001,1,0)</x:f>
        <x:v>1</x:v>
      </x:c>
      <x:c r="F1652" s="21" t="n">
        <x:v>1</x:v>
      </x:c>
      <x:c r="G1652" s="23" t="str">
        <x:f>IF(E1652=F1652,"PASS","FAIL")</x:f>
        <x:v>PASS</x:v>
      </x:c>
    </x:row>
    <x:row r="1653">
      <x:c r="B1653" s="21" t="str">
        <x:v>A1647</x:v>
      </x:c>
      <x:c r="C1653" s="21" t="str">
        <x:v>merit</x:v>
      </x:c>
      <x:c r="D1653" s="21" t="str">
        <x:v>merit 22 weight positive</x:v>
      </x:c>
      <x:c r="E1653" s="21" t="n">
        <x:f>IF('Merit Review'!G22&gt;0,1,0)</x:f>
        <x:v>1</x:v>
      </x:c>
      <x:c r="F1653" s="21" t="n">
        <x:v>1</x:v>
      </x:c>
      <x:c r="G1653" s="23" t="str">
        <x:f>IF(E1653=F1653,"PASS","FAIL")</x:f>
        <x:v>PASS</x:v>
      </x:c>
    </x:row>
    <x:row r="1654">
      <x:c r="B1654" s="21" t="str">
        <x:v>A1648</x:v>
      </x:c>
      <x:c r="C1654" s="21" t="str">
        <x:v>merit</x:v>
      </x:c>
      <x:c r="D1654" s="21" t="str">
        <x:v>merit 22 score bounded</x:v>
      </x:c>
      <x:c r="E1654" s="21" t="n">
        <x:f>IF(AND('Merit Review'!H22&gt;=0,'Merit Review'!H22&lt;=100),1,0)</x:f>
        <x:v>1</x:v>
      </x:c>
      <x:c r="F1654" s="21" t="n">
        <x:v>1</x:v>
      </x:c>
      <x:c r="G1654" s="23" t="str">
        <x:f>IF(E1654=F1654,"PASS","FAIL")</x:f>
        <x:v>PASS</x:v>
      </x:c>
    </x:row>
    <x:row r="1655">
      <x:c r="B1655" s="21" t="str">
        <x:v>A1649</x:v>
      </x:c>
      <x:c r="C1655" s="21" t="str">
        <x:v>merit</x:v>
      </x:c>
      <x:c r="D1655" s="21" t="str">
        <x:v>merit 22 weighted formula</x:v>
      </x:c>
      <x:c r="E1655" s="21" t="n">
        <x:f>IF(ABS('Merit Review'!I22-'Merit Review'!G22*'Merit Review'!H22)&lt;0.000001,1,0)</x:f>
        <x:v>1</x:v>
      </x:c>
      <x:c r="F1655" s="21" t="n">
        <x:v>1</x:v>
      </x:c>
      <x:c r="G1655" s="23" t="str">
        <x:f>IF(E1655=F1655,"PASS","FAIL")</x:f>
        <x:v>PASS</x:v>
      </x:c>
    </x:row>
    <x:row r="1656">
      <x:c r="B1656" s="21" t="str">
        <x:v>A1650</x:v>
      </x:c>
      <x:c r="C1656" s="21" t="str">
        <x:v>merit</x:v>
      </x:c>
      <x:c r="D1656" s="21" t="str">
        <x:v>merit 23 weight positive</x:v>
      </x:c>
      <x:c r="E1656" s="21" t="n">
        <x:f>IF('Merit Review'!G23&gt;0,1,0)</x:f>
        <x:v>1</x:v>
      </x:c>
      <x:c r="F1656" s="21" t="n">
        <x:v>1</x:v>
      </x:c>
      <x:c r="G1656" s="23" t="str">
        <x:f>IF(E1656=F1656,"PASS","FAIL")</x:f>
        <x:v>PASS</x:v>
      </x:c>
    </x:row>
    <x:row r="1657">
      <x:c r="B1657" s="21" t="str">
        <x:v>A1651</x:v>
      </x:c>
      <x:c r="C1657" s="21" t="str">
        <x:v>merit</x:v>
      </x:c>
      <x:c r="D1657" s="21" t="str">
        <x:v>merit 23 score bounded</x:v>
      </x:c>
      <x:c r="E1657" s="21" t="n">
        <x:f>IF(AND('Merit Review'!H23&gt;=0,'Merit Review'!H23&lt;=100),1,0)</x:f>
        <x:v>1</x:v>
      </x:c>
      <x:c r="F1657" s="21" t="n">
        <x:v>1</x:v>
      </x:c>
      <x:c r="G1657" s="23" t="str">
        <x:f>IF(E1657=F1657,"PASS","FAIL")</x:f>
        <x:v>PASS</x:v>
      </x:c>
    </x:row>
    <x:row r="1658">
      <x:c r="B1658" s="21" t="str">
        <x:v>A1652</x:v>
      </x:c>
      <x:c r="C1658" s="21" t="str">
        <x:v>merit</x:v>
      </x:c>
      <x:c r="D1658" s="21" t="str">
        <x:v>merit 23 weighted formula</x:v>
      </x:c>
      <x:c r="E1658" s="21" t="n">
        <x:f>IF(ABS('Merit Review'!I23-'Merit Review'!G23*'Merit Review'!H23)&lt;0.000001,1,0)</x:f>
        <x:v>1</x:v>
      </x:c>
      <x:c r="F1658" s="21" t="n">
        <x:v>1</x:v>
      </x:c>
      <x:c r="G1658" s="23" t="str">
        <x:f>IF(E1658=F1658,"PASS","FAIL")</x:f>
        <x:v>PASS</x:v>
      </x:c>
    </x:row>
    <x:row r="1659">
      <x:c r="B1659" s="21" t="str">
        <x:v>A1653</x:v>
      </x:c>
      <x:c r="C1659" s="21" t="str">
        <x:v>merit</x:v>
      </x:c>
      <x:c r="D1659" s="21" t="str">
        <x:v>merit 24 weight positive</x:v>
      </x:c>
      <x:c r="E1659" s="21" t="n">
        <x:f>IF('Merit Review'!G24&gt;0,1,0)</x:f>
        <x:v>1</x:v>
      </x:c>
      <x:c r="F1659" s="21" t="n">
        <x:v>1</x:v>
      </x:c>
      <x:c r="G1659" s="23" t="str">
        <x:f>IF(E1659=F1659,"PASS","FAIL")</x:f>
        <x:v>PASS</x:v>
      </x:c>
    </x:row>
    <x:row r="1660">
      <x:c r="B1660" s="21" t="str">
        <x:v>A1654</x:v>
      </x:c>
      <x:c r="C1660" s="21" t="str">
        <x:v>merit</x:v>
      </x:c>
      <x:c r="D1660" s="21" t="str">
        <x:v>merit 24 score bounded</x:v>
      </x:c>
      <x:c r="E1660" s="21" t="n">
        <x:f>IF(AND('Merit Review'!H24&gt;=0,'Merit Review'!H24&lt;=100),1,0)</x:f>
        <x:v>1</x:v>
      </x:c>
      <x:c r="F1660" s="21" t="n">
        <x:v>1</x:v>
      </x:c>
      <x:c r="G1660" s="23" t="str">
        <x:f>IF(E1660=F1660,"PASS","FAIL")</x:f>
        <x:v>PASS</x:v>
      </x:c>
    </x:row>
    <x:row r="1661">
      <x:c r="B1661" s="21" t="str">
        <x:v>A1655</x:v>
      </x:c>
      <x:c r="C1661" s="21" t="str">
        <x:v>merit</x:v>
      </x:c>
      <x:c r="D1661" s="21" t="str">
        <x:v>merit 24 weighted formula</x:v>
      </x:c>
      <x:c r="E1661" s="21" t="n">
        <x:f>IF(ABS('Merit Review'!I24-'Merit Review'!G24*'Merit Review'!H24)&lt;0.000001,1,0)</x:f>
        <x:v>1</x:v>
      </x:c>
      <x:c r="F1661" s="21" t="n">
        <x:v>1</x:v>
      </x:c>
      <x:c r="G1661" s="23" t="str">
        <x:f>IF(E1661=F1661,"PASS","FAIL")</x:f>
        <x:v>PASS</x:v>
      </x:c>
    </x:row>
    <x:row r="1662">
      <x:c r="B1662" s="21" t="str">
        <x:v>A1656</x:v>
      </x:c>
      <x:c r="C1662" s="21" t="str">
        <x:v>merit</x:v>
      </x:c>
      <x:c r="D1662" s="21" t="str">
        <x:v>merit 25 weight positive</x:v>
      </x:c>
      <x:c r="E1662" s="21" t="n">
        <x:f>IF('Merit Review'!G25&gt;0,1,0)</x:f>
        <x:v>1</x:v>
      </x:c>
      <x:c r="F1662" s="21" t="n">
        <x:v>1</x:v>
      </x:c>
      <x:c r="G1662" s="23" t="str">
        <x:f>IF(E1662=F1662,"PASS","FAIL")</x:f>
        <x:v>PASS</x:v>
      </x:c>
    </x:row>
    <x:row r="1663">
      <x:c r="B1663" s="21" t="str">
        <x:v>A1657</x:v>
      </x:c>
      <x:c r="C1663" s="21" t="str">
        <x:v>merit</x:v>
      </x:c>
      <x:c r="D1663" s="21" t="str">
        <x:v>merit 25 score bounded</x:v>
      </x:c>
      <x:c r="E1663" s="21" t="n">
        <x:f>IF(AND('Merit Review'!H25&gt;=0,'Merit Review'!H25&lt;=100),1,0)</x:f>
        <x:v>1</x:v>
      </x:c>
      <x:c r="F1663" s="21" t="n">
        <x:v>1</x:v>
      </x:c>
      <x:c r="G1663" s="23" t="str">
        <x:f>IF(E1663=F1663,"PASS","FAIL")</x:f>
        <x:v>PASS</x:v>
      </x:c>
    </x:row>
    <x:row r="1664">
      <x:c r="B1664" s="21" t="str">
        <x:v>A1658</x:v>
      </x:c>
      <x:c r="C1664" s="21" t="str">
        <x:v>merit</x:v>
      </x:c>
      <x:c r="D1664" s="21" t="str">
        <x:v>merit 25 weighted formula</x:v>
      </x:c>
      <x:c r="E1664" s="21" t="n">
        <x:f>IF(ABS('Merit Review'!I25-'Merit Review'!G25*'Merit Review'!H25)&lt;0.000001,1,0)</x:f>
        <x:v>1</x:v>
      </x:c>
      <x:c r="F1664" s="21" t="n">
        <x:v>1</x:v>
      </x:c>
      <x:c r="G1664" s="23" t="str">
        <x:f>IF(E1664=F1664,"PASS","FAIL")</x:f>
        <x:v>PASS</x:v>
      </x:c>
    </x:row>
    <x:row r="1665">
      <x:c r="B1665" s="21" t="str">
        <x:v>A1659</x:v>
      </x:c>
      <x:c r="C1665" s="21" t="str">
        <x:v>merit</x:v>
      </x:c>
      <x:c r="D1665" s="21" t="str">
        <x:v>merit 26 weight positive</x:v>
      </x:c>
      <x:c r="E1665" s="21" t="n">
        <x:f>IF('Merit Review'!G26&gt;0,1,0)</x:f>
        <x:v>1</x:v>
      </x:c>
      <x:c r="F1665" s="21" t="n">
        <x:v>1</x:v>
      </x:c>
      <x:c r="G1665" s="23" t="str">
        <x:f>IF(E1665=F1665,"PASS","FAIL")</x:f>
        <x:v>PASS</x:v>
      </x:c>
    </x:row>
    <x:row r="1666">
      <x:c r="B1666" s="21" t="str">
        <x:v>A1660</x:v>
      </x:c>
      <x:c r="C1666" s="21" t="str">
        <x:v>merit</x:v>
      </x:c>
      <x:c r="D1666" s="21" t="str">
        <x:v>merit 26 score bounded</x:v>
      </x:c>
      <x:c r="E1666" s="21" t="n">
        <x:f>IF(AND('Merit Review'!H26&gt;=0,'Merit Review'!H26&lt;=100),1,0)</x:f>
        <x:v>1</x:v>
      </x:c>
      <x:c r="F1666" s="21" t="n">
        <x:v>1</x:v>
      </x:c>
      <x:c r="G1666" s="23" t="str">
        <x:f>IF(E1666=F1666,"PASS","FAIL")</x:f>
        <x:v>PASS</x:v>
      </x:c>
    </x:row>
    <x:row r="1667">
      <x:c r="B1667" s="21" t="str">
        <x:v>A1661</x:v>
      </x:c>
      <x:c r="C1667" s="21" t="str">
        <x:v>merit</x:v>
      </x:c>
      <x:c r="D1667" s="21" t="str">
        <x:v>merit 26 weighted formula</x:v>
      </x:c>
      <x:c r="E1667" s="21" t="n">
        <x:f>IF(ABS('Merit Review'!I26-'Merit Review'!G26*'Merit Review'!H26)&lt;0.000001,1,0)</x:f>
        <x:v>1</x:v>
      </x:c>
      <x:c r="F1667" s="21" t="n">
        <x:v>1</x:v>
      </x:c>
      <x:c r="G1667" s="23" t="str">
        <x:f>IF(E1667=F1667,"PASS","FAIL")</x:f>
        <x:v>PASS</x:v>
      </x:c>
    </x:row>
    <x:row r="1668">
      <x:c r="B1668" s="21" t="str">
        <x:v>A1662</x:v>
      </x:c>
      <x:c r="C1668" s="21" t="str">
        <x:v>merit</x:v>
      </x:c>
      <x:c r="D1668" s="21" t="str">
        <x:v>merit 27 weight positive</x:v>
      </x:c>
      <x:c r="E1668" s="21" t="n">
        <x:f>IF('Merit Review'!G27&gt;0,1,0)</x:f>
        <x:v>1</x:v>
      </x:c>
      <x:c r="F1668" s="21" t="n">
        <x:v>1</x:v>
      </x:c>
      <x:c r="G1668" s="23" t="str">
        <x:f>IF(E1668=F1668,"PASS","FAIL")</x:f>
        <x:v>PASS</x:v>
      </x:c>
    </x:row>
    <x:row r="1669">
      <x:c r="B1669" s="21" t="str">
        <x:v>A1663</x:v>
      </x:c>
      <x:c r="C1669" s="21" t="str">
        <x:v>merit</x:v>
      </x:c>
      <x:c r="D1669" s="21" t="str">
        <x:v>merit 27 score bounded</x:v>
      </x:c>
      <x:c r="E1669" s="21" t="n">
        <x:f>IF(AND('Merit Review'!H27&gt;=0,'Merit Review'!H27&lt;=100),1,0)</x:f>
        <x:v>1</x:v>
      </x:c>
      <x:c r="F1669" s="21" t="n">
        <x:v>1</x:v>
      </x:c>
      <x:c r="G1669" s="23" t="str">
        <x:f>IF(E1669=F1669,"PASS","FAIL")</x:f>
        <x:v>PASS</x:v>
      </x:c>
    </x:row>
    <x:row r="1670">
      <x:c r="B1670" s="21" t="str">
        <x:v>A1664</x:v>
      </x:c>
      <x:c r="C1670" s="21" t="str">
        <x:v>merit</x:v>
      </x:c>
      <x:c r="D1670" s="21" t="str">
        <x:v>merit 27 weighted formula</x:v>
      </x:c>
      <x:c r="E1670" s="21" t="n">
        <x:f>IF(ABS('Merit Review'!I27-'Merit Review'!G27*'Merit Review'!H27)&lt;0.000001,1,0)</x:f>
        <x:v>1</x:v>
      </x:c>
      <x:c r="F1670" s="21" t="n">
        <x:v>1</x:v>
      </x:c>
      <x:c r="G1670" s="23" t="str">
        <x:f>IF(E1670=F1670,"PASS","FAIL")</x:f>
        <x:v>PASS</x:v>
      </x:c>
    </x:row>
    <x:row r="1671">
      <x:c r="B1671" s="21" t="str">
        <x:v>A1665</x:v>
      </x:c>
      <x:c r="C1671" s="21" t="str">
        <x:v>merit</x:v>
      </x:c>
      <x:c r="D1671" s="21" t="str">
        <x:v>merit 28 weight positive</x:v>
      </x:c>
      <x:c r="E1671" s="21" t="n">
        <x:f>IF('Merit Review'!G28&gt;0,1,0)</x:f>
        <x:v>1</x:v>
      </x:c>
      <x:c r="F1671" s="21" t="n">
        <x:v>1</x:v>
      </x:c>
      <x:c r="G1671" s="23" t="str">
        <x:f>IF(E1671=F1671,"PASS","FAIL")</x:f>
        <x:v>PASS</x:v>
      </x:c>
    </x:row>
    <x:row r="1672">
      <x:c r="B1672" s="21" t="str">
        <x:v>A1666</x:v>
      </x:c>
      <x:c r="C1672" s="21" t="str">
        <x:v>merit</x:v>
      </x:c>
      <x:c r="D1672" s="21" t="str">
        <x:v>merit 28 score bounded</x:v>
      </x:c>
      <x:c r="E1672" s="21" t="n">
        <x:f>IF(AND('Merit Review'!H28&gt;=0,'Merit Review'!H28&lt;=100),1,0)</x:f>
        <x:v>1</x:v>
      </x:c>
      <x:c r="F1672" s="21" t="n">
        <x:v>1</x:v>
      </x:c>
      <x:c r="G1672" s="23" t="str">
        <x:f>IF(E1672=F1672,"PASS","FAIL")</x:f>
        <x:v>PASS</x:v>
      </x:c>
    </x:row>
    <x:row r="1673">
      <x:c r="B1673" s="21" t="str">
        <x:v>A1667</x:v>
      </x:c>
      <x:c r="C1673" s="21" t="str">
        <x:v>merit</x:v>
      </x:c>
      <x:c r="D1673" s="21" t="str">
        <x:v>merit 28 weighted formula</x:v>
      </x:c>
      <x:c r="E1673" s="21" t="n">
        <x:f>IF(ABS('Merit Review'!I28-'Merit Review'!G28*'Merit Review'!H28)&lt;0.000001,1,0)</x:f>
        <x:v>1</x:v>
      </x:c>
      <x:c r="F1673" s="21" t="n">
        <x:v>1</x:v>
      </x:c>
      <x:c r="G1673" s="23" t="str">
        <x:f>IF(E1673=F1673,"PASS","FAIL")</x:f>
        <x:v>PASS</x:v>
      </x:c>
    </x:row>
    <x:row r="1674">
      <x:c r="B1674" s="21" t="str">
        <x:v>A1668</x:v>
      </x:c>
      <x:c r="C1674" s="21" t="str">
        <x:v>merit</x:v>
      </x:c>
      <x:c r="D1674" s="21" t="str">
        <x:v>merit 29 weight positive</x:v>
      </x:c>
      <x:c r="E1674" s="21" t="n">
        <x:f>IF('Merit Review'!G29&gt;0,1,0)</x:f>
        <x:v>1</x:v>
      </x:c>
      <x:c r="F1674" s="21" t="n">
        <x:v>1</x:v>
      </x:c>
      <x:c r="G1674" s="23" t="str">
        <x:f>IF(E1674=F1674,"PASS","FAIL")</x:f>
        <x:v>PASS</x:v>
      </x:c>
    </x:row>
    <x:row r="1675">
      <x:c r="B1675" s="21" t="str">
        <x:v>A1669</x:v>
      </x:c>
      <x:c r="C1675" s="21" t="str">
        <x:v>merit</x:v>
      </x:c>
      <x:c r="D1675" s="21" t="str">
        <x:v>merit 29 score bounded</x:v>
      </x:c>
      <x:c r="E1675" s="21" t="n">
        <x:f>IF(AND('Merit Review'!H29&gt;=0,'Merit Review'!H29&lt;=100),1,0)</x:f>
        <x:v>1</x:v>
      </x:c>
      <x:c r="F1675" s="21" t="n">
        <x:v>1</x:v>
      </x:c>
      <x:c r="G1675" s="23" t="str">
        <x:f>IF(E1675=F1675,"PASS","FAIL")</x:f>
        <x:v>PASS</x:v>
      </x:c>
    </x:row>
    <x:row r="1676">
      <x:c r="B1676" s="21" t="str">
        <x:v>A1670</x:v>
      </x:c>
      <x:c r="C1676" s="21" t="str">
        <x:v>merit</x:v>
      </x:c>
      <x:c r="D1676" s="21" t="str">
        <x:v>merit 29 weighted formula</x:v>
      </x:c>
      <x:c r="E1676" s="21" t="n">
        <x:f>IF(ABS('Merit Review'!I29-'Merit Review'!G29*'Merit Review'!H29)&lt;0.000001,1,0)</x:f>
        <x:v>1</x:v>
      </x:c>
      <x:c r="F1676" s="21" t="n">
        <x:v>1</x:v>
      </x:c>
      <x:c r="G1676" s="23" t="str">
        <x:f>IF(E1676=F1676,"PASS","FAIL")</x:f>
        <x:v>PASS</x:v>
      </x:c>
    </x:row>
    <x:row r="1677">
      <x:c r="B1677" s="21" t="str">
        <x:v>A1671</x:v>
      </x:c>
      <x:c r="C1677" s="21" t="str">
        <x:v>merit</x:v>
      </x:c>
      <x:c r="D1677" s="21" t="str">
        <x:v>merit 30 weight positive</x:v>
      </x:c>
      <x:c r="E1677" s="21" t="n">
        <x:f>IF('Merit Review'!G30&gt;0,1,0)</x:f>
        <x:v>1</x:v>
      </x:c>
      <x:c r="F1677" s="21" t="n">
        <x:v>1</x:v>
      </x:c>
      <x:c r="G1677" s="23" t="str">
        <x:f>IF(E1677=F1677,"PASS","FAIL")</x:f>
        <x:v>PASS</x:v>
      </x:c>
    </x:row>
    <x:row r="1678">
      <x:c r="B1678" s="21" t="str">
        <x:v>A1672</x:v>
      </x:c>
      <x:c r="C1678" s="21" t="str">
        <x:v>merit</x:v>
      </x:c>
      <x:c r="D1678" s="21" t="str">
        <x:v>merit 30 score bounded</x:v>
      </x:c>
      <x:c r="E1678" s="21" t="n">
        <x:f>IF(AND('Merit Review'!H30&gt;=0,'Merit Review'!H30&lt;=100),1,0)</x:f>
        <x:v>1</x:v>
      </x:c>
      <x:c r="F1678" s="21" t="n">
        <x:v>1</x:v>
      </x:c>
      <x:c r="G1678" s="23" t="str">
        <x:f>IF(E1678=F1678,"PASS","FAIL")</x:f>
        <x:v>PASS</x:v>
      </x:c>
    </x:row>
    <x:row r="1679">
      <x:c r="B1679" s="21" t="str">
        <x:v>A1673</x:v>
      </x:c>
      <x:c r="C1679" s="21" t="str">
        <x:v>merit</x:v>
      </x:c>
      <x:c r="D1679" s="21" t="str">
        <x:v>merit 30 weighted formula</x:v>
      </x:c>
      <x:c r="E1679" s="21" t="n">
        <x:f>IF(ABS('Merit Review'!I30-'Merit Review'!G30*'Merit Review'!H30)&lt;0.000001,1,0)</x:f>
        <x:v>1</x:v>
      </x:c>
      <x:c r="F1679" s="21" t="n">
        <x:v>1</x:v>
      </x:c>
      <x:c r="G1679" s="23" t="str">
        <x:f>IF(E1679=F1679,"PASS","FAIL")</x:f>
        <x:v>PASS</x:v>
      </x:c>
    </x:row>
    <x:row r="1680">
      <x:c r="B1680" s="21" t="str">
        <x:v>A1674</x:v>
      </x:c>
      <x:c r="C1680" s="21" t="str">
        <x:v>merit</x:v>
      </x:c>
      <x:c r="D1680" s="21" t="str">
        <x:v>merit 31 weight positive</x:v>
      </x:c>
      <x:c r="E1680" s="21" t="n">
        <x:f>IF('Merit Review'!G31&gt;0,1,0)</x:f>
        <x:v>1</x:v>
      </x:c>
      <x:c r="F1680" s="21" t="n">
        <x:v>1</x:v>
      </x:c>
      <x:c r="G1680" s="23" t="str">
        <x:f>IF(E1680=F1680,"PASS","FAIL")</x:f>
        <x:v>PASS</x:v>
      </x:c>
    </x:row>
    <x:row r="1681">
      <x:c r="B1681" s="21" t="str">
        <x:v>A1675</x:v>
      </x:c>
      <x:c r="C1681" s="21" t="str">
        <x:v>merit</x:v>
      </x:c>
      <x:c r="D1681" s="21" t="str">
        <x:v>merit 31 score bounded</x:v>
      </x:c>
      <x:c r="E1681" s="21" t="n">
        <x:f>IF(AND('Merit Review'!H31&gt;=0,'Merit Review'!H31&lt;=100),1,0)</x:f>
        <x:v>1</x:v>
      </x:c>
      <x:c r="F1681" s="21" t="n">
        <x:v>1</x:v>
      </x:c>
      <x:c r="G1681" s="23" t="str">
        <x:f>IF(E1681=F1681,"PASS","FAIL")</x:f>
        <x:v>PASS</x:v>
      </x:c>
    </x:row>
    <x:row r="1682">
      <x:c r="B1682" s="21" t="str">
        <x:v>A1676</x:v>
      </x:c>
      <x:c r="C1682" s="21" t="str">
        <x:v>merit</x:v>
      </x:c>
      <x:c r="D1682" s="21" t="str">
        <x:v>merit 31 weighted formula</x:v>
      </x:c>
      <x:c r="E1682" s="21" t="n">
        <x:f>IF(ABS('Merit Review'!I31-'Merit Review'!G31*'Merit Review'!H31)&lt;0.000001,1,0)</x:f>
        <x:v>1</x:v>
      </x:c>
      <x:c r="F1682" s="21" t="n">
        <x:v>1</x:v>
      </x:c>
      <x:c r="G1682" s="23" t="str">
        <x:f>IF(E1682=F1682,"PASS","FAIL")</x:f>
        <x:v>PASS</x:v>
      </x:c>
    </x:row>
    <x:row r="1683">
      <x:c r="B1683" s="21" t="str">
        <x:v>A1677</x:v>
      </x:c>
      <x:c r="C1683" s="21" t="str">
        <x:v>merit</x:v>
      </x:c>
      <x:c r="D1683" s="21" t="str">
        <x:v>merit 32 weight positive</x:v>
      </x:c>
      <x:c r="E1683" s="21" t="n">
        <x:f>IF('Merit Review'!G32&gt;0,1,0)</x:f>
        <x:v>1</x:v>
      </x:c>
      <x:c r="F1683" s="21" t="n">
        <x:v>1</x:v>
      </x:c>
      <x:c r="G1683" s="23" t="str">
        <x:f>IF(E1683=F1683,"PASS","FAIL")</x:f>
        <x:v>PASS</x:v>
      </x:c>
    </x:row>
    <x:row r="1684">
      <x:c r="B1684" s="21" t="str">
        <x:v>A1678</x:v>
      </x:c>
      <x:c r="C1684" s="21" t="str">
        <x:v>merit</x:v>
      </x:c>
      <x:c r="D1684" s="21" t="str">
        <x:v>merit 32 score bounded</x:v>
      </x:c>
      <x:c r="E1684" s="21" t="n">
        <x:f>IF(AND('Merit Review'!H32&gt;=0,'Merit Review'!H32&lt;=100),1,0)</x:f>
        <x:v>1</x:v>
      </x:c>
      <x:c r="F1684" s="21" t="n">
        <x:v>1</x:v>
      </x:c>
      <x:c r="G1684" s="23" t="str">
        <x:f>IF(E1684=F1684,"PASS","FAIL")</x:f>
        <x:v>PASS</x:v>
      </x:c>
    </x:row>
    <x:row r="1685">
      <x:c r="B1685" s="21" t="str">
        <x:v>A1679</x:v>
      </x:c>
      <x:c r="C1685" s="21" t="str">
        <x:v>merit</x:v>
      </x:c>
      <x:c r="D1685" s="21" t="str">
        <x:v>merit 32 weighted formula</x:v>
      </x:c>
      <x:c r="E1685" s="21" t="n">
        <x:f>IF(ABS('Merit Review'!I32-'Merit Review'!G32*'Merit Review'!H32)&lt;0.000001,1,0)</x:f>
        <x:v>1</x:v>
      </x:c>
      <x:c r="F1685" s="21" t="n">
        <x:v>1</x:v>
      </x:c>
      <x:c r="G1685" s="23" t="str">
        <x:f>IF(E1685=F1685,"PASS","FAIL")</x:f>
        <x:v>PASS</x:v>
      </x:c>
    </x:row>
    <x:row r="1686">
      <x:c r="B1686" s="21" t="str">
        <x:v>A1680</x:v>
      </x:c>
      <x:c r="C1686" s="21" t="str">
        <x:v>merit</x:v>
      </x:c>
      <x:c r="D1686" s="21" t="str">
        <x:v>merit 33 weight positive</x:v>
      </x:c>
      <x:c r="E1686" s="21" t="n">
        <x:f>IF('Merit Review'!G33&gt;0,1,0)</x:f>
        <x:v>1</x:v>
      </x:c>
      <x:c r="F1686" s="21" t="n">
        <x:v>1</x:v>
      </x:c>
      <x:c r="G1686" s="23" t="str">
        <x:f>IF(E1686=F1686,"PASS","FAIL")</x:f>
        <x:v>PASS</x:v>
      </x:c>
    </x:row>
    <x:row r="1687">
      <x:c r="B1687" s="21" t="str">
        <x:v>A1681</x:v>
      </x:c>
      <x:c r="C1687" s="21" t="str">
        <x:v>merit</x:v>
      </x:c>
      <x:c r="D1687" s="21" t="str">
        <x:v>merit 33 score bounded</x:v>
      </x:c>
      <x:c r="E1687" s="21" t="n">
        <x:f>IF(AND('Merit Review'!H33&gt;=0,'Merit Review'!H33&lt;=100),1,0)</x:f>
        <x:v>1</x:v>
      </x:c>
      <x:c r="F1687" s="21" t="n">
        <x:v>1</x:v>
      </x:c>
      <x:c r="G1687" s="23" t="str">
        <x:f>IF(E1687=F1687,"PASS","FAIL")</x:f>
        <x:v>PASS</x:v>
      </x:c>
    </x:row>
    <x:row r="1688">
      <x:c r="B1688" s="21" t="str">
        <x:v>A1682</x:v>
      </x:c>
      <x:c r="C1688" s="21" t="str">
        <x:v>merit</x:v>
      </x:c>
      <x:c r="D1688" s="21" t="str">
        <x:v>merit 33 weighted formula</x:v>
      </x:c>
      <x:c r="E1688" s="21" t="n">
        <x:f>IF(ABS('Merit Review'!I33-'Merit Review'!G33*'Merit Review'!H33)&lt;0.000001,1,0)</x:f>
        <x:v>1</x:v>
      </x:c>
      <x:c r="F1688" s="21" t="n">
        <x:v>1</x:v>
      </x:c>
      <x:c r="G1688" s="23" t="str">
        <x:f>IF(E1688=F1688,"PASS","FAIL")</x:f>
        <x:v>PASS</x:v>
      </x:c>
    </x:row>
    <x:row r="1689">
      <x:c r="B1689" s="21" t="str">
        <x:v>A1683</x:v>
      </x:c>
      <x:c r="C1689" s="21" t="str">
        <x:v>merit</x:v>
      </x:c>
      <x:c r="D1689" s="21" t="str">
        <x:v>merit 34 weight positive</x:v>
      </x:c>
      <x:c r="E1689" s="21" t="n">
        <x:f>IF('Merit Review'!G34&gt;0,1,0)</x:f>
        <x:v>1</x:v>
      </x:c>
      <x:c r="F1689" s="21" t="n">
        <x:v>1</x:v>
      </x:c>
      <x:c r="G1689" s="23" t="str">
        <x:f>IF(E1689=F1689,"PASS","FAIL")</x:f>
        <x:v>PASS</x:v>
      </x:c>
    </x:row>
    <x:row r="1690">
      <x:c r="B1690" s="21" t="str">
        <x:v>A1684</x:v>
      </x:c>
      <x:c r="C1690" s="21" t="str">
        <x:v>merit</x:v>
      </x:c>
      <x:c r="D1690" s="21" t="str">
        <x:v>merit 34 score bounded</x:v>
      </x:c>
      <x:c r="E1690" s="21" t="n">
        <x:f>IF(AND('Merit Review'!H34&gt;=0,'Merit Review'!H34&lt;=100),1,0)</x:f>
        <x:v>1</x:v>
      </x:c>
      <x:c r="F1690" s="21" t="n">
        <x:v>1</x:v>
      </x:c>
      <x:c r="G1690" s="23" t="str">
        <x:f>IF(E1690=F1690,"PASS","FAIL")</x:f>
        <x:v>PASS</x:v>
      </x:c>
    </x:row>
    <x:row r="1691">
      <x:c r="B1691" s="21" t="str">
        <x:v>A1685</x:v>
      </x:c>
      <x:c r="C1691" s="21" t="str">
        <x:v>merit</x:v>
      </x:c>
      <x:c r="D1691" s="21" t="str">
        <x:v>merit 34 weighted formula</x:v>
      </x:c>
      <x:c r="E1691" s="21" t="n">
        <x:f>IF(ABS('Merit Review'!I34-'Merit Review'!G34*'Merit Review'!H34)&lt;0.000001,1,0)</x:f>
        <x:v>1</x:v>
      </x:c>
      <x:c r="F1691" s="21" t="n">
        <x:v>1</x:v>
      </x:c>
      <x:c r="G1691" s="23" t="str">
        <x:f>IF(E1691=F1691,"PASS","FAIL")</x:f>
        <x:v>PASS</x:v>
      </x:c>
    </x:row>
    <x:row r="1692">
      <x:c r="B1692" s="21" t="str">
        <x:v>A1686</x:v>
      </x:c>
      <x:c r="C1692" s="21" t="str">
        <x:v>merit</x:v>
      </x:c>
      <x:c r="D1692" s="21" t="str">
        <x:v>merit 35 weight positive</x:v>
      </x:c>
      <x:c r="E1692" s="21" t="n">
        <x:f>IF('Merit Review'!G35&gt;0,1,0)</x:f>
        <x:v>1</x:v>
      </x:c>
      <x:c r="F1692" s="21" t="n">
        <x:v>1</x:v>
      </x:c>
      <x:c r="G1692" s="23" t="str">
        <x:f>IF(E1692=F1692,"PASS","FAIL")</x:f>
        <x:v>PASS</x:v>
      </x:c>
    </x:row>
    <x:row r="1693">
      <x:c r="B1693" s="21" t="str">
        <x:v>A1687</x:v>
      </x:c>
      <x:c r="C1693" s="21" t="str">
        <x:v>merit</x:v>
      </x:c>
      <x:c r="D1693" s="21" t="str">
        <x:v>merit 35 score bounded</x:v>
      </x:c>
      <x:c r="E1693" s="21" t="n">
        <x:f>IF(AND('Merit Review'!H35&gt;=0,'Merit Review'!H35&lt;=100),1,0)</x:f>
        <x:v>1</x:v>
      </x:c>
      <x:c r="F1693" s="21" t="n">
        <x:v>1</x:v>
      </x:c>
      <x:c r="G1693" s="23" t="str">
        <x:f>IF(E1693=F1693,"PASS","FAIL")</x:f>
        <x:v>PASS</x:v>
      </x:c>
    </x:row>
    <x:row r="1694">
      <x:c r="B1694" s="21" t="str">
        <x:v>A1688</x:v>
      </x:c>
      <x:c r="C1694" s="21" t="str">
        <x:v>merit</x:v>
      </x:c>
      <x:c r="D1694" s="21" t="str">
        <x:v>merit 35 weighted formula</x:v>
      </x:c>
      <x:c r="E1694" s="21" t="n">
        <x:f>IF(ABS('Merit Review'!I35-'Merit Review'!G35*'Merit Review'!H35)&lt;0.000001,1,0)</x:f>
        <x:v>1</x:v>
      </x:c>
      <x:c r="F1694" s="21" t="n">
        <x:v>1</x:v>
      </x:c>
      <x:c r="G1694" s="23" t="str">
        <x:f>IF(E1694=F1694,"PASS","FAIL")</x:f>
        <x:v>PASS</x:v>
      </x:c>
    </x:row>
    <x:row r="1695">
      <x:c r="B1695" s="21" t="str">
        <x:v>A1689</x:v>
      </x:c>
      <x:c r="C1695" s="21" t="str">
        <x:v>merit</x:v>
      </x:c>
      <x:c r="D1695" s="21" t="str">
        <x:v>merit 36 weight positive</x:v>
      </x:c>
      <x:c r="E1695" s="21" t="n">
        <x:f>IF('Merit Review'!G36&gt;0,1,0)</x:f>
        <x:v>1</x:v>
      </x:c>
      <x:c r="F1695" s="21" t="n">
        <x:v>1</x:v>
      </x:c>
      <x:c r="G1695" s="23" t="str">
        <x:f>IF(E1695=F1695,"PASS","FAIL")</x:f>
        <x:v>PASS</x:v>
      </x:c>
    </x:row>
    <x:row r="1696">
      <x:c r="B1696" s="21" t="str">
        <x:v>A1690</x:v>
      </x:c>
      <x:c r="C1696" s="21" t="str">
        <x:v>merit</x:v>
      </x:c>
      <x:c r="D1696" s="21" t="str">
        <x:v>merit 36 score bounded</x:v>
      </x:c>
      <x:c r="E1696" s="21" t="n">
        <x:f>IF(AND('Merit Review'!H36&gt;=0,'Merit Review'!H36&lt;=100),1,0)</x:f>
        <x:v>1</x:v>
      </x:c>
      <x:c r="F1696" s="21" t="n">
        <x:v>1</x:v>
      </x:c>
      <x:c r="G1696" s="23" t="str">
        <x:f>IF(E1696=F1696,"PASS","FAIL")</x:f>
        <x:v>PASS</x:v>
      </x:c>
    </x:row>
    <x:row r="1697">
      <x:c r="B1697" s="21" t="str">
        <x:v>A1691</x:v>
      </x:c>
      <x:c r="C1697" s="21" t="str">
        <x:v>merit</x:v>
      </x:c>
      <x:c r="D1697" s="21" t="str">
        <x:v>merit 36 weighted formula</x:v>
      </x:c>
      <x:c r="E1697" s="21" t="n">
        <x:f>IF(ABS('Merit Review'!I36-'Merit Review'!G36*'Merit Review'!H36)&lt;0.000001,1,0)</x:f>
        <x:v>1</x:v>
      </x:c>
      <x:c r="F1697" s="21" t="n">
        <x:v>1</x:v>
      </x:c>
      <x:c r="G1697" s="23" t="str">
        <x:f>IF(E1697=F1697,"PASS","FAIL")</x:f>
        <x:v>PASS</x:v>
      </x:c>
    </x:row>
    <x:row r="1698">
      <x:c r="B1698" s="21" t="str">
        <x:v>A1692</x:v>
      </x:c>
      <x:c r="C1698" s="21" t="str">
        <x:v>merit</x:v>
      </x:c>
      <x:c r="D1698" s="21" t="str">
        <x:v>merit 37 weight positive</x:v>
      </x:c>
      <x:c r="E1698" s="21" t="n">
        <x:f>IF('Merit Review'!G37&gt;0,1,0)</x:f>
        <x:v>1</x:v>
      </x:c>
      <x:c r="F1698" s="21" t="n">
        <x:v>1</x:v>
      </x:c>
      <x:c r="G1698" s="23" t="str">
        <x:f>IF(E1698=F1698,"PASS","FAIL")</x:f>
        <x:v>PASS</x:v>
      </x:c>
    </x:row>
    <x:row r="1699">
      <x:c r="B1699" s="21" t="str">
        <x:v>A1693</x:v>
      </x:c>
      <x:c r="C1699" s="21" t="str">
        <x:v>merit</x:v>
      </x:c>
      <x:c r="D1699" s="21" t="str">
        <x:v>merit 37 score bounded</x:v>
      </x:c>
      <x:c r="E1699" s="21" t="n">
        <x:f>IF(AND('Merit Review'!H37&gt;=0,'Merit Review'!H37&lt;=100),1,0)</x:f>
        <x:v>1</x:v>
      </x:c>
      <x:c r="F1699" s="21" t="n">
        <x:v>1</x:v>
      </x:c>
      <x:c r="G1699" s="23" t="str">
        <x:f>IF(E1699=F1699,"PASS","FAIL")</x:f>
        <x:v>PASS</x:v>
      </x:c>
    </x:row>
    <x:row r="1700">
      <x:c r="B1700" s="21" t="str">
        <x:v>A1694</x:v>
      </x:c>
      <x:c r="C1700" s="21" t="str">
        <x:v>merit</x:v>
      </x:c>
      <x:c r="D1700" s="21" t="str">
        <x:v>merit 37 weighted formula</x:v>
      </x:c>
      <x:c r="E1700" s="21" t="n">
        <x:f>IF(ABS('Merit Review'!I37-'Merit Review'!G37*'Merit Review'!H37)&lt;0.000001,1,0)</x:f>
        <x:v>1</x:v>
      </x:c>
      <x:c r="F1700" s="21" t="n">
        <x:v>1</x:v>
      </x:c>
      <x:c r="G1700" s="23" t="str">
        <x:f>IF(E1700=F1700,"PASS","FAIL")</x:f>
        <x:v>PASS</x:v>
      </x:c>
    </x:row>
    <x:row r="1701">
      <x:c r="B1701" s="21" t="str">
        <x:v>A1695</x:v>
      </x:c>
      <x:c r="C1701" s="21" t="str">
        <x:v>merit</x:v>
      </x:c>
      <x:c r="D1701" s="21" t="str">
        <x:v>merit 38 weight positive</x:v>
      </x:c>
      <x:c r="E1701" s="21" t="n">
        <x:f>IF('Merit Review'!G38&gt;0,1,0)</x:f>
        <x:v>1</x:v>
      </x:c>
      <x:c r="F1701" s="21" t="n">
        <x:v>1</x:v>
      </x:c>
      <x:c r="G1701" s="23" t="str">
        <x:f>IF(E1701=F1701,"PASS","FAIL")</x:f>
        <x:v>PASS</x:v>
      </x:c>
    </x:row>
    <x:row r="1702">
      <x:c r="B1702" s="21" t="str">
        <x:v>A1696</x:v>
      </x:c>
      <x:c r="C1702" s="21" t="str">
        <x:v>merit</x:v>
      </x:c>
      <x:c r="D1702" s="21" t="str">
        <x:v>merit 38 score bounded</x:v>
      </x:c>
      <x:c r="E1702" s="21" t="n">
        <x:f>IF(AND('Merit Review'!H38&gt;=0,'Merit Review'!H38&lt;=100),1,0)</x:f>
        <x:v>1</x:v>
      </x:c>
      <x:c r="F1702" s="21" t="n">
        <x:v>1</x:v>
      </x:c>
      <x:c r="G1702" s="23" t="str">
        <x:f>IF(E1702=F1702,"PASS","FAIL")</x:f>
        <x:v>PASS</x:v>
      </x:c>
    </x:row>
    <x:row r="1703">
      <x:c r="B1703" s="21" t="str">
        <x:v>A1697</x:v>
      </x:c>
      <x:c r="C1703" s="21" t="str">
        <x:v>merit</x:v>
      </x:c>
      <x:c r="D1703" s="21" t="str">
        <x:v>merit 38 weighted formula</x:v>
      </x:c>
      <x:c r="E1703" s="21" t="n">
        <x:f>IF(ABS('Merit Review'!I38-'Merit Review'!G38*'Merit Review'!H38)&lt;0.000001,1,0)</x:f>
        <x:v>1</x:v>
      </x:c>
      <x:c r="F1703" s="21" t="n">
        <x:v>1</x:v>
      </x:c>
      <x:c r="G1703" s="23" t="str">
        <x:f>IF(E1703=F1703,"PASS","FAIL")</x:f>
        <x:v>PASS</x:v>
      </x:c>
    </x:row>
    <x:row r="1704">
      <x:c r="B1704" s="21" t="str">
        <x:v>A1698</x:v>
      </x:c>
      <x:c r="C1704" s="21" t="str">
        <x:v>merit</x:v>
      </x:c>
      <x:c r="D1704" s="21" t="str">
        <x:v>merit 39 weight positive</x:v>
      </x:c>
      <x:c r="E1704" s="21" t="n">
        <x:f>IF('Merit Review'!G39&gt;0,1,0)</x:f>
        <x:v>1</x:v>
      </x:c>
      <x:c r="F1704" s="21" t="n">
        <x:v>1</x:v>
      </x:c>
      <x:c r="G1704" s="23" t="str">
        <x:f>IF(E1704=F1704,"PASS","FAIL")</x:f>
        <x:v>PASS</x:v>
      </x:c>
    </x:row>
    <x:row r="1705">
      <x:c r="B1705" s="21" t="str">
        <x:v>A1699</x:v>
      </x:c>
      <x:c r="C1705" s="21" t="str">
        <x:v>merit</x:v>
      </x:c>
      <x:c r="D1705" s="21" t="str">
        <x:v>merit 39 score bounded</x:v>
      </x:c>
      <x:c r="E1705" s="21" t="n">
        <x:f>IF(AND('Merit Review'!H39&gt;=0,'Merit Review'!H39&lt;=100),1,0)</x:f>
        <x:v>1</x:v>
      </x:c>
      <x:c r="F1705" s="21" t="n">
        <x:v>1</x:v>
      </x:c>
      <x:c r="G1705" s="23" t="str">
        <x:f>IF(E1705=F1705,"PASS","FAIL")</x:f>
        <x:v>PASS</x:v>
      </x:c>
    </x:row>
    <x:row r="1706">
      <x:c r="B1706" s="21" t="str">
        <x:v>A1700</x:v>
      </x:c>
      <x:c r="C1706" s="21" t="str">
        <x:v>merit</x:v>
      </x:c>
      <x:c r="D1706" s="21" t="str">
        <x:v>merit 39 weighted formula</x:v>
      </x:c>
      <x:c r="E1706" s="21" t="n">
        <x:f>IF(ABS('Merit Review'!I39-'Merit Review'!G39*'Merit Review'!H39)&lt;0.000001,1,0)</x:f>
        <x:v>1</x:v>
      </x:c>
      <x:c r="F1706" s="21" t="n">
        <x:v>1</x:v>
      </x:c>
      <x:c r="G1706" s="23" t="str">
        <x:f>IF(E1706=F1706,"PASS","FAIL")</x:f>
        <x:v>PASS</x:v>
      </x:c>
    </x:row>
    <x:row r="1707">
      <x:c r="B1707" s="21" t="str">
        <x:v>A1701</x:v>
      </x:c>
      <x:c r="C1707" s="21" t="str">
        <x:v>merit</x:v>
      </x:c>
      <x:c r="D1707" s="21" t="str">
        <x:v>merit 40 weight positive</x:v>
      </x:c>
      <x:c r="E1707" s="21" t="n">
        <x:f>IF('Merit Review'!G40&gt;0,1,0)</x:f>
        <x:v>1</x:v>
      </x:c>
      <x:c r="F1707" s="21" t="n">
        <x:v>1</x:v>
      </x:c>
      <x:c r="G1707" s="23" t="str">
        <x:f>IF(E1707=F1707,"PASS","FAIL")</x:f>
        <x:v>PASS</x:v>
      </x:c>
    </x:row>
    <x:row r="1708">
      <x:c r="B1708" s="21" t="str">
        <x:v>A1702</x:v>
      </x:c>
      <x:c r="C1708" s="21" t="str">
        <x:v>merit</x:v>
      </x:c>
      <x:c r="D1708" s="21" t="str">
        <x:v>merit 40 score bounded</x:v>
      </x:c>
      <x:c r="E1708" s="21" t="n">
        <x:f>IF(AND('Merit Review'!H40&gt;=0,'Merit Review'!H40&lt;=100),1,0)</x:f>
        <x:v>1</x:v>
      </x:c>
      <x:c r="F1708" s="21" t="n">
        <x:v>1</x:v>
      </x:c>
      <x:c r="G1708" s="23" t="str">
        <x:f>IF(E1708=F1708,"PASS","FAIL")</x:f>
        <x:v>PASS</x:v>
      </x:c>
    </x:row>
    <x:row r="1709">
      <x:c r="B1709" s="21" t="str">
        <x:v>A1703</x:v>
      </x:c>
      <x:c r="C1709" s="21" t="str">
        <x:v>merit</x:v>
      </x:c>
      <x:c r="D1709" s="21" t="str">
        <x:v>merit 40 weighted formula</x:v>
      </x:c>
      <x:c r="E1709" s="21" t="n">
        <x:f>IF(ABS('Merit Review'!I40-'Merit Review'!G40*'Merit Review'!H40)&lt;0.000001,1,0)</x:f>
        <x:v>1</x:v>
      </x:c>
      <x:c r="F1709" s="21" t="n">
        <x:v>1</x:v>
      </x:c>
      <x:c r="G1709" s="23" t="str">
        <x:f>IF(E1709=F1709,"PASS","FAIL")</x:f>
        <x:v>PASS</x:v>
      </x:c>
    </x:row>
    <x:row r="1710">
      <x:c r="B1710" s="21" t="str">
        <x:v>A1704</x:v>
      </x:c>
      <x:c r="C1710" s="21" t="str">
        <x:v>merit</x:v>
      </x:c>
      <x:c r="D1710" s="21" t="str">
        <x:v>merit 41 weight positive</x:v>
      </x:c>
      <x:c r="E1710" s="21" t="n">
        <x:f>IF('Merit Review'!G41&gt;0,1,0)</x:f>
        <x:v>1</x:v>
      </x:c>
      <x:c r="F1710" s="21" t="n">
        <x:v>1</x:v>
      </x:c>
      <x:c r="G1710" s="23" t="str">
        <x:f>IF(E1710=F1710,"PASS","FAIL")</x:f>
        <x:v>PASS</x:v>
      </x:c>
    </x:row>
    <x:row r="1711">
      <x:c r="B1711" s="21" t="str">
        <x:v>A1705</x:v>
      </x:c>
      <x:c r="C1711" s="21" t="str">
        <x:v>merit</x:v>
      </x:c>
      <x:c r="D1711" s="21" t="str">
        <x:v>merit 41 score bounded</x:v>
      </x:c>
      <x:c r="E1711" s="21" t="n">
        <x:f>IF(AND('Merit Review'!H41&gt;=0,'Merit Review'!H41&lt;=100),1,0)</x:f>
        <x:v>1</x:v>
      </x:c>
      <x:c r="F1711" s="21" t="n">
        <x:v>1</x:v>
      </x:c>
      <x:c r="G1711" s="23" t="str">
        <x:f>IF(E1711=F1711,"PASS","FAIL")</x:f>
        <x:v>PASS</x:v>
      </x:c>
    </x:row>
    <x:row r="1712">
      <x:c r="B1712" s="21" t="str">
        <x:v>A1706</x:v>
      </x:c>
      <x:c r="C1712" s="21" t="str">
        <x:v>merit</x:v>
      </x:c>
      <x:c r="D1712" s="21" t="str">
        <x:v>merit 41 weighted formula</x:v>
      </x:c>
      <x:c r="E1712" s="21" t="n">
        <x:f>IF(ABS('Merit Review'!I41-'Merit Review'!G41*'Merit Review'!H41)&lt;0.000001,1,0)</x:f>
        <x:v>1</x:v>
      </x:c>
      <x:c r="F1712" s="21" t="n">
        <x:v>1</x:v>
      </x:c>
      <x:c r="G1712" s="23" t="str">
        <x:f>IF(E1712=F1712,"PASS","FAIL")</x:f>
        <x:v>PASS</x:v>
      </x:c>
    </x:row>
    <x:row r="1713">
      <x:c r="B1713" s="21" t="str">
        <x:v>A1707</x:v>
      </x:c>
      <x:c r="C1713" s="21" t="str">
        <x:v>merit</x:v>
      </x:c>
      <x:c r="D1713" s="21" t="str">
        <x:v>merit 42 weight positive</x:v>
      </x:c>
      <x:c r="E1713" s="21" t="n">
        <x:f>IF('Merit Review'!G42&gt;0,1,0)</x:f>
        <x:v>1</x:v>
      </x:c>
      <x:c r="F1713" s="21" t="n">
        <x:v>1</x:v>
      </x:c>
      <x:c r="G1713" s="23" t="str">
        <x:f>IF(E1713=F1713,"PASS","FAIL")</x:f>
        <x:v>PASS</x:v>
      </x:c>
    </x:row>
    <x:row r="1714">
      <x:c r="B1714" s="21" t="str">
        <x:v>A1708</x:v>
      </x:c>
      <x:c r="C1714" s="21" t="str">
        <x:v>merit</x:v>
      </x:c>
      <x:c r="D1714" s="21" t="str">
        <x:v>merit 42 score bounded</x:v>
      </x:c>
      <x:c r="E1714" s="21" t="n">
        <x:f>IF(AND('Merit Review'!H42&gt;=0,'Merit Review'!H42&lt;=100),1,0)</x:f>
        <x:v>1</x:v>
      </x:c>
      <x:c r="F1714" s="21" t="n">
        <x:v>1</x:v>
      </x:c>
      <x:c r="G1714" s="23" t="str">
        <x:f>IF(E1714=F1714,"PASS","FAIL")</x:f>
        <x:v>PASS</x:v>
      </x:c>
    </x:row>
    <x:row r="1715">
      <x:c r="B1715" s="21" t="str">
        <x:v>A1709</x:v>
      </x:c>
      <x:c r="C1715" s="21" t="str">
        <x:v>merit</x:v>
      </x:c>
      <x:c r="D1715" s="21" t="str">
        <x:v>merit 42 weighted formula</x:v>
      </x:c>
      <x:c r="E1715" s="21" t="n">
        <x:f>IF(ABS('Merit Review'!I42-'Merit Review'!G42*'Merit Review'!H42)&lt;0.000001,1,0)</x:f>
        <x:v>1</x:v>
      </x:c>
      <x:c r="F1715" s="21" t="n">
        <x:v>1</x:v>
      </x:c>
      <x:c r="G1715" s="23" t="str">
        <x:f>IF(E1715=F1715,"PASS","FAIL")</x:f>
        <x:v>PASS</x:v>
      </x:c>
    </x:row>
    <x:row r="1716">
      <x:c r="B1716" s="21" t="str">
        <x:v>A1710</x:v>
      </x:c>
      <x:c r="C1716" s="21" t="str">
        <x:v>merit</x:v>
      </x:c>
      <x:c r="D1716" s="21" t="str">
        <x:v>merit 43 weight positive</x:v>
      </x:c>
      <x:c r="E1716" s="21" t="n">
        <x:f>IF('Merit Review'!G43&gt;0,1,0)</x:f>
        <x:v>1</x:v>
      </x:c>
      <x:c r="F1716" s="21" t="n">
        <x:v>1</x:v>
      </x:c>
      <x:c r="G1716" s="23" t="str">
        <x:f>IF(E1716=F1716,"PASS","FAIL")</x:f>
        <x:v>PASS</x:v>
      </x:c>
    </x:row>
    <x:row r="1717">
      <x:c r="B1717" s="21" t="str">
        <x:v>A1711</x:v>
      </x:c>
      <x:c r="C1717" s="21" t="str">
        <x:v>merit</x:v>
      </x:c>
      <x:c r="D1717" s="21" t="str">
        <x:v>merit 43 score bounded</x:v>
      </x:c>
      <x:c r="E1717" s="21" t="n">
        <x:f>IF(AND('Merit Review'!H43&gt;=0,'Merit Review'!H43&lt;=100),1,0)</x:f>
        <x:v>1</x:v>
      </x:c>
      <x:c r="F1717" s="21" t="n">
        <x:v>1</x:v>
      </x:c>
      <x:c r="G1717" s="23" t="str">
        <x:f>IF(E1717=F1717,"PASS","FAIL")</x:f>
        <x:v>PASS</x:v>
      </x:c>
    </x:row>
    <x:row r="1718">
      <x:c r="B1718" s="21" t="str">
        <x:v>A1712</x:v>
      </x:c>
      <x:c r="C1718" s="21" t="str">
        <x:v>merit</x:v>
      </x:c>
      <x:c r="D1718" s="21" t="str">
        <x:v>merit 43 weighted formula</x:v>
      </x:c>
      <x:c r="E1718" s="21" t="n">
        <x:f>IF(ABS('Merit Review'!I43-'Merit Review'!G43*'Merit Review'!H43)&lt;0.000001,1,0)</x:f>
        <x:v>1</x:v>
      </x:c>
      <x:c r="F1718" s="21" t="n">
        <x:v>1</x:v>
      </x:c>
      <x:c r="G1718" s="23" t="str">
        <x:f>IF(E1718=F1718,"PASS","FAIL")</x:f>
        <x:v>PASS</x:v>
      </x:c>
    </x:row>
    <x:row r="1719">
      <x:c r="B1719" s="21" t="str">
        <x:v>A1713</x:v>
      </x:c>
      <x:c r="C1719" s="21" t="str">
        <x:v>merit</x:v>
      </x:c>
      <x:c r="D1719" s="21" t="str">
        <x:v>merit 44 weight positive</x:v>
      </x:c>
      <x:c r="E1719" s="21" t="n">
        <x:f>IF('Merit Review'!G44&gt;0,1,0)</x:f>
        <x:v>1</x:v>
      </x:c>
      <x:c r="F1719" s="21" t="n">
        <x:v>1</x:v>
      </x:c>
      <x:c r="G1719" s="23" t="str">
        <x:f>IF(E1719=F1719,"PASS","FAIL")</x:f>
        <x:v>PASS</x:v>
      </x:c>
    </x:row>
    <x:row r="1720">
      <x:c r="B1720" s="21" t="str">
        <x:v>A1714</x:v>
      </x:c>
      <x:c r="C1720" s="21" t="str">
        <x:v>merit</x:v>
      </x:c>
      <x:c r="D1720" s="21" t="str">
        <x:v>merit 44 score bounded</x:v>
      </x:c>
      <x:c r="E1720" s="21" t="n">
        <x:f>IF(AND('Merit Review'!H44&gt;=0,'Merit Review'!H44&lt;=100),1,0)</x:f>
        <x:v>1</x:v>
      </x:c>
      <x:c r="F1720" s="21" t="n">
        <x:v>1</x:v>
      </x:c>
      <x:c r="G1720" s="23" t="str">
        <x:f>IF(E1720=F1720,"PASS","FAIL")</x:f>
        <x:v>PASS</x:v>
      </x:c>
    </x:row>
    <x:row r="1721">
      <x:c r="B1721" s="21" t="str">
        <x:v>A1715</x:v>
      </x:c>
      <x:c r="C1721" s="21" t="str">
        <x:v>merit</x:v>
      </x:c>
      <x:c r="D1721" s="21" t="str">
        <x:v>merit 44 weighted formula</x:v>
      </x:c>
      <x:c r="E1721" s="21" t="n">
        <x:f>IF(ABS('Merit Review'!I44-'Merit Review'!G44*'Merit Review'!H44)&lt;0.000001,1,0)</x:f>
        <x:v>1</x:v>
      </x:c>
      <x:c r="F1721" s="21" t="n">
        <x:v>1</x:v>
      </x:c>
      <x:c r="G1721" s="23" t="str">
        <x:f>IF(E1721=F1721,"PASS","FAIL")</x:f>
        <x:v>PASS</x:v>
      </x:c>
    </x:row>
    <x:row r="1722">
      <x:c r="B1722" s="21" t="str">
        <x:v>A1716</x:v>
      </x:c>
      <x:c r="C1722" s="21" t="str">
        <x:v>merit</x:v>
      </x:c>
      <x:c r="D1722" s="21" t="str">
        <x:v>merit 45 weight positive</x:v>
      </x:c>
      <x:c r="E1722" s="21" t="n">
        <x:f>IF('Merit Review'!G45&gt;0,1,0)</x:f>
        <x:v>1</x:v>
      </x:c>
      <x:c r="F1722" s="21" t="n">
        <x:v>1</x:v>
      </x:c>
      <x:c r="G1722" s="23" t="str">
        <x:f>IF(E1722=F1722,"PASS","FAIL")</x:f>
        <x:v>PASS</x:v>
      </x:c>
    </x:row>
    <x:row r="1723">
      <x:c r="B1723" s="21" t="str">
        <x:v>A1717</x:v>
      </x:c>
      <x:c r="C1723" s="21" t="str">
        <x:v>merit</x:v>
      </x:c>
      <x:c r="D1723" s="21" t="str">
        <x:v>merit 45 score bounded</x:v>
      </x:c>
      <x:c r="E1723" s="21" t="n">
        <x:f>IF(AND('Merit Review'!H45&gt;=0,'Merit Review'!H45&lt;=100),1,0)</x:f>
        <x:v>1</x:v>
      </x:c>
      <x:c r="F1723" s="21" t="n">
        <x:v>1</x:v>
      </x:c>
      <x:c r="G1723" s="23" t="str">
        <x:f>IF(E1723=F1723,"PASS","FAIL")</x:f>
        <x:v>PASS</x:v>
      </x:c>
    </x:row>
    <x:row r="1724">
      <x:c r="B1724" s="21" t="str">
        <x:v>A1718</x:v>
      </x:c>
      <x:c r="C1724" s="21" t="str">
        <x:v>merit</x:v>
      </x:c>
      <x:c r="D1724" s="21" t="str">
        <x:v>merit 45 weighted formula</x:v>
      </x:c>
      <x:c r="E1724" s="21" t="n">
        <x:f>IF(ABS('Merit Review'!I45-'Merit Review'!G45*'Merit Review'!H45)&lt;0.000001,1,0)</x:f>
        <x:v>1</x:v>
      </x:c>
      <x:c r="F1724" s="21" t="n">
        <x:v>1</x:v>
      </x:c>
      <x:c r="G1724" s="23" t="str">
        <x:f>IF(E1724=F1724,"PASS","FAIL")</x:f>
        <x:v>PASS</x:v>
      </x:c>
    </x:row>
    <x:row r="1725">
      <x:c r="B1725" s="21" t="str">
        <x:v>A1719</x:v>
      </x:c>
      <x:c r="C1725" s="21" t="str">
        <x:v>merit</x:v>
      </x:c>
      <x:c r="D1725" s="21" t="str">
        <x:v>merit 46 weight positive</x:v>
      </x:c>
      <x:c r="E1725" s="21" t="n">
        <x:f>IF('Merit Review'!G46&gt;0,1,0)</x:f>
        <x:v>1</x:v>
      </x:c>
      <x:c r="F1725" s="21" t="n">
        <x:v>1</x:v>
      </x:c>
      <x:c r="G1725" s="23" t="str">
        <x:f>IF(E1725=F1725,"PASS","FAIL")</x:f>
        <x:v>PASS</x:v>
      </x:c>
    </x:row>
    <x:row r="1726">
      <x:c r="B1726" s="21" t="str">
        <x:v>A1720</x:v>
      </x:c>
      <x:c r="C1726" s="21" t="str">
        <x:v>merit</x:v>
      </x:c>
      <x:c r="D1726" s="21" t="str">
        <x:v>merit 46 score bounded</x:v>
      </x:c>
      <x:c r="E1726" s="21" t="n">
        <x:f>IF(AND('Merit Review'!H46&gt;=0,'Merit Review'!H46&lt;=100),1,0)</x:f>
        <x:v>1</x:v>
      </x:c>
      <x:c r="F1726" s="21" t="n">
        <x:v>1</x:v>
      </x:c>
      <x:c r="G1726" s="23" t="str">
        <x:f>IF(E1726=F1726,"PASS","FAIL")</x:f>
        <x:v>PASS</x:v>
      </x:c>
    </x:row>
    <x:row r="1727">
      <x:c r="B1727" s="21" t="str">
        <x:v>A1721</x:v>
      </x:c>
      <x:c r="C1727" s="21" t="str">
        <x:v>merit</x:v>
      </x:c>
      <x:c r="D1727" s="21" t="str">
        <x:v>merit 46 weighted formula</x:v>
      </x:c>
      <x:c r="E1727" s="21" t="n">
        <x:f>IF(ABS('Merit Review'!I46-'Merit Review'!G46*'Merit Review'!H46)&lt;0.000001,1,0)</x:f>
        <x:v>1</x:v>
      </x:c>
      <x:c r="F1727" s="21" t="n">
        <x:v>1</x:v>
      </x:c>
      <x:c r="G1727" s="23" t="str">
        <x:f>IF(E1727=F1727,"PASS","FAIL")</x:f>
        <x:v>PASS</x:v>
      </x:c>
    </x:row>
    <x:row r="1728">
      <x:c r="B1728" s="21" t="str">
        <x:v>A1722</x:v>
      </x:c>
      <x:c r="C1728" s="21" t="str">
        <x:v>merit</x:v>
      </x:c>
      <x:c r="D1728" s="21" t="str">
        <x:v>merit 47 weight positive</x:v>
      </x:c>
      <x:c r="E1728" s="21" t="n">
        <x:f>IF('Merit Review'!G47&gt;0,1,0)</x:f>
        <x:v>1</x:v>
      </x:c>
      <x:c r="F1728" s="21" t="n">
        <x:v>1</x:v>
      </x:c>
      <x:c r="G1728" s="23" t="str">
        <x:f>IF(E1728=F1728,"PASS","FAIL")</x:f>
        <x:v>PASS</x:v>
      </x:c>
    </x:row>
    <x:row r="1729">
      <x:c r="B1729" s="21" t="str">
        <x:v>A1723</x:v>
      </x:c>
      <x:c r="C1729" s="21" t="str">
        <x:v>merit</x:v>
      </x:c>
      <x:c r="D1729" s="21" t="str">
        <x:v>merit 47 score bounded</x:v>
      </x:c>
      <x:c r="E1729" s="21" t="n">
        <x:f>IF(AND('Merit Review'!H47&gt;=0,'Merit Review'!H47&lt;=100),1,0)</x:f>
        <x:v>1</x:v>
      </x:c>
      <x:c r="F1729" s="21" t="n">
        <x:v>1</x:v>
      </x:c>
      <x:c r="G1729" s="23" t="str">
        <x:f>IF(E1729=F1729,"PASS","FAIL")</x:f>
        <x:v>PASS</x:v>
      </x:c>
    </x:row>
    <x:row r="1730">
      <x:c r="B1730" s="21" t="str">
        <x:v>A1724</x:v>
      </x:c>
      <x:c r="C1730" s="21" t="str">
        <x:v>merit</x:v>
      </x:c>
      <x:c r="D1730" s="21" t="str">
        <x:v>merit 47 weighted formula</x:v>
      </x:c>
      <x:c r="E1730" s="21" t="n">
        <x:f>IF(ABS('Merit Review'!I47-'Merit Review'!G47*'Merit Review'!H47)&lt;0.000001,1,0)</x:f>
        <x:v>1</x:v>
      </x:c>
      <x:c r="F1730" s="21" t="n">
        <x:v>1</x:v>
      </x:c>
      <x:c r="G1730" s="23" t="str">
        <x:f>IF(E1730=F1730,"PASS","FAIL")</x:f>
        <x:v>PASS</x:v>
      </x:c>
    </x:row>
    <x:row r="1731">
      <x:c r="B1731" s="21" t="str">
        <x:v>A1725</x:v>
      </x:c>
      <x:c r="C1731" s="21" t="str">
        <x:v>merit</x:v>
      </x:c>
      <x:c r="D1731" s="21" t="str">
        <x:v>merit 48 weight positive</x:v>
      </x:c>
      <x:c r="E1731" s="21" t="n">
        <x:f>IF('Merit Review'!G48&gt;0,1,0)</x:f>
        <x:v>1</x:v>
      </x:c>
      <x:c r="F1731" s="21" t="n">
        <x:v>1</x:v>
      </x:c>
      <x:c r="G1731" s="23" t="str">
        <x:f>IF(E1731=F1731,"PASS","FAIL")</x:f>
        <x:v>PASS</x:v>
      </x:c>
    </x:row>
    <x:row r="1732">
      <x:c r="B1732" s="21" t="str">
        <x:v>A1726</x:v>
      </x:c>
      <x:c r="C1732" s="21" t="str">
        <x:v>merit</x:v>
      </x:c>
      <x:c r="D1732" s="21" t="str">
        <x:v>merit 48 score bounded</x:v>
      </x:c>
      <x:c r="E1732" s="21" t="n">
        <x:f>IF(AND('Merit Review'!H48&gt;=0,'Merit Review'!H48&lt;=100),1,0)</x:f>
        <x:v>1</x:v>
      </x:c>
      <x:c r="F1732" s="21" t="n">
        <x:v>1</x:v>
      </x:c>
      <x:c r="G1732" s="23" t="str">
        <x:f>IF(E1732=F1732,"PASS","FAIL")</x:f>
        <x:v>PASS</x:v>
      </x:c>
    </x:row>
    <x:row r="1733">
      <x:c r="B1733" s="21" t="str">
        <x:v>A1727</x:v>
      </x:c>
      <x:c r="C1733" s="21" t="str">
        <x:v>merit</x:v>
      </x:c>
      <x:c r="D1733" s="21" t="str">
        <x:v>merit 48 weighted formula</x:v>
      </x:c>
      <x:c r="E1733" s="21" t="n">
        <x:f>IF(ABS('Merit Review'!I48-'Merit Review'!G48*'Merit Review'!H48)&lt;0.000001,1,0)</x:f>
        <x:v>1</x:v>
      </x:c>
      <x:c r="F1733" s="21" t="n">
        <x:v>1</x:v>
      </x:c>
      <x:c r="G1733" s="23" t="str">
        <x:f>IF(E1733=F1733,"PASS","FAIL")</x:f>
        <x:v>PASS</x:v>
      </x:c>
    </x:row>
    <x:row r="1734">
      <x:c r="B1734" s="21" t="str">
        <x:v>A1728</x:v>
      </x:c>
      <x:c r="C1734" s="21" t="str">
        <x:v>merit</x:v>
      </x:c>
      <x:c r="D1734" s="21" t="str">
        <x:v>merit 49 weight positive</x:v>
      </x:c>
      <x:c r="E1734" s="21" t="n">
        <x:f>IF('Merit Review'!G49&gt;0,1,0)</x:f>
        <x:v>1</x:v>
      </x:c>
      <x:c r="F1734" s="21" t="n">
        <x:v>1</x:v>
      </x:c>
      <x:c r="G1734" s="23" t="str">
        <x:f>IF(E1734=F1734,"PASS","FAIL")</x:f>
        <x:v>PASS</x:v>
      </x:c>
    </x:row>
    <x:row r="1735">
      <x:c r="B1735" s="21" t="str">
        <x:v>A1729</x:v>
      </x:c>
      <x:c r="C1735" s="21" t="str">
        <x:v>merit</x:v>
      </x:c>
      <x:c r="D1735" s="21" t="str">
        <x:v>merit 49 score bounded</x:v>
      </x:c>
      <x:c r="E1735" s="21" t="n">
        <x:f>IF(AND('Merit Review'!H49&gt;=0,'Merit Review'!H49&lt;=100),1,0)</x:f>
        <x:v>1</x:v>
      </x:c>
      <x:c r="F1735" s="21" t="n">
        <x:v>1</x:v>
      </x:c>
      <x:c r="G1735" s="23" t="str">
        <x:f>IF(E1735=F1735,"PASS","FAIL")</x:f>
        <x:v>PASS</x:v>
      </x:c>
    </x:row>
    <x:row r="1736">
      <x:c r="B1736" s="21" t="str">
        <x:v>A1730</x:v>
      </x:c>
      <x:c r="C1736" s="21" t="str">
        <x:v>merit</x:v>
      </x:c>
      <x:c r="D1736" s="21" t="str">
        <x:v>merit 49 weighted formula</x:v>
      </x:c>
      <x:c r="E1736" s="21" t="n">
        <x:f>IF(ABS('Merit Review'!I49-'Merit Review'!G49*'Merit Review'!H49)&lt;0.000001,1,0)</x:f>
        <x:v>1</x:v>
      </x:c>
      <x:c r="F1736" s="21" t="n">
        <x:v>1</x:v>
      </x:c>
      <x:c r="G1736" s="23" t="str">
        <x:f>IF(E1736=F1736,"PASS","FAIL")</x:f>
        <x:v>PASS</x:v>
      </x:c>
    </x:row>
    <x:row r="1737">
      <x:c r="B1737" s="21" t="str">
        <x:v>A1731</x:v>
      </x:c>
      <x:c r="C1737" s="21" t="str">
        <x:v>merit</x:v>
      </x:c>
      <x:c r="D1737" s="21" t="str">
        <x:v>merit 50 weight positive</x:v>
      </x:c>
      <x:c r="E1737" s="21" t="n">
        <x:f>IF('Merit Review'!G50&gt;0,1,0)</x:f>
        <x:v>1</x:v>
      </x:c>
      <x:c r="F1737" s="21" t="n">
        <x:v>1</x:v>
      </x:c>
      <x:c r="G1737" s="23" t="str">
        <x:f>IF(E1737=F1737,"PASS","FAIL")</x:f>
        <x:v>PASS</x:v>
      </x:c>
    </x:row>
    <x:row r="1738">
      <x:c r="B1738" s="21" t="str">
        <x:v>A1732</x:v>
      </x:c>
      <x:c r="C1738" s="21" t="str">
        <x:v>merit</x:v>
      </x:c>
      <x:c r="D1738" s="21" t="str">
        <x:v>merit 50 score bounded</x:v>
      </x:c>
      <x:c r="E1738" s="21" t="n">
        <x:f>IF(AND('Merit Review'!H50&gt;=0,'Merit Review'!H50&lt;=100),1,0)</x:f>
        <x:v>1</x:v>
      </x:c>
      <x:c r="F1738" s="21" t="n">
        <x:v>1</x:v>
      </x:c>
      <x:c r="G1738" s="23" t="str">
        <x:f>IF(E1738=F1738,"PASS","FAIL")</x:f>
        <x:v>PASS</x:v>
      </x:c>
    </x:row>
    <x:row r="1739">
      <x:c r="B1739" s="21" t="str">
        <x:v>A1733</x:v>
      </x:c>
      <x:c r="C1739" s="21" t="str">
        <x:v>merit</x:v>
      </x:c>
      <x:c r="D1739" s="21" t="str">
        <x:v>merit 50 weighted formula</x:v>
      </x:c>
      <x:c r="E1739" s="21" t="n">
        <x:f>IF(ABS('Merit Review'!I50-'Merit Review'!G50*'Merit Review'!H50)&lt;0.000001,1,0)</x:f>
        <x:v>1</x:v>
      </x:c>
      <x:c r="F1739" s="21" t="n">
        <x:v>1</x:v>
      </x:c>
      <x:c r="G1739" s="23" t="str">
        <x:f>IF(E1739=F1739,"PASS","FAIL")</x:f>
        <x:v>PASS</x:v>
      </x:c>
    </x:row>
    <x:row r="1740">
      <x:c r="B1740" s="21" t="str">
        <x:v>A1734</x:v>
      </x:c>
      <x:c r="C1740" s="21" t="str">
        <x:v>merit</x:v>
      </x:c>
      <x:c r="D1740" s="21" t="str">
        <x:v>merit 51 weight positive</x:v>
      </x:c>
      <x:c r="E1740" s="21" t="n">
        <x:f>IF('Merit Review'!G51&gt;0,1,0)</x:f>
        <x:v>1</x:v>
      </x:c>
      <x:c r="F1740" s="21" t="n">
        <x:v>1</x:v>
      </x:c>
      <x:c r="G1740" s="23" t="str">
        <x:f>IF(E1740=F1740,"PASS","FAIL")</x:f>
        <x:v>PASS</x:v>
      </x:c>
    </x:row>
    <x:row r="1741">
      <x:c r="B1741" s="21" t="str">
        <x:v>A1735</x:v>
      </x:c>
      <x:c r="C1741" s="21" t="str">
        <x:v>merit</x:v>
      </x:c>
      <x:c r="D1741" s="21" t="str">
        <x:v>merit 51 score bounded</x:v>
      </x:c>
      <x:c r="E1741" s="21" t="n">
        <x:f>IF(AND('Merit Review'!H51&gt;=0,'Merit Review'!H51&lt;=100),1,0)</x:f>
        <x:v>1</x:v>
      </x:c>
      <x:c r="F1741" s="21" t="n">
        <x:v>1</x:v>
      </x:c>
      <x:c r="G1741" s="23" t="str">
        <x:f>IF(E1741=F1741,"PASS","FAIL")</x:f>
        <x:v>PASS</x:v>
      </x:c>
    </x:row>
    <x:row r="1742">
      <x:c r="B1742" s="21" t="str">
        <x:v>A1736</x:v>
      </x:c>
      <x:c r="C1742" s="21" t="str">
        <x:v>merit</x:v>
      </x:c>
      <x:c r="D1742" s="21" t="str">
        <x:v>merit 51 weighted formula</x:v>
      </x:c>
      <x:c r="E1742" s="21" t="n">
        <x:f>IF(ABS('Merit Review'!I51-'Merit Review'!G51*'Merit Review'!H51)&lt;0.000001,1,0)</x:f>
        <x:v>1</x:v>
      </x:c>
      <x:c r="F1742" s="21" t="n">
        <x:v>1</x:v>
      </x:c>
      <x:c r="G1742" s="23" t="str">
        <x:f>IF(E1742=F1742,"PASS","FAIL")</x:f>
        <x:v>PASS</x:v>
      </x:c>
    </x:row>
    <x:row r="1743">
      <x:c r="B1743" s="21" t="str">
        <x:v>A1737</x:v>
      </x:c>
      <x:c r="C1743" s="21" t="str">
        <x:v>merit</x:v>
      </x:c>
      <x:c r="D1743" s="21" t="str">
        <x:v>merit 52 weight positive</x:v>
      </x:c>
      <x:c r="E1743" s="21" t="n">
        <x:f>IF('Merit Review'!G52&gt;0,1,0)</x:f>
        <x:v>1</x:v>
      </x:c>
      <x:c r="F1743" s="21" t="n">
        <x:v>1</x:v>
      </x:c>
      <x:c r="G1743" s="23" t="str">
        <x:f>IF(E1743=F1743,"PASS","FAIL")</x:f>
        <x:v>PASS</x:v>
      </x:c>
    </x:row>
    <x:row r="1744">
      <x:c r="B1744" s="21" t="str">
        <x:v>A1738</x:v>
      </x:c>
      <x:c r="C1744" s="21" t="str">
        <x:v>merit</x:v>
      </x:c>
      <x:c r="D1744" s="21" t="str">
        <x:v>merit 52 score bounded</x:v>
      </x:c>
      <x:c r="E1744" s="21" t="n">
        <x:f>IF(AND('Merit Review'!H52&gt;=0,'Merit Review'!H52&lt;=100),1,0)</x:f>
        <x:v>1</x:v>
      </x:c>
      <x:c r="F1744" s="21" t="n">
        <x:v>1</x:v>
      </x:c>
      <x:c r="G1744" s="23" t="str">
        <x:f>IF(E1744=F1744,"PASS","FAIL")</x:f>
        <x:v>PASS</x:v>
      </x:c>
    </x:row>
    <x:row r="1745">
      <x:c r="B1745" s="21" t="str">
        <x:v>A1739</x:v>
      </x:c>
      <x:c r="C1745" s="21" t="str">
        <x:v>merit</x:v>
      </x:c>
      <x:c r="D1745" s="21" t="str">
        <x:v>merit 52 weighted formula</x:v>
      </x:c>
      <x:c r="E1745" s="21" t="n">
        <x:f>IF(ABS('Merit Review'!I52-'Merit Review'!G52*'Merit Review'!H52)&lt;0.000001,1,0)</x:f>
        <x:v>1</x:v>
      </x:c>
      <x:c r="F1745" s="21" t="n">
        <x:v>1</x:v>
      </x:c>
      <x:c r="G1745" s="23" t="str">
        <x:f>IF(E1745=F1745,"PASS","FAIL")</x:f>
        <x:v>PASS</x:v>
      </x:c>
    </x:row>
    <x:row r="1746">
      <x:c r="B1746" s="21" t="str">
        <x:v>A1740</x:v>
      </x:c>
      <x:c r="C1746" s="21" t="str">
        <x:v>merit</x:v>
      </x:c>
      <x:c r="D1746" s="21" t="str">
        <x:v>merit 53 weight positive</x:v>
      </x:c>
      <x:c r="E1746" s="21" t="n">
        <x:f>IF('Merit Review'!G53&gt;0,1,0)</x:f>
        <x:v>1</x:v>
      </x:c>
      <x:c r="F1746" s="21" t="n">
        <x:v>1</x:v>
      </x:c>
      <x:c r="G1746" s="23" t="str">
        <x:f>IF(E1746=F1746,"PASS","FAIL")</x:f>
        <x:v>PASS</x:v>
      </x:c>
    </x:row>
    <x:row r="1747">
      <x:c r="B1747" s="21" t="str">
        <x:v>A1741</x:v>
      </x:c>
      <x:c r="C1747" s="21" t="str">
        <x:v>merit</x:v>
      </x:c>
      <x:c r="D1747" s="21" t="str">
        <x:v>merit 53 score bounded</x:v>
      </x:c>
      <x:c r="E1747" s="21" t="n">
        <x:f>IF(AND('Merit Review'!H53&gt;=0,'Merit Review'!H53&lt;=100),1,0)</x:f>
        <x:v>1</x:v>
      </x:c>
      <x:c r="F1747" s="21" t="n">
        <x:v>1</x:v>
      </x:c>
      <x:c r="G1747" s="23" t="str">
        <x:f>IF(E1747=F1747,"PASS","FAIL")</x:f>
        <x:v>PASS</x:v>
      </x:c>
    </x:row>
    <x:row r="1748">
      <x:c r="B1748" s="21" t="str">
        <x:v>A1742</x:v>
      </x:c>
      <x:c r="C1748" s="21" t="str">
        <x:v>merit</x:v>
      </x:c>
      <x:c r="D1748" s="21" t="str">
        <x:v>merit 53 weighted formula</x:v>
      </x:c>
      <x:c r="E1748" s="21" t="n">
        <x:f>IF(ABS('Merit Review'!I53-'Merit Review'!G53*'Merit Review'!H53)&lt;0.000001,1,0)</x:f>
        <x:v>1</x:v>
      </x:c>
      <x:c r="F1748" s="21" t="n">
        <x:v>1</x:v>
      </x:c>
      <x:c r="G1748" s="23" t="str">
        <x:f>IF(E1748=F1748,"PASS","FAIL")</x:f>
        <x:v>PASS</x:v>
      </x:c>
    </x:row>
    <x:row r="1749">
      <x:c r="B1749" s="21" t="str">
        <x:v>A1743</x:v>
      </x:c>
      <x:c r="C1749" s="21" t="str">
        <x:v>merit</x:v>
      </x:c>
      <x:c r="D1749" s="21" t="str">
        <x:v>merit 54 weight positive</x:v>
      </x:c>
      <x:c r="E1749" s="21" t="n">
        <x:f>IF('Merit Review'!G54&gt;0,1,0)</x:f>
        <x:v>1</x:v>
      </x:c>
      <x:c r="F1749" s="21" t="n">
        <x:v>1</x:v>
      </x:c>
      <x:c r="G1749" s="23" t="str">
        <x:f>IF(E1749=F1749,"PASS","FAIL")</x:f>
        <x:v>PASS</x:v>
      </x:c>
    </x:row>
    <x:row r="1750">
      <x:c r="B1750" s="21" t="str">
        <x:v>A1744</x:v>
      </x:c>
      <x:c r="C1750" s="21" t="str">
        <x:v>merit</x:v>
      </x:c>
      <x:c r="D1750" s="21" t="str">
        <x:v>merit 54 score bounded</x:v>
      </x:c>
      <x:c r="E1750" s="21" t="n">
        <x:f>IF(AND('Merit Review'!H54&gt;=0,'Merit Review'!H54&lt;=100),1,0)</x:f>
        <x:v>1</x:v>
      </x:c>
      <x:c r="F1750" s="21" t="n">
        <x:v>1</x:v>
      </x:c>
      <x:c r="G1750" s="23" t="str">
        <x:f>IF(E1750=F1750,"PASS","FAIL")</x:f>
        <x:v>PASS</x:v>
      </x:c>
    </x:row>
    <x:row r="1751">
      <x:c r="B1751" s="21" t="str">
        <x:v>A1745</x:v>
      </x:c>
      <x:c r="C1751" s="21" t="str">
        <x:v>merit</x:v>
      </x:c>
      <x:c r="D1751" s="21" t="str">
        <x:v>merit 54 weighted formula</x:v>
      </x:c>
      <x:c r="E1751" s="21" t="n">
        <x:f>IF(ABS('Merit Review'!I54-'Merit Review'!G54*'Merit Review'!H54)&lt;0.000001,1,0)</x:f>
        <x:v>1</x:v>
      </x:c>
      <x:c r="F1751" s="21" t="n">
        <x:v>1</x:v>
      </x:c>
      <x:c r="G1751" s="23" t="str">
        <x:f>IF(E1751=F1751,"PASS","FAIL")</x:f>
        <x:v>PASS</x:v>
      </x:c>
    </x:row>
    <x:row r="1752">
      <x:c r="B1752" s="21" t="str">
        <x:v>A1746</x:v>
      </x:c>
      <x:c r="C1752" s="21" t="str">
        <x:v>merit</x:v>
      </x:c>
      <x:c r="D1752" s="21" t="str">
        <x:v>merit 55 weight positive</x:v>
      </x:c>
      <x:c r="E1752" s="21" t="n">
        <x:f>IF('Merit Review'!G55&gt;0,1,0)</x:f>
        <x:v>1</x:v>
      </x:c>
      <x:c r="F1752" s="21" t="n">
        <x:v>1</x:v>
      </x:c>
      <x:c r="G1752" s="23" t="str">
        <x:f>IF(E1752=F1752,"PASS","FAIL")</x:f>
        <x:v>PASS</x:v>
      </x:c>
    </x:row>
    <x:row r="1753">
      <x:c r="B1753" s="21" t="str">
        <x:v>A1747</x:v>
      </x:c>
      <x:c r="C1753" s="21" t="str">
        <x:v>merit</x:v>
      </x:c>
      <x:c r="D1753" s="21" t="str">
        <x:v>merit 55 score bounded</x:v>
      </x:c>
      <x:c r="E1753" s="21" t="n">
        <x:f>IF(AND('Merit Review'!H55&gt;=0,'Merit Review'!H55&lt;=100),1,0)</x:f>
        <x:v>1</x:v>
      </x:c>
      <x:c r="F1753" s="21" t="n">
        <x:v>1</x:v>
      </x:c>
      <x:c r="G1753" s="23" t="str">
        <x:f>IF(E1753=F1753,"PASS","FAIL")</x:f>
        <x:v>PASS</x:v>
      </x:c>
    </x:row>
    <x:row r="1754">
      <x:c r="B1754" s="21" t="str">
        <x:v>A1748</x:v>
      </x:c>
      <x:c r="C1754" s="21" t="str">
        <x:v>merit</x:v>
      </x:c>
      <x:c r="D1754" s="21" t="str">
        <x:v>merit 55 weighted formula</x:v>
      </x:c>
      <x:c r="E1754" s="21" t="n">
        <x:f>IF(ABS('Merit Review'!I55-'Merit Review'!G55*'Merit Review'!H55)&lt;0.000001,1,0)</x:f>
        <x:v>1</x:v>
      </x:c>
      <x:c r="F1754" s="21" t="n">
        <x:v>1</x:v>
      </x:c>
      <x:c r="G1754" s="23" t="str">
        <x:f>IF(E1754=F1754,"PASS","FAIL")</x:f>
        <x:v>PASS</x:v>
      </x:c>
    </x:row>
    <x:row r="1755">
      <x:c r="B1755" s="21" t="str">
        <x:v>A1749</x:v>
      </x:c>
      <x:c r="C1755" s="21" t="str">
        <x:v>merit</x:v>
      </x:c>
      <x:c r="D1755" s="21" t="str">
        <x:v>merit 56 weight positive</x:v>
      </x:c>
      <x:c r="E1755" s="21" t="n">
        <x:f>IF('Merit Review'!G56&gt;0,1,0)</x:f>
        <x:v>1</x:v>
      </x:c>
      <x:c r="F1755" s="21" t="n">
        <x:v>1</x:v>
      </x:c>
      <x:c r="G1755" s="23" t="str">
        <x:f>IF(E1755=F1755,"PASS","FAIL")</x:f>
        <x:v>PASS</x:v>
      </x:c>
    </x:row>
    <x:row r="1756">
      <x:c r="B1756" s="21" t="str">
        <x:v>A1750</x:v>
      </x:c>
      <x:c r="C1756" s="21" t="str">
        <x:v>merit</x:v>
      </x:c>
      <x:c r="D1756" s="21" t="str">
        <x:v>merit 56 score bounded</x:v>
      </x:c>
      <x:c r="E1756" s="21" t="n">
        <x:f>IF(AND('Merit Review'!H56&gt;=0,'Merit Review'!H56&lt;=100),1,0)</x:f>
        <x:v>1</x:v>
      </x:c>
      <x:c r="F1756" s="21" t="n">
        <x:v>1</x:v>
      </x:c>
      <x:c r="G1756" s="23" t="str">
        <x:f>IF(E1756=F1756,"PASS","FAIL")</x:f>
        <x:v>PASS</x:v>
      </x:c>
    </x:row>
    <x:row r="1757">
      <x:c r="B1757" s="21" t="str">
        <x:v>A1751</x:v>
      </x:c>
      <x:c r="C1757" s="21" t="str">
        <x:v>merit</x:v>
      </x:c>
      <x:c r="D1757" s="21" t="str">
        <x:v>merit 56 weighted formula</x:v>
      </x:c>
      <x:c r="E1757" s="21" t="n">
        <x:f>IF(ABS('Merit Review'!I56-'Merit Review'!G56*'Merit Review'!H56)&lt;0.000001,1,0)</x:f>
        <x:v>1</x:v>
      </x:c>
      <x:c r="F1757" s="21" t="n">
        <x:v>1</x:v>
      </x:c>
      <x:c r="G1757" s="23" t="str">
        <x:f>IF(E1757=F1757,"PASS","FAIL")</x:f>
        <x:v>PASS</x:v>
      </x:c>
    </x:row>
    <x:row r="1758">
      <x:c r="B1758" s="21" t="str">
        <x:v>A1752</x:v>
      </x:c>
      <x:c r="C1758" s="21" t="str">
        <x:v>merit</x:v>
      </x:c>
      <x:c r="D1758" s="21" t="str">
        <x:v>merit 57 weight positive</x:v>
      </x:c>
      <x:c r="E1758" s="21" t="n">
        <x:f>IF('Merit Review'!G57&gt;0,1,0)</x:f>
        <x:v>1</x:v>
      </x:c>
      <x:c r="F1758" s="21" t="n">
        <x:v>1</x:v>
      </x:c>
      <x:c r="G1758" s="23" t="str">
        <x:f>IF(E1758=F1758,"PASS","FAIL")</x:f>
        <x:v>PASS</x:v>
      </x:c>
    </x:row>
    <x:row r="1759">
      <x:c r="B1759" s="21" t="str">
        <x:v>A1753</x:v>
      </x:c>
      <x:c r="C1759" s="21" t="str">
        <x:v>merit</x:v>
      </x:c>
      <x:c r="D1759" s="21" t="str">
        <x:v>merit 57 score bounded</x:v>
      </x:c>
      <x:c r="E1759" s="21" t="n">
        <x:f>IF(AND('Merit Review'!H57&gt;=0,'Merit Review'!H57&lt;=100),1,0)</x:f>
        <x:v>1</x:v>
      </x:c>
      <x:c r="F1759" s="21" t="n">
        <x:v>1</x:v>
      </x:c>
      <x:c r="G1759" s="23" t="str">
        <x:f>IF(E1759=F1759,"PASS","FAIL")</x:f>
        <x:v>PASS</x:v>
      </x:c>
    </x:row>
    <x:row r="1760">
      <x:c r="B1760" s="21" t="str">
        <x:v>A1754</x:v>
      </x:c>
      <x:c r="C1760" s="21" t="str">
        <x:v>merit</x:v>
      </x:c>
      <x:c r="D1760" s="21" t="str">
        <x:v>merit 57 weighted formula</x:v>
      </x:c>
      <x:c r="E1760" s="21" t="n">
        <x:f>IF(ABS('Merit Review'!I57-'Merit Review'!G57*'Merit Review'!H57)&lt;0.000001,1,0)</x:f>
        <x:v>1</x:v>
      </x:c>
      <x:c r="F1760" s="21" t="n">
        <x:v>1</x:v>
      </x:c>
      <x:c r="G1760" s="23" t="str">
        <x:f>IF(E1760=F1760,"PASS","FAIL")</x:f>
        <x:v>PASS</x:v>
      </x:c>
    </x:row>
    <x:row r="1761">
      <x:c r="B1761" s="21" t="str">
        <x:v>A1755</x:v>
      </x:c>
      <x:c r="C1761" s="21" t="str">
        <x:v>merit</x:v>
      </x:c>
      <x:c r="D1761" s="21" t="str">
        <x:v>merit 58 weight positive</x:v>
      </x:c>
      <x:c r="E1761" s="21" t="n">
        <x:f>IF('Merit Review'!G58&gt;0,1,0)</x:f>
        <x:v>1</x:v>
      </x:c>
      <x:c r="F1761" s="21" t="n">
        <x:v>1</x:v>
      </x:c>
      <x:c r="G1761" s="23" t="str">
        <x:f>IF(E1761=F1761,"PASS","FAIL")</x:f>
        <x:v>PASS</x:v>
      </x:c>
    </x:row>
    <x:row r="1762">
      <x:c r="B1762" s="21" t="str">
        <x:v>A1756</x:v>
      </x:c>
      <x:c r="C1762" s="21" t="str">
        <x:v>merit</x:v>
      </x:c>
      <x:c r="D1762" s="21" t="str">
        <x:v>merit 58 score bounded</x:v>
      </x:c>
      <x:c r="E1762" s="21" t="n">
        <x:f>IF(AND('Merit Review'!H58&gt;=0,'Merit Review'!H58&lt;=100),1,0)</x:f>
        <x:v>1</x:v>
      </x:c>
      <x:c r="F1762" s="21" t="n">
        <x:v>1</x:v>
      </x:c>
      <x:c r="G1762" s="23" t="str">
        <x:f>IF(E1762=F1762,"PASS","FAIL")</x:f>
        <x:v>PASS</x:v>
      </x:c>
    </x:row>
    <x:row r="1763">
      <x:c r="B1763" s="21" t="str">
        <x:v>A1757</x:v>
      </x:c>
      <x:c r="C1763" s="21" t="str">
        <x:v>merit</x:v>
      </x:c>
      <x:c r="D1763" s="21" t="str">
        <x:v>merit 58 weighted formula</x:v>
      </x:c>
      <x:c r="E1763" s="21" t="n">
        <x:f>IF(ABS('Merit Review'!I58-'Merit Review'!G58*'Merit Review'!H58)&lt;0.000001,1,0)</x:f>
        <x:v>1</x:v>
      </x:c>
      <x:c r="F1763" s="21" t="n">
        <x:v>1</x:v>
      </x:c>
      <x:c r="G1763" s="23" t="str">
        <x:f>IF(E1763=F1763,"PASS","FAIL")</x:f>
        <x:v>PASS</x:v>
      </x:c>
    </x:row>
    <x:row r="1764">
      <x:c r="B1764" s="21" t="str">
        <x:v>A1758</x:v>
      </x:c>
      <x:c r="C1764" s="21" t="str">
        <x:v>merit</x:v>
      </x:c>
      <x:c r="D1764" s="21" t="str">
        <x:v>merit 59 weight positive</x:v>
      </x:c>
      <x:c r="E1764" s="21" t="n">
        <x:f>IF('Merit Review'!G59&gt;0,1,0)</x:f>
        <x:v>1</x:v>
      </x:c>
      <x:c r="F1764" s="21" t="n">
        <x:v>1</x:v>
      </x:c>
      <x:c r="G1764" s="23" t="str">
        <x:f>IF(E1764=F1764,"PASS","FAIL")</x:f>
        <x:v>PASS</x:v>
      </x:c>
    </x:row>
    <x:row r="1765">
      <x:c r="B1765" s="21" t="str">
        <x:v>A1759</x:v>
      </x:c>
      <x:c r="C1765" s="21" t="str">
        <x:v>merit</x:v>
      </x:c>
      <x:c r="D1765" s="21" t="str">
        <x:v>merit 59 score bounded</x:v>
      </x:c>
      <x:c r="E1765" s="21" t="n">
        <x:f>IF(AND('Merit Review'!H59&gt;=0,'Merit Review'!H59&lt;=100),1,0)</x:f>
        <x:v>1</x:v>
      </x:c>
      <x:c r="F1765" s="21" t="n">
        <x:v>1</x:v>
      </x:c>
      <x:c r="G1765" s="23" t="str">
        <x:f>IF(E1765=F1765,"PASS","FAIL")</x:f>
        <x:v>PASS</x:v>
      </x:c>
    </x:row>
    <x:row r="1766">
      <x:c r="B1766" s="21" t="str">
        <x:v>A1760</x:v>
      </x:c>
      <x:c r="C1766" s="21" t="str">
        <x:v>merit</x:v>
      </x:c>
      <x:c r="D1766" s="21" t="str">
        <x:v>merit 59 weighted formula</x:v>
      </x:c>
      <x:c r="E1766" s="21" t="n">
        <x:f>IF(ABS('Merit Review'!I59-'Merit Review'!G59*'Merit Review'!H59)&lt;0.000001,1,0)</x:f>
        <x:v>1</x:v>
      </x:c>
      <x:c r="F1766" s="21" t="n">
        <x:v>1</x:v>
      </x:c>
      <x:c r="G1766" s="23" t="str">
        <x:f>IF(E1766=F1766,"PASS","FAIL")</x:f>
        <x:v>PASS</x:v>
      </x:c>
    </x:row>
    <x:row r="1767">
      <x:c r="B1767" s="21" t="str">
        <x:v>A1761</x:v>
      </x:c>
      <x:c r="C1767" s="21" t="str">
        <x:v>merit</x:v>
      </x:c>
      <x:c r="D1767" s="21" t="str">
        <x:v>merit 60 weight positive</x:v>
      </x:c>
      <x:c r="E1767" s="21" t="n">
        <x:f>IF('Merit Review'!G60&gt;0,1,0)</x:f>
        <x:v>1</x:v>
      </x:c>
      <x:c r="F1767" s="21" t="n">
        <x:v>1</x:v>
      </x:c>
      <x:c r="G1767" s="23" t="str">
        <x:f>IF(E1767=F1767,"PASS","FAIL")</x:f>
        <x:v>PASS</x:v>
      </x:c>
    </x:row>
    <x:row r="1768">
      <x:c r="B1768" s="21" t="str">
        <x:v>A1762</x:v>
      </x:c>
      <x:c r="C1768" s="21" t="str">
        <x:v>merit</x:v>
      </x:c>
      <x:c r="D1768" s="21" t="str">
        <x:v>merit 60 score bounded</x:v>
      </x:c>
      <x:c r="E1768" s="21" t="n">
        <x:f>IF(AND('Merit Review'!H60&gt;=0,'Merit Review'!H60&lt;=100),1,0)</x:f>
        <x:v>1</x:v>
      </x:c>
      <x:c r="F1768" s="21" t="n">
        <x:v>1</x:v>
      </x:c>
      <x:c r="G1768" s="23" t="str">
        <x:f>IF(E1768=F1768,"PASS","FAIL")</x:f>
        <x:v>PASS</x:v>
      </x:c>
    </x:row>
    <x:row r="1769">
      <x:c r="B1769" s="21" t="str">
        <x:v>A1763</x:v>
      </x:c>
      <x:c r="C1769" s="21" t="str">
        <x:v>merit</x:v>
      </x:c>
      <x:c r="D1769" s="21" t="str">
        <x:v>merit 60 weighted formula</x:v>
      </x:c>
      <x:c r="E1769" s="21" t="n">
        <x:f>IF(ABS('Merit Review'!I60-'Merit Review'!G60*'Merit Review'!H60)&lt;0.000001,1,0)</x:f>
        <x:v>1</x:v>
      </x:c>
      <x:c r="F1769" s="21" t="n">
        <x:v>1</x:v>
      </x:c>
      <x:c r="G1769" s="23" t="str">
        <x:f>IF(E1769=F1769,"PASS","FAIL")</x:f>
        <x:v>PASS</x:v>
      </x:c>
    </x:row>
    <x:row r="1770">
      <x:c r="B1770" s="21" t="str">
        <x:v>A1764</x:v>
      </x:c>
      <x:c r="C1770" s="21" t="str">
        <x:v>merit</x:v>
      </x:c>
      <x:c r="D1770" s="21" t="str">
        <x:v>merit 61 weight positive</x:v>
      </x:c>
      <x:c r="E1770" s="21" t="n">
        <x:f>IF('Merit Review'!G61&gt;0,1,0)</x:f>
        <x:v>1</x:v>
      </x:c>
      <x:c r="F1770" s="21" t="n">
        <x:v>1</x:v>
      </x:c>
      <x:c r="G1770" s="23" t="str">
        <x:f>IF(E1770=F1770,"PASS","FAIL")</x:f>
        <x:v>PASS</x:v>
      </x:c>
    </x:row>
    <x:row r="1771">
      <x:c r="B1771" s="21" t="str">
        <x:v>A1765</x:v>
      </x:c>
      <x:c r="C1771" s="21" t="str">
        <x:v>merit</x:v>
      </x:c>
      <x:c r="D1771" s="21" t="str">
        <x:v>merit 61 score bounded</x:v>
      </x:c>
      <x:c r="E1771" s="21" t="n">
        <x:f>IF(AND('Merit Review'!H61&gt;=0,'Merit Review'!H61&lt;=100),1,0)</x:f>
        <x:v>1</x:v>
      </x:c>
      <x:c r="F1771" s="21" t="n">
        <x:v>1</x:v>
      </x:c>
      <x:c r="G1771" s="23" t="str">
        <x:f>IF(E1771=F1771,"PASS","FAIL")</x:f>
        <x:v>PASS</x:v>
      </x:c>
    </x:row>
    <x:row r="1772">
      <x:c r="B1772" s="21" t="str">
        <x:v>A1766</x:v>
      </x:c>
      <x:c r="C1772" s="21" t="str">
        <x:v>merit</x:v>
      </x:c>
      <x:c r="D1772" s="21" t="str">
        <x:v>merit 61 weighted formula</x:v>
      </x:c>
      <x:c r="E1772" s="21" t="n">
        <x:f>IF(ABS('Merit Review'!I61-'Merit Review'!G61*'Merit Review'!H61)&lt;0.000001,1,0)</x:f>
        <x:v>1</x:v>
      </x:c>
      <x:c r="F1772" s="21" t="n">
        <x:v>1</x:v>
      </x:c>
      <x:c r="G1772" s="23" t="str">
        <x:f>IF(E1772=F1772,"PASS","FAIL")</x:f>
        <x:v>PASS</x:v>
      </x:c>
    </x:row>
    <x:row r="1773">
      <x:c r="B1773" s="21" t="str">
        <x:v>A1767</x:v>
      </x:c>
      <x:c r="C1773" s="21" t="str">
        <x:v>merit</x:v>
      </x:c>
      <x:c r="D1773" s="21" t="str">
        <x:v>merit 62 weight positive</x:v>
      </x:c>
      <x:c r="E1773" s="21" t="n">
        <x:f>IF('Merit Review'!G62&gt;0,1,0)</x:f>
        <x:v>1</x:v>
      </x:c>
      <x:c r="F1773" s="21" t="n">
        <x:v>1</x:v>
      </x:c>
      <x:c r="G1773" s="23" t="str">
        <x:f>IF(E1773=F1773,"PASS","FAIL")</x:f>
        <x:v>PASS</x:v>
      </x:c>
    </x:row>
    <x:row r="1774">
      <x:c r="B1774" s="21" t="str">
        <x:v>A1768</x:v>
      </x:c>
      <x:c r="C1774" s="21" t="str">
        <x:v>merit</x:v>
      </x:c>
      <x:c r="D1774" s="21" t="str">
        <x:v>merit 62 score bounded</x:v>
      </x:c>
      <x:c r="E1774" s="21" t="n">
        <x:f>IF(AND('Merit Review'!H62&gt;=0,'Merit Review'!H62&lt;=100),1,0)</x:f>
        <x:v>1</x:v>
      </x:c>
      <x:c r="F1774" s="21" t="n">
        <x:v>1</x:v>
      </x:c>
      <x:c r="G1774" s="23" t="str">
        <x:f>IF(E1774=F1774,"PASS","FAIL")</x:f>
        <x:v>PASS</x:v>
      </x:c>
    </x:row>
    <x:row r="1775">
      <x:c r="B1775" s="21" t="str">
        <x:v>A1769</x:v>
      </x:c>
      <x:c r="C1775" s="21" t="str">
        <x:v>merit</x:v>
      </x:c>
      <x:c r="D1775" s="21" t="str">
        <x:v>merit 62 weighted formula</x:v>
      </x:c>
      <x:c r="E1775" s="21" t="n">
        <x:f>IF(ABS('Merit Review'!I62-'Merit Review'!G62*'Merit Review'!H62)&lt;0.000001,1,0)</x:f>
        <x:v>1</x:v>
      </x:c>
      <x:c r="F1775" s="21" t="n">
        <x:v>1</x:v>
      </x:c>
      <x:c r="G1775" s="23" t="str">
        <x:f>IF(E1775=F1775,"PASS","FAIL")</x:f>
        <x:v>PASS</x:v>
      </x:c>
    </x:row>
    <x:row r="1776">
      <x:c r="B1776" s="21" t="str">
        <x:v>A1770</x:v>
      </x:c>
      <x:c r="C1776" s="21" t="str">
        <x:v>merit</x:v>
      </x:c>
      <x:c r="D1776" s="21" t="str">
        <x:v>merit 63 weight positive</x:v>
      </x:c>
      <x:c r="E1776" s="21" t="n">
        <x:f>IF('Merit Review'!G63&gt;0,1,0)</x:f>
        <x:v>1</x:v>
      </x:c>
      <x:c r="F1776" s="21" t="n">
        <x:v>1</x:v>
      </x:c>
      <x:c r="G1776" s="23" t="str">
        <x:f>IF(E1776=F1776,"PASS","FAIL")</x:f>
        <x:v>PASS</x:v>
      </x:c>
    </x:row>
    <x:row r="1777">
      <x:c r="B1777" s="21" t="str">
        <x:v>A1771</x:v>
      </x:c>
      <x:c r="C1777" s="21" t="str">
        <x:v>merit</x:v>
      </x:c>
      <x:c r="D1777" s="21" t="str">
        <x:v>merit 63 score bounded</x:v>
      </x:c>
      <x:c r="E1777" s="21" t="n">
        <x:f>IF(AND('Merit Review'!H63&gt;=0,'Merit Review'!H63&lt;=100),1,0)</x:f>
        <x:v>1</x:v>
      </x:c>
      <x:c r="F1777" s="21" t="n">
        <x:v>1</x:v>
      </x:c>
      <x:c r="G1777" s="23" t="str">
        <x:f>IF(E1777=F1777,"PASS","FAIL")</x:f>
        <x:v>PASS</x:v>
      </x:c>
    </x:row>
    <x:row r="1778">
      <x:c r="B1778" s="21" t="str">
        <x:v>A1772</x:v>
      </x:c>
      <x:c r="C1778" s="21" t="str">
        <x:v>merit</x:v>
      </x:c>
      <x:c r="D1778" s="21" t="str">
        <x:v>merit 63 weighted formula</x:v>
      </x:c>
      <x:c r="E1778" s="21" t="n">
        <x:f>IF(ABS('Merit Review'!I63-'Merit Review'!G63*'Merit Review'!H63)&lt;0.000001,1,0)</x:f>
        <x:v>1</x:v>
      </x:c>
      <x:c r="F1778" s="21" t="n">
        <x:v>1</x:v>
      </x:c>
      <x:c r="G1778" s="23" t="str">
        <x:f>IF(E1778=F1778,"PASS","FAIL")</x:f>
        <x:v>PASS</x:v>
      </x:c>
    </x:row>
    <x:row r="1779">
      <x:c r="B1779" s="21" t="str">
        <x:v>A1773</x:v>
      </x:c>
      <x:c r="C1779" s="21" t="str">
        <x:v>merit</x:v>
      </x:c>
      <x:c r="D1779" s="21" t="str">
        <x:v>merit 64 weight positive</x:v>
      </x:c>
      <x:c r="E1779" s="21" t="n">
        <x:f>IF('Merit Review'!G64&gt;0,1,0)</x:f>
        <x:v>1</x:v>
      </x:c>
      <x:c r="F1779" s="21" t="n">
        <x:v>1</x:v>
      </x:c>
      <x:c r="G1779" s="23" t="str">
        <x:f>IF(E1779=F1779,"PASS","FAIL")</x:f>
        <x:v>PASS</x:v>
      </x:c>
    </x:row>
    <x:row r="1780">
      <x:c r="B1780" s="21" t="str">
        <x:v>A1774</x:v>
      </x:c>
      <x:c r="C1780" s="21" t="str">
        <x:v>merit</x:v>
      </x:c>
      <x:c r="D1780" s="21" t="str">
        <x:v>merit 64 score bounded</x:v>
      </x:c>
      <x:c r="E1780" s="21" t="n">
        <x:f>IF(AND('Merit Review'!H64&gt;=0,'Merit Review'!H64&lt;=100),1,0)</x:f>
        <x:v>1</x:v>
      </x:c>
      <x:c r="F1780" s="21" t="n">
        <x:v>1</x:v>
      </x:c>
      <x:c r="G1780" s="23" t="str">
        <x:f>IF(E1780=F1780,"PASS","FAIL")</x:f>
        <x:v>PASS</x:v>
      </x:c>
    </x:row>
    <x:row r="1781">
      <x:c r="B1781" s="21" t="str">
        <x:v>A1775</x:v>
      </x:c>
      <x:c r="C1781" s="21" t="str">
        <x:v>merit</x:v>
      </x:c>
      <x:c r="D1781" s="21" t="str">
        <x:v>merit 64 weighted formula</x:v>
      </x:c>
      <x:c r="E1781" s="21" t="n">
        <x:f>IF(ABS('Merit Review'!I64-'Merit Review'!G64*'Merit Review'!H64)&lt;0.000001,1,0)</x:f>
        <x:v>1</x:v>
      </x:c>
      <x:c r="F1781" s="21" t="n">
        <x:v>1</x:v>
      </x:c>
      <x:c r="G1781" s="23" t="str">
        <x:f>IF(E1781=F1781,"PASS","FAIL")</x:f>
        <x:v>PASS</x:v>
      </x:c>
    </x:row>
    <x:row r="1782">
      <x:c r="B1782" s="21" t="str">
        <x:v>A1776</x:v>
      </x:c>
      <x:c r="C1782" s="21" t="str">
        <x:v>merit</x:v>
      </x:c>
      <x:c r="D1782" s="21" t="str">
        <x:v>merit 65 weight positive</x:v>
      </x:c>
      <x:c r="E1782" s="21" t="n">
        <x:f>IF('Merit Review'!G65&gt;0,1,0)</x:f>
        <x:v>1</x:v>
      </x:c>
      <x:c r="F1782" s="21" t="n">
        <x:v>1</x:v>
      </x:c>
      <x:c r="G1782" s="23" t="str">
        <x:f>IF(E1782=F1782,"PASS","FAIL")</x:f>
        <x:v>PASS</x:v>
      </x:c>
    </x:row>
    <x:row r="1783">
      <x:c r="B1783" s="21" t="str">
        <x:v>A1777</x:v>
      </x:c>
      <x:c r="C1783" s="21" t="str">
        <x:v>merit</x:v>
      </x:c>
      <x:c r="D1783" s="21" t="str">
        <x:v>merit 65 score bounded</x:v>
      </x:c>
      <x:c r="E1783" s="21" t="n">
        <x:f>IF(AND('Merit Review'!H65&gt;=0,'Merit Review'!H65&lt;=100),1,0)</x:f>
        <x:v>1</x:v>
      </x:c>
      <x:c r="F1783" s="21" t="n">
        <x:v>1</x:v>
      </x:c>
      <x:c r="G1783" s="23" t="str">
        <x:f>IF(E1783=F1783,"PASS","FAIL")</x:f>
        <x:v>PASS</x:v>
      </x:c>
    </x:row>
    <x:row r="1784">
      <x:c r="B1784" s="21" t="str">
        <x:v>A1778</x:v>
      </x:c>
      <x:c r="C1784" s="21" t="str">
        <x:v>merit</x:v>
      </x:c>
      <x:c r="D1784" s="21" t="str">
        <x:v>merit 65 weighted formula</x:v>
      </x:c>
      <x:c r="E1784" s="21" t="n">
        <x:f>IF(ABS('Merit Review'!I65-'Merit Review'!G65*'Merit Review'!H65)&lt;0.000001,1,0)</x:f>
        <x:v>1</x:v>
      </x:c>
      <x:c r="F1784" s="21" t="n">
        <x:v>1</x:v>
      </x:c>
      <x:c r="G1784" s="23" t="str">
        <x:f>IF(E1784=F1784,"PASS","FAIL")</x:f>
        <x:v>PASS</x:v>
      </x:c>
    </x:row>
    <x:row r="1785">
      <x:c r="B1785" s="21" t="str">
        <x:v>A1779</x:v>
      </x:c>
      <x:c r="C1785" s="21" t="str">
        <x:v>merit</x:v>
      </x:c>
      <x:c r="D1785" s="21" t="str">
        <x:v>merit 66 weight positive</x:v>
      </x:c>
      <x:c r="E1785" s="21" t="n">
        <x:f>IF('Merit Review'!G66&gt;0,1,0)</x:f>
        <x:v>1</x:v>
      </x:c>
      <x:c r="F1785" s="21" t="n">
        <x:v>1</x:v>
      </x:c>
      <x:c r="G1785" s="23" t="str">
        <x:f>IF(E1785=F1785,"PASS","FAIL")</x:f>
        <x:v>PASS</x:v>
      </x:c>
    </x:row>
    <x:row r="1786">
      <x:c r="B1786" s="21" t="str">
        <x:v>A1780</x:v>
      </x:c>
      <x:c r="C1786" s="21" t="str">
        <x:v>merit</x:v>
      </x:c>
      <x:c r="D1786" s="21" t="str">
        <x:v>merit 66 score bounded</x:v>
      </x:c>
      <x:c r="E1786" s="21" t="n">
        <x:f>IF(AND('Merit Review'!H66&gt;=0,'Merit Review'!H66&lt;=100),1,0)</x:f>
        <x:v>1</x:v>
      </x:c>
      <x:c r="F1786" s="21" t="n">
        <x:v>1</x:v>
      </x:c>
      <x:c r="G1786" s="23" t="str">
        <x:f>IF(E1786=F1786,"PASS","FAIL")</x:f>
        <x:v>PASS</x:v>
      </x:c>
    </x:row>
    <x:row r="1787">
      <x:c r="B1787" s="21" t="str">
        <x:v>A1781</x:v>
      </x:c>
      <x:c r="C1787" s="21" t="str">
        <x:v>merit</x:v>
      </x:c>
      <x:c r="D1787" s="21" t="str">
        <x:v>merit 66 weighted formula</x:v>
      </x:c>
      <x:c r="E1787" s="21" t="n">
        <x:f>IF(ABS('Merit Review'!I66-'Merit Review'!G66*'Merit Review'!H66)&lt;0.000001,1,0)</x:f>
        <x:v>1</x:v>
      </x:c>
      <x:c r="F1787" s="21" t="n">
        <x:v>1</x:v>
      </x:c>
      <x:c r="G1787" s="23" t="str">
        <x:f>IF(E1787=F1787,"PASS","FAIL")</x:f>
        <x:v>PASS</x:v>
      </x:c>
    </x:row>
    <x:row r="1788">
      <x:c r="B1788" s="21" t="str">
        <x:v>A1782</x:v>
      </x:c>
      <x:c r="C1788" s="21" t="str">
        <x:v>merit</x:v>
      </x:c>
      <x:c r="D1788" s="21" t="str">
        <x:v>merit 67 weight positive</x:v>
      </x:c>
      <x:c r="E1788" s="21" t="n">
        <x:f>IF('Merit Review'!G67&gt;0,1,0)</x:f>
        <x:v>1</x:v>
      </x:c>
      <x:c r="F1788" s="21" t="n">
        <x:v>1</x:v>
      </x:c>
      <x:c r="G1788" s="23" t="str">
        <x:f>IF(E1788=F1788,"PASS","FAIL")</x:f>
        <x:v>PASS</x:v>
      </x:c>
    </x:row>
    <x:row r="1789">
      <x:c r="B1789" s="21" t="str">
        <x:v>A1783</x:v>
      </x:c>
      <x:c r="C1789" s="21" t="str">
        <x:v>merit</x:v>
      </x:c>
      <x:c r="D1789" s="21" t="str">
        <x:v>merit 67 score bounded</x:v>
      </x:c>
      <x:c r="E1789" s="21" t="n">
        <x:f>IF(AND('Merit Review'!H67&gt;=0,'Merit Review'!H67&lt;=100),1,0)</x:f>
        <x:v>1</x:v>
      </x:c>
      <x:c r="F1789" s="21" t="n">
        <x:v>1</x:v>
      </x:c>
      <x:c r="G1789" s="23" t="str">
        <x:f>IF(E1789=F1789,"PASS","FAIL")</x:f>
        <x:v>PASS</x:v>
      </x:c>
    </x:row>
    <x:row r="1790">
      <x:c r="B1790" s="21" t="str">
        <x:v>A1784</x:v>
      </x:c>
      <x:c r="C1790" s="21" t="str">
        <x:v>merit</x:v>
      </x:c>
      <x:c r="D1790" s="21" t="str">
        <x:v>merit 67 weighted formula</x:v>
      </x:c>
      <x:c r="E1790" s="21" t="n">
        <x:f>IF(ABS('Merit Review'!I67-'Merit Review'!G67*'Merit Review'!H67)&lt;0.000001,1,0)</x:f>
        <x:v>1</x:v>
      </x:c>
      <x:c r="F1790" s="21" t="n">
        <x:v>1</x:v>
      </x:c>
      <x:c r="G1790" s="23" t="str">
        <x:f>IF(E1790=F1790,"PASS","FAIL")</x:f>
        <x:v>PASS</x:v>
      </x:c>
    </x:row>
    <x:row r="1791">
      <x:c r="B1791" s="21" t="str">
        <x:v>A1785</x:v>
      </x:c>
      <x:c r="C1791" s="21" t="str">
        <x:v>merit</x:v>
      </x:c>
      <x:c r="D1791" s="21" t="str">
        <x:v>merit 68 weight positive</x:v>
      </x:c>
      <x:c r="E1791" s="21" t="n">
        <x:f>IF('Merit Review'!G68&gt;0,1,0)</x:f>
        <x:v>1</x:v>
      </x:c>
      <x:c r="F1791" s="21" t="n">
        <x:v>1</x:v>
      </x:c>
      <x:c r="G1791" s="23" t="str">
        <x:f>IF(E1791=F1791,"PASS","FAIL")</x:f>
        <x:v>PASS</x:v>
      </x:c>
    </x:row>
    <x:row r="1792">
      <x:c r="B1792" s="21" t="str">
        <x:v>A1786</x:v>
      </x:c>
      <x:c r="C1792" s="21" t="str">
        <x:v>merit</x:v>
      </x:c>
      <x:c r="D1792" s="21" t="str">
        <x:v>merit 68 score bounded</x:v>
      </x:c>
      <x:c r="E1792" s="21" t="n">
        <x:f>IF(AND('Merit Review'!H68&gt;=0,'Merit Review'!H68&lt;=100),1,0)</x:f>
        <x:v>1</x:v>
      </x:c>
      <x:c r="F1792" s="21" t="n">
        <x:v>1</x:v>
      </x:c>
      <x:c r="G1792" s="23" t="str">
        <x:f>IF(E1792=F1792,"PASS","FAIL")</x:f>
        <x:v>PASS</x:v>
      </x:c>
    </x:row>
    <x:row r="1793">
      <x:c r="B1793" s="21" t="str">
        <x:v>A1787</x:v>
      </x:c>
      <x:c r="C1793" s="21" t="str">
        <x:v>merit</x:v>
      </x:c>
      <x:c r="D1793" s="21" t="str">
        <x:v>merit 68 weighted formula</x:v>
      </x:c>
      <x:c r="E1793" s="21" t="n">
        <x:f>IF(ABS('Merit Review'!I68-'Merit Review'!G68*'Merit Review'!H68)&lt;0.000001,1,0)</x:f>
        <x:v>1</x:v>
      </x:c>
      <x:c r="F1793" s="21" t="n">
        <x:v>1</x:v>
      </x:c>
      <x:c r="G1793" s="23" t="str">
        <x:f>IF(E1793=F1793,"PASS","FAIL")</x:f>
        <x:v>PASS</x:v>
      </x:c>
    </x:row>
    <x:row r="1794">
      <x:c r="B1794" s="21" t="str">
        <x:v>A1788</x:v>
      </x:c>
      <x:c r="C1794" s="21" t="str">
        <x:v>merit</x:v>
      </x:c>
      <x:c r="D1794" s="21" t="str">
        <x:v>merit 69 weight positive</x:v>
      </x:c>
      <x:c r="E1794" s="21" t="n">
        <x:f>IF('Merit Review'!G69&gt;0,1,0)</x:f>
        <x:v>1</x:v>
      </x:c>
      <x:c r="F1794" s="21" t="n">
        <x:v>1</x:v>
      </x:c>
      <x:c r="G1794" s="23" t="str">
        <x:f>IF(E1794=F1794,"PASS","FAIL")</x:f>
        <x:v>PASS</x:v>
      </x:c>
    </x:row>
    <x:row r="1795">
      <x:c r="B1795" s="21" t="str">
        <x:v>A1789</x:v>
      </x:c>
      <x:c r="C1795" s="21" t="str">
        <x:v>merit</x:v>
      </x:c>
      <x:c r="D1795" s="21" t="str">
        <x:v>merit 69 score bounded</x:v>
      </x:c>
      <x:c r="E1795" s="21" t="n">
        <x:f>IF(AND('Merit Review'!H69&gt;=0,'Merit Review'!H69&lt;=100),1,0)</x:f>
        <x:v>1</x:v>
      </x:c>
      <x:c r="F1795" s="21" t="n">
        <x:v>1</x:v>
      </x:c>
      <x:c r="G1795" s="23" t="str">
        <x:f>IF(E1795=F1795,"PASS","FAIL")</x:f>
        <x:v>PASS</x:v>
      </x:c>
    </x:row>
    <x:row r="1796">
      <x:c r="B1796" s="21" t="str">
        <x:v>A1790</x:v>
      </x:c>
      <x:c r="C1796" s="21" t="str">
        <x:v>merit</x:v>
      </x:c>
      <x:c r="D1796" s="21" t="str">
        <x:v>merit 69 weighted formula</x:v>
      </x:c>
      <x:c r="E1796" s="21" t="n">
        <x:f>IF(ABS('Merit Review'!I69-'Merit Review'!G69*'Merit Review'!H69)&lt;0.000001,1,0)</x:f>
        <x:v>1</x:v>
      </x:c>
      <x:c r="F1796" s="21" t="n">
        <x:v>1</x:v>
      </x:c>
      <x:c r="G1796" s="23" t="str">
        <x:f>IF(E1796=F1796,"PASS","FAIL")</x:f>
        <x:v>PASS</x:v>
      </x:c>
    </x:row>
    <x:row r="1797">
      <x:c r="B1797" s="21" t="str">
        <x:v>A1791</x:v>
      </x:c>
      <x:c r="C1797" s="21" t="str">
        <x:v>merit</x:v>
      </x:c>
      <x:c r="D1797" s="21" t="str">
        <x:v>merit 70 weight positive</x:v>
      </x:c>
      <x:c r="E1797" s="21" t="n">
        <x:f>IF('Merit Review'!G70&gt;0,1,0)</x:f>
        <x:v>1</x:v>
      </x:c>
      <x:c r="F1797" s="21" t="n">
        <x:v>1</x:v>
      </x:c>
      <x:c r="G1797" s="23" t="str">
        <x:f>IF(E1797=F1797,"PASS","FAIL")</x:f>
        <x:v>PASS</x:v>
      </x:c>
    </x:row>
    <x:row r="1798">
      <x:c r="B1798" s="21" t="str">
        <x:v>A1792</x:v>
      </x:c>
      <x:c r="C1798" s="21" t="str">
        <x:v>merit</x:v>
      </x:c>
      <x:c r="D1798" s="21" t="str">
        <x:v>merit 70 score bounded</x:v>
      </x:c>
      <x:c r="E1798" s="21" t="n">
        <x:f>IF(AND('Merit Review'!H70&gt;=0,'Merit Review'!H70&lt;=100),1,0)</x:f>
        <x:v>1</x:v>
      </x:c>
      <x:c r="F1798" s="21" t="n">
        <x:v>1</x:v>
      </x:c>
      <x:c r="G1798" s="23" t="str">
        <x:f>IF(E1798=F1798,"PASS","FAIL")</x:f>
        <x:v>PASS</x:v>
      </x:c>
    </x:row>
    <x:row r="1799">
      <x:c r="B1799" s="21" t="str">
        <x:v>A1793</x:v>
      </x:c>
      <x:c r="C1799" s="21" t="str">
        <x:v>merit</x:v>
      </x:c>
      <x:c r="D1799" s="21" t="str">
        <x:v>merit 70 weighted formula</x:v>
      </x:c>
      <x:c r="E1799" s="21" t="n">
        <x:f>IF(ABS('Merit Review'!I70-'Merit Review'!G70*'Merit Review'!H70)&lt;0.000001,1,0)</x:f>
        <x:v>1</x:v>
      </x:c>
      <x:c r="F1799" s="21" t="n">
        <x:v>1</x:v>
      </x:c>
      <x:c r="G1799" s="23" t="str">
        <x:f>IF(E1799=F1799,"PASS","FAIL")</x:f>
        <x:v>PASS</x:v>
      </x:c>
    </x:row>
    <x:row r="1800">
      <x:c r="B1800" s="21" t="str">
        <x:v>A1794</x:v>
      </x:c>
      <x:c r="C1800" s="21" t="str">
        <x:v>merit</x:v>
      </x:c>
      <x:c r="D1800" s="21" t="str">
        <x:v>merit 71 weight positive</x:v>
      </x:c>
      <x:c r="E1800" s="21" t="n">
        <x:f>IF('Merit Review'!G71&gt;0,1,0)</x:f>
        <x:v>1</x:v>
      </x:c>
      <x:c r="F1800" s="21" t="n">
        <x:v>1</x:v>
      </x:c>
      <x:c r="G1800" s="23" t="str">
        <x:f>IF(E1800=F1800,"PASS","FAIL")</x:f>
        <x:v>PASS</x:v>
      </x:c>
    </x:row>
    <x:row r="1801">
      <x:c r="B1801" s="21" t="str">
        <x:v>A1795</x:v>
      </x:c>
      <x:c r="C1801" s="21" t="str">
        <x:v>merit</x:v>
      </x:c>
      <x:c r="D1801" s="21" t="str">
        <x:v>merit 71 score bounded</x:v>
      </x:c>
      <x:c r="E1801" s="21" t="n">
        <x:f>IF(AND('Merit Review'!H71&gt;=0,'Merit Review'!H71&lt;=100),1,0)</x:f>
        <x:v>1</x:v>
      </x:c>
      <x:c r="F1801" s="21" t="n">
        <x:v>1</x:v>
      </x:c>
      <x:c r="G1801" s="23" t="str">
        <x:f>IF(E1801=F1801,"PASS","FAIL")</x:f>
        <x:v>PASS</x:v>
      </x:c>
    </x:row>
    <x:row r="1802">
      <x:c r="B1802" s="21" t="str">
        <x:v>A1796</x:v>
      </x:c>
      <x:c r="C1802" s="21" t="str">
        <x:v>merit</x:v>
      </x:c>
      <x:c r="D1802" s="21" t="str">
        <x:v>merit 71 weighted formula</x:v>
      </x:c>
      <x:c r="E1802" s="21" t="n">
        <x:f>IF(ABS('Merit Review'!I71-'Merit Review'!G71*'Merit Review'!H71)&lt;0.000001,1,0)</x:f>
        <x:v>1</x:v>
      </x:c>
      <x:c r="F1802" s="21" t="n">
        <x:v>1</x:v>
      </x:c>
      <x:c r="G1802" s="23" t="str">
        <x:f>IF(E1802=F1802,"PASS","FAIL")</x:f>
        <x:v>PASS</x:v>
      </x:c>
    </x:row>
    <x:row r="1803">
      <x:c r="B1803" s="21" t="str">
        <x:v>A1797</x:v>
      </x:c>
      <x:c r="C1803" s="21" t="str">
        <x:v>merit</x:v>
      </x:c>
      <x:c r="D1803" s="21" t="str">
        <x:v>merit 72 weight positive</x:v>
      </x:c>
      <x:c r="E1803" s="21" t="n">
        <x:f>IF('Merit Review'!G72&gt;0,1,0)</x:f>
        <x:v>1</x:v>
      </x:c>
      <x:c r="F1803" s="21" t="n">
        <x:v>1</x:v>
      </x:c>
      <x:c r="G1803" s="23" t="str">
        <x:f>IF(E1803=F1803,"PASS","FAIL")</x:f>
        <x:v>PASS</x:v>
      </x:c>
    </x:row>
    <x:row r="1804">
      <x:c r="B1804" s="21" t="str">
        <x:v>A1798</x:v>
      </x:c>
      <x:c r="C1804" s="21" t="str">
        <x:v>merit</x:v>
      </x:c>
      <x:c r="D1804" s="21" t="str">
        <x:v>merit 72 score bounded</x:v>
      </x:c>
      <x:c r="E1804" s="21" t="n">
        <x:f>IF(AND('Merit Review'!H72&gt;=0,'Merit Review'!H72&lt;=100),1,0)</x:f>
        <x:v>1</x:v>
      </x:c>
      <x:c r="F1804" s="21" t="n">
        <x:v>1</x:v>
      </x:c>
      <x:c r="G1804" s="23" t="str">
        <x:f>IF(E1804=F1804,"PASS","FAIL")</x:f>
        <x:v>PASS</x:v>
      </x:c>
    </x:row>
    <x:row r="1805">
      <x:c r="B1805" s="21" t="str">
        <x:v>A1799</x:v>
      </x:c>
      <x:c r="C1805" s="21" t="str">
        <x:v>merit</x:v>
      </x:c>
      <x:c r="D1805" s="21" t="str">
        <x:v>merit 72 weighted formula</x:v>
      </x:c>
      <x:c r="E1805" s="21" t="n">
        <x:f>IF(ABS('Merit Review'!I72-'Merit Review'!G72*'Merit Review'!H72)&lt;0.000001,1,0)</x:f>
        <x:v>1</x:v>
      </x:c>
      <x:c r="F1805" s="21" t="n">
        <x:v>1</x:v>
      </x:c>
      <x:c r="G1805" s="23" t="str">
        <x:f>IF(E1805=F1805,"PASS","FAIL")</x:f>
        <x:v>PASS</x:v>
      </x:c>
    </x:row>
    <x:row r="1806">
      <x:c r="B1806" s="21" t="str">
        <x:v>A1800</x:v>
      </x:c>
      <x:c r="C1806" s="21" t="str">
        <x:v>merit</x:v>
      </x:c>
      <x:c r="D1806" s="21" t="str">
        <x:v>merit 73 weight positive</x:v>
      </x:c>
      <x:c r="E1806" s="21" t="n">
        <x:f>IF('Merit Review'!G73&gt;0,1,0)</x:f>
        <x:v>1</x:v>
      </x:c>
      <x:c r="F1806" s="21" t="n">
        <x:v>1</x:v>
      </x:c>
      <x:c r="G1806" s="23" t="str">
        <x:f>IF(E1806=F1806,"PASS","FAIL")</x:f>
        <x:v>PASS</x:v>
      </x:c>
    </x:row>
    <x:row r="1807">
      <x:c r="B1807" s="21" t="str">
        <x:v>A1801</x:v>
      </x:c>
      <x:c r="C1807" s="21" t="str">
        <x:v>merit</x:v>
      </x:c>
      <x:c r="D1807" s="21" t="str">
        <x:v>merit 73 score bounded</x:v>
      </x:c>
      <x:c r="E1807" s="21" t="n">
        <x:f>IF(AND('Merit Review'!H73&gt;=0,'Merit Review'!H73&lt;=100),1,0)</x:f>
        <x:v>1</x:v>
      </x:c>
      <x:c r="F1807" s="21" t="n">
        <x:v>1</x:v>
      </x:c>
      <x:c r="G1807" s="23" t="str">
        <x:f>IF(E1807=F1807,"PASS","FAIL")</x:f>
        <x:v>PASS</x:v>
      </x:c>
    </x:row>
    <x:row r="1808">
      <x:c r="B1808" s="21" t="str">
        <x:v>A1802</x:v>
      </x:c>
      <x:c r="C1808" s="21" t="str">
        <x:v>merit</x:v>
      </x:c>
      <x:c r="D1808" s="21" t="str">
        <x:v>merit 73 weighted formula</x:v>
      </x:c>
      <x:c r="E1808" s="21" t="n">
        <x:f>IF(ABS('Merit Review'!I73-'Merit Review'!G73*'Merit Review'!H73)&lt;0.000001,1,0)</x:f>
        <x:v>1</x:v>
      </x:c>
      <x:c r="F1808" s="21" t="n">
        <x:v>1</x:v>
      </x:c>
      <x:c r="G1808" s="23" t="str">
        <x:f>IF(E1808=F1808,"PASS","FAIL")</x:f>
        <x:v>PASS</x:v>
      </x:c>
    </x:row>
    <x:row r="1809">
      <x:c r="B1809" s="21" t="str">
        <x:v>A1803</x:v>
      </x:c>
      <x:c r="C1809" s="21" t="str">
        <x:v>merit</x:v>
      </x:c>
      <x:c r="D1809" s="21" t="str">
        <x:v>merit 74 weight positive</x:v>
      </x:c>
      <x:c r="E1809" s="21" t="n">
        <x:f>IF('Merit Review'!G74&gt;0,1,0)</x:f>
        <x:v>1</x:v>
      </x:c>
      <x:c r="F1809" s="21" t="n">
        <x:v>1</x:v>
      </x:c>
      <x:c r="G1809" s="23" t="str">
        <x:f>IF(E1809=F1809,"PASS","FAIL")</x:f>
        <x:v>PASS</x:v>
      </x:c>
    </x:row>
    <x:row r="1810">
      <x:c r="B1810" s="21" t="str">
        <x:v>A1804</x:v>
      </x:c>
      <x:c r="C1810" s="21" t="str">
        <x:v>merit</x:v>
      </x:c>
      <x:c r="D1810" s="21" t="str">
        <x:v>merit 74 score bounded</x:v>
      </x:c>
      <x:c r="E1810" s="21" t="n">
        <x:f>IF(AND('Merit Review'!H74&gt;=0,'Merit Review'!H74&lt;=100),1,0)</x:f>
        <x:v>1</x:v>
      </x:c>
      <x:c r="F1810" s="21" t="n">
        <x:v>1</x:v>
      </x:c>
      <x:c r="G1810" s="23" t="str">
        <x:f>IF(E1810=F1810,"PASS","FAIL")</x:f>
        <x:v>PASS</x:v>
      </x:c>
    </x:row>
    <x:row r="1811">
      <x:c r="B1811" s="21" t="str">
        <x:v>A1805</x:v>
      </x:c>
      <x:c r="C1811" s="21" t="str">
        <x:v>merit</x:v>
      </x:c>
      <x:c r="D1811" s="21" t="str">
        <x:v>merit 74 weighted formula</x:v>
      </x:c>
      <x:c r="E1811" s="21" t="n">
        <x:f>IF(ABS('Merit Review'!I74-'Merit Review'!G74*'Merit Review'!H74)&lt;0.000001,1,0)</x:f>
        <x:v>1</x:v>
      </x:c>
      <x:c r="F1811" s="21" t="n">
        <x:v>1</x:v>
      </x:c>
      <x:c r="G1811" s="23" t="str">
        <x:f>IF(E1811=F1811,"PASS","FAIL")</x:f>
        <x:v>PASS</x:v>
      </x:c>
    </x:row>
    <x:row r="1812">
      <x:c r="B1812" s="21" t="str">
        <x:v>A1806</x:v>
      </x:c>
      <x:c r="C1812" s="21" t="str">
        <x:v>merit</x:v>
      </x:c>
      <x:c r="D1812" s="21" t="str">
        <x:v>merit 75 weight positive</x:v>
      </x:c>
      <x:c r="E1812" s="21" t="n">
        <x:f>IF('Merit Review'!G75&gt;0,1,0)</x:f>
        <x:v>1</x:v>
      </x:c>
      <x:c r="F1812" s="21" t="n">
        <x:v>1</x:v>
      </x:c>
      <x:c r="G1812" s="23" t="str">
        <x:f>IF(E1812=F1812,"PASS","FAIL")</x:f>
        <x:v>PASS</x:v>
      </x:c>
    </x:row>
    <x:row r="1813">
      <x:c r="B1813" s="21" t="str">
        <x:v>A1807</x:v>
      </x:c>
      <x:c r="C1813" s="21" t="str">
        <x:v>merit</x:v>
      </x:c>
      <x:c r="D1813" s="21" t="str">
        <x:v>merit 75 score bounded</x:v>
      </x:c>
      <x:c r="E1813" s="21" t="n">
        <x:f>IF(AND('Merit Review'!H75&gt;=0,'Merit Review'!H75&lt;=100),1,0)</x:f>
        <x:v>1</x:v>
      </x:c>
      <x:c r="F1813" s="21" t="n">
        <x:v>1</x:v>
      </x:c>
      <x:c r="G1813" s="23" t="str">
        <x:f>IF(E1813=F1813,"PASS","FAIL")</x:f>
        <x:v>PASS</x:v>
      </x:c>
    </x:row>
    <x:row r="1814">
      <x:c r="B1814" s="21" t="str">
        <x:v>A1808</x:v>
      </x:c>
      <x:c r="C1814" s="21" t="str">
        <x:v>merit</x:v>
      </x:c>
      <x:c r="D1814" s="21" t="str">
        <x:v>merit 75 weighted formula</x:v>
      </x:c>
      <x:c r="E1814" s="21" t="n">
        <x:f>IF(ABS('Merit Review'!I75-'Merit Review'!G75*'Merit Review'!H75)&lt;0.000001,1,0)</x:f>
        <x:v>1</x:v>
      </x:c>
      <x:c r="F1814" s="21" t="n">
        <x:v>1</x:v>
      </x:c>
      <x:c r="G1814" s="23" t="str">
        <x:f>IF(E1814=F1814,"PASS","FAIL")</x:f>
        <x:v>PASS</x:v>
      </x:c>
    </x:row>
    <x:row r="1815">
      <x:c r="B1815" s="21" t="str">
        <x:v>A1809</x:v>
      </x:c>
      <x:c r="C1815" s="21" t="str">
        <x:v>merit</x:v>
      </x:c>
      <x:c r="D1815" s="21" t="str">
        <x:v>merit 76 weight positive</x:v>
      </x:c>
      <x:c r="E1815" s="21" t="n">
        <x:f>IF('Merit Review'!G76&gt;0,1,0)</x:f>
        <x:v>1</x:v>
      </x:c>
      <x:c r="F1815" s="21" t="n">
        <x:v>1</x:v>
      </x:c>
      <x:c r="G1815" s="23" t="str">
        <x:f>IF(E1815=F1815,"PASS","FAIL")</x:f>
        <x:v>PASS</x:v>
      </x:c>
    </x:row>
    <x:row r="1816">
      <x:c r="B1816" s="21" t="str">
        <x:v>A1810</x:v>
      </x:c>
      <x:c r="C1816" s="21" t="str">
        <x:v>merit</x:v>
      </x:c>
      <x:c r="D1816" s="21" t="str">
        <x:v>merit 76 score bounded</x:v>
      </x:c>
      <x:c r="E1816" s="21" t="n">
        <x:f>IF(AND('Merit Review'!H76&gt;=0,'Merit Review'!H76&lt;=100),1,0)</x:f>
        <x:v>1</x:v>
      </x:c>
      <x:c r="F1816" s="21" t="n">
        <x:v>1</x:v>
      </x:c>
      <x:c r="G1816" s="23" t="str">
        <x:f>IF(E1816=F1816,"PASS","FAIL")</x:f>
        <x:v>PASS</x:v>
      </x:c>
    </x:row>
    <x:row r="1817">
      <x:c r="B1817" s="21" t="str">
        <x:v>A1811</x:v>
      </x:c>
      <x:c r="C1817" s="21" t="str">
        <x:v>merit</x:v>
      </x:c>
      <x:c r="D1817" s="21" t="str">
        <x:v>merit 76 weighted formula</x:v>
      </x:c>
      <x:c r="E1817" s="21" t="n">
        <x:f>IF(ABS('Merit Review'!I76-'Merit Review'!G76*'Merit Review'!H76)&lt;0.000001,1,0)</x:f>
        <x:v>1</x:v>
      </x:c>
      <x:c r="F1817" s="21" t="n">
        <x:v>1</x:v>
      </x:c>
      <x:c r="G1817" s="23" t="str">
        <x:f>IF(E1817=F1817,"PASS","FAIL")</x:f>
        <x:v>PASS</x:v>
      </x:c>
    </x:row>
    <x:row r="1818">
      <x:c r="B1818" s="21" t="str">
        <x:v>A1812</x:v>
      </x:c>
      <x:c r="C1818" s="21" t="str">
        <x:v>merit</x:v>
      </x:c>
      <x:c r="D1818" s="21" t="str">
        <x:v>merit 77 weight positive</x:v>
      </x:c>
      <x:c r="E1818" s="21" t="n">
        <x:f>IF('Merit Review'!G77&gt;0,1,0)</x:f>
        <x:v>1</x:v>
      </x:c>
      <x:c r="F1818" s="21" t="n">
        <x:v>1</x:v>
      </x:c>
      <x:c r="G1818" s="23" t="str">
        <x:f>IF(E1818=F1818,"PASS","FAIL")</x:f>
        <x:v>PASS</x:v>
      </x:c>
    </x:row>
    <x:row r="1819">
      <x:c r="B1819" s="21" t="str">
        <x:v>A1813</x:v>
      </x:c>
      <x:c r="C1819" s="21" t="str">
        <x:v>merit</x:v>
      </x:c>
      <x:c r="D1819" s="21" t="str">
        <x:v>merit 77 score bounded</x:v>
      </x:c>
      <x:c r="E1819" s="21" t="n">
        <x:f>IF(AND('Merit Review'!H77&gt;=0,'Merit Review'!H77&lt;=100),1,0)</x:f>
        <x:v>1</x:v>
      </x:c>
      <x:c r="F1819" s="21" t="n">
        <x:v>1</x:v>
      </x:c>
      <x:c r="G1819" s="23" t="str">
        <x:f>IF(E1819=F1819,"PASS","FAIL")</x:f>
        <x:v>PASS</x:v>
      </x:c>
    </x:row>
    <x:row r="1820">
      <x:c r="B1820" s="21" t="str">
        <x:v>A1814</x:v>
      </x:c>
      <x:c r="C1820" s="21" t="str">
        <x:v>merit</x:v>
      </x:c>
      <x:c r="D1820" s="21" t="str">
        <x:v>merit 77 weighted formula</x:v>
      </x:c>
      <x:c r="E1820" s="21" t="n">
        <x:f>IF(ABS('Merit Review'!I77-'Merit Review'!G77*'Merit Review'!H77)&lt;0.000001,1,0)</x:f>
        <x:v>1</x:v>
      </x:c>
      <x:c r="F1820" s="21" t="n">
        <x:v>1</x:v>
      </x:c>
      <x:c r="G1820" s="23" t="str">
        <x:f>IF(E1820=F1820,"PASS","FAIL")</x:f>
        <x:v>PASS</x:v>
      </x:c>
    </x:row>
    <x:row r="1821">
      <x:c r="B1821" s="21" t="str">
        <x:v>A1815</x:v>
      </x:c>
      <x:c r="C1821" s="21" t="str">
        <x:v>merit</x:v>
      </x:c>
      <x:c r="D1821" s="21" t="str">
        <x:v>merit 78 weight positive</x:v>
      </x:c>
      <x:c r="E1821" s="21" t="n">
        <x:f>IF('Merit Review'!G78&gt;0,1,0)</x:f>
        <x:v>1</x:v>
      </x:c>
      <x:c r="F1821" s="21" t="n">
        <x:v>1</x:v>
      </x:c>
      <x:c r="G1821" s="23" t="str">
        <x:f>IF(E1821=F1821,"PASS","FAIL")</x:f>
        <x:v>PASS</x:v>
      </x:c>
    </x:row>
    <x:row r="1822">
      <x:c r="B1822" s="21" t="str">
        <x:v>A1816</x:v>
      </x:c>
      <x:c r="C1822" s="21" t="str">
        <x:v>merit</x:v>
      </x:c>
      <x:c r="D1822" s="21" t="str">
        <x:v>merit 78 score bounded</x:v>
      </x:c>
      <x:c r="E1822" s="21" t="n">
        <x:f>IF(AND('Merit Review'!H78&gt;=0,'Merit Review'!H78&lt;=100),1,0)</x:f>
        <x:v>1</x:v>
      </x:c>
      <x:c r="F1822" s="21" t="n">
        <x:v>1</x:v>
      </x:c>
      <x:c r="G1822" s="23" t="str">
        <x:f>IF(E1822=F1822,"PASS","FAIL")</x:f>
        <x:v>PASS</x:v>
      </x:c>
    </x:row>
    <x:row r="1823">
      <x:c r="B1823" s="21" t="str">
        <x:v>A1817</x:v>
      </x:c>
      <x:c r="C1823" s="21" t="str">
        <x:v>merit</x:v>
      </x:c>
      <x:c r="D1823" s="21" t="str">
        <x:v>merit 78 weighted formula</x:v>
      </x:c>
      <x:c r="E1823" s="21" t="n">
        <x:f>IF(ABS('Merit Review'!I78-'Merit Review'!G78*'Merit Review'!H78)&lt;0.000001,1,0)</x:f>
        <x:v>1</x:v>
      </x:c>
      <x:c r="F1823" s="21" t="n">
        <x:v>1</x:v>
      </x:c>
      <x:c r="G1823" s="23" t="str">
        <x:f>IF(E1823=F1823,"PASS","FAIL")</x:f>
        <x:v>PASS</x:v>
      </x:c>
    </x:row>
    <x:row r="1824">
      <x:c r="B1824" s="21" t="str">
        <x:v>A1818</x:v>
      </x:c>
      <x:c r="C1824" s="21" t="str">
        <x:v>merit</x:v>
      </x:c>
      <x:c r="D1824" s="21" t="str">
        <x:v>merit 79 weight positive</x:v>
      </x:c>
      <x:c r="E1824" s="21" t="n">
        <x:f>IF('Merit Review'!G79&gt;0,1,0)</x:f>
        <x:v>1</x:v>
      </x:c>
      <x:c r="F1824" s="21" t="n">
        <x:v>1</x:v>
      </x:c>
      <x:c r="G1824" s="23" t="str">
        <x:f>IF(E1824=F1824,"PASS","FAIL")</x:f>
        <x:v>PASS</x:v>
      </x:c>
    </x:row>
    <x:row r="1825">
      <x:c r="B1825" s="21" t="str">
        <x:v>A1819</x:v>
      </x:c>
      <x:c r="C1825" s="21" t="str">
        <x:v>merit</x:v>
      </x:c>
      <x:c r="D1825" s="21" t="str">
        <x:v>merit 79 score bounded</x:v>
      </x:c>
      <x:c r="E1825" s="21" t="n">
        <x:f>IF(AND('Merit Review'!H79&gt;=0,'Merit Review'!H79&lt;=100),1,0)</x:f>
        <x:v>1</x:v>
      </x:c>
      <x:c r="F1825" s="21" t="n">
        <x:v>1</x:v>
      </x:c>
      <x:c r="G1825" s="23" t="str">
        <x:f>IF(E1825=F1825,"PASS","FAIL")</x:f>
        <x:v>PASS</x:v>
      </x:c>
    </x:row>
    <x:row r="1826">
      <x:c r="B1826" s="21" t="str">
        <x:v>A1820</x:v>
      </x:c>
      <x:c r="C1826" s="21" t="str">
        <x:v>merit</x:v>
      </x:c>
      <x:c r="D1826" s="21" t="str">
        <x:v>merit 79 weighted formula</x:v>
      </x:c>
      <x:c r="E1826" s="21" t="n">
        <x:f>IF(ABS('Merit Review'!I79-'Merit Review'!G79*'Merit Review'!H79)&lt;0.000001,1,0)</x:f>
        <x:v>1</x:v>
      </x:c>
      <x:c r="F1826" s="21" t="n">
        <x:v>1</x:v>
      </x:c>
      <x:c r="G1826" s="23" t="str">
        <x:f>IF(E1826=F1826,"PASS","FAIL")</x:f>
        <x:v>PASS</x:v>
      </x:c>
    </x:row>
    <x:row r="1827">
      <x:c r="B1827" s="21" t="str">
        <x:v>A1821</x:v>
      </x:c>
      <x:c r="C1827" s="21" t="str">
        <x:v>merit</x:v>
      </x:c>
      <x:c r="D1827" s="21" t="str">
        <x:v>merit 80 weight positive</x:v>
      </x:c>
      <x:c r="E1827" s="21" t="n">
        <x:f>IF('Merit Review'!G80&gt;0,1,0)</x:f>
        <x:v>1</x:v>
      </x:c>
      <x:c r="F1827" s="21" t="n">
        <x:v>1</x:v>
      </x:c>
      <x:c r="G1827" s="23" t="str">
        <x:f>IF(E1827=F1827,"PASS","FAIL")</x:f>
        <x:v>PASS</x:v>
      </x:c>
    </x:row>
    <x:row r="1828">
      <x:c r="B1828" s="21" t="str">
        <x:v>A1822</x:v>
      </x:c>
      <x:c r="C1828" s="21" t="str">
        <x:v>merit</x:v>
      </x:c>
      <x:c r="D1828" s="21" t="str">
        <x:v>merit 80 score bounded</x:v>
      </x:c>
      <x:c r="E1828" s="21" t="n">
        <x:f>IF(AND('Merit Review'!H80&gt;=0,'Merit Review'!H80&lt;=100),1,0)</x:f>
        <x:v>1</x:v>
      </x:c>
      <x:c r="F1828" s="21" t="n">
        <x:v>1</x:v>
      </x:c>
      <x:c r="G1828" s="23" t="str">
        <x:f>IF(E1828=F1828,"PASS","FAIL")</x:f>
        <x:v>PASS</x:v>
      </x:c>
    </x:row>
    <x:row r="1829">
      <x:c r="B1829" s="21" t="str">
        <x:v>A1823</x:v>
      </x:c>
      <x:c r="C1829" s="21" t="str">
        <x:v>merit</x:v>
      </x:c>
      <x:c r="D1829" s="21" t="str">
        <x:v>merit 80 weighted formula</x:v>
      </x:c>
      <x:c r="E1829" s="21" t="n">
        <x:f>IF(ABS('Merit Review'!I80-'Merit Review'!G80*'Merit Review'!H80)&lt;0.000001,1,0)</x:f>
        <x:v>1</x:v>
      </x:c>
      <x:c r="F1829" s="21" t="n">
        <x:v>1</x:v>
      </x:c>
      <x:c r="G1829" s="23" t="str">
        <x:f>IF(E1829=F1829,"PASS","FAIL")</x:f>
        <x:v>PASS</x:v>
      </x:c>
    </x:row>
    <x:row r="1830">
      <x:c r="B1830" s="21" t="str">
        <x:v>A1824</x:v>
      </x:c>
      <x:c r="C1830" s="21" t="str">
        <x:v>merit</x:v>
      </x:c>
      <x:c r="D1830" s="21" t="str">
        <x:v>merit 81 weight positive</x:v>
      </x:c>
      <x:c r="E1830" s="21" t="n">
        <x:f>IF('Merit Review'!G81&gt;0,1,0)</x:f>
        <x:v>1</x:v>
      </x:c>
      <x:c r="F1830" s="21" t="n">
        <x:v>1</x:v>
      </x:c>
      <x:c r="G1830" s="23" t="str">
        <x:f>IF(E1830=F1830,"PASS","FAIL")</x:f>
        <x:v>PASS</x:v>
      </x:c>
    </x:row>
    <x:row r="1831">
      <x:c r="B1831" s="21" t="str">
        <x:v>A1825</x:v>
      </x:c>
      <x:c r="C1831" s="21" t="str">
        <x:v>merit</x:v>
      </x:c>
      <x:c r="D1831" s="21" t="str">
        <x:v>merit 81 score bounded</x:v>
      </x:c>
      <x:c r="E1831" s="21" t="n">
        <x:f>IF(AND('Merit Review'!H81&gt;=0,'Merit Review'!H81&lt;=100),1,0)</x:f>
        <x:v>1</x:v>
      </x:c>
      <x:c r="F1831" s="21" t="n">
        <x:v>1</x:v>
      </x:c>
      <x:c r="G1831" s="23" t="str">
        <x:f>IF(E1831=F1831,"PASS","FAIL")</x:f>
        <x:v>PASS</x:v>
      </x:c>
    </x:row>
    <x:row r="1832">
      <x:c r="B1832" s="21" t="str">
        <x:v>A1826</x:v>
      </x:c>
      <x:c r="C1832" s="21" t="str">
        <x:v>merit</x:v>
      </x:c>
      <x:c r="D1832" s="21" t="str">
        <x:v>merit 81 weighted formula</x:v>
      </x:c>
      <x:c r="E1832" s="21" t="n">
        <x:f>IF(ABS('Merit Review'!I81-'Merit Review'!G81*'Merit Review'!H81)&lt;0.000001,1,0)</x:f>
        <x:v>1</x:v>
      </x:c>
      <x:c r="F1832" s="21" t="n">
        <x:v>1</x:v>
      </x:c>
      <x:c r="G1832" s="23" t="str">
        <x:f>IF(E1832=F1832,"PASS","FAIL")</x:f>
        <x:v>PASS</x:v>
      </x:c>
    </x:row>
    <x:row r="1833">
      <x:c r="B1833" s="21" t="str">
        <x:v>A1827</x:v>
      </x:c>
      <x:c r="C1833" s="21" t="str">
        <x:v>merit</x:v>
      </x:c>
      <x:c r="D1833" s="21" t="str">
        <x:v>merit 82 weight positive</x:v>
      </x:c>
      <x:c r="E1833" s="21" t="n">
        <x:f>IF('Merit Review'!G82&gt;0,1,0)</x:f>
        <x:v>1</x:v>
      </x:c>
      <x:c r="F1833" s="21" t="n">
        <x:v>1</x:v>
      </x:c>
      <x:c r="G1833" s="23" t="str">
        <x:f>IF(E1833=F1833,"PASS","FAIL")</x:f>
        <x:v>PASS</x:v>
      </x:c>
    </x:row>
    <x:row r="1834">
      <x:c r="B1834" s="21" t="str">
        <x:v>A1828</x:v>
      </x:c>
      <x:c r="C1834" s="21" t="str">
        <x:v>merit</x:v>
      </x:c>
      <x:c r="D1834" s="21" t="str">
        <x:v>merit 82 score bounded</x:v>
      </x:c>
      <x:c r="E1834" s="21" t="n">
        <x:f>IF(AND('Merit Review'!H82&gt;=0,'Merit Review'!H82&lt;=100),1,0)</x:f>
        <x:v>1</x:v>
      </x:c>
      <x:c r="F1834" s="21" t="n">
        <x:v>1</x:v>
      </x:c>
      <x:c r="G1834" s="23" t="str">
        <x:f>IF(E1834=F1834,"PASS","FAIL")</x:f>
        <x:v>PASS</x:v>
      </x:c>
    </x:row>
    <x:row r="1835">
      <x:c r="B1835" s="21" t="str">
        <x:v>A1829</x:v>
      </x:c>
      <x:c r="C1835" s="21" t="str">
        <x:v>merit</x:v>
      </x:c>
      <x:c r="D1835" s="21" t="str">
        <x:v>merit 82 weighted formula</x:v>
      </x:c>
      <x:c r="E1835" s="21" t="n">
        <x:f>IF(ABS('Merit Review'!I82-'Merit Review'!G82*'Merit Review'!H82)&lt;0.000001,1,0)</x:f>
        <x:v>1</x:v>
      </x:c>
      <x:c r="F1835" s="21" t="n">
        <x:v>1</x:v>
      </x:c>
      <x:c r="G1835" s="23" t="str">
        <x:f>IF(E1835=F1835,"PASS","FAIL")</x:f>
        <x:v>PASS</x:v>
      </x:c>
    </x:row>
    <x:row r="1836">
      <x:c r="B1836" s="21" t="str">
        <x:v>A1830</x:v>
      </x:c>
      <x:c r="C1836" s="21" t="str">
        <x:v>merit</x:v>
      </x:c>
      <x:c r="D1836" s="21" t="str">
        <x:v>merit 83 weight positive</x:v>
      </x:c>
      <x:c r="E1836" s="21" t="n">
        <x:f>IF('Merit Review'!G83&gt;0,1,0)</x:f>
        <x:v>1</x:v>
      </x:c>
      <x:c r="F1836" s="21" t="n">
        <x:v>1</x:v>
      </x:c>
      <x:c r="G1836" s="23" t="str">
        <x:f>IF(E1836=F1836,"PASS","FAIL")</x:f>
        <x:v>PASS</x:v>
      </x:c>
    </x:row>
    <x:row r="1837">
      <x:c r="B1837" s="21" t="str">
        <x:v>A1831</x:v>
      </x:c>
      <x:c r="C1837" s="21" t="str">
        <x:v>merit</x:v>
      </x:c>
      <x:c r="D1837" s="21" t="str">
        <x:v>merit 83 score bounded</x:v>
      </x:c>
      <x:c r="E1837" s="21" t="n">
        <x:f>IF(AND('Merit Review'!H83&gt;=0,'Merit Review'!H83&lt;=100),1,0)</x:f>
        <x:v>1</x:v>
      </x:c>
      <x:c r="F1837" s="21" t="n">
        <x:v>1</x:v>
      </x:c>
      <x:c r="G1837" s="23" t="str">
        <x:f>IF(E1837=F1837,"PASS","FAIL")</x:f>
        <x:v>PASS</x:v>
      </x:c>
    </x:row>
    <x:row r="1838">
      <x:c r="B1838" s="21" t="str">
        <x:v>A1832</x:v>
      </x:c>
      <x:c r="C1838" s="21" t="str">
        <x:v>merit</x:v>
      </x:c>
      <x:c r="D1838" s="21" t="str">
        <x:v>merit 83 weighted formula</x:v>
      </x:c>
      <x:c r="E1838" s="21" t="n">
        <x:f>IF(ABS('Merit Review'!I83-'Merit Review'!G83*'Merit Review'!H83)&lt;0.000001,1,0)</x:f>
        <x:v>1</x:v>
      </x:c>
      <x:c r="F1838" s="21" t="n">
        <x:v>1</x:v>
      </x:c>
      <x:c r="G1838" s="23" t="str">
        <x:f>IF(E1838=F1838,"PASS","FAIL")</x:f>
        <x:v>PASS</x:v>
      </x:c>
    </x:row>
    <x:row r="1839">
      <x:c r="B1839" s="21" t="str">
        <x:v>A1833</x:v>
      </x:c>
      <x:c r="C1839" s="21" t="str">
        <x:v>merit</x:v>
      </x:c>
      <x:c r="D1839" s="21" t="str">
        <x:v>merit 84 weight positive</x:v>
      </x:c>
      <x:c r="E1839" s="21" t="n">
        <x:f>IF('Merit Review'!G84&gt;0,1,0)</x:f>
        <x:v>1</x:v>
      </x:c>
      <x:c r="F1839" s="21" t="n">
        <x:v>1</x:v>
      </x:c>
      <x:c r="G1839" s="23" t="str">
        <x:f>IF(E1839=F1839,"PASS","FAIL")</x:f>
        <x:v>PASS</x:v>
      </x:c>
    </x:row>
    <x:row r="1840">
      <x:c r="B1840" s="21" t="str">
        <x:v>A1834</x:v>
      </x:c>
      <x:c r="C1840" s="21" t="str">
        <x:v>merit</x:v>
      </x:c>
      <x:c r="D1840" s="21" t="str">
        <x:v>merit 84 score bounded</x:v>
      </x:c>
      <x:c r="E1840" s="21" t="n">
        <x:f>IF(AND('Merit Review'!H84&gt;=0,'Merit Review'!H84&lt;=100),1,0)</x:f>
        <x:v>1</x:v>
      </x:c>
      <x:c r="F1840" s="21" t="n">
        <x:v>1</x:v>
      </x:c>
      <x:c r="G1840" s="23" t="str">
        <x:f>IF(E1840=F1840,"PASS","FAIL")</x:f>
        <x:v>PASS</x:v>
      </x:c>
    </x:row>
    <x:row r="1841">
      <x:c r="B1841" s="21" t="str">
        <x:v>A1835</x:v>
      </x:c>
      <x:c r="C1841" s="21" t="str">
        <x:v>merit</x:v>
      </x:c>
      <x:c r="D1841" s="21" t="str">
        <x:v>merit 84 weighted formula</x:v>
      </x:c>
      <x:c r="E1841" s="21" t="n">
        <x:f>IF(ABS('Merit Review'!I84-'Merit Review'!G84*'Merit Review'!H84)&lt;0.000001,1,0)</x:f>
        <x:v>1</x:v>
      </x:c>
      <x:c r="F1841" s="21" t="n">
        <x:v>1</x:v>
      </x:c>
      <x:c r="G1841" s="23" t="str">
        <x:f>IF(E1841=F1841,"PASS","FAIL")</x:f>
        <x:v>PASS</x:v>
      </x:c>
    </x:row>
    <x:row r="1842">
      <x:c r="B1842" s="21" t="str">
        <x:v>A1836</x:v>
      </x:c>
      <x:c r="C1842" s="21" t="str">
        <x:v>merit</x:v>
      </x:c>
      <x:c r="D1842" s="21" t="str">
        <x:v>merit 85 weight positive</x:v>
      </x:c>
      <x:c r="E1842" s="21" t="n">
        <x:f>IF('Merit Review'!G85&gt;0,1,0)</x:f>
        <x:v>1</x:v>
      </x:c>
      <x:c r="F1842" s="21" t="n">
        <x:v>1</x:v>
      </x:c>
      <x:c r="G1842" s="23" t="str">
        <x:f>IF(E1842=F1842,"PASS","FAIL")</x:f>
        <x:v>PASS</x:v>
      </x:c>
    </x:row>
    <x:row r="1843">
      <x:c r="B1843" s="21" t="str">
        <x:v>A1837</x:v>
      </x:c>
      <x:c r="C1843" s="21" t="str">
        <x:v>merit</x:v>
      </x:c>
      <x:c r="D1843" s="21" t="str">
        <x:v>merit 85 score bounded</x:v>
      </x:c>
      <x:c r="E1843" s="21" t="n">
        <x:f>IF(AND('Merit Review'!H85&gt;=0,'Merit Review'!H85&lt;=100),1,0)</x:f>
        <x:v>1</x:v>
      </x:c>
      <x:c r="F1843" s="21" t="n">
        <x:v>1</x:v>
      </x:c>
      <x:c r="G1843" s="23" t="str">
        <x:f>IF(E1843=F1843,"PASS","FAIL")</x:f>
        <x:v>PASS</x:v>
      </x:c>
    </x:row>
    <x:row r="1844">
      <x:c r="B1844" s="21" t="str">
        <x:v>A1838</x:v>
      </x:c>
      <x:c r="C1844" s="21" t="str">
        <x:v>merit</x:v>
      </x:c>
      <x:c r="D1844" s="21" t="str">
        <x:v>merit 85 weighted formula</x:v>
      </x:c>
      <x:c r="E1844" s="21" t="n">
        <x:f>IF(ABS('Merit Review'!I85-'Merit Review'!G85*'Merit Review'!H85)&lt;0.000001,1,0)</x:f>
        <x:v>1</x:v>
      </x:c>
      <x:c r="F1844" s="21" t="n">
        <x:v>1</x:v>
      </x:c>
      <x:c r="G1844" s="23" t="str">
        <x:f>IF(E1844=F1844,"PASS","FAIL")</x:f>
        <x:v>PASS</x:v>
      </x:c>
    </x:row>
    <x:row r="1845">
      <x:c r="B1845" s="21" t="str">
        <x:v>A1839</x:v>
      </x:c>
      <x:c r="C1845" s="21" t="str">
        <x:v>merit</x:v>
      </x:c>
      <x:c r="D1845" s="21" t="str">
        <x:v>merit 86 weight positive</x:v>
      </x:c>
      <x:c r="E1845" s="21" t="n">
        <x:f>IF('Merit Review'!G86&gt;0,1,0)</x:f>
        <x:v>1</x:v>
      </x:c>
      <x:c r="F1845" s="21" t="n">
        <x:v>1</x:v>
      </x:c>
      <x:c r="G1845" s="23" t="str">
        <x:f>IF(E1845=F1845,"PASS","FAIL")</x:f>
        <x:v>PASS</x:v>
      </x:c>
    </x:row>
    <x:row r="1846">
      <x:c r="B1846" s="21" t="str">
        <x:v>A1840</x:v>
      </x:c>
      <x:c r="C1846" s="21" t="str">
        <x:v>merit</x:v>
      </x:c>
      <x:c r="D1846" s="21" t="str">
        <x:v>merit 86 score bounded</x:v>
      </x:c>
      <x:c r="E1846" s="21" t="n">
        <x:f>IF(AND('Merit Review'!H86&gt;=0,'Merit Review'!H86&lt;=100),1,0)</x:f>
        <x:v>1</x:v>
      </x:c>
      <x:c r="F1846" s="21" t="n">
        <x:v>1</x:v>
      </x:c>
      <x:c r="G1846" s="23" t="str">
        <x:f>IF(E1846=F1846,"PASS","FAIL")</x:f>
        <x:v>PASS</x:v>
      </x:c>
    </x:row>
    <x:row r="1847">
      <x:c r="B1847" s="21" t="str">
        <x:v>A1841</x:v>
      </x:c>
      <x:c r="C1847" s="21" t="str">
        <x:v>merit</x:v>
      </x:c>
      <x:c r="D1847" s="21" t="str">
        <x:v>merit 86 weighted formula</x:v>
      </x:c>
      <x:c r="E1847" s="21" t="n">
        <x:f>IF(ABS('Merit Review'!I86-'Merit Review'!G86*'Merit Review'!H86)&lt;0.000001,1,0)</x:f>
        <x:v>1</x:v>
      </x:c>
      <x:c r="F1847" s="21" t="n">
        <x:v>1</x:v>
      </x:c>
      <x:c r="G1847" s="23" t="str">
        <x:f>IF(E1847=F1847,"PASS","FAIL")</x:f>
        <x:v>PASS</x:v>
      </x:c>
    </x:row>
    <x:row r="1848">
      <x:c r="B1848" s="21" t="str">
        <x:v>A1842</x:v>
      </x:c>
      <x:c r="C1848" s="21" t="str">
        <x:v>merit</x:v>
      </x:c>
      <x:c r="D1848" s="21" t="str">
        <x:v>merit 87 weight positive</x:v>
      </x:c>
      <x:c r="E1848" s="21" t="n">
        <x:f>IF('Merit Review'!G87&gt;0,1,0)</x:f>
        <x:v>1</x:v>
      </x:c>
      <x:c r="F1848" s="21" t="n">
        <x:v>1</x:v>
      </x:c>
      <x:c r="G1848" s="23" t="str">
        <x:f>IF(E1848=F1848,"PASS","FAIL")</x:f>
        <x:v>PASS</x:v>
      </x:c>
    </x:row>
    <x:row r="1849">
      <x:c r="B1849" s="21" t="str">
        <x:v>A1843</x:v>
      </x:c>
      <x:c r="C1849" s="21" t="str">
        <x:v>merit</x:v>
      </x:c>
      <x:c r="D1849" s="21" t="str">
        <x:v>merit 87 score bounded</x:v>
      </x:c>
      <x:c r="E1849" s="21" t="n">
        <x:f>IF(AND('Merit Review'!H87&gt;=0,'Merit Review'!H87&lt;=100),1,0)</x:f>
        <x:v>1</x:v>
      </x:c>
      <x:c r="F1849" s="21" t="n">
        <x:v>1</x:v>
      </x:c>
      <x:c r="G1849" s="23" t="str">
        <x:f>IF(E1849=F1849,"PASS","FAIL")</x:f>
        <x:v>PASS</x:v>
      </x:c>
    </x:row>
    <x:row r="1850">
      <x:c r="B1850" s="21" t="str">
        <x:v>A1844</x:v>
      </x:c>
      <x:c r="C1850" s="21" t="str">
        <x:v>merit</x:v>
      </x:c>
      <x:c r="D1850" s="21" t="str">
        <x:v>merit 87 weighted formula</x:v>
      </x:c>
      <x:c r="E1850" s="21" t="n">
        <x:f>IF(ABS('Merit Review'!I87-'Merit Review'!G87*'Merit Review'!H87)&lt;0.000001,1,0)</x:f>
        <x:v>1</x:v>
      </x:c>
      <x:c r="F1850" s="21" t="n">
        <x:v>1</x:v>
      </x:c>
      <x:c r="G1850" s="23" t="str">
        <x:f>IF(E1850=F1850,"PASS","FAIL")</x:f>
        <x:v>PASS</x:v>
      </x:c>
    </x:row>
    <x:row r="1851">
      <x:c r="B1851" s="21" t="str">
        <x:v>A1845</x:v>
      </x:c>
      <x:c r="C1851" s="21" t="str">
        <x:v>merit</x:v>
      </x:c>
      <x:c r="D1851" s="21" t="str">
        <x:v>merit 88 weight positive</x:v>
      </x:c>
      <x:c r="E1851" s="21" t="n">
        <x:f>IF('Merit Review'!G88&gt;0,1,0)</x:f>
        <x:v>1</x:v>
      </x:c>
      <x:c r="F1851" s="21" t="n">
        <x:v>1</x:v>
      </x:c>
      <x:c r="G1851" s="23" t="str">
        <x:f>IF(E1851=F1851,"PASS","FAIL")</x:f>
        <x:v>PASS</x:v>
      </x:c>
    </x:row>
    <x:row r="1852">
      <x:c r="B1852" s="21" t="str">
        <x:v>A1846</x:v>
      </x:c>
      <x:c r="C1852" s="21" t="str">
        <x:v>merit</x:v>
      </x:c>
      <x:c r="D1852" s="21" t="str">
        <x:v>merit 88 score bounded</x:v>
      </x:c>
      <x:c r="E1852" s="21" t="n">
        <x:f>IF(AND('Merit Review'!H88&gt;=0,'Merit Review'!H88&lt;=100),1,0)</x:f>
        <x:v>1</x:v>
      </x:c>
      <x:c r="F1852" s="21" t="n">
        <x:v>1</x:v>
      </x:c>
      <x:c r="G1852" s="23" t="str">
        <x:f>IF(E1852=F1852,"PASS","FAIL")</x:f>
        <x:v>PASS</x:v>
      </x:c>
    </x:row>
    <x:row r="1853">
      <x:c r="B1853" s="21" t="str">
        <x:v>A1847</x:v>
      </x:c>
      <x:c r="C1853" s="21" t="str">
        <x:v>merit</x:v>
      </x:c>
      <x:c r="D1853" s="21" t="str">
        <x:v>merit 88 weighted formula</x:v>
      </x:c>
      <x:c r="E1853" s="21" t="n">
        <x:f>IF(ABS('Merit Review'!I88-'Merit Review'!G88*'Merit Review'!H88)&lt;0.000001,1,0)</x:f>
        <x:v>1</x:v>
      </x:c>
      <x:c r="F1853" s="21" t="n">
        <x:v>1</x:v>
      </x:c>
      <x:c r="G1853" s="23" t="str">
        <x:f>IF(E1853=F1853,"PASS","FAIL")</x:f>
        <x:v>PASS</x:v>
      </x:c>
    </x:row>
    <x:row r="1854">
      <x:c r="B1854" s="21" t="str">
        <x:v>A1848</x:v>
      </x:c>
      <x:c r="C1854" s="21" t="str">
        <x:v>merit</x:v>
      </x:c>
      <x:c r="D1854" s="21" t="str">
        <x:v>merit 89 weight positive</x:v>
      </x:c>
      <x:c r="E1854" s="21" t="n">
        <x:f>IF('Merit Review'!G89&gt;0,1,0)</x:f>
        <x:v>1</x:v>
      </x:c>
      <x:c r="F1854" s="21" t="n">
        <x:v>1</x:v>
      </x:c>
      <x:c r="G1854" s="23" t="str">
        <x:f>IF(E1854=F1854,"PASS","FAIL")</x:f>
        <x:v>PASS</x:v>
      </x:c>
    </x:row>
    <x:row r="1855">
      <x:c r="B1855" s="21" t="str">
        <x:v>A1849</x:v>
      </x:c>
      <x:c r="C1855" s="21" t="str">
        <x:v>merit</x:v>
      </x:c>
      <x:c r="D1855" s="21" t="str">
        <x:v>merit 89 score bounded</x:v>
      </x:c>
      <x:c r="E1855" s="21" t="n">
        <x:f>IF(AND('Merit Review'!H89&gt;=0,'Merit Review'!H89&lt;=100),1,0)</x:f>
        <x:v>1</x:v>
      </x:c>
      <x:c r="F1855" s="21" t="n">
        <x:v>1</x:v>
      </x:c>
      <x:c r="G1855" s="23" t="str">
        <x:f>IF(E1855=F1855,"PASS","FAIL")</x:f>
        <x:v>PASS</x:v>
      </x:c>
    </x:row>
    <x:row r="1856">
      <x:c r="B1856" s="21" t="str">
        <x:v>A1850</x:v>
      </x:c>
      <x:c r="C1856" s="21" t="str">
        <x:v>merit</x:v>
      </x:c>
      <x:c r="D1856" s="21" t="str">
        <x:v>merit 89 weighted formula</x:v>
      </x:c>
      <x:c r="E1856" s="21" t="n">
        <x:f>IF(ABS('Merit Review'!I89-'Merit Review'!G89*'Merit Review'!H89)&lt;0.000001,1,0)</x:f>
        <x:v>1</x:v>
      </x:c>
      <x:c r="F1856" s="21" t="n">
        <x:v>1</x:v>
      </x:c>
      <x:c r="G1856" s="23" t="str">
        <x:f>IF(E1856=F1856,"PASS","FAIL")</x:f>
        <x:v>PASS</x:v>
      </x:c>
    </x:row>
    <x:row r="1857">
      <x:c r="B1857" s="21" t="str">
        <x:v>A1851</x:v>
      </x:c>
      <x:c r="C1857" s="21" t="str">
        <x:v>merit</x:v>
      </x:c>
      <x:c r="D1857" s="21" t="str">
        <x:v>merit 90 weight positive</x:v>
      </x:c>
      <x:c r="E1857" s="21" t="n">
        <x:f>IF('Merit Review'!G90&gt;0,1,0)</x:f>
        <x:v>1</x:v>
      </x:c>
      <x:c r="F1857" s="21" t="n">
        <x:v>1</x:v>
      </x:c>
      <x:c r="G1857" s="23" t="str">
        <x:f>IF(E1857=F1857,"PASS","FAIL")</x:f>
        <x:v>PASS</x:v>
      </x:c>
    </x:row>
    <x:row r="1858">
      <x:c r="B1858" s="21" t="str">
        <x:v>A1852</x:v>
      </x:c>
      <x:c r="C1858" s="21" t="str">
        <x:v>merit</x:v>
      </x:c>
      <x:c r="D1858" s="21" t="str">
        <x:v>merit 90 score bounded</x:v>
      </x:c>
      <x:c r="E1858" s="21" t="n">
        <x:f>IF(AND('Merit Review'!H90&gt;=0,'Merit Review'!H90&lt;=100),1,0)</x:f>
        <x:v>1</x:v>
      </x:c>
      <x:c r="F1858" s="21" t="n">
        <x:v>1</x:v>
      </x:c>
      <x:c r="G1858" s="23" t="str">
        <x:f>IF(E1858=F1858,"PASS","FAIL")</x:f>
        <x:v>PASS</x:v>
      </x:c>
    </x:row>
    <x:row r="1859">
      <x:c r="B1859" s="21" t="str">
        <x:v>A1853</x:v>
      </x:c>
      <x:c r="C1859" s="21" t="str">
        <x:v>merit</x:v>
      </x:c>
      <x:c r="D1859" s="21" t="str">
        <x:v>merit 90 weighted formula</x:v>
      </x:c>
      <x:c r="E1859" s="21" t="n">
        <x:f>IF(ABS('Merit Review'!I90-'Merit Review'!G90*'Merit Review'!H90)&lt;0.000001,1,0)</x:f>
        <x:v>1</x:v>
      </x:c>
      <x:c r="F1859" s="21" t="n">
        <x:v>1</x:v>
      </x:c>
      <x:c r="G1859" s="23" t="str">
        <x:f>IF(E1859=F1859,"PASS","FAIL")</x:f>
        <x:v>PASS</x:v>
      </x:c>
    </x:row>
    <x:row r="1860">
      <x:c r="B1860" s="21" t="str">
        <x:v>A1854</x:v>
      </x:c>
      <x:c r="C1860" s="21" t="str">
        <x:v>merit</x:v>
      </x:c>
      <x:c r="D1860" s="21" t="str">
        <x:v>merit 91 weight positive</x:v>
      </x:c>
      <x:c r="E1860" s="21" t="n">
        <x:f>IF('Merit Review'!G91&gt;0,1,0)</x:f>
        <x:v>1</x:v>
      </x:c>
      <x:c r="F1860" s="21" t="n">
        <x:v>1</x:v>
      </x:c>
      <x:c r="G1860" s="23" t="str">
        <x:f>IF(E1860=F1860,"PASS","FAIL")</x:f>
        <x:v>PASS</x:v>
      </x:c>
    </x:row>
    <x:row r="1861">
      <x:c r="B1861" s="21" t="str">
        <x:v>A1855</x:v>
      </x:c>
      <x:c r="C1861" s="21" t="str">
        <x:v>merit</x:v>
      </x:c>
      <x:c r="D1861" s="21" t="str">
        <x:v>merit 91 score bounded</x:v>
      </x:c>
      <x:c r="E1861" s="21" t="n">
        <x:f>IF(AND('Merit Review'!H91&gt;=0,'Merit Review'!H91&lt;=100),1,0)</x:f>
        <x:v>1</x:v>
      </x:c>
      <x:c r="F1861" s="21" t="n">
        <x:v>1</x:v>
      </x:c>
      <x:c r="G1861" s="23" t="str">
        <x:f>IF(E1861=F1861,"PASS","FAIL")</x:f>
        <x:v>PASS</x:v>
      </x:c>
    </x:row>
    <x:row r="1862">
      <x:c r="B1862" s="21" t="str">
        <x:v>A1856</x:v>
      </x:c>
      <x:c r="C1862" s="21" t="str">
        <x:v>merit</x:v>
      </x:c>
      <x:c r="D1862" s="21" t="str">
        <x:v>merit 91 weighted formula</x:v>
      </x:c>
      <x:c r="E1862" s="21" t="n">
        <x:f>IF(ABS('Merit Review'!I91-'Merit Review'!G91*'Merit Review'!H91)&lt;0.000001,1,0)</x:f>
        <x:v>1</x:v>
      </x:c>
      <x:c r="F1862" s="21" t="n">
        <x:v>1</x:v>
      </x:c>
      <x:c r="G1862" s="23" t="str">
        <x:f>IF(E1862=F1862,"PASS","FAIL")</x:f>
        <x:v>PASS</x:v>
      </x:c>
    </x:row>
    <x:row r="1863">
      <x:c r="B1863" s="21" t="str">
        <x:v>A1857</x:v>
      </x:c>
      <x:c r="C1863" s="21" t="str">
        <x:v>merit</x:v>
      </x:c>
      <x:c r="D1863" s="21" t="str">
        <x:v>merit 92 weight positive</x:v>
      </x:c>
      <x:c r="E1863" s="21" t="n">
        <x:f>IF('Merit Review'!G92&gt;0,1,0)</x:f>
        <x:v>1</x:v>
      </x:c>
      <x:c r="F1863" s="21" t="n">
        <x:v>1</x:v>
      </x:c>
      <x:c r="G1863" s="23" t="str">
        <x:f>IF(E1863=F1863,"PASS","FAIL")</x:f>
        <x:v>PASS</x:v>
      </x:c>
    </x:row>
    <x:row r="1864">
      <x:c r="B1864" s="21" t="str">
        <x:v>A1858</x:v>
      </x:c>
      <x:c r="C1864" s="21" t="str">
        <x:v>merit</x:v>
      </x:c>
      <x:c r="D1864" s="21" t="str">
        <x:v>merit 92 score bounded</x:v>
      </x:c>
      <x:c r="E1864" s="21" t="n">
        <x:f>IF(AND('Merit Review'!H92&gt;=0,'Merit Review'!H92&lt;=100),1,0)</x:f>
        <x:v>1</x:v>
      </x:c>
      <x:c r="F1864" s="21" t="n">
        <x:v>1</x:v>
      </x:c>
      <x:c r="G1864" s="23" t="str">
        <x:f>IF(E1864=F1864,"PASS","FAIL")</x:f>
        <x:v>PASS</x:v>
      </x:c>
    </x:row>
    <x:row r="1865">
      <x:c r="B1865" s="21" t="str">
        <x:v>A1859</x:v>
      </x:c>
      <x:c r="C1865" s="21" t="str">
        <x:v>merit</x:v>
      </x:c>
      <x:c r="D1865" s="21" t="str">
        <x:v>merit 92 weighted formula</x:v>
      </x:c>
      <x:c r="E1865" s="21" t="n">
        <x:f>IF(ABS('Merit Review'!I92-'Merit Review'!G92*'Merit Review'!H92)&lt;0.000001,1,0)</x:f>
        <x:v>1</x:v>
      </x:c>
      <x:c r="F1865" s="21" t="n">
        <x:v>1</x:v>
      </x:c>
      <x:c r="G1865" s="23" t="str">
        <x:f>IF(E1865=F1865,"PASS","FAIL")</x:f>
        <x:v>PASS</x:v>
      </x:c>
    </x:row>
    <x:row r="1866">
      <x:c r="B1866" s="21" t="str">
        <x:v>A1860</x:v>
      </x:c>
      <x:c r="C1866" s="21" t="str">
        <x:v>merit</x:v>
      </x:c>
      <x:c r="D1866" s="21" t="str">
        <x:v>merit 93 weight positive</x:v>
      </x:c>
      <x:c r="E1866" s="21" t="n">
        <x:f>IF('Merit Review'!G93&gt;0,1,0)</x:f>
        <x:v>1</x:v>
      </x:c>
      <x:c r="F1866" s="21" t="n">
        <x:v>1</x:v>
      </x:c>
      <x:c r="G1866" s="23" t="str">
        <x:f>IF(E1866=F1866,"PASS","FAIL")</x:f>
        <x:v>PASS</x:v>
      </x:c>
    </x:row>
    <x:row r="1867">
      <x:c r="B1867" s="21" t="str">
        <x:v>A1861</x:v>
      </x:c>
      <x:c r="C1867" s="21" t="str">
        <x:v>merit</x:v>
      </x:c>
      <x:c r="D1867" s="21" t="str">
        <x:v>merit 93 score bounded</x:v>
      </x:c>
      <x:c r="E1867" s="21" t="n">
        <x:f>IF(AND('Merit Review'!H93&gt;=0,'Merit Review'!H93&lt;=100),1,0)</x:f>
        <x:v>1</x:v>
      </x:c>
      <x:c r="F1867" s="21" t="n">
        <x:v>1</x:v>
      </x:c>
      <x:c r="G1867" s="23" t="str">
        <x:f>IF(E1867=F1867,"PASS","FAIL")</x:f>
        <x:v>PASS</x:v>
      </x:c>
    </x:row>
    <x:row r="1868">
      <x:c r="B1868" s="21" t="str">
        <x:v>A1862</x:v>
      </x:c>
      <x:c r="C1868" s="21" t="str">
        <x:v>merit</x:v>
      </x:c>
      <x:c r="D1868" s="21" t="str">
        <x:v>merit 93 weighted formula</x:v>
      </x:c>
      <x:c r="E1868" s="21" t="n">
        <x:f>IF(ABS('Merit Review'!I93-'Merit Review'!G93*'Merit Review'!H93)&lt;0.000001,1,0)</x:f>
        <x:v>1</x:v>
      </x:c>
      <x:c r="F1868" s="21" t="n">
        <x:v>1</x:v>
      </x:c>
      <x:c r="G1868" s="23" t="str">
        <x:f>IF(E1868=F1868,"PASS","FAIL")</x:f>
        <x:v>PASS</x:v>
      </x:c>
    </x:row>
    <x:row r="1869">
      <x:c r="B1869" s="21" t="str">
        <x:v>A1863</x:v>
      </x:c>
      <x:c r="C1869" s="21" t="str">
        <x:v>merit</x:v>
      </x:c>
      <x:c r="D1869" s="21" t="str">
        <x:v>merit 94 weight positive</x:v>
      </x:c>
      <x:c r="E1869" s="21" t="n">
        <x:f>IF('Merit Review'!G94&gt;0,1,0)</x:f>
        <x:v>1</x:v>
      </x:c>
      <x:c r="F1869" s="21" t="n">
        <x:v>1</x:v>
      </x:c>
      <x:c r="G1869" s="23" t="str">
        <x:f>IF(E1869=F1869,"PASS","FAIL")</x:f>
        <x:v>PASS</x:v>
      </x:c>
    </x:row>
    <x:row r="1870">
      <x:c r="B1870" s="21" t="str">
        <x:v>A1864</x:v>
      </x:c>
      <x:c r="C1870" s="21" t="str">
        <x:v>merit</x:v>
      </x:c>
      <x:c r="D1870" s="21" t="str">
        <x:v>merit 94 score bounded</x:v>
      </x:c>
      <x:c r="E1870" s="21" t="n">
        <x:f>IF(AND('Merit Review'!H94&gt;=0,'Merit Review'!H94&lt;=100),1,0)</x:f>
        <x:v>1</x:v>
      </x:c>
      <x:c r="F1870" s="21" t="n">
        <x:v>1</x:v>
      </x:c>
      <x:c r="G1870" s="23" t="str">
        <x:f>IF(E1870=F1870,"PASS","FAIL")</x:f>
        <x:v>PASS</x:v>
      </x:c>
    </x:row>
    <x:row r="1871">
      <x:c r="B1871" s="21" t="str">
        <x:v>A1865</x:v>
      </x:c>
      <x:c r="C1871" s="21" t="str">
        <x:v>merit</x:v>
      </x:c>
      <x:c r="D1871" s="21" t="str">
        <x:v>merit 94 weighted formula</x:v>
      </x:c>
      <x:c r="E1871" s="21" t="n">
        <x:f>IF(ABS('Merit Review'!I94-'Merit Review'!G94*'Merit Review'!H94)&lt;0.000001,1,0)</x:f>
        <x:v>1</x:v>
      </x:c>
      <x:c r="F1871" s="21" t="n">
        <x:v>1</x:v>
      </x:c>
      <x:c r="G1871" s="23" t="str">
        <x:f>IF(E1871=F1871,"PASS","FAIL")</x:f>
        <x:v>PASS</x:v>
      </x:c>
    </x:row>
    <x:row r="1872">
      <x:c r="B1872" s="21" t="str">
        <x:v>A1866</x:v>
      </x:c>
      <x:c r="C1872" s="21" t="str">
        <x:v>merit</x:v>
      </x:c>
      <x:c r="D1872" s="21" t="str">
        <x:v>merit 95 weight positive</x:v>
      </x:c>
      <x:c r="E1872" s="21" t="n">
        <x:f>IF('Merit Review'!G95&gt;0,1,0)</x:f>
        <x:v>1</x:v>
      </x:c>
      <x:c r="F1872" s="21" t="n">
        <x:v>1</x:v>
      </x:c>
      <x:c r="G1872" s="23" t="str">
        <x:f>IF(E1872=F1872,"PASS","FAIL")</x:f>
        <x:v>PASS</x:v>
      </x:c>
    </x:row>
    <x:row r="1873">
      <x:c r="B1873" s="21" t="str">
        <x:v>A1867</x:v>
      </x:c>
      <x:c r="C1873" s="21" t="str">
        <x:v>merit</x:v>
      </x:c>
      <x:c r="D1873" s="21" t="str">
        <x:v>merit 95 score bounded</x:v>
      </x:c>
      <x:c r="E1873" s="21" t="n">
        <x:f>IF(AND('Merit Review'!H95&gt;=0,'Merit Review'!H95&lt;=100),1,0)</x:f>
        <x:v>1</x:v>
      </x:c>
      <x:c r="F1873" s="21" t="n">
        <x:v>1</x:v>
      </x:c>
      <x:c r="G1873" s="23" t="str">
        <x:f>IF(E1873=F1873,"PASS","FAIL")</x:f>
        <x:v>PASS</x:v>
      </x:c>
    </x:row>
    <x:row r="1874">
      <x:c r="B1874" s="21" t="str">
        <x:v>A1868</x:v>
      </x:c>
      <x:c r="C1874" s="21" t="str">
        <x:v>merit</x:v>
      </x:c>
      <x:c r="D1874" s="21" t="str">
        <x:v>merit 95 weighted formula</x:v>
      </x:c>
      <x:c r="E1874" s="21" t="n">
        <x:f>IF(ABS('Merit Review'!I95-'Merit Review'!G95*'Merit Review'!H95)&lt;0.000001,1,0)</x:f>
        <x:v>1</x:v>
      </x:c>
      <x:c r="F1874" s="21" t="n">
        <x:v>1</x:v>
      </x:c>
      <x:c r="G1874" s="23" t="str">
        <x:f>IF(E1874=F1874,"PASS","FAIL")</x:f>
        <x:v>PASS</x:v>
      </x:c>
    </x:row>
    <x:row r="1875">
      <x:c r="B1875" s="21" t="str">
        <x:v>A1869</x:v>
      </x:c>
      <x:c r="C1875" s="21" t="str">
        <x:v>merit</x:v>
      </x:c>
      <x:c r="D1875" s="21" t="str">
        <x:v>merit 96 weight positive</x:v>
      </x:c>
      <x:c r="E1875" s="21" t="n">
        <x:f>IF('Merit Review'!G96&gt;0,1,0)</x:f>
        <x:v>1</x:v>
      </x:c>
      <x:c r="F1875" s="21" t="n">
        <x:v>1</x:v>
      </x:c>
      <x:c r="G1875" s="23" t="str">
        <x:f>IF(E1875=F1875,"PASS","FAIL")</x:f>
        <x:v>PASS</x:v>
      </x:c>
    </x:row>
    <x:row r="1876">
      <x:c r="B1876" s="21" t="str">
        <x:v>A1870</x:v>
      </x:c>
      <x:c r="C1876" s="21" t="str">
        <x:v>merit</x:v>
      </x:c>
      <x:c r="D1876" s="21" t="str">
        <x:v>merit 96 score bounded</x:v>
      </x:c>
      <x:c r="E1876" s="21" t="n">
        <x:f>IF(AND('Merit Review'!H96&gt;=0,'Merit Review'!H96&lt;=100),1,0)</x:f>
        <x:v>1</x:v>
      </x:c>
      <x:c r="F1876" s="21" t="n">
        <x:v>1</x:v>
      </x:c>
      <x:c r="G1876" s="23" t="str">
        <x:f>IF(E1876=F1876,"PASS","FAIL")</x:f>
        <x:v>PASS</x:v>
      </x:c>
    </x:row>
    <x:row r="1877">
      <x:c r="B1877" s="21" t="str">
        <x:v>A1871</x:v>
      </x:c>
      <x:c r="C1877" s="21" t="str">
        <x:v>merit</x:v>
      </x:c>
      <x:c r="D1877" s="21" t="str">
        <x:v>merit 96 weighted formula</x:v>
      </x:c>
      <x:c r="E1877" s="21" t="n">
        <x:f>IF(ABS('Merit Review'!I96-'Merit Review'!G96*'Merit Review'!H96)&lt;0.000001,1,0)</x:f>
        <x:v>1</x:v>
      </x:c>
      <x:c r="F1877" s="21" t="n">
        <x:v>1</x:v>
      </x:c>
      <x:c r="G1877" s="23" t="str">
        <x:f>IF(E1877=F1877,"PASS","FAIL")</x:f>
        <x:v>PASS</x:v>
      </x:c>
    </x:row>
    <x:row r="1878">
      <x:c r="B1878" s="21" t="str">
        <x:v>A1872</x:v>
      </x:c>
      <x:c r="C1878" s="21" t="str">
        <x:v>merit</x:v>
      </x:c>
      <x:c r="D1878" s="21" t="str">
        <x:v>merit 97 weight positive</x:v>
      </x:c>
      <x:c r="E1878" s="21" t="n">
        <x:f>IF('Merit Review'!G97&gt;0,1,0)</x:f>
        <x:v>1</x:v>
      </x:c>
      <x:c r="F1878" s="21" t="n">
        <x:v>1</x:v>
      </x:c>
      <x:c r="G1878" s="23" t="str">
        <x:f>IF(E1878=F1878,"PASS","FAIL")</x:f>
        <x:v>PASS</x:v>
      </x:c>
    </x:row>
    <x:row r="1879">
      <x:c r="B1879" s="21" t="str">
        <x:v>A1873</x:v>
      </x:c>
      <x:c r="C1879" s="21" t="str">
        <x:v>merit</x:v>
      </x:c>
      <x:c r="D1879" s="21" t="str">
        <x:v>merit 97 score bounded</x:v>
      </x:c>
      <x:c r="E1879" s="21" t="n">
        <x:f>IF(AND('Merit Review'!H97&gt;=0,'Merit Review'!H97&lt;=100),1,0)</x:f>
        <x:v>1</x:v>
      </x:c>
      <x:c r="F1879" s="21" t="n">
        <x:v>1</x:v>
      </x:c>
      <x:c r="G1879" s="23" t="str">
        <x:f>IF(E1879=F1879,"PASS","FAIL")</x:f>
        <x:v>PASS</x:v>
      </x:c>
    </x:row>
    <x:row r="1880">
      <x:c r="B1880" s="21" t="str">
        <x:v>A1874</x:v>
      </x:c>
      <x:c r="C1880" s="21" t="str">
        <x:v>merit</x:v>
      </x:c>
      <x:c r="D1880" s="21" t="str">
        <x:v>merit 97 weighted formula</x:v>
      </x:c>
      <x:c r="E1880" s="21" t="n">
        <x:f>IF(ABS('Merit Review'!I97-'Merit Review'!G97*'Merit Review'!H97)&lt;0.000001,1,0)</x:f>
        <x:v>1</x:v>
      </x:c>
      <x:c r="F1880" s="21" t="n">
        <x:v>1</x:v>
      </x:c>
      <x:c r="G1880" s="23" t="str">
        <x:f>IF(E1880=F1880,"PASS","FAIL")</x:f>
        <x:v>PASS</x:v>
      </x:c>
    </x:row>
    <x:row r="1881">
      <x:c r="B1881" s="21" t="str">
        <x:v>A1875</x:v>
      </x:c>
      <x:c r="C1881" s="21" t="str">
        <x:v>merit</x:v>
      </x:c>
      <x:c r="D1881" s="21" t="str">
        <x:v>merit 98 weight positive</x:v>
      </x:c>
      <x:c r="E1881" s="21" t="n">
        <x:f>IF('Merit Review'!G98&gt;0,1,0)</x:f>
        <x:v>1</x:v>
      </x:c>
      <x:c r="F1881" s="21" t="n">
        <x:v>1</x:v>
      </x:c>
      <x:c r="G1881" s="23" t="str">
        <x:f>IF(E1881=F1881,"PASS","FAIL")</x:f>
        <x:v>PASS</x:v>
      </x:c>
    </x:row>
    <x:row r="1882">
      <x:c r="B1882" s="21" t="str">
        <x:v>A1876</x:v>
      </x:c>
      <x:c r="C1882" s="21" t="str">
        <x:v>merit</x:v>
      </x:c>
      <x:c r="D1882" s="21" t="str">
        <x:v>merit 98 score bounded</x:v>
      </x:c>
      <x:c r="E1882" s="21" t="n">
        <x:f>IF(AND('Merit Review'!H98&gt;=0,'Merit Review'!H98&lt;=100),1,0)</x:f>
        <x:v>1</x:v>
      </x:c>
      <x:c r="F1882" s="21" t="n">
        <x:v>1</x:v>
      </x:c>
      <x:c r="G1882" s="23" t="str">
        <x:f>IF(E1882=F1882,"PASS","FAIL")</x:f>
        <x:v>PASS</x:v>
      </x:c>
    </x:row>
    <x:row r="1883">
      <x:c r="B1883" s="21" t="str">
        <x:v>A1877</x:v>
      </x:c>
      <x:c r="C1883" s="21" t="str">
        <x:v>merit</x:v>
      </x:c>
      <x:c r="D1883" s="21" t="str">
        <x:v>merit 98 weighted formula</x:v>
      </x:c>
      <x:c r="E1883" s="21" t="n">
        <x:f>IF(ABS('Merit Review'!I98-'Merit Review'!G98*'Merit Review'!H98)&lt;0.000001,1,0)</x:f>
        <x:v>1</x:v>
      </x:c>
      <x:c r="F1883" s="21" t="n">
        <x:v>1</x:v>
      </x:c>
      <x:c r="G1883" s="23" t="str">
        <x:f>IF(E1883=F1883,"PASS","FAIL")</x:f>
        <x:v>PASS</x:v>
      </x:c>
    </x:row>
    <x:row r="1884">
      <x:c r="B1884" s="21" t="str">
        <x:v>A1878</x:v>
      </x:c>
      <x:c r="C1884" s="21" t="str">
        <x:v>merit</x:v>
      </x:c>
      <x:c r="D1884" s="21" t="str">
        <x:v>merit 99 weight positive</x:v>
      </x:c>
      <x:c r="E1884" s="21" t="n">
        <x:f>IF('Merit Review'!G99&gt;0,1,0)</x:f>
        <x:v>1</x:v>
      </x:c>
      <x:c r="F1884" s="21" t="n">
        <x:v>1</x:v>
      </x:c>
      <x:c r="G1884" s="23" t="str">
        <x:f>IF(E1884=F1884,"PASS","FAIL")</x:f>
        <x:v>PASS</x:v>
      </x:c>
    </x:row>
    <x:row r="1885">
      <x:c r="B1885" s="21" t="str">
        <x:v>A1879</x:v>
      </x:c>
      <x:c r="C1885" s="21" t="str">
        <x:v>merit</x:v>
      </x:c>
      <x:c r="D1885" s="21" t="str">
        <x:v>merit 99 score bounded</x:v>
      </x:c>
      <x:c r="E1885" s="21" t="n">
        <x:f>IF(AND('Merit Review'!H99&gt;=0,'Merit Review'!H99&lt;=100),1,0)</x:f>
        <x:v>1</x:v>
      </x:c>
      <x:c r="F1885" s="21" t="n">
        <x:v>1</x:v>
      </x:c>
      <x:c r="G1885" s="23" t="str">
        <x:f>IF(E1885=F1885,"PASS","FAIL")</x:f>
        <x:v>PASS</x:v>
      </x:c>
    </x:row>
    <x:row r="1886">
      <x:c r="B1886" s="21" t="str">
        <x:v>A1880</x:v>
      </x:c>
      <x:c r="C1886" s="21" t="str">
        <x:v>merit</x:v>
      </x:c>
      <x:c r="D1886" s="21" t="str">
        <x:v>merit 99 weighted formula</x:v>
      </x:c>
      <x:c r="E1886" s="21" t="n">
        <x:f>IF(ABS('Merit Review'!I99-'Merit Review'!G99*'Merit Review'!H99)&lt;0.000001,1,0)</x:f>
        <x:v>1</x:v>
      </x:c>
      <x:c r="F1886" s="21" t="n">
        <x:v>1</x:v>
      </x:c>
      <x:c r="G1886" s="23" t="str">
        <x:f>IF(E1886=F1886,"PASS","FAIL")</x:f>
        <x:v>PASS</x:v>
      </x:c>
    </x:row>
    <x:row r="1887">
      <x:c r="B1887" s="21" t="str">
        <x:v>A1881</x:v>
      </x:c>
      <x:c r="C1887" s="21" t="str">
        <x:v>merit</x:v>
      </x:c>
      <x:c r="D1887" s="21" t="str">
        <x:v>merit 100 weight positive</x:v>
      </x:c>
      <x:c r="E1887" s="21" t="n">
        <x:f>IF('Merit Review'!G100&gt;0,1,0)</x:f>
        <x:v>1</x:v>
      </x:c>
      <x:c r="F1887" s="21" t="n">
        <x:v>1</x:v>
      </x:c>
      <x:c r="G1887" s="23" t="str">
        <x:f>IF(E1887=F1887,"PASS","FAIL")</x:f>
        <x:v>PASS</x:v>
      </x:c>
    </x:row>
    <x:row r="1888">
      <x:c r="B1888" s="21" t="str">
        <x:v>A1882</x:v>
      </x:c>
      <x:c r="C1888" s="21" t="str">
        <x:v>merit</x:v>
      </x:c>
      <x:c r="D1888" s="21" t="str">
        <x:v>merit 100 score bounded</x:v>
      </x:c>
      <x:c r="E1888" s="21" t="n">
        <x:f>IF(AND('Merit Review'!H100&gt;=0,'Merit Review'!H100&lt;=100),1,0)</x:f>
        <x:v>1</x:v>
      </x:c>
      <x:c r="F1888" s="21" t="n">
        <x:v>1</x:v>
      </x:c>
      <x:c r="G1888" s="23" t="str">
        <x:f>IF(E1888=F1888,"PASS","FAIL")</x:f>
        <x:v>PASS</x:v>
      </x:c>
    </x:row>
    <x:row r="1889">
      <x:c r="B1889" s="21" t="str">
        <x:v>A1883</x:v>
      </x:c>
      <x:c r="C1889" s="21" t="str">
        <x:v>merit</x:v>
      </x:c>
      <x:c r="D1889" s="21" t="str">
        <x:v>merit 100 weighted formula</x:v>
      </x:c>
      <x:c r="E1889" s="21" t="n">
        <x:f>IF(ABS('Merit Review'!I100-'Merit Review'!G100*'Merit Review'!H100)&lt;0.000001,1,0)</x:f>
        <x:v>1</x:v>
      </x:c>
      <x:c r="F1889" s="21" t="n">
        <x:v>1</x:v>
      </x:c>
      <x:c r="G1889" s="23" t="str">
        <x:f>IF(E1889=F1889,"PASS","FAIL")</x:f>
        <x:v>PASS</x:v>
      </x:c>
    </x:row>
    <x:row r="1890">
      <x:c r="B1890" s="21" t="str">
        <x:v>A1884</x:v>
      </x:c>
      <x:c r="C1890" s="21" t="str">
        <x:v>merit</x:v>
      </x:c>
      <x:c r="D1890" s="21" t="str">
        <x:v>merit 101 weight positive</x:v>
      </x:c>
      <x:c r="E1890" s="21" t="n">
        <x:f>IF('Merit Review'!G101&gt;0,1,0)</x:f>
        <x:v>1</x:v>
      </x:c>
      <x:c r="F1890" s="21" t="n">
        <x:v>1</x:v>
      </x:c>
      <x:c r="G1890" s="23" t="str">
        <x:f>IF(E1890=F1890,"PASS","FAIL")</x:f>
        <x:v>PASS</x:v>
      </x:c>
    </x:row>
    <x:row r="1891">
      <x:c r="B1891" s="21" t="str">
        <x:v>A1885</x:v>
      </x:c>
      <x:c r="C1891" s="21" t="str">
        <x:v>merit</x:v>
      </x:c>
      <x:c r="D1891" s="21" t="str">
        <x:v>merit 101 score bounded</x:v>
      </x:c>
      <x:c r="E1891" s="21" t="n">
        <x:f>IF(AND('Merit Review'!H101&gt;=0,'Merit Review'!H101&lt;=100),1,0)</x:f>
        <x:v>1</x:v>
      </x:c>
      <x:c r="F1891" s="21" t="n">
        <x:v>1</x:v>
      </x:c>
      <x:c r="G1891" s="23" t="str">
        <x:f>IF(E1891=F1891,"PASS","FAIL")</x:f>
        <x:v>PASS</x:v>
      </x:c>
    </x:row>
    <x:row r="1892">
      <x:c r="B1892" s="21" t="str">
        <x:v>A1886</x:v>
      </x:c>
      <x:c r="C1892" s="21" t="str">
        <x:v>merit</x:v>
      </x:c>
      <x:c r="D1892" s="21" t="str">
        <x:v>merit 101 weighted formula</x:v>
      </x:c>
      <x:c r="E1892" s="21" t="n">
        <x:f>IF(ABS('Merit Review'!I101-'Merit Review'!G101*'Merit Review'!H101)&lt;0.000001,1,0)</x:f>
        <x:v>1</x:v>
      </x:c>
      <x:c r="F1892" s="21" t="n">
        <x:v>1</x:v>
      </x:c>
      <x:c r="G1892" s="23" t="str">
        <x:f>IF(E1892=F1892,"PASS","FAIL")</x:f>
        <x:v>PASS</x:v>
      </x:c>
    </x:row>
    <x:row r="1893">
      <x:c r="B1893" s="21" t="str">
        <x:v>A1887</x:v>
      </x:c>
      <x:c r="C1893" s="21" t="str">
        <x:v>merit</x:v>
      </x:c>
      <x:c r="D1893" s="21" t="str">
        <x:v>merit 102 weight positive</x:v>
      </x:c>
      <x:c r="E1893" s="21" t="n">
        <x:f>IF('Merit Review'!G102&gt;0,1,0)</x:f>
        <x:v>1</x:v>
      </x:c>
      <x:c r="F1893" s="21" t="n">
        <x:v>1</x:v>
      </x:c>
      <x:c r="G1893" s="23" t="str">
        <x:f>IF(E1893=F1893,"PASS","FAIL")</x:f>
        <x:v>PASS</x:v>
      </x:c>
    </x:row>
    <x:row r="1894">
      <x:c r="B1894" s="21" t="str">
        <x:v>A1888</x:v>
      </x:c>
      <x:c r="C1894" s="21" t="str">
        <x:v>merit</x:v>
      </x:c>
      <x:c r="D1894" s="21" t="str">
        <x:v>merit 102 score bounded</x:v>
      </x:c>
      <x:c r="E1894" s="21" t="n">
        <x:f>IF(AND('Merit Review'!H102&gt;=0,'Merit Review'!H102&lt;=100),1,0)</x:f>
        <x:v>1</x:v>
      </x:c>
      <x:c r="F1894" s="21" t="n">
        <x:v>1</x:v>
      </x:c>
      <x:c r="G1894" s="23" t="str">
        <x:f>IF(E1894=F1894,"PASS","FAIL")</x:f>
        <x:v>PASS</x:v>
      </x:c>
    </x:row>
    <x:row r="1895">
      <x:c r="B1895" s="21" t="str">
        <x:v>A1889</x:v>
      </x:c>
      <x:c r="C1895" s="21" t="str">
        <x:v>merit</x:v>
      </x:c>
      <x:c r="D1895" s="21" t="str">
        <x:v>merit 102 weighted formula</x:v>
      </x:c>
      <x:c r="E1895" s="21" t="n">
        <x:f>IF(ABS('Merit Review'!I102-'Merit Review'!G102*'Merit Review'!H102)&lt;0.000001,1,0)</x:f>
        <x:v>1</x:v>
      </x:c>
      <x:c r="F1895" s="21" t="n">
        <x:v>1</x:v>
      </x:c>
      <x:c r="G1895" s="23" t="str">
        <x:f>IF(E1895=F1895,"PASS","FAIL")</x:f>
        <x:v>PASS</x:v>
      </x:c>
    </x:row>
    <x:row r="1896">
      <x:c r="B1896" s="21" t="str">
        <x:v>A1890</x:v>
      </x:c>
      <x:c r="C1896" s="21" t="str">
        <x:v>merit</x:v>
      </x:c>
      <x:c r="D1896" s="21" t="str">
        <x:v>merit 103 weight positive</x:v>
      </x:c>
      <x:c r="E1896" s="21" t="n">
        <x:f>IF('Merit Review'!G103&gt;0,1,0)</x:f>
        <x:v>1</x:v>
      </x:c>
      <x:c r="F1896" s="21" t="n">
        <x:v>1</x:v>
      </x:c>
      <x:c r="G1896" s="23" t="str">
        <x:f>IF(E1896=F1896,"PASS","FAIL")</x:f>
        <x:v>PASS</x:v>
      </x:c>
    </x:row>
    <x:row r="1897">
      <x:c r="B1897" s="21" t="str">
        <x:v>A1891</x:v>
      </x:c>
      <x:c r="C1897" s="21" t="str">
        <x:v>merit</x:v>
      </x:c>
      <x:c r="D1897" s="21" t="str">
        <x:v>merit 103 score bounded</x:v>
      </x:c>
      <x:c r="E1897" s="21" t="n">
        <x:f>IF(AND('Merit Review'!H103&gt;=0,'Merit Review'!H103&lt;=100),1,0)</x:f>
        <x:v>1</x:v>
      </x:c>
      <x:c r="F1897" s="21" t="n">
        <x:v>1</x:v>
      </x:c>
      <x:c r="G1897" s="23" t="str">
        <x:f>IF(E1897=F1897,"PASS","FAIL")</x:f>
        <x:v>PASS</x:v>
      </x:c>
    </x:row>
    <x:row r="1898">
      <x:c r="B1898" s="21" t="str">
        <x:v>A1892</x:v>
      </x:c>
      <x:c r="C1898" s="21" t="str">
        <x:v>merit</x:v>
      </x:c>
      <x:c r="D1898" s="21" t="str">
        <x:v>merit 103 weighted formula</x:v>
      </x:c>
      <x:c r="E1898" s="21" t="n">
        <x:f>IF(ABS('Merit Review'!I103-'Merit Review'!G103*'Merit Review'!H103)&lt;0.000001,1,0)</x:f>
        <x:v>1</x:v>
      </x:c>
      <x:c r="F1898" s="21" t="n">
        <x:v>1</x:v>
      </x:c>
      <x:c r="G1898" s="23" t="str">
        <x:f>IF(E1898=F1898,"PASS","FAIL")</x:f>
        <x:v>PASS</x:v>
      </x:c>
    </x:row>
    <x:row r="1899">
      <x:c r="B1899" s="21" t="str">
        <x:v>A1893</x:v>
      </x:c>
      <x:c r="C1899" s="21" t="str">
        <x:v>merit</x:v>
      </x:c>
      <x:c r="D1899" s="21" t="str">
        <x:v>merit 104 weight positive</x:v>
      </x:c>
      <x:c r="E1899" s="21" t="n">
        <x:f>IF('Merit Review'!G104&gt;0,1,0)</x:f>
        <x:v>1</x:v>
      </x:c>
      <x:c r="F1899" s="21" t="n">
        <x:v>1</x:v>
      </x:c>
      <x:c r="G1899" s="23" t="str">
        <x:f>IF(E1899=F1899,"PASS","FAIL")</x:f>
        <x:v>PASS</x:v>
      </x:c>
    </x:row>
    <x:row r="1900">
      <x:c r="B1900" s="21" t="str">
        <x:v>A1894</x:v>
      </x:c>
      <x:c r="C1900" s="21" t="str">
        <x:v>merit</x:v>
      </x:c>
      <x:c r="D1900" s="21" t="str">
        <x:v>merit 104 score bounded</x:v>
      </x:c>
      <x:c r="E1900" s="21" t="n">
        <x:f>IF(AND('Merit Review'!H104&gt;=0,'Merit Review'!H104&lt;=100),1,0)</x:f>
        <x:v>1</x:v>
      </x:c>
      <x:c r="F1900" s="21" t="n">
        <x:v>1</x:v>
      </x:c>
      <x:c r="G1900" s="23" t="str">
        <x:f>IF(E1900=F1900,"PASS","FAIL")</x:f>
        <x:v>PASS</x:v>
      </x:c>
    </x:row>
    <x:row r="1901">
      <x:c r="B1901" s="21" t="str">
        <x:v>A1895</x:v>
      </x:c>
      <x:c r="C1901" s="21" t="str">
        <x:v>merit</x:v>
      </x:c>
      <x:c r="D1901" s="21" t="str">
        <x:v>merit 104 weighted formula</x:v>
      </x:c>
      <x:c r="E1901" s="21" t="n">
        <x:f>IF(ABS('Merit Review'!I104-'Merit Review'!G104*'Merit Review'!H104)&lt;0.000001,1,0)</x:f>
        <x:v>1</x:v>
      </x:c>
      <x:c r="F1901" s="21" t="n">
        <x:v>1</x:v>
      </x:c>
      <x:c r="G1901" s="23" t="str">
        <x:f>IF(E1901=F1901,"PASS","FAIL")</x:f>
        <x:v>PASS</x:v>
      </x:c>
    </x:row>
    <x:row r="1902">
      <x:c r="B1902" s="21" t="str">
        <x:v>A1896</x:v>
      </x:c>
      <x:c r="C1902" s="21" t="str">
        <x:v>merit</x:v>
      </x:c>
      <x:c r="D1902" s="21" t="str">
        <x:v>merit 105 weight positive</x:v>
      </x:c>
      <x:c r="E1902" s="21" t="n">
        <x:f>IF('Merit Review'!G105&gt;0,1,0)</x:f>
        <x:v>1</x:v>
      </x:c>
      <x:c r="F1902" s="21" t="n">
        <x:v>1</x:v>
      </x:c>
      <x:c r="G1902" s="23" t="str">
        <x:f>IF(E1902=F1902,"PASS","FAIL")</x:f>
        <x:v>PASS</x:v>
      </x:c>
    </x:row>
    <x:row r="1903">
      <x:c r="B1903" s="21" t="str">
        <x:v>A1897</x:v>
      </x:c>
      <x:c r="C1903" s="21" t="str">
        <x:v>merit</x:v>
      </x:c>
      <x:c r="D1903" s="21" t="str">
        <x:v>merit 105 score bounded</x:v>
      </x:c>
      <x:c r="E1903" s="21" t="n">
        <x:f>IF(AND('Merit Review'!H105&gt;=0,'Merit Review'!H105&lt;=100),1,0)</x:f>
        <x:v>1</x:v>
      </x:c>
      <x:c r="F1903" s="21" t="n">
        <x:v>1</x:v>
      </x:c>
      <x:c r="G1903" s="23" t="str">
        <x:f>IF(E1903=F1903,"PASS","FAIL")</x:f>
        <x:v>PASS</x:v>
      </x:c>
    </x:row>
    <x:row r="1904">
      <x:c r="B1904" s="21" t="str">
        <x:v>A1898</x:v>
      </x:c>
      <x:c r="C1904" s="21" t="str">
        <x:v>merit</x:v>
      </x:c>
      <x:c r="D1904" s="21" t="str">
        <x:v>merit 105 weighted formula</x:v>
      </x:c>
      <x:c r="E1904" s="21" t="n">
        <x:f>IF(ABS('Merit Review'!I105-'Merit Review'!G105*'Merit Review'!H105)&lt;0.000001,1,0)</x:f>
        <x:v>1</x:v>
      </x:c>
      <x:c r="F1904" s="21" t="n">
        <x:v>1</x:v>
      </x:c>
      <x:c r="G1904" s="23" t="str">
        <x:f>IF(E1904=F1904,"PASS","FAIL")</x:f>
        <x:v>PASS</x:v>
      </x:c>
    </x:row>
    <x:row r="1905">
      <x:c r="B1905" s="21" t="str">
        <x:v>A1899</x:v>
      </x:c>
      <x:c r="C1905" s="21" t="str">
        <x:v>merit</x:v>
      </x:c>
      <x:c r="D1905" s="21" t="str">
        <x:v>merit 106 weight positive</x:v>
      </x:c>
      <x:c r="E1905" s="21" t="n">
        <x:f>IF('Merit Review'!G106&gt;0,1,0)</x:f>
        <x:v>1</x:v>
      </x:c>
      <x:c r="F1905" s="21" t="n">
        <x:v>1</x:v>
      </x:c>
      <x:c r="G1905" s="23" t="str">
        <x:f>IF(E1905=F1905,"PASS","FAIL")</x:f>
        <x:v>PASS</x:v>
      </x:c>
    </x:row>
    <x:row r="1906">
      <x:c r="B1906" s="21" t="str">
        <x:v>A1900</x:v>
      </x:c>
      <x:c r="C1906" s="21" t="str">
        <x:v>merit</x:v>
      </x:c>
      <x:c r="D1906" s="21" t="str">
        <x:v>merit 106 score bounded</x:v>
      </x:c>
      <x:c r="E1906" s="21" t="n">
        <x:f>IF(AND('Merit Review'!H106&gt;=0,'Merit Review'!H106&lt;=100),1,0)</x:f>
        <x:v>1</x:v>
      </x:c>
      <x:c r="F1906" s="21" t="n">
        <x:v>1</x:v>
      </x:c>
      <x:c r="G1906" s="23" t="str">
        <x:f>IF(E1906=F1906,"PASS","FAIL")</x:f>
        <x:v>PASS</x:v>
      </x:c>
    </x:row>
    <x:row r="1907">
      <x:c r="B1907" s="21" t="str">
        <x:v>A1901</x:v>
      </x:c>
      <x:c r="C1907" s="21" t="str">
        <x:v>merit</x:v>
      </x:c>
      <x:c r="D1907" s="21" t="str">
        <x:v>merit 106 weighted formula</x:v>
      </x:c>
      <x:c r="E1907" s="21" t="n">
        <x:f>IF(ABS('Merit Review'!I106-'Merit Review'!G106*'Merit Review'!H106)&lt;0.000001,1,0)</x:f>
        <x:v>1</x:v>
      </x:c>
      <x:c r="F1907" s="21" t="n">
        <x:v>1</x:v>
      </x:c>
      <x:c r="G1907" s="23" t="str">
        <x:f>IF(E1907=F1907,"PASS","FAIL")</x:f>
        <x:v>PASS</x:v>
      </x:c>
    </x:row>
    <x:row r="1908">
      <x:c r="B1908" s="21" t="str">
        <x:v>A1902</x:v>
      </x:c>
      <x:c r="C1908" s="21" t="str">
        <x:v>merit</x:v>
      </x:c>
      <x:c r="D1908" s="21" t="str">
        <x:v>merit 107 weight positive</x:v>
      </x:c>
      <x:c r="E1908" s="21" t="n">
        <x:f>IF('Merit Review'!G107&gt;0,1,0)</x:f>
        <x:v>1</x:v>
      </x:c>
      <x:c r="F1908" s="21" t="n">
        <x:v>1</x:v>
      </x:c>
      <x:c r="G1908" s="23" t="str">
        <x:f>IF(E1908=F1908,"PASS","FAIL")</x:f>
        <x:v>PASS</x:v>
      </x:c>
    </x:row>
    <x:row r="1909">
      <x:c r="B1909" s="21" t="str">
        <x:v>A1903</x:v>
      </x:c>
      <x:c r="C1909" s="21" t="str">
        <x:v>merit</x:v>
      </x:c>
      <x:c r="D1909" s="21" t="str">
        <x:v>merit 107 score bounded</x:v>
      </x:c>
      <x:c r="E1909" s="21" t="n">
        <x:f>IF(AND('Merit Review'!H107&gt;=0,'Merit Review'!H107&lt;=100),1,0)</x:f>
        <x:v>1</x:v>
      </x:c>
      <x:c r="F1909" s="21" t="n">
        <x:v>1</x:v>
      </x:c>
      <x:c r="G1909" s="23" t="str">
        <x:f>IF(E1909=F1909,"PASS","FAIL")</x:f>
        <x:v>PASS</x:v>
      </x:c>
    </x:row>
    <x:row r="1910">
      <x:c r="B1910" s="21" t="str">
        <x:v>A1904</x:v>
      </x:c>
      <x:c r="C1910" s="21" t="str">
        <x:v>merit</x:v>
      </x:c>
      <x:c r="D1910" s="21" t="str">
        <x:v>merit 107 weighted formula</x:v>
      </x:c>
      <x:c r="E1910" s="21" t="n">
        <x:f>IF(ABS('Merit Review'!I107-'Merit Review'!G107*'Merit Review'!H107)&lt;0.000001,1,0)</x:f>
        <x:v>1</x:v>
      </x:c>
      <x:c r="F1910" s="21" t="n">
        <x:v>1</x:v>
      </x:c>
      <x:c r="G1910" s="23" t="str">
        <x:f>IF(E1910=F1910,"PASS","FAIL")</x:f>
        <x:v>PASS</x:v>
      </x:c>
    </x:row>
    <x:row r="1911">
      <x:c r="B1911" s="21" t="str">
        <x:v>A1905</x:v>
      </x:c>
      <x:c r="C1911" s="21" t="str">
        <x:v>merit</x:v>
      </x:c>
      <x:c r="D1911" s="21" t="str">
        <x:v>merit 108 weight positive</x:v>
      </x:c>
      <x:c r="E1911" s="21" t="n">
        <x:f>IF('Merit Review'!G108&gt;0,1,0)</x:f>
        <x:v>1</x:v>
      </x:c>
      <x:c r="F1911" s="21" t="n">
        <x:v>1</x:v>
      </x:c>
      <x:c r="G1911" s="23" t="str">
        <x:f>IF(E1911=F1911,"PASS","FAIL")</x:f>
        <x:v>PASS</x:v>
      </x:c>
    </x:row>
    <x:row r="1912">
      <x:c r="B1912" s="21" t="str">
        <x:v>A1906</x:v>
      </x:c>
      <x:c r="C1912" s="21" t="str">
        <x:v>merit</x:v>
      </x:c>
      <x:c r="D1912" s="21" t="str">
        <x:v>merit 108 score bounded</x:v>
      </x:c>
      <x:c r="E1912" s="21" t="n">
        <x:f>IF(AND('Merit Review'!H108&gt;=0,'Merit Review'!H108&lt;=100),1,0)</x:f>
        <x:v>1</x:v>
      </x:c>
      <x:c r="F1912" s="21" t="n">
        <x:v>1</x:v>
      </x:c>
      <x:c r="G1912" s="23" t="str">
        <x:f>IF(E1912=F1912,"PASS","FAIL")</x:f>
        <x:v>PASS</x:v>
      </x:c>
    </x:row>
    <x:row r="1913">
      <x:c r="B1913" s="21" t="str">
        <x:v>A1907</x:v>
      </x:c>
      <x:c r="C1913" s="21" t="str">
        <x:v>merit</x:v>
      </x:c>
      <x:c r="D1913" s="21" t="str">
        <x:v>merit 108 weighted formula</x:v>
      </x:c>
      <x:c r="E1913" s="21" t="n">
        <x:f>IF(ABS('Merit Review'!I108-'Merit Review'!G108*'Merit Review'!H108)&lt;0.000001,1,0)</x:f>
        <x:v>1</x:v>
      </x:c>
      <x:c r="F1913" s="21" t="n">
        <x:v>1</x:v>
      </x:c>
      <x:c r="G1913" s="23" t="str">
        <x:f>IF(E1913=F1913,"PASS","FAIL")</x:f>
        <x:v>PASS</x:v>
      </x:c>
    </x:row>
    <x:row r="1914">
      <x:c r="B1914" s="21" t="str">
        <x:v>A1908</x:v>
      </x:c>
      <x:c r="C1914" s="21" t="str">
        <x:v>merit</x:v>
      </x:c>
      <x:c r="D1914" s="21" t="str">
        <x:v>merit 109 weight positive</x:v>
      </x:c>
      <x:c r="E1914" s="21" t="n">
        <x:f>IF('Merit Review'!G109&gt;0,1,0)</x:f>
        <x:v>1</x:v>
      </x:c>
      <x:c r="F1914" s="21" t="n">
        <x:v>1</x:v>
      </x:c>
      <x:c r="G1914" s="23" t="str">
        <x:f>IF(E1914=F1914,"PASS","FAIL")</x:f>
        <x:v>PASS</x:v>
      </x:c>
    </x:row>
    <x:row r="1915">
      <x:c r="B1915" s="21" t="str">
        <x:v>A1909</x:v>
      </x:c>
      <x:c r="C1915" s="21" t="str">
        <x:v>merit</x:v>
      </x:c>
      <x:c r="D1915" s="21" t="str">
        <x:v>merit 109 score bounded</x:v>
      </x:c>
      <x:c r="E1915" s="21" t="n">
        <x:f>IF(AND('Merit Review'!H109&gt;=0,'Merit Review'!H109&lt;=100),1,0)</x:f>
        <x:v>1</x:v>
      </x:c>
      <x:c r="F1915" s="21" t="n">
        <x:v>1</x:v>
      </x:c>
      <x:c r="G1915" s="23" t="str">
        <x:f>IF(E1915=F1915,"PASS","FAIL")</x:f>
        <x:v>PASS</x:v>
      </x:c>
    </x:row>
    <x:row r="1916">
      <x:c r="B1916" s="21" t="str">
        <x:v>A1910</x:v>
      </x:c>
      <x:c r="C1916" s="21" t="str">
        <x:v>merit</x:v>
      </x:c>
      <x:c r="D1916" s="21" t="str">
        <x:v>merit 109 weighted formula</x:v>
      </x:c>
      <x:c r="E1916" s="21" t="n">
        <x:f>IF(ABS('Merit Review'!I109-'Merit Review'!G109*'Merit Review'!H109)&lt;0.000001,1,0)</x:f>
        <x:v>1</x:v>
      </x:c>
      <x:c r="F1916" s="21" t="n">
        <x:v>1</x:v>
      </x:c>
      <x:c r="G1916" s="23" t="str">
        <x:f>IF(E1916=F1916,"PASS","FAIL")</x:f>
        <x:v>PASS</x:v>
      </x:c>
    </x:row>
    <x:row r="1917">
      <x:c r="B1917" s="21" t="str">
        <x:v>A1911</x:v>
      </x:c>
      <x:c r="C1917" s="21" t="str">
        <x:v>merit</x:v>
      </x:c>
      <x:c r="D1917" s="21" t="str">
        <x:v>merit 110 weight positive</x:v>
      </x:c>
      <x:c r="E1917" s="21" t="n">
        <x:f>IF('Merit Review'!G110&gt;0,1,0)</x:f>
        <x:v>1</x:v>
      </x:c>
      <x:c r="F1917" s="21" t="n">
        <x:v>1</x:v>
      </x:c>
      <x:c r="G1917" s="23" t="str">
        <x:f>IF(E1917=F1917,"PASS","FAIL")</x:f>
        <x:v>PASS</x:v>
      </x:c>
    </x:row>
    <x:row r="1918">
      <x:c r="B1918" s="21" t="str">
        <x:v>A1912</x:v>
      </x:c>
      <x:c r="C1918" s="21" t="str">
        <x:v>merit</x:v>
      </x:c>
      <x:c r="D1918" s="21" t="str">
        <x:v>merit 110 score bounded</x:v>
      </x:c>
      <x:c r="E1918" s="21" t="n">
        <x:f>IF(AND('Merit Review'!H110&gt;=0,'Merit Review'!H110&lt;=100),1,0)</x:f>
        <x:v>1</x:v>
      </x:c>
      <x:c r="F1918" s="21" t="n">
        <x:v>1</x:v>
      </x:c>
      <x:c r="G1918" s="23" t="str">
        <x:f>IF(E1918=F1918,"PASS","FAIL")</x:f>
        <x:v>PASS</x:v>
      </x:c>
    </x:row>
    <x:row r="1919">
      <x:c r="B1919" s="21" t="str">
        <x:v>A1913</x:v>
      </x:c>
      <x:c r="C1919" s="21" t="str">
        <x:v>merit</x:v>
      </x:c>
      <x:c r="D1919" s="21" t="str">
        <x:v>merit 110 weighted formula</x:v>
      </x:c>
      <x:c r="E1919" s="21" t="n">
        <x:f>IF(ABS('Merit Review'!I110-'Merit Review'!G110*'Merit Review'!H110)&lt;0.000001,1,0)</x:f>
        <x:v>1</x:v>
      </x:c>
      <x:c r="F1919" s="21" t="n">
        <x:v>1</x:v>
      </x:c>
      <x:c r="G1919" s="23" t="str">
        <x:f>IF(E1919=F1919,"PASS","FAIL")</x:f>
        <x:v>PASS</x:v>
      </x:c>
    </x:row>
    <x:row r="1920">
      <x:c r="B1920" s="21" t="str">
        <x:v>A1914</x:v>
      </x:c>
      <x:c r="C1920" s="21" t="str">
        <x:v>merit</x:v>
      </x:c>
      <x:c r="D1920" s="21" t="str">
        <x:v>merit 111 weight positive</x:v>
      </x:c>
      <x:c r="E1920" s="21" t="n">
        <x:f>IF('Merit Review'!G111&gt;0,1,0)</x:f>
        <x:v>1</x:v>
      </x:c>
      <x:c r="F1920" s="21" t="n">
        <x:v>1</x:v>
      </x:c>
      <x:c r="G1920" s="23" t="str">
        <x:f>IF(E1920=F1920,"PASS","FAIL")</x:f>
        <x:v>PASS</x:v>
      </x:c>
    </x:row>
    <x:row r="1921">
      <x:c r="B1921" s="21" t="str">
        <x:v>A1915</x:v>
      </x:c>
      <x:c r="C1921" s="21" t="str">
        <x:v>merit</x:v>
      </x:c>
      <x:c r="D1921" s="21" t="str">
        <x:v>merit 111 score bounded</x:v>
      </x:c>
      <x:c r="E1921" s="21" t="n">
        <x:f>IF(AND('Merit Review'!H111&gt;=0,'Merit Review'!H111&lt;=100),1,0)</x:f>
        <x:v>1</x:v>
      </x:c>
      <x:c r="F1921" s="21" t="n">
        <x:v>1</x:v>
      </x:c>
      <x:c r="G1921" s="23" t="str">
        <x:f>IF(E1921=F1921,"PASS","FAIL")</x:f>
        <x:v>PASS</x:v>
      </x:c>
    </x:row>
    <x:row r="1922">
      <x:c r="B1922" s="21" t="str">
        <x:v>A1916</x:v>
      </x:c>
      <x:c r="C1922" s="21" t="str">
        <x:v>merit</x:v>
      </x:c>
      <x:c r="D1922" s="21" t="str">
        <x:v>merit 111 weighted formula</x:v>
      </x:c>
      <x:c r="E1922" s="21" t="n">
        <x:f>IF(ABS('Merit Review'!I111-'Merit Review'!G111*'Merit Review'!H111)&lt;0.000001,1,0)</x:f>
        <x:v>1</x:v>
      </x:c>
      <x:c r="F1922" s="21" t="n">
        <x:v>1</x:v>
      </x:c>
      <x:c r="G1922" s="23" t="str">
        <x:f>IF(E1922=F1922,"PASS","FAIL")</x:f>
        <x:v>PASS</x:v>
      </x:c>
    </x:row>
    <x:row r="1923">
      <x:c r="B1923" s="21" t="str">
        <x:v>A1917</x:v>
      </x:c>
      <x:c r="C1923" s="21" t="str">
        <x:v>merit</x:v>
      </x:c>
      <x:c r="D1923" s="21" t="str">
        <x:v>merit 112 weight positive</x:v>
      </x:c>
      <x:c r="E1923" s="21" t="n">
        <x:f>IF('Merit Review'!G112&gt;0,1,0)</x:f>
        <x:v>1</x:v>
      </x:c>
      <x:c r="F1923" s="21" t="n">
        <x:v>1</x:v>
      </x:c>
      <x:c r="G1923" s="23" t="str">
        <x:f>IF(E1923=F1923,"PASS","FAIL")</x:f>
        <x:v>PASS</x:v>
      </x:c>
    </x:row>
    <x:row r="1924">
      <x:c r="B1924" s="21" t="str">
        <x:v>A1918</x:v>
      </x:c>
      <x:c r="C1924" s="21" t="str">
        <x:v>merit</x:v>
      </x:c>
      <x:c r="D1924" s="21" t="str">
        <x:v>merit 112 score bounded</x:v>
      </x:c>
      <x:c r="E1924" s="21" t="n">
        <x:f>IF(AND('Merit Review'!H112&gt;=0,'Merit Review'!H112&lt;=100),1,0)</x:f>
        <x:v>1</x:v>
      </x:c>
      <x:c r="F1924" s="21" t="n">
        <x:v>1</x:v>
      </x:c>
      <x:c r="G1924" s="23" t="str">
        <x:f>IF(E1924=F1924,"PASS","FAIL")</x:f>
        <x:v>PASS</x:v>
      </x:c>
    </x:row>
    <x:row r="1925">
      <x:c r="B1925" s="21" t="str">
        <x:v>A1919</x:v>
      </x:c>
      <x:c r="C1925" s="21" t="str">
        <x:v>merit</x:v>
      </x:c>
      <x:c r="D1925" s="21" t="str">
        <x:v>merit 112 weighted formula</x:v>
      </x:c>
      <x:c r="E1925" s="21" t="n">
        <x:f>IF(ABS('Merit Review'!I112-'Merit Review'!G112*'Merit Review'!H112)&lt;0.000001,1,0)</x:f>
        <x:v>1</x:v>
      </x:c>
      <x:c r="F1925" s="21" t="n">
        <x:v>1</x:v>
      </x:c>
      <x:c r="G1925" s="23" t="str">
        <x:f>IF(E1925=F1925,"PASS","FAIL")</x:f>
        <x:v>PASS</x:v>
      </x:c>
    </x:row>
    <x:row r="1926">
      <x:c r="B1926" s="21" t="str">
        <x:v>A1920</x:v>
      </x:c>
      <x:c r="C1926" s="21" t="str">
        <x:v>merit</x:v>
      </x:c>
      <x:c r="D1926" s="21" t="str">
        <x:v>merit 113 weight positive</x:v>
      </x:c>
      <x:c r="E1926" s="21" t="n">
        <x:f>IF('Merit Review'!G113&gt;0,1,0)</x:f>
        <x:v>1</x:v>
      </x:c>
      <x:c r="F1926" s="21" t="n">
        <x:v>1</x:v>
      </x:c>
      <x:c r="G1926" s="23" t="str">
        <x:f>IF(E1926=F1926,"PASS","FAIL")</x:f>
        <x:v>PASS</x:v>
      </x:c>
    </x:row>
    <x:row r="1927">
      <x:c r="B1927" s="21" t="str">
        <x:v>A1921</x:v>
      </x:c>
      <x:c r="C1927" s="21" t="str">
        <x:v>merit</x:v>
      </x:c>
      <x:c r="D1927" s="21" t="str">
        <x:v>merit 113 score bounded</x:v>
      </x:c>
      <x:c r="E1927" s="21" t="n">
        <x:f>IF(AND('Merit Review'!H113&gt;=0,'Merit Review'!H113&lt;=100),1,0)</x:f>
        <x:v>1</x:v>
      </x:c>
      <x:c r="F1927" s="21" t="n">
        <x:v>1</x:v>
      </x:c>
      <x:c r="G1927" s="23" t="str">
        <x:f>IF(E1927=F1927,"PASS","FAIL")</x:f>
        <x:v>PASS</x:v>
      </x:c>
    </x:row>
    <x:row r="1928">
      <x:c r="B1928" s="21" t="str">
        <x:v>A1922</x:v>
      </x:c>
      <x:c r="C1928" s="21" t="str">
        <x:v>merit</x:v>
      </x:c>
      <x:c r="D1928" s="21" t="str">
        <x:v>merit 113 weighted formula</x:v>
      </x:c>
      <x:c r="E1928" s="21" t="n">
        <x:f>IF(ABS('Merit Review'!I113-'Merit Review'!G113*'Merit Review'!H113)&lt;0.000001,1,0)</x:f>
        <x:v>1</x:v>
      </x:c>
      <x:c r="F1928" s="21" t="n">
        <x:v>1</x:v>
      </x:c>
      <x:c r="G1928" s="23" t="str">
        <x:f>IF(E1928=F1928,"PASS","FAIL")</x:f>
        <x:v>PASS</x:v>
      </x:c>
    </x:row>
    <x:row r="1929">
      <x:c r="B1929" s="21" t="str">
        <x:v>A1923</x:v>
      </x:c>
      <x:c r="C1929" s="21" t="str">
        <x:v>merit</x:v>
      </x:c>
      <x:c r="D1929" s="21" t="str">
        <x:v>merit 114 weight positive</x:v>
      </x:c>
      <x:c r="E1929" s="21" t="n">
        <x:f>IF('Merit Review'!G114&gt;0,1,0)</x:f>
        <x:v>1</x:v>
      </x:c>
      <x:c r="F1929" s="21" t="n">
        <x:v>1</x:v>
      </x:c>
      <x:c r="G1929" s="23" t="str">
        <x:f>IF(E1929=F1929,"PASS","FAIL")</x:f>
        <x:v>PASS</x:v>
      </x:c>
    </x:row>
    <x:row r="1930">
      <x:c r="B1930" s="21" t="str">
        <x:v>A1924</x:v>
      </x:c>
      <x:c r="C1930" s="21" t="str">
        <x:v>merit</x:v>
      </x:c>
      <x:c r="D1930" s="21" t="str">
        <x:v>merit 114 score bounded</x:v>
      </x:c>
      <x:c r="E1930" s="21" t="n">
        <x:f>IF(AND('Merit Review'!H114&gt;=0,'Merit Review'!H114&lt;=100),1,0)</x:f>
        <x:v>1</x:v>
      </x:c>
      <x:c r="F1930" s="21" t="n">
        <x:v>1</x:v>
      </x:c>
      <x:c r="G1930" s="23" t="str">
        <x:f>IF(E1930=F1930,"PASS","FAIL")</x:f>
        <x:v>PASS</x:v>
      </x:c>
    </x:row>
    <x:row r="1931">
      <x:c r="B1931" s="21" t="str">
        <x:v>A1925</x:v>
      </x:c>
      <x:c r="C1931" s="21" t="str">
        <x:v>merit</x:v>
      </x:c>
      <x:c r="D1931" s="21" t="str">
        <x:v>merit 114 weighted formula</x:v>
      </x:c>
      <x:c r="E1931" s="21" t="n">
        <x:f>IF(ABS('Merit Review'!I114-'Merit Review'!G114*'Merit Review'!H114)&lt;0.000001,1,0)</x:f>
        <x:v>1</x:v>
      </x:c>
      <x:c r="F1931" s="21" t="n">
        <x:v>1</x:v>
      </x:c>
      <x:c r="G1931" s="23" t="str">
        <x:f>IF(E1931=F1931,"PASS","FAIL")</x:f>
        <x:v>PASS</x:v>
      </x:c>
    </x:row>
    <x:row r="1932">
      <x:c r="B1932" s="21" t="str">
        <x:v>A1926</x:v>
      </x:c>
      <x:c r="C1932" s="21" t="str">
        <x:v>merit</x:v>
      </x:c>
      <x:c r="D1932" s="21" t="str">
        <x:v>merit 115 weight positive</x:v>
      </x:c>
      <x:c r="E1932" s="21" t="n">
        <x:f>IF('Merit Review'!G115&gt;0,1,0)</x:f>
        <x:v>1</x:v>
      </x:c>
      <x:c r="F1932" s="21" t="n">
        <x:v>1</x:v>
      </x:c>
      <x:c r="G1932" s="23" t="str">
        <x:f>IF(E1932=F1932,"PASS","FAIL")</x:f>
        <x:v>PASS</x:v>
      </x:c>
    </x:row>
    <x:row r="1933">
      <x:c r="B1933" s="21" t="str">
        <x:v>A1927</x:v>
      </x:c>
      <x:c r="C1933" s="21" t="str">
        <x:v>merit</x:v>
      </x:c>
      <x:c r="D1933" s="21" t="str">
        <x:v>merit 115 score bounded</x:v>
      </x:c>
      <x:c r="E1933" s="21" t="n">
        <x:f>IF(AND('Merit Review'!H115&gt;=0,'Merit Review'!H115&lt;=100),1,0)</x:f>
        <x:v>1</x:v>
      </x:c>
      <x:c r="F1933" s="21" t="n">
        <x:v>1</x:v>
      </x:c>
      <x:c r="G1933" s="23" t="str">
        <x:f>IF(E1933=F1933,"PASS","FAIL")</x:f>
        <x:v>PASS</x:v>
      </x:c>
    </x:row>
    <x:row r="1934">
      <x:c r="B1934" s="21" t="str">
        <x:v>A1928</x:v>
      </x:c>
      <x:c r="C1934" s="21" t="str">
        <x:v>merit</x:v>
      </x:c>
      <x:c r="D1934" s="21" t="str">
        <x:v>merit 115 weighted formula</x:v>
      </x:c>
      <x:c r="E1934" s="21" t="n">
        <x:f>IF(ABS('Merit Review'!I115-'Merit Review'!G115*'Merit Review'!H115)&lt;0.000001,1,0)</x:f>
        <x:v>1</x:v>
      </x:c>
      <x:c r="F1934" s="21" t="n">
        <x:v>1</x:v>
      </x:c>
      <x:c r="G1934" s="23" t="str">
        <x:f>IF(E1934=F1934,"PASS","FAIL")</x:f>
        <x:v>PASS</x:v>
      </x:c>
    </x:row>
    <x:row r="1935">
      <x:c r="B1935" s="21" t="str">
        <x:v>A1929</x:v>
      </x:c>
      <x:c r="C1935" s="21" t="str">
        <x:v>merit</x:v>
      </x:c>
      <x:c r="D1935" s="21" t="str">
        <x:v>merit 116 weight positive</x:v>
      </x:c>
      <x:c r="E1935" s="21" t="n">
        <x:f>IF('Merit Review'!G116&gt;0,1,0)</x:f>
        <x:v>1</x:v>
      </x:c>
      <x:c r="F1935" s="21" t="n">
        <x:v>1</x:v>
      </x:c>
      <x:c r="G1935" s="23" t="str">
        <x:f>IF(E1935=F1935,"PASS","FAIL")</x:f>
        <x:v>PASS</x:v>
      </x:c>
    </x:row>
    <x:row r="1936">
      <x:c r="B1936" s="21" t="str">
        <x:v>A1930</x:v>
      </x:c>
      <x:c r="C1936" s="21" t="str">
        <x:v>merit</x:v>
      </x:c>
      <x:c r="D1936" s="21" t="str">
        <x:v>merit 116 score bounded</x:v>
      </x:c>
      <x:c r="E1936" s="21" t="n">
        <x:f>IF(AND('Merit Review'!H116&gt;=0,'Merit Review'!H116&lt;=100),1,0)</x:f>
        <x:v>1</x:v>
      </x:c>
      <x:c r="F1936" s="21" t="n">
        <x:v>1</x:v>
      </x:c>
      <x:c r="G1936" s="23" t="str">
        <x:f>IF(E1936=F1936,"PASS","FAIL")</x:f>
        <x:v>PASS</x:v>
      </x:c>
    </x:row>
    <x:row r="1937">
      <x:c r="B1937" s="21" t="str">
        <x:v>A1931</x:v>
      </x:c>
      <x:c r="C1937" s="21" t="str">
        <x:v>merit</x:v>
      </x:c>
      <x:c r="D1937" s="21" t="str">
        <x:v>merit 116 weighted formula</x:v>
      </x:c>
      <x:c r="E1937" s="21" t="n">
        <x:f>IF(ABS('Merit Review'!I116-'Merit Review'!G116*'Merit Review'!H116)&lt;0.000001,1,0)</x:f>
        <x:v>1</x:v>
      </x:c>
      <x:c r="F1937" s="21" t="n">
        <x:v>1</x:v>
      </x:c>
      <x:c r="G1937" s="23" t="str">
        <x:f>IF(E1937=F1937,"PASS","FAIL")</x:f>
        <x:v>PASS</x:v>
      </x:c>
    </x:row>
    <x:row r="1938">
      <x:c r="B1938" s="21" t="str">
        <x:v>A1932</x:v>
      </x:c>
      <x:c r="C1938" s="21" t="str">
        <x:v>merit</x:v>
      </x:c>
      <x:c r="D1938" s="21" t="str">
        <x:v>merit 117 weight positive</x:v>
      </x:c>
      <x:c r="E1938" s="21" t="n">
        <x:f>IF('Merit Review'!G117&gt;0,1,0)</x:f>
        <x:v>1</x:v>
      </x:c>
      <x:c r="F1938" s="21" t="n">
        <x:v>1</x:v>
      </x:c>
      <x:c r="G1938" s="23" t="str">
        <x:f>IF(E1938=F1938,"PASS","FAIL")</x:f>
        <x:v>PASS</x:v>
      </x:c>
    </x:row>
    <x:row r="1939">
      <x:c r="B1939" s="21" t="str">
        <x:v>A1933</x:v>
      </x:c>
      <x:c r="C1939" s="21" t="str">
        <x:v>merit</x:v>
      </x:c>
      <x:c r="D1939" s="21" t="str">
        <x:v>merit 117 score bounded</x:v>
      </x:c>
      <x:c r="E1939" s="21" t="n">
        <x:f>IF(AND('Merit Review'!H117&gt;=0,'Merit Review'!H117&lt;=100),1,0)</x:f>
        <x:v>1</x:v>
      </x:c>
      <x:c r="F1939" s="21" t="n">
        <x:v>1</x:v>
      </x:c>
      <x:c r="G1939" s="23" t="str">
        <x:f>IF(E1939=F1939,"PASS","FAIL")</x:f>
        <x:v>PASS</x:v>
      </x:c>
    </x:row>
    <x:row r="1940">
      <x:c r="B1940" s="21" t="str">
        <x:v>A1934</x:v>
      </x:c>
      <x:c r="C1940" s="21" t="str">
        <x:v>merit</x:v>
      </x:c>
      <x:c r="D1940" s="21" t="str">
        <x:v>merit 117 weighted formula</x:v>
      </x:c>
      <x:c r="E1940" s="21" t="n">
        <x:f>IF(ABS('Merit Review'!I117-'Merit Review'!G117*'Merit Review'!H117)&lt;0.000001,1,0)</x:f>
        <x:v>1</x:v>
      </x:c>
      <x:c r="F1940" s="21" t="n">
        <x:v>1</x:v>
      </x:c>
      <x:c r="G1940" s="23" t="str">
        <x:f>IF(E1940=F1940,"PASS","FAIL")</x:f>
        <x:v>PASS</x:v>
      </x:c>
    </x:row>
    <x:row r="1941">
      <x:c r="B1941" s="21" t="str">
        <x:v>A1935</x:v>
      </x:c>
      <x:c r="C1941" s="21" t="str">
        <x:v>merit</x:v>
      </x:c>
      <x:c r="D1941" s="21" t="str">
        <x:v>merit 118 weight positive</x:v>
      </x:c>
      <x:c r="E1941" s="21" t="n">
        <x:f>IF('Merit Review'!G118&gt;0,1,0)</x:f>
        <x:v>1</x:v>
      </x:c>
      <x:c r="F1941" s="21" t="n">
        <x:v>1</x:v>
      </x:c>
      <x:c r="G1941" s="23" t="str">
        <x:f>IF(E1941=F1941,"PASS","FAIL")</x:f>
        <x:v>PASS</x:v>
      </x:c>
    </x:row>
    <x:row r="1942">
      <x:c r="B1942" s="21" t="str">
        <x:v>A1936</x:v>
      </x:c>
      <x:c r="C1942" s="21" t="str">
        <x:v>merit</x:v>
      </x:c>
      <x:c r="D1942" s="21" t="str">
        <x:v>merit 118 score bounded</x:v>
      </x:c>
      <x:c r="E1942" s="21" t="n">
        <x:f>IF(AND('Merit Review'!H118&gt;=0,'Merit Review'!H118&lt;=100),1,0)</x:f>
        <x:v>1</x:v>
      </x:c>
      <x:c r="F1942" s="21" t="n">
        <x:v>1</x:v>
      </x:c>
      <x:c r="G1942" s="23" t="str">
        <x:f>IF(E1942=F1942,"PASS","FAIL")</x:f>
        <x:v>PASS</x:v>
      </x:c>
    </x:row>
    <x:row r="1943">
      <x:c r="B1943" s="21" t="str">
        <x:v>A1937</x:v>
      </x:c>
      <x:c r="C1943" s="21" t="str">
        <x:v>merit</x:v>
      </x:c>
      <x:c r="D1943" s="21" t="str">
        <x:v>merit 118 weighted formula</x:v>
      </x:c>
      <x:c r="E1943" s="21" t="n">
        <x:f>IF(ABS('Merit Review'!I118-'Merit Review'!G118*'Merit Review'!H118)&lt;0.000001,1,0)</x:f>
        <x:v>1</x:v>
      </x:c>
      <x:c r="F1943" s="21" t="n">
        <x:v>1</x:v>
      </x:c>
      <x:c r="G1943" s="23" t="str">
        <x:f>IF(E1943=F1943,"PASS","FAIL")</x:f>
        <x:v>PASS</x:v>
      </x:c>
    </x:row>
    <x:row r="1944">
      <x:c r="B1944" s="21" t="str">
        <x:v>A1938</x:v>
      </x:c>
      <x:c r="C1944" s="21" t="str">
        <x:v>merit</x:v>
      </x:c>
      <x:c r="D1944" s="21" t="str">
        <x:v>merit 119 weight positive</x:v>
      </x:c>
      <x:c r="E1944" s="21" t="n">
        <x:f>IF('Merit Review'!G119&gt;0,1,0)</x:f>
        <x:v>1</x:v>
      </x:c>
      <x:c r="F1944" s="21" t="n">
        <x:v>1</x:v>
      </x:c>
      <x:c r="G1944" s="23" t="str">
        <x:f>IF(E1944=F1944,"PASS","FAIL")</x:f>
        <x:v>PASS</x:v>
      </x:c>
    </x:row>
    <x:row r="1945">
      <x:c r="B1945" s="21" t="str">
        <x:v>A1939</x:v>
      </x:c>
      <x:c r="C1945" s="21" t="str">
        <x:v>merit</x:v>
      </x:c>
      <x:c r="D1945" s="21" t="str">
        <x:v>merit 119 score bounded</x:v>
      </x:c>
      <x:c r="E1945" s="21" t="n">
        <x:f>IF(AND('Merit Review'!H119&gt;=0,'Merit Review'!H119&lt;=100),1,0)</x:f>
        <x:v>1</x:v>
      </x:c>
      <x:c r="F1945" s="21" t="n">
        <x:v>1</x:v>
      </x:c>
      <x:c r="G1945" s="23" t="str">
        <x:f>IF(E1945=F1945,"PASS","FAIL")</x:f>
        <x:v>PASS</x:v>
      </x:c>
    </x:row>
    <x:row r="1946">
      <x:c r="B1946" s="21" t="str">
        <x:v>A1940</x:v>
      </x:c>
      <x:c r="C1946" s="21" t="str">
        <x:v>merit</x:v>
      </x:c>
      <x:c r="D1946" s="21" t="str">
        <x:v>merit 119 weighted formula</x:v>
      </x:c>
      <x:c r="E1946" s="21" t="n">
        <x:f>IF(ABS('Merit Review'!I119-'Merit Review'!G119*'Merit Review'!H119)&lt;0.000001,1,0)</x:f>
        <x:v>1</x:v>
      </x:c>
      <x:c r="F1946" s="21" t="n">
        <x:v>1</x:v>
      </x:c>
      <x:c r="G1946" s="23" t="str">
        <x:f>IF(E1946=F1946,"PASS","FAIL")</x:f>
        <x:v>PASS</x:v>
      </x:c>
    </x:row>
    <x:row r="1947">
      <x:c r="B1947" s="21" t="str">
        <x:v>A1941</x:v>
      </x:c>
      <x:c r="C1947" s="21" t="str">
        <x:v>merit</x:v>
      </x:c>
      <x:c r="D1947" s="21" t="str">
        <x:v>merit 120 weight positive</x:v>
      </x:c>
      <x:c r="E1947" s="21" t="n">
        <x:f>IF('Merit Review'!G120&gt;0,1,0)</x:f>
        <x:v>1</x:v>
      </x:c>
      <x:c r="F1947" s="21" t="n">
        <x:v>1</x:v>
      </x:c>
      <x:c r="G1947" s="23" t="str">
        <x:f>IF(E1947=F1947,"PASS","FAIL")</x:f>
        <x:v>PASS</x:v>
      </x:c>
    </x:row>
    <x:row r="1948">
      <x:c r="B1948" s="21" t="str">
        <x:v>A1942</x:v>
      </x:c>
      <x:c r="C1948" s="21" t="str">
        <x:v>merit</x:v>
      </x:c>
      <x:c r="D1948" s="21" t="str">
        <x:v>merit 120 score bounded</x:v>
      </x:c>
      <x:c r="E1948" s="21" t="n">
        <x:f>IF(AND('Merit Review'!H120&gt;=0,'Merit Review'!H120&lt;=100),1,0)</x:f>
        <x:v>1</x:v>
      </x:c>
      <x:c r="F1948" s="21" t="n">
        <x:v>1</x:v>
      </x:c>
      <x:c r="G1948" s="23" t="str">
        <x:f>IF(E1948=F1948,"PASS","FAIL")</x:f>
        <x:v>PASS</x:v>
      </x:c>
    </x:row>
    <x:row r="1949">
      <x:c r="B1949" s="21" t="str">
        <x:v>A1943</x:v>
      </x:c>
      <x:c r="C1949" s="21" t="str">
        <x:v>merit</x:v>
      </x:c>
      <x:c r="D1949" s="21" t="str">
        <x:v>merit 120 weighted formula</x:v>
      </x:c>
      <x:c r="E1949" s="21" t="n">
        <x:f>IF(ABS('Merit Review'!I120-'Merit Review'!G120*'Merit Review'!H120)&lt;0.000001,1,0)</x:f>
        <x:v>1</x:v>
      </x:c>
      <x:c r="F1949" s="21" t="n">
        <x:v>1</x:v>
      </x:c>
      <x:c r="G1949" s="23" t="str">
        <x:f>IF(E1949=F1949,"PASS","FAIL")</x:f>
        <x:v>PASS</x:v>
      </x:c>
    </x:row>
    <x:row r="1950">
      <x:c r="B1950" s="21" t="str">
        <x:v>A1944</x:v>
      </x:c>
      <x:c r="C1950" s="21" t="str">
        <x:v>merit</x:v>
      </x:c>
      <x:c r="D1950" s="21" t="str">
        <x:v>merit 121 weight positive</x:v>
      </x:c>
      <x:c r="E1950" s="21" t="n">
        <x:f>IF('Merit Review'!G121&gt;0,1,0)</x:f>
        <x:v>1</x:v>
      </x:c>
      <x:c r="F1950" s="21" t="n">
        <x:v>1</x:v>
      </x:c>
      <x:c r="G1950" s="23" t="str">
        <x:f>IF(E1950=F1950,"PASS","FAIL")</x:f>
        <x:v>PASS</x:v>
      </x:c>
    </x:row>
    <x:row r="1951">
      <x:c r="B1951" s="21" t="str">
        <x:v>A1945</x:v>
      </x:c>
      <x:c r="C1951" s="21" t="str">
        <x:v>merit</x:v>
      </x:c>
      <x:c r="D1951" s="21" t="str">
        <x:v>merit 121 score bounded</x:v>
      </x:c>
      <x:c r="E1951" s="21" t="n">
        <x:f>IF(AND('Merit Review'!H121&gt;=0,'Merit Review'!H121&lt;=100),1,0)</x:f>
        <x:v>1</x:v>
      </x:c>
      <x:c r="F1951" s="21" t="n">
        <x:v>1</x:v>
      </x:c>
      <x:c r="G1951" s="23" t="str">
        <x:f>IF(E1951=F1951,"PASS","FAIL")</x:f>
        <x:v>PASS</x:v>
      </x:c>
    </x:row>
    <x:row r="1952">
      <x:c r="B1952" s="21" t="str">
        <x:v>A1946</x:v>
      </x:c>
      <x:c r="C1952" s="21" t="str">
        <x:v>merit</x:v>
      </x:c>
      <x:c r="D1952" s="21" t="str">
        <x:v>merit 121 weighted formula</x:v>
      </x:c>
      <x:c r="E1952" s="21" t="n">
        <x:f>IF(ABS('Merit Review'!I121-'Merit Review'!G121*'Merit Review'!H121)&lt;0.000001,1,0)</x:f>
        <x:v>1</x:v>
      </x:c>
      <x:c r="F1952" s="21" t="n">
        <x:v>1</x:v>
      </x:c>
      <x:c r="G1952" s="23" t="str">
        <x:f>IF(E1952=F1952,"PASS","FAIL")</x:f>
        <x:v>PASS</x:v>
      </x:c>
    </x:row>
    <x:row r="1953">
      <x:c r="B1953" s="21" t="str">
        <x:v>A1947</x:v>
      </x:c>
      <x:c r="C1953" s="21" t="str">
        <x:v>merit</x:v>
      </x:c>
      <x:c r="D1953" s="21" t="str">
        <x:v>merit 122 weight positive</x:v>
      </x:c>
      <x:c r="E1953" s="21" t="n">
        <x:f>IF('Merit Review'!G122&gt;0,1,0)</x:f>
        <x:v>1</x:v>
      </x:c>
      <x:c r="F1953" s="21" t="n">
        <x:v>1</x:v>
      </x:c>
      <x:c r="G1953" s="23" t="str">
        <x:f>IF(E1953=F1953,"PASS","FAIL")</x:f>
        <x:v>PASS</x:v>
      </x:c>
    </x:row>
    <x:row r="1954">
      <x:c r="B1954" s="21" t="str">
        <x:v>A1948</x:v>
      </x:c>
      <x:c r="C1954" s="21" t="str">
        <x:v>merit</x:v>
      </x:c>
      <x:c r="D1954" s="21" t="str">
        <x:v>merit 122 score bounded</x:v>
      </x:c>
      <x:c r="E1954" s="21" t="n">
        <x:f>IF(AND('Merit Review'!H122&gt;=0,'Merit Review'!H122&lt;=100),1,0)</x:f>
        <x:v>1</x:v>
      </x:c>
      <x:c r="F1954" s="21" t="n">
        <x:v>1</x:v>
      </x:c>
      <x:c r="G1954" s="23" t="str">
        <x:f>IF(E1954=F1954,"PASS","FAIL")</x:f>
        <x:v>PASS</x:v>
      </x:c>
    </x:row>
    <x:row r="1955">
      <x:c r="B1955" s="21" t="str">
        <x:v>A1949</x:v>
      </x:c>
      <x:c r="C1955" s="21" t="str">
        <x:v>merit</x:v>
      </x:c>
      <x:c r="D1955" s="21" t="str">
        <x:v>merit 122 weighted formula</x:v>
      </x:c>
      <x:c r="E1955" s="21" t="n">
        <x:f>IF(ABS('Merit Review'!I122-'Merit Review'!G122*'Merit Review'!H122)&lt;0.000001,1,0)</x:f>
        <x:v>1</x:v>
      </x:c>
      <x:c r="F1955" s="21" t="n">
        <x:v>1</x:v>
      </x:c>
      <x:c r="G1955" s="23" t="str">
        <x:f>IF(E1955=F1955,"PASS","FAIL")</x:f>
        <x:v>PASS</x:v>
      </x:c>
    </x:row>
    <x:row r="1956">
      <x:c r="B1956" s="21" t="str">
        <x:v>A1950</x:v>
      </x:c>
      <x:c r="C1956" s="21" t="str">
        <x:v>merit</x:v>
      </x:c>
      <x:c r="D1956" s="21" t="str">
        <x:v>merit 123 weight positive</x:v>
      </x:c>
      <x:c r="E1956" s="21" t="n">
        <x:f>IF('Merit Review'!G123&gt;0,1,0)</x:f>
        <x:v>1</x:v>
      </x:c>
      <x:c r="F1956" s="21" t="n">
        <x:v>1</x:v>
      </x:c>
      <x:c r="G1956" s="23" t="str">
        <x:f>IF(E1956=F1956,"PASS","FAIL")</x:f>
        <x:v>PASS</x:v>
      </x:c>
    </x:row>
    <x:row r="1957">
      <x:c r="B1957" s="21" t="str">
        <x:v>A1951</x:v>
      </x:c>
      <x:c r="C1957" s="21" t="str">
        <x:v>merit</x:v>
      </x:c>
      <x:c r="D1957" s="21" t="str">
        <x:v>merit 123 score bounded</x:v>
      </x:c>
      <x:c r="E1957" s="21" t="n">
        <x:f>IF(AND('Merit Review'!H123&gt;=0,'Merit Review'!H123&lt;=100),1,0)</x:f>
        <x:v>1</x:v>
      </x:c>
      <x:c r="F1957" s="21" t="n">
        <x:v>1</x:v>
      </x:c>
      <x:c r="G1957" s="23" t="str">
        <x:f>IF(E1957=F1957,"PASS","FAIL")</x:f>
        <x:v>PASS</x:v>
      </x:c>
    </x:row>
    <x:row r="1958">
      <x:c r="B1958" s="21" t="str">
        <x:v>A1952</x:v>
      </x:c>
      <x:c r="C1958" s="21" t="str">
        <x:v>merit</x:v>
      </x:c>
      <x:c r="D1958" s="21" t="str">
        <x:v>merit 123 weighted formula</x:v>
      </x:c>
      <x:c r="E1958" s="21" t="n">
        <x:f>IF(ABS('Merit Review'!I123-'Merit Review'!G123*'Merit Review'!H123)&lt;0.000001,1,0)</x:f>
        <x:v>1</x:v>
      </x:c>
      <x:c r="F1958" s="21" t="n">
        <x:v>1</x:v>
      </x:c>
      <x:c r="G1958" s="23" t="str">
        <x:f>IF(E1958=F1958,"PASS","FAIL")</x:f>
        <x:v>PASS</x:v>
      </x:c>
    </x:row>
    <x:row r="1959">
      <x:c r="B1959" s="21" t="str">
        <x:v>A1953</x:v>
      </x:c>
      <x:c r="C1959" s="21" t="str">
        <x:v>merit</x:v>
      </x:c>
      <x:c r="D1959" s="21" t="str">
        <x:v>merit 124 weight positive</x:v>
      </x:c>
      <x:c r="E1959" s="21" t="n">
        <x:f>IF('Merit Review'!G124&gt;0,1,0)</x:f>
        <x:v>1</x:v>
      </x:c>
      <x:c r="F1959" s="21" t="n">
        <x:v>1</x:v>
      </x:c>
      <x:c r="G1959" s="23" t="str">
        <x:f>IF(E1959=F1959,"PASS","FAIL")</x:f>
        <x:v>PASS</x:v>
      </x:c>
    </x:row>
    <x:row r="1960">
      <x:c r="B1960" s="21" t="str">
        <x:v>A1954</x:v>
      </x:c>
      <x:c r="C1960" s="21" t="str">
        <x:v>merit</x:v>
      </x:c>
      <x:c r="D1960" s="21" t="str">
        <x:v>merit 124 score bounded</x:v>
      </x:c>
      <x:c r="E1960" s="21" t="n">
        <x:f>IF(AND('Merit Review'!H124&gt;=0,'Merit Review'!H124&lt;=100),1,0)</x:f>
        <x:v>1</x:v>
      </x:c>
      <x:c r="F1960" s="21" t="n">
        <x:v>1</x:v>
      </x:c>
      <x:c r="G1960" s="23" t="str">
        <x:f>IF(E1960=F1960,"PASS","FAIL")</x:f>
        <x:v>PASS</x:v>
      </x:c>
    </x:row>
    <x:row r="1961">
      <x:c r="B1961" s="21" t="str">
        <x:v>A1955</x:v>
      </x:c>
      <x:c r="C1961" s="21" t="str">
        <x:v>merit</x:v>
      </x:c>
      <x:c r="D1961" s="21" t="str">
        <x:v>merit 124 weighted formula</x:v>
      </x:c>
      <x:c r="E1961" s="21" t="n">
        <x:f>IF(ABS('Merit Review'!I124-'Merit Review'!G124*'Merit Review'!H124)&lt;0.000001,1,0)</x:f>
        <x:v>1</x:v>
      </x:c>
      <x:c r="F1961" s="21" t="n">
        <x:v>1</x:v>
      </x:c>
      <x:c r="G1961" s="23" t="str">
        <x:f>IF(E1961=F1961,"PASS","FAIL")</x:f>
        <x:v>PASS</x:v>
      </x:c>
    </x:row>
    <x:row r="1962">
      <x:c r="B1962" s="21" t="str">
        <x:v>A1956</x:v>
      </x:c>
      <x:c r="C1962" s="21" t="str">
        <x:v>merit</x:v>
      </x:c>
      <x:c r="D1962" s="21" t="str">
        <x:v>merit 125 weight positive</x:v>
      </x:c>
      <x:c r="E1962" s="21" t="n">
        <x:f>IF('Merit Review'!G125&gt;0,1,0)</x:f>
        <x:v>1</x:v>
      </x:c>
      <x:c r="F1962" s="21" t="n">
        <x:v>1</x:v>
      </x:c>
      <x:c r="G1962" s="23" t="str">
        <x:f>IF(E1962=F1962,"PASS","FAIL")</x:f>
        <x:v>PASS</x:v>
      </x:c>
    </x:row>
    <x:row r="1963">
      <x:c r="B1963" s="21" t="str">
        <x:v>A1957</x:v>
      </x:c>
      <x:c r="C1963" s="21" t="str">
        <x:v>merit</x:v>
      </x:c>
      <x:c r="D1963" s="21" t="str">
        <x:v>merit 125 score bounded</x:v>
      </x:c>
      <x:c r="E1963" s="21" t="n">
        <x:f>IF(AND('Merit Review'!H125&gt;=0,'Merit Review'!H125&lt;=100),1,0)</x:f>
        <x:v>1</x:v>
      </x:c>
      <x:c r="F1963" s="21" t="n">
        <x:v>1</x:v>
      </x:c>
      <x:c r="G1963" s="23" t="str">
        <x:f>IF(E1963=F1963,"PASS","FAIL")</x:f>
        <x:v>PASS</x:v>
      </x:c>
    </x:row>
    <x:row r="1964">
      <x:c r="B1964" s="21" t="str">
        <x:v>A1958</x:v>
      </x:c>
      <x:c r="C1964" s="21" t="str">
        <x:v>merit</x:v>
      </x:c>
      <x:c r="D1964" s="21" t="str">
        <x:v>merit 125 weighted formula</x:v>
      </x:c>
      <x:c r="E1964" s="21" t="n">
        <x:f>IF(ABS('Merit Review'!I125-'Merit Review'!G125*'Merit Review'!H125)&lt;0.000001,1,0)</x:f>
        <x:v>1</x:v>
      </x:c>
      <x:c r="F1964" s="21" t="n">
        <x:v>1</x:v>
      </x:c>
      <x:c r="G1964" s="23" t="str">
        <x:f>IF(E1964=F1964,"PASS","FAIL")</x:f>
        <x:v>PASS</x:v>
      </x:c>
    </x:row>
    <x:row r="1965">
      <x:c r="B1965" s="21" t="str">
        <x:v>A1959</x:v>
      </x:c>
      <x:c r="C1965" s="21" t="str">
        <x:v>merit</x:v>
      </x:c>
      <x:c r="D1965" s="21" t="str">
        <x:v>merit 126 weight positive</x:v>
      </x:c>
      <x:c r="E1965" s="21" t="n">
        <x:f>IF('Merit Review'!G126&gt;0,1,0)</x:f>
        <x:v>1</x:v>
      </x:c>
      <x:c r="F1965" s="21" t="n">
        <x:v>1</x:v>
      </x:c>
      <x:c r="G1965" s="23" t="str">
        <x:f>IF(E1965=F1965,"PASS","FAIL")</x:f>
        <x:v>PASS</x:v>
      </x:c>
    </x:row>
    <x:row r="1966">
      <x:c r="B1966" s="21" t="str">
        <x:v>A1960</x:v>
      </x:c>
      <x:c r="C1966" s="21" t="str">
        <x:v>merit</x:v>
      </x:c>
      <x:c r="D1966" s="21" t="str">
        <x:v>merit 126 score bounded</x:v>
      </x:c>
      <x:c r="E1966" s="21" t="n">
        <x:f>IF(AND('Merit Review'!H126&gt;=0,'Merit Review'!H126&lt;=100),1,0)</x:f>
        <x:v>1</x:v>
      </x:c>
      <x:c r="F1966" s="21" t="n">
        <x:v>1</x:v>
      </x:c>
      <x:c r="G1966" s="23" t="str">
        <x:f>IF(E1966=F1966,"PASS","FAIL")</x:f>
        <x:v>PASS</x:v>
      </x:c>
    </x:row>
    <x:row r="1967">
      <x:c r="B1967" s="21" t="str">
        <x:v>A1961</x:v>
      </x:c>
      <x:c r="C1967" s="21" t="str">
        <x:v>merit</x:v>
      </x:c>
      <x:c r="D1967" s="21" t="str">
        <x:v>merit 126 weighted formula</x:v>
      </x:c>
      <x:c r="E1967" s="21" t="n">
        <x:f>IF(ABS('Merit Review'!I126-'Merit Review'!G126*'Merit Review'!H126)&lt;0.000001,1,0)</x:f>
        <x:v>1</x:v>
      </x:c>
      <x:c r="F1967" s="21" t="n">
        <x:v>1</x:v>
      </x:c>
      <x:c r="G1967" s="23" t="str">
        <x:f>IF(E1967=F1967,"PASS","FAIL")</x:f>
        <x:v>PASS</x:v>
      </x:c>
    </x:row>
    <x:row r="1968">
      <x:c r="B1968" s="21" t="str">
        <x:v>A1962</x:v>
      </x:c>
      <x:c r="C1968" s="21" t="str">
        <x:v>merit</x:v>
      </x:c>
      <x:c r="D1968" s="21" t="str">
        <x:v>merit 127 weight positive</x:v>
      </x:c>
      <x:c r="E1968" s="21" t="n">
        <x:f>IF('Merit Review'!G127&gt;0,1,0)</x:f>
        <x:v>1</x:v>
      </x:c>
      <x:c r="F1968" s="21" t="n">
        <x:v>1</x:v>
      </x:c>
      <x:c r="G1968" s="23" t="str">
        <x:f>IF(E1968=F1968,"PASS","FAIL")</x:f>
        <x:v>PASS</x:v>
      </x:c>
    </x:row>
    <x:row r="1969">
      <x:c r="B1969" s="21" t="str">
        <x:v>A1963</x:v>
      </x:c>
      <x:c r="C1969" s="21" t="str">
        <x:v>merit</x:v>
      </x:c>
      <x:c r="D1969" s="21" t="str">
        <x:v>merit 127 score bounded</x:v>
      </x:c>
      <x:c r="E1969" s="21" t="n">
        <x:f>IF(AND('Merit Review'!H127&gt;=0,'Merit Review'!H127&lt;=100),1,0)</x:f>
        <x:v>1</x:v>
      </x:c>
      <x:c r="F1969" s="21" t="n">
        <x:v>1</x:v>
      </x:c>
      <x:c r="G1969" s="23" t="str">
        <x:f>IF(E1969=F1969,"PASS","FAIL")</x:f>
        <x:v>PASS</x:v>
      </x:c>
    </x:row>
    <x:row r="1970">
      <x:c r="B1970" s="21" t="str">
        <x:v>A1964</x:v>
      </x:c>
      <x:c r="C1970" s="21" t="str">
        <x:v>merit</x:v>
      </x:c>
      <x:c r="D1970" s="21" t="str">
        <x:v>merit 127 weighted formula</x:v>
      </x:c>
      <x:c r="E1970" s="21" t="n">
        <x:f>IF(ABS('Merit Review'!I127-'Merit Review'!G127*'Merit Review'!H127)&lt;0.000001,1,0)</x:f>
        <x:v>1</x:v>
      </x:c>
      <x:c r="F1970" s="21" t="n">
        <x:v>1</x:v>
      </x:c>
      <x:c r="G1970" s="23" t="str">
        <x:f>IF(E1970=F1970,"PASS","FAIL")</x:f>
        <x:v>PASS</x:v>
      </x:c>
    </x:row>
    <x:row r="1971">
      <x:c r="B1971" s="21" t="str">
        <x:v>A1965</x:v>
      </x:c>
      <x:c r="C1971" s="21" t="str">
        <x:v>merit</x:v>
      </x:c>
      <x:c r="D1971" s="21" t="str">
        <x:v>merit 128 weight positive</x:v>
      </x:c>
      <x:c r="E1971" s="21" t="n">
        <x:f>IF('Merit Review'!G128&gt;0,1,0)</x:f>
        <x:v>1</x:v>
      </x:c>
      <x:c r="F1971" s="21" t="n">
        <x:v>1</x:v>
      </x:c>
      <x:c r="G1971" s="23" t="str">
        <x:f>IF(E1971=F1971,"PASS","FAIL")</x:f>
        <x:v>PASS</x:v>
      </x:c>
    </x:row>
    <x:row r="1972">
      <x:c r="B1972" s="21" t="str">
        <x:v>A1966</x:v>
      </x:c>
      <x:c r="C1972" s="21" t="str">
        <x:v>merit</x:v>
      </x:c>
      <x:c r="D1972" s="21" t="str">
        <x:v>merit 128 score bounded</x:v>
      </x:c>
      <x:c r="E1972" s="21" t="n">
        <x:f>IF(AND('Merit Review'!H128&gt;=0,'Merit Review'!H128&lt;=100),1,0)</x:f>
        <x:v>1</x:v>
      </x:c>
      <x:c r="F1972" s="21" t="n">
        <x:v>1</x:v>
      </x:c>
      <x:c r="G1972" s="23" t="str">
        <x:f>IF(E1972=F1972,"PASS","FAIL")</x:f>
        <x:v>PASS</x:v>
      </x:c>
    </x:row>
    <x:row r="1973">
      <x:c r="B1973" s="21" t="str">
        <x:v>A1967</x:v>
      </x:c>
      <x:c r="C1973" s="21" t="str">
        <x:v>merit</x:v>
      </x:c>
      <x:c r="D1973" s="21" t="str">
        <x:v>merit 128 weighted formula</x:v>
      </x:c>
      <x:c r="E1973" s="21" t="n">
        <x:f>IF(ABS('Merit Review'!I128-'Merit Review'!G128*'Merit Review'!H128)&lt;0.000001,1,0)</x:f>
        <x:v>1</x:v>
      </x:c>
      <x:c r="F1973" s="21" t="n">
        <x:v>1</x:v>
      </x:c>
      <x:c r="G1973" s="23" t="str">
        <x:f>IF(E1973=F1973,"PASS","FAIL")</x:f>
        <x:v>PASS</x:v>
      </x:c>
    </x:row>
    <x:row r="1974">
      <x:c r="B1974" s="21" t="str">
        <x:v>A1968</x:v>
      </x:c>
      <x:c r="C1974" s="21" t="str">
        <x:v>merit</x:v>
      </x:c>
      <x:c r="D1974" s="21" t="str">
        <x:v>merit 129 weight positive</x:v>
      </x:c>
      <x:c r="E1974" s="21" t="n">
        <x:f>IF('Merit Review'!G129&gt;0,1,0)</x:f>
        <x:v>1</x:v>
      </x:c>
      <x:c r="F1974" s="21" t="n">
        <x:v>1</x:v>
      </x:c>
      <x:c r="G1974" s="23" t="str">
        <x:f>IF(E1974=F1974,"PASS","FAIL")</x:f>
        <x:v>PASS</x:v>
      </x:c>
    </x:row>
    <x:row r="1975">
      <x:c r="B1975" s="21" t="str">
        <x:v>A1969</x:v>
      </x:c>
      <x:c r="C1975" s="21" t="str">
        <x:v>merit</x:v>
      </x:c>
      <x:c r="D1975" s="21" t="str">
        <x:v>merit 129 score bounded</x:v>
      </x:c>
      <x:c r="E1975" s="21" t="n">
        <x:f>IF(AND('Merit Review'!H129&gt;=0,'Merit Review'!H129&lt;=100),1,0)</x:f>
        <x:v>1</x:v>
      </x:c>
      <x:c r="F1975" s="21" t="n">
        <x:v>1</x:v>
      </x:c>
      <x:c r="G1975" s="23" t="str">
        <x:f>IF(E1975=F1975,"PASS","FAIL")</x:f>
        <x:v>PASS</x:v>
      </x:c>
    </x:row>
    <x:row r="1976">
      <x:c r="B1976" s="21" t="str">
        <x:v>A1970</x:v>
      </x:c>
      <x:c r="C1976" s="21" t="str">
        <x:v>merit</x:v>
      </x:c>
      <x:c r="D1976" s="21" t="str">
        <x:v>merit 129 weighted formula</x:v>
      </x:c>
      <x:c r="E1976" s="21" t="n">
        <x:f>IF(ABS('Merit Review'!I129-'Merit Review'!G129*'Merit Review'!H129)&lt;0.000001,1,0)</x:f>
        <x:v>1</x:v>
      </x:c>
      <x:c r="F1976" s="21" t="n">
        <x:v>1</x:v>
      </x:c>
      <x:c r="G1976" s="23" t="str">
        <x:f>IF(E1976=F1976,"PASS","FAIL")</x:f>
        <x:v>PASS</x:v>
      </x:c>
    </x:row>
    <x:row r="1977">
      <x:c r="B1977" s="21" t="str">
        <x:v>A1971</x:v>
      </x:c>
      <x:c r="C1977" s="21" t="str">
        <x:v>merit</x:v>
      </x:c>
      <x:c r="D1977" s="21" t="str">
        <x:v>merit 130 weight positive</x:v>
      </x:c>
      <x:c r="E1977" s="21" t="n">
        <x:f>IF('Merit Review'!G130&gt;0,1,0)</x:f>
        <x:v>1</x:v>
      </x:c>
      <x:c r="F1977" s="21" t="n">
        <x:v>1</x:v>
      </x:c>
      <x:c r="G1977" s="23" t="str">
        <x:f>IF(E1977=F1977,"PASS","FAIL")</x:f>
        <x:v>PASS</x:v>
      </x:c>
    </x:row>
    <x:row r="1978">
      <x:c r="B1978" s="21" t="str">
        <x:v>A1972</x:v>
      </x:c>
      <x:c r="C1978" s="21" t="str">
        <x:v>merit</x:v>
      </x:c>
      <x:c r="D1978" s="21" t="str">
        <x:v>merit 130 score bounded</x:v>
      </x:c>
      <x:c r="E1978" s="21" t="n">
        <x:f>IF(AND('Merit Review'!H130&gt;=0,'Merit Review'!H130&lt;=100),1,0)</x:f>
        <x:v>1</x:v>
      </x:c>
      <x:c r="F1978" s="21" t="n">
        <x:v>1</x:v>
      </x:c>
      <x:c r="G1978" s="23" t="str">
        <x:f>IF(E1978=F1978,"PASS","FAIL")</x:f>
        <x:v>PASS</x:v>
      </x:c>
    </x:row>
    <x:row r="1979">
      <x:c r="B1979" s="21" t="str">
        <x:v>A1973</x:v>
      </x:c>
      <x:c r="C1979" s="21" t="str">
        <x:v>merit</x:v>
      </x:c>
      <x:c r="D1979" s="21" t="str">
        <x:v>merit 130 weighted formula</x:v>
      </x:c>
      <x:c r="E1979" s="21" t="n">
        <x:f>IF(ABS('Merit Review'!I130-'Merit Review'!G130*'Merit Review'!H130)&lt;0.000001,1,0)</x:f>
        <x:v>1</x:v>
      </x:c>
      <x:c r="F1979" s="21" t="n">
        <x:v>1</x:v>
      </x:c>
      <x:c r="G1979" s="23" t="str">
        <x:f>IF(E1979=F1979,"PASS","FAIL")</x:f>
        <x:v>PASS</x:v>
      </x:c>
    </x:row>
    <x:row r="1980">
      <x:c r="B1980" s="21" t="str">
        <x:v>A1974</x:v>
      </x:c>
      <x:c r="C1980" s="21" t="str">
        <x:v>merit</x:v>
      </x:c>
      <x:c r="D1980" s="21" t="str">
        <x:v>merit 131 weight positive</x:v>
      </x:c>
      <x:c r="E1980" s="21" t="n">
        <x:f>IF('Merit Review'!G131&gt;0,1,0)</x:f>
        <x:v>1</x:v>
      </x:c>
      <x:c r="F1980" s="21" t="n">
        <x:v>1</x:v>
      </x:c>
      <x:c r="G1980" s="23" t="str">
        <x:f>IF(E1980=F1980,"PASS","FAIL")</x:f>
        <x:v>PASS</x:v>
      </x:c>
    </x:row>
    <x:row r="1981">
      <x:c r="B1981" s="21" t="str">
        <x:v>A1975</x:v>
      </x:c>
      <x:c r="C1981" s="21" t="str">
        <x:v>merit</x:v>
      </x:c>
      <x:c r="D1981" s="21" t="str">
        <x:v>merit 131 score bounded</x:v>
      </x:c>
      <x:c r="E1981" s="21" t="n">
        <x:f>IF(AND('Merit Review'!H131&gt;=0,'Merit Review'!H131&lt;=100),1,0)</x:f>
        <x:v>1</x:v>
      </x:c>
      <x:c r="F1981" s="21" t="n">
        <x:v>1</x:v>
      </x:c>
      <x:c r="G1981" s="23" t="str">
        <x:f>IF(E1981=F1981,"PASS","FAIL")</x:f>
        <x:v>PASS</x:v>
      </x:c>
    </x:row>
    <x:row r="1982">
      <x:c r="B1982" s="21" t="str">
        <x:v>A1976</x:v>
      </x:c>
      <x:c r="C1982" s="21" t="str">
        <x:v>merit</x:v>
      </x:c>
      <x:c r="D1982" s="21" t="str">
        <x:v>merit 131 weighted formula</x:v>
      </x:c>
      <x:c r="E1982" s="21" t="n">
        <x:f>IF(ABS('Merit Review'!I131-'Merit Review'!G131*'Merit Review'!H131)&lt;0.000001,1,0)</x:f>
        <x:v>1</x:v>
      </x:c>
      <x:c r="F1982" s="21" t="n">
        <x:v>1</x:v>
      </x:c>
      <x:c r="G1982" s="23" t="str">
        <x:f>IF(E1982=F1982,"PASS","FAIL")</x:f>
        <x:v>PASS</x:v>
      </x:c>
    </x:row>
    <x:row r="1983">
      <x:c r="B1983" s="21" t="str">
        <x:v>A1977</x:v>
      </x:c>
      <x:c r="C1983" s="21" t="str">
        <x:v>merit</x:v>
      </x:c>
      <x:c r="D1983" s="21" t="str">
        <x:v>merit 132 weight positive</x:v>
      </x:c>
      <x:c r="E1983" s="21" t="n">
        <x:f>IF('Merit Review'!G132&gt;0,1,0)</x:f>
        <x:v>1</x:v>
      </x:c>
      <x:c r="F1983" s="21" t="n">
        <x:v>1</x:v>
      </x:c>
      <x:c r="G1983" s="23" t="str">
        <x:f>IF(E1983=F1983,"PASS","FAIL")</x:f>
        <x:v>PASS</x:v>
      </x:c>
    </x:row>
    <x:row r="1984">
      <x:c r="B1984" s="21" t="str">
        <x:v>A1978</x:v>
      </x:c>
      <x:c r="C1984" s="21" t="str">
        <x:v>merit</x:v>
      </x:c>
      <x:c r="D1984" s="21" t="str">
        <x:v>merit 132 score bounded</x:v>
      </x:c>
      <x:c r="E1984" s="21" t="n">
        <x:f>IF(AND('Merit Review'!H132&gt;=0,'Merit Review'!H132&lt;=100),1,0)</x:f>
        <x:v>1</x:v>
      </x:c>
      <x:c r="F1984" s="21" t="n">
        <x:v>1</x:v>
      </x:c>
      <x:c r="G1984" s="23" t="str">
        <x:f>IF(E1984=F1984,"PASS","FAIL")</x:f>
        <x:v>PASS</x:v>
      </x:c>
    </x:row>
    <x:row r="1985">
      <x:c r="B1985" s="21" t="str">
        <x:v>A1979</x:v>
      </x:c>
      <x:c r="C1985" s="21" t="str">
        <x:v>merit</x:v>
      </x:c>
      <x:c r="D1985" s="21" t="str">
        <x:v>merit 132 weighted formula</x:v>
      </x:c>
      <x:c r="E1985" s="21" t="n">
        <x:f>IF(ABS('Merit Review'!I132-'Merit Review'!G132*'Merit Review'!H132)&lt;0.000001,1,0)</x:f>
        <x:v>1</x:v>
      </x:c>
      <x:c r="F1985" s="21" t="n">
        <x:v>1</x:v>
      </x:c>
      <x:c r="G1985" s="23" t="str">
        <x:f>IF(E1985=F1985,"PASS","FAIL")</x:f>
        <x:v>PASS</x:v>
      </x:c>
    </x:row>
    <x:row r="1986">
      <x:c r="B1986" s="21" t="str">
        <x:v>A1980</x:v>
      </x:c>
      <x:c r="C1986" s="21" t="str">
        <x:v>merit</x:v>
      </x:c>
      <x:c r="D1986" s="21" t="str">
        <x:v>merit 133 weight positive</x:v>
      </x:c>
      <x:c r="E1986" s="21" t="n">
        <x:f>IF('Merit Review'!G133&gt;0,1,0)</x:f>
        <x:v>1</x:v>
      </x:c>
      <x:c r="F1986" s="21" t="n">
        <x:v>1</x:v>
      </x:c>
      <x:c r="G1986" s="23" t="str">
        <x:f>IF(E1986=F1986,"PASS","FAIL")</x:f>
        <x:v>PASS</x:v>
      </x:c>
    </x:row>
    <x:row r="1987">
      <x:c r="B1987" s="21" t="str">
        <x:v>A1981</x:v>
      </x:c>
      <x:c r="C1987" s="21" t="str">
        <x:v>merit</x:v>
      </x:c>
      <x:c r="D1987" s="21" t="str">
        <x:v>merit 133 score bounded</x:v>
      </x:c>
      <x:c r="E1987" s="21" t="n">
        <x:f>IF(AND('Merit Review'!H133&gt;=0,'Merit Review'!H133&lt;=100),1,0)</x:f>
        <x:v>1</x:v>
      </x:c>
      <x:c r="F1987" s="21" t="n">
        <x:v>1</x:v>
      </x:c>
      <x:c r="G1987" s="23" t="str">
        <x:f>IF(E1987=F1987,"PASS","FAIL")</x:f>
        <x:v>PASS</x:v>
      </x:c>
    </x:row>
    <x:row r="1988">
      <x:c r="B1988" s="21" t="str">
        <x:v>A1982</x:v>
      </x:c>
      <x:c r="C1988" s="21" t="str">
        <x:v>merit</x:v>
      </x:c>
      <x:c r="D1988" s="21" t="str">
        <x:v>merit 133 weighted formula</x:v>
      </x:c>
      <x:c r="E1988" s="21" t="n">
        <x:f>IF(ABS('Merit Review'!I133-'Merit Review'!G133*'Merit Review'!H133)&lt;0.000001,1,0)</x:f>
        <x:v>1</x:v>
      </x:c>
      <x:c r="F1988" s="21" t="n">
        <x:v>1</x:v>
      </x:c>
      <x:c r="G1988" s="23" t="str">
        <x:f>IF(E1988=F1988,"PASS","FAIL")</x:f>
        <x:v>PASS</x:v>
      </x:c>
    </x:row>
    <x:row r="1989">
      <x:c r="B1989" s="21" t="str">
        <x:v>A1983</x:v>
      </x:c>
      <x:c r="C1989" s="21" t="str">
        <x:v>merit</x:v>
      </x:c>
      <x:c r="D1989" s="21" t="str">
        <x:v>merit 134 weight positive</x:v>
      </x:c>
      <x:c r="E1989" s="21" t="n">
        <x:f>IF('Merit Review'!G134&gt;0,1,0)</x:f>
        <x:v>1</x:v>
      </x:c>
      <x:c r="F1989" s="21" t="n">
        <x:v>1</x:v>
      </x:c>
      <x:c r="G1989" s="23" t="str">
        <x:f>IF(E1989=F1989,"PASS","FAIL")</x:f>
        <x:v>PASS</x:v>
      </x:c>
    </x:row>
    <x:row r="1990">
      <x:c r="B1990" s="21" t="str">
        <x:v>A1984</x:v>
      </x:c>
      <x:c r="C1990" s="21" t="str">
        <x:v>merit</x:v>
      </x:c>
      <x:c r="D1990" s="21" t="str">
        <x:v>merit 134 score bounded</x:v>
      </x:c>
      <x:c r="E1990" s="21" t="n">
        <x:f>IF(AND('Merit Review'!H134&gt;=0,'Merit Review'!H134&lt;=100),1,0)</x:f>
        <x:v>1</x:v>
      </x:c>
      <x:c r="F1990" s="21" t="n">
        <x:v>1</x:v>
      </x:c>
      <x:c r="G1990" s="23" t="str">
        <x:f>IF(E1990=F1990,"PASS","FAIL")</x:f>
        <x:v>PASS</x:v>
      </x:c>
    </x:row>
    <x:row r="1991">
      <x:c r="B1991" s="21" t="str">
        <x:v>A1985</x:v>
      </x:c>
      <x:c r="C1991" s="21" t="str">
        <x:v>merit</x:v>
      </x:c>
      <x:c r="D1991" s="21" t="str">
        <x:v>merit 134 weighted formula</x:v>
      </x:c>
      <x:c r="E1991" s="21" t="n">
        <x:f>IF(ABS('Merit Review'!I134-'Merit Review'!G134*'Merit Review'!H134)&lt;0.000001,1,0)</x:f>
        <x:v>1</x:v>
      </x:c>
      <x:c r="F1991" s="21" t="n">
        <x:v>1</x:v>
      </x:c>
      <x:c r="G1991" s="23" t="str">
        <x:f>IF(E1991=F1991,"PASS","FAIL")</x:f>
        <x:v>PASS</x:v>
      </x:c>
    </x:row>
    <x:row r="1992">
      <x:c r="B1992" s="21" t="str">
        <x:v>A1986</x:v>
      </x:c>
      <x:c r="C1992" s="21" t="str">
        <x:v>merit</x:v>
      </x:c>
      <x:c r="D1992" s="21" t="str">
        <x:v>merit 135 weight positive</x:v>
      </x:c>
      <x:c r="E1992" s="21" t="n">
        <x:f>IF('Merit Review'!G135&gt;0,1,0)</x:f>
        <x:v>1</x:v>
      </x:c>
      <x:c r="F1992" s="21" t="n">
        <x:v>1</x:v>
      </x:c>
      <x:c r="G1992" s="23" t="str">
        <x:f>IF(E1992=F1992,"PASS","FAIL")</x:f>
        <x:v>PASS</x:v>
      </x:c>
    </x:row>
    <x:row r="1993">
      <x:c r="B1993" s="21" t="str">
        <x:v>A1987</x:v>
      </x:c>
      <x:c r="C1993" s="21" t="str">
        <x:v>merit</x:v>
      </x:c>
      <x:c r="D1993" s="21" t="str">
        <x:v>merit 135 score bounded</x:v>
      </x:c>
      <x:c r="E1993" s="21" t="n">
        <x:f>IF(AND('Merit Review'!H135&gt;=0,'Merit Review'!H135&lt;=100),1,0)</x:f>
        <x:v>1</x:v>
      </x:c>
      <x:c r="F1993" s="21" t="n">
        <x:v>1</x:v>
      </x:c>
      <x:c r="G1993" s="23" t="str">
        <x:f>IF(E1993=F1993,"PASS","FAIL")</x:f>
        <x:v>PASS</x:v>
      </x:c>
    </x:row>
    <x:row r="1994">
      <x:c r="B1994" s="21" t="str">
        <x:v>A1988</x:v>
      </x:c>
      <x:c r="C1994" s="21" t="str">
        <x:v>merit</x:v>
      </x:c>
      <x:c r="D1994" s="21" t="str">
        <x:v>merit 135 weighted formula</x:v>
      </x:c>
      <x:c r="E1994" s="21" t="n">
        <x:f>IF(ABS('Merit Review'!I135-'Merit Review'!G135*'Merit Review'!H135)&lt;0.000001,1,0)</x:f>
        <x:v>1</x:v>
      </x:c>
      <x:c r="F1994" s="21" t="n">
        <x:v>1</x:v>
      </x:c>
      <x:c r="G1994" s="23" t="str">
        <x:f>IF(E1994=F1994,"PASS","FAIL")</x:f>
        <x:v>PASS</x:v>
      </x:c>
    </x:row>
    <x:row r="1995">
      <x:c r="B1995" s="21" t="str">
        <x:v>A1989</x:v>
      </x:c>
      <x:c r="C1995" s="21" t="str">
        <x:v>merit</x:v>
      </x:c>
      <x:c r="D1995" s="21" t="str">
        <x:v>merit 136 weight positive</x:v>
      </x:c>
      <x:c r="E1995" s="21" t="n">
        <x:f>IF('Merit Review'!G136&gt;0,1,0)</x:f>
        <x:v>1</x:v>
      </x:c>
      <x:c r="F1995" s="21" t="n">
        <x:v>1</x:v>
      </x:c>
      <x:c r="G1995" s="23" t="str">
        <x:f>IF(E1995=F1995,"PASS","FAIL")</x:f>
        <x:v>PASS</x:v>
      </x:c>
    </x:row>
    <x:row r="1996">
      <x:c r="B1996" s="21" t="str">
        <x:v>A1990</x:v>
      </x:c>
      <x:c r="C1996" s="21" t="str">
        <x:v>merit</x:v>
      </x:c>
      <x:c r="D1996" s="21" t="str">
        <x:v>merit 136 score bounded</x:v>
      </x:c>
      <x:c r="E1996" s="21" t="n">
        <x:f>IF(AND('Merit Review'!H136&gt;=0,'Merit Review'!H136&lt;=100),1,0)</x:f>
        <x:v>1</x:v>
      </x:c>
      <x:c r="F1996" s="21" t="n">
        <x:v>1</x:v>
      </x:c>
      <x:c r="G1996" s="23" t="str">
        <x:f>IF(E1996=F1996,"PASS","FAIL")</x:f>
        <x:v>PASS</x:v>
      </x:c>
    </x:row>
    <x:row r="1997">
      <x:c r="B1997" s="21" t="str">
        <x:v>A1991</x:v>
      </x:c>
      <x:c r="C1997" s="21" t="str">
        <x:v>merit</x:v>
      </x:c>
      <x:c r="D1997" s="21" t="str">
        <x:v>merit 136 weighted formula</x:v>
      </x:c>
      <x:c r="E1997" s="21" t="n">
        <x:f>IF(ABS('Merit Review'!I136-'Merit Review'!G136*'Merit Review'!H136)&lt;0.000001,1,0)</x:f>
        <x:v>1</x:v>
      </x:c>
      <x:c r="F1997" s="21" t="n">
        <x:v>1</x:v>
      </x:c>
      <x:c r="G1997" s="23" t="str">
        <x:f>IF(E1997=F1997,"PASS","FAIL")</x:f>
        <x:v>PASS</x:v>
      </x:c>
    </x:row>
    <x:row r="1998">
      <x:c r="B1998" s="21" t="str">
        <x:v>A1992</x:v>
      </x:c>
      <x:c r="C1998" s="21" t="str">
        <x:v>merit</x:v>
      </x:c>
      <x:c r="D1998" s="21" t="str">
        <x:v>merit 137 weight positive</x:v>
      </x:c>
      <x:c r="E1998" s="21" t="n">
        <x:f>IF('Merit Review'!G137&gt;0,1,0)</x:f>
        <x:v>1</x:v>
      </x:c>
      <x:c r="F1998" s="21" t="n">
        <x:v>1</x:v>
      </x:c>
      <x:c r="G1998" s="23" t="str">
        <x:f>IF(E1998=F1998,"PASS","FAIL")</x:f>
        <x:v>PASS</x:v>
      </x:c>
    </x:row>
    <x:row r="1999">
      <x:c r="B1999" s="21" t="str">
        <x:v>A1993</x:v>
      </x:c>
      <x:c r="C1999" s="21" t="str">
        <x:v>merit</x:v>
      </x:c>
      <x:c r="D1999" s="21" t="str">
        <x:v>merit 137 score bounded</x:v>
      </x:c>
      <x:c r="E1999" s="21" t="n">
        <x:f>IF(AND('Merit Review'!H137&gt;=0,'Merit Review'!H137&lt;=100),1,0)</x:f>
        <x:v>1</x:v>
      </x:c>
      <x:c r="F1999" s="21" t="n">
        <x:v>1</x:v>
      </x:c>
      <x:c r="G1999" s="23" t="str">
        <x:f>IF(E1999=F1999,"PASS","FAIL")</x:f>
        <x:v>PASS</x:v>
      </x:c>
    </x:row>
    <x:row r="2000">
      <x:c r="B2000" s="21" t="str">
        <x:v>A1994</x:v>
      </x:c>
      <x:c r="C2000" s="21" t="str">
        <x:v>merit</x:v>
      </x:c>
      <x:c r="D2000" s="21" t="str">
        <x:v>merit 137 weighted formula</x:v>
      </x:c>
      <x:c r="E2000" s="21" t="n">
        <x:f>IF(ABS('Merit Review'!I137-'Merit Review'!G137*'Merit Review'!H137)&lt;0.000001,1,0)</x:f>
        <x:v>1</x:v>
      </x:c>
      <x:c r="F2000" s="21" t="n">
        <x:v>1</x:v>
      </x:c>
      <x:c r="G2000" s="23" t="str">
        <x:f>IF(E2000=F2000,"PASS","FAIL")</x:f>
        <x:v>PASS</x:v>
      </x:c>
    </x:row>
    <x:row r="2001">
      <x:c r="B2001" s="21" t="str">
        <x:v>A1995</x:v>
      </x:c>
      <x:c r="C2001" s="21" t="str">
        <x:v>merit</x:v>
      </x:c>
      <x:c r="D2001" s="21" t="str">
        <x:v>merit 138 weight positive</x:v>
      </x:c>
      <x:c r="E2001" s="21" t="n">
        <x:f>IF('Merit Review'!G138&gt;0,1,0)</x:f>
        <x:v>1</x:v>
      </x:c>
      <x:c r="F2001" s="21" t="n">
        <x:v>1</x:v>
      </x:c>
      <x:c r="G2001" s="23" t="str">
        <x:f>IF(E2001=F2001,"PASS","FAIL")</x:f>
        <x:v>PASS</x:v>
      </x:c>
    </x:row>
    <x:row r="2002">
      <x:c r="B2002" s="21" t="str">
        <x:v>A1996</x:v>
      </x:c>
      <x:c r="C2002" s="21" t="str">
        <x:v>merit</x:v>
      </x:c>
      <x:c r="D2002" s="21" t="str">
        <x:v>merit 138 score bounded</x:v>
      </x:c>
      <x:c r="E2002" s="21" t="n">
        <x:f>IF(AND('Merit Review'!H138&gt;=0,'Merit Review'!H138&lt;=100),1,0)</x:f>
        <x:v>1</x:v>
      </x:c>
      <x:c r="F2002" s="21" t="n">
        <x:v>1</x:v>
      </x:c>
      <x:c r="G2002" s="23" t="str">
        <x:f>IF(E2002=F2002,"PASS","FAIL")</x:f>
        <x:v>PASS</x:v>
      </x:c>
    </x:row>
    <x:row r="2003">
      <x:c r="B2003" s="21" t="str">
        <x:v>A1997</x:v>
      </x:c>
      <x:c r="C2003" s="21" t="str">
        <x:v>merit</x:v>
      </x:c>
      <x:c r="D2003" s="21" t="str">
        <x:v>merit 138 weighted formula</x:v>
      </x:c>
      <x:c r="E2003" s="21" t="n">
        <x:f>IF(ABS('Merit Review'!I138-'Merit Review'!G138*'Merit Review'!H138)&lt;0.000001,1,0)</x:f>
        <x:v>1</x:v>
      </x:c>
      <x:c r="F2003" s="21" t="n">
        <x:v>1</x:v>
      </x:c>
      <x:c r="G2003" s="23" t="str">
        <x:f>IF(E2003=F2003,"PASS","FAIL")</x:f>
        <x:v>PASS</x:v>
      </x:c>
    </x:row>
    <x:row r="2004">
      <x:c r="B2004" s="21" t="str">
        <x:v>A1998</x:v>
      </x:c>
      <x:c r="C2004" s="21" t="str">
        <x:v>merit</x:v>
      </x:c>
      <x:c r="D2004" s="21" t="str">
        <x:v>merit 139 weight positive</x:v>
      </x:c>
      <x:c r="E2004" s="21" t="n">
        <x:f>IF('Merit Review'!G139&gt;0,1,0)</x:f>
        <x:v>1</x:v>
      </x:c>
      <x:c r="F2004" s="21" t="n">
        <x:v>1</x:v>
      </x:c>
      <x:c r="G2004" s="23" t="str">
        <x:f>IF(E2004=F2004,"PASS","FAIL")</x:f>
        <x:v>PASS</x:v>
      </x:c>
    </x:row>
    <x:row r="2005">
      <x:c r="B2005" s="21" t="str">
        <x:v>A1999</x:v>
      </x:c>
      <x:c r="C2005" s="21" t="str">
        <x:v>merit</x:v>
      </x:c>
      <x:c r="D2005" s="21" t="str">
        <x:v>merit 139 score bounded</x:v>
      </x:c>
      <x:c r="E2005" s="21" t="n">
        <x:f>IF(AND('Merit Review'!H139&gt;=0,'Merit Review'!H139&lt;=100),1,0)</x:f>
        <x:v>1</x:v>
      </x:c>
      <x:c r="F2005" s="21" t="n">
        <x:v>1</x:v>
      </x:c>
      <x:c r="G2005" s="23" t="str">
        <x:f>IF(E2005=F2005,"PASS","FAIL")</x:f>
        <x:v>PASS</x:v>
      </x:c>
    </x:row>
    <x:row r="2006">
      <x:c r="B2006" s="21" t="str">
        <x:v>A2000</x:v>
      </x:c>
      <x:c r="C2006" s="21" t="str">
        <x:v>merit</x:v>
      </x:c>
      <x:c r="D2006" s="21" t="str">
        <x:v>merit 139 weighted formula</x:v>
      </x:c>
      <x:c r="E2006" s="21" t="n">
        <x:f>IF(ABS('Merit Review'!I139-'Merit Review'!G139*'Merit Review'!H139)&lt;0.000001,1,0)</x:f>
        <x:v>1</x:v>
      </x:c>
      <x:c r="F2006" s="21" t="n">
        <x:v>1</x:v>
      </x:c>
      <x:c r="G2006" s="23" t="str">
        <x:f>IF(E2006=F2006,"PASS","FAIL")</x:f>
        <x:v>PASS</x:v>
      </x:c>
    </x:row>
    <x:row r="2007">
      <x:c r="B2007" s="21" t="str">
        <x:v>A2001</x:v>
      </x:c>
      <x:c r="C2007" s="21" t="str">
        <x:v>merit</x:v>
      </x:c>
      <x:c r="D2007" s="21" t="str">
        <x:v>merit 140 weight positive</x:v>
      </x:c>
      <x:c r="E2007" s="21" t="n">
        <x:f>IF('Merit Review'!G140&gt;0,1,0)</x:f>
        <x:v>1</x:v>
      </x:c>
      <x:c r="F2007" s="21" t="n">
        <x:v>1</x:v>
      </x:c>
      <x:c r="G2007" s="23" t="str">
        <x:f>IF(E2007=F2007,"PASS","FAIL")</x:f>
        <x:v>PASS</x:v>
      </x:c>
    </x:row>
    <x:row r="2008">
      <x:c r="B2008" s="21" t="str">
        <x:v>A2002</x:v>
      </x:c>
      <x:c r="C2008" s="21" t="str">
        <x:v>merit</x:v>
      </x:c>
      <x:c r="D2008" s="21" t="str">
        <x:v>merit 140 score bounded</x:v>
      </x:c>
      <x:c r="E2008" s="21" t="n">
        <x:f>IF(AND('Merit Review'!H140&gt;=0,'Merit Review'!H140&lt;=100),1,0)</x:f>
        <x:v>1</x:v>
      </x:c>
      <x:c r="F2008" s="21" t="n">
        <x:v>1</x:v>
      </x:c>
      <x:c r="G2008" s="23" t="str">
        <x:f>IF(E2008=F2008,"PASS","FAIL")</x:f>
        <x:v>PASS</x:v>
      </x:c>
    </x:row>
    <x:row r="2009">
      <x:c r="B2009" s="21" t="str">
        <x:v>A2003</x:v>
      </x:c>
      <x:c r="C2009" s="21" t="str">
        <x:v>merit</x:v>
      </x:c>
      <x:c r="D2009" s="21" t="str">
        <x:v>merit 140 weighted formula</x:v>
      </x:c>
      <x:c r="E2009" s="21" t="n">
        <x:f>IF(ABS('Merit Review'!I140-'Merit Review'!G140*'Merit Review'!H140)&lt;0.000001,1,0)</x:f>
        <x:v>1</x:v>
      </x:c>
      <x:c r="F2009" s="21" t="n">
        <x:v>1</x:v>
      </x:c>
      <x:c r="G2009" s="23" t="str">
        <x:f>IF(E2009=F2009,"PASS","FAIL")</x:f>
        <x:v>PASS</x:v>
      </x:c>
    </x:row>
    <x:row r="2010">
      <x:c r="B2010" s="21" t="str">
        <x:v>A2004</x:v>
      </x:c>
      <x:c r="C2010" s="21" t="str">
        <x:v>merit</x:v>
      </x:c>
      <x:c r="D2010" s="21" t="str">
        <x:v>merit 141 weight positive</x:v>
      </x:c>
      <x:c r="E2010" s="21" t="n">
        <x:f>IF('Merit Review'!G141&gt;0,1,0)</x:f>
        <x:v>1</x:v>
      </x:c>
      <x:c r="F2010" s="21" t="n">
        <x:v>1</x:v>
      </x:c>
      <x:c r="G2010" s="23" t="str">
        <x:f>IF(E2010=F2010,"PASS","FAIL")</x:f>
        <x:v>PASS</x:v>
      </x:c>
    </x:row>
    <x:row r="2011">
      <x:c r="B2011" s="21" t="str">
        <x:v>A2005</x:v>
      </x:c>
      <x:c r="C2011" s="21" t="str">
        <x:v>merit</x:v>
      </x:c>
      <x:c r="D2011" s="21" t="str">
        <x:v>merit 141 score bounded</x:v>
      </x:c>
      <x:c r="E2011" s="21" t="n">
        <x:f>IF(AND('Merit Review'!H141&gt;=0,'Merit Review'!H141&lt;=100),1,0)</x:f>
        <x:v>1</x:v>
      </x:c>
      <x:c r="F2011" s="21" t="n">
        <x:v>1</x:v>
      </x:c>
      <x:c r="G2011" s="23" t="str">
        <x:f>IF(E2011=F2011,"PASS","FAIL")</x:f>
        <x:v>PASS</x:v>
      </x:c>
    </x:row>
    <x:row r="2012">
      <x:c r="B2012" s="21" t="str">
        <x:v>A2006</x:v>
      </x:c>
      <x:c r="C2012" s="21" t="str">
        <x:v>merit</x:v>
      </x:c>
      <x:c r="D2012" s="21" t="str">
        <x:v>merit 141 weighted formula</x:v>
      </x:c>
      <x:c r="E2012" s="21" t="n">
        <x:f>IF(ABS('Merit Review'!I141-'Merit Review'!G141*'Merit Review'!H141)&lt;0.000001,1,0)</x:f>
        <x:v>1</x:v>
      </x:c>
      <x:c r="F2012" s="21" t="n">
        <x:v>1</x:v>
      </x:c>
      <x:c r="G2012" s="23" t="str">
        <x:f>IF(E2012=F2012,"PASS","FAIL")</x:f>
        <x:v>PASS</x:v>
      </x:c>
    </x:row>
    <x:row r="2013">
      <x:c r="B2013" s="21" t="str">
        <x:v>A2007</x:v>
      </x:c>
      <x:c r="C2013" s="21" t="str">
        <x:v>merit</x:v>
      </x:c>
      <x:c r="D2013" s="21" t="str">
        <x:v>merit 142 weight positive</x:v>
      </x:c>
      <x:c r="E2013" s="21" t="n">
        <x:f>IF('Merit Review'!G142&gt;0,1,0)</x:f>
        <x:v>1</x:v>
      </x:c>
      <x:c r="F2013" s="21" t="n">
        <x:v>1</x:v>
      </x:c>
      <x:c r="G2013" s="23" t="str">
        <x:f>IF(E2013=F2013,"PASS","FAIL")</x:f>
        <x:v>PASS</x:v>
      </x:c>
    </x:row>
    <x:row r="2014">
      <x:c r="B2014" s="21" t="str">
        <x:v>A2008</x:v>
      </x:c>
      <x:c r="C2014" s="21" t="str">
        <x:v>merit</x:v>
      </x:c>
      <x:c r="D2014" s="21" t="str">
        <x:v>merit 142 score bounded</x:v>
      </x:c>
      <x:c r="E2014" s="21" t="n">
        <x:f>IF(AND('Merit Review'!H142&gt;=0,'Merit Review'!H142&lt;=100),1,0)</x:f>
        <x:v>1</x:v>
      </x:c>
      <x:c r="F2014" s="21" t="n">
        <x:v>1</x:v>
      </x:c>
      <x:c r="G2014" s="23" t="str">
        <x:f>IF(E2014=F2014,"PASS","FAIL")</x:f>
        <x:v>PASS</x:v>
      </x:c>
    </x:row>
    <x:row r="2015">
      <x:c r="B2015" s="21" t="str">
        <x:v>A2009</x:v>
      </x:c>
      <x:c r="C2015" s="21" t="str">
        <x:v>merit</x:v>
      </x:c>
      <x:c r="D2015" s="21" t="str">
        <x:v>merit 142 weighted formula</x:v>
      </x:c>
      <x:c r="E2015" s="21" t="n">
        <x:f>IF(ABS('Merit Review'!I142-'Merit Review'!G142*'Merit Review'!H142)&lt;0.000001,1,0)</x:f>
        <x:v>1</x:v>
      </x:c>
      <x:c r="F2015" s="21" t="n">
        <x:v>1</x:v>
      </x:c>
      <x:c r="G2015" s="23" t="str">
        <x:f>IF(E2015=F2015,"PASS","FAIL")</x:f>
        <x:v>PASS</x:v>
      </x:c>
    </x:row>
    <x:row r="2016">
      <x:c r="B2016" s="21" t="str">
        <x:v>A2010</x:v>
      </x:c>
      <x:c r="C2016" s="21" t="str">
        <x:v>merit</x:v>
      </x:c>
      <x:c r="D2016" s="21" t="str">
        <x:v>merit 143 weight positive</x:v>
      </x:c>
      <x:c r="E2016" s="21" t="n">
        <x:f>IF('Merit Review'!G143&gt;0,1,0)</x:f>
        <x:v>1</x:v>
      </x:c>
      <x:c r="F2016" s="21" t="n">
        <x:v>1</x:v>
      </x:c>
      <x:c r="G2016" s="23" t="str">
        <x:f>IF(E2016=F2016,"PASS","FAIL")</x:f>
        <x:v>PASS</x:v>
      </x:c>
    </x:row>
    <x:row r="2017">
      <x:c r="B2017" s="21" t="str">
        <x:v>A2011</x:v>
      </x:c>
      <x:c r="C2017" s="21" t="str">
        <x:v>merit</x:v>
      </x:c>
      <x:c r="D2017" s="21" t="str">
        <x:v>merit 143 score bounded</x:v>
      </x:c>
      <x:c r="E2017" s="21" t="n">
        <x:f>IF(AND('Merit Review'!H143&gt;=0,'Merit Review'!H143&lt;=100),1,0)</x:f>
        <x:v>1</x:v>
      </x:c>
      <x:c r="F2017" s="21" t="n">
        <x:v>1</x:v>
      </x:c>
      <x:c r="G2017" s="23" t="str">
        <x:f>IF(E2017=F2017,"PASS","FAIL")</x:f>
        <x:v>PASS</x:v>
      </x:c>
    </x:row>
    <x:row r="2018">
      <x:c r="B2018" s="21" t="str">
        <x:v>A2012</x:v>
      </x:c>
      <x:c r="C2018" s="21" t="str">
        <x:v>merit</x:v>
      </x:c>
      <x:c r="D2018" s="21" t="str">
        <x:v>merit 143 weighted formula</x:v>
      </x:c>
      <x:c r="E2018" s="21" t="n">
        <x:f>IF(ABS('Merit Review'!I143-'Merit Review'!G143*'Merit Review'!H143)&lt;0.000001,1,0)</x:f>
        <x:v>1</x:v>
      </x:c>
      <x:c r="F2018" s="21" t="n">
        <x:v>1</x:v>
      </x:c>
      <x:c r="G2018" s="23" t="str">
        <x:f>IF(E2018=F2018,"PASS","FAIL")</x:f>
        <x:v>PASS</x:v>
      </x:c>
    </x:row>
    <x:row r="2019">
      <x:c r="B2019" s="21" t="str">
        <x:v>A2013</x:v>
      </x:c>
      <x:c r="C2019" s="21" t="str">
        <x:v>merit</x:v>
      </x:c>
      <x:c r="D2019" s="21" t="str">
        <x:v>merit 144 weight positive</x:v>
      </x:c>
      <x:c r="E2019" s="21" t="n">
        <x:f>IF('Merit Review'!G144&gt;0,1,0)</x:f>
        <x:v>1</x:v>
      </x:c>
      <x:c r="F2019" s="21" t="n">
        <x:v>1</x:v>
      </x:c>
      <x:c r="G2019" s="23" t="str">
        <x:f>IF(E2019=F2019,"PASS","FAIL")</x:f>
        <x:v>PASS</x:v>
      </x:c>
    </x:row>
    <x:row r="2020">
      <x:c r="B2020" s="21" t="str">
        <x:v>A2014</x:v>
      </x:c>
      <x:c r="C2020" s="21" t="str">
        <x:v>merit</x:v>
      </x:c>
      <x:c r="D2020" s="21" t="str">
        <x:v>merit 144 score bounded</x:v>
      </x:c>
      <x:c r="E2020" s="21" t="n">
        <x:f>IF(AND('Merit Review'!H144&gt;=0,'Merit Review'!H144&lt;=100),1,0)</x:f>
        <x:v>1</x:v>
      </x:c>
      <x:c r="F2020" s="21" t="n">
        <x:v>1</x:v>
      </x:c>
      <x:c r="G2020" s="23" t="str">
        <x:f>IF(E2020=F2020,"PASS","FAIL")</x:f>
        <x:v>PASS</x:v>
      </x:c>
    </x:row>
    <x:row r="2021">
      <x:c r="B2021" s="21" t="str">
        <x:v>A2015</x:v>
      </x:c>
      <x:c r="C2021" s="21" t="str">
        <x:v>merit</x:v>
      </x:c>
      <x:c r="D2021" s="21" t="str">
        <x:v>merit 144 weighted formula</x:v>
      </x:c>
      <x:c r="E2021" s="21" t="n">
        <x:f>IF(ABS('Merit Review'!I144-'Merit Review'!G144*'Merit Review'!H144)&lt;0.000001,1,0)</x:f>
        <x:v>1</x:v>
      </x:c>
      <x:c r="F2021" s="21" t="n">
        <x:v>1</x:v>
      </x:c>
      <x:c r="G2021" s="23" t="str">
        <x:f>IF(E2021=F2021,"PASS","FAIL")</x:f>
        <x:v>PASS</x:v>
      </x:c>
    </x:row>
    <x:row r="2022">
      <x:c r="B2022" s="21" t="str">
        <x:v>A2016</x:v>
      </x:c>
      <x:c r="C2022" s="21" t="str">
        <x:v>merit</x:v>
      </x:c>
      <x:c r="D2022" s="21" t="str">
        <x:v>merit 145 weight positive</x:v>
      </x:c>
      <x:c r="E2022" s="21" t="n">
        <x:f>IF('Merit Review'!G145&gt;0,1,0)</x:f>
        <x:v>1</x:v>
      </x:c>
      <x:c r="F2022" s="21" t="n">
        <x:v>1</x:v>
      </x:c>
      <x:c r="G2022" s="23" t="str">
        <x:f>IF(E2022=F2022,"PASS","FAIL")</x:f>
        <x:v>PASS</x:v>
      </x:c>
    </x:row>
    <x:row r="2023">
      <x:c r="B2023" s="21" t="str">
        <x:v>A2017</x:v>
      </x:c>
      <x:c r="C2023" s="21" t="str">
        <x:v>merit</x:v>
      </x:c>
      <x:c r="D2023" s="21" t="str">
        <x:v>merit 145 score bounded</x:v>
      </x:c>
      <x:c r="E2023" s="21" t="n">
        <x:f>IF(AND('Merit Review'!H145&gt;=0,'Merit Review'!H145&lt;=100),1,0)</x:f>
        <x:v>1</x:v>
      </x:c>
      <x:c r="F2023" s="21" t="n">
        <x:v>1</x:v>
      </x:c>
      <x:c r="G2023" s="23" t="str">
        <x:f>IF(E2023=F2023,"PASS","FAIL")</x:f>
        <x:v>PASS</x:v>
      </x:c>
    </x:row>
    <x:row r="2024">
      <x:c r="B2024" s="21" t="str">
        <x:v>A2018</x:v>
      </x:c>
      <x:c r="C2024" s="21" t="str">
        <x:v>merit</x:v>
      </x:c>
      <x:c r="D2024" s="21" t="str">
        <x:v>merit 145 weighted formula</x:v>
      </x:c>
      <x:c r="E2024" s="21" t="n">
        <x:f>IF(ABS('Merit Review'!I145-'Merit Review'!G145*'Merit Review'!H145)&lt;0.000001,1,0)</x:f>
        <x:v>1</x:v>
      </x:c>
      <x:c r="F2024" s="21" t="n">
        <x:v>1</x:v>
      </x:c>
      <x:c r="G2024" s="23" t="str">
        <x:f>IF(E2024=F2024,"PASS","FAIL")</x:f>
        <x:v>PASS</x:v>
      </x:c>
    </x:row>
    <x:row r="2025">
      <x:c r="B2025" s="21" t="str">
        <x:v>A2019</x:v>
      </x:c>
      <x:c r="C2025" s="21" t="str">
        <x:v>merit</x:v>
      </x:c>
      <x:c r="D2025" s="21" t="str">
        <x:v>merit 146 weight positive</x:v>
      </x:c>
      <x:c r="E2025" s="21" t="n">
        <x:f>IF('Merit Review'!G146&gt;0,1,0)</x:f>
        <x:v>1</x:v>
      </x:c>
      <x:c r="F2025" s="21" t="n">
        <x:v>1</x:v>
      </x:c>
      <x:c r="G2025" s="23" t="str">
        <x:f>IF(E2025=F2025,"PASS","FAIL")</x:f>
        <x:v>PASS</x:v>
      </x:c>
    </x:row>
    <x:row r="2026">
      <x:c r="B2026" s="21" t="str">
        <x:v>A2020</x:v>
      </x:c>
      <x:c r="C2026" s="21" t="str">
        <x:v>merit</x:v>
      </x:c>
      <x:c r="D2026" s="21" t="str">
        <x:v>merit 146 score bounded</x:v>
      </x:c>
      <x:c r="E2026" s="21" t="n">
        <x:f>IF(AND('Merit Review'!H146&gt;=0,'Merit Review'!H146&lt;=100),1,0)</x:f>
        <x:v>1</x:v>
      </x:c>
      <x:c r="F2026" s="21" t="n">
        <x:v>1</x:v>
      </x:c>
      <x:c r="G2026" s="23" t="str">
        <x:f>IF(E2026=F2026,"PASS","FAIL")</x:f>
        <x:v>PASS</x:v>
      </x:c>
    </x:row>
    <x:row r="2027">
      <x:c r="B2027" s="21" t="str">
        <x:v>A2021</x:v>
      </x:c>
      <x:c r="C2027" s="21" t="str">
        <x:v>merit</x:v>
      </x:c>
      <x:c r="D2027" s="21" t="str">
        <x:v>merit 146 weighted formula</x:v>
      </x:c>
      <x:c r="E2027" s="21" t="n">
        <x:f>IF(ABS('Merit Review'!I146-'Merit Review'!G146*'Merit Review'!H146)&lt;0.000001,1,0)</x:f>
        <x:v>1</x:v>
      </x:c>
      <x:c r="F2027" s="21" t="n">
        <x:v>1</x:v>
      </x:c>
      <x:c r="G2027" s="23" t="str">
        <x:f>IF(E2027=F2027,"PASS","FAIL")</x:f>
        <x:v>PASS</x:v>
      </x:c>
    </x:row>
    <x:row r="2028">
      <x:c r="B2028" s="21" t="str">
        <x:v>A2022</x:v>
      </x:c>
      <x:c r="C2028" s="21" t="str">
        <x:v>merit</x:v>
      </x:c>
      <x:c r="D2028" s="21" t="str">
        <x:v>merit 147 weight positive</x:v>
      </x:c>
      <x:c r="E2028" s="21" t="n">
        <x:f>IF('Merit Review'!G147&gt;0,1,0)</x:f>
        <x:v>1</x:v>
      </x:c>
      <x:c r="F2028" s="21" t="n">
        <x:v>1</x:v>
      </x:c>
      <x:c r="G2028" s="23" t="str">
        <x:f>IF(E2028=F2028,"PASS","FAIL")</x:f>
        <x:v>PASS</x:v>
      </x:c>
    </x:row>
    <x:row r="2029">
      <x:c r="B2029" s="21" t="str">
        <x:v>A2023</x:v>
      </x:c>
      <x:c r="C2029" s="21" t="str">
        <x:v>merit</x:v>
      </x:c>
      <x:c r="D2029" s="21" t="str">
        <x:v>merit 147 score bounded</x:v>
      </x:c>
      <x:c r="E2029" s="21" t="n">
        <x:f>IF(AND('Merit Review'!H147&gt;=0,'Merit Review'!H147&lt;=100),1,0)</x:f>
        <x:v>1</x:v>
      </x:c>
      <x:c r="F2029" s="21" t="n">
        <x:v>1</x:v>
      </x:c>
      <x:c r="G2029" s="23" t="str">
        <x:f>IF(E2029=F2029,"PASS","FAIL")</x:f>
        <x:v>PASS</x:v>
      </x:c>
    </x:row>
    <x:row r="2030">
      <x:c r="B2030" s="21" t="str">
        <x:v>A2024</x:v>
      </x:c>
      <x:c r="C2030" s="21" t="str">
        <x:v>merit</x:v>
      </x:c>
      <x:c r="D2030" s="21" t="str">
        <x:v>merit 147 weighted formula</x:v>
      </x:c>
      <x:c r="E2030" s="21" t="n">
        <x:f>IF(ABS('Merit Review'!I147-'Merit Review'!G147*'Merit Review'!H147)&lt;0.000001,1,0)</x:f>
        <x:v>1</x:v>
      </x:c>
      <x:c r="F2030" s="21" t="n">
        <x:v>1</x:v>
      </x:c>
      <x:c r="G2030" s="23" t="str">
        <x:f>IF(E2030=F2030,"PASS","FAIL")</x:f>
        <x:v>PASS</x:v>
      </x:c>
    </x:row>
    <x:row r="2031">
      <x:c r="B2031" s="21" t="str">
        <x:v>A2025</x:v>
      </x:c>
      <x:c r="C2031" s="21" t="str">
        <x:v>merit</x:v>
      </x:c>
      <x:c r="D2031" s="21" t="str">
        <x:v>merit 148 weight positive</x:v>
      </x:c>
      <x:c r="E2031" s="21" t="n">
        <x:f>IF('Merit Review'!G148&gt;0,1,0)</x:f>
        <x:v>1</x:v>
      </x:c>
      <x:c r="F2031" s="21" t="n">
        <x:v>1</x:v>
      </x:c>
      <x:c r="G2031" s="23" t="str">
        <x:f>IF(E2031=F2031,"PASS","FAIL")</x:f>
        <x:v>PASS</x:v>
      </x:c>
    </x:row>
    <x:row r="2032">
      <x:c r="B2032" s="21" t="str">
        <x:v>A2026</x:v>
      </x:c>
      <x:c r="C2032" s="21" t="str">
        <x:v>merit</x:v>
      </x:c>
      <x:c r="D2032" s="21" t="str">
        <x:v>merit 148 score bounded</x:v>
      </x:c>
      <x:c r="E2032" s="21" t="n">
        <x:f>IF(AND('Merit Review'!H148&gt;=0,'Merit Review'!H148&lt;=100),1,0)</x:f>
        <x:v>1</x:v>
      </x:c>
      <x:c r="F2032" s="21" t="n">
        <x:v>1</x:v>
      </x:c>
      <x:c r="G2032" s="23" t="str">
        <x:f>IF(E2032=F2032,"PASS","FAIL")</x:f>
        <x:v>PASS</x:v>
      </x:c>
    </x:row>
    <x:row r="2033">
      <x:c r="B2033" s="21" t="str">
        <x:v>A2027</x:v>
      </x:c>
      <x:c r="C2033" s="21" t="str">
        <x:v>merit</x:v>
      </x:c>
      <x:c r="D2033" s="21" t="str">
        <x:v>merit 148 weighted formula</x:v>
      </x:c>
      <x:c r="E2033" s="21" t="n">
        <x:f>IF(ABS('Merit Review'!I148-'Merit Review'!G148*'Merit Review'!H148)&lt;0.000001,1,0)</x:f>
        <x:v>1</x:v>
      </x:c>
      <x:c r="F2033" s="21" t="n">
        <x:v>1</x:v>
      </x:c>
      <x:c r="G2033" s="23" t="str">
        <x:f>IF(E2033=F2033,"PASS","FAIL")</x:f>
        <x:v>PASS</x:v>
      </x:c>
    </x:row>
    <x:row r="2034">
      <x:c r="B2034" s="21" t="str">
        <x:v>A2028</x:v>
      </x:c>
      <x:c r="C2034" s="21" t="str">
        <x:v>merit</x:v>
      </x:c>
      <x:c r="D2034" s="21" t="str">
        <x:v>merit 149 weight positive</x:v>
      </x:c>
      <x:c r="E2034" s="21" t="n">
        <x:f>IF('Merit Review'!G149&gt;0,1,0)</x:f>
        <x:v>1</x:v>
      </x:c>
      <x:c r="F2034" s="21" t="n">
        <x:v>1</x:v>
      </x:c>
      <x:c r="G2034" s="23" t="str">
        <x:f>IF(E2034=F2034,"PASS","FAIL")</x:f>
        <x:v>PASS</x:v>
      </x:c>
    </x:row>
    <x:row r="2035">
      <x:c r="B2035" s="21" t="str">
        <x:v>A2029</x:v>
      </x:c>
      <x:c r="C2035" s="21" t="str">
        <x:v>merit</x:v>
      </x:c>
      <x:c r="D2035" s="21" t="str">
        <x:v>merit 149 score bounded</x:v>
      </x:c>
      <x:c r="E2035" s="21" t="n">
        <x:f>IF(AND('Merit Review'!H149&gt;=0,'Merit Review'!H149&lt;=100),1,0)</x:f>
        <x:v>1</x:v>
      </x:c>
      <x:c r="F2035" s="21" t="n">
        <x:v>1</x:v>
      </x:c>
      <x:c r="G2035" s="23" t="str">
        <x:f>IF(E2035=F2035,"PASS","FAIL")</x:f>
        <x:v>PASS</x:v>
      </x:c>
    </x:row>
    <x:row r="2036">
      <x:c r="B2036" s="21" t="str">
        <x:v>A2030</x:v>
      </x:c>
      <x:c r="C2036" s="21" t="str">
        <x:v>merit</x:v>
      </x:c>
      <x:c r="D2036" s="21" t="str">
        <x:v>merit 149 weighted formula</x:v>
      </x:c>
      <x:c r="E2036" s="21" t="n">
        <x:f>IF(ABS('Merit Review'!I149-'Merit Review'!G149*'Merit Review'!H149)&lt;0.000001,1,0)</x:f>
        <x:v>1</x:v>
      </x:c>
      <x:c r="F2036" s="21" t="n">
        <x:v>1</x:v>
      </x:c>
      <x:c r="G2036" s="23" t="str">
        <x:f>IF(E2036=F2036,"PASS","FAIL")</x:f>
        <x:v>PASS</x:v>
      </x:c>
    </x:row>
    <x:row r="2037">
      <x:c r="B2037" s="21" t="str">
        <x:v>A2031</x:v>
      </x:c>
      <x:c r="C2037" s="21" t="str">
        <x:v>merit</x:v>
      </x:c>
      <x:c r="D2037" s="21" t="str">
        <x:v>merit 150 weight positive</x:v>
      </x:c>
      <x:c r="E2037" s="21" t="n">
        <x:f>IF('Merit Review'!G150&gt;0,1,0)</x:f>
        <x:v>1</x:v>
      </x:c>
      <x:c r="F2037" s="21" t="n">
        <x:v>1</x:v>
      </x:c>
      <x:c r="G2037" s="23" t="str">
        <x:f>IF(E2037=F2037,"PASS","FAIL")</x:f>
        <x:v>PASS</x:v>
      </x:c>
    </x:row>
    <x:row r="2038">
      <x:c r="B2038" s="21" t="str">
        <x:v>A2032</x:v>
      </x:c>
      <x:c r="C2038" s="21" t="str">
        <x:v>merit</x:v>
      </x:c>
      <x:c r="D2038" s="21" t="str">
        <x:v>merit 150 score bounded</x:v>
      </x:c>
      <x:c r="E2038" s="21" t="n">
        <x:f>IF(AND('Merit Review'!H150&gt;=0,'Merit Review'!H150&lt;=100),1,0)</x:f>
        <x:v>1</x:v>
      </x:c>
      <x:c r="F2038" s="21" t="n">
        <x:v>1</x:v>
      </x:c>
      <x:c r="G2038" s="23" t="str">
        <x:f>IF(E2038=F2038,"PASS","FAIL")</x:f>
        <x:v>PASS</x:v>
      </x:c>
    </x:row>
    <x:row r="2039">
      <x:c r="B2039" s="21" t="str">
        <x:v>A2033</x:v>
      </x:c>
      <x:c r="C2039" s="21" t="str">
        <x:v>merit</x:v>
      </x:c>
      <x:c r="D2039" s="21" t="str">
        <x:v>merit 150 weighted formula</x:v>
      </x:c>
      <x:c r="E2039" s="21" t="n">
        <x:f>IF(ABS('Merit Review'!I150-'Merit Review'!G150*'Merit Review'!H150)&lt;0.000001,1,0)</x:f>
        <x:v>1</x:v>
      </x:c>
      <x:c r="F2039" s="21" t="n">
        <x:v>1</x:v>
      </x:c>
      <x:c r="G2039" s="23" t="str">
        <x:f>IF(E2039=F2039,"PASS","FAIL")</x:f>
        <x:v>PASS</x:v>
      </x:c>
    </x:row>
    <x:row r="2040">
      <x:c r="B2040" s="21" t="str">
        <x:v>A2034</x:v>
      </x:c>
      <x:c r="C2040" s="21" t="str">
        <x:v>merit</x:v>
      </x:c>
      <x:c r="D2040" s="21" t="str">
        <x:v>merit 151 weight positive</x:v>
      </x:c>
      <x:c r="E2040" s="21" t="n">
        <x:f>IF('Merit Review'!G151&gt;0,1,0)</x:f>
        <x:v>1</x:v>
      </x:c>
      <x:c r="F2040" s="21" t="n">
        <x:v>1</x:v>
      </x:c>
      <x:c r="G2040" s="23" t="str">
        <x:f>IF(E2040=F2040,"PASS","FAIL")</x:f>
        <x:v>PASS</x:v>
      </x:c>
    </x:row>
    <x:row r="2041">
      <x:c r="B2041" s="21" t="str">
        <x:v>A2035</x:v>
      </x:c>
      <x:c r="C2041" s="21" t="str">
        <x:v>merit</x:v>
      </x:c>
      <x:c r="D2041" s="21" t="str">
        <x:v>merit 151 score bounded</x:v>
      </x:c>
      <x:c r="E2041" s="21" t="n">
        <x:f>IF(AND('Merit Review'!H151&gt;=0,'Merit Review'!H151&lt;=100),1,0)</x:f>
        <x:v>1</x:v>
      </x:c>
      <x:c r="F2041" s="21" t="n">
        <x:v>1</x:v>
      </x:c>
      <x:c r="G2041" s="23" t="str">
        <x:f>IF(E2041=F2041,"PASS","FAIL")</x:f>
        <x:v>PASS</x:v>
      </x:c>
    </x:row>
    <x:row r="2042">
      <x:c r="B2042" s="21" t="str">
        <x:v>A2036</x:v>
      </x:c>
      <x:c r="C2042" s="21" t="str">
        <x:v>merit</x:v>
      </x:c>
      <x:c r="D2042" s="21" t="str">
        <x:v>merit 151 weighted formula</x:v>
      </x:c>
      <x:c r="E2042" s="21" t="n">
        <x:f>IF(ABS('Merit Review'!I151-'Merit Review'!G151*'Merit Review'!H151)&lt;0.000001,1,0)</x:f>
        <x:v>1</x:v>
      </x:c>
      <x:c r="F2042" s="21" t="n">
        <x:v>1</x:v>
      </x:c>
      <x:c r="G2042" s="23" t="str">
        <x:f>IF(E2042=F2042,"PASS","FAIL")</x:f>
        <x:v>PASS</x:v>
      </x:c>
    </x:row>
    <x:row r="2043">
      <x:c r="B2043" s="21" t="str">
        <x:v>A2037</x:v>
      </x:c>
      <x:c r="C2043" s="21" t="str">
        <x:v>merit</x:v>
      </x:c>
      <x:c r="D2043" s="21" t="str">
        <x:v>merit 152 weight positive</x:v>
      </x:c>
      <x:c r="E2043" s="21" t="n">
        <x:f>IF('Merit Review'!G152&gt;0,1,0)</x:f>
        <x:v>1</x:v>
      </x:c>
      <x:c r="F2043" s="21" t="n">
        <x:v>1</x:v>
      </x:c>
      <x:c r="G2043" s="23" t="str">
        <x:f>IF(E2043=F2043,"PASS","FAIL")</x:f>
        <x:v>PASS</x:v>
      </x:c>
    </x:row>
    <x:row r="2044">
      <x:c r="B2044" s="21" t="str">
        <x:v>A2038</x:v>
      </x:c>
      <x:c r="C2044" s="21" t="str">
        <x:v>merit</x:v>
      </x:c>
      <x:c r="D2044" s="21" t="str">
        <x:v>merit 152 score bounded</x:v>
      </x:c>
      <x:c r="E2044" s="21" t="n">
        <x:f>IF(AND('Merit Review'!H152&gt;=0,'Merit Review'!H152&lt;=100),1,0)</x:f>
        <x:v>1</x:v>
      </x:c>
      <x:c r="F2044" s="21" t="n">
        <x:v>1</x:v>
      </x:c>
      <x:c r="G2044" s="23" t="str">
        <x:f>IF(E2044=F2044,"PASS","FAIL")</x:f>
        <x:v>PASS</x:v>
      </x:c>
    </x:row>
    <x:row r="2045">
      <x:c r="B2045" s="21" t="str">
        <x:v>A2039</x:v>
      </x:c>
      <x:c r="C2045" s="21" t="str">
        <x:v>merit</x:v>
      </x:c>
      <x:c r="D2045" s="21" t="str">
        <x:v>merit 152 weighted formula</x:v>
      </x:c>
      <x:c r="E2045" s="21" t="n">
        <x:f>IF(ABS('Merit Review'!I152-'Merit Review'!G152*'Merit Review'!H152)&lt;0.000001,1,0)</x:f>
        <x:v>1</x:v>
      </x:c>
      <x:c r="F2045" s="21" t="n">
        <x:v>1</x:v>
      </x:c>
      <x:c r="G2045" s="23" t="str">
        <x:f>IF(E2045=F2045,"PASS","FAIL")</x:f>
        <x:v>PASS</x:v>
      </x:c>
    </x:row>
    <x:row r="2046">
      <x:c r="B2046" s="21" t="str">
        <x:v>A2040</x:v>
      </x:c>
      <x:c r="C2046" s="21" t="str">
        <x:v>merit</x:v>
      </x:c>
      <x:c r="D2046" s="21" t="str">
        <x:v>merit 153 weight positive</x:v>
      </x:c>
      <x:c r="E2046" s="21" t="n">
        <x:f>IF('Merit Review'!G153&gt;0,1,0)</x:f>
        <x:v>1</x:v>
      </x:c>
      <x:c r="F2046" s="21" t="n">
        <x:v>1</x:v>
      </x:c>
      <x:c r="G2046" s="23" t="str">
        <x:f>IF(E2046=F2046,"PASS","FAIL")</x:f>
        <x:v>PASS</x:v>
      </x:c>
    </x:row>
    <x:row r="2047">
      <x:c r="B2047" s="21" t="str">
        <x:v>A2041</x:v>
      </x:c>
      <x:c r="C2047" s="21" t="str">
        <x:v>merit</x:v>
      </x:c>
      <x:c r="D2047" s="21" t="str">
        <x:v>merit 153 score bounded</x:v>
      </x:c>
      <x:c r="E2047" s="21" t="n">
        <x:f>IF(AND('Merit Review'!H153&gt;=0,'Merit Review'!H153&lt;=100),1,0)</x:f>
        <x:v>1</x:v>
      </x:c>
      <x:c r="F2047" s="21" t="n">
        <x:v>1</x:v>
      </x:c>
      <x:c r="G2047" s="23" t="str">
        <x:f>IF(E2047=F2047,"PASS","FAIL")</x:f>
        <x:v>PASS</x:v>
      </x:c>
    </x:row>
    <x:row r="2048">
      <x:c r="B2048" s="21" t="str">
        <x:v>A2042</x:v>
      </x:c>
      <x:c r="C2048" s="21" t="str">
        <x:v>merit</x:v>
      </x:c>
      <x:c r="D2048" s="21" t="str">
        <x:v>merit 153 weighted formula</x:v>
      </x:c>
      <x:c r="E2048" s="21" t="n">
        <x:f>IF(ABS('Merit Review'!I153-'Merit Review'!G153*'Merit Review'!H153)&lt;0.000001,1,0)</x:f>
        <x:v>1</x:v>
      </x:c>
      <x:c r="F2048" s="21" t="n">
        <x:v>1</x:v>
      </x:c>
      <x:c r="G2048" s="23" t="str">
        <x:f>IF(E2048=F2048,"PASS","FAIL")</x:f>
        <x:v>PASS</x:v>
      </x:c>
    </x:row>
    <x:row r="2049">
      <x:c r="B2049" s="21" t="str">
        <x:v>A2043</x:v>
      </x:c>
      <x:c r="C2049" s="21" t="str">
        <x:v>merit</x:v>
      </x:c>
      <x:c r="D2049" s="21" t="str">
        <x:v>merit 154 weight positive</x:v>
      </x:c>
      <x:c r="E2049" s="21" t="n">
        <x:f>IF('Merit Review'!G154&gt;0,1,0)</x:f>
        <x:v>1</x:v>
      </x:c>
      <x:c r="F2049" s="21" t="n">
        <x:v>1</x:v>
      </x:c>
      <x:c r="G2049" s="23" t="str">
        <x:f>IF(E2049=F2049,"PASS","FAIL")</x:f>
        <x:v>PASS</x:v>
      </x:c>
    </x:row>
    <x:row r="2050">
      <x:c r="B2050" s="21" t="str">
        <x:v>A2044</x:v>
      </x:c>
      <x:c r="C2050" s="21" t="str">
        <x:v>merit</x:v>
      </x:c>
      <x:c r="D2050" s="21" t="str">
        <x:v>merit 154 score bounded</x:v>
      </x:c>
      <x:c r="E2050" s="21" t="n">
        <x:f>IF(AND('Merit Review'!H154&gt;=0,'Merit Review'!H154&lt;=100),1,0)</x:f>
        <x:v>1</x:v>
      </x:c>
      <x:c r="F2050" s="21" t="n">
        <x:v>1</x:v>
      </x:c>
      <x:c r="G2050" s="23" t="str">
        <x:f>IF(E2050=F2050,"PASS","FAIL")</x:f>
        <x:v>PASS</x:v>
      </x:c>
    </x:row>
    <x:row r="2051">
      <x:c r="B2051" s="21" t="str">
        <x:v>A2045</x:v>
      </x:c>
      <x:c r="C2051" s="21" t="str">
        <x:v>merit</x:v>
      </x:c>
      <x:c r="D2051" s="21" t="str">
        <x:v>merit 154 weighted formula</x:v>
      </x:c>
      <x:c r="E2051" s="21" t="n">
        <x:f>IF(ABS('Merit Review'!I154-'Merit Review'!G154*'Merit Review'!H154)&lt;0.000001,1,0)</x:f>
        <x:v>1</x:v>
      </x:c>
      <x:c r="F2051" s="21" t="n">
        <x:v>1</x:v>
      </x:c>
      <x:c r="G2051" s="23" t="str">
        <x:f>IF(E2051=F2051,"PASS","FAIL")</x:f>
        <x:v>PASS</x:v>
      </x:c>
    </x:row>
    <x:row r="2052">
      <x:c r="B2052" s="21" t="str">
        <x:v>A2046</x:v>
      </x:c>
      <x:c r="C2052" s="21" t="str">
        <x:v>merit</x:v>
      </x:c>
      <x:c r="D2052" s="21" t="str">
        <x:v>merit 155 weight positive</x:v>
      </x:c>
      <x:c r="E2052" s="21" t="n">
        <x:f>IF('Merit Review'!G155&gt;0,1,0)</x:f>
        <x:v>1</x:v>
      </x:c>
      <x:c r="F2052" s="21" t="n">
        <x:v>1</x:v>
      </x:c>
      <x:c r="G2052" s="23" t="str">
        <x:f>IF(E2052=F2052,"PASS","FAIL")</x:f>
        <x:v>PASS</x:v>
      </x:c>
    </x:row>
    <x:row r="2053">
      <x:c r="B2053" s="21" t="str">
        <x:v>A2047</x:v>
      </x:c>
      <x:c r="C2053" s="21" t="str">
        <x:v>merit</x:v>
      </x:c>
      <x:c r="D2053" s="21" t="str">
        <x:v>merit 155 score bounded</x:v>
      </x:c>
      <x:c r="E2053" s="21" t="n">
        <x:f>IF(AND('Merit Review'!H155&gt;=0,'Merit Review'!H155&lt;=100),1,0)</x:f>
        <x:v>1</x:v>
      </x:c>
      <x:c r="F2053" s="21" t="n">
        <x:v>1</x:v>
      </x:c>
      <x:c r="G2053" s="23" t="str">
        <x:f>IF(E2053=F2053,"PASS","FAIL")</x:f>
        <x:v>PASS</x:v>
      </x:c>
    </x:row>
    <x:row r="2054">
      <x:c r="B2054" s="21" t="str">
        <x:v>A2048</x:v>
      </x:c>
      <x:c r="C2054" s="21" t="str">
        <x:v>merit</x:v>
      </x:c>
      <x:c r="D2054" s="21" t="str">
        <x:v>merit 155 weighted formula</x:v>
      </x:c>
      <x:c r="E2054" s="21" t="n">
        <x:f>IF(ABS('Merit Review'!I155-'Merit Review'!G155*'Merit Review'!H155)&lt;0.000001,1,0)</x:f>
        <x:v>1</x:v>
      </x:c>
      <x:c r="F2054" s="21" t="n">
        <x:v>1</x:v>
      </x:c>
      <x:c r="G2054" s="23" t="str">
        <x:f>IF(E2054=F2054,"PASS","FAIL")</x:f>
        <x:v>PASS</x:v>
      </x:c>
    </x:row>
    <x:row r="2055">
      <x:c r="B2055" s="21" t="str">
        <x:v>A2049</x:v>
      </x:c>
      <x:c r="C2055" s="21" t="str">
        <x:v>merit</x:v>
      </x:c>
      <x:c r="D2055" s="21" t="str">
        <x:v>merit 156 weight positive</x:v>
      </x:c>
      <x:c r="E2055" s="21" t="n">
        <x:f>IF('Merit Review'!G156&gt;0,1,0)</x:f>
        <x:v>1</x:v>
      </x:c>
      <x:c r="F2055" s="21" t="n">
        <x:v>1</x:v>
      </x:c>
      <x:c r="G2055" s="23" t="str">
        <x:f>IF(E2055=F2055,"PASS","FAIL")</x:f>
        <x:v>PASS</x:v>
      </x:c>
    </x:row>
    <x:row r="2056">
      <x:c r="B2056" s="21" t="str">
        <x:v>A2050</x:v>
      </x:c>
      <x:c r="C2056" s="21" t="str">
        <x:v>merit</x:v>
      </x:c>
      <x:c r="D2056" s="21" t="str">
        <x:v>merit 156 score bounded</x:v>
      </x:c>
      <x:c r="E2056" s="21" t="n">
        <x:f>IF(AND('Merit Review'!H156&gt;=0,'Merit Review'!H156&lt;=100),1,0)</x:f>
        <x:v>1</x:v>
      </x:c>
      <x:c r="F2056" s="21" t="n">
        <x:v>1</x:v>
      </x:c>
      <x:c r="G2056" s="23" t="str">
        <x:f>IF(E2056=F2056,"PASS","FAIL")</x:f>
        <x:v>PASS</x:v>
      </x:c>
    </x:row>
    <x:row r="2057">
      <x:c r="B2057" s="21" t="str">
        <x:v>A2051</x:v>
      </x:c>
      <x:c r="C2057" s="21" t="str">
        <x:v>merit</x:v>
      </x:c>
      <x:c r="D2057" s="21" t="str">
        <x:v>merit 156 weighted formula</x:v>
      </x:c>
      <x:c r="E2057" s="21" t="n">
        <x:f>IF(ABS('Merit Review'!I156-'Merit Review'!G156*'Merit Review'!H156)&lt;0.000001,1,0)</x:f>
        <x:v>1</x:v>
      </x:c>
      <x:c r="F2057" s="21" t="n">
        <x:v>1</x:v>
      </x:c>
      <x:c r="G2057" s="23" t="str">
        <x:f>IF(E2057=F2057,"PASS","FAIL")</x:f>
        <x:v>PASS</x:v>
      </x:c>
    </x:row>
    <x:row r="2058">
      <x:c r="B2058" s="21" t="str">
        <x:v>A2052</x:v>
      </x:c>
      <x:c r="C2058" s="21" t="str">
        <x:v>merit</x:v>
      </x:c>
      <x:c r="D2058" s="21" t="str">
        <x:v>merit 157 weight positive</x:v>
      </x:c>
      <x:c r="E2058" s="21" t="n">
        <x:f>IF('Merit Review'!G157&gt;0,1,0)</x:f>
        <x:v>1</x:v>
      </x:c>
      <x:c r="F2058" s="21" t="n">
        <x:v>1</x:v>
      </x:c>
      <x:c r="G2058" s="23" t="str">
        <x:f>IF(E2058=F2058,"PASS","FAIL")</x:f>
        <x:v>PASS</x:v>
      </x:c>
    </x:row>
    <x:row r="2059">
      <x:c r="B2059" s="21" t="str">
        <x:v>A2053</x:v>
      </x:c>
      <x:c r="C2059" s="21" t="str">
        <x:v>merit</x:v>
      </x:c>
      <x:c r="D2059" s="21" t="str">
        <x:v>merit 157 score bounded</x:v>
      </x:c>
      <x:c r="E2059" s="21" t="n">
        <x:f>IF(AND('Merit Review'!H157&gt;=0,'Merit Review'!H157&lt;=100),1,0)</x:f>
        <x:v>1</x:v>
      </x:c>
      <x:c r="F2059" s="21" t="n">
        <x:v>1</x:v>
      </x:c>
      <x:c r="G2059" s="23" t="str">
        <x:f>IF(E2059=F2059,"PASS","FAIL")</x:f>
        <x:v>PASS</x:v>
      </x:c>
    </x:row>
    <x:row r="2060">
      <x:c r="B2060" s="21" t="str">
        <x:v>A2054</x:v>
      </x:c>
      <x:c r="C2060" s="21" t="str">
        <x:v>merit</x:v>
      </x:c>
      <x:c r="D2060" s="21" t="str">
        <x:v>merit 157 weighted formula</x:v>
      </x:c>
      <x:c r="E2060" s="21" t="n">
        <x:f>IF(ABS('Merit Review'!I157-'Merit Review'!G157*'Merit Review'!H157)&lt;0.000001,1,0)</x:f>
        <x:v>1</x:v>
      </x:c>
      <x:c r="F2060" s="21" t="n">
        <x:v>1</x:v>
      </x:c>
      <x:c r="G2060" s="23" t="str">
        <x:f>IF(E2060=F2060,"PASS","FAIL")</x:f>
        <x:v>PASS</x:v>
      </x:c>
    </x:row>
    <x:row r="2061">
      <x:c r="B2061" s="21" t="str">
        <x:v>A2055</x:v>
      </x:c>
      <x:c r="C2061" s="21" t="str">
        <x:v>merit</x:v>
      </x:c>
      <x:c r="D2061" s="21" t="str">
        <x:v>merit 158 weight positive</x:v>
      </x:c>
      <x:c r="E2061" s="21" t="n">
        <x:f>IF('Merit Review'!G158&gt;0,1,0)</x:f>
        <x:v>1</x:v>
      </x:c>
      <x:c r="F2061" s="21" t="n">
        <x:v>1</x:v>
      </x:c>
      <x:c r="G2061" s="23" t="str">
        <x:f>IF(E2061=F2061,"PASS","FAIL")</x:f>
        <x:v>PASS</x:v>
      </x:c>
    </x:row>
    <x:row r="2062">
      <x:c r="B2062" s="21" t="str">
        <x:v>A2056</x:v>
      </x:c>
      <x:c r="C2062" s="21" t="str">
        <x:v>merit</x:v>
      </x:c>
      <x:c r="D2062" s="21" t="str">
        <x:v>merit 158 score bounded</x:v>
      </x:c>
      <x:c r="E2062" s="21" t="n">
        <x:f>IF(AND('Merit Review'!H158&gt;=0,'Merit Review'!H158&lt;=100),1,0)</x:f>
        <x:v>1</x:v>
      </x:c>
      <x:c r="F2062" s="21" t="n">
        <x:v>1</x:v>
      </x:c>
      <x:c r="G2062" s="23" t="str">
        <x:f>IF(E2062=F2062,"PASS","FAIL")</x:f>
        <x:v>PASS</x:v>
      </x:c>
    </x:row>
    <x:row r="2063">
      <x:c r="B2063" s="21" t="str">
        <x:v>A2057</x:v>
      </x:c>
      <x:c r="C2063" s="21" t="str">
        <x:v>merit</x:v>
      </x:c>
      <x:c r="D2063" s="21" t="str">
        <x:v>merit 158 weighted formula</x:v>
      </x:c>
      <x:c r="E2063" s="21" t="n">
        <x:f>IF(ABS('Merit Review'!I158-'Merit Review'!G158*'Merit Review'!H158)&lt;0.000001,1,0)</x:f>
        <x:v>1</x:v>
      </x:c>
      <x:c r="F2063" s="21" t="n">
        <x:v>1</x:v>
      </x:c>
      <x:c r="G2063" s="23" t="str">
        <x:f>IF(E2063=F2063,"PASS","FAIL")</x:f>
        <x:v>PASS</x:v>
      </x:c>
    </x:row>
    <x:row r="2064">
      <x:c r="B2064" s="21" t="str">
        <x:v>A2058</x:v>
      </x:c>
      <x:c r="C2064" s="21" t="str">
        <x:v>merit</x:v>
      </x:c>
      <x:c r="D2064" s="21" t="str">
        <x:v>merit 159 weight positive</x:v>
      </x:c>
      <x:c r="E2064" s="21" t="n">
        <x:f>IF('Merit Review'!G159&gt;0,1,0)</x:f>
        <x:v>1</x:v>
      </x:c>
      <x:c r="F2064" s="21" t="n">
        <x:v>1</x:v>
      </x:c>
      <x:c r="G2064" s="23" t="str">
        <x:f>IF(E2064=F2064,"PASS","FAIL")</x:f>
        <x:v>PASS</x:v>
      </x:c>
    </x:row>
    <x:row r="2065">
      <x:c r="B2065" s="21" t="str">
        <x:v>A2059</x:v>
      </x:c>
      <x:c r="C2065" s="21" t="str">
        <x:v>merit</x:v>
      </x:c>
      <x:c r="D2065" s="21" t="str">
        <x:v>merit 159 score bounded</x:v>
      </x:c>
      <x:c r="E2065" s="21" t="n">
        <x:f>IF(AND('Merit Review'!H159&gt;=0,'Merit Review'!H159&lt;=100),1,0)</x:f>
        <x:v>1</x:v>
      </x:c>
      <x:c r="F2065" s="21" t="n">
        <x:v>1</x:v>
      </x:c>
      <x:c r="G2065" s="23" t="str">
        <x:f>IF(E2065=F2065,"PASS","FAIL")</x:f>
        <x:v>PASS</x:v>
      </x:c>
    </x:row>
    <x:row r="2066">
      <x:c r="B2066" s="21" t="str">
        <x:v>A2060</x:v>
      </x:c>
      <x:c r="C2066" s="21" t="str">
        <x:v>merit</x:v>
      </x:c>
      <x:c r="D2066" s="21" t="str">
        <x:v>merit 159 weighted formula</x:v>
      </x:c>
      <x:c r="E2066" s="21" t="n">
        <x:f>IF(ABS('Merit Review'!I159-'Merit Review'!G159*'Merit Review'!H159)&lt;0.000001,1,0)</x:f>
        <x:v>1</x:v>
      </x:c>
      <x:c r="F2066" s="21" t="n">
        <x:v>1</x:v>
      </x:c>
      <x:c r="G2066" s="23" t="str">
        <x:f>IF(E2066=F2066,"PASS","FAIL")</x:f>
        <x:v>PASS</x:v>
      </x:c>
    </x:row>
    <x:row r="2067">
      <x:c r="B2067" s="21" t="str">
        <x:v>A2061</x:v>
      </x:c>
      <x:c r="C2067" s="21" t="str">
        <x:v>merit</x:v>
      </x:c>
      <x:c r="D2067" s="21" t="str">
        <x:v>merit 160 weight positive</x:v>
      </x:c>
      <x:c r="E2067" s="21" t="n">
        <x:f>IF('Merit Review'!G160&gt;0,1,0)</x:f>
        <x:v>1</x:v>
      </x:c>
      <x:c r="F2067" s="21" t="n">
        <x:v>1</x:v>
      </x:c>
      <x:c r="G2067" s="23" t="str">
        <x:f>IF(E2067=F2067,"PASS","FAIL")</x:f>
        <x:v>PASS</x:v>
      </x:c>
    </x:row>
    <x:row r="2068">
      <x:c r="B2068" s="21" t="str">
        <x:v>A2062</x:v>
      </x:c>
      <x:c r="C2068" s="21" t="str">
        <x:v>merit</x:v>
      </x:c>
      <x:c r="D2068" s="21" t="str">
        <x:v>merit 160 score bounded</x:v>
      </x:c>
      <x:c r="E2068" s="21" t="n">
        <x:f>IF(AND('Merit Review'!H160&gt;=0,'Merit Review'!H160&lt;=100),1,0)</x:f>
        <x:v>1</x:v>
      </x:c>
      <x:c r="F2068" s="21" t="n">
        <x:v>1</x:v>
      </x:c>
      <x:c r="G2068" s="23" t="str">
        <x:f>IF(E2068=F2068,"PASS","FAIL")</x:f>
        <x:v>PASS</x:v>
      </x:c>
    </x:row>
    <x:row r="2069">
      <x:c r="B2069" s="21" t="str">
        <x:v>A2063</x:v>
      </x:c>
      <x:c r="C2069" s="21" t="str">
        <x:v>merit</x:v>
      </x:c>
      <x:c r="D2069" s="21" t="str">
        <x:v>merit 160 weighted formula</x:v>
      </x:c>
      <x:c r="E2069" s="21" t="n">
        <x:f>IF(ABS('Merit Review'!I160-'Merit Review'!G160*'Merit Review'!H160)&lt;0.000001,1,0)</x:f>
        <x:v>1</x:v>
      </x:c>
      <x:c r="F2069" s="21" t="n">
        <x:v>1</x:v>
      </x:c>
      <x:c r="G2069" s="23" t="str">
        <x:f>IF(E2069=F2069,"PASS","FAIL")</x:f>
        <x:v>PASS</x:v>
      </x:c>
    </x:row>
    <x:row r="2070">
      <x:c r="B2070" s="21" t="str">
        <x:v>A2064</x:v>
      </x:c>
      <x:c r="C2070" s="21" t="str">
        <x:v>merit</x:v>
      </x:c>
      <x:c r="D2070" s="21" t="str">
        <x:v>merit 161 weight positive</x:v>
      </x:c>
      <x:c r="E2070" s="21" t="n">
        <x:f>IF('Merit Review'!G161&gt;0,1,0)</x:f>
        <x:v>1</x:v>
      </x:c>
      <x:c r="F2070" s="21" t="n">
        <x:v>1</x:v>
      </x:c>
      <x:c r="G2070" s="23" t="str">
        <x:f>IF(E2070=F2070,"PASS","FAIL")</x:f>
        <x:v>PASS</x:v>
      </x:c>
    </x:row>
    <x:row r="2071">
      <x:c r="B2071" s="21" t="str">
        <x:v>A2065</x:v>
      </x:c>
      <x:c r="C2071" s="21" t="str">
        <x:v>merit</x:v>
      </x:c>
      <x:c r="D2071" s="21" t="str">
        <x:v>merit 161 score bounded</x:v>
      </x:c>
      <x:c r="E2071" s="21" t="n">
        <x:f>IF(AND('Merit Review'!H161&gt;=0,'Merit Review'!H161&lt;=100),1,0)</x:f>
        <x:v>1</x:v>
      </x:c>
      <x:c r="F2071" s="21" t="n">
        <x:v>1</x:v>
      </x:c>
      <x:c r="G2071" s="23" t="str">
        <x:f>IF(E2071=F2071,"PASS","FAIL")</x:f>
        <x:v>PASS</x:v>
      </x:c>
    </x:row>
    <x:row r="2072">
      <x:c r="B2072" s="21" t="str">
        <x:v>A2066</x:v>
      </x:c>
      <x:c r="C2072" s="21" t="str">
        <x:v>merit</x:v>
      </x:c>
      <x:c r="D2072" s="21" t="str">
        <x:v>merit 161 weighted formula</x:v>
      </x:c>
      <x:c r="E2072" s="21" t="n">
        <x:f>IF(ABS('Merit Review'!I161-'Merit Review'!G161*'Merit Review'!H161)&lt;0.000001,1,0)</x:f>
        <x:v>1</x:v>
      </x:c>
      <x:c r="F2072" s="21" t="n">
        <x:v>1</x:v>
      </x:c>
      <x:c r="G2072" s="23" t="str">
        <x:f>IF(E2072=F2072,"PASS","FAIL")</x:f>
        <x:v>PASS</x:v>
      </x:c>
    </x:row>
    <x:row r="2073">
      <x:c r="B2073" s="21" t="str">
        <x:v>A2067</x:v>
      </x:c>
      <x:c r="C2073" s="21" t="str">
        <x:v>merit</x:v>
      </x:c>
      <x:c r="D2073" s="21" t="str">
        <x:v>merit 162 weight positive</x:v>
      </x:c>
      <x:c r="E2073" s="21" t="n">
        <x:f>IF('Merit Review'!G162&gt;0,1,0)</x:f>
        <x:v>1</x:v>
      </x:c>
      <x:c r="F2073" s="21" t="n">
        <x:v>1</x:v>
      </x:c>
      <x:c r="G2073" s="23" t="str">
        <x:f>IF(E2073=F2073,"PASS","FAIL")</x:f>
        <x:v>PASS</x:v>
      </x:c>
    </x:row>
    <x:row r="2074">
      <x:c r="B2074" s="21" t="str">
        <x:v>A2068</x:v>
      </x:c>
      <x:c r="C2074" s="21" t="str">
        <x:v>merit</x:v>
      </x:c>
      <x:c r="D2074" s="21" t="str">
        <x:v>merit 162 score bounded</x:v>
      </x:c>
      <x:c r="E2074" s="21" t="n">
        <x:f>IF(AND('Merit Review'!H162&gt;=0,'Merit Review'!H162&lt;=100),1,0)</x:f>
        <x:v>1</x:v>
      </x:c>
      <x:c r="F2074" s="21" t="n">
        <x:v>1</x:v>
      </x:c>
      <x:c r="G2074" s="23" t="str">
        <x:f>IF(E2074=F2074,"PASS","FAIL")</x:f>
        <x:v>PASS</x:v>
      </x:c>
    </x:row>
    <x:row r="2075">
      <x:c r="B2075" s="21" t="str">
        <x:v>A2069</x:v>
      </x:c>
      <x:c r="C2075" s="21" t="str">
        <x:v>merit</x:v>
      </x:c>
      <x:c r="D2075" s="21" t="str">
        <x:v>merit 162 weighted formula</x:v>
      </x:c>
      <x:c r="E2075" s="21" t="n">
        <x:f>IF(ABS('Merit Review'!I162-'Merit Review'!G162*'Merit Review'!H162)&lt;0.000001,1,0)</x:f>
        <x:v>1</x:v>
      </x:c>
      <x:c r="F2075" s="21" t="n">
        <x:v>1</x:v>
      </x:c>
      <x:c r="G2075" s="23" t="str">
        <x:f>IF(E2075=F2075,"PASS","FAIL")</x:f>
        <x:v>PASS</x:v>
      </x:c>
    </x:row>
    <x:row r="2076">
      <x:c r="B2076" s="21" t="str">
        <x:v>A2070</x:v>
      </x:c>
      <x:c r="C2076" s="21" t="str">
        <x:v>merit</x:v>
      </x:c>
      <x:c r="D2076" s="21" t="str">
        <x:v>merit 163 weight positive</x:v>
      </x:c>
      <x:c r="E2076" s="21" t="n">
        <x:f>IF('Merit Review'!G163&gt;0,1,0)</x:f>
        <x:v>1</x:v>
      </x:c>
      <x:c r="F2076" s="21" t="n">
        <x:v>1</x:v>
      </x:c>
      <x:c r="G2076" s="23" t="str">
        <x:f>IF(E2076=F2076,"PASS","FAIL")</x:f>
        <x:v>PASS</x:v>
      </x:c>
    </x:row>
    <x:row r="2077">
      <x:c r="B2077" s="21" t="str">
        <x:v>A2071</x:v>
      </x:c>
      <x:c r="C2077" s="21" t="str">
        <x:v>merit</x:v>
      </x:c>
      <x:c r="D2077" s="21" t="str">
        <x:v>merit 163 score bounded</x:v>
      </x:c>
      <x:c r="E2077" s="21" t="n">
        <x:f>IF(AND('Merit Review'!H163&gt;=0,'Merit Review'!H163&lt;=100),1,0)</x:f>
        <x:v>1</x:v>
      </x:c>
      <x:c r="F2077" s="21" t="n">
        <x:v>1</x:v>
      </x:c>
      <x:c r="G2077" s="23" t="str">
        <x:f>IF(E2077=F2077,"PASS","FAIL")</x:f>
        <x:v>PASS</x:v>
      </x:c>
    </x:row>
    <x:row r="2078">
      <x:c r="B2078" s="21" t="str">
        <x:v>A2072</x:v>
      </x:c>
      <x:c r="C2078" s="21" t="str">
        <x:v>merit</x:v>
      </x:c>
      <x:c r="D2078" s="21" t="str">
        <x:v>merit 163 weighted formula</x:v>
      </x:c>
      <x:c r="E2078" s="21" t="n">
        <x:f>IF(ABS('Merit Review'!I163-'Merit Review'!G163*'Merit Review'!H163)&lt;0.000001,1,0)</x:f>
        <x:v>1</x:v>
      </x:c>
      <x:c r="F2078" s="21" t="n">
        <x:v>1</x:v>
      </x:c>
      <x:c r="G2078" s="23" t="str">
        <x:f>IF(E2078=F2078,"PASS","FAIL")</x:f>
        <x:v>PASS</x:v>
      </x:c>
    </x:row>
    <x:row r="2079">
      <x:c r="B2079" s="21" t="str">
        <x:v>A2073</x:v>
      </x:c>
      <x:c r="C2079" s="21" t="str">
        <x:v>merit</x:v>
      </x:c>
      <x:c r="D2079" s="21" t="str">
        <x:v>merit 164 weight positive</x:v>
      </x:c>
      <x:c r="E2079" s="21" t="n">
        <x:f>IF('Merit Review'!G164&gt;0,1,0)</x:f>
        <x:v>1</x:v>
      </x:c>
      <x:c r="F2079" s="21" t="n">
        <x:v>1</x:v>
      </x:c>
      <x:c r="G2079" s="23" t="str">
        <x:f>IF(E2079=F2079,"PASS","FAIL")</x:f>
        <x:v>PASS</x:v>
      </x:c>
    </x:row>
    <x:row r="2080">
      <x:c r="B2080" s="21" t="str">
        <x:v>A2074</x:v>
      </x:c>
      <x:c r="C2080" s="21" t="str">
        <x:v>merit</x:v>
      </x:c>
      <x:c r="D2080" s="21" t="str">
        <x:v>merit 164 score bounded</x:v>
      </x:c>
      <x:c r="E2080" s="21" t="n">
        <x:f>IF(AND('Merit Review'!H164&gt;=0,'Merit Review'!H164&lt;=100),1,0)</x:f>
        <x:v>1</x:v>
      </x:c>
      <x:c r="F2080" s="21" t="n">
        <x:v>1</x:v>
      </x:c>
      <x:c r="G2080" s="23" t="str">
        <x:f>IF(E2080=F2080,"PASS","FAIL")</x:f>
        <x:v>PASS</x:v>
      </x:c>
    </x:row>
    <x:row r="2081">
      <x:c r="B2081" s="21" t="str">
        <x:v>A2075</x:v>
      </x:c>
      <x:c r="C2081" s="21" t="str">
        <x:v>merit</x:v>
      </x:c>
      <x:c r="D2081" s="21" t="str">
        <x:v>merit 164 weighted formula</x:v>
      </x:c>
      <x:c r="E2081" s="21" t="n">
        <x:f>IF(ABS('Merit Review'!I164-'Merit Review'!G164*'Merit Review'!H164)&lt;0.000001,1,0)</x:f>
        <x:v>1</x:v>
      </x:c>
      <x:c r="F2081" s="21" t="n">
        <x:v>1</x:v>
      </x:c>
      <x:c r="G2081" s="23" t="str">
        <x:f>IF(E2081=F2081,"PASS","FAIL")</x:f>
        <x:v>PASS</x:v>
      </x:c>
    </x:row>
    <x:row r="2082">
      <x:c r="B2082" s="21" t="str">
        <x:v>A2076</x:v>
      </x:c>
      <x:c r="C2082" s="21" t="str">
        <x:v>merit</x:v>
      </x:c>
      <x:c r="D2082" s="21" t="str">
        <x:v>merit 165 weight positive</x:v>
      </x:c>
      <x:c r="E2082" s="21" t="n">
        <x:f>IF('Merit Review'!G165&gt;0,1,0)</x:f>
        <x:v>1</x:v>
      </x:c>
      <x:c r="F2082" s="21" t="n">
        <x:v>1</x:v>
      </x:c>
      <x:c r="G2082" s="23" t="str">
        <x:f>IF(E2082=F2082,"PASS","FAIL")</x:f>
        <x:v>PASS</x:v>
      </x:c>
    </x:row>
    <x:row r="2083">
      <x:c r="B2083" s="21" t="str">
        <x:v>A2077</x:v>
      </x:c>
      <x:c r="C2083" s="21" t="str">
        <x:v>merit</x:v>
      </x:c>
      <x:c r="D2083" s="21" t="str">
        <x:v>merit 165 score bounded</x:v>
      </x:c>
      <x:c r="E2083" s="21" t="n">
        <x:f>IF(AND('Merit Review'!H165&gt;=0,'Merit Review'!H165&lt;=100),1,0)</x:f>
        <x:v>1</x:v>
      </x:c>
      <x:c r="F2083" s="21" t="n">
        <x:v>1</x:v>
      </x:c>
      <x:c r="G2083" s="23" t="str">
        <x:f>IF(E2083=F2083,"PASS","FAIL")</x:f>
        <x:v>PASS</x:v>
      </x:c>
    </x:row>
    <x:row r="2084">
      <x:c r="B2084" s="21" t="str">
        <x:v>A2078</x:v>
      </x:c>
      <x:c r="C2084" s="21" t="str">
        <x:v>merit</x:v>
      </x:c>
      <x:c r="D2084" s="21" t="str">
        <x:v>merit 165 weighted formula</x:v>
      </x:c>
      <x:c r="E2084" s="21" t="n">
        <x:f>IF(ABS('Merit Review'!I165-'Merit Review'!G165*'Merit Review'!H165)&lt;0.000001,1,0)</x:f>
        <x:v>1</x:v>
      </x:c>
      <x:c r="F2084" s="21" t="n">
        <x:v>1</x:v>
      </x:c>
      <x:c r="G2084" s="23" t="str">
        <x:f>IF(E2084=F2084,"PASS","FAIL")</x:f>
        <x:v>PASS</x:v>
      </x:c>
    </x:row>
    <x:row r="2085">
      <x:c r="B2085" s="21" t="str">
        <x:v>A2079</x:v>
      </x:c>
      <x:c r="C2085" s="21" t="str">
        <x:v>merit</x:v>
      </x:c>
      <x:c r="D2085" s="21" t="str">
        <x:v>merit 166 weight positive</x:v>
      </x:c>
      <x:c r="E2085" s="21" t="n">
        <x:f>IF('Merit Review'!G166&gt;0,1,0)</x:f>
        <x:v>1</x:v>
      </x:c>
      <x:c r="F2085" s="21" t="n">
        <x:v>1</x:v>
      </x:c>
      <x:c r="G2085" s="23" t="str">
        <x:f>IF(E2085=F2085,"PASS","FAIL")</x:f>
        <x:v>PASS</x:v>
      </x:c>
    </x:row>
    <x:row r="2086">
      <x:c r="B2086" s="21" t="str">
        <x:v>A2080</x:v>
      </x:c>
      <x:c r="C2086" s="21" t="str">
        <x:v>merit</x:v>
      </x:c>
      <x:c r="D2086" s="21" t="str">
        <x:v>merit 166 score bounded</x:v>
      </x:c>
      <x:c r="E2086" s="21" t="n">
        <x:f>IF(AND('Merit Review'!H166&gt;=0,'Merit Review'!H166&lt;=100),1,0)</x:f>
        <x:v>1</x:v>
      </x:c>
      <x:c r="F2086" s="21" t="n">
        <x:v>1</x:v>
      </x:c>
      <x:c r="G2086" s="23" t="str">
        <x:f>IF(E2086=F2086,"PASS","FAIL")</x:f>
        <x:v>PASS</x:v>
      </x:c>
    </x:row>
    <x:row r="2087">
      <x:c r="B2087" s="21" t="str">
        <x:v>A2081</x:v>
      </x:c>
      <x:c r="C2087" s="21" t="str">
        <x:v>merit</x:v>
      </x:c>
      <x:c r="D2087" s="21" t="str">
        <x:v>merit 166 weighted formula</x:v>
      </x:c>
      <x:c r="E2087" s="21" t="n">
        <x:f>IF(ABS('Merit Review'!I166-'Merit Review'!G166*'Merit Review'!H166)&lt;0.000001,1,0)</x:f>
        <x:v>1</x:v>
      </x:c>
      <x:c r="F2087" s="21" t="n">
        <x:v>1</x:v>
      </x:c>
      <x:c r="G2087" s="23" t="str">
        <x:f>IF(E2087=F2087,"PASS","FAIL")</x:f>
        <x:v>PASS</x:v>
      </x:c>
    </x:row>
    <x:row r="2088">
      <x:c r="B2088" s="21" t="str">
        <x:v>A2082</x:v>
      </x:c>
      <x:c r="C2088" s="21" t="str">
        <x:v>merit</x:v>
      </x:c>
      <x:c r="D2088" s="21" t="str">
        <x:v>merit 167 weight positive</x:v>
      </x:c>
      <x:c r="E2088" s="21" t="n">
        <x:f>IF('Merit Review'!G167&gt;0,1,0)</x:f>
        <x:v>1</x:v>
      </x:c>
      <x:c r="F2088" s="21" t="n">
        <x:v>1</x:v>
      </x:c>
      <x:c r="G2088" s="23" t="str">
        <x:f>IF(E2088=F2088,"PASS","FAIL")</x:f>
        <x:v>PASS</x:v>
      </x:c>
    </x:row>
    <x:row r="2089">
      <x:c r="B2089" s="21" t="str">
        <x:v>A2083</x:v>
      </x:c>
      <x:c r="C2089" s="21" t="str">
        <x:v>merit</x:v>
      </x:c>
      <x:c r="D2089" s="21" t="str">
        <x:v>merit 167 score bounded</x:v>
      </x:c>
      <x:c r="E2089" s="21" t="n">
        <x:f>IF(AND('Merit Review'!H167&gt;=0,'Merit Review'!H167&lt;=100),1,0)</x:f>
        <x:v>1</x:v>
      </x:c>
      <x:c r="F2089" s="21" t="n">
        <x:v>1</x:v>
      </x:c>
      <x:c r="G2089" s="23" t="str">
        <x:f>IF(E2089=F2089,"PASS","FAIL")</x:f>
        <x:v>PASS</x:v>
      </x:c>
    </x:row>
    <x:row r="2090">
      <x:c r="B2090" s="21" t="str">
        <x:v>A2084</x:v>
      </x:c>
      <x:c r="C2090" s="21" t="str">
        <x:v>merit</x:v>
      </x:c>
      <x:c r="D2090" s="21" t="str">
        <x:v>merit 167 weighted formula</x:v>
      </x:c>
      <x:c r="E2090" s="21" t="n">
        <x:f>IF(ABS('Merit Review'!I167-'Merit Review'!G167*'Merit Review'!H167)&lt;0.000001,1,0)</x:f>
        <x:v>1</x:v>
      </x:c>
      <x:c r="F2090" s="21" t="n">
        <x:v>1</x:v>
      </x:c>
      <x:c r="G2090" s="23" t="str">
        <x:f>IF(E2090=F2090,"PASS","FAIL")</x:f>
        <x:v>PASS</x:v>
      </x:c>
    </x:row>
    <x:row r="2091">
      <x:c r="B2091" s="21" t="str">
        <x:v>A2085</x:v>
      </x:c>
      <x:c r="C2091" s="21" t="str">
        <x:v>merit</x:v>
      </x:c>
      <x:c r="D2091" s="21" t="str">
        <x:v>merit 168 weight positive</x:v>
      </x:c>
      <x:c r="E2091" s="21" t="n">
        <x:f>IF('Merit Review'!G168&gt;0,1,0)</x:f>
        <x:v>1</x:v>
      </x:c>
      <x:c r="F2091" s="21" t="n">
        <x:v>1</x:v>
      </x:c>
      <x:c r="G2091" s="23" t="str">
        <x:f>IF(E2091=F2091,"PASS","FAIL")</x:f>
        <x:v>PASS</x:v>
      </x:c>
    </x:row>
    <x:row r="2092">
      <x:c r="B2092" s="21" t="str">
        <x:v>A2086</x:v>
      </x:c>
      <x:c r="C2092" s="21" t="str">
        <x:v>merit</x:v>
      </x:c>
      <x:c r="D2092" s="21" t="str">
        <x:v>merit 168 score bounded</x:v>
      </x:c>
      <x:c r="E2092" s="21" t="n">
        <x:f>IF(AND('Merit Review'!H168&gt;=0,'Merit Review'!H168&lt;=100),1,0)</x:f>
        <x:v>1</x:v>
      </x:c>
      <x:c r="F2092" s="21" t="n">
        <x:v>1</x:v>
      </x:c>
      <x:c r="G2092" s="23" t="str">
        <x:f>IF(E2092=F2092,"PASS","FAIL")</x:f>
        <x:v>PASS</x:v>
      </x:c>
    </x:row>
    <x:row r="2093">
      <x:c r="B2093" s="21" t="str">
        <x:v>A2087</x:v>
      </x:c>
      <x:c r="C2093" s="21" t="str">
        <x:v>merit</x:v>
      </x:c>
      <x:c r="D2093" s="21" t="str">
        <x:v>merit 168 weighted formula</x:v>
      </x:c>
      <x:c r="E2093" s="21" t="n">
        <x:f>IF(ABS('Merit Review'!I168-'Merit Review'!G168*'Merit Review'!H168)&lt;0.000001,1,0)</x:f>
        <x:v>1</x:v>
      </x:c>
      <x:c r="F2093" s="21" t="n">
        <x:v>1</x:v>
      </x:c>
      <x:c r="G2093" s="23" t="str">
        <x:f>IF(E2093=F2093,"PASS","FAIL")</x:f>
        <x:v>PASS</x:v>
      </x:c>
    </x:row>
    <x:row r="2094">
      <x:c r="B2094" s="21" t="str">
        <x:v>A2088</x:v>
      </x:c>
      <x:c r="C2094" s="21" t="str">
        <x:v>merit</x:v>
      </x:c>
      <x:c r="D2094" s="21" t="str">
        <x:v>merit 169 weight positive</x:v>
      </x:c>
      <x:c r="E2094" s="21" t="n">
        <x:f>IF('Merit Review'!G169&gt;0,1,0)</x:f>
        <x:v>1</x:v>
      </x:c>
      <x:c r="F2094" s="21" t="n">
        <x:v>1</x:v>
      </x:c>
      <x:c r="G2094" s="23" t="str">
        <x:f>IF(E2094=F2094,"PASS","FAIL")</x:f>
        <x:v>PASS</x:v>
      </x:c>
    </x:row>
    <x:row r="2095">
      <x:c r="B2095" s="21" t="str">
        <x:v>A2089</x:v>
      </x:c>
      <x:c r="C2095" s="21" t="str">
        <x:v>merit</x:v>
      </x:c>
      <x:c r="D2095" s="21" t="str">
        <x:v>merit 169 score bounded</x:v>
      </x:c>
      <x:c r="E2095" s="21" t="n">
        <x:f>IF(AND('Merit Review'!H169&gt;=0,'Merit Review'!H169&lt;=100),1,0)</x:f>
        <x:v>1</x:v>
      </x:c>
      <x:c r="F2095" s="21" t="n">
        <x:v>1</x:v>
      </x:c>
      <x:c r="G2095" s="23" t="str">
        <x:f>IF(E2095=F2095,"PASS","FAIL")</x:f>
        <x:v>PASS</x:v>
      </x:c>
    </x:row>
    <x:row r="2096">
      <x:c r="B2096" s="21" t="str">
        <x:v>A2090</x:v>
      </x:c>
      <x:c r="C2096" s="21" t="str">
        <x:v>merit</x:v>
      </x:c>
      <x:c r="D2096" s="21" t="str">
        <x:v>merit 169 weighted formula</x:v>
      </x:c>
      <x:c r="E2096" s="21" t="n">
        <x:f>IF(ABS('Merit Review'!I169-'Merit Review'!G169*'Merit Review'!H169)&lt;0.000001,1,0)</x:f>
        <x:v>1</x:v>
      </x:c>
      <x:c r="F2096" s="21" t="n">
        <x:v>1</x:v>
      </x:c>
      <x:c r="G2096" s="23" t="str">
        <x:f>IF(E2096=F2096,"PASS","FAIL")</x:f>
        <x:v>PASS</x:v>
      </x:c>
    </x:row>
    <x:row r="2097">
      <x:c r="B2097" s="21" t="str">
        <x:v>A2091</x:v>
      </x:c>
      <x:c r="C2097" s="21" t="str">
        <x:v>merit</x:v>
      </x:c>
      <x:c r="D2097" s="21" t="str">
        <x:v>merit 170 weight positive</x:v>
      </x:c>
      <x:c r="E2097" s="21" t="n">
        <x:f>IF('Merit Review'!G170&gt;0,1,0)</x:f>
        <x:v>1</x:v>
      </x:c>
      <x:c r="F2097" s="21" t="n">
        <x:v>1</x:v>
      </x:c>
      <x:c r="G2097" s="23" t="str">
        <x:f>IF(E2097=F2097,"PASS","FAIL")</x:f>
        <x:v>PASS</x:v>
      </x:c>
    </x:row>
    <x:row r="2098">
      <x:c r="B2098" s="21" t="str">
        <x:v>A2092</x:v>
      </x:c>
      <x:c r="C2098" s="21" t="str">
        <x:v>merit</x:v>
      </x:c>
      <x:c r="D2098" s="21" t="str">
        <x:v>merit 170 score bounded</x:v>
      </x:c>
      <x:c r="E2098" s="21" t="n">
        <x:f>IF(AND('Merit Review'!H170&gt;=0,'Merit Review'!H170&lt;=100),1,0)</x:f>
        <x:v>1</x:v>
      </x:c>
      <x:c r="F2098" s="21" t="n">
        <x:v>1</x:v>
      </x:c>
      <x:c r="G2098" s="23" t="str">
        <x:f>IF(E2098=F2098,"PASS","FAIL")</x:f>
        <x:v>PASS</x:v>
      </x:c>
    </x:row>
    <x:row r="2099">
      <x:c r="B2099" s="21" t="str">
        <x:v>A2093</x:v>
      </x:c>
      <x:c r="C2099" s="21" t="str">
        <x:v>merit</x:v>
      </x:c>
      <x:c r="D2099" s="21" t="str">
        <x:v>merit 170 weighted formula</x:v>
      </x:c>
      <x:c r="E2099" s="21" t="n">
        <x:f>IF(ABS('Merit Review'!I170-'Merit Review'!G170*'Merit Review'!H170)&lt;0.000001,1,0)</x:f>
        <x:v>1</x:v>
      </x:c>
      <x:c r="F2099" s="21" t="n">
        <x:v>1</x:v>
      </x:c>
      <x:c r="G2099" s="23" t="str">
        <x:f>IF(E2099=F2099,"PASS","FAIL")</x:f>
        <x:v>PASS</x:v>
      </x:c>
    </x:row>
    <x:row r="2100">
      <x:c r="B2100" s="21" t="str">
        <x:v>A2094</x:v>
      </x:c>
      <x:c r="C2100" s="21" t="str">
        <x:v>merit</x:v>
      </x:c>
      <x:c r="D2100" s="21" t="str">
        <x:v>merit 171 weight positive</x:v>
      </x:c>
      <x:c r="E2100" s="21" t="n">
        <x:f>IF('Merit Review'!G171&gt;0,1,0)</x:f>
        <x:v>1</x:v>
      </x:c>
      <x:c r="F2100" s="21" t="n">
        <x:v>1</x:v>
      </x:c>
      <x:c r="G2100" s="23" t="str">
        <x:f>IF(E2100=F2100,"PASS","FAIL")</x:f>
        <x:v>PASS</x:v>
      </x:c>
    </x:row>
    <x:row r="2101">
      <x:c r="B2101" s="21" t="str">
        <x:v>A2095</x:v>
      </x:c>
      <x:c r="C2101" s="21" t="str">
        <x:v>merit</x:v>
      </x:c>
      <x:c r="D2101" s="21" t="str">
        <x:v>merit 171 score bounded</x:v>
      </x:c>
      <x:c r="E2101" s="21" t="n">
        <x:f>IF(AND('Merit Review'!H171&gt;=0,'Merit Review'!H171&lt;=100),1,0)</x:f>
        <x:v>1</x:v>
      </x:c>
      <x:c r="F2101" s="21" t="n">
        <x:v>1</x:v>
      </x:c>
      <x:c r="G2101" s="23" t="str">
        <x:f>IF(E2101=F2101,"PASS","FAIL")</x:f>
        <x:v>PASS</x:v>
      </x:c>
    </x:row>
    <x:row r="2102">
      <x:c r="B2102" s="21" t="str">
        <x:v>A2096</x:v>
      </x:c>
      <x:c r="C2102" s="21" t="str">
        <x:v>merit</x:v>
      </x:c>
      <x:c r="D2102" s="21" t="str">
        <x:v>merit 171 weighted formula</x:v>
      </x:c>
      <x:c r="E2102" s="21" t="n">
        <x:f>IF(ABS('Merit Review'!I171-'Merit Review'!G171*'Merit Review'!H171)&lt;0.000001,1,0)</x:f>
        <x:v>1</x:v>
      </x:c>
      <x:c r="F2102" s="21" t="n">
        <x:v>1</x:v>
      </x:c>
      <x:c r="G2102" s="23" t="str">
        <x:f>IF(E2102=F2102,"PASS","FAIL")</x:f>
        <x:v>PASS</x:v>
      </x:c>
    </x:row>
    <x:row r="2103">
      <x:c r="B2103" s="21" t="str">
        <x:v>A2097</x:v>
      </x:c>
      <x:c r="C2103" s="21" t="str">
        <x:v>merit</x:v>
      </x:c>
      <x:c r="D2103" s="21" t="str">
        <x:v>merit 172 weight positive</x:v>
      </x:c>
      <x:c r="E2103" s="21" t="n">
        <x:f>IF('Merit Review'!G172&gt;0,1,0)</x:f>
        <x:v>1</x:v>
      </x:c>
      <x:c r="F2103" s="21" t="n">
        <x:v>1</x:v>
      </x:c>
      <x:c r="G2103" s="23" t="str">
        <x:f>IF(E2103=F2103,"PASS","FAIL")</x:f>
        <x:v>PASS</x:v>
      </x:c>
    </x:row>
    <x:row r="2104">
      <x:c r="B2104" s="21" t="str">
        <x:v>A2098</x:v>
      </x:c>
      <x:c r="C2104" s="21" t="str">
        <x:v>merit</x:v>
      </x:c>
      <x:c r="D2104" s="21" t="str">
        <x:v>merit 172 score bounded</x:v>
      </x:c>
      <x:c r="E2104" s="21" t="n">
        <x:f>IF(AND('Merit Review'!H172&gt;=0,'Merit Review'!H172&lt;=100),1,0)</x:f>
        <x:v>1</x:v>
      </x:c>
      <x:c r="F2104" s="21" t="n">
        <x:v>1</x:v>
      </x:c>
      <x:c r="G2104" s="23" t="str">
        <x:f>IF(E2104=F2104,"PASS","FAIL")</x:f>
        <x:v>PASS</x:v>
      </x:c>
    </x:row>
    <x:row r="2105">
      <x:c r="B2105" s="21" t="str">
        <x:v>A2099</x:v>
      </x:c>
      <x:c r="C2105" s="21" t="str">
        <x:v>merit</x:v>
      </x:c>
      <x:c r="D2105" s="21" t="str">
        <x:v>merit 172 weighted formula</x:v>
      </x:c>
      <x:c r="E2105" s="21" t="n">
        <x:f>IF(ABS('Merit Review'!I172-'Merit Review'!G172*'Merit Review'!H172)&lt;0.000001,1,0)</x:f>
        <x:v>1</x:v>
      </x:c>
      <x:c r="F2105" s="21" t="n">
        <x:v>1</x:v>
      </x:c>
      <x:c r="G2105" s="23" t="str">
        <x:f>IF(E2105=F2105,"PASS","FAIL")</x:f>
        <x:v>PASS</x:v>
      </x:c>
    </x:row>
    <x:row r="2106">
      <x:c r="B2106" s="21" t="str">
        <x:v>A2100</x:v>
      </x:c>
      <x:c r="C2106" s="21" t="str">
        <x:v>merit</x:v>
      </x:c>
      <x:c r="D2106" s="21" t="str">
        <x:v>merit 173 weight positive</x:v>
      </x:c>
      <x:c r="E2106" s="21" t="n">
        <x:f>IF('Merit Review'!G173&gt;0,1,0)</x:f>
        <x:v>1</x:v>
      </x:c>
      <x:c r="F2106" s="21" t="n">
        <x:v>1</x:v>
      </x:c>
      <x:c r="G2106" s="23" t="str">
        <x:f>IF(E2106=F2106,"PASS","FAIL")</x:f>
        <x:v>PASS</x:v>
      </x:c>
    </x:row>
    <x:row r="2107">
      <x:c r="B2107" s="21" t="str">
        <x:v>A2101</x:v>
      </x:c>
      <x:c r="C2107" s="21" t="str">
        <x:v>merit</x:v>
      </x:c>
      <x:c r="D2107" s="21" t="str">
        <x:v>merit 173 score bounded</x:v>
      </x:c>
      <x:c r="E2107" s="21" t="n">
        <x:f>IF(AND('Merit Review'!H173&gt;=0,'Merit Review'!H173&lt;=100),1,0)</x:f>
        <x:v>1</x:v>
      </x:c>
      <x:c r="F2107" s="21" t="n">
        <x:v>1</x:v>
      </x:c>
      <x:c r="G2107" s="23" t="str">
        <x:f>IF(E2107=F2107,"PASS","FAIL")</x:f>
        <x:v>PASS</x:v>
      </x:c>
    </x:row>
    <x:row r="2108">
      <x:c r="B2108" s="21" t="str">
        <x:v>A2102</x:v>
      </x:c>
      <x:c r="C2108" s="21" t="str">
        <x:v>merit</x:v>
      </x:c>
      <x:c r="D2108" s="21" t="str">
        <x:v>merit 173 weighted formula</x:v>
      </x:c>
      <x:c r="E2108" s="21" t="n">
        <x:f>IF(ABS('Merit Review'!I173-'Merit Review'!G173*'Merit Review'!H173)&lt;0.000001,1,0)</x:f>
        <x:v>1</x:v>
      </x:c>
      <x:c r="F2108" s="21" t="n">
        <x:v>1</x:v>
      </x:c>
      <x:c r="G2108" s="23" t="str">
        <x:f>IF(E2108=F2108,"PASS","FAIL")</x:f>
        <x:v>PASS</x:v>
      </x:c>
    </x:row>
    <x:row r="2109">
      <x:c r="B2109" s="21" t="str">
        <x:v>A2103</x:v>
      </x:c>
      <x:c r="C2109" s="21" t="str">
        <x:v>merit</x:v>
      </x:c>
      <x:c r="D2109" s="21" t="str">
        <x:v>merit 174 weight positive</x:v>
      </x:c>
      <x:c r="E2109" s="21" t="n">
        <x:f>IF('Merit Review'!G174&gt;0,1,0)</x:f>
        <x:v>1</x:v>
      </x:c>
      <x:c r="F2109" s="21" t="n">
        <x:v>1</x:v>
      </x:c>
      <x:c r="G2109" s="23" t="str">
        <x:f>IF(E2109=F2109,"PASS","FAIL")</x:f>
        <x:v>PASS</x:v>
      </x:c>
    </x:row>
    <x:row r="2110">
      <x:c r="B2110" s="21" t="str">
        <x:v>A2104</x:v>
      </x:c>
      <x:c r="C2110" s="21" t="str">
        <x:v>merit</x:v>
      </x:c>
      <x:c r="D2110" s="21" t="str">
        <x:v>merit 174 score bounded</x:v>
      </x:c>
      <x:c r="E2110" s="21" t="n">
        <x:f>IF(AND('Merit Review'!H174&gt;=0,'Merit Review'!H174&lt;=100),1,0)</x:f>
        <x:v>1</x:v>
      </x:c>
      <x:c r="F2110" s="21" t="n">
        <x:v>1</x:v>
      </x:c>
      <x:c r="G2110" s="23" t="str">
        <x:f>IF(E2110=F2110,"PASS","FAIL")</x:f>
        <x:v>PASS</x:v>
      </x:c>
    </x:row>
    <x:row r="2111">
      <x:c r="B2111" s="21" t="str">
        <x:v>A2105</x:v>
      </x:c>
      <x:c r="C2111" s="21" t="str">
        <x:v>merit</x:v>
      </x:c>
      <x:c r="D2111" s="21" t="str">
        <x:v>merit 174 weighted formula</x:v>
      </x:c>
      <x:c r="E2111" s="21" t="n">
        <x:f>IF(ABS('Merit Review'!I174-'Merit Review'!G174*'Merit Review'!H174)&lt;0.000001,1,0)</x:f>
        <x:v>1</x:v>
      </x:c>
      <x:c r="F2111" s="21" t="n">
        <x:v>1</x:v>
      </x:c>
      <x:c r="G2111" s="23" t="str">
        <x:f>IF(E2111=F2111,"PASS","FAIL")</x:f>
        <x:v>PASS</x:v>
      </x:c>
    </x:row>
    <x:row r="2112">
      <x:c r="B2112" s="21" t="str">
        <x:v>A2106</x:v>
      </x:c>
      <x:c r="C2112" s="21" t="str">
        <x:v>merit</x:v>
      </x:c>
      <x:c r="D2112" s="21" t="str">
        <x:v>merit 175 weight positive</x:v>
      </x:c>
      <x:c r="E2112" s="21" t="n">
        <x:f>IF('Merit Review'!G175&gt;0,1,0)</x:f>
        <x:v>1</x:v>
      </x:c>
      <x:c r="F2112" s="21" t="n">
        <x:v>1</x:v>
      </x:c>
      <x:c r="G2112" s="23" t="str">
        <x:f>IF(E2112=F2112,"PASS","FAIL")</x:f>
        <x:v>PASS</x:v>
      </x:c>
    </x:row>
    <x:row r="2113">
      <x:c r="B2113" s="21" t="str">
        <x:v>A2107</x:v>
      </x:c>
      <x:c r="C2113" s="21" t="str">
        <x:v>merit</x:v>
      </x:c>
      <x:c r="D2113" s="21" t="str">
        <x:v>merit 175 score bounded</x:v>
      </x:c>
      <x:c r="E2113" s="21" t="n">
        <x:f>IF(AND('Merit Review'!H175&gt;=0,'Merit Review'!H175&lt;=100),1,0)</x:f>
        <x:v>1</x:v>
      </x:c>
      <x:c r="F2113" s="21" t="n">
        <x:v>1</x:v>
      </x:c>
      <x:c r="G2113" s="23" t="str">
        <x:f>IF(E2113=F2113,"PASS","FAIL")</x:f>
        <x:v>PASS</x:v>
      </x:c>
    </x:row>
    <x:row r="2114">
      <x:c r="B2114" s="21" t="str">
        <x:v>A2108</x:v>
      </x:c>
      <x:c r="C2114" s="21" t="str">
        <x:v>merit</x:v>
      </x:c>
      <x:c r="D2114" s="21" t="str">
        <x:v>merit 175 weighted formula</x:v>
      </x:c>
      <x:c r="E2114" s="21" t="n">
        <x:f>IF(ABS('Merit Review'!I175-'Merit Review'!G175*'Merit Review'!H175)&lt;0.000001,1,0)</x:f>
        <x:v>1</x:v>
      </x:c>
      <x:c r="F2114" s="21" t="n">
        <x:v>1</x:v>
      </x:c>
      <x:c r="G2114" s="23" t="str">
        <x:f>IF(E2114=F2114,"PASS","FAIL")</x:f>
        <x:v>PASS</x:v>
      </x:c>
    </x:row>
    <x:row r="2115">
      <x:c r="B2115" s="21" t="str">
        <x:v>A2109</x:v>
      </x:c>
      <x:c r="C2115" s="21" t="str">
        <x:v>merit</x:v>
      </x:c>
      <x:c r="D2115" s="21" t="str">
        <x:v>merit 176 weight positive</x:v>
      </x:c>
      <x:c r="E2115" s="21" t="n">
        <x:f>IF('Merit Review'!G176&gt;0,1,0)</x:f>
        <x:v>1</x:v>
      </x:c>
      <x:c r="F2115" s="21" t="n">
        <x:v>1</x:v>
      </x:c>
      <x:c r="G2115" s="23" t="str">
        <x:f>IF(E2115=F2115,"PASS","FAIL")</x:f>
        <x:v>PASS</x:v>
      </x:c>
    </x:row>
    <x:row r="2116">
      <x:c r="B2116" s="21" t="str">
        <x:v>A2110</x:v>
      </x:c>
      <x:c r="C2116" s="21" t="str">
        <x:v>merit</x:v>
      </x:c>
      <x:c r="D2116" s="21" t="str">
        <x:v>merit 176 score bounded</x:v>
      </x:c>
      <x:c r="E2116" s="21" t="n">
        <x:f>IF(AND('Merit Review'!H176&gt;=0,'Merit Review'!H176&lt;=100),1,0)</x:f>
        <x:v>1</x:v>
      </x:c>
      <x:c r="F2116" s="21" t="n">
        <x:v>1</x:v>
      </x:c>
      <x:c r="G2116" s="23" t="str">
        <x:f>IF(E2116=F2116,"PASS","FAIL")</x:f>
        <x:v>PASS</x:v>
      </x:c>
    </x:row>
    <x:row r="2117">
      <x:c r="B2117" s="21" t="str">
        <x:v>A2111</x:v>
      </x:c>
      <x:c r="C2117" s="21" t="str">
        <x:v>merit</x:v>
      </x:c>
      <x:c r="D2117" s="21" t="str">
        <x:v>merit 176 weighted formula</x:v>
      </x:c>
      <x:c r="E2117" s="21" t="n">
        <x:f>IF(ABS('Merit Review'!I176-'Merit Review'!G176*'Merit Review'!H176)&lt;0.000001,1,0)</x:f>
        <x:v>1</x:v>
      </x:c>
      <x:c r="F2117" s="21" t="n">
        <x:v>1</x:v>
      </x:c>
      <x:c r="G2117" s="23" t="str">
        <x:f>IF(E2117=F2117,"PASS","FAIL")</x:f>
        <x:v>PASS</x:v>
      </x:c>
    </x:row>
    <x:row r="2118">
      <x:c r="B2118" s="21" t="str">
        <x:v>A2112</x:v>
      </x:c>
      <x:c r="C2118" s="21" t="str">
        <x:v>merit</x:v>
      </x:c>
      <x:c r="D2118" s="21" t="str">
        <x:v>merit 177 weight positive</x:v>
      </x:c>
      <x:c r="E2118" s="21" t="n">
        <x:f>IF('Merit Review'!G177&gt;0,1,0)</x:f>
        <x:v>1</x:v>
      </x:c>
      <x:c r="F2118" s="21" t="n">
        <x:v>1</x:v>
      </x:c>
      <x:c r="G2118" s="23" t="str">
        <x:f>IF(E2118=F2118,"PASS","FAIL")</x:f>
        <x:v>PASS</x:v>
      </x:c>
    </x:row>
    <x:row r="2119">
      <x:c r="B2119" s="21" t="str">
        <x:v>A2113</x:v>
      </x:c>
      <x:c r="C2119" s="21" t="str">
        <x:v>merit</x:v>
      </x:c>
      <x:c r="D2119" s="21" t="str">
        <x:v>merit 177 score bounded</x:v>
      </x:c>
      <x:c r="E2119" s="21" t="n">
        <x:f>IF(AND('Merit Review'!H177&gt;=0,'Merit Review'!H177&lt;=100),1,0)</x:f>
        <x:v>1</x:v>
      </x:c>
      <x:c r="F2119" s="21" t="n">
        <x:v>1</x:v>
      </x:c>
      <x:c r="G2119" s="23" t="str">
        <x:f>IF(E2119=F2119,"PASS","FAIL")</x:f>
        <x:v>PASS</x:v>
      </x:c>
    </x:row>
    <x:row r="2120">
      <x:c r="B2120" s="21" t="str">
        <x:v>A2114</x:v>
      </x:c>
      <x:c r="C2120" s="21" t="str">
        <x:v>merit</x:v>
      </x:c>
      <x:c r="D2120" s="21" t="str">
        <x:v>merit 177 weighted formula</x:v>
      </x:c>
      <x:c r="E2120" s="21" t="n">
        <x:f>IF(ABS('Merit Review'!I177-'Merit Review'!G177*'Merit Review'!H177)&lt;0.000001,1,0)</x:f>
        <x:v>1</x:v>
      </x:c>
      <x:c r="F2120" s="21" t="n">
        <x:v>1</x:v>
      </x:c>
      <x:c r="G2120" s="23" t="str">
        <x:f>IF(E2120=F2120,"PASS","FAIL")</x:f>
        <x:v>PASS</x:v>
      </x:c>
    </x:row>
    <x:row r="2121">
      <x:c r="B2121" s="21" t="str">
        <x:v>A2115</x:v>
      </x:c>
      <x:c r="C2121" s="21" t="str">
        <x:v>merit</x:v>
      </x:c>
      <x:c r="D2121" s="21" t="str">
        <x:v>merit 178 weight positive</x:v>
      </x:c>
      <x:c r="E2121" s="21" t="n">
        <x:f>IF('Merit Review'!G178&gt;0,1,0)</x:f>
        <x:v>1</x:v>
      </x:c>
      <x:c r="F2121" s="21" t="n">
        <x:v>1</x:v>
      </x:c>
      <x:c r="G2121" s="23" t="str">
        <x:f>IF(E2121=F2121,"PASS","FAIL")</x:f>
        <x:v>PASS</x:v>
      </x:c>
    </x:row>
    <x:row r="2122">
      <x:c r="B2122" s="21" t="str">
        <x:v>A2116</x:v>
      </x:c>
      <x:c r="C2122" s="21" t="str">
        <x:v>merit</x:v>
      </x:c>
      <x:c r="D2122" s="21" t="str">
        <x:v>merit 178 score bounded</x:v>
      </x:c>
      <x:c r="E2122" s="21" t="n">
        <x:f>IF(AND('Merit Review'!H178&gt;=0,'Merit Review'!H178&lt;=100),1,0)</x:f>
        <x:v>1</x:v>
      </x:c>
      <x:c r="F2122" s="21" t="n">
        <x:v>1</x:v>
      </x:c>
      <x:c r="G2122" s="23" t="str">
        <x:f>IF(E2122=F2122,"PASS","FAIL")</x:f>
        <x:v>PASS</x:v>
      </x:c>
    </x:row>
    <x:row r="2123">
      <x:c r="B2123" s="21" t="str">
        <x:v>A2117</x:v>
      </x:c>
      <x:c r="C2123" s="21" t="str">
        <x:v>merit</x:v>
      </x:c>
      <x:c r="D2123" s="21" t="str">
        <x:v>merit 178 weighted formula</x:v>
      </x:c>
      <x:c r="E2123" s="21" t="n">
        <x:f>IF(ABS('Merit Review'!I178-'Merit Review'!G178*'Merit Review'!H178)&lt;0.000001,1,0)</x:f>
        <x:v>1</x:v>
      </x:c>
      <x:c r="F2123" s="21" t="n">
        <x:v>1</x:v>
      </x:c>
      <x:c r="G2123" s="23" t="str">
        <x:f>IF(E2123=F2123,"PASS","FAIL")</x:f>
        <x:v>PASS</x:v>
      </x:c>
    </x:row>
    <x:row r="2124">
      <x:c r="B2124" s="21" t="str">
        <x:v>A2118</x:v>
      </x:c>
      <x:c r="C2124" s="21" t="str">
        <x:v>merit</x:v>
      </x:c>
      <x:c r="D2124" s="21" t="str">
        <x:v>merit 179 weight positive</x:v>
      </x:c>
      <x:c r="E2124" s="21" t="n">
        <x:f>IF('Merit Review'!G179&gt;0,1,0)</x:f>
        <x:v>1</x:v>
      </x:c>
      <x:c r="F2124" s="21" t="n">
        <x:v>1</x:v>
      </x:c>
      <x:c r="G2124" s="23" t="str">
        <x:f>IF(E2124=F2124,"PASS","FAIL")</x:f>
        <x:v>PASS</x:v>
      </x:c>
    </x:row>
    <x:row r="2125">
      <x:c r="B2125" s="21" t="str">
        <x:v>A2119</x:v>
      </x:c>
      <x:c r="C2125" s="21" t="str">
        <x:v>merit</x:v>
      </x:c>
      <x:c r="D2125" s="21" t="str">
        <x:v>merit 179 score bounded</x:v>
      </x:c>
      <x:c r="E2125" s="21" t="n">
        <x:f>IF(AND('Merit Review'!H179&gt;=0,'Merit Review'!H179&lt;=100),1,0)</x:f>
        <x:v>1</x:v>
      </x:c>
      <x:c r="F2125" s="21" t="n">
        <x:v>1</x:v>
      </x:c>
      <x:c r="G2125" s="23" t="str">
        <x:f>IF(E2125=F2125,"PASS","FAIL")</x:f>
        <x:v>PASS</x:v>
      </x:c>
    </x:row>
    <x:row r="2126">
      <x:c r="B2126" s="21" t="str">
        <x:v>A2120</x:v>
      </x:c>
      <x:c r="C2126" s="21" t="str">
        <x:v>merit</x:v>
      </x:c>
      <x:c r="D2126" s="21" t="str">
        <x:v>merit 179 weighted formula</x:v>
      </x:c>
      <x:c r="E2126" s="21" t="n">
        <x:f>IF(ABS('Merit Review'!I179-'Merit Review'!G179*'Merit Review'!H179)&lt;0.000001,1,0)</x:f>
        <x:v>1</x:v>
      </x:c>
      <x:c r="F2126" s="21" t="n">
        <x:v>1</x:v>
      </x:c>
      <x:c r="G2126" s="23" t="str">
        <x:f>IF(E2126=F2126,"PASS","FAIL")</x:f>
        <x:v>PASS</x:v>
      </x:c>
    </x:row>
    <x:row r="2127">
      <x:c r="B2127" s="21" t="str">
        <x:v>A2121</x:v>
      </x:c>
      <x:c r="C2127" s="21" t="str">
        <x:v>merit</x:v>
      </x:c>
      <x:c r="D2127" s="21" t="str">
        <x:v>merit 180 weight positive</x:v>
      </x:c>
      <x:c r="E2127" s="21" t="n">
        <x:f>IF('Merit Review'!G180&gt;0,1,0)</x:f>
        <x:v>1</x:v>
      </x:c>
      <x:c r="F2127" s="21" t="n">
        <x:v>1</x:v>
      </x:c>
      <x:c r="G2127" s="23" t="str">
        <x:f>IF(E2127=F2127,"PASS","FAIL")</x:f>
        <x:v>PASS</x:v>
      </x:c>
    </x:row>
    <x:row r="2128">
      <x:c r="B2128" s="21" t="str">
        <x:v>A2122</x:v>
      </x:c>
      <x:c r="C2128" s="21" t="str">
        <x:v>merit</x:v>
      </x:c>
      <x:c r="D2128" s="21" t="str">
        <x:v>merit 180 score bounded</x:v>
      </x:c>
      <x:c r="E2128" s="21" t="n">
        <x:f>IF(AND('Merit Review'!H180&gt;=0,'Merit Review'!H180&lt;=100),1,0)</x:f>
        <x:v>1</x:v>
      </x:c>
      <x:c r="F2128" s="21" t="n">
        <x:v>1</x:v>
      </x:c>
      <x:c r="G2128" s="23" t="str">
        <x:f>IF(E2128=F2128,"PASS","FAIL")</x:f>
        <x:v>PASS</x:v>
      </x:c>
    </x:row>
    <x:row r="2129">
      <x:c r="B2129" s="21" t="str">
        <x:v>A2123</x:v>
      </x:c>
      <x:c r="C2129" s="21" t="str">
        <x:v>merit</x:v>
      </x:c>
      <x:c r="D2129" s="21" t="str">
        <x:v>merit 180 weighted formula</x:v>
      </x:c>
      <x:c r="E2129" s="21" t="n">
        <x:f>IF(ABS('Merit Review'!I180-'Merit Review'!G180*'Merit Review'!H180)&lt;0.000001,1,0)</x:f>
        <x:v>1</x:v>
      </x:c>
      <x:c r="F2129" s="21" t="n">
        <x:v>1</x:v>
      </x:c>
      <x:c r="G2129" s="23" t="str">
        <x:f>IF(E2129=F2129,"PASS","FAIL")</x:f>
        <x:v>PASS</x:v>
      </x:c>
    </x:row>
    <x:row r="2130">
      <x:c r="B2130" s="21" t="str">
        <x:v>A2124</x:v>
      </x:c>
      <x:c r="C2130" s="21" t="str">
        <x:v>merit</x:v>
      </x:c>
      <x:c r="D2130" s="21" t="str">
        <x:v>merit 181 weight positive</x:v>
      </x:c>
      <x:c r="E2130" s="21" t="n">
        <x:f>IF('Merit Review'!G181&gt;0,1,0)</x:f>
        <x:v>1</x:v>
      </x:c>
      <x:c r="F2130" s="21" t="n">
        <x:v>1</x:v>
      </x:c>
      <x:c r="G2130" s="23" t="str">
        <x:f>IF(E2130=F2130,"PASS","FAIL")</x:f>
        <x:v>PASS</x:v>
      </x:c>
    </x:row>
    <x:row r="2131">
      <x:c r="B2131" s="21" t="str">
        <x:v>A2125</x:v>
      </x:c>
      <x:c r="C2131" s="21" t="str">
        <x:v>merit</x:v>
      </x:c>
      <x:c r="D2131" s="21" t="str">
        <x:v>merit 181 score bounded</x:v>
      </x:c>
      <x:c r="E2131" s="21" t="n">
        <x:f>IF(AND('Merit Review'!H181&gt;=0,'Merit Review'!H181&lt;=100),1,0)</x:f>
        <x:v>1</x:v>
      </x:c>
      <x:c r="F2131" s="21" t="n">
        <x:v>1</x:v>
      </x:c>
      <x:c r="G2131" s="23" t="str">
        <x:f>IF(E2131=F2131,"PASS","FAIL")</x:f>
        <x:v>PASS</x:v>
      </x:c>
    </x:row>
    <x:row r="2132">
      <x:c r="B2132" s="21" t="str">
        <x:v>A2126</x:v>
      </x:c>
      <x:c r="C2132" s="21" t="str">
        <x:v>merit</x:v>
      </x:c>
      <x:c r="D2132" s="21" t="str">
        <x:v>merit 181 weighted formula</x:v>
      </x:c>
      <x:c r="E2132" s="21" t="n">
        <x:f>IF(ABS('Merit Review'!I181-'Merit Review'!G181*'Merit Review'!H181)&lt;0.000001,1,0)</x:f>
        <x:v>1</x:v>
      </x:c>
      <x:c r="F2132" s="21" t="n">
        <x:v>1</x:v>
      </x:c>
      <x:c r="G2132" s="23" t="str">
        <x:f>IF(E2132=F2132,"PASS","FAIL")</x:f>
        <x:v>PASS</x:v>
      </x:c>
    </x:row>
    <x:row r="2133">
      <x:c r="B2133" s="21" t="str">
        <x:v>A2127</x:v>
      </x:c>
      <x:c r="C2133" s="21" t="str">
        <x:v>merit</x:v>
      </x:c>
      <x:c r="D2133" s="21" t="str">
        <x:v>merit 182 weight positive</x:v>
      </x:c>
      <x:c r="E2133" s="21" t="n">
        <x:f>IF('Merit Review'!G182&gt;0,1,0)</x:f>
        <x:v>1</x:v>
      </x:c>
      <x:c r="F2133" s="21" t="n">
        <x:v>1</x:v>
      </x:c>
      <x:c r="G2133" s="23" t="str">
        <x:f>IF(E2133=F2133,"PASS","FAIL")</x:f>
        <x:v>PASS</x:v>
      </x:c>
    </x:row>
    <x:row r="2134">
      <x:c r="B2134" s="21" t="str">
        <x:v>A2128</x:v>
      </x:c>
      <x:c r="C2134" s="21" t="str">
        <x:v>merit</x:v>
      </x:c>
      <x:c r="D2134" s="21" t="str">
        <x:v>merit 182 score bounded</x:v>
      </x:c>
      <x:c r="E2134" s="21" t="n">
        <x:f>IF(AND('Merit Review'!H182&gt;=0,'Merit Review'!H182&lt;=100),1,0)</x:f>
        <x:v>1</x:v>
      </x:c>
      <x:c r="F2134" s="21" t="n">
        <x:v>1</x:v>
      </x:c>
      <x:c r="G2134" s="23" t="str">
        <x:f>IF(E2134=F2134,"PASS","FAIL")</x:f>
        <x:v>PASS</x:v>
      </x:c>
    </x:row>
    <x:row r="2135">
      <x:c r="B2135" s="21" t="str">
        <x:v>A2129</x:v>
      </x:c>
      <x:c r="C2135" s="21" t="str">
        <x:v>merit</x:v>
      </x:c>
      <x:c r="D2135" s="21" t="str">
        <x:v>merit 182 weighted formula</x:v>
      </x:c>
      <x:c r="E2135" s="21" t="n">
        <x:f>IF(ABS('Merit Review'!I182-'Merit Review'!G182*'Merit Review'!H182)&lt;0.000001,1,0)</x:f>
        <x:v>1</x:v>
      </x:c>
      <x:c r="F2135" s="21" t="n">
        <x:v>1</x:v>
      </x:c>
      <x:c r="G2135" s="23" t="str">
        <x:f>IF(E2135=F2135,"PASS","FAIL")</x:f>
        <x:v>PASS</x:v>
      </x:c>
    </x:row>
    <x:row r="2136">
      <x:c r="B2136" s="21" t="str">
        <x:v>A2130</x:v>
      </x:c>
      <x:c r="C2136" s="21" t="str">
        <x:v>merit</x:v>
      </x:c>
      <x:c r="D2136" s="21" t="str">
        <x:v>merit 183 weight positive</x:v>
      </x:c>
      <x:c r="E2136" s="21" t="n">
        <x:f>IF('Merit Review'!G183&gt;0,1,0)</x:f>
        <x:v>1</x:v>
      </x:c>
      <x:c r="F2136" s="21" t="n">
        <x:v>1</x:v>
      </x:c>
      <x:c r="G2136" s="23" t="str">
        <x:f>IF(E2136=F2136,"PASS","FAIL")</x:f>
        <x:v>PASS</x:v>
      </x:c>
    </x:row>
    <x:row r="2137">
      <x:c r="B2137" s="21" t="str">
        <x:v>A2131</x:v>
      </x:c>
      <x:c r="C2137" s="21" t="str">
        <x:v>merit</x:v>
      </x:c>
      <x:c r="D2137" s="21" t="str">
        <x:v>merit 183 score bounded</x:v>
      </x:c>
      <x:c r="E2137" s="21" t="n">
        <x:f>IF(AND('Merit Review'!H183&gt;=0,'Merit Review'!H183&lt;=100),1,0)</x:f>
        <x:v>1</x:v>
      </x:c>
      <x:c r="F2137" s="21" t="n">
        <x:v>1</x:v>
      </x:c>
      <x:c r="G2137" s="23" t="str">
        <x:f>IF(E2137=F2137,"PASS","FAIL")</x:f>
        <x:v>PASS</x:v>
      </x:c>
    </x:row>
    <x:row r="2138">
      <x:c r="B2138" s="21" t="str">
        <x:v>A2132</x:v>
      </x:c>
      <x:c r="C2138" s="21" t="str">
        <x:v>merit</x:v>
      </x:c>
      <x:c r="D2138" s="21" t="str">
        <x:v>merit 183 weighted formula</x:v>
      </x:c>
      <x:c r="E2138" s="21" t="n">
        <x:f>IF(ABS('Merit Review'!I183-'Merit Review'!G183*'Merit Review'!H183)&lt;0.000001,1,0)</x:f>
        <x:v>1</x:v>
      </x:c>
      <x:c r="F2138" s="21" t="n">
        <x:v>1</x:v>
      </x:c>
      <x:c r="G2138" s="23" t="str">
        <x:f>IF(E2138=F2138,"PASS","FAIL")</x:f>
        <x:v>PASS</x:v>
      </x:c>
    </x:row>
    <x:row r="2139">
      <x:c r="B2139" s="21" t="str">
        <x:v>A2133</x:v>
      </x:c>
      <x:c r="C2139" s="21" t="str">
        <x:v>merit</x:v>
      </x:c>
      <x:c r="D2139" s="21" t="str">
        <x:v>merit 184 weight positive</x:v>
      </x:c>
      <x:c r="E2139" s="21" t="n">
        <x:f>IF('Merit Review'!G184&gt;0,1,0)</x:f>
        <x:v>1</x:v>
      </x:c>
      <x:c r="F2139" s="21" t="n">
        <x:v>1</x:v>
      </x:c>
      <x:c r="G2139" s="23" t="str">
        <x:f>IF(E2139=F2139,"PASS","FAIL")</x:f>
        <x:v>PASS</x:v>
      </x:c>
    </x:row>
    <x:row r="2140">
      <x:c r="B2140" s="21" t="str">
        <x:v>A2134</x:v>
      </x:c>
      <x:c r="C2140" s="21" t="str">
        <x:v>merit</x:v>
      </x:c>
      <x:c r="D2140" s="21" t="str">
        <x:v>merit 184 score bounded</x:v>
      </x:c>
      <x:c r="E2140" s="21" t="n">
        <x:f>IF(AND('Merit Review'!H184&gt;=0,'Merit Review'!H184&lt;=100),1,0)</x:f>
        <x:v>1</x:v>
      </x:c>
      <x:c r="F2140" s="21" t="n">
        <x:v>1</x:v>
      </x:c>
      <x:c r="G2140" s="23" t="str">
        <x:f>IF(E2140=F2140,"PASS","FAIL")</x:f>
        <x:v>PASS</x:v>
      </x:c>
    </x:row>
    <x:row r="2141">
      <x:c r="B2141" s="21" t="str">
        <x:v>A2135</x:v>
      </x:c>
      <x:c r="C2141" s="21" t="str">
        <x:v>merit</x:v>
      </x:c>
      <x:c r="D2141" s="21" t="str">
        <x:v>merit 184 weighted formula</x:v>
      </x:c>
      <x:c r="E2141" s="21" t="n">
        <x:f>IF(ABS('Merit Review'!I184-'Merit Review'!G184*'Merit Review'!H184)&lt;0.000001,1,0)</x:f>
        <x:v>1</x:v>
      </x:c>
      <x:c r="F2141" s="21" t="n">
        <x:v>1</x:v>
      </x:c>
      <x:c r="G2141" s="23" t="str">
        <x:f>IF(E2141=F2141,"PASS","FAIL")</x:f>
        <x:v>PASS</x:v>
      </x:c>
    </x:row>
    <x:row r="2142">
      <x:c r="B2142" s="21" t="str">
        <x:v>A2136</x:v>
      </x:c>
      <x:c r="C2142" s="21" t="str">
        <x:v>merit</x:v>
      </x:c>
      <x:c r="D2142" s="21" t="str">
        <x:v>merit 185 weight positive</x:v>
      </x:c>
      <x:c r="E2142" s="21" t="n">
        <x:f>IF('Merit Review'!G185&gt;0,1,0)</x:f>
        <x:v>1</x:v>
      </x:c>
      <x:c r="F2142" s="21" t="n">
        <x:v>1</x:v>
      </x:c>
      <x:c r="G2142" s="23" t="str">
        <x:f>IF(E2142=F2142,"PASS","FAIL")</x:f>
        <x:v>PASS</x:v>
      </x:c>
    </x:row>
    <x:row r="2143">
      <x:c r="B2143" s="21" t="str">
        <x:v>A2137</x:v>
      </x:c>
      <x:c r="C2143" s="21" t="str">
        <x:v>merit</x:v>
      </x:c>
      <x:c r="D2143" s="21" t="str">
        <x:v>merit 185 score bounded</x:v>
      </x:c>
      <x:c r="E2143" s="21" t="n">
        <x:f>IF(AND('Merit Review'!H185&gt;=0,'Merit Review'!H185&lt;=100),1,0)</x:f>
        <x:v>1</x:v>
      </x:c>
      <x:c r="F2143" s="21" t="n">
        <x:v>1</x:v>
      </x:c>
      <x:c r="G2143" s="23" t="str">
        <x:f>IF(E2143=F2143,"PASS","FAIL")</x:f>
        <x:v>PASS</x:v>
      </x:c>
    </x:row>
    <x:row r="2144">
      <x:c r="B2144" s="21" t="str">
        <x:v>A2138</x:v>
      </x:c>
      <x:c r="C2144" s="21" t="str">
        <x:v>merit</x:v>
      </x:c>
      <x:c r="D2144" s="21" t="str">
        <x:v>merit 185 weighted formula</x:v>
      </x:c>
      <x:c r="E2144" s="21" t="n">
        <x:f>IF(ABS('Merit Review'!I185-'Merit Review'!G185*'Merit Review'!H185)&lt;0.000001,1,0)</x:f>
        <x:v>1</x:v>
      </x:c>
      <x:c r="F2144" s="21" t="n">
        <x:v>1</x:v>
      </x:c>
      <x:c r="G2144" s="23" t="str">
        <x:f>IF(E2144=F2144,"PASS","FAIL")</x:f>
        <x:v>PASS</x:v>
      </x:c>
    </x:row>
    <x:row r="2145">
      <x:c r="B2145" s="21" t="str">
        <x:v>A2139</x:v>
      </x:c>
      <x:c r="C2145" s="21" t="str">
        <x:v>merit</x:v>
      </x:c>
      <x:c r="D2145" s="21" t="str">
        <x:v>merit 186 weight positive</x:v>
      </x:c>
      <x:c r="E2145" s="21" t="n">
        <x:f>IF('Merit Review'!G186&gt;0,1,0)</x:f>
        <x:v>1</x:v>
      </x:c>
      <x:c r="F2145" s="21" t="n">
        <x:v>1</x:v>
      </x:c>
      <x:c r="G2145" s="23" t="str">
        <x:f>IF(E2145=F2145,"PASS","FAIL")</x:f>
        <x:v>PASS</x:v>
      </x:c>
    </x:row>
    <x:row r="2146">
      <x:c r="B2146" s="21" t="str">
        <x:v>A2140</x:v>
      </x:c>
      <x:c r="C2146" s="21" t="str">
        <x:v>merit</x:v>
      </x:c>
      <x:c r="D2146" s="21" t="str">
        <x:v>merit 186 score bounded</x:v>
      </x:c>
      <x:c r="E2146" s="21" t="n">
        <x:f>IF(AND('Merit Review'!H186&gt;=0,'Merit Review'!H186&lt;=100),1,0)</x:f>
        <x:v>1</x:v>
      </x:c>
      <x:c r="F2146" s="21" t="n">
        <x:v>1</x:v>
      </x:c>
      <x:c r="G2146" s="23" t="str">
        <x:f>IF(E2146=F2146,"PASS","FAIL")</x:f>
        <x:v>PASS</x:v>
      </x:c>
    </x:row>
    <x:row r="2147">
      <x:c r="B2147" s="21" t="str">
        <x:v>A2141</x:v>
      </x:c>
      <x:c r="C2147" s="21" t="str">
        <x:v>merit</x:v>
      </x:c>
      <x:c r="D2147" s="21" t="str">
        <x:v>merit 186 weighted formula</x:v>
      </x:c>
      <x:c r="E2147" s="21" t="n">
        <x:f>IF(ABS('Merit Review'!I186-'Merit Review'!G186*'Merit Review'!H186)&lt;0.000001,1,0)</x:f>
        <x:v>1</x:v>
      </x:c>
      <x:c r="F2147" s="21" t="n">
        <x:v>1</x:v>
      </x:c>
      <x:c r="G2147" s="23" t="str">
        <x:f>IF(E2147=F2147,"PASS","FAIL")</x:f>
        <x:v>PASS</x:v>
      </x:c>
    </x:row>
    <x:row r="2148">
      <x:c r="B2148" s="21" t="str">
        <x:v>A2142</x:v>
      </x:c>
      <x:c r="C2148" s="21" t="str">
        <x:v>merit</x:v>
      </x:c>
      <x:c r="D2148" s="21" t="str">
        <x:v>merit 187 weight positive</x:v>
      </x:c>
      <x:c r="E2148" s="21" t="n">
        <x:f>IF('Merit Review'!G187&gt;0,1,0)</x:f>
        <x:v>1</x:v>
      </x:c>
      <x:c r="F2148" s="21" t="n">
        <x:v>1</x:v>
      </x:c>
      <x:c r="G2148" s="23" t="str">
        <x:f>IF(E2148=F2148,"PASS","FAIL")</x:f>
        <x:v>PASS</x:v>
      </x:c>
    </x:row>
    <x:row r="2149">
      <x:c r="B2149" s="21" t="str">
        <x:v>A2143</x:v>
      </x:c>
      <x:c r="C2149" s="21" t="str">
        <x:v>merit</x:v>
      </x:c>
      <x:c r="D2149" s="21" t="str">
        <x:v>merit 187 score bounded</x:v>
      </x:c>
      <x:c r="E2149" s="21" t="n">
        <x:f>IF(AND('Merit Review'!H187&gt;=0,'Merit Review'!H187&lt;=100),1,0)</x:f>
        <x:v>1</x:v>
      </x:c>
      <x:c r="F2149" s="21" t="n">
        <x:v>1</x:v>
      </x:c>
      <x:c r="G2149" s="23" t="str">
        <x:f>IF(E2149=F2149,"PASS","FAIL")</x:f>
        <x:v>PASS</x:v>
      </x:c>
    </x:row>
    <x:row r="2150">
      <x:c r="B2150" s="21" t="str">
        <x:v>A2144</x:v>
      </x:c>
      <x:c r="C2150" s="21" t="str">
        <x:v>merit</x:v>
      </x:c>
      <x:c r="D2150" s="21" t="str">
        <x:v>merit 187 weighted formula</x:v>
      </x:c>
      <x:c r="E2150" s="21" t="n">
        <x:f>IF(ABS('Merit Review'!I187-'Merit Review'!G187*'Merit Review'!H187)&lt;0.000001,1,0)</x:f>
        <x:v>1</x:v>
      </x:c>
      <x:c r="F2150" s="21" t="n">
        <x:v>1</x:v>
      </x:c>
      <x:c r="G2150" s="23" t="str">
        <x:f>IF(E2150=F2150,"PASS","FAIL")</x:f>
        <x:v>PASS</x:v>
      </x:c>
    </x:row>
    <x:row r="2151">
      <x:c r="B2151" s="21" t="str">
        <x:v>A2145</x:v>
      </x:c>
      <x:c r="C2151" s="21" t="str">
        <x:v>merit</x:v>
      </x:c>
      <x:c r="D2151" s="21" t="str">
        <x:v>merit 188 weight positive</x:v>
      </x:c>
      <x:c r="E2151" s="21" t="n">
        <x:f>IF('Merit Review'!G188&gt;0,1,0)</x:f>
        <x:v>1</x:v>
      </x:c>
      <x:c r="F2151" s="21" t="n">
        <x:v>1</x:v>
      </x:c>
      <x:c r="G2151" s="23" t="str">
        <x:f>IF(E2151=F2151,"PASS","FAIL")</x:f>
        <x:v>PASS</x:v>
      </x:c>
    </x:row>
    <x:row r="2152">
      <x:c r="B2152" s="21" t="str">
        <x:v>A2146</x:v>
      </x:c>
      <x:c r="C2152" s="21" t="str">
        <x:v>merit</x:v>
      </x:c>
      <x:c r="D2152" s="21" t="str">
        <x:v>merit 188 score bounded</x:v>
      </x:c>
      <x:c r="E2152" s="21" t="n">
        <x:f>IF(AND('Merit Review'!H188&gt;=0,'Merit Review'!H188&lt;=100),1,0)</x:f>
        <x:v>1</x:v>
      </x:c>
      <x:c r="F2152" s="21" t="n">
        <x:v>1</x:v>
      </x:c>
      <x:c r="G2152" s="23" t="str">
        <x:f>IF(E2152=F2152,"PASS","FAIL")</x:f>
        <x:v>PASS</x:v>
      </x:c>
    </x:row>
    <x:row r="2153">
      <x:c r="B2153" s="21" t="str">
        <x:v>A2147</x:v>
      </x:c>
      <x:c r="C2153" s="21" t="str">
        <x:v>merit</x:v>
      </x:c>
      <x:c r="D2153" s="21" t="str">
        <x:v>merit 188 weighted formula</x:v>
      </x:c>
      <x:c r="E2153" s="21" t="n">
        <x:f>IF(ABS('Merit Review'!I188-'Merit Review'!G188*'Merit Review'!H188)&lt;0.000001,1,0)</x:f>
        <x:v>1</x:v>
      </x:c>
      <x:c r="F2153" s="21" t="n">
        <x:v>1</x:v>
      </x:c>
      <x:c r="G2153" s="23" t="str">
        <x:f>IF(E2153=F2153,"PASS","FAIL")</x:f>
        <x:v>PASS</x:v>
      </x:c>
    </x:row>
    <x:row r="2154">
      <x:c r="B2154" s="21" t="str">
        <x:v>A2148</x:v>
      </x:c>
      <x:c r="C2154" s="21" t="str">
        <x:v>merit</x:v>
      </x:c>
      <x:c r="D2154" s="21" t="str">
        <x:v>merit 189 weight positive</x:v>
      </x:c>
      <x:c r="E2154" s="21" t="n">
        <x:f>IF('Merit Review'!G189&gt;0,1,0)</x:f>
        <x:v>1</x:v>
      </x:c>
      <x:c r="F2154" s="21" t="n">
        <x:v>1</x:v>
      </x:c>
      <x:c r="G2154" s="23" t="str">
        <x:f>IF(E2154=F2154,"PASS","FAIL")</x:f>
        <x:v>PASS</x:v>
      </x:c>
    </x:row>
    <x:row r="2155">
      <x:c r="B2155" s="21" t="str">
        <x:v>A2149</x:v>
      </x:c>
      <x:c r="C2155" s="21" t="str">
        <x:v>merit</x:v>
      </x:c>
      <x:c r="D2155" s="21" t="str">
        <x:v>merit 189 score bounded</x:v>
      </x:c>
      <x:c r="E2155" s="21" t="n">
        <x:f>IF(AND('Merit Review'!H189&gt;=0,'Merit Review'!H189&lt;=100),1,0)</x:f>
        <x:v>1</x:v>
      </x:c>
      <x:c r="F2155" s="21" t="n">
        <x:v>1</x:v>
      </x:c>
      <x:c r="G2155" s="23" t="str">
        <x:f>IF(E2155=F2155,"PASS","FAIL")</x:f>
        <x:v>PASS</x:v>
      </x:c>
    </x:row>
    <x:row r="2156">
      <x:c r="B2156" s="21" t="str">
        <x:v>A2150</x:v>
      </x:c>
      <x:c r="C2156" s="21" t="str">
        <x:v>merit</x:v>
      </x:c>
      <x:c r="D2156" s="21" t="str">
        <x:v>merit 189 weighted formula</x:v>
      </x:c>
      <x:c r="E2156" s="21" t="n">
        <x:f>IF(ABS('Merit Review'!I189-'Merit Review'!G189*'Merit Review'!H189)&lt;0.000001,1,0)</x:f>
        <x:v>1</x:v>
      </x:c>
      <x:c r="F2156" s="21" t="n">
        <x:v>1</x:v>
      </x:c>
      <x:c r="G2156" s="23" t="str">
        <x:f>IF(E2156=F2156,"PASS","FAIL")</x:f>
        <x:v>PASS</x:v>
      </x:c>
    </x:row>
    <x:row r="2157">
      <x:c r="B2157" s="21" t="str">
        <x:v>A2151</x:v>
      </x:c>
      <x:c r="C2157" s="21" t="str">
        <x:v>merit</x:v>
      </x:c>
      <x:c r="D2157" s="21" t="str">
        <x:v>merit 190 weight positive</x:v>
      </x:c>
      <x:c r="E2157" s="21" t="n">
        <x:f>IF('Merit Review'!G190&gt;0,1,0)</x:f>
        <x:v>1</x:v>
      </x:c>
      <x:c r="F2157" s="21" t="n">
        <x:v>1</x:v>
      </x:c>
      <x:c r="G2157" s="23" t="str">
        <x:f>IF(E2157=F2157,"PASS","FAIL")</x:f>
        <x:v>PASS</x:v>
      </x:c>
    </x:row>
    <x:row r="2158">
      <x:c r="B2158" s="21" t="str">
        <x:v>A2152</x:v>
      </x:c>
      <x:c r="C2158" s="21" t="str">
        <x:v>merit</x:v>
      </x:c>
      <x:c r="D2158" s="21" t="str">
        <x:v>merit 190 score bounded</x:v>
      </x:c>
      <x:c r="E2158" s="21" t="n">
        <x:f>IF(AND('Merit Review'!H190&gt;=0,'Merit Review'!H190&lt;=100),1,0)</x:f>
        <x:v>1</x:v>
      </x:c>
      <x:c r="F2158" s="21" t="n">
        <x:v>1</x:v>
      </x:c>
      <x:c r="G2158" s="23" t="str">
        <x:f>IF(E2158=F2158,"PASS","FAIL")</x:f>
        <x:v>PASS</x:v>
      </x:c>
    </x:row>
    <x:row r="2159">
      <x:c r="B2159" s="21" t="str">
        <x:v>A2153</x:v>
      </x:c>
      <x:c r="C2159" s="21" t="str">
        <x:v>merit</x:v>
      </x:c>
      <x:c r="D2159" s="21" t="str">
        <x:v>merit 190 weighted formula</x:v>
      </x:c>
      <x:c r="E2159" s="21" t="n">
        <x:f>IF(ABS('Merit Review'!I190-'Merit Review'!G190*'Merit Review'!H190)&lt;0.000001,1,0)</x:f>
        <x:v>1</x:v>
      </x:c>
      <x:c r="F2159" s="21" t="n">
        <x:v>1</x:v>
      </x:c>
      <x:c r="G2159" s="23" t="str">
        <x:f>IF(E2159=F2159,"PASS","FAIL")</x:f>
        <x:v>PASS</x:v>
      </x:c>
    </x:row>
    <x:row r="2160">
      <x:c r="B2160" s="21" t="str">
        <x:v>A2154</x:v>
      </x:c>
      <x:c r="C2160" s="21" t="str">
        <x:v>merit</x:v>
      </x:c>
      <x:c r="D2160" s="21" t="str">
        <x:v>merit 191 weight positive</x:v>
      </x:c>
      <x:c r="E2160" s="21" t="n">
        <x:f>IF('Merit Review'!G191&gt;0,1,0)</x:f>
        <x:v>1</x:v>
      </x:c>
      <x:c r="F2160" s="21" t="n">
        <x:v>1</x:v>
      </x:c>
      <x:c r="G2160" s="23" t="str">
        <x:f>IF(E2160=F2160,"PASS","FAIL")</x:f>
        <x:v>PASS</x:v>
      </x:c>
    </x:row>
    <x:row r="2161">
      <x:c r="B2161" s="21" t="str">
        <x:v>A2155</x:v>
      </x:c>
      <x:c r="C2161" s="21" t="str">
        <x:v>merit</x:v>
      </x:c>
      <x:c r="D2161" s="21" t="str">
        <x:v>merit 191 score bounded</x:v>
      </x:c>
      <x:c r="E2161" s="21" t="n">
        <x:f>IF(AND('Merit Review'!H191&gt;=0,'Merit Review'!H191&lt;=100),1,0)</x:f>
        <x:v>1</x:v>
      </x:c>
      <x:c r="F2161" s="21" t="n">
        <x:v>1</x:v>
      </x:c>
      <x:c r="G2161" s="23" t="str">
        <x:f>IF(E2161=F2161,"PASS","FAIL")</x:f>
        <x:v>PASS</x:v>
      </x:c>
    </x:row>
    <x:row r="2162">
      <x:c r="B2162" s="21" t="str">
        <x:v>A2156</x:v>
      </x:c>
      <x:c r="C2162" s="21" t="str">
        <x:v>merit</x:v>
      </x:c>
      <x:c r="D2162" s="21" t="str">
        <x:v>merit 191 weighted formula</x:v>
      </x:c>
      <x:c r="E2162" s="21" t="n">
        <x:f>IF(ABS('Merit Review'!I191-'Merit Review'!G191*'Merit Review'!H191)&lt;0.000001,1,0)</x:f>
        <x:v>1</x:v>
      </x:c>
      <x:c r="F2162" s="21" t="n">
        <x:v>1</x:v>
      </x:c>
      <x:c r="G2162" s="23" t="str">
        <x:f>IF(E2162=F2162,"PASS","FAIL")</x:f>
        <x:v>PASS</x:v>
      </x:c>
    </x:row>
    <x:row r="2163">
      <x:c r="B2163" s="21" t="str">
        <x:v>A2157</x:v>
      </x:c>
      <x:c r="C2163" s="21" t="str">
        <x:v>merit</x:v>
      </x:c>
      <x:c r="D2163" s="21" t="str">
        <x:v>merit 192 weight positive</x:v>
      </x:c>
      <x:c r="E2163" s="21" t="n">
        <x:f>IF('Merit Review'!G192&gt;0,1,0)</x:f>
        <x:v>1</x:v>
      </x:c>
      <x:c r="F2163" s="21" t="n">
        <x:v>1</x:v>
      </x:c>
      <x:c r="G2163" s="23" t="str">
        <x:f>IF(E2163=F2163,"PASS","FAIL")</x:f>
        <x:v>PASS</x:v>
      </x:c>
    </x:row>
    <x:row r="2164">
      <x:c r="B2164" s="21" t="str">
        <x:v>A2158</x:v>
      </x:c>
      <x:c r="C2164" s="21" t="str">
        <x:v>merit</x:v>
      </x:c>
      <x:c r="D2164" s="21" t="str">
        <x:v>merit 192 score bounded</x:v>
      </x:c>
      <x:c r="E2164" s="21" t="n">
        <x:f>IF(AND('Merit Review'!H192&gt;=0,'Merit Review'!H192&lt;=100),1,0)</x:f>
        <x:v>1</x:v>
      </x:c>
      <x:c r="F2164" s="21" t="n">
        <x:v>1</x:v>
      </x:c>
      <x:c r="G2164" s="23" t="str">
        <x:f>IF(E2164=F2164,"PASS","FAIL")</x:f>
        <x:v>PASS</x:v>
      </x:c>
    </x:row>
    <x:row r="2165">
      <x:c r="B2165" s="21" t="str">
        <x:v>A2159</x:v>
      </x:c>
      <x:c r="C2165" s="21" t="str">
        <x:v>merit</x:v>
      </x:c>
      <x:c r="D2165" s="21" t="str">
        <x:v>merit 192 weighted formula</x:v>
      </x:c>
      <x:c r="E2165" s="21" t="n">
        <x:f>IF(ABS('Merit Review'!I192-'Merit Review'!G192*'Merit Review'!H192)&lt;0.000001,1,0)</x:f>
        <x:v>1</x:v>
      </x:c>
      <x:c r="F2165" s="21" t="n">
        <x:v>1</x:v>
      </x:c>
      <x:c r="G2165" s="23" t="str">
        <x:f>IF(E2165=F2165,"PASS","FAIL")</x:f>
        <x:v>PASS</x:v>
      </x:c>
    </x:row>
    <x:row r="2166">
      <x:c r="B2166" s="21" t="str">
        <x:v>A2160</x:v>
      </x:c>
      <x:c r="C2166" s="21" t="str">
        <x:v>merit</x:v>
      </x:c>
      <x:c r="D2166" s="21" t="str">
        <x:v>merit 193 weight positive</x:v>
      </x:c>
      <x:c r="E2166" s="21" t="n">
        <x:f>IF('Merit Review'!G193&gt;0,1,0)</x:f>
        <x:v>1</x:v>
      </x:c>
      <x:c r="F2166" s="21" t="n">
        <x:v>1</x:v>
      </x:c>
      <x:c r="G2166" s="23" t="str">
        <x:f>IF(E2166=F2166,"PASS","FAIL")</x:f>
        <x:v>PASS</x:v>
      </x:c>
    </x:row>
    <x:row r="2167">
      <x:c r="B2167" s="21" t="str">
        <x:v>A2161</x:v>
      </x:c>
      <x:c r="C2167" s="21" t="str">
        <x:v>merit</x:v>
      </x:c>
      <x:c r="D2167" s="21" t="str">
        <x:v>merit 193 score bounded</x:v>
      </x:c>
      <x:c r="E2167" s="21" t="n">
        <x:f>IF(AND('Merit Review'!H193&gt;=0,'Merit Review'!H193&lt;=100),1,0)</x:f>
        <x:v>1</x:v>
      </x:c>
      <x:c r="F2167" s="21" t="n">
        <x:v>1</x:v>
      </x:c>
      <x:c r="G2167" s="23" t="str">
        <x:f>IF(E2167=F2167,"PASS","FAIL")</x:f>
        <x:v>PASS</x:v>
      </x:c>
    </x:row>
    <x:row r="2168">
      <x:c r="B2168" s="21" t="str">
        <x:v>A2162</x:v>
      </x:c>
      <x:c r="C2168" s="21" t="str">
        <x:v>merit</x:v>
      </x:c>
      <x:c r="D2168" s="21" t="str">
        <x:v>merit 193 weighted formula</x:v>
      </x:c>
      <x:c r="E2168" s="21" t="n">
        <x:f>IF(ABS('Merit Review'!I193-'Merit Review'!G193*'Merit Review'!H193)&lt;0.000001,1,0)</x:f>
        <x:v>1</x:v>
      </x:c>
      <x:c r="F2168" s="21" t="n">
        <x:v>1</x:v>
      </x:c>
      <x:c r="G2168" s="23" t="str">
        <x:f>IF(E2168=F2168,"PASS","FAIL")</x:f>
        <x:v>PASS</x:v>
      </x:c>
    </x:row>
    <x:row r="2169">
      <x:c r="B2169" s="21" t="str">
        <x:v>A2163</x:v>
      </x:c>
      <x:c r="C2169" s="21" t="str">
        <x:v>merit</x:v>
      </x:c>
      <x:c r="D2169" s="21" t="str">
        <x:v>merit 194 weight positive</x:v>
      </x:c>
      <x:c r="E2169" s="21" t="n">
        <x:f>IF('Merit Review'!G194&gt;0,1,0)</x:f>
        <x:v>1</x:v>
      </x:c>
      <x:c r="F2169" s="21" t="n">
        <x:v>1</x:v>
      </x:c>
      <x:c r="G2169" s="23" t="str">
        <x:f>IF(E2169=F2169,"PASS","FAIL")</x:f>
        <x:v>PASS</x:v>
      </x:c>
    </x:row>
    <x:row r="2170">
      <x:c r="B2170" s="21" t="str">
        <x:v>A2164</x:v>
      </x:c>
      <x:c r="C2170" s="21" t="str">
        <x:v>merit</x:v>
      </x:c>
      <x:c r="D2170" s="21" t="str">
        <x:v>merit 194 score bounded</x:v>
      </x:c>
      <x:c r="E2170" s="21" t="n">
        <x:f>IF(AND('Merit Review'!H194&gt;=0,'Merit Review'!H194&lt;=100),1,0)</x:f>
        <x:v>1</x:v>
      </x:c>
      <x:c r="F2170" s="21" t="n">
        <x:v>1</x:v>
      </x:c>
      <x:c r="G2170" s="23" t="str">
        <x:f>IF(E2170=F2170,"PASS","FAIL")</x:f>
        <x:v>PASS</x:v>
      </x:c>
    </x:row>
    <x:row r="2171">
      <x:c r="B2171" s="21" t="str">
        <x:v>A2165</x:v>
      </x:c>
      <x:c r="C2171" s="21" t="str">
        <x:v>merit</x:v>
      </x:c>
      <x:c r="D2171" s="21" t="str">
        <x:v>merit 194 weighted formula</x:v>
      </x:c>
      <x:c r="E2171" s="21" t="n">
        <x:f>IF(ABS('Merit Review'!I194-'Merit Review'!G194*'Merit Review'!H194)&lt;0.000001,1,0)</x:f>
        <x:v>1</x:v>
      </x:c>
      <x:c r="F2171" s="21" t="n">
        <x:v>1</x:v>
      </x:c>
      <x:c r="G2171" s="23" t="str">
        <x:f>IF(E2171=F2171,"PASS","FAIL")</x:f>
        <x:v>PASS</x:v>
      </x:c>
    </x:row>
    <x:row r="2172">
      <x:c r="B2172" s="21" t="str">
        <x:v>A2166</x:v>
      </x:c>
      <x:c r="C2172" s="21" t="str">
        <x:v>merit</x:v>
      </x:c>
      <x:c r="D2172" s="21" t="str">
        <x:v>merit 195 weight positive</x:v>
      </x:c>
      <x:c r="E2172" s="21" t="n">
        <x:f>IF('Merit Review'!G195&gt;0,1,0)</x:f>
        <x:v>1</x:v>
      </x:c>
      <x:c r="F2172" s="21" t="n">
        <x:v>1</x:v>
      </x:c>
      <x:c r="G2172" s="23" t="str">
        <x:f>IF(E2172=F2172,"PASS","FAIL")</x:f>
        <x:v>PASS</x:v>
      </x:c>
    </x:row>
    <x:row r="2173">
      <x:c r="B2173" s="21" t="str">
        <x:v>A2167</x:v>
      </x:c>
      <x:c r="C2173" s="21" t="str">
        <x:v>merit</x:v>
      </x:c>
      <x:c r="D2173" s="21" t="str">
        <x:v>merit 195 score bounded</x:v>
      </x:c>
      <x:c r="E2173" s="21" t="n">
        <x:f>IF(AND('Merit Review'!H195&gt;=0,'Merit Review'!H195&lt;=100),1,0)</x:f>
        <x:v>1</x:v>
      </x:c>
      <x:c r="F2173" s="21" t="n">
        <x:v>1</x:v>
      </x:c>
      <x:c r="G2173" s="23" t="str">
        <x:f>IF(E2173=F2173,"PASS","FAIL")</x:f>
        <x:v>PASS</x:v>
      </x:c>
    </x:row>
    <x:row r="2174">
      <x:c r="B2174" s="21" t="str">
        <x:v>A2168</x:v>
      </x:c>
      <x:c r="C2174" s="21" t="str">
        <x:v>merit</x:v>
      </x:c>
      <x:c r="D2174" s="21" t="str">
        <x:v>merit 195 weighted formula</x:v>
      </x:c>
      <x:c r="E2174" s="21" t="n">
        <x:f>IF(ABS('Merit Review'!I195-'Merit Review'!G195*'Merit Review'!H195)&lt;0.000001,1,0)</x:f>
        <x:v>1</x:v>
      </x:c>
      <x:c r="F2174" s="21" t="n">
        <x:v>1</x:v>
      </x:c>
      <x:c r="G2174" s="23" t="str">
        <x:f>IF(E2174=F2174,"PASS","FAIL")</x:f>
        <x:v>PASS</x:v>
      </x:c>
    </x:row>
    <x:row r="2175">
      <x:c r="B2175" s="21" t="str">
        <x:v>A2169</x:v>
      </x:c>
      <x:c r="C2175" s="21" t="str">
        <x:v>merit</x:v>
      </x:c>
      <x:c r="D2175" s="21" t="str">
        <x:v>merit 196 weight positive</x:v>
      </x:c>
      <x:c r="E2175" s="21" t="n">
        <x:f>IF('Merit Review'!G196&gt;0,1,0)</x:f>
        <x:v>1</x:v>
      </x:c>
      <x:c r="F2175" s="21" t="n">
        <x:v>1</x:v>
      </x:c>
      <x:c r="G2175" s="23" t="str">
        <x:f>IF(E2175=F2175,"PASS","FAIL")</x:f>
        <x:v>PASS</x:v>
      </x:c>
    </x:row>
    <x:row r="2176">
      <x:c r="B2176" s="21" t="str">
        <x:v>A2170</x:v>
      </x:c>
      <x:c r="C2176" s="21" t="str">
        <x:v>merit</x:v>
      </x:c>
      <x:c r="D2176" s="21" t="str">
        <x:v>merit 196 score bounded</x:v>
      </x:c>
      <x:c r="E2176" s="21" t="n">
        <x:f>IF(AND('Merit Review'!H196&gt;=0,'Merit Review'!H196&lt;=100),1,0)</x:f>
        <x:v>1</x:v>
      </x:c>
      <x:c r="F2176" s="21" t="n">
        <x:v>1</x:v>
      </x:c>
      <x:c r="G2176" s="23" t="str">
        <x:f>IF(E2176=F2176,"PASS","FAIL")</x:f>
        <x:v>PASS</x:v>
      </x:c>
    </x:row>
    <x:row r="2177">
      <x:c r="B2177" s="21" t="str">
        <x:v>A2171</x:v>
      </x:c>
      <x:c r="C2177" s="21" t="str">
        <x:v>merit</x:v>
      </x:c>
      <x:c r="D2177" s="21" t="str">
        <x:v>merit 196 weighted formula</x:v>
      </x:c>
      <x:c r="E2177" s="21" t="n">
        <x:f>IF(ABS('Merit Review'!I196-'Merit Review'!G196*'Merit Review'!H196)&lt;0.000001,1,0)</x:f>
        <x:v>1</x:v>
      </x:c>
      <x:c r="F2177" s="21" t="n">
        <x:v>1</x:v>
      </x:c>
      <x:c r="G2177" s="23" t="str">
        <x:f>IF(E2177=F2177,"PASS","FAIL")</x:f>
        <x:v>PASS</x:v>
      </x:c>
    </x:row>
    <x:row r="2178">
      <x:c r="B2178" s="21" t="str">
        <x:v>A2172</x:v>
      </x:c>
      <x:c r="C2178" s="21" t="str">
        <x:v>merit</x:v>
      </x:c>
      <x:c r="D2178" s="21" t="str">
        <x:v>merit 197 weight positive</x:v>
      </x:c>
      <x:c r="E2178" s="21" t="n">
        <x:f>IF('Merit Review'!G197&gt;0,1,0)</x:f>
        <x:v>1</x:v>
      </x:c>
      <x:c r="F2178" s="21" t="n">
        <x:v>1</x:v>
      </x:c>
      <x:c r="G2178" s="23" t="str">
        <x:f>IF(E2178=F2178,"PASS","FAIL")</x:f>
        <x:v>PASS</x:v>
      </x:c>
    </x:row>
    <x:row r="2179">
      <x:c r="B2179" s="21" t="str">
        <x:v>A2173</x:v>
      </x:c>
      <x:c r="C2179" s="21" t="str">
        <x:v>merit</x:v>
      </x:c>
      <x:c r="D2179" s="21" t="str">
        <x:v>merit 197 score bounded</x:v>
      </x:c>
      <x:c r="E2179" s="21" t="n">
        <x:f>IF(AND('Merit Review'!H197&gt;=0,'Merit Review'!H197&lt;=100),1,0)</x:f>
        <x:v>1</x:v>
      </x:c>
      <x:c r="F2179" s="21" t="n">
        <x:v>1</x:v>
      </x:c>
      <x:c r="G2179" s="23" t="str">
        <x:f>IF(E2179=F2179,"PASS","FAIL")</x:f>
        <x:v>PASS</x:v>
      </x:c>
    </x:row>
    <x:row r="2180">
      <x:c r="B2180" s="21" t="str">
        <x:v>A2174</x:v>
      </x:c>
      <x:c r="C2180" s="21" t="str">
        <x:v>merit</x:v>
      </x:c>
      <x:c r="D2180" s="21" t="str">
        <x:v>merit 197 weighted formula</x:v>
      </x:c>
      <x:c r="E2180" s="21" t="n">
        <x:f>IF(ABS('Merit Review'!I197-'Merit Review'!G197*'Merit Review'!H197)&lt;0.000001,1,0)</x:f>
        <x:v>1</x:v>
      </x:c>
      <x:c r="F2180" s="21" t="n">
        <x:v>1</x:v>
      </x:c>
      <x:c r="G2180" s="23" t="str">
        <x:f>IF(E2180=F2180,"PASS","FAIL")</x:f>
        <x:v>PASS</x:v>
      </x:c>
    </x:row>
    <x:row r="2181">
      <x:c r="B2181" s="21" t="str">
        <x:v>A2175</x:v>
      </x:c>
      <x:c r="C2181" s="21" t="str">
        <x:v>merit</x:v>
      </x:c>
      <x:c r="D2181" s="21" t="str">
        <x:v>merit 198 weight positive</x:v>
      </x:c>
      <x:c r="E2181" s="21" t="n">
        <x:f>IF('Merit Review'!G198&gt;0,1,0)</x:f>
        <x:v>1</x:v>
      </x:c>
      <x:c r="F2181" s="21" t="n">
        <x:v>1</x:v>
      </x:c>
      <x:c r="G2181" s="23" t="str">
        <x:f>IF(E2181=F2181,"PASS","FAIL")</x:f>
        <x:v>PASS</x:v>
      </x:c>
    </x:row>
    <x:row r="2182">
      <x:c r="B2182" s="21" t="str">
        <x:v>A2176</x:v>
      </x:c>
      <x:c r="C2182" s="21" t="str">
        <x:v>merit</x:v>
      </x:c>
      <x:c r="D2182" s="21" t="str">
        <x:v>merit 198 score bounded</x:v>
      </x:c>
      <x:c r="E2182" s="21" t="n">
        <x:f>IF(AND('Merit Review'!H198&gt;=0,'Merit Review'!H198&lt;=100),1,0)</x:f>
        <x:v>1</x:v>
      </x:c>
      <x:c r="F2182" s="21" t="n">
        <x:v>1</x:v>
      </x:c>
      <x:c r="G2182" s="23" t="str">
        <x:f>IF(E2182=F2182,"PASS","FAIL")</x:f>
        <x:v>PASS</x:v>
      </x:c>
    </x:row>
    <x:row r="2183">
      <x:c r="B2183" s="21" t="str">
        <x:v>A2177</x:v>
      </x:c>
      <x:c r="C2183" s="21" t="str">
        <x:v>merit</x:v>
      </x:c>
      <x:c r="D2183" s="21" t="str">
        <x:v>merit 198 weighted formula</x:v>
      </x:c>
      <x:c r="E2183" s="21" t="n">
        <x:f>IF(ABS('Merit Review'!I198-'Merit Review'!G198*'Merit Review'!H198)&lt;0.000001,1,0)</x:f>
        <x:v>1</x:v>
      </x:c>
      <x:c r="F2183" s="21" t="n">
        <x:v>1</x:v>
      </x:c>
      <x:c r="G2183" s="23" t="str">
        <x:f>IF(E2183=F2183,"PASS","FAIL")</x:f>
        <x:v>PASS</x:v>
      </x:c>
    </x:row>
    <x:row r="2184">
      <x:c r="B2184" s="21" t="str">
        <x:v>A2178</x:v>
      </x:c>
      <x:c r="C2184" s="21" t="str">
        <x:v>merit</x:v>
      </x:c>
      <x:c r="D2184" s="21" t="str">
        <x:v>merit 199 weight positive</x:v>
      </x:c>
      <x:c r="E2184" s="21" t="n">
        <x:f>IF('Merit Review'!G199&gt;0,1,0)</x:f>
        <x:v>1</x:v>
      </x:c>
      <x:c r="F2184" s="21" t="n">
        <x:v>1</x:v>
      </x:c>
      <x:c r="G2184" s="23" t="str">
        <x:f>IF(E2184=F2184,"PASS","FAIL")</x:f>
        <x:v>PASS</x:v>
      </x:c>
    </x:row>
    <x:row r="2185">
      <x:c r="B2185" s="21" t="str">
        <x:v>A2179</x:v>
      </x:c>
      <x:c r="C2185" s="21" t="str">
        <x:v>merit</x:v>
      </x:c>
      <x:c r="D2185" s="21" t="str">
        <x:v>merit 199 score bounded</x:v>
      </x:c>
      <x:c r="E2185" s="21" t="n">
        <x:f>IF(AND('Merit Review'!H199&gt;=0,'Merit Review'!H199&lt;=100),1,0)</x:f>
        <x:v>1</x:v>
      </x:c>
      <x:c r="F2185" s="21" t="n">
        <x:v>1</x:v>
      </x:c>
      <x:c r="G2185" s="23" t="str">
        <x:f>IF(E2185=F2185,"PASS","FAIL")</x:f>
        <x:v>PASS</x:v>
      </x:c>
    </x:row>
    <x:row r="2186">
      <x:c r="B2186" s="21" t="str">
        <x:v>A2180</x:v>
      </x:c>
      <x:c r="C2186" s="21" t="str">
        <x:v>merit</x:v>
      </x:c>
      <x:c r="D2186" s="21" t="str">
        <x:v>merit 199 weighted formula</x:v>
      </x:c>
      <x:c r="E2186" s="21" t="n">
        <x:f>IF(ABS('Merit Review'!I199-'Merit Review'!G199*'Merit Review'!H199)&lt;0.000001,1,0)</x:f>
        <x:v>1</x:v>
      </x:c>
      <x:c r="F2186" s="21" t="n">
        <x:v>1</x:v>
      </x:c>
      <x:c r="G2186" s="23" t="str">
        <x:f>IF(E2186=F2186,"PASS","FAIL")</x:f>
        <x:v>PASS</x:v>
      </x:c>
    </x:row>
    <x:row r="2187">
      <x:c r="B2187" s="21" t="str">
        <x:v>A2181</x:v>
      </x:c>
      <x:c r="C2187" s="21" t="str">
        <x:v>merit</x:v>
      </x:c>
      <x:c r="D2187" s="21" t="str">
        <x:v>merit 200 weight positive</x:v>
      </x:c>
      <x:c r="E2187" s="21" t="n">
        <x:f>IF('Merit Review'!G200&gt;0,1,0)</x:f>
        <x:v>1</x:v>
      </x:c>
      <x:c r="F2187" s="21" t="n">
        <x:v>1</x:v>
      </x:c>
      <x:c r="G2187" s="23" t="str">
        <x:f>IF(E2187=F2187,"PASS","FAIL")</x:f>
        <x:v>PASS</x:v>
      </x:c>
    </x:row>
    <x:row r="2188">
      <x:c r="B2188" s="21" t="str">
        <x:v>A2182</x:v>
      </x:c>
      <x:c r="C2188" s="21" t="str">
        <x:v>merit</x:v>
      </x:c>
      <x:c r="D2188" s="21" t="str">
        <x:v>merit 200 score bounded</x:v>
      </x:c>
      <x:c r="E2188" s="21" t="n">
        <x:f>IF(AND('Merit Review'!H200&gt;=0,'Merit Review'!H200&lt;=100),1,0)</x:f>
        <x:v>1</x:v>
      </x:c>
      <x:c r="F2188" s="21" t="n">
        <x:v>1</x:v>
      </x:c>
      <x:c r="G2188" s="23" t="str">
        <x:f>IF(E2188=F2188,"PASS","FAIL")</x:f>
        <x:v>PASS</x:v>
      </x:c>
    </x:row>
    <x:row r="2189">
      <x:c r="B2189" s="21" t="str">
        <x:v>A2183</x:v>
      </x:c>
      <x:c r="C2189" s="21" t="str">
        <x:v>merit</x:v>
      </x:c>
      <x:c r="D2189" s="21" t="str">
        <x:v>merit 200 weighted formula</x:v>
      </x:c>
      <x:c r="E2189" s="21" t="n">
        <x:f>IF(ABS('Merit Review'!I200-'Merit Review'!G200*'Merit Review'!H200)&lt;0.000001,1,0)</x:f>
        <x:v>1</x:v>
      </x:c>
      <x:c r="F2189" s="21" t="n">
        <x:v>1</x:v>
      </x:c>
      <x:c r="G2189" s="23" t="str">
        <x:f>IF(E2189=F2189,"PASS","FAIL")</x:f>
        <x:v>PASS</x:v>
      </x:c>
    </x:row>
    <x:row r="2190">
      <x:c r="B2190" s="21" t="str">
        <x:v>A2184</x:v>
      </x:c>
      <x:c r="C2190" s="21" t="str">
        <x:v>merit</x:v>
      </x:c>
      <x:c r="D2190" s="21" t="str">
        <x:v>merit 201 weight positive</x:v>
      </x:c>
      <x:c r="E2190" s="21" t="n">
        <x:f>IF('Merit Review'!G201&gt;0,1,0)</x:f>
        <x:v>1</x:v>
      </x:c>
      <x:c r="F2190" s="21" t="n">
        <x:v>1</x:v>
      </x:c>
      <x:c r="G2190" s="23" t="str">
        <x:f>IF(E2190=F2190,"PASS","FAIL")</x:f>
        <x:v>PASS</x:v>
      </x:c>
    </x:row>
    <x:row r="2191">
      <x:c r="B2191" s="21" t="str">
        <x:v>A2185</x:v>
      </x:c>
      <x:c r="C2191" s="21" t="str">
        <x:v>merit</x:v>
      </x:c>
      <x:c r="D2191" s="21" t="str">
        <x:v>merit 201 score bounded</x:v>
      </x:c>
      <x:c r="E2191" s="21" t="n">
        <x:f>IF(AND('Merit Review'!H201&gt;=0,'Merit Review'!H201&lt;=100),1,0)</x:f>
        <x:v>1</x:v>
      </x:c>
      <x:c r="F2191" s="21" t="n">
        <x:v>1</x:v>
      </x:c>
      <x:c r="G2191" s="23" t="str">
        <x:f>IF(E2191=F2191,"PASS","FAIL")</x:f>
        <x:v>PASS</x:v>
      </x:c>
    </x:row>
    <x:row r="2192">
      <x:c r="B2192" s="21" t="str">
        <x:v>A2186</x:v>
      </x:c>
      <x:c r="C2192" s="21" t="str">
        <x:v>merit</x:v>
      </x:c>
      <x:c r="D2192" s="21" t="str">
        <x:v>merit 201 weighted formula</x:v>
      </x:c>
      <x:c r="E2192" s="21" t="n">
        <x:f>IF(ABS('Merit Review'!I201-'Merit Review'!G201*'Merit Review'!H201)&lt;0.000001,1,0)</x:f>
        <x:v>1</x:v>
      </x:c>
      <x:c r="F2192" s="21" t="n">
        <x:v>1</x:v>
      </x:c>
      <x:c r="G2192" s="23" t="str">
        <x:f>IF(E2192=F2192,"PASS","FAIL")</x:f>
        <x:v>PASS</x:v>
      </x:c>
    </x:row>
    <x:row r="2193">
      <x:c r="B2193" s="21" t="str">
        <x:v>A2187</x:v>
      </x:c>
      <x:c r="C2193" s="21" t="str">
        <x:v>merit</x:v>
      </x:c>
      <x:c r="D2193" s="21" t="str">
        <x:v>merit 202 weight positive</x:v>
      </x:c>
      <x:c r="E2193" s="21" t="n">
        <x:f>IF('Merit Review'!G202&gt;0,1,0)</x:f>
        <x:v>1</x:v>
      </x:c>
      <x:c r="F2193" s="21" t="n">
        <x:v>1</x:v>
      </x:c>
      <x:c r="G2193" s="23" t="str">
        <x:f>IF(E2193=F2193,"PASS","FAIL")</x:f>
        <x:v>PASS</x:v>
      </x:c>
    </x:row>
    <x:row r="2194">
      <x:c r="B2194" s="21" t="str">
        <x:v>A2188</x:v>
      </x:c>
      <x:c r="C2194" s="21" t="str">
        <x:v>merit</x:v>
      </x:c>
      <x:c r="D2194" s="21" t="str">
        <x:v>merit 202 score bounded</x:v>
      </x:c>
      <x:c r="E2194" s="21" t="n">
        <x:f>IF(AND('Merit Review'!H202&gt;=0,'Merit Review'!H202&lt;=100),1,0)</x:f>
        <x:v>1</x:v>
      </x:c>
      <x:c r="F2194" s="21" t="n">
        <x:v>1</x:v>
      </x:c>
      <x:c r="G2194" s="23" t="str">
        <x:f>IF(E2194=F2194,"PASS","FAIL")</x:f>
        <x:v>PASS</x:v>
      </x:c>
    </x:row>
    <x:row r="2195">
      <x:c r="B2195" s="21" t="str">
        <x:v>A2189</x:v>
      </x:c>
      <x:c r="C2195" s="21" t="str">
        <x:v>merit</x:v>
      </x:c>
      <x:c r="D2195" s="21" t="str">
        <x:v>merit 202 weighted formula</x:v>
      </x:c>
      <x:c r="E2195" s="21" t="n">
        <x:f>IF(ABS('Merit Review'!I202-'Merit Review'!G202*'Merit Review'!H202)&lt;0.000001,1,0)</x:f>
        <x:v>1</x:v>
      </x:c>
      <x:c r="F2195" s="21" t="n">
        <x:v>1</x:v>
      </x:c>
      <x:c r="G2195" s="23" t="str">
        <x:f>IF(E2195=F2195,"PASS","FAIL")</x:f>
        <x:v>PASS</x:v>
      </x:c>
    </x:row>
    <x:row r="2196">
      <x:c r="B2196" s="21" t="str">
        <x:v>A2190</x:v>
      </x:c>
      <x:c r="C2196" s="21" t="str">
        <x:v>merit</x:v>
      </x:c>
      <x:c r="D2196" s="21" t="str">
        <x:v>merit 203 weight positive</x:v>
      </x:c>
      <x:c r="E2196" s="21" t="n">
        <x:f>IF('Merit Review'!G203&gt;0,1,0)</x:f>
        <x:v>1</x:v>
      </x:c>
      <x:c r="F2196" s="21" t="n">
        <x:v>1</x:v>
      </x:c>
      <x:c r="G2196" s="23" t="str">
        <x:f>IF(E2196=F2196,"PASS","FAIL")</x:f>
        <x:v>PASS</x:v>
      </x:c>
    </x:row>
    <x:row r="2197">
      <x:c r="B2197" s="21" t="str">
        <x:v>A2191</x:v>
      </x:c>
      <x:c r="C2197" s="21" t="str">
        <x:v>merit</x:v>
      </x:c>
      <x:c r="D2197" s="21" t="str">
        <x:v>merit 203 score bounded</x:v>
      </x:c>
      <x:c r="E2197" s="21" t="n">
        <x:f>IF(AND('Merit Review'!H203&gt;=0,'Merit Review'!H203&lt;=100),1,0)</x:f>
        <x:v>1</x:v>
      </x:c>
      <x:c r="F2197" s="21" t="n">
        <x:v>1</x:v>
      </x:c>
      <x:c r="G2197" s="23" t="str">
        <x:f>IF(E2197=F2197,"PASS","FAIL")</x:f>
        <x:v>PASS</x:v>
      </x:c>
    </x:row>
    <x:row r="2198">
      <x:c r="B2198" s="21" t="str">
        <x:v>A2192</x:v>
      </x:c>
      <x:c r="C2198" s="21" t="str">
        <x:v>merit</x:v>
      </x:c>
      <x:c r="D2198" s="21" t="str">
        <x:v>merit 203 weighted formula</x:v>
      </x:c>
      <x:c r="E2198" s="21" t="n">
        <x:f>IF(ABS('Merit Review'!I203-'Merit Review'!G203*'Merit Review'!H203)&lt;0.000001,1,0)</x:f>
        <x:v>1</x:v>
      </x:c>
      <x:c r="F2198" s="21" t="n">
        <x:v>1</x:v>
      </x:c>
      <x:c r="G2198" s="23" t="str">
        <x:f>IF(E2198=F2198,"PASS","FAIL")</x:f>
        <x:v>PASS</x:v>
      </x:c>
    </x:row>
    <x:row r="2199">
      <x:c r="B2199" s="21" t="str">
        <x:v>A2193</x:v>
      </x:c>
      <x:c r="C2199" s="21" t="str">
        <x:v>merit</x:v>
      </x:c>
      <x:c r="D2199" s="21" t="str">
        <x:v>merit 204 weight positive</x:v>
      </x:c>
      <x:c r="E2199" s="21" t="n">
        <x:f>IF('Merit Review'!G204&gt;0,1,0)</x:f>
        <x:v>1</x:v>
      </x:c>
      <x:c r="F2199" s="21" t="n">
        <x:v>1</x:v>
      </x:c>
      <x:c r="G2199" s="23" t="str">
        <x:f>IF(E2199=F2199,"PASS","FAIL")</x:f>
        <x:v>PASS</x:v>
      </x:c>
    </x:row>
    <x:row r="2200">
      <x:c r="B2200" s="21" t="str">
        <x:v>A2194</x:v>
      </x:c>
      <x:c r="C2200" s="21" t="str">
        <x:v>merit</x:v>
      </x:c>
      <x:c r="D2200" s="21" t="str">
        <x:v>merit 204 score bounded</x:v>
      </x:c>
      <x:c r="E2200" s="21" t="n">
        <x:f>IF(AND('Merit Review'!H204&gt;=0,'Merit Review'!H204&lt;=100),1,0)</x:f>
        <x:v>1</x:v>
      </x:c>
      <x:c r="F2200" s="21" t="n">
        <x:v>1</x:v>
      </x:c>
      <x:c r="G2200" s="23" t="str">
        <x:f>IF(E2200=F2200,"PASS","FAIL")</x:f>
        <x:v>PASS</x:v>
      </x:c>
    </x:row>
    <x:row r="2201">
      <x:c r="B2201" s="21" t="str">
        <x:v>A2195</x:v>
      </x:c>
      <x:c r="C2201" s="21" t="str">
        <x:v>merit</x:v>
      </x:c>
      <x:c r="D2201" s="21" t="str">
        <x:v>merit 204 weighted formula</x:v>
      </x:c>
      <x:c r="E2201" s="21" t="n">
        <x:f>IF(ABS('Merit Review'!I204-'Merit Review'!G204*'Merit Review'!H204)&lt;0.000001,1,0)</x:f>
        <x:v>1</x:v>
      </x:c>
      <x:c r="F2201" s="21" t="n">
        <x:v>1</x:v>
      </x:c>
      <x:c r="G2201" s="23" t="str">
        <x:f>IF(E2201=F2201,"PASS","FAIL")</x:f>
        <x:v>PASS</x:v>
      </x:c>
    </x:row>
    <x:row r="2202">
      <x:c r="B2202" s="21" t="str">
        <x:v>A2196</x:v>
      </x:c>
      <x:c r="C2202" s="21" t="str">
        <x:v>rights</x:v>
      </x:c>
      <x:c r="D2202" s="21" t="str">
        <x:v>right 7 required</x:v>
      </x:c>
      <x:c r="E2202" s="21" t="n">
        <x:f>IF('Rights Register'!G7=1,1,0)</x:f>
        <x:v>1</x:v>
      </x:c>
      <x:c r="F2202" s="21" t="n">
        <x:v>1</x:v>
      </x:c>
      <x:c r="G2202" s="23" t="str">
        <x:f>IF(E2202=F2202,"PASS","FAIL")</x:f>
        <x:v>PASS</x:v>
      </x:c>
    </x:row>
    <x:row r="2203">
      <x:c r="B2203" s="21" t="str">
        <x:v>A2197</x:v>
      </x:c>
      <x:c r="C2203" s="21" t="str">
        <x:v>rights</x:v>
      </x:c>
      <x:c r="D2203" s="21" t="str">
        <x:v>right 7 offered</x:v>
      </x:c>
      <x:c r="E2203" s="21" t="n">
        <x:f>IF('Rights Register'!H7=1,1,0)</x:f>
        <x:v>1</x:v>
      </x:c>
      <x:c r="F2203" s="21" t="n">
        <x:v>1</x:v>
      </x:c>
      <x:c r="G2203" s="23" t="str">
        <x:f>IF(E2203=F2203,"PASS","FAIL")</x:f>
        <x:v>PASS</x:v>
      </x:c>
    </x:row>
    <x:row r="2204">
      <x:c r="B2204" s="21" t="str">
        <x:v>A2198</x:v>
      </x:c>
      <x:c r="C2204" s="21" t="str">
        <x:v>rights</x:v>
      </x:c>
      <x:c r="D2204" s="21" t="str">
        <x:v>right 7 evidence open</x:v>
      </x:c>
      <x:c r="E2204" s="21" t="n">
        <x:f>IF('Rights Register'!I7="OPEN",1,0)</x:f>
        <x:v>1</x:v>
      </x:c>
      <x:c r="F2204" s="21" t="n">
        <x:v>1</x:v>
      </x:c>
      <x:c r="G2204" s="23" t="str">
        <x:f>IF(E2204=F2204,"PASS","FAIL")</x:f>
        <x:v>PASS</x:v>
      </x:c>
    </x:row>
    <x:row r="2205">
      <x:c r="B2205" s="21" t="str">
        <x:v>A2199</x:v>
      </x:c>
      <x:c r="C2205" s="21" t="str">
        <x:v>rights</x:v>
      </x:c>
      <x:c r="D2205" s="21" t="str">
        <x:v>right 7 zero credit</x:v>
      </x:c>
      <x:c r="E2205" s="21" t="n">
        <x:f>IF('Rights Register'!J7=0,1,0)</x:f>
        <x:v>1</x:v>
      </x:c>
      <x:c r="F2205" s="21" t="n">
        <x:v>1</x:v>
      </x:c>
      <x:c r="G2205" s="23" t="str">
        <x:f>IF(E2205=F2205,"PASS","FAIL")</x:f>
        <x:v>PASS</x:v>
      </x:c>
    </x:row>
    <x:row r="2206">
      <x:c r="B2206" s="21" t="str">
        <x:v>A2200</x:v>
      </x:c>
      <x:c r="C2206" s="21" t="str">
        <x:v>rights</x:v>
      </x:c>
      <x:c r="D2206" s="21" t="str">
        <x:v>right 8 required</x:v>
      </x:c>
      <x:c r="E2206" s="21" t="n">
        <x:f>IF('Rights Register'!G8=1,1,0)</x:f>
        <x:v>1</x:v>
      </x:c>
      <x:c r="F2206" s="21" t="n">
        <x:v>1</x:v>
      </x:c>
      <x:c r="G2206" s="23" t="str">
        <x:f>IF(E2206=F2206,"PASS","FAIL")</x:f>
        <x:v>PASS</x:v>
      </x:c>
    </x:row>
    <x:row r="2207">
      <x:c r="B2207" s="21" t="str">
        <x:v>A2201</x:v>
      </x:c>
      <x:c r="C2207" s="21" t="str">
        <x:v>rights</x:v>
      </x:c>
      <x:c r="D2207" s="21" t="str">
        <x:v>right 8 offered</x:v>
      </x:c>
      <x:c r="E2207" s="21" t="n">
        <x:f>IF('Rights Register'!H8=1,1,0)</x:f>
        <x:v>1</x:v>
      </x:c>
      <x:c r="F2207" s="21" t="n">
        <x:v>1</x:v>
      </x:c>
      <x:c r="G2207" s="23" t="str">
        <x:f>IF(E2207=F2207,"PASS","FAIL")</x:f>
        <x:v>PASS</x:v>
      </x:c>
    </x:row>
    <x:row r="2208">
      <x:c r="B2208" s="21" t="str">
        <x:v>A2202</x:v>
      </x:c>
      <x:c r="C2208" s="21" t="str">
        <x:v>rights</x:v>
      </x:c>
      <x:c r="D2208" s="21" t="str">
        <x:v>right 8 evidence open</x:v>
      </x:c>
      <x:c r="E2208" s="21" t="n">
        <x:f>IF('Rights Register'!I8="OPEN",1,0)</x:f>
        <x:v>1</x:v>
      </x:c>
      <x:c r="F2208" s="21" t="n">
        <x:v>1</x:v>
      </x:c>
      <x:c r="G2208" s="23" t="str">
        <x:f>IF(E2208=F2208,"PASS","FAIL")</x:f>
        <x:v>PASS</x:v>
      </x:c>
    </x:row>
    <x:row r="2209">
      <x:c r="B2209" s="21" t="str">
        <x:v>A2203</x:v>
      </x:c>
      <x:c r="C2209" s="21" t="str">
        <x:v>rights</x:v>
      </x:c>
      <x:c r="D2209" s="21" t="str">
        <x:v>right 8 zero credit</x:v>
      </x:c>
      <x:c r="E2209" s="21" t="n">
        <x:f>IF('Rights Register'!J8=0,1,0)</x:f>
        <x:v>1</x:v>
      </x:c>
      <x:c r="F2209" s="21" t="n">
        <x:v>1</x:v>
      </x:c>
      <x:c r="G2209" s="23" t="str">
        <x:f>IF(E2209=F2209,"PASS","FAIL")</x:f>
        <x:v>PASS</x:v>
      </x:c>
    </x:row>
    <x:row r="2210">
      <x:c r="B2210" s="21" t="str">
        <x:v>A2204</x:v>
      </x:c>
      <x:c r="C2210" s="21" t="str">
        <x:v>rights</x:v>
      </x:c>
      <x:c r="D2210" s="21" t="str">
        <x:v>right 9 required</x:v>
      </x:c>
      <x:c r="E2210" s="21" t="n">
        <x:f>IF('Rights Register'!G9=1,1,0)</x:f>
        <x:v>1</x:v>
      </x:c>
      <x:c r="F2210" s="21" t="n">
        <x:v>1</x:v>
      </x:c>
      <x:c r="G2210" s="23" t="str">
        <x:f>IF(E2210=F2210,"PASS","FAIL")</x:f>
        <x:v>PASS</x:v>
      </x:c>
    </x:row>
    <x:row r="2211">
      <x:c r="B2211" s="21" t="str">
        <x:v>A2205</x:v>
      </x:c>
      <x:c r="C2211" s="21" t="str">
        <x:v>rights</x:v>
      </x:c>
      <x:c r="D2211" s="21" t="str">
        <x:v>right 9 offered</x:v>
      </x:c>
      <x:c r="E2211" s="21" t="n">
        <x:f>IF('Rights Register'!H9=1,1,0)</x:f>
        <x:v>1</x:v>
      </x:c>
      <x:c r="F2211" s="21" t="n">
        <x:v>1</x:v>
      </x:c>
      <x:c r="G2211" s="23" t="str">
        <x:f>IF(E2211=F2211,"PASS","FAIL")</x:f>
        <x:v>PASS</x:v>
      </x:c>
    </x:row>
    <x:row r="2212">
      <x:c r="B2212" s="21" t="str">
        <x:v>A2206</x:v>
      </x:c>
      <x:c r="C2212" s="21" t="str">
        <x:v>rights</x:v>
      </x:c>
      <x:c r="D2212" s="21" t="str">
        <x:v>right 9 evidence open</x:v>
      </x:c>
      <x:c r="E2212" s="21" t="n">
        <x:f>IF('Rights Register'!I9="OPEN",1,0)</x:f>
        <x:v>1</x:v>
      </x:c>
      <x:c r="F2212" s="21" t="n">
        <x:v>1</x:v>
      </x:c>
      <x:c r="G2212" s="23" t="str">
        <x:f>IF(E2212=F2212,"PASS","FAIL")</x:f>
        <x:v>PASS</x:v>
      </x:c>
    </x:row>
    <x:row r="2213">
      <x:c r="B2213" s="21" t="str">
        <x:v>A2207</x:v>
      </x:c>
      <x:c r="C2213" s="21" t="str">
        <x:v>rights</x:v>
      </x:c>
      <x:c r="D2213" s="21" t="str">
        <x:v>right 9 zero credit</x:v>
      </x:c>
      <x:c r="E2213" s="21" t="n">
        <x:f>IF('Rights Register'!J9=0,1,0)</x:f>
        <x:v>1</x:v>
      </x:c>
      <x:c r="F2213" s="21" t="n">
        <x:v>1</x:v>
      </x:c>
      <x:c r="G2213" s="23" t="str">
        <x:f>IF(E2213=F2213,"PASS","FAIL")</x:f>
        <x:v>PASS</x:v>
      </x:c>
    </x:row>
    <x:row r="2214">
      <x:c r="B2214" s="21" t="str">
        <x:v>A2208</x:v>
      </x:c>
      <x:c r="C2214" s="21" t="str">
        <x:v>rights</x:v>
      </x:c>
      <x:c r="D2214" s="21" t="str">
        <x:v>right 10 required</x:v>
      </x:c>
      <x:c r="E2214" s="21" t="n">
        <x:f>IF('Rights Register'!G10=1,1,0)</x:f>
        <x:v>1</x:v>
      </x:c>
      <x:c r="F2214" s="21" t="n">
        <x:v>1</x:v>
      </x:c>
      <x:c r="G2214" s="23" t="str">
        <x:f>IF(E2214=F2214,"PASS","FAIL")</x:f>
        <x:v>PASS</x:v>
      </x:c>
    </x:row>
    <x:row r="2215">
      <x:c r="B2215" s="21" t="str">
        <x:v>A2209</x:v>
      </x:c>
      <x:c r="C2215" s="21" t="str">
        <x:v>rights</x:v>
      </x:c>
      <x:c r="D2215" s="21" t="str">
        <x:v>right 10 offered</x:v>
      </x:c>
      <x:c r="E2215" s="21" t="n">
        <x:f>IF('Rights Register'!H10=1,1,0)</x:f>
        <x:v>1</x:v>
      </x:c>
      <x:c r="F2215" s="21" t="n">
        <x:v>1</x:v>
      </x:c>
      <x:c r="G2215" s="23" t="str">
        <x:f>IF(E2215=F2215,"PASS","FAIL")</x:f>
        <x:v>PASS</x:v>
      </x:c>
    </x:row>
    <x:row r="2216">
      <x:c r="B2216" s="21" t="str">
        <x:v>A2210</x:v>
      </x:c>
      <x:c r="C2216" s="21" t="str">
        <x:v>rights</x:v>
      </x:c>
      <x:c r="D2216" s="21" t="str">
        <x:v>right 10 evidence open</x:v>
      </x:c>
      <x:c r="E2216" s="21" t="n">
        <x:f>IF('Rights Register'!I10="OPEN",1,0)</x:f>
        <x:v>1</x:v>
      </x:c>
      <x:c r="F2216" s="21" t="n">
        <x:v>1</x:v>
      </x:c>
      <x:c r="G2216" s="23" t="str">
        <x:f>IF(E2216=F2216,"PASS","FAIL")</x:f>
        <x:v>PASS</x:v>
      </x:c>
    </x:row>
    <x:row r="2217">
      <x:c r="B2217" s="21" t="str">
        <x:v>A2211</x:v>
      </x:c>
      <x:c r="C2217" s="21" t="str">
        <x:v>rights</x:v>
      </x:c>
      <x:c r="D2217" s="21" t="str">
        <x:v>right 10 zero credit</x:v>
      </x:c>
      <x:c r="E2217" s="21" t="n">
        <x:f>IF('Rights Register'!J10=0,1,0)</x:f>
        <x:v>1</x:v>
      </x:c>
      <x:c r="F2217" s="21" t="n">
        <x:v>1</x:v>
      </x:c>
      <x:c r="G2217" s="23" t="str">
        <x:f>IF(E2217=F2217,"PASS","FAIL")</x:f>
        <x:v>PASS</x:v>
      </x:c>
    </x:row>
    <x:row r="2218">
      <x:c r="B2218" s="21" t="str">
        <x:v>A2212</x:v>
      </x:c>
      <x:c r="C2218" s="21" t="str">
        <x:v>rights</x:v>
      </x:c>
      <x:c r="D2218" s="21" t="str">
        <x:v>right 11 required</x:v>
      </x:c>
      <x:c r="E2218" s="21" t="n">
        <x:f>IF('Rights Register'!G11=1,1,0)</x:f>
        <x:v>1</x:v>
      </x:c>
      <x:c r="F2218" s="21" t="n">
        <x:v>1</x:v>
      </x:c>
      <x:c r="G2218" s="23" t="str">
        <x:f>IF(E2218=F2218,"PASS","FAIL")</x:f>
        <x:v>PASS</x:v>
      </x:c>
    </x:row>
    <x:row r="2219">
      <x:c r="B2219" s="21" t="str">
        <x:v>A2213</x:v>
      </x:c>
      <x:c r="C2219" s="21" t="str">
        <x:v>rights</x:v>
      </x:c>
      <x:c r="D2219" s="21" t="str">
        <x:v>right 11 offered</x:v>
      </x:c>
      <x:c r="E2219" s="21" t="n">
        <x:f>IF('Rights Register'!H11=1,1,0)</x:f>
        <x:v>1</x:v>
      </x:c>
      <x:c r="F2219" s="21" t="n">
        <x:v>1</x:v>
      </x:c>
      <x:c r="G2219" s="23" t="str">
        <x:f>IF(E2219=F2219,"PASS","FAIL")</x:f>
        <x:v>PASS</x:v>
      </x:c>
    </x:row>
    <x:row r="2220">
      <x:c r="B2220" s="21" t="str">
        <x:v>A2214</x:v>
      </x:c>
      <x:c r="C2220" s="21" t="str">
        <x:v>rights</x:v>
      </x:c>
      <x:c r="D2220" s="21" t="str">
        <x:v>right 11 evidence open</x:v>
      </x:c>
      <x:c r="E2220" s="21" t="n">
        <x:f>IF('Rights Register'!I11="OPEN",1,0)</x:f>
        <x:v>1</x:v>
      </x:c>
      <x:c r="F2220" s="21" t="n">
        <x:v>1</x:v>
      </x:c>
      <x:c r="G2220" s="23" t="str">
        <x:f>IF(E2220=F2220,"PASS","FAIL")</x:f>
        <x:v>PASS</x:v>
      </x:c>
    </x:row>
    <x:row r="2221">
      <x:c r="B2221" s="21" t="str">
        <x:v>A2215</x:v>
      </x:c>
      <x:c r="C2221" s="21" t="str">
        <x:v>rights</x:v>
      </x:c>
      <x:c r="D2221" s="21" t="str">
        <x:v>right 11 zero credit</x:v>
      </x:c>
      <x:c r="E2221" s="21" t="n">
        <x:f>IF('Rights Register'!J11=0,1,0)</x:f>
        <x:v>1</x:v>
      </x:c>
      <x:c r="F2221" s="21" t="n">
        <x:v>1</x:v>
      </x:c>
      <x:c r="G2221" s="23" t="str">
        <x:f>IF(E2221=F2221,"PASS","FAIL")</x:f>
        <x:v>PASS</x:v>
      </x:c>
    </x:row>
    <x:row r="2222">
      <x:c r="B2222" s="21" t="str">
        <x:v>A2216</x:v>
      </x:c>
      <x:c r="C2222" s="21" t="str">
        <x:v>rights</x:v>
      </x:c>
      <x:c r="D2222" s="21" t="str">
        <x:v>right 12 required</x:v>
      </x:c>
      <x:c r="E2222" s="21" t="n">
        <x:f>IF('Rights Register'!G12=1,1,0)</x:f>
        <x:v>1</x:v>
      </x:c>
      <x:c r="F2222" s="21" t="n">
        <x:v>1</x:v>
      </x:c>
      <x:c r="G2222" s="23" t="str">
        <x:f>IF(E2222=F2222,"PASS","FAIL")</x:f>
        <x:v>PASS</x:v>
      </x:c>
    </x:row>
    <x:row r="2223">
      <x:c r="B2223" s="21" t="str">
        <x:v>A2217</x:v>
      </x:c>
      <x:c r="C2223" s="21" t="str">
        <x:v>rights</x:v>
      </x:c>
      <x:c r="D2223" s="21" t="str">
        <x:v>right 12 offered</x:v>
      </x:c>
      <x:c r="E2223" s="21" t="n">
        <x:f>IF('Rights Register'!H12=1,1,0)</x:f>
        <x:v>1</x:v>
      </x:c>
      <x:c r="F2223" s="21" t="n">
        <x:v>1</x:v>
      </x:c>
      <x:c r="G2223" s="23" t="str">
        <x:f>IF(E2223=F2223,"PASS","FAIL")</x:f>
        <x:v>PASS</x:v>
      </x:c>
    </x:row>
    <x:row r="2224">
      <x:c r="B2224" s="21" t="str">
        <x:v>A2218</x:v>
      </x:c>
      <x:c r="C2224" s="21" t="str">
        <x:v>rights</x:v>
      </x:c>
      <x:c r="D2224" s="21" t="str">
        <x:v>right 12 evidence open</x:v>
      </x:c>
      <x:c r="E2224" s="21" t="n">
        <x:f>IF('Rights Register'!I12="OPEN",1,0)</x:f>
        <x:v>1</x:v>
      </x:c>
      <x:c r="F2224" s="21" t="n">
        <x:v>1</x:v>
      </x:c>
      <x:c r="G2224" s="23" t="str">
        <x:f>IF(E2224=F2224,"PASS","FAIL")</x:f>
        <x:v>PASS</x:v>
      </x:c>
    </x:row>
    <x:row r="2225">
      <x:c r="B2225" s="21" t="str">
        <x:v>A2219</x:v>
      </x:c>
      <x:c r="C2225" s="21" t="str">
        <x:v>rights</x:v>
      </x:c>
      <x:c r="D2225" s="21" t="str">
        <x:v>right 12 zero credit</x:v>
      </x:c>
      <x:c r="E2225" s="21" t="n">
        <x:f>IF('Rights Register'!J12=0,1,0)</x:f>
        <x:v>1</x:v>
      </x:c>
      <x:c r="F2225" s="21" t="n">
        <x:v>1</x:v>
      </x:c>
      <x:c r="G2225" s="23" t="str">
        <x:f>IF(E2225=F2225,"PASS","FAIL")</x:f>
        <x:v>PASS</x:v>
      </x:c>
    </x:row>
    <x:row r="2226">
      <x:c r="B2226" s="21" t="str">
        <x:v>A2220</x:v>
      </x:c>
      <x:c r="C2226" s="21" t="str">
        <x:v>rights</x:v>
      </x:c>
      <x:c r="D2226" s="21" t="str">
        <x:v>right 13 required</x:v>
      </x:c>
      <x:c r="E2226" s="21" t="n">
        <x:f>IF('Rights Register'!G13=1,1,0)</x:f>
        <x:v>1</x:v>
      </x:c>
      <x:c r="F2226" s="21" t="n">
        <x:v>1</x:v>
      </x:c>
      <x:c r="G2226" s="23" t="str">
        <x:f>IF(E2226=F2226,"PASS","FAIL")</x:f>
        <x:v>PASS</x:v>
      </x:c>
    </x:row>
    <x:row r="2227">
      <x:c r="B2227" s="21" t="str">
        <x:v>A2221</x:v>
      </x:c>
      <x:c r="C2227" s="21" t="str">
        <x:v>rights</x:v>
      </x:c>
      <x:c r="D2227" s="21" t="str">
        <x:v>right 13 offered</x:v>
      </x:c>
      <x:c r="E2227" s="21" t="n">
        <x:f>IF('Rights Register'!H13=1,1,0)</x:f>
        <x:v>1</x:v>
      </x:c>
      <x:c r="F2227" s="21" t="n">
        <x:v>1</x:v>
      </x:c>
      <x:c r="G2227" s="23" t="str">
        <x:f>IF(E2227=F2227,"PASS","FAIL")</x:f>
        <x:v>PASS</x:v>
      </x:c>
    </x:row>
    <x:row r="2228">
      <x:c r="B2228" s="21" t="str">
        <x:v>A2222</x:v>
      </x:c>
      <x:c r="C2228" s="21" t="str">
        <x:v>rights</x:v>
      </x:c>
      <x:c r="D2228" s="21" t="str">
        <x:v>right 13 evidence open</x:v>
      </x:c>
      <x:c r="E2228" s="21" t="n">
        <x:f>IF('Rights Register'!I13="OPEN",1,0)</x:f>
        <x:v>1</x:v>
      </x:c>
      <x:c r="F2228" s="21" t="n">
        <x:v>1</x:v>
      </x:c>
      <x:c r="G2228" s="23" t="str">
        <x:f>IF(E2228=F2228,"PASS","FAIL")</x:f>
        <x:v>PASS</x:v>
      </x:c>
    </x:row>
    <x:row r="2229">
      <x:c r="B2229" s="21" t="str">
        <x:v>A2223</x:v>
      </x:c>
      <x:c r="C2229" s="21" t="str">
        <x:v>rights</x:v>
      </x:c>
      <x:c r="D2229" s="21" t="str">
        <x:v>right 13 zero credit</x:v>
      </x:c>
      <x:c r="E2229" s="21" t="n">
        <x:f>IF('Rights Register'!J13=0,1,0)</x:f>
        <x:v>1</x:v>
      </x:c>
      <x:c r="F2229" s="21" t="n">
        <x:v>1</x:v>
      </x:c>
      <x:c r="G2229" s="23" t="str">
        <x:f>IF(E2229=F2229,"PASS","FAIL")</x:f>
        <x:v>PASS</x:v>
      </x:c>
    </x:row>
    <x:row r="2230">
      <x:c r="B2230" s="21" t="str">
        <x:v>A2224</x:v>
      </x:c>
      <x:c r="C2230" s="21" t="str">
        <x:v>rights</x:v>
      </x:c>
      <x:c r="D2230" s="21" t="str">
        <x:v>right 14 required</x:v>
      </x:c>
      <x:c r="E2230" s="21" t="n">
        <x:f>IF('Rights Register'!G14=1,1,0)</x:f>
        <x:v>1</x:v>
      </x:c>
      <x:c r="F2230" s="21" t="n">
        <x:v>1</x:v>
      </x:c>
      <x:c r="G2230" s="23" t="str">
        <x:f>IF(E2230=F2230,"PASS","FAIL")</x:f>
        <x:v>PASS</x:v>
      </x:c>
    </x:row>
    <x:row r="2231">
      <x:c r="B2231" s="21" t="str">
        <x:v>A2225</x:v>
      </x:c>
      <x:c r="C2231" s="21" t="str">
        <x:v>rights</x:v>
      </x:c>
      <x:c r="D2231" s="21" t="str">
        <x:v>right 14 offered</x:v>
      </x:c>
      <x:c r="E2231" s="21" t="n">
        <x:f>IF('Rights Register'!H14=1,1,0)</x:f>
        <x:v>1</x:v>
      </x:c>
      <x:c r="F2231" s="21" t="n">
        <x:v>1</x:v>
      </x:c>
      <x:c r="G2231" s="23" t="str">
        <x:f>IF(E2231=F2231,"PASS","FAIL")</x:f>
        <x:v>PASS</x:v>
      </x:c>
    </x:row>
    <x:row r="2232">
      <x:c r="B2232" s="21" t="str">
        <x:v>A2226</x:v>
      </x:c>
      <x:c r="C2232" s="21" t="str">
        <x:v>rights</x:v>
      </x:c>
      <x:c r="D2232" s="21" t="str">
        <x:v>right 14 evidence open</x:v>
      </x:c>
      <x:c r="E2232" s="21" t="n">
        <x:f>IF('Rights Register'!I14="OPEN",1,0)</x:f>
        <x:v>1</x:v>
      </x:c>
      <x:c r="F2232" s="21" t="n">
        <x:v>1</x:v>
      </x:c>
      <x:c r="G2232" s="23" t="str">
        <x:f>IF(E2232=F2232,"PASS","FAIL")</x:f>
        <x:v>PASS</x:v>
      </x:c>
    </x:row>
    <x:row r="2233">
      <x:c r="B2233" s="21" t="str">
        <x:v>A2227</x:v>
      </x:c>
      <x:c r="C2233" s="21" t="str">
        <x:v>rights</x:v>
      </x:c>
      <x:c r="D2233" s="21" t="str">
        <x:v>right 14 zero credit</x:v>
      </x:c>
      <x:c r="E2233" s="21" t="n">
        <x:f>IF('Rights Register'!J14=0,1,0)</x:f>
        <x:v>1</x:v>
      </x:c>
      <x:c r="F2233" s="21" t="n">
        <x:v>1</x:v>
      </x:c>
      <x:c r="G2233" s="23" t="str">
        <x:f>IF(E2233=F2233,"PASS","FAIL")</x:f>
        <x:v>PASS</x:v>
      </x:c>
    </x:row>
    <x:row r="2234">
      <x:c r="B2234" s="21" t="str">
        <x:v>A2228</x:v>
      </x:c>
      <x:c r="C2234" s="21" t="str">
        <x:v>rights</x:v>
      </x:c>
      <x:c r="D2234" s="21" t="str">
        <x:v>right 15 required</x:v>
      </x:c>
      <x:c r="E2234" s="21" t="n">
        <x:f>IF('Rights Register'!G15=1,1,0)</x:f>
        <x:v>1</x:v>
      </x:c>
      <x:c r="F2234" s="21" t="n">
        <x:v>1</x:v>
      </x:c>
      <x:c r="G2234" s="23" t="str">
        <x:f>IF(E2234=F2234,"PASS","FAIL")</x:f>
        <x:v>PASS</x:v>
      </x:c>
    </x:row>
    <x:row r="2235">
      <x:c r="B2235" s="21" t="str">
        <x:v>A2229</x:v>
      </x:c>
      <x:c r="C2235" s="21" t="str">
        <x:v>rights</x:v>
      </x:c>
      <x:c r="D2235" s="21" t="str">
        <x:v>right 15 offered</x:v>
      </x:c>
      <x:c r="E2235" s="21" t="n">
        <x:f>IF('Rights Register'!H15=1,1,0)</x:f>
        <x:v>1</x:v>
      </x:c>
      <x:c r="F2235" s="21" t="n">
        <x:v>1</x:v>
      </x:c>
      <x:c r="G2235" s="23" t="str">
        <x:f>IF(E2235=F2235,"PASS","FAIL")</x:f>
        <x:v>PASS</x:v>
      </x:c>
    </x:row>
    <x:row r="2236">
      <x:c r="B2236" s="21" t="str">
        <x:v>A2230</x:v>
      </x:c>
      <x:c r="C2236" s="21" t="str">
        <x:v>rights</x:v>
      </x:c>
      <x:c r="D2236" s="21" t="str">
        <x:v>right 15 evidence open</x:v>
      </x:c>
      <x:c r="E2236" s="21" t="n">
        <x:f>IF('Rights Register'!I15="OPEN",1,0)</x:f>
        <x:v>1</x:v>
      </x:c>
      <x:c r="F2236" s="21" t="n">
        <x:v>1</x:v>
      </x:c>
      <x:c r="G2236" s="23" t="str">
        <x:f>IF(E2236=F2236,"PASS","FAIL")</x:f>
        <x:v>PASS</x:v>
      </x:c>
    </x:row>
    <x:row r="2237">
      <x:c r="B2237" s="21" t="str">
        <x:v>A2231</x:v>
      </x:c>
      <x:c r="C2237" s="21" t="str">
        <x:v>rights</x:v>
      </x:c>
      <x:c r="D2237" s="21" t="str">
        <x:v>right 15 zero credit</x:v>
      </x:c>
      <x:c r="E2237" s="21" t="n">
        <x:f>IF('Rights Register'!J15=0,1,0)</x:f>
        <x:v>1</x:v>
      </x:c>
      <x:c r="F2237" s="21" t="n">
        <x:v>1</x:v>
      </x:c>
      <x:c r="G2237" s="23" t="str">
        <x:f>IF(E2237=F2237,"PASS","FAIL")</x:f>
        <x:v>PASS</x:v>
      </x:c>
    </x:row>
    <x:row r="2238">
      <x:c r="B2238" s="21" t="str">
        <x:v>A2232</x:v>
      </x:c>
      <x:c r="C2238" s="21" t="str">
        <x:v>rights</x:v>
      </x:c>
      <x:c r="D2238" s="21" t="str">
        <x:v>right 16 required</x:v>
      </x:c>
      <x:c r="E2238" s="21" t="n">
        <x:f>IF('Rights Register'!G16=1,1,0)</x:f>
        <x:v>1</x:v>
      </x:c>
      <x:c r="F2238" s="21" t="n">
        <x:v>1</x:v>
      </x:c>
      <x:c r="G2238" s="23" t="str">
        <x:f>IF(E2238=F2238,"PASS","FAIL")</x:f>
        <x:v>PASS</x:v>
      </x:c>
    </x:row>
    <x:row r="2239">
      <x:c r="B2239" s="21" t="str">
        <x:v>A2233</x:v>
      </x:c>
      <x:c r="C2239" s="21" t="str">
        <x:v>rights</x:v>
      </x:c>
      <x:c r="D2239" s="21" t="str">
        <x:v>right 16 offered</x:v>
      </x:c>
      <x:c r="E2239" s="21" t="n">
        <x:f>IF('Rights Register'!H16=1,1,0)</x:f>
        <x:v>1</x:v>
      </x:c>
      <x:c r="F2239" s="21" t="n">
        <x:v>1</x:v>
      </x:c>
      <x:c r="G2239" s="23" t="str">
        <x:f>IF(E2239=F2239,"PASS","FAIL")</x:f>
        <x:v>PASS</x:v>
      </x:c>
    </x:row>
    <x:row r="2240">
      <x:c r="B2240" s="21" t="str">
        <x:v>A2234</x:v>
      </x:c>
      <x:c r="C2240" s="21" t="str">
        <x:v>rights</x:v>
      </x:c>
      <x:c r="D2240" s="21" t="str">
        <x:v>right 16 evidence open</x:v>
      </x:c>
      <x:c r="E2240" s="21" t="n">
        <x:f>IF('Rights Register'!I16="OPEN",1,0)</x:f>
        <x:v>1</x:v>
      </x:c>
      <x:c r="F2240" s="21" t="n">
        <x:v>1</x:v>
      </x:c>
      <x:c r="G2240" s="23" t="str">
        <x:f>IF(E2240=F2240,"PASS","FAIL")</x:f>
        <x:v>PASS</x:v>
      </x:c>
    </x:row>
    <x:row r="2241">
      <x:c r="B2241" s="21" t="str">
        <x:v>A2235</x:v>
      </x:c>
      <x:c r="C2241" s="21" t="str">
        <x:v>rights</x:v>
      </x:c>
      <x:c r="D2241" s="21" t="str">
        <x:v>right 16 zero credit</x:v>
      </x:c>
      <x:c r="E2241" s="21" t="n">
        <x:f>IF('Rights Register'!J16=0,1,0)</x:f>
        <x:v>1</x:v>
      </x:c>
      <x:c r="F2241" s="21" t="n">
        <x:v>1</x:v>
      </x:c>
      <x:c r="G2241" s="23" t="str">
        <x:f>IF(E2241=F2241,"PASS","FAIL")</x:f>
        <x:v>PASS</x:v>
      </x:c>
    </x:row>
    <x:row r="2242">
      <x:c r="B2242" s="21" t="str">
        <x:v>A2236</x:v>
      </x:c>
      <x:c r="C2242" s="21" t="str">
        <x:v>rights</x:v>
      </x:c>
      <x:c r="D2242" s="21" t="str">
        <x:v>right 17 required</x:v>
      </x:c>
      <x:c r="E2242" s="21" t="n">
        <x:f>IF('Rights Register'!G17=1,1,0)</x:f>
        <x:v>1</x:v>
      </x:c>
      <x:c r="F2242" s="21" t="n">
        <x:v>1</x:v>
      </x:c>
      <x:c r="G2242" s="23" t="str">
        <x:f>IF(E2242=F2242,"PASS","FAIL")</x:f>
        <x:v>PASS</x:v>
      </x:c>
    </x:row>
    <x:row r="2243">
      <x:c r="B2243" s="21" t="str">
        <x:v>A2237</x:v>
      </x:c>
      <x:c r="C2243" s="21" t="str">
        <x:v>rights</x:v>
      </x:c>
      <x:c r="D2243" s="21" t="str">
        <x:v>right 17 offered</x:v>
      </x:c>
      <x:c r="E2243" s="21" t="n">
        <x:f>IF('Rights Register'!H17=1,1,0)</x:f>
        <x:v>1</x:v>
      </x:c>
      <x:c r="F2243" s="21" t="n">
        <x:v>1</x:v>
      </x:c>
      <x:c r="G2243" s="23" t="str">
        <x:f>IF(E2243=F2243,"PASS","FAIL")</x:f>
        <x:v>PASS</x:v>
      </x:c>
    </x:row>
    <x:row r="2244">
      <x:c r="B2244" s="21" t="str">
        <x:v>A2238</x:v>
      </x:c>
      <x:c r="C2244" s="21" t="str">
        <x:v>rights</x:v>
      </x:c>
      <x:c r="D2244" s="21" t="str">
        <x:v>right 17 evidence open</x:v>
      </x:c>
      <x:c r="E2244" s="21" t="n">
        <x:f>IF('Rights Register'!I17="OPEN",1,0)</x:f>
        <x:v>1</x:v>
      </x:c>
      <x:c r="F2244" s="21" t="n">
        <x:v>1</x:v>
      </x:c>
      <x:c r="G2244" s="23" t="str">
        <x:f>IF(E2244=F2244,"PASS","FAIL")</x:f>
        <x:v>PASS</x:v>
      </x:c>
    </x:row>
    <x:row r="2245">
      <x:c r="B2245" s="21" t="str">
        <x:v>A2239</x:v>
      </x:c>
      <x:c r="C2245" s="21" t="str">
        <x:v>rights</x:v>
      </x:c>
      <x:c r="D2245" s="21" t="str">
        <x:v>right 17 zero credit</x:v>
      </x:c>
      <x:c r="E2245" s="21" t="n">
        <x:f>IF('Rights Register'!J17=0,1,0)</x:f>
        <x:v>1</x:v>
      </x:c>
      <x:c r="F2245" s="21" t="n">
        <x:v>1</x:v>
      </x:c>
      <x:c r="G2245" s="23" t="str">
        <x:f>IF(E2245=F2245,"PASS","FAIL")</x:f>
        <x:v>PASS</x:v>
      </x:c>
    </x:row>
    <x:row r="2246">
      <x:c r="B2246" s="21" t="str">
        <x:v>A2240</x:v>
      </x:c>
      <x:c r="C2246" s="21" t="str">
        <x:v>rights</x:v>
      </x:c>
      <x:c r="D2246" s="21" t="str">
        <x:v>right 18 required</x:v>
      </x:c>
      <x:c r="E2246" s="21" t="n">
        <x:f>IF('Rights Register'!G18=1,1,0)</x:f>
        <x:v>1</x:v>
      </x:c>
      <x:c r="F2246" s="21" t="n">
        <x:v>1</x:v>
      </x:c>
      <x:c r="G2246" s="23" t="str">
        <x:f>IF(E2246=F2246,"PASS","FAIL")</x:f>
        <x:v>PASS</x:v>
      </x:c>
    </x:row>
    <x:row r="2247">
      <x:c r="B2247" s="21" t="str">
        <x:v>A2241</x:v>
      </x:c>
      <x:c r="C2247" s="21" t="str">
        <x:v>rights</x:v>
      </x:c>
      <x:c r="D2247" s="21" t="str">
        <x:v>right 18 offered</x:v>
      </x:c>
      <x:c r="E2247" s="21" t="n">
        <x:f>IF('Rights Register'!H18=1,1,0)</x:f>
        <x:v>1</x:v>
      </x:c>
      <x:c r="F2247" s="21" t="n">
        <x:v>1</x:v>
      </x:c>
      <x:c r="G2247" s="23" t="str">
        <x:f>IF(E2247=F2247,"PASS","FAIL")</x:f>
        <x:v>PASS</x:v>
      </x:c>
    </x:row>
    <x:row r="2248">
      <x:c r="B2248" s="21" t="str">
        <x:v>A2242</x:v>
      </x:c>
      <x:c r="C2248" s="21" t="str">
        <x:v>rights</x:v>
      </x:c>
      <x:c r="D2248" s="21" t="str">
        <x:v>right 18 evidence open</x:v>
      </x:c>
      <x:c r="E2248" s="21" t="n">
        <x:f>IF('Rights Register'!I18="OPEN",1,0)</x:f>
        <x:v>1</x:v>
      </x:c>
      <x:c r="F2248" s="21" t="n">
        <x:v>1</x:v>
      </x:c>
      <x:c r="G2248" s="23" t="str">
        <x:f>IF(E2248=F2248,"PASS","FAIL")</x:f>
        <x:v>PASS</x:v>
      </x:c>
    </x:row>
    <x:row r="2249">
      <x:c r="B2249" s="21" t="str">
        <x:v>A2243</x:v>
      </x:c>
      <x:c r="C2249" s="21" t="str">
        <x:v>rights</x:v>
      </x:c>
      <x:c r="D2249" s="21" t="str">
        <x:v>right 18 zero credit</x:v>
      </x:c>
      <x:c r="E2249" s="21" t="n">
        <x:f>IF('Rights Register'!J18=0,1,0)</x:f>
        <x:v>1</x:v>
      </x:c>
      <x:c r="F2249" s="21" t="n">
        <x:v>1</x:v>
      </x:c>
      <x:c r="G2249" s="23" t="str">
        <x:f>IF(E2249=F2249,"PASS","FAIL")</x:f>
        <x:v>PASS</x:v>
      </x:c>
    </x:row>
    <x:row r="2250">
      <x:c r="B2250" s="21" t="str">
        <x:v>A2244</x:v>
      </x:c>
      <x:c r="C2250" s="21" t="str">
        <x:v>rights</x:v>
      </x:c>
      <x:c r="D2250" s="21" t="str">
        <x:v>right 19 required</x:v>
      </x:c>
      <x:c r="E2250" s="21" t="n">
        <x:f>IF('Rights Register'!G19=1,1,0)</x:f>
        <x:v>1</x:v>
      </x:c>
      <x:c r="F2250" s="21" t="n">
        <x:v>1</x:v>
      </x:c>
      <x:c r="G2250" s="23" t="str">
        <x:f>IF(E2250=F2250,"PASS","FAIL")</x:f>
        <x:v>PASS</x:v>
      </x:c>
    </x:row>
    <x:row r="2251">
      <x:c r="B2251" s="21" t="str">
        <x:v>A2245</x:v>
      </x:c>
      <x:c r="C2251" s="21" t="str">
        <x:v>rights</x:v>
      </x:c>
      <x:c r="D2251" s="21" t="str">
        <x:v>right 19 offered</x:v>
      </x:c>
      <x:c r="E2251" s="21" t="n">
        <x:f>IF('Rights Register'!H19=1,1,0)</x:f>
        <x:v>1</x:v>
      </x:c>
      <x:c r="F2251" s="21" t="n">
        <x:v>1</x:v>
      </x:c>
      <x:c r="G2251" s="23" t="str">
        <x:f>IF(E2251=F2251,"PASS","FAIL")</x:f>
        <x:v>PASS</x:v>
      </x:c>
    </x:row>
    <x:row r="2252">
      <x:c r="B2252" s="21" t="str">
        <x:v>A2246</x:v>
      </x:c>
      <x:c r="C2252" s="21" t="str">
        <x:v>rights</x:v>
      </x:c>
      <x:c r="D2252" s="21" t="str">
        <x:v>right 19 evidence open</x:v>
      </x:c>
      <x:c r="E2252" s="21" t="n">
        <x:f>IF('Rights Register'!I19="OPEN",1,0)</x:f>
        <x:v>1</x:v>
      </x:c>
      <x:c r="F2252" s="21" t="n">
        <x:v>1</x:v>
      </x:c>
      <x:c r="G2252" s="23" t="str">
        <x:f>IF(E2252=F2252,"PASS","FAIL")</x:f>
        <x:v>PASS</x:v>
      </x:c>
    </x:row>
    <x:row r="2253">
      <x:c r="B2253" s="21" t="str">
        <x:v>A2247</x:v>
      </x:c>
      <x:c r="C2253" s="21" t="str">
        <x:v>rights</x:v>
      </x:c>
      <x:c r="D2253" s="21" t="str">
        <x:v>right 19 zero credit</x:v>
      </x:c>
      <x:c r="E2253" s="21" t="n">
        <x:f>IF('Rights Register'!J19=0,1,0)</x:f>
        <x:v>1</x:v>
      </x:c>
      <x:c r="F2253" s="21" t="n">
        <x:v>1</x:v>
      </x:c>
      <x:c r="G2253" s="23" t="str">
        <x:f>IF(E2253=F2253,"PASS","FAIL")</x:f>
        <x:v>PASS</x:v>
      </x:c>
    </x:row>
    <x:row r="2254">
      <x:c r="B2254" s="21" t="str">
        <x:v>A2248</x:v>
      </x:c>
      <x:c r="C2254" s="21" t="str">
        <x:v>rights</x:v>
      </x:c>
      <x:c r="D2254" s="21" t="str">
        <x:v>right 20 required</x:v>
      </x:c>
      <x:c r="E2254" s="21" t="n">
        <x:f>IF('Rights Register'!G20=1,1,0)</x:f>
        <x:v>1</x:v>
      </x:c>
      <x:c r="F2254" s="21" t="n">
        <x:v>1</x:v>
      </x:c>
      <x:c r="G2254" s="23" t="str">
        <x:f>IF(E2254=F2254,"PASS","FAIL")</x:f>
        <x:v>PASS</x:v>
      </x:c>
    </x:row>
    <x:row r="2255">
      <x:c r="B2255" s="21" t="str">
        <x:v>A2249</x:v>
      </x:c>
      <x:c r="C2255" s="21" t="str">
        <x:v>rights</x:v>
      </x:c>
      <x:c r="D2255" s="21" t="str">
        <x:v>right 20 offered</x:v>
      </x:c>
      <x:c r="E2255" s="21" t="n">
        <x:f>IF('Rights Register'!H20=1,1,0)</x:f>
        <x:v>1</x:v>
      </x:c>
      <x:c r="F2255" s="21" t="n">
        <x:v>1</x:v>
      </x:c>
      <x:c r="G2255" s="23" t="str">
        <x:f>IF(E2255=F2255,"PASS","FAIL")</x:f>
        <x:v>PASS</x:v>
      </x:c>
    </x:row>
    <x:row r="2256">
      <x:c r="B2256" s="21" t="str">
        <x:v>A2250</x:v>
      </x:c>
      <x:c r="C2256" s="21" t="str">
        <x:v>rights</x:v>
      </x:c>
      <x:c r="D2256" s="21" t="str">
        <x:v>right 20 evidence open</x:v>
      </x:c>
      <x:c r="E2256" s="21" t="n">
        <x:f>IF('Rights Register'!I20="OPEN",1,0)</x:f>
        <x:v>1</x:v>
      </x:c>
      <x:c r="F2256" s="21" t="n">
        <x:v>1</x:v>
      </x:c>
      <x:c r="G2256" s="23" t="str">
        <x:f>IF(E2256=F2256,"PASS","FAIL")</x:f>
        <x:v>PASS</x:v>
      </x:c>
    </x:row>
    <x:row r="2257">
      <x:c r="B2257" s="21" t="str">
        <x:v>A2251</x:v>
      </x:c>
      <x:c r="C2257" s="21" t="str">
        <x:v>rights</x:v>
      </x:c>
      <x:c r="D2257" s="21" t="str">
        <x:v>right 20 zero credit</x:v>
      </x:c>
      <x:c r="E2257" s="21" t="n">
        <x:f>IF('Rights Register'!J20=0,1,0)</x:f>
        <x:v>1</x:v>
      </x:c>
      <x:c r="F2257" s="21" t="n">
        <x:v>1</x:v>
      </x:c>
      <x:c r="G2257" s="23" t="str">
        <x:f>IF(E2257=F2257,"PASS","FAIL")</x:f>
        <x:v>PASS</x:v>
      </x:c>
    </x:row>
    <x:row r="2258">
      <x:c r="B2258" s="21" t="str">
        <x:v>A2252</x:v>
      </x:c>
      <x:c r="C2258" s="21" t="str">
        <x:v>rights</x:v>
      </x:c>
      <x:c r="D2258" s="21" t="str">
        <x:v>right 21 required</x:v>
      </x:c>
      <x:c r="E2258" s="21" t="n">
        <x:f>IF('Rights Register'!G21=1,1,0)</x:f>
        <x:v>1</x:v>
      </x:c>
      <x:c r="F2258" s="21" t="n">
        <x:v>1</x:v>
      </x:c>
      <x:c r="G2258" s="23" t="str">
        <x:f>IF(E2258=F2258,"PASS","FAIL")</x:f>
        <x:v>PASS</x:v>
      </x:c>
    </x:row>
    <x:row r="2259">
      <x:c r="B2259" s="21" t="str">
        <x:v>A2253</x:v>
      </x:c>
      <x:c r="C2259" s="21" t="str">
        <x:v>rights</x:v>
      </x:c>
      <x:c r="D2259" s="21" t="str">
        <x:v>right 21 offered</x:v>
      </x:c>
      <x:c r="E2259" s="21" t="n">
        <x:f>IF('Rights Register'!H21=1,1,0)</x:f>
        <x:v>1</x:v>
      </x:c>
      <x:c r="F2259" s="21" t="n">
        <x:v>1</x:v>
      </x:c>
      <x:c r="G2259" s="23" t="str">
        <x:f>IF(E2259=F2259,"PASS","FAIL")</x:f>
        <x:v>PASS</x:v>
      </x:c>
    </x:row>
    <x:row r="2260">
      <x:c r="B2260" s="21" t="str">
        <x:v>A2254</x:v>
      </x:c>
      <x:c r="C2260" s="21" t="str">
        <x:v>rights</x:v>
      </x:c>
      <x:c r="D2260" s="21" t="str">
        <x:v>right 21 evidence open</x:v>
      </x:c>
      <x:c r="E2260" s="21" t="n">
        <x:f>IF('Rights Register'!I21="OPEN",1,0)</x:f>
        <x:v>1</x:v>
      </x:c>
      <x:c r="F2260" s="21" t="n">
        <x:v>1</x:v>
      </x:c>
      <x:c r="G2260" s="23" t="str">
        <x:f>IF(E2260=F2260,"PASS","FAIL")</x:f>
        <x:v>PASS</x:v>
      </x:c>
    </x:row>
    <x:row r="2261">
      <x:c r="B2261" s="21" t="str">
        <x:v>A2255</x:v>
      </x:c>
      <x:c r="C2261" s="21" t="str">
        <x:v>rights</x:v>
      </x:c>
      <x:c r="D2261" s="21" t="str">
        <x:v>right 21 zero credit</x:v>
      </x:c>
      <x:c r="E2261" s="21" t="n">
        <x:f>IF('Rights Register'!J21=0,1,0)</x:f>
        <x:v>1</x:v>
      </x:c>
      <x:c r="F2261" s="21" t="n">
        <x:v>1</x:v>
      </x:c>
      <x:c r="G2261" s="23" t="str">
        <x:f>IF(E2261=F2261,"PASS","FAIL")</x:f>
        <x:v>PASS</x:v>
      </x:c>
    </x:row>
    <x:row r="2262">
      <x:c r="B2262" s="21" t="str">
        <x:v>A2256</x:v>
      </x:c>
      <x:c r="C2262" s="21" t="str">
        <x:v>rights</x:v>
      </x:c>
      <x:c r="D2262" s="21" t="str">
        <x:v>right 22 required</x:v>
      </x:c>
      <x:c r="E2262" s="21" t="n">
        <x:f>IF('Rights Register'!G22=1,1,0)</x:f>
        <x:v>1</x:v>
      </x:c>
      <x:c r="F2262" s="21" t="n">
        <x:v>1</x:v>
      </x:c>
      <x:c r="G2262" s="23" t="str">
        <x:f>IF(E2262=F2262,"PASS","FAIL")</x:f>
        <x:v>PASS</x:v>
      </x:c>
    </x:row>
    <x:row r="2263">
      <x:c r="B2263" s="21" t="str">
        <x:v>A2257</x:v>
      </x:c>
      <x:c r="C2263" s="21" t="str">
        <x:v>rights</x:v>
      </x:c>
      <x:c r="D2263" s="21" t="str">
        <x:v>right 22 offered</x:v>
      </x:c>
      <x:c r="E2263" s="21" t="n">
        <x:f>IF('Rights Register'!H22=1,1,0)</x:f>
        <x:v>1</x:v>
      </x:c>
      <x:c r="F2263" s="21" t="n">
        <x:v>1</x:v>
      </x:c>
      <x:c r="G2263" s="23" t="str">
        <x:f>IF(E2263=F2263,"PASS","FAIL")</x:f>
        <x:v>PASS</x:v>
      </x:c>
    </x:row>
    <x:row r="2264">
      <x:c r="B2264" s="21" t="str">
        <x:v>A2258</x:v>
      </x:c>
      <x:c r="C2264" s="21" t="str">
        <x:v>rights</x:v>
      </x:c>
      <x:c r="D2264" s="21" t="str">
        <x:v>right 22 evidence open</x:v>
      </x:c>
      <x:c r="E2264" s="21" t="n">
        <x:f>IF('Rights Register'!I22="OPEN",1,0)</x:f>
        <x:v>1</x:v>
      </x:c>
      <x:c r="F2264" s="21" t="n">
        <x:v>1</x:v>
      </x:c>
      <x:c r="G2264" s="23" t="str">
        <x:f>IF(E2264=F2264,"PASS","FAIL")</x:f>
        <x:v>PASS</x:v>
      </x:c>
    </x:row>
    <x:row r="2265">
      <x:c r="B2265" s="21" t="str">
        <x:v>A2259</x:v>
      </x:c>
      <x:c r="C2265" s="21" t="str">
        <x:v>rights</x:v>
      </x:c>
      <x:c r="D2265" s="21" t="str">
        <x:v>right 22 zero credit</x:v>
      </x:c>
      <x:c r="E2265" s="21" t="n">
        <x:f>IF('Rights Register'!J22=0,1,0)</x:f>
        <x:v>1</x:v>
      </x:c>
      <x:c r="F2265" s="21" t="n">
        <x:v>1</x:v>
      </x:c>
      <x:c r="G2265" s="23" t="str">
        <x:f>IF(E2265=F2265,"PASS","FAIL")</x:f>
        <x:v>PASS</x:v>
      </x:c>
    </x:row>
    <x:row r="2266">
      <x:c r="B2266" s="21" t="str">
        <x:v>A2260</x:v>
      </x:c>
      <x:c r="C2266" s="21" t="str">
        <x:v>rights</x:v>
      </x:c>
      <x:c r="D2266" s="21" t="str">
        <x:v>right 23 required</x:v>
      </x:c>
      <x:c r="E2266" s="21" t="n">
        <x:f>IF('Rights Register'!G23=1,1,0)</x:f>
        <x:v>1</x:v>
      </x:c>
      <x:c r="F2266" s="21" t="n">
        <x:v>1</x:v>
      </x:c>
      <x:c r="G2266" s="23" t="str">
        <x:f>IF(E2266=F2266,"PASS","FAIL")</x:f>
        <x:v>PASS</x:v>
      </x:c>
    </x:row>
    <x:row r="2267">
      <x:c r="B2267" s="21" t="str">
        <x:v>A2261</x:v>
      </x:c>
      <x:c r="C2267" s="21" t="str">
        <x:v>rights</x:v>
      </x:c>
      <x:c r="D2267" s="21" t="str">
        <x:v>right 23 offered</x:v>
      </x:c>
      <x:c r="E2267" s="21" t="n">
        <x:f>IF('Rights Register'!H23=1,1,0)</x:f>
        <x:v>1</x:v>
      </x:c>
      <x:c r="F2267" s="21" t="n">
        <x:v>1</x:v>
      </x:c>
      <x:c r="G2267" s="23" t="str">
        <x:f>IF(E2267=F2267,"PASS","FAIL")</x:f>
        <x:v>PASS</x:v>
      </x:c>
    </x:row>
    <x:row r="2268">
      <x:c r="B2268" s="21" t="str">
        <x:v>A2262</x:v>
      </x:c>
      <x:c r="C2268" s="21" t="str">
        <x:v>rights</x:v>
      </x:c>
      <x:c r="D2268" s="21" t="str">
        <x:v>right 23 evidence open</x:v>
      </x:c>
      <x:c r="E2268" s="21" t="n">
        <x:f>IF('Rights Register'!I23="OPEN",1,0)</x:f>
        <x:v>1</x:v>
      </x:c>
      <x:c r="F2268" s="21" t="n">
        <x:v>1</x:v>
      </x:c>
      <x:c r="G2268" s="23" t="str">
        <x:f>IF(E2268=F2268,"PASS","FAIL")</x:f>
        <x:v>PASS</x:v>
      </x:c>
    </x:row>
    <x:row r="2269">
      <x:c r="B2269" s="21" t="str">
        <x:v>A2263</x:v>
      </x:c>
      <x:c r="C2269" s="21" t="str">
        <x:v>rights</x:v>
      </x:c>
      <x:c r="D2269" s="21" t="str">
        <x:v>right 23 zero credit</x:v>
      </x:c>
      <x:c r="E2269" s="21" t="n">
        <x:f>IF('Rights Register'!J23=0,1,0)</x:f>
        <x:v>1</x:v>
      </x:c>
      <x:c r="F2269" s="21" t="n">
        <x:v>1</x:v>
      </x:c>
      <x:c r="G2269" s="23" t="str">
        <x:f>IF(E2269=F2269,"PASS","FAIL")</x:f>
        <x:v>PASS</x:v>
      </x:c>
    </x:row>
    <x:row r="2270">
      <x:c r="B2270" s="21" t="str">
        <x:v>A2264</x:v>
      </x:c>
      <x:c r="C2270" s="21" t="str">
        <x:v>rights</x:v>
      </x:c>
      <x:c r="D2270" s="21" t="str">
        <x:v>right 24 required</x:v>
      </x:c>
      <x:c r="E2270" s="21" t="n">
        <x:f>IF('Rights Register'!G24=1,1,0)</x:f>
        <x:v>1</x:v>
      </x:c>
      <x:c r="F2270" s="21" t="n">
        <x:v>1</x:v>
      </x:c>
      <x:c r="G2270" s="23" t="str">
        <x:f>IF(E2270=F2270,"PASS","FAIL")</x:f>
        <x:v>PASS</x:v>
      </x:c>
    </x:row>
    <x:row r="2271">
      <x:c r="B2271" s="21" t="str">
        <x:v>A2265</x:v>
      </x:c>
      <x:c r="C2271" s="21" t="str">
        <x:v>rights</x:v>
      </x:c>
      <x:c r="D2271" s="21" t="str">
        <x:v>right 24 offered</x:v>
      </x:c>
      <x:c r="E2271" s="21" t="n">
        <x:f>IF('Rights Register'!H24=1,1,0)</x:f>
        <x:v>1</x:v>
      </x:c>
      <x:c r="F2271" s="21" t="n">
        <x:v>1</x:v>
      </x:c>
      <x:c r="G2271" s="23" t="str">
        <x:f>IF(E2271=F2271,"PASS","FAIL")</x:f>
        <x:v>PASS</x:v>
      </x:c>
    </x:row>
    <x:row r="2272">
      <x:c r="B2272" s="21" t="str">
        <x:v>A2266</x:v>
      </x:c>
      <x:c r="C2272" s="21" t="str">
        <x:v>rights</x:v>
      </x:c>
      <x:c r="D2272" s="21" t="str">
        <x:v>right 24 evidence open</x:v>
      </x:c>
      <x:c r="E2272" s="21" t="n">
        <x:f>IF('Rights Register'!I24="OPEN",1,0)</x:f>
        <x:v>1</x:v>
      </x:c>
      <x:c r="F2272" s="21" t="n">
        <x:v>1</x:v>
      </x:c>
      <x:c r="G2272" s="23" t="str">
        <x:f>IF(E2272=F2272,"PASS","FAIL")</x:f>
        <x:v>PASS</x:v>
      </x:c>
    </x:row>
    <x:row r="2273">
      <x:c r="B2273" s="21" t="str">
        <x:v>A2267</x:v>
      </x:c>
      <x:c r="C2273" s="21" t="str">
        <x:v>rights</x:v>
      </x:c>
      <x:c r="D2273" s="21" t="str">
        <x:v>right 24 zero credit</x:v>
      </x:c>
      <x:c r="E2273" s="21" t="n">
        <x:f>IF('Rights Register'!J24=0,1,0)</x:f>
        <x:v>1</x:v>
      </x:c>
      <x:c r="F2273" s="21" t="n">
        <x:v>1</x:v>
      </x:c>
      <x:c r="G2273" s="23" t="str">
        <x:f>IF(E2273=F2273,"PASS","FAIL")</x:f>
        <x:v>PASS</x:v>
      </x:c>
    </x:row>
    <x:row r="2274">
      <x:c r="B2274" s="21" t="str">
        <x:v>A2268</x:v>
      </x:c>
      <x:c r="C2274" s="21" t="str">
        <x:v>rights</x:v>
      </x:c>
      <x:c r="D2274" s="21" t="str">
        <x:v>right 25 required</x:v>
      </x:c>
      <x:c r="E2274" s="21" t="n">
        <x:f>IF('Rights Register'!G25=1,1,0)</x:f>
        <x:v>1</x:v>
      </x:c>
      <x:c r="F2274" s="21" t="n">
        <x:v>1</x:v>
      </x:c>
      <x:c r="G2274" s="23" t="str">
        <x:f>IF(E2274=F2274,"PASS","FAIL")</x:f>
        <x:v>PASS</x:v>
      </x:c>
    </x:row>
    <x:row r="2275">
      <x:c r="B2275" s="21" t="str">
        <x:v>A2269</x:v>
      </x:c>
      <x:c r="C2275" s="21" t="str">
        <x:v>rights</x:v>
      </x:c>
      <x:c r="D2275" s="21" t="str">
        <x:v>right 25 offered</x:v>
      </x:c>
      <x:c r="E2275" s="21" t="n">
        <x:f>IF('Rights Register'!H25=1,1,0)</x:f>
        <x:v>1</x:v>
      </x:c>
      <x:c r="F2275" s="21" t="n">
        <x:v>1</x:v>
      </x:c>
      <x:c r="G2275" s="23" t="str">
        <x:f>IF(E2275=F2275,"PASS","FAIL")</x:f>
        <x:v>PASS</x:v>
      </x:c>
    </x:row>
    <x:row r="2276">
      <x:c r="B2276" s="21" t="str">
        <x:v>A2270</x:v>
      </x:c>
      <x:c r="C2276" s="21" t="str">
        <x:v>rights</x:v>
      </x:c>
      <x:c r="D2276" s="21" t="str">
        <x:v>right 25 evidence open</x:v>
      </x:c>
      <x:c r="E2276" s="21" t="n">
        <x:f>IF('Rights Register'!I25="OPEN",1,0)</x:f>
        <x:v>1</x:v>
      </x:c>
      <x:c r="F2276" s="21" t="n">
        <x:v>1</x:v>
      </x:c>
      <x:c r="G2276" s="23" t="str">
        <x:f>IF(E2276=F2276,"PASS","FAIL")</x:f>
        <x:v>PASS</x:v>
      </x:c>
    </x:row>
    <x:row r="2277">
      <x:c r="B2277" s="21" t="str">
        <x:v>A2271</x:v>
      </x:c>
      <x:c r="C2277" s="21" t="str">
        <x:v>rights</x:v>
      </x:c>
      <x:c r="D2277" s="21" t="str">
        <x:v>right 25 zero credit</x:v>
      </x:c>
      <x:c r="E2277" s="21" t="n">
        <x:f>IF('Rights Register'!J25=0,1,0)</x:f>
        <x:v>1</x:v>
      </x:c>
      <x:c r="F2277" s="21" t="n">
        <x:v>1</x:v>
      </x:c>
      <x:c r="G2277" s="23" t="str">
        <x:f>IF(E2277=F2277,"PASS","FAIL")</x:f>
        <x:v>PASS</x:v>
      </x:c>
    </x:row>
    <x:row r="2278">
      <x:c r="B2278" s="21" t="str">
        <x:v>A2272</x:v>
      </x:c>
      <x:c r="C2278" s="21" t="str">
        <x:v>rights</x:v>
      </x:c>
      <x:c r="D2278" s="21" t="str">
        <x:v>right 26 required</x:v>
      </x:c>
      <x:c r="E2278" s="21" t="n">
        <x:f>IF('Rights Register'!G26=1,1,0)</x:f>
        <x:v>1</x:v>
      </x:c>
      <x:c r="F2278" s="21" t="n">
        <x:v>1</x:v>
      </x:c>
      <x:c r="G2278" s="23" t="str">
        <x:f>IF(E2278=F2278,"PASS","FAIL")</x:f>
        <x:v>PASS</x:v>
      </x:c>
    </x:row>
    <x:row r="2279">
      <x:c r="B2279" s="21" t="str">
        <x:v>A2273</x:v>
      </x:c>
      <x:c r="C2279" s="21" t="str">
        <x:v>rights</x:v>
      </x:c>
      <x:c r="D2279" s="21" t="str">
        <x:v>right 26 offered</x:v>
      </x:c>
      <x:c r="E2279" s="21" t="n">
        <x:f>IF('Rights Register'!H26=1,1,0)</x:f>
        <x:v>1</x:v>
      </x:c>
      <x:c r="F2279" s="21" t="n">
        <x:v>1</x:v>
      </x:c>
      <x:c r="G2279" s="23" t="str">
        <x:f>IF(E2279=F2279,"PASS","FAIL")</x:f>
        <x:v>PASS</x:v>
      </x:c>
    </x:row>
    <x:row r="2280">
      <x:c r="B2280" s="21" t="str">
        <x:v>A2274</x:v>
      </x:c>
      <x:c r="C2280" s="21" t="str">
        <x:v>rights</x:v>
      </x:c>
      <x:c r="D2280" s="21" t="str">
        <x:v>right 26 evidence open</x:v>
      </x:c>
      <x:c r="E2280" s="21" t="n">
        <x:f>IF('Rights Register'!I26="OPEN",1,0)</x:f>
        <x:v>1</x:v>
      </x:c>
      <x:c r="F2280" s="21" t="n">
        <x:v>1</x:v>
      </x:c>
      <x:c r="G2280" s="23" t="str">
        <x:f>IF(E2280=F2280,"PASS","FAIL")</x:f>
        <x:v>PASS</x:v>
      </x:c>
    </x:row>
    <x:row r="2281">
      <x:c r="B2281" s="21" t="str">
        <x:v>A2275</x:v>
      </x:c>
      <x:c r="C2281" s="21" t="str">
        <x:v>rights</x:v>
      </x:c>
      <x:c r="D2281" s="21" t="str">
        <x:v>right 26 zero credit</x:v>
      </x:c>
      <x:c r="E2281" s="21" t="n">
        <x:f>IF('Rights Register'!J26=0,1,0)</x:f>
        <x:v>1</x:v>
      </x:c>
      <x:c r="F2281" s="21" t="n">
        <x:v>1</x:v>
      </x:c>
      <x:c r="G2281" s="23" t="str">
        <x:f>IF(E2281=F2281,"PASS","FAIL")</x:f>
        <x:v>PASS</x:v>
      </x:c>
    </x:row>
    <x:row r="2282">
      <x:c r="B2282" s="21" t="str">
        <x:v>A2276</x:v>
      </x:c>
      <x:c r="C2282" s="21" t="str">
        <x:v>rights</x:v>
      </x:c>
      <x:c r="D2282" s="21" t="str">
        <x:v>right 27 required</x:v>
      </x:c>
      <x:c r="E2282" s="21" t="n">
        <x:f>IF('Rights Register'!G27=1,1,0)</x:f>
        <x:v>1</x:v>
      </x:c>
      <x:c r="F2282" s="21" t="n">
        <x:v>1</x:v>
      </x:c>
      <x:c r="G2282" s="23" t="str">
        <x:f>IF(E2282=F2282,"PASS","FAIL")</x:f>
        <x:v>PASS</x:v>
      </x:c>
    </x:row>
    <x:row r="2283">
      <x:c r="B2283" s="21" t="str">
        <x:v>A2277</x:v>
      </x:c>
      <x:c r="C2283" s="21" t="str">
        <x:v>rights</x:v>
      </x:c>
      <x:c r="D2283" s="21" t="str">
        <x:v>right 27 offered</x:v>
      </x:c>
      <x:c r="E2283" s="21" t="n">
        <x:f>IF('Rights Register'!H27=1,1,0)</x:f>
        <x:v>1</x:v>
      </x:c>
      <x:c r="F2283" s="21" t="n">
        <x:v>1</x:v>
      </x:c>
      <x:c r="G2283" s="23" t="str">
        <x:f>IF(E2283=F2283,"PASS","FAIL")</x:f>
        <x:v>PASS</x:v>
      </x:c>
    </x:row>
    <x:row r="2284">
      <x:c r="B2284" s="21" t="str">
        <x:v>A2278</x:v>
      </x:c>
      <x:c r="C2284" s="21" t="str">
        <x:v>rights</x:v>
      </x:c>
      <x:c r="D2284" s="21" t="str">
        <x:v>right 27 evidence open</x:v>
      </x:c>
      <x:c r="E2284" s="21" t="n">
        <x:f>IF('Rights Register'!I27="OPEN",1,0)</x:f>
        <x:v>1</x:v>
      </x:c>
      <x:c r="F2284" s="21" t="n">
        <x:v>1</x:v>
      </x:c>
      <x:c r="G2284" s="23" t="str">
        <x:f>IF(E2284=F2284,"PASS","FAIL")</x:f>
        <x:v>PASS</x:v>
      </x:c>
    </x:row>
    <x:row r="2285">
      <x:c r="B2285" s="21" t="str">
        <x:v>A2279</x:v>
      </x:c>
      <x:c r="C2285" s="21" t="str">
        <x:v>rights</x:v>
      </x:c>
      <x:c r="D2285" s="21" t="str">
        <x:v>right 27 zero credit</x:v>
      </x:c>
      <x:c r="E2285" s="21" t="n">
        <x:f>IF('Rights Register'!J27=0,1,0)</x:f>
        <x:v>1</x:v>
      </x:c>
      <x:c r="F2285" s="21" t="n">
        <x:v>1</x:v>
      </x:c>
      <x:c r="G2285" s="23" t="str">
        <x:f>IF(E2285=F2285,"PASS","FAIL")</x:f>
        <x:v>PASS</x:v>
      </x:c>
    </x:row>
    <x:row r="2286">
      <x:c r="B2286" s="21" t="str">
        <x:v>A2280</x:v>
      </x:c>
      <x:c r="C2286" s="21" t="str">
        <x:v>rights</x:v>
      </x:c>
      <x:c r="D2286" s="21" t="str">
        <x:v>right 28 required</x:v>
      </x:c>
      <x:c r="E2286" s="21" t="n">
        <x:f>IF('Rights Register'!G28=1,1,0)</x:f>
        <x:v>1</x:v>
      </x:c>
      <x:c r="F2286" s="21" t="n">
        <x:v>1</x:v>
      </x:c>
      <x:c r="G2286" s="23" t="str">
        <x:f>IF(E2286=F2286,"PASS","FAIL")</x:f>
        <x:v>PASS</x:v>
      </x:c>
    </x:row>
    <x:row r="2287">
      <x:c r="B2287" s="21" t="str">
        <x:v>A2281</x:v>
      </x:c>
      <x:c r="C2287" s="21" t="str">
        <x:v>rights</x:v>
      </x:c>
      <x:c r="D2287" s="21" t="str">
        <x:v>right 28 offered</x:v>
      </x:c>
      <x:c r="E2287" s="21" t="n">
        <x:f>IF('Rights Register'!H28=1,1,0)</x:f>
        <x:v>1</x:v>
      </x:c>
      <x:c r="F2287" s="21" t="n">
        <x:v>1</x:v>
      </x:c>
      <x:c r="G2287" s="23" t="str">
        <x:f>IF(E2287=F2287,"PASS","FAIL")</x:f>
        <x:v>PASS</x:v>
      </x:c>
    </x:row>
    <x:row r="2288">
      <x:c r="B2288" s="21" t="str">
        <x:v>A2282</x:v>
      </x:c>
      <x:c r="C2288" s="21" t="str">
        <x:v>rights</x:v>
      </x:c>
      <x:c r="D2288" s="21" t="str">
        <x:v>right 28 evidence open</x:v>
      </x:c>
      <x:c r="E2288" s="21" t="n">
        <x:f>IF('Rights Register'!I28="OPEN",1,0)</x:f>
        <x:v>1</x:v>
      </x:c>
      <x:c r="F2288" s="21" t="n">
        <x:v>1</x:v>
      </x:c>
      <x:c r="G2288" s="23" t="str">
        <x:f>IF(E2288=F2288,"PASS","FAIL")</x:f>
        <x:v>PASS</x:v>
      </x:c>
    </x:row>
    <x:row r="2289">
      <x:c r="B2289" s="21" t="str">
        <x:v>A2283</x:v>
      </x:c>
      <x:c r="C2289" s="21" t="str">
        <x:v>rights</x:v>
      </x:c>
      <x:c r="D2289" s="21" t="str">
        <x:v>right 28 zero credit</x:v>
      </x:c>
      <x:c r="E2289" s="21" t="n">
        <x:f>IF('Rights Register'!J28=0,1,0)</x:f>
        <x:v>1</x:v>
      </x:c>
      <x:c r="F2289" s="21" t="n">
        <x:v>1</x:v>
      </x:c>
      <x:c r="G2289" s="23" t="str">
        <x:f>IF(E2289=F2289,"PASS","FAIL")</x:f>
        <x:v>PASS</x:v>
      </x:c>
    </x:row>
    <x:row r="2290">
      <x:c r="B2290" s="21" t="str">
        <x:v>A2284</x:v>
      </x:c>
      <x:c r="C2290" s="21" t="str">
        <x:v>rights</x:v>
      </x:c>
      <x:c r="D2290" s="21" t="str">
        <x:v>right 29 required</x:v>
      </x:c>
      <x:c r="E2290" s="21" t="n">
        <x:f>IF('Rights Register'!G29=1,1,0)</x:f>
        <x:v>1</x:v>
      </x:c>
      <x:c r="F2290" s="21" t="n">
        <x:v>1</x:v>
      </x:c>
      <x:c r="G2290" s="23" t="str">
        <x:f>IF(E2290=F2290,"PASS","FAIL")</x:f>
        <x:v>PASS</x:v>
      </x:c>
    </x:row>
    <x:row r="2291">
      <x:c r="B2291" s="21" t="str">
        <x:v>A2285</x:v>
      </x:c>
      <x:c r="C2291" s="21" t="str">
        <x:v>rights</x:v>
      </x:c>
      <x:c r="D2291" s="21" t="str">
        <x:v>right 29 offered</x:v>
      </x:c>
      <x:c r="E2291" s="21" t="n">
        <x:f>IF('Rights Register'!H29=1,1,0)</x:f>
        <x:v>1</x:v>
      </x:c>
      <x:c r="F2291" s="21" t="n">
        <x:v>1</x:v>
      </x:c>
      <x:c r="G2291" s="23" t="str">
        <x:f>IF(E2291=F2291,"PASS","FAIL")</x:f>
        <x:v>PASS</x:v>
      </x:c>
    </x:row>
    <x:row r="2292">
      <x:c r="B2292" s="21" t="str">
        <x:v>A2286</x:v>
      </x:c>
      <x:c r="C2292" s="21" t="str">
        <x:v>rights</x:v>
      </x:c>
      <x:c r="D2292" s="21" t="str">
        <x:v>right 29 evidence open</x:v>
      </x:c>
      <x:c r="E2292" s="21" t="n">
        <x:f>IF('Rights Register'!I29="OPEN",1,0)</x:f>
        <x:v>1</x:v>
      </x:c>
      <x:c r="F2292" s="21" t="n">
        <x:v>1</x:v>
      </x:c>
      <x:c r="G2292" s="23" t="str">
        <x:f>IF(E2292=F2292,"PASS","FAIL")</x:f>
        <x:v>PASS</x:v>
      </x:c>
    </x:row>
    <x:row r="2293">
      <x:c r="B2293" s="21" t="str">
        <x:v>A2287</x:v>
      </x:c>
      <x:c r="C2293" s="21" t="str">
        <x:v>rights</x:v>
      </x:c>
      <x:c r="D2293" s="21" t="str">
        <x:v>right 29 zero credit</x:v>
      </x:c>
      <x:c r="E2293" s="21" t="n">
        <x:f>IF('Rights Register'!J29=0,1,0)</x:f>
        <x:v>1</x:v>
      </x:c>
      <x:c r="F2293" s="21" t="n">
        <x:v>1</x:v>
      </x:c>
      <x:c r="G2293" s="23" t="str">
        <x:f>IF(E2293=F2293,"PASS","FAIL")</x:f>
        <x:v>PASS</x:v>
      </x:c>
    </x:row>
    <x:row r="2294">
      <x:c r="B2294" s="21" t="str">
        <x:v>A2288</x:v>
      </x:c>
      <x:c r="C2294" s="21" t="str">
        <x:v>rights</x:v>
      </x:c>
      <x:c r="D2294" s="21" t="str">
        <x:v>right 30 required</x:v>
      </x:c>
      <x:c r="E2294" s="21" t="n">
        <x:f>IF('Rights Register'!G30=1,1,0)</x:f>
        <x:v>1</x:v>
      </x:c>
      <x:c r="F2294" s="21" t="n">
        <x:v>1</x:v>
      </x:c>
      <x:c r="G2294" s="23" t="str">
        <x:f>IF(E2294=F2294,"PASS","FAIL")</x:f>
        <x:v>PASS</x:v>
      </x:c>
    </x:row>
    <x:row r="2295">
      <x:c r="B2295" s="21" t="str">
        <x:v>A2289</x:v>
      </x:c>
      <x:c r="C2295" s="21" t="str">
        <x:v>rights</x:v>
      </x:c>
      <x:c r="D2295" s="21" t="str">
        <x:v>right 30 offered</x:v>
      </x:c>
      <x:c r="E2295" s="21" t="n">
        <x:f>IF('Rights Register'!H30=1,1,0)</x:f>
        <x:v>1</x:v>
      </x:c>
      <x:c r="F2295" s="21" t="n">
        <x:v>1</x:v>
      </x:c>
      <x:c r="G2295" s="23" t="str">
        <x:f>IF(E2295=F2295,"PASS","FAIL")</x:f>
        <x:v>PASS</x:v>
      </x:c>
    </x:row>
    <x:row r="2296">
      <x:c r="B2296" s="21" t="str">
        <x:v>A2290</x:v>
      </x:c>
      <x:c r="C2296" s="21" t="str">
        <x:v>rights</x:v>
      </x:c>
      <x:c r="D2296" s="21" t="str">
        <x:v>right 30 evidence open</x:v>
      </x:c>
      <x:c r="E2296" s="21" t="n">
        <x:f>IF('Rights Register'!I30="OPEN",1,0)</x:f>
        <x:v>1</x:v>
      </x:c>
      <x:c r="F2296" s="21" t="n">
        <x:v>1</x:v>
      </x:c>
      <x:c r="G2296" s="23" t="str">
        <x:f>IF(E2296=F2296,"PASS","FAIL")</x:f>
        <x:v>PASS</x:v>
      </x:c>
    </x:row>
    <x:row r="2297">
      <x:c r="B2297" s="21" t="str">
        <x:v>A2291</x:v>
      </x:c>
      <x:c r="C2297" s="21" t="str">
        <x:v>rights</x:v>
      </x:c>
      <x:c r="D2297" s="21" t="str">
        <x:v>right 30 zero credit</x:v>
      </x:c>
      <x:c r="E2297" s="21" t="n">
        <x:f>IF('Rights Register'!J30=0,1,0)</x:f>
        <x:v>1</x:v>
      </x:c>
      <x:c r="F2297" s="21" t="n">
        <x:v>1</x:v>
      </x:c>
      <x:c r="G2297" s="23" t="str">
        <x:f>IF(E2297=F2297,"PASS","FAIL")</x:f>
        <x:v>PASS</x:v>
      </x:c>
    </x:row>
    <x:row r="2298">
      <x:c r="B2298" s="21" t="str">
        <x:v>A2292</x:v>
      </x:c>
      <x:c r="C2298" s="21" t="str">
        <x:v>rights</x:v>
      </x:c>
      <x:c r="D2298" s="21" t="str">
        <x:v>right 31 required</x:v>
      </x:c>
      <x:c r="E2298" s="21" t="n">
        <x:f>IF('Rights Register'!G31=1,1,0)</x:f>
        <x:v>1</x:v>
      </x:c>
      <x:c r="F2298" s="21" t="n">
        <x:v>1</x:v>
      </x:c>
      <x:c r="G2298" s="23" t="str">
        <x:f>IF(E2298=F2298,"PASS","FAIL")</x:f>
        <x:v>PASS</x:v>
      </x:c>
    </x:row>
    <x:row r="2299">
      <x:c r="B2299" s="21" t="str">
        <x:v>A2293</x:v>
      </x:c>
      <x:c r="C2299" s="21" t="str">
        <x:v>rights</x:v>
      </x:c>
      <x:c r="D2299" s="21" t="str">
        <x:v>right 31 offered</x:v>
      </x:c>
      <x:c r="E2299" s="21" t="n">
        <x:f>IF('Rights Register'!H31=1,1,0)</x:f>
        <x:v>1</x:v>
      </x:c>
      <x:c r="F2299" s="21" t="n">
        <x:v>1</x:v>
      </x:c>
      <x:c r="G2299" s="23" t="str">
        <x:f>IF(E2299=F2299,"PASS","FAIL")</x:f>
        <x:v>PASS</x:v>
      </x:c>
    </x:row>
    <x:row r="2300">
      <x:c r="B2300" s="21" t="str">
        <x:v>A2294</x:v>
      </x:c>
      <x:c r="C2300" s="21" t="str">
        <x:v>rights</x:v>
      </x:c>
      <x:c r="D2300" s="21" t="str">
        <x:v>right 31 evidence open</x:v>
      </x:c>
      <x:c r="E2300" s="21" t="n">
        <x:f>IF('Rights Register'!I31="OPEN",1,0)</x:f>
        <x:v>1</x:v>
      </x:c>
      <x:c r="F2300" s="21" t="n">
        <x:v>1</x:v>
      </x:c>
      <x:c r="G2300" s="23" t="str">
        <x:f>IF(E2300=F2300,"PASS","FAIL")</x:f>
        <x:v>PASS</x:v>
      </x:c>
    </x:row>
    <x:row r="2301">
      <x:c r="B2301" s="21" t="str">
        <x:v>A2295</x:v>
      </x:c>
      <x:c r="C2301" s="21" t="str">
        <x:v>rights</x:v>
      </x:c>
      <x:c r="D2301" s="21" t="str">
        <x:v>right 31 zero credit</x:v>
      </x:c>
      <x:c r="E2301" s="21" t="n">
        <x:f>IF('Rights Register'!J31=0,1,0)</x:f>
        <x:v>1</x:v>
      </x:c>
      <x:c r="F2301" s="21" t="n">
        <x:v>1</x:v>
      </x:c>
      <x:c r="G2301" s="23" t="str">
        <x:f>IF(E2301=F2301,"PASS","FAIL")</x:f>
        <x:v>PASS</x:v>
      </x:c>
    </x:row>
    <x:row r="2302">
      <x:c r="B2302" s="21" t="str">
        <x:v>A2296</x:v>
      </x:c>
      <x:c r="C2302" s="21" t="str">
        <x:v>rights</x:v>
      </x:c>
      <x:c r="D2302" s="21" t="str">
        <x:v>right 32 required</x:v>
      </x:c>
      <x:c r="E2302" s="21" t="n">
        <x:f>IF('Rights Register'!G32=1,1,0)</x:f>
        <x:v>1</x:v>
      </x:c>
      <x:c r="F2302" s="21" t="n">
        <x:v>1</x:v>
      </x:c>
      <x:c r="G2302" s="23" t="str">
        <x:f>IF(E2302=F2302,"PASS","FAIL")</x:f>
        <x:v>PASS</x:v>
      </x:c>
    </x:row>
    <x:row r="2303">
      <x:c r="B2303" s="21" t="str">
        <x:v>A2297</x:v>
      </x:c>
      <x:c r="C2303" s="21" t="str">
        <x:v>rights</x:v>
      </x:c>
      <x:c r="D2303" s="21" t="str">
        <x:v>right 32 offered</x:v>
      </x:c>
      <x:c r="E2303" s="21" t="n">
        <x:f>IF('Rights Register'!H32=1,1,0)</x:f>
        <x:v>1</x:v>
      </x:c>
      <x:c r="F2303" s="21" t="n">
        <x:v>1</x:v>
      </x:c>
      <x:c r="G2303" s="23" t="str">
        <x:f>IF(E2303=F2303,"PASS","FAIL")</x:f>
        <x:v>PASS</x:v>
      </x:c>
    </x:row>
    <x:row r="2304">
      <x:c r="B2304" s="21" t="str">
        <x:v>A2298</x:v>
      </x:c>
      <x:c r="C2304" s="21" t="str">
        <x:v>rights</x:v>
      </x:c>
      <x:c r="D2304" s="21" t="str">
        <x:v>right 32 evidence open</x:v>
      </x:c>
      <x:c r="E2304" s="21" t="n">
        <x:f>IF('Rights Register'!I32="OPEN",1,0)</x:f>
        <x:v>1</x:v>
      </x:c>
      <x:c r="F2304" s="21" t="n">
        <x:v>1</x:v>
      </x:c>
      <x:c r="G2304" s="23" t="str">
        <x:f>IF(E2304=F2304,"PASS","FAIL")</x:f>
        <x:v>PASS</x:v>
      </x:c>
    </x:row>
    <x:row r="2305">
      <x:c r="B2305" s="21" t="str">
        <x:v>A2299</x:v>
      </x:c>
      <x:c r="C2305" s="21" t="str">
        <x:v>rights</x:v>
      </x:c>
      <x:c r="D2305" s="21" t="str">
        <x:v>right 32 zero credit</x:v>
      </x:c>
      <x:c r="E2305" s="21" t="n">
        <x:f>IF('Rights Register'!J32=0,1,0)</x:f>
        <x:v>1</x:v>
      </x:c>
      <x:c r="F2305" s="21" t="n">
        <x:v>1</x:v>
      </x:c>
      <x:c r="G2305" s="23" t="str">
        <x:f>IF(E2305=F2305,"PASS","FAIL")</x:f>
        <x:v>PASS</x:v>
      </x:c>
    </x:row>
    <x:row r="2306">
      <x:c r="B2306" s="21" t="str">
        <x:v>A2300</x:v>
      </x:c>
      <x:c r="C2306" s="21" t="str">
        <x:v>rights</x:v>
      </x:c>
      <x:c r="D2306" s="21" t="str">
        <x:v>right 33 required</x:v>
      </x:c>
      <x:c r="E2306" s="21" t="n">
        <x:f>IF('Rights Register'!G33=1,1,0)</x:f>
        <x:v>1</x:v>
      </x:c>
      <x:c r="F2306" s="21" t="n">
        <x:v>1</x:v>
      </x:c>
      <x:c r="G2306" s="23" t="str">
        <x:f>IF(E2306=F2306,"PASS","FAIL")</x:f>
        <x:v>PASS</x:v>
      </x:c>
    </x:row>
    <x:row r="2307">
      <x:c r="B2307" s="21" t="str">
        <x:v>A2301</x:v>
      </x:c>
      <x:c r="C2307" s="21" t="str">
        <x:v>rights</x:v>
      </x:c>
      <x:c r="D2307" s="21" t="str">
        <x:v>right 33 offered</x:v>
      </x:c>
      <x:c r="E2307" s="21" t="n">
        <x:f>IF('Rights Register'!H33=1,1,0)</x:f>
        <x:v>1</x:v>
      </x:c>
      <x:c r="F2307" s="21" t="n">
        <x:v>1</x:v>
      </x:c>
      <x:c r="G2307" s="23" t="str">
        <x:f>IF(E2307=F2307,"PASS","FAIL")</x:f>
        <x:v>PASS</x:v>
      </x:c>
    </x:row>
    <x:row r="2308">
      <x:c r="B2308" s="21" t="str">
        <x:v>A2302</x:v>
      </x:c>
      <x:c r="C2308" s="21" t="str">
        <x:v>rights</x:v>
      </x:c>
      <x:c r="D2308" s="21" t="str">
        <x:v>right 33 evidence open</x:v>
      </x:c>
      <x:c r="E2308" s="21" t="n">
        <x:f>IF('Rights Register'!I33="OPEN",1,0)</x:f>
        <x:v>1</x:v>
      </x:c>
      <x:c r="F2308" s="21" t="n">
        <x:v>1</x:v>
      </x:c>
      <x:c r="G2308" s="23" t="str">
        <x:f>IF(E2308=F2308,"PASS","FAIL")</x:f>
        <x:v>PASS</x:v>
      </x:c>
    </x:row>
    <x:row r="2309">
      <x:c r="B2309" s="21" t="str">
        <x:v>A2303</x:v>
      </x:c>
      <x:c r="C2309" s="21" t="str">
        <x:v>rights</x:v>
      </x:c>
      <x:c r="D2309" s="21" t="str">
        <x:v>right 33 zero credit</x:v>
      </x:c>
      <x:c r="E2309" s="21" t="n">
        <x:f>IF('Rights Register'!J33=0,1,0)</x:f>
        <x:v>1</x:v>
      </x:c>
      <x:c r="F2309" s="21" t="n">
        <x:v>1</x:v>
      </x:c>
      <x:c r="G2309" s="23" t="str">
        <x:f>IF(E2309=F2309,"PASS","FAIL")</x:f>
        <x:v>PASS</x:v>
      </x:c>
    </x:row>
    <x:row r="2310">
      <x:c r="B2310" s="21" t="str">
        <x:v>A2304</x:v>
      </x:c>
      <x:c r="C2310" s="21" t="str">
        <x:v>rights</x:v>
      </x:c>
      <x:c r="D2310" s="21" t="str">
        <x:v>right 34 required</x:v>
      </x:c>
      <x:c r="E2310" s="21" t="n">
        <x:f>IF('Rights Register'!G34=1,1,0)</x:f>
        <x:v>1</x:v>
      </x:c>
      <x:c r="F2310" s="21" t="n">
        <x:v>1</x:v>
      </x:c>
      <x:c r="G2310" s="23" t="str">
        <x:f>IF(E2310=F2310,"PASS","FAIL")</x:f>
        <x:v>PASS</x:v>
      </x:c>
    </x:row>
    <x:row r="2311">
      <x:c r="B2311" s="21" t="str">
        <x:v>A2305</x:v>
      </x:c>
      <x:c r="C2311" s="21" t="str">
        <x:v>rights</x:v>
      </x:c>
      <x:c r="D2311" s="21" t="str">
        <x:v>right 34 offered</x:v>
      </x:c>
      <x:c r="E2311" s="21" t="n">
        <x:f>IF('Rights Register'!H34=1,1,0)</x:f>
        <x:v>1</x:v>
      </x:c>
      <x:c r="F2311" s="21" t="n">
        <x:v>1</x:v>
      </x:c>
      <x:c r="G2311" s="23" t="str">
        <x:f>IF(E2311=F2311,"PASS","FAIL")</x:f>
        <x:v>PASS</x:v>
      </x:c>
    </x:row>
    <x:row r="2312">
      <x:c r="B2312" s="21" t="str">
        <x:v>A2306</x:v>
      </x:c>
      <x:c r="C2312" s="21" t="str">
        <x:v>rights</x:v>
      </x:c>
      <x:c r="D2312" s="21" t="str">
        <x:v>right 34 evidence open</x:v>
      </x:c>
      <x:c r="E2312" s="21" t="n">
        <x:f>IF('Rights Register'!I34="OPEN",1,0)</x:f>
        <x:v>1</x:v>
      </x:c>
      <x:c r="F2312" s="21" t="n">
        <x:v>1</x:v>
      </x:c>
      <x:c r="G2312" s="23" t="str">
        <x:f>IF(E2312=F2312,"PASS","FAIL")</x:f>
        <x:v>PASS</x:v>
      </x:c>
    </x:row>
    <x:row r="2313">
      <x:c r="B2313" s="21" t="str">
        <x:v>A2307</x:v>
      </x:c>
      <x:c r="C2313" s="21" t="str">
        <x:v>rights</x:v>
      </x:c>
      <x:c r="D2313" s="21" t="str">
        <x:v>right 34 zero credit</x:v>
      </x:c>
      <x:c r="E2313" s="21" t="n">
        <x:f>IF('Rights Register'!J34=0,1,0)</x:f>
        <x:v>1</x:v>
      </x:c>
      <x:c r="F2313" s="21" t="n">
        <x:v>1</x:v>
      </x:c>
      <x:c r="G2313" s="23" t="str">
        <x:f>IF(E2313=F2313,"PASS","FAIL")</x:f>
        <x:v>PASS</x:v>
      </x:c>
    </x:row>
    <x:row r="2314">
      <x:c r="B2314" s="21" t="str">
        <x:v>A2308</x:v>
      </x:c>
      <x:c r="C2314" s="21" t="str">
        <x:v>rights</x:v>
      </x:c>
      <x:c r="D2314" s="21" t="str">
        <x:v>right 35 required</x:v>
      </x:c>
      <x:c r="E2314" s="21" t="n">
        <x:f>IF('Rights Register'!G35=1,1,0)</x:f>
        <x:v>1</x:v>
      </x:c>
      <x:c r="F2314" s="21" t="n">
        <x:v>1</x:v>
      </x:c>
      <x:c r="G2314" s="23" t="str">
        <x:f>IF(E2314=F2314,"PASS","FAIL")</x:f>
        <x:v>PASS</x:v>
      </x:c>
    </x:row>
    <x:row r="2315">
      <x:c r="B2315" s="21" t="str">
        <x:v>A2309</x:v>
      </x:c>
      <x:c r="C2315" s="21" t="str">
        <x:v>rights</x:v>
      </x:c>
      <x:c r="D2315" s="21" t="str">
        <x:v>right 35 offered</x:v>
      </x:c>
      <x:c r="E2315" s="21" t="n">
        <x:f>IF('Rights Register'!H35=1,1,0)</x:f>
        <x:v>1</x:v>
      </x:c>
      <x:c r="F2315" s="21" t="n">
        <x:v>1</x:v>
      </x:c>
      <x:c r="G2315" s="23" t="str">
        <x:f>IF(E2315=F2315,"PASS","FAIL")</x:f>
        <x:v>PASS</x:v>
      </x:c>
    </x:row>
    <x:row r="2316">
      <x:c r="B2316" s="21" t="str">
        <x:v>A2310</x:v>
      </x:c>
      <x:c r="C2316" s="21" t="str">
        <x:v>rights</x:v>
      </x:c>
      <x:c r="D2316" s="21" t="str">
        <x:v>right 35 evidence open</x:v>
      </x:c>
      <x:c r="E2316" s="21" t="n">
        <x:f>IF('Rights Register'!I35="OPEN",1,0)</x:f>
        <x:v>1</x:v>
      </x:c>
      <x:c r="F2316" s="21" t="n">
        <x:v>1</x:v>
      </x:c>
      <x:c r="G2316" s="23" t="str">
        <x:f>IF(E2316=F2316,"PASS","FAIL")</x:f>
        <x:v>PASS</x:v>
      </x:c>
    </x:row>
    <x:row r="2317">
      <x:c r="B2317" s="21" t="str">
        <x:v>A2311</x:v>
      </x:c>
      <x:c r="C2317" s="21" t="str">
        <x:v>rights</x:v>
      </x:c>
      <x:c r="D2317" s="21" t="str">
        <x:v>right 35 zero credit</x:v>
      </x:c>
      <x:c r="E2317" s="21" t="n">
        <x:f>IF('Rights Register'!J35=0,1,0)</x:f>
        <x:v>1</x:v>
      </x:c>
      <x:c r="F2317" s="21" t="n">
        <x:v>1</x:v>
      </x:c>
      <x:c r="G2317" s="23" t="str">
        <x:f>IF(E2317=F2317,"PASS","FAIL")</x:f>
        <x:v>PASS</x:v>
      </x:c>
    </x:row>
    <x:row r="2318">
      <x:c r="B2318" s="21" t="str">
        <x:v>A2312</x:v>
      </x:c>
      <x:c r="C2318" s="21" t="str">
        <x:v>rights</x:v>
      </x:c>
      <x:c r="D2318" s="21" t="str">
        <x:v>right 36 required</x:v>
      </x:c>
      <x:c r="E2318" s="21" t="n">
        <x:f>IF('Rights Register'!G36=1,1,0)</x:f>
        <x:v>1</x:v>
      </x:c>
      <x:c r="F2318" s="21" t="n">
        <x:v>1</x:v>
      </x:c>
      <x:c r="G2318" s="23" t="str">
        <x:f>IF(E2318=F2318,"PASS","FAIL")</x:f>
        <x:v>PASS</x:v>
      </x:c>
    </x:row>
    <x:row r="2319">
      <x:c r="B2319" s="21" t="str">
        <x:v>A2313</x:v>
      </x:c>
      <x:c r="C2319" s="21" t="str">
        <x:v>rights</x:v>
      </x:c>
      <x:c r="D2319" s="21" t="str">
        <x:v>right 36 offered</x:v>
      </x:c>
      <x:c r="E2319" s="21" t="n">
        <x:f>IF('Rights Register'!H36=1,1,0)</x:f>
        <x:v>1</x:v>
      </x:c>
      <x:c r="F2319" s="21" t="n">
        <x:v>1</x:v>
      </x:c>
      <x:c r="G2319" s="23" t="str">
        <x:f>IF(E2319=F2319,"PASS","FAIL")</x:f>
        <x:v>PASS</x:v>
      </x:c>
    </x:row>
    <x:row r="2320">
      <x:c r="B2320" s="21" t="str">
        <x:v>A2314</x:v>
      </x:c>
      <x:c r="C2320" s="21" t="str">
        <x:v>rights</x:v>
      </x:c>
      <x:c r="D2320" s="21" t="str">
        <x:v>right 36 evidence open</x:v>
      </x:c>
      <x:c r="E2320" s="21" t="n">
        <x:f>IF('Rights Register'!I36="OPEN",1,0)</x:f>
        <x:v>1</x:v>
      </x:c>
      <x:c r="F2320" s="21" t="n">
        <x:v>1</x:v>
      </x:c>
      <x:c r="G2320" s="23" t="str">
        <x:f>IF(E2320=F2320,"PASS","FAIL")</x:f>
        <x:v>PASS</x:v>
      </x:c>
    </x:row>
    <x:row r="2321">
      <x:c r="B2321" s="21" t="str">
        <x:v>A2315</x:v>
      </x:c>
      <x:c r="C2321" s="21" t="str">
        <x:v>rights</x:v>
      </x:c>
      <x:c r="D2321" s="21" t="str">
        <x:v>right 36 zero credit</x:v>
      </x:c>
      <x:c r="E2321" s="21" t="n">
        <x:f>IF('Rights Register'!J36=0,1,0)</x:f>
        <x:v>1</x:v>
      </x:c>
      <x:c r="F2321" s="21" t="n">
        <x:v>1</x:v>
      </x:c>
      <x:c r="G2321" s="23" t="str">
        <x:f>IF(E2321=F2321,"PASS","FAIL")</x:f>
        <x:v>PASS</x:v>
      </x:c>
    </x:row>
    <x:row r="2322">
      <x:c r="B2322" s="21" t="str">
        <x:v>A2316</x:v>
      </x:c>
      <x:c r="C2322" s="21" t="str">
        <x:v>rights</x:v>
      </x:c>
      <x:c r="D2322" s="21" t="str">
        <x:v>right 37 required</x:v>
      </x:c>
      <x:c r="E2322" s="21" t="n">
        <x:f>IF('Rights Register'!G37=1,1,0)</x:f>
        <x:v>1</x:v>
      </x:c>
      <x:c r="F2322" s="21" t="n">
        <x:v>1</x:v>
      </x:c>
      <x:c r="G2322" s="23" t="str">
        <x:f>IF(E2322=F2322,"PASS","FAIL")</x:f>
        <x:v>PASS</x:v>
      </x:c>
    </x:row>
    <x:row r="2323">
      <x:c r="B2323" s="21" t="str">
        <x:v>A2317</x:v>
      </x:c>
      <x:c r="C2323" s="21" t="str">
        <x:v>rights</x:v>
      </x:c>
      <x:c r="D2323" s="21" t="str">
        <x:v>right 37 offered</x:v>
      </x:c>
      <x:c r="E2323" s="21" t="n">
        <x:f>IF('Rights Register'!H37=1,1,0)</x:f>
        <x:v>1</x:v>
      </x:c>
      <x:c r="F2323" s="21" t="n">
        <x:v>1</x:v>
      </x:c>
      <x:c r="G2323" s="23" t="str">
        <x:f>IF(E2323=F2323,"PASS","FAIL")</x:f>
        <x:v>PASS</x:v>
      </x:c>
    </x:row>
    <x:row r="2324">
      <x:c r="B2324" s="21" t="str">
        <x:v>A2318</x:v>
      </x:c>
      <x:c r="C2324" s="21" t="str">
        <x:v>rights</x:v>
      </x:c>
      <x:c r="D2324" s="21" t="str">
        <x:v>right 37 evidence open</x:v>
      </x:c>
      <x:c r="E2324" s="21" t="n">
        <x:f>IF('Rights Register'!I37="OPEN",1,0)</x:f>
        <x:v>1</x:v>
      </x:c>
      <x:c r="F2324" s="21" t="n">
        <x:v>1</x:v>
      </x:c>
      <x:c r="G2324" s="23" t="str">
        <x:f>IF(E2324=F2324,"PASS","FAIL")</x:f>
        <x:v>PASS</x:v>
      </x:c>
    </x:row>
    <x:row r="2325">
      <x:c r="B2325" s="21" t="str">
        <x:v>A2319</x:v>
      </x:c>
      <x:c r="C2325" s="21" t="str">
        <x:v>rights</x:v>
      </x:c>
      <x:c r="D2325" s="21" t="str">
        <x:v>right 37 zero credit</x:v>
      </x:c>
      <x:c r="E2325" s="21" t="n">
        <x:f>IF('Rights Register'!J37=0,1,0)</x:f>
        <x:v>1</x:v>
      </x:c>
      <x:c r="F2325" s="21" t="n">
        <x:v>1</x:v>
      </x:c>
      <x:c r="G2325" s="23" t="str">
        <x:f>IF(E2325=F2325,"PASS","FAIL")</x:f>
        <x:v>PASS</x:v>
      </x:c>
    </x:row>
    <x:row r="2326">
      <x:c r="B2326" s="21" t="str">
        <x:v>A2320</x:v>
      </x:c>
      <x:c r="C2326" s="21" t="str">
        <x:v>rights</x:v>
      </x:c>
      <x:c r="D2326" s="21" t="str">
        <x:v>right 38 required</x:v>
      </x:c>
      <x:c r="E2326" s="21" t="n">
        <x:f>IF('Rights Register'!G38=1,1,0)</x:f>
        <x:v>1</x:v>
      </x:c>
      <x:c r="F2326" s="21" t="n">
        <x:v>1</x:v>
      </x:c>
      <x:c r="G2326" s="23" t="str">
        <x:f>IF(E2326=F2326,"PASS","FAIL")</x:f>
        <x:v>PASS</x:v>
      </x:c>
    </x:row>
    <x:row r="2327">
      <x:c r="B2327" s="21" t="str">
        <x:v>A2321</x:v>
      </x:c>
      <x:c r="C2327" s="21" t="str">
        <x:v>rights</x:v>
      </x:c>
      <x:c r="D2327" s="21" t="str">
        <x:v>right 38 offered</x:v>
      </x:c>
      <x:c r="E2327" s="21" t="n">
        <x:f>IF('Rights Register'!H38=1,1,0)</x:f>
        <x:v>1</x:v>
      </x:c>
      <x:c r="F2327" s="21" t="n">
        <x:v>1</x:v>
      </x:c>
      <x:c r="G2327" s="23" t="str">
        <x:f>IF(E2327=F2327,"PASS","FAIL")</x:f>
        <x:v>PASS</x:v>
      </x:c>
    </x:row>
    <x:row r="2328">
      <x:c r="B2328" s="21" t="str">
        <x:v>A2322</x:v>
      </x:c>
      <x:c r="C2328" s="21" t="str">
        <x:v>rights</x:v>
      </x:c>
      <x:c r="D2328" s="21" t="str">
        <x:v>right 38 evidence open</x:v>
      </x:c>
      <x:c r="E2328" s="21" t="n">
        <x:f>IF('Rights Register'!I38="OPEN",1,0)</x:f>
        <x:v>1</x:v>
      </x:c>
      <x:c r="F2328" s="21" t="n">
        <x:v>1</x:v>
      </x:c>
      <x:c r="G2328" s="23" t="str">
        <x:f>IF(E2328=F2328,"PASS","FAIL")</x:f>
        <x:v>PASS</x:v>
      </x:c>
    </x:row>
    <x:row r="2329">
      <x:c r="B2329" s="21" t="str">
        <x:v>A2323</x:v>
      </x:c>
      <x:c r="C2329" s="21" t="str">
        <x:v>rights</x:v>
      </x:c>
      <x:c r="D2329" s="21" t="str">
        <x:v>right 38 zero credit</x:v>
      </x:c>
      <x:c r="E2329" s="21" t="n">
        <x:f>IF('Rights Register'!J38=0,1,0)</x:f>
        <x:v>1</x:v>
      </x:c>
      <x:c r="F2329" s="21" t="n">
        <x:v>1</x:v>
      </x:c>
      <x:c r="G2329" s="23" t="str">
        <x:f>IF(E2329=F2329,"PASS","FAIL")</x:f>
        <x:v>PASS</x:v>
      </x:c>
    </x:row>
    <x:row r="2330">
      <x:c r="B2330" s="21" t="str">
        <x:v>A2324</x:v>
      </x:c>
      <x:c r="C2330" s="21" t="str">
        <x:v>rights</x:v>
      </x:c>
      <x:c r="D2330" s="21" t="str">
        <x:v>right 39 required</x:v>
      </x:c>
      <x:c r="E2330" s="21" t="n">
        <x:f>IF('Rights Register'!G39=1,1,0)</x:f>
        <x:v>1</x:v>
      </x:c>
      <x:c r="F2330" s="21" t="n">
        <x:v>1</x:v>
      </x:c>
      <x:c r="G2330" s="23" t="str">
        <x:f>IF(E2330=F2330,"PASS","FAIL")</x:f>
        <x:v>PASS</x:v>
      </x:c>
    </x:row>
    <x:row r="2331">
      <x:c r="B2331" s="21" t="str">
        <x:v>A2325</x:v>
      </x:c>
      <x:c r="C2331" s="21" t="str">
        <x:v>rights</x:v>
      </x:c>
      <x:c r="D2331" s="21" t="str">
        <x:v>right 39 offered</x:v>
      </x:c>
      <x:c r="E2331" s="21" t="n">
        <x:f>IF('Rights Register'!H39=1,1,0)</x:f>
        <x:v>1</x:v>
      </x:c>
      <x:c r="F2331" s="21" t="n">
        <x:v>1</x:v>
      </x:c>
      <x:c r="G2331" s="23" t="str">
        <x:f>IF(E2331=F2331,"PASS","FAIL")</x:f>
        <x:v>PASS</x:v>
      </x:c>
    </x:row>
    <x:row r="2332">
      <x:c r="B2332" s="21" t="str">
        <x:v>A2326</x:v>
      </x:c>
      <x:c r="C2332" s="21" t="str">
        <x:v>rights</x:v>
      </x:c>
      <x:c r="D2332" s="21" t="str">
        <x:v>right 39 evidence open</x:v>
      </x:c>
      <x:c r="E2332" s="21" t="n">
        <x:f>IF('Rights Register'!I39="OPEN",1,0)</x:f>
        <x:v>1</x:v>
      </x:c>
      <x:c r="F2332" s="21" t="n">
        <x:v>1</x:v>
      </x:c>
      <x:c r="G2332" s="23" t="str">
        <x:f>IF(E2332=F2332,"PASS","FAIL")</x:f>
        <x:v>PASS</x:v>
      </x:c>
    </x:row>
    <x:row r="2333">
      <x:c r="B2333" s="21" t="str">
        <x:v>A2327</x:v>
      </x:c>
      <x:c r="C2333" s="21" t="str">
        <x:v>rights</x:v>
      </x:c>
      <x:c r="D2333" s="21" t="str">
        <x:v>right 39 zero credit</x:v>
      </x:c>
      <x:c r="E2333" s="21" t="n">
        <x:f>IF('Rights Register'!J39=0,1,0)</x:f>
        <x:v>1</x:v>
      </x:c>
      <x:c r="F2333" s="21" t="n">
        <x:v>1</x:v>
      </x:c>
      <x:c r="G2333" s="23" t="str">
        <x:f>IF(E2333=F2333,"PASS","FAIL")</x:f>
        <x:v>PASS</x:v>
      </x:c>
    </x:row>
    <x:row r="2334">
      <x:c r="B2334" s="21" t="str">
        <x:v>A2328</x:v>
      </x:c>
      <x:c r="C2334" s="21" t="str">
        <x:v>rights</x:v>
      </x:c>
      <x:c r="D2334" s="21" t="str">
        <x:v>right 40 required</x:v>
      </x:c>
      <x:c r="E2334" s="21" t="n">
        <x:f>IF('Rights Register'!G40=1,1,0)</x:f>
        <x:v>1</x:v>
      </x:c>
      <x:c r="F2334" s="21" t="n">
        <x:v>1</x:v>
      </x:c>
      <x:c r="G2334" s="23" t="str">
        <x:f>IF(E2334=F2334,"PASS","FAIL")</x:f>
        <x:v>PASS</x:v>
      </x:c>
    </x:row>
    <x:row r="2335">
      <x:c r="B2335" s="21" t="str">
        <x:v>A2329</x:v>
      </x:c>
      <x:c r="C2335" s="21" t="str">
        <x:v>rights</x:v>
      </x:c>
      <x:c r="D2335" s="21" t="str">
        <x:v>right 40 offered</x:v>
      </x:c>
      <x:c r="E2335" s="21" t="n">
        <x:f>IF('Rights Register'!H40=1,1,0)</x:f>
        <x:v>1</x:v>
      </x:c>
      <x:c r="F2335" s="21" t="n">
        <x:v>1</x:v>
      </x:c>
      <x:c r="G2335" s="23" t="str">
        <x:f>IF(E2335=F2335,"PASS","FAIL")</x:f>
        <x:v>PASS</x:v>
      </x:c>
    </x:row>
    <x:row r="2336">
      <x:c r="B2336" s="21" t="str">
        <x:v>A2330</x:v>
      </x:c>
      <x:c r="C2336" s="21" t="str">
        <x:v>rights</x:v>
      </x:c>
      <x:c r="D2336" s="21" t="str">
        <x:v>right 40 evidence open</x:v>
      </x:c>
      <x:c r="E2336" s="21" t="n">
        <x:f>IF('Rights Register'!I40="OPEN",1,0)</x:f>
        <x:v>1</x:v>
      </x:c>
      <x:c r="F2336" s="21" t="n">
        <x:v>1</x:v>
      </x:c>
      <x:c r="G2336" s="23" t="str">
        <x:f>IF(E2336=F2336,"PASS","FAIL")</x:f>
        <x:v>PASS</x:v>
      </x:c>
    </x:row>
    <x:row r="2337">
      <x:c r="B2337" s="21" t="str">
        <x:v>A2331</x:v>
      </x:c>
      <x:c r="C2337" s="21" t="str">
        <x:v>rights</x:v>
      </x:c>
      <x:c r="D2337" s="21" t="str">
        <x:v>right 40 zero credit</x:v>
      </x:c>
      <x:c r="E2337" s="21" t="n">
        <x:f>IF('Rights Register'!J40=0,1,0)</x:f>
        <x:v>1</x:v>
      </x:c>
      <x:c r="F2337" s="21" t="n">
        <x:v>1</x:v>
      </x:c>
      <x:c r="G2337" s="23" t="str">
        <x:f>IF(E2337=F2337,"PASS","FAIL")</x:f>
        <x:v>PASS</x:v>
      </x:c>
    </x:row>
    <x:row r="2338">
      <x:c r="B2338" s="21" t="str">
        <x:v>A2332</x:v>
      </x:c>
      <x:c r="C2338" s="21" t="str">
        <x:v>rights</x:v>
      </x:c>
      <x:c r="D2338" s="21" t="str">
        <x:v>right 41 required</x:v>
      </x:c>
      <x:c r="E2338" s="21" t="n">
        <x:f>IF('Rights Register'!G41=1,1,0)</x:f>
        <x:v>1</x:v>
      </x:c>
      <x:c r="F2338" s="21" t="n">
        <x:v>1</x:v>
      </x:c>
      <x:c r="G2338" s="23" t="str">
        <x:f>IF(E2338=F2338,"PASS","FAIL")</x:f>
        <x:v>PASS</x:v>
      </x:c>
    </x:row>
    <x:row r="2339">
      <x:c r="B2339" s="21" t="str">
        <x:v>A2333</x:v>
      </x:c>
      <x:c r="C2339" s="21" t="str">
        <x:v>rights</x:v>
      </x:c>
      <x:c r="D2339" s="21" t="str">
        <x:v>right 41 offered</x:v>
      </x:c>
      <x:c r="E2339" s="21" t="n">
        <x:f>IF('Rights Register'!H41=1,1,0)</x:f>
        <x:v>1</x:v>
      </x:c>
      <x:c r="F2339" s="21" t="n">
        <x:v>1</x:v>
      </x:c>
      <x:c r="G2339" s="23" t="str">
        <x:f>IF(E2339=F2339,"PASS","FAIL")</x:f>
        <x:v>PASS</x:v>
      </x:c>
    </x:row>
    <x:row r="2340">
      <x:c r="B2340" s="21" t="str">
        <x:v>A2334</x:v>
      </x:c>
      <x:c r="C2340" s="21" t="str">
        <x:v>rights</x:v>
      </x:c>
      <x:c r="D2340" s="21" t="str">
        <x:v>right 41 evidence open</x:v>
      </x:c>
      <x:c r="E2340" s="21" t="n">
        <x:f>IF('Rights Register'!I41="OPEN",1,0)</x:f>
        <x:v>1</x:v>
      </x:c>
      <x:c r="F2340" s="21" t="n">
        <x:v>1</x:v>
      </x:c>
      <x:c r="G2340" s="23" t="str">
        <x:f>IF(E2340=F2340,"PASS","FAIL")</x:f>
        <x:v>PASS</x:v>
      </x:c>
    </x:row>
    <x:row r="2341">
      <x:c r="B2341" s="21" t="str">
        <x:v>A2335</x:v>
      </x:c>
      <x:c r="C2341" s="21" t="str">
        <x:v>rights</x:v>
      </x:c>
      <x:c r="D2341" s="21" t="str">
        <x:v>right 41 zero credit</x:v>
      </x:c>
      <x:c r="E2341" s="21" t="n">
        <x:f>IF('Rights Register'!J41=0,1,0)</x:f>
        <x:v>1</x:v>
      </x:c>
      <x:c r="F2341" s="21" t="n">
        <x:v>1</x:v>
      </x:c>
      <x:c r="G2341" s="23" t="str">
        <x:f>IF(E2341=F2341,"PASS","FAIL")</x:f>
        <x:v>PASS</x:v>
      </x:c>
    </x:row>
    <x:row r="2342">
      <x:c r="B2342" s="21" t="str">
        <x:v>A2336</x:v>
      </x:c>
      <x:c r="C2342" s="21" t="str">
        <x:v>rights</x:v>
      </x:c>
      <x:c r="D2342" s="21" t="str">
        <x:v>right 42 required</x:v>
      </x:c>
      <x:c r="E2342" s="21" t="n">
        <x:f>IF('Rights Register'!G42=1,1,0)</x:f>
        <x:v>1</x:v>
      </x:c>
      <x:c r="F2342" s="21" t="n">
        <x:v>1</x:v>
      </x:c>
      <x:c r="G2342" s="23" t="str">
        <x:f>IF(E2342=F2342,"PASS","FAIL")</x:f>
        <x:v>PASS</x:v>
      </x:c>
    </x:row>
    <x:row r="2343">
      <x:c r="B2343" s="21" t="str">
        <x:v>A2337</x:v>
      </x:c>
      <x:c r="C2343" s="21" t="str">
        <x:v>rights</x:v>
      </x:c>
      <x:c r="D2343" s="21" t="str">
        <x:v>right 42 offered</x:v>
      </x:c>
      <x:c r="E2343" s="21" t="n">
        <x:f>IF('Rights Register'!H42=1,1,0)</x:f>
        <x:v>1</x:v>
      </x:c>
      <x:c r="F2343" s="21" t="n">
        <x:v>1</x:v>
      </x:c>
      <x:c r="G2343" s="23" t="str">
        <x:f>IF(E2343=F2343,"PASS","FAIL")</x:f>
        <x:v>PASS</x:v>
      </x:c>
    </x:row>
    <x:row r="2344">
      <x:c r="B2344" s="21" t="str">
        <x:v>A2338</x:v>
      </x:c>
      <x:c r="C2344" s="21" t="str">
        <x:v>rights</x:v>
      </x:c>
      <x:c r="D2344" s="21" t="str">
        <x:v>right 42 evidence open</x:v>
      </x:c>
      <x:c r="E2344" s="21" t="n">
        <x:f>IF('Rights Register'!I42="OPEN",1,0)</x:f>
        <x:v>1</x:v>
      </x:c>
      <x:c r="F2344" s="21" t="n">
        <x:v>1</x:v>
      </x:c>
      <x:c r="G2344" s="23" t="str">
        <x:f>IF(E2344=F2344,"PASS","FAIL")</x:f>
        <x:v>PASS</x:v>
      </x:c>
    </x:row>
    <x:row r="2345">
      <x:c r="B2345" s="21" t="str">
        <x:v>A2339</x:v>
      </x:c>
      <x:c r="C2345" s="21" t="str">
        <x:v>rights</x:v>
      </x:c>
      <x:c r="D2345" s="21" t="str">
        <x:v>right 42 zero credit</x:v>
      </x:c>
      <x:c r="E2345" s="21" t="n">
        <x:f>IF('Rights Register'!J42=0,1,0)</x:f>
        <x:v>1</x:v>
      </x:c>
      <x:c r="F2345" s="21" t="n">
        <x:v>1</x:v>
      </x:c>
      <x:c r="G2345" s="23" t="str">
        <x:f>IF(E2345=F2345,"PASS","FAIL")</x:f>
        <x:v>PASS</x:v>
      </x:c>
    </x:row>
    <x:row r="2346">
      <x:c r="B2346" s="21" t="str">
        <x:v>A2340</x:v>
      </x:c>
      <x:c r="C2346" s="21" t="str">
        <x:v>rights</x:v>
      </x:c>
      <x:c r="D2346" s="21" t="str">
        <x:v>right 43 required</x:v>
      </x:c>
      <x:c r="E2346" s="21" t="n">
        <x:f>IF('Rights Register'!G43=1,1,0)</x:f>
        <x:v>1</x:v>
      </x:c>
      <x:c r="F2346" s="21" t="n">
        <x:v>1</x:v>
      </x:c>
      <x:c r="G2346" s="23" t="str">
        <x:f>IF(E2346=F2346,"PASS","FAIL")</x:f>
        <x:v>PASS</x:v>
      </x:c>
    </x:row>
    <x:row r="2347">
      <x:c r="B2347" s="21" t="str">
        <x:v>A2341</x:v>
      </x:c>
      <x:c r="C2347" s="21" t="str">
        <x:v>rights</x:v>
      </x:c>
      <x:c r="D2347" s="21" t="str">
        <x:v>right 43 offered</x:v>
      </x:c>
      <x:c r="E2347" s="21" t="n">
        <x:f>IF('Rights Register'!H43=1,1,0)</x:f>
        <x:v>1</x:v>
      </x:c>
      <x:c r="F2347" s="21" t="n">
        <x:v>1</x:v>
      </x:c>
      <x:c r="G2347" s="23" t="str">
        <x:f>IF(E2347=F2347,"PASS","FAIL")</x:f>
        <x:v>PASS</x:v>
      </x:c>
    </x:row>
    <x:row r="2348">
      <x:c r="B2348" s="21" t="str">
        <x:v>A2342</x:v>
      </x:c>
      <x:c r="C2348" s="21" t="str">
        <x:v>rights</x:v>
      </x:c>
      <x:c r="D2348" s="21" t="str">
        <x:v>right 43 evidence open</x:v>
      </x:c>
      <x:c r="E2348" s="21" t="n">
        <x:f>IF('Rights Register'!I43="OPEN",1,0)</x:f>
        <x:v>1</x:v>
      </x:c>
      <x:c r="F2348" s="21" t="n">
        <x:v>1</x:v>
      </x:c>
      <x:c r="G2348" s="23" t="str">
        <x:f>IF(E2348=F2348,"PASS","FAIL")</x:f>
        <x:v>PASS</x:v>
      </x:c>
    </x:row>
    <x:row r="2349">
      <x:c r="B2349" s="21" t="str">
        <x:v>A2343</x:v>
      </x:c>
      <x:c r="C2349" s="21" t="str">
        <x:v>rights</x:v>
      </x:c>
      <x:c r="D2349" s="21" t="str">
        <x:v>right 43 zero credit</x:v>
      </x:c>
      <x:c r="E2349" s="21" t="n">
        <x:f>IF('Rights Register'!J43=0,1,0)</x:f>
        <x:v>1</x:v>
      </x:c>
      <x:c r="F2349" s="21" t="n">
        <x:v>1</x:v>
      </x:c>
      <x:c r="G2349" s="23" t="str">
        <x:f>IF(E2349=F2349,"PASS","FAIL")</x:f>
        <x:v>PASS</x:v>
      </x:c>
    </x:row>
    <x:row r="2350">
      <x:c r="B2350" s="21" t="str">
        <x:v>A2344</x:v>
      </x:c>
      <x:c r="C2350" s="21" t="str">
        <x:v>rights</x:v>
      </x:c>
      <x:c r="D2350" s="21" t="str">
        <x:v>right 44 required</x:v>
      </x:c>
      <x:c r="E2350" s="21" t="n">
        <x:f>IF('Rights Register'!G44=1,1,0)</x:f>
        <x:v>1</x:v>
      </x:c>
      <x:c r="F2350" s="21" t="n">
        <x:v>1</x:v>
      </x:c>
      <x:c r="G2350" s="23" t="str">
        <x:f>IF(E2350=F2350,"PASS","FAIL")</x:f>
        <x:v>PASS</x:v>
      </x:c>
    </x:row>
    <x:row r="2351">
      <x:c r="B2351" s="21" t="str">
        <x:v>A2345</x:v>
      </x:c>
      <x:c r="C2351" s="21" t="str">
        <x:v>rights</x:v>
      </x:c>
      <x:c r="D2351" s="21" t="str">
        <x:v>right 44 offered</x:v>
      </x:c>
      <x:c r="E2351" s="21" t="n">
        <x:f>IF('Rights Register'!H44=1,1,0)</x:f>
        <x:v>1</x:v>
      </x:c>
      <x:c r="F2351" s="21" t="n">
        <x:v>1</x:v>
      </x:c>
      <x:c r="G2351" s="23" t="str">
        <x:f>IF(E2351=F2351,"PASS","FAIL")</x:f>
        <x:v>PASS</x:v>
      </x:c>
    </x:row>
    <x:row r="2352">
      <x:c r="B2352" s="21" t="str">
        <x:v>A2346</x:v>
      </x:c>
      <x:c r="C2352" s="21" t="str">
        <x:v>rights</x:v>
      </x:c>
      <x:c r="D2352" s="21" t="str">
        <x:v>right 44 evidence open</x:v>
      </x:c>
      <x:c r="E2352" s="21" t="n">
        <x:f>IF('Rights Register'!I44="OPEN",1,0)</x:f>
        <x:v>1</x:v>
      </x:c>
      <x:c r="F2352" s="21" t="n">
        <x:v>1</x:v>
      </x:c>
      <x:c r="G2352" s="23" t="str">
        <x:f>IF(E2352=F2352,"PASS","FAIL")</x:f>
        <x:v>PASS</x:v>
      </x:c>
    </x:row>
    <x:row r="2353">
      <x:c r="B2353" s="21" t="str">
        <x:v>A2347</x:v>
      </x:c>
      <x:c r="C2353" s="21" t="str">
        <x:v>rights</x:v>
      </x:c>
      <x:c r="D2353" s="21" t="str">
        <x:v>right 44 zero credit</x:v>
      </x:c>
      <x:c r="E2353" s="21" t="n">
        <x:f>IF('Rights Register'!J44=0,1,0)</x:f>
        <x:v>1</x:v>
      </x:c>
      <x:c r="F2353" s="21" t="n">
        <x:v>1</x:v>
      </x:c>
      <x:c r="G2353" s="23" t="str">
        <x:f>IF(E2353=F2353,"PASS","FAIL")</x:f>
        <x:v>PASS</x:v>
      </x:c>
    </x:row>
    <x:row r="2354">
      <x:c r="B2354" s="21" t="str">
        <x:v>A2348</x:v>
      </x:c>
      <x:c r="C2354" s="21" t="str">
        <x:v>rights</x:v>
      </x:c>
      <x:c r="D2354" s="21" t="str">
        <x:v>right 45 required</x:v>
      </x:c>
      <x:c r="E2354" s="21" t="n">
        <x:f>IF('Rights Register'!G45=1,1,0)</x:f>
        <x:v>1</x:v>
      </x:c>
      <x:c r="F2354" s="21" t="n">
        <x:v>1</x:v>
      </x:c>
      <x:c r="G2354" s="23" t="str">
        <x:f>IF(E2354=F2354,"PASS","FAIL")</x:f>
        <x:v>PASS</x:v>
      </x:c>
    </x:row>
    <x:row r="2355">
      <x:c r="B2355" s="21" t="str">
        <x:v>A2349</x:v>
      </x:c>
      <x:c r="C2355" s="21" t="str">
        <x:v>rights</x:v>
      </x:c>
      <x:c r="D2355" s="21" t="str">
        <x:v>right 45 offered</x:v>
      </x:c>
      <x:c r="E2355" s="21" t="n">
        <x:f>IF('Rights Register'!H45=1,1,0)</x:f>
        <x:v>1</x:v>
      </x:c>
      <x:c r="F2355" s="21" t="n">
        <x:v>1</x:v>
      </x:c>
      <x:c r="G2355" s="23" t="str">
        <x:f>IF(E2355=F2355,"PASS","FAIL")</x:f>
        <x:v>PASS</x:v>
      </x:c>
    </x:row>
    <x:row r="2356">
      <x:c r="B2356" s="21" t="str">
        <x:v>A2350</x:v>
      </x:c>
      <x:c r="C2356" s="21" t="str">
        <x:v>rights</x:v>
      </x:c>
      <x:c r="D2356" s="21" t="str">
        <x:v>right 45 evidence open</x:v>
      </x:c>
      <x:c r="E2356" s="21" t="n">
        <x:f>IF('Rights Register'!I45="OPEN",1,0)</x:f>
        <x:v>1</x:v>
      </x:c>
      <x:c r="F2356" s="21" t="n">
        <x:v>1</x:v>
      </x:c>
      <x:c r="G2356" s="23" t="str">
        <x:f>IF(E2356=F2356,"PASS","FAIL")</x:f>
        <x:v>PASS</x:v>
      </x:c>
    </x:row>
    <x:row r="2357">
      <x:c r="B2357" s="21" t="str">
        <x:v>A2351</x:v>
      </x:c>
      <x:c r="C2357" s="21" t="str">
        <x:v>rights</x:v>
      </x:c>
      <x:c r="D2357" s="21" t="str">
        <x:v>right 45 zero credit</x:v>
      </x:c>
      <x:c r="E2357" s="21" t="n">
        <x:f>IF('Rights Register'!J45=0,1,0)</x:f>
        <x:v>1</x:v>
      </x:c>
      <x:c r="F2357" s="21" t="n">
        <x:v>1</x:v>
      </x:c>
      <x:c r="G2357" s="23" t="str">
        <x:f>IF(E2357=F2357,"PASS","FAIL")</x:f>
        <x:v>PASS</x:v>
      </x:c>
    </x:row>
    <x:row r="2358">
      <x:c r="B2358" s="21" t="str">
        <x:v>A2352</x:v>
      </x:c>
      <x:c r="C2358" s="21" t="str">
        <x:v>rights</x:v>
      </x:c>
      <x:c r="D2358" s="21" t="str">
        <x:v>right 46 required</x:v>
      </x:c>
      <x:c r="E2358" s="21" t="n">
        <x:f>IF('Rights Register'!G46=1,1,0)</x:f>
        <x:v>1</x:v>
      </x:c>
      <x:c r="F2358" s="21" t="n">
        <x:v>1</x:v>
      </x:c>
      <x:c r="G2358" s="23" t="str">
        <x:f>IF(E2358=F2358,"PASS","FAIL")</x:f>
        <x:v>PASS</x:v>
      </x:c>
    </x:row>
    <x:row r="2359">
      <x:c r="B2359" s="21" t="str">
        <x:v>A2353</x:v>
      </x:c>
      <x:c r="C2359" s="21" t="str">
        <x:v>rights</x:v>
      </x:c>
      <x:c r="D2359" s="21" t="str">
        <x:v>right 46 offered</x:v>
      </x:c>
      <x:c r="E2359" s="21" t="n">
        <x:f>IF('Rights Register'!H46=1,1,0)</x:f>
        <x:v>1</x:v>
      </x:c>
      <x:c r="F2359" s="21" t="n">
        <x:v>1</x:v>
      </x:c>
      <x:c r="G2359" s="23" t="str">
        <x:f>IF(E2359=F2359,"PASS","FAIL")</x:f>
        <x:v>PASS</x:v>
      </x:c>
    </x:row>
    <x:row r="2360">
      <x:c r="B2360" s="21" t="str">
        <x:v>A2354</x:v>
      </x:c>
      <x:c r="C2360" s="21" t="str">
        <x:v>rights</x:v>
      </x:c>
      <x:c r="D2360" s="21" t="str">
        <x:v>right 46 evidence open</x:v>
      </x:c>
      <x:c r="E2360" s="21" t="n">
        <x:f>IF('Rights Register'!I46="OPEN",1,0)</x:f>
        <x:v>1</x:v>
      </x:c>
      <x:c r="F2360" s="21" t="n">
        <x:v>1</x:v>
      </x:c>
      <x:c r="G2360" s="23" t="str">
        <x:f>IF(E2360=F2360,"PASS","FAIL")</x:f>
        <x:v>PASS</x:v>
      </x:c>
    </x:row>
    <x:row r="2361">
      <x:c r="B2361" s="21" t="str">
        <x:v>A2355</x:v>
      </x:c>
      <x:c r="C2361" s="21" t="str">
        <x:v>rights</x:v>
      </x:c>
      <x:c r="D2361" s="21" t="str">
        <x:v>right 46 zero credit</x:v>
      </x:c>
      <x:c r="E2361" s="21" t="n">
        <x:f>IF('Rights Register'!J46=0,1,0)</x:f>
        <x:v>1</x:v>
      </x:c>
      <x:c r="F2361" s="21" t="n">
        <x:v>1</x:v>
      </x:c>
      <x:c r="G2361" s="23" t="str">
        <x:f>IF(E2361=F2361,"PASS","FAIL")</x:f>
        <x:v>PASS</x:v>
      </x:c>
    </x:row>
    <x:row r="2362">
      <x:c r="B2362" s="21" t="str">
        <x:v>A2356</x:v>
      </x:c>
      <x:c r="C2362" s="21" t="str">
        <x:v>rights</x:v>
      </x:c>
      <x:c r="D2362" s="21" t="str">
        <x:v>right 47 required</x:v>
      </x:c>
      <x:c r="E2362" s="21" t="n">
        <x:f>IF('Rights Register'!G47=1,1,0)</x:f>
        <x:v>1</x:v>
      </x:c>
      <x:c r="F2362" s="21" t="n">
        <x:v>1</x:v>
      </x:c>
      <x:c r="G2362" s="23" t="str">
        <x:f>IF(E2362=F2362,"PASS","FAIL")</x:f>
        <x:v>PASS</x:v>
      </x:c>
    </x:row>
    <x:row r="2363">
      <x:c r="B2363" s="21" t="str">
        <x:v>A2357</x:v>
      </x:c>
      <x:c r="C2363" s="21" t="str">
        <x:v>rights</x:v>
      </x:c>
      <x:c r="D2363" s="21" t="str">
        <x:v>right 47 offered</x:v>
      </x:c>
      <x:c r="E2363" s="21" t="n">
        <x:f>IF('Rights Register'!H47=1,1,0)</x:f>
        <x:v>1</x:v>
      </x:c>
      <x:c r="F2363" s="21" t="n">
        <x:v>1</x:v>
      </x:c>
      <x:c r="G2363" s="23" t="str">
        <x:f>IF(E2363=F2363,"PASS","FAIL")</x:f>
        <x:v>PASS</x:v>
      </x:c>
    </x:row>
    <x:row r="2364">
      <x:c r="B2364" s="21" t="str">
        <x:v>A2358</x:v>
      </x:c>
      <x:c r="C2364" s="21" t="str">
        <x:v>rights</x:v>
      </x:c>
      <x:c r="D2364" s="21" t="str">
        <x:v>right 47 evidence open</x:v>
      </x:c>
      <x:c r="E2364" s="21" t="n">
        <x:f>IF('Rights Register'!I47="OPEN",1,0)</x:f>
        <x:v>1</x:v>
      </x:c>
      <x:c r="F2364" s="21" t="n">
        <x:v>1</x:v>
      </x:c>
      <x:c r="G2364" s="23" t="str">
        <x:f>IF(E2364=F2364,"PASS","FAIL")</x:f>
        <x:v>PASS</x:v>
      </x:c>
    </x:row>
    <x:row r="2365">
      <x:c r="B2365" s="21" t="str">
        <x:v>A2359</x:v>
      </x:c>
      <x:c r="C2365" s="21" t="str">
        <x:v>rights</x:v>
      </x:c>
      <x:c r="D2365" s="21" t="str">
        <x:v>right 47 zero credit</x:v>
      </x:c>
      <x:c r="E2365" s="21" t="n">
        <x:f>IF('Rights Register'!J47=0,1,0)</x:f>
        <x:v>1</x:v>
      </x:c>
      <x:c r="F2365" s="21" t="n">
        <x:v>1</x:v>
      </x:c>
      <x:c r="G2365" s="23" t="str">
        <x:f>IF(E2365=F2365,"PASS","FAIL")</x:f>
        <x:v>PASS</x:v>
      </x:c>
    </x:row>
    <x:row r="2366">
      <x:c r="B2366" s="21" t="str">
        <x:v>A2360</x:v>
      </x:c>
      <x:c r="C2366" s="21" t="str">
        <x:v>rights</x:v>
      </x:c>
      <x:c r="D2366" s="21" t="str">
        <x:v>right 48 required</x:v>
      </x:c>
      <x:c r="E2366" s="21" t="n">
        <x:f>IF('Rights Register'!G48=1,1,0)</x:f>
        <x:v>1</x:v>
      </x:c>
      <x:c r="F2366" s="21" t="n">
        <x:v>1</x:v>
      </x:c>
      <x:c r="G2366" s="23" t="str">
        <x:f>IF(E2366=F2366,"PASS","FAIL")</x:f>
        <x:v>PASS</x:v>
      </x:c>
    </x:row>
    <x:row r="2367">
      <x:c r="B2367" s="21" t="str">
        <x:v>A2361</x:v>
      </x:c>
      <x:c r="C2367" s="21" t="str">
        <x:v>rights</x:v>
      </x:c>
      <x:c r="D2367" s="21" t="str">
        <x:v>right 48 offered</x:v>
      </x:c>
      <x:c r="E2367" s="21" t="n">
        <x:f>IF('Rights Register'!H48=1,1,0)</x:f>
        <x:v>1</x:v>
      </x:c>
      <x:c r="F2367" s="21" t="n">
        <x:v>1</x:v>
      </x:c>
      <x:c r="G2367" s="23" t="str">
        <x:f>IF(E2367=F2367,"PASS","FAIL")</x:f>
        <x:v>PASS</x:v>
      </x:c>
    </x:row>
    <x:row r="2368">
      <x:c r="B2368" s="21" t="str">
        <x:v>A2362</x:v>
      </x:c>
      <x:c r="C2368" s="21" t="str">
        <x:v>rights</x:v>
      </x:c>
      <x:c r="D2368" s="21" t="str">
        <x:v>right 48 evidence open</x:v>
      </x:c>
      <x:c r="E2368" s="21" t="n">
        <x:f>IF('Rights Register'!I48="OPEN",1,0)</x:f>
        <x:v>1</x:v>
      </x:c>
      <x:c r="F2368" s="21" t="n">
        <x:v>1</x:v>
      </x:c>
      <x:c r="G2368" s="23" t="str">
        <x:f>IF(E2368=F2368,"PASS","FAIL")</x:f>
        <x:v>PASS</x:v>
      </x:c>
    </x:row>
    <x:row r="2369">
      <x:c r="B2369" s="21" t="str">
        <x:v>A2363</x:v>
      </x:c>
      <x:c r="C2369" s="21" t="str">
        <x:v>rights</x:v>
      </x:c>
      <x:c r="D2369" s="21" t="str">
        <x:v>right 48 zero credit</x:v>
      </x:c>
      <x:c r="E2369" s="21" t="n">
        <x:f>IF('Rights Register'!J48=0,1,0)</x:f>
        <x:v>1</x:v>
      </x:c>
      <x:c r="F2369" s="21" t="n">
        <x:v>1</x:v>
      </x:c>
      <x:c r="G2369" s="23" t="str">
        <x:f>IF(E2369=F2369,"PASS","FAIL")</x:f>
        <x:v>PASS</x:v>
      </x:c>
    </x:row>
    <x:row r="2370">
      <x:c r="B2370" s="21" t="str">
        <x:v>A2364</x:v>
      </x:c>
      <x:c r="C2370" s="21" t="str">
        <x:v>rights</x:v>
      </x:c>
      <x:c r="D2370" s="21" t="str">
        <x:v>right 49 required</x:v>
      </x:c>
      <x:c r="E2370" s="21" t="n">
        <x:f>IF('Rights Register'!G49=1,1,0)</x:f>
        <x:v>1</x:v>
      </x:c>
      <x:c r="F2370" s="21" t="n">
        <x:v>1</x:v>
      </x:c>
      <x:c r="G2370" s="23" t="str">
        <x:f>IF(E2370=F2370,"PASS","FAIL")</x:f>
        <x:v>PASS</x:v>
      </x:c>
    </x:row>
    <x:row r="2371">
      <x:c r="B2371" s="21" t="str">
        <x:v>A2365</x:v>
      </x:c>
      <x:c r="C2371" s="21" t="str">
        <x:v>rights</x:v>
      </x:c>
      <x:c r="D2371" s="21" t="str">
        <x:v>right 49 offered</x:v>
      </x:c>
      <x:c r="E2371" s="21" t="n">
        <x:f>IF('Rights Register'!H49=1,1,0)</x:f>
        <x:v>1</x:v>
      </x:c>
      <x:c r="F2371" s="21" t="n">
        <x:v>1</x:v>
      </x:c>
      <x:c r="G2371" s="23" t="str">
        <x:f>IF(E2371=F2371,"PASS","FAIL")</x:f>
        <x:v>PASS</x:v>
      </x:c>
    </x:row>
    <x:row r="2372">
      <x:c r="B2372" s="21" t="str">
        <x:v>A2366</x:v>
      </x:c>
      <x:c r="C2372" s="21" t="str">
        <x:v>rights</x:v>
      </x:c>
      <x:c r="D2372" s="21" t="str">
        <x:v>right 49 evidence open</x:v>
      </x:c>
      <x:c r="E2372" s="21" t="n">
        <x:f>IF('Rights Register'!I49="OPEN",1,0)</x:f>
        <x:v>1</x:v>
      </x:c>
      <x:c r="F2372" s="21" t="n">
        <x:v>1</x:v>
      </x:c>
      <x:c r="G2372" s="23" t="str">
        <x:f>IF(E2372=F2372,"PASS","FAIL")</x:f>
        <x:v>PASS</x:v>
      </x:c>
    </x:row>
    <x:row r="2373">
      <x:c r="B2373" s="21" t="str">
        <x:v>A2367</x:v>
      </x:c>
      <x:c r="C2373" s="21" t="str">
        <x:v>rights</x:v>
      </x:c>
      <x:c r="D2373" s="21" t="str">
        <x:v>right 49 zero credit</x:v>
      </x:c>
      <x:c r="E2373" s="21" t="n">
        <x:f>IF('Rights Register'!J49=0,1,0)</x:f>
        <x:v>1</x:v>
      </x:c>
      <x:c r="F2373" s="21" t="n">
        <x:v>1</x:v>
      </x:c>
      <x:c r="G2373" s="23" t="str">
        <x:f>IF(E2373=F2373,"PASS","FAIL")</x:f>
        <x:v>PASS</x:v>
      </x:c>
    </x:row>
    <x:row r="2374">
      <x:c r="B2374" s="21" t="str">
        <x:v>A2368</x:v>
      </x:c>
      <x:c r="C2374" s="21" t="str">
        <x:v>rights</x:v>
      </x:c>
      <x:c r="D2374" s="21" t="str">
        <x:v>right 50 required</x:v>
      </x:c>
      <x:c r="E2374" s="21" t="n">
        <x:f>IF('Rights Register'!G50=1,1,0)</x:f>
        <x:v>1</x:v>
      </x:c>
      <x:c r="F2374" s="21" t="n">
        <x:v>1</x:v>
      </x:c>
      <x:c r="G2374" s="23" t="str">
        <x:f>IF(E2374=F2374,"PASS","FAIL")</x:f>
        <x:v>PASS</x:v>
      </x:c>
    </x:row>
    <x:row r="2375">
      <x:c r="B2375" s="21" t="str">
        <x:v>A2369</x:v>
      </x:c>
      <x:c r="C2375" s="21" t="str">
        <x:v>rights</x:v>
      </x:c>
      <x:c r="D2375" s="21" t="str">
        <x:v>right 50 offered</x:v>
      </x:c>
      <x:c r="E2375" s="21" t="n">
        <x:f>IF('Rights Register'!H50=1,1,0)</x:f>
        <x:v>1</x:v>
      </x:c>
      <x:c r="F2375" s="21" t="n">
        <x:v>1</x:v>
      </x:c>
      <x:c r="G2375" s="23" t="str">
        <x:f>IF(E2375=F2375,"PASS","FAIL")</x:f>
        <x:v>PASS</x:v>
      </x:c>
    </x:row>
    <x:row r="2376">
      <x:c r="B2376" s="21" t="str">
        <x:v>A2370</x:v>
      </x:c>
      <x:c r="C2376" s="21" t="str">
        <x:v>rights</x:v>
      </x:c>
      <x:c r="D2376" s="21" t="str">
        <x:v>right 50 evidence open</x:v>
      </x:c>
      <x:c r="E2376" s="21" t="n">
        <x:f>IF('Rights Register'!I50="OPEN",1,0)</x:f>
        <x:v>1</x:v>
      </x:c>
      <x:c r="F2376" s="21" t="n">
        <x:v>1</x:v>
      </x:c>
      <x:c r="G2376" s="23" t="str">
        <x:f>IF(E2376=F2376,"PASS","FAIL")</x:f>
        <x:v>PASS</x:v>
      </x:c>
    </x:row>
    <x:row r="2377">
      <x:c r="B2377" s="21" t="str">
        <x:v>A2371</x:v>
      </x:c>
      <x:c r="C2377" s="21" t="str">
        <x:v>rights</x:v>
      </x:c>
      <x:c r="D2377" s="21" t="str">
        <x:v>right 50 zero credit</x:v>
      </x:c>
      <x:c r="E2377" s="21" t="n">
        <x:f>IF('Rights Register'!J50=0,1,0)</x:f>
        <x:v>1</x:v>
      </x:c>
      <x:c r="F2377" s="21" t="n">
        <x:v>1</x:v>
      </x:c>
      <x:c r="G2377" s="23" t="str">
        <x:f>IF(E2377=F2377,"PASS","FAIL")</x:f>
        <x:v>PASS</x:v>
      </x:c>
    </x:row>
    <x:row r="2378">
      <x:c r="B2378" s="21" t="str">
        <x:v>A2372</x:v>
      </x:c>
      <x:c r="C2378" s="21" t="str">
        <x:v>rights</x:v>
      </x:c>
      <x:c r="D2378" s="21" t="str">
        <x:v>right 51 required</x:v>
      </x:c>
      <x:c r="E2378" s="21" t="n">
        <x:f>IF('Rights Register'!G51=1,1,0)</x:f>
        <x:v>1</x:v>
      </x:c>
      <x:c r="F2378" s="21" t="n">
        <x:v>1</x:v>
      </x:c>
      <x:c r="G2378" s="23" t="str">
        <x:f>IF(E2378=F2378,"PASS","FAIL")</x:f>
        <x:v>PASS</x:v>
      </x:c>
    </x:row>
    <x:row r="2379">
      <x:c r="B2379" s="21" t="str">
        <x:v>A2373</x:v>
      </x:c>
      <x:c r="C2379" s="21" t="str">
        <x:v>rights</x:v>
      </x:c>
      <x:c r="D2379" s="21" t="str">
        <x:v>right 51 offered</x:v>
      </x:c>
      <x:c r="E2379" s="21" t="n">
        <x:f>IF('Rights Register'!H51=1,1,0)</x:f>
        <x:v>1</x:v>
      </x:c>
      <x:c r="F2379" s="21" t="n">
        <x:v>1</x:v>
      </x:c>
      <x:c r="G2379" s="23" t="str">
        <x:f>IF(E2379=F2379,"PASS","FAIL")</x:f>
        <x:v>PASS</x:v>
      </x:c>
    </x:row>
    <x:row r="2380">
      <x:c r="B2380" s="21" t="str">
        <x:v>A2374</x:v>
      </x:c>
      <x:c r="C2380" s="21" t="str">
        <x:v>rights</x:v>
      </x:c>
      <x:c r="D2380" s="21" t="str">
        <x:v>right 51 evidence open</x:v>
      </x:c>
      <x:c r="E2380" s="21" t="n">
        <x:f>IF('Rights Register'!I51="OPEN",1,0)</x:f>
        <x:v>1</x:v>
      </x:c>
      <x:c r="F2380" s="21" t="n">
        <x:v>1</x:v>
      </x:c>
      <x:c r="G2380" s="23" t="str">
        <x:f>IF(E2380=F2380,"PASS","FAIL")</x:f>
        <x:v>PASS</x:v>
      </x:c>
    </x:row>
    <x:row r="2381">
      <x:c r="B2381" s="21" t="str">
        <x:v>A2375</x:v>
      </x:c>
      <x:c r="C2381" s="21" t="str">
        <x:v>rights</x:v>
      </x:c>
      <x:c r="D2381" s="21" t="str">
        <x:v>right 51 zero credit</x:v>
      </x:c>
      <x:c r="E2381" s="21" t="n">
        <x:f>IF('Rights Register'!J51=0,1,0)</x:f>
        <x:v>1</x:v>
      </x:c>
      <x:c r="F2381" s="21" t="n">
        <x:v>1</x:v>
      </x:c>
      <x:c r="G2381" s="23" t="str">
        <x:f>IF(E2381=F2381,"PASS","FAIL")</x:f>
        <x:v>PASS</x:v>
      </x:c>
    </x:row>
    <x:row r="2382">
      <x:c r="B2382" s="21" t="str">
        <x:v>A2376</x:v>
      </x:c>
      <x:c r="C2382" s="21" t="str">
        <x:v>rights</x:v>
      </x:c>
      <x:c r="D2382" s="21" t="str">
        <x:v>right 52 required</x:v>
      </x:c>
      <x:c r="E2382" s="21" t="n">
        <x:f>IF('Rights Register'!G52=1,1,0)</x:f>
        <x:v>1</x:v>
      </x:c>
      <x:c r="F2382" s="21" t="n">
        <x:v>1</x:v>
      </x:c>
      <x:c r="G2382" s="23" t="str">
        <x:f>IF(E2382=F2382,"PASS","FAIL")</x:f>
        <x:v>PASS</x:v>
      </x:c>
    </x:row>
    <x:row r="2383">
      <x:c r="B2383" s="21" t="str">
        <x:v>A2377</x:v>
      </x:c>
      <x:c r="C2383" s="21" t="str">
        <x:v>rights</x:v>
      </x:c>
      <x:c r="D2383" s="21" t="str">
        <x:v>right 52 offered</x:v>
      </x:c>
      <x:c r="E2383" s="21" t="n">
        <x:f>IF('Rights Register'!H52=1,1,0)</x:f>
        <x:v>1</x:v>
      </x:c>
      <x:c r="F2383" s="21" t="n">
        <x:v>1</x:v>
      </x:c>
      <x:c r="G2383" s="23" t="str">
        <x:f>IF(E2383=F2383,"PASS","FAIL")</x:f>
        <x:v>PASS</x:v>
      </x:c>
    </x:row>
    <x:row r="2384">
      <x:c r="B2384" s="21" t="str">
        <x:v>A2378</x:v>
      </x:c>
      <x:c r="C2384" s="21" t="str">
        <x:v>rights</x:v>
      </x:c>
      <x:c r="D2384" s="21" t="str">
        <x:v>right 52 evidence open</x:v>
      </x:c>
      <x:c r="E2384" s="21" t="n">
        <x:f>IF('Rights Register'!I52="OPEN",1,0)</x:f>
        <x:v>1</x:v>
      </x:c>
      <x:c r="F2384" s="21" t="n">
        <x:v>1</x:v>
      </x:c>
      <x:c r="G2384" s="23" t="str">
        <x:f>IF(E2384=F2384,"PASS","FAIL")</x:f>
        <x:v>PASS</x:v>
      </x:c>
    </x:row>
    <x:row r="2385">
      <x:c r="B2385" s="21" t="str">
        <x:v>A2379</x:v>
      </x:c>
      <x:c r="C2385" s="21" t="str">
        <x:v>rights</x:v>
      </x:c>
      <x:c r="D2385" s="21" t="str">
        <x:v>right 52 zero credit</x:v>
      </x:c>
      <x:c r="E2385" s="21" t="n">
        <x:f>IF('Rights Register'!J52=0,1,0)</x:f>
        <x:v>1</x:v>
      </x:c>
      <x:c r="F2385" s="21" t="n">
        <x:v>1</x:v>
      </x:c>
      <x:c r="G2385" s="23" t="str">
        <x:f>IF(E2385=F2385,"PASS","FAIL")</x:f>
        <x:v>PASS</x:v>
      </x:c>
    </x:row>
    <x:row r="2386">
      <x:c r="B2386" s="21" t="str">
        <x:v>A2380</x:v>
      </x:c>
      <x:c r="C2386" s="21" t="str">
        <x:v>rights</x:v>
      </x:c>
      <x:c r="D2386" s="21" t="str">
        <x:v>right 53 required</x:v>
      </x:c>
      <x:c r="E2386" s="21" t="n">
        <x:f>IF('Rights Register'!G53=1,1,0)</x:f>
        <x:v>1</x:v>
      </x:c>
      <x:c r="F2386" s="21" t="n">
        <x:v>1</x:v>
      </x:c>
      <x:c r="G2386" s="23" t="str">
        <x:f>IF(E2386=F2386,"PASS","FAIL")</x:f>
        <x:v>PASS</x:v>
      </x:c>
    </x:row>
    <x:row r="2387">
      <x:c r="B2387" s="21" t="str">
        <x:v>A2381</x:v>
      </x:c>
      <x:c r="C2387" s="21" t="str">
        <x:v>rights</x:v>
      </x:c>
      <x:c r="D2387" s="21" t="str">
        <x:v>right 53 offered</x:v>
      </x:c>
      <x:c r="E2387" s="21" t="n">
        <x:f>IF('Rights Register'!H53=1,1,0)</x:f>
        <x:v>1</x:v>
      </x:c>
      <x:c r="F2387" s="21" t="n">
        <x:v>1</x:v>
      </x:c>
      <x:c r="G2387" s="23" t="str">
        <x:f>IF(E2387=F2387,"PASS","FAIL")</x:f>
        <x:v>PASS</x:v>
      </x:c>
    </x:row>
    <x:row r="2388">
      <x:c r="B2388" s="21" t="str">
        <x:v>A2382</x:v>
      </x:c>
      <x:c r="C2388" s="21" t="str">
        <x:v>rights</x:v>
      </x:c>
      <x:c r="D2388" s="21" t="str">
        <x:v>right 53 evidence open</x:v>
      </x:c>
      <x:c r="E2388" s="21" t="n">
        <x:f>IF('Rights Register'!I53="OPEN",1,0)</x:f>
        <x:v>1</x:v>
      </x:c>
      <x:c r="F2388" s="21" t="n">
        <x:v>1</x:v>
      </x:c>
      <x:c r="G2388" s="23" t="str">
        <x:f>IF(E2388=F2388,"PASS","FAIL")</x:f>
        <x:v>PASS</x:v>
      </x:c>
    </x:row>
    <x:row r="2389">
      <x:c r="B2389" s="21" t="str">
        <x:v>A2383</x:v>
      </x:c>
      <x:c r="C2389" s="21" t="str">
        <x:v>rights</x:v>
      </x:c>
      <x:c r="D2389" s="21" t="str">
        <x:v>right 53 zero credit</x:v>
      </x:c>
      <x:c r="E2389" s="21" t="n">
        <x:f>IF('Rights Register'!J53=0,1,0)</x:f>
        <x:v>1</x:v>
      </x:c>
      <x:c r="F2389" s="21" t="n">
        <x:v>1</x:v>
      </x:c>
      <x:c r="G2389" s="23" t="str">
        <x:f>IF(E2389=F2389,"PASS","FAIL")</x:f>
        <x:v>PASS</x:v>
      </x:c>
    </x:row>
    <x:row r="2390">
      <x:c r="B2390" s="21" t="str">
        <x:v>A2384</x:v>
      </x:c>
      <x:c r="C2390" s="21" t="str">
        <x:v>rights</x:v>
      </x:c>
      <x:c r="D2390" s="21" t="str">
        <x:v>right 54 required</x:v>
      </x:c>
      <x:c r="E2390" s="21" t="n">
        <x:f>IF('Rights Register'!G54=1,1,0)</x:f>
        <x:v>1</x:v>
      </x:c>
      <x:c r="F2390" s="21" t="n">
        <x:v>1</x:v>
      </x:c>
      <x:c r="G2390" s="23" t="str">
        <x:f>IF(E2390=F2390,"PASS","FAIL")</x:f>
        <x:v>PASS</x:v>
      </x:c>
    </x:row>
    <x:row r="2391">
      <x:c r="B2391" s="21" t="str">
        <x:v>A2385</x:v>
      </x:c>
      <x:c r="C2391" s="21" t="str">
        <x:v>rights</x:v>
      </x:c>
      <x:c r="D2391" s="21" t="str">
        <x:v>right 54 offered</x:v>
      </x:c>
      <x:c r="E2391" s="21" t="n">
        <x:f>IF('Rights Register'!H54=1,1,0)</x:f>
        <x:v>1</x:v>
      </x:c>
      <x:c r="F2391" s="21" t="n">
        <x:v>1</x:v>
      </x:c>
      <x:c r="G2391" s="23" t="str">
        <x:f>IF(E2391=F2391,"PASS","FAIL")</x:f>
        <x:v>PASS</x:v>
      </x:c>
    </x:row>
    <x:row r="2392">
      <x:c r="B2392" s="21" t="str">
        <x:v>A2386</x:v>
      </x:c>
      <x:c r="C2392" s="21" t="str">
        <x:v>rights</x:v>
      </x:c>
      <x:c r="D2392" s="21" t="str">
        <x:v>right 54 evidence open</x:v>
      </x:c>
      <x:c r="E2392" s="21" t="n">
        <x:f>IF('Rights Register'!I54="OPEN",1,0)</x:f>
        <x:v>1</x:v>
      </x:c>
      <x:c r="F2392" s="21" t="n">
        <x:v>1</x:v>
      </x:c>
      <x:c r="G2392" s="23" t="str">
        <x:f>IF(E2392=F2392,"PASS","FAIL")</x:f>
        <x:v>PASS</x:v>
      </x:c>
    </x:row>
    <x:row r="2393">
      <x:c r="B2393" s="21" t="str">
        <x:v>A2387</x:v>
      </x:c>
      <x:c r="C2393" s="21" t="str">
        <x:v>rights</x:v>
      </x:c>
      <x:c r="D2393" s="21" t="str">
        <x:v>right 54 zero credit</x:v>
      </x:c>
      <x:c r="E2393" s="21" t="n">
        <x:f>IF('Rights Register'!J54=0,1,0)</x:f>
        <x:v>1</x:v>
      </x:c>
      <x:c r="F2393" s="21" t="n">
        <x:v>1</x:v>
      </x:c>
      <x:c r="G2393" s="23" t="str">
        <x:f>IF(E2393=F2393,"PASS","FAIL")</x:f>
        <x:v>PASS</x:v>
      </x:c>
    </x:row>
    <x:row r="2394">
      <x:c r="B2394" s="21" t="str">
        <x:v>A2388</x:v>
      </x:c>
      <x:c r="C2394" s="21" t="str">
        <x:v>rights</x:v>
      </x:c>
      <x:c r="D2394" s="21" t="str">
        <x:v>right 55 required</x:v>
      </x:c>
      <x:c r="E2394" s="21" t="n">
        <x:f>IF('Rights Register'!G55=1,1,0)</x:f>
        <x:v>1</x:v>
      </x:c>
      <x:c r="F2394" s="21" t="n">
        <x:v>1</x:v>
      </x:c>
      <x:c r="G2394" s="23" t="str">
        <x:f>IF(E2394=F2394,"PASS","FAIL")</x:f>
        <x:v>PASS</x:v>
      </x:c>
    </x:row>
    <x:row r="2395">
      <x:c r="B2395" s="21" t="str">
        <x:v>A2389</x:v>
      </x:c>
      <x:c r="C2395" s="21" t="str">
        <x:v>rights</x:v>
      </x:c>
      <x:c r="D2395" s="21" t="str">
        <x:v>right 55 offered</x:v>
      </x:c>
      <x:c r="E2395" s="21" t="n">
        <x:f>IF('Rights Register'!H55=1,1,0)</x:f>
        <x:v>1</x:v>
      </x:c>
      <x:c r="F2395" s="21" t="n">
        <x:v>1</x:v>
      </x:c>
      <x:c r="G2395" s="23" t="str">
        <x:f>IF(E2395=F2395,"PASS","FAIL")</x:f>
        <x:v>PASS</x:v>
      </x:c>
    </x:row>
    <x:row r="2396">
      <x:c r="B2396" s="21" t="str">
        <x:v>A2390</x:v>
      </x:c>
      <x:c r="C2396" s="21" t="str">
        <x:v>rights</x:v>
      </x:c>
      <x:c r="D2396" s="21" t="str">
        <x:v>right 55 evidence open</x:v>
      </x:c>
      <x:c r="E2396" s="21" t="n">
        <x:f>IF('Rights Register'!I55="OPEN",1,0)</x:f>
        <x:v>1</x:v>
      </x:c>
      <x:c r="F2396" s="21" t="n">
        <x:v>1</x:v>
      </x:c>
      <x:c r="G2396" s="23" t="str">
        <x:f>IF(E2396=F2396,"PASS","FAIL")</x:f>
        <x:v>PASS</x:v>
      </x:c>
    </x:row>
    <x:row r="2397">
      <x:c r="B2397" s="21" t="str">
        <x:v>A2391</x:v>
      </x:c>
      <x:c r="C2397" s="21" t="str">
        <x:v>rights</x:v>
      </x:c>
      <x:c r="D2397" s="21" t="str">
        <x:v>right 55 zero credit</x:v>
      </x:c>
      <x:c r="E2397" s="21" t="n">
        <x:f>IF('Rights Register'!J55=0,1,0)</x:f>
        <x:v>1</x:v>
      </x:c>
      <x:c r="F2397" s="21" t="n">
        <x:v>1</x:v>
      </x:c>
      <x:c r="G2397" s="23" t="str">
        <x:f>IF(E2397=F2397,"PASS","FAIL")</x:f>
        <x:v>PASS</x:v>
      </x:c>
    </x:row>
    <x:row r="2398">
      <x:c r="B2398" s="21" t="str">
        <x:v>A2392</x:v>
      </x:c>
      <x:c r="C2398" s="21" t="str">
        <x:v>rights</x:v>
      </x:c>
      <x:c r="D2398" s="21" t="str">
        <x:v>right 56 required</x:v>
      </x:c>
      <x:c r="E2398" s="21" t="n">
        <x:f>IF('Rights Register'!G56=1,1,0)</x:f>
        <x:v>1</x:v>
      </x:c>
      <x:c r="F2398" s="21" t="n">
        <x:v>1</x:v>
      </x:c>
      <x:c r="G2398" s="23" t="str">
        <x:f>IF(E2398=F2398,"PASS","FAIL")</x:f>
        <x:v>PASS</x:v>
      </x:c>
    </x:row>
    <x:row r="2399">
      <x:c r="B2399" s="21" t="str">
        <x:v>A2393</x:v>
      </x:c>
      <x:c r="C2399" s="21" t="str">
        <x:v>rights</x:v>
      </x:c>
      <x:c r="D2399" s="21" t="str">
        <x:v>right 56 offered</x:v>
      </x:c>
      <x:c r="E2399" s="21" t="n">
        <x:f>IF('Rights Register'!H56=1,1,0)</x:f>
        <x:v>1</x:v>
      </x:c>
      <x:c r="F2399" s="21" t="n">
        <x:v>1</x:v>
      </x:c>
      <x:c r="G2399" s="23" t="str">
        <x:f>IF(E2399=F2399,"PASS","FAIL")</x:f>
        <x:v>PASS</x:v>
      </x:c>
    </x:row>
    <x:row r="2400">
      <x:c r="B2400" s="21" t="str">
        <x:v>A2394</x:v>
      </x:c>
      <x:c r="C2400" s="21" t="str">
        <x:v>rights</x:v>
      </x:c>
      <x:c r="D2400" s="21" t="str">
        <x:v>right 56 evidence open</x:v>
      </x:c>
      <x:c r="E2400" s="21" t="n">
        <x:f>IF('Rights Register'!I56="OPEN",1,0)</x:f>
        <x:v>1</x:v>
      </x:c>
      <x:c r="F2400" s="21" t="n">
        <x:v>1</x:v>
      </x:c>
      <x:c r="G2400" s="23" t="str">
        <x:f>IF(E2400=F2400,"PASS","FAIL")</x:f>
        <x:v>PASS</x:v>
      </x:c>
    </x:row>
    <x:row r="2401">
      <x:c r="B2401" s="21" t="str">
        <x:v>A2395</x:v>
      </x:c>
      <x:c r="C2401" s="21" t="str">
        <x:v>rights</x:v>
      </x:c>
      <x:c r="D2401" s="21" t="str">
        <x:v>right 56 zero credit</x:v>
      </x:c>
      <x:c r="E2401" s="21" t="n">
        <x:f>IF('Rights Register'!J56=0,1,0)</x:f>
        <x:v>1</x:v>
      </x:c>
      <x:c r="F2401" s="21" t="n">
        <x:v>1</x:v>
      </x:c>
      <x:c r="G2401" s="23" t="str">
        <x:f>IF(E2401=F2401,"PASS","FAIL")</x:f>
        <x:v>PASS</x:v>
      </x:c>
    </x:row>
    <x:row r="2402">
      <x:c r="B2402" s="21" t="str">
        <x:v>A2396</x:v>
      </x:c>
      <x:c r="C2402" s="21" t="str">
        <x:v>rights</x:v>
      </x:c>
      <x:c r="D2402" s="21" t="str">
        <x:v>right 57 required</x:v>
      </x:c>
      <x:c r="E2402" s="21" t="n">
        <x:f>IF('Rights Register'!G57=1,1,0)</x:f>
        <x:v>1</x:v>
      </x:c>
      <x:c r="F2402" s="21" t="n">
        <x:v>1</x:v>
      </x:c>
      <x:c r="G2402" s="23" t="str">
        <x:f>IF(E2402=F2402,"PASS","FAIL")</x:f>
        <x:v>PASS</x:v>
      </x:c>
    </x:row>
    <x:row r="2403">
      <x:c r="B2403" s="21" t="str">
        <x:v>A2397</x:v>
      </x:c>
      <x:c r="C2403" s="21" t="str">
        <x:v>rights</x:v>
      </x:c>
      <x:c r="D2403" s="21" t="str">
        <x:v>right 57 offered</x:v>
      </x:c>
      <x:c r="E2403" s="21" t="n">
        <x:f>IF('Rights Register'!H57=1,1,0)</x:f>
        <x:v>1</x:v>
      </x:c>
      <x:c r="F2403" s="21" t="n">
        <x:v>1</x:v>
      </x:c>
      <x:c r="G2403" s="23" t="str">
        <x:f>IF(E2403=F2403,"PASS","FAIL")</x:f>
        <x:v>PASS</x:v>
      </x:c>
    </x:row>
    <x:row r="2404">
      <x:c r="B2404" s="21" t="str">
        <x:v>A2398</x:v>
      </x:c>
      <x:c r="C2404" s="21" t="str">
        <x:v>rights</x:v>
      </x:c>
      <x:c r="D2404" s="21" t="str">
        <x:v>right 57 evidence open</x:v>
      </x:c>
      <x:c r="E2404" s="21" t="n">
        <x:f>IF('Rights Register'!I57="OPEN",1,0)</x:f>
        <x:v>1</x:v>
      </x:c>
      <x:c r="F2404" s="21" t="n">
        <x:v>1</x:v>
      </x:c>
      <x:c r="G2404" s="23" t="str">
        <x:f>IF(E2404=F2404,"PASS","FAIL")</x:f>
        <x:v>PASS</x:v>
      </x:c>
    </x:row>
    <x:row r="2405">
      <x:c r="B2405" s="21" t="str">
        <x:v>A2399</x:v>
      </x:c>
      <x:c r="C2405" s="21" t="str">
        <x:v>rights</x:v>
      </x:c>
      <x:c r="D2405" s="21" t="str">
        <x:v>right 57 zero credit</x:v>
      </x:c>
      <x:c r="E2405" s="21" t="n">
        <x:f>IF('Rights Register'!J57=0,1,0)</x:f>
        <x:v>1</x:v>
      </x:c>
      <x:c r="F2405" s="21" t="n">
        <x:v>1</x:v>
      </x:c>
      <x:c r="G2405" s="23" t="str">
        <x:f>IF(E2405=F2405,"PASS","FAIL")</x:f>
        <x:v>PASS</x:v>
      </x:c>
    </x:row>
    <x:row r="2406">
      <x:c r="B2406" s="21" t="str">
        <x:v>A2400</x:v>
      </x:c>
      <x:c r="C2406" s="21" t="str">
        <x:v>rights</x:v>
      </x:c>
      <x:c r="D2406" s="21" t="str">
        <x:v>right 58 required</x:v>
      </x:c>
      <x:c r="E2406" s="21" t="n">
        <x:f>IF('Rights Register'!G58=1,1,0)</x:f>
        <x:v>1</x:v>
      </x:c>
      <x:c r="F2406" s="21" t="n">
        <x:v>1</x:v>
      </x:c>
      <x:c r="G2406" s="23" t="str">
        <x:f>IF(E2406=F2406,"PASS","FAIL")</x:f>
        <x:v>PASS</x:v>
      </x:c>
    </x:row>
    <x:row r="2407">
      <x:c r="B2407" s="21" t="str">
        <x:v>A2401</x:v>
      </x:c>
      <x:c r="C2407" s="21" t="str">
        <x:v>rights</x:v>
      </x:c>
      <x:c r="D2407" s="21" t="str">
        <x:v>right 58 offered</x:v>
      </x:c>
      <x:c r="E2407" s="21" t="n">
        <x:f>IF('Rights Register'!H58=1,1,0)</x:f>
        <x:v>1</x:v>
      </x:c>
      <x:c r="F2407" s="21" t="n">
        <x:v>1</x:v>
      </x:c>
      <x:c r="G2407" s="23" t="str">
        <x:f>IF(E2407=F2407,"PASS","FAIL")</x:f>
        <x:v>PASS</x:v>
      </x:c>
    </x:row>
    <x:row r="2408">
      <x:c r="B2408" s="21" t="str">
        <x:v>A2402</x:v>
      </x:c>
      <x:c r="C2408" s="21" t="str">
        <x:v>rights</x:v>
      </x:c>
      <x:c r="D2408" s="21" t="str">
        <x:v>right 58 evidence open</x:v>
      </x:c>
      <x:c r="E2408" s="21" t="n">
        <x:f>IF('Rights Register'!I58="OPEN",1,0)</x:f>
        <x:v>1</x:v>
      </x:c>
      <x:c r="F2408" s="21" t="n">
        <x:v>1</x:v>
      </x:c>
      <x:c r="G2408" s="23" t="str">
        <x:f>IF(E2408=F2408,"PASS","FAIL")</x:f>
        <x:v>PASS</x:v>
      </x:c>
    </x:row>
    <x:row r="2409">
      <x:c r="B2409" s="21" t="str">
        <x:v>A2403</x:v>
      </x:c>
      <x:c r="C2409" s="21" t="str">
        <x:v>rights</x:v>
      </x:c>
      <x:c r="D2409" s="21" t="str">
        <x:v>right 58 zero credit</x:v>
      </x:c>
      <x:c r="E2409" s="21" t="n">
        <x:f>IF('Rights Register'!J58=0,1,0)</x:f>
        <x:v>1</x:v>
      </x:c>
      <x:c r="F2409" s="21" t="n">
        <x:v>1</x:v>
      </x:c>
      <x:c r="G2409" s="23" t="str">
        <x:f>IF(E2409=F2409,"PASS","FAIL")</x:f>
        <x:v>PASS</x:v>
      </x:c>
    </x:row>
    <x:row r="2410">
      <x:c r="B2410" s="21" t="str">
        <x:v>A2404</x:v>
      </x:c>
      <x:c r="C2410" s="21" t="str">
        <x:v>rights</x:v>
      </x:c>
      <x:c r="D2410" s="21" t="str">
        <x:v>right 59 required</x:v>
      </x:c>
      <x:c r="E2410" s="21" t="n">
        <x:f>IF('Rights Register'!G59=1,1,0)</x:f>
        <x:v>1</x:v>
      </x:c>
      <x:c r="F2410" s="21" t="n">
        <x:v>1</x:v>
      </x:c>
      <x:c r="G2410" s="23" t="str">
        <x:f>IF(E2410=F2410,"PASS","FAIL")</x:f>
        <x:v>PASS</x:v>
      </x:c>
    </x:row>
    <x:row r="2411">
      <x:c r="B2411" s="21" t="str">
        <x:v>A2405</x:v>
      </x:c>
      <x:c r="C2411" s="21" t="str">
        <x:v>rights</x:v>
      </x:c>
      <x:c r="D2411" s="21" t="str">
        <x:v>right 59 offered</x:v>
      </x:c>
      <x:c r="E2411" s="21" t="n">
        <x:f>IF('Rights Register'!H59=1,1,0)</x:f>
        <x:v>1</x:v>
      </x:c>
      <x:c r="F2411" s="21" t="n">
        <x:v>1</x:v>
      </x:c>
      <x:c r="G2411" s="23" t="str">
        <x:f>IF(E2411=F2411,"PASS","FAIL")</x:f>
        <x:v>PASS</x:v>
      </x:c>
    </x:row>
    <x:row r="2412">
      <x:c r="B2412" s="21" t="str">
        <x:v>A2406</x:v>
      </x:c>
      <x:c r="C2412" s="21" t="str">
        <x:v>rights</x:v>
      </x:c>
      <x:c r="D2412" s="21" t="str">
        <x:v>right 59 evidence open</x:v>
      </x:c>
      <x:c r="E2412" s="21" t="n">
        <x:f>IF('Rights Register'!I59="OPEN",1,0)</x:f>
        <x:v>1</x:v>
      </x:c>
      <x:c r="F2412" s="21" t="n">
        <x:v>1</x:v>
      </x:c>
      <x:c r="G2412" s="23" t="str">
        <x:f>IF(E2412=F2412,"PASS","FAIL")</x:f>
        <x:v>PASS</x:v>
      </x:c>
    </x:row>
    <x:row r="2413">
      <x:c r="B2413" s="21" t="str">
        <x:v>A2407</x:v>
      </x:c>
      <x:c r="C2413" s="21" t="str">
        <x:v>rights</x:v>
      </x:c>
      <x:c r="D2413" s="21" t="str">
        <x:v>right 59 zero credit</x:v>
      </x:c>
      <x:c r="E2413" s="21" t="n">
        <x:f>IF('Rights Register'!J59=0,1,0)</x:f>
        <x:v>1</x:v>
      </x:c>
      <x:c r="F2413" s="21" t="n">
        <x:v>1</x:v>
      </x:c>
      <x:c r="G2413" s="23" t="str">
        <x:f>IF(E2413=F2413,"PASS","FAIL")</x:f>
        <x:v>PASS</x:v>
      </x:c>
    </x:row>
    <x:row r="2414">
      <x:c r="B2414" s="21" t="str">
        <x:v>A2408</x:v>
      </x:c>
      <x:c r="C2414" s="21" t="str">
        <x:v>rights</x:v>
      </x:c>
      <x:c r="D2414" s="21" t="str">
        <x:v>right 60 required</x:v>
      </x:c>
      <x:c r="E2414" s="21" t="n">
        <x:f>IF('Rights Register'!G60=1,1,0)</x:f>
        <x:v>1</x:v>
      </x:c>
      <x:c r="F2414" s="21" t="n">
        <x:v>1</x:v>
      </x:c>
      <x:c r="G2414" s="23" t="str">
        <x:f>IF(E2414=F2414,"PASS","FAIL")</x:f>
        <x:v>PASS</x:v>
      </x:c>
    </x:row>
    <x:row r="2415">
      <x:c r="B2415" s="21" t="str">
        <x:v>A2409</x:v>
      </x:c>
      <x:c r="C2415" s="21" t="str">
        <x:v>rights</x:v>
      </x:c>
      <x:c r="D2415" s="21" t="str">
        <x:v>right 60 offered</x:v>
      </x:c>
      <x:c r="E2415" s="21" t="n">
        <x:f>IF('Rights Register'!H60=1,1,0)</x:f>
        <x:v>1</x:v>
      </x:c>
      <x:c r="F2415" s="21" t="n">
        <x:v>1</x:v>
      </x:c>
      <x:c r="G2415" s="23" t="str">
        <x:f>IF(E2415=F2415,"PASS","FAIL")</x:f>
        <x:v>PASS</x:v>
      </x:c>
    </x:row>
    <x:row r="2416">
      <x:c r="B2416" s="21" t="str">
        <x:v>A2410</x:v>
      </x:c>
      <x:c r="C2416" s="21" t="str">
        <x:v>rights</x:v>
      </x:c>
      <x:c r="D2416" s="21" t="str">
        <x:v>right 60 evidence open</x:v>
      </x:c>
      <x:c r="E2416" s="21" t="n">
        <x:f>IF('Rights Register'!I60="OPEN",1,0)</x:f>
        <x:v>1</x:v>
      </x:c>
      <x:c r="F2416" s="21" t="n">
        <x:v>1</x:v>
      </x:c>
      <x:c r="G2416" s="23" t="str">
        <x:f>IF(E2416=F2416,"PASS","FAIL")</x:f>
        <x:v>PASS</x:v>
      </x:c>
    </x:row>
    <x:row r="2417">
      <x:c r="B2417" s="21" t="str">
        <x:v>A2411</x:v>
      </x:c>
      <x:c r="C2417" s="21" t="str">
        <x:v>rights</x:v>
      </x:c>
      <x:c r="D2417" s="21" t="str">
        <x:v>right 60 zero credit</x:v>
      </x:c>
      <x:c r="E2417" s="21" t="n">
        <x:f>IF('Rights Register'!J60=0,1,0)</x:f>
        <x:v>1</x:v>
      </x:c>
      <x:c r="F2417" s="21" t="n">
        <x:v>1</x:v>
      </x:c>
      <x:c r="G2417" s="23" t="str">
        <x:f>IF(E2417=F2417,"PASS","FAIL")</x:f>
        <x:v>PASS</x:v>
      </x:c>
    </x:row>
    <x:row r="2418">
      <x:c r="B2418" s="21" t="str">
        <x:v>A2412</x:v>
      </x:c>
      <x:c r="C2418" s="21" t="str">
        <x:v>rights</x:v>
      </x:c>
      <x:c r="D2418" s="21" t="str">
        <x:v>right 61 required</x:v>
      </x:c>
      <x:c r="E2418" s="21" t="n">
        <x:f>IF('Rights Register'!G61=1,1,0)</x:f>
        <x:v>1</x:v>
      </x:c>
      <x:c r="F2418" s="21" t="n">
        <x:v>1</x:v>
      </x:c>
      <x:c r="G2418" s="23" t="str">
        <x:f>IF(E2418=F2418,"PASS","FAIL")</x:f>
        <x:v>PASS</x:v>
      </x:c>
    </x:row>
    <x:row r="2419">
      <x:c r="B2419" s="21" t="str">
        <x:v>A2413</x:v>
      </x:c>
      <x:c r="C2419" s="21" t="str">
        <x:v>rights</x:v>
      </x:c>
      <x:c r="D2419" s="21" t="str">
        <x:v>right 61 offered</x:v>
      </x:c>
      <x:c r="E2419" s="21" t="n">
        <x:f>IF('Rights Register'!H61=1,1,0)</x:f>
        <x:v>1</x:v>
      </x:c>
      <x:c r="F2419" s="21" t="n">
        <x:v>1</x:v>
      </x:c>
      <x:c r="G2419" s="23" t="str">
        <x:f>IF(E2419=F2419,"PASS","FAIL")</x:f>
        <x:v>PASS</x:v>
      </x:c>
    </x:row>
    <x:row r="2420">
      <x:c r="B2420" s="21" t="str">
        <x:v>A2414</x:v>
      </x:c>
      <x:c r="C2420" s="21" t="str">
        <x:v>rights</x:v>
      </x:c>
      <x:c r="D2420" s="21" t="str">
        <x:v>right 61 evidence open</x:v>
      </x:c>
      <x:c r="E2420" s="21" t="n">
        <x:f>IF('Rights Register'!I61="OPEN",1,0)</x:f>
        <x:v>1</x:v>
      </x:c>
      <x:c r="F2420" s="21" t="n">
        <x:v>1</x:v>
      </x:c>
      <x:c r="G2420" s="23" t="str">
        <x:f>IF(E2420=F2420,"PASS","FAIL")</x:f>
        <x:v>PASS</x:v>
      </x:c>
    </x:row>
    <x:row r="2421">
      <x:c r="B2421" s="21" t="str">
        <x:v>A2415</x:v>
      </x:c>
      <x:c r="C2421" s="21" t="str">
        <x:v>rights</x:v>
      </x:c>
      <x:c r="D2421" s="21" t="str">
        <x:v>right 61 zero credit</x:v>
      </x:c>
      <x:c r="E2421" s="21" t="n">
        <x:f>IF('Rights Register'!J61=0,1,0)</x:f>
        <x:v>1</x:v>
      </x:c>
      <x:c r="F2421" s="21" t="n">
        <x:v>1</x:v>
      </x:c>
      <x:c r="G2421" s="23" t="str">
        <x:f>IF(E2421=F2421,"PASS","FAIL")</x:f>
        <x:v>PASS</x:v>
      </x:c>
    </x:row>
    <x:row r="2422">
      <x:c r="B2422" s="21" t="str">
        <x:v>A2416</x:v>
      </x:c>
      <x:c r="C2422" s="21" t="str">
        <x:v>rights</x:v>
      </x:c>
      <x:c r="D2422" s="21" t="str">
        <x:v>right 62 required</x:v>
      </x:c>
      <x:c r="E2422" s="21" t="n">
        <x:f>IF('Rights Register'!G62=1,1,0)</x:f>
        <x:v>1</x:v>
      </x:c>
      <x:c r="F2422" s="21" t="n">
        <x:v>1</x:v>
      </x:c>
      <x:c r="G2422" s="23" t="str">
        <x:f>IF(E2422=F2422,"PASS","FAIL")</x:f>
        <x:v>PASS</x:v>
      </x:c>
    </x:row>
    <x:row r="2423">
      <x:c r="B2423" s="21" t="str">
        <x:v>A2417</x:v>
      </x:c>
      <x:c r="C2423" s="21" t="str">
        <x:v>rights</x:v>
      </x:c>
      <x:c r="D2423" s="21" t="str">
        <x:v>right 62 offered</x:v>
      </x:c>
      <x:c r="E2423" s="21" t="n">
        <x:f>IF('Rights Register'!H62=1,1,0)</x:f>
        <x:v>1</x:v>
      </x:c>
      <x:c r="F2423" s="21" t="n">
        <x:v>1</x:v>
      </x:c>
      <x:c r="G2423" s="23" t="str">
        <x:f>IF(E2423=F2423,"PASS","FAIL")</x:f>
        <x:v>PASS</x:v>
      </x:c>
    </x:row>
    <x:row r="2424">
      <x:c r="B2424" s="21" t="str">
        <x:v>A2418</x:v>
      </x:c>
      <x:c r="C2424" s="21" t="str">
        <x:v>rights</x:v>
      </x:c>
      <x:c r="D2424" s="21" t="str">
        <x:v>right 62 evidence open</x:v>
      </x:c>
      <x:c r="E2424" s="21" t="n">
        <x:f>IF('Rights Register'!I62="OPEN",1,0)</x:f>
        <x:v>1</x:v>
      </x:c>
      <x:c r="F2424" s="21" t="n">
        <x:v>1</x:v>
      </x:c>
      <x:c r="G2424" s="23" t="str">
        <x:f>IF(E2424=F2424,"PASS","FAIL")</x:f>
        <x:v>PASS</x:v>
      </x:c>
    </x:row>
    <x:row r="2425">
      <x:c r="B2425" s="21" t="str">
        <x:v>A2419</x:v>
      </x:c>
      <x:c r="C2425" s="21" t="str">
        <x:v>rights</x:v>
      </x:c>
      <x:c r="D2425" s="21" t="str">
        <x:v>right 62 zero credit</x:v>
      </x:c>
      <x:c r="E2425" s="21" t="n">
        <x:f>IF('Rights Register'!J62=0,1,0)</x:f>
        <x:v>1</x:v>
      </x:c>
      <x:c r="F2425" s="21" t="n">
        <x:v>1</x:v>
      </x:c>
      <x:c r="G2425" s="23" t="str">
        <x:f>IF(E2425=F2425,"PASS","FAIL")</x:f>
        <x:v>PASS</x:v>
      </x:c>
    </x:row>
    <x:row r="2426">
      <x:c r="B2426" s="21" t="str">
        <x:v>A2420</x:v>
      </x:c>
      <x:c r="C2426" s="21" t="str">
        <x:v>rights</x:v>
      </x:c>
      <x:c r="D2426" s="21" t="str">
        <x:v>right 63 required</x:v>
      </x:c>
      <x:c r="E2426" s="21" t="n">
        <x:f>IF('Rights Register'!G63=1,1,0)</x:f>
        <x:v>1</x:v>
      </x:c>
      <x:c r="F2426" s="21" t="n">
        <x:v>1</x:v>
      </x:c>
      <x:c r="G2426" s="23" t="str">
        <x:f>IF(E2426=F2426,"PASS","FAIL")</x:f>
        <x:v>PASS</x:v>
      </x:c>
    </x:row>
    <x:row r="2427">
      <x:c r="B2427" s="21" t="str">
        <x:v>A2421</x:v>
      </x:c>
      <x:c r="C2427" s="21" t="str">
        <x:v>rights</x:v>
      </x:c>
      <x:c r="D2427" s="21" t="str">
        <x:v>right 63 offered</x:v>
      </x:c>
      <x:c r="E2427" s="21" t="n">
        <x:f>IF('Rights Register'!H63=1,1,0)</x:f>
        <x:v>1</x:v>
      </x:c>
      <x:c r="F2427" s="21" t="n">
        <x:v>1</x:v>
      </x:c>
      <x:c r="G2427" s="23" t="str">
        <x:f>IF(E2427=F2427,"PASS","FAIL")</x:f>
        <x:v>PASS</x:v>
      </x:c>
    </x:row>
    <x:row r="2428">
      <x:c r="B2428" s="21" t="str">
        <x:v>A2422</x:v>
      </x:c>
      <x:c r="C2428" s="21" t="str">
        <x:v>rights</x:v>
      </x:c>
      <x:c r="D2428" s="21" t="str">
        <x:v>right 63 evidence open</x:v>
      </x:c>
      <x:c r="E2428" s="21" t="n">
        <x:f>IF('Rights Register'!I63="OPEN",1,0)</x:f>
        <x:v>1</x:v>
      </x:c>
      <x:c r="F2428" s="21" t="n">
        <x:v>1</x:v>
      </x:c>
      <x:c r="G2428" s="23" t="str">
        <x:f>IF(E2428=F2428,"PASS","FAIL")</x:f>
        <x:v>PASS</x:v>
      </x:c>
    </x:row>
    <x:row r="2429">
      <x:c r="B2429" s="21" t="str">
        <x:v>A2423</x:v>
      </x:c>
      <x:c r="C2429" s="21" t="str">
        <x:v>rights</x:v>
      </x:c>
      <x:c r="D2429" s="21" t="str">
        <x:v>right 63 zero credit</x:v>
      </x:c>
      <x:c r="E2429" s="21" t="n">
        <x:f>IF('Rights Register'!J63=0,1,0)</x:f>
        <x:v>1</x:v>
      </x:c>
      <x:c r="F2429" s="21" t="n">
        <x:v>1</x:v>
      </x:c>
      <x:c r="G2429" s="23" t="str">
        <x:f>IF(E2429=F2429,"PASS","FAIL")</x:f>
        <x:v>PASS</x:v>
      </x:c>
    </x:row>
    <x:row r="2430">
      <x:c r="B2430" s="21" t="str">
        <x:v>A2424</x:v>
      </x:c>
      <x:c r="C2430" s="21" t="str">
        <x:v>rights</x:v>
      </x:c>
      <x:c r="D2430" s="21" t="str">
        <x:v>right 64 required</x:v>
      </x:c>
      <x:c r="E2430" s="21" t="n">
        <x:f>IF('Rights Register'!G64=1,1,0)</x:f>
        <x:v>1</x:v>
      </x:c>
      <x:c r="F2430" s="21" t="n">
        <x:v>1</x:v>
      </x:c>
      <x:c r="G2430" s="23" t="str">
        <x:f>IF(E2430=F2430,"PASS","FAIL")</x:f>
        <x:v>PASS</x:v>
      </x:c>
    </x:row>
    <x:row r="2431">
      <x:c r="B2431" s="21" t="str">
        <x:v>A2425</x:v>
      </x:c>
      <x:c r="C2431" s="21" t="str">
        <x:v>rights</x:v>
      </x:c>
      <x:c r="D2431" s="21" t="str">
        <x:v>right 64 offered</x:v>
      </x:c>
      <x:c r="E2431" s="21" t="n">
        <x:f>IF('Rights Register'!H64=1,1,0)</x:f>
        <x:v>1</x:v>
      </x:c>
      <x:c r="F2431" s="21" t="n">
        <x:v>1</x:v>
      </x:c>
      <x:c r="G2431" s="23" t="str">
        <x:f>IF(E2431=F2431,"PASS","FAIL")</x:f>
        <x:v>PASS</x:v>
      </x:c>
    </x:row>
    <x:row r="2432">
      <x:c r="B2432" s="21" t="str">
        <x:v>A2426</x:v>
      </x:c>
      <x:c r="C2432" s="21" t="str">
        <x:v>rights</x:v>
      </x:c>
      <x:c r="D2432" s="21" t="str">
        <x:v>right 64 evidence open</x:v>
      </x:c>
      <x:c r="E2432" s="21" t="n">
        <x:f>IF('Rights Register'!I64="OPEN",1,0)</x:f>
        <x:v>1</x:v>
      </x:c>
      <x:c r="F2432" s="21" t="n">
        <x:v>1</x:v>
      </x:c>
      <x:c r="G2432" s="23" t="str">
        <x:f>IF(E2432=F2432,"PASS","FAIL")</x:f>
        <x:v>PASS</x:v>
      </x:c>
    </x:row>
    <x:row r="2433">
      <x:c r="B2433" s="21" t="str">
        <x:v>A2427</x:v>
      </x:c>
      <x:c r="C2433" s="21" t="str">
        <x:v>rights</x:v>
      </x:c>
      <x:c r="D2433" s="21" t="str">
        <x:v>right 64 zero credit</x:v>
      </x:c>
      <x:c r="E2433" s="21" t="n">
        <x:f>IF('Rights Register'!J64=0,1,0)</x:f>
        <x:v>1</x:v>
      </x:c>
      <x:c r="F2433" s="21" t="n">
        <x:v>1</x:v>
      </x:c>
      <x:c r="G2433" s="23" t="str">
        <x:f>IF(E2433=F2433,"PASS","FAIL")</x:f>
        <x:v>PASS</x:v>
      </x:c>
    </x:row>
    <x:row r="2434">
      <x:c r="B2434" s="21" t="str">
        <x:v>A2428</x:v>
      </x:c>
      <x:c r="C2434" s="21" t="str">
        <x:v>rights</x:v>
      </x:c>
      <x:c r="D2434" s="21" t="str">
        <x:v>right 65 required</x:v>
      </x:c>
      <x:c r="E2434" s="21" t="n">
        <x:f>IF('Rights Register'!G65=1,1,0)</x:f>
        <x:v>1</x:v>
      </x:c>
      <x:c r="F2434" s="21" t="n">
        <x:v>1</x:v>
      </x:c>
      <x:c r="G2434" s="23" t="str">
        <x:f>IF(E2434=F2434,"PASS","FAIL")</x:f>
        <x:v>PASS</x:v>
      </x:c>
    </x:row>
    <x:row r="2435">
      <x:c r="B2435" s="21" t="str">
        <x:v>A2429</x:v>
      </x:c>
      <x:c r="C2435" s="21" t="str">
        <x:v>rights</x:v>
      </x:c>
      <x:c r="D2435" s="21" t="str">
        <x:v>right 65 offered</x:v>
      </x:c>
      <x:c r="E2435" s="21" t="n">
        <x:f>IF('Rights Register'!H65=1,1,0)</x:f>
        <x:v>1</x:v>
      </x:c>
      <x:c r="F2435" s="21" t="n">
        <x:v>1</x:v>
      </x:c>
      <x:c r="G2435" s="23" t="str">
        <x:f>IF(E2435=F2435,"PASS","FAIL")</x:f>
        <x:v>PASS</x:v>
      </x:c>
    </x:row>
    <x:row r="2436">
      <x:c r="B2436" s="21" t="str">
        <x:v>A2430</x:v>
      </x:c>
      <x:c r="C2436" s="21" t="str">
        <x:v>rights</x:v>
      </x:c>
      <x:c r="D2436" s="21" t="str">
        <x:v>right 65 evidence open</x:v>
      </x:c>
      <x:c r="E2436" s="21" t="n">
        <x:f>IF('Rights Register'!I65="OPEN",1,0)</x:f>
        <x:v>1</x:v>
      </x:c>
      <x:c r="F2436" s="21" t="n">
        <x:v>1</x:v>
      </x:c>
      <x:c r="G2436" s="23" t="str">
        <x:f>IF(E2436=F2436,"PASS","FAIL")</x:f>
        <x:v>PASS</x:v>
      </x:c>
    </x:row>
    <x:row r="2437">
      <x:c r="B2437" s="21" t="str">
        <x:v>A2431</x:v>
      </x:c>
      <x:c r="C2437" s="21" t="str">
        <x:v>rights</x:v>
      </x:c>
      <x:c r="D2437" s="21" t="str">
        <x:v>right 65 zero credit</x:v>
      </x:c>
      <x:c r="E2437" s="21" t="n">
        <x:f>IF('Rights Register'!J65=0,1,0)</x:f>
        <x:v>1</x:v>
      </x:c>
      <x:c r="F2437" s="21" t="n">
        <x:v>1</x:v>
      </x:c>
      <x:c r="G2437" s="23" t="str">
        <x:f>IF(E2437=F2437,"PASS","FAIL")</x:f>
        <x:v>PASS</x:v>
      </x:c>
    </x:row>
    <x:row r="2438">
      <x:c r="B2438" s="21" t="str">
        <x:v>A2432</x:v>
      </x:c>
      <x:c r="C2438" s="21" t="str">
        <x:v>rights</x:v>
      </x:c>
      <x:c r="D2438" s="21" t="str">
        <x:v>right 66 required</x:v>
      </x:c>
      <x:c r="E2438" s="21" t="n">
        <x:f>IF('Rights Register'!G66=1,1,0)</x:f>
        <x:v>1</x:v>
      </x:c>
      <x:c r="F2438" s="21" t="n">
        <x:v>1</x:v>
      </x:c>
      <x:c r="G2438" s="23" t="str">
        <x:f>IF(E2438=F2438,"PASS","FAIL")</x:f>
        <x:v>PASS</x:v>
      </x:c>
    </x:row>
    <x:row r="2439">
      <x:c r="B2439" s="21" t="str">
        <x:v>A2433</x:v>
      </x:c>
      <x:c r="C2439" s="21" t="str">
        <x:v>rights</x:v>
      </x:c>
      <x:c r="D2439" s="21" t="str">
        <x:v>right 66 offered</x:v>
      </x:c>
      <x:c r="E2439" s="21" t="n">
        <x:f>IF('Rights Register'!H66=1,1,0)</x:f>
        <x:v>1</x:v>
      </x:c>
      <x:c r="F2439" s="21" t="n">
        <x:v>1</x:v>
      </x:c>
      <x:c r="G2439" s="23" t="str">
        <x:f>IF(E2439=F2439,"PASS","FAIL")</x:f>
        <x:v>PASS</x:v>
      </x:c>
    </x:row>
    <x:row r="2440">
      <x:c r="B2440" s="21" t="str">
        <x:v>A2434</x:v>
      </x:c>
      <x:c r="C2440" s="21" t="str">
        <x:v>rights</x:v>
      </x:c>
      <x:c r="D2440" s="21" t="str">
        <x:v>right 66 evidence open</x:v>
      </x:c>
      <x:c r="E2440" s="21" t="n">
        <x:f>IF('Rights Register'!I66="OPEN",1,0)</x:f>
        <x:v>1</x:v>
      </x:c>
      <x:c r="F2440" s="21" t="n">
        <x:v>1</x:v>
      </x:c>
      <x:c r="G2440" s="23" t="str">
        <x:f>IF(E2440=F2440,"PASS","FAIL")</x:f>
        <x:v>PASS</x:v>
      </x:c>
    </x:row>
    <x:row r="2441">
      <x:c r="B2441" s="21" t="str">
        <x:v>A2435</x:v>
      </x:c>
      <x:c r="C2441" s="21" t="str">
        <x:v>rights</x:v>
      </x:c>
      <x:c r="D2441" s="21" t="str">
        <x:v>right 66 zero credit</x:v>
      </x:c>
      <x:c r="E2441" s="21" t="n">
        <x:f>IF('Rights Register'!J66=0,1,0)</x:f>
        <x:v>1</x:v>
      </x:c>
      <x:c r="F2441" s="21" t="n">
        <x:v>1</x:v>
      </x:c>
      <x:c r="G2441" s="23" t="str">
        <x:f>IF(E2441=F2441,"PASS","FAIL")</x:f>
        <x:v>PASS</x:v>
      </x:c>
    </x:row>
    <x:row r="2442">
      <x:c r="B2442" s="21" t="str">
        <x:v>A2436</x:v>
      </x:c>
      <x:c r="C2442" s="21" t="str">
        <x:v>rights</x:v>
      </x:c>
      <x:c r="D2442" s="21" t="str">
        <x:v>right 67 required</x:v>
      </x:c>
      <x:c r="E2442" s="21" t="n">
        <x:f>IF('Rights Register'!G67=1,1,0)</x:f>
        <x:v>1</x:v>
      </x:c>
      <x:c r="F2442" s="21" t="n">
        <x:v>1</x:v>
      </x:c>
      <x:c r="G2442" s="23" t="str">
        <x:f>IF(E2442=F2442,"PASS","FAIL")</x:f>
        <x:v>PASS</x:v>
      </x:c>
    </x:row>
    <x:row r="2443">
      <x:c r="B2443" s="21" t="str">
        <x:v>A2437</x:v>
      </x:c>
      <x:c r="C2443" s="21" t="str">
        <x:v>rights</x:v>
      </x:c>
      <x:c r="D2443" s="21" t="str">
        <x:v>right 67 offered</x:v>
      </x:c>
      <x:c r="E2443" s="21" t="n">
        <x:f>IF('Rights Register'!H67=1,1,0)</x:f>
        <x:v>1</x:v>
      </x:c>
      <x:c r="F2443" s="21" t="n">
        <x:v>1</x:v>
      </x:c>
      <x:c r="G2443" s="23" t="str">
        <x:f>IF(E2443=F2443,"PASS","FAIL")</x:f>
        <x:v>PASS</x:v>
      </x:c>
    </x:row>
    <x:row r="2444">
      <x:c r="B2444" s="21" t="str">
        <x:v>A2438</x:v>
      </x:c>
      <x:c r="C2444" s="21" t="str">
        <x:v>rights</x:v>
      </x:c>
      <x:c r="D2444" s="21" t="str">
        <x:v>right 67 evidence open</x:v>
      </x:c>
      <x:c r="E2444" s="21" t="n">
        <x:f>IF('Rights Register'!I67="OPEN",1,0)</x:f>
        <x:v>1</x:v>
      </x:c>
      <x:c r="F2444" s="21" t="n">
        <x:v>1</x:v>
      </x:c>
      <x:c r="G2444" s="23" t="str">
        <x:f>IF(E2444=F2444,"PASS","FAIL")</x:f>
        <x:v>PASS</x:v>
      </x:c>
    </x:row>
    <x:row r="2445">
      <x:c r="B2445" s="21" t="str">
        <x:v>A2439</x:v>
      </x:c>
      <x:c r="C2445" s="21" t="str">
        <x:v>rights</x:v>
      </x:c>
      <x:c r="D2445" s="21" t="str">
        <x:v>right 67 zero credit</x:v>
      </x:c>
      <x:c r="E2445" s="21" t="n">
        <x:f>IF('Rights Register'!J67=0,1,0)</x:f>
        <x:v>1</x:v>
      </x:c>
      <x:c r="F2445" s="21" t="n">
        <x:v>1</x:v>
      </x:c>
      <x:c r="G2445" s="23" t="str">
        <x:f>IF(E2445=F2445,"PASS","FAIL")</x:f>
        <x:v>PASS</x:v>
      </x:c>
    </x:row>
    <x:row r="2446">
      <x:c r="B2446" s="21" t="str">
        <x:v>A2440</x:v>
      </x:c>
      <x:c r="C2446" s="21" t="str">
        <x:v>rights</x:v>
      </x:c>
      <x:c r="D2446" s="21" t="str">
        <x:v>right 68 required</x:v>
      </x:c>
      <x:c r="E2446" s="21" t="n">
        <x:f>IF('Rights Register'!G68=1,1,0)</x:f>
        <x:v>1</x:v>
      </x:c>
      <x:c r="F2446" s="21" t="n">
        <x:v>1</x:v>
      </x:c>
      <x:c r="G2446" s="23" t="str">
        <x:f>IF(E2446=F2446,"PASS","FAIL")</x:f>
        <x:v>PASS</x:v>
      </x:c>
    </x:row>
    <x:row r="2447">
      <x:c r="B2447" s="21" t="str">
        <x:v>A2441</x:v>
      </x:c>
      <x:c r="C2447" s="21" t="str">
        <x:v>rights</x:v>
      </x:c>
      <x:c r="D2447" s="21" t="str">
        <x:v>right 68 offered</x:v>
      </x:c>
      <x:c r="E2447" s="21" t="n">
        <x:f>IF('Rights Register'!H68=1,1,0)</x:f>
        <x:v>1</x:v>
      </x:c>
      <x:c r="F2447" s="21" t="n">
        <x:v>1</x:v>
      </x:c>
      <x:c r="G2447" s="23" t="str">
        <x:f>IF(E2447=F2447,"PASS","FAIL")</x:f>
        <x:v>PASS</x:v>
      </x:c>
    </x:row>
    <x:row r="2448">
      <x:c r="B2448" s="21" t="str">
        <x:v>A2442</x:v>
      </x:c>
      <x:c r="C2448" s="21" t="str">
        <x:v>rights</x:v>
      </x:c>
      <x:c r="D2448" s="21" t="str">
        <x:v>right 68 evidence open</x:v>
      </x:c>
      <x:c r="E2448" s="21" t="n">
        <x:f>IF('Rights Register'!I68="OPEN",1,0)</x:f>
        <x:v>1</x:v>
      </x:c>
      <x:c r="F2448" s="21" t="n">
        <x:v>1</x:v>
      </x:c>
      <x:c r="G2448" s="23" t="str">
        <x:f>IF(E2448=F2448,"PASS","FAIL")</x:f>
        <x:v>PASS</x:v>
      </x:c>
    </x:row>
    <x:row r="2449">
      <x:c r="B2449" s="21" t="str">
        <x:v>A2443</x:v>
      </x:c>
      <x:c r="C2449" s="21" t="str">
        <x:v>rights</x:v>
      </x:c>
      <x:c r="D2449" s="21" t="str">
        <x:v>right 68 zero credit</x:v>
      </x:c>
      <x:c r="E2449" s="21" t="n">
        <x:f>IF('Rights Register'!J68=0,1,0)</x:f>
        <x:v>1</x:v>
      </x:c>
      <x:c r="F2449" s="21" t="n">
        <x:v>1</x:v>
      </x:c>
      <x:c r="G2449" s="23" t="str">
        <x:f>IF(E2449=F2449,"PASS","FAIL")</x:f>
        <x:v>PASS</x:v>
      </x:c>
    </x:row>
    <x:row r="2450">
      <x:c r="B2450" s="21" t="str">
        <x:v>A2444</x:v>
      </x:c>
      <x:c r="C2450" s="21" t="str">
        <x:v>rights</x:v>
      </x:c>
      <x:c r="D2450" s="21" t="str">
        <x:v>right 69 required</x:v>
      </x:c>
      <x:c r="E2450" s="21" t="n">
        <x:f>IF('Rights Register'!G69=1,1,0)</x:f>
        <x:v>1</x:v>
      </x:c>
      <x:c r="F2450" s="21" t="n">
        <x:v>1</x:v>
      </x:c>
      <x:c r="G2450" s="23" t="str">
        <x:f>IF(E2450=F2450,"PASS","FAIL")</x:f>
        <x:v>PASS</x:v>
      </x:c>
    </x:row>
    <x:row r="2451">
      <x:c r="B2451" s="21" t="str">
        <x:v>A2445</x:v>
      </x:c>
      <x:c r="C2451" s="21" t="str">
        <x:v>rights</x:v>
      </x:c>
      <x:c r="D2451" s="21" t="str">
        <x:v>right 69 offered</x:v>
      </x:c>
      <x:c r="E2451" s="21" t="n">
        <x:f>IF('Rights Register'!H69=1,1,0)</x:f>
        <x:v>1</x:v>
      </x:c>
      <x:c r="F2451" s="21" t="n">
        <x:v>1</x:v>
      </x:c>
      <x:c r="G2451" s="23" t="str">
        <x:f>IF(E2451=F2451,"PASS","FAIL")</x:f>
        <x:v>PASS</x:v>
      </x:c>
    </x:row>
    <x:row r="2452">
      <x:c r="B2452" s="21" t="str">
        <x:v>A2446</x:v>
      </x:c>
      <x:c r="C2452" s="21" t="str">
        <x:v>rights</x:v>
      </x:c>
      <x:c r="D2452" s="21" t="str">
        <x:v>right 69 evidence open</x:v>
      </x:c>
      <x:c r="E2452" s="21" t="n">
        <x:f>IF('Rights Register'!I69="OPEN",1,0)</x:f>
        <x:v>1</x:v>
      </x:c>
      <x:c r="F2452" s="21" t="n">
        <x:v>1</x:v>
      </x:c>
      <x:c r="G2452" s="23" t="str">
        <x:f>IF(E2452=F2452,"PASS","FAIL")</x:f>
        <x:v>PASS</x:v>
      </x:c>
    </x:row>
    <x:row r="2453">
      <x:c r="B2453" s="21" t="str">
        <x:v>A2447</x:v>
      </x:c>
      <x:c r="C2453" s="21" t="str">
        <x:v>rights</x:v>
      </x:c>
      <x:c r="D2453" s="21" t="str">
        <x:v>right 69 zero credit</x:v>
      </x:c>
      <x:c r="E2453" s="21" t="n">
        <x:f>IF('Rights Register'!J69=0,1,0)</x:f>
        <x:v>1</x:v>
      </x:c>
      <x:c r="F2453" s="21" t="n">
        <x:v>1</x:v>
      </x:c>
      <x:c r="G2453" s="23" t="str">
        <x:f>IF(E2453=F2453,"PASS","FAIL")</x:f>
        <x:v>PASS</x:v>
      </x:c>
    </x:row>
    <x:row r="2454">
      <x:c r="B2454" s="21" t="str">
        <x:v>A2448</x:v>
      </x:c>
      <x:c r="C2454" s="21" t="str">
        <x:v>rights</x:v>
      </x:c>
      <x:c r="D2454" s="21" t="str">
        <x:v>right 70 required</x:v>
      </x:c>
      <x:c r="E2454" s="21" t="n">
        <x:f>IF('Rights Register'!G70=1,1,0)</x:f>
        <x:v>1</x:v>
      </x:c>
      <x:c r="F2454" s="21" t="n">
        <x:v>1</x:v>
      </x:c>
      <x:c r="G2454" s="23" t="str">
        <x:f>IF(E2454=F2454,"PASS","FAIL")</x:f>
        <x:v>PASS</x:v>
      </x:c>
    </x:row>
    <x:row r="2455">
      <x:c r="B2455" s="21" t="str">
        <x:v>A2449</x:v>
      </x:c>
      <x:c r="C2455" s="21" t="str">
        <x:v>rights</x:v>
      </x:c>
      <x:c r="D2455" s="21" t="str">
        <x:v>right 70 offered</x:v>
      </x:c>
      <x:c r="E2455" s="21" t="n">
        <x:f>IF('Rights Register'!H70=1,1,0)</x:f>
        <x:v>1</x:v>
      </x:c>
      <x:c r="F2455" s="21" t="n">
        <x:v>1</x:v>
      </x:c>
      <x:c r="G2455" s="23" t="str">
        <x:f>IF(E2455=F2455,"PASS","FAIL")</x:f>
        <x:v>PASS</x:v>
      </x:c>
    </x:row>
    <x:row r="2456">
      <x:c r="B2456" s="21" t="str">
        <x:v>A2450</x:v>
      </x:c>
      <x:c r="C2456" s="21" t="str">
        <x:v>rights</x:v>
      </x:c>
      <x:c r="D2456" s="21" t="str">
        <x:v>right 70 evidence open</x:v>
      </x:c>
      <x:c r="E2456" s="21" t="n">
        <x:f>IF('Rights Register'!I70="OPEN",1,0)</x:f>
        <x:v>1</x:v>
      </x:c>
      <x:c r="F2456" s="21" t="n">
        <x:v>1</x:v>
      </x:c>
      <x:c r="G2456" s="23" t="str">
        <x:f>IF(E2456=F2456,"PASS","FAIL")</x:f>
        <x:v>PASS</x:v>
      </x:c>
    </x:row>
    <x:row r="2457">
      <x:c r="B2457" s="21" t="str">
        <x:v>A2451</x:v>
      </x:c>
      <x:c r="C2457" s="21" t="str">
        <x:v>rights</x:v>
      </x:c>
      <x:c r="D2457" s="21" t="str">
        <x:v>right 70 zero credit</x:v>
      </x:c>
      <x:c r="E2457" s="21" t="n">
        <x:f>IF('Rights Register'!J70=0,1,0)</x:f>
        <x:v>1</x:v>
      </x:c>
      <x:c r="F2457" s="21" t="n">
        <x:v>1</x:v>
      </x:c>
      <x:c r="G2457" s="23" t="str">
        <x:f>IF(E2457=F2457,"PASS","FAIL")</x:f>
        <x:v>PASS</x:v>
      </x:c>
    </x:row>
    <x:row r="2458">
      <x:c r="B2458" s="21" t="str">
        <x:v>A2452</x:v>
      </x:c>
      <x:c r="C2458" s="21" t="str">
        <x:v>rights</x:v>
      </x:c>
      <x:c r="D2458" s="21" t="str">
        <x:v>right 71 required</x:v>
      </x:c>
      <x:c r="E2458" s="21" t="n">
        <x:f>IF('Rights Register'!G71=1,1,0)</x:f>
        <x:v>1</x:v>
      </x:c>
      <x:c r="F2458" s="21" t="n">
        <x:v>1</x:v>
      </x:c>
      <x:c r="G2458" s="23" t="str">
        <x:f>IF(E2458=F2458,"PASS","FAIL")</x:f>
        <x:v>PASS</x:v>
      </x:c>
    </x:row>
    <x:row r="2459">
      <x:c r="B2459" s="21" t="str">
        <x:v>A2453</x:v>
      </x:c>
      <x:c r="C2459" s="21" t="str">
        <x:v>rights</x:v>
      </x:c>
      <x:c r="D2459" s="21" t="str">
        <x:v>right 71 offered</x:v>
      </x:c>
      <x:c r="E2459" s="21" t="n">
        <x:f>IF('Rights Register'!H71=1,1,0)</x:f>
        <x:v>1</x:v>
      </x:c>
      <x:c r="F2459" s="21" t="n">
        <x:v>1</x:v>
      </x:c>
      <x:c r="G2459" s="23" t="str">
        <x:f>IF(E2459=F2459,"PASS","FAIL")</x:f>
        <x:v>PASS</x:v>
      </x:c>
    </x:row>
    <x:row r="2460">
      <x:c r="B2460" s="21" t="str">
        <x:v>A2454</x:v>
      </x:c>
      <x:c r="C2460" s="21" t="str">
        <x:v>rights</x:v>
      </x:c>
      <x:c r="D2460" s="21" t="str">
        <x:v>right 71 evidence open</x:v>
      </x:c>
      <x:c r="E2460" s="21" t="n">
        <x:f>IF('Rights Register'!I71="OPEN",1,0)</x:f>
        <x:v>1</x:v>
      </x:c>
      <x:c r="F2460" s="21" t="n">
        <x:v>1</x:v>
      </x:c>
      <x:c r="G2460" s="23" t="str">
        <x:f>IF(E2460=F2460,"PASS","FAIL")</x:f>
        <x:v>PASS</x:v>
      </x:c>
    </x:row>
    <x:row r="2461">
      <x:c r="B2461" s="21" t="str">
        <x:v>A2455</x:v>
      </x:c>
      <x:c r="C2461" s="21" t="str">
        <x:v>rights</x:v>
      </x:c>
      <x:c r="D2461" s="21" t="str">
        <x:v>right 71 zero credit</x:v>
      </x:c>
      <x:c r="E2461" s="21" t="n">
        <x:f>IF('Rights Register'!J71=0,1,0)</x:f>
        <x:v>1</x:v>
      </x:c>
      <x:c r="F2461" s="21" t="n">
        <x:v>1</x:v>
      </x:c>
      <x:c r="G2461" s="23" t="str">
        <x:f>IF(E2461=F2461,"PASS","FAIL")</x:f>
        <x:v>PASS</x:v>
      </x:c>
    </x:row>
    <x:row r="2462">
      <x:c r="B2462" s="21" t="str">
        <x:v>A2456</x:v>
      </x:c>
      <x:c r="C2462" s="21" t="str">
        <x:v>rights</x:v>
      </x:c>
      <x:c r="D2462" s="21" t="str">
        <x:v>right 72 required</x:v>
      </x:c>
      <x:c r="E2462" s="21" t="n">
        <x:f>IF('Rights Register'!G72=1,1,0)</x:f>
        <x:v>1</x:v>
      </x:c>
      <x:c r="F2462" s="21" t="n">
        <x:v>1</x:v>
      </x:c>
      <x:c r="G2462" s="23" t="str">
        <x:f>IF(E2462=F2462,"PASS","FAIL")</x:f>
        <x:v>PASS</x:v>
      </x:c>
    </x:row>
    <x:row r="2463">
      <x:c r="B2463" s="21" t="str">
        <x:v>A2457</x:v>
      </x:c>
      <x:c r="C2463" s="21" t="str">
        <x:v>rights</x:v>
      </x:c>
      <x:c r="D2463" s="21" t="str">
        <x:v>right 72 offered</x:v>
      </x:c>
      <x:c r="E2463" s="21" t="n">
        <x:f>IF('Rights Register'!H72=1,1,0)</x:f>
        <x:v>1</x:v>
      </x:c>
      <x:c r="F2463" s="21" t="n">
        <x:v>1</x:v>
      </x:c>
      <x:c r="G2463" s="23" t="str">
        <x:f>IF(E2463=F2463,"PASS","FAIL")</x:f>
        <x:v>PASS</x:v>
      </x:c>
    </x:row>
    <x:row r="2464">
      <x:c r="B2464" s="21" t="str">
        <x:v>A2458</x:v>
      </x:c>
      <x:c r="C2464" s="21" t="str">
        <x:v>rights</x:v>
      </x:c>
      <x:c r="D2464" s="21" t="str">
        <x:v>right 72 evidence open</x:v>
      </x:c>
      <x:c r="E2464" s="21" t="n">
        <x:f>IF('Rights Register'!I72="OPEN",1,0)</x:f>
        <x:v>1</x:v>
      </x:c>
      <x:c r="F2464" s="21" t="n">
        <x:v>1</x:v>
      </x:c>
      <x:c r="G2464" s="23" t="str">
        <x:f>IF(E2464=F2464,"PASS","FAIL")</x:f>
        <x:v>PASS</x:v>
      </x:c>
    </x:row>
    <x:row r="2465">
      <x:c r="B2465" s="21" t="str">
        <x:v>A2459</x:v>
      </x:c>
      <x:c r="C2465" s="21" t="str">
        <x:v>rights</x:v>
      </x:c>
      <x:c r="D2465" s="21" t="str">
        <x:v>right 72 zero credit</x:v>
      </x:c>
      <x:c r="E2465" s="21" t="n">
        <x:f>IF('Rights Register'!J72=0,1,0)</x:f>
        <x:v>1</x:v>
      </x:c>
      <x:c r="F2465" s="21" t="n">
        <x:v>1</x:v>
      </x:c>
      <x:c r="G2465" s="23" t="str">
        <x:f>IF(E2465=F2465,"PASS","FAIL")</x:f>
        <x:v>PASS</x:v>
      </x:c>
    </x:row>
    <x:row r="2466">
      <x:c r="B2466" s="21" t="str">
        <x:v>A2460</x:v>
      </x:c>
      <x:c r="C2466" s="21" t="str">
        <x:v>rights</x:v>
      </x:c>
      <x:c r="D2466" s="21" t="str">
        <x:v>right 73 required</x:v>
      </x:c>
      <x:c r="E2466" s="21" t="n">
        <x:f>IF('Rights Register'!G73=1,1,0)</x:f>
        <x:v>1</x:v>
      </x:c>
      <x:c r="F2466" s="21" t="n">
        <x:v>1</x:v>
      </x:c>
      <x:c r="G2466" s="23" t="str">
        <x:f>IF(E2466=F2466,"PASS","FAIL")</x:f>
        <x:v>PASS</x:v>
      </x:c>
    </x:row>
    <x:row r="2467">
      <x:c r="B2467" s="21" t="str">
        <x:v>A2461</x:v>
      </x:c>
      <x:c r="C2467" s="21" t="str">
        <x:v>rights</x:v>
      </x:c>
      <x:c r="D2467" s="21" t="str">
        <x:v>right 73 offered</x:v>
      </x:c>
      <x:c r="E2467" s="21" t="n">
        <x:f>IF('Rights Register'!H73=1,1,0)</x:f>
        <x:v>1</x:v>
      </x:c>
      <x:c r="F2467" s="21" t="n">
        <x:v>1</x:v>
      </x:c>
      <x:c r="G2467" s="23" t="str">
        <x:f>IF(E2467=F2467,"PASS","FAIL")</x:f>
        <x:v>PASS</x:v>
      </x:c>
    </x:row>
    <x:row r="2468">
      <x:c r="B2468" s="21" t="str">
        <x:v>A2462</x:v>
      </x:c>
      <x:c r="C2468" s="21" t="str">
        <x:v>rights</x:v>
      </x:c>
      <x:c r="D2468" s="21" t="str">
        <x:v>right 73 evidence open</x:v>
      </x:c>
      <x:c r="E2468" s="21" t="n">
        <x:f>IF('Rights Register'!I73="OPEN",1,0)</x:f>
        <x:v>1</x:v>
      </x:c>
      <x:c r="F2468" s="21" t="n">
        <x:v>1</x:v>
      </x:c>
      <x:c r="G2468" s="23" t="str">
        <x:f>IF(E2468=F2468,"PASS","FAIL")</x:f>
        <x:v>PASS</x:v>
      </x:c>
    </x:row>
    <x:row r="2469">
      <x:c r="B2469" s="21" t="str">
        <x:v>A2463</x:v>
      </x:c>
      <x:c r="C2469" s="21" t="str">
        <x:v>rights</x:v>
      </x:c>
      <x:c r="D2469" s="21" t="str">
        <x:v>right 73 zero credit</x:v>
      </x:c>
      <x:c r="E2469" s="21" t="n">
        <x:f>IF('Rights Register'!J73=0,1,0)</x:f>
        <x:v>1</x:v>
      </x:c>
      <x:c r="F2469" s="21" t="n">
        <x:v>1</x:v>
      </x:c>
      <x:c r="G2469" s="23" t="str">
        <x:f>IF(E2469=F2469,"PASS","FAIL")</x:f>
        <x:v>PASS</x:v>
      </x:c>
    </x:row>
    <x:row r="2470">
      <x:c r="B2470" s="21" t="str">
        <x:v>A2464</x:v>
      </x:c>
      <x:c r="C2470" s="21" t="str">
        <x:v>rights</x:v>
      </x:c>
      <x:c r="D2470" s="21" t="str">
        <x:v>right 74 required</x:v>
      </x:c>
      <x:c r="E2470" s="21" t="n">
        <x:f>IF('Rights Register'!G74=1,1,0)</x:f>
        <x:v>1</x:v>
      </x:c>
      <x:c r="F2470" s="21" t="n">
        <x:v>1</x:v>
      </x:c>
      <x:c r="G2470" s="23" t="str">
        <x:f>IF(E2470=F2470,"PASS","FAIL")</x:f>
        <x:v>PASS</x:v>
      </x:c>
    </x:row>
    <x:row r="2471">
      <x:c r="B2471" s="21" t="str">
        <x:v>A2465</x:v>
      </x:c>
      <x:c r="C2471" s="21" t="str">
        <x:v>rights</x:v>
      </x:c>
      <x:c r="D2471" s="21" t="str">
        <x:v>right 74 offered</x:v>
      </x:c>
      <x:c r="E2471" s="21" t="n">
        <x:f>IF('Rights Register'!H74=1,1,0)</x:f>
        <x:v>1</x:v>
      </x:c>
      <x:c r="F2471" s="21" t="n">
        <x:v>1</x:v>
      </x:c>
      <x:c r="G2471" s="23" t="str">
        <x:f>IF(E2471=F2471,"PASS","FAIL")</x:f>
        <x:v>PASS</x:v>
      </x:c>
    </x:row>
    <x:row r="2472">
      <x:c r="B2472" s="21" t="str">
        <x:v>A2466</x:v>
      </x:c>
      <x:c r="C2472" s="21" t="str">
        <x:v>rights</x:v>
      </x:c>
      <x:c r="D2472" s="21" t="str">
        <x:v>right 74 evidence open</x:v>
      </x:c>
      <x:c r="E2472" s="21" t="n">
        <x:f>IF('Rights Register'!I74="OPEN",1,0)</x:f>
        <x:v>1</x:v>
      </x:c>
      <x:c r="F2472" s="21" t="n">
        <x:v>1</x:v>
      </x:c>
      <x:c r="G2472" s="23" t="str">
        <x:f>IF(E2472=F2472,"PASS","FAIL")</x:f>
        <x:v>PASS</x:v>
      </x:c>
    </x:row>
    <x:row r="2473">
      <x:c r="B2473" s="21" t="str">
        <x:v>A2467</x:v>
      </x:c>
      <x:c r="C2473" s="21" t="str">
        <x:v>rights</x:v>
      </x:c>
      <x:c r="D2473" s="21" t="str">
        <x:v>right 74 zero credit</x:v>
      </x:c>
      <x:c r="E2473" s="21" t="n">
        <x:f>IF('Rights Register'!J74=0,1,0)</x:f>
        <x:v>1</x:v>
      </x:c>
      <x:c r="F2473" s="21" t="n">
        <x:v>1</x:v>
      </x:c>
      <x:c r="G2473" s="23" t="str">
        <x:f>IF(E2473=F2473,"PASS","FAIL")</x:f>
        <x:v>PASS</x:v>
      </x:c>
    </x:row>
    <x:row r="2474">
      <x:c r="B2474" s="21" t="str">
        <x:v>A2468</x:v>
      </x:c>
      <x:c r="C2474" s="21" t="str">
        <x:v>rights</x:v>
      </x:c>
      <x:c r="D2474" s="21" t="str">
        <x:v>right 75 required</x:v>
      </x:c>
      <x:c r="E2474" s="21" t="n">
        <x:f>IF('Rights Register'!G75=1,1,0)</x:f>
        <x:v>1</x:v>
      </x:c>
      <x:c r="F2474" s="21" t="n">
        <x:v>1</x:v>
      </x:c>
      <x:c r="G2474" s="23" t="str">
        <x:f>IF(E2474=F2474,"PASS","FAIL")</x:f>
        <x:v>PASS</x:v>
      </x:c>
    </x:row>
    <x:row r="2475">
      <x:c r="B2475" s="21" t="str">
        <x:v>A2469</x:v>
      </x:c>
      <x:c r="C2475" s="21" t="str">
        <x:v>rights</x:v>
      </x:c>
      <x:c r="D2475" s="21" t="str">
        <x:v>right 75 offered</x:v>
      </x:c>
      <x:c r="E2475" s="21" t="n">
        <x:f>IF('Rights Register'!H75=1,1,0)</x:f>
        <x:v>1</x:v>
      </x:c>
      <x:c r="F2475" s="21" t="n">
        <x:v>1</x:v>
      </x:c>
      <x:c r="G2475" s="23" t="str">
        <x:f>IF(E2475=F2475,"PASS","FAIL")</x:f>
        <x:v>PASS</x:v>
      </x:c>
    </x:row>
    <x:row r="2476">
      <x:c r="B2476" s="21" t="str">
        <x:v>A2470</x:v>
      </x:c>
      <x:c r="C2476" s="21" t="str">
        <x:v>rights</x:v>
      </x:c>
      <x:c r="D2476" s="21" t="str">
        <x:v>right 75 evidence open</x:v>
      </x:c>
      <x:c r="E2476" s="21" t="n">
        <x:f>IF('Rights Register'!I75="OPEN",1,0)</x:f>
        <x:v>1</x:v>
      </x:c>
      <x:c r="F2476" s="21" t="n">
        <x:v>1</x:v>
      </x:c>
      <x:c r="G2476" s="23" t="str">
        <x:f>IF(E2476=F2476,"PASS","FAIL")</x:f>
        <x:v>PASS</x:v>
      </x:c>
    </x:row>
    <x:row r="2477">
      <x:c r="B2477" s="21" t="str">
        <x:v>A2471</x:v>
      </x:c>
      <x:c r="C2477" s="21" t="str">
        <x:v>rights</x:v>
      </x:c>
      <x:c r="D2477" s="21" t="str">
        <x:v>right 75 zero credit</x:v>
      </x:c>
      <x:c r="E2477" s="21" t="n">
        <x:f>IF('Rights Register'!J75=0,1,0)</x:f>
        <x:v>1</x:v>
      </x:c>
      <x:c r="F2477" s="21" t="n">
        <x:v>1</x:v>
      </x:c>
      <x:c r="G2477" s="23" t="str">
        <x:f>IF(E2477=F2477,"PASS","FAIL")</x:f>
        <x:v>PASS</x:v>
      </x:c>
    </x:row>
    <x:row r="2478">
      <x:c r="B2478" s="21" t="str">
        <x:v>A2472</x:v>
      </x:c>
      <x:c r="C2478" s="21" t="str">
        <x:v>rights</x:v>
      </x:c>
      <x:c r="D2478" s="21" t="str">
        <x:v>right 76 required</x:v>
      </x:c>
      <x:c r="E2478" s="21" t="n">
        <x:f>IF('Rights Register'!G76=1,1,0)</x:f>
        <x:v>1</x:v>
      </x:c>
      <x:c r="F2478" s="21" t="n">
        <x:v>1</x:v>
      </x:c>
      <x:c r="G2478" s="23" t="str">
        <x:f>IF(E2478=F2478,"PASS","FAIL")</x:f>
        <x:v>PASS</x:v>
      </x:c>
    </x:row>
    <x:row r="2479">
      <x:c r="B2479" s="21" t="str">
        <x:v>A2473</x:v>
      </x:c>
      <x:c r="C2479" s="21" t="str">
        <x:v>rights</x:v>
      </x:c>
      <x:c r="D2479" s="21" t="str">
        <x:v>right 76 offered</x:v>
      </x:c>
      <x:c r="E2479" s="21" t="n">
        <x:f>IF('Rights Register'!H76=1,1,0)</x:f>
        <x:v>1</x:v>
      </x:c>
      <x:c r="F2479" s="21" t="n">
        <x:v>1</x:v>
      </x:c>
      <x:c r="G2479" s="23" t="str">
        <x:f>IF(E2479=F2479,"PASS","FAIL")</x:f>
        <x:v>PASS</x:v>
      </x:c>
    </x:row>
    <x:row r="2480">
      <x:c r="B2480" s="21" t="str">
        <x:v>A2474</x:v>
      </x:c>
      <x:c r="C2480" s="21" t="str">
        <x:v>rights</x:v>
      </x:c>
      <x:c r="D2480" s="21" t="str">
        <x:v>right 76 evidence open</x:v>
      </x:c>
      <x:c r="E2480" s="21" t="n">
        <x:f>IF('Rights Register'!I76="OPEN",1,0)</x:f>
        <x:v>1</x:v>
      </x:c>
      <x:c r="F2480" s="21" t="n">
        <x:v>1</x:v>
      </x:c>
      <x:c r="G2480" s="23" t="str">
        <x:f>IF(E2480=F2480,"PASS","FAIL")</x:f>
        <x:v>PASS</x:v>
      </x:c>
    </x:row>
    <x:row r="2481">
      <x:c r="B2481" s="21" t="str">
        <x:v>A2475</x:v>
      </x:c>
      <x:c r="C2481" s="21" t="str">
        <x:v>rights</x:v>
      </x:c>
      <x:c r="D2481" s="21" t="str">
        <x:v>right 76 zero credit</x:v>
      </x:c>
      <x:c r="E2481" s="21" t="n">
        <x:f>IF('Rights Register'!J76=0,1,0)</x:f>
        <x:v>1</x:v>
      </x:c>
      <x:c r="F2481" s="21" t="n">
        <x:v>1</x:v>
      </x:c>
      <x:c r="G2481" s="23" t="str">
        <x:f>IF(E2481=F2481,"PASS","FAIL")</x:f>
        <x:v>PASS</x:v>
      </x:c>
    </x:row>
    <x:row r="2482">
      <x:c r="B2482" s="21" t="str">
        <x:v>A2476</x:v>
      </x:c>
      <x:c r="C2482" s="21" t="str">
        <x:v>rights</x:v>
      </x:c>
      <x:c r="D2482" s="21" t="str">
        <x:v>right 77 required</x:v>
      </x:c>
      <x:c r="E2482" s="21" t="n">
        <x:f>IF('Rights Register'!G77=1,1,0)</x:f>
        <x:v>1</x:v>
      </x:c>
      <x:c r="F2482" s="21" t="n">
        <x:v>1</x:v>
      </x:c>
      <x:c r="G2482" s="23" t="str">
        <x:f>IF(E2482=F2482,"PASS","FAIL")</x:f>
        <x:v>PASS</x:v>
      </x:c>
    </x:row>
    <x:row r="2483">
      <x:c r="B2483" s="21" t="str">
        <x:v>A2477</x:v>
      </x:c>
      <x:c r="C2483" s="21" t="str">
        <x:v>rights</x:v>
      </x:c>
      <x:c r="D2483" s="21" t="str">
        <x:v>right 77 offered</x:v>
      </x:c>
      <x:c r="E2483" s="21" t="n">
        <x:f>IF('Rights Register'!H77=1,1,0)</x:f>
        <x:v>1</x:v>
      </x:c>
      <x:c r="F2483" s="21" t="n">
        <x:v>1</x:v>
      </x:c>
      <x:c r="G2483" s="23" t="str">
        <x:f>IF(E2483=F2483,"PASS","FAIL")</x:f>
        <x:v>PASS</x:v>
      </x:c>
    </x:row>
    <x:row r="2484">
      <x:c r="B2484" s="21" t="str">
        <x:v>A2478</x:v>
      </x:c>
      <x:c r="C2484" s="21" t="str">
        <x:v>rights</x:v>
      </x:c>
      <x:c r="D2484" s="21" t="str">
        <x:v>right 77 evidence open</x:v>
      </x:c>
      <x:c r="E2484" s="21" t="n">
        <x:f>IF('Rights Register'!I77="OPEN",1,0)</x:f>
        <x:v>1</x:v>
      </x:c>
      <x:c r="F2484" s="21" t="n">
        <x:v>1</x:v>
      </x:c>
      <x:c r="G2484" s="23" t="str">
        <x:f>IF(E2484=F2484,"PASS","FAIL")</x:f>
        <x:v>PASS</x:v>
      </x:c>
    </x:row>
    <x:row r="2485">
      <x:c r="B2485" s="21" t="str">
        <x:v>A2479</x:v>
      </x:c>
      <x:c r="C2485" s="21" t="str">
        <x:v>rights</x:v>
      </x:c>
      <x:c r="D2485" s="21" t="str">
        <x:v>right 77 zero credit</x:v>
      </x:c>
      <x:c r="E2485" s="21" t="n">
        <x:f>IF('Rights Register'!J77=0,1,0)</x:f>
        <x:v>1</x:v>
      </x:c>
      <x:c r="F2485" s="21" t="n">
        <x:v>1</x:v>
      </x:c>
      <x:c r="G2485" s="23" t="str">
        <x:f>IF(E2485=F2485,"PASS","FAIL")</x:f>
        <x:v>PASS</x:v>
      </x:c>
    </x:row>
    <x:row r="2486">
      <x:c r="B2486" s="21" t="str">
        <x:v>A2480</x:v>
      </x:c>
      <x:c r="C2486" s="21" t="str">
        <x:v>rights</x:v>
      </x:c>
      <x:c r="D2486" s="21" t="str">
        <x:v>right 78 required</x:v>
      </x:c>
      <x:c r="E2486" s="21" t="n">
        <x:f>IF('Rights Register'!G78=1,1,0)</x:f>
        <x:v>1</x:v>
      </x:c>
      <x:c r="F2486" s="21" t="n">
        <x:v>1</x:v>
      </x:c>
      <x:c r="G2486" s="23" t="str">
        <x:f>IF(E2486=F2486,"PASS","FAIL")</x:f>
        <x:v>PASS</x:v>
      </x:c>
    </x:row>
    <x:row r="2487">
      <x:c r="B2487" s="21" t="str">
        <x:v>A2481</x:v>
      </x:c>
      <x:c r="C2487" s="21" t="str">
        <x:v>rights</x:v>
      </x:c>
      <x:c r="D2487" s="21" t="str">
        <x:v>right 78 offered</x:v>
      </x:c>
      <x:c r="E2487" s="21" t="n">
        <x:f>IF('Rights Register'!H78=1,1,0)</x:f>
        <x:v>1</x:v>
      </x:c>
      <x:c r="F2487" s="21" t="n">
        <x:v>1</x:v>
      </x:c>
      <x:c r="G2487" s="23" t="str">
        <x:f>IF(E2487=F2487,"PASS","FAIL")</x:f>
        <x:v>PASS</x:v>
      </x:c>
    </x:row>
    <x:row r="2488">
      <x:c r="B2488" s="21" t="str">
        <x:v>A2482</x:v>
      </x:c>
      <x:c r="C2488" s="21" t="str">
        <x:v>rights</x:v>
      </x:c>
      <x:c r="D2488" s="21" t="str">
        <x:v>right 78 evidence open</x:v>
      </x:c>
      <x:c r="E2488" s="21" t="n">
        <x:f>IF('Rights Register'!I78="OPEN",1,0)</x:f>
        <x:v>1</x:v>
      </x:c>
      <x:c r="F2488" s="21" t="n">
        <x:v>1</x:v>
      </x:c>
      <x:c r="G2488" s="23" t="str">
        <x:f>IF(E2488=F2488,"PASS","FAIL")</x:f>
        <x:v>PASS</x:v>
      </x:c>
    </x:row>
    <x:row r="2489">
      <x:c r="B2489" s="21" t="str">
        <x:v>A2483</x:v>
      </x:c>
      <x:c r="C2489" s="21" t="str">
        <x:v>rights</x:v>
      </x:c>
      <x:c r="D2489" s="21" t="str">
        <x:v>right 78 zero credit</x:v>
      </x:c>
      <x:c r="E2489" s="21" t="n">
        <x:f>IF('Rights Register'!J78=0,1,0)</x:f>
        <x:v>1</x:v>
      </x:c>
      <x:c r="F2489" s="21" t="n">
        <x:v>1</x:v>
      </x:c>
      <x:c r="G2489" s="23" t="str">
        <x:f>IF(E2489=F2489,"PASS","FAIL")</x:f>
        <x:v>PASS</x:v>
      </x:c>
    </x:row>
    <x:row r="2490">
      <x:c r="B2490" s="21" t="str">
        <x:v>A2484</x:v>
      </x:c>
      <x:c r="C2490" s="21" t="str">
        <x:v>rights</x:v>
      </x:c>
      <x:c r="D2490" s="21" t="str">
        <x:v>right 79 required</x:v>
      </x:c>
      <x:c r="E2490" s="21" t="n">
        <x:f>IF('Rights Register'!G79=1,1,0)</x:f>
        <x:v>1</x:v>
      </x:c>
      <x:c r="F2490" s="21" t="n">
        <x:v>1</x:v>
      </x:c>
      <x:c r="G2490" s="23" t="str">
        <x:f>IF(E2490=F2490,"PASS","FAIL")</x:f>
        <x:v>PASS</x:v>
      </x:c>
    </x:row>
    <x:row r="2491">
      <x:c r="B2491" s="21" t="str">
        <x:v>A2485</x:v>
      </x:c>
      <x:c r="C2491" s="21" t="str">
        <x:v>rights</x:v>
      </x:c>
      <x:c r="D2491" s="21" t="str">
        <x:v>right 79 offered</x:v>
      </x:c>
      <x:c r="E2491" s="21" t="n">
        <x:f>IF('Rights Register'!H79=1,1,0)</x:f>
        <x:v>1</x:v>
      </x:c>
      <x:c r="F2491" s="21" t="n">
        <x:v>1</x:v>
      </x:c>
      <x:c r="G2491" s="23" t="str">
        <x:f>IF(E2491=F2491,"PASS","FAIL")</x:f>
        <x:v>PASS</x:v>
      </x:c>
    </x:row>
    <x:row r="2492">
      <x:c r="B2492" s="21" t="str">
        <x:v>A2486</x:v>
      </x:c>
      <x:c r="C2492" s="21" t="str">
        <x:v>rights</x:v>
      </x:c>
      <x:c r="D2492" s="21" t="str">
        <x:v>right 79 evidence open</x:v>
      </x:c>
      <x:c r="E2492" s="21" t="n">
        <x:f>IF('Rights Register'!I79="OPEN",1,0)</x:f>
        <x:v>1</x:v>
      </x:c>
      <x:c r="F2492" s="21" t="n">
        <x:v>1</x:v>
      </x:c>
      <x:c r="G2492" s="23" t="str">
        <x:f>IF(E2492=F2492,"PASS","FAIL")</x:f>
        <x:v>PASS</x:v>
      </x:c>
    </x:row>
    <x:row r="2493">
      <x:c r="B2493" s="21" t="str">
        <x:v>A2487</x:v>
      </x:c>
      <x:c r="C2493" s="21" t="str">
        <x:v>rights</x:v>
      </x:c>
      <x:c r="D2493" s="21" t="str">
        <x:v>right 79 zero credit</x:v>
      </x:c>
      <x:c r="E2493" s="21" t="n">
        <x:f>IF('Rights Register'!J79=0,1,0)</x:f>
        <x:v>1</x:v>
      </x:c>
      <x:c r="F2493" s="21" t="n">
        <x:v>1</x:v>
      </x:c>
      <x:c r="G2493" s="23" t="str">
        <x:f>IF(E2493=F2493,"PASS","FAIL")</x:f>
        <x:v>PASS</x:v>
      </x:c>
    </x:row>
    <x:row r="2494">
      <x:c r="B2494" s="21" t="str">
        <x:v>A2488</x:v>
      </x:c>
      <x:c r="C2494" s="21" t="str">
        <x:v>rights</x:v>
      </x:c>
      <x:c r="D2494" s="21" t="str">
        <x:v>right 80 required</x:v>
      </x:c>
      <x:c r="E2494" s="21" t="n">
        <x:f>IF('Rights Register'!G80=1,1,0)</x:f>
        <x:v>1</x:v>
      </x:c>
      <x:c r="F2494" s="21" t="n">
        <x:v>1</x:v>
      </x:c>
      <x:c r="G2494" s="23" t="str">
        <x:f>IF(E2494=F2494,"PASS","FAIL")</x:f>
        <x:v>PASS</x:v>
      </x:c>
    </x:row>
    <x:row r="2495">
      <x:c r="B2495" s="21" t="str">
        <x:v>A2489</x:v>
      </x:c>
      <x:c r="C2495" s="21" t="str">
        <x:v>rights</x:v>
      </x:c>
      <x:c r="D2495" s="21" t="str">
        <x:v>right 80 offered</x:v>
      </x:c>
      <x:c r="E2495" s="21" t="n">
        <x:f>IF('Rights Register'!H80=1,1,0)</x:f>
        <x:v>1</x:v>
      </x:c>
      <x:c r="F2495" s="21" t="n">
        <x:v>1</x:v>
      </x:c>
      <x:c r="G2495" s="23" t="str">
        <x:f>IF(E2495=F2495,"PASS","FAIL")</x:f>
        <x:v>PASS</x:v>
      </x:c>
    </x:row>
    <x:row r="2496">
      <x:c r="B2496" s="21" t="str">
        <x:v>A2490</x:v>
      </x:c>
      <x:c r="C2496" s="21" t="str">
        <x:v>rights</x:v>
      </x:c>
      <x:c r="D2496" s="21" t="str">
        <x:v>right 80 evidence open</x:v>
      </x:c>
      <x:c r="E2496" s="21" t="n">
        <x:f>IF('Rights Register'!I80="OPEN",1,0)</x:f>
        <x:v>1</x:v>
      </x:c>
      <x:c r="F2496" s="21" t="n">
        <x:v>1</x:v>
      </x:c>
      <x:c r="G2496" s="23" t="str">
        <x:f>IF(E2496=F2496,"PASS","FAIL")</x:f>
        <x:v>PASS</x:v>
      </x:c>
    </x:row>
    <x:row r="2497">
      <x:c r="B2497" s="21" t="str">
        <x:v>A2491</x:v>
      </x:c>
      <x:c r="C2497" s="21" t="str">
        <x:v>rights</x:v>
      </x:c>
      <x:c r="D2497" s="21" t="str">
        <x:v>right 80 zero credit</x:v>
      </x:c>
      <x:c r="E2497" s="21" t="n">
        <x:f>IF('Rights Register'!J80=0,1,0)</x:f>
        <x:v>1</x:v>
      </x:c>
      <x:c r="F2497" s="21" t="n">
        <x:v>1</x:v>
      </x:c>
      <x:c r="G2497" s="23" t="str">
        <x:f>IF(E2497=F2497,"PASS","FAIL")</x:f>
        <x:v>PASS</x:v>
      </x:c>
    </x:row>
    <x:row r="2498">
      <x:c r="B2498" s="21" t="str">
        <x:v>A2492</x:v>
      </x:c>
      <x:c r="C2498" s="21" t="str">
        <x:v>rights</x:v>
      </x:c>
      <x:c r="D2498" s="21" t="str">
        <x:v>right 81 required</x:v>
      </x:c>
      <x:c r="E2498" s="21" t="n">
        <x:f>IF('Rights Register'!G81=1,1,0)</x:f>
        <x:v>1</x:v>
      </x:c>
      <x:c r="F2498" s="21" t="n">
        <x:v>1</x:v>
      </x:c>
      <x:c r="G2498" s="23" t="str">
        <x:f>IF(E2498=F2498,"PASS","FAIL")</x:f>
        <x:v>PASS</x:v>
      </x:c>
    </x:row>
    <x:row r="2499">
      <x:c r="B2499" s="21" t="str">
        <x:v>A2493</x:v>
      </x:c>
      <x:c r="C2499" s="21" t="str">
        <x:v>rights</x:v>
      </x:c>
      <x:c r="D2499" s="21" t="str">
        <x:v>right 81 offered</x:v>
      </x:c>
      <x:c r="E2499" s="21" t="n">
        <x:f>IF('Rights Register'!H81=1,1,0)</x:f>
        <x:v>1</x:v>
      </x:c>
      <x:c r="F2499" s="21" t="n">
        <x:v>1</x:v>
      </x:c>
      <x:c r="G2499" s="23" t="str">
        <x:f>IF(E2499=F2499,"PASS","FAIL")</x:f>
        <x:v>PASS</x:v>
      </x:c>
    </x:row>
    <x:row r="2500">
      <x:c r="B2500" s="21" t="str">
        <x:v>A2494</x:v>
      </x:c>
      <x:c r="C2500" s="21" t="str">
        <x:v>rights</x:v>
      </x:c>
      <x:c r="D2500" s="21" t="str">
        <x:v>right 81 evidence open</x:v>
      </x:c>
      <x:c r="E2500" s="21" t="n">
        <x:f>IF('Rights Register'!I81="OPEN",1,0)</x:f>
        <x:v>1</x:v>
      </x:c>
      <x:c r="F2500" s="21" t="n">
        <x:v>1</x:v>
      </x:c>
      <x:c r="G2500" s="23" t="str">
        <x:f>IF(E2500=F2500,"PASS","FAIL")</x:f>
        <x:v>PASS</x:v>
      </x:c>
    </x:row>
    <x:row r="2501">
      <x:c r="B2501" s="21" t="str">
        <x:v>A2495</x:v>
      </x:c>
      <x:c r="C2501" s="21" t="str">
        <x:v>rights</x:v>
      </x:c>
      <x:c r="D2501" s="21" t="str">
        <x:v>right 81 zero credit</x:v>
      </x:c>
      <x:c r="E2501" s="21" t="n">
        <x:f>IF('Rights Register'!J81=0,1,0)</x:f>
        <x:v>1</x:v>
      </x:c>
      <x:c r="F2501" s="21" t="n">
        <x:v>1</x:v>
      </x:c>
      <x:c r="G2501" s="23" t="str">
        <x:f>IF(E2501=F2501,"PASS","FAIL")</x:f>
        <x:v>PASS</x:v>
      </x:c>
    </x:row>
    <x:row r="2502">
      <x:c r="B2502" s="21" t="str">
        <x:v>A2496</x:v>
      </x:c>
      <x:c r="C2502" s="21" t="str">
        <x:v>rights</x:v>
      </x:c>
      <x:c r="D2502" s="21" t="str">
        <x:v>right 82 required</x:v>
      </x:c>
      <x:c r="E2502" s="21" t="n">
        <x:f>IF('Rights Register'!G82=1,1,0)</x:f>
        <x:v>1</x:v>
      </x:c>
      <x:c r="F2502" s="21" t="n">
        <x:v>1</x:v>
      </x:c>
      <x:c r="G2502" s="23" t="str">
        <x:f>IF(E2502=F2502,"PASS","FAIL")</x:f>
        <x:v>PASS</x:v>
      </x:c>
    </x:row>
    <x:row r="2503">
      <x:c r="B2503" s="21" t="str">
        <x:v>A2497</x:v>
      </x:c>
      <x:c r="C2503" s="21" t="str">
        <x:v>rights</x:v>
      </x:c>
      <x:c r="D2503" s="21" t="str">
        <x:v>right 82 offered</x:v>
      </x:c>
      <x:c r="E2503" s="21" t="n">
        <x:f>IF('Rights Register'!H82=1,1,0)</x:f>
        <x:v>1</x:v>
      </x:c>
      <x:c r="F2503" s="21" t="n">
        <x:v>1</x:v>
      </x:c>
      <x:c r="G2503" s="23" t="str">
        <x:f>IF(E2503=F2503,"PASS","FAIL")</x:f>
        <x:v>PASS</x:v>
      </x:c>
    </x:row>
    <x:row r="2504">
      <x:c r="B2504" s="21" t="str">
        <x:v>A2498</x:v>
      </x:c>
      <x:c r="C2504" s="21" t="str">
        <x:v>rights</x:v>
      </x:c>
      <x:c r="D2504" s="21" t="str">
        <x:v>right 82 evidence open</x:v>
      </x:c>
      <x:c r="E2504" s="21" t="n">
        <x:f>IF('Rights Register'!I82="OPEN",1,0)</x:f>
        <x:v>1</x:v>
      </x:c>
      <x:c r="F2504" s="21" t="n">
        <x:v>1</x:v>
      </x:c>
      <x:c r="G2504" s="23" t="str">
        <x:f>IF(E2504=F2504,"PASS","FAIL")</x:f>
        <x:v>PASS</x:v>
      </x:c>
    </x:row>
    <x:row r="2505">
      <x:c r="B2505" s="21" t="str">
        <x:v>A2499</x:v>
      </x:c>
      <x:c r="C2505" s="21" t="str">
        <x:v>rights</x:v>
      </x:c>
      <x:c r="D2505" s="21" t="str">
        <x:v>right 82 zero credit</x:v>
      </x:c>
      <x:c r="E2505" s="21" t="n">
        <x:f>IF('Rights Register'!J82=0,1,0)</x:f>
        <x:v>1</x:v>
      </x:c>
      <x:c r="F2505" s="21" t="n">
        <x:v>1</x:v>
      </x:c>
      <x:c r="G2505" s="23" t="str">
        <x:f>IF(E2505=F2505,"PASS","FAIL")</x:f>
        <x:v>PASS</x:v>
      </x:c>
    </x:row>
    <x:row r="2506">
      <x:c r="B2506" s="21" t="str">
        <x:v>A2500</x:v>
      </x:c>
      <x:c r="C2506" s="21" t="str">
        <x:v>rights</x:v>
      </x:c>
      <x:c r="D2506" s="21" t="str">
        <x:v>right 83 required</x:v>
      </x:c>
      <x:c r="E2506" s="21" t="n">
        <x:f>IF('Rights Register'!G83=1,1,0)</x:f>
        <x:v>1</x:v>
      </x:c>
      <x:c r="F2506" s="21" t="n">
        <x:v>1</x:v>
      </x:c>
      <x:c r="G2506" s="23" t="str">
        <x:f>IF(E2506=F2506,"PASS","FAIL")</x:f>
        <x:v>PASS</x:v>
      </x:c>
    </x:row>
    <x:row r="2507">
      <x:c r="B2507" s="21" t="str">
        <x:v>A2501</x:v>
      </x:c>
      <x:c r="C2507" s="21" t="str">
        <x:v>rights</x:v>
      </x:c>
      <x:c r="D2507" s="21" t="str">
        <x:v>right 83 offered</x:v>
      </x:c>
      <x:c r="E2507" s="21" t="n">
        <x:f>IF('Rights Register'!H83=1,1,0)</x:f>
        <x:v>1</x:v>
      </x:c>
      <x:c r="F2507" s="21" t="n">
        <x:v>1</x:v>
      </x:c>
      <x:c r="G2507" s="23" t="str">
        <x:f>IF(E2507=F2507,"PASS","FAIL")</x:f>
        <x:v>PASS</x:v>
      </x:c>
    </x:row>
    <x:row r="2508">
      <x:c r="B2508" s="21" t="str">
        <x:v>A2502</x:v>
      </x:c>
      <x:c r="C2508" s="21" t="str">
        <x:v>rights</x:v>
      </x:c>
      <x:c r="D2508" s="21" t="str">
        <x:v>right 83 evidence open</x:v>
      </x:c>
      <x:c r="E2508" s="21" t="n">
        <x:f>IF('Rights Register'!I83="OPEN",1,0)</x:f>
        <x:v>1</x:v>
      </x:c>
      <x:c r="F2508" s="21" t="n">
        <x:v>1</x:v>
      </x:c>
      <x:c r="G2508" s="23" t="str">
        <x:f>IF(E2508=F2508,"PASS","FAIL")</x:f>
        <x:v>PASS</x:v>
      </x:c>
    </x:row>
    <x:row r="2509">
      <x:c r="B2509" s="21" t="str">
        <x:v>A2503</x:v>
      </x:c>
      <x:c r="C2509" s="21" t="str">
        <x:v>rights</x:v>
      </x:c>
      <x:c r="D2509" s="21" t="str">
        <x:v>right 83 zero credit</x:v>
      </x:c>
      <x:c r="E2509" s="21" t="n">
        <x:f>IF('Rights Register'!J83=0,1,0)</x:f>
        <x:v>1</x:v>
      </x:c>
      <x:c r="F2509" s="21" t="n">
        <x:v>1</x:v>
      </x:c>
      <x:c r="G2509" s="23" t="str">
        <x:f>IF(E2509=F2509,"PASS","FAIL")</x:f>
        <x:v>PASS</x:v>
      </x:c>
    </x:row>
    <x:row r="2510">
      <x:c r="B2510" s="21" t="str">
        <x:v>A2504</x:v>
      </x:c>
      <x:c r="C2510" s="21" t="str">
        <x:v>rights</x:v>
      </x:c>
      <x:c r="D2510" s="21" t="str">
        <x:v>right 84 required</x:v>
      </x:c>
      <x:c r="E2510" s="21" t="n">
        <x:f>IF('Rights Register'!G84=1,1,0)</x:f>
        <x:v>1</x:v>
      </x:c>
      <x:c r="F2510" s="21" t="n">
        <x:v>1</x:v>
      </x:c>
      <x:c r="G2510" s="23" t="str">
        <x:f>IF(E2510=F2510,"PASS","FAIL")</x:f>
        <x:v>PASS</x:v>
      </x:c>
    </x:row>
    <x:row r="2511">
      <x:c r="B2511" s="21" t="str">
        <x:v>A2505</x:v>
      </x:c>
      <x:c r="C2511" s="21" t="str">
        <x:v>rights</x:v>
      </x:c>
      <x:c r="D2511" s="21" t="str">
        <x:v>right 84 offered</x:v>
      </x:c>
      <x:c r="E2511" s="21" t="n">
        <x:f>IF('Rights Register'!H84=1,1,0)</x:f>
        <x:v>1</x:v>
      </x:c>
      <x:c r="F2511" s="21" t="n">
        <x:v>1</x:v>
      </x:c>
      <x:c r="G2511" s="23" t="str">
        <x:f>IF(E2511=F2511,"PASS","FAIL")</x:f>
        <x:v>PASS</x:v>
      </x:c>
    </x:row>
    <x:row r="2512">
      <x:c r="B2512" s="21" t="str">
        <x:v>A2506</x:v>
      </x:c>
      <x:c r="C2512" s="21" t="str">
        <x:v>rights</x:v>
      </x:c>
      <x:c r="D2512" s="21" t="str">
        <x:v>right 84 evidence open</x:v>
      </x:c>
      <x:c r="E2512" s="21" t="n">
        <x:f>IF('Rights Register'!I84="OPEN",1,0)</x:f>
        <x:v>1</x:v>
      </x:c>
      <x:c r="F2512" s="21" t="n">
        <x:v>1</x:v>
      </x:c>
      <x:c r="G2512" s="23" t="str">
        <x:f>IF(E2512=F2512,"PASS","FAIL")</x:f>
        <x:v>PASS</x:v>
      </x:c>
    </x:row>
    <x:row r="2513">
      <x:c r="B2513" s="21" t="str">
        <x:v>A2507</x:v>
      </x:c>
      <x:c r="C2513" s="21" t="str">
        <x:v>rights</x:v>
      </x:c>
      <x:c r="D2513" s="21" t="str">
        <x:v>right 84 zero credit</x:v>
      </x:c>
      <x:c r="E2513" s="21" t="n">
        <x:f>IF('Rights Register'!J84=0,1,0)</x:f>
        <x:v>1</x:v>
      </x:c>
      <x:c r="F2513" s="21" t="n">
        <x:v>1</x:v>
      </x:c>
      <x:c r="G2513" s="23" t="str">
        <x:f>IF(E2513=F2513,"PASS","FAIL")</x:f>
        <x:v>PASS</x:v>
      </x:c>
    </x:row>
    <x:row r="2514">
      <x:c r="B2514" s="21" t="str">
        <x:v>A2508</x:v>
      </x:c>
      <x:c r="C2514" s="21" t="str">
        <x:v>rights</x:v>
      </x:c>
      <x:c r="D2514" s="21" t="str">
        <x:v>right 85 required</x:v>
      </x:c>
      <x:c r="E2514" s="21" t="n">
        <x:f>IF('Rights Register'!G85=1,1,0)</x:f>
        <x:v>1</x:v>
      </x:c>
      <x:c r="F2514" s="21" t="n">
        <x:v>1</x:v>
      </x:c>
      <x:c r="G2514" s="23" t="str">
        <x:f>IF(E2514=F2514,"PASS","FAIL")</x:f>
        <x:v>PASS</x:v>
      </x:c>
    </x:row>
    <x:row r="2515">
      <x:c r="B2515" s="21" t="str">
        <x:v>A2509</x:v>
      </x:c>
      <x:c r="C2515" s="21" t="str">
        <x:v>rights</x:v>
      </x:c>
      <x:c r="D2515" s="21" t="str">
        <x:v>right 85 offered</x:v>
      </x:c>
      <x:c r="E2515" s="21" t="n">
        <x:f>IF('Rights Register'!H85=1,1,0)</x:f>
        <x:v>1</x:v>
      </x:c>
      <x:c r="F2515" s="21" t="n">
        <x:v>1</x:v>
      </x:c>
      <x:c r="G2515" s="23" t="str">
        <x:f>IF(E2515=F2515,"PASS","FAIL")</x:f>
        <x:v>PASS</x:v>
      </x:c>
    </x:row>
    <x:row r="2516">
      <x:c r="B2516" s="21" t="str">
        <x:v>A2510</x:v>
      </x:c>
      <x:c r="C2516" s="21" t="str">
        <x:v>rights</x:v>
      </x:c>
      <x:c r="D2516" s="21" t="str">
        <x:v>right 85 evidence open</x:v>
      </x:c>
      <x:c r="E2516" s="21" t="n">
        <x:f>IF('Rights Register'!I85="OPEN",1,0)</x:f>
        <x:v>1</x:v>
      </x:c>
      <x:c r="F2516" s="21" t="n">
        <x:v>1</x:v>
      </x:c>
      <x:c r="G2516" s="23" t="str">
        <x:f>IF(E2516=F2516,"PASS","FAIL")</x:f>
        <x:v>PASS</x:v>
      </x:c>
    </x:row>
    <x:row r="2517">
      <x:c r="B2517" s="21" t="str">
        <x:v>A2511</x:v>
      </x:c>
      <x:c r="C2517" s="21" t="str">
        <x:v>rights</x:v>
      </x:c>
      <x:c r="D2517" s="21" t="str">
        <x:v>right 85 zero credit</x:v>
      </x:c>
      <x:c r="E2517" s="21" t="n">
        <x:f>IF('Rights Register'!J85=0,1,0)</x:f>
        <x:v>1</x:v>
      </x:c>
      <x:c r="F2517" s="21" t="n">
        <x:v>1</x:v>
      </x:c>
      <x:c r="G2517" s="23" t="str">
        <x:f>IF(E2517=F2517,"PASS","FAIL")</x:f>
        <x:v>PASS</x:v>
      </x:c>
    </x:row>
    <x:row r="2518">
      <x:c r="B2518" s="21" t="str">
        <x:v>A2512</x:v>
      </x:c>
      <x:c r="C2518" s="21" t="str">
        <x:v>rights</x:v>
      </x:c>
      <x:c r="D2518" s="21" t="str">
        <x:v>right 86 required</x:v>
      </x:c>
      <x:c r="E2518" s="21" t="n">
        <x:f>IF('Rights Register'!G86=1,1,0)</x:f>
        <x:v>1</x:v>
      </x:c>
      <x:c r="F2518" s="21" t="n">
        <x:v>1</x:v>
      </x:c>
      <x:c r="G2518" s="23" t="str">
        <x:f>IF(E2518=F2518,"PASS","FAIL")</x:f>
        <x:v>PASS</x:v>
      </x:c>
    </x:row>
    <x:row r="2519">
      <x:c r="B2519" s="21" t="str">
        <x:v>A2513</x:v>
      </x:c>
      <x:c r="C2519" s="21" t="str">
        <x:v>rights</x:v>
      </x:c>
      <x:c r="D2519" s="21" t="str">
        <x:v>right 86 offered</x:v>
      </x:c>
      <x:c r="E2519" s="21" t="n">
        <x:f>IF('Rights Register'!H86=1,1,0)</x:f>
        <x:v>1</x:v>
      </x:c>
      <x:c r="F2519" s="21" t="n">
        <x:v>1</x:v>
      </x:c>
      <x:c r="G2519" s="23" t="str">
        <x:f>IF(E2519=F2519,"PASS","FAIL")</x:f>
        <x:v>PASS</x:v>
      </x:c>
    </x:row>
    <x:row r="2520">
      <x:c r="B2520" s="21" t="str">
        <x:v>A2514</x:v>
      </x:c>
      <x:c r="C2520" s="21" t="str">
        <x:v>rights</x:v>
      </x:c>
      <x:c r="D2520" s="21" t="str">
        <x:v>right 86 evidence open</x:v>
      </x:c>
      <x:c r="E2520" s="21" t="n">
        <x:f>IF('Rights Register'!I86="OPEN",1,0)</x:f>
        <x:v>1</x:v>
      </x:c>
      <x:c r="F2520" s="21" t="n">
        <x:v>1</x:v>
      </x:c>
      <x:c r="G2520" s="23" t="str">
        <x:f>IF(E2520=F2520,"PASS","FAIL")</x:f>
        <x:v>PASS</x:v>
      </x:c>
    </x:row>
    <x:row r="2521">
      <x:c r="B2521" s="21" t="str">
        <x:v>A2515</x:v>
      </x:c>
      <x:c r="C2521" s="21" t="str">
        <x:v>rights</x:v>
      </x:c>
      <x:c r="D2521" s="21" t="str">
        <x:v>right 86 zero credit</x:v>
      </x:c>
      <x:c r="E2521" s="21" t="n">
        <x:f>IF('Rights Register'!J86=0,1,0)</x:f>
        <x:v>1</x:v>
      </x:c>
      <x:c r="F2521" s="21" t="n">
        <x:v>1</x:v>
      </x:c>
      <x:c r="G2521" s="23" t="str">
        <x:f>IF(E2521=F2521,"PASS","FAIL")</x:f>
        <x:v>PASS</x:v>
      </x:c>
    </x:row>
    <x:row r="2522">
      <x:c r="B2522" s="21" t="str">
        <x:v>A2516</x:v>
      </x:c>
      <x:c r="C2522" s="21" t="str">
        <x:v>rights</x:v>
      </x:c>
      <x:c r="D2522" s="21" t="str">
        <x:v>right 87 required</x:v>
      </x:c>
      <x:c r="E2522" s="21" t="n">
        <x:f>IF('Rights Register'!G87=1,1,0)</x:f>
        <x:v>1</x:v>
      </x:c>
      <x:c r="F2522" s="21" t="n">
        <x:v>1</x:v>
      </x:c>
      <x:c r="G2522" s="23" t="str">
        <x:f>IF(E2522=F2522,"PASS","FAIL")</x:f>
        <x:v>PASS</x:v>
      </x:c>
    </x:row>
    <x:row r="2523">
      <x:c r="B2523" s="21" t="str">
        <x:v>A2517</x:v>
      </x:c>
      <x:c r="C2523" s="21" t="str">
        <x:v>rights</x:v>
      </x:c>
      <x:c r="D2523" s="21" t="str">
        <x:v>right 87 offered</x:v>
      </x:c>
      <x:c r="E2523" s="21" t="n">
        <x:f>IF('Rights Register'!H87=1,1,0)</x:f>
        <x:v>1</x:v>
      </x:c>
      <x:c r="F2523" s="21" t="n">
        <x:v>1</x:v>
      </x:c>
      <x:c r="G2523" s="23" t="str">
        <x:f>IF(E2523=F2523,"PASS","FAIL")</x:f>
        <x:v>PASS</x:v>
      </x:c>
    </x:row>
    <x:row r="2524">
      <x:c r="B2524" s="21" t="str">
        <x:v>A2518</x:v>
      </x:c>
      <x:c r="C2524" s="21" t="str">
        <x:v>rights</x:v>
      </x:c>
      <x:c r="D2524" s="21" t="str">
        <x:v>right 87 evidence open</x:v>
      </x:c>
      <x:c r="E2524" s="21" t="n">
        <x:f>IF('Rights Register'!I87="OPEN",1,0)</x:f>
        <x:v>1</x:v>
      </x:c>
      <x:c r="F2524" s="21" t="n">
        <x:v>1</x:v>
      </x:c>
      <x:c r="G2524" s="23" t="str">
        <x:f>IF(E2524=F2524,"PASS","FAIL")</x:f>
        <x:v>PASS</x:v>
      </x:c>
    </x:row>
    <x:row r="2525">
      <x:c r="B2525" s="21" t="str">
        <x:v>A2519</x:v>
      </x:c>
      <x:c r="C2525" s="21" t="str">
        <x:v>rights</x:v>
      </x:c>
      <x:c r="D2525" s="21" t="str">
        <x:v>right 87 zero credit</x:v>
      </x:c>
      <x:c r="E2525" s="21" t="n">
        <x:f>IF('Rights Register'!J87=0,1,0)</x:f>
        <x:v>1</x:v>
      </x:c>
      <x:c r="F2525" s="21" t="n">
        <x:v>1</x:v>
      </x:c>
      <x:c r="G2525" s="23" t="str">
        <x:f>IF(E2525=F2525,"PASS","FAIL")</x:f>
        <x:v>PASS</x:v>
      </x:c>
    </x:row>
    <x:row r="2526">
      <x:c r="B2526" s="21" t="str">
        <x:v>A2520</x:v>
      </x:c>
      <x:c r="C2526" s="21" t="str">
        <x:v>rights</x:v>
      </x:c>
      <x:c r="D2526" s="21" t="str">
        <x:v>right 88 required</x:v>
      </x:c>
      <x:c r="E2526" s="21" t="n">
        <x:f>IF('Rights Register'!G88=1,1,0)</x:f>
        <x:v>1</x:v>
      </x:c>
      <x:c r="F2526" s="21" t="n">
        <x:v>1</x:v>
      </x:c>
      <x:c r="G2526" s="23" t="str">
        <x:f>IF(E2526=F2526,"PASS","FAIL")</x:f>
        <x:v>PASS</x:v>
      </x:c>
    </x:row>
    <x:row r="2527">
      <x:c r="B2527" s="21" t="str">
        <x:v>A2521</x:v>
      </x:c>
      <x:c r="C2527" s="21" t="str">
        <x:v>rights</x:v>
      </x:c>
      <x:c r="D2527" s="21" t="str">
        <x:v>right 88 offered</x:v>
      </x:c>
      <x:c r="E2527" s="21" t="n">
        <x:f>IF('Rights Register'!H88=1,1,0)</x:f>
        <x:v>1</x:v>
      </x:c>
      <x:c r="F2527" s="21" t="n">
        <x:v>1</x:v>
      </x:c>
      <x:c r="G2527" s="23" t="str">
        <x:f>IF(E2527=F2527,"PASS","FAIL")</x:f>
        <x:v>PASS</x:v>
      </x:c>
    </x:row>
    <x:row r="2528">
      <x:c r="B2528" s="21" t="str">
        <x:v>A2522</x:v>
      </x:c>
      <x:c r="C2528" s="21" t="str">
        <x:v>rights</x:v>
      </x:c>
      <x:c r="D2528" s="21" t="str">
        <x:v>right 88 evidence open</x:v>
      </x:c>
      <x:c r="E2528" s="21" t="n">
        <x:f>IF('Rights Register'!I88="OPEN",1,0)</x:f>
        <x:v>1</x:v>
      </x:c>
      <x:c r="F2528" s="21" t="n">
        <x:v>1</x:v>
      </x:c>
      <x:c r="G2528" s="23" t="str">
        <x:f>IF(E2528=F2528,"PASS","FAIL")</x:f>
        <x:v>PASS</x:v>
      </x:c>
    </x:row>
    <x:row r="2529">
      <x:c r="B2529" s="21" t="str">
        <x:v>A2523</x:v>
      </x:c>
      <x:c r="C2529" s="21" t="str">
        <x:v>rights</x:v>
      </x:c>
      <x:c r="D2529" s="21" t="str">
        <x:v>right 88 zero credit</x:v>
      </x:c>
      <x:c r="E2529" s="21" t="n">
        <x:f>IF('Rights Register'!J88=0,1,0)</x:f>
        <x:v>1</x:v>
      </x:c>
      <x:c r="F2529" s="21" t="n">
        <x:v>1</x:v>
      </x:c>
      <x:c r="G2529" s="23" t="str">
        <x:f>IF(E2529=F2529,"PASS","FAIL")</x:f>
        <x:v>PASS</x:v>
      </x:c>
    </x:row>
    <x:row r="2530">
      <x:c r="B2530" s="21" t="str">
        <x:v>A2524</x:v>
      </x:c>
      <x:c r="C2530" s="21" t="str">
        <x:v>rights</x:v>
      </x:c>
      <x:c r="D2530" s="21" t="str">
        <x:v>right 89 required</x:v>
      </x:c>
      <x:c r="E2530" s="21" t="n">
        <x:f>IF('Rights Register'!G89=1,1,0)</x:f>
        <x:v>1</x:v>
      </x:c>
      <x:c r="F2530" s="21" t="n">
        <x:v>1</x:v>
      </x:c>
      <x:c r="G2530" s="23" t="str">
        <x:f>IF(E2530=F2530,"PASS","FAIL")</x:f>
        <x:v>PASS</x:v>
      </x:c>
    </x:row>
    <x:row r="2531">
      <x:c r="B2531" s="21" t="str">
        <x:v>A2525</x:v>
      </x:c>
      <x:c r="C2531" s="21" t="str">
        <x:v>rights</x:v>
      </x:c>
      <x:c r="D2531" s="21" t="str">
        <x:v>right 89 offered</x:v>
      </x:c>
      <x:c r="E2531" s="21" t="n">
        <x:f>IF('Rights Register'!H89=1,1,0)</x:f>
        <x:v>1</x:v>
      </x:c>
      <x:c r="F2531" s="21" t="n">
        <x:v>1</x:v>
      </x:c>
      <x:c r="G2531" s="23" t="str">
        <x:f>IF(E2531=F2531,"PASS","FAIL")</x:f>
        <x:v>PASS</x:v>
      </x:c>
    </x:row>
    <x:row r="2532">
      <x:c r="B2532" s="21" t="str">
        <x:v>A2526</x:v>
      </x:c>
      <x:c r="C2532" s="21" t="str">
        <x:v>rights</x:v>
      </x:c>
      <x:c r="D2532" s="21" t="str">
        <x:v>right 89 evidence open</x:v>
      </x:c>
      <x:c r="E2532" s="21" t="n">
        <x:f>IF('Rights Register'!I89="OPEN",1,0)</x:f>
        <x:v>1</x:v>
      </x:c>
      <x:c r="F2532" s="21" t="n">
        <x:v>1</x:v>
      </x:c>
      <x:c r="G2532" s="23" t="str">
        <x:f>IF(E2532=F2532,"PASS","FAIL")</x:f>
        <x:v>PASS</x:v>
      </x:c>
    </x:row>
    <x:row r="2533">
      <x:c r="B2533" s="21" t="str">
        <x:v>A2527</x:v>
      </x:c>
      <x:c r="C2533" s="21" t="str">
        <x:v>rights</x:v>
      </x:c>
      <x:c r="D2533" s="21" t="str">
        <x:v>right 89 zero credit</x:v>
      </x:c>
      <x:c r="E2533" s="21" t="n">
        <x:f>IF('Rights Register'!J89=0,1,0)</x:f>
        <x:v>1</x:v>
      </x:c>
      <x:c r="F2533" s="21" t="n">
        <x:v>1</x:v>
      </x:c>
      <x:c r="G2533" s="23" t="str">
        <x:f>IF(E2533=F2533,"PASS","FAIL")</x:f>
        <x:v>PASS</x:v>
      </x:c>
    </x:row>
    <x:row r="2534">
      <x:c r="B2534" s="21" t="str">
        <x:v>A2528</x:v>
      </x:c>
      <x:c r="C2534" s="21" t="str">
        <x:v>rights</x:v>
      </x:c>
      <x:c r="D2534" s="21" t="str">
        <x:v>right 90 required</x:v>
      </x:c>
      <x:c r="E2534" s="21" t="n">
        <x:f>IF('Rights Register'!G90=1,1,0)</x:f>
        <x:v>1</x:v>
      </x:c>
      <x:c r="F2534" s="21" t="n">
        <x:v>1</x:v>
      </x:c>
      <x:c r="G2534" s="23" t="str">
        <x:f>IF(E2534=F2534,"PASS","FAIL")</x:f>
        <x:v>PASS</x:v>
      </x:c>
    </x:row>
    <x:row r="2535">
      <x:c r="B2535" s="21" t="str">
        <x:v>A2529</x:v>
      </x:c>
      <x:c r="C2535" s="21" t="str">
        <x:v>rights</x:v>
      </x:c>
      <x:c r="D2535" s="21" t="str">
        <x:v>right 90 offered</x:v>
      </x:c>
      <x:c r="E2535" s="21" t="n">
        <x:f>IF('Rights Register'!H90=1,1,0)</x:f>
        <x:v>1</x:v>
      </x:c>
      <x:c r="F2535" s="21" t="n">
        <x:v>1</x:v>
      </x:c>
      <x:c r="G2535" s="23" t="str">
        <x:f>IF(E2535=F2535,"PASS","FAIL")</x:f>
        <x:v>PASS</x:v>
      </x:c>
    </x:row>
    <x:row r="2536">
      <x:c r="B2536" s="21" t="str">
        <x:v>A2530</x:v>
      </x:c>
      <x:c r="C2536" s="21" t="str">
        <x:v>rights</x:v>
      </x:c>
      <x:c r="D2536" s="21" t="str">
        <x:v>right 90 evidence open</x:v>
      </x:c>
      <x:c r="E2536" s="21" t="n">
        <x:f>IF('Rights Register'!I90="OPEN",1,0)</x:f>
        <x:v>1</x:v>
      </x:c>
      <x:c r="F2536" s="21" t="n">
        <x:v>1</x:v>
      </x:c>
      <x:c r="G2536" s="23" t="str">
        <x:f>IF(E2536=F2536,"PASS","FAIL")</x:f>
        <x:v>PASS</x:v>
      </x:c>
    </x:row>
    <x:row r="2537">
      <x:c r="B2537" s="21" t="str">
        <x:v>A2531</x:v>
      </x:c>
      <x:c r="C2537" s="21" t="str">
        <x:v>rights</x:v>
      </x:c>
      <x:c r="D2537" s="21" t="str">
        <x:v>right 90 zero credit</x:v>
      </x:c>
      <x:c r="E2537" s="21" t="n">
        <x:f>IF('Rights Register'!J90=0,1,0)</x:f>
        <x:v>1</x:v>
      </x:c>
      <x:c r="F2537" s="21" t="n">
        <x:v>1</x:v>
      </x:c>
      <x:c r="G2537" s="23" t="str">
        <x:f>IF(E2537=F2537,"PASS","FAIL")</x:f>
        <x:v>PASS</x:v>
      </x:c>
    </x:row>
    <x:row r="2538">
      <x:c r="B2538" s="21" t="str">
        <x:v>A2532</x:v>
      </x:c>
      <x:c r="C2538" s="21" t="str">
        <x:v>rights</x:v>
      </x:c>
      <x:c r="D2538" s="21" t="str">
        <x:v>right 91 required</x:v>
      </x:c>
      <x:c r="E2538" s="21" t="n">
        <x:f>IF('Rights Register'!G91=1,1,0)</x:f>
        <x:v>1</x:v>
      </x:c>
      <x:c r="F2538" s="21" t="n">
        <x:v>1</x:v>
      </x:c>
      <x:c r="G2538" s="23" t="str">
        <x:f>IF(E2538=F2538,"PASS","FAIL")</x:f>
        <x:v>PASS</x:v>
      </x:c>
    </x:row>
    <x:row r="2539">
      <x:c r="B2539" s="21" t="str">
        <x:v>A2533</x:v>
      </x:c>
      <x:c r="C2539" s="21" t="str">
        <x:v>rights</x:v>
      </x:c>
      <x:c r="D2539" s="21" t="str">
        <x:v>right 91 offered</x:v>
      </x:c>
      <x:c r="E2539" s="21" t="n">
        <x:f>IF('Rights Register'!H91=1,1,0)</x:f>
        <x:v>1</x:v>
      </x:c>
      <x:c r="F2539" s="21" t="n">
        <x:v>1</x:v>
      </x:c>
      <x:c r="G2539" s="23" t="str">
        <x:f>IF(E2539=F2539,"PASS","FAIL")</x:f>
        <x:v>PASS</x:v>
      </x:c>
    </x:row>
    <x:row r="2540">
      <x:c r="B2540" s="21" t="str">
        <x:v>A2534</x:v>
      </x:c>
      <x:c r="C2540" s="21" t="str">
        <x:v>rights</x:v>
      </x:c>
      <x:c r="D2540" s="21" t="str">
        <x:v>right 91 evidence open</x:v>
      </x:c>
      <x:c r="E2540" s="21" t="n">
        <x:f>IF('Rights Register'!I91="OPEN",1,0)</x:f>
        <x:v>1</x:v>
      </x:c>
      <x:c r="F2540" s="21" t="n">
        <x:v>1</x:v>
      </x:c>
      <x:c r="G2540" s="23" t="str">
        <x:f>IF(E2540=F2540,"PASS","FAIL")</x:f>
        <x:v>PASS</x:v>
      </x:c>
    </x:row>
    <x:row r="2541">
      <x:c r="B2541" s="21" t="str">
        <x:v>A2535</x:v>
      </x:c>
      <x:c r="C2541" s="21" t="str">
        <x:v>rights</x:v>
      </x:c>
      <x:c r="D2541" s="21" t="str">
        <x:v>right 91 zero credit</x:v>
      </x:c>
      <x:c r="E2541" s="21" t="n">
        <x:f>IF('Rights Register'!J91=0,1,0)</x:f>
        <x:v>1</x:v>
      </x:c>
      <x:c r="F2541" s="21" t="n">
        <x:v>1</x:v>
      </x:c>
      <x:c r="G2541" s="23" t="str">
        <x:f>IF(E2541=F2541,"PASS","FAIL")</x:f>
        <x:v>PASS</x:v>
      </x:c>
    </x:row>
    <x:row r="2542">
      <x:c r="B2542" s="21" t="str">
        <x:v>A2536</x:v>
      </x:c>
      <x:c r="C2542" s="21" t="str">
        <x:v>rights</x:v>
      </x:c>
      <x:c r="D2542" s="21" t="str">
        <x:v>right 92 required</x:v>
      </x:c>
      <x:c r="E2542" s="21" t="n">
        <x:f>IF('Rights Register'!G92=1,1,0)</x:f>
        <x:v>1</x:v>
      </x:c>
      <x:c r="F2542" s="21" t="n">
        <x:v>1</x:v>
      </x:c>
      <x:c r="G2542" s="23" t="str">
        <x:f>IF(E2542=F2542,"PASS","FAIL")</x:f>
        <x:v>PASS</x:v>
      </x:c>
    </x:row>
    <x:row r="2543">
      <x:c r="B2543" s="21" t="str">
        <x:v>A2537</x:v>
      </x:c>
      <x:c r="C2543" s="21" t="str">
        <x:v>rights</x:v>
      </x:c>
      <x:c r="D2543" s="21" t="str">
        <x:v>right 92 offered</x:v>
      </x:c>
      <x:c r="E2543" s="21" t="n">
        <x:f>IF('Rights Register'!H92=1,1,0)</x:f>
        <x:v>1</x:v>
      </x:c>
      <x:c r="F2543" s="21" t="n">
        <x:v>1</x:v>
      </x:c>
      <x:c r="G2543" s="23" t="str">
        <x:f>IF(E2543=F2543,"PASS","FAIL")</x:f>
        <x:v>PASS</x:v>
      </x:c>
    </x:row>
    <x:row r="2544">
      <x:c r="B2544" s="21" t="str">
        <x:v>A2538</x:v>
      </x:c>
      <x:c r="C2544" s="21" t="str">
        <x:v>rights</x:v>
      </x:c>
      <x:c r="D2544" s="21" t="str">
        <x:v>right 92 evidence open</x:v>
      </x:c>
      <x:c r="E2544" s="21" t="n">
        <x:f>IF('Rights Register'!I92="OPEN",1,0)</x:f>
        <x:v>1</x:v>
      </x:c>
      <x:c r="F2544" s="21" t="n">
        <x:v>1</x:v>
      </x:c>
      <x:c r="G2544" s="23" t="str">
        <x:f>IF(E2544=F2544,"PASS","FAIL")</x:f>
        <x:v>PASS</x:v>
      </x:c>
    </x:row>
    <x:row r="2545">
      <x:c r="B2545" s="21" t="str">
        <x:v>A2539</x:v>
      </x:c>
      <x:c r="C2545" s="21" t="str">
        <x:v>rights</x:v>
      </x:c>
      <x:c r="D2545" s="21" t="str">
        <x:v>right 92 zero credit</x:v>
      </x:c>
      <x:c r="E2545" s="21" t="n">
        <x:f>IF('Rights Register'!J92=0,1,0)</x:f>
        <x:v>1</x:v>
      </x:c>
      <x:c r="F2545" s="21" t="n">
        <x:v>1</x:v>
      </x:c>
      <x:c r="G2545" s="23" t="str">
        <x:f>IF(E2545=F2545,"PASS","FAIL")</x:f>
        <x:v>PASS</x:v>
      </x:c>
    </x:row>
    <x:row r="2546">
      <x:c r="B2546" s="21" t="str">
        <x:v>A2540</x:v>
      </x:c>
      <x:c r="C2546" s="21" t="str">
        <x:v>rights</x:v>
      </x:c>
      <x:c r="D2546" s="21" t="str">
        <x:v>right 93 required</x:v>
      </x:c>
      <x:c r="E2546" s="21" t="n">
        <x:f>IF('Rights Register'!G93=1,1,0)</x:f>
        <x:v>1</x:v>
      </x:c>
      <x:c r="F2546" s="21" t="n">
        <x:v>1</x:v>
      </x:c>
      <x:c r="G2546" s="23" t="str">
        <x:f>IF(E2546=F2546,"PASS","FAIL")</x:f>
        <x:v>PASS</x:v>
      </x:c>
    </x:row>
    <x:row r="2547">
      <x:c r="B2547" s="21" t="str">
        <x:v>A2541</x:v>
      </x:c>
      <x:c r="C2547" s="21" t="str">
        <x:v>rights</x:v>
      </x:c>
      <x:c r="D2547" s="21" t="str">
        <x:v>right 93 offered</x:v>
      </x:c>
      <x:c r="E2547" s="21" t="n">
        <x:f>IF('Rights Register'!H93=1,1,0)</x:f>
        <x:v>1</x:v>
      </x:c>
      <x:c r="F2547" s="21" t="n">
        <x:v>1</x:v>
      </x:c>
      <x:c r="G2547" s="23" t="str">
        <x:f>IF(E2547=F2547,"PASS","FAIL")</x:f>
        <x:v>PASS</x:v>
      </x:c>
    </x:row>
    <x:row r="2548">
      <x:c r="B2548" s="21" t="str">
        <x:v>A2542</x:v>
      </x:c>
      <x:c r="C2548" s="21" t="str">
        <x:v>rights</x:v>
      </x:c>
      <x:c r="D2548" s="21" t="str">
        <x:v>right 93 evidence open</x:v>
      </x:c>
      <x:c r="E2548" s="21" t="n">
        <x:f>IF('Rights Register'!I93="OPEN",1,0)</x:f>
        <x:v>1</x:v>
      </x:c>
      <x:c r="F2548" s="21" t="n">
        <x:v>1</x:v>
      </x:c>
      <x:c r="G2548" s="23" t="str">
        <x:f>IF(E2548=F2548,"PASS","FAIL")</x:f>
        <x:v>PASS</x:v>
      </x:c>
    </x:row>
    <x:row r="2549">
      <x:c r="B2549" s="21" t="str">
        <x:v>A2543</x:v>
      </x:c>
      <x:c r="C2549" s="21" t="str">
        <x:v>rights</x:v>
      </x:c>
      <x:c r="D2549" s="21" t="str">
        <x:v>right 93 zero credit</x:v>
      </x:c>
      <x:c r="E2549" s="21" t="n">
        <x:f>IF('Rights Register'!J93=0,1,0)</x:f>
        <x:v>1</x:v>
      </x:c>
      <x:c r="F2549" s="21" t="n">
        <x:v>1</x:v>
      </x:c>
      <x:c r="G2549" s="23" t="str">
        <x:f>IF(E2549=F2549,"PASS","FAIL")</x:f>
        <x:v>PASS</x:v>
      </x:c>
    </x:row>
    <x:row r="2550">
      <x:c r="B2550" s="21" t="str">
        <x:v>A2544</x:v>
      </x:c>
      <x:c r="C2550" s="21" t="str">
        <x:v>rights</x:v>
      </x:c>
      <x:c r="D2550" s="21" t="str">
        <x:v>right 94 required</x:v>
      </x:c>
      <x:c r="E2550" s="21" t="n">
        <x:f>IF('Rights Register'!G94=1,1,0)</x:f>
        <x:v>1</x:v>
      </x:c>
      <x:c r="F2550" s="21" t="n">
        <x:v>1</x:v>
      </x:c>
      <x:c r="G2550" s="23" t="str">
        <x:f>IF(E2550=F2550,"PASS","FAIL")</x:f>
        <x:v>PASS</x:v>
      </x:c>
    </x:row>
    <x:row r="2551">
      <x:c r="B2551" s="21" t="str">
        <x:v>A2545</x:v>
      </x:c>
      <x:c r="C2551" s="21" t="str">
        <x:v>rights</x:v>
      </x:c>
      <x:c r="D2551" s="21" t="str">
        <x:v>right 94 offered</x:v>
      </x:c>
      <x:c r="E2551" s="21" t="n">
        <x:f>IF('Rights Register'!H94=1,1,0)</x:f>
        <x:v>1</x:v>
      </x:c>
      <x:c r="F2551" s="21" t="n">
        <x:v>1</x:v>
      </x:c>
      <x:c r="G2551" s="23" t="str">
        <x:f>IF(E2551=F2551,"PASS","FAIL")</x:f>
        <x:v>PASS</x:v>
      </x:c>
    </x:row>
    <x:row r="2552">
      <x:c r="B2552" s="21" t="str">
        <x:v>A2546</x:v>
      </x:c>
      <x:c r="C2552" s="21" t="str">
        <x:v>rights</x:v>
      </x:c>
      <x:c r="D2552" s="21" t="str">
        <x:v>right 94 evidence open</x:v>
      </x:c>
      <x:c r="E2552" s="21" t="n">
        <x:f>IF('Rights Register'!I94="OPEN",1,0)</x:f>
        <x:v>1</x:v>
      </x:c>
      <x:c r="F2552" s="21" t="n">
        <x:v>1</x:v>
      </x:c>
      <x:c r="G2552" s="23" t="str">
        <x:f>IF(E2552=F2552,"PASS","FAIL")</x:f>
        <x:v>PASS</x:v>
      </x:c>
    </x:row>
    <x:row r="2553">
      <x:c r="B2553" s="21" t="str">
        <x:v>A2547</x:v>
      </x:c>
      <x:c r="C2553" s="21" t="str">
        <x:v>rights</x:v>
      </x:c>
      <x:c r="D2553" s="21" t="str">
        <x:v>right 94 zero credit</x:v>
      </x:c>
      <x:c r="E2553" s="21" t="n">
        <x:f>IF('Rights Register'!J94=0,1,0)</x:f>
        <x:v>1</x:v>
      </x:c>
      <x:c r="F2553" s="21" t="n">
        <x:v>1</x:v>
      </x:c>
      <x:c r="G2553" s="23" t="str">
        <x:f>IF(E2553=F2553,"PASS","FAIL")</x:f>
        <x:v>PASS</x:v>
      </x:c>
    </x:row>
    <x:row r="2554">
      <x:c r="B2554" s="21" t="str">
        <x:v>A2548</x:v>
      </x:c>
      <x:c r="C2554" s="21" t="str">
        <x:v>rights</x:v>
      </x:c>
      <x:c r="D2554" s="21" t="str">
        <x:v>right 95 required</x:v>
      </x:c>
      <x:c r="E2554" s="21" t="n">
        <x:f>IF('Rights Register'!G95=1,1,0)</x:f>
        <x:v>1</x:v>
      </x:c>
      <x:c r="F2554" s="21" t="n">
        <x:v>1</x:v>
      </x:c>
      <x:c r="G2554" s="23" t="str">
        <x:f>IF(E2554=F2554,"PASS","FAIL")</x:f>
        <x:v>PASS</x:v>
      </x:c>
    </x:row>
    <x:row r="2555">
      <x:c r="B2555" s="21" t="str">
        <x:v>A2549</x:v>
      </x:c>
      <x:c r="C2555" s="21" t="str">
        <x:v>rights</x:v>
      </x:c>
      <x:c r="D2555" s="21" t="str">
        <x:v>right 95 offered</x:v>
      </x:c>
      <x:c r="E2555" s="21" t="n">
        <x:f>IF('Rights Register'!H95=1,1,0)</x:f>
        <x:v>1</x:v>
      </x:c>
      <x:c r="F2555" s="21" t="n">
        <x:v>1</x:v>
      </x:c>
      <x:c r="G2555" s="23" t="str">
        <x:f>IF(E2555=F2555,"PASS","FAIL")</x:f>
        <x:v>PASS</x:v>
      </x:c>
    </x:row>
    <x:row r="2556">
      <x:c r="B2556" s="21" t="str">
        <x:v>A2550</x:v>
      </x:c>
      <x:c r="C2556" s="21" t="str">
        <x:v>rights</x:v>
      </x:c>
      <x:c r="D2556" s="21" t="str">
        <x:v>right 95 evidence open</x:v>
      </x:c>
      <x:c r="E2556" s="21" t="n">
        <x:f>IF('Rights Register'!I95="OPEN",1,0)</x:f>
        <x:v>1</x:v>
      </x:c>
      <x:c r="F2556" s="21" t="n">
        <x:v>1</x:v>
      </x:c>
      <x:c r="G2556" s="23" t="str">
        <x:f>IF(E2556=F2556,"PASS","FAIL")</x:f>
        <x:v>PASS</x:v>
      </x:c>
    </x:row>
    <x:row r="2557">
      <x:c r="B2557" s="21" t="str">
        <x:v>A2551</x:v>
      </x:c>
      <x:c r="C2557" s="21" t="str">
        <x:v>rights</x:v>
      </x:c>
      <x:c r="D2557" s="21" t="str">
        <x:v>right 95 zero credit</x:v>
      </x:c>
      <x:c r="E2557" s="21" t="n">
        <x:f>IF('Rights Register'!J95=0,1,0)</x:f>
        <x:v>1</x:v>
      </x:c>
      <x:c r="F2557" s="21" t="n">
        <x:v>1</x:v>
      </x:c>
      <x:c r="G2557" s="23" t="str">
        <x:f>IF(E2557=F2557,"PASS","FAIL")</x:f>
        <x:v>PASS</x:v>
      </x:c>
    </x:row>
    <x:row r="2558">
      <x:c r="B2558" s="21" t="str">
        <x:v>A2552</x:v>
      </x:c>
      <x:c r="C2558" s="21" t="str">
        <x:v>rights</x:v>
      </x:c>
      <x:c r="D2558" s="21" t="str">
        <x:v>right 96 required</x:v>
      </x:c>
      <x:c r="E2558" s="21" t="n">
        <x:f>IF('Rights Register'!G96=1,1,0)</x:f>
        <x:v>1</x:v>
      </x:c>
      <x:c r="F2558" s="21" t="n">
        <x:v>1</x:v>
      </x:c>
      <x:c r="G2558" s="23" t="str">
        <x:f>IF(E2558=F2558,"PASS","FAIL")</x:f>
        <x:v>PASS</x:v>
      </x:c>
    </x:row>
    <x:row r="2559">
      <x:c r="B2559" s="21" t="str">
        <x:v>A2553</x:v>
      </x:c>
      <x:c r="C2559" s="21" t="str">
        <x:v>rights</x:v>
      </x:c>
      <x:c r="D2559" s="21" t="str">
        <x:v>right 96 offered</x:v>
      </x:c>
      <x:c r="E2559" s="21" t="n">
        <x:f>IF('Rights Register'!H96=1,1,0)</x:f>
        <x:v>1</x:v>
      </x:c>
      <x:c r="F2559" s="21" t="n">
        <x:v>1</x:v>
      </x:c>
      <x:c r="G2559" s="23" t="str">
        <x:f>IF(E2559=F2559,"PASS","FAIL")</x:f>
        <x:v>PASS</x:v>
      </x:c>
    </x:row>
    <x:row r="2560">
      <x:c r="B2560" s="21" t="str">
        <x:v>A2554</x:v>
      </x:c>
      <x:c r="C2560" s="21" t="str">
        <x:v>rights</x:v>
      </x:c>
      <x:c r="D2560" s="21" t="str">
        <x:v>right 96 evidence open</x:v>
      </x:c>
      <x:c r="E2560" s="21" t="n">
        <x:f>IF('Rights Register'!I96="OPEN",1,0)</x:f>
        <x:v>1</x:v>
      </x:c>
      <x:c r="F2560" s="21" t="n">
        <x:v>1</x:v>
      </x:c>
      <x:c r="G2560" s="23" t="str">
        <x:f>IF(E2560=F2560,"PASS","FAIL")</x:f>
        <x:v>PASS</x:v>
      </x:c>
    </x:row>
    <x:row r="2561">
      <x:c r="B2561" s="21" t="str">
        <x:v>A2555</x:v>
      </x:c>
      <x:c r="C2561" s="21" t="str">
        <x:v>rights</x:v>
      </x:c>
      <x:c r="D2561" s="21" t="str">
        <x:v>right 96 zero credit</x:v>
      </x:c>
      <x:c r="E2561" s="21" t="n">
        <x:f>IF('Rights Register'!J96=0,1,0)</x:f>
        <x:v>1</x:v>
      </x:c>
      <x:c r="F2561" s="21" t="n">
        <x:v>1</x:v>
      </x:c>
      <x:c r="G2561" s="23" t="str">
        <x:f>IF(E2561=F2561,"PASS","FAIL")</x:f>
        <x:v>PASS</x:v>
      </x:c>
    </x:row>
    <x:row r="2562">
      <x:c r="B2562" s="21" t="str">
        <x:v>A2556</x:v>
      </x:c>
      <x:c r="C2562" s="21" t="str">
        <x:v>rights</x:v>
      </x:c>
      <x:c r="D2562" s="21" t="str">
        <x:v>right 97 required</x:v>
      </x:c>
      <x:c r="E2562" s="21" t="n">
        <x:f>IF('Rights Register'!G97=1,1,0)</x:f>
        <x:v>1</x:v>
      </x:c>
      <x:c r="F2562" s="21" t="n">
        <x:v>1</x:v>
      </x:c>
      <x:c r="G2562" s="23" t="str">
        <x:f>IF(E2562=F2562,"PASS","FAIL")</x:f>
        <x:v>PASS</x:v>
      </x:c>
    </x:row>
    <x:row r="2563">
      <x:c r="B2563" s="21" t="str">
        <x:v>A2557</x:v>
      </x:c>
      <x:c r="C2563" s="21" t="str">
        <x:v>rights</x:v>
      </x:c>
      <x:c r="D2563" s="21" t="str">
        <x:v>right 97 offered</x:v>
      </x:c>
      <x:c r="E2563" s="21" t="n">
        <x:f>IF('Rights Register'!H97=1,1,0)</x:f>
        <x:v>1</x:v>
      </x:c>
      <x:c r="F2563" s="21" t="n">
        <x:v>1</x:v>
      </x:c>
      <x:c r="G2563" s="23" t="str">
        <x:f>IF(E2563=F2563,"PASS","FAIL")</x:f>
        <x:v>PASS</x:v>
      </x:c>
    </x:row>
    <x:row r="2564">
      <x:c r="B2564" s="21" t="str">
        <x:v>A2558</x:v>
      </x:c>
      <x:c r="C2564" s="21" t="str">
        <x:v>rights</x:v>
      </x:c>
      <x:c r="D2564" s="21" t="str">
        <x:v>right 97 evidence open</x:v>
      </x:c>
      <x:c r="E2564" s="21" t="n">
        <x:f>IF('Rights Register'!I97="OPEN",1,0)</x:f>
        <x:v>1</x:v>
      </x:c>
      <x:c r="F2564" s="21" t="n">
        <x:v>1</x:v>
      </x:c>
      <x:c r="G2564" s="23" t="str">
        <x:f>IF(E2564=F2564,"PASS","FAIL")</x:f>
        <x:v>PASS</x:v>
      </x:c>
    </x:row>
    <x:row r="2565">
      <x:c r="B2565" s="21" t="str">
        <x:v>A2559</x:v>
      </x:c>
      <x:c r="C2565" s="21" t="str">
        <x:v>rights</x:v>
      </x:c>
      <x:c r="D2565" s="21" t="str">
        <x:v>right 97 zero credit</x:v>
      </x:c>
      <x:c r="E2565" s="21" t="n">
        <x:f>IF('Rights Register'!J97=0,1,0)</x:f>
        <x:v>1</x:v>
      </x:c>
      <x:c r="F2565" s="21" t="n">
        <x:v>1</x:v>
      </x:c>
      <x:c r="G2565" s="23" t="str">
        <x:f>IF(E2565=F2565,"PASS","FAIL")</x:f>
        <x:v>PASS</x:v>
      </x:c>
    </x:row>
    <x:row r="2566">
      <x:c r="B2566" s="21" t="str">
        <x:v>A2560</x:v>
      </x:c>
      <x:c r="C2566" s="21" t="str">
        <x:v>rights</x:v>
      </x:c>
      <x:c r="D2566" s="21" t="str">
        <x:v>right 98 required</x:v>
      </x:c>
      <x:c r="E2566" s="21" t="n">
        <x:f>IF('Rights Register'!G98=1,1,0)</x:f>
        <x:v>1</x:v>
      </x:c>
      <x:c r="F2566" s="21" t="n">
        <x:v>1</x:v>
      </x:c>
      <x:c r="G2566" s="23" t="str">
        <x:f>IF(E2566=F2566,"PASS","FAIL")</x:f>
        <x:v>PASS</x:v>
      </x:c>
    </x:row>
    <x:row r="2567">
      <x:c r="B2567" s="21" t="str">
        <x:v>A2561</x:v>
      </x:c>
      <x:c r="C2567" s="21" t="str">
        <x:v>rights</x:v>
      </x:c>
      <x:c r="D2567" s="21" t="str">
        <x:v>right 98 offered</x:v>
      </x:c>
      <x:c r="E2567" s="21" t="n">
        <x:f>IF('Rights Register'!H98=1,1,0)</x:f>
        <x:v>1</x:v>
      </x:c>
      <x:c r="F2567" s="21" t="n">
        <x:v>1</x:v>
      </x:c>
      <x:c r="G2567" s="23" t="str">
        <x:f>IF(E2567=F2567,"PASS","FAIL")</x:f>
        <x:v>PASS</x:v>
      </x:c>
    </x:row>
    <x:row r="2568">
      <x:c r="B2568" s="21" t="str">
        <x:v>A2562</x:v>
      </x:c>
      <x:c r="C2568" s="21" t="str">
        <x:v>rights</x:v>
      </x:c>
      <x:c r="D2568" s="21" t="str">
        <x:v>right 98 evidence open</x:v>
      </x:c>
      <x:c r="E2568" s="21" t="n">
        <x:f>IF('Rights Register'!I98="OPEN",1,0)</x:f>
        <x:v>1</x:v>
      </x:c>
      <x:c r="F2568" s="21" t="n">
        <x:v>1</x:v>
      </x:c>
      <x:c r="G2568" s="23" t="str">
        <x:f>IF(E2568=F2568,"PASS","FAIL")</x:f>
        <x:v>PASS</x:v>
      </x:c>
    </x:row>
    <x:row r="2569">
      <x:c r="B2569" s="21" t="str">
        <x:v>A2563</x:v>
      </x:c>
      <x:c r="C2569" s="21" t="str">
        <x:v>rights</x:v>
      </x:c>
      <x:c r="D2569" s="21" t="str">
        <x:v>right 98 zero credit</x:v>
      </x:c>
      <x:c r="E2569" s="21" t="n">
        <x:f>IF('Rights Register'!J98=0,1,0)</x:f>
        <x:v>1</x:v>
      </x:c>
      <x:c r="F2569" s="21" t="n">
        <x:v>1</x:v>
      </x:c>
      <x:c r="G2569" s="23" t="str">
        <x:f>IF(E2569=F2569,"PASS","FAIL")</x:f>
        <x:v>PASS</x:v>
      </x:c>
    </x:row>
    <x:row r="2570">
      <x:c r="B2570" s="21" t="str">
        <x:v>A2564</x:v>
      </x:c>
      <x:c r="C2570" s="21" t="str">
        <x:v>rights</x:v>
      </x:c>
      <x:c r="D2570" s="21" t="str">
        <x:v>right 99 required</x:v>
      </x:c>
      <x:c r="E2570" s="21" t="n">
        <x:f>IF('Rights Register'!G99=1,1,0)</x:f>
        <x:v>1</x:v>
      </x:c>
      <x:c r="F2570" s="21" t="n">
        <x:v>1</x:v>
      </x:c>
      <x:c r="G2570" s="23" t="str">
        <x:f>IF(E2570=F2570,"PASS","FAIL")</x:f>
        <x:v>PASS</x:v>
      </x:c>
    </x:row>
    <x:row r="2571">
      <x:c r="B2571" s="21" t="str">
        <x:v>A2565</x:v>
      </x:c>
      <x:c r="C2571" s="21" t="str">
        <x:v>rights</x:v>
      </x:c>
      <x:c r="D2571" s="21" t="str">
        <x:v>right 99 offered</x:v>
      </x:c>
      <x:c r="E2571" s="21" t="n">
        <x:f>IF('Rights Register'!H99=1,1,0)</x:f>
        <x:v>1</x:v>
      </x:c>
      <x:c r="F2571" s="21" t="n">
        <x:v>1</x:v>
      </x:c>
      <x:c r="G2571" s="23" t="str">
        <x:f>IF(E2571=F2571,"PASS","FAIL")</x:f>
        <x:v>PASS</x:v>
      </x:c>
    </x:row>
    <x:row r="2572">
      <x:c r="B2572" s="21" t="str">
        <x:v>A2566</x:v>
      </x:c>
      <x:c r="C2572" s="21" t="str">
        <x:v>rights</x:v>
      </x:c>
      <x:c r="D2572" s="21" t="str">
        <x:v>right 99 evidence open</x:v>
      </x:c>
      <x:c r="E2572" s="21" t="n">
        <x:f>IF('Rights Register'!I99="OPEN",1,0)</x:f>
        <x:v>1</x:v>
      </x:c>
      <x:c r="F2572" s="21" t="n">
        <x:v>1</x:v>
      </x:c>
      <x:c r="G2572" s="23" t="str">
        <x:f>IF(E2572=F2572,"PASS","FAIL")</x:f>
        <x:v>PASS</x:v>
      </x:c>
    </x:row>
    <x:row r="2573">
      <x:c r="B2573" s="21" t="str">
        <x:v>A2567</x:v>
      </x:c>
      <x:c r="C2573" s="21" t="str">
        <x:v>rights</x:v>
      </x:c>
      <x:c r="D2573" s="21" t="str">
        <x:v>right 99 zero credit</x:v>
      </x:c>
      <x:c r="E2573" s="21" t="n">
        <x:f>IF('Rights Register'!J99=0,1,0)</x:f>
        <x:v>1</x:v>
      </x:c>
      <x:c r="F2573" s="21" t="n">
        <x:v>1</x:v>
      </x:c>
      <x:c r="G2573" s="23" t="str">
        <x:f>IF(E2573=F2573,"PASS","FAIL")</x:f>
        <x:v>PASS</x:v>
      </x:c>
    </x:row>
    <x:row r="2574">
      <x:c r="B2574" s="21" t="str">
        <x:v>A2568</x:v>
      </x:c>
      <x:c r="C2574" s="21" t="str">
        <x:v>rights</x:v>
      </x:c>
      <x:c r="D2574" s="21" t="str">
        <x:v>right 100 required</x:v>
      </x:c>
      <x:c r="E2574" s="21" t="n">
        <x:f>IF('Rights Register'!G100=1,1,0)</x:f>
        <x:v>1</x:v>
      </x:c>
      <x:c r="F2574" s="21" t="n">
        <x:v>1</x:v>
      </x:c>
      <x:c r="G2574" s="23" t="str">
        <x:f>IF(E2574=F2574,"PASS","FAIL")</x:f>
        <x:v>PASS</x:v>
      </x:c>
    </x:row>
    <x:row r="2575">
      <x:c r="B2575" s="21" t="str">
        <x:v>A2569</x:v>
      </x:c>
      <x:c r="C2575" s="21" t="str">
        <x:v>rights</x:v>
      </x:c>
      <x:c r="D2575" s="21" t="str">
        <x:v>right 100 offered</x:v>
      </x:c>
      <x:c r="E2575" s="21" t="n">
        <x:f>IF('Rights Register'!H100=1,1,0)</x:f>
        <x:v>1</x:v>
      </x:c>
      <x:c r="F2575" s="21" t="n">
        <x:v>1</x:v>
      </x:c>
      <x:c r="G2575" s="23" t="str">
        <x:f>IF(E2575=F2575,"PASS","FAIL")</x:f>
        <x:v>PASS</x:v>
      </x:c>
    </x:row>
    <x:row r="2576">
      <x:c r="B2576" s="21" t="str">
        <x:v>A2570</x:v>
      </x:c>
      <x:c r="C2576" s="21" t="str">
        <x:v>rights</x:v>
      </x:c>
      <x:c r="D2576" s="21" t="str">
        <x:v>right 100 evidence open</x:v>
      </x:c>
      <x:c r="E2576" s="21" t="n">
        <x:f>IF('Rights Register'!I100="OPEN",1,0)</x:f>
        <x:v>1</x:v>
      </x:c>
      <x:c r="F2576" s="21" t="n">
        <x:v>1</x:v>
      </x:c>
      <x:c r="G2576" s="23" t="str">
        <x:f>IF(E2576=F2576,"PASS","FAIL")</x:f>
        <x:v>PASS</x:v>
      </x:c>
    </x:row>
    <x:row r="2577">
      <x:c r="B2577" s="21" t="str">
        <x:v>A2571</x:v>
      </x:c>
      <x:c r="C2577" s="21" t="str">
        <x:v>rights</x:v>
      </x:c>
      <x:c r="D2577" s="21" t="str">
        <x:v>right 100 zero credit</x:v>
      </x:c>
      <x:c r="E2577" s="21" t="n">
        <x:f>IF('Rights Register'!J100=0,1,0)</x:f>
        <x:v>1</x:v>
      </x:c>
      <x:c r="F2577" s="21" t="n">
        <x:v>1</x:v>
      </x:c>
      <x:c r="G2577" s="23" t="str">
        <x:f>IF(E2577=F2577,"PASS","FAIL")</x:f>
        <x:v>PASS</x:v>
      </x:c>
    </x:row>
    <x:row r="2578">
      <x:c r="B2578" s="21" t="str">
        <x:v>A2572</x:v>
      </x:c>
      <x:c r="C2578" s="21" t="str">
        <x:v>rights</x:v>
      </x:c>
      <x:c r="D2578" s="21" t="str">
        <x:v>right 101 required</x:v>
      </x:c>
      <x:c r="E2578" s="21" t="n">
        <x:f>IF('Rights Register'!G101=1,1,0)</x:f>
        <x:v>1</x:v>
      </x:c>
      <x:c r="F2578" s="21" t="n">
        <x:v>1</x:v>
      </x:c>
      <x:c r="G2578" s="23" t="str">
        <x:f>IF(E2578=F2578,"PASS","FAIL")</x:f>
        <x:v>PASS</x:v>
      </x:c>
    </x:row>
    <x:row r="2579">
      <x:c r="B2579" s="21" t="str">
        <x:v>A2573</x:v>
      </x:c>
      <x:c r="C2579" s="21" t="str">
        <x:v>rights</x:v>
      </x:c>
      <x:c r="D2579" s="21" t="str">
        <x:v>right 101 offered</x:v>
      </x:c>
      <x:c r="E2579" s="21" t="n">
        <x:f>IF('Rights Register'!H101=1,1,0)</x:f>
        <x:v>1</x:v>
      </x:c>
      <x:c r="F2579" s="21" t="n">
        <x:v>1</x:v>
      </x:c>
      <x:c r="G2579" s="23" t="str">
        <x:f>IF(E2579=F2579,"PASS","FAIL")</x:f>
        <x:v>PASS</x:v>
      </x:c>
    </x:row>
    <x:row r="2580">
      <x:c r="B2580" s="21" t="str">
        <x:v>A2574</x:v>
      </x:c>
      <x:c r="C2580" s="21" t="str">
        <x:v>rights</x:v>
      </x:c>
      <x:c r="D2580" s="21" t="str">
        <x:v>right 101 evidence open</x:v>
      </x:c>
      <x:c r="E2580" s="21" t="n">
        <x:f>IF('Rights Register'!I101="OPEN",1,0)</x:f>
        <x:v>1</x:v>
      </x:c>
      <x:c r="F2580" s="21" t="n">
        <x:v>1</x:v>
      </x:c>
      <x:c r="G2580" s="23" t="str">
        <x:f>IF(E2580=F2580,"PASS","FAIL")</x:f>
        <x:v>PASS</x:v>
      </x:c>
    </x:row>
    <x:row r="2581">
      <x:c r="B2581" s="21" t="str">
        <x:v>A2575</x:v>
      </x:c>
      <x:c r="C2581" s="21" t="str">
        <x:v>rights</x:v>
      </x:c>
      <x:c r="D2581" s="21" t="str">
        <x:v>right 101 zero credit</x:v>
      </x:c>
      <x:c r="E2581" s="21" t="n">
        <x:f>IF('Rights Register'!J101=0,1,0)</x:f>
        <x:v>1</x:v>
      </x:c>
      <x:c r="F2581" s="21" t="n">
        <x:v>1</x:v>
      </x:c>
      <x:c r="G2581" s="23" t="str">
        <x:f>IF(E2581=F2581,"PASS","FAIL")</x:f>
        <x:v>PASS</x:v>
      </x:c>
    </x:row>
    <x:row r="2582">
      <x:c r="B2582" s="21" t="str">
        <x:v>A2576</x:v>
      </x:c>
      <x:c r="C2582" s="21" t="str">
        <x:v>rights</x:v>
      </x:c>
      <x:c r="D2582" s="21" t="str">
        <x:v>right 102 required</x:v>
      </x:c>
      <x:c r="E2582" s="21" t="n">
        <x:f>IF('Rights Register'!G102=1,1,0)</x:f>
        <x:v>1</x:v>
      </x:c>
      <x:c r="F2582" s="21" t="n">
        <x:v>1</x:v>
      </x:c>
      <x:c r="G2582" s="23" t="str">
        <x:f>IF(E2582=F2582,"PASS","FAIL")</x:f>
        <x:v>PASS</x:v>
      </x:c>
    </x:row>
    <x:row r="2583">
      <x:c r="B2583" s="21" t="str">
        <x:v>A2577</x:v>
      </x:c>
      <x:c r="C2583" s="21" t="str">
        <x:v>rights</x:v>
      </x:c>
      <x:c r="D2583" s="21" t="str">
        <x:v>right 102 offered</x:v>
      </x:c>
      <x:c r="E2583" s="21" t="n">
        <x:f>IF('Rights Register'!H102=1,1,0)</x:f>
        <x:v>1</x:v>
      </x:c>
      <x:c r="F2583" s="21" t="n">
        <x:v>1</x:v>
      </x:c>
      <x:c r="G2583" s="23" t="str">
        <x:f>IF(E2583=F2583,"PASS","FAIL")</x:f>
        <x:v>PASS</x:v>
      </x:c>
    </x:row>
    <x:row r="2584">
      <x:c r="B2584" s="21" t="str">
        <x:v>A2578</x:v>
      </x:c>
      <x:c r="C2584" s="21" t="str">
        <x:v>rights</x:v>
      </x:c>
      <x:c r="D2584" s="21" t="str">
        <x:v>right 102 evidence open</x:v>
      </x:c>
      <x:c r="E2584" s="21" t="n">
        <x:f>IF('Rights Register'!I102="OPEN",1,0)</x:f>
        <x:v>1</x:v>
      </x:c>
      <x:c r="F2584" s="21" t="n">
        <x:v>1</x:v>
      </x:c>
      <x:c r="G2584" s="23" t="str">
        <x:f>IF(E2584=F2584,"PASS","FAIL")</x:f>
        <x:v>PASS</x:v>
      </x:c>
    </x:row>
    <x:row r="2585">
      <x:c r="B2585" s="21" t="str">
        <x:v>A2579</x:v>
      </x:c>
      <x:c r="C2585" s="21" t="str">
        <x:v>rights</x:v>
      </x:c>
      <x:c r="D2585" s="21" t="str">
        <x:v>right 102 zero credit</x:v>
      </x:c>
      <x:c r="E2585" s="21" t="n">
        <x:f>IF('Rights Register'!J102=0,1,0)</x:f>
        <x:v>1</x:v>
      </x:c>
      <x:c r="F2585" s="21" t="n">
        <x:v>1</x:v>
      </x:c>
      <x:c r="G2585" s="23" t="str">
        <x:f>IF(E2585=F2585,"PASS","FAIL")</x:f>
        <x:v>PASS</x:v>
      </x:c>
    </x:row>
    <x:row r="2586">
      <x:c r="B2586" s="21" t="str">
        <x:v>A2580</x:v>
      </x:c>
      <x:c r="C2586" s="21" t="str">
        <x:v>rights</x:v>
      </x:c>
      <x:c r="D2586" s="21" t="str">
        <x:v>right 103 required</x:v>
      </x:c>
      <x:c r="E2586" s="21" t="n">
        <x:f>IF('Rights Register'!G103=1,1,0)</x:f>
        <x:v>1</x:v>
      </x:c>
      <x:c r="F2586" s="21" t="n">
        <x:v>1</x:v>
      </x:c>
      <x:c r="G2586" s="23" t="str">
        <x:f>IF(E2586=F2586,"PASS","FAIL")</x:f>
        <x:v>PASS</x:v>
      </x:c>
    </x:row>
    <x:row r="2587">
      <x:c r="B2587" s="21" t="str">
        <x:v>A2581</x:v>
      </x:c>
      <x:c r="C2587" s="21" t="str">
        <x:v>rights</x:v>
      </x:c>
      <x:c r="D2587" s="21" t="str">
        <x:v>right 103 offered</x:v>
      </x:c>
      <x:c r="E2587" s="21" t="n">
        <x:f>IF('Rights Register'!H103=1,1,0)</x:f>
        <x:v>1</x:v>
      </x:c>
      <x:c r="F2587" s="21" t="n">
        <x:v>1</x:v>
      </x:c>
      <x:c r="G2587" s="23" t="str">
        <x:f>IF(E2587=F2587,"PASS","FAIL")</x:f>
        <x:v>PASS</x:v>
      </x:c>
    </x:row>
    <x:row r="2588">
      <x:c r="B2588" s="21" t="str">
        <x:v>A2582</x:v>
      </x:c>
      <x:c r="C2588" s="21" t="str">
        <x:v>rights</x:v>
      </x:c>
      <x:c r="D2588" s="21" t="str">
        <x:v>right 103 evidence open</x:v>
      </x:c>
      <x:c r="E2588" s="21" t="n">
        <x:f>IF('Rights Register'!I103="OPEN",1,0)</x:f>
        <x:v>1</x:v>
      </x:c>
      <x:c r="F2588" s="21" t="n">
        <x:v>1</x:v>
      </x:c>
      <x:c r="G2588" s="23" t="str">
        <x:f>IF(E2588=F2588,"PASS","FAIL")</x:f>
        <x:v>PASS</x:v>
      </x:c>
    </x:row>
    <x:row r="2589">
      <x:c r="B2589" s="21" t="str">
        <x:v>A2583</x:v>
      </x:c>
      <x:c r="C2589" s="21" t="str">
        <x:v>rights</x:v>
      </x:c>
      <x:c r="D2589" s="21" t="str">
        <x:v>right 103 zero credit</x:v>
      </x:c>
      <x:c r="E2589" s="21" t="n">
        <x:f>IF('Rights Register'!J103=0,1,0)</x:f>
        <x:v>1</x:v>
      </x:c>
      <x:c r="F2589" s="21" t="n">
        <x:v>1</x:v>
      </x:c>
      <x:c r="G2589" s="23" t="str">
        <x:f>IF(E2589=F2589,"PASS","FAIL")</x:f>
        <x:v>PASS</x:v>
      </x:c>
    </x:row>
    <x:row r="2590">
      <x:c r="B2590" s="21" t="str">
        <x:v>A2584</x:v>
      </x:c>
      <x:c r="C2590" s="21" t="str">
        <x:v>rights</x:v>
      </x:c>
      <x:c r="D2590" s="21" t="str">
        <x:v>right 104 required</x:v>
      </x:c>
      <x:c r="E2590" s="21" t="n">
        <x:f>IF('Rights Register'!G104=1,1,0)</x:f>
        <x:v>1</x:v>
      </x:c>
      <x:c r="F2590" s="21" t="n">
        <x:v>1</x:v>
      </x:c>
      <x:c r="G2590" s="23" t="str">
        <x:f>IF(E2590=F2590,"PASS","FAIL")</x:f>
        <x:v>PASS</x:v>
      </x:c>
    </x:row>
    <x:row r="2591">
      <x:c r="B2591" s="21" t="str">
        <x:v>A2585</x:v>
      </x:c>
      <x:c r="C2591" s="21" t="str">
        <x:v>rights</x:v>
      </x:c>
      <x:c r="D2591" s="21" t="str">
        <x:v>right 104 offered</x:v>
      </x:c>
      <x:c r="E2591" s="21" t="n">
        <x:f>IF('Rights Register'!H104=1,1,0)</x:f>
        <x:v>1</x:v>
      </x:c>
      <x:c r="F2591" s="21" t="n">
        <x:v>1</x:v>
      </x:c>
      <x:c r="G2591" s="23" t="str">
        <x:f>IF(E2591=F2591,"PASS","FAIL")</x:f>
        <x:v>PASS</x:v>
      </x:c>
    </x:row>
    <x:row r="2592">
      <x:c r="B2592" s="21" t="str">
        <x:v>A2586</x:v>
      </x:c>
      <x:c r="C2592" s="21" t="str">
        <x:v>rights</x:v>
      </x:c>
      <x:c r="D2592" s="21" t="str">
        <x:v>right 104 evidence open</x:v>
      </x:c>
      <x:c r="E2592" s="21" t="n">
        <x:f>IF('Rights Register'!I104="OPEN",1,0)</x:f>
        <x:v>1</x:v>
      </x:c>
      <x:c r="F2592" s="21" t="n">
        <x:v>1</x:v>
      </x:c>
      <x:c r="G2592" s="23" t="str">
        <x:f>IF(E2592=F2592,"PASS","FAIL")</x:f>
        <x:v>PASS</x:v>
      </x:c>
    </x:row>
    <x:row r="2593">
      <x:c r="B2593" s="21" t="str">
        <x:v>A2587</x:v>
      </x:c>
      <x:c r="C2593" s="21" t="str">
        <x:v>rights</x:v>
      </x:c>
      <x:c r="D2593" s="21" t="str">
        <x:v>right 104 zero credit</x:v>
      </x:c>
      <x:c r="E2593" s="21" t="n">
        <x:f>IF('Rights Register'!J104=0,1,0)</x:f>
        <x:v>1</x:v>
      </x:c>
      <x:c r="F2593" s="21" t="n">
        <x:v>1</x:v>
      </x:c>
      <x:c r="G2593" s="23" t="str">
        <x:f>IF(E2593=F2593,"PASS","FAIL")</x:f>
        <x:v>PASS</x:v>
      </x:c>
    </x:row>
    <x:row r="2594">
      <x:c r="B2594" s="21" t="str">
        <x:v>A2588</x:v>
      </x:c>
      <x:c r="C2594" s="21" t="str">
        <x:v>rights</x:v>
      </x:c>
      <x:c r="D2594" s="21" t="str">
        <x:v>right 105 required</x:v>
      </x:c>
      <x:c r="E2594" s="21" t="n">
        <x:f>IF('Rights Register'!G105=1,1,0)</x:f>
        <x:v>1</x:v>
      </x:c>
      <x:c r="F2594" s="21" t="n">
        <x:v>1</x:v>
      </x:c>
      <x:c r="G2594" s="23" t="str">
        <x:f>IF(E2594=F2594,"PASS","FAIL")</x:f>
        <x:v>PASS</x:v>
      </x:c>
    </x:row>
    <x:row r="2595">
      <x:c r="B2595" s="21" t="str">
        <x:v>A2589</x:v>
      </x:c>
      <x:c r="C2595" s="21" t="str">
        <x:v>rights</x:v>
      </x:c>
      <x:c r="D2595" s="21" t="str">
        <x:v>right 105 offered</x:v>
      </x:c>
      <x:c r="E2595" s="21" t="n">
        <x:f>IF('Rights Register'!H105=1,1,0)</x:f>
        <x:v>1</x:v>
      </x:c>
      <x:c r="F2595" s="21" t="n">
        <x:v>1</x:v>
      </x:c>
      <x:c r="G2595" s="23" t="str">
        <x:f>IF(E2595=F2595,"PASS","FAIL")</x:f>
        <x:v>PASS</x:v>
      </x:c>
    </x:row>
    <x:row r="2596">
      <x:c r="B2596" s="21" t="str">
        <x:v>A2590</x:v>
      </x:c>
      <x:c r="C2596" s="21" t="str">
        <x:v>rights</x:v>
      </x:c>
      <x:c r="D2596" s="21" t="str">
        <x:v>right 105 evidence open</x:v>
      </x:c>
      <x:c r="E2596" s="21" t="n">
        <x:f>IF('Rights Register'!I105="OPEN",1,0)</x:f>
        <x:v>1</x:v>
      </x:c>
      <x:c r="F2596" s="21" t="n">
        <x:v>1</x:v>
      </x:c>
      <x:c r="G2596" s="23" t="str">
        <x:f>IF(E2596=F2596,"PASS","FAIL")</x:f>
        <x:v>PASS</x:v>
      </x:c>
    </x:row>
    <x:row r="2597">
      <x:c r="B2597" s="21" t="str">
        <x:v>A2591</x:v>
      </x:c>
      <x:c r="C2597" s="21" t="str">
        <x:v>rights</x:v>
      </x:c>
      <x:c r="D2597" s="21" t="str">
        <x:v>right 105 zero credit</x:v>
      </x:c>
      <x:c r="E2597" s="21" t="n">
        <x:f>IF('Rights Register'!J105=0,1,0)</x:f>
        <x:v>1</x:v>
      </x:c>
      <x:c r="F2597" s="21" t="n">
        <x:v>1</x:v>
      </x:c>
      <x:c r="G2597" s="23" t="str">
        <x:f>IF(E2597=F2597,"PASS","FAIL")</x:f>
        <x:v>PASS</x:v>
      </x:c>
    </x:row>
    <x:row r="2598">
      <x:c r="B2598" s="21" t="str">
        <x:v>A2592</x:v>
      </x:c>
      <x:c r="C2598" s="21" t="str">
        <x:v>rights</x:v>
      </x:c>
      <x:c r="D2598" s="21" t="str">
        <x:v>right 106 required</x:v>
      </x:c>
      <x:c r="E2598" s="21" t="n">
        <x:f>IF('Rights Register'!G106=1,1,0)</x:f>
        <x:v>1</x:v>
      </x:c>
      <x:c r="F2598" s="21" t="n">
        <x:v>1</x:v>
      </x:c>
      <x:c r="G2598" s="23" t="str">
        <x:f>IF(E2598=F2598,"PASS","FAIL")</x:f>
        <x:v>PASS</x:v>
      </x:c>
    </x:row>
    <x:row r="2599">
      <x:c r="B2599" s="21" t="str">
        <x:v>A2593</x:v>
      </x:c>
      <x:c r="C2599" s="21" t="str">
        <x:v>rights</x:v>
      </x:c>
      <x:c r="D2599" s="21" t="str">
        <x:v>right 106 offered</x:v>
      </x:c>
      <x:c r="E2599" s="21" t="n">
        <x:f>IF('Rights Register'!H106=1,1,0)</x:f>
        <x:v>1</x:v>
      </x:c>
      <x:c r="F2599" s="21" t="n">
        <x:v>1</x:v>
      </x:c>
      <x:c r="G2599" s="23" t="str">
        <x:f>IF(E2599=F2599,"PASS","FAIL")</x:f>
        <x:v>PASS</x:v>
      </x:c>
    </x:row>
    <x:row r="2600">
      <x:c r="B2600" s="21" t="str">
        <x:v>A2594</x:v>
      </x:c>
      <x:c r="C2600" s="21" t="str">
        <x:v>rights</x:v>
      </x:c>
      <x:c r="D2600" s="21" t="str">
        <x:v>right 106 evidence open</x:v>
      </x:c>
      <x:c r="E2600" s="21" t="n">
        <x:f>IF('Rights Register'!I106="OPEN",1,0)</x:f>
        <x:v>1</x:v>
      </x:c>
      <x:c r="F2600" s="21" t="n">
        <x:v>1</x:v>
      </x:c>
      <x:c r="G2600" s="23" t="str">
        <x:f>IF(E2600=F2600,"PASS","FAIL")</x:f>
        <x:v>PASS</x:v>
      </x:c>
    </x:row>
    <x:row r="2601">
      <x:c r="B2601" s="21" t="str">
        <x:v>A2595</x:v>
      </x:c>
      <x:c r="C2601" s="21" t="str">
        <x:v>rights</x:v>
      </x:c>
      <x:c r="D2601" s="21" t="str">
        <x:v>right 106 zero credit</x:v>
      </x:c>
      <x:c r="E2601" s="21" t="n">
        <x:f>IF('Rights Register'!J106=0,1,0)</x:f>
        <x:v>1</x:v>
      </x:c>
      <x:c r="F2601" s="21" t="n">
        <x:v>1</x:v>
      </x:c>
      <x:c r="G2601" s="23" t="str">
        <x:f>IF(E2601=F2601,"PASS","FAIL")</x:f>
        <x:v>PASS</x:v>
      </x:c>
    </x:row>
    <x:row r="2602">
      <x:c r="B2602" s="21" t="str">
        <x:v>A2596</x:v>
      </x:c>
      <x:c r="C2602" s="21" t="str">
        <x:v>rights</x:v>
      </x:c>
      <x:c r="D2602" s="21" t="str">
        <x:v>right 107 required</x:v>
      </x:c>
      <x:c r="E2602" s="21" t="n">
        <x:f>IF('Rights Register'!G107=1,1,0)</x:f>
        <x:v>1</x:v>
      </x:c>
      <x:c r="F2602" s="21" t="n">
        <x:v>1</x:v>
      </x:c>
      <x:c r="G2602" s="23" t="str">
        <x:f>IF(E2602=F2602,"PASS","FAIL")</x:f>
        <x:v>PASS</x:v>
      </x:c>
    </x:row>
    <x:row r="2603">
      <x:c r="B2603" s="21" t="str">
        <x:v>A2597</x:v>
      </x:c>
      <x:c r="C2603" s="21" t="str">
        <x:v>rights</x:v>
      </x:c>
      <x:c r="D2603" s="21" t="str">
        <x:v>right 107 offered</x:v>
      </x:c>
      <x:c r="E2603" s="21" t="n">
        <x:f>IF('Rights Register'!H107=1,1,0)</x:f>
        <x:v>1</x:v>
      </x:c>
      <x:c r="F2603" s="21" t="n">
        <x:v>1</x:v>
      </x:c>
      <x:c r="G2603" s="23" t="str">
        <x:f>IF(E2603=F2603,"PASS","FAIL")</x:f>
        <x:v>PASS</x:v>
      </x:c>
    </x:row>
    <x:row r="2604">
      <x:c r="B2604" s="21" t="str">
        <x:v>A2598</x:v>
      </x:c>
      <x:c r="C2604" s="21" t="str">
        <x:v>rights</x:v>
      </x:c>
      <x:c r="D2604" s="21" t="str">
        <x:v>right 107 evidence open</x:v>
      </x:c>
      <x:c r="E2604" s="21" t="n">
        <x:f>IF('Rights Register'!I107="OPEN",1,0)</x:f>
        <x:v>1</x:v>
      </x:c>
      <x:c r="F2604" s="21" t="n">
        <x:v>1</x:v>
      </x:c>
      <x:c r="G2604" s="23" t="str">
        <x:f>IF(E2604=F2604,"PASS","FAIL")</x:f>
        <x:v>PASS</x:v>
      </x:c>
    </x:row>
    <x:row r="2605">
      <x:c r="B2605" s="21" t="str">
        <x:v>A2599</x:v>
      </x:c>
      <x:c r="C2605" s="21" t="str">
        <x:v>rights</x:v>
      </x:c>
      <x:c r="D2605" s="21" t="str">
        <x:v>right 107 zero credit</x:v>
      </x:c>
      <x:c r="E2605" s="21" t="n">
        <x:f>IF('Rights Register'!J107=0,1,0)</x:f>
        <x:v>1</x:v>
      </x:c>
      <x:c r="F2605" s="21" t="n">
        <x:v>1</x:v>
      </x:c>
      <x:c r="G2605" s="23" t="str">
        <x:f>IF(E2605=F2605,"PASS","FAIL")</x:f>
        <x:v>PASS</x:v>
      </x:c>
    </x:row>
    <x:row r="2606">
      <x:c r="B2606" s="21" t="str">
        <x:v>A2600</x:v>
      </x:c>
      <x:c r="C2606" s="21" t="str">
        <x:v>rights</x:v>
      </x:c>
      <x:c r="D2606" s="21" t="str">
        <x:v>right 108 required</x:v>
      </x:c>
      <x:c r="E2606" s="21" t="n">
        <x:f>IF('Rights Register'!G108=1,1,0)</x:f>
        <x:v>1</x:v>
      </x:c>
      <x:c r="F2606" s="21" t="n">
        <x:v>1</x:v>
      </x:c>
      <x:c r="G2606" s="23" t="str">
        <x:f>IF(E2606=F2606,"PASS","FAIL")</x:f>
        <x:v>PASS</x:v>
      </x:c>
    </x:row>
    <x:row r="2607">
      <x:c r="B2607" s="21" t="str">
        <x:v>A2601</x:v>
      </x:c>
      <x:c r="C2607" s="21" t="str">
        <x:v>rights</x:v>
      </x:c>
      <x:c r="D2607" s="21" t="str">
        <x:v>right 108 offered</x:v>
      </x:c>
      <x:c r="E2607" s="21" t="n">
        <x:f>IF('Rights Register'!H108=1,1,0)</x:f>
        <x:v>1</x:v>
      </x:c>
      <x:c r="F2607" s="21" t="n">
        <x:v>1</x:v>
      </x:c>
      <x:c r="G2607" s="23" t="str">
        <x:f>IF(E2607=F2607,"PASS","FAIL")</x:f>
        <x:v>PASS</x:v>
      </x:c>
    </x:row>
    <x:row r="2608">
      <x:c r="B2608" s="21" t="str">
        <x:v>A2602</x:v>
      </x:c>
      <x:c r="C2608" s="21" t="str">
        <x:v>rights</x:v>
      </x:c>
      <x:c r="D2608" s="21" t="str">
        <x:v>right 108 evidence open</x:v>
      </x:c>
      <x:c r="E2608" s="21" t="n">
        <x:f>IF('Rights Register'!I108="OPEN",1,0)</x:f>
        <x:v>1</x:v>
      </x:c>
      <x:c r="F2608" s="21" t="n">
        <x:v>1</x:v>
      </x:c>
      <x:c r="G2608" s="23" t="str">
        <x:f>IF(E2608=F2608,"PASS","FAIL")</x:f>
        <x:v>PASS</x:v>
      </x:c>
    </x:row>
    <x:row r="2609">
      <x:c r="B2609" s="21" t="str">
        <x:v>A2603</x:v>
      </x:c>
      <x:c r="C2609" s="21" t="str">
        <x:v>rights</x:v>
      </x:c>
      <x:c r="D2609" s="21" t="str">
        <x:v>right 108 zero credit</x:v>
      </x:c>
      <x:c r="E2609" s="21" t="n">
        <x:f>IF('Rights Register'!J108=0,1,0)</x:f>
        <x:v>1</x:v>
      </x:c>
      <x:c r="F2609" s="21" t="n">
        <x:v>1</x:v>
      </x:c>
      <x:c r="G2609" s="23" t="str">
        <x:f>IF(E2609=F2609,"PASS","FAIL")</x:f>
        <x:v>PASS</x:v>
      </x:c>
    </x:row>
    <x:row r="2610">
      <x:c r="B2610" s="21" t="str">
        <x:v>A2604</x:v>
      </x:c>
      <x:c r="C2610" s="21" t="str">
        <x:v>rights</x:v>
      </x:c>
      <x:c r="D2610" s="21" t="str">
        <x:v>right 109 required</x:v>
      </x:c>
      <x:c r="E2610" s="21" t="n">
        <x:f>IF('Rights Register'!G109=1,1,0)</x:f>
        <x:v>1</x:v>
      </x:c>
      <x:c r="F2610" s="21" t="n">
        <x:v>1</x:v>
      </x:c>
      <x:c r="G2610" s="23" t="str">
        <x:f>IF(E2610=F2610,"PASS","FAIL")</x:f>
        <x:v>PASS</x:v>
      </x:c>
    </x:row>
    <x:row r="2611">
      <x:c r="B2611" s="21" t="str">
        <x:v>A2605</x:v>
      </x:c>
      <x:c r="C2611" s="21" t="str">
        <x:v>rights</x:v>
      </x:c>
      <x:c r="D2611" s="21" t="str">
        <x:v>right 109 offered</x:v>
      </x:c>
      <x:c r="E2611" s="21" t="n">
        <x:f>IF('Rights Register'!H109=1,1,0)</x:f>
        <x:v>1</x:v>
      </x:c>
      <x:c r="F2611" s="21" t="n">
        <x:v>1</x:v>
      </x:c>
      <x:c r="G2611" s="23" t="str">
        <x:f>IF(E2611=F2611,"PASS","FAIL")</x:f>
        <x:v>PASS</x:v>
      </x:c>
    </x:row>
    <x:row r="2612">
      <x:c r="B2612" s="21" t="str">
        <x:v>A2606</x:v>
      </x:c>
      <x:c r="C2612" s="21" t="str">
        <x:v>rights</x:v>
      </x:c>
      <x:c r="D2612" s="21" t="str">
        <x:v>right 109 evidence open</x:v>
      </x:c>
      <x:c r="E2612" s="21" t="n">
        <x:f>IF('Rights Register'!I109="OPEN",1,0)</x:f>
        <x:v>1</x:v>
      </x:c>
      <x:c r="F2612" s="21" t="n">
        <x:v>1</x:v>
      </x:c>
      <x:c r="G2612" s="23" t="str">
        <x:f>IF(E2612=F2612,"PASS","FAIL")</x:f>
        <x:v>PASS</x:v>
      </x:c>
    </x:row>
    <x:row r="2613">
      <x:c r="B2613" s="21" t="str">
        <x:v>A2607</x:v>
      </x:c>
      <x:c r="C2613" s="21" t="str">
        <x:v>rights</x:v>
      </x:c>
      <x:c r="D2613" s="21" t="str">
        <x:v>right 109 zero credit</x:v>
      </x:c>
      <x:c r="E2613" s="21" t="n">
        <x:f>IF('Rights Register'!J109=0,1,0)</x:f>
        <x:v>1</x:v>
      </x:c>
      <x:c r="F2613" s="21" t="n">
        <x:v>1</x:v>
      </x:c>
      <x:c r="G2613" s="23" t="str">
        <x:f>IF(E2613=F2613,"PASS","FAIL")</x:f>
        <x:v>PASS</x:v>
      </x:c>
    </x:row>
    <x:row r="2614">
      <x:c r="B2614" s="21" t="str">
        <x:v>A2608</x:v>
      </x:c>
      <x:c r="C2614" s="21" t="str">
        <x:v>rights</x:v>
      </x:c>
      <x:c r="D2614" s="21" t="str">
        <x:v>right 110 required</x:v>
      </x:c>
      <x:c r="E2614" s="21" t="n">
        <x:f>IF('Rights Register'!G110=1,1,0)</x:f>
        <x:v>1</x:v>
      </x:c>
      <x:c r="F2614" s="21" t="n">
        <x:v>1</x:v>
      </x:c>
      <x:c r="G2614" s="23" t="str">
        <x:f>IF(E2614=F2614,"PASS","FAIL")</x:f>
        <x:v>PASS</x:v>
      </x:c>
    </x:row>
    <x:row r="2615">
      <x:c r="B2615" s="21" t="str">
        <x:v>A2609</x:v>
      </x:c>
      <x:c r="C2615" s="21" t="str">
        <x:v>rights</x:v>
      </x:c>
      <x:c r="D2615" s="21" t="str">
        <x:v>right 110 offered</x:v>
      </x:c>
      <x:c r="E2615" s="21" t="n">
        <x:f>IF('Rights Register'!H110=1,1,0)</x:f>
        <x:v>1</x:v>
      </x:c>
      <x:c r="F2615" s="21" t="n">
        <x:v>1</x:v>
      </x:c>
      <x:c r="G2615" s="23" t="str">
        <x:f>IF(E2615=F2615,"PASS","FAIL")</x:f>
        <x:v>PASS</x:v>
      </x:c>
    </x:row>
    <x:row r="2616">
      <x:c r="B2616" s="21" t="str">
        <x:v>A2610</x:v>
      </x:c>
      <x:c r="C2616" s="21" t="str">
        <x:v>rights</x:v>
      </x:c>
      <x:c r="D2616" s="21" t="str">
        <x:v>right 110 evidence open</x:v>
      </x:c>
      <x:c r="E2616" s="21" t="n">
        <x:f>IF('Rights Register'!I110="OPEN",1,0)</x:f>
        <x:v>1</x:v>
      </x:c>
      <x:c r="F2616" s="21" t="n">
        <x:v>1</x:v>
      </x:c>
      <x:c r="G2616" s="23" t="str">
        <x:f>IF(E2616=F2616,"PASS","FAIL")</x:f>
        <x:v>PASS</x:v>
      </x:c>
    </x:row>
    <x:row r="2617">
      <x:c r="B2617" s="21" t="str">
        <x:v>A2611</x:v>
      </x:c>
      <x:c r="C2617" s="21" t="str">
        <x:v>rights</x:v>
      </x:c>
      <x:c r="D2617" s="21" t="str">
        <x:v>right 110 zero credit</x:v>
      </x:c>
      <x:c r="E2617" s="21" t="n">
        <x:f>IF('Rights Register'!J110=0,1,0)</x:f>
        <x:v>1</x:v>
      </x:c>
      <x:c r="F2617" s="21" t="n">
        <x:v>1</x:v>
      </x:c>
      <x:c r="G2617" s="23" t="str">
        <x:f>IF(E2617=F2617,"PASS","FAIL")</x:f>
        <x:v>PASS</x:v>
      </x:c>
    </x:row>
    <x:row r="2618">
      <x:c r="B2618" s="21" t="str">
        <x:v>A2612</x:v>
      </x:c>
      <x:c r="C2618" s="21" t="str">
        <x:v>rights</x:v>
      </x:c>
      <x:c r="D2618" s="21" t="str">
        <x:v>right 111 required</x:v>
      </x:c>
      <x:c r="E2618" s="21" t="n">
        <x:f>IF('Rights Register'!G111=1,1,0)</x:f>
        <x:v>1</x:v>
      </x:c>
      <x:c r="F2618" s="21" t="n">
        <x:v>1</x:v>
      </x:c>
      <x:c r="G2618" s="23" t="str">
        <x:f>IF(E2618=F2618,"PASS","FAIL")</x:f>
        <x:v>PASS</x:v>
      </x:c>
    </x:row>
    <x:row r="2619">
      <x:c r="B2619" s="21" t="str">
        <x:v>A2613</x:v>
      </x:c>
      <x:c r="C2619" s="21" t="str">
        <x:v>rights</x:v>
      </x:c>
      <x:c r="D2619" s="21" t="str">
        <x:v>right 111 offered</x:v>
      </x:c>
      <x:c r="E2619" s="21" t="n">
        <x:f>IF('Rights Register'!H111=1,1,0)</x:f>
        <x:v>1</x:v>
      </x:c>
      <x:c r="F2619" s="21" t="n">
        <x:v>1</x:v>
      </x:c>
      <x:c r="G2619" s="23" t="str">
        <x:f>IF(E2619=F2619,"PASS","FAIL")</x:f>
        <x:v>PASS</x:v>
      </x:c>
    </x:row>
    <x:row r="2620">
      <x:c r="B2620" s="21" t="str">
        <x:v>A2614</x:v>
      </x:c>
      <x:c r="C2620" s="21" t="str">
        <x:v>rights</x:v>
      </x:c>
      <x:c r="D2620" s="21" t="str">
        <x:v>right 111 evidence open</x:v>
      </x:c>
      <x:c r="E2620" s="21" t="n">
        <x:f>IF('Rights Register'!I111="OPEN",1,0)</x:f>
        <x:v>1</x:v>
      </x:c>
      <x:c r="F2620" s="21" t="n">
        <x:v>1</x:v>
      </x:c>
      <x:c r="G2620" s="23" t="str">
        <x:f>IF(E2620=F2620,"PASS","FAIL")</x:f>
        <x:v>PASS</x:v>
      </x:c>
    </x:row>
    <x:row r="2621">
      <x:c r="B2621" s="21" t="str">
        <x:v>A2615</x:v>
      </x:c>
      <x:c r="C2621" s="21" t="str">
        <x:v>rights</x:v>
      </x:c>
      <x:c r="D2621" s="21" t="str">
        <x:v>right 111 zero credit</x:v>
      </x:c>
      <x:c r="E2621" s="21" t="n">
        <x:f>IF('Rights Register'!J111=0,1,0)</x:f>
        <x:v>1</x:v>
      </x:c>
      <x:c r="F2621" s="21" t="n">
        <x:v>1</x:v>
      </x:c>
      <x:c r="G2621" s="23" t="str">
        <x:f>IF(E2621=F2621,"PASS","FAIL")</x:f>
        <x:v>PASS</x:v>
      </x:c>
    </x:row>
    <x:row r="2622">
      <x:c r="B2622" s="21" t="str">
        <x:v>A2616</x:v>
      </x:c>
      <x:c r="C2622" s="21" t="str">
        <x:v>rights</x:v>
      </x:c>
      <x:c r="D2622" s="21" t="str">
        <x:v>right 112 required</x:v>
      </x:c>
      <x:c r="E2622" s="21" t="n">
        <x:f>IF('Rights Register'!G112=1,1,0)</x:f>
        <x:v>1</x:v>
      </x:c>
      <x:c r="F2622" s="21" t="n">
        <x:v>1</x:v>
      </x:c>
      <x:c r="G2622" s="23" t="str">
        <x:f>IF(E2622=F2622,"PASS","FAIL")</x:f>
        <x:v>PASS</x:v>
      </x:c>
    </x:row>
    <x:row r="2623">
      <x:c r="B2623" s="21" t="str">
        <x:v>A2617</x:v>
      </x:c>
      <x:c r="C2623" s="21" t="str">
        <x:v>rights</x:v>
      </x:c>
      <x:c r="D2623" s="21" t="str">
        <x:v>right 112 offered</x:v>
      </x:c>
      <x:c r="E2623" s="21" t="n">
        <x:f>IF('Rights Register'!H112=1,1,0)</x:f>
        <x:v>1</x:v>
      </x:c>
      <x:c r="F2623" s="21" t="n">
        <x:v>1</x:v>
      </x:c>
      <x:c r="G2623" s="23" t="str">
        <x:f>IF(E2623=F2623,"PASS","FAIL")</x:f>
        <x:v>PASS</x:v>
      </x:c>
    </x:row>
    <x:row r="2624">
      <x:c r="B2624" s="21" t="str">
        <x:v>A2618</x:v>
      </x:c>
      <x:c r="C2624" s="21" t="str">
        <x:v>rights</x:v>
      </x:c>
      <x:c r="D2624" s="21" t="str">
        <x:v>right 112 evidence open</x:v>
      </x:c>
      <x:c r="E2624" s="21" t="n">
        <x:f>IF('Rights Register'!I112="OPEN",1,0)</x:f>
        <x:v>1</x:v>
      </x:c>
      <x:c r="F2624" s="21" t="n">
        <x:v>1</x:v>
      </x:c>
      <x:c r="G2624" s="23" t="str">
        <x:f>IF(E2624=F2624,"PASS","FAIL")</x:f>
        <x:v>PASS</x:v>
      </x:c>
    </x:row>
    <x:row r="2625">
      <x:c r="B2625" s="21" t="str">
        <x:v>A2619</x:v>
      </x:c>
      <x:c r="C2625" s="21" t="str">
        <x:v>rights</x:v>
      </x:c>
      <x:c r="D2625" s="21" t="str">
        <x:v>right 112 zero credit</x:v>
      </x:c>
      <x:c r="E2625" s="21" t="n">
        <x:f>IF('Rights Register'!J112=0,1,0)</x:f>
        <x:v>1</x:v>
      </x:c>
      <x:c r="F2625" s="21" t="n">
        <x:v>1</x:v>
      </x:c>
      <x:c r="G2625" s="23" t="str">
        <x:f>IF(E2625=F2625,"PASS","FAIL")</x:f>
        <x:v>PASS</x:v>
      </x:c>
    </x:row>
    <x:row r="2626">
      <x:c r="B2626" s="21" t="str">
        <x:v>A2620</x:v>
      </x:c>
      <x:c r="C2626" s="21" t="str">
        <x:v>rights</x:v>
      </x:c>
      <x:c r="D2626" s="21" t="str">
        <x:v>right 113 required</x:v>
      </x:c>
      <x:c r="E2626" s="21" t="n">
        <x:f>IF('Rights Register'!G113=1,1,0)</x:f>
        <x:v>1</x:v>
      </x:c>
      <x:c r="F2626" s="21" t="n">
        <x:v>1</x:v>
      </x:c>
      <x:c r="G2626" s="23" t="str">
        <x:f>IF(E2626=F2626,"PASS","FAIL")</x:f>
        <x:v>PASS</x:v>
      </x:c>
    </x:row>
    <x:row r="2627">
      <x:c r="B2627" s="21" t="str">
        <x:v>A2621</x:v>
      </x:c>
      <x:c r="C2627" s="21" t="str">
        <x:v>rights</x:v>
      </x:c>
      <x:c r="D2627" s="21" t="str">
        <x:v>right 113 offered</x:v>
      </x:c>
      <x:c r="E2627" s="21" t="n">
        <x:f>IF('Rights Register'!H113=1,1,0)</x:f>
        <x:v>1</x:v>
      </x:c>
      <x:c r="F2627" s="21" t="n">
        <x:v>1</x:v>
      </x:c>
      <x:c r="G2627" s="23" t="str">
        <x:f>IF(E2627=F2627,"PASS","FAIL")</x:f>
        <x:v>PASS</x:v>
      </x:c>
    </x:row>
    <x:row r="2628">
      <x:c r="B2628" s="21" t="str">
        <x:v>A2622</x:v>
      </x:c>
      <x:c r="C2628" s="21" t="str">
        <x:v>rights</x:v>
      </x:c>
      <x:c r="D2628" s="21" t="str">
        <x:v>right 113 evidence open</x:v>
      </x:c>
      <x:c r="E2628" s="21" t="n">
        <x:f>IF('Rights Register'!I113="OPEN",1,0)</x:f>
        <x:v>1</x:v>
      </x:c>
      <x:c r="F2628" s="21" t="n">
        <x:v>1</x:v>
      </x:c>
      <x:c r="G2628" s="23" t="str">
        <x:f>IF(E2628=F2628,"PASS","FAIL")</x:f>
        <x:v>PASS</x:v>
      </x:c>
    </x:row>
    <x:row r="2629">
      <x:c r="B2629" s="21" t="str">
        <x:v>A2623</x:v>
      </x:c>
      <x:c r="C2629" s="21" t="str">
        <x:v>rights</x:v>
      </x:c>
      <x:c r="D2629" s="21" t="str">
        <x:v>right 113 zero credit</x:v>
      </x:c>
      <x:c r="E2629" s="21" t="n">
        <x:f>IF('Rights Register'!J113=0,1,0)</x:f>
        <x:v>1</x:v>
      </x:c>
      <x:c r="F2629" s="21" t="n">
        <x:v>1</x:v>
      </x:c>
      <x:c r="G2629" s="23" t="str">
        <x:f>IF(E2629=F2629,"PASS","FAIL")</x:f>
        <x:v>PASS</x:v>
      </x:c>
    </x:row>
    <x:row r="2630">
      <x:c r="B2630" s="21" t="str">
        <x:v>A2624</x:v>
      </x:c>
      <x:c r="C2630" s="21" t="str">
        <x:v>rights</x:v>
      </x:c>
      <x:c r="D2630" s="21" t="str">
        <x:v>right 114 required</x:v>
      </x:c>
      <x:c r="E2630" s="21" t="n">
        <x:f>IF('Rights Register'!G114=1,1,0)</x:f>
        <x:v>1</x:v>
      </x:c>
      <x:c r="F2630" s="21" t="n">
        <x:v>1</x:v>
      </x:c>
      <x:c r="G2630" s="23" t="str">
        <x:f>IF(E2630=F2630,"PASS","FAIL")</x:f>
        <x:v>PASS</x:v>
      </x:c>
    </x:row>
    <x:row r="2631">
      <x:c r="B2631" s="21" t="str">
        <x:v>A2625</x:v>
      </x:c>
      <x:c r="C2631" s="21" t="str">
        <x:v>rights</x:v>
      </x:c>
      <x:c r="D2631" s="21" t="str">
        <x:v>right 114 offered</x:v>
      </x:c>
      <x:c r="E2631" s="21" t="n">
        <x:f>IF('Rights Register'!H114=1,1,0)</x:f>
        <x:v>1</x:v>
      </x:c>
      <x:c r="F2631" s="21" t="n">
        <x:v>1</x:v>
      </x:c>
      <x:c r="G2631" s="23" t="str">
        <x:f>IF(E2631=F2631,"PASS","FAIL")</x:f>
        <x:v>PASS</x:v>
      </x:c>
    </x:row>
    <x:row r="2632">
      <x:c r="B2632" s="21" t="str">
        <x:v>A2626</x:v>
      </x:c>
      <x:c r="C2632" s="21" t="str">
        <x:v>rights</x:v>
      </x:c>
      <x:c r="D2632" s="21" t="str">
        <x:v>right 114 evidence open</x:v>
      </x:c>
      <x:c r="E2632" s="21" t="n">
        <x:f>IF('Rights Register'!I114="OPEN",1,0)</x:f>
        <x:v>1</x:v>
      </x:c>
      <x:c r="F2632" s="21" t="n">
        <x:v>1</x:v>
      </x:c>
      <x:c r="G2632" s="23" t="str">
        <x:f>IF(E2632=F2632,"PASS","FAIL")</x:f>
        <x:v>PASS</x:v>
      </x:c>
    </x:row>
    <x:row r="2633">
      <x:c r="B2633" s="21" t="str">
        <x:v>A2627</x:v>
      </x:c>
      <x:c r="C2633" s="21" t="str">
        <x:v>rights</x:v>
      </x:c>
      <x:c r="D2633" s="21" t="str">
        <x:v>right 114 zero credit</x:v>
      </x:c>
      <x:c r="E2633" s="21" t="n">
        <x:f>IF('Rights Register'!J114=0,1,0)</x:f>
        <x:v>1</x:v>
      </x:c>
      <x:c r="F2633" s="21" t="n">
        <x:v>1</x:v>
      </x:c>
      <x:c r="G2633" s="23" t="str">
        <x:f>IF(E2633=F2633,"PASS","FAIL")</x:f>
        <x:v>PASS</x:v>
      </x:c>
    </x:row>
    <x:row r="2634">
      <x:c r="B2634" s="21" t="str">
        <x:v>A2628</x:v>
      </x:c>
      <x:c r="C2634" s="21" t="str">
        <x:v>rights</x:v>
      </x:c>
      <x:c r="D2634" s="21" t="str">
        <x:v>right 115 required</x:v>
      </x:c>
      <x:c r="E2634" s="21" t="n">
        <x:f>IF('Rights Register'!G115=1,1,0)</x:f>
        <x:v>1</x:v>
      </x:c>
      <x:c r="F2634" s="21" t="n">
        <x:v>1</x:v>
      </x:c>
      <x:c r="G2634" s="23" t="str">
        <x:f>IF(E2634=F2634,"PASS","FAIL")</x:f>
        <x:v>PASS</x:v>
      </x:c>
    </x:row>
    <x:row r="2635">
      <x:c r="B2635" s="21" t="str">
        <x:v>A2629</x:v>
      </x:c>
      <x:c r="C2635" s="21" t="str">
        <x:v>rights</x:v>
      </x:c>
      <x:c r="D2635" s="21" t="str">
        <x:v>right 115 offered</x:v>
      </x:c>
      <x:c r="E2635" s="21" t="n">
        <x:f>IF('Rights Register'!H115=1,1,0)</x:f>
        <x:v>1</x:v>
      </x:c>
      <x:c r="F2635" s="21" t="n">
        <x:v>1</x:v>
      </x:c>
      <x:c r="G2635" s="23" t="str">
        <x:f>IF(E2635=F2635,"PASS","FAIL")</x:f>
        <x:v>PASS</x:v>
      </x:c>
    </x:row>
    <x:row r="2636">
      <x:c r="B2636" s="21" t="str">
        <x:v>A2630</x:v>
      </x:c>
      <x:c r="C2636" s="21" t="str">
        <x:v>rights</x:v>
      </x:c>
      <x:c r="D2636" s="21" t="str">
        <x:v>right 115 evidence open</x:v>
      </x:c>
      <x:c r="E2636" s="21" t="n">
        <x:f>IF('Rights Register'!I115="OPEN",1,0)</x:f>
        <x:v>1</x:v>
      </x:c>
      <x:c r="F2636" s="21" t="n">
        <x:v>1</x:v>
      </x:c>
      <x:c r="G2636" s="23" t="str">
        <x:f>IF(E2636=F2636,"PASS","FAIL")</x:f>
        <x:v>PASS</x:v>
      </x:c>
    </x:row>
    <x:row r="2637">
      <x:c r="B2637" s="21" t="str">
        <x:v>A2631</x:v>
      </x:c>
      <x:c r="C2637" s="21" t="str">
        <x:v>rights</x:v>
      </x:c>
      <x:c r="D2637" s="21" t="str">
        <x:v>right 115 zero credit</x:v>
      </x:c>
      <x:c r="E2637" s="21" t="n">
        <x:f>IF('Rights Register'!J115=0,1,0)</x:f>
        <x:v>1</x:v>
      </x:c>
      <x:c r="F2637" s="21" t="n">
        <x:v>1</x:v>
      </x:c>
      <x:c r="G2637" s="23" t="str">
        <x:f>IF(E2637=F2637,"PASS","FAIL")</x:f>
        <x:v>PASS</x:v>
      </x:c>
    </x:row>
    <x:row r="2638">
      <x:c r="B2638" s="21" t="str">
        <x:v>A2632</x:v>
      </x:c>
      <x:c r="C2638" s="21" t="str">
        <x:v>rights</x:v>
      </x:c>
      <x:c r="D2638" s="21" t="str">
        <x:v>right 116 required</x:v>
      </x:c>
      <x:c r="E2638" s="21" t="n">
        <x:f>IF('Rights Register'!G116=1,1,0)</x:f>
        <x:v>1</x:v>
      </x:c>
      <x:c r="F2638" s="21" t="n">
        <x:v>1</x:v>
      </x:c>
      <x:c r="G2638" s="23" t="str">
        <x:f>IF(E2638=F2638,"PASS","FAIL")</x:f>
        <x:v>PASS</x:v>
      </x:c>
    </x:row>
    <x:row r="2639">
      <x:c r="B2639" s="21" t="str">
        <x:v>A2633</x:v>
      </x:c>
      <x:c r="C2639" s="21" t="str">
        <x:v>rights</x:v>
      </x:c>
      <x:c r="D2639" s="21" t="str">
        <x:v>right 116 offered</x:v>
      </x:c>
      <x:c r="E2639" s="21" t="n">
        <x:f>IF('Rights Register'!H116=1,1,0)</x:f>
        <x:v>1</x:v>
      </x:c>
      <x:c r="F2639" s="21" t="n">
        <x:v>1</x:v>
      </x:c>
      <x:c r="G2639" s="23" t="str">
        <x:f>IF(E2639=F2639,"PASS","FAIL")</x:f>
        <x:v>PASS</x:v>
      </x:c>
    </x:row>
    <x:row r="2640">
      <x:c r="B2640" s="21" t="str">
        <x:v>A2634</x:v>
      </x:c>
      <x:c r="C2640" s="21" t="str">
        <x:v>rights</x:v>
      </x:c>
      <x:c r="D2640" s="21" t="str">
        <x:v>right 116 evidence open</x:v>
      </x:c>
      <x:c r="E2640" s="21" t="n">
        <x:f>IF('Rights Register'!I116="OPEN",1,0)</x:f>
        <x:v>1</x:v>
      </x:c>
      <x:c r="F2640" s="21" t="n">
        <x:v>1</x:v>
      </x:c>
      <x:c r="G2640" s="23" t="str">
        <x:f>IF(E2640=F2640,"PASS","FAIL")</x:f>
        <x:v>PASS</x:v>
      </x:c>
    </x:row>
    <x:row r="2641">
      <x:c r="B2641" s="21" t="str">
        <x:v>A2635</x:v>
      </x:c>
      <x:c r="C2641" s="21" t="str">
        <x:v>rights</x:v>
      </x:c>
      <x:c r="D2641" s="21" t="str">
        <x:v>right 116 zero credit</x:v>
      </x:c>
      <x:c r="E2641" s="21" t="n">
        <x:f>IF('Rights Register'!J116=0,1,0)</x:f>
        <x:v>1</x:v>
      </x:c>
      <x:c r="F2641" s="21" t="n">
        <x:v>1</x:v>
      </x:c>
      <x:c r="G2641" s="23" t="str">
        <x:f>IF(E2641=F2641,"PASS","FAIL")</x:f>
        <x:v>PASS</x:v>
      </x:c>
    </x:row>
    <x:row r="2642">
      <x:c r="B2642" s="21" t="str">
        <x:v>A2636</x:v>
      </x:c>
      <x:c r="C2642" s="21" t="str">
        <x:v>rights</x:v>
      </x:c>
      <x:c r="D2642" s="21" t="str">
        <x:v>right 117 required</x:v>
      </x:c>
      <x:c r="E2642" s="21" t="n">
        <x:f>IF('Rights Register'!G117=1,1,0)</x:f>
        <x:v>1</x:v>
      </x:c>
      <x:c r="F2642" s="21" t="n">
        <x:v>1</x:v>
      </x:c>
      <x:c r="G2642" s="23" t="str">
        <x:f>IF(E2642=F2642,"PASS","FAIL")</x:f>
        <x:v>PASS</x:v>
      </x:c>
    </x:row>
    <x:row r="2643">
      <x:c r="B2643" s="21" t="str">
        <x:v>A2637</x:v>
      </x:c>
      <x:c r="C2643" s="21" t="str">
        <x:v>rights</x:v>
      </x:c>
      <x:c r="D2643" s="21" t="str">
        <x:v>right 117 offered</x:v>
      </x:c>
      <x:c r="E2643" s="21" t="n">
        <x:f>IF('Rights Register'!H117=1,1,0)</x:f>
        <x:v>1</x:v>
      </x:c>
      <x:c r="F2643" s="21" t="n">
        <x:v>1</x:v>
      </x:c>
      <x:c r="G2643" s="23" t="str">
        <x:f>IF(E2643=F2643,"PASS","FAIL")</x:f>
        <x:v>PASS</x:v>
      </x:c>
    </x:row>
    <x:row r="2644">
      <x:c r="B2644" s="21" t="str">
        <x:v>A2638</x:v>
      </x:c>
      <x:c r="C2644" s="21" t="str">
        <x:v>rights</x:v>
      </x:c>
      <x:c r="D2644" s="21" t="str">
        <x:v>right 117 evidence open</x:v>
      </x:c>
      <x:c r="E2644" s="21" t="n">
        <x:f>IF('Rights Register'!I117="OPEN",1,0)</x:f>
        <x:v>1</x:v>
      </x:c>
      <x:c r="F2644" s="21" t="n">
        <x:v>1</x:v>
      </x:c>
      <x:c r="G2644" s="23" t="str">
        <x:f>IF(E2644=F2644,"PASS","FAIL")</x:f>
        <x:v>PASS</x:v>
      </x:c>
    </x:row>
    <x:row r="2645">
      <x:c r="B2645" s="21" t="str">
        <x:v>A2639</x:v>
      </x:c>
      <x:c r="C2645" s="21" t="str">
        <x:v>rights</x:v>
      </x:c>
      <x:c r="D2645" s="21" t="str">
        <x:v>right 117 zero credit</x:v>
      </x:c>
      <x:c r="E2645" s="21" t="n">
        <x:f>IF('Rights Register'!J117=0,1,0)</x:f>
        <x:v>1</x:v>
      </x:c>
      <x:c r="F2645" s="21" t="n">
        <x:v>1</x:v>
      </x:c>
      <x:c r="G2645" s="23" t="str">
        <x:f>IF(E2645=F2645,"PASS","FAIL")</x:f>
        <x:v>PASS</x:v>
      </x:c>
    </x:row>
    <x:row r="2646">
      <x:c r="B2646" s="21" t="str">
        <x:v>A2640</x:v>
      </x:c>
      <x:c r="C2646" s="21" t="str">
        <x:v>rights</x:v>
      </x:c>
      <x:c r="D2646" s="21" t="str">
        <x:v>right 118 required</x:v>
      </x:c>
      <x:c r="E2646" s="21" t="n">
        <x:f>IF('Rights Register'!G118=1,1,0)</x:f>
        <x:v>1</x:v>
      </x:c>
      <x:c r="F2646" s="21" t="n">
        <x:v>1</x:v>
      </x:c>
      <x:c r="G2646" s="23" t="str">
        <x:f>IF(E2646=F2646,"PASS","FAIL")</x:f>
        <x:v>PASS</x:v>
      </x:c>
    </x:row>
    <x:row r="2647">
      <x:c r="B2647" s="21" t="str">
        <x:v>A2641</x:v>
      </x:c>
      <x:c r="C2647" s="21" t="str">
        <x:v>rights</x:v>
      </x:c>
      <x:c r="D2647" s="21" t="str">
        <x:v>right 118 offered</x:v>
      </x:c>
      <x:c r="E2647" s="21" t="n">
        <x:f>IF('Rights Register'!H118=1,1,0)</x:f>
        <x:v>1</x:v>
      </x:c>
      <x:c r="F2647" s="21" t="n">
        <x:v>1</x:v>
      </x:c>
      <x:c r="G2647" s="23" t="str">
        <x:f>IF(E2647=F2647,"PASS","FAIL")</x:f>
        <x:v>PASS</x:v>
      </x:c>
    </x:row>
    <x:row r="2648">
      <x:c r="B2648" s="21" t="str">
        <x:v>A2642</x:v>
      </x:c>
      <x:c r="C2648" s="21" t="str">
        <x:v>rights</x:v>
      </x:c>
      <x:c r="D2648" s="21" t="str">
        <x:v>right 118 evidence open</x:v>
      </x:c>
      <x:c r="E2648" s="21" t="n">
        <x:f>IF('Rights Register'!I118="OPEN",1,0)</x:f>
        <x:v>1</x:v>
      </x:c>
      <x:c r="F2648" s="21" t="n">
        <x:v>1</x:v>
      </x:c>
      <x:c r="G2648" s="23" t="str">
        <x:f>IF(E2648=F2648,"PASS","FAIL")</x:f>
        <x:v>PASS</x:v>
      </x:c>
    </x:row>
    <x:row r="2649">
      <x:c r="B2649" s="21" t="str">
        <x:v>A2643</x:v>
      </x:c>
      <x:c r="C2649" s="21" t="str">
        <x:v>rights</x:v>
      </x:c>
      <x:c r="D2649" s="21" t="str">
        <x:v>right 118 zero credit</x:v>
      </x:c>
      <x:c r="E2649" s="21" t="n">
        <x:f>IF('Rights Register'!J118=0,1,0)</x:f>
        <x:v>1</x:v>
      </x:c>
      <x:c r="F2649" s="21" t="n">
        <x:v>1</x:v>
      </x:c>
      <x:c r="G2649" s="23" t="str">
        <x:f>IF(E2649=F2649,"PASS","FAIL")</x:f>
        <x:v>PASS</x:v>
      </x:c>
    </x:row>
    <x:row r="2650">
      <x:c r="B2650" s="21" t="str">
        <x:v>A2644</x:v>
      </x:c>
      <x:c r="C2650" s="21" t="str">
        <x:v>rights</x:v>
      </x:c>
      <x:c r="D2650" s="21" t="str">
        <x:v>right 119 required</x:v>
      </x:c>
      <x:c r="E2650" s="21" t="n">
        <x:f>IF('Rights Register'!G119=1,1,0)</x:f>
        <x:v>1</x:v>
      </x:c>
      <x:c r="F2650" s="21" t="n">
        <x:v>1</x:v>
      </x:c>
      <x:c r="G2650" s="23" t="str">
        <x:f>IF(E2650=F2650,"PASS","FAIL")</x:f>
        <x:v>PASS</x:v>
      </x:c>
    </x:row>
    <x:row r="2651">
      <x:c r="B2651" s="21" t="str">
        <x:v>A2645</x:v>
      </x:c>
      <x:c r="C2651" s="21" t="str">
        <x:v>rights</x:v>
      </x:c>
      <x:c r="D2651" s="21" t="str">
        <x:v>right 119 offered</x:v>
      </x:c>
      <x:c r="E2651" s="21" t="n">
        <x:f>IF('Rights Register'!H119=1,1,0)</x:f>
        <x:v>1</x:v>
      </x:c>
      <x:c r="F2651" s="21" t="n">
        <x:v>1</x:v>
      </x:c>
      <x:c r="G2651" s="23" t="str">
        <x:f>IF(E2651=F2651,"PASS","FAIL")</x:f>
        <x:v>PASS</x:v>
      </x:c>
    </x:row>
    <x:row r="2652">
      <x:c r="B2652" s="21" t="str">
        <x:v>A2646</x:v>
      </x:c>
      <x:c r="C2652" s="21" t="str">
        <x:v>rights</x:v>
      </x:c>
      <x:c r="D2652" s="21" t="str">
        <x:v>right 119 evidence open</x:v>
      </x:c>
      <x:c r="E2652" s="21" t="n">
        <x:f>IF('Rights Register'!I119="OPEN",1,0)</x:f>
        <x:v>1</x:v>
      </x:c>
      <x:c r="F2652" s="21" t="n">
        <x:v>1</x:v>
      </x:c>
      <x:c r="G2652" s="23" t="str">
        <x:f>IF(E2652=F2652,"PASS","FAIL")</x:f>
        <x:v>PASS</x:v>
      </x:c>
    </x:row>
    <x:row r="2653">
      <x:c r="B2653" s="21" t="str">
        <x:v>A2647</x:v>
      </x:c>
      <x:c r="C2653" s="21" t="str">
        <x:v>rights</x:v>
      </x:c>
      <x:c r="D2653" s="21" t="str">
        <x:v>right 119 zero credit</x:v>
      </x:c>
      <x:c r="E2653" s="21" t="n">
        <x:f>IF('Rights Register'!J119=0,1,0)</x:f>
        <x:v>1</x:v>
      </x:c>
      <x:c r="F2653" s="21" t="n">
        <x:v>1</x:v>
      </x:c>
      <x:c r="G2653" s="23" t="str">
        <x:f>IF(E2653=F2653,"PASS","FAIL")</x:f>
        <x:v>PASS</x:v>
      </x:c>
    </x:row>
    <x:row r="2654">
      <x:c r="B2654" s="21" t="str">
        <x:v>A2648</x:v>
      </x:c>
      <x:c r="C2654" s="21" t="str">
        <x:v>rights</x:v>
      </x:c>
      <x:c r="D2654" s="21" t="str">
        <x:v>right 120 required</x:v>
      </x:c>
      <x:c r="E2654" s="21" t="n">
        <x:f>IF('Rights Register'!G120=1,1,0)</x:f>
        <x:v>1</x:v>
      </x:c>
      <x:c r="F2654" s="21" t="n">
        <x:v>1</x:v>
      </x:c>
      <x:c r="G2654" s="23" t="str">
        <x:f>IF(E2654=F2654,"PASS","FAIL")</x:f>
        <x:v>PASS</x:v>
      </x:c>
    </x:row>
    <x:row r="2655">
      <x:c r="B2655" s="21" t="str">
        <x:v>A2649</x:v>
      </x:c>
      <x:c r="C2655" s="21" t="str">
        <x:v>rights</x:v>
      </x:c>
      <x:c r="D2655" s="21" t="str">
        <x:v>right 120 offered</x:v>
      </x:c>
      <x:c r="E2655" s="21" t="n">
        <x:f>IF('Rights Register'!H120=1,1,0)</x:f>
        <x:v>1</x:v>
      </x:c>
      <x:c r="F2655" s="21" t="n">
        <x:v>1</x:v>
      </x:c>
      <x:c r="G2655" s="23" t="str">
        <x:f>IF(E2655=F2655,"PASS","FAIL")</x:f>
        <x:v>PASS</x:v>
      </x:c>
    </x:row>
    <x:row r="2656">
      <x:c r="B2656" s="21" t="str">
        <x:v>A2650</x:v>
      </x:c>
      <x:c r="C2656" s="21" t="str">
        <x:v>rights</x:v>
      </x:c>
      <x:c r="D2656" s="21" t="str">
        <x:v>right 120 evidence open</x:v>
      </x:c>
      <x:c r="E2656" s="21" t="n">
        <x:f>IF('Rights Register'!I120="OPEN",1,0)</x:f>
        <x:v>1</x:v>
      </x:c>
      <x:c r="F2656" s="21" t="n">
        <x:v>1</x:v>
      </x:c>
      <x:c r="G2656" s="23" t="str">
        <x:f>IF(E2656=F2656,"PASS","FAIL")</x:f>
        <x:v>PASS</x:v>
      </x:c>
    </x:row>
    <x:row r="2657">
      <x:c r="B2657" s="21" t="str">
        <x:v>A2651</x:v>
      </x:c>
      <x:c r="C2657" s="21" t="str">
        <x:v>rights</x:v>
      </x:c>
      <x:c r="D2657" s="21" t="str">
        <x:v>right 120 zero credit</x:v>
      </x:c>
      <x:c r="E2657" s="21" t="n">
        <x:f>IF('Rights Register'!J120=0,1,0)</x:f>
        <x:v>1</x:v>
      </x:c>
      <x:c r="F2657" s="21" t="n">
        <x:v>1</x:v>
      </x:c>
      <x:c r="G2657" s="23" t="str">
        <x:f>IF(E2657=F2657,"PASS","FAIL")</x:f>
        <x:v>PASS</x:v>
      </x:c>
    </x:row>
    <x:row r="2658">
      <x:c r="B2658" s="21" t="str">
        <x:v>A2652</x:v>
      </x:c>
      <x:c r="C2658" s="21" t="str">
        <x:v>rights</x:v>
      </x:c>
      <x:c r="D2658" s="21" t="str">
        <x:v>right 121 required</x:v>
      </x:c>
      <x:c r="E2658" s="21" t="n">
        <x:f>IF('Rights Register'!G121=1,1,0)</x:f>
        <x:v>1</x:v>
      </x:c>
      <x:c r="F2658" s="21" t="n">
        <x:v>1</x:v>
      </x:c>
      <x:c r="G2658" s="23" t="str">
        <x:f>IF(E2658=F2658,"PASS","FAIL")</x:f>
        <x:v>PASS</x:v>
      </x:c>
    </x:row>
    <x:row r="2659">
      <x:c r="B2659" s="21" t="str">
        <x:v>A2653</x:v>
      </x:c>
      <x:c r="C2659" s="21" t="str">
        <x:v>rights</x:v>
      </x:c>
      <x:c r="D2659" s="21" t="str">
        <x:v>right 121 offered</x:v>
      </x:c>
      <x:c r="E2659" s="21" t="n">
        <x:f>IF('Rights Register'!H121=1,1,0)</x:f>
        <x:v>1</x:v>
      </x:c>
      <x:c r="F2659" s="21" t="n">
        <x:v>1</x:v>
      </x:c>
      <x:c r="G2659" s="23" t="str">
        <x:f>IF(E2659=F2659,"PASS","FAIL")</x:f>
        <x:v>PASS</x:v>
      </x:c>
    </x:row>
    <x:row r="2660">
      <x:c r="B2660" s="21" t="str">
        <x:v>A2654</x:v>
      </x:c>
      <x:c r="C2660" s="21" t="str">
        <x:v>rights</x:v>
      </x:c>
      <x:c r="D2660" s="21" t="str">
        <x:v>right 121 evidence open</x:v>
      </x:c>
      <x:c r="E2660" s="21" t="n">
        <x:f>IF('Rights Register'!I121="OPEN",1,0)</x:f>
        <x:v>1</x:v>
      </x:c>
      <x:c r="F2660" s="21" t="n">
        <x:v>1</x:v>
      </x:c>
      <x:c r="G2660" s="23" t="str">
        <x:f>IF(E2660=F2660,"PASS","FAIL")</x:f>
        <x:v>PASS</x:v>
      </x:c>
    </x:row>
    <x:row r="2661">
      <x:c r="B2661" s="21" t="str">
        <x:v>A2655</x:v>
      </x:c>
      <x:c r="C2661" s="21" t="str">
        <x:v>rights</x:v>
      </x:c>
      <x:c r="D2661" s="21" t="str">
        <x:v>right 121 zero credit</x:v>
      </x:c>
      <x:c r="E2661" s="21" t="n">
        <x:f>IF('Rights Register'!J121=0,1,0)</x:f>
        <x:v>1</x:v>
      </x:c>
      <x:c r="F2661" s="21" t="n">
        <x:v>1</x:v>
      </x:c>
      <x:c r="G2661" s="23" t="str">
        <x:f>IF(E2661=F2661,"PASS","FAIL")</x:f>
        <x:v>PASS</x:v>
      </x:c>
    </x:row>
    <x:row r="2662">
      <x:c r="B2662" s="21" t="str">
        <x:v>A2656</x:v>
      </x:c>
      <x:c r="C2662" s="21" t="str">
        <x:v>rights</x:v>
      </x:c>
      <x:c r="D2662" s="21" t="str">
        <x:v>right 122 required</x:v>
      </x:c>
      <x:c r="E2662" s="21" t="n">
        <x:f>IF('Rights Register'!G122=1,1,0)</x:f>
        <x:v>1</x:v>
      </x:c>
      <x:c r="F2662" s="21" t="n">
        <x:v>1</x:v>
      </x:c>
      <x:c r="G2662" s="23" t="str">
        <x:f>IF(E2662=F2662,"PASS","FAIL")</x:f>
        <x:v>PASS</x:v>
      </x:c>
    </x:row>
    <x:row r="2663">
      <x:c r="B2663" s="21" t="str">
        <x:v>A2657</x:v>
      </x:c>
      <x:c r="C2663" s="21" t="str">
        <x:v>rights</x:v>
      </x:c>
      <x:c r="D2663" s="21" t="str">
        <x:v>right 122 offered</x:v>
      </x:c>
      <x:c r="E2663" s="21" t="n">
        <x:f>IF('Rights Register'!H122=1,1,0)</x:f>
        <x:v>1</x:v>
      </x:c>
      <x:c r="F2663" s="21" t="n">
        <x:v>1</x:v>
      </x:c>
      <x:c r="G2663" s="23" t="str">
        <x:f>IF(E2663=F2663,"PASS","FAIL")</x:f>
        <x:v>PASS</x:v>
      </x:c>
    </x:row>
    <x:row r="2664">
      <x:c r="B2664" s="21" t="str">
        <x:v>A2658</x:v>
      </x:c>
      <x:c r="C2664" s="21" t="str">
        <x:v>rights</x:v>
      </x:c>
      <x:c r="D2664" s="21" t="str">
        <x:v>right 122 evidence open</x:v>
      </x:c>
      <x:c r="E2664" s="21" t="n">
        <x:f>IF('Rights Register'!I122="OPEN",1,0)</x:f>
        <x:v>1</x:v>
      </x:c>
      <x:c r="F2664" s="21" t="n">
        <x:v>1</x:v>
      </x:c>
      <x:c r="G2664" s="23" t="str">
        <x:f>IF(E2664=F2664,"PASS","FAIL")</x:f>
        <x:v>PASS</x:v>
      </x:c>
    </x:row>
    <x:row r="2665">
      <x:c r="B2665" s="21" t="str">
        <x:v>A2659</x:v>
      </x:c>
      <x:c r="C2665" s="21" t="str">
        <x:v>rights</x:v>
      </x:c>
      <x:c r="D2665" s="21" t="str">
        <x:v>right 122 zero credit</x:v>
      </x:c>
      <x:c r="E2665" s="21" t="n">
        <x:f>IF('Rights Register'!J122=0,1,0)</x:f>
        <x:v>1</x:v>
      </x:c>
      <x:c r="F2665" s="21" t="n">
        <x:v>1</x:v>
      </x:c>
      <x:c r="G2665" s="23" t="str">
        <x:f>IF(E2665=F2665,"PASS","FAIL")</x:f>
        <x:v>PASS</x:v>
      </x:c>
    </x:row>
    <x:row r="2666">
      <x:c r="B2666" s="21" t="str">
        <x:v>A2660</x:v>
      </x:c>
      <x:c r="C2666" s="21" t="str">
        <x:v>rights</x:v>
      </x:c>
      <x:c r="D2666" s="21" t="str">
        <x:v>right 123 required</x:v>
      </x:c>
      <x:c r="E2666" s="21" t="n">
        <x:f>IF('Rights Register'!G123=1,1,0)</x:f>
        <x:v>1</x:v>
      </x:c>
      <x:c r="F2666" s="21" t="n">
        <x:v>1</x:v>
      </x:c>
      <x:c r="G2666" s="23" t="str">
        <x:f>IF(E2666=F2666,"PASS","FAIL")</x:f>
        <x:v>PASS</x:v>
      </x:c>
    </x:row>
    <x:row r="2667">
      <x:c r="B2667" s="21" t="str">
        <x:v>A2661</x:v>
      </x:c>
      <x:c r="C2667" s="21" t="str">
        <x:v>rights</x:v>
      </x:c>
      <x:c r="D2667" s="21" t="str">
        <x:v>right 123 offered</x:v>
      </x:c>
      <x:c r="E2667" s="21" t="n">
        <x:f>IF('Rights Register'!H123=1,1,0)</x:f>
        <x:v>1</x:v>
      </x:c>
      <x:c r="F2667" s="21" t="n">
        <x:v>1</x:v>
      </x:c>
      <x:c r="G2667" s="23" t="str">
        <x:f>IF(E2667=F2667,"PASS","FAIL")</x:f>
        <x:v>PASS</x:v>
      </x:c>
    </x:row>
    <x:row r="2668">
      <x:c r="B2668" s="21" t="str">
        <x:v>A2662</x:v>
      </x:c>
      <x:c r="C2668" s="21" t="str">
        <x:v>rights</x:v>
      </x:c>
      <x:c r="D2668" s="21" t="str">
        <x:v>right 123 evidence open</x:v>
      </x:c>
      <x:c r="E2668" s="21" t="n">
        <x:f>IF('Rights Register'!I123="OPEN",1,0)</x:f>
        <x:v>1</x:v>
      </x:c>
      <x:c r="F2668" s="21" t="n">
        <x:v>1</x:v>
      </x:c>
      <x:c r="G2668" s="23" t="str">
        <x:f>IF(E2668=F2668,"PASS","FAIL")</x:f>
        <x:v>PASS</x:v>
      </x:c>
    </x:row>
    <x:row r="2669">
      <x:c r="B2669" s="21" t="str">
        <x:v>A2663</x:v>
      </x:c>
      <x:c r="C2669" s="21" t="str">
        <x:v>rights</x:v>
      </x:c>
      <x:c r="D2669" s="21" t="str">
        <x:v>right 123 zero credit</x:v>
      </x:c>
      <x:c r="E2669" s="21" t="n">
        <x:f>IF('Rights Register'!J123=0,1,0)</x:f>
        <x:v>1</x:v>
      </x:c>
      <x:c r="F2669" s="21" t="n">
        <x:v>1</x:v>
      </x:c>
      <x:c r="G2669" s="23" t="str">
        <x:f>IF(E2669=F2669,"PASS","FAIL")</x:f>
        <x:v>PASS</x:v>
      </x:c>
    </x:row>
    <x:row r="2670">
      <x:c r="B2670" s="21" t="str">
        <x:v>A2664</x:v>
      </x:c>
      <x:c r="C2670" s="21" t="str">
        <x:v>rights</x:v>
      </x:c>
      <x:c r="D2670" s="21" t="str">
        <x:v>right 124 required</x:v>
      </x:c>
      <x:c r="E2670" s="21" t="n">
        <x:f>IF('Rights Register'!G124=1,1,0)</x:f>
        <x:v>1</x:v>
      </x:c>
      <x:c r="F2670" s="21" t="n">
        <x:v>1</x:v>
      </x:c>
      <x:c r="G2670" s="23" t="str">
        <x:f>IF(E2670=F2670,"PASS","FAIL")</x:f>
        <x:v>PASS</x:v>
      </x:c>
    </x:row>
    <x:row r="2671">
      <x:c r="B2671" s="21" t="str">
        <x:v>A2665</x:v>
      </x:c>
      <x:c r="C2671" s="21" t="str">
        <x:v>rights</x:v>
      </x:c>
      <x:c r="D2671" s="21" t="str">
        <x:v>right 124 offered</x:v>
      </x:c>
      <x:c r="E2671" s="21" t="n">
        <x:f>IF('Rights Register'!H124=1,1,0)</x:f>
        <x:v>1</x:v>
      </x:c>
      <x:c r="F2671" s="21" t="n">
        <x:v>1</x:v>
      </x:c>
      <x:c r="G2671" s="23" t="str">
        <x:f>IF(E2671=F2671,"PASS","FAIL")</x:f>
        <x:v>PASS</x:v>
      </x:c>
    </x:row>
    <x:row r="2672">
      <x:c r="B2672" s="21" t="str">
        <x:v>A2666</x:v>
      </x:c>
      <x:c r="C2672" s="21" t="str">
        <x:v>rights</x:v>
      </x:c>
      <x:c r="D2672" s="21" t="str">
        <x:v>right 124 evidence open</x:v>
      </x:c>
      <x:c r="E2672" s="21" t="n">
        <x:f>IF('Rights Register'!I124="OPEN",1,0)</x:f>
        <x:v>1</x:v>
      </x:c>
      <x:c r="F2672" s="21" t="n">
        <x:v>1</x:v>
      </x:c>
      <x:c r="G2672" s="23" t="str">
        <x:f>IF(E2672=F2672,"PASS","FAIL")</x:f>
        <x:v>PASS</x:v>
      </x:c>
    </x:row>
    <x:row r="2673">
      <x:c r="B2673" s="21" t="str">
        <x:v>A2667</x:v>
      </x:c>
      <x:c r="C2673" s="21" t="str">
        <x:v>rights</x:v>
      </x:c>
      <x:c r="D2673" s="21" t="str">
        <x:v>right 124 zero credit</x:v>
      </x:c>
      <x:c r="E2673" s="21" t="n">
        <x:f>IF('Rights Register'!J124=0,1,0)</x:f>
        <x:v>1</x:v>
      </x:c>
      <x:c r="F2673" s="21" t="n">
        <x:v>1</x:v>
      </x:c>
      <x:c r="G2673" s="23" t="str">
        <x:f>IF(E2673=F2673,"PASS","FAIL")</x:f>
        <x:v>PASS</x:v>
      </x:c>
    </x:row>
    <x:row r="2674">
      <x:c r="B2674" s="21" t="str">
        <x:v>A2668</x:v>
      </x:c>
      <x:c r="C2674" s="21" t="str">
        <x:v>rights</x:v>
      </x:c>
      <x:c r="D2674" s="21" t="str">
        <x:v>right 125 required</x:v>
      </x:c>
      <x:c r="E2674" s="21" t="n">
        <x:f>IF('Rights Register'!G125=1,1,0)</x:f>
        <x:v>1</x:v>
      </x:c>
      <x:c r="F2674" s="21" t="n">
        <x:v>1</x:v>
      </x:c>
      <x:c r="G2674" s="23" t="str">
        <x:f>IF(E2674=F2674,"PASS","FAIL")</x:f>
        <x:v>PASS</x:v>
      </x:c>
    </x:row>
    <x:row r="2675">
      <x:c r="B2675" s="21" t="str">
        <x:v>A2669</x:v>
      </x:c>
      <x:c r="C2675" s="21" t="str">
        <x:v>rights</x:v>
      </x:c>
      <x:c r="D2675" s="21" t="str">
        <x:v>right 125 offered</x:v>
      </x:c>
      <x:c r="E2675" s="21" t="n">
        <x:f>IF('Rights Register'!H125=1,1,0)</x:f>
        <x:v>1</x:v>
      </x:c>
      <x:c r="F2675" s="21" t="n">
        <x:v>1</x:v>
      </x:c>
      <x:c r="G2675" s="23" t="str">
        <x:f>IF(E2675=F2675,"PASS","FAIL")</x:f>
        <x:v>PASS</x:v>
      </x:c>
    </x:row>
    <x:row r="2676">
      <x:c r="B2676" s="21" t="str">
        <x:v>A2670</x:v>
      </x:c>
      <x:c r="C2676" s="21" t="str">
        <x:v>rights</x:v>
      </x:c>
      <x:c r="D2676" s="21" t="str">
        <x:v>right 125 evidence open</x:v>
      </x:c>
      <x:c r="E2676" s="21" t="n">
        <x:f>IF('Rights Register'!I125="OPEN",1,0)</x:f>
        <x:v>1</x:v>
      </x:c>
      <x:c r="F2676" s="21" t="n">
        <x:v>1</x:v>
      </x:c>
      <x:c r="G2676" s="23" t="str">
        <x:f>IF(E2676=F2676,"PASS","FAIL")</x:f>
        <x:v>PASS</x:v>
      </x:c>
    </x:row>
    <x:row r="2677">
      <x:c r="B2677" s="21" t="str">
        <x:v>A2671</x:v>
      </x:c>
      <x:c r="C2677" s="21" t="str">
        <x:v>rights</x:v>
      </x:c>
      <x:c r="D2677" s="21" t="str">
        <x:v>right 125 zero credit</x:v>
      </x:c>
      <x:c r="E2677" s="21" t="n">
        <x:f>IF('Rights Register'!J125=0,1,0)</x:f>
        <x:v>1</x:v>
      </x:c>
      <x:c r="F2677" s="21" t="n">
        <x:v>1</x:v>
      </x:c>
      <x:c r="G2677" s="23" t="str">
        <x:f>IF(E2677=F2677,"PASS","FAIL")</x:f>
        <x:v>PASS</x:v>
      </x:c>
    </x:row>
    <x:row r="2678">
      <x:c r="B2678" s="21" t="str">
        <x:v>A2672</x:v>
      </x:c>
      <x:c r="C2678" s="21" t="str">
        <x:v>rights</x:v>
      </x:c>
      <x:c r="D2678" s="21" t="str">
        <x:v>right 126 required</x:v>
      </x:c>
      <x:c r="E2678" s="21" t="n">
        <x:f>IF('Rights Register'!G126=1,1,0)</x:f>
        <x:v>1</x:v>
      </x:c>
      <x:c r="F2678" s="21" t="n">
        <x:v>1</x:v>
      </x:c>
      <x:c r="G2678" s="23" t="str">
        <x:f>IF(E2678=F2678,"PASS","FAIL")</x:f>
        <x:v>PASS</x:v>
      </x:c>
    </x:row>
    <x:row r="2679">
      <x:c r="B2679" s="21" t="str">
        <x:v>A2673</x:v>
      </x:c>
      <x:c r="C2679" s="21" t="str">
        <x:v>rights</x:v>
      </x:c>
      <x:c r="D2679" s="21" t="str">
        <x:v>right 126 offered</x:v>
      </x:c>
      <x:c r="E2679" s="21" t="n">
        <x:f>IF('Rights Register'!H126=1,1,0)</x:f>
        <x:v>1</x:v>
      </x:c>
      <x:c r="F2679" s="21" t="n">
        <x:v>1</x:v>
      </x:c>
      <x:c r="G2679" s="23" t="str">
        <x:f>IF(E2679=F2679,"PASS","FAIL")</x:f>
        <x:v>PASS</x:v>
      </x:c>
    </x:row>
    <x:row r="2680">
      <x:c r="B2680" s="21" t="str">
        <x:v>A2674</x:v>
      </x:c>
      <x:c r="C2680" s="21" t="str">
        <x:v>rights</x:v>
      </x:c>
      <x:c r="D2680" s="21" t="str">
        <x:v>right 126 evidence open</x:v>
      </x:c>
      <x:c r="E2680" s="21" t="n">
        <x:f>IF('Rights Register'!I126="OPEN",1,0)</x:f>
        <x:v>1</x:v>
      </x:c>
      <x:c r="F2680" s="21" t="n">
        <x:v>1</x:v>
      </x:c>
      <x:c r="G2680" s="23" t="str">
        <x:f>IF(E2680=F2680,"PASS","FAIL")</x:f>
        <x:v>PASS</x:v>
      </x:c>
    </x:row>
    <x:row r="2681">
      <x:c r="B2681" s="21" t="str">
        <x:v>A2675</x:v>
      </x:c>
      <x:c r="C2681" s="21" t="str">
        <x:v>rights</x:v>
      </x:c>
      <x:c r="D2681" s="21" t="str">
        <x:v>right 126 zero credit</x:v>
      </x:c>
      <x:c r="E2681" s="21" t="n">
        <x:f>IF('Rights Register'!J126=0,1,0)</x:f>
        <x:v>1</x:v>
      </x:c>
      <x:c r="F2681" s="21" t="n">
        <x:v>1</x:v>
      </x:c>
      <x:c r="G2681" s="23" t="str">
        <x:f>IF(E2681=F2681,"PASS","FAIL")</x:f>
        <x:v>PASS</x:v>
      </x:c>
    </x:row>
    <x:row r="2682">
      <x:c r="B2682" s="21" t="str">
        <x:v>A2676</x:v>
      </x:c>
      <x:c r="C2682" s="21" t="str">
        <x:v>rights</x:v>
      </x:c>
      <x:c r="D2682" s="21" t="str">
        <x:v>right 127 required</x:v>
      </x:c>
      <x:c r="E2682" s="21" t="n">
        <x:f>IF('Rights Register'!G127=1,1,0)</x:f>
        <x:v>1</x:v>
      </x:c>
      <x:c r="F2682" s="21" t="n">
        <x:v>1</x:v>
      </x:c>
      <x:c r="G2682" s="23" t="str">
        <x:f>IF(E2682=F2682,"PASS","FAIL")</x:f>
        <x:v>PASS</x:v>
      </x:c>
    </x:row>
    <x:row r="2683">
      <x:c r="B2683" s="21" t="str">
        <x:v>A2677</x:v>
      </x:c>
      <x:c r="C2683" s="21" t="str">
        <x:v>rights</x:v>
      </x:c>
      <x:c r="D2683" s="21" t="str">
        <x:v>right 127 offered</x:v>
      </x:c>
      <x:c r="E2683" s="21" t="n">
        <x:f>IF('Rights Register'!H127=1,1,0)</x:f>
        <x:v>1</x:v>
      </x:c>
      <x:c r="F2683" s="21" t="n">
        <x:v>1</x:v>
      </x:c>
      <x:c r="G2683" s="23" t="str">
        <x:f>IF(E2683=F2683,"PASS","FAIL")</x:f>
        <x:v>PASS</x:v>
      </x:c>
    </x:row>
    <x:row r="2684">
      <x:c r="B2684" s="21" t="str">
        <x:v>A2678</x:v>
      </x:c>
      <x:c r="C2684" s="21" t="str">
        <x:v>rights</x:v>
      </x:c>
      <x:c r="D2684" s="21" t="str">
        <x:v>right 127 evidence open</x:v>
      </x:c>
      <x:c r="E2684" s="21" t="n">
        <x:f>IF('Rights Register'!I127="OPEN",1,0)</x:f>
        <x:v>1</x:v>
      </x:c>
      <x:c r="F2684" s="21" t="n">
        <x:v>1</x:v>
      </x:c>
      <x:c r="G2684" s="23" t="str">
        <x:f>IF(E2684=F2684,"PASS","FAIL")</x:f>
        <x:v>PASS</x:v>
      </x:c>
    </x:row>
    <x:row r="2685">
      <x:c r="B2685" s="21" t="str">
        <x:v>A2679</x:v>
      </x:c>
      <x:c r="C2685" s="21" t="str">
        <x:v>rights</x:v>
      </x:c>
      <x:c r="D2685" s="21" t="str">
        <x:v>right 127 zero credit</x:v>
      </x:c>
      <x:c r="E2685" s="21" t="n">
        <x:f>IF('Rights Register'!J127=0,1,0)</x:f>
        <x:v>1</x:v>
      </x:c>
      <x:c r="F2685" s="21" t="n">
        <x:v>1</x:v>
      </x:c>
      <x:c r="G2685" s="23" t="str">
        <x:f>IF(E2685=F2685,"PASS","FAIL")</x:f>
        <x:v>PASS</x:v>
      </x:c>
    </x:row>
    <x:row r="2686">
      <x:c r="B2686" s="21" t="str">
        <x:v>A2680</x:v>
      </x:c>
      <x:c r="C2686" s="21" t="str">
        <x:v>rights</x:v>
      </x:c>
      <x:c r="D2686" s="21" t="str">
        <x:v>right 128 required</x:v>
      </x:c>
      <x:c r="E2686" s="21" t="n">
        <x:f>IF('Rights Register'!G128=1,1,0)</x:f>
        <x:v>1</x:v>
      </x:c>
      <x:c r="F2686" s="21" t="n">
        <x:v>1</x:v>
      </x:c>
      <x:c r="G2686" s="23" t="str">
        <x:f>IF(E2686=F2686,"PASS","FAIL")</x:f>
        <x:v>PASS</x:v>
      </x:c>
    </x:row>
    <x:row r="2687">
      <x:c r="B2687" s="21" t="str">
        <x:v>A2681</x:v>
      </x:c>
      <x:c r="C2687" s="21" t="str">
        <x:v>rights</x:v>
      </x:c>
      <x:c r="D2687" s="21" t="str">
        <x:v>right 128 offered</x:v>
      </x:c>
      <x:c r="E2687" s="21" t="n">
        <x:f>IF('Rights Register'!H128=1,1,0)</x:f>
        <x:v>1</x:v>
      </x:c>
      <x:c r="F2687" s="21" t="n">
        <x:v>1</x:v>
      </x:c>
      <x:c r="G2687" s="23" t="str">
        <x:f>IF(E2687=F2687,"PASS","FAIL")</x:f>
        <x:v>PASS</x:v>
      </x:c>
    </x:row>
    <x:row r="2688">
      <x:c r="B2688" s="21" t="str">
        <x:v>A2682</x:v>
      </x:c>
      <x:c r="C2688" s="21" t="str">
        <x:v>rights</x:v>
      </x:c>
      <x:c r="D2688" s="21" t="str">
        <x:v>right 128 evidence open</x:v>
      </x:c>
      <x:c r="E2688" s="21" t="n">
        <x:f>IF('Rights Register'!I128="OPEN",1,0)</x:f>
        <x:v>1</x:v>
      </x:c>
      <x:c r="F2688" s="21" t="n">
        <x:v>1</x:v>
      </x:c>
      <x:c r="G2688" s="23" t="str">
        <x:f>IF(E2688=F2688,"PASS","FAIL")</x:f>
        <x:v>PASS</x:v>
      </x:c>
    </x:row>
    <x:row r="2689">
      <x:c r="B2689" s="21" t="str">
        <x:v>A2683</x:v>
      </x:c>
      <x:c r="C2689" s="21" t="str">
        <x:v>rights</x:v>
      </x:c>
      <x:c r="D2689" s="21" t="str">
        <x:v>right 128 zero credit</x:v>
      </x:c>
      <x:c r="E2689" s="21" t="n">
        <x:f>IF('Rights Register'!J128=0,1,0)</x:f>
        <x:v>1</x:v>
      </x:c>
      <x:c r="F2689" s="21" t="n">
        <x:v>1</x:v>
      </x:c>
      <x:c r="G2689" s="23" t="str">
        <x:f>IF(E2689=F2689,"PASS","FAIL")</x:f>
        <x:v>PASS</x:v>
      </x:c>
    </x:row>
    <x:row r="2690">
      <x:c r="B2690" s="21" t="str">
        <x:v>A2684</x:v>
      </x:c>
      <x:c r="C2690" s="21" t="str">
        <x:v>rights</x:v>
      </x:c>
      <x:c r="D2690" s="21" t="str">
        <x:v>right 129 required</x:v>
      </x:c>
      <x:c r="E2690" s="21" t="n">
        <x:f>IF('Rights Register'!G129=1,1,0)</x:f>
        <x:v>1</x:v>
      </x:c>
      <x:c r="F2690" s="21" t="n">
        <x:v>1</x:v>
      </x:c>
      <x:c r="G2690" s="23" t="str">
        <x:f>IF(E2690=F2690,"PASS","FAIL")</x:f>
        <x:v>PASS</x:v>
      </x:c>
    </x:row>
    <x:row r="2691">
      <x:c r="B2691" s="21" t="str">
        <x:v>A2685</x:v>
      </x:c>
      <x:c r="C2691" s="21" t="str">
        <x:v>rights</x:v>
      </x:c>
      <x:c r="D2691" s="21" t="str">
        <x:v>right 129 offered</x:v>
      </x:c>
      <x:c r="E2691" s="21" t="n">
        <x:f>IF('Rights Register'!H129=1,1,0)</x:f>
        <x:v>1</x:v>
      </x:c>
      <x:c r="F2691" s="21" t="n">
        <x:v>1</x:v>
      </x:c>
      <x:c r="G2691" s="23" t="str">
        <x:f>IF(E2691=F2691,"PASS","FAIL")</x:f>
        <x:v>PASS</x:v>
      </x:c>
    </x:row>
    <x:row r="2692">
      <x:c r="B2692" s="21" t="str">
        <x:v>A2686</x:v>
      </x:c>
      <x:c r="C2692" s="21" t="str">
        <x:v>rights</x:v>
      </x:c>
      <x:c r="D2692" s="21" t="str">
        <x:v>right 129 evidence open</x:v>
      </x:c>
      <x:c r="E2692" s="21" t="n">
        <x:f>IF('Rights Register'!I129="OPEN",1,0)</x:f>
        <x:v>1</x:v>
      </x:c>
      <x:c r="F2692" s="21" t="n">
        <x:v>1</x:v>
      </x:c>
      <x:c r="G2692" s="23" t="str">
        <x:f>IF(E2692=F2692,"PASS","FAIL")</x:f>
        <x:v>PASS</x:v>
      </x:c>
    </x:row>
    <x:row r="2693">
      <x:c r="B2693" s="21" t="str">
        <x:v>A2687</x:v>
      </x:c>
      <x:c r="C2693" s="21" t="str">
        <x:v>rights</x:v>
      </x:c>
      <x:c r="D2693" s="21" t="str">
        <x:v>right 129 zero credit</x:v>
      </x:c>
      <x:c r="E2693" s="21" t="n">
        <x:f>IF('Rights Register'!J129=0,1,0)</x:f>
        <x:v>1</x:v>
      </x:c>
      <x:c r="F2693" s="21" t="n">
        <x:v>1</x:v>
      </x:c>
      <x:c r="G2693" s="23" t="str">
        <x:f>IF(E2693=F2693,"PASS","FAIL")</x:f>
        <x:v>PASS</x:v>
      </x:c>
    </x:row>
    <x:row r="2694">
      <x:c r="B2694" s="21" t="str">
        <x:v>A2688</x:v>
      </x:c>
      <x:c r="C2694" s="21" t="str">
        <x:v>rights</x:v>
      </x:c>
      <x:c r="D2694" s="21" t="str">
        <x:v>right 130 required</x:v>
      </x:c>
      <x:c r="E2694" s="21" t="n">
        <x:f>IF('Rights Register'!G130=1,1,0)</x:f>
        <x:v>1</x:v>
      </x:c>
      <x:c r="F2694" s="21" t="n">
        <x:v>1</x:v>
      </x:c>
      <x:c r="G2694" s="23" t="str">
        <x:f>IF(E2694=F2694,"PASS","FAIL")</x:f>
        <x:v>PASS</x:v>
      </x:c>
    </x:row>
    <x:row r="2695">
      <x:c r="B2695" s="21" t="str">
        <x:v>A2689</x:v>
      </x:c>
      <x:c r="C2695" s="21" t="str">
        <x:v>rights</x:v>
      </x:c>
      <x:c r="D2695" s="21" t="str">
        <x:v>right 130 offered</x:v>
      </x:c>
      <x:c r="E2695" s="21" t="n">
        <x:f>IF('Rights Register'!H130=1,1,0)</x:f>
        <x:v>1</x:v>
      </x:c>
      <x:c r="F2695" s="21" t="n">
        <x:v>1</x:v>
      </x:c>
      <x:c r="G2695" s="23" t="str">
        <x:f>IF(E2695=F2695,"PASS","FAIL")</x:f>
        <x:v>PASS</x:v>
      </x:c>
    </x:row>
    <x:row r="2696">
      <x:c r="B2696" s="21" t="str">
        <x:v>A2690</x:v>
      </x:c>
      <x:c r="C2696" s="21" t="str">
        <x:v>rights</x:v>
      </x:c>
      <x:c r="D2696" s="21" t="str">
        <x:v>right 130 evidence open</x:v>
      </x:c>
      <x:c r="E2696" s="21" t="n">
        <x:f>IF('Rights Register'!I130="OPEN",1,0)</x:f>
        <x:v>1</x:v>
      </x:c>
      <x:c r="F2696" s="21" t="n">
        <x:v>1</x:v>
      </x:c>
      <x:c r="G2696" s="23" t="str">
        <x:f>IF(E2696=F2696,"PASS","FAIL")</x:f>
        <x:v>PASS</x:v>
      </x:c>
    </x:row>
    <x:row r="2697">
      <x:c r="B2697" s="21" t="str">
        <x:v>A2691</x:v>
      </x:c>
      <x:c r="C2697" s="21" t="str">
        <x:v>rights</x:v>
      </x:c>
      <x:c r="D2697" s="21" t="str">
        <x:v>right 130 zero credit</x:v>
      </x:c>
      <x:c r="E2697" s="21" t="n">
        <x:f>IF('Rights Register'!J130=0,1,0)</x:f>
        <x:v>1</x:v>
      </x:c>
      <x:c r="F2697" s="21" t="n">
        <x:v>1</x:v>
      </x:c>
      <x:c r="G2697" s="23" t="str">
        <x:f>IF(E2697=F2697,"PASS","FAIL")</x:f>
        <x:v>PASS</x:v>
      </x:c>
    </x:row>
    <x:row r="2698">
      <x:c r="B2698" s="21" t="str">
        <x:v>A2692</x:v>
      </x:c>
      <x:c r="C2698" s="21" t="str">
        <x:v>rights</x:v>
      </x:c>
      <x:c r="D2698" s="21" t="str">
        <x:v>right 131 required</x:v>
      </x:c>
      <x:c r="E2698" s="21" t="n">
        <x:f>IF('Rights Register'!G131=1,1,0)</x:f>
        <x:v>1</x:v>
      </x:c>
      <x:c r="F2698" s="21" t="n">
        <x:v>1</x:v>
      </x:c>
      <x:c r="G2698" s="23" t="str">
        <x:f>IF(E2698=F2698,"PASS","FAIL")</x:f>
        <x:v>PASS</x:v>
      </x:c>
    </x:row>
    <x:row r="2699">
      <x:c r="B2699" s="21" t="str">
        <x:v>A2693</x:v>
      </x:c>
      <x:c r="C2699" s="21" t="str">
        <x:v>rights</x:v>
      </x:c>
      <x:c r="D2699" s="21" t="str">
        <x:v>right 131 offered</x:v>
      </x:c>
      <x:c r="E2699" s="21" t="n">
        <x:f>IF('Rights Register'!H131=1,1,0)</x:f>
        <x:v>1</x:v>
      </x:c>
      <x:c r="F2699" s="21" t="n">
        <x:v>1</x:v>
      </x:c>
      <x:c r="G2699" s="23" t="str">
        <x:f>IF(E2699=F2699,"PASS","FAIL")</x:f>
        <x:v>PASS</x:v>
      </x:c>
    </x:row>
    <x:row r="2700">
      <x:c r="B2700" s="21" t="str">
        <x:v>A2694</x:v>
      </x:c>
      <x:c r="C2700" s="21" t="str">
        <x:v>rights</x:v>
      </x:c>
      <x:c r="D2700" s="21" t="str">
        <x:v>right 131 evidence open</x:v>
      </x:c>
      <x:c r="E2700" s="21" t="n">
        <x:f>IF('Rights Register'!I131="OPEN",1,0)</x:f>
        <x:v>1</x:v>
      </x:c>
      <x:c r="F2700" s="21" t="n">
        <x:v>1</x:v>
      </x:c>
      <x:c r="G2700" s="23" t="str">
        <x:f>IF(E2700=F2700,"PASS","FAIL")</x:f>
        <x:v>PASS</x:v>
      </x:c>
    </x:row>
    <x:row r="2701">
      <x:c r="B2701" s="21" t="str">
        <x:v>A2695</x:v>
      </x:c>
      <x:c r="C2701" s="21" t="str">
        <x:v>rights</x:v>
      </x:c>
      <x:c r="D2701" s="21" t="str">
        <x:v>right 131 zero credit</x:v>
      </x:c>
      <x:c r="E2701" s="21" t="n">
        <x:f>IF('Rights Register'!J131=0,1,0)</x:f>
        <x:v>1</x:v>
      </x:c>
      <x:c r="F2701" s="21" t="n">
        <x:v>1</x:v>
      </x:c>
      <x:c r="G2701" s="23" t="str">
        <x:f>IF(E2701=F2701,"PASS","FAIL")</x:f>
        <x:v>PASS</x:v>
      </x:c>
    </x:row>
    <x:row r="2702">
      <x:c r="B2702" s="21" t="str">
        <x:v>A2696</x:v>
      </x:c>
      <x:c r="C2702" s="21" t="str">
        <x:v>rights</x:v>
      </x:c>
      <x:c r="D2702" s="21" t="str">
        <x:v>right 132 required</x:v>
      </x:c>
      <x:c r="E2702" s="21" t="n">
        <x:f>IF('Rights Register'!G132=1,1,0)</x:f>
        <x:v>1</x:v>
      </x:c>
      <x:c r="F2702" s="21" t="n">
        <x:v>1</x:v>
      </x:c>
      <x:c r="G2702" s="23" t="str">
        <x:f>IF(E2702=F2702,"PASS","FAIL")</x:f>
        <x:v>PASS</x:v>
      </x:c>
    </x:row>
    <x:row r="2703">
      <x:c r="B2703" s="21" t="str">
        <x:v>A2697</x:v>
      </x:c>
      <x:c r="C2703" s="21" t="str">
        <x:v>rights</x:v>
      </x:c>
      <x:c r="D2703" s="21" t="str">
        <x:v>right 132 offered</x:v>
      </x:c>
      <x:c r="E2703" s="21" t="n">
        <x:f>IF('Rights Register'!H132=1,1,0)</x:f>
        <x:v>1</x:v>
      </x:c>
      <x:c r="F2703" s="21" t="n">
        <x:v>1</x:v>
      </x:c>
      <x:c r="G2703" s="23" t="str">
        <x:f>IF(E2703=F2703,"PASS","FAIL")</x:f>
        <x:v>PASS</x:v>
      </x:c>
    </x:row>
    <x:row r="2704">
      <x:c r="B2704" s="21" t="str">
        <x:v>A2698</x:v>
      </x:c>
      <x:c r="C2704" s="21" t="str">
        <x:v>rights</x:v>
      </x:c>
      <x:c r="D2704" s="21" t="str">
        <x:v>right 132 evidence open</x:v>
      </x:c>
      <x:c r="E2704" s="21" t="n">
        <x:f>IF('Rights Register'!I132="OPEN",1,0)</x:f>
        <x:v>1</x:v>
      </x:c>
      <x:c r="F2704" s="21" t="n">
        <x:v>1</x:v>
      </x:c>
      <x:c r="G2704" s="23" t="str">
        <x:f>IF(E2704=F2704,"PASS","FAIL")</x:f>
        <x:v>PASS</x:v>
      </x:c>
    </x:row>
    <x:row r="2705">
      <x:c r="B2705" s="21" t="str">
        <x:v>A2699</x:v>
      </x:c>
      <x:c r="C2705" s="21" t="str">
        <x:v>rights</x:v>
      </x:c>
      <x:c r="D2705" s="21" t="str">
        <x:v>right 132 zero credit</x:v>
      </x:c>
      <x:c r="E2705" s="21" t="n">
        <x:f>IF('Rights Register'!J132=0,1,0)</x:f>
        <x:v>1</x:v>
      </x:c>
      <x:c r="F2705" s="21" t="n">
        <x:v>1</x:v>
      </x:c>
      <x:c r="G2705" s="23" t="str">
        <x:f>IF(E2705=F2705,"PASS","FAIL")</x:f>
        <x:v>PASS</x:v>
      </x:c>
    </x:row>
    <x:row r="2706">
      <x:c r="B2706" s="21" t="str">
        <x:v>A2700</x:v>
      </x:c>
      <x:c r="C2706" s="21" t="str">
        <x:v>rights</x:v>
      </x:c>
      <x:c r="D2706" s="21" t="str">
        <x:v>right 133 required</x:v>
      </x:c>
      <x:c r="E2706" s="21" t="n">
        <x:f>IF('Rights Register'!G133=1,1,0)</x:f>
        <x:v>1</x:v>
      </x:c>
      <x:c r="F2706" s="21" t="n">
        <x:v>1</x:v>
      </x:c>
      <x:c r="G2706" s="23" t="str">
        <x:f>IF(E2706=F2706,"PASS","FAIL")</x:f>
        <x:v>PASS</x:v>
      </x:c>
    </x:row>
    <x:row r="2707">
      <x:c r="B2707" s="21" t="str">
        <x:v>A2701</x:v>
      </x:c>
      <x:c r="C2707" s="21" t="str">
        <x:v>rights</x:v>
      </x:c>
      <x:c r="D2707" s="21" t="str">
        <x:v>right 133 offered</x:v>
      </x:c>
      <x:c r="E2707" s="21" t="n">
        <x:f>IF('Rights Register'!H133=1,1,0)</x:f>
        <x:v>1</x:v>
      </x:c>
      <x:c r="F2707" s="21" t="n">
        <x:v>1</x:v>
      </x:c>
      <x:c r="G2707" s="23" t="str">
        <x:f>IF(E2707=F2707,"PASS","FAIL")</x:f>
        <x:v>PASS</x:v>
      </x:c>
    </x:row>
    <x:row r="2708">
      <x:c r="B2708" s="21" t="str">
        <x:v>A2702</x:v>
      </x:c>
      <x:c r="C2708" s="21" t="str">
        <x:v>rights</x:v>
      </x:c>
      <x:c r="D2708" s="21" t="str">
        <x:v>right 133 evidence open</x:v>
      </x:c>
      <x:c r="E2708" s="21" t="n">
        <x:f>IF('Rights Register'!I133="OPEN",1,0)</x:f>
        <x:v>1</x:v>
      </x:c>
      <x:c r="F2708" s="21" t="n">
        <x:v>1</x:v>
      </x:c>
      <x:c r="G2708" s="23" t="str">
        <x:f>IF(E2708=F2708,"PASS","FAIL")</x:f>
        <x:v>PASS</x:v>
      </x:c>
    </x:row>
    <x:row r="2709">
      <x:c r="B2709" s="21" t="str">
        <x:v>A2703</x:v>
      </x:c>
      <x:c r="C2709" s="21" t="str">
        <x:v>rights</x:v>
      </x:c>
      <x:c r="D2709" s="21" t="str">
        <x:v>right 133 zero credit</x:v>
      </x:c>
      <x:c r="E2709" s="21" t="n">
        <x:f>IF('Rights Register'!J133=0,1,0)</x:f>
        <x:v>1</x:v>
      </x:c>
      <x:c r="F2709" s="21" t="n">
        <x:v>1</x:v>
      </x:c>
      <x:c r="G2709" s="23" t="str">
        <x:f>IF(E2709=F2709,"PASS","FAIL")</x:f>
        <x:v>PASS</x:v>
      </x:c>
    </x:row>
    <x:row r="2710">
      <x:c r="B2710" s="21" t="str">
        <x:v>A2704</x:v>
      </x:c>
      <x:c r="C2710" s="21" t="str">
        <x:v>rights</x:v>
      </x:c>
      <x:c r="D2710" s="21" t="str">
        <x:v>right 134 required</x:v>
      </x:c>
      <x:c r="E2710" s="21" t="n">
        <x:f>IF('Rights Register'!G134=1,1,0)</x:f>
        <x:v>1</x:v>
      </x:c>
      <x:c r="F2710" s="21" t="n">
        <x:v>1</x:v>
      </x:c>
      <x:c r="G2710" s="23" t="str">
        <x:f>IF(E2710=F2710,"PASS","FAIL")</x:f>
        <x:v>PASS</x:v>
      </x:c>
    </x:row>
    <x:row r="2711">
      <x:c r="B2711" s="21" t="str">
        <x:v>A2705</x:v>
      </x:c>
      <x:c r="C2711" s="21" t="str">
        <x:v>rights</x:v>
      </x:c>
      <x:c r="D2711" s="21" t="str">
        <x:v>right 134 offered</x:v>
      </x:c>
      <x:c r="E2711" s="21" t="n">
        <x:f>IF('Rights Register'!H134=1,1,0)</x:f>
        <x:v>1</x:v>
      </x:c>
      <x:c r="F2711" s="21" t="n">
        <x:v>1</x:v>
      </x:c>
      <x:c r="G2711" s="23" t="str">
        <x:f>IF(E2711=F2711,"PASS","FAIL")</x:f>
        <x:v>PASS</x:v>
      </x:c>
    </x:row>
    <x:row r="2712">
      <x:c r="B2712" s="21" t="str">
        <x:v>A2706</x:v>
      </x:c>
      <x:c r="C2712" s="21" t="str">
        <x:v>rights</x:v>
      </x:c>
      <x:c r="D2712" s="21" t="str">
        <x:v>right 134 evidence open</x:v>
      </x:c>
      <x:c r="E2712" s="21" t="n">
        <x:f>IF('Rights Register'!I134="OPEN",1,0)</x:f>
        <x:v>1</x:v>
      </x:c>
      <x:c r="F2712" s="21" t="n">
        <x:v>1</x:v>
      </x:c>
      <x:c r="G2712" s="23" t="str">
        <x:f>IF(E2712=F2712,"PASS","FAIL")</x:f>
        <x:v>PASS</x:v>
      </x:c>
    </x:row>
    <x:row r="2713">
      <x:c r="B2713" s="21" t="str">
        <x:v>A2707</x:v>
      </x:c>
      <x:c r="C2713" s="21" t="str">
        <x:v>rights</x:v>
      </x:c>
      <x:c r="D2713" s="21" t="str">
        <x:v>right 134 zero credit</x:v>
      </x:c>
      <x:c r="E2713" s="21" t="n">
        <x:f>IF('Rights Register'!J134=0,1,0)</x:f>
        <x:v>1</x:v>
      </x:c>
      <x:c r="F2713" s="21" t="n">
        <x:v>1</x:v>
      </x:c>
      <x:c r="G2713" s="23" t="str">
        <x:f>IF(E2713=F2713,"PASS","FAIL")</x:f>
        <x:v>PASS</x:v>
      </x:c>
    </x:row>
    <x:row r="2714">
      <x:c r="B2714" s="21" t="str">
        <x:v>A2708</x:v>
      </x:c>
      <x:c r="C2714" s="21" t="str">
        <x:v>rights</x:v>
      </x:c>
      <x:c r="D2714" s="21" t="str">
        <x:v>right 135 required</x:v>
      </x:c>
      <x:c r="E2714" s="21" t="n">
        <x:f>IF('Rights Register'!G135=1,1,0)</x:f>
        <x:v>1</x:v>
      </x:c>
      <x:c r="F2714" s="21" t="n">
        <x:v>1</x:v>
      </x:c>
      <x:c r="G2714" s="23" t="str">
        <x:f>IF(E2714=F2714,"PASS","FAIL")</x:f>
        <x:v>PASS</x:v>
      </x:c>
    </x:row>
    <x:row r="2715">
      <x:c r="B2715" s="21" t="str">
        <x:v>A2709</x:v>
      </x:c>
      <x:c r="C2715" s="21" t="str">
        <x:v>rights</x:v>
      </x:c>
      <x:c r="D2715" s="21" t="str">
        <x:v>right 135 offered</x:v>
      </x:c>
      <x:c r="E2715" s="21" t="n">
        <x:f>IF('Rights Register'!H135=1,1,0)</x:f>
        <x:v>1</x:v>
      </x:c>
      <x:c r="F2715" s="21" t="n">
        <x:v>1</x:v>
      </x:c>
      <x:c r="G2715" s="23" t="str">
        <x:f>IF(E2715=F2715,"PASS","FAIL")</x:f>
        <x:v>PASS</x:v>
      </x:c>
    </x:row>
    <x:row r="2716">
      <x:c r="B2716" s="21" t="str">
        <x:v>A2710</x:v>
      </x:c>
      <x:c r="C2716" s="21" t="str">
        <x:v>rights</x:v>
      </x:c>
      <x:c r="D2716" s="21" t="str">
        <x:v>right 135 evidence open</x:v>
      </x:c>
      <x:c r="E2716" s="21" t="n">
        <x:f>IF('Rights Register'!I135="OPEN",1,0)</x:f>
        <x:v>1</x:v>
      </x:c>
      <x:c r="F2716" s="21" t="n">
        <x:v>1</x:v>
      </x:c>
      <x:c r="G2716" s="23" t="str">
        <x:f>IF(E2716=F2716,"PASS","FAIL")</x:f>
        <x:v>PASS</x:v>
      </x:c>
    </x:row>
    <x:row r="2717">
      <x:c r="B2717" s="21" t="str">
        <x:v>A2711</x:v>
      </x:c>
      <x:c r="C2717" s="21" t="str">
        <x:v>rights</x:v>
      </x:c>
      <x:c r="D2717" s="21" t="str">
        <x:v>right 135 zero credit</x:v>
      </x:c>
      <x:c r="E2717" s="21" t="n">
        <x:f>IF('Rights Register'!J135=0,1,0)</x:f>
        <x:v>1</x:v>
      </x:c>
      <x:c r="F2717" s="21" t="n">
        <x:v>1</x:v>
      </x:c>
      <x:c r="G2717" s="23" t="str">
        <x:f>IF(E2717=F2717,"PASS","FAIL")</x:f>
        <x:v>PASS</x:v>
      </x:c>
    </x:row>
    <x:row r="2718">
      <x:c r="B2718" s="21" t="str">
        <x:v>A2712</x:v>
      </x:c>
      <x:c r="C2718" s="21" t="str">
        <x:v>rights</x:v>
      </x:c>
      <x:c r="D2718" s="21" t="str">
        <x:v>right 136 required</x:v>
      </x:c>
      <x:c r="E2718" s="21" t="n">
        <x:f>IF('Rights Register'!G136=1,1,0)</x:f>
        <x:v>1</x:v>
      </x:c>
      <x:c r="F2718" s="21" t="n">
        <x:v>1</x:v>
      </x:c>
      <x:c r="G2718" s="23" t="str">
        <x:f>IF(E2718=F2718,"PASS","FAIL")</x:f>
        <x:v>PASS</x:v>
      </x:c>
    </x:row>
    <x:row r="2719">
      <x:c r="B2719" s="21" t="str">
        <x:v>A2713</x:v>
      </x:c>
      <x:c r="C2719" s="21" t="str">
        <x:v>rights</x:v>
      </x:c>
      <x:c r="D2719" s="21" t="str">
        <x:v>right 136 offered</x:v>
      </x:c>
      <x:c r="E2719" s="21" t="n">
        <x:f>IF('Rights Register'!H136=1,1,0)</x:f>
        <x:v>1</x:v>
      </x:c>
      <x:c r="F2719" s="21" t="n">
        <x:v>1</x:v>
      </x:c>
      <x:c r="G2719" s="23" t="str">
        <x:f>IF(E2719=F2719,"PASS","FAIL")</x:f>
        <x:v>PASS</x:v>
      </x:c>
    </x:row>
    <x:row r="2720">
      <x:c r="B2720" s="21" t="str">
        <x:v>A2714</x:v>
      </x:c>
      <x:c r="C2720" s="21" t="str">
        <x:v>rights</x:v>
      </x:c>
      <x:c r="D2720" s="21" t="str">
        <x:v>right 136 evidence open</x:v>
      </x:c>
      <x:c r="E2720" s="21" t="n">
        <x:f>IF('Rights Register'!I136="OPEN",1,0)</x:f>
        <x:v>1</x:v>
      </x:c>
      <x:c r="F2720" s="21" t="n">
        <x:v>1</x:v>
      </x:c>
      <x:c r="G2720" s="23" t="str">
        <x:f>IF(E2720=F2720,"PASS","FAIL")</x:f>
        <x:v>PASS</x:v>
      </x:c>
    </x:row>
    <x:row r="2721">
      <x:c r="B2721" s="21" t="str">
        <x:v>A2715</x:v>
      </x:c>
      <x:c r="C2721" s="21" t="str">
        <x:v>rights</x:v>
      </x:c>
      <x:c r="D2721" s="21" t="str">
        <x:v>right 136 zero credit</x:v>
      </x:c>
      <x:c r="E2721" s="21" t="n">
        <x:f>IF('Rights Register'!J136=0,1,0)</x:f>
        <x:v>1</x:v>
      </x:c>
      <x:c r="F2721" s="21" t="n">
        <x:v>1</x:v>
      </x:c>
      <x:c r="G2721" s="23" t="str">
        <x:f>IF(E2721=F2721,"PASS","FAIL")</x:f>
        <x:v>PASS</x:v>
      </x:c>
    </x:row>
    <x:row r="2722">
      <x:c r="B2722" s="21" t="str">
        <x:v>A2716</x:v>
      </x:c>
      <x:c r="C2722" s="21" t="str">
        <x:v>rights</x:v>
      </x:c>
      <x:c r="D2722" s="21" t="str">
        <x:v>right 137 required</x:v>
      </x:c>
      <x:c r="E2722" s="21" t="n">
        <x:f>IF('Rights Register'!G137=1,1,0)</x:f>
        <x:v>1</x:v>
      </x:c>
      <x:c r="F2722" s="21" t="n">
        <x:v>1</x:v>
      </x:c>
      <x:c r="G2722" s="23" t="str">
        <x:f>IF(E2722=F2722,"PASS","FAIL")</x:f>
        <x:v>PASS</x:v>
      </x:c>
    </x:row>
    <x:row r="2723">
      <x:c r="B2723" s="21" t="str">
        <x:v>A2717</x:v>
      </x:c>
      <x:c r="C2723" s="21" t="str">
        <x:v>rights</x:v>
      </x:c>
      <x:c r="D2723" s="21" t="str">
        <x:v>right 137 offered</x:v>
      </x:c>
      <x:c r="E2723" s="21" t="n">
        <x:f>IF('Rights Register'!H137=1,1,0)</x:f>
        <x:v>1</x:v>
      </x:c>
      <x:c r="F2723" s="21" t="n">
        <x:v>1</x:v>
      </x:c>
      <x:c r="G2723" s="23" t="str">
        <x:f>IF(E2723=F2723,"PASS","FAIL")</x:f>
        <x:v>PASS</x:v>
      </x:c>
    </x:row>
    <x:row r="2724">
      <x:c r="B2724" s="21" t="str">
        <x:v>A2718</x:v>
      </x:c>
      <x:c r="C2724" s="21" t="str">
        <x:v>rights</x:v>
      </x:c>
      <x:c r="D2724" s="21" t="str">
        <x:v>right 137 evidence open</x:v>
      </x:c>
      <x:c r="E2724" s="21" t="n">
        <x:f>IF('Rights Register'!I137="OPEN",1,0)</x:f>
        <x:v>1</x:v>
      </x:c>
      <x:c r="F2724" s="21" t="n">
        <x:v>1</x:v>
      </x:c>
      <x:c r="G2724" s="23" t="str">
        <x:f>IF(E2724=F2724,"PASS","FAIL")</x:f>
        <x:v>PASS</x:v>
      </x:c>
    </x:row>
    <x:row r="2725">
      <x:c r="B2725" s="21" t="str">
        <x:v>A2719</x:v>
      </x:c>
      <x:c r="C2725" s="21" t="str">
        <x:v>rights</x:v>
      </x:c>
      <x:c r="D2725" s="21" t="str">
        <x:v>right 137 zero credit</x:v>
      </x:c>
      <x:c r="E2725" s="21" t="n">
        <x:f>IF('Rights Register'!J137=0,1,0)</x:f>
        <x:v>1</x:v>
      </x:c>
      <x:c r="F2725" s="21" t="n">
        <x:v>1</x:v>
      </x:c>
      <x:c r="G2725" s="23" t="str">
        <x:f>IF(E2725=F2725,"PASS","FAIL")</x:f>
        <x:v>PASS</x:v>
      </x:c>
    </x:row>
    <x:row r="2726">
      <x:c r="B2726" s="21" t="str">
        <x:v>A2720</x:v>
      </x:c>
      <x:c r="C2726" s="21" t="str">
        <x:v>rights</x:v>
      </x:c>
      <x:c r="D2726" s="21" t="str">
        <x:v>right 138 required</x:v>
      </x:c>
      <x:c r="E2726" s="21" t="n">
        <x:f>IF('Rights Register'!G138=1,1,0)</x:f>
        <x:v>1</x:v>
      </x:c>
      <x:c r="F2726" s="21" t="n">
        <x:v>1</x:v>
      </x:c>
      <x:c r="G2726" s="23" t="str">
        <x:f>IF(E2726=F2726,"PASS","FAIL")</x:f>
        <x:v>PASS</x:v>
      </x:c>
    </x:row>
    <x:row r="2727">
      <x:c r="B2727" s="21" t="str">
        <x:v>A2721</x:v>
      </x:c>
      <x:c r="C2727" s="21" t="str">
        <x:v>rights</x:v>
      </x:c>
      <x:c r="D2727" s="21" t="str">
        <x:v>right 138 offered</x:v>
      </x:c>
      <x:c r="E2727" s="21" t="n">
        <x:f>IF('Rights Register'!H138=1,1,0)</x:f>
        <x:v>1</x:v>
      </x:c>
      <x:c r="F2727" s="21" t="n">
        <x:v>1</x:v>
      </x:c>
      <x:c r="G2727" s="23" t="str">
        <x:f>IF(E2727=F2727,"PASS","FAIL")</x:f>
        <x:v>PASS</x:v>
      </x:c>
    </x:row>
    <x:row r="2728">
      <x:c r="B2728" s="21" t="str">
        <x:v>A2722</x:v>
      </x:c>
      <x:c r="C2728" s="21" t="str">
        <x:v>rights</x:v>
      </x:c>
      <x:c r="D2728" s="21" t="str">
        <x:v>right 138 evidence open</x:v>
      </x:c>
      <x:c r="E2728" s="21" t="n">
        <x:f>IF('Rights Register'!I138="OPEN",1,0)</x:f>
        <x:v>1</x:v>
      </x:c>
      <x:c r="F2728" s="21" t="n">
        <x:v>1</x:v>
      </x:c>
      <x:c r="G2728" s="23" t="str">
        <x:f>IF(E2728=F2728,"PASS","FAIL")</x:f>
        <x:v>PASS</x:v>
      </x:c>
    </x:row>
    <x:row r="2729">
      <x:c r="B2729" s="21" t="str">
        <x:v>A2723</x:v>
      </x:c>
      <x:c r="C2729" s="21" t="str">
        <x:v>rights</x:v>
      </x:c>
      <x:c r="D2729" s="21" t="str">
        <x:v>right 138 zero credit</x:v>
      </x:c>
      <x:c r="E2729" s="21" t="n">
        <x:f>IF('Rights Register'!J138=0,1,0)</x:f>
        <x:v>1</x:v>
      </x:c>
      <x:c r="F2729" s="21" t="n">
        <x:v>1</x:v>
      </x:c>
      <x:c r="G2729" s="23" t="str">
        <x:f>IF(E2729=F2729,"PASS","FAIL")</x:f>
        <x:v>PASS</x:v>
      </x:c>
    </x:row>
    <x:row r="2730">
      <x:c r="B2730" s="21" t="str">
        <x:v>A2724</x:v>
      </x:c>
      <x:c r="C2730" s="21" t="str">
        <x:v>rights</x:v>
      </x:c>
      <x:c r="D2730" s="21" t="str">
        <x:v>right 139 required</x:v>
      </x:c>
      <x:c r="E2730" s="21" t="n">
        <x:f>IF('Rights Register'!G139=1,1,0)</x:f>
        <x:v>1</x:v>
      </x:c>
      <x:c r="F2730" s="21" t="n">
        <x:v>1</x:v>
      </x:c>
      <x:c r="G2730" s="23" t="str">
        <x:f>IF(E2730=F2730,"PASS","FAIL")</x:f>
        <x:v>PASS</x:v>
      </x:c>
    </x:row>
    <x:row r="2731">
      <x:c r="B2731" s="21" t="str">
        <x:v>A2725</x:v>
      </x:c>
      <x:c r="C2731" s="21" t="str">
        <x:v>rights</x:v>
      </x:c>
      <x:c r="D2731" s="21" t="str">
        <x:v>right 139 offered</x:v>
      </x:c>
      <x:c r="E2731" s="21" t="n">
        <x:f>IF('Rights Register'!H139=1,1,0)</x:f>
        <x:v>1</x:v>
      </x:c>
      <x:c r="F2731" s="21" t="n">
        <x:v>1</x:v>
      </x:c>
      <x:c r="G2731" s="23" t="str">
        <x:f>IF(E2731=F2731,"PASS","FAIL")</x:f>
        <x:v>PASS</x:v>
      </x:c>
    </x:row>
    <x:row r="2732">
      <x:c r="B2732" s="21" t="str">
        <x:v>A2726</x:v>
      </x:c>
      <x:c r="C2732" s="21" t="str">
        <x:v>rights</x:v>
      </x:c>
      <x:c r="D2732" s="21" t="str">
        <x:v>right 139 evidence open</x:v>
      </x:c>
      <x:c r="E2732" s="21" t="n">
        <x:f>IF('Rights Register'!I139="OPEN",1,0)</x:f>
        <x:v>1</x:v>
      </x:c>
      <x:c r="F2732" s="21" t="n">
        <x:v>1</x:v>
      </x:c>
      <x:c r="G2732" s="23" t="str">
        <x:f>IF(E2732=F2732,"PASS","FAIL")</x:f>
        <x:v>PASS</x:v>
      </x:c>
    </x:row>
    <x:row r="2733">
      <x:c r="B2733" s="21" t="str">
        <x:v>A2727</x:v>
      </x:c>
      <x:c r="C2733" s="21" t="str">
        <x:v>rights</x:v>
      </x:c>
      <x:c r="D2733" s="21" t="str">
        <x:v>right 139 zero credit</x:v>
      </x:c>
      <x:c r="E2733" s="21" t="n">
        <x:f>IF('Rights Register'!J139=0,1,0)</x:f>
        <x:v>1</x:v>
      </x:c>
      <x:c r="F2733" s="21" t="n">
        <x:v>1</x:v>
      </x:c>
      <x:c r="G2733" s="23" t="str">
        <x:f>IF(E2733=F2733,"PASS","FAIL")</x:f>
        <x:v>PASS</x:v>
      </x:c>
    </x:row>
    <x:row r="2734">
      <x:c r="B2734" s="21" t="str">
        <x:v>A2728</x:v>
      </x:c>
      <x:c r="C2734" s="21" t="str">
        <x:v>rights</x:v>
      </x:c>
      <x:c r="D2734" s="21" t="str">
        <x:v>right 140 required</x:v>
      </x:c>
      <x:c r="E2734" s="21" t="n">
        <x:f>IF('Rights Register'!G140=1,1,0)</x:f>
        <x:v>1</x:v>
      </x:c>
      <x:c r="F2734" s="21" t="n">
        <x:v>1</x:v>
      </x:c>
      <x:c r="G2734" s="23" t="str">
        <x:f>IF(E2734=F2734,"PASS","FAIL")</x:f>
        <x:v>PASS</x:v>
      </x:c>
    </x:row>
    <x:row r="2735">
      <x:c r="B2735" s="21" t="str">
        <x:v>A2729</x:v>
      </x:c>
      <x:c r="C2735" s="21" t="str">
        <x:v>rights</x:v>
      </x:c>
      <x:c r="D2735" s="21" t="str">
        <x:v>right 140 offered</x:v>
      </x:c>
      <x:c r="E2735" s="21" t="n">
        <x:f>IF('Rights Register'!H140=1,1,0)</x:f>
        <x:v>1</x:v>
      </x:c>
      <x:c r="F2735" s="21" t="n">
        <x:v>1</x:v>
      </x:c>
      <x:c r="G2735" s="23" t="str">
        <x:f>IF(E2735=F2735,"PASS","FAIL")</x:f>
        <x:v>PASS</x:v>
      </x:c>
    </x:row>
    <x:row r="2736">
      <x:c r="B2736" s="21" t="str">
        <x:v>A2730</x:v>
      </x:c>
      <x:c r="C2736" s="21" t="str">
        <x:v>rights</x:v>
      </x:c>
      <x:c r="D2736" s="21" t="str">
        <x:v>right 140 evidence open</x:v>
      </x:c>
      <x:c r="E2736" s="21" t="n">
        <x:f>IF('Rights Register'!I140="OPEN",1,0)</x:f>
        <x:v>1</x:v>
      </x:c>
      <x:c r="F2736" s="21" t="n">
        <x:v>1</x:v>
      </x:c>
      <x:c r="G2736" s="23" t="str">
        <x:f>IF(E2736=F2736,"PASS","FAIL")</x:f>
        <x:v>PASS</x:v>
      </x:c>
    </x:row>
    <x:row r="2737">
      <x:c r="B2737" s="21" t="str">
        <x:v>A2731</x:v>
      </x:c>
      <x:c r="C2737" s="21" t="str">
        <x:v>rights</x:v>
      </x:c>
      <x:c r="D2737" s="21" t="str">
        <x:v>right 140 zero credit</x:v>
      </x:c>
      <x:c r="E2737" s="21" t="n">
        <x:f>IF('Rights Register'!J140=0,1,0)</x:f>
        <x:v>1</x:v>
      </x:c>
      <x:c r="F2737" s="21" t="n">
        <x:v>1</x:v>
      </x:c>
      <x:c r="G2737" s="23" t="str">
        <x:f>IF(E2737=F2737,"PASS","FAIL")</x:f>
        <x:v>PASS</x:v>
      </x:c>
    </x:row>
    <x:row r="2738">
      <x:c r="B2738" s="21" t="str">
        <x:v>A2732</x:v>
      </x:c>
      <x:c r="C2738" s="21" t="str">
        <x:v>rights</x:v>
      </x:c>
      <x:c r="D2738" s="21" t="str">
        <x:v>right 141 required</x:v>
      </x:c>
      <x:c r="E2738" s="21" t="n">
        <x:f>IF('Rights Register'!G141=1,1,0)</x:f>
        <x:v>1</x:v>
      </x:c>
      <x:c r="F2738" s="21" t="n">
        <x:v>1</x:v>
      </x:c>
      <x:c r="G2738" s="23" t="str">
        <x:f>IF(E2738=F2738,"PASS","FAIL")</x:f>
        <x:v>PASS</x:v>
      </x:c>
    </x:row>
    <x:row r="2739">
      <x:c r="B2739" s="21" t="str">
        <x:v>A2733</x:v>
      </x:c>
      <x:c r="C2739" s="21" t="str">
        <x:v>rights</x:v>
      </x:c>
      <x:c r="D2739" s="21" t="str">
        <x:v>right 141 offered</x:v>
      </x:c>
      <x:c r="E2739" s="21" t="n">
        <x:f>IF('Rights Register'!H141=1,1,0)</x:f>
        <x:v>1</x:v>
      </x:c>
      <x:c r="F2739" s="21" t="n">
        <x:v>1</x:v>
      </x:c>
      <x:c r="G2739" s="23" t="str">
        <x:f>IF(E2739=F2739,"PASS","FAIL")</x:f>
        <x:v>PASS</x:v>
      </x:c>
    </x:row>
    <x:row r="2740">
      <x:c r="B2740" s="21" t="str">
        <x:v>A2734</x:v>
      </x:c>
      <x:c r="C2740" s="21" t="str">
        <x:v>rights</x:v>
      </x:c>
      <x:c r="D2740" s="21" t="str">
        <x:v>right 141 evidence open</x:v>
      </x:c>
      <x:c r="E2740" s="21" t="n">
        <x:f>IF('Rights Register'!I141="OPEN",1,0)</x:f>
        <x:v>1</x:v>
      </x:c>
      <x:c r="F2740" s="21" t="n">
        <x:v>1</x:v>
      </x:c>
      <x:c r="G2740" s="23" t="str">
        <x:f>IF(E2740=F2740,"PASS","FAIL")</x:f>
        <x:v>PASS</x:v>
      </x:c>
    </x:row>
    <x:row r="2741">
      <x:c r="B2741" s="21" t="str">
        <x:v>A2735</x:v>
      </x:c>
      <x:c r="C2741" s="21" t="str">
        <x:v>rights</x:v>
      </x:c>
      <x:c r="D2741" s="21" t="str">
        <x:v>right 141 zero credit</x:v>
      </x:c>
      <x:c r="E2741" s="21" t="n">
        <x:f>IF('Rights Register'!J141=0,1,0)</x:f>
        <x:v>1</x:v>
      </x:c>
      <x:c r="F2741" s="21" t="n">
        <x:v>1</x:v>
      </x:c>
      <x:c r="G2741" s="23" t="str">
        <x:f>IF(E2741=F2741,"PASS","FAIL")</x:f>
        <x:v>PASS</x:v>
      </x:c>
    </x:row>
    <x:row r="2742">
      <x:c r="B2742" s="21" t="str">
        <x:v>A2736</x:v>
      </x:c>
      <x:c r="C2742" s="21" t="str">
        <x:v>rights</x:v>
      </x:c>
      <x:c r="D2742" s="21" t="str">
        <x:v>right 142 required</x:v>
      </x:c>
      <x:c r="E2742" s="21" t="n">
        <x:f>IF('Rights Register'!G142=1,1,0)</x:f>
        <x:v>1</x:v>
      </x:c>
      <x:c r="F2742" s="21" t="n">
        <x:v>1</x:v>
      </x:c>
      <x:c r="G2742" s="23" t="str">
        <x:f>IF(E2742=F2742,"PASS","FAIL")</x:f>
        <x:v>PASS</x:v>
      </x:c>
    </x:row>
    <x:row r="2743">
      <x:c r="B2743" s="21" t="str">
        <x:v>A2737</x:v>
      </x:c>
      <x:c r="C2743" s="21" t="str">
        <x:v>rights</x:v>
      </x:c>
      <x:c r="D2743" s="21" t="str">
        <x:v>right 142 offered</x:v>
      </x:c>
      <x:c r="E2743" s="21" t="n">
        <x:f>IF('Rights Register'!H142=1,1,0)</x:f>
        <x:v>1</x:v>
      </x:c>
      <x:c r="F2743" s="21" t="n">
        <x:v>1</x:v>
      </x:c>
      <x:c r="G2743" s="23" t="str">
        <x:f>IF(E2743=F2743,"PASS","FAIL")</x:f>
        <x:v>PASS</x:v>
      </x:c>
    </x:row>
    <x:row r="2744">
      <x:c r="B2744" s="21" t="str">
        <x:v>A2738</x:v>
      </x:c>
      <x:c r="C2744" s="21" t="str">
        <x:v>rights</x:v>
      </x:c>
      <x:c r="D2744" s="21" t="str">
        <x:v>right 142 evidence open</x:v>
      </x:c>
      <x:c r="E2744" s="21" t="n">
        <x:f>IF('Rights Register'!I142="OPEN",1,0)</x:f>
        <x:v>1</x:v>
      </x:c>
      <x:c r="F2744" s="21" t="n">
        <x:v>1</x:v>
      </x:c>
      <x:c r="G2744" s="23" t="str">
        <x:f>IF(E2744=F2744,"PASS","FAIL")</x:f>
        <x:v>PASS</x:v>
      </x:c>
    </x:row>
    <x:row r="2745">
      <x:c r="B2745" s="21" t="str">
        <x:v>A2739</x:v>
      </x:c>
      <x:c r="C2745" s="21" t="str">
        <x:v>rights</x:v>
      </x:c>
      <x:c r="D2745" s="21" t="str">
        <x:v>right 142 zero credit</x:v>
      </x:c>
      <x:c r="E2745" s="21" t="n">
        <x:f>IF('Rights Register'!J142=0,1,0)</x:f>
        <x:v>1</x:v>
      </x:c>
      <x:c r="F2745" s="21" t="n">
        <x:v>1</x:v>
      </x:c>
      <x:c r="G2745" s="23" t="str">
        <x:f>IF(E2745=F2745,"PASS","FAIL")</x:f>
        <x:v>PASS</x:v>
      </x:c>
    </x:row>
    <x:row r="2746">
      <x:c r="B2746" s="21" t="str">
        <x:v>A2740</x:v>
      </x:c>
      <x:c r="C2746" s="21" t="str">
        <x:v>rights</x:v>
      </x:c>
      <x:c r="D2746" s="21" t="str">
        <x:v>right 143 required</x:v>
      </x:c>
      <x:c r="E2746" s="21" t="n">
        <x:f>IF('Rights Register'!G143=1,1,0)</x:f>
        <x:v>1</x:v>
      </x:c>
      <x:c r="F2746" s="21" t="n">
        <x:v>1</x:v>
      </x:c>
      <x:c r="G2746" s="23" t="str">
        <x:f>IF(E2746=F2746,"PASS","FAIL")</x:f>
        <x:v>PASS</x:v>
      </x:c>
    </x:row>
    <x:row r="2747">
      <x:c r="B2747" s="21" t="str">
        <x:v>A2741</x:v>
      </x:c>
      <x:c r="C2747" s="21" t="str">
        <x:v>rights</x:v>
      </x:c>
      <x:c r="D2747" s="21" t="str">
        <x:v>right 143 offered</x:v>
      </x:c>
      <x:c r="E2747" s="21" t="n">
        <x:f>IF('Rights Register'!H143=1,1,0)</x:f>
        <x:v>1</x:v>
      </x:c>
      <x:c r="F2747" s="21" t="n">
        <x:v>1</x:v>
      </x:c>
      <x:c r="G2747" s="23" t="str">
        <x:f>IF(E2747=F2747,"PASS","FAIL")</x:f>
        <x:v>PASS</x:v>
      </x:c>
    </x:row>
    <x:row r="2748">
      <x:c r="B2748" s="21" t="str">
        <x:v>A2742</x:v>
      </x:c>
      <x:c r="C2748" s="21" t="str">
        <x:v>rights</x:v>
      </x:c>
      <x:c r="D2748" s="21" t="str">
        <x:v>right 143 evidence open</x:v>
      </x:c>
      <x:c r="E2748" s="21" t="n">
        <x:f>IF('Rights Register'!I143="OPEN",1,0)</x:f>
        <x:v>1</x:v>
      </x:c>
      <x:c r="F2748" s="21" t="n">
        <x:v>1</x:v>
      </x:c>
      <x:c r="G2748" s="23" t="str">
        <x:f>IF(E2748=F2748,"PASS","FAIL")</x:f>
        <x:v>PASS</x:v>
      </x:c>
    </x:row>
    <x:row r="2749">
      <x:c r="B2749" s="21" t="str">
        <x:v>A2743</x:v>
      </x:c>
      <x:c r="C2749" s="21" t="str">
        <x:v>rights</x:v>
      </x:c>
      <x:c r="D2749" s="21" t="str">
        <x:v>right 143 zero credit</x:v>
      </x:c>
      <x:c r="E2749" s="21" t="n">
        <x:f>IF('Rights Register'!J143=0,1,0)</x:f>
        <x:v>1</x:v>
      </x:c>
      <x:c r="F2749" s="21" t="n">
        <x:v>1</x:v>
      </x:c>
      <x:c r="G2749" s="23" t="str">
        <x:f>IF(E2749=F2749,"PASS","FAIL")</x:f>
        <x:v>PASS</x:v>
      </x:c>
    </x:row>
    <x:row r="2750">
      <x:c r="B2750" s="21" t="str">
        <x:v>A2744</x:v>
      </x:c>
      <x:c r="C2750" s="21" t="str">
        <x:v>rights</x:v>
      </x:c>
      <x:c r="D2750" s="21" t="str">
        <x:v>right 144 required</x:v>
      </x:c>
      <x:c r="E2750" s="21" t="n">
        <x:f>IF('Rights Register'!G144=1,1,0)</x:f>
        <x:v>1</x:v>
      </x:c>
      <x:c r="F2750" s="21" t="n">
        <x:v>1</x:v>
      </x:c>
      <x:c r="G2750" s="23" t="str">
        <x:f>IF(E2750=F2750,"PASS","FAIL")</x:f>
        <x:v>PASS</x:v>
      </x:c>
    </x:row>
    <x:row r="2751">
      <x:c r="B2751" s="21" t="str">
        <x:v>A2745</x:v>
      </x:c>
      <x:c r="C2751" s="21" t="str">
        <x:v>rights</x:v>
      </x:c>
      <x:c r="D2751" s="21" t="str">
        <x:v>right 144 offered</x:v>
      </x:c>
      <x:c r="E2751" s="21" t="n">
        <x:f>IF('Rights Register'!H144=1,1,0)</x:f>
        <x:v>1</x:v>
      </x:c>
      <x:c r="F2751" s="21" t="n">
        <x:v>1</x:v>
      </x:c>
      <x:c r="G2751" s="23" t="str">
        <x:f>IF(E2751=F2751,"PASS","FAIL")</x:f>
        <x:v>PASS</x:v>
      </x:c>
    </x:row>
    <x:row r="2752">
      <x:c r="B2752" s="21" t="str">
        <x:v>A2746</x:v>
      </x:c>
      <x:c r="C2752" s="21" t="str">
        <x:v>rights</x:v>
      </x:c>
      <x:c r="D2752" s="21" t="str">
        <x:v>right 144 evidence open</x:v>
      </x:c>
      <x:c r="E2752" s="21" t="n">
        <x:f>IF('Rights Register'!I144="OPEN",1,0)</x:f>
        <x:v>1</x:v>
      </x:c>
      <x:c r="F2752" s="21" t="n">
        <x:v>1</x:v>
      </x:c>
      <x:c r="G2752" s="23" t="str">
        <x:f>IF(E2752=F2752,"PASS","FAIL")</x:f>
        <x:v>PASS</x:v>
      </x:c>
    </x:row>
    <x:row r="2753">
      <x:c r="B2753" s="21" t="str">
        <x:v>A2747</x:v>
      </x:c>
      <x:c r="C2753" s="21" t="str">
        <x:v>rights</x:v>
      </x:c>
      <x:c r="D2753" s="21" t="str">
        <x:v>right 144 zero credit</x:v>
      </x:c>
      <x:c r="E2753" s="21" t="n">
        <x:f>IF('Rights Register'!J144=0,1,0)</x:f>
        <x:v>1</x:v>
      </x:c>
      <x:c r="F2753" s="21" t="n">
        <x:v>1</x:v>
      </x:c>
      <x:c r="G2753" s="23" t="str">
        <x:f>IF(E2753=F2753,"PASS","FAIL")</x:f>
        <x:v>PASS</x:v>
      </x:c>
    </x:row>
    <x:row r="2754">
      <x:c r="B2754" s="21" t="str">
        <x:v>A2748</x:v>
      </x:c>
      <x:c r="C2754" s="21" t="str">
        <x:v>rights</x:v>
      </x:c>
      <x:c r="D2754" s="21" t="str">
        <x:v>right 145 required</x:v>
      </x:c>
      <x:c r="E2754" s="21" t="n">
        <x:f>IF('Rights Register'!G145=1,1,0)</x:f>
        <x:v>1</x:v>
      </x:c>
      <x:c r="F2754" s="21" t="n">
        <x:v>1</x:v>
      </x:c>
      <x:c r="G2754" s="23" t="str">
        <x:f>IF(E2754=F2754,"PASS","FAIL")</x:f>
        <x:v>PASS</x:v>
      </x:c>
    </x:row>
    <x:row r="2755">
      <x:c r="B2755" s="21" t="str">
        <x:v>A2749</x:v>
      </x:c>
      <x:c r="C2755" s="21" t="str">
        <x:v>rights</x:v>
      </x:c>
      <x:c r="D2755" s="21" t="str">
        <x:v>right 145 offered</x:v>
      </x:c>
      <x:c r="E2755" s="21" t="n">
        <x:f>IF('Rights Register'!H145=1,1,0)</x:f>
        <x:v>1</x:v>
      </x:c>
      <x:c r="F2755" s="21" t="n">
        <x:v>1</x:v>
      </x:c>
      <x:c r="G2755" s="23" t="str">
        <x:f>IF(E2755=F2755,"PASS","FAIL")</x:f>
        <x:v>PASS</x:v>
      </x:c>
    </x:row>
    <x:row r="2756">
      <x:c r="B2756" s="21" t="str">
        <x:v>A2750</x:v>
      </x:c>
      <x:c r="C2756" s="21" t="str">
        <x:v>rights</x:v>
      </x:c>
      <x:c r="D2756" s="21" t="str">
        <x:v>right 145 evidence open</x:v>
      </x:c>
      <x:c r="E2756" s="21" t="n">
        <x:f>IF('Rights Register'!I145="OPEN",1,0)</x:f>
        <x:v>1</x:v>
      </x:c>
      <x:c r="F2756" s="21" t="n">
        <x:v>1</x:v>
      </x:c>
      <x:c r="G2756" s="23" t="str">
        <x:f>IF(E2756=F2756,"PASS","FAIL")</x:f>
        <x:v>PASS</x:v>
      </x:c>
    </x:row>
    <x:row r="2757">
      <x:c r="B2757" s="21" t="str">
        <x:v>A2751</x:v>
      </x:c>
      <x:c r="C2757" s="21" t="str">
        <x:v>rights</x:v>
      </x:c>
      <x:c r="D2757" s="21" t="str">
        <x:v>right 145 zero credit</x:v>
      </x:c>
      <x:c r="E2757" s="21" t="n">
        <x:f>IF('Rights Register'!J145=0,1,0)</x:f>
        <x:v>1</x:v>
      </x:c>
      <x:c r="F2757" s="21" t="n">
        <x:v>1</x:v>
      </x:c>
      <x:c r="G2757" s="23" t="str">
        <x:f>IF(E2757=F2757,"PASS","FAIL")</x:f>
        <x:v>PASS</x:v>
      </x:c>
    </x:row>
    <x:row r="2758">
      <x:c r="B2758" s="21" t="str">
        <x:v>A2752</x:v>
      </x:c>
      <x:c r="C2758" s="21" t="str">
        <x:v>rights</x:v>
      </x:c>
      <x:c r="D2758" s="21" t="str">
        <x:v>right 146 required</x:v>
      </x:c>
      <x:c r="E2758" s="21" t="n">
        <x:f>IF('Rights Register'!G146=1,1,0)</x:f>
        <x:v>1</x:v>
      </x:c>
      <x:c r="F2758" s="21" t="n">
        <x:v>1</x:v>
      </x:c>
      <x:c r="G2758" s="23" t="str">
        <x:f>IF(E2758=F2758,"PASS","FAIL")</x:f>
        <x:v>PASS</x:v>
      </x:c>
    </x:row>
    <x:row r="2759">
      <x:c r="B2759" s="21" t="str">
        <x:v>A2753</x:v>
      </x:c>
      <x:c r="C2759" s="21" t="str">
        <x:v>rights</x:v>
      </x:c>
      <x:c r="D2759" s="21" t="str">
        <x:v>right 146 offered</x:v>
      </x:c>
      <x:c r="E2759" s="21" t="n">
        <x:f>IF('Rights Register'!H146=1,1,0)</x:f>
        <x:v>1</x:v>
      </x:c>
      <x:c r="F2759" s="21" t="n">
        <x:v>1</x:v>
      </x:c>
      <x:c r="G2759" s="23" t="str">
        <x:f>IF(E2759=F2759,"PASS","FAIL")</x:f>
        <x:v>PASS</x:v>
      </x:c>
    </x:row>
    <x:row r="2760">
      <x:c r="B2760" s="21" t="str">
        <x:v>A2754</x:v>
      </x:c>
      <x:c r="C2760" s="21" t="str">
        <x:v>rights</x:v>
      </x:c>
      <x:c r="D2760" s="21" t="str">
        <x:v>right 146 evidence open</x:v>
      </x:c>
      <x:c r="E2760" s="21" t="n">
        <x:f>IF('Rights Register'!I146="OPEN",1,0)</x:f>
        <x:v>1</x:v>
      </x:c>
      <x:c r="F2760" s="21" t="n">
        <x:v>1</x:v>
      </x:c>
      <x:c r="G2760" s="23" t="str">
        <x:f>IF(E2760=F2760,"PASS","FAIL")</x:f>
        <x:v>PASS</x:v>
      </x:c>
    </x:row>
    <x:row r="2761">
      <x:c r="B2761" s="21" t="str">
        <x:v>A2755</x:v>
      </x:c>
      <x:c r="C2761" s="21" t="str">
        <x:v>rights</x:v>
      </x:c>
      <x:c r="D2761" s="21" t="str">
        <x:v>right 146 zero credit</x:v>
      </x:c>
      <x:c r="E2761" s="21" t="n">
        <x:f>IF('Rights Register'!J146=0,1,0)</x:f>
        <x:v>1</x:v>
      </x:c>
      <x:c r="F2761" s="21" t="n">
        <x:v>1</x:v>
      </x:c>
      <x:c r="G2761" s="23" t="str">
        <x:f>IF(E2761=F2761,"PASS","FAIL")</x:f>
        <x:v>PASS</x:v>
      </x:c>
    </x:row>
    <x:row r="2762">
      <x:c r="B2762" s="21" t="str">
        <x:v>A2756</x:v>
      </x:c>
      <x:c r="C2762" s="21" t="str">
        <x:v>rights</x:v>
      </x:c>
      <x:c r="D2762" s="21" t="str">
        <x:v>right 147 required</x:v>
      </x:c>
      <x:c r="E2762" s="21" t="n">
        <x:f>IF('Rights Register'!G147=1,1,0)</x:f>
        <x:v>1</x:v>
      </x:c>
      <x:c r="F2762" s="21" t="n">
        <x:v>1</x:v>
      </x:c>
      <x:c r="G2762" s="23" t="str">
        <x:f>IF(E2762=F2762,"PASS","FAIL")</x:f>
        <x:v>PASS</x:v>
      </x:c>
    </x:row>
    <x:row r="2763">
      <x:c r="B2763" s="21" t="str">
        <x:v>A2757</x:v>
      </x:c>
      <x:c r="C2763" s="21" t="str">
        <x:v>rights</x:v>
      </x:c>
      <x:c r="D2763" s="21" t="str">
        <x:v>right 147 offered</x:v>
      </x:c>
      <x:c r="E2763" s="21" t="n">
        <x:f>IF('Rights Register'!H147=1,1,0)</x:f>
        <x:v>1</x:v>
      </x:c>
      <x:c r="F2763" s="21" t="n">
        <x:v>1</x:v>
      </x:c>
      <x:c r="G2763" s="23" t="str">
        <x:f>IF(E2763=F2763,"PASS","FAIL")</x:f>
        <x:v>PASS</x:v>
      </x:c>
    </x:row>
    <x:row r="2764">
      <x:c r="B2764" s="21" t="str">
        <x:v>A2758</x:v>
      </x:c>
      <x:c r="C2764" s="21" t="str">
        <x:v>rights</x:v>
      </x:c>
      <x:c r="D2764" s="21" t="str">
        <x:v>right 147 evidence open</x:v>
      </x:c>
      <x:c r="E2764" s="21" t="n">
        <x:f>IF('Rights Register'!I147="OPEN",1,0)</x:f>
        <x:v>1</x:v>
      </x:c>
      <x:c r="F2764" s="21" t="n">
        <x:v>1</x:v>
      </x:c>
      <x:c r="G2764" s="23" t="str">
        <x:f>IF(E2764=F2764,"PASS","FAIL")</x:f>
        <x:v>PASS</x:v>
      </x:c>
    </x:row>
    <x:row r="2765">
      <x:c r="B2765" s="21" t="str">
        <x:v>A2759</x:v>
      </x:c>
      <x:c r="C2765" s="21" t="str">
        <x:v>rights</x:v>
      </x:c>
      <x:c r="D2765" s="21" t="str">
        <x:v>right 147 zero credit</x:v>
      </x:c>
      <x:c r="E2765" s="21" t="n">
        <x:f>IF('Rights Register'!J147=0,1,0)</x:f>
        <x:v>1</x:v>
      </x:c>
      <x:c r="F2765" s="21" t="n">
        <x:v>1</x:v>
      </x:c>
      <x:c r="G2765" s="23" t="str">
        <x:f>IF(E2765=F2765,"PASS","FAIL")</x:f>
        <x:v>PASS</x:v>
      </x:c>
    </x:row>
    <x:row r="2766">
      <x:c r="B2766" s="21" t="str">
        <x:v>A2760</x:v>
      </x:c>
      <x:c r="C2766" s="21" t="str">
        <x:v>rights</x:v>
      </x:c>
      <x:c r="D2766" s="21" t="str">
        <x:v>right 148 required</x:v>
      </x:c>
      <x:c r="E2766" s="21" t="n">
        <x:f>IF('Rights Register'!G148=1,1,0)</x:f>
        <x:v>1</x:v>
      </x:c>
      <x:c r="F2766" s="21" t="n">
        <x:v>1</x:v>
      </x:c>
      <x:c r="G2766" s="23" t="str">
        <x:f>IF(E2766=F2766,"PASS","FAIL")</x:f>
        <x:v>PASS</x:v>
      </x:c>
    </x:row>
    <x:row r="2767">
      <x:c r="B2767" s="21" t="str">
        <x:v>A2761</x:v>
      </x:c>
      <x:c r="C2767" s="21" t="str">
        <x:v>rights</x:v>
      </x:c>
      <x:c r="D2767" s="21" t="str">
        <x:v>right 148 offered</x:v>
      </x:c>
      <x:c r="E2767" s="21" t="n">
        <x:f>IF('Rights Register'!H148=1,1,0)</x:f>
        <x:v>1</x:v>
      </x:c>
      <x:c r="F2767" s="21" t="n">
        <x:v>1</x:v>
      </x:c>
      <x:c r="G2767" s="23" t="str">
        <x:f>IF(E2767=F2767,"PASS","FAIL")</x:f>
        <x:v>PASS</x:v>
      </x:c>
    </x:row>
    <x:row r="2768">
      <x:c r="B2768" s="21" t="str">
        <x:v>A2762</x:v>
      </x:c>
      <x:c r="C2768" s="21" t="str">
        <x:v>rights</x:v>
      </x:c>
      <x:c r="D2768" s="21" t="str">
        <x:v>right 148 evidence open</x:v>
      </x:c>
      <x:c r="E2768" s="21" t="n">
        <x:f>IF('Rights Register'!I148="OPEN",1,0)</x:f>
        <x:v>1</x:v>
      </x:c>
      <x:c r="F2768" s="21" t="n">
        <x:v>1</x:v>
      </x:c>
      <x:c r="G2768" s="23" t="str">
        <x:f>IF(E2768=F2768,"PASS","FAIL")</x:f>
        <x:v>PASS</x:v>
      </x:c>
    </x:row>
    <x:row r="2769">
      <x:c r="B2769" s="21" t="str">
        <x:v>A2763</x:v>
      </x:c>
      <x:c r="C2769" s="21" t="str">
        <x:v>rights</x:v>
      </x:c>
      <x:c r="D2769" s="21" t="str">
        <x:v>right 148 zero credit</x:v>
      </x:c>
      <x:c r="E2769" s="21" t="n">
        <x:f>IF('Rights Register'!J148=0,1,0)</x:f>
        <x:v>1</x:v>
      </x:c>
      <x:c r="F2769" s="21" t="n">
        <x:v>1</x:v>
      </x:c>
      <x:c r="G2769" s="23" t="str">
        <x:f>IF(E2769=F2769,"PASS","FAIL")</x:f>
        <x:v>PASS</x:v>
      </x:c>
    </x:row>
    <x:row r="2770">
      <x:c r="B2770" s="21" t="str">
        <x:v>A2764</x:v>
      </x:c>
      <x:c r="C2770" s="21" t="str">
        <x:v>rights</x:v>
      </x:c>
      <x:c r="D2770" s="21" t="str">
        <x:v>right 149 required</x:v>
      </x:c>
      <x:c r="E2770" s="21" t="n">
        <x:f>IF('Rights Register'!G149=1,1,0)</x:f>
        <x:v>1</x:v>
      </x:c>
      <x:c r="F2770" s="21" t="n">
        <x:v>1</x:v>
      </x:c>
      <x:c r="G2770" s="23" t="str">
        <x:f>IF(E2770=F2770,"PASS","FAIL")</x:f>
        <x:v>PASS</x:v>
      </x:c>
    </x:row>
    <x:row r="2771">
      <x:c r="B2771" s="21" t="str">
        <x:v>A2765</x:v>
      </x:c>
      <x:c r="C2771" s="21" t="str">
        <x:v>rights</x:v>
      </x:c>
      <x:c r="D2771" s="21" t="str">
        <x:v>right 149 offered</x:v>
      </x:c>
      <x:c r="E2771" s="21" t="n">
        <x:f>IF('Rights Register'!H149=1,1,0)</x:f>
        <x:v>1</x:v>
      </x:c>
      <x:c r="F2771" s="21" t="n">
        <x:v>1</x:v>
      </x:c>
      <x:c r="G2771" s="23" t="str">
        <x:f>IF(E2771=F2771,"PASS","FAIL")</x:f>
        <x:v>PASS</x:v>
      </x:c>
    </x:row>
    <x:row r="2772">
      <x:c r="B2772" s="21" t="str">
        <x:v>A2766</x:v>
      </x:c>
      <x:c r="C2772" s="21" t="str">
        <x:v>rights</x:v>
      </x:c>
      <x:c r="D2772" s="21" t="str">
        <x:v>right 149 evidence open</x:v>
      </x:c>
      <x:c r="E2772" s="21" t="n">
        <x:f>IF('Rights Register'!I149="OPEN",1,0)</x:f>
        <x:v>1</x:v>
      </x:c>
      <x:c r="F2772" s="21" t="n">
        <x:v>1</x:v>
      </x:c>
      <x:c r="G2772" s="23" t="str">
        <x:f>IF(E2772=F2772,"PASS","FAIL")</x:f>
        <x:v>PASS</x:v>
      </x:c>
    </x:row>
    <x:row r="2773">
      <x:c r="B2773" s="21" t="str">
        <x:v>A2767</x:v>
      </x:c>
      <x:c r="C2773" s="21" t="str">
        <x:v>rights</x:v>
      </x:c>
      <x:c r="D2773" s="21" t="str">
        <x:v>right 149 zero credit</x:v>
      </x:c>
      <x:c r="E2773" s="21" t="n">
        <x:f>IF('Rights Register'!J149=0,1,0)</x:f>
        <x:v>1</x:v>
      </x:c>
      <x:c r="F2773" s="21" t="n">
        <x:v>1</x:v>
      </x:c>
      <x:c r="G2773" s="23" t="str">
        <x:f>IF(E2773=F2773,"PASS","FAIL")</x:f>
        <x:v>PASS</x:v>
      </x:c>
    </x:row>
    <x:row r="2774">
      <x:c r="B2774" s="21" t="str">
        <x:v>A2768</x:v>
      </x:c>
      <x:c r="C2774" s="21" t="str">
        <x:v>rights</x:v>
      </x:c>
      <x:c r="D2774" s="21" t="str">
        <x:v>right 150 required</x:v>
      </x:c>
      <x:c r="E2774" s="21" t="n">
        <x:f>IF('Rights Register'!G150=1,1,0)</x:f>
        <x:v>1</x:v>
      </x:c>
      <x:c r="F2774" s="21" t="n">
        <x:v>1</x:v>
      </x:c>
      <x:c r="G2774" s="23" t="str">
        <x:f>IF(E2774=F2774,"PASS","FAIL")</x:f>
        <x:v>PASS</x:v>
      </x:c>
    </x:row>
    <x:row r="2775">
      <x:c r="B2775" s="21" t="str">
        <x:v>A2769</x:v>
      </x:c>
      <x:c r="C2775" s="21" t="str">
        <x:v>rights</x:v>
      </x:c>
      <x:c r="D2775" s="21" t="str">
        <x:v>right 150 offered</x:v>
      </x:c>
      <x:c r="E2775" s="21" t="n">
        <x:f>IF('Rights Register'!H150=1,1,0)</x:f>
        <x:v>1</x:v>
      </x:c>
      <x:c r="F2775" s="21" t="n">
        <x:v>1</x:v>
      </x:c>
      <x:c r="G2775" s="23" t="str">
        <x:f>IF(E2775=F2775,"PASS","FAIL")</x:f>
        <x:v>PASS</x:v>
      </x:c>
    </x:row>
    <x:row r="2776">
      <x:c r="B2776" s="21" t="str">
        <x:v>A2770</x:v>
      </x:c>
      <x:c r="C2776" s="21" t="str">
        <x:v>rights</x:v>
      </x:c>
      <x:c r="D2776" s="21" t="str">
        <x:v>right 150 evidence open</x:v>
      </x:c>
      <x:c r="E2776" s="21" t="n">
        <x:f>IF('Rights Register'!I150="OPEN",1,0)</x:f>
        <x:v>1</x:v>
      </x:c>
      <x:c r="F2776" s="21" t="n">
        <x:v>1</x:v>
      </x:c>
      <x:c r="G2776" s="23" t="str">
        <x:f>IF(E2776=F2776,"PASS","FAIL")</x:f>
        <x:v>PASS</x:v>
      </x:c>
    </x:row>
    <x:row r="2777">
      <x:c r="B2777" s="21" t="str">
        <x:v>A2771</x:v>
      </x:c>
      <x:c r="C2777" s="21" t="str">
        <x:v>rights</x:v>
      </x:c>
      <x:c r="D2777" s="21" t="str">
        <x:v>right 150 zero credit</x:v>
      </x:c>
      <x:c r="E2777" s="21" t="n">
        <x:f>IF('Rights Register'!J150=0,1,0)</x:f>
        <x:v>1</x:v>
      </x:c>
      <x:c r="F2777" s="21" t="n">
        <x:v>1</x:v>
      </x:c>
      <x:c r="G2777" s="23" t="str">
        <x:f>IF(E2777=F2777,"PASS","FAIL")</x:f>
        <x:v>PASS</x:v>
      </x:c>
    </x:row>
    <x:row r="2778">
      <x:c r="B2778" s="21" t="str">
        <x:v>A2772</x:v>
      </x:c>
      <x:c r="C2778" s="21" t="str">
        <x:v>rights</x:v>
      </x:c>
      <x:c r="D2778" s="21" t="str">
        <x:v>right 151 required</x:v>
      </x:c>
      <x:c r="E2778" s="21" t="n">
        <x:f>IF('Rights Register'!G151=1,1,0)</x:f>
        <x:v>1</x:v>
      </x:c>
      <x:c r="F2778" s="21" t="n">
        <x:v>1</x:v>
      </x:c>
      <x:c r="G2778" s="23" t="str">
        <x:f>IF(E2778=F2778,"PASS","FAIL")</x:f>
        <x:v>PASS</x:v>
      </x:c>
    </x:row>
    <x:row r="2779">
      <x:c r="B2779" s="21" t="str">
        <x:v>A2773</x:v>
      </x:c>
      <x:c r="C2779" s="21" t="str">
        <x:v>rights</x:v>
      </x:c>
      <x:c r="D2779" s="21" t="str">
        <x:v>right 151 offered</x:v>
      </x:c>
      <x:c r="E2779" s="21" t="n">
        <x:f>IF('Rights Register'!H151=1,1,0)</x:f>
        <x:v>1</x:v>
      </x:c>
      <x:c r="F2779" s="21" t="n">
        <x:v>1</x:v>
      </x:c>
      <x:c r="G2779" s="23" t="str">
        <x:f>IF(E2779=F2779,"PASS","FAIL")</x:f>
        <x:v>PASS</x:v>
      </x:c>
    </x:row>
    <x:row r="2780">
      <x:c r="B2780" s="21" t="str">
        <x:v>A2774</x:v>
      </x:c>
      <x:c r="C2780" s="21" t="str">
        <x:v>rights</x:v>
      </x:c>
      <x:c r="D2780" s="21" t="str">
        <x:v>right 151 evidence open</x:v>
      </x:c>
      <x:c r="E2780" s="21" t="n">
        <x:f>IF('Rights Register'!I151="OPEN",1,0)</x:f>
        <x:v>1</x:v>
      </x:c>
      <x:c r="F2780" s="21" t="n">
        <x:v>1</x:v>
      </x:c>
      <x:c r="G2780" s="23" t="str">
        <x:f>IF(E2780=F2780,"PASS","FAIL")</x:f>
        <x:v>PASS</x:v>
      </x:c>
    </x:row>
    <x:row r="2781">
      <x:c r="B2781" s="21" t="str">
        <x:v>A2775</x:v>
      </x:c>
      <x:c r="C2781" s="21" t="str">
        <x:v>rights</x:v>
      </x:c>
      <x:c r="D2781" s="21" t="str">
        <x:v>right 151 zero credit</x:v>
      </x:c>
      <x:c r="E2781" s="21" t="n">
        <x:f>IF('Rights Register'!J151=0,1,0)</x:f>
        <x:v>1</x:v>
      </x:c>
      <x:c r="F2781" s="21" t="n">
        <x:v>1</x:v>
      </x:c>
      <x:c r="G2781" s="23" t="str">
        <x:f>IF(E2781=F2781,"PASS","FAIL")</x:f>
        <x:v>PASS</x:v>
      </x:c>
    </x:row>
    <x:row r="2782">
      <x:c r="B2782" s="21" t="str">
        <x:v>A2776</x:v>
      </x:c>
      <x:c r="C2782" s="21" t="str">
        <x:v>rights</x:v>
      </x:c>
      <x:c r="D2782" s="21" t="str">
        <x:v>right 152 required</x:v>
      </x:c>
      <x:c r="E2782" s="21" t="n">
        <x:f>IF('Rights Register'!G152=1,1,0)</x:f>
        <x:v>1</x:v>
      </x:c>
      <x:c r="F2782" s="21" t="n">
        <x:v>1</x:v>
      </x:c>
      <x:c r="G2782" s="23" t="str">
        <x:f>IF(E2782=F2782,"PASS","FAIL")</x:f>
        <x:v>PASS</x:v>
      </x:c>
    </x:row>
    <x:row r="2783">
      <x:c r="B2783" s="21" t="str">
        <x:v>A2777</x:v>
      </x:c>
      <x:c r="C2783" s="21" t="str">
        <x:v>rights</x:v>
      </x:c>
      <x:c r="D2783" s="21" t="str">
        <x:v>right 152 offered</x:v>
      </x:c>
      <x:c r="E2783" s="21" t="n">
        <x:f>IF('Rights Register'!H152=1,1,0)</x:f>
        <x:v>1</x:v>
      </x:c>
      <x:c r="F2783" s="21" t="n">
        <x:v>1</x:v>
      </x:c>
      <x:c r="G2783" s="23" t="str">
        <x:f>IF(E2783=F2783,"PASS","FAIL")</x:f>
        <x:v>PASS</x:v>
      </x:c>
    </x:row>
    <x:row r="2784">
      <x:c r="B2784" s="21" t="str">
        <x:v>A2778</x:v>
      </x:c>
      <x:c r="C2784" s="21" t="str">
        <x:v>rights</x:v>
      </x:c>
      <x:c r="D2784" s="21" t="str">
        <x:v>right 152 evidence open</x:v>
      </x:c>
      <x:c r="E2784" s="21" t="n">
        <x:f>IF('Rights Register'!I152="OPEN",1,0)</x:f>
        <x:v>1</x:v>
      </x:c>
      <x:c r="F2784" s="21" t="n">
        <x:v>1</x:v>
      </x:c>
      <x:c r="G2784" s="23" t="str">
        <x:f>IF(E2784=F2784,"PASS","FAIL")</x:f>
        <x:v>PASS</x:v>
      </x:c>
    </x:row>
    <x:row r="2785">
      <x:c r="B2785" s="21" t="str">
        <x:v>A2779</x:v>
      </x:c>
      <x:c r="C2785" s="21" t="str">
        <x:v>rights</x:v>
      </x:c>
      <x:c r="D2785" s="21" t="str">
        <x:v>right 152 zero credit</x:v>
      </x:c>
      <x:c r="E2785" s="21" t="n">
        <x:f>IF('Rights Register'!J152=0,1,0)</x:f>
        <x:v>1</x:v>
      </x:c>
      <x:c r="F2785" s="21" t="n">
        <x:v>1</x:v>
      </x:c>
      <x:c r="G2785" s="23" t="str">
        <x:f>IF(E2785=F2785,"PASS","FAIL")</x:f>
        <x:v>PASS</x:v>
      </x:c>
    </x:row>
    <x:row r="2786">
      <x:c r="B2786" s="21" t="str">
        <x:v>A2780</x:v>
      </x:c>
      <x:c r="C2786" s="21" t="str">
        <x:v>rights</x:v>
      </x:c>
      <x:c r="D2786" s="21" t="str">
        <x:v>right 153 required</x:v>
      </x:c>
      <x:c r="E2786" s="21" t="n">
        <x:f>IF('Rights Register'!G153=1,1,0)</x:f>
        <x:v>1</x:v>
      </x:c>
      <x:c r="F2786" s="21" t="n">
        <x:v>1</x:v>
      </x:c>
      <x:c r="G2786" s="23" t="str">
        <x:f>IF(E2786=F2786,"PASS","FAIL")</x:f>
        <x:v>PASS</x:v>
      </x:c>
    </x:row>
    <x:row r="2787">
      <x:c r="B2787" s="21" t="str">
        <x:v>A2781</x:v>
      </x:c>
      <x:c r="C2787" s="21" t="str">
        <x:v>rights</x:v>
      </x:c>
      <x:c r="D2787" s="21" t="str">
        <x:v>right 153 offered</x:v>
      </x:c>
      <x:c r="E2787" s="21" t="n">
        <x:f>IF('Rights Register'!H153=1,1,0)</x:f>
        <x:v>1</x:v>
      </x:c>
      <x:c r="F2787" s="21" t="n">
        <x:v>1</x:v>
      </x:c>
      <x:c r="G2787" s="23" t="str">
        <x:f>IF(E2787=F2787,"PASS","FAIL")</x:f>
        <x:v>PASS</x:v>
      </x:c>
    </x:row>
    <x:row r="2788">
      <x:c r="B2788" s="21" t="str">
        <x:v>A2782</x:v>
      </x:c>
      <x:c r="C2788" s="21" t="str">
        <x:v>rights</x:v>
      </x:c>
      <x:c r="D2788" s="21" t="str">
        <x:v>right 153 evidence open</x:v>
      </x:c>
      <x:c r="E2788" s="21" t="n">
        <x:f>IF('Rights Register'!I153="OPEN",1,0)</x:f>
        <x:v>1</x:v>
      </x:c>
      <x:c r="F2788" s="21" t="n">
        <x:v>1</x:v>
      </x:c>
      <x:c r="G2788" s="23" t="str">
        <x:f>IF(E2788=F2788,"PASS","FAIL")</x:f>
        <x:v>PASS</x:v>
      </x:c>
    </x:row>
    <x:row r="2789">
      <x:c r="B2789" s="21" t="str">
        <x:v>A2783</x:v>
      </x:c>
      <x:c r="C2789" s="21" t="str">
        <x:v>rights</x:v>
      </x:c>
      <x:c r="D2789" s="21" t="str">
        <x:v>right 153 zero credit</x:v>
      </x:c>
      <x:c r="E2789" s="21" t="n">
        <x:f>IF('Rights Register'!J153=0,1,0)</x:f>
        <x:v>1</x:v>
      </x:c>
      <x:c r="F2789" s="21" t="n">
        <x:v>1</x:v>
      </x:c>
      <x:c r="G2789" s="23" t="str">
        <x:f>IF(E2789=F2789,"PASS","FAIL")</x:f>
        <x:v>PASS</x:v>
      </x:c>
    </x:row>
    <x:row r="2790">
      <x:c r="B2790" s="21" t="str">
        <x:v>A2784</x:v>
      </x:c>
      <x:c r="C2790" s="21" t="str">
        <x:v>rights</x:v>
      </x:c>
      <x:c r="D2790" s="21" t="str">
        <x:v>right 154 required</x:v>
      </x:c>
      <x:c r="E2790" s="21" t="n">
        <x:f>IF('Rights Register'!G154=1,1,0)</x:f>
        <x:v>1</x:v>
      </x:c>
      <x:c r="F2790" s="21" t="n">
        <x:v>1</x:v>
      </x:c>
      <x:c r="G2790" s="23" t="str">
        <x:f>IF(E2790=F2790,"PASS","FAIL")</x:f>
        <x:v>PASS</x:v>
      </x:c>
    </x:row>
    <x:row r="2791">
      <x:c r="B2791" s="21" t="str">
        <x:v>A2785</x:v>
      </x:c>
      <x:c r="C2791" s="21" t="str">
        <x:v>rights</x:v>
      </x:c>
      <x:c r="D2791" s="21" t="str">
        <x:v>right 154 offered</x:v>
      </x:c>
      <x:c r="E2791" s="21" t="n">
        <x:f>IF('Rights Register'!H154=1,1,0)</x:f>
        <x:v>1</x:v>
      </x:c>
      <x:c r="F2791" s="21" t="n">
        <x:v>1</x:v>
      </x:c>
      <x:c r="G2791" s="23" t="str">
        <x:f>IF(E2791=F2791,"PASS","FAIL")</x:f>
        <x:v>PASS</x:v>
      </x:c>
    </x:row>
    <x:row r="2792">
      <x:c r="B2792" s="21" t="str">
        <x:v>A2786</x:v>
      </x:c>
      <x:c r="C2792" s="21" t="str">
        <x:v>rights</x:v>
      </x:c>
      <x:c r="D2792" s="21" t="str">
        <x:v>right 154 evidence open</x:v>
      </x:c>
      <x:c r="E2792" s="21" t="n">
        <x:f>IF('Rights Register'!I154="OPEN",1,0)</x:f>
        <x:v>1</x:v>
      </x:c>
      <x:c r="F2792" s="21" t="n">
        <x:v>1</x:v>
      </x:c>
      <x:c r="G2792" s="23" t="str">
        <x:f>IF(E2792=F2792,"PASS","FAIL")</x:f>
        <x:v>PASS</x:v>
      </x:c>
    </x:row>
    <x:row r="2793">
      <x:c r="B2793" s="21" t="str">
        <x:v>A2787</x:v>
      </x:c>
      <x:c r="C2793" s="21" t="str">
        <x:v>rights</x:v>
      </x:c>
      <x:c r="D2793" s="21" t="str">
        <x:v>right 154 zero credit</x:v>
      </x:c>
      <x:c r="E2793" s="21" t="n">
        <x:f>IF('Rights Register'!J154=0,1,0)</x:f>
        <x:v>1</x:v>
      </x:c>
      <x:c r="F2793" s="21" t="n">
        <x:v>1</x:v>
      </x:c>
      <x:c r="G2793" s="23" t="str">
        <x:f>IF(E2793=F2793,"PASS","FAIL")</x:f>
        <x:v>PASS</x:v>
      </x:c>
    </x:row>
    <x:row r="2794">
      <x:c r="B2794" s="21" t="str">
        <x:v>A2788</x:v>
      </x:c>
      <x:c r="C2794" s="21" t="str">
        <x:v>rights</x:v>
      </x:c>
      <x:c r="D2794" s="21" t="str">
        <x:v>right 155 required</x:v>
      </x:c>
      <x:c r="E2794" s="21" t="n">
        <x:f>IF('Rights Register'!G155=1,1,0)</x:f>
        <x:v>1</x:v>
      </x:c>
      <x:c r="F2794" s="21" t="n">
        <x:v>1</x:v>
      </x:c>
      <x:c r="G2794" s="23" t="str">
        <x:f>IF(E2794=F2794,"PASS","FAIL")</x:f>
        <x:v>PASS</x:v>
      </x:c>
    </x:row>
    <x:row r="2795">
      <x:c r="B2795" s="21" t="str">
        <x:v>A2789</x:v>
      </x:c>
      <x:c r="C2795" s="21" t="str">
        <x:v>rights</x:v>
      </x:c>
      <x:c r="D2795" s="21" t="str">
        <x:v>right 155 offered</x:v>
      </x:c>
      <x:c r="E2795" s="21" t="n">
        <x:f>IF('Rights Register'!H155=1,1,0)</x:f>
        <x:v>1</x:v>
      </x:c>
      <x:c r="F2795" s="21" t="n">
        <x:v>1</x:v>
      </x:c>
      <x:c r="G2795" s="23" t="str">
        <x:f>IF(E2795=F2795,"PASS","FAIL")</x:f>
        <x:v>PASS</x:v>
      </x:c>
    </x:row>
    <x:row r="2796">
      <x:c r="B2796" s="21" t="str">
        <x:v>A2790</x:v>
      </x:c>
      <x:c r="C2796" s="21" t="str">
        <x:v>rights</x:v>
      </x:c>
      <x:c r="D2796" s="21" t="str">
        <x:v>right 155 evidence open</x:v>
      </x:c>
      <x:c r="E2796" s="21" t="n">
        <x:f>IF('Rights Register'!I155="OPEN",1,0)</x:f>
        <x:v>1</x:v>
      </x:c>
      <x:c r="F2796" s="21" t="n">
        <x:v>1</x:v>
      </x:c>
      <x:c r="G2796" s="23" t="str">
        <x:f>IF(E2796=F2796,"PASS","FAIL")</x:f>
        <x:v>PASS</x:v>
      </x:c>
    </x:row>
    <x:row r="2797">
      <x:c r="B2797" s="21" t="str">
        <x:v>A2791</x:v>
      </x:c>
      <x:c r="C2797" s="21" t="str">
        <x:v>rights</x:v>
      </x:c>
      <x:c r="D2797" s="21" t="str">
        <x:v>right 155 zero credit</x:v>
      </x:c>
      <x:c r="E2797" s="21" t="n">
        <x:f>IF('Rights Register'!J155=0,1,0)</x:f>
        <x:v>1</x:v>
      </x:c>
      <x:c r="F2797" s="21" t="n">
        <x:v>1</x:v>
      </x:c>
      <x:c r="G2797" s="23" t="str">
        <x:f>IF(E2797=F2797,"PASS","FAIL")</x:f>
        <x:v>PASS</x:v>
      </x:c>
    </x:row>
    <x:row r="2798">
      <x:c r="B2798" s="21" t="str">
        <x:v>A2792</x:v>
      </x:c>
      <x:c r="C2798" s="21" t="str">
        <x:v>rights</x:v>
      </x:c>
      <x:c r="D2798" s="21" t="str">
        <x:v>right 156 required</x:v>
      </x:c>
      <x:c r="E2798" s="21" t="n">
        <x:f>IF('Rights Register'!G156=1,1,0)</x:f>
        <x:v>1</x:v>
      </x:c>
      <x:c r="F2798" s="21" t="n">
        <x:v>1</x:v>
      </x:c>
      <x:c r="G2798" s="23" t="str">
        <x:f>IF(E2798=F2798,"PASS","FAIL")</x:f>
        <x:v>PASS</x:v>
      </x:c>
    </x:row>
    <x:row r="2799">
      <x:c r="B2799" s="21" t="str">
        <x:v>A2793</x:v>
      </x:c>
      <x:c r="C2799" s="21" t="str">
        <x:v>rights</x:v>
      </x:c>
      <x:c r="D2799" s="21" t="str">
        <x:v>right 156 offered</x:v>
      </x:c>
      <x:c r="E2799" s="21" t="n">
        <x:f>IF('Rights Register'!H156=1,1,0)</x:f>
        <x:v>1</x:v>
      </x:c>
      <x:c r="F2799" s="21" t="n">
        <x:v>1</x:v>
      </x:c>
      <x:c r="G2799" s="23" t="str">
        <x:f>IF(E2799=F2799,"PASS","FAIL")</x:f>
        <x:v>PASS</x:v>
      </x:c>
    </x:row>
    <x:row r="2800">
      <x:c r="B2800" s="21" t="str">
        <x:v>A2794</x:v>
      </x:c>
      <x:c r="C2800" s="21" t="str">
        <x:v>rights</x:v>
      </x:c>
      <x:c r="D2800" s="21" t="str">
        <x:v>right 156 evidence open</x:v>
      </x:c>
      <x:c r="E2800" s="21" t="n">
        <x:f>IF('Rights Register'!I156="OPEN",1,0)</x:f>
        <x:v>1</x:v>
      </x:c>
      <x:c r="F2800" s="21" t="n">
        <x:v>1</x:v>
      </x:c>
      <x:c r="G2800" s="23" t="str">
        <x:f>IF(E2800=F2800,"PASS","FAIL")</x:f>
        <x:v>PASS</x:v>
      </x:c>
    </x:row>
    <x:row r="2801">
      <x:c r="B2801" s="21" t="str">
        <x:v>A2795</x:v>
      </x:c>
      <x:c r="C2801" s="21" t="str">
        <x:v>rights</x:v>
      </x:c>
      <x:c r="D2801" s="21" t="str">
        <x:v>right 156 zero credit</x:v>
      </x:c>
      <x:c r="E2801" s="21" t="n">
        <x:f>IF('Rights Register'!J156=0,1,0)</x:f>
        <x:v>1</x:v>
      </x:c>
      <x:c r="F2801" s="21" t="n">
        <x:v>1</x:v>
      </x:c>
      <x:c r="G2801" s="23" t="str">
        <x:f>IF(E2801=F2801,"PASS","FAIL")</x:f>
        <x:v>PASS</x:v>
      </x:c>
    </x:row>
    <x:row r="2802">
      <x:c r="B2802" s="21" t="str">
        <x:v>A2796</x:v>
      </x:c>
      <x:c r="C2802" s="21" t="str">
        <x:v>rights</x:v>
      </x:c>
      <x:c r="D2802" s="21" t="str">
        <x:v>right 157 required</x:v>
      </x:c>
      <x:c r="E2802" s="21" t="n">
        <x:f>IF('Rights Register'!G157=1,1,0)</x:f>
        <x:v>1</x:v>
      </x:c>
      <x:c r="F2802" s="21" t="n">
        <x:v>1</x:v>
      </x:c>
      <x:c r="G2802" s="23" t="str">
        <x:f>IF(E2802=F2802,"PASS","FAIL")</x:f>
        <x:v>PASS</x:v>
      </x:c>
    </x:row>
    <x:row r="2803">
      <x:c r="B2803" s="21" t="str">
        <x:v>A2797</x:v>
      </x:c>
      <x:c r="C2803" s="21" t="str">
        <x:v>rights</x:v>
      </x:c>
      <x:c r="D2803" s="21" t="str">
        <x:v>right 157 offered</x:v>
      </x:c>
      <x:c r="E2803" s="21" t="n">
        <x:f>IF('Rights Register'!H157=1,1,0)</x:f>
        <x:v>1</x:v>
      </x:c>
      <x:c r="F2803" s="21" t="n">
        <x:v>1</x:v>
      </x:c>
      <x:c r="G2803" s="23" t="str">
        <x:f>IF(E2803=F2803,"PASS","FAIL")</x:f>
        <x:v>PASS</x:v>
      </x:c>
    </x:row>
    <x:row r="2804">
      <x:c r="B2804" s="21" t="str">
        <x:v>A2798</x:v>
      </x:c>
      <x:c r="C2804" s="21" t="str">
        <x:v>rights</x:v>
      </x:c>
      <x:c r="D2804" s="21" t="str">
        <x:v>right 157 evidence open</x:v>
      </x:c>
      <x:c r="E2804" s="21" t="n">
        <x:f>IF('Rights Register'!I157="OPEN",1,0)</x:f>
        <x:v>1</x:v>
      </x:c>
      <x:c r="F2804" s="21" t="n">
        <x:v>1</x:v>
      </x:c>
      <x:c r="G2804" s="23" t="str">
        <x:f>IF(E2804=F2804,"PASS","FAIL")</x:f>
        <x:v>PASS</x:v>
      </x:c>
    </x:row>
    <x:row r="2805">
      <x:c r="B2805" s="21" t="str">
        <x:v>A2799</x:v>
      </x:c>
      <x:c r="C2805" s="21" t="str">
        <x:v>rights</x:v>
      </x:c>
      <x:c r="D2805" s="21" t="str">
        <x:v>right 157 zero credit</x:v>
      </x:c>
      <x:c r="E2805" s="21" t="n">
        <x:f>IF('Rights Register'!J157=0,1,0)</x:f>
        <x:v>1</x:v>
      </x:c>
      <x:c r="F2805" s="21" t="n">
        <x:v>1</x:v>
      </x:c>
      <x:c r="G2805" s="23" t="str">
        <x:f>IF(E2805=F2805,"PASS","FAIL")</x:f>
        <x:v>PASS</x:v>
      </x:c>
    </x:row>
    <x:row r="2806">
      <x:c r="B2806" s="21" t="str">
        <x:v>A2800</x:v>
      </x:c>
      <x:c r="C2806" s="21" t="str">
        <x:v>rights</x:v>
      </x:c>
      <x:c r="D2806" s="21" t="str">
        <x:v>right 158 required</x:v>
      </x:c>
      <x:c r="E2806" s="21" t="n">
        <x:f>IF('Rights Register'!G158=1,1,0)</x:f>
        <x:v>1</x:v>
      </x:c>
      <x:c r="F2806" s="21" t="n">
        <x:v>1</x:v>
      </x:c>
      <x:c r="G2806" s="23" t="str">
        <x:f>IF(E2806=F2806,"PASS","FAIL")</x:f>
        <x:v>PASS</x:v>
      </x:c>
    </x:row>
    <x:row r="2807">
      <x:c r="B2807" s="21" t="str">
        <x:v>A2801</x:v>
      </x:c>
      <x:c r="C2807" s="21" t="str">
        <x:v>rights</x:v>
      </x:c>
      <x:c r="D2807" s="21" t="str">
        <x:v>right 158 offered</x:v>
      </x:c>
      <x:c r="E2807" s="21" t="n">
        <x:f>IF('Rights Register'!H158=1,1,0)</x:f>
        <x:v>1</x:v>
      </x:c>
      <x:c r="F2807" s="21" t="n">
        <x:v>1</x:v>
      </x:c>
      <x:c r="G2807" s="23" t="str">
        <x:f>IF(E2807=F2807,"PASS","FAIL")</x:f>
        <x:v>PASS</x:v>
      </x:c>
    </x:row>
    <x:row r="2808">
      <x:c r="B2808" s="21" t="str">
        <x:v>A2802</x:v>
      </x:c>
      <x:c r="C2808" s="21" t="str">
        <x:v>rights</x:v>
      </x:c>
      <x:c r="D2808" s="21" t="str">
        <x:v>right 158 evidence open</x:v>
      </x:c>
      <x:c r="E2808" s="21" t="n">
        <x:f>IF('Rights Register'!I158="OPEN",1,0)</x:f>
        <x:v>1</x:v>
      </x:c>
      <x:c r="F2808" s="21" t="n">
        <x:v>1</x:v>
      </x:c>
      <x:c r="G2808" s="23" t="str">
        <x:f>IF(E2808=F2808,"PASS","FAIL")</x:f>
        <x:v>PASS</x:v>
      </x:c>
    </x:row>
    <x:row r="2809">
      <x:c r="B2809" s="21" t="str">
        <x:v>A2803</x:v>
      </x:c>
      <x:c r="C2809" s="21" t="str">
        <x:v>rights</x:v>
      </x:c>
      <x:c r="D2809" s="21" t="str">
        <x:v>right 158 zero credit</x:v>
      </x:c>
      <x:c r="E2809" s="21" t="n">
        <x:f>IF('Rights Register'!J158=0,1,0)</x:f>
        <x:v>1</x:v>
      </x:c>
      <x:c r="F2809" s="21" t="n">
        <x:v>1</x:v>
      </x:c>
      <x:c r="G2809" s="23" t="str">
        <x:f>IF(E2809=F2809,"PASS","FAIL")</x:f>
        <x:v>PASS</x:v>
      </x:c>
    </x:row>
    <x:row r="2810">
      <x:c r="B2810" s="21" t="str">
        <x:v>A2804</x:v>
      </x:c>
      <x:c r="C2810" s="21" t="str">
        <x:v>rights</x:v>
      </x:c>
      <x:c r="D2810" s="21" t="str">
        <x:v>right 159 required</x:v>
      </x:c>
      <x:c r="E2810" s="21" t="n">
        <x:f>IF('Rights Register'!G159=1,1,0)</x:f>
        <x:v>1</x:v>
      </x:c>
      <x:c r="F2810" s="21" t="n">
        <x:v>1</x:v>
      </x:c>
      <x:c r="G2810" s="23" t="str">
        <x:f>IF(E2810=F2810,"PASS","FAIL")</x:f>
        <x:v>PASS</x:v>
      </x:c>
    </x:row>
    <x:row r="2811">
      <x:c r="B2811" s="21" t="str">
        <x:v>A2805</x:v>
      </x:c>
      <x:c r="C2811" s="21" t="str">
        <x:v>rights</x:v>
      </x:c>
      <x:c r="D2811" s="21" t="str">
        <x:v>right 159 offered</x:v>
      </x:c>
      <x:c r="E2811" s="21" t="n">
        <x:f>IF('Rights Register'!H159=1,1,0)</x:f>
        <x:v>1</x:v>
      </x:c>
      <x:c r="F2811" s="21" t="n">
        <x:v>1</x:v>
      </x:c>
      <x:c r="G2811" s="23" t="str">
        <x:f>IF(E2811=F2811,"PASS","FAIL")</x:f>
        <x:v>PASS</x:v>
      </x:c>
    </x:row>
    <x:row r="2812">
      <x:c r="B2812" s="21" t="str">
        <x:v>A2806</x:v>
      </x:c>
      <x:c r="C2812" s="21" t="str">
        <x:v>rights</x:v>
      </x:c>
      <x:c r="D2812" s="21" t="str">
        <x:v>right 159 evidence open</x:v>
      </x:c>
      <x:c r="E2812" s="21" t="n">
        <x:f>IF('Rights Register'!I159="OPEN",1,0)</x:f>
        <x:v>1</x:v>
      </x:c>
      <x:c r="F2812" s="21" t="n">
        <x:v>1</x:v>
      </x:c>
      <x:c r="G2812" s="23" t="str">
        <x:f>IF(E2812=F2812,"PASS","FAIL")</x:f>
        <x:v>PASS</x:v>
      </x:c>
    </x:row>
    <x:row r="2813">
      <x:c r="B2813" s="21" t="str">
        <x:v>A2807</x:v>
      </x:c>
      <x:c r="C2813" s="21" t="str">
        <x:v>rights</x:v>
      </x:c>
      <x:c r="D2813" s="21" t="str">
        <x:v>right 159 zero credit</x:v>
      </x:c>
      <x:c r="E2813" s="21" t="n">
        <x:f>IF('Rights Register'!J159=0,1,0)</x:f>
        <x:v>1</x:v>
      </x:c>
      <x:c r="F2813" s="21" t="n">
        <x:v>1</x:v>
      </x:c>
      <x:c r="G2813" s="23" t="str">
        <x:f>IF(E2813=F2813,"PASS","FAIL")</x:f>
        <x:v>PASS</x:v>
      </x:c>
    </x:row>
    <x:row r="2814">
      <x:c r="B2814" s="21" t="str">
        <x:v>A2808</x:v>
      </x:c>
      <x:c r="C2814" s="21" t="str">
        <x:v>rights</x:v>
      </x:c>
      <x:c r="D2814" s="21" t="str">
        <x:v>right 160 required</x:v>
      </x:c>
      <x:c r="E2814" s="21" t="n">
        <x:f>IF('Rights Register'!G160=1,1,0)</x:f>
        <x:v>1</x:v>
      </x:c>
      <x:c r="F2814" s="21" t="n">
        <x:v>1</x:v>
      </x:c>
      <x:c r="G2814" s="23" t="str">
        <x:f>IF(E2814=F2814,"PASS","FAIL")</x:f>
        <x:v>PASS</x:v>
      </x:c>
    </x:row>
    <x:row r="2815">
      <x:c r="B2815" s="21" t="str">
        <x:v>A2809</x:v>
      </x:c>
      <x:c r="C2815" s="21" t="str">
        <x:v>rights</x:v>
      </x:c>
      <x:c r="D2815" s="21" t="str">
        <x:v>right 160 offered</x:v>
      </x:c>
      <x:c r="E2815" s="21" t="n">
        <x:f>IF('Rights Register'!H160=1,1,0)</x:f>
        <x:v>1</x:v>
      </x:c>
      <x:c r="F2815" s="21" t="n">
        <x:v>1</x:v>
      </x:c>
      <x:c r="G2815" s="23" t="str">
        <x:f>IF(E2815=F2815,"PASS","FAIL")</x:f>
        <x:v>PASS</x:v>
      </x:c>
    </x:row>
    <x:row r="2816">
      <x:c r="B2816" s="21" t="str">
        <x:v>A2810</x:v>
      </x:c>
      <x:c r="C2816" s="21" t="str">
        <x:v>rights</x:v>
      </x:c>
      <x:c r="D2816" s="21" t="str">
        <x:v>right 160 evidence open</x:v>
      </x:c>
      <x:c r="E2816" s="21" t="n">
        <x:f>IF('Rights Register'!I160="OPEN",1,0)</x:f>
        <x:v>1</x:v>
      </x:c>
      <x:c r="F2816" s="21" t="n">
        <x:v>1</x:v>
      </x:c>
      <x:c r="G2816" s="23" t="str">
        <x:f>IF(E2816=F2816,"PASS","FAIL")</x:f>
        <x:v>PASS</x:v>
      </x:c>
    </x:row>
    <x:row r="2817">
      <x:c r="B2817" s="21" t="str">
        <x:v>A2811</x:v>
      </x:c>
      <x:c r="C2817" s="21" t="str">
        <x:v>rights</x:v>
      </x:c>
      <x:c r="D2817" s="21" t="str">
        <x:v>right 160 zero credit</x:v>
      </x:c>
      <x:c r="E2817" s="21" t="n">
        <x:f>IF('Rights Register'!J160=0,1,0)</x:f>
        <x:v>1</x:v>
      </x:c>
      <x:c r="F2817" s="21" t="n">
        <x:v>1</x:v>
      </x:c>
      <x:c r="G2817" s="23" t="str">
        <x:f>IF(E2817=F2817,"PASS","FAIL")</x:f>
        <x:v>PASS</x:v>
      </x:c>
    </x:row>
    <x:row r="2818">
      <x:c r="B2818" s="21" t="str">
        <x:v>A2812</x:v>
      </x:c>
      <x:c r="C2818" s="21" t="str">
        <x:v>rights</x:v>
      </x:c>
      <x:c r="D2818" s="21" t="str">
        <x:v>right 161 required</x:v>
      </x:c>
      <x:c r="E2818" s="21" t="n">
        <x:f>IF('Rights Register'!G161=1,1,0)</x:f>
        <x:v>1</x:v>
      </x:c>
      <x:c r="F2818" s="21" t="n">
        <x:v>1</x:v>
      </x:c>
      <x:c r="G2818" s="23" t="str">
        <x:f>IF(E2818=F2818,"PASS","FAIL")</x:f>
        <x:v>PASS</x:v>
      </x:c>
    </x:row>
    <x:row r="2819">
      <x:c r="B2819" s="21" t="str">
        <x:v>A2813</x:v>
      </x:c>
      <x:c r="C2819" s="21" t="str">
        <x:v>rights</x:v>
      </x:c>
      <x:c r="D2819" s="21" t="str">
        <x:v>right 161 offered</x:v>
      </x:c>
      <x:c r="E2819" s="21" t="n">
        <x:f>IF('Rights Register'!H161=1,1,0)</x:f>
        <x:v>1</x:v>
      </x:c>
      <x:c r="F2819" s="21" t="n">
        <x:v>1</x:v>
      </x:c>
      <x:c r="G2819" s="23" t="str">
        <x:f>IF(E2819=F2819,"PASS","FAIL")</x:f>
        <x:v>PASS</x:v>
      </x:c>
    </x:row>
    <x:row r="2820">
      <x:c r="B2820" s="21" t="str">
        <x:v>A2814</x:v>
      </x:c>
      <x:c r="C2820" s="21" t="str">
        <x:v>rights</x:v>
      </x:c>
      <x:c r="D2820" s="21" t="str">
        <x:v>right 161 evidence open</x:v>
      </x:c>
      <x:c r="E2820" s="21" t="n">
        <x:f>IF('Rights Register'!I161="OPEN",1,0)</x:f>
        <x:v>1</x:v>
      </x:c>
      <x:c r="F2820" s="21" t="n">
        <x:v>1</x:v>
      </x:c>
      <x:c r="G2820" s="23" t="str">
        <x:f>IF(E2820=F2820,"PASS","FAIL")</x:f>
        <x:v>PASS</x:v>
      </x:c>
    </x:row>
    <x:row r="2821">
      <x:c r="B2821" s="21" t="str">
        <x:v>A2815</x:v>
      </x:c>
      <x:c r="C2821" s="21" t="str">
        <x:v>rights</x:v>
      </x:c>
      <x:c r="D2821" s="21" t="str">
        <x:v>right 161 zero credit</x:v>
      </x:c>
      <x:c r="E2821" s="21" t="n">
        <x:f>IF('Rights Register'!J161=0,1,0)</x:f>
        <x:v>1</x:v>
      </x:c>
      <x:c r="F2821" s="21" t="n">
        <x:v>1</x:v>
      </x:c>
      <x:c r="G2821" s="23" t="str">
        <x:f>IF(E2821=F2821,"PASS","FAIL")</x:f>
        <x:v>PASS</x:v>
      </x:c>
    </x:row>
    <x:row r="2822">
      <x:c r="B2822" s="21" t="str">
        <x:v>A2816</x:v>
      </x:c>
      <x:c r="C2822" s="21" t="str">
        <x:v>rights</x:v>
      </x:c>
      <x:c r="D2822" s="21" t="str">
        <x:v>right 162 required</x:v>
      </x:c>
      <x:c r="E2822" s="21" t="n">
        <x:f>IF('Rights Register'!G162=1,1,0)</x:f>
        <x:v>1</x:v>
      </x:c>
      <x:c r="F2822" s="21" t="n">
        <x:v>1</x:v>
      </x:c>
      <x:c r="G2822" s="23" t="str">
        <x:f>IF(E2822=F2822,"PASS","FAIL")</x:f>
        <x:v>PASS</x:v>
      </x:c>
    </x:row>
    <x:row r="2823">
      <x:c r="B2823" s="21" t="str">
        <x:v>A2817</x:v>
      </x:c>
      <x:c r="C2823" s="21" t="str">
        <x:v>rights</x:v>
      </x:c>
      <x:c r="D2823" s="21" t="str">
        <x:v>right 162 offered</x:v>
      </x:c>
      <x:c r="E2823" s="21" t="n">
        <x:f>IF('Rights Register'!H162=1,1,0)</x:f>
        <x:v>1</x:v>
      </x:c>
      <x:c r="F2823" s="21" t="n">
        <x:v>1</x:v>
      </x:c>
      <x:c r="G2823" s="23" t="str">
        <x:f>IF(E2823=F2823,"PASS","FAIL")</x:f>
        <x:v>PASS</x:v>
      </x:c>
    </x:row>
    <x:row r="2824">
      <x:c r="B2824" s="21" t="str">
        <x:v>A2818</x:v>
      </x:c>
      <x:c r="C2824" s="21" t="str">
        <x:v>rights</x:v>
      </x:c>
      <x:c r="D2824" s="21" t="str">
        <x:v>right 162 evidence open</x:v>
      </x:c>
      <x:c r="E2824" s="21" t="n">
        <x:f>IF('Rights Register'!I162="OPEN",1,0)</x:f>
        <x:v>1</x:v>
      </x:c>
      <x:c r="F2824" s="21" t="n">
        <x:v>1</x:v>
      </x:c>
      <x:c r="G2824" s="23" t="str">
        <x:f>IF(E2824=F2824,"PASS","FAIL")</x:f>
        <x:v>PASS</x:v>
      </x:c>
    </x:row>
    <x:row r="2825">
      <x:c r="B2825" s="21" t="str">
        <x:v>A2819</x:v>
      </x:c>
      <x:c r="C2825" s="21" t="str">
        <x:v>rights</x:v>
      </x:c>
      <x:c r="D2825" s="21" t="str">
        <x:v>right 162 zero credit</x:v>
      </x:c>
      <x:c r="E2825" s="21" t="n">
        <x:f>IF('Rights Register'!J162=0,1,0)</x:f>
        <x:v>1</x:v>
      </x:c>
      <x:c r="F2825" s="21" t="n">
        <x:v>1</x:v>
      </x:c>
      <x:c r="G2825" s="23" t="str">
        <x:f>IF(E2825=F2825,"PASS","FAIL")</x:f>
        <x:v>PASS</x:v>
      </x:c>
    </x:row>
    <x:row r="2826">
      <x:c r="B2826" s="21" t="str">
        <x:v>A2820</x:v>
      </x:c>
      <x:c r="C2826" s="21" t="str">
        <x:v>rights</x:v>
      </x:c>
      <x:c r="D2826" s="21" t="str">
        <x:v>right 163 required</x:v>
      </x:c>
      <x:c r="E2826" s="21" t="n">
        <x:f>IF('Rights Register'!G163=1,1,0)</x:f>
        <x:v>1</x:v>
      </x:c>
      <x:c r="F2826" s="21" t="n">
        <x:v>1</x:v>
      </x:c>
      <x:c r="G2826" s="23" t="str">
        <x:f>IF(E2826=F2826,"PASS","FAIL")</x:f>
        <x:v>PASS</x:v>
      </x:c>
    </x:row>
    <x:row r="2827">
      <x:c r="B2827" s="21" t="str">
        <x:v>A2821</x:v>
      </x:c>
      <x:c r="C2827" s="21" t="str">
        <x:v>rights</x:v>
      </x:c>
      <x:c r="D2827" s="21" t="str">
        <x:v>right 163 offered</x:v>
      </x:c>
      <x:c r="E2827" s="21" t="n">
        <x:f>IF('Rights Register'!H163=1,1,0)</x:f>
        <x:v>1</x:v>
      </x:c>
      <x:c r="F2827" s="21" t="n">
        <x:v>1</x:v>
      </x:c>
      <x:c r="G2827" s="23" t="str">
        <x:f>IF(E2827=F2827,"PASS","FAIL")</x:f>
        <x:v>PASS</x:v>
      </x:c>
    </x:row>
    <x:row r="2828">
      <x:c r="B2828" s="21" t="str">
        <x:v>A2822</x:v>
      </x:c>
      <x:c r="C2828" s="21" t="str">
        <x:v>rights</x:v>
      </x:c>
      <x:c r="D2828" s="21" t="str">
        <x:v>right 163 evidence open</x:v>
      </x:c>
      <x:c r="E2828" s="21" t="n">
        <x:f>IF('Rights Register'!I163="OPEN",1,0)</x:f>
        <x:v>1</x:v>
      </x:c>
      <x:c r="F2828" s="21" t="n">
        <x:v>1</x:v>
      </x:c>
      <x:c r="G2828" s="23" t="str">
        <x:f>IF(E2828=F2828,"PASS","FAIL")</x:f>
        <x:v>PASS</x:v>
      </x:c>
    </x:row>
    <x:row r="2829">
      <x:c r="B2829" s="21" t="str">
        <x:v>A2823</x:v>
      </x:c>
      <x:c r="C2829" s="21" t="str">
        <x:v>rights</x:v>
      </x:c>
      <x:c r="D2829" s="21" t="str">
        <x:v>right 163 zero credit</x:v>
      </x:c>
      <x:c r="E2829" s="21" t="n">
        <x:f>IF('Rights Register'!J163=0,1,0)</x:f>
        <x:v>1</x:v>
      </x:c>
      <x:c r="F2829" s="21" t="n">
        <x:v>1</x:v>
      </x:c>
      <x:c r="G2829" s="23" t="str">
        <x:f>IF(E2829=F2829,"PASS","FAIL")</x:f>
        <x:v>PASS</x:v>
      </x:c>
    </x:row>
    <x:row r="2830">
      <x:c r="B2830" s="21" t="str">
        <x:v>A2824</x:v>
      </x:c>
      <x:c r="C2830" s="21" t="str">
        <x:v>rights</x:v>
      </x:c>
      <x:c r="D2830" s="21" t="str">
        <x:v>right 164 required</x:v>
      </x:c>
      <x:c r="E2830" s="21" t="n">
        <x:f>IF('Rights Register'!G164=1,1,0)</x:f>
        <x:v>1</x:v>
      </x:c>
      <x:c r="F2830" s="21" t="n">
        <x:v>1</x:v>
      </x:c>
      <x:c r="G2830" s="23" t="str">
        <x:f>IF(E2830=F2830,"PASS","FAIL")</x:f>
        <x:v>PASS</x:v>
      </x:c>
    </x:row>
    <x:row r="2831">
      <x:c r="B2831" s="21" t="str">
        <x:v>A2825</x:v>
      </x:c>
      <x:c r="C2831" s="21" t="str">
        <x:v>rights</x:v>
      </x:c>
      <x:c r="D2831" s="21" t="str">
        <x:v>right 164 offered</x:v>
      </x:c>
      <x:c r="E2831" s="21" t="n">
        <x:f>IF('Rights Register'!H164=1,1,0)</x:f>
        <x:v>1</x:v>
      </x:c>
      <x:c r="F2831" s="21" t="n">
        <x:v>1</x:v>
      </x:c>
      <x:c r="G2831" s="23" t="str">
        <x:f>IF(E2831=F2831,"PASS","FAIL")</x:f>
        <x:v>PASS</x:v>
      </x:c>
    </x:row>
    <x:row r="2832">
      <x:c r="B2832" s="21" t="str">
        <x:v>A2826</x:v>
      </x:c>
      <x:c r="C2832" s="21" t="str">
        <x:v>rights</x:v>
      </x:c>
      <x:c r="D2832" s="21" t="str">
        <x:v>right 164 evidence open</x:v>
      </x:c>
      <x:c r="E2832" s="21" t="n">
        <x:f>IF('Rights Register'!I164="OPEN",1,0)</x:f>
        <x:v>1</x:v>
      </x:c>
      <x:c r="F2832" s="21" t="n">
        <x:v>1</x:v>
      </x:c>
      <x:c r="G2832" s="23" t="str">
        <x:f>IF(E2832=F2832,"PASS","FAIL")</x:f>
        <x:v>PASS</x:v>
      </x:c>
    </x:row>
    <x:row r="2833">
      <x:c r="B2833" s="21" t="str">
        <x:v>A2827</x:v>
      </x:c>
      <x:c r="C2833" s="21" t="str">
        <x:v>rights</x:v>
      </x:c>
      <x:c r="D2833" s="21" t="str">
        <x:v>right 164 zero credit</x:v>
      </x:c>
      <x:c r="E2833" s="21" t="n">
        <x:f>IF('Rights Register'!J164=0,1,0)</x:f>
        <x:v>1</x:v>
      </x:c>
      <x:c r="F2833" s="21" t="n">
        <x:v>1</x:v>
      </x:c>
      <x:c r="G2833" s="23" t="str">
        <x:f>IF(E2833=F2833,"PASS","FAIL")</x:f>
        <x:v>PASS</x:v>
      </x:c>
    </x:row>
    <x:row r="2834">
      <x:c r="B2834" s="21" t="str">
        <x:v>A2828</x:v>
      </x:c>
      <x:c r="C2834" s="21" t="str">
        <x:v>rights</x:v>
      </x:c>
      <x:c r="D2834" s="21" t="str">
        <x:v>right 165 required</x:v>
      </x:c>
      <x:c r="E2834" s="21" t="n">
        <x:f>IF('Rights Register'!G165=1,1,0)</x:f>
        <x:v>1</x:v>
      </x:c>
      <x:c r="F2834" s="21" t="n">
        <x:v>1</x:v>
      </x:c>
      <x:c r="G2834" s="23" t="str">
        <x:f>IF(E2834=F2834,"PASS","FAIL")</x:f>
        <x:v>PASS</x:v>
      </x:c>
    </x:row>
    <x:row r="2835">
      <x:c r="B2835" s="21" t="str">
        <x:v>A2829</x:v>
      </x:c>
      <x:c r="C2835" s="21" t="str">
        <x:v>rights</x:v>
      </x:c>
      <x:c r="D2835" s="21" t="str">
        <x:v>right 165 offered</x:v>
      </x:c>
      <x:c r="E2835" s="21" t="n">
        <x:f>IF('Rights Register'!H165=1,1,0)</x:f>
        <x:v>1</x:v>
      </x:c>
      <x:c r="F2835" s="21" t="n">
        <x:v>1</x:v>
      </x:c>
      <x:c r="G2835" s="23" t="str">
        <x:f>IF(E2835=F2835,"PASS","FAIL")</x:f>
        <x:v>PASS</x:v>
      </x:c>
    </x:row>
    <x:row r="2836">
      <x:c r="B2836" s="21" t="str">
        <x:v>A2830</x:v>
      </x:c>
      <x:c r="C2836" s="21" t="str">
        <x:v>rights</x:v>
      </x:c>
      <x:c r="D2836" s="21" t="str">
        <x:v>right 165 evidence open</x:v>
      </x:c>
      <x:c r="E2836" s="21" t="n">
        <x:f>IF('Rights Register'!I165="OPEN",1,0)</x:f>
        <x:v>1</x:v>
      </x:c>
      <x:c r="F2836" s="21" t="n">
        <x:v>1</x:v>
      </x:c>
      <x:c r="G2836" s="23" t="str">
        <x:f>IF(E2836=F2836,"PASS","FAIL")</x:f>
        <x:v>PASS</x:v>
      </x:c>
    </x:row>
    <x:row r="2837">
      <x:c r="B2837" s="21" t="str">
        <x:v>A2831</x:v>
      </x:c>
      <x:c r="C2837" s="21" t="str">
        <x:v>rights</x:v>
      </x:c>
      <x:c r="D2837" s="21" t="str">
        <x:v>right 165 zero credit</x:v>
      </x:c>
      <x:c r="E2837" s="21" t="n">
        <x:f>IF('Rights Register'!J165=0,1,0)</x:f>
        <x:v>1</x:v>
      </x:c>
      <x:c r="F2837" s="21" t="n">
        <x:v>1</x:v>
      </x:c>
      <x:c r="G2837" s="23" t="str">
        <x:f>IF(E2837=F2837,"PASS","FAIL")</x:f>
        <x:v>PASS</x:v>
      </x:c>
    </x:row>
    <x:row r="2838">
      <x:c r="B2838" s="21" t="str">
        <x:v>A2832</x:v>
      </x:c>
      <x:c r="C2838" s="21" t="str">
        <x:v>rights</x:v>
      </x:c>
      <x:c r="D2838" s="21" t="str">
        <x:v>right 166 required</x:v>
      </x:c>
      <x:c r="E2838" s="21" t="n">
        <x:f>IF('Rights Register'!G166=1,1,0)</x:f>
        <x:v>1</x:v>
      </x:c>
      <x:c r="F2838" s="21" t="n">
        <x:v>1</x:v>
      </x:c>
      <x:c r="G2838" s="23" t="str">
        <x:f>IF(E2838=F2838,"PASS","FAIL")</x:f>
        <x:v>PASS</x:v>
      </x:c>
    </x:row>
    <x:row r="2839">
      <x:c r="B2839" s="21" t="str">
        <x:v>A2833</x:v>
      </x:c>
      <x:c r="C2839" s="21" t="str">
        <x:v>rights</x:v>
      </x:c>
      <x:c r="D2839" s="21" t="str">
        <x:v>right 166 offered</x:v>
      </x:c>
      <x:c r="E2839" s="21" t="n">
        <x:f>IF('Rights Register'!H166=1,1,0)</x:f>
        <x:v>1</x:v>
      </x:c>
      <x:c r="F2839" s="21" t="n">
        <x:v>1</x:v>
      </x:c>
      <x:c r="G2839" s="23" t="str">
        <x:f>IF(E2839=F2839,"PASS","FAIL")</x:f>
        <x:v>PASS</x:v>
      </x:c>
    </x:row>
    <x:row r="2840">
      <x:c r="B2840" s="21" t="str">
        <x:v>A2834</x:v>
      </x:c>
      <x:c r="C2840" s="21" t="str">
        <x:v>rights</x:v>
      </x:c>
      <x:c r="D2840" s="21" t="str">
        <x:v>right 166 evidence open</x:v>
      </x:c>
      <x:c r="E2840" s="21" t="n">
        <x:f>IF('Rights Register'!I166="OPEN",1,0)</x:f>
        <x:v>1</x:v>
      </x:c>
      <x:c r="F2840" s="21" t="n">
        <x:v>1</x:v>
      </x:c>
      <x:c r="G2840" s="23" t="str">
        <x:f>IF(E2840=F2840,"PASS","FAIL")</x:f>
        <x:v>PASS</x:v>
      </x:c>
    </x:row>
    <x:row r="2841">
      <x:c r="B2841" s="21" t="str">
        <x:v>A2835</x:v>
      </x:c>
      <x:c r="C2841" s="21" t="str">
        <x:v>rights</x:v>
      </x:c>
      <x:c r="D2841" s="21" t="str">
        <x:v>right 166 zero credit</x:v>
      </x:c>
      <x:c r="E2841" s="21" t="n">
        <x:f>IF('Rights Register'!J166=0,1,0)</x:f>
        <x:v>1</x:v>
      </x:c>
      <x:c r="F2841" s="21" t="n">
        <x:v>1</x:v>
      </x:c>
      <x:c r="G2841" s="23" t="str">
        <x:f>IF(E2841=F2841,"PASS","FAIL")</x:f>
        <x:v>PASS</x:v>
      </x:c>
    </x:row>
    <x:row r="2842">
      <x:c r="B2842" s="21" t="str">
        <x:v>A2836</x:v>
      </x:c>
      <x:c r="C2842" s="21" t="str">
        <x:v>rights</x:v>
      </x:c>
      <x:c r="D2842" s="21" t="str">
        <x:v>right 167 required</x:v>
      </x:c>
      <x:c r="E2842" s="21" t="n">
        <x:f>IF('Rights Register'!G167=1,1,0)</x:f>
        <x:v>1</x:v>
      </x:c>
      <x:c r="F2842" s="21" t="n">
        <x:v>1</x:v>
      </x:c>
      <x:c r="G2842" s="23" t="str">
        <x:f>IF(E2842=F2842,"PASS","FAIL")</x:f>
        <x:v>PASS</x:v>
      </x:c>
    </x:row>
    <x:row r="2843">
      <x:c r="B2843" s="21" t="str">
        <x:v>A2837</x:v>
      </x:c>
      <x:c r="C2843" s="21" t="str">
        <x:v>rights</x:v>
      </x:c>
      <x:c r="D2843" s="21" t="str">
        <x:v>right 167 offered</x:v>
      </x:c>
      <x:c r="E2843" s="21" t="n">
        <x:f>IF('Rights Register'!H167=1,1,0)</x:f>
        <x:v>1</x:v>
      </x:c>
      <x:c r="F2843" s="21" t="n">
        <x:v>1</x:v>
      </x:c>
      <x:c r="G2843" s="23" t="str">
        <x:f>IF(E2843=F2843,"PASS","FAIL")</x:f>
        <x:v>PASS</x:v>
      </x:c>
    </x:row>
    <x:row r="2844">
      <x:c r="B2844" s="21" t="str">
        <x:v>A2838</x:v>
      </x:c>
      <x:c r="C2844" s="21" t="str">
        <x:v>rights</x:v>
      </x:c>
      <x:c r="D2844" s="21" t="str">
        <x:v>right 167 evidence open</x:v>
      </x:c>
      <x:c r="E2844" s="21" t="n">
        <x:f>IF('Rights Register'!I167="OPEN",1,0)</x:f>
        <x:v>1</x:v>
      </x:c>
      <x:c r="F2844" s="21" t="n">
        <x:v>1</x:v>
      </x:c>
      <x:c r="G2844" s="23" t="str">
        <x:f>IF(E2844=F2844,"PASS","FAIL")</x:f>
        <x:v>PASS</x:v>
      </x:c>
    </x:row>
    <x:row r="2845">
      <x:c r="B2845" s="21" t="str">
        <x:v>A2839</x:v>
      </x:c>
      <x:c r="C2845" s="21" t="str">
        <x:v>rights</x:v>
      </x:c>
      <x:c r="D2845" s="21" t="str">
        <x:v>right 167 zero credit</x:v>
      </x:c>
      <x:c r="E2845" s="21" t="n">
        <x:f>IF('Rights Register'!J167=0,1,0)</x:f>
        <x:v>1</x:v>
      </x:c>
      <x:c r="F2845" s="21" t="n">
        <x:v>1</x:v>
      </x:c>
      <x:c r="G2845" s="23" t="str">
        <x:f>IF(E2845=F2845,"PASS","FAIL")</x:f>
        <x:v>PASS</x:v>
      </x:c>
    </x:row>
    <x:row r="2846">
      <x:c r="B2846" s="21" t="str">
        <x:v>A2840</x:v>
      </x:c>
      <x:c r="C2846" s="21" t="str">
        <x:v>rights</x:v>
      </x:c>
      <x:c r="D2846" s="21" t="str">
        <x:v>right 168 required</x:v>
      </x:c>
      <x:c r="E2846" s="21" t="n">
        <x:f>IF('Rights Register'!G168=1,1,0)</x:f>
        <x:v>1</x:v>
      </x:c>
      <x:c r="F2846" s="21" t="n">
        <x:v>1</x:v>
      </x:c>
      <x:c r="G2846" s="23" t="str">
        <x:f>IF(E2846=F2846,"PASS","FAIL")</x:f>
        <x:v>PASS</x:v>
      </x:c>
    </x:row>
    <x:row r="2847">
      <x:c r="B2847" s="21" t="str">
        <x:v>A2841</x:v>
      </x:c>
      <x:c r="C2847" s="21" t="str">
        <x:v>rights</x:v>
      </x:c>
      <x:c r="D2847" s="21" t="str">
        <x:v>right 168 offered</x:v>
      </x:c>
      <x:c r="E2847" s="21" t="n">
        <x:f>IF('Rights Register'!H168=1,1,0)</x:f>
        <x:v>1</x:v>
      </x:c>
      <x:c r="F2847" s="21" t="n">
        <x:v>1</x:v>
      </x:c>
      <x:c r="G2847" s="23" t="str">
        <x:f>IF(E2847=F2847,"PASS","FAIL")</x:f>
        <x:v>PASS</x:v>
      </x:c>
    </x:row>
    <x:row r="2848">
      <x:c r="B2848" s="21" t="str">
        <x:v>A2842</x:v>
      </x:c>
      <x:c r="C2848" s="21" t="str">
        <x:v>rights</x:v>
      </x:c>
      <x:c r="D2848" s="21" t="str">
        <x:v>right 168 evidence open</x:v>
      </x:c>
      <x:c r="E2848" s="21" t="n">
        <x:f>IF('Rights Register'!I168="OPEN",1,0)</x:f>
        <x:v>1</x:v>
      </x:c>
      <x:c r="F2848" s="21" t="n">
        <x:v>1</x:v>
      </x:c>
      <x:c r="G2848" s="23" t="str">
        <x:f>IF(E2848=F2848,"PASS","FAIL")</x:f>
        <x:v>PASS</x:v>
      </x:c>
    </x:row>
    <x:row r="2849">
      <x:c r="B2849" s="21" t="str">
        <x:v>A2843</x:v>
      </x:c>
      <x:c r="C2849" s="21" t="str">
        <x:v>rights</x:v>
      </x:c>
      <x:c r="D2849" s="21" t="str">
        <x:v>right 168 zero credit</x:v>
      </x:c>
      <x:c r="E2849" s="21" t="n">
        <x:f>IF('Rights Register'!J168=0,1,0)</x:f>
        <x:v>1</x:v>
      </x:c>
      <x:c r="F2849" s="21" t="n">
        <x:v>1</x:v>
      </x:c>
      <x:c r="G2849" s="23" t="str">
        <x:f>IF(E2849=F2849,"PASS","FAIL")</x:f>
        <x:v>PASS</x:v>
      </x:c>
    </x:row>
    <x:row r="2850">
      <x:c r="B2850" s="21" t="str">
        <x:v>A2844</x:v>
      </x:c>
      <x:c r="C2850" s="21" t="str">
        <x:v>rights</x:v>
      </x:c>
      <x:c r="D2850" s="21" t="str">
        <x:v>right 169 required</x:v>
      </x:c>
      <x:c r="E2850" s="21" t="n">
        <x:f>IF('Rights Register'!G169=1,1,0)</x:f>
        <x:v>1</x:v>
      </x:c>
      <x:c r="F2850" s="21" t="n">
        <x:v>1</x:v>
      </x:c>
      <x:c r="G2850" s="23" t="str">
        <x:f>IF(E2850=F2850,"PASS","FAIL")</x:f>
        <x:v>PASS</x:v>
      </x:c>
    </x:row>
    <x:row r="2851">
      <x:c r="B2851" s="21" t="str">
        <x:v>A2845</x:v>
      </x:c>
      <x:c r="C2851" s="21" t="str">
        <x:v>rights</x:v>
      </x:c>
      <x:c r="D2851" s="21" t="str">
        <x:v>right 169 offered</x:v>
      </x:c>
      <x:c r="E2851" s="21" t="n">
        <x:f>IF('Rights Register'!H169=1,1,0)</x:f>
        <x:v>1</x:v>
      </x:c>
      <x:c r="F2851" s="21" t="n">
        <x:v>1</x:v>
      </x:c>
      <x:c r="G2851" s="23" t="str">
        <x:f>IF(E2851=F2851,"PASS","FAIL")</x:f>
        <x:v>PASS</x:v>
      </x:c>
    </x:row>
    <x:row r="2852">
      <x:c r="B2852" s="21" t="str">
        <x:v>A2846</x:v>
      </x:c>
      <x:c r="C2852" s="21" t="str">
        <x:v>rights</x:v>
      </x:c>
      <x:c r="D2852" s="21" t="str">
        <x:v>right 169 evidence open</x:v>
      </x:c>
      <x:c r="E2852" s="21" t="n">
        <x:f>IF('Rights Register'!I169="OPEN",1,0)</x:f>
        <x:v>1</x:v>
      </x:c>
      <x:c r="F2852" s="21" t="n">
        <x:v>1</x:v>
      </x:c>
      <x:c r="G2852" s="23" t="str">
        <x:f>IF(E2852=F2852,"PASS","FAIL")</x:f>
        <x:v>PASS</x:v>
      </x:c>
    </x:row>
    <x:row r="2853">
      <x:c r="B2853" s="21" t="str">
        <x:v>A2847</x:v>
      </x:c>
      <x:c r="C2853" s="21" t="str">
        <x:v>rights</x:v>
      </x:c>
      <x:c r="D2853" s="21" t="str">
        <x:v>right 169 zero credit</x:v>
      </x:c>
      <x:c r="E2853" s="21" t="n">
        <x:f>IF('Rights Register'!J169=0,1,0)</x:f>
        <x:v>1</x:v>
      </x:c>
      <x:c r="F2853" s="21" t="n">
        <x:v>1</x:v>
      </x:c>
      <x:c r="G2853" s="23" t="str">
        <x:f>IF(E2853=F2853,"PASS","FAIL")</x:f>
        <x:v>PASS</x:v>
      </x:c>
    </x:row>
    <x:row r="2854">
      <x:c r="B2854" s="21" t="str">
        <x:v>A2848</x:v>
      </x:c>
      <x:c r="C2854" s="21" t="str">
        <x:v>rights</x:v>
      </x:c>
      <x:c r="D2854" s="21" t="str">
        <x:v>right 170 required</x:v>
      </x:c>
      <x:c r="E2854" s="21" t="n">
        <x:f>IF('Rights Register'!G170=1,1,0)</x:f>
        <x:v>1</x:v>
      </x:c>
      <x:c r="F2854" s="21" t="n">
        <x:v>1</x:v>
      </x:c>
      <x:c r="G2854" s="23" t="str">
        <x:f>IF(E2854=F2854,"PASS","FAIL")</x:f>
        <x:v>PASS</x:v>
      </x:c>
    </x:row>
    <x:row r="2855">
      <x:c r="B2855" s="21" t="str">
        <x:v>A2849</x:v>
      </x:c>
      <x:c r="C2855" s="21" t="str">
        <x:v>rights</x:v>
      </x:c>
      <x:c r="D2855" s="21" t="str">
        <x:v>right 170 offered</x:v>
      </x:c>
      <x:c r="E2855" s="21" t="n">
        <x:f>IF('Rights Register'!H170=1,1,0)</x:f>
        <x:v>1</x:v>
      </x:c>
      <x:c r="F2855" s="21" t="n">
        <x:v>1</x:v>
      </x:c>
      <x:c r="G2855" s="23" t="str">
        <x:f>IF(E2855=F2855,"PASS","FAIL")</x:f>
        <x:v>PASS</x:v>
      </x:c>
    </x:row>
    <x:row r="2856">
      <x:c r="B2856" s="21" t="str">
        <x:v>A2850</x:v>
      </x:c>
      <x:c r="C2856" s="21" t="str">
        <x:v>rights</x:v>
      </x:c>
      <x:c r="D2856" s="21" t="str">
        <x:v>right 170 evidence open</x:v>
      </x:c>
      <x:c r="E2856" s="21" t="n">
        <x:f>IF('Rights Register'!I170="OPEN",1,0)</x:f>
        <x:v>1</x:v>
      </x:c>
      <x:c r="F2856" s="21" t="n">
        <x:v>1</x:v>
      </x:c>
      <x:c r="G2856" s="23" t="str">
        <x:f>IF(E2856=F2856,"PASS","FAIL")</x:f>
        <x:v>PASS</x:v>
      </x:c>
    </x:row>
    <x:row r="2857">
      <x:c r="B2857" s="21" t="str">
        <x:v>A2851</x:v>
      </x:c>
      <x:c r="C2857" s="21" t="str">
        <x:v>rights</x:v>
      </x:c>
      <x:c r="D2857" s="21" t="str">
        <x:v>right 170 zero credit</x:v>
      </x:c>
      <x:c r="E2857" s="21" t="n">
        <x:f>IF('Rights Register'!J170=0,1,0)</x:f>
        <x:v>1</x:v>
      </x:c>
      <x:c r="F2857" s="21" t="n">
        <x:v>1</x:v>
      </x:c>
      <x:c r="G2857" s="23" t="str">
        <x:f>IF(E2857=F2857,"PASS","FAIL")</x:f>
        <x:v>PASS</x:v>
      </x:c>
    </x:row>
    <x:row r="2858">
      <x:c r="B2858" s="21" t="str">
        <x:v>A2852</x:v>
      </x:c>
      <x:c r="C2858" s="21" t="str">
        <x:v>rights</x:v>
      </x:c>
      <x:c r="D2858" s="21" t="str">
        <x:v>right 171 required</x:v>
      </x:c>
      <x:c r="E2858" s="21" t="n">
        <x:f>IF('Rights Register'!G171=1,1,0)</x:f>
        <x:v>1</x:v>
      </x:c>
      <x:c r="F2858" s="21" t="n">
        <x:v>1</x:v>
      </x:c>
      <x:c r="G2858" s="23" t="str">
        <x:f>IF(E2858=F2858,"PASS","FAIL")</x:f>
        <x:v>PASS</x:v>
      </x:c>
    </x:row>
    <x:row r="2859">
      <x:c r="B2859" s="21" t="str">
        <x:v>A2853</x:v>
      </x:c>
      <x:c r="C2859" s="21" t="str">
        <x:v>rights</x:v>
      </x:c>
      <x:c r="D2859" s="21" t="str">
        <x:v>right 171 offered</x:v>
      </x:c>
      <x:c r="E2859" s="21" t="n">
        <x:f>IF('Rights Register'!H171=1,1,0)</x:f>
        <x:v>1</x:v>
      </x:c>
      <x:c r="F2859" s="21" t="n">
        <x:v>1</x:v>
      </x:c>
      <x:c r="G2859" s="23" t="str">
        <x:f>IF(E2859=F2859,"PASS","FAIL")</x:f>
        <x:v>PASS</x:v>
      </x:c>
    </x:row>
    <x:row r="2860">
      <x:c r="B2860" s="21" t="str">
        <x:v>A2854</x:v>
      </x:c>
      <x:c r="C2860" s="21" t="str">
        <x:v>rights</x:v>
      </x:c>
      <x:c r="D2860" s="21" t="str">
        <x:v>right 171 evidence open</x:v>
      </x:c>
      <x:c r="E2860" s="21" t="n">
        <x:f>IF('Rights Register'!I171="OPEN",1,0)</x:f>
        <x:v>1</x:v>
      </x:c>
      <x:c r="F2860" s="21" t="n">
        <x:v>1</x:v>
      </x:c>
      <x:c r="G2860" s="23" t="str">
        <x:f>IF(E2860=F2860,"PASS","FAIL")</x:f>
        <x:v>PASS</x:v>
      </x:c>
    </x:row>
    <x:row r="2861">
      <x:c r="B2861" s="21" t="str">
        <x:v>A2855</x:v>
      </x:c>
      <x:c r="C2861" s="21" t="str">
        <x:v>rights</x:v>
      </x:c>
      <x:c r="D2861" s="21" t="str">
        <x:v>right 171 zero credit</x:v>
      </x:c>
      <x:c r="E2861" s="21" t="n">
        <x:f>IF('Rights Register'!J171=0,1,0)</x:f>
        <x:v>1</x:v>
      </x:c>
      <x:c r="F2861" s="21" t="n">
        <x:v>1</x:v>
      </x:c>
      <x:c r="G2861" s="23" t="str">
        <x:f>IF(E2861=F2861,"PASS","FAIL")</x:f>
        <x:v>PASS</x:v>
      </x:c>
    </x:row>
    <x:row r="2862">
      <x:c r="B2862" s="21" t="str">
        <x:v>A2856</x:v>
      </x:c>
      <x:c r="C2862" s="21" t="str">
        <x:v>rights</x:v>
      </x:c>
      <x:c r="D2862" s="21" t="str">
        <x:v>right 172 required</x:v>
      </x:c>
      <x:c r="E2862" s="21" t="n">
        <x:f>IF('Rights Register'!G172=1,1,0)</x:f>
        <x:v>1</x:v>
      </x:c>
      <x:c r="F2862" s="21" t="n">
        <x:v>1</x:v>
      </x:c>
      <x:c r="G2862" s="23" t="str">
        <x:f>IF(E2862=F2862,"PASS","FAIL")</x:f>
        <x:v>PASS</x:v>
      </x:c>
    </x:row>
    <x:row r="2863">
      <x:c r="B2863" s="21" t="str">
        <x:v>A2857</x:v>
      </x:c>
      <x:c r="C2863" s="21" t="str">
        <x:v>rights</x:v>
      </x:c>
      <x:c r="D2863" s="21" t="str">
        <x:v>right 172 offered</x:v>
      </x:c>
      <x:c r="E2863" s="21" t="n">
        <x:f>IF('Rights Register'!H172=1,1,0)</x:f>
        <x:v>1</x:v>
      </x:c>
      <x:c r="F2863" s="21" t="n">
        <x:v>1</x:v>
      </x:c>
      <x:c r="G2863" s="23" t="str">
        <x:f>IF(E2863=F2863,"PASS","FAIL")</x:f>
        <x:v>PASS</x:v>
      </x:c>
    </x:row>
    <x:row r="2864">
      <x:c r="B2864" s="21" t="str">
        <x:v>A2858</x:v>
      </x:c>
      <x:c r="C2864" s="21" t="str">
        <x:v>rights</x:v>
      </x:c>
      <x:c r="D2864" s="21" t="str">
        <x:v>right 172 evidence open</x:v>
      </x:c>
      <x:c r="E2864" s="21" t="n">
        <x:f>IF('Rights Register'!I172="OPEN",1,0)</x:f>
        <x:v>1</x:v>
      </x:c>
      <x:c r="F2864" s="21" t="n">
        <x:v>1</x:v>
      </x:c>
      <x:c r="G2864" s="23" t="str">
        <x:f>IF(E2864=F2864,"PASS","FAIL")</x:f>
        <x:v>PASS</x:v>
      </x:c>
    </x:row>
    <x:row r="2865">
      <x:c r="B2865" s="21" t="str">
        <x:v>A2859</x:v>
      </x:c>
      <x:c r="C2865" s="21" t="str">
        <x:v>rights</x:v>
      </x:c>
      <x:c r="D2865" s="21" t="str">
        <x:v>right 172 zero credit</x:v>
      </x:c>
      <x:c r="E2865" s="21" t="n">
        <x:f>IF('Rights Register'!J172=0,1,0)</x:f>
        <x:v>1</x:v>
      </x:c>
      <x:c r="F2865" s="21" t="n">
        <x:v>1</x:v>
      </x:c>
      <x:c r="G2865" s="23" t="str">
        <x:f>IF(E2865=F2865,"PASS","FAIL")</x:f>
        <x:v>PASS</x:v>
      </x:c>
    </x:row>
    <x:row r="2866">
      <x:c r="B2866" s="21" t="str">
        <x:v>A2860</x:v>
      </x:c>
      <x:c r="C2866" s="21" t="str">
        <x:v>rights</x:v>
      </x:c>
      <x:c r="D2866" s="21" t="str">
        <x:v>right 173 required</x:v>
      </x:c>
      <x:c r="E2866" s="21" t="n">
        <x:f>IF('Rights Register'!G173=1,1,0)</x:f>
        <x:v>1</x:v>
      </x:c>
      <x:c r="F2866" s="21" t="n">
        <x:v>1</x:v>
      </x:c>
      <x:c r="G2866" s="23" t="str">
        <x:f>IF(E2866=F2866,"PASS","FAIL")</x:f>
        <x:v>PASS</x:v>
      </x:c>
    </x:row>
    <x:row r="2867">
      <x:c r="B2867" s="21" t="str">
        <x:v>A2861</x:v>
      </x:c>
      <x:c r="C2867" s="21" t="str">
        <x:v>rights</x:v>
      </x:c>
      <x:c r="D2867" s="21" t="str">
        <x:v>right 173 offered</x:v>
      </x:c>
      <x:c r="E2867" s="21" t="n">
        <x:f>IF('Rights Register'!H173=1,1,0)</x:f>
        <x:v>1</x:v>
      </x:c>
      <x:c r="F2867" s="21" t="n">
        <x:v>1</x:v>
      </x:c>
      <x:c r="G2867" s="23" t="str">
        <x:f>IF(E2867=F2867,"PASS","FAIL")</x:f>
        <x:v>PASS</x:v>
      </x:c>
    </x:row>
    <x:row r="2868">
      <x:c r="B2868" s="21" t="str">
        <x:v>A2862</x:v>
      </x:c>
      <x:c r="C2868" s="21" t="str">
        <x:v>rights</x:v>
      </x:c>
      <x:c r="D2868" s="21" t="str">
        <x:v>right 173 evidence open</x:v>
      </x:c>
      <x:c r="E2868" s="21" t="n">
        <x:f>IF('Rights Register'!I173="OPEN",1,0)</x:f>
        <x:v>1</x:v>
      </x:c>
      <x:c r="F2868" s="21" t="n">
        <x:v>1</x:v>
      </x:c>
      <x:c r="G2868" s="23" t="str">
        <x:f>IF(E2868=F2868,"PASS","FAIL")</x:f>
        <x:v>PASS</x:v>
      </x:c>
    </x:row>
    <x:row r="2869">
      <x:c r="B2869" s="21" t="str">
        <x:v>A2863</x:v>
      </x:c>
      <x:c r="C2869" s="21" t="str">
        <x:v>rights</x:v>
      </x:c>
      <x:c r="D2869" s="21" t="str">
        <x:v>right 173 zero credit</x:v>
      </x:c>
      <x:c r="E2869" s="21" t="n">
        <x:f>IF('Rights Register'!J173=0,1,0)</x:f>
        <x:v>1</x:v>
      </x:c>
      <x:c r="F2869" s="21" t="n">
        <x:v>1</x:v>
      </x:c>
      <x:c r="G2869" s="23" t="str">
        <x:f>IF(E2869=F2869,"PASS","FAIL")</x:f>
        <x:v>PASS</x:v>
      </x:c>
    </x:row>
    <x:row r="2870">
      <x:c r="B2870" s="21" t="str">
        <x:v>A2864</x:v>
      </x:c>
      <x:c r="C2870" s="21" t="str">
        <x:v>rights</x:v>
      </x:c>
      <x:c r="D2870" s="21" t="str">
        <x:v>right 174 required</x:v>
      </x:c>
      <x:c r="E2870" s="21" t="n">
        <x:f>IF('Rights Register'!G174=1,1,0)</x:f>
        <x:v>1</x:v>
      </x:c>
      <x:c r="F2870" s="21" t="n">
        <x:v>1</x:v>
      </x:c>
      <x:c r="G2870" s="23" t="str">
        <x:f>IF(E2870=F2870,"PASS","FAIL")</x:f>
        <x:v>PASS</x:v>
      </x:c>
    </x:row>
    <x:row r="2871">
      <x:c r="B2871" s="21" t="str">
        <x:v>A2865</x:v>
      </x:c>
      <x:c r="C2871" s="21" t="str">
        <x:v>rights</x:v>
      </x:c>
      <x:c r="D2871" s="21" t="str">
        <x:v>right 174 offered</x:v>
      </x:c>
      <x:c r="E2871" s="21" t="n">
        <x:f>IF('Rights Register'!H174=1,1,0)</x:f>
        <x:v>1</x:v>
      </x:c>
      <x:c r="F2871" s="21" t="n">
        <x:v>1</x:v>
      </x:c>
      <x:c r="G2871" s="23" t="str">
        <x:f>IF(E2871=F2871,"PASS","FAIL")</x:f>
        <x:v>PASS</x:v>
      </x:c>
    </x:row>
    <x:row r="2872">
      <x:c r="B2872" s="21" t="str">
        <x:v>A2866</x:v>
      </x:c>
      <x:c r="C2872" s="21" t="str">
        <x:v>rights</x:v>
      </x:c>
      <x:c r="D2872" s="21" t="str">
        <x:v>right 174 evidence open</x:v>
      </x:c>
      <x:c r="E2872" s="21" t="n">
        <x:f>IF('Rights Register'!I174="OPEN",1,0)</x:f>
        <x:v>1</x:v>
      </x:c>
      <x:c r="F2872" s="21" t="n">
        <x:v>1</x:v>
      </x:c>
      <x:c r="G2872" s="23" t="str">
        <x:f>IF(E2872=F2872,"PASS","FAIL")</x:f>
        <x:v>PASS</x:v>
      </x:c>
    </x:row>
    <x:row r="2873">
      <x:c r="B2873" s="21" t="str">
        <x:v>A2867</x:v>
      </x:c>
      <x:c r="C2873" s="21" t="str">
        <x:v>rights</x:v>
      </x:c>
      <x:c r="D2873" s="21" t="str">
        <x:v>right 174 zero credit</x:v>
      </x:c>
      <x:c r="E2873" s="21" t="n">
        <x:f>IF('Rights Register'!J174=0,1,0)</x:f>
        <x:v>1</x:v>
      </x:c>
      <x:c r="F2873" s="21" t="n">
        <x:v>1</x:v>
      </x:c>
      <x:c r="G2873" s="23" t="str">
        <x:f>IF(E2873=F2873,"PASS","FAIL")</x:f>
        <x:v>PASS</x:v>
      </x:c>
    </x:row>
    <x:row r="2874">
      <x:c r="B2874" s="21" t="str">
        <x:v>A2868</x:v>
      </x:c>
      <x:c r="C2874" s="21" t="str">
        <x:v>rights</x:v>
      </x:c>
      <x:c r="D2874" s="21" t="str">
        <x:v>right 175 required</x:v>
      </x:c>
      <x:c r="E2874" s="21" t="n">
        <x:f>IF('Rights Register'!G175=1,1,0)</x:f>
        <x:v>1</x:v>
      </x:c>
      <x:c r="F2874" s="21" t="n">
        <x:v>1</x:v>
      </x:c>
      <x:c r="G2874" s="23" t="str">
        <x:f>IF(E2874=F2874,"PASS","FAIL")</x:f>
        <x:v>PASS</x:v>
      </x:c>
    </x:row>
    <x:row r="2875">
      <x:c r="B2875" s="21" t="str">
        <x:v>A2869</x:v>
      </x:c>
      <x:c r="C2875" s="21" t="str">
        <x:v>rights</x:v>
      </x:c>
      <x:c r="D2875" s="21" t="str">
        <x:v>right 175 offered</x:v>
      </x:c>
      <x:c r="E2875" s="21" t="n">
        <x:f>IF('Rights Register'!H175=1,1,0)</x:f>
        <x:v>1</x:v>
      </x:c>
      <x:c r="F2875" s="21" t="n">
        <x:v>1</x:v>
      </x:c>
      <x:c r="G2875" s="23" t="str">
        <x:f>IF(E2875=F2875,"PASS","FAIL")</x:f>
        <x:v>PASS</x:v>
      </x:c>
    </x:row>
    <x:row r="2876">
      <x:c r="B2876" s="21" t="str">
        <x:v>A2870</x:v>
      </x:c>
      <x:c r="C2876" s="21" t="str">
        <x:v>rights</x:v>
      </x:c>
      <x:c r="D2876" s="21" t="str">
        <x:v>right 175 evidence open</x:v>
      </x:c>
      <x:c r="E2876" s="21" t="n">
        <x:f>IF('Rights Register'!I175="OPEN",1,0)</x:f>
        <x:v>1</x:v>
      </x:c>
      <x:c r="F2876" s="21" t="n">
        <x:v>1</x:v>
      </x:c>
      <x:c r="G2876" s="23" t="str">
        <x:f>IF(E2876=F2876,"PASS","FAIL")</x:f>
        <x:v>PASS</x:v>
      </x:c>
    </x:row>
    <x:row r="2877">
      <x:c r="B2877" s="21" t="str">
        <x:v>A2871</x:v>
      </x:c>
      <x:c r="C2877" s="21" t="str">
        <x:v>rights</x:v>
      </x:c>
      <x:c r="D2877" s="21" t="str">
        <x:v>right 175 zero credit</x:v>
      </x:c>
      <x:c r="E2877" s="21" t="n">
        <x:f>IF('Rights Register'!J175=0,1,0)</x:f>
        <x:v>1</x:v>
      </x:c>
      <x:c r="F2877" s="21" t="n">
        <x:v>1</x:v>
      </x:c>
      <x:c r="G2877" s="23" t="str">
        <x:f>IF(E2877=F2877,"PASS","FAIL")</x:f>
        <x:v>PASS</x:v>
      </x:c>
    </x:row>
    <x:row r="2878">
      <x:c r="B2878" s="21" t="str">
        <x:v>A2872</x:v>
      </x:c>
      <x:c r="C2878" s="21" t="str">
        <x:v>rights</x:v>
      </x:c>
      <x:c r="D2878" s="21" t="str">
        <x:v>right 176 required</x:v>
      </x:c>
      <x:c r="E2878" s="21" t="n">
        <x:f>IF('Rights Register'!G176=1,1,0)</x:f>
        <x:v>1</x:v>
      </x:c>
      <x:c r="F2878" s="21" t="n">
        <x:v>1</x:v>
      </x:c>
      <x:c r="G2878" s="23" t="str">
        <x:f>IF(E2878=F2878,"PASS","FAIL")</x:f>
        <x:v>PASS</x:v>
      </x:c>
    </x:row>
    <x:row r="2879">
      <x:c r="B2879" s="21" t="str">
        <x:v>A2873</x:v>
      </x:c>
      <x:c r="C2879" s="21" t="str">
        <x:v>rights</x:v>
      </x:c>
      <x:c r="D2879" s="21" t="str">
        <x:v>right 176 offered</x:v>
      </x:c>
      <x:c r="E2879" s="21" t="n">
        <x:f>IF('Rights Register'!H176=1,1,0)</x:f>
        <x:v>1</x:v>
      </x:c>
      <x:c r="F2879" s="21" t="n">
        <x:v>1</x:v>
      </x:c>
      <x:c r="G2879" s="23" t="str">
        <x:f>IF(E2879=F2879,"PASS","FAIL")</x:f>
        <x:v>PASS</x:v>
      </x:c>
    </x:row>
    <x:row r="2880">
      <x:c r="B2880" s="21" t="str">
        <x:v>A2874</x:v>
      </x:c>
      <x:c r="C2880" s="21" t="str">
        <x:v>rights</x:v>
      </x:c>
      <x:c r="D2880" s="21" t="str">
        <x:v>right 176 evidence open</x:v>
      </x:c>
      <x:c r="E2880" s="21" t="n">
        <x:f>IF('Rights Register'!I176="OPEN",1,0)</x:f>
        <x:v>1</x:v>
      </x:c>
      <x:c r="F2880" s="21" t="n">
        <x:v>1</x:v>
      </x:c>
      <x:c r="G2880" s="23" t="str">
        <x:f>IF(E2880=F2880,"PASS","FAIL")</x:f>
        <x:v>PASS</x:v>
      </x:c>
    </x:row>
    <x:row r="2881">
      <x:c r="B2881" s="21" t="str">
        <x:v>A2875</x:v>
      </x:c>
      <x:c r="C2881" s="21" t="str">
        <x:v>rights</x:v>
      </x:c>
      <x:c r="D2881" s="21" t="str">
        <x:v>right 176 zero credit</x:v>
      </x:c>
      <x:c r="E2881" s="21" t="n">
        <x:f>IF('Rights Register'!J176=0,1,0)</x:f>
        <x:v>1</x:v>
      </x:c>
      <x:c r="F2881" s="21" t="n">
        <x:v>1</x:v>
      </x:c>
      <x:c r="G2881" s="23" t="str">
        <x:f>IF(E2881=F2881,"PASS","FAIL")</x:f>
        <x:v>PASS</x:v>
      </x:c>
    </x:row>
    <x:row r="2882">
      <x:c r="B2882" s="21" t="str">
        <x:v>A2876</x:v>
      </x:c>
      <x:c r="C2882" s="21" t="str">
        <x:v>rights</x:v>
      </x:c>
      <x:c r="D2882" s="21" t="str">
        <x:v>right 177 required</x:v>
      </x:c>
      <x:c r="E2882" s="21" t="n">
        <x:f>IF('Rights Register'!G177=1,1,0)</x:f>
        <x:v>1</x:v>
      </x:c>
      <x:c r="F2882" s="21" t="n">
        <x:v>1</x:v>
      </x:c>
      <x:c r="G2882" s="23" t="str">
        <x:f>IF(E2882=F2882,"PASS","FAIL")</x:f>
        <x:v>PASS</x:v>
      </x:c>
    </x:row>
    <x:row r="2883">
      <x:c r="B2883" s="21" t="str">
        <x:v>A2877</x:v>
      </x:c>
      <x:c r="C2883" s="21" t="str">
        <x:v>rights</x:v>
      </x:c>
      <x:c r="D2883" s="21" t="str">
        <x:v>right 177 offered</x:v>
      </x:c>
      <x:c r="E2883" s="21" t="n">
        <x:f>IF('Rights Register'!H177=1,1,0)</x:f>
        <x:v>1</x:v>
      </x:c>
      <x:c r="F2883" s="21" t="n">
        <x:v>1</x:v>
      </x:c>
      <x:c r="G2883" s="23" t="str">
        <x:f>IF(E2883=F2883,"PASS","FAIL")</x:f>
        <x:v>PASS</x:v>
      </x:c>
    </x:row>
    <x:row r="2884">
      <x:c r="B2884" s="21" t="str">
        <x:v>A2878</x:v>
      </x:c>
      <x:c r="C2884" s="21" t="str">
        <x:v>rights</x:v>
      </x:c>
      <x:c r="D2884" s="21" t="str">
        <x:v>right 177 evidence open</x:v>
      </x:c>
      <x:c r="E2884" s="21" t="n">
        <x:f>IF('Rights Register'!I177="OPEN",1,0)</x:f>
        <x:v>1</x:v>
      </x:c>
      <x:c r="F2884" s="21" t="n">
        <x:v>1</x:v>
      </x:c>
      <x:c r="G2884" s="23" t="str">
        <x:f>IF(E2884=F2884,"PASS","FAIL")</x:f>
        <x:v>PASS</x:v>
      </x:c>
    </x:row>
    <x:row r="2885">
      <x:c r="B2885" s="21" t="str">
        <x:v>A2879</x:v>
      </x:c>
      <x:c r="C2885" s="21" t="str">
        <x:v>rights</x:v>
      </x:c>
      <x:c r="D2885" s="21" t="str">
        <x:v>right 177 zero credit</x:v>
      </x:c>
      <x:c r="E2885" s="21" t="n">
        <x:f>IF('Rights Register'!J177=0,1,0)</x:f>
        <x:v>1</x:v>
      </x:c>
      <x:c r="F2885" s="21" t="n">
        <x:v>1</x:v>
      </x:c>
      <x:c r="G2885" s="23" t="str">
        <x:f>IF(E2885=F2885,"PASS","FAIL")</x:f>
        <x:v>PASS</x:v>
      </x:c>
    </x:row>
    <x:row r="2886">
      <x:c r="B2886" s="21" t="str">
        <x:v>A2880</x:v>
      </x:c>
      <x:c r="C2886" s="21" t="str">
        <x:v>rights</x:v>
      </x:c>
      <x:c r="D2886" s="21" t="str">
        <x:v>right 178 required</x:v>
      </x:c>
      <x:c r="E2886" s="21" t="n">
        <x:f>IF('Rights Register'!G178=1,1,0)</x:f>
        <x:v>1</x:v>
      </x:c>
      <x:c r="F2886" s="21" t="n">
        <x:v>1</x:v>
      </x:c>
      <x:c r="G2886" s="23" t="str">
        <x:f>IF(E2886=F2886,"PASS","FAIL")</x:f>
        <x:v>PASS</x:v>
      </x:c>
    </x:row>
    <x:row r="2887">
      <x:c r="B2887" s="21" t="str">
        <x:v>A2881</x:v>
      </x:c>
      <x:c r="C2887" s="21" t="str">
        <x:v>rights</x:v>
      </x:c>
      <x:c r="D2887" s="21" t="str">
        <x:v>right 178 offered</x:v>
      </x:c>
      <x:c r="E2887" s="21" t="n">
        <x:f>IF('Rights Register'!H178=1,1,0)</x:f>
        <x:v>1</x:v>
      </x:c>
      <x:c r="F2887" s="21" t="n">
        <x:v>1</x:v>
      </x:c>
      <x:c r="G2887" s="23" t="str">
        <x:f>IF(E2887=F2887,"PASS","FAIL")</x:f>
        <x:v>PASS</x:v>
      </x:c>
    </x:row>
    <x:row r="2888">
      <x:c r="B2888" s="21" t="str">
        <x:v>A2882</x:v>
      </x:c>
      <x:c r="C2888" s="21" t="str">
        <x:v>rights</x:v>
      </x:c>
      <x:c r="D2888" s="21" t="str">
        <x:v>right 178 evidence open</x:v>
      </x:c>
      <x:c r="E2888" s="21" t="n">
        <x:f>IF('Rights Register'!I178="OPEN",1,0)</x:f>
        <x:v>1</x:v>
      </x:c>
      <x:c r="F2888" s="21" t="n">
        <x:v>1</x:v>
      </x:c>
      <x:c r="G2888" s="23" t="str">
        <x:f>IF(E2888=F2888,"PASS","FAIL")</x:f>
        <x:v>PASS</x:v>
      </x:c>
    </x:row>
    <x:row r="2889">
      <x:c r="B2889" s="21" t="str">
        <x:v>A2883</x:v>
      </x:c>
      <x:c r="C2889" s="21" t="str">
        <x:v>rights</x:v>
      </x:c>
      <x:c r="D2889" s="21" t="str">
        <x:v>right 178 zero credit</x:v>
      </x:c>
      <x:c r="E2889" s="21" t="n">
        <x:f>IF('Rights Register'!J178=0,1,0)</x:f>
        <x:v>1</x:v>
      </x:c>
      <x:c r="F2889" s="21" t="n">
        <x:v>1</x:v>
      </x:c>
      <x:c r="G2889" s="23" t="str">
        <x:f>IF(E2889=F2889,"PASS","FAIL")</x:f>
        <x:v>PASS</x:v>
      </x:c>
    </x:row>
    <x:row r="2890">
      <x:c r="B2890" s="21" t="str">
        <x:v>A2884</x:v>
      </x:c>
      <x:c r="C2890" s="21" t="str">
        <x:v>rights</x:v>
      </x:c>
      <x:c r="D2890" s="21" t="str">
        <x:v>right 179 required</x:v>
      </x:c>
      <x:c r="E2890" s="21" t="n">
        <x:f>IF('Rights Register'!G179=1,1,0)</x:f>
        <x:v>1</x:v>
      </x:c>
      <x:c r="F2890" s="21" t="n">
        <x:v>1</x:v>
      </x:c>
      <x:c r="G2890" s="23" t="str">
        <x:f>IF(E2890=F2890,"PASS","FAIL")</x:f>
        <x:v>PASS</x:v>
      </x:c>
    </x:row>
    <x:row r="2891">
      <x:c r="B2891" s="21" t="str">
        <x:v>A2885</x:v>
      </x:c>
      <x:c r="C2891" s="21" t="str">
        <x:v>rights</x:v>
      </x:c>
      <x:c r="D2891" s="21" t="str">
        <x:v>right 179 offered</x:v>
      </x:c>
      <x:c r="E2891" s="21" t="n">
        <x:f>IF('Rights Register'!H179=1,1,0)</x:f>
        <x:v>1</x:v>
      </x:c>
      <x:c r="F2891" s="21" t="n">
        <x:v>1</x:v>
      </x:c>
      <x:c r="G2891" s="23" t="str">
        <x:f>IF(E2891=F2891,"PASS","FAIL")</x:f>
        <x:v>PASS</x:v>
      </x:c>
    </x:row>
    <x:row r="2892">
      <x:c r="B2892" s="21" t="str">
        <x:v>A2886</x:v>
      </x:c>
      <x:c r="C2892" s="21" t="str">
        <x:v>rights</x:v>
      </x:c>
      <x:c r="D2892" s="21" t="str">
        <x:v>right 179 evidence open</x:v>
      </x:c>
      <x:c r="E2892" s="21" t="n">
        <x:f>IF('Rights Register'!I179="OPEN",1,0)</x:f>
        <x:v>1</x:v>
      </x:c>
      <x:c r="F2892" s="21" t="n">
        <x:v>1</x:v>
      </x:c>
      <x:c r="G2892" s="23" t="str">
        <x:f>IF(E2892=F2892,"PASS","FAIL")</x:f>
        <x:v>PASS</x:v>
      </x:c>
    </x:row>
    <x:row r="2893">
      <x:c r="B2893" s="21" t="str">
        <x:v>A2887</x:v>
      </x:c>
      <x:c r="C2893" s="21" t="str">
        <x:v>rights</x:v>
      </x:c>
      <x:c r="D2893" s="21" t="str">
        <x:v>right 179 zero credit</x:v>
      </x:c>
      <x:c r="E2893" s="21" t="n">
        <x:f>IF('Rights Register'!J179=0,1,0)</x:f>
        <x:v>1</x:v>
      </x:c>
      <x:c r="F2893" s="21" t="n">
        <x:v>1</x:v>
      </x:c>
      <x:c r="G2893" s="23" t="str">
        <x:f>IF(E2893=F2893,"PASS","FAIL")</x:f>
        <x:v>PASS</x:v>
      </x:c>
    </x:row>
    <x:row r="2894">
      <x:c r="B2894" s="21" t="str">
        <x:v>A2888</x:v>
      </x:c>
      <x:c r="C2894" s="21" t="str">
        <x:v>rights</x:v>
      </x:c>
      <x:c r="D2894" s="21" t="str">
        <x:v>right 180 required</x:v>
      </x:c>
      <x:c r="E2894" s="21" t="n">
        <x:f>IF('Rights Register'!G180=1,1,0)</x:f>
        <x:v>1</x:v>
      </x:c>
      <x:c r="F2894" s="21" t="n">
        <x:v>1</x:v>
      </x:c>
      <x:c r="G2894" s="23" t="str">
        <x:f>IF(E2894=F2894,"PASS","FAIL")</x:f>
        <x:v>PASS</x:v>
      </x:c>
    </x:row>
    <x:row r="2895">
      <x:c r="B2895" s="21" t="str">
        <x:v>A2889</x:v>
      </x:c>
      <x:c r="C2895" s="21" t="str">
        <x:v>rights</x:v>
      </x:c>
      <x:c r="D2895" s="21" t="str">
        <x:v>right 180 offered</x:v>
      </x:c>
      <x:c r="E2895" s="21" t="n">
        <x:f>IF('Rights Register'!H180=1,1,0)</x:f>
        <x:v>1</x:v>
      </x:c>
      <x:c r="F2895" s="21" t="n">
        <x:v>1</x:v>
      </x:c>
      <x:c r="G2895" s="23" t="str">
        <x:f>IF(E2895=F2895,"PASS","FAIL")</x:f>
        <x:v>PASS</x:v>
      </x:c>
    </x:row>
    <x:row r="2896">
      <x:c r="B2896" s="21" t="str">
        <x:v>A2890</x:v>
      </x:c>
      <x:c r="C2896" s="21" t="str">
        <x:v>rights</x:v>
      </x:c>
      <x:c r="D2896" s="21" t="str">
        <x:v>right 180 evidence open</x:v>
      </x:c>
      <x:c r="E2896" s="21" t="n">
        <x:f>IF('Rights Register'!I180="OPEN",1,0)</x:f>
        <x:v>1</x:v>
      </x:c>
      <x:c r="F2896" s="21" t="n">
        <x:v>1</x:v>
      </x:c>
      <x:c r="G2896" s="23" t="str">
        <x:f>IF(E2896=F2896,"PASS","FAIL")</x:f>
        <x:v>PASS</x:v>
      </x:c>
    </x:row>
    <x:row r="2897">
      <x:c r="B2897" s="21" t="str">
        <x:v>A2891</x:v>
      </x:c>
      <x:c r="C2897" s="21" t="str">
        <x:v>rights</x:v>
      </x:c>
      <x:c r="D2897" s="21" t="str">
        <x:v>right 180 zero credit</x:v>
      </x:c>
      <x:c r="E2897" s="21" t="n">
        <x:f>IF('Rights Register'!J180=0,1,0)</x:f>
        <x:v>1</x:v>
      </x:c>
      <x:c r="F2897" s="21" t="n">
        <x:v>1</x:v>
      </x:c>
      <x:c r="G2897" s="23" t="str">
        <x:f>IF(E2897=F2897,"PASS","FAIL")</x:f>
        <x:v>PASS</x:v>
      </x:c>
    </x:row>
    <x:row r="2898">
      <x:c r="B2898" s="21" t="str">
        <x:v>A2892</x:v>
      </x:c>
      <x:c r="C2898" s="21" t="str">
        <x:v>rights</x:v>
      </x:c>
      <x:c r="D2898" s="21" t="str">
        <x:v>right 181 required</x:v>
      </x:c>
      <x:c r="E2898" s="21" t="n">
        <x:f>IF('Rights Register'!G181=1,1,0)</x:f>
        <x:v>1</x:v>
      </x:c>
      <x:c r="F2898" s="21" t="n">
        <x:v>1</x:v>
      </x:c>
      <x:c r="G2898" s="23" t="str">
        <x:f>IF(E2898=F2898,"PASS","FAIL")</x:f>
        <x:v>PASS</x:v>
      </x:c>
    </x:row>
    <x:row r="2899">
      <x:c r="B2899" s="21" t="str">
        <x:v>A2893</x:v>
      </x:c>
      <x:c r="C2899" s="21" t="str">
        <x:v>rights</x:v>
      </x:c>
      <x:c r="D2899" s="21" t="str">
        <x:v>right 181 offered</x:v>
      </x:c>
      <x:c r="E2899" s="21" t="n">
        <x:f>IF('Rights Register'!H181=1,1,0)</x:f>
        <x:v>1</x:v>
      </x:c>
      <x:c r="F2899" s="21" t="n">
        <x:v>1</x:v>
      </x:c>
      <x:c r="G2899" s="23" t="str">
        <x:f>IF(E2899=F2899,"PASS","FAIL")</x:f>
        <x:v>PASS</x:v>
      </x:c>
    </x:row>
    <x:row r="2900">
      <x:c r="B2900" s="21" t="str">
        <x:v>A2894</x:v>
      </x:c>
      <x:c r="C2900" s="21" t="str">
        <x:v>rights</x:v>
      </x:c>
      <x:c r="D2900" s="21" t="str">
        <x:v>right 181 evidence open</x:v>
      </x:c>
      <x:c r="E2900" s="21" t="n">
        <x:f>IF('Rights Register'!I181="OPEN",1,0)</x:f>
        <x:v>1</x:v>
      </x:c>
      <x:c r="F2900" s="21" t="n">
        <x:v>1</x:v>
      </x:c>
      <x:c r="G2900" s="23" t="str">
        <x:f>IF(E2900=F2900,"PASS","FAIL")</x:f>
        <x:v>PASS</x:v>
      </x:c>
    </x:row>
    <x:row r="2901">
      <x:c r="B2901" s="21" t="str">
        <x:v>A2895</x:v>
      </x:c>
      <x:c r="C2901" s="21" t="str">
        <x:v>rights</x:v>
      </x:c>
      <x:c r="D2901" s="21" t="str">
        <x:v>right 181 zero credit</x:v>
      </x:c>
      <x:c r="E2901" s="21" t="n">
        <x:f>IF('Rights Register'!J181=0,1,0)</x:f>
        <x:v>1</x:v>
      </x:c>
      <x:c r="F2901" s="21" t="n">
        <x:v>1</x:v>
      </x:c>
      <x:c r="G2901" s="23" t="str">
        <x:f>IF(E2901=F2901,"PASS","FAIL")</x:f>
        <x:v>PASS</x:v>
      </x:c>
    </x:row>
    <x:row r="2902">
      <x:c r="B2902" s="21" t="str">
        <x:v>A2896</x:v>
      </x:c>
      <x:c r="C2902" s="21" t="str">
        <x:v>rights</x:v>
      </x:c>
      <x:c r="D2902" s="21" t="str">
        <x:v>right 182 required</x:v>
      </x:c>
      <x:c r="E2902" s="21" t="n">
        <x:f>IF('Rights Register'!G182=1,1,0)</x:f>
        <x:v>1</x:v>
      </x:c>
      <x:c r="F2902" s="21" t="n">
        <x:v>1</x:v>
      </x:c>
      <x:c r="G2902" s="23" t="str">
        <x:f>IF(E2902=F2902,"PASS","FAIL")</x:f>
        <x:v>PASS</x:v>
      </x:c>
    </x:row>
    <x:row r="2903">
      <x:c r="B2903" s="21" t="str">
        <x:v>A2897</x:v>
      </x:c>
      <x:c r="C2903" s="21" t="str">
        <x:v>rights</x:v>
      </x:c>
      <x:c r="D2903" s="21" t="str">
        <x:v>right 182 offered</x:v>
      </x:c>
      <x:c r="E2903" s="21" t="n">
        <x:f>IF('Rights Register'!H182=1,1,0)</x:f>
        <x:v>1</x:v>
      </x:c>
      <x:c r="F2903" s="21" t="n">
        <x:v>1</x:v>
      </x:c>
      <x:c r="G2903" s="23" t="str">
        <x:f>IF(E2903=F2903,"PASS","FAIL")</x:f>
        <x:v>PASS</x:v>
      </x:c>
    </x:row>
    <x:row r="2904">
      <x:c r="B2904" s="21" t="str">
        <x:v>A2898</x:v>
      </x:c>
      <x:c r="C2904" s="21" t="str">
        <x:v>rights</x:v>
      </x:c>
      <x:c r="D2904" s="21" t="str">
        <x:v>right 182 evidence open</x:v>
      </x:c>
      <x:c r="E2904" s="21" t="n">
        <x:f>IF('Rights Register'!I182="OPEN",1,0)</x:f>
        <x:v>1</x:v>
      </x:c>
      <x:c r="F2904" s="21" t="n">
        <x:v>1</x:v>
      </x:c>
      <x:c r="G2904" s="23" t="str">
        <x:f>IF(E2904=F2904,"PASS","FAIL")</x:f>
        <x:v>PASS</x:v>
      </x:c>
    </x:row>
    <x:row r="2905">
      <x:c r="B2905" s="21" t="str">
        <x:v>A2899</x:v>
      </x:c>
      <x:c r="C2905" s="21" t="str">
        <x:v>rights</x:v>
      </x:c>
      <x:c r="D2905" s="21" t="str">
        <x:v>right 182 zero credit</x:v>
      </x:c>
      <x:c r="E2905" s="21" t="n">
        <x:f>IF('Rights Register'!J182=0,1,0)</x:f>
        <x:v>1</x:v>
      </x:c>
      <x:c r="F2905" s="21" t="n">
        <x:v>1</x:v>
      </x:c>
      <x:c r="G2905" s="23" t="str">
        <x:f>IF(E2905=F2905,"PASS","FAIL")</x:f>
        <x:v>PASS</x:v>
      </x:c>
    </x:row>
    <x:row r="2906">
      <x:c r="B2906" s="21" t="str">
        <x:v>A2900</x:v>
      </x:c>
      <x:c r="C2906" s="21" t="str">
        <x:v>rights</x:v>
      </x:c>
      <x:c r="D2906" s="21" t="str">
        <x:v>right 183 required</x:v>
      </x:c>
      <x:c r="E2906" s="21" t="n">
        <x:f>IF('Rights Register'!G183=1,1,0)</x:f>
        <x:v>1</x:v>
      </x:c>
      <x:c r="F2906" s="21" t="n">
        <x:v>1</x:v>
      </x:c>
      <x:c r="G2906" s="23" t="str">
        <x:f>IF(E2906=F2906,"PASS","FAIL")</x:f>
        <x:v>PASS</x:v>
      </x:c>
    </x:row>
    <x:row r="2907">
      <x:c r="B2907" s="21" t="str">
        <x:v>A2901</x:v>
      </x:c>
      <x:c r="C2907" s="21" t="str">
        <x:v>rights</x:v>
      </x:c>
      <x:c r="D2907" s="21" t="str">
        <x:v>right 183 offered</x:v>
      </x:c>
      <x:c r="E2907" s="21" t="n">
        <x:f>IF('Rights Register'!H183=1,1,0)</x:f>
        <x:v>1</x:v>
      </x:c>
      <x:c r="F2907" s="21" t="n">
        <x:v>1</x:v>
      </x:c>
      <x:c r="G2907" s="23" t="str">
        <x:f>IF(E2907=F2907,"PASS","FAIL")</x:f>
        <x:v>PASS</x:v>
      </x:c>
    </x:row>
    <x:row r="2908">
      <x:c r="B2908" s="21" t="str">
        <x:v>A2902</x:v>
      </x:c>
      <x:c r="C2908" s="21" t="str">
        <x:v>rights</x:v>
      </x:c>
      <x:c r="D2908" s="21" t="str">
        <x:v>right 183 evidence open</x:v>
      </x:c>
      <x:c r="E2908" s="21" t="n">
        <x:f>IF('Rights Register'!I183="OPEN",1,0)</x:f>
        <x:v>1</x:v>
      </x:c>
      <x:c r="F2908" s="21" t="n">
        <x:v>1</x:v>
      </x:c>
      <x:c r="G2908" s="23" t="str">
        <x:f>IF(E2908=F2908,"PASS","FAIL")</x:f>
        <x:v>PASS</x:v>
      </x:c>
    </x:row>
    <x:row r="2909">
      <x:c r="B2909" s="21" t="str">
        <x:v>A2903</x:v>
      </x:c>
      <x:c r="C2909" s="21" t="str">
        <x:v>rights</x:v>
      </x:c>
      <x:c r="D2909" s="21" t="str">
        <x:v>right 183 zero credit</x:v>
      </x:c>
      <x:c r="E2909" s="21" t="n">
        <x:f>IF('Rights Register'!J183=0,1,0)</x:f>
        <x:v>1</x:v>
      </x:c>
      <x:c r="F2909" s="21" t="n">
        <x:v>1</x:v>
      </x:c>
      <x:c r="G2909" s="23" t="str">
        <x:f>IF(E2909=F2909,"PASS","FAIL")</x:f>
        <x:v>PASS</x:v>
      </x:c>
    </x:row>
    <x:row r="2910">
      <x:c r="B2910" s="21" t="str">
        <x:v>A2904</x:v>
      </x:c>
      <x:c r="C2910" s="21" t="str">
        <x:v>rights</x:v>
      </x:c>
      <x:c r="D2910" s="21" t="str">
        <x:v>right 184 required</x:v>
      </x:c>
      <x:c r="E2910" s="21" t="n">
        <x:f>IF('Rights Register'!G184=1,1,0)</x:f>
        <x:v>1</x:v>
      </x:c>
      <x:c r="F2910" s="21" t="n">
        <x:v>1</x:v>
      </x:c>
      <x:c r="G2910" s="23" t="str">
        <x:f>IF(E2910=F2910,"PASS","FAIL")</x:f>
        <x:v>PASS</x:v>
      </x:c>
    </x:row>
    <x:row r="2911">
      <x:c r="B2911" s="21" t="str">
        <x:v>A2905</x:v>
      </x:c>
      <x:c r="C2911" s="21" t="str">
        <x:v>rights</x:v>
      </x:c>
      <x:c r="D2911" s="21" t="str">
        <x:v>right 184 offered</x:v>
      </x:c>
      <x:c r="E2911" s="21" t="n">
        <x:f>IF('Rights Register'!H184=1,1,0)</x:f>
        <x:v>1</x:v>
      </x:c>
      <x:c r="F2911" s="21" t="n">
        <x:v>1</x:v>
      </x:c>
      <x:c r="G2911" s="23" t="str">
        <x:f>IF(E2911=F2911,"PASS","FAIL")</x:f>
        <x:v>PASS</x:v>
      </x:c>
    </x:row>
    <x:row r="2912">
      <x:c r="B2912" s="21" t="str">
        <x:v>A2906</x:v>
      </x:c>
      <x:c r="C2912" s="21" t="str">
        <x:v>rights</x:v>
      </x:c>
      <x:c r="D2912" s="21" t="str">
        <x:v>right 184 evidence open</x:v>
      </x:c>
      <x:c r="E2912" s="21" t="n">
        <x:f>IF('Rights Register'!I184="OPEN",1,0)</x:f>
        <x:v>1</x:v>
      </x:c>
      <x:c r="F2912" s="21" t="n">
        <x:v>1</x:v>
      </x:c>
      <x:c r="G2912" s="23" t="str">
        <x:f>IF(E2912=F2912,"PASS","FAIL")</x:f>
        <x:v>PASS</x:v>
      </x:c>
    </x:row>
    <x:row r="2913">
      <x:c r="B2913" s="21" t="str">
        <x:v>A2907</x:v>
      </x:c>
      <x:c r="C2913" s="21" t="str">
        <x:v>rights</x:v>
      </x:c>
      <x:c r="D2913" s="21" t="str">
        <x:v>right 184 zero credit</x:v>
      </x:c>
      <x:c r="E2913" s="21" t="n">
        <x:f>IF('Rights Register'!J184=0,1,0)</x:f>
        <x:v>1</x:v>
      </x:c>
      <x:c r="F2913" s="21" t="n">
        <x:v>1</x:v>
      </x:c>
      <x:c r="G2913" s="23" t="str">
        <x:f>IF(E2913=F2913,"PASS","FAIL")</x:f>
        <x:v>PASS</x:v>
      </x:c>
    </x:row>
    <x:row r="2914">
      <x:c r="B2914" s="21" t="str">
        <x:v>A2908</x:v>
      </x:c>
      <x:c r="C2914" s="21" t="str">
        <x:v>rights</x:v>
      </x:c>
      <x:c r="D2914" s="21" t="str">
        <x:v>right 185 required</x:v>
      </x:c>
      <x:c r="E2914" s="21" t="n">
        <x:f>IF('Rights Register'!G185=1,1,0)</x:f>
        <x:v>1</x:v>
      </x:c>
      <x:c r="F2914" s="21" t="n">
        <x:v>1</x:v>
      </x:c>
      <x:c r="G2914" s="23" t="str">
        <x:f>IF(E2914=F2914,"PASS","FAIL")</x:f>
        <x:v>PASS</x:v>
      </x:c>
    </x:row>
    <x:row r="2915">
      <x:c r="B2915" s="21" t="str">
        <x:v>A2909</x:v>
      </x:c>
      <x:c r="C2915" s="21" t="str">
        <x:v>rights</x:v>
      </x:c>
      <x:c r="D2915" s="21" t="str">
        <x:v>right 185 offered</x:v>
      </x:c>
      <x:c r="E2915" s="21" t="n">
        <x:f>IF('Rights Register'!H185=1,1,0)</x:f>
        <x:v>1</x:v>
      </x:c>
      <x:c r="F2915" s="21" t="n">
        <x:v>1</x:v>
      </x:c>
      <x:c r="G2915" s="23" t="str">
        <x:f>IF(E2915=F2915,"PASS","FAIL")</x:f>
        <x:v>PASS</x:v>
      </x:c>
    </x:row>
    <x:row r="2916">
      <x:c r="B2916" s="21" t="str">
        <x:v>A2910</x:v>
      </x:c>
      <x:c r="C2916" s="21" t="str">
        <x:v>rights</x:v>
      </x:c>
      <x:c r="D2916" s="21" t="str">
        <x:v>right 185 evidence open</x:v>
      </x:c>
      <x:c r="E2916" s="21" t="n">
        <x:f>IF('Rights Register'!I185="OPEN",1,0)</x:f>
        <x:v>1</x:v>
      </x:c>
      <x:c r="F2916" s="21" t="n">
        <x:v>1</x:v>
      </x:c>
      <x:c r="G2916" s="23" t="str">
        <x:f>IF(E2916=F2916,"PASS","FAIL")</x:f>
        <x:v>PASS</x:v>
      </x:c>
    </x:row>
    <x:row r="2917">
      <x:c r="B2917" s="21" t="str">
        <x:v>A2911</x:v>
      </x:c>
      <x:c r="C2917" s="21" t="str">
        <x:v>rights</x:v>
      </x:c>
      <x:c r="D2917" s="21" t="str">
        <x:v>right 185 zero credit</x:v>
      </x:c>
      <x:c r="E2917" s="21" t="n">
        <x:f>IF('Rights Register'!J185=0,1,0)</x:f>
        <x:v>1</x:v>
      </x:c>
      <x:c r="F2917" s="21" t="n">
        <x:v>1</x:v>
      </x:c>
      <x:c r="G2917" s="23" t="str">
        <x:f>IF(E2917=F2917,"PASS","FAIL")</x:f>
        <x:v>PASS</x:v>
      </x:c>
    </x:row>
    <x:row r="2918">
      <x:c r="B2918" s="21" t="str">
        <x:v>A2912</x:v>
      </x:c>
      <x:c r="C2918" s="21" t="str">
        <x:v>rights</x:v>
      </x:c>
      <x:c r="D2918" s="21" t="str">
        <x:v>right 186 required</x:v>
      </x:c>
      <x:c r="E2918" s="21" t="n">
        <x:f>IF('Rights Register'!G186=1,1,0)</x:f>
        <x:v>1</x:v>
      </x:c>
      <x:c r="F2918" s="21" t="n">
        <x:v>1</x:v>
      </x:c>
      <x:c r="G2918" s="23" t="str">
        <x:f>IF(E2918=F2918,"PASS","FAIL")</x:f>
        <x:v>PASS</x:v>
      </x:c>
    </x:row>
    <x:row r="2919">
      <x:c r="B2919" s="21" t="str">
        <x:v>A2913</x:v>
      </x:c>
      <x:c r="C2919" s="21" t="str">
        <x:v>rights</x:v>
      </x:c>
      <x:c r="D2919" s="21" t="str">
        <x:v>right 186 offered</x:v>
      </x:c>
      <x:c r="E2919" s="21" t="n">
        <x:f>IF('Rights Register'!H186=1,1,0)</x:f>
        <x:v>1</x:v>
      </x:c>
      <x:c r="F2919" s="21" t="n">
        <x:v>1</x:v>
      </x:c>
      <x:c r="G2919" s="23" t="str">
        <x:f>IF(E2919=F2919,"PASS","FAIL")</x:f>
        <x:v>PASS</x:v>
      </x:c>
    </x:row>
    <x:row r="2920">
      <x:c r="B2920" s="21" t="str">
        <x:v>A2914</x:v>
      </x:c>
      <x:c r="C2920" s="21" t="str">
        <x:v>rights</x:v>
      </x:c>
      <x:c r="D2920" s="21" t="str">
        <x:v>right 186 evidence open</x:v>
      </x:c>
      <x:c r="E2920" s="21" t="n">
        <x:f>IF('Rights Register'!I186="OPEN",1,0)</x:f>
        <x:v>1</x:v>
      </x:c>
      <x:c r="F2920" s="21" t="n">
        <x:v>1</x:v>
      </x:c>
      <x:c r="G2920" s="23" t="str">
        <x:f>IF(E2920=F2920,"PASS","FAIL")</x:f>
        <x:v>PASS</x:v>
      </x:c>
    </x:row>
    <x:row r="2921">
      <x:c r="B2921" s="21" t="str">
        <x:v>A2915</x:v>
      </x:c>
      <x:c r="C2921" s="21" t="str">
        <x:v>rights</x:v>
      </x:c>
      <x:c r="D2921" s="21" t="str">
        <x:v>right 186 zero credit</x:v>
      </x:c>
      <x:c r="E2921" s="21" t="n">
        <x:f>IF('Rights Register'!J186=0,1,0)</x:f>
        <x:v>1</x:v>
      </x:c>
      <x:c r="F2921" s="21" t="n">
        <x:v>1</x:v>
      </x:c>
      <x:c r="G2921" s="23" t="str">
        <x:f>IF(E2921=F2921,"PASS","FAIL")</x:f>
        <x:v>PASS</x:v>
      </x:c>
    </x:row>
    <x:row r="2922">
      <x:c r="B2922" s="21" t="str">
        <x:v>A2916</x:v>
      </x:c>
      <x:c r="C2922" s="21" t="str">
        <x:v>rights</x:v>
      </x:c>
      <x:c r="D2922" s="21" t="str">
        <x:v>right 187 required</x:v>
      </x:c>
      <x:c r="E2922" s="21" t="n">
        <x:f>IF('Rights Register'!G187=1,1,0)</x:f>
        <x:v>1</x:v>
      </x:c>
      <x:c r="F2922" s="21" t="n">
        <x:v>1</x:v>
      </x:c>
      <x:c r="G2922" s="23" t="str">
        <x:f>IF(E2922=F2922,"PASS","FAIL")</x:f>
        <x:v>PASS</x:v>
      </x:c>
    </x:row>
    <x:row r="2923">
      <x:c r="B2923" s="21" t="str">
        <x:v>A2917</x:v>
      </x:c>
      <x:c r="C2923" s="21" t="str">
        <x:v>rights</x:v>
      </x:c>
      <x:c r="D2923" s="21" t="str">
        <x:v>right 187 offered</x:v>
      </x:c>
      <x:c r="E2923" s="21" t="n">
        <x:f>IF('Rights Register'!H187=1,1,0)</x:f>
        <x:v>1</x:v>
      </x:c>
      <x:c r="F2923" s="21" t="n">
        <x:v>1</x:v>
      </x:c>
      <x:c r="G2923" s="23" t="str">
        <x:f>IF(E2923=F2923,"PASS","FAIL")</x:f>
        <x:v>PASS</x:v>
      </x:c>
    </x:row>
    <x:row r="2924">
      <x:c r="B2924" s="21" t="str">
        <x:v>A2918</x:v>
      </x:c>
      <x:c r="C2924" s="21" t="str">
        <x:v>rights</x:v>
      </x:c>
      <x:c r="D2924" s="21" t="str">
        <x:v>right 187 evidence open</x:v>
      </x:c>
      <x:c r="E2924" s="21" t="n">
        <x:f>IF('Rights Register'!I187="OPEN",1,0)</x:f>
        <x:v>1</x:v>
      </x:c>
      <x:c r="F2924" s="21" t="n">
        <x:v>1</x:v>
      </x:c>
      <x:c r="G2924" s="23" t="str">
        <x:f>IF(E2924=F2924,"PASS","FAIL")</x:f>
        <x:v>PASS</x:v>
      </x:c>
    </x:row>
    <x:row r="2925">
      <x:c r="B2925" s="21" t="str">
        <x:v>A2919</x:v>
      </x:c>
      <x:c r="C2925" s="21" t="str">
        <x:v>rights</x:v>
      </x:c>
      <x:c r="D2925" s="21" t="str">
        <x:v>right 187 zero credit</x:v>
      </x:c>
      <x:c r="E2925" s="21" t="n">
        <x:f>IF('Rights Register'!J187=0,1,0)</x:f>
        <x:v>1</x:v>
      </x:c>
      <x:c r="F2925" s="21" t="n">
        <x:v>1</x:v>
      </x:c>
      <x:c r="G2925" s="23" t="str">
        <x:f>IF(E2925=F2925,"PASS","FAIL")</x:f>
        <x:v>PASS</x:v>
      </x:c>
    </x:row>
    <x:row r="2926">
      <x:c r="B2926" s="21" t="str">
        <x:v>A2920</x:v>
      </x:c>
      <x:c r="C2926" s="21" t="str">
        <x:v>rights</x:v>
      </x:c>
      <x:c r="D2926" s="21" t="str">
        <x:v>right 188 required</x:v>
      </x:c>
      <x:c r="E2926" s="21" t="n">
        <x:f>IF('Rights Register'!G188=1,1,0)</x:f>
        <x:v>1</x:v>
      </x:c>
      <x:c r="F2926" s="21" t="n">
        <x:v>1</x:v>
      </x:c>
      <x:c r="G2926" s="23" t="str">
        <x:f>IF(E2926=F2926,"PASS","FAIL")</x:f>
        <x:v>PASS</x:v>
      </x:c>
    </x:row>
    <x:row r="2927">
      <x:c r="B2927" s="21" t="str">
        <x:v>A2921</x:v>
      </x:c>
      <x:c r="C2927" s="21" t="str">
        <x:v>rights</x:v>
      </x:c>
      <x:c r="D2927" s="21" t="str">
        <x:v>right 188 offered</x:v>
      </x:c>
      <x:c r="E2927" s="21" t="n">
        <x:f>IF('Rights Register'!H188=1,1,0)</x:f>
        <x:v>1</x:v>
      </x:c>
      <x:c r="F2927" s="21" t="n">
        <x:v>1</x:v>
      </x:c>
      <x:c r="G2927" s="23" t="str">
        <x:f>IF(E2927=F2927,"PASS","FAIL")</x:f>
        <x:v>PASS</x:v>
      </x:c>
    </x:row>
    <x:row r="2928">
      <x:c r="B2928" s="21" t="str">
        <x:v>A2922</x:v>
      </x:c>
      <x:c r="C2928" s="21" t="str">
        <x:v>rights</x:v>
      </x:c>
      <x:c r="D2928" s="21" t="str">
        <x:v>right 188 evidence open</x:v>
      </x:c>
      <x:c r="E2928" s="21" t="n">
        <x:f>IF('Rights Register'!I188="OPEN",1,0)</x:f>
        <x:v>1</x:v>
      </x:c>
      <x:c r="F2928" s="21" t="n">
        <x:v>1</x:v>
      </x:c>
      <x:c r="G2928" s="23" t="str">
        <x:f>IF(E2928=F2928,"PASS","FAIL")</x:f>
        <x:v>PASS</x:v>
      </x:c>
    </x:row>
    <x:row r="2929">
      <x:c r="B2929" s="21" t="str">
        <x:v>A2923</x:v>
      </x:c>
      <x:c r="C2929" s="21" t="str">
        <x:v>rights</x:v>
      </x:c>
      <x:c r="D2929" s="21" t="str">
        <x:v>right 188 zero credit</x:v>
      </x:c>
      <x:c r="E2929" s="21" t="n">
        <x:f>IF('Rights Register'!J188=0,1,0)</x:f>
        <x:v>1</x:v>
      </x:c>
      <x:c r="F2929" s="21" t="n">
        <x:v>1</x:v>
      </x:c>
      <x:c r="G2929" s="23" t="str">
        <x:f>IF(E2929=F2929,"PASS","FAIL")</x:f>
        <x:v>PASS</x:v>
      </x:c>
    </x:row>
    <x:row r="2930">
      <x:c r="B2930" s="21" t="str">
        <x:v>A2924</x:v>
      </x:c>
      <x:c r="C2930" s="21" t="str">
        <x:v>rights</x:v>
      </x:c>
      <x:c r="D2930" s="21" t="str">
        <x:v>right 189 required</x:v>
      </x:c>
      <x:c r="E2930" s="21" t="n">
        <x:f>IF('Rights Register'!G189=1,1,0)</x:f>
        <x:v>1</x:v>
      </x:c>
      <x:c r="F2930" s="21" t="n">
        <x:v>1</x:v>
      </x:c>
      <x:c r="G2930" s="23" t="str">
        <x:f>IF(E2930=F2930,"PASS","FAIL")</x:f>
        <x:v>PASS</x:v>
      </x:c>
    </x:row>
    <x:row r="2931">
      <x:c r="B2931" s="21" t="str">
        <x:v>A2925</x:v>
      </x:c>
      <x:c r="C2931" s="21" t="str">
        <x:v>rights</x:v>
      </x:c>
      <x:c r="D2931" s="21" t="str">
        <x:v>right 189 offered</x:v>
      </x:c>
      <x:c r="E2931" s="21" t="n">
        <x:f>IF('Rights Register'!H189=1,1,0)</x:f>
        <x:v>1</x:v>
      </x:c>
      <x:c r="F2931" s="21" t="n">
        <x:v>1</x:v>
      </x:c>
      <x:c r="G2931" s="23" t="str">
        <x:f>IF(E2931=F2931,"PASS","FAIL")</x:f>
        <x:v>PASS</x:v>
      </x:c>
    </x:row>
    <x:row r="2932">
      <x:c r="B2932" s="21" t="str">
        <x:v>A2926</x:v>
      </x:c>
      <x:c r="C2932" s="21" t="str">
        <x:v>rights</x:v>
      </x:c>
      <x:c r="D2932" s="21" t="str">
        <x:v>right 189 evidence open</x:v>
      </x:c>
      <x:c r="E2932" s="21" t="n">
        <x:f>IF('Rights Register'!I189="OPEN",1,0)</x:f>
        <x:v>1</x:v>
      </x:c>
      <x:c r="F2932" s="21" t="n">
        <x:v>1</x:v>
      </x:c>
      <x:c r="G2932" s="23" t="str">
        <x:f>IF(E2932=F2932,"PASS","FAIL")</x:f>
        <x:v>PASS</x:v>
      </x:c>
    </x:row>
    <x:row r="2933">
      <x:c r="B2933" s="21" t="str">
        <x:v>A2927</x:v>
      </x:c>
      <x:c r="C2933" s="21" t="str">
        <x:v>rights</x:v>
      </x:c>
      <x:c r="D2933" s="21" t="str">
        <x:v>right 189 zero credit</x:v>
      </x:c>
      <x:c r="E2933" s="21" t="n">
        <x:f>IF('Rights Register'!J189=0,1,0)</x:f>
        <x:v>1</x:v>
      </x:c>
      <x:c r="F2933" s="21" t="n">
        <x:v>1</x:v>
      </x:c>
      <x:c r="G2933" s="23" t="str">
        <x:f>IF(E2933=F2933,"PASS","FAIL")</x:f>
        <x:v>PASS</x:v>
      </x:c>
    </x:row>
    <x:row r="2934">
      <x:c r="B2934" s="21" t="str">
        <x:v>A2928</x:v>
      </x:c>
      <x:c r="C2934" s="21" t="str">
        <x:v>rights</x:v>
      </x:c>
      <x:c r="D2934" s="21" t="str">
        <x:v>right 190 required</x:v>
      </x:c>
      <x:c r="E2934" s="21" t="n">
        <x:f>IF('Rights Register'!G190=1,1,0)</x:f>
        <x:v>1</x:v>
      </x:c>
      <x:c r="F2934" s="21" t="n">
        <x:v>1</x:v>
      </x:c>
      <x:c r="G2934" s="23" t="str">
        <x:f>IF(E2934=F2934,"PASS","FAIL")</x:f>
        <x:v>PASS</x:v>
      </x:c>
    </x:row>
    <x:row r="2935">
      <x:c r="B2935" s="21" t="str">
        <x:v>A2929</x:v>
      </x:c>
      <x:c r="C2935" s="21" t="str">
        <x:v>rights</x:v>
      </x:c>
      <x:c r="D2935" s="21" t="str">
        <x:v>right 190 offered</x:v>
      </x:c>
      <x:c r="E2935" s="21" t="n">
        <x:f>IF('Rights Register'!H190=1,1,0)</x:f>
        <x:v>1</x:v>
      </x:c>
      <x:c r="F2935" s="21" t="n">
        <x:v>1</x:v>
      </x:c>
      <x:c r="G2935" s="23" t="str">
        <x:f>IF(E2935=F2935,"PASS","FAIL")</x:f>
        <x:v>PASS</x:v>
      </x:c>
    </x:row>
    <x:row r="2936">
      <x:c r="B2936" s="21" t="str">
        <x:v>A2930</x:v>
      </x:c>
      <x:c r="C2936" s="21" t="str">
        <x:v>rights</x:v>
      </x:c>
      <x:c r="D2936" s="21" t="str">
        <x:v>right 190 evidence open</x:v>
      </x:c>
      <x:c r="E2936" s="21" t="n">
        <x:f>IF('Rights Register'!I190="OPEN",1,0)</x:f>
        <x:v>1</x:v>
      </x:c>
      <x:c r="F2936" s="21" t="n">
        <x:v>1</x:v>
      </x:c>
      <x:c r="G2936" s="23" t="str">
        <x:f>IF(E2936=F2936,"PASS","FAIL")</x:f>
        <x:v>PASS</x:v>
      </x:c>
    </x:row>
    <x:row r="2937">
      <x:c r="B2937" s="21" t="str">
        <x:v>A2931</x:v>
      </x:c>
      <x:c r="C2937" s="21" t="str">
        <x:v>rights</x:v>
      </x:c>
      <x:c r="D2937" s="21" t="str">
        <x:v>right 190 zero credit</x:v>
      </x:c>
      <x:c r="E2937" s="21" t="n">
        <x:f>IF('Rights Register'!J190=0,1,0)</x:f>
        <x:v>1</x:v>
      </x:c>
      <x:c r="F2937" s="21" t="n">
        <x:v>1</x:v>
      </x:c>
      <x:c r="G2937" s="23" t="str">
        <x:f>IF(E2937=F2937,"PASS","FAIL")</x:f>
        <x:v>PASS</x:v>
      </x:c>
    </x:row>
    <x:row r="2938">
      <x:c r="B2938" s="21" t="str">
        <x:v>A2932</x:v>
      </x:c>
      <x:c r="C2938" s="21" t="str">
        <x:v>rights</x:v>
      </x:c>
      <x:c r="D2938" s="21" t="str">
        <x:v>right 191 required</x:v>
      </x:c>
      <x:c r="E2938" s="21" t="n">
        <x:f>IF('Rights Register'!G191=1,1,0)</x:f>
        <x:v>1</x:v>
      </x:c>
      <x:c r="F2938" s="21" t="n">
        <x:v>1</x:v>
      </x:c>
      <x:c r="G2938" s="23" t="str">
        <x:f>IF(E2938=F2938,"PASS","FAIL")</x:f>
        <x:v>PASS</x:v>
      </x:c>
    </x:row>
    <x:row r="2939">
      <x:c r="B2939" s="21" t="str">
        <x:v>A2933</x:v>
      </x:c>
      <x:c r="C2939" s="21" t="str">
        <x:v>rights</x:v>
      </x:c>
      <x:c r="D2939" s="21" t="str">
        <x:v>right 191 offered</x:v>
      </x:c>
      <x:c r="E2939" s="21" t="n">
        <x:f>IF('Rights Register'!H191=1,1,0)</x:f>
        <x:v>1</x:v>
      </x:c>
      <x:c r="F2939" s="21" t="n">
        <x:v>1</x:v>
      </x:c>
      <x:c r="G2939" s="23" t="str">
        <x:f>IF(E2939=F2939,"PASS","FAIL")</x:f>
        <x:v>PASS</x:v>
      </x:c>
    </x:row>
    <x:row r="2940">
      <x:c r="B2940" s="21" t="str">
        <x:v>A2934</x:v>
      </x:c>
      <x:c r="C2940" s="21" t="str">
        <x:v>rights</x:v>
      </x:c>
      <x:c r="D2940" s="21" t="str">
        <x:v>right 191 evidence open</x:v>
      </x:c>
      <x:c r="E2940" s="21" t="n">
        <x:f>IF('Rights Register'!I191="OPEN",1,0)</x:f>
        <x:v>1</x:v>
      </x:c>
      <x:c r="F2940" s="21" t="n">
        <x:v>1</x:v>
      </x:c>
      <x:c r="G2940" s="23" t="str">
        <x:f>IF(E2940=F2940,"PASS","FAIL")</x:f>
        <x:v>PASS</x:v>
      </x:c>
    </x:row>
    <x:row r="2941">
      <x:c r="B2941" s="21" t="str">
        <x:v>A2935</x:v>
      </x:c>
      <x:c r="C2941" s="21" t="str">
        <x:v>rights</x:v>
      </x:c>
      <x:c r="D2941" s="21" t="str">
        <x:v>right 191 zero credit</x:v>
      </x:c>
      <x:c r="E2941" s="21" t="n">
        <x:f>IF('Rights Register'!J191=0,1,0)</x:f>
        <x:v>1</x:v>
      </x:c>
      <x:c r="F2941" s="21" t="n">
        <x:v>1</x:v>
      </x:c>
      <x:c r="G2941" s="23" t="str">
        <x:f>IF(E2941=F2941,"PASS","FAIL")</x:f>
        <x:v>PASS</x:v>
      </x:c>
    </x:row>
    <x:row r="2942">
      <x:c r="B2942" s="21" t="str">
        <x:v>A2936</x:v>
      </x:c>
      <x:c r="C2942" s="21" t="str">
        <x:v>rights</x:v>
      </x:c>
      <x:c r="D2942" s="21" t="str">
        <x:v>right 192 required</x:v>
      </x:c>
      <x:c r="E2942" s="21" t="n">
        <x:f>IF('Rights Register'!G192=1,1,0)</x:f>
        <x:v>1</x:v>
      </x:c>
      <x:c r="F2942" s="21" t="n">
        <x:v>1</x:v>
      </x:c>
      <x:c r="G2942" s="23" t="str">
        <x:f>IF(E2942=F2942,"PASS","FAIL")</x:f>
        <x:v>PASS</x:v>
      </x:c>
    </x:row>
    <x:row r="2943">
      <x:c r="B2943" s="21" t="str">
        <x:v>A2937</x:v>
      </x:c>
      <x:c r="C2943" s="21" t="str">
        <x:v>rights</x:v>
      </x:c>
      <x:c r="D2943" s="21" t="str">
        <x:v>right 192 offered</x:v>
      </x:c>
      <x:c r="E2943" s="21" t="n">
        <x:f>IF('Rights Register'!H192=1,1,0)</x:f>
        <x:v>1</x:v>
      </x:c>
      <x:c r="F2943" s="21" t="n">
        <x:v>1</x:v>
      </x:c>
      <x:c r="G2943" s="23" t="str">
        <x:f>IF(E2943=F2943,"PASS","FAIL")</x:f>
        <x:v>PASS</x:v>
      </x:c>
    </x:row>
    <x:row r="2944">
      <x:c r="B2944" s="21" t="str">
        <x:v>A2938</x:v>
      </x:c>
      <x:c r="C2944" s="21" t="str">
        <x:v>rights</x:v>
      </x:c>
      <x:c r="D2944" s="21" t="str">
        <x:v>right 192 evidence open</x:v>
      </x:c>
      <x:c r="E2944" s="21" t="n">
        <x:f>IF('Rights Register'!I192="OPEN",1,0)</x:f>
        <x:v>1</x:v>
      </x:c>
      <x:c r="F2944" s="21" t="n">
        <x:v>1</x:v>
      </x:c>
      <x:c r="G2944" s="23" t="str">
        <x:f>IF(E2944=F2944,"PASS","FAIL")</x:f>
        <x:v>PASS</x:v>
      </x:c>
    </x:row>
    <x:row r="2945">
      <x:c r="B2945" s="21" t="str">
        <x:v>A2939</x:v>
      </x:c>
      <x:c r="C2945" s="21" t="str">
        <x:v>rights</x:v>
      </x:c>
      <x:c r="D2945" s="21" t="str">
        <x:v>right 192 zero credit</x:v>
      </x:c>
      <x:c r="E2945" s="21" t="n">
        <x:f>IF('Rights Register'!J192=0,1,0)</x:f>
        <x:v>1</x:v>
      </x:c>
      <x:c r="F2945" s="21" t="n">
        <x:v>1</x:v>
      </x:c>
      <x:c r="G2945" s="23" t="str">
        <x:f>IF(E2945=F2945,"PASS","FAIL")</x:f>
        <x:v>PASS</x:v>
      </x:c>
    </x:row>
    <x:row r="2946">
      <x:c r="B2946" s="21" t="str">
        <x:v>A2940</x:v>
      </x:c>
      <x:c r="C2946" s="21" t="str">
        <x:v>rights</x:v>
      </x:c>
      <x:c r="D2946" s="21" t="str">
        <x:v>right 193 required</x:v>
      </x:c>
      <x:c r="E2946" s="21" t="n">
        <x:f>IF('Rights Register'!G193=1,1,0)</x:f>
        <x:v>1</x:v>
      </x:c>
      <x:c r="F2946" s="21" t="n">
        <x:v>1</x:v>
      </x:c>
      <x:c r="G2946" s="23" t="str">
        <x:f>IF(E2946=F2946,"PASS","FAIL")</x:f>
        <x:v>PASS</x:v>
      </x:c>
    </x:row>
    <x:row r="2947">
      <x:c r="B2947" s="21" t="str">
        <x:v>A2941</x:v>
      </x:c>
      <x:c r="C2947" s="21" t="str">
        <x:v>rights</x:v>
      </x:c>
      <x:c r="D2947" s="21" t="str">
        <x:v>right 193 offered</x:v>
      </x:c>
      <x:c r="E2947" s="21" t="n">
        <x:f>IF('Rights Register'!H193=1,1,0)</x:f>
        <x:v>1</x:v>
      </x:c>
      <x:c r="F2947" s="21" t="n">
        <x:v>1</x:v>
      </x:c>
      <x:c r="G2947" s="23" t="str">
        <x:f>IF(E2947=F2947,"PASS","FAIL")</x:f>
        <x:v>PASS</x:v>
      </x:c>
    </x:row>
    <x:row r="2948">
      <x:c r="B2948" s="21" t="str">
        <x:v>A2942</x:v>
      </x:c>
      <x:c r="C2948" s="21" t="str">
        <x:v>rights</x:v>
      </x:c>
      <x:c r="D2948" s="21" t="str">
        <x:v>right 193 evidence open</x:v>
      </x:c>
      <x:c r="E2948" s="21" t="n">
        <x:f>IF('Rights Register'!I193="OPEN",1,0)</x:f>
        <x:v>1</x:v>
      </x:c>
      <x:c r="F2948" s="21" t="n">
        <x:v>1</x:v>
      </x:c>
      <x:c r="G2948" s="23" t="str">
        <x:f>IF(E2948=F2948,"PASS","FAIL")</x:f>
        <x:v>PASS</x:v>
      </x:c>
    </x:row>
    <x:row r="2949">
      <x:c r="B2949" s="21" t="str">
        <x:v>A2943</x:v>
      </x:c>
      <x:c r="C2949" s="21" t="str">
        <x:v>rights</x:v>
      </x:c>
      <x:c r="D2949" s="21" t="str">
        <x:v>right 193 zero credit</x:v>
      </x:c>
      <x:c r="E2949" s="21" t="n">
        <x:f>IF('Rights Register'!J193=0,1,0)</x:f>
        <x:v>1</x:v>
      </x:c>
      <x:c r="F2949" s="21" t="n">
        <x:v>1</x:v>
      </x:c>
      <x:c r="G2949" s="23" t="str">
        <x:f>IF(E2949=F2949,"PASS","FAIL")</x:f>
        <x:v>PASS</x:v>
      </x:c>
    </x:row>
    <x:row r="2950">
      <x:c r="B2950" s="21" t="str">
        <x:v>A2944</x:v>
      </x:c>
      <x:c r="C2950" s="21" t="str">
        <x:v>rights</x:v>
      </x:c>
      <x:c r="D2950" s="21" t="str">
        <x:v>right 194 required</x:v>
      </x:c>
      <x:c r="E2950" s="21" t="n">
        <x:f>IF('Rights Register'!G194=1,1,0)</x:f>
        <x:v>1</x:v>
      </x:c>
      <x:c r="F2950" s="21" t="n">
        <x:v>1</x:v>
      </x:c>
      <x:c r="G2950" s="23" t="str">
        <x:f>IF(E2950=F2950,"PASS","FAIL")</x:f>
        <x:v>PASS</x:v>
      </x:c>
    </x:row>
    <x:row r="2951">
      <x:c r="B2951" s="21" t="str">
        <x:v>A2945</x:v>
      </x:c>
      <x:c r="C2951" s="21" t="str">
        <x:v>rights</x:v>
      </x:c>
      <x:c r="D2951" s="21" t="str">
        <x:v>right 194 offered</x:v>
      </x:c>
      <x:c r="E2951" s="21" t="n">
        <x:f>IF('Rights Register'!H194=1,1,0)</x:f>
        <x:v>1</x:v>
      </x:c>
      <x:c r="F2951" s="21" t="n">
        <x:v>1</x:v>
      </x:c>
      <x:c r="G2951" s="23" t="str">
        <x:f>IF(E2951=F2951,"PASS","FAIL")</x:f>
        <x:v>PASS</x:v>
      </x:c>
    </x:row>
    <x:row r="2952">
      <x:c r="B2952" s="21" t="str">
        <x:v>A2946</x:v>
      </x:c>
      <x:c r="C2952" s="21" t="str">
        <x:v>rights</x:v>
      </x:c>
      <x:c r="D2952" s="21" t="str">
        <x:v>right 194 evidence open</x:v>
      </x:c>
      <x:c r="E2952" s="21" t="n">
        <x:f>IF('Rights Register'!I194="OPEN",1,0)</x:f>
        <x:v>1</x:v>
      </x:c>
      <x:c r="F2952" s="21" t="n">
        <x:v>1</x:v>
      </x:c>
      <x:c r="G2952" s="23" t="str">
        <x:f>IF(E2952=F2952,"PASS","FAIL")</x:f>
        <x:v>PASS</x:v>
      </x:c>
    </x:row>
    <x:row r="2953">
      <x:c r="B2953" s="21" t="str">
        <x:v>A2947</x:v>
      </x:c>
      <x:c r="C2953" s="21" t="str">
        <x:v>rights</x:v>
      </x:c>
      <x:c r="D2953" s="21" t="str">
        <x:v>right 194 zero credit</x:v>
      </x:c>
      <x:c r="E2953" s="21" t="n">
        <x:f>IF('Rights Register'!J194=0,1,0)</x:f>
        <x:v>1</x:v>
      </x:c>
      <x:c r="F2953" s="21" t="n">
        <x:v>1</x:v>
      </x:c>
      <x:c r="G2953" s="23" t="str">
        <x:f>IF(E2953=F2953,"PASS","FAIL")</x:f>
        <x:v>PASS</x:v>
      </x:c>
    </x:row>
    <x:row r="2954">
      <x:c r="B2954" s="21" t="str">
        <x:v>A2948</x:v>
      </x:c>
      <x:c r="C2954" s="21" t="str">
        <x:v>rights</x:v>
      </x:c>
      <x:c r="D2954" s="21" t="str">
        <x:v>right 195 required</x:v>
      </x:c>
      <x:c r="E2954" s="21" t="n">
        <x:f>IF('Rights Register'!G195=1,1,0)</x:f>
        <x:v>1</x:v>
      </x:c>
      <x:c r="F2954" s="21" t="n">
        <x:v>1</x:v>
      </x:c>
      <x:c r="G2954" s="23" t="str">
        <x:f>IF(E2954=F2954,"PASS","FAIL")</x:f>
        <x:v>PASS</x:v>
      </x:c>
    </x:row>
    <x:row r="2955">
      <x:c r="B2955" s="21" t="str">
        <x:v>A2949</x:v>
      </x:c>
      <x:c r="C2955" s="21" t="str">
        <x:v>rights</x:v>
      </x:c>
      <x:c r="D2955" s="21" t="str">
        <x:v>right 195 offered</x:v>
      </x:c>
      <x:c r="E2955" s="21" t="n">
        <x:f>IF('Rights Register'!H195=1,1,0)</x:f>
        <x:v>1</x:v>
      </x:c>
      <x:c r="F2955" s="21" t="n">
        <x:v>1</x:v>
      </x:c>
      <x:c r="G2955" s="23" t="str">
        <x:f>IF(E2955=F2955,"PASS","FAIL")</x:f>
        <x:v>PASS</x:v>
      </x:c>
    </x:row>
    <x:row r="2956">
      <x:c r="B2956" s="21" t="str">
        <x:v>A2950</x:v>
      </x:c>
      <x:c r="C2956" s="21" t="str">
        <x:v>rights</x:v>
      </x:c>
      <x:c r="D2956" s="21" t="str">
        <x:v>right 195 evidence open</x:v>
      </x:c>
      <x:c r="E2956" s="21" t="n">
        <x:f>IF('Rights Register'!I195="OPEN",1,0)</x:f>
        <x:v>1</x:v>
      </x:c>
      <x:c r="F2956" s="21" t="n">
        <x:v>1</x:v>
      </x:c>
      <x:c r="G2956" s="23" t="str">
        <x:f>IF(E2956=F2956,"PASS","FAIL")</x:f>
        <x:v>PASS</x:v>
      </x:c>
    </x:row>
    <x:row r="2957">
      <x:c r="B2957" s="21" t="str">
        <x:v>A2951</x:v>
      </x:c>
      <x:c r="C2957" s="21" t="str">
        <x:v>rights</x:v>
      </x:c>
      <x:c r="D2957" s="21" t="str">
        <x:v>right 195 zero credit</x:v>
      </x:c>
      <x:c r="E2957" s="21" t="n">
        <x:f>IF('Rights Register'!J195=0,1,0)</x:f>
        <x:v>1</x:v>
      </x:c>
      <x:c r="F2957" s="21" t="n">
        <x:v>1</x:v>
      </x:c>
      <x:c r="G2957" s="23" t="str">
        <x:f>IF(E2957=F2957,"PASS","FAIL")</x:f>
        <x:v>PASS</x:v>
      </x:c>
    </x:row>
    <x:row r="2958">
      <x:c r="B2958" s="21" t="str">
        <x:v>A2952</x:v>
      </x:c>
      <x:c r="C2958" s="21" t="str">
        <x:v>rights</x:v>
      </x:c>
      <x:c r="D2958" s="21" t="str">
        <x:v>right 196 required</x:v>
      </x:c>
      <x:c r="E2958" s="21" t="n">
        <x:f>IF('Rights Register'!G196=1,1,0)</x:f>
        <x:v>1</x:v>
      </x:c>
      <x:c r="F2958" s="21" t="n">
        <x:v>1</x:v>
      </x:c>
      <x:c r="G2958" s="23" t="str">
        <x:f>IF(E2958=F2958,"PASS","FAIL")</x:f>
        <x:v>PASS</x:v>
      </x:c>
    </x:row>
    <x:row r="2959">
      <x:c r="B2959" s="21" t="str">
        <x:v>A2953</x:v>
      </x:c>
      <x:c r="C2959" s="21" t="str">
        <x:v>rights</x:v>
      </x:c>
      <x:c r="D2959" s="21" t="str">
        <x:v>right 196 offered</x:v>
      </x:c>
      <x:c r="E2959" s="21" t="n">
        <x:f>IF('Rights Register'!H196=1,1,0)</x:f>
        <x:v>1</x:v>
      </x:c>
      <x:c r="F2959" s="21" t="n">
        <x:v>1</x:v>
      </x:c>
      <x:c r="G2959" s="23" t="str">
        <x:f>IF(E2959=F2959,"PASS","FAIL")</x:f>
        <x:v>PASS</x:v>
      </x:c>
    </x:row>
    <x:row r="2960">
      <x:c r="B2960" s="21" t="str">
        <x:v>A2954</x:v>
      </x:c>
      <x:c r="C2960" s="21" t="str">
        <x:v>rights</x:v>
      </x:c>
      <x:c r="D2960" s="21" t="str">
        <x:v>right 196 evidence open</x:v>
      </x:c>
      <x:c r="E2960" s="21" t="n">
        <x:f>IF('Rights Register'!I196="OPEN",1,0)</x:f>
        <x:v>1</x:v>
      </x:c>
      <x:c r="F2960" s="21" t="n">
        <x:v>1</x:v>
      </x:c>
      <x:c r="G2960" s="23" t="str">
        <x:f>IF(E2960=F2960,"PASS","FAIL")</x:f>
        <x:v>PASS</x:v>
      </x:c>
    </x:row>
    <x:row r="2961">
      <x:c r="B2961" s="21" t="str">
        <x:v>A2955</x:v>
      </x:c>
      <x:c r="C2961" s="21" t="str">
        <x:v>rights</x:v>
      </x:c>
      <x:c r="D2961" s="21" t="str">
        <x:v>right 196 zero credit</x:v>
      </x:c>
      <x:c r="E2961" s="21" t="n">
        <x:f>IF('Rights Register'!J196=0,1,0)</x:f>
        <x:v>1</x:v>
      </x:c>
      <x:c r="F2961" s="21" t="n">
        <x:v>1</x:v>
      </x:c>
      <x:c r="G2961" s="23" t="str">
        <x:f>IF(E2961=F2961,"PASS","FAIL")</x:f>
        <x:v>PASS</x:v>
      </x:c>
    </x:row>
    <x:row r="2962">
      <x:c r="B2962" s="21" t="str">
        <x:v>A2956</x:v>
      </x:c>
      <x:c r="C2962" s="21" t="str">
        <x:v>rights</x:v>
      </x:c>
      <x:c r="D2962" s="21" t="str">
        <x:v>right 197 required</x:v>
      </x:c>
      <x:c r="E2962" s="21" t="n">
        <x:f>IF('Rights Register'!G197=1,1,0)</x:f>
        <x:v>1</x:v>
      </x:c>
      <x:c r="F2962" s="21" t="n">
        <x:v>1</x:v>
      </x:c>
      <x:c r="G2962" s="23" t="str">
        <x:f>IF(E2962=F2962,"PASS","FAIL")</x:f>
        <x:v>PASS</x:v>
      </x:c>
    </x:row>
    <x:row r="2963">
      <x:c r="B2963" s="21" t="str">
        <x:v>A2957</x:v>
      </x:c>
      <x:c r="C2963" s="21" t="str">
        <x:v>rights</x:v>
      </x:c>
      <x:c r="D2963" s="21" t="str">
        <x:v>right 197 offered</x:v>
      </x:c>
      <x:c r="E2963" s="21" t="n">
        <x:f>IF('Rights Register'!H197=1,1,0)</x:f>
        <x:v>1</x:v>
      </x:c>
      <x:c r="F2963" s="21" t="n">
        <x:v>1</x:v>
      </x:c>
      <x:c r="G2963" s="23" t="str">
        <x:f>IF(E2963=F2963,"PASS","FAIL")</x:f>
        <x:v>PASS</x:v>
      </x:c>
    </x:row>
    <x:row r="2964">
      <x:c r="B2964" s="21" t="str">
        <x:v>A2958</x:v>
      </x:c>
      <x:c r="C2964" s="21" t="str">
        <x:v>rights</x:v>
      </x:c>
      <x:c r="D2964" s="21" t="str">
        <x:v>right 197 evidence open</x:v>
      </x:c>
      <x:c r="E2964" s="21" t="n">
        <x:f>IF('Rights Register'!I197="OPEN",1,0)</x:f>
        <x:v>1</x:v>
      </x:c>
      <x:c r="F2964" s="21" t="n">
        <x:v>1</x:v>
      </x:c>
      <x:c r="G2964" s="23" t="str">
        <x:f>IF(E2964=F2964,"PASS","FAIL")</x:f>
        <x:v>PASS</x:v>
      </x:c>
    </x:row>
    <x:row r="2965">
      <x:c r="B2965" s="21" t="str">
        <x:v>A2959</x:v>
      </x:c>
      <x:c r="C2965" s="21" t="str">
        <x:v>rights</x:v>
      </x:c>
      <x:c r="D2965" s="21" t="str">
        <x:v>right 197 zero credit</x:v>
      </x:c>
      <x:c r="E2965" s="21" t="n">
        <x:f>IF('Rights Register'!J197=0,1,0)</x:f>
        <x:v>1</x:v>
      </x:c>
      <x:c r="F2965" s="21" t="n">
        <x:v>1</x:v>
      </x:c>
      <x:c r="G2965" s="23" t="str">
        <x:f>IF(E2965=F2965,"PASS","FAIL")</x:f>
        <x:v>PASS</x:v>
      </x:c>
    </x:row>
    <x:row r="2966">
      <x:c r="B2966" s="21" t="str">
        <x:v>A2960</x:v>
      </x:c>
      <x:c r="C2966" s="21" t="str">
        <x:v>rights</x:v>
      </x:c>
      <x:c r="D2966" s="21" t="str">
        <x:v>right 198 required</x:v>
      </x:c>
      <x:c r="E2966" s="21" t="n">
        <x:f>IF('Rights Register'!G198=1,1,0)</x:f>
        <x:v>1</x:v>
      </x:c>
      <x:c r="F2966" s="21" t="n">
        <x:v>1</x:v>
      </x:c>
      <x:c r="G2966" s="23" t="str">
        <x:f>IF(E2966=F2966,"PASS","FAIL")</x:f>
        <x:v>PASS</x:v>
      </x:c>
    </x:row>
    <x:row r="2967">
      <x:c r="B2967" s="21" t="str">
        <x:v>A2961</x:v>
      </x:c>
      <x:c r="C2967" s="21" t="str">
        <x:v>rights</x:v>
      </x:c>
      <x:c r="D2967" s="21" t="str">
        <x:v>right 198 offered</x:v>
      </x:c>
      <x:c r="E2967" s="21" t="n">
        <x:f>IF('Rights Register'!H198=1,1,0)</x:f>
        <x:v>1</x:v>
      </x:c>
      <x:c r="F2967" s="21" t="n">
        <x:v>1</x:v>
      </x:c>
      <x:c r="G2967" s="23" t="str">
        <x:f>IF(E2967=F2967,"PASS","FAIL")</x:f>
        <x:v>PASS</x:v>
      </x:c>
    </x:row>
    <x:row r="2968">
      <x:c r="B2968" s="21" t="str">
        <x:v>A2962</x:v>
      </x:c>
      <x:c r="C2968" s="21" t="str">
        <x:v>rights</x:v>
      </x:c>
      <x:c r="D2968" s="21" t="str">
        <x:v>right 198 evidence open</x:v>
      </x:c>
      <x:c r="E2968" s="21" t="n">
        <x:f>IF('Rights Register'!I198="OPEN",1,0)</x:f>
        <x:v>1</x:v>
      </x:c>
      <x:c r="F2968" s="21" t="n">
        <x:v>1</x:v>
      </x:c>
      <x:c r="G2968" s="23" t="str">
        <x:f>IF(E2968=F2968,"PASS","FAIL")</x:f>
        <x:v>PASS</x:v>
      </x:c>
    </x:row>
    <x:row r="2969">
      <x:c r="B2969" s="21" t="str">
        <x:v>A2963</x:v>
      </x:c>
      <x:c r="C2969" s="21" t="str">
        <x:v>rights</x:v>
      </x:c>
      <x:c r="D2969" s="21" t="str">
        <x:v>right 198 zero credit</x:v>
      </x:c>
      <x:c r="E2969" s="21" t="n">
        <x:f>IF('Rights Register'!J198=0,1,0)</x:f>
        <x:v>1</x:v>
      </x:c>
      <x:c r="F2969" s="21" t="n">
        <x:v>1</x:v>
      </x:c>
      <x:c r="G2969" s="23" t="str">
        <x:f>IF(E2969=F2969,"PASS","FAIL")</x:f>
        <x:v>PASS</x:v>
      </x:c>
    </x:row>
    <x:row r="2970">
      <x:c r="B2970" s="21" t="str">
        <x:v>A2964</x:v>
      </x:c>
      <x:c r="C2970" s="21" t="str">
        <x:v>rights</x:v>
      </x:c>
      <x:c r="D2970" s="21" t="str">
        <x:v>right 199 required</x:v>
      </x:c>
      <x:c r="E2970" s="21" t="n">
        <x:f>IF('Rights Register'!G199=1,1,0)</x:f>
        <x:v>1</x:v>
      </x:c>
      <x:c r="F2970" s="21" t="n">
        <x:v>1</x:v>
      </x:c>
      <x:c r="G2970" s="23" t="str">
        <x:f>IF(E2970=F2970,"PASS","FAIL")</x:f>
        <x:v>PASS</x:v>
      </x:c>
    </x:row>
    <x:row r="2971">
      <x:c r="B2971" s="21" t="str">
        <x:v>A2965</x:v>
      </x:c>
      <x:c r="C2971" s="21" t="str">
        <x:v>rights</x:v>
      </x:c>
      <x:c r="D2971" s="21" t="str">
        <x:v>right 199 offered</x:v>
      </x:c>
      <x:c r="E2971" s="21" t="n">
        <x:f>IF('Rights Register'!H199=1,1,0)</x:f>
        <x:v>1</x:v>
      </x:c>
      <x:c r="F2971" s="21" t="n">
        <x:v>1</x:v>
      </x:c>
      <x:c r="G2971" s="23" t="str">
        <x:f>IF(E2971=F2971,"PASS","FAIL")</x:f>
        <x:v>PASS</x:v>
      </x:c>
    </x:row>
    <x:row r="2972">
      <x:c r="B2972" s="21" t="str">
        <x:v>A2966</x:v>
      </x:c>
      <x:c r="C2972" s="21" t="str">
        <x:v>rights</x:v>
      </x:c>
      <x:c r="D2972" s="21" t="str">
        <x:v>right 199 evidence open</x:v>
      </x:c>
      <x:c r="E2972" s="21" t="n">
        <x:f>IF('Rights Register'!I199="OPEN",1,0)</x:f>
        <x:v>1</x:v>
      </x:c>
      <x:c r="F2972" s="21" t="n">
        <x:v>1</x:v>
      </x:c>
      <x:c r="G2972" s="23" t="str">
        <x:f>IF(E2972=F2972,"PASS","FAIL")</x:f>
        <x:v>PASS</x:v>
      </x:c>
    </x:row>
    <x:row r="2973">
      <x:c r="B2973" s="21" t="str">
        <x:v>A2967</x:v>
      </x:c>
      <x:c r="C2973" s="21" t="str">
        <x:v>rights</x:v>
      </x:c>
      <x:c r="D2973" s="21" t="str">
        <x:v>right 199 zero credit</x:v>
      </x:c>
      <x:c r="E2973" s="21" t="n">
        <x:f>IF('Rights Register'!J199=0,1,0)</x:f>
        <x:v>1</x:v>
      </x:c>
      <x:c r="F2973" s="21" t="n">
        <x:v>1</x:v>
      </x:c>
      <x:c r="G2973" s="23" t="str">
        <x:f>IF(E2973=F2973,"PASS","FAIL")</x:f>
        <x:v>PASS</x:v>
      </x:c>
    </x:row>
    <x:row r="2974">
      <x:c r="B2974" s="21" t="str">
        <x:v>A2968</x:v>
      </x:c>
      <x:c r="C2974" s="21" t="str">
        <x:v>rights</x:v>
      </x:c>
      <x:c r="D2974" s="21" t="str">
        <x:v>right 200 required</x:v>
      </x:c>
      <x:c r="E2974" s="21" t="n">
        <x:f>IF('Rights Register'!G200=1,1,0)</x:f>
        <x:v>1</x:v>
      </x:c>
      <x:c r="F2974" s="21" t="n">
        <x:v>1</x:v>
      </x:c>
      <x:c r="G2974" s="23" t="str">
        <x:f>IF(E2974=F2974,"PASS","FAIL")</x:f>
        <x:v>PASS</x:v>
      </x:c>
    </x:row>
    <x:row r="2975">
      <x:c r="B2975" s="21" t="str">
        <x:v>A2969</x:v>
      </x:c>
      <x:c r="C2975" s="21" t="str">
        <x:v>rights</x:v>
      </x:c>
      <x:c r="D2975" s="21" t="str">
        <x:v>right 200 offered</x:v>
      </x:c>
      <x:c r="E2975" s="21" t="n">
        <x:f>IF('Rights Register'!H200=1,1,0)</x:f>
        <x:v>1</x:v>
      </x:c>
      <x:c r="F2975" s="21" t="n">
        <x:v>1</x:v>
      </x:c>
      <x:c r="G2975" s="23" t="str">
        <x:f>IF(E2975=F2975,"PASS","FAIL")</x:f>
        <x:v>PASS</x:v>
      </x:c>
    </x:row>
    <x:row r="2976">
      <x:c r="B2976" s="21" t="str">
        <x:v>A2970</x:v>
      </x:c>
      <x:c r="C2976" s="21" t="str">
        <x:v>rights</x:v>
      </x:c>
      <x:c r="D2976" s="21" t="str">
        <x:v>right 200 evidence open</x:v>
      </x:c>
      <x:c r="E2976" s="21" t="n">
        <x:f>IF('Rights Register'!I200="OPEN",1,0)</x:f>
        <x:v>1</x:v>
      </x:c>
      <x:c r="F2976" s="21" t="n">
        <x:v>1</x:v>
      </x:c>
      <x:c r="G2976" s="23" t="str">
        <x:f>IF(E2976=F2976,"PASS","FAIL")</x:f>
        <x:v>PASS</x:v>
      </x:c>
    </x:row>
    <x:row r="2977">
      <x:c r="B2977" s="21" t="str">
        <x:v>A2971</x:v>
      </x:c>
      <x:c r="C2977" s="21" t="str">
        <x:v>rights</x:v>
      </x:c>
      <x:c r="D2977" s="21" t="str">
        <x:v>right 200 zero credit</x:v>
      </x:c>
      <x:c r="E2977" s="21" t="n">
        <x:f>IF('Rights Register'!J200=0,1,0)</x:f>
        <x:v>1</x:v>
      </x:c>
      <x:c r="F2977" s="21" t="n">
        <x:v>1</x:v>
      </x:c>
      <x:c r="G2977" s="23" t="str">
        <x:f>IF(E2977=F2977,"PASS","FAIL")</x:f>
        <x:v>PASS</x:v>
      </x:c>
    </x:row>
    <x:row r="2978">
      <x:c r="B2978" s="21" t="str">
        <x:v>A2972</x:v>
      </x:c>
      <x:c r="C2978" s="21" t="str">
        <x:v>rights</x:v>
      </x:c>
      <x:c r="D2978" s="21" t="str">
        <x:v>right 201 required</x:v>
      </x:c>
      <x:c r="E2978" s="21" t="n">
        <x:f>IF('Rights Register'!G201=1,1,0)</x:f>
        <x:v>1</x:v>
      </x:c>
      <x:c r="F2978" s="21" t="n">
        <x:v>1</x:v>
      </x:c>
      <x:c r="G2978" s="23" t="str">
        <x:f>IF(E2978=F2978,"PASS","FAIL")</x:f>
        <x:v>PASS</x:v>
      </x:c>
    </x:row>
    <x:row r="2979">
      <x:c r="B2979" s="21" t="str">
        <x:v>A2973</x:v>
      </x:c>
      <x:c r="C2979" s="21" t="str">
        <x:v>rights</x:v>
      </x:c>
      <x:c r="D2979" s="21" t="str">
        <x:v>right 201 offered</x:v>
      </x:c>
      <x:c r="E2979" s="21" t="n">
        <x:f>IF('Rights Register'!H201=1,1,0)</x:f>
        <x:v>1</x:v>
      </x:c>
      <x:c r="F2979" s="21" t="n">
        <x:v>1</x:v>
      </x:c>
      <x:c r="G2979" s="23" t="str">
        <x:f>IF(E2979=F2979,"PASS","FAIL")</x:f>
        <x:v>PASS</x:v>
      </x:c>
    </x:row>
    <x:row r="2980">
      <x:c r="B2980" s="21" t="str">
        <x:v>A2974</x:v>
      </x:c>
      <x:c r="C2980" s="21" t="str">
        <x:v>rights</x:v>
      </x:c>
      <x:c r="D2980" s="21" t="str">
        <x:v>right 201 evidence open</x:v>
      </x:c>
      <x:c r="E2980" s="21" t="n">
        <x:f>IF('Rights Register'!I201="OPEN",1,0)</x:f>
        <x:v>1</x:v>
      </x:c>
      <x:c r="F2980" s="21" t="n">
        <x:v>1</x:v>
      </x:c>
      <x:c r="G2980" s="23" t="str">
        <x:f>IF(E2980=F2980,"PASS","FAIL")</x:f>
        <x:v>PASS</x:v>
      </x:c>
    </x:row>
    <x:row r="2981">
      <x:c r="B2981" s="21" t="str">
        <x:v>A2975</x:v>
      </x:c>
      <x:c r="C2981" s="21" t="str">
        <x:v>rights</x:v>
      </x:c>
      <x:c r="D2981" s="21" t="str">
        <x:v>right 201 zero credit</x:v>
      </x:c>
      <x:c r="E2981" s="21" t="n">
        <x:f>IF('Rights Register'!J201=0,1,0)</x:f>
        <x:v>1</x:v>
      </x:c>
      <x:c r="F2981" s="21" t="n">
        <x:v>1</x:v>
      </x:c>
      <x:c r="G2981" s="23" t="str">
        <x:f>IF(E2981=F2981,"PASS","FAIL")</x:f>
        <x:v>PASS</x:v>
      </x:c>
    </x:row>
    <x:row r="2982">
      <x:c r="B2982" s="21" t="str">
        <x:v>A2976</x:v>
      </x:c>
      <x:c r="C2982" s="21" t="str">
        <x:v>rights</x:v>
      </x:c>
      <x:c r="D2982" s="21" t="str">
        <x:v>right 202 required</x:v>
      </x:c>
      <x:c r="E2982" s="21" t="n">
        <x:f>IF('Rights Register'!G202=1,1,0)</x:f>
        <x:v>1</x:v>
      </x:c>
      <x:c r="F2982" s="21" t="n">
        <x:v>1</x:v>
      </x:c>
      <x:c r="G2982" s="23" t="str">
        <x:f>IF(E2982=F2982,"PASS","FAIL")</x:f>
        <x:v>PASS</x:v>
      </x:c>
    </x:row>
    <x:row r="2983">
      <x:c r="B2983" s="21" t="str">
        <x:v>A2977</x:v>
      </x:c>
      <x:c r="C2983" s="21" t="str">
        <x:v>rights</x:v>
      </x:c>
      <x:c r="D2983" s="21" t="str">
        <x:v>right 202 offered</x:v>
      </x:c>
      <x:c r="E2983" s="21" t="n">
        <x:f>IF('Rights Register'!H202=1,1,0)</x:f>
        <x:v>1</x:v>
      </x:c>
      <x:c r="F2983" s="21" t="n">
        <x:v>1</x:v>
      </x:c>
      <x:c r="G2983" s="23" t="str">
        <x:f>IF(E2983=F2983,"PASS","FAIL")</x:f>
        <x:v>PASS</x:v>
      </x:c>
    </x:row>
    <x:row r="2984">
      <x:c r="B2984" s="21" t="str">
        <x:v>A2978</x:v>
      </x:c>
      <x:c r="C2984" s="21" t="str">
        <x:v>rights</x:v>
      </x:c>
      <x:c r="D2984" s="21" t="str">
        <x:v>right 202 evidence open</x:v>
      </x:c>
      <x:c r="E2984" s="21" t="n">
        <x:f>IF('Rights Register'!I202="OPEN",1,0)</x:f>
        <x:v>1</x:v>
      </x:c>
      <x:c r="F2984" s="21" t="n">
        <x:v>1</x:v>
      </x:c>
      <x:c r="G2984" s="23" t="str">
        <x:f>IF(E2984=F2984,"PASS","FAIL")</x:f>
        <x:v>PASS</x:v>
      </x:c>
    </x:row>
    <x:row r="2985">
      <x:c r="B2985" s="21" t="str">
        <x:v>A2979</x:v>
      </x:c>
      <x:c r="C2985" s="21" t="str">
        <x:v>rights</x:v>
      </x:c>
      <x:c r="D2985" s="21" t="str">
        <x:v>right 202 zero credit</x:v>
      </x:c>
      <x:c r="E2985" s="21" t="n">
        <x:f>IF('Rights Register'!J202=0,1,0)</x:f>
        <x:v>1</x:v>
      </x:c>
      <x:c r="F2985" s="21" t="n">
        <x:v>1</x:v>
      </x:c>
      <x:c r="G2985" s="23" t="str">
        <x:f>IF(E2985=F2985,"PASS","FAIL")</x:f>
        <x:v>PASS</x:v>
      </x:c>
    </x:row>
    <x:row r="2986">
      <x:c r="B2986" s="21" t="str">
        <x:v>A2980</x:v>
      </x:c>
      <x:c r="C2986" s="21" t="str">
        <x:v>rights</x:v>
      </x:c>
      <x:c r="D2986" s="21" t="str">
        <x:v>right 203 required</x:v>
      </x:c>
      <x:c r="E2986" s="21" t="n">
        <x:f>IF('Rights Register'!G203=1,1,0)</x:f>
        <x:v>1</x:v>
      </x:c>
      <x:c r="F2986" s="21" t="n">
        <x:v>1</x:v>
      </x:c>
      <x:c r="G2986" s="23" t="str">
        <x:f>IF(E2986=F2986,"PASS","FAIL")</x:f>
        <x:v>PASS</x:v>
      </x:c>
    </x:row>
    <x:row r="2987">
      <x:c r="B2987" s="21" t="str">
        <x:v>A2981</x:v>
      </x:c>
      <x:c r="C2987" s="21" t="str">
        <x:v>rights</x:v>
      </x:c>
      <x:c r="D2987" s="21" t="str">
        <x:v>right 203 offered</x:v>
      </x:c>
      <x:c r="E2987" s="21" t="n">
        <x:f>IF('Rights Register'!H203=1,1,0)</x:f>
        <x:v>1</x:v>
      </x:c>
      <x:c r="F2987" s="21" t="n">
        <x:v>1</x:v>
      </x:c>
      <x:c r="G2987" s="23" t="str">
        <x:f>IF(E2987=F2987,"PASS","FAIL")</x:f>
        <x:v>PASS</x:v>
      </x:c>
    </x:row>
    <x:row r="2988">
      <x:c r="B2988" s="21" t="str">
        <x:v>A2982</x:v>
      </x:c>
      <x:c r="C2988" s="21" t="str">
        <x:v>rights</x:v>
      </x:c>
      <x:c r="D2988" s="21" t="str">
        <x:v>right 203 evidence open</x:v>
      </x:c>
      <x:c r="E2988" s="21" t="n">
        <x:f>IF('Rights Register'!I203="OPEN",1,0)</x:f>
        <x:v>1</x:v>
      </x:c>
      <x:c r="F2988" s="21" t="n">
        <x:v>1</x:v>
      </x:c>
      <x:c r="G2988" s="23" t="str">
        <x:f>IF(E2988=F2988,"PASS","FAIL")</x:f>
        <x:v>PASS</x:v>
      </x:c>
    </x:row>
    <x:row r="2989">
      <x:c r="B2989" s="21" t="str">
        <x:v>A2983</x:v>
      </x:c>
      <x:c r="C2989" s="21" t="str">
        <x:v>rights</x:v>
      </x:c>
      <x:c r="D2989" s="21" t="str">
        <x:v>right 203 zero credit</x:v>
      </x:c>
      <x:c r="E2989" s="21" t="n">
        <x:f>IF('Rights Register'!J203=0,1,0)</x:f>
        <x:v>1</x:v>
      </x:c>
      <x:c r="F2989" s="21" t="n">
        <x:v>1</x:v>
      </x:c>
      <x:c r="G2989" s="23" t="str">
        <x:f>IF(E2989=F2989,"PASS","FAIL")</x:f>
        <x:v>PASS</x:v>
      </x:c>
    </x:row>
    <x:row r="2990">
      <x:c r="B2990" s="21" t="str">
        <x:v>A2984</x:v>
      </x:c>
      <x:c r="C2990" s="21" t="str">
        <x:v>rights</x:v>
      </x:c>
      <x:c r="D2990" s="21" t="str">
        <x:v>right 204 required</x:v>
      </x:c>
      <x:c r="E2990" s="21" t="n">
        <x:f>IF('Rights Register'!G204=1,1,0)</x:f>
        <x:v>1</x:v>
      </x:c>
      <x:c r="F2990" s="21" t="n">
        <x:v>1</x:v>
      </x:c>
      <x:c r="G2990" s="23" t="str">
        <x:f>IF(E2990=F2990,"PASS","FAIL")</x:f>
        <x:v>PASS</x:v>
      </x:c>
    </x:row>
    <x:row r="2991">
      <x:c r="B2991" s="21" t="str">
        <x:v>A2985</x:v>
      </x:c>
      <x:c r="C2991" s="21" t="str">
        <x:v>rights</x:v>
      </x:c>
      <x:c r="D2991" s="21" t="str">
        <x:v>right 204 offered</x:v>
      </x:c>
      <x:c r="E2991" s="21" t="n">
        <x:f>IF('Rights Register'!H204=1,1,0)</x:f>
        <x:v>1</x:v>
      </x:c>
      <x:c r="F2991" s="21" t="n">
        <x:v>1</x:v>
      </x:c>
      <x:c r="G2991" s="23" t="str">
        <x:f>IF(E2991=F2991,"PASS","FAIL")</x:f>
        <x:v>PASS</x:v>
      </x:c>
    </x:row>
    <x:row r="2992">
      <x:c r="B2992" s="21" t="str">
        <x:v>A2986</x:v>
      </x:c>
      <x:c r="C2992" s="21" t="str">
        <x:v>rights</x:v>
      </x:c>
      <x:c r="D2992" s="21" t="str">
        <x:v>right 204 evidence open</x:v>
      </x:c>
      <x:c r="E2992" s="21" t="n">
        <x:f>IF('Rights Register'!I204="OPEN",1,0)</x:f>
        <x:v>1</x:v>
      </x:c>
      <x:c r="F2992" s="21" t="n">
        <x:v>1</x:v>
      </x:c>
      <x:c r="G2992" s="23" t="str">
        <x:f>IF(E2992=F2992,"PASS","FAIL")</x:f>
        <x:v>PASS</x:v>
      </x:c>
    </x:row>
    <x:row r="2993">
      <x:c r="B2993" s="21" t="str">
        <x:v>A2987</x:v>
      </x:c>
      <x:c r="C2993" s="21" t="str">
        <x:v>rights</x:v>
      </x:c>
      <x:c r="D2993" s="21" t="str">
        <x:v>right 204 zero credit</x:v>
      </x:c>
      <x:c r="E2993" s="21" t="n">
        <x:f>IF('Rights Register'!J204=0,1,0)</x:f>
        <x:v>1</x:v>
      </x:c>
      <x:c r="F2993" s="21" t="n">
        <x:v>1</x:v>
      </x:c>
      <x:c r="G2993" s="23" t="str">
        <x:f>IF(E2993=F2993,"PASS","FAIL")</x:f>
        <x:v>PASS</x:v>
      </x:c>
    </x:row>
    <x:row r="2994">
      <x:c r="B2994" s="21" t="str">
        <x:v>A2988</x:v>
      </x:c>
      <x:c r="C2994" s="21" t="str">
        <x:v>rights</x:v>
      </x:c>
      <x:c r="D2994" s="21" t="str">
        <x:v>right 205 required</x:v>
      </x:c>
      <x:c r="E2994" s="21" t="n">
        <x:f>IF('Rights Register'!G205=1,1,0)</x:f>
        <x:v>1</x:v>
      </x:c>
      <x:c r="F2994" s="21" t="n">
        <x:v>1</x:v>
      </x:c>
      <x:c r="G2994" s="23" t="str">
        <x:f>IF(E2994=F2994,"PASS","FAIL")</x:f>
        <x:v>PASS</x:v>
      </x:c>
    </x:row>
    <x:row r="2995">
      <x:c r="B2995" s="21" t="str">
        <x:v>A2989</x:v>
      </x:c>
      <x:c r="C2995" s="21" t="str">
        <x:v>rights</x:v>
      </x:c>
      <x:c r="D2995" s="21" t="str">
        <x:v>right 205 offered</x:v>
      </x:c>
      <x:c r="E2995" s="21" t="n">
        <x:f>IF('Rights Register'!H205=1,1,0)</x:f>
        <x:v>1</x:v>
      </x:c>
      <x:c r="F2995" s="21" t="n">
        <x:v>1</x:v>
      </x:c>
      <x:c r="G2995" s="23" t="str">
        <x:f>IF(E2995=F2995,"PASS","FAIL")</x:f>
        <x:v>PASS</x:v>
      </x:c>
    </x:row>
    <x:row r="2996">
      <x:c r="B2996" s="21" t="str">
        <x:v>A2990</x:v>
      </x:c>
      <x:c r="C2996" s="21" t="str">
        <x:v>rights</x:v>
      </x:c>
      <x:c r="D2996" s="21" t="str">
        <x:v>right 205 evidence open</x:v>
      </x:c>
      <x:c r="E2996" s="21" t="n">
        <x:f>IF('Rights Register'!I205="OPEN",1,0)</x:f>
        <x:v>1</x:v>
      </x:c>
      <x:c r="F2996" s="21" t="n">
        <x:v>1</x:v>
      </x:c>
      <x:c r="G2996" s="23" t="str">
        <x:f>IF(E2996=F2996,"PASS","FAIL")</x:f>
        <x:v>PASS</x:v>
      </x:c>
    </x:row>
    <x:row r="2997">
      <x:c r="B2997" s="21" t="str">
        <x:v>A2991</x:v>
      </x:c>
      <x:c r="C2997" s="21" t="str">
        <x:v>rights</x:v>
      </x:c>
      <x:c r="D2997" s="21" t="str">
        <x:v>right 205 zero credit</x:v>
      </x:c>
      <x:c r="E2997" s="21" t="n">
        <x:f>IF('Rights Register'!J205=0,1,0)</x:f>
        <x:v>1</x:v>
      </x:c>
      <x:c r="F2997" s="21" t="n">
        <x:v>1</x:v>
      </x:c>
      <x:c r="G2997" s="23" t="str">
        <x:f>IF(E2997=F2997,"PASS","FAIL")</x:f>
        <x:v>PASS</x:v>
      </x:c>
    </x:row>
    <x:row r="2998">
      <x:c r="B2998" s="21" t="str">
        <x:v>A2992</x:v>
      </x:c>
      <x:c r="C2998" s="21" t="str">
        <x:v>rights</x:v>
      </x:c>
      <x:c r="D2998" s="21" t="str">
        <x:v>right 206 required</x:v>
      </x:c>
      <x:c r="E2998" s="21" t="n">
        <x:f>IF('Rights Register'!G206=1,1,0)</x:f>
        <x:v>1</x:v>
      </x:c>
      <x:c r="F2998" s="21" t="n">
        <x:v>1</x:v>
      </x:c>
      <x:c r="G2998" s="23" t="str">
        <x:f>IF(E2998=F2998,"PASS","FAIL")</x:f>
        <x:v>PASS</x:v>
      </x:c>
    </x:row>
    <x:row r="2999">
      <x:c r="B2999" s="21" t="str">
        <x:v>A2993</x:v>
      </x:c>
      <x:c r="C2999" s="21" t="str">
        <x:v>rights</x:v>
      </x:c>
      <x:c r="D2999" s="21" t="str">
        <x:v>right 206 offered</x:v>
      </x:c>
      <x:c r="E2999" s="21" t="n">
        <x:f>IF('Rights Register'!H206=1,1,0)</x:f>
        <x:v>1</x:v>
      </x:c>
      <x:c r="F2999" s="21" t="n">
        <x:v>1</x:v>
      </x:c>
      <x:c r="G2999" s="23" t="str">
        <x:f>IF(E2999=F2999,"PASS","FAIL")</x:f>
        <x:v>PASS</x:v>
      </x:c>
    </x:row>
    <x:row r="3000">
      <x:c r="B3000" s="21" t="str">
        <x:v>A2994</x:v>
      </x:c>
      <x:c r="C3000" s="21" t="str">
        <x:v>rights</x:v>
      </x:c>
      <x:c r="D3000" s="21" t="str">
        <x:v>right 206 evidence open</x:v>
      </x:c>
      <x:c r="E3000" s="21" t="n">
        <x:f>IF('Rights Register'!I206="OPEN",1,0)</x:f>
        <x:v>1</x:v>
      </x:c>
      <x:c r="F3000" s="21" t="n">
        <x:v>1</x:v>
      </x:c>
      <x:c r="G3000" s="23" t="str">
        <x:f>IF(E3000=F3000,"PASS","FAIL")</x:f>
        <x:v>PASS</x:v>
      </x:c>
    </x:row>
    <x:row r="3001">
      <x:c r="B3001" s="21" t="str">
        <x:v>A2995</x:v>
      </x:c>
      <x:c r="C3001" s="21" t="str">
        <x:v>rights</x:v>
      </x:c>
      <x:c r="D3001" s="21" t="str">
        <x:v>right 206 zero credit</x:v>
      </x:c>
      <x:c r="E3001" s="21" t="n">
        <x:f>IF('Rights Register'!J206=0,1,0)</x:f>
        <x:v>1</x:v>
      </x:c>
      <x:c r="F3001" s="21" t="n">
        <x:v>1</x:v>
      </x:c>
      <x:c r="G3001" s="23" t="str">
        <x:f>IF(E3001=F3001,"PASS","FAIL")</x:f>
        <x:v>PASS</x:v>
      </x:c>
    </x:row>
    <x:row r="3002">
      <x:c r="B3002" s="21" t="str">
        <x:v>A2996</x:v>
      </x:c>
      <x:c r="C3002" s="21" t="str">
        <x:v>rights</x:v>
      </x:c>
      <x:c r="D3002" s="21" t="str">
        <x:v>right 207 required</x:v>
      </x:c>
      <x:c r="E3002" s="21" t="n">
        <x:f>IF('Rights Register'!G207=1,1,0)</x:f>
        <x:v>1</x:v>
      </x:c>
      <x:c r="F3002" s="21" t="n">
        <x:v>1</x:v>
      </x:c>
      <x:c r="G3002" s="23" t="str">
        <x:f>IF(E3002=F3002,"PASS","FAIL")</x:f>
        <x:v>PASS</x:v>
      </x:c>
    </x:row>
    <x:row r="3003">
      <x:c r="B3003" s="21" t="str">
        <x:v>A2997</x:v>
      </x:c>
      <x:c r="C3003" s="21" t="str">
        <x:v>rights</x:v>
      </x:c>
      <x:c r="D3003" s="21" t="str">
        <x:v>right 207 offered</x:v>
      </x:c>
      <x:c r="E3003" s="21" t="n">
        <x:f>IF('Rights Register'!H207=1,1,0)</x:f>
        <x:v>1</x:v>
      </x:c>
      <x:c r="F3003" s="21" t="n">
        <x:v>1</x:v>
      </x:c>
      <x:c r="G3003" s="23" t="str">
        <x:f>IF(E3003=F3003,"PASS","FAIL")</x:f>
        <x:v>PASS</x:v>
      </x:c>
    </x:row>
    <x:row r="3004">
      <x:c r="B3004" s="21" t="str">
        <x:v>A2998</x:v>
      </x:c>
      <x:c r="C3004" s="21" t="str">
        <x:v>rights</x:v>
      </x:c>
      <x:c r="D3004" s="21" t="str">
        <x:v>right 207 evidence open</x:v>
      </x:c>
      <x:c r="E3004" s="21" t="n">
        <x:f>IF('Rights Register'!I207="OPEN",1,0)</x:f>
        <x:v>1</x:v>
      </x:c>
      <x:c r="F3004" s="21" t="n">
        <x:v>1</x:v>
      </x:c>
      <x:c r="G3004" s="23" t="str">
        <x:f>IF(E3004=F3004,"PASS","FAIL")</x:f>
        <x:v>PASS</x:v>
      </x:c>
    </x:row>
    <x:row r="3005">
      <x:c r="B3005" s="21" t="str">
        <x:v>A2999</x:v>
      </x:c>
      <x:c r="C3005" s="21" t="str">
        <x:v>rights</x:v>
      </x:c>
      <x:c r="D3005" s="21" t="str">
        <x:v>right 207 zero credit</x:v>
      </x:c>
      <x:c r="E3005" s="21" t="n">
        <x:f>IF('Rights Register'!J207=0,1,0)</x:f>
        <x:v>1</x:v>
      </x:c>
      <x:c r="F3005" s="21" t="n">
        <x:v>1</x:v>
      </x:c>
      <x:c r="G3005" s="23" t="str">
        <x:f>IF(E3005=F3005,"PASS","FAIL")</x:f>
        <x:v>PASS</x:v>
      </x:c>
    </x:row>
    <x:row r="3006">
      <x:c r="B3006" s="21" t="str">
        <x:v>A3000</x:v>
      </x:c>
      <x:c r="C3006" s="21" t="str">
        <x:v>rights</x:v>
      </x:c>
      <x:c r="D3006" s="21" t="str">
        <x:v>right 208 required</x:v>
      </x:c>
      <x:c r="E3006" s="21" t="n">
        <x:f>IF('Rights Register'!G208=1,1,0)</x:f>
        <x:v>1</x:v>
      </x:c>
      <x:c r="F3006" s="21" t="n">
        <x:v>1</x:v>
      </x:c>
      <x:c r="G3006" s="23" t="str">
        <x:f>IF(E3006=F3006,"PASS","FAIL")</x:f>
        <x:v>PASS</x:v>
      </x:c>
    </x:row>
    <x:row r="3007">
      <x:c r="B3007" s="21" t="str">
        <x:v>A3001</x:v>
      </x:c>
      <x:c r="C3007" s="21" t="str">
        <x:v>rights</x:v>
      </x:c>
      <x:c r="D3007" s="21" t="str">
        <x:v>right 208 offered</x:v>
      </x:c>
      <x:c r="E3007" s="21" t="n">
        <x:f>IF('Rights Register'!H208=1,1,0)</x:f>
        <x:v>1</x:v>
      </x:c>
      <x:c r="F3007" s="21" t="n">
        <x:v>1</x:v>
      </x:c>
      <x:c r="G3007" s="23" t="str">
        <x:f>IF(E3007=F3007,"PASS","FAIL")</x:f>
        <x:v>PASS</x:v>
      </x:c>
    </x:row>
    <x:row r="3008">
      <x:c r="B3008" s="21" t="str">
        <x:v>A3002</x:v>
      </x:c>
      <x:c r="C3008" s="21" t="str">
        <x:v>rights</x:v>
      </x:c>
      <x:c r="D3008" s="21" t="str">
        <x:v>right 208 evidence open</x:v>
      </x:c>
      <x:c r="E3008" s="21" t="n">
        <x:f>IF('Rights Register'!I208="OPEN",1,0)</x:f>
        <x:v>1</x:v>
      </x:c>
      <x:c r="F3008" s="21" t="n">
        <x:v>1</x:v>
      </x:c>
      <x:c r="G3008" s="23" t="str">
        <x:f>IF(E3008=F3008,"PASS","FAIL")</x:f>
        <x:v>PASS</x:v>
      </x:c>
    </x:row>
    <x:row r="3009">
      <x:c r="B3009" s="21" t="str">
        <x:v>A3003</x:v>
      </x:c>
      <x:c r="C3009" s="21" t="str">
        <x:v>rights</x:v>
      </x:c>
      <x:c r="D3009" s="21" t="str">
        <x:v>right 208 zero credit</x:v>
      </x:c>
      <x:c r="E3009" s="21" t="n">
        <x:f>IF('Rights Register'!J208=0,1,0)</x:f>
        <x:v>1</x:v>
      </x:c>
      <x:c r="F3009" s="21" t="n">
        <x:v>1</x:v>
      </x:c>
      <x:c r="G3009" s="23" t="str">
        <x:f>IF(E3009=F3009,"PASS","FAIL")</x:f>
        <x:v>PASS</x:v>
      </x:c>
    </x:row>
    <x:row r="3010">
      <x:c r="B3010" s="21" t="str">
        <x:v>A3004</x:v>
      </x:c>
      <x:c r="C3010" s="21" t="str">
        <x:v>rights</x:v>
      </x:c>
      <x:c r="D3010" s="21" t="str">
        <x:v>right 209 required</x:v>
      </x:c>
      <x:c r="E3010" s="21" t="n">
        <x:f>IF('Rights Register'!G209=1,1,0)</x:f>
        <x:v>1</x:v>
      </x:c>
      <x:c r="F3010" s="21" t="n">
        <x:v>1</x:v>
      </x:c>
      <x:c r="G3010" s="23" t="str">
        <x:f>IF(E3010=F3010,"PASS","FAIL")</x:f>
        <x:v>PASS</x:v>
      </x:c>
    </x:row>
    <x:row r="3011">
      <x:c r="B3011" s="21" t="str">
        <x:v>A3005</x:v>
      </x:c>
      <x:c r="C3011" s="21" t="str">
        <x:v>rights</x:v>
      </x:c>
      <x:c r="D3011" s="21" t="str">
        <x:v>right 209 offered</x:v>
      </x:c>
      <x:c r="E3011" s="21" t="n">
        <x:f>IF('Rights Register'!H209=1,1,0)</x:f>
        <x:v>1</x:v>
      </x:c>
      <x:c r="F3011" s="21" t="n">
        <x:v>1</x:v>
      </x:c>
      <x:c r="G3011" s="23" t="str">
        <x:f>IF(E3011=F3011,"PASS","FAIL")</x:f>
        <x:v>PASS</x:v>
      </x:c>
    </x:row>
    <x:row r="3012">
      <x:c r="B3012" s="21" t="str">
        <x:v>A3006</x:v>
      </x:c>
      <x:c r="C3012" s="21" t="str">
        <x:v>rights</x:v>
      </x:c>
      <x:c r="D3012" s="21" t="str">
        <x:v>right 209 evidence open</x:v>
      </x:c>
      <x:c r="E3012" s="21" t="n">
        <x:f>IF('Rights Register'!I209="OPEN",1,0)</x:f>
        <x:v>1</x:v>
      </x:c>
      <x:c r="F3012" s="21" t="n">
        <x:v>1</x:v>
      </x:c>
      <x:c r="G3012" s="23" t="str">
        <x:f>IF(E3012=F3012,"PASS","FAIL")</x:f>
        <x:v>PASS</x:v>
      </x:c>
    </x:row>
    <x:row r="3013">
      <x:c r="B3013" s="21" t="str">
        <x:v>A3007</x:v>
      </x:c>
      <x:c r="C3013" s="21" t="str">
        <x:v>rights</x:v>
      </x:c>
      <x:c r="D3013" s="21" t="str">
        <x:v>right 209 zero credit</x:v>
      </x:c>
      <x:c r="E3013" s="21" t="n">
        <x:f>IF('Rights Register'!J209=0,1,0)</x:f>
        <x:v>1</x:v>
      </x:c>
      <x:c r="F3013" s="21" t="n">
        <x:v>1</x:v>
      </x:c>
      <x:c r="G3013" s="23" t="str">
        <x:f>IF(E3013=F3013,"PASS","FAIL")</x:f>
        <x:v>PASS</x:v>
      </x:c>
    </x:row>
    <x:row r="3014">
      <x:c r="B3014" s="21" t="str">
        <x:v>A3008</x:v>
      </x:c>
      <x:c r="C3014" s="21" t="str">
        <x:v>rights</x:v>
      </x:c>
      <x:c r="D3014" s="21" t="str">
        <x:v>right 210 required</x:v>
      </x:c>
      <x:c r="E3014" s="21" t="n">
        <x:f>IF('Rights Register'!G210=1,1,0)</x:f>
        <x:v>1</x:v>
      </x:c>
      <x:c r="F3014" s="21" t="n">
        <x:v>1</x:v>
      </x:c>
      <x:c r="G3014" s="23" t="str">
        <x:f>IF(E3014=F3014,"PASS","FAIL")</x:f>
        <x:v>PASS</x:v>
      </x:c>
    </x:row>
    <x:row r="3015">
      <x:c r="B3015" s="21" t="str">
        <x:v>A3009</x:v>
      </x:c>
      <x:c r="C3015" s="21" t="str">
        <x:v>rights</x:v>
      </x:c>
      <x:c r="D3015" s="21" t="str">
        <x:v>right 210 offered</x:v>
      </x:c>
      <x:c r="E3015" s="21" t="n">
        <x:f>IF('Rights Register'!H210=1,1,0)</x:f>
        <x:v>1</x:v>
      </x:c>
      <x:c r="F3015" s="21" t="n">
        <x:v>1</x:v>
      </x:c>
      <x:c r="G3015" s="23" t="str">
        <x:f>IF(E3015=F3015,"PASS","FAIL")</x:f>
        <x:v>PASS</x:v>
      </x:c>
    </x:row>
    <x:row r="3016">
      <x:c r="B3016" s="21" t="str">
        <x:v>A3010</x:v>
      </x:c>
      <x:c r="C3016" s="21" t="str">
        <x:v>rights</x:v>
      </x:c>
      <x:c r="D3016" s="21" t="str">
        <x:v>right 210 evidence open</x:v>
      </x:c>
      <x:c r="E3016" s="21" t="n">
        <x:f>IF('Rights Register'!I210="OPEN",1,0)</x:f>
        <x:v>1</x:v>
      </x:c>
      <x:c r="F3016" s="21" t="n">
        <x:v>1</x:v>
      </x:c>
      <x:c r="G3016" s="23" t="str">
        <x:f>IF(E3016=F3016,"PASS","FAIL")</x:f>
        <x:v>PASS</x:v>
      </x:c>
    </x:row>
    <x:row r="3017">
      <x:c r="B3017" s="21" t="str">
        <x:v>A3011</x:v>
      </x:c>
      <x:c r="C3017" s="21" t="str">
        <x:v>rights</x:v>
      </x:c>
      <x:c r="D3017" s="21" t="str">
        <x:v>right 210 zero credit</x:v>
      </x:c>
      <x:c r="E3017" s="21" t="n">
        <x:f>IF('Rights Register'!J210=0,1,0)</x:f>
        <x:v>1</x:v>
      </x:c>
      <x:c r="F3017" s="21" t="n">
        <x:v>1</x:v>
      </x:c>
      <x:c r="G3017" s="23" t="str">
        <x:f>IF(E3017=F3017,"PASS","FAIL")</x:f>
        <x:v>PASS</x:v>
      </x:c>
    </x:row>
    <x:row r="3018">
      <x:c r="B3018" s="21" t="str">
        <x:v>A3012</x:v>
      </x:c>
      <x:c r="C3018" s="21" t="str">
        <x:v>rights</x:v>
      </x:c>
      <x:c r="D3018" s="21" t="str">
        <x:v>right 211 required</x:v>
      </x:c>
      <x:c r="E3018" s="21" t="n">
        <x:f>IF('Rights Register'!G211=1,1,0)</x:f>
        <x:v>1</x:v>
      </x:c>
      <x:c r="F3018" s="21" t="n">
        <x:v>1</x:v>
      </x:c>
      <x:c r="G3018" s="23" t="str">
        <x:f>IF(E3018=F3018,"PASS","FAIL")</x:f>
        <x:v>PASS</x:v>
      </x:c>
    </x:row>
    <x:row r="3019">
      <x:c r="B3019" s="21" t="str">
        <x:v>A3013</x:v>
      </x:c>
      <x:c r="C3019" s="21" t="str">
        <x:v>rights</x:v>
      </x:c>
      <x:c r="D3019" s="21" t="str">
        <x:v>right 211 offered</x:v>
      </x:c>
      <x:c r="E3019" s="21" t="n">
        <x:f>IF('Rights Register'!H211=1,1,0)</x:f>
        <x:v>1</x:v>
      </x:c>
      <x:c r="F3019" s="21" t="n">
        <x:v>1</x:v>
      </x:c>
      <x:c r="G3019" s="23" t="str">
        <x:f>IF(E3019=F3019,"PASS","FAIL")</x:f>
        <x:v>PASS</x:v>
      </x:c>
    </x:row>
    <x:row r="3020">
      <x:c r="B3020" s="21" t="str">
        <x:v>A3014</x:v>
      </x:c>
      <x:c r="C3020" s="21" t="str">
        <x:v>rights</x:v>
      </x:c>
      <x:c r="D3020" s="21" t="str">
        <x:v>right 211 evidence open</x:v>
      </x:c>
      <x:c r="E3020" s="21" t="n">
        <x:f>IF('Rights Register'!I211="OPEN",1,0)</x:f>
        <x:v>1</x:v>
      </x:c>
      <x:c r="F3020" s="21" t="n">
        <x:v>1</x:v>
      </x:c>
      <x:c r="G3020" s="23" t="str">
        <x:f>IF(E3020=F3020,"PASS","FAIL")</x:f>
        <x:v>PASS</x:v>
      </x:c>
    </x:row>
    <x:row r="3021">
      <x:c r="B3021" s="21" t="str">
        <x:v>A3015</x:v>
      </x:c>
      <x:c r="C3021" s="21" t="str">
        <x:v>rights</x:v>
      </x:c>
      <x:c r="D3021" s="21" t="str">
        <x:v>right 211 zero credit</x:v>
      </x:c>
      <x:c r="E3021" s="21" t="n">
        <x:f>IF('Rights Register'!J211=0,1,0)</x:f>
        <x:v>1</x:v>
      </x:c>
      <x:c r="F3021" s="21" t="n">
        <x:v>1</x:v>
      </x:c>
      <x:c r="G3021" s="23" t="str">
        <x:f>IF(E3021=F3021,"PASS","FAIL")</x:f>
        <x:v>PASS</x:v>
      </x:c>
    </x:row>
    <x:row r="3022">
      <x:c r="B3022" s="21" t="str">
        <x:v>A3016</x:v>
      </x:c>
      <x:c r="C3022" s="21" t="str">
        <x:v>rights</x:v>
      </x:c>
      <x:c r="D3022" s="21" t="str">
        <x:v>right 212 required</x:v>
      </x:c>
      <x:c r="E3022" s="21" t="n">
        <x:f>IF('Rights Register'!G212=1,1,0)</x:f>
        <x:v>1</x:v>
      </x:c>
      <x:c r="F3022" s="21" t="n">
        <x:v>1</x:v>
      </x:c>
      <x:c r="G3022" s="23" t="str">
        <x:f>IF(E3022=F3022,"PASS","FAIL")</x:f>
        <x:v>PASS</x:v>
      </x:c>
    </x:row>
    <x:row r="3023">
      <x:c r="B3023" s="21" t="str">
        <x:v>A3017</x:v>
      </x:c>
      <x:c r="C3023" s="21" t="str">
        <x:v>rights</x:v>
      </x:c>
      <x:c r="D3023" s="21" t="str">
        <x:v>right 212 offered</x:v>
      </x:c>
      <x:c r="E3023" s="21" t="n">
        <x:f>IF('Rights Register'!H212=1,1,0)</x:f>
        <x:v>1</x:v>
      </x:c>
      <x:c r="F3023" s="21" t="n">
        <x:v>1</x:v>
      </x:c>
      <x:c r="G3023" s="23" t="str">
        <x:f>IF(E3023=F3023,"PASS","FAIL")</x:f>
        <x:v>PASS</x:v>
      </x:c>
    </x:row>
    <x:row r="3024">
      <x:c r="B3024" s="21" t="str">
        <x:v>A3018</x:v>
      </x:c>
      <x:c r="C3024" s="21" t="str">
        <x:v>rights</x:v>
      </x:c>
      <x:c r="D3024" s="21" t="str">
        <x:v>right 212 evidence open</x:v>
      </x:c>
      <x:c r="E3024" s="21" t="n">
        <x:f>IF('Rights Register'!I212="OPEN",1,0)</x:f>
        <x:v>1</x:v>
      </x:c>
      <x:c r="F3024" s="21" t="n">
        <x:v>1</x:v>
      </x:c>
      <x:c r="G3024" s="23" t="str">
        <x:f>IF(E3024=F3024,"PASS","FAIL")</x:f>
        <x:v>PASS</x:v>
      </x:c>
    </x:row>
    <x:row r="3025">
      <x:c r="B3025" s="21" t="str">
        <x:v>A3019</x:v>
      </x:c>
      <x:c r="C3025" s="21" t="str">
        <x:v>rights</x:v>
      </x:c>
      <x:c r="D3025" s="21" t="str">
        <x:v>right 212 zero credit</x:v>
      </x:c>
      <x:c r="E3025" s="21" t="n">
        <x:f>IF('Rights Register'!J212=0,1,0)</x:f>
        <x:v>1</x:v>
      </x:c>
      <x:c r="F3025" s="21" t="n">
        <x:v>1</x:v>
      </x:c>
      <x:c r="G3025" s="23" t="str">
        <x:f>IF(E3025=F3025,"PASS","FAIL")</x:f>
        <x:v>PASS</x:v>
      </x:c>
    </x:row>
    <x:row r="3026">
      <x:c r="B3026" s="21" t="str">
        <x:v>A3020</x:v>
      </x:c>
      <x:c r="C3026" s="21" t="str">
        <x:v>rights</x:v>
      </x:c>
      <x:c r="D3026" s="21" t="str">
        <x:v>right 213 required</x:v>
      </x:c>
      <x:c r="E3026" s="21" t="n">
        <x:f>IF('Rights Register'!G213=1,1,0)</x:f>
        <x:v>1</x:v>
      </x:c>
      <x:c r="F3026" s="21" t="n">
        <x:v>1</x:v>
      </x:c>
      <x:c r="G3026" s="23" t="str">
        <x:f>IF(E3026=F3026,"PASS","FAIL")</x:f>
        <x:v>PASS</x:v>
      </x:c>
    </x:row>
    <x:row r="3027">
      <x:c r="B3027" s="21" t="str">
        <x:v>A3021</x:v>
      </x:c>
      <x:c r="C3027" s="21" t="str">
        <x:v>rights</x:v>
      </x:c>
      <x:c r="D3027" s="21" t="str">
        <x:v>right 213 offered</x:v>
      </x:c>
      <x:c r="E3027" s="21" t="n">
        <x:f>IF('Rights Register'!H213=1,1,0)</x:f>
        <x:v>1</x:v>
      </x:c>
      <x:c r="F3027" s="21" t="n">
        <x:v>1</x:v>
      </x:c>
      <x:c r="G3027" s="23" t="str">
        <x:f>IF(E3027=F3027,"PASS","FAIL")</x:f>
        <x:v>PASS</x:v>
      </x:c>
    </x:row>
    <x:row r="3028">
      <x:c r="B3028" s="21" t="str">
        <x:v>A3022</x:v>
      </x:c>
      <x:c r="C3028" s="21" t="str">
        <x:v>rights</x:v>
      </x:c>
      <x:c r="D3028" s="21" t="str">
        <x:v>right 213 evidence open</x:v>
      </x:c>
      <x:c r="E3028" s="21" t="n">
        <x:f>IF('Rights Register'!I213="OPEN",1,0)</x:f>
        <x:v>1</x:v>
      </x:c>
      <x:c r="F3028" s="21" t="n">
        <x:v>1</x:v>
      </x:c>
      <x:c r="G3028" s="23" t="str">
        <x:f>IF(E3028=F3028,"PASS","FAIL")</x:f>
        <x:v>PASS</x:v>
      </x:c>
    </x:row>
    <x:row r="3029">
      <x:c r="B3029" s="21" t="str">
        <x:v>A3023</x:v>
      </x:c>
      <x:c r="C3029" s="21" t="str">
        <x:v>rights</x:v>
      </x:c>
      <x:c r="D3029" s="21" t="str">
        <x:v>right 213 zero credit</x:v>
      </x:c>
      <x:c r="E3029" s="21" t="n">
        <x:f>IF('Rights Register'!J213=0,1,0)</x:f>
        <x:v>1</x:v>
      </x:c>
      <x:c r="F3029" s="21" t="n">
        <x:v>1</x:v>
      </x:c>
      <x:c r="G3029" s="23" t="str">
        <x:f>IF(E3029=F3029,"PASS","FAIL")</x:f>
        <x:v>PASS</x:v>
      </x:c>
    </x:row>
    <x:row r="3030">
      <x:c r="B3030" s="21" t="str">
        <x:v>A3024</x:v>
      </x:c>
      <x:c r="C3030" s="21" t="str">
        <x:v>rights</x:v>
      </x:c>
      <x:c r="D3030" s="21" t="str">
        <x:v>right 214 required</x:v>
      </x:c>
      <x:c r="E3030" s="21" t="n">
        <x:f>IF('Rights Register'!G214=1,1,0)</x:f>
        <x:v>1</x:v>
      </x:c>
      <x:c r="F3030" s="21" t="n">
        <x:v>1</x:v>
      </x:c>
      <x:c r="G3030" s="23" t="str">
        <x:f>IF(E3030=F3030,"PASS","FAIL")</x:f>
        <x:v>PASS</x:v>
      </x:c>
    </x:row>
    <x:row r="3031">
      <x:c r="B3031" s="21" t="str">
        <x:v>A3025</x:v>
      </x:c>
      <x:c r="C3031" s="21" t="str">
        <x:v>rights</x:v>
      </x:c>
      <x:c r="D3031" s="21" t="str">
        <x:v>right 214 offered</x:v>
      </x:c>
      <x:c r="E3031" s="21" t="n">
        <x:f>IF('Rights Register'!H214=1,1,0)</x:f>
        <x:v>1</x:v>
      </x:c>
      <x:c r="F3031" s="21" t="n">
        <x:v>1</x:v>
      </x:c>
      <x:c r="G3031" s="23" t="str">
        <x:f>IF(E3031=F3031,"PASS","FAIL")</x:f>
        <x:v>PASS</x:v>
      </x:c>
    </x:row>
    <x:row r="3032">
      <x:c r="B3032" s="21" t="str">
        <x:v>A3026</x:v>
      </x:c>
      <x:c r="C3032" s="21" t="str">
        <x:v>rights</x:v>
      </x:c>
      <x:c r="D3032" s="21" t="str">
        <x:v>right 214 evidence open</x:v>
      </x:c>
      <x:c r="E3032" s="21" t="n">
        <x:f>IF('Rights Register'!I214="OPEN",1,0)</x:f>
        <x:v>1</x:v>
      </x:c>
      <x:c r="F3032" s="21" t="n">
        <x:v>1</x:v>
      </x:c>
      <x:c r="G3032" s="23" t="str">
        <x:f>IF(E3032=F3032,"PASS","FAIL")</x:f>
        <x:v>PASS</x:v>
      </x:c>
    </x:row>
    <x:row r="3033">
      <x:c r="B3033" s="21" t="str">
        <x:v>A3027</x:v>
      </x:c>
      <x:c r="C3033" s="21" t="str">
        <x:v>rights</x:v>
      </x:c>
      <x:c r="D3033" s="21" t="str">
        <x:v>right 214 zero credit</x:v>
      </x:c>
      <x:c r="E3033" s="21" t="n">
        <x:f>IF('Rights Register'!J214=0,1,0)</x:f>
        <x:v>1</x:v>
      </x:c>
      <x:c r="F3033" s="21" t="n">
        <x:v>1</x:v>
      </x:c>
      <x:c r="G3033" s="23" t="str">
        <x:f>IF(E3033=F3033,"PASS","FAIL")</x:f>
        <x:v>PASS</x:v>
      </x:c>
    </x:row>
    <x:row r="3034">
      <x:c r="B3034" s="21" t="str">
        <x:v>A3028</x:v>
      </x:c>
      <x:c r="C3034" s="21" t="str">
        <x:v>rights</x:v>
      </x:c>
      <x:c r="D3034" s="21" t="str">
        <x:v>right 215 required</x:v>
      </x:c>
      <x:c r="E3034" s="21" t="n">
        <x:f>IF('Rights Register'!G215=1,1,0)</x:f>
        <x:v>1</x:v>
      </x:c>
      <x:c r="F3034" s="21" t="n">
        <x:v>1</x:v>
      </x:c>
      <x:c r="G3034" s="23" t="str">
        <x:f>IF(E3034=F3034,"PASS","FAIL")</x:f>
        <x:v>PASS</x:v>
      </x:c>
    </x:row>
    <x:row r="3035">
      <x:c r="B3035" s="21" t="str">
        <x:v>A3029</x:v>
      </x:c>
      <x:c r="C3035" s="21" t="str">
        <x:v>rights</x:v>
      </x:c>
      <x:c r="D3035" s="21" t="str">
        <x:v>right 215 offered</x:v>
      </x:c>
      <x:c r="E3035" s="21" t="n">
        <x:f>IF('Rights Register'!H215=1,1,0)</x:f>
        <x:v>1</x:v>
      </x:c>
      <x:c r="F3035" s="21" t="n">
        <x:v>1</x:v>
      </x:c>
      <x:c r="G3035" s="23" t="str">
        <x:f>IF(E3035=F3035,"PASS","FAIL")</x:f>
        <x:v>PASS</x:v>
      </x:c>
    </x:row>
    <x:row r="3036">
      <x:c r="B3036" s="21" t="str">
        <x:v>A3030</x:v>
      </x:c>
      <x:c r="C3036" s="21" t="str">
        <x:v>rights</x:v>
      </x:c>
      <x:c r="D3036" s="21" t="str">
        <x:v>right 215 evidence open</x:v>
      </x:c>
      <x:c r="E3036" s="21" t="n">
        <x:f>IF('Rights Register'!I215="OPEN",1,0)</x:f>
        <x:v>1</x:v>
      </x:c>
      <x:c r="F3036" s="21" t="n">
        <x:v>1</x:v>
      </x:c>
      <x:c r="G3036" s="23" t="str">
        <x:f>IF(E3036=F3036,"PASS","FAIL")</x:f>
        <x:v>PASS</x:v>
      </x:c>
    </x:row>
    <x:row r="3037">
      <x:c r="B3037" s="21" t="str">
        <x:v>A3031</x:v>
      </x:c>
      <x:c r="C3037" s="21" t="str">
        <x:v>rights</x:v>
      </x:c>
      <x:c r="D3037" s="21" t="str">
        <x:v>right 215 zero credit</x:v>
      </x:c>
      <x:c r="E3037" s="21" t="n">
        <x:f>IF('Rights Register'!J215=0,1,0)</x:f>
        <x:v>1</x:v>
      </x:c>
      <x:c r="F3037" s="21" t="n">
        <x:v>1</x:v>
      </x:c>
      <x:c r="G3037" s="23" t="str">
        <x:f>IF(E3037=F3037,"PASS","FAIL")</x:f>
        <x:v>PASS</x:v>
      </x:c>
    </x:row>
    <x:row r="3038">
      <x:c r="B3038" s="21" t="str">
        <x:v>A3032</x:v>
      </x:c>
      <x:c r="C3038" s="21" t="str">
        <x:v>rights</x:v>
      </x:c>
      <x:c r="D3038" s="21" t="str">
        <x:v>right 216 required</x:v>
      </x:c>
      <x:c r="E3038" s="21" t="n">
        <x:f>IF('Rights Register'!G216=1,1,0)</x:f>
        <x:v>1</x:v>
      </x:c>
      <x:c r="F3038" s="21" t="n">
        <x:v>1</x:v>
      </x:c>
      <x:c r="G3038" s="23" t="str">
        <x:f>IF(E3038=F3038,"PASS","FAIL")</x:f>
        <x:v>PASS</x:v>
      </x:c>
    </x:row>
    <x:row r="3039">
      <x:c r="B3039" s="21" t="str">
        <x:v>A3033</x:v>
      </x:c>
      <x:c r="C3039" s="21" t="str">
        <x:v>rights</x:v>
      </x:c>
      <x:c r="D3039" s="21" t="str">
        <x:v>right 216 offered</x:v>
      </x:c>
      <x:c r="E3039" s="21" t="n">
        <x:f>IF('Rights Register'!H216=1,1,0)</x:f>
        <x:v>1</x:v>
      </x:c>
      <x:c r="F3039" s="21" t="n">
        <x:v>1</x:v>
      </x:c>
      <x:c r="G3039" s="23" t="str">
        <x:f>IF(E3039=F3039,"PASS","FAIL")</x:f>
        <x:v>PASS</x:v>
      </x:c>
    </x:row>
    <x:row r="3040">
      <x:c r="B3040" s="21" t="str">
        <x:v>A3034</x:v>
      </x:c>
      <x:c r="C3040" s="21" t="str">
        <x:v>rights</x:v>
      </x:c>
      <x:c r="D3040" s="21" t="str">
        <x:v>right 216 evidence open</x:v>
      </x:c>
      <x:c r="E3040" s="21" t="n">
        <x:f>IF('Rights Register'!I216="OPEN",1,0)</x:f>
        <x:v>1</x:v>
      </x:c>
      <x:c r="F3040" s="21" t="n">
        <x:v>1</x:v>
      </x:c>
      <x:c r="G3040" s="23" t="str">
        <x:f>IF(E3040=F3040,"PASS","FAIL")</x:f>
        <x:v>PASS</x:v>
      </x:c>
    </x:row>
    <x:row r="3041">
      <x:c r="B3041" s="21" t="str">
        <x:v>A3035</x:v>
      </x:c>
      <x:c r="C3041" s="21" t="str">
        <x:v>rights</x:v>
      </x:c>
      <x:c r="D3041" s="21" t="str">
        <x:v>right 216 zero credit</x:v>
      </x:c>
      <x:c r="E3041" s="21" t="n">
        <x:f>IF('Rights Register'!J216=0,1,0)</x:f>
        <x:v>1</x:v>
      </x:c>
      <x:c r="F3041" s="21" t="n">
        <x:v>1</x:v>
      </x:c>
      <x:c r="G3041" s="23" t="str">
        <x:f>IF(E3041=F3041,"PASS","FAIL")</x:f>
        <x:v>PASS</x:v>
      </x:c>
    </x:row>
    <x:row r="3042">
      <x:c r="B3042" s="21" t="str">
        <x:v>A3036</x:v>
      </x:c>
      <x:c r="C3042" s="21" t="str">
        <x:v>rights</x:v>
      </x:c>
      <x:c r="D3042" s="21" t="str">
        <x:v>right 217 required</x:v>
      </x:c>
      <x:c r="E3042" s="21" t="n">
        <x:f>IF('Rights Register'!G217=1,1,0)</x:f>
        <x:v>1</x:v>
      </x:c>
      <x:c r="F3042" s="21" t="n">
        <x:v>1</x:v>
      </x:c>
      <x:c r="G3042" s="23" t="str">
        <x:f>IF(E3042=F3042,"PASS","FAIL")</x:f>
        <x:v>PASS</x:v>
      </x:c>
    </x:row>
    <x:row r="3043">
      <x:c r="B3043" s="21" t="str">
        <x:v>A3037</x:v>
      </x:c>
      <x:c r="C3043" s="21" t="str">
        <x:v>rights</x:v>
      </x:c>
      <x:c r="D3043" s="21" t="str">
        <x:v>right 217 offered</x:v>
      </x:c>
      <x:c r="E3043" s="21" t="n">
        <x:f>IF('Rights Register'!H217=1,1,0)</x:f>
        <x:v>1</x:v>
      </x:c>
      <x:c r="F3043" s="21" t="n">
        <x:v>1</x:v>
      </x:c>
      <x:c r="G3043" s="23" t="str">
        <x:f>IF(E3043=F3043,"PASS","FAIL")</x:f>
        <x:v>PASS</x:v>
      </x:c>
    </x:row>
    <x:row r="3044">
      <x:c r="B3044" s="21" t="str">
        <x:v>A3038</x:v>
      </x:c>
      <x:c r="C3044" s="21" t="str">
        <x:v>rights</x:v>
      </x:c>
      <x:c r="D3044" s="21" t="str">
        <x:v>right 217 evidence open</x:v>
      </x:c>
      <x:c r="E3044" s="21" t="n">
        <x:f>IF('Rights Register'!I217="OPEN",1,0)</x:f>
        <x:v>1</x:v>
      </x:c>
      <x:c r="F3044" s="21" t="n">
        <x:v>1</x:v>
      </x:c>
      <x:c r="G3044" s="23" t="str">
        <x:f>IF(E3044=F3044,"PASS","FAIL")</x:f>
        <x:v>PASS</x:v>
      </x:c>
    </x:row>
    <x:row r="3045">
      <x:c r="B3045" s="21" t="str">
        <x:v>A3039</x:v>
      </x:c>
      <x:c r="C3045" s="21" t="str">
        <x:v>rights</x:v>
      </x:c>
      <x:c r="D3045" s="21" t="str">
        <x:v>right 217 zero credit</x:v>
      </x:c>
      <x:c r="E3045" s="21" t="n">
        <x:f>IF('Rights Register'!J217=0,1,0)</x:f>
        <x:v>1</x:v>
      </x:c>
      <x:c r="F3045" s="21" t="n">
        <x:v>1</x:v>
      </x:c>
      <x:c r="G3045" s="23" t="str">
        <x:f>IF(E3045=F3045,"PASS","FAIL")</x:f>
        <x:v>PASS</x:v>
      </x:c>
    </x:row>
    <x:row r="3046">
      <x:c r="B3046" s="21" t="str">
        <x:v>A3040</x:v>
      </x:c>
      <x:c r="C3046" s="21" t="str">
        <x:v>rights</x:v>
      </x:c>
      <x:c r="D3046" s="21" t="str">
        <x:v>right 218 required</x:v>
      </x:c>
      <x:c r="E3046" s="21" t="n">
        <x:f>IF('Rights Register'!G218=1,1,0)</x:f>
        <x:v>1</x:v>
      </x:c>
      <x:c r="F3046" s="21" t="n">
        <x:v>1</x:v>
      </x:c>
      <x:c r="G3046" s="23" t="str">
        <x:f>IF(E3046=F3046,"PASS","FAIL")</x:f>
        <x:v>PASS</x:v>
      </x:c>
    </x:row>
    <x:row r="3047">
      <x:c r="B3047" s="21" t="str">
        <x:v>A3041</x:v>
      </x:c>
      <x:c r="C3047" s="21" t="str">
        <x:v>rights</x:v>
      </x:c>
      <x:c r="D3047" s="21" t="str">
        <x:v>right 218 offered</x:v>
      </x:c>
      <x:c r="E3047" s="21" t="n">
        <x:f>IF('Rights Register'!H218=1,1,0)</x:f>
        <x:v>1</x:v>
      </x:c>
      <x:c r="F3047" s="21" t="n">
        <x:v>1</x:v>
      </x:c>
      <x:c r="G3047" s="23" t="str">
        <x:f>IF(E3047=F3047,"PASS","FAIL")</x:f>
        <x:v>PASS</x:v>
      </x:c>
    </x:row>
    <x:row r="3048">
      <x:c r="B3048" s="21" t="str">
        <x:v>A3042</x:v>
      </x:c>
      <x:c r="C3048" s="21" t="str">
        <x:v>rights</x:v>
      </x:c>
      <x:c r="D3048" s="21" t="str">
        <x:v>right 218 evidence open</x:v>
      </x:c>
      <x:c r="E3048" s="21" t="n">
        <x:f>IF('Rights Register'!I218="OPEN",1,0)</x:f>
        <x:v>1</x:v>
      </x:c>
      <x:c r="F3048" s="21" t="n">
        <x:v>1</x:v>
      </x:c>
      <x:c r="G3048" s="23" t="str">
        <x:f>IF(E3048=F3048,"PASS","FAIL")</x:f>
        <x:v>PASS</x:v>
      </x:c>
    </x:row>
    <x:row r="3049">
      <x:c r="B3049" s="21" t="str">
        <x:v>A3043</x:v>
      </x:c>
      <x:c r="C3049" s="21" t="str">
        <x:v>rights</x:v>
      </x:c>
      <x:c r="D3049" s="21" t="str">
        <x:v>right 218 zero credit</x:v>
      </x:c>
      <x:c r="E3049" s="21" t="n">
        <x:f>IF('Rights Register'!J218=0,1,0)</x:f>
        <x:v>1</x:v>
      </x:c>
      <x:c r="F3049" s="21" t="n">
        <x:v>1</x:v>
      </x:c>
      <x:c r="G3049" s="23" t="str">
        <x:f>IF(E3049=F3049,"PASS","FAIL")</x:f>
        <x:v>PASS</x:v>
      </x:c>
    </x:row>
    <x:row r="3050">
      <x:c r="B3050" s="21" t="str">
        <x:v>A3044</x:v>
      </x:c>
      <x:c r="C3050" s="21" t="str">
        <x:v>rights</x:v>
      </x:c>
      <x:c r="D3050" s="21" t="str">
        <x:v>right 219 required</x:v>
      </x:c>
      <x:c r="E3050" s="21" t="n">
        <x:f>IF('Rights Register'!G219=1,1,0)</x:f>
        <x:v>1</x:v>
      </x:c>
      <x:c r="F3050" s="21" t="n">
        <x:v>1</x:v>
      </x:c>
      <x:c r="G3050" s="23" t="str">
        <x:f>IF(E3050=F3050,"PASS","FAIL")</x:f>
        <x:v>PASS</x:v>
      </x:c>
    </x:row>
    <x:row r="3051">
      <x:c r="B3051" s="21" t="str">
        <x:v>A3045</x:v>
      </x:c>
      <x:c r="C3051" s="21" t="str">
        <x:v>rights</x:v>
      </x:c>
      <x:c r="D3051" s="21" t="str">
        <x:v>right 219 offered</x:v>
      </x:c>
      <x:c r="E3051" s="21" t="n">
        <x:f>IF('Rights Register'!H219=1,1,0)</x:f>
        <x:v>1</x:v>
      </x:c>
      <x:c r="F3051" s="21" t="n">
        <x:v>1</x:v>
      </x:c>
      <x:c r="G3051" s="23" t="str">
        <x:f>IF(E3051=F3051,"PASS","FAIL")</x:f>
        <x:v>PASS</x:v>
      </x:c>
    </x:row>
    <x:row r="3052">
      <x:c r="B3052" s="21" t="str">
        <x:v>A3046</x:v>
      </x:c>
      <x:c r="C3052" s="21" t="str">
        <x:v>rights</x:v>
      </x:c>
      <x:c r="D3052" s="21" t="str">
        <x:v>right 219 evidence open</x:v>
      </x:c>
      <x:c r="E3052" s="21" t="n">
        <x:f>IF('Rights Register'!I219="OPEN",1,0)</x:f>
        <x:v>1</x:v>
      </x:c>
      <x:c r="F3052" s="21" t="n">
        <x:v>1</x:v>
      </x:c>
      <x:c r="G3052" s="23" t="str">
        <x:f>IF(E3052=F3052,"PASS","FAIL")</x:f>
        <x:v>PASS</x:v>
      </x:c>
    </x:row>
    <x:row r="3053">
      <x:c r="B3053" s="21" t="str">
        <x:v>A3047</x:v>
      </x:c>
      <x:c r="C3053" s="21" t="str">
        <x:v>rights</x:v>
      </x:c>
      <x:c r="D3053" s="21" t="str">
        <x:v>right 219 zero credit</x:v>
      </x:c>
      <x:c r="E3053" s="21" t="n">
        <x:f>IF('Rights Register'!J219=0,1,0)</x:f>
        <x:v>1</x:v>
      </x:c>
      <x:c r="F3053" s="21" t="n">
        <x:v>1</x:v>
      </x:c>
      <x:c r="G3053" s="23" t="str">
        <x:f>IF(E3053=F3053,"PASS","FAIL")</x:f>
        <x:v>PASS</x:v>
      </x:c>
    </x:row>
    <x:row r="3054">
      <x:c r="B3054" s="21" t="str">
        <x:v>A3048</x:v>
      </x:c>
      <x:c r="C3054" s="21" t="str">
        <x:v>rights</x:v>
      </x:c>
      <x:c r="D3054" s="21" t="str">
        <x:v>right 220 required</x:v>
      </x:c>
      <x:c r="E3054" s="21" t="n">
        <x:f>IF('Rights Register'!G220=1,1,0)</x:f>
        <x:v>1</x:v>
      </x:c>
      <x:c r="F3054" s="21" t="n">
        <x:v>1</x:v>
      </x:c>
      <x:c r="G3054" s="23" t="str">
        <x:f>IF(E3054=F3054,"PASS","FAIL")</x:f>
        <x:v>PASS</x:v>
      </x:c>
    </x:row>
    <x:row r="3055">
      <x:c r="B3055" s="21" t="str">
        <x:v>A3049</x:v>
      </x:c>
      <x:c r="C3055" s="21" t="str">
        <x:v>rights</x:v>
      </x:c>
      <x:c r="D3055" s="21" t="str">
        <x:v>right 220 offered</x:v>
      </x:c>
      <x:c r="E3055" s="21" t="n">
        <x:f>IF('Rights Register'!H220=1,1,0)</x:f>
        <x:v>1</x:v>
      </x:c>
      <x:c r="F3055" s="21" t="n">
        <x:v>1</x:v>
      </x:c>
      <x:c r="G3055" s="23" t="str">
        <x:f>IF(E3055=F3055,"PASS","FAIL")</x:f>
        <x:v>PASS</x:v>
      </x:c>
    </x:row>
    <x:row r="3056">
      <x:c r="B3056" s="21" t="str">
        <x:v>A3050</x:v>
      </x:c>
      <x:c r="C3056" s="21" t="str">
        <x:v>rights</x:v>
      </x:c>
      <x:c r="D3056" s="21" t="str">
        <x:v>right 220 evidence open</x:v>
      </x:c>
      <x:c r="E3056" s="21" t="n">
        <x:f>IF('Rights Register'!I220="OPEN",1,0)</x:f>
        <x:v>1</x:v>
      </x:c>
      <x:c r="F3056" s="21" t="n">
        <x:v>1</x:v>
      </x:c>
      <x:c r="G3056" s="23" t="str">
        <x:f>IF(E3056=F3056,"PASS","FAIL")</x:f>
        <x:v>PASS</x:v>
      </x:c>
    </x:row>
    <x:row r="3057">
      <x:c r="B3057" s="21" t="str">
        <x:v>A3051</x:v>
      </x:c>
      <x:c r="C3057" s="21" t="str">
        <x:v>rights</x:v>
      </x:c>
      <x:c r="D3057" s="21" t="str">
        <x:v>right 220 zero credit</x:v>
      </x:c>
      <x:c r="E3057" s="21" t="n">
        <x:f>IF('Rights Register'!J220=0,1,0)</x:f>
        <x:v>1</x:v>
      </x:c>
      <x:c r="F3057" s="21" t="n">
        <x:v>1</x:v>
      </x:c>
      <x:c r="G3057" s="23" t="str">
        <x:f>IF(E3057=F3057,"PASS","FAIL")</x:f>
        <x:v>PASS</x:v>
      </x:c>
    </x:row>
    <x:row r="3058">
      <x:c r="B3058" s="21" t="str">
        <x:v>A3052</x:v>
      </x:c>
      <x:c r="C3058" s="21" t="str">
        <x:v>rights</x:v>
      </x:c>
      <x:c r="D3058" s="21" t="str">
        <x:v>right 221 required</x:v>
      </x:c>
      <x:c r="E3058" s="21" t="n">
        <x:f>IF('Rights Register'!G221=1,1,0)</x:f>
        <x:v>1</x:v>
      </x:c>
      <x:c r="F3058" s="21" t="n">
        <x:v>1</x:v>
      </x:c>
      <x:c r="G3058" s="23" t="str">
        <x:f>IF(E3058=F3058,"PASS","FAIL")</x:f>
        <x:v>PASS</x:v>
      </x:c>
    </x:row>
    <x:row r="3059">
      <x:c r="B3059" s="21" t="str">
        <x:v>A3053</x:v>
      </x:c>
      <x:c r="C3059" s="21" t="str">
        <x:v>rights</x:v>
      </x:c>
      <x:c r="D3059" s="21" t="str">
        <x:v>right 221 offered</x:v>
      </x:c>
      <x:c r="E3059" s="21" t="n">
        <x:f>IF('Rights Register'!H221=1,1,0)</x:f>
        <x:v>1</x:v>
      </x:c>
      <x:c r="F3059" s="21" t="n">
        <x:v>1</x:v>
      </x:c>
      <x:c r="G3059" s="23" t="str">
        <x:f>IF(E3059=F3059,"PASS","FAIL")</x:f>
        <x:v>PASS</x:v>
      </x:c>
    </x:row>
    <x:row r="3060">
      <x:c r="B3060" s="21" t="str">
        <x:v>A3054</x:v>
      </x:c>
      <x:c r="C3060" s="21" t="str">
        <x:v>rights</x:v>
      </x:c>
      <x:c r="D3060" s="21" t="str">
        <x:v>right 221 evidence open</x:v>
      </x:c>
      <x:c r="E3060" s="21" t="n">
        <x:f>IF('Rights Register'!I221="OPEN",1,0)</x:f>
        <x:v>1</x:v>
      </x:c>
      <x:c r="F3060" s="21" t="n">
        <x:v>1</x:v>
      </x:c>
      <x:c r="G3060" s="23" t="str">
        <x:f>IF(E3060=F3060,"PASS","FAIL")</x:f>
        <x:v>PASS</x:v>
      </x:c>
    </x:row>
    <x:row r="3061">
      <x:c r="B3061" s="21" t="str">
        <x:v>A3055</x:v>
      </x:c>
      <x:c r="C3061" s="21" t="str">
        <x:v>rights</x:v>
      </x:c>
      <x:c r="D3061" s="21" t="str">
        <x:v>right 221 zero credit</x:v>
      </x:c>
      <x:c r="E3061" s="21" t="n">
        <x:f>IF('Rights Register'!J221=0,1,0)</x:f>
        <x:v>1</x:v>
      </x:c>
      <x:c r="F3061" s="21" t="n">
        <x:v>1</x:v>
      </x:c>
      <x:c r="G3061" s="23" t="str">
        <x:f>IF(E3061=F3061,"PASS","FAIL")</x:f>
        <x:v>PASS</x:v>
      </x:c>
    </x:row>
    <x:row r="3062">
      <x:c r="B3062" s="21" t="str">
        <x:v>A3056</x:v>
      </x:c>
      <x:c r="C3062" s="21" t="str">
        <x:v>rights</x:v>
      </x:c>
      <x:c r="D3062" s="21" t="str">
        <x:v>right 222 required</x:v>
      </x:c>
      <x:c r="E3062" s="21" t="n">
        <x:f>IF('Rights Register'!G222=1,1,0)</x:f>
        <x:v>1</x:v>
      </x:c>
      <x:c r="F3062" s="21" t="n">
        <x:v>1</x:v>
      </x:c>
      <x:c r="G3062" s="23" t="str">
        <x:f>IF(E3062=F3062,"PASS","FAIL")</x:f>
        <x:v>PASS</x:v>
      </x:c>
    </x:row>
    <x:row r="3063">
      <x:c r="B3063" s="21" t="str">
        <x:v>A3057</x:v>
      </x:c>
      <x:c r="C3063" s="21" t="str">
        <x:v>rights</x:v>
      </x:c>
      <x:c r="D3063" s="21" t="str">
        <x:v>right 222 offered</x:v>
      </x:c>
      <x:c r="E3063" s="21" t="n">
        <x:f>IF('Rights Register'!H222=1,1,0)</x:f>
        <x:v>1</x:v>
      </x:c>
      <x:c r="F3063" s="21" t="n">
        <x:v>1</x:v>
      </x:c>
      <x:c r="G3063" s="23" t="str">
        <x:f>IF(E3063=F3063,"PASS","FAIL")</x:f>
        <x:v>PASS</x:v>
      </x:c>
    </x:row>
    <x:row r="3064">
      <x:c r="B3064" s="21" t="str">
        <x:v>A3058</x:v>
      </x:c>
      <x:c r="C3064" s="21" t="str">
        <x:v>rights</x:v>
      </x:c>
      <x:c r="D3064" s="21" t="str">
        <x:v>right 222 evidence open</x:v>
      </x:c>
      <x:c r="E3064" s="21" t="n">
        <x:f>IF('Rights Register'!I222="OPEN",1,0)</x:f>
        <x:v>1</x:v>
      </x:c>
      <x:c r="F3064" s="21" t="n">
        <x:v>1</x:v>
      </x:c>
      <x:c r="G3064" s="23" t="str">
        <x:f>IF(E3064=F3064,"PASS","FAIL")</x:f>
        <x:v>PASS</x:v>
      </x:c>
    </x:row>
    <x:row r="3065">
      <x:c r="B3065" s="21" t="str">
        <x:v>A3059</x:v>
      </x:c>
      <x:c r="C3065" s="21" t="str">
        <x:v>rights</x:v>
      </x:c>
      <x:c r="D3065" s="21" t="str">
        <x:v>right 222 zero credit</x:v>
      </x:c>
      <x:c r="E3065" s="21" t="n">
        <x:f>IF('Rights Register'!J222=0,1,0)</x:f>
        <x:v>1</x:v>
      </x:c>
      <x:c r="F3065" s="21" t="n">
        <x:v>1</x:v>
      </x:c>
      <x:c r="G3065" s="23" t="str">
        <x:f>IF(E3065=F3065,"PASS","FAIL")</x:f>
        <x:v>PASS</x:v>
      </x:c>
    </x:row>
    <x:row r="3066">
      <x:c r="B3066" s="21" t="str">
        <x:v>A3060</x:v>
      </x:c>
      <x:c r="C3066" s="21" t="str">
        <x:v>rights</x:v>
      </x:c>
      <x:c r="D3066" s="21" t="str">
        <x:v>right 223 required</x:v>
      </x:c>
      <x:c r="E3066" s="21" t="n">
        <x:f>IF('Rights Register'!G223=1,1,0)</x:f>
        <x:v>1</x:v>
      </x:c>
      <x:c r="F3066" s="21" t="n">
        <x:v>1</x:v>
      </x:c>
      <x:c r="G3066" s="23" t="str">
        <x:f>IF(E3066=F3066,"PASS","FAIL")</x:f>
        <x:v>PASS</x:v>
      </x:c>
    </x:row>
    <x:row r="3067">
      <x:c r="B3067" s="21" t="str">
        <x:v>A3061</x:v>
      </x:c>
      <x:c r="C3067" s="21" t="str">
        <x:v>rights</x:v>
      </x:c>
      <x:c r="D3067" s="21" t="str">
        <x:v>right 223 offered</x:v>
      </x:c>
      <x:c r="E3067" s="21" t="n">
        <x:f>IF('Rights Register'!H223=1,1,0)</x:f>
        <x:v>1</x:v>
      </x:c>
      <x:c r="F3067" s="21" t="n">
        <x:v>1</x:v>
      </x:c>
      <x:c r="G3067" s="23" t="str">
        <x:f>IF(E3067=F3067,"PASS","FAIL")</x:f>
        <x:v>PASS</x:v>
      </x:c>
    </x:row>
    <x:row r="3068">
      <x:c r="B3068" s="21" t="str">
        <x:v>A3062</x:v>
      </x:c>
      <x:c r="C3068" s="21" t="str">
        <x:v>rights</x:v>
      </x:c>
      <x:c r="D3068" s="21" t="str">
        <x:v>right 223 evidence open</x:v>
      </x:c>
      <x:c r="E3068" s="21" t="n">
        <x:f>IF('Rights Register'!I223="OPEN",1,0)</x:f>
        <x:v>1</x:v>
      </x:c>
      <x:c r="F3068" s="21" t="n">
        <x:v>1</x:v>
      </x:c>
      <x:c r="G3068" s="23" t="str">
        <x:f>IF(E3068=F3068,"PASS","FAIL")</x:f>
        <x:v>PASS</x:v>
      </x:c>
    </x:row>
    <x:row r="3069">
      <x:c r="B3069" s="21" t="str">
        <x:v>A3063</x:v>
      </x:c>
      <x:c r="C3069" s="21" t="str">
        <x:v>rights</x:v>
      </x:c>
      <x:c r="D3069" s="21" t="str">
        <x:v>right 223 zero credit</x:v>
      </x:c>
      <x:c r="E3069" s="21" t="n">
        <x:f>IF('Rights Register'!J223=0,1,0)</x:f>
        <x:v>1</x:v>
      </x:c>
      <x:c r="F3069" s="21" t="n">
        <x:v>1</x:v>
      </x:c>
      <x:c r="G3069" s="23" t="str">
        <x:f>IF(E3069=F3069,"PASS","FAIL")</x:f>
        <x:v>PASS</x:v>
      </x:c>
    </x:row>
    <x:row r="3070">
      <x:c r="B3070" s="21" t="str">
        <x:v>A3064</x:v>
      </x:c>
      <x:c r="C3070" s="21" t="str">
        <x:v>rights</x:v>
      </x:c>
      <x:c r="D3070" s="21" t="str">
        <x:v>right 224 required</x:v>
      </x:c>
      <x:c r="E3070" s="21" t="n">
        <x:f>IF('Rights Register'!G224=1,1,0)</x:f>
        <x:v>1</x:v>
      </x:c>
      <x:c r="F3070" s="21" t="n">
        <x:v>1</x:v>
      </x:c>
      <x:c r="G3070" s="23" t="str">
        <x:f>IF(E3070=F3070,"PASS","FAIL")</x:f>
        <x:v>PASS</x:v>
      </x:c>
    </x:row>
    <x:row r="3071">
      <x:c r="B3071" s="21" t="str">
        <x:v>A3065</x:v>
      </x:c>
      <x:c r="C3071" s="21" t="str">
        <x:v>rights</x:v>
      </x:c>
      <x:c r="D3071" s="21" t="str">
        <x:v>right 224 offered</x:v>
      </x:c>
      <x:c r="E3071" s="21" t="n">
        <x:f>IF('Rights Register'!H224=1,1,0)</x:f>
        <x:v>1</x:v>
      </x:c>
      <x:c r="F3071" s="21" t="n">
        <x:v>1</x:v>
      </x:c>
      <x:c r="G3071" s="23" t="str">
        <x:f>IF(E3071=F3071,"PASS","FAIL")</x:f>
        <x:v>PASS</x:v>
      </x:c>
    </x:row>
    <x:row r="3072">
      <x:c r="B3072" s="21" t="str">
        <x:v>A3066</x:v>
      </x:c>
      <x:c r="C3072" s="21" t="str">
        <x:v>rights</x:v>
      </x:c>
      <x:c r="D3072" s="21" t="str">
        <x:v>right 224 evidence open</x:v>
      </x:c>
      <x:c r="E3072" s="21" t="n">
        <x:f>IF('Rights Register'!I224="OPEN",1,0)</x:f>
        <x:v>1</x:v>
      </x:c>
      <x:c r="F3072" s="21" t="n">
        <x:v>1</x:v>
      </x:c>
      <x:c r="G3072" s="23" t="str">
        <x:f>IF(E3072=F3072,"PASS","FAIL")</x:f>
        <x:v>PASS</x:v>
      </x:c>
    </x:row>
    <x:row r="3073">
      <x:c r="B3073" s="21" t="str">
        <x:v>A3067</x:v>
      </x:c>
      <x:c r="C3073" s="21" t="str">
        <x:v>rights</x:v>
      </x:c>
      <x:c r="D3073" s="21" t="str">
        <x:v>right 224 zero credit</x:v>
      </x:c>
      <x:c r="E3073" s="21" t="n">
        <x:f>IF('Rights Register'!J224=0,1,0)</x:f>
        <x:v>1</x:v>
      </x:c>
      <x:c r="F3073" s="21" t="n">
        <x:v>1</x:v>
      </x:c>
      <x:c r="G3073" s="23" t="str">
        <x:f>IF(E3073=F3073,"PASS","FAIL")</x:f>
        <x:v>PASS</x:v>
      </x:c>
    </x:row>
    <x:row r="3074">
      <x:c r="B3074" s="21" t="str">
        <x:v>A3068</x:v>
      </x:c>
      <x:c r="C3074" s="21" t="str">
        <x:v>rights</x:v>
      </x:c>
      <x:c r="D3074" s="21" t="str">
        <x:v>right 225 required</x:v>
      </x:c>
      <x:c r="E3074" s="21" t="n">
        <x:f>IF('Rights Register'!G225=1,1,0)</x:f>
        <x:v>1</x:v>
      </x:c>
      <x:c r="F3074" s="21" t="n">
        <x:v>1</x:v>
      </x:c>
      <x:c r="G3074" s="23" t="str">
        <x:f>IF(E3074=F3074,"PASS","FAIL")</x:f>
        <x:v>PASS</x:v>
      </x:c>
    </x:row>
    <x:row r="3075">
      <x:c r="B3075" s="21" t="str">
        <x:v>A3069</x:v>
      </x:c>
      <x:c r="C3075" s="21" t="str">
        <x:v>rights</x:v>
      </x:c>
      <x:c r="D3075" s="21" t="str">
        <x:v>right 225 offered</x:v>
      </x:c>
      <x:c r="E3075" s="21" t="n">
        <x:f>IF('Rights Register'!H225=1,1,0)</x:f>
        <x:v>1</x:v>
      </x:c>
      <x:c r="F3075" s="21" t="n">
        <x:v>1</x:v>
      </x:c>
      <x:c r="G3075" s="23" t="str">
        <x:f>IF(E3075=F3075,"PASS","FAIL")</x:f>
        <x:v>PASS</x:v>
      </x:c>
    </x:row>
    <x:row r="3076">
      <x:c r="B3076" s="21" t="str">
        <x:v>A3070</x:v>
      </x:c>
      <x:c r="C3076" s="21" t="str">
        <x:v>rights</x:v>
      </x:c>
      <x:c r="D3076" s="21" t="str">
        <x:v>right 225 evidence open</x:v>
      </x:c>
      <x:c r="E3076" s="21" t="n">
        <x:f>IF('Rights Register'!I225="OPEN",1,0)</x:f>
        <x:v>1</x:v>
      </x:c>
      <x:c r="F3076" s="21" t="n">
        <x:v>1</x:v>
      </x:c>
      <x:c r="G3076" s="23" t="str">
        <x:f>IF(E3076=F3076,"PASS","FAIL")</x:f>
        <x:v>PASS</x:v>
      </x:c>
    </x:row>
    <x:row r="3077">
      <x:c r="B3077" s="21" t="str">
        <x:v>A3071</x:v>
      </x:c>
      <x:c r="C3077" s="21" t="str">
        <x:v>rights</x:v>
      </x:c>
      <x:c r="D3077" s="21" t="str">
        <x:v>right 225 zero credit</x:v>
      </x:c>
      <x:c r="E3077" s="21" t="n">
        <x:f>IF('Rights Register'!J225=0,1,0)</x:f>
        <x:v>1</x:v>
      </x:c>
      <x:c r="F3077" s="21" t="n">
        <x:v>1</x:v>
      </x:c>
      <x:c r="G3077" s="23" t="str">
        <x:f>IF(E3077=F3077,"PASS","FAIL")</x:f>
        <x:v>PASS</x:v>
      </x:c>
    </x:row>
    <x:row r="3078">
      <x:c r="B3078" s="21" t="str">
        <x:v>A3072</x:v>
      </x:c>
      <x:c r="C3078" s="21" t="str">
        <x:v>rights</x:v>
      </x:c>
      <x:c r="D3078" s="21" t="str">
        <x:v>right 226 required</x:v>
      </x:c>
      <x:c r="E3078" s="21" t="n">
        <x:f>IF('Rights Register'!G226=1,1,0)</x:f>
        <x:v>1</x:v>
      </x:c>
      <x:c r="F3078" s="21" t="n">
        <x:v>1</x:v>
      </x:c>
      <x:c r="G3078" s="23" t="str">
        <x:f>IF(E3078=F3078,"PASS","FAIL")</x:f>
        <x:v>PASS</x:v>
      </x:c>
    </x:row>
    <x:row r="3079">
      <x:c r="B3079" s="21" t="str">
        <x:v>A3073</x:v>
      </x:c>
      <x:c r="C3079" s="21" t="str">
        <x:v>rights</x:v>
      </x:c>
      <x:c r="D3079" s="21" t="str">
        <x:v>right 226 offered</x:v>
      </x:c>
      <x:c r="E3079" s="21" t="n">
        <x:f>IF('Rights Register'!H226=1,1,0)</x:f>
        <x:v>1</x:v>
      </x:c>
      <x:c r="F3079" s="21" t="n">
        <x:v>1</x:v>
      </x:c>
      <x:c r="G3079" s="23" t="str">
        <x:f>IF(E3079=F3079,"PASS","FAIL")</x:f>
        <x:v>PASS</x:v>
      </x:c>
    </x:row>
    <x:row r="3080">
      <x:c r="B3080" s="21" t="str">
        <x:v>A3074</x:v>
      </x:c>
      <x:c r="C3080" s="21" t="str">
        <x:v>rights</x:v>
      </x:c>
      <x:c r="D3080" s="21" t="str">
        <x:v>right 226 evidence open</x:v>
      </x:c>
      <x:c r="E3080" s="21" t="n">
        <x:f>IF('Rights Register'!I226="OPEN",1,0)</x:f>
        <x:v>1</x:v>
      </x:c>
      <x:c r="F3080" s="21" t="n">
        <x:v>1</x:v>
      </x:c>
      <x:c r="G3080" s="23" t="str">
        <x:f>IF(E3080=F3080,"PASS","FAIL")</x:f>
        <x:v>PASS</x:v>
      </x:c>
    </x:row>
    <x:row r="3081">
      <x:c r="B3081" s="21" t="str">
        <x:v>A3075</x:v>
      </x:c>
      <x:c r="C3081" s="21" t="str">
        <x:v>rights</x:v>
      </x:c>
      <x:c r="D3081" s="21" t="str">
        <x:v>right 226 zero credit</x:v>
      </x:c>
      <x:c r="E3081" s="21" t="n">
        <x:f>IF('Rights Register'!J226=0,1,0)</x:f>
        <x:v>1</x:v>
      </x:c>
      <x:c r="F3081" s="21" t="n">
        <x:v>1</x:v>
      </x:c>
      <x:c r="G3081" s="23" t="str">
        <x:f>IF(E3081=F3081,"PASS","FAIL")</x:f>
        <x:v>PASS</x:v>
      </x:c>
    </x:row>
    <x:row r="3082">
      <x:c r="B3082" s="21" t="str">
        <x:v>A3076</x:v>
      </x:c>
      <x:c r="C3082" s="21" t="str">
        <x:v>rights</x:v>
      </x:c>
      <x:c r="D3082" s="21" t="str">
        <x:v>right 227 required</x:v>
      </x:c>
      <x:c r="E3082" s="21" t="n">
        <x:f>IF('Rights Register'!G227=1,1,0)</x:f>
        <x:v>1</x:v>
      </x:c>
      <x:c r="F3082" s="21" t="n">
        <x:v>1</x:v>
      </x:c>
      <x:c r="G3082" s="23" t="str">
        <x:f>IF(E3082=F3082,"PASS","FAIL")</x:f>
        <x:v>PASS</x:v>
      </x:c>
    </x:row>
    <x:row r="3083">
      <x:c r="B3083" s="21" t="str">
        <x:v>A3077</x:v>
      </x:c>
      <x:c r="C3083" s="21" t="str">
        <x:v>rights</x:v>
      </x:c>
      <x:c r="D3083" s="21" t="str">
        <x:v>right 227 offered</x:v>
      </x:c>
      <x:c r="E3083" s="21" t="n">
        <x:f>IF('Rights Register'!H227=1,1,0)</x:f>
        <x:v>1</x:v>
      </x:c>
      <x:c r="F3083" s="21" t="n">
        <x:v>1</x:v>
      </x:c>
      <x:c r="G3083" s="23" t="str">
        <x:f>IF(E3083=F3083,"PASS","FAIL")</x:f>
        <x:v>PASS</x:v>
      </x:c>
    </x:row>
    <x:row r="3084">
      <x:c r="B3084" s="21" t="str">
        <x:v>A3078</x:v>
      </x:c>
      <x:c r="C3084" s="21" t="str">
        <x:v>rights</x:v>
      </x:c>
      <x:c r="D3084" s="21" t="str">
        <x:v>right 227 evidence open</x:v>
      </x:c>
      <x:c r="E3084" s="21" t="n">
        <x:f>IF('Rights Register'!I227="OPEN",1,0)</x:f>
        <x:v>1</x:v>
      </x:c>
      <x:c r="F3084" s="21" t="n">
        <x:v>1</x:v>
      </x:c>
      <x:c r="G3084" s="23" t="str">
        <x:f>IF(E3084=F3084,"PASS","FAIL")</x:f>
        <x:v>PASS</x:v>
      </x:c>
    </x:row>
    <x:row r="3085">
      <x:c r="B3085" s="21" t="str">
        <x:v>A3079</x:v>
      </x:c>
      <x:c r="C3085" s="21" t="str">
        <x:v>rights</x:v>
      </x:c>
      <x:c r="D3085" s="21" t="str">
        <x:v>right 227 zero credit</x:v>
      </x:c>
      <x:c r="E3085" s="21" t="n">
        <x:f>IF('Rights Register'!J227=0,1,0)</x:f>
        <x:v>1</x:v>
      </x:c>
      <x:c r="F3085" s="21" t="n">
        <x:v>1</x:v>
      </x:c>
      <x:c r="G3085" s="23" t="str">
        <x:f>IF(E3085=F3085,"PASS","FAIL")</x:f>
        <x:v>PASS</x:v>
      </x:c>
    </x:row>
    <x:row r="3086">
      <x:c r="B3086" s="21" t="str">
        <x:v>A3080</x:v>
      </x:c>
      <x:c r="C3086" s="21" t="str">
        <x:v>rights</x:v>
      </x:c>
      <x:c r="D3086" s="21" t="str">
        <x:v>right 228 required</x:v>
      </x:c>
      <x:c r="E3086" s="21" t="n">
        <x:f>IF('Rights Register'!G228=1,1,0)</x:f>
        <x:v>1</x:v>
      </x:c>
      <x:c r="F3086" s="21" t="n">
        <x:v>1</x:v>
      </x:c>
      <x:c r="G3086" s="23" t="str">
        <x:f>IF(E3086=F3086,"PASS","FAIL")</x:f>
        <x:v>PASS</x:v>
      </x:c>
    </x:row>
    <x:row r="3087">
      <x:c r="B3087" s="21" t="str">
        <x:v>A3081</x:v>
      </x:c>
      <x:c r="C3087" s="21" t="str">
        <x:v>rights</x:v>
      </x:c>
      <x:c r="D3087" s="21" t="str">
        <x:v>right 228 offered</x:v>
      </x:c>
      <x:c r="E3087" s="21" t="n">
        <x:f>IF('Rights Register'!H228=1,1,0)</x:f>
        <x:v>1</x:v>
      </x:c>
      <x:c r="F3087" s="21" t="n">
        <x:v>1</x:v>
      </x:c>
      <x:c r="G3087" s="23" t="str">
        <x:f>IF(E3087=F3087,"PASS","FAIL")</x:f>
        <x:v>PASS</x:v>
      </x:c>
    </x:row>
    <x:row r="3088">
      <x:c r="B3088" s="21" t="str">
        <x:v>A3082</x:v>
      </x:c>
      <x:c r="C3088" s="21" t="str">
        <x:v>rights</x:v>
      </x:c>
      <x:c r="D3088" s="21" t="str">
        <x:v>right 228 evidence open</x:v>
      </x:c>
      <x:c r="E3088" s="21" t="n">
        <x:f>IF('Rights Register'!I228="OPEN",1,0)</x:f>
        <x:v>1</x:v>
      </x:c>
      <x:c r="F3088" s="21" t="n">
        <x:v>1</x:v>
      </x:c>
      <x:c r="G3088" s="23" t="str">
        <x:f>IF(E3088=F3088,"PASS","FAIL")</x:f>
        <x:v>PASS</x:v>
      </x:c>
    </x:row>
    <x:row r="3089">
      <x:c r="B3089" s="21" t="str">
        <x:v>A3083</x:v>
      </x:c>
      <x:c r="C3089" s="21" t="str">
        <x:v>rights</x:v>
      </x:c>
      <x:c r="D3089" s="21" t="str">
        <x:v>right 228 zero credit</x:v>
      </x:c>
      <x:c r="E3089" s="21" t="n">
        <x:f>IF('Rights Register'!J228=0,1,0)</x:f>
        <x:v>1</x:v>
      </x:c>
      <x:c r="F3089" s="21" t="n">
        <x:v>1</x:v>
      </x:c>
      <x:c r="G3089" s="23" t="str">
        <x:f>IF(E3089=F3089,"PASS","FAIL")</x:f>
        <x:v>PASS</x:v>
      </x:c>
    </x:row>
    <x:row r="3090">
      <x:c r="B3090" s="21" t="str">
        <x:v>A3084</x:v>
      </x:c>
      <x:c r="C3090" s="21" t="str">
        <x:v>rights</x:v>
      </x:c>
      <x:c r="D3090" s="21" t="str">
        <x:v>right 229 required</x:v>
      </x:c>
      <x:c r="E3090" s="21" t="n">
        <x:f>IF('Rights Register'!G229=1,1,0)</x:f>
        <x:v>1</x:v>
      </x:c>
      <x:c r="F3090" s="21" t="n">
        <x:v>1</x:v>
      </x:c>
      <x:c r="G3090" s="23" t="str">
        <x:f>IF(E3090=F3090,"PASS","FAIL")</x:f>
        <x:v>PASS</x:v>
      </x:c>
    </x:row>
    <x:row r="3091">
      <x:c r="B3091" s="21" t="str">
        <x:v>A3085</x:v>
      </x:c>
      <x:c r="C3091" s="21" t="str">
        <x:v>rights</x:v>
      </x:c>
      <x:c r="D3091" s="21" t="str">
        <x:v>right 229 offered</x:v>
      </x:c>
      <x:c r="E3091" s="21" t="n">
        <x:f>IF('Rights Register'!H229=1,1,0)</x:f>
        <x:v>1</x:v>
      </x:c>
      <x:c r="F3091" s="21" t="n">
        <x:v>1</x:v>
      </x:c>
      <x:c r="G3091" s="23" t="str">
        <x:f>IF(E3091=F3091,"PASS","FAIL")</x:f>
        <x:v>PASS</x:v>
      </x:c>
    </x:row>
    <x:row r="3092">
      <x:c r="B3092" s="21" t="str">
        <x:v>A3086</x:v>
      </x:c>
      <x:c r="C3092" s="21" t="str">
        <x:v>rights</x:v>
      </x:c>
      <x:c r="D3092" s="21" t="str">
        <x:v>right 229 evidence open</x:v>
      </x:c>
      <x:c r="E3092" s="21" t="n">
        <x:f>IF('Rights Register'!I229="OPEN",1,0)</x:f>
        <x:v>1</x:v>
      </x:c>
      <x:c r="F3092" s="21" t="n">
        <x:v>1</x:v>
      </x:c>
      <x:c r="G3092" s="23" t="str">
        <x:f>IF(E3092=F3092,"PASS","FAIL")</x:f>
        <x:v>PASS</x:v>
      </x:c>
    </x:row>
    <x:row r="3093">
      <x:c r="B3093" s="21" t="str">
        <x:v>A3087</x:v>
      </x:c>
      <x:c r="C3093" s="21" t="str">
        <x:v>rights</x:v>
      </x:c>
      <x:c r="D3093" s="21" t="str">
        <x:v>right 229 zero credit</x:v>
      </x:c>
      <x:c r="E3093" s="21" t="n">
        <x:f>IF('Rights Register'!J229=0,1,0)</x:f>
        <x:v>1</x:v>
      </x:c>
      <x:c r="F3093" s="21" t="n">
        <x:v>1</x:v>
      </x:c>
      <x:c r="G3093" s="23" t="str">
        <x:f>IF(E3093=F3093,"PASS","FAIL")</x:f>
        <x:v>PASS</x:v>
      </x:c>
    </x:row>
    <x:row r="3094">
      <x:c r="B3094" s="21" t="str">
        <x:v>A3088</x:v>
      </x:c>
      <x:c r="C3094" s="21" t="str">
        <x:v>rights</x:v>
      </x:c>
      <x:c r="D3094" s="21" t="str">
        <x:v>right 230 required</x:v>
      </x:c>
      <x:c r="E3094" s="21" t="n">
        <x:f>IF('Rights Register'!G230=1,1,0)</x:f>
        <x:v>1</x:v>
      </x:c>
      <x:c r="F3094" s="21" t="n">
        <x:v>1</x:v>
      </x:c>
      <x:c r="G3094" s="23" t="str">
        <x:f>IF(E3094=F3094,"PASS","FAIL")</x:f>
        <x:v>PASS</x:v>
      </x:c>
    </x:row>
    <x:row r="3095">
      <x:c r="B3095" s="21" t="str">
        <x:v>A3089</x:v>
      </x:c>
      <x:c r="C3095" s="21" t="str">
        <x:v>rights</x:v>
      </x:c>
      <x:c r="D3095" s="21" t="str">
        <x:v>right 230 offered</x:v>
      </x:c>
      <x:c r="E3095" s="21" t="n">
        <x:f>IF('Rights Register'!H230=1,1,0)</x:f>
        <x:v>1</x:v>
      </x:c>
      <x:c r="F3095" s="21" t="n">
        <x:v>1</x:v>
      </x:c>
      <x:c r="G3095" s="23" t="str">
        <x:f>IF(E3095=F3095,"PASS","FAIL")</x:f>
        <x:v>PASS</x:v>
      </x:c>
    </x:row>
    <x:row r="3096">
      <x:c r="B3096" s="21" t="str">
        <x:v>A3090</x:v>
      </x:c>
      <x:c r="C3096" s="21" t="str">
        <x:v>rights</x:v>
      </x:c>
      <x:c r="D3096" s="21" t="str">
        <x:v>right 230 evidence open</x:v>
      </x:c>
      <x:c r="E3096" s="21" t="n">
        <x:f>IF('Rights Register'!I230="OPEN",1,0)</x:f>
        <x:v>1</x:v>
      </x:c>
      <x:c r="F3096" s="21" t="n">
        <x:v>1</x:v>
      </x:c>
      <x:c r="G3096" s="23" t="str">
        <x:f>IF(E3096=F3096,"PASS","FAIL")</x:f>
        <x:v>PASS</x:v>
      </x:c>
    </x:row>
    <x:row r="3097">
      <x:c r="B3097" s="21" t="str">
        <x:v>A3091</x:v>
      </x:c>
      <x:c r="C3097" s="21" t="str">
        <x:v>rights</x:v>
      </x:c>
      <x:c r="D3097" s="21" t="str">
        <x:v>right 230 zero credit</x:v>
      </x:c>
      <x:c r="E3097" s="21" t="n">
        <x:f>IF('Rights Register'!J230=0,1,0)</x:f>
        <x:v>1</x:v>
      </x:c>
      <x:c r="F3097" s="21" t="n">
        <x:v>1</x:v>
      </x:c>
      <x:c r="G3097" s="23" t="str">
        <x:f>IF(E3097=F3097,"PASS","FAIL")</x:f>
        <x:v>PASS</x:v>
      </x:c>
    </x:row>
    <x:row r="3098">
      <x:c r="B3098" s="21" t="str">
        <x:v>A3092</x:v>
      </x:c>
      <x:c r="C3098" s="21" t="str">
        <x:v>rights</x:v>
      </x:c>
      <x:c r="D3098" s="21" t="str">
        <x:v>right 231 required</x:v>
      </x:c>
      <x:c r="E3098" s="21" t="n">
        <x:f>IF('Rights Register'!G231=1,1,0)</x:f>
        <x:v>1</x:v>
      </x:c>
      <x:c r="F3098" s="21" t="n">
        <x:v>1</x:v>
      </x:c>
      <x:c r="G3098" s="23" t="str">
        <x:f>IF(E3098=F3098,"PASS","FAIL")</x:f>
        <x:v>PASS</x:v>
      </x:c>
    </x:row>
    <x:row r="3099">
      <x:c r="B3099" s="21" t="str">
        <x:v>A3093</x:v>
      </x:c>
      <x:c r="C3099" s="21" t="str">
        <x:v>rights</x:v>
      </x:c>
      <x:c r="D3099" s="21" t="str">
        <x:v>right 231 offered</x:v>
      </x:c>
      <x:c r="E3099" s="21" t="n">
        <x:f>IF('Rights Register'!H231=1,1,0)</x:f>
        <x:v>1</x:v>
      </x:c>
      <x:c r="F3099" s="21" t="n">
        <x:v>1</x:v>
      </x:c>
      <x:c r="G3099" s="23" t="str">
        <x:f>IF(E3099=F3099,"PASS","FAIL")</x:f>
        <x:v>PASS</x:v>
      </x:c>
    </x:row>
    <x:row r="3100">
      <x:c r="B3100" s="21" t="str">
        <x:v>A3094</x:v>
      </x:c>
      <x:c r="C3100" s="21" t="str">
        <x:v>rights</x:v>
      </x:c>
      <x:c r="D3100" s="21" t="str">
        <x:v>right 231 evidence open</x:v>
      </x:c>
      <x:c r="E3100" s="21" t="n">
        <x:f>IF('Rights Register'!I231="OPEN",1,0)</x:f>
        <x:v>1</x:v>
      </x:c>
      <x:c r="F3100" s="21" t="n">
        <x:v>1</x:v>
      </x:c>
      <x:c r="G3100" s="23" t="str">
        <x:f>IF(E3100=F3100,"PASS","FAIL")</x:f>
        <x:v>PASS</x:v>
      </x:c>
    </x:row>
    <x:row r="3101">
      <x:c r="B3101" s="21" t="str">
        <x:v>A3095</x:v>
      </x:c>
      <x:c r="C3101" s="21" t="str">
        <x:v>rights</x:v>
      </x:c>
      <x:c r="D3101" s="21" t="str">
        <x:v>right 231 zero credit</x:v>
      </x:c>
      <x:c r="E3101" s="21" t="n">
        <x:f>IF('Rights Register'!J231=0,1,0)</x:f>
        <x:v>1</x:v>
      </x:c>
      <x:c r="F3101" s="21" t="n">
        <x:v>1</x:v>
      </x:c>
      <x:c r="G3101" s="23" t="str">
        <x:f>IF(E3101=F3101,"PASS","FAIL")</x:f>
        <x:v>PASS</x:v>
      </x:c>
    </x:row>
    <x:row r="3102">
      <x:c r="B3102" s="21" t="str">
        <x:v>A3096</x:v>
      </x:c>
      <x:c r="C3102" s="21" t="str">
        <x:v>rights</x:v>
      </x:c>
      <x:c r="D3102" s="21" t="str">
        <x:v>right 232 required</x:v>
      </x:c>
      <x:c r="E3102" s="21" t="n">
        <x:f>IF('Rights Register'!G232=1,1,0)</x:f>
        <x:v>1</x:v>
      </x:c>
      <x:c r="F3102" s="21" t="n">
        <x:v>1</x:v>
      </x:c>
      <x:c r="G3102" s="23" t="str">
        <x:f>IF(E3102=F3102,"PASS","FAIL")</x:f>
        <x:v>PASS</x:v>
      </x:c>
    </x:row>
    <x:row r="3103">
      <x:c r="B3103" s="21" t="str">
        <x:v>A3097</x:v>
      </x:c>
      <x:c r="C3103" s="21" t="str">
        <x:v>rights</x:v>
      </x:c>
      <x:c r="D3103" s="21" t="str">
        <x:v>right 232 offered</x:v>
      </x:c>
      <x:c r="E3103" s="21" t="n">
        <x:f>IF('Rights Register'!H232=1,1,0)</x:f>
        <x:v>1</x:v>
      </x:c>
      <x:c r="F3103" s="21" t="n">
        <x:v>1</x:v>
      </x:c>
      <x:c r="G3103" s="23" t="str">
        <x:f>IF(E3103=F3103,"PASS","FAIL")</x:f>
        <x:v>PASS</x:v>
      </x:c>
    </x:row>
    <x:row r="3104">
      <x:c r="B3104" s="21" t="str">
        <x:v>A3098</x:v>
      </x:c>
      <x:c r="C3104" s="21" t="str">
        <x:v>rights</x:v>
      </x:c>
      <x:c r="D3104" s="21" t="str">
        <x:v>right 232 evidence open</x:v>
      </x:c>
      <x:c r="E3104" s="21" t="n">
        <x:f>IF('Rights Register'!I232="OPEN",1,0)</x:f>
        <x:v>1</x:v>
      </x:c>
      <x:c r="F3104" s="21" t="n">
        <x:v>1</x:v>
      </x:c>
      <x:c r="G3104" s="23" t="str">
        <x:f>IF(E3104=F3104,"PASS","FAIL")</x:f>
        <x:v>PASS</x:v>
      </x:c>
    </x:row>
    <x:row r="3105">
      <x:c r="B3105" s="21" t="str">
        <x:v>A3099</x:v>
      </x:c>
      <x:c r="C3105" s="21" t="str">
        <x:v>rights</x:v>
      </x:c>
      <x:c r="D3105" s="21" t="str">
        <x:v>right 232 zero credit</x:v>
      </x:c>
      <x:c r="E3105" s="21" t="n">
        <x:f>IF('Rights Register'!J232=0,1,0)</x:f>
        <x:v>1</x:v>
      </x:c>
      <x:c r="F3105" s="21" t="n">
        <x:v>1</x:v>
      </x:c>
      <x:c r="G3105" s="23" t="str">
        <x:f>IF(E3105=F3105,"PASS","FAIL")</x:f>
        <x:v>PASS</x:v>
      </x:c>
    </x:row>
    <x:row r="3106">
      <x:c r="B3106" s="21" t="str">
        <x:v>A3100</x:v>
      </x:c>
      <x:c r="C3106" s="21" t="str">
        <x:v>rights</x:v>
      </x:c>
      <x:c r="D3106" s="21" t="str">
        <x:v>right 233 required</x:v>
      </x:c>
      <x:c r="E3106" s="21" t="n">
        <x:f>IF('Rights Register'!G233=1,1,0)</x:f>
        <x:v>1</x:v>
      </x:c>
      <x:c r="F3106" s="21" t="n">
        <x:v>1</x:v>
      </x:c>
      <x:c r="G3106" s="23" t="str">
        <x:f>IF(E3106=F3106,"PASS","FAIL")</x:f>
        <x:v>PASS</x:v>
      </x:c>
    </x:row>
    <x:row r="3107">
      <x:c r="B3107" s="21" t="str">
        <x:v>A3101</x:v>
      </x:c>
      <x:c r="C3107" s="21" t="str">
        <x:v>rights</x:v>
      </x:c>
      <x:c r="D3107" s="21" t="str">
        <x:v>right 233 offered</x:v>
      </x:c>
      <x:c r="E3107" s="21" t="n">
        <x:f>IF('Rights Register'!H233=1,1,0)</x:f>
        <x:v>1</x:v>
      </x:c>
      <x:c r="F3107" s="21" t="n">
        <x:v>1</x:v>
      </x:c>
      <x:c r="G3107" s="23" t="str">
        <x:f>IF(E3107=F3107,"PASS","FAIL")</x:f>
        <x:v>PASS</x:v>
      </x:c>
    </x:row>
    <x:row r="3108">
      <x:c r="B3108" s="21" t="str">
        <x:v>A3102</x:v>
      </x:c>
      <x:c r="C3108" s="21" t="str">
        <x:v>rights</x:v>
      </x:c>
      <x:c r="D3108" s="21" t="str">
        <x:v>right 233 evidence open</x:v>
      </x:c>
      <x:c r="E3108" s="21" t="n">
        <x:f>IF('Rights Register'!I233="OPEN",1,0)</x:f>
        <x:v>1</x:v>
      </x:c>
      <x:c r="F3108" s="21" t="n">
        <x:v>1</x:v>
      </x:c>
      <x:c r="G3108" s="23" t="str">
        <x:f>IF(E3108=F3108,"PASS","FAIL")</x:f>
        <x:v>PASS</x:v>
      </x:c>
    </x:row>
    <x:row r="3109">
      <x:c r="B3109" s="21" t="str">
        <x:v>A3103</x:v>
      </x:c>
      <x:c r="C3109" s="21" t="str">
        <x:v>rights</x:v>
      </x:c>
      <x:c r="D3109" s="21" t="str">
        <x:v>right 233 zero credit</x:v>
      </x:c>
      <x:c r="E3109" s="21" t="n">
        <x:f>IF('Rights Register'!J233=0,1,0)</x:f>
        <x:v>1</x:v>
      </x:c>
      <x:c r="F3109" s="21" t="n">
        <x:v>1</x:v>
      </x:c>
      <x:c r="G3109" s="23" t="str">
        <x:f>IF(E3109=F3109,"PASS","FAIL")</x:f>
        <x:v>PASS</x:v>
      </x:c>
    </x:row>
    <x:row r="3110">
      <x:c r="B3110" s="21" t="str">
        <x:v>A3104</x:v>
      </x:c>
      <x:c r="C3110" s="21" t="str">
        <x:v>rights</x:v>
      </x:c>
      <x:c r="D3110" s="21" t="str">
        <x:v>right 234 required</x:v>
      </x:c>
      <x:c r="E3110" s="21" t="n">
        <x:f>IF('Rights Register'!G234=1,1,0)</x:f>
        <x:v>1</x:v>
      </x:c>
      <x:c r="F3110" s="21" t="n">
        <x:v>1</x:v>
      </x:c>
      <x:c r="G3110" s="23" t="str">
        <x:f>IF(E3110=F3110,"PASS","FAIL")</x:f>
        <x:v>PASS</x:v>
      </x:c>
    </x:row>
    <x:row r="3111">
      <x:c r="B3111" s="21" t="str">
        <x:v>A3105</x:v>
      </x:c>
      <x:c r="C3111" s="21" t="str">
        <x:v>rights</x:v>
      </x:c>
      <x:c r="D3111" s="21" t="str">
        <x:v>right 234 offered</x:v>
      </x:c>
      <x:c r="E3111" s="21" t="n">
        <x:f>IF('Rights Register'!H234=1,1,0)</x:f>
        <x:v>1</x:v>
      </x:c>
      <x:c r="F3111" s="21" t="n">
        <x:v>1</x:v>
      </x:c>
      <x:c r="G3111" s="23" t="str">
        <x:f>IF(E3111=F3111,"PASS","FAIL")</x:f>
        <x:v>PASS</x:v>
      </x:c>
    </x:row>
    <x:row r="3112">
      <x:c r="B3112" s="21" t="str">
        <x:v>A3106</x:v>
      </x:c>
      <x:c r="C3112" s="21" t="str">
        <x:v>rights</x:v>
      </x:c>
      <x:c r="D3112" s="21" t="str">
        <x:v>right 234 evidence open</x:v>
      </x:c>
      <x:c r="E3112" s="21" t="n">
        <x:f>IF('Rights Register'!I234="OPEN",1,0)</x:f>
        <x:v>1</x:v>
      </x:c>
      <x:c r="F3112" s="21" t="n">
        <x:v>1</x:v>
      </x:c>
      <x:c r="G3112" s="23" t="str">
        <x:f>IF(E3112=F3112,"PASS","FAIL")</x:f>
        <x:v>PASS</x:v>
      </x:c>
    </x:row>
    <x:row r="3113">
      <x:c r="B3113" s="21" t="str">
        <x:v>A3107</x:v>
      </x:c>
      <x:c r="C3113" s="21" t="str">
        <x:v>rights</x:v>
      </x:c>
      <x:c r="D3113" s="21" t="str">
        <x:v>right 234 zero credit</x:v>
      </x:c>
      <x:c r="E3113" s="21" t="n">
        <x:f>IF('Rights Register'!J234=0,1,0)</x:f>
        <x:v>1</x:v>
      </x:c>
      <x:c r="F3113" s="21" t="n">
        <x:v>1</x:v>
      </x:c>
      <x:c r="G3113" s="23" t="str">
        <x:f>IF(E3113=F3113,"PASS","FAIL")</x:f>
        <x:v>PASS</x:v>
      </x:c>
    </x:row>
    <x:row r="3114">
      <x:c r="B3114" s="21" t="str">
        <x:v>A3108</x:v>
      </x:c>
      <x:c r="C3114" s="21" t="str">
        <x:v>rights</x:v>
      </x:c>
      <x:c r="D3114" s="21" t="str">
        <x:v>right 235 required</x:v>
      </x:c>
      <x:c r="E3114" s="21" t="n">
        <x:f>IF('Rights Register'!G235=1,1,0)</x:f>
        <x:v>1</x:v>
      </x:c>
      <x:c r="F3114" s="21" t="n">
        <x:v>1</x:v>
      </x:c>
      <x:c r="G3114" s="23" t="str">
        <x:f>IF(E3114=F3114,"PASS","FAIL")</x:f>
        <x:v>PASS</x:v>
      </x:c>
    </x:row>
    <x:row r="3115">
      <x:c r="B3115" s="21" t="str">
        <x:v>A3109</x:v>
      </x:c>
      <x:c r="C3115" s="21" t="str">
        <x:v>rights</x:v>
      </x:c>
      <x:c r="D3115" s="21" t="str">
        <x:v>right 235 offered</x:v>
      </x:c>
      <x:c r="E3115" s="21" t="n">
        <x:f>IF('Rights Register'!H235=1,1,0)</x:f>
        <x:v>1</x:v>
      </x:c>
      <x:c r="F3115" s="21" t="n">
        <x:v>1</x:v>
      </x:c>
      <x:c r="G3115" s="23" t="str">
        <x:f>IF(E3115=F3115,"PASS","FAIL")</x:f>
        <x:v>PASS</x:v>
      </x:c>
    </x:row>
    <x:row r="3116">
      <x:c r="B3116" s="21" t="str">
        <x:v>A3110</x:v>
      </x:c>
      <x:c r="C3116" s="21" t="str">
        <x:v>rights</x:v>
      </x:c>
      <x:c r="D3116" s="21" t="str">
        <x:v>right 235 evidence open</x:v>
      </x:c>
      <x:c r="E3116" s="21" t="n">
        <x:f>IF('Rights Register'!I235="OPEN",1,0)</x:f>
        <x:v>1</x:v>
      </x:c>
      <x:c r="F3116" s="21" t="n">
        <x:v>1</x:v>
      </x:c>
      <x:c r="G3116" s="23" t="str">
        <x:f>IF(E3116=F3116,"PASS","FAIL")</x:f>
        <x:v>PASS</x:v>
      </x:c>
    </x:row>
    <x:row r="3117">
      <x:c r="B3117" s="21" t="str">
        <x:v>A3111</x:v>
      </x:c>
      <x:c r="C3117" s="21" t="str">
        <x:v>rights</x:v>
      </x:c>
      <x:c r="D3117" s="21" t="str">
        <x:v>right 235 zero credit</x:v>
      </x:c>
      <x:c r="E3117" s="21" t="n">
        <x:f>IF('Rights Register'!J235=0,1,0)</x:f>
        <x:v>1</x:v>
      </x:c>
      <x:c r="F3117" s="21" t="n">
        <x:v>1</x:v>
      </x:c>
      <x:c r="G3117" s="23" t="str">
        <x:f>IF(E3117=F3117,"PASS","FAIL")</x:f>
        <x:v>PASS</x:v>
      </x:c>
    </x:row>
    <x:row r="3118">
      <x:c r="B3118" s="21" t="str">
        <x:v>A3112</x:v>
      </x:c>
      <x:c r="C3118" s="21" t="str">
        <x:v>rights</x:v>
      </x:c>
      <x:c r="D3118" s="21" t="str">
        <x:v>right 236 required</x:v>
      </x:c>
      <x:c r="E3118" s="21" t="n">
        <x:f>IF('Rights Register'!G236=1,1,0)</x:f>
        <x:v>1</x:v>
      </x:c>
      <x:c r="F3118" s="21" t="n">
        <x:v>1</x:v>
      </x:c>
      <x:c r="G3118" s="23" t="str">
        <x:f>IF(E3118=F3118,"PASS","FAIL")</x:f>
        <x:v>PASS</x:v>
      </x:c>
    </x:row>
    <x:row r="3119">
      <x:c r="B3119" s="21" t="str">
        <x:v>A3113</x:v>
      </x:c>
      <x:c r="C3119" s="21" t="str">
        <x:v>rights</x:v>
      </x:c>
      <x:c r="D3119" s="21" t="str">
        <x:v>right 236 offered</x:v>
      </x:c>
      <x:c r="E3119" s="21" t="n">
        <x:f>IF('Rights Register'!H236=1,1,0)</x:f>
        <x:v>1</x:v>
      </x:c>
      <x:c r="F3119" s="21" t="n">
        <x:v>1</x:v>
      </x:c>
      <x:c r="G3119" s="23" t="str">
        <x:f>IF(E3119=F3119,"PASS","FAIL")</x:f>
        <x:v>PASS</x:v>
      </x:c>
    </x:row>
    <x:row r="3120">
      <x:c r="B3120" s="21" t="str">
        <x:v>A3114</x:v>
      </x:c>
      <x:c r="C3120" s="21" t="str">
        <x:v>rights</x:v>
      </x:c>
      <x:c r="D3120" s="21" t="str">
        <x:v>right 236 evidence open</x:v>
      </x:c>
      <x:c r="E3120" s="21" t="n">
        <x:f>IF('Rights Register'!I236="OPEN",1,0)</x:f>
        <x:v>1</x:v>
      </x:c>
      <x:c r="F3120" s="21" t="n">
        <x:v>1</x:v>
      </x:c>
      <x:c r="G3120" s="23" t="str">
        <x:f>IF(E3120=F3120,"PASS","FAIL")</x:f>
        <x:v>PASS</x:v>
      </x:c>
    </x:row>
    <x:row r="3121">
      <x:c r="B3121" s="21" t="str">
        <x:v>A3115</x:v>
      </x:c>
      <x:c r="C3121" s="21" t="str">
        <x:v>rights</x:v>
      </x:c>
      <x:c r="D3121" s="21" t="str">
        <x:v>right 236 zero credit</x:v>
      </x:c>
      <x:c r="E3121" s="21" t="n">
        <x:f>IF('Rights Register'!J236=0,1,0)</x:f>
        <x:v>1</x:v>
      </x:c>
      <x:c r="F3121" s="21" t="n">
        <x:v>1</x:v>
      </x:c>
      <x:c r="G3121" s="23" t="str">
        <x:f>IF(E3121=F3121,"PASS","FAIL")</x:f>
        <x:v>PASS</x:v>
      </x:c>
    </x:row>
    <x:row r="3122">
      <x:c r="B3122" s="21" t="str">
        <x:v>A3116</x:v>
      </x:c>
      <x:c r="C3122" s="21" t="str">
        <x:v>rights</x:v>
      </x:c>
      <x:c r="D3122" s="21" t="str">
        <x:v>right 237 required</x:v>
      </x:c>
      <x:c r="E3122" s="21" t="n">
        <x:f>IF('Rights Register'!G237=1,1,0)</x:f>
        <x:v>1</x:v>
      </x:c>
      <x:c r="F3122" s="21" t="n">
        <x:v>1</x:v>
      </x:c>
      <x:c r="G3122" s="23" t="str">
        <x:f>IF(E3122=F3122,"PASS","FAIL")</x:f>
        <x:v>PASS</x:v>
      </x:c>
    </x:row>
    <x:row r="3123">
      <x:c r="B3123" s="21" t="str">
        <x:v>A3117</x:v>
      </x:c>
      <x:c r="C3123" s="21" t="str">
        <x:v>rights</x:v>
      </x:c>
      <x:c r="D3123" s="21" t="str">
        <x:v>right 237 offered</x:v>
      </x:c>
      <x:c r="E3123" s="21" t="n">
        <x:f>IF('Rights Register'!H237=1,1,0)</x:f>
        <x:v>1</x:v>
      </x:c>
      <x:c r="F3123" s="21" t="n">
        <x:v>1</x:v>
      </x:c>
      <x:c r="G3123" s="23" t="str">
        <x:f>IF(E3123=F3123,"PASS","FAIL")</x:f>
        <x:v>PASS</x:v>
      </x:c>
    </x:row>
    <x:row r="3124">
      <x:c r="B3124" s="21" t="str">
        <x:v>A3118</x:v>
      </x:c>
      <x:c r="C3124" s="21" t="str">
        <x:v>rights</x:v>
      </x:c>
      <x:c r="D3124" s="21" t="str">
        <x:v>right 237 evidence open</x:v>
      </x:c>
      <x:c r="E3124" s="21" t="n">
        <x:f>IF('Rights Register'!I237="OPEN",1,0)</x:f>
        <x:v>1</x:v>
      </x:c>
      <x:c r="F3124" s="21" t="n">
        <x:v>1</x:v>
      </x:c>
      <x:c r="G3124" s="23" t="str">
        <x:f>IF(E3124=F3124,"PASS","FAIL")</x:f>
        <x:v>PASS</x:v>
      </x:c>
    </x:row>
    <x:row r="3125">
      <x:c r="B3125" s="21" t="str">
        <x:v>A3119</x:v>
      </x:c>
      <x:c r="C3125" s="21" t="str">
        <x:v>rights</x:v>
      </x:c>
      <x:c r="D3125" s="21" t="str">
        <x:v>right 237 zero credit</x:v>
      </x:c>
      <x:c r="E3125" s="21" t="n">
        <x:f>IF('Rights Register'!J237=0,1,0)</x:f>
        <x:v>1</x:v>
      </x:c>
      <x:c r="F3125" s="21" t="n">
        <x:v>1</x:v>
      </x:c>
      <x:c r="G3125" s="23" t="str">
        <x:f>IF(E3125=F3125,"PASS","FAIL")</x:f>
        <x:v>PASS</x:v>
      </x:c>
    </x:row>
    <x:row r="3126">
      <x:c r="B3126" s="21" t="str">
        <x:v>A3120</x:v>
      </x:c>
      <x:c r="C3126" s="21" t="str">
        <x:v>rights</x:v>
      </x:c>
      <x:c r="D3126" s="21" t="str">
        <x:v>right 238 required</x:v>
      </x:c>
      <x:c r="E3126" s="21" t="n">
        <x:f>IF('Rights Register'!G238=1,1,0)</x:f>
        <x:v>1</x:v>
      </x:c>
      <x:c r="F3126" s="21" t="n">
        <x:v>1</x:v>
      </x:c>
      <x:c r="G3126" s="23" t="str">
        <x:f>IF(E3126=F3126,"PASS","FAIL")</x:f>
        <x:v>PASS</x:v>
      </x:c>
    </x:row>
    <x:row r="3127">
      <x:c r="B3127" s="21" t="str">
        <x:v>A3121</x:v>
      </x:c>
      <x:c r="C3127" s="21" t="str">
        <x:v>rights</x:v>
      </x:c>
      <x:c r="D3127" s="21" t="str">
        <x:v>right 238 offered</x:v>
      </x:c>
      <x:c r="E3127" s="21" t="n">
        <x:f>IF('Rights Register'!H238=1,1,0)</x:f>
        <x:v>1</x:v>
      </x:c>
      <x:c r="F3127" s="21" t="n">
        <x:v>1</x:v>
      </x:c>
      <x:c r="G3127" s="23" t="str">
        <x:f>IF(E3127=F3127,"PASS","FAIL")</x:f>
        <x:v>PASS</x:v>
      </x:c>
    </x:row>
    <x:row r="3128">
      <x:c r="B3128" s="21" t="str">
        <x:v>A3122</x:v>
      </x:c>
      <x:c r="C3128" s="21" t="str">
        <x:v>rights</x:v>
      </x:c>
      <x:c r="D3128" s="21" t="str">
        <x:v>right 238 evidence open</x:v>
      </x:c>
      <x:c r="E3128" s="21" t="n">
        <x:f>IF('Rights Register'!I238="OPEN",1,0)</x:f>
        <x:v>1</x:v>
      </x:c>
      <x:c r="F3128" s="21" t="n">
        <x:v>1</x:v>
      </x:c>
      <x:c r="G3128" s="23" t="str">
        <x:f>IF(E3128=F3128,"PASS","FAIL")</x:f>
        <x:v>PASS</x:v>
      </x:c>
    </x:row>
    <x:row r="3129">
      <x:c r="B3129" s="21" t="str">
        <x:v>A3123</x:v>
      </x:c>
      <x:c r="C3129" s="21" t="str">
        <x:v>rights</x:v>
      </x:c>
      <x:c r="D3129" s="21" t="str">
        <x:v>right 238 zero credit</x:v>
      </x:c>
      <x:c r="E3129" s="21" t="n">
        <x:f>IF('Rights Register'!J238=0,1,0)</x:f>
        <x:v>1</x:v>
      </x:c>
      <x:c r="F3129" s="21" t="n">
        <x:v>1</x:v>
      </x:c>
      <x:c r="G3129" s="23" t="str">
        <x:f>IF(E3129=F3129,"PASS","FAIL")</x:f>
        <x:v>PASS</x:v>
      </x:c>
    </x:row>
    <x:row r="3130">
      <x:c r="B3130" s="21" t="str">
        <x:v>A3124</x:v>
      </x:c>
      <x:c r="C3130" s="21" t="str">
        <x:v>rights</x:v>
      </x:c>
      <x:c r="D3130" s="21" t="str">
        <x:v>right 239 required</x:v>
      </x:c>
      <x:c r="E3130" s="21" t="n">
        <x:f>IF('Rights Register'!G239=1,1,0)</x:f>
        <x:v>1</x:v>
      </x:c>
      <x:c r="F3130" s="21" t="n">
        <x:v>1</x:v>
      </x:c>
      <x:c r="G3130" s="23" t="str">
        <x:f>IF(E3130=F3130,"PASS","FAIL")</x:f>
        <x:v>PASS</x:v>
      </x:c>
    </x:row>
    <x:row r="3131">
      <x:c r="B3131" s="21" t="str">
        <x:v>A3125</x:v>
      </x:c>
      <x:c r="C3131" s="21" t="str">
        <x:v>rights</x:v>
      </x:c>
      <x:c r="D3131" s="21" t="str">
        <x:v>right 239 offered</x:v>
      </x:c>
      <x:c r="E3131" s="21" t="n">
        <x:f>IF('Rights Register'!H239=1,1,0)</x:f>
        <x:v>1</x:v>
      </x:c>
      <x:c r="F3131" s="21" t="n">
        <x:v>1</x:v>
      </x:c>
      <x:c r="G3131" s="23" t="str">
        <x:f>IF(E3131=F3131,"PASS","FAIL")</x:f>
        <x:v>PASS</x:v>
      </x:c>
    </x:row>
    <x:row r="3132">
      <x:c r="B3132" s="21" t="str">
        <x:v>A3126</x:v>
      </x:c>
      <x:c r="C3132" s="21" t="str">
        <x:v>rights</x:v>
      </x:c>
      <x:c r="D3132" s="21" t="str">
        <x:v>right 239 evidence open</x:v>
      </x:c>
      <x:c r="E3132" s="21" t="n">
        <x:f>IF('Rights Register'!I239="OPEN",1,0)</x:f>
        <x:v>1</x:v>
      </x:c>
      <x:c r="F3132" s="21" t="n">
        <x:v>1</x:v>
      </x:c>
      <x:c r="G3132" s="23" t="str">
        <x:f>IF(E3132=F3132,"PASS","FAIL")</x:f>
        <x:v>PASS</x:v>
      </x:c>
    </x:row>
    <x:row r="3133">
      <x:c r="B3133" s="21" t="str">
        <x:v>A3127</x:v>
      </x:c>
      <x:c r="C3133" s="21" t="str">
        <x:v>rights</x:v>
      </x:c>
      <x:c r="D3133" s="21" t="str">
        <x:v>right 239 zero credit</x:v>
      </x:c>
      <x:c r="E3133" s="21" t="n">
        <x:f>IF('Rights Register'!J239=0,1,0)</x:f>
        <x:v>1</x:v>
      </x:c>
      <x:c r="F3133" s="21" t="n">
        <x:v>1</x:v>
      </x:c>
      <x:c r="G3133" s="23" t="str">
        <x:f>IF(E3133=F3133,"PASS","FAIL")</x:f>
        <x:v>PASS</x:v>
      </x:c>
    </x:row>
    <x:row r="3134">
      <x:c r="B3134" s="21" t="str">
        <x:v>A3128</x:v>
      </x:c>
      <x:c r="C3134" s="21" t="str">
        <x:v>rights</x:v>
      </x:c>
      <x:c r="D3134" s="21" t="str">
        <x:v>right 240 required</x:v>
      </x:c>
      <x:c r="E3134" s="21" t="n">
        <x:f>IF('Rights Register'!G240=1,1,0)</x:f>
        <x:v>1</x:v>
      </x:c>
      <x:c r="F3134" s="21" t="n">
        <x:v>1</x:v>
      </x:c>
      <x:c r="G3134" s="23" t="str">
        <x:f>IF(E3134=F3134,"PASS","FAIL")</x:f>
        <x:v>PASS</x:v>
      </x:c>
    </x:row>
    <x:row r="3135">
      <x:c r="B3135" s="21" t="str">
        <x:v>A3129</x:v>
      </x:c>
      <x:c r="C3135" s="21" t="str">
        <x:v>rights</x:v>
      </x:c>
      <x:c r="D3135" s="21" t="str">
        <x:v>right 240 offered</x:v>
      </x:c>
      <x:c r="E3135" s="21" t="n">
        <x:f>IF('Rights Register'!H240=1,1,0)</x:f>
        <x:v>1</x:v>
      </x:c>
      <x:c r="F3135" s="21" t="n">
        <x:v>1</x:v>
      </x:c>
      <x:c r="G3135" s="23" t="str">
        <x:f>IF(E3135=F3135,"PASS","FAIL")</x:f>
        <x:v>PASS</x:v>
      </x:c>
    </x:row>
    <x:row r="3136">
      <x:c r="B3136" s="21" t="str">
        <x:v>A3130</x:v>
      </x:c>
      <x:c r="C3136" s="21" t="str">
        <x:v>rights</x:v>
      </x:c>
      <x:c r="D3136" s="21" t="str">
        <x:v>right 240 evidence open</x:v>
      </x:c>
      <x:c r="E3136" s="21" t="n">
        <x:f>IF('Rights Register'!I240="OPEN",1,0)</x:f>
        <x:v>1</x:v>
      </x:c>
      <x:c r="F3136" s="21" t="n">
        <x:v>1</x:v>
      </x:c>
      <x:c r="G3136" s="23" t="str">
        <x:f>IF(E3136=F3136,"PASS","FAIL")</x:f>
        <x:v>PASS</x:v>
      </x:c>
    </x:row>
    <x:row r="3137">
      <x:c r="B3137" s="21" t="str">
        <x:v>A3131</x:v>
      </x:c>
      <x:c r="C3137" s="21" t="str">
        <x:v>rights</x:v>
      </x:c>
      <x:c r="D3137" s="21" t="str">
        <x:v>right 240 zero credit</x:v>
      </x:c>
      <x:c r="E3137" s="21" t="n">
        <x:f>IF('Rights Register'!J240=0,1,0)</x:f>
        <x:v>1</x:v>
      </x:c>
      <x:c r="F3137" s="21" t="n">
        <x:v>1</x:v>
      </x:c>
      <x:c r="G3137" s="23" t="str">
        <x:f>IF(E3137=F3137,"PASS","FAIL")</x:f>
        <x:v>PASS</x:v>
      </x:c>
    </x:row>
    <x:row r="3138">
      <x:c r="B3138" s="21" t="str">
        <x:v>A3132</x:v>
      </x:c>
      <x:c r="C3138" s="21" t="str">
        <x:v>rights</x:v>
      </x:c>
      <x:c r="D3138" s="21" t="str">
        <x:v>right 241 required</x:v>
      </x:c>
      <x:c r="E3138" s="21" t="n">
        <x:f>IF('Rights Register'!G241=1,1,0)</x:f>
        <x:v>1</x:v>
      </x:c>
      <x:c r="F3138" s="21" t="n">
        <x:v>1</x:v>
      </x:c>
      <x:c r="G3138" s="23" t="str">
        <x:f>IF(E3138=F3138,"PASS","FAIL")</x:f>
        <x:v>PASS</x:v>
      </x:c>
    </x:row>
    <x:row r="3139">
      <x:c r="B3139" s="21" t="str">
        <x:v>A3133</x:v>
      </x:c>
      <x:c r="C3139" s="21" t="str">
        <x:v>rights</x:v>
      </x:c>
      <x:c r="D3139" s="21" t="str">
        <x:v>right 241 offered</x:v>
      </x:c>
      <x:c r="E3139" s="21" t="n">
        <x:f>IF('Rights Register'!H241=1,1,0)</x:f>
        <x:v>1</x:v>
      </x:c>
      <x:c r="F3139" s="21" t="n">
        <x:v>1</x:v>
      </x:c>
      <x:c r="G3139" s="23" t="str">
        <x:f>IF(E3139=F3139,"PASS","FAIL")</x:f>
        <x:v>PASS</x:v>
      </x:c>
    </x:row>
    <x:row r="3140">
      <x:c r="B3140" s="21" t="str">
        <x:v>A3134</x:v>
      </x:c>
      <x:c r="C3140" s="21" t="str">
        <x:v>rights</x:v>
      </x:c>
      <x:c r="D3140" s="21" t="str">
        <x:v>right 241 evidence open</x:v>
      </x:c>
      <x:c r="E3140" s="21" t="n">
        <x:f>IF('Rights Register'!I241="OPEN",1,0)</x:f>
        <x:v>1</x:v>
      </x:c>
      <x:c r="F3140" s="21" t="n">
        <x:v>1</x:v>
      </x:c>
      <x:c r="G3140" s="23" t="str">
        <x:f>IF(E3140=F3140,"PASS","FAIL")</x:f>
        <x:v>PASS</x:v>
      </x:c>
    </x:row>
    <x:row r="3141">
      <x:c r="B3141" s="21" t="str">
        <x:v>A3135</x:v>
      </x:c>
      <x:c r="C3141" s="21" t="str">
        <x:v>rights</x:v>
      </x:c>
      <x:c r="D3141" s="21" t="str">
        <x:v>right 241 zero credit</x:v>
      </x:c>
      <x:c r="E3141" s="21" t="n">
        <x:f>IF('Rights Register'!J241=0,1,0)</x:f>
        <x:v>1</x:v>
      </x:c>
      <x:c r="F3141" s="21" t="n">
        <x:v>1</x:v>
      </x:c>
      <x:c r="G3141" s="23" t="str">
        <x:f>IF(E3141=F3141,"PASS","FAIL")</x:f>
        <x:v>PASS</x:v>
      </x:c>
    </x:row>
    <x:row r="3142">
      <x:c r="B3142" s="21" t="str">
        <x:v>A3136</x:v>
      </x:c>
      <x:c r="C3142" s="21" t="str">
        <x:v>rights</x:v>
      </x:c>
      <x:c r="D3142" s="21" t="str">
        <x:v>right 242 required</x:v>
      </x:c>
      <x:c r="E3142" s="21" t="n">
        <x:f>IF('Rights Register'!G242=1,1,0)</x:f>
        <x:v>1</x:v>
      </x:c>
      <x:c r="F3142" s="21" t="n">
        <x:v>1</x:v>
      </x:c>
      <x:c r="G3142" s="23" t="str">
        <x:f>IF(E3142=F3142,"PASS","FAIL")</x:f>
        <x:v>PASS</x:v>
      </x:c>
    </x:row>
    <x:row r="3143">
      <x:c r="B3143" s="21" t="str">
        <x:v>A3137</x:v>
      </x:c>
      <x:c r="C3143" s="21" t="str">
        <x:v>rights</x:v>
      </x:c>
      <x:c r="D3143" s="21" t="str">
        <x:v>right 242 offered</x:v>
      </x:c>
      <x:c r="E3143" s="21" t="n">
        <x:f>IF('Rights Register'!H242=1,1,0)</x:f>
        <x:v>1</x:v>
      </x:c>
      <x:c r="F3143" s="21" t="n">
        <x:v>1</x:v>
      </x:c>
      <x:c r="G3143" s="23" t="str">
        <x:f>IF(E3143=F3143,"PASS","FAIL")</x:f>
        <x:v>PASS</x:v>
      </x:c>
    </x:row>
    <x:row r="3144">
      <x:c r="B3144" s="21" t="str">
        <x:v>A3138</x:v>
      </x:c>
      <x:c r="C3144" s="21" t="str">
        <x:v>rights</x:v>
      </x:c>
      <x:c r="D3144" s="21" t="str">
        <x:v>right 242 evidence open</x:v>
      </x:c>
      <x:c r="E3144" s="21" t="n">
        <x:f>IF('Rights Register'!I242="OPEN",1,0)</x:f>
        <x:v>1</x:v>
      </x:c>
      <x:c r="F3144" s="21" t="n">
        <x:v>1</x:v>
      </x:c>
      <x:c r="G3144" s="23" t="str">
        <x:f>IF(E3144=F3144,"PASS","FAIL")</x:f>
        <x:v>PASS</x:v>
      </x:c>
    </x:row>
    <x:row r="3145">
      <x:c r="B3145" s="21" t="str">
        <x:v>A3139</x:v>
      </x:c>
      <x:c r="C3145" s="21" t="str">
        <x:v>rights</x:v>
      </x:c>
      <x:c r="D3145" s="21" t="str">
        <x:v>right 242 zero credit</x:v>
      </x:c>
      <x:c r="E3145" s="21" t="n">
        <x:f>IF('Rights Register'!J242=0,1,0)</x:f>
        <x:v>1</x:v>
      </x:c>
      <x:c r="F3145" s="21" t="n">
        <x:v>1</x:v>
      </x:c>
      <x:c r="G3145" s="23" t="str">
        <x:f>IF(E3145=F3145,"PASS","FAIL")</x:f>
        <x:v>PASS</x:v>
      </x:c>
    </x:row>
    <x:row r="3146">
      <x:c r="B3146" s="21" t="str">
        <x:v>A3140</x:v>
      </x:c>
      <x:c r="C3146" s="21" t="str">
        <x:v>rights</x:v>
      </x:c>
      <x:c r="D3146" s="21" t="str">
        <x:v>right 243 required</x:v>
      </x:c>
      <x:c r="E3146" s="21" t="n">
        <x:f>IF('Rights Register'!G243=1,1,0)</x:f>
        <x:v>1</x:v>
      </x:c>
      <x:c r="F3146" s="21" t="n">
        <x:v>1</x:v>
      </x:c>
      <x:c r="G3146" s="23" t="str">
        <x:f>IF(E3146=F3146,"PASS","FAIL")</x:f>
        <x:v>PASS</x:v>
      </x:c>
    </x:row>
    <x:row r="3147">
      <x:c r="B3147" s="21" t="str">
        <x:v>A3141</x:v>
      </x:c>
      <x:c r="C3147" s="21" t="str">
        <x:v>rights</x:v>
      </x:c>
      <x:c r="D3147" s="21" t="str">
        <x:v>right 243 offered</x:v>
      </x:c>
      <x:c r="E3147" s="21" t="n">
        <x:f>IF('Rights Register'!H243=1,1,0)</x:f>
        <x:v>1</x:v>
      </x:c>
      <x:c r="F3147" s="21" t="n">
        <x:v>1</x:v>
      </x:c>
      <x:c r="G3147" s="23" t="str">
        <x:f>IF(E3147=F3147,"PASS","FAIL")</x:f>
        <x:v>PASS</x:v>
      </x:c>
    </x:row>
    <x:row r="3148">
      <x:c r="B3148" s="21" t="str">
        <x:v>A3142</x:v>
      </x:c>
      <x:c r="C3148" s="21" t="str">
        <x:v>rights</x:v>
      </x:c>
      <x:c r="D3148" s="21" t="str">
        <x:v>right 243 evidence open</x:v>
      </x:c>
      <x:c r="E3148" s="21" t="n">
        <x:f>IF('Rights Register'!I243="OPEN",1,0)</x:f>
        <x:v>1</x:v>
      </x:c>
      <x:c r="F3148" s="21" t="n">
        <x:v>1</x:v>
      </x:c>
      <x:c r="G3148" s="23" t="str">
        <x:f>IF(E3148=F3148,"PASS","FAIL")</x:f>
        <x:v>PASS</x:v>
      </x:c>
    </x:row>
    <x:row r="3149">
      <x:c r="B3149" s="21" t="str">
        <x:v>A3143</x:v>
      </x:c>
      <x:c r="C3149" s="21" t="str">
        <x:v>rights</x:v>
      </x:c>
      <x:c r="D3149" s="21" t="str">
        <x:v>right 243 zero credit</x:v>
      </x:c>
      <x:c r="E3149" s="21" t="n">
        <x:f>IF('Rights Register'!J243=0,1,0)</x:f>
        <x:v>1</x:v>
      </x:c>
      <x:c r="F3149" s="21" t="n">
        <x:v>1</x:v>
      </x:c>
      <x:c r="G3149" s="23" t="str">
        <x:f>IF(E3149=F3149,"PASS","FAIL")</x:f>
        <x:v>PASS</x:v>
      </x:c>
    </x:row>
    <x:row r="3150">
      <x:c r="B3150" s="21" t="str">
        <x:v>A3144</x:v>
      </x:c>
      <x:c r="C3150" s="21" t="str">
        <x:v>rights</x:v>
      </x:c>
      <x:c r="D3150" s="21" t="str">
        <x:v>right 244 required</x:v>
      </x:c>
      <x:c r="E3150" s="21" t="n">
        <x:f>IF('Rights Register'!G244=1,1,0)</x:f>
        <x:v>1</x:v>
      </x:c>
      <x:c r="F3150" s="21" t="n">
        <x:v>1</x:v>
      </x:c>
      <x:c r="G3150" s="23" t="str">
        <x:f>IF(E3150=F3150,"PASS","FAIL")</x:f>
        <x:v>PASS</x:v>
      </x:c>
    </x:row>
    <x:row r="3151">
      <x:c r="B3151" s="21" t="str">
        <x:v>A3145</x:v>
      </x:c>
      <x:c r="C3151" s="21" t="str">
        <x:v>rights</x:v>
      </x:c>
      <x:c r="D3151" s="21" t="str">
        <x:v>right 244 offered</x:v>
      </x:c>
      <x:c r="E3151" s="21" t="n">
        <x:f>IF('Rights Register'!H244=1,1,0)</x:f>
        <x:v>1</x:v>
      </x:c>
      <x:c r="F3151" s="21" t="n">
        <x:v>1</x:v>
      </x:c>
      <x:c r="G3151" s="23" t="str">
        <x:f>IF(E3151=F3151,"PASS","FAIL")</x:f>
        <x:v>PASS</x:v>
      </x:c>
    </x:row>
    <x:row r="3152">
      <x:c r="B3152" s="21" t="str">
        <x:v>A3146</x:v>
      </x:c>
      <x:c r="C3152" s="21" t="str">
        <x:v>rights</x:v>
      </x:c>
      <x:c r="D3152" s="21" t="str">
        <x:v>right 244 evidence open</x:v>
      </x:c>
      <x:c r="E3152" s="21" t="n">
        <x:f>IF('Rights Register'!I244="OPEN",1,0)</x:f>
        <x:v>1</x:v>
      </x:c>
      <x:c r="F3152" s="21" t="n">
        <x:v>1</x:v>
      </x:c>
      <x:c r="G3152" s="23" t="str">
        <x:f>IF(E3152=F3152,"PASS","FAIL")</x:f>
        <x:v>PASS</x:v>
      </x:c>
    </x:row>
    <x:row r="3153">
      <x:c r="B3153" s="21" t="str">
        <x:v>A3147</x:v>
      </x:c>
      <x:c r="C3153" s="21" t="str">
        <x:v>rights</x:v>
      </x:c>
      <x:c r="D3153" s="21" t="str">
        <x:v>right 244 zero credit</x:v>
      </x:c>
      <x:c r="E3153" s="21" t="n">
        <x:f>IF('Rights Register'!J244=0,1,0)</x:f>
        <x:v>1</x:v>
      </x:c>
      <x:c r="F3153" s="21" t="n">
        <x:v>1</x:v>
      </x:c>
      <x:c r="G3153" s="23" t="str">
        <x:f>IF(E3153=F3153,"PASS","FAIL")</x:f>
        <x:v>PASS</x:v>
      </x:c>
    </x:row>
    <x:row r="3154">
      <x:c r="B3154" s="21" t="str">
        <x:v>A3148</x:v>
      </x:c>
      <x:c r="C3154" s="21" t="str">
        <x:v>rights</x:v>
      </x:c>
      <x:c r="D3154" s="21" t="str">
        <x:v>right 245 required</x:v>
      </x:c>
      <x:c r="E3154" s="21" t="n">
        <x:f>IF('Rights Register'!G245=1,1,0)</x:f>
        <x:v>1</x:v>
      </x:c>
      <x:c r="F3154" s="21" t="n">
        <x:v>1</x:v>
      </x:c>
      <x:c r="G3154" s="23" t="str">
        <x:f>IF(E3154=F3154,"PASS","FAIL")</x:f>
        <x:v>PASS</x:v>
      </x:c>
    </x:row>
    <x:row r="3155">
      <x:c r="B3155" s="21" t="str">
        <x:v>A3149</x:v>
      </x:c>
      <x:c r="C3155" s="21" t="str">
        <x:v>rights</x:v>
      </x:c>
      <x:c r="D3155" s="21" t="str">
        <x:v>right 245 offered</x:v>
      </x:c>
      <x:c r="E3155" s="21" t="n">
        <x:f>IF('Rights Register'!H245=1,1,0)</x:f>
        <x:v>1</x:v>
      </x:c>
      <x:c r="F3155" s="21" t="n">
        <x:v>1</x:v>
      </x:c>
      <x:c r="G3155" s="23" t="str">
        <x:f>IF(E3155=F3155,"PASS","FAIL")</x:f>
        <x:v>PASS</x:v>
      </x:c>
    </x:row>
    <x:row r="3156">
      <x:c r="B3156" s="21" t="str">
        <x:v>A3150</x:v>
      </x:c>
      <x:c r="C3156" s="21" t="str">
        <x:v>rights</x:v>
      </x:c>
      <x:c r="D3156" s="21" t="str">
        <x:v>right 245 evidence open</x:v>
      </x:c>
      <x:c r="E3156" s="21" t="n">
        <x:f>IF('Rights Register'!I245="OPEN",1,0)</x:f>
        <x:v>1</x:v>
      </x:c>
      <x:c r="F3156" s="21" t="n">
        <x:v>1</x:v>
      </x:c>
      <x:c r="G3156" s="23" t="str">
        <x:f>IF(E3156=F3156,"PASS","FAIL")</x:f>
        <x:v>PASS</x:v>
      </x:c>
    </x:row>
    <x:row r="3157">
      <x:c r="B3157" s="21" t="str">
        <x:v>A3151</x:v>
      </x:c>
      <x:c r="C3157" s="21" t="str">
        <x:v>rights</x:v>
      </x:c>
      <x:c r="D3157" s="21" t="str">
        <x:v>right 245 zero credit</x:v>
      </x:c>
      <x:c r="E3157" s="21" t="n">
        <x:f>IF('Rights Register'!J245=0,1,0)</x:f>
        <x:v>1</x:v>
      </x:c>
      <x:c r="F3157" s="21" t="n">
        <x:v>1</x:v>
      </x:c>
      <x:c r="G3157" s="23" t="str">
        <x:f>IF(E3157=F3157,"PASS","FAIL")</x:f>
        <x:v>PASS</x:v>
      </x:c>
    </x:row>
    <x:row r="3158">
      <x:c r="B3158" s="21" t="str">
        <x:v>A3152</x:v>
      </x:c>
      <x:c r="C3158" s="21" t="str">
        <x:v>rights</x:v>
      </x:c>
      <x:c r="D3158" s="21" t="str">
        <x:v>right 246 required</x:v>
      </x:c>
      <x:c r="E3158" s="21" t="n">
        <x:f>IF('Rights Register'!G246=1,1,0)</x:f>
        <x:v>1</x:v>
      </x:c>
      <x:c r="F3158" s="21" t="n">
        <x:v>1</x:v>
      </x:c>
      <x:c r="G3158" s="23" t="str">
        <x:f>IF(E3158=F3158,"PASS","FAIL")</x:f>
        <x:v>PASS</x:v>
      </x:c>
    </x:row>
    <x:row r="3159">
      <x:c r="B3159" s="21" t="str">
        <x:v>A3153</x:v>
      </x:c>
      <x:c r="C3159" s="21" t="str">
        <x:v>rights</x:v>
      </x:c>
      <x:c r="D3159" s="21" t="str">
        <x:v>right 246 offered</x:v>
      </x:c>
      <x:c r="E3159" s="21" t="n">
        <x:f>IF('Rights Register'!H246=1,1,0)</x:f>
        <x:v>1</x:v>
      </x:c>
      <x:c r="F3159" s="21" t="n">
        <x:v>1</x:v>
      </x:c>
      <x:c r="G3159" s="23" t="str">
        <x:f>IF(E3159=F3159,"PASS","FAIL")</x:f>
        <x:v>PASS</x:v>
      </x:c>
    </x:row>
    <x:row r="3160">
      <x:c r="B3160" s="21" t="str">
        <x:v>A3154</x:v>
      </x:c>
      <x:c r="C3160" s="21" t="str">
        <x:v>rights</x:v>
      </x:c>
      <x:c r="D3160" s="21" t="str">
        <x:v>right 246 evidence open</x:v>
      </x:c>
      <x:c r="E3160" s="21" t="n">
        <x:f>IF('Rights Register'!I246="OPEN",1,0)</x:f>
        <x:v>1</x:v>
      </x:c>
      <x:c r="F3160" s="21" t="n">
        <x:v>1</x:v>
      </x:c>
      <x:c r="G3160" s="23" t="str">
        <x:f>IF(E3160=F3160,"PASS","FAIL")</x:f>
        <x:v>PASS</x:v>
      </x:c>
    </x:row>
    <x:row r="3161">
      <x:c r="B3161" s="21" t="str">
        <x:v>A3155</x:v>
      </x:c>
      <x:c r="C3161" s="21" t="str">
        <x:v>rights</x:v>
      </x:c>
      <x:c r="D3161" s="21" t="str">
        <x:v>right 246 zero credit</x:v>
      </x:c>
      <x:c r="E3161" s="21" t="n">
        <x:f>IF('Rights Register'!J246=0,1,0)</x:f>
        <x:v>1</x:v>
      </x:c>
      <x:c r="F3161" s="21" t="n">
        <x:v>1</x:v>
      </x:c>
      <x:c r="G3161" s="23" t="str">
        <x:f>IF(E3161=F3161,"PASS","FAIL")</x:f>
        <x:v>PASS</x:v>
      </x:c>
    </x:row>
    <x:row r="3162">
      <x:c r="B3162" s="21" t="str">
        <x:v>A3156</x:v>
      </x:c>
      <x:c r="C3162" s="21" t="str">
        <x:v>rights</x:v>
      </x:c>
      <x:c r="D3162" s="21" t="str">
        <x:v>right 247 required</x:v>
      </x:c>
      <x:c r="E3162" s="21" t="n">
        <x:f>IF('Rights Register'!G247=1,1,0)</x:f>
        <x:v>1</x:v>
      </x:c>
      <x:c r="F3162" s="21" t="n">
        <x:v>1</x:v>
      </x:c>
      <x:c r="G3162" s="23" t="str">
        <x:f>IF(E3162=F3162,"PASS","FAIL")</x:f>
        <x:v>PASS</x:v>
      </x:c>
    </x:row>
    <x:row r="3163">
      <x:c r="B3163" s="21" t="str">
        <x:v>A3157</x:v>
      </x:c>
      <x:c r="C3163" s="21" t="str">
        <x:v>rights</x:v>
      </x:c>
      <x:c r="D3163" s="21" t="str">
        <x:v>right 247 offered</x:v>
      </x:c>
      <x:c r="E3163" s="21" t="n">
        <x:f>IF('Rights Register'!H247=1,1,0)</x:f>
        <x:v>1</x:v>
      </x:c>
      <x:c r="F3163" s="21" t="n">
        <x:v>1</x:v>
      </x:c>
      <x:c r="G3163" s="23" t="str">
        <x:f>IF(E3163=F3163,"PASS","FAIL")</x:f>
        <x:v>PASS</x:v>
      </x:c>
    </x:row>
    <x:row r="3164">
      <x:c r="B3164" s="21" t="str">
        <x:v>A3158</x:v>
      </x:c>
      <x:c r="C3164" s="21" t="str">
        <x:v>rights</x:v>
      </x:c>
      <x:c r="D3164" s="21" t="str">
        <x:v>right 247 evidence open</x:v>
      </x:c>
      <x:c r="E3164" s="21" t="n">
        <x:f>IF('Rights Register'!I247="OPEN",1,0)</x:f>
        <x:v>1</x:v>
      </x:c>
      <x:c r="F3164" s="21" t="n">
        <x:v>1</x:v>
      </x:c>
      <x:c r="G3164" s="23" t="str">
        <x:f>IF(E3164=F3164,"PASS","FAIL")</x:f>
        <x:v>PASS</x:v>
      </x:c>
    </x:row>
    <x:row r="3165">
      <x:c r="B3165" s="21" t="str">
        <x:v>A3159</x:v>
      </x:c>
      <x:c r="C3165" s="21" t="str">
        <x:v>rights</x:v>
      </x:c>
      <x:c r="D3165" s="21" t="str">
        <x:v>right 247 zero credit</x:v>
      </x:c>
      <x:c r="E3165" s="21" t="n">
        <x:f>IF('Rights Register'!J247=0,1,0)</x:f>
        <x:v>1</x:v>
      </x:c>
      <x:c r="F3165" s="21" t="n">
        <x:v>1</x:v>
      </x:c>
      <x:c r="G3165" s="23" t="str">
        <x:f>IF(E3165=F3165,"PASS","FAIL")</x:f>
        <x:v>PASS</x:v>
      </x:c>
    </x:row>
    <x:row r="3166">
      <x:c r="B3166" s="21" t="str">
        <x:v>A3160</x:v>
      </x:c>
      <x:c r="C3166" s="21" t="str">
        <x:v>rights</x:v>
      </x:c>
      <x:c r="D3166" s="21" t="str">
        <x:v>right 248 required</x:v>
      </x:c>
      <x:c r="E3166" s="21" t="n">
        <x:f>IF('Rights Register'!G248=1,1,0)</x:f>
        <x:v>1</x:v>
      </x:c>
      <x:c r="F3166" s="21" t="n">
        <x:v>1</x:v>
      </x:c>
      <x:c r="G3166" s="23" t="str">
        <x:f>IF(E3166=F3166,"PASS","FAIL")</x:f>
        <x:v>PASS</x:v>
      </x:c>
    </x:row>
    <x:row r="3167">
      <x:c r="B3167" s="21" t="str">
        <x:v>A3161</x:v>
      </x:c>
      <x:c r="C3167" s="21" t="str">
        <x:v>rights</x:v>
      </x:c>
      <x:c r="D3167" s="21" t="str">
        <x:v>right 248 offered</x:v>
      </x:c>
      <x:c r="E3167" s="21" t="n">
        <x:f>IF('Rights Register'!H248=1,1,0)</x:f>
        <x:v>1</x:v>
      </x:c>
      <x:c r="F3167" s="21" t="n">
        <x:v>1</x:v>
      </x:c>
      <x:c r="G3167" s="23" t="str">
        <x:f>IF(E3167=F3167,"PASS","FAIL")</x:f>
        <x:v>PASS</x:v>
      </x:c>
    </x:row>
    <x:row r="3168">
      <x:c r="B3168" s="21" t="str">
        <x:v>A3162</x:v>
      </x:c>
      <x:c r="C3168" s="21" t="str">
        <x:v>rights</x:v>
      </x:c>
      <x:c r="D3168" s="21" t="str">
        <x:v>right 248 evidence open</x:v>
      </x:c>
      <x:c r="E3168" s="21" t="n">
        <x:f>IF('Rights Register'!I248="OPEN",1,0)</x:f>
        <x:v>1</x:v>
      </x:c>
      <x:c r="F3168" s="21" t="n">
        <x:v>1</x:v>
      </x:c>
      <x:c r="G3168" s="23" t="str">
        <x:f>IF(E3168=F3168,"PASS","FAIL")</x:f>
        <x:v>PASS</x:v>
      </x:c>
    </x:row>
    <x:row r="3169">
      <x:c r="B3169" s="21" t="str">
        <x:v>A3163</x:v>
      </x:c>
      <x:c r="C3169" s="21" t="str">
        <x:v>rights</x:v>
      </x:c>
      <x:c r="D3169" s="21" t="str">
        <x:v>right 248 zero credit</x:v>
      </x:c>
      <x:c r="E3169" s="21" t="n">
        <x:f>IF('Rights Register'!J248=0,1,0)</x:f>
        <x:v>1</x:v>
      </x:c>
      <x:c r="F3169" s="21" t="n">
        <x:v>1</x:v>
      </x:c>
      <x:c r="G3169" s="23" t="str">
        <x:f>IF(E3169=F3169,"PASS","FAIL")</x:f>
        <x:v>PASS</x:v>
      </x:c>
    </x:row>
    <x:row r="3170">
      <x:c r="B3170" s="21" t="str">
        <x:v>A3164</x:v>
      </x:c>
      <x:c r="C3170" s="21" t="str">
        <x:v>rights</x:v>
      </x:c>
      <x:c r="D3170" s="21" t="str">
        <x:v>right 249 required</x:v>
      </x:c>
      <x:c r="E3170" s="21" t="n">
        <x:f>IF('Rights Register'!G249=1,1,0)</x:f>
        <x:v>1</x:v>
      </x:c>
      <x:c r="F3170" s="21" t="n">
        <x:v>1</x:v>
      </x:c>
      <x:c r="G3170" s="23" t="str">
        <x:f>IF(E3170=F3170,"PASS","FAIL")</x:f>
        <x:v>PASS</x:v>
      </x:c>
    </x:row>
    <x:row r="3171">
      <x:c r="B3171" s="21" t="str">
        <x:v>A3165</x:v>
      </x:c>
      <x:c r="C3171" s="21" t="str">
        <x:v>rights</x:v>
      </x:c>
      <x:c r="D3171" s="21" t="str">
        <x:v>right 249 offered</x:v>
      </x:c>
      <x:c r="E3171" s="21" t="n">
        <x:f>IF('Rights Register'!H249=1,1,0)</x:f>
        <x:v>1</x:v>
      </x:c>
      <x:c r="F3171" s="21" t="n">
        <x:v>1</x:v>
      </x:c>
      <x:c r="G3171" s="23" t="str">
        <x:f>IF(E3171=F3171,"PASS","FAIL")</x:f>
        <x:v>PASS</x:v>
      </x:c>
    </x:row>
    <x:row r="3172">
      <x:c r="B3172" s="21" t="str">
        <x:v>A3166</x:v>
      </x:c>
      <x:c r="C3172" s="21" t="str">
        <x:v>rights</x:v>
      </x:c>
      <x:c r="D3172" s="21" t="str">
        <x:v>right 249 evidence open</x:v>
      </x:c>
      <x:c r="E3172" s="21" t="n">
        <x:f>IF('Rights Register'!I249="OPEN",1,0)</x:f>
        <x:v>1</x:v>
      </x:c>
      <x:c r="F3172" s="21" t="n">
        <x:v>1</x:v>
      </x:c>
      <x:c r="G3172" s="23" t="str">
        <x:f>IF(E3172=F3172,"PASS","FAIL")</x:f>
        <x:v>PASS</x:v>
      </x:c>
    </x:row>
    <x:row r="3173">
      <x:c r="B3173" s="21" t="str">
        <x:v>A3167</x:v>
      </x:c>
      <x:c r="C3173" s="21" t="str">
        <x:v>rights</x:v>
      </x:c>
      <x:c r="D3173" s="21" t="str">
        <x:v>right 249 zero credit</x:v>
      </x:c>
      <x:c r="E3173" s="21" t="n">
        <x:f>IF('Rights Register'!J249=0,1,0)</x:f>
        <x:v>1</x:v>
      </x:c>
      <x:c r="F3173" s="21" t="n">
        <x:v>1</x:v>
      </x:c>
      <x:c r="G3173" s="23" t="str">
        <x:f>IF(E3173=F3173,"PASS","FAIL")</x:f>
        <x:v>PASS</x:v>
      </x:c>
    </x:row>
    <x:row r="3174">
      <x:c r="B3174" s="21" t="str">
        <x:v>A3168</x:v>
      </x:c>
      <x:c r="C3174" s="21" t="str">
        <x:v>rights</x:v>
      </x:c>
      <x:c r="D3174" s="21" t="str">
        <x:v>right 250 required</x:v>
      </x:c>
      <x:c r="E3174" s="21" t="n">
        <x:f>IF('Rights Register'!G250=1,1,0)</x:f>
        <x:v>1</x:v>
      </x:c>
      <x:c r="F3174" s="21" t="n">
        <x:v>1</x:v>
      </x:c>
      <x:c r="G3174" s="23" t="str">
        <x:f>IF(E3174=F3174,"PASS","FAIL")</x:f>
        <x:v>PASS</x:v>
      </x:c>
    </x:row>
    <x:row r="3175">
      <x:c r="B3175" s="21" t="str">
        <x:v>A3169</x:v>
      </x:c>
      <x:c r="C3175" s="21" t="str">
        <x:v>rights</x:v>
      </x:c>
      <x:c r="D3175" s="21" t="str">
        <x:v>right 250 offered</x:v>
      </x:c>
      <x:c r="E3175" s="21" t="n">
        <x:f>IF('Rights Register'!H250=1,1,0)</x:f>
        <x:v>1</x:v>
      </x:c>
      <x:c r="F3175" s="21" t="n">
        <x:v>1</x:v>
      </x:c>
      <x:c r="G3175" s="23" t="str">
        <x:f>IF(E3175=F3175,"PASS","FAIL")</x:f>
        <x:v>PASS</x:v>
      </x:c>
    </x:row>
    <x:row r="3176">
      <x:c r="B3176" s="21" t="str">
        <x:v>A3170</x:v>
      </x:c>
      <x:c r="C3176" s="21" t="str">
        <x:v>rights</x:v>
      </x:c>
      <x:c r="D3176" s="21" t="str">
        <x:v>right 250 evidence open</x:v>
      </x:c>
      <x:c r="E3176" s="21" t="n">
        <x:f>IF('Rights Register'!I250="OPEN",1,0)</x:f>
        <x:v>1</x:v>
      </x:c>
      <x:c r="F3176" s="21" t="n">
        <x:v>1</x:v>
      </x:c>
      <x:c r="G3176" s="23" t="str">
        <x:f>IF(E3176=F3176,"PASS","FAIL")</x:f>
        <x:v>PASS</x:v>
      </x:c>
    </x:row>
    <x:row r="3177">
      <x:c r="B3177" s="21" t="str">
        <x:v>A3171</x:v>
      </x:c>
      <x:c r="C3177" s="21" t="str">
        <x:v>rights</x:v>
      </x:c>
      <x:c r="D3177" s="21" t="str">
        <x:v>right 250 zero credit</x:v>
      </x:c>
      <x:c r="E3177" s="21" t="n">
        <x:f>IF('Rights Register'!J250=0,1,0)</x:f>
        <x:v>1</x:v>
      </x:c>
      <x:c r="F3177" s="21" t="n">
        <x:v>1</x:v>
      </x:c>
      <x:c r="G3177" s="23" t="str">
        <x:f>IF(E3177=F3177,"PASS","FAIL")</x:f>
        <x:v>PASS</x:v>
      </x:c>
    </x:row>
    <x:row r="3178">
      <x:c r="B3178" s="21" t="str">
        <x:v>A3172</x:v>
      </x:c>
      <x:c r="C3178" s="21" t="str">
        <x:v>rights</x:v>
      </x:c>
      <x:c r="D3178" s="21" t="str">
        <x:v>right 251 required</x:v>
      </x:c>
      <x:c r="E3178" s="21" t="n">
        <x:f>IF('Rights Register'!G251=1,1,0)</x:f>
        <x:v>1</x:v>
      </x:c>
      <x:c r="F3178" s="21" t="n">
        <x:v>1</x:v>
      </x:c>
      <x:c r="G3178" s="23" t="str">
        <x:f>IF(E3178=F3178,"PASS","FAIL")</x:f>
        <x:v>PASS</x:v>
      </x:c>
    </x:row>
    <x:row r="3179">
      <x:c r="B3179" s="21" t="str">
        <x:v>A3173</x:v>
      </x:c>
      <x:c r="C3179" s="21" t="str">
        <x:v>rights</x:v>
      </x:c>
      <x:c r="D3179" s="21" t="str">
        <x:v>right 251 offered</x:v>
      </x:c>
      <x:c r="E3179" s="21" t="n">
        <x:f>IF('Rights Register'!H251=1,1,0)</x:f>
        <x:v>1</x:v>
      </x:c>
      <x:c r="F3179" s="21" t="n">
        <x:v>1</x:v>
      </x:c>
      <x:c r="G3179" s="23" t="str">
        <x:f>IF(E3179=F3179,"PASS","FAIL")</x:f>
        <x:v>PASS</x:v>
      </x:c>
    </x:row>
    <x:row r="3180">
      <x:c r="B3180" s="21" t="str">
        <x:v>A3174</x:v>
      </x:c>
      <x:c r="C3180" s="21" t="str">
        <x:v>rights</x:v>
      </x:c>
      <x:c r="D3180" s="21" t="str">
        <x:v>right 251 evidence open</x:v>
      </x:c>
      <x:c r="E3180" s="21" t="n">
        <x:f>IF('Rights Register'!I251="OPEN",1,0)</x:f>
        <x:v>1</x:v>
      </x:c>
      <x:c r="F3180" s="21" t="n">
        <x:v>1</x:v>
      </x:c>
      <x:c r="G3180" s="23" t="str">
        <x:f>IF(E3180=F3180,"PASS","FAIL")</x:f>
        <x:v>PASS</x:v>
      </x:c>
    </x:row>
    <x:row r="3181">
      <x:c r="B3181" s="21" t="str">
        <x:v>A3175</x:v>
      </x:c>
      <x:c r="C3181" s="21" t="str">
        <x:v>rights</x:v>
      </x:c>
      <x:c r="D3181" s="21" t="str">
        <x:v>right 251 zero credit</x:v>
      </x:c>
      <x:c r="E3181" s="21" t="n">
        <x:f>IF('Rights Register'!J251=0,1,0)</x:f>
        <x:v>1</x:v>
      </x:c>
      <x:c r="F3181" s="21" t="n">
        <x:v>1</x:v>
      </x:c>
      <x:c r="G3181" s="23" t="str">
        <x:f>IF(E3181=F3181,"PASS","FAIL")</x:f>
        <x:v>PASS</x:v>
      </x:c>
    </x:row>
    <x:row r="3182">
      <x:c r="B3182" s="21" t="str">
        <x:v>A3176</x:v>
      </x:c>
      <x:c r="C3182" s="21" t="str">
        <x:v>rights</x:v>
      </x:c>
      <x:c r="D3182" s="21" t="str">
        <x:v>right 252 required</x:v>
      </x:c>
      <x:c r="E3182" s="21" t="n">
        <x:f>IF('Rights Register'!G252=1,1,0)</x:f>
        <x:v>1</x:v>
      </x:c>
      <x:c r="F3182" s="21" t="n">
        <x:v>1</x:v>
      </x:c>
      <x:c r="G3182" s="23" t="str">
        <x:f>IF(E3182=F3182,"PASS","FAIL")</x:f>
        <x:v>PASS</x:v>
      </x:c>
    </x:row>
    <x:row r="3183">
      <x:c r="B3183" s="21" t="str">
        <x:v>A3177</x:v>
      </x:c>
      <x:c r="C3183" s="21" t="str">
        <x:v>rights</x:v>
      </x:c>
      <x:c r="D3183" s="21" t="str">
        <x:v>right 252 offered</x:v>
      </x:c>
      <x:c r="E3183" s="21" t="n">
        <x:f>IF('Rights Register'!H252=1,1,0)</x:f>
        <x:v>1</x:v>
      </x:c>
      <x:c r="F3183" s="21" t="n">
        <x:v>1</x:v>
      </x:c>
      <x:c r="G3183" s="23" t="str">
        <x:f>IF(E3183=F3183,"PASS","FAIL")</x:f>
        <x:v>PASS</x:v>
      </x:c>
    </x:row>
    <x:row r="3184">
      <x:c r="B3184" s="21" t="str">
        <x:v>A3178</x:v>
      </x:c>
      <x:c r="C3184" s="21" t="str">
        <x:v>rights</x:v>
      </x:c>
      <x:c r="D3184" s="21" t="str">
        <x:v>right 252 evidence open</x:v>
      </x:c>
      <x:c r="E3184" s="21" t="n">
        <x:f>IF('Rights Register'!I252="OPEN",1,0)</x:f>
        <x:v>1</x:v>
      </x:c>
      <x:c r="F3184" s="21" t="n">
        <x:v>1</x:v>
      </x:c>
      <x:c r="G3184" s="23" t="str">
        <x:f>IF(E3184=F3184,"PASS","FAIL")</x:f>
        <x:v>PASS</x:v>
      </x:c>
    </x:row>
    <x:row r="3185">
      <x:c r="B3185" s="21" t="str">
        <x:v>A3179</x:v>
      </x:c>
      <x:c r="C3185" s="21" t="str">
        <x:v>rights</x:v>
      </x:c>
      <x:c r="D3185" s="21" t="str">
        <x:v>right 252 zero credit</x:v>
      </x:c>
      <x:c r="E3185" s="21" t="n">
        <x:f>IF('Rights Register'!J252=0,1,0)</x:f>
        <x:v>1</x:v>
      </x:c>
      <x:c r="F3185" s="21" t="n">
        <x:v>1</x:v>
      </x:c>
      <x:c r="G3185" s="23" t="str">
        <x:f>IF(E3185=F3185,"PASS","FAIL")</x:f>
        <x:v>PASS</x:v>
      </x:c>
    </x:row>
    <x:row r="3186">
      <x:c r="B3186" s="21" t="str">
        <x:v>A3180</x:v>
      </x:c>
      <x:c r="C3186" s="21" t="str">
        <x:v>rights</x:v>
      </x:c>
      <x:c r="D3186" s="21" t="str">
        <x:v>right 253 required</x:v>
      </x:c>
      <x:c r="E3186" s="21" t="n">
        <x:f>IF('Rights Register'!G253=1,1,0)</x:f>
        <x:v>1</x:v>
      </x:c>
      <x:c r="F3186" s="21" t="n">
        <x:v>1</x:v>
      </x:c>
      <x:c r="G3186" s="23" t="str">
        <x:f>IF(E3186=F3186,"PASS","FAIL")</x:f>
        <x:v>PASS</x:v>
      </x:c>
    </x:row>
    <x:row r="3187">
      <x:c r="B3187" s="21" t="str">
        <x:v>A3181</x:v>
      </x:c>
      <x:c r="C3187" s="21" t="str">
        <x:v>rights</x:v>
      </x:c>
      <x:c r="D3187" s="21" t="str">
        <x:v>right 253 offered</x:v>
      </x:c>
      <x:c r="E3187" s="21" t="n">
        <x:f>IF('Rights Register'!H253=1,1,0)</x:f>
        <x:v>1</x:v>
      </x:c>
      <x:c r="F3187" s="21" t="n">
        <x:v>1</x:v>
      </x:c>
      <x:c r="G3187" s="23" t="str">
        <x:f>IF(E3187=F3187,"PASS","FAIL")</x:f>
        <x:v>PASS</x:v>
      </x:c>
    </x:row>
    <x:row r="3188">
      <x:c r="B3188" s="21" t="str">
        <x:v>A3182</x:v>
      </x:c>
      <x:c r="C3188" s="21" t="str">
        <x:v>rights</x:v>
      </x:c>
      <x:c r="D3188" s="21" t="str">
        <x:v>right 253 evidence open</x:v>
      </x:c>
      <x:c r="E3188" s="21" t="n">
        <x:f>IF('Rights Register'!I253="OPEN",1,0)</x:f>
        <x:v>1</x:v>
      </x:c>
      <x:c r="F3188" s="21" t="n">
        <x:v>1</x:v>
      </x:c>
      <x:c r="G3188" s="23" t="str">
        <x:f>IF(E3188=F3188,"PASS","FAIL")</x:f>
        <x:v>PASS</x:v>
      </x:c>
    </x:row>
    <x:row r="3189">
      <x:c r="B3189" s="21" t="str">
        <x:v>A3183</x:v>
      </x:c>
      <x:c r="C3189" s="21" t="str">
        <x:v>rights</x:v>
      </x:c>
      <x:c r="D3189" s="21" t="str">
        <x:v>right 253 zero credit</x:v>
      </x:c>
      <x:c r="E3189" s="21" t="n">
        <x:f>IF('Rights Register'!J253=0,1,0)</x:f>
        <x:v>1</x:v>
      </x:c>
      <x:c r="F3189" s="21" t="n">
        <x:v>1</x:v>
      </x:c>
      <x:c r="G3189" s="23" t="str">
        <x:f>IF(E3189=F3189,"PASS","FAIL")</x:f>
        <x:v>PASS</x:v>
      </x:c>
    </x:row>
    <x:row r="3190">
      <x:c r="B3190" s="21" t="str">
        <x:v>A3184</x:v>
      </x:c>
      <x:c r="C3190" s="21" t="str">
        <x:v>rights</x:v>
      </x:c>
      <x:c r="D3190" s="21" t="str">
        <x:v>right 254 required</x:v>
      </x:c>
      <x:c r="E3190" s="21" t="n">
        <x:f>IF('Rights Register'!G254=1,1,0)</x:f>
        <x:v>1</x:v>
      </x:c>
      <x:c r="F3190" s="21" t="n">
        <x:v>1</x:v>
      </x:c>
      <x:c r="G3190" s="23" t="str">
        <x:f>IF(E3190=F3190,"PASS","FAIL")</x:f>
        <x:v>PASS</x:v>
      </x:c>
    </x:row>
    <x:row r="3191">
      <x:c r="B3191" s="21" t="str">
        <x:v>A3185</x:v>
      </x:c>
      <x:c r="C3191" s="21" t="str">
        <x:v>rights</x:v>
      </x:c>
      <x:c r="D3191" s="21" t="str">
        <x:v>right 254 offered</x:v>
      </x:c>
      <x:c r="E3191" s="21" t="n">
        <x:f>IF('Rights Register'!H254=1,1,0)</x:f>
        <x:v>1</x:v>
      </x:c>
      <x:c r="F3191" s="21" t="n">
        <x:v>1</x:v>
      </x:c>
      <x:c r="G3191" s="23" t="str">
        <x:f>IF(E3191=F3191,"PASS","FAIL")</x:f>
        <x:v>PASS</x:v>
      </x:c>
    </x:row>
    <x:row r="3192">
      <x:c r="B3192" s="21" t="str">
        <x:v>A3186</x:v>
      </x:c>
      <x:c r="C3192" s="21" t="str">
        <x:v>rights</x:v>
      </x:c>
      <x:c r="D3192" s="21" t="str">
        <x:v>right 254 evidence open</x:v>
      </x:c>
      <x:c r="E3192" s="21" t="n">
        <x:f>IF('Rights Register'!I254="OPEN",1,0)</x:f>
        <x:v>1</x:v>
      </x:c>
      <x:c r="F3192" s="21" t="n">
        <x:v>1</x:v>
      </x:c>
      <x:c r="G3192" s="23" t="str">
        <x:f>IF(E3192=F3192,"PASS","FAIL")</x:f>
        <x:v>PASS</x:v>
      </x:c>
    </x:row>
    <x:row r="3193">
      <x:c r="B3193" s="21" t="str">
        <x:v>A3187</x:v>
      </x:c>
      <x:c r="C3193" s="21" t="str">
        <x:v>rights</x:v>
      </x:c>
      <x:c r="D3193" s="21" t="str">
        <x:v>right 254 zero credit</x:v>
      </x:c>
      <x:c r="E3193" s="21" t="n">
        <x:f>IF('Rights Register'!J254=0,1,0)</x:f>
        <x:v>1</x:v>
      </x:c>
      <x:c r="F3193" s="21" t="n">
        <x:v>1</x:v>
      </x:c>
      <x:c r="G3193" s="23" t="str">
        <x:f>IF(E3193=F3193,"PASS","FAIL")</x:f>
        <x:v>PASS</x:v>
      </x:c>
    </x:row>
    <x:row r="3194">
      <x:c r="B3194" s="21" t="str">
        <x:v>A3188</x:v>
      </x:c>
      <x:c r="C3194" s="21" t="str">
        <x:v>rights</x:v>
      </x:c>
      <x:c r="D3194" s="21" t="str">
        <x:v>right 255 required</x:v>
      </x:c>
      <x:c r="E3194" s="21" t="n">
        <x:f>IF('Rights Register'!G255=1,1,0)</x:f>
        <x:v>1</x:v>
      </x:c>
      <x:c r="F3194" s="21" t="n">
        <x:v>1</x:v>
      </x:c>
      <x:c r="G3194" s="23" t="str">
        <x:f>IF(E3194=F3194,"PASS","FAIL")</x:f>
        <x:v>PASS</x:v>
      </x:c>
    </x:row>
    <x:row r="3195">
      <x:c r="B3195" s="21" t="str">
        <x:v>A3189</x:v>
      </x:c>
      <x:c r="C3195" s="21" t="str">
        <x:v>rights</x:v>
      </x:c>
      <x:c r="D3195" s="21" t="str">
        <x:v>right 255 offered</x:v>
      </x:c>
      <x:c r="E3195" s="21" t="n">
        <x:f>IF('Rights Register'!H255=1,1,0)</x:f>
        <x:v>1</x:v>
      </x:c>
      <x:c r="F3195" s="21" t="n">
        <x:v>1</x:v>
      </x:c>
      <x:c r="G3195" s="23" t="str">
        <x:f>IF(E3195=F3195,"PASS","FAIL")</x:f>
        <x:v>PASS</x:v>
      </x:c>
    </x:row>
    <x:row r="3196">
      <x:c r="B3196" s="21" t="str">
        <x:v>A3190</x:v>
      </x:c>
      <x:c r="C3196" s="21" t="str">
        <x:v>rights</x:v>
      </x:c>
      <x:c r="D3196" s="21" t="str">
        <x:v>right 255 evidence open</x:v>
      </x:c>
      <x:c r="E3196" s="21" t="n">
        <x:f>IF('Rights Register'!I255="OPEN",1,0)</x:f>
        <x:v>1</x:v>
      </x:c>
      <x:c r="F3196" s="21" t="n">
        <x:v>1</x:v>
      </x:c>
      <x:c r="G3196" s="23" t="str">
        <x:f>IF(E3196=F3196,"PASS","FAIL")</x:f>
        <x:v>PASS</x:v>
      </x:c>
    </x:row>
    <x:row r="3197">
      <x:c r="B3197" s="21" t="str">
        <x:v>A3191</x:v>
      </x:c>
      <x:c r="C3197" s="21" t="str">
        <x:v>rights</x:v>
      </x:c>
      <x:c r="D3197" s="21" t="str">
        <x:v>right 255 zero credit</x:v>
      </x:c>
      <x:c r="E3197" s="21" t="n">
        <x:f>IF('Rights Register'!J255=0,1,0)</x:f>
        <x:v>1</x:v>
      </x:c>
      <x:c r="F3197" s="21" t="n">
        <x:v>1</x:v>
      </x:c>
      <x:c r="G3197" s="23" t="str">
        <x:f>IF(E3197=F3197,"PASS","FAIL")</x:f>
        <x:v>PASS</x:v>
      </x:c>
    </x:row>
    <x:row r="3198">
      <x:c r="B3198" s="21" t="str">
        <x:v>A3192</x:v>
      </x:c>
      <x:c r="C3198" s="21" t="str">
        <x:v>rights</x:v>
      </x:c>
      <x:c r="D3198" s="21" t="str">
        <x:v>right 256 required</x:v>
      </x:c>
      <x:c r="E3198" s="21" t="n">
        <x:f>IF('Rights Register'!G256=1,1,0)</x:f>
        <x:v>1</x:v>
      </x:c>
      <x:c r="F3198" s="21" t="n">
        <x:v>1</x:v>
      </x:c>
      <x:c r="G3198" s="23" t="str">
        <x:f>IF(E3198=F3198,"PASS","FAIL")</x:f>
        <x:v>PASS</x:v>
      </x:c>
    </x:row>
    <x:row r="3199">
      <x:c r="B3199" s="21" t="str">
        <x:v>A3193</x:v>
      </x:c>
      <x:c r="C3199" s="21" t="str">
        <x:v>rights</x:v>
      </x:c>
      <x:c r="D3199" s="21" t="str">
        <x:v>right 256 offered</x:v>
      </x:c>
      <x:c r="E3199" s="21" t="n">
        <x:f>IF('Rights Register'!H256=1,1,0)</x:f>
        <x:v>1</x:v>
      </x:c>
      <x:c r="F3199" s="21" t="n">
        <x:v>1</x:v>
      </x:c>
      <x:c r="G3199" s="23" t="str">
        <x:f>IF(E3199=F3199,"PASS","FAIL")</x:f>
        <x:v>PASS</x:v>
      </x:c>
    </x:row>
    <x:row r="3200">
      <x:c r="B3200" s="21" t="str">
        <x:v>A3194</x:v>
      </x:c>
      <x:c r="C3200" s="21" t="str">
        <x:v>rights</x:v>
      </x:c>
      <x:c r="D3200" s="21" t="str">
        <x:v>right 256 evidence open</x:v>
      </x:c>
      <x:c r="E3200" s="21" t="n">
        <x:f>IF('Rights Register'!I256="OPEN",1,0)</x:f>
        <x:v>1</x:v>
      </x:c>
      <x:c r="F3200" s="21" t="n">
        <x:v>1</x:v>
      </x:c>
      <x:c r="G3200" s="23" t="str">
        <x:f>IF(E3200=F3200,"PASS","FAIL")</x:f>
        <x:v>PASS</x:v>
      </x:c>
    </x:row>
    <x:row r="3201">
      <x:c r="B3201" s="21" t="str">
        <x:v>A3195</x:v>
      </x:c>
      <x:c r="C3201" s="21" t="str">
        <x:v>rights</x:v>
      </x:c>
      <x:c r="D3201" s="21" t="str">
        <x:v>right 256 zero credit</x:v>
      </x:c>
      <x:c r="E3201" s="21" t="n">
        <x:f>IF('Rights Register'!J256=0,1,0)</x:f>
        <x:v>1</x:v>
      </x:c>
      <x:c r="F3201" s="21" t="n">
        <x:v>1</x:v>
      </x:c>
      <x:c r="G3201" s="23" t="str">
        <x:f>IF(E3201=F3201,"PASS","FAIL")</x:f>
        <x:v>PASS</x:v>
      </x:c>
    </x:row>
    <x:row r="3202">
      <x:c r="B3202" s="21" t="str">
        <x:v>A3196</x:v>
      </x:c>
      <x:c r="C3202" s="21" t="str">
        <x:v>rights</x:v>
      </x:c>
      <x:c r="D3202" s="21" t="str">
        <x:v>right 257 required</x:v>
      </x:c>
      <x:c r="E3202" s="21" t="n">
        <x:f>IF('Rights Register'!G257=1,1,0)</x:f>
        <x:v>1</x:v>
      </x:c>
      <x:c r="F3202" s="21" t="n">
        <x:v>1</x:v>
      </x:c>
      <x:c r="G3202" s="23" t="str">
        <x:f>IF(E3202=F3202,"PASS","FAIL")</x:f>
        <x:v>PASS</x:v>
      </x:c>
    </x:row>
    <x:row r="3203">
      <x:c r="B3203" s="21" t="str">
        <x:v>A3197</x:v>
      </x:c>
      <x:c r="C3203" s="21" t="str">
        <x:v>rights</x:v>
      </x:c>
      <x:c r="D3203" s="21" t="str">
        <x:v>right 257 offered</x:v>
      </x:c>
      <x:c r="E3203" s="21" t="n">
        <x:f>IF('Rights Register'!H257=1,1,0)</x:f>
        <x:v>1</x:v>
      </x:c>
      <x:c r="F3203" s="21" t="n">
        <x:v>1</x:v>
      </x:c>
      <x:c r="G3203" s="23" t="str">
        <x:f>IF(E3203=F3203,"PASS","FAIL")</x:f>
        <x:v>PASS</x:v>
      </x:c>
    </x:row>
    <x:row r="3204">
      <x:c r="B3204" s="21" t="str">
        <x:v>A3198</x:v>
      </x:c>
      <x:c r="C3204" s="21" t="str">
        <x:v>rights</x:v>
      </x:c>
      <x:c r="D3204" s="21" t="str">
        <x:v>right 257 evidence open</x:v>
      </x:c>
      <x:c r="E3204" s="21" t="n">
        <x:f>IF('Rights Register'!I257="OPEN",1,0)</x:f>
        <x:v>1</x:v>
      </x:c>
      <x:c r="F3204" s="21" t="n">
        <x:v>1</x:v>
      </x:c>
      <x:c r="G3204" s="23" t="str">
        <x:f>IF(E3204=F3204,"PASS","FAIL")</x:f>
        <x:v>PASS</x:v>
      </x:c>
    </x:row>
    <x:row r="3205">
      <x:c r="B3205" s="21" t="str">
        <x:v>A3199</x:v>
      </x:c>
      <x:c r="C3205" s="21" t="str">
        <x:v>rights</x:v>
      </x:c>
      <x:c r="D3205" s="21" t="str">
        <x:v>right 257 zero credit</x:v>
      </x:c>
      <x:c r="E3205" s="21" t="n">
        <x:f>IF('Rights Register'!J257=0,1,0)</x:f>
        <x:v>1</x:v>
      </x:c>
      <x:c r="F3205" s="21" t="n">
        <x:v>1</x:v>
      </x:c>
      <x:c r="G3205" s="23" t="str">
        <x:f>IF(E3205=F3205,"PASS","FAIL")</x:f>
        <x:v>PASS</x:v>
      </x:c>
    </x:row>
    <x:row r="3206">
      <x:c r="B3206" s="21" t="str">
        <x:v>A3200</x:v>
      </x:c>
      <x:c r="C3206" s="21" t="str">
        <x:v>rights</x:v>
      </x:c>
      <x:c r="D3206" s="21" t="str">
        <x:v>right 258 required</x:v>
      </x:c>
      <x:c r="E3206" s="21" t="n">
        <x:f>IF('Rights Register'!G258=1,1,0)</x:f>
        <x:v>1</x:v>
      </x:c>
      <x:c r="F3206" s="21" t="n">
        <x:v>1</x:v>
      </x:c>
      <x:c r="G3206" s="23" t="str">
        <x:f>IF(E3206=F3206,"PASS","FAIL")</x:f>
        <x:v>PASS</x:v>
      </x:c>
    </x:row>
    <x:row r="3207">
      <x:c r="B3207" s="21" t="str">
        <x:v>A3201</x:v>
      </x:c>
      <x:c r="C3207" s="21" t="str">
        <x:v>rights</x:v>
      </x:c>
      <x:c r="D3207" s="21" t="str">
        <x:v>right 258 offered</x:v>
      </x:c>
      <x:c r="E3207" s="21" t="n">
        <x:f>IF('Rights Register'!H258=1,1,0)</x:f>
        <x:v>1</x:v>
      </x:c>
      <x:c r="F3207" s="21" t="n">
        <x:v>1</x:v>
      </x:c>
      <x:c r="G3207" s="23" t="str">
        <x:f>IF(E3207=F3207,"PASS","FAIL")</x:f>
        <x:v>PASS</x:v>
      </x:c>
    </x:row>
    <x:row r="3208">
      <x:c r="B3208" s="21" t="str">
        <x:v>A3202</x:v>
      </x:c>
      <x:c r="C3208" s="21" t="str">
        <x:v>rights</x:v>
      </x:c>
      <x:c r="D3208" s="21" t="str">
        <x:v>right 258 evidence open</x:v>
      </x:c>
      <x:c r="E3208" s="21" t="n">
        <x:f>IF('Rights Register'!I258="OPEN",1,0)</x:f>
        <x:v>1</x:v>
      </x:c>
      <x:c r="F3208" s="21" t="n">
        <x:v>1</x:v>
      </x:c>
      <x:c r="G3208" s="23" t="str">
        <x:f>IF(E3208=F3208,"PASS","FAIL")</x:f>
        <x:v>PASS</x:v>
      </x:c>
    </x:row>
    <x:row r="3209">
      <x:c r="B3209" s="21" t="str">
        <x:v>A3203</x:v>
      </x:c>
      <x:c r="C3209" s="21" t="str">
        <x:v>rights</x:v>
      </x:c>
      <x:c r="D3209" s="21" t="str">
        <x:v>right 258 zero credit</x:v>
      </x:c>
      <x:c r="E3209" s="21" t="n">
        <x:f>IF('Rights Register'!J258=0,1,0)</x:f>
        <x:v>1</x:v>
      </x:c>
      <x:c r="F3209" s="21" t="n">
        <x:v>1</x:v>
      </x:c>
      <x:c r="G3209" s="23" t="str">
        <x:f>IF(E3209=F3209,"PASS","FAIL")</x:f>
        <x:v>PASS</x:v>
      </x:c>
    </x:row>
    <x:row r="3210">
      <x:c r="B3210" s="21" t="str">
        <x:v>A3204</x:v>
      </x:c>
      <x:c r="C3210" s="21" t="str">
        <x:v>rights</x:v>
      </x:c>
      <x:c r="D3210" s="21" t="str">
        <x:v>right 259 required</x:v>
      </x:c>
      <x:c r="E3210" s="21" t="n">
        <x:f>IF('Rights Register'!G259=1,1,0)</x:f>
        <x:v>1</x:v>
      </x:c>
      <x:c r="F3210" s="21" t="n">
        <x:v>1</x:v>
      </x:c>
      <x:c r="G3210" s="23" t="str">
        <x:f>IF(E3210=F3210,"PASS","FAIL")</x:f>
        <x:v>PASS</x:v>
      </x:c>
    </x:row>
    <x:row r="3211">
      <x:c r="B3211" s="21" t="str">
        <x:v>A3205</x:v>
      </x:c>
      <x:c r="C3211" s="21" t="str">
        <x:v>rights</x:v>
      </x:c>
      <x:c r="D3211" s="21" t="str">
        <x:v>right 259 offered</x:v>
      </x:c>
      <x:c r="E3211" s="21" t="n">
        <x:f>IF('Rights Register'!H259=1,1,0)</x:f>
        <x:v>1</x:v>
      </x:c>
      <x:c r="F3211" s="21" t="n">
        <x:v>1</x:v>
      </x:c>
      <x:c r="G3211" s="23" t="str">
        <x:f>IF(E3211=F3211,"PASS","FAIL")</x:f>
        <x:v>PASS</x:v>
      </x:c>
    </x:row>
    <x:row r="3212">
      <x:c r="B3212" s="21" t="str">
        <x:v>A3206</x:v>
      </x:c>
      <x:c r="C3212" s="21" t="str">
        <x:v>rights</x:v>
      </x:c>
      <x:c r="D3212" s="21" t="str">
        <x:v>right 259 evidence open</x:v>
      </x:c>
      <x:c r="E3212" s="21" t="n">
        <x:f>IF('Rights Register'!I259="OPEN",1,0)</x:f>
        <x:v>1</x:v>
      </x:c>
      <x:c r="F3212" s="21" t="n">
        <x:v>1</x:v>
      </x:c>
      <x:c r="G3212" s="23" t="str">
        <x:f>IF(E3212=F3212,"PASS","FAIL")</x:f>
        <x:v>PASS</x:v>
      </x:c>
    </x:row>
    <x:row r="3213">
      <x:c r="B3213" s="21" t="str">
        <x:v>A3207</x:v>
      </x:c>
      <x:c r="C3213" s="21" t="str">
        <x:v>rights</x:v>
      </x:c>
      <x:c r="D3213" s="21" t="str">
        <x:v>right 259 zero credit</x:v>
      </x:c>
      <x:c r="E3213" s="21" t="n">
        <x:f>IF('Rights Register'!J259=0,1,0)</x:f>
        <x:v>1</x:v>
      </x:c>
      <x:c r="F3213" s="21" t="n">
        <x:v>1</x:v>
      </x:c>
      <x:c r="G3213" s="23" t="str">
        <x:f>IF(E3213=F3213,"PASS","FAIL")</x:f>
        <x:v>PASS</x:v>
      </x:c>
    </x:row>
    <x:row r="3214">
      <x:c r="B3214" s="21" t="str">
        <x:v>A3208</x:v>
      </x:c>
      <x:c r="C3214" s="21" t="str">
        <x:v>rights</x:v>
      </x:c>
      <x:c r="D3214" s="21" t="str">
        <x:v>right 260 required</x:v>
      </x:c>
      <x:c r="E3214" s="21" t="n">
        <x:f>IF('Rights Register'!G260=1,1,0)</x:f>
        <x:v>1</x:v>
      </x:c>
      <x:c r="F3214" s="21" t="n">
        <x:v>1</x:v>
      </x:c>
      <x:c r="G3214" s="23" t="str">
        <x:f>IF(E3214=F3214,"PASS","FAIL")</x:f>
        <x:v>PASS</x:v>
      </x:c>
    </x:row>
    <x:row r="3215">
      <x:c r="B3215" s="21" t="str">
        <x:v>A3209</x:v>
      </x:c>
      <x:c r="C3215" s="21" t="str">
        <x:v>rights</x:v>
      </x:c>
      <x:c r="D3215" s="21" t="str">
        <x:v>right 260 offered</x:v>
      </x:c>
      <x:c r="E3215" s="21" t="n">
        <x:f>IF('Rights Register'!H260=1,1,0)</x:f>
        <x:v>1</x:v>
      </x:c>
      <x:c r="F3215" s="21" t="n">
        <x:v>1</x:v>
      </x:c>
      <x:c r="G3215" s="23" t="str">
        <x:f>IF(E3215=F3215,"PASS","FAIL")</x:f>
        <x:v>PASS</x:v>
      </x:c>
    </x:row>
    <x:row r="3216">
      <x:c r="B3216" s="21" t="str">
        <x:v>A3210</x:v>
      </x:c>
      <x:c r="C3216" s="21" t="str">
        <x:v>rights</x:v>
      </x:c>
      <x:c r="D3216" s="21" t="str">
        <x:v>right 260 evidence open</x:v>
      </x:c>
      <x:c r="E3216" s="21" t="n">
        <x:f>IF('Rights Register'!I260="OPEN",1,0)</x:f>
        <x:v>1</x:v>
      </x:c>
      <x:c r="F3216" s="21" t="n">
        <x:v>1</x:v>
      </x:c>
      <x:c r="G3216" s="23" t="str">
        <x:f>IF(E3216=F3216,"PASS","FAIL")</x:f>
        <x:v>PASS</x:v>
      </x:c>
    </x:row>
    <x:row r="3217">
      <x:c r="B3217" s="21" t="str">
        <x:v>A3211</x:v>
      </x:c>
      <x:c r="C3217" s="21" t="str">
        <x:v>rights</x:v>
      </x:c>
      <x:c r="D3217" s="21" t="str">
        <x:v>right 260 zero credit</x:v>
      </x:c>
      <x:c r="E3217" s="21" t="n">
        <x:f>IF('Rights Register'!J260=0,1,0)</x:f>
        <x:v>1</x:v>
      </x:c>
      <x:c r="F3217" s="21" t="n">
        <x:v>1</x:v>
      </x:c>
      <x:c r="G3217" s="23" t="str">
        <x:f>IF(E3217=F3217,"PASS","FAIL")</x:f>
        <x:v>PASS</x:v>
      </x:c>
    </x:row>
    <x:row r="3218">
      <x:c r="B3218" s="21" t="str">
        <x:v>A3212</x:v>
      </x:c>
      <x:c r="C3218" s="21" t="str">
        <x:v>rights</x:v>
      </x:c>
      <x:c r="D3218" s="21" t="str">
        <x:v>right 261 required</x:v>
      </x:c>
      <x:c r="E3218" s="21" t="n">
        <x:f>IF('Rights Register'!G261=1,1,0)</x:f>
        <x:v>1</x:v>
      </x:c>
      <x:c r="F3218" s="21" t="n">
        <x:v>1</x:v>
      </x:c>
      <x:c r="G3218" s="23" t="str">
        <x:f>IF(E3218=F3218,"PASS","FAIL")</x:f>
        <x:v>PASS</x:v>
      </x:c>
    </x:row>
    <x:row r="3219">
      <x:c r="B3219" s="21" t="str">
        <x:v>A3213</x:v>
      </x:c>
      <x:c r="C3219" s="21" t="str">
        <x:v>rights</x:v>
      </x:c>
      <x:c r="D3219" s="21" t="str">
        <x:v>right 261 offered</x:v>
      </x:c>
      <x:c r="E3219" s="21" t="n">
        <x:f>IF('Rights Register'!H261=1,1,0)</x:f>
        <x:v>1</x:v>
      </x:c>
      <x:c r="F3219" s="21" t="n">
        <x:v>1</x:v>
      </x:c>
      <x:c r="G3219" s="23" t="str">
        <x:f>IF(E3219=F3219,"PASS","FAIL")</x:f>
        <x:v>PASS</x:v>
      </x:c>
    </x:row>
    <x:row r="3220">
      <x:c r="B3220" s="21" t="str">
        <x:v>A3214</x:v>
      </x:c>
      <x:c r="C3220" s="21" t="str">
        <x:v>rights</x:v>
      </x:c>
      <x:c r="D3220" s="21" t="str">
        <x:v>right 261 evidence open</x:v>
      </x:c>
      <x:c r="E3220" s="21" t="n">
        <x:f>IF('Rights Register'!I261="OPEN",1,0)</x:f>
        <x:v>1</x:v>
      </x:c>
      <x:c r="F3220" s="21" t="n">
        <x:v>1</x:v>
      </x:c>
      <x:c r="G3220" s="23" t="str">
        <x:f>IF(E3220=F3220,"PASS","FAIL")</x:f>
        <x:v>PASS</x:v>
      </x:c>
    </x:row>
    <x:row r="3221">
      <x:c r="B3221" s="21" t="str">
        <x:v>A3215</x:v>
      </x:c>
      <x:c r="C3221" s="21" t="str">
        <x:v>rights</x:v>
      </x:c>
      <x:c r="D3221" s="21" t="str">
        <x:v>right 261 zero credit</x:v>
      </x:c>
      <x:c r="E3221" s="21" t="n">
        <x:f>IF('Rights Register'!J261=0,1,0)</x:f>
        <x:v>1</x:v>
      </x:c>
      <x:c r="F3221" s="21" t="n">
        <x:v>1</x:v>
      </x:c>
      <x:c r="G3221" s="23" t="str">
        <x:f>IF(E3221=F3221,"PASS","FAIL")</x:f>
        <x:v>PASS</x:v>
      </x:c>
    </x:row>
    <x:row r="3222">
      <x:c r="B3222" s="21" t="str">
        <x:v>A3216</x:v>
      </x:c>
      <x:c r="C3222" s="21" t="str">
        <x:v>rights</x:v>
      </x:c>
      <x:c r="D3222" s="21" t="str">
        <x:v>right 262 required</x:v>
      </x:c>
      <x:c r="E3222" s="21" t="n">
        <x:f>IF('Rights Register'!G262=1,1,0)</x:f>
        <x:v>1</x:v>
      </x:c>
      <x:c r="F3222" s="21" t="n">
        <x:v>1</x:v>
      </x:c>
      <x:c r="G3222" s="23" t="str">
        <x:f>IF(E3222=F3222,"PASS","FAIL")</x:f>
        <x:v>PASS</x:v>
      </x:c>
    </x:row>
    <x:row r="3223">
      <x:c r="B3223" s="21" t="str">
        <x:v>A3217</x:v>
      </x:c>
      <x:c r="C3223" s="21" t="str">
        <x:v>rights</x:v>
      </x:c>
      <x:c r="D3223" s="21" t="str">
        <x:v>right 262 offered</x:v>
      </x:c>
      <x:c r="E3223" s="21" t="n">
        <x:f>IF('Rights Register'!H262=1,1,0)</x:f>
        <x:v>1</x:v>
      </x:c>
      <x:c r="F3223" s="21" t="n">
        <x:v>1</x:v>
      </x:c>
      <x:c r="G3223" s="23" t="str">
        <x:f>IF(E3223=F3223,"PASS","FAIL")</x:f>
        <x:v>PASS</x:v>
      </x:c>
    </x:row>
    <x:row r="3224">
      <x:c r="B3224" s="21" t="str">
        <x:v>A3218</x:v>
      </x:c>
      <x:c r="C3224" s="21" t="str">
        <x:v>rights</x:v>
      </x:c>
      <x:c r="D3224" s="21" t="str">
        <x:v>right 262 evidence open</x:v>
      </x:c>
      <x:c r="E3224" s="21" t="n">
        <x:f>IF('Rights Register'!I262="OPEN",1,0)</x:f>
        <x:v>1</x:v>
      </x:c>
      <x:c r="F3224" s="21" t="n">
        <x:v>1</x:v>
      </x:c>
      <x:c r="G3224" s="23" t="str">
        <x:f>IF(E3224=F3224,"PASS","FAIL")</x:f>
        <x:v>PASS</x:v>
      </x:c>
    </x:row>
    <x:row r="3225">
      <x:c r="B3225" s="21" t="str">
        <x:v>A3219</x:v>
      </x:c>
      <x:c r="C3225" s="21" t="str">
        <x:v>rights</x:v>
      </x:c>
      <x:c r="D3225" s="21" t="str">
        <x:v>right 262 zero credit</x:v>
      </x:c>
      <x:c r="E3225" s="21" t="n">
        <x:f>IF('Rights Register'!J262=0,1,0)</x:f>
        <x:v>1</x:v>
      </x:c>
      <x:c r="F3225" s="21" t="n">
        <x:v>1</x:v>
      </x:c>
      <x:c r="G3225" s="23" t="str">
        <x:f>IF(E3225=F3225,"PASS","FAIL")</x:f>
        <x:v>PASS</x:v>
      </x:c>
    </x:row>
    <x:row r="3226">
      <x:c r="B3226" s="21" t="str">
        <x:v>A3220</x:v>
      </x:c>
      <x:c r="C3226" s="21" t="str">
        <x:v>rights</x:v>
      </x:c>
      <x:c r="D3226" s="21" t="str">
        <x:v>right 263 required</x:v>
      </x:c>
      <x:c r="E3226" s="21" t="n">
        <x:f>IF('Rights Register'!G263=1,1,0)</x:f>
        <x:v>1</x:v>
      </x:c>
      <x:c r="F3226" s="21" t="n">
        <x:v>1</x:v>
      </x:c>
      <x:c r="G3226" s="23" t="str">
        <x:f>IF(E3226=F3226,"PASS","FAIL")</x:f>
        <x:v>PASS</x:v>
      </x:c>
    </x:row>
    <x:row r="3227">
      <x:c r="B3227" s="21" t="str">
        <x:v>A3221</x:v>
      </x:c>
      <x:c r="C3227" s="21" t="str">
        <x:v>rights</x:v>
      </x:c>
      <x:c r="D3227" s="21" t="str">
        <x:v>right 263 offered</x:v>
      </x:c>
      <x:c r="E3227" s="21" t="n">
        <x:f>IF('Rights Register'!H263=1,1,0)</x:f>
        <x:v>1</x:v>
      </x:c>
      <x:c r="F3227" s="21" t="n">
        <x:v>1</x:v>
      </x:c>
      <x:c r="G3227" s="23" t="str">
        <x:f>IF(E3227=F3227,"PASS","FAIL")</x:f>
        <x:v>PASS</x:v>
      </x:c>
    </x:row>
    <x:row r="3228">
      <x:c r="B3228" s="21" t="str">
        <x:v>A3222</x:v>
      </x:c>
      <x:c r="C3228" s="21" t="str">
        <x:v>rights</x:v>
      </x:c>
      <x:c r="D3228" s="21" t="str">
        <x:v>right 263 evidence open</x:v>
      </x:c>
      <x:c r="E3228" s="21" t="n">
        <x:f>IF('Rights Register'!I263="OPEN",1,0)</x:f>
        <x:v>1</x:v>
      </x:c>
      <x:c r="F3228" s="21" t="n">
        <x:v>1</x:v>
      </x:c>
      <x:c r="G3228" s="23" t="str">
        <x:f>IF(E3228=F3228,"PASS","FAIL")</x:f>
        <x:v>PASS</x:v>
      </x:c>
    </x:row>
    <x:row r="3229">
      <x:c r="B3229" s="21" t="str">
        <x:v>A3223</x:v>
      </x:c>
      <x:c r="C3229" s="21" t="str">
        <x:v>rights</x:v>
      </x:c>
      <x:c r="D3229" s="21" t="str">
        <x:v>right 263 zero credit</x:v>
      </x:c>
      <x:c r="E3229" s="21" t="n">
        <x:f>IF('Rights Register'!J263=0,1,0)</x:f>
        <x:v>1</x:v>
      </x:c>
      <x:c r="F3229" s="21" t="n">
        <x:v>1</x:v>
      </x:c>
      <x:c r="G3229" s="23" t="str">
        <x:f>IF(E3229=F3229,"PASS","FAIL")</x:f>
        <x:v>PASS</x:v>
      </x:c>
    </x:row>
    <x:row r="3230">
      <x:c r="B3230" s="21" t="str">
        <x:v>A3224</x:v>
      </x:c>
      <x:c r="C3230" s="21" t="str">
        <x:v>rights</x:v>
      </x:c>
      <x:c r="D3230" s="21" t="str">
        <x:v>right 264 required</x:v>
      </x:c>
      <x:c r="E3230" s="21" t="n">
        <x:f>IF('Rights Register'!G264=1,1,0)</x:f>
        <x:v>1</x:v>
      </x:c>
      <x:c r="F3230" s="21" t="n">
        <x:v>1</x:v>
      </x:c>
      <x:c r="G3230" s="23" t="str">
        <x:f>IF(E3230=F3230,"PASS","FAIL")</x:f>
        <x:v>PASS</x:v>
      </x:c>
    </x:row>
    <x:row r="3231">
      <x:c r="B3231" s="21" t="str">
        <x:v>A3225</x:v>
      </x:c>
      <x:c r="C3231" s="21" t="str">
        <x:v>rights</x:v>
      </x:c>
      <x:c r="D3231" s="21" t="str">
        <x:v>right 264 offered</x:v>
      </x:c>
      <x:c r="E3231" s="21" t="n">
        <x:f>IF('Rights Register'!H264=1,1,0)</x:f>
        <x:v>1</x:v>
      </x:c>
      <x:c r="F3231" s="21" t="n">
        <x:v>1</x:v>
      </x:c>
      <x:c r="G3231" s="23" t="str">
        <x:f>IF(E3231=F3231,"PASS","FAIL")</x:f>
        <x:v>PASS</x:v>
      </x:c>
    </x:row>
    <x:row r="3232">
      <x:c r="B3232" s="21" t="str">
        <x:v>A3226</x:v>
      </x:c>
      <x:c r="C3232" s="21" t="str">
        <x:v>rights</x:v>
      </x:c>
      <x:c r="D3232" s="21" t="str">
        <x:v>right 264 evidence open</x:v>
      </x:c>
      <x:c r="E3232" s="21" t="n">
        <x:f>IF('Rights Register'!I264="OPEN",1,0)</x:f>
        <x:v>1</x:v>
      </x:c>
      <x:c r="F3232" s="21" t="n">
        <x:v>1</x:v>
      </x:c>
      <x:c r="G3232" s="23" t="str">
        <x:f>IF(E3232=F3232,"PASS","FAIL")</x:f>
        <x:v>PASS</x:v>
      </x:c>
    </x:row>
    <x:row r="3233">
      <x:c r="B3233" s="21" t="str">
        <x:v>A3227</x:v>
      </x:c>
      <x:c r="C3233" s="21" t="str">
        <x:v>rights</x:v>
      </x:c>
      <x:c r="D3233" s="21" t="str">
        <x:v>right 264 zero credit</x:v>
      </x:c>
      <x:c r="E3233" s="21" t="n">
        <x:f>IF('Rights Register'!J264=0,1,0)</x:f>
        <x:v>1</x:v>
      </x:c>
      <x:c r="F3233" s="21" t="n">
        <x:v>1</x:v>
      </x:c>
      <x:c r="G3233" s="23" t="str">
        <x:f>IF(E3233=F3233,"PASS","FAIL")</x:f>
        <x:v>PASS</x:v>
      </x:c>
    </x:row>
    <x:row r="3234">
      <x:c r="B3234" s="21" t="str">
        <x:v>A3228</x:v>
      </x:c>
      <x:c r="C3234" s="21" t="str">
        <x:v>rights</x:v>
      </x:c>
      <x:c r="D3234" s="21" t="str">
        <x:v>right 265 required</x:v>
      </x:c>
      <x:c r="E3234" s="21" t="n">
        <x:f>IF('Rights Register'!G265=1,1,0)</x:f>
        <x:v>1</x:v>
      </x:c>
      <x:c r="F3234" s="21" t="n">
        <x:v>1</x:v>
      </x:c>
      <x:c r="G3234" s="23" t="str">
        <x:f>IF(E3234=F3234,"PASS","FAIL")</x:f>
        <x:v>PASS</x:v>
      </x:c>
    </x:row>
    <x:row r="3235">
      <x:c r="B3235" s="21" t="str">
        <x:v>A3229</x:v>
      </x:c>
      <x:c r="C3235" s="21" t="str">
        <x:v>rights</x:v>
      </x:c>
      <x:c r="D3235" s="21" t="str">
        <x:v>right 265 offered</x:v>
      </x:c>
      <x:c r="E3235" s="21" t="n">
        <x:f>IF('Rights Register'!H265=1,1,0)</x:f>
        <x:v>1</x:v>
      </x:c>
      <x:c r="F3235" s="21" t="n">
        <x:v>1</x:v>
      </x:c>
      <x:c r="G3235" s="23" t="str">
        <x:f>IF(E3235=F3235,"PASS","FAIL")</x:f>
        <x:v>PASS</x:v>
      </x:c>
    </x:row>
    <x:row r="3236">
      <x:c r="B3236" s="21" t="str">
        <x:v>A3230</x:v>
      </x:c>
      <x:c r="C3236" s="21" t="str">
        <x:v>rights</x:v>
      </x:c>
      <x:c r="D3236" s="21" t="str">
        <x:v>right 265 evidence open</x:v>
      </x:c>
      <x:c r="E3236" s="21" t="n">
        <x:f>IF('Rights Register'!I265="OPEN",1,0)</x:f>
        <x:v>1</x:v>
      </x:c>
      <x:c r="F3236" s="21" t="n">
        <x:v>1</x:v>
      </x:c>
      <x:c r="G3236" s="23" t="str">
        <x:f>IF(E3236=F3236,"PASS","FAIL")</x:f>
        <x:v>PASS</x:v>
      </x:c>
    </x:row>
    <x:row r="3237">
      <x:c r="B3237" s="21" t="str">
        <x:v>A3231</x:v>
      </x:c>
      <x:c r="C3237" s="21" t="str">
        <x:v>rights</x:v>
      </x:c>
      <x:c r="D3237" s="21" t="str">
        <x:v>right 265 zero credit</x:v>
      </x:c>
      <x:c r="E3237" s="21" t="n">
        <x:f>IF('Rights Register'!J265=0,1,0)</x:f>
        <x:v>1</x:v>
      </x:c>
      <x:c r="F3237" s="21" t="n">
        <x:v>1</x:v>
      </x:c>
      <x:c r="G3237" s="23" t="str">
        <x:f>IF(E3237=F3237,"PASS","FAIL")</x:f>
        <x:v>PASS</x:v>
      </x:c>
    </x:row>
    <x:row r="3238">
      <x:c r="B3238" s="21" t="str">
        <x:v>A3232</x:v>
      </x:c>
      <x:c r="C3238" s="21" t="str">
        <x:v>rights</x:v>
      </x:c>
      <x:c r="D3238" s="21" t="str">
        <x:v>right 266 required</x:v>
      </x:c>
      <x:c r="E3238" s="21" t="n">
        <x:f>IF('Rights Register'!G266=1,1,0)</x:f>
        <x:v>1</x:v>
      </x:c>
      <x:c r="F3238" s="21" t="n">
        <x:v>1</x:v>
      </x:c>
      <x:c r="G3238" s="23" t="str">
        <x:f>IF(E3238=F3238,"PASS","FAIL")</x:f>
        <x:v>PASS</x:v>
      </x:c>
    </x:row>
    <x:row r="3239">
      <x:c r="B3239" s="21" t="str">
        <x:v>A3233</x:v>
      </x:c>
      <x:c r="C3239" s="21" t="str">
        <x:v>rights</x:v>
      </x:c>
      <x:c r="D3239" s="21" t="str">
        <x:v>right 266 offered</x:v>
      </x:c>
      <x:c r="E3239" s="21" t="n">
        <x:f>IF('Rights Register'!H266=1,1,0)</x:f>
        <x:v>1</x:v>
      </x:c>
      <x:c r="F3239" s="21" t="n">
        <x:v>1</x:v>
      </x:c>
      <x:c r="G3239" s="23" t="str">
        <x:f>IF(E3239=F3239,"PASS","FAIL")</x:f>
        <x:v>PASS</x:v>
      </x:c>
    </x:row>
    <x:row r="3240">
      <x:c r="B3240" s="21" t="str">
        <x:v>A3234</x:v>
      </x:c>
      <x:c r="C3240" s="21" t="str">
        <x:v>rights</x:v>
      </x:c>
      <x:c r="D3240" s="21" t="str">
        <x:v>right 266 evidence open</x:v>
      </x:c>
      <x:c r="E3240" s="21" t="n">
        <x:f>IF('Rights Register'!I266="OPEN",1,0)</x:f>
        <x:v>1</x:v>
      </x:c>
      <x:c r="F3240" s="21" t="n">
        <x:v>1</x:v>
      </x:c>
      <x:c r="G3240" s="23" t="str">
        <x:f>IF(E3240=F3240,"PASS","FAIL")</x:f>
        <x:v>PASS</x:v>
      </x:c>
    </x:row>
    <x:row r="3241">
      <x:c r="B3241" s="21" t="str">
        <x:v>A3235</x:v>
      </x:c>
      <x:c r="C3241" s="21" t="str">
        <x:v>rights</x:v>
      </x:c>
      <x:c r="D3241" s="21" t="str">
        <x:v>right 266 zero credit</x:v>
      </x:c>
      <x:c r="E3241" s="21" t="n">
        <x:f>IF('Rights Register'!J266=0,1,0)</x:f>
        <x:v>1</x:v>
      </x:c>
      <x:c r="F3241" s="21" t="n">
        <x:v>1</x:v>
      </x:c>
      <x:c r="G3241" s="23" t="str">
        <x:f>IF(E3241=F3241,"PASS","FAIL")</x:f>
        <x:v>PASS</x:v>
      </x:c>
    </x:row>
    <x:row r="3242">
      <x:c r="B3242" s="21" t="str">
        <x:v>A3236</x:v>
      </x:c>
      <x:c r="C3242" s="21" t="str">
        <x:v>rights</x:v>
      </x:c>
      <x:c r="D3242" s="21" t="str">
        <x:v>right 267 required</x:v>
      </x:c>
      <x:c r="E3242" s="21" t="n">
        <x:f>IF('Rights Register'!G267=1,1,0)</x:f>
        <x:v>1</x:v>
      </x:c>
      <x:c r="F3242" s="21" t="n">
        <x:v>1</x:v>
      </x:c>
      <x:c r="G3242" s="23" t="str">
        <x:f>IF(E3242=F3242,"PASS","FAIL")</x:f>
        <x:v>PASS</x:v>
      </x:c>
    </x:row>
    <x:row r="3243">
      <x:c r="B3243" s="21" t="str">
        <x:v>A3237</x:v>
      </x:c>
      <x:c r="C3243" s="21" t="str">
        <x:v>rights</x:v>
      </x:c>
      <x:c r="D3243" s="21" t="str">
        <x:v>right 267 offered</x:v>
      </x:c>
      <x:c r="E3243" s="21" t="n">
        <x:f>IF('Rights Register'!H267=1,1,0)</x:f>
        <x:v>1</x:v>
      </x:c>
      <x:c r="F3243" s="21" t="n">
        <x:v>1</x:v>
      </x:c>
      <x:c r="G3243" s="23" t="str">
        <x:f>IF(E3243=F3243,"PASS","FAIL")</x:f>
        <x:v>PASS</x:v>
      </x:c>
    </x:row>
    <x:row r="3244">
      <x:c r="B3244" s="21" t="str">
        <x:v>A3238</x:v>
      </x:c>
      <x:c r="C3244" s="21" t="str">
        <x:v>rights</x:v>
      </x:c>
      <x:c r="D3244" s="21" t="str">
        <x:v>right 267 evidence open</x:v>
      </x:c>
      <x:c r="E3244" s="21" t="n">
        <x:f>IF('Rights Register'!I267="OPEN",1,0)</x:f>
        <x:v>1</x:v>
      </x:c>
      <x:c r="F3244" s="21" t="n">
        <x:v>1</x:v>
      </x:c>
      <x:c r="G3244" s="23" t="str">
        <x:f>IF(E3244=F3244,"PASS","FAIL")</x:f>
        <x:v>PASS</x:v>
      </x:c>
    </x:row>
    <x:row r="3245">
      <x:c r="B3245" s="21" t="str">
        <x:v>A3239</x:v>
      </x:c>
      <x:c r="C3245" s="21" t="str">
        <x:v>rights</x:v>
      </x:c>
      <x:c r="D3245" s="21" t="str">
        <x:v>right 267 zero credit</x:v>
      </x:c>
      <x:c r="E3245" s="21" t="n">
        <x:f>IF('Rights Register'!J267=0,1,0)</x:f>
        <x:v>1</x:v>
      </x:c>
      <x:c r="F3245" s="21" t="n">
        <x:v>1</x:v>
      </x:c>
      <x:c r="G3245" s="23" t="str">
        <x:f>IF(E3245=F3245,"PASS","FAIL")</x:f>
        <x:v>PASS</x:v>
      </x:c>
    </x:row>
    <x:row r="3246">
      <x:c r="B3246" s="21" t="str">
        <x:v>A3240</x:v>
      </x:c>
      <x:c r="C3246" s="21" t="str">
        <x:v>rights</x:v>
      </x:c>
      <x:c r="D3246" s="21" t="str">
        <x:v>right 268 required</x:v>
      </x:c>
      <x:c r="E3246" s="21" t="n">
        <x:f>IF('Rights Register'!G268=1,1,0)</x:f>
        <x:v>1</x:v>
      </x:c>
      <x:c r="F3246" s="21" t="n">
        <x:v>1</x:v>
      </x:c>
      <x:c r="G3246" s="23" t="str">
        <x:f>IF(E3246=F3246,"PASS","FAIL")</x:f>
        <x:v>PASS</x:v>
      </x:c>
    </x:row>
    <x:row r="3247">
      <x:c r="B3247" s="21" t="str">
        <x:v>A3241</x:v>
      </x:c>
      <x:c r="C3247" s="21" t="str">
        <x:v>rights</x:v>
      </x:c>
      <x:c r="D3247" s="21" t="str">
        <x:v>right 268 offered</x:v>
      </x:c>
      <x:c r="E3247" s="21" t="n">
        <x:f>IF('Rights Register'!H268=1,1,0)</x:f>
        <x:v>1</x:v>
      </x:c>
      <x:c r="F3247" s="21" t="n">
        <x:v>1</x:v>
      </x:c>
      <x:c r="G3247" s="23" t="str">
        <x:f>IF(E3247=F3247,"PASS","FAIL")</x:f>
        <x:v>PASS</x:v>
      </x:c>
    </x:row>
    <x:row r="3248">
      <x:c r="B3248" s="21" t="str">
        <x:v>A3242</x:v>
      </x:c>
      <x:c r="C3248" s="21" t="str">
        <x:v>rights</x:v>
      </x:c>
      <x:c r="D3248" s="21" t="str">
        <x:v>right 268 evidence open</x:v>
      </x:c>
      <x:c r="E3248" s="21" t="n">
        <x:f>IF('Rights Register'!I268="OPEN",1,0)</x:f>
        <x:v>1</x:v>
      </x:c>
      <x:c r="F3248" s="21" t="n">
        <x:v>1</x:v>
      </x:c>
      <x:c r="G3248" s="23" t="str">
        <x:f>IF(E3248=F3248,"PASS","FAIL")</x:f>
        <x:v>PASS</x:v>
      </x:c>
    </x:row>
    <x:row r="3249">
      <x:c r="B3249" s="21" t="str">
        <x:v>A3243</x:v>
      </x:c>
      <x:c r="C3249" s="21" t="str">
        <x:v>rights</x:v>
      </x:c>
      <x:c r="D3249" s="21" t="str">
        <x:v>right 268 zero credit</x:v>
      </x:c>
      <x:c r="E3249" s="21" t="n">
        <x:f>IF('Rights Register'!J268=0,1,0)</x:f>
        <x:v>1</x:v>
      </x:c>
      <x:c r="F3249" s="21" t="n">
        <x:v>1</x:v>
      </x:c>
      <x:c r="G3249" s="23" t="str">
        <x:f>IF(E3249=F3249,"PASS","FAIL")</x:f>
        <x:v>PASS</x:v>
      </x:c>
    </x:row>
    <x:row r="3250">
      <x:c r="B3250" s="21" t="str">
        <x:v>A3244</x:v>
      </x:c>
      <x:c r="C3250" s="21" t="str">
        <x:v>rights</x:v>
      </x:c>
      <x:c r="D3250" s="21" t="str">
        <x:v>right 269 required</x:v>
      </x:c>
      <x:c r="E3250" s="21" t="n">
        <x:f>IF('Rights Register'!G269=1,1,0)</x:f>
        <x:v>1</x:v>
      </x:c>
      <x:c r="F3250" s="21" t="n">
        <x:v>1</x:v>
      </x:c>
      <x:c r="G3250" s="23" t="str">
        <x:f>IF(E3250=F3250,"PASS","FAIL")</x:f>
        <x:v>PASS</x:v>
      </x:c>
    </x:row>
    <x:row r="3251">
      <x:c r="B3251" s="21" t="str">
        <x:v>A3245</x:v>
      </x:c>
      <x:c r="C3251" s="21" t="str">
        <x:v>rights</x:v>
      </x:c>
      <x:c r="D3251" s="21" t="str">
        <x:v>right 269 offered</x:v>
      </x:c>
      <x:c r="E3251" s="21" t="n">
        <x:f>IF('Rights Register'!H269=1,1,0)</x:f>
        <x:v>1</x:v>
      </x:c>
      <x:c r="F3251" s="21" t="n">
        <x:v>1</x:v>
      </x:c>
      <x:c r="G3251" s="23" t="str">
        <x:f>IF(E3251=F3251,"PASS","FAIL")</x:f>
        <x:v>PASS</x:v>
      </x:c>
    </x:row>
    <x:row r="3252">
      <x:c r="B3252" s="21" t="str">
        <x:v>A3246</x:v>
      </x:c>
      <x:c r="C3252" s="21" t="str">
        <x:v>rights</x:v>
      </x:c>
      <x:c r="D3252" s="21" t="str">
        <x:v>right 269 evidence open</x:v>
      </x:c>
      <x:c r="E3252" s="21" t="n">
        <x:f>IF('Rights Register'!I269="OPEN",1,0)</x:f>
        <x:v>1</x:v>
      </x:c>
      <x:c r="F3252" s="21" t="n">
        <x:v>1</x:v>
      </x:c>
      <x:c r="G3252" s="23" t="str">
        <x:f>IF(E3252=F3252,"PASS","FAIL")</x:f>
        <x:v>PASS</x:v>
      </x:c>
    </x:row>
    <x:row r="3253">
      <x:c r="B3253" s="21" t="str">
        <x:v>A3247</x:v>
      </x:c>
      <x:c r="C3253" s="21" t="str">
        <x:v>rights</x:v>
      </x:c>
      <x:c r="D3253" s="21" t="str">
        <x:v>right 269 zero credit</x:v>
      </x:c>
      <x:c r="E3253" s="21" t="n">
        <x:f>IF('Rights Register'!J269=0,1,0)</x:f>
        <x:v>1</x:v>
      </x:c>
      <x:c r="F3253" s="21" t="n">
        <x:v>1</x:v>
      </x:c>
      <x:c r="G3253" s="23" t="str">
        <x:f>IF(E3253=F3253,"PASS","FAIL")</x:f>
        <x:v>PASS</x:v>
      </x:c>
    </x:row>
    <x:row r="3254">
      <x:c r="B3254" s="21" t="str">
        <x:v>A3248</x:v>
      </x:c>
      <x:c r="C3254" s="21" t="str">
        <x:v>rights</x:v>
      </x:c>
      <x:c r="D3254" s="21" t="str">
        <x:v>right 270 required</x:v>
      </x:c>
      <x:c r="E3254" s="21" t="n">
        <x:f>IF('Rights Register'!G270=1,1,0)</x:f>
        <x:v>1</x:v>
      </x:c>
      <x:c r="F3254" s="21" t="n">
        <x:v>1</x:v>
      </x:c>
      <x:c r="G3254" s="23" t="str">
        <x:f>IF(E3254=F3254,"PASS","FAIL")</x:f>
        <x:v>PASS</x:v>
      </x:c>
    </x:row>
    <x:row r="3255">
      <x:c r="B3255" s="21" t="str">
        <x:v>A3249</x:v>
      </x:c>
      <x:c r="C3255" s="21" t="str">
        <x:v>rights</x:v>
      </x:c>
      <x:c r="D3255" s="21" t="str">
        <x:v>right 270 offered</x:v>
      </x:c>
      <x:c r="E3255" s="21" t="n">
        <x:f>IF('Rights Register'!H270=1,1,0)</x:f>
        <x:v>1</x:v>
      </x:c>
      <x:c r="F3255" s="21" t="n">
        <x:v>1</x:v>
      </x:c>
      <x:c r="G3255" s="23" t="str">
        <x:f>IF(E3255=F3255,"PASS","FAIL")</x:f>
        <x:v>PASS</x:v>
      </x:c>
    </x:row>
    <x:row r="3256">
      <x:c r="B3256" s="21" t="str">
        <x:v>A3250</x:v>
      </x:c>
      <x:c r="C3256" s="21" t="str">
        <x:v>rights</x:v>
      </x:c>
      <x:c r="D3256" s="21" t="str">
        <x:v>right 270 evidence open</x:v>
      </x:c>
      <x:c r="E3256" s="21" t="n">
        <x:f>IF('Rights Register'!I270="OPEN",1,0)</x:f>
        <x:v>1</x:v>
      </x:c>
      <x:c r="F3256" s="21" t="n">
        <x:v>1</x:v>
      </x:c>
      <x:c r="G3256" s="23" t="str">
        <x:f>IF(E3256=F3256,"PASS","FAIL")</x:f>
        <x:v>PASS</x:v>
      </x:c>
    </x:row>
    <x:row r="3257">
      <x:c r="B3257" s="21" t="str">
        <x:v>A3251</x:v>
      </x:c>
      <x:c r="C3257" s="21" t="str">
        <x:v>rights</x:v>
      </x:c>
      <x:c r="D3257" s="21" t="str">
        <x:v>right 270 zero credit</x:v>
      </x:c>
      <x:c r="E3257" s="21" t="n">
        <x:f>IF('Rights Register'!J270=0,1,0)</x:f>
        <x:v>1</x:v>
      </x:c>
      <x:c r="F3257" s="21" t="n">
        <x:v>1</x:v>
      </x:c>
      <x:c r="G3257" s="23" t="str">
        <x:f>IF(E3257=F3257,"PASS","FAIL")</x:f>
        <x:v>PASS</x:v>
      </x:c>
    </x:row>
    <x:row r="3258">
      <x:c r="B3258" s="21" t="str">
        <x:v>A3252</x:v>
      </x:c>
      <x:c r="C3258" s="21" t="str">
        <x:v>lots</x:v>
      </x:c>
      <x:c r="D3258" s="21" t="str">
        <x:v>lot 7 positive quantity</x:v>
      </x:c>
      <x:c r="E3258" s="21" t="n">
        <x:f>IF('Article Lots'!G7&gt;0,1,0)</x:f>
        <x:v>1</x:v>
      </x:c>
      <x:c r="F3258" s="21" t="n">
        <x:v>1</x:v>
      </x:c>
      <x:c r="G3258" s="23" t="str">
        <x:f>IF(E3258=F3258,"PASS","FAIL")</x:f>
        <x:v>PASS</x:v>
      </x:c>
    </x:row>
    <x:row r="3259">
      <x:c r="B3259" s="21" t="str">
        <x:v>A3253</x:v>
      </x:c>
      <x:c r="C3259" s="21" t="str">
        <x:v>lots</x:v>
      </x:c>
      <x:c r="D3259" s="21" t="str">
        <x:v>lot 7 cost formula</x:v>
      </x:c>
      <x:c r="E3259" s="21" t="n">
        <x:f>IF(ABS('Article Lots'!I7-'Article Lots'!G7*'Article Lots'!H7/1000)&lt;0.000001,1,0)</x:f>
        <x:v>1</x:v>
      </x:c>
      <x:c r="F3259" s="21" t="n">
        <x:v>1</x:v>
      </x:c>
      <x:c r="G3259" s="23" t="str">
        <x:f>IF(E3259=F3259,"PASS","FAIL")</x:f>
        <x:v>PASS</x:v>
      </x:c>
    </x:row>
    <x:row r="3260">
      <x:c r="B3260" s="21" t="str">
        <x:v>A3254</x:v>
      </x:c>
      <x:c r="C3260" s="21" t="str">
        <x:v>lots</x:v>
      </x:c>
      <x:c r="D3260" s="21" t="str">
        <x:v>lot 7 schedule margin</x:v>
      </x:c>
      <x:c r="E3260" s="21" t="n">
        <x:f>IF('Article Lots'!L7='Article Lots'!K7-'Article Lots'!J7,1,0)</x:f>
        <x:v>1</x:v>
      </x:c>
      <x:c r="F3260" s="21" t="n">
        <x:v>1</x:v>
      </x:c>
      <x:c r="G3260" s="23" t="str">
        <x:f>IF(E3260=F3260,"PASS","FAIL")</x:f>
        <x:v>PASS</x:v>
      </x:c>
    </x:row>
    <x:row r="3261">
      <x:c r="B3261" s="21" t="str">
        <x:v>A3255</x:v>
      </x:c>
      <x:c r="C3261" s="21" t="str">
        <x:v>lots</x:v>
      </x:c>
      <x:c r="D3261" s="21" t="str">
        <x:v>lot 7 released before need</x:v>
      </x:c>
      <x:c r="E3261" s="21" t="n">
        <x:f>IF('Article Lots'!J7&lt;'Article Lots'!K7,1,0)</x:f>
        <x:v>1</x:v>
      </x:c>
      <x:c r="F3261" s="21" t="n">
        <x:v>1</x:v>
      </x:c>
      <x:c r="G3261" s="23" t="str">
        <x:f>IF(E3261=F3261,"PASS","FAIL")</x:f>
        <x:v>PASS</x:v>
      </x:c>
    </x:row>
    <x:row r="3262">
      <x:c r="B3262" s="21" t="str">
        <x:v>A3256</x:v>
      </x:c>
      <x:c r="C3262" s="21" t="str">
        <x:v>lots</x:v>
      </x:c>
      <x:c r="D3262" s="21" t="str">
        <x:v>lot 7 evidence open</x:v>
      </x:c>
      <x:c r="E3262" s="21" t="n">
        <x:f>IF('Article Lots'!N7="OPEN",1,0)</x:f>
        <x:v>1</x:v>
      </x:c>
      <x:c r="F3262" s="21" t="n">
        <x:v>1</x:v>
      </x:c>
      <x:c r="G3262" s="23" t="str">
        <x:f>IF(E3262=F3262,"PASS","FAIL")</x:f>
        <x:v>PASS</x:v>
      </x:c>
    </x:row>
    <x:row r="3263">
      <x:c r="B3263" s="21" t="str">
        <x:v>A3257</x:v>
      </x:c>
      <x:c r="C3263" s="21" t="str">
        <x:v>lots</x:v>
      </x:c>
      <x:c r="D3263" s="21" t="str">
        <x:v>lot 8 positive quantity</x:v>
      </x:c>
      <x:c r="E3263" s="21" t="n">
        <x:f>IF('Article Lots'!G8&gt;0,1,0)</x:f>
        <x:v>1</x:v>
      </x:c>
      <x:c r="F3263" s="21" t="n">
        <x:v>1</x:v>
      </x:c>
      <x:c r="G3263" s="23" t="str">
        <x:f>IF(E3263=F3263,"PASS","FAIL")</x:f>
        <x:v>PASS</x:v>
      </x:c>
    </x:row>
    <x:row r="3264">
      <x:c r="B3264" s="21" t="str">
        <x:v>A3258</x:v>
      </x:c>
      <x:c r="C3264" s="21" t="str">
        <x:v>lots</x:v>
      </x:c>
      <x:c r="D3264" s="21" t="str">
        <x:v>lot 8 cost formula</x:v>
      </x:c>
      <x:c r="E3264" s="21" t="n">
        <x:f>IF(ABS('Article Lots'!I8-'Article Lots'!G8*'Article Lots'!H8/1000)&lt;0.000001,1,0)</x:f>
        <x:v>1</x:v>
      </x:c>
      <x:c r="F3264" s="21" t="n">
        <x:v>1</x:v>
      </x:c>
      <x:c r="G3264" s="23" t="str">
        <x:f>IF(E3264=F3264,"PASS","FAIL")</x:f>
        <x:v>PASS</x:v>
      </x:c>
    </x:row>
    <x:row r="3265">
      <x:c r="B3265" s="21" t="str">
        <x:v>A3259</x:v>
      </x:c>
      <x:c r="C3265" s="21" t="str">
        <x:v>lots</x:v>
      </x:c>
      <x:c r="D3265" s="21" t="str">
        <x:v>lot 8 schedule margin</x:v>
      </x:c>
      <x:c r="E3265" s="21" t="n">
        <x:f>IF('Article Lots'!L8='Article Lots'!K8-'Article Lots'!J8,1,0)</x:f>
        <x:v>1</x:v>
      </x:c>
      <x:c r="F3265" s="21" t="n">
        <x:v>1</x:v>
      </x:c>
      <x:c r="G3265" s="23" t="str">
        <x:f>IF(E3265=F3265,"PASS","FAIL")</x:f>
        <x:v>PASS</x:v>
      </x:c>
    </x:row>
    <x:row r="3266">
      <x:c r="B3266" s="21" t="str">
        <x:v>A3260</x:v>
      </x:c>
      <x:c r="C3266" s="21" t="str">
        <x:v>lots</x:v>
      </x:c>
      <x:c r="D3266" s="21" t="str">
        <x:v>lot 8 released before need</x:v>
      </x:c>
      <x:c r="E3266" s="21" t="n">
        <x:f>IF('Article Lots'!J8&lt;'Article Lots'!K8,1,0)</x:f>
        <x:v>1</x:v>
      </x:c>
      <x:c r="F3266" s="21" t="n">
        <x:v>1</x:v>
      </x:c>
      <x:c r="G3266" s="23" t="str">
        <x:f>IF(E3266=F3266,"PASS","FAIL")</x:f>
        <x:v>PASS</x:v>
      </x:c>
    </x:row>
    <x:row r="3267">
      <x:c r="B3267" s="21" t="str">
        <x:v>A3261</x:v>
      </x:c>
      <x:c r="C3267" s="21" t="str">
        <x:v>lots</x:v>
      </x:c>
      <x:c r="D3267" s="21" t="str">
        <x:v>lot 8 evidence open</x:v>
      </x:c>
      <x:c r="E3267" s="21" t="n">
        <x:f>IF('Article Lots'!N8="OPEN",1,0)</x:f>
        <x:v>1</x:v>
      </x:c>
      <x:c r="F3267" s="21" t="n">
        <x:v>1</x:v>
      </x:c>
      <x:c r="G3267" s="23" t="str">
        <x:f>IF(E3267=F3267,"PASS","FAIL")</x:f>
        <x:v>PASS</x:v>
      </x:c>
    </x:row>
    <x:row r="3268">
      <x:c r="B3268" s="21" t="str">
        <x:v>A3262</x:v>
      </x:c>
      <x:c r="C3268" s="21" t="str">
        <x:v>lots</x:v>
      </x:c>
      <x:c r="D3268" s="21" t="str">
        <x:v>lot 9 positive quantity</x:v>
      </x:c>
      <x:c r="E3268" s="21" t="n">
        <x:f>IF('Article Lots'!G9&gt;0,1,0)</x:f>
        <x:v>1</x:v>
      </x:c>
      <x:c r="F3268" s="21" t="n">
        <x:v>1</x:v>
      </x:c>
      <x:c r="G3268" s="23" t="str">
        <x:f>IF(E3268=F3268,"PASS","FAIL")</x:f>
        <x:v>PASS</x:v>
      </x:c>
    </x:row>
    <x:row r="3269">
      <x:c r="B3269" s="21" t="str">
        <x:v>A3263</x:v>
      </x:c>
      <x:c r="C3269" s="21" t="str">
        <x:v>lots</x:v>
      </x:c>
      <x:c r="D3269" s="21" t="str">
        <x:v>lot 9 cost formula</x:v>
      </x:c>
      <x:c r="E3269" s="21" t="n">
        <x:f>IF(ABS('Article Lots'!I9-'Article Lots'!G9*'Article Lots'!H9/1000)&lt;0.000001,1,0)</x:f>
        <x:v>1</x:v>
      </x:c>
      <x:c r="F3269" s="21" t="n">
        <x:v>1</x:v>
      </x:c>
      <x:c r="G3269" s="23" t="str">
        <x:f>IF(E3269=F3269,"PASS","FAIL")</x:f>
        <x:v>PASS</x:v>
      </x:c>
    </x:row>
    <x:row r="3270">
      <x:c r="B3270" s="21" t="str">
        <x:v>A3264</x:v>
      </x:c>
      <x:c r="C3270" s="21" t="str">
        <x:v>lots</x:v>
      </x:c>
      <x:c r="D3270" s="21" t="str">
        <x:v>lot 9 schedule margin</x:v>
      </x:c>
      <x:c r="E3270" s="21" t="n">
        <x:f>IF('Article Lots'!L9='Article Lots'!K9-'Article Lots'!J9,1,0)</x:f>
        <x:v>1</x:v>
      </x:c>
      <x:c r="F3270" s="21" t="n">
        <x:v>1</x:v>
      </x:c>
      <x:c r="G3270" s="23" t="str">
        <x:f>IF(E3270=F3270,"PASS","FAIL")</x:f>
        <x:v>PASS</x:v>
      </x:c>
    </x:row>
    <x:row r="3271">
      <x:c r="B3271" s="21" t="str">
        <x:v>A3265</x:v>
      </x:c>
      <x:c r="C3271" s="21" t="str">
        <x:v>lots</x:v>
      </x:c>
      <x:c r="D3271" s="21" t="str">
        <x:v>lot 9 released before need</x:v>
      </x:c>
      <x:c r="E3271" s="21" t="n">
        <x:f>IF('Article Lots'!J9&lt;'Article Lots'!K9,1,0)</x:f>
        <x:v>1</x:v>
      </x:c>
      <x:c r="F3271" s="21" t="n">
        <x:v>1</x:v>
      </x:c>
      <x:c r="G3271" s="23" t="str">
        <x:f>IF(E3271=F3271,"PASS","FAIL")</x:f>
        <x:v>PASS</x:v>
      </x:c>
    </x:row>
    <x:row r="3272">
      <x:c r="B3272" s="21" t="str">
        <x:v>A3266</x:v>
      </x:c>
      <x:c r="C3272" s="21" t="str">
        <x:v>lots</x:v>
      </x:c>
      <x:c r="D3272" s="21" t="str">
        <x:v>lot 9 evidence open</x:v>
      </x:c>
      <x:c r="E3272" s="21" t="n">
        <x:f>IF('Article Lots'!N9="OPEN",1,0)</x:f>
        <x:v>1</x:v>
      </x:c>
      <x:c r="F3272" s="21" t="n">
        <x:v>1</x:v>
      </x:c>
      <x:c r="G3272" s="23" t="str">
        <x:f>IF(E3272=F3272,"PASS","FAIL")</x:f>
        <x:v>PASS</x:v>
      </x:c>
    </x:row>
    <x:row r="3273">
      <x:c r="B3273" s="21" t="str">
        <x:v>A3267</x:v>
      </x:c>
      <x:c r="C3273" s="21" t="str">
        <x:v>lots</x:v>
      </x:c>
      <x:c r="D3273" s="21" t="str">
        <x:v>lot 10 positive quantity</x:v>
      </x:c>
      <x:c r="E3273" s="21" t="n">
        <x:f>IF('Article Lots'!G10&gt;0,1,0)</x:f>
        <x:v>1</x:v>
      </x:c>
      <x:c r="F3273" s="21" t="n">
        <x:v>1</x:v>
      </x:c>
      <x:c r="G3273" s="23" t="str">
        <x:f>IF(E3273=F3273,"PASS","FAIL")</x:f>
        <x:v>PASS</x:v>
      </x:c>
    </x:row>
    <x:row r="3274">
      <x:c r="B3274" s="21" t="str">
        <x:v>A3268</x:v>
      </x:c>
      <x:c r="C3274" s="21" t="str">
        <x:v>lots</x:v>
      </x:c>
      <x:c r="D3274" s="21" t="str">
        <x:v>lot 10 cost formula</x:v>
      </x:c>
      <x:c r="E3274" s="21" t="n">
        <x:f>IF(ABS('Article Lots'!I10-'Article Lots'!G10*'Article Lots'!H10/1000)&lt;0.000001,1,0)</x:f>
        <x:v>1</x:v>
      </x:c>
      <x:c r="F3274" s="21" t="n">
        <x:v>1</x:v>
      </x:c>
      <x:c r="G3274" s="23" t="str">
        <x:f>IF(E3274=F3274,"PASS","FAIL")</x:f>
        <x:v>PASS</x:v>
      </x:c>
    </x:row>
    <x:row r="3275">
      <x:c r="B3275" s="21" t="str">
        <x:v>A3269</x:v>
      </x:c>
      <x:c r="C3275" s="21" t="str">
        <x:v>lots</x:v>
      </x:c>
      <x:c r="D3275" s="21" t="str">
        <x:v>lot 10 schedule margin</x:v>
      </x:c>
      <x:c r="E3275" s="21" t="n">
        <x:f>IF('Article Lots'!L10='Article Lots'!K10-'Article Lots'!J10,1,0)</x:f>
        <x:v>1</x:v>
      </x:c>
      <x:c r="F3275" s="21" t="n">
        <x:v>1</x:v>
      </x:c>
      <x:c r="G3275" s="23" t="str">
        <x:f>IF(E3275=F3275,"PASS","FAIL")</x:f>
        <x:v>PASS</x:v>
      </x:c>
    </x:row>
    <x:row r="3276">
      <x:c r="B3276" s="21" t="str">
        <x:v>A3270</x:v>
      </x:c>
      <x:c r="C3276" s="21" t="str">
        <x:v>lots</x:v>
      </x:c>
      <x:c r="D3276" s="21" t="str">
        <x:v>lot 10 released before need</x:v>
      </x:c>
      <x:c r="E3276" s="21" t="n">
        <x:f>IF('Article Lots'!J10&lt;'Article Lots'!K10,1,0)</x:f>
        <x:v>1</x:v>
      </x:c>
      <x:c r="F3276" s="21" t="n">
        <x:v>1</x:v>
      </x:c>
      <x:c r="G3276" s="23" t="str">
        <x:f>IF(E3276=F3276,"PASS","FAIL")</x:f>
        <x:v>PASS</x:v>
      </x:c>
    </x:row>
    <x:row r="3277">
      <x:c r="B3277" s="21" t="str">
        <x:v>A3271</x:v>
      </x:c>
      <x:c r="C3277" s="21" t="str">
        <x:v>lots</x:v>
      </x:c>
      <x:c r="D3277" s="21" t="str">
        <x:v>lot 10 evidence open</x:v>
      </x:c>
      <x:c r="E3277" s="21" t="n">
        <x:f>IF('Article Lots'!N10="OPEN",1,0)</x:f>
        <x:v>1</x:v>
      </x:c>
      <x:c r="F3277" s="21" t="n">
        <x:v>1</x:v>
      </x:c>
      <x:c r="G3277" s="23" t="str">
        <x:f>IF(E3277=F3277,"PASS","FAIL")</x:f>
        <x:v>PASS</x:v>
      </x:c>
    </x:row>
    <x:row r="3278">
      <x:c r="B3278" s="21" t="str">
        <x:v>A3272</x:v>
      </x:c>
      <x:c r="C3278" s="21" t="str">
        <x:v>lots</x:v>
      </x:c>
      <x:c r="D3278" s="21" t="str">
        <x:v>lot 11 positive quantity</x:v>
      </x:c>
      <x:c r="E3278" s="21" t="n">
        <x:f>IF('Article Lots'!G11&gt;0,1,0)</x:f>
        <x:v>1</x:v>
      </x:c>
      <x:c r="F3278" s="21" t="n">
        <x:v>1</x:v>
      </x:c>
      <x:c r="G3278" s="23" t="str">
        <x:f>IF(E3278=F3278,"PASS","FAIL")</x:f>
        <x:v>PASS</x:v>
      </x:c>
    </x:row>
    <x:row r="3279">
      <x:c r="B3279" s="21" t="str">
        <x:v>A3273</x:v>
      </x:c>
      <x:c r="C3279" s="21" t="str">
        <x:v>lots</x:v>
      </x:c>
      <x:c r="D3279" s="21" t="str">
        <x:v>lot 11 cost formula</x:v>
      </x:c>
      <x:c r="E3279" s="21" t="n">
        <x:f>IF(ABS('Article Lots'!I11-'Article Lots'!G11*'Article Lots'!H11/1000)&lt;0.000001,1,0)</x:f>
        <x:v>1</x:v>
      </x:c>
      <x:c r="F3279" s="21" t="n">
        <x:v>1</x:v>
      </x:c>
      <x:c r="G3279" s="23" t="str">
        <x:f>IF(E3279=F3279,"PASS","FAIL")</x:f>
        <x:v>PASS</x:v>
      </x:c>
    </x:row>
    <x:row r="3280">
      <x:c r="B3280" s="21" t="str">
        <x:v>A3274</x:v>
      </x:c>
      <x:c r="C3280" s="21" t="str">
        <x:v>lots</x:v>
      </x:c>
      <x:c r="D3280" s="21" t="str">
        <x:v>lot 11 schedule margin</x:v>
      </x:c>
      <x:c r="E3280" s="21" t="n">
        <x:f>IF('Article Lots'!L11='Article Lots'!K11-'Article Lots'!J11,1,0)</x:f>
        <x:v>1</x:v>
      </x:c>
      <x:c r="F3280" s="21" t="n">
        <x:v>1</x:v>
      </x:c>
      <x:c r="G3280" s="23" t="str">
        <x:f>IF(E3280=F3280,"PASS","FAIL")</x:f>
        <x:v>PASS</x:v>
      </x:c>
    </x:row>
    <x:row r="3281">
      <x:c r="B3281" s="21" t="str">
        <x:v>A3275</x:v>
      </x:c>
      <x:c r="C3281" s="21" t="str">
        <x:v>lots</x:v>
      </x:c>
      <x:c r="D3281" s="21" t="str">
        <x:v>lot 11 released before need</x:v>
      </x:c>
      <x:c r="E3281" s="21" t="n">
        <x:f>IF('Article Lots'!J11&lt;'Article Lots'!K11,1,0)</x:f>
        <x:v>1</x:v>
      </x:c>
      <x:c r="F3281" s="21" t="n">
        <x:v>1</x:v>
      </x:c>
      <x:c r="G3281" s="23" t="str">
        <x:f>IF(E3281=F3281,"PASS","FAIL")</x:f>
        <x:v>PASS</x:v>
      </x:c>
    </x:row>
    <x:row r="3282">
      <x:c r="B3282" s="21" t="str">
        <x:v>A3276</x:v>
      </x:c>
      <x:c r="C3282" s="21" t="str">
        <x:v>lots</x:v>
      </x:c>
      <x:c r="D3282" s="21" t="str">
        <x:v>lot 11 evidence open</x:v>
      </x:c>
      <x:c r="E3282" s="21" t="n">
        <x:f>IF('Article Lots'!N11="OPEN",1,0)</x:f>
        <x:v>1</x:v>
      </x:c>
      <x:c r="F3282" s="21" t="n">
        <x:v>1</x:v>
      </x:c>
      <x:c r="G3282" s="23" t="str">
        <x:f>IF(E3282=F3282,"PASS","FAIL")</x:f>
        <x:v>PASS</x:v>
      </x:c>
    </x:row>
    <x:row r="3283">
      <x:c r="B3283" s="21" t="str">
        <x:v>A3277</x:v>
      </x:c>
      <x:c r="C3283" s="21" t="str">
        <x:v>lots</x:v>
      </x:c>
      <x:c r="D3283" s="21" t="str">
        <x:v>lot 12 positive quantity</x:v>
      </x:c>
      <x:c r="E3283" s="21" t="n">
        <x:f>IF('Article Lots'!G12&gt;0,1,0)</x:f>
        <x:v>1</x:v>
      </x:c>
      <x:c r="F3283" s="21" t="n">
        <x:v>1</x:v>
      </x:c>
      <x:c r="G3283" s="23" t="str">
        <x:f>IF(E3283=F3283,"PASS","FAIL")</x:f>
        <x:v>PASS</x:v>
      </x:c>
    </x:row>
    <x:row r="3284">
      <x:c r="B3284" s="21" t="str">
        <x:v>A3278</x:v>
      </x:c>
      <x:c r="C3284" s="21" t="str">
        <x:v>lots</x:v>
      </x:c>
      <x:c r="D3284" s="21" t="str">
        <x:v>lot 12 cost formula</x:v>
      </x:c>
      <x:c r="E3284" s="21" t="n">
        <x:f>IF(ABS('Article Lots'!I12-'Article Lots'!G12*'Article Lots'!H12/1000)&lt;0.000001,1,0)</x:f>
        <x:v>1</x:v>
      </x:c>
      <x:c r="F3284" s="21" t="n">
        <x:v>1</x:v>
      </x:c>
      <x:c r="G3284" s="23" t="str">
        <x:f>IF(E3284=F3284,"PASS","FAIL")</x:f>
        <x:v>PASS</x:v>
      </x:c>
    </x:row>
    <x:row r="3285">
      <x:c r="B3285" s="21" t="str">
        <x:v>A3279</x:v>
      </x:c>
      <x:c r="C3285" s="21" t="str">
        <x:v>lots</x:v>
      </x:c>
      <x:c r="D3285" s="21" t="str">
        <x:v>lot 12 schedule margin</x:v>
      </x:c>
      <x:c r="E3285" s="21" t="n">
        <x:f>IF('Article Lots'!L12='Article Lots'!K12-'Article Lots'!J12,1,0)</x:f>
        <x:v>1</x:v>
      </x:c>
      <x:c r="F3285" s="21" t="n">
        <x:v>1</x:v>
      </x:c>
      <x:c r="G3285" s="23" t="str">
        <x:f>IF(E3285=F3285,"PASS","FAIL")</x:f>
        <x:v>PASS</x:v>
      </x:c>
    </x:row>
    <x:row r="3286">
      <x:c r="B3286" s="21" t="str">
        <x:v>A3280</x:v>
      </x:c>
      <x:c r="C3286" s="21" t="str">
        <x:v>lots</x:v>
      </x:c>
      <x:c r="D3286" s="21" t="str">
        <x:v>lot 12 released before need</x:v>
      </x:c>
      <x:c r="E3286" s="21" t="n">
        <x:f>IF('Article Lots'!J12&lt;'Article Lots'!K12,1,0)</x:f>
        <x:v>1</x:v>
      </x:c>
      <x:c r="F3286" s="21" t="n">
        <x:v>1</x:v>
      </x:c>
      <x:c r="G3286" s="23" t="str">
        <x:f>IF(E3286=F3286,"PASS","FAIL")</x:f>
        <x:v>PASS</x:v>
      </x:c>
    </x:row>
    <x:row r="3287">
      <x:c r="B3287" s="21" t="str">
        <x:v>A3281</x:v>
      </x:c>
      <x:c r="C3287" s="21" t="str">
        <x:v>lots</x:v>
      </x:c>
      <x:c r="D3287" s="21" t="str">
        <x:v>lot 12 evidence open</x:v>
      </x:c>
      <x:c r="E3287" s="21" t="n">
        <x:f>IF('Article Lots'!N12="OPEN",1,0)</x:f>
        <x:v>1</x:v>
      </x:c>
      <x:c r="F3287" s="21" t="n">
        <x:v>1</x:v>
      </x:c>
      <x:c r="G3287" s="23" t="str">
        <x:f>IF(E3287=F3287,"PASS","FAIL")</x:f>
        <x:v>PASS</x:v>
      </x:c>
    </x:row>
    <x:row r="3288">
      <x:c r="B3288" s="21" t="str">
        <x:v>A3282</x:v>
      </x:c>
      <x:c r="C3288" s="21" t="str">
        <x:v>lots</x:v>
      </x:c>
      <x:c r="D3288" s="21" t="str">
        <x:v>lot 13 positive quantity</x:v>
      </x:c>
      <x:c r="E3288" s="21" t="n">
        <x:f>IF('Article Lots'!G13&gt;0,1,0)</x:f>
        <x:v>1</x:v>
      </x:c>
      <x:c r="F3288" s="21" t="n">
        <x:v>1</x:v>
      </x:c>
      <x:c r="G3288" s="23" t="str">
        <x:f>IF(E3288=F3288,"PASS","FAIL")</x:f>
        <x:v>PASS</x:v>
      </x:c>
    </x:row>
    <x:row r="3289">
      <x:c r="B3289" s="21" t="str">
        <x:v>A3283</x:v>
      </x:c>
      <x:c r="C3289" s="21" t="str">
        <x:v>lots</x:v>
      </x:c>
      <x:c r="D3289" s="21" t="str">
        <x:v>lot 13 cost formula</x:v>
      </x:c>
      <x:c r="E3289" s="21" t="n">
        <x:f>IF(ABS('Article Lots'!I13-'Article Lots'!G13*'Article Lots'!H13/1000)&lt;0.000001,1,0)</x:f>
        <x:v>1</x:v>
      </x:c>
      <x:c r="F3289" s="21" t="n">
        <x:v>1</x:v>
      </x:c>
      <x:c r="G3289" s="23" t="str">
        <x:f>IF(E3289=F3289,"PASS","FAIL")</x:f>
        <x:v>PASS</x:v>
      </x:c>
    </x:row>
    <x:row r="3290">
      <x:c r="B3290" s="21" t="str">
        <x:v>A3284</x:v>
      </x:c>
      <x:c r="C3290" s="21" t="str">
        <x:v>lots</x:v>
      </x:c>
      <x:c r="D3290" s="21" t="str">
        <x:v>lot 13 schedule margin</x:v>
      </x:c>
      <x:c r="E3290" s="21" t="n">
        <x:f>IF('Article Lots'!L13='Article Lots'!K13-'Article Lots'!J13,1,0)</x:f>
        <x:v>1</x:v>
      </x:c>
      <x:c r="F3290" s="21" t="n">
        <x:v>1</x:v>
      </x:c>
      <x:c r="G3290" s="23" t="str">
        <x:f>IF(E3290=F3290,"PASS","FAIL")</x:f>
        <x:v>PASS</x:v>
      </x:c>
    </x:row>
    <x:row r="3291">
      <x:c r="B3291" s="21" t="str">
        <x:v>A3285</x:v>
      </x:c>
      <x:c r="C3291" s="21" t="str">
        <x:v>lots</x:v>
      </x:c>
      <x:c r="D3291" s="21" t="str">
        <x:v>lot 13 released before need</x:v>
      </x:c>
      <x:c r="E3291" s="21" t="n">
        <x:f>IF('Article Lots'!J13&lt;'Article Lots'!K13,1,0)</x:f>
        <x:v>1</x:v>
      </x:c>
      <x:c r="F3291" s="21" t="n">
        <x:v>1</x:v>
      </x:c>
      <x:c r="G3291" s="23" t="str">
        <x:f>IF(E3291=F3291,"PASS","FAIL")</x:f>
        <x:v>PASS</x:v>
      </x:c>
    </x:row>
    <x:row r="3292">
      <x:c r="B3292" s="21" t="str">
        <x:v>A3286</x:v>
      </x:c>
      <x:c r="C3292" s="21" t="str">
        <x:v>lots</x:v>
      </x:c>
      <x:c r="D3292" s="21" t="str">
        <x:v>lot 13 evidence open</x:v>
      </x:c>
      <x:c r="E3292" s="21" t="n">
        <x:f>IF('Article Lots'!N13="OPEN",1,0)</x:f>
        <x:v>1</x:v>
      </x:c>
      <x:c r="F3292" s="21" t="n">
        <x:v>1</x:v>
      </x:c>
      <x:c r="G3292" s="23" t="str">
        <x:f>IF(E3292=F3292,"PASS","FAIL")</x:f>
        <x:v>PASS</x:v>
      </x:c>
    </x:row>
    <x:row r="3293">
      <x:c r="B3293" s="21" t="str">
        <x:v>A3287</x:v>
      </x:c>
      <x:c r="C3293" s="21" t="str">
        <x:v>lots</x:v>
      </x:c>
      <x:c r="D3293" s="21" t="str">
        <x:v>lot 14 positive quantity</x:v>
      </x:c>
      <x:c r="E3293" s="21" t="n">
        <x:f>IF('Article Lots'!G14&gt;0,1,0)</x:f>
        <x:v>1</x:v>
      </x:c>
      <x:c r="F3293" s="21" t="n">
        <x:v>1</x:v>
      </x:c>
      <x:c r="G3293" s="23" t="str">
        <x:f>IF(E3293=F3293,"PASS","FAIL")</x:f>
        <x:v>PASS</x:v>
      </x:c>
    </x:row>
    <x:row r="3294">
      <x:c r="B3294" s="21" t="str">
        <x:v>A3288</x:v>
      </x:c>
      <x:c r="C3294" s="21" t="str">
        <x:v>lots</x:v>
      </x:c>
      <x:c r="D3294" s="21" t="str">
        <x:v>lot 14 cost formula</x:v>
      </x:c>
      <x:c r="E3294" s="21" t="n">
        <x:f>IF(ABS('Article Lots'!I14-'Article Lots'!G14*'Article Lots'!H14/1000)&lt;0.000001,1,0)</x:f>
        <x:v>1</x:v>
      </x:c>
      <x:c r="F3294" s="21" t="n">
        <x:v>1</x:v>
      </x:c>
      <x:c r="G3294" s="23" t="str">
        <x:f>IF(E3294=F3294,"PASS","FAIL")</x:f>
        <x:v>PASS</x:v>
      </x:c>
    </x:row>
    <x:row r="3295">
      <x:c r="B3295" s="21" t="str">
        <x:v>A3289</x:v>
      </x:c>
      <x:c r="C3295" s="21" t="str">
        <x:v>lots</x:v>
      </x:c>
      <x:c r="D3295" s="21" t="str">
        <x:v>lot 14 schedule margin</x:v>
      </x:c>
      <x:c r="E3295" s="21" t="n">
        <x:f>IF('Article Lots'!L14='Article Lots'!K14-'Article Lots'!J14,1,0)</x:f>
        <x:v>1</x:v>
      </x:c>
      <x:c r="F3295" s="21" t="n">
        <x:v>1</x:v>
      </x:c>
      <x:c r="G3295" s="23" t="str">
        <x:f>IF(E3295=F3295,"PASS","FAIL")</x:f>
        <x:v>PASS</x:v>
      </x:c>
    </x:row>
    <x:row r="3296">
      <x:c r="B3296" s="21" t="str">
        <x:v>A3290</x:v>
      </x:c>
      <x:c r="C3296" s="21" t="str">
        <x:v>lots</x:v>
      </x:c>
      <x:c r="D3296" s="21" t="str">
        <x:v>lot 14 released before need</x:v>
      </x:c>
      <x:c r="E3296" s="21" t="n">
        <x:f>IF('Article Lots'!J14&lt;'Article Lots'!K14,1,0)</x:f>
        <x:v>1</x:v>
      </x:c>
      <x:c r="F3296" s="21" t="n">
        <x:v>1</x:v>
      </x:c>
      <x:c r="G3296" s="23" t="str">
        <x:f>IF(E3296=F3296,"PASS","FAIL")</x:f>
        <x:v>PASS</x:v>
      </x:c>
    </x:row>
    <x:row r="3297">
      <x:c r="B3297" s="21" t="str">
        <x:v>A3291</x:v>
      </x:c>
      <x:c r="C3297" s="21" t="str">
        <x:v>lots</x:v>
      </x:c>
      <x:c r="D3297" s="21" t="str">
        <x:v>lot 14 evidence open</x:v>
      </x:c>
      <x:c r="E3297" s="21" t="n">
        <x:f>IF('Article Lots'!N14="OPEN",1,0)</x:f>
        <x:v>1</x:v>
      </x:c>
      <x:c r="F3297" s="21" t="n">
        <x:v>1</x:v>
      </x:c>
      <x:c r="G3297" s="23" t="str">
        <x:f>IF(E3297=F3297,"PASS","FAIL")</x:f>
        <x:v>PASS</x:v>
      </x:c>
    </x:row>
    <x:row r="3298">
      <x:c r="B3298" s="21" t="str">
        <x:v>A3292</x:v>
      </x:c>
      <x:c r="C3298" s="21" t="str">
        <x:v>lots</x:v>
      </x:c>
      <x:c r="D3298" s="21" t="str">
        <x:v>lot 15 positive quantity</x:v>
      </x:c>
      <x:c r="E3298" s="21" t="n">
        <x:f>IF('Article Lots'!G15&gt;0,1,0)</x:f>
        <x:v>1</x:v>
      </x:c>
      <x:c r="F3298" s="21" t="n">
        <x:v>1</x:v>
      </x:c>
      <x:c r="G3298" s="23" t="str">
        <x:f>IF(E3298=F3298,"PASS","FAIL")</x:f>
        <x:v>PASS</x:v>
      </x:c>
    </x:row>
    <x:row r="3299">
      <x:c r="B3299" s="21" t="str">
        <x:v>A3293</x:v>
      </x:c>
      <x:c r="C3299" s="21" t="str">
        <x:v>lots</x:v>
      </x:c>
      <x:c r="D3299" s="21" t="str">
        <x:v>lot 15 cost formula</x:v>
      </x:c>
      <x:c r="E3299" s="21" t="n">
        <x:f>IF(ABS('Article Lots'!I15-'Article Lots'!G15*'Article Lots'!H15/1000)&lt;0.000001,1,0)</x:f>
        <x:v>1</x:v>
      </x:c>
      <x:c r="F3299" s="21" t="n">
        <x:v>1</x:v>
      </x:c>
      <x:c r="G3299" s="23" t="str">
        <x:f>IF(E3299=F3299,"PASS","FAIL")</x:f>
        <x:v>PASS</x:v>
      </x:c>
    </x:row>
    <x:row r="3300">
      <x:c r="B3300" s="21" t="str">
        <x:v>A3294</x:v>
      </x:c>
      <x:c r="C3300" s="21" t="str">
        <x:v>lots</x:v>
      </x:c>
      <x:c r="D3300" s="21" t="str">
        <x:v>lot 15 schedule margin</x:v>
      </x:c>
      <x:c r="E3300" s="21" t="n">
        <x:f>IF('Article Lots'!L15='Article Lots'!K15-'Article Lots'!J15,1,0)</x:f>
        <x:v>1</x:v>
      </x:c>
      <x:c r="F3300" s="21" t="n">
        <x:v>1</x:v>
      </x:c>
      <x:c r="G3300" s="23" t="str">
        <x:f>IF(E3300=F3300,"PASS","FAIL")</x:f>
        <x:v>PASS</x:v>
      </x:c>
    </x:row>
    <x:row r="3301">
      <x:c r="B3301" s="21" t="str">
        <x:v>A3295</x:v>
      </x:c>
      <x:c r="C3301" s="21" t="str">
        <x:v>lots</x:v>
      </x:c>
      <x:c r="D3301" s="21" t="str">
        <x:v>lot 15 released before need</x:v>
      </x:c>
      <x:c r="E3301" s="21" t="n">
        <x:f>IF('Article Lots'!J15&lt;'Article Lots'!K15,1,0)</x:f>
        <x:v>1</x:v>
      </x:c>
      <x:c r="F3301" s="21" t="n">
        <x:v>1</x:v>
      </x:c>
      <x:c r="G3301" s="23" t="str">
        <x:f>IF(E3301=F3301,"PASS","FAIL")</x:f>
        <x:v>PASS</x:v>
      </x:c>
    </x:row>
    <x:row r="3302">
      <x:c r="B3302" s="21" t="str">
        <x:v>A3296</x:v>
      </x:c>
      <x:c r="C3302" s="21" t="str">
        <x:v>lots</x:v>
      </x:c>
      <x:c r="D3302" s="21" t="str">
        <x:v>lot 15 evidence open</x:v>
      </x:c>
      <x:c r="E3302" s="21" t="n">
        <x:f>IF('Article Lots'!N15="OPEN",1,0)</x:f>
        <x:v>1</x:v>
      </x:c>
      <x:c r="F3302" s="21" t="n">
        <x:v>1</x:v>
      </x:c>
      <x:c r="G3302" s="23" t="str">
        <x:f>IF(E3302=F3302,"PASS","FAIL")</x:f>
        <x:v>PASS</x:v>
      </x:c>
    </x:row>
    <x:row r="3303">
      <x:c r="B3303" s="21" t="str">
        <x:v>A3297</x:v>
      </x:c>
      <x:c r="C3303" s="21" t="str">
        <x:v>lots</x:v>
      </x:c>
      <x:c r="D3303" s="21" t="str">
        <x:v>lot 16 positive quantity</x:v>
      </x:c>
      <x:c r="E3303" s="21" t="n">
        <x:f>IF('Article Lots'!G16&gt;0,1,0)</x:f>
        <x:v>1</x:v>
      </x:c>
      <x:c r="F3303" s="21" t="n">
        <x:v>1</x:v>
      </x:c>
      <x:c r="G3303" s="23" t="str">
        <x:f>IF(E3303=F3303,"PASS","FAIL")</x:f>
        <x:v>PASS</x:v>
      </x:c>
    </x:row>
    <x:row r="3304">
      <x:c r="B3304" s="21" t="str">
        <x:v>A3298</x:v>
      </x:c>
      <x:c r="C3304" s="21" t="str">
        <x:v>lots</x:v>
      </x:c>
      <x:c r="D3304" s="21" t="str">
        <x:v>lot 16 cost formula</x:v>
      </x:c>
      <x:c r="E3304" s="21" t="n">
        <x:f>IF(ABS('Article Lots'!I16-'Article Lots'!G16*'Article Lots'!H16/1000)&lt;0.000001,1,0)</x:f>
        <x:v>1</x:v>
      </x:c>
      <x:c r="F3304" s="21" t="n">
        <x:v>1</x:v>
      </x:c>
      <x:c r="G3304" s="23" t="str">
        <x:f>IF(E3304=F3304,"PASS","FAIL")</x:f>
        <x:v>PASS</x:v>
      </x:c>
    </x:row>
    <x:row r="3305">
      <x:c r="B3305" s="21" t="str">
        <x:v>A3299</x:v>
      </x:c>
      <x:c r="C3305" s="21" t="str">
        <x:v>lots</x:v>
      </x:c>
      <x:c r="D3305" s="21" t="str">
        <x:v>lot 16 schedule margin</x:v>
      </x:c>
      <x:c r="E3305" s="21" t="n">
        <x:f>IF('Article Lots'!L16='Article Lots'!K16-'Article Lots'!J16,1,0)</x:f>
        <x:v>1</x:v>
      </x:c>
      <x:c r="F3305" s="21" t="n">
        <x:v>1</x:v>
      </x:c>
      <x:c r="G3305" s="23" t="str">
        <x:f>IF(E3305=F3305,"PASS","FAIL")</x:f>
        <x:v>PASS</x:v>
      </x:c>
    </x:row>
    <x:row r="3306">
      <x:c r="B3306" s="21" t="str">
        <x:v>A3300</x:v>
      </x:c>
      <x:c r="C3306" s="21" t="str">
        <x:v>lots</x:v>
      </x:c>
      <x:c r="D3306" s="21" t="str">
        <x:v>lot 16 released before need</x:v>
      </x:c>
      <x:c r="E3306" s="21" t="n">
        <x:f>IF('Article Lots'!J16&lt;'Article Lots'!K16,1,0)</x:f>
        <x:v>1</x:v>
      </x:c>
      <x:c r="F3306" s="21" t="n">
        <x:v>1</x:v>
      </x:c>
      <x:c r="G3306" s="23" t="str">
        <x:f>IF(E3306=F3306,"PASS","FAIL")</x:f>
        <x:v>PASS</x:v>
      </x:c>
    </x:row>
    <x:row r="3307">
      <x:c r="B3307" s="21" t="str">
        <x:v>A3301</x:v>
      </x:c>
      <x:c r="C3307" s="21" t="str">
        <x:v>lots</x:v>
      </x:c>
      <x:c r="D3307" s="21" t="str">
        <x:v>lot 16 evidence open</x:v>
      </x:c>
      <x:c r="E3307" s="21" t="n">
        <x:f>IF('Article Lots'!N16="OPEN",1,0)</x:f>
        <x:v>1</x:v>
      </x:c>
      <x:c r="F3307" s="21" t="n">
        <x:v>1</x:v>
      </x:c>
      <x:c r="G3307" s="23" t="str">
        <x:f>IF(E3307=F3307,"PASS","FAIL")</x:f>
        <x:v>PASS</x:v>
      </x:c>
    </x:row>
    <x:row r="3308">
      <x:c r="B3308" s="21" t="str">
        <x:v>A3302</x:v>
      </x:c>
      <x:c r="C3308" s="21" t="str">
        <x:v>lots</x:v>
      </x:c>
      <x:c r="D3308" s="21" t="str">
        <x:v>lot 17 positive quantity</x:v>
      </x:c>
      <x:c r="E3308" s="21" t="n">
        <x:f>IF('Article Lots'!G17&gt;0,1,0)</x:f>
        <x:v>1</x:v>
      </x:c>
      <x:c r="F3308" s="21" t="n">
        <x:v>1</x:v>
      </x:c>
      <x:c r="G3308" s="23" t="str">
        <x:f>IF(E3308=F3308,"PASS","FAIL")</x:f>
        <x:v>PASS</x:v>
      </x:c>
    </x:row>
    <x:row r="3309">
      <x:c r="B3309" s="21" t="str">
        <x:v>A3303</x:v>
      </x:c>
      <x:c r="C3309" s="21" t="str">
        <x:v>lots</x:v>
      </x:c>
      <x:c r="D3309" s="21" t="str">
        <x:v>lot 17 cost formula</x:v>
      </x:c>
      <x:c r="E3309" s="21" t="n">
        <x:f>IF(ABS('Article Lots'!I17-'Article Lots'!G17*'Article Lots'!H17/1000)&lt;0.000001,1,0)</x:f>
        <x:v>1</x:v>
      </x:c>
      <x:c r="F3309" s="21" t="n">
        <x:v>1</x:v>
      </x:c>
      <x:c r="G3309" s="23" t="str">
        <x:f>IF(E3309=F3309,"PASS","FAIL")</x:f>
        <x:v>PASS</x:v>
      </x:c>
    </x:row>
    <x:row r="3310">
      <x:c r="B3310" s="21" t="str">
        <x:v>A3304</x:v>
      </x:c>
      <x:c r="C3310" s="21" t="str">
        <x:v>lots</x:v>
      </x:c>
      <x:c r="D3310" s="21" t="str">
        <x:v>lot 17 schedule margin</x:v>
      </x:c>
      <x:c r="E3310" s="21" t="n">
        <x:f>IF('Article Lots'!L17='Article Lots'!K17-'Article Lots'!J17,1,0)</x:f>
        <x:v>1</x:v>
      </x:c>
      <x:c r="F3310" s="21" t="n">
        <x:v>1</x:v>
      </x:c>
      <x:c r="G3310" s="23" t="str">
        <x:f>IF(E3310=F3310,"PASS","FAIL")</x:f>
        <x:v>PASS</x:v>
      </x:c>
    </x:row>
    <x:row r="3311">
      <x:c r="B3311" s="21" t="str">
        <x:v>A3305</x:v>
      </x:c>
      <x:c r="C3311" s="21" t="str">
        <x:v>lots</x:v>
      </x:c>
      <x:c r="D3311" s="21" t="str">
        <x:v>lot 17 released before need</x:v>
      </x:c>
      <x:c r="E3311" s="21" t="n">
        <x:f>IF('Article Lots'!J17&lt;'Article Lots'!K17,1,0)</x:f>
        <x:v>1</x:v>
      </x:c>
      <x:c r="F3311" s="21" t="n">
        <x:v>1</x:v>
      </x:c>
      <x:c r="G3311" s="23" t="str">
        <x:f>IF(E3311=F3311,"PASS","FAIL")</x:f>
        <x:v>PASS</x:v>
      </x:c>
    </x:row>
    <x:row r="3312">
      <x:c r="B3312" s="21" t="str">
        <x:v>A3306</x:v>
      </x:c>
      <x:c r="C3312" s="21" t="str">
        <x:v>lots</x:v>
      </x:c>
      <x:c r="D3312" s="21" t="str">
        <x:v>lot 17 evidence open</x:v>
      </x:c>
      <x:c r="E3312" s="21" t="n">
        <x:f>IF('Article Lots'!N17="OPEN",1,0)</x:f>
        <x:v>1</x:v>
      </x:c>
      <x:c r="F3312" s="21" t="n">
        <x:v>1</x:v>
      </x:c>
      <x:c r="G3312" s="23" t="str">
        <x:f>IF(E3312=F3312,"PASS","FAIL")</x:f>
        <x:v>PASS</x:v>
      </x:c>
    </x:row>
    <x:row r="3313">
      <x:c r="B3313" s="21" t="str">
        <x:v>A3307</x:v>
      </x:c>
      <x:c r="C3313" s="21" t="str">
        <x:v>lots</x:v>
      </x:c>
      <x:c r="D3313" s="21" t="str">
        <x:v>lot 18 positive quantity</x:v>
      </x:c>
      <x:c r="E3313" s="21" t="n">
        <x:f>IF('Article Lots'!G18&gt;0,1,0)</x:f>
        <x:v>1</x:v>
      </x:c>
      <x:c r="F3313" s="21" t="n">
        <x:v>1</x:v>
      </x:c>
      <x:c r="G3313" s="23" t="str">
        <x:f>IF(E3313=F3313,"PASS","FAIL")</x:f>
        <x:v>PASS</x:v>
      </x:c>
    </x:row>
    <x:row r="3314">
      <x:c r="B3314" s="21" t="str">
        <x:v>A3308</x:v>
      </x:c>
      <x:c r="C3314" s="21" t="str">
        <x:v>lots</x:v>
      </x:c>
      <x:c r="D3314" s="21" t="str">
        <x:v>lot 18 cost formula</x:v>
      </x:c>
      <x:c r="E3314" s="21" t="n">
        <x:f>IF(ABS('Article Lots'!I18-'Article Lots'!G18*'Article Lots'!H18/1000)&lt;0.000001,1,0)</x:f>
        <x:v>1</x:v>
      </x:c>
      <x:c r="F3314" s="21" t="n">
        <x:v>1</x:v>
      </x:c>
      <x:c r="G3314" s="23" t="str">
        <x:f>IF(E3314=F3314,"PASS","FAIL")</x:f>
        <x:v>PASS</x:v>
      </x:c>
    </x:row>
    <x:row r="3315">
      <x:c r="B3315" s="21" t="str">
        <x:v>A3309</x:v>
      </x:c>
      <x:c r="C3315" s="21" t="str">
        <x:v>lots</x:v>
      </x:c>
      <x:c r="D3315" s="21" t="str">
        <x:v>lot 18 schedule margin</x:v>
      </x:c>
      <x:c r="E3315" s="21" t="n">
        <x:f>IF('Article Lots'!L18='Article Lots'!K18-'Article Lots'!J18,1,0)</x:f>
        <x:v>1</x:v>
      </x:c>
      <x:c r="F3315" s="21" t="n">
        <x:v>1</x:v>
      </x:c>
      <x:c r="G3315" s="23" t="str">
        <x:f>IF(E3315=F3315,"PASS","FAIL")</x:f>
        <x:v>PASS</x:v>
      </x:c>
    </x:row>
    <x:row r="3316">
      <x:c r="B3316" s="21" t="str">
        <x:v>A3310</x:v>
      </x:c>
      <x:c r="C3316" s="21" t="str">
        <x:v>lots</x:v>
      </x:c>
      <x:c r="D3316" s="21" t="str">
        <x:v>lot 18 released before need</x:v>
      </x:c>
      <x:c r="E3316" s="21" t="n">
        <x:f>IF('Article Lots'!J18&lt;'Article Lots'!K18,1,0)</x:f>
        <x:v>1</x:v>
      </x:c>
      <x:c r="F3316" s="21" t="n">
        <x:v>1</x:v>
      </x:c>
      <x:c r="G3316" s="23" t="str">
        <x:f>IF(E3316=F3316,"PASS","FAIL")</x:f>
        <x:v>PASS</x:v>
      </x:c>
    </x:row>
    <x:row r="3317">
      <x:c r="B3317" s="21" t="str">
        <x:v>A3311</x:v>
      </x:c>
      <x:c r="C3317" s="21" t="str">
        <x:v>lots</x:v>
      </x:c>
      <x:c r="D3317" s="21" t="str">
        <x:v>lot 18 evidence open</x:v>
      </x:c>
      <x:c r="E3317" s="21" t="n">
        <x:f>IF('Article Lots'!N18="OPEN",1,0)</x:f>
        <x:v>1</x:v>
      </x:c>
      <x:c r="F3317" s="21" t="n">
        <x:v>1</x:v>
      </x:c>
      <x:c r="G3317" s="23" t="str">
        <x:f>IF(E3317=F3317,"PASS","FAIL")</x:f>
        <x:v>PASS</x:v>
      </x:c>
    </x:row>
    <x:row r="3318">
      <x:c r="B3318" s="21" t="str">
        <x:v>A3312</x:v>
      </x:c>
      <x:c r="C3318" s="21" t="str">
        <x:v>lots</x:v>
      </x:c>
      <x:c r="D3318" s="21" t="str">
        <x:v>lot 19 positive quantity</x:v>
      </x:c>
      <x:c r="E3318" s="21" t="n">
        <x:f>IF('Article Lots'!G19&gt;0,1,0)</x:f>
        <x:v>1</x:v>
      </x:c>
      <x:c r="F3318" s="21" t="n">
        <x:v>1</x:v>
      </x:c>
      <x:c r="G3318" s="23" t="str">
        <x:f>IF(E3318=F3318,"PASS","FAIL")</x:f>
        <x:v>PASS</x:v>
      </x:c>
    </x:row>
    <x:row r="3319">
      <x:c r="B3319" s="21" t="str">
        <x:v>A3313</x:v>
      </x:c>
      <x:c r="C3319" s="21" t="str">
        <x:v>lots</x:v>
      </x:c>
      <x:c r="D3319" s="21" t="str">
        <x:v>lot 19 cost formula</x:v>
      </x:c>
      <x:c r="E3319" s="21" t="n">
        <x:f>IF(ABS('Article Lots'!I19-'Article Lots'!G19*'Article Lots'!H19/1000)&lt;0.000001,1,0)</x:f>
        <x:v>1</x:v>
      </x:c>
      <x:c r="F3319" s="21" t="n">
        <x:v>1</x:v>
      </x:c>
      <x:c r="G3319" s="23" t="str">
        <x:f>IF(E3319=F3319,"PASS","FAIL")</x:f>
        <x:v>PASS</x:v>
      </x:c>
    </x:row>
    <x:row r="3320">
      <x:c r="B3320" s="21" t="str">
        <x:v>A3314</x:v>
      </x:c>
      <x:c r="C3320" s="21" t="str">
        <x:v>lots</x:v>
      </x:c>
      <x:c r="D3320" s="21" t="str">
        <x:v>lot 19 schedule margin</x:v>
      </x:c>
      <x:c r="E3320" s="21" t="n">
        <x:f>IF('Article Lots'!L19='Article Lots'!K19-'Article Lots'!J19,1,0)</x:f>
        <x:v>1</x:v>
      </x:c>
      <x:c r="F3320" s="21" t="n">
        <x:v>1</x:v>
      </x:c>
      <x:c r="G3320" s="23" t="str">
        <x:f>IF(E3320=F3320,"PASS","FAIL")</x:f>
        <x:v>PASS</x:v>
      </x:c>
    </x:row>
    <x:row r="3321">
      <x:c r="B3321" s="21" t="str">
        <x:v>A3315</x:v>
      </x:c>
      <x:c r="C3321" s="21" t="str">
        <x:v>lots</x:v>
      </x:c>
      <x:c r="D3321" s="21" t="str">
        <x:v>lot 19 released before need</x:v>
      </x:c>
      <x:c r="E3321" s="21" t="n">
        <x:f>IF('Article Lots'!J19&lt;'Article Lots'!K19,1,0)</x:f>
        <x:v>1</x:v>
      </x:c>
      <x:c r="F3321" s="21" t="n">
        <x:v>1</x:v>
      </x:c>
      <x:c r="G3321" s="23" t="str">
        <x:f>IF(E3321=F3321,"PASS","FAIL")</x:f>
        <x:v>PASS</x:v>
      </x:c>
    </x:row>
    <x:row r="3322">
      <x:c r="B3322" s="21" t="str">
        <x:v>A3316</x:v>
      </x:c>
      <x:c r="C3322" s="21" t="str">
        <x:v>lots</x:v>
      </x:c>
      <x:c r="D3322" s="21" t="str">
        <x:v>lot 19 evidence open</x:v>
      </x:c>
      <x:c r="E3322" s="21" t="n">
        <x:f>IF('Article Lots'!N19="OPEN",1,0)</x:f>
        <x:v>1</x:v>
      </x:c>
      <x:c r="F3322" s="21" t="n">
        <x:v>1</x:v>
      </x:c>
      <x:c r="G3322" s="23" t="str">
        <x:f>IF(E3322=F3322,"PASS","FAIL")</x:f>
        <x:v>PASS</x:v>
      </x:c>
    </x:row>
    <x:row r="3323">
      <x:c r="B3323" s="21" t="str">
        <x:v>A3317</x:v>
      </x:c>
      <x:c r="C3323" s="21" t="str">
        <x:v>lots</x:v>
      </x:c>
      <x:c r="D3323" s="21" t="str">
        <x:v>lot 20 positive quantity</x:v>
      </x:c>
      <x:c r="E3323" s="21" t="n">
        <x:f>IF('Article Lots'!G20&gt;0,1,0)</x:f>
        <x:v>1</x:v>
      </x:c>
      <x:c r="F3323" s="21" t="n">
        <x:v>1</x:v>
      </x:c>
      <x:c r="G3323" s="23" t="str">
        <x:f>IF(E3323=F3323,"PASS","FAIL")</x:f>
        <x:v>PASS</x:v>
      </x:c>
    </x:row>
    <x:row r="3324">
      <x:c r="B3324" s="21" t="str">
        <x:v>A3318</x:v>
      </x:c>
      <x:c r="C3324" s="21" t="str">
        <x:v>lots</x:v>
      </x:c>
      <x:c r="D3324" s="21" t="str">
        <x:v>lot 20 cost formula</x:v>
      </x:c>
      <x:c r="E3324" s="21" t="n">
        <x:f>IF(ABS('Article Lots'!I20-'Article Lots'!G20*'Article Lots'!H20/1000)&lt;0.000001,1,0)</x:f>
        <x:v>1</x:v>
      </x:c>
      <x:c r="F3324" s="21" t="n">
        <x:v>1</x:v>
      </x:c>
      <x:c r="G3324" s="23" t="str">
        <x:f>IF(E3324=F3324,"PASS","FAIL")</x:f>
        <x:v>PASS</x:v>
      </x:c>
    </x:row>
    <x:row r="3325">
      <x:c r="B3325" s="21" t="str">
        <x:v>A3319</x:v>
      </x:c>
      <x:c r="C3325" s="21" t="str">
        <x:v>lots</x:v>
      </x:c>
      <x:c r="D3325" s="21" t="str">
        <x:v>lot 20 schedule margin</x:v>
      </x:c>
      <x:c r="E3325" s="21" t="n">
        <x:f>IF('Article Lots'!L20='Article Lots'!K20-'Article Lots'!J20,1,0)</x:f>
        <x:v>1</x:v>
      </x:c>
      <x:c r="F3325" s="21" t="n">
        <x:v>1</x:v>
      </x:c>
      <x:c r="G3325" s="23" t="str">
        <x:f>IF(E3325=F3325,"PASS","FAIL")</x:f>
        <x:v>PASS</x:v>
      </x:c>
    </x:row>
    <x:row r="3326">
      <x:c r="B3326" s="21" t="str">
        <x:v>A3320</x:v>
      </x:c>
      <x:c r="C3326" s="21" t="str">
        <x:v>lots</x:v>
      </x:c>
      <x:c r="D3326" s="21" t="str">
        <x:v>lot 20 released before need</x:v>
      </x:c>
      <x:c r="E3326" s="21" t="n">
        <x:f>IF('Article Lots'!J20&lt;'Article Lots'!K20,1,0)</x:f>
        <x:v>1</x:v>
      </x:c>
      <x:c r="F3326" s="21" t="n">
        <x:v>1</x:v>
      </x:c>
      <x:c r="G3326" s="23" t="str">
        <x:f>IF(E3326=F3326,"PASS","FAIL")</x:f>
        <x:v>PASS</x:v>
      </x:c>
    </x:row>
    <x:row r="3327">
      <x:c r="B3327" s="21" t="str">
        <x:v>A3321</x:v>
      </x:c>
      <x:c r="C3327" s="21" t="str">
        <x:v>lots</x:v>
      </x:c>
      <x:c r="D3327" s="21" t="str">
        <x:v>lot 20 evidence open</x:v>
      </x:c>
      <x:c r="E3327" s="21" t="n">
        <x:f>IF('Article Lots'!N20="OPEN",1,0)</x:f>
        <x:v>1</x:v>
      </x:c>
      <x:c r="F3327" s="21" t="n">
        <x:v>1</x:v>
      </x:c>
      <x:c r="G3327" s="23" t="str">
        <x:f>IF(E3327=F3327,"PASS","FAIL")</x:f>
        <x:v>PASS</x:v>
      </x:c>
    </x:row>
    <x:row r="3328">
      <x:c r="B3328" s="21" t="str">
        <x:v>A3322</x:v>
      </x:c>
      <x:c r="C3328" s="21" t="str">
        <x:v>lots</x:v>
      </x:c>
      <x:c r="D3328" s="21" t="str">
        <x:v>lot 21 positive quantity</x:v>
      </x:c>
      <x:c r="E3328" s="21" t="n">
        <x:f>IF('Article Lots'!G21&gt;0,1,0)</x:f>
        <x:v>1</x:v>
      </x:c>
      <x:c r="F3328" s="21" t="n">
        <x:v>1</x:v>
      </x:c>
      <x:c r="G3328" s="23" t="str">
        <x:f>IF(E3328=F3328,"PASS","FAIL")</x:f>
        <x:v>PASS</x:v>
      </x:c>
    </x:row>
    <x:row r="3329">
      <x:c r="B3329" s="21" t="str">
        <x:v>A3323</x:v>
      </x:c>
      <x:c r="C3329" s="21" t="str">
        <x:v>lots</x:v>
      </x:c>
      <x:c r="D3329" s="21" t="str">
        <x:v>lot 21 cost formula</x:v>
      </x:c>
      <x:c r="E3329" s="21" t="n">
        <x:f>IF(ABS('Article Lots'!I21-'Article Lots'!G21*'Article Lots'!H21/1000)&lt;0.000001,1,0)</x:f>
        <x:v>1</x:v>
      </x:c>
      <x:c r="F3329" s="21" t="n">
        <x:v>1</x:v>
      </x:c>
      <x:c r="G3329" s="23" t="str">
        <x:f>IF(E3329=F3329,"PASS","FAIL")</x:f>
        <x:v>PASS</x:v>
      </x:c>
    </x:row>
    <x:row r="3330">
      <x:c r="B3330" s="21" t="str">
        <x:v>A3324</x:v>
      </x:c>
      <x:c r="C3330" s="21" t="str">
        <x:v>lots</x:v>
      </x:c>
      <x:c r="D3330" s="21" t="str">
        <x:v>lot 21 schedule margin</x:v>
      </x:c>
      <x:c r="E3330" s="21" t="n">
        <x:f>IF('Article Lots'!L21='Article Lots'!K21-'Article Lots'!J21,1,0)</x:f>
        <x:v>1</x:v>
      </x:c>
      <x:c r="F3330" s="21" t="n">
        <x:v>1</x:v>
      </x:c>
      <x:c r="G3330" s="23" t="str">
        <x:f>IF(E3330=F3330,"PASS","FAIL")</x:f>
        <x:v>PASS</x:v>
      </x:c>
    </x:row>
    <x:row r="3331">
      <x:c r="B3331" s="21" t="str">
        <x:v>A3325</x:v>
      </x:c>
      <x:c r="C3331" s="21" t="str">
        <x:v>lots</x:v>
      </x:c>
      <x:c r="D3331" s="21" t="str">
        <x:v>lot 21 released before need</x:v>
      </x:c>
      <x:c r="E3331" s="21" t="n">
        <x:f>IF('Article Lots'!J21&lt;'Article Lots'!K21,1,0)</x:f>
        <x:v>1</x:v>
      </x:c>
      <x:c r="F3331" s="21" t="n">
        <x:v>1</x:v>
      </x:c>
      <x:c r="G3331" s="23" t="str">
        <x:f>IF(E3331=F3331,"PASS","FAIL")</x:f>
        <x:v>PASS</x:v>
      </x:c>
    </x:row>
    <x:row r="3332">
      <x:c r="B3332" s="21" t="str">
        <x:v>A3326</x:v>
      </x:c>
      <x:c r="C3332" s="21" t="str">
        <x:v>lots</x:v>
      </x:c>
      <x:c r="D3332" s="21" t="str">
        <x:v>lot 21 evidence open</x:v>
      </x:c>
      <x:c r="E3332" s="21" t="n">
        <x:f>IF('Article Lots'!N21="OPEN",1,0)</x:f>
        <x:v>1</x:v>
      </x:c>
      <x:c r="F3332" s="21" t="n">
        <x:v>1</x:v>
      </x:c>
      <x:c r="G3332" s="23" t="str">
        <x:f>IF(E3332=F3332,"PASS","FAIL")</x:f>
        <x:v>PASS</x:v>
      </x:c>
    </x:row>
    <x:row r="3333">
      <x:c r="B3333" s="21" t="str">
        <x:v>A3327</x:v>
      </x:c>
      <x:c r="C3333" s="21" t="str">
        <x:v>lots</x:v>
      </x:c>
      <x:c r="D3333" s="21" t="str">
        <x:v>lot 22 positive quantity</x:v>
      </x:c>
      <x:c r="E3333" s="21" t="n">
        <x:f>IF('Article Lots'!G22&gt;0,1,0)</x:f>
        <x:v>1</x:v>
      </x:c>
      <x:c r="F3333" s="21" t="n">
        <x:v>1</x:v>
      </x:c>
      <x:c r="G3333" s="23" t="str">
        <x:f>IF(E3333=F3333,"PASS","FAIL")</x:f>
        <x:v>PASS</x:v>
      </x:c>
    </x:row>
    <x:row r="3334">
      <x:c r="B3334" s="21" t="str">
        <x:v>A3328</x:v>
      </x:c>
      <x:c r="C3334" s="21" t="str">
        <x:v>lots</x:v>
      </x:c>
      <x:c r="D3334" s="21" t="str">
        <x:v>lot 22 cost formula</x:v>
      </x:c>
      <x:c r="E3334" s="21" t="n">
        <x:f>IF(ABS('Article Lots'!I22-'Article Lots'!G22*'Article Lots'!H22/1000)&lt;0.000001,1,0)</x:f>
        <x:v>1</x:v>
      </x:c>
      <x:c r="F3334" s="21" t="n">
        <x:v>1</x:v>
      </x:c>
      <x:c r="G3334" s="23" t="str">
        <x:f>IF(E3334=F3334,"PASS","FAIL")</x:f>
        <x:v>PASS</x:v>
      </x:c>
    </x:row>
    <x:row r="3335">
      <x:c r="B3335" s="21" t="str">
        <x:v>A3329</x:v>
      </x:c>
      <x:c r="C3335" s="21" t="str">
        <x:v>lots</x:v>
      </x:c>
      <x:c r="D3335" s="21" t="str">
        <x:v>lot 22 schedule margin</x:v>
      </x:c>
      <x:c r="E3335" s="21" t="n">
        <x:f>IF('Article Lots'!L22='Article Lots'!K22-'Article Lots'!J22,1,0)</x:f>
        <x:v>1</x:v>
      </x:c>
      <x:c r="F3335" s="21" t="n">
        <x:v>1</x:v>
      </x:c>
      <x:c r="G3335" s="23" t="str">
        <x:f>IF(E3335=F3335,"PASS","FAIL")</x:f>
        <x:v>PASS</x:v>
      </x:c>
    </x:row>
    <x:row r="3336">
      <x:c r="B3336" s="21" t="str">
        <x:v>A3330</x:v>
      </x:c>
      <x:c r="C3336" s="21" t="str">
        <x:v>lots</x:v>
      </x:c>
      <x:c r="D3336" s="21" t="str">
        <x:v>lot 22 released before need</x:v>
      </x:c>
      <x:c r="E3336" s="21" t="n">
        <x:f>IF('Article Lots'!J22&lt;'Article Lots'!K22,1,0)</x:f>
        <x:v>1</x:v>
      </x:c>
      <x:c r="F3336" s="21" t="n">
        <x:v>1</x:v>
      </x:c>
      <x:c r="G3336" s="23" t="str">
        <x:f>IF(E3336=F3336,"PASS","FAIL")</x:f>
        <x:v>PASS</x:v>
      </x:c>
    </x:row>
    <x:row r="3337">
      <x:c r="B3337" s="21" t="str">
        <x:v>A3331</x:v>
      </x:c>
      <x:c r="C3337" s="21" t="str">
        <x:v>lots</x:v>
      </x:c>
      <x:c r="D3337" s="21" t="str">
        <x:v>lot 22 evidence open</x:v>
      </x:c>
      <x:c r="E3337" s="21" t="n">
        <x:f>IF('Article Lots'!N22="OPEN",1,0)</x:f>
        <x:v>1</x:v>
      </x:c>
      <x:c r="F3337" s="21" t="n">
        <x:v>1</x:v>
      </x:c>
      <x:c r="G3337" s="23" t="str">
        <x:f>IF(E3337=F3337,"PASS","FAIL")</x:f>
        <x:v>PASS</x:v>
      </x:c>
    </x:row>
    <x:row r="3338">
      <x:c r="B3338" s="21" t="str">
        <x:v>A3332</x:v>
      </x:c>
      <x:c r="C3338" s="21" t="str">
        <x:v>lots</x:v>
      </x:c>
      <x:c r="D3338" s="21" t="str">
        <x:v>lot 23 positive quantity</x:v>
      </x:c>
      <x:c r="E3338" s="21" t="n">
        <x:f>IF('Article Lots'!G23&gt;0,1,0)</x:f>
        <x:v>1</x:v>
      </x:c>
      <x:c r="F3338" s="21" t="n">
        <x:v>1</x:v>
      </x:c>
      <x:c r="G3338" s="23" t="str">
        <x:f>IF(E3338=F3338,"PASS","FAIL")</x:f>
        <x:v>PASS</x:v>
      </x:c>
    </x:row>
    <x:row r="3339">
      <x:c r="B3339" s="21" t="str">
        <x:v>A3333</x:v>
      </x:c>
      <x:c r="C3339" s="21" t="str">
        <x:v>lots</x:v>
      </x:c>
      <x:c r="D3339" s="21" t="str">
        <x:v>lot 23 cost formula</x:v>
      </x:c>
      <x:c r="E3339" s="21" t="n">
        <x:f>IF(ABS('Article Lots'!I23-'Article Lots'!G23*'Article Lots'!H23/1000)&lt;0.000001,1,0)</x:f>
        <x:v>1</x:v>
      </x:c>
      <x:c r="F3339" s="21" t="n">
        <x:v>1</x:v>
      </x:c>
      <x:c r="G3339" s="23" t="str">
        <x:f>IF(E3339=F3339,"PASS","FAIL")</x:f>
        <x:v>PASS</x:v>
      </x:c>
    </x:row>
    <x:row r="3340">
      <x:c r="B3340" s="21" t="str">
        <x:v>A3334</x:v>
      </x:c>
      <x:c r="C3340" s="21" t="str">
        <x:v>lots</x:v>
      </x:c>
      <x:c r="D3340" s="21" t="str">
        <x:v>lot 23 schedule margin</x:v>
      </x:c>
      <x:c r="E3340" s="21" t="n">
        <x:f>IF('Article Lots'!L23='Article Lots'!K23-'Article Lots'!J23,1,0)</x:f>
        <x:v>1</x:v>
      </x:c>
      <x:c r="F3340" s="21" t="n">
        <x:v>1</x:v>
      </x:c>
      <x:c r="G3340" s="23" t="str">
        <x:f>IF(E3340=F3340,"PASS","FAIL")</x:f>
        <x:v>PASS</x:v>
      </x:c>
    </x:row>
    <x:row r="3341">
      <x:c r="B3341" s="21" t="str">
        <x:v>A3335</x:v>
      </x:c>
      <x:c r="C3341" s="21" t="str">
        <x:v>lots</x:v>
      </x:c>
      <x:c r="D3341" s="21" t="str">
        <x:v>lot 23 released before need</x:v>
      </x:c>
      <x:c r="E3341" s="21" t="n">
        <x:f>IF('Article Lots'!J23&lt;'Article Lots'!K23,1,0)</x:f>
        <x:v>1</x:v>
      </x:c>
      <x:c r="F3341" s="21" t="n">
        <x:v>1</x:v>
      </x:c>
      <x:c r="G3341" s="23" t="str">
        <x:f>IF(E3341=F3341,"PASS","FAIL")</x:f>
        <x:v>PASS</x:v>
      </x:c>
    </x:row>
    <x:row r="3342">
      <x:c r="B3342" s="21" t="str">
        <x:v>A3336</x:v>
      </x:c>
      <x:c r="C3342" s="21" t="str">
        <x:v>lots</x:v>
      </x:c>
      <x:c r="D3342" s="21" t="str">
        <x:v>lot 23 evidence open</x:v>
      </x:c>
      <x:c r="E3342" s="21" t="n">
        <x:f>IF('Article Lots'!N23="OPEN",1,0)</x:f>
        <x:v>1</x:v>
      </x:c>
      <x:c r="F3342" s="21" t="n">
        <x:v>1</x:v>
      </x:c>
      <x:c r="G3342" s="23" t="str">
        <x:f>IF(E3342=F3342,"PASS","FAIL")</x:f>
        <x:v>PASS</x:v>
      </x:c>
    </x:row>
    <x:row r="3343">
      <x:c r="B3343" s="21" t="str">
        <x:v>A3337</x:v>
      </x:c>
      <x:c r="C3343" s="21" t="str">
        <x:v>lots</x:v>
      </x:c>
      <x:c r="D3343" s="21" t="str">
        <x:v>lot 24 positive quantity</x:v>
      </x:c>
      <x:c r="E3343" s="21" t="n">
        <x:f>IF('Article Lots'!G24&gt;0,1,0)</x:f>
        <x:v>1</x:v>
      </x:c>
      <x:c r="F3343" s="21" t="n">
        <x:v>1</x:v>
      </x:c>
      <x:c r="G3343" s="23" t="str">
        <x:f>IF(E3343=F3343,"PASS","FAIL")</x:f>
        <x:v>PASS</x:v>
      </x:c>
    </x:row>
    <x:row r="3344">
      <x:c r="B3344" s="21" t="str">
        <x:v>A3338</x:v>
      </x:c>
      <x:c r="C3344" s="21" t="str">
        <x:v>lots</x:v>
      </x:c>
      <x:c r="D3344" s="21" t="str">
        <x:v>lot 24 cost formula</x:v>
      </x:c>
      <x:c r="E3344" s="21" t="n">
        <x:f>IF(ABS('Article Lots'!I24-'Article Lots'!G24*'Article Lots'!H24/1000)&lt;0.000001,1,0)</x:f>
        <x:v>1</x:v>
      </x:c>
      <x:c r="F3344" s="21" t="n">
        <x:v>1</x:v>
      </x:c>
      <x:c r="G3344" s="23" t="str">
        <x:f>IF(E3344=F3344,"PASS","FAIL")</x:f>
        <x:v>PASS</x:v>
      </x:c>
    </x:row>
    <x:row r="3345">
      <x:c r="B3345" s="21" t="str">
        <x:v>A3339</x:v>
      </x:c>
      <x:c r="C3345" s="21" t="str">
        <x:v>lots</x:v>
      </x:c>
      <x:c r="D3345" s="21" t="str">
        <x:v>lot 24 schedule margin</x:v>
      </x:c>
      <x:c r="E3345" s="21" t="n">
        <x:f>IF('Article Lots'!L24='Article Lots'!K24-'Article Lots'!J24,1,0)</x:f>
        <x:v>1</x:v>
      </x:c>
      <x:c r="F3345" s="21" t="n">
        <x:v>1</x:v>
      </x:c>
      <x:c r="G3345" s="23" t="str">
        <x:f>IF(E3345=F3345,"PASS","FAIL")</x:f>
        <x:v>PASS</x:v>
      </x:c>
    </x:row>
    <x:row r="3346">
      <x:c r="B3346" s="21" t="str">
        <x:v>A3340</x:v>
      </x:c>
      <x:c r="C3346" s="21" t="str">
        <x:v>lots</x:v>
      </x:c>
      <x:c r="D3346" s="21" t="str">
        <x:v>lot 24 released before need</x:v>
      </x:c>
      <x:c r="E3346" s="21" t="n">
        <x:f>IF('Article Lots'!J24&lt;'Article Lots'!K24,1,0)</x:f>
        <x:v>1</x:v>
      </x:c>
      <x:c r="F3346" s="21" t="n">
        <x:v>1</x:v>
      </x:c>
      <x:c r="G3346" s="23" t="str">
        <x:f>IF(E3346=F3346,"PASS","FAIL")</x:f>
        <x:v>PASS</x:v>
      </x:c>
    </x:row>
    <x:row r="3347">
      <x:c r="B3347" s="21" t="str">
        <x:v>A3341</x:v>
      </x:c>
      <x:c r="C3347" s="21" t="str">
        <x:v>lots</x:v>
      </x:c>
      <x:c r="D3347" s="21" t="str">
        <x:v>lot 24 evidence open</x:v>
      </x:c>
      <x:c r="E3347" s="21" t="n">
        <x:f>IF('Article Lots'!N24="OPEN",1,0)</x:f>
        <x:v>1</x:v>
      </x:c>
      <x:c r="F3347" s="21" t="n">
        <x:v>1</x:v>
      </x:c>
      <x:c r="G3347" s="23" t="str">
        <x:f>IF(E3347=F3347,"PASS","FAIL")</x:f>
        <x:v>PASS</x:v>
      </x:c>
    </x:row>
    <x:row r="3348">
      <x:c r="B3348" s="21" t="str">
        <x:v>A3342</x:v>
      </x:c>
      <x:c r="C3348" s="21" t="str">
        <x:v>lots</x:v>
      </x:c>
      <x:c r="D3348" s="21" t="str">
        <x:v>lot 25 positive quantity</x:v>
      </x:c>
      <x:c r="E3348" s="21" t="n">
        <x:f>IF('Article Lots'!G25&gt;0,1,0)</x:f>
        <x:v>1</x:v>
      </x:c>
      <x:c r="F3348" s="21" t="n">
        <x:v>1</x:v>
      </x:c>
      <x:c r="G3348" s="23" t="str">
        <x:f>IF(E3348=F3348,"PASS","FAIL")</x:f>
        <x:v>PASS</x:v>
      </x:c>
    </x:row>
    <x:row r="3349">
      <x:c r="B3349" s="21" t="str">
        <x:v>A3343</x:v>
      </x:c>
      <x:c r="C3349" s="21" t="str">
        <x:v>lots</x:v>
      </x:c>
      <x:c r="D3349" s="21" t="str">
        <x:v>lot 25 cost formula</x:v>
      </x:c>
      <x:c r="E3349" s="21" t="n">
        <x:f>IF(ABS('Article Lots'!I25-'Article Lots'!G25*'Article Lots'!H25/1000)&lt;0.000001,1,0)</x:f>
        <x:v>1</x:v>
      </x:c>
      <x:c r="F3349" s="21" t="n">
        <x:v>1</x:v>
      </x:c>
      <x:c r="G3349" s="23" t="str">
        <x:f>IF(E3349=F3349,"PASS","FAIL")</x:f>
        <x:v>PASS</x:v>
      </x:c>
    </x:row>
    <x:row r="3350">
      <x:c r="B3350" s="21" t="str">
        <x:v>A3344</x:v>
      </x:c>
      <x:c r="C3350" s="21" t="str">
        <x:v>lots</x:v>
      </x:c>
      <x:c r="D3350" s="21" t="str">
        <x:v>lot 25 schedule margin</x:v>
      </x:c>
      <x:c r="E3350" s="21" t="n">
        <x:f>IF('Article Lots'!L25='Article Lots'!K25-'Article Lots'!J25,1,0)</x:f>
        <x:v>1</x:v>
      </x:c>
      <x:c r="F3350" s="21" t="n">
        <x:v>1</x:v>
      </x:c>
      <x:c r="G3350" s="23" t="str">
        <x:f>IF(E3350=F3350,"PASS","FAIL")</x:f>
        <x:v>PASS</x:v>
      </x:c>
    </x:row>
    <x:row r="3351">
      <x:c r="B3351" s="21" t="str">
        <x:v>A3345</x:v>
      </x:c>
      <x:c r="C3351" s="21" t="str">
        <x:v>lots</x:v>
      </x:c>
      <x:c r="D3351" s="21" t="str">
        <x:v>lot 25 released before need</x:v>
      </x:c>
      <x:c r="E3351" s="21" t="n">
        <x:f>IF('Article Lots'!J25&lt;'Article Lots'!K25,1,0)</x:f>
        <x:v>1</x:v>
      </x:c>
      <x:c r="F3351" s="21" t="n">
        <x:v>1</x:v>
      </x:c>
      <x:c r="G3351" s="23" t="str">
        <x:f>IF(E3351=F3351,"PASS","FAIL")</x:f>
        <x:v>PASS</x:v>
      </x:c>
    </x:row>
    <x:row r="3352">
      <x:c r="B3352" s="21" t="str">
        <x:v>A3346</x:v>
      </x:c>
      <x:c r="C3352" s="21" t="str">
        <x:v>lots</x:v>
      </x:c>
      <x:c r="D3352" s="21" t="str">
        <x:v>lot 25 evidence open</x:v>
      </x:c>
      <x:c r="E3352" s="21" t="n">
        <x:f>IF('Article Lots'!N25="OPEN",1,0)</x:f>
        <x:v>1</x:v>
      </x:c>
      <x:c r="F3352" s="21" t="n">
        <x:v>1</x:v>
      </x:c>
      <x:c r="G3352" s="23" t="str">
        <x:f>IF(E3352=F3352,"PASS","FAIL")</x:f>
        <x:v>PASS</x:v>
      </x:c>
    </x:row>
    <x:row r="3353">
      <x:c r="B3353" s="21" t="str">
        <x:v>A3347</x:v>
      </x:c>
      <x:c r="C3353" s="21" t="str">
        <x:v>lots</x:v>
      </x:c>
      <x:c r="D3353" s="21" t="str">
        <x:v>lot 26 positive quantity</x:v>
      </x:c>
      <x:c r="E3353" s="21" t="n">
        <x:f>IF('Article Lots'!G26&gt;0,1,0)</x:f>
        <x:v>1</x:v>
      </x:c>
      <x:c r="F3353" s="21" t="n">
        <x:v>1</x:v>
      </x:c>
      <x:c r="G3353" s="23" t="str">
        <x:f>IF(E3353=F3353,"PASS","FAIL")</x:f>
        <x:v>PASS</x:v>
      </x:c>
    </x:row>
    <x:row r="3354">
      <x:c r="B3354" s="21" t="str">
        <x:v>A3348</x:v>
      </x:c>
      <x:c r="C3354" s="21" t="str">
        <x:v>lots</x:v>
      </x:c>
      <x:c r="D3354" s="21" t="str">
        <x:v>lot 26 cost formula</x:v>
      </x:c>
      <x:c r="E3354" s="21" t="n">
        <x:f>IF(ABS('Article Lots'!I26-'Article Lots'!G26*'Article Lots'!H26/1000)&lt;0.000001,1,0)</x:f>
        <x:v>1</x:v>
      </x:c>
      <x:c r="F3354" s="21" t="n">
        <x:v>1</x:v>
      </x:c>
      <x:c r="G3354" s="23" t="str">
        <x:f>IF(E3354=F3354,"PASS","FAIL")</x:f>
        <x:v>PASS</x:v>
      </x:c>
    </x:row>
    <x:row r="3355">
      <x:c r="B3355" s="21" t="str">
        <x:v>A3349</x:v>
      </x:c>
      <x:c r="C3355" s="21" t="str">
        <x:v>lots</x:v>
      </x:c>
      <x:c r="D3355" s="21" t="str">
        <x:v>lot 26 schedule margin</x:v>
      </x:c>
      <x:c r="E3355" s="21" t="n">
        <x:f>IF('Article Lots'!L26='Article Lots'!K26-'Article Lots'!J26,1,0)</x:f>
        <x:v>1</x:v>
      </x:c>
      <x:c r="F3355" s="21" t="n">
        <x:v>1</x:v>
      </x:c>
      <x:c r="G3355" s="23" t="str">
        <x:f>IF(E3355=F3355,"PASS","FAIL")</x:f>
        <x:v>PASS</x:v>
      </x:c>
    </x:row>
    <x:row r="3356">
      <x:c r="B3356" s="21" t="str">
        <x:v>A3350</x:v>
      </x:c>
      <x:c r="C3356" s="21" t="str">
        <x:v>lots</x:v>
      </x:c>
      <x:c r="D3356" s="21" t="str">
        <x:v>lot 26 released before need</x:v>
      </x:c>
      <x:c r="E3356" s="21" t="n">
        <x:f>IF('Article Lots'!J26&lt;'Article Lots'!K26,1,0)</x:f>
        <x:v>1</x:v>
      </x:c>
      <x:c r="F3356" s="21" t="n">
        <x:v>1</x:v>
      </x:c>
      <x:c r="G3356" s="23" t="str">
        <x:f>IF(E3356=F3356,"PASS","FAIL")</x:f>
        <x:v>PASS</x:v>
      </x:c>
    </x:row>
    <x:row r="3357">
      <x:c r="B3357" s="21" t="str">
        <x:v>A3351</x:v>
      </x:c>
      <x:c r="C3357" s="21" t="str">
        <x:v>lots</x:v>
      </x:c>
      <x:c r="D3357" s="21" t="str">
        <x:v>lot 26 evidence open</x:v>
      </x:c>
      <x:c r="E3357" s="21" t="n">
        <x:f>IF('Article Lots'!N26="OPEN",1,0)</x:f>
        <x:v>1</x:v>
      </x:c>
      <x:c r="F3357" s="21" t="n">
        <x:v>1</x:v>
      </x:c>
      <x:c r="G3357" s="23" t="str">
        <x:f>IF(E3357=F3357,"PASS","FAIL")</x:f>
        <x:v>PASS</x:v>
      </x:c>
    </x:row>
    <x:row r="3358">
      <x:c r="B3358" s="21" t="str">
        <x:v>A3352</x:v>
      </x:c>
      <x:c r="C3358" s="21" t="str">
        <x:v>lots</x:v>
      </x:c>
      <x:c r="D3358" s="21" t="str">
        <x:v>lot 27 positive quantity</x:v>
      </x:c>
      <x:c r="E3358" s="21" t="n">
        <x:f>IF('Article Lots'!G27&gt;0,1,0)</x:f>
        <x:v>1</x:v>
      </x:c>
      <x:c r="F3358" s="21" t="n">
        <x:v>1</x:v>
      </x:c>
      <x:c r="G3358" s="23" t="str">
        <x:f>IF(E3358=F3358,"PASS","FAIL")</x:f>
        <x:v>PASS</x:v>
      </x:c>
    </x:row>
    <x:row r="3359">
      <x:c r="B3359" s="21" t="str">
        <x:v>A3353</x:v>
      </x:c>
      <x:c r="C3359" s="21" t="str">
        <x:v>lots</x:v>
      </x:c>
      <x:c r="D3359" s="21" t="str">
        <x:v>lot 27 cost formula</x:v>
      </x:c>
      <x:c r="E3359" s="21" t="n">
        <x:f>IF(ABS('Article Lots'!I27-'Article Lots'!G27*'Article Lots'!H27/1000)&lt;0.000001,1,0)</x:f>
        <x:v>1</x:v>
      </x:c>
      <x:c r="F3359" s="21" t="n">
        <x:v>1</x:v>
      </x:c>
      <x:c r="G3359" s="23" t="str">
        <x:f>IF(E3359=F3359,"PASS","FAIL")</x:f>
        <x:v>PASS</x:v>
      </x:c>
    </x:row>
    <x:row r="3360">
      <x:c r="B3360" s="21" t="str">
        <x:v>A3354</x:v>
      </x:c>
      <x:c r="C3360" s="21" t="str">
        <x:v>lots</x:v>
      </x:c>
      <x:c r="D3360" s="21" t="str">
        <x:v>lot 27 schedule margin</x:v>
      </x:c>
      <x:c r="E3360" s="21" t="n">
        <x:f>IF('Article Lots'!L27='Article Lots'!K27-'Article Lots'!J27,1,0)</x:f>
        <x:v>1</x:v>
      </x:c>
      <x:c r="F3360" s="21" t="n">
        <x:v>1</x:v>
      </x:c>
      <x:c r="G3360" s="23" t="str">
        <x:f>IF(E3360=F3360,"PASS","FAIL")</x:f>
        <x:v>PASS</x:v>
      </x:c>
    </x:row>
    <x:row r="3361">
      <x:c r="B3361" s="21" t="str">
        <x:v>A3355</x:v>
      </x:c>
      <x:c r="C3361" s="21" t="str">
        <x:v>lots</x:v>
      </x:c>
      <x:c r="D3361" s="21" t="str">
        <x:v>lot 27 released before need</x:v>
      </x:c>
      <x:c r="E3361" s="21" t="n">
        <x:f>IF('Article Lots'!J27&lt;'Article Lots'!K27,1,0)</x:f>
        <x:v>1</x:v>
      </x:c>
      <x:c r="F3361" s="21" t="n">
        <x:v>1</x:v>
      </x:c>
      <x:c r="G3361" s="23" t="str">
        <x:f>IF(E3361=F3361,"PASS","FAIL")</x:f>
        <x:v>PASS</x:v>
      </x:c>
    </x:row>
    <x:row r="3362">
      <x:c r="B3362" s="21" t="str">
        <x:v>A3356</x:v>
      </x:c>
      <x:c r="C3362" s="21" t="str">
        <x:v>lots</x:v>
      </x:c>
      <x:c r="D3362" s="21" t="str">
        <x:v>lot 27 evidence open</x:v>
      </x:c>
      <x:c r="E3362" s="21" t="n">
        <x:f>IF('Article Lots'!N27="OPEN",1,0)</x:f>
        <x:v>1</x:v>
      </x:c>
      <x:c r="F3362" s="21" t="n">
        <x:v>1</x:v>
      </x:c>
      <x:c r="G3362" s="23" t="str">
        <x:f>IF(E3362=F3362,"PASS","FAIL")</x:f>
        <x:v>PASS</x:v>
      </x:c>
    </x:row>
    <x:row r="3363">
      <x:c r="B3363" s="21" t="str">
        <x:v>A3357</x:v>
      </x:c>
      <x:c r="C3363" s="21" t="str">
        <x:v>lots</x:v>
      </x:c>
      <x:c r="D3363" s="21" t="str">
        <x:v>lot 28 positive quantity</x:v>
      </x:c>
      <x:c r="E3363" s="21" t="n">
        <x:f>IF('Article Lots'!G28&gt;0,1,0)</x:f>
        <x:v>1</x:v>
      </x:c>
      <x:c r="F3363" s="21" t="n">
        <x:v>1</x:v>
      </x:c>
      <x:c r="G3363" s="23" t="str">
        <x:f>IF(E3363=F3363,"PASS","FAIL")</x:f>
        <x:v>PASS</x:v>
      </x:c>
    </x:row>
    <x:row r="3364">
      <x:c r="B3364" s="21" t="str">
        <x:v>A3358</x:v>
      </x:c>
      <x:c r="C3364" s="21" t="str">
        <x:v>lots</x:v>
      </x:c>
      <x:c r="D3364" s="21" t="str">
        <x:v>lot 28 cost formula</x:v>
      </x:c>
      <x:c r="E3364" s="21" t="n">
        <x:f>IF(ABS('Article Lots'!I28-'Article Lots'!G28*'Article Lots'!H28/1000)&lt;0.000001,1,0)</x:f>
        <x:v>1</x:v>
      </x:c>
      <x:c r="F3364" s="21" t="n">
        <x:v>1</x:v>
      </x:c>
      <x:c r="G3364" s="23" t="str">
        <x:f>IF(E3364=F3364,"PASS","FAIL")</x:f>
        <x:v>PASS</x:v>
      </x:c>
    </x:row>
    <x:row r="3365">
      <x:c r="B3365" s="21" t="str">
        <x:v>A3359</x:v>
      </x:c>
      <x:c r="C3365" s="21" t="str">
        <x:v>lots</x:v>
      </x:c>
      <x:c r="D3365" s="21" t="str">
        <x:v>lot 28 schedule margin</x:v>
      </x:c>
      <x:c r="E3365" s="21" t="n">
        <x:f>IF('Article Lots'!L28='Article Lots'!K28-'Article Lots'!J28,1,0)</x:f>
        <x:v>1</x:v>
      </x:c>
      <x:c r="F3365" s="21" t="n">
        <x:v>1</x:v>
      </x:c>
      <x:c r="G3365" s="23" t="str">
        <x:f>IF(E3365=F3365,"PASS","FAIL")</x:f>
        <x:v>PASS</x:v>
      </x:c>
    </x:row>
    <x:row r="3366">
      <x:c r="B3366" s="21" t="str">
        <x:v>A3360</x:v>
      </x:c>
      <x:c r="C3366" s="21" t="str">
        <x:v>lots</x:v>
      </x:c>
      <x:c r="D3366" s="21" t="str">
        <x:v>lot 28 released before need</x:v>
      </x:c>
      <x:c r="E3366" s="21" t="n">
        <x:f>IF('Article Lots'!J28&lt;'Article Lots'!K28,1,0)</x:f>
        <x:v>1</x:v>
      </x:c>
      <x:c r="F3366" s="21" t="n">
        <x:v>1</x:v>
      </x:c>
      <x:c r="G3366" s="23" t="str">
        <x:f>IF(E3366=F3366,"PASS","FAIL")</x:f>
        <x:v>PASS</x:v>
      </x:c>
    </x:row>
    <x:row r="3367">
      <x:c r="B3367" s="21" t="str">
        <x:v>A3361</x:v>
      </x:c>
      <x:c r="C3367" s="21" t="str">
        <x:v>lots</x:v>
      </x:c>
      <x:c r="D3367" s="21" t="str">
        <x:v>lot 28 evidence open</x:v>
      </x:c>
      <x:c r="E3367" s="21" t="n">
        <x:f>IF('Article Lots'!N28="OPEN",1,0)</x:f>
        <x:v>1</x:v>
      </x:c>
      <x:c r="F3367" s="21" t="n">
        <x:v>1</x:v>
      </x:c>
      <x:c r="G3367" s="23" t="str">
        <x:f>IF(E3367=F3367,"PASS","FAIL")</x:f>
        <x:v>PASS</x:v>
      </x:c>
    </x:row>
    <x:row r="3368">
      <x:c r="B3368" s="21" t="str">
        <x:v>A3362</x:v>
      </x:c>
      <x:c r="C3368" s="21" t="str">
        <x:v>lots</x:v>
      </x:c>
      <x:c r="D3368" s="21" t="str">
        <x:v>lot 29 positive quantity</x:v>
      </x:c>
      <x:c r="E3368" s="21" t="n">
        <x:f>IF('Article Lots'!G29&gt;0,1,0)</x:f>
        <x:v>1</x:v>
      </x:c>
      <x:c r="F3368" s="21" t="n">
        <x:v>1</x:v>
      </x:c>
      <x:c r="G3368" s="23" t="str">
        <x:f>IF(E3368=F3368,"PASS","FAIL")</x:f>
        <x:v>PASS</x:v>
      </x:c>
    </x:row>
    <x:row r="3369">
      <x:c r="B3369" s="21" t="str">
        <x:v>A3363</x:v>
      </x:c>
      <x:c r="C3369" s="21" t="str">
        <x:v>lots</x:v>
      </x:c>
      <x:c r="D3369" s="21" t="str">
        <x:v>lot 29 cost formula</x:v>
      </x:c>
      <x:c r="E3369" s="21" t="n">
        <x:f>IF(ABS('Article Lots'!I29-'Article Lots'!G29*'Article Lots'!H29/1000)&lt;0.000001,1,0)</x:f>
        <x:v>1</x:v>
      </x:c>
      <x:c r="F3369" s="21" t="n">
        <x:v>1</x:v>
      </x:c>
      <x:c r="G3369" s="23" t="str">
        <x:f>IF(E3369=F3369,"PASS","FAIL")</x:f>
        <x:v>PASS</x:v>
      </x:c>
    </x:row>
    <x:row r="3370">
      <x:c r="B3370" s="21" t="str">
        <x:v>A3364</x:v>
      </x:c>
      <x:c r="C3370" s="21" t="str">
        <x:v>lots</x:v>
      </x:c>
      <x:c r="D3370" s="21" t="str">
        <x:v>lot 29 schedule margin</x:v>
      </x:c>
      <x:c r="E3370" s="21" t="n">
        <x:f>IF('Article Lots'!L29='Article Lots'!K29-'Article Lots'!J29,1,0)</x:f>
        <x:v>1</x:v>
      </x:c>
      <x:c r="F3370" s="21" t="n">
        <x:v>1</x:v>
      </x:c>
      <x:c r="G3370" s="23" t="str">
        <x:f>IF(E3370=F3370,"PASS","FAIL")</x:f>
        <x:v>PASS</x:v>
      </x:c>
    </x:row>
    <x:row r="3371">
      <x:c r="B3371" s="21" t="str">
        <x:v>A3365</x:v>
      </x:c>
      <x:c r="C3371" s="21" t="str">
        <x:v>lots</x:v>
      </x:c>
      <x:c r="D3371" s="21" t="str">
        <x:v>lot 29 released before need</x:v>
      </x:c>
      <x:c r="E3371" s="21" t="n">
        <x:f>IF('Article Lots'!J29&lt;'Article Lots'!K29,1,0)</x:f>
        <x:v>1</x:v>
      </x:c>
      <x:c r="F3371" s="21" t="n">
        <x:v>1</x:v>
      </x:c>
      <x:c r="G3371" s="23" t="str">
        <x:f>IF(E3371=F3371,"PASS","FAIL")</x:f>
        <x:v>PASS</x:v>
      </x:c>
    </x:row>
    <x:row r="3372">
      <x:c r="B3372" s="21" t="str">
        <x:v>A3366</x:v>
      </x:c>
      <x:c r="C3372" s="21" t="str">
        <x:v>lots</x:v>
      </x:c>
      <x:c r="D3372" s="21" t="str">
        <x:v>lot 29 evidence open</x:v>
      </x:c>
      <x:c r="E3372" s="21" t="n">
        <x:f>IF('Article Lots'!N29="OPEN",1,0)</x:f>
        <x:v>1</x:v>
      </x:c>
      <x:c r="F3372" s="21" t="n">
        <x:v>1</x:v>
      </x:c>
      <x:c r="G3372" s="23" t="str">
        <x:f>IF(E3372=F3372,"PASS","FAIL")</x:f>
        <x:v>PASS</x:v>
      </x:c>
    </x:row>
    <x:row r="3373">
      <x:c r="B3373" s="21" t="str">
        <x:v>A3367</x:v>
      </x:c>
      <x:c r="C3373" s="21" t="str">
        <x:v>lots</x:v>
      </x:c>
      <x:c r="D3373" s="21" t="str">
        <x:v>lot 30 positive quantity</x:v>
      </x:c>
      <x:c r="E3373" s="21" t="n">
        <x:f>IF('Article Lots'!G30&gt;0,1,0)</x:f>
        <x:v>1</x:v>
      </x:c>
      <x:c r="F3373" s="21" t="n">
        <x:v>1</x:v>
      </x:c>
      <x:c r="G3373" s="23" t="str">
        <x:f>IF(E3373=F3373,"PASS","FAIL")</x:f>
        <x:v>PASS</x:v>
      </x:c>
    </x:row>
    <x:row r="3374">
      <x:c r="B3374" s="21" t="str">
        <x:v>A3368</x:v>
      </x:c>
      <x:c r="C3374" s="21" t="str">
        <x:v>lots</x:v>
      </x:c>
      <x:c r="D3374" s="21" t="str">
        <x:v>lot 30 cost formula</x:v>
      </x:c>
      <x:c r="E3374" s="21" t="n">
        <x:f>IF(ABS('Article Lots'!I30-'Article Lots'!G30*'Article Lots'!H30/1000)&lt;0.000001,1,0)</x:f>
        <x:v>1</x:v>
      </x:c>
      <x:c r="F3374" s="21" t="n">
        <x:v>1</x:v>
      </x:c>
      <x:c r="G3374" s="23" t="str">
        <x:f>IF(E3374=F3374,"PASS","FAIL")</x:f>
        <x:v>PASS</x:v>
      </x:c>
    </x:row>
    <x:row r="3375">
      <x:c r="B3375" s="21" t="str">
        <x:v>A3369</x:v>
      </x:c>
      <x:c r="C3375" s="21" t="str">
        <x:v>lots</x:v>
      </x:c>
      <x:c r="D3375" s="21" t="str">
        <x:v>lot 30 schedule margin</x:v>
      </x:c>
      <x:c r="E3375" s="21" t="n">
        <x:f>IF('Article Lots'!L30='Article Lots'!K30-'Article Lots'!J30,1,0)</x:f>
        <x:v>1</x:v>
      </x:c>
      <x:c r="F3375" s="21" t="n">
        <x:v>1</x:v>
      </x:c>
      <x:c r="G3375" s="23" t="str">
        <x:f>IF(E3375=F3375,"PASS","FAIL")</x:f>
        <x:v>PASS</x:v>
      </x:c>
    </x:row>
    <x:row r="3376">
      <x:c r="B3376" s="21" t="str">
        <x:v>A3370</x:v>
      </x:c>
      <x:c r="C3376" s="21" t="str">
        <x:v>lots</x:v>
      </x:c>
      <x:c r="D3376" s="21" t="str">
        <x:v>lot 30 released before need</x:v>
      </x:c>
      <x:c r="E3376" s="21" t="n">
        <x:f>IF('Article Lots'!J30&lt;'Article Lots'!K30,1,0)</x:f>
        <x:v>1</x:v>
      </x:c>
      <x:c r="F3376" s="21" t="n">
        <x:v>1</x:v>
      </x:c>
      <x:c r="G3376" s="23" t="str">
        <x:f>IF(E3376=F3376,"PASS","FAIL")</x:f>
        <x:v>PASS</x:v>
      </x:c>
    </x:row>
    <x:row r="3377">
      <x:c r="B3377" s="21" t="str">
        <x:v>A3371</x:v>
      </x:c>
      <x:c r="C3377" s="21" t="str">
        <x:v>lots</x:v>
      </x:c>
      <x:c r="D3377" s="21" t="str">
        <x:v>lot 30 evidence open</x:v>
      </x:c>
      <x:c r="E3377" s="21" t="n">
        <x:f>IF('Article Lots'!N30="OPEN",1,0)</x:f>
        <x:v>1</x:v>
      </x:c>
      <x:c r="F3377" s="21" t="n">
        <x:v>1</x:v>
      </x:c>
      <x:c r="G3377" s="23" t="str">
        <x:f>IF(E3377=F3377,"PASS","FAIL")</x:f>
        <x:v>PASS</x:v>
      </x:c>
    </x:row>
    <x:row r="3378">
      <x:c r="B3378" s="21" t="str">
        <x:v>A3372</x:v>
      </x:c>
      <x:c r="C3378" s="21" t="str">
        <x:v>lots</x:v>
      </x:c>
      <x:c r="D3378" s="21" t="str">
        <x:v>lot 31 positive quantity</x:v>
      </x:c>
      <x:c r="E3378" s="21" t="n">
        <x:f>IF('Article Lots'!G31&gt;0,1,0)</x:f>
        <x:v>1</x:v>
      </x:c>
      <x:c r="F3378" s="21" t="n">
        <x:v>1</x:v>
      </x:c>
      <x:c r="G3378" s="23" t="str">
        <x:f>IF(E3378=F3378,"PASS","FAIL")</x:f>
        <x:v>PASS</x:v>
      </x:c>
    </x:row>
    <x:row r="3379">
      <x:c r="B3379" s="21" t="str">
        <x:v>A3373</x:v>
      </x:c>
      <x:c r="C3379" s="21" t="str">
        <x:v>lots</x:v>
      </x:c>
      <x:c r="D3379" s="21" t="str">
        <x:v>lot 31 cost formula</x:v>
      </x:c>
      <x:c r="E3379" s="21" t="n">
        <x:f>IF(ABS('Article Lots'!I31-'Article Lots'!G31*'Article Lots'!H31/1000)&lt;0.000001,1,0)</x:f>
        <x:v>1</x:v>
      </x:c>
      <x:c r="F3379" s="21" t="n">
        <x:v>1</x:v>
      </x:c>
      <x:c r="G3379" s="23" t="str">
        <x:f>IF(E3379=F3379,"PASS","FAIL")</x:f>
        <x:v>PASS</x:v>
      </x:c>
    </x:row>
    <x:row r="3380">
      <x:c r="B3380" s="21" t="str">
        <x:v>A3374</x:v>
      </x:c>
      <x:c r="C3380" s="21" t="str">
        <x:v>lots</x:v>
      </x:c>
      <x:c r="D3380" s="21" t="str">
        <x:v>lot 31 schedule margin</x:v>
      </x:c>
      <x:c r="E3380" s="21" t="n">
        <x:f>IF('Article Lots'!L31='Article Lots'!K31-'Article Lots'!J31,1,0)</x:f>
        <x:v>1</x:v>
      </x:c>
      <x:c r="F3380" s="21" t="n">
        <x:v>1</x:v>
      </x:c>
      <x:c r="G3380" s="23" t="str">
        <x:f>IF(E3380=F3380,"PASS","FAIL")</x:f>
        <x:v>PASS</x:v>
      </x:c>
    </x:row>
    <x:row r="3381">
      <x:c r="B3381" s="21" t="str">
        <x:v>A3375</x:v>
      </x:c>
      <x:c r="C3381" s="21" t="str">
        <x:v>lots</x:v>
      </x:c>
      <x:c r="D3381" s="21" t="str">
        <x:v>lot 31 released before need</x:v>
      </x:c>
      <x:c r="E3381" s="21" t="n">
        <x:f>IF('Article Lots'!J31&lt;'Article Lots'!K31,1,0)</x:f>
        <x:v>1</x:v>
      </x:c>
      <x:c r="F3381" s="21" t="n">
        <x:v>1</x:v>
      </x:c>
      <x:c r="G3381" s="23" t="str">
        <x:f>IF(E3381=F3381,"PASS","FAIL")</x:f>
        <x:v>PASS</x:v>
      </x:c>
    </x:row>
    <x:row r="3382">
      <x:c r="B3382" s="21" t="str">
        <x:v>A3376</x:v>
      </x:c>
      <x:c r="C3382" s="21" t="str">
        <x:v>lots</x:v>
      </x:c>
      <x:c r="D3382" s="21" t="str">
        <x:v>lot 31 evidence open</x:v>
      </x:c>
      <x:c r="E3382" s="21" t="n">
        <x:f>IF('Article Lots'!N31="OPEN",1,0)</x:f>
        <x:v>1</x:v>
      </x:c>
      <x:c r="F3382" s="21" t="n">
        <x:v>1</x:v>
      </x:c>
      <x:c r="G3382" s="23" t="str">
        <x:f>IF(E3382=F3382,"PASS","FAIL")</x:f>
        <x:v>PASS</x:v>
      </x:c>
    </x:row>
    <x:row r="3383">
      <x:c r="B3383" s="21" t="str">
        <x:v>A3377</x:v>
      </x:c>
      <x:c r="C3383" s="21" t="str">
        <x:v>lots</x:v>
      </x:c>
      <x:c r="D3383" s="21" t="str">
        <x:v>lot 32 positive quantity</x:v>
      </x:c>
      <x:c r="E3383" s="21" t="n">
        <x:f>IF('Article Lots'!G32&gt;0,1,0)</x:f>
        <x:v>1</x:v>
      </x:c>
      <x:c r="F3383" s="21" t="n">
        <x:v>1</x:v>
      </x:c>
      <x:c r="G3383" s="23" t="str">
        <x:f>IF(E3383=F3383,"PASS","FAIL")</x:f>
        <x:v>PASS</x:v>
      </x:c>
    </x:row>
    <x:row r="3384">
      <x:c r="B3384" s="21" t="str">
        <x:v>A3378</x:v>
      </x:c>
      <x:c r="C3384" s="21" t="str">
        <x:v>lots</x:v>
      </x:c>
      <x:c r="D3384" s="21" t="str">
        <x:v>lot 32 cost formula</x:v>
      </x:c>
      <x:c r="E3384" s="21" t="n">
        <x:f>IF(ABS('Article Lots'!I32-'Article Lots'!G32*'Article Lots'!H32/1000)&lt;0.000001,1,0)</x:f>
        <x:v>1</x:v>
      </x:c>
      <x:c r="F3384" s="21" t="n">
        <x:v>1</x:v>
      </x:c>
      <x:c r="G3384" s="23" t="str">
        <x:f>IF(E3384=F3384,"PASS","FAIL")</x:f>
        <x:v>PASS</x:v>
      </x:c>
    </x:row>
    <x:row r="3385">
      <x:c r="B3385" s="21" t="str">
        <x:v>A3379</x:v>
      </x:c>
      <x:c r="C3385" s="21" t="str">
        <x:v>lots</x:v>
      </x:c>
      <x:c r="D3385" s="21" t="str">
        <x:v>lot 32 schedule margin</x:v>
      </x:c>
      <x:c r="E3385" s="21" t="n">
        <x:f>IF('Article Lots'!L32='Article Lots'!K32-'Article Lots'!J32,1,0)</x:f>
        <x:v>1</x:v>
      </x:c>
      <x:c r="F3385" s="21" t="n">
        <x:v>1</x:v>
      </x:c>
      <x:c r="G3385" s="23" t="str">
        <x:f>IF(E3385=F3385,"PASS","FAIL")</x:f>
        <x:v>PASS</x:v>
      </x:c>
    </x:row>
    <x:row r="3386">
      <x:c r="B3386" s="21" t="str">
        <x:v>A3380</x:v>
      </x:c>
      <x:c r="C3386" s="21" t="str">
        <x:v>lots</x:v>
      </x:c>
      <x:c r="D3386" s="21" t="str">
        <x:v>lot 32 released before need</x:v>
      </x:c>
      <x:c r="E3386" s="21" t="n">
        <x:f>IF('Article Lots'!J32&lt;'Article Lots'!K32,1,0)</x:f>
        <x:v>1</x:v>
      </x:c>
      <x:c r="F3386" s="21" t="n">
        <x:v>1</x:v>
      </x:c>
      <x:c r="G3386" s="23" t="str">
        <x:f>IF(E3386=F3386,"PASS","FAIL")</x:f>
        <x:v>PASS</x:v>
      </x:c>
    </x:row>
    <x:row r="3387">
      <x:c r="B3387" s="21" t="str">
        <x:v>A3381</x:v>
      </x:c>
      <x:c r="C3387" s="21" t="str">
        <x:v>lots</x:v>
      </x:c>
      <x:c r="D3387" s="21" t="str">
        <x:v>lot 32 evidence open</x:v>
      </x:c>
      <x:c r="E3387" s="21" t="n">
        <x:f>IF('Article Lots'!N32="OPEN",1,0)</x:f>
        <x:v>1</x:v>
      </x:c>
      <x:c r="F3387" s="21" t="n">
        <x:v>1</x:v>
      </x:c>
      <x:c r="G3387" s="23" t="str">
        <x:f>IF(E3387=F3387,"PASS","FAIL")</x:f>
        <x:v>PASS</x:v>
      </x:c>
    </x:row>
    <x:row r="3388">
      <x:c r="B3388" s="21" t="str">
        <x:v>A3382</x:v>
      </x:c>
      <x:c r="C3388" s="21" t="str">
        <x:v>lots</x:v>
      </x:c>
      <x:c r="D3388" s="21" t="str">
        <x:v>lot 33 positive quantity</x:v>
      </x:c>
      <x:c r="E3388" s="21" t="n">
        <x:f>IF('Article Lots'!G33&gt;0,1,0)</x:f>
        <x:v>1</x:v>
      </x:c>
      <x:c r="F3388" s="21" t="n">
        <x:v>1</x:v>
      </x:c>
      <x:c r="G3388" s="23" t="str">
        <x:f>IF(E3388=F3388,"PASS","FAIL")</x:f>
        <x:v>PASS</x:v>
      </x:c>
    </x:row>
    <x:row r="3389">
      <x:c r="B3389" s="21" t="str">
        <x:v>A3383</x:v>
      </x:c>
      <x:c r="C3389" s="21" t="str">
        <x:v>lots</x:v>
      </x:c>
      <x:c r="D3389" s="21" t="str">
        <x:v>lot 33 cost formula</x:v>
      </x:c>
      <x:c r="E3389" s="21" t="n">
        <x:f>IF(ABS('Article Lots'!I33-'Article Lots'!G33*'Article Lots'!H33/1000)&lt;0.000001,1,0)</x:f>
        <x:v>1</x:v>
      </x:c>
      <x:c r="F3389" s="21" t="n">
        <x:v>1</x:v>
      </x:c>
      <x:c r="G3389" s="23" t="str">
        <x:f>IF(E3389=F3389,"PASS","FAIL")</x:f>
        <x:v>PASS</x:v>
      </x:c>
    </x:row>
    <x:row r="3390">
      <x:c r="B3390" s="21" t="str">
        <x:v>A3384</x:v>
      </x:c>
      <x:c r="C3390" s="21" t="str">
        <x:v>lots</x:v>
      </x:c>
      <x:c r="D3390" s="21" t="str">
        <x:v>lot 33 schedule margin</x:v>
      </x:c>
      <x:c r="E3390" s="21" t="n">
        <x:f>IF('Article Lots'!L33='Article Lots'!K33-'Article Lots'!J33,1,0)</x:f>
        <x:v>1</x:v>
      </x:c>
      <x:c r="F3390" s="21" t="n">
        <x:v>1</x:v>
      </x:c>
      <x:c r="G3390" s="23" t="str">
        <x:f>IF(E3390=F3390,"PASS","FAIL")</x:f>
        <x:v>PASS</x:v>
      </x:c>
    </x:row>
    <x:row r="3391">
      <x:c r="B3391" s="21" t="str">
        <x:v>A3385</x:v>
      </x:c>
      <x:c r="C3391" s="21" t="str">
        <x:v>lots</x:v>
      </x:c>
      <x:c r="D3391" s="21" t="str">
        <x:v>lot 33 released before need</x:v>
      </x:c>
      <x:c r="E3391" s="21" t="n">
        <x:f>IF('Article Lots'!J33&lt;'Article Lots'!K33,1,0)</x:f>
        <x:v>1</x:v>
      </x:c>
      <x:c r="F3391" s="21" t="n">
        <x:v>1</x:v>
      </x:c>
      <x:c r="G3391" s="23" t="str">
        <x:f>IF(E3391=F3391,"PASS","FAIL")</x:f>
        <x:v>PASS</x:v>
      </x:c>
    </x:row>
    <x:row r="3392">
      <x:c r="B3392" s="21" t="str">
        <x:v>A3386</x:v>
      </x:c>
      <x:c r="C3392" s="21" t="str">
        <x:v>lots</x:v>
      </x:c>
      <x:c r="D3392" s="21" t="str">
        <x:v>lot 33 evidence open</x:v>
      </x:c>
      <x:c r="E3392" s="21" t="n">
        <x:f>IF('Article Lots'!N33="OPEN",1,0)</x:f>
        <x:v>1</x:v>
      </x:c>
      <x:c r="F3392" s="21" t="n">
        <x:v>1</x:v>
      </x:c>
      <x:c r="G3392" s="23" t="str">
        <x:f>IF(E3392=F3392,"PASS","FAIL")</x:f>
        <x:v>PASS</x:v>
      </x:c>
    </x:row>
    <x:row r="3393">
      <x:c r="B3393" s="21" t="str">
        <x:v>A3387</x:v>
      </x:c>
      <x:c r="C3393" s="21" t="str">
        <x:v>lots</x:v>
      </x:c>
      <x:c r="D3393" s="21" t="str">
        <x:v>lot 34 positive quantity</x:v>
      </x:c>
      <x:c r="E3393" s="21" t="n">
        <x:f>IF('Article Lots'!G34&gt;0,1,0)</x:f>
        <x:v>1</x:v>
      </x:c>
      <x:c r="F3393" s="21" t="n">
        <x:v>1</x:v>
      </x:c>
      <x:c r="G3393" s="23" t="str">
        <x:f>IF(E3393=F3393,"PASS","FAIL")</x:f>
        <x:v>PASS</x:v>
      </x:c>
    </x:row>
    <x:row r="3394">
      <x:c r="B3394" s="21" t="str">
        <x:v>A3388</x:v>
      </x:c>
      <x:c r="C3394" s="21" t="str">
        <x:v>lots</x:v>
      </x:c>
      <x:c r="D3394" s="21" t="str">
        <x:v>lot 34 cost formula</x:v>
      </x:c>
      <x:c r="E3394" s="21" t="n">
        <x:f>IF(ABS('Article Lots'!I34-'Article Lots'!G34*'Article Lots'!H34/1000)&lt;0.000001,1,0)</x:f>
        <x:v>1</x:v>
      </x:c>
      <x:c r="F3394" s="21" t="n">
        <x:v>1</x:v>
      </x:c>
      <x:c r="G3394" s="23" t="str">
        <x:f>IF(E3394=F3394,"PASS","FAIL")</x:f>
        <x:v>PASS</x:v>
      </x:c>
    </x:row>
    <x:row r="3395">
      <x:c r="B3395" s="21" t="str">
        <x:v>A3389</x:v>
      </x:c>
      <x:c r="C3395" s="21" t="str">
        <x:v>lots</x:v>
      </x:c>
      <x:c r="D3395" s="21" t="str">
        <x:v>lot 34 schedule margin</x:v>
      </x:c>
      <x:c r="E3395" s="21" t="n">
        <x:f>IF('Article Lots'!L34='Article Lots'!K34-'Article Lots'!J34,1,0)</x:f>
        <x:v>1</x:v>
      </x:c>
      <x:c r="F3395" s="21" t="n">
        <x:v>1</x:v>
      </x:c>
      <x:c r="G3395" s="23" t="str">
        <x:f>IF(E3395=F3395,"PASS","FAIL")</x:f>
        <x:v>PASS</x:v>
      </x:c>
    </x:row>
    <x:row r="3396">
      <x:c r="B3396" s="21" t="str">
        <x:v>A3390</x:v>
      </x:c>
      <x:c r="C3396" s="21" t="str">
        <x:v>lots</x:v>
      </x:c>
      <x:c r="D3396" s="21" t="str">
        <x:v>lot 34 released before need</x:v>
      </x:c>
      <x:c r="E3396" s="21" t="n">
        <x:f>IF('Article Lots'!J34&lt;'Article Lots'!K34,1,0)</x:f>
        <x:v>1</x:v>
      </x:c>
      <x:c r="F3396" s="21" t="n">
        <x:v>1</x:v>
      </x:c>
      <x:c r="G3396" s="23" t="str">
        <x:f>IF(E3396=F3396,"PASS","FAIL")</x:f>
        <x:v>PASS</x:v>
      </x:c>
    </x:row>
    <x:row r="3397">
      <x:c r="B3397" s="21" t="str">
        <x:v>A3391</x:v>
      </x:c>
      <x:c r="C3397" s="21" t="str">
        <x:v>lots</x:v>
      </x:c>
      <x:c r="D3397" s="21" t="str">
        <x:v>lot 34 evidence open</x:v>
      </x:c>
      <x:c r="E3397" s="21" t="n">
        <x:f>IF('Article Lots'!N34="OPEN",1,0)</x:f>
        <x:v>1</x:v>
      </x:c>
      <x:c r="F3397" s="21" t="n">
        <x:v>1</x:v>
      </x:c>
      <x:c r="G3397" s="23" t="str">
        <x:f>IF(E3397=F3397,"PASS","FAIL")</x:f>
        <x:v>PASS</x:v>
      </x:c>
    </x:row>
    <x:row r="3398">
      <x:c r="B3398" s="21" t="str">
        <x:v>A3392</x:v>
      </x:c>
      <x:c r="C3398" s="21" t="str">
        <x:v>lots</x:v>
      </x:c>
      <x:c r="D3398" s="21" t="str">
        <x:v>lot 35 positive quantity</x:v>
      </x:c>
      <x:c r="E3398" s="21" t="n">
        <x:f>IF('Article Lots'!G35&gt;0,1,0)</x:f>
        <x:v>1</x:v>
      </x:c>
      <x:c r="F3398" s="21" t="n">
        <x:v>1</x:v>
      </x:c>
      <x:c r="G3398" s="23" t="str">
        <x:f>IF(E3398=F3398,"PASS","FAIL")</x:f>
        <x:v>PASS</x:v>
      </x:c>
    </x:row>
    <x:row r="3399">
      <x:c r="B3399" s="21" t="str">
        <x:v>A3393</x:v>
      </x:c>
      <x:c r="C3399" s="21" t="str">
        <x:v>lots</x:v>
      </x:c>
      <x:c r="D3399" s="21" t="str">
        <x:v>lot 35 cost formula</x:v>
      </x:c>
      <x:c r="E3399" s="21" t="n">
        <x:f>IF(ABS('Article Lots'!I35-'Article Lots'!G35*'Article Lots'!H35/1000)&lt;0.000001,1,0)</x:f>
        <x:v>1</x:v>
      </x:c>
      <x:c r="F3399" s="21" t="n">
        <x:v>1</x:v>
      </x:c>
      <x:c r="G3399" s="23" t="str">
        <x:f>IF(E3399=F3399,"PASS","FAIL")</x:f>
        <x:v>PASS</x:v>
      </x:c>
    </x:row>
    <x:row r="3400">
      <x:c r="B3400" s="21" t="str">
        <x:v>A3394</x:v>
      </x:c>
      <x:c r="C3400" s="21" t="str">
        <x:v>lots</x:v>
      </x:c>
      <x:c r="D3400" s="21" t="str">
        <x:v>lot 35 schedule margin</x:v>
      </x:c>
      <x:c r="E3400" s="21" t="n">
        <x:f>IF('Article Lots'!L35='Article Lots'!K35-'Article Lots'!J35,1,0)</x:f>
        <x:v>1</x:v>
      </x:c>
      <x:c r="F3400" s="21" t="n">
        <x:v>1</x:v>
      </x:c>
      <x:c r="G3400" s="23" t="str">
        <x:f>IF(E3400=F3400,"PASS","FAIL")</x:f>
        <x:v>PASS</x:v>
      </x:c>
    </x:row>
    <x:row r="3401">
      <x:c r="B3401" s="21" t="str">
        <x:v>A3395</x:v>
      </x:c>
      <x:c r="C3401" s="21" t="str">
        <x:v>lots</x:v>
      </x:c>
      <x:c r="D3401" s="21" t="str">
        <x:v>lot 35 released before need</x:v>
      </x:c>
      <x:c r="E3401" s="21" t="n">
        <x:f>IF('Article Lots'!J35&lt;'Article Lots'!K35,1,0)</x:f>
        <x:v>1</x:v>
      </x:c>
      <x:c r="F3401" s="21" t="n">
        <x:v>1</x:v>
      </x:c>
      <x:c r="G3401" s="23" t="str">
        <x:f>IF(E3401=F3401,"PASS","FAIL")</x:f>
        <x:v>PASS</x:v>
      </x:c>
    </x:row>
    <x:row r="3402">
      <x:c r="B3402" s="21" t="str">
        <x:v>A3396</x:v>
      </x:c>
      <x:c r="C3402" s="21" t="str">
        <x:v>lots</x:v>
      </x:c>
      <x:c r="D3402" s="21" t="str">
        <x:v>lot 35 evidence open</x:v>
      </x:c>
      <x:c r="E3402" s="21" t="n">
        <x:f>IF('Article Lots'!N35="OPEN",1,0)</x:f>
        <x:v>1</x:v>
      </x:c>
      <x:c r="F3402" s="21" t="n">
        <x:v>1</x:v>
      </x:c>
      <x:c r="G3402" s="23" t="str">
        <x:f>IF(E3402=F3402,"PASS","FAIL")</x:f>
        <x:v>PASS</x:v>
      </x:c>
    </x:row>
    <x:row r="3403">
      <x:c r="B3403" s="21" t="str">
        <x:v>A3397</x:v>
      </x:c>
      <x:c r="C3403" s="21" t="str">
        <x:v>lots</x:v>
      </x:c>
      <x:c r="D3403" s="21" t="str">
        <x:v>lot 36 positive quantity</x:v>
      </x:c>
      <x:c r="E3403" s="21" t="n">
        <x:f>IF('Article Lots'!G36&gt;0,1,0)</x:f>
        <x:v>1</x:v>
      </x:c>
      <x:c r="F3403" s="21" t="n">
        <x:v>1</x:v>
      </x:c>
      <x:c r="G3403" s="23" t="str">
        <x:f>IF(E3403=F3403,"PASS","FAIL")</x:f>
        <x:v>PASS</x:v>
      </x:c>
    </x:row>
    <x:row r="3404">
      <x:c r="B3404" s="21" t="str">
        <x:v>A3398</x:v>
      </x:c>
      <x:c r="C3404" s="21" t="str">
        <x:v>lots</x:v>
      </x:c>
      <x:c r="D3404" s="21" t="str">
        <x:v>lot 36 cost formula</x:v>
      </x:c>
      <x:c r="E3404" s="21" t="n">
        <x:f>IF(ABS('Article Lots'!I36-'Article Lots'!G36*'Article Lots'!H36/1000)&lt;0.000001,1,0)</x:f>
        <x:v>1</x:v>
      </x:c>
      <x:c r="F3404" s="21" t="n">
        <x:v>1</x:v>
      </x:c>
      <x:c r="G3404" s="23" t="str">
        <x:f>IF(E3404=F3404,"PASS","FAIL")</x:f>
        <x:v>PASS</x:v>
      </x:c>
    </x:row>
    <x:row r="3405">
      <x:c r="B3405" s="21" t="str">
        <x:v>A3399</x:v>
      </x:c>
      <x:c r="C3405" s="21" t="str">
        <x:v>lots</x:v>
      </x:c>
      <x:c r="D3405" s="21" t="str">
        <x:v>lot 36 schedule margin</x:v>
      </x:c>
      <x:c r="E3405" s="21" t="n">
        <x:f>IF('Article Lots'!L36='Article Lots'!K36-'Article Lots'!J36,1,0)</x:f>
        <x:v>1</x:v>
      </x:c>
      <x:c r="F3405" s="21" t="n">
        <x:v>1</x:v>
      </x:c>
      <x:c r="G3405" s="23" t="str">
        <x:f>IF(E3405=F3405,"PASS","FAIL")</x:f>
        <x:v>PASS</x:v>
      </x:c>
    </x:row>
    <x:row r="3406">
      <x:c r="B3406" s="21" t="str">
        <x:v>A3400</x:v>
      </x:c>
      <x:c r="C3406" s="21" t="str">
        <x:v>lots</x:v>
      </x:c>
      <x:c r="D3406" s="21" t="str">
        <x:v>lot 36 released before need</x:v>
      </x:c>
      <x:c r="E3406" s="21" t="n">
        <x:f>IF('Article Lots'!J36&lt;'Article Lots'!K36,1,0)</x:f>
        <x:v>1</x:v>
      </x:c>
      <x:c r="F3406" s="21" t="n">
        <x:v>1</x:v>
      </x:c>
      <x:c r="G3406" s="23" t="str">
        <x:f>IF(E3406=F3406,"PASS","FAIL")</x:f>
        <x:v>PASS</x:v>
      </x:c>
    </x:row>
    <x:row r="3407">
      <x:c r="B3407" s="21" t="str">
        <x:v>A3401</x:v>
      </x:c>
      <x:c r="C3407" s="21" t="str">
        <x:v>lots</x:v>
      </x:c>
      <x:c r="D3407" s="21" t="str">
        <x:v>lot 36 evidence open</x:v>
      </x:c>
      <x:c r="E3407" s="21" t="n">
        <x:f>IF('Article Lots'!N36="OPEN",1,0)</x:f>
        <x:v>1</x:v>
      </x:c>
      <x:c r="F3407" s="21" t="n">
        <x:v>1</x:v>
      </x:c>
      <x:c r="G3407" s="23" t="str">
        <x:f>IF(E3407=F3407,"PASS","FAIL")</x:f>
        <x:v>PASS</x:v>
      </x:c>
    </x:row>
    <x:row r="3408">
      <x:c r="B3408" s="21" t="str">
        <x:v>A3402</x:v>
      </x:c>
      <x:c r="C3408" s="21" t="str">
        <x:v>lots</x:v>
      </x:c>
      <x:c r="D3408" s="21" t="str">
        <x:v>lot 37 positive quantity</x:v>
      </x:c>
      <x:c r="E3408" s="21" t="n">
        <x:f>IF('Article Lots'!G37&gt;0,1,0)</x:f>
        <x:v>1</x:v>
      </x:c>
      <x:c r="F3408" s="21" t="n">
        <x:v>1</x:v>
      </x:c>
      <x:c r="G3408" s="23" t="str">
        <x:f>IF(E3408=F3408,"PASS","FAIL")</x:f>
        <x:v>PASS</x:v>
      </x:c>
    </x:row>
    <x:row r="3409">
      <x:c r="B3409" s="21" t="str">
        <x:v>A3403</x:v>
      </x:c>
      <x:c r="C3409" s="21" t="str">
        <x:v>lots</x:v>
      </x:c>
      <x:c r="D3409" s="21" t="str">
        <x:v>lot 37 cost formula</x:v>
      </x:c>
      <x:c r="E3409" s="21" t="n">
        <x:f>IF(ABS('Article Lots'!I37-'Article Lots'!G37*'Article Lots'!H37/1000)&lt;0.000001,1,0)</x:f>
        <x:v>1</x:v>
      </x:c>
      <x:c r="F3409" s="21" t="n">
        <x:v>1</x:v>
      </x:c>
      <x:c r="G3409" s="23" t="str">
        <x:f>IF(E3409=F3409,"PASS","FAIL")</x:f>
        <x:v>PASS</x:v>
      </x:c>
    </x:row>
    <x:row r="3410">
      <x:c r="B3410" s="21" t="str">
        <x:v>A3404</x:v>
      </x:c>
      <x:c r="C3410" s="21" t="str">
        <x:v>lots</x:v>
      </x:c>
      <x:c r="D3410" s="21" t="str">
        <x:v>lot 37 schedule margin</x:v>
      </x:c>
      <x:c r="E3410" s="21" t="n">
        <x:f>IF('Article Lots'!L37='Article Lots'!K37-'Article Lots'!J37,1,0)</x:f>
        <x:v>1</x:v>
      </x:c>
      <x:c r="F3410" s="21" t="n">
        <x:v>1</x:v>
      </x:c>
      <x:c r="G3410" s="23" t="str">
        <x:f>IF(E3410=F3410,"PASS","FAIL")</x:f>
        <x:v>PASS</x:v>
      </x:c>
    </x:row>
    <x:row r="3411">
      <x:c r="B3411" s="21" t="str">
        <x:v>A3405</x:v>
      </x:c>
      <x:c r="C3411" s="21" t="str">
        <x:v>lots</x:v>
      </x:c>
      <x:c r="D3411" s="21" t="str">
        <x:v>lot 37 released before need</x:v>
      </x:c>
      <x:c r="E3411" s="21" t="n">
        <x:f>IF('Article Lots'!J37&lt;'Article Lots'!K37,1,0)</x:f>
        <x:v>1</x:v>
      </x:c>
      <x:c r="F3411" s="21" t="n">
        <x:v>1</x:v>
      </x:c>
      <x:c r="G3411" s="23" t="str">
        <x:f>IF(E3411=F3411,"PASS","FAIL")</x:f>
        <x:v>PASS</x:v>
      </x:c>
    </x:row>
    <x:row r="3412">
      <x:c r="B3412" s="21" t="str">
        <x:v>A3406</x:v>
      </x:c>
      <x:c r="C3412" s="21" t="str">
        <x:v>lots</x:v>
      </x:c>
      <x:c r="D3412" s="21" t="str">
        <x:v>lot 37 evidence open</x:v>
      </x:c>
      <x:c r="E3412" s="21" t="n">
        <x:f>IF('Article Lots'!N37="OPEN",1,0)</x:f>
        <x:v>1</x:v>
      </x:c>
      <x:c r="F3412" s="21" t="n">
        <x:v>1</x:v>
      </x:c>
      <x:c r="G3412" s="23" t="str">
        <x:f>IF(E3412=F3412,"PASS","FAIL")</x:f>
        <x:v>PASS</x:v>
      </x:c>
    </x:row>
    <x:row r="3413">
      <x:c r="B3413" s="21" t="str">
        <x:v>A3407</x:v>
      </x:c>
      <x:c r="C3413" s="21" t="str">
        <x:v>lots</x:v>
      </x:c>
      <x:c r="D3413" s="21" t="str">
        <x:v>lot 38 positive quantity</x:v>
      </x:c>
      <x:c r="E3413" s="21" t="n">
        <x:f>IF('Article Lots'!G38&gt;0,1,0)</x:f>
        <x:v>1</x:v>
      </x:c>
      <x:c r="F3413" s="21" t="n">
        <x:v>1</x:v>
      </x:c>
      <x:c r="G3413" s="23" t="str">
        <x:f>IF(E3413=F3413,"PASS","FAIL")</x:f>
        <x:v>PASS</x:v>
      </x:c>
    </x:row>
    <x:row r="3414">
      <x:c r="B3414" s="21" t="str">
        <x:v>A3408</x:v>
      </x:c>
      <x:c r="C3414" s="21" t="str">
        <x:v>lots</x:v>
      </x:c>
      <x:c r="D3414" s="21" t="str">
        <x:v>lot 38 cost formula</x:v>
      </x:c>
      <x:c r="E3414" s="21" t="n">
        <x:f>IF(ABS('Article Lots'!I38-'Article Lots'!G38*'Article Lots'!H38/1000)&lt;0.000001,1,0)</x:f>
        <x:v>1</x:v>
      </x:c>
      <x:c r="F3414" s="21" t="n">
        <x:v>1</x:v>
      </x:c>
      <x:c r="G3414" s="23" t="str">
        <x:f>IF(E3414=F3414,"PASS","FAIL")</x:f>
        <x:v>PASS</x:v>
      </x:c>
    </x:row>
    <x:row r="3415">
      <x:c r="B3415" s="21" t="str">
        <x:v>A3409</x:v>
      </x:c>
      <x:c r="C3415" s="21" t="str">
        <x:v>lots</x:v>
      </x:c>
      <x:c r="D3415" s="21" t="str">
        <x:v>lot 38 schedule margin</x:v>
      </x:c>
      <x:c r="E3415" s="21" t="n">
        <x:f>IF('Article Lots'!L38='Article Lots'!K38-'Article Lots'!J38,1,0)</x:f>
        <x:v>1</x:v>
      </x:c>
      <x:c r="F3415" s="21" t="n">
        <x:v>1</x:v>
      </x:c>
      <x:c r="G3415" s="23" t="str">
        <x:f>IF(E3415=F3415,"PASS","FAIL")</x:f>
        <x:v>PASS</x:v>
      </x:c>
    </x:row>
    <x:row r="3416">
      <x:c r="B3416" s="21" t="str">
        <x:v>A3410</x:v>
      </x:c>
      <x:c r="C3416" s="21" t="str">
        <x:v>lots</x:v>
      </x:c>
      <x:c r="D3416" s="21" t="str">
        <x:v>lot 38 released before need</x:v>
      </x:c>
      <x:c r="E3416" s="21" t="n">
        <x:f>IF('Article Lots'!J38&lt;'Article Lots'!K38,1,0)</x:f>
        <x:v>1</x:v>
      </x:c>
      <x:c r="F3416" s="21" t="n">
        <x:v>1</x:v>
      </x:c>
      <x:c r="G3416" s="23" t="str">
        <x:f>IF(E3416=F3416,"PASS","FAIL")</x:f>
        <x:v>PASS</x:v>
      </x:c>
    </x:row>
    <x:row r="3417">
      <x:c r="B3417" s="21" t="str">
        <x:v>A3411</x:v>
      </x:c>
      <x:c r="C3417" s="21" t="str">
        <x:v>lots</x:v>
      </x:c>
      <x:c r="D3417" s="21" t="str">
        <x:v>lot 38 evidence open</x:v>
      </x:c>
      <x:c r="E3417" s="21" t="n">
        <x:f>IF('Article Lots'!N38="OPEN",1,0)</x:f>
        <x:v>1</x:v>
      </x:c>
      <x:c r="F3417" s="21" t="n">
        <x:v>1</x:v>
      </x:c>
      <x:c r="G3417" s="23" t="str">
        <x:f>IF(E3417=F3417,"PASS","FAIL")</x:f>
        <x:v>PASS</x:v>
      </x:c>
    </x:row>
    <x:row r="3418">
      <x:c r="B3418" s="21" t="str">
        <x:v>A3412</x:v>
      </x:c>
      <x:c r="C3418" s="21" t="str">
        <x:v>lots</x:v>
      </x:c>
      <x:c r="D3418" s="21" t="str">
        <x:v>lot 39 positive quantity</x:v>
      </x:c>
      <x:c r="E3418" s="21" t="n">
        <x:f>IF('Article Lots'!G39&gt;0,1,0)</x:f>
        <x:v>1</x:v>
      </x:c>
      <x:c r="F3418" s="21" t="n">
        <x:v>1</x:v>
      </x:c>
      <x:c r="G3418" s="23" t="str">
        <x:f>IF(E3418=F3418,"PASS","FAIL")</x:f>
        <x:v>PASS</x:v>
      </x:c>
    </x:row>
    <x:row r="3419">
      <x:c r="B3419" s="21" t="str">
        <x:v>A3413</x:v>
      </x:c>
      <x:c r="C3419" s="21" t="str">
        <x:v>lots</x:v>
      </x:c>
      <x:c r="D3419" s="21" t="str">
        <x:v>lot 39 cost formula</x:v>
      </x:c>
      <x:c r="E3419" s="21" t="n">
        <x:f>IF(ABS('Article Lots'!I39-'Article Lots'!G39*'Article Lots'!H39/1000)&lt;0.000001,1,0)</x:f>
        <x:v>1</x:v>
      </x:c>
      <x:c r="F3419" s="21" t="n">
        <x:v>1</x:v>
      </x:c>
      <x:c r="G3419" s="23" t="str">
        <x:f>IF(E3419=F3419,"PASS","FAIL")</x:f>
        <x:v>PASS</x:v>
      </x:c>
    </x:row>
    <x:row r="3420">
      <x:c r="B3420" s="21" t="str">
        <x:v>A3414</x:v>
      </x:c>
      <x:c r="C3420" s="21" t="str">
        <x:v>lots</x:v>
      </x:c>
      <x:c r="D3420" s="21" t="str">
        <x:v>lot 39 schedule margin</x:v>
      </x:c>
      <x:c r="E3420" s="21" t="n">
        <x:f>IF('Article Lots'!L39='Article Lots'!K39-'Article Lots'!J39,1,0)</x:f>
        <x:v>1</x:v>
      </x:c>
      <x:c r="F3420" s="21" t="n">
        <x:v>1</x:v>
      </x:c>
      <x:c r="G3420" s="23" t="str">
        <x:f>IF(E3420=F3420,"PASS","FAIL")</x:f>
        <x:v>PASS</x:v>
      </x:c>
    </x:row>
    <x:row r="3421">
      <x:c r="B3421" s="21" t="str">
        <x:v>A3415</x:v>
      </x:c>
      <x:c r="C3421" s="21" t="str">
        <x:v>lots</x:v>
      </x:c>
      <x:c r="D3421" s="21" t="str">
        <x:v>lot 39 released before need</x:v>
      </x:c>
      <x:c r="E3421" s="21" t="n">
        <x:f>IF('Article Lots'!J39&lt;'Article Lots'!K39,1,0)</x:f>
        <x:v>1</x:v>
      </x:c>
      <x:c r="F3421" s="21" t="n">
        <x:v>1</x:v>
      </x:c>
      <x:c r="G3421" s="23" t="str">
        <x:f>IF(E3421=F3421,"PASS","FAIL")</x:f>
        <x:v>PASS</x:v>
      </x:c>
    </x:row>
    <x:row r="3422">
      <x:c r="B3422" s="21" t="str">
        <x:v>A3416</x:v>
      </x:c>
      <x:c r="C3422" s="21" t="str">
        <x:v>lots</x:v>
      </x:c>
      <x:c r="D3422" s="21" t="str">
        <x:v>lot 39 evidence open</x:v>
      </x:c>
      <x:c r="E3422" s="21" t="n">
        <x:f>IF('Article Lots'!N39="OPEN",1,0)</x:f>
        <x:v>1</x:v>
      </x:c>
      <x:c r="F3422" s="21" t="n">
        <x:v>1</x:v>
      </x:c>
      <x:c r="G3422" s="23" t="str">
        <x:f>IF(E3422=F3422,"PASS","FAIL")</x:f>
        <x:v>PASS</x:v>
      </x:c>
    </x:row>
    <x:row r="3423">
      <x:c r="B3423" s="21" t="str">
        <x:v>A3417</x:v>
      </x:c>
      <x:c r="C3423" s="21" t="str">
        <x:v>lots</x:v>
      </x:c>
      <x:c r="D3423" s="21" t="str">
        <x:v>lot 40 positive quantity</x:v>
      </x:c>
      <x:c r="E3423" s="21" t="n">
        <x:f>IF('Article Lots'!G40&gt;0,1,0)</x:f>
        <x:v>1</x:v>
      </x:c>
      <x:c r="F3423" s="21" t="n">
        <x:v>1</x:v>
      </x:c>
      <x:c r="G3423" s="23" t="str">
        <x:f>IF(E3423=F3423,"PASS","FAIL")</x:f>
        <x:v>PASS</x:v>
      </x:c>
    </x:row>
    <x:row r="3424">
      <x:c r="B3424" s="21" t="str">
        <x:v>A3418</x:v>
      </x:c>
      <x:c r="C3424" s="21" t="str">
        <x:v>lots</x:v>
      </x:c>
      <x:c r="D3424" s="21" t="str">
        <x:v>lot 40 cost formula</x:v>
      </x:c>
      <x:c r="E3424" s="21" t="n">
        <x:f>IF(ABS('Article Lots'!I40-'Article Lots'!G40*'Article Lots'!H40/1000)&lt;0.000001,1,0)</x:f>
        <x:v>1</x:v>
      </x:c>
      <x:c r="F3424" s="21" t="n">
        <x:v>1</x:v>
      </x:c>
      <x:c r="G3424" s="23" t="str">
        <x:f>IF(E3424=F3424,"PASS","FAIL")</x:f>
        <x:v>PASS</x:v>
      </x:c>
    </x:row>
    <x:row r="3425">
      <x:c r="B3425" s="21" t="str">
        <x:v>A3419</x:v>
      </x:c>
      <x:c r="C3425" s="21" t="str">
        <x:v>lots</x:v>
      </x:c>
      <x:c r="D3425" s="21" t="str">
        <x:v>lot 40 schedule margin</x:v>
      </x:c>
      <x:c r="E3425" s="21" t="n">
        <x:f>IF('Article Lots'!L40='Article Lots'!K40-'Article Lots'!J40,1,0)</x:f>
        <x:v>1</x:v>
      </x:c>
      <x:c r="F3425" s="21" t="n">
        <x:v>1</x:v>
      </x:c>
      <x:c r="G3425" s="23" t="str">
        <x:f>IF(E3425=F3425,"PASS","FAIL")</x:f>
        <x:v>PASS</x:v>
      </x:c>
    </x:row>
    <x:row r="3426">
      <x:c r="B3426" s="21" t="str">
        <x:v>A3420</x:v>
      </x:c>
      <x:c r="C3426" s="21" t="str">
        <x:v>lots</x:v>
      </x:c>
      <x:c r="D3426" s="21" t="str">
        <x:v>lot 40 released before need</x:v>
      </x:c>
      <x:c r="E3426" s="21" t="n">
        <x:f>IF('Article Lots'!J40&lt;'Article Lots'!K40,1,0)</x:f>
        <x:v>1</x:v>
      </x:c>
      <x:c r="F3426" s="21" t="n">
        <x:v>1</x:v>
      </x:c>
      <x:c r="G3426" s="23" t="str">
        <x:f>IF(E3426=F3426,"PASS","FAIL")</x:f>
        <x:v>PASS</x:v>
      </x:c>
    </x:row>
    <x:row r="3427">
      <x:c r="B3427" s="21" t="str">
        <x:v>A3421</x:v>
      </x:c>
      <x:c r="C3427" s="21" t="str">
        <x:v>lots</x:v>
      </x:c>
      <x:c r="D3427" s="21" t="str">
        <x:v>lot 40 evidence open</x:v>
      </x:c>
      <x:c r="E3427" s="21" t="n">
        <x:f>IF('Article Lots'!N40="OPEN",1,0)</x:f>
        <x:v>1</x:v>
      </x:c>
      <x:c r="F3427" s="21" t="n">
        <x:v>1</x:v>
      </x:c>
      <x:c r="G3427" s="23" t="str">
        <x:f>IF(E3427=F3427,"PASS","FAIL")</x:f>
        <x:v>PASS</x:v>
      </x:c>
    </x:row>
    <x:row r="3428">
      <x:c r="B3428" s="21" t="str">
        <x:v>A3422</x:v>
      </x:c>
      <x:c r="C3428" s="21" t="str">
        <x:v>lots</x:v>
      </x:c>
      <x:c r="D3428" s="21" t="str">
        <x:v>lot 41 positive quantity</x:v>
      </x:c>
      <x:c r="E3428" s="21" t="n">
        <x:f>IF('Article Lots'!G41&gt;0,1,0)</x:f>
        <x:v>1</x:v>
      </x:c>
      <x:c r="F3428" s="21" t="n">
        <x:v>1</x:v>
      </x:c>
      <x:c r="G3428" s="23" t="str">
        <x:f>IF(E3428=F3428,"PASS","FAIL")</x:f>
        <x:v>PASS</x:v>
      </x:c>
    </x:row>
    <x:row r="3429">
      <x:c r="B3429" s="21" t="str">
        <x:v>A3423</x:v>
      </x:c>
      <x:c r="C3429" s="21" t="str">
        <x:v>lots</x:v>
      </x:c>
      <x:c r="D3429" s="21" t="str">
        <x:v>lot 41 cost formula</x:v>
      </x:c>
      <x:c r="E3429" s="21" t="n">
        <x:f>IF(ABS('Article Lots'!I41-'Article Lots'!G41*'Article Lots'!H41/1000)&lt;0.000001,1,0)</x:f>
        <x:v>1</x:v>
      </x:c>
      <x:c r="F3429" s="21" t="n">
        <x:v>1</x:v>
      </x:c>
      <x:c r="G3429" s="23" t="str">
        <x:f>IF(E3429=F3429,"PASS","FAIL")</x:f>
        <x:v>PASS</x:v>
      </x:c>
    </x:row>
    <x:row r="3430">
      <x:c r="B3430" s="21" t="str">
        <x:v>A3424</x:v>
      </x:c>
      <x:c r="C3430" s="21" t="str">
        <x:v>lots</x:v>
      </x:c>
      <x:c r="D3430" s="21" t="str">
        <x:v>lot 41 schedule margin</x:v>
      </x:c>
      <x:c r="E3430" s="21" t="n">
        <x:f>IF('Article Lots'!L41='Article Lots'!K41-'Article Lots'!J41,1,0)</x:f>
        <x:v>1</x:v>
      </x:c>
      <x:c r="F3430" s="21" t="n">
        <x:v>1</x:v>
      </x:c>
      <x:c r="G3430" s="23" t="str">
        <x:f>IF(E3430=F3430,"PASS","FAIL")</x:f>
        <x:v>PASS</x:v>
      </x:c>
    </x:row>
    <x:row r="3431">
      <x:c r="B3431" s="21" t="str">
        <x:v>A3425</x:v>
      </x:c>
      <x:c r="C3431" s="21" t="str">
        <x:v>lots</x:v>
      </x:c>
      <x:c r="D3431" s="21" t="str">
        <x:v>lot 41 released before need</x:v>
      </x:c>
      <x:c r="E3431" s="21" t="n">
        <x:f>IF('Article Lots'!J41&lt;'Article Lots'!K41,1,0)</x:f>
        <x:v>1</x:v>
      </x:c>
      <x:c r="F3431" s="21" t="n">
        <x:v>1</x:v>
      </x:c>
      <x:c r="G3431" s="23" t="str">
        <x:f>IF(E3431=F3431,"PASS","FAIL")</x:f>
        <x:v>PASS</x:v>
      </x:c>
    </x:row>
    <x:row r="3432">
      <x:c r="B3432" s="21" t="str">
        <x:v>A3426</x:v>
      </x:c>
      <x:c r="C3432" s="21" t="str">
        <x:v>lots</x:v>
      </x:c>
      <x:c r="D3432" s="21" t="str">
        <x:v>lot 41 evidence open</x:v>
      </x:c>
      <x:c r="E3432" s="21" t="n">
        <x:f>IF('Article Lots'!N41="OPEN",1,0)</x:f>
        <x:v>1</x:v>
      </x:c>
      <x:c r="F3432" s="21" t="n">
        <x:v>1</x:v>
      </x:c>
      <x:c r="G3432" s="23" t="str">
        <x:f>IF(E3432=F3432,"PASS","FAIL")</x:f>
        <x:v>PASS</x:v>
      </x:c>
    </x:row>
    <x:row r="3433">
      <x:c r="B3433" s="21" t="str">
        <x:v>A3427</x:v>
      </x:c>
      <x:c r="C3433" s="21" t="str">
        <x:v>lots</x:v>
      </x:c>
      <x:c r="D3433" s="21" t="str">
        <x:v>lot 42 positive quantity</x:v>
      </x:c>
      <x:c r="E3433" s="21" t="n">
        <x:f>IF('Article Lots'!G42&gt;0,1,0)</x:f>
        <x:v>1</x:v>
      </x:c>
      <x:c r="F3433" s="21" t="n">
        <x:v>1</x:v>
      </x:c>
      <x:c r="G3433" s="23" t="str">
        <x:f>IF(E3433=F3433,"PASS","FAIL")</x:f>
        <x:v>PASS</x:v>
      </x:c>
    </x:row>
    <x:row r="3434">
      <x:c r="B3434" s="21" t="str">
        <x:v>A3428</x:v>
      </x:c>
      <x:c r="C3434" s="21" t="str">
        <x:v>lots</x:v>
      </x:c>
      <x:c r="D3434" s="21" t="str">
        <x:v>lot 42 cost formula</x:v>
      </x:c>
      <x:c r="E3434" s="21" t="n">
        <x:f>IF(ABS('Article Lots'!I42-'Article Lots'!G42*'Article Lots'!H42/1000)&lt;0.000001,1,0)</x:f>
        <x:v>1</x:v>
      </x:c>
      <x:c r="F3434" s="21" t="n">
        <x:v>1</x:v>
      </x:c>
      <x:c r="G3434" s="23" t="str">
        <x:f>IF(E3434=F3434,"PASS","FAIL")</x:f>
        <x:v>PASS</x:v>
      </x:c>
    </x:row>
    <x:row r="3435">
      <x:c r="B3435" s="21" t="str">
        <x:v>A3429</x:v>
      </x:c>
      <x:c r="C3435" s="21" t="str">
        <x:v>lots</x:v>
      </x:c>
      <x:c r="D3435" s="21" t="str">
        <x:v>lot 42 schedule margin</x:v>
      </x:c>
      <x:c r="E3435" s="21" t="n">
        <x:f>IF('Article Lots'!L42='Article Lots'!K42-'Article Lots'!J42,1,0)</x:f>
        <x:v>1</x:v>
      </x:c>
      <x:c r="F3435" s="21" t="n">
        <x:v>1</x:v>
      </x:c>
      <x:c r="G3435" s="23" t="str">
        <x:f>IF(E3435=F3435,"PASS","FAIL")</x:f>
        <x:v>PASS</x:v>
      </x:c>
    </x:row>
    <x:row r="3436">
      <x:c r="B3436" s="21" t="str">
        <x:v>A3430</x:v>
      </x:c>
      <x:c r="C3436" s="21" t="str">
        <x:v>lots</x:v>
      </x:c>
      <x:c r="D3436" s="21" t="str">
        <x:v>lot 42 released before need</x:v>
      </x:c>
      <x:c r="E3436" s="21" t="n">
        <x:f>IF('Article Lots'!J42&lt;'Article Lots'!K42,1,0)</x:f>
        <x:v>1</x:v>
      </x:c>
      <x:c r="F3436" s="21" t="n">
        <x:v>1</x:v>
      </x:c>
      <x:c r="G3436" s="23" t="str">
        <x:f>IF(E3436=F3436,"PASS","FAIL")</x:f>
        <x:v>PASS</x:v>
      </x:c>
    </x:row>
    <x:row r="3437">
      <x:c r="B3437" s="21" t="str">
        <x:v>A3431</x:v>
      </x:c>
      <x:c r="C3437" s="21" t="str">
        <x:v>lots</x:v>
      </x:c>
      <x:c r="D3437" s="21" t="str">
        <x:v>lot 42 evidence open</x:v>
      </x:c>
      <x:c r="E3437" s="21" t="n">
        <x:f>IF('Article Lots'!N42="OPEN",1,0)</x:f>
        <x:v>1</x:v>
      </x:c>
      <x:c r="F3437" s="21" t="n">
        <x:v>1</x:v>
      </x:c>
      <x:c r="G3437" s="23" t="str">
        <x:f>IF(E3437=F3437,"PASS","FAIL")</x:f>
        <x:v>PASS</x:v>
      </x:c>
    </x:row>
    <x:row r="3438">
      <x:c r="B3438" s="21" t="str">
        <x:v>A3432</x:v>
      </x:c>
      <x:c r="C3438" s="21" t="str">
        <x:v>lots</x:v>
      </x:c>
      <x:c r="D3438" s="21" t="str">
        <x:v>lot 43 positive quantity</x:v>
      </x:c>
      <x:c r="E3438" s="21" t="n">
        <x:f>IF('Article Lots'!G43&gt;0,1,0)</x:f>
        <x:v>1</x:v>
      </x:c>
      <x:c r="F3438" s="21" t="n">
        <x:v>1</x:v>
      </x:c>
      <x:c r="G3438" s="23" t="str">
        <x:f>IF(E3438=F3438,"PASS","FAIL")</x:f>
        <x:v>PASS</x:v>
      </x:c>
    </x:row>
    <x:row r="3439">
      <x:c r="B3439" s="21" t="str">
        <x:v>A3433</x:v>
      </x:c>
      <x:c r="C3439" s="21" t="str">
        <x:v>lots</x:v>
      </x:c>
      <x:c r="D3439" s="21" t="str">
        <x:v>lot 43 cost formula</x:v>
      </x:c>
      <x:c r="E3439" s="21" t="n">
        <x:f>IF(ABS('Article Lots'!I43-'Article Lots'!G43*'Article Lots'!H43/1000)&lt;0.000001,1,0)</x:f>
        <x:v>1</x:v>
      </x:c>
      <x:c r="F3439" s="21" t="n">
        <x:v>1</x:v>
      </x:c>
      <x:c r="G3439" s="23" t="str">
        <x:f>IF(E3439=F3439,"PASS","FAIL")</x:f>
        <x:v>PASS</x:v>
      </x:c>
    </x:row>
    <x:row r="3440">
      <x:c r="B3440" s="21" t="str">
        <x:v>A3434</x:v>
      </x:c>
      <x:c r="C3440" s="21" t="str">
        <x:v>lots</x:v>
      </x:c>
      <x:c r="D3440" s="21" t="str">
        <x:v>lot 43 schedule margin</x:v>
      </x:c>
      <x:c r="E3440" s="21" t="n">
        <x:f>IF('Article Lots'!L43='Article Lots'!K43-'Article Lots'!J43,1,0)</x:f>
        <x:v>1</x:v>
      </x:c>
      <x:c r="F3440" s="21" t="n">
        <x:v>1</x:v>
      </x:c>
      <x:c r="G3440" s="23" t="str">
        <x:f>IF(E3440=F3440,"PASS","FAIL")</x:f>
        <x:v>PASS</x:v>
      </x:c>
    </x:row>
    <x:row r="3441">
      <x:c r="B3441" s="21" t="str">
        <x:v>A3435</x:v>
      </x:c>
      <x:c r="C3441" s="21" t="str">
        <x:v>lots</x:v>
      </x:c>
      <x:c r="D3441" s="21" t="str">
        <x:v>lot 43 released before need</x:v>
      </x:c>
      <x:c r="E3441" s="21" t="n">
        <x:f>IF('Article Lots'!J43&lt;'Article Lots'!K43,1,0)</x:f>
        <x:v>1</x:v>
      </x:c>
      <x:c r="F3441" s="21" t="n">
        <x:v>1</x:v>
      </x:c>
      <x:c r="G3441" s="23" t="str">
        <x:f>IF(E3441=F3441,"PASS","FAIL")</x:f>
        <x:v>PASS</x:v>
      </x:c>
    </x:row>
    <x:row r="3442">
      <x:c r="B3442" s="21" t="str">
        <x:v>A3436</x:v>
      </x:c>
      <x:c r="C3442" s="21" t="str">
        <x:v>lots</x:v>
      </x:c>
      <x:c r="D3442" s="21" t="str">
        <x:v>lot 43 evidence open</x:v>
      </x:c>
      <x:c r="E3442" s="21" t="n">
        <x:f>IF('Article Lots'!N43="OPEN",1,0)</x:f>
        <x:v>1</x:v>
      </x:c>
      <x:c r="F3442" s="21" t="n">
        <x:v>1</x:v>
      </x:c>
      <x:c r="G3442" s="23" t="str">
        <x:f>IF(E3442=F3442,"PASS","FAIL")</x:f>
        <x:v>PASS</x:v>
      </x:c>
    </x:row>
    <x:row r="3443">
      <x:c r="B3443" s="21" t="str">
        <x:v>A3437</x:v>
      </x:c>
      <x:c r="C3443" s="21" t="str">
        <x:v>lots</x:v>
      </x:c>
      <x:c r="D3443" s="21" t="str">
        <x:v>lot 44 positive quantity</x:v>
      </x:c>
      <x:c r="E3443" s="21" t="n">
        <x:f>IF('Article Lots'!G44&gt;0,1,0)</x:f>
        <x:v>1</x:v>
      </x:c>
      <x:c r="F3443" s="21" t="n">
        <x:v>1</x:v>
      </x:c>
      <x:c r="G3443" s="23" t="str">
        <x:f>IF(E3443=F3443,"PASS","FAIL")</x:f>
        <x:v>PASS</x:v>
      </x:c>
    </x:row>
    <x:row r="3444">
      <x:c r="B3444" s="21" t="str">
        <x:v>A3438</x:v>
      </x:c>
      <x:c r="C3444" s="21" t="str">
        <x:v>lots</x:v>
      </x:c>
      <x:c r="D3444" s="21" t="str">
        <x:v>lot 44 cost formula</x:v>
      </x:c>
      <x:c r="E3444" s="21" t="n">
        <x:f>IF(ABS('Article Lots'!I44-'Article Lots'!G44*'Article Lots'!H44/1000)&lt;0.000001,1,0)</x:f>
        <x:v>1</x:v>
      </x:c>
      <x:c r="F3444" s="21" t="n">
        <x:v>1</x:v>
      </x:c>
      <x:c r="G3444" s="23" t="str">
        <x:f>IF(E3444=F3444,"PASS","FAIL")</x:f>
        <x:v>PASS</x:v>
      </x:c>
    </x:row>
    <x:row r="3445">
      <x:c r="B3445" s="21" t="str">
        <x:v>A3439</x:v>
      </x:c>
      <x:c r="C3445" s="21" t="str">
        <x:v>lots</x:v>
      </x:c>
      <x:c r="D3445" s="21" t="str">
        <x:v>lot 44 schedule margin</x:v>
      </x:c>
      <x:c r="E3445" s="21" t="n">
        <x:f>IF('Article Lots'!L44='Article Lots'!K44-'Article Lots'!J44,1,0)</x:f>
        <x:v>1</x:v>
      </x:c>
      <x:c r="F3445" s="21" t="n">
        <x:v>1</x:v>
      </x:c>
      <x:c r="G3445" s="23" t="str">
        <x:f>IF(E3445=F3445,"PASS","FAIL")</x:f>
        <x:v>PASS</x:v>
      </x:c>
    </x:row>
    <x:row r="3446">
      <x:c r="B3446" s="21" t="str">
        <x:v>A3440</x:v>
      </x:c>
      <x:c r="C3446" s="21" t="str">
        <x:v>lots</x:v>
      </x:c>
      <x:c r="D3446" s="21" t="str">
        <x:v>lot 44 released before need</x:v>
      </x:c>
      <x:c r="E3446" s="21" t="n">
        <x:f>IF('Article Lots'!J44&lt;'Article Lots'!K44,1,0)</x:f>
        <x:v>1</x:v>
      </x:c>
      <x:c r="F3446" s="21" t="n">
        <x:v>1</x:v>
      </x:c>
      <x:c r="G3446" s="23" t="str">
        <x:f>IF(E3446=F3446,"PASS","FAIL")</x:f>
        <x:v>PASS</x:v>
      </x:c>
    </x:row>
    <x:row r="3447">
      <x:c r="B3447" s="21" t="str">
        <x:v>A3441</x:v>
      </x:c>
      <x:c r="C3447" s="21" t="str">
        <x:v>lots</x:v>
      </x:c>
      <x:c r="D3447" s="21" t="str">
        <x:v>lot 44 evidence open</x:v>
      </x:c>
      <x:c r="E3447" s="21" t="n">
        <x:f>IF('Article Lots'!N44="OPEN",1,0)</x:f>
        <x:v>1</x:v>
      </x:c>
      <x:c r="F3447" s="21" t="n">
        <x:v>1</x:v>
      </x:c>
      <x:c r="G3447" s="23" t="str">
        <x:f>IF(E3447=F3447,"PASS","FAIL")</x:f>
        <x:v>PASS</x:v>
      </x:c>
    </x:row>
    <x:row r="3448">
      <x:c r="B3448" s="21" t="str">
        <x:v>A3442</x:v>
      </x:c>
      <x:c r="C3448" s="21" t="str">
        <x:v>lots</x:v>
      </x:c>
      <x:c r="D3448" s="21" t="str">
        <x:v>lot 45 positive quantity</x:v>
      </x:c>
      <x:c r="E3448" s="21" t="n">
        <x:f>IF('Article Lots'!G45&gt;0,1,0)</x:f>
        <x:v>1</x:v>
      </x:c>
      <x:c r="F3448" s="21" t="n">
        <x:v>1</x:v>
      </x:c>
      <x:c r="G3448" s="23" t="str">
        <x:f>IF(E3448=F3448,"PASS","FAIL")</x:f>
        <x:v>PASS</x:v>
      </x:c>
    </x:row>
    <x:row r="3449">
      <x:c r="B3449" s="21" t="str">
        <x:v>A3443</x:v>
      </x:c>
      <x:c r="C3449" s="21" t="str">
        <x:v>lots</x:v>
      </x:c>
      <x:c r="D3449" s="21" t="str">
        <x:v>lot 45 cost formula</x:v>
      </x:c>
      <x:c r="E3449" s="21" t="n">
        <x:f>IF(ABS('Article Lots'!I45-'Article Lots'!G45*'Article Lots'!H45/1000)&lt;0.000001,1,0)</x:f>
        <x:v>1</x:v>
      </x:c>
      <x:c r="F3449" s="21" t="n">
        <x:v>1</x:v>
      </x:c>
      <x:c r="G3449" s="23" t="str">
        <x:f>IF(E3449=F3449,"PASS","FAIL")</x:f>
        <x:v>PASS</x:v>
      </x:c>
    </x:row>
    <x:row r="3450">
      <x:c r="B3450" s="21" t="str">
        <x:v>A3444</x:v>
      </x:c>
      <x:c r="C3450" s="21" t="str">
        <x:v>lots</x:v>
      </x:c>
      <x:c r="D3450" s="21" t="str">
        <x:v>lot 45 schedule margin</x:v>
      </x:c>
      <x:c r="E3450" s="21" t="n">
        <x:f>IF('Article Lots'!L45='Article Lots'!K45-'Article Lots'!J45,1,0)</x:f>
        <x:v>1</x:v>
      </x:c>
      <x:c r="F3450" s="21" t="n">
        <x:v>1</x:v>
      </x:c>
      <x:c r="G3450" s="23" t="str">
        <x:f>IF(E3450=F3450,"PASS","FAIL")</x:f>
        <x:v>PASS</x:v>
      </x:c>
    </x:row>
    <x:row r="3451">
      <x:c r="B3451" s="21" t="str">
        <x:v>A3445</x:v>
      </x:c>
      <x:c r="C3451" s="21" t="str">
        <x:v>lots</x:v>
      </x:c>
      <x:c r="D3451" s="21" t="str">
        <x:v>lot 45 released before need</x:v>
      </x:c>
      <x:c r="E3451" s="21" t="n">
        <x:f>IF('Article Lots'!J45&lt;'Article Lots'!K45,1,0)</x:f>
        <x:v>1</x:v>
      </x:c>
      <x:c r="F3451" s="21" t="n">
        <x:v>1</x:v>
      </x:c>
      <x:c r="G3451" s="23" t="str">
        <x:f>IF(E3451=F3451,"PASS","FAIL")</x:f>
        <x:v>PASS</x:v>
      </x:c>
    </x:row>
    <x:row r="3452">
      <x:c r="B3452" s="21" t="str">
        <x:v>A3446</x:v>
      </x:c>
      <x:c r="C3452" s="21" t="str">
        <x:v>lots</x:v>
      </x:c>
      <x:c r="D3452" s="21" t="str">
        <x:v>lot 45 evidence open</x:v>
      </x:c>
      <x:c r="E3452" s="21" t="n">
        <x:f>IF('Article Lots'!N45="OPEN",1,0)</x:f>
        <x:v>1</x:v>
      </x:c>
      <x:c r="F3452" s="21" t="n">
        <x:v>1</x:v>
      </x:c>
      <x:c r="G3452" s="23" t="str">
        <x:f>IF(E3452=F3452,"PASS","FAIL")</x:f>
        <x:v>PASS</x:v>
      </x:c>
    </x:row>
    <x:row r="3453">
      <x:c r="B3453" s="21" t="str">
        <x:v>A3447</x:v>
      </x:c>
      <x:c r="C3453" s="21" t="str">
        <x:v>lots</x:v>
      </x:c>
      <x:c r="D3453" s="21" t="str">
        <x:v>lot 46 positive quantity</x:v>
      </x:c>
      <x:c r="E3453" s="21" t="n">
        <x:f>IF('Article Lots'!G46&gt;0,1,0)</x:f>
        <x:v>1</x:v>
      </x:c>
      <x:c r="F3453" s="21" t="n">
        <x:v>1</x:v>
      </x:c>
      <x:c r="G3453" s="23" t="str">
        <x:f>IF(E3453=F3453,"PASS","FAIL")</x:f>
        <x:v>PASS</x:v>
      </x:c>
    </x:row>
    <x:row r="3454">
      <x:c r="B3454" s="21" t="str">
        <x:v>A3448</x:v>
      </x:c>
      <x:c r="C3454" s="21" t="str">
        <x:v>lots</x:v>
      </x:c>
      <x:c r="D3454" s="21" t="str">
        <x:v>lot 46 cost formula</x:v>
      </x:c>
      <x:c r="E3454" s="21" t="n">
        <x:f>IF(ABS('Article Lots'!I46-'Article Lots'!G46*'Article Lots'!H46/1000)&lt;0.000001,1,0)</x:f>
        <x:v>1</x:v>
      </x:c>
      <x:c r="F3454" s="21" t="n">
        <x:v>1</x:v>
      </x:c>
      <x:c r="G3454" s="23" t="str">
        <x:f>IF(E3454=F3454,"PASS","FAIL")</x:f>
        <x:v>PASS</x:v>
      </x:c>
    </x:row>
    <x:row r="3455">
      <x:c r="B3455" s="21" t="str">
        <x:v>A3449</x:v>
      </x:c>
      <x:c r="C3455" s="21" t="str">
        <x:v>lots</x:v>
      </x:c>
      <x:c r="D3455" s="21" t="str">
        <x:v>lot 46 schedule margin</x:v>
      </x:c>
      <x:c r="E3455" s="21" t="n">
        <x:f>IF('Article Lots'!L46='Article Lots'!K46-'Article Lots'!J46,1,0)</x:f>
        <x:v>1</x:v>
      </x:c>
      <x:c r="F3455" s="21" t="n">
        <x:v>1</x:v>
      </x:c>
      <x:c r="G3455" s="23" t="str">
        <x:f>IF(E3455=F3455,"PASS","FAIL")</x:f>
        <x:v>PASS</x:v>
      </x:c>
    </x:row>
    <x:row r="3456">
      <x:c r="B3456" s="21" t="str">
        <x:v>A3450</x:v>
      </x:c>
      <x:c r="C3456" s="21" t="str">
        <x:v>lots</x:v>
      </x:c>
      <x:c r="D3456" s="21" t="str">
        <x:v>lot 46 released before need</x:v>
      </x:c>
      <x:c r="E3456" s="21" t="n">
        <x:f>IF('Article Lots'!J46&lt;'Article Lots'!K46,1,0)</x:f>
        <x:v>1</x:v>
      </x:c>
      <x:c r="F3456" s="21" t="n">
        <x:v>1</x:v>
      </x:c>
      <x:c r="G3456" s="23" t="str">
        <x:f>IF(E3456=F3456,"PASS","FAIL")</x:f>
        <x:v>PASS</x:v>
      </x:c>
    </x:row>
    <x:row r="3457">
      <x:c r="B3457" s="21" t="str">
        <x:v>A3451</x:v>
      </x:c>
      <x:c r="C3457" s="21" t="str">
        <x:v>lots</x:v>
      </x:c>
      <x:c r="D3457" s="21" t="str">
        <x:v>lot 46 evidence open</x:v>
      </x:c>
      <x:c r="E3457" s="21" t="n">
        <x:f>IF('Article Lots'!N46="OPEN",1,0)</x:f>
        <x:v>1</x:v>
      </x:c>
      <x:c r="F3457" s="21" t="n">
        <x:v>1</x:v>
      </x:c>
      <x:c r="G3457" s="23" t="str">
        <x:f>IF(E3457=F3457,"PASS","FAIL")</x:f>
        <x:v>PASS</x:v>
      </x:c>
    </x:row>
    <x:row r="3458">
      <x:c r="B3458" s="21" t="str">
        <x:v>A3452</x:v>
      </x:c>
      <x:c r="C3458" s="21" t="str">
        <x:v>lots</x:v>
      </x:c>
      <x:c r="D3458" s="21" t="str">
        <x:v>lot 47 positive quantity</x:v>
      </x:c>
      <x:c r="E3458" s="21" t="n">
        <x:f>IF('Article Lots'!G47&gt;0,1,0)</x:f>
        <x:v>1</x:v>
      </x:c>
      <x:c r="F3458" s="21" t="n">
        <x:v>1</x:v>
      </x:c>
      <x:c r="G3458" s="23" t="str">
        <x:f>IF(E3458=F3458,"PASS","FAIL")</x:f>
        <x:v>PASS</x:v>
      </x:c>
    </x:row>
    <x:row r="3459">
      <x:c r="B3459" s="21" t="str">
        <x:v>A3453</x:v>
      </x:c>
      <x:c r="C3459" s="21" t="str">
        <x:v>lots</x:v>
      </x:c>
      <x:c r="D3459" s="21" t="str">
        <x:v>lot 47 cost formula</x:v>
      </x:c>
      <x:c r="E3459" s="21" t="n">
        <x:f>IF(ABS('Article Lots'!I47-'Article Lots'!G47*'Article Lots'!H47/1000)&lt;0.000001,1,0)</x:f>
        <x:v>1</x:v>
      </x:c>
      <x:c r="F3459" s="21" t="n">
        <x:v>1</x:v>
      </x:c>
      <x:c r="G3459" s="23" t="str">
        <x:f>IF(E3459=F3459,"PASS","FAIL")</x:f>
        <x:v>PASS</x:v>
      </x:c>
    </x:row>
    <x:row r="3460">
      <x:c r="B3460" s="21" t="str">
        <x:v>A3454</x:v>
      </x:c>
      <x:c r="C3460" s="21" t="str">
        <x:v>lots</x:v>
      </x:c>
      <x:c r="D3460" s="21" t="str">
        <x:v>lot 47 schedule margin</x:v>
      </x:c>
      <x:c r="E3460" s="21" t="n">
        <x:f>IF('Article Lots'!L47='Article Lots'!K47-'Article Lots'!J47,1,0)</x:f>
        <x:v>1</x:v>
      </x:c>
      <x:c r="F3460" s="21" t="n">
        <x:v>1</x:v>
      </x:c>
      <x:c r="G3460" s="23" t="str">
        <x:f>IF(E3460=F3460,"PASS","FAIL")</x:f>
        <x:v>PASS</x:v>
      </x:c>
    </x:row>
    <x:row r="3461">
      <x:c r="B3461" s="21" t="str">
        <x:v>A3455</x:v>
      </x:c>
      <x:c r="C3461" s="21" t="str">
        <x:v>lots</x:v>
      </x:c>
      <x:c r="D3461" s="21" t="str">
        <x:v>lot 47 released before need</x:v>
      </x:c>
      <x:c r="E3461" s="21" t="n">
        <x:f>IF('Article Lots'!J47&lt;'Article Lots'!K47,1,0)</x:f>
        <x:v>1</x:v>
      </x:c>
      <x:c r="F3461" s="21" t="n">
        <x:v>1</x:v>
      </x:c>
      <x:c r="G3461" s="23" t="str">
        <x:f>IF(E3461=F3461,"PASS","FAIL")</x:f>
        <x:v>PASS</x:v>
      </x:c>
    </x:row>
    <x:row r="3462">
      <x:c r="B3462" s="21" t="str">
        <x:v>A3456</x:v>
      </x:c>
      <x:c r="C3462" s="21" t="str">
        <x:v>lots</x:v>
      </x:c>
      <x:c r="D3462" s="21" t="str">
        <x:v>lot 47 evidence open</x:v>
      </x:c>
      <x:c r="E3462" s="21" t="n">
        <x:f>IF('Article Lots'!N47="OPEN",1,0)</x:f>
        <x:v>1</x:v>
      </x:c>
      <x:c r="F3462" s="21" t="n">
        <x:v>1</x:v>
      </x:c>
      <x:c r="G3462" s="23" t="str">
        <x:f>IF(E3462=F3462,"PASS","FAIL")</x:f>
        <x:v>PASS</x:v>
      </x:c>
    </x:row>
    <x:row r="3463">
      <x:c r="B3463" s="21" t="str">
        <x:v>A3457</x:v>
      </x:c>
      <x:c r="C3463" s="21" t="str">
        <x:v>lots</x:v>
      </x:c>
      <x:c r="D3463" s="21" t="str">
        <x:v>lot 48 positive quantity</x:v>
      </x:c>
      <x:c r="E3463" s="21" t="n">
        <x:f>IF('Article Lots'!G48&gt;0,1,0)</x:f>
        <x:v>1</x:v>
      </x:c>
      <x:c r="F3463" s="21" t="n">
        <x:v>1</x:v>
      </x:c>
      <x:c r="G3463" s="23" t="str">
        <x:f>IF(E3463=F3463,"PASS","FAIL")</x:f>
        <x:v>PASS</x:v>
      </x:c>
    </x:row>
    <x:row r="3464">
      <x:c r="B3464" s="21" t="str">
        <x:v>A3458</x:v>
      </x:c>
      <x:c r="C3464" s="21" t="str">
        <x:v>lots</x:v>
      </x:c>
      <x:c r="D3464" s="21" t="str">
        <x:v>lot 48 cost formula</x:v>
      </x:c>
      <x:c r="E3464" s="21" t="n">
        <x:f>IF(ABS('Article Lots'!I48-'Article Lots'!G48*'Article Lots'!H48/1000)&lt;0.000001,1,0)</x:f>
        <x:v>1</x:v>
      </x:c>
      <x:c r="F3464" s="21" t="n">
        <x:v>1</x:v>
      </x:c>
      <x:c r="G3464" s="23" t="str">
        <x:f>IF(E3464=F3464,"PASS","FAIL")</x:f>
        <x:v>PASS</x:v>
      </x:c>
    </x:row>
    <x:row r="3465">
      <x:c r="B3465" s="21" t="str">
        <x:v>A3459</x:v>
      </x:c>
      <x:c r="C3465" s="21" t="str">
        <x:v>lots</x:v>
      </x:c>
      <x:c r="D3465" s="21" t="str">
        <x:v>lot 48 schedule margin</x:v>
      </x:c>
      <x:c r="E3465" s="21" t="n">
        <x:f>IF('Article Lots'!L48='Article Lots'!K48-'Article Lots'!J48,1,0)</x:f>
        <x:v>1</x:v>
      </x:c>
      <x:c r="F3465" s="21" t="n">
        <x:v>1</x:v>
      </x:c>
      <x:c r="G3465" s="23" t="str">
        <x:f>IF(E3465=F3465,"PASS","FAIL")</x:f>
        <x:v>PASS</x:v>
      </x:c>
    </x:row>
    <x:row r="3466">
      <x:c r="B3466" s="21" t="str">
        <x:v>A3460</x:v>
      </x:c>
      <x:c r="C3466" s="21" t="str">
        <x:v>lots</x:v>
      </x:c>
      <x:c r="D3466" s="21" t="str">
        <x:v>lot 48 released before need</x:v>
      </x:c>
      <x:c r="E3466" s="21" t="n">
        <x:f>IF('Article Lots'!J48&lt;'Article Lots'!K48,1,0)</x:f>
        <x:v>1</x:v>
      </x:c>
      <x:c r="F3466" s="21" t="n">
        <x:v>1</x:v>
      </x:c>
      <x:c r="G3466" s="23" t="str">
        <x:f>IF(E3466=F3466,"PASS","FAIL")</x:f>
        <x:v>PASS</x:v>
      </x:c>
    </x:row>
    <x:row r="3467">
      <x:c r="B3467" s="21" t="str">
        <x:v>A3461</x:v>
      </x:c>
      <x:c r="C3467" s="21" t="str">
        <x:v>lots</x:v>
      </x:c>
      <x:c r="D3467" s="21" t="str">
        <x:v>lot 48 evidence open</x:v>
      </x:c>
      <x:c r="E3467" s="21" t="n">
        <x:f>IF('Article Lots'!N48="OPEN",1,0)</x:f>
        <x:v>1</x:v>
      </x:c>
      <x:c r="F3467" s="21" t="n">
        <x:v>1</x:v>
      </x:c>
      <x:c r="G3467" s="23" t="str">
        <x:f>IF(E3467=F3467,"PASS","FAIL")</x:f>
        <x:v>PASS</x:v>
      </x:c>
    </x:row>
    <x:row r="3468">
      <x:c r="B3468" s="21" t="str">
        <x:v>A3462</x:v>
      </x:c>
      <x:c r="C3468" s="21" t="str">
        <x:v>lots</x:v>
      </x:c>
      <x:c r="D3468" s="21" t="str">
        <x:v>lot 49 positive quantity</x:v>
      </x:c>
      <x:c r="E3468" s="21" t="n">
        <x:f>IF('Article Lots'!G49&gt;0,1,0)</x:f>
        <x:v>1</x:v>
      </x:c>
      <x:c r="F3468" s="21" t="n">
        <x:v>1</x:v>
      </x:c>
      <x:c r="G3468" s="23" t="str">
        <x:f>IF(E3468=F3468,"PASS","FAIL")</x:f>
        <x:v>PASS</x:v>
      </x:c>
    </x:row>
    <x:row r="3469">
      <x:c r="B3469" s="21" t="str">
        <x:v>A3463</x:v>
      </x:c>
      <x:c r="C3469" s="21" t="str">
        <x:v>lots</x:v>
      </x:c>
      <x:c r="D3469" s="21" t="str">
        <x:v>lot 49 cost formula</x:v>
      </x:c>
      <x:c r="E3469" s="21" t="n">
        <x:f>IF(ABS('Article Lots'!I49-'Article Lots'!G49*'Article Lots'!H49/1000)&lt;0.000001,1,0)</x:f>
        <x:v>1</x:v>
      </x:c>
      <x:c r="F3469" s="21" t="n">
        <x:v>1</x:v>
      </x:c>
      <x:c r="G3469" s="23" t="str">
        <x:f>IF(E3469=F3469,"PASS","FAIL")</x:f>
        <x:v>PASS</x:v>
      </x:c>
    </x:row>
    <x:row r="3470">
      <x:c r="B3470" s="21" t="str">
        <x:v>A3464</x:v>
      </x:c>
      <x:c r="C3470" s="21" t="str">
        <x:v>lots</x:v>
      </x:c>
      <x:c r="D3470" s="21" t="str">
        <x:v>lot 49 schedule margin</x:v>
      </x:c>
      <x:c r="E3470" s="21" t="n">
        <x:f>IF('Article Lots'!L49='Article Lots'!K49-'Article Lots'!J49,1,0)</x:f>
        <x:v>1</x:v>
      </x:c>
      <x:c r="F3470" s="21" t="n">
        <x:v>1</x:v>
      </x:c>
      <x:c r="G3470" s="23" t="str">
        <x:f>IF(E3470=F3470,"PASS","FAIL")</x:f>
        <x:v>PASS</x:v>
      </x:c>
    </x:row>
    <x:row r="3471">
      <x:c r="B3471" s="21" t="str">
        <x:v>A3465</x:v>
      </x:c>
      <x:c r="C3471" s="21" t="str">
        <x:v>lots</x:v>
      </x:c>
      <x:c r="D3471" s="21" t="str">
        <x:v>lot 49 released before need</x:v>
      </x:c>
      <x:c r="E3471" s="21" t="n">
        <x:f>IF('Article Lots'!J49&lt;'Article Lots'!K49,1,0)</x:f>
        <x:v>1</x:v>
      </x:c>
      <x:c r="F3471" s="21" t="n">
        <x:v>1</x:v>
      </x:c>
      <x:c r="G3471" s="23" t="str">
        <x:f>IF(E3471=F3471,"PASS","FAIL")</x:f>
        <x:v>PASS</x:v>
      </x:c>
    </x:row>
    <x:row r="3472">
      <x:c r="B3472" s="21" t="str">
        <x:v>A3466</x:v>
      </x:c>
      <x:c r="C3472" s="21" t="str">
        <x:v>lots</x:v>
      </x:c>
      <x:c r="D3472" s="21" t="str">
        <x:v>lot 49 evidence open</x:v>
      </x:c>
      <x:c r="E3472" s="21" t="n">
        <x:f>IF('Article Lots'!N49="OPEN",1,0)</x:f>
        <x:v>1</x:v>
      </x:c>
      <x:c r="F3472" s="21" t="n">
        <x:v>1</x:v>
      </x:c>
      <x:c r="G3472" s="23" t="str">
        <x:f>IF(E3472=F3472,"PASS","FAIL")</x:f>
        <x:v>PASS</x:v>
      </x:c>
    </x:row>
    <x:row r="3473">
      <x:c r="B3473" s="21" t="str">
        <x:v>A3467</x:v>
      </x:c>
      <x:c r="C3473" s="21" t="str">
        <x:v>lots</x:v>
      </x:c>
      <x:c r="D3473" s="21" t="str">
        <x:v>lot 50 positive quantity</x:v>
      </x:c>
      <x:c r="E3473" s="21" t="n">
        <x:f>IF('Article Lots'!G50&gt;0,1,0)</x:f>
        <x:v>1</x:v>
      </x:c>
      <x:c r="F3473" s="21" t="n">
        <x:v>1</x:v>
      </x:c>
      <x:c r="G3473" s="23" t="str">
        <x:f>IF(E3473=F3473,"PASS","FAIL")</x:f>
        <x:v>PASS</x:v>
      </x:c>
    </x:row>
    <x:row r="3474">
      <x:c r="B3474" s="21" t="str">
        <x:v>A3468</x:v>
      </x:c>
      <x:c r="C3474" s="21" t="str">
        <x:v>lots</x:v>
      </x:c>
      <x:c r="D3474" s="21" t="str">
        <x:v>lot 50 cost formula</x:v>
      </x:c>
      <x:c r="E3474" s="21" t="n">
        <x:f>IF(ABS('Article Lots'!I50-'Article Lots'!G50*'Article Lots'!H50/1000)&lt;0.000001,1,0)</x:f>
        <x:v>1</x:v>
      </x:c>
      <x:c r="F3474" s="21" t="n">
        <x:v>1</x:v>
      </x:c>
      <x:c r="G3474" s="23" t="str">
        <x:f>IF(E3474=F3474,"PASS","FAIL")</x:f>
        <x:v>PASS</x:v>
      </x:c>
    </x:row>
    <x:row r="3475">
      <x:c r="B3475" s="21" t="str">
        <x:v>A3469</x:v>
      </x:c>
      <x:c r="C3475" s="21" t="str">
        <x:v>lots</x:v>
      </x:c>
      <x:c r="D3475" s="21" t="str">
        <x:v>lot 50 schedule margin</x:v>
      </x:c>
      <x:c r="E3475" s="21" t="n">
        <x:f>IF('Article Lots'!L50='Article Lots'!K50-'Article Lots'!J50,1,0)</x:f>
        <x:v>1</x:v>
      </x:c>
      <x:c r="F3475" s="21" t="n">
        <x:v>1</x:v>
      </x:c>
      <x:c r="G3475" s="23" t="str">
        <x:f>IF(E3475=F3475,"PASS","FAIL")</x:f>
        <x:v>PASS</x:v>
      </x:c>
    </x:row>
    <x:row r="3476">
      <x:c r="B3476" s="21" t="str">
        <x:v>A3470</x:v>
      </x:c>
      <x:c r="C3476" s="21" t="str">
        <x:v>lots</x:v>
      </x:c>
      <x:c r="D3476" s="21" t="str">
        <x:v>lot 50 released before need</x:v>
      </x:c>
      <x:c r="E3476" s="21" t="n">
        <x:f>IF('Article Lots'!J50&lt;'Article Lots'!K50,1,0)</x:f>
        <x:v>1</x:v>
      </x:c>
      <x:c r="F3476" s="21" t="n">
        <x:v>1</x:v>
      </x:c>
      <x:c r="G3476" s="23" t="str">
        <x:f>IF(E3476=F3476,"PASS","FAIL")</x:f>
        <x:v>PASS</x:v>
      </x:c>
    </x:row>
    <x:row r="3477">
      <x:c r="B3477" s="21" t="str">
        <x:v>A3471</x:v>
      </x:c>
      <x:c r="C3477" s="21" t="str">
        <x:v>lots</x:v>
      </x:c>
      <x:c r="D3477" s="21" t="str">
        <x:v>lot 50 evidence open</x:v>
      </x:c>
      <x:c r="E3477" s="21" t="n">
        <x:f>IF('Article Lots'!N50="OPEN",1,0)</x:f>
        <x:v>1</x:v>
      </x:c>
      <x:c r="F3477" s="21" t="n">
        <x:v>1</x:v>
      </x:c>
      <x:c r="G3477" s="23" t="str">
        <x:f>IF(E3477=F3477,"PASS","FAIL")</x:f>
        <x:v>PASS</x:v>
      </x:c>
    </x:row>
    <x:row r="3478">
      <x:c r="B3478" s="21" t="str">
        <x:v>A3472</x:v>
      </x:c>
      <x:c r="C3478" s="21" t="str">
        <x:v>lots</x:v>
      </x:c>
      <x:c r="D3478" s="21" t="str">
        <x:v>lot 51 positive quantity</x:v>
      </x:c>
      <x:c r="E3478" s="21" t="n">
        <x:f>IF('Article Lots'!G51&gt;0,1,0)</x:f>
        <x:v>1</x:v>
      </x:c>
      <x:c r="F3478" s="21" t="n">
        <x:v>1</x:v>
      </x:c>
      <x:c r="G3478" s="23" t="str">
        <x:f>IF(E3478=F3478,"PASS","FAIL")</x:f>
        <x:v>PASS</x:v>
      </x:c>
    </x:row>
    <x:row r="3479">
      <x:c r="B3479" s="21" t="str">
        <x:v>A3473</x:v>
      </x:c>
      <x:c r="C3479" s="21" t="str">
        <x:v>lots</x:v>
      </x:c>
      <x:c r="D3479" s="21" t="str">
        <x:v>lot 51 cost formula</x:v>
      </x:c>
      <x:c r="E3479" s="21" t="n">
        <x:f>IF(ABS('Article Lots'!I51-'Article Lots'!G51*'Article Lots'!H51/1000)&lt;0.000001,1,0)</x:f>
        <x:v>1</x:v>
      </x:c>
      <x:c r="F3479" s="21" t="n">
        <x:v>1</x:v>
      </x:c>
      <x:c r="G3479" s="23" t="str">
        <x:f>IF(E3479=F3479,"PASS","FAIL")</x:f>
        <x:v>PASS</x:v>
      </x:c>
    </x:row>
    <x:row r="3480">
      <x:c r="B3480" s="21" t="str">
        <x:v>A3474</x:v>
      </x:c>
      <x:c r="C3480" s="21" t="str">
        <x:v>lots</x:v>
      </x:c>
      <x:c r="D3480" s="21" t="str">
        <x:v>lot 51 schedule margin</x:v>
      </x:c>
      <x:c r="E3480" s="21" t="n">
        <x:f>IF('Article Lots'!L51='Article Lots'!K51-'Article Lots'!J51,1,0)</x:f>
        <x:v>1</x:v>
      </x:c>
      <x:c r="F3480" s="21" t="n">
        <x:v>1</x:v>
      </x:c>
      <x:c r="G3480" s="23" t="str">
        <x:f>IF(E3480=F3480,"PASS","FAIL")</x:f>
        <x:v>PASS</x:v>
      </x:c>
    </x:row>
    <x:row r="3481">
      <x:c r="B3481" s="21" t="str">
        <x:v>A3475</x:v>
      </x:c>
      <x:c r="C3481" s="21" t="str">
        <x:v>lots</x:v>
      </x:c>
      <x:c r="D3481" s="21" t="str">
        <x:v>lot 51 released before need</x:v>
      </x:c>
      <x:c r="E3481" s="21" t="n">
        <x:f>IF('Article Lots'!J51&lt;'Article Lots'!K51,1,0)</x:f>
        <x:v>1</x:v>
      </x:c>
      <x:c r="F3481" s="21" t="n">
        <x:v>1</x:v>
      </x:c>
      <x:c r="G3481" s="23" t="str">
        <x:f>IF(E3481=F3481,"PASS","FAIL")</x:f>
        <x:v>PASS</x:v>
      </x:c>
    </x:row>
    <x:row r="3482">
      <x:c r="B3482" s="21" t="str">
        <x:v>A3476</x:v>
      </x:c>
      <x:c r="C3482" s="21" t="str">
        <x:v>lots</x:v>
      </x:c>
      <x:c r="D3482" s="21" t="str">
        <x:v>lot 51 evidence open</x:v>
      </x:c>
      <x:c r="E3482" s="21" t="n">
        <x:f>IF('Article Lots'!N51="OPEN",1,0)</x:f>
        <x:v>1</x:v>
      </x:c>
      <x:c r="F3482" s="21" t="n">
        <x:v>1</x:v>
      </x:c>
      <x:c r="G3482" s="23" t="str">
        <x:f>IF(E3482=F3482,"PASS","FAIL")</x:f>
        <x:v>PASS</x:v>
      </x:c>
    </x:row>
    <x:row r="3483">
      <x:c r="B3483" s="21" t="str">
        <x:v>A3477</x:v>
      </x:c>
      <x:c r="C3483" s="21" t="str">
        <x:v>lots</x:v>
      </x:c>
      <x:c r="D3483" s="21" t="str">
        <x:v>lot 52 positive quantity</x:v>
      </x:c>
      <x:c r="E3483" s="21" t="n">
        <x:f>IF('Article Lots'!G52&gt;0,1,0)</x:f>
        <x:v>1</x:v>
      </x:c>
      <x:c r="F3483" s="21" t="n">
        <x:v>1</x:v>
      </x:c>
      <x:c r="G3483" s="23" t="str">
        <x:f>IF(E3483=F3483,"PASS","FAIL")</x:f>
        <x:v>PASS</x:v>
      </x:c>
    </x:row>
    <x:row r="3484">
      <x:c r="B3484" s="21" t="str">
        <x:v>A3478</x:v>
      </x:c>
      <x:c r="C3484" s="21" t="str">
        <x:v>lots</x:v>
      </x:c>
      <x:c r="D3484" s="21" t="str">
        <x:v>lot 52 cost formula</x:v>
      </x:c>
      <x:c r="E3484" s="21" t="n">
        <x:f>IF(ABS('Article Lots'!I52-'Article Lots'!G52*'Article Lots'!H52/1000)&lt;0.000001,1,0)</x:f>
        <x:v>1</x:v>
      </x:c>
      <x:c r="F3484" s="21" t="n">
        <x:v>1</x:v>
      </x:c>
      <x:c r="G3484" s="23" t="str">
        <x:f>IF(E3484=F3484,"PASS","FAIL")</x:f>
        <x:v>PASS</x:v>
      </x:c>
    </x:row>
    <x:row r="3485">
      <x:c r="B3485" s="21" t="str">
        <x:v>A3479</x:v>
      </x:c>
      <x:c r="C3485" s="21" t="str">
        <x:v>lots</x:v>
      </x:c>
      <x:c r="D3485" s="21" t="str">
        <x:v>lot 52 schedule margin</x:v>
      </x:c>
      <x:c r="E3485" s="21" t="n">
        <x:f>IF('Article Lots'!L52='Article Lots'!K52-'Article Lots'!J52,1,0)</x:f>
        <x:v>1</x:v>
      </x:c>
      <x:c r="F3485" s="21" t="n">
        <x:v>1</x:v>
      </x:c>
      <x:c r="G3485" s="23" t="str">
        <x:f>IF(E3485=F3485,"PASS","FAIL")</x:f>
        <x:v>PASS</x:v>
      </x:c>
    </x:row>
    <x:row r="3486">
      <x:c r="B3486" s="21" t="str">
        <x:v>A3480</x:v>
      </x:c>
      <x:c r="C3486" s="21" t="str">
        <x:v>lots</x:v>
      </x:c>
      <x:c r="D3486" s="21" t="str">
        <x:v>lot 52 released before need</x:v>
      </x:c>
      <x:c r="E3486" s="21" t="n">
        <x:f>IF('Article Lots'!J52&lt;'Article Lots'!K52,1,0)</x:f>
        <x:v>1</x:v>
      </x:c>
      <x:c r="F3486" s="21" t="n">
        <x:v>1</x:v>
      </x:c>
      <x:c r="G3486" s="23" t="str">
        <x:f>IF(E3486=F3486,"PASS","FAIL")</x:f>
        <x:v>PASS</x:v>
      </x:c>
    </x:row>
    <x:row r="3487">
      <x:c r="B3487" s="21" t="str">
        <x:v>A3481</x:v>
      </x:c>
      <x:c r="C3487" s="21" t="str">
        <x:v>lots</x:v>
      </x:c>
      <x:c r="D3487" s="21" t="str">
        <x:v>lot 52 evidence open</x:v>
      </x:c>
      <x:c r="E3487" s="21" t="n">
        <x:f>IF('Article Lots'!N52="OPEN",1,0)</x:f>
        <x:v>1</x:v>
      </x:c>
      <x:c r="F3487" s="21" t="n">
        <x:v>1</x:v>
      </x:c>
      <x:c r="G3487" s="23" t="str">
        <x:f>IF(E3487=F3487,"PASS","FAIL")</x:f>
        <x:v>PASS</x:v>
      </x:c>
    </x:row>
    <x:row r="3488">
      <x:c r="B3488" s="21" t="str">
        <x:v>A3482</x:v>
      </x:c>
      <x:c r="C3488" s="21" t="str">
        <x:v>lots</x:v>
      </x:c>
      <x:c r="D3488" s="21" t="str">
        <x:v>lot 53 positive quantity</x:v>
      </x:c>
      <x:c r="E3488" s="21" t="n">
        <x:f>IF('Article Lots'!G53&gt;0,1,0)</x:f>
        <x:v>1</x:v>
      </x:c>
      <x:c r="F3488" s="21" t="n">
        <x:v>1</x:v>
      </x:c>
      <x:c r="G3488" s="23" t="str">
        <x:f>IF(E3488=F3488,"PASS","FAIL")</x:f>
        <x:v>PASS</x:v>
      </x:c>
    </x:row>
    <x:row r="3489">
      <x:c r="B3489" s="21" t="str">
        <x:v>A3483</x:v>
      </x:c>
      <x:c r="C3489" s="21" t="str">
        <x:v>lots</x:v>
      </x:c>
      <x:c r="D3489" s="21" t="str">
        <x:v>lot 53 cost formula</x:v>
      </x:c>
      <x:c r="E3489" s="21" t="n">
        <x:f>IF(ABS('Article Lots'!I53-'Article Lots'!G53*'Article Lots'!H53/1000)&lt;0.000001,1,0)</x:f>
        <x:v>1</x:v>
      </x:c>
      <x:c r="F3489" s="21" t="n">
        <x:v>1</x:v>
      </x:c>
      <x:c r="G3489" s="23" t="str">
        <x:f>IF(E3489=F3489,"PASS","FAIL")</x:f>
        <x:v>PASS</x:v>
      </x:c>
    </x:row>
    <x:row r="3490">
      <x:c r="B3490" s="21" t="str">
        <x:v>A3484</x:v>
      </x:c>
      <x:c r="C3490" s="21" t="str">
        <x:v>lots</x:v>
      </x:c>
      <x:c r="D3490" s="21" t="str">
        <x:v>lot 53 schedule margin</x:v>
      </x:c>
      <x:c r="E3490" s="21" t="n">
        <x:f>IF('Article Lots'!L53='Article Lots'!K53-'Article Lots'!J53,1,0)</x:f>
        <x:v>1</x:v>
      </x:c>
      <x:c r="F3490" s="21" t="n">
        <x:v>1</x:v>
      </x:c>
      <x:c r="G3490" s="23" t="str">
        <x:f>IF(E3490=F3490,"PASS","FAIL")</x:f>
        <x:v>PASS</x:v>
      </x:c>
    </x:row>
    <x:row r="3491">
      <x:c r="B3491" s="21" t="str">
        <x:v>A3485</x:v>
      </x:c>
      <x:c r="C3491" s="21" t="str">
        <x:v>lots</x:v>
      </x:c>
      <x:c r="D3491" s="21" t="str">
        <x:v>lot 53 released before need</x:v>
      </x:c>
      <x:c r="E3491" s="21" t="n">
        <x:f>IF('Article Lots'!J53&lt;'Article Lots'!K53,1,0)</x:f>
        <x:v>1</x:v>
      </x:c>
      <x:c r="F3491" s="21" t="n">
        <x:v>1</x:v>
      </x:c>
      <x:c r="G3491" s="23" t="str">
        <x:f>IF(E3491=F3491,"PASS","FAIL")</x:f>
        <x:v>PASS</x:v>
      </x:c>
    </x:row>
    <x:row r="3492">
      <x:c r="B3492" s="21" t="str">
        <x:v>A3486</x:v>
      </x:c>
      <x:c r="C3492" s="21" t="str">
        <x:v>lots</x:v>
      </x:c>
      <x:c r="D3492" s="21" t="str">
        <x:v>lot 53 evidence open</x:v>
      </x:c>
      <x:c r="E3492" s="21" t="n">
        <x:f>IF('Article Lots'!N53="OPEN",1,0)</x:f>
        <x:v>1</x:v>
      </x:c>
      <x:c r="F3492" s="21" t="n">
        <x:v>1</x:v>
      </x:c>
      <x:c r="G3492" s="23" t="str">
        <x:f>IF(E3492=F3492,"PASS","FAIL")</x:f>
        <x:v>PASS</x:v>
      </x:c>
    </x:row>
    <x:row r="3493">
      <x:c r="B3493" s="21" t="str">
        <x:v>A3487</x:v>
      </x:c>
      <x:c r="C3493" s="21" t="str">
        <x:v>lots</x:v>
      </x:c>
      <x:c r="D3493" s="21" t="str">
        <x:v>lot 54 positive quantity</x:v>
      </x:c>
      <x:c r="E3493" s="21" t="n">
        <x:f>IF('Article Lots'!G54&gt;0,1,0)</x:f>
        <x:v>1</x:v>
      </x:c>
      <x:c r="F3493" s="21" t="n">
        <x:v>1</x:v>
      </x:c>
      <x:c r="G3493" s="23" t="str">
        <x:f>IF(E3493=F3493,"PASS","FAIL")</x:f>
        <x:v>PASS</x:v>
      </x:c>
    </x:row>
    <x:row r="3494">
      <x:c r="B3494" s="21" t="str">
        <x:v>A3488</x:v>
      </x:c>
      <x:c r="C3494" s="21" t="str">
        <x:v>lots</x:v>
      </x:c>
      <x:c r="D3494" s="21" t="str">
        <x:v>lot 54 cost formula</x:v>
      </x:c>
      <x:c r="E3494" s="21" t="n">
        <x:f>IF(ABS('Article Lots'!I54-'Article Lots'!G54*'Article Lots'!H54/1000)&lt;0.000001,1,0)</x:f>
        <x:v>1</x:v>
      </x:c>
      <x:c r="F3494" s="21" t="n">
        <x:v>1</x:v>
      </x:c>
      <x:c r="G3494" s="23" t="str">
        <x:f>IF(E3494=F3494,"PASS","FAIL")</x:f>
        <x:v>PASS</x:v>
      </x:c>
    </x:row>
    <x:row r="3495">
      <x:c r="B3495" s="21" t="str">
        <x:v>A3489</x:v>
      </x:c>
      <x:c r="C3495" s="21" t="str">
        <x:v>lots</x:v>
      </x:c>
      <x:c r="D3495" s="21" t="str">
        <x:v>lot 54 schedule margin</x:v>
      </x:c>
      <x:c r="E3495" s="21" t="n">
        <x:f>IF('Article Lots'!L54='Article Lots'!K54-'Article Lots'!J54,1,0)</x:f>
        <x:v>1</x:v>
      </x:c>
      <x:c r="F3495" s="21" t="n">
        <x:v>1</x:v>
      </x:c>
      <x:c r="G3495" s="23" t="str">
        <x:f>IF(E3495=F3495,"PASS","FAIL")</x:f>
        <x:v>PASS</x:v>
      </x:c>
    </x:row>
    <x:row r="3496">
      <x:c r="B3496" s="21" t="str">
        <x:v>A3490</x:v>
      </x:c>
      <x:c r="C3496" s="21" t="str">
        <x:v>lots</x:v>
      </x:c>
      <x:c r="D3496" s="21" t="str">
        <x:v>lot 54 released before need</x:v>
      </x:c>
      <x:c r="E3496" s="21" t="n">
        <x:f>IF('Article Lots'!J54&lt;'Article Lots'!K54,1,0)</x:f>
        <x:v>1</x:v>
      </x:c>
      <x:c r="F3496" s="21" t="n">
        <x:v>1</x:v>
      </x:c>
      <x:c r="G3496" s="23" t="str">
        <x:f>IF(E3496=F3496,"PASS","FAIL")</x:f>
        <x:v>PASS</x:v>
      </x:c>
    </x:row>
    <x:row r="3497">
      <x:c r="B3497" s="21" t="str">
        <x:v>A3491</x:v>
      </x:c>
      <x:c r="C3497" s="21" t="str">
        <x:v>lots</x:v>
      </x:c>
      <x:c r="D3497" s="21" t="str">
        <x:v>lot 54 evidence open</x:v>
      </x:c>
      <x:c r="E3497" s="21" t="n">
        <x:f>IF('Article Lots'!N54="OPEN",1,0)</x:f>
        <x:v>1</x:v>
      </x:c>
      <x:c r="F3497" s="21" t="n">
        <x:v>1</x:v>
      </x:c>
      <x:c r="G3497" s="23" t="str">
        <x:f>IF(E3497=F3497,"PASS","FAIL")</x:f>
        <x:v>PASS</x:v>
      </x:c>
    </x:row>
    <x:row r="3498">
      <x:c r="B3498" s="21" t="str">
        <x:v>A3492</x:v>
      </x:c>
      <x:c r="C3498" s="21" t="str">
        <x:v>lots</x:v>
      </x:c>
      <x:c r="D3498" s="21" t="str">
        <x:v>lot 55 positive quantity</x:v>
      </x:c>
      <x:c r="E3498" s="21" t="n">
        <x:f>IF('Article Lots'!G55&gt;0,1,0)</x:f>
        <x:v>1</x:v>
      </x:c>
      <x:c r="F3498" s="21" t="n">
        <x:v>1</x:v>
      </x:c>
      <x:c r="G3498" s="23" t="str">
        <x:f>IF(E3498=F3498,"PASS","FAIL")</x:f>
        <x:v>PASS</x:v>
      </x:c>
    </x:row>
    <x:row r="3499">
      <x:c r="B3499" s="21" t="str">
        <x:v>A3493</x:v>
      </x:c>
      <x:c r="C3499" s="21" t="str">
        <x:v>lots</x:v>
      </x:c>
      <x:c r="D3499" s="21" t="str">
        <x:v>lot 55 cost formula</x:v>
      </x:c>
      <x:c r="E3499" s="21" t="n">
        <x:f>IF(ABS('Article Lots'!I55-'Article Lots'!G55*'Article Lots'!H55/1000)&lt;0.000001,1,0)</x:f>
        <x:v>1</x:v>
      </x:c>
      <x:c r="F3499" s="21" t="n">
        <x:v>1</x:v>
      </x:c>
      <x:c r="G3499" s="23" t="str">
        <x:f>IF(E3499=F3499,"PASS","FAIL")</x:f>
        <x:v>PASS</x:v>
      </x:c>
    </x:row>
    <x:row r="3500">
      <x:c r="B3500" s="21" t="str">
        <x:v>A3494</x:v>
      </x:c>
      <x:c r="C3500" s="21" t="str">
        <x:v>lots</x:v>
      </x:c>
      <x:c r="D3500" s="21" t="str">
        <x:v>lot 55 schedule margin</x:v>
      </x:c>
      <x:c r="E3500" s="21" t="n">
        <x:f>IF('Article Lots'!L55='Article Lots'!K55-'Article Lots'!J55,1,0)</x:f>
        <x:v>1</x:v>
      </x:c>
      <x:c r="F3500" s="21" t="n">
        <x:v>1</x:v>
      </x:c>
      <x:c r="G3500" s="23" t="str">
        <x:f>IF(E3500=F3500,"PASS","FAIL")</x:f>
        <x:v>PASS</x:v>
      </x:c>
    </x:row>
    <x:row r="3501">
      <x:c r="B3501" s="21" t="str">
        <x:v>A3495</x:v>
      </x:c>
      <x:c r="C3501" s="21" t="str">
        <x:v>lots</x:v>
      </x:c>
      <x:c r="D3501" s="21" t="str">
        <x:v>lot 55 released before need</x:v>
      </x:c>
      <x:c r="E3501" s="21" t="n">
        <x:f>IF('Article Lots'!J55&lt;'Article Lots'!K55,1,0)</x:f>
        <x:v>1</x:v>
      </x:c>
      <x:c r="F3501" s="21" t="n">
        <x:v>1</x:v>
      </x:c>
      <x:c r="G3501" s="23" t="str">
        <x:f>IF(E3501=F3501,"PASS","FAIL")</x:f>
        <x:v>PASS</x:v>
      </x:c>
    </x:row>
    <x:row r="3502">
      <x:c r="B3502" s="21" t="str">
        <x:v>A3496</x:v>
      </x:c>
      <x:c r="C3502" s="21" t="str">
        <x:v>lots</x:v>
      </x:c>
      <x:c r="D3502" s="21" t="str">
        <x:v>lot 55 evidence open</x:v>
      </x:c>
      <x:c r="E3502" s="21" t="n">
        <x:f>IF('Article Lots'!N55="OPEN",1,0)</x:f>
        <x:v>1</x:v>
      </x:c>
      <x:c r="F3502" s="21" t="n">
        <x:v>1</x:v>
      </x:c>
      <x:c r="G3502" s="23" t="str">
        <x:f>IF(E3502=F3502,"PASS","FAIL")</x:f>
        <x:v>PASS</x:v>
      </x:c>
    </x:row>
    <x:row r="3503">
      <x:c r="B3503" s="21" t="str">
        <x:v>A3497</x:v>
      </x:c>
      <x:c r="C3503" s="21" t="str">
        <x:v>lots</x:v>
      </x:c>
      <x:c r="D3503" s="21" t="str">
        <x:v>lot 56 positive quantity</x:v>
      </x:c>
      <x:c r="E3503" s="21" t="n">
        <x:f>IF('Article Lots'!G56&gt;0,1,0)</x:f>
        <x:v>1</x:v>
      </x:c>
      <x:c r="F3503" s="21" t="n">
        <x:v>1</x:v>
      </x:c>
      <x:c r="G3503" s="23" t="str">
        <x:f>IF(E3503=F3503,"PASS","FAIL")</x:f>
        <x:v>PASS</x:v>
      </x:c>
    </x:row>
    <x:row r="3504">
      <x:c r="B3504" s="21" t="str">
        <x:v>A3498</x:v>
      </x:c>
      <x:c r="C3504" s="21" t="str">
        <x:v>lots</x:v>
      </x:c>
      <x:c r="D3504" s="21" t="str">
        <x:v>lot 56 cost formula</x:v>
      </x:c>
      <x:c r="E3504" s="21" t="n">
        <x:f>IF(ABS('Article Lots'!I56-'Article Lots'!G56*'Article Lots'!H56/1000)&lt;0.000001,1,0)</x:f>
        <x:v>1</x:v>
      </x:c>
      <x:c r="F3504" s="21" t="n">
        <x:v>1</x:v>
      </x:c>
      <x:c r="G3504" s="23" t="str">
        <x:f>IF(E3504=F3504,"PASS","FAIL")</x:f>
        <x:v>PASS</x:v>
      </x:c>
    </x:row>
    <x:row r="3505">
      <x:c r="B3505" s="21" t="str">
        <x:v>A3499</x:v>
      </x:c>
      <x:c r="C3505" s="21" t="str">
        <x:v>lots</x:v>
      </x:c>
      <x:c r="D3505" s="21" t="str">
        <x:v>lot 56 schedule margin</x:v>
      </x:c>
      <x:c r="E3505" s="21" t="n">
        <x:f>IF('Article Lots'!L56='Article Lots'!K56-'Article Lots'!J56,1,0)</x:f>
        <x:v>1</x:v>
      </x:c>
      <x:c r="F3505" s="21" t="n">
        <x:v>1</x:v>
      </x:c>
      <x:c r="G3505" s="23" t="str">
        <x:f>IF(E3505=F3505,"PASS","FAIL")</x:f>
        <x:v>PASS</x:v>
      </x:c>
    </x:row>
    <x:row r="3506">
      <x:c r="B3506" s="21" t="str">
        <x:v>A3500</x:v>
      </x:c>
      <x:c r="C3506" s="21" t="str">
        <x:v>lots</x:v>
      </x:c>
      <x:c r="D3506" s="21" t="str">
        <x:v>lot 56 released before need</x:v>
      </x:c>
      <x:c r="E3506" s="21" t="n">
        <x:f>IF('Article Lots'!J56&lt;'Article Lots'!K56,1,0)</x:f>
        <x:v>1</x:v>
      </x:c>
      <x:c r="F3506" s="21" t="n">
        <x:v>1</x:v>
      </x:c>
      <x:c r="G3506" s="23" t="str">
        <x:f>IF(E3506=F3506,"PASS","FAIL")</x:f>
        <x:v>PASS</x:v>
      </x:c>
    </x:row>
    <x:row r="3507">
      <x:c r="B3507" s="21" t="str">
        <x:v>A3501</x:v>
      </x:c>
      <x:c r="C3507" s="21" t="str">
        <x:v>lots</x:v>
      </x:c>
      <x:c r="D3507" s="21" t="str">
        <x:v>lot 56 evidence open</x:v>
      </x:c>
      <x:c r="E3507" s="21" t="n">
        <x:f>IF('Article Lots'!N56="OPEN",1,0)</x:f>
        <x:v>1</x:v>
      </x:c>
      <x:c r="F3507" s="21" t="n">
        <x:v>1</x:v>
      </x:c>
      <x:c r="G3507" s="23" t="str">
        <x:f>IF(E3507=F3507,"PASS","FAIL")</x:f>
        <x:v>PASS</x:v>
      </x:c>
    </x:row>
    <x:row r="3508">
      <x:c r="B3508" s="21" t="str">
        <x:v>A3502</x:v>
      </x:c>
      <x:c r="C3508" s="21" t="str">
        <x:v>lots</x:v>
      </x:c>
      <x:c r="D3508" s="21" t="str">
        <x:v>lot 57 positive quantity</x:v>
      </x:c>
      <x:c r="E3508" s="21" t="n">
        <x:f>IF('Article Lots'!G57&gt;0,1,0)</x:f>
        <x:v>1</x:v>
      </x:c>
      <x:c r="F3508" s="21" t="n">
        <x:v>1</x:v>
      </x:c>
      <x:c r="G3508" s="23" t="str">
        <x:f>IF(E3508=F3508,"PASS","FAIL")</x:f>
        <x:v>PASS</x:v>
      </x:c>
    </x:row>
    <x:row r="3509">
      <x:c r="B3509" s="21" t="str">
        <x:v>A3503</x:v>
      </x:c>
      <x:c r="C3509" s="21" t="str">
        <x:v>lots</x:v>
      </x:c>
      <x:c r="D3509" s="21" t="str">
        <x:v>lot 57 cost formula</x:v>
      </x:c>
      <x:c r="E3509" s="21" t="n">
        <x:f>IF(ABS('Article Lots'!I57-'Article Lots'!G57*'Article Lots'!H57/1000)&lt;0.000001,1,0)</x:f>
        <x:v>1</x:v>
      </x:c>
      <x:c r="F3509" s="21" t="n">
        <x:v>1</x:v>
      </x:c>
      <x:c r="G3509" s="23" t="str">
        <x:f>IF(E3509=F3509,"PASS","FAIL")</x:f>
        <x:v>PASS</x:v>
      </x:c>
    </x:row>
    <x:row r="3510">
      <x:c r="B3510" s="21" t="str">
        <x:v>A3504</x:v>
      </x:c>
      <x:c r="C3510" s="21" t="str">
        <x:v>lots</x:v>
      </x:c>
      <x:c r="D3510" s="21" t="str">
        <x:v>lot 57 schedule margin</x:v>
      </x:c>
      <x:c r="E3510" s="21" t="n">
        <x:f>IF('Article Lots'!L57='Article Lots'!K57-'Article Lots'!J57,1,0)</x:f>
        <x:v>1</x:v>
      </x:c>
      <x:c r="F3510" s="21" t="n">
        <x:v>1</x:v>
      </x:c>
      <x:c r="G3510" s="23" t="str">
        <x:f>IF(E3510=F3510,"PASS","FAIL")</x:f>
        <x:v>PASS</x:v>
      </x:c>
    </x:row>
    <x:row r="3511">
      <x:c r="B3511" s="21" t="str">
        <x:v>A3505</x:v>
      </x:c>
      <x:c r="C3511" s="21" t="str">
        <x:v>lots</x:v>
      </x:c>
      <x:c r="D3511" s="21" t="str">
        <x:v>lot 57 released before need</x:v>
      </x:c>
      <x:c r="E3511" s="21" t="n">
        <x:f>IF('Article Lots'!J57&lt;'Article Lots'!K57,1,0)</x:f>
        <x:v>1</x:v>
      </x:c>
      <x:c r="F3511" s="21" t="n">
        <x:v>1</x:v>
      </x:c>
      <x:c r="G3511" s="23" t="str">
        <x:f>IF(E3511=F3511,"PASS","FAIL")</x:f>
        <x:v>PASS</x:v>
      </x:c>
    </x:row>
    <x:row r="3512">
      <x:c r="B3512" s="21" t="str">
        <x:v>A3506</x:v>
      </x:c>
      <x:c r="C3512" s="21" t="str">
        <x:v>lots</x:v>
      </x:c>
      <x:c r="D3512" s="21" t="str">
        <x:v>lot 57 evidence open</x:v>
      </x:c>
      <x:c r="E3512" s="21" t="n">
        <x:f>IF('Article Lots'!N57="OPEN",1,0)</x:f>
        <x:v>1</x:v>
      </x:c>
      <x:c r="F3512" s="21" t="n">
        <x:v>1</x:v>
      </x:c>
      <x:c r="G3512" s="23" t="str">
        <x:f>IF(E3512=F3512,"PASS","FAIL")</x:f>
        <x:v>PASS</x:v>
      </x:c>
    </x:row>
    <x:row r="3513">
      <x:c r="B3513" s="21" t="str">
        <x:v>A3507</x:v>
      </x:c>
      <x:c r="C3513" s="21" t="str">
        <x:v>lots</x:v>
      </x:c>
      <x:c r="D3513" s="21" t="str">
        <x:v>lot 58 positive quantity</x:v>
      </x:c>
      <x:c r="E3513" s="21" t="n">
        <x:f>IF('Article Lots'!G58&gt;0,1,0)</x:f>
        <x:v>1</x:v>
      </x:c>
      <x:c r="F3513" s="21" t="n">
        <x:v>1</x:v>
      </x:c>
      <x:c r="G3513" s="23" t="str">
        <x:f>IF(E3513=F3513,"PASS","FAIL")</x:f>
        <x:v>PASS</x:v>
      </x:c>
    </x:row>
    <x:row r="3514">
      <x:c r="B3514" s="21" t="str">
        <x:v>A3508</x:v>
      </x:c>
      <x:c r="C3514" s="21" t="str">
        <x:v>lots</x:v>
      </x:c>
      <x:c r="D3514" s="21" t="str">
        <x:v>lot 58 cost formula</x:v>
      </x:c>
      <x:c r="E3514" s="21" t="n">
        <x:f>IF(ABS('Article Lots'!I58-'Article Lots'!G58*'Article Lots'!H58/1000)&lt;0.000001,1,0)</x:f>
        <x:v>1</x:v>
      </x:c>
      <x:c r="F3514" s="21" t="n">
        <x:v>1</x:v>
      </x:c>
      <x:c r="G3514" s="23" t="str">
        <x:f>IF(E3514=F3514,"PASS","FAIL")</x:f>
        <x:v>PASS</x:v>
      </x:c>
    </x:row>
    <x:row r="3515">
      <x:c r="B3515" s="21" t="str">
        <x:v>A3509</x:v>
      </x:c>
      <x:c r="C3515" s="21" t="str">
        <x:v>lots</x:v>
      </x:c>
      <x:c r="D3515" s="21" t="str">
        <x:v>lot 58 schedule margin</x:v>
      </x:c>
      <x:c r="E3515" s="21" t="n">
        <x:f>IF('Article Lots'!L58='Article Lots'!K58-'Article Lots'!J58,1,0)</x:f>
        <x:v>1</x:v>
      </x:c>
      <x:c r="F3515" s="21" t="n">
        <x:v>1</x:v>
      </x:c>
      <x:c r="G3515" s="23" t="str">
        <x:f>IF(E3515=F3515,"PASS","FAIL")</x:f>
        <x:v>PASS</x:v>
      </x:c>
    </x:row>
    <x:row r="3516">
      <x:c r="B3516" s="21" t="str">
        <x:v>A3510</x:v>
      </x:c>
      <x:c r="C3516" s="21" t="str">
        <x:v>lots</x:v>
      </x:c>
      <x:c r="D3516" s="21" t="str">
        <x:v>lot 58 released before need</x:v>
      </x:c>
      <x:c r="E3516" s="21" t="n">
        <x:f>IF('Article Lots'!J58&lt;'Article Lots'!K58,1,0)</x:f>
        <x:v>1</x:v>
      </x:c>
      <x:c r="F3516" s="21" t="n">
        <x:v>1</x:v>
      </x:c>
      <x:c r="G3516" s="23" t="str">
        <x:f>IF(E3516=F3516,"PASS","FAIL")</x:f>
        <x:v>PASS</x:v>
      </x:c>
    </x:row>
    <x:row r="3517">
      <x:c r="B3517" s="21" t="str">
        <x:v>A3511</x:v>
      </x:c>
      <x:c r="C3517" s="21" t="str">
        <x:v>lots</x:v>
      </x:c>
      <x:c r="D3517" s="21" t="str">
        <x:v>lot 58 evidence open</x:v>
      </x:c>
      <x:c r="E3517" s="21" t="n">
        <x:f>IF('Article Lots'!N58="OPEN",1,0)</x:f>
        <x:v>1</x:v>
      </x:c>
      <x:c r="F3517" s="21" t="n">
        <x:v>1</x:v>
      </x:c>
      <x:c r="G3517" s="23" t="str">
        <x:f>IF(E3517=F3517,"PASS","FAIL")</x:f>
        <x:v>PASS</x:v>
      </x:c>
    </x:row>
    <x:row r="3518">
      <x:c r="B3518" s="21" t="str">
        <x:v>A3512</x:v>
      </x:c>
      <x:c r="C3518" s="21" t="str">
        <x:v>lots</x:v>
      </x:c>
      <x:c r="D3518" s="21" t="str">
        <x:v>lot 59 positive quantity</x:v>
      </x:c>
      <x:c r="E3518" s="21" t="n">
        <x:f>IF('Article Lots'!G59&gt;0,1,0)</x:f>
        <x:v>1</x:v>
      </x:c>
      <x:c r="F3518" s="21" t="n">
        <x:v>1</x:v>
      </x:c>
      <x:c r="G3518" s="23" t="str">
        <x:f>IF(E3518=F3518,"PASS","FAIL")</x:f>
        <x:v>PASS</x:v>
      </x:c>
    </x:row>
    <x:row r="3519">
      <x:c r="B3519" s="21" t="str">
        <x:v>A3513</x:v>
      </x:c>
      <x:c r="C3519" s="21" t="str">
        <x:v>lots</x:v>
      </x:c>
      <x:c r="D3519" s="21" t="str">
        <x:v>lot 59 cost formula</x:v>
      </x:c>
      <x:c r="E3519" s="21" t="n">
        <x:f>IF(ABS('Article Lots'!I59-'Article Lots'!G59*'Article Lots'!H59/1000)&lt;0.000001,1,0)</x:f>
        <x:v>1</x:v>
      </x:c>
      <x:c r="F3519" s="21" t="n">
        <x:v>1</x:v>
      </x:c>
      <x:c r="G3519" s="23" t="str">
        <x:f>IF(E3519=F3519,"PASS","FAIL")</x:f>
        <x:v>PASS</x:v>
      </x:c>
    </x:row>
    <x:row r="3520">
      <x:c r="B3520" s="21" t="str">
        <x:v>A3514</x:v>
      </x:c>
      <x:c r="C3520" s="21" t="str">
        <x:v>lots</x:v>
      </x:c>
      <x:c r="D3520" s="21" t="str">
        <x:v>lot 59 schedule margin</x:v>
      </x:c>
      <x:c r="E3520" s="21" t="n">
        <x:f>IF('Article Lots'!L59='Article Lots'!K59-'Article Lots'!J59,1,0)</x:f>
        <x:v>1</x:v>
      </x:c>
      <x:c r="F3520" s="21" t="n">
        <x:v>1</x:v>
      </x:c>
      <x:c r="G3520" s="23" t="str">
        <x:f>IF(E3520=F3520,"PASS","FAIL")</x:f>
        <x:v>PASS</x:v>
      </x:c>
    </x:row>
    <x:row r="3521">
      <x:c r="B3521" s="21" t="str">
        <x:v>A3515</x:v>
      </x:c>
      <x:c r="C3521" s="21" t="str">
        <x:v>lots</x:v>
      </x:c>
      <x:c r="D3521" s="21" t="str">
        <x:v>lot 59 released before need</x:v>
      </x:c>
      <x:c r="E3521" s="21" t="n">
        <x:f>IF('Article Lots'!J59&lt;'Article Lots'!K59,1,0)</x:f>
        <x:v>1</x:v>
      </x:c>
      <x:c r="F3521" s="21" t="n">
        <x:v>1</x:v>
      </x:c>
      <x:c r="G3521" s="23" t="str">
        <x:f>IF(E3521=F3521,"PASS","FAIL")</x:f>
        <x:v>PASS</x:v>
      </x:c>
    </x:row>
    <x:row r="3522">
      <x:c r="B3522" s="21" t="str">
        <x:v>A3516</x:v>
      </x:c>
      <x:c r="C3522" s="21" t="str">
        <x:v>lots</x:v>
      </x:c>
      <x:c r="D3522" s="21" t="str">
        <x:v>lot 59 evidence open</x:v>
      </x:c>
      <x:c r="E3522" s="21" t="n">
        <x:f>IF('Article Lots'!N59="OPEN",1,0)</x:f>
        <x:v>1</x:v>
      </x:c>
      <x:c r="F3522" s="21" t="n">
        <x:v>1</x:v>
      </x:c>
      <x:c r="G3522" s="23" t="str">
        <x:f>IF(E3522=F3522,"PASS","FAIL")</x:f>
        <x:v>PASS</x:v>
      </x:c>
    </x:row>
    <x:row r="3523">
      <x:c r="B3523" s="21" t="str">
        <x:v>A3517</x:v>
      </x:c>
      <x:c r="C3523" s="21" t="str">
        <x:v>lots</x:v>
      </x:c>
      <x:c r="D3523" s="21" t="str">
        <x:v>lot 60 positive quantity</x:v>
      </x:c>
      <x:c r="E3523" s="21" t="n">
        <x:f>IF('Article Lots'!G60&gt;0,1,0)</x:f>
        <x:v>1</x:v>
      </x:c>
      <x:c r="F3523" s="21" t="n">
        <x:v>1</x:v>
      </x:c>
      <x:c r="G3523" s="23" t="str">
        <x:f>IF(E3523=F3523,"PASS","FAIL")</x:f>
        <x:v>PASS</x:v>
      </x:c>
    </x:row>
    <x:row r="3524">
      <x:c r="B3524" s="21" t="str">
        <x:v>A3518</x:v>
      </x:c>
      <x:c r="C3524" s="21" t="str">
        <x:v>lots</x:v>
      </x:c>
      <x:c r="D3524" s="21" t="str">
        <x:v>lot 60 cost formula</x:v>
      </x:c>
      <x:c r="E3524" s="21" t="n">
        <x:f>IF(ABS('Article Lots'!I60-'Article Lots'!G60*'Article Lots'!H60/1000)&lt;0.000001,1,0)</x:f>
        <x:v>1</x:v>
      </x:c>
      <x:c r="F3524" s="21" t="n">
        <x:v>1</x:v>
      </x:c>
      <x:c r="G3524" s="23" t="str">
        <x:f>IF(E3524=F3524,"PASS","FAIL")</x:f>
        <x:v>PASS</x:v>
      </x:c>
    </x:row>
    <x:row r="3525">
      <x:c r="B3525" s="21" t="str">
        <x:v>A3519</x:v>
      </x:c>
      <x:c r="C3525" s="21" t="str">
        <x:v>lots</x:v>
      </x:c>
      <x:c r="D3525" s="21" t="str">
        <x:v>lot 60 schedule margin</x:v>
      </x:c>
      <x:c r="E3525" s="21" t="n">
        <x:f>IF('Article Lots'!L60='Article Lots'!K60-'Article Lots'!J60,1,0)</x:f>
        <x:v>1</x:v>
      </x:c>
      <x:c r="F3525" s="21" t="n">
        <x:v>1</x:v>
      </x:c>
      <x:c r="G3525" s="23" t="str">
        <x:f>IF(E3525=F3525,"PASS","FAIL")</x:f>
        <x:v>PASS</x:v>
      </x:c>
    </x:row>
    <x:row r="3526">
      <x:c r="B3526" s="21" t="str">
        <x:v>A3520</x:v>
      </x:c>
      <x:c r="C3526" s="21" t="str">
        <x:v>lots</x:v>
      </x:c>
      <x:c r="D3526" s="21" t="str">
        <x:v>lot 60 released before need</x:v>
      </x:c>
      <x:c r="E3526" s="21" t="n">
        <x:f>IF('Article Lots'!J60&lt;'Article Lots'!K60,1,0)</x:f>
        <x:v>1</x:v>
      </x:c>
      <x:c r="F3526" s="21" t="n">
        <x:v>1</x:v>
      </x:c>
      <x:c r="G3526" s="23" t="str">
        <x:f>IF(E3526=F3526,"PASS","FAIL")</x:f>
        <x:v>PASS</x:v>
      </x:c>
    </x:row>
    <x:row r="3527">
      <x:c r="B3527" s="21" t="str">
        <x:v>A3521</x:v>
      </x:c>
      <x:c r="C3527" s="21" t="str">
        <x:v>lots</x:v>
      </x:c>
      <x:c r="D3527" s="21" t="str">
        <x:v>lot 60 evidence open</x:v>
      </x:c>
      <x:c r="E3527" s="21" t="n">
        <x:f>IF('Article Lots'!N60="OPEN",1,0)</x:f>
        <x:v>1</x:v>
      </x:c>
      <x:c r="F3527" s="21" t="n">
        <x:v>1</x:v>
      </x:c>
      <x:c r="G3527" s="23" t="str">
        <x:f>IF(E3527=F3527,"PASS","FAIL")</x:f>
        <x:v>PASS</x:v>
      </x:c>
    </x:row>
    <x:row r="3528">
      <x:c r="B3528" s="21" t="str">
        <x:v>A3522</x:v>
      </x:c>
      <x:c r="C3528" s="21" t="str">
        <x:v>lots</x:v>
      </x:c>
      <x:c r="D3528" s="21" t="str">
        <x:v>lot 61 positive quantity</x:v>
      </x:c>
      <x:c r="E3528" s="21" t="n">
        <x:f>IF('Article Lots'!G61&gt;0,1,0)</x:f>
        <x:v>1</x:v>
      </x:c>
      <x:c r="F3528" s="21" t="n">
        <x:v>1</x:v>
      </x:c>
      <x:c r="G3528" s="23" t="str">
        <x:f>IF(E3528=F3528,"PASS","FAIL")</x:f>
        <x:v>PASS</x:v>
      </x:c>
    </x:row>
    <x:row r="3529">
      <x:c r="B3529" s="21" t="str">
        <x:v>A3523</x:v>
      </x:c>
      <x:c r="C3529" s="21" t="str">
        <x:v>lots</x:v>
      </x:c>
      <x:c r="D3529" s="21" t="str">
        <x:v>lot 61 cost formula</x:v>
      </x:c>
      <x:c r="E3529" s="21" t="n">
        <x:f>IF(ABS('Article Lots'!I61-'Article Lots'!G61*'Article Lots'!H61/1000)&lt;0.000001,1,0)</x:f>
        <x:v>1</x:v>
      </x:c>
      <x:c r="F3529" s="21" t="n">
        <x:v>1</x:v>
      </x:c>
      <x:c r="G3529" s="23" t="str">
        <x:f>IF(E3529=F3529,"PASS","FAIL")</x:f>
        <x:v>PASS</x:v>
      </x:c>
    </x:row>
    <x:row r="3530">
      <x:c r="B3530" s="21" t="str">
        <x:v>A3524</x:v>
      </x:c>
      <x:c r="C3530" s="21" t="str">
        <x:v>lots</x:v>
      </x:c>
      <x:c r="D3530" s="21" t="str">
        <x:v>lot 61 schedule margin</x:v>
      </x:c>
      <x:c r="E3530" s="21" t="n">
        <x:f>IF('Article Lots'!L61='Article Lots'!K61-'Article Lots'!J61,1,0)</x:f>
        <x:v>1</x:v>
      </x:c>
      <x:c r="F3530" s="21" t="n">
        <x:v>1</x:v>
      </x:c>
      <x:c r="G3530" s="23" t="str">
        <x:f>IF(E3530=F3530,"PASS","FAIL")</x:f>
        <x:v>PASS</x:v>
      </x:c>
    </x:row>
    <x:row r="3531">
      <x:c r="B3531" s="21" t="str">
        <x:v>A3525</x:v>
      </x:c>
      <x:c r="C3531" s="21" t="str">
        <x:v>lots</x:v>
      </x:c>
      <x:c r="D3531" s="21" t="str">
        <x:v>lot 61 released before need</x:v>
      </x:c>
      <x:c r="E3531" s="21" t="n">
        <x:f>IF('Article Lots'!J61&lt;'Article Lots'!K61,1,0)</x:f>
        <x:v>1</x:v>
      </x:c>
      <x:c r="F3531" s="21" t="n">
        <x:v>1</x:v>
      </x:c>
      <x:c r="G3531" s="23" t="str">
        <x:f>IF(E3531=F3531,"PASS","FAIL")</x:f>
        <x:v>PASS</x:v>
      </x:c>
    </x:row>
    <x:row r="3532">
      <x:c r="B3532" s="21" t="str">
        <x:v>A3526</x:v>
      </x:c>
      <x:c r="C3532" s="21" t="str">
        <x:v>lots</x:v>
      </x:c>
      <x:c r="D3532" s="21" t="str">
        <x:v>lot 61 evidence open</x:v>
      </x:c>
      <x:c r="E3532" s="21" t="n">
        <x:f>IF('Article Lots'!N61="OPEN",1,0)</x:f>
        <x:v>1</x:v>
      </x:c>
      <x:c r="F3532" s="21" t="n">
        <x:v>1</x:v>
      </x:c>
      <x:c r="G3532" s="23" t="str">
        <x:f>IF(E3532=F3532,"PASS","FAIL")</x:f>
        <x:v>PASS</x:v>
      </x:c>
    </x:row>
    <x:row r="3533">
      <x:c r="B3533" s="21" t="str">
        <x:v>A3527</x:v>
      </x:c>
      <x:c r="C3533" s="21" t="str">
        <x:v>lots</x:v>
      </x:c>
      <x:c r="D3533" s="21" t="str">
        <x:v>lot 62 positive quantity</x:v>
      </x:c>
      <x:c r="E3533" s="21" t="n">
        <x:f>IF('Article Lots'!G62&gt;0,1,0)</x:f>
        <x:v>1</x:v>
      </x:c>
      <x:c r="F3533" s="21" t="n">
        <x:v>1</x:v>
      </x:c>
      <x:c r="G3533" s="23" t="str">
        <x:f>IF(E3533=F3533,"PASS","FAIL")</x:f>
        <x:v>PASS</x:v>
      </x:c>
    </x:row>
    <x:row r="3534">
      <x:c r="B3534" s="21" t="str">
        <x:v>A3528</x:v>
      </x:c>
      <x:c r="C3534" s="21" t="str">
        <x:v>lots</x:v>
      </x:c>
      <x:c r="D3534" s="21" t="str">
        <x:v>lot 62 cost formula</x:v>
      </x:c>
      <x:c r="E3534" s="21" t="n">
        <x:f>IF(ABS('Article Lots'!I62-'Article Lots'!G62*'Article Lots'!H62/1000)&lt;0.000001,1,0)</x:f>
        <x:v>1</x:v>
      </x:c>
      <x:c r="F3534" s="21" t="n">
        <x:v>1</x:v>
      </x:c>
      <x:c r="G3534" s="23" t="str">
        <x:f>IF(E3534=F3534,"PASS","FAIL")</x:f>
        <x:v>PASS</x:v>
      </x:c>
    </x:row>
    <x:row r="3535">
      <x:c r="B3535" s="21" t="str">
        <x:v>A3529</x:v>
      </x:c>
      <x:c r="C3535" s="21" t="str">
        <x:v>lots</x:v>
      </x:c>
      <x:c r="D3535" s="21" t="str">
        <x:v>lot 62 schedule margin</x:v>
      </x:c>
      <x:c r="E3535" s="21" t="n">
        <x:f>IF('Article Lots'!L62='Article Lots'!K62-'Article Lots'!J62,1,0)</x:f>
        <x:v>1</x:v>
      </x:c>
      <x:c r="F3535" s="21" t="n">
        <x:v>1</x:v>
      </x:c>
      <x:c r="G3535" s="23" t="str">
        <x:f>IF(E3535=F3535,"PASS","FAIL")</x:f>
        <x:v>PASS</x:v>
      </x:c>
    </x:row>
    <x:row r="3536">
      <x:c r="B3536" s="21" t="str">
        <x:v>A3530</x:v>
      </x:c>
      <x:c r="C3536" s="21" t="str">
        <x:v>lots</x:v>
      </x:c>
      <x:c r="D3536" s="21" t="str">
        <x:v>lot 62 released before need</x:v>
      </x:c>
      <x:c r="E3536" s="21" t="n">
        <x:f>IF('Article Lots'!J62&lt;'Article Lots'!K62,1,0)</x:f>
        <x:v>1</x:v>
      </x:c>
      <x:c r="F3536" s="21" t="n">
        <x:v>1</x:v>
      </x:c>
      <x:c r="G3536" s="23" t="str">
        <x:f>IF(E3536=F3536,"PASS","FAIL")</x:f>
        <x:v>PASS</x:v>
      </x:c>
    </x:row>
    <x:row r="3537">
      <x:c r="B3537" s="21" t="str">
        <x:v>A3531</x:v>
      </x:c>
      <x:c r="C3537" s="21" t="str">
        <x:v>lots</x:v>
      </x:c>
      <x:c r="D3537" s="21" t="str">
        <x:v>lot 62 evidence open</x:v>
      </x:c>
      <x:c r="E3537" s="21" t="n">
        <x:f>IF('Article Lots'!N62="OPEN",1,0)</x:f>
        <x:v>1</x:v>
      </x:c>
      <x:c r="F3537" s="21" t="n">
        <x:v>1</x:v>
      </x:c>
      <x:c r="G3537" s="23" t="str">
        <x:f>IF(E3537=F3537,"PASS","FAIL")</x:f>
        <x:v>PASS</x:v>
      </x:c>
    </x:row>
    <x:row r="3538">
      <x:c r="B3538" s="21" t="str">
        <x:v>A3532</x:v>
      </x:c>
      <x:c r="C3538" s="21" t="str">
        <x:v>lots</x:v>
      </x:c>
      <x:c r="D3538" s="21" t="str">
        <x:v>lot 63 positive quantity</x:v>
      </x:c>
      <x:c r="E3538" s="21" t="n">
        <x:f>IF('Article Lots'!G63&gt;0,1,0)</x:f>
        <x:v>1</x:v>
      </x:c>
      <x:c r="F3538" s="21" t="n">
        <x:v>1</x:v>
      </x:c>
      <x:c r="G3538" s="23" t="str">
        <x:f>IF(E3538=F3538,"PASS","FAIL")</x:f>
        <x:v>PASS</x:v>
      </x:c>
    </x:row>
    <x:row r="3539">
      <x:c r="B3539" s="21" t="str">
        <x:v>A3533</x:v>
      </x:c>
      <x:c r="C3539" s="21" t="str">
        <x:v>lots</x:v>
      </x:c>
      <x:c r="D3539" s="21" t="str">
        <x:v>lot 63 cost formula</x:v>
      </x:c>
      <x:c r="E3539" s="21" t="n">
        <x:f>IF(ABS('Article Lots'!I63-'Article Lots'!G63*'Article Lots'!H63/1000)&lt;0.000001,1,0)</x:f>
        <x:v>1</x:v>
      </x:c>
      <x:c r="F3539" s="21" t="n">
        <x:v>1</x:v>
      </x:c>
      <x:c r="G3539" s="23" t="str">
        <x:f>IF(E3539=F3539,"PASS","FAIL")</x:f>
        <x:v>PASS</x:v>
      </x:c>
    </x:row>
    <x:row r="3540">
      <x:c r="B3540" s="21" t="str">
        <x:v>A3534</x:v>
      </x:c>
      <x:c r="C3540" s="21" t="str">
        <x:v>lots</x:v>
      </x:c>
      <x:c r="D3540" s="21" t="str">
        <x:v>lot 63 schedule margin</x:v>
      </x:c>
      <x:c r="E3540" s="21" t="n">
        <x:f>IF('Article Lots'!L63='Article Lots'!K63-'Article Lots'!J63,1,0)</x:f>
        <x:v>1</x:v>
      </x:c>
      <x:c r="F3540" s="21" t="n">
        <x:v>1</x:v>
      </x:c>
      <x:c r="G3540" s="23" t="str">
        <x:f>IF(E3540=F3540,"PASS","FAIL")</x:f>
        <x:v>PASS</x:v>
      </x:c>
    </x:row>
    <x:row r="3541">
      <x:c r="B3541" s="21" t="str">
        <x:v>A3535</x:v>
      </x:c>
      <x:c r="C3541" s="21" t="str">
        <x:v>lots</x:v>
      </x:c>
      <x:c r="D3541" s="21" t="str">
        <x:v>lot 63 released before need</x:v>
      </x:c>
      <x:c r="E3541" s="21" t="n">
        <x:f>IF('Article Lots'!J63&lt;'Article Lots'!K63,1,0)</x:f>
        <x:v>1</x:v>
      </x:c>
      <x:c r="F3541" s="21" t="n">
        <x:v>1</x:v>
      </x:c>
      <x:c r="G3541" s="23" t="str">
        <x:f>IF(E3541=F3541,"PASS","FAIL")</x:f>
        <x:v>PASS</x:v>
      </x:c>
    </x:row>
    <x:row r="3542">
      <x:c r="B3542" s="21" t="str">
        <x:v>A3536</x:v>
      </x:c>
      <x:c r="C3542" s="21" t="str">
        <x:v>lots</x:v>
      </x:c>
      <x:c r="D3542" s="21" t="str">
        <x:v>lot 63 evidence open</x:v>
      </x:c>
      <x:c r="E3542" s="21" t="n">
        <x:f>IF('Article Lots'!N63="OPEN",1,0)</x:f>
        <x:v>1</x:v>
      </x:c>
      <x:c r="F3542" s="21" t="n">
        <x:v>1</x:v>
      </x:c>
      <x:c r="G3542" s="23" t="str">
        <x:f>IF(E3542=F3542,"PASS","FAIL")</x:f>
        <x:v>PASS</x:v>
      </x:c>
    </x:row>
    <x:row r="3543">
      <x:c r="B3543" s="21" t="str">
        <x:v>A3537</x:v>
      </x:c>
      <x:c r="C3543" s="21" t="str">
        <x:v>lots</x:v>
      </x:c>
      <x:c r="D3543" s="21" t="str">
        <x:v>lot 64 positive quantity</x:v>
      </x:c>
      <x:c r="E3543" s="21" t="n">
        <x:f>IF('Article Lots'!G64&gt;0,1,0)</x:f>
        <x:v>1</x:v>
      </x:c>
      <x:c r="F3543" s="21" t="n">
        <x:v>1</x:v>
      </x:c>
      <x:c r="G3543" s="23" t="str">
        <x:f>IF(E3543=F3543,"PASS","FAIL")</x:f>
        <x:v>PASS</x:v>
      </x:c>
    </x:row>
    <x:row r="3544">
      <x:c r="B3544" s="21" t="str">
        <x:v>A3538</x:v>
      </x:c>
      <x:c r="C3544" s="21" t="str">
        <x:v>lots</x:v>
      </x:c>
      <x:c r="D3544" s="21" t="str">
        <x:v>lot 64 cost formula</x:v>
      </x:c>
      <x:c r="E3544" s="21" t="n">
        <x:f>IF(ABS('Article Lots'!I64-'Article Lots'!G64*'Article Lots'!H64/1000)&lt;0.000001,1,0)</x:f>
        <x:v>1</x:v>
      </x:c>
      <x:c r="F3544" s="21" t="n">
        <x:v>1</x:v>
      </x:c>
      <x:c r="G3544" s="23" t="str">
        <x:f>IF(E3544=F3544,"PASS","FAIL")</x:f>
        <x:v>PASS</x:v>
      </x:c>
    </x:row>
    <x:row r="3545">
      <x:c r="B3545" s="21" t="str">
        <x:v>A3539</x:v>
      </x:c>
      <x:c r="C3545" s="21" t="str">
        <x:v>lots</x:v>
      </x:c>
      <x:c r="D3545" s="21" t="str">
        <x:v>lot 64 schedule margin</x:v>
      </x:c>
      <x:c r="E3545" s="21" t="n">
        <x:f>IF('Article Lots'!L64='Article Lots'!K64-'Article Lots'!J64,1,0)</x:f>
        <x:v>1</x:v>
      </x:c>
      <x:c r="F3545" s="21" t="n">
        <x:v>1</x:v>
      </x:c>
      <x:c r="G3545" s="23" t="str">
        <x:f>IF(E3545=F3545,"PASS","FAIL")</x:f>
        <x:v>PASS</x:v>
      </x:c>
    </x:row>
    <x:row r="3546">
      <x:c r="B3546" s="21" t="str">
        <x:v>A3540</x:v>
      </x:c>
      <x:c r="C3546" s="21" t="str">
        <x:v>lots</x:v>
      </x:c>
      <x:c r="D3546" s="21" t="str">
        <x:v>lot 64 released before need</x:v>
      </x:c>
      <x:c r="E3546" s="21" t="n">
        <x:f>IF('Article Lots'!J64&lt;'Article Lots'!K64,1,0)</x:f>
        <x:v>1</x:v>
      </x:c>
      <x:c r="F3546" s="21" t="n">
        <x:v>1</x:v>
      </x:c>
      <x:c r="G3546" s="23" t="str">
        <x:f>IF(E3546=F3546,"PASS","FAIL")</x:f>
        <x:v>PASS</x:v>
      </x:c>
    </x:row>
    <x:row r="3547">
      <x:c r="B3547" s="21" t="str">
        <x:v>A3541</x:v>
      </x:c>
      <x:c r="C3547" s="21" t="str">
        <x:v>lots</x:v>
      </x:c>
      <x:c r="D3547" s="21" t="str">
        <x:v>lot 64 evidence open</x:v>
      </x:c>
      <x:c r="E3547" s="21" t="n">
        <x:f>IF('Article Lots'!N64="OPEN",1,0)</x:f>
        <x:v>1</x:v>
      </x:c>
      <x:c r="F3547" s="21" t="n">
        <x:v>1</x:v>
      </x:c>
      <x:c r="G3547" s="23" t="str">
        <x:f>IF(E3547=F3547,"PASS","FAIL")</x:f>
        <x:v>PASS</x:v>
      </x:c>
    </x:row>
    <x:row r="3548">
      <x:c r="B3548" s="21" t="str">
        <x:v>A3542</x:v>
      </x:c>
      <x:c r="C3548" s="21" t="str">
        <x:v>lots</x:v>
      </x:c>
      <x:c r="D3548" s="21" t="str">
        <x:v>lot 65 positive quantity</x:v>
      </x:c>
      <x:c r="E3548" s="21" t="n">
        <x:f>IF('Article Lots'!G65&gt;0,1,0)</x:f>
        <x:v>1</x:v>
      </x:c>
      <x:c r="F3548" s="21" t="n">
        <x:v>1</x:v>
      </x:c>
      <x:c r="G3548" s="23" t="str">
        <x:f>IF(E3548=F3548,"PASS","FAIL")</x:f>
        <x:v>PASS</x:v>
      </x:c>
    </x:row>
    <x:row r="3549">
      <x:c r="B3549" s="21" t="str">
        <x:v>A3543</x:v>
      </x:c>
      <x:c r="C3549" s="21" t="str">
        <x:v>lots</x:v>
      </x:c>
      <x:c r="D3549" s="21" t="str">
        <x:v>lot 65 cost formula</x:v>
      </x:c>
      <x:c r="E3549" s="21" t="n">
        <x:f>IF(ABS('Article Lots'!I65-'Article Lots'!G65*'Article Lots'!H65/1000)&lt;0.000001,1,0)</x:f>
        <x:v>1</x:v>
      </x:c>
      <x:c r="F3549" s="21" t="n">
        <x:v>1</x:v>
      </x:c>
      <x:c r="G3549" s="23" t="str">
        <x:f>IF(E3549=F3549,"PASS","FAIL")</x:f>
        <x:v>PASS</x:v>
      </x:c>
    </x:row>
    <x:row r="3550">
      <x:c r="B3550" s="21" t="str">
        <x:v>A3544</x:v>
      </x:c>
      <x:c r="C3550" s="21" t="str">
        <x:v>lots</x:v>
      </x:c>
      <x:c r="D3550" s="21" t="str">
        <x:v>lot 65 schedule margin</x:v>
      </x:c>
      <x:c r="E3550" s="21" t="n">
        <x:f>IF('Article Lots'!L65='Article Lots'!K65-'Article Lots'!J65,1,0)</x:f>
        <x:v>1</x:v>
      </x:c>
      <x:c r="F3550" s="21" t="n">
        <x:v>1</x:v>
      </x:c>
      <x:c r="G3550" s="23" t="str">
        <x:f>IF(E3550=F3550,"PASS","FAIL")</x:f>
        <x:v>PASS</x:v>
      </x:c>
    </x:row>
    <x:row r="3551">
      <x:c r="B3551" s="21" t="str">
        <x:v>A3545</x:v>
      </x:c>
      <x:c r="C3551" s="21" t="str">
        <x:v>lots</x:v>
      </x:c>
      <x:c r="D3551" s="21" t="str">
        <x:v>lot 65 released before need</x:v>
      </x:c>
      <x:c r="E3551" s="21" t="n">
        <x:f>IF('Article Lots'!J65&lt;'Article Lots'!K65,1,0)</x:f>
        <x:v>1</x:v>
      </x:c>
      <x:c r="F3551" s="21" t="n">
        <x:v>1</x:v>
      </x:c>
      <x:c r="G3551" s="23" t="str">
        <x:f>IF(E3551=F3551,"PASS","FAIL")</x:f>
        <x:v>PASS</x:v>
      </x:c>
    </x:row>
    <x:row r="3552">
      <x:c r="B3552" s="21" t="str">
        <x:v>A3546</x:v>
      </x:c>
      <x:c r="C3552" s="21" t="str">
        <x:v>lots</x:v>
      </x:c>
      <x:c r="D3552" s="21" t="str">
        <x:v>lot 65 evidence open</x:v>
      </x:c>
      <x:c r="E3552" s="21" t="n">
        <x:f>IF('Article Lots'!N65="OPEN",1,0)</x:f>
        <x:v>1</x:v>
      </x:c>
      <x:c r="F3552" s="21" t="n">
        <x:v>1</x:v>
      </x:c>
      <x:c r="G3552" s="23" t="str">
        <x:f>IF(E3552=F3552,"PASS","FAIL")</x:f>
        <x:v>PASS</x:v>
      </x:c>
    </x:row>
    <x:row r="3553">
      <x:c r="B3553" s="21" t="str">
        <x:v>A3547</x:v>
      </x:c>
      <x:c r="C3553" s="21" t="str">
        <x:v>lots</x:v>
      </x:c>
      <x:c r="D3553" s="21" t="str">
        <x:v>lot 66 positive quantity</x:v>
      </x:c>
      <x:c r="E3553" s="21" t="n">
        <x:f>IF('Article Lots'!G66&gt;0,1,0)</x:f>
        <x:v>1</x:v>
      </x:c>
      <x:c r="F3553" s="21" t="n">
        <x:v>1</x:v>
      </x:c>
      <x:c r="G3553" s="23" t="str">
        <x:f>IF(E3553=F3553,"PASS","FAIL")</x:f>
        <x:v>PASS</x:v>
      </x:c>
    </x:row>
    <x:row r="3554">
      <x:c r="B3554" s="21" t="str">
        <x:v>A3548</x:v>
      </x:c>
      <x:c r="C3554" s="21" t="str">
        <x:v>lots</x:v>
      </x:c>
      <x:c r="D3554" s="21" t="str">
        <x:v>lot 66 cost formula</x:v>
      </x:c>
      <x:c r="E3554" s="21" t="n">
        <x:f>IF(ABS('Article Lots'!I66-'Article Lots'!G66*'Article Lots'!H66/1000)&lt;0.000001,1,0)</x:f>
        <x:v>1</x:v>
      </x:c>
      <x:c r="F3554" s="21" t="n">
        <x:v>1</x:v>
      </x:c>
      <x:c r="G3554" s="23" t="str">
        <x:f>IF(E3554=F3554,"PASS","FAIL")</x:f>
        <x:v>PASS</x:v>
      </x:c>
    </x:row>
    <x:row r="3555">
      <x:c r="B3555" s="21" t="str">
        <x:v>A3549</x:v>
      </x:c>
      <x:c r="C3555" s="21" t="str">
        <x:v>lots</x:v>
      </x:c>
      <x:c r="D3555" s="21" t="str">
        <x:v>lot 66 schedule margin</x:v>
      </x:c>
      <x:c r="E3555" s="21" t="n">
        <x:f>IF('Article Lots'!L66='Article Lots'!K66-'Article Lots'!J66,1,0)</x:f>
        <x:v>1</x:v>
      </x:c>
      <x:c r="F3555" s="21" t="n">
        <x:v>1</x:v>
      </x:c>
      <x:c r="G3555" s="23" t="str">
        <x:f>IF(E3555=F3555,"PASS","FAIL")</x:f>
        <x:v>PASS</x:v>
      </x:c>
    </x:row>
    <x:row r="3556">
      <x:c r="B3556" s="21" t="str">
        <x:v>A3550</x:v>
      </x:c>
      <x:c r="C3556" s="21" t="str">
        <x:v>lots</x:v>
      </x:c>
      <x:c r="D3556" s="21" t="str">
        <x:v>lot 66 released before need</x:v>
      </x:c>
      <x:c r="E3556" s="21" t="n">
        <x:f>IF('Article Lots'!J66&lt;'Article Lots'!K66,1,0)</x:f>
        <x:v>1</x:v>
      </x:c>
      <x:c r="F3556" s="21" t="n">
        <x:v>1</x:v>
      </x:c>
      <x:c r="G3556" s="23" t="str">
        <x:f>IF(E3556=F3556,"PASS","FAIL")</x:f>
        <x:v>PASS</x:v>
      </x:c>
    </x:row>
    <x:row r="3557">
      <x:c r="B3557" s="21" t="str">
        <x:v>A3551</x:v>
      </x:c>
      <x:c r="C3557" s="21" t="str">
        <x:v>lots</x:v>
      </x:c>
      <x:c r="D3557" s="21" t="str">
        <x:v>lot 66 evidence open</x:v>
      </x:c>
      <x:c r="E3557" s="21" t="n">
        <x:f>IF('Article Lots'!N66="OPEN",1,0)</x:f>
        <x:v>1</x:v>
      </x:c>
      <x:c r="F3557" s="21" t="n">
        <x:v>1</x:v>
      </x:c>
      <x:c r="G3557" s="23" t="str">
        <x:f>IF(E3557=F3557,"PASS","FAIL")</x:f>
        <x:v>PASS</x:v>
      </x:c>
    </x:row>
    <x:row r="3558">
      <x:c r="B3558" s="21" t="str">
        <x:v>A3552</x:v>
      </x:c>
      <x:c r="C3558" s="21" t="str">
        <x:v>lots</x:v>
      </x:c>
      <x:c r="D3558" s="21" t="str">
        <x:v>lot 67 positive quantity</x:v>
      </x:c>
      <x:c r="E3558" s="21" t="n">
        <x:f>IF('Article Lots'!G67&gt;0,1,0)</x:f>
        <x:v>1</x:v>
      </x:c>
      <x:c r="F3558" s="21" t="n">
        <x:v>1</x:v>
      </x:c>
      <x:c r="G3558" s="23" t="str">
        <x:f>IF(E3558=F3558,"PASS","FAIL")</x:f>
        <x:v>PASS</x:v>
      </x:c>
    </x:row>
    <x:row r="3559">
      <x:c r="B3559" s="21" t="str">
        <x:v>A3553</x:v>
      </x:c>
      <x:c r="C3559" s="21" t="str">
        <x:v>lots</x:v>
      </x:c>
      <x:c r="D3559" s="21" t="str">
        <x:v>lot 67 cost formula</x:v>
      </x:c>
      <x:c r="E3559" s="21" t="n">
        <x:f>IF(ABS('Article Lots'!I67-'Article Lots'!G67*'Article Lots'!H67/1000)&lt;0.000001,1,0)</x:f>
        <x:v>1</x:v>
      </x:c>
      <x:c r="F3559" s="21" t="n">
        <x:v>1</x:v>
      </x:c>
      <x:c r="G3559" s="23" t="str">
        <x:f>IF(E3559=F3559,"PASS","FAIL")</x:f>
        <x:v>PASS</x:v>
      </x:c>
    </x:row>
    <x:row r="3560">
      <x:c r="B3560" s="21" t="str">
        <x:v>A3554</x:v>
      </x:c>
      <x:c r="C3560" s="21" t="str">
        <x:v>lots</x:v>
      </x:c>
      <x:c r="D3560" s="21" t="str">
        <x:v>lot 67 schedule margin</x:v>
      </x:c>
      <x:c r="E3560" s="21" t="n">
        <x:f>IF('Article Lots'!L67='Article Lots'!K67-'Article Lots'!J67,1,0)</x:f>
        <x:v>1</x:v>
      </x:c>
      <x:c r="F3560" s="21" t="n">
        <x:v>1</x:v>
      </x:c>
      <x:c r="G3560" s="23" t="str">
        <x:f>IF(E3560=F3560,"PASS","FAIL")</x:f>
        <x:v>PASS</x:v>
      </x:c>
    </x:row>
    <x:row r="3561">
      <x:c r="B3561" s="21" t="str">
        <x:v>A3555</x:v>
      </x:c>
      <x:c r="C3561" s="21" t="str">
        <x:v>lots</x:v>
      </x:c>
      <x:c r="D3561" s="21" t="str">
        <x:v>lot 67 released before need</x:v>
      </x:c>
      <x:c r="E3561" s="21" t="n">
        <x:f>IF('Article Lots'!J67&lt;'Article Lots'!K67,1,0)</x:f>
        <x:v>1</x:v>
      </x:c>
      <x:c r="F3561" s="21" t="n">
        <x:v>1</x:v>
      </x:c>
      <x:c r="G3561" s="23" t="str">
        <x:f>IF(E3561=F3561,"PASS","FAIL")</x:f>
        <x:v>PASS</x:v>
      </x:c>
    </x:row>
    <x:row r="3562">
      <x:c r="B3562" s="21" t="str">
        <x:v>A3556</x:v>
      </x:c>
      <x:c r="C3562" s="21" t="str">
        <x:v>lots</x:v>
      </x:c>
      <x:c r="D3562" s="21" t="str">
        <x:v>lot 67 evidence open</x:v>
      </x:c>
      <x:c r="E3562" s="21" t="n">
        <x:f>IF('Article Lots'!N67="OPEN",1,0)</x:f>
        <x:v>1</x:v>
      </x:c>
      <x:c r="F3562" s="21" t="n">
        <x:v>1</x:v>
      </x:c>
      <x:c r="G3562" s="23" t="str">
        <x:f>IF(E3562=F3562,"PASS","FAIL")</x:f>
        <x:v>PASS</x:v>
      </x:c>
    </x:row>
    <x:row r="3563">
      <x:c r="B3563" s="21" t="str">
        <x:v>A3557</x:v>
      </x:c>
      <x:c r="C3563" s="21" t="str">
        <x:v>lots</x:v>
      </x:c>
      <x:c r="D3563" s="21" t="str">
        <x:v>lot 68 positive quantity</x:v>
      </x:c>
      <x:c r="E3563" s="21" t="n">
        <x:f>IF('Article Lots'!G68&gt;0,1,0)</x:f>
        <x:v>1</x:v>
      </x:c>
      <x:c r="F3563" s="21" t="n">
        <x:v>1</x:v>
      </x:c>
      <x:c r="G3563" s="23" t="str">
        <x:f>IF(E3563=F3563,"PASS","FAIL")</x:f>
        <x:v>PASS</x:v>
      </x:c>
    </x:row>
    <x:row r="3564">
      <x:c r="B3564" s="21" t="str">
        <x:v>A3558</x:v>
      </x:c>
      <x:c r="C3564" s="21" t="str">
        <x:v>lots</x:v>
      </x:c>
      <x:c r="D3564" s="21" t="str">
        <x:v>lot 68 cost formula</x:v>
      </x:c>
      <x:c r="E3564" s="21" t="n">
        <x:f>IF(ABS('Article Lots'!I68-'Article Lots'!G68*'Article Lots'!H68/1000)&lt;0.000001,1,0)</x:f>
        <x:v>1</x:v>
      </x:c>
      <x:c r="F3564" s="21" t="n">
        <x:v>1</x:v>
      </x:c>
      <x:c r="G3564" s="23" t="str">
        <x:f>IF(E3564=F3564,"PASS","FAIL")</x:f>
        <x:v>PASS</x:v>
      </x:c>
    </x:row>
    <x:row r="3565">
      <x:c r="B3565" s="21" t="str">
        <x:v>A3559</x:v>
      </x:c>
      <x:c r="C3565" s="21" t="str">
        <x:v>lots</x:v>
      </x:c>
      <x:c r="D3565" s="21" t="str">
        <x:v>lot 68 schedule margin</x:v>
      </x:c>
      <x:c r="E3565" s="21" t="n">
        <x:f>IF('Article Lots'!L68='Article Lots'!K68-'Article Lots'!J68,1,0)</x:f>
        <x:v>1</x:v>
      </x:c>
      <x:c r="F3565" s="21" t="n">
        <x:v>1</x:v>
      </x:c>
      <x:c r="G3565" s="23" t="str">
        <x:f>IF(E3565=F3565,"PASS","FAIL")</x:f>
        <x:v>PASS</x:v>
      </x:c>
    </x:row>
    <x:row r="3566">
      <x:c r="B3566" s="21" t="str">
        <x:v>A3560</x:v>
      </x:c>
      <x:c r="C3566" s="21" t="str">
        <x:v>lots</x:v>
      </x:c>
      <x:c r="D3566" s="21" t="str">
        <x:v>lot 68 released before need</x:v>
      </x:c>
      <x:c r="E3566" s="21" t="n">
        <x:f>IF('Article Lots'!J68&lt;'Article Lots'!K68,1,0)</x:f>
        <x:v>1</x:v>
      </x:c>
      <x:c r="F3566" s="21" t="n">
        <x:v>1</x:v>
      </x:c>
      <x:c r="G3566" s="23" t="str">
        <x:f>IF(E3566=F3566,"PASS","FAIL")</x:f>
        <x:v>PASS</x:v>
      </x:c>
    </x:row>
    <x:row r="3567">
      <x:c r="B3567" s="21" t="str">
        <x:v>A3561</x:v>
      </x:c>
      <x:c r="C3567" s="21" t="str">
        <x:v>lots</x:v>
      </x:c>
      <x:c r="D3567" s="21" t="str">
        <x:v>lot 68 evidence open</x:v>
      </x:c>
      <x:c r="E3567" s="21" t="n">
        <x:f>IF('Article Lots'!N68="OPEN",1,0)</x:f>
        <x:v>1</x:v>
      </x:c>
      <x:c r="F3567" s="21" t="n">
        <x:v>1</x:v>
      </x:c>
      <x:c r="G3567" s="23" t="str">
        <x:f>IF(E3567=F3567,"PASS","FAIL")</x:f>
        <x:v>PASS</x:v>
      </x:c>
    </x:row>
    <x:row r="3568">
      <x:c r="B3568" s="21" t="str">
        <x:v>A3562</x:v>
      </x:c>
      <x:c r="C3568" s="21" t="str">
        <x:v>lots</x:v>
      </x:c>
      <x:c r="D3568" s="21" t="str">
        <x:v>lot 69 positive quantity</x:v>
      </x:c>
      <x:c r="E3568" s="21" t="n">
        <x:f>IF('Article Lots'!G69&gt;0,1,0)</x:f>
        <x:v>1</x:v>
      </x:c>
      <x:c r="F3568" s="21" t="n">
        <x:v>1</x:v>
      </x:c>
      <x:c r="G3568" s="23" t="str">
        <x:f>IF(E3568=F3568,"PASS","FAIL")</x:f>
        <x:v>PASS</x:v>
      </x:c>
    </x:row>
    <x:row r="3569">
      <x:c r="B3569" s="21" t="str">
        <x:v>A3563</x:v>
      </x:c>
      <x:c r="C3569" s="21" t="str">
        <x:v>lots</x:v>
      </x:c>
      <x:c r="D3569" s="21" t="str">
        <x:v>lot 69 cost formula</x:v>
      </x:c>
      <x:c r="E3569" s="21" t="n">
        <x:f>IF(ABS('Article Lots'!I69-'Article Lots'!G69*'Article Lots'!H69/1000)&lt;0.000001,1,0)</x:f>
        <x:v>1</x:v>
      </x:c>
      <x:c r="F3569" s="21" t="n">
        <x:v>1</x:v>
      </x:c>
      <x:c r="G3569" s="23" t="str">
        <x:f>IF(E3569=F3569,"PASS","FAIL")</x:f>
        <x:v>PASS</x:v>
      </x:c>
    </x:row>
    <x:row r="3570">
      <x:c r="B3570" s="21" t="str">
        <x:v>A3564</x:v>
      </x:c>
      <x:c r="C3570" s="21" t="str">
        <x:v>lots</x:v>
      </x:c>
      <x:c r="D3570" s="21" t="str">
        <x:v>lot 69 schedule margin</x:v>
      </x:c>
      <x:c r="E3570" s="21" t="n">
        <x:f>IF('Article Lots'!L69='Article Lots'!K69-'Article Lots'!J69,1,0)</x:f>
        <x:v>1</x:v>
      </x:c>
      <x:c r="F3570" s="21" t="n">
        <x:v>1</x:v>
      </x:c>
      <x:c r="G3570" s="23" t="str">
        <x:f>IF(E3570=F3570,"PASS","FAIL")</x:f>
        <x:v>PASS</x:v>
      </x:c>
    </x:row>
    <x:row r="3571">
      <x:c r="B3571" s="21" t="str">
        <x:v>A3565</x:v>
      </x:c>
      <x:c r="C3571" s="21" t="str">
        <x:v>lots</x:v>
      </x:c>
      <x:c r="D3571" s="21" t="str">
        <x:v>lot 69 released before need</x:v>
      </x:c>
      <x:c r="E3571" s="21" t="n">
        <x:f>IF('Article Lots'!J69&lt;'Article Lots'!K69,1,0)</x:f>
        <x:v>1</x:v>
      </x:c>
      <x:c r="F3571" s="21" t="n">
        <x:v>1</x:v>
      </x:c>
      <x:c r="G3571" s="23" t="str">
        <x:f>IF(E3571=F3571,"PASS","FAIL")</x:f>
        <x:v>PASS</x:v>
      </x:c>
    </x:row>
    <x:row r="3572">
      <x:c r="B3572" s="21" t="str">
        <x:v>A3566</x:v>
      </x:c>
      <x:c r="C3572" s="21" t="str">
        <x:v>lots</x:v>
      </x:c>
      <x:c r="D3572" s="21" t="str">
        <x:v>lot 69 evidence open</x:v>
      </x:c>
      <x:c r="E3572" s="21" t="n">
        <x:f>IF('Article Lots'!N69="OPEN",1,0)</x:f>
        <x:v>1</x:v>
      </x:c>
      <x:c r="F3572" s="21" t="n">
        <x:v>1</x:v>
      </x:c>
      <x:c r="G3572" s="23" t="str">
        <x:f>IF(E3572=F3572,"PASS","FAIL")</x:f>
        <x:v>PASS</x:v>
      </x:c>
    </x:row>
    <x:row r="3573">
      <x:c r="B3573" s="21" t="str">
        <x:v>A3567</x:v>
      </x:c>
      <x:c r="C3573" s="21" t="str">
        <x:v>lots</x:v>
      </x:c>
      <x:c r="D3573" s="21" t="str">
        <x:v>lot 70 positive quantity</x:v>
      </x:c>
      <x:c r="E3573" s="21" t="n">
        <x:f>IF('Article Lots'!G70&gt;0,1,0)</x:f>
        <x:v>1</x:v>
      </x:c>
      <x:c r="F3573" s="21" t="n">
        <x:v>1</x:v>
      </x:c>
      <x:c r="G3573" s="23" t="str">
        <x:f>IF(E3573=F3573,"PASS","FAIL")</x:f>
        <x:v>PASS</x:v>
      </x:c>
    </x:row>
    <x:row r="3574">
      <x:c r="B3574" s="21" t="str">
        <x:v>A3568</x:v>
      </x:c>
      <x:c r="C3574" s="21" t="str">
        <x:v>lots</x:v>
      </x:c>
      <x:c r="D3574" s="21" t="str">
        <x:v>lot 70 cost formula</x:v>
      </x:c>
      <x:c r="E3574" s="21" t="n">
        <x:f>IF(ABS('Article Lots'!I70-'Article Lots'!G70*'Article Lots'!H70/1000)&lt;0.000001,1,0)</x:f>
        <x:v>1</x:v>
      </x:c>
      <x:c r="F3574" s="21" t="n">
        <x:v>1</x:v>
      </x:c>
      <x:c r="G3574" s="23" t="str">
        <x:f>IF(E3574=F3574,"PASS","FAIL")</x:f>
        <x:v>PASS</x:v>
      </x:c>
    </x:row>
    <x:row r="3575">
      <x:c r="B3575" s="21" t="str">
        <x:v>A3569</x:v>
      </x:c>
      <x:c r="C3575" s="21" t="str">
        <x:v>lots</x:v>
      </x:c>
      <x:c r="D3575" s="21" t="str">
        <x:v>lot 70 schedule margin</x:v>
      </x:c>
      <x:c r="E3575" s="21" t="n">
        <x:f>IF('Article Lots'!L70='Article Lots'!K70-'Article Lots'!J70,1,0)</x:f>
        <x:v>1</x:v>
      </x:c>
      <x:c r="F3575" s="21" t="n">
        <x:v>1</x:v>
      </x:c>
      <x:c r="G3575" s="23" t="str">
        <x:f>IF(E3575=F3575,"PASS","FAIL")</x:f>
        <x:v>PASS</x:v>
      </x:c>
    </x:row>
    <x:row r="3576">
      <x:c r="B3576" s="21" t="str">
        <x:v>A3570</x:v>
      </x:c>
      <x:c r="C3576" s="21" t="str">
        <x:v>lots</x:v>
      </x:c>
      <x:c r="D3576" s="21" t="str">
        <x:v>lot 70 released before need</x:v>
      </x:c>
      <x:c r="E3576" s="21" t="n">
        <x:f>IF('Article Lots'!J70&lt;'Article Lots'!K70,1,0)</x:f>
        <x:v>1</x:v>
      </x:c>
      <x:c r="F3576" s="21" t="n">
        <x:v>1</x:v>
      </x:c>
      <x:c r="G3576" s="23" t="str">
        <x:f>IF(E3576=F3576,"PASS","FAIL")</x:f>
        <x:v>PASS</x:v>
      </x:c>
    </x:row>
    <x:row r="3577">
      <x:c r="B3577" s="21" t="str">
        <x:v>A3571</x:v>
      </x:c>
      <x:c r="C3577" s="21" t="str">
        <x:v>lots</x:v>
      </x:c>
      <x:c r="D3577" s="21" t="str">
        <x:v>lot 70 evidence open</x:v>
      </x:c>
      <x:c r="E3577" s="21" t="n">
        <x:f>IF('Article Lots'!N70="OPEN",1,0)</x:f>
        <x:v>1</x:v>
      </x:c>
      <x:c r="F3577" s="21" t="n">
        <x:v>1</x:v>
      </x:c>
      <x:c r="G3577" s="23" t="str">
        <x:f>IF(E3577=F3577,"PASS","FAIL")</x:f>
        <x:v>PASS</x:v>
      </x:c>
    </x:row>
    <x:row r="3578">
      <x:c r="B3578" s="21" t="str">
        <x:v>A3572</x:v>
      </x:c>
      <x:c r="C3578" s="21" t="str">
        <x:v>lots</x:v>
      </x:c>
      <x:c r="D3578" s="21" t="str">
        <x:v>lot 71 positive quantity</x:v>
      </x:c>
      <x:c r="E3578" s="21" t="n">
        <x:f>IF('Article Lots'!G71&gt;0,1,0)</x:f>
        <x:v>1</x:v>
      </x:c>
      <x:c r="F3578" s="21" t="n">
        <x:v>1</x:v>
      </x:c>
      <x:c r="G3578" s="23" t="str">
        <x:f>IF(E3578=F3578,"PASS","FAIL")</x:f>
        <x:v>PASS</x:v>
      </x:c>
    </x:row>
    <x:row r="3579">
      <x:c r="B3579" s="21" t="str">
        <x:v>A3573</x:v>
      </x:c>
      <x:c r="C3579" s="21" t="str">
        <x:v>lots</x:v>
      </x:c>
      <x:c r="D3579" s="21" t="str">
        <x:v>lot 71 cost formula</x:v>
      </x:c>
      <x:c r="E3579" s="21" t="n">
        <x:f>IF(ABS('Article Lots'!I71-'Article Lots'!G71*'Article Lots'!H71/1000)&lt;0.000001,1,0)</x:f>
        <x:v>1</x:v>
      </x:c>
      <x:c r="F3579" s="21" t="n">
        <x:v>1</x:v>
      </x:c>
      <x:c r="G3579" s="23" t="str">
        <x:f>IF(E3579=F3579,"PASS","FAIL")</x:f>
        <x:v>PASS</x:v>
      </x:c>
    </x:row>
    <x:row r="3580">
      <x:c r="B3580" s="21" t="str">
        <x:v>A3574</x:v>
      </x:c>
      <x:c r="C3580" s="21" t="str">
        <x:v>lots</x:v>
      </x:c>
      <x:c r="D3580" s="21" t="str">
        <x:v>lot 71 schedule margin</x:v>
      </x:c>
      <x:c r="E3580" s="21" t="n">
        <x:f>IF('Article Lots'!L71='Article Lots'!K71-'Article Lots'!J71,1,0)</x:f>
        <x:v>1</x:v>
      </x:c>
      <x:c r="F3580" s="21" t="n">
        <x:v>1</x:v>
      </x:c>
      <x:c r="G3580" s="23" t="str">
        <x:f>IF(E3580=F3580,"PASS","FAIL")</x:f>
        <x:v>PASS</x:v>
      </x:c>
    </x:row>
    <x:row r="3581">
      <x:c r="B3581" s="21" t="str">
        <x:v>A3575</x:v>
      </x:c>
      <x:c r="C3581" s="21" t="str">
        <x:v>lots</x:v>
      </x:c>
      <x:c r="D3581" s="21" t="str">
        <x:v>lot 71 released before need</x:v>
      </x:c>
      <x:c r="E3581" s="21" t="n">
        <x:f>IF('Article Lots'!J71&lt;'Article Lots'!K71,1,0)</x:f>
        <x:v>1</x:v>
      </x:c>
      <x:c r="F3581" s="21" t="n">
        <x:v>1</x:v>
      </x:c>
      <x:c r="G3581" s="23" t="str">
        <x:f>IF(E3581=F3581,"PASS","FAIL")</x:f>
        <x:v>PASS</x:v>
      </x:c>
    </x:row>
    <x:row r="3582">
      <x:c r="B3582" s="21" t="str">
        <x:v>A3576</x:v>
      </x:c>
      <x:c r="C3582" s="21" t="str">
        <x:v>lots</x:v>
      </x:c>
      <x:c r="D3582" s="21" t="str">
        <x:v>lot 71 evidence open</x:v>
      </x:c>
      <x:c r="E3582" s="21" t="n">
        <x:f>IF('Article Lots'!N71="OPEN",1,0)</x:f>
        <x:v>1</x:v>
      </x:c>
      <x:c r="F3582" s="21" t="n">
        <x:v>1</x:v>
      </x:c>
      <x:c r="G3582" s="23" t="str">
        <x:f>IF(E3582=F3582,"PASS","FAIL")</x:f>
        <x:v>PASS</x:v>
      </x:c>
    </x:row>
    <x:row r="3583">
      <x:c r="B3583" s="21" t="str">
        <x:v>A3577</x:v>
      </x:c>
      <x:c r="C3583" s="21" t="str">
        <x:v>lots</x:v>
      </x:c>
      <x:c r="D3583" s="21" t="str">
        <x:v>lot 72 positive quantity</x:v>
      </x:c>
      <x:c r="E3583" s="21" t="n">
        <x:f>IF('Article Lots'!G72&gt;0,1,0)</x:f>
        <x:v>1</x:v>
      </x:c>
      <x:c r="F3583" s="21" t="n">
        <x:v>1</x:v>
      </x:c>
      <x:c r="G3583" s="23" t="str">
        <x:f>IF(E3583=F3583,"PASS","FAIL")</x:f>
        <x:v>PASS</x:v>
      </x:c>
    </x:row>
    <x:row r="3584">
      <x:c r="B3584" s="21" t="str">
        <x:v>A3578</x:v>
      </x:c>
      <x:c r="C3584" s="21" t="str">
        <x:v>lots</x:v>
      </x:c>
      <x:c r="D3584" s="21" t="str">
        <x:v>lot 72 cost formula</x:v>
      </x:c>
      <x:c r="E3584" s="21" t="n">
        <x:f>IF(ABS('Article Lots'!I72-'Article Lots'!G72*'Article Lots'!H72/1000)&lt;0.000001,1,0)</x:f>
        <x:v>1</x:v>
      </x:c>
      <x:c r="F3584" s="21" t="n">
        <x:v>1</x:v>
      </x:c>
      <x:c r="G3584" s="23" t="str">
        <x:f>IF(E3584=F3584,"PASS","FAIL")</x:f>
        <x:v>PASS</x:v>
      </x:c>
    </x:row>
    <x:row r="3585">
      <x:c r="B3585" s="21" t="str">
        <x:v>A3579</x:v>
      </x:c>
      <x:c r="C3585" s="21" t="str">
        <x:v>lots</x:v>
      </x:c>
      <x:c r="D3585" s="21" t="str">
        <x:v>lot 72 schedule margin</x:v>
      </x:c>
      <x:c r="E3585" s="21" t="n">
        <x:f>IF('Article Lots'!L72='Article Lots'!K72-'Article Lots'!J72,1,0)</x:f>
        <x:v>1</x:v>
      </x:c>
      <x:c r="F3585" s="21" t="n">
        <x:v>1</x:v>
      </x:c>
      <x:c r="G3585" s="23" t="str">
        <x:f>IF(E3585=F3585,"PASS","FAIL")</x:f>
        <x:v>PASS</x:v>
      </x:c>
    </x:row>
    <x:row r="3586">
      <x:c r="B3586" s="21" t="str">
        <x:v>A3580</x:v>
      </x:c>
      <x:c r="C3586" s="21" t="str">
        <x:v>lots</x:v>
      </x:c>
      <x:c r="D3586" s="21" t="str">
        <x:v>lot 72 released before need</x:v>
      </x:c>
      <x:c r="E3586" s="21" t="n">
        <x:f>IF('Article Lots'!J72&lt;'Article Lots'!K72,1,0)</x:f>
        <x:v>1</x:v>
      </x:c>
      <x:c r="F3586" s="21" t="n">
        <x:v>1</x:v>
      </x:c>
      <x:c r="G3586" s="23" t="str">
        <x:f>IF(E3586=F3586,"PASS","FAIL")</x:f>
        <x:v>PASS</x:v>
      </x:c>
    </x:row>
    <x:row r="3587">
      <x:c r="B3587" s="21" t="str">
        <x:v>A3581</x:v>
      </x:c>
      <x:c r="C3587" s="21" t="str">
        <x:v>lots</x:v>
      </x:c>
      <x:c r="D3587" s="21" t="str">
        <x:v>lot 72 evidence open</x:v>
      </x:c>
      <x:c r="E3587" s="21" t="n">
        <x:f>IF('Article Lots'!N72="OPEN",1,0)</x:f>
        <x:v>1</x:v>
      </x:c>
      <x:c r="F3587" s="21" t="n">
        <x:v>1</x:v>
      </x:c>
      <x:c r="G3587" s="23" t="str">
        <x:f>IF(E3587=F3587,"PASS","FAIL")</x:f>
        <x:v>PASS</x:v>
      </x:c>
    </x:row>
    <x:row r="3588">
      <x:c r="B3588" s="21" t="str">
        <x:v>A3582</x:v>
      </x:c>
      <x:c r="C3588" s="21" t="str">
        <x:v>standards</x:v>
      </x:c>
      <x:c r="D3588" s="21" t="str">
        <x:v>standard 7 positive quantity</x:v>
      </x:c>
      <x:c r="E3588" s="21" t="n">
        <x:f>IF('GFE Standards'!D7&gt;0,1,0)</x:f>
        <x:v>1</x:v>
      </x:c>
      <x:c r="F3588" s="21" t="n">
        <x:v>1</x:v>
      </x:c>
      <x:c r="G3588" s="23" t="str">
        <x:f>IF(E3588=F3588,"PASS","FAIL")</x:f>
        <x:v>PASS</x:v>
      </x:c>
    </x:row>
    <x:row r="3589">
      <x:c r="B3589" s="21" t="str">
        <x:v>A3583</x:v>
      </x:c>
      <x:c r="C3589" s="21" t="str">
        <x:v>standards</x:v>
      </x:c>
      <x:c r="D3589" s="21" t="str">
        <x:v>standard 7 cost positive</x:v>
      </x:c>
      <x:c r="E3589" s="21" t="n">
        <x:f>IF('GFE Standards'!E7&gt;0,1,0)</x:f>
        <x:v>1</x:v>
      </x:c>
      <x:c r="F3589" s="21" t="n">
        <x:v>1</x:v>
      </x:c>
      <x:c r="G3589" s="23" t="str">
        <x:f>IF(E3589=F3589,"PASS","FAIL")</x:f>
        <x:v>PASS</x:v>
      </x:c>
    </x:row>
    <x:row r="3590">
      <x:c r="B3590" s="21" t="str">
        <x:v>A3584</x:v>
      </x:c>
      <x:c r="C3590" s="21" t="str">
        <x:v>standards</x:v>
      </x:c>
      <x:c r="D3590" s="21" t="str">
        <x:v>standard 7 unit formula</x:v>
      </x:c>
      <x:c r="E3590" s="21" t="n">
        <x:f>IF(ABS('GFE Standards'!F7-'GFE Standards'!E7*1000/'GFE Standards'!D7)&lt;0.000001,1,0)</x:f>
        <x:v>1</x:v>
      </x:c>
      <x:c r="F3590" s="21" t="n">
        <x:v>1</x:v>
      </x:c>
      <x:c r="G3590" s="23" t="str">
        <x:f>IF(E3590=F3590,"PASS","FAIL")</x:f>
        <x:v>PASS</x:v>
      </x:c>
    </x:row>
    <x:row r="3591">
      <x:c r="B3591" s="21" t="str">
        <x:v>A3585</x:v>
      </x:c>
      <x:c r="C3591" s="21" t="str">
        <x:v>standards</x:v>
      </x:c>
      <x:c r="D3591" s="21" t="str">
        <x:v>standard 7 evidence open</x:v>
      </x:c>
      <x:c r="E3591" s="21" t="n">
        <x:f>IF('GFE Standards'!I7="OPEN",1,0)</x:f>
        <x:v>1</x:v>
      </x:c>
      <x:c r="F3591" s="21" t="n">
        <x:v>1</x:v>
      </x:c>
      <x:c r="G3591" s="23" t="str">
        <x:f>IF(E3591=F3591,"PASS","FAIL")</x:f>
        <x:v>PASS</x:v>
      </x:c>
    </x:row>
    <x:row r="3592">
      <x:c r="B3592" s="21" t="str">
        <x:v>A3586</x:v>
      </x:c>
      <x:c r="C3592" s="21" t="str">
        <x:v>standards</x:v>
      </x:c>
      <x:c r="D3592" s="21" t="str">
        <x:v>standard 8 positive quantity</x:v>
      </x:c>
      <x:c r="E3592" s="21" t="n">
        <x:f>IF('GFE Standards'!D8&gt;0,1,0)</x:f>
        <x:v>1</x:v>
      </x:c>
      <x:c r="F3592" s="21" t="n">
        <x:v>1</x:v>
      </x:c>
      <x:c r="G3592" s="23" t="str">
        <x:f>IF(E3592=F3592,"PASS","FAIL")</x:f>
        <x:v>PASS</x:v>
      </x:c>
    </x:row>
    <x:row r="3593">
      <x:c r="B3593" s="21" t="str">
        <x:v>A3587</x:v>
      </x:c>
      <x:c r="C3593" s="21" t="str">
        <x:v>standards</x:v>
      </x:c>
      <x:c r="D3593" s="21" t="str">
        <x:v>standard 8 cost positive</x:v>
      </x:c>
      <x:c r="E3593" s="21" t="n">
        <x:f>IF('GFE Standards'!E8&gt;0,1,0)</x:f>
        <x:v>1</x:v>
      </x:c>
      <x:c r="F3593" s="21" t="n">
        <x:v>1</x:v>
      </x:c>
      <x:c r="G3593" s="23" t="str">
        <x:f>IF(E3593=F3593,"PASS","FAIL")</x:f>
        <x:v>PASS</x:v>
      </x:c>
    </x:row>
    <x:row r="3594">
      <x:c r="B3594" s="21" t="str">
        <x:v>A3588</x:v>
      </x:c>
      <x:c r="C3594" s="21" t="str">
        <x:v>standards</x:v>
      </x:c>
      <x:c r="D3594" s="21" t="str">
        <x:v>standard 8 unit formula</x:v>
      </x:c>
      <x:c r="E3594" s="21" t="n">
        <x:f>IF(ABS('GFE Standards'!F8-'GFE Standards'!E8*1000/'GFE Standards'!D8)&lt;0.000001,1,0)</x:f>
        <x:v>1</x:v>
      </x:c>
      <x:c r="F3594" s="21" t="n">
        <x:v>1</x:v>
      </x:c>
      <x:c r="G3594" s="23" t="str">
        <x:f>IF(E3594=F3594,"PASS","FAIL")</x:f>
        <x:v>PASS</x:v>
      </x:c>
    </x:row>
    <x:row r="3595">
      <x:c r="B3595" s="21" t="str">
        <x:v>A3589</x:v>
      </x:c>
      <x:c r="C3595" s="21" t="str">
        <x:v>standards</x:v>
      </x:c>
      <x:c r="D3595" s="21" t="str">
        <x:v>standard 8 evidence open</x:v>
      </x:c>
      <x:c r="E3595" s="21" t="n">
        <x:f>IF('GFE Standards'!I8="OPEN",1,0)</x:f>
        <x:v>1</x:v>
      </x:c>
      <x:c r="F3595" s="21" t="n">
        <x:v>1</x:v>
      </x:c>
      <x:c r="G3595" s="23" t="str">
        <x:f>IF(E3595=F3595,"PASS","FAIL")</x:f>
        <x:v>PASS</x:v>
      </x:c>
    </x:row>
    <x:row r="3596">
      <x:c r="B3596" s="21" t="str">
        <x:v>A3590</x:v>
      </x:c>
      <x:c r="C3596" s="21" t="str">
        <x:v>standards</x:v>
      </x:c>
      <x:c r="D3596" s="21" t="str">
        <x:v>standard 9 positive quantity</x:v>
      </x:c>
      <x:c r="E3596" s="21" t="n">
        <x:f>IF('GFE Standards'!D9&gt;0,1,0)</x:f>
        <x:v>1</x:v>
      </x:c>
      <x:c r="F3596" s="21" t="n">
        <x:v>1</x:v>
      </x:c>
      <x:c r="G3596" s="23" t="str">
        <x:f>IF(E3596=F3596,"PASS","FAIL")</x:f>
        <x:v>PASS</x:v>
      </x:c>
    </x:row>
    <x:row r="3597">
      <x:c r="B3597" s="21" t="str">
        <x:v>A3591</x:v>
      </x:c>
      <x:c r="C3597" s="21" t="str">
        <x:v>standards</x:v>
      </x:c>
      <x:c r="D3597" s="21" t="str">
        <x:v>standard 9 cost positive</x:v>
      </x:c>
      <x:c r="E3597" s="21" t="n">
        <x:f>IF('GFE Standards'!E9&gt;0,1,0)</x:f>
        <x:v>1</x:v>
      </x:c>
      <x:c r="F3597" s="21" t="n">
        <x:v>1</x:v>
      </x:c>
      <x:c r="G3597" s="23" t="str">
        <x:f>IF(E3597=F3597,"PASS","FAIL")</x:f>
        <x:v>PASS</x:v>
      </x:c>
    </x:row>
    <x:row r="3598">
      <x:c r="B3598" s="21" t="str">
        <x:v>A3592</x:v>
      </x:c>
      <x:c r="C3598" s="21" t="str">
        <x:v>standards</x:v>
      </x:c>
      <x:c r="D3598" s="21" t="str">
        <x:v>standard 9 unit formula</x:v>
      </x:c>
      <x:c r="E3598" s="21" t="n">
        <x:f>IF(ABS('GFE Standards'!F9-'GFE Standards'!E9*1000/'GFE Standards'!D9)&lt;0.000001,1,0)</x:f>
        <x:v>1</x:v>
      </x:c>
      <x:c r="F3598" s="21" t="n">
        <x:v>1</x:v>
      </x:c>
      <x:c r="G3598" s="23" t="str">
        <x:f>IF(E3598=F3598,"PASS","FAIL")</x:f>
        <x:v>PASS</x:v>
      </x:c>
    </x:row>
    <x:row r="3599">
      <x:c r="B3599" s="21" t="str">
        <x:v>A3593</x:v>
      </x:c>
      <x:c r="C3599" s="21" t="str">
        <x:v>standards</x:v>
      </x:c>
      <x:c r="D3599" s="21" t="str">
        <x:v>standard 9 evidence open</x:v>
      </x:c>
      <x:c r="E3599" s="21" t="n">
        <x:f>IF('GFE Standards'!I9="OPEN",1,0)</x:f>
        <x:v>1</x:v>
      </x:c>
      <x:c r="F3599" s="21" t="n">
        <x:v>1</x:v>
      </x:c>
      <x:c r="G3599" s="23" t="str">
        <x:f>IF(E3599=F3599,"PASS","FAIL")</x:f>
        <x:v>PASS</x:v>
      </x:c>
    </x:row>
    <x:row r="3600">
      <x:c r="B3600" s="21" t="str">
        <x:v>A3594</x:v>
      </x:c>
      <x:c r="C3600" s="21" t="str">
        <x:v>standards</x:v>
      </x:c>
      <x:c r="D3600" s="21" t="str">
        <x:v>standard 10 positive quantity</x:v>
      </x:c>
      <x:c r="E3600" s="21" t="n">
        <x:f>IF('GFE Standards'!D10&gt;0,1,0)</x:f>
        <x:v>1</x:v>
      </x:c>
      <x:c r="F3600" s="21" t="n">
        <x:v>1</x:v>
      </x:c>
      <x:c r="G3600" s="23" t="str">
        <x:f>IF(E3600=F3600,"PASS","FAIL")</x:f>
        <x:v>PASS</x:v>
      </x:c>
    </x:row>
    <x:row r="3601">
      <x:c r="B3601" s="21" t="str">
        <x:v>A3595</x:v>
      </x:c>
      <x:c r="C3601" s="21" t="str">
        <x:v>standards</x:v>
      </x:c>
      <x:c r="D3601" s="21" t="str">
        <x:v>standard 10 cost positive</x:v>
      </x:c>
      <x:c r="E3601" s="21" t="n">
        <x:f>IF('GFE Standards'!E10&gt;0,1,0)</x:f>
        <x:v>1</x:v>
      </x:c>
      <x:c r="F3601" s="21" t="n">
        <x:v>1</x:v>
      </x:c>
      <x:c r="G3601" s="23" t="str">
        <x:f>IF(E3601=F3601,"PASS","FAIL")</x:f>
        <x:v>PASS</x:v>
      </x:c>
    </x:row>
    <x:row r="3602">
      <x:c r="B3602" s="21" t="str">
        <x:v>A3596</x:v>
      </x:c>
      <x:c r="C3602" s="21" t="str">
        <x:v>standards</x:v>
      </x:c>
      <x:c r="D3602" s="21" t="str">
        <x:v>standard 10 unit formula</x:v>
      </x:c>
      <x:c r="E3602" s="21" t="n">
        <x:f>IF(ABS('GFE Standards'!F10-'GFE Standards'!E10*1000/'GFE Standards'!D10)&lt;0.000001,1,0)</x:f>
        <x:v>1</x:v>
      </x:c>
      <x:c r="F3602" s="21" t="n">
        <x:v>1</x:v>
      </x:c>
      <x:c r="G3602" s="23" t="str">
        <x:f>IF(E3602=F3602,"PASS","FAIL")</x:f>
        <x:v>PASS</x:v>
      </x:c>
    </x:row>
    <x:row r="3603">
      <x:c r="B3603" s="21" t="str">
        <x:v>A3597</x:v>
      </x:c>
      <x:c r="C3603" s="21" t="str">
        <x:v>standards</x:v>
      </x:c>
      <x:c r="D3603" s="21" t="str">
        <x:v>standard 10 evidence open</x:v>
      </x:c>
      <x:c r="E3603" s="21" t="n">
        <x:f>IF('GFE Standards'!I10="OPEN",1,0)</x:f>
        <x:v>1</x:v>
      </x:c>
      <x:c r="F3603" s="21" t="n">
        <x:v>1</x:v>
      </x:c>
      <x:c r="G3603" s="23" t="str">
        <x:f>IF(E3603=F3603,"PASS","FAIL")</x:f>
        <x:v>PASS</x:v>
      </x:c>
    </x:row>
    <x:row r="3604">
      <x:c r="B3604" s="21" t="str">
        <x:v>A3598</x:v>
      </x:c>
      <x:c r="C3604" s="21" t="str">
        <x:v>standards</x:v>
      </x:c>
      <x:c r="D3604" s="21" t="str">
        <x:v>standard 11 positive quantity</x:v>
      </x:c>
      <x:c r="E3604" s="21" t="n">
        <x:f>IF('GFE Standards'!D11&gt;0,1,0)</x:f>
        <x:v>1</x:v>
      </x:c>
      <x:c r="F3604" s="21" t="n">
        <x:v>1</x:v>
      </x:c>
      <x:c r="G3604" s="23" t="str">
        <x:f>IF(E3604=F3604,"PASS","FAIL")</x:f>
        <x:v>PASS</x:v>
      </x:c>
    </x:row>
    <x:row r="3605">
      <x:c r="B3605" s="21" t="str">
        <x:v>A3599</x:v>
      </x:c>
      <x:c r="C3605" s="21" t="str">
        <x:v>standards</x:v>
      </x:c>
      <x:c r="D3605" s="21" t="str">
        <x:v>standard 11 cost positive</x:v>
      </x:c>
      <x:c r="E3605" s="21" t="n">
        <x:f>IF('GFE Standards'!E11&gt;0,1,0)</x:f>
        <x:v>1</x:v>
      </x:c>
      <x:c r="F3605" s="21" t="n">
        <x:v>1</x:v>
      </x:c>
      <x:c r="G3605" s="23" t="str">
        <x:f>IF(E3605=F3605,"PASS","FAIL")</x:f>
        <x:v>PASS</x:v>
      </x:c>
    </x:row>
    <x:row r="3606">
      <x:c r="B3606" s="21" t="str">
        <x:v>A3600</x:v>
      </x:c>
      <x:c r="C3606" s="21" t="str">
        <x:v>standards</x:v>
      </x:c>
      <x:c r="D3606" s="21" t="str">
        <x:v>standard 11 unit formula</x:v>
      </x:c>
      <x:c r="E3606" s="21" t="n">
        <x:f>IF(ABS('GFE Standards'!F11-'GFE Standards'!E11*1000/'GFE Standards'!D11)&lt;0.000001,1,0)</x:f>
        <x:v>1</x:v>
      </x:c>
      <x:c r="F3606" s="21" t="n">
        <x:v>1</x:v>
      </x:c>
      <x:c r="G3606" s="23" t="str">
        <x:f>IF(E3606=F3606,"PASS","FAIL")</x:f>
        <x:v>PASS</x:v>
      </x:c>
    </x:row>
    <x:row r="3607">
      <x:c r="B3607" s="21" t="str">
        <x:v>A3601</x:v>
      </x:c>
      <x:c r="C3607" s="21" t="str">
        <x:v>standards</x:v>
      </x:c>
      <x:c r="D3607" s="21" t="str">
        <x:v>standard 11 evidence open</x:v>
      </x:c>
      <x:c r="E3607" s="21" t="n">
        <x:f>IF('GFE Standards'!I11="OPEN",1,0)</x:f>
        <x:v>1</x:v>
      </x:c>
      <x:c r="F3607" s="21" t="n">
        <x:v>1</x:v>
      </x:c>
      <x:c r="G3607" s="23" t="str">
        <x:f>IF(E3607=F3607,"PASS","FAIL")</x:f>
        <x:v>PASS</x:v>
      </x:c>
    </x:row>
    <x:row r="3608">
      <x:c r="B3608" s="21" t="str">
        <x:v>A3602</x:v>
      </x:c>
      <x:c r="C3608" s="21" t="str">
        <x:v>standards</x:v>
      </x:c>
      <x:c r="D3608" s="21" t="str">
        <x:v>standard 12 positive quantity</x:v>
      </x:c>
      <x:c r="E3608" s="21" t="n">
        <x:f>IF('GFE Standards'!D12&gt;0,1,0)</x:f>
        <x:v>1</x:v>
      </x:c>
      <x:c r="F3608" s="21" t="n">
        <x:v>1</x:v>
      </x:c>
      <x:c r="G3608" s="23" t="str">
        <x:f>IF(E3608=F3608,"PASS","FAIL")</x:f>
        <x:v>PASS</x:v>
      </x:c>
    </x:row>
    <x:row r="3609">
      <x:c r="B3609" s="21" t="str">
        <x:v>A3603</x:v>
      </x:c>
      <x:c r="C3609" s="21" t="str">
        <x:v>standards</x:v>
      </x:c>
      <x:c r="D3609" s="21" t="str">
        <x:v>standard 12 cost positive</x:v>
      </x:c>
      <x:c r="E3609" s="21" t="n">
        <x:f>IF('GFE Standards'!E12&gt;0,1,0)</x:f>
        <x:v>1</x:v>
      </x:c>
      <x:c r="F3609" s="21" t="n">
        <x:v>1</x:v>
      </x:c>
      <x:c r="G3609" s="23" t="str">
        <x:f>IF(E3609=F3609,"PASS","FAIL")</x:f>
        <x:v>PASS</x:v>
      </x:c>
    </x:row>
    <x:row r="3610">
      <x:c r="B3610" s="21" t="str">
        <x:v>A3604</x:v>
      </x:c>
      <x:c r="C3610" s="21" t="str">
        <x:v>standards</x:v>
      </x:c>
      <x:c r="D3610" s="21" t="str">
        <x:v>standard 12 unit formula</x:v>
      </x:c>
      <x:c r="E3610" s="21" t="n">
        <x:f>IF(ABS('GFE Standards'!F12-'GFE Standards'!E12*1000/'GFE Standards'!D12)&lt;0.000001,1,0)</x:f>
        <x:v>1</x:v>
      </x:c>
      <x:c r="F3610" s="21" t="n">
        <x:v>1</x:v>
      </x:c>
      <x:c r="G3610" s="23" t="str">
        <x:f>IF(E3610=F3610,"PASS","FAIL")</x:f>
        <x:v>PASS</x:v>
      </x:c>
    </x:row>
    <x:row r="3611">
      <x:c r="B3611" s="21" t="str">
        <x:v>A3605</x:v>
      </x:c>
      <x:c r="C3611" s="21" t="str">
        <x:v>standards</x:v>
      </x:c>
      <x:c r="D3611" s="21" t="str">
        <x:v>standard 12 evidence open</x:v>
      </x:c>
      <x:c r="E3611" s="21" t="n">
        <x:f>IF('GFE Standards'!I12="OPEN",1,0)</x:f>
        <x:v>1</x:v>
      </x:c>
      <x:c r="F3611" s="21" t="n">
        <x:v>1</x:v>
      </x:c>
      <x:c r="G3611" s="23" t="str">
        <x:f>IF(E3611=F3611,"PASS","FAIL")</x:f>
        <x:v>PASS</x:v>
      </x:c>
    </x:row>
    <x:row r="3612">
      <x:c r="B3612" s="21" t="str">
        <x:v>A3606</x:v>
      </x:c>
      <x:c r="C3612" s="21" t="str">
        <x:v>standards</x:v>
      </x:c>
      <x:c r="D3612" s="21" t="str">
        <x:v>standard 13 positive quantity</x:v>
      </x:c>
      <x:c r="E3612" s="21" t="n">
        <x:f>IF('GFE Standards'!D13&gt;0,1,0)</x:f>
        <x:v>1</x:v>
      </x:c>
      <x:c r="F3612" s="21" t="n">
        <x:v>1</x:v>
      </x:c>
      <x:c r="G3612" s="23" t="str">
        <x:f>IF(E3612=F3612,"PASS","FAIL")</x:f>
        <x:v>PASS</x:v>
      </x:c>
    </x:row>
    <x:row r="3613">
      <x:c r="B3613" s="21" t="str">
        <x:v>A3607</x:v>
      </x:c>
      <x:c r="C3613" s="21" t="str">
        <x:v>standards</x:v>
      </x:c>
      <x:c r="D3613" s="21" t="str">
        <x:v>standard 13 cost positive</x:v>
      </x:c>
      <x:c r="E3613" s="21" t="n">
        <x:f>IF('GFE Standards'!E13&gt;0,1,0)</x:f>
        <x:v>1</x:v>
      </x:c>
      <x:c r="F3613" s="21" t="n">
        <x:v>1</x:v>
      </x:c>
      <x:c r="G3613" s="23" t="str">
        <x:f>IF(E3613=F3613,"PASS","FAIL")</x:f>
        <x:v>PASS</x:v>
      </x:c>
    </x:row>
    <x:row r="3614">
      <x:c r="B3614" s="21" t="str">
        <x:v>A3608</x:v>
      </x:c>
      <x:c r="C3614" s="21" t="str">
        <x:v>standards</x:v>
      </x:c>
      <x:c r="D3614" s="21" t="str">
        <x:v>standard 13 unit formula</x:v>
      </x:c>
      <x:c r="E3614" s="21" t="n">
        <x:f>IF(ABS('GFE Standards'!F13-'GFE Standards'!E13*1000/'GFE Standards'!D13)&lt;0.000001,1,0)</x:f>
        <x:v>1</x:v>
      </x:c>
      <x:c r="F3614" s="21" t="n">
        <x:v>1</x:v>
      </x:c>
      <x:c r="G3614" s="23" t="str">
        <x:f>IF(E3614=F3614,"PASS","FAIL")</x:f>
        <x:v>PASS</x:v>
      </x:c>
    </x:row>
    <x:row r="3615">
      <x:c r="B3615" s="21" t="str">
        <x:v>A3609</x:v>
      </x:c>
      <x:c r="C3615" s="21" t="str">
        <x:v>standards</x:v>
      </x:c>
      <x:c r="D3615" s="21" t="str">
        <x:v>standard 13 evidence open</x:v>
      </x:c>
      <x:c r="E3615" s="21" t="n">
        <x:f>IF('GFE Standards'!I13="OPEN",1,0)</x:f>
        <x:v>1</x:v>
      </x:c>
      <x:c r="F3615" s="21" t="n">
        <x:v>1</x:v>
      </x:c>
      <x:c r="G3615" s="23" t="str">
        <x:f>IF(E3615=F3615,"PASS","FAIL")</x:f>
        <x:v>PASS</x:v>
      </x:c>
    </x:row>
    <x:row r="3616">
      <x:c r="B3616" s="21" t="str">
        <x:v>A3610</x:v>
      </x:c>
      <x:c r="C3616" s="21" t="str">
        <x:v>standards</x:v>
      </x:c>
      <x:c r="D3616" s="21" t="str">
        <x:v>standard 14 positive quantity</x:v>
      </x:c>
      <x:c r="E3616" s="21" t="n">
        <x:f>IF('GFE Standards'!D14&gt;0,1,0)</x:f>
        <x:v>1</x:v>
      </x:c>
      <x:c r="F3616" s="21" t="n">
        <x:v>1</x:v>
      </x:c>
      <x:c r="G3616" s="23" t="str">
        <x:f>IF(E3616=F3616,"PASS","FAIL")</x:f>
        <x:v>PASS</x:v>
      </x:c>
    </x:row>
    <x:row r="3617">
      <x:c r="B3617" s="21" t="str">
        <x:v>A3611</x:v>
      </x:c>
      <x:c r="C3617" s="21" t="str">
        <x:v>standards</x:v>
      </x:c>
      <x:c r="D3617" s="21" t="str">
        <x:v>standard 14 cost positive</x:v>
      </x:c>
      <x:c r="E3617" s="21" t="n">
        <x:f>IF('GFE Standards'!E14&gt;0,1,0)</x:f>
        <x:v>1</x:v>
      </x:c>
      <x:c r="F3617" s="21" t="n">
        <x:v>1</x:v>
      </x:c>
      <x:c r="G3617" s="23" t="str">
        <x:f>IF(E3617=F3617,"PASS","FAIL")</x:f>
        <x:v>PASS</x:v>
      </x:c>
    </x:row>
    <x:row r="3618">
      <x:c r="B3618" s="21" t="str">
        <x:v>A3612</x:v>
      </x:c>
      <x:c r="C3618" s="21" t="str">
        <x:v>standards</x:v>
      </x:c>
      <x:c r="D3618" s="21" t="str">
        <x:v>standard 14 unit formula</x:v>
      </x:c>
      <x:c r="E3618" s="21" t="n">
        <x:f>IF(ABS('GFE Standards'!F14-'GFE Standards'!E14*1000/'GFE Standards'!D14)&lt;0.000001,1,0)</x:f>
        <x:v>1</x:v>
      </x:c>
      <x:c r="F3618" s="21" t="n">
        <x:v>1</x:v>
      </x:c>
      <x:c r="G3618" s="23" t="str">
        <x:f>IF(E3618=F3618,"PASS","FAIL")</x:f>
        <x:v>PASS</x:v>
      </x:c>
    </x:row>
    <x:row r="3619">
      <x:c r="B3619" s="21" t="str">
        <x:v>A3613</x:v>
      </x:c>
      <x:c r="C3619" s="21" t="str">
        <x:v>standards</x:v>
      </x:c>
      <x:c r="D3619" s="21" t="str">
        <x:v>standard 14 evidence open</x:v>
      </x:c>
      <x:c r="E3619" s="21" t="n">
        <x:f>IF('GFE Standards'!I14="OPEN",1,0)</x:f>
        <x:v>1</x:v>
      </x:c>
      <x:c r="F3619" s="21" t="n">
        <x:v>1</x:v>
      </x:c>
      <x:c r="G3619" s="23" t="str">
        <x:f>IF(E3619=F3619,"PASS","FAIL")</x:f>
        <x:v>PASS</x:v>
      </x:c>
    </x:row>
    <x:row r="3620">
      <x:c r="B3620" s="21" t="str">
        <x:v>A3614</x:v>
      </x:c>
      <x:c r="C3620" s="21" t="str">
        <x:v>standards</x:v>
      </x:c>
      <x:c r="D3620" s="21" t="str">
        <x:v>standard 15 positive quantity</x:v>
      </x:c>
      <x:c r="E3620" s="21" t="n">
        <x:f>IF('GFE Standards'!D15&gt;0,1,0)</x:f>
        <x:v>1</x:v>
      </x:c>
      <x:c r="F3620" s="21" t="n">
        <x:v>1</x:v>
      </x:c>
      <x:c r="G3620" s="23" t="str">
        <x:f>IF(E3620=F3620,"PASS","FAIL")</x:f>
        <x:v>PASS</x:v>
      </x:c>
    </x:row>
    <x:row r="3621">
      <x:c r="B3621" s="21" t="str">
        <x:v>A3615</x:v>
      </x:c>
      <x:c r="C3621" s="21" t="str">
        <x:v>standards</x:v>
      </x:c>
      <x:c r="D3621" s="21" t="str">
        <x:v>standard 15 cost positive</x:v>
      </x:c>
      <x:c r="E3621" s="21" t="n">
        <x:f>IF('GFE Standards'!E15&gt;0,1,0)</x:f>
        <x:v>1</x:v>
      </x:c>
      <x:c r="F3621" s="21" t="n">
        <x:v>1</x:v>
      </x:c>
      <x:c r="G3621" s="23" t="str">
        <x:f>IF(E3621=F3621,"PASS","FAIL")</x:f>
        <x:v>PASS</x:v>
      </x:c>
    </x:row>
    <x:row r="3622">
      <x:c r="B3622" s="21" t="str">
        <x:v>A3616</x:v>
      </x:c>
      <x:c r="C3622" s="21" t="str">
        <x:v>standards</x:v>
      </x:c>
      <x:c r="D3622" s="21" t="str">
        <x:v>standard 15 unit formula</x:v>
      </x:c>
      <x:c r="E3622" s="21" t="n">
        <x:f>IF(ABS('GFE Standards'!F15-'GFE Standards'!E15*1000/'GFE Standards'!D15)&lt;0.000001,1,0)</x:f>
        <x:v>1</x:v>
      </x:c>
      <x:c r="F3622" s="21" t="n">
        <x:v>1</x:v>
      </x:c>
      <x:c r="G3622" s="23" t="str">
        <x:f>IF(E3622=F3622,"PASS","FAIL")</x:f>
        <x:v>PASS</x:v>
      </x:c>
    </x:row>
    <x:row r="3623">
      <x:c r="B3623" s="21" t="str">
        <x:v>A3617</x:v>
      </x:c>
      <x:c r="C3623" s="21" t="str">
        <x:v>standards</x:v>
      </x:c>
      <x:c r="D3623" s="21" t="str">
        <x:v>standard 15 evidence open</x:v>
      </x:c>
      <x:c r="E3623" s="21" t="n">
        <x:f>IF('GFE Standards'!I15="OPEN",1,0)</x:f>
        <x:v>1</x:v>
      </x:c>
      <x:c r="F3623" s="21" t="n">
        <x:v>1</x:v>
      </x:c>
      <x:c r="G3623" s="23" t="str">
        <x:f>IF(E3623=F3623,"PASS","FAIL")</x:f>
        <x:v>PASS</x:v>
      </x:c>
    </x:row>
    <x:row r="3624">
      <x:c r="B3624" s="21" t="str">
        <x:v>A3618</x:v>
      </x:c>
      <x:c r="C3624" s="21" t="str">
        <x:v>standards</x:v>
      </x:c>
      <x:c r="D3624" s="21" t="str">
        <x:v>standard 16 positive quantity</x:v>
      </x:c>
      <x:c r="E3624" s="21" t="n">
        <x:f>IF('GFE Standards'!D16&gt;0,1,0)</x:f>
        <x:v>1</x:v>
      </x:c>
      <x:c r="F3624" s="21" t="n">
        <x:v>1</x:v>
      </x:c>
      <x:c r="G3624" s="23" t="str">
        <x:f>IF(E3624=F3624,"PASS","FAIL")</x:f>
        <x:v>PASS</x:v>
      </x:c>
    </x:row>
    <x:row r="3625">
      <x:c r="B3625" s="21" t="str">
        <x:v>A3619</x:v>
      </x:c>
      <x:c r="C3625" s="21" t="str">
        <x:v>standards</x:v>
      </x:c>
      <x:c r="D3625" s="21" t="str">
        <x:v>standard 16 cost positive</x:v>
      </x:c>
      <x:c r="E3625" s="21" t="n">
        <x:f>IF('GFE Standards'!E16&gt;0,1,0)</x:f>
        <x:v>1</x:v>
      </x:c>
      <x:c r="F3625" s="21" t="n">
        <x:v>1</x:v>
      </x:c>
      <x:c r="G3625" s="23" t="str">
        <x:f>IF(E3625=F3625,"PASS","FAIL")</x:f>
        <x:v>PASS</x:v>
      </x:c>
    </x:row>
    <x:row r="3626">
      <x:c r="B3626" s="21" t="str">
        <x:v>A3620</x:v>
      </x:c>
      <x:c r="C3626" s="21" t="str">
        <x:v>standards</x:v>
      </x:c>
      <x:c r="D3626" s="21" t="str">
        <x:v>standard 16 unit formula</x:v>
      </x:c>
      <x:c r="E3626" s="21" t="n">
        <x:f>IF(ABS('GFE Standards'!F16-'GFE Standards'!E16*1000/'GFE Standards'!D16)&lt;0.000001,1,0)</x:f>
        <x:v>1</x:v>
      </x:c>
      <x:c r="F3626" s="21" t="n">
        <x:v>1</x:v>
      </x:c>
      <x:c r="G3626" s="23" t="str">
        <x:f>IF(E3626=F3626,"PASS","FAIL")</x:f>
        <x:v>PASS</x:v>
      </x:c>
    </x:row>
    <x:row r="3627">
      <x:c r="B3627" s="21" t="str">
        <x:v>A3621</x:v>
      </x:c>
      <x:c r="C3627" s="21" t="str">
        <x:v>standards</x:v>
      </x:c>
      <x:c r="D3627" s="21" t="str">
        <x:v>standard 16 evidence open</x:v>
      </x:c>
      <x:c r="E3627" s="21" t="n">
        <x:f>IF('GFE Standards'!I16="OPEN",1,0)</x:f>
        <x:v>1</x:v>
      </x:c>
      <x:c r="F3627" s="21" t="n">
        <x:v>1</x:v>
      </x:c>
      <x:c r="G3627" s="23" t="str">
        <x:f>IF(E3627=F3627,"PASS","FAIL")</x:f>
        <x:v>PASS</x:v>
      </x:c>
    </x:row>
    <x:row r="3628">
      <x:c r="B3628" s="21" t="str">
        <x:v>A3622</x:v>
      </x:c>
      <x:c r="C3628" s="21" t="str">
        <x:v>standards</x:v>
      </x:c>
      <x:c r="D3628" s="21" t="str">
        <x:v>standard 17 positive quantity</x:v>
      </x:c>
      <x:c r="E3628" s="21" t="n">
        <x:f>IF('GFE Standards'!D17&gt;0,1,0)</x:f>
        <x:v>1</x:v>
      </x:c>
      <x:c r="F3628" s="21" t="n">
        <x:v>1</x:v>
      </x:c>
      <x:c r="G3628" s="23" t="str">
        <x:f>IF(E3628=F3628,"PASS","FAIL")</x:f>
        <x:v>PASS</x:v>
      </x:c>
    </x:row>
    <x:row r="3629">
      <x:c r="B3629" s="21" t="str">
        <x:v>A3623</x:v>
      </x:c>
      <x:c r="C3629" s="21" t="str">
        <x:v>standards</x:v>
      </x:c>
      <x:c r="D3629" s="21" t="str">
        <x:v>standard 17 cost positive</x:v>
      </x:c>
      <x:c r="E3629" s="21" t="n">
        <x:f>IF('GFE Standards'!E17&gt;0,1,0)</x:f>
        <x:v>1</x:v>
      </x:c>
      <x:c r="F3629" s="21" t="n">
        <x:v>1</x:v>
      </x:c>
      <x:c r="G3629" s="23" t="str">
        <x:f>IF(E3629=F3629,"PASS","FAIL")</x:f>
        <x:v>PASS</x:v>
      </x:c>
    </x:row>
    <x:row r="3630">
      <x:c r="B3630" s="21" t="str">
        <x:v>A3624</x:v>
      </x:c>
      <x:c r="C3630" s="21" t="str">
        <x:v>standards</x:v>
      </x:c>
      <x:c r="D3630" s="21" t="str">
        <x:v>standard 17 unit formula</x:v>
      </x:c>
      <x:c r="E3630" s="21" t="n">
        <x:f>IF(ABS('GFE Standards'!F17-'GFE Standards'!E17*1000/'GFE Standards'!D17)&lt;0.000001,1,0)</x:f>
        <x:v>1</x:v>
      </x:c>
      <x:c r="F3630" s="21" t="n">
        <x:v>1</x:v>
      </x:c>
      <x:c r="G3630" s="23" t="str">
        <x:f>IF(E3630=F3630,"PASS","FAIL")</x:f>
        <x:v>PASS</x:v>
      </x:c>
    </x:row>
    <x:row r="3631">
      <x:c r="B3631" s="21" t="str">
        <x:v>A3625</x:v>
      </x:c>
      <x:c r="C3631" s="21" t="str">
        <x:v>standards</x:v>
      </x:c>
      <x:c r="D3631" s="21" t="str">
        <x:v>standard 17 evidence open</x:v>
      </x:c>
      <x:c r="E3631" s="21" t="n">
        <x:f>IF('GFE Standards'!I17="OPEN",1,0)</x:f>
        <x:v>1</x:v>
      </x:c>
      <x:c r="F3631" s="21" t="n">
        <x:v>1</x:v>
      </x:c>
      <x:c r="G3631" s="23" t="str">
        <x:f>IF(E3631=F3631,"PASS","FAIL")</x:f>
        <x:v>PASS</x:v>
      </x:c>
    </x:row>
    <x:row r="3632">
      <x:c r="B3632" s="21" t="str">
        <x:v>A3626</x:v>
      </x:c>
      <x:c r="C3632" s="21" t="str">
        <x:v>standards</x:v>
      </x:c>
      <x:c r="D3632" s="21" t="str">
        <x:v>standard 18 positive quantity</x:v>
      </x:c>
      <x:c r="E3632" s="21" t="n">
        <x:f>IF('GFE Standards'!D18&gt;0,1,0)</x:f>
        <x:v>1</x:v>
      </x:c>
      <x:c r="F3632" s="21" t="n">
        <x:v>1</x:v>
      </x:c>
      <x:c r="G3632" s="23" t="str">
        <x:f>IF(E3632=F3632,"PASS","FAIL")</x:f>
        <x:v>PASS</x:v>
      </x:c>
    </x:row>
    <x:row r="3633">
      <x:c r="B3633" s="21" t="str">
        <x:v>A3627</x:v>
      </x:c>
      <x:c r="C3633" s="21" t="str">
        <x:v>standards</x:v>
      </x:c>
      <x:c r="D3633" s="21" t="str">
        <x:v>standard 18 cost positive</x:v>
      </x:c>
      <x:c r="E3633" s="21" t="n">
        <x:f>IF('GFE Standards'!E18&gt;0,1,0)</x:f>
        <x:v>1</x:v>
      </x:c>
      <x:c r="F3633" s="21" t="n">
        <x:v>1</x:v>
      </x:c>
      <x:c r="G3633" s="23" t="str">
        <x:f>IF(E3633=F3633,"PASS","FAIL")</x:f>
        <x:v>PASS</x:v>
      </x:c>
    </x:row>
    <x:row r="3634">
      <x:c r="B3634" s="21" t="str">
        <x:v>A3628</x:v>
      </x:c>
      <x:c r="C3634" s="21" t="str">
        <x:v>standards</x:v>
      </x:c>
      <x:c r="D3634" s="21" t="str">
        <x:v>standard 18 unit formula</x:v>
      </x:c>
      <x:c r="E3634" s="21" t="n">
        <x:f>IF(ABS('GFE Standards'!F18-'GFE Standards'!E18*1000/'GFE Standards'!D18)&lt;0.000001,1,0)</x:f>
        <x:v>1</x:v>
      </x:c>
      <x:c r="F3634" s="21" t="n">
        <x:v>1</x:v>
      </x:c>
      <x:c r="G3634" s="23" t="str">
        <x:f>IF(E3634=F3634,"PASS","FAIL")</x:f>
        <x:v>PASS</x:v>
      </x:c>
    </x:row>
    <x:row r="3635">
      <x:c r="B3635" s="21" t="str">
        <x:v>A3629</x:v>
      </x:c>
      <x:c r="C3635" s="21" t="str">
        <x:v>standards</x:v>
      </x:c>
      <x:c r="D3635" s="21" t="str">
        <x:v>standard 18 evidence open</x:v>
      </x:c>
      <x:c r="E3635" s="21" t="n">
        <x:f>IF('GFE Standards'!I18="OPEN",1,0)</x:f>
        <x:v>1</x:v>
      </x:c>
      <x:c r="F3635" s="21" t="n">
        <x:v>1</x:v>
      </x:c>
      <x:c r="G3635" s="23" t="str">
        <x:f>IF(E3635=F3635,"PASS","FAIL")</x:f>
        <x:v>PASS</x:v>
      </x:c>
    </x:row>
    <x:row r="3636">
      <x:c r="B3636" s="21" t="str">
        <x:v>A3630</x:v>
      </x:c>
      <x:c r="C3636" s="21" t="str">
        <x:v>standards</x:v>
      </x:c>
      <x:c r="D3636" s="21" t="str">
        <x:v>standard 19 positive quantity</x:v>
      </x:c>
      <x:c r="E3636" s="21" t="n">
        <x:f>IF('GFE Standards'!D19&gt;0,1,0)</x:f>
        <x:v>1</x:v>
      </x:c>
      <x:c r="F3636" s="21" t="n">
        <x:v>1</x:v>
      </x:c>
      <x:c r="G3636" s="23" t="str">
        <x:f>IF(E3636=F3636,"PASS","FAIL")</x:f>
        <x:v>PASS</x:v>
      </x:c>
    </x:row>
    <x:row r="3637">
      <x:c r="B3637" s="21" t="str">
        <x:v>A3631</x:v>
      </x:c>
      <x:c r="C3637" s="21" t="str">
        <x:v>standards</x:v>
      </x:c>
      <x:c r="D3637" s="21" t="str">
        <x:v>standard 19 cost positive</x:v>
      </x:c>
      <x:c r="E3637" s="21" t="n">
        <x:f>IF('GFE Standards'!E19&gt;0,1,0)</x:f>
        <x:v>1</x:v>
      </x:c>
      <x:c r="F3637" s="21" t="n">
        <x:v>1</x:v>
      </x:c>
      <x:c r="G3637" s="23" t="str">
        <x:f>IF(E3637=F3637,"PASS","FAIL")</x:f>
        <x:v>PASS</x:v>
      </x:c>
    </x:row>
    <x:row r="3638">
      <x:c r="B3638" s="21" t="str">
        <x:v>A3632</x:v>
      </x:c>
      <x:c r="C3638" s="21" t="str">
        <x:v>standards</x:v>
      </x:c>
      <x:c r="D3638" s="21" t="str">
        <x:v>standard 19 unit formula</x:v>
      </x:c>
      <x:c r="E3638" s="21" t="n">
        <x:f>IF(ABS('GFE Standards'!F19-'GFE Standards'!E19*1000/'GFE Standards'!D19)&lt;0.000001,1,0)</x:f>
        <x:v>1</x:v>
      </x:c>
      <x:c r="F3638" s="21" t="n">
        <x:v>1</x:v>
      </x:c>
      <x:c r="G3638" s="23" t="str">
        <x:f>IF(E3638=F3638,"PASS","FAIL")</x:f>
        <x:v>PASS</x:v>
      </x:c>
    </x:row>
    <x:row r="3639">
      <x:c r="B3639" s="21" t="str">
        <x:v>A3633</x:v>
      </x:c>
      <x:c r="C3639" s="21" t="str">
        <x:v>standards</x:v>
      </x:c>
      <x:c r="D3639" s="21" t="str">
        <x:v>standard 19 evidence open</x:v>
      </x:c>
      <x:c r="E3639" s="21" t="n">
        <x:f>IF('GFE Standards'!I19="OPEN",1,0)</x:f>
        <x:v>1</x:v>
      </x:c>
      <x:c r="F3639" s="21" t="n">
        <x:v>1</x:v>
      </x:c>
      <x:c r="G3639" s="23" t="str">
        <x:f>IF(E3639=F3639,"PASS","FAIL")</x:f>
        <x:v>PASS</x:v>
      </x:c>
    </x:row>
    <x:row r="3640">
      <x:c r="B3640" s="21" t="str">
        <x:v>A3634</x:v>
      </x:c>
      <x:c r="C3640" s="21" t="str">
        <x:v>standards</x:v>
      </x:c>
      <x:c r="D3640" s="21" t="str">
        <x:v>standard 20 positive quantity</x:v>
      </x:c>
      <x:c r="E3640" s="21" t="n">
        <x:f>IF('GFE Standards'!D20&gt;0,1,0)</x:f>
        <x:v>1</x:v>
      </x:c>
      <x:c r="F3640" s="21" t="n">
        <x:v>1</x:v>
      </x:c>
      <x:c r="G3640" s="23" t="str">
        <x:f>IF(E3640=F3640,"PASS","FAIL")</x:f>
        <x:v>PASS</x:v>
      </x:c>
    </x:row>
    <x:row r="3641">
      <x:c r="B3641" s="21" t="str">
        <x:v>A3635</x:v>
      </x:c>
      <x:c r="C3641" s="21" t="str">
        <x:v>standards</x:v>
      </x:c>
      <x:c r="D3641" s="21" t="str">
        <x:v>standard 20 cost positive</x:v>
      </x:c>
      <x:c r="E3641" s="21" t="n">
        <x:f>IF('GFE Standards'!E20&gt;0,1,0)</x:f>
        <x:v>1</x:v>
      </x:c>
      <x:c r="F3641" s="21" t="n">
        <x:v>1</x:v>
      </x:c>
      <x:c r="G3641" s="23" t="str">
        <x:f>IF(E3641=F3641,"PASS","FAIL")</x:f>
        <x:v>PASS</x:v>
      </x:c>
    </x:row>
    <x:row r="3642">
      <x:c r="B3642" s="21" t="str">
        <x:v>A3636</x:v>
      </x:c>
      <x:c r="C3642" s="21" t="str">
        <x:v>standards</x:v>
      </x:c>
      <x:c r="D3642" s="21" t="str">
        <x:v>standard 20 unit formula</x:v>
      </x:c>
      <x:c r="E3642" s="21" t="n">
        <x:f>IF(ABS('GFE Standards'!F20-'GFE Standards'!E20*1000/'GFE Standards'!D20)&lt;0.000001,1,0)</x:f>
        <x:v>1</x:v>
      </x:c>
      <x:c r="F3642" s="21" t="n">
        <x:v>1</x:v>
      </x:c>
      <x:c r="G3642" s="23" t="str">
        <x:f>IF(E3642=F3642,"PASS","FAIL")</x:f>
        <x:v>PASS</x:v>
      </x:c>
    </x:row>
    <x:row r="3643">
      <x:c r="B3643" s="21" t="str">
        <x:v>A3637</x:v>
      </x:c>
      <x:c r="C3643" s="21" t="str">
        <x:v>standards</x:v>
      </x:c>
      <x:c r="D3643" s="21" t="str">
        <x:v>standard 20 evidence open</x:v>
      </x:c>
      <x:c r="E3643" s="21" t="n">
        <x:f>IF('GFE Standards'!I20="OPEN",1,0)</x:f>
        <x:v>1</x:v>
      </x:c>
      <x:c r="F3643" s="21" t="n">
        <x:v>1</x:v>
      </x:c>
      <x:c r="G3643" s="23" t="str">
        <x:f>IF(E3643=F3643,"PASS","FAIL")</x:f>
        <x:v>PASS</x:v>
      </x:c>
    </x:row>
    <x:row r="3644">
      <x:c r="B3644" s="21" t="str">
        <x:v>A3638</x:v>
      </x:c>
      <x:c r="C3644" s="21" t="str">
        <x:v>standards</x:v>
      </x:c>
      <x:c r="D3644" s="21" t="str">
        <x:v>standard 21 positive quantity</x:v>
      </x:c>
      <x:c r="E3644" s="21" t="n">
        <x:f>IF('GFE Standards'!D21&gt;0,1,0)</x:f>
        <x:v>1</x:v>
      </x:c>
      <x:c r="F3644" s="21" t="n">
        <x:v>1</x:v>
      </x:c>
      <x:c r="G3644" s="23" t="str">
        <x:f>IF(E3644=F3644,"PASS","FAIL")</x:f>
        <x:v>PASS</x:v>
      </x:c>
    </x:row>
    <x:row r="3645">
      <x:c r="B3645" s="21" t="str">
        <x:v>A3639</x:v>
      </x:c>
      <x:c r="C3645" s="21" t="str">
        <x:v>standards</x:v>
      </x:c>
      <x:c r="D3645" s="21" t="str">
        <x:v>standard 21 cost positive</x:v>
      </x:c>
      <x:c r="E3645" s="21" t="n">
        <x:f>IF('GFE Standards'!E21&gt;0,1,0)</x:f>
        <x:v>1</x:v>
      </x:c>
      <x:c r="F3645" s="21" t="n">
        <x:v>1</x:v>
      </x:c>
      <x:c r="G3645" s="23" t="str">
        <x:f>IF(E3645=F3645,"PASS","FAIL")</x:f>
        <x:v>PASS</x:v>
      </x:c>
    </x:row>
    <x:row r="3646">
      <x:c r="B3646" s="21" t="str">
        <x:v>A3640</x:v>
      </x:c>
      <x:c r="C3646" s="21" t="str">
        <x:v>standards</x:v>
      </x:c>
      <x:c r="D3646" s="21" t="str">
        <x:v>standard 21 unit formula</x:v>
      </x:c>
      <x:c r="E3646" s="21" t="n">
        <x:f>IF(ABS('GFE Standards'!F21-'GFE Standards'!E21*1000/'GFE Standards'!D21)&lt;0.000001,1,0)</x:f>
        <x:v>1</x:v>
      </x:c>
      <x:c r="F3646" s="21" t="n">
        <x:v>1</x:v>
      </x:c>
      <x:c r="G3646" s="23" t="str">
        <x:f>IF(E3646=F3646,"PASS","FAIL")</x:f>
        <x:v>PASS</x:v>
      </x:c>
    </x:row>
    <x:row r="3647">
      <x:c r="B3647" s="21" t="str">
        <x:v>A3641</x:v>
      </x:c>
      <x:c r="C3647" s="21" t="str">
        <x:v>standards</x:v>
      </x:c>
      <x:c r="D3647" s="21" t="str">
        <x:v>standard 21 evidence open</x:v>
      </x:c>
      <x:c r="E3647" s="21" t="n">
        <x:f>IF('GFE Standards'!I21="OPEN",1,0)</x:f>
        <x:v>1</x:v>
      </x:c>
      <x:c r="F3647" s="21" t="n">
        <x:v>1</x:v>
      </x:c>
      <x:c r="G3647" s="23" t="str">
        <x:f>IF(E3647=F3647,"PASS","FAIL")</x:f>
        <x:v>PASS</x:v>
      </x:c>
    </x:row>
    <x:row r="3648">
      <x:c r="B3648" s="21" t="str">
        <x:v>A3642</x:v>
      </x:c>
      <x:c r="C3648" s="21" t="str">
        <x:v>long lead</x:v>
      </x:c>
      <x:c r="D3648" s="21" t="str">
        <x:v>lead 7 positive duration</x:v>
      </x:c>
      <x:c r="E3648" s="21" t="n">
        <x:f>IF('Long Leads'!F7&gt;0,1,0)</x:f>
        <x:v>1</x:v>
      </x:c>
      <x:c r="F3648" s="21" t="n">
        <x:v>1</x:v>
      </x:c>
      <x:c r="G3648" s="23" t="str">
        <x:f>IF(E3648=F3648,"PASS","FAIL")</x:f>
        <x:v>PASS</x:v>
      </x:c>
    </x:row>
    <x:row r="3649">
      <x:c r="B3649" s="21" t="str">
        <x:v>A3643</x:v>
      </x:c>
      <x:c r="C3649" s="21" t="str">
        <x:v>long lead</x:v>
      </x:c>
      <x:c r="D3649" s="21" t="str">
        <x:v>lead 7 order plus lead</x:v>
      </x:c>
      <x:c r="E3649" s="21" t="n">
        <x:f>IF('Long Leads'!H7+'Long Leads'!F7&lt;='Long Leads'!G7,1,0)</x:f>
        <x:v>1</x:v>
      </x:c>
      <x:c r="F3649" s="21" t="n">
        <x:v>1</x:v>
      </x:c>
      <x:c r="G3649" s="23" t="str">
        <x:f>IF(E3649=F3649,"PASS","FAIL")</x:f>
        <x:v>PASS</x:v>
      </x:c>
    </x:row>
    <x:row r="3650">
      <x:c r="B3650" s="21" t="str">
        <x:v>A3644</x:v>
      </x:c>
      <x:c r="C3650" s="21" t="str">
        <x:v>long lead</x:v>
      </x:c>
      <x:c r="D3650" s="21" t="str">
        <x:v>lead 7 after freeze</x:v>
      </x:c>
      <x:c r="E3650" s="21" t="n">
        <x:f>IF('Long Leads'!H7&gt;='Long Leads'!I7,1,0)</x:f>
        <x:v>1</x:v>
      </x:c>
      <x:c r="F3650" s="21" t="n">
        <x:v>1</x:v>
      </x:c>
      <x:c r="G3650" s="23" t="str">
        <x:f>IF(E3650=F3650,"PASS","FAIL")</x:f>
        <x:v>PASS</x:v>
      </x:c>
    </x:row>
    <x:row r="3651">
      <x:c r="B3651" s="21" t="str">
        <x:v>A3645</x:v>
      </x:c>
      <x:c r="C3651" s="21" t="str">
        <x:v>long lead</x:v>
      </x:c>
      <x:c r="D3651" s="21" t="str">
        <x:v>lead 7 margin formula</x:v>
      </x:c>
      <x:c r="E3651" s="21" t="n">
        <x:f>IF('Long Leads'!J7='Long Leads'!H7-'Long Leads'!I7,1,0)</x:f>
        <x:v>1</x:v>
      </x:c>
      <x:c r="F3651" s="21" t="n">
        <x:v>1</x:v>
      </x:c>
      <x:c r="G3651" s="23" t="str">
        <x:f>IF(E3651=F3651,"PASS","FAIL")</x:f>
        <x:v>PASS</x:v>
      </x:c>
    </x:row>
    <x:row r="3652">
      <x:c r="B3652" s="21" t="str">
        <x:v>A3646</x:v>
      </x:c>
      <x:c r="C3652" s="21" t="str">
        <x:v>long lead</x:v>
      </x:c>
      <x:c r="D3652" s="21" t="str">
        <x:v>lead 7 evidence open</x:v>
      </x:c>
      <x:c r="E3652" s="21" t="n">
        <x:f>IF('Long Leads'!K7="OPEN",1,0)</x:f>
        <x:v>1</x:v>
      </x:c>
      <x:c r="F3652" s="21" t="n">
        <x:v>1</x:v>
      </x:c>
      <x:c r="G3652" s="23" t="str">
        <x:f>IF(E3652=F3652,"PASS","FAIL")</x:f>
        <x:v>PASS</x:v>
      </x:c>
    </x:row>
    <x:row r="3653">
      <x:c r="B3653" s="21" t="str">
        <x:v>A3647</x:v>
      </x:c>
      <x:c r="C3653" s="21" t="str">
        <x:v>long lead</x:v>
      </x:c>
      <x:c r="D3653" s="21" t="str">
        <x:v>lead 8 positive duration</x:v>
      </x:c>
      <x:c r="E3653" s="21" t="n">
        <x:f>IF('Long Leads'!F8&gt;0,1,0)</x:f>
        <x:v>1</x:v>
      </x:c>
      <x:c r="F3653" s="21" t="n">
        <x:v>1</x:v>
      </x:c>
      <x:c r="G3653" s="23" t="str">
        <x:f>IF(E3653=F3653,"PASS","FAIL")</x:f>
        <x:v>PASS</x:v>
      </x:c>
    </x:row>
    <x:row r="3654">
      <x:c r="B3654" s="21" t="str">
        <x:v>A3648</x:v>
      </x:c>
      <x:c r="C3654" s="21" t="str">
        <x:v>long lead</x:v>
      </x:c>
      <x:c r="D3654" s="21" t="str">
        <x:v>lead 8 order plus lead</x:v>
      </x:c>
      <x:c r="E3654" s="21" t="n">
        <x:f>IF('Long Leads'!H8+'Long Leads'!F8&lt;='Long Leads'!G8,1,0)</x:f>
        <x:v>1</x:v>
      </x:c>
      <x:c r="F3654" s="21" t="n">
        <x:v>1</x:v>
      </x:c>
      <x:c r="G3654" s="23" t="str">
        <x:f>IF(E3654=F3654,"PASS","FAIL")</x:f>
        <x:v>PASS</x:v>
      </x:c>
    </x:row>
    <x:row r="3655">
      <x:c r="B3655" s="21" t="str">
        <x:v>A3649</x:v>
      </x:c>
      <x:c r="C3655" s="21" t="str">
        <x:v>long lead</x:v>
      </x:c>
      <x:c r="D3655" s="21" t="str">
        <x:v>lead 8 after freeze</x:v>
      </x:c>
      <x:c r="E3655" s="21" t="n">
        <x:f>IF('Long Leads'!H8&gt;='Long Leads'!I8,1,0)</x:f>
        <x:v>1</x:v>
      </x:c>
      <x:c r="F3655" s="21" t="n">
        <x:v>1</x:v>
      </x:c>
      <x:c r="G3655" s="23" t="str">
        <x:f>IF(E3655=F3655,"PASS","FAIL")</x:f>
        <x:v>PASS</x:v>
      </x:c>
    </x:row>
    <x:row r="3656">
      <x:c r="B3656" s="21" t="str">
        <x:v>A3650</x:v>
      </x:c>
      <x:c r="C3656" s="21" t="str">
        <x:v>long lead</x:v>
      </x:c>
      <x:c r="D3656" s="21" t="str">
        <x:v>lead 8 margin formula</x:v>
      </x:c>
      <x:c r="E3656" s="21" t="n">
        <x:f>IF('Long Leads'!J8='Long Leads'!H8-'Long Leads'!I8,1,0)</x:f>
        <x:v>1</x:v>
      </x:c>
      <x:c r="F3656" s="21" t="n">
        <x:v>1</x:v>
      </x:c>
      <x:c r="G3656" s="23" t="str">
        <x:f>IF(E3656=F3656,"PASS","FAIL")</x:f>
        <x:v>PASS</x:v>
      </x:c>
    </x:row>
    <x:row r="3657">
      <x:c r="B3657" s="21" t="str">
        <x:v>A3651</x:v>
      </x:c>
      <x:c r="C3657" s="21" t="str">
        <x:v>long lead</x:v>
      </x:c>
      <x:c r="D3657" s="21" t="str">
        <x:v>lead 8 evidence open</x:v>
      </x:c>
      <x:c r="E3657" s="21" t="n">
        <x:f>IF('Long Leads'!K8="OPEN",1,0)</x:f>
        <x:v>1</x:v>
      </x:c>
      <x:c r="F3657" s="21" t="n">
        <x:v>1</x:v>
      </x:c>
      <x:c r="G3657" s="23" t="str">
        <x:f>IF(E3657=F3657,"PASS","FAIL")</x:f>
        <x:v>PASS</x:v>
      </x:c>
    </x:row>
    <x:row r="3658">
      <x:c r="B3658" s="21" t="str">
        <x:v>A3652</x:v>
      </x:c>
      <x:c r="C3658" s="21" t="str">
        <x:v>long lead</x:v>
      </x:c>
      <x:c r="D3658" s="21" t="str">
        <x:v>lead 9 positive duration</x:v>
      </x:c>
      <x:c r="E3658" s="21" t="n">
        <x:f>IF('Long Leads'!F9&gt;0,1,0)</x:f>
        <x:v>1</x:v>
      </x:c>
      <x:c r="F3658" s="21" t="n">
        <x:v>1</x:v>
      </x:c>
      <x:c r="G3658" s="23" t="str">
        <x:f>IF(E3658=F3658,"PASS","FAIL")</x:f>
        <x:v>PASS</x:v>
      </x:c>
    </x:row>
    <x:row r="3659">
      <x:c r="B3659" s="21" t="str">
        <x:v>A3653</x:v>
      </x:c>
      <x:c r="C3659" s="21" t="str">
        <x:v>long lead</x:v>
      </x:c>
      <x:c r="D3659" s="21" t="str">
        <x:v>lead 9 order plus lead</x:v>
      </x:c>
      <x:c r="E3659" s="21" t="n">
        <x:f>IF('Long Leads'!H9+'Long Leads'!F9&lt;='Long Leads'!G9,1,0)</x:f>
        <x:v>1</x:v>
      </x:c>
      <x:c r="F3659" s="21" t="n">
        <x:v>1</x:v>
      </x:c>
      <x:c r="G3659" s="23" t="str">
        <x:f>IF(E3659=F3659,"PASS","FAIL")</x:f>
        <x:v>PASS</x:v>
      </x:c>
    </x:row>
    <x:row r="3660">
      <x:c r="B3660" s="21" t="str">
        <x:v>A3654</x:v>
      </x:c>
      <x:c r="C3660" s="21" t="str">
        <x:v>long lead</x:v>
      </x:c>
      <x:c r="D3660" s="21" t="str">
        <x:v>lead 9 after freeze</x:v>
      </x:c>
      <x:c r="E3660" s="21" t="n">
        <x:f>IF('Long Leads'!H9&gt;='Long Leads'!I9,1,0)</x:f>
        <x:v>1</x:v>
      </x:c>
      <x:c r="F3660" s="21" t="n">
        <x:v>1</x:v>
      </x:c>
      <x:c r="G3660" s="23" t="str">
        <x:f>IF(E3660=F3660,"PASS","FAIL")</x:f>
        <x:v>PASS</x:v>
      </x:c>
    </x:row>
    <x:row r="3661">
      <x:c r="B3661" s="21" t="str">
        <x:v>A3655</x:v>
      </x:c>
      <x:c r="C3661" s="21" t="str">
        <x:v>long lead</x:v>
      </x:c>
      <x:c r="D3661" s="21" t="str">
        <x:v>lead 9 margin formula</x:v>
      </x:c>
      <x:c r="E3661" s="21" t="n">
        <x:f>IF('Long Leads'!J9='Long Leads'!H9-'Long Leads'!I9,1,0)</x:f>
        <x:v>1</x:v>
      </x:c>
      <x:c r="F3661" s="21" t="n">
        <x:v>1</x:v>
      </x:c>
      <x:c r="G3661" s="23" t="str">
        <x:f>IF(E3661=F3661,"PASS","FAIL")</x:f>
        <x:v>PASS</x:v>
      </x:c>
    </x:row>
    <x:row r="3662">
      <x:c r="B3662" s="21" t="str">
        <x:v>A3656</x:v>
      </x:c>
      <x:c r="C3662" s="21" t="str">
        <x:v>long lead</x:v>
      </x:c>
      <x:c r="D3662" s="21" t="str">
        <x:v>lead 9 evidence open</x:v>
      </x:c>
      <x:c r="E3662" s="21" t="n">
        <x:f>IF('Long Leads'!K9="OPEN",1,0)</x:f>
        <x:v>1</x:v>
      </x:c>
      <x:c r="F3662" s="21" t="n">
        <x:v>1</x:v>
      </x:c>
      <x:c r="G3662" s="23" t="str">
        <x:f>IF(E3662=F3662,"PASS","FAIL")</x:f>
        <x:v>PASS</x:v>
      </x:c>
    </x:row>
    <x:row r="3663">
      <x:c r="B3663" s="21" t="str">
        <x:v>A3657</x:v>
      </x:c>
      <x:c r="C3663" s="21" t="str">
        <x:v>long lead</x:v>
      </x:c>
      <x:c r="D3663" s="21" t="str">
        <x:v>lead 10 positive duration</x:v>
      </x:c>
      <x:c r="E3663" s="21" t="n">
        <x:f>IF('Long Leads'!F10&gt;0,1,0)</x:f>
        <x:v>1</x:v>
      </x:c>
      <x:c r="F3663" s="21" t="n">
        <x:v>1</x:v>
      </x:c>
      <x:c r="G3663" s="23" t="str">
        <x:f>IF(E3663=F3663,"PASS","FAIL")</x:f>
        <x:v>PASS</x:v>
      </x:c>
    </x:row>
    <x:row r="3664">
      <x:c r="B3664" s="21" t="str">
        <x:v>A3658</x:v>
      </x:c>
      <x:c r="C3664" s="21" t="str">
        <x:v>long lead</x:v>
      </x:c>
      <x:c r="D3664" s="21" t="str">
        <x:v>lead 10 order plus lead</x:v>
      </x:c>
      <x:c r="E3664" s="21" t="n">
        <x:f>IF('Long Leads'!H10+'Long Leads'!F10&lt;='Long Leads'!G10,1,0)</x:f>
        <x:v>1</x:v>
      </x:c>
      <x:c r="F3664" s="21" t="n">
        <x:v>1</x:v>
      </x:c>
      <x:c r="G3664" s="23" t="str">
        <x:f>IF(E3664=F3664,"PASS","FAIL")</x:f>
        <x:v>PASS</x:v>
      </x:c>
    </x:row>
    <x:row r="3665">
      <x:c r="B3665" s="21" t="str">
        <x:v>A3659</x:v>
      </x:c>
      <x:c r="C3665" s="21" t="str">
        <x:v>long lead</x:v>
      </x:c>
      <x:c r="D3665" s="21" t="str">
        <x:v>lead 10 after freeze</x:v>
      </x:c>
      <x:c r="E3665" s="21" t="n">
        <x:f>IF('Long Leads'!H10&gt;='Long Leads'!I10,1,0)</x:f>
        <x:v>1</x:v>
      </x:c>
      <x:c r="F3665" s="21" t="n">
        <x:v>1</x:v>
      </x:c>
      <x:c r="G3665" s="23" t="str">
        <x:f>IF(E3665=F3665,"PASS","FAIL")</x:f>
        <x:v>PASS</x:v>
      </x:c>
    </x:row>
    <x:row r="3666">
      <x:c r="B3666" s="21" t="str">
        <x:v>A3660</x:v>
      </x:c>
      <x:c r="C3666" s="21" t="str">
        <x:v>long lead</x:v>
      </x:c>
      <x:c r="D3666" s="21" t="str">
        <x:v>lead 10 margin formula</x:v>
      </x:c>
      <x:c r="E3666" s="21" t="n">
        <x:f>IF('Long Leads'!J10='Long Leads'!H10-'Long Leads'!I10,1,0)</x:f>
        <x:v>1</x:v>
      </x:c>
      <x:c r="F3666" s="21" t="n">
        <x:v>1</x:v>
      </x:c>
      <x:c r="G3666" s="23" t="str">
        <x:f>IF(E3666=F3666,"PASS","FAIL")</x:f>
        <x:v>PASS</x:v>
      </x:c>
    </x:row>
    <x:row r="3667">
      <x:c r="B3667" s="21" t="str">
        <x:v>A3661</x:v>
      </x:c>
      <x:c r="C3667" s="21" t="str">
        <x:v>long lead</x:v>
      </x:c>
      <x:c r="D3667" s="21" t="str">
        <x:v>lead 10 evidence open</x:v>
      </x:c>
      <x:c r="E3667" s="21" t="n">
        <x:f>IF('Long Leads'!K10="OPEN",1,0)</x:f>
        <x:v>1</x:v>
      </x:c>
      <x:c r="F3667" s="21" t="n">
        <x:v>1</x:v>
      </x:c>
      <x:c r="G3667" s="23" t="str">
        <x:f>IF(E3667=F3667,"PASS","FAIL")</x:f>
        <x:v>PASS</x:v>
      </x:c>
    </x:row>
    <x:row r="3668">
      <x:c r="B3668" s="21" t="str">
        <x:v>A3662</x:v>
      </x:c>
      <x:c r="C3668" s="21" t="str">
        <x:v>long lead</x:v>
      </x:c>
      <x:c r="D3668" s="21" t="str">
        <x:v>lead 11 positive duration</x:v>
      </x:c>
      <x:c r="E3668" s="21" t="n">
        <x:f>IF('Long Leads'!F11&gt;0,1,0)</x:f>
        <x:v>1</x:v>
      </x:c>
      <x:c r="F3668" s="21" t="n">
        <x:v>1</x:v>
      </x:c>
      <x:c r="G3668" s="23" t="str">
        <x:f>IF(E3668=F3668,"PASS","FAIL")</x:f>
        <x:v>PASS</x:v>
      </x:c>
    </x:row>
    <x:row r="3669">
      <x:c r="B3669" s="21" t="str">
        <x:v>A3663</x:v>
      </x:c>
      <x:c r="C3669" s="21" t="str">
        <x:v>long lead</x:v>
      </x:c>
      <x:c r="D3669" s="21" t="str">
        <x:v>lead 11 order plus lead</x:v>
      </x:c>
      <x:c r="E3669" s="21" t="n">
        <x:f>IF('Long Leads'!H11+'Long Leads'!F11&lt;='Long Leads'!G11,1,0)</x:f>
        <x:v>1</x:v>
      </x:c>
      <x:c r="F3669" s="21" t="n">
        <x:v>1</x:v>
      </x:c>
      <x:c r="G3669" s="23" t="str">
        <x:f>IF(E3669=F3669,"PASS","FAIL")</x:f>
        <x:v>PASS</x:v>
      </x:c>
    </x:row>
    <x:row r="3670">
      <x:c r="B3670" s="21" t="str">
        <x:v>A3664</x:v>
      </x:c>
      <x:c r="C3670" s="21" t="str">
        <x:v>long lead</x:v>
      </x:c>
      <x:c r="D3670" s="21" t="str">
        <x:v>lead 11 after freeze</x:v>
      </x:c>
      <x:c r="E3670" s="21" t="n">
        <x:f>IF('Long Leads'!H11&gt;='Long Leads'!I11,1,0)</x:f>
        <x:v>1</x:v>
      </x:c>
      <x:c r="F3670" s="21" t="n">
        <x:v>1</x:v>
      </x:c>
      <x:c r="G3670" s="23" t="str">
        <x:f>IF(E3670=F3670,"PASS","FAIL")</x:f>
        <x:v>PASS</x:v>
      </x:c>
    </x:row>
    <x:row r="3671">
      <x:c r="B3671" s="21" t="str">
        <x:v>A3665</x:v>
      </x:c>
      <x:c r="C3671" s="21" t="str">
        <x:v>long lead</x:v>
      </x:c>
      <x:c r="D3671" s="21" t="str">
        <x:v>lead 11 margin formula</x:v>
      </x:c>
      <x:c r="E3671" s="21" t="n">
        <x:f>IF('Long Leads'!J11='Long Leads'!H11-'Long Leads'!I11,1,0)</x:f>
        <x:v>1</x:v>
      </x:c>
      <x:c r="F3671" s="21" t="n">
        <x:v>1</x:v>
      </x:c>
      <x:c r="G3671" s="23" t="str">
        <x:f>IF(E3671=F3671,"PASS","FAIL")</x:f>
        <x:v>PASS</x:v>
      </x:c>
    </x:row>
    <x:row r="3672">
      <x:c r="B3672" s="21" t="str">
        <x:v>A3666</x:v>
      </x:c>
      <x:c r="C3672" s="21" t="str">
        <x:v>long lead</x:v>
      </x:c>
      <x:c r="D3672" s="21" t="str">
        <x:v>lead 11 evidence open</x:v>
      </x:c>
      <x:c r="E3672" s="21" t="n">
        <x:f>IF('Long Leads'!K11="OPEN",1,0)</x:f>
        <x:v>1</x:v>
      </x:c>
      <x:c r="F3672" s="21" t="n">
        <x:v>1</x:v>
      </x:c>
      <x:c r="G3672" s="23" t="str">
        <x:f>IF(E3672=F3672,"PASS","FAIL")</x:f>
        <x:v>PASS</x:v>
      </x:c>
    </x:row>
    <x:row r="3673">
      <x:c r="B3673" s="21" t="str">
        <x:v>A3667</x:v>
      </x:c>
      <x:c r="C3673" s="21" t="str">
        <x:v>long lead</x:v>
      </x:c>
      <x:c r="D3673" s="21" t="str">
        <x:v>lead 12 positive duration</x:v>
      </x:c>
      <x:c r="E3673" s="21" t="n">
        <x:f>IF('Long Leads'!F12&gt;0,1,0)</x:f>
        <x:v>1</x:v>
      </x:c>
      <x:c r="F3673" s="21" t="n">
        <x:v>1</x:v>
      </x:c>
      <x:c r="G3673" s="23" t="str">
        <x:f>IF(E3673=F3673,"PASS","FAIL")</x:f>
        <x:v>PASS</x:v>
      </x:c>
    </x:row>
    <x:row r="3674">
      <x:c r="B3674" s="21" t="str">
        <x:v>A3668</x:v>
      </x:c>
      <x:c r="C3674" s="21" t="str">
        <x:v>long lead</x:v>
      </x:c>
      <x:c r="D3674" s="21" t="str">
        <x:v>lead 12 order plus lead</x:v>
      </x:c>
      <x:c r="E3674" s="21" t="n">
        <x:f>IF('Long Leads'!H12+'Long Leads'!F12&lt;='Long Leads'!G12,1,0)</x:f>
        <x:v>1</x:v>
      </x:c>
      <x:c r="F3674" s="21" t="n">
        <x:v>1</x:v>
      </x:c>
      <x:c r="G3674" s="23" t="str">
        <x:f>IF(E3674=F3674,"PASS","FAIL")</x:f>
        <x:v>PASS</x:v>
      </x:c>
    </x:row>
    <x:row r="3675">
      <x:c r="B3675" s="21" t="str">
        <x:v>A3669</x:v>
      </x:c>
      <x:c r="C3675" s="21" t="str">
        <x:v>long lead</x:v>
      </x:c>
      <x:c r="D3675" s="21" t="str">
        <x:v>lead 12 after freeze</x:v>
      </x:c>
      <x:c r="E3675" s="21" t="n">
        <x:f>IF('Long Leads'!H12&gt;='Long Leads'!I12,1,0)</x:f>
        <x:v>1</x:v>
      </x:c>
      <x:c r="F3675" s="21" t="n">
        <x:v>1</x:v>
      </x:c>
      <x:c r="G3675" s="23" t="str">
        <x:f>IF(E3675=F3675,"PASS","FAIL")</x:f>
        <x:v>PASS</x:v>
      </x:c>
    </x:row>
    <x:row r="3676">
      <x:c r="B3676" s="21" t="str">
        <x:v>A3670</x:v>
      </x:c>
      <x:c r="C3676" s="21" t="str">
        <x:v>long lead</x:v>
      </x:c>
      <x:c r="D3676" s="21" t="str">
        <x:v>lead 12 margin formula</x:v>
      </x:c>
      <x:c r="E3676" s="21" t="n">
        <x:f>IF('Long Leads'!J12='Long Leads'!H12-'Long Leads'!I12,1,0)</x:f>
        <x:v>1</x:v>
      </x:c>
      <x:c r="F3676" s="21" t="n">
        <x:v>1</x:v>
      </x:c>
      <x:c r="G3676" s="23" t="str">
        <x:f>IF(E3676=F3676,"PASS","FAIL")</x:f>
        <x:v>PASS</x:v>
      </x:c>
    </x:row>
    <x:row r="3677">
      <x:c r="B3677" s="21" t="str">
        <x:v>A3671</x:v>
      </x:c>
      <x:c r="C3677" s="21" t="str">
        <x:v>long lead</x:v>
      </x:c>
      <x:c r="D3677" s="21" t="str">
        <x:v>lead 12 evidence open</x:v>
      </x:c>
      <x:c r="E3677" s="21" t="n">
        <x:f>IF('Long Leads'!K12="OPEN",1,0)</x:f>
        <x:v>1</x:v>
      </x:c>
      <x:c r="F3677" s="21" t="n">
        <x:v>1</x:v>
      </x:c>
      <x:c r="G3677" s="23" t="str">
        <x:f>IF(E3677=F3677,"PASS","FAIL")</x:f>
        <x:v>PASS</x:v>
      </x:c>
    </x:row>
    <x:row r="3678">
      <x:c r="B3678" s="21" t="str">
        <x:v>A3672</x:v>
      </x:c>
      <x:c r="C3678" s="21" t="str">
        <x:v>long lead</x:v>
      </x:c>
      <x:c r="D3678" s="21" t="str">
        <x:v>lead 13 positive duration</x:v>
      </x:c>
      <x:c r="E3678" s="21" t="n">
        <x:f>IF('Long Leads'!F13&gt;0,1,0)</x:f>
        <x:v>1</x:v>
      </x:c>
      <x:c r="F3678" s="21" t="n">
        <x:v>1</x:v>
      </x:c>
      <x:c r="G3678" s="23" t="str">
        <x:f>IF(E3678=F3678,"PASS","FAIL")</x:f>
        <x:v>PASS</x:v>
      </x:c>
    </x:row>
    <x:row r="3679">
      <x:c r="B3679" s="21" t="str">
        <x:v>A3673</x:v>
      </x:c>
      <x:c r="C3679" s="21" t="str">
        <x:v>long lead</x:v>
      </x:c>
      <x:c r="D3679" s="21" t="str">
        <x:v>lead 13 order plus lead</x:v>
      </x:c>
      <x:c r="E3679" s="21" t="n">
        <x:f>IF('Long Leads'!H13+'Long Leads'!F13&lt;='Long Leads'!G13,1,0)</x:f>
        <x:v>1</x:v>
      </x:c>
      <x:c r="F3679" s="21" t="n">
        <x:v>1</x:v>
      </x:c>
      <x:c r="G3679" s="23" t="str">
        <x:f>IF(E3679=F3679,"PASS","FAIL")</x:f>
        <x:v>PASS</x:v>
      </x:c>
    </x:row>
    <x:row r="3680">
      <x:c r="B3680" s="21" t="str">
        <x:v>A3674</x:v>
      </x:c>
      <x:c r="C3680" s="21" t="str">
        <x:v>long lead</x:v>
      </x:c>
      <x:c r="D3680" s="21" t="str">
        <x:v>lead 13 after freeze</x:v>
      </x:c>
      <x:c r="E3680" s="21" t="n">
        <x:f>IF('Long Leads'!H13&gt;='Long Leads'!I13,1,0)</x:f>
        <x:v>1</x:v>
      </x:c>
      <x:c r="F3680" s="21" t="n">
        <x:v>1</x:v>
      </x:c>
      <x:c r="G3680" s="23" t="str">
        <x:f>IF(E3680=F3680,"PASS","FAIL")</x:f>
        <x:v>PASS</x:v>
      </x:c>
    </x:row>
    <x:row r="3681">
      <x:c r="B3681" s="21" t="str">
        <x:v>A3675</x:v>
      </x:c>
      <x:c r="C3681" s="21" t="str">
        <x:v>long lead</x:v>
      </x:c>
      <x:c r="D3681" s="21" t="str">
        <x:v>lead 13 margin formula</x:v>
      </x:c>
      <x:c r="E3681" s="21" t="n">
        <x:f>IF('Long Leads'!J13='Long Leads'!H13-'Long Leads'!I13,1,0)</x:f>
        <x:v>1</x:v>
      </x:c>
      <x:c r="F3681" s="21" t="n">
        <x:v>1</x:v>
      </x:c>
      <x:c r="G3681" s="23" t="str">
        <x:f>IF(E3681=F3681,"PASS","FAIL")</x:f>
        <x:v>PASS</x:v>
      </x:c>
    </x:row>
    <x:row r="3682">
      <x:c r="B3682" s="21" t="str">
        <x:v>A3676</x:v>
      </x:c>
      <x:c r="C3682" s="21" t="str">
        <x:v>long lead</x:v>
      </x:c>
      <x:c r="D3682" s="21" t="str">
        <x:v>lead 13 evidence open</x:v>
      </x:c>
      <x:c r="E3682" s="21" t="n">
        <x:f>IF('Long Leads'!K13="OPEN",1,0)</x:f>
        <x:v>1</x:v>
      </x:c>
      <x:c r="F3682" s="21" t="n">
        <x:v>1</x:v>
      </x:c>
      <x:c r="G3682" s="23" t="str">
        <x:f>IF(E3682=F3682,"PASS","FAIL")</x:f>
        <x:v>PASS</x:v>
      </x:c>
    </x:row>
    <x:row r="3683">
      <x:c r="B3683" s="21" t="str">
        <x:v>A3677</x:v>
      </x:c>
      <x:c r="C3683" s="21" t="str">
        <x:v>long lead</x:v>
      </x:c>
      <x:c r="D3683" s="21" t="str">
        <x:v>lead 14 positive duration</x:v>
      </x:c>
      <x:c r="E3683" s="21" t="n">
        <x:f>IF('Long Leads'!F14&gt;0,1,0)</x:f>
        <x:v>1</x:v>
      </x:c>
      <x:c r="F3683" s="21" t="n">
        <x:v>1</x:v>
      </x:c>
      <x:c r="G3683" s="23" t="str">
        <x:f>IF(E3683=F3683,"PASS","FAIL")</x:f>
        <x:v>PASS</x:v>
      </x:c>
    </x:row>
    <x:row r="3684">
      <x:c r="B3684" s="21" t="str">
        <x:v>A3678</x:v>
      </x:c>
      <x:c r="C3684" s="21" t="str">
        <x:v>long lead</x:v>
      </x:c>
      <x:c r="D3684" s="21" t="str">
        <x:v>lead 14 order plus lead</x:v>
      </x:c>
      <x:c r="E3684" s="21" t="n">
        <x:f>IF('Long Leads'!H14+'Long Leads'!F14&lt;='Long Leads'!G14,1,0)</x:f>
        <x:v>1</x:v>
      </x:c>
      <x:c r="F3684" s="21" t="n">
        <x:v>1</x:v>
      </x:c>
      <x:c r="G3684" s="23" t="str">
        <x:f>IF(E3684=F3684,"PASS","FAIL")</x:f>
        <x:v>PASS</x:v>
      </x:c>
    </x:row>
    <x:row r="3685">
      <x:c r="B3685" s="21" t="str">
        <x:v>A3679</x:v>
      </x:c>
      <x:c r="C3685" s="21" t="str">
        <x:v>long lead</x:v>
      </x:c>
      <x:c r="D3685" s="21" t="str">
        <x:v>lead 14 after freeze</x:v>
      </x:c>
      <x:c r="E3685" s="21" t="n">
        <x:f>IF('Long Leads'!H14&gt;='Long Leads'!I14,1,0)</x:f>
        <x:v>1</x:v>
      </x:c>
      <x:c r="F3685" s="21" t="n">
        <x:v>1</x:v>
      </x:c>
      <x:c r="G3685" s="23" t="str">
        <x:f>IF(E3685=F3685,"PASS","FAIL")</x:f>
        <x:v>PASS</x:v>
      </x:c>
    </x:row>
    <x:row r="3686">
      <x:c r="B3686" s="21" t="str">
        <x:v>A3680</x:v>
      </x:c>
      <x:c r="C3686" s="21" t="str">
        <x:v>long lead</x:v>
      </x:c>
      <x:c r="D3686" s="21" t="str">
        <x:v>lead 14 margin formula</x:v>
      </x:c>
      <x:c r="E3686" s="21" t="n">
        <x:f>IF('Long Leads'!J14='Long Leads'!H14-'Long Leads'!I14,1,0)</x:f>
        <x:v>1</x:v>
      </x:c>
      <x:c r="F3686" s="21" t="n">
        <x:v>1</x:v>
      </x:c>
      <x:c r="G3686" s="23" t="str">
        <x:f>IF(E3686=F3686,"PASS","FAIL")</x:f>
        <x:v>PASS</x:v>
      </x:c>
    </x:row>
    <x:row r="3687">
      <x:c r="B3687" s="21" t="str">
        <x:v>A3681</x:v>
      </x:c>
      <x:c r="C3687" s="21" t="str">
        <x:v>long lead</x:v>
      </x:c>
      <x:c r="D3687" s="21" t="str">
        <x:v>lead 14 evidence open</x:v>
      </x:c>
      <x:c r="E3687" s="21" t="n">
        <x:f>IF('Long Leads'!K14="OPEN",1,0)</x:f>
        <x:v>1</x:v>
      </x:c>
      <x:c r="F3687" s="21" t="n">
        <x:v>1</x:v>
      </x:c>
      <x:c r="G3687" s="23" t="str">
        <x:f>IF(E3687=F3687,"PASS","FAIL")</x:f>
        <x:v>PASS</x:v>
      </x:c>
    </x:row>
    <x:row r="3688">
      <x:c r="B3688" s="21" t="str">
        <x:v>A3682</x:v>
      </x:c>
      <x:c r="C3688" s="21" t="str">
        <x:v>long lead</x:v>
      </x:c>
      <x:c r="D3688" s="21" t="str">
        <x:v>lead 15 positive duration</x:v>
      </x:c>
      <x:c r="E3688" s="21" t="n">
        <x:f>IF('Long Leads'!F15&gt;0,1,0)</x:f>
        <x:v>1</x:v>
      </x:c>
      <x:c r="F3688" s="21" t="n">
        <x:v>1</x:v>
      </x:c>
      <x:c r="G3688" s="23" t="str">
        <x:f>IF(E3688=F3688,"PASS","FAIL")</x:f>
        <x:v>PASS</x:v>
      </x:c>
    </x:row>
    <x:row r="3689">
      <x:c r="B3689" s="21" t="str">
        <x:v>A3683</x:v>
      </x:c>
      <x:c r="C3689" s="21" t="str">
        <x:v>long lead</x:v>
      </x:c>
      <x:c r="D3689" s="21" t="str">
        <x:v>lead 15 order plus lead</x:v>
      </x:c>
      <x:c r="E3689" s="21" t="n">
        <x:f>IF('Long Leads'!H15+'Long Leads'!F15&lt;='Long Leads'!G15,1,0)</x:f>
        <x:v>1</x:v>
      </x:c>
      <x:c r="F3689" s="21" t="n">
        <x:v>1</x:v>
      </x:c>
      <x:c r="G3689" s="23" t="str">
        <x:f>IF(E3689=F3689,"PASS","FAIL")</x:f>
        <x:v>PASS</x:v>
      </x:c>
    </x:row>
    <x:row r="3690">
      <x:c r="B3690" s="21" t="str">
        <x:v>A3684</x:v>
      </x:c>
      <x:c r="C3690" s="21" t="str">
        <x:v>long lead</x:v>
      </x:c>
      <x:c r="D3690" s="21" t="str">
        <x:v>lead 15 after freeze</x:v>
      </x:c>
      <x:c r="E3690" s="21" t="n">
        <x:f>IF('Long Leads'!H15&gt;='Long Leads'!I15,1,0)</x:f>
        <x:v>1</x:v>
      </x:c>
      <x:c r="F3690" s="21" t="n">
        <x:v>1</x:v>
      </x:c>
      <x:c r="G3690" s="23" t="str">
        <x:f>IF(E3690=F3690,"PASS","FAIL")</x:f>
        <x:v>PASS</x:v>
      </x:c>
    </x:row>
    <x:row r="3691">
      <x:c r="B3691" s="21" t="str">
        <x:v>A3685</x:v>
      </x:c>
      <x:c r="C3691" s="21" t="str">
        <x:v>long lead</x:v>
      </x:c>
      <x:c r="D3691" s="21" t="str">
        <x:v>lead 15 margin formula</x:v>
      </x:c>
      <x:c r="E3691" s="21" t="n">
        <x:f>IF('Long Leads'!J15='Long Leads'!H15-'Long Leads'!I15,1,0)</x:f>
        <x:v>1</x:v>
      </x:c>
      <x:c r="F3691" s="21" t="n">
        <x:v>1</x:v>
      </x:c>
      <x:c r="G3691" s="23" t="str">
        <x:f>IF(E3691=F3691,"PASS","FAIL")</x:f>
        <x:v>PASS</x:v>
      </x:c>
    </x:row>
    <x:row r="3692">
      <x:c r="B3692" s="21" t="str">
        <x:v>A3686</x:v>
      </x:c>
      <x:c r="C3692" s="21" t="str">
        <x:v>long lead</x:v>
      </x:c>
      <x:c r="D3692" s="21" t="str">
        <x:v>lead 15 evidence open</x:v>
      </x:c>
      <x:c r="E3692" s="21" t="n">
        <x:f>IF('Long Leads'!K15="OPEN",1,0)</x:f>
        <x:v>1</x:v>
      </x:c>
      <x:c r="F3692" s="21" t="n">
        <x:v>1</x:v>
      </x:c>
      <x:c r="G3692" s="23" t="str">
        <x:f>IF(E3692=F3692,"PASS","FAIL")</x:f>
        <x:v>PASS</x:v>
      </x:c>
    </x:row>
    <x:row r="3693">
      <x:c r="B3693" s="21" t="str">
        <x:v>A3687</x:v>
      </x:c>
      <x:c r="C3693" s="21" t="str">
        <x:v>long lead</x:v>
      </x:c>
      <x:c r="D3693" s="21" t="str">
        <x:v>lead 16 positive duration</x:v>
      </x:c>
      <x:c r="E3693" s="21" t="n">
        <x:f>IF('Long Leads'!F16&gt;0,1,0)</x:f>
        <x:v>1</x:v>
      </x:c>
      <x:c r="F3693" s="21" t="n">
        <x:v>1</x:v>
      </x:c>
      <x:c r="G3693" s="23" t="str">
        <x:f>IF(E3693=F3693,"PASS","FAIL")</x:f>
        <x:v>PASS</x:v>
      </x:c>
    </x:row>
    <x:row r="3694">
      <x:c r="B3694" s="21" t="str">
        <x:v>A3688</x:v>
      </x:c>
      <x:c r="C3694" s="21" t="str">
        <x:v>long lead</x:v>
      </x:c>
      <x:c r="D3694" s="21" t="str">
        <x:v>lead 16 order plus lead</x:v>
      </x:c>
      <x:c r="E3694" s="21" t="n">
        <x:f>IF('Long Leads'!H16+'Long Leads'!F16&lt;='Long Leads'!G16,1,0)</x:f>
        <x:v>1</x:v>
      </x:c>
      <x:c r="F3694" s="21" t="n">
        <x:v>1</x:v>
      </x:c>
      <x:c r="G3694" s="23" t="str">
        <x:f>IF(E3694=F3694,"PASS","FAIL")</x:f>
        <x:v>PASS</x:v>
      </x:c>
    </x:row>
    <x:row r="3695">
      <x:c r="B3695" s="21" t="str">
        <x:v>A3689</x:v>
      </x:c>
      <x:c r="C3695" s="21" t="str">
        <x:v>long lead</x:v>
      </x:c>
      <x:c r="D3695" s="21" t="str">
        <x:v>lead 16 after freeze</x:v>
      </x:c>
      <x:c r="E3695" s="21" t="n">
        <x:f>IF('Long Leads'!H16&gt;='Long Leads'!I16,1,0)</x:f>
        <x:v>1</x:v>
      </x:c>
      <x:c r="F3695" s="21" t="n">
        <x:v>1</x:v>
      </x:c>
      <x:c r="G3695" s="23" t="str">
        <x:f>IF(E3695=F3695,"PASS","FAIL")</x:f>
        <x:v>PASS</x:v>
      </x:c>
    </x:row>
    <x:row r="3696">
      <x:c r="B3696" s="21" t="str">
        <x:v>A3690</x:v>
      </x:c>
      <x:c r="C3696" s="21" t="str">
        <x:v>long lead</x:v>
      </x:c>
      <x:c r="D3696" s="21" t="str">
        <x:v>lead 16 margin formula</x:v>
      </x:c>
      <x:c r="E3696" s="21" t="n">
        <x:f>IF('Long Leads'!J16='Long Leads'!H16-'Long Leads'!I16,1,0)</x:f>
        <x:v>1</x:v>
      </x:c>
      <x:c r="F3696" s="21" t="n">
        <x:v>1</x:v>
      </x:c>
      <x:c r="G3696" s="23" t="str">
        <x:f>IF(E3696=F3696,"PASS","FAIL")</x:f>
        <x:v>PASS</x:v>
      </x:c>
    </x:row>
    <x:row r="3697">
      <x:c r="B3697" s="21" t="str">
        <x:v>A3691</x:v>
      </x:c>
      <x:c r="C3697" s="21" t="str">
        <x:v>long lead</x:v>
      </x:c>
      <x:c r="D3697" s="21" t="str">
        <x:v>lead 16 evidence open</x:v>
      </x:c>
      <x:c r="E3697" s="21" t="n">
        <x:f>IF('Long Leads'!K16="OPEN",1,0)</x:f>
        <x:v>1</x:v>
      </x:c>
      <x:c r="F3697" s="21" t="n">
        <x:v>1</x:v>
      </x:c>
      <x:c r="G3697" s="23" t="str">
        <x:f>IF(E3697=F3697,"PASS","FAIL")</x:f>
        <x:v>PASS</x:v>
      </x:c>
    </x:row>
    <x:row r="3698">
      <x:c r="B3698" s="21" t="str">
        <x:v>A3692</x:v>
      </x:c>
      <x:c r="C3698" s="21" t="str">
        <x:v>long lead</x:v>
      </x:c>
      <x:c r="D3698" s="21" t="str">
        <x:v>lead 17 positive duration</x:v>
      </x:c>
      <x:c r="E3698" s="21" t="n">
        <x:f>IF('Long Leads'!F17&gt;0,1,0)</x:f>
        <x:v>1</x:v>
      </x:c>
      <x:c r="F3698" s="21" t="n">
        <x:v>1</x:v>
      </x:c>
      <x:c r="G3698" s="23" t="str">
        <x:f>IF(E3698=F3698,"PASS","FAIL")</x:f>
        <x:v>PASS</x:v>
      </x:c>
    </x:row>
    <x:row r="3699">
      <x:c r="B3699" s="21" t="str">
        <x:v>A3693</x:v>
      </x:c>
      <x:c r="C3699" s="21" t="str">
        <x:v>long lead</x:v>
      </x:c>
      <x:c r="D3699" s="21" t="str">
        <x:v>lead 17 order plus lead</x:v>
      </x:c>
      <x:c r="E3699" s="21" t="n">
        <x:f>IF('Long Leads'!H17+'Long Leads'!F17&lt;='Long Leads'!G17,1,0)</x:f>
        <x:v>1</x:v>
      </x:c>
      <x:c r="F3699" s="21" t="n">
        <x:v>1</x:v>
      </x:c>
      <x:c r="G3699" s="23" t="str">
        <x:f>IF(E3699=F3699,"PASS","FAIL")</x:f>
        <x:v>PASS</x:v>
      </x:c>
    </x:row>
    <x:row r="3700">
      <x:c r="B3700" s="21" t="str">
        <x:v>A3694</x:v>
      </x:c>
      <x:c r="C3700" s="21" t="str">
        <x:v>long lead</x:v>
      </x:c>
      <x:c r="D3700" s="21" t="str">
        <x:v>lead 17 after freeze</x:v>
      </x:c>
      <x:c r="E3700" s="21" t="n">
        <x:f>IF('Long Leads'!H17&gt;='Long Leads'!I17,1,0)</x:f>
        <x:v>1</x:v>
      </x:c>
      <x:c r="F3700" s="21" t="n">
        <x:v>1</x:v>
      </x:c>
      <x:c r="G3700" s="23" t="str">
        <x:f>IF(E3700=F3700,"PASS","FAIL")</x:f>
        <x:v>PASS</x:v>
      </x:c>
    </x:row>
    <x:row r="3701">
      <x:c r="B3701" s="21" t="str">
        <x:v>A3695</x:v>
      </x:c>
      <x:c r="C3701" s="21" t="str">
        <x:v>long lead</x:v>
      </x:c>
      <x:c r="D3701" s="21" t="str">
        <x:v>lead 17 margin formula</x:v>
      </x:c>
      <x:c r="E3701" s="21" t="n">
        <x:f>IF('Long Leads'!J17='Long Leads'!H17-'Long Leads'!I17,1,0)</x:f>
        <x:v>1</x:v>
      </x:c>
      <x:c r="F3701" s="21" t="n">
        <x:v>1</x:v>
      </x:c>
      <x:c r="G3701" s="23" t="str">
        <x:f>IF(E3701=F3701,"PASS","FAIL")</x:f>
        <x:v>PASS</x:v>
      </x:c>
    </x:row>
    <x:row r="3702">
      <x:c r="B3702" s="21" t="str">
        <x:v>A3696</x:v>
      </x:c>
      <x:c r="C3702" s="21" t="str">
        <x:v>long lead</x:v>
      </x:c>
      <x:c r="D3702" s="21" t="str">
        <x:v>lead 17 evidence open</x:v>
      </x:c>
      <x:c r="E3702" s="21" t="n">
        <x:f>IF('Long Leads'!K17="OPEN",1,0)</x:f>
        <x:v>1</x:v>
      </x:c>
      <x:c r="F3702" s="21" t="n">
        <x:v>1</x:v>
      </x:c>
      <x:c r="G3702" s="23" t="str">
        <x:f>IF(E3702=F3702,"PASS","FAIL")</x:f>
        <x:v>PASS</x:v>
      </x:c>
    </x:row>
    <x:row r="3703">
      <x:c r="B3703" s="21" t="str">
        <x:v>A3697</x:v>
      </x:c>
      <x:c r="C3703" s="21" t="str">
        <x:v>long lead</x:v>
      </x:c>
      <x:c r="D3703" s="21" t="str">
        <x:v>lead 18 positive duration</x:v>
      </x:c>
      <x:c r="E3703" s="21" t="n">
        <x:f>IF('Long Leads'!F18&gt;0,1,0)</x:f>
        <x:v>1</x:v>
      </x:c>
      <x:c r="F3703" s="21" t="n">
        <x:v>1</x:v>
      </x:c>
      <x:c r="G3703" s="23" t="str">
        <x:f>IF(E3703=F3703,"PASS","FAIL")</x:f>
        <x:v>PASS</x:v>
      </x:c>
    </x:row>
    <x:row r="3704">
      <x:c r="B3704" s="21" t="str">
        <x:v>A3698</x:v>
      </x:c>
      <x:c r="C3704" s="21" t="str">
        <x:v>long lead</x:v>
      </x:c>
      <x:c r="D3704" s="21" t="str">
        <x:v>lead 18 order plus lead</x:v>
      </x:c>
      <x:c r="E3704" s="21" t="n">
        <x:f>IF('Long Leads'!H18+'Long Leads'!F18&lt;='Long Leads'!G18,1,0)</x:f>
        <x:v>1</x:v>
      </x:c>
      <x:c r="F3704" s="21" t="n">
        <x:v>1</x:v>
      </x:c>
      <x:c r="G3704" s="23" t="str">
        <x:f>IF(E3704=F3704,"PASS","FAIL")</x:f>
        <x:v>PASS</x:v>
      </x:c>
    </x:row>
    <x:row r="3705">
      <x:c r="B3705" s="21" t="str">
        <x:v>A3699</x:v>
      </x:c>
      <x:c r="C3705" s="21" t="str">
        <x:v>long lead</x:v>
      </x:c>
      <x:c r="D3705" s="21" t="str">
        <x:v>lead 18 after freeze</x:v>
      </x:c>
      <x:c r="E3705" s="21" t="n">
        <x:f>IF('Long Leads'!H18&gt;='Long Leads'!I18,1,0)</x:f>
        <x:v>1</x:v>
      </x:c>
      <x:c r="F3705" s="21" t="n">
        <x:v>1</x:v>
      </x:c>
      <x:c r="G3705" s="23" t="str">
        <x:f>IF(E3705=F3705,"PASS","FAIL")</x:f>
        <x:v>PASS</x:v>
      </x:c>
    </x:row>
    <x:row r="3706">
      <x:c r="B3706" s="21" t="str">
        <x:v>A3700</x:v>
      </x:c>
      <x:c r="C3706" s="21" t="str">
        <x:v>long lead</x:v>
      </x:c>
      <x:c r="D3706" s="21" t="str">
        <x:v>lead 18 margin formula</x:v>
      </x:c>
      <x:c r="E3706" s="21" t="n">
        <x:f>IF('Long Leads'!J18='Long Leads'!H18-'Long Leads'!I18,1,0)</x:f>
        <x:v>1</x:v>
      </x:c>
      <x:c r="F3706" s="21" t="n">
        <x:v>1</x:v>
      </x:c>
      <x:c r="G3706" s="23" t="str">
        <x:f>IF(E3706=F3706,"PASS","FAIL")</x:f>
        <x:v>PASS</x:v>
      </x:c>
    </x:row>
    <x:row r="3707">
      <x:c r="B3707" s="21" t="str">
        <x:v>A3701</x:v>
      </x:c>
      <x:c r="C3707" s="21" t="str">
        <x:v>long lead</x:v>
      </x:c>
      <x:c r="D3707" s="21" t="str">
        <x:v>lead 18 evidence open</x:v>
      </x:c>
      <x:c r="E3707" s="21" t="n">
        <x:f>IF('Long Leads'!K18="OPEN",1,0)</x:f>
        <x:v>1</x:v>
      </x:c>
      <x:c r="F3707" s="21" t="n">
        <x:v>1</x:v>
      </x:c>
      <x:c r="G3707" s="23" t="str">
        <x:f>IF(E3707=F3707,"PASS","FAIL")</x:f>
        <x:v>PASS</x:v>
      </x:c>
    </x:row>
    <x:row r="3708">
      <x:c r="B3708" s="21" t="str">
        <x:v>A3702</x:v>
      </x:c>
      <x:c r="C3708" s="21" t="str">
        <x:v>long lead</x:v>
      </x:c>
      <x:c r="D3708" s="21" t="str">
        <x:v>lead 19 positive duration</x:v>
      </x:c>
      <x:c r="E3708" s="21" t="n">
        <x:f>IF('Long Leads'!F19&gt;0,1,0)</x:f>
        <x:v>1</x:v>
      </x:c>
      <x:c r="F3708" s="21" t="n">
        <x:v>1</x:v>
      </x:c>
      <x:c r="G3708" s="23" t="str">
        <x:f>IF(E3708=F3708,"PASS","FAIL")</x:f>
        <x:v>PASS</x:v>
      </x:c>
    </x:row>
    <x:row r="3709">
      <x:c r="B3709" s="21" t="str">
        <x:v>A3703</x:v>
      </x:c>
      <x:c r="C3709" s="21" t="str">
        <x:v>long lead</x:v>
      </x:c>
      <x:c r="D3709" s="21" t="str">
        <x:v>lead 19 order plus lead</x:v>
      </x:c>
      <x:c r="E3709" s="21" t="n">
        <x:f>IF('Long Leads'!H19+'Long Leads'!F19&lt;='Long Leads'!G19,1,0)</x:f>
        <x:v>1</x:v>
      </x:c>
      <x:c r="F3709" s="21" t="n">
        <x:v>1</x:v>
      </x:c>
      <x:c r="G3709" s="23" t="str">
        <x:f>IF(E3709=F3709,"PASS","FAIL")</x:f>
        <x:v>PASS</x:v>
      </x:c>
    </x:row>
    <x:row r="3710">
      <x:c r="B3710" s="21" t="str">
        <x:v>A3704</x:v>
      </x:c>
      <x:c r="C3710" s="21" t="str">
        <x:v>long lead</x:v>
      </x:c>
      <x:c r="D3710" s="21" t="str">
        <x:v>lead 19 after freeze</x:v>
      </x:c>
      <x:c r="E3710" s="21" t="n">
        <x:f>IF('Long Leads'!H19&gt;='Long Leads'!I19,1,0)</x:f>
        <x:v>1</x:v>
      </x:c>
      <x:c r="F3710" s="21" t="n">
        <x:v>1</x:v>
      </x:c>
      <x:c r="G3710" s="23" t="str">
        <x:f>IF(E3710=F3710,"PASS","FAIL")</x:f>
        <x:v>PASS</x:v>
      </x:c>
    </x:row>
    <x:row r="3711">
      <x:c r="B3711" s="21" t="str">
        <x:v>A3705</x:v>
      </x:c>
      <x:c r="C3711" s="21" t="str">
        <x:v>long lead</x:v>
      </x:c>
      <x:c r="D3711" s="21" t="str">
        <x:v>lead 19 margin formula</x:v>
      </x:c>
      <x:c r="E3711" s="21" t="n">
        <x:f>IF('Long Leads'!J19='Long Leads'!H19-'Long Leads'!I19,1,0)</x:f>
        <x:v>1</x:v>
      </x:c>
      <x:c r="F3711" s="21" t="n">
        <x:v>1</x:v>
      </x:c>
      <x:c r="G3711" s="23" t="str">
        <x:f>IF(E3711=F3711,"PASS","FAIL")</x:f>
        <x:v>PASS</x:v>
      </x:c>
    </x:row>
    <x:row r="3712">
      <x:c r="B3712" s="21" t="str">
        <x:v>A3706</x:v>
      </x:c>
      <x:c r="C3712" s="21" t="str">
        <x:v>long lead</x:v>
      </x:c>
      <x:c r="D3712" s="21" t="str">
        <x:v>lead 19 evidence open</x:v>
      </x:c>
      <x:c r="E3712" s="21" t="n">
        <x:f>IF('Long Leads'!K19="OPEN",1,0)</x:f>
        <x:v>1</x:v>
      </x:c>
      <x:c r="F3712" s="21" t="n">
        <x:v>1</x:v>
      </x:c>
      <x:c r="G3712" s="23" t="str">
        <x:f>IF(E3712=F3712,"PASS","FAIL")</x:f>
        <x:v>PASS</x:v>
      </x:c>
    </x:row>
    <x:row r="3713">
      <x:c r="B3713" s="21" t="str">
        <x:v>A3707</x:v>
      </x:c>
      <x:c r="C3713" s="21" t="str">
        <x:v>long lead</x:v>
      </x:c>
      <x:c r="D3713" s="21" t="str">
        <x:v>lead 20 positive duration</x:v>
      </x:c>
      <x:c r="E3713" s="21" t="n">
        <x:f>IF('Long Leads'!F20&gt;0,1,0)</x:f>
        <x:v>1</x:v>
      </x:c>
      <x:c r="F3713" s="21" t="n">
        <x:v>1</x:v>
      </x:c>
      <x:c r="G3713" s="23" t="str">
        <x:f>IF(E3713=F3713,"PASS","FAIL")</x:f>
        <x:v>PASS</x:v>
      </x:c>
    </x:row>
    <x:row r="3714">
      <x:c r="B3714" s="21" t="str">
        <x:v>A3708</x:v>
      </x:c>
      <x:c r="C3714" s="21" t="str">
        <x:v>long lead</x:v>
      </x:c>
      <x:c r="D3714" s="21" t="str">
        <x:v>lead 20 order plus lead</x:v>
      </x:c>
      <x:c r="E3714" s="21" t="n">
        <x:f>IF('Long Leads'!H20+'Long Leads'!F20&lt;='Long Leads'!G20,1,0)</x:f>
        <x:v>1</x:v>
      </x:c>
      <x:c r="F3714" s="21" t="n">
        <x:v>1</x:v>
      </x:c>
      <x:c r="G3714" s="23" t="str">
        <x:f>IF(E3714=F3714,"PASS","FAIL")</x:f>
        <x:v>PASS</x:v>
      </x:c>
    </x:row>
    <x:row r="3715">
      <x:c r="B3715" s="21" t="str">
        <x:v>A3709</x:v>
      </x:c>
      <x:c r="C3715" s="21" t="str">
        <x:v>long lead</x:v>
      </x:c>
      <x:c r="D3715" s="21" t="str">
        <x:v>lead 20 after freeze</x:v>
      </x:c>
      <x:c r="E3715" s="21" t="n">
        <x:f>IF('Long Leads'!H20&gt;='Long Leads'!I20,1,0)</x:f>
        <x:v>1</x:v>
      </x:c>
      <x:c r="F3715" s="21" t="n">
        <x:v>1</x:v>
      </x:c>
      <x:c r="G3715" s="23" t="str">
        <x:f>IF(E3715=F3715,"PASS","FAIL")</x:f>
        <x:v>PASS</x:v>
      </x:c>
    </x:row>
    <x:row r="3716">
      <x:c r="B3716" s="21" t="str">
        <x:v>A3710</x:v>
      </x:c>
      <x:c r="C3716" s="21" t="str">
        <x:v>long lead</x:v>
      </x:c>
      <x:c r="D3716" s="21" t="str">
        <x:v>lead 20 margin formula</x:v>
      </x:c>
      <x:c r="E3716" s="21" t="n">
        <x:f>IF('Long Leads'!J20='Long Leads'!H20-'Long Leads'!I20,1,0)</x:f>
        <x:v>1</x:v>
      </x:c>
      <x:c r="F3716" s="21" t="n">
        <x:v>1</x:v>
      </x:c>
      <x:c r="G3716" s="23" t="str">
        <x:f>IF(E3716=F3716,"PASS","FAIL")</x:f>
        <x:v>PASS</x:v>
      </x:c>
    </x:row>
    <x:row r="3717">
      <x:c r="B3717" s="21" t="str">
        <x:v>A3711</x:v>
      </x:c>
      <x:c r="C3717" s="21" t="str">
        <x:v>long lead</x:v>
      </x:c>
      <x:c r="D3717" s="21" t="str">
        <x:v>lead 20 evidence open</x:v>
      </x:c>
      <x:c r="E3717" s="21" t="n">
        <x:f>IF('Long Leads'!K20="OPEN",1,0)</x:f>
        <x:v>1</x:v>
      </x:c>
      <x:c r="F3717" s="21" t="n">
        <x:v>1</x:v>
      </x:c>
      <x:c r="G3717" s="23" t="str">
        <x:f>IF(E3717=F3717,"PASS","FAIL")</x:f>
        <x:v>PASS</x:v>
      </x:c>
    </x:row>
    <x:row r="3718">
      <x:c r="B3718" s="21" t="str">
        <x:v>A3712</x:v>
      </x:c>
      <x:c r="C3718" s="21" t="str">
        <x:v>long lead</x:v>
      </x:c>
      <x:c r="D3718" s="21" t="str">
        <x:v>lead 21 positive duration</x:v>
      </x:c>
      <x:c r="E3718" s="21" t="n">
        <x:f>IF('Long Leads'!F21&gt;0,1,0)</x:f>
        <x:v>1</x:v>
      </x:c>
      <x:c r="F3718" s="21" t="n">
        <x:v>1</x:v>
      </x:c>
      <x:c r="G3718" s="23" t="str">
        <x:f>IF(E3718=F3718,"PASS","FAIL")</x:f>
        <x:v>PASS</x:v>
      </x:c>
    </x:row>
    <x:row r="3719">
      <x:c r="B3719" s="21" t="str">
        <x:v>A3713</x:v>
      </x:c>
      <x:c r="C3719" s="21" t="str">
        <x:v>long lead</x:v>
      </x:c>
      <x:c r="D3719" s="21" t="str">
        <x:v>lead 21 order plus lead</x:v>
      </x:c>
      <x:c r="E3719" s="21" t="n">
        <x:f>IF('Long Leads'!H21+'Long Leads'!F21&lt;='Long Leads'!G21,1,0)</x:f>
        <x:v>1</x:v>
      </x:c>
      <x:c r="F3719" s="21" t="n">
        <x:v>1</x:v>
      </x:c>
      <x:c r="G3719" s="23" t="str">
        <x:f>IF(E3719=F3719,"PASS","FAIL")</x:f>
        <x:v>PASS</x:v>
      </x:c>
    </x:row>
    <x:row r="3720">
      <x:c r="B3720" s="21" t="str">
        <x:v>A3714</x:v>
      </x:c>
      <x:c r="C3720" s="21" t="str">
        <x:v>long lead</x:v>
      </x:c>
      <x:c r="D3720" s="21" t="str">
        <x:v>lead 21 after freeze</x:v>
      </x:c>
      <x:c r="E3720" s="21" t="n">
        <x:f>IF('Long Leads'!H21&gt;='Long Leads'!I21,1,0)</x:f>
        <x:v>1</x:v>
      </x:c>
      <x:c r="F3720" s="21" t="n">
        <x:v>1</x:v>
      </x:c>
      <x:c r="G3720" s="23" t="str">
        <x:f>IF(E3720=F3720,"PASS","FAIL")</x:f>
        <x:v>PASS</x:v>
      </x:c>
    </x:row>
    <x:row r="3721">
      <x:c r="B3721" s="21" t="str">
        <x:v>A3715</x:v>
      </x:c>
      <x:c r="C3721" s="21" t="str">
        <x:v>long lead</x:v>
      </x:c>
      <x:c r="D3721" s="21" t="str">
        <x:v>lead 21 margin formula</x:v>
      </x:c>
      <x:c r="E3721" s="21" t="n">
        <x:f>IF('Long Leads'!J21='Long Leads'!H21-'Long Leads'!I21,1,0)</x:f>
        <x:v>1</x:v>
      </x:c>
      <x:c r="F3721" s="21" t="n">
        <x:v>1</x:v>
      </x:c>
      <x:c r="G3721" s="23" t="str">
        <x:f>IF(E3721=F3721,"PASS","FAIL")</x:f>
        <x:v>PASS</x:v>
      </x:c>
    </x:row>
    <x:row r="3722">
      <x:c r="B3722" s="21" t="str">
        <x:v>A3716</x:v>
      </x:c>
      <x:c r="C3722" s="21" t="str">
        <x:v>long lead</x:v>
      </x:c>
      <x:c r="D3722" s="21" t="str">
        <x:v>lead 21 evidence open</x:v>
      </x:c>
      <x:c r="E3722" s="21" t="n">
        <x:f>IF('Long Leads'!K21="OPEN",1,0)</x:f>
        <x:v>1</x:v>
      </x:c>
      <x:c r="F3722" s="21" t="n">
        <x:v>1</x:v>
      </x:c>
      <x:c r="G3722" s="23" t="str">
        <x:f>IF(E3722=F3722,"PASS","FAIL")</x:f>
        <x:v>PASS</x:v>
      </x:c>
    </x:row>
    <x:row r="3723">
      <x:c r="B3723" s="21" t="str">
        <x:v>A3717</x:v>
      </x:c>
      <x:c r="C3723" s="21" t="str">
        <x:v>long lead</x:v>
      </x:c>
      <x:c r="D3723" s="21" t="str">
        <x:v>lead 22 positive duration</x:v>
      </x:c>
      <x:c r="E3723" s="21" t="n">
        <x:f>IF('Long Leads'!F22&gt;0,1,0)</x:f>
        <x:v>1</x:v>
      </x:c>
      <x:c r="F3723" s="21" t="n">
        <x:v>1</x:v>
      </x:c>
      <x:c r="G3723" s="23" t="str">
        <x:f>IF(E3723=F3723,"PASS","FAIL")</x:f>
        <x:v>PASS</x:v>
      </x:c>
    </x:row>
    <x:row r="3724">
      <x:c r="B3724" s="21" t="str">
        <x:v>A3718</x:v>
      </x:c>
      <x:c r="C3724" s="21" t="str">
        <x:v>long lead</x:v>
      </x:c>
      <x:c r="D3724" s="21" t="str">
        <x:v>lead 22 order plus lead</x:v>
      </x:c>
      <x:c r="E3724" s="21" t="n">
        <x:f>IF('Long Leads'!H22+'Long Leads'!F22&lt;='Long Leads'!G22,1,0)</x:f>
        <x:v>1</x:v>
      </x:c>
      <x:c r="F3724" s="21" t="n">
        <x:v>1</x:v>
      </x:c>
      <x:c r="G3724" s="23" t="str">
        <x:f>IF(E3724=F3724,"PASS","FAIL")</x:f>
        <x:v>PASS</x:v>
      </x:c>
    </x:row>
    <x:row r="3725">
      <x:c r="B3725" s="21" t="str">
        <x:v>A3719</x:v>
      </x:c>
      <x:c r="C3725" s="21" t="str">
        <x:v>long lead</x:v>
      </x:c>
      <x:c r="D3725" s="21" t="str">
        <x:v>lead 22 after freeze</x:v>
      </x:c>
      <x:c r="E3725" s="21" t="n">
        <x:f>IF('Long Leads'!H22&gt;='Long Leads'!I22,1,0)</x:f>
        <x:v>1</x:v>
      </x:c>
      <x:c r="F3725" s="21" t="n">
        <x:v>1</x:v>
      </x:c>
      <x:c r="G3725" s="23" t="str">
        <x:f>IF(E3725=F3725,"PASS","FAIL")</x:f>
        <x:v>PASS</x:v>
      </x:c>
    </x:row>
    <x:row r="3726">
      <x:c r="B3726" s="21" t="str">
        <x:v>A3720</x:v>
      </x:c>
      <x:c r="C3726" s="21" t="str">
        <x:v>long lead</x:v>
      </x:c>
      <x:c r="D3726" s="21" t="str">
        <x:v>lead 22 margin formula</x:v>
      </x:c>
      <x:c r="E3726" s="21" t="n">
        <x:f>IF('Long Leads'!J22='Long Leads'!H22-'Long Leads'!I22,1,0)</x:f>
        <x:v>1</x:v>
      </x:c>
      <x:c r="F3726" s="21" t="n">
        <x:v>1</x:v>
      </x:c>
      <x:c r="G3726" s="23" t="str">
        <x:f>IF(E3726=F3726,"PASS","FAIL")</x:f>
        <x:v>PASS</x:v>
      </x:c>
    </x:row>
    <x:row r="3727">
      <x:c r="B3727" s="21" t="str">
        <x:v>A3721</x:v>
      </x:c>
      <x:c r="C3727" s="21" t="str">
        <x:v>long lead</x:v>
      </x:c>
      <x:c r="D3727" s="21" t="str">
        <x:v>lead 22 evidence open</x:v>
      </x:c>
      <x:c r="E3727" s="21" t="n">
        <x:f>IF('Long Leads'!K22="OPEN",1,0)</x:f>
        <x:v>1</x:v>
      </x:c>
      <x:c r="F3727" s="21" t="n">
        <x:v>1</x:v>
      </x:c>
      <x:c r="G3727" s="23" t="str">
        <x:f>IF(E3727=F3727,"PASS","FAIL")</x:f>
        <x:v>PASS</x:v>
      </x:c>
    </x:row>
    <x:row r="3728">
      <x:c r="B3728" s="21" t="str">
        <x:v>A3722</x:v>
      </x:c>
      <x:c r="C3728" s="21" t="str">
        <x:v>long lead</x:v>
      </x:c>
      <x:c r="D3728" s="21" t="str">
        <x:v>lead 23 positive duration</x:v>
      </x:c>
      <x:c r="E3728" s="21" t="n">
        <x:f>IF('Long Leads'!F23&gt;0,1,0)</x:f>
        <x:v>1</x:v>
      </x:c>
      <x:c r="F3728" s="21" t="n">
        <x:v>1</x:v>
      </x:c>
      <x:c r="G3728" s="23" t="str">
        <x:f>IF(E3728=F3728,"PASS","FAIL")</x:f>
        <x:v>PASS</x:v>
      </x:c>
    </x:row>
    <x:row r="3729">
      <x:c r="B3729" s="21" t="str">
        <x:v>A3723</x:v>
      </x:c>
      <x:c r="C3729" s="21" t="str">
        <x:v>long lead</x:v>
      </x:c>
      <x:c r="D3729" s="21" t="str">
        <x:v>lead 23 order plus lead</x:v>
      </x:c>
      <x:c r="E3729" s="21" t="n">
        <x:f>IF('Long Leads'!H23+'Long Leads'!F23&lt;='Long Leads'!G23,1,0)</x:f>
        <x:v>1</x:v>
      </x:c>
      <x:c r="F3729" s="21" t="n">
        <x:v>1</x:v>
      </x:c>
      <x:c r="G3729" s="23" t="str">
        <x:f>IF(E3729=F3729,"PASS","FAIL")</x:f>
        <x:v>PASS</x:v>
      </x:c>
    </x:row>
    <x:row r="3730">
      <x:c r="B3730" s="21" t="str">
        <x:v>A3724</x:v>
      </x:c>
      <x:c r="C3730" s="21" t="str">
        <x:v>long lead</x:v>
      </x:c>
      <x:c r="D3730" s="21" t="str">
        <x:v>lead 23 after freeze</x:v>
      </x:c>
      <x:c r="E3730" s="21" t="n">
        <x:f>IF('Long Leads'!H23&gt;='Long Leads'!I23,1,0)</x:f>
        <x:v>1</x:v>
      </x:c>
      <x:c r="F3730" s="21" t="n">
        <x:v>1</x:v>
      </x:c>
      <x:c r="G3730" s="23" t="str">
        <x:f>IF(E3730=F3730,"PASS","FAIL")</x:f>
        <x:v>PASS</x:v>
      </x:c>
    </x:row>
    <x:row r="3731">
      <x:c r="B3731" s="21" t="str">
        <x:v>A3725</x:v>
      </x:c>
      <x:c r="C3731" s="21" t="str">
        <x:v>long lead</x:v>
      </x:c>
      <x:c r="D3731" s="21" t="str">
        <x:v>lead 23 margin formula</x:v>
      </x:c>
      <x:c r="E3731" s="21" t="n">
        <x:f>IF('Long Leads'!J23='Long Leads'!H23-'Long Leads'!I23,1,0)</x:f>
        <x:v>1</x:v>
      </x:c>
      <x:c r="F3731" s="21" t="n">
        <x:v>1</x:v>
      </x:c>
      <x:c r="G3731" s="23" t="str">
        <x:f>IF(E3731=F3731,"PASS","FAIL")</x:f>
        <x:v>PASS</x:v>
      </x:c>
    </x:row>
    <x:row r="3732">
      <x:c r="B3732" s="21" t="str">
        <x:v>A3726</x:v>
      </x:c>
      <x:c r="C3732" s="21" t="str">
        <x:v>long lead</x:v>
      </x:c>
      <x:c r="D3732" s="21" t="str">
        <x:v>lead 23 evidence open</x:v>
      </x:c>
      <x:c r="E3732" s="21" t="n">
        <x:f>IF('Long Leads'!K23="OPEN",1,0)</x:f>
        <x:v>1</x:v>
      </x:c>
      <x:c r="F3732" s="21" t="n">
        <x:v>1</x:v>
      </x:c>
      <x:c r="G3732" s="23" t="str">
        <x:f>IF(E3732=F3732,"PASS","FAIL")</x:f>
        <x:v>PASS</x:v>
      </x:c>
    </x:row>
    <x:row r="3733">
      <x:c r="B3733" s="21" t="str">
        <x:v>A3727</x:v>
      </x:c>
      <x:c r="C3733" s="21" t="str">
        <x:v>long lead</x:v>
      </x:c>
      <x:c r="D3733" s="21" t="str">
        <x:v>lead 24 positive duration</x:v>
      </x:c>
      <x:c r="E3733" s="21" t="n">
        <x:f>IF('Long Leads'!F24&gt;0,1,0)</x:f>
        <x:v>1</x:v>
      </x:c>
      <x:c r="F3733" s="21" t="n">
        <x:v>1</x:v>
      </x:c>
      <x:c r="G3733" s="23" t="str">
        <x:f>IF(E3733=F3733,"PASS","FAIL")</x:f>
        <x:v>PASS</x:v>
      </x:c>
    </x:row>
    <x:row r="3734">
      <x:c r="B3734" s="21" t="str">
        <x:v>A3728</x:v>
      </x:c>
      <x:c r="C3734" s="21" t="str">
        <x:v>long lead</x:v>
      </x:c>
      <x:c r="D3734" s="21" t="str">
        <x:v>lead 24 order plus lead</x:v>
      </x:c>
      <x:c r="E3734" s="21" t="n">
        <x:f>IF('Long Leads'!H24+'Long Leads'!F24&lt;='Long Leads'!G24,1,0)</x:f>
        <x:v>1</x:v>
      </x:c>
      <x:c r="F3734" s="21" t="n">
        <x:v>1</x:v>
      </x:c>
      <x:c r="G3734" s="23" t="str">
        <x:f>IF(E3734=F3734,"PASS","FAIL")</x:f>
        <x:v>PASS</x:v>
      </x:c>
    </x:row>
    <x:row r="3735">
      <x:c r="B3735" s="21" t="str">
        <x:v>A3729</x:v>
      </x:c>
      <x:c r="C3735" s="21" t="str">
        <x:v>long lead</x:v>
      </x:c>
      <x:c r="D3735" s="21" t="str">
        <x:v>lead 24 after freeze</x:v>
      </x:c>
      <x:c r="E3735" s="21" t="n">
        <x:f>IF('Long Leads'!H24&gt;='Long Leads'!I24,1,0)</x:f>
        <x:v>1</x:v>
      </x:c>
      <x:c r="F3735" s="21" t="n">
        <x:v>1</x:v>
      </x:c>
      <x:c r="G3735" s="23" t="str">
        <x:f>IF(E3735=F3735,"PASS","FAIL")</x:f>
        <x:v>PASS</x:v>
      </x:c>
    </x:row>
    <x:row r="3736">
      <x:c r="B3736" s="21" t="str">
        <x:v>A3730</x:v>
      </x:c>
      <x:c r="C3736" s="21" t="str">
        <x:v>long lead</x:v>
      </x:c>
      <x:c r="D3736" s="21" t="str">
        <x:v>lead 24 margin formula</x:v>
      </x:c>
      <x:c r="E3736" s="21" t="n">
        <x:f>IF('Long Leads'!J24='Long Leads'!H24-'Long Leads'!I24,1,0)</x:f>
        <x:v>1</x:v>
      </x:c>
      <x:c r="F3736" s="21" t="n">
        <x:v>1</x:v>
      </x:c>
      <x:c r="G3736" s="23" t="str">
        <x:f>IF(E3736=F3736,"PASS","FAIL")</x:f>
        <x:v>PASS</x:v>
      </x:c>
    </x:row>
    <x:row r="3737">
      <x:c r="B3737" s="21" t="str">
        <x:v>A3731</x:v>
      </x:c>
      <x:c r="C3737" s="21" t="str">
        <x:v>long lead</x:v>
      </x:c>
      <x:c r="D3737" s="21" t="str">
        <x:v>lead 24 evidence open</x:v>
      </x:c>
      <x:c r="E3737" s="21" t="n">
        <x:f>IF('Long Leads'!K24="OPEN",1,0)</x:f>
        <x:v>1</x:v>
      </x:c>
      <x:c r="F3737" s="21" t="n">
        <x:v>1</x:v>
      </x:c>
      <x:c r="G3737" s="23" t="str">
        <x:f>IF(E3737=F3737,"PASS","FAIL")</x:f>
        <x:v>PASS</x:v>
      </x:c>
    </x:row>
    <x:row r="3738">
      <x:c r="B3738" s="21" t="str">
        <x:v>A3732</x:v>
      </x:c>
      <x:c r="C3738" s="21" t="str">
        <x:v>long lead</x:v>
      </x:c>
      <x:c r="D3738" s="21" t="str">
        <x:v>lead 25 positive duration</x:v>
      </x:c>
      <x:c r="E3738" s="21" t="n">
        <x:f>IF('Long Leads'!F25&gt;0,1,0)</x:f>
        <x:v>1</x:v>
      </x:c>
      <x:c r="F3738" s="21" t="n">
        <x:v>1</x:v>
      </x:c>
      <x:c r="G3738" s="23" t="str">
        <x:f>IF(E3738=F3738,"PASS","FAIL")</x:f>
        <x:v>PASS</x:v>
      </x:c>
    </x:row>
    <x:row r="3739">
      <x:c r="B3739" s="21" t="str">
        <x:v>A3733</x:v>
      </x:c>
      <x:c r="C3739" s="21" t="str">
        <x:v>long lead</x:v>
      </x:c>
      <x:c r="D3739" s="21" t="str">
        <x:v>lead 25 order plus lead</x:v>
      </x:c>
      <x:c r="E3739" s="21" t="n">
        <x:f>IF('Long Leads'!H25+'Long Leads'!F25&lt;='Long Leads'!G25,1,0)</x:f>
        <x:v>1</x:v>
      </x:c>
      <x:c r="F3739" s="21" t="n">
        <x:v>1</x:v>
      </x:c>
      <x:c r="G3739" s="23" t="str">
        <x:f>IF(E3739=F3739,"PASS","FAIL")</x:f>
        <x:v>PASS</x:v>
      </x:c>
    </x:row>
    <x:row r="3740">
      <x:c r="B3740" s="21" t="str">
        <x:v>A3734</x:v>
      </x:c>
      <x:c r="C3740" s="21" t="str">
        <x:v>long lead</x:v>
      </x:c>
      <x:c r="D3740" s="21" t="str">
        <x:v>lead 25 after freeze</x:v>
      </x:c>
      <x:c r="E3740" s="21" t="n">
        <x:f>IF('Long Leads'!H25&gt;='Long Leads'!I25,1,0)</x:f>
        <x:v>1</x:v>
      </x:c>
      <x:c r="F3740" s="21" t="n">
        <x:v>1</x:v>
      </x:c>
      <x:c r="G3740" s="23" t="str">
        <x:f>IF(E3740=F3740,"PASS","FAIL")</x:f>
        <x:v>PASS</x:v>
      </x:c>
    </x:row>
    <x:row r="3741">
      <x:c r="B3741" s="21" t="str">
        <x:v>A3735</x:v>
      </x:c>
      <x:c r="C3741" s="21" t="str">
        <x:v>long lead</x:v>
      </x:c>
      <x:c r="D3741" s="21" t="str">
        <x:v>lead 25 margin formula</x:v>
      </x:c>
      <x:c r="E3741" s="21" t="n">
        <x:f>IF('Long Leads'!J25='Long Leads'!H25-'Long Leads'!I25,1,0)</x:f>
        <x:v>1</x:v>
      </x:c>
      <x:c r="F3741" s="21" t="n">
        <x:v>1</x:v>
      </x:c>
      <x:c r="G3741" s="23" t="str">
        <x:f>IF(E3741=F3741,"PASS","FAIL")</x:f>
        <x:v>PASS</x:v>
      </x:c>
    </x:row>
    <x:row r="3742">
      <x:c r="B3742" s="21" t="str">
        <x:v>A3736</x:v>
      </x:c>
      <x:c r="C3742" s="21" t="str">
        <x:v>long lead</x:v>
      </x:c>
      <x:c r="D3742" s="21" t="str">
        <x:v>lead 25 evidence open</x:v>
      </x:c>
      <x:c r="E3742" s="21" t="n">
        <x:f>IF('Long Leads'!K25="OPEN",1,0)</x:f>
        <x:v>1</x:v>
      </x:c>
      <x:c r="F3742" s="21" t="n">
        <x:v>1</x:v>
      </x:c>
      <x:c r="G3742" s="23" t="str">
        <x:f>IF(E3742=F3742,"PASS","FAIL")</x:f>
        <x:v>PASS</x:v>
      </x:c>
    </x:row>
    <x:row r="3743">
      <x:c r="B3743" s="21" t="str">
        <x:v>A3737</x:v>
      </x:c>
      <x:c r="C3743" s="21" t="str">
        <x:v>long lead</x:v>
      </x:c>
      <x:c r="D3743" s="21" t="str">
        <x:v>lead 26 positive duration</x:v>
      </x:c>
      <x:c r="E3743" s="21" t="n">
        <x:f>IF('Long Leads'!F26&gt;0,1,0)</x:f>
        <x:v>1</x:v>
      </x:c>
      <x:c r="F3743" s="21" t="n">
        <x:v>1</x:v>
      </x:c>
      <x:c r="G3743" s="23" t="str">
        <x:f>IF(E3743=F3743,"PASS","FAIL")</x:f>
        <x:v>PASS</x:v>
      </x:c>
    </x:row>
    <x:row r="3744">
      <x:c r="B3744" s="21" t="str">
        <x:v>A3738</x:v>
      </x:c>
      <x:c r="C3744" s="21" t="str">
        <x:v>long lead</x:v>
      </x:c>
      <x:c r="D3744" s="21" t="str">
        <x:v>lead 26 order plus lead</x:v>
      </x:c>
      <x:c r="E3744" s="21" t="n">
        <x:f>IF('Long Leads'!H26+'Long Leads'!F26&lt;='Long Leads'!G26,1,0)</x:f>
        <x:v>1</x:v>
      </x:c>
      <x:c r="F3744" s="21" t="n">
        <x:v>1</x:v>
      </x:c>
      <x:c r="G3744" s="23" t="str">
        <x:f>IF(E3744=F3744,"PASS","FAIL")</x:f>
        <x:v>PASS</x:v>
      </x:c>
    </x:row>
    <x:row r="3745">
      <x:c r="B3745" s="21" t="str">
        <x:v>A3739</x:v>
      </x:c>
      <x:c r="C3745" s="21" t="str">
        <x:v>long lead</x:v>
      </x:c>
      <x:c r="D3745" s="21" t="str">
        <x:v>lead 26 after freeze</x:v>
      </x:c>
      <x:c r="E3745" s="21" t="n">
        <x:f>IF('Long Leads'!H26&gt;='Long Leads'!I26,1,0)</x:f>
        <x:v>1</x:v>
      </x:c>
      <x:c r="F3745" s="21" t="n">
        <x:v>1</x:v>
      </x:c>
      <x:c r="G3745" s="23" t="str">
        <x:f>IF(E3745=F3745,"PASS","FAIL")</x:f>
        <x:v>PASS</x:v>
      </x:c>
    </x:row>
    <x:row r="3746">
      <x:c r="B3746" s="21" t="str">
        <x:v>A3740</x:v>
      </x:c>
      <x:c r="C3746" s="21" t="str">
        <x:v>long lead</x:v>
      </x:c>
      <x:c r="D3746" s="21" t="str">
        <x:v>lead 26 margin formula</x:v>
      </x:c>
      <x:c r="E3746" s="21" t="n">
        <x:f>IF('Long Leads'!J26='Long Leads'!H26-'Long Leads'!I26,1,0)</x:f>
        <x:v>1</x:v>
      </x:c>
      <x:c r="F3746" s="21" t="n">
        <x:v>1</x:v>
      </x:c>
      <x:c r="G3746" s="23" t="str">
        <x:f>IF(E3746=F3746,"PASS","FAIL")</x:f>
        <x:v>PASS</x:v>
      </x:c>
    </x:row>
    <x:row r="3747">
      <x:c r="B3747" s="21" t="str">
        <x:v>A3741</x:v>
      </x:c>
      <x:c r="C3747" s="21" t="str">
        <x:v>long lead</x:v>
      </x:c>
      <x:c r="D3747" s="21" t="str">
        <x:v>lead 26 evidence open</x:v>
      </x:c>
      <x:c r="E3747" s="21" t="n">
        <x:f>IF('Long Leads'!K26="OPEN",1,0)</x:f>
        <x:v>1</x:v>
      </x:c>
      <x:c r="F3747" s="21" t="n">
        <x:v>1</x:v>
      </x:c>
      <x:c r="G3747" s="23" t="str">
        <x:f>IF(E3747=F3747,"PASS","FAIL")</x:f>
        <x:v>PASS</x:v>
      </x:c>
    </x:row>
    <x:row r="3748">
      <x:c r="B3748" s="21" t="str">
        <x:v>A3742</x:v>
      </x:c>
      <x:c r="C3748" s="21" t="str">
        <x:v>long lead</x:v>
      </x:c>
      <x:c r="D3748" s="21" t="str">
        <x:v>lead 27 positive duration</x:v>
      </x:c>
      <x:c r="E3748" s="21" t="n">
        <x:f>IF('Long Leads'!F27&gt;0,1,0)</x:f>
        <x:v>1</x:v>
      </x:c>
      <x:c r="F3748" s="21" t="n">
        <x:v>1</x:v>
      </x:c>
      <x:c r="G3748" s="23" t="str">
        <x:f>IF(E3748=F3748,"PASS","FAIL")</x:f>
        <x:v>PASS</x:v>
      </x:c>
    </x:row>
    <x:row r="3749">
      <x:c r="B3749" s="21" t="str">
        <x:v>A3743</x:v>
      </x:c>
      <x:c r="C3749" s="21" t="str">
        <x:v>long lead</x:v>
      </x:c>
      <x:c r="D3749" s="21" t="str">
        <x:v>lead 27 order plus lead</x:v>
      </x:c>
      <x:c r="E3749" s="21" t="n">
        <x:f>IF('Long Leads'!H27+'Long Leads'!F27&lt;='Long Leads'!G27,1,0)</x:f>
        <x:v>1</x:v>
      </x:c>
      <x:c r="F3749" s="21" t="n">
        <x:v>1</x:v>
      </x:c>
      <x:c r="G3749" s="23" t="str">
        <x:f>IF(E3749=F3749,"PASS","FAIL")</x:f>
        <x:v>PASS</x:v>
      </x:c>
    </x:row>
    <x:row r="3750">
      <x:c r="B3750" s="21" t="str">
        <x:v>A3744</x:v>
      </x:c>
      <x:c r="C3750" s="21" t="str">
        <x:v>long lead</x:v>
      </x:c>
      <x:c r="D3750" s="21" t="str">
        <x:v>lead 27 after freeze</x:v>
      </x:c>
      <x:c r="E3750" s="21" t="n">
        <x:f>IF('Long Leads'!H27&gt;='Long Leads'!I27,1,0)</x:f>
        <x:v>1</x:v>
      </x:c>
      <x:c r="F3750" s="21" t="n">
        <x:v>1</x:v>
      </x:c>
      <x:c r="G3750" s="23" t="str">
        <x:f>IF(E3750=F3750,"PASS","FAIL")</x:f>
        <x:v>PASS</x:v>
      </x:c>
    </x:row>
    <x:row r="3751">
      <x:c r="B3751" s="21" t="str">
        <x:v>A3745</x:v>
      </x:c>
      <x:c r="C3751" s="21" t="str">
        <x:v>long lead</x:v>
      </x:c>
      <x:c r="D3751" s="21" t="str">
        <x:v>lead 27 margin formula</x:v>
      </x:c>
      <x:c r="E3751" s="21" t="n">
        <x:f>IF('Long Leads'!J27='Long Leads'!H27-'Long Leads'!I27,1,0)</x:f>
        <x:v>1</x:v>
      </x:c>
      <x:c r="F3751" s="21" t="n">
        <x:v>1</x:v>
      </x:c>
      <x:c r="G3751" s="23" t="str">
        <x:f>IF(E3751=F3751,"PASS","FAIL")</x:f>
        <x:v>PASS</x:v>
      </x:c>
    </x:row>
    <x:row r="3752">
      <x:c r="B3752" s="21" t="str">
        <x:v>A3746</x:v>
      </x:c>
      <x:c r="C3752" s="21" t="str">
        <x:v>long lead</x:v>
      </x:c>
      <x:c r="D3752" s="21" t="str">
        <x:v>lead 27 evidence open</x:v>
      </x:c>
      <x:c r="E3752" s="21" t="n">
        <x:f>IF('Long Leads'!K27="OPEN",1,0)</x:f>
        <x:v>1</x:v>
      </x:c>
      <x:c r="F3752" s="21" t="n">
        <x:v>1</x:v>
      </x:c>
      <x:c r="G3752" s="23" t="str">
        <x:f>IF(E3752=F3752,"PASS","FAIL")</x:f>
        <x:v>PASS</x:v>
      </x:c>
    </x:row>
    <x:row r="3753">
      <x:c r="B3753" s="21" t="str">
        <x:v>A3747</x:v>
      </x:c>
      <x:c r="C3753" s="21" t="str">
        <x:v>long lead</x:v>
      </x:c>
      <x:c r="D3753" s="21" t="str">
        <x:v>lead 28 positive duration</x:v>
      </x:c>
      <x:c r="E3753" s="21" t="n">
        <x:f>IF('Long Leads'!F28&gt;0,1,0)</x:f>
        <x:v>1</x:v>
      </x:c>
      <x:c r="F3753" s="21" t="n">
        <x:v>1</x:v>
      </x:c>
      <x:c r="G3753" s="23" t="str">
        <x:f>IF(E3753=F3753,"PASS","FAIL")</x:f>
        <x:v>PASS</x:v>
      </x:c>
    </x:row>
    <x:row r="3754">
      <x:c r="B3754" s="21" t="str">
        <x:v>A3748</x:v>
      </x:c>
      <x:c r="C3754" s="21" t="str">
        <x:v>long lead</x:v>
      </x:c>
      <x:c r="D3754" s="21" t="str">
        <x:v>lead 28 order plus lead</x:v>
      </x:c>
      <x:c r="E3754" s="21" t="n">
        <x:f>IF('Long Leads'!H28+'Long Leads'!F28&lt;='Long Leads'!G28,1,0)</x:f>
        <x:v>1</x:v>
      </x:c>
      <x:c r="F3754" s="21" t="n">
        <x:v>1</x:v>
      </x:c>
      <x:c r="G3754" s="23" t="str">
        <x:f>IF(E3754=F3754,"PASS","FAIL")</x:f>
        <x:v>PASS</x:v>
      </x:c>
    </x:row>
    <x:row r="3755">
      <x:c r="B3755" s="21" t="str">
        <x:v>A3749</x:v>
      </x:c>
      <x:c r="C3755" s="21" t="str">
        <x:v>long lead</x:v>
      </x:c>
      <x:c r="D3755" s="21" t="str">
        <x:v>lead 28 after freeze</x:v>
      </x:c>
      <x:c r="E3755" s="21" t="n">
        <x:f>IF('Long Leads'!H28&gt;='Long Leads'!I28,1,0)</x:f>
        <x:v>1</x:v>
      </x:c>
      <x:c r="F3755" s="21" t="n">
        <x:v>1</x:v>
      </x:c>
      <x:c r="G3755" s="23" t="str">
        <x:f>IF(E3755=F3755,"PASS","FAIL")</x:f>
        <x:v>PASS</x:v>
      </x:c>
    </x:row>
    <x:row r="3756">
      <x:c r="B3756" s="21" t="str">
        <x:v>A3750</x:v>
      </x:c>
      <x:c r="C3756" s="21" t="str">
        <x:v>long lead</x:v>
      </x:c>
      <x:c r="D3756" s="21" t="str">
        <x:v>lead 28 margin formula</x:v>
      </x:c>
      <x:c r="E3756" s="21" t="n">
        <x:f>IF('Long Leads'!J28='Long Leads'!H28-'Long Leads'!I28,1,0)</x:f>
        <x:v>1</x:v>
      </x:c>
      <x:c r="F3756" s="21" t="n">
        <x:v>1</x:v>
      </x:c>
      <x:c r="G3756" s="23" t="str">
        <x:f>IF(E3756=F3756,"PASS","FAIL")</x:f>
        <x:v>PASS</x:v>
      </x:c>
    </x:row>
    <x:row r="3757">
      <x:c r="B3757" s="21" t="str">
        <x:v>A3751</x:v>
      </x:c>
      <x:c r="C3757" s="21" t="str">
        <x:v>long lead</x:v>
      </x:c>
      <x:c r="D3757" s="21" t="str">
        <x:v>lead 28 evidence open</x:v>
      </x:c>
      <x:c r="E3757" s="21" t="n">
        <x:f>IF('Long Leads'!K28="OPEN",1,0)</x:f>
        <x:v>1</x:v>
      </x:c>
      <x:c r="F3757" s="21" t="n">
        <x:v>1</x:v>
      </x:c>
      <x:c r="G3757" s="23" t="str">
        <x:f>IF(E3757=F3757,"PASS","FAIL")</x:f>
        <x:v>PASS</x:v>
      </x:c>
    </x:row>
    <x:row r="3758">
      <x:c r="B3758" s="21" t="str">
        <x:v>A3752</x:v>
      </x:c>
      <x:c r="C3758" s="21" t="str">
        <x:v>milestone</x:v>
      </x:c>
      <x:c r="D3758" s="21" t="str">
        <x:v>milestone 7 share positive</x:v>
      </x:c>
      <x:c r="E3758" s="21" t="n">
        <x:f>IF(Milestones!H7&gt;0,1,0)</x:f>
        <x:v>1</x:v>
      </x:c>
      <x:c r="F3758" s="21" t="n">
        <x:v>1</x:v>
      </x:c>
      <x:c r="G3758" s="23" t="str">
        <x:f>IF(E3758=F3758,"PASS","FAIL")</x:f>
        <x:v>PASS</x:v>
      </x:c>
    </x:row>
    <x:row r="3759">
      <x:c r="B3759" s="21" t="str">
        <x:v>A3753</x:v>
      </x:c>
      <x:c r="C3759" s="21" t="str">
        <x:v>milestone</x:v>
      </x:c>
      <x:c r="D3759" s="21" t="str">
        <x:v>milestone 7 year bounded</x:v>
      </x:c>
      <x:c r="E3759" s="21" t="n">
        <x:f>IF(AND(Milestones!I7&gt;=1,Milestones!I7&lt;=9),1,0)</x:f>
        <x:v>1</x:v>
      </x:c>
      <x:c r="F3759" s="21" t="n">
        <x:v>1</x:v>
      </x:c>
      <x:c r="G3759" s="23" t="str">
        <x:f>IF(E3759=F3759,"PASS","FAIL")</x:f>
        <x:v>PASS</x:v>
      </x:c>
    </x:row>
    <x:row r="3760">
      <x:c r="B3760" s="21" t="str">
        <x:v>A3754</x:v>
      </x:c>
      <x:c r="C3760" s="21" t="str">
        <x:v>milestone</x:v>
      </x:c>
      <x:c r="D3760" s="21" t="str">
        <x:v>milestone 7 payment nonnegative</x:v>
      </x:c>
      <x:c r="E3760" s="21" t="n">
        <x:f>IF(Milestones!J7&gt;=0,1,0)</x:f>
        <x:v>1</x:v>
      </x:c>
      <x:c r="F3760" s="21" t="n">
        <x:v>1</x:v>
      </x:c>
      <x:c r="G3760" s="23" t="str">
        <x:f>IF(E3760=F3760,"PASS","FAIL")</x:f>
        <x:v>PASS</x:v>
      </x:c>
    </x:row>
    <x:row r="3761">
      <x:c r="B3761" s="21" t="str">
        <x:v>A3755</x:v>
      </x:c>
      <x:c r="C3761" s="21" t="str">
        <x:v>milestone</x:v>
      </x:c>
      <x:c r="D3761" s="21" t="str">
        <x:v>milestone 7 evidence open</x:v>
      </x:c>
      <x:c r="E3761" s="21" t="n">
        <x:f>IF(Milestones!L7="OPEN",1,0)</x:f>
        <x:v>1</x:v>
      </x:c>
      <x:c r="F3761" s="21" t="n">
        <x:v>1</x:v>
      </x:c>
      <x:c r="G3761" s="23" t="str">
        <x:f>IF(E3761=F3761,"PASS","FAIL")</x:f>
        <x:v>PASS</x:v>
      </x:c>
    </x:row>
    <x:row r="3762">
      <x:c r="B3762" s="21" t="str">
        <x:v>A3756</x:v>
      </x:c>
      <x:c r="C3762" s="21" t="str">
        <x:v>milestone</x:v>
      </x:c>
      <x:c r="D3762" s="21" t="str">
        <x:v>milestone 7 decision held</x:v>
      </x:c>
      <x:c r="E3762" s="21" t="n">
        <x:f>IF(Milestones!M7="HOLD",1,0)</x:f>
        <x:v>1</x:v>
      </x:c>
      <x:c r="F3762" s="21" t="n">
        <x:v>1</x:v>
      </x:c>
      <x:c r="G3762" s="23" t="str">
        <x:f>IF(E3762=F3762,"PASS","FAIL")</x:f>
        <x:v>PASS</x:v>
      </x:c>
    </x:row>
    <x:row r="3763">
      <x:c r="B3763" s="21" t="str">
        <x:v>A3757</x:v>
      </x:c>
      <x:c r="C3763" s="21" t="str">
        <x:v>milestone</x:v>
      </x:c>
      <x:c r="D3763" s="21" t="str">
        <x:v>milestone 8 share positive</x:v>
      </x:c>
      <x:c r="E3763" s="21" t="n">
        <x:f>IF(Milestones!H8&gt;0,1,0)</x:f>
        <x:v>1</x:v>
      </x:c>
      <x:c r="F3763" s="21" t="n">
        <x:v>1</x:v>
      </x:c>
      <x:c r="G3763" s="23" t="str">
        <x:f>IF(E3763=F3763,"PASS","FAIL")</x:f>
        <x:v>PASS</x:v>
      </x:c>
    </x:row>
    <x:row r="3764">
      <x:c r="B3764" s="21" t="str">
        <x:v>A3758</x:v>
      </x:c>
      <x:c r="C3764" s="21" t="str">
        <x:v>milestone</x:v>
      </x:c>
      <x:c r="D3764" s="21" t="str">
        <x:v>milestone 8 year bounded</x:v>
      </x:c>
      <x:c r="E3764" s="21" t="n">
        <x:f>IF(AND(Milestones!I8&gt;=1,Milestones!I8&lt;=9),1,0)</x:f>
        <x:v>1</x:v>
      </x:c>
      <x:c r="F3764" s="21" t="n">
        <x:v>1</x:v>
      </x:c>
      <x:c r="G3764" s="23" t="str">
        <x:f>IF(E3764=F3764,"PASS","FAIL")</x:f>
        <x:v>PASS</x:v>
      </x:c>
    </x:row>
    <x:row r="3765">
      <x:c r="B3765" s="21" t="str">
        <x:v>A3759</x:v>
      </x:c>
      <x:c r="C3765" s="21" t="str">
        <x:v>milestone</x:v>
      </x:c>
      <x:c r="D3765" s="21" t="str">
        <x:v>milestone 8 payment nonnegative</x:v>
      </x:c>
      <x:c r="E3765" s="21" t="n">
        <x:f>IF(Milestones!J8&gt;=0,1,0)</x:f>
        <x:v>1</x:v>
      </x:c>
      <x:c r="F3765" s="21" t="n">
        <x:v>1</x:v>
      </x:c>
      <x:c r="G3765" s="23" t="str">
        <x:f>IF(E3765=F3765,"PASS","FAIL")</x:f>
        <x:v>PASS</x:v>
      </x:c>
    </x:row>
    <x:row r="3766">
      <x:c r="B3766" s="21" t="str">
        <x:v>A3760</x:v>
      </x:c>
      <x:c r="C3766" s="21" t="str">
        <x:v>milestone</x:v>
      </x:c>
      <x:c r="D3766" s="21" t="str">
        <x:v>milestone 8 evidence open</x:v>
      </x:c>
      <x:c r="E3766" s="21" t="n">
        <x:f>IF(Milestones!L8="OPEN",1,0)</x:f>
        <x:v>1</x:v>
      </x:c>
      <x:c r="F3766" s="21" t="n">
        <x:v>1</x:v>
      </x:c>
      <x:c r="G3766" s="23" t="str">
        <x:f>IF(E3766=F3766,"PASS","FAIL")</x:f>
        <x:v>PASS</x:v>
      </x:c>
    </x:row>
    <x:row r="3767">
      <x:c r="B3767" s="21" t="str">
        <x:v>A3761</x:v>
      </x:c>
      <x:c r="C3767" s="21" t="str">
        <x:v>milestone</x:v>
      </x:c>
      <x:c r="D3767" s="21" t="str">
        <x:v>milestone 8 decision held</x:v>
      </x:c>
      <x:c r="E3767" s="21" t="n">
        <x:f>IF(Milestones!M8="HOLD",1,0)</x:f>
        <x:v>1</x:v>
      </x:c>
      <x:c r="F3767" s="21" t="n">
        <x:v>1</x:v>
      </x:c>
      <x:c r="G3767" s="23" t="str">
        <x:f>IF(E3767=F3767,"PASS","FAIL")</x:f>
        <x:v>PASS</x:v>
      </x:c>
    </x:row>
    <x:row r="3768">
      <x:c r="B3768" s="21" t="str">
        <x:v>A3762</x:v>
      </x:c>
      <x:c r="C3768" s="21" t="str">
        <x:v>milestone</x:v>
      </x:c>
      <x:c r="D3768" s="21" t="str">
        <x:v>milestone 9 share positive</x:v>
      </x:c>
      <x:c r="E3768" s="21" t="n">
        <x:f>IF(Milestones!H9&gt;0,1,0)</x:f>
        <x:v>1</x:v>
      </x:c>
      <x:c r="F3768" s="21" t="n">
        <x:v>1</x:v>
      </x:c>
      <x:c r="G3768" s="23" t="str">
        <x:f>IF(E3768=F3768,"PASS","FAIL")</x:f>
        <x:v>PASS</x:v>
      </x:c>
    </x:row>
    <x:row r="3769">
      <x:c r="B3769" s="21" t="str">
        <x:v>A3763</x:v>
      </x:c>
      <x:c r="C3769" s="21" t="str">
        <x:v>milestone</x:v>
      </x:c>
      <x:c r="D3769" s="21" t="str">
        <x:v>milestone 9 year bounded</x:v>
      </x:c>
      <x:c r="E3769" s="21" t="n">
        <x:f>IF(AND(Milestones!I9&gt;=1,Milestones!I9&lt;=9),1,0)</x:f>
        <x:v>1</x:v>
      </x:c>
      <x:c r="F3769" s="21" t="n">
        <x:v>1</x:v>
      </x:c>
      <x:c r="G3769" s="23" t="str">
        <x:f>IF(E3769=F3769,"PASS","FAIL")</x:f>
        <x:v>PASS</x:v>
      </x:c>
    </x:row>
    <x:row r="3770">
      <x:c r="B3770" s="21" t="str">
        <x:v>A3764</x:v>
      </x:c>
      <x:c r="C3770" s="21" t="str">
        <x:v>milestone</x:v>
      </x:c>
      <x:c r="D3770" s="21" t="str">
        <x:v>milestone 9 payment nonnegative</x:v>
      </x:c>
      <x:c r="E3770" s="21" t="n">
        <x:f>IF(Milestones!J9&gt;=0,1,0)</x:f>
        <x:v>1</x:v>
      </x:c>
      <x:c r="F3770" s="21" t="n">
        <x:v>1</x:v>
      </x:c>
      <x:c r="G3770" s="23" t="str">
        <x:f>IF(E3770=F3770,"PASS","FAIL")</x:f>
        <x:v>PASS</x:v>
      </x:c>
    </x:row>
    <x:row r="3771">
      <x:c r="B3771" s="21" t="str">
        <x:v>A3765</x:v>
      </x:c>
      <x:c r="C3771" s="21" t="str">
        <x:v>milestone</x:v>
      </x:c>
      <x:c r="D3771" s="21" t="str">
        <x:v>milestone 9 evidence open</x:v>
      </x:c>
      <x:c r="E3771" s="21" t="n">
        <x:f>IF(Milestones!L9="OPEN",1,0)</x:f>
        <x:v>1</x:v>
      </x:c>
      <x:c r="F3771" s="21" t="n">
        <x:v>1</x:v>
      </x:c>
      <x:c r="G3771" s="23" t="str">
        <x:f>IF(E3771=F3771,"PASS","FAIL")</x:f>
        <x:v>PASS</x:v>
      </x:c>
    </x:row>
    <x:row r="3772">
      <x:c r="B3772" s="21" t="str">
        <x:v>A3766</x:v>
      </x:c>
      <x:c r="C3772" s="21" t="str">
        <x:v>milestone</x:v>
      </x:c>
      <x:c r="D3772" s="21" t="str">
        <x:v>milestone 9 decision held</x:v>
      </x:c>
      <x:c r="E3772" s="21" t="n">
        <x:f>IF(Milestones!M9="HOLD",1,0)</x:f>
        <x:v>1</x:v>
      </x:c>
      <x:c r="F3772" s="21" t="n">
        <x:v>1</x:v>
      </x:c>
      <x:c r="G3772" s="23" t="str">
        <x:f>IF(E3772=F3772,"PASS","FAIL")</x:f>
        <x:v>PASS</x:v>
      </x:c>
    </x:row>
    <x:row r="3773">
      <x:c r="B3773" s="21" t="str">
        <x:v>A3767</x:v>
      </x:c>
      <x:c r="C3773" s="21" t="str">
        <x:v>milestone</x:v>
      </x:c>
      <x:c r="D3773" s="21" t="str">
        <x:v>milestone 10 share positive</x:v>
      </x:c>
      <x:c r="E3773" s="21" t="n">
        <x:f>IF(Milestones!H10&gt;0,1,0)</x:f>
        <x:v>1</x:v>
      </x:c>
      <x:c r="F3773" s="21" t="n">
        <x:v>1</x:v>
      </x:c>
      <x:c r="G3773" s="23" t="str">
        <x:f>IF(E3773=F3773,"PASS","FAIL")</x:f>
        <x:v>PASS</x:v>
      </x:c>
    </x:row>
    <x:row r="3774">
      <x:c r="B3774" s="21" t="str">
        <x:v>A3768</x:v>
      </x:c>
      <x:c r="C3774" s="21" t="str">
        <x:v>milestone</x:v>
      </x:c>
      <x:c r="D3774" s="21" t="str">
        <x:v>milestone 10 year bounded</x:v>
      </x:c>
      <x:c r="E3774" s="21" t="n">
        <x:f>IF(AND(Milestones!I10&gt;=1,Milestones!I10&lt;=9),1,0)</x:f>
        <x:v>1</x:v>
      </x:c>
      <x:c r="F3774" s="21" t="n">
        <x:v>1</x:v>
      </x:c>
      <x:c r="G3774" s="23" t="str">
        <x:f>IF(E3774=F3774,"PASS","FAIL")</x:f>
        <x:v>PASS</x:v>
      </x:c>
    </x:row>
    <x:row r="3775">
      <x:c r="B3775" s="21" t="str">
        <x:v>A3769</x:v>
      </x:c>
      <x:c r="C3775" s="21" t="str">
        <x:v>milestone</x:v>
      </x:c>
      <x:c r="D3775" s="21" t="str">
        <x:v>milestone 10 payment nonnegative</x:v>
      </x:c>
      <x:c r="E3775" s="21" t="n">
        <x:f>IF(Milestones!J10&gt;=0,1,0)</x:f>
        <x:v>1</x:v>
      </x:c>
      <x:c r="F3775" s="21" t="n">
        <x:v>1</x:v>
      </x:c>
      <x:c r="G3775" s="23" t="str">
        <x:f>IF(E3775=F3775,"PASS","FAIL")</x:f>
        <x:v>PASS</x:v>
      </x:c>
    </x:row>
    <x:row r="3776">
      <x:c r="B3776" s="21" t="str">
        <x:v>A3770</x:v>
      </x:c>
      <x:c r="C3776" s="21" t="str">
        <x:v>milestone</x:v>
      </x:c>
      <x:c r="D3776" s="21" t="str">
        <x:v>milestone 10 evidence open</x:v>
      </x:c>
      <x:c r="E3776" s="21" t="n">
        <x:f>IF(Milestones!L10="OPEN",1,0)</x:f>
        <x:v>1</x:v>
      </x:c>
      <x:c r="F3776" s="21" t="n">
        <x:v>1</x:v>
      </x:c>
      <x:c r="G3776" s="23" t="str">
        <x:f>IF(E3776=F3776,"PASS","FAIL")</x:f>
        <x:v>PASS</x:v>
      </x:c>
    </x:row>
    <x:row r="3777">
      <x:c r="B3777" s="21" t="str">
        <x:v>A3771</x:v>
      </x:c>
      <x:c r="C3777" s="21" t="str">
        <x:v>milestone</x:v>
      </x:c>
      <x:c r="D3777" s="21" t="str">
        <x:v>milestone 10 decision held</x:v>
      </x:c>
      <x:c r="E3777" s="21" t="n">
        <x:f>IF(Milestones!M10="HOLD",1,0)</x:f>
        <x:v>1</x:v>
      </x:c>
      <x:c r="F3777" s="21" t="n">
        <x:v>1</x:v>
      </x:c>
      <x:c r="G3777" s="23" t="str">
        <x:f>IF(E3777=F3777,"PASS","FAIL")</x:f>
        <x:v>PASS</x:v>
      </x:c>
    </x:row>
    <x:row r="3778">
      <x:c r="B3778" s="21" t="str">
        <x:v>A3772</x:v>
      </x:c>
      <x:c r="C3778" s="21" t="str">
        <x:v>milestone</x:v>
      </x:c>
      <x:c r="D3778" s="21" t="str">
        <x:v>milestone 11 share positive</x:v>
      </x:c>
      <x:c r="E3778" s="21" t="n">
        <x:f>IF(Milestones!H11&gt;0,1,0)</x:f>
        <x:v>1</x:v>
      </x:c>
      <x:c r="F3778" s="21" t="n">
        <x:v>1</x:v>
      </x:c>
      <x:c r="G3778" s="23" t="str">
        <x:f>IF(E3778=F3778,"PASS","FAIL")</x:f>
        <x:v>PASS</x:v>
      </x:c>
    </x:row>
    <x:row r="3779">
      <x:c r="B3779" s="21" t="str">
        <x:v>A3773</x:v>
      </x:c>
      <x:c r="C3779" s="21" t="str">
        <x:v>milestone</x:v>
      </x:c>
      <x:c r="D3779" s="21" t="str">
        <x:v>milestone 11 year bounded</x:v>
      </x:c>
      <x:c r="E3779" s="21" t="n">
        <x:f>IF(AND(Milestones!I11&gt;=1,Milestones!I11&lt;=9),1,0)</x:f>
        <x:v>1</x:v>
      </x:c>
      <x:c r="F3779" s="21" t="n">
        <x:v>1</x:v>
      </x:c>
      <x:c r="G3779" s="23" t="str">
        <x:f>IF(E3779=F3779,"PASS","FAIL")</x:f>
        <x:v>PASS</x:v>
      </x:c>
    </x:row>
    <x:row r="3780">
      <x:c r="B3780" s="21" t="str">
        <x:v>A3774</x:v>
      </x:c>
      <x:c r="C3780" s="21" t="str">
        <x:v>milestone</x:v>
      </x:c>
      <x:c r="D3780" s="21" t="str">
        <x:v>milestone 11 payment nonnegative</x:v>
      </x:c>
      <x:c r="E3780" s="21" t="n">
        <x:f>IF(Milestones!J11&gt;=0,1,0)</x:f>
        <x:v>1</x:v>
      </x:c>
      <x:c r="F3780" s="21" t="n">
        <x:v>1</x:v>
      </x:c>
      <x:c r="G3780" s="23" t="str">
        <x:f>IF(E3780=F3780,"PASS","FAIL")</x:f>
        <x:v>PASS</x:v>
      </x:c>
    </x:row>
    <x:row r="3781">
      <x:c r="B3781" s="21" t="str">
        <x:v>A3775</x:v>
      </x:c>
      <x:c r="C3781" s="21" t="str">
        <x:v>milestone</x:v>
      </x:c>
      <x:c r="D3781" s="21" t="str">
        <x:v>milestone 11 evidence open</x:v>
      </x:c>
      <x:c r="E3781" s="21" t="n">
        <x:f>IF(Milestones!L11="OPEN",1,0)</x:f>
        <x:v>1</x:v>
      </x:c>
      <x:c r="F3781" s="21" t="n">
        <x:v>1</x:v>
      </x:c>
      <x:c r="G3781" s="23" t="str">
        <x:f>IF(E3781=F3781,"PASS","FAIL")</x:f>
        <x:v>PASS</x:v>
      </x:c>
    </x:row>
    <x:row r="3782">
      <x:c r="B3782" s="21" t="str">
        <x:v>A3776</x:v>
      </x:c>
      <x:c r="C3782" s="21" t="str">
        <x:v>milestone</x:v>
      </x:c>
      <x:c r="D3782" s="21" t="str">
        <x:v>milestone 11 decision held</x:v>
      </x:c>
      <x:c r="E3782" s="21" t="n">
        <x:f>IF(Milestones!M11="HOLD",1,0)</x:f>
        <x:v>1</x:v>
      </x:c>
      <x:c r="F3782" s="21" t="n">
        <x:v>1</x:v>
      </x:c>
      <x:c r="G3782" s="23" t="str">
        <x:f>IF(E3782=F3782,"PASS","FAIL")</x:f>
        <x:v>PASS</x:v>
      </x:c>
    </x:row>
    <x:row r="3783">
      <x:c r="B3783" s="21" t="str">
        <x:v>A3777</x:v>
      </x:c>
      <x:c r="C3783" s="21" t="str">
        <x:v>milestone</x:v>
      </x:c>
      <x:c r="D3783" s="21" t="str">
        <x:v>milestone 12 share positive</x:v>
      </x:c>
      <x:c r="E3783" s="21" t="n">
        <x:f>IF(Milestones!H12&gt;0,1,0)</x:f>
        <x:v>1</x:v>
      </x:c>
      <x:c r="F3783" s="21" t="n">
        <x:v>1</x:v>
      </x:c>
      <x:c r="G3783" s="23" t="str">
        <x:f>IF(E3783=F3783,"PASS","FAIL")</x:f>
        <x:v>PASS</x:v>
      </x:c>
    </x:row>
    <x:row r="3784">
      <x:c r="B3784" s="21" t="str">
        <x:v>A3778</x:v>
      </x:c>
      <x:c r="C3784" s="21" t="str">
        <x:v>milestone</x:v>
      </x:c>
      <x:c r="D3784" s="21" t="str">
        <x:v>milestone 12 year bounded</x:v>
      </x:c>
      <x:c r="E3784" s="21" t="n">
        <x:f>IF(AND(Milestones!I12&gt;=1,Milestones!I12&lt;=9),1,0)</x:f>
        <x:v>1</x:v>
      </x:c>
      <x:c r="F3784" s="21" t="n">
        <x:v>1</x:v>
      </x:c>
      <x:c r="G3784" s="23" t="str">
        <x:f>IF(E3784=F3784,"PASS","FAIL")</x:f>
        <x:v>PASS</x:v>
      </x:c>
    </x:row>
    <x:row r="3785">
      <x:c r="B3785" s="21" t="str">
        <x:v>A3779</x:v>
      </x:c>
      <x:c r="C3785" s="21" t="str">
        <x:v>milestone</x:v>
      </x:c>
      <x:c r="D3785" s="21" t="str">
        <x:v>milestone 12 payment nonnegative</x:v>
      </x:c>
      <x:c r="E3785" s="21" t="n">
        <x:f>IF(Milestones!J12&gt;=0,1,0)</x:f>
        <x:v>1</x:v>
      </x:c>
      <x:c r="F3785" s="21" t="n">
        <x:v>1</x:v>
      </x:c>
      <x:c r="G3785" s="23" t="str">
        <x:f>IF(E3785=F3785,"PASS","FAIL")</x:f>
        <x:v>PASS</x:v>
      </x:c>
    </x:row>
    <x:row r="3786">
      <x:c r="B3786" s="21" t="str">
        <x:v>A3780</x:v>
      </x:c>
      <x:c r="C3786" s="21" t="str">
        <x:v>milestone</x:v>
      </x:c>
      <x:c r="D3786" s="21" t="str">
        <x:v>milestone 12 evidence open</x:v>
      </x:c>
      <x:c r="E3786" s="21" t="n">
        <x:f>IF(Milestones!L12="OPEN",1,0)</x:f>
        <x:v>1</x:v>
      </x:c>
      <x:c r="F3786" s="21" t="n">
        <x:v>1</x:v>
      </x:c>
      <x:c r="G3786" s="23" t="str">
        <x:f>IF(E3786=F3786,"PASS","FAIL")</x:f>
        <x:v>PASS</x:v>
      </x:c>
    </x:row>
    <x:row r="3787">
      <x:c r="B3787" s="21" t="str">
        <x:v>A3781</x:v>
      </x:c>
      <x:c r="C3787" s="21" t="str">
        <x:v>milestone</x:v>
      </x:c>
      <x:c r="D3787" s="21" t="str">
        <x:v>milestone 12 decision held</x:v>
      </x:c>
      <x:c r="E3787" s="21" t="n">
        <x:f>IF(Milestones!M12="HOLD",1,0)</x:f>
        <x:v>1</x:v>
      </x:c>
      <x:c r="F3787" s="21" t="n">
        <x:v>1</x:v>
      </x:c>
      <x:c r="G3787" s="23" t="str">
        <x:f>IF(E3787=F3787,"PASS","FAIL")</x:f>
        <x:v>PASS</x:v>
      </x:c>
    </x:row>
    <x:row r="3788">
      <x:c r="B3788" s="21" t="str">
        <x:v>A3782</x:v>
      </x:c>
      <x:c r="C3788" s="21" t="str">
        <x:v>milestone</x:v>
      </x:c>
      <x:c r="D3788" s="21" t="str">
        <x:v>milestone 13 share positive</x:v>
      </x:c>
      <x:c r="E3788" s="21" t="n">
        <x:f>IF(Milestones!H13&gt;0,1,0)</x:f>
        <x:v>1</x:v>
      </x:c>
      <x:c r="F3788" s="21" t="n">
        <x:v>1</x:v>
      </x:c>
      <x:c r="G3788" s="23" t="str">
        <x:f>IF(E3788=F3788,"PASS","FAIL")</x:f>
        <x:v>PASS</x:v>
      </x:c>
    </x:row>
    <x:row r="3789">
      <x:c r="B3789" s="21" t="str">
        <x:v>A3783</x:v>
      </x:c>
      <x:c r="C3789" s="21" t="str">
        <x:v>milestone</x:v>
      </x:c>
      <x:c r="D3789" s="21" t="str">
        <x:v>milestone 13 year bounded</x:v>
      </x:c>
      <x:c r="E3789" s="21" t="n">
        <x:f>IF(AND(Milestones!I13&gt;=1,Milestones!I13&lt;=9),1,0)</x:f>
        <x:v>1</x:v>
      </x:c>
      <x:c r="F3789" s="21" t="n">
        <x:v>1</x:v>
      </x:c>
      <x:c r="G3789" s="23" t="str">
        <x:f>IF(E3789=F3789,"PASS","FAIL")</x:f>
        <x:v>PASS</x:v>
      </x:c>
    </x:row>
    <x:row r="3790">
      <x:c r="B3790" s="21" t="str">
        <x:v>A3784</x:v>
      </x:c>
      <x:c r="C3790" s="21" t="str">
        <x:v>milestone</x:v>
      </x:c>
      <x:c r="D3790" s="21" t="str">
        <x:v>milestone 13 payment nonnegative</x:v>
      </x:c>
      <x:c r="E3790" s="21" t="n">
        <x:f>IF(Milestones!J13&gt;=0,1,0)</x:f>
        <x:v>1</x:v>
      </x:c>
      <x:c r="F3790" s="21" t="n">
        <x:v>1</x:v>
      </x:c>
      <x:c r="G3790" s="23" t="str">
        <x:f>IF(E3790=F3790,"PASS","FAIL")</x:f>
        <x:v>PASS</x:v>
      </x:c>
    </x:row>
    <x:row r="3791">
      <x:c r="B3791" s="21" t="str">
        <x:v>A3785</x:v>
      </x:c>
      <x:c r="C3791" s="21" t="str">
        <x:v>milestone</x:v>
      </x:c>
      <x:c r="D3791" s="21" t="str">
        <x:v>milestone 13 evidence open</x:v>
      </x:c>
      <x:c r="E3791" s="21" t="n">
        <x:f>IF(Milestones!L13="OPEN",1,0)</x:f>
        <x:v>1</x:v>
      </x:c>
      <x:c r="F3791" s="21" t="n">
        <x:v>1</x:v>
      </x:c>
      <x:c r="G3791" s="23" t="str">
        <x:f>IF(E3791=F3791,"PASS","FAIL")</x:f>
        <x:v>PASS</x:v>
      </x:c>
    </x:row>
    <x:row r="3792">
      <x:c r="B3792" s="21" t="str">
        <x:v>A3786</x:v>
      </x:c>
      <x:c r="C3792" s="21" t="str">
        <x:v>milestone</x:v>
      </x:c>
      <x:c r="D3792" s="21" t="str">
        <x:v>milestone 13 decision held</x:v>
      </x:c>
      <x:c r="E3792" s="21" t="n">
        <x:f>IF(Milestones!M13="HOLD",1,0)</x:f>
        <x:v>1</x:v>
      </x:c>
      <x:c r="F3792" s="21" t="n">
        <x:v>1</x:v>
      </x:c>
      <x:c r="G3792" s="23" t="str">
        <x:f>IF(E3792=F3792,"PASS","FAIL")</x:f>
        <x:v>PASS</x:v>
      </x:c>
    </x:row>
    <x:row r="3793">
      <x:c r="B3793" s="21" t="str">
        <x:v>A3787</x:v>
      </x:c>
      <x:c r="C3793" s="21" t="str">
        <x:v>milestone</x:v>
      </x:c>
      <x:c r="D3793" s="21" t="str">
        <x:v>milestone 14 share positive</x:v>
      </x:c>
      <x:c r="E3793" s="21" t="n">
        <x:f>IF(Milestones!H14&gt;0,1,0)</x:f>
        <x:v>1</x:v>
      </x:c>
      <x:c r="F3793" s="21" t="n">
        <x:v>1</x:v>
      </x:c>
      <x:c r="G3793" s="23" t="str">
        <x:f>IF(E3793=F3793,"PASS","FAIL")</x:f>
        <x:v>PASS</x:v>
      </x:c>
    </x:row>
    <x:row r="3794">
      <x:c r="B3794" s="21" t="str">
        <x:v>A3788</x:v>
      </x:c>
      <x:c r="C3794" s="21" t="str">
        <x:v>milestone</x:v>
      </x:c>
      <x:c r="D3794" s="21" t="str">
        <x:v>milestone 14 year bounded</x:v>
      </x:c>
      <x:c r="E3794" s="21" t="n">
        <x:f>IF(AND(Milestones!I14&gt;=1,Milestones!I14&lt;=9),1,0)</x:f>
        <x:v>1</x:v>
      </x:c>
      <x:c r="F3794" s="21" t="n">
        <x:v>1</x:v>
      </x:c>
      <x:c r="G3794" s="23" t="str">
        <x:f>IF(E3794=F3794,"PASS","FAIL")</x:f>
        <x:v>PASS</x:v>
      </x:c>
    </x:row>
    <x:row r="3795">
      <x:c r="B3795" s="21" t="str">
        <x:v>A3789</x:v>
      </x:c>
      <x:c r="C3795" s="21" t="str">
        <x:v>milestone</x:v>
      </x:c>
      <x:c r="D3795" s="21" t="str">
        <x:v>milestone 14 payment nonnegative</x:v>
      </x:c>
      <x:c r="E3795" s="21" t="n">
        <x:f>IF(Milestones!J14&gt;=0,1,0)</x:f>
        <x:v>1</x:v>
      </x:c>
      <x:c r="F3795" s="21" t="n">
        <x:v>1</x:v>
      </x:c>
      <x:c r="G3795" s="23" t="str">
        <x:f>IF(E3795=F3795,"PASS","FAIL")</x:f>
        <x:v>PASS</x:v>
      </x:c>
    </x:row>
    <x:row r="3796">
      <x:c r="B3796" s="21" t="str">
        <x:v>A3790</x:v>
      </x:c>
      <x:c r="C3796" s="21" t="str">
        <x:v>milestone</x:v>
      </x:c>
      <x:c r="D3796" s="21" t="str">
        <x:v>milestone 14 evidence open</x:v>
      </x:c>
      <x:c r="E3796" s="21" t="n">
        <x:f>IF(Milestones!L14="OPEN",1,0)</x:f>
        <x:v>1</x:v>
      </x:c>
      <x:c r="F3796" s="21" t="n">
        <x:v>1</x:v>
      </x:c>
      <x:c r="G3796" s="23" t="str">
        <x:f>IF(E3796=F3796,"PASS","FAIL")</x:f>
        <x:v>PASS</x:v>
      </x:c>
    </x:row>
    <x:row r="3797">
      <x:c r="B3797" s="21" t="str">
        <x:v>A3791</x:v>
      </x:c>
      <x:c r="C3797" s="21" t="str">
        <x:v>milestone</x:v>
      </x:c>
      <x:c r="D3797" s="21" t="str">
        <x:v>milestone 14 decision held</x:v>
      </x:c>
      <x:c r="E3797" s="21" t="n">
        <x:f>IF(Milestones!M14="HOLD",1,0)</x:f>
        <x:v>1</x:v>
      </x:c>
      <x:c r="F3797" s="21" t="n">
        <x:v>1</x:v>
      </x:c>
      <x:c r="G3797" s="23" t="str">
        <x:f>IF(E3797=F3797,"PASS","FAIL")</x:f>
        <x:v>PASS</x:v>
      </x:c>
    </x:row>
    <x:row r="3798">
      <x:c r="B3798" s="21" t="str">
        <x:v>A3792</x:v>
      </x:c>
      <x:c r="C3798" s="21" t="str">
        <x:v>milestone</x:v>
      </x:c>
      <x:c r="D3798" s="21" t="str">
        <x:v>milestone 15 share positive</x:v>
      </x:c>
      <x:c r="E3798" s="21" t="n">
        <x:f>IF(Milestones!H15&gt;0,1,0)</x:f>
        <x:v>1</x:v>
      </x:c>
      <x:c r="F3798" s="21" t="n">
        <x:v>1</x:v>
      </x:c>
      <x:c r="G3798" s="23" t="str">
        <x:f>IF(E3798=F3798,"PASS","FAIL")</x:f>
        <x:v>PASS</x:v>
      </x:c>
    </x:row>
    <x:row r="3799">
      <x:c r="B3799" s="21" t="str">
        <x:v>A3793</x:v>
      </x:c>
      <x:c r="C3799" s="21" t="str">
        <x:v>milestone</x:v>
      </x:c>
      <x:c r="D3799" s="21" t="str">
        <x:v>milestone 15 year bounded</x:v>
      </x:c>
      <x:c r="E3799" s="21" t="n">
        <x:f>IF(AND(Milestones!I15&gt;=1,Milestones!I15&lt;=9),1,0)</x:f>
        <x:v>1</x:v>
      </x:c>
      <x:c r="F3799" s="21" t="n">
        <x:v>1</x:v>
      </x:c>
      <x:c r="G3799" s="23" t="str">
        <x:f>IF(E3799=F3799,"PASS","FAIL")</x:f>
        <x:v>PASS</x:v>
      </x:c>
    </x:row>
    <x:row r="3800">
      <x:c r="B3800" s="21" t="str">
        <x:v>A3794</x:v>
      </x:c>
      <x:c r="C3800" s="21" t="str">
        <x:v>milestone</x:v>
      </x:c>
      <x:c r="D3800" s="21" t="str">
        <x:v>milestone 15 payment nonnegative</x:v>
      </x:c>
      <x:c r="E3800" s="21" t="n">
        <x:f>IF(Milestones!J15&gt;=0,1,0)</x:f>
        <x:v>1</x:v>
      </x:c>
      <x:c r="F3800" s="21" t="n">
        <x:v>1</x:v>
      </x:c>
      <x:c r="G3800" s="23" t="str">
        <x:f>IF(E3800=F3800,"PASS","FAIL")</x:f>
        <x:v>PASS</x:v>
      </x:c>
    </x:row>
    <x:row r="3801">
      <x:c r="B3801" s="21" t="str">
        <x:v>A3795</x:v>
      </x:c>
      <x:c r="C3801" s="21" t="str">
        <x:v>milestone</x:v>
      </x:c>
      <x:c r="D3801" s="21" t="str">
        <x:v>milestone 15 evidence open</x:v>
      </x:c>
      <x:c r="E3801" s="21" t="n">
        <x:f>IF(Milestones!L15="OPEN",1,0)</x:f>
        <x:v>1</x:v>
      </x:c>
      <x:c r="F3801" s="21" t="n">
        <x:v>1</x:v>
      </x:c>
      <x:c r="G3801" s="23" t="str">
        <x:f>IF(E3801=F3801,"PASS","FAIL")</x:f>
        <x:v>PASS</x:v>
      </x:c>
    </x:row>
    <x:row r="3802">
      <x:c r="B3802" s="21" t="str">
        <x:v>A3796</x:v>
      </x:c>
      <x:c r="C3802" s="21" t="str">
        <x:v>milestone</x:v>
      </x:c>
      <x:c r="D3802" s="21" t="str">
        <x:v>milestone 15 decision held</x:v>
      </x:c>
      <x:c r="E3802" s="21" t="n">
        <x:f>IF(Milestones!M15="HOLD",1,0)</x:f>
        <x:v>1</x:v>
      </x:c>
      <x:c r="F3802" s="21" t="n">
        <x:v>1</x:v>
      </x:c>
      <x:c r="G3802" s="23" t="str">
        <x:f>IF(E3802=F3802,"PASS","FAIL")</x:f>
        <x:v>PASS</x:v>
      </x:c>
    </x:row>
    <x:row r="3803">
      <x:c r="B3803" s="21" t="str">
        <x:v>A3797</x:v>
      </x:c>
      <x:c r="C3803" s="21" t="str">
        <x:v>milestone</x:v>
      </x:c>
      <x:c r="D3803" s="21" t="str">
        <x:v>milestone 16 share positive</x:v>
      </x:c>
      <x:c r="E3803" s="21" t="n">
        <x:f>IF(Milestones!H16&gt;0,1,0)</x:f>
        <x:v>1</x:v>
      </x:c>
      <x:c r="F3803" s="21" t="n">
        <x:v>1</x:v>
      </x:c>
      <x:c r="G3803" s="23" t="str">
        <x:f>IF(E3803=F3803,"PASS","FAIL")</x:f>
        <x:v>PASS</x:v>
      </x:c>
    </x:row>
    <x:row r="3804">
      <x:c r="B3804" s="21" t="str">
        <x:v>A3798</x:v>
      </x:c>
      <x:c r="C3804" s="21" t="str">
        <x:v>milestone</x:v>
      </x:c>
      <x:c r="D3804" s="21" t="str">
        <x:v>milestone 16 year bounded</x:v>
      </x:c>
      <x:c r="E3804" s="21" t="n">
        <x:f>IF(AND(Milestones!I16&gt;=1,Milestones!I16&lt;=9),1,0)</x:f>
        <x:v>1</x:v>
      </x:c>
      <x:c r="F3804" s="21" t="n">
        <x:v>1</x:v>
      </x:c>
      <x:c r="G3804" s="23" t="str">
        <x:f>IF(E3804=F3804,"PASS","FAIL")</x:f>
        <x:v>PASS</x:v>
      </x:c>
    </x:row>
    <x:row r="3805">
      <x:c r="B3805" s="21" t="str">
        <x:v>A3799</x:v>
      </x:c>
      <x:c r="C3805" s="21" t="str">
        <x:v>milestone</x:v>
      </x:c>
      <x:c r="D3805" s="21" t="str">
        <x:v>milestone 16 payment nonnegative</x:v>
      </x:c>
      <x:c r="E3805" s="21" t="n">
        <x:f>IF(Milestones!J16&gt;=0,1,0)</x:f>
        <x:v>1</x:v>
      </x:c>
      <x:c r="F3805" s="21" t="n">
        <x:v>1</x:v>
      </x:c>
      <x:c r="G3805" s="23" t="str">
        <x:f>IF(E3805=F3805,"PASS","FAIL")</x:f>
        <x:v>PASS</x:v>
      </x:c>
    </x:row>
    <x:row r="3806">
      <x:c r="B3806" s="21" t="str">
        <x:v>A3800</x:v>
      </x:c>
      <x:c r="C3806" s="21" t="str">
        <x:v>milestone</x:v>
      </x:c>
      <x:c r="D3806" s="21" t="str">
        <x:v>milestone 16 evidence open</x:v>
      </x:c>
      <x:c r="E3806" s="21" t="n">
        <x:f>IF(Milestones!L16="OPEN",1,0)</x:f>
        <x:v>1</x:v>
      </x:c>
      <x:c r="F3806" s="21" t="n">
        <x:v>1</x:v>
      </x:c>
      <x:c r="G3806" s="23" t="str">
        <x:f>IF(E3806=F3806,"PASS","FAIL")</x:f>
        <x:v>PASS</x:v>
      </x:c>
    </x:row>
    <x:row r="3807">
      <x:c r="B3807" s="21" t="str">
        <x:v>A3801</x:v>
      </x:c>
      <x:c r="C3807" s="21" t="str">
        <x:v>milestone</x:v>
      </x:c>
      <x:c r="D3807" s="21" t="str">
        <x:v>milestone 16 decision held</x:v>
      </x:c>
      <x:c r="E3807" s="21" t="n">
        <x:f>IF(Milestones!M16="HOLD",1,0)</x:f>
        <x:v>1</x:v>
      </x:c>
      <x:c r="F3807" s="21" t="n">
        <x:v>1</x:v>
      </x:c>
      <x:c r="G3807" s="23" t="str">
        <x:f>IF(E3807=F3807,"PASS","FAIL")</x:f>
        <x:v>PASS</x:v>
      </x:c>
    </x:row>
    <x:row r="3808">
      <x:c r="B3808" s="21" t="str">
        <x:v>A3802</x:v>
      </x:c>
      <x:c r="C3808" s="21" t="str">
        <x:v>milestone</x:v>
      </x:c>
      <x:c r="D3808" s="21" t="str">
        <x:v>milestone 17 share positive</x:v>
      </x:c>
      <x:c r="E3808" s="21" t="n">
        <x:f>IF(Milestones!H17&gt;0,1,0)</x:f>
        <x:v>1</x:v>
      </x:c>
      <x:c r="F3808" s="21" t="n">
        <x:v>1</x:v>
      </x:c>
      <x:c r="G3808" s="23" t="str">
        <x:f>IF(E3808=F3808,"PASS","FAIL")</x:f>
        <x:v>PASS</x:v>
      </x:c>
    </x:row>
    <x:row r="3809">
      <x:c r="B3809" s="21" t="str">
        <x:v>A3803</x:v>
      </x:c>
      <x:c r="C3809" s="21" t="str">
        <x:v>milestone</x:v>
      </x:c>
      <x:c r="D3809" s="21" t="str">
        <x:v>milestone 17 year bounded</x:v>
      </x:c>
      <x:c r="E3809" s="21" t="n">
        <x:f>IF(AND(Milestones!I17&gt;=1,Milestones!I17&lt;=9),1,0)</x:f>
        <x:v>1</x:v>
      </x:c>
      <x:c r="F3809" s="21" t="n">
        <x:v>1</x:v>
      </x:c>
      <x:c r="G3809" s="23" t="str">
        <x:f>IF(E3809=F3809,"PASS","FAIL")</x:f>
        <x:v>PASS</x:v>
      </x:c>
    </x:row>
    <x:row r="3810">
      <x:c r="B3810" s="21" t="str">
        <x:v>A3804</x:v>
      </x:c>
      <x:c r="C3810" s="21" t="str">
        <x:v>milestone</x:v>
      </x:c>
      <x:c r="D3810" s="21" t="str">
        <x:v>milestone 17 payment nonnegative</x:v>
      </x:c>
      <x:c r="E3810" s="21" t="n">
        <x:f>IF(Milestones!J17&gt;=0,1,0)</x:f>
        <x:v>1</x:v>
      </x:c>
      <x:c r="F3810" s="21" t="n">
        <x:v>1</x:v>
      </x:c>
      <x:c r="G3810" s="23" t="str">
        <x:f>IF(E3810=F3810,"PASS","FAIL")</x:f>
        <x:v>PASS</x:v>
      </x:c>
    </x:row>
    <x:row r="3811">
      <x:c r="B3811" s="21" t="str">
        <x:v>A3805</x:v>
      </x:c>
      <x:c r="C3811" s="21" t="str">
        <x:v>milestone</x:v>
      </x:c>
      <x:c r="D3811" s="21" t="str">
        <x:v>milestone 17 evidence open</x:v>
      </x:c>
      <x:c r="E3811" s="21" t="n">
        <x:f>IF(Milestones!L17="OPEN",1,0)</x:f>
        <x:v>1</x:v>
      </x:c>
      <x:c r="F3811" s="21" t="n">
        <x:v>1</x:v>
      </x:c>
      <x:c r="G3811" s="23" t="str">
        <x:f>IF(E3811=F3811,"PASS","FAIL")</x:f>
        <x:v>PASS</x:v>
      </x:c>
    </x:row>
    <x:row r="3812">
      <x:c r="B3812" s="21" t="str">
        <x:v>A3806</x:v>
      </x:c>
      <x:c r="C3812" s="21" t="str">
        <x:v>milestone</x:v>
      </x:c>
      <x:c r="D3812" s="21" t="str">
        <x:v>milestone 17 decision held</x:v>
      </x:c>
      <x:c r="E3812" s="21" t="n">
        <x:f>IF(Milestones!M17="HOLD",1,0)</x:f>
        <x:v>1</x:v>
      </x:c>
      <x:c r="F3812" s="21" t="n">
        <x:v>1</x:v>
      </x:c>
      <x:c r="G3812" s="23" t="str">
        <x:f>IF(E3812=F3812,"PASS","FAIL")</x:f>
        <x:v>PASS</x:v>
      </x:c>
    </x:row>
    <x:row r="3813">
      <x:c r="B3813" s="21" t="str">
        <x:v>A3807</x:v>
      </x:c>
      <x:c r="C3813" s="21" t="str">
        <x:v>milestone</x:v>
      </x:c>
      <x:c r="D3813" s="21" t="str">
        <x:v>milestone 18 share positive</x:v>
      </x:c>
      <x:c r="E3813" s="21" t="n">
        <x:f>IF(Milestones!H18&gt;0,1,0)</x:f>
        <x:v>1</x:v>
      </x:c>
      <x:c r="F3813" s="21" t="n">
        <x:v>1</x:v>
      </x:c>
      <x:c r="G3813" s="23" t="str">
        <x:f>IF(E3813=F3813,"PASS","FAIL")</x:f>
        <x:v>PASS</x:v>
      </x:c>
    </x:row>
    <x:row r="3814">
      <x:c r="B3814" s="21" t="str">
        <x:v>A3808</x:v>
      </x:c>
      <x:c r="C3814" s="21" t="str">
        <x:v>milestone</x:v>
      </x:c>
      <x:c r="D3814" s="21" t="str">
        <x:v>milestone 18 year bounded</x:v>
      </x:c>
      <x:c r="E3814" s="21" t="n">
        <x:f>IF(AND(Milestones!I18&gt;=1,Milestones!I18&lt;=9),1,0)</x:f>
        <x:v>1</x:v>
      </x:c>
      <x:c r="F3814" s="21" t="n">
        <x:v>1</x:v>
      </x:c>
      <x:c r="G3814" s="23" t="str">
        <x:f>IF(E3814=F3814,"PASS","FAIL")</x:f>
        <x:v>PASS</x:v>
      </x:c>
    </x:row>
    <x:row r="3815">
      <x:c r="B3815" s="21" t="str">
        <x:v>A3809</x:v>
      </x:c>
      <x:c r="C3815" s="21" t="str">
        <x:v>milestone</x:v>
      </x:c>
      <x:c r="D3815" s="21" t="str">
        <x:v>milestone 18 payment nonnegative</x:v>
      </x:c>
      <x:c r="E3815" s="21" t="n">
        <x:f>IF(Milestones!J18&gt;=0,1,0)</x:f>
        <x:v>1</x:v>
      </x:c>
      <x:c r="F3815" s="21" t="n">
        <x:v>1</x:v>
      </x:c>
      <x:c r="G3815" s="23" t="str">
        <x:f>IF(E3815=F3815,"PASS","FAIL")</x:f>
        <x:v>PASS</x:v>
      </x:c>
    </x:row>
    <x:row r="3816">
      <x:c r="B3816" s="21" t="str">
        <x:v>A3810</x:v>
      </x:c>
      <x:c r="C3816" s="21" t="str">
        <x:v>milestone</x:v>
      </x:c>
      <x:c r="D3816" s="21" t="str">
        <x:v>milestone 18 evidence open</x:v>
      </x:c>
      <x:c r="E3816" s="21" t="n">
        <x:f>IF(Milestones!L18="OPEN",1,0)</x:f>
        <x:v>1</x:v>
      </x:c>
      <x:c r="F3816" s="21" t="n">
        <x:v>1</x:v>
      </x:c>
      <x:c r="G3816" s="23" t="str">
        <x:f>IF(E3816=F3816,"PASS","FAIL")</x:f>
        <x:v>PASS</x:v>
      </x:c>
    </x:row>
    <x:row r="3817">
      <x:c r="B3817" s="21" t="str">
        <x:v>A3811</x:v>
      </x:c>
      <x:c r="C3817" s="21" t="str">
        <x:v>milestone</x:v>
      </x:c>
      <x:c r="D3817" s="21" t="str">
        <x:v>milestone 18 decision held</x:v>
      </x:c>
      <x:c r="E3817" s="21" t="n">
        <x:f>IF(Milestones!M18="HOLD",1,0)</x:f>
        <x:v>1</x:v>
      </x:c>
      <x:c r="F3817" s="21" t="n">
        <x:v>1</x:v>
      </x:c>
      <x:c r="G3817" s="23" t="str">
        <x:f>IF(E3817=F3817,"PASS","FAIL")</x:f>
        <x:v>PASS</x:v>
      </x:c>
    </x:row>
    <x:row r="3818">
      <x:c r="B3818" s="21" t="str">
        <x:v>A3812</x:v>
      </x:c>
      <x:c r="C3818" s="21" t="str">
        <x:v>milestone</x:v>
      </x:c>
      <x:c r="D3818" s="21" t="str">
        <x:v>milestone 19 share positive</x:v>
      </x:c>
      <x:c r="E3818" s="21" t="n">
        <x:f>IF(Milestones!H19&gt;0,1,0)</x:f>
        <x:v>1</x:v>
      </x:c>
      <x:c r="F3818" s="21" t="n">
        <x:v>1</x:v>
      </x:c>
      <x:c r="G3818" s="23" t="str">
        <x:f>IF(E3818=F3818,"PASS","FAIL")</x:f>
        <x:v>PASS</x:v>
      </x:c>
    </x:row>
    <x:row r="3819">
      <x:c r="B3819" s="21" t="str">
        <x:v>A3813</x:v>
      </x:c>
      <x:c r="C3819" s="21" t="str">
        <x:v>milestone</x:v>
      </x:c>
      <x:c r="D3819" s="21" t="str">
        <x:v>milestone 19 year bounded</x:v>
      </x:c>
      <x:c r="E3819" s="21" t="n">
        <x:f>IF(AND(Milestones!I19&gt;=1,Milestones!I19&lt;=9),1,0)</x:f>
        <x:v>1</x:v>
      </x:c>
      <x:c r="F3819" s="21" t="n">
        <x:v>1</x:v>
      </x:c>
      <x:c r="G3819" s="23" t="str">
        <x:f>IF(E3819=F3819,"PASS","FAIL")</x:f>
        <x:v>PASS</x:v>
      </x:c>
    </x:row>
    <x:row r="3820">
      <x:c r="B3820" s="21" t="str">
        <x:v>A3814</x:v>
      </x:c>
      <x:c r="C3820" s="21" t="str">
        <x:v>milestone</x:v>
      </x:c>
      <x:c r="D3820" s="21" t="str">
        <x:v>milestone 19 payment nonnegative</x:v>
      </x:c>
      <x:c r="E3820" s="21" t="n">
        <x:f>IF(Milestones!J19&gt;=0,1,0)</x:f>
        <x:v>1</x:v>
      </x:c>
      <x:c r="F3820" s="21" t="n">
        <x:v>1</x:v>
      </x:c>
      <x:c r="G3820" s="23" t="str">
        <x:f>IF(E3820=F3820,"PASS","FAIL")</x:f>
        <x:v>PASS</x:v>
      </x:c>
    </x:row>
    <x:row r="3821">
      <x:c r="B3821" s="21" t="str">
        <x:v>A3815</x:v>
      </x:c>
      <x:c r="C3821" s="21" t="str">
        <x:v>milestone</x:v>
      </x:c>
      <x:c r="D3821" s="21" t="str">
        <x:v>milestone 19 evidence open</x:v>
      </x:c>
      <x:c r="E3821" s="21" t="n">
        <x:f>IF(Milestones!L19="OPEN",1,0)</x:f>
        <x:v>1</x:v>
      </x:c>
      <x:c r="F3821" s="21" t="n">
        <x:v>1</x:v>
      </x:c>
      <x:c r="G3821" s="23" t="str">
        <x:f>IF(E3821=F3821,"PASS","FAIL")</x:f>
        <x:v>PASS</x:v>
      </x:c>
    </x:row>
    <x:row r="3822">
      <x:c r="B3822" s="21" t="str">
        <x:v>A3816</x:v>
      </x:c>
      <x:c r="C3822" s="21" t="str">
        <x:v>milestone</x:v>
      </x:c>
      <x:c r="D3822" s="21" t="str">
        <x:v>milestone 19 decision held</x:v>
      </x:c>
      <x:c r="E3822" s="21" t="n">
        <x:f>IF(Milestones!M19="HOLD",1,0)</x:f>
        <x:v>1</x:v>
      </x:c>
      <x:c r="F3822" s="21" t="n">
        <x:v>1</x:v>
      </x:c>
      <x:c r="G3822" s="23" t="str">
        <x:f>IF(E3822=F3822,"PASS","FAIL")</x:f>
        <x:v>PASS</x:v>
      </x:c>
    </x:row>
    <x:row r="3823">
      <x:c r="B3823" s="21" t="str">
        <x:v>A3817</x:v>
      </x:c>
      <x:c r="C3823" s="21" t="str">
        <x:v>milestone</x:v>
      </x:c>
      <x:c r="D3823" s="21" t="str">
        <x:v>milestone 20 share positive</x:v>
      </x:c>
      <x:c r="E3823" s="21" t="n">
        <x:f>IF(Milestones!H20&gt;0,1,0)</x:f>
        <x:v>1</x:v>
      </x:c>
      <x:c r="F3823" s="21" t="n">
        <x:v>1</x:v>
      </x:c>
      <x:c r="G3823" s="23" t="str">
        <x:f>IF(E3823=F3823,"PASS","FAIL")</x:f>
        <x:v>PASS</x:v>
      </x:c>
    </x:row>
    <x:row r="3824">
      <x:c r="B3824" s="21" t="str">
        <x:v>A3818</x:v>
      </x:c>
      <x:c r="C3824" s="21" t="str">
        <x:v>milestone</x:v>
      </x:c>
      <x:c r="D3824" s="21" t="str">
        <x:v>milestone 20 year bounded</x:v>
      </x:c>
      <x:c r="E3824" s="21" t="n">
        <x:f>IF(AND(Milestones!I20&gt;=1,Milestones!I20&lt;=9),1,0)</x:f>
        <x:v>1</x:v>
      </x:c>
      <x:c r="F3824" s="21" t="n">
        <x:v>1</x:v>
      </x:c>
      <x:c r="G3824" s="23" t="str">
        <x:f>IF(E3824=F3824,"PASS","FAIL")</x:f>
        <x:v>PASS</x:v>
      </x:c>
    </x:row>
    <x:row r="3825">
      <x:c r="B3825" s="21" t="str">
        <x:v>A3819</x:v>
      </x:c>
      <x:c r="C3825" s="21" t="str">
        <x:v>milestone</x:v>
      </x:c>
      <x:c r="D3825" s="21" t="str">
        <x:v>milestone 20 payment nonnegative</x:v>
      </x:c>
      <x:c r="E3825" s="21" t="n">
        <x:f>IF(Milestones!J20&gt;=0,1,0)</x:f>
        <x:v>1</x:v>
      </x:c>
      <x:c r="F3825" s="21" t="n">
        <x:v>1</x:v>
      </x:c>
      <x:c r="G3825" s="23" t="str">
        <x:f>IF(E3825=F3825,"PASS","FAIL")</x:f>
        <x:v>PASS</x:v>
      </x:c>
    </x:row>
    <x:row r="3826">
      <x:c r="B3826" s="21" t="str">
        <x:v>A3820</x:v>
      </x:c>
      <x:c r="C3826" s="21" t="str">
        <x:v>milestone</x:v>
      </x:c>
      <x:c r="D3826" s="21" t="str">
        <x:v>milestone 20 evidence open</x:v>
      </x:c>
      <x:c r="E3826" s="21" t="n">
        <x:f>IF(Milestones!L20="OPEN",1,0)</x:f>
        <x:v>1</x:v>
      </x:c>
      <x:c r="F3826" s="21" t="n">
        <x:v>1</x:v>
      </x:c>
      <x:c r="G3826" s="23" t="str">
        <x:f>IF(E3826=F3826,"PASS","FAIL")</x:f>
        <x:v>PASS</x:v>
      </x:c>
    </x:row>
    <x:row r="3827">
      <x:c r="B3827" s="21" t="str">
        <x:v>A3821</x:v>
      </x:c>
      <x:c r="C3827" s="21" t="str">
        <x:v>milestone</x:v>
      </x:c>
      <x:c r="D3827" s="21" t="str">
        <x:v>milestone 20 decision held</x:v>
      </x:c>
      <x:c r="E3827" s="21" t="n">
        <x:f>IF(Milestones!M20="HOLD",1,0)</x:f>
        <x:v>1</x:v>
      </x:c>
      <x:c r="F3827" s="21" t="n">
        <x:v>1</x:v>
      </x:c>
      <x:c r="G3827" s="23" t="str">
        <x:f>IF(E3827=F3827,"PASS","FAIL")</x:f>
        <x:v>PASS</x:v>
      </x:c>
    </x:row>
    <x:row r="3828">
      <x:c r="B3828" s="21" t="str">
        <x:v>A3822</x:v>
      </x:c>
      <x:c r="C3828" s="21" t="str">
        <x:v>milestone</x:v>
      </x:c>
      <x:c r="D3828" s="21" t="str">
        <x:v>milestone 21 share positive</x:v>
      </x:c>
      <x:c r="E3828" s="21" t="n">
        <x:f>IF(Milestones!H21&gt;0,1,0)</x:f>
        <x:v>1</x:v>
      </x:c>
      <x:c r="F3828" s="21" t="n">
        <x:v>1</x:v>
      </x:c>
      <x:c r="G3828" s="23" t="str">
        <x:f>IF(E3828=F3828,"PASS","FAIL")</x:f>
        <x:v>PASS</x:v>
      </x:c>
    </x:row>
    <x:row r="3829">
      <x:c r="B3829" s="21" t="str">
        <x:v>A3823</x:v>
      </x:c>
      <x:c r="C3829" s="21" t="str">
        <x:v>milestone</x:v>
      </x:c>
      <x:c r="D3829" s="21" t="str">
        <x:v>milestone 21 year bounded</x:v>
      </x:c>
      <x:c r="E3829" s="21" t="n">
        <x:f>IF(AND(Milestones!I21&gt;=1,Milestones!I21&lt;=9),1,0)</x:f>
        <x:v>1</x:v>
      </x:c>
      <x:c r="F3829" s="21" t="n">
        <x:v>1</x:v>
      </x:c>
      <x:c r="G3829" s="23" t="str">
        <x:f>IF(E3829=F3829,"PASS","FAIL")</x:f>
        <x:v>PASS</x:v>
      </x:c>
    </x:row>
    <x:row r="3830">
      <x:c r="B3830" s="21" t="str">
        <x:v>A3824</x:v>
      </x:c>
      <x:c r="C3830" s="21" t="str">
        <x:v>milestone</x:v>
      </x:c>
      <x:c r="D3830" s="21" t="str">
        <x:v>milestone 21 payment nonnegative</x:v>
      </x:c>
      <x:c r="E3830" s="21" t="n">
        <x:f>IF(Milestones!J21&gt;=0,1,0)</x:f>
        <x:v>1</x:v>
      </x:c>
      <x:c r="F3830" s="21" t="n">
        <x:v>1</x:v>
      </x:c>
      <x:c r="G3830" s="23" t="str">
        <x:f>IF(E3830=F3830,"PASS","FAIL")</x:f>
        <x:v>PASS</x:v>
      </x:c>
    </x:row>
    <x:row r="3831">
      <x:c r="B3831" s="21" t="str">
        <x:v>A3825</x:v>
      </x:c>
      <x:c r="C3831" s="21" t="str">
        <x:v>milestone</x:v>
      </x:c>
      <x:c r="D3831" s="21" t="str">
        <x:v>milestone 21 evidence open</x:v>
      </x:c>
      <x:c r="E3831" s="21" t="n">
        <x:f>IF(Milestones!L21="OPEN",1,0)</x:f>
        <x:v>1</x:v>
      </x:c>
      <x:c r="F3831" s="21" t="n">
        <x:v>1</x:v>
      </x:c>
      <x:c r="G3831" s="23" t="str">
        <x:f>IF(E3831=F3831,"PASS","FAIL")</x:f>
        <x:v>PASS</x:v>
      </x:c>
    </x:row>
    <x:row r="3832">
      <x:c r="B3832" s="21" t="str">
        <x:v>A3826</x:v>
      </x:c>
      <x:c r="C3832" s="21" t="str">
        <x:v>milestone</x:v>
      </x:c>
      <x:c r="D3832" s="21" t="str">
        <x:v>milestone 21 decision held</x:v>
      </x:c>
      <x:c r="E3832" s="21" t="n">
        <x:f>IF(Milestones!M21="HOLD",1,0)</x:f>
        <x:v>1</x:v>
      </x:c>
      <x:c r="F3832" s="21" t="n">
        <x:v>1</x:v>
      </x:c>
      <x:c r="G3832" s="23" t="str">
        <x:f>IF(E3832=F3832,"PASS","FAIL")</x:f>
        <x:v>PASS</x:v>
      </x:c>
    </x:row>
    <x:row r="3833">
      <x:c r="B3833" s="21" t="str">
        <x:v>A3827</x:v>
      </x:c>
      <x:c r="C3833" s="21" t="str">
        <x:v>milestone</x:v>
      </x:c>
      <x:c r="D3833" s="21" t="str">
        <x:v>milestone 22 share positive</x:v>
      </x:c>
      <x:c r="E3833" s="21" t="n">
        <x:f>IF(Milestones!H22&gt;0,1,0)</x:f>
        <x:v>1</x:v>
      </x:c>
      <x:c r="F3833" s="21" t="n">
        <x:v>1</x:v>
      </x:c>
      <x:c r="G3833" s="23" t="str">
        <x:f>IF(E3833=F3833,"PASS","FAIL")</x:f>
        <x:v>PASS</x:v>
      </x:c>
    </x:row>
    <x:row r="3834">
      <x:c r="B3834" s="21" t="str">
        <x:v>A3828</x:v>
      </x:c>
      <x:c r="C3834" s="21" t="str">
        <x:v>milestone</x:v>
      </x:c>
      <x:c r="D3834" s="21" t="str">
        <x:v>milestone 22 year bounded</x:v>
      </x:c>
      <x:c r="E3834" s="21" t="n">
        <x:f>IF(AND(Milestones!I22&gt;=1,Milestones!I22&lt;=9),1,0)</x:f>
        <x:v>1</x:v>
      </x:c>
      <x:c r="F3834" s="21" t="n">
        <x:v>1</x:v>
      </x:c>
      <x:c r="G3834" s="23" t="str">
        <x:f>IF(E3834=F3834,"PASS","FAIL")</x:f>
        <x:v>PASS</x:v>
      </x:c>
    </x:row>
    <x:row r="3835">
      <x:c r="B3835" s="21" t="str">
        <x:v>A3829</x:v>
      </x:c>
      <x:c r="C3835" s="21" t="str">
        <x:v>milestone</x:v>
      </x:c>
      <x:c r="D3835" s="21" t="str">
        <x:v>milestone 22 payment nonnegative</x:v>
      </x:c>
      <x:c r="E3835" s="21" t="n">
        <x:f>IF(Milestones!J22&gt;=0,1,0)</x:f>
        <x:v>1</x:v>
      </x:c>
      <x:c r="F3835" s="21" t="n">
        <x:v>1</x:v>
      </x:c>
      <x:c r="G3835" s="23" t="str">
        <x:f>IF(E3835=F3835,"PASS","FAIL")</x:f>
        <x:v>PASS</x:v>
      </x:c>
    </x:row>
    <x:row r="3836">
      <x:c r="B3836" s="21" t="str">
        <x:v>A3830</x:v>
      </x:c>
      <x:c r="C3836" s="21" t="str">
        <x:v>milestone</x:v>
      </x:c>
      <x:c r="D3836" s="21" t="str">
        <x:v>milestone 22 evidence open</x:v>
      </x:c>
      <x:c r="E3836" s="21" t="n">
        <x:f>IF(Milestones!L22="OPEN",1,0)</x:f>
        <x:v>1</x:v>
      </x:c>
      <x:c r="F3836" s="21" t="n">
        <x:v>1</x:v>
      </x:c>
      <x:c r="G3836" s="23" t="str">
        <x:f>IF(E3836=F3836,"PASS","FAIL")</x:f>
        <x:v>PASS</x:v>
      </x:c>
    </x:row>
    <x:row r="3837">
      <x:c r="B3837" s="21" t="str">
        <x:v>A3831</x:v>
      </x:c>
      <x:c r="C3837" s="21" t="str">
        <x:v>milestone</x:v>
      </x:c>
      <x:c r="D3837" s="21" t="str">
        <x:v>milestone 22 decision held</x:v>
      </x:c>
      <x:c r="E3837" s="21" t="n">
        <x:f>IF(Milestones!M22="HOLD",1,0)</x:f>
        <x:v>1</x:v>
      </x:c>
      <x:c r="F3837" s="21" t="n">
        <x:v>1</x:v>
      </x:c>
      <x:c r="G3837" s="23" t="str">
        <x:f>IF(E3837=F3837,"PASS","FAIL")</x:f>
        <x:v>PASS</x:v>
      </x:c>
    </x:row>
    <x:row r="3838">
      <x:c r="B3838" s="21" t="str">
        <x:v>A3832</x:v>
      </x:c>
      <x:c r="C3838" s="21" t="str">
        <x:v>milestone</x:v>
      </x:c>
      <x:c r="D3838" s="21" t="str">
        <x:v>milestone 23 share positive</x:v>
      </x:c>
      <x:c r="E3838" s="21" t="n">
        <x:f>IF(Milestones!H23&gt;0,1,0)</x:f>
        <x:v>1</x:v>
      </x:c>
      <x:c r="F3838" s="21" t="n">
        <x:v>1</x:v>
      </x:c>
      <x:c r="G3838" s="23" t="str">
        <x:f>IF(E3838=F3838,"PASS","FAIL")</x:f>
        <x:v>PASS</x:v>
      </x:c>
    </x:row>
    <x:row r="3839">
      <x:c r="B3839" s="21" t="str">
        <x:v>A3833</x:v>
      </x:c>
      <x:c r="C3839" s="21" t="str">
        <x:v>milestone</x:v>
      </x:c>
      <x:c r="D3839" s="21" t="str">
        <x:v>milestone 23 year bounded</x:v>
      </x:c>
      <x:c r="E3839" s="21" t="n">
        <x:f>IF(AND(Milestones!I23&gt;=1,Milestones!I23&lt;=9),1,0)</x:f>
        <x:v>1</x:v>
      </x:c>
      <x:c r="F3839" s="21" t="n">
        <x:v>1</x:v>
      </x:c>
      <x:c r="G3839" s="23" t="str">
        <x:f>IF(E3839=F3839,"PASS","FAIL")</x:f>
        <x:v>PASS</x:v>
      </x:c>
    </x:row>
    <x:row r="3840">
      <x:c r="B3840" s="21" t="str">
        <x:v>A3834</x:v>
      </x:c>
      <x:c r="C3840" s="21" t="str">
        <x:v>milestone</x:v>
      </x:c>
      <x:c r="D3840" s="21" t="str">
        <x:v>milestone 23 payment nonnegative</x:v>
      </x:c>
      <x:c r="E3840" s="21" t="n">
        <x:f>IF(Milestones!J23&gt;=0,1,0)</x:f>
        <x:v>1</x:v>
      </x:c>
      <x:c r="F3840" s="21" t="n">
        <x:v>1</x:v>
      </x:c>
      <x:c r="G3840" s="23" t="str">
        <x:f>IF(E3840=F3840,"PASS","FAIL")</x:f>
        <x:v>PASS</x:v>
      </x:c>
    </x:row>
    <x:row r="3841">
      <x:c r="B3841" s="21" t="str">
        <x:v>A3835</x:v>
      </x:c>
      <x:c r="C3841" s="21" t="str">
        <x:v>milestone</x:v>
      </x:c>
      <x:c r="D3841" s="21" t="str">
        <x:v>milestone 23 evidence open</x:v>
      </x:c>
      <x:c r="E3841" s="21" t="n">
        <x:f>IF(Milestones!L23="OPEN",1,0)</x:f>
        <x:v>1</x:v>
      </x:c>
      <x:c r="F3841" s="21" t="n">
        <x:v>1</x:v>
      </x:c>
      <x:c r="G3841" s="23" t="str">
        <x:f>IF(E3841=F3841,"PASS","FAIL")</x:f>
        <x:v>PASS</x:v>
      </x:c>
    </x:row>
    <x:row r="3842">
      <x:c r="B3842" s="21" t="str">
        <x:v>A3836</x:v>
      </x:c>
      <x:c r="C3842" s="21" t="str">
        <x:v>milestone</x:v>
      </x:c>
      <x:c r="D3842" s="21" t="str">
        <x:v>milestone 23 decision held</x:v>
      </x:c>
      <x:c r="E3842" s="21" t="n">
        <x:f>IF(Milestones!M23="HOLD",1,0)</x:f>
        <x:v>1</x:v>
      </x:c>
      <x:c r="F3842" s="21" t="n">
        <x:v>1</x:v>
      </x:c>
      <x:c r="G3842" s="23" t="str">
        <x:f>IF(E3842=F3842,"PASS","FAIL")</x:f>
        <x:v>PASS</x:v>
      </x:c>
    </x:row>
    <x:row r="3843">
      <x:c r="B3843" s="21" t="str">
        <x:v>A3837</x:v>
      </x:c>
      <x:c r="C3843" s="21" t="str">
        <x:v>milestone</x:v>
      </x:c>
      <x:c r="D3843" s="21" t="str">
        <x:v>milestone 24 share positive</x:v>
      </x:c>
      <x:c r="E3843" s="21" t="n">
        <x:f>IF(Milestones!H24&gt;0,1,0)</x:f>
        <x:v>1</x:v>
      </x:c>
      <x:c r="F3843" s="21" t="n">
        <x:v>1</x:v>
      </x:c>
      <x:c r="G3843" s="23" t="str">
        <x:f>IF(E3843=F3843,"PASS","FAIL")</x:f>
        <x:v>PASS</x:v>
      </x:c>
    </x:row>
    <x:row r="3844">
      <x:c r="B3844" s="21" t="str">
        <x:v>A3838</x:v>
      </x:c>
      <x:c r="C3844" s="21" t="str">
        <x:v>milestone</x:v>
      </x:c>
      <x:c r="D3844" s="21" t="str">
        <x:v>milestone 24 year bounded</x:v>
      </x:c>
      <x:c r="E3844" s="21" t="n">
        <x:f>IF(AND(Milestones!I24&gt;=1,Milestones!I24&lt;=9),1,0)</x:f>
        <x:v>1</x:v>
      </x:c>
      <x:c r="F3844" s="21" t="n">
        <x:v>1</x:v>
      </x:c>
      <x:c r="G3844" s="23" t="str">
        <x:f>IF(E3844=F3844,"PASS","FAIL")</x:f>
        <x:v>PASS</x:v>
      </x:c>
    </x:row>
    <x:row r="3845">
      <x:c r="B3845" s="21" t="str">
        <x:v>A3839</x:v>
      </x:c>
      <x:c r="C3845" s="21" t="str">
        <x:v>milestone</x:v>
      </x:c>
      <x:c r="D3845" s="21" t="str">
        <x:v>milestone 24 payment nonnegative</x:v>
      </x:c>
      <x:c r="E3845" s="21" t="n">
        <x:f>IF(Milestones!J24&gt;=0,1,0)</x:f>
        <x:v>1</x:v>
      </x:c>
      <x:c r="F3845" s="21" t="n">
        <x:v>1</x:v>
      </x:c>
      <x:c r="G3845" s="23" t="str">
        <x:f>IF(E3845=F3845,"PASS","FAIL")</x:f>
        <x:v>PASS</x:v>
      </x:c>
    </x:row>
    <x:row r="3846">
      <x:c r="B3846" s="21" t="str">
        <x:v>A3840</x:v>
      </x:c>
      <x:c r="C3846" s="21" t="str">
        <x:v>milestone</x:v>
      </x:c>
      <x:c r="D3846" s="21" t="str">
        <x:v>milestone 24 evidence open</x:v>
      </x:c>
      <x:c r="E3846" s="21" t="n">
        <x:f>IF(Milestones!L24="OPEN",1,0)</x:f>
        <x:v>1</x:v>
      </x:c>
      <x:c r="F3846" s="21" t="n">
        <x:v>1</x:v>
      </x:c>
      <x:c r="G3846" s="23" t="str">
        <x:f>IF(E3846=F3846,"PASS","FAIL")</x:f>
        <x:v>PASS</x:v>
      </x:c>
    </x:row>
    <x:row r="3847">
      <x:c r="B3847" s="21" t="str">
        <x:v>A3841</x:v>
      </x:c>
      <x:c r="C3847" s="21" t="str">
        <x:v>milestone</x:v>
      </x:c>
      <x:c r="D3847" s="21" t="str">
        <x:v>milestone 24 decision held</x:v>
      </x:c>
      <x:c r="E3847" s="21" t="n">
        <x:f>IF(Milestones!M24="HOLD",1,0)</x:f>
        <x:v>1</x:v>
      </x:c>
      <x:c r="F3847" s="21" t="n">
        <x:v>1</x:v>
      </x:c>
      <x:c r="G3847" s="23" t="str">
        <x:f>IF(E3847=F3847,"PASS","FAIL")</x:f>
        <x:v>PASS</x:v>
      </x:c>
    </x:row>
    <x:row r="3848">
      <x:c r="B3848" s="21" t="str">
        <x:v>A3842</x:v>
      </x:c>
      <x:c r="C3848" s="21" t="str">
        <x:v>milestone</x:v>
      </x:c>
      <x:c r="D3848" s="21" t="str">
        <x:v>milestone 25 share positive</x:v>
      </x:c>
      <x:c r="E3848" s="21" t="n">
        <x:f>IF(Milestones!H25&gt;0,1,0)</x:f>
        <x:v>1</x:v>
      </x:c>
      <x:c r="F3848" s="21" t="n">
        <x:v>1</x:v>
      </x:c>
      <x:c r="G3848" s="23" t="str">
        <x:f>IF(E3848=F3848,"PASS","FAIL")</x:f>
        <x:v>PASS</x:v>
      </x:c>
    </x:row>
    <x:row r="3849">
      <x:c r="B3849" s="21" t="str">
        <x:v>A3843</x:v>
      </x:c>
      <x:c r="C3849" s="21" t="str">
        <x:v>milestone</x:v>
      </x:c>
      <x:c r="D3849" s="21" t="str">
        <x:v>milestone 25 year bounded</x:v>
      </x:c>
      <x:c r="E3849" s="21" t="n">
        <x:f>IF(AND(Milestones!I25&gt;=1,Milestones!I25&lt;=9),1,0)</x:f>
        <x:v>1</x:v>
      </x:c>
      <x:c r="F3849" s="21" t="n">
        <x:v>1</x:v>
      </x:c>
      <x:c r="G3849" s="23" t="str">
        <x:f>IF(E3849=F3849,"PASS","FAIL")</x:f>
        <x:v>PASS</x:v>
      </x:c>
    </x:row>
    <x:row r="3850">
      <x:c r="B3850" s="21" t="str">
        <x:v>A3844</x:v>
      </x:c>
      <x:c r="C3850" s="21" t="str">
        <x:v>milestone</x:v>
      </x:c>
      <x:c r="D3850" s="21" t="str">
        <x:v>milestone 25 payment nonnegative</x:v>
      </x:c>
      <x:c r="E3850" s="21" t="n">
        <x:f>IF(Milestones!J25&gt;=0,1,0)</x:f>
        <x:v>1</x:v>
      </x:c>
      <x:c r="F3850" s="21" t="n">
        <x:v>1</x:v>
      </x:c>
      <x:c r="G3850" s="23" t="str">
        <x:f>IF(E3850=F3850,"PASS","FAIL")</x:f>
        <x:v>PASS</x:v>
      </x:c>
    </x:row>
    <x:row r="3851">
      <x:c r="B3851" s="21" t="str">
        <x:v>A3845</x:v>
      </x:c>
      <x:c r="C3851" s="21" t="str">
        <x:v>milestone</x:v>
      </x:c>
      <x:c r="D3851" s="21" t="str">
        <x:v>milestone 25 evidence open</x:v>
      </x:c>
      <x:c r="E3851" s="21" t="n">
        <x:f>IF(Milestones!L25="OPEN",1,0)</x:f>
        <x:v>1</x:v>
      </x:c>
      <x:c r="F3851" s="21" t="n">
        <x:v>1</x:v>
      </x:c>
      <x:c r="G3851" s="23" t="str">
        <x:f>IF(E3851=F3851,"PASS","FAIL")</x:f>
        <x:v>PASS</x:v>
      </x:c>
    </x:row>
    <x:row r="3852">
      <x:c r="B3852" s="21" t="str">
        <x:v>A3846</x:v>
      </x:c>
      <x:c r="C3852" s="21" t="str">
        <x:v>milestone</x:v>
      </x:c>
      <x:c r="D3852" s="21" t="str">
        <x:v>milestone 25 decision held</x:v>
      </x:c>
      <x:c r="E3852" s="21" t="n">
        <x:f>IF(Milestones!M25="HOLD",1,0)</x:f>
        <x:v>1</x:v>
      </x:c>
      <x:c r="F3852" s="21" t="n">
        <x:v>1</x:v>
      </x:c>
      <x:c r="G3852" s="23" t="str">
        <x:f>IF(E3852=F3852,"PASS","FAIL")</x:f>
        <x:v>PASS</x:v>
      </x:c>
    </x:row>
    <x:row r="3853">
      <x:c r="B3853" s="21" t="str">
        <x:v>A3847</x:v>
      </x:c>
      <x:c r="C3853" s="21" t="str">
        <x:v>milestone</x:v>
      </x:c>
      <x:c r="D3853" s="21" t="str">
        <x:v>milestone 26 share positive</x:v>
      </x:c>
      <x:c r="E3853" s="21" t="n">
        <x:f>IF(Milestones!H26&gt;0,1,0)</x:f>
        <x:v>1</x:v>
      </x:c>
      <x:c r="F3853" s="21" t="n">
        <x:v>1</x:v>
      </x:c>
      <x:c r="G3853" s="23" t="str">
        <x:f>IF(E3853=F3853,"PASS","FAIL")</x:f>
        <x:v>PASS</x:v>
      </x:c>
    </x:row>
    <x:row r="3854">
      <x:c r="B3854" s="21" t="str">
        <x:v>A3848</x:v>
      </x:c>
      <x:c r="C3854" s="21" t="str">
        <x:v>milestone</x:v>
      </x:c>
      <x:c r="D3854" s="21" t="str">
        <x:v>milestone 26 year bounded</x:v>
      </x:c>
      <x:c r="E3854" s="21" t="n">
        <x:f>IF(AND(Milestones!I26&gt;=1,Milestones!I26&lt;=9),1,0)</x:f>
        <x:v>1</x:v>
      </x:c>
      <x:c r="F3854" s="21" t="n">
        <x:v>1</x:v>
      </x:c>
      <x:c r="G3854" s="23" t="str">
        <x:f>IF(E3854=F3854,"PASS","FAIL")</x:f>
        <x:v>PASS</x:v>
      </x:c>
    </x:row>
    <x:row r="3855">
      <x:c r="B3855" s="21" t="str">
        <x:v>A3849</x:v>
      </x:c>
      <x:c r="C3855" s="21" t="str">
        <x:v>milestone</x:v>
      </x:c>
      <x:c r="D3855" s="21" t="str">
        <x:v>milestone 26 payment nonnegative</x:v>
      </x:c>
      <x:c r="E3855" s="21" t="n">
        <x:f>IF(Milestones!J26&gt;=0,1,0)</x:f>
        <x:v>1</x:v>
      </x:c>
      <x:c r="F3855" s="21" t="n">
        <x:v>1</x:v>
      </x:c>
      <x:c r="G3855" s="23" t="str">
        <x:f>IF(E3855=F3855,"PASS","FAIL")</x:f>
        <x:v>PASS</x:v>
      </x:c>
    </x:row>
    <x:row r="3856">
      <x:c r="B3856" s="21" t="str">
        <x:v>A3850</x:v>
      </x:c>
      <x:c r="C3856" s="21" t="str">
        <x:v>milestone</x:v>
      </x:c>
      <x:c r="D3856" s="21" t="str">
        <x:v>milestone 26 evidence open</x:v>
      </x:c>
      <x:c r="E3856" s="21" t="n">
        <x:f>IF(Milestones!L26="OPEN",1,0)</x:f>
        <x:v>1</x:v>
      </x:c>
      <x:c r="F3856" s="21" t="n">
        <x:v>1</x:v>
      </x:c>
      <x:c r="G3856" s="23" t="str">
        <x:f>IF(E3856=F3856,"PASS","FAIL")</x:f>
        <x:v>PASS</x:v>
      </x:c>
    </x:row>
    <x:row r="3857">
      <x:c r="B3857" s="21" t="str">
        <x:v>A3851</x:v>
      </x:c>
      <x:c r="C3857" s="21" t="str">
        <x:v>milestone</x:v>
      </x:c>
      <x:c r="D3857" s="21" t="str">
        <x:v>milestone 26 decision held</x:v>
      </x:c>
      <x:c r="E3857" s="21" t="n">
        <x:f>IF(Milestones!M26="HOLD",1,0)</x:f>
        <x:v>1</x:v>
      </x:c>
      <x:c r="F3857" s="21" t="n">
        <x:v>1</x:v>
      </x:c>
      <x:c r="G3857" s="23" t="str">
        <x:f>IF(E3857=F3857,"PASS","FAIL")</x:f>
        <x:v>PASS</x:v>
      </x:c>
    </x:row>
    <x:row r="3858">
      <x:c r="B3858" s="21" t="str">
        <x:v>A3852</x:v>
      </x:c>
      <x:c r="C3858" s="21" t="str">
        <x:v>milestone</x:v>
      </x:c>
      <x:c r="D3858" s="21" t="str">
        <x:v>milestone 27 share positive</x:v>
      </x:c>
      <x:c r="E3858" s="21" t="n">
        <x:f>IF(Milestones!H27&gt;0,1,0)</x:f>
        <x:v>1</x:v>
      </x:c>
      <x:c r="F3858" s="21" t="n">
        <x:v>1</x:v>
      </x:c>
      <x:c r="G3858" s="23" t="str">
        <x:f>IF(E3858=F3858,"PASS","FAIL")</x:f>
        <x:v>PASS</x:v>
      </x:c>
    </x:row>
    <x:row r="3859">
      <x:c r="B3859" s="21" t="str">
        <x:v>A3853</x:v>
      </x:c>
      <x:c r="C3859" s="21" t="str">
        <x:v>milestone</x:v>
      </x:c>
      <x:c r="D3859" s="21" t="str">
        <x:v>milestone 27 year bounded</x:v>
      </x:c>
      <x:c r="E3859" s="21" t="n">
        <x:f>IF(AND(Milestones!I27&gt;=1,Milestones!I27&lt;=9),1,0)</x:f>
        <x:v>1</x:v>
      </x:c>
      <x:c r="F3859" s="21" t="n">
        <x:v>1</x:v>
      </x:c>
      <x:c r="G3859" s="23" t="str">
        <x:f>IF(E3859=F3859,"PASS","FAIL")</x:f>
        <x:v>PASS</x:v>
      </x:c>
    </x:row>
    <x:row r="3860">
      <x:c r="B3860" s="21" t="str">
        <x:v>A3854</x:v>
      </x:c>
      <x:c r="C3860" s="21" t="str">
        <x:v>milestone</x:v>
      </x:c>
      <x:c r="D3860" s="21" t="str">
        <x:v>milestone 27 payment nonnegative</x:v>
      </x:c>
      <x:c r="E3860" s="21" t="n">
        <x:f>IF(Milestones!J27&gt;=0,1,0)</x:f>
        <x:v>1</x:v>
      </x:c>
      <x:c r="F3860" s="21" t="n">
        <x:v>1</x:v>
      </x:c>
      <x:c r="G3860" s="23" t="str">
        <x:f>IF(E3860=F3860,"PASS","FAIL")</x:f>
        <x:v>PASS</x:v>
      </x:c>
    </x:row>
    <x:row r="3861">
      <x:c r="B3861" s="21" t="str">
        <x:v>A3855</x:v>
      </x:c>
      <x:c r="C3861" s="21" t="str">
        <x:v>milestone</x:v>
      </x:c>
      <x:c r="D3861" s="21" t="str">
        <x:v>milestone 27 evidence open</x:v>
      </x:c>
      <x:c r="E3861" s="21" t="n">
        <x:f>IF(Milestones!L27="OPEN",1,0)</x:f>
        <x:v>1</x:v>
      </x:c>
      <x:c r="F3861" s="21" t="n">
        <x:v>1</x:v>
      </x:c>
      <x:c r="G3861" s="23" t="str">
        <x:f>IF(E3861=F3861,"PASS","FAIL")</x:f>
        <x:v>PASS</x:v>
      </x:c>
    </x:row>
    <x:row r="3862">
      <x:c r="B3862" s="21" t="str">
        <x:v>A3856</x:v>
      </x:c>
      <x:c r="C3862" s="21" t="str">
        <x:v>milestone</x:v>
      </x:c>
      <x:c r="D3862" s="21" t="str">
        <x:v>milestone 27 decision held</x:v>
      </x:c>
      <x:c r="E3862" s="21" t="n">
        <x:f>IF(Milestones!M27="HOLD",1,0)</x:f>
        <x:v>1</x:v>
      </x:c>
      <x:c r="F3862" s="21" t="n">
        <x:v>1</x:v>
      </x:c>
      <x:c r="G3862" s="23" t="str">
        <x:f>IF(E3862=F3862,"PASS","FAIL")</x:f>
        <x:v>PASS</x:v>
      </x:c>
    </x:row>
    <x:row r="3863">
      <x:c r="B3863" s="21" t="str">
        <x:v>A3857</x:v>
      </x:c>
      <x:c r="C3863" s="21" t="str">
        <x:v>milestone</x:v>
      </x:c>
      <x:c r="D3863" s="21" t="str">
        <x:v>milestone 28 share positive</x:v>
      </x:c>
      <x:c r="E3863" s="21" t="n">
        <x:f>IF(Milestones!H28&gt;0,1,0)</x:f>
        <x:v>1</x:v>
      </x:c>
      <x:c r="F3863" s="21" t="n">
        <x:v>1</x:v>
      </x:c>
      <x:c r="G3863" s="23" t="str">
        <x:f>IF(E3863=F3863,"PASS","FAIL")</x:f>
        <x:v>PASS</x:v>
      </x:c>
    </x:row>
    <x:row r="3864">
      <x:c r="B3864" s="21" t="str">
        <x:v>A3858</x:v>
      </x:c>
      <x:c r="C3864" s="21" t="str">
        <x:v>milestone</x:v>
      </x:c>
      <x:c r="D3864" s="21" t="str">
        <x:v>milestone 28 year bounded</x:v>
      </x:c>
      <x:c r="E3864" s="21" t="n">
        <x:f>IF(AND(Milestones!I28&gt;=1,Milestones!I28&lt;=9),1,0)</x:f>
        <x:v>1</x:v>
      </x:c>
      <x:c r="F3864" s="21" t="n">
        <x:v>1</x:v>
      </x:c>
      <x:c r="G3864" s="23" t="str">
        <x:f>IF(E3864=F3864,"PASS","FAIL")</x:f>
        <x:v>PASS</x:v>
      </x:c>
    </x:row>
    <x:row r="3865">
      <x:c r="B3865" s="21" t="str">
        <x:v>A3859</x:v>
      </x:c>
      <x:c r="C3865" s="21" t="str">
        <x:v>milestone</x:v>
      </x:c>
      <x:c r="D3865" s="21" t="str">
        <x:v>milestone 28 payment nonnegative</x:v>
      </x:c>
      <x:c r="E3865" s="21" t="n">
        <x:f>IF(Milestones!J28&gt;=0,1,0)</x:f>
        <x:v>1</x:v>
      </x:c>
      <x:c r="F3865" s="21" t="n">
        <x:v>1</x:v>
      </x:c>
      <x:c r="G3865" s="23" t="str">
        <x:f>IF(E3865=F3865,"PASS","FAIL")</x:f>
        <x:v>PASS</x:v>
      </x:c>
    </x:row>
    <x:row r="3866">
      <x:c r="B3866" s="21" t="str">
        <x:v>A3860</x:v>
      </x:c>
      <x:c r="C3866" s="21" t="str">
        <x:v>milestone</x:v>
      </x:c>
      <x:c r="D3866" s="21" t="str">
        <x:v>milestone 28 evidence open</x:v>
      </x:c>
      <x:c r="E3866" s="21" t="n">
        <x:f>IF(Milestones!L28="OPEN",1,0)</x:f>
        <x:v>1</x:v>
      </x:c>
      <x:c r="F3866" s="21" t="n">
        <x:v>1</x:v>
      </x:c>
      <x:c r="G3866" s="23" t="str">
        <x:f>IF(E3866=F3866,"PASS","FAIL")</x:f>
        <x:v>PASS</x:v>
      </x:c>
    </x:row>
    <x:row r="3867">
      <x:c r="B3867" s="21" t="str">
        <x:v>A3861</x:v>
      </x:c>
      <x:c r="C3867" s="21" t="str">
        <x:v>milestone</x:v>
      </x:c>
      <x:c r="D3867" s="21" t="str">
        <x:v>milestone 28 decision held</x:v>
      </x:c>
      <x:c r="E3867" s="21" t="n">
        <x:f>IF(Milestones!M28="HOLD",1,0)</x:f>
        <x:v>1</x:v>
      </x:c>
      <x:c r="F3867" s="21" t="n">
        <x:v>1</x:v>
      </x:c>
      <x:c r="G3867" s="23" t="str">
        <x:f>IF(E3867=F3867,"PASS","FAIL")</x:f>
        <x:v>PASS</x:v>
      </x:c>
    </x:row>
    <x:row r="3868">
      <x:c r="B3868" s="21" t="str">
        <x:v>A3862</x:v>
      </x:c>
      <x:c r="C3868" s="21" t="str">
        <x:v>milestone</x:v>
      </x:c>
      <x:c r="D3868" s="21" t="str">
        <x:v>milestone 29 share positive</x:v>
      </x:c>
      <x:c r="E3868" s="21" t="n">
        <x:f>IF(Milestones!H29&gt;0,1,0)</x:f>
        <x:v>1</x:v>
      </x:c>
      <x:c r="F3868" s="21" t="n">
        <x:v>1</x:v>
      </x:c>
      <x:c r="G3868" s="23" t="str">
        <x:f>IF(E3868=F3868,"PASS","FAIL")</x:f>
        <x:v>PASS</x:v>
      </x:c>
    </x:row>
    <x:row r="3869">
      <x:c r="B3869" s="21" t="str">
        <x:v>A3863</x:v>
      </x:c>
      <x:c r="C3869" s="21" t="str">
        <x:v>milestone</x:v>
      </x:c>
      <x:c r="D3869" s="21" t="str">
        <x:v>milestone 29 year bounded</x:v>
      </x:c>
      <x:c r="E3869" s="21" t="n">
        <x:f>IF(AND(Milestones!I29&gt;=1,Milestones!I29&lt;=9),1,0)</x:f>
        <x:v>1</x:v>
      </x:c>
      <x:c r="F3869" s="21" t="n">
        <x:v>1</x:v>
      </x:c>
      <x:c r="G3869" s="23" t="str">
        <x:f>IF(E3869=F3869,"PASS","FAIL")</x:f>
        <x:v>PASS</x:v>
      </x:c>
    </x:row>
    <x:row r="3870">
      <x:c r="B3870" s="21" t="str">
        <x:v>A3864</x:v>
      </x:c>
      <x:c r="C3870" s="21" t="str">
        <x:v>milestone</x:v>
      </x:c>
      <x:c r="D3870" s="21" t="str">
        <x:v>milestone 29 payment nonnegative</x:v>
      </x:c>
      <x:c r="E3870" s="21" t="n">
        <x:f>IF(Milestones!J29&gt;=0,1,0)</x:f>
        <x:v>1</x:v>
      </x:c>
      <x:c r="F3870" s="21" t="n">
        <x:v>1</x:v>
      </x:c>
      <x:c r="G3870" s="23" t="str">
        <x:f>IF(E3870=F3870,"PASS","FAIL")</x:f>
        <x:v>PASS</x:v>
      </x:c>
    </x:row>
    <x:row r="3871">
      <x:c r="B3871" s="21" t="str">
        <x:v>A3865</x:v>
      </x:c>
      <x:c r="C3871" s="21" t="str">
        <x:v>milestone</x:v>
      </x:c>
      <x:c r="D3871" s="21" t="str">
        <x:v>milestone 29 evidence open</x:v>
      </x:c>
      <x:c r="E3871" s="21" t="n">
        <x:f>IF(Milestones!L29="OPEN",1,0)</x:f>
        <x:v>1</x:v>
      </x:c>
      <x:c r="F3871" s="21" t="n">
        <x:v>1</x:v>
      </x:c>
      <x:c r="G3871" s="23" t="str">
        <x:f>IF(E3871=F3871,"PASS","FAIL")</x:f>
        <x:v>PASS</x:v>
      </x:c>
    </x:row>
    <x:row r="3872">
      <x:c r="B3872" s="21" t="str">
        <x:v>A3866</x:v>
      </x:c>
      <x:c r="C3872" s="21" t="str">
        <x:v>milestone</x:v>
      </x:c>
      <x:c r="D3872" s="21" t="str">
        <x:v>milestone 29 decision held</x:v>
      </x:c>
      <x:c r="E3872" s="21" t="n">
        <x:f>IF(Milestones!M29="HOLD",1,0)</x:f>
        <x:v>1</x:v>
      </x:c>
      <x:c r="F3872" s="21" t="n">
        <x:v>1</x:v>
      </x:c>
      <x:c r="G3872" s="23" t="str">
        <x:f>IF(E3872=F3872,"PASS","FAIL")</x:f>
        <x:v>PASS</x:v>
      </x:c>
    </x:row>
    <x:row r="3873">
      <x:c r="B3873" s="21" t="str">
        <x:v>A3867</x:v>
      </x:c>
      <x:c r="C3873" s="21" t="str">
        <x:v>milestone</x:v>
      </x:c>
      <x:c r="D3873" s="21" t="str">
        <x:v>milestone 30 share positive</x:v>
      </x:c>
      <x:c r="E3873" s="21" t="n">
        <x:f>IF(Milestones!H30&gt;0,1,0)</x:f>
        <x:v>1</x:v>
      </x:c>
      <x:c r="F3873" s="21" t="n">
        <x:v>1</x:v>
      </x:c>
      <x:c r="G3873" s="23" t="str">
        <x:f>IF(E3873=F3873,"PASS","FAIL")</x:f>
        <x:v>PASS</x:v>
      </x:c>
    </x:row>
    <x:row r="3874">
      <x:c r="B3874" s="21" t="str">
        <x:v>A3868</x:v>
      </x:c>
      <x:c r="C3874" s="21" t="str">
        <x:v>milestone</x:v>
      </x:c>
      <x:c r="D3874" s="21" t="str">
        <x:v>milestone 30 year bounded</x:v>
      </x:c>
      <x:c r="E3874" s="21" t="n">
        <x:f>IF(AND(Milestones!I30&gt;=1,Milestones!I30&lt;=9),1,0)</x:f>
        <x:v>1</x:v>
      </x:c>
      <x:c r="F3874" s="21" t="n">
        <x:v>1</x:v>
      </x:c>
      <x:c r="G3874" s="23" t="str">
        <x:f>IF(E3874=F3874,"PASS","FAIL")</x:f>
        <x:v>PASS</x:v>
      </x:c>
    </x:row>
    <x:row r="3875">
      <x:c r="B3875" s="21" t="str">
        <x:v>A3869</x:v>
      </x:c>
      <x:c r="C3875" s="21" t="str">
        <x:v>milestone</x:v>
      </x:c>
      <x:c r="D3875" s="21" t="str">
        <x:v>milestone 30 payment nonnegative</x:v>
      </x:c>
      <x:c r="E3875" s="21" t="n">
        <x:f>IF(Milestones!J30&gt;=0,1,0)</x:f>
        <x:v>1</x:v>
      </x:c>
      <x:c r="F3875" s="21" t="n">
        <x:v>1</x:v>
      </x:c>
      <x:c r="G3875" s="23" t="str">
        <x:f>IF(E3875=F3875,"PASS","FAIL")</x:f>
        <x:v>PASS</x:v>
      </x:c>
    </x:row>
    <x:row r="3876">
      <x:c r="B3876" s="21" t="str">
        <x:v>A3870</x:v>
      </x:c>
      <x:c r="C3876" s="21" t="str">
        <x:v>milestone</x:v>
      </x:c>
      <x:c r="D3876" s="21" t="str">
        <x:v>milestone 30 evidence open</x:v>
      </x:c>
      <x:c r="E3876" s="21" t="n">
        <x:f>IF(Milestones!L30="OPEN",1,0)</x:f>
        <x:v>1</x:v>
      </x:c>
      <x:c r="F3876" s="21" t="n">
        <x:v>1</x:v>
      </x:c>
      <x:c r="G3876" s="23" t="str">
        <x:f>IF(E3876=F3876,"PASS","FAIL")</x:f>
        <x:v>PASS</x:v>
      </x:c>
    </x:row>
    <x:row r="3877">
      <x:c r="B3877" s="21" t="str">
        <x:v>A3871</x:v>
      </x:c>
      <x:c r="C3877" s="21" t="str">
        <x:v>milestone</x:v>
      </x:c>
      <x:c r="D3877" s="21" t="str">
        <x:v>milestone 30 decision held</x:v>
      </x:c>
      <x:c r="E3877" s="21" t="n">
        <x:f>IF(Milestones!M30="HOLD",1,0)</x:f>
        <x:v>1</x:v>
      </x:c>
      <x:c r="F3877" s="21" t="n">
        <x:v>1</x:v>
      </x:c>
      <x:c r="G3877" s="23" t="str">
        <x:f>IF(E3877=F3877,"PASS","FAIL")</x:f>
        <x:v>PASS</x:v>
      </x:c>
    </x:row>
    <x:row r="3878">
      <x:c r="B3878" s="21" t="str">
        <x:v>A3872</x:v>
      </x:c>
      <x:c r="C3878" s="21" t="str">
        <x:v>milestone</x:v>
      </x:c>
      <x:c r="D3878" s="21" t="str">
        <x:v>milestone 31 share positive</x:v>
      </x:c>
      <x:c r="E3878" s="21" t="n">
        <x:f>IF(Milestones!H31&gt;0,1,0)</x:f>
        <x:v>1</x:v>
      </x:c>
      <x:c r="F3878" s="21" t="n">
        <x:v>1</x:v>
      </x:c>
      <x:c r="G3878" s="23" t="str">
        <x:f>IF(E3878=F3878,"PASS","FAIL")</x:f>
        <x:v>PASS</x:v>
      </x:c>
    </x:row>
    <x:row r="3879">
      <x:c r="B3879" s="21" t="str">
        <x:v>A3873</x:v>
      </x:c>
      <x:c r="C3879" s="21" t="str">
        <x:v>milestone</x:v>
      </x:c>
      <x:c r="D3879" s="21" t="str">
        <x:v>milestone 31 year bounded</x:v>
      </x:c>
      <x:c r="E3879" s="21" t="n">
        <x:f>IF(AND(Milestones!I31&gt;=1,Milestones!I31&lt;=9),1,0)</x:f>
        <x:v>1</x:v>
      </x:c>
      <x:c r="F3879" s="21" t="n">
        <x:v>1</x:v>
      </x:c>
      <x:c r="G3879" s="23" t="str">
        <x:f>IF(E3879=F3879,"PASS","FAIL")</x:f>
        <x:v>PASS</x:v>
      </x:c>
    </x:row>
    <x:row r="3880">
      <x:c r="B3880" s="21" t="str">
        <x:v>A3874</x:v>
      </x:c>
      <x:c r="C3880" s="21" t="str">
        <x:v>milestone</x:v>
      </x:c>
      <x:c r="D3880" s="21" t="str">
        <x:v>milestone 31 payment nonnegative</x:v>
      </x:c>
      <x:c r="E3880" s="21" t="n">
        <x:f>IF(Milestones!J31&gt;=0,1,0)</x:f>
        <x:v>1</x:v>
      </x:c>
      <x:c r="F3880" s="21" t="n">
        <x:v>1</x:v>
      </x:c>
      <x:c r="G3880" s="23" t="str">
        <x:f>IF(E3880=F3880,"PASS","FAIL")</x:f>
        <x:v>PASS</x:v>
      </x:c>
    </x:row>
    <x:row r="3881">
      <x:c r="B3881" s="21" t="str">
        <x:v>A3875</x:v>
      </x:c>
      <x:c r="C3881" s="21" t="str">
        <x:v>milestone</x:v>
      </x:c>
      <x:c r="D3881" s="21" t="str">
        <x:v>milestone 31 evidence open</x:v>
      </x:c>
      <x:c r="E3881" s="21" t="n">
        <x:f>IF(Milestones!L31="OPEN",1,0)</x:f>
        <x:v>1</x:v>
      </x:c>
      <x:c r="F3881" s="21" t="n">
        <x:v>1</x:v>
      </x:c>
      <x:c r="G3881" s="23" t="str">
        <x:f>IF(E3881=F3881,"PASS","FAIL")</x:f>
        <x:v>PASS</x:v>
      </x:c>
    </x:row>
    <x:row r="3882">
      <x:c r="B3882" s="21" t="str">
        <x:v>A3876</x:v>
      </x:c>
      <x:c r="C3882" s="21" t="str">
        <x:v>milestone</x:v>
      </x:c>
      <x:c r="D3882" s="21" t="str">
        <x:v>milestone 31 decision held</x:v>
      </x:c>
      <x:c r="E3882" s="21" t="n">
        <x:f>IF(Milestones!M31="HOLD",1,0)</x:f>
        <x:v>1</x:v>
      </x:c>
      <x:c r="F3882" s="21" t="n">
        <x:v>1</x:v>
      </x:c>
      <x:c r="G3882" s="23" t="str">
        <x:f>IF(E3882=F3882,"PASS","FAIL")</x:f>
        <x:v>PASS</x:v>
      </x:c>
    </x:row>
    <x:row r="3883">
      <x:c r="B3883" s="21" t="str">
        <x:v>A3877</x:v>
      </x:c>
      <x:c r="C3883" s="21" t="str">
        <x:v>milestone</x:v>
      </x:c>
      <x:c r="D3883" s="21" t="str">
        <x:v>milestone 32 share positive</x:v>
      </x:c>
      <x:c r="E3883" s="21" t="n">
        <x:f>IF(Milestones!H32&gt;0,1,0)</x:f>
        <x:v>1</x:v>
      </x:c>
      <x:c r="F3883" s="21" t="n">
        <x:v>1</x:v>
      </x:c>
      <x:c r="G3883" s="23" t="str">
        <x:f>IF(E3883=F3883,"PASS","FAIL")</x:f>
        <x:v>PASS</x:v>
      </x:c>
    </x:row>
    <x:row r="3884">
      <x:c r="B3884" s="21" t="str">
        <x:v>A3878</x:v>
      </x:c>
      <x:c r="C3884" s="21" t="str">
        <x:v>milestone</x:v>
      </x:c>
      <x:c r="D3884" s="21" t="str">
        <x:v>milestone 32 year bounded</x:v>
      </x:c>
      <x:c r="E3884" s="21" t="n">
        <x:f>IF(AND(Milestones!I32&gt;=1,Milestones!I32&lt;=9),1,0)</x:f>
        <x:v>1</x:v>
      </x:c>
      <x:c r="F3884" s="21" t="n">
        <x:v>1</x:v>
      </x:c>
      <x:c r="G3884" s="23" t="str">
        <x:f>IF(E3884=F3884,"PASS","FAIL")</x:f>
        <x:v>PASS</x:v>
      </x:c>
    </x:row>
    <x:row r="3885">
      <x:c r="B3885" s="21" t="str">
        <x:v>A3879</x:v>
      </x:c>
      <x:c r="C3885" s="21" t="str">
        <x:v>milestone</x:v>
      </x:c>
      <x:c r="D3885" s="21" t="str">
        <x:v>milestone 32 payment nonnegative</x:v>
      </x:c>
      <x:c r="E3885" s="21" t="n">
        <x:f>IF(Milestones!J32&gt;=0,1,0)</x:f>
        <x:v>1</x:v>
      </x:c>
      <x:c r="F3885" s="21" t="n">
        <x:v>1</x:v>
      </x:c>
      <x:c r="G3885" s="23" t="str">
        <x:f>IF(E3885=F3885,"PASS","FAIL")</x:f>
        <x:v>PASS</x:v>
      </x:c>
    </x:row>
    <x:row r="3886">
      <x:c r="B3886" s="21" t="str">
        <x:v>A3880</x:v>
      </x:c>
      <x:c r="C3886" s="21" t="str">
        <x:v>milestone</x:v>
      </x:c>
      <x:c r="D3886" s="21" t="str">
        <x:v>milestone 32 evidence open</x:v>
      </x:c>
      <x:c r="E3886" s="21" t="n">
        <x:f>IF(Milestones!L32="OPEN",1,0)</x:f>
        <x:v>1</x:v>
      </x:c>
      <x:c r="F3886" s="21" t="n">
        <x:v>1</x:v>
      </x:c>
      <x:c r="G3886" s="23" t="str">
        <x:f>IF(E3886=F3886,"PASS","FAIL")</x:f>
        <x:v>PASS</x:v>
      </x:c>
    </x:row>
    <x:row r="3887">
      <x:c r="B3887" s="21" t="str">
        <x:v>A3881</x:v>
      </x:c>
      <x:c r="C3887" s="21" t="str">
        <x:v>milestone</x:v>
      </x:c>
      <x:c r="D3887" s="21" t="str">
        <x:v>milestone 32 decision held</x:v>
      </x:c>
      <x:c r="E3887" s="21" t="n">
        <x:f>IF(Milestones!M32="HOLD",1,0)</x:f>
        <x:v>1</x:v>
      </x:c>
      <x:c r="F3887" s="21" t="n">
        <x:v>1</x:v>
      </x:c>
      <x:c r="G3887" s="23" t="str">
        <x:f>IF(E3887=F3887,"PASS","FAIL")</x:f>
        <x:v>PASS</x:v>
      </x:c>
    </x:row>
    <x:row r="3888">
      <x:c r="B3888" s="21" t="str">
        <x:v>A3882</x:v>
      </x:c>
      <x:c r="C3888" s="21" t="str">
        <x:v>milestone</x:v>
      </x:c>
      <x:c r="D3888" s="21" t="str">
        <x:v>milestone 33 share positive</x:v>
      </x:c>
      <x:c r="E3888" s="21" t="n">
        <x:f>IF(Milestones!H33&gt;0,1,0)</x:f>
        <x:v>1</x:v>
      </x:c>
      <x:c r="F3888" s="21" t="n">
        <x:v>1</x:v>
      </x:c>
      <x:c r="G3888" s="23" t="str">
        <x:f>IF(E3888=F3888,"PASS","FAIL")</x:f>
        <x:v>PASS</x:v>
      </x:c>
    </x:row>
    <x:row r="3889">
      <x:c r="B3889" s="21" t="str">
        <x:v>A3883</x:v>
      </x:c>
      <x:c r="C3889" s="21" t="str">
        <x:v>milestone</x:v>
      </x:c>
      <x:c r="D3889" s="21" t="str">
        <x:v>milestone 33 year bounded</x:v>
      </x:c>
      <x:c r="E3889" s="21" t="n">
        <x:f>IF(AND(Milestones!I33&gt;=1,Milestones!I33&lt;=9),1,0)</x:f>
        <x:v>1</x:v>
      </x:c>
      <x:c r="F3889" s="21" t="n">
        <x:v>1</x:v>
      </x:c>
      <x:c r="G3889" s="23" t="str">
        <x:f>IF(E3889=F3889,"PASS","FAIL")</x:f>
        <x:v>PASS</x:v>
      </x:c>
    </x:row>
    <x:row r="3890">
      <x:c r="B3890" s="21" t="str">
        <x:v>A3884</x:v>
      </x:c>
      <x:c r="C3890" s="21" t="str">
        <x:v>milestone</x:v>
      </x:c>
      <x:c r="D3890" s="21" t="str">
        <x:v>milestone 33 payment nonnegative</x:v>
      </x:c>
      <x:c r="E3890" s="21" t="n">
        <x:f>IF(Milestones!J33&gt;=0,1,0)</x:f>
        <x:v>1</x:v>
      </x:c>
      <x:c r="F3890" s="21" t="n">
        <x:v>1</x:v>
      </x:c>
      <x:c r="G3890" s="23" t="str">
        <x:f>IF(E3890=F3890,"PASS","FAIL")</x:f>
        <x:v>PASS</x:v>
      </x:c>
    </x:row>
    <x:row r="3891">
      <x:c r="B3891" s="21" t="str">
        <x:v>A3885</x:v>
      </x:c>
      <x:c r="C3891" s="21" t="str">
        <x:v>milestone</x:v>
      </x:c>
      <x:c r="D3891" s="21" t="str">
        <x:v>milestone 33 evidence open</x:v>
      </x:c>
      <x:c r="E3891" s="21" t="n">
        <x:f>IF(Milestones!L33="OPEN",1,0)</x:f>
        <x:v>1</x:v>
      </x:c>
      <x:c r="F3891" s="21" t="n">
        <x:v>1</x:v>
      </x:c>
      <x:c r="G3891" s="23" t="str">
        <x:f>IF(E3891=F3891,"PASS","FAIL")</x:f>
        <x:v>PASS</x:v>
      </x:c>
    </x:row>
    <x:row r="3892">
      <x:c r="B3892" s="21" t="str">
        <x:v>A3886</x:v>
      </x:c>
      <x:c r="C3892" s="21" t="str">
        <x:v>milestone</x:v>
      </x:c>
      <x:c r="D3892" s="21" t="str">
        <x:v>milestone 33 decision held</x:v>
      </x:c>
      <x:c r="E3892" s="21" t="n">
        <x:f>IF(Milestones!M33="HOLD",1,0)</x:f>
        <x:v>1</x:v>
      </x:c>
      <x:c r="F3892" s="21" t="n">
        <x:v>1</x:v>
      </x:c>
      <x:c r="G3892" s="23" t="str">
        <x:f>IF(E3892=F3892,"PASS","FAIL")</x:f>
        <x:v>PASS</x:v>
      </x:c>
    </x:row>
    <x:row r="3893">
      <x:c r="B3893" s="21" t="str">
        <x:v>A3887</x:v>
      </x:c>
      <x:c r="C3893" s="21" t="str">
        <x:v>milestone</x:v>
      </x:c>
      <x:c r="D3893" s="21" t="str">
        <x:v>milestone 34 share positive</x:v>
      </x:c>
      <x:c r="E3893" s="21" t="n">
        <x:f>IF(Milestones!H34&gt;0,1,0)</x:f>
        <x:v>1</x:v>
      </x:c>
      <x:c r="F3893" s="21" t="n">
        <x:v>1</x:v>
      </x:c>
      <x:c r="G3893" s="23" t="str">
        <x:f>IF(E3893=F3893,"PASS","FAIL")</x:f>
        <x:v>PASS</x:v>
      </x:c>
    </x:row>
    <x:row r="3894">
      <x:c r="B3894" s="21" t="str">
        <x:v>A3888</x:v>
      </x:c>
      <x:c r="C3894" s="21" t="str">
        <x:v>milestone</x:v>
      </x:c>
      <x:c r="D3894" s="21" t="str">
        <x:v>milestone 34 year bounded</x:v>
      </x:c>
      <x:c r="E3894" s="21" t="n">
        <x:f>IF(AND(Milestones!I34&gt;=1,Milestones!I34&lt;=9),1,0)</x:f>
        <x:v>1</x:v>
      </x:c>
      <x:c r="F3894" s="21" t="n">
        <x:v>1</x:v>
      </x:c>
      <x:c r="G3894" s="23" t="str">
        <x:f>IF(E3894=F3894,"PASS","FAIL")</x:f>
        <x:v>PASS</x:v>
      </x:c>
    </x:row>
    <x:row r="3895">
      <x:c r="B3895" s="21" t="str">
        <x:v>A3889</x:v>
      </x:c>
      <x:c r="C3895" s="21" t="str">
        <x:v>milestone</x:v>
      </x:c>
      <x:c r="D3895" s="21" t="str">
        <x:v>milestone 34 payment nonnegative</x:v>
      </x:c>
      <x:c r="E3895" s="21" t="n">
        <x:f>IF(Milestones!J34&gt;=0,1,0)</x:f>
        <x:v>1</x:v>
      </x:c>
      <x:c r="F3895" s="21" t="n">
        <x:v>1</x:v>
      </x:c>
      <x:c r="G3895" s="23" t="str">
        <x:f>IF(E3895=F3895,"PASS","FAIL")</x:f>
        <x:v>PASS</x:v>
      </x:c>
    </x:row>
    <x:row r="3896">
      <x:c r="B3896" s="21" t="str">
        <x:v>A3890</x:v>
      </x:c>
      <x:c r="C3896" s="21" t="str">
        <x:v>milestone</x:v>
      </x:c>
      <x:c r="D3896" s="21" t="str">
        <x:v>milestone 34 evidence open</x:v>
      </x:c>
      <x:c r="E3896" s="21" t="n">
        <x:f>IF(Milestones!L34="OPEN",1,0)</x:f>
        <x:v>1</x:v>
      </x:c>
      <x:c r="F3896" s="21" t="n">
        <x:v>1</x:v>
      </x:c>
      <x:c r="G3896" s="23" t="str">
        <x:f>IF(E3896=F3896,"PASS","FAIL")</x:f>
        <x:v>PASS</x:v>
      </x:c>
    </x:row>
    <x:row r="3897">
      <x:c r="B3897" s="21" t="str">
        <x:v>A3891</x:v>
      </x:c>
      <x:c r="C3897" s="21" t="str">
        <x:v>milestone</x:v>
      </x:c>
      <x:c r="D3897" s="21" t="str">
        <x:v>milestone 34 decision held</x:v>
      </x:c>
      <x:c r="E3897" s="21" t="n">
        <x:f>IF(Milestones!M34="HOLD",1,0)</x:f>
        <x:v>1</x:v>
      </x:c>
      <x:c r="F3897" s="21" t="n">
        <x:v>1</x:v>
      </x:c>
      <x:c r="G3897" s="23" t="str">
        <x:f>IF(E3897=F3897,"PASS","FAIL")</x:f>
        <x:v>PASS</x:v>
      </x:c>
    </x:row>
    <x:row r="3898">
      <x:c r="B3898" s="21" t="str">
        <x:v>A3892</x:v>
      </x:c>
      <x:c r="C3898" s="21" t="str">
        <x:v>milestone</x:v>
      </x:c>
      <x:c r="D3898" s="21" t="str">
        <x:v>milestone 35 share positive</x:v>
      </x:c>
      <x:c r="E3898" s="21" t="n">
        <x:f>IF(Milestones!H35&gt;0,1,0)</x:f>
        <x:v>1</x:v>
      </x:c>
      <x:c r="F3898" s="21" t="n">
        <x:v>1</x:v>
      </x:c>
      <x:c r="G3898" s="23" t="str">
        <x:f>IF(E3898=F3898,"PASS","FAIL")</x:f>
        <x:v>PASS</x:v>
      </x:c>
    </x:row>
    <x:row r="3899">
      <x:c r="B3899" s="21" t="str">
        <x:v>A3893</x:v>
      </x:c>
      <x:c r="C3899" s="21" t="str">
        <x:v>milestone</x:v>
      </x:c>
      <x:c r="D3899" s="21" t="str">
        <x:v>milestone 35 year bounded</x:v>
      </x:c>
      <x:c r="E3899" s="21" t="n">
        <x:f>IF(AND(Milestones!I35&gt;=1,Milestones!I35&lt;=9),1,0)</x:f>
        <x:v>1</x:v>
      </x:c>
      <x:c r="F3899" s="21" t="n">
        <x:v>1</x:v>
      </x:c>
      <x:c r="G3899" s="23" t="str">
        <x:f>IF(E3899=F3899,"PASS","FAIL")</x:f>
        <x:v>PASS</x:v>
      </x:c>
    </x:row>
    <x:row r="3900">
      <x:c r="B3900" s="21" t="str">
        <x:v>A3894</x:v>
      </x:c>
      <x:c r="C3900" s="21" t="str">
        <x:v>milestone</x:v>
      </x:c>
      <x:c r="D3900" s="21" t="str">
        <x:v>milestone 35 payment nonnegative</x:v>
      </x:c>
      <x:c r="E3900" s="21" t="n">
        <x:f>IF(Milestones!J35&gt;=0,1,0)</x:f>
        <x:v>1</x:v>
      </x:c>
      <x:c r="F3900" s="21" t="n">
        <x:v>1</x:v>
      </x:c>
      <x:c r="G3900" s="23" t="str">
        <x:f>IF(E3900=F3900,"PASS","FAIL")</x:f>
        <x:v>PASS</x:v>
      </x:c>
    </x:row>
    <x:row r="3901">
      <x:c r="B3901" s="21" t="str">
        <x:v>A3895</x:v>
      </x:c>
      <x:c r="C3901" s="21" t="str">
        <x:v>milestone</x:v>
      </x:c>
      <x:c r="D3901" s="21" t="str">
        <x:v>milestone 35 evidence open</x:v>
      </x:c>
      <x:c r="E3901" s="21" t="n">
        <x:f>IF(Milestones!L35="OPEN",1,0)</x:f>
        <x:v>1</x:v>
      </x:c>
      <x:c r="F3901" s="21" t="n">
        <x:v>1</x:v>
      </x:c>
      <x:c r="G3901" s="23" t="str">
        <x:f>IF(E3901=F3901,"PASS","FAIL")</x:f>
        <x:v>PASS</x:v>
      </x:c>
    </x:row>
    <x:row r="3902">
      <x:c r="B3902" s="21" t="str">
        <x:v>A3896</x:v>
      </x:c>
      <x:c r="C3902" s="21" t="str">
        <x:v>milestone</x:v>
      </x:c>
      <x:c r="D3902" s="21" t="str">
        <x:v>milestone 35 decision held</x:v>
      </x:c>
      <x:c r="E3902" s="21" t="n">
        <x:f>IF(Milestones!M35="HOLD",1,0)</x:f>
        <x:v>1</x:v>
      </x:c>
      <x:c r="F3902" s="21" t="n">
        <x:v>1</x:v>
      </x:c>
      <x:c r="G3902" s="23" t="str">
        <x:f>IF(E3902=F3902,"PASS","FAIL")</x:f>
        <x:v>PASS</x:v>
      </x:c>
    </x:row>
    <x:row r="3903">
      <x:c r="B3903" s="21" t="str">
        <x:v>A3897</x:v>
      </x:c>
      <x:c r="C3903" s="21" t="str">
        <x:v>milestone</x:v>
      </x:c>
      <x:c r="D3903" s="21" t="str">
        <x:v>milestone 36 share positive</x:v>
      </x:c>
      <x:c r="E3903" s="21" t="n">
        <x:f>IF(Milestones!H36&gt;0,1,0)</x:f>
        <x:v>1</x:v>
      </x:c>
      <x:c r="F3903" s="21" t="n">
        <x:v>1</x:v>
      </x:c>
      <x:c r="G3903" s="23" t="str">
        <x:f>IF(E3903=F3903,"PASS","FAIL")</x:f>
        <x:v>PASS</x:v>
      </x:c>
    </x:row>
    <x:row r="3904">
      <x:c r="B3904" s="21" t="str">
        <x:v>A3898</x:v>
      </x:c>
      <x:c r="C3904" s="21" t="str">
        <x:v>milestone</x:v>
      </x:c>
      <x:c r="D3904" s="21" t="str">
        <x:v>milestone 36 year bounded</x:v>
      </x:c>
      <x:c r="E3904" s="21" t="n">
        <x:f>IF(AND(Milestones!I36&gt;=1,Milestones!I36&lt;=9),1,0)</x:f>
        <x:v>1</x:v>
      </x:c>
      <x:c r="F3904" s="21" t="n">
        <x:v>1</x:v>
      </x:c>
      <x:c r="G3904" s="23" t="str">
        <x:f>IF(E3904=F3904,"PASS","FAIL")</x:f>
        <x:v>PASS</x:v>
      </x:c>
    </x:row>
    <x:row r="3905">
      <x:c r="B3905" s="21" t="str">
        <x:v>A3899</x:v>
      </x:c>
      <x:c r="C3905" s="21" t="str">
        <x:v>milestone</x:v>
      </x:c>
      <x:c r="D3905" s="21" t="str">
        <x:v>milestone 36 payment nonnegative</x:v>
      </x:c>
      <x:c r="E3905" s="21" t="n">
        <x:f>IF(Milestones!J36&gt;=0,1,0)</x:f>
        <x:v>1</x:v>
      </x:c>
      <x:c r="F3905" s="21" t="n">
        <x:v>1</x:v>
      </x:c>
      <x:c r="G3905" s="23" t="str">
        <x:f>IF(E3905=F3905,"PASS","FAIL")</x:f>
        <x:v>PASS</x:v>
      </x:c>
    </x:row>
    <x:row r="3906">
      <x:c r="B3906" s="21" t="str">
        <x:v>A3900</x:v>
      </x:c>
      <x:c r="C3906" s="21" t="str">
        <x:v>milestone</x:v>
      </x:c>
      <x:c r="D3906" s="21" t="str">
        <x:v>milestone 36 evidence open</x:v>
      </x:c>
      <x:c r="E3906" s="21" t="n">
        <x:f>IF(Milestones!L36="OPEN",1,0)</x:f>
        <x:v>1</x:v>
      </x:c>
      <x:c r="F3906" s="21" t="n">
        <x:v>1</x:v>
      </x:c>
      <x:c r="G3906" s="23" t="str">
        <x:f>IF(E3906=F3906,"PASS","FAIL")</x:f>
        <x:v>PASS</x:v>
      </x:c>
    </x:row>
    <x:row r="3907">
      <x:c r="B3907" s="21" t="str">
        <x:v>A3901</x:v>
      </x:c>
      <x:c r="C3907" s="21" t="str">
        <x:v>milestone</x:v>
      </x:c>
      <x:c r="D3907" s="21" t="str">
        <x:v>milestone 36 decision held</x:v>
      </x:c>
      <x:c r="E3907" s="21" t="n">
        <x:f>IF(Milestones!M36="HOLD",1,0)</x:f>
        <x:v>1</x:v>
      </x:c>
      <x:c r="F3907" s="21" t="n">
        <x:v>1</x:v>
      </x:c>
      <x:c r="G3907" s="23" t="str">
        <x:f>IF(E3907=F3907,"PASS","FAIL")</x:f>
        <x:v>PASS</x:v>
      </x:c>
    </x:row>
    <x:row r="3908">
      <x:c r="B3908" s="21" t="str">
        <x:v>A3902</x:v>
      </x:c>
      <x:c r="C3908" s="21" t="str">
        <x:v>milestone</x:v>
      </x:c>
      <x:c r="D3908" s="21" t="str">
        <x:v>milestone 37 share positive</x:v>
      </x:c>
      <x:c r="E3908" s="21" t="n">
        <x:f>IF(Milestones!H37&gt;0,1,0)</x:f>
        <x:v>1</x:v>
      </x:c>
      <x:c r="F3908" s="21" t="n">
        <x:v>1</x:v>
      </x:c>
      <x:c r="G3908" s="23" t="str">
        <x:f>IF(E3908=F3908,"PASS","FAIL")</x:f>
        <x:v>PASS</x:v>
      </x:c>
    </x:row>
    <x:row r="3909">
      <x:c r="B3909" s="21" t="str">
        <x:v>A3903</x:v>
      </x:c>
      <x:c r="C3909" s="21" t="str">
        <x:v>milestone</x:v>
      </x:c>
      <x:c r="D3909" s="21" t="str">
        <x:v>milestone 37 year bounded</x:v>
      </x:c>
      <x:c r="E3909" s="21" t="n">
        <x:f>IF(AND(Milestones!I37&gt;=1,Milestones!I37&lt;=9),1,0)</x:f>
        <x:v>1</x:v>
      </x:c>
      <x:c r="F3909" s="21" t="n">
        <x:v>1</x:v>
      </x:c>
      <x:c r="G3909" s="23" t="str">
        <x:f>IF(E3909=F3909,"PASS","FAIL")</x:f>
        <x:v>PASS</x:v>
      </x:c>
    </x:row>
    <x:row r="3910">
      <x:c r="B3910" s="21" t="str">
        <x:v>A3904</x:v>
      </x:c>
      <x:c r="C3910" s="21" t="str">
        <x:v>milestone</x:v>
      </x:c>
      <x:c r="D3910" s="21" t="str">
        <x:v>milestone 37 payment nonnegative</x:v>
      </x:c>
      <x:c r="E3910" s="21" t="n">
        <x:f>IF(Milestones!J37&gt;=0,1,0)</x:f>
        <x:v>1</x:v>
      </x:c>
      <x:c r="F3910" s="21" t="n">
        <x:v>1</x:v>
      </x:c>
      <x:c r="G3910" s="23" t="str">
        <x:f>IF(E3910=F3910,"PASS","FAIL")</x:f>
        <x:v>PASS</x:v>
      </x:c>
    </x:row>
    <x:row r="3911">
      <x:c r="B3911" s="21" t="str">
        <x:v>A3905</x:v>
      </x:c>
      <x:c r="C3911" s="21" t="str">
        <x:v>milestone</x:v>
      </x:c>
      <x:c r="D3911" s="21" t="str">
        <x:v>milestone 37 evidence open</x:v>
      </x:c>
      <x:c r="E3911" s="21" t="n">
        <x:f>IF(Milestones!L37="OPEN",1,0)</x:f>
        <x:v>1</x:v>
      </x:c>
      <x:c r="F3911" s="21" t="n">
        <x:v>1</x:v>
      </x:c>
      <x:c r="G3911" s="23" t="str">
        <x:f>IF(E3911=F3911,"PASS","FAIL")</x:f>
        <x:v>PASS</x:v>
      </x:c>
    </x:row>
    <x:row r="3912">
      <x:c r="B3912" s="21" t="str">
        <x:v>A3906</x:v>
      </x:c>
      <x:c r="C3912" s="21" t="str">
        <x:v>milestone</x:v>
      </x:c>
      <x:c r="D3912" s="21" t="str">
        <x:v>milestone 37 decision held</x:v>
      </x:c>
      <x:c r="E3912" s="21" t="n">
        <x:f>IF(Milestones!M37="HOLD",1,0)</x:f>
        <x:v>1</x:v>
      </x:c>
      <x:c r="F3912" s="21" t="n">
        <x:v>1</x:v>
      </x:c>
      <x:c r="G3912" s="23" t="str">
        <x:f>IF(E3912=F3912,"PASS","FAIL")</x:f>
        <x:v>PASS</x:v>
      </x:c>
    </x:row>
    <x:row r="3913">
      <x:c r="B3913" s="21" t="str">
        <x:v>A3907</x:v>
      </x:c>
      <x:c r="C3913" s="21" t="str">
        <x:v>milestone</x:v>
      </x:c>
      <x:c r="D3913" s="21" t="str">
        <x:v>milestone 38 share positive</x:v>
      </x:c>
      <x:c r="E3913" s="21" t="n">
        <x:f>IF(Milestones!H38&gt;0,1,0)</x:f>
        <x:v>1</x:v>
      </x:c>
      <x:c r="F3913" s="21" t="n">
        <x:v>1</x:v>
      </x:c>
      <x:c r="G3913" s="23" t="str">
        <x:f>IF(E3913=F3913,"PASS","FAIL")</x:f>
        <x:v>PASS</x:v>
      </x:c>
    </x:row>
    <x:row r="3914">
      <x:c r="B3914" s="21" t="str">
        <x:v>A3908</x:v>
      </x:c>
      <x:c r="C3914" s="21" t="str">
        <x:v>milestone</x:v>
      </x:c>
      <x:c r="D3914" s="21" t="str">
        <x:v>milestone 38 year bounded</x:v>
      </x:c>
      <x:c r="E3914" s="21" t="n">
        <x:f>IF(AND(Milestones!I38&gt;=1,Milestones!I38&lt;=9),1,0)</x:f>
        <x:v>1</x:v>
      </x:c>
      <x:c r="F3914" s="21" t="n">
        <x:v>1</x:v>
      </x:c>
      <x:c r="G3914" s="23" t="str">
        <x:f>IF(E3914=F3914,"PASS","FAIL")</x:f>
        <x:v>PASS</x:v>
      </x:c>
    </x:row>
    <x:row r="3915">
      <x:c r="B3915" s="21" t="str">
        <x:v>A3909</x:v>
      </x:c>
      <x:c r="C3915" s="21" t="str">
        <x:v>milestone</x:v>
      </x:c>
      <x:c r="D3915" s="21" t="str">
        <x:v>milestone 38 payment nonnegative</x:v>
      </x:c>
      <x:c r="E3915" s="21" t="n">
        <x:f>IF(Milestones!J38&gt;=0,1,0)</x:f>
        <x:v>1</x:v>
      </x:c>
      <x:c r="F3915" s="21" t="n">
        <x:v>1</x:v>
      </x:c>
      <x:c r="G3915" s="23" t="str">
        <x:f>IF(E3915=F3915,"PASS","FAIL")</x:f>
        <x:v>PASS</x:v>
      </x:c>
    </x:row>
    <x:row r="3916">
      <x:c r="B3916" s="21" t="str">
        <x:v>A3910</x:v>
      </x:c>
      <x:c r="C3916" s="21" t="str">
        <x:v>milestone</x:v>
      </x:c>
      <x:c r="D3916" s="21" t="str">
        <x:v>milestone 38 evidence open</x:v>
      </x:c>
      <x:c r="E3916" s="21" t="n">
        <x:f>IF(Milestones!L38="OPEN",1,0)</x:f>
        <x:v>1</x:v>
      </x:c>
      <x:c r="F3916" s="21" t="n">
        <x:v>1</x:v>
      </x:c>
      <x:c r="G3916" s="23" t="str">
        <x:f>IF(E3916=F3916,"PASS","FAIL")</x:f>
        <x:v>PASS</x:v>
      </x:c>
    </x:row>
    <x:row r="3917">
      <x:c r="B3917" s="21" t="str">
        <x:v>A3911</x:v>
      </x:c>
      <x:c r="C3917" s="21" t="str">
        <x:v>milestone</x:v>
      </x:c>
      <x:c r="D3917" s="21" t="str">
        <x:v>milestone 38 decision held</x:v>
      </x:c>
      <x:c r="E3917" s="21" t="n">
        <x:f>IF(Milestones!M38="HOLD",1,0)</x:f>
        <x:v>1</x:v>
      </x:c>
      <x:c r="F3917" s="21" t="n">
        <x:v>1</x:v>
      </x:c>
      <x:c r="G3917" s="23" t="str">
        <x:f>IF(E3917=F3917,"PASS","FAIL")</x:f>
        <x:v>PASS</x:v>
      </x:c>
    </x:row>
    <x:row r="3918">
      <x:c r="B3918" s="21" t="str">
        <x:v>A3912</x:v>
      </x:c>
      <x:c r="C3918" s="21" t="str">
        <x:v>milestone</x:v>
      </x:c>
      <x:c r="D3918" s="21" t="str">
        <x:v>milestone 39 share positive</x:v>
      </x:c>
      <x:c r="E3918" s="21" t="n">
        <x:f>IF(Milestones!H39&gt;0,1,0)</x:f>
        <x:v>1</x:v>
      </x:c>
      <x:c r="F3918" s="21" t="n">
        <x:v>1</x:v>
      </x:c>
      <x:c r="G3918" s="23" t="str">
        <x:f>IF(E3918=F3918,"PASS","FAIL")</x:f>
        <x:v>PASS</x:v>
      </x:c>
    </x:row>
    <x:row r="3919">
      <x:c r="B3919" s="21" t="str">
        <x:v>A3913</x:v>
      </x:c>
      <x:c r="C3919" s="21" t="str">
        <x:v>milestone</x:v>
      </x:c>
      <x:c r="D3919" s="21" t="str">
        <x:v>milestone 39 year bounded</x:v>
      </x:c>
      <x:c r="E3919" s="21" t="n">
        <x:f>IF(AND(Milestones!I39&gt;=1,Milestones!I39&lt;=9),1,0)</x:f>
        <x:v>1</x:v>
      </x:c>
      <x:c r="F3919" s="21" t="n">
        <x:v>1</x:v>
      </x:c>
      <x:c r="G3919" s="23" t="str">
        <x:f>IF(E3919=F3919,"PASS","FAIL")</x:f>
        <x:v>PASS</x:v>
      </x:c>
    </x:row>
    <x:row r="3920">
      <x:c r="B3920" s="21" t="str">
        <x:v>A3914</x:v>
      </x:c>
      <x:c r="C3920" s="21" t="str">
        <x:v>milestone</x:v>
      </x:c>
      <x:c r="D3920" s="21" t="str">
        <x:v>milestone 39 payment nonnegative</x:v>
      </x:c>
      <x:c r="E3920" s="21" t="n">
        <x:f>IF(Milestones!J39&gt;=0,1,0)</x:f>
        <x:v>1</x:v>
      </x:c>
      <x:c r="F3920" s="21" t="n">
        <x:v>1</x:v>
      </x:c>
      <x:c r="G3920" s="23" t="str">
        <x:f>IF(E3920=F3920,"PASS","FAIL")</x:f>
        <x:v>PASS</x:v>
      </x:c>
    </x:row>
    <x:row r="3921">
      <x:c r="B3921" s="21" t="str">
        <x:v>A3915</x:v>
      </x:c>
      <x:c r="C3921" s="21" t="str">
        <x:v>milestone</x:v>
      </x:c>
      <x:c r="D3921" s="21" t="str">
        <x:v>milestone 39 evidence open</x:v>
      </x:c>
      <x:c r="E3921" s="21" t="n">
        <x:f>IF(Milestones!L39="OPEN",1,0)</x:f>
        <x:v>1</x:v>
      </x:c>
      <x:c r="F3921" s="21" t="n">
        <x:v>1</x:v>
      </x:c>
      <x:c r="G3921" s="23" t="str">
        <x:f>IF(E3921=F3921,"PASS","FAIL")</x:f>
        <x:v>PASS</x:v>
      </x:c>
    </x:row>
    <x:row r="3922">
      <x:c r="B3922" s="21" t="str">
        <x:v>A3916</x:v>
      </x:c>
      <x:c r="C3922" s="21" t="str">
        <x:v>milestone</x:v>
      </x:c>
      <x:c r="D3922" s="21" t="str">
        <x:v>milestone 39 decision held</x:v>
      </x:c>
      <x:c r="E3922" s="21" t="n">
        <x:f>IF(Milestones!M39="HOLD",1,0)</x:f>
        <x:v>1</x:v>
      </x:c>
      <x:c r="F3922" s="21" t="n">
        <x:v>1</x:v>
      </x:c>
      <x:c r="G3922" s="23" t="str">
        <x:f>IF(E3922=F3922,"PASS","FAIL")</x:f>
        <x:v>PASS</x:v>
      </x:c>
    </x:row>
    <x:row r="3923">
      <x:c r="B3923" s="21" t="str">
        <x:v>A3917</x:v>
      </x:c>
      <x:c r="C3923" s="21" t="str">
        <x:v>milestone</x:v>
      </x:c>
      <x:c r="D3923" s="21" t="str">
        <x:v>milestone 40 share positive</x:v>
      </x:c>
      <x:c r="E3923" s="21" t="n">
        <x:f>IF(Milestones!H40&gt;0,1,0)</x:f>
        <x:v>1</x:v>
      </x:c>
      <x:c r="F3923" s="21" t="n">
        <x:v>1</x:v>
      </x:c>
      <x:c r="G3923" s="23" t="str">
        <x:f>IF(E3923=F3923,"PASS","FAIL")</x:f>
        <x:v>PASS</x:v>
      </x:c>
    </x:row>
    <x:row r="3924">
      <x:c r="B3924" s="21" t="str">
        <x:v>A3918</x:v>
      </x:c>
      <x:c r="C3924" s="21" t="str">
        <x:v>milestone</x:v>
      </x:c>
      <x:c r="D3924" s="21" t="str">
        <x:v>milestone 40 year bounded</x:v>
      </x:c>
      <x:c r="E3924" s="21" t="n">
        <x:f>IF(AND(Milestones!I40&gt;=1,Milestones!I40&lt;=9),1,0)</x:f>
        <x:v>1</x:v>
      </x:c>
      <x:c r="F3924" s="21" t="n">
        <x:v>1</x:v>
      </x:c>
      <x:c r="G3924" s="23" t="str">
        <x:f>IF(E3924=F3924,"PASS","FAIL")</x:f>
        <x:v>PASS</x:v>
      </x:c>
    </x:row>
    <x:row r="3925">
      <x:c r="B3925" s="21" t="str">
        <x:v>A3919</x:v>
      </x:c>
      <x:c r="C3925" s="21" t="str">
        <x:v>milestone</x:v>
      </x:c>
      <x:c r="D3925" s="21" t="str">
        <x:v>milestone 40 payment nonnegative</x:v>
      </x:c>
      <x:c r="E3925" s="21" t="n">
        <x:f>IF(Milestones!J40&gt;=0,1,0)</x:f>
        <x:v>1</x:v>
      </x:c>
      <x:c r="F3925" s="21" t="n">
        <x:v>1</x:v>
      </x:c>
      <x:c r="G3925" s="23" t="str">
        <x:f>IF(E3925=F3925,"PASS","FAIL")</x:f>
        <x:v>PASS</x:v>
      </x:c>
    </x:row>
    <x:row r="3926">
      <x:c r="B3926" s="21" t="str">
        <x:v>A3920</x:v>
      </x:c>
      <x:c r="C3926" s="21" t="str">
        <x:v>milestone</x:v>
      </x:c>
      <x:c r="D3926" s="21" t="str">
        <x:v>milestone 40 evidence open</x:v>
      </x:c>
      <x:c r="E3926" s="21" t="n">
        <x:f>IF(Milestones!L40="OPEN",1,0)</x:f>
        <x:v>1</x:v>
      </x:c>
      <x:c r="F3926" s="21" t="n">
        <x:v>1</x:v>
      </x:c>
      <x:c r="G3926" s="23" t="str">
        <x:f>IF(E3926=F3926,"PASS","FAIL")</x:f>
        <x:v>PASS</x:v>
      </x:c>
    </x:row>
    <x:row r="3927">
      <x:c r="B3927" s="21" t="str">
        <x:v>A3921</x:v>
      </x:c>
      <x:c r="C3927" s="21" t="str">
        <x:v>milestone</x:v>
      </x:c>
      <x:c r="D3927" s="21" t="str">
        <x:v>milestone 40 decision held</x:v>
      </x:c>
      <x:c r="E3927" s="21" t="n">
        <x:f>IF(Milestones!M40="HOLD",1,0)</x:f>
        <x:v>1</x:v>
      </x:c>
      <x:c r="F3927" s="21" t="n">
        <x:v>1</x:v>
      </x:c>
      <x:c r="G3927" s="23" t="str">
        <x:f>IF(E3927=F3927,"PASS","FAIL")</x:f>
        <x:v>PASS</x:v>
      </x:c>
    </x:row>
    <x:row r="3928">
      <x:c r="B3928" s="21" t="str">
        <x:v>A3922</x:v>
      </x:c>
      <x:c r="C3928" s="21" t="str">
        <x:v>milestone</x:v>
      </x:c>
      <x:c r="D3928" s="21" t="str">
        <x:v>milestone 41 share positive</x:v>
      </x:c>
      <x:c r="E3928" s="21" t="n">
        <x:f>IF(Milestones!H41&gt;0,1,0)</x:f>
        <x:v>1</x:v>
      </x:c>
      <x:c r="F3928" s="21" t="n">
        <x:v>1</x:v>
      </x:c>
      <x:c r="G3928" s="23" t="str">
        <x:f>IF(E3928=F3928,"PASS","FAIL")</x:f>
        <x:v>PASS</x:v>
      </x:c>
    </x:row>
    <x:row r="3929">
      <x:c r="B3929" s="21" t="str">
        <x:v>A3923</x:v>
      </x:c>
      <x:c r="C3929" s="21" t="str">
        <x:v>milestone</x:v>
      </x:c>
      <x:c r="D3929" s="21" t="str">
        <x:v>milestone 41 year bounded</x:v>
      </x:c>
      <x:c r="E3929" s="21" t="n">
        <x:f>IF(AND(Milestones!I41&gt;=1,Milestones!I41&lt;=9),1,0)</x:f>
        <x:v>1</x:v>
      </x:c>
      <x:c r="F3929" s="21" t="n">
        <x:v>1</x:v>
      </x:c>
      <x:c r="G3929" s="23" t="str">
        <x:f>IF(E3929=F3929,"PASS","FAIL")</x:f>
        <x:v>PASS</x:v>
      </x:c>
    </x:row>
    <x:row r="3930">
      <x:c r="B3930" s="21" t="str">
        <x:v>A3924</x:v>
      </x:c>
      <x:c r="C3930" s="21" t="str">
        <x:v>milestone</x:v>
      </x:c>
      <x:c r="D3930" s="21" t="str">
        <x:v>milestone 41 payment nonnegative</x:v>
      </x:c>
      <x:c r="E3930" s="21" t="n">
        <x:f>IF(Milestones!J41&gt;=0,1,0)</x:f>
        <x:v>1</x:v>
      </x:c>
      <x:c r="F3930" s="21" t="n">
        <x:v>1</x:v>
      </x:c>
      <x:c r="G3930" s="23" t="str">
        <x:f>IF(E3930=F3930,"PASS","FAIL")</x:f>
        <x:v>PASS</x:v>
      </x:c>
    </x:row>
    <x:row r="3931">
      <x:c r="B3931" s="21" t="str">
        <x:v>A3925</x:v>
      </x:c>
      <x:c r="C3931" s="21" t="str">
        <x:v>milestone</x:v>
      </x:c>
      <x:c r="D3931" s="21" t="str">
        <x:v>milestone 41 evidence open</x:v>
      </x:c>
      <x:c r="E3931" s="21" t="n">
        <x:f>IF(Milestones!L41="OPEN",1,0)</x:f>
        <x:v>1</x:v>
      </x:c>
      <x:c r="F3931" s="21" t="n">
        <x:v>1</x:v>
      </x:c>
      <x:c r="G3931" s="23" t="str">
        <x:f>IF(E3931=F3931,"PASS","FAIL")</x:f>
        <x:v>PASS</x:v>
      </x:c>
    </x:row>
    <x:row r="3932">
      <x:c r="B3932" s="21" t="str">
        <x:v>A3926</x:v>
      </x:c>
      <x:c r="C3932" s="21" t="str">
        <x:v>milestone</x:v>
      </x:c>
      <x:c r="D3932" s="21" t="str">
        <x:v>milestone 41 decision held</x:v>
      </x:c>
      <x:c r="E3932" s="21" t="n">
        <x:f>IF(Milestones!M41="HOLD",1,0)</x:f>
        <x:v>1</x:v>
      </x:c>
      <x:c r="F3932" s="21" t="n">
        <x:v>1</x:v>
      </x:c>
      <x:c r="G3932" s="23" t="str">
        <x:f>IF(E3932=F3932,"PASS","FAIL")</x:f>
        <x:v>PASS</x:v>
      </x:c>
    </x:row>
    <x:row r="3933">
      <x:c r="B3933" s="21" t="str">
        <x:v>A3927</x:v>
      </x:c>
      <x:c r="C3933" s="21" t="str">
        <x:v>milestone</x:v>
      </x:c>
      <x:c r="D3933" s="21" t="str">
        <x:v>milestone 42 share positive</x:v>
      </x:c>
      <x:c r="E3933" s="21" t="n">
        <x:f>IF(Milestones!H42&gt;0,1,0)</x:f>
        <x:v>1</x:v>
      </x:c>
      <x:c r="F3933" s="21" t="n">
        <x:v>1</x:v>
      </x:c>
      <x:c r="G3933" s="23" t="str">
        <x:f>IF(E3933=F3933,"PASS","FAIL")</x:f>
        <x:v>PASS</x:v>
      </x:c>
    </x:row>
    <x:row r="3934">
      <x:c r="B3934" s="21" t="str">
        <x:v>A3928</x:v>
      </x:c>
      <x:c r="C3934" s="21" t="str">
        <x:v>milestone</x:v>
      </x:c>
      <x:c r="D3934" s="21" t="str">
        <x:v>milestone 42 year bounded</x:v>
      </x:c>
      <x:c r="E3934" s="21" t="n">
        <x:f>IF(AND(Milestones!I42&gt;=1,Milestones!I42&lt;=9),1,0)</x:f>
        <x:v>1</x:v>
      </x:c>
      <x:c r="F3934" s="21" t="n">
        <x:v>1</x:v>
      </x:c>
      <x:c r="G3934" s="23" t="str">
        <x:f>IF(E3934=F3934,"PASS","FAIL")</x:f>
        <x:v>PASS</x:v>
      </x:c>
    </x:row>
    <x:row r="3935">
      <x:c r="B3935" s="21" t="str">
        <x:v>A3929</x:v>
      </x:c>
      <x:c r="C3935" s="21" t="str">
        <x:v>milestone</x:v>
      </x:c>
      <x:c r="D3935" s="21" t="str">
        <x:v>milestone 42 payment nonnegative</x:v>
      </x:c>
      <x:c r="E3935" s="21" t="n">
        <x:f>IF(Milestones!J42&gt;=0,1,0)</x:f>
        <x:v>1</x:v>
      </x:c>
      <x:c r="F3935" s="21" t="n">
        <x:v>1</x:v>
      </x:c>
      <x:c r="G3935" s="23" t="str">
        <x:f>IF(E3935=F3935,"PASS","FAIL")</x:f>
        <x:v>PASS</x:v>
      </x:c>
    </x:row>
    <x:row r="3936">
      <x:c r="B3936" s="21" t="str">
        <x:v>A3930</x:v>
      </x:c>
      <x:c r="C3936" s="21" t="str">
        <x:v>milestone</x:v>
      </x:c>
      <x:c r="D3936" s="21" t="str">
        <x:v>milestone 42 evidence open</x:v>
      </x:c>
      <x:c r="E3936" s="21" t="n">
        <x:f>IF(Milestones!L42="OPEN",1,0)</x:f>
        <x:v>1</x:v>
      </x:c>
      <x:c r="F3936" s="21" t="n">
        <x:v>1</x:v>
      </x:c>
      <x:c r="G3936" s="23" t="str">
        <x:f>IF(E3936=F3936,"PASS","FAIL")</x:f>
        <x:v>PASS</x:v>
      </x:c>
    </x:row>
    <x:row r="3937">
      <x:c r="B3937" s="21" t="str">
        <x:v>A3931</x:v>
      </x:c>
      <x:c r="C3937" s="21" t="str">
        <x:v>milestone</x:v>
      </x:c>
      <x:c r="D3937" s="21" t="str">
        <x:v>milestone 42 decision held</x:v>
      </x:c>
      <x:c r="E3937" s="21" t="n">
        <x:f>IF(Milestones!M42="HOLD",1,0)</x:f>
        <x:v>1</x:v>
      </x:c>
      <x:c r="F3937" s="21" t="n">
        <x:v>1</x:v>
      </x:c>
      <x:c r="G3937" s="23" t="str">
        <x:f>IF(E3937=F3937,"PASS","FAIL")</x:f>
        <x:v>PASS</x:v>
      </x:c>
    </x:row>
    <x:row r="3938">
      <x:c r="B3938" s="21" t="str">
        <x:v>A3932</x:v>
      </x:c>
      <x:c r="C3938" s="21" t="str">
        <x:v>milestone</x:v>
      </x:c>
      <x:c r="D3938" s="21" t="str">
        <x:v>milestone 43 share positive</x:v>
      </x:c>
      <x:c r="E3938" s="21" t="n">
        <x:f>IF(Milestones!H43&gt;0,1,0)</x:f>
        <x:v>1</x:v>
      </x:c>
      <x:c r="F3938" s="21" t="n">
        <x:v>1</x:v>
      </x:c>
      <x:c r="G3938" s="23" t="str">
        <x:f>IF(E3938=F3938,"PASS","FAIL")</x:f>
        <x:v>PASS</x:v>
      </x:c>
    </x:row>
    <x:row r="3939">
      <x:c r="B3939" s="21" t="str">
        <x:v>A3933</x:v>
      </x:c>
      <x:c r="C3939" s="21" t="str">
        <x:v>milestone</x:v>
      </x:c>
      <x:c r="D3939" s="21" t="str">
        <x:v>milestone 43 year bounded</x:v>
      </x:c>
      <x:c r="E3939" s="21" t="n">
        <x:f>IF(AND(Milestones!I43&gt;=1,Milestones!I43&lt;=9),1,0)</x:f>
        <x:v>1</x:v>
      </x:c>
      <x:c r="F3939" s="21" t="n">
        <x:v>1</x:v>
      </x:c>
      <x:c r="G3939" s="23" t="str">
        <x:f>IF(E3939=F3939,"PASS","FAIL")</x:f>
        <x:v>PASS</x:v>
      </x:c>
    </x:row>
    <x:row r="3940">
      <x:c r="B3940" s="21" t="str">
        <x:v>A3934</x:v>
      </x:c>
      <x:c r="C3940" s="21" t="str">
        <x:v>milestone</x:v>
      </x:c>
      <x:c r="D3940" s="21" t="str">
        <x:v>milestone 43 payment nonnegative</x:v>
      </x:c>
      <x:c r="E3940" s="21" t="n">
        <x:f>IF(Milestones!J43&gt;=0,1,0)</x:f>
        <x:v>1</x:v>
      </x:c>
      <x:c r="F3940" s="21" t="n">
        <x:v>1</x:v>
      </x:c>
      <x:c r="G3940" s="23" t="str">
        <x:f>IF(E3940=F3940,"PASS","FAIL")</x:f>
        <x:v>PASS</x:v>
      </x:c>
    </x:row>
    <x:row r="3941">
      <x:c r="B3941" s="21" t="str">
        <x:v>A3935</x:v>
      </x:c>
      <x:c r="C3941" s="21" t="str">
        <x:v>milestone</x:v>
      </x:c>
      <x:c r="D3941" s="21" t="str">
        <x:v>milestone 43 evidence open</x:v>
      </x:c>
      <x:c r="E3941" s="21" t="n">
        <x:f>IF(Milestones!L43="OPEN",1,0)</x:f>
        <x:v>1</x:v>
      </x:c>
      <x:c r="F3941" s="21" t="n">
        <x:v>1</x:v>
      </x:c>
      <x:c r="G3941" s="23" t="str">
        <x:f>IF(E3941=F3941,"PASS","FAIL")</x:f>
        <x:v>PASS</x:v>
      </x:c>
    </x:row>
    <x:row r="3942">
      <x:c r="B3942" s="21" t="str">
        <x:v>A3936</x:v>
      </x:c>
      <x:c r="C3942" s="21" t="str">
        <x:v>milestone</x:v>
      </x:c>
      <x:c r="D3942" s="21" t="str">
        <x:v>milestone 43 decision held</x:v>
      </x:c>
      <x:c r="E3942" s="21" t="n">
        <x:f>IF(Milestones!M43="HOLD",1,0)</x:f>
        <x:v>1</x:v>
      </x:c>
      <x:c r="F3942" s="21" t="n">
        <x:v>1</x:v>
      </x:c>
      <x:c r="G3942" s="23" t="str">
        <x:f>IF(E3942=F3942,"PASS","FAIL")</x:f>
        <x:v>PASS</x:v>
      </x:c>
    </x:row>
    <x:row r="3943">
      <x:c r="B3943" s="21" t="str">
        <x:v>A3937</x:v>
      </x:c>
      <x:c r="C3943" s="21" t="str">
        <x:v>milestone</x:v>
      </x:c>
      <x:c r="D3943" s="21" t="str">
        <x:v>milestone 44 share positive</x:v>
      </x:c>
      <x:c r="E3943" s="21" t="n">
        <x:f>IF(Milestones!H44&gt;0,1,0)</x:f>
        <x:v>1</x:v>
      </x:c>
      <x:c r="F3943" s="21" t="n">
        <x:v>1</x:v>
      </x:c>
      <x:c r="G3943" s="23" t="str">
        <x:f>IF(E3943=F3943,"PASS","FAIL")</x:f>
        <x:v>PASS</x:v>
      </x:c>
    </x:row>
    <x:row r="3944">
      <x:c r="B3944" s="21" t="str">
        <x:v>A3938</x:v>
      </x:c>
      <x:c r="C3944" s="21" t="str">
        <x:v>milestone</x:v>
      </x:c>
      <x:c r="D3944" s="21" t="str">
        <x:v>milestone 44 year bounded</x:v>
      </x:c>
      <x:c r="E3944" s="21" t="n">
        <x:f>IF(AND(Milestones!I44&gt;=1,Milestones!I44&lt;=9),1,0)</x:f>
        <x:v>1</x:v>
      </x:c>
      <x:c r="F3944" s="21" t="n">
        <x:v>1</x:v>
      </x:c>
      <x:c r="G3944" s="23" t="str">
        <x:f>IF(E3944=F3944,"PASS","FAIL")</x:f>
        <x:v>PASS</x:v>
      </x:c>
    </x:row>
    <x:row r="3945">
      <x:c r="B3945" s="21" t="str">
        <x:v>A3939</x:v>
      </x:c>
      <x:c r="C3945" s="21" t="str">
        <x:v>milestone</x:v>
      </x:c>
      <x:c r="D3945" s="21" t="str">
        <x:v>milestone 44 payment nonnegative</x:v>
      </x:c>
      <x:c r="E3945" s="21" t="n">
        <x:f>IF(Milestones!J44&gt;=0,1,0)</x:f>
        <x:v>1</x:v>
      </x:c>
      <x:c r="F3945" s="21" t="n">
        <x:v>1</x:v>
      </x:c>
      <x:c r="G3945" s="23" t="str">
        <x:f>IF(E3945=F3945,"PASS","FAIL")</x:f>
        <x:v>PASS</x:v>
      </x:c>
    </x:row>
    <x:row r="3946">
      <x:c r="B3946" s="21" t="str">
        <x:v>A3940</x:v>
      </x:c>
      <x:c r="C3946" s="21" t="str">
        <x:v>milestone</x:v>
      </x:c>
      <x:c r="D3946" s="21" t="str">
        <x:v>milestone 44 evidence open</x:v>
      </x:c>
      <x:c r="E3946" s="21" t="n">
        <x:f>IF(Milestones!L44="OPEN",1,0)</x:f>
        <x:v>1</x:v>
      </x:c>
      <x:c r="F3946" s="21" t="n">
        <x:v>1</x:v>
      </x:c>
      <x:c r="G3946" s="23" t="str">
        <x:f>IF(E3946=F3946,"PASS","FAIL")</x:f>
        <x:v>PASS</x:v>
      </x:c>
    </x:row>
    <x:row r="3947">
      <x:c r="B3947" s="21" t="str">
        <x:v>A3941</x:v>
      </x:c>
      <x:c r="C3947" s="21" t="str">
        <x:v>milestone</x:v>
      </x:c>
      <x:c r="D3947" s="21" t="str">
        <x:v>milestone 44 decision held</x:v>
      </x:c>
      <x:c r="E3947" s="21" t="n">
        <x:f>IF(Milestones!M44="HOLD",1,0)</x:f>
        <x:v>1</x:v>
      </x:c>
      <x:c r="F3947" s="21" t="n">
        <x:v>1</x:v>
      </x:c>
      <x:c r="G3947" s="23" t="str">
        <x:f>IF(E3947=F3947,"PASS","FAIL")</x:f>
        <x:v>PASS</x:v>
      </x:c>
    </x:row>
    <x:row r="3948">
      <x:c r="B3948" s="21" t="str">
        <x:v>A3942</x:v>
      </x:c>
      <x:c r="C3948" s="21" t="str">
        <x:v>milestone</x:v>
      </x:c>
      <x:c r="D3948" s="21" t="str">
        <x:v>milestone 45 share positive</x:v>
      </x:c>
      <x:c r="E3948" s="21" t="n">
        <x:f>IF(Milestones!H45&gt;0,1,0)</x:f>
        <x:v>1</x:v>
      </x:c>
      <x:c r="F3948" s="21" t="n">
        <x:v>1</x:v>
      </x:c>
      <x:c r="G3948" s="23" t="str">
        <x:f>IF(E3948=F3948,"PASS","FAIL")</x:f>
        <x:v>PASS</x:v>
      </x:c>
    </x:row>
    <x:row r="3949">
      <x:c r="B3949" s="21" t="str">
        <x:v>A3943</x:v>
      </x:c>
      <x:c r="C3949" s="21" t="str">
        <x:v>milestone</x:v>
      </x:c>
      <x:c r="D3949" s="21" t="str">
        <x:v>milestone 45 year bounded</x:v>
      </x:c>
      <x:c r="E3949" s="21" t="n">
        <x:f>IF(AND(Milestones!I45&gt;=1,Milestones!I45&lt;=9),1,0)</x:f>
        <x:v>1</x:v>
      </x:c>
      <x:c r="F3949" s="21" t="n">
        <x:v>1</x:v>
      </x:c>
      <x:c r="G3949" s="23" t="str">
        <x:f>IF(E3949=F3949,"PASS","FAIL")</x:f>
        <x:v>PASS</x:v>
      </x:c>
    </x:row>
    <x:row r="3950">
      <x:c r="B3950" s="21" t="str">
        <x:v>A3944</x:v>
      </x:c>
      <x:c r="C3950" s="21" t="str">
        <x:v>milestone</x:v>
      </x:c>
      <x:c r="D3950" s="21" t="str">
        <x:v>milestone 45 payment nonnegative</x:v>
      </x:c>
      <x:c r="E3950" s="21" t="n">
        <x:f>IF(Milestones!J45&gt;=0,1,0)</x:f>
        <x:v>1</x:v>
      </x:c>
      <x:c r="F3950" s="21" t="n">
        <x:v>1</x:v>
      </x:c>
      <x:c r="G3950" s="23" t="str">
        <x:f>IF(E3950=F3950,"PASS","FAIL")</x:f>
        <x:v>PASS</x:v>
      </x:c>
    </x:row>
    <x:row r="3951">
      <x:c r="B3951" s="21" t="str">
        <x:v>A3945</x:v>
      </x:c>
      <x:c r="C3951" s="21" t="str">
        <x:v>milestone</x:v>
      </x:c>
      <x:c r="D3951" s="21" t="str">
        <x:v>milestone 45 evidence open</x:v>
      </x:c>
      <x:c r="E3951" s="21" t="n">
        <x:f>IF(Milestones!L45="OPEN",1,0)</x:f>
        <x:v>1</x:v>
      </x:c>
      <x:c r="F3951" s="21" t="n">
        <x:v>1</x:v>
      </x:c>
      <x:c r="G3951" s="23" t="str">
        <x:f>IF(E3951=F3951,"PASS","FAIL")</x:f>
        <x:v>PASS</x:v>
      </x:c>
    </x:row>
    <x:row r="3952">
      <x:c r="B3952" s="21" t="str">
        <x:v>A3946</x:v>
      </x:c>
      <x:c r="C3952" s="21" t="str">
        <x:v>milestone</x:v>
      </x:c>
      <x:c r="D3952" s="21" t="str">
        <x:v>milestone 45 decision held</x:v>
      </x:c>
      <x:c r="E3952" s="21" t="n">
        <x:f>IF(Milestones!M45="HOLD",1,0)</x:f>
        <x:v>1</x:v>
      </x:c>
      <x:c r="F3952" s="21" t="n">
        <x:v>1</x:v>
      </x:c>
      <x:c r="G3952" s="23" t="str">
        <x:f>IF(E3952=F3952,"PASS","FAIL")</x:f>
        <x:v>PASS</x:v>
      </x:c>
    </x:row>
    <x:row r="3953">
      <x:c r="B3953" s="21" t="str">
        <x:v>A3947</x:v>
      </x:c>
      <x:c r="C3953" s="21" t="str">
        <x:v>milestone</x:v>
      </x:c>
      <x:c r="D3953" s="21" t="str">
        <x:v>milestone 46 share positive</x:v>
      </x:c>
      <x:c r="E3953" s="21" t="n">
        <x:f>IF(Milestones!H46&gt;0,1,0)</x:f>
        <x:v>1</x:v>
      </x:c>
      <x:c r="F3953" s="21" t="n">
        <x:v>1</x:v>
      </x:c>
      <x:c r="G3953" s="23" t="str">
        <x:f>IF(E3953=F3953,"PASS","FAIL")</x:f>
        <x:v>PASS</x:v>
      </x:c>
    </x:row>
    <x:row r="3954">
      <x:c r="B3954" s="21" t="str">
        <x:v>A3948</x:v>
      </x:c>
      <x:c r="C3954" s="21" t="str">
        <x:v>milestone</x:v>
      </x:c>
      <x:c r="D3954" s="21" t="str">
        <x:v>milestone 46 year bounded</x:v>
      </x:c>
      <x:c r="E3954" s="21" t="n">
        <x:f>IF(AND(Milestones!I46&gt;=1,Milestones!I46&lt;=9),1,0)</x:f>
        <x:v>1</x:v>
      </x:c>
      <x:c r="F3954" s="21" t="n">
        <x:v>1</x:v>
      </x:c>
      <x:c r="G3954" s="23" t="str">
        <x:f>IF(E3954=F3954,"PASS","FAIL")</x:f>
        <x:v>PASS</x:v>
      </x:c>
    </x:row>
    <x:row r="3955">
      <x:c r="B3955" s="21" t="str">
        <x:v>A3949</x:v>
      </x:c>
      <x:c r="C3955" s="21" t="str">
        <x:v>milestone</x:v>
      </x:c>
      <x:c r="D3955" s="21" t="str">
        <x:v>milestone 46 payment nonnegative</x:v>
      </x:c>
      <x:c r="E3955" s="21" t="n">
        <x:f>IF(Milestones!J46&gt;=0,1,0)</x:f>
        <x:v>1</x:v>
      </x:c>
      <x:c r="F3955" s="21" t="n">
        <x:v>1</x:v>
      </x:c>
      <x:c r="G3955" s="23" t="str">
        <x:f>IF(E3955=F3955,"PASS","FAIL")</x:f>
        <x:v>PASS</x:v>
      </x:c>
    </x:row>
    <x:row r="3956">
      <x:c r="B3956" s="21" t="str">
        <x:v>A3950</x:v>
      </x:c>
      <x:c r="C3956" s="21" t="str">
        <x:v>milestone</x:v>
      </x:c>
      <x:c r="D3956" s="21" t="str">
        <x:v>milestone 46 evidence open</x:v>
      </x:c>
      <x:c r="E3956" s="21" t="n">
        <x:f>IF(Milestones!L46="OPEN",1,0)</x:f>
        <x:v>1</x:v>
      </x:c>
      <x:c r="F3956" s="21" t="n">
        <x:v>1</x:v>
      </x:c>
      <x:c r="G3956" s="23" t="str">
        <x:f>IF(E3956=F3956,"PASS","FAIL")</x:f>
        <x:v>PASS</x:v>
      </x:c>
    </x:row>
    <x:row r="3957">
      <x:c r="B3957" s="21" t="str">
        <x:v>A3951</x:v>
      </x:c>
      <x:c r="C3957" s="21" t="str">
        <x:v>milestone</x:v>
      </x:c>
      <x:c r="D3957" s="21" t="str">
        <x:v>milestone 46 decision held</x:v>
      </x:c>
      <x:c r="E3957" s="21" t="n">
        <x:f>IF(Milestones!M46="HOLD",1,0)</x:f>
        <x:v>1</x:v>
      </x:c>
      <x:c r="F3957" s="21" t="n">
        <x:v>1</x:v>
      </x:c>
      <x:c r="G3957" s="23" t="str">
        <x:f>IF(E3957=F3957,"PASS","FAIL")</x:f>
        <x:v>PASS</x:v>
      </x:c>
    </x:row>
    <x:row r="3958">
      <x:c r="B3958" s="21" t="str">
        <x:v>A3952</x:v>
      </x:c>
      <x:c r="C3958" s="21" t="str">
        <x:v>milestone</x:v>
      </x:c>
      <x:c r="D3958" s="21" t="str">
        <x:v>milestone 47 share positive</x:v>
      </x:c>
      <x:c r="E3958" s="21" t="n">
        <x:f>IF(Milestones!H47&gt;0,1,0)</x:f>
        <x:v>1</x:v>
      </x:c>
      <x:c r="F3958" s="21" t="n">
        <x:v>1</x:v>
      </x:c>
      <x:c r="G3958" s="23" t="str">
        <x:f>IF(E3958=F3958,"PASS","FAIL")</x:f>
        <x:v>PASS</x:v>
      </x:c>
    </x:row>
    <x:row r="3959">
      <x:c r="B3959" s="21" t="str">
        <x:v>A3953</x:v>
      </x:c>
      <x:c r="C3959" s="21" t="str">
        <x:v>milestone</x:v>
      </x:c>
      <x:c r="D3959" s="21" t="str">
        <x:v>milestone 47 year bounded</x:v>
      </x:c>
      <x:c r="E3959" s="21" t="n">
        <x:f>IF(AND(Milestones!I47&gt;=1,Milestones!I47&lt;=9),1,0)</x:f>
        <x:v>1</x:v>
      </x:c>
      <x:c r="F3959" s="21" t="n">
        <x:v>1</x:v>
      </x:c>
      <x:c r="G3959" s="23" t="str">
        <x:f>IF(E3959=F3959,"PASS","FAIL")</x:f>
        <x:v>PASS</x:v>
      </x:c>
    </x:row>
    <x:row r="3960">
      <x:c r="B3960" s="21" t="str">
        <x:v>A3954</x:v>
      </x:c>
      <x:c r="C3960" s="21" t="str">
        <x:v>milestone</x:v>
      </x:c>
      <x:c r="D3960" s="21" t="str">
        <x:v>milestone 47 payment nonnegative</x:v>
      </x:c>
      <x:c r="E3960" s="21" t="n">
        <x:f>IF(Milestones!J47&gt;=0,1,0)</x:f>
        <x:v>1</x:v>
      </x:c>
      <x:c r="F3960" s="21" t="n">
        <x:v>1</x:v>
      </x:c>
      <x:c r="G3960" s="23" t="str">
        <x:f>IF(E3960=F3960,"PASS","FAIL")</x:f>
        <x:v>PASS</x:v>
      </x:c>
    </x:row>
    <x:row r="3961">
      <x:c r="B3961" s="21" t="str">
        <x:v>A3955</x:v>
      </x:c>
      <x:c r="C3961" s="21" t="str">
        <x:v>milestone</x:v>
      </x:c>
      <x:c r="D3961" s="21" t="str">
        <x:v>milestone 47 evidence open</x:v>
      </x:c>
      <x:c r="E3961" s="21" t="n">
        <x:f>IF(Milestones!L47="OPEN",1,0)</x:f>
        <x:v>1</x:v>
      </x:c>
      <x:c r="F3961" s="21" t="n">
        <x:v>1</x:v>
      </x:c>
      <x:c r="G3961" s="23" t="str">
        <x:f>IF(E3961=F3961,"PASS","FAIL")</x:f>
        <x:v>PASS</x:v>
      </x:c>
    </x:row>
    <x:row r="3962">
      <x:c r="B3962" s="21" t="str">
        <x:v>A3956</x:v>
      </x:c>
      <x:c r="C3962" s="21" t="str">
        <x:v>milestone</x:v>
      </x:c>
      <x:c r="D3962" s="21" t="str">
        <x:v>milestone 47 decision held</x:v>
      </x:c>
      <x:c r="E3962" s="21" t="n">
        <x:f>IF(Milestones!M47="HOLD",1,0)</x:f>
        <x:v>1</x:v>
      </x:c>
      <x:c r="F3962" s="21" t="n">
        <x:v>1</x:v>
      </x:c>
      <x:c r="G3962" s="23" t="str">
        <x:f>IF(E3962=F3962,"PASS","FAIL")</x:f>
        <x:v>PASS</x:v>
      </x:c>
    </x:row>
    <x:row r="3963">
      <x:c r="B3963" s="21" t="str">
        <x:v>A3957</x:v>
      </x:c>
      <x:c r="C3963" s="21" t="str">
        <x:v>milestone</x:v>
      </x:c>
      <x:c r="D3963" s="21" t="str">
        <x:v>milestone 48 share positive</x:v>
      </x:c>
      <x:c r="E3963" s="21" t="n">
        <x:f>IF(Milestones!H48&gt;0,1,0)</x:f>
        <x:v>1</x:v>
      </x:c>
      <x:c r="F3963" s="21" t="n">
        <x:v>1</x:v>
      </x:c>
      <x:c r="G3963" s="23" t="str">
        <x:f>IF(E3963=F3963,"PASS","FAIL")</x:f>
        <x:v>PASS</x:v>
      </x:c>
    </x:row>
    <x:row r="3964">
      <x:c r="B3964" s="21" t="str">
        <x:v>A3958</x:v>
      </x:c>
      <x:c r="C3964" s="21" t="str">
        <x:v>milestone</x:v>
      </x:c>
      <x:c r="D3964" s="21" t="str">
        <x:v>milestone 48 year bounded</x:v>
      </x:c>
      <x:c r="E3964" s="21" t="n">
        <x:f>IF(AND(Milestones!I48&gt;=1,Milestones!I48&lt;=9),1,0)</x:f>
        <x:v>1</x:v>
      </x:c>
      <x:c r="F3964" s="21" t="n">
        <x:v>1</x:v>
      </x:c>
      <x:c r="G3964" s="23" t="str">
        <x:f>IF(E3964=F3964,"PASS","FAIL")</x:f>
        <x:v>PASS</x:v>
      </x:c>
    </x:row>
    <x:row r="3965">
      <x:c r="B3965" s="21" t="str">
        <x:v>A3959</x:v>
      </x:c>
      <x:c r="C3965" s="21" t="str">
        <x:v>milestone</x:v>
      </x:c>
      <x:c r="D3965" s="21" t="str">
        <x:v>milestone 48 payment nonnegative</x:v>
      </x:c>
      <x:c r="E3965" s="21" t="n">
        <x:f>IF(Milestones!J48&gt;=0,1,0)</x:f>
        <x:v>1</x:v>
      </x:c>
      <x:c r="F3965" s="21" t="n">
        <x:v>1</x:v>
      </x:c>
      <x:c r="G3965" s="23" t="str">
        <x:f>IF(E3965=F3965,"PASS","FAIL")</x:f>
        <x:v>PASS</x:v>
      </x:c>
    </x:row>
    <x:row r="3966">
      <x:c r="B3966" s="21" t="str">
        <x:v>A3960</x:v>
      </x:c>
      <x:c r="C3966" s="21" t="str">
        <x:v>milestone</x:v>
      </x:c>
      <x:c r="D3966" s="21" t="str">
        <x:v>milestone 48 evidence open</x:v>
      </x:c>
      <x:c r="E3966" s="21" t="n">
        <x:f>IF(Milestones!L48="OPEN",1,0)</x:f>
        <x:v>1</x:v>
      </x:c>
      <x:c r="F3966" s="21" t="n">
        <x:v>1</x:v>
      </x:c>
      <x:c r="G3966" s="23" t="str">
        <x:f>IF(E3966=F3966,"PASS","FAIL")</x:f>
        <x:v>PASS</x:v>
      </x:c>
    </x:row>
    <x:row r="3967">
      <x:c r="B3967" s="21" t="str">
        <x:v>A3961</x:v>
      </x:c>
      <x:c r="C3967" s="21" t="str">
        <x:v>milestone</x:v>
      </x:c>
      <x:c r="D3967" s="21" t="str">
        <x:v>milestone 48 decision held</x:v>
      </x:c>
      <x:c r="E3967" s="21" t="n">
        <x:f>IF(Milestones!M48="HOLD",1,0)</x:f>
        <x:v>1</x:v>
      </x:c>
      <x:c r="F3967" s="21" t="n">
        <x:v>1</x:v>
      </x:c>
      <x:c r="G3967" s="23" t="str">
        <x:f>IF(E3967=F3967,"PASS","FAIL")</x:f>
        <x:v>PASS</x:v>
      </x:c>
    </x:row>
    <x:row r="3968">
      <x:c r="B3968" s="21" t="str">
        <x:v>A3962</x:v>
      </x:c>
      <x:c r="C3968" s="21" t="str">
        <x:v>milestone</x:v>
      </x:c>
      <x:c r="D3968" s="21" t="str">
        <x:v>milestone 49 share positive</x:v>
      </x:c>
      <x:c r="E3968" s="21" t="n">
        <x:f>IF(Milestones!H49&gt;0,1,0)</x:f>
        <x:v>1</x:v>
      </x:c>
      <x:c r="F3968" s="21" t="n">
        <x:v>1</x:v>
      </x:c>
      <x:c r="G3968" s="23" t="str">
        <x:f>IF(E3968=F3968,"PASS","FAIL")</x:f>
        <x:v>PASS</x:v>
      </x:c>
    </x:row>
    <x:row r="3969">
      <x:c r="B3969" s="21" t="str">
        <x:v>A3963</x:v>
      </x:c>
      <x:c r="C3969" s="21" t="str">
        <x:v>milestone</x:v>
      </x:c>
      <x:c r="D3969" s="21" t="str">
        <x:v>milestone 49 year bounded</x:v>
      </x:c>
      <x:c r="E3969" s="21" t="n">
        <x:f>IF(AND(Milestones!I49&gt;=1,Milestones!I49&lt;=9),1,0)</x:f>
        <x:v>1</x:v>
      </x:c>
      <x:c r="F3969" s="21" t="n">
        <x:v>1</x:v>
      </x:c>
      <x:c r="G3969" s="23" t="str">
        <x:f>IF(E3969=F3969,"PASS","FAIL")</x:f>
        <x:v>PASS</x:v>
      </x:c>
    </x:row>
    <x:row r="3970">
      <x:c r="B3970" s="21" t="str">
        <x:v>A3964</x:v>
      </x:c>
      <x:c r="C3970" s="21" t="str">
        <x:v>milestone</x:v>
      </x:c>
      <x:c r="D3970" s="21" t="str">
        <x:v>milestone 49 payment nonnegative</x:v>
      </x:c>
      <x:c r="E3970" s="21" t="n">
        <x:f>IF(Milestones!J49&gt;=0,1,0)</x:f>
        <x:v>1</x:v>
      </x:c>
      <x:c r="F3970" s="21" t="n">
        <x:v>1</x:v>
      </x:c>
      <x:c r="G3970" s="23" t="str">
        <x:f>IF(E3970=F3970,"PASS","FAIL")</x:f>
        <x:v>PASS</x:v>
      </x:c>
    </x:row>
    <x:row r="3971">
      <x:c r="B3971" s="21" t="str">
        <x:v>A3965</x:v>
      </x:c>
      <x:c r="C3971" s="21" t="str">
        <x:v>milestone</x:v>
      </x:c>
      <x:c r="D3971" s="21" t="str">
        <x:v>milestone 49 evidence open</x:v>
      </x:c>
      <x:c r="E3971" s="21" t="n">
        <x:f>IF(Milestones!L49="OPEN",1,0)</x:f>
        <x:v>1</x:v>
      </x:c>
      <x:c r="F3971" s="21" t="n">
        <x:v>1</x:v>
      </x:c>
      <x:c r="G3971" s="23" t="str">
        <x:f>IF(E3971=F3971,"PASS","FAIL")</x:f>
        <x:v>PASS</x:v>
      </x:c>
    </x:row>
    <x:row r="3972">
      <x:c r="B3972" s="21" t="str">
        <x:v>A3966</x:v>
      </x:c>
      <x:c r="C3972" s="21" t="str">
        <x:v>milestone</x:v>
      </x:c>
      <x:c r="D3972" s="21" t="str">
        <x:v>milestone 49 decision held</x:v>
      </x:c>
      <x:c r="E3972" s="21" t="n">
        <x:f>IF(Milestones!M49="HOLD",1,0)</x:f>
        <x:v>1</x:v>
      </x:c>
      <x:c r="F3972" s="21" t="n">
        <x:v>1</x:v>
      </x:c>
      <x:c r="G3972" s="23" t="str">
        <x:f>IF(E3972=F3972,"PASS","FAIL")</x:f>
        <x:v>PASS</x:v>
      </x:c>
    </x:row>
    <x:row r="3973">
      <x:c r="B3973" s="21" t="str">
        <x:v>A3967</x:v>
      </x:c>
      <x:c r="C3973" s="21" t="str">
        <x:v>milestone</x:v>
      </x:c>
      <x:c r="D3973" s="21" t="str">
        <x:v>milestone 50 share positive</x:v>
      </x:c>
      <x:c r="E3973" s="21" t="n">
        <x:f>IF(Milestones!H50&gt;0,1,0)</x:f>
        <x:v>1</x:v>
      </x:c>
      <x:c r="F3973" s="21" t="n">
        <x:v>1</x:v>
      </x:c>
      <x:c r="G3973" s="23" t="str">
        <x:f>IF(E3973=F3973,"PASS","FAIL")</x:f>
        <x:v>PASS</x:v>
      </x:c>
    </x:row>
    <x:row r="3974">
      <x:c r="B3974" s="21" t="str">
        <x:v>A3968</x:v>
      </x:c>
      <x:c r="C3974" s="21" t="str">
        <x:v>milestone</x:v>
      </x:c>
      <x:c r="D3974" s="21" t="str">
        <x:v>milestone 50 year bounded</x:v>
      </x:c>
      <x:c r="E3974" s="21" t="n">
        <x:f>IF(AND(Milestones!I50&gt;=1,Milestones!I50&lt;=9),1,0)</x:f>
        <x:v>1</x:v>
      </x:c>
      <x:c r="F3974" s="21" t="n">
        <x:v>1</x:v>
      </x:c>
      <x:c r="G3974" s="23" t="str">
        <x:f>IF(E3974=F3974,"PASS","FAIL")</x:f>
        <x:v>PASS</x:v>
      </x:c>
    </x:row>
    <x:row r="3975">
      <x:c r="B3975" s="21" t="str">
        <x:v>A3969</x:v>
      </x:c>
      <x:c r="C3975" s="21" t="str">
        <x:v>milestone</x:v>
      </x:c>
      <x:c r="D3975" s="21" t="str">
        <x:v>milestone 50 payment nonnegative</x:v>
      </x:c>
      <x:c r="E3975" s="21" t="n">
        <x:f>IF(Milestones!J50&gt;=0,1,0)</x:f>
        <x:v>1</x:v>
      </x:c>
      <x:c r="F3975" s="21" t="n">
        <x:v>1</x:v>
      </x:c>
      <x:c r="G3975" s="23" t="str">
        <x:f>IF(E3975=F3975,"PASS","FAIL")</x:f>
        <x:v>PASS</x:v>
      </x:c>
    </x:row>
    <x:row r="3976">
      <x:c r="B3976" s="21" t="str">
        <x:v>A3970</x:v>
      </x:c>
      <x:c r="C3976" s="21" t="str">
        <x:v>milestone</x:v>
      </x:c>
      <x:c r="D3976" s="21" t="str">
        <x:v>milestone 50 evidence open</x:v>
      </x:c>
      <x:c r="E3976" s="21" t="n">
        <x:f>IF(Milestones!L50="OPEN",1,0)</x:f>
        <x:v>1</x:v>
      </x:c>
      <x:c r="F3976" s="21" t="n">
        <x:v>1</x:v>
      </x:c>
      <x:c r="G3976" s="23" t="str">
        <x:f>IF(E3976=F3976,"PASS","FAIL")</x:f>
        <x:v>PASS</x:v>
      </x:c>
    </x:row>
    <x:row r="3977">
      <x:c r="B3977" s="21" t="str">
        <x:v>A3971</x:v>
      </x:c>
      <x:c r="C3977" s="21" t="str">
        <x:v>milestone</x:v>
      </x:c>
      <x:c r="D3977" s="21" t="str">
        <x:v>milestone 50 decision held</x:v>
      </x:c>
      <x:c r="E3977" s="21" t="n">
        <x:f>IF(Milestones!M50="HOLD",1,0)</x:f>
        <x:v>1</x:v>
      </x:c>
      <x:c r="F3977" s="21" t="n">
        <x:v>1</x:v>
      </x:c>
      <x:c r="G3977" s="23" t="str">
        <x:f>IF(E3977=F3977,"PASS","FAIL")</x:f>
        <x:v>PASS</x:v>
      </x:c>
    </x:row>
    <x:row r="3978">
      <x:c r="B3978" s="21" t="str">
        <x:v>A3972</x:v>
      </x:c>
      <x:c r="C3978" s="21" t="str">
        <x:v>milestone</x:v>
      </x:c>
      <x:c r="D3978" s="21" t="str">
        <x:v>milestone 51 share positive</x:v>
      </x:c>
      <x:c r="E3978" s="21" t="n">
        <x:f>IF(Milestones!H51&gt;0,1,0)</x:f>
        <x:v>1</x:v>
      </x:c>
      <x:c r="F3978" s="21" t="n">
        <x:v>1</x:v>
      </x:c>
      <x:c r="G3978" s="23" t="str">
        <x:f>IF(E3978=F3978,"PASS","FAIL")</x:f>
        <x:v>PASS</x:v>
      </x:c>
    </x:row>
    <x:row r="3979">
      <x:c r="B3979" s="21" t="str">
        <x:v>A3973</x:v>
      </x:c>
      <x:c r="C3979" s="21" t="str">
        <x:v>milestone</x:v>
      </x:c>
      <x:c r="D3979" s="21" t="str">
        <x:v>milestone 51 year bounded</x:v>
      </x:c>
      <x:c r="E3979" s="21" t="n">
        <x:f>IF(AND(Milestones!I51&gt;=1,Milestones!I51&lt;=9),1,0)</x:f>
        <x:v>1</x:v>
      </x:c>
      <x:c r="F3979" s="21" t="n">
        <x:v>1</x:v>
      </x:c>
      <x:c r="G3979" s="23" t="str">
        <x:f>IF(E3979=F3979,"PASS","FAIL")</x:f>
        <x:v>PASS</x:v>
      </x:c>
    </x:row>
    <x:row r="3980">
      <x:c r="B3980" s="21" t="str">
        <x:v>A3974</x:v>
      </x:c>
      <x:c r="C3980" s="21" t="str">
        <x:v>milestone</x:v>
      </x:c>
      <x:c r="D3980" s="21" t="str">
        <x:v>milestone 51 payment nonnegative</x:v>
      </x:c>
      <x:c r="E3980" s="21" t="n">
        <x:f>IF(Milestones!J51&gt;=0,1,0)</x:f>
        <x:v>1</x:v>
      </x:c>
      <x:c r="F3980" s="21" t="n">
        <x:v>1</x:v>
      </x:c>
      <x:c r="G3980" s="23" t="str">
        <x:f>IF(E3980=F3980,"PASS","FAIL")</x:f>
        <x:v>PASS</x:v>
      </x:c>
    </x:row>
    <x:row r="3981">
      <x:c r="B3981" s="21" t="str">
        <x:v>A3975</x:v>
      </x:c>
      <x:c r="C3981" s="21" t="str">
        <x:v>milestone</x:v>
      </x:c>
      <x:c r="D3981" s="21" t="str">
        <x:v>milestone 51 evidence open</x:v>
      </x:c>
      <x:c r="E3981" s="21" t="n">
        <x:f>IF(Milestones!L51="OPEN",1,0)</x:f>
        <x:v>1</x:v>
      </x:c>
      <x:c r="F3981" s="21" t="n">
        <x:v>1</x:v>
      </x:c>
      <x:c r="G3981" s="23" t="str">
        <x:f>IF(E3981=F3981,"PASS","FAIL")</x:f>
        <x:v>PASS</x:v>
      </x:c>
    </x:row>
    <x:row r="3982">
      <x:c r="B3982" s="21" t="str">
        <x:v>A3976</x:v>
      </x:c>
      <x:c r="C3982" s="21" t="str">
        <x:v>milestone</x:v>
      </x:c>
      <x:c r="D3982" s="21" t="str">
        <x:v>milestone 51 decision held</x:v>
      </x:c>
      <x:c r="E3982" s="21" t="n">
        <x:f>IF(Milestones!M51="HOLD",1,0)</x:f>
        <x:v>1</x:v>
      </x:c>
      <x:c r="F3982" s="21" t="n">
        <x:v>1</x:v>
      </x:c>
      <x:c r="G3982" s="23" t="str">
        <x:f>IF(E3982=F3982,"PASS","FAIL")</x:f>
        <x:v>PASS</x:v>
      </x:c>
    </x:row>
    <x:row r="3983">
      <x:c r="B3983" s="21" t="str">
        <x:v>A3977</x:v>
      </x:c>
      <x:c r="C3983" s="21" t="str">
        <x:v>milestone</x:v>
      </x:c>
      <x:c r="D3983" s="21" t="str">
        <x:v>milestone 52 share positive</x:v>
      </x:c>
      <x:c r="E3983" s="21" t="n">
        <x:f>IF(Milestones!H52&gt;0,1,0)</x:f>
        <x:v>1</x:v>
      </x:c>
      <x:c r="F3983" s="21" t="n">
        <x:v>1</x:v>
      </x:c>
      <x:c r="G3983" s="23" t="str">
        <x:f>IF(E3983=F3983,"PASS","FAIL")</x:f>
        <x:v>PASS</x:v>
      </x:c>
    </x:row>
    <x:row r="3984">
      <x:c r="B3984" s="21" t="str">
        <x:v>A3978</x:v>
      </x:c>
      <x:c r="C3984" s="21" t="str">
        <x:v>milestone</x:v>
      </x:c>
      <x:c r="D3984" s="21" t="str">
        <x:v>milestone 52 year bounded</x:v>
      </x:c>
      <x:c r="E3984" s="21" t="n">
        <x:f>IF(AND(Milestones!I52&gt;=1,Milestones!I52&lt;=9),1,0)</x:f>
        <x:v>1</x:v>
      </x:c>
      <x:c r="F3984" s="21" t="n">
        <x:v>1</x:v>
      </x:c>
      <x:c r="G3984" s="23" t="str">
        <x:f>IF(E3984=F3984,"PASS","FAIL")</x:f>
        <x:v>PASS</x:v>
      </x:c>
    </x:row>
    <x:row r="3985">
      <x:c r="B3985" s="21" t="str">
        <x:v>A3979</x:v>
      </x:c>
      <x:c r="C3985" s="21" t="str">
        <x:v>milestone</x:v>
      </x:c>
      <x:c r="D3985" s="21" t="str">
        <x:v>milestone 52 payment nonnegative</x:v>
      </x:c>
      <x:c r="E3985" s="21" t="n">
        <x:f>IF(Milestones!J52&gt;=0,1,0)</x:f>
        <x:v>1</x:v>
      </x:c>
      <x:c r="F3985" s="21" t="n">
        <x:v>1</x:v>
      </x:c>
      <x:c r="G3985" s="23" t="str">
        <x:f>IF(E3985=F3985,"PASS","FAIL")</x:f>
        <x:v>PASS</x:v>
      </x:c>
    </x:row>
    <x:row r="3986">
      <x:c r="B3986" s="21" t="str">
        <x:v>A3980</x:v>
      </x:c>
      <x:c r="C3986" s="21" t="str">
        <x:v>milestone</x:v>
      </x:c>
      <x:c r="D3986" s="21" t="str">
        <x:v>milestone 52 evidence open</x:v>
      </x:c>
      <x:c r="E3986" s="21" t="n">
        <x:f>IF(Milestones!L52="OPEN",1,0)</x:f>
        <x:v>1</x:v>
      </x:c>
      <x:c r="F3986" s="21" t="n">
        <x:v>1</x:v>
      </x:c>
      <x:c r="G3986" s="23" t="str">
        <x:f>IF(E3986=F3986,"PASS","FAIL")</x:f>
        <x:v>PASS</x:v>
      </x:c>
    </x:row>
    <x:row r="3987">
      <x:c r="B3987" s="21" t="str">
        <x:v>A3981</x:v>
      </x:c>
      <x:c r="C3987" s="21" t="str">
        <x:v>milestone</x:v>
      </x:c>
      <x:c r="D3987" s="21" t="str">
        <x:v>milestone 52 decision held</x:v>
      </x:c>
      <x:c r="E3987" s="21" t="n">
        <x:f>IF(Milestones!M52="HOLD",1,0)</x:f>
        <x:v>1</x:v>
      </x:c>
      <x:c r="F3987" s="21" t="n">
        <x:v>1</x:v>
      </x:c>
      <x:c r="G3987" s="23" t="str">
        <x:f>IF(E3987=F3987,"PASS","FAIL")</x:f>
        <x:v>PASS</x:v>
      </x:c>
    </x:row>
    <x:row r="3988">
      <x:c r="B3988" s="21" t="str">
        <x:v>A3982</x:v>
      </x:c>
      <x:c r="C3988" s="21" t="str">
        <x:v>milestone</x:v>
      </x:c>
      <x:c r="D3988" s="21" t="str">
        <x:v>milestone 53 share positive</x:v>
      </x:c>
      <x:c r="E3988" s="21" t="n">
        <x:f>IF(Milestones!H53&gt;0,1,0)</x:f>
        <x:v>1</x:v>
      </x:c>
      <x:c r="F3988" s="21" t="n">
        <x:v>1</x:v>
      </x:c>
      <x:c r="G3988" s="23" t="str">
        <x:f>IF(E3988=F3988,"PASS","FAIL")</x:f>
        <x:v>PASS</x:v>
      </x:c>
    </x:row>
    <x:row r="3989">
      <x:c r="B3989" s="21" t="str">
        <x:v>A3983</x:v>
      </x:c>
      <x:c r="C3989" s="21" t="str">
        <x:v>milestone</x:v>
      </x:c>
      <x:c r="D3989" s="21" t="str">
        <x:v>milestone 53 year bounded</x:v>
      </x:c>
      <x:c r="E3989" s="21" t="n">
        <x:f>IF(AND(Milestones!I53&gt;=1,Milestones!I53&lt;=9),1,0)</x:f>
        <x:v>1</x:v>
      </x:c>
      <x:c r="F3989" s="21" t="n">
        <x:v>1</x:v>
      </x:c>
      <x:c r="G3989" s="23" t="str">
        <x:f>IF(E3989=F3989,"PASS","FAIL")</x:f>
        <x:v>PASS</x:v>
      </x:c>
    </x:row>
    <x:row r="3990">
      <x:c r="B3990" s="21" t="str">
        <x:v>A3984</x:v>
      </x:c>
      <x:c r="C3990" s="21" t="str">
        <x:v>milestone</x:v>
      </x:c>
      <x:c r="D3990" s="21" t="str">
        <x:v>milestone 53 payment nonnegative</x:v>
      </x:c>
      <x:c r="E3990" s="21" t="n">
        <x:f>IF(Milestones!J53&gt;=0,1,0)</x:f>
        <x:v>1</x:v>
      </x:c>
      <x:c r="F3990" s="21" t="n">
        <x:v>1</x:v>
      </x:c>
      <x:c r="G3990" s="23" t="str">
        <x:f>IF(E3990=F3990,"PASS","FAIL")</x:f>
        <x:v>PASS</x:v>
      </x:c>
    </x:row>
    <x:row r="3991">
      <x:c r="B3991" s="21" t="str">
        <x:v>A3985</x:v>
      </x:c>
      <x:c r="C3991" s="21" t="str">
        <x:v>milestone</x:v>
      </x:c>
      <x:c r="D3991" s="21" t="str">
        <x:v>milestone 53 evidence open</x:v>
      </x:c>
      <x:c r="E3991" s="21" t="n">
        <x:f>IF(Milestones!L53="OPEN",1,0)</x:f>
        <x:v>1</x:v>
      </x:c>
      <x:c r="F3991" s="21" t="n">
        <x:v>1</x:v>
      </x:c>
      <x:c r="G3991" s="23" t="str">
        <x:f>IF(E3991=F3991,"PASS","FAIL")</x:f>
        <x:v>PASS</x:v>
      </x:c>
    </x:row>
    <x:row r="3992">
      <x:c r="B3992" s="21" t="str">
        <x:v>A3986</x:v>
      </x:c>
      <x:c r="C3992" s="21" t="str">
        <x:v>milestone</x:v>
      </x:c>
      <x:c r="D3992" s="21" t="str">
        <x:v>milestone 53 decision held</x:v>
      </x:c>
      <x:c r="E3992" s="21" t="n">
        <x:f>IF(Milestones!M53="HOLD",1,0)</x:f>
        <x:v>1</x:v>
      </x:c>
      <x:c r="F3992" s="21" t="n">
        <x:v>1</x:v>
      </x:c>
      <x:c r="G3992" s="23" t="str">
        <x:f>IF(E3992=F3992,"PASS","FAIL")</x:f>
        <x:v>PASS</x:v>
      </x:c>
    </x:row>
    <x:row r="3993">
      <x:c r="B3993" s="21" t="str">
        <x:v>A3987</x:v>
      </x:c>
      <x:c r="C3993" s="21" t="str">
        <x:v>milestone</x:v>
      </x:c>
      <x:c r="D3993" s="21" t="str">
        <x:v>milestone 54 share positive</x:v>
      </x:c>
      <x:c r="E3993" s="21" t="n">
        <x:f>IF(Milestones!H54&gt;0,1,0)</x:f>
        <x:v>1</x:v>
      </x:c>
      <x:c r="F3993" s="21" t="n">
        <x:v>1</x:v>
      </x:c>
      <x:c r="G3993" s="23" t="str">
        <x:f>IF(E3993=F3993,"PASS","FAIL")</x:f>
        <x:v>PASS</x:v>
      </x:c>
    </x:row>
    <x:row r="3994">
      <x:c r="B3994" s="21" t="str">
        <x:v>A3988</x:v>
      </x:c>
      <x:c r="C3994" s="21" t="str">
        <x:v>milestone</x:v>
      </x:c>
      <x:c r="D3994" s="21" t="str">
        <x:v>milestone 54 year bounded</x:v>
      </x:c>
      <x:c r="E3994" s="21" t="n">
        <x:f>IF(AND(Milestones!I54&gt;=1,Milestones!I54&lt;=9),1,0)</x:f>
        <x:v>1</x:v>
      </x:c>
      <x:c r="F3994" s="21" t="n">
        <x:v>1</x:v>
      </x:c>
      <x:c r="G3994" s="23" t="str">
        <x:f>IF(E3994=F3994,"PASS","FAIL")</x:f>
        <x:v>PASS</x:v>
      </x:c>
    </x:row>
    <x:row r="3995">
      <x:c r="B3995" s="21" t="str">
        <x:v>A3989</x:v>
      </x:c>
      <x:c r="C3995" s="21" t="str">
        <x:v>milestone</x:v>
      </x:c>
      <x:c r="D3995" s="21" t="str">
        <x:v>milestone 54 payment nonnegative</x:v>
      </x:c>
      <x:c r="E3995" s="21" t="n">
        <x:f>IF(Milestones!J54&gt;=0,1,0)</x:f>
        <x:v>1</x:v>
      </x:c>
      <x:c r="F3995" s="21" t="n">
        <x:v>1</x:v>
      </x:c>
      <x:c r="G3995" s="23" t="str">
        <x:f>IF(E3995=F3995,"PASS","FAIL")</x:f>
        <x:v>PASS</x:v>
      </x:c>
    </x:row>
    <x:row r="3996">
      <x:c r="B3996" s="21" t="str">
        <x:v>A3990</x:v>
      </x:c>
      <x:c r="C3996" s="21" t="str">
        <x:v>milestone</x:v>
      </x:c>
      <x:c r="D3996" s="21" t="str">
        <x:v>milestone 54 evidence open</x:v>
      </x:c>
      <x:c r="E3996" s="21" t="n">
        <x:f>IF(Milestones!L54="OPEN",1,0)</x:f>
        <x:v>1</x:v>
      </x:c>
      <x:c r="F3996" s="21" t="n">
        <x:v>1</x:v>
      </x:c>
      <x:c r="G3996" s="23" t="str">
        <x:f>IF(E3996=F3996,"PASS","FAIL")</x:f>
        <x:v>PASS</x:v>
      </x:c>
    </x:row>
    <x:row r="3997">
      <x:c r="B3997" s="21" t="str">
        <x:v>A3991</x:v>
      </x:c>
      <x:c r="C3997" s="21" t="str">
        <x:v>milestone</x:v>
      </x:c>
      <x:c r="D3997" s="21" t="str">
        <x:v>milestone 54 decision held</x:v>
      </x:c>
      <x:c r="E3997" s="21" t="n">
        <x:f>IF(Milestones!M54="HOLD",1,0)</x:f>
        <x:v>1</x:v>
      </x:c>
      <x:c r="F3997" s="21" t="n">
        <x:v>1</x:v>
      </x:c>
      <x:c r="G3997" s="23" t="str">
        <x:f>IF(E3997=F3997,"PASS","FAIL")</x:f>
        <x:v>PASS</x:v>
      </x:c>
    </x:row>
    <x:row r="3998">
      <x:c r="B3998" s="21" t="str">
        <x:v>A3992</x:v>
      </x:c>
      <x:c r="C3998" s="21" t="str">
        <x:v>milestone</x:v>
      </x:c>
      <x:c r="D3998" s="21" t="str">
        <x:v>milestone 55 share positive</x:v>
      </x:c>
      <x:c r="E3998" s="21" t="n">
        <x:f>IF(Milestones!H55&gt;0,1,0)</x:f>
        <x:v>1</x:v>
      </x:c>
      <x:c r="F3998" s="21" t="n">
        <x:v>1</x:v>
      </x:c>
      <x:c r="G3998" s="23" t="str">
        <x:f>IF(E3998=F3998,"PASS","FAIL")</x:f>
        <x:v>PASS</x:v>
      </x:c>
    </x:row>
    <x:row r="3999">
      <x:c r="B3999" s="21" t="str">
        <x:v>A3993</x:v>
      </x:c>
      <x:c r="C3999" s="21" t="str">
        <x:v>milestone</x:v>
      </x:c>
      <x:c r="D3999" s="21" t="str">
        <x:v>milestone 55 year bounded</x:v>
      </x:c>
      <x:c r="E3999" s="21" t="n">
        <x:f>IF(AND(Milestones!I55&gt;=1,Milestones!I55&lt;=9),1,0)</x:f>
        <x:v>1</x:v>
      </x:c>
      <x:c r="F3999" s="21" t="n">
        <x:v>1</x:v>
      </x:c>
      <x:c r="G3999" s="23" t="str">
        <x:f>IF(E3999=F3999,"PASS","FAIL")</x:f>
        <x:v>PASS</x:v>
      </x:c>
    </x:row>
    <x:row r="4000">
      <x:c r="B4000" s="21" t="str">
        <x:v>A3994</x:v>
      </x:c>
      <x:c r="C4000" s="21" t="str">
        <x:v>milestone</x:v>
      </x:c>
      <x:c r="D4000" s="21" t="str">
        <x:v>milestone 55 payment nonnegative</x:v>
      </x:c>
      <x:c r="E4000" s="21" t="n">
        <x:f>IF(Milestones!J55&gt;=0,1,0)</x:f>
        <x:v>1</x:v>
      </x:c>
      <x:c r="F4000" s="21" t="n">
        <x:v>1</x:v>
      </x:c>
      <x:c r="G4000" s="23" t="str">
        <x:f>IF(E4000=F4000,"PASS","FAIL")</x:f>
        <x:v>PASS</x:v>
      </x:c>
    </x:row>
    <x:row r="4001">
      <x:c r="B4001" s="21" t="str">
        <x:v>A3995</x:v>
      </x:c>
      <x:c r="C4001" s="21" t="str">
        <x:v>milestone</x:v>
      </x:c>
      <x:c r="D4001" s="21" t="str">
        <x:v>milestone 55 evidence open</x:v>
      </x:c>
      <x:c r="E4001" s="21" t="n">
        <x:f>IF(Milestones!L55="OPEN",1,0)</x:f>
        <x:v>1</x:v>
      </x:c>
      <x:c r="F4001" s="21" t="n">
        <x:v>1</x:v>
      </x:c>
      <x:c r="G4001" s="23" t="str">
        <x:f>IF(E4001=F4001,"PASS","FAIL")</x:f>
        <x:v>PASS</x:v>
      </x:c>
    </x:row>
    <x:row r="4002">
      <x:c r="B4002" s="21" t="str">
        <x:v>A3996</x:v>
      </x:c>
      <x:c r="C4002" s="21" t="str">
        <x:v>milestone</x:v>
      </x:c>
      <x:c r="D4002" s="21" t="str">
        <x:v>milestone 55 decision held</x:v>
      </x:c>
      <x:c r="E4002" s="21" t="n">
        <x:f>IF(Milestones!M55="HOLD",1,0)</x:f>
        <x:v>1</x:v>
      </x:c>
      <x:c r="F4002" s="21" t="n">
        <x:v>1</x:v>
      </x:c>
      <x:c r="G4002" s="23" t="str">
        <x:f>IF(E4002=F4002,"PASS","FAIL")</x:f>
        <x:v>PASS</x:v>
      </x:c>
    </x:row>
    <x:row r="4003">
      <x:c r="B4003" s="21" t="str">
        <x:v>A3997</x:v>
      </x:c>
      <x:c r="C4003" s="21" t="str">
        <x:v>milestone</x:v>
      </x:c>
      <x:c r="D4003" s="21" t="str">
        <x:v>milestone 56 share positive</x:v>
      </x:c>
      <x:c r="E4003" s="21" t="n">
        <x:f>IF(Milestones!H56&gt;0,1,0)</x:f>
        <x:v>1</x:v>
      </x:c>
      <x:c r="F4003" s="21" t="n">
        <x:v>1</x:v>
      </x:c>
      <x:c r="G4003" s="23" t="str">
        <x:f>IF(E4003=F4003,"PASS","FAIL")</x:f>
        <x:v>PASS</x:v>
      </x:c>
    </x:row>
    <x:row r="4004">
      <x:c r="B4004" s="21" t="str">
        <x:v>A3998</x:v>
      </x:c>
      <x:c r="C4004" s="21" t="str">
        <x:v>milestone</x:v>
      </x:c>
      <x:c r="D4004" s="21" t="str">
        <x:v>milestone 56 year bounded</x:v>
      </x:c>
      <x:c r="E4004" s="21" t="n">
        <x:f>IF(AND(Milestones!I56&gt;=1,Milestones!I56&lt;=9),1,0)</x:f>
        <x:v>1</x:v>
      </x:c>
      <x:c r="F4004" s="21" t="n">
        <x:v>1</x:v>
      </x:c>
      <x:c r="G4004" s="23" t="str">
        <x:f>IF(E4004=F4004,"PASS","FAIL")</x:f>
        <x:v>PASS</x:v>
      </x:c>
    </x:row>
    <x:row r="4005">
      <x:c r="B4005" s="21" t="str">
        <x:v>A3999</x:v>
      </x:c>
      <x:c r="C4005" s="21" t="str">
        <x:v>milestone</x:v>
      </x:c>
      <x:c r="D4005" s="21" t="str">
        <x:v>milestone 56 payment nonnegative</x:v>
      </x:c>
      <x:c r="E4005" s="21" t="n">
        <x:f>IF(Milestones!J56&gt;=0,1,0)</x:f>
        <x:v>1</x:v>
      </x:c>
      <x:c r="F4005" s="21" t="n">
        <x:v>1</x:v>
      </x:c>
      <x:c r="G4005" s="23" t="str">
        <x:f>IF(E4005=F4005,"PASS","FAIL")</x:f>
        <x:v>PASS</x:v>
      </x:c>
    </x:row>
    <x:row r="4006">
      <x:c r="B4006" s="21" t="str">
        <x:v>A4000</x:v>
      </x:c>
      <x:c r="C4006" s="21" t="str">
        <x:v>milestone</x:v>
      </x:c>
      <x:c r="D4006" s="21" t="str">
        <x:v>milestone 56 evidence open</x:v>
      </x:c>
      <x:c r="E4006" s="21" t="n">
        <x:f>IF(Milestones!L56="OPEN",1,0)</x:f>
        <x:v>1</x:v>
      </x:c>
      <x:c r="F4006" s="21" t="n">
        <x:v>1</x:v>
      </x:c>
      <x:c r="G4006" s="23" t="str">
        <x:f>IF(E4006=F4006,"PASS","FAIL")</x:f>
        <x:v>PASS</x:v>
      </x:c>
    </x:row>
    <x:row r="4007">
      <x:c r="B4007" s="21" t="str">
        <x:v>A4001</x:v>
      </x:c>
      <x:c r="C4007" s="21" t="str">
        <x:v>milestone</x:v>
      </x:c>
      <x:c r="D4007" s="21" t="str">
        <x:v>milestone 56 decision held</x:v>
      </x:c>
      <x:c r="E4007" s="21" t="n">
        <x:f>IF(Milestones!M56="HOLD",1,0)</x:f>
        <x:v>1</x:v>
      </x:c>
      <x:c r="F4007" s="21" t="n">
        <x:v>1</x:v>
      </x:c>
      <x:c r="G4007" s="23" t="str">
        <x:f>IF(E4007=F4007,"PASS","FAIL")</x:f>
        <x:v>PASS</x:v>
      </x:c>
    </x:row>
    <x:row r="4008">
      <x:c r="B4008" s="21" t="str">
        <x:v>A4002</x:v>
      </x:c>
      <x:c r="C4008" s="21" t="str">
        <x:v>milestone</x:v>
      </x:c>
      <x:c r="D4008" s="21" t="str">
        <x:v>milestone 57 share positive</x:v>
      </x:c>
      <x:c r="E4008" s="21" t="n">
        <x:f>IF(Milestones!H57&gt;0,1,0)</x:f>
        <x:v>1</x:v>
      </x:c>
      <x:c r="F4008" s="21" t="n">
        <x:v>1</x:v>
      </x:c>
      <x:c r="G4008" s="23" t="str">
        <x:f>IF(E4008=F4008,"PASS","FAIL")</x:f>
        <x:v>PASS</x:v>
      </x:c>
    </x:row>
    <x:row r="4009">
      <x:c r="B4009" s="21" t="str">
        <x:v>A4003</x:v>
      </x:c>
      <x:c r="C4009" s="21" t="str">
        <x:v>milestone</x:v>
      </x:c>
      <x:c r="D4009" s="21" t="str">
        <x:v>milestone 57 year bounded</x:v>
      </x:c>
      <x:c r="E4009" s="21" t="n">
        <x:f>IF(AND(Milestones!I57&gt;=1,Milestones!I57&lt;=9),1,0)</x:f>
        <x:v>1</x:v>
      </x:c>
      <x:c r="F4009" s="21" t="n">
        <x:v>1</x:v>
      </x:c>
      <x:c r="G4009" s="23" t="str">
        <x:f>IF(E4009=F4009,"PASS","FAIL")</x:f>
        <x:v>PASS</x:v>
      </x:c>
    </x:row>
    <x:row r="4010">
      <x:c r="B4010" s="21" t="str">
        <x:v>A4004</x:v>
      </x:c>
      <x:c r="C4010" s="21" t="str">
        <x:v>milestone</x:v>
      </x:c>
      <x:c r="D4010" s="21" t="str">
        <x:v>milestone 57 payment nonnegative</x:v>
      </x:c>
      <x:c r="E4010" s="21" t="n">
        <x:f>IF(Milestones!J57&gt;=0,1,0)</x:f>
        <x:v>1</x:v>
      </x:c>
      <x:c r="F4010" s="21" t="n">
        <x:v>1</x:v>
      </x:c>
      <x:c r="G4010" s="23" t="str">
        <x:f>IF(E4010=F4010,"PASS","FAIL")</x:f>
        <x:v>PASS</x:v>
      </x:c>
    </x:row>
    <x:row r="4011">
      <x:c r="B4011" s="21" t="str">
        <x:v>A4005</x:v>
      </x:c>
      <x:c r="C4011" s="21" t="str">
        <x:v>milestone</x:v>
      </x:c>
      <x:c r="D4011" s="21" t="str">
        <x:v>milestone 57 evidence open</x:v>
      </x:c>
      <x:c r="E4011" s="21" t="n">
        <x:f>IF(Milestones!L57="OPEN",1,0)</x:f>
        <x:v>1</x:v>
      </x:c>
      <x:c r="F4011" s="21" t="n">
        <x:v>1</x:v>
      </x:c>
      <x:c r="G4011" s="23" t="str">
        <x:f>IF(E4011=F4011,"PASS","FAIL")</x:f>
        <x:v>PASS</x:v>
      </x:c>
    </x:row>
    <x:row r="4012">
      <x:c r="B4012" s="21" t="str">
        <x:v>A4006</x:v>
      </x:c>
      <x:c r="C4012" s="21" t="str">
        <x:v>milestone</x:v>
      </x:c>
      <x:c r="D4012" s="21" t="str">
        <x:v>milestone 57 decision held</x:v>
      </x:c>
      <x:c r="E4012" s="21" t="n">
        <x:f>IF(Milestones!M57="HOLD",1,0)</x:f>
        <x:v>1</x:v>
      </x:c>
      <x:c r="F4012" s="21" t="n">
        <x:v>1</x:v>
      </x:c>
      <x:c r="G4012" s="23" t="str">
        <x:f>IF(E4012=F4012,"PASS","FAIL")</x:f>
        <x:v>PASS</x:v>
      </x:c>
    </x:row>
    <x:row r="4013">
      <x:c r="B4013" s="21" t="str">
        <x:v>A4007</x:v>
      </x:c>
      <x:c r="C4013" s="21" t="str">
        <x:v>milestone</x:v>
      </x:c>
      <x:c r="D4013" s="21" t="str">
        <x:v>milestone 58 share positive</x:v>
      </x:c>
      <x:c r="E4013" s="21" t="n">
        <x:f>IF(Milestones!H58&gt;0,1,0)</x:f>
        <x:v>1</x:v>
      </x:c>
      <x:c r="F4013" s="21" t="n">
        <x:v>1</x:v>
      </x:c>
      <x:c r="G4013" s="23" t="str">
        <x:f>IF(E4013=F4013,"PASS","FAIL")</x:f>
        <x:v>PASS</x:v>
      </x:c>
    </x:row>
    <x:row r="4014">
      <x:c r="B4014" s="21" t="str">
        <x:v>A4008</x:v>
      </x:c>
      <x:c r="C4014" s="21" t="str">
        <x:v>milestone</x:v>
      </x:c>
      <x:c r="D4014" s="21" t="str">
        <x:v>milestone 58 year bounded</x:v>
      </x:c>
      <x:c r="E4014" s="21" t="n">
        <x:f>IF(AND(Milestones!I58&gt;=1,Milestones!I58&lt;=9),1,0)</x:f>
        <x:v>1</x:v>
      </x:c>
      <x:c r="F4014" s="21" t="n">
        <x:v>1</x:v>
      </x:c>
      <x:c r="G4014" s="23" t="str">
        <x:f>IF(E4014=F4014,"PASS","FAIL")</x:f>
        <x:v>PASS</x:v>
      </x:c>
    </x:row>
    <x:row r="4015">
      <x:c r="B4015" s="21" t="str">
        <x:v>A4009</x:v>
      </x:c>
      <x:c r="C4015" s="21" t="str">
        <x:v>milestone</x:v>
      </x:c>
      <x:c r="D4015" s="21" t="str">
        <x:v>milestone 58 payment nonnegative</x:v>
      </x:c>
      <x:c r="E4015" s="21" t="n">
        <x:f>IF(Milestones!J58&gt;=0,1,0)</x:f>
        <x:v>1</x:v>
      </x:c>
      <x:c r="F4015" s="21" t="n">
        <x:v>1</x:v>
      </x:c>
      <x:c r="G4015" s="23" t="str">
        <x:f>IF(E4015=F4015,"PASS","FAIL")</x:f>
        <x:v>PASS</x:v>
      </x:c>
    </x:row>
    <x:row r="4016">
      <x:c r="B4016" s="21" t="str">
        <x:v>A4010</x:v>
      </x:c>
      <x:c r="C4016" s="21" t="str">
        <x:v>milestone</x:v>
      </x:c>
      <x:c r="D4016" s="21" t="str">
        <x:v>milestone 58 evidence open</x:v>
      </x:c>
      <x:c r="E4016" s="21" t="n">
        <x:f>IF(Milestones!L58="OPEN",1,0)</x:f>
        <x:v>1</x:v>
      </x:c>
      <x:c r="F4016" s="21" t="n">
        <x:v>1</x:v>
      </x:c>
      <x:c r="G4016" s="23" t="str">
        <x:f>IF(E4016=F4016,"PASS","FAIL")</x:f>
        <x:v>PASS</x:v>
      </x:c>
    </x:row>
    <x:row r="4017">
      <x:c r="B4017" s="21" t="str">
        <x:v>A4011</x:v>
      </x:c>
      <x:c r="C4017" s="21" t="str">
        <x:v>milestone</x:v>
      </x:c>
      <x:c r="D4017" s="21" t="str">
        <x:v>milestone 58 decision held</x:v>
      </x:c>
      <x:c r="E4017" s="21" t="n">
        <x:f>IF(Milestones!M58="HOLD",1,0)</x:f>
        <x:v>1</x:v>
      </x:c>
      <x:c r="F4017" s="21" t="n">
        <x:v>1</x:v>
      </x:c>
      <x:c r="G4017" s="23" t="str">
        <x:f>IF(E4017=F4017,"PASS","FAIL")</x:f>
        <x:v>PASS</x:v>
      </x:c>
    </x:row>
    <x:row r="4018">
      <x:c r="B4018" s="21" t="str">
        <x:v>A4012</x:v>
      </x:c>
      <x:c r="C4018" s="21" t="str">
        <x:v>milestone</x:v>
      </x:c>
      <x:c r="D4018" s="21" t="str">
        <x:v>milestone 59 share positive</x:v>
      </x:c>
      <x:c r="E4018" s="21" t="n">
        <x:f>IF(Milestones!H59&gt;0,1,0)</x:f>
        <x:v>1</x:v>
      </x:c>
      <x:c r="F4018" s="21" t="n">
        <x:v>1</x:v>
      </x:c>
      <x:c r="G4018" s="23" t="str">
        <x:f>IF(E4018=F4018,"PASS","FAIL")</x:f>
        <x:v>PASS</x:v>
      </x:c>
    </x:row>
    <x:row r="4019">
      <x:c r="B4019" s="21" t="str">
        <x:v>A4013</x:v>
      </x:c>
      <x:c r="C4019" s="21" t="str">
        <x:v>milestone</x:v>
      </x:c>
      <x:c r="D4019" s="21" t="str">
        <x:v>milestone 59 year bounded</x:v>
      </x:c>
      <x:c r="E4019" s="21" t="n">
        <x:f>IF(AND(Milestones!I59&gt;=1,Milestones!I59&lt;=9),1,0)</x:f>
        <x:v>1</x:v>
      </x:c>
      <x:c r="F4019" s="21" t="n">
        <x:v>1</x:v>
      </x:c>
      <x:c r="G4019" s="23" t="str">
        <x:f>IF(E4019=F4019,"PASS","FAIL")</x:f>
        <x:v>PASS</x:v>
      </x:c>
    </x:row>
    <x:row r="4020">
      <x:c r="B4020" s="21" t="str">
        <x:v>A4014</x:v>
      </x:c>
      <x:c r="C4020" s="21" t="str">
        <x:v>milestone</x:v>
      </x:c>
      <x:c r="D4020" s="21" t="str">
        <x:v>milestone 59 payment nonnegative</x:v>
      </x:c>
      <x:c r="E4020" s="21" t="n">
        <x:f>IF(Milestones!J59&gt;=0,1,0)</x:f>
        <x:v>1</x:v>
      </x:c>
      <x:c r="F4020" s="21" t="n">
        <x:v>1</x:v>
      </x:c>
      <x:c r="G4020" s="23" t="str">
        <x:f>IF(E4020=F4020,"PASS","FAIL")</x:f>
        <x:v>PASS</x:v>
      </x:c>
    </x:row>
    <x:row r="4021">
      <x:c r="B4021" s="21" t="str">
        <x:v>A4015</x:v>
      </x:c>
      <x:c r="C4021" s="21" t="str">
        <x:v>milestone</x:v>
      </x:c>
      <x:c r="D4021" s="21" t="str">
        <x:v>milestone 59 evidence open</x:v>
      </x:c>
      <x:c r="E4021" s="21" t="n">
        <x:f>IF(Milestones!L59="OPEN",1,0)</x:f>
        <x:v>1</x:v>
      </x:c>
      <x:c r="F4021" s="21" t="n">
        <x:v>1</x:v>
      </x:c>
      <x:c r="G4021" s="23" t="str">
        <x:f>IF(E4021=F4021,"PASS","FAIL")</x:f>
        <x:v>PASS</x:v>
      </x:c>
    </x:row>
    <x:row r="4022">
      <x:c r="B4022" s="21" t="str">
        <x:v>A4016</x:v>
      </x:c>
      <x:c r="C4022" s="21" t="str">
        <x:v>milestone</x:v>
      </x:c>
      <x:c r="D4022" s="21" t="str">
        <x:v>milestone 59 decision held</x:v>
      </x:c>
      <x:c r="E4022" s="21" t="n">
        <x:f>IF(Milestones!M59="HOLD",1,0)</x:f>
        <x:v>1</x:v>
      </x:c>
      <x:c r="F4022" s="21" t="n">
        <x:v>1</x:v>
      </x:c>
      <x:c r="G4022" s="23" t="str">
        <x:f>IF(E4022=F4022,"PASS","FAIL")</x:f>
        <x:v>PASS</x:v>
      </x:c>
    </x:row>
    <x:row r="4023">
      <x:c r="B4023" s="21" t="str">
        <x:v>A4017</x:v>
      </x:c>
      <x:c r="C4023" s="21" t="str">
        <x:v>milestone</x:v>
      </x:c>
      <x:c r="D4023" s="21" t="str">
        <x:v>milestone 60 share positive</x:v>
      </x:c>
      <x:c r="E4023" s="21" t="n">
        <x:f>IF(Milestones!H60&gt;0,1,0)</x:f>
        <x:v>1</x:v>
      </x:c>
      <x:c r="F4023" s="21" t="n">
        <x:v>1</x:v>
      </x:c>
      <x:c r="G4023" s="23" t="str">
        <x:f>IF(E4023=F4023,"PASS","FAIL")</x:f>
        <x:v>PASS</x:v>
      </x:c>
    </x:row>
    <x:row r="4024">
      <x:c r="B4024" s="21" t="str">
        <x:v>A4018</x:v>
      </x:c>
      <x:c r="C4024" s="21" t="str">
        <x:v>milestone</x:v>
      </x:c>
      <x:c r="D4024" s="21" t="str">
        <x:v>milestone 60 year bounded</x:v>
      </x:c>
      <x:c r="E4024" s="21" t="n">
        <x:f>IF(AND(Milestones!I60&gt;=1,Milestones!I60&lt;=9),1,0)</x:f>
        <x:v>1</x:v>
      </x:c>
      <x:c r="F4024" s="21" t="n">
        <x:v>1</x:v>
      </x:c>
      <x:c r="G4024" s="23" t="str">
        <x:f>IF(E4024=F4024,"PASS","FAIL")</x:f>
        <x:v>PASS</x:v>
      </x:c>
    </x:row>
    <x:row r="4025">
      <x:c r="B4025" s="21" t="str">
        <x:v>A4019</x:v>
      </x:c>
      <x:c r="C4025" s="21" t="str">
        <x:v>milestone</x:v>
      </x:c>
      <x:c r="D4025" s="21" t="str">
        <x:v>milestone 60 payment nonnegative</x:v>
      </x:c>
      <x:c r="E4025" s="21" t="n">
        <x:f>IF(Milestones!J60&gt;=0,1,0)</x:f>
        <x:v>1</x:v>
      </x:c>
      <x:c r="F4025" s="21" t="n">
        <x:v>1</x:v>
      </x:c>
      <x:c r="G4025" s="23" t="str">
        <x:f>IF(E4025=F4025,"PASS","FAIL")</x:f>
        <x:v>PASS</x:v>
      </x:c>
    </x:row>
    <x:row r="4026">
      <x:c r="B4026" s="21" t="str">
        <x:v>A4020</x:v>
      </x:c>
      <x:c r="C4026" s="21" t="str">
        <x:v>milestone</x:v>
      </x:c>
      <x:c r="D4026" s="21" t="str">
        <x:v>milestone 60 evidence open</x:v>
      </x:c>
      <x:c r="E4026" s="21" t="n">
        <x:f>IF(Milestones!L60="OPEN",1,0)</x:f>
        <x:v>1</x:v>
      </x:c>
      <x:c r="F4026" s="21" t="n">
        <x:v>1</x:v>
      </x:c>
      <x:c r="G4026" s="23" t="str">
        <x:f>IF(E4026=F4026,"PASS","FAIL")</x:f>
        <x:v>PASS</x:v>
      </x:c>
    </x:row>
    <x:row r="4027">
      <x:c r="B4027" s="21" t="str">
        <x:v>A4021</x:v>
      </x:c>
      <x:c r="C4027" s="21" t="str">
        <x:v>milestone</x:v>
      </x:c>
      <x:c r="D4027" s="21" t="str">
        <x:v>milestone 60 decision held</x:v>
      </x:c>
      <x:c r="E4027" s="21" t="n">
        <x:f>IF(Milestones!M60="HOLD",1,0)</x:f>
        <x:v>1</x:v>
      </x:c>
      <x:c r="F4027" s="21" t="n">
        <x:v>1</x:v>
      </x:c>
      <x:c r="G4027" s="23" t="str">
        <x:f>IF(E4027=F4027,"PASS","FAIL")</x:f>
        <x:v>PASS</x:v>
      </x:c>
    </x:row>
    <x:row r="4028">
      <x:c r="B4028" s="21" t="str">
        <x:v>A4022</x:v>
      </x:c>
      <x:c r="C4028" s="21" t="str">
        <x:v>milestone</x:v>
      </x:c>
      <x:c r="D4028" s="21" t="str">
        <x:v>milestone 61 share positive</x:v>
      </x:c>
      <x:c r="E4028" s="21" t="n">
        <x:f>IF(Milestones!H61&gt;0,1,0)</x:f>
        <x:v>1</x:v>
      </x:c>
      <x:c r="F4028" s="21" t="n">
        <x:v>1</x:v>
      </x:c>
      <x:c r="G4028" s="23" t="str">
        <x:f>IF(E4028=F4028,"PASS","FAIL")</x:f>
        <x:v>PASS</x:v>
      </x:c>
    </x:row>
    <x:row r="4029">
      <x:c r="B4029" s="21" t="str">
        <x:v>A4023</x:v>
      </x:c>
      <x:c r="C4029" s="21" t="str">
        <x:v>milestone</x:v>
      </x:c>
      <x:c r="D4029" s="21" t="str">
        <x:v>milestone 61 year bounded</x:v>
      </x:c>
      <x:c r="E4029" s="21" t="n">
        <x:f>IF(AND(Milestones!I61&gt;=1,Milestones!I61&lt;=9),1,0)</x:f>
        <x:v>1</x:v>
      </x:c>
      <x:c r="F4029" s="21" t="n">
        <x:v>1</x:v>
      </x:c>
      <x:c r="G4029" s="23" t="str">
        <x:f>IF(E4029=F4029,"PASS","FAIL")</x:f>
        <x:v>PASS</x:v>
      </x:c>
    </x:row>
    <x:row r="4030">
      <x:c r="B4030" s="21" t="str">
        <x:v>A4024</x:v>
      </x:c>
      <x:c r="C4030" s="21" t="str">
        <x:v>milestone</x:v>
      </x:c>
      <x:c r="D4030" s="21" t="str">
        <x:v>milestone 61 payment nonnegative</x:v>
      </x:c>
      <x:c r="E4030" s="21" t="n">
        <x:f>IF(Milestones!J61&gt;=0,1,0)</x:f>
        <x:v>1</x:v>
      </x:c>
      <x:c r="F4030" s="21" t="n">
        <x:v>1</x:v>
      </x:c>
      <x:c r="G4030" s="23" t="str">
        <x:f>IF(E4030=F4030,"PASS","FAIL")</x:f>
        <x:v>PASS</x:v>
      </x:c>
    </x:row>
    <x:row r="4031">
      <x:c r="B4031" s="21" t="str">
        <x:v>A4025</x:v>
      </x:c>
      <x:c r="C4031" s="21" t="str">
        <x:v>milestone</x:v>
      </x:c>
      <x:c r="D4031" s="21" t="str">
        <x:v>milestone 61 evidence open</x:v>
      </x:c>
      <x:c r="E4031" s="21" t="n">
        <x:f>IF(Milestones!L61="OPEN",1,0)</x:f>
        <x:v>1</x:v>
      </x:c>
      <x:c r="F4031" s="21" t="n">
        <x:v>1</x:v>
      </x:c>
      <x:c r="G4031" s="23" t="str">
        <x:f>IF(E4031=F4031,"PASS","FAIL")</x:f>
        <x:v>PASS</x:v>
      </x:c>
    </x:row>
    <x:row r="4032">
      <x:c r="B4032" s="21" t="str">
        <x:v>A4026</x:v>
      </x:c>
      <x:c r="C4032" s="21" t="str">
        <x:v>milestone</x:v>
      </x:c>
      <x:c r="D4032" s="21" t="str">
        <x:v>milestone 61 decision held</x:v>
      </x:c>
      <x:c r="E4032" s="21" t="n">
        <x:f>IF(Milestones!M61="HOLD",1,0)</x:f>
        <x:v>1</x:v>
      </x:c>
      <x:c r="F4032" s="21" t="n">
        <x:v>1</x:v>
      </x:c>
      <x:c r="G4032" s="23" t="str">
        <x:f>IF(E4032=F4032,"PASS","FAIL")</x:f>
        <x:v>PASS</x:v>
      </x:c>
    </x:row>
    <x:row r="4033">
      <x:c r="B4033" s="21" t="str">
        <x:v>A4027</x:v>
      </x:c>
      <x:c r="C4033" s="21" t="str">
        <x:v>milestone</x:v>
      </x:c>
      <x:c r="D4033" s="21" t="str">
        <x:v>milestone 62 share positive</x:v>
      </x:c>
      <x:c r="E4033" s="21" t="n">
        <x:f>IF(Milestones!H62&gt;0,1,0)</x:f>
        <x:v>1</x:v>
      </x:c>
      <x:c r="F4033" s="21" t="n">
        <x:v>1</x:v>
      </x:c>
      <x:c r="G4033" s="23" t="str">
        <x:f>IF(E4033=F4033,"PASS","FAIL")</x:f>
        <x:v>PASS</x:v>
      </x:c>
    </x:row>
    <x:row r="4034">
      <x:c r="B4034" s="21" t="str">
        <x:v>A4028</x:v>
      </x:c>
      <x:c r="C4034" s="21" t="str">
        <x:v>milestone</x:v>
      </x:c>
      <x:c r="D4034" s="21" t="str">
        <x:v>milestone 62 year bounded</x:v>
      </x:c>
      <x:c r="E4034" s="21" t="n">
        <x:f>IF(AND(Milestones!I62&gt;=1,Milestones!I62&lt;=9),1,0)</x:f>
        <x:v>1</x:v>
      </x:c>
      <x:c r="F4034" s="21" t="n">
        <x:v>1</x:v>
      </x:c>
      <x:c r="G4034" s="23" t="str">
        <x:f>IF(E4034=F4034,"PASS","FAIL")</x:f>
        <x:v>PASS</x:v>
      </x:c>
    </x:row>
    <x:row r="4035">
      <x:c r="B4035" s="21" t="str">
        <x:v>A4029</x:v>
      </x:c>
      <x:c r="C4035" s="21" t="str">
        <x:v>milestone</x:v>
      </x:c>
      <x:c r="D4035" s="21" t="str">
        <x:v>milestone 62 payment nonnegative</x:v>
      </x:c>
      <x:c r="E4035" s="21" t="n">
        <x:f>IF(Milestones!J62&gt;=0,1,0)</x:f>
        <x:v>1</x:v>
      </x:c>
      <x:c r="F4035" s="21" t="n">
        <x:v>1</x:v>
      </x:c>
      <x:c r="G4035" s="23" t="str">
        <x:f>IF(E4035=F4035,"PASS","FAIL")</x:f>
        <x:v>PASS</x:v>
      </x:c>
    </x:row>
    <x:row r="4036">
      <x:c r="B4036" s="21" t="str">
        <x:v>A4030</x:v>
      </x:c>
      <x:c r="C4036" s="21" t="str">
        <x:v>milestone</x:v>
      </x:c>
      <x:c r="D4036" s="21" t="str">
        <x:v>milestone 62 evidence open</x:v>
      </x:c>
      <x:c r="E4036" s="21" t="n">
        <x:f>IF(Milestones!L62="OPEN",1,0)</x:f>
        <x:v>1</x:v>
      </x:c>
      <x:c r="F4036" s="21" t="n">
        <x:v>1</x:v>
      </x:c>
      <x:c r="G4036" s="23" t="str">
        <x:f>IF(E4036=F4036,"PASS","FAIL")</x:f>
        <x:v>PASS</x:v>
      </x:c>
    </x:row>
    <x:row r="4037">
      <x:c r="B4037" s="21" t="str">
        <x:v>A4031</x:v>
      </x:c>
      <x:c r="C4037" s="21" t="str">
        <x:v>milestone</x:v>
      </x:c>
      <x:c r="D4037" s="21" t="str">
        <x:v>milestone 62 decision held</x:v>
      </x:c>
      <x:c r="E4037" s="21" t="n">
        <x:f>IF(Milestones!M62="HOLD",1,0)</x:f>
        <x:v>1</x:v>
      </x:c>
      <x:c r="F4037" s="21" t="n">
        <x:v>1</x:v>
      </x:c>
      <x:c r="G4037" s="23" t="str">
        <x:f>IF(E4037=F4037,"PASS","FAIL")</x:f>
        <x:v>PASS</x:v>
      </x:c>
    </x:row>
    <x:row r="4038">
      <x:c r="B4038" s="21" t="str">
        <x:v>A4032</x:v>
      </x:c>
      <x:c r="C4038" s="21" t="str">
        <x:v>milestone</x:v>
      </x:c>
      <x:c r="D4038" s="21" t="str">
        <x:v>milestone 63 share positive</x:v>
      </x:c>
      <x:c r="E4038" s="21" t="n">
        <x:f>IF(Milestones!H63&gt;0,1,0)</x:f>
        <x:v>1</x:v>
      </x:c>
      <x:c r="F4038" s="21" t="n">
        <x:v>1</x:v>
      </x:c>
      <x:c r="G4038" s="23" t="str">
        <x:f>IF(E4038=F4038,"PASS","FAIL")</x:f>
        <x:v>PASS</x:v>
      </x:c>
    </x:row>
    <x:row r="4039">
      <x:c r="B4039" s="21" t="str">
        <x:v>A4033</x:v>
      </x:c>
      <x:c r="C4039" s="21" t="str">
        <x:v>milestone</x:v>
      </x:c>
      <x:c r="D4039" s="21" t="str">
        <x:v>milestone 63 year bounded</x:v>
      </x:c>
      <x:c r="E4039" s="21" t="n">
        <x:f>IF(AND(Milestones!I63&gt;=1,Milestones!I63&lt;=9),1,0)</x:f>
        <x:v>1</x:v>
      </x:c>
      <x:c r="F4039" s="21" t="n">
        <x:v>1</x:v>
      </x:c>
      <x:c r="G4039" s="23" t="str">
        <x:f>IF(E4039=F4039,"PASS","FAIL")</x:f>
        <x:v>PASS</x:v>
      </x:c>
    </x:row>
    <x:row r="4040">
      <x:c r="B4040" s="21" t="str">
        <x:v>A4034</x:v>
      </x:c>
      <x:c r="C4040" s="21" t="str">
        <x:v>milestone</x:v>
      </x:c>
      <x:c r="D4040" s="21" t="str">
        <x:v>milestone 63 payment nonnegative</x:v>
      </x:c>
      <x:c r="E4040" s="21" t="n">
        <x:f>IF(Milestones!J63&gt;=0,1,0)</x:f>
        <x:v>1</x:v>
      </x:c>
      <x:c r="F4040" s="21" t="n">
        <x:v>1</x:v>
      </x:c>
      <x:c r="G4040" s="23" t="str">
        <x:f>IF(E4040=F4040,"PASS","FAIL")</x:f>
        <x:v>PASS</x:v>
      </x:c>
    </x:row>
    <x:row r="4041">
      <x:c r="B4041" s="21" t="str">
        <x:v>A4035</x:v>
      </x:c>
      <x:c r="C4041" s="21" t="str">
        <x:v>milestone</x:v>
      </x:c>
      <x:c r="D4041" s="21" t="str">
        <x:v>milestone 63 evidence open</x:v>
      </x:c>
      <x:c r="E4041" s="21" t="n">
        <x:f>IF(Milestones!L63="OPEN",1,0)</x:f>
        <x:v>1</x:v>
      </x:c>
      <x:c r="F4041" s="21" t="n">
        <x:v>1</x:v>
      </x:c>
      <x:c r="G4041" s="23" t="str">
        <x:f>IF(E4041=F4041,"PASS","FAIL")</x:f>
        <x:v>PASS</x:v>
      </x:c>
    </x:row>
    <x:row r="4042">
      <x:c r="B4042" s="21" t="str">
        <x:v>A4036</x:v>
      </x:c>
      <x:c r="C4042" s="21" t="str">
        <x:v>milestone</x:v>
      </x:c>
      <x:c r="D4042" s="21" t="str">
        <x:v>milestone 63 decision held</x:v>
      </x:c>
      <x:c r="E4042" s="21" t="n">
        <x:f>IF(Milestones!M63="HOLD",1,0)</x:f>
        <x:v>1</x:v>
      </x:c>
      <x:c r="F4042" s="21" t="n">
        <x:v>1</x:v>
      </x:c>
      <x:c r="G4042" s="23" t="str">
        <x:f>IF(E4042=F4042,"PASS","FAIL")</x:f>
        <x:v>PASS</x:v>
      </x:c>
    </x:row>
    <x:row r="4043">
      <x:c r="B4043" s="21" t="str">
        <x:v>A4037</x:v>
      </x:c>
      <x:c r="C4043" s="21" t="str">
        <x:v>milestone</x:v>
      </x:c>
      <x:c r="D4043" s="21" t="str">
        <x:v>milestone 64 share positive</x:v>
      </x:c>
      <x:c r="E4043" s="21" t="n">
        <x:f>IF(Milestones!H64&gt;0,1,0)</x:f>
        <x:v>1</x:v>
      </x:c>
      <x:c r="F4043" s="21" t="n">
        <x:v>1</x:v>
      </x:c>
      <x:c r="G4043" s="23" t="str">
        <x:f>IF(E4043=F4043,"PASS","FAIL")</x:f>
        <x:v>PASS</x:v>
      </x:c>
    </x:row>
    <x:row r="4044">
      <x:c r="B4044" s="21" t="str">
        <x:v>A4038</x:v>
      </x:c>
      <x:c r="C4044" s="21" t="str">
        <x:v>milestone</x:v>
      </x:c>
      <x:c r="D4044" s="21" t="str">
        <x:v>milestone 64 year bounded</x:v>
      </x:c>
      <x:c r="E4044" s="21" t="n">
        <x:f>IF(AND(Milestones!I64&gt;=1,Milestones!I64&lt;=9),1,0)</x:f>
        <x:v>1</x:v>
      </x:c>
      <x:c r="F4044" s="21" t="n">
        <x:v>1</x:v>
      </x:c>
      <x:c r="G4044" s="23" t="str">
        <x:f>IF(E4044=F4044,"PASS","FAIL")</x:f>
        <x:v>PASS</x:v>
      </x:c>
    </x:row>
    <x:row r="4045">
      <x:c r="B4045" s="21" t="str">
        <x:v>A4039</x:v>
      </x:c>
      <x:c r="C4045" s="21" t="str">
        <x:v>milestone</x:v>
      </x:c>
      <x:c r="D4045" s="21" t="str">
        <x:v>milestone 64 payment nonnegative</x:v>
      </x:c>
      <x:c r="E4045" s="21" t="n">
        <x:f>IF(Milestones!J64&gt;=0,1,0)</x:f>
        <x:v>1</x:v>
      </x:c>
      <x:c r="F4045" s="21" t="n">
        <x:v>1</x:v>
      </x:c>
      <x:c r="G4045" s="23" t="str">
        <x:f>IF(E4045=F4045,"PASS","FAIL")</x:f>
        <x:v>PASS</x:v>
      </x:c>
    </x:row>
    <x:row r="4046">
      <x:c r="B4046" s="21" t="str">
        <x:v>A4040</x:v>
      </x:c>
      <x:c r="C4046" s="21" t="str">
        <x:v>milestone</x:v>
      </x:c>
      <x:c r="D4046" s="21" t="str">
        <x:v>milestone 64 evidence open</x:v>
      </x:c>
      <x:c r="E4046" s="21" t="n">
        <x:f>IF(Milestones!L64="OPEN",1,0)</x:f>
        <x:v>1</x:v>
      </x:c>
      <x:c r="F4046" s="21" t="n">
        <x:v>1</x:v>
      </x:c>
      <x:c r="G4046" s="23" t="str">
        <x:f>IF(E4046=F4046,"PASS","FAIL")</x:f>
        <x:v>PASS</x:v>
      </x:c>
    </x:row>
    <x:row r="4047">
      <x:c r="B4047" s="21" t="str">
        <x:v>A4041</x:v>
      </x:c>
      <x:c r="C4047" s="21" t="str">
        <x:v>milestone</x:v>
      </x:c>
      <x:c r="D4047" s="21" t="str">
        <x:v>milestone 64 decision held</x:v>
      </x:c>
      <x:c r="E4047" s="21" t="n">
        <x:f>IF(Milestones!M64="HOLD",1,0)</x:f>
        <x:v>1</x:v>
      </x:c>
      <x:c r="F4047" s="21" t="n">
        <x:v>1</x:v>
      </x:c>
      <x:c r="G4047" s="23" t="str">
        <x:f>IF(E4047=F4047,"PASS","FAIL")</x:f>
        <x:v>PASS</x:v>
      </x:c>
    </x:row>
    <x:row r="4048">
      <x:c r="B4048" s="21" t="str">
        <x:v>A4042</x:v>
      </x:c>
      <x:c r="C4048" s="21" t="str">
        <x:v>milestone</x:v>
      </x:c>
      <x:c r="D4048" s="21" t="str">
        <x:v>milestone 65 share positive</x:v>
      </x:c>
      <x:c r="E4048" s="21" t="n">
        <x:f>IF(Milestones!H65&gt;0,1,0)</x:f>
        <x:v>1</x:v>
      </x:c>
      <x:c r="F4048" s="21" t="n">
        <x:v>1</x:v>
      </x:c>
      <x:c r="G4048" s="23" t="str">
        <x:f>IF(E4048=F4048,"PASS","FAIL")</x:f>
        <x:v>PASS</x:v>
      </x:c>
    </x:row>
    <x:row r="4049">
      <x:c r="B4049" s="21" t="str">
        <x:v>A4043</x:v>
      </x:c>
      <x:c r="C4049" s="21" t="str">
        <x:v>milestone</x:v>
      </x:c>
      <x:c r="D4049" s="21" t="str">
        <x:v>milestone 65 year bounded</x:v>
      </x:c>
      <x:c r="E4049" s="21" t="n">
        <x:f>IF(AND(Milestones!I65&gt;=1,Milestones!I65&lt;=9),1,0)</x:f>
        <x:v>1</x:v>
      </x:c>
      <x:c r="F4049" s="21" t="n">
        <x:v>1</x:v>
      </x:c>
      <x:c r="G4049" s="23" t="str">
        <x:f>IF(E4049=F4049,"PASS","FAIL")</x:f>
        <x:v>PASS</x:v>
      </x:c>
    </x:row>
    <x:row r="4050">
      <x:c r="B4050" s="21" t="str">
        <x:v>A4044</x:v>
      </x:c>
      <x:c r="C4050" s="21" t="str">
        <x:v>milestone</x:v>
      </x:c>
      <x:c r="D4050" s="21" t="str">
        <x:v>milestone 65 payment nonnegative</x:v>
      </x:c>
      <x:c r="E4050" s="21" t="n">
        <x:f>IF(Milestones!J65&gt;=0,1,0)</x:f>
        <x:v>1</x:v>
      </x:c>
      <x:c r="F4050" s="21" t="n">
        <x:v>1</x:v>
      </x:c>
      <x:c r="G4050" s="23" t="str">
        <x:f>IF(E4050=F4050,"PASS","FAIL")</x:f>
        <x:v>PASS</x:v>
      </x:c>
    </x:row>
    <x:row r="4051">
      <x:c r="B4051" s="21" t="str">
        <x:v>A4045</x:v>
      </x:c>
      <x:c r="C4051" s="21" t="str">
        <x:v>milestone</x:v>
      </x:c>
      <x:c r="D4051" s="21" t="str">
        <x:v>milestone 65 evidence open</x:v>
      </x:c>
      <x:c r="E4051" s="21" t="n">
        <x:f>IF(Milestones!L65="OPEN",1,0)</x:f>
        <x:v>1</x:v>
      </x:c>
      <x:c r="F4051" s="21" t="n">
        <x:v>1</x:v>
      </x:c>
      <x:c r="G4051" s="23" t="str">
        <x:f>IF(E4051=F4051,"PASS","FAIL")</x:f>
        <x:v>PASS</x:v>
      </x:c>
    </x:row>
    <x:row r="4052">
      <x:c r="B4052" s="21" t="str">
        <x:v>A4046</x:v>
      </x:c>
      <x:c r="C4052" s="21" t="str">
        <x:v>milestone</x:v>
      </x:c>
      <x:c r="D4052" s="21" t="str">
        <x:v>milestone 65 decision held</x:v>
      </x:c>
      <x:c r="E4052" s="21" t="n">
        <x:f>IF(Milestones!M65="HOLD",1,0)</x:f>
        <x:v>1</x:v>
      </x:c>
      <x:c r="F4052" s="21" t="n">
        <x:v>1</x:v>
      </x:c>
      <x:c r="G4052" s="23" t="str">
        <x:f>IF(E4052=F4052,"PASS","FAIL")</x:f>
        <x:v>PASS</x:v>
      </x:c>
    </x:row>
    <x:row r="4053">
      <x:c r="B4053" s="21" t="str">
        <x:v>A4047</x:v>
      </x:c>
      <x:c r="C4053" s="21" t="str">
        <x:v>milestone</x:v>
      </x:c>
      <x:c r="D4053" s="21" t="str">
        <x:v>milestone 66 share positive</x:v>
      </x:c>
      <x:c r="E4053" s="21" t="n">
        <x:f>IF(Milestones!H66&gt;0,1,0)</x:f>
        <x:v>1</x:v>
      </x:c>
      <x:c r="F4053" s="21" t="n">
        <x:v>1</x:v>
      </x:c>
      <x:c r="G4053" s="23" t="str">
        <x:f>IF(E4053=F4053,"PASS","FAIL")</x:f>
        <x:v>PASS</x:v>
      </x:c>
    </x:row>
    <x:row r="4054">
      <x:c r="B4054" s="21" t="str">
        <x:v>A4048</x:v>
      </x:c>
      <x:c r="C4054" s="21" t="str">
        <x:v>milestone</x:v>
      </x:c>
      <x:c r="D4054" s="21" t="str">
        <x:v>milestone 66 year bounded</x:v>
      </x:c>
      <x:c r="E4054" s="21" t="n">
        <x:f>IF(AND(Milestones!I66&gt;=1,Milestones!I66&lt;=9),1,0)</x:f>
        <x:v>1</x:v>
      </x:c>
      <x:c r="F4054" s="21" t="n">
        <x:v>1</x:v>
      </x:c>
      <x:c r="G4054" s="23" t="str">
        <x:f>IF(E4054=F4054,"PASS","FAIL")</x:f>
        <x:v>PASS</x:v>
      </x:c>
    </x:row>
    <x:row r="4055">
      <x:c r="B4055" s="21" t="str">
        <x:v>A4049</x:v>
      </x:c>
      <x:c r="C4055" s="21" t="str">
        <x:v>milestone</x:v>
      </x:c>
      <x:c r="D4055" s="21" t="str">
        <x:v>milestone 66 payment nonnegative</x:v>
      </x:c>
      <x:c r="E4055" s="21" t="n">
        <x:f>IF(Milestones!J66&gt;=0,1,0)</x:f>
        <x:v>1</x:v>
      </x:c>
      <x:c r="F4055" s="21" t="n">
        <x:v>1</x:v>
      </x:c>
      <x:c r="G4055" s="23" t="str">
        <x:f>IF(E4055=F4055,"PASS","FAIL")</x:f>
        <x:v>PASS</x:v>
      </x:c>
    </x:row>
    <x:row r="4056">
      <x:c r="B4056" s="21" t="str">
        <x:v>A4050</x:v>
      </x:c>
      <x:c r="C4056" s="21" t="str">
        <x:v>milestone</x:v>
      </x:c>
      <x:c r="D4056" s="21" t="str">
        <x:v>milestone 66 evidence open</x:v>
      </x:c>
      <x:c r="E4056" s="21" t="n">
        <x:f>IF(Milestones!L66="OPEN",1,0)</x:f>
        <x:v>1</x:v>
      </x:c>
      <x:c r="F4056" s="21" t="n">
        <x:v>1</x:v>
      </x:c>
      <x:c r="G4056" s="23" t="str">
        <x:f>IF(E4056=F4056,"PASS","FAIL")</x:f>
        <x:v>PASS</x:v>
      </x:c>
    </x:row>
    <x:row r="4057">
      <x:c r="B4057" s="21" t="str">
        <x:v>A4051</x:v>
      </x:c>
      <x:c r="C4057" s="21" t="str">
        <x:v>milestone</x:v>
      </x:c>
      <x:c r="D4057" s="21" t="str">
        <x:v>milestone 66 decision held</x:v>
      </x:c>
      <x:c r="E4057" s="21" t="n">
        <x:f>IF(Milestones!M66="HOLD",1,0)</x:f>
        <x:v>1</x:v>
      </x:c>
      <x:c r="F4057" s="21" t="n">
        <x:v>1</x:v>
      </x:c>
      <x:c r="G4057" s="23" t="str">
        <x:f>IF(E4057=F4057,"PASS","FAIL")</x:f>
        <x:v>PASS</x:v>
      </x:c>
    </x:row>
    <x:row r="4058">
      <x:c r="B4058" s="21" t="str">
        <x:v>A4052</x:v>
      </x:c>
      <x:c r="C4058" s="21" t="str">
        <x:v>milestone</x:v>
      </x:c>
      <x:c r="D4058" s="21" t="str">
        <x:v>milestone 67 share positive</x:v>
      </x:c>
      <x:c r="E4058" s="21" t="n">
        <x:f>IF(Milestones!H67&gt;0,1,0)</x:f>
        <x:v>1</x:v>
      </x:c>
      <x:c r="F4058" s="21" t="n">
        <x:v>1</x:v>
      </x:c>
      <x:c r="G4058" s="23" t="str">
        <x:f>IF(E4058=F4058,"PASS","FAIL")</x:f>
        <x:v>PASS</x:v>
      </x:c>
    </x:row>
    <x:row r="4059">
      <x:c r="B4059" s="21" t="str">
        <x:v>A4053</x:v>
      </x:c>
      <x:c r="C4059" s="21" t="str">
        <x:v>milestone</x:v>
      </x:c>
      <x:c r="D4059" s="21" t="str">
        <x:v>milestone 67 year bounded</x:v>
      </x:c>
      <x:c r="E4059" s="21" t="n">
        <x:f>IF(AND(Milestones!I67&gt;=1,Milestones!I67&lt;=9),1,0)</x:f>
        <x:v>1</x:v>
      </x:c>
      <x:c r="F4059" s="21" t="n">
        <x:v>1</x:v>
      </x:c>
      <x:c r="G4059" s="23" t="str">
        <x:f>IF(E4059=F4059,"PASS","FAIL")</x:f>
        <x:v>PASS</x:v>
      </x:c>
    </x:row>
    <x:row r="4060">
      <x:c r="B4060" s="21" t="str">
        <x:v>A4054</x:v>
      </x:c>
      <x:c r="C4060" s="21" t="str">
        <x:v>milestone</x:v>
      </x:c>
      <x:c r="D4060" s="21" t="str">
        <x:v>milestone 67 payment nonnegative</x:v>
      </x:c>
      <x:c r="E4060" s="21" t="n">
        <x:f>IF(Milestones!J67&gt;=0,1,0)</x:f>
        <x:v>1</x:v>
      </x:c>
      <x:c r="F4060" s="21" t="n">
        <x:v>1</x:v>
      </x:c>
      <x:c r="G4060" s="23" t="str">
        <x:f>IF(E4060=F4060,"PASS","FAIL")</x:f>
        <x:v>PASS</x:v>
      </x:c>
    </x:row>
    <x:row r="4061">
      <x:c r="B4061" s="21" t="str">
        <x:v>A4055</x:v>
      </x:c>
      <x:c r="C4061" s="21" t="str">
        <x:v>milestone</x:v>
      </x:c>
      <x:c r="D4061" s="21" t="str">
        <x:v>milestone 67 evidence open</x:v>
      </x:c>
      <x:c r="E4061" s="21" t="n">
        <x:f>IF(Milestones!L67="OPEN",1,0)</x:f>
        <x:v>1</x:v>
      </x:c>
      <x:c r="F4061" s="21" t="n">
        <x:v>1</x:v>
      </x:c>
      <x:c r="G4061" s="23" t="str">
        <x:f>IF(E4061=F4061,"PASS","FAIL")</x:f>
        <x:v>PASS</x:v>
      </x:c>
    </x:row>
    <x:row r="4062">
      <x:c r="B4062" s="21" t="str">
        <x:v>A4056</x:v>
      </x:c>
      <x:c r="C4062" s="21" t="str">
        <x:v>milestone</x:v>
      </x:c>
      <x:c r="D4062" s="21" t="str">
        <x:v>milestone 67 decision held</x:v>
      </x:c>
      <x:c r="E4062" s="21" t="n">
        <x:f>IF(Milestones!M67="HOLD",1,0)</x:f>
        <x:v>1</x:v>
      </x:c>
      <x:c r="F4062" s="21" t="n">
        <x:v>1</x:v>
      </x:c>
      <x:c r="G4062" s="23" t="str">
        <x:f>IF(E4062=F4062,"PASS","FAIL")</x:f>
        <x:v>PASS</x:v>
      </x:c>
    </x:row>
    <x:row r="4063">
      <x:c r="B4063" s="21" t="str">
        <x:v>A4057</x:v>
      </x:c>
      <x:c r="C4063" s="21" t="str">
        <x:v>milestone</x:v>
      </x:c>
      <x:c r="D4063" s="21" t="str">
        <x:v>milestone 68 share positive</x:v>
      </x:c>
      <x:c r="E4063" s="21" t="n">
        <x:f>IF(Milestones!H68&gt;0,1,0)</x:f>
        <x:v>1</x:v>
      </x:c>
      <x:c r="F4063" s="21" t="n">
        <x:v>1</x:v>
      </x:c>
      <x:c r="G4063" s="23" t="str">
        <x:f>IF(E4063=F4063,"PASS","FAIL")</x:f>
        <x:v>PASS</x:v>
      </x:c>
    </x:row>
    <x:row r="4064">
      <x:c r="B4064" s="21" t="str">
        <x:v>A4058</x:v>
      </x:c>
      <x:c r="C4064" s="21" t="str">
        <x:v>milestone</x:v>
      </x:c>
      <x:c r="D4064" s="21" t="str">
        <x:v>milestone 68 year bounded</x:v>
      </x:c>
      <x:c r="E4064" s="21" t="n">
        <x:f>IF(AND(Milestones!I68&gt;=1,Milestones!I68&lt;=9),1,0)</x:f>
        <x:v>1</x:v>
      </x:c>
      <x:c r="F4064" s="21" t="n">
        <x:v>1</x:v>
      </x:c>
      <x:c r="G4064" s="23" t="str">
        <x:f>IF(E4064=F4064,"PASS","FAIL")</x:f>
        <x:v>PASS</x:v>
      </x:c>
    </x:row>
    <x:row r="4065">
      <x:c r="B4065" s="21" t="str">
        <x:v>A4059</x:v>
      </x:c>
      <x:c r="C4065" s="21" t="str">
        <x:v>milestone</x:v>
      </x:c>
      <x:c r="D4065" s="21" t="str">
        <x:v>milestone 68 payment nonnegative</x:v>
      </x:c>
      <x:c r="E4065" s="21" t="n">
        <x:f>IF(Milestones!J68&gt;=0,1,0)</x:f>
        <x:v>1</x:v>
      </x:c>
      <x:c r="F4065" s="21" t="n">
        <x:v>1</x:v>
      </x:c>
      <x:c r="G4065" s="23" t="str">
        <x:f>IF(E4065=F4065,"PASS","FAIL")</x:f>
        <x:v>PASS</x:v>
      </x:c>
    </x:row>
    <x:row r="4066">
      <x:c r="B4066" s="21" t="str">
        <x:v>A4060</x:v>
      </x:c>
      <x:c r="C4066" s="21" t="str">
        <x:v>milestone</x:v>
      </x:c>
      <x:c r="D4066" s="21" t="str">
        <x:v>milestone 68 evidence open</x:v>
      </x:c>
      <x:c r="E4066" s="21" t="n">
        <x:f>IF(Milestones!L68="OPEN",1,0)</x:f>
        <x:v>1</x:v>
      </x:c>
      <x:c r="F4066" s="21" t="n">
        <x:v>1</x:v>
      </x:c>
      <x:c r="G4066" s="23" t="str">
        <x:f>IF(E4066=F4066,"PASS","FAIL")</x:f>
        <x:v>PASS</x:v>
      </x:c>
    </x:row>
    <x:row r="4067">
      <x:c r="B4067" s="21" t="str">
        <x:v>A4061</x:v>
      </x:c>
      <x:c r="C4067" s="21" t="str">
        <x:v>milestone</x:v>
      </x:c>
      <x:c r="D4067" s="21" t="str">
        <x:v>milestone 68 decision held</x:v>
      </x:c>
      <x:c r="E4067" s="21" t="n">
        <x:f>IF(Milestones!M68="HOLD",1,0)</x:f>
        <x:v>1</x:v>
      </x:c>
      <x:c r="F4067" s="21" t="n">
        <x:v>1</x:v>
      </x:c>
      <x:c r="G4067" s="23" t="str">
        <x:f>IF(E4067=F4067,"PASS","FAIL")</x:f>
        <x:v>PASS</x:v>
      </x:c>
    </x:row>
    <x:row r="4068">
      <x:c r="B4068" s="21" t="str">
        <x:v>A4062</x:v>
      </x:c>
      <x:c r="C4068" s="21" t="str">
        <x:v>milestone</x:v>
      </x:c>
      <x:c r="D4068" s="21" t="str">
        <x:v>milestone 69 share positive</x:v>
      </x:c>
      <x:c r="E4068" s="21" t="n">
        <x:f>IF(Milestones!H69&gt;0,1,0)</x:f>
        <x:v>1</x:v>
      </x:c>
      <x:c r="F4068" s="21" t="n">
        <x:v>1</x:v>
      </x:c>
      <x:c r="G4068" s="23" t="str">
        <x:f>IF(E4068=F4068,"PASS","FAIL")</x:f>
        <x:v>PASS</x:v>
      </x:c>
    </x:row>
    <x:row r="4069">
      <x:c r="B4069" s="21" t="str">
        <x:v>A4063</x:v>
      </x:c>
      <x:c r="C4069" s="21" t="str">
        <x:v>milestone</x:v>
      </x:c>
      <x:c r="D4069" s="21" t="str">
        <x:v>milestone 69 year bounded</x:v>
      </x:c>
      <x:c r="E4069" s="21" t="n">
        <x:f>IF(AND(Milestones!I69&gt;=1,Milestones!I69&lt;=9),1,0)</x:f>
        <x:v>1</x:v>
      </x:c>
      <x:c r="F4069" s="21" t="n">
        <x:v>1</x:v>
      </x:c>
      <x:c r="G4069" s="23" t="str">
        <x:f>IF(E4069=F4069,"PASS","FAIL")</x:f>
        <x:v>PASS</x:v>
      </x:c>
    </x:row>
    <x:row r="4070">
      <x:c r="B4070" s="21" t="str">
        <x:v>A4064</x:v>
      </x:c>
      <x:c r="C4070" s="21" t="str">
        <x:v>milestone</x:v>
      </x:c>
      <x:c r="D4070" s="21" t="str">
        <x:v>milestone 69 payment nonnegative</x:v>
      </x:c>
      <x:c r="E4070" s="21" t="n">
        <x:f>IF(Milestones!J69&gt;=0,1,0)</x:f>
        <x:v>1</x:v>
      </x:c>
      <x:c r="F4070" s="21" t="n">
        <x:v>1</x:v>
      </x:c>
      <x:c r="G4070" s="23" t="str">
        <x:f>IF(E4070=F4070,"PASS","FAIL")</x:f>
        <x:v>PASS</x:v>
      </x:c>
    </x:row>
    <x:row r="4071">
      <x:c r="B4071" s="21" t="str">
        <x:v>A4065</x:v>
      </x:c>
      <x:c r="C4071" s="21" t="str">
        <x:v>milestone</x:v>
      </x:c>
      <x:c r="D4071" s="21" t="str">
        <x:v>milestone 69 evidence open</x:v>
      </x:c>
      <x:c r="E4071" s="21" t="n">
        <x:f>IF(Milestones!L69="OPEN",1,0)</x:f>
        <x:v>1</x:v>
      </x:c>
      <x:c r="F4071" s="21" t="n">
        <x:v>1</x:v>
      </x:c>
      <x:c r="G4071" s="23" t="str">
        <x:f>IF(E4071=F4071,"PASS","FAIL")</x:f>
        <x:v>PASS</x:v>
      </x:c>
    </x:row>
    <x:row r="4072">
      <x:c r="B4072" s="21" t="str">
        <x:v>A4066</x:v>
      </x:c>
      <x:c r="C4072" s="21" t="str">
        <x:v>milestone</x:v>
      </x:c>
      <x:c r="D4072" s="21" t="str">
        <x:v>milestone 69 decision held</x:v>
      </x:c>
      <x:c r="E4072" s="21" t="n">
        <x:f>IF(Milestones!M69="HOLD",1,0)</x:f>
        <x:v>1</x:v>
      </x:c>
      <x:c r="F4072" s="21" t="n">
        <x:v>1</x:v>
      </x:c>
      <x:c r="G4072" s="23" t="str">
        <x:f>IF(E4072=F4072,"PASS","FAIL")</x:f>
        <x:v>PASS</x:v>
      </x:c>
    </x:row>
    <x:row r="4073">
      <x:c r="B4073" s="21" t="str">
        <x:v>A4067</x:v>
      </x:c>
      <x:c r="C4073" s="21" t="str">
        <x:v>milestone</x:v>
      </x:c>
      <x:c r="D4073" s="21" t="str">
        <x:v>milestone 70 share positive</x:v>
      </x:c>
      <x:c r="E4073" s="21" t="n">
        <x:f>IF(Milestones!H70&gt;0,1,0)</x:f>
        <x:v>1</x:v>
      </x:c>
      <x:c r="F4073" s="21" t="n">
        <x:v>1</x:v>
      </x:c>
      <x:c r="G4073" s="23" t="str">
        <x:f>IF(E4073=F4073,"PASS","FAIL")</x:f>
        <x:v>PASS</x:v>
      </x:c>
    </x:row>
    <x:row r="4074">
      <x:c r="B4074" s="21" t="str">
        <x:v>A4068</x:v>
      </x:c>
      <x:c r="C4074" s="21" t="str">
        <x:v>milestone</x:v>
      </x:c>
      <x:c r="D4074" s="21" t="str">
        <x:v>milestone 70 year bounded</x:v>
      </x:c>
      <x:c r="E4074" s="21" t="n">
        <x:f>IF(AND(Milestones!I70&gt;=1,Milestones!I70&lt;=9),1,0)</x:f>
        <x:v>1</x:v>
      </x:c>
      <x:c r="F4074" s="21" t="n">
        <x:v>1</x:v>
      </x:c>
      <x:c r="G4074" s="23" t="str">
        <x:f>IF(E4074=F4074,"PASS","FAIL")</x:f>
        <x:v>PASS</x:v>
      </x:c>
    </x:row>
    <x:row r="4075">
      <x:c r="B4075" s="21" t="str">
        <x:v>A4069</x:v>
      </x:c>
      <x:c r="C4075" s="21" t="str">
        <x:v>milestone</x:v>
      </x:c>
      <x:c r="D4075" s="21" t="str">
        <x:v>milestone 70 payment nonnegative</x:v>
      </x:c>
      <x:c r="E4075" s="21" t="n">
        <x:f>IF(Milestones!J70&gt;=0,1,0)</x:f>
        <x:v>1</x:v>
      </x:c>
      <x:c r="F4075" s="21" t="n">
        <x:v>1</x:v>
      </x:c>
      <x:c r="G4075" s="23" t="str">
        <x:f>IF(E4075=F4075,"PASS","FAIL")</x:f>
        <x:v>PASS</x:v>
      </x:c>
    </x:row>
    <x:row r="4076">
      <x:c r="B4076" s="21" t="str">
        <x:v>A4070</x:v>
      </x:c>
      <x:c r="C4076" s="21" t="str">
        <x:v>milestone</x:v>
      </x:c>
      <x:c r="D4076" s="21" t="str">
        <x:v>milestone 70 evidence open</x:v>
      </x:c>
      <x:c r="E4076" s="21" t="n">
        <x:f>IF(Milestones!L70="OPEN",1,0)</x:f>
        <x:v>1</x:v>
      </x:c>
      <x:c r="F4076" s="21" t="n">
        <x:v>1</x:v>
      </x:c>
      <x:c r="G4076" s="23" t="str">
        <x:f>IF(E4076=F4076,"PASS","FAIL")</x:f>
        <x:v>PASS</x:v>
      </x:c>
    </x:row>
    <x:row r="4077">
      <x:c r="B4077" s="21" t="str">
        <x:v>A4071</x:v>
      </x:c>
      <x:c r="C4077" s="21" t="str">
        <x:v>milestone</x:v>
      </x:c>
      <x:c r="D4077" s="21" t="str">
        <x:v>milestone 70 decision held</x:v>
      </x:c>
      <x:c r="E4077" s="21" t="n">
        <x:f>IF(Milestones!M70="HOLD",1,0)</x:f>
        <x:v>1</x:v>
      </x:c>
      <x:c r="F4077" s="21" t="n">
        <x:v>1</x:v>
      </x:c>
      <x:c r="G4077" s="23" t="str">
        <x:f>IF(E4077=F4077,"PASS","FAIL")</x:f>
        <x:v>PASS</x:v>
      </x:c>
    </x:row>
    <x:row r="4078">
      <x:c r="B4078" s="21" t="str">
        <x:v>A4072</x:v>
      </x:c>
      <x:c r="C4078" s="21" t="str">
        <x:v>milestone</x:v>
      </x:c>
      <x:c r="D4078" s="21" t="str">
        <x:v>milestone 71 share positive</x:v>
      </x:c>
      <x:c r="E4078" s="21" t="n">
        <x:f>IF(Milestones!H71&gt;0,1,0)</x:f>
        <x:v>1</x:v>
      </x:c>
      <x:c r="F4078" s="21" t="n">
        <x:v>1</x:v>
      </x:c>
      <x:c r="G4078" s="23" t="str">
        <x:f>IF(E4078=F4078,"PASS","FAIL")</x:f>
        <x:v>PASS</x:v>
      </x:c>
    </x:row>
    <x:row r="4079">
      <x:c r="B4079" s="21" t="str">
        <x:v>A4073</x:v>
      </x:c>
      <x:c r="C4079" s="21" t="str">
        <x:v>milestone</x:v>
      </x:c>
      <x:c r="D4079" s="21" t="str">
        <x:v>milestone 71 year bounded</x:v>
      </x:c>
      <x:c r="E4079" s="21" t="n">
        <x:f>IF(AND(Milestones!I71&gt;=1,Milestones!I71&lt;=9),1,0)</x:f>
        <x:v>1</x:v>
      </x:c>
      <x:c r="F4079" s="21" t="n">
        <x:v>1</x:v>
      </x:c>
      <x:c r="G4079" s="23" t="str">
        <x:f>IF(E4079=F4079,"PASS","FAIL")</x:f>
        <x:v>PASS</x:v>
      </x:c>
    </x:row>
    <x:row r="4080">
      <x:c r="B4080" s="21" t="str">
        <x:v>A4074</x:v>
      </x:c>
      <x:c r="C4080" s="21" t="str">
        <x:v>milestone</x:v>
      </x:c>
      <x:c r="D4080" s="21" t="str">
        <x:v>milestone 71 payment nonnegative</x:v>
      </x:c>
      <x:c r="E4080" s="21" t="n">
        <x:f>IF(Milestones!J71&gt;=0,1,0)</x:f>
        <x:v>1</x:v>
      </x:c>
      <x:c r="F4080" s="21" t="n">
        <x:v>1</x:v>
      </x:c>
      <x:c r="G4080" s="23" t="str">
        <x:f>IF(E4080=F4080,"PASS","FAIL")</x:f>
        <x:v>PASS</x:v>
      </x:c>
    </x:row>
    <x:row r="4081">
      <x:c r="B4081" s="21" t="str">
        <x:v>A4075</x:v>
      </x:c>
      <x:c r="C4081" s="21" t="str">
        <x:v>milestone</x:v>
      </x:c>
      <x:c r="D4081" s="21" t="str">
        <x:v>milestone 71 evidence open</x:v>
      </x:c>
      <x:c r="E4081" s="21" t="n">
        <x:f>IF(Milestones!L71="OPEN",1,0)</x:f>
        <x:v>1</x:v>
      </x:c>
      <x:c r="F4081" s="21" t="n">
        <x:v>1</x:v>
      </x:c>
      <x:c r="G4081" s="23" t="str">
        <x:f>IF(E4081=F4081,"PASS","FAIL")</x:f>
        <x:v>PASS</x:v>
      </x:c>
    </x:row>
    <x:row r="4082">
      <x:c r="B4082" s="21" t="str">
        <x:v>A4076</x:v>
      </x:c>
      <x:c r="C4082" s="21" t="str">
        <x:v>milestone</x:v>
      </x:c>
      <x:c r="D4082" s="21" t="str">
        <x:v>milestone 71 decision held</x:v>
      </x:c>
      <x:c r="E4082" s="21" t="n">
        <x:f>IF(Milestones!M71="HOLD",1,0)</x:f>
        <x:v>1</x:v>
      </x:c>
      <x:c r="F4082" s="21" t="n">
        <x:v>1</x:v>
      </x:c>
      <x:c r="G4082" s="23" t="str">
        <x:f>IF(E4082=F4082,"PASS","FAIL")</x:f>
        <x:v>PASS</x:v>
      </x:c>
    </x:row>
    <x:row r="4083">
      <x:c r="B4083" s="21" t="str">
        <x:v>A4077</x:v>
      </x:c>
      <x:c r="C4083" s="21" t="str">
        <x:v>milestone</x:v>
      </x:c>
      <x:c r="D4083" s="21" t="str">
        <x:v>milestone 72 share positive</x:v>
      </x:c>
      <x:c r="E4083" s="21" t="n">
        <x:f>IF(Milestones!H72&gt;0,1,0)</x:f>
        <x:v>1</x:v>
      </x:c>
      <x:c r="F4083" s="21" t="n">
        <x:v>1</x:v>
      </x:c>
      <x:c r="G4083" s="23" t="str">
        <x:f>IF(E4083=F4083,"PASS","FAIL")</x:f>
        <x:v>PASS</x:v>
      </x:c>
    </x:row>
    <x:row r="4084">
      <x:c r="B4084" s="21" t="str">
        <x:v>A4078</x:v>
      </x:c>
      <x:c r="C4084" s="21" t="str">
        <x:v>milestone</x:v>
      </x:c>
      <x:c r="D4084" s="21" t="str">
        <x:v>milestone 72 year bounded</x:v>
      </x:c>
      <x:c r="E4084" s="21" t="n">
        <x:f>IF(AND(Milestones!I72&gt;=1,Milestones!I72&lt;=9),1,0)</x:f>
        <x:v>1</x:v>
      </x:c>
      <x:c r="F4084" s="21" t="n">
        <x:v>1</x:v>
      </x:c>
      <x:c r="G4084" s="23" t="str">
        <x:f>IF(E4084=F4084,"PASS","FAIL")</x:f>
        <x:v>PASS</x:v>
      </x:c>
    </x:row>
    <x:row r="4085">
      <x:c r="B4085" s="21" t="str">
        <x:v>A4079</x:v>
      </x:c>
      <x:c r="C4085" s="21" t="str">
        <x:v>milestone</x:v>
      </x:c>
      <x:c r="D4085" s="21" t="str">
        <x:v>milestone 72 payment nonnegative</x:v>
      </x:c>
      <x:c r="E4085" s="21" t="n">
        <x:f>IF(Milestones!J72&gt;=0,1,0)</x:f>
        <x:v>1</x:v>
      </x:c>
      <x:c r="F4085" s="21" t="n">
        <x:v>1</x:v>
      </x:c>
      <x:c r="G4085" s="23" t="str">
        <x:f>IF(E4085=F4085,"PASS","FAIL")</x:f>
        <x:v>PASS</x:v>
      </x:c>
    </x:row>
    <x:row r="4086">
      <x:c r="B4086" s="21" t="str">
        <x:v>A4080</x:v>
      </x:c>
      <x:c r="C4086" s="21" t="str">
        <x:v>milestone</x:v>
      </x:c>
      <x:c r="D4086" s="21" t="str">
        <x:v>milestone 72 evidence open</x:v>
      </x:c>
      <x:c r="E4086" s="21" t="n">
        <x:f>IF(Milestones!L72="OPEN",1,0)</x:f>
        <x:v>1</x:v>
      </x:c>
      <x:c r="F4086" s="21" t="n">
        <x:v>1</x:v>
      </x:c>
      <x:c r="G4086" s="23" t="str">
        <x:f>IF(E4086=F4086,"PASS","FAIL")</x:f>
        <x:v>PASS</x:v>
      </x:c>
    </x:row>
    <x:row r="4087">
      <x:c r="B4087" s="21" t="str">
        <x:v>A4081</x:v>
      </x:c>
      <x:c r="C4087" s="21" t="str">
        <x:v>milestone</x:v>
      </x:c>
      <x:c r="D4087" s="21" t="str">
        <x:v>milestone 72 decision held</x:v>
      </x:c>
      <x:c r="E4087" s="21" t="n">
        <x:f>IF(Milestones!M72="HOLD",1,0)</x:f>
        <x:v>1</x:v>
      </x:c>
      <x:c r="F4087" s="21" t="n">
        <x:v>1</x:v>
      </x:c>
      <x:c r="G4087" s="23" t="str">
        <x:f>IF(E4087=F4087,"PASS","FAIL")</x:f>
        <x:v>PASS</x:v>
      </x:c>
    </x:row>
    <x:row r="4088">
      <x:c r="B4088" s="21" t="str">
        <x:v>A4082</x:v>
      </x:c>
      <x:c r="C4088" s="21" t="str">
        <x:v>milestone</x:v>
      </x:c>
      <x:c r="D4088" s="21" t="str">
        <x:v>milestone 73 share positive</x:v>
      </x:c>
      <x:c r="E4088" s="21" t="n">
        <x:f>IF(Milestones!H73&gt;0,1,0)</x:f>
        <x:v>1</x:v>
      </x:c>
      <x:c r="F4088" s="21" t="n">
        <x:v>1</x:v>
      </x:c>
      <x:c r="G4088" s="23" t="str">
        <x:f>IF(E4088=F4088,"PASS","FAIL")</x:f>
        <x:v>PASS</x:v>
      </x:c>
    </x:row>
    <x:row r="4089">
      <x:c r="B4089" s="21" t="str">
        <x:v>A4083</x:v>
      </x:c>
      <x:c r="C4089" s="21" t="str">
        <x:v>milestone</x:v>
      </x:c>
      <x:c r="D4089" s="21" t="str">
        <x:v>milestone 73 year bounded</x:v>
      </x:c>
      <x:c r="E4089" s="21" t="n">
        <x:f>IF(AND(Milestones!I73&gt;=1,Milestones!I73&lt;=9),1,0)</x:f>
        <x:v>1</x:v>
      </x:c>
      <x:c r="F4089" s="21" t="n">
        <x:v>1</x:v>
      </x:c>
      <x:c r="G4089" s="23" t="str">
        <x:f>IF(E4089=F4089,"PASS","FAIL")</x:f>
        <x:v>PASS</x:v>
      </x:c>
    </x:row>
    <x:row r="4090">
      <x:c r="B4090" s="21" t="str">
        <x:v>A4084</x:v>
      </x:c>
      <x:c r="C4090" s="21" t="str">
        <x:v>milestone</x:v>
      </x:c>
      <x:c r="D4090" s="21" t="str">
        <x:v>milestone 73 payment nonnegative</x:v>
      </x:c>
      <x:c r="E4090" s="21" t="n">
        <x:f>IF(Milestones!J73&gt;=0,1,0)</x:f>
        <x:v>1</x:v>
      </x:c>
      <x:c r="F4090" s="21" t="n">
        <x:v>1</x:v>
      </x:c>
      <x:c r="G4090" s="23" t="str">
        <x:f>IF(E4090=F4090,"PASS","FAIL")</x:f>
        <x:v>PASS</x:v>
      </x:c>
    </x:row>
    <x:row r="4091">
      <x:c r="B4091" s="21" t="str">
        <x:v>A4085</x:v>
      </x:c>
      <x:c r="C4091" s="21" t="str">
        <x:v>milestone</x:v>
      </x:c>
      <x:c r="D4091" s="21" t="str">
        <x:v>milestone 73 evidence open</x:v>
      </x:c>
      <x:c r="E4091" s="21" t="n">
        <x:f>IF(Milestones!L73="OPEN",1,0)</x:f>
        <x:v>1</x:v>
      </x:c>
      <x:c r="F4091" s="21" t="n">
        <x:v>1</x:v>
      </x:c>
      <x:c r="G4091" s="23" t="str">
        <x:f>IF(E4091=F4091,"PASS","FAIL")</x:f>
        <x:v>PASS</x:v>
      </x:c>
    </x:row>
    <x:row r="4092">
      <x:c r="B4092" s="21" t="str">
        <x:v>A4086</x:v>
      </x:c>
      <x:c r="C4092" s="21" t="str">
        <x:v>milestone</x:v>
      </x:c>
      <x:c r="D4092" s="21" t="str">
        <x:v>milestone 73 decision held</x:v>
      </x:c>
      <x:c r="E4092" s="21" t="n">
        <x:f>IF(Milestones!M73="HOLD",1,0)</x:f>
        <x:v>1</x:v>
      </x:c>
      <x:c r="F4092" s="21" t="n">
        <x:v>1</x:v>
      </x:c>
      <x:c r="G4092" s="23" t="str">
        <x:f>IF(E4092=F4092,"PASS","FAIL")</x:f>
        <x:v>PASS</x:v>
      </x:c>
    </x:row>
    <x:row r="4093">
      <x:c r="B4093" s="21" t="str">
        <x:v>A4087</x:v>
      </x:c>
      <x:c r="C4093" s="21" t="str">
        <x:v>milestone</x:v>
      </x:c>
      <x:c r="D4093" s="21" t="str">
        <x:v>milestone 74 share positive</x:v>
      </x:c>
      <x:c r="E4093" s="21" t="n">
        <x:f>IF(Milestones!H74&gt;0,1,0)</x:f>
        <x:v>1</x:v>
      </x:c>
      <x:c r="F4093" s="21" t="n">
        <x:v>1</x:v>
      </x:c>
      <x:c r="G4093" s="23" t="str">
        <x:f>IF(E4093=F4093,"PASS","FAIL")</x:f>
        <x:v>PASS</x:v>
      </x:c>
    </x:row>
    <x:row r="4094">
      <x:c r="B4094" s="21" t="str">
        <x:v>A4088</x:v>
      </x:c>
      <x:c r="C4094" s="21" t="str">
        <x:v>milestone</x:v>
      </x:c>
      <x:c r="D4094" s="21" t="str">
        <x:v>milestone 74 year bounded</x:v>
      </x:c>
      <x:c r="E4094" s="21" t="n">
        <x:f>IF(AND(Milestones!I74&gt;=1,Milestones!I74&lt;=9),1,0)</x:f>
        <x:v>1</x:v>
      </x:c>
      <x:c r="F4094" s="21" t="n">
        <x:v>1</x:v>
      </x:c>
      <x:c r="G4094" s="23" t="str">
        <x:f>IF(E4094=F4094,"PASS","FAIL")</x:f>
        <x:v>PASS</x:v>
      </x:c>
    </x:row>
    <x:row r="4095">
      <x:c r="B4095" s="21" t="str">
        <x:v>A4089</x:v>
      </x:c>
      <x:c r="C4095" s="21" t="str">
        <x:v>milestone</x:v>
      </x:c>
      <x:c r="D4095" s="21" t="str">
        <x:v>milestone 74 payment nonnegative</x:v>
      </x:c>
      <x:c r="E4095" s="21" t="n">
        <x:f>IF(Milestones!J74&gt;=0,1,0)</x:f>
        <x:v>1</x:v>
      </x:c>
      <x:c r="F4095" s="21" t="n">
        <x:v>1</x:v>
      </x:c>
      <x:c r="G4095" s="23" t="str">
        <x:f>IF(E4095=F4095,"PASS","FAIL")</x:f>
        <x:v>PASS</x:v>
      </x:c>
    </x:row>
    <x:row r="4096">
      <x:c r="B4096" s="21" t="str">
        <x:v>A4090</x:v>
      </x:c>
      <x:c r="C4096" s="21" t="str">
        <x:v>milestone</x:v>
      </x:c>
      <x:c r="D4096" s="21" t="str">
        <x:v>milestone 74 evidence open</x:v>
      </x:c>
      <x:c r="E4096" s="21" t="n">
        <x:f>IF(Milestones!L74="OPEN",1,0)</x:f>
        <x:v>1</x:v>
      </x:c>
      <x:c r="F4096" s="21" t="n">
        <x:v>1</x:v>
      </x:c>
      <x:c r="G4096" s="23" t="str">
        <x:f>IF(E4096=F4096,"PASS","FAIL")</x:f>
        <x:v>PASS</x:v>
      </x:c>
    </x:row>
    <x:row r="4097">
      <x:c r="B4097" s="21" t="str">
        <x:v>A4091</x:v>
      </x:c>
      <x:c r="C4097" s="21" t="str">
        <x:v>milestone</x:v>
      </x:c>
      <x:c r="D4097" s="21" t="str">
        <x:v>milestone 74 decision held</x:v>
      </x:c>
      <x:c r="E4097" s="21" t="n">
        <x:f>IF(Milestones!M74="HOLD",1,0)</x:f>
        <x:v>1</x:v>
      </x:c>
      <x:c r="F4097" s="21" t="n">
        <x:v>1</x:v>
      </x:c>
      <x:c r="G4097" s="23" t="str">
        <x:f>IF(E4097=F4097,"PASS","FAIL")</x:f>
        <x:v>PASS</x:v>
      </x:c>
    </x:row>
    <x:row r="4098">
      <x:c r="B4098" s="21" t="str">
        <x:v>A4092</x:v>
      </x:c>
      <x:c r="C4098" s="21" t="str">
        <x:v>milestone</x:v>
      </x:c>
      <x:c r="D4098" s="21" t="str">
        <x:v>milestone 75 share positive</x:v>
      </x:c>
      <x:c r="E4098" s="21" t="n">
        <x:f>IF(Milestones!H75&gt;0,1,0)</x:f>
        <x:v>1</x:v>
      </x:c>
      <x:c r="F4098" s="21" t="n">
        <x:v>1</x:v>
      </x:c>
      <x:c r="G4098" s="23" t="str">
        <x:f>IF(E4098=F4098,"PASS","FAIL")</x:f>
        <x:v>PASS</x:v>
      </x:c>
    </x:row>
    <x:row r="4099">
      <x:c r="B4099" s="21" t="str">
        <x:v>A4093</x:v>
      </x:c>
      <x:c r="C4099" s="21" t="str">
        <x:v>milestone</x:v>
      </x:c>
      <x:c r="D4099" s="21" t="str">
        <x:v>milestone 75 year bounded</x:v>
      </x:c>
      <x:c r="E4099" s="21" t="n">
        <x:f>IF(AND(Milestones!I75&gt;=1,Milestones!I75&lt;=9),1,0)</x:f>
        <x:v>1</x:v>
      </x:c>
      <x:c r="F4099" s="21" t="n">
        <x:v>1</x:v>
      </x:c>
      <x:c r="G4099" s="23" t="str">
        <x:f>IF(E4099=F4099,"PASS","FAIL")</x:f>
        <x:v>PASS</x:v>
      </x:c>
    </x:row>
    <x:row r="4100">
      <x:c r="B4100" s="21" t="str">
        <x:v>A4094</x:v>
      </x:c>
      <x:c r="C4100" s="21" t="str">
        <x:v>milestone</x:v>
      </x:c>
      <x:c r="D4100" s="21" t="str">
        <x:v>milestone 75 payment nonnegative</x:v>
      </x:c>
      <x:c r="E4100" s="21" t="n">
        <x:f>IF(Milestones!J75&gt;=0,1,0)</x:f>
        <x:v>1</x:v>
      </x:c>
      <x:c r="F4100" s="21" t="n">
        <x:v>1</x:v>
      </x:c>
      <x:c r="G4100" s="23" t="str">
        <x:f>IF(E4100=F4100,"PASS","FAIL")</x:f>
        <x:v>PASS</x:v>
      </x:c>
    </x:row>
    <x:row r="4101">
      <x:c r="B4101" s="21" t="str">
        <x:v>A4095</x:v>
      </x:c>
      <x:c r="C4101" s="21" t="str">
        <x:v>milestone</x:v>
      </x:c>
      <x:c r="D4101" s="21" t="str">
        <x:v>milestone 75 evidence open</x:v>
      </x:c>
      <x:c r="E4101" s="21" t="n">
        <x:f>IF(Milestones!L75="OPEN",1,0)</x:f>
        <x:v>1</x:v>
      </x:c>
      <x:c r="F4101" s="21" t="n">
        <x:v>1</x:v>
      </x:c>
      <x:c r="G4101" s="23" t="str">
        <x:f>IF(E4101=F4101,"PASS","FAIL")</x:f>
        <x:v>PASS</x:v>
      </x:c>
    </x:row>
    <x:row r="4102">
      <x:c r="B4102" s="21" t="str">
        <x:v>A4096</x:v>
      </x:c>
      <x:c r="C4102" s="21" t="str">
        <x:v>milestone</x:v>
      </x:c>
      <x:c r="D4102" s="21" t="str">
        <x:v>milestone 75 decision held</x:v>
      </x:c>
      <x:c r="E4102" s="21" t="n">
        <x:f>IF(Milestones!M75="HOLD",1,0)</x:f>
        <x:v>1</x:v>
      </x:c>
      <x:c r="F4102" s="21" t="n">
        <x:v>1</x:v>
      </x:c>
      <x:c r="G4102" s="23" t="str">
        <x:f>IF(E4102=F4102,"PASS","FAIL")</x:f>
        <x:v>PASS</x:v>
      </x:c>
    </x:row>
    <x:row r="4103">
      <x:c r="B4103" s="21" t="str">
        <x:v>A4097</x:v>
      </x:c>
      <x:c r="C4103" s="21" t="str">
        <x:v>milestone</x:v>
      </x:c>
      <x:c r="D4103" s="21" t="str">
        <x:v>milestone 76 share positive</x:v>
      </x:c>
      <x:c r="E4103" s="21" t="n">
        <x:f>IF(Milestones!H76&gt;0,1,0)</x:f>
        <x:v>1</x:v>
      </x:c>
      <x:c r="F4103" s="21" t="n">
        <x:v>1</x:v>
      </x:c>
      <x:c r="G4103" s="23" t="str">
        <x:f>IF(E4103=F4103,"PASS","FAIL")</x:f>
        <x:v>PASS</x:v>
      </x:c>
    </x:row>
    <x:row r="4104">
      <x:c r="B4104" s="21" t="str">
        <x:v>A4098</x:v>
      </x:c>
      <x:c r="C4104" s="21" t="str">
        <x:v>milestone</x:v>
      </x:c>
      <x:c r="D4104" s="21" t="str">
        <x:v>milestone 76 year bounded</x:v>
      </x:c>
      <x:c r="E4104" s="21" t="n">
        <x:f>IF(AND(Milestones!I76&gt;=1,Milestones!I76&lt;=9),1,0)</x:f>
        <x:v>1</x:v>
      </x:c>
      <x:c r="F4104" s="21" t="n">
        <x:v>1</x:v>
      </x:c>
      <x:c r="G4104" s="23" t="str">
        <x:f>IF(E4104=F4104,"PASS","FAIL")</x:f>
        <x:v>PASS</x:v>
      </x:c>
    </x:row>
    <x:row r="4105">
      <x:c r="B4105" s="21" t="str">
        <x:v>A4099</x:v>
      </x:c>
      <x:c r="C4105" s="21" t="str">
        <x:v>milestone</x:v>
      </x:c>
      <x:c r="D4105" s="21" t="str">
        <x:v>milestone 76 payment nonnegative</x:v>
      </x:c>
      <x:c r="E4105" s="21" t="n">
        <x:f>IF(Milestones!J76&gt;=0,1,0)</x:f>
        <x:v>1</x:v>
      </x:c>
      <x:c r="F4105" s="21" t="n">
        <x:v>1</x:v>
      </x:c>
      <x:c r="G4105" s="23" t="str">
        <x:f>IF(E4105=F4105,"PASS","FAIL")</x:f>
        <x:v>PASS</x:v>
      </x:c>
    </x:row>
    <x:row r="4106">
      <x:c r="B4106" s="21" t="str">
        <x:v>A4100</x:v>
      </x:c>
      <x:c r="C4106" s="21" t="str">
        <x:v>milestone</x:v>
      </x:c>
      <x:c r="D4106" s="21" t="str">
        <x:v>milestone 76 evidence open</x:v>
      </x:c>
      <x:c r="E4106" s="21" t="n">
        <x:f>IF(Milestones!L76="OPEN",1,0)</x:f>
        <x:v>1</x:v>
      </x:c>
      <x:c r="F4106" s="21" t="n">
        <x:v>1</x:v>
      </x:c>
      <x:c r="G4106" s="23" t="str">
        <x:f>IF(E4106=F4106,"PASS","FAIL")</x:f>
        <x:v>PASS</x:v>
      </x:c>
    </x:row>
    <x:row r="4107">
      <x:c r="B4107" s="21" t="str">
        <x:v>A4101</x:v>
      </x:c>
      <x:c r="C4107" s="21" t="str">
        <x:v>milestone</x:v>
      </x:c>
      <x:c r="D4107" s="21" t="str">
        <x:v>milestone 76 decision held</x:v>
      </x:c>
      <x:c r="E4107" s="21" t="n">
        <x:f>IF(Milestones!M76="HOLD",1,0)</x:f>
        <x:v>1</x:v>
      </x:c>
      <x:c r="F4107" s="21" t="n">
        <x:v>1</x:v>
      </x:c>
      <x:c r="G4107" s="23" t="str">
        <x:f>IF(E4107=F4107,"PASS","FAIL")</x:f>
        <x:v>PASS</x:v>
      </x:c>
    </x:row>
    <x:row r="4108">
      <x:c r="B4108" s="21" t="str">
        <x:v>A4102</x:v>
      </x:c>
      <x:c r="C4108" s="21" t="str">
        <x:v>milestone</x:v>
      </x:c>
      <x:c r="D4108" s="21" t="str">
        <x:v>milestone 77 share positive</x:v>
      </x:c>
      <x:c r="E4108" s="21" t="n">
        <x:f>IF(Milestones!H77&gt;0,1,0)</x:f>
        <x:v>1</x:v>
      </x:c>
      <x:c r="F4108" s="21" t="n">
        <x:v>1</x:v>
      </x:c>
      <x:c r="G4108" s="23" t="str">
        <x:f>IF(E4108=F4108,"PASS","FAIL")</x:f>
        <x:v>PASS</x:v>
      </x:c>
    </x:row>
    <x:row r="4109">
      <x:c r="B4109" s="21" t="str">
        <x:v>A4103</x:v>
      </x:c>
      <x:c r="C4109" s="21" t="str">
        <x:v>milestone</x:v>
      </x:c>
      <x:c r="D4109" s="21" t="str">
        <x:v>milestone 77 year bounded</x:v>
      </x:c>
      <x:c r="E4109" s="21" t="n">
        <x:f>IF(AND(Milestones!I77&gt;=1,Milestones!I77&lt;=9),1,0)</x:f>
        <x:v>1</x:v>
      </x:c>
      <x:c r="F4109" s="21" t="n">
        <x:v>1</x:v>
      </x:c>
      <x:c r="G4109" s="23" t="str">
        <x:f>IF(E4109=F4109,"PASS","FAIL")</x:f>
        <x:v>PASS</x:v>
      </x:c>
    </x:row>
    <x:row r="4110">
      <x:c r="B4110" s="21" t="str">
        <x:v>A4104</x:v>
      </x:c>
      <x:c r="C4110" s="21" t="str">
        <x:v>milestone</x:v>
      </x:c>
      <x:c r="D4110" s="21" t="str">
        <x:v>milestone 77 payment nonnegative</x:v>
      </x:c>
      <x:c r="E4110" s="21" t="n">
        <x:f>IF(Milestones!J77&gt;=0,1,0)</x:f>
        <x:v>1</x:v>
      </x:c>
      <x:c r="F4110" s="21" t="n">
        <x:v>1</x:v>
      </x:c>
      <x:c r="G4110" s="23" t="str">
        <x:f>IF(E4110=F4110,"PASS","FAIL")</x:f>
        <x:v>PASS</x:v>
      </x:c>
    </x:row>
    <x:row r="4111">
      <x:c r="B4111" s="21" t="str">
        <x:v>A4105</x:v>
      </x:c>
      <x:c r="C4111" s="21" t="str">
        <x:v>milestone</x:v>
      </x:c>
      <x:c r="D4111" s="21" t="str">
        <x:v>milestone 77 evidence open</x:v>
      </x:c>
      <x:c r="E4111" s="21" t="n">
        <x:f>IF(Milestones!L77="OPEN",1,0)</x:f>
        <x:v>1</x:v>
      </x:c>
      <x:c r="F4111" s="21" t="n">
        <x:v>1</x:v>
      </x:c>
      <x:c r="G4111" s="23" t="str">
        <x:f>IF(E4111=F4111,"PASS","FAIL")</x:f>
        <x:v>PASS</x:v>
      </x:c>
    </x:row>
    <x:row r="4112">
      <x:c r="B4112" s="21" t="str">
        <x:v>A4106</x:v>
      </x:c>
      <x:c r="C4112" s="21" t="str">
        <x:v>milestone</x:v>
      </x:c>
      <x:c r="D4112" s="21" t="str">
        <x:v>milestone 77 decision held</x:v>
      </x:c>
      <x:c r="E4112" s="21" t="n">
        <x:f>IF(Milestones!M77="HOLD",1,0)</x:f>
        <x:v>1</x:v>
      </x:c>
      <x:c r="F4112" s="21" t="n">
        <x:v>1</x:v>
      </x:c>
      <x:c r="G4112" s="23" t="str">
        <x:f>IF(E4112=F4112,"PASS","FAIL")</x:f>
        <x:v>PASS</x:v>
      </x:c>
    </x:row>
    <x:row r="4113">
      <x:c r="B4113" s="21" t="str">
        <x:v>A4107</x:v>
      </x:c>
      <x:c r="C4113" s="21" t="str">
        <x:v>milestone</x:v>
      </x:c>
      <x:c r="D4113" s="21" t="str">
        <x:v>milestone 78 share positive</x:v>
      </x:c>
      <x:c r="E4113" s="21" t="n">
        <x:f>IF(Milestones!H78&gt;0,1,0)</x:f>
        <x:v>1</x:v>
      </x:c>
      <x:c r="F4113" s="21" t="n">
        <x:v>1</x:v>
      </x:c>
      <x:c r="G4113" s="23" t="str">
        <x:f>IF(E4113=F4113,"PASS","FAIL")</x:f>
        <x:v>PASS</x:v>
      </x:c>
    </x:row>
    <x:row r="4114">
      <x:c r="B4114" s="21" t="str">
        <x:v>A4108</x:v>
      </x:c>
      <x:c r="C4114" s="21" t="str">
        <x:v>milestone</x:v>
      </x:c>
      <x:c r="D4114" s="21" t="str">
        <x:v>milestone 78 year bounded</x:v>
      </x:c>
      <x:c r="E4114" s="21" t="n">
        <x:f>IF(AND(Milestones!I78&gt;=1,Milestones!I78&lt;=9),1,0)</x:f>
        <x:v>1</x:v>
      </x:c>
      <x:c r="F4114" s="21" t="n">
        <x:v>1</x:v>
      </x:c>
      <x:c r="G4114" s="23" t="str">
        <x:f>IF(E4114=F4114,"PASS","FAIL")</x:f>
        <x:v>PASS</x:v>
      </x:c>
    </x:row>
    <x:row r="4115">
      <x:c r="B4115" s="21" t="str">
        <x:v>A4109</x:v>
      </x:c>
      <x:c r="C4115" s="21" t="str">
        <x:v>milestone</x:v>
      </x:c>
      <x:c r="D4115" s="21" t="str">
        <x:v>milestone 78 payment nonnegative</x:v>
      </x:c>
      <x:c r="E4115" s="21" t="n">
        <x:f>IF(Milestones!J78&gt;=0,1,0)</x:f>
        <x:v>1</x:v>
      </x:c>
      <x:c r="F4115" s="21" t="n">
        <x:v>1</x:v>
      </x:c>
      <x:c r="G4115" s="23" t="str">
        <x:f>IF(E4115=F4115,"PASS","FAIL")</x:f>
        <x:v>PASS</x:v>
      </x:c>
    </x:row>
    <x:row r="4116">
      <x:c r="B4116" s="21" t="str">
        <x:v>A4110</x:v>
      </x:c>
      <x:c r="C4116" s="21" t="str">
        <x:v>milestone</x:v>
      </x:c>
      <x:c r="D4116" s="21" t="str">
        <x:v>milestone 78 evidence open</x:v>
      </x:c>
      <x:c r="E4116" s="21" t="n">
        <x:f>IF(Milestones!L78="OPEN",1,0)</x:f>
        <x:v>1</x:v>
      </x:c>
      <x:c r="F4116" s="21" t="n">
        <x:v>1</x:v>
      </x:c>
      <x:c r="G4116" s="23" t="str">
        <x:f>IF(E4116=F4116,"PASS","FAIL")</x:f>
        <x:v>PASS</x:v>
      </x:c>
    </x:row>
    <x:row r="4117">
      <x:c r="B4117" s="21" t="str">
        <x:v>A4111</x:v>
      </x:c>
      <x:c r="C4117" s="21" t="str">
        <x:v>milestone</x:v>
      </x:c>
      <x:c r="D4117" s="21" t="str">
        <x:v>milestone 78 decision held</x:v>
      </x:c>
      <x:c r="E4117" s="21" t="n">
        <x:f>IF(Milestones!M78="HOLD",1,0)</x:f>
        <x:v>1</x:v>
      </x:c>
      <x:c r="F4117" s="21" t="n">
        <x:v>1</x:v>
      </x:c>
      <x:c r="G4117" s="23" t="str">
        <x:f>IF(E4117=F4117,"PASS","FAIL")</x:f>
        <x:v>PASS</x:v>
      </x:c>
    </x:row>
    <x:row r="4118">
      <x:c r="B4118" s="21" t="str">
        <x:v>A4112</x:v>
      </x:c>
      <x:c r="C4118" s="21" t="str">
        <x:v>milestone</x:v>
      </x:c>
      <x:c r="D4118" s="21" t="str">
        <x:v>milestone 79 share positive</x:v>
      </x:c>
      <x:c r="E4118" s="21" t="n">
        <x:f>IF(Milestones!H79&gt;0,1,0)</x:f>
        <x:v>1</x:v>
      </x:c>
      <x:c r="F4118" s="21" t="n">
        <x:v>1</x:v>
      </x:c>
      <x:c r="G4118" s="23" t="str">
        <x:f>IF(E4118=F4118,"PASS","FAIL")</x:f>
        <x:v>PASS</x:v>
      </x:c>
    </x:row>
    <x:row r="4119">
      <x:c r="B4119" s="21" t="str">
        <x:v>A4113</x:v>
      </x:c>
      <x:c r="C4119" s="21" t="str">
        <x:v>milestone</x:v>
      </x:c>
      <x:c r="D4119" s="21" t="str">
        <x:v>milestone 79 year bounded</x:v>
      </x:c>
      <x:c r="E4119" s="21" t="n">
        <x:f>IF(AND(Milestones!I79&gt;=1,Milestones!I79&lt;=9),1,0)</x:f>
        <x:v>1</x:v>
      </x:c>
      <x:c r="F4119" s="21" t="n">
        <x:v>1</x:v>
      </x:c>
      <x:c r="G4119" s="23" t="str">
        <x:f>IF(E4119=F4119,"PASS","FAIL")</x:f>
        <x:v>PASS</x:v>
      </x:c>
    </x:row>
    <x:row r="4120">
      <x:c r="B4120" s="21" t="str">
        <x:v>A4114</x:v>
      </x:c>
      <x:c r="C4120" s="21" t="str">
        <x:v>milestone</x:v>
      </x:c>
      <x:c r="D4120" s="21" t="str">
        <x:v>milestone 79 payment nonnegative</x:v>
      </x:c>
      <x:c r="E4120" s="21" t="n">
        <x:f>IF(Milestones!J79&gt;=0,1,0)</x:f>
        <x:v>1</x:v>
      </x:c>
      <x:c r="F4120" s="21" t="n">
        <x:v>1</x:v>
      </x:c>
      <x:c r="G4120" s="23" t="str">
        <x:f>IF(E4120=F4120,"PASS","FAIL")</x:f>
        <x:v>PASS</x:v>
      </x:c>
    </x:row>
    <x:row r="4121">
      <x:c r="B4121" s="21" t="str">
        <x:v>A4115</x:v>
      </x:c>
      <x:c r="C4121" s="21" t="str">
        <x:v>milestone</x:v>
      </x:c>
      <x:c r="D4121" s="21" t="str">
        <x:v>milestone 79 evidence open</x:v>
      </x:c>
      <x:c r="E4121" s="21" t="n">
        <x:f>IF(Milestones!L79="OPEN",1,0)</x:f>
        <x:v>1</x:v>
      </x:c>
      <x:c r="F4121" s="21" t="n">
        <x:v>1</x:v>
      </x:c>
      <x:c r="G4121" s="23" t="str">
        <x:f>IF(E4121=F4121,"PASS","FAIL")</x:f>
        <x:v>PASS</x:v>
      </x:c>
    </x:row>
    <x:row r="4122">
      <x:c r="B4122" s="21" t="str">
        <x:v>A4116</x:v>
      </x:c>
      <x:c r="C4122" s="21" t="str">
        <x:v>milestone</x:v>
      </x:c>
      <x:c r="D4122" s="21" t="str">
        <x:v>milestone 79 decision held</x:v>
      </x:c>
      <x:c r="E4122" s="21" t="n">
        <x:f>IF(Milestones!M79="HOLD",1,0)</x:f>
        <x:v>1</x:v>
      </x:c>
      <x:c r="F4122" s="21" t="n">
        <x:v>1</x:v>
      </x:c>
      <x:c r="G4122" s="23" t="str">
        <x:f>IF(E4122=F4122,"PASS","FAIL")</x:f>
        <x:v>PASS</x:v>
      </x:c>
    </x:row>
    <x:row r="4123">
      <x:c r="B4123" s="21" t="str">
        <x:v>A4117</x:v>
      </x:c>
      <x:c r="C4123" s="21" t="str">
        <x:v>milestone</x:v>
      </x:c>
      <x:c r="D4123" s="21" t="str">
        <x:v>milestone 80 share positive</x:v>
      </x:c>
      <x:c r="E4123" s="21" t="n">
        <x:f>IF(Milestones!H80&gt;0,1,0)</x:f>
        <x:v>1</x:v>
      </x:c>
      <x:c r="F4123" s="21" t="n">
        <x:v>1</x:v>
      </x:c>
      <x:c r="G4123" s="23" t="str">
        <x:f>IF(E4123=F4123,"PASS","FAIL")</x:f>
        <x:v>PASS</x:v>
      </x:c>
    </x:row>
    <x:row r="4124">
      <x:c r="B4124" s="21" t="str">
        <x:v>A4118</x:v>
      </x:c>
      <x:c r="C4124" s="21" t="str">
        <x:v>milestone</x:v>
      </x:c>
      <x:c r="D4124" s="21" t="str">
        <x:v>milestone 80 year bounded</x:v>
      </x:c>
      <x:c r="E4124" s="21" t="n">
        <x:f>IF(AND(Milestones!I80&gt;=1,Milestones!I80&lt;=9),1,0)</x:f>
        <x:v>1</x:v>
      </x:c>
      <x:c r="F4124" s="21" t="n">
        <x:v>1</x:v>
      </x:c>
      <x:c r="G4124" s="23" t="str">
        <x:f>IF(E4124=F4124,"PASS","FAIL")</x:f>
        <x:v>PASS</x:v>
      </x:c>
    </x:row>
    <x:row r="4125">
      <x:c r="B4125" s="21" t="str">
        <x:v>A4119</x:v>
      </x:c>
      <x:c r="C4125" s="21" t="str">
        <x:v>milestone</x:v>
      </x:c>
      <x:c r="D4125" s="21" t="str">
        <x:v>milestone 80 payment nonnegative</x:v>
      </x:c>
      <x:c r="E4125" s="21" t="n">
        <x:f>IF(Milestones!J80&gt;=0,1,0)</x:f>
        <x:v>1</x:v>
      </x:c>
      <x:c r="F4125" s="21" t="n">
        <x:v>1</x:v>
      </x:c>
      <x:c r="G4125" s="23" t="str">
        <x:f>IF(E4125=F4125,"PASS","FAIL")</x:f>
        <x:v>PASS</x:v>
      </x:c>
    </x:row>
    <x:row r="4126">
      <x:c r="B4126" s="21" t="str">
        <x:v>A4120</x:v>
      </x:c>
      <x:c r="C4126" s="21" t="str">
        <x:v>milestone</x:v>
      </x:c>
      <x:c r="D4126" s="21" t="str">
        <x:v>milestone 80 evidence open</x:v>
      </x:c>
      <x:c r="E4126" s="21" t="n">
        <x:f>IF(Milestones!L80="OPEN",1,0)</x:f>
        <x:v>1</x:v>
      </x:c>
      <x:c r="F4126" s="21" t="n">
        <x:v>1</x:v>
      </x:c>
      <x:c r="G4126" s="23" t="str">
        <x:f>IF(E4126=F4126,"PASS","FAIL")</x:f>
        <x:v>PASS</x:v>
      </x:c>
    </x:row>
    <x:row r="4127">
      <x:c r="B4127" s="21" t="str">
        <x:v>A4121</x:v>
      </x:c>
      <x:c r="C4127" s="21" t="str">
        <x:v>milestone</x:v>
      </x:c>
      <x:c r="D4127" s="21" t="str">
        <x:v>milestone 80 decision held</x:v>
      </x:c>
      <x:c r="E4127" s="21" t="n">
        <x:f>IF(Milestones!M80="HOLD",1,0)</x:f>
        <x:v>1</x:v>
      </x:c>
      <x:c r="F4127" s="21" t="n">
        <x:v>1</x:v>
      </x:c>
      <x:c r="G4127" s="23" t="str">
        <x:f>IF(E4127=F4127,"PASS","FAIL")</x:f>
        <x:v>PASS</x:v>
      </x:c>
    </x:row>
    <x:row r="4128">
      <x:c r="B4128" s="21" t="str">
        <x:v>A4122</x:v>
      </x:c>
      <x:c r="C4128" s="21" t="str">
        <x:v>milestone</x:v>
      </x:c>
      <x:c r="D4128" s="21" t="str">
        <x:v>milestone 81 share positive</x:v>
      </x:c>
      <x:c r="E4128" s="21" t="n">
        <x:f>IF(Milestones!H81&gt;0,1,0)</x:f>
        <x:v>1</x:v>
      </x:c>
      <x:c r="F4128" s="21" t="n">
        <x:v>1</x:v>
      </x:c>
      <x:c r="G4128" s="23" t="str">
        <x:f>IF(E4128=F4128,"PASS","FAIL")</x:f>
        <x:v>PASS</x:v>
      </x:c>
    </x:row>
    <x:row r="4129">
      <x:c r="B4129" s="21" t="str">
        <x:v>A4123</x:v>
      </x:c>
      <x:c r="C4129" s="21" t="str">
        <x:v>milestone</x:v>
      </x:c>
      <x:c r="D4129" s="21" t="str">
        <x:v>milestone 81 year bounded</x:v>
      </x:c>
      <x:c r="E4129" s="21" t="n">
        <x:f>IF(AND(Milestones!I81&gt;=1,Milestones!I81&lt;=9),1,0)</x:f>
        <x:v>1</x:v>
      </x:c>
      <x:c r="F4129" s="21" t="n">
        <x:v>1</x:v>
      </x:c>
      <x:c r="G4129" s="23" t="str">
        <x:f>IF(E4129=F4129,"PASS","FAIL")</x:f>
        <x:v>PASS</x:v>
      </x:c>
    </x:row>
    <x:row r="4130">
      <x:c r="B4130" s="21" t="str">
        <x:v>A4124</x:v>
      </x:c>
      <x:c r="C4130" s="21" t="str">
        <x:v>milestone</x:v>
      </x:c>
      <x:c r="D4130" s="21" t="str">
        <x:v>milestone 81 payment nonnegative</x:v>
      </x:c>
      <x:c r="E4130" s="21" t="n">
        <x:f>IF(Milestones!J81&gt;=0,1,0)</x:f>
        <x:v>1</x:v>
      </x:c>
      <x:c r="F4130" s="21" t="n">
        <x:v>1</x:v>
      </x:c>
      <x:c r="G4130" s="23" t="str">
        <x:f>IF(E4130=F4130,"PASS","FAIL")</x:f>
        <x:v>PASS</x:v>
      </x:c>
    </x:row>
    <x:row r="4131">
      <x:c r="B4131" s="21" t="str">
        <x:v>A4125</x:v>
      </x:c>
      <x:c r="C4131" s="21" t="str">
        <x:v>milestone</x:v>
      </x:c>
      <x:c r="D4131" s="21" t="str">
        <x:v>milestone 81 evidence open</x:v>
      </x:c>
      <x:c r="E4131" s="21" t="n">
        <x:f>IF(Milestones!L81="OPEN",1,0)</x:f>
        <x:v>1</x:v>
      </x:c>
      <x:c r="F4131" s="21" t="n">
        <x:v>1</x:v>
      </x:c>
      <x:c r="G4131" s="23" t="str">
        <x:f>IF(E4131=F4131,"PASS","FAIL")</x:f>
        <x:v>PASS</x:v>
      </x:c>
    </x:row>
    <x:row r="4132">
      <x:c r="B4132" s="21" t="str">
        <x:v>A4126</x:v>
      </x:c>
      <x:c r="C4132" s="21" t="str">
        <x:v>milestone</x:v>
      </x:c>
      <x:c r="D4132" s="21" t="str">
        <x:v>milestone 81 decision held</x:v>
      </x:c>
      <x:c r="E4132" s="21" t="n">
        <x:f>IF(Milestones!M81="HOLD",1,0)</x:f>
        <x:v>1</x:v>
      </x:c>
      <x:c r="F4132" s="21" t="n">
        <x:v>1</x:v>
      </x:c>
      <x:c r="G4132" s="23" t="str">
        <x:f>IF(E4132=F4132,"PASS","FAIL")</x:f>
        <x:v>PASS</x:v>
      </x:c>
    </x:row>
    <x:row r="4133">
      <x:c r="B4133" s="21" t="str">
        <x:v>A4127</x:v>
      </x:c>
      <x:c r="C4133" s="21" t="str">
        <x:v>milestone</x:v>
      </x:c>
      <x:c r="D4133" s="21" t="str">
        <x:v>milestone 82 share positive</x:v>
      </x:c>
      <x:c r="E4133" s="21" t="n">
        <x:f>IF(Milestones!H82&gt;0,1,0)</x:f>
        <x:v>1</x:v>
      </x:c>
      <x:c r="F4133" s="21" t="n">
        <x:v>1</x:v>
      </x:c>
      <x:c r="G4133" s="23" t="str">
        <x:f>IF(E4133=F4133,"PASS","FAIL")</x:f>
        <x:v>PASS</x:v>
      </x:c>
    </x:row>
    <x:row r="4134">
      <x:c r="B4134" s="21" t="str">
        <x:v>A4128</x:v>
      </x:c>
      <x:c r="C4134" s="21" t="str">
        <x:v>milestone</x:v>
      </x:c>
      <x:c r="D4134" s="21" t="str">
        <x:v>milestone 82 year bounded</x:v>
      </x:c>
      <x:c r="E4134" s="21" t="n">
        <x:f>IF(AND(Milestones!I82&gt;=1,Milestones!I82&lt;=9),1,0)</x:f>
        <x:v>1</x:v>
      </x:c>
      <x:c r="F4134" s="21" t="n">
        <x:v>1</x:v>
      </x:c>
      <x:c r="G4134" s="23" t="str">
        <x:f>IF(E4134=F4134,"PASS","FAIL")</x:f>
        <x:v>PASS</x:v>
      </x:c>
    </x:row>
    <x:row r="4135">
      <x:c r="B4135" s="21" t="str">
        <x:v>A4129</x:v>
      </x:c>
      <x:c r="C4135" s="21" t="str">
        <x:v>milestone</x:v>
      </x:c>
      <x:c r="D4135" s="21" t="str">
        <x:v>milestone 82 payment nonnegative</x:v>
      </x:c>
      <x:c r="E4135" s="21" t="n">
        <x:f>IF(Milestones!J82&gt;=0,1,0)</x:f>
        <x:v>1</x:v>
      </x:c>
      <x:c r="F4135" s="21" t="n">
        <x:v>1</x:v>
      </x:c>
      <x:c r="G4135" s="23" t="str">
        <x:f>IF(E4135=F4135,"PASS","FAIL")</x:f>
        <x:v>PASS</x:v>
      </x:c>
    </x:row>
    <x:row r="4136">
      <x:c r="B4136" s="21" t="str">
        <x:v>A4130</x:v>
      </x:c>
      <x:c r="C4136" s="21" t="str">
        <x:v>milestone</x:v>
      </x:c>
      <x:c r="D4136" s="21" t="str">
        <x:v>milestone 82 evidence open</x:v>
      </x:c>
      <x:c r="E4136" s="21" t="n">
        <x:f>IF(Milestones!L82="OPEN",1,0)</x:f>
        <x:v>1</x:v>
      </x:c>
      <x:c r="F4136" s="21" t="n">
        <x:v>1</x:v>
      </x:c>
      <x:c r="G4136" s="23" t="str">
        <x:f>IF(E4136=F4136,"PASS","FAIL")</x:f>
        <x:v>PASS</x:v>
      </x:c>
    </x:row>
    <x:row r="4137">
      <x:c r="B4137" s="21" t="str">
        <x:v>A4131</x:v>
      </x:c>
      <x:c r="C4137" s="21" t="str">
        <x:v>milestone</x:v>
      </x:c>
      <x:c r="D4137" s="21" t="str">
        <x:v>milestone 82 decision held</x:v>
      </x:c>
      <x:c r="E4137" s="21" t="n">
        <x:f>IF(Milestones!M82="HOLD",1,0)</x:f>
        <x:v>1</x:v>
      </x:c>
      <x:c r="F4137" s="21" t="n">
        <x:v>1</x:v>
      </x:c>
      <x:c r="G4137" s="23" t="str">
        <x:f>IF(E4137=F4137,"PASS","FAIL")</x:f>
        <x:v>PASS</x:v>
      </x:c>
    </x:row>
    <x:row r="4138">
      <x:c r="B4138" s="21" t="str">
        <x:v>A4132</x:v>
      </x:c>
      <x:c r="C4138" s="21" t="str">
        <x:v>milestone</x:v>
      </x:c>
      <x:c r="D4138" s="21" t="str">
        <x:v>milestone 83 share positive</x:v>
      </x:c>
      <x:c r="E4138" s="21" t="n">
        <x:f>IF(Milestones!H83&gt;0,1,0)</x:f>
        <x:v>1</x:v>
      </x:c>
      <x:c r="F4138" s="21" t="n">
        <x:v>1</x:v>
      </x:c>
      <x:c r="G4138" s="23" t="str">
        <x:f>IF(E4138=F4138,"PASS","FAIL")</x:f>
        <x:v>PASS</x:v>
      </x:c>
    </x:row>
    <x:row r="4139">
      <x:c r="B4139" s="21" t="str">
        <x:v>A4133</x:v>
      </x:c>
      <x:c r="C4139" s="21" t="str">
        <x:v>milestone</x:v>
      </x:c>
      <x:c r="D4139" s="21" t="str">
        <x:v>milestone 83 year bounded</x:v>
      </x:c>
      <x:c r="E4139" s="21" t="n">
        <x:f>IF(AND(Milestones!I83&gt;=1,Milestones!I83&lt;=9),1,0)</x:f>
        <x:v>1</x:v>
      </x:c>
      <x:c r="F4139" s="21" t="n">
        <x:v>1</x:v>
      </x:c>
      <x:c r="G4139" s="23" t="str">
        <x:f>IF(E4139=F4139,"PASS","FAIL")</x:f>
        <x:v>PASS</x:v>
      </x:c>
    </x:row>
    <x:row r="4140">
      <x:c r="B4140" s="21" t="str">
        <x:v>A4134</x:v>
      </x:c>
      <x:c r="C4140" s="21" t="str">
        <x:v>milestone</x:v>
      </x:c>
      <x:c r="D4140" s="21" t="str">
        <x:v>milestone 83 payment nonnegative</x:v>
      </x:c>
      <x:c r="E4140" s="21" t="n">
        <x:f>IF(Milestones!J83&gt;=0,1,0)</x:f>
        <x:v>1</x:v>
      </x:c>
      <x:c r="F4140" s="21" t="n">
        <x:v>1</x:v>
      </x:c>
      <x:c r="G4140" s="23" t="str">
        <x:f>IF(E4140=F4140,"PASS","FAIL")</x:f>
        <x:v>PASS</x:v>
      </x:c>
    </x:row>
    <x:row r="4141">
      <x:c r="B4141" s="21" t="str">
        <x:v>A4135</x:v>
      </x:c>
      <x:c r="C4141" s="21" t="str">
        <x:v>milestone</x:v>
      </x:c>
      <x:c r="D4141" s="21" t="str">
        <x:v>milestone 83 evidence open</x:v>
      </x:c>
      <x:c r="E4141" s="21" t="n">
        <x:f>IF(Milestones!L83="OPEN",1,0)</x:f>
        <x:v>1</x:v>
      </x:c>
      <x:c r="F4141" s="21" t="n">
        <x:v>1</x:v>
      </x:c>
      <x:c r="G4141" s="23" t="str">
        <x:f>IF(E4141=F4141,"PASS","FAIL")</x:f>
        <x:v>PASS</x:v>
      </x:c>
    </x:row>
    <x:row r="4142">
      <x:c r="B4142" s="21" t="str">
        <x:v>A4136</x:v>
      </x:c>
      <x:c r="C4142" s="21" t="str">
        <x:v>milestone</x:v>
      </x:c>
      <x:c r="D4142" s="21" t="str">
        <x:v>milestone 83 decision held</x:v>
      </x:c>
      <x:c r="E4142" s="21" t="n">
        <x:f>IF(Milestones!M83="HOLD",1,0)</x:f>
        <x:v>1</x:v>
      </x:c>
      <x:c r="F4142" s="21" t="n">
        <x:v>1</x:v>
      </x:c>
      <x:c r="G4142" s="23" t="str">
        <x:f>IF(E4142=F4142,"PASS","FAIL")</x:f>
        <x:v>PASS</x:v>
      </x:c>
    </x:row>
    <x:row r="4143">
      <x:c r="B4143" s="21" t="str">
        <x:v>A4137</x:v>
      </x:c>
      <x:c r="C4143" s="21" t="str">
        <x:v>milestone</x:v>
      </x:c>
      <x:c r="D4143" s="21" t="str">
        <x:v>milestone 84 share positive</x:v>
      </x:c>
      <x:c r="E4143" s="21" t="n">
        <x:f>IF(Milestones!H84&gt;0,1,0)</x:f>
        <x:v>1</x:v>
      </x:c>
      <x:c r="F4143" s="21" t="n">
        <x:v>1</x:v>
      </x:c>
      <x:c r="G4143" s="23" t="str">
        <x:f>IF(E4143=F4143,"PASS","FAIL")</x:f>
        <x:v>PASS</x:v>
      </x:c>
    </x:row>
    <x:row r="4144">
      <x:c r="B4144" s="21" t="str">
        <x:v>A4138</x:v>
      </x:c>
      <x:c r="C4144" s="21" t="str">
        <x:v>milestone</x:v>
      </x:c>
      <x:c r="D4144" s="21" t="str">
        <x:v>milestone 84 year bounded</x:v>
      </x:c>
      <x:c r="E4144" s="21" t="n">
        <x:f>IF(AND(Milestones!I84&gt;=1,Milestones!I84&lt;=9),1,0)</x:f>
        <x:v>1</x:v>
      </x:c>
      <x:c r="F4144" s="21" t="n">
        <x:v>1</x:v>
      </x:c>
      <x:c r="G4144" s="23" t="str">
        <x:f>IF(E4144=F4144,"PASS","FAIL")</x:f>
        <x:v>PASS</x:v>
      </x:c>
    </x:row>
    <x:row r="4145">
      <x:c r="B4145" s="21" t="str">
        <x:v>A4139</x:v>
      </x:c>
      <x:c r="C4145" s="21" t="str">
        <x:v>milestone</x:v>
      </x:c>
      <x:c r="D4145" s="21" t="str">
        <x:v>milestone 84 payment nonnegative</x:v>
      </x:c>
      <x:c r="E4145" s="21" t="n">
        <x:f>IF(Milestones!J84&gt;=0,1,0)</x:f>
        <x:v>1</x:v>
      </x:c>
      <x:c r="F4145" s="21" t="n">
        <x:v>1</x:v>
      </x:c>
      <x:c r="G4145" s="23" t="str">
        <x:f>IF(E4145=F4145,"PASS","FAIL")</x:f>
        <x:v>PASS</x:v>
      </x:c>
    </x:row>
    <x:row r="4146">
      <x:c r="B4146" s="21" t="str">
        <x:v>A4140</x:v>
      </x:c>
      <x:c r="C4146" s="21" t="str">
        <x:v>milestone</x:v>
      </x:c>
      <x:c r="D4146" s="21" t="str">
        <x:v>milestone 84 evidence open</x:v>
      </x:c>
      <x:c r="E4146" s="21" t="n">
        <x:f>IF(Milestones!L84="OPEN",1,0)</x:f>
        <x:v>1</x:v>
      </x:c>
      <x:c r="F4146" s="21" t="n">
        <x:v>1</x:v>
      </x:c>
      <x:c r="G4146" s="23" t="str">
        <x:f>IF(E4146=F4146,"PASS","FAIL")</x:f>
        <x:v>PASS</x:v>
      </x:c>
    </x:row>
    <x:row r="4147">
      <x:c r="B4147" s="21" t="str">
        <x:v>A4141</x:v>
      </x:c>
      <x:c r="C4147" s="21" t="str">
        <x:v>milestone</x:v>
      </x:c>
      <x:c r="D4147" s="21" t="str">
        <x:v>milestone 84 decision held</x:v>
      </x:c>
      <x:c r="E4147" s="21" t="n">
        <x:f>IF(Milestones!M84="HOLD",1,0)</x:f>
        <x:v>1</x:v>
      </x:c>
      <x:c r="F4147" s="21" t="n">
        <x:v>1</x:v>
      </x:c>
      <x:c r="G4147" s="23" t="str">
        <x:f>IF(E4147=F4147,"PASS","FAIL")</x:f>
        <x:v>PASS</x:v>
      </x:c>
    </x:row>
    <x:row r="4148">
      <x:c r="B4148" s="21" t="str">
        <x:v>A4142</x:v>
      </x:c>
      <x:c r="C4148" s="21" t="str">
        <x:v>milestone</x:v>
      </x:c>
      <x:c r="D4148" s="21" t="str">
        <x:v>milestone 85 share positive</x:v>
      </x:c>
      <x:c r="E4148" s="21" t="n">
        <x:f>IF(Milestones!H85&gt;0,1,0)</x:f>
        <x:v>1</x:v>
      </x:c>
      <x:c r="F4148" s="21" t="n">
        <x:v>1</x:v>
      </x:c>
      <x:c r="G4148" s="23" t="str">
        <x:f>IF(E4148=F4148,"PASS","FAIL")</x:f>
        <x:v>PASS</x:v>
      </x:c>
    </x:row>
    <x:row r="4149">
      <x:c r="B4149" s="21" t="str">
        <x:v>A4143</x:v>
      </x:c>
      <x:c r="C4149" s="21" t="str">
        <x:v>milestone</x:v>
      </x:c>
      <x:c r="D4149" s="21" t="str">
        <x:v>milestone 85 year bounded</x:v>
      </x:c>
      <x:c r="E4149" s="21" t="n">
        <x:f>IF(AND(Milestones!I85&gt;=1,Milestones!I85&lt;=9),1,0)</x:f>
        <x:v>1</x:v>
      </x:c>
      <x:c r="F4149" s="21" t="n">
        <x:v>1</x:v>
      </x:c>
      <x:c r="G4149" s="23" t="str">
        <x:f>IF(E4149=F4149,"PASS","FAIL")</x:f>
        <x:v>PASS</x:v>
      </x:c>
    </x:row>
    <x:row r="4150">
      <x:c r="B4150" s="21" t="str">
        <x:v>A4144</x:v>
      </x:c>
      <x:c r="C4150" s="21" t="str">
        <x:v>milestone</x:v>
      </x:c>
      <x:c r="D4150" s="21" t="str">
        <x:v>milestone 85 payment nonnegative</x:v>
      </x:c>
      <x:c r="E4150" s="21" t="n">
        <x:f>IF(Milestones!J85&gt;=0,1,0)</x:f>
        <x:v>1</x:v>
      </x:c>
      <x:c r="F4150" s="21" t="n">
        <x:v>1</x:v>
      </x:c>
      <x:c r="G4150" s="23" t="str">
        <x:f>IF(E4150=F4150,"PASS","FAIL")</x:f>
        <x:v>PASS</x:v>
      </x:c>
    </x:row>
    <x:row r="4151">
      <x:c r="B4151" s="21" t="str">
        <x:v>A4145</x:v>
      </x:c>
      <x:c r="C4151" s="21" t="str">
        <x:v>milestone</x:v>
      </x:c>
      <x:c r="D4151" s="21" t="str">
        <x:v>milestone 85 evidence open</x:v>
      </x:c>
      <x:c r="E4151" s="21" t="n">
        <x:f>IF(Milestones!L85="OPEN",1,0)</x:f>
        <x:v>1</x:v>
      </x:c>
      <x:c r="F4151" s="21" t="n">
        <x:v>1</x:v>
      </x:c>
      <x:c r="G4151" s="23" t="str">
        <x:f>IF(E4151=F4151,"PASS","FAIL")</x:f>
        <x:v>PASS</x:v>
      </x:c>
    </x:row>
    <x:row r="4152">
      <x:c r="B4152" s="21" t="str">
        <x:v>A4146</x:v>
      </x:c>
      <x:c r="C4152" s="21" t="str">
        <x:v>milestone</x:v>
      </x:c>
      <x:c r="D4152" s="21" t="str">
        <x:v>milestone 85 decision held</x:v>
      </x:c>
      <x:c r="E4152" s="21" t="n">
        <x:f>IF(Milestones!M85="HOLD",1,0)</x:f>
        <x:v>1</x:v>
      </x:c>
      <x:c r="F4152" s="21" t="n">
        <x:v>1</x:v>
      </x:c>
      <x:c r="G4152" s="23" t="str">
        <x:f>IF(E4152=F4152,"PASS","FAIL")</x:f>
        <x:v>PASS</x:v>
      </x:c>
    </x:row>
    <x:row r="4153">
      <x:c r="B4153" s="21" t="str">
        <x:v>A4147</x:v>
      </x:c>
      <x:c r="C4153" s="21" t="str">
        <x:v>milestone</x:v>
      </x:c>
      <x:c r="D4153" s="21" t="str">
        <x:v>milestone 86 share positive</x:v>
      </x:c>
      <x:c r="E4153" s="21" t="n">
        <x:f>IF(Milestones!H86&gt;0,1,0)</x:f>
        <x:v>1</x:v>
      </x:c>
      <x:c r="F4153" s="21" t="n">
        <x:v>1</x:v>
      </x:c>
      <x:c r="G4153" s="23" t="str">
        <x:f>IF(E4153=F4153,"PASS","FAIL")</x:f>
        <x:v>PASS</x:v>
      </x:c>
    </x:row>
    <x:row r="4154">
      <x:c r="B4154" s="21" t="str">
        <x:v>A4148</x:v>
      </x:c>
      <x:c r="C4154" s="21" t="str">
        <x:v>milestone</x:v>
      </x:c>
      <x:c r="D4154" s="21" t="str">
        <x:v>milestone 86 year bounded</x:v>
      </x:c>
      <x:c r="E4154" s="21" t="n">
        <x:f>IF(AND(Milestones!I86&gt;=1,Milestones!I86&lt;=9),1,0)</x:f>
        <x:v>1</x:v>
      </x:c>
      <x:c r="F4154" s="21" t="n">
        <x:v>1</x:v>
      </x:c>
      <x:c r="G4154" s="23" t="str">
        <x:f>IF(E4154=F4154,"PASS","FAIL")</x:f>
        <x:v>PASS</x:v>
      </x:c>
    </x:row>
    <x:row r="4155">
      <x:c r="B4155" s="21" t="str">
        <x:v>A4149</x:v>
      </x:c>
      <x:c r="C4155" s="21" t="str">
        <x:v>milestone</x:v>
      </x:c>
      <x:c r="D4155" s="21" t="str">
        <x:v>milestone 86 payment nonnegative</x:v>
      </x:c>
      <x:c r="E4155" s="21" t="n">
        <x:f>IF(Milestones!J86&gt;=0,1,0)</x:f>
        <x:v>1</x:v>
      </x:c>
      <x:c r="F4155" s="21" t="n">
        <x:v>1</x:v>
      </x:c>
      <x:c r="G4155" s="23" t="str">
        <x:f>IF(E4155=F4155,"PASS","FAIL")</x:f>
        <x:v>PASS</x:v>
      </x:c>
    </x:row>
    <x:row r="4156">
      <x:c r="B4156" s="21" t="str">
        <x:v>A4150</x:v>
      </x:c>
      <x:c r="C4156" s="21" t="str">
        <x:v>milestone</x:v>
      </x:c>
      <x:c r="D4156" s="21" t="str">
        <x:v>milestone 86 evidence open</x:v>
      </x:c>
      <x:c r="E4156" s="21" t="n">
        <x:f>IF(Milestones!L86="OPEN",1,0)</x:f>
        <x:v>1</x:v>
      </x:c>
      <x:c r="F4156" s="21" t="n">
        <x:v>1</x:v>
      </x:c>
      <x:c r="G4156" s="23" t="str">
        <x:f>IF(E4156=F4156,"PASS","FAIL")</x:f>
        <x:v>PASS</x:v>
      </x:c>
    </x:row>
    <x:row r="4157">
      <x:c r="B4157" s="21" t="str">
        <x:v>A4151</x:v>
      </x:c>
      <x:c r="C4157" s="21" t="str">
        <x:v>milestone</x:v>
      </x:c>
      <x:c r="D4157" s="21" t="str">
        <x:v>milestone 86 decision held</x:v>
      </x:c>
      <x:c r="E4157" s="21" t="n">
        <x:f>IF(Milestones!M86="HOLD",1,0)</x:f>
        <x:v>1</x:v>
      </x:c>
      <x:c r="F4157" s="21" t="n">
        <x:v>1</x:v>
      </x:c>
      <x:c r="G4157" s="23" t="str">
        <x:f>IF(E4157=F4157,"PASS","FAIL")</x:f>
        <x:v>PASS</x:v>
      </x:c>
    </x:row>
    <x:row r="4158">
      <x:c r="B4158" s="21" t="str">
        <x:v>A4152</x:v>
      </x:c>
      <x:c r="C4158" s="21" t="str">
        <x:v>milestone</x:v>
      </x:c>
      <x:c r="D4158" s="21" t="str">
        <x:v>milestone 87 share positive</x:v>
      </x:c>
      <x:c r="E4158" s="21" t="n">
        <x:f>IF(Milestones!H87&gt;0,1,0)</x:f>
        <x:v>1</x:v>
      </x:c>
      <x:c r="F4158" s="21" t="n">
        <x:v>1</x:v>
      </x:c>
      <x:c r="G4158" s="23" t="str">
        <x:f>IF(E4158=F4158,"PASS","FAIL")</x:f>
        <x:v>PASS</x:v>
      </x:c>
    </x:row>
    <x:row r="4159">
      <x:c r="B4159" s="21" t="str">
        <x:v>A4153</x:v>
      </x:c>
      <x:c r="C4159" s="21" t="str">
        <x:v>milestone</x:v>
      </x:c>
      <x:c r="D4159" s="21" t="str">
        <x:v>milestone 87 year bounded</x:v>
      </x:c>
      <x:c r="E4159" s="21" t="n">
        <x:f>IF(AND(Milestones!I87&gt;=1,Milestones!I87&lt;=9),1,0)</x:f>
        <x:v>1</x:v>
      </x:c>
      <x:c r="F4159" s="21" t="n">
        <x:v>1</x:v>
      </x:c>
      <x:c r="G4159" s="23" t="str">
        <x:f>IF(E4159=F4159,"PASS","FAIL")</x:f>
        <x:v>PASS</x:v>
      </x:c>
    </x:row>
    <x:row r="4160">
      <x:c r="B4160" s="21" t="str">
        <x:v>A4154</x:v>
      </x:c>
      <x:c r="C4160" s="21" t="str">
        <x:v>milestone</x:v>
      </x:c>
      <x:c r="D4160" s="21" t="str">
        <x:v>milestone 87 payment nonnegative</x:v>
      </x:c>
      <x:c r="E4160" s="21" t="n">
        <x:f>IF(Milestones!J87&gt;=0,1,0)</x:f>
        <x:v>1</x:v>
      </x:c>
      <x:c r="F4160" s="21" t="n">
        <x:v>1</x:v>
      </x:c>
      <x:c r="G4160" s="23" t="str">
        <x:f>IF(E4160=F4160,"PASS","FAIL")</x:f>
        <x:v>PASS</x:v>
      </x:c>
    </x:row>
    <x:row r="4161">
      <x:c r="B4161" s="21" t="str">
        <x:v>A4155</x:v>
      </x:c>
      <x:c r="C4161" s="21" t="str">
        <x:v>milestone</x:v>
      </x:c>
      <x:c r="D4161" s="21" t="str">
        <x:v>milestone 87 evidence open</x:v>
      </x:c>
      <x:c r="E4161" s="21" t="n">
        <x:f>IF(Milestones!L87="OPEN",1,0)</x:f>
        <x:v>1</x:v>
      </x:c>
      <x:c r="F4161" s="21" t="n">
        <x:v>1</x:v>
      </x:c>
      <x:c r="G4161" s="23" t="str">
        <x:f>IF(E4161=F4161,"PASS","FAIL")</x:f>
        <x:v>PASS</x:v>
      </x:c>
    </x:row>
    <x:row r="4162">
      <x:c r="B4162" s="21" t="str">
        <x:v>A4156</x:v>
      </x:c>
      <x:c r="C4162" s="21" t="str">
        <x:v>milestone</x:v>
      </x:c>
      <x:c r="D4162" s="21" t="str">
        <x:v>milestone 87 decision held</x:v>
      </x:c>
      <x:c r="E4162" s="21" t="n">
        <x:f>IF(Milestones!M87="HOLD",1,0)</x:f>
        <x:v>1</x:v>
      </x:c>
      <x:c r="F4162" s="21" t="n">
        <x:v>1</x:v>
      </x:c>
      <x:c r="G4162" s="23" t="str">
        <x:f>IF(E4162=F4162,"PASS","FAIL")</x:f>
        <x:v>PASS</x:v>
      </x:c>
    </x:row>
    <x:row r="4163">
      <x:c r="B4163" s="21" t="str">
        <x:v>A4157</x:v>
      </x:c>
      <x:c r="C4163" s="21" t="str">
        <x:v>milestone</x:v>
      </x:c>
      <x:c r="D4163" s="21" t="str">
        <x:v>milestone 88 share positive</x:v>
      </x:c>
      <x:c r="E4163" s="21" t="n">
        <x:f>IF(Milestones!H88&gt;0,1,0)</x:f>
        <x:v>1</x:v>
      </x:c>
      <x:c r="F4163" s="21" t="n">
        <x:v>1</x:v>
      </x:c>
      <x:c r="G4163" s="23" t="str">
        <x:f>IF(E4163=F4163,"PASS","FAIL")</x:f>
        <x:v>PASS</x:v>
      </x:c>
    </x:row>
    <x:row r="4164">
      <x:c r="B4164" s="21" t="str">
        <x:v>A4158</x:v>
      </x:c>
      <x:c r="C4164" s="21" t="str">
        <x:v>milestone</x:v>
      </x:c>
      <x:c r="D4164" s="21" t="str">
        <x:v>milestone 88 year bounded</x:v>
      </x:c>
      <x:c r="E4164" s="21" t="n">
        <x:f>IF(AND(Milestones!I88&gt;=1,Milestones!I88&lt;=9),1,0)</x:f>
        <x:v>1</x:v>
      </x:c>
      <x:c r="F4164" s="21" t="n">
        <x:v>1</x:v>
      </x:c>
      <x:c r="G4164" s="23" t="str">
        <x:f>IF(E4164=F4164,"PASS","FAIL")</x:f>
        <x:v>PASS</x:v>
      </x:c>
    </x:row>
    <x:row r="4165">
      <x:c r="B4165" s="21" t="str">
        <x:v>A4159</x:v>
      </x:c>
      <x:c r="C4165" s="21" t="str">
        <x:v>milestone</x:v>
      </x:c>
      <x:c r="D4165" s="21" t="str">
        <x:v>milestone 88 payment nonnegative</x:v>
      </x:c>
      <x:c r="E4165" s="21" t="n">
        <x:f>IF(Milestones!J88&gt;=0,1,0)</x:f>
        <x:v>1</x:v>
      </x:c>
      <x:c r="F4165" s="21" t="n">
        <x:v>1</x:v>
      </x:c>
      <x:c r="G4165" s="23" t="str">
        <x:f>IF(E4165=F4165,"PASS","FAIL")</x:f>
        <x:v>PASS</x:v>
      </x:c>
    </x:row>
    <x:row r="4166">
      <x:c r="B4166" s="21" t="str">
        <x:v>A4160</x:v>
      </x:c>
      <x:c r="C4166" s="21" t="str">
        <x:v>milestone</x:v>
      </x:c>
      <x:c r="D4166" s="21" t="str">
        <x:v>milestone 88 evidence open</x:v>
      </x:c>
      <x:c r="E4166" s="21" t="n">
        <x:f>IF(Milestones!L88="OPEN",1,0)</x:f>
        <x:v>1</x:v>
      </x:c>
      <x:c r="F4166" s="21" t="n">
        <x:v>1</x:v>
      </x:c>
      <x:c r="G4166" s="23" t="str">
        <x:f>IF(E4166=F4166,"PASS","FAIL")</x:f>
        <x:v>PASS</x:v>
      </x:c>
    </x:row>
    <x:row r="4167">
      <x:c r="B4167" s="21" t="str">
        <x:v>A4161</x:v>
      </x:c>
      <x:c r="C4167" s="21" t="str">
        <x:v>milestone</x:v>
      </x:c>
      <x:c r="D4167" s="21" t="str">
        <x:v>milestone 88 decision held</x:v>
      </x:c>
      <x:c r="E4167" s="21" t="n">
        <x:f>IF(Milestones!M88="HOLD",1,0)</x:f>
        <x:v>1</x:v>
      </x:c>
      <x:c r="F4167" s="21" t="n">
        <x:v>1</x:v>
      </x:c>
      <x:c r="G4167" s="23" t="str">
        <x:f>IF(E4167=F4167,"PASS","FAIL")</x:f>
        <x:v>PASS</x:v>
      </x:c>
    </x:row>
    <x:row r="4168">
      <x:c r="B4168" s="21" t="str">
        <x:v>A4162</x:v>
      </x:c>
      <x:c r="C4168" s="21" t="str">
        <x:v>milestone</x:v>
      </x:c>
      <x:c r="D4168" s="21" t="str">
        <x:v>milestone 89 share positive</x:v>
      </x:c>
      <x:c r="E4168" s="21" t="n">
        <x:f>IF(Milestones!H89&gt;0,1,0)</x:f>
        <x:v>1</x:v>
      </x:c>
      <x:c r="F4168" s="21" t="n">
        <x:v>1</x:v>
      </x:c>
      <x:c r="G4168" s="23" t="str">
        <x:f>IF(E4168=F4168,"PASS","FAIL")</x:f>
        <x:v>PASS</x:v>
      </x:c>
    </x:row>
    <x:row r="4169">
      <x:c r="B4169" s="21" t="str">
        <x:v>A4163</x:v>
      </x:c>
      <x:c r="C4169" s="21" t="str">
        <x:v>milestone</x:v>
      </x:c>
      <x:c r="D4169" s="21" t="str">
        <x:v>milestone 89 year bounded</x:v>
      </x:c>
      <x:c r="E4169" s="21" t="n">
        <x:f>IF(AND(Milestones!I89&gt;=1,Milestones!I89&lt;=9),1,0)</x:f>
        <x:v>1</x:v>
      </x:c>
      <x:c r="F4169" s="21" t="n">
        <x:v>1</x:v>
      </x:c>
      <x:c r="G4169" s="23" t="str">
        <x:f>IF(E4169=F4169,"PASS","FAIL")</x:f>
        <x:v>PASS</x:v>
      </x:c>
    </x:row>
    <x:row r="4170">
      <x:c r="B4170" s="21" t="str">
        <x:v>A4164</x:v>
      </x:c>
      <x:c r="C4170" s="21" t="str">
        <x:v>milestone</x:v>
      </x:c>
      <x:c r="D4170" s="21" t="str">
        <x:v>milestone 89 payment nonnegative</x:v>
      </x:c>
      <x:c r="E4170" s="21" t="n">
        <x:f>IF(Milestones!J89&gt;=0,1,0)</x:f>
        <x:v>1</x:v>
      </x:c>
      <x:c r="F4170" s="21" t="n">
        <x:v>1</x:v>
      </x:c>
      <x:c r="G4170" s="23" t="str">
        <x:f>IF(E4170=F4170,"PASS","FAIL")</x:f>
        <x:v>PASS</x:v>
      </x:c>
    </x:row>
    <x:row r="4171">
      <x:c r="B4171" s="21" t="str">
        <x:v>A4165</x:v>
      </x:c>
      <x:c r="C4171" s="21" t="str">
        <x:v>milestone</x:v>
      </x:c>
      <x:c r="D4171" s="21" t="str">
        <x:v>milestone 89 evidence open</x:v>
      </x:c>
      <x:c r="E4171" s="21" t="n">
        <x:f>IF(Milestones!L89="OPEN",1,0)</x:f>
        <x:v>1</x:v>
      </x:c>
      <x:c r="F4171" s="21" t="n">
        <x:v>1</x:v>
      </x:c>
      <x:c r="G4171" s="23" t="str">
        <x:f>IF(E4171=F4171,"PASS","FAIL")</x:f>
        <x:v>PASS</x:v>
      </x:c>
    </x:row>
    <x:row r="4172">
      <x:c r="B4172" s="21" t="str">
        <x:v>A4166</x:v>
      </x:c>
      <x:c r="C4172" s="21" t="str">
        <x:v>milestone</x:v>
      </x:c>
      <x:c r="D4172" s="21" t="str">
        <x:v>milestone 89 decision held</x:v>
      </x:c>
      <x:c r="E4172" s="21" t="n">
        <x:f>IF(Milestones!M89="HOLD",1,0)</x:f>
        <x:v>1</x:v>
      </x:c>
      <x:c r="F4172" s="21" t="n">
        <x:v>1</x:v>
      </x:c>
      <x:c r="G4172" s="23" t="str">
        <x:f>IF(E4172=F4172,"PASS","FAIL")</x:f>
        <x:v>PASS</x:v>
      </x:c>
    </x:row>
    <x:row r="4173">
      <x:c r="B4173" s="21" t="str">
        <x:v>A4167</x:v>
      </x:c>
      <x:c r="C4173" s="21" t="str">
        <x:v>milestone</x:v>
      </x:c>
      <x:c r="D4173" s="21" t="str">
        <x:v>milestone 90 share positive</x:v>
      </x:c>
      <x:c r="E4173" s="21" t="n">
        <x:f>IF(Milestones!H90&gt;0,1,0)</x:f>
        <x:v>1</x:v>
      </x:c>
      <x:c r="F4173" s="21" t="n">
        <x:v>1</x:v>
      </x:c>
      <x:c r="G4173" s="23" t="str">
        <x:f>IF(E4173=F4173,"PASS","FAIL")</x:f>
        <x:v>PASS</x:v>
      </x:c>
    </x:row>
    <x:row r="4174">
      <x:c r="B4174" s="21" t="str">
        <x:v>A4168</x:v>
      </x:c>
      <x:c r="C4174" s="21" t="str">
        <x:v>milestone</x:v>
      </x:c>
      <x:c r="D4174" s="21" t="str">
        <x:v>milestone 90 year bounded</x:v>
      </x:c>
      <x:c r="E4174" s="21" t="n">
        <x:f>IF(AND(Milestones!I90&gt;=1,Milestones!I90&lt;=9),1,0)</x:f>
        <x:v>1</x:v>
      </x:c>
      <x:c r="F4174" s="21" t="n">
        <x:v>1</x:v>
      </x:c>
      <x:c r="G4174" s="23" t="str">
        <x:f>IF(E4174=F4174,"PASS","FAIL")</x:f>
        <x:v>PASS</x:v>
      </x:c>
    </x:row>
    <x:row r="4175">
      <x:c r="B4175" s="21" t="str">
        <x:v>A4169</x:v>
      </x:c>
      <x:c r="C4175" s="21" t="str">
        <x:v>milestone</x:v>
      </x:c>
      <x:c r="D4175" s="21" t="str">
        <x:v>milestone 90 payment nonnegative</x:v>
      </x:c>
      <x:c r="E4175" s="21" t="n">
        <x:f>IF(Milestones!J90&gt;=0,1,0)</x:f>
        <x:v>1</x:v>
      </x:c>
      <x:c r="F4175" s="21" t="n">
        <x:v>1</x:v>
      </x:c>
      <x:c r="G4175" s="23" t="str">
        <x:f>IF(E4175=F4175,"PASS","FAIL")</x:f>
        <x:v>PASS</x:v>
      </x:c>
    </x:row>
    <x:row r="4176">
      <x:c r="B4176" s="21" t="str">
        <x:v>A4170</x:v>
      </x:c>
      <x:c r="C4176" s="21" t="str">
        <x:v>milestone</x:v>
      </x:c>
      <x:c r="D4176" s="21" t="str">
        <x:v>milestone 90 evidence open</x:v>
      </x:c>
      <x:c r="E4176" s="21" t="n">
        <x:f>IF(Milestones!L90="OPEN",1,0)</x:f>
        <x:v>1</x:v>
      </x:c>
      <x:c r="F4176" s="21" t="n">
        <x:v>1</x:v>
      </x:c>
      <x:c r="G4176" s="23" t="str">
        <x:f>IF(E4176=F4176,"PASS","FAIL")</x:f>
        <x:v>PASS</x:v>
      </x:c>
    </x:row>
    <x:row r="4177">
      <x:c r="B4177" s="21" t="str">
        <x:v>A4171</x:v>
      </x:c>
      <x:c r="C4177" s="21" t="str">
        <x:v>milestone</x:v>
      </x:c>
      <x:c r="D4177" s="21" t="str">
        <x:v>milestone 90 decision held</x:v>
      </x:c>
      <x:c r="E4177" s="21" t="n">
        <x:f>IF(Milestones!M90="HOLD",1,0)</x:f>
        <x:v>1</x:v>
      </x:c>
      <x:c r="F4177" s="21" t="n">
        <x:v>1</x:v>
      </x:c>
      <x:c r="G4177" s="23" t="str">
        <x:f>IF(E4177=F4177,"PASS","FAIL")</x:f>
        <x:v>PASS</x:v>
      </x:c>
    </x:row>
    <x:row r="4178">
      <x:c r="B4178" s="21" t="str">
        <x:v>A4172</x:v>
      </x:c>
      <x:c r="C4178" s="21" t="str">
        <x:v>milestone</x:v>
      </x:c>
      <x:c r="D4178" s="21" t="str">
        <x:v>milestone 91 share positive</x:v>
      </x:c>
      <x:c r="E4178" s="21" t="n">
        <x:f>IF(Milestones!H91&gt;0,1,0)</x:f>
        <x:v>1</x:v>
      </x:c>
      <x:c r="F4178" s="21" t="n">
        <x:v>1</x:v>
      </x:c>
      <x:c r="G4178" s="23" t="str">
        <x:f>IF(E4178=F4178,"PASS","FAIL")</x:f>
        <x:v>PASS</x:v>
      </x:c>
    </x:row>
    <x:row r="4179">
      <x:c r="B4179" s="21" t="str">
        <x:v>A4173</x:v>
      </x:c>
      <x:c r="C4179" s="21" t="str">
        <x:v>milestone</x:v>
      </x:c>
      <x:c r="D4179" s="21" t="str">
        <x:v>milestone 91 year bounded</x:v>
      </x:c>
      <x:c r="E4179" s="21" t="n">
        <x:f>IF(AND(Milestones!I91&gt;=1,Milestones!I91&lt;=9),1,0)</x:f>
        <x:v>1</x:v>
      </x:c>
      <x:c r="F4179" s="21" t="n">
        <x:v>1</x:v>
      </x:c>
      <x:c r="G4179" s="23" t="str">
        <x:f>IF(E4179=F4179,"PASS","FAIL")</x:f>
        <x:v>PASS</x:v>
      </x:c>
    </x:row>
    <x:row r="4180">
      <x:c r="B4180" s="21" t="str">
        <x:v>A4174</x:v>
      </x:c>
      <x:c r="C4180" s="21" t="str">
        <x:v>milestone</x:v>
      </x:c>
      <x:c r="D4180" s="21" t="str">
        <x:v>milestone 91 payment nonnegative</x:v>
      </x:c>
      <x:c r="E4180" s="21" t="n">
        <x:f>IF(Milestones!J91&gt;=0,1,0)</x:f>
        <x:v>1</x:v>
      </x:c>
      <x:c r="F4180" s="21" t="n">
        <x:v>1</x:v>
      </x:c>
      <x:c r="G4180" s="23" t="str">
        <x:f>IF(E4180=F4180,"PASS","FAIL")</x:f>
        <x:v>PASS</x:v>
      </x:c>
    </x:row>
    <x:row r="4181">
      <x:c r="B4181" s="21" t="str">
        <x:v>A4175</x:v>
      </x:c>
      <x:c r="C4181" s="21" t="str">
        <x:v>milestone</x:v>
      </x:c>
      <x:c r="D4181" s="21" t="str">
        <x:v>milestone 91 evidence open</x:v>
      </x:c>
      <x:c r="E4181" s="21" t="n">
        <x:f>IF(Milestones!L91="OPEN",1,0)</x:f>
        <x:v>1</x:v>
      </x:c>
      <x:c r="F4181" s="21" t="n">
        <x:v>1</x:v>
      </x:c>
      <x:c r="G4181" s="23" t="str">
        <x:f>IF(E4181=F4181,"PASS","FAIL")</x:f>
        <x:v>PASS</x:v>
      </x:c>
    </x:row>
    <x:row r="4182">
      <x:c r="B4182" s="21" t="str">
        <x:v>A4176</x:v>
      </x:c>
      <x:c r="C4182" s="21" t="str">
        <x:v>milestone</x:v>
      </x:c>
      <x:c r="D4182" s="21" t="str">
        <x:v>milestone 91 decision held</x:v>
      </x:c>
      <x:c r="E4182" s="21" t="n">
        <x:f>IF(Milestones!M91="HOLD",1,0)</x:f>
        <x:v>1</x:v>
      </x:c>
      <x:c r="F4182" s="21" t="n">
        <x:v>1</x:v>
      </x:c>
      <x:c r="G4182" s="23" t="str">
        <x:f>IF(E4182=F4182,"PASS","FAIL")</x:f>
        <x:v>PASS</x:v>
      </x:c>
    </x:row>
    <x:row r="4183">
      <x:c r="B4183" s="21" t="str">
        <x:v>A4177</x:v>
      </x:c>
      <x:c r="C4183" s="21" t="str">
        <x:v>milestone</x:v>
      </x:c>
      <x:c r="D4183" s="21" t="str">
        <x:v>milestone 92 share positive</x:v>
      </x:c>
      <x:c r="E4183" s="21" t="n">
        <x:f>IF(Milestones!H92&gt;0,1,0)</x:f>
        <x:v>1</x:v>
      </x:c>
      <x:c r="F4183" s="21" t="n">
        <x:v>1</x:v>
      </x:c>
      <x:c r="G4183" s="23" t="str">
        <x:f>IF(E4183=F4183,"PASS","FAIL")</x:f>
        <x:v>PASS</x:v>
      </x:c>
    </x:row>
    <x:row r="4184">
      <x:c r="B4184" s="21" t="str">
        <x:v>A4178</x:v>
      </x:c>
      <x:c r="C4184" s="21" t="str">
        <x:v>milestone</x:v>
      </x:c>
      <x:c r="D4184" s="21" t="str">
        <x:v>milestone 92 year bounded</x:v>
      </x:c>
      <x:c r="E4184" s="21" t="n">
        <x:f>IF(AND(Milestones!I92&gt;=1,Milestones!I92&lt;=9),1,0)</x:f>
        <x:v>1</x:v>
      </x:c>
      <x:c r="F4184" s="21" t="n">
        <x:v>1</x:v>
      </x:c>
      <x:c r="G4184" s="23" t="str">
        <x:f>IF(E4184=F4184,"PASS","FAIL")</x:f>
        <x:v>PASS</x:v>
      </x:c>
    </x:row>
    <x:row r="4185">
      <x:c r="B4185" s="21" t="str">
        <x:v>A4179</x:v>
      </x:c>
      <x:c r="C4185" s="21" t="str">
        <x:v>milestone</x:v>
      </x:c>
      <x:c r="D4185" s="21" t="str">
        <x:v>milestone 92 payment nonnegative</x:v>
      </x:c>
      <x:c r="E4185" s="21" t="n">
        <x:f>IF(Milestones!J92&gt;=0,1,0)</x:f>
        <x:v>1</x:v>
      </x:c>
      <x:c r="F4185" s="21" t="n">
        <x:v>1</x:v>
      </x:c>
      <x:c r="G4185" s="23" t="str">
        <x:f>IF(E4185=F4185,"PASS","FAIL")</x:f>
        <x:v>PASS</x:v>
      </x:c>
    </x:row>
    <x:row r="4186">
      <x:c r="B4186" s="21" t="str">
        <x:v>A4180</x:v>
      </x:c>
      <x:c r="C4186" s="21" t="str">
        <x:v>milestone</x:v>
      </x:c>
      <x:c r="D4186" s="21" t="str">
        <x:v>milestone 92 evidence open</x:v>
      </x:c>
      <x:c r="E4186" s="21" t="n">
        <x:f>IF(Milestones!L92="OPEN",1,0)</x:f>
        <x:v>1</x:v>
      </x:c>
      <x:c r="F4186" s="21" t="n">
        <x:v>1</x:v>
      </x:c>
      <x:c r="G4186" s="23" t="str">
        <x:f>IF(E4186=F4186,"PASS","FAIL")</x:f>
        <x:v>PASS</x:v>
      </x:c>
    </x:row>
    <x:row r="4187">
      <x:c r="B4187" s="21" t="str">
        <x:v>A4181</x:v>
      </x:c>
      <x:c r="C4187" s="21" t="str">
        <x:v>milestone</x:v>
      </x:c>
      <x:c r="D4187" s="21" t="str">
        <x:v>milestone 92 decision held</x:v>
      </x:c>
      <x:c r="E4187" s="21" t="n">
        <x:f>IF(Milestones!M92="HOLD",1,0)</x:f>
        <x:v>1</x:v>
      </x:c>
      <x:c r="F4187" s="21" t="n">
        <x:v>1</x:v>
      </x:c>
      <x:c r="G4187" s="23" t="str">
        <x:f>IF(E4187=F4187,"PASS","FAIL")</x:f>
        <x:v>PASS</x:v>
      </x:c>
    </x:row>
    <x:row r="4188">
      <x:c r="B4188" s="21" t="str">
        <x:v>A4182</x:v>
      </x:c>
      <x:c r="C4188" s="21" t="str">
        <x:v>milestone</x:v>
      </x:c>
      <x:c r="D4188" s="21" t="str">
        <x:v>milestone 93 share positive</x:v>
      </x:c>
      <x:c r="E4188" s="21" t="n">
        <x:f>IF(Milestones!H93&gt;0,1,0)</x:f>
        <x:v>1</x:v>
      </x:c>
      <x:c r="F4188" s="21" t="n">
        <x:v>1</x:v>
      </x:c>
      <x:c r="G4188" s="23" t="str">
        <x:f>IF(E4188=F4188,"PASS","FAIL")</x:f>
        <x:v>PASS</x:v>
      </x:c>
    </x:row>
    <x:row r="4189">
      <x:c r="B4189" s="21" t="str">
        <x:v>A4183</x:v>
      </x:c>
      <x:c r="C4189" s="21" t="str">
        <x:v>milestone</x:v>
      </x:c>
      <x:c r="D4189" s="21" t="str">
        <x:v>milestone 93 year bounded</x:v>
      </x:c>
      <x:c r="E4189" s="21" t="n">
        <x:f>IF(AND(Milestones!I93&gt;=1,Milestones!I93&lt;=9),1,0)</x:f>
        <x:v>1</x:v>
      </x:c>
      <x:c r="F4189" s="21" t="n">
        <x:v>1</x:v>
      </x:c>
      <x:c r="G4189" s="23" t="str">
        <x:f>IF(E4189=F4189,"PASS","FAIL")</x:f>
        <x:v>PASS</x:v>
      </x:c>
    </x:row>
    <x:row r="4190">
      <x:c r="B4190" s="21" t="str">
        <x:v>A4184</x:v>
      </x:c>
      <x:c r="C4190" s="21" t="str">
        <x:v>milestone</x:v>
      </x:c>
      <x:c r="D4190" s="21" t="str">
        <x:v>milestone 93 payment nonnegative</x:v>
      </x:c>
      <x:c r="E4190" s="21" t="n">
        <x:f>IF(Milestones!J93&gt;=0,1,0)</x:f>
        <x:v>1</x:v>
      </x:c>
      <x:c r="F4190" s="21" t="n">
        <x:v>1</x:v>
      </x:c>
      <x:c r="G4190" s="23" t="str">
        <x:f>IF(E4190=F4190,"PASS","FAIL")</x:f>
        <x:v>PASS</x:v>
      </x:c>
    </x:row>
    <x:row r="4191">
      <x:c r="B4191" s="21" t="str">
        <x:v>A4185</x:v>
      </x:c>
      <x:c r="C4191" s="21" t="str">
        <x:v>milestone</x:v>
      </x:c>
      <x:c r="D4191" s="21" t="str">
        <x:v>milestone 93 evidence open</x:v>
      </x:c>
      <x:c r="E4191" s="21" t="n">
        <x:f>IF(Milestones!L93="OPEN",1,0)</x:f>
        <x:v>1</x:v>
      </x:c>
      <x:c r="F4191" s="21" t="n">
        <x:v>1</x:v>
      </x:c>
      <x:c r="G4191" s="23" t="str">
        <x:f>IF(E4191=F4191,"PASS","FAIL")</x:f>
        <x:v>PASS</x:v>
      </x:c>
    </x:row>
    <x:row r="4192">
      <x:c r="B4192" s="21" t="str">
        <x:v>A4186</x:v>
      </x:c>
      <x:c r="C4192" s="21" t="str">
        <x:v>milestone</x:v>
      </x:c>
      <x:c r="D4192" s="21" t="str">
        <x:v>milestone 93 decision held</x:v>
      </x:c>
      <x:c r="E4192" s="21" t="n">
        <x:f>IF(Milestones!M93="HOLD",1,0)</x:f>
        <x:v>1</x:v>
      </x:c>
      <x:c r="F4192" s="21" t="n">
        <x:v>1</x:v>
      </x:c>
      <x:c r="G4192" s="23" t="str">
        <x:f>IF(E4192=F4192,"PASS","FAIL")</x:f>
        <x:v>PASS</x:v>
      </x:c>
    </x:row>
    <x:row r="4193">
      <x:c r="B4193" s="21" t="str">
        <x:v>A4187</x:v>
      </x:c>
      <x:c r="C4193" s="21" t="str">
        <x:v>milestone</x:v>
      </x:c>
      <x:c r="D4193" s="21" t="str">
        <x:v>milestone 94 share positive</x:v>
      </x:c>
      <x:c r="E4193" s="21" t="n">
        <x:f>IF(Milestones!H94&gt;0,1,0)</x:f>
        <x:v>1</x:v>
      </x:c>
      <x:c r="F4193" s="21" t="n">
        <x:v>1</x:v>
      </x:c>
      <x:c r="G4193" s="23" t="str">
        <x:f>IF(E4193=F4193,"PASS","FAIL")</x:f>
        <x:v>PASS</x:v>
      </x:c>
    </x:row>
    <x:row r="4194">
      <x:c r="B4194" s="21" t="str">
        <x:v>A4188</x:v>
      </x:c>
      <x:c r="C4194" s="21" t="str">
        <x:v>milestone</x:v>
      </x:c>
      <x:c r="D4194" s="21" t="str">
        <x:v>milestone 94 year bounded</x:v>
      </x:c>
      <x:c r="E4194" s="21" t="n">
        <x:f>IF(AND(Milestones!I94&gt;=1,Milestones!I94&lt;=9),1,0)</x:f>
        <x:v>1</x:v>
      </x:c>
      <x:c r="F4194" s="21" t="n">
        <x:v>1</x:v>
      </x:c>
      <x:c r="G4194" s="23" t="str">
        <x:f>IF(E4194=F4194,"PASS","FAIL")</x:f>
        <x:v>PASS</x:v>
      </x:c>
    </x:row>
    <x:row r="4195">
      <x:c r="B4195" s="21" t="str">
        <x:v>A4189</x:v>
      </x:c>
      <x:c r="C4195" s="21" t="str">
        <x:v>milestone</x:v>
      </x:c>
      <x:c r="D4195" s="21" t="str">
        <x:v>milestone 94 payment nonnegative</x:v>
      </x:c>
      <x:c r="E4195" s="21" t="n">
        <x:f>IF(Milestones!J94&gt;=0,1,0)</x:f>
        <x:v>1</x:v>
      </x:c>
      <x:c r="F4195" s="21" t="n">
        <x:v>1</x:v>
      </x:c>
      <x:c r="G4195" s="23" t="str">
        <x:f>IF(E4195=F4195,"PASS","FAIL")</x:f>
        <x:v>PASS</x:v>
      </x:c>
    </x:row>
    <x:row r="4196">
      <x:c r="B4196" s="21" t="str">
        <x:v>A4190</x:v>
      </x:c>
      <x:c r="C4196" s="21" t="str">
        <x:v>milestone</x:v>
      </x:c>
      <x:c r="D4196" s="21" t="str">
        <x:v>milestone 94 evidence open</x:v>
      </x:c>
      <x:c r="E4196" s="21" t="n">
        <x:f>IF(Milestones!L94="OPEN",1,0)</x:f>
        <x:v>1</x:v>
      </x:c>
      <x:c r="F4196" s="21" t="n">
        <x:v>1</x:v>
      </x:c>
      <x:c r="G4196" s="23" t="str">
        <x:f>IF(E4196=F4196,"PASS","FAIL")</x:f>
        <x:v>PASS</x:v>
      </x:c>
    </x:row>
    <x:row r="4197">
      <x:c r="B4197" s="21" t="str">
        <x:v>A4191</x:v>
      </x:c>
      <x:c r="C4197" s="21" t="str">
        <x:v>milestone</x:v>
      </x:c>
      <x:c r="D4197" s="21" t="str">
        <x:v>milestone 94 decision held</x:v>
      </x:c>
      <x:c r="E4197" s="21" t="n">
        <x:f>IF(Milestones!M94="HOLD",1,0)</x:f>
        <x:v>1</x:v>
      </x:c>
      <x:c r="F4197" s="21" t="n">
        <x:v>1</x:v>
      </x:c>
      <x:c r="G4197" s="23" t="str">
        <x:f>IF(E4197=F4197,"PASS","FAIL")</x:f>
        <x:v>PASS</x:v>
      </x:c>
    </x:row>
    <x:row r="4198">
      <x:c r="B4198" s="21" t="str">
        <x:v>A4192</x:v>
      </x:c>
      <x:c r="C4198" s="21" t="str">
        <x:v>milestone</x:v>
      </x:c>
      <x:c r="D4198" s="21" t="str">
        <x:v>milestone 95 share positive</x:v>
      </x:c>
      <x:c r="E4198" s="21" t="n">
        <x:f>IF(Milestones!H95&gt;0,1,0)</x:f>
        <x:v>1</x:v>
      </x:c>
      <x:c r="F4198" s="21" t="n">
        <x:v>1</x:v>
      </x:c>
      <x:c r="G4198" s="23" t="str">
        <x:f>IF(E4198=F4198,"PASS","FAIL")</x:f>
        <x:v>PASS</x:v>
      </x:c>
    </x:row>
    <x:row r="4199">
      <x:c r="B4199" s="21" t="str">
        <x:v>A4193</x:v>
      </x:c>
      <x:c r="C4199" s="21" t="str">
        <x:v>milestone</x:v>
      </x:c>
      <x:c r="D4199" s="21" t="str">
        <x:v>milestone 95 year bounded</x:v>
      </x:c>
      <x:c r="E4199" s="21" t="n">
        <x:f>IF(AND(Milestones!I95&gt;=1,Milestones!I95&lt;=9),1,0)</x:f>
        <x:v>1</x:v>
      </x:c>
      <x:c r="F4199" s="21" t="n">
        <x:v>1</x:v>
      </x:c>
      <x:c r="G4199" s="23" t="str">
        <x:f>IF(E4199=F4199,"PASS","FAIL")</x:f>
        <x:v>PASS</x:v>
      </x:c>
    </x:row>
    <x:row r="4200">
      <x:c r="B4200" s="21" t="str">
        <x:v>A4194</x:v>
      </x:c>
      <x:c r="C4200" s="21" t="str">
        <x:v>milestone</x:v>
      </x:c>
      <x:c r="D4200" s="21" t="str">
        <x:v>milestone 95 payment nonnegative</x:v>
      </x:c>
      <x:c r="E4200" s="21" t="n">
        <x:f>IF(Milestones!J95&gt;=0,1,0)</x:f>
        <x:v>1</x:v>
      </x:c>
      <x:c r="F4200" s="21" t="n">
        <x:v>1</x:v>
      </x:c>
      <x:c r="G4200" s="23" t="str">
        <x:f>IF(E4200=F4200,"PASS","FAIL")</x:f>
        <x:v>PASS</x:v>
      </x:c>
    </x:row>
    <x:row r="4201">
      <x:c r="B4201" s="21" t="str">
        <x:v>A4195</x:v>
      </x:c>
      <x:c r="C4201" s="21" t="str">
        <x:v>milestone</x:v>
      </x:c>
      <x:c r="D4201" s="21" t="str">
        <x:v>milestone 95 evidence open</x:v>
      </x:c>
      <x:c r="E4201" s="21" t="n">
        <x:f>IF(Milestones!L95="OPEN",1,0)</x:f>
        <x:v>1</x:v>
      </x:c>
      <x:c r="F4201" s="21" t="n">
        <x:v>1</x:v>
      </x:c>
      <x:c r="G4201" s="23" t="str">
        <x:f>IF(E4201=F4201,"PASS","FAIL")</x:f>
        <x:v>PASS</x:v>
      </x:c>
    </x:row>
    <x:row r="4202">
      <x:c r="B4202" s="21" t="str">
        <x:v>A4196</x:v>
      </x:c>
      <x:c r="C4202" s="21" t="str">
        <x:v>milestone</x:v>
      </x:c>
      <x:c r="D4202" s="21" t="str">
        <x:v>milestone 95 decision held</x:v>
      </x:c>
      <x:c r="E4202" s="21" t="n">
        <x:f>IF(Milestones!M95="HOLD",1,0)</x:f>
        <x:v>1</x:v>
      </x:c>
      <x:c r="F4202" s="21" t="n">
        <x:v>1</x:v>
      </x:c>
      <x:c r="G4202" s="23" t="str">
        <x:f>IF(E4202=F4202,"PASS","FAIL")</x:f>
        <x:v>PASS</x:v>
      </x:c>
    </x:row>
    <x:row r="4203">
      <x:c r="B4203" s="21" t="str">
        <x:v>A4197</x:v>
      </x:c>
      <x:c r="C4203" s="21" t="str">
        <x:v>milestone</x:v>
      </x:c>
      <x:c r="D4203" s="21" t="str">
        <x:v>milestone 96 share positive</x:v>
      </x:c>
      <x:c r="E4203" s="21" t="n">
        <x:f>IF(Milestones!H96&gt;0,1,0)</x:f>
        <x:v>1</x:v>
      </x:c>
      <x:c r="F4203" s="21" t="n">
        <x:v>1</x:v>
      </x:c>
      <x:c r="G4203" s="23" t="str">
        <x:f>IF(E4203=F4203,"PASS","FAIL")</x:f>
        <x:v>PASS</x:v>
      </x:c>
    </x:row>
    <x:row r="4204">
      <x:c r="B4204" s="21" t="str">
        <x:v>A4198</x:v>
      </x:c>
      <x:c r="C4204" s="21" t="str">
        <x:v>milestone</x:v>
      </x:c>
      <x:c r="D4204" s="21" t="str">
        <x:v>milestone 96 year bounded</x:v>
      </x:c>
      <x:c r="E4204" s="21" t="n">
        <x:f>IF(AND(Milestones!I96&gt;=1,Milestones!I96&lt;=9),1,0)</x:f>
        <x:v>1</x:v>
      </x:c>
      <x:c r="F4204" s="21" t="n">
        <x:v>1</x:v>
      </x:c>
      <x:c r="G4204" s="23" t="str">
        <x:f>IF(E4204=F4204,"PASS","FAIL")</x:f>
        <x:v>PASS</x:v>
      </x:c>
    </x:row>
    <x:row r="4205">
      <x:c r="B4205" s="21" t="str">
        <x:v>A4199</x:v>
      </x:c>
      <x:c r="C4205" s="21" t="str">
        <x:v>milestone</x:v>
      </x:c>
      <x:c r="D4205" s="21" t="str">
        <x:v>milestone 96 payment nonnegative</x:v>
      </x:c>
      <x:c r="E4205" s="21" t="n">
        <x:f>IF(Milestones!J96&gt;=0,1,0)</x:f>
        <x:v>1</x:v>
      </x:c>
      <x:c r="F4205" s="21" t="n">
        <x:v>1</x:v>
      </x:c>
      <x:c r="G4205" s="23" t="str">
        <x:f>IF(E4205=F4205,"PASS","FAIL")</x:f>
        <x:v>PASS</x:v>
      </x:c>
    </x:row>
    <x:row r="4206">
      <x:c r="B4206" s="21" t="str">
        <x:v>A4200</x:v>
      </x:c>
      <x:c r="C4206" s="21" t="str">
        <x:v>milestone</x:v>
      </x:c>
      <x:c r="D4206" s="21" t="str">
        <x:v>milestone 96 evidence open</x:v>
      </x:c>
      <x:c r="E4206" s="21" t="n">
        <x:f>IF(Milestones!L96="OPEN",1,0)</x:f>
        <x:v>1</x:v>
      </x:c>
      <x:c r="F4206" s="21" t="n">
        <x:v>1</x:v>
      </x:c>
      <x:c r="G4206" s="23" t="str">
        <x:f>IF(E4206=F4206,"PASS","FAIL")</x:f>
        <x:v>PASS</x:v>
      </x:c>
    </x:row>
    <x:row r="4207">
      <x:c r="B4207" s="21" t="str">
        <x:v>A4201</x:v>
      </x:c>
      <x:c r="C4207" s="21" t="str">
        <x:v>milestone</x:v>
      </x:c>
      <x:c r="D4207" s="21" t="str">
        <x:v>milestone 96 decision held</x:v>
      </x:c>
      <x:c r="E4207" s="21" t="n">
        <x:f>IF(Milestones!M96="HOLD",1,0)</x:f>
        <x:v>1</x:v>
      </x:c>
      <x:c r="F4207" s="21" t="n">
        <x:v>1</x:v>
      </x:c>
      <x:c r="G4207" s="23" t="str">
        <x:f>IF(E4207=F4207,"PASS","FAIL")</x:f>
        <x:v>PASS</x:v>
      </x:c>
    </x:row>
    <x:row r="4208">
      <x:c r="B4208" s="21" t="str">
        <x:v>A4202</x:v>
      </x:c>
      <x:c r="C4208" s="21" t="str">
        <x:v>milestone</x:v>
      </x:c>
      <x:c r="D4208" s="21" t="str">
        <x:v>milestone 97 share positive</x:v>
      </x:c>
      <x:c r="E4208" s="21" t="n">
        <x:f>IF(Milestones!H97&gt;0,1,0)</x:f>
        <x:v>1</x:v>
      </x:c>
      <x:c r="F4208" s="21" t="n">
        <x:v>1</x:v>
      </x:c>
      <x:c r="G4208" s="23" t="str">
        <x:f>IF(E4208=F4208,"PASS","FAIL")</x:f>
        <x:v>PASS</x:v>
      </x:c>
    </x:row>
    <x:row r="4209">
      <x:c r="B4209" s="21" t="str">
        <x:v>A4203</x:v>
      </x:c>
      <x:c r="C4209" s="21" t="str">
        <x:v>milestone</x:v>
      </x:c>
      <x:c r="D4209" s="21" t="str">
        <x:v>milestone 97 year bounded</x:v>
      </x:c>
      <x:c r="E4209" s="21" t="n">
        <x:f>IF(AND(Milestones!I97&gt;=1,Milestones!I97&lt;=9),1,0)</x:f>
        <x:v>1</x:v>
      </x:c>
      <x:c r="F4209" s="21" t="n">
        <x:v>1</x:v>
      </x:c>
      <x:c r="G4209" s="23" t="str">
        <x:f>IF(E4209=F4209,"PASS","FAIL")</x:f>
        <x:v>PASS</x:v>
      </x:c>
    </x:row>
    <x:row r="4210">
      <x:c r="B4210" s="21" t="str">
        <x:v>A4204</x:v>
      </x:c>
      <x:c r="C4210" s="21" t="str">
        <x:v>milestone</x:v>
      </x:c>
      <x:c r="D4210" s="21" t="str">
        <x:v>milestone 97 payment nonnegative</x:v>
      </x:c>
      <x:c r="E4210" s="21" t="n">
        <x:f>IF(Milestones!J97&gt;=0,1,0)</x:f>
        <x:v>1</x:v>
      </x:c>
      <x:c r="F4210" s="21" t="n">
        <x:v>1</x:v>
      </x:c>
      <x:c r="G4210" s="23" t="str">
        <x:f>IF(E4210=F4210,"PASS","FAIL")</x:f>
        <x:v>PASS</x:v>
      </x:c>
    </x:row>
    <x:row r="4211">
      <x:c r="B4211" s="21" t="str">
        <x:v>A4205</x:v>
      </x:c>
      <x:c r="C4211" s="21" t="str">
        <x:v>milestone</x:v>
      </x:c>
      <x:c r="D4211" s="21" t="str">
        <x:v>milestone 97 evidence open</x:v>
      </x:c>
      <x:c r="E4211" s="21" t="n">
        <x:f>IF(Milestones!L97="OPEN",1,0)</x:f>
        <x:v>1</x:v>
      </x:c>
      <x:c r="F4211" s="21" t="n">
        <x:v>1</x:v>
      </x:c>
      <x:c r="G4211" s="23" t="str">
        <x:f>IF(E4211=F4211,"PASS","FAIL")</x:f>
        <x:v>PASS</x:v>
      </x:c>
    </x:row>
    <x:row r="4212">
      <x:c r="B4212" s="21" t="str">
        <x:v>A4206</x:v>
      </x:c>
      <x:c r="C4212" s="21" t="str">
        <x:v>milestone</x:v>
      </x:c>
      <x:c r="D4212" s="21" t="str">
        <x:v>milestone 97 decision held</x:v>
      </x:c>
      <x:c r="E4212" s="21" t="n">
        <x:f>IF(Milestones!M97="HOLD",1,0)</x:f>
        <x:v>1</x:v>
      </x:c>
      <x:c r="F4212" s="21" t="n">
        <x:v>1</x:v>
      </x:c>
      <x:c r="G4212" s="23" t="str">
        <x:f>IF(E4212=F4212,"PASS","FAIL")</x:f>
        <x:v>PASS</x:v>
      </x:c>
    </x:row>
    <x:row r="4213">
      <x:c r="B4213" s="21" t="str">
        <x:v>A4207</x:v>
      </x:c>
      <x:c r="C4213" s="21" t="str">
        <x:v>milestone</x:v>
      </x:c>
      <x:c r="D4213" s="21" t="str">
        <x:v>milestone 98 share positive</x:v>
      </x:c>
      <x:c r="E4213" s="21" t="n">
        <x:f>IF(Milestones!H98&gt;0,1,0)</x:f>
        <x:v>1</x:v>
      </x:c>
      <x:c r="F4213" s="21" t="n">
        <x:v>1</x:v>
      </x:c>
      <x:c r="G4213" s="23" t="str">
        <x:f>IF(E4213=F4213,"PASS","FAIL")</x:f>
        <x:v>PASS</x:v>
      </x:c>
    </x:row>
    <x:row r="4214">
      <x:c r="B4214" s="21" t="str">
        <x:v>A4208</x:v>
      </x:c>
      <x:c r="C4214" s="21" t="str">
        <x:v>milestone</x:v>
      </x:c>
      <x:c r="D4214" s="21" t="str">
        <x:v>milestone 98 year bounded</x:v>
      </x:c>
      <x:c r="E4214" s="21" t="n">
        <x:f>IF(AND(Milestones!I98&gt;=1,Milestones!I98&lt;=9),1,0)</x:f>
        <x:v>1</x:v>
      </x:c>
      <x:c r="F4214" s="21" t="n">
        <x:v>1</x:v>
      </x:c>
      <x:c r="G4214" s="23" t="str">
        <x:f>IF(E4214=F4214,"PASS","FAIL")</x:f>
        <x:v>PASS</x:v>
      </x:c>
    </x:row>
    <x:row r="4215">
      <x:c r="B4215" s="21" t="str">
        <x:v>A4209</x:v>
      </x:c>
      <x:c r="C4215" s="21" t="str">
        <x:v>milestone</x:v>
      </x:c>
      <x:c r="D4215" s="21" t="str">
        <x:v>milestone 98 payment nonnegative</x:v>
      </x:c>
      <x:c r="E4215" s="21" t="n">
        <x:f>IF(Milestones!J98&gt;=0,1,0)</x:f>
        <x:v>1</x:v>
      </x:c>
      <x:c r="F4215" s="21" t="n">
        <x:v>1</x:v>
      </x:c>
      <x:c r="G4215" s="23" t="str">
        <x:f>IF(E4215=F4215,"PASS","FAIL")</x:f>
        <x:v>PASS</x:v>
      </x:c>
    </x:row>
    <x:row r="4216">
      <x:c r="B4216" s="21" t="str">
        <x:v>A4210</x:v>
      </x:c>
      <x:c r="C4216" s="21" t="str">
        <x:v>milestone</x:v>
      </x:c>
      <x:c r="D4216" s="21" t="str">
        <x:v>milestone 98 evidence open</x:v>
      </x:c>
      <x:c r="E4216" s="21" t="n">
        <x:f>IF(Milestones!L98="OPEN",1,0)</x:f>
        <x:v>1</x:v>
      </x:c>
      <x:c r="F4216" s="21" t="n">
        <x:v>1</x:v>
      </x:c>
      <x:c r="G4216" s="23" t="str">
        <x:f>IF(E4216=F4216,"PASS","FAIL")</x:f>
        <x:v>PASS</x:v>
      </x:c>
    </x:row>
    <x:row r="4217">
      <x:c r="B4217" s="21" t="str">
        <x:v>A4211</x:v>
      </x:c>
      <x:c r="C4217" s="21" t="str">
        <x:v>milestone</x:v>
      </x:c>
      <x:c r="D4217" s="21" t="str">
        <x:v>milestone 98 decision held</x:v>
      </x:c>
      <x:c r="E4217" s="21" t="n">
        <x:f>IF(Milestones!M98="HOLD",1,0)</x:f>
        <x:v>1</x:v>
      </x:c>
      <x:c r="F4217" s="21" t="n">
        <x:v>1</x:v>
      </x:c>
      <x:c r="G4217" s="23" t="str">
        <x:f>IF(E4217=F4217,"PASS","FAIL")</x:f>
        <x:v>PASS</x:v>
      </x:c>
    </x:row>
    <x:row r="4218">
      <x:c r="B4218" s="21" t="str">
        <x:v>A4212</x:v>
      </x:c>
      <x:c r="C4218" s="21" t="str">
        <x:v>milestone</x:v>
      </x:c>
      <x:c r="D4218" s="21" t="str">
        <x:v>milestone 99 share positive</x:v>
      </x:c>
      <x:c r="E4218" s="21" t="n">
        <x:f>IF(Milestones!H99&gt;0,1,0)</x:f>
        <x:v>1</x:v>
      </x:c>
      <x:c r="F4218" s="21" t="n">
        <x:v>1</x:v>
      </x:c>
      <x:c r="G4218" s="23" t="str">
        <x:f>IF(E4218=F4218,"PASS","FAIL")</x:f>
        <x:v>PASS</x:v>
      </x:c>
    </x:row>
    <x:row r="4219">
      <x:c r="B4219" s="21" t="str">
        <x:v>A4213</x:v>
      </x:c>
      <x:c r="C4219" s="21" t="str">
        <x:v>milestone</x:v>
      </x:c>
      <x:c r="D4219" s="21" t="str">
        <x:v>milestone 99 year bounded</x:v>
      </x:c>
      <x:c r="E4219" s="21" t="n">
        <x:f>IF(AND(Milestones!I99&gt;=1,Milestones!I99&lt;=9),1,0)</x:f>
        <x:v>1</x:v>
      </x:c>
      <x:c r="F4219" s="21" t="n">
        <x:v>1</x:v>
      </x:c>
      <x:c r="G4219" s="23" t="str">
        <x:f>IF(E4219=F4219,"PASS","FAIL")</x:f>
        <x:v>PASS</x:v>
      </x:c>
    </x:row>
    <x:row r="4220">
      <x:c r="B4220" s="21" t="str">
        <x:v>A4214</x:v>
      </x:c>
      <x:c r="C4220" s="21" t="str">
        <x:v>milestone</x:v>
      </x:c>
      <x:c r="D4220" s="21" t="str">
        <x:v>milestone 99 payment nonnegative</x:v>
      </x:c>
      <x:c r="E4220" s="21" t="n">
        <x:f>IF(Milestones!J99&gt;=0,1,0)</x:f>
        <x:v>1</x:v>
      </x:c>
      <x:c r="F4220" s="21" t="n">
        <x:v>1</x:v>
      </x:c>
      <x:c r="G4220" s="23" t="str">
        <x:f>IF(E4220=F4220,"PASS","FAIL")</x:f>
        <x:v>PASS</x:v>
      </x:c>
    </x:row>
    <x:row r="4221">
      <x:c r="B4221" s="21" t="str">
        <x:v>A4215</x:v>
      </x:c>
      <x:c r="C4221" s="21" t="str">
        <x:v>milestone</x:v>
      </x:c>
      <x:c r="D4221" s="21" t="str">
        <x:v>milestone 99 evidence open</x:v>
      </x:c>
      <x:c r="E4221" s="21" t="n">
        <x:f>IF(Milestones!L99="OPEN",1,0)</x:f>
        <x:v>1</x:v>
      </x:c>
      <x:c r="F4221" s="21" t="n">
        <x:v>1</x:v>
      </x:c>
      <x:c r="G4221" s="23" t="str">
        <x:f>IF(E4221=F4221,"PASS","FAIL")</x:f>
        <x:v>PASS</x:v>
      </x:c>
    </x:row>
    <x:row r="4222">
      <x:c r="B4222" s="21" t="str">
        <x:v>A4216</x:v>
      </x:c>
      <x:c r="C4222" s="21" t="str">
        <x:v>milestone</x:v>
      </x:c>
      <x:c r="D4222" s="21" t="str">
        <x:v>milestone 99 decision held</x:v>
      </x:c>
      <x:c r="E4222" s="21" t="n">
        <x:f>IF(Milestones!M99="HOLD",1,0)</x:f>
        <x:v>1</x:v>
      </x:c>
      <x:c r="F4222" s="21" t="n">
        <x:v>1</x:v>
      </x:c>
      <x:c r="G4222" s="23" t="str">
        <x:f>IF(E4222=F4222,"PASS","FAIL")</x:f>
        <x:v>PASS</x:v>
      </x:c>
    </x:row>
    <x:row r="4223">
      <x:c r="B4223" s="21" t="str">
        <x:v>A4217</x:v>
      </x:c>
      <x:c r="C4223" s="21" t="str">
        <x:v>milestone</x:v>
      </x:c>
      <x:c r="D4223" s="21" t="str">
        <x:v>milestone 100 share positive</x:v>
      </x:c>
      <x:c r="E4223" s="21" t="n">
        <x:f>IF(Milestones!H100&gt;0,1,0)</x:f>
        <x:v>1</x:v>
      </x:c>
      <x:c r="F4223" s="21" t="n">
        <x:v>1</x:v>
      </x:c>
      <x:c r="G4223" s="23" t="str">
        <x:f>IF(E4223=F4223,"PASS","FAIL")</x:f>
        <x:v>PASS</x:v>
      </x:c>
    </x:row>
    <x:row r="4224">
      <x:c r="B4224" s="21" t="str">
        <x:v>A4218</x:v>
      </x:c>
      <x:c r="C4224" s="21" t="str">
        <x:v>milestone</x:v>
      </x:c>
      <x:c r="D4224" s="21" t="str">
        <x:v>milestone 100 year bounded</x:v>
      </x:c>
      <x:c r="E4224" s="21" t="n">
        <x:f>IF(AND(Milestones!I100&gt;=1,Milestones!I100&lt;=9),1,0)</x:f>
        <x:v>1</x:v>
      </x:c>
      <x:c r="F4224" s="21" t="n">
        <x:v>1</x:v>
      </x:c>
      <x:c r="G4224" s="23" t="str">
        <x:f>IF(E4224=F4224,"PASS","FAIL")</x:f>
        <x:v>PASS</x:v>
      </x:c>
    </x:row>
    <x:row r="4225">
      <x:c r="B4225" s="21" t="str">
        <x:v>A4219</x:v>
      </x:c>
      <x:c r="C4225" s="21" t="str">
        <x:v>milestone</x:v>
      </x:c>
      <x:c r="D4225" s="21" t="str">
        <x:v>milestone 100 payment nonnegative</x:v>
      </x:c>
      <x:c r="E4225" s="21" t="n">
        <x:f>IF(Milestones!J100&gt;=0,1,0)</x:f>
        <x:v>1</x:v>
      </x:c>
      <x:c r="F4225" s="21" t="n">
        <x:v>1</x:v>
      </x:c>
      <x:c r="G4225" s="23" t="str">
        <x:f>IF(E4225=F4225,"PASS","FAIL")</x:f>
        <x:v>PASS</x:v>
      </x:c>
    </x:row>
    <x:row r="4226">
      <x:c r="B4226" s="21" t="str">
        <x:v>A4220</x:v>
      </x:c>
      <x:c r="C4226" s="21" t="str">
        <x:v>milestone</x:v>
      </x:c>
      <x:c r="D4226" s="21" t="str">
        <x:v>milestone 100 evidence open</x:v>
      </x:c>
      <x:c r="E4226" s="21" t="n">
        <x:f>IF(Milestones!L100="OPEN",1,0)</x:f>
        <x:v>1</x:v>
      </x:c>
      <x:c r="F4226" s="21" t="n">
        <x:v>1</x:v>
      </x:c>
      <x:c r="G4226" s="23" t="str">
        <x:f>IF(E4226=F4226,"PASS","FAIL")</x:f>
        <x:v>PASS</x:v>
      </x:c>
    </x:row>
    <x:row r="4227">
      <x:c r="B4227" s="21" t="str">
        <x:v>A4221</x:v>
      </x:c>
      <x:c r="C4227" s="21" t="str">
        <x:v>milestone</x:v>
      </x:c>
      <x:c r="D4227" s="21" t="str">
        <x:v>milestone 100 decision held</x:v>
      </x:c>
      <x:c r="E4227" s="21" t="n">
        <x:f>IF(Milestones!M100="HOLD",1,0)</x:f>
        <x:v>1</x:v>
      </x:c>
      <x:c r="F4227" s="21" t="n">
        <x:v>1</x:v>
      </x:c>
      <x:c r="G4227" s="23" t="str">
        <x:f>IF(E4227=F4227,"PASS","FAIL")</x:f>
        <x:v>PASS</x:v>
      </x:c>
    </x:row>
    <x:row r="4228">
      <x:c r="B4228" s="21" t="str">
        <x:v>A4222</x:v>
      </x:c>
      <x:c r="C4228" s="21" t="str">
        <x:v>milestone</x:v>
      </x:c>
      <x:c r="D4228" s="21" t="str">
        <x:v>milestone 101 share positive</x:v>
      </x:c>
      <x:c r="E4228" s="21" t="n">
        <x:f>IF(Milestones!H101&gt;0,1,0)</x:f>
        <x:v>1</x:v>
      </x:c>
      <x:c r="F4228" s="21" t="n">
        <x:v>1</x:v>
      </x:c>
      <x:c r="G4228" s="23" t="str">
        <x:f>IF(E4228=F4228,"PASS","FAIL")</x:f>
        <x:v>PASS</x:v>
      </x:c>
    </x:row>
    <x:row r="4229">
      <x:c r="B4229" s="21" t="str">
        <x:v>A4223</x:v>
      </x:c>
      <x:c r="C4229" s="21" t="str">
        <x:v>milestone</x:v>
      </x:c>
      <x:c r="D4229" s="21" t="str">
        <x:v>milestone 101 year bounded</x:v>
      </x:c>
      <x:c r="E4229" s="21" t="n">
        <x:f>IF(AND(Milestones!I101&gt;=1,Milestones!I101&lt;=9),1,0)</x:f>
        <x:v>1</x:v>
      </x:c>
      <x:c r="F4229" s="21" t="n">
        <x:v>1</x:v>
      </x:c>
      <x:c r="G4229" s="23" t="str">
        <x:f>IF(E4229=F4229,"PASS","FAIL")</x:f>
        <x:v>PASS</x:v>
      </x:c>
    </x:row>
    <x:row r="4230">
      <x:c r="B4230" s="21" t="str">
        <x:v>A4224</x:v>
      </x:c>
      <x:c r="C4230" s="21" t="str">
        <x:v>milestone</x:v>
      </x:c>
      <x:c r="D4230" s="21" t="str">
        <x:v>milestone 101 payment nonnegative</x:v>
      </x:c>
      <x:c r="E4230" s="21" t="n">
        <x:f>IF(Milestones!J101&gt;=0,1,0)</x:f>
        <x:v>1</x:v>
      </x:c>
      <x:c r="F4230" s="21" t="n">
        <x:v>1</x:v>
      </x:c>
      <x:c r="G4230" s="23" t="str">
        <x:f>IF(E4230=F4230,"PASS","FAIL")</x:f>
        <x:v>PASS</x:v>
      </x:c>
    </x:row>
    <x:row r="4231">
      <x:c r="B4231" s="21" t="str">
        <x:v>A4225</x:v>
      </x:c>
      <x:c r="C4231" s="21" t="str">
        <x:v>milestone</x:v>
      </x:c>
      <x:c r="D4231" s="21" t="str">
        <x:v>milestone 101 evidence open</x:v>
      </x:c>
      <x:c r="E4231" s="21" t="n">
        <x:f>IF(Milestones!L101="OPEN",1,0)</x:f>
        <x:v>1</x:v>
      </x:c>
      <x:c r="F4231" s="21" t="n">
        <x:v>1</x:v>
      </x:c>
      <x:c r="G4231" s="23" t="str">
        <x:f>IF(E4231=F4231,"PASS","FAIL")</x:f>
        <x:v>PASS</x:v>
      </x:c>
    </x:row>
    <x:row r="4232">
      <x:c r="B4232" s="21" t="str">
        <x:v>A4226</x:v>
      </x:c>
      <x:c r="C4232" s="21" t="str">
        <x:v>milestone</x:v>
      </x:c>
      <x:c r="D4232" s="21" t="str">
        <x:v>milestone 101 decision held</x:v>
      </x:c>
      <x:c r="E4232" s="21" t="n">
        <x:f>IF(Milestones!M101="HOLD",1,0)</x:f>
        <x:v>1</x:v>
      </x:c>
      <x:c r="F4232" s="21" t="n">
        <x:v>1</x:v>
      </x:c>
      <x:c r="G4232" s="23" t="str">
        <x:f>IF(E4232=F4232,"PASS","FAIL")</x:f>
        <x:v>PASS</x:v>
      </x:c>
    </x:row>
    <x:row r="4233">
      <x:c r="B4233" s="21" t="str">
        <x:v>A4227</x:v>
      </x:c>
      <x:c r="C4233" s="21" t="str">
        <x:v>milestone</x:v>
      </x:c>
      <x:c r="D4233" s="21" t="str">
        <x:v>milestone 102 share positive</x:v>
      </x:c>
      <x:c r="E4233" s="21" t="n">
        <x:f>IF(Milestones!H102&gt;0,1,0)</x:f>
        <x:v>1</x:v>
      </x:c>
      <x:c r="F4233" s="21" t="n">
        <x:v>1</x:v>
      </x:c>
      <x:c r="G4233" s="23" t="str">
        <x:f>IF(E4233=F4233,"PASS","FAIL")</x:f>
        <x:v>PASS</x:v>
      </x:c>
    </x:row>
    <x:row r="4234">
      <x:c r="B4234" s="21" t="str">
        <x:v>A4228</x:v>
      </x:c>
      <x:c r="C4234" s="21" t="str">
        <x:v>milestone</x:v>
      </x:c>
      <x:c r="D4234" s="21" t="str">
        <x:v>milestone 102 year bounded</x:v>
      </x:c>
      <x:c r="E4234" s="21" t="n">
        <x:f>IF(AND(Milestones!I102&gt;=1,Milestones!I102&lt;=9),1,0)</x:f>
        <x:v>1</x:v>
      </x:c>
      <x:c r="F4234" s="21" t="n">
        <x:v>1</x:v>
      </x:c>
      <x:c r="G4234" s="23" t="str">
        <x:f>IF(E4234=F4234,"PASS","FAIL")</x:f>
        <x:v>PASS</x:v>
      </x:c>
    </x:row>
    <x:row r="4235">
      <x:c r="B4235" s="21" t="str">
        <x:v>A4229</x:v>
      </x:c>
      <x:c r="C4235" s="21" t="str">
        <x:v>milestone</x:v>
      </x:c>
      <x:c r="D4235" s="21" t="str">
        <x:v>milestone 102 payment nonnegative</x:v>
      </x:c>
      <x:c r="E4235" s="21" t="n">
        <x:f>IF(Milestones!J102&gt;=0,1,0)</x:f>
        <x:v>1</x:v>
      </x:c>
      <x:c r="F4235" s="21" t="n">
        <x:v>1</x:v>
      </x:c>
      <x:c r="G4235" s="23" t="str">
        <x:f>IF(E4235=F4235,"PASS","FAIL")</x:f>
        <x:v>PASS</x:v>
      </x:c>
    </x:row>
    <x:row r="4236">
      <x:c r="B4236" s="21" t="str">
        <x:v>A4230</x:v>
      </x:c>
      <x:c r="C4236" s="21" t="str">
        <x:v>milestone</x:v>
      </x:c>
      <x:c r="D4236" s="21" t="str">
        <x:v>milestone 102 evidence open</x:v>
      </x:c>
      <x:c r="E4236" s="21" t="n">
        <x:f>IF(Milestones!L102="OPEN",1,0)</x:f>
        <x:v>1</x:v>
      </x:c>
      <x:c r="F4236" s="21" t="n">
        <x:v>1</x:v>
      </x:c>
      <x:c r="G4236" s="23" t="str">
        <x:f>IF(E4236=F4236,"PASS","FAIL")</x:f>
        <x:v>PASS</x:v>
      </x:c>
    </x:row>
    <x:row r="4237">
      <x:c r="B4237" s="21" t="str">
        <x:v>A4231</x:v>
      </x:c>
      <x:c r="C4237" s="21" t="str">
        <x:v>milestone</x:v>
      </x:c>
      <x:c r="D4237" s="21" t="str">
        <x:v>milestone 102 decision held</x:v>
      </x:c>
      <x:c r="E4237" s="21" t="n">
        <x:f>IF(Milestones!M102="HOLD",1,0)</x:f>
        <x:v>1</x:v>
      </x:c>
      <x:c r="F4237" s="21" t="n">
        <x:v>1</x:v>
      </x:c>
      <x:c r="G4237" s="23" t="str">
        <x:f>IF(E4237=F4237,"PASS","FAIL")</x:f>
        <x:v>PASS</x:v>
      </x:c>
    </x:row>
    <x:row r="4238">
      <x:c r="B4238" s="21" t="str">
        <x:v>A4232</x:v>
      </x:c>
      <x:c r="C4238" s="21" t="str">
        <x:v>milestone</x:v>
      </x:c>
      <x:c r="D4238" s="21" t="str">
        <x:v>milestone 103 share positive</x:v>
      </x:c>
      <x:c r="E4238" s="21" t="n">
        <x:f>IF(Milestones!H103&gt;0,1,0)</x:f>
        <x:v>1</x:v>
      </x:c>
      <x:c r="F4238" s="21" t="n">
        <x:v>1</x:v>
      </x:c>
      <x:c r="G4238" s="23" t="str">
        <x:f>IF(E4238=F4238,"PASS","FAIL")</x:f>
        <x:v>PASS</x:v>
      </x:c>
    </x:row>
    <x:row r="4239">
      <x:c r="B4239" s="21" t="str">
        <x:v>A4233</x:v>
      </x:c>
      <x:c r="C4239" s="21" t="str">
        <x:v>milestone</x:v>
      </x:c>
      <x:c r="D4239" s="21" t="str">
        <x:v>milestone 103 year bounded</x:v>
      </x:c>
      <x:c r="E4239" s="21" t="n">
        <x:f>IF(AND(Milestones!I103&gt;=1,Milestones!I103&lt;=9),1,0)</x:f>
        <x:v>1</x:v>
      </x:c>
      <x:c r="F4239" s="21" t="n">
        <x:v>1</x:v>
      </x:c>
      <x:c r="G4239" s="23" t="str">
        <x:f>IF(E4239=F4239,"PASS","FAIL")</x:f>
        <x:v>PASS</x:v>
      </x:c>
    </x:row>
    <x:row r="4240">
      <x:c r="B4240" s="21" t="str">
        <x:v>A4234</x:v>
      </x:c>
      <x:c r="C4240" s="21" t="str">
        <x:v>milestone</x:v>
      </x:c>
      <x:c r="D4240" s="21" t="str">
        <x:v>milestone 103 payment nonnegative</x:v>
      </x:c>
      <x:c r="E4240" s="21" t="n">
        <x:f>IF(Milestones!J103&gt;=0,1,0)</x:f>
        <x:v>1</x:v>
      </x:c>
      <x:c r="F4240" s="21" t="n">
        <x:v>1</x:v>
      </x:c>
      <x:c r="G4240" s="23" t="str">
        <x:f>IF(E4240=F4240,"PASS","FAIL")</x:f>
        <x:v>PASS</x:v>
      </x:c>
    </x:row>
    <x:row r="4241">
      <x:c r="B4241" s="21" t="str">
        <x:v>A4235</x:v>
      </x:c>
      <x:c r="C4241" s="21" t="str">
        <x:v>milestone</x:v>
      </x:c>
      <x:c r="D4241" s="21" t="str">
        <x:v>milestone 103 evidence open</x:v>
      </x:c>
      <x:c r="E4241" s="21" t="n">
        <x:f>IF(Milestones!L103="OPEN",1,0)</x:f>
        <x:v>1</x:v>
      </x:c>
      <x:c r="F4241" s="21" t="n">
        <x:v>1</x:v>
      </x:c>
      <x:c r="G4241" s="23" t="str">
        <x:f>IF(E4241=F4241,"PASS","FAIL")</x:f>
        <x:v>PASS</x:v>
      </x:c>
    </x:row>
    <x:row r="4242">
      <x:c r="B4242" s="21" t="str">
        <x:v>A4236</x:v>
      </x:c>
      <x:c r="C4242" s="21" t="str">
        <x:v>milestone</x:v>
      </x:c>
      <x:c r="D4242" s="21" t="str">
        <x:v>milestone 103 decision held</x:v>
      </x:c>
      <x:c r="E4242" s="21" t="n">
        <x:f>IF(Milestones!M103="HOLD",1,0)</x:f>
        <x:v>1</x:v>
      </x:c>
      <x:c r="F4242" s="21" t="n">
        <x:v>1</x:v>
      </x:c>
      <x:c r="G4242" s="23" t="str">
        <x:f>IF(E4242=F4242,"PASS","FAIL")</x:f>
        <x:v>PASS</x:v>
      </x:c>
    </x:row>
    <x:row r="4243">
      <x:c r="B4243" s="21" t="str">
        <x:v>A4237</x:v>
      </x:c>
      <x:c r="C4243" s="21" t="str">
        <x:v>milestone</x:v>
      </x:c>
      <x:c r="D4243" s="21" t="str">
        <x:v>milestone 104 share positive</x:v>
      </x:c>
      <x:c r="E4243" s="21" t="n">
        <x:f>IF(Milestones!H104&gt;0,1,0)</x:f>
        <x:v>1</x:v>
      </x:c>
      <x:c r="F4243" s="21" t="n">
        <x:v>1</x:v>
      </x:c>
      <x:c r="G4243" s="23" t="str">
        <x:f>IF(E4243=F4243,"PASS","FAIL")</x:f>
        <x:v>PASS</x:v>
      </x:c>
    </x:row>
    <x:row r="4244">
      <x:c r="B4244" s="21" t="str">
        <x:v>A4238</x:v>
      </x:c>
      <x:c r="C4244" s="21" t="str">
        <x:v>milestone</x:v>
      </x:c>
      <x:c r="D4244" s="21" t="str">
        <x:v>milestone 104 year bounded</x:v>
      </x:c>
      <x:c r="E4244" s="21" t="n">
        <x:f>IF(AND(Milestones!I104&gt;=1,Milestones!I104&lt;=9),1,0)</x:f>
        <x:v>1</x:v>
      </x:c>
      <x:c r="F4244" s="21" t="n">
        <x:v>1</x:v>
      </x:c>
      <x:c r="G4244" s="23" t="str">
        <x:f>IF(E4244=F4244,"PASS","FAIL")</x:f>
        <x:v>PASS</x:v>
      </x:c>
    </x:row>
    <x:row r="4245">
      <x:c r="B4245" s="21" t="str">
        <x:v>A4239</x:v>
      </x:c>
      <x:c r="C4245" s="21" t="str">
        <x:v>milestone</x:v>
      </x:c>
      <x:c r="D4245" s="21" t="str">
        <x:v>milestone 104 payment nonnegative</x:v>
      </x:c>
      <x:c r="E4245" s="21" t="n">
        <x:f>IF(Milestones!J104&gt;=0,1,0)</x:f>
        <x:v>1</x:v>
      </x:c>
      <x:c r="F4245" s="21" t="n">
        <x:v>1</x:v>
      </x:c>
      <x:c r="G4245" s="23" t="str">
        <x:f>IF(E4245=F4245,"PASS","FAIL")</x:f>
        <x:v>PASS</x:v>
      </x:c>
    </x:row>
    <x:row r="4246">
      <x:c r="B4246" s="21" t="str">
        <x:v>A4240</x:v>
      </x:c>
      <x:c r="C4246" s="21" t="str">
        <x:v>milestone</x:v>
      </x:c>
      <x:c r="D4246" s="21" t="str">
        <x:v>milestone 104 evidence open</x:v>
      </x:c>
      <x:c r="E4246" s="21" t="n">
        <x:f>IF(Milestones!L104="OPEN",1,0)</x:f>
        <x:v>1</x:v>
      </x:c>
      <x:c r="F4246" s="21" t="n">
        <x:v>1</x:v>
      </x:c>
      <x:c r="G4246" s="23" t="str">
        <x:f>IF(E4246=F4246,"PASS","FAIL")</x:f>
        <x:v>PASS</x:v>
      </x:c>
    </x:row>
    <x:row r="4247">
      <x:c r="B4247" s="21" t="str">
        <x:v>A4241</x:v>
      </x:c>
      <x:c r="C4247" s="21" t="str">
        <x:v>milestone</x:v>
      </x:c>
      <x:c r="D4247" s="21" t="str">
        <x:v>milestone 104 decision held</x:v>
      </x:c>
      <x:c r="E4247" s="21" t="n">
        <x:f>IF(Milestones!M104="HOLD",1,0)</x:f>
        <x:v>1</x:v>
      </x:c>
      <x:c r="F4247" s="21" t="n">
        <x:v>1</x:v>
      </x:c>
      <x:c r="G4247" s="23" t="str">
        <x:f>IF(E4247=F4247,"PASS","FAIL")</x:f>
        <x:v>PASS</x:v>
      </x:c>
    </x:row>
    <x:row r="4248">
      <x:c r="B4248" s="21" t="str">
        <x:v>A4242</x:v>
      </x:c>
      <x:c r="C4248" s="21" t="str">
        <x:v>milestone</x:v>
      </x:c>
      <x:c r="D4248" s="21" t="str">
        <x:v>milestone 105 share positive</x:v>
      </x:c>
      <x:c r="E4248" s="21" t="n">
        <x:f>IF(Milestones!H105&gt;0,1,0)</x:f>
        <x:v>1</x:v>
      </x:c>
      <x:c r="F4248" s="21" t="n">
        <x:v>1</x:v>
      </x:c>
      <x:c r="G4248" s="23" t="str">
        <x:f>IF(E4248=F4248,"PASS","FAIL")</x:f>
        <x:v>PASS</x:v>
      </x:c>
    </x:row>
    <x:row r="4249">
      <x:c r="B4249" s="21" t="str">
        <x:v>A4243</x:v>
      </x:c>
      <x:c r="C4249" s="21" t="str">
        <x:v>milestone</x:v>
      </x:c>
      <x:c r="D4249" s="21" t="str">
        <x:v>milestone 105 year bounded</x:v>
      </x:c>
      <x:c r="E4249" s="21" t="n">
        <x:f>IF(AND(Milestones!I105&gt;=1,Milestones!I105&lt;=9),1,0)</x:f>
        <x:v>1</x:v>
      </x:c>
      <x:c r="F4249" s="21" t="n">
        <x:v>1</x:v>
      </x:c>
      <x:c r="G4249" s="23" t="str">
        <x:f>IF(E4249=F4249,"PASS","FAIL")</x:f>
        <x:v>PASS</x:v>
      </x:c>
    </x:row>
    <x:row r="4250">
      <x:c r="B4250" s="21" t="str">
        <x:v>A4244</x:v>
      </x:c>
      <x:c r="C4250" s="21" t="str">
        <x:v>milestone</x:v>
      </x:c>
      <x:c r="D4250" s="21" t="str">
        <x:v>milestone 105 payment nonnegative</x:v>
      </x:c>
      <x:c r="E4250" s="21" t="n">
        <x:f>IF(Milestones!J105&gt;=0,1,0)</x:f>
        <x:v>1</x:v>
      </x:c>
      <x:c r="F4250" s="21" t="n">
        <x:v>1</x:v>
      </x:c>
      <x:c r="G4250" s="23" t="str">
        <x:f>IF(E4250=F4250,"PASS","FAIL")</x:f>
        <x:v>PASS</x:v>
      </x:c>
    </x:row>
    <x:row r="4251">
      <x:c r="B4251" s="21" t="str">
        <x:v>A4245</x:v>
      </x:c>
      <x:c r="C4251" s="21" t="str">
        <x:v>milestone</x:v>
      </x:c>
      <x:c r="D4251" s="21" t="str">
        <x:v>milestone 105 evidence open</x:v>
      </x:c>
      <x:c r="E4251" s="21" t="n">
        <x:f>IF(Milestones!L105="OPEN",1,0)</x:f>
        <x:v>1</x:v>
      </x:c>
      <x:c r="F4251" s="21" t="n">
        <x:v>1</x:v>
      </x:c>
      <x:c r="G4251" s="23" t="str">
        <x:f>IF(E4251=F4251,"PASS","FAIL")</x:f>
        <x:v>PASS</x:v>
      </x:c>
    </x:row>
    <x:row r="4252">
      <x:c r="B4252" s="21" t="str">
        <x:v>A4246</x:v>
      </x:c>
      <x:c r="C4252" s="21" t="str">
        <x:v>milestone</x:v>
      </x:c>
      <x:c r="D4252" s="21" t="str">
        <x:v>milestone 105 decision held</x:v>
      </x:c>
      <x:c r="E4252" s="21" t="n">
        <x:f>IF(Milestones!M105="HOLD",1,0)</x:f>
        <x:v>1</x:v>
      </x:c>
      <x:c r="F4252" s="21" t="n">
        <x:v>1</x:v>
      </x:c>
      <x:c r="G4252" s="23" t="str">
        <x:f>IF(E4252=F4252,"PASS","FAIL")</x:f>
        <x:v>PASS</x:v>
      </x:c>
    </x:row>
    <x:row r="4253">
      <x:c r="B4253" s="21" t="str">
        <x:v>A4247</x:v>
      </x:c>
      <x:c r="C4253" s="21" t="str">
        <x:v>milestone</x:v>
      </x:c>
      <x:c r="D4253" s="21" t="str">
        <x:v>milestone 106 share positive</x:v>
      </x:c>
      <x:c r="E4253" s="21" t="n">
        <x:f>IF(Milestones!H106&gt;0,1,0)</x:f>
        <x:v>1</x:v>
      </x:c>
      <x:c r="F4253" s="21" t="n">
        <x:v>1</x:v>
      </x:c>
      <x:c r="G4253" s="23" t="str">
        <x:f>IF(E4253=F4253,"PASS","FAIL")</x:f>
        <x:v>PASS</x:v>
      </x:c>
    </x:row>
    <x:row r="4254">
      <x:c r="B4254" s="21" t="str">
        <x:v>A4248</x:v>
      </x:c>
      <x:c r="C4254" s="21" t="str">
        <x:v>milestone</x:v>
      </x:c>
      <x:c r="D4254" s="21" t="str">
        <x:v>milestone 106 year bounded</x:v>
      </x:c>
      <x:c r="E4254" s="21" t="n">
        <x:f>IF(AND(Milestones!I106&gt;=1,Milestones!I106&lt;=9),1,0)</x:f>
        <x:v>1</x:v>
      </x:c>
      <x:c r="F4254" s="21" t="n">
        <x:v>1</x:v>
      </x:c>
      <x:c r="G4254" s="23" t="str">
        <x:f>IF(E4254=F4254,"PASS","FAIL")</x:f>
        <x:v>PASS</x:v>
      </x:c>
    </x:row>
    <x:row r="4255">
      <x:c r="B4255" s="21" t="str">
        <x:v>A4249</x:v>
      </x:c>
      <x:c r="C4255" s="21" t="str">
        <x:v>milestone</x:v>
      </x:c>
      <x:c r="D4255" s="21" t="str">
        <x:v>milestone 106 payment nonnegative</x:v>
      </x:c>
      <x:c r="E4255" s="21" t="n">
        <x:f>IF(Milestones!J106&gt;=0,1,0)</x:f>
        <x:v>1</x:v>
      </x:c>
      <x:c r="F4255" s="21" t="n">
        <x:v>1</x:v>
      </x:c>
      <x:c r="G4255" s="23" t="str">
        <x:f>IF(E4255=F4255,"PASS","FAIL")</x:f>
        <x:v>PASS</x:v>
      </x:c>
    </x:row>
    <x:row r="4256">
      <x:c r="B4256" s="21" t="str">
        <x:v>A4250</x:v>
      </x:c>
      <x:c r="C4256" s="21" t="str">
        <x:v>milestone</x:v>
      </x:c>
      <x:c r="D4256" s="21" t="str">
        <x:v>milestone 106 evidence open</x:v>
      </x:c>
      <x:c r="E4256" s="21" t="n">
        <x:f>IF(Milestones!L106="OPEN",1,0)</x:f>
        <x:v>1</x:v>
      </x:c>
      <x:c r="F4256" s="21" t="n">
        <x:v>1</x:v>
      </x:c>
      <x:c r="G4256" s="23" t="str">
        <x:f>IF(E4256=F4256,"PASS","FAIL")</x:f>
        <x:v>PASS</x:v>
      </x:c>
    </x:row>
    <x:row r="4257">
      <x:c r="B4257" s="21" t="str">
        <x:v>A4251</x:v>
      </x:c>
      <x:c r="C4257" s="21" t="str">
        <x:v>milestone</x:v>
      </x:c>
      <x:c r="D4257" s="21" t="str">
        <x:v>milestone 106 decision held</x:v>
      </x:c>
      <x:c r="E4257" s="21" t="n">
        <x:f>IF(Milestones!M106="HOLD",1,0)</x:f>
        <x:v>1</x:v>
      </x:c>
      <x:c r="F4257" s="21" t="n">
        <x:v>1</x:v>
      </x:c>
      <x:c r="G4257" s="23" t="str">
        <x:f>IF(E4257=F4257,"PASS","FAIL")</x:f>
        <x:v>PASS</x:v>
      </x:c>
    </x:row>
    <x:row r="4258">
      <x:c r="B4258" s="21" t="str">
        <x:v>A4252</x:v>
      </x:c>
      <x:c r="C4258" s="21" t="str">
        <x:v>milestone</x:v>
      </x:c>
      <x:c r="D4258" s="21" t="str">
        <x:v>milestone 107 share positive</x:v>
      </x:c>
      <x:c r="E4258" s="21" t="n">
        <x:f>IF(Milestones!H107&gt;0,1,0)</x:f>
        <x:v>1</x:v>
      </x:c>
      <x:c r="F4258" s="21" t="n">
        <x:v>1</x:v>
      </x:c>
      <x:c r="G4258" s="23" t="str">
        <x:f>IF(E4258=F4258,"PASS","FAIL")</x:f>
        <x:v>PASS</x:v>
      </x:c>
    </x:row>
    <x:row r="4259">
      <x:c r="B4259" s="21" t="str">
        <x:v>A4253</x:v>
      </x:c>
      <x:c r="C4259" s="21" t="str">
        <x:v>milestone</x:v>
      </x:c>
      <x:c r="D4259" s="21" t="str">
        <x:v>milestone 107 year bounded</x:v>
      </x:c>
      <x:c r="E4259" s="21" t="n">
        <x:f>IF(AND(Milestones!I107&gt;=1,Milestones!I107&lt;=9),1,0)</x:f>
        <x:v>1</x:v>
      </x:c>
      <x:c r="F4259" s="21" t="n">
        <x:v>1</x:v>
      </x:c>
      <x:c r="G4259" s="23" t="str">
        <x:f>IF(E4259=F4259,"PASS","FAIL")</x:f>
        <x:v>PASS</x:v>
      </x:c>
    </x:row>
    <x:row r="4260">
      <x:c r="B4260" s="21" t="str">
        <x:v>A4254</x:v>
      </x:c>
      <x:c r="C4260" s="21" t="str">
        <x:v>milestone</x:v>
      </x:c>
      <x:c r="D4260" s="21" t="str">
        <x:v>milestone 107 payment nonnegative</x:v>
      </x:c>
      <x:c r="E4260" s="21" t="n">
        <x:f>IF(Milestones!J107&gt;=0,1,0)</x:f>
        <x:v>1</x:v>
      </x:c>
      <x:c r="F4260" s="21" t="n">
        <x:v>1</x:v>
      </x:c>
      <x:c r="G4260" s="23" t="str">
        <x:f>IF(E4260=F4260,"PASS","FAIL")</x:f>
        <x:v>PASS</x:v>
      </x:c>
    </x:row>
    <x:row r="4261">
      <x:c r="B4261" s="21" t="str">
        <x:v>A4255</x:v>
      </x:c>
      <x:c r="C4261" s="21" t="str">
        <x:v>milestone</x:v>
      </x:c>
      <x:c r="D4261" s="21" t="str">
        <x:v>milestone 107 evidence open</x:v>
      </x:c>
      <x:c r="E4261" s="21" t="n">
        <x:f>IF(Milestones!L107="OPEN",1,0)</x:f>
        <x:v>1</x:v>
      </x:c>
      <x:c r="F4261" s="21" t="n">
        <x:v>1</x:v>
      </x:c>
      <x:c r="G4261" s="23" t="str">
        <x:f>IF(E4261=F4261,"PASS","FAIL")</x:f>
        <x:v>PASS</x:v>
      </x:c>
    </x:row>
    <x:row r="4262">
      <x:c r="B4262" s="21" t="str">
        <x:v>A4256</x:v>
      </x:c>
      <x:c r="C4262" s="21" t="str">
        <x:v>milestone</x:v>
      </x:c>
      <x:c r="D4262" s="21" t="str">
        <x:v>milestone 107 decision held</x:v>
      </x:c>
      <x:c r="E4262" s="21" t="n">
        <x:f>IF(Milestones!M107="HOLD",1,0)</x:f>
        <x:v>1</x:v>
      </x:c>
      <x:c r="F4262" s="21" t="n">
        <x:v>1</x:v>
      </x:c>
      <x:c r="G4262" s="23" t="str">
        <x:f>IF(E4262=F4262,"PASS","FAIL")</x:f>
        <x:v>PASS</x:v>
      </x:c>
    </x:row>
    <x:row r="4263">
      <x:c r="B4263" s="21" t="str">
        <x:v>A4257</x:v>
      </x:c>
      <x:c r="C4263" s="21" t="str">
        <x:v>milestone</x:v>
      </x:c>
      <x:c r="D4263" s="21" t="str">
        <x:v>milestone 108 share positive</x:v>
      </x:c>
      <x:c r="E4263" s="21" t="n">
        <x:f>IF(Milestones!H108&gt;0,1,0)</x:f>
        <x:v>1</x:v>
      </x:c>
      <x:c r="F4263" s="21" t="n">
        <x:v>1</x:v>
      </x:c>
      <x:c r="G4263" s="23" t="str">
        <x:f>IF(E4263=F4263,"PASS","FAIL")</x:f>
        <x:v>PASS</x:v>
      </x:c>
    </x:row>
    <x:row r="4264">
      <x:c r="B4264" s="21" t="str">
        <x:v>A4258</x:v>
      </x:c>
      <x:c r="C4264" s="21" t="str">
        <x:v>milestone</x:v>
      </x:c>
      <x:c r="D4264" s="21" t="str">
        <x:v>milestone 108 year bounded</x:v>
      </x:c>
      <x:c r="E4264" s="21" t="n">
        <x:f>IF(AND(Milestones!I108&gt;=1,Milestones!I108&lt;=9),1,0)</x:f>
        <x:v>1</x:v>
      </x:c>
      <x:c r="F4264" s="21" t="n">
        <x:v>1</x:v>
      </x:c>
      <x:c r="G4264" s="23" t="str">
        <x:f>IF(E4264=F4264,"PASS","FAIL")</x:f>
        <x:v>PASS</x:v>
      </x:c>
    </x:row>
    <x:row r="4265">
      <x:c r="B4265" s="21" t="str">
        <x:v>A4259</x:v>
      </x:c>
      <x:c r="C4265" s="21" t="str">
        <x:v>milestone</x:v>
      </x:c>
      <x:c r="D4265" s="21" t="str">
        <x:v>milestone 108 payment nonnegative</x:v>
      </x:c>
      <x:c r="E4265" s="21" t="n">
        <x:f>IF(Milestones!J108&gt;=0,1,0)</x:f>
        <x:v>1</x:v>
      </x:c>
      <x:c r="F4265" s="21" t="n">
        <x:v>1</x:v>
      </x:c>
      <x:c r="G4265" s="23" t="str">
        <x:f>IF(E4265=F4265,"PASS","FAIL")</x:f>
        <x:v>PASS</x:v>
      </x:c>
    </x:row>
    <x:row r="4266">
      <x:c r="B4266" s="21" t="str">
        <x:v>A4260</x:v>
      </x:c>
      <x:c r="C4266" s="21" t="str">
        <x:v>milestone</x:v>
      </x:c>
      <x:c r="D4266" s="21" t="str">
        <x:v>milestone 108 evidence open</x:v>
      </x:c>
      <x:c r="E4266" s="21" t="n">
        <x:f>IF(Milestones!L108="OPEN",1,0)</x:f>
        <x:v>1</x:v>
      </x:c>
      <x:c r="F4266" s="21" t="n">
        <x:v>1</x:v>
      </x:c>
      <x:c r="G4266" s="23" t="str">
        <x:f>IF(E4266=F4266,"PASS","FAIL")</x:f>
        <x:v>PASS</x:v>
      </x:c>
    </x:row>
    <x:row r="4267">
      <x:c r="B4267" s="21" t="str">
        <x:v>A4261</x:v>
      </x:c>
      <x:c r="C4267" s="21" t="str">
        <x:v>milestone</x:v>
      </x:c>
      <x:c r="D4267" s="21" t="str">
        <x:v>milestone 108 decision held</x:v>
      </x:c>
      <x:c r="E4267" s="21" t="n">
        <x:f>IF(Milestones!M108="HOLD",1,0)</x:f>
        <x:v>1</x:v>
      </x:c>
      <x:c r="F4267" s="21" t="n">
        <x:v>1</x:v>
      </x:c>
      <x:c r="G4267" s="23" t="str">
        <x:f>IF(E4267=F4267,"PASS","FAIL")</x:f>
        <x:v>PASS</x:v>
      </x:c>
    </x:row>
    <x:row r="4268">
      <x:c r="B4268" s="21" t="str">
        <x:v>A4262</x:v>
      </x:c>
      <x:c r="C4268" s="21" t="str">
        <x:v>milestone</x:v>
      </x:c>
      <x:c r="D4268" s="21" t="str">
        <x:v>milestone 109 share positive</x:v>
      </x:c>
      <x:c r="E4268" s="21" t="n">
        <x:f>IF(Milestones!H109&gt;0,1,0)</x:f>
        <x:v>1</x:v>
      </x:c>
      <x:c r="F4268" s="21" t="n">
        <x:v>1</x:v>
      </x:c>
      <x:c r="G4268" s="23" t="str">
        <x:f>IF(E4268=F4268,"PASS","FAIL")</x:f>
        <x:v>PASS</x:v>
      </x:c>
    </x:row>
    <x:row r="4269">
      <x:c r="B4269" s="21" t="str">
        <x:v>A4263</x:v>
      </x:c>
      <x:c r="C4269" s="21" t="str">
        <x:v>milestone</x:v>
      </x:c>
      <x:c r="D4269" s="21" t="str">
        <x:v>milestone 109 year bounded</x:v>
      </x:c>
      <x:c r="E4269" s="21" t="n">
        <x:f>IF(AND(Milestones!I109&gt;=1,Milestones!I109&lt;=9),1,0)</x:f>
        <x:v>1</x:v>
      </x:c>
      <x:c r="F4269" s="21" t="n">
        <x:v>1</x:v>
      </x:c>
      <x:c r="G4269" s="23" t="str">
        <x:f>IF(E4269=F4269,"PASS","FAIL")</x:f>
        <x:v>PASS</x:v>
      </x:c>
    </x:row>
    <x:row r="4270">
      <x:c r="B4270" s="21" t="str">
        <x:v>A4264</x:v>
      </x:c>
      <x:c r="C4270" s="21" t="str">
        <x:v>milestone</x:v>
      </x:c>
      <x:c r="D4270" s="21" t="str">
        <x:v>milestone 109 payment nonnegative</x:v>
      </x:c>
      <x:c r="E4270" s="21" t="n">
        <x:f>IF(Milestones!J109&gt;=0,1,0)</x:f>
        <x:v>1</x:v>
      </x:c>
      <x:c r="F4270" s="21" t="n">
        <x:v>1</x:v>
      </x:c>
      <x:c r="G4270" s="23" t="str">
        <x:f>IF(E4270=F4270,"PASS","FAIL")</x:f>
        <x:v>PASS</x:v>
      </x:c>
    </x:row>
    <x:row r="4271">
      <x:c r="B4271" s="21" t="str">
        <x:v>A4265</x:v>
      </x:c>
      <x:c r="C4271" s="21" t="str">
        <x:v>milestone</x:v>
      </x:c>
      <x:c r="D4271" s="21" t="str">
        <x:v>milestone 109 evidence open</x:v>
      </x:c>
      <x:c r="E4271" s="21" t="n">
        <x:f>IF(Milestones!L109="OPEN",1,0)</x:f>
        <x:v>1</x:v>
      </x:c>
      <x:c r="F4271" s="21" t="n">
        <x:v>1</x:v>
      </x:c>
      <x:c r="G4271" s="23" t="str">
        <x:f>IF(E4271=F4271,"PASS","FAIL")</x:f>
        <x:v>PASS</x:v>
      </x:c>
    </x:row>
    <x:row r="4272">
      <x:c r="B4272" s="21" t="str">
        <x:v>A4266</x:v>
      </x:c>
      <x:c r="C4272" s="21" t="str">
        <x:v>milestone</x:v>
      </x:c>
      <x:c r="D4272" s="21" t="str">
        <x:v>milestone 109 decision held</x:v>
      </x:c>
      <x:c r="E4272" s="21" t="n">
        <x:f>IF(Milestones!M109="HOLD",1,0)</x:f>
        <x:v>1</x:v>
      </x:c>
      <x:c r="F4272" s="21" t="n">
        <x:v>1</x:v>
      </x:c>
      <x:c r="G4272" s="23" t="str">
        <x:f>IF(E4272=F4272,"PASS","FAIL")</x:f>
        <x:v>PASS</x:v>
      </x:c>
    </x:row>
    <x:row r="4273">
      <x:c r="B4273" s="21" t="str">
        <x:v>A4267</x:v>
      </x:c>
      <x:c r="C4273" s="21" t="str">
        <x:v>milestone</x:v>
      </x:c>
      <x:c r="D4273" s="21" t="str">
        <x:v>milestone 110 share positive</x:v>
      </x:c>
      <x:c r="E4273" s="21" t="n">
        <x:f>IF(Milestones!H110&gt;0,1,0)</x:f>
        <x:v>1</x:v>
      </x:c>
      <x:c r="F4273" s="21" t="n">
        <x:v>1</x:v>
      </x:c>
      <x:c r="G4273" s="23" t="str">
        <x:f>IF(E4273=F4273,"PASS","FAIL")</x:f>
        <x:v>PASS</x:v>
      </x:c>
    </x:row>
    <x:row r="4274">
      <x:c r="B4274" s="21" t="str">
        <x:v>A4268</x:v>
      </x:c>
      <x:c r="C4274" s="21" t="str">
        <x:v>milestone</x:v>
      </x:c>
      <x:c r="D4274" s="21" t="str">
        <x:v>milestone 110 year bounded</x:v>
      </x:c>
      <x:c r="E4274" s="21" t="n">
        <x:f>IF(AND(Milestones!I110&gt;=1,Milestones!I110&lt;=9),1,0)</x:f>
        <x:v>1</x:v>
      </x:c>
      <x:c r="F4274" s="21" t="n">
        <x:v>1</x:v>
      </x:c>
      <x:c r="G4274" s="23" t="str">
        <x:f>IF(E4274=F4274,"PASS","FAIL")</x:f>
        <x:v>PASS</x:v>
      </x:c>
    </x:row>
    <x:row r="4275">
      <x:c r="B4275" s="21" t="str">
        <x:v>A4269</x:v>
      </x:c>
      <x:c r="C4275" s="21" t="str">
        <x:v>milestone</x:v>
      </x:c>
      <x:c r="D4275" s="21" t="str">
        <x:v>milestone 110 payment nonnegative</x:v>
      </x:c>
      <x:c r="E4275" s="21" t="n">
        <x:f>IF(Milestones!J110&gt;=0,1,0)</x:f>
        <x:v>1</x:v>
      </x:c>
      <x:c r="F4275" s="21" t="n">
        <x:v>1</x:v>
      </x:c>
      <x:c r="G4275" s="23" t="str">
        <x:f>IF(E4275=F4275,"PASS","FAIL")</x:f>
        <x:v>PASS</x:v>
      </x:c>
    </x:row>
    <x:row r="4276">
      <x:c r="B4276" s="21" t="str">
        <x:v>A4270</x:v>
      </x:c>
      <x:c r="C4276" s="21" t="str">
        <x:v>milestone</x:v>
      </x:c>
      <x:c r="D4276" s="21" t="str">
        <x:v>milestone 110 evidence open</x:v>
      </x:c>
      <x:c r="E4276" s="21" t="n">
        <x:f>IF(Milestones!L110="OPEN",1,0)</x:f>
        <x:v>1</x:v>
      </x:c>
      <x:c r="F4276" s="21" t="n">
        <x:v>1</x:v>
      </x:c>
      <x:c r="G4276" s="23" t="str">
        <x:f>IF(E4276=F4276,"PASS","FAIL")</x:f>
        <x:v>PASS</x:v>
      </x:c>
    </x:row>
    <x:row r="4277">
      <x:c r="B4277" s="21" t="str">
        <x:v>A4271</x:v>
      </x:c>
      <x:c r="C4277" s="21" t="str">
        <x:v>milestone</x:v>
      </x:c>
      <x:c r="D4277" s="21" t="str">
        <x:v>milestone 110 decision held</x:v>
      </x:c>
      <x:c r="E4277" s="21" t="n">
        <x:f>IF(Milestones!M110="HOLD",1,0)</x:f>
        <x:v>1</x:v>
      </x:c>
      <x:c r="F4277" s="21" t="n">
        <x:v>1</x:v>
      </x:c>
      <x:c r="G4277" s="23" t="str">
        <x:f>IF(E4277=F4277,"PASS","FAIL")</x:f>
        <x:v>PASS</x:v>
      </x:c>
    </x:row>
    <x:row r="4278">
      <x:c r="B4278" s="21" t="str">
        <x:v>A4272</x:v>
      </x:c>
      <x:c r="C4278" s="21" t="str">
        <x:v>milestone</x:v>
      </x:c>
      <x:c r="D4278" s="21" t="str">
        <x:v>milestone 111 share positive</x:v>
      </x:c>
      <x:c r="E4278" s="21" t="n">
        <x:f>IF(Milestones!H111&gt;0,1,0)</x:f>
        <x:v>1</x:v>
      </x:c>
      <x:c r="F4278" s="21" t="n">
        <x:v>1</x:v>
      </x:c>
      <x:c r="G4278" s="23" t="str">
        <x:f>IF(E4278=F4278,"PASS","FAIL")</x:f>
        <x:v>PASS</x:v>
      </x:c>
    </x:row>
    <x:row r="4279">
      <x:c r="B4279" s="21" t="str">
        <x:v>A4273</x:v>
      </x:c>
      <x:c r="C4279" s="21" t="str">
        <x:v>milestone</x:v>
      </x:c>
      <x:c r="D4279" s="21" t="str">
        <x:v>milestone 111 year bounded</x:v>
      </x:c>
      <x:c r="E4279" s="21" t="n">
        <x:f>IF(AND(Milestones!I111&gt;=1,Milestones!I111&lt;=9),1,0)</x:f>
        <x:v>1</x:v>
      </x:c>
      <x:c r="F4279" s="21" t="n">
        <x:v>1</x:v>
      </x:c>
      <x:c r="G4279" s="23" t="str">
        <x:f>IF(E4279=F4279,"PASS","FAIL")</x:f>
        <x:v>PASS</x:v>
      </x:c>
    </x:row>
    <x:row r="4280">
      <x:c r="B4280" s="21" t="str">
        <x:v>A4274</x:v>
      </x:c>
      <x:c r="C4280" s="21" t="str">
        <x:v>milestone</x:v>
      </x:c>
      <x:c r="D4280" s="21" t="str">
        <x:v>milestone 111 payment nonnegative</x:v>
      </x:c>
      <x:c r="E4280" s="21" t="n">
        <x:f>IF(Milestones!J111&gt;=0,1,0)</x:f>
        <x:v>1</x:v>
      </x:c>
      <x:c r="F4280" s="21" t="n">
        <x:v>1</x:v>
      </x:c>
      <x:c r="G4280" s="23" t="str">
        <x:f>IF(E4280=F4280,"PASS","FAIL")</x:f>
        <x:v>PASS</x:v>
      </x:c>
    </x:row>
    <x:row r="4281">
      <x:c r="B4281" s="21" t="str">
        <x:v>A4275</x:v>
      </x:c>
      <x:c r="C4281" s="21" t="str">
        <x:v>milestone</x:v>
      </x:c>
      <x:c r="D4281" s="21" t="str">
        <x:v>milestone 111 evidence open</x:v>
      </x:c>
      <x:c r="E4281" s="21" t="n">
        <x:f>IF(Milestones!L111="OPEN",1,0)</x:f>
        <x:v>1</x:v>
      </x:c>
      <x:c r="F4281" s="21" t="n">
        <x:v>1</x:v>
      </x:c>
      <x:c r="G4281" s="23" t="str">
        <x:f>IF(E4281=F4281,"PASS","FAIL")</x:f>
        <x:v>PASS</x:v>
      </x:c>
    </x:row>
    <x:row r="4282">
      <x:c r="B4282" s="21" t="str">
        <x:v>A4276</x:v>
      </x:c>
      <x:c r="C4282" s="21" t="str">
        <x:v>milestone</x:v>
      </x:c>
      <x:c r="D4282" s="21" t="str">
        <x:v>milestone 111 decision held</x:v>
      </x:c>
      <x:c r="E4282" s="21" t="n">
        <x:f>IF(Milestones!M111="HOLD",1,0)</x:f>
        <x:v>1</x:v>
      </x:c>
      <x:c r="F4282" s="21" t="n">
        <x:v>1</x:v>
      </x:c>
      <x:c r="G4282" s="23" t="str">
        <x:f>IF(E4282=F4282,"PASS","FAIL")</x:f>
        <x:v>PASS</x:v>
      </x:c>
    </x:row>
    <x:row r="4283">
      <x:c r="B4283" s="21" t="str">
        <x:v>A4277</x:v>
      </x:c>
      <x:c r="C4283" s="21" t="str">
        <x:v>milestone</x:v>
      </x:c>
      <x:c r="D4283" s="21" t="str">
        <x:v>milestone 112 share positive</x:v>
      </x:c>
      <x:c r="E4283" s="21" t="n">
        <x:f>IF(Milestones!H112&gt;0,1,0)</x:f>
        <x:v>1</x:v>
      </x:c>
      <x:c r="F4283" s="21" t="n">
        <x:v>1</x:v>
      </x:c>
      <x:c r="G4283" s="23" t="str">
        <x:f>IF(E4283=F4283,"PASS","FAIL")</x:f>
        <x:v>PASS</x:v>
      </x:c>
    </x:row>
    <x:row r="4284">
      <x:c r="B4284" s="21" t="str">
        <x:v>A4278</x:v>
      </x:c>
      <x:c r="C4284" s="21" t="str">
        <x:v>milestone</x:v>
      </x:c>
      <x:c r="D4284" s="21" t="str">
        <x:v>milestone 112 year bounded</x:v>
      </x:c>
      <x:c r="E4284" s="21" t="n">
        <x:f>IF(AND(Milestones!I112&gt;=1,Milestones!I112&lt;=9),1,0)</x:f>
        <x:v>1</x:v>
      </x:c>
      <x:c r="F4284" s="21" t="n">
        <x:v>1</x:v>
      </x:c>
      <x:c r="G4284" s="23" t="str">
        <x:f>IF(E4284=F4284,"PASS","FAIL")</x:f>
        <x:v>PASS</x:v>
      </x:c>
    </x:row>
    <x:row r="4285">
      <x:c r="B4285" s="21" t="str">
        <x:v>A4279</x:v>
      </x:c>
      <x:c r="C4285" s="21" t="str">
        <x:v>milestone</x:v>
      </x:c>
      <x:c r="D4285" s="21" t="str">
        <x:v>milestone 112 payment nonnegative</x:v>
      </x:c>
      <x:c r="E4285" s="21" t="n">
        <x:f>IF(Milestones!J112&gt;=0,1,0)</x:f>
        <x:v>1</x:v>
      </x:c>
      <x:c r="F4285" s="21" t="n">
        <x:v>1</x:v>
      </x:c>
      <x:c r="G4285" s="23" t="str">
        <x:f>IF(E4285=F4285,"PASS","FAIL")</x:f>
        <x:v>PASS</x:v>
      </x:c>
    </x:row>
    <x:row r="4286">
      <x:c r="B4286" s="21" t="str">
        <x:v>A4280</x:v>
      </x:c>
      <x:c r="C4286" s="21" t="str">
        <x:v>milestone</x:v>
      </x:c>
      <x:c r="D4286" s="21" t="str">
        <x:v>milestone 112 evidence open</x:v>
      </x:c>
      <x:c r="E4286" s="21" t="n">
        <x:f>IF(Milestones!L112="OPEN",1,0)</x:f>
        <x:v>1</x:v>
      </x:c>
      <x:c r="F4286" s="21" t="n">
        <x:v>1</x:v>
      </x:c>
      <x:c r="G4286" s="23" t="str">
        <x:f>IF(E4286=F4286,"PASS","FAIL")</x:f>
        <x:v>PASS</x:v>
      </x:c>
    </x:row>
    <x:row r="4287">
      <x:c r="B4287" s="21" t="str">
        <x:v>A4281</x:v>
      </x:c>
      <x:c r="C4287" s="21" t="str">
        <x:v>milestone</x:v>
      </x:c>
      <x:c r="D4287" s="21" t="str">
        <x:v>milestone 112 decision held</x:v>
      </x:c>
      <x:c r="E4287" s="21" t="n">
        <x:f>IF(Milestones!M112="HOLD",1,0)</x:f>
        <x:v>1</x:v>
      </x:c>
      <x:c r="F4287" s="21" t="n">
        <x:v>1</x:v>
      </x:c>
      <x:c r="G4287" s="23" t="str">
        <x:f>IF(E4287=F4287,"PASS","FAIL")</x:f>
        <x:v>PASS</x:v>
      </x:c>
    </x:row>
    <x:row r="4288">
      <x:c r="B4288" s="21" t="str">
        <x:v>A4282</x:v>
      </x:c>
      <x:c r="C4288" s="21" t="str">
        <x:v>milestone</x:v>
      </x:c>
      <x:c r="D4288" s="21" t="str">
        <x:v>milestone 113 share positive</x:v>
      </x:c>
      <x:c r="E4288" s="21" t="n">
        <x:f>IF(Milestones!H113&gt;0,1,0)</x:f>
        <x:v>1</x:v>
      </x:c>
      <x:c r="F4288" s="21" t="n">
        <x:v>1</x:v>
      </x:c>
      <x:c r="G4288" s="23" t="str">
        <x:f>IF(E4288=F4288,"PASS","FAIL")</x:f>
        <x:v>PASS</x:v>
      </x:c>
    </x:row>
    <x:row r="4289">
      <x:c r="B4289" s="21" t="str">
        <x:v>A4283</x:v>
      </x:c>
      <x:c r="C4289" s="21" t="str">
        <x:v>milestone</x:v>
      </x:c>
      <x:c r="D4289" s="21" t="str">
        <x:v>milestone 113 year bounded</x:v>
      </x:c>
      <x:c r="E4289" s="21" t="n">
        <x:f>IF(AND(Milestones!I113&gt;=1,Milestones!I113&lt;=9),1,0)</x:f>
        <x:v>1</x:v>
      </x:c>
      <x:c r="F4289" s="21" t="n">
        <x:v>1</x:v>
      </x:c>
      <x:c r="G4289" s="23" t="str">
        <x:f>IF(E4289=F4289,"PASS","FAIL")</x:f>
        <x:v>PASS</x:v>
      </x:c>
    </x:row>
    <x:row r="4290">
      <x:c r="B4290" s="21" t="str">
        <x:v>A4284</x:v>
      </x:c>
      <x:c r="C4290" s="21" t="str">
        <x:v>milestone</x:v>
      </x:c>
      <x:c r="D4290" s="21" t="str">
        <x:v>milestone 113 payment nonnegative</x:v>
      </x:c>
      <x:c r="E4290" s="21" t="n">
        <x:f>IF(Milestones!J113&gt;=0,1,0)</x:f>
        <x:v>1</x:v>
      </x:c>
      <x:c r="F4290" s="21" t="n">
        <x:v>1</x:v>
      </x:c>
      <x:c r="G4290" s="23" t="str">
        <x:f>IF(E4290=F4290,"PASS","FAIL")</x:f>
        <x:v>PASS</x:v>
      </x:c>
    </x:row>
    <x:row r="4291">
      <x:c r="B4291" s="21" t="str">
        <x:v>A4285</x:v>
      </x:c>
      <x:c r="C4291" s="21" t="str">
        <x:v>milestone</x:v>
      </x:c>
      <x:c r="D4291" s="21" t="str">
        <x:v>milestone 113 evidence open</x:v>
      </x:c>
      <x:c r="E4291" s="21" t="n">
        <x:f>IF(Milestones!L113="OPEN",1,0)</x:f>
        <x:v>1</x:v>
      </x:c>
      <x:c r="F4291" s="21" t="n">
        <x:v>1</x:v>
      </x:c>
      <x:c r="G4291" s="23" t="str">
        <x:f>IF(E4291=F4291,"PASS","FAIL")</x:f>
        <x:v>PASS</x:v>
      </x:c>
    </x:row>
    <x:row r="4292">
      <x:c r="B4292" s="21" t="str">
        <x:v>A4286</x:v>
      </x:c>
      <x:c r="C4292" s="21" t="str">
        <x:v>milestone</x:v>
      </x:c>
      <x:c r="D4292" s="21" t="str">
        <x:v>milestone 113 decision held</x:v>
      </x:c>
      <x:c r="E4292" s="21" t="n">
        <x:f>IF(Milestones!M113="HOLD",1,0)</x:f>
        <x:v>1</x:v>
      </x:c>
      <x:c r="F4292" s="21" t="n">
        <x:v>1</x:v>
      </x:c>
      <x:c r="G4292" s="23" t="str">
        <x:f>IF(E4292=F4292,"PASS","FAIL")</x:f>
        <x:v>PASS</x:v>
      </x:c>
    </x:row>
    <x:row r="4293">
      <x:c r="B4293" s="21" t="str">
        <x:v>A4287</x:v>
      </x:c>
      <x:c r="C4293" s="21" t="str">
        <x:v>milestone</x:v>
      </x:c>
      <x:c r="D4293" s="21" t="str">
        <x:v>milestone 114 share positive</x:v>
      </x:c>
      <x:c r="E4293" s="21" t="n">
        <x:f>IF(Milestones!H114&gt;0,1,0)</x:f>
        <x:v>1</x:v>
      </x:c>
      <x:c r="F4293" s="21" t="n">
        <x:v>1</x:v>
      </x:c>
      <x:c r="G4293" s="23" t="str">
        <x:f>IF(E4293=F4293,"PASS","FAIL")</x:f>
        <x:v>PASS</x:v>
      </x:c>
    </x:row>
    <x:row r="4294">
      <x:c r="B4294" s="21" t="str">
        <x:v>A4288</x:v>
      </x:c>
      <x:c r="C4294" s="21" t="str">
        <x:v>milestone</x:v>
      </x:c>
      <x:c r="D4294" s="21" t="str">
        <x:v>milestone 114 year bounded</x:v>
      </x:c>
      <x:c r="E4294" s="21" t="n">
        <x:f>IF(AND(Milestones!I114&gt;=1,Milestones!I114&lt;=9),1,0)</x:f>
        <x:v>1</x:v>
      </x:c>
      <x:c r="F4294" s="21" t="n">
        <x:v>1</x:v>
      </x:c>
      <x:c r="G4294" s="23" t="str">
        <x:f>IF(E4294=F4294,"PASS","FAIL")</x:f>
        <x:v>PASS</x:v>
      </x:c>
    </x:row>
    <x:row r="4295">
      <x:c r="B4295" s="21" t="str">
        <x:v>A4289</x:v>
      </x:c>
      <x:c r="C4295" s="21" t="str">
        <x:v>milestone</x:v>
      </x:c>
      <x:c r="D4295" s="21" t="str">
        <x:v>milestone 114 payment nonnegative</x:v>
      </x:c>
      <x:c r="E4295" s="21" t="n">
        <x:f>IF(Milestones!J114&gt;=0,1,0)</x:f>
        <x:v>1</x:v>
      </x:c>
      <x:c r="F4295" s="21" t="n">
        <x:v>1</x:v>
      </x:c>
      <x:c r="G4295" s="23" t="str">
        <x:f>IF(E4295=F4295,"PASS","FAIL")</x:f>
        <x:v>PASS</x:v>
      </x:c>
    </x:row>
    <x:row r="4296">
      <x:c r="B4296" s="21" t="str">
        <x:v>A4290</x:v>
      </x:c>
      <x:c r="C4296" s="21" t="str">
        <x:v>milestone</x:v>
      </x:c>
      <x:c r="D4296" s="21" t="str">
        <x:v>milestone 114 evidence open</x:v>
      </x:c>
      <x:c r="E4296" s="21" t="n">
        <x:f>IF(Milestones!L114="OPEN",1,0)</x:f>
        <x:v>1</x:v>
      </x:c>
      <x:c r="F4296" s="21" t="n">
        <x:v>1</x:v>
      </x:c>
      <x:c r="G4296" s="23" t="str">
        <x:f>IF(E4296=F4296,"PASS","FAIL")</x:f>
        <x:v>PASS</x:v>
      </x:c>
    </x:row>
    <x:row r="4297">
      <x:c r="B4297" s="21" t="str">
        <x:v>A4291</x:v>
      </x:c>
      <x:c r="C4297" s="21" t="str">
        <x:v>milestone</x:v>
      </x:c>
      <x:c r="D4297" s="21" t="str">
        <x:v>milestone 114 decision held</x:v>
      </x:c>
      <x:c r="E4297" s="21" t="n">
        <x:f>IF(Milestones!M114="HOLD",1,0)</x:f>
        <x:v>1</x:v>
      </x:c>
      <x:c r="F4297" s="21" t="n">
        <x:v>1</x:v>
      </x:c>
      <x:c r="G4297" s="23" t="str">
        <x:f>IF(E4297=F4297,"PASS","FAIL")</x:f>
        <x:v>PASS</x:v>
      </x:c>
    </x:row>
    <x:row r="4298">
      <x:c r="B4298" s="21" t="str">
        <x:v>A4292</x:v>
      </x:c>
      <x:c r="C4298" s="21" t="str">
        <x:v>milestone</x:v>
      </x:c>
      <x:c r="D4298" s="21" t="str">
        <x:v>milestone 115 share positive</x:v>
      </x:c>
      <x:c r="E4298" s="21" t="n">
        <x:f>IF(Milestones!H115&gt;0,1,0)</x:f>
        <x:v>1</x:v>
      </x:c>
      <x:c r="F4298" s="21" t="n">
        <x:v>1</x:v>
      </x:c>
      <x:c r="G4298" s="23" t="str">
        <x:f>IF(E4298=F4298,"PASS","FAIL")</x:f>
        <x:v>PASS</x:v>
      </x:c>
    </x:row>
    <x:row r="4299">
      <x:c r="B4299" s="21" t="str">
        <x:v>A4293</x:v>
      </x:c>
      <x:c r="C4299" s="21" t="str">
        <x:v>milestone</x:v>
      </x:c>
      <x:c r="D4299" s="21" t="str">
        <x:v>milestone 115 year bounded</x:v>
      </x:c>
      <x:c r="E4299" s="21" t="n">
        <x:f>IF(AND(Milestones!I115&gt;=1,Milestones!I115&lt;=9),1,0)</x:f>
        <x:v>1</x:v>
      </x:c>
      <x:c r="F4299" s="21" t="n">
        <x:v>1</x:v>
      </x:c>
      <x:c r="G4299" s="23" t="str">
        <x:f>IF(E4299=F4299,"PASS","FAIL")</x:f>
        <x:v>PASS</x:v>
      </x:c>
    </x:row>
    <x:row r="4300">
      <x:c r="B4300" s="21" t="str">
        <x:v>A4294</x:v>
      </x:c>
      <x:c r="C4300" s="21" t="str">
        <x:v>milestone</x:v>
      </x:c>
      <x:c r="D4300" s="21" t="str">
        <x:v>milestone 115 payment nonnegative</x:v>
      </x:c>
      <x:c r="E4300" s="21" t="n">
        <x:f>IF(Milestones!J115&gt;=0,1,0)</x:f>
        <x:v>1</x:v>
      </x:c>
      <x:c r="F4300" s="21" t="n">
        <x:v>1</x:v>
      </x:c>
      <x:c r="G4300" s="23" t="str">
        <x:f>IF(E4300=F4300,"PASS","FAIL")</x:f>
        <x:v>PASS</x:v>
      </x:c>
    </x:row>
    <x:row r="4301">
      <x:c r="B4301" s="21" t="str">
        <x:v>A4295</x:v>
      </x:c>
      <x:c r="C4301" s="21" t="str">
        <x:v>milestone</x:v>
      </x:c>
      <x:c r="D4301" s="21" t="str">
        <x:v>milestone 115 evidence open</x:v>
      </x:c>
      <x:c r="E4301" s="21" t="n">
        <x:f>IF(Milestones!L115="OPEN",1,0)</x:f>
        <x:v>1</x:v>
      </x:c>
      <x:c r="F4301" s="21" t="n">
        <x:v>1</x:v>
      </x:c>
      <x:c r="G4301" s="23" t="str">
        <x:f>IF(E4301=F4301,"PASS","FAIL")</x:f>
        <x:v>PASS</x:v>
      </x:c>
    </x:row>
    <x:row r="4302">
      <x:c r="B4302" s="21" t="str">
        <x:v>A4296</x:v>
      </x:c>
      <x:c r="C4302" s="21" t="str">
        <x:v>milestone</x:v>
      </x:c>
      <x:c r="D4302" s="21" t="str">
        <x:v>milestone 115 decision held</x:v>
      </x:c>
      <x:c r="E4302" s="21" t="n">
        <x:f>IF(Milestones!M115="HOLD",1,0)</x:f>
        <x:v>1</x:v>
      </x:c>
      <x:c r="F4302" s="21" t="n">
        <x:v>1</x:v>
      </x:c>
      <x:c r="G4302" s="23" t="str">
        <x:f>IF(E4302=F4302,"PASS","FAIL")</x:f>
        <x:v>PASS</x:v>
      </x:c>
    </x:row>
    <x:row r="4303">
      <x:c r="B4303" s="21" t="str">
        <x:v>A4297</x:v>
      </x:c>
      <x:c r="C4303" s="21" t="str">
        <x:v>milestone</x:v>
      </x:c>
      <x:c r="D4303" s="21" t="str">
        <x:v>milestone 116 share positive</x:v>
      </x:c>
      <x:c r="E4303" s="21" t="n">
        <x:f>IF(Milestones!H116&gt;0,1,0)</x:f>
        <x:v>1</x:v>
      </x:c>
      <x:c r="F4303" s="21" t="n">
        <x:v>1</x:v>
      </x:c>
      <x:c r="G4303" s="23" t="str">
        <x:f>IF(E4303=F4303,"PASS","FAIL")</x:f>
        <x:v>PASS</x:v>
      </x:c>
    </x:row>
    <x:row r="4304">
      <x:c r="B4304" s="21" t="str">
        <x:v>A4298</x:v>
      </x:c>
      <x:c r="C4304" s="21" t="str">
        <x:v>milestone</x:v>
      </x:c>
      <x:c r="D4304" s="21" t="str">
        <x:v>milestone 116 year bounded</x:v>
      </x:c>
      <x:c r="E4304" s="21" t="n">
        <x:f>IF(AND(Milestones!I116&gt;=1,Milestones!I116&lt;=9),1,0)</x:f>
        <x:v>1</x:v>
      </x:c>
      <x:c r="F4304" s="21" t="n">
        <x:v>1</x:v>
      </x:c>
      <x:c r="G4304" s="23" t="str">
        <x:f>IF(E4304=F4304,"PASS","FAIL")</x:f>
        <x:v>PASS</x:v>
      </x:c>
    </x:row>
    <x:row r="4305">
      <x:c r="B4305" s="21" t="str">
        <x:v>A4299</x:v>
      </x:c>
      <x:c r="C4305" s="21" t="str">
        <x:v>milestone</x:v>
      </x:c>
      <x:c r="D4305" s="21" t="str">
        <x:v>milestone 116 payment nonnegative</x:v>
      </x:c>
      <x:c r="E4305" s="21" t="n">
        <x:f>IF(Milestones!J116&gt;=0,1,0)</x:f>
        <x:v>1</x:v>
      </x:c>
      <x:c r="F4305" s="21" t="n">
        <x:v>1</x:v>
      </x:c>
      <x:c r="G4305" s="23" t="str">
        <x:f>IF(E4305=F4305,"PASS","FAIL")</x:f>
        <x:v>PASS</x:v>
      </x:c>
    </x:row>
    <x:row r="4306">
      <x:c r="B4306" s="21" t="str">
        <x:v>A4300</x:v>
      </x:c>
      <x:c r="C4306" s="21" t="str">
        <x:v>milestone</x:v>
      </x:c>
      <x:c r="D4306" s="21" t="str">
        <x:v>milestone 116 evidence open</x:v>
      </x:c>
      <x:c r="E4306" s="21" t="n">
        <x:f>IF(Milestones!L116="OPEN",1,0)</x:f>
        <x:v>1</x:v>
      </x:c>
      <x:c r="F4306" s="21" t="n">
        <x:v>1</x:v>
      </x:c>
      <x:c r="G4306" s="23" t="str">
        <x:f>IF(E4306=F4306,"PASS","FAIL")</x:f>
        <x:v>PASS</x:v>
      </x:c>
    </x:row>
    <x:row r="4307">
      <x:c r="B4307" s="21" t="str">
        <x:v>A4301</x:v>
      </x:c>
      <x:c r="C4307" s="21" t="str">
        <x:v>milestone</x:v>
      </x:c>
      <x:c r="D4307" s="21" t="str">
        <x:v>milestone 116 decision held</x:v>
      </x:c>
      <x:c r="E4307" s="21" t="n">
        <x:f>IF(Milestones!M116="HOLD",1,0)</x:f>
        <x:v>1</x:v>
      </x:c>
      <x:c r="F4307" s="21" t="n">
        <x:v>1</x:v>
      </x:c>
      <x:c r="G4307" s="23" t="str">
        <x:f>IF(E4307=F4307,"PASS","FAIL")</x:f>
        <x:v>PASS</x:v>
      </x:c>
    </x:row>
    <x:row r="4308">
      <x:c r="B4308" s="21" t="str">
        <x:v>A4302</x:v>
      </x:c>
      <x:c r="C4308" s="21" t="str">
        <x:v>milestone</x:v>
      </x:c>
      <x:c r="D4308" s="21" t="str">
        <x:v>milestone 117 share positive</x:v>
      </x:c>
      <x:c r="E4308" s="21" t="n">
        <x:f>IF(Milestones!H117&gt;0,1,0)</x:f>
        <x:v>1</x:v>
      </x:c>
      <x:c r="F4308" s="21" t="n">
        <x:v>1</x:v>
      </x:c>
      <x:c r="G4308" s="23" t="str">
        <x:f>IF(E4308=F4308,"PASS","FAIL")</x:f>
        <x:v>PASS</x:v>
      </x:c>
    </x:row>
    <x:row r="4309">
      <x:c r="B4309" s="21" t="str">
        <x:v>A4303</x:v>
      </x:c>
      <x:c r="C4309" s="21" t="str">
        <x:v>milestone</x:v>
      </x:c>
      <x:c r="D4309" s="21" t="str">
        <x:v>milestone 117 year bounded</x:v>
      </x:c>
      <x:c r="E4309" s="21" t="n">
        <x:f>IF(AND(Milestones!I117&gt;=1,Milestones!I117&lt;=9),1,0)</x:f>
        <x:v>1</x:v>
      </x:c>
      <x:c r="F4309" s="21" t="n">
        <x:v>1</x:v>
      </x:c>
      <x:c r="G4309" s="23" t="str">
        <x:f>IF(E4309=F4309,"PASS","FAIL")</x:f>
        <x:v>PASS</x:v>
      </x:c>
    </x:row>
    <x:row r="4310">
      <x:c r="B4310" s="21" t="str">
        <x:v>A4304</x:v>
      </x:c>
      <x:c r="C4310" s="21" t="str">
        <x:v>milestone</x:v>
      </x:c>
      <x:c r="D4310" s="21" t="str">
        <x:v>milestone 117 payment nonnegative</x:v>
      </x:c>
      <x:c r="E4310" s="21" t="n">
        <x:f>IF(Milestones!J117&gt;=0,1,0)</x:f>
        <x:v>1</x:v>
      </x:c>
      <x:c r="F4310" s="21" t="n">
        <x:v>1</x:v>
      </x:c>
      <x:c r="G4310" s="23" t="str">
        <x:f>IF(E4310=F4310,"PASS","FAIL")</x:f>
        <x:v>PASS</x:v>
      </x:c>
    </x:row>
    <x:row r="4311">
      <x:c r="B4311" s="21" t="str">
        <x:v>A4305</x:v>
      </x:c>
      <x:c r="C4311" s="21" t="str">
        <x:v>milestone</x:v>
      </x:c>
      <x:c r="D4311" s="21" t="str">
        <x:v>milestone 117 evidence open</x:v>
      </x:c>
      <x:c r="E4311" s="21" t="n">
        <x:f>IF(Milestones!L117="OPEN",1,0)</x:f>
        <x:v>1</x:v>
      </x:c>
      <x:c r="F4311" s="21" t="n">
        <x:v>1</x:v>
      </x:c>
      <x:c r="G4311" s="23" t="str">
        <x:f>IF(E4311=F4311,"PASS","FAIL")</x:f>
        <x:v>PASS</x:v>
      </x:c>
    </x:row>
    <x:row r="4312">
      <x:c r="B4312" s="21" t="str">
        <x:v>A4306</x:v>
      </x:c>
      <x:c r="C4312" s="21" t="str">
        <x:v>milestone</x:v>
      </x:c>
      <x:c r="D4312" s="21" t="str">
        <x:v>milestone 117 decision held</x:v>
      </x:c>
      <x:c r="E4312" s="21" t="n">
        <x:f>IF(Milestones!M117="HOLD",1,0)</x:f>
        <x:v>1</x:v>
      </x:c>
      <x:c r="F4312" s="21" t="n">
        <x:v>1</x:v>
      </x:c>
      <x:c r="G4312" s="23" t="str">
        <x:f>IF(E4312=F4312,"PASS","FAIL")</x:f>
        <x:v>PASS</x:v>
      </x:c>
    </x:row>
    <x:row r="4313">
      <x:c r="B4313" s="21" t="str">
        <x:v>A4307</x:v>
      </x:c>
      <x:c r="C4313" s="21" t="str">
        <x:v>milestone</x:v>
      </x:c>
      <x:c r="D4313" s="21" t="str">
        <x:v>milestone 118 share positive</x:v>
      </x:c>
      <x:c r="E4313" s="21" t="n">
        <x:f>IF(Milestones!H118&gt;0,1,0)</x:f>
        <x:v>1</x:v>
      </x:c>
      <x:c r="F4313" s="21" t="n">
        <x:v>1</x:v>
      </x:c>
      <x:c r="G4313" s="23" t="str">
        <x:f>IF(E4313=F4313,"PASS","FAIL")</x:f>
        <x:v>PASS</x:v>
      </x:c>
    </x:row>
    <x:row r="4314">
      <x:c r="B4314" s="21" t="str">
        <x:v>A4308</x:v>
      </x:c>
      <x:c r="C4314" s="21" t="str">
        <x:v>milestone</x:v>
      </x:c>
      <x:c r="D4314" s="21" t="str">
        <x:v>milestone 118 year bounded</x:v>
      </x:c>
      <x:c r="E4314" s="21" t="n">
        <x:f>IF(AND(Milestones!I118&gt;=1,Milestones!I118&lt;=9),1,0)</x:f>
        <x:v>1</x:v>
      </x:c>
      <x:c r="F4314" s="21" t="n">
        <x:v>1</x:v>
      </x:c>
      <x:c r="G4314" s="23" t="str">
        <x:f>IF(E4314=F4314,"PASS","FAIL")</x:f>
        <x:v>PASS</x:v>
      </x:c>
    </x:row>
    <x:row r="4315">
      <x:c r="B4315" s="21" t="str">
        <x:v>A4309</x:v>
      </x:c>
      <x:c r="C4315" s="21" t="str">
        <x:v>milestone</x:v>
      </x:c>
      <x:c r="D4315" s="21" t="str">
        <x:v>milestone 118 payment nonnegative</x:v>
      </x:c>
      <x:c r="E4315" s="21" t="n">
        <x:f>IF(Milestones!J118&gt;=0,1,0)</x:f>
        <x:v>1</x:v>
      </x:c>
      <x:c r="F4315" s="21" t="n">
        <x:v>1</x:v>
      </x:c>
      <x:c r="G4315" s="23" t="str">
        <x:f>IF(E4315=F4315,"PASS","FAIL")</x:f>
        <x:v>PASS</x:v>
      </x:c>
    </x:row>
    <x:row r="4316">
      <x:c r="B4316" s="21" t="str">
        <x:v>A4310</x:v>
      </x:c>
      <x:c r="C4316" s="21" t="str">
        <x:v>milestone</x:v>
      </x:c>
      <x:c r="D4316" s="21" t="str">
        <x:v>milestone 118 evidence open</x:v>
      </x:c>
      <x:c r="E4316" s="21" t="n">
        <x:f>IF(Milestones!L118="OPEN",1,0)</x:f>
        <x:v>1</x:v>
      </x:c>
      <x:c r="F4316" s="21" t="n">
        <x:v>1</x:v>
      </x:c>
      <x:c r="G4316" s="23" t="str">
        <x:f>IF(E4316=F4316,"PASS","FAIL")</x:f>
        <x:v>PASS</x:v>
      </x:c>
    </x:row>
    <x:row r="4317">
      <x:c r="B4317" s="21" t="str">
        <x:v>A4311</x:v>
      </x:c>
      <x:c r="C4317" s="21" t="str">
        <x:v>milestone</x:v>
      </x:c>
      <x:c r="D4317" s="21" t="str">
        <x:v>milestone 118 decision held</x:v>
      </x:c>
      <x:c r="E4317" s="21" t="n">
        <x:f>IF(Milestones!M118="HOLD",1,0)</x:f>
        <x:v>1</x:v>
      </x:c>
      <x:c r="F4317" s="21" t="n">
        <x:v>1</x:v>
      </x:c>
      <x:c r="G4317" s="23" t="str">
        <x:f>IF(E4317=F4317,"PASS","FAIL")</x:f>
        <x:v>PASS</x:v>
      </x:c>
    </x:row>
    <x:row r="4318">
      <x:c r="B4318" s="21" t="str">
        <x:v>A4312</x:v>
      </x:c>
      <x:c r="C4318" s="21" t="str">
        <x:v>milestone</x:v>
      </x:c>
      <x:c r="D4318" s="21" t="str">
        <x:v>milestone 119 share positive</x:v>
      </x:c>
      <x:c r="E4318" s="21" t="n">
        <x:f>IF(Milestones!H119&gt;0,1,0)</x:f>
        <x:v>1</x:v>
      </x:c>
      <x:c r="F4318" s="21" t="n">
        <x:v>1</x:v>
      </x:c>
      <x:c r="G4318" s="23" t="str">
        <x:f>IF(E4318=F4318,"PASS","FAIL")</x:f>
        <x:v>PASS</x:v>
      </x:c>
    </x:row>
    <x:row r="4319">
      <x:c r="B4319" s="21" t="str">
        <x:v>A4313</x:v>
      </x:c>
      <x:c r="C4319" s="21" t="str">
        <x:v>milestone</x:v>
      </x:c>
      <x:c r="D4319" s="21" t="str">
        <x:v>milestone 119 year bounded</x:v>
      </x:c>
      <x:c r="E4319" s="21" t="n">
        <x:f>IF(AND(Milestones!I119&gt;=1,Milestones!I119&lt;=9),1,0)</x:f>
        <x:v>1</x:v>
      </x:c>
      <x:c r="F4319" s="21" t="n">
        <x:v>1</x:v>
      </x:c>
      <x:c r="G4319" s="23" t="str">
        <x:f>IF(E4319=F4319,"PASS","FAIL")</x:f>
        <x:v>PASS</x:v>
      </x:c>
    </x:row>
    <x:row r="4320">
      <x:c r="B4320" s="21" t="str">
        <x:v>A4314</x:v>
      </x:c>
      <x:c r="C4320" s="21" t="str">
        <x:v>milestone</x:v>
      </x:c>
      <x:c r="D4320" s="21" t="str">
        <x:v>milestone 119 payment nonnegative</x:v>
      </x:c>
      <x:c r="E4320" s="21" t="n">
        <x:f>IF(Milestones!J119&gt;=0,1,0)</x:f>
        <x:v>1</x:v>
      </x:c>
      <x:c r="F4320" s="21" t="n">
        <x:v>1</x:v>
      </x:c>
      <x:c r="G4320" s="23" t="str">
        <x:f>IF(E4320=F4320,"PASS","FAIL")</x:f>
        <x:v>PASS</x:v>
      </x:c>
    </x:row>
    <x:row r="4321">
      <x:c r="B4321" s="21" t="str">
        <x:v>A4315</x:v>
      </x:c>
      <x:c r="C4321" s="21" t="str">
        <x:v>milestone</x:v>
      </x:c>
      <x:c r="D4321" s="21" t="str">
        <x:v>milestone 119 evidence open</x:v>
      </x:c>
      <x:c r="E4321" s="21" t="n">
        <x:f>IF(Milestones!L119="OPEN",1,0)</x:f>
        <x:v>1</x:v>
      </x:c>
      <x:c r="F4321" s="21" t="n">
        <x:v>1</x:v>
      </x:c>
      <x:c r="G4321" s="23" t="str">
        <x:f>IF(E4321=F4321,"PASS","FAIL")</x:f>
        <x:v>PASS</x:v>
      </x:c>
    </x:row>
    <x:row r="4322">
      <x:c r="B4322" s="21" t="str">
        <x:v>A4316</x:v>
      </x:c>
      <x:c r="C4322" s="21" t="str">
        <x:v>milestone</x:v>
      </x:c>
      <x:c r="D4322" s="21" t="str">
        <x:v>milestone 119 decision held</x:v>
      </x:c>
      <x:c r="E4322" s="21" t="n">
        <x:f>IF(Milestones!M119="HOLD",1,0)</x:f>
        <x:v>1</x:v>
      </x:c>
      <x:c r="F4322" s="21" t="n">
        <x:v>1</x:v>
      </x:c>
      <x:c r="G4322" s="23" t="str">
        <x:f>IF(E4322=F4322,"PASS","FAIL")</x:f>
        <x:v>PASS</x:v>
      </x:c>
    </x:row>
    <x:row r="4323">
      <x:c r="B4323" s="21" t="str">
        <x:v>A4317</x:v>
      </x:c>
      <x:c r="C4323" s="21" t="str">
        <x:v>milestone</x:v>
      </x:c>
      <x:c r="D4323" s="21" t="str">
        <x:v>milestone 120 share positive</x:v>
      </x:c>
      <x:c r="E4323" s="21" t="n">
        <x:f>IF(Milestones!H120&gt;0,1,0)</x:f>
        <x:v>1</x:v>
      </x:c>
      <x:c r="F4323" s="21" t="n">
        <x:v>1</x:v>
      </x:c>
      <x:c r="G4323" s="23" t="str">
        <x:f>IF(E4323=F4323,"PASS","FAIL")</x:f>
        <x:v>PASS</x:v>
      </x:c>
    </x:row>
    <x:row r="4324">
      <x:c r="B4324" s="21" t="str">
        <x:v>A4318</x:v>
      </x:c>
      <x:c r="C4324" s="21" t="str">
        <x:v>milestone</x:v>
      </x:c>
      <x:c r="D4324" s="21" t="str">
        <x:v>milestone 120 year bounded</x:v>
      </x:c>
      <x:c r="E4324" s="21" t="n">
        <x:f>IF(AND(Milestones!I120&gt;=1,Milestones!I120&lt;=9),1,0)</x:f>
        <x:v>1</x:v>
      </x:c>
      <x:c r="F4324" s="21" t="n">
        <x:v>1</x:v>
      </x:c>
      <x:c r="G4324" s="23" t="str">
        <x:f>IF(E4324=F4324,"PASS","FAIL")</x:f>
        <x:v>PASS</x:v>
      </x:c>
    </x:row>
    <x:row r="4325">
      <x:c r="B4325" s="21" t="str">
        <x:v>A4319</x:v>
      </x:c>
      <x:c r="C4325" s="21" t="str">
        <x:v>milestone</x:v>
      </x:c>
      <x:c r="D4325" s="21" t="str">
        <x:v>milestone 120 payment nonnegative</x:v>
      </x:c>
      <x:c r="E4325" s="21" t="n">
        <x:f>IF(Milestones!J120&gt;=0,1,0)</x:f>
        <x:v>1</x:v>
      </x:c>
      <x:c r="F4325" s="21" t="n">
        <x:v>1</x:v>
      </x:c>
      <x:c r="G4325" s="23" t="str">
        <x:f>IF(E4325=F4325,"PASS","FAIL")</x:f>
        <x:v>PASS</x:v>
      </x:c>
    </x:row>
    <x:row r="4326">
      <x:c r="B4326" s="21" t="str">
        <x:v>A4320</x:v>
      </x:c>
      <x:c r="C4326" s="21" t="str">
        <x:v>milestone</x:v>
      </x:c>
      <x:c r="D4326" s="21" t="str">
        <x:v>milestone 120 evidence open</x:v>
      </x:c>
      <x:c r="E4326" s="21" t="n">
        <x:f>IF(Milestones!L120="OPEN",1,0)</x:f>
        <x:v>1</x:v>
      </x:c>
      <x:c r="F4326" s="21" t="n">
        <x:v>1</x:v>
      </x:c>
      <x:c r="G4326" s="23" t="str">
        <x:f>IF(E4326=F4326,"PASS","FAIL")</x:f>
        <x:v>PASS</x:v>
      </x:c>
    </x:row>
    <x:row r="4327">
      <x:c r="B4327" s="21" t="str">
        <x:v>A4321</x:v>
      </x:c>
      <x:c r="C4327" s="21" t="str">
        <x:v>milestone</x:v>
      </x:c>
      <x:c r="D4327" s="21" t="str">
        <x:v>milestone 120 decision held</x:v>
      </x:c>
      <x:c r="E4327" s="21" t="n">
        <x:f>IF(Milestones!M120="HOLD",1,0)</x:f>
        <x:v>1</x:v>
      </x:c>
      <x:c r="F4327" s="21" t="n">
        <x:v>1</x:v>
      </x:c>
      <x:c r="G4327" s="23" t="str">
        <x:f>IF(E4327=F4327,"PASS","FAIL")</x:f>
        <x:v>PASS</x:v>
      </x:c>
    </x:row>
    <x:row r="4328">
      <x:c r="B4328" s="21" t="str">
        <x:v>A4322</x:v>
      </x:c>
      <x:c r="C4328" s="21" t="str">
        <x:v>milestone</x:v>
      </x:c>
      <x:c r="D4328" s="21" t="str">
        <x:v>milestone 121 share positive</x:v>
      </x:c>
      <x:c r="E4328" s="21" t="n">
        <x:f>IF(Milestones!H121&gt;0,1,0)</x:f>
        <x:v>1</x:v>
      </x:c>
      <x:c r="F4328" s="21" t="n">
        <x:v>1</x:v>
      </x:c>
      <x:c r="G4328" s="23" t="str">
        <x:f>IF(E4328=F4328,"PASS","FAIL")</x:f>
        <x:v>PASS</x:v>
      </x:c>
    </x:row>
    <x:row r="4329">
      <x:c r="B4329" s="21" t="str">
        <x:v>A4323</x:v>
      </x:c>
      <x:c r="C4329" s="21" t="str">
        <x:v>milestone</x:v>
      </x:c>
      <x:c r="D4329" s="21" t="str">
        <x:v>milestone 121 year bounded</x:v>
      </x:c>
      <x:c r="E4329" s="21" t="n">
        <x:f>IF(AND(Milestones!I121&gt;=1,Milestones!I121&lt;=9),1,0)</x:f>
        <x:v>1</x:v>
      </x:c>
      <x:c r="F4329" s="21" t="n">
        <x:v>1</x:v>
      </x:c>
      <x:c r="G4329" s="23" t="str">
        <x:f>IF(E4329=F4329,"PASS","FAIL")</x:f>
        <x:v>PASS</x:v>
      </x:c>
    </x:row>
    <x:row r="4330">
      <x:c r="B4330" s="21" t="str">
        <x:v>A4324</x:v>
      </x:c>
      <x:c r="C4330" s="21" t="str">
        <x:v>milestone</x:v>
      </x:c>
      <x:c r="D4330" s="21" t="str">
        <x:v>milestone 121 payment nonnegative</x:v>
      </x:c>
      <x:c r="E4330" s="21" t="n">
        <x:f>IF(Milestones!J121&gt;=0,1,0)</x:f>
        <x:v>1</x:v>
      </x:c>
      <x:c r="F4330" s="21" t="n">
        <x:v>1</x:v>
      </x:c>
      <x:c r="G4330" s="23" t="str">
        <x:f>IF(E4330=F4330,"PASS","FAIL")</x:f>
        <x:v>PASS</x:v>
      </x:c>
    </x:row>
    <x:row r="4331">
      <x:c r="B4331" s="21" t="str">
        <x:v>A4325</x:v>
      </x:c>
      <x:c r="C4331" s="21" t="str">
        <x:v>milestone</x:v>
      </x:c>
      <x:c r="D4331" s="21" t="str">
        <x:v>milestone 121 evidence open</x:v>
      </x:c>
      <x:c r="E4331" s="21" t="n">
        <x:f>IF(Milestones!L121="OPEN",1,0)</x:f>
        <x:v>1</x:v>
      </x:c>
      <x:c r="F4331" s="21" t="n">
        <x:v>1</x:v>
      </x:c>
      <x:c r="G4331" s="23" t="str">
        <x:f>IF(E4331=F4331,"PASS","FAIL")</x:f>
        <x:v>PASS</x:v>
      </x:c>
    </x:row>
    <x:row r="4332">
      <x:c r="B4332" s="21" t="str">
        <x:v>A4326</x:v>
      </x:c>
      <x:c r="C4332" s="21" t="str">
        <x:v>milestone</x:v>
      </x:c>
      <x:c r="D4332" s="21" t="str">
        <x:v>milestone 121 decision held</x:v>
      </x:c>
      <x:c r="E4332" s="21" t="n">
        <x:f>IF(Milestones!M121="HOLD",1,0)</x:f>
        <x:v>1</x:v>
      </x:c>
      <x:c r="F4332" s="21" t="n">
        <x:v>1</x:v>
      </x:c>
      <x:c r="G4332" s="23" t="str">
        <x:f>IF(E4332=F4332,"PASS","FAIL")</x:f>
        <x:v>PASS</x:v>
      </x:c>
    </x:row>
    <x:row r="4333">
      <x:c r="B4333" s="21" t="str">
        <x:v>A4327</x:v>
      </x:c>
      <x:c r="C4333" s="21" t="str">
        <x:v>milestone</x:v>
      </x:c>
      <x:c r="D4333" s="21" t="str">
        <x:v>milestone 122 share positive</x:v>
      </x:c>
      <x:c r="E4333" s="21" t="n">
        <x:f>IF(Milestones!H122&gt;0,1,0)</x:f>
        <x:v>1</x:v>
      </x:c>
      <x:c r="F4333" s="21" t="n">
        <x:v>1</x:v>
      </x:c>
      <x:c r="G4333" s="23" t="str">
        <x:f>IF(E4333=F4333,"PASS","FAIL")</x:f>
        <x:v>PASS</x:v>
      </x:c>
    </x:row>
    <x:row r="4334">
      <x:c r="B4334" s="21" t="str">
        <x:v>A4328</x:v>
      </x:c>
      <x:c r="C4334" s="21" t="str">
        <x:v>milestone</x:v>
      </x:c>
      <x:c r="D4334" s="21" t="str">
        <x:v>milestone 122 year bounded</x:v>
      </x:c>
      <x:c r="E4334" s="21" t="n">
        <x:f>IF(AND(Milestones!I122&gt;=1,Milestones!I122&lt;=9),1,0)</x:f>
        <x:v>1</x:v>
      </x:c>
      <x:c r="F4334" s="21" t="n">
        <x:v>1</x:v>
      </x:c>
      <x:c r="G4334" s="23" t="str">
        <x:f>IF(E4334=F4334,"PASS","FAIL")</x:f>
        <x:v>PASS</x:v>
      </x:c>
    </x:row>
    <x:row r="4335">
      <x:c r="B4335" s="21" t="str">
        <x:v>A4329</x:v>
      </x:c>
      <x:c r="C4335" s="21" t="str">
        <x:v>milestone</x:v>
      </x:c>
      <x:c r="D4335" s="21" t="str">
        <x:v>milestone 122 payment nonnegative</x:v>
      </x:c>
      <x:c r="E4335" s="21" t="n">
        <x:f>IF(Milestones!J122&gt;=0,1,0)</x:f>
        <x:v>1</x:v>
      </x:c>
      <x:c r="F4335" s="21" t="n">
        <x:v>1</x:v>
      </x:c>
      <x:c r="G4335" s="23" t="str">
        <x:f>IF(E4335=F4335,"PASS","FAIL")</x:f>
        <x:v>PASS</x:v>
      </x:c>
    </x:row>
    <x:row r="4336">
      <x:c r="B4336" s="21" t="str">
        <x:v>A4330</x:v>
      </x:c>
      <x:c r="C4336" s="21" t="str">
        <x:v>milestone</x:v>
      </x:c>
      <x:c r="D4336" s="21" t="str">
        <x:v>milestone 122 evidence open</x:v>
      </x:c>
      <x:c r="E4336" s="21" t="n">
        <x:f>IF(Milestones!L122="OPEN",1,0)</x:f>
        <x:v>1</x:v>
      </x:c>
      <x:c r="F4336" s="21" t="n">
        <x:v>1</x:v>
      </x:c>
      <x:c r="G4336" s="23" t="str">
        <x:f>IF(E4336=F4336,"PASS","FAIL")</x:f>
        <x:v>PASS</x:v>
      </x:c>
    </x:row>
    <x:row r="4337">
      <x:c r="B4337" s="21" t="str">
        <x:v>A4331</x:v>
      </x:c>
      <x:c r="C4337" s="21" t="str">
        <x:v>milestone</x:v>
      </x:c>
      <x:c r="D4337" s="21" t="str">
        <x:v>milestone 122 decision held</x:v>
      </x:c>
      <x:c r="E4337" s="21" t="n">
        <x:f>IF(Milestones!M122="HOLD",1,0)</x:f>
        <x:v>1</x:v>
      </x:c>
      <x:c r="F4337" s="21" t="n">
        <x:v>1</x:v>
      </x:c>
      <x:c r="G4337" s="23" t="str">
        <x:f>IF(E4337=F4337,"PASS","FAIL")</x:f>
        <x:v>PASS</x:v>
      </x:c>
    </x:row>
    <x:row r="4338">
      <x:c r="B4338" s="21" t="str">
        <x:v>A4332</x:v>
      </x:c>
      <x:c r="C4338" s="21" t="str">
        <x:v>milestone</x:v>
      </x:c>
      <x:c r="D4338" s="21" t="str">
        <x:v>milestone 123 share positive</x:v>
      </x:c>
      <x:c r="E4338" s="21" t="n">
        <x:f>IF(Milestones!H123&gt;0,1,0)</x:f>
        <x:v>1</x:v>
      </x:c>
      <x:c r="F4338" s="21" t="n">
        <x:v>1</x:v>
      </x:c>
      <x:c r="G4338" s="23" t="str">
        <x:f>IF(E4338=F4338,"PASS","FAIL")</x:f>
        <x:v>PASS</x:v>
      </x:c>
    </x:row>
    <x:row r="4339">
      <x:c r="B4339" s="21" t="str">
        <x:v>A4333</x:v>
      </x:c>
      <x:c r="C4339" s="21" t="str">
        <x:v>milestone</x:v>
      </x:c>
      <x:c r="D4339" s="21" t="str">
        <x:v>milestone 123 year bounded</x:v>
      </x:c>
      <x:c r="E4339" s="21" t="n">
        <x:f>IF(AND(Milestones!I123&gt;=1,Milestones!I123&lt;=9),1,0)</x:f>
        <x:v>1</x:v>
      </x:c>
      <x:c r="F4339" s="21" t="n">
        <x:v>1</x:v>
      </x:c>
      <x:c r="G4339" s="23" t="str">
        <x:f>IF(E4339=F4339,"PASS","FAIL")</x:f>
        <x:v>PASS</x:v>
      </x:c>
    </x:row>
    <x:row r="4340">
      <x:c r="B4340" s="21" t="str">
        <x:v>A4334</x:v>
      </x:c>
      <x:c r="C4340" s="21" t="str">
        <x:v>milestone</x:v>
      </x:c>
      <x:c r="D4340" s="21" t="str">
        <x:v>milestone 123 payment nonnegative</x:v>
      </x:c>
      <x:c r="E4340" s="21" t="n">
        <x:f>IF(Milestones!J123&gt;=0,1,0)</x:f>
        <x:v>1</x:v>
      </x:c>
      <x:c r="F4340" s="21" t="n">
        <x:v>1</x:v>
      </x:c>
      <x:c r="G4340" s="23" t="str">
        <x:f>IF(E4340=F4340,"PASS","FAIL")</x:f>
        <x:v>PASS</x:v>
      </x:c>
    </x:row>
    <x:row r="4341">
      <x:c r="B4341" s="21" t="str">
        <x:v>A4335</x:v>
      </x:c>
      <x:c r="C4341" s="21" t="str">
        <x:v>milestone</x:v>
      </x:c>
      <x:c r="D4341" s="21" t="str">
        <x:v>milestone 123 evidence open</x:v>
      </x:c>
      <x:c r="E4341" s="21" t="n">
        <x:f>IF(Milestones!L123="OPEN",1,0)</x:f>
        <x:v>1</x:v>
      </x:c>
      <x:c r="F4341" s="21" t="n">
        <x:v>1</x:v>
      </x:c>
      <x:c r="G4341" s="23" t="str">
        <x:f>IF(E4341=F4341,"PASS","FAIL")</x:f>
        <x:v>PASS</x:v>
      </x:c>
    </x:row>
    <x:row r="4342">
      <x:c r="B4342" s="21" t="str">
        <x:v>A4336</x:v>
      </x:c>
      <x:c r="C4342" s="21" t="str">
        <x:v>milestone</x:v>
      </x:c>
      <x:c r="D4342" s="21" t="str">
        <x:v>milestone 123 decision held</x:v>
      </x:c>
      <x:c r="E4342" s="21" t="n">
        <x:f>IF(Milestones!M123="HOLD",1,0)</x:f>
        <x:v>1</x:v>
      </x:c>
      <x:c r="F4342" s="21" t="n">
        <x:v>1</x:v>
      </x:c>
      <x:c r="G4342" s="23" t="str">
        <x:f>IF(E4342=F4342,"PASS","FAIL")</x:f>
        <x:v>PASS</x:v>
      </x:c>
    </x:row>
    <x:row r="4343">
      <x:c r="B4343" s="21" t="str">
        <x:v>A4337</x:v>
      </x:c>
      <x:c r="C4343" s="21" t="str">
        <x:v>milestone</x:v>
      </x:c>
      <x:c r="D4343" s="21" t="str">
        <x:v>milestone 124 share positive</x:v>
      </x:c>
      <x:c r="E4343" s="21" t="n">
        <x:f>IF(Milestones!H124&gt;0,1,0)</x:f>
        <x:v>1</x:v>
      </x:c>
      <x:c r="F4343" s="21" t="n">
        <x:v>1</x:v>
      </x:c>
      <x:c r="G4343" s="23" t="str">
        <x:f>IF(E4343=F4343,"PASS","FAIL")</x:f>
        <x:v>PASS</x:v>
      </x:c>
    </x:row>
    <x:row r="4344">
      <x:c r="B4344" s="21" t="str">
        <x:v>A4338</x:v>
      </x:c>
      <x:c r="C4344" s="21" t="str">
        <x:v>milestone</x:v>
      </x:c>
      <x:c r="D4344" s="21" t="str">
        <x:v>milestone 124 year bounded</x:v>
      </x:c>
      <x:c r="E4344" s="21" t="n">
        <x:f>IF(AND(Milestones!I124&gt;=1,Milestones!I124&lt;=9),1,0)</x:f>
        <x:v>1</x:v>
      </x:c>
      <x:c r="F4344" s="21" t="n">
        <x:v>1</x:v>
      </x:c>
      <x:c r="G4344" s="23" t="str">
        <x:f>IF(E4344=F4344,"PASS","FAIL")</x:f>
        <x:v>PASS</x:v>
      </x:c>
    </x:row>
    <x:row r="4345">
      <x:c r="B4345" s="21" t="str">
        <x:v>A4339</x:v>
      </x:c>
      <x:c r="C4345" s="21" t="str">
        <x:v>milestone</x:v>
      </x:c>
      <x:c r="D4345" s="21" t="str">
        <x:v>milestone 124 payment nonnegative</x:v>
      </x:c>
      <x:c r="E4345" s="21" t="n">
        <x:f>IF(Milestones!J124&gt;=0,1,0)</x:f>
        <x:v>1</x:v>
      </x:c>
      <x:c r="F4345" s="21" t="n">
        <x:v>1</x:v>
      </x:c>
      <x:c r="G4345" s="23" t="str">
        <x:f>IF(E4345=F4345,"PASS","FAIL")</x:f>
        <x:v>PASS</x:v>
      </x:c>
    </x:row>
    <x:row r="4346">
      <x:c r="B4346" s="21" t="str">
        <x:v>A4340</x:v>
      </x:c>
      <x:c r="C4346" s="21" t="str">
        <x:v>milestone</x:v>
      </x:c>
      <x:c r="D4346" s="21" t="str">
        <x:v>milestone 124 evidence open</x:v>
      </x:c>
      <x:c r="E4346" s="21" t="n">
        <x:f>IF(Milestones!L124="OPEN",1,0)</x:f>
        <x:v>1</x:v>
      </x:c>
      <x:c r="F4346" s="21" t="n">
        <x:v>1</x:v>
      </x:c>
      <x:c r="G4346" s="23" t="str">
        <x:f>IF(E4346=F4346,"PASS","FAIL")</x:f>
        <x:v>PASS</x:v>
      </x:c>
    </x:row>
    <x:row r="4347">
      <x:c r="B4347" s="21" t="str">
        <x:v>A4341</x:v>
      </x:c>
      <x:c r="C4347" s="21" t="str">
        <x:v>milestone</x:v>
      </x:c>
      <x:c r="D4347" s="21" t="str">
        <x:v>milestone 124 decision held</x:v>
      </x:c>
      <x:c r="E4347" s="21" t="n">
        <x:f>IF(Milestones!M124="HOLD",1,0)</x:f>
        <x:v>1</x:v>
      </x:c>
      <x:c r="F4347" s="21" t="n">
        <x:v>1</x:v>
      </x:c>
      <x:c r="G4347" s="23" t="str">
        <x:f>IF(E4347=F4347,"PASS","FAIL")</x:f>
        <x:v>PASS</x:v>
      </x:c>
    </x:row>
    <x:row r="4348">
      <x:c r="B4348" s="21" t="str">
        <x:v>A4342</x:v>
      </x:c>
      <x:c r="C4348" s="21" t="str">
        <x:v>milestone</x:v>
      </x:c>
      <x:c r="D4348" s="21" t="str">
        <x:v>milestone 125 share positive</x:v>
      </x:c>
      <x:c r="E4348" s="21" t="n">
        <x:f>IF(Milestones!H125&gt;0,1,0)</x:f>
        <x:v>1</x:v>
      </x:c>
      <x:c r="F4348" s="21" t="n">
        <x:v>1</x:v>
      </x:c>
      <x:c r="G4348" s="23" t="str">
        <x:f>IF(E4348=F4348,"PASS","FAIL")</x:f>
        <x:v>PASS</x:v>
      </x:c>
    </x:row>
    <x:row r="4349">
      <x:c r="B4349" s="21" t="str">
        <x:v>A4343</x:v>
      </x:c>
      <x:c r="C4349" s="21" t="str">
        <x:v>milestone</x:v>
      </x:c>
      <x:c r="D4349" s="21" t="str">
        <x:v>milestone 125 year bounded</x:v>
      </x:c>
      <x:c r="E4349" s="21" t="n">
        <x:f>IF(AND(Milestones!I125&gt;=1,Milestones!I125&lt;=9),1,0)</x:f>
        <x:v>1</x:v>
      </x:c>
      <x:c r="F4349" s="21" t="n">
        <x:v>1</x:v>
      </x:c>
      <x:c r="G4349" s="23" t="str">
        <x:f>IF(E4349=F4349,"PASS","FAIL")</x:f>
        <x:v>PASS</x:v>
      </x:c>
    </x:row>
    <x:row r="4350">
      <x:c r="B4350" s="21" t="str">
        <x:v>A4344</x:v>
      </x:c>
      <x:c r="C4350" s="21" t="str">
        <x:v>milestone</x:v>
      </x:c>
      <x:c r="D4350" s="21" t="str">
        <x:v>milestone 125 payment nonnegative</x:v>
      </x:c>
      <x:c r="E4350" s="21" t="n">
        <x:f>IF(Milestones!J125&gt;=0,1,0)</x:f>
        <x:v>1</x:v>
      </x:c>
      <x:c r="F4350" s="21" t="n">
        <x:v>1</x:v>
      </x:c>
      <x:c r="G4350" s="23" t="str">
        <x:f>IF(E4350=F4350,"PASS","FAIL")</x:f>
        <x:v>PASS</x:v>
      </x:c>
    </x:row>
    <x:row r="4351">
      <x:c r="B4351" s="21" t="str">
        <x:v>A4345</x:v>
      </x:c>
      <x:c r="C4351" s="21" t="str">
        <x:v>milestone</x:v>
      </x:c>
      <x:c r="D4351" s="21" t="str">
        <x:v>milestone 125 evidence open</x:v>
      </x:c>
      <x:c r="E4351" s="21" t="n">
        <x:f>IF(Milestones!L125="OPEN",1,0)</x:f>
        <x:v>1</x:v>
      </x:c>
      <x:c r="F4351" s="21" t="n">
        <x:v>1</x:v>
      </x:c>
      <x:c r="G4351" s="23" t="str">
        <x:f>IF(E4351=F4351,"PASS","FAIL")</x:f>
        <x:v>PASS</x:v>
      </x:c>
    </x:row>
    <x:row r="4352">
      <x:c r="B4352" s="21" t="str">
        <x:v>A4346</x:v>
      </x:c>
      <x:c r="C4352" s="21" t="str">
        <x:v>milestone</x:v>
      </x:c>
      <x:c r="D4352" s="21" t="str">
        <x:v>milestone 125 decision held</x:v>
      </x:c>
      <x:c r="E4352" s="21" t="n">
        <x:f>IF(Milestones!M125="HOLD",1,0)</x:f>
        <x:v>1</x:v>
      </x:c>
      <x:c r="F4352" s="21" t="n">
        <x:v>1</x:v>
      </x:c>
      <x:c r="G4352" s="23" t="str">
        <x:f>IF(E4352=F4352,"PASS","FAIL")</x:f>
        <x:v>PASS</x:v>
      </x:c>
    </x:row>
    <x:row r="4353">
      <x:c r="B4353" s="21" t="str">
        <x:v>A4347</x:v>
      </x:c>
      <x:c r="C4353" s="21" t="str">
        <x:v>milestone</x:v>
      </x:c>
      <x:c r="D4353" s="21" t="str">
        <x:v>milestone 126 share positive</x:v>
      </x:c>
      <x:c r="E4353" s="21" t="n">
        <x:f>IF(Milestones!H126&gt;0,1,0)</x:f>
        <x:v>1</x:v>
      </x:c>
      <x:c r="F4353" s="21" t="n">
        <x:v>1</x:v>
      </x:c>
      <x:c r="G4353" s="23" t="str">
        <x:f>IF(E4353=F4353,"PASS","FAIL")</x:f>
        <x:v>PASS</x:v>
      </x:c>
    </x:row>
    <x:row r="4354">
      <x:c r="B4354" s="21" t="str">
        <x:v>A4348</x:v>
      </x:c>
      <x:c r="C4354" s="21" t="str">
        <x:v>milestone</x:v>
      </x:c>
      <x:c r="D4354" s="21" t="str">
        <x:v>milestone 126 year bounded</x:v>
      </x:c>
      <x:c r="E4354" s="21" t="n">
        <x:f>IF(AND(Milestones!I126&gt;=1,Milestones!I126&lt;=9),1,0)</x:f>
        <x:v>1</x:v>
      </x:c>
      <x:c r="F4354" s="21" t="n">
        <x:v>1</x:v>
      </x:c>
      <x:c r="G4354" s="23" t="str">
        <x:f>IF(E4354=F4354,"PASS","FAIL")</x:f>
        <x:v>PASS</x:v>
      </x:c>
    </x:row>
    <x:row r="4355">
      <x:c r="B4355" s="21" t="str">
        <x:v>A4349</x:v>
      </x:c>
      <x:c r="C4355" s="21" t="str">
        <x:v>milestone</x:v>
      </x:c>
      <x:c r="D4355" s="21" t="str">
        <x:v>milestone 126 payment nonnegative</x:v>
      </x:c>
      <x:c r="E4355" s="21" t="n">
        <x:f>IF(Milestones!J126&gt;=0,1,0)</x:f>
        <x:v>1</x:v>
      </x:c>
      <x:c r="F4355" s="21" t="n">
        <x:v>1</x:v>
      </x:c>
      <x:c r="G4355" s="23" t="str">
        <x:f>IF(E4355=F4355,"PASS","FAIL")</x:f>
        <x:v>PASS</x:v>
      </x:c>
    </x:row>
    <x:row r="4356">
      <x:c r="B4356" s="21" t="str">
        <x:v>A4350</x:v>
      </x:c>
      <x:c r="C4356" s="21" t="str">
        <x:v>milestone</x:v>
      </x:c>
      <x:c r="D4356" s="21" t="str">
        <x:v>milestone 126 evidence open</x:v>
      </x:c>
      <x:c r="E4356" s="21" t="n">
        <x:f>IF(Milestones!L126="OPEN",1,0)</x:f>
        <x:v>1</x:v>
      </x:c>
      <x:c r="F4356" s="21" t="n">
        <x:v>1</x:v>
      </x:c>
      <x:c r="G4356" s="23" t="str">
        <x:f>IF(E4356=F4356,"PASS","FAIL")</x:f>
        <x:v>PASS</x:v>
      </x:c>
    </x:row>
    <x:row r="4357">
      <x:c r="B4357" s="21" t="str">
        <x:v>A4351</x:v>
      </x:c>
      <x:c r="C4357" s="21" t="str">
        <x:v>milestone</x:v>
      </x:c>
      <x:c r="D4357" s="21" t="str">
        <x:v>milestone 126 decision held</x:v>
      </x:c>
      <x:c r="E4357" s="21" t="n">
        <x:f>IF(Milestones!M126="HOLD",1,0)</x:f>
        <x:v>1</x:v>
      </x:c>
      <x:c r="F4357" s="21" t="n">
        <x:v>1</x:v>
      </x:c>
      <x:c r="G4357" s="23" t="str">
        <x:f>IF(E4357=F4357,"PASS","FAIL")</x:f>
        <x:v>PASS</x:v>
      </x:c>
    </x:row>
    <x:row r="4358">
      <x:c r="B4358" s="21" t="str">
        <x:v>A4352</x:v>
      </x:c>
      <x:c r="C4358" s="21" t="str">
        <x:v>milestone</x:v>
      </x:c>
      <x:c r="D4358" s="21" t="str">
        <x:v>milestone 127 share positive</x:v>
      </x:c>
      <x:c r="E4358" s="21" t="n">
        <x:f>IF(Milestones!H127&gt;0,1,0)</x:f>
        <x:v>1</x:v>
      </x:c>
      <x:c r="F4358" s="21" t="n">
        <x:v>1</x:v>
      </x:c>
      <x:c r="G4358" s="23" t="str">
        <x:f>IF(E4358=F4358,"PASS","FAIL")</x:f>
        <x:v>PASS</x:v>
      </x:c>
    </x:row>
    <x:row r="4359">
      <x:c r="B4359" s="21" t="str">
        <x:v>A4353</x:v>
      </x:c>
      <x:c r="C4359" s="21" t="str">
        <x:v>milestone</x:v>
      </x:c>
      <x:c r="D4359" s="21" t="str">
        <x:v>milestone 127 year bounded</x:v>
      </x:c>
      <x:c r="E4359" s="21" t="n">
        <x:f>IF(AND(Milestones!I127&gt;=1,Milestones!I127&lt;=9),1,0)</x:f>
        <x:v>1</x:v>
      </x:c>
      <x:c r="F4359" s="21" t="n">
        <x:v>1</x:v>
      </x:c>
      <x:c r="G4359" s="23" t="str">
        <x:f>IF(E4359=F4359,"PASS","FAIL")</x:f>
        <x:v>PASS</x:v>
      </x:c>
    </x:row>
    <x:row r="4360">
      <x:c r="B4360" s="21" t="str">
        <x:v>A4354</x:v>
      </x:c>
      <x:c r="C4360" s="21" t="str">
        <x:v>milestone</x:v>
      </x:c>
      <x:c r="D4360" s="21" t="str">
        <x:v>milestone 127 payment nonnegative</x:v>
      </x:c>
      <x:c r="E4360" s="21" t="n">
        <x:f>IF(Milestones!J127&gt;=0,1,0)</x:f>
        <x:v>1</x:v>
      </x:c>
      <x:c r="F4360" s="21" t="n">
        <x:v>1</x:v>
      </x:c>
      <x:c r="G4360" s="23" t="str">
        <x:f>IF(E4360=F4360,"PASS","FAIL")</x:f>
        <x:v>PASS</x:v>
      </x:c>
    </x:row>
    <x:row r="4361">
      <x:c r="B4361" s="21" t="str">
        <x:v>A4355</x:v>
      </x:c>
      <x:c r="C4361" s="21" t="str">
        <x:v>milestone</x:v>
      </x:c>
      <x:c r="D4361" s="21" t="str">
        <x:v>milestone 127 evidence open</x:v>
      </x:c>
      <x:c r="E4361" s="21" t="n">
        <x:f>IF(Milestones!L127="OPEN",1,0)</x:f>
        <x:v>1</x:v>
      </x:c>
      <x:c r="F4361" s="21" t="n">
        <x:v>1</x:v>
      </x:c>
      <x:c r="G4361" s="23" t="str">
        <x:f>IF(E4361=F4361,"PASS","FAIL")</x:f>
        <x:v>PASS</x:v>
      </x:c>
    </x:row>
    <x:row r="4362">
      <x:c r="B4362" s="21" t="str">
        <x:v>A4356</x:v>
      </x:c>
      <x:c r="C4362" s="21" t="str">
        <x:v>milestone</x:v>
      </x:c>
      <x:c r="D4362" s="21" t="str">
        <x:v>milestone 127 decision held</x:v>
      </x:c>
      <x:c r="E4362" s="21" t="n">
        <x:f>IF(Milestones!M127="HOLD",1,0)</x:f>
        <x:v>1</x:v>
      </x:c>
      <x:c r="F4362" s="21" t="n">
        <x:v>1</x:v>
      </x:c>
      <x:c r="G4362" s="23" t="str">
        <x:f>IF(E4362=F4362,"PASS","FAIL")</x:f>
        <x:v>PASS</x:v>
      </x:c>
    </x:row>
    <x:row r="4363">
      <x:c r="B4363" s="21" t="str">
        <x:v>A4357</x:v>
      </x:c>
      <x:c r="C4363" s="21" t="str">
        <x:v>milestone</x:v>
      </x:c>
      <x:c r="D4363" s="21" t="str">
        <x:v>milestone 128 share positive</x:v>
      </x:c>
      <x:c r="E4363" s="21" t="n">
        <x:f>IF(Milestones!H128&gt;0,1,0)</x:f>
        <x:v>1</x:v>
      </x:c>
      <x:c r="F4363" s="21" t="n">
        <x:v>1</x:v>
      </x:c>
      <x:c r="G4363" s="23" t="str">
        <x:f>IF(E4363=F4363,"PASS","FAIL")</x:f>
        <x:v>PASS</x:v>
      </x:c>
    </x:row>
    <x:row r="4364">
      <x:c r="B4364" s="21" t="str">
        <x:v>A4358</x:v>
      </x:c>
      <x:c r="C4364" s="21" t="str">
        <x:v>milestone</x:v>
      </x:c>
      <x:c r="D4364" s="21" t="str">
        <x:v>milestone 128 year bounded</x:v>
      </x:c>
      <x:c r="E4364" s="21" t="n">
        <x:f>IF(AND(Milestones!I128&gt;=1,Milestones!I128&lt;=9),1,0)</x:f>
        <x:v>1</x:v>
      </x:c>
      <x:c r="F4364" s="21" t="n">
        <x:v>1</x:v>
      </x:c>
      <x:c r="G4364" s="23" t="str">
        <x:f>IF(E4364=F4364,"PASS","FAIL")</x:f>
        <x:v>PASS</x:v>
      </x:c>
    </x:row>
    <x:row r="4365">
      <x:c r="B4365" s="21" t="str">
        <x:v>A4359</x:v>
      </x:c>
      <x:c r="C4365" s="21" t="str">
        <x:v>milestone</x:v>
      </x:c>
      <x:c r="D4365" s="21" t="str">
        <x:v>milestone 128 payment nonnegative</x:v>
      </x:c>
      <x:c r="E4365" s="21" t="n">
        <x:f>IF(Milestones!J128&gt;=0,1,0)</x:f>
        <x:v>1</x:v>
      </x:c>
      <x:c r="F4365" s="21" t="n">
        <x:v>1</x:v>
      </x:c>
      <x:c r="G4365" s="23" t="str">
        <x:f>IF(E4365=F4365,"PASS","FAIL")</x:f>
        <x:v>PASS</x:v>
      </x:c>
    </x:row>
    <x:row r="4366">
      <x:c r="B4366" s="21" t="str">
        <x:v>A4360</x:v>
      </x:c>
      <x:c r="C4366" s="21" t="str">
        <x:v>milestone</x:v>
      </x:c>
      <x:c r="D4366" s="21" t="str">
        <x:v>milestone 128 evidence open</x:v>
      </x:c>
      <x:c r="E4366" s="21" t="n">
        <x:f>IF(Milestones!L128="OPEN",1,0)</x:f>
        <x:v>1</x:v>
      </x:c>
      <x:c r="F4366" s="21" t="n">
        <x:v>1</x:v>
      </x:c>
      <x:c r="G4366" s="23" t="str">
        <x:f>IF(E4366=F4366,"PASS","FAIL")</x:f>
        <x:v>PASS</x:v>
      </x:c>
    </x:row>
    <x:row r="4367">
      <x:c r="B4367" s="21" t="str">
        <x:v>A4361</x:v>
      </x:c>
      <x:c r="C4367" s="21" t="str">
        <x:v>milestone</x:v>
      </x:c>
      <x:c r="D4367" s="21" t="str">
        <x:v>milestone 128 decision held</x:v>
      </x:c>
      <x:c r="E4367" s="21" t="n">
        <x:f>IF(Milestones!M128="HOLD",1,0)</x:f>
        <x:v>1</x:v>
      </x:c>
      <x:c r="F4367" s="21" t="n">
        <x:v>1</x:v>
      </x:c>
      <x:c r="G4367" s="23" t="str">
        <x:f>IF(E4367=F4367,"PASS","FAIL")</x:f>
        <x:v>PASS</x:v>
      </x:c>
    </x:row>
    <x:row r="4368">
      <x:c r="B4368" s="21" t="str">
        <x:v>A4362</x:v>
      </x:c>
      <x:c r="C4368" s="21" t="str">
        <x:v>milestone</x:v>
      </x:c>
      <x:c r="D4368" s="21" t="str">
        <x:v>milestone 129 share positive</x:v>
      </x:c>
      <x:c r="E4368" s="21" t="n">
        <x:f>IF(Milestones!H129&gt;0,1,0)</x:f>
        <x:v>1</x:v>
      </x:c>
      <x:c r="F4368" s="21" t="n">
        <x:v>1</x:v>
      </x:c>
      <x:c r="G4368" s="23" t="str">
        <x:f>IF(E4368=F4368,"PASS","FAIL")</x:f>
        <x:v>PASS</x:v>
      </x:c>
    </x:row>
    <x:row r="4369">
      <x:c r="B4369" s="21" t="str">
        <x:v>A4363</x:v>
      </x:c>
      <x:c r="C4369" s="21" t="str">
        <x:v>milestone</x:v>
      </x:c>
      <x:c r="D4369" s="21" t="str">
        <x:v>milestone 129 year bounded</x:v>
      </x:c>
      <x:c r="E4369" s="21" t="n">
        <x:f>IF(AND(Milestones!I129&gt;=1,Milestones!I129&lt;=9),1,0)</x:f>
        <x:v>1</x:v>
      </x:c>
      <x:c r="F4369" s="21" t="n">
        <x:v>1</x:v>
      </x:c>
      <x:c r="G4369" s="23" t="str">
        <x:f>IF(E4369=F4369,"PASS","FAIL")</x:f>
        <x:v>PASS</x:v>
      </x:c>
    </x:row>
    <x:row r="4370">
      <x:c r="B4370" s="21" t="str">
        <x:v>A4364</x:v>
      </x:c>
      <x:c r="C4370" s="21" t="str">
        <x:v>milestone</x:v>
      </x:c>
      <x:c r="D4370" s="21" t="str">
        <x:v>milestone 129 payment nonnegative</x:v>
      </x:c>
      <x:c r="E4370" s="21" t="n">
        <x:f>IF(Milestones!J129&gt;=0,1,0)</x:f>
        <x:v>1</x:v>
      </x:c>
      <x:c r="F4370" s="21" t="n">
        <x:v>1</x:v>
      </x:c>
      <x:c r="G4370" s="23" t="str">
        <x:f>IF(E4370=F4370,"PASS","FAIL")</x:f>
        <x:v>PASS</x:v>
      </x:c>
    </x:row>
    <x:row r="4371">
      <x:c r="B4371" s="21" t="str">
        <x:v>A4365</x:v>
      </x:c>
      <x:c r="C4371" s="21" t="str">
        <x:v>milestone</x:v>
      </x:c>
      <x:c r="D4371" s="21" t="str">
        <x:v>milestone 129 evidence open</x:v>
      </x:c>
      <x:c r="E4371" s="21" t="n">
        <x:f>IF(Milestones!L129="OPEN",1,0)</x:f>
        <x:v>1</x:v>
      </x:c>
      <x:c r="F4371" s="21" t="n">
        <x:v>1</x:v>
      </x:c>
      <x:c r="G4371" s="23" t="str">
        <x:f>IF(E4371=F4371,"PASS","FAIL")</x:f>
        <x:v>PASS</x:v>
      </x:c>
    </x:row>
    <x:row r="4372">
      <x:c r="B4372" s="21" t="str">
        <x:v>A4366</x:v>
      </x:c>
      <x:c r="C4372" s="21" t="str">
        <x:v>milestone</x:v>
      </x:c>
      <x:c r="D4372" s="21" t="str">
        <x:v>milestone 129 decision held</x:v>
      </x:c>
      <x:c r="E4372" s="21" t="n">
        <x:f>IF(Milestones!M129="HOLD",1,0)</x:f>
        <x:v>1</x:v>
      </x:c>
      <x:c r="F4372" s="21" t="n">
        <x:v>1</x:v>
      </x:c>
      <x:c r="G4372" s="23" t="str">
        <x:f>IF(E4372=F4372,"PASS","FAIL")</x:f>
        <x:v>PASS</x:v>
      </x:c>
    </x:row>
    <x:row r="4373">
      <x:c r="B4373" s="21" t="str">
        <x:v>A4367</x:v>
      </x:c>
      <x:c r="C4373" s="21" t="str">
        <x:v>milestone</x:v>
      </x:c>
      <x:c r="D4373" s="21" t="str">
        <x:v>milestone 130 share positive</x:v>
      </x:c>
      <x:c r="E4373" s="21" t="n">
        <x:f>IF(Milestones!H130&gt;0,1,0)</x:f>
        <x:v>1</x:v>
      </x:c>
      <x:c r="F4373" s="21" t="n">
        <x:v>1</x:v>
      </x:c>
      <x:c r="G4373" s="23" t="str">
        <x:f>IF(E4373=F4373,"PASS","FAIL")</x:f>
        <x:v>PASS</x:v>
      </x:c>
    </x:row>
    <x:row r="4374">
      <x:c r="B4374" s="21" t="str">
        <x:v>A4368</x:v>
      </x:c>
      <x:c r="C4374" s="21" t="str">
        <x:v>milestone</x:v>
      </x:c>
      <x:c r="D4374" s="21" t="str">
        <x:v>milestone 130 year bounded</x:v>
      </x:c>
      <x:c r="E4374" s="21" t="n">
        <x:f>IF(AND(Milestones!I130&gt;=1,Milestones!I130&lt;=9),1,0)</x:f>
        <x:v>1</x:v>
      </x:c>
      <x:c r="F4374" s="21" t="n">
        <x:v>1</x:v>
      </x:c>
      <x:c r="G4374" s="23" t="str">
        <x:f>IF(E4374=F4374,"PASS","FAIL")</x:f>
        <x:v>PASS</x:v>
      </x:c>
    </x:row>
    <x:row r="4375">
      <x:c r="B4375" s="21" t="str">
        <x:v>A4369</x:v>
      </x:c>
      <x:c r="C4375" s="21" t="str">
        <x:v>milestone</x:v>
      </x:c>
      <x:c r="D4375" s="21" t="str">
        <x:v>milestone 130 payment nonnegative</x:v>
      </x:c>
      <x:c r="E4375" s="21" t="n">
        <x:f>IF(Milestones!J130&gt;=0,1,0)</x:f>
        <x:v>1</x:v>
      </x:c>
      <x:c r="F4375" s="21" t="n">
        <x:v>1</x:v>
      </x:c>
      <x:c r="G4375" s="23" t="str">
        <x:f>IF(E4375=F4375,"PASS","FAIL")</x:f>
        <x:v>PASS</x:v>
      </x:c>
    </x:row>
    <x:row r="4376">
      <x:c r="B4376" s="21" t="str">
        <x:v>A4370</x:v>
      </x:c>
      <x:c r="C4376" s="21" t="str">
        <x:v>milestone</x:v>
      </x:c>
      <x:c r="D4376" s="21" t="str">
        <x:v>milestone 130 evidence open</x:v>
      </x:c>
      <x:c r="E4376" s="21" t="n">
        <x:f>IF(Milestones!L130="OPEN",1,0)</x:f>
        <x:v>1</x:v>
      </x:c>
      <x:c r="F4376" s="21" t="n">
        <x:v>1</x:v>
      </x:c>
      <x:c r="G4376" s="23" t="str">
        <x:f>IF(E4376=F4376,"PASS","FAIL")</x:f>
        <x:v>PASS</x:v>
      </x:c>
    </x:row>
    <x:row r="4377">
      <x:c r="B4377" s="21" t="str">
        <x:v>A4371</x:v>
      </x:c>
      <x:c r="C4377" s="21" t="str">
        <x:v>milestone</x:v>
      </x:c>
      <x:c r="D4377" s="21" t="str">
        <x:v>milestone 130 decision held</x:v>
      </x:c>
      <x:c r="E4377" s="21" t="n">
        <x:f>IF(Milestones!M130="HOLD",1,0)</x:f>
        <x:v>1</x:v>
      </x:c>
      <x:c r="F4377" s="21" t="n">
        <x:v>1</x:v>
      </x:c>
      <x:c r="G4377" s="23" t="str">
        <x:f>IF(E4377=F4377,"PASS","FAIL")</x:f>
        <x:v>PASS</x:v>
      </x:c>
    </x:row>
    <x:row r="4378">
      <x:c r="B4378" s="21" t="str">
        <x:v>A4372</x:v>
      </x:c>
      <x:c r="C4378" s="21" t="str">
        <x:v>milestone</x:v>
      </x:c>
      <x:c r="D4378" s="21" t="str">
        <x:v>milestone 131 share positive</x:v>
      </x:c>
      <x:c r="E4378" s="21" t="n">
        <x:f>IF(Milestones!H131&gt;0,1,0)</x:f>
        <x:v>1</x:v>
      </x:c>
      <x:c r="F4378" s="21" t="n">
        <x:v>1</x:v>
      </x:c>
      <x:c r="G4378" s="23" t="str">
        <x:f>IF(E4378=F4378,"PASS","FAIL")</x:f>
        <x:v>PASS</x:v>
      </x:c>
    </x:row>
    <x:row r="4379">
      <x:c r="B4379" s="21" t="str">
        <x:v>A4373</x:v>
      </x:c>
      <x:c r="C4379" s="21" t="str">
        <x:v>milestone</x:v>
      </x:c>
      <x:c r="D4379" s="21" t="str">
        <x:v>milestone 131 year bounded</x:v>
      </x:c>
      <x:c r="E4379" s="21" t="n">
        <x:f>IF(AND(Milestones!I131&gt;=1,Milestones!I131&lt;=9),1,0)</x:f>
        <x:v>1</x:v>
      </x:c>
      <x:c r="F4379" s="21" t="n">
        <x:v>1</x:v>
      </x:c>
      <x:c r="G4379" s="23" t="str">
        <x:f>IF(E4379=F4379,"PASS","FAIL")</x:f>
        <x:v>PASS</x:v>
      </x:c>
    </x:row>
    <x:row r="4380">
      <x:c r="B4380" s="21" t="str">
        <x:v>A4374</x:v>
      </x:c>
      <x:c r="C4380" s="21" t="str">
        <x:v>milestone</x:v>
      </x:c>
      <x:c r="D4380" s="21" t="str">
        <x:v>milestone 131 payment nonnegative</x:v>
      </x:c>
      <x:c r="E4380" s="21" t="n">
        <x:f>IF(Milestones!J131&gt;=0,1,0)</x:f>
        <x:v>1</x:v>
      </x:c>
      <x:c r="F4380" s="21" t="n">
        <x:v>1</x:v>
      </x:c>
      <x:c r="G4380" s="23" t="str">
        <x:f>IF(E4380=F4380,"PASS","FAIL")</x:f>
        <x:v>PASS</x:v>
      </x:c>
    </x:row>
    <x:row r="4381">
      <x:c r="B4381" s="21" t="str">
        <x:v>A4375</x:v>
      </x:c>
      <x:c r="C4381" s="21" t="str">
        <x:v>milestone</x:v>
      </x:c>
      <x:c r="D4381" s="21" t="str">
        <x:v>milestone 131 evidence open</x:v>
      </x:c>
      <x:c r="E4381" s="21" t="n">
        <x:f>IF(Milestones!L131="OPEN",1,0)</x:f>
        <x:v>1</x:v>
      </x:c>
      <x:c r="F4381" s="21" t="n">
        <x:v>1</x:v>
      </x:c>
      <x:c r="G4381" s="23" t="str">
        <x:f>IF(E4381=F4381,"PASS","FAIL")</x:f>
        <x:v>PASS</x:v>
      </x:c>
    </x:row>
    <x:row r="4382">
      <x:c r="B4382" s="21" t="str">
        <x:v>A4376</x:v>
      </x:c>
      <x:c r="C4382" s="21" t="str">
        <x:v>milestone</x:v>
      </x:c>
      <x:c r="D4382" s="21" t="str">
        <x:v>milestone 131 decision held</x:v>
      </x:c>
      <x:c r="E4382" s="21" t="n">
        <x:f>IF(Milestones!M131="HOLD",1,0)</x:f>
        <x:v>1</x:v>
      </x:c>
      <x:c r="F4382" s="21" t="n">
        <x:v>1</x:v>
      </x:c>
      <x:c r="G4382" s="23" t="str">
        <x:f>IF(E4382=F4382,"PASS","FAIL")</x:f>
        <x:v>PASS</x:v>
      </x:c>
    </x:row>
    <x:row r="4383">
      <x:c r="B4383" s="21" t="str">
        <x:v>A4377</x:v>
      </x:c>
      <x:c r="C4383" s="21" t="str">
        <x:v>milestone</x:v>
      </x:c>
      <x:c r="D4383" s="21" t="str">
        <x:v>milestone 132 share positive</x:v>
      </x:c>
      <x:c r="E4383" s="21" t="n">
        <x:f>IF(Milestones!H132&gt;0,1,0)</x:f>
        <x:v>1</x:v>
      </x:c>
      <x:c r="F4383" s="21" t="n">
        <x:v>1</x:v>
      </x:c>
      <x:c r="G4383" s="23" t="str">
        <x:f>IF(E4383=F4383,"PASS","FAIL")</x:f>
        <x:v>PASS</x:v>
      </x:c>
    </x:row>
    <x:row r="4384">
      <x:c r="B4384" s="21" t="str">
        <x:v>A4378</x:v>
      </x:c>
      <x:c r="C4384" s="21" t="str">
        <x:v>milestone</x:v>
      </x:c>
      <x:c r="D4384" s="21" t="str">
        <x:v>milestone 132 year bounded</x:v>
      </x:c>
      <x:c r="E4384" s="21" t="n">
        <x:f>IF(AND(Milestones!I132&gt;=1,Milestones!I132&lt;=9),1,0)</x:f>
        <x:v>1</x:v>
      </x:c>
      <x:c r="F4384" s="21" t="n">
        <x:v>1</x:v>
      </x:c>
      <x:c r="G4384" s="23" t="str">
        <x:f>IF(E4384=F4384,"PASS","FAIL")</x:f>
        <x:v>PASS</x:v>
      </x:c>
    </x:row>
    <x:row r="4385">
      <x:c r="B4385" s="21" t="str">
        <x:v>A4379</x:v>
      </x:c>
      <x:c r="C4385" s="21" t="str">
        <x:v>milestone</x:v>
      </x:c>
      <x:c r="D4385" s="21" t="str">
        <x:v>milestone 132 payment nonnegative</x:v>
      </x:c>
      <x:c r="E4385" s="21" t="n">
        <x:f>IF(Milestones!J132&gt;=0,1,0)</x:f>
        <x:v>1</x:v>
      </x:c>
      <x:c r="F4385" s="21" t="n">
        <x:v>1</x:v>
      </x:c>
      <x:c r="G4385" s="23" t="str">
        <x:f>IF(E4385=F4385,"PASS","FAIL")</x:f>
        <x:v>PASS</x:v>
      </x:c>
    </x:row>
    <x:row r="4386">
      <x:c r="B4386" s="21" t="str">
        <x:v>A4380</x:v>
      </x:c>
      <x:c r="C4386" s="21" t="str">
        <x:v>milestone</x:v>
      </x:c>
      <x:c r="D4386" s="21" t="str">
        <x:v>milestone 132 evidence open</x:v>
      </x:c>
      <x:c r="E4386" s="21" t="n">
        <x:f>IF(Milestones!L132="OPEN",1,0)</x:f>
        <x:v>1</x:v>
      </x:c>
      <x:c r="F4386" s="21" t="n">
        <x:v>1</x:v>
      </x:c>
      <x:c r="G4386" s="23" t="str">
        <x:f>IF(E4386=F4386,"PASS","FAIL")</x:f>
        <x:v>PASS</x:v>
      </x:c>
    </x:row>
    <x:row r="4387">
      <x:c r="B4387" s="21" t="str">
        <x:v>A4381</x:v>
      </x:c>
      <x:c r="C4387" s="21" t="str">
        <x:v>milestone</x:v>
      </x:c>
      <x:c r="D4387" s="21" t="str">
        <x:v>milestone 132 decision held</x:v>
      </x:c>
      <x:c r="E4387" s="21" t="n">
        <x:f>IF(Milestones!M132="HOLD",1,0)</x:f>
        <x:v>1</x:v>
      </x:c>
      <x:c r="F4387" s="21" t="n">
        <x:v>1</x:v>
      </x:c>
      <x:c r="G4387" s="23" t="str">
        <x:f>IF(E4387=F4387,"PASS","FAIL")</x:f>
        <x:v>PASS</x:v>
      </x:c>
    </x:row>
    <x:row r="4388">
      <x:c r="B4388" s="21" t="str">
        <x:v>A4382</x:v>
      </x:c>
      <x:c r="C4388" s="21" t="str">
        <x:v>milestone</x:v>
      </x:c>
      <x:c r="D4388" s="21" t="str">
        <x:v>milestone 133 share positive</x:v>
      </x:c>
      <x:c r="E4388" s="21" t="n">
        <x:f>IF(Milestones!H133&gt;0,1,0)</x:f>
        <x:v>1</x:v>
      </x:c>
      <x:c r="F4388" s="21" t="n">
        <x:v>1</x:v>
      </x:c>
      <x:c r="G4388" s="23" t="str">
        <x:f>IF(E4388=F4388,"PASS","FAIL")</x:f>
        <x:v>PASS</x:v>
      </x:c>
    </x:row>
    <x:row r="4389">
      <x:c r="B4389" s="21" t="str">
        <x:v>A4383</x:v>
      </x:c>
      <x:c r="C4389" s="21" t="str">
        <x:v>milestone</x:v>
      </x:c>
      <x:c r="D4389" s="21" t="str">
        <x:v>milestone 133 year bounded</x:v>
      </x:c>
      <x:c r="E4389" s="21" t="n">
        <x:f>IF(AND(Milestones!I133&gt;=1,Milestones!I133&lt;=9),1,0)</x:f>
        <x:v>1</x:v>
      </x:c>
      <x:c r="F4389" s="21" t="n">
        <x:v>1</x:v>
      </x:c>
      <x:c r="G4389" s="23" t="str">
        <x:f>IF(E4389=F4389,"PASS","FAIL")</x:f>
        <x:v>PASS</x:v>
      </x:c>
    </x:row>
    <x:row r="4390">
      <x:c r="B4390" s="21" t="str">
        <x:v>A4384</x:v>
      </x:c>
      <x:c r="C4390" s="21" t="str">
        <x:v>milestone</x:v>
      </x:c>
      <x:c r="D4390" s="21" t="str">
        <x:v>milestone 133 payment nonnegative</x:v>
      </x:c>
      <x:c r="E4390" s="21" t="n">
        <x:f>IF(Milestones!J133&gt;=0,1,0)</x:f>
        <x:v>1</x:v>
      </x:c>
      <x:c r="F4390" s="21" t="n">
        <x:v>1</x:v>
      </x:c>
      <x:c r="G4390" s="23" t="str">
        <x:f>IF(E4390=F4390,"PASS","FAIL")</x:f>
        <x:v>PASS</x:v>
      </x:c>
    </x:row>
    <x:row r="4391">
      <x:c r="B4391" s="21" t="str">
        <x:v>A4385</x:v>
      </x:c>
      <x:c r="C4391" s="21" t="str">
        <x:v>milestone</x:v>
      </x:c>
      <x:c r="D4391" s="21" t="str">
        <x:v>milestone 133 evidence open</x:v>
      </x:c>
      <x:c r="E4391" s="21" t="n">
        <x:f>IF(Milestones!L133="OPEN",1,0)</x:f>
        <x:v>1</x:v>
      </x:c>
      <x:c r="F4391" s="21" t="n">
        <x:v>1</x:v>
      </x:c>
      <x:c r="G4391" s="23" t="str">
        <x:f>IF(E4391=F4391,"PASS","FAIL")</x:f>
        <x:v>PASS</x:v>
      </x:c>
    </x:row>
    <x:row r="4392">
      <x:c r="B4392" s="21" t="str">
        <x:v>A4386</x:v>
      </x:c>
      <x:c r="C4392" s="21" t="str">
        <x:v>milestone</x:v>
      </x:c>
      <x:c r="D4392" s="21" t="str">
        <x:v>milestone 133 decision held</x:v>
      </x:c>
      <x:c r="E4392" s="21" t="n">
        <x:f>IF(Milestones!M133="HOLD",1,0)</x:f>
        <x:v>1</x:v>
      </x:c>
      <x:c r="F4392" s="21" t="n">
        <x:v>1</x:v>
      </x:c>
      <x:c r="G4392" s="23" t="str">
        <x:f>IF(E4392=F4392,"PASS","FAIL")</x:f>
        <x:v>PASS</x:v>
      </x:c>
    </x:row>
    <x:row r="4393">
      <x:c r="B4393" s="21" t="str">
        <x:v>A4387</x:v>
      </x:c>
      <x:c r="C4393" s="21" t="str">
        <x:v>milestone</x:v>
      </x:c>
      <x:c r="D4393" s="21" t="str">
        <x:v>milestone 134 share positive</x:v>
      </x:c>
      <x:c r="E4393" s="21" t="n">
        <x:f>IF(Milestones!H134&gt;0,1,0)</x:f>
        <x:v>1</x:v>
      </x:c>
      <x:c r="F4393" s="21" t="n">
        <x:v>1</x:v>
      </x:c>
      <x:c r="G4393" s="23" t="str">
        <x:f>IF(E4393=F4393,"PASS","FAIL")</x:f>
        <x:v>PASS</x:v>
      </x:c>
    </x:row>
    <x:row r="4394">
      <x:c r="B4394" s="21" t="str">
        <x:v>A4388</x:v>
      </x:c>
      <x:c r="C4394" s="21" t="str">
        <x:v>milestone</x:v>
      </x:c>
      <x:c r="D4394" s="21" t="str">
        <x:v>milestone 134 year bounded</x:v>
      </x:c>
      <x:c r="E4394" s="21" t="n">
        <x:f>IF(AND(Milestones!I134&gt;=1,Milestones!I134&lt;=9),1,0)</x:f>
        <x:v>1</x:v>
      </x:c>
      <x:c r="F4394" s="21" t="n">
        <x:v>1</x:v>
      </x:c>
      <x:c r="G4394" s="23" t="str">
        <x:f>IF(E4394=F4394,"PASS","FAIL")</x:f>
        <x:v>PASS</x:v>
      </x:c>
    </x:row>
    <x:row r="4395">
      <x:c r="B4395" s="21" t="str">
        <x:v>A4389</x:v>
      </x:c>
      <x:c r="C4395" s="21" t="str">
        <x:v>milestone</x:v>
      </x:c>
      <x:c r="D4395" s="21" t="str">
        <x:v>milestone 134 payment nonnegative</x:v>
      </x:c>
      <x:c r="E4395" s="21" t="n">
        <x:f>IF(Milestones!J134&gt;=0,1,0)</x:f>
        <x:v>1</x:v>
      </x:c>
      <x:c r="F4395" s="21" t="n">
        <x:v>1</x:v>
      </x:c>
      <x:c r="G4395" s="23" t="str">
        <x:f>IF(E4395=F4395,"PASS","FAIL")</x:f>
        <x:v>PASS</x:v>
      </x:c>
    </x:row>
    <x:row r="4396">
      <x:c r="B4396" s="21" t="str">
        <x:v>A4390</x:v>
      </x:c>
      <x:c r="C4396" s="21" t="str">
        <x:v>milestone</x:v>
      </x:c>
      <x:c r="D4396" s="21" t="str">
        <x:v>milestone 134 evidence open</x:v>
      </x:c>
      <x:c r="E4396" s="21" t="n">
        <x:f>IF(Milestones!L134="OPEN",1,0)</x:f>
        <x:v>1</x:v>
      </x:c>
      <x:c r="F4396" s="21" t="n">
        <x:v>1</x:v>
      </x:c>
      <x:c r="G4396" s="23" t="str">
        <x:f>IF(E4396=F4396,"PASS","FAIL")</x:f>
        <x:v>PASS</x:v>
      </x:c>
    </x:row>
    <x:row r="4397">
      <x:c r="B4397" s="21" t="str">
        <x:v>A4391</x:v>
      </x:c>
      <x:c r="C4397" s="21" t="str">
        <x:v>milestone</x:v>
      </x:c>
      <x:c r="D4397" s="21" t="str">
        <x:v>milestone 134 decision held</x:v>
      </x:c>
      <x:c r="E4397" s="21" t="n">
        <x:f>IF(Milestones!M134="HOLD",1,0)</x:f>
        <x:v>1</x:v>
      </x:c>
      <x:c r="F4397" s="21" t="n">
        <x:v>1</x:v>
      </x:c>
      <x:c r="G4397" s="23" t="str">
        <x:f>IF(E4397=F4397,"PASS","FAIL")</x:f>
        <x:v>PASS</x:v>
      </x:c>
    </x:row>
    <x:row r="4398">
      <x:c r="B4398" s="21" t="str">
        <x:v>A4392</x:v>
      </x:c>
      <x:c r="C4398" s="21" t="str">
        <x:v>milestone</x:v>
      </x:c>
      <x:c r="D4398" s="21" t="str">
        <x:v>milestone 135 share positive</x:v>
      </x:c>
      <x:c r="E4398" s="21" t="n">
        <x:f>IF(Milestones!H135&gt;0,1,0)</x:f>
        <x:v>1</x:v>
      </x:c>
      <x:c r="F4398" s="21" t="n">
        <x:v>1</x:v>
      </x:c>
      <x:c r="G4398" s="23" t="str">
        <x:f>IF(E4398=F4398,"PASS","FAIL")</x:f>
        <x:v>PASS</x:v>
      </x:c>
    </x:row>
    <x:row r="4399">
      <x:c r="B4399" s="21" t="str">
        <x:v>A4393</x:v>
      </x:c>
      <x:c r="C4399" s="21" t="str">
        <x:v>milestone</x:v>
      </x:c>
      <x:c r="D4399" s="21" t="str">
        <x:v>milestone 135 year bounded</x:v>
      </x:c>
      <x:c r="E4399" s="21" t="n">
        <x:f>IF(AND(Milestones!I135&gt;=1,Milestones!I135&lt;=9),1,0)</x:f>
        <x:v>1</x:v>
      </x:c>
      <x:c r="F4399" s="21" t="n">
        <x:v>1</x:v>
      </x:c>
      <x:c r="G4399" s="23" t="str">
        <x:f>IF(E4399=F4399,"PASS","FAIL")</x:f>
        <x:v>PASS</x:v>
      </x:c>
    </x:row>
    <x:row r="4400">
      <x:c r="B4400" s="21" t="str">
        <x:v>A4394</x:v>
      </x:c>
      <x:c r="C4400" s="21" t="str">
        <x:v>milestone</x:v>
      </x:c>
      <x:c r="D4400" s="21" t="str">
        <x:v>milestone 135 payment nonnegative</x:v>
      </x:c>
      <x:c r="E4400" s="21" t="n">
        <x:f>IF(Milestones!J135&gt;=0,1,0)</x:f>
        <x:v>1</x:v>
      </x:c>
      <x:c r="F4400" s="21" t="n">
        <x:v>1</x:v>
      </x:c>
      <x:c r="G4400" s="23" t="str">
        <x:f>IF(E4400=F4400,"PASS","FAIL")</x:f>
        <x:v>PASS</x:v>
      </x:c>
    </x:row>
    <x:row r="4401">
      <x:c r="B4401" s="21" t="str">
        <x:v>A4395</x:v>
      </x:c>
      <x:c r="C4401" s="21" t="str">
        <x:v>milestone</x:v>
      </x:c>
      <x:c r="D4401" s="21" t="str">
        <x:v>milestone 135 evidence open</x:v>
      </x:c>
      <x:c r="E4401" s="21" t="n">
        <x:f>IF(Milestones!L135="OPEN",1,0)</x:f>
        <x:v>1</x:v>
      </x:c>
      <x:c r="F4401" s="21" t="n">
        <x:v>1</x:v>
      </x:c>
      <x:c r="G4401" s="23" t="str">
        <x:f>IF(E4401=F4401,"PASS","FAIL")</x:f>
        <x:v>PASS</x:v>
      </x:c>
    </x:row>
    <x:row r="4402">
      <x:c r="B4402" s="21" t="str">
        <x:v>A4396</x:v>
      </x:c>
      <x:c r="C4402" s="21" t="str">
        <x:v>milestone</x:v>
      </x:c>
      <x:c r="D4402" s="21" t="str">
        <x:v>milestone 135 decision held</x:v>
      </x:c>
      <x:c r="E4402" s="21" t="n">
        <x:f>IF(Milestones!M135="HOLD",1,0)</x:f>
        <x:v>1</x:v>
      </x:c>
      <x:c r="F4402" s="21" t="n">
        <x:v>1</x:v>
      </x:c>
      <x:c r="G4402" s="23" t="str">
        <x:f>IF(E4402=F4402,"PASS","FAIL")</x:f>
        <x:v>PASS</x:v>
      </x:c>
    </x:row>
    <x:row r="4403">
      <x:c r="B4403" s="21" t="str">
        <x:v>A4397</x:v>
      </x:c>
      <x:c r="C4403" s="21" t="str">
        <x:v>milestone</x:v>
      </x:c>
      <x:c r="D4403" s="21" t="str">
        <x:v>milestone 136 share positive</x:v>
      </x:c>
      <x:c r="E4403" s="21" t="n">
        <x:f>IF(Milestones!H136&gt;0,1,0)</x:f>
        <x:v>1</x:v>
      </x:c>
      <x:c r="F4403" s="21" t="n">
        <x:v>1</x:v>
      </x:c>
      <x:c r="G4403" s="23" t="str">
        <x:f>IF(E4403=F4403,"PASS","FAIL")</x:f>
        <x:v>PASS</x:v>
      </x:c>
    </x:row>
    <x:row r="4404">
      <x:c r="B4404" s="21" t="str">
        <x:v>A4398</x:v>
      </x:c>
      <x:c r="C4404" s="21" t="str">
        <x:v>milestone</x:v>
      </x:c>
      <x:c r="D4404" s="21" t="str">
        <x:v>milestone 136 year bounded</x:v>
      </x:c>
      <x:c r="E4404" s="21" t="n">
        <x:f>IF(AND(Milestones!I136&gt;=1,Milestones!I136&lt;=9),1,0)</x:f>
        <x:v>1</x:v>
      </x:c>
      <x:c r="F4404" s="21" t="n">
        <x:v>1</x:v>
      </x:c>
      <x:c r="G4404" s="23" t="str">
        <x:f>IF(E4404=F4404,"PASS","FAIL")</x:f>
        <x:v>PASS</x:v>
      </x:c>
    </x:row>
    <x:row r="4405">
      <x:c r="B4405" s="21" t="str">
        <x:v>A4399</x:v>
      </x:c>
      <x:c r="C4405" s="21" t="str">
        <x:v>milestone</x:v>
      </x:c>
      <x:c r="D4405" s="21" t="str">
        <x:v>milestone 136 payment nonnegative</x:v>
      </x:c>
      <x:c r="E4405" s="21" t="n">
        <x:f>IF(Milestones!J136&gt;=0,1,0)</x:f>
        <x:v>1</x:v>
      </x:c>
      <x:c r="F4405" s="21" t="n">
        <x:v>1</x:v>
      </x:c>
      <x:c r="G4405" s="23" t="str">
        <x:f>IF(E4405=F4405,"PASS","FAIL")</x:f>
        <x:v>PASS</x:v>
      </x:c>
    </x:row>
    <x:row r="4406">
      <x:c r="B4406" s="21" t="str">
        <x:v>A4400</x:v>
      </x:c>
      <x:c r="C4406" s="21" t="str">
        <x:v>milestone</x:v>
      </x:c>
      <x:c r="D4406" s="21" t="str">
        <x:v>milestone 136 evidence open</x:v>
      </x:c>
      <x:c r="E4406" s="21" t="n">
        <x:f>IF(Milestones!L136="OPEN",1,0)</x:f>
        <x:v>1</x:v>
      </x:c>
      <x:c r="F4406" s="21" t="n">
        <x:v>1</x:v>
      </x:c>
      <x:c r="G4406" s="23" t="str">
        <x:f>IF(E4406=F4406,"PASS","FAIL")</x:f>
        <x:v>PASS</x:v>
      </x:c>
    </x:row>
    <x:row r="4407">
      <x:c r="B4407" s="21" t="str">
        <x:v>A4401</x:v>
      </x:c>
      <x:c r="C4407" s="21" t="str">
        <x:v>milestone</x:v>
      </x:c>
      <x:c r="D4407" s="21" t="str">
        <x:v>milestone 136 decision held</x:v>
      </x:c>
      <x:c r="E4407" s="21" t="n">
        <x:f>IF(Milestones!M136="HOLD",1,0)</x:f>
        <x:v>1</x:v>
      </x:c>
      <x:c r="F4407" s="21" t="n">
        <x:v>1</x:v>
      </x:c>
      <x:c r="G4407" s="23" t="str">
        <x:f>IF(E4407=F4407,"PASS","FAIL")</x:f>
        <x:v>PASS</x:v>
      </x:c>
    </x:row>
    <x:row r="4408">
      <x:c r="B4408" s="21" t="str">
        <x:v>A4402</x:v>
      </x:c>
      <x:c r="C4408" s="21" t="str">
        <x:v>milestone</x:v>
      </x:c>
      <x:c r="D4408" s="21" t="str">
        <x:v>milestone 137 share positive</x:v>
      </x:c>
      <x:c r="E4408" s="21" t="n">
        <x:f>IF(Milestones!H137&gt;0,1,0)</x:f>
        <x:v>1</x:v>
      </x:c>
      <x:c r="F4408" s="21" t="n">
        <x:v>1</x:v>
      </x:c>
      <x:c r="G4408" s="23" t="str">
        <x:f>IF(E4408=F4408,"PASS","FAIL")</x:f>
        <x:v>PASS</x:v>
      </x:c>
    </x:row>
    <x:row r="4409">
      <x:c r="B4409" s="21" t="str">
        <x:v>A4403</x:v>
      </x:c>
      <x:c r="C4409" s="21" t="str">
        <x:v>milestone</x:v>
      </x:c>
      <x:c r="D4409" s="21" t="str">
        <x:v>milestone 137 year bounded</x:v>
      </x:c>
      <x:c r="E4409" s="21" t="n">
        <x:f>IF(AND(Milestones!I137&gt;=1,Milestones!I137&lt;=9),1,0)</x:f>
        <x:v>1</x:v>
      </x:c>
      <x:c r="F4409" s="21" t="n">
        <x:v>1</x:v>
      </x:c>
      <x:c r="G4409" s="23" t="str">
        <x:f>IF(E4409=F4409,"PASS","FAIL")</x:f>
        <x:v>PASS</x:v>
      </x:c>
    </x:row>
    <x:row r="4410">
      <x:c r="B4410" s="21" t="str">
        <x:v>A4404</x:v>
      </x:c>
      <x:c r="C4410" s="21" t="str">
        <x:v>milestone</x:v>
      </x:c>
      <x:c r="D4410" s="21" t="str">
        <x:v>milestone 137 payment nonnegative</x:v>
      </x:c>
      <x:c r="E4410" s="21" t="n">
        <x:f>IF(Milestones!J137&gt;=0,1,0)</x:f>
        <x:v>1</x:v>
      </x:c>
      <x:c r="F4410" s="21" t="n">
        <x:v>1</x:v>
      </x:c>
      <x:c r="G4410" s="23" t="str">
        <x:f>IF(E4410=F4410,"PASS","FAIL")</x:f>
        <x:v>PASS</x:v>
      </x:c>
    </x:row>
    <x:row r="4411">
      <x:c r="B4411" s="21" t="str">
        <x:v>A4405</x:v>
      </x:c>
      <x:c r="C4411" s="21" t="str">
        <x:v>milestone</x:v>
      </x:c>
      <x:c r="D4411" s="21" t="str">
        <x:v>milestone 137 evidence open</x:v>
      </x:c>
      <x:c r="E4411" s="21" t="n">
        <x:f>IF(Milestones!L137="OPEN",1,0)</x:f>
        <x:v>1</x:v>
      </x:c>
      <x:c r="F4411" s="21" t="n">
        <x:v>1</x:v>
      </x:c>
      <x:c r="G4411" s="23" t="str">
        <x:f>IF(E4411=F4411,"PASS","FAIL")</x:f>
        <x:v>PASS</x:v>
      </x:c>
    </x:row>
    <x:row r="4412">
      <x:c r="B4412" s="21" t="str">
        <x:v>A4406</x:v>
      </x:c>
      <x:c r="C4412" s="21" t="str">
        <x:v>milestone</x:v>
      </x:c>
      <x:c r="D4412" s="21" t="str">
        <x:v>milestone 137 decision held</x:v>
      </x:c>
      <x:c r="E4412" s="21" t="n">
        <x:f>IF(Milestones!M137="HOLD",1,0)</x:f>
        <x:v>1</x:v>
      </x:c>
      <x:c r="F4412" s="21" t="n">
        <x:v>1</x:v>
      </x:c>
      <x:c r="G4412" s="23" t="str">
        <x:f>IF(E4412=F4412,"PASS","FAIL")</x:f>
        <x:v>PASS</x:v>
      </x:c>
    </x:row>
    <x:row r="4413">
      <x:c r="B4413" s="21" t="str">
        <x:v>A4407</x:v>
      </x:c>
      <x:c r="C4413" s="21" t="str">
        <x:v>milestone</x:v>
      </x:c>
      <x:c r="D4413" s="21" t="str">
        <x:v>milestone 138 share positive</x:v>
      </x:c>
      <x:c r="E4413" s="21" t="n">
        <x:f>IF(Milestones!H138&gt;0,1,0)</x:f>
        <x:v>1</x:v>
      </x:c>
      <x:c r="F4413" s="21" t="n">
        <x:v>1</x:v>
      </x:c>
      <x:c r="G4413" s="23" t="str">
        <x:f>IF(E4413=F4413,"PASS","FAIL")</x:f>
        <x:v>PASS</x:v>
      </x:c>
    </x:row>
    <x:row r="4414">
      <x:c r="B4414" s="21" t="str">
        <x:v>A4408</x:v>
      </x:c>
      <x:c r="C4414" s="21" t="str">
        <x:v>milestone</x:v>
      </x:c>
      <x:c r="D4414" s="21" t="str">
        <x:v>milestone 138 year bounded</x:v>
      </x:c>
      <x:c r="E4414" s="21" t="n">
        <x:f>IF(AND(Milestones!I138&gt;=1,Milestones!I138&lt;=9),1,0)</x:f>
        <x:v>1</x:v>
      </x:c>
      <x:c r="F4414" s="21" t="n">
        <x:v>1</x:v>
      </x:c>
      <x:c r="G4414" s="23" t="str">
        <x:f>IF(E4414=F4414,"PASS","FAIL")</x:f>
        <x:v>PASS</x:v>
      </x:c>
    </x:row>
    <x:row r="4415">
      <x:c r="B4415" s="21" t="str">
        <x:v>A4409</x:v>
      </x:c>
      <x:c r="C4415" s="21" t="str">
        <x:v>milestone</x:v>
      </x:c>
      <x:c r="D4415" s="21" t="str">
        <x:v>milestone 138 payment nonnegative</x:v>
      </x:c>
      <x:c r="E4415" s="21" t="n">
        <x:f>IF(Milestones!J138&gt;=0,1,0)</x:f>
        <x:v>1</x:v>
      </x:c>
      <x:c r="F4415" s="21" t="n">
        <x:v>1</x:v>
      </x:c>
      <x:c r="G4415" s="23" t="str">
        <x:f>IF(E4415=F4415,"PASS","FAIL")</x:f>
        <x:v>PASS</x:v>
      </x:c>
    </x:row>
    <x:row r="4416">
      <x:c r="B4416" s="21" t="str">
        <x:v>A4410</x:v>
      </x:c>
      <x:c r="C4416" s="21" t="str">
        <x:v>milestone</x:v>
      </x:c>
      <x:c r="D4416" s="21" t="str">
        <x:v>milestone 138 evidence open</x:v>
      </x:c>
      <x:c r="E4416" s="21" t="n">
        <x:f>IF(Milestones!L138="OPEN",1,0)</x:f>
        <x:v>1</x:v>
      </x:c>
      <x:c r="F4416" s="21" t="n">
        <x:v>1</x:v>
      </x:c>
      <x:c r="G4416" s="23" t="str">
        <x:f>IF(E4416=F4416,"PASS","FAIL")</x:f>
        <x:v>PASS</x:v>
      </x:c>
    </x:row>
    <x:row r="4417">
      <x:c r="B4417" s="21" t="str">
        <x:v>A4411</x:v>
      </x:c>
      <x:c r="C4417" s="21" t="str">
        <x:v>milestone</x:v>
      </x:c>
      <x:c r="D4417" s="21" t="str">
        <x:v>milestone 138 decision held</x:v>
      </x:c>
      <x:c r="E4417" s="21" t="n">
        <x:f>IF(Milestones!M138="HOLD",1,0)</x:f>
        <x:v>1</x:v>
      </x:c>
      <x:c r="F4417" s="21" t="n">
        <x:v>1</x:v>
      </x:c>
      <x:c r="G4417" s="23" t="str">
        <x:f>IF(E4417=F4417,"PASS","FAIL")</x:f>
        <x:v>PASS</x:v>
      </x:c>
    </x:row>
    <x:row r="4418">
      <x:c r="B4418" s="21" t="str">
        <x:v>A4412</x:v>
      </x:c>
      <x:c r="C4418" s="21" t="str">
        <x:v>milestone</x:v>
      </x:c>
      <x:c r="D4418" s="21" t="str">
        <x:v>milestone 139 share positive</x:v>
      </x:c>
      <x:c r="E4418" s="21" t="n">
        <x:f>IF(Milestones!H139&gt;0,1,0)</x:f>
        <x:v>1</x:v>
      </x:c>
      <x:c r="F4418" s="21" t="n">
        <x:v>1</x:v>
      </x:c>
      <x:c r="G4418" s="23" t="str">
        <x:f>IF(E4418=F4418,"PASS","FAIL")</x:f>
        <x:v>PASS</x:v>
      </x:c>
    </x:row>
    <x:row r="4419">
      <x:c r="B4419" s="21" t="str">
        <x:v>A4413</x:v>
      </x:c>
      <x:c r="C4419" s="21" t="str">
        <x:v>milestone</x:v>
      </x:c>
      <x:c r="D4419" s="21" t="str">
        <x:v>milestone 139 year bounded</x:v>
      </x:c>
      <x:c r="E4419" s="21" t="n">
        <x:f>IF(AND(Milestones!I139&gt;=1,Milestones!I139&lt;=9),1,0)</x:f>
        <x:v>1</x:v>
      </x:c>
      <x:c r="F4419" s="21" t="n">
        <x:v>1</x:v>
      </x:c>
      <x:c r="G4419" s="23" t="str">
        <x:f>IF(E4419=F4419,"PASS","FAIL")</x:f>
        <x:v>PASS</x:v>
      </x:c>
    </x:row>
    <x:row r="4420">
      <x:c r="B4420" s="21" t="str">
        <x:v>A4414</x:v>
      </x:c>
      <x:c r="C4420" s="21" t="str">
        <x:v>milestone</x:v>
      </x:c>
      <x:c r="D4420" s="21" t="str">
        <x:v>milestone 139 payment nonnegative</x:v>
      </x:c>
      <x:c r="E4420" s="21" t="n">
        <x:f>IF(Milestones!J139&gt;=0,1,0)</x:f>
        <x:v>1</x:v>
      </x:c>
      <x:c r="F4420" s="21" t="n">
        <x:v>1</x:v>
      </x:c>
      <x:c r="G4420" s="23" t="str">
        <x:f>IF(E4420=F4420,"PASS","FAIL")</x:f>
        <x:v>PASS</x:v>
      </x:c>
    </x:row>
    <x:row r="4421">
      <x:c r="B4421" s="21" t="str">
        <x:v>A4415</x:v>
      </x:c>
      <x:c r="C4421" s="21" t="str">
        <x:v>milestone</x:v>
      </x:c>
      <x:c r="D4421" s="21" t="str">
        <x:v>milestone 139 evidence open</x:v>
      </x:c>
      <x:c r="E4421" s="21" t="n">
        <x:f>IF(Milestones!L139="OPEN",1,0)</x:f>
        <x:v>1</x:v>
      </x:c>
      <x:c r="F4421" s="21" t="n">
        <x:v>1</x:v>
      </x:c>
      <x:c r="G4421" s="23" t="str">
        <x:f>IF(E4421=F4421,"PASS","FAIL")</x:f>
        <x:v>PASS</x:v>
      </x:c>
    </x:row>
    <x:row r="4422">
      <x:c r="B4422" s="21" t="str">
        <x:v>A4416</x:v>
      </x:c>
      <x:c r="C4422" s="21" t="str">
        <x:v>milestone</x:v>
      </x:c>
      <x:c r="D4422" s="21" t="str">
        <x:v>milestone 139 decision held</x:v>
      </x:c>
      <x:c r="E4422" s="21" t="n">
        <x:f>IF(Milestones!M139="HOLD",1,0)</x:f>
        <x:v>1</x:v>
      </x:c>
      <x:c r="F4422" s="21" t="n">
        <x:v>1</x:v>
      </x:c>
      <x:c r="G4422" s="23" t="str">
        <x:f>IF(E4422=F4422,"PASS","FAIL")</x:f>
        <x:v>PASS</x:v>
      </x:c>
    </x:row>
    <x:row r="4423">
      <x:c r="B4423" s="21" t="str">
        <x:v>A4417</x:v>
      </x:c>
      <x:c r="C4423" s="21" t="str">
        <x:v>milestone</x:v>
      </x:c>
      <x:c r="D4423" s="21" t="str">
        <x:v>milestone 140 share positive</x:v>
      </x:c>
      <x:c r="E4423" s="21" t="n">
        <x:f>IF(Milestones!H140&gt;0,1,0)</x:f>
        <x:v>1</x:v>
      </x:c>
      <x:c r="F4423" s="21" t="n">
        <x:v>1</x:v>
      </x:c>
      <x:c r="G4423" s="23" t="str">
        <x:f>IF(E4423=F4423,"PASS","FAIL")</x:f>
        <x:v>PASS</x:v>
      </x:c>
    </x:row>
    <x:row r="4424">
      <x:c r="B4424" s="21" t="str">
        <x:v>A4418</x:v>
      </x:c>
      <x:c r="C4424" s="21" t="str">
        <x:v>milestone</x:v>
      </x:c>
      <x:c r="D4424" s="21" t="str">
        <x:v>milestone 140 year bounded</x:v>
      </x:c>
      <x:c r="E4424" s="21" t="n">
        <x:f>IF(AND(Milestones!I140&gt;=1,Milestones!I140&lt;=9),1,0)</x:f>
        <x:v>1</x:v>
      </x:c>
      <x:c r="F4424" s="21" t="n">
        <x:v>1</x:v>
      </x:c>
      <x:c r="G4424" s="23" t="str">
        <x:f>IF(E4424=F4424,"PASS","FAIL")</x:f>
        <x:v>PASS</x:v>
      </x:c>
    </x:row>
    <x:row r="4425">
      <x:c r="B4425" s="21" t="str">
        <x:v>A4419</x:v>
      </x:c>
      <x:c r="C4425" s="21" t="str">
        <x:v>milestone</x:v>
      </x:c>
      <x:c r="D4425" s="21" t="str">
        <x:v>milestone 140 payment nonnegative</x:v>
      </x:c>
      <x:c r="E4425" s="21" t="n">
        <x:f>IF(Milestones!J140&gt;=0,1,0)</x:f>
        <x:v>1</x:v>
      </x:c>
      <x:c r="F4425" s="21" t="n">
        <x:v>1</x:v>
      </x:c>
      <x:c r="G4425" s="23" t="str">
        <x:f>IF(E4425=F4425,"PASS","FAIL")</x:f>
        <x:v>PASS</x:v>
      </x:c>
    </x:row>
    <x:row r="4426">
      <x:c r="B4426" s="21" t="str">
        <x:v>A4420</x:v>
      </x:c>
      <x:c r="C4426" s="21" t="str">
        <x:v>milestone</x:v>
      </x:c>
      <x:c r="D4426" s="21" t="str">
        <x:v>milestone 140 evidence open</x:v>
      </x:c>
      <x:c r="E4426" s="21" t="n">
        <x:f>IF(Milestones!L140="OPEN",1,0)</x:f>
        <x:v>1</x:v>
      </x:c>
      <x:c r="F4426" s="21" t="n">
        <x:v>1</x:v>
      </x:c>
      <x:c r="G4426" s="23" t="str">
        <x:f>IF(E4426=F4426,"PASS","FAIL")</x:f>
        <x:v>PASS</x:v>
      </x:c>
    </x:row>
    <x:row r="4427">
      <x:c r="B4427" s="21" t="str">
        <x:v>A4421</x:v>
      </x:c>
      <x:c r="C4427" s="21" t="str">
        <x:v>milestone</x:v>
      </x:c>
      <x:c r="D4427" s="21" t="str">
        <x:v>milestone 140 decision held</x:v>
      </x:c>
      <x:c r="E4427" s="21" t="n">
        <x:f>IF(Milestones!M140="HOLD",1,0)</x:f>
        <x:v>1</x:v>
      </x:c>
      <x:c r="F4427" s="21" t="n">
        <x:v>1</x:v>
      </x:c>
      <x:c r="G4427" s="23" t="str">
        <x:f>IF(E4427=F4427,"PASS","FAIL")</x:f>
        <x:v>PASS</x:v>
      </x:c>
    </x:row>
    <x:row r="4428">
      <x:c r="B4428" s="21" t="str">
        <x:v>A4422</x:v>
      </x:c>
      <x:c r="C4428" s="21" t="str">
        <x:v>milestone</x:v>
      </x:c>
      <x:c r="D4428" s="21" t="str">
        <x:v>milestone 141 share positive</x:v>
      </x:c>
      <x:c r="E4428" s="21" t="n">
        <x:f>IF(Milestones!H141&gt;0,1,0)</x:f>
        <x:v>1</x:v>
      </x:c>
      <x:c r="F4428" s="21" t="n">
        <x:v>1</x:v>
      </x:c>
      <x:c r="G4428" s="23" t="str">
        <x:f>IF(E4428=F4428,"PASS","FAIL")</x:f>
        <x:v>PASS</x:v>
      </x:c>
    </x:row>
    <x:row r="4429">
      <x:c r="B4429" s="21" t="str">
        <x:v>A4423</x:v>
      </x:c>
      <x:c r="C4429" s="21" t="str">
        <x:v>milestone</x:v>
      </x:c>
      <x:c r="D4429" s="21" t="str">
        <x:v>milestone 141 year bounded</x:v>
      </x:c>
      <x:c r="E4429" s="21" t="n">
        <x:f>IF(AND(Milestones!I141&gt;=1,Milestones!I141&lt;=9),1,0)</x:f>
        <x:v>1</x:v>
      </x:c>
      <x:c r="F4429" s="21" t="n">
        <x:v>1</x:v>
      </x:c>
      <x:c r="G4429" s="23" t="str">
        <x:f>IF(E4429=F4429,"PASS","FAIL")</x:f>
        <x:v>PASS</x:v>
      </x:c>
    </x:row>
    <x:row r="4430">
      <x:c r="B4430" s="21" t="str">
        <x:v>A4424</x:v>
      </x:c>
      <x:c r="C4430" s="21" t="str">
        <x:v>milestone</x:v>
      </x:c>
      <x:c r="D4430" s="21" t="str">
        <x:v>milestone 141 payment nonnegative</x:v>
      </x:c>
      <x:c r="E4430" s="21" t="n">
        <x:f>IF(Milestones!J141&gt;=0,1,0)</x:f>
        <x:v>1</x:v>
      </x:c>
      <x:c r="F4430" s="21" t="n">
        <x:v>1</x:v>
      </x:c>
      <x:c r="G4430" s="23" t="str">
        <x:f>IF(E4430=F4430,"PASS","FAIL")</x:f>
        <x:v>PASS</x:v>
      </x:c>
    </x:row>
    <x:row r="4431">
      <x:c r="B4431" s="21" t="str">
        <x:v>A4425</x:v>
      </x:c>
      <x:c r="C4431" s="21" t="str">
        <x:v>milestone</x:v>
      </x:c>
      <x:c r="D4431" s="21" t="str">
        <x:v>milestone 141 evidence open</x:v>
      </x:c>
      <x:c r="E4431" s="21" t="n">
        <x:f>IF(Milestones!L141="OPEN",1,0)</x:f>
        <x:v>1</x:v>
      </x:c>
      <x:c r="F4431" s="21" t="n">
        <x:v>1</x:v>
      </x:c>
      <x:c r="G4431" s="23" t="str">
        <x:f>IF(E4431=F4431,"PASS","FAIL")</x:f>
        <x:v>PASS</x:v>
      </x:c>
    </x:row>
    <x:row r="4432">
      <x:c r="B4432" s="21" t="str">
        <x:v>A4426</x:v>
      </x:c>
      <x:c r="C4432" s="21" t="str">
        <x:v>milestone</x:v>
      </x:c>
      <x:c r="D4432" s="21" t="str">
        <x:v>milestone 141 decision held</x:v>
      </x:c>
      <x:c r="E4432" s="21" t="n">
        <x:f>IF(Milestones!M141="HOLD",1,0)</x:f>
        <x:v>1</x:v>
      </x:c>
      <x:c r="F4432" s="21" t="n">
        <x:v>1</x:v>
      </x:c>
      <x:c r="G4432" s="23" t="str">
        <x:f>IF(E4432=F4432,"PASS","FAIL")</x:f>
        <x:v>PASS</x:v>
      </x:c>
    </x:row>
    <x:row r="4433">
      <x:c r="B4433" s="21" t="str">
        <x:v>A4427</x:v>
      </x:c>
      <x:c r="C4433" s="21" t="str">
        <x:v>milestone</x:v>
      </x:c>
      <x:c r="D4433" s="21" t="str">
        <x:v>milestone 142 share positive</x:v>
      </x:c>
      <x:c r="E4433" s="21" t="n">
        <x:f>IF(Milestones!H142&gt;0,1,0)</x:f>
        <x:v>1</x:v>
      </x:c>
      <x:c r="F4433" s="21" t="n">
        <x:v>1</x:v>
      </x:c>
      <x:c r="G4433" s="23" t="str">
        <x:f>IF(E4433=F4433,"PASS","FAIL")</x:f>
        <x:v>PASS</x:v>
      </x:c>
    </x:row>
    <x:row r="4434">
      <x:c r="B4434" s="21" t="str">
        <x:v>A4428</x:v>
      </x:c>
      <x:c r="C4434" s="21" t="str">
        <x:v>milestone</x:v>
      </x:c>
      <x:c r="D4434" s="21" t="str">
        <x:v>milestone 142 year bounded</x:v>
      </x:c>
      <x:c r="E4434" s="21" t="n">
        <x:f>IF(AND(Milestones!I142&gt;=1,Milestones!I142&lt;=9),1,0)</x:f>
        <x:v>1</x:v>
      </x:c>
      <x:c r="F4434" s="21" t="n">
        <x:v>1</x:v>
      </x:c>
      <x:c r="G4434" s="23" t="str">
        <x:f>IF(E4434=F4434,"PASS","FAIL")</x:f>
        <x:v>PASS</x:v>
      </x:c>
    </x:row>
    <x:row r="4435">
      <x:c r="B4435" s="21" t="str">
        <x:v>A4429</x:v>
      </x:c>
      <x:c r="C4435" s="21" t="str">
        <x:v>milestone</x:v>
      </x:c>
      <x:c r="D4435" s="21" t="str">
        <x:v>milestone 142 payment nonnegative</x:v>
      </x:c>
      <x:c r="E4435" s="21" t="n">
        <x:f>IF(Milestones!J142&gt;=0,1,0)</x:f>
        <x:v>1</x:v>
      </x:c>
      <x:c r="F4435" s="21" t="n">
        <x:v>1</x:v>
      </x:c>
      <x:c r="G4435" s="23" t="str">
        <x:f>IF(E4435=F4435,"PASS","FAIL")</x:f>
        <x:v>PASS</x:v>
      </x:c>
    </x:row>
    <x:row r="4436">
      <x:c r="B4436" s="21" t="str">
        <x:v>A4430</x:v>
      </x:c>
      <x:c r="C4436" s="21" t="str">
        <x:v>milestone</x:v>
      </x:c>
      <x:c r="D4436" s="21" t="str">
        <x:v>milestone 142 evidence open</x:v>
      </x:c>
      <x:c r="E4436" s="21" t="n">
        <x:f>IF(Milestones!L142="OPEN",1,0)</x:f>
        <x:v>1</x:v>
      </x:c>
      <x:c r="F4436" s="21" t="n">
        <x:v>1</x:v>
      </x:c>
      <x:c r="G4436" s="23" t="str">
        <x:f>IF(E4436=F4436,"PASS","FAIL")</x:f>
        <x:v>PASS</x:v>
      </x:c>
    </x:row>
    <x:row r="4437">
      <x:c r="B4437" s="21" t="str">
        <x:v>A4431</x:v>
      </x:c>
      <x:c r="C4437" s="21" t="str">
        <x:v>milestone</x:v>
      </x:c>
      <x:c r="D4437" s="21" t="str">
        <x:v>milestone 142 decision held</x:v>
      </x:c>
      <x:c r="E4437" s="21" t="n">
        <x:f>IF(Milestones!M142="HOLD",1,0)</x:f>
        <x:v>1</x:v>
      </x:c>
      <x:c r="F4437" s="21" t="n">
        <x:v>1</x:v>
      </x:c>
      <x:c r="G4437" s="23" t="str">
        <x:f>IF(E4437=F4437,"PASS","FAIL")</x:f>
        <x:v>PASS</x:v>
      </x:c>
    </x:row>
    <x:row r="4438">
      <x:c r="B4438" s="21" t="str">
        <x:v>A4432</x:v>
      </x:c>
      <x:c r="C4438" s="21" t="str">
        <x:v>milestone</x:v>
      </x:c>
      <x:c r="D4438" s="21" t="str">
        <x:v>milestone 143 share positive</x:v>
      </x:c>
      <x:c r="E4438" s="21" t="n">
        <x:f>IF(Milestones!H143&gt;0,1,0)</x:f>
        <x:v>1</x:v>
      </x:c>
      <x:c r="F4438" s="21" t="n">
        <x:v>1</x:v>
      </x:c>
      <x:c r="G4438" s="23" t="str">
        <x:f>IF(E4438=F4438,"PASS","FAIL")</x:f>
        <x:v>PASS</x:v>
      </x:c>
    </x:row>
    <x:row r="4439">
      <x:c r="B4439" s="21" t="str">
        <x:v>A4433</x:v>
      </x:c>
      <x:c r="C4439" s="21" t="str">
        <x:v>milestone</x:v>
      </x:c>
      <x:c r="D4439" s="21" t="str">
        <x:v>milestone 143 year bounded</x:v>
      </x:c>
      <x:c r="E4439" s="21" t="n">
        <x:f>IF(AND(Milestones!I143&gt;=1,Milestones!I143&lt;=9),1,0)</x:f>
        <x:v>1</x:v>
      </x:c>
      <x:c r="F4439" s="21" t="n">
        <x:v>1</x:v>
      </x:c>
      <x:c r="G4439" s="23" t="str">
        <x:f>IF(E4439=F4439,"PASS","FAIL")</x:f>
        <x:v>PASS</x:v>
      </x:c>
    </x:row>
    <x:row r="4440">
      <x:c r="B4440" s="21" t="str">
        <x:v>A4434</x:v>
      </x:c>
      <x:c r="C4440" s="21" t="str">
        <x:v>milestone</x:v>
      </x:c>
      <x:c r="D4440" s="21" t="str">
        <x:v>milestone 143 payment nonnegative</x:v>
      </x:c>
      <x:c r="E4440" s="21" t="n">
        <x:f>IF(Milestones!J143&gt;=0,1,0)</x:f>
        <x:v>1</x:v>
      </x:c>
      <x:c r="F4440" s="21" t="n">
        <x:v>1</x:v>
      </x:c>
      <x:c r="G4440" s="23" t="str">
        <x:f>IF(E4440=F4440,"PASS","FAIL")</x:f>
        <x:v>PASS</x:v>
      </x:c>
    </x:row>
    <x:row r="4441">
      <x:c r="B4441" s="21" t="str">
        <x:v>A4435</x:v>
      </x:c>
      <x:c r="C4441" s="21" t="str">
        <x:v>milestone</x:v>
      </x:c>
      <x:c r="D4441" s="21" t="str">
        <x:v>milestone 143 evidence open</x:v>
      </x:c>
      <x:c r="E4441" s="21" t="n">
        <x:f>IF(Milestones!L143="OPEN",1,0)</x:f>
        <x:v>1</x:v>
      </x:c>
      <x:c r="F4441" s="21" t="n">
        <x:v>1</x:v>
      </x:c>
      <x:c r="G4441" s="23" t="str">
        <x:f>IF(E4441=F4441,"PASS","FAIL")</x:f>
        <x:v>PASS</x:v>
      </x:c>
    </x:row>
    <x:row r="4442">
      <x:c r="B4442" s="21" t="str">
        <x:v>A4436</x:v>
      </x:c>
      <x:c r="C4442" s="21" t="str">
        <x:v>milestone</x:v>
      </x:c>
      <x:c r="D4442" s="21" t="str">
        <x:v>milestone 143 decision held</x:v>
      </x:c>
      <x:c r="E4442" s="21" t="n">
        <x:f>IF(Milestones!M143="HOLD",1,0)</x:f>
        <x:v>1</x:v>
      </x:c>
      <x:c r="F4442" s="21" t="n">
        <x:v>1</x:v>
      </x:c>
      <x:c r="G4442" s="23" t="str">
        <x:f>IF(E4442=F4442,"PASS","FAIL")</x:f>
        <x:v>PASS</x:v>
      </x:c>
    </x:row>
    <x:row r="4443">
      <x:c r="B4443" s="21" t="str">
        <x:v>A4437</x:v>
      </x:c>
      <x:c r="C4443" s="21" t="str">
        <x:v>milestone</x:v>
      </x:c>
      <x:c r="D4443" s="21" t="str">
        <x:v>milestone 144 share positive</x:v>
      </x:c>
      <x:c r="E4443" s="21" t="n">
        <x:f>IF(Milestones!H144&gt;0,1,0)</x:f>
        <x:v>1</x:v>
      </x:c>
      <x:c r="F4443" s="21" t="n">
        <x:v>1</x:v>
      </x:c>
      <x:c r="G4443" s="23" t="str">
        <x:f>IF(E4443=F4443,"PASS","FAIL")</x:f>
        <x:v>PASS</x:v>
      </x:c>
    </x:row>
    <x:row r="4444">
      <x:c r="B4444" s="21" t="str">
        <x:v>A4438</x:v>
      </x:c>
      <x:c r="C4444" s="21" t="str">
        <x:v>milestone</x:v>
      </x:c>
      <x:c r="D4444" s="21" t="str">
        <x:v>milestone 144 year bounded</x:v>
      </x:c>
      <x:c r="E4444" s="21" t="n">
        <x:f>IF(AND(Milestones!I144&gt;=1,Milestones!I144&lt;=9),1,0)</x:f>
        <x:v>1</x:v>
      </x:c>
      <x:c r="F4444" s="21" t="n">
        <x:v>1</x:v>
      </x:c>
      <x:c r="G4444" s="23" t="str">
        <x:f>IF(E4444=F4444,"PASS","FAIL")</x:f>
        <x:v>PASS</x:v>
      </x:c>
    </x:row>
    <x:row r="4445">
      <x:c r="B4445" s="21" t="str">
        <x:v>A4439</x:v>
      </x:c>
      <x:c r="C4445" s="21" t="str">
        <x:v>milestone</x:v>
      </x:c>
      <x:c r="D4445" s="21" t="str">
        <x:v>milestone 144 payment nonnegative</x:v>
      </x:c>
      <x:c r="E4445" s="21" t="n">
        <x:f>IF(Milestones!J144&gt;=0,1,0)</x:f>
        <x:v>1</x:v>
      </x:c>
      <x:c r="F4445" s="21" t="n">
        <x:v>1</x:v>
      </x:c>
      <x:c r="G4445" s="23" t="str">
        <x:f>IF(E4445=F4445,"PASS","FAIL")</x:f>
        <x:v>PASS</x:v>
      </x:c>
    </x:row>
    <x:row r="4446">
      <x:c r="B4446" s="21" t="str">
        <x:v>A4440</x:v>
      </x:c>
      <x:c r="C4446" s="21" t="str">
        <x:v>milestone</x:v>
      </x:c>
      <x:c r="D4446" s="21" t="str">
        <x:v>milestone 144 evidence open</x:v>
      </x:c>
      <x:c r="E4446" s="21" t="n">
        <x:f>IF(Milestones!L144="OPEN",1,0)</x:f>
        <x:v>1</x:v>
      </x:c>
      <x:c r="F4446" s="21" t="n">
        <x:v>1</x:v>
      </x:c>
      <x:c r="G4446" s="23" t="str">
        <x:f>IF(E4446=F4446,"PASS","FAIL")</x:f>
        <x:v>PASS</x:v>
      </x:c>
    </x:row>
    <x:row r="4447">
      <x:c r="B4447" s="21" t="str">
        <x:v>A4441</x:v>
      </x:c>
      <x:c r="C4447" s="21" t="str">
        <x:v>milestone</x:v>
      </x:c>
      <x:c r="D4447" s="21" t="str">
        <x:v>milestone 144 decision held</x:v>
      </x:c>
      <x:c r="E4447" s="21" t="n">
        <x:f>IF(Milestones!M144="HOLD",1,0)</x:f>
        <x:v>1</x:v>
      </x:c>
      <x:c r="F4447" s="21" t="n">
        <x:v>1</x:v>
      </x:c>
      <x:c r="G4447" s="23" t="str">
        <x:f>IF(E4447=F4447,"PASS","FAIL")</x:f>
        <x:v>PASS</x:v>
      </x:c>
    </x:row>
    <x:row r="4448">
      <x:c r="B4448" s="21" t="str">
        <x:v>A4442</x:v>
      </x:c>
      <x:c r="C4448" s="21" t="str">
        <x:v>milestone</x:v>
      </x:c>
      <x:c r="D4448" s="21" t="str">
        <x:v>milestone 145 share positive</x:v>
      </x:c>
      <x:c r="E4448" s="21" t="n">
        <x:f>IF(Milestones!H145&gt;0,1,0)</x:f>
        <x:v>1</x:v>
      </x:c>
      <x:c r="F4448" s="21" t="n">
        <x:v>1</x:v>
      </x:c>
      <x:c r="G4448" s="23" t="str">
        <x:f>IF(E4448=F4448,"PASS","FAIL")</x:f>
        <x:v>PASS</x:v>
      </x:c>
    </x:row>
    <x:row r="4449">
      <x:c r="B4449" s="21" t="str">
        <x:v>A4443</x:v>
      </x:c>
      <x:c r="C4449" s="21" t="str">
        <x:v>milestone</x:v>
      </x:c>
      <x:c r="D4449" s="21" t="str">
        <x:v>milestone 145 year bounded</x:v>
      </x:c>
      <x:c r="E4449" s="21" t="n">
        <x:f>IF(AND(Milestones!I145&gt;=1,Milestones!I145&lt;=9),1,0)</x:f>
        <x:v>1</x:v>
      </x:c>
      <x:c r="F4449" s="21" t="n">
        <x:v>1</x:v>
      </x:c>
      <x:c r="G4449" s="23" t="str">
        <x:f>IF(E4449=F4449,"PASS","FAIL")</x:f>
        <x:v>PASS</x:v>
      </x:c>
    </x:row>
    <x:row r="4450">
      <x:c r="B4450" s="21" t="str">
        <x:v>A4444</x:v>
      </x:c>
      <x:c r="C4450" s="21" t="str">
        <x:v>milestone</x:v>
      </x:c>
      <x:c r="D4450" s="21" t="str">
        <x:v>milestone 145 payment nonnegative</x:v>
      </x:c>
      <x:c r="E4450" s="21" t="n">
        <x:f>IF(Milestones!J145&gt;=0,1,0)</x:f>
        <x:v>1</x:v>
      </x:c>
      <x:c r="F4450" s="21" t="n">
        <x:v>1</x:v>
      </x:c>
      <x:c r="G4450" s="23" t="str">
        <x:f>IF(E4450=F4450,"PASS","FAIL")</x:f>
        <x:v>PASS</x:v>
      </x:c>
    </x:row>
    <x:row r="4451">
      <x:c r="B4451" s="21" t="str">
        <x:v>A4445</x:v>
      </x:c>
      <x:c r="C4451" s="21" t="str">
        <x:v>milestone</x:v>
      </x:c>
      <x:c r="D4451" s="21" t="str">
        <x:v>milestone 145 evidence open</x:v>
      </x:c>
      <x:c r="E4451" s="21" t="n">
        <x:f>IF(Milestones!L145="OPEN",1,0)</x:f>
        <x:v>1</x:v>
      </x:c>
      <x:c r="F4451" s="21" t="n">
        <x:v>1</x:v>
      </x:c>
      <x:c r="G4451" s="23" t="str">
        <x:f>IF(E4451=F4451,"PASS","FAIL")</x:f>
        <x:v>PASS</x:v>
      </x:c>
    </x:row>
    <x:row r="4452">
      <x:c r="B4452" s="21" t="str">
        <x:v>A4446</x:v>
      </x:c>
      <x:c r="C4452" s="21" t="str">
        <x:v>milestone</x:v>
      </x:c>
      <x:c r="D4452" s="21" t="str">
        <x:v>milestone 145 decision held</x:v>
      </x:c>
      <x:c r="E4452" s="21" t="n">
        <x:f>IF(Milestones!M145="HOLD",1,0)</x:f>
        <x:v>1</x:v>
      </x:c>
      <x:c r="F4452" s="21" t="n">
        <x:v>1</x:v>
      </x:c>
      <x:c r="G4452" s="23" t="str">
        <x:f>IF(E4452=F4452,"PASS","FAIL")</x:f>
        <x:v>PASS</x:v>
      </x:c>
    </x:row>
    <x:row r="4453">
      <x:c r="B4453" s="21" t="str">
        <x:v>A4447</x:v>
      </x:c>
      <x:c r="C4453" s="21" t="str">
        <x:v>milestone</x:v>
      </x:c>
      <x:c r="D4453" s="21" t="str">
        <x:v>milestone 146 share positive</x:v>
      </x:c>
      <x:c r="E4453" s="21" t="n">
        <x:f>IF(Milestones!H146&gt;0,1,0)</x:f>
        <x:v>1</x:v>
      </x:c>
      <x:c r="F4453" s="21" t="n">
        <x:v>1</x:v>
      </x:c>
      <x:c r="G4453" s="23" t="str">
        <x:f>IF(E4453=F4453,"PASS","FAIL")</x:f>
        <x:v>PASS</x:v>
      </x:c>
    </x:row>
    <x:row r="4454">
      <x:c r="B4454" s="21" t="str">
        <x:v>A4448</x:v>
      </x:c>
      <x:c r="C4454" s="21" t="str">
        <x:v>milestone</x:v>
      </x:c>
      <x:c r="D4454" s="21" t="str">
        <x:v>milestone 146 year bounded</x:v>
      </x:c>
      <x:c r="E4454" s="21" t="n">
        <x:f>IF(AND(Milestones!I146&gt;=1,Milestones!I146&lt;=9),1,0)</x:f>
        <x:v>1</x:v>
      </x:c>
      <x:c r="F4454" s="21" t="n">
        <x:v>1</x:v>
      </x:c>
      <x:c r="G4454" s="23" t="str">
        <x:f>IF(E4454=F4454,"PASS","FAIL")</x:f>
        <x:v>PASS</x:v>
      </x:c>
    </x:row>
    <x:row r="4455">
      <x:c r="B4455" s="21" t="str">
        <x:v>A4449</x:v>
      </x:c>
      <x:c r="C4455" s="21" t="str">
        <x:v>milestone</x:v>
      </x:c>
      <x:c r="D4455" s="21" t="str">
        <x:v>milestone 146 payment nonnegative</x:v>
      </x:c>
      <x:c r="E4455" s="21" t="n">
        <x:f>IF(Milestones!J146&gt;=0,1,0)</x:f>
        <x:v>1</x:v>
      </x:c>
      <x:c r="F4455" s="21" t="n">
        <x:v>1</x:v>
      </x:c>
      <x:c r="G4455" s="23" t="str">
        <x:f>IF(E4455=F4455,"PASS","FAIL")</x:f>
        <x:v>PASS</x:v>
      </x:c>
    </x:row>
    <x:row r="4456">
      <x:c r="B4456" s="21" t="str">
        <x:v>A4450</x:v>
      </x:c>
      <x:c r="C4456" s="21" t="str">
        <x:v>milestone</x:v>
      </x:c>
      <x:c r="D4456" s="21" t="str">
        <x:v>milestone 146 evidence open</x:v>
      </x:c>
      <x:c r="E4456" s="21" t="n">
        <x:f>IF(Milestones!L146="OPEN",1,0)</x:f>
        <x:v>1</x:v>
      </x:c>
      <x:c r="F4456" s="21" t="n">
        <x:v>1</x:v>
      </x:c>
      <x:c r="G4456" s="23" t="str">
        <x:f>IF(E4456=F4456,"PASS","FAIL")</x:f>
        <x:v>PASS</x:v>
      </x:c>
    </x:row>
    <x:row r="4457">
      <x:c r="B4457" s="21" t="str">
        <x:v>A4451</x:v>
      </x:c>
      <x:c r="C4457" s="21" t="str">
        <x:v>milestone</x:v>
      </x:c>
      <x:c r="D4457" s="21" t="str">
        <x:v>milestone 146 decision held</x:v>
      </x:c>
      <x:c r="E4457" s="21" t="n">
        <x:f>IF(Milestones!M146="HOLD",1,0)</x:f>
        <x:v>1</x:v>
      </x:c>
      <x:c r="F4457" s="21" t="n">
        <x:v>1</x:v>
      </x:c>
      <x:c r="G4457" s="23" t="str">
        <x:f>IF(E4457=F4457,"PASS","FAIL")</x:f>
        <x:v>PASS</x:v>
      </x:c>
    </x:row>
    <x:row r="4458">
      <x:c r="B4458" s="21" t="str">
        <x:v>A4452</x:v>
      </x:c>
      <x:c r="C4458" s="21" t="str">
        <x:v>milestone</x:v>
      </x:c>
      <x:c r="D4458" s="21" t="str">
        <x:v>milestone 147 share positive</x:v>
      </x:c>
      <x:c r="E4458" s="21" t="n">
        <x:f>IF(Milestones!H147&gt;0,1,0)</x:f>
        <x:v>1</x:v>
      </x:c>
      <x:c r="F4458" s="21" t="n">
        <x:v>1</x:v>
      </x:c>
      <x:c r="G4458" s="23" t="str">
        <x:f>IF(E4458=F4458,"PASS","FAIL")</x:f>
        <x:v>PASS</x:v>
      </x:c>
    </x:row>
    <x:row r="4459">
      <x:c r="B4459" s="21" t="str">
        <x:v>A4453</x:v>
      </x:c>
      <x:c r="C4459" s="21" t="str">
        <x:v>milestone</x:v>
      </x:c>
      <x:c r="D4459" s="21" t="str">
        <x:v>milestone 147 year bounded</x:v>
      </x:c>
      <x:c r="E4459" s="21" t="n">
        <x:f>IF(AND(Milestones!I147&gt;=1,Milestones!I147&lt;=9),1,0)</x:f>
        <x:v>1</x:v>
      </x:c>
      <x:c r="F4459" s="21" t="n">
        <x:v>1</x:v>
      </x:c>
      <x:c r="G4459" s="23" t="str">
        <x:f>IF(E4459=F4459,"PASS","FAIL")</x:f>
        <x:v>PASS</x:v>
      </x:c>
    </x:row>
    <x:row r="4460">
      <x:c r="B4460" s="21" t="str">
        <x:v>A4454</x:v>
      </x:c>
      <x:c r="C4460" s="21" t="str">
        <x:v>milestone</x:v>
      </x:c>
      <x:c r="D4460" s="21" t="str">
        <x:v>milestone 147 payment nonnegative</x:v>
      </x:c>
      <x:c r="E4460" s="21" t="n">
        <x:f>IF(Milestones!J147&gt;=0,1,0)</x:f>
        <x:v>1</x:v>
      </x:c>
      <x:c r="F4460" s="21" t="n">
        <x:v>1</x:v>
      </x:c>
      <x:c r="G4460" s="23" t="str">
        <x:f>IF(E4460=F4460,"PASS","FAIL")</x:f>
        <x:v>PASS</x:v>
      </x:c>
    </x:row>
    <x:row r="4461">
      <x:c r="B4461" s="21" t="str">
        <x:v>A4455</x:v>
      </x:c>
      <x:c r="C4461" s="21" t="str">
        <x:v>milestone</x:v>
      </x:c>
      <x:c r="D4461" s="21" t="str">
        <x:v>milestone 147 evidence open</x:v>
      </x:c>
      <x:c r="E4461" s="21" t="n">
        <x:f>IF(Milestones!L147="OPEN",1,0)</x:f>
        <x:v>1</x:v>
      </x:c>
      <x:c r="F4461" s="21" t="n">
        <x:v>1</x:v>
      </x:c>
      <x:c r="G4461" s="23" t="str">
        <x:f>IF(E4461=F4461,"PASS","FAIL")</x:f>
        <x:v>PASS</x:v>
      </x:c>
    </x:row>
    <x:row r="4462">
      <x:c r="B4462" s="21" t="str">
        <x:v>A4456</x:v>
      </x:c>
      <x:c r="C4462" s="21" t="str">
        <x:v>milestone</x:v>
      </x:c>
      <x:c r="D4462" s="21" t="str">
        <x:v>milestone 147 decision held</x:v>
      </x:c>
      <x:c r="E4462" s="21" t="n">
        <x:f>IF(Milestones!M147="HOLD",1,0)</x:f>
        <x:v>1</x:v>
      </x:c>
      <x:c r="F4462" s="21" t="n">
        <x:v>1</x:v>
      </x:c>
      <x:c r="G4462" s="23" t="str">
        <x:f>IF(E4462=F4462,"PASS","FAIL")</x:f>
        <x:v>PASS</x:v>
      </x:c>
    </x:row>
    <x:row r="4463">
      <x:c r="B4463" s="21" t="str">
        <x:v>A4457</x:v>
      </x:c>
      <x:c r="C4463" s="21" t="str">
        <x:v>milestone</x:v>
      </x:c>
      <x:c r="D4463" s="21" t="str">
        <x:v>milestone 148 share positive</x:v>
      </x:c>
      <x:c r="E4463" s="21" t="n">
        <x:f>IF(Milestones!H148&gt;0,1,0)</x:f>
        <x:v>1</x:v>
      </x:c>
      <x:c r="F4463" s="21" t="n">
        <x:v>1</x:v>
      </x:c>
      <x:c r="G4463" s="23" t="str">
        <x:f>IF(E4463=F4463,"PASS","FAIL")</x:f>
        <x:v>PASS</x:v>
      </x:c>
    </x:row>
    <x:row r="4464">
      <x:c r="B4464" s="21" t="str">
        <x:v>A4458</x:v>
      </x:c>
      <x:c r="C4464" s="21" t="str">
        <x:v>milestone</x:v>
      </x:c>
      <x:c r="D4464" s="21" t="str">
        <x:v>milestone 148 year bounded</x:v>
      </x:c>
      <x:c r="E4464" s="21" t="n">
        <x:f>IF(AND(Milestones!I148&gt;=1,Milestones!I148&lt;=9),1,0)</x:f>
        <x:v>1</x:v>
      </x:c>
      <x:c r="F4464" s="21" t="n">
        <x:v>1</x:v>
      </x:c>
      <x:c r="G4464" s="23" t="str">
        <x:f>IF(E4464=F4464,"PASS","FAIL")</x:f>
        <x:v>PASS</x:v>
      </x:c>
    </x:row>
    <x:row r="4465">
      <x:c r="B4465" s="21" t="str">
        <x:v>A4459</x:v>
      </x:c>
      <x:c r="C4465" s="21" t="str">
        <x:v>milestone</x:v>
      </x:c>
      <x:c r="D4465" s="21" t="str">
        <x:v>milestone 148 payment nonnegative</x:v>
      </x:c>
      <x:c r="E4465" s="21" t="n">
        <x:f>IF(Milestones!J148&gt;=0,1,0)</x:f>
        <x:v>1</x:v>
      </x:c>
      <x:c r="F4465" s="21" t="n">
        <x:v>1</x:v>
      </x:c>
      <x:c r="G4465" s="23" t="str">
        <x:f>IF(E4465=F4465,"PASS","FAIL")</x:f>
        <x:v>PASS</x:v>
      </x:c>
    </x:row>
    <x:row r="4466">
      <x:c r="B4466" s="21" t="str">
        <x:v>A4460</x:v>
      </x:c>
      <x:c r="C4466" s="21" t="str">
        <x:v>milestone</x:v>
      </x:c>
      <x:c r="D4466" s="21" t="str">
        <x:v>milestone 148 evidence open</x:v>
      </x:c>
      <x:c r="E4466" s="21" t="n">
        <x:f>IF(Milestones!L148="OPEN",1,0)</x:f>
        <x:v>1</x:v>
      </x:c>
      <x:c r="F4466" s="21" t="n">
        <x:v>1</x:v>
      </x:c>
      <x:c r="G4466" s="23" t="str">
        <x:f>IF(E4466=F4466,"PASS","FAIL")</x:f>
        <x:v>PASS</x:v>
      </x:c>
    </x:row>
    <x:row r="4467">
      <x:c r="B4467" s="21" t="str">
        <x:v>A4461</x:v>
      </x:c>
      <x:c r="C4467" s="21" t="str">
        <x:v>milestone</x:v>
      </x:c>
      <x:c r="D4467" s="21" t="str">
        <x:v>milestone 148 decision held</x:v>
      </x:c>
      <x:c r="E4467" s="21" t="n">
        <x:f>IF(Milestones!M148="HOLD",1,0)</x:f>
        <x:v>1</x:v>
      </x:c>
      <x:c r="F4467" s="21" t="n">
        <x:v>1</x:v>
      </x:c>
      <x:c r="G4467" s="23" t="str">
        <x:f>IF(E4467=F4467,"PASS","FAIL")</x:f>
        <x:v>PASS</x:v>
      </x:c>
    </x:row>
    <x:row r="4468">
      <x:c r="B4468" s="21" t="str">
        <x:v>A4462</x:v>
      </x:c>
      <x:c r="C4468" s="21" t="str">
        <x:v>milestone</x:v>
      </x:c>
      <x:c r="D4468" s="21" t="str">
        <x:v>milestone 149 share positive</x:v>
      </x:c>
      <x:c r="E4468" s="21" t="n">
        <x:f>IF(Milestones!H149&gt;0,1,0)</x:f>
        <x:v>1</x:v>
      </x:c>
      <x:c r="F4468" s="21" t="n">
        <x:v>1</x:v>
      </x:c>
      <x:c r="G4468" s="23" t="str">
        <x:f>IF(E4468=F4468,"PASS","FAIL")</x:f>
        <x:v>PASS</x:v>
      </x:c>
    </x:row>
    <x:row r="4469">
      <x:c r="B4469" s="21" t="str">
        <x:v>A4463</x:v>
      </x:c>
      <x:c r="C4469" s="21" t="str">
        <x:v>milestone</x:v>
      </x:c>
      <x:c r="D4469" s="21" t="str">
        <x:v>milestone 149 year bounded</x:v>
      </x:c>
      <x:c r="E4469" s="21" t="n">
        <x:f>IF(AND(Milestones!I149&gt;=1,Milestones!I149&lt;=9),1,0)</x:f>
        <x:v>1</x:v>
      </x:c>
      <x:c r="F4469" s="21" t="n">
        <x:v>1</x:v>
      </x:c>
      <x:c r="G4469" s="23" t="str">
        <x:f>IF(E4469=F4469,"PASS","FAIL")</x:f>
        <x:v>PASS</x:v>
      </x:c>
    </x:row>
    <x:row r="4470">
      <x:c r="B4470" s="21" t="str">
        <x:v>A4464</x:v>
      </x:c>
      <x:c r="C4470" s="21" t="str">
        <x:v>milestone</x:v>
      </x:c>
      <x:c r="D4470" s="21" t="str">
        <x:v>milestone 149 payment nonnegative</x:v>
      </x:c>
      <x:c r="E4470" s="21" t="n">
        <x:f>IF(Milestones!J149&gt;=0,1,0)</x:f>
        <x:v>1</x:v>
      </x:c>
      <x:c r="F4470" s="21" t="n">
        <x:v>1</x:v>
      </x:c>
      <x:c r="G4470" s="23" t="str">
        <x:f>IF(E4470=F4470,"PASS","FAIL")</x:f>
        <x:v>PASS</x:v>
      </x:c>
    </x:row>
    <x:row r="4471">
      <x:c r="B4471" s="21" t="str">
        <x:v>A4465</x:v>
      </x:c>
      <x:c r="C4471" s="21" t="str">
        <x:v>milestone</x:v>
      </x:c>
      <x:c r="D4471" s="21" t="str">
        <x:v>milestone 149 evidence open</x:v>
      </x:c>
      <x:c r="E4471" s="21" t="n">
        <x:f>IF(Milestones!L149="OPEN",1,0)</x:f>
        <x:v>1</x:v>
      </x:c>
      <x:c r="F4471" s="21" t="n">
        <x:v>1</x:v>
      </x:c>
      <x:c r="G4471" s="23" t="str">
        <x:f>IF(E4471=F4471,"PASS","FAIL")</x:f>
        <x:v>PASS</x:v>
      </x:c>
    </x:row>
    <x:row r="4472">
      <x:c r="B4472" s="21" t="str">
        <x:v>A4466</x:v>
      </x:c>
      <x:c r="C4472" s="21" t="str">
        <x:v>milestone</x:v>
      </x:c>
      <x:c r="D4472" s="21" t="str">
        <x:v>milestone 149 decision held</x:v>
      </x:c>
      <x:c r="E4472" s="21" t="n">
        <x:f>IF(Milestones!M149="HOLD",1,0)</x:f>
        <x:v>1</x:v>
      </x:c>
      <x:c r="F4472" s="21" t="n">
        <x:v>1</x:v>
      </x:c>
      <x:c r="G4472" s="23" t="str">
        <x:f>IF(E4472=F4472,"PASS","FAIL")</x:f>
        <x:v>PASS</x:v>
      </x:c>
    </x:row>
    <x:row r="4473">
      <x:c r="B4473" s="21" t="str">
        <x:v>A4467</x:v>
      </x:c>
      <x:c r="C4473" s="21" t="str">
        <x:v>milestone</x:v>
      </x:c>
      <x:c r="D4473" s="21" t="str">
        <x:v>milestone 150 share positive</x:v>
      </x:c>
      <x:c r="E4473" s="21" t="n">
        <x:f>IF(Milestones!H150&gt;0,1,0)</x:f>
        <x:v>1</x:v>
      </x:c>
      <x:c r="F4473" s="21" t="n">
        <x:v>1</x:v>
      </x:c>
      <x:c r="G4473" s="23" t="str">
        <x:f>IF(E4473=F4473,"PASS","FAIL")</x:f>
        <x:v>PASS</x:v>
      </x:c>
    </x:row>
    <x:row r="4474">
      <x:c r="B4474" s="21" t="str">
        <x:v>A4468</x:v>
      </x:c>
      <x:c r="C4474" s="21" t="str">
        <x:v>milestone</x:v>
      </x:c>
      <x:c r="D4474" s="21" t="str">
        <x:v>milestone 150 year bounded</x:v>
      </x:c>
      <x:c r="E4474" s="21" t="n">
        <x:f>IF(AND(Milestones!I150&gt;=1,Milestones!I150&lt;=9),1,0)</x:f>
        <x:v>1</x:v>
      </x:c>
      <x:c r="F4474" s="21" t="n">
        <x:v>1</x:v>
      </x:c>
      <x:c r="G4474" s="23" t="str">
        <x:f>IF(E4474=F4474,"PASS","FAIL")</x:f>
        <x:v>PASS</x:v>
      </x:c>
    </x:row>
    <x:row r="4475">
      <x:c r="B4475" s="21" t="str">
        <x:v>A4469</x:v>
      </x:c>
      <x:c r="C4475" s="21" t="str">
        <x:v>milestone</x:v>
      </x:c>
      <x:c r="D4475" s="21" t="str">
        <x:v>milestone 150 payment nonnegative</x:v>
      </x:c>
      <x:c r="E4475" s="21" t="n">
        <x:f>IF(Milestones!J150&gt;=0,1,0)</x:f>
        <x:v>1</x:v>
      </x:c>
      <x:c r="F4475" s="21" t="n">
        <x:v>1</x:v>
      </x:c>
      <x:c r="G4475" s="23" t="str">
        <x:f>IF(E4475=F4475,"PASS","FAIL")</x:f>
        <x:v>PASS</x:v>
      </x:c>
    </x:row>
    <x:row r="4476">
      <x:c r="B4476" s="21" t="str">
        <x:v>A4470</x:v>
      </x:c>
      <x:c r="C4476" s="21" t="str">
        <x:v>milestone</x:v>
      </x:c>
      <x:c r="D4476" s="21" t="str">
        <x:v>milestone 150 evidence open</x:v>
      </x:c>
      <x:c r="E4476" s="21" t="n">
        <x:f>IF(Milestones!L150="OPEN",1,0)</x:f>
        <x:v>1</x:v>
      </x:c>
      <x:c r="F4476" s="21" t="n">
        <x:v>1</x:v>
      </x:c>
      <x:c r="G4476" s="23" t="str">
        <x:f>IF(E4476=F4476,"PASS","FAIL")</x:f>
        <x:v>PASS</x:v>
      </x:c>
    </x:row>
    <x:row r="4477">
      <x:c r="B4477" s="21" t="str">
        <x:v>A4471</x:v>
      </x:c>
      <x:c r="C4477" s="21" t="str">
        <x:v>milestone</x:v>
      </x:c>
      <x:c r="D4477" s="21" t="str">
        <x:v>milestone 150 decision held</x:v>
      </x:c>
      <x:c r="E4477" s="21" t="n">
        <x:f>IF(Milestones!M150="HOLD",1,0)</x:f>
        <x:v>1</x:v>
      </x:c>
      <x:c r="F4477" s="21" t="n">
        <x:v>1</x:v>
      </x:c>
      <x:c r="G4477" s="23" t="str">
        <x:f>IF(E4477=F4477,"PASS","FAIL")</x:f>
        <x:v>PASS</x:v>
      </x:c>
    </x:row>
    <x:row r="4478">
      <x:c r="B4478" s="21" t="str">
        <x:v>A4472</x:v>
      </x:c>
      <x:c r="C4478" s="21" t="str">
        <x:v>milestone</x:v>
      </x:c>
      <x:c r="D4478" s="21" t="str">
        <x:v>milestone 151 share positive</x:v>
      </x:c>
      <x:c r="E4478" s="21" t="n">
        <x:f>IF(Milestones!H151&gt;0,1,0)</x:f>
        <x:v>1</x:v>
      </x:c>
      <x:c r="F4478" s="21" t="n">
        <x:v>1</x:v>
      </x:c>
      <x:c r="G4478" s="23" t="str">
        <x:f>IF(E4478=F4478,"PASS","FAIL")</x:f>
        <x:v>PASS</x:v>
      </x:c>
    </x:row>
    <x:row r="4479">
      <x:c r="B4479" s="21" t="str">
        <x:v>A4473</x:v>
      </x:c>
      <x:c r="C4479" s="21" t="str">
        <x:v>milestone</x:v>
      </x:c>
      <x:c r="D4479" s="21" t="str">
        <x:v>milestone 151 year bounded</x:v>
      </x:c>
      <x:c r="E4479" s="21" t="n">
        <x:f>IF(AND(Milestones!I151&gt;=1,Milestones!I151&lt;=9),1,0)</x:f>
        <x:v>1</x:v>
      </x:c>
      <x:c r="F4479" s="21" t="n">
        <x:v>1</x:v>
      </x:c>
      <x:c r="G4479" s="23" t="str">
        <x:f>IF(E4479=F4479,"PASS","FAIL")</x:f>
        <x:v>PASS</x:v>
      </x:c>
    </x:row>
    <x:row r="4480">
      <x:c r="B4480" s="21" t="str">
        <x:v>A4474</x:v>
      </x:c>
      <x:c r="C4480" s="21" t="str">
        <x:v>milestone</x:v>
      </x:c>
      <x:c r="D4480" s="21" t="str">
        <x:v>milestone 151 payment nonnegative</x:v>
      </x:c>
      <x:c r="E4480" s="21" t="n">
        <x:f>IF(Milestones!J151&gt;=0,1,0)</x:f>
        <x:v>1</x:v>
      </x:c>
      <x:c r="F4480" s="21" t="n">
        <x:v>1</x:v>
      </x:c>
      <x:c r="G4480" s="23" t="str">
        <x:f>IF(E4480=F4480,"PASS","FAIL")</x:f>
        <x:v>PASS</x:v>
      </x:c>
    </x:row>
    <x:row r="4481">
      <x:c r="B4481" s="21" t="str">
        <x:v>A4475</x:v>
      </x:c>
      <x:c r="C4481" s="21" t="str">
        <x:v>milestone</x:v>
      </x:c>
      <x:c r="D4481" s="21" t="str">
        <x:v>milestone 151 evidence open</x:v>
      </x:c>
      <x:c r="E4481" s="21" t="n">
        <x:f>IF(Milestones!L151="OPEN",1,0)</x:f>
        <x:v>1</x:v>
      </x:c>
      <x:c r="F4481" s="21" t="n">
        <x:v>1</x:v>
      </x:c>
      <x:c r="G4481" s="23" t="str">
        <x:f>IF(E4481=F4481,"PASS","FAIL")</x:f>
        <x:v>PASS</x:v>
      </x:c>
    </x:row>
    <x:row r="4482">
      <x:c r="B4482" s="21" t="str">
        <x:v>A4476</x:v>
      </x:c>
      <x:c r="C4482" s="21" t="str">
        <x:v>milestone</x:v>
      </x:c>
      <x:c r="D4482" s="21" t="str">
        <x:v>milestone 151 decision held</x:v>
      </x:c>
      <x:c r="E4482" s="21" t="n">
        <x:f>IF(Milestones!M151="HOLD",1,0)</x:f>
        <x:v>1</x:v>
      </x:c>
      <x:c r="F4482" s="21" t="n">
        <x:v>1</x:v>
      </x:c>
      <x:c r="G4482" s="23" t="str">
        <x:f>IF(E4482=F4482,"PASS","FAIL")</x:f>
        <x:v>PASS</x:v>
      </x:c>
    </x:row>
    <x:row r="4483">
      <x:c r="B4483" s="21" t="str">
        <x:v>A4477</x:v>
      </x:c>
      <x:c r="C4483" s="21" t="str">
        <x:v>milestone</x:v>
      </x:c>
      <x:c r="D4483" s="21" t="str">
        <x:v>milestone 152 share positive</x:v>
      </x:c>
      <x:c r="E4483" s="21" t="n">
        <x:f>IF(Milestones!H152&gt;0,1,0)</x:f>
        <x:v>1</x:v>
      </x:c>
      <x:c r="F4483" s="21" t="n">
        <x:v>1</x:v>
      </x:c>
      <x:c r="G4483" s="23" t="str">
        <x:f>IF(E4483=F4483,"PASS","FAIL")</x:f>
        <x:v>PASS</x:v>
      </x:c>
    </x:row>
    <x:row r="4484">
      <x:c r="B4484" s="21" t="str">
        <x:v>A4478</x:v>
      </x:c>
      <x:c r="C4484" s="21" t="str">
        <x:v>milestone</x:v>
      </x:c>
      <x:c r="D4484" s="21" t="str">
        <x:v>milestone 152 year bounded</x:v>
      </x:c>
      <x:c r="E4484" s="21" t="n">
        <x:f>IF(AND(Milestones!I152&gt;=1,Milestones!I152&lt;=9),1,0)</x:f>
        <x:v>1</x:v>
      </x:c>
      <x:c r="F4484" s="21" t="n">
        <x:v>1</x:v>
      </x:c>
      <x:c r="G4484" s="23" t="str">
        <x:f>IF(E4484=F4484,"PASS","FAIL")</x:f>
        <x:v>PASS</x:v>
      </x:c>
    </x:row>
    <x:row r="4485">
      <x:c r="B4485" s="21" t="str">
        <x:v>A4479</x:v>
      </x:c>
      <x:c r="C4485" s="21" t="str">
        <x:v>milestone</x:v>
      </x:c>
      <x:c r="D4485" s="21" t="str">
        <x:v>milestone 152 payment nonnegative</x:v>
      </x:c>
      <x:c r="E4485" s="21" t="n">
        <x:f>IF(Milestones!J152&gt;=0,1,0)</x:f>
        <x:v>1</x:v>
      </x:c>
      <x:c r="F4485" s="21" t="n">
        <x:v>1</x:v>
      </x:c>
      <x:c r="G4485" s="23" t="str">
        <x:f>IF(E4485=F4485,"PASS","FAIL")</x:f>
        <x:v>PASS</x:v>
      </x:c>
    </x:row>
    <x:row r="4486">
      <x:c r="B4486" s="21" t="str">
        <x:v>A4480</x:v>
      </x:c>
      <x:c r="C4486" s="21" t="str">
        <x:v>milestone</x:v>
      </x:c>
      <x:c r="D4486" s="21" t="str">
        <x:v>milestone 152 evidence open</x:v>
      </x:c>
      <x:c r="E4486" s="21" t="n">
        <x:f>IF(Milestones!L152="OPEN",1,0)</x:f>
        <x:v>1</x:v>
      </x:c>
      <x:c r="F4486" s="21" t="n">
        <x:v>1</x:v>
      </x:c>
      <x:c r="G4486" s="23" t="str">
        <x:f>IF(E4486=F4486,"PASS","FAIL")</x:f>
        <x:v>PASS</x:v>
      </x:c>
    </x:row>
    <x:row r="4487">
      <x:c r="B4487" s="21" t="str">
        <x:v>A4481</x:v>
      </x:c>
      <x:c r="C4487" s="21" t="str">
        <x:v>milestone</x:v>
      </x:c>
      <x:c r="D4487" s="21" t="str">
        <x:v>milestone 152 decision held</x:v>
      </x:c>
      <x:c r="E4487" s="21" t="n">
        <x:f>IF(Milestones!M152="HOLD",1,0)</x:f>
        <x:v>1</x:v>
      </x:c>
      <x:c r="F4487" s="21" t="n">
        <x:v>1</x:v>
      </x:c>
      <x:c r="G4487" s="23" t="str">
        <x:f>IF(E4487=F4487,"PASS","FAIL")</x:f>
        <x:v>PASS</x:v>
      </x:c>
    </x:row>
    <x:row r="4488">
      <x:c r="B4488" s="21" t="str">
        <x:v>A4482</x:v>
      </x:c>
      <x:c r="C4488" s="21" t="str">
        <x:v>milestone</x:v>
      </x:c>
      <x:c r="D4488" s="21" t="str">
        <x:v>milestone 153 share positive</x:v>
      </x:c>
      <x:c r="E4488" s="21" t="n">
        <x:f>IF(Milestones!H153&gt;0,1,0)</x:f>
        <x:v>1</x:v>
      </x:c>
      <x:c r="F4488" s="21" t="n">
        <x:v>1</x:v>
      </x:c>
      <x:c r="G4488" s="23" t="str">
        <x:f>IF(E4488=F4488,"PASS","FAIL")</x:f>
        <x:v>PASS</x:v>
      </x:c>
    </x:row>
    <x:row r="4489">
      <x:c r="B4489" s="21" t="str">
        <x:v>A4483</x:v>
      </x:c>
      <x:c r="C4489" s="21" t="str">
        <x:v>milestone</x:v>
      </x:c>
      <x:c r="D4489" s="21" t="str">
        <x:v>milestone 153 year bounded</x:v>
      </x:c>
      <x:c r="E4489" s="21" t="n">
        <x:f>IF(AND(Milestones!I153&gt;=1,Milestones!I153&lt;=9),1,0)</x:f>
        <x:v>1</x:v>
      </x:c>
      <x:c r="F4489" s="21" t="n">
        <x:v>1</x:v>
      </x:c>
      <x:c r="G4489" s="23" t="str">
        <x:f>IF(E4489=F4489,"PASS","FAIL")</x:f>
        <x:v>PASS</x:v>
      </x:c>
    </x:row>
    <x:row r="4490">
      <x:c r="B4490" s="21" t="str">
        <x:v>A4484</x:v>
      </x:c>
      <x:c r="C4490" s="21" t="str">
        <x:v>milestone</x:v>
      </x:c>
      <x:c r="D4490" s="21" t="str">
        <x:v>milestone 153 payment nonnegative</x:v>
      </x:c>
      <x:c r="E4490" s="21" t="n">
        <x:f>IF(Milestones!J153&gt;=0,1,0)</x:f>
        <x:v>1</x:v>
      </x:c>
      <x:c r="F4490" s="21" t="n">
        <x:v>1</x:v>
      </x:c>
      <x:c r="G4490" s="23" t="str">
        <x:f>IF(E4490=F4490,"PASS","FAIL")</x:f>
        <x:v>PASS</x:v>
      </x:c>
    </x:row>
    <x:row r="4491">
      <x:c r="B4491" s="21" t="str">
        <x:v>A4485</x:v>
      </x:c>
      <x:c r="C4491" s="21" t="str">
        <x:v>milestone</x:v>
      </x:c>
      <x:c r="D4491" s="21" t="str">
        <x:v>milestone 153 evidence open</x:v>
      </x:c>
      <x:c r="E4491" s="21" t="n">
        <x:f>IF(Milestones!L153="OPEN",1,0)</x:f>
        <x:v>1</x:v>
      </x:c>
      <x:c r="F4491" s="21" t="n">
        <x:v>1</x:v>
      </x:c>
      <x:c r="G4491" s="23" t="str">
        <x:f>IF(E4491=F4491,"PASS","FAIL")</x:f>
        <x:v>PASS</x:v>
      </x:c>
    </x:row>
    <x:row r="4492">
      <x:c r="B4492" s="21" t="str">
        <x:v>A4486</x:v>
      </x:c>
      <x:c r="C4492" s="21" t="str">
        <x:v>milestone</x:v>
      </x:c>
      <x:c r="D4492" s="21" t="str">
        <x:v>milestone 153 decision held</x:v>
      </x:c>
      <x:c r="E4492" s="21" t="n">
        <x:f>IF(Milestones!M153="HOLD",1,0)</x:f>
        <x:v>1</x:v>
      </x:c>
      <x:c r="F4492" s="21" t="n">
        <x:v>1</x:v>
      </x:c>
      <x:c r="G4492" s="23" t="str">
        <x:f>IF(E4492=F4492,"PASS","FAIL")</x:f>
        <x:v>PASS</x:v>
      </x:c>
    </x:row>
    <x:row r="4493">
      <x:c r="B4493" s="21" t="str">
        <x:v>A4487</x:v>
      </x:c>
      <x:c r="C4493" s="21" t="str">
        <x:v>milestone</x:v>
      </x:c>
      <x:c r="D4493" s="21" t="str">
        <x:v>milestone 154 share positive</x:v>
      </x:c>
      <x:c r="E4493" s="21" t="n">
        <x:f>IF(Milestones!H154&gt;0,1,0)</x:f>
        <x:v>1</x:v>
      </x:c>
      <x:c r="F4493" s="21" t="n">
        <x:v>1</x:v>
      </x:c>
      <x:c r="G4493" s="23" t="str">
        <x:f>IF(E4493=F4493,"PASS","FAIL")</x:f>
        <x:v>PASS</x:v>
      </x:c>
    </x:row>
    <x:row r="4494">
      <x:c r="B4494" s="21" t="str">
        <x:v>A4488</x:v>
      </x:c>
      <x:c r="C4494" s="21" t="str">
        <x:v>milestone</x:v>
      </x:c>
      <x:c r="D4494" s="21" t="str">
        <x:v>milestone 154 year bounded</x:v>
      </x:c>
      <x:c r="E4494" s="21" t="n">
        <x:f>IF(AND(Milestones!I154&gt;=1,Milestones!I154&lt;=9),1,0)</x:f>
        <x:v>1</x:v>
      </x:c>
      <x:c r="F4494" s="21" t="n">
        <x:v>1</x:v>
      </x:c>
      <x:c r="G4494" s="23" t="str">
        <x:f>IF(E4494=F4494,"PASS","FAIL")</x:f>
        <x:v>PASS</x:v>
      </x:c>
    </x:row>
    <x:row r="4495">
      <x:c r="B4495" s="21" t="str">
        <x:v>A4489</x:v>
      </x:c>
      <x:c r="C4495" s="21" t="str">
        <x:v>milestone</x:v>
      </x:c>
      <x:c r="D4495" s="21" t="str">
        <x:v>milestone 154 payment nonnegative</x:v>
      </x:c>
      <x:c r="E4495" s="21" t="n">
        <x:f>IF(Milestones!J154&gt;=0,1,0)</x:f>
        <x:v>1</x:v>
      </x:c>
      <x:c r="F4495" s="21" t="n">
        <x:v>1</x:v>
      </x:c>
      <x:c r="G4495" s="23" t="str">
        <x:f>IF(E4495=F4495,"PASS","FAIL")</x:f>
        <x:v>PASS</x:v>
      </x:c>
    </x:row>
    <x:row r="4496">
      <x:c r="B4496" s="21" t="str">
        <x:v>A4490</x:v>
      </x:c>
      <x:c r="C4496" s="21" t="str">
        <x:v>milestone</x:v>
      </x:c>
      <x:c r="D4496" s="21" t="str">
        <x:v>milestone 154 evidence open</x:v>
      </x:c>
      <x:c r="E4496" s="21" t="n">
        <x:f>IF(Milestones!L154="OPEN",1,0)</x:f>
        <x:v>1</x:v>
      </x:c>
      <x:c r="F4496" s="21" t="n">
        <x:v>1</x:v>
      </x:c>
      <x:c r="G4496" s="23" t="str">
        <x:f>IF(E4496=F4496,"PASS","FAIL")</x:f>
        <x:v>PASS</x:v>
      </x:c>
    </x:row>
    <x:row r="4497">
      <x:c r="B4497" s="21" t="str">
        <x:v>A4491</x:v>
      </x:c>
      <x:c r="C4497" s="21" t="str">
        <x:v>milestone</x:v>
      </x:c>
      <x:c r="D4497" s="21" t="str">
        <x:v>milestone 154 decision held</x:v>
      </x:c>
      <x:c r="E4497" s="21" t="n">
        <x:f>IF(Milestones!M154="HOLD",1,0)</x:f>
        <x:v>1</x:v>
      </x:c>
      <x:c r="F4497" s="21" t="n">
        <x:v>1</x:v>
      </x:c>
      <x:c r="G4497" s="23" t="str">
        <x:f>IF(E4497=F4497,"PASS","FAIL")</x:f>
        <x:v>PASS</x:v>
      </x:c>
    </x:row>
    <x:row r="4498">
      <x:c r="B4498" s="21" t="str">
        <x:v>A4492</x:v>
      </x:c>
      <x:c r="C4498" s="21" t="str">
        <x:v>milestone</x:v>
      </x:c>
      <x:c r="D4498" s="21" t="str">
        <x:v>milestone 155 share positive</x:v>
      </x:c>
      <x:c r="E4498" s="21" t="n">
        <x:f>IF(Milestones!H155&gt;0,1,0)</x:f>
        <x:v>1</x:v>
      </x:c>
      <x:c r="F4498" s="21" t="n">
        <x:v>1</x:v>
      </x:c>
      <x:c r="G4498" s="23" t="str">
        <x:f>IF(E4498=F4498,"PASS","FAIL")</x:f>
        <x:v>PASS</x:v>
      </x:c>
    </x:row>
    <x:row r="4499">
      <x:c r="B4499" s="21" t="str">
        <x:v>A4493</x:v>
      </x:c>
      <x:c r="C4499" s="21" t="str">
        <x:v>milestone</x:v>
      </x:c>
      <x:c r="D4499" s="21" t="str">
        <x:v>milestone 155 year bounded</x:v>
      </x:c>
      <x:c r="E4499" s="21" t="n">
        <x:f>IF(AND(Milestones!I155&gt;=1,Milestones!I155&lt;=9),1,0)</x:f>
        <x:v>1</x:v>
      </x:c>
      <x:c r="F4499" s="21" t="n">
        <x:v>1</x:v>
      </x:c>
      <x:c r="G4499" s="23" t="str">
        <x:f>IF(E4499=F4499,"PASS","FAIL")</x:f>
        <x:v>PASS</x:v>
      </x:c>
    </x:row>
    <x:row r="4500">
      <x:c r="B4500" s="21" t="str">
        <x:v>A4494</x:v>
      </x:c>
      <x:c r="C4500" s="21" t="str">
        <x:v>milestone</x:v>
      </x:c>
      <x:c r="D4500" s="21" t="str">
        <x:v>milestone 155 payment nonnegative</x:v>
      </x:c>
      <x:c r="E4500" s="21" t="n">
        <x:f>IF(Milestones!J155&gt;=0,1,0)</x:f>
        <x:v>1</x:v>
      </x:c>
      <x:c r="F4500" s="21" t="n">
        <x:v>1</x:v>
      </x:c>
      <x:c r="G4500" s="23" t="str">
        <x:f>IF(E4500=F4500,"PASS","FAIL")</x:f>
        <x:v>PASS</x:v>
      </x:c>
    </x:row>
    <x:row r="4501">
      <x:c r="B4501" s="21" t="str">
        <x:v>A4495</x:v>
      </x:c>
      <x:c r="C4501" s="21" t="str">
        <x:v>milestone</x:v>
      </x:c>
      <x:c r="D4501" s="21" t="str">
        <x:v>milestone 155 evidence open</x:v>
      </x:c>
      <x:c r="E4501" s="21" t="n">
        <x:f>IF(Milestones!L155="OPEN",1,0)</x:f>
        <x:v>1</x:v>
      </x:c>
      <x:c r="F4501" s="21" t="n">
        <x:v>1</x:v>
      </x:c>
      <x:c r="G4501" s="23" t="str">
        <x:f>IF(E4501=F4501,"PASS","FAIL")</x:f>
        <x:v>PASS</x:v>
      </x:c>
    </x:row>
    <x:row r="4502">
      <x:c r="B4502" s="21" t="str">
        <x:v>A4496</x:v>
      </x:c>
      <x:c r="C4502" s="21" t="str">
        <x:v>milestone</x:v>
      </x:c>
      <x:c r="D4502" s="21" t="str">
        <x:v>milestone 155 decision held</x:v>
      </x:c>
      <x:c r="E4502" s="21" t="n">
        <x:f>IF(Milestones!M155="HOLD",1,0)</x:f>
        <x:v>1</x:v>
      </x:c>
      <x:c r="F4502" s="21" t="n">
        <x:v>1</x:v>
      </x:c>
      <x:c r="G4502" s="23" t="str">
        <x:f>IF(E4502=F4502,"PASS","FAIL")</x:f>
        <x:v>PASS</x:v>
      </x:c>
    </x:row>
    <x:row r="4503">
      <x:c r="B4503" s="21" t="str">
        <x:v>A4497</x:v>
      </x:c>
      <x:c r="C4503" s="21" t="str">
        <x:v>milestone</x:v>
      </x:c>
      <x:c r="D4503" s="21" t="str">
        <x:v>milestone 156 share positive</x:v>
      </x:c>
      <x:c r="E4503" s="21" t="n">
        <x:f>IF(Milestones!H156&gt;0,1,0)</x:f>
        <x:v>1</x:v>
      </x:c>
      <x:c r="F4503" s="21" t="n">
        <x:v>1</x:v>
      </x:c>
      <x:c r="G4503" s="23" t="str">
        <x:f>IF(E4503=F4503,"PASS","FAIL")</x:f>
        <x:v>PASS</x:v>
      </x:c>
    </x:row>
    <x:row r="4504">
      <x:c r="B4504" s="21" t="str">
        <x:v>A4498</x:v>
      </x:c>
      <x:c r="C4504" s="21" t="str">
        <x:v>milestone</x:v>
      </x:c>
      <x:c r="D4504" s="21" t="str">
        <x:v>milestone 156 year bounded</x:v>
      </x:c>
      <x:c r="E4504" s="21" t="n">
        <x:f>IF(AND(Milestones!I156&gt;=1,Milestones!I156&lt;=9),1,0)</x:f>
        <x:v>1</x:v>
      </x:c>
      <x:c r="F4504" s="21" t="n">
        <x:v>1</x:v>
      </x:c>
      <x:c r="G4504" s="23" t="str">
        <x:f>IF(E4504=F4504,"PASS","FAIL")</x:f>
        <x:v>PASS</x:v>
      </x:c>
    </x:row>
    <x:row r="4505">
      <x:c r="B4505" s="21" t="str">
        <x:v>A4499</x:v>
      </x:c>
      <x:c r="C4505" s="21" t="str">
        <x:v>milestone</x:v>
      </x:c>
      <x:c r="D4505" s="21" t="str">
        <x:v>milestone 156 payment nonnegative</x:v>
      </x:c>
      <x:c r="E4505" s="21" t="n">
        <x:f>IF(Milestones!J156&gt;=0,1,0)</x:f>
        <x:v>1</x:v>
      </x:c>
      <x:c r="F4505" s="21" t="n">
        <x:v>1</x:v>
      </x:c>
      <x:c r="G4505" s="23" t="str">
        <x:f>IF(E4505=F4505,"PASS","FAIL")</x:f>
        <x:v>PASS</x:v>
      </x:c>
    </x:row>
    <x:row r="4506">
      <x:c r="B4506" s="21" t="str">
        <x:v>A4500</x:v>
      </x:c>
      <x:c r="C4506" s="21" t="str">
        <x:v>milestone</x:v>
      </x:c>
      <x:c r="D4506" s="21" t="str">
        <x:v>milestone 156 evidence open</x:v>
      </x:c>
      <x:c r="E4506" s="21" t="n">
        <x:f>IF(Milestones!L156="OPEN",1,0)</x:f>
        <x:v>1</x:v>
      </x:c>
      <x:c r="F4506" s="21" t="n">
        <x:v>1</x:v>
      </x:c>
      <x:c r="G4506" s="23" t="str">
        <x:f>IF(E4506=F4506,"PASS","FAIL")</x:f>
        <x:v>PASS</x:v>
      </x:c>
    </x:row>
    <x:row r="4507">
      <x:c r="B4507" s="21" t="str">
        <x:v>A4501</x:v>
      </x:c>
      <x:c r="C4507" s="21" t="str">
        <x:v>milestone</x:v>
      </x:c>
      <x:c r="D4507" s="21" t="str">
        <x:v>milestone 156 decision held</x:v>
      </x:c>
      <x:c r="E4507" s="21" t="n">
        <x:f>IF(Milestones!M156="HOLD",1,0)</x:f>
        <x:v>1</x:v>
      </x:c>
      <x:c r="F4507" s="21" t="n">
        <x:v>1</x:v>
      </x:c>
      <x:c r="G4507" s="23" t="str">
        <x:f>IF(E4507=F4507,"PASS","FAIL")</x:f>
        <x:v>PASS</x:v>
      </x:c>
    </x:row>
    <x:row r="4508">
      <x:c r="B4508" s="21" t="str">
        <x:v>A4502</x:v>
      </x:c>
      <x:c r="C4508" s="21" t="str">
        <x:v>milestone</x:v>
      </x:c>
      <x:c r="D4508" s="21" t="str">
        <x:v>milestone 157 share positive</x:v>
      </x:c>
      <x:c r="E4508" s="21" t="n">
        <x:f>IF(Milestones!H157&gt;0,1,0)</x:f>
        <x:v>1</x:v>
      </x:c>
      <x:c r="F4508" s="21" t="n">
        <x:v>1</x:v>
      </x:c>
      <x:c r="G4508" s="23" t="str">
        <x:f>IF(E4508=F4508,"PASS","FAIL")</x:f>
        <x:v>PASS</x:v>
      </x:c>
    </x:row>
    <x:row r="4509">
      <x:c r="B4509" s="21" t="str">
        <x:v>A4503</x:v>
      </x:c>
      <x:c r="C4509" s="21" t="str">
        <x:v>milestone</x:v>
      </x:c>
      <x:c r="D4509" s="21" t="str">
        <x:v>milestone 157 year bounded</x:v>
      </x:c>
      <x:c r="E4509" s="21" t="n">
        <x:f>IF(AND(Milestones!I157&gt;=1,Milestones!I157&lt;=9),1,0)</x:f>
        <x:v>1</x:v>
      </x:c>
      <x:c r="F4509" s="21" t="n">
        <x:v>1</x:v>
      </x:c>
      <x:c r="G4509" s="23" t="str">
        <x:f>IF(E4509=F4509,"PASS","FAIL")</x:f>
        <x:v>PASS</x:v>
      </x:c>
    </x:row>
    <x:row r="4510">
      <x:c r="B4510" s="21" t="str">
        <x:v>A4504</x:v>
      </x:c>
      <x:c r="C4510" s="21" t="str">
        <x:v>milestone</x:v>
      </x:c>
      <x:c r="D4510" s="21" t="str">
        <x:v>milestone 157 payment nonnegative</x:v>
      </x:c>
      <x:c r="E4510" s="21" t="n">
        <x:f>IF(Milestones!J157&gt;=0,1,0)</x:f>
        <x:v>1</x:v>
      </x:c>
      <x:c r="F4510" s="21" t="n">
        <x:v>1</x:v>
      </x:c>
      <x:c r="G4510" s="23" t="str">
        <x:f>IF(E4510=F4510,"PASS","FAIL")</x:f>
        <x:v>PASS</x:v>
      </x:c>
    </x:row>
    <x:row r="4511">
      <x:c r="B4511" s="21" t="str">
        <x:v>A4505</x:v>
      </x:c>
      <x:c r="C4511" s="21" t="str">
        <x:v>milestone</x:v>
      </x:c>
      <x:c r="D4511" s="21" t="str">
        <x:v>milestone 157 evidence open</x:v>
      </x:c>
      <x:c r="E4511" s="21" t="n">
        <x:f>IF(Milestones!L157="OPEN",1,0)</x:f>
        <x:v>1</x:v>
      </x:c>
      <x:c r="F4511" s="21" t="n">
        <x:v>1</x:v>
      </x:c>
      <x:c r="G4511" s="23" t="str">
        <x:f>IF(E4511=F4511,"PASS","FAIL")</x:f>
        <x:v>PASS</x:v>
      </x:c>
    </x:row>
    <x:row r="4512">
      <x:c r="B4512" s="21" t="str">
        <x:v>A4506</x:v>
      </x:c>
      <x:c r="C4512" s="21" t="str">
        <x:v>milestone</x:v>
      </x:c>
      <x:c r="D4512" s="21" t="str">
        <x:v>milestone 157 decision held</x:v>
      </x:c>
      <x:c r="E4512" s="21" t="n">
        <x:f>IF(Milestones!M157="HOLD",1,0)</x:f>
        <x:v>1</x:v>
      </x:c>
      <x:c r="F4512" s="21" t="n">
        <x:v>1</x:v>
      </x:c>
      <x:c r="G4512" s="23" t="str">
        <x:f>IF(E4512=F4512,"PASS","FAIL")</x:f>
        <x:v>PASS</x:v>
      </x:c>
    </x:row>
    <x:row r="4513">
      <x:c r="B4513" s="21" t="str">
        <x:v>A4507</x:v>
      </x:c>
      <x:c r="C4513" s="21" t="str">
        <x:v>milestone</x:v>
      </x:c>
      <x:c r="D4513" s="21" t="str">
        <x:v>milestone 158 share positive</x:v>
      </x:c>
      <x:c r="E4513" s="21" t="n">
        <x:f>IF(Milestones!H158&gt;0,1,0)</x:f>
        <x:v>1</x:v>
      </x:c>
      <x:c r="F4513" s="21" t="n">
        <x:v>1</x:v>
      </x:c>
      <x:c r="G4513" s="23" t="str">
        <x:f>IF(E4513=F4513,"PASS","FAIL")</x:f>
        <x:v>PASS</x:v>
      </x:c>
    </x:row>
    <x:row r="4514">
      <x:c r="B4514" s="21" t="str">
        <x:v>A4508</x:v>
      </x:c>
      <x:c r="C4514" s="21" t="str">
        <x:v>milestone</x:v>
      </x:c>
      <x:c r="D4514" s="21" t="str">
        <x:v>milestone 158 year bounded</x:v>
      </x:c>
      <x:c r="E4514" s="21" t="n">
        <x:f>IF(AND(Milestones!I158&gt;=1,Milestones!I158&lt;=9),1,0)</x:f>
        <x:v>1</x:v>
      </x:c>
      <x:c r="F4514" s="21" t="n">
        <x:v>1</x:v>
      </x:c>
      <x:c r="G4514" s="23" t="str">
        <x:f>IF(E4514=F4514,"PASS","FAIL")</x:f>
        <x:v>PASS</x:v>
      </x:c>
    </x:row>
    <x:row r="4515">
      <x:c r="B4515" s="21" t="str">
        <x:v>A4509</x:v>
      </x:c>
      <x:c r="C4515" s="21" t="str">
        <x:v>milestone</x:v>
      </x:c>
      <x:c r="D4515" s="21" t="str">
        <x:v>milestone 158 payment nonnegative</x:v>
      </x:c>
      <x:c r="E4515" s="21" t="n">
        <x:f>IF(Milestones!J158&gt;=0,1,0)</x:f>
        <x:v>1</x:v>
      </x:c>
      <x:c r="F4515" s="21" t="n">
        <x:v>1</x:v>
      </x:c>
      <x:c r="G4515" s="23" t="str">
        <x:f>IF(E4515=F4515,"PASS","FAIL")</x:f>
        <x:v>PASS</x:v>
      </x:c>
    </x:row>
    <x:row r="4516">
      <x:c r="B4516" s="21" t="str">
        <x:v>A4510</x:v>
      </x:c>
      <x:c r="C4516" s="21" t="str">
        <x:v>milestone</x:v>
      </x:c>
      <x:c r="D4516" s="21" t="str">
        <x:v>milestone 158 evidence open</x:v>
      </x:c>
      <x:c r="E4516" s="21" t="n">
        <x:f>IF(Milestones!L158="OPEN",1,0)</x:f>
        <x:v>1</x:v>
      </x:c>
      <x:c r="F4516" s="21" t="n">
        <x:v>1</x:v>
      </x:c>
      <x:c r="G4516" s="23" t="str">
        <x:f>IF(E4516=F4516,"PASS","FAIL")</x:f>
        <x:v>PASS</x:v>
      </x:c>
    </x:row>
    <x:row r="4517">
      <x:c r="B4517" s="21" t="str">
        <x:v>A4511</x:v>
      </x:c>
      <x:c r="C4517" s="21" t="str">
        <x:v>milestone</x:v>
      </x:c>
      <x:c r="D4517" s="21" t="str">
        <x:v>milestone 158 decision held</x:v>
      </x:c>
      <x:c r="E4517" s="21" t="n">
        <x:f>IF(Milestones!M158="HOLD",1,0)</x:f>
        <x:v>1</x:v>
      </x:c>
      <x:c r="F4517" s="21" t="n">
        <x:v>1</x:v>
      </x:c>
      <x:c r="G4517" s="23" t="str">
        <x:f>IF(E4517=F4517,"PASS","FAIL")</x:f>
        <x:v>PASS</x:v>
      </x:c>
    </x:row>
    <x:row r="4518">
      <x:c r="B4518" s="21" t="str">
        <x:v>A4512</x:v>
      </x:c>
      <x:c r="C4518" s="21" t="str">
        <x:v>milestone</x:v>
      </x:c>
      <x:c r="D4518" s="21" t="str">
        <x:v>milestone 159 share positive</x:v>
      </x:c>
      <x:c r="E4518" s="21" t="n">
        <x:f>IF(Milestones!H159&gt;0,1,0)</x:f>
        <x:v>1</x:v>
      </x:c>
      <x:c r="F4518" s="21" t="n">
        <x:v>1</x:v>
      </x:c>
      <x:c r="G4518" s="23" t="str">
        <x:f>IF(E4518=F4518,"PASS","FAIL")</x:f>
        <x:v>PASS</x:v>
      </x:c>
    </x:row>
    <x:row r="4519">
      <x:c r="B4519" s="21" t="str">
        <x:v>A4513</x:v>
      </x:c>
      <x:c r="C4519" s="21" t="str">
        <x:v>milestone</x:v>
      </x:c>
      <x:c r="D4519" s="21" t="str">
        <x:v>milestone 159 year bounded</x:v>
      </x:c>
      <x:c r="E4519" s="21" t="n">
        <x:f>IF(AND(Milestones!I159&gt;=1,Milestones!I159&lt;=9),1,0)</x:f>
        <x:v>1</x:v>
      </x:c>
      <x:c r="F4519" s="21" t="n">
        <x:v>1</x:v>
      </x:c>
      <x:c r="G4519" s="23" t="str">
        <x:f>IF(E4519=F4519,"PASS","FAIL")</x:f>
        <x:v>PASS</x:v>
      </x:c>
    </x:row>
    <x:row r="4520">
      <x:c r="B4520" s="21" t="str">
        <x:v>A4514</x:v>
      </x:c>
      <x:c r="C4520" s="21" t="str">
        <x:v>milestone</x:v>
      </x:c>
      <x:c r="D4520" s="21" t="str">
        <x:v>milestone 159 payment nonnegative</x:v>
      </x:c>
      <x:c r="E4520" s="21" t="n">
        <x:f>IF(Milestones!J159&gt;=0,1,0)</x:f>
        <x:v>1</x:v>
      </x:c>
      <x:c r="F4520" s="21" t="n">
        <x:v>1</x:v>
      </x:c>
      <x:c r="G4520" s="23" t="str">
        <x:f>IF(E4520=F4520,"PASS","FAIL")</x:f>
        <x:v>PASS</x:v>
      </x:c>
    </x:row>
    <x:row r="4521">
      <x:c r="B4521" s="21" t="str">
        <x:v>A4515</x:v>
      </x:c>
      <x:c r="C4521" s="21" t="str">
        <x:v>milestone</x:v>
      </x:c>
      <x:c r="D4521" s="21" t="str">
        <x:v>milestone 159 evidence open</x:v>
      </x:c>
      <x:c r="E4521" s="21" t="n">
        <x:f>IF(Milestones!L159="OPEN",1,0)</x:f>
        <x:v>1</x:v>
      </x:c>
      <x:c r="F4521" s="21" t="n">
        <x:v>1</x:v>
      </x:c>
      <x:c r="G4521" s="23" t="str">
        <x:f>IF(E4521=F4521,"PASS","FAIL")</x:f>
        <x:v>PASS</x:v>
      </x:c>
    </x:row>
    <x:row r="4522">
      <x:c r="B4522" s="21" t="str">
        <x:v>A4516</x:v>
      </x:c>
      <x:c r="C4522" s="21" t="str">
        <x:v>milestone</x:v>
      </x:c>
      <x:c r="D4522" s="21" t="str">
        <x:v>milestone 159 decision held</x:v>
      </x:c>
      <x:c r="E4522" s="21" t="n">
        <x:f>IF(Milestones!M159="HOLD",1,0)</x:f>
        <x:v>1</x:v>
      </x:c>
      <x:c r="F4522" s="21" t="n">
        <x:v>1</x:v>
      </x:c>
      <x:c r="G4522" s="23" t="str">
        <x:f>IF(E4522=F4522,"PASS","FAIL")</x:f>
        <x:v>PASS</x:v>
      </x:c>
    </x:row>
    <x:row r="4523">
      <x:c r="B4523" s="21" t="str">
        <x:v>A4517</x:v>
      </x:c>
      <x:c r="C4523" s="21" t="str">
        <x:v>milestone</x:v>
      </x:c>
      <x:c r="D4523" s="21" t="str">
        <x:v>milestone 160 share positive</x:v>
      </x:c>
      <x:c r="E4523" s="21" t="n">
        <x:f>IF(Milestones!H160&gt;0,1,0)</x:f>
        <x:v>1</x:v>
      </x:c>
      <x:c r="F4523" s="21" t="n">
        <x:v>1</x:v>
      </x:c>
      <x:c r="G4523" s="23" t="str">
        <x:f>IF(E4523=F4523,"PASS","FAIL")</x:f>
        <x:v>PASS</x:v>
      </x:c>
    </x:row>
    <x:row r="4524">
      <x:c r="B4524" s="21" t="str">
        <x:v>A4518</x:v>
      </x:c>
      <x:c r="C4524" s="21" t="str">
        <x:v>milestone</x:v>
      </x:c>
      <x:c r="D4524" s="21" t="str">
        <x:v>milestone 160 year bounded</x:v>
      </x:c>
      <x:c r="E4524" s="21" t="n">
        <x:f>IF(AND(Milestones!I160&gt;=1,Milestones!I160&lt;=9),1,0)</x:f>
        <x:v>1</x:v>
      </x:c>
      <x:c r="F4524" s="21" t="n">
        <x:v>1</x:v>
      </x:c>
      <x:c r="G4524" s="23" t="str">
        <x:f>IF(E4524=F4524,"PASS","FAIL")</x:f>
        <x:v>PASS</x:v>
      </x:c>
    </x:row>
    <x:row r="4525">
      <x:c r="B4525" s="21" t="str">
        <x:v>A4519</x:v>
      </x:c>
      <x:c r="C4525" s="21" t="str">
        <x:v>milestone</x:v>
      </x:c>
      <x:c r="D4525" s="21" t="str">
        <x:v>milestone 160 payment nonnegative</x:v>
      </x:c>
      <x:c r="E4525" s="21" t="n">
        <x:f>IF(Milestones!J160&gt;=0,1,0)</x:f>
        <x:v>1</x:v>
      </x:c>
      <x:c r="F4525" s="21" t="n">
        <x:v>1</x:v>
      </x:c>
      <x:c r="G4525" s="23" t="str">
        <x:f>IF(E4525=F4525,"PASS","FAIL")</x:f>
        <x:v>PASS</x:v>
      </x:c>
    </x:row>
    <x:row r="4526">
      <x:c r="B4526" s="21" t="str">
        <x:v>A4520</x:v>
      </x:c>
      <x:c r="C4526" s="21" t="str">
        <x:v>milestone</x:v>
      </x:c>
      <x:c r="D4526" s="21" t="str">
        <x:v>milestone 160 evidence open</x:v>
      </x:c>
      <x:c r="E4526" s="21" t="n">
        <x:f>IF(Milestones!L160="OPEN",1,0)</x:f>
        <x:v>1</x:v>
      </x:c>
      <x:c r="F4526" s="21" t="n">
        <x:v>1</x:v>
      </x:c>
      <x:c r="G4526" s="23" t="str">
        <x:f>IF(E4526=F4526,"PASS","FAIL")</x:f>
        <x:v>PASS</x:v>
      </x:c>
    </x:row>
    <x:row r="4527">
      <x:c r="B4527" s="21" t="str">
        <x:v>A4521</x:v>
      </x:c>
      <x:c r="C4527" s="21" t="str">
        <x:v>milestone</x:v>
      </x:c>
      <x:c r="D4527" s="21" t="str">
        <x:v>milestone 160 decision held</x:v>
      </x:c>
      <x:c r="E4527" s="21" t="n">
        <x:f>IF(Milestones!M160="HOLD",1,0)</x:f>
        <x:v>1</x:v>
      </x:c>
      <x:c r="F4527" s="21" t="n">
        <x:v>1</x:v>
      </x:c>
      <x:c r="G4527" s="23" t="str">
        <x:f>IF(E4527=F4527,"PASS","FAIL")</x:f>
        <x:v>PASS</x:v>
      </x:c>
    </x:row>
    <x:row r="4528">
      <x:c r="B4528" s="21" t="str">
        <x:v>A4522</x:v>
      </x:c>
      <x:c r="C4528" s="21" t="str">
        <x:v>milestone</x:v>
      </x:c>
      <x:c r="D4528" s="21" t="str">
        <x:v>milestone 161 share positive</x:v>
      </x:c>
      <x:c r="E4528" s="21" t="n">
        <x:f>IF(Milestones!H161&gt;0,1,0)</x:f>
        <x:v>1</x:v>
      </x:c>
      <x:c r="F4528" s="21" t="n">
        <x:v>1</x:v>
      </x:c>
      <x:c r="G4528" s="23" t="str">
        <x:f>IF(E4528=F4528,"PASS","FAIL")</x:f>
        <x:v>PASS</x:v>
      </x:c>
    </x:row>
    <x:row r="4529">
      <x:c r="B4529" s="21" t="str">
        <x:v>A4523</x:v>
      </x:c>
      <x:c r="C4529" s="21" t="str">
        <x:v>milestone</x:v>
      </x:c>
      <x:c r="D4529" s="21" t="str">
        <x:v>milestone 161 year bounded</x:v>
      </x:c>
      <x:c r="E4529" s="21" t="n">
        <x:f>IF(AND(Milestones!I161&gt;=1,Milestones!I161&lt;=9),1,0)</x:f>
        <x:v>1</x:v>
      </x:c>
      <x:c r="F4529" s="21" t="n">
        <x:v>1</x:v>
      </x:c>
      <x:c r="G4529" s="23" t="str">
        <x:f>IF(E4529=F4529,"PASS","FAIL")</x:f>
        <x:v>PASS</x:v>
      </x:c>
    </x:row>
    <x:row r="4530">
      <x:c r="B4530" s="21" t="str">
        <x:v>A4524</x:v>
      </x:c>
      <x:c r="C4530" s="21" t="str">
        <x:v>milestone</x:v>
      </x:c>
      <x:c r="D4530" s="21" t="str">
        <x:v>milestone 161 payment nonnegative</x:v>
      </x:c>
      <x:c r="E4530" s="21" t="n">
        <x:f>IF(Milestones!J161&gt;=0,1,0)</x:f>
        <x:v>1</x:v>
      </x:c>
      <x:c r="F4530" s="21" t="n">
        <x:v>1</x:v>
      </x:c>
      <x:c r="G4530" s="23" t="str">
        <x:f>IF(E4530=F4530,"PASS","FAIL")</x:f>
        <x:v>PASS</x:v>
      </x:c>
    </x:row>
    <x:row r="4531">
      <x:c r="B4531" s="21" t="str">
        <x:v>A4525</x:v>
      </x:c>
      <x:c r="C4531" s="21" t="str">
        <x:v>milestone</x:v>
      </x:c>
      <x:c r="D4531" s="21" t="str">
        <x:v>milestone 161 evidence open</x:v>
      </x:c>
      <x:c r="E4531" s="21" t="n">
        <x:f>IF(Milestones!L161="OPEN",1,0)</x:f>
        <x:v>1</x:v>
      </x:c>
      <x:c r="F4531" s="21" t="n">
        <x:v>1</x:v>
      </x:c>
      <x:c r="G4531" s="23" t="str">
        <x:f>IF(E4531=F4531,"PASS","FAIL")</x:f>
        <x:v>PASS</x:v>
      </x:c>
    </x:row>
    <x:row r="4532">
      <x:c r="B4532" s="21" t="str">
        <x:v>A4526</x:v>
      </x:c>
      <x:c r="C4532" s="21" t="str">
        <x:v>milestone</x:v>
      </x:c>
      <x:c r="D4532" s="21" t="str">
        <x:v>milestone 161 decision held</x:v>
      </x:c>
      <x:c r="E4532" s="21" t="n">
        <x:f>IF(Milestones!M161="HOLD",1,0)</x:f>
        <x:v>1</x:v>
      </x:c>
      <x:c r="F4532" s="21" t="n">
        <x:v>1</x:v>
      </x:c>
      <x:c r="G4532" s="23" t="str">
        <x:f>IF(E4532=F4532,"PASS","FAIL")</x:f>
        <x:v>PASS</x:v>
      </x:c>
    </x:row>
    <x:row r="4533">
      <x:c r="B4533" s="21" t="str">
        <x:v>A4527</x:v>
      </x:c>
      <x:c r="C4533" s="21" t="str">
        <x:v>milestone</x:v>
      </x:c>
      <x:c r="D4533" s="21" t="str">
        <x:v>milestone 162 share positive</x:v>
      </x:c>
      <x:c r="E4533" s="21" t="n">
        <x:f>IF(Milestones!H162&gt;0,1,0)</x:f>
        <x:v>1</x:v>
      </x:c>
      <x:c r="F4533" s="21" t="n">
        <x:v>1</x:v>
      </x:c>
      <x:c r="G4533" s="23" t="str">
        <x:f>IF(E4533=F4533,"PASS","FAIL")</x:f>
        <x:v>PASS</x:v>
      </x:c>
    </x:row>
    <x:row r="4534">
      <x:c r="B4534" s="21" t="str">
        <x:v>A4528</x:v>
      </x:c>
      <x:c r="C4534" s="21" t="str">
        <x:v>milestone</x:v>
      </x:c>
      <x:c r="D4534" s="21" t="str">
        <x:v>milestone 162 year bounded</x:v>
      </x:c>
      <x:c r="E4534" s="21" t="n">
        <x:f>IF(AND(Milestones!I162&gt;=1,Milestones!I162&lt;=9),1,0)</x:f>
        <x:v>1</x:v>
      </x:c>
      <x:c r="F4534" s="21" t="n">
        <x:v>1</x:v>
      </x:c>
      <x:c r="G4534" s="23" t="str">
        <x:f>IF(E4534=F4534,"PASS","FAIL")</x:f>
        <x:v>PASS</x:v>
      </x:c>
    </x:row>
    <x:row r="4535">
      <x:c r="B4535" s="21" t="str">
        <x:v>A4529</x:v>
      </x:c>
      <x:c r="C4535" s="21" t="str">
        <x:v>milestone</x:v>
      </x:c>
      <x:c r="D4535" s="21" t="str">
        <x:v>milestone 162 payment nonnegative</x:v>
      </x:c>
      <x:c r="E4535" s="21" t="n">
        <x:f>IF(Milestones!J162&gt;=0,1,0)</x:f>
        <x:v>1</x:v>
      </x:c>
      <x:c r="F4535" s="21" t="n">
        <x:v>1</x:v>
      </x:c>
      <x:c r="G4535" s="23" t="str">
        <x:f>IF(E4535=F4535,"PASS","FAIL")</x:f>
        <x:v>PASS</x:v>
      </x:c>
    </x:row>
    <x:row r="4536">
      <x:c r="B4536" s="21" t="str">
        <x:v>A4530</x:v>
      </x:c>
      <x:c r="C4536" s="21" t="str">
        <x:v>milestone</x:v>
      </x:c>
      <x:c r="D4536" s="21" t="str">
        <x:v>milestone 162 evidence open</x:v>
      </x:c>
      <x:c r="E4536" s="21" t="n">
        <x:f>IF(Milestones!L162="OPEN",1,0)</x:f>
        <x:v>1</x:v>
      </x:c>
      <x:c r="F4536" s="21" t="n">
        <x:v>1</x:v>
      </x:c>
      <x:c r="G4536" s="23" t="str">
        <x:f>IF(E4536=F4536,"PASS","FAIL")</x:f>
        <x:v>PASS</x:v>
      </x:c>
    </x:row>
    <x:row r="4537">
      <x:c r="B4537" s="21" t="str">
        <x:v>A4531</x:v>
      </x:c>
      <x:c r="C4537" s="21" t="str">
        <x:v>milestone</x:v>
      </x:c>
      <x:c r="D4537" s="21" t="str">
        <x:v>milestone 162 decision held</x:v>
      </x:c>
      <x:c r="E4537" s="21" t="n">
        <x:f>IF(Milestones!M162="HOLD",1,0)</x:f>
        <x:v>1</x:v>
      </x:c>
      <x:c r="F4537" s="21" t="n">
        <x:v>1</x:v>
      </x:c>
      <x:c r="G4537" s="23" t="str">
        <x:f>IF(E4537=F4537,"PASS","FAIL")</x:f>
        <x:v>PASS</x:v>
      </x:c>
    </x:row>
    <x:row r="4538">
      <x:c r="B4538" s="21" t="str">
        <x:v>A4532</x:v>
      </x:c>
      <x:c r="C4538" s="21" t="str">
        <x:v>milestone</x:v>
      </x:c>
      <x:c r="D4538" s="21" t="str">
        <x:v>milestone 163 share positive</x:v>
      </x:c>
      <x:c r="E4538" s="21" t="n">
        <x:f>IF(Milestones!H163&gt;0,1,0)</x:f>
        <x:v>1</x:v>
      </x:c>
      <x:c r="F4538" s="21" t="n">
        <x:v>1</x:v>
      </x:c>
      <x:c r="G4538" s="23" t="str">
        <x:f>IF(E4538=F4538,"PASS","FAIL")</x:f>
        <x:v>PASS</x:v>
      </x:c>
    </x:row>
    <x:row r="4539">
      <x:c r="B4539" s="21" t="str">
        <x:v>A4533</x:v>
      </x:c>
      <x:c r="C4539" s="21" t="str">
        <x:v>milestone</x:v>
      </x:c>
      <x:c r="D4539" s="21" t="str">
        <x:v>milestone 163 year bounded</x:v>
      </x:c>
      <x:c r="E4539" s="21" t="n">
        <x:f>IF(AND(Milestones!I163&gt;=1,Milestones!I163&lt;=9),1,0)</x:f>
        <x:v>1</x:v>
      </x:c>
      <x:c r="F4539" s="21" t="n">
        <x:v>1</x:v>
      </x:c>
      <x:c r="G4539" s="23" t="str">
        <x:f>IF(E4539=F4539,"PASS","FAIL")</x:f>
        <x:v>PASS</x:v>
      </x:c>
    </x:row>
    <x:row r="4540">
      <x:c r="B4540" s="21" t="str">
        <x:v>A4534</x:v>
      </x:c>
      <x:c r="C4540" s="21" t="str">
        <x:v>milestone</x:v>
      </x:c>
      <x:c r="D4540" s="21" t="str">
        <x:v>milestone 163 payment nonnegative</x:v>
      </x:c>
      <x:c r="E4540" s="21" t="n">
        <x:f>IF(Milestones!J163&gt;=0,1,0)</x:f>
        <x:v>1</x:v>
      </x:c>
      <x:c r="F4540" s="21" t="n">
        <x:v>1</x:v>
      </x:c>
      <x:c r="G4540" s="23" t="str">
        <x:f>IF(E4540=F4540,"PASS","FAIL")</x:f>
        <x:v>PASS</x:v>
      </x:c>
    </x:row>
    <x:row r="4541">
      <x:c r="B4541" s="21" t="str">
        <x:v>A4535</x:v>
      </x:c>
      <x:c r="C4541" s="21" t="str">
        <x:v>milestone</x:v>
      </x:c>
      <x:c r="D4541" s="21" t="str">
        <x:v>milestone 163 evidence open</x:v>
      </x:c>
      <x:c r="E4541" s="21" t="n">
        <x:f>IF(Milestones!L163="OPEN",1,0)</x:f>
        <x:v>1</x:v>
      </x:c>
      <x:c r="F4541" s="21" t="n">
        <x:v>1</x:v>
      </x:c>
      <x:c r="G4541" s="23" t="str">
        <x:f>IF(E4541=F4541,"PASS","FAIL")</x:f>
        <x:v>PASS</x:v>
      </x:c>
    </x:row>
    <x:row r="4542">
      <x:c r="B4542" s="21" t="str">
        <x:v>A4536</x:v>
      </x:c>
      <x:c r="C4542" s="21" t="str">
        <x:v>milestone</x:v>
      </x:c>
      <x:c r="D4542" s="21" t="str">
        <x:v>milestone 163 decision held</x:v>
      </x:c>
      <x:c r="E4542" s="21" t="n">
        <x:f>IF(Milestones!M163="HOLD",1,0)</x:f>
        <x:v>1</x:v>
      </x:c>
      <x:c r="F4542" s="21" t="n">
        <x:v>1</x:v>
      </x:c>
      <x:c r="G4542" s="23" t="str">
        <x:f>IF(E4542=F4542,"PASS","FAIL")</x:f>
        <x:v>PASS</x:v>
      </x:c>
    </x:row>
    <x:row r="4543">
      <x:c r="B4543" s="21" t="str">
        <x:v>A4537</x:v>
      </x:c>
      <x:c r="C4543" s="21" t="str">
        <x:v>milestone</x:v>
      </x:c>
      <x:c r="D4543" s="21" t="str">
        <x:v>milestone 164 share positive</x:v>
      </x:c>
      <x:c r="E4543" s="21" t="n">
        <x:f>IF(Milestones!H164&gt;0,1,0)</x:f>
        <x:v>1</x:v>
      </x:c>
      <x:c r="F4543" s="21" t="n">
        <x:v>1</x:v>
      </x:c>
      <x:c r="G4543" s="23" t="str">
        <x:f>IF(E4543=F4543,"PASS","FAIL")</x:f>
        <x:v>PASS</x:v>
      </x:c>
    </x:row>
    <x:row r="4544">
      <x:c r="B4544" s="21" t="str">
        <x:v>A4538</x:v>
      </x:c>
      <x:c r="C4544" s="21" t="str">
        <x:v>milestone</x:v>
      </x:c>
      <x:c r="D4544" s="21" t="str">
        <x:v>milestone 164 year bounded</x:v>
      </x:c>
      <x:c r="E4544" s="21" t="n">
        <x:f>IF(AND(Milestones!I164&gt;=1,Milestones!I164&lt;=9),1,0)</x:f>
        <x:v>1</x:v>
      </x:c>
      <x:c r="F4544" s="21" t="n">
        <x:v>1</x:v>
      </x:c>
      <x:c r="G4544" s="23" t="str">
        <x:f>IF(E4544=F4544,"PASS","FAIL")</x:f>
        <x:v>PASS</x:v>
      </x:c>
    </x:row>
    <x:row r="4545">
      <x:c r="B4545" s="21" t="str">
        <x:v>A4539</x:v>
      </x:c>
      <x:c r="C4545" s="21" t="str">
        <x:v>milestone</x:v>
      </x:c>
      <x:c r="D4545" s="21" t="str">
        <x:v>milestone 164 payment nonnegative</x:v>
      </x:c>
      <x:c r="E4545" s="21" t="n">
        <x:f>IF(Milestones!J164&gt;=0,1,0)</x:f>
        <x:v>1</x:v>
      </x:c>
      <x:c r="F4545" s="21" t="n">
        <x:v>1</x:v>
      </x:c>
      <x:c r="G4545" s="23" t="str">
        <x:f>IF(E4545=F4545,"PASS","FAIL")</x:f>
        <x:v>PASS</x:v>
      </x:c>
    </x:row>
    <x:row r="4546">
      <x:c r="B4546" s="21" t="str">
        <x:v>A4540</x:v>
      </x:c>
      <x:c r="C4546" s="21" t="str">
        <x:v>milestone</x:v>
      </x:c>
      <x:c r="D4546" s="21" t="str">
        <x:v>milestone 164 evidence open</x:v>
      </x:c>
      <x:c r="E4546" s="21" t="n">
        <x:f>IF(Milestones!L164="OPEN",1,0)</x:f>
        <x:v>1</x:v>
      </x:c>
      <x:c r="F4546" s="21" t="n">
        <x:v>1</x:v>
      </x:c>
      <x:c r="G4546" s="23" t="str">
        <x:f>IF(E4546=F4546,"PASS","FAIL")</x:f>
        <x:v>PASS</x:v>
      </x:c>
    </x:row>
    <x:row r="4547">
      <x:c r="B4547" s="21" t="str">
        <x:v>A4541</x:v>
      </x:c>
      <x:c r="C4547" s="21" t="str">
        <x:v>milestone</x:v>
      </x:c>
      <x:c r="D4547" s="21" t="str">
        <x:v>milestone 164 decision held</x:v>
      </x:c>
      <x:c r="E4547" s="21" t="n">
        <x:f>IF(Milestones!M164="HOLD",1,0)</x:f>
        <x:v>1</x:v>
      </x:c>
      <x:c r="F4547" s="21" t="n">
        <x:v>1</x:v>
      </x:c>
      <x:c r="G4547" s="23" t="str">
        <x:f>IF(E4547=F4547,"PASS","FAIL")</x:f>
        <x:v>PASS</x:v>
      </x:c>
    </x:row>
    <x:row r="4548">
      <x:c r="B4548" s="21" t="str">
        <x:v>A4542</x:v>
      </x:c>
      <x:c r="C4548" s="21" t="str">
        <x:v>milestone</x:v>
      </x:c>
      <x:c r="D4548" s="21" t="str">
        <x:v>milestone 165 share positive</x:v>
      </x:c>
      <x:c r="E4548" s="21" t="n">
        <x:f>IF(Milestones!H165&gt;0,1,0)</x:f>
        <x:v>1</x:v>
      </x:c>
      <x:c r="F4548" s="21" t="n">
        <x:v>1</x:v>
      </x:c>
      <x:c r="G4548" s="23" t="str">
        <x:f>IF(E4548=F4548,"PASS","FAIL")</x:f>
        <x:v>PASS</x:v>
      </x:c>
    </x:row>
    <x:row r="4549">
      <x:c r="B4549" s="21" t="str">
        <x:v>A4543</x:v>
      </x:c>
      <x:c r="C4549" s="21" t="str">
        <x:v>milestone</x:v>
      </x:c>
      <x:c r="D4549" s="21" t="str">
        <x:v>milestone 165 year bounded</x:v>
      </x:c>
      <x:c r="E4549" s="21" t="n">
        <x:f>IF(AND(Milestones!I165&gt;=1,Milestones!I165&lt;=9),1,0)</x:f>
        <x:v>1</x:v>
      </x:c>
      <x:c r="F4549" s="21" t="n">
        <x:v>1</x:v>
      </x:c>
      <x:c r="G4549" s="23" t="str">
        <x:f>IF(E4549=F4549,"PASS","FAIL")</x:f>
        <x:v>PASS</x:v>
      </x:c>
    </x:row>
    <x:row r="4550">
      <x:c r="B4550" s="21" t="str">
        <x:v>A4544</x:v>
      </x:c>
      <x:c r="C4550" s="21" t="str">
        <x:v>milestone</x:v>
      </x:c>
      <x:c r="D4550" s="21" t="str">
        <x:v>milestone 165 payment nonnegative</x:v>
      </x:c>
      <x:c r="E4550" s="21" t="n">
        <x:f>IF(Milestones!J165&gt;=0,1,0)</x:f>
        <x:v>1</x:v>
      </x:c>
      <x:c r="F4550" s="21" t="n">
        <x:v>1</x:v>
      </x:c>
      <x:c r="G4550" s="23" t="str">
        <x:f>IF(E4550=F4550,"PASS","FAIL")</x:f>
        <x:v>PASS</x:v>
      </x:c>
    </x:row>
    <x:row r="4551">
      <x:c r="B4551" s="21" t="str">
        <x:v>A4545</x:v>
      </x:c>
      <x:c r="C4551" s="21" t="str">
        <x:v>milestone</x:v>
      </x:c>
      <x:c r="D4551" s="21" t="str">
        <x:v>milestone 165 evidence open</x:v>
      </x:c>
      <x:c r="E4551" s="21" t="n">
        <x:f>IF(Milestones!L165="OPEN",1,0)</x:f>
        <x:v>1</x:v>
      </x:c>
      <x:c r="F4551" s="21" t="n">
        <x:v>1</x:v>
      </x:c>
      <x:c r="G4551" s="23" t="str">
        <x:f>IF(E4551=F4551,"PASS","FAIL")</x:f>
        <x:v>PASS</x:v>
      </x:c>
    </x:row>
    <x:row r="4552">
      <x:c r="B4552" s="21" t="str">
        <x:v>A4546</x:v>
      </x:c>
      <x:c r="C4552" s="21" t="str">
        <x:v>milestone</x:v>
      </x:c>
      <x:c r="D4552" s="21" t="str">
        <x:v>milestone 165 decision held</x:v>
      </x:c>
      <x:c r="E4552" s="21" t="n">
        <x:f>IF(Milestones!M165="HOLD",1,0)</x:f>
        <x:v>1</x:v>
      </x:c>
      <x:c r="F4552" s="21" t="n">
        <x:v>1</x:v>
      </x:c>
      <x:c r="G4552" s="23" t="str">
        <x:f>IF(E4552=F4552,"PASS","FAIL")</x:f>
        <x:v>PASS</x:v>
      </x:c>
    </x:row>
    <x:row r="4553">
      <x:c r="B4553" s="21" t="str">
        <x:v>A4547</x:v>
      </x:c>
      <x:c r="C4553" s="21" t="str">
        <x:v>milestone</x:v>
      </x:c>
      <x:c r="D4553" s="21" t="str">
        <x:v>milestone 166 share positive</x:v>
      </x:c>
      <x:c r="E4553" s="21" t="n">
        <x:f>IF(Milestones!H166&gt;0,1,0)</x:f>
        <x:v>1</x:v>
      </x:c>
      <x:c r="F4553" s="21" t="n">
        <x:v>1</x:v>
      </x:c>
      <x:c r="G4553" s="23" t="str">
        <x:f>IF(E4553=F4553,"PASS","FAIL")</x:f>
        <x:v>PASS</x:v>
      </x:c>
    </x:row>
    <x:row r="4554">
      <x:c r="B4554" s="21" t="str">
        <x:v>A4548</x:v>
      </x:c>
      <x:c r="C4554" s="21" t="str">
        <x:v>milestone</x:v>
      </x:c>
      <x:c r="D4554" s="21" t="str">
        <x:v>milestone 166 year bounded</x:v>
      </x:c>
      <x:c r="E4554" s="21" t="n">
        <x:f>IF(AND(Milestones!I166&gt;=1,Milestones!I166&lt;=9),1,0)</x:f>
        <x:v>1</x:v>
      </x:c>
      <x:c r="F4554" s="21" t="n">
        <x:v>1</x:v>
      </x:c>
      <x:c r="G4554" s="23" t="str">
        <x:f>IF(E4554=F4554,"PASS","FAIL")</x:f>
        <x:v>PASS</x:v>
      </x:c>
    </x:row>
    <x:row r="4555">
      <x:c r="B4555" s="21" t="str">
        <x:v>A4549</x:v>
      </x:c>
      <x:c r="C4555" s="21" t="str">
        <x:v>milestone</x:v>
      </x:c>
      <x:c r="D4555" s="21" t="str">
        <x:v>milestone 166 payment nonnegative</x:v>
      </x:c>
      <x:c r="E4555" s="21" t="n">
        <x:f>IF(Milestones!J166&gt;=0,1,0)</x:f>
        <x:v>1</x:v>
      </x:c>
      <x:c r="F4555" s="21" t="n">
        <x:v>1</x:v>
      </x:c>
      <x:c r="G4555" s="23" t="str">
        <x:f>IF(E4555=F4555,"PASS","FAIL")</x:f>
        <x:v>PASS</x:v>
      </x:c>
    </x:row>
    <x:row r="4556">
      <x:c r="B4556" s="21" t="str">
        <x:v>A4550</x:v>
      </x:c>
      <x:c r="C4556" s="21" t="str">
        <x:v>milestone</x:v>
      </x:c>
      <x:c r="D4556" s="21" t="str">
        <x:v>milestone 166 evidence open</x:v>
      </x:c>
      <x:c r="E4556" s="21" t="n">
        <x:f>IF(Milestones!L166="OPEN",1,0)</x:f>
        <x:v>1</x:v>
      </x:c>
      <x:c r="F4556" s="21" t="n">
        <x:v>1</x:v>
      </x:c>
      <x:c r="G4556" s="23" t="str">
        <x:f>IF(E4556=F4556,"PASS","FAIL")</x:f>
        <x:v>PASS</x:v>
      </x:c>
    </x:row>
    <x:row r="4557">
      <x:c r="B4557" s="21" t="str">
        <x:v>A4551</x:v>
      </x:c>
      <x:c r="C4557" s="21" t="str">
        <x:v>milestone</x:v>
      </x:c>
      <x:c r="D4557" s="21" t="str">
        <x:v>milestone 166 decision held</x:v>
      </x:c>
      <x:c r="E4557" s="21" t="n">
        <x:f>IF(Milestones!M166="HOLD",1,0)</x:f>
        <x:v>1</x:v>
      </x:c>
      <x:c r="F4557" s="21" t="n">
        <x:v>1</x:v>
      </x:c>
      <x:c r="G4557" s="23" t="str">
        <x:f>IF(E4557=F4557,"PASS","FAIL")</x:f>
        <x:v>PASS</x:v>
      </x:c>
    </x:row>
    <x:row r="4558">
      <x:c r="B4558" s="21" t="str">
        <x:v>A4552</x:v>
      </x:c>
      <x:c r="C4558" s="21" t="str">
        <x:v>milestone</x:v>
      </x:c>
      <x:c r="D4558" s="21" t="str">
        <x:v>milestone 167 share positive</x:v>
      </x:c>
      <x:c r="E4558" s="21" t="n">
        <x:f>IF(Milestones!H167&gt;0,1,0)</x:f>
        <x:v>1</x:v>
      </x:c>
      <x:c r="F4558" s="21" t="n">
        <x:v>1</x:v>
      </x:c>
      <x:c r="G4558" s="23" t="str">
        <x:f>IF(E4558=F4558,"PASS","FAIL")</x:f>
        <x:v>PASS</x:v>
      </x:c>
    </x:row>
    <x:row r="4559">
      <x:c r="B4559" s="21" t="str">
        <x:v>A4553</x:v>
      </x:c>
      <x:c r="C4559" s="21" t="str">
        <x:v>milestone</x:v>
      </x:c>
      <x:c r="D4559" s="21" t="str">
        <x:v>milestone 167 year bounded</x:v>
      </x:c>
      <x:c r="E4559" s="21" t="n">
        <x:f>IF(AND(Milestones!I167&gt;=1,Milestones!I167&lt;=9),1,0)</x:f>
        <x:v>1</x:v>
      </x:c>
      <x:c r="F4559" s="21" t="n">
        <x:v>1</x:v>
      </x:c>
      <x:c r="G4559" s="23" t="str">
        <x:f>IF(E4559=F4559,"PASS","FAIL")</x:f>
        <x:v>PASS</x:v>
      </x:c>
    </x:row>
    <x:row r="4560">
      <x:c r="B4560" s="21" t="str">
        <x:v>A4554</x:v>
      </x:c>
      <x:c r="C4560" s="21" t="str">
        <x:v>milestone</x:v>
      </x:c>
      <x:c r="D4560" s="21" t="str">
        <x:v>milestone 167 payment nonnegative</x:v>
      </x:c>
      <x:c r="E4560" s="21" t="n">
        <x:f>IF(Milestones!J167&gt;=0,1,0)</x:f>
        <x:v>1</x:v>
      </x:c>
      <x:c r="F4560" s="21" t="n">
        <x:v>1</x:v>
      </x:c>
      <x:c r="G4560" s="23" t="str">
        <x:f>IF(E4560=F4560,"PASS","FAIL")</x:f>
        <x:v>PASS</x:v>
      </x:c>
    </x:row>
    <x:row r="4561">
      <x:c r="B4561" s="21" t="str">
        <x:v>A4555</x:v>
      </x:c>
      <x:c r="C4561" s="21" t="str">
        <x:v>milestone</x:v>
      </x:c>
      <x:c r="D4561" s="21" t="str">
        <x:v>milestone 167 evidence open</x:v>
      </x:c>
      <x:c r="E4561" s="21" t="n">
        <x:f>IF(Milestones!L167="OPEN",1,0)</x:f>
        <x:v>1</x:v>
      </x:c>
      <x:c r="F4561" s="21" t="n">
        <x:v>1</x:v>
      </x:c>
      <x:c r="G4561" s="23" t="str">
        <x:f>IF(E4561=F4561,"PASS","FAIL")</x:f>
        <x:v>PASS</x:v>
      </x:c>
    </x:row>
    <x:row r="4562">
      <x:c r="B4562" s="21" t="str">
        <x:v>A4556</x:v>
      </x:c>
      <x:c r="C4562" s="21" t="str">
        <x:v>milestone</x:v>
      </x:c>
      <x:c r="D4562" s="21" t="str">
        <x:v>milestone 167 decision held</x:v>
      </x:c>
      <x:c r="E4562" s="21" t="n">
        <x:f>IF(Milestones!M167="HOLD",1,0)</x:f>
        <x:v>1</x:v>
      </x:c>
      <x:c r="F4562" s="21" t="n">
        <x:v>1</x:v>
      </x:c>
      <x:c r="G4562" s="23" t="str">
        <x:f>IF(E4562=F4562,"PASS","FAIL")</x:f>
        <x:v>PASS</x:v>
      </x:c>
    </x:row>
    <x:row r="4563">
      <x:c r="B4563" s="21" t="str">
        <x:v>A4557</x:v>
      </x:c>
      <x:c r="C4563" s="21" t="str">
        <x:v>milestone</x:v>
      </x:c>
      <x:c r="D4563" s="21" t="str">
        <x:v>milestone 168 share positive</x:v>
      </x:c>
      <x:c r="E4563" s="21" t="n">
        <x:f>IF(Milestones!H168&gt;0,1,0)</x:f>
        <x:v>1</x:v>
      </x:c>
      <x:c r="F4563" s="21" t="n">
        <x:v>1</x:v>
      </x:c>
      <x:c r="G4563" s="23" t="str">
        <x:f>IF(E4563=F4563,"PASS","FAIL")</x:f>
        <x:v>PASS</x:v>
      </x:c>
    </x:row>
    <x:row r="4564">
      <x:c r="B4564" s="21" t="str">
        <x:v>A4558</x:v>
      </x:c>
      <x:c r="C4564" s="21" t="str">
        <x:v>milestone</x:v>
      </x:c>
      <x:c r="D4564" s="21" t="str">
        <x:v>milestone 168 year bounded</x:v>
      </x:c>
      <x:c r="E4564" s="21" t="n">
        <x:f>IF(AND(Milestones!I168&gt;=1,Milestones!I168&lt;=9),1,0)</x:f>
        <x:v>1</x:v>
      </x:c>
      <x:c r="F4564" s="21" t="n">
        <x:v>1</x:v>
      </x:c>
      <x:c r="G4564" s="23" t="str">
        <x:f>IF(E4564=F4564,"PASS","FAIL")</x:f>
        <x:v>PASS</x:v>
      </x:c>
    </x:row>
    <x:row r="4565">
      <x:c r="B4565" s="21" t="str">
        <x:v>A4559</x:v>
      </x:c>
      <x:c r="C4565" s="21" t="str">
        <x:v>milestone</x:v>
      </x:c>
      <x:c r="D4565" s="21" t="str">
        <x:v>milestone 168 payment nonnegative</x:v>
      </x:c>
      <x:c r="E4565" s="21" t="n">
        <x:f>IF(Milestones!J168&gt;=0,1,0)</x:f>
        <x:v>1</x:v>
      </x:c>
      <x:c r="F4565" s="21" t="n">
        <x:v>1</x:v>
      </x:c>
      <x:c r="G4565" s="23" t="str">
        <x:f>IF(E4565=F4565,"PASS","FAIL")</x:f>
        <x:v>PASS</x:v>
      </x:c>
    </x:row>
    <x:row r="4566">
      <x:c r="B4566" s="21" t="str">
        <x:v>A4560</x:v>
      </x:c>
      <x:c r="C4566" s="21" t="str">
        <x:v>milestone</x:v>
      </x:c>
      <x:c r="D4566" s="21" t="str">
        <x:v>milestone 168 evidence open</x:v>
      </x:c>
      <x:c r="E4566" s="21" t="n">
        <x:f>IF(Milestones!L168="OPEN",1,0)</x:f>
        <x:v>1</x:v>
      </x:c>
      <x:c r="F4566" s="21" t="n">
        <x:v>1</x:v>
      </x:c>
      <x:c r="G4566" s="23" t="str">
        <x:f>IF(E4566=F4566,"PASS","FAIL")</x:f>
        <x:v>PASS</x:v>
      </x:c>
    </x:row>
    <x:row r="4567">
      <x:c r="B4567" s="21" t="str">
        <x:v>A4561</x:v>
      </x:c>
      <x:c r="C4567" s="21" t="str">
        <x:v>milestone</x:v>
      </x:c>
      <x:c r="D4567" s="21" t="str">
        <x:v>milestone 168 decision held</x:v>
      </x:c>
      <x:c r="E4567" s="21" t="n">
        <x:f>IF(Milestones!M168="HOLD",1,0)</x:f>
        <x:v>1</x:v>
      </x:c>
      <x:c r="F4567" s="21" t="n">
        <x:v>1</x:v>
      </x:c>
      <x:c r="G4567" s="23" t="str">
        <x:f>IF(E4567=F4567,"PASS","FAIL")</x:f>
        <x:v>PASS</x:v>
      </x:c>
    </x:row>
    <x:row r="4568">
      <x:c r="B4568" s="21" t="str">
        <x:v>A4562</x:v>
      </x:c>
      <x:c r="C4568" s="21" t="str">
        <x:v>milestone</x:v>
      </x:c>
      <x:c r="D4568" s="21" t="str">
        <x:v>milestone 169 share positive</x:v>
      </x:c>
      <x:c r="E4568" s="21" t="n">
        <x:f>IF(Milestones!H169&gt;0,1,0)</x:f>
        <x:v>1</x:v>
      </x:c>
      <x:c r="F4568" s="21" t="n">
        <x:v>1</x:v>
      </x:c>
      <x:c r="G4568" s="23" t="str">
        <x:f>IF(E4568=F4568,"PASS","FAIL")</x:f>
        <x:v>PASS</x:v>
      </x:c>
    </x:row>
    <x:row r="4569">
      <x:c r="B4569" s="21" t="str">
        <x:v>A4563</x:v>
      </x:c>
      <x:c r="C4569" s="21" t="str">
        <x:v>milestone</x:v>
      </x:c>
      <x:c r="D4569" s="21" t="str">
        <x:v>milestone 169 year bounded</x:v>
      </x:c>
      <x:c r="E4569" s="21" t="n">
        <x:f>IF(AND(Milestones!I169&gt;=1,Milestones!I169&lt;=9),1,0)</x:f>
        <x:v>1</x:v>
      </x:c>
      <x:c r="F4569" s="21" t="n">
        <x:v>1</x:v>
      </x:c>
      <x:c r="G4569" s="23" t="str">
        <x:f>IF(E4569=F4569,"PASS","FAIL")</x:f>
        <x:v>PASS</x:v>
      </x:c>
    </x:row>
    <x:row r="4570">
      <x:c r="B4570" s="21" t="str">
        <x:v>A4564</x:v>
      </x:c>
      <x:c r="C4570" s="21" t="str">
        <x:v>milestone</x:v>
      </x:c>
      <x:c r="D4570" s="21" t="str">
        <x:v>milestone 169 payment nonnegative</x:v>
      </x:c>
      <x:c r="E4570" s="21" t="n">
        <x:f>IF(Milestones!J169&gt;=0,1,0)</x:f>
        <x:v>1</x:v>
      </x:c>
      <x:c r="F4570" s="21" t="n">
        <x:v>1</x:v>
      </x:c>
      <x:c r="G4570" s="23" t="str">
        <x:f>IF(E4570=F4570,"PASS","FAIL")</x:f>
        <x:v>PASS</x:v>
      </x:c>
    </x:row>
    <x:row r="4571">
      <x:c r="B4571" s="21" t="str">
        <x:v>A4565</x:v>
      </x:c>
      <x:c r="C4571" s="21" t="str">
        <x:v>milestone</x:v>
      </x:c>
      <x:c r="D4571" s="21" t="str">
        <x:v>milestone 169 evidence open</x:v>
      </x:c>
      <x:c r="E4571" s="21" t="n">
        <x:f>IF(Milestones!L169="OPEN",1,0)</x:f>
        <x:v>1</x:v>
      </x:c>
      <x:c r="F4571" s="21" t="n">
        <x:v>1</x:v>
      </x:c>
      <x:c r="G4571" s="23" t="str">
        <x:f>IF(E4571=F4571,"PASS","FAIL")</x:f>
        <x:v>PASS</x:v>
      </x:c>
    </x:row>
    <x:row r="4572">
      <x:c r="B4572" s="21" t="str">
        <x:v>A4566</x:v>
      </x:c>
      <x:c r="C4572" s="21" t="str">
        <x:v>milestone</x:v>
      </x:c>
      <x:c r="D4572" s="21" t="str">
        <x:v>milestone 169 decision held</x:v>
      </x:c>
      <x:c r="E4572" s="21" t="n">
        <x:f>IF(Milestones!M169="HOLD",1,0)</x:f>
        <x:v>1</x:v>
      </x:c>
      <x:c r="F4572" s="21" t="n">
        <x:v>1</x:v>
      </x:c>
      <x:c r="G4572" s="23" t="str">
        <x:f>IF(E4572=F4572,"PASS","FAIL")</x:f>
        <x:v>PASS</x:v>
      </x:c>
    </x:row>
    <x:row r="4573">
      <x:c r="B4573" s="21" t="str">
        <x:v>A4567</x:v>
      </x:c>
      <x:c r="C4573" s="21" t="str">
        <x:v>milestone</x:v>
      </x:c>
      <x:c r="D4573" s="21" t="str">
        <x:v>milestone 170 share positive</x:v>
      </x:c>
      <x:c r="E4573" s="21" t="n">
        <x:f>IF(Milestones!H170&gt;0,1,0)</x:f>
        <x:v>1</x:v>
      </x:c>
      <x:c r="F4573" s="21" t="n">
        <x:v>1</x:v>
      </x:c>
      <x:c r="G4573" s="23" t="str">
        <x:f>IF(E4573=F4573,"PASS","FAIL")</x:f>
        <x:v>PASS</x:v>
      </x:c>
    </x:row>
    <x:row r="4574">
      <x:c r="B4574" s="21" t="str">
        <x:v>A4568</x:v>
      </x:c>
      <x:c r="C4574" s="21" t="str">
        <x:v>milestone</x:v>
      </x:c>
      <x:c r="D4574" s="21" t="str">
        <x:v>milestone 170 year bounded</x:v>
      </x:c>
      <x:c r="E4574" s="21" t="n">
        <x:f>IF(AND(Milestones!I170&gt;=1,Milestones!I170&lt;=9),1,0)</x:f>
        <x:v>1</x:v>
      </x:c>
      <x:c r="F4574" s="21" t="n">
        <x:v>1</x:v>
      </x:c>
      <x:c r="G4574" s="23" t="str">
        <x:f>IF(E4574=F4574,"PASS","FAIL")</x:f>
        <x:v>PASS</x:v>
      </x:c>
    </x:row>
    <x:row r="4575">
      <x:c r="B4575" s="21" t="str">
        <x:v>A4569</x:v>
      </x:c>
      <x:c r="C4575" s="21" t="str">
        <x:v>milestone</x:v>
      </x:c>
      <x:c r="D4575" s="21" t="str">
        <x:v>milestone 170 payment nonnegative</x:v>
      </x:c>
      <x:c r="E4575" s="21" t="n">
        <x:f>IF(Milestones!J170&gt;=0,1,0)</x:f>
        <x:v>1</x:v>
      </x:c>
      <x:c r="F4575" s="21" t="n">
        <x:v>1</x:v>
      </x:c>
      <x:c r="G4575" s="23" t="str">
        <x:f>IF(E4575=F4575,"PASS","FAIL")</x:f>
        <x:v>PASS</x:v>
      </x:c>
    </x:row>
    <x:row r="4576">
      <x:c r="B4576" s="21" t="str">
        <x:v>A4570</x:v>
      </x:c>
      <x:c r="C4576" s="21" t="str">
        <x:v>milestone</x:v>
      </x:c>
      <x:c r="D4576" s="21" t="str">
        <x:v>milestone 170 evidence open</x:v>
      </x:c>
      <x:c r="E4576" s="21" t="n">
        <x:f>IF(Milestones!L170="OPEN",1,0)</x:f>
        <x:v>1</x:v>
      </x:c>
      <x:c r="F4576" s="21" t="n">
        <x:v>1</x:v>
      </x:c>
      <x:c r="G4576" s="23" t="str">
        <x:f>IF(E4576=F4576,"PASS","FAIL")</x:f>
        <x:v>PASS</x:v>
      </x:c>
    </x:row>
    <x:row r="4577">
      <x:c r="B4577" s="21" t="str">
        <x:v>A4571</x:v>
      </x:c>
      <x:c r="C4577" s="21" t="str">
        <x:v>milestone</x:v>
      </x:c>
      <x:c r="D4577" s="21" t="str">
        <x:v>milestone 170 decision held</x:v>
      </x:c>
      <x:c r="E4577" s="21" t="n">
        <x:f>IF(Milestones!M170="HOLD",1,0)</x:f>
        <x:v>1</x:v>
      </x:c>
      <x:c r="F4577" s="21" t="n">
        <x:v>1</x:v>
      </x:c>
      <x:c r="G4577" s="23" t="str">
        <x:f>IF(E4577=F4577,"PASS","FAIL")</x:f>
        <x:v>PASS</x:v>
      </x:c>
    </x:row>
    <x:row r="4578">
      <x:c r="B4578" s="21" t="str">
        <x:v>A4572</x:v>
      </x:c>
      <x:c r="C4578" s="21" t="str">
        <x:v>milestone</x:v>
      </x:c>
      <x:c r="D4578" s="21" t="str">
        <x:v>milestone 171 share positive</x:v>
      </x:c>
      <x:c r="E4578" s="21" t="n">
        <x:f>IF(Milestones!H171&gt;0,1,0)</x:f>
        <x:v>1</x:v>
      </x:c>
      <x:c r="F4578" s="21" t="n">
        <x:v>1</x:v>
      </x:c>
      <x:c r="G4578" s="23" t="str">
        <x:f>IF(E4578=F4578,"PASS","FAIL")</x:f>
        <x:v>PASS</x:v>
      </x:c>
    </x:row>
    <x:row r="4579">
      <x:c r="B4579" s="21" t="str">
        <x:v>A4573</x:v>
      </x:c>
      <x:c r="C4579" s="21" t="str">
        <x:v>milestone</x:v>
      </x:c>
      <x:c r="D4579" s="21" t="str">
        <x:v>milestone 171 year bounded</x:v>
      </x:c>
      <x:c r="E4579" s="21" t="n">
        <x:f>IF(AND(Milestones!I171&gt;=1,Milestones!I171&lt;=9),1,0)</x:f>
        <x:v>1</x:v>
      </x:c>
      <x:c r="F4579" s="21" t="n">
        <x:v>1</x:v>
      </x:c>
      <x:c r="G4579" s="23" t="str">
        <x:f>IF(E4579=F4579,"PASS","FAIL")</x:f>
        <x:v>PASS</x:v>
      </x:c>
    </x:row>
    <x:row r="4580">
      <x:c r="B4580" s="21" t="str">
        <x:v>A4574</x:v>
      </x:c>
      <x:c r="C4580" s="21" t="str">
        <x:v>milestone</x:v>
      </x:c>
      <x:c r="D4580" s="21" t="str">
        <x:v>milestone 171 payment nonnegative</x:v>
      </x:c>
      <x:c r="E4580" s="21" t="n">
        <x:f>IF(Milestones!J171&gt;=0,1,0)</x:f>
        <x:v>1</x:v>
      </x:c>
      <x:c r="F4580" s="21" t="n">
        <x:v>1</x:v>
      </x:c>
      <x:c r="G4580" s="23" t="str">
        <x:f>IF(E4580=F4580,"PASS","FAIL")</x:f>
        <x:v>PASS</x:v>
      </x:c>
    </x:row>
    <x:row r="4581">
      <x:c r="B4581" s="21" t="str">
        <x:v>A4575</x:v>
      </x:c>
      <x:c r="C4581" s="21" t="str">
        <x:v>milestone</x:v>
      </x:c>
      <x:c r="D4581" s="21" t="str">
        <x:v>milestone 171 evidence open</x:v>
      </x:c>
      <x:c r="E4581" s="21" t="n">
        <x:f>IF(Milestones!L171="OPEN",1,0)</x:f>
        <x:v>1</x:v>
      </x:c>
      <x:c r="F4581" s="21" t="n">
        <x:v>1</x:v>
      </x:c>
      <x:c r="G4581" s="23" t="str">
        <x:f>IF(E4581=F4581,"PASS","FAIL")</x:f>
        <x:v>PASS</x:v>
      </x:c>
    </x:row>
    <x:row r="4582">
      <x:c r="B4582" s="21" t="str">
        <x:v>A4576</x:v>
      </x:c>
      <x:c r="C4582" s="21" t="str">
        <x:v>milestone</x:v>
      </x:c>
      <x:c r="D4582" s="21" t="str">
        <x:v>milestone 171 decision held</x:v>
      </x:c>
      <x:c r="E4582" s="21" t="n">
        <x:f>IF(Milestones!M171="HOLD",1,0)</x:f>
        <x:v>1</x:v>
      </x:c>
      <x:c r="F4582" s="21" t="n">
        <x:v>1</x:v>
      </x:c>
      <x:c r="G4582" s="23" t="str">
        <x:f>IF(E4582=F4582,"PASS","FAIL")</x:f>
        <x:v>PASS</x:v>
      </x:c>
    </x:row>
    <x:row r="4583">
      <x:c r="B4583" s="21" t="str">
        <x:v>A4577</x:v>
      </x:c>
      <x:c r="C4583" s="21" t="str">
        <x:v>milestone</x:v>
      </x:c>
      <x:c r="D4583" s="21" t="str">
        <x:v>ATC-A01-A milestone shares sum one</x:v>
      </x:c>
      <x:c r="E4583" s="21" t="n">
        <x:f>SUMIF(Milestones!C7:C171,"ATC-A01-A",Milestones!H7:H171)</x:f>
        <x:v>1</x:v>
      </x:c>
      <x:c r="F4583" s="21" t="n">
        <x:v>1</x:v>
      </x:c>
      <x:c r="G4583" s="23" t="str">
        <x:f>IF(E4583=F4583,"PASS","FAIL")</x:f>
        <x:v>PASS</x:v>
      </x:c>
    </x:row>
    <x:row r="4584">
      <x:c r="B4584" s="21" t="str">
        <x:v>A4578</x:v>
      </x:c>
      <x:c r="C4584" s="21" t="str">
        <x:v>milestone</x:v>
      </x:c>
      <x:c r="D4584" s="21" t="str">
        <x:v>ATC-A01-B milestone shares sum one</x:v>
      </x:c>
      <x:c r="E4584" s="21" t="n">
        <x:f>SUMIF(Milestones!C7:C171,"ATC-A01-B",Milestones!H7:H171)</x:f>
        <x:v>1</x:v>
      </x:c>
      <x:c r="F4584" s="21" t="n">
        <x:v>1</x:v>
      </x:c>
      <x:c r="G4584" s="23" t="str">
        <x:f>IF(E4584=F4584,"PASS","FAIL")</x:f>
        <x:v>PASS</x:v>
      </x:c>
    </x:row>
    <x:row r="4585">
      <x:c r="B4585" s="21" t="str">
        <x:v>A4579</x:v>
      </x:c>
      <x:c r="C4585" s="21" t="str">
        <x:v>milestone</x:v>
      </x:c>
      <x:c r="D4585" s="21" t="str">
        <x:v>ATC-A01-C milestone shares sum one</x:v>
      </x:c>
      <x:c r="E4585" s="21" t="n">
        <x:f>SUMIF(Milestones!C7:C171,"ATC-A01-C",Milestones!H7:H171)</x:f>
        <x:v>1</x:v>
      </x:c>
      <x:c r="F4585" s="21" t="n">
        <x:v>1</x:v>
      </x:c>
      <x:c r="G4585" s="23" t="str">
        <x:f>IF(E4585=F4585,"PASS","FAIL")</x:f>
        <x:v>PASS</x:v>
      </x:c>
    </x:row>
    <x:row r="4586">
      <x:c r="B4586" s="21" t="str">
        <x:v>A4580</x:v>
      </x:c>
      <x:c r="C4586" s="21" t="str">
        <x:v>milestone</x:v>
      </x:c>
      <x:c r="D4586" s="21" t="str">
        <x:v>TTC-T01-A milestone shares sum one</x:v>
      </x:c>
      <x:c r="E4586" s="21" t="n">
        <x:f>SUMIF(Milestones!C7:C171,"TTC-T01-A",Milestones!H7:H171)</x:f>
        <x:v>1</x:v>
      </x:c>
      <x:c r="F4586" s="21" t="n">
        <x:v>1</x:v>
      </x:c>
      <x:c r="G4586" s="23" t="str">
        <x:f>IF(E4586=F4586,"PASS","FAIL")</x:f>
        <x:v>PASS</x:v>
      </x:c>
    </x:row>
    <x:row r="4587">
      <x:c r="B4587" s="21" t="str">
        <x:v>A4581</x:v>
      </x:c>
      <x:c r="C4587" s="21" t="str">
        <x:v>milestone</x:v>
      </x:c>
      <x:c r="D4587" s="21" t="str">
        <x:v>TTC-T01-B milestone shares sum one</x:v>
      </x:c>
      <x:c r="E4587" s="21" t="n">
        <x:f>SUMIF(Milestones!C7:C171,"TTC-T01-B",Milestones!H7:H171)</x:f>
        <x:v>1</x:v>
      </x:c>
      <x:c r="F4587" s="21" t="n">
        <x:v>1</x:v>
      </x:c>
      <x:c r="G4587" s="23" t="str">
        <x:f>IF(E4587=F4587,"PASS","FAIL")</x:f>
        <x:v>PASS</x:v>
      </x:c>
    </x:row>
    <x:row r="4588">
      <x:c r="B4588" s="21" t="str">
        <x:v>A4582</x:v>
      </x:c>
      <x:c r="C4588" s="21" t="str">
        <x:v>milestone</x:v>
      </x:c>
      <x:c r="D4588" s="21" t="str">
        <x:v>TTC-T01-C milestone shares sum one</x:v>
      </x:c>
      <x:c r="E4588" s="21" t="n">
        <x:f>SUMIF(Milestones!C7:C171,"TTC-T01-C",Milestones!H7:H171)</x:f>
        <x:v>1</x:v>
      </x:c>
      <x:c r="F4588" s="21" t="n">
        <x:v>1</x:v>
      </x:c>
      <x:c r="G4588" s="23" t="str">
        <x:f>IF(E4588=F4588,"PASS","FAIL")</x:f>
        <x:v>PASS</x:v>
      </x:c>
    </x:row>
    <x:row r="4589">
      <x:c r="B4589" s="21" t="str">
        <x:v>A4583</x:v>
      </x:c>
      <x:c r="C4589" s="21" t="str">
        <x:v>milestone</x:v>
      </x:c>
      <x:c r="D4589" s="21" t="str">
        <x:v>ACN-A01-A milestone shares sum one</x:v>
      </x:c>
      <x:c r="E4589" s="21" t="n">
        <x:f>SUMIF(Milestones!C7:C171,"ACN-A01-A",Milestones!H7:H171)</x:f>
        <x:v>1</x:v>
      </x:c>
      <x:c r="F4589" s="21" t="n">
        <x:v>1</x:v>
      </x:c>
      <x:c r="G4589" s="23" t="str">
        <x:f>IF(E4589=F4589,"PASS","FAIL")</x:f>
        <x:v>PASS</x:v>
      </x:c>
    </x:row>
    <x:row r="4590">
      <x:c r="B4590" s="21" t="str">
        <x:v>A4584</x:v>
      </x:c>
      <x:c r="C4590" s="21" t="str">
        <x:v>milestone</x:v>
      </x:c>
      <x:c r="D4590" s="21" t="str">
        <x:v>ACN-A01-B milestone shares sum one</x:v>
      </x:c>
      <x:c r="E4590" s="21" t="n">
        <x:f>SUMIF(Milestones!C7:C171,"ACN-A01-B",Milestones!H7:H171)</x:f>
        <x:v>1</x:v>
      </x:c>
      <x:c r="F4590" s="21" t="n">
        <x:v>1</x:v>
      </x:c>
      <x:c r="G4590" s="23" t="str">
        <x:f>IF(E4590=F4590,"PASS","FAIL")</x:f>
        <x:v>PASS</x:v>
      </x:c>
    </x:row>
    <x:row r="4591">
      <x:c r="B4591" s="21" t="str">
        <x:v>A4585</x:v>
      </x:c>
      <x:c r="C4591" s="21" t="str">
        <x:v>milestone</x:v>
      </x:c>
      <x:c r="D4591" s="21" t="str">
        <x:v>ACN-A01-C milestone shares sum one</x:v>
      </x:c>
      <x:c r="E4591" s="21" t="n">
        <x:f>SUMIF(Milestones!C7:C171,"ACN-A01-C",Milestones!H7:H171)</x:f>
        <x:v>1</x:v>
      </x:c>
      <x:c r="F4591" s="21" t="n">
        <x:v>1</x:v>
      </x:c>
      <x:c r="G4591" s="23" t="str">
        <x:f>IF(E4591=F4591,"PASS","FAIL")</x:f>
        <x:v>PASS</x:v>
      </x:c>
    </x:row>
    <x:row r="4592">
      <x:c r="B4592" s="21" t="str">
        <x:v>A4586</x:v>
      </x:c>
      <x:c r="C4592" s="21" t="str">
        <x:v>milestone</x:v>
      </x:c>
      <x:c r="D4592" s="21" t="str">
        <x:v>TCN-T01-A milestone shares sum one</x:v>
      </x:c>
      <x:c r="E4592" s="21" t="n">
        <x:f>SUMIF(Milestones!C7:C171,"TCN-T01-A",Milestones!H7:H171)</x:f>
        <x:v>1</x:v>
      </x:c>
      <x:c r="F4592" s="21" t="n">
        <x:v>1</x:v>
      </x:c>
      <x:c r="G4592" s="23" t="str">
        <x:f>IF(E4592=F4592,"PASS","FAIL")</x:f>
        <x:v>PASS</x:v>
      </x:c>
    </x:row>
    <x:row r="4593">
      <x:c r="B4593" s="21" t="str">
        <x:v>A4587</x:v>
      </x:c>
      <x:c r="C4593" s="21" t="str">
        <x:v>milestone</x:v>
      </x:c>
      <x:c r="D4593" s="21" t="str">
        <x:v>TCN-T01-B milestone shares sum one</x:v>
      </x:c>
      <x:c r="E4593" s="21" t="n">
        <x:f>SUMIF(Milestones!C7:C171,"TCN-T01-B",Milestones!H7:H171)</x:f>
        <x:v>1</x:v>
      </x:c>
      <x:c r="F4593" s="21" t="n">
        <x:v>1</x:v>
      </x:c>
      <x:c r="G4593" s="23" t="str">
        <x:f>IF(E4593=F4593,"PASS","FAIL")</x:f>
        <x:v>PASS</x:v>
      </x:c>
    </x:row>
    <x:row r="4594">
      <x:c r="B4594" s="21" t="str">
        <x:v>A4588</x:v>
      </x:c>
      <x:c r="C4594" s="21" t="str">
        <x:v>milestone</x:v>
      </x:c>
      <x:c r="D4594" s="21" t="str">
        <x:v>TCN-T01-C milestone shares sum one</x:v>
      </x:c>
      <x:c r="E4594" s="21" t="n">
        <x:f>SUMIF(Milestones!C7:C171,"TCN-T01-C",Milestones!H7:H171)</x:f>
        <x:v>1</x:v>
      </x:c>
      <x:c r="F4594" s="21" t="n">
        <x:v>1</x:v>
      </x:c>
      <x:c r="G4594" s="23" t="str">
        <x:f>IF(E4594=F4594,"PASS","FAIL")</x:f>
        <x:v>PASS</x:v>
      </x:c>
    </x:row>
    <x:row r="4595">
      <x:c r="B4595" s="21" t="str">
        <x:v>A4589</x:v>
      </x:c>
      <x:c r="C4595" s="21" t="str">
        <x:v>milestone</x:v>
      </x:c>
      <x:c r="D4595" s="21" t="str">
        <x:v>CRS-R01-A milestone shares sum one</x:v>
      </x:c>
      <x:c r="E4595" s="21" t="n">
        <x:f>SUMIF(Milestones!C7:C171,"CRS-R01-A",Milestones!H7:H171)</x:f>
        <x:v>1</x:v>
      </x:c>
      <x:c r="F4595" s="21" t="n">
        <x:v>1</x:v>
      </x:c>
      <x:c r="G4595" s="23" t="str">
        <x:f>IF(E4595=F4595,"PASS","FAIL")</x:f>
        <x:v>PASS</x:v>
      </x:c>
    </x:row>
    <x:row r="4596">
      <x:c r="B4596" s="21" t="str">
        <x:v>A4590</x:v>
      </x:c>
      <x:c r="C4596" s="21" t="str">
        <x:v>milestone</x:v>
      </x:c>
      <x:c r="D4596" s="21" t="str">
        <x:v>CRS-R01-B milestone shares sum one</x:v>
      </x:c>
      <x:c r="E4596" s="21" t="n">
        <x:f>SUMIF(Milestones!C7:C171,"CRS-R01-B",Milestones!H7:H171)</x:f>
        <x:v>1</x:v>
      </x:c>
      <x:c r="F4596" s="21" t="n">
        <x:v>1</x:v>
      </x:c>
      <x:c r="G4596" s="23" t="str">
        <x:f>IF(E4596=F4596,"PASS","FAIL")</x:f>
        <x:v>PASS</x:v>
      </x:c>
    </x:row>
    <x:row r="4597">
      <x:c r="B4597" s="21" t="str">
        <x:v>A4591</x:v>
      </x:c>
      <x:c r="C4597" s="21" t="str">
        <x:v>milestone</x:v>
      </x:c>
      <x:c r="D4597" s="21" t="str">
        <x:v>CRS-R01-C milestone shares sum one</x:v>
      </x:c>
      <x:c r="E4597" s="21" t="n">
        <x:f>SUMIF(Milestones!C7:C171,"CRS-R01-C",Milestones!H7:H171)</x:f>
        <x:v>1</x:v>
      </x:c>
      <x:c r="F4597" s="21" t="n">
        <x:v>1</x:v>
      </x:c>
      <x:c r="G4597" s="23" t="str">
        <x:f>IF(E4597=F4597,"PASS","FAIL")</x:f>
        <x:v>PASS</x:v>
      </x:c>
    </x:row>
    <x:row r="4598">
      <x:c r="B4598" s="21" t="str">
        <x:v>A4592</x:v>
      </x:c>
      <x:c r="C4598" s="21" t="str">
        <x:v>milestone</x:v>
      </x:c>
      <x:c r="D4598" s="21" t="str">
        <x:v>PSS-T01-A milestone shares sum one</x:v>
      </x:c>
      <x:c r="E4598" s="21" t="n">
        <x:f>SUMIF(Milestones!C7:C171,"PSS-T01-A",Milestones!H7:H171)</x:f>
        <x:v>1</x:v>
      </x:c>
      <x:c r="F4598" s="21" t="n">
        <x:v>1</x:v>
      </x:c>
      <x:c r="G4598" s="23" t="str">
        <x:f>IF(E4598=F4598,"PASS","FAIL")</x:f>
        <x:v>PASS</x:v>
      </x:c>
    </x:row>
    <x:row r="4599">
      <x:c r="B4599" s="21" t="str">
        <x:v>A4593</x:v>
      </x:c>
      <x:c r="C4599" s="21" t="str">
        <x:v>milestone</x:v>
      </x:c>
      <x:c r="D4599" s="21" t="str">
        <x:v>PSS-T01-B milestone shares sum one</x:v>
      </x:c>
      <x:c r="E4599" s="21" t="n">
        <x:f>SUMIF(Milestones!C7:C171,"PSS-T01-B",Milestones!H7:H171)</x:f>
        <x:v>1</x:v>
      </x:c>
      <x:c r="F4599" s="21" t="n">
        <x:v>1</x:v>
      </x:c>
      <x:c r="G4599" s="23" t="str">
        <x:f>IF(E4599=F4599,"PASS","FAIL")</x:f>
        <x:v>PASS</x:v>
      </x:c>
    </x:row>
    <x:row r="4600">
      <x:c r="B4600" s="21" t="str">
        <x:v>A4594</x:v>
      </x:c>
      <x:c r="C4600" s="21" t="str">
        <x:v>milestone</x:v>
      </x:c>
      <x:c r="D4600" s="21" t="str">
        <x:v>PSS-T01-C milestone shares sum one</x:v>
      </x:c>
      <x:c r="E4600" s="21" t="n">
        <x:f>SUMIF(Milestones!C7:C171,"PSS-T01-C",Milestones!H7:H171)</x:f>
        <x:v>1</x:v>
      </x:c>
      <x:c r="F4600" s="21" t="n">
        <x:v>1</x:v>
      </x:c>
      <x:c r="G4600" s="23" t="str">
        <x:f>IF(E4600=F4600,"PASS","FAIL")</x:f>
        <x:v>PASS</x:v>
      </x:c>
    </x:row>
    <x:row r="4601">
      <x:c r="B4601" s="21" t="str">
        <x:v>A4595</x:v>
      </x:c>
      <x:c r="C4601" s="21" t="str">
        <x:v>milestone</x:v>
      </x:c>
      <x:c r="D4601" s="21" t="str">
        <x:v>PIF-I01-A milestone shares sum one</x:v>
      </x:c>
      <x:c r="E4601" s="21" t="n">
        <x:f>SUMIF(Milestones!C7:C171,"PIF-I01-A",Milestones!H7:H171)</x:f>
        <x:v>1</x:v>
      </x:c>
      <x:c r="F4601" s="21" t="n">
        <x:v>1</x:v>
      </x:c>
      <x:c r="G4601" s="23" t="str">
        <x:f>IF(E4601=F4601,"PASS","FAIL")</x:f>
        <x:v>PASS</x:v>
      </x:c>
    </x:row>
    <x:row r="4602">
      <x:c r="B4602" s="21" t="str">
        <x:v>A4596</x:v>
      </x:c>
      <x:c r="C4602" s="21" t="str">
        <x:v>milestone</x:v>
      </x:c>
      <x:c r="D4602" s="21" t="str">
        <x:v>PIF-I01-B milestone shares sum one</x:v>
      </x:c>
      <x:c r="E4602" s="21" t="n">
        <x:f>SUMIF(Milestones!C7:C171,"PIF-I01-B",Milestones!H7:H171)</x:f>
        <x:v>1</x:v>
      </x:c>
      <x:c r="F4602" s="21" t="n">
        <x:v>1</x:v>
      </x:c>
      <x:c r="G4602" s="23" t="str">
        <x:f>IF(E4602=F4602,"PASS","FAIL")</x:f>
        <x:v>PASS</x:v>
      </x:c>
    </x:row>
    <x:row r="4603">
      <x:c r="B4603" s="21" t="str">
        <x:v>A4597</x:v>
      </x:c>
      <x:c r="C4603" s="21" t="str">
        <x:v>milestone</x:v>
      </x:c>
      <x:c r="D4603" s="21" t="str">
        <x:v>PIF-I01-C milestone shares sum one</x:v>
      </x:c>
      <x:c r="E4603" s="21" t="n">
        <x:f>SUMIF(Milestones!C7:C171,"PIF-I01-C",Milestones!H7:H171)</x:f>
        <x:v>1</x:v>
      </x:c>
      <x:c r="F4603" s="21" t="n">
        <x:v>1</x:v>
      </x:c>
      <x:c r="G4603" s="23" t="str">
        <x:f>IF(E4603=F4603,"PASS","FAIL")</x:f>
        <x:v>PASS</x:v>
      </x:c>
    </x:row>
    <x:row r="4604">
      <x:c r="B4604" s="21" t="str">
        <x:v>A4598</x:v>
      </x:c>
      <x:c r="C4604" s="21" t="str">
        <x:v>milestone</x:v>
      </x:c>
      <x:c r="D4604" s="21" t="str">
        <x:v>EPS-P01-A milestone shares sum one</x:v>
      </x:c>
      <x:c r="E4604" s="21" t="n">
        <x:f>SUMIF(Milestones!C7:C171,"EPS-P01-A",Milestones!H7:H171)</x:f>
        <x:v>1</x:v>
      </x:c>
      <x:c r="F4604" s="21" t="n">
        <x:v>1</x:v>
      </x:c>
      <x:c r="G4604" s="23" t="str">
        <x:f>IF(E4604=F4604,"PASS","FAIL")</x:f>
        <x:v>PASS</x:v>
      </x:c>
    </x:row>
    <x:row r="4605">
      <x:c r="B4605" s="21" t="str">
        <x:v>A4599</x:v>
      </x:c>
      <x:c r="C4605" s="21" t="str">
        <x:v>milestone</x:v>
      </x:c>
      <x:c r="D4605" s="21" t="str">
        <x:v>EPS-P01-B milestone shares sum one</x:v>
      </x:c>
      <x:c r="E4605" s="21" t="n">
        <x:f>SUMIF(Milestones!C7:C171,"EPS-P01-B",Milestones!H7:H171)</x:f>
        <x:v>1</x:v>
      </x:c>
      <x:c r="F4605" s="21" t="n">
        <x:v>1</x:v>
      </x:c>
      <x:c r="G4605" s="23" t="str">
        <x:f>IF(E4605=F4605,"PASS","FAIL")</x:f>
        <x:v>PASS</x:v>
      </x:c>
    </x:row>
    <x:row r="4606">
      <x:c r="B4606" s="21" t="str">
        <x:v>A4600</x:v>
      </x:c>
      <x:c r="C4606" s="21" t="str">
        <x:v>milestone</x:v>
      </x:c>
      <x:c r="D4606" s="21" t="str">
        <x:v>EPS-P01-C milestone shares sum one</x:v>
      </x:c>
      <x:c r="E4606" s="21" t="n">
        <x:f>SUMIF(Milestones!C7:C171,"EPS-P01-C",Milestones!H7:H171)</x:f>
        <x:v>1</x:v>
      </x:c>
      <x:c r="F4606" s="21" t="n">
        <x:v>1</x:v>
      </x:c>
      <x:c r="G4606" s="23" t="str">
        <x:f>IF(E4606=F4606,"PASS","FAIL")</x:f>
        <x:v>PASS</x:v>
      </x:c>
    </x:row>
    <x:row r="4607">
      <x:c r="B4607" s="21" t="str">
        <x:v>A4601</x:v>
      </x:c>
      <x:c r="C4607" s="21" t="str">
        <x:v>milestone</x:v>
      </x:c>
      <x:c r="D4607" s="21" t="str">
        <x:v>TKS-C01-A milestone shares sum one</x:v>
      </x:c>
      <x:c r="E4607" s="21" t="n">
        <x:f>SUMIF(Milestones!C7:C171,"TKS-C01-A",Milestones!H7:H171)</x:f>
        <x:v>1</x:v>
      </x:c>
      <x:c r="F4607" s="21" t="n">
        <x:v>1</x:v>
      </x:c>
      <x:c r="G4607" s="23" t="str">
        <x:f>IF(E4607=F4607,"PASS","FAIL")</x:f>
        <x:v>PASS</x:v>
      </x:c>
    </x:row>
    <x:row r="4608">
      <x:c r="B4608" s="21" t="str">
        <x:v>A4602</x:v>
      </x:c>
      <x:c r="C4608" s="21" t="str">
        <x:v>milestone</x:v>
      </x:c>
      <x:c r="D4608" s="21" t="str">
        <x:v>TKS-C01-B milestone shares sum one</x:v>
      </x:c>
      <x:c r="E4608" s="21" t="n">
        <x:f>SUMIF(Milestones!C7:C171,"TKS-C01-B",Milestones!H7:H171)</x:f>
        <x:v>1</x:v>
      </x:c>
      <x:c r="F4608" s="21" t="n">
        <x:v>1</x:v>
      </x:c>
      <x:c r="G4608" s="23" t="str">
        <x:f>IF(E4608=F4608,"PASS","FAIL")</x:f>
        <x:v>PASS</x:v>
      </x:c>
    </x:row>
    <x:row r="4609">
      <x:c r="B4609" s="21" t="str">
        <x:v>A4603</x:v>
      </x:c>
      <x:c r="C4609" s="21" t="str">
        <x:v>milestone</x:v>
      </x:c>
      <x:c r="D4609" s="21" t="str">
        <x:v>TKS-C01-C milestone shares sum one</x:v>
      </x:c>
      <x:c r="E4609" s="21" t="n">
        <x:f>SUMIF(Milestones!C7:C171,"TKS-C01-C",Milestones!H7:H171)</x:f>
        <x:v>1</x:v>
      </x:c>
      <x:c r="F4609" s="21" t="n">
        <x:v>1</x:v>
      </x:c>
      <x:c r="G4609" s="23" t="str">
        <x:f>IF(E4609=F4609,"PASS","FAIL")</x:f>
        <x:v>PASS</x:v>
      </x:c>
    </x:row>
    <x:row r="4610">
      <x:c r="B4610" s="21" t="str">
        <x:v>A4604</x:v>
      </x:c>
      <x:c r="C4610" s="21" t="str">
        <x:v>milestone</x:v>
      </x:c>
      <x:c r="D4610" s="21" t="str">
        <x:v>STG-S01-A milestone shares sum one</x:v>
      </x:c>
      <x:c r="E4610" s="21" t="n">
        <x:f>SUMIF(Milestones!C7:C171,"STG-S01-A",Milestones!H7:H171)</x:f>
        <x:v>1</x:v>
      </x:c>
      <x:c r="F4610" s="21" t="n">
        <x:v>1</x:v>
      </x:c>
      <x:c r="G4610" s="23" t="str">
        <x:f>IF(E4610=F4610,"PASS","FAIL")</x:f>
        <x:v>PASS</x:v>
      </x:c>
    </x:row>
    <x:row r="4611">
      <x:c r="B4611" s="21" t="str">
        <x:v>A4605</x:v>
      </x:c>
      <x:c r="C4611" s="21" t="str">
        <x:v>milestone</x:v>
      </x:c>
      <x:c r="D4611" s="21" t="str">
        <x:v>STG-S01-B milestone shares sum one</x:v>
      </x:c>
      <x:c r="E4611" s="21" t="n">
        <x:f>SUMIF(Milestones!C7:C171,"STG-S01-B",Milestones!H7:H171)</x:f>
        <x:v>1</x:v>
      </x:c>
      <x:c r="F4611" s="21" t="n">
        <x:v>1</x:v>
      </x:c>
      <x:c r="G4611" s="23" t="str">
        <x:f>IF(E4611=F4611,"PASS","FAIL")</x:f>
        <x:v>PASS</x:v>
      </x:c>
    </x:row>
    <x:row r="4612">
      <x:c r="B4612" s="21" t="str">
        <x:v>A4606</x:v>
      </x:c>
      <x:c r="C4612" s="21" t="str">
        <x:v>milestone</x:v>
      </x:c>
      <x:c r="D4612" s="21" t="str">
        <x:v>STG-S01-C milestone shares sum one</x:v>
      </x:c>
      <x:c r="E4612" s="21" t="n">
        <x:f>SUMIF(Milestones!C7:C171,"STG-S01-C",Milestones!H7:H171)</x:f>
        <x:v>1</x:v>
      </x:c>
      <x:c r="F4612" s="21" t="n">
        <x:v>1</x:v>
      </x:c>
      <x:c r="G4612" s="23" t="str">
        <x:f>IF(E4612=F4612,"PASS","FAIL")</x:f>
        <x:v>PASS</x:v>
      </x:c>
    </x:row>
    <x:row r="4613">
      <x:c r="B4613" s="21" t="str">
        <x:v>A4607</x:v>
      </x:c>
      <x:c r="C4613" s="21" t="str">
        <x:v>milestone</x:v>
      </x:c>
      <x:c r="D4613" s="21" t="str">
        <x:v>MHE-E01-A milestone shares sum one</x:v>
      </x:c>
      <x:c r="E4613" s="21" t="n">
        <x:f>SUMIF(Milestones!C7:C171,"MHE-E01-A",Milestones!H7:H171)</x:f>
        <x:v>1</x:v>
      </x:c>
      <x:c r="F4613" s="21" t="n">
        <x:v>1</x:v>
      </x:c>
      <x:c r="G4613" s="23" t="str">
        <x:f>IF(E4613=F4613,"PASS","FAIL")</x:f>
        <x:v>PASS</x:v>
      </x:c>
    </x:row>
    <x:row r="4614">
      <x:c r="B4614" s="21" t="str">
        <x:v>A4608</x:v>
      </x:c>
      <x:c r="C4614" s="21" t="str">
        <x:v>milestone</x:v>
      </x:c>
      <x:c r="D4614" s="21" t="str">
        <x:v>MHE-E01-B milestone shares sum one</x:v>
      </x:c>
      <x:c r="E4614" s="21" t="n">
        <x:f>SUMIF(Milestones!C7:C171,"MHE-E01-B",Milestones!H7:H171)</x:f>
        <x:v>1</x:v>
      </x:c>
      <x:c r="F4614" s="21" t="n">
        <x:v>1</x:v>
      </x:c>
      <x:c r="G4614" s="23" t="str">
        <x:f>IF(E4614=F4614,"PASS","FAIL")</x:f>
        <x:v>PASS</x:v>
      </x:c>
    </x:row>
    <x:row r="4615">
      <x:c r="B4615" s="21" t="str">
        <x:v>A4609</x:v>
      </x:c>
      <x:c r="C4615" s="21" t="str">
        <x:v>milestone</x:v>
      </x:c>
      <x:c r="D4615" s="21" t="str">
        <x:v>MHE-E01-C milestone shares sum one</x:v>
      </x:c>
      <x:c r="E4615" s="21" t="n">
        <x:f>SUMIF(Milestones!C7:C171,"MHE-E01-C",Milestones!H7:H171)</x:f>
        <x:v>1</x:v>
      </x:c>
      <x:c r="F4615" s="21" t="n">
        <x:v>1</x:v>
      </x:c>
      <x:c r="G4615" s="23" t="str">
        <x:f>IF(E4615=F4615,"PASS","FAIL")</x:f>
        <x:v>PASS</x:v>
      </x:c>
    </x:row>
    <x:row r="4616">
      <x:c r="B4616" s="21" t="str">
        <x:v>A4610</x:v>
      </x:c>
      <x:c r="C4616" s="21" t="str">
        <x:v>facility</x:v>
      </x:c>
      <x:c r="D4616" s="21" t="str">
        <x:v>facility 7 nonnegative reserve</x:v>
      </x:c>
      <x:c r="E4616" s="21" t="n">
        <x:f>IF('Facility Reserve'!H7&gt;=0,1,0)</x:f>
        <x:v>1</x:v>
      </x:c>
      <x:c r="F4616" s="21" t="n">
        <x:v>1</x:v>
      </x:c>
      <x:c r="G4616" s="23" t="str">
        <x:f>IF(E4616=F4616,"PASS","FAIL")</x:f>
        <x:v>PASS</x:v>
      </x:c>
    </x:row>
    <x:row r="4617">
      <x:c r="B4617" s="21" t="str">
        <x:v>A4611</x:v>
      </x:c>
      <x:c r="C4617" s="21" t="str">
        <x:v>facility</x:v>
      </x:c>
      <x:c r="D4617" s="21" t="str">
        <x:v>facility 7 utilization bounded</x:v>
      </x:c>
      <x:c r="E4617" s="21" t="n">
        <x:f>IF(AND('Facility Reserve'!I7&gt;=0,'Facility Reserve'!I7&lt;=1),1,0)</x:f>
        <x:v>1</x:v>
      </x:c>
      <x:c r="F4617" s="21" t="n">
        <x:v>1</x:v>
      </x:c>
      <x:c r="G4617" s="23" t="str">
        <x:f>IF(E4617=F4617,"PASS","FAIL")</x:f>
        <x:v>PASS</x:v>
      </x:c>
    </x:row>
    <x:row r="4618">
      <x:c r="B4618" s="21" t="str">
        <x:v>A4612</x:v>
      </x:c>
      <x:c r="C4618" s="21" t="str">
        <x:v>facility</x:v>
      </x:c>
      <x:c r="D4618" s="21" t="str">
        <x:v>facility 7 capacity available</x:v>
      </x:c>
      <x:c r="E4618" s="21" t="n">
        <x:f>IF('Facility Reserve'!K7="AVAILABLE",1,0)</x:f>
        <x:v>1</x:v>
      </x:c>
      <x:c r="F4618" s="21" t="n">
        <x:v>1</x:v>
      </x:c>
      <x:c r="G4618" s="23" t="str">
        <x:f>IF(E4618=F4618,"PASS","FAIL")</x:f>
        <x:v>PASS</x:v>
      </x:c>
    </x:row>
    <x:row r="4619">
      <x:c r="B4619" s="21" t="str">
        <x:v>A4613</x:v>
      </x:c>
      <x:c r="C4619" s="21" t="str">
        <x:v>facility</x:v>
      </x:c>
      <x:c r="D4619" s="21" t="str">
        <x:v>facility 7 evidence open</x:v>
      </x:c>
      <x:c r="E4619" s="21" t="n">
        <x:f>IF('Facility Reserve'!J7="OPEN",1,0)</x:f>
        <x:v>1</x:v>
      </x:c>
      <x:c r="F4619" s="21" t="n">
        <x:v>1</x:v>
      </x:c>
      <x:c r="G4619" s="23" t="str">
        <x:f>IF(E4619=F4619,"PASS","FAIL")</x:f>
        <x:v>PASS</x:v>
      </x:c>
    </x:row>
    <x:row r="4620">
      <x:c r="B4620" s="21" t="str">
        <x:v>A4614</x:v>
      </x:c>
      <x:c r="C4620" s="21" t="str">
        <x:v>facility</x:v>
      </x:c>
      <x:c r="D4620" s="21" t="str">
        <x:v>facility 8 nonnegative reserve</x:v>
      </x:c>
      <x:c r="E4620" s="21" t="n">
        <x:f>IF('Facility Reserve'!H8&gt;=0,1,0)</x:f>
        <x:v>1</x:v>
      </x:c>
      <x:c r="F4620" s="21" t="n">
        <x:v>1</x:v>
      </x:c>
      <x:c r="G4620" s="23" t="str">
        <x:f>IF(E4620=F4620,"PASS","FAIL")</x:f>
        <x:v>PASS</x:v>
      </x:c>
    </x:row>
    <x:row r="4621">
      <x:c r="B4621" s="21" t="str">
        <x:v>A4615</x:v>
      </x:c>
      <x:c r="C4621" s="21" t="str">
        <x:v>facility</x:v>
      </x:c>
      <x:c r="D4621" s="21" t="str">
        <x:v>facility 8 utilization bounded</x:v>
      </x:c>
      <x:c r="E4621" s="21" t="n">
        <x:f>IF(AND('Facility Reserve'!I8&gt;=0,'Facility Reserve'!I8&lt;=1),1,0)</x:f>
        <x:v>1</x:v>
      </x:c>
      <x:c r="F4621" s="21" t="n">
        <x:v>1</x:v>
      </x:c>
      <x:c r="G4621" s="23" t="str">
        <x:f>IF(E4621=F4621,"PASS","FAIL")</x:f>
        <x:v>PASS</x:v>
      </x:c>
    </x:row>
    <x:row r="4622">
      <x:c r="B4622" s="21" t="str">
        <x:v>A4616</x:v>
      </x:c>
      <x:c r="C4622" s="21" t="str">
        <x:v>facility</x:v>
      </x:c>
      <x:c r="D4622" s="21" t="str">
        <x:v>facility 8 capacity available</x:v>
      </x:c>
      <x:c r="E4622" s="21" t="n">
        <x:f>IF('Facility Reserve'!K8="AVAILABLE",1,0)</x:f>
        <x:v>1</x:v>
      </x:c>
      <x:c r="F4622" s="21" t="n">
        <x:v>1</x:v>
      </x:c>
      <x:c r="G4622" s="23" t="str">
        <x:f>IF(E4622=F4622,"PASS","FAIL")</x:f>
        <x:v>PASS</x:v>
      </x:c>
    </x:row>
    <x:row r="4623">
      <x:c r="B4623" s="21" t="str">
        <x:v>A4617</x:v>
      </x:c>
      <x:c r="C4623" s="21" t="str">
        <x:v>facility</x:v>
      </x:c>
      <x:c r="D4623" s="21" t="str">
        <x:v>facility 8 evidence open</x:v>
      </x:c>
      <x:c r="E4623" s="21" t="n">
        <x:f>IF('Facility Reserve'!J8="OPEN",1,0)</x:f>
        <x:v>1</x:v>
      </x:c>
      <x:c r="F4623" s="21" t="n">
        <x:v>1</x:v>
      </x:c>
      <x:c r="G4623" s="23" t="str">
        <x:f>IF(E4623=F4623,"PASS","FAIL")</x:f>
        <x:v>PASS</x:v>
      </x:c>
    </x:row>
    <x:row r="4624">
      <x:c r="B4624" s="21" t="str">
        <x:v>A4618</x:v>
      </x:c>
      <x:c r="C4624" s="21" t="str">
        <x:v>facility</x:v>
      </x:c>
      <x:c r="D4624" s="21" t="str">
        <x:v>facility 9 nonnegative reserve</x:v>
      </x:c>
      <x:c r="E4624" s="21" t="n">
        <x:f>IF('Facility Reserve'!H9&gt;=0,1,0)</x:f>
        <x:v>1</x:v>
      </x:c>
      <x:c r="F4624" s="21" t="n">
        <x:v>1</x:v>
      </x:c>
      <x:c r="G4624" s="23" t="str">
        <x:f>IF(E4624=F4624,"PASS","FAIL")</x:f>
        <x:v>PASS</x:v>
      </x:c>
    </x:row>
    <x:row r="4625">
      <x:c r="B4625" s="21" t="str">
        <x:v>A4619</x:v>
      </x:c>
      <x:c r="C4625" s="21" t="str">
        <x:v>facility</x:v>
      </x:c>
      <x:c r="D4625" s="21" t="str">
        <x:v>facility 9 utilization bounded</x:v>
      </x:c>
      <x:c r="E4625" s="21" t="n">
        <x:f>IF(AND('Facility Reserve'!I9&gt;=0,'Facility Reserve'!I9&lt;=1),1,0)</x:f>
        <x:v>1</x:v>
      </x:c>
      <x:c r="F4625" s="21" t="n">
        <x:v>1</x:v>
      </x:c>
      <x:c r="G4625" s="23" t="str">
        <x:f>IF(E4625=F4625,"PASS","FAIL")</x:f>
        <x:v>PASS</x:v>
      </x:c>
    </x:row>
    <x:row r="4626">
      <x:c r="B4626" s="21" t="str">
        <x:v>A4620</x:v>
      </x:c>
      <x:c r="C4626" s="21" t="str">
        <x:v>facility</x:v>
      </x:c>
      <x:c r="D4626" s="21" t="str">
        <x:v>facility 9 capacity available</x:v>
      </x:c>
      <x:c r="E4626" s="21" t="n">
        <x:f>IF('Facility Reserve'!K9="AVAILABLE",1,0)</x:f>
        <x:v>1</x:v>
      </x:c>
      <x:c r="F4626" s="21" t="n">
        <x:v>1</x:v>
      </x:c>
      <x:c r="G4626" s="23" t="str">
        <x:f>IF(E4626=F4626,"PASS","FAIL")</x:f>
        <x:v>PASS</x:v>
      </x:c>
    </x:row>
    <x:row r="4627">
      <x:c r="B4627" s="21" t="str">
        <x:v>A4621</x:v>
      </x:c>
      <x:c r="C4627" s="21" t="str">
        <x:v>facility</x:v>
      </x:c>
      <x:c r="D4627" s="21" t="str">
        <x:v>facility 9 evidence open</x:v>
      </x:c>
      <x:c r="E4627" s="21" t="n">
        <x:f>IF('Facility Reserve'!J9="OPEN",1,0)</x:f>
        <x:v>1</x:v>
      </x:c>
      <x:c r="F4627" s="21" t="n">
        <x:v>1</x:v>
      </x:c>
      <x:c r="G4627" s="23" t="str">
        <x:f>IF(E4627=F4627,"PASS","FAIL")</x:f>
        <x:v>PASS</x:v>
      </x:c>
    </x:row>
    <x:row r="4628">
      <x:c r="B4628" s="21" t="str">
        <x:v>A4622</x:v>
      </x:c>
      <x:c r="C4628" s="21" t="str">
        <x:v>facility</x:v>
      </x:c>
      <x:c r="D4628" s="21" t="str">
        <x:v>facility 10 nonnegative reserve</x:v>
      </x:c>
      <x:c r="E4628" s="21" t="n">
        <x:f>IF('Facility Reserve'!H10&gt;=0,1,0)</x:f>
        <x:v>1</x:v>
      </x:c>
      <x:c r="F4628" s="21" t="n">
        <x:v>1</x:v>
      </x:c>
      <x:c r="G4628" s="23" t="str">
        <x:f>IF(E4628=F4628,"PASS","FAIL")</x:f>
        <x:v>PASS</x:v>
      </x:c>
    </x:row>
    <x:row r="4629">
      <x:c r="B4629" s="21" t="str">
        <x:v>A4623</x:v>
      </x:c>
      <x:c r="C4629" s="21" t="str">
        <x:v>facility</x:v>
      </x:c>
      <x:c r="D4629" s="21" t="str">
        <x:v>facility 10 utilization bounded</x:v>
      </x:c>
      <x:c r="E4629" s="21" t="n">
        <x:f>IF(AND('Facility Reserve'!I10&gt;=0,'Facility Reserve'!I10&lt;=1),1,0)</x:f>
        <x:v>1</x:v>
      </x:c>
      <x:c r="F4629" s="21" t="n">
        <x:v>1</x:v>
      </x:c>
      <x:c r="G4629" s="23" t="str">
        <x:f>IF(E4629=F4629,"PASS","FAIL")</x:f>
        <x:v>PASS</x:v>
      </x:c>
    </x:row>
    <x:row r="4630">
      <x:c r="B4630" s="21" t="str">
        <x:v>A4624</x:v>
      </x:c>
      <x:c r="C4630" s="21" t="str">
        <x:v>facility</x:v>
      </x:c>
      <x:c r="D4630" s="21" t="str">
        <x:v>facility 10 capacity available</x:v>
      </x:c>
      <x:c r="E4630" s="21" t="n">
        <x:f>IF('Facility Reserve'!K10="AVAILABLE",1,0)</x:f>
        <x:v>1</x:v>
      </x:c>
      <x:c r="F4630" s="21" t="n">
        <x:v>1</x:v>
      </x:c>
      <x:c r="G4630" s="23" t="str">
        <x:f>IF(E4630=F4630,"PASS","FAIL")</x:f>
        <x:v>PASS</x:v>
      </x:c>
    </x:row>
    <x:row r="4631">
      <x:c r="B4631" s="21" t="str">
        <x:v>A4625</x:v>
      </x:c>
      <x:c r="C4631" s="21" t="str">
        <x:v>facility</x:v>
      </x:c>
      <x:c r="D4631" s="21" t="str">
        <x:v>facility 10 evidence open</x:v>
      </x:c>
      <x:c r="E4631" s="21" t="n">
        <x:f>IF('Facility Reserve'!J10="OPEN",1,0)</x:f>
        <x:v>1</x:v>
      </x:c>
      <x:c r="F4631" s="21" t="n">
        <x:v>1</x:v>
      </x:c>
      <x:c r="G4631" s="23" t="str">
        <x:f>IF(E4631=F4631,"PASS","FAIL")</x:f>
        <x:v>PASS</x:v>
      </x:c>
    </x:row>
    <x:row r="4632">
      <x:c r="B4632" s="21" t="str">
        <x:v>A4626</x:v>
      </x:c>
      <x:c r="C4632" s="21" t="str">
        <x:v>facility</x:v>
      </x:c>
      <x:c r="D4632" s="21" t="str">
        <x:v>facility 11 nonnegative reserve</x:v>
      </x:c>
      <x:c r="E4632" s="21" t="n">
        <x:f>IF('Facility Reserve'!H11&gt;=0,1,0)</x:f>
        <x:v>1</x:v>
      </x:c>
      <x:c r="F4632" s="21" t="n">
        <x:v>1</x:v>
      </x:c>
      <x:c r="G4632" s="23" t="str">
        <x:f>IF(E4632=F4632,"PASS","FAIL")</x:f>
        <x:v>PASS</x:v>
      </x:c>
    </x:row>
    <x:row r="4633">
      <x:c r="B4633" s="21" t="str">
        <x:v>A4627</x:v>
      </x:c>
      <x:c r="C4633" s="21" t="str">
        <x:v>facility</x:v>
      </x:c>
      <x:c r="D4633" s="21" t="str">
        <x:v>facility 11 utilization bounded</x:v>
      </x:c>
      <x:c r="E4633" s="21" t="n">
        <x:f>IF(AND('Facility Reserve'!I11&gt;=0,'Facility Reserve'!I11&lt;=1),1,0)</x:f>
        <x:v>1</x:v>
      </x:c>
      <x:c r="F4633" s="21" t="n">
        <x:v>1</x:v>
      </x:c>
      <x:c r="G4633" s="23" t="str">
        <x:f>IF(E4633=F4633,"PASS","FAIL")</x:f>
        <x:v>PASS</x:v>
      </x:c>
    </x:row>
    <x:row r="4634">
      <x:c r="B4634" s="21" t="str">
        <x:v>A4628</x:v>
      </x:c>
      <x:c r="C4634" s="21" t="str">
        <x:v>facility</x:v>
      </x:c>
      <x:c r="D4634" s="21" t="str">
        <x:v>facility 11 capacity available</x:v>
      </x:c>
      <x:c r="E4634" s="21" t="n">
        <x:f>IF('Facility Reserve'!K11="AVAILABLE",1,0)</x:f>
        <x:v>1</x:v>
      </x:c>
      <x:c r="F4634" s="21" t="n">
        <x:v>1</x:v>
      </x:c>
      <x:c r="G4634" s="23" t="str">
        <x:f>IF(E4634=F4634,"PASS","FAIL")</x:f>
        <x:v>PASS</x:v>
      </x:c>
    </x:row>
    <x:row r="4635">
      <x:c r="B4635" s="21" t="str">
        <x:v>A4629</x:v>
      </x:c>
      <x:c r="C4635" s="21" t="str">
        <x:v>facility</x:v>
      </x:c>
      <x:c r="D4635" s="21" t="str">
        <x:v>facility 11 evidence open</x:v>
      </x:c>
      <x:c r="E4635" s="21" t="n">
        <x:f>IF('Facility Reserve'!J11="OPEN",1,0)</x:f>
        <x:v>1</x:v>
      </x:c>
      <x:c r="F4635" s="21" t="n">
        <x:v>1</x:v>
      </x:c>
      <x:c r="G4635" s="23" t="str">
        <x:f>IF(E4635=F4635,"PASS","FAIL")</x:f>
        <x:v>PASS</x:v>
      </x:c>
    </x:row>
    <x:row r="4636">
      <x:c r="B4636" s="21" t="str">
        <x:v>A4630</x:v>
      </x:c>
      <x:c r="C4636" s="21" t="str">
        <x:v>facility</x:v>
      </x:c>
      <x:c r="D4636" s="21" t="str">
        <x:v>facility 12 nonnegative reserve</x:v>
      </x:c>
      <x:c r="E4636" s="21" t="n">
        <x:f>IF('Facility Reserve'!H12&gt;=0,1,0)</x:f>
        <x:v>1</x:v>
      </x:c>
      <x:c r="F4636" s="21" t="n">
        <x:v>1</x:v>
      </x:c>
      <x:c r="G4636" s="23" t="str">
        <x:f>IF(E4636=F4636,"PASS","FAIL")</x:f>
        <x:v>PASS</x:v>
      </x:c>
    </x:row>
    <x:row r="4637">
      <x:c r="B4637" s="21" t="str">
        <x:v>A4631</x:v>
      </x:c>
      <x:c r="C4637" s="21" t="str">
        <x:v>facility</x:v>
      </x:c>
      <x:c r="D4637" s="21" t="str">
        <x:v>facility 12 utilization bounded</x:v>
      </x:c>
      <x:c r="E4637" s="21" t="n">
        <x:f>IF(AND('Facility Reserve'!I12&gt;=0,'Facility Reserve'!I12&lt;=1),1,0)</x:f>
        <x:v>1</x:v>
      </x:c>
      <x:c r="F4637" s="21" t="n">
        <x:v>1</x:v>
      </x:c>
      <x:c r="G4637" s="23" t="str">
        <x:f>IF(E4637=F4637,"PASS","FAIL")</x:f>
        <x:v>PASS</x:v>
      </x:c>
    </x:row>
    <x:row r="4638">
      <x:c r="B4638" s="21" t="str">
        <x:v>A4632</x:v>
      </x:c>
      <x:c r="C4638" s="21" t="str">
        <x:v>facility</x:v>
      </x:c>
      <x:c r="D4638" s="21" t="str">
        <x:v>facility 12 capacity available</x:v>
      </x:c>
      <x:c r="E4638" s="21" t="n">
        <x:f>IF('Facility Reserve'!K12="AVAILABLE",1,0)</x:f>
        <x:v>1</x:v>
      </x:c>
      <x:c r="F4638" s="21" t="n">
        <x:v>1</x:v>
      </x:c>
      <x:c r="G4638" s="23" t="str">
        <x:f>IF(E4638=F4638,"PASS","FAIL")</x:f>
        <x:v>PASS</x:v>
      </x:c>
    </x:row>
    <x:row r="4639">
      <x:c r="B4639" s="21" t="str">
        <x:v>A4633</x:v>
      </x:c>
      <x:c r="C4639" s="21" t="str">
        <x:v>facility</x:v>
      </x:c>
      <x:c r="D4639" s="21" t="str">
        <x:v>facility 12 evidence open</x:v>
      </x:c>
      <x:c r="E4639" s="21" t="n">
        <x:f>IF('Facility Reserve'!J12="OPEN",1,0)</x:f>
        <x:v>1</x:v>
      </x:c>
      <x:c r="F4639" s="21" t="n">
        <x:v>1</x:v>
      </x:c>
      <x:c r="G4639" s="23" t="str">
        <x:f>IF(E4639=F4639,"PASS","FAIL")</x:f>
        <x:v>PASS</x:v>
      </x:c>
    </x:row>
    <x:row r="4640">
      <x:c r="B4640" s="21" t="str">
        <x:v>A4634</x:v>
      </x:c>
      <x:c r="C4640" s="21" t="str">
        <x:v>facility</x:v>
      </x:c>
      <x:c r="D4640" s="21" t="str">
        <x:v>facility 13 nonnegative reserve</x:v>
      </x:c>
      <x:c r="E4640" s="21" t="n">
        <x:f>IF('Facility Reserve'!H13&gt;=0,1,0)</x:f>
        <x:v>1</x:v>
      </x:c>
      <x:c r="F4640" s="21" t="n">
        <x:v>1</x:v>
      </x:c>
      <x:c r="G4640" s="23" t="str">
        <x:f>IF(E4640=F4640,"PASS","FAIL")</x:f>
        <x:v>PASS</x:v>
      </x:c>
    </x:row>
    <x:row r="4641">
      <x:c r="B4641" s="21" t="str">
        <x:v>A4635</x:v>
      </x:c>
      <x:c r="C4641" s="21" t="str">
        <x:v>facility</x:v>
      </x:c>
      <x:c r="D4641" s="21" t="str">
        <x:v>facility 13 utilization bounded</x:v>
      </x:c>
      <x:c r="E4641" s="21" t="n">
        <x:f>IF(AND('Facility Reserve'!I13&gt;=0,'Facility Reserve'!I13&lt;=1),1,0)</x:f>
        <x:v>1</x:v>
      </x:c>
      <x:c r="F4641" s="21" t="n">
        <x:v>1</x:v>
      </x:c>
      <x:c r="G4641" s="23" t="str">
        <x:f>IF(E4641=F4641,"PASS","FAIL")</x:f>
        <x:v>PASS</x:v>
      </x:c>
    </x:row>
    <x:row r="4642">
      <x:c r="B4642" s="21" t="str">
        <x:v>A4636</x:v>
      </x:c>
      <x:c r="C4642" s="21" t="str">
        <x:v>facility</x:v>
      </x:c>
      <x:c r="D4642" s="21" t="str">
        <x:v>facility 13 capacity available</x:v>
      </x:c>
      <x:c r="E4642" s="21" t="n">
        <x:f>IF('Facility Reserve'!K13="AVAILABLE",1,0)</x:f>
        <x:v>1</x:v>
      </x:c>
      <x:c r="F4642" s="21" t="n">
        <x:v>1</x:v>
      </x:c>
      <x:c r="G4642" s="23" t="str">
        <x:f>IF(E4642=F4642,"PASS","FAIL")</x:f>
        <x:v>PASS</x:v>
      </x:c>
    </x:row>
    <x:row r="4643">
      <x:c r="B4643" s="21" t="str">
        <x:v>A4637</x:v>
      </x:c>
      <x:c r="C4643" s="21" t="str">
        <x:v>facility</x:v>
      </x:c>
      <x:c r="D4643" s="21" t="str">
        <x:v>facility 13 evidence open</x:v>
      </x:c>
      <x:c r="E4643" s="21" t="n">
        <x:f>IF('Facility Reserve'!J13="OPEN",1,0)</x:f>
        <x:v>1</x:v>
      </x:c>
      <x:c r="F4643" s="21" t="n">
        <x:v>1</x:v>
      </x:c>
      <x:c r="G4643" s="23" t="str">
        <x:f>IF(E4643=F4643,"PASS","FAIL")</x:f>
        <x:v>PASS</x:v>
      </x:c>
    </x:row>
    <x:row r="4644">
      <x:c r="B4644" s="21" t="str">
        <x:v>A4638</x:v>
      </x:c>
      <x:c r="C4644" s="21" t="str">
        <x:v>facility</x:v>
      </x:c>
      <x:c r="D4644" s="21" t="str">
        <x:v>facility 14 nonnegative reserve</x:v>
      </x:c>
      <x:c r="E4644" s="21" t="n">
        <x:f>IF('Facility Reserve'!H14&gt;=0,1,0)</x:f>
        <x:v>1</x:v>
      </x:c>
      <x:c r="F4644" s="21" t="n">
        <x:v>1</x:v>
      </x:c>
      <x:c r="G4644" s="23" t="str">
        <x:f>IF(E4644=F4644,"PASS","FAIL")</x:f>
        <x:v>PASS</x:v>
      </x:c>
    </x:row>
    <x:row r="4645">
      <x:c r="B4645" s="21" t="str">
        <x:v>A4639</x:v>
      </x:c>
      <x:c r="C4645" s="21" t="str">
        <x:v>facility</x:v>
      </x:c>
      <x:c r="D4645" s="21" t="str">
        <x:v>facility 14 utilization bounded</x:v>
      </x:c>
      <x:c r="E4645" s="21" t="n">
        <x:f>IF(AND('Facility Reserve'!I14&gt;=0,'Facility Reserve'!I14&lt;=1),1,0)</x:f>
        <x:v>1</x:v>
      </x:c>
      <x:c r="F4645" s="21" t="n">
        <x:v>1</x:v>
      </x:c>
      <x:c r="G4645" s="23" t="str">
        <x:f>IF(E4645=F4645,"PASS","FAIL")</x:f>
        <x:v>PASS</x:v>
      </x:c>
    </x:row>
    <x:row r="4646">
      <x:c r="B4646" s="21" t="str">
        <x:v>A4640</x:v>
      </x:c>
      <x:c r="C4646" s="21" t="str">
        <x:v>facility</x:v>
      </x:c>
      <x:c r="D4646" s="21" t="str">
        <x:v>facility 14 capacity available</x:v>
      </x:c>
      <x:c r="E4646" s="21" t="n">
        <x:f>IF('Facility Reserve'!K14="AVAILABLE",1,0)</x:f>
        <x:v>1</x:v>
      </x:c>
      <x:c r="F4646" s="21" t="n">
        <x:v>1</x:v>
      </x:c>
      <x:c r="G4646" s="23" t="str">
        <x:f>IF(E4646=F4646,"PASS","FAIL")</x:f>
        <x:v>PASS</x:v>
      </x:c>
    </x:row>
    <x:row r="4647">
      <x:c r="B4647" s="21" t="str">
        <x:v>A4641</x:v>
      </x:c>
      <x:c r="C4647" s="21" t="str">
        <x:v>facility</x:v>
      </x:c>
      <x:c r="D4647" s="21" t="str">
        <x:v>facility 14 evidence open</x:v>
      </x:c>
      <x:c r="E4647" s="21" t="n">
        <x:f>IF('Facility Reserve'!J14="OPEN",1,0)</x:f>
        <x:v>1</x:v>
      </x:c>
      <x:c r="F4647" s="21" t="n">
        <x:v>1</x:v>
      </x:c>
      <x:c r="G4647" s="23" t="str">
        <x:f>IF(E4647=F4647,"PASS","FAIL")</x:f>
        <x:v>PASS</x:v>
      </x:c>
    </x:row>
    <x:row r="4648">
      <x:c r="B4648" s="21" t="str">
        <x:v>A4642</x:v>
      </x:c>
      <x:c r="C4648" s="21" t="str">
        <x:v>facility</x:v>
      </x:c>
      <x:c r="D4648" s="21" t="str">
        <x:v>facility 15 nonnegative reserve</x:v>
      </x:c>
      <x:c r="E4648" s="21" t="n">
        <x:f>IF('Facility Reserve'!H15&gt;=0,1,0)</x:f>
        <x:v>1</x:v>
      </x:c>
      <x:c r="F4648" s="21" t="n">
        <x:v>1</x:v>
      </x:c>
      <x:c r="G4648" s="23" t="str">
        <x:f>IF(E4648=F4648,"PASS","FAIL")</x:f>
        <x:v>PASS</x:v>
      </x:c>
    </x:row>
    <x:row r="4649">
      <x:c r="B4649" s="21" t="str">
        <x:v>A4643</x:v>
      </x:c>
      <x:c r="C4649" s="21" t="str">
        <x:v>facility</x:v>
      </x:c>
      <x:c r="D4649" s="21" t="str">
        <x:v>facility 15 utilization bounded</x:v>
      </x:c>
      <x:c r="E4649" s="21" t="n">
        <x:f>IF(AND('Facility Reserve'!I15&gt;=0,'Facility Reserve'!I15&lt;=1),1,0)</x:f>
        <x:v>1</x:v>
      </x:c>
      <x:c r="F4649" s="21" t="n">
        <x:v>1</x:v>
      </x:c>
      <x:c r="G4649" s="23" t="str">
        <x:f>IF(E4649=F4649,"PASS","FAIL")</x:f>
        <x:v>PASS</x:v>
      </x:c>
    </x:row>
    <x:row r="4650">
      <x:c r="B4650" s="21" t="str">
        <x:v>A4644</x:v>
      </x:c>
      <x:c r="C4650" s="21" t="str">
        <x:v>facility</x:v>
      </x:c>
      <x:c r="D4650" s="21" t="str">
        <x:v>facility 15 capacity available</x:v>
      </x:c>
      <x:c r="E4650" s="21" t="n">
        <x:f>IF('Facility Reserve'!K15="AVAILABLE",1,0)</x:f>
        <x:v>1</x:v>
      </x:c>
      <x:c r="F4650" s="21" t="n">
        <x:v>1</x:v>
      </x:c>
      <x:c r="G4650" s="23" t="str">
        <x:f>IF(E4650=F4650,"PASS","FAIL")</x:f>
        <x:v>PASS</x:v>
      </x:c>
    </x:row>
    <x:row r="4651">
      <x:c r="B4651" s="21" t="str">
        <x:v>A4645</x:v>
      </x:c>
      <x:c r="C4651" s="21" t="str">
        <x:v>facility</x:v>
      </x:c>
      <x:c r="D4651" s="21" t="str">
        <x:v>facility 15 evidence open</x:v>
      </x:c>
      <x:c r="E4651" s="21" t="n">
        <x:f>IF('Facility Reserve'!J15="OPEN",1,0)</x:f>
        <x:v>1</x:v>
      </x:c>
      <x:c r="F4651" s="21" t="n">
        <x:v>1</x:v>
      </x:c>
      <x:c r="G4651" s="23" t="str">
        <x:f>IF(E4651=F4651,"PASS","FAIL")</x:f>
        <x:v>PASS</x:v>
      </x:c>
    </x:row>
    <x:row r="4652">
      <x:c r="B4652" s="21" t="str">
        <x:v>A4646</x:v>
      </x:c>
      <x:c r="C4652" s="21" t="str">
        <x:v>facility</x:v>
      </x:c>
      <x:c r="D4652" s="21" t="str">
        <x:v>facility 16 nonnegative reserve</x:v>
      </x:c>
      <x:c r="E4652" s="21" t="n">
        <x:f>IF('Facility Reserve'!H16&gt;=0,1,0)</x:f>
        <x:v>1</x:v>
      </x:c>
      <x:c r="F4652" s="21" t="n">
        <x:v>1</x:v>
      </x:c>
      <x:c r="G4652" s="23" t="str">
        <x:f>IF(E4652=F4652,"PASS","FAIL")</x:f>
        <x:v>PASS</x:v>
      </x:c>
    </x:row>
    <x:row r="4653">
      <x:c r="B4653" s="21" t="str">
        <x:v>A4647</x:v>
      </x:c>
      <x:c r="C4653" s="21" t="str">
        <x:v>facility</x:v>
      </x:c>
      <x:c r="D4653" s="21" t="str">
        <x:v>facility 16 utilization bounded</x:v>
      </x:c>
      <x:c r="E4653" s="21" t="n">
        <x:f>IF(AND('Facility Reserve'!I16&gt;=0,'Facility Reserve'!I16&lt;=1),1,0)</x:f>
        <x:v>1</x:v>
      </x:c>
      <x:c r="F4653" s="21" t="n">
        <x:v>1</x:v>
      </x:c>
      <x:c r="G4653" s="23" t="str">
        <x:f>IF(E4653=F4653,"PASS","FAIL")</x:f>
        <x:v>PASS</x:v>
      </x:c>
    </x:row>
    <x:row r="4654">
      <x:c r="B4654" s="21" t="str">
        <x:v>A4648</x:v>
      </x:c>
      <x:c r="C4654" s="21" t="str">
        <x:v>facility</x:v>
      </x:c>
      <x:c r="D4654" s="21" t="str">
        <x:v>facility 16 capacity available</x:v>
      </x:c>
      <x:c r="E4654" s="21" t="n">
        <x:f>IF('Facility Reserve'!K16="AVAILABLE",1,0)</x:f>
        <x:v>1</x:v>
      </x:c>
      <x:c r="F4654" s="21" t="n">
        <x:v>1</x:v>
      </x:c>
      <x:c r="G4654" s="23" t="str">
        <x:f>IF(E4654=F4654,"PASS","FAIL")</x:f>
        <x:v>PASS</x:v>
      </x:c>
    </x:row>
    <x:row r="4655">
      <x:c r="B4655" s="21" t="str">
        <x:v>A4649</x:v>
      </x:c>
      <x:c r="C4655" s="21" t="str">
        <x:v>facility</x:v>
      </x:c>
      <x:c r="D4655" s="21" t="str">
        <x:v>facility 16 evidence open</x:v>
      </x:c>
      <x:c r="E4655" s="21" t="n">
        <x:f>IF('Facility Reserve'!J16="OPEN",1,0)</x:f>
        <x:v>1</x:v>
      </x:c>
      <x:c r="F4655" s="21" t="n">
        <x:v>1</x:v>
      </x:c>
      <x:c r="G4655" s="23" t="str">
        <x:f>IF(E4655=F4655,"PASS","FAIL")</x:f>
        <x:v>PASS</x:v>
      </x:c>
    </x:row>
    <x:row r="4656">
      <x:c r="B4656" s="21" t="str">
        <x:v>A4650</x:v>
      </x:c>
      <x:c r="C4656" s="21" t="str">
        <x:v>facility</x:v>
      </x:c>
      <x:c r="D4656" s="21" t="str">
        <x:v>facility 17 nonnegative reserve</x:v>
      </x:c>
      <x:c r="E4656" s="21" t="n">
        <x:f>IF('Facility Reserve'!H17&gt;=0,1,0)</x:f>
        <x:v>1</x:v>
      </x:c>
      <x:c r="F4656" s="21" t="n">
        <x:v>1</x:v>
      </x:c>
      <x:c r="G4656" s="23" t="str">
        <x:f>IF(E4656=F4656,"PASS","FAIL")</x:f>
        <x:v>PASS</x:v>
      </x:c>
    </x:row>
    <x:row r="4657">
      <x:c r="B4657" s="21" t="str">
        <x:v>A4651</x:v>
      </x:c>
      <x:c r="C4657" s="21" t="str">
        <x:v>facility</x:v>
      </x:c>
      <x:c r="D4657" s="21" t="str">
        <x:v>facility 17 utilization bounded</x:v>
      </x:c>
      <x:c r="E4657" s="21" t="n">
        <x:f>IF(AND('Facility Reserve'!I17&gt;=0,'Facility Reserve'!I17&lt;=1),1,0)</x:f>
        <x:v>1</x:v>
      </x:c>
      <x:c r="F4657" s="21" t="n">
        <x:v>1</x:v>
      </x:c>
      <x:c r="G4657" s="23" t="str">
        <x:f>IF(E4657=F4657,"PASS","FAIL")</x:f>
        <x:v>PASS</x:v>
      </x:c>
    </x:row>
    <x:row r="4658">
      <x:c r="B4658" s="21" t="str">
        <x:v>A4652</x:v>
      </x:c>
      <x:c r="C4658" s="21" t="str">
        <x:v>facility</x:v>
      </x:c>
      <x:c r="D4658" s="21" t="str">
        <x:v>facility 17 capacity available</x:v>
      </x:c>
      <x:c r="E4658" s="21" t="n">
        <x:f>IF('Facility Reserve'!K17="AVAILABLE",1,0)</x:f>
        <x:v>1</x:v>
      </x:c>
      <x:c r="F4658" s="21" t="n">
        <x:v>1</x:v>
      </x:c>
      <x:c r="G4658" s="23" t="str">
        <x:f>IF(E4658=F4658,"PASS","FAIL")</x:f>
        <x:v>PASS</x:v>
      </x:c>
    </x:row>
    <x:row r="4659">
      <x:c r="B4659" s="21" t="str">
        <x:v>A4653</x:v>
      </x:c>
      <x:c r="C4659" s="21" t="str">
        <x:v>facility</x:v>
      </x:c>
      <x:c r="D4659" s="21" t="str">
        <x:v>facility 17 evidence open</x:v>
      </x:c>
      <x:c r="E4659" s="21" t="n">
        <x:f>IF('Facility Reserve'!J17="OPEN",1,0)</x:f>
        <x:v>1</x:v>
      </x:c>
      <x:c r="F4659" s="21" t="n">
        <x:v>1</x:v>
      </x:c>
      <x:c r="G4659" s="23" t="str">
        <x:f>IF(E4659=F4659,"PASS","FAIL")</x:f>
        <x:v>PASS</x:v>
      </x:c>
    </x:row>
    <x:row r="4660">
      <x:c r="B4660" s="21" t="str">
        <x:v>A4654</x:v>
      </x:c>
      <x:c r="C4660" s="21" t="str">
        <x:v>facility</x:v>
      </x:c>
      <x:c r="D4660" s="21" t="str">
        <x:v>facility 18 nonnegative reserve</x:v>
      </x:c>
      <x:c r="E4660" s="21" t="n">
        <x:f>IF('Facility Reserve'!H18&gt;=0,1,0)</x:f>
        <x:v>1</x:v>
      </x:c>
      <x:c r="F4660" s="21" t="n">
        <x:v>1</x:v>
      </x:c>
      <x:c r="G4660" s="23" t="str">
        <x:f>IF(E4660=F4660,"PASS","FAIL")</x:f>
        <x:v>PASS</x:v>
      </x:c>
    </x:row>
    <x:row r="4661">
      <x:c r="B4661" s="21" t="str">
        <x:v>A4655</x:v>
      </x:c>
      <x:c r="C4661" s="21" t="str">
        <x:v>facility</x:v>
      </x:c>
      <x:c r="D4661" s="21" t="str">
        <x:v>facility 18 utilization bounded</x:v>
      </x:c>
      <x:c r="E4661" s="21" t="n">
        <x:f>IF(AND('Facility Reserve'!I18&gt;=0,'Facility Reserve'!I18&lt;=1),1,0)</x:f>
        <x:v>1</x:v>
      </x:c>
      <x:c r="F4661" s="21" t="n">
        <x:v>1</x:v>
      </x:c>
      <x:c r="G4661" s="23" t="str">
        <x:f>IF(E4661=F4661,"PASS","FAIL")</x:f>
        <x:v>PASS</x:v>
      </x:c>
    </x:row>
    <x:row r="4662">
      <x:c r="B4662" s="21" t="str">
        <x:v>A4656</x:v>
      </x:c>
      <x:c r="C4662" s="21" t="str">
        <x:v>facility</x:v>
      </x:c>
      <x:c r="D4662" s="21" t="str">
        <x:v>facility 18 capacity available</x:v>
      </x:c>
      <x:c r="E4662" s="21" t="n">
        <x:f>IF('Facility Reserve'!K18="AVAILABLE",1,0)</x:f>
        <x:v>1</x:v>
      </x:c>
      <x:c r="F4662" s="21" t="n">
        <x:v>1</x:v>
      </x:c>
      <x:c r="G4662" s="23" t="str">
        <x:f>IF(E4662=F4662,"PASS","FAIL")</x:f>
        <x:v>PASS</x:v>
      </x:c>
    </x:row>
    <x:row r="4663">
      <x:c r="B4663" s="21" t="str">
        <x:v>A4657</x:v>
      </x:c>
      <x:c r="C4663" s="21" t="str">
        <x:v>facility</x:v>
      </x:c>
      <x:c r="D4663" s="21" t="str">
        <x:v>facility 18 evidence open</x:v>
      </x:c>
      <x:c r="E4663" s="21" t="n">
        <x:f>IF('Facility Reserve'!J18="OPEN",1,0)</x:f>
        <x:v>1</x:v>
      </x:c>
      <x:c r="F4663" s="21" t="n">
        <x:v>1</x:v>
      </x:c>
      <x:c r="G4663" s="23" t="str">
        <x:f>IF(E4663=F4663,"PASS","FAIL")</x:f>
        <x:v>PASS</x:v>
      </x:c>
    </x:row>
    <x:row r="4664">
      <x:c r="B4664" s="21" t="str">
        <x:v>A4658</x:v>
      </x:c>
      <x:c r="C4664" s="21" t="str">
        <x:v>facility</x:v>
      </x:c>
      <x:c r="D4664" s="21" t="str">
        <x:v>facility 19 nonnegative reserve</x:v>
      </x:c>
      <x:c r="E4664" s="21" t="n">
        <x:f>IF('Facility Reserve'!H19&gt;=0,1,0)</x:f>
        <x:v>1</x:v>
      </x:c>
      <x:c r="F4664" s="21" t="n">
        <x:v>1</x:v>
      </x:c>
      <x:c r="G4664" s="23" t="str">
        <x:f>IF(E4664=F4664,"PASS","FAIL")</x:f>
        <x:v>PASS</x:v>
      </x:c>
    </x:row>
    <x:row r="4665">
      <x:c r="B4665" s="21" t="str">
        <x:v>A4659</x:v>
      </x:c>
      <x:c r="C4665" s="21" t="str">
        <x:v>facility</x:v>
      </x:c>
      <x:c r="D4665" s="21" t="str">
        <x:v>facility 19 utilization bounded</x:v>
      </x:c>
      <x:c r="E4665" s="21" t="n">
        <x:f>IF(AND('Facility Reserve'!I19&gt;=0,'Facility Reserve'!I19&lt;=1),1,0)</x:f>
        <x:v>1</x:v>
      </x:c>
      <x:c r="F4665" s="21" t="n">
        <x:v>1</x:v>
      </x:c>
      <x:c r="G4665" s="23" t="str">
        <x:f>IF(E4665=F4665,"PASS","FAIL")</x:f>
        <x:v>PASS</x:v>
      </x:c>
    </x:row>
    <x:row r="4666">
      <x:c r="B4666" s="21" t="str">
        <x:v>A4660</x:v>
      </x:c>
      <x:c r="C4666" s="21" t="str">
        <x:v>facility</x:v>
      </x:c>
      <x:c r="D4666" s="21" t="str">
        <x:v>facility 19 capacity available</x:v>
      </x:c>
      <x:c r="E4666" s="21" t="n">
        <x:f>IF('Facility Reserve'!K19="AVAILABLE",1,0)</x:f>
        <x:v>1</x:v>
      </x:c>
      <x:c r="F4666" s="21" t="n">
        <x:v>1</x:v>
      </x:c>
      <x:c r="G4666" s="23" t="str">
        <x:f>IF(E4666=F4666,"PASS","FAIL")</x:f>
        <x:v>PASS</x:v>
      </x:c>
    </x:row>
    <x:row r="4667">
      <x:c r="B4667" s="21" t="str">
        <x:v>A4661</x:v>
      </x:c>
      <x:c r="C4667" s="21" t="str">
        <x:v>facility</x:v>
      </x:c>
      <x:c r="D4667" s="21" t="str">
        <x:v>facility 19 evidence open</x:v>
      </x:c>
      <x:c r="E4667" s="21" t="n">
        <x:f>IF('Facility Reserve'!J19="OPEN",1,0)</x:f>
        <x:v>1</x:v>
      </x:c>
      <x:c r="F4667" s="21" t="n">
        <x:v>1</x:v>
      </x:c>
      <x:c r="G4667" s="23" t="str">
        <x:f>IF(E4667=F4667,"PASS","FAIL")</x:f>
        <x:v>PASS</x:v>
      </x:c>
    </x:row>
    <x:row r="4668">
      <x:c r="B4668" s="21" t="str">
        <x:v>A4662</x:v>
      </x:c>
      <x:c r="C4668" s="21" t="str">
        <x:v>facility</x:v>
      </x:c>
      <x:c r="D4668" s="21" t="str">
        <x:v>facility 20 nonnegative reserve</x:v>
      </x:c>
      <x:c r="E4668" s="21" t="n">
        <x:f>IF('Facility Reserve'!H20&gt;=0,1,0)</x:f>
        <x:v>1</x:v>
      </x:c>
      <x:c r="F4668" s="21" t="n">
        <x:v>1</x:v>
      </x:c>
      <x:c r="G4668" s="23" t="str">
        <x:f>IF(E4668=F4668,"PASS","FAIL")</x:f>
        <x:v>PASS</x:v>
      </x:c>
    </x:row>
    <x:row r="4669">
      <x:c r="B4669" s="21" t="str">
        <x:v>A4663</x:v>
      </x:c>
      <x:c r="C4669" s="21" t="str">
        <x:v>facility</x:v>
      </x:c>
      <x:c r="D4669" s="21" t="str">
        <x:v>facility 20 utilization bounded</x:v>
      </x:c>
      <x:c r="E4669" s="21" t="n">
        <x:f>IF(AND('Facility Reserve'!I20&gt;=0,'Facility Reserve'!I20&lt;=1),1,0)</x:f>
        <x:v>1</x:v>
      </x:c>
      <x:c r="F4669" s="21" t="n">
        <x:v>1</x:v>
      </x:c>
      <x:c r="G4669" s="23" t="str">
        <x:f>IF(E4669=F4669,"PASS","FAIL")</x:f>
        <x:v>PASS</x:v>
      </x:c>
    </x:row>
    <x:row r="4670">
      <x:c r="B4670" s="21" t="str">
        <x:v>A4664</x:v>
      </x:c>
      <x:c r="C4670" s="21" t="str">
        <x:v>facility</x:v>
      </x:c>
      <x:c r="D4670" s="21" t="str">
        <x:v>facility 20 capacity available</x:v>
      </x:c>
      <x:c r="E4670" s="21" t="n">
        <x:f>IF('Facility Reserve'!K20="AVAILABLE",1,0)</x:f>
        <x:v>1</x:v>
      </x:c>
      <x:c r="F4670" s="21" t="n">
        <x:v>1</x:v>
      </x:c>
      <x:c r="G4670" s="23" t="str">
        <x:f>IF(E4670=F4670,"PASS","FAIL")</x:f>
        <x:v>PASS</x:v>
      </x:c>
    </x:row>
    <x:row r="4671">
      <x:c r="B4671" s="21" t="str">
        <x:v>A4665</x:v>
      </x:c>
      <x:c r="C4671" s="21" t="str">
        <x:v>facility</x:v>
      </x:c>
      <x:c r="D4671" s="21" t="str">
        <x:v>facility 20 evidence open</x:v>
      </x:c>
      <x:c r="E4671" s="21" t="n">
        <x:f>IF('Facility Reserve'!J20="OPEN",1,0)</x:f>
        <x:v>1</x:v>
      </x:c>
      <x:c r="F4671" s="21" t="n">
        <x:v>1</x:v>
      </x:c>
      <x:c r="G4671" s="23" t="str">
        <x:f>IF(E4671=F4671,"PASS","FAIL")</x:f>
        <x:v>PASS</x:v>
      </x:c>
    </x:row>
    <x:row r="4672">
      <x:c r="B4672" s="21" t="str">
        <x:v>A4666</x:v>
      </x:c>
      <x:c r="C4672" s="21" t="str">
        <x:v>facility</x:v>
      </x:c>
      <x:c r="D4672" s="21" t="str">
        <x:v>facility 21 nonnegative reserve</x:v>
      </x:c>
      <x:c r="E4672" s="21" t="n">
        <x:f>IF('Facility Reserve'!H21&gt;=0,1,0)</x:f>
        <x:v>1</x:v>
      </x:c>
      <x:c r="F4672" s="21" t="n">
        <x:v>1</x:v>
      </x:c>
      <x:c r="G4672" s="23" t="str">
        <x:f>IF(E4672=F4672,"PASS","FAIL")</x:f>
        <x:v>PASS</x:v>
      </x:c>
    </x:row>
    <x:row r="4673">
      <x:c r="B4673" s="21" t="str">
        <x:v>A4667</x:v>
      </x:c>
      <x:c r="C4673" s="21" t="str">
        <x:v>facility</x:v>
      </x:c>
      <x:c r="D4673" s="21" t="str">
        <x:v>facility 21 utilization bounded</x:v>
      </x:c>
      <x:c r="E4673" s="21" t="n">
        <x:f>IF(AND('Facility Reserve'!I21&gt;=0,'Facility Reserve'!I21&lt;=1),1,0)</x:f>
        <x:v>1</x:v>
      </x:c>
      <x:c r="F4673" s="21" t="n">
        <x:v>1</x:v>
      </x:c>
      <x:c r="G4673" s="23" t="str">
        <x:f>IF(E4673=F4673,"PASS","FAIL")</x:f>
        <x:v>PASS</x:v>
      </x:c>
    </x:row>
    <x:row r="4674">
      <x:c r="B4674" s="21" t="str">
        <x:v>A4668</x:v>
      </x:c>
      <x:c r="C4674" s="21" t="str">
        <x:v>facility</x:v>
      </x:c>
      <x:c r="D4674" s="21" t="str">
        <x:v>facility 21 capacity available</x:v>
      </x:c>
      <x:c r="E4674" s="21" t="n">
        <x:f>IF('Facility Reserve'!K21="AVAILABLE",1,0)</x:f>
        <x:v>1</x:v>
      </x:c>
      <x:c r="F4674" s="21" t="n">
        <x:v>1</x:v>
      </x:c>
      <x:c r="G4674" s="23" t="str">
        <x:f>IF(E4674=F4674,"PASS","FAIL")</x:f>
        <x:v>PASS</x:v>
      </x:c>
    </x:row>
    <x:row r="4675">
      <x:c r="B4675" s="21" t="str">
        <x:v>A4669</x:v>
      </x:c>
      <x:c r="C4675" s="21" t="str">
        <x:v>facility</x:v>
      </x:c>
      <x:c r="D4675" s="21" t="str">
        <x:v>facility 21 evidence open</x:v>
      </x:c>
      <x:c r="E4675" s="21" t="n">
        <x:f>IF('Facility Reserve'!J21="OPEN",1,0)</x:f>
        <x:v>1</x:v>
      </x:c>
      <x:c r="F4675" s="21" t="n">
        <x:v>1</x:v>
      </x:c>
      <x:c r="G4675" s="23" t="str">
        <x:f>IF(E4675=F4675,"PASS","FAIL")</x:f>
        <x:v>PASS</x:v>
      </x:c>
    </x:row>
    <x:row r="4676">
      <x:c r="B4676" s="21" t="str">
        <x:v>A4670</x:v>
      </x:c>
      <x:c r="C4676" s="21" t="str">
        <x:v>facility</x:v>
      </x:c>
      <x:c r="D4676" s="21" t="str">
        <x:v>facility 22 nonnegative reserve</x:v>
      </x:c>
      <x:c r="E4676" s="21" t="n">
        <x:f>IF('Facility Reserve'!H22&gt;=0,1,0)</x:f>
        <x:v>1</x:v>
      </x:c>
      <x:c r="F4676" s="21" t="n">
        <x:v>1</x:v>
      </x:c>
      <x:c r="G4676" s="23" t="str">
        <x:f>IF(E4676=F4676,"PASS","FAIL")</x:f>
        <x:v>PASS</x:v>
      </x:c>
    </x:row>
    <x:row r="4677">
      <x:c r="B4677" s="21" t="str">
        <x:v>A4671</x:v>
      </x:c>
      <x:c r="C4677" s="21" t="str">
        <x:v>facility</x:v>
      </x:c>
      <x:c r="D4677" s="21" t="str">
        <x:v>facility 22 utilization bounded</x:v>
      </x:c>
      <x:c r="E4677" s="21" t="n">
        <x:f>IF(AND('Facility Reserve'!I22&gt;=0,'Facility Reserve'!I22&lt;=1),1,0)</x:f>
        <x:v>1</x:v>
      </x:c>
      <x:c r="F4677" s="21" t="n">
        <x:v>1</x:v>
      </x:c>
      <x:c r="G4677" s="23" t="str">
        <x:f>IF(E4677=F4677,"PASS","FAIL")</x:f>
        <x:v>PASS</x:v>
      </x:c>
    </x:row>
    <x:row r="4678">
      <x:c r="B4678" s="21" t="str">
        <x:v>A4672</x:v>
      </x:c>
      <x:c r="C4678" s="21" t="str">
        <x:v>facility</x:v>
      </x:c>
      <x:c r="D4678" s="21" t="str">
        <x:v>facility 22 capacity available</x:v>
      </x:c>
      <x:c r="E4678" s="21" t="n">
        <x:f>IF('Facility Reserve'!K22="AVAILABLE",1,0)</x:f>
        <x:v>1</x:v>
      </x:c>
      <x:c r="F4678" s="21" t="n">
        <x:v>1</x:v>
      </x:c>
      <x:c r="G4678" s="23" t="str">
        <x:f>IF(E4678=F4678,"PASS","FAIL")</x:f>
        <x:v>PASS</x:v>
      </x:c>
    </x:row>
    <x:row r="4679">
      <x:c r="B4679" s="21" t="str">
        <x:v>A4673</x:v>
      </x:c>
      <x:c r="C4679" s="21" t="str">
        <x:v>facility</x:v>
      </x:c>
      <x:c r="D4679" s="21" t="str">
        <x:v>facility 22 evidence open</x:v>
      </x:c>
      <x:c r="E4679" s="21" t="n">
        <x:f>IF('Facility Reserve'!J22="OPEN",1,0)</x:f>
        <x:v>1</x:v>
      </x:c>
      <x:c r="F4679" s="21" t="n">
        <x:v>1</x:v>
      </x:c>
      <x:c r="G4679" s="23" t="str">
        <x:f>IF(E4679=F4679,"PASS","FAIL")</x:f>
        <x:v>PASS</x:v>
      </x:c>
    </x:row>
    <x:row r="4680">
      <x:c r="B4680" s="21" t="str">
        <x:v>A4674</x:v>
      </x:c>
      <x:c r="C4680" s="21" t="str">
        <x:v>facility</x:v>
      </x:c>
      <x:c r="D4680" s="21" t="str">
        <x:v>facility 23 nonnegative reserve</x:v>
      </x:c>
      <x:c r="E4680" s="21" t="n">
        <x:f>IF('Facility Reserve'!H23&gt;=0,1,0)</x:f>
        <x:v>1</x:v>
      </x:c>
      <x:c r="F4680" s="21" t="n">
        <x:v>1</x:v>
      </x:c>
      <x:c r="G4680" s="23" t="str">
        <x:f>IF(E4680=F4680,"PASS","FAIL")</x:f>
        <x:v>PASS</x:v>
      </x:c>
    </x:row>
    <x:row r="4681">
      <x:c r="B4681" s="21" t="str">
        <x:v>A4675</x:v>
      </x:c>
      <x:c r="C4681" s="21" t="str">
        <x:v>facility</x:v>
      </x:c>
      <x:c r="D4681" s="21" t="str">
        <x:v>facility 23 utilization bounded</x:v>
      </x:c>
      <x:c r="E4681" s="21" t="n">
        <x:f>IF(AND('Facility Reserve'!I23&gt;=0,'Facility Reserve'!I23&lt;=1),1,0)</x:f>
        <x:v>1</x:v>
      </x:c>
      <x:c r="F4681" s="21" t="n">
        <x:v>1</x:v>
      </x:c>
      <x:c r="G4681" s="23" t="str">
        <x:f>IF(E4681=F4681,"PASS","FAIL")</x:f>
        <x:v>PASS</x:v>
      </x:c>
    </x:row>
    <x:row r="4682">
      <x:c r="B4682" s="21" t="str">
        <x:v>A4676</x:v>
      </x:c>
      <x:c r="C4682" s="21" t="str">
        <x:v>facility</x:v>
      </x:c>
      <x:c r="D4682" s="21" t="str">
        <x:v>facility 23 capacity available</x:v>
      </x:c>
      <x:c r="E4682" s="21" t="n">
        <x:f>IF('Facility Reserve'!K23="AVAILABLE",1,0)</x:f>
        <x:v>1</x:v>
      </x:c>
      <x:c r="F4682" s="21" t="n">
        <x:v>1</x:v>
      </x:c>
      <x:c r="G4682" s="23" t="str">
        <x:f>IF(E4682=F4682,"PASS","FAIL")</x:f>
        <x:v>PASS</x:v>
      </x:c>
    </x:row>
    <x:row r="4683">
      <x:c r="B4683" s="21" t="str">
        <x:v>A4677</x:v>
      </x:c>
      <x:c r="C4683" s="21" t="str">
        <x:v>facility</x:v>
      </x:c>
      <x:c r="D4683" s="21" t="str">
        <x:v>facility 23 evidence open</x:v>
      </x:c>
      <x:c r="E4683" s="21" t="n">
        <x:f>IF('Facility Reserve'!J23="OPEN",1,0)</x:f>
        <x:v>1</x:v>
      </x:c>
      <x:c r="F4683" s="21" t="n">
        <x:v>1</x:v>
      </x:c>
      <x:c r="G4683" s="23" t="str">
        <x:f>IF(E4683=F4683,"PASS","FAIL")</x:f>
        <x:v>PASS</x:v>
      </x:c>
    </x:row>
    <x:row r="4684">
      <x:c r="B4684" s="21" t="str">
        <x:v>A4678</x:v>
      </x:c>
      <x:c r="C4684" s="21" t="str">
        <x:v>facility</x:v>
      </x:c>
      <x:c r="D4684" s="21" t="str">
        <x:v>facility 24 nonnegative reserve</x:v>
      </x:c>
      <x:c r="E4684" s="21" t="n">
        <x:f>IF('Facility Reserve'!H24&gt;=0,1,0)</x:f>
        <x:v>1</x:v>
      </x:c>
      <x:c r="F4684" s="21" t="n">
        <x:v>1</x:v>
      </x:c>
      <x:c r="G4684" s="23" t="str">
        <x:f>IF(E4684=F4684,"PASS","FAIL")</x:f>
        <x:v>PASS</x:v>
      </x:c>
    </x:row>
    <x:row r="4685">
      <x:c r="B4685" s="21" t="str">
        <x:v>A4679</x:v>
      </x:c>
      <x:c r="C4685" s="21" t="str">
        <x:v>facility</x:v>
      </x:c>
      <x:c r="D4685" s="21" t="str">
        <x:v>facility 24 utilization bounded</x:v>
      </x:c>
      <x:c r="E4685" s="21" t="n">
        <x:f>IF(AND('Facility Reserve'!I24&gt;=0,'Facility Reserve'!I24&lt;=1),1,0)</x:f>
        <x:v>1</x:v>
      </x:c>
      <x:c r="F4685" s="21" t="n">
        <x:v>1</x:v>
      </x:c>
      <x:c r="G4685" s="23" t="str">
        <x:f>IF(E4685=F4685,"PASS","FAIL")</x:f>
        <x:v>PASS</x:v>
      </x:c>
    </x:row>
    <x:row r="4686">
      <x:c r="B4686" s="21" t="str">
        <x:v>A4680</x:v>
      </x:c>
      <x:c r="C4686" s="21" t="str">
        <x:v>facility</x:v>
      </x:c>
      <x:c r="D4686" s="21" t="str">
        <x:v>facility 24 capacity available</x:v>
      </x:c>
      <x:c r="E4686" s="21" t="n">
        <x:f>IF('Facility Reserve'!K24="AVAILABLE",1,0)</x:f>
        <x:v>1</x:v>
      </x:c>
      <x:c r="F4686" s="21" t="n">
        <x:v>1</x:v>
      </x:c>
      <x:c r="G4686" s="23" t="str">
        <x:f>IF(E4686=F4686,"PASS","FAIL")</x:f>
        <x:v>PASS</x:v>
      </x:c>
    </x:row>
    <x:row r="4687">
      <x:c r="B4687" s="21" t="str">
        <x:v>A4681</x:v>
      </x:c>
      <x:c r="C4687" s="21" t="str">
        <x:v>facility</x:v>
      </x:c>
      <x:c r="D4687" s="21" t="str">
        <x:v>facility 24 evidence open</x:v>
      </x:c>
      <x:c r="E4687" s="21" t="n">
        <x:f>IF('Facility Reserve'!J24="OPEN",1,0)</x:f>
        <x:v>1</x:v>
      </x:c>
      <x:c r="F4687" s="21" t="n">
        <x:v>1</x:v>
      </x:c>
      <x:c r="G4687" s="23" t="str">
        <x:f>IF(E4687=F4687,"PASS","FAIL")</x:f>
        <x:v>PASS</x:v>
      </x:c>
    </x:row>
    <x:row r="4688">
      <x:c r="B4688" s="21" t="str">
        <x:v>A4682</x:v>
      </x:c>
      <x:c r="C4688" s="21" t="str">
        <x:v>facility</x:v>
      </x:c>
      <x:c r="D4688" s="21" t="str">
        <x:v>facility 25 nonnegative reserve</x:v>
      </x:c>
      <x:c r="E4688" s="21" t="n">
        <x:f>IF('Facility Reserve'!H25&gt;=0,1,0)</x:f>
        <x:v>1</x:v>
      </x:c>
      <x:c r="F4688" s="21" t="n">
        <x:v>1</x:v>
      </x:c>
      <x:c r="G4688" s="23" t="str">
        <x:f>IF(E4688=F4688,"PASS","FAIL")</x:f>
        <x:v>PASS</x:v>
      </x:c>
    </x:row>
    <x:row r="4689">
      <x:c r="B4689" s="21" t="str">
        <x:v>A4683</x:v>
      </x:c>
      <x:c r="C4689" s="21" t="str">
        <x:v>facility</x:v>
      </x:c>
      <x:c r="D4689" s="21" t="str">
        <x:v>facility 25 utilization bounded</x:v>
      </x:c>
      <x:c r="E4689" s="21" t="n">
        <x:f>IF(AND('Facility Reserve'!I25&gt;=0,'Facility Reserve'!I25&lt;=1),1,0)</x:f>
        <x:v>1</x:v>
      </x:c>
      <x:c r="F4689" s="21" t="n">
        <x:v>1</x:v>
      </x:c>
      <x:c r="G4689" s="23" t="str">
        <x:f>IF(E4689=F4689,"PASS","FAIL")</x:f>
        <x:v>PASS</x:v>
      </x:c>
    </x:row>
    <x:row r="4690">
      <x:c r="B4690" s="21" t="str">
        <x:v>A4684</x:v>
      </x:c>
      <x:c r="C4690" s="21" t="str">
        <x:v>facility</x:v>
      </x:c>
      <x:c r="D4690" s="21" t="str">
        <x:v>facility 25 capacity available</x:v>
      </x:c>
      <x:c r="E4690" s="21" t="n">
        <x:f>IF('Facility Reserve'!K25="AVAILABLE",1,0)</x:f>
        <x:v>1</x:v>
      </x:c>
      <x:c r="F4690" s="21" t="n">
        <x:v>1</x:v>
      </x:c>
      <x:c r="G4690" s="23" t="str">
        <x:f>IF(E4690=F4690,"PASS","FAIL")</x:f>
        <x:v>PASS</x:v>
      </x:c>
    </x:row>
    <x:row r="4691">
      <x:c r="B4691" s="21" t="str">
        <x:v>A4685</x:v>
      </x:c>
      <x:c r="C4691" s="21" t="str">
        <x:v>facility</x:v>
      </x:c>
      <x:c r="D4691" s="21" t="str">
        <x:v>facility 25 evidence open</x:v>
      </x:c>
      <x:c r="E4691" s="21" t="n">
        <x:f>IF('Facility Reserve'!J25="OPEN",1,0)</x:f>
        <x:v>1</x:v>
      </x:c>
      <x:c r="F4691" s="21" t="n">
        <x:v>1</x:v>
      </x:c>
      <x:c r="G4691" s="23" t="str">
        <x:f>IF(E4691=F4691,"PASS","FAIL")</x:f>
        <x:v>PASS</x:v>
      </x:c>
    </x:row>
    <x:row r="4692">
      <x:c r="B4692" s="21" t="str">
        <x:v>A4686</x:v>
      </x:c>
      <x:c r="C4692" s="21" t="str">
        <x:v>facility</x:v>
      </x:c>
      <x:c r="D4692" s="21" t="str">
        <x:v>facility 26 nonnegative reserve</x:v>
      </x:c>
      <x:c r="E4692" s="21" t="n">
        <x:f>IF('Facility Reserve'!H26&gt;=0,1,0)</x:f>
        <x:v>1</x:v>
      </x:c>
      <x:c r="F4692" s="21" t="n">
        <x:v>1</x:v>
      </x:c>
      <x:c r="G4692" s="23" t="str">
        <x:f>IF(E4692=F4692,"PASS","FAIL")</x:f>
        <x:v>PASS</x:v>
      </x:c>
    </x:row>
    <x:row r="4693">
      <x:c r="B4693" s="21" t="str">
        <x:v>A4687</x:v>
      </x:c>
      <x:c r="C4693" s="21" t="str">
        <x:v>facility</x:v>
      </x:c>
      <x:c r="D4693" s="21" t="str">
        <x:v>facility 26 utilization bounded</x:v>
      </x:c>
      <x:c r="E4693" s="21" t="n">
        <x:f>IF(AND('Facility Reserve'!I26&gt;=0,'Facility Reserve'!I26&lt;=1),1,0)</x:f>
        <x:v>1</x:v>
      </x:c>
      <x:c r="F4693" s="21" t="n">
        <x:v>1</x:v>
      </x:c>
      <x:c r="G4693" s="23" t="str">
        <x:f>IF(E4693=F4693,"PASS","FAIL")</x:f>
        <x:v>PASS</x:v>
      </x:c>
    </x:row>
    <x:row r="4694">
      <x:c r="B4694" s="21" t="str">
        <x:v>A4688</x:v>
      </x:c>
      <x:c r="C4694" s="21" t="str">
        <x:v>facility</x:v>
      </x:c>
      <x:c r="D4694" s="21" t="str">
        <x:v>facility 26 capacity available</x:v>
      </x:c>
      <x:c r="E4694" s="21" t="n">
        <x:f>IF('Facility Reserve'!K26="AVAILABLE",1,0)</x:f>
        <x:v>1</x:v>
      </x:c>
      <x:c r="F4694" s="21" t="n">
        <x:v>1</x:v>
      </x:c>
      <x:c r="G4694" s="23" t="str">
        <x:f>IF(E4694=F4694,"PASS","FAIL")</x:f>
        <x:v>PASS</x:v>
      </x:c>
    </x:row>
    <x:row r="4695">
      <x:c r="B4695" s="21" t="str">
        <x:v>A4689</x:v>
      </x:c>
      <x:c r="C4695" s="21" t="str">
        <x:v>facility</x:v>
      </x:c>
      <x:c r="D4695" s="21" t="str">
        <x:v>facility 26 evidence open</x:v>
      </x:c>
      <x:c r="E4695" s="21" t="n">
        <x:f>IF('Facility Reserve'!J26="OPEN",1,0)</x:f>
        <x:v>1</x:v>
      </x:c>
      <x:c r="F4695" s="21" t="n">
        <x:v>1</x:v>
      </x:c>
      <x:c r="G4695" s="23" t="str">
        <x:f>IF(E4695=F4695,"PASS","FAIL")</x:f>
        <x:v>PASS</x:v>
      </x:c>
    </x:row>
    <x:row r="4696">
      <x:c r="B4696" s="21" t="str">
        <x:v>A4690</x:v>
      </x:c>
      <x:c r="C4696" s="21" t="str">
        <x:v>facility</x:v>
      </x:c>
      <x:c r="D4696" s="21" t="str">
        <x:v>facility 27 nonnegative reserve</x:v>
      </x:c>
      <x:c r="E4696" s="21" t="n">
        <x:f>IF('Facility Reserve'!H27&gt;=0,1,0)</x:f>
        <x:v>1</x:v>
      </x:c>
      <x:c r="F4696" s="21" t="n">
        <x:v>1</x:v>
      </x:c>
      <x:c r="G4696" s="23" t="str">
        <x:f>IF(E4696=F4696,"PASS","FAIL")</x:f>
        <x:v>PASS</x:v>
      </x:c>
    </x:row>
    <x:row r="4697">
      <x:c r="B4697" s="21" t="str">
        <x:v>A4691</x:v>
      </x:c>
      <x:c r="C4697" s="21" t="str">
        <x:v>facility</x:v>
      </x:c>
      <x:c r="D4697" s="21" t="str">
        <x:v>facility 27 utilization bounded</x:v>
      </x:c>
      <x:c r="E4697" s="21" t="n">
        <x:f>IF(AND('Facility Reserve'!I27&gt;=0,'Facility Reserve'!I27&lt;=1),1,0)</x:f>
        <x:v>1</x:v>
      </x:c>
      <x:c r="F4697" s="21" t="n">
        <x:v>1</x:v>
      </x:c>
      <x:c r="G4697" s="23" t="str">
        <x:f>IF(E4697=F4697,"PASS","FAIL")</x:f>
        <x:v>PASS</x:v>
      </x:c>
    </x:row>
    <x:row r="4698">
      <x:c r="B4698" s="21" t="str">
        <x:v>A4692</x:v>
      </x:c>
      <x:c r="C4698" s="21" t="str">
        <x:v>facility</x:v>
      </x:c>
      <x:c r="D4698" s="21" t="str">
        <x:v>facility 27 capacity available</x:v>
      </x:c>
      <x:c r="E4698" s="21" t="n">
        <x:f>IF('Facility Reserve'!K27="AVAILABLE",1,0)</x:f>
        <x:v>1</x:v>
      </x:c>
      <x:c r="F4698" s="21" t="n">
        <x:v>1</x:v>
      </x:c>
      <x:c r="G4698" s="23" t="str">
        <x:f>IF(E4698=F4698,"PASS","FAIL")</x:f>
        <x:v>PASS</x:v>
      </x:c>
    </x:row>
    <x:row r="4699">
      <x:c r="B4699" s="21" t="str">
        <x:v>A4693</x:v>
      </x:c>
      <x:c r="C4699" s="21" t="str">
        <x:v>facility</x:v>
      </x:c>
      <x:c r="D4699" s="21" t="str">
        <x:v>facility 27 evidence open</x:v>
      </x:c>
      <x:c r="E4699" s="21" t="n">
        <x:f>IF('Facility Reserve'!J27="OPEN",1,0)</x:f>
        <x:v>1</x:v>
      </x:c>
      <x:c r="F4699" s="21" t="n">
        <x:v>1</x:v>
      </x:c>
      <x:c r="G4699" s="23" t="str">
        <x:f>IF(E4699=F4699,"PASS","FAIL")</x:f>
        <x:v>PASS</x:v>
      </x:c>
    </x:row>
    <x:row r="4700">
      <x:c r="B4700" s="21" t="str">
        <x:v>A4694</x:v>
      </x:c>
      <x:c r="C4700" s="21" t="str">
        <x:v>facility</x:v>
      </x:c>
      <x:c r="D4700" s="21" t="str">
        <x:v>facility 28 nonnegative reserve</x:v>
      </x:c>
      <x:c r="E4700" s="21" t="n">
        <x:f>IF('Facility Reserve'!H28&gt;=0,1,0)</x:f>
        <x:v>1</x:v>
      </x:c>
      <x:c r="F4700" s="21" t="n">
        <x:v>1</x:v>
      </x:c>
      <x:c r="G4700" s="23" t="str">
        <x:f>IF(E4700=F4700,"PASS","FAIL")</x:f>
        <x:v>PASS</x:v>
      </x:c>
    </x:row>
    <x:row r="4701">
      <x:c r="B4701" s="21" t="str">
        <x:v>A4695</x:v>
      </x:c>
      <x:c r="C4701" s="21" t="str">
        <x:v>facility</x:v>
      </x:c>
      <x:c r="D4701" s="21" t="str">
        <x:v>facility 28 utilization bounded</x:v>
      </x:c>
      <x:c r="E4701" s="21" t="n">
        <x:f>IF(AND('Facility Reserve'!I28&gt;=0,'Facility Reserve'!I28&lt;=1),1,0)</x:f>
        <x:v>1</x:v>
      </x:c>
      <x:c r="F4701" s="21" t="n">
        <x:v>1</x:v>
      </x:c>
      <x:c r="G4701" s="23" t="str">
        <x:f>IF(E4701=F4701,"PASS","FAIL")</x:f>
        <x:v>PASS</x:v>
      </x:c>
    </x:row>
    <x:row r="4702">
      <x:c r="B4702" s="21" t="str">
        <x:v>A4696</x:v>
      </x:c>
      <x:c r="C4702" s="21" t="str">
        <x:v>facility</x:v>
      </x:c>
      <x:c r="D4702" s="21" t="str">
        <x:v>facility 28 capacity available</x:v>
      </x:c>
      <x:c r="E4702" s="21" t="n">
        <x:f>IF('Facility Reserve'!K28="AVAILABLE",1,0)</x:f>
        <x:v>1</x:v>
      </x:c>
      <x:c r="F4702" s="21" t="n">
        <x:v>1</x:v>
      </x:c>
      <x:c r="G4702" s="23" t="str">
        <x:f>IF(E4702=F4702,"PASS","FAIL")</x:f>
        <x:v>PASS</x:v>
      </x:c>
    </x:row>
    <x:row r="4703">
      <x:c r="B4703" s="21" t="str">
        <x:v>A4697</x:v>
      </x:c>
      <x:c r="C4703" s="21" t="str">
        <x:v>facility</x:v>
      </x:c>
      <x:c r="D4703" s="21" t="str">
        <x:v>facility 28 evidence open</x:v>
      </x:c>
      <x:c r="E4703" s="21" t="n">
        <x:f>IF('Facility Reserve'!J28="OPEN",1,0)</x:f>
        <x:v>1</x:v>
      </x:c>
      <x:c r="F4703" s="21" t="n">
        <x:v>1</x:v>
      </x:c>
      <x:c r="G4703" s="23" t="str">
        <x:f>IF(E4703=F4703,"PASS","FAIL")</x:f>
        <x:v>PASS</x:v>
      </x:c>
    </x:row>
    <x:row r="4704">
      <x:c r="B4704" s="21" t="str">
        <x:v>A4698</x:v>
      </x:c>
      <x:c r="C4704" s="21" t="str">
        <x:v>facility</x:v>
      </x:c>
      <x:c r="D4704" s="21" t="str">
        <x:v>facility 29 nonnegative reserve</x:v>
      </x:c>
      <x:c r="E4704" s="21" t="n">
        <x:f>IF('Facility Reserve'!H29&gt;=0,1,0)</x:f>
        <x:v>1</x:v>
      </x:c>
      <x:c r="F4704" s="21" t="n">
        <x:v>1</x:v>
      </x:c>
      <x:c r="G4704" s="23" t="str">
        <x:f>IF(E4704=F4704,"PASS","FAIL")</x:f>
        <x:v>PASS</x:v>
      </x:c>
    </x:row>
    <x:row r="4705">
      <x:c r="B4705" s="21" t="str">
        <x:v>A4699</x:v>
      </x:c>
      <x:c r="C4705" s="21" t="str">
        <x:v>facility</x:v>
      </x:c>
      <x:c r="D4705" s="21" t="str">
        <x:v>facility 29 utilization bounded</x:v>
      </x:c>
      <x:c r="E4705" s="21" t="n">
        <x:f>IF(AND('Facility Reserve'!I29&gt;=0,'Facility Reserve'!I29&lt;=1),1,0)</x:f>
        <x:v>1</x:v>
      </x:c>
      <x:c r="F4705" s="21" t="n">
        <x:v>1</x:v>
      </x:c>
      <x:c r="G4705" s="23" t="str">
        <x:f>IF(E4705=F4705,"PASS","FAIL")</x:f>
        <x:v>PASS</x:v>
      </x:c>
    </x:row>
    <x:row r="4706">
      <x:c r="B4706" s="21" t="str">
        <x:v>A4700</x:v>
      </x:c>
      <x:c r="C4706" s="21" t="str">
        <x:v>facility</x:v>
      </x:c>
      <x:c r="D4706" s="21" t="str">
        <x:v>facility 29 capacity available</x:v>
      </x:c>
      <x:c r="E4706" s="21" t="n">
        <x:f>IF('Facility Reserve'!K29="AVAILABLE",1,0)</x:f>
        <x:v>1</x:v>
      </x:c>
      <x:c r="F4706" s="21" t="n">
        <x:v>1</x:v>
      </x:c>
      <x:c r="G4706" s="23" t="str">
        <x:f>IF(E4706=F4706,"PASS","FAIL")</x:f>
        <x:v>PASS</x:v>
      </x:c>
    </x:row>
    <x:row r="4707">
      <x:c r="B4707" s="21" t="str">
        <x:v>A4701</x:v>
      </x:c>
      <x:c r="C4707" s="21" t="str">
        <x:v>facility</x:v>
      </x:c>
      <x:c r="D4707" s="21" t="str">
        <x:v>facility 29 evidence open</x:v>
      </x:c>
      <x:c r="E4707" s="21" t="n">
        <x:f>IF('Facility Reserve'!J29="OPEN",1,0)</x:f>
        <x:v>1</x:v>
      </x:c>
      <x:c r="F4707" s="21" t="n">
        <x:v>1</x:v>
      </x:c>
      <x:c r="G4707" s="23" t="str">
        <x:f>IF(E4707=F4707,"PASS","FAIL")</x:f>
        <x:v>PASS</x:v>
      </x:c>
    </x:row>
    <x:row r="4708">
      <x:c r="B4708" s="21" t="str">
        <x:v>A4702</x:v>
      </x:c>
      <x:c r="C4708" s="21" t="str">
        <x:v>facility</x:v>
      </x:c>
      <x:c r="D4708" s="21" t="str">
        <x:v>facility 30 nonnegative reserve</x:v>
      </x:c>
      <x:c r="E4708" s="21" t="n">
        <x:f>IF('Facility Reserve'!H30&gt;=0,1,0)</x:f>
        <x:v>1</x:v>
      </x:c>
      <x:c r="F4708" s="21" t="n">
        <x:v>1</x:v>
      </x:c>
      <x:c r="G4708" s="23" t="str">
        <x:f>IF(E4708=F4708,"PASS","FAIL")</x:f>
        <x:v>PASS</x:v>
      </x:c>
    </x:row>
    <x:row r="4709">
      <x:c r="B4709" s="21" t="str">
        <x:v>A4703</x:v>
      </x:c>
      <x:c r="C4709" s="21" t="str">
        <x:v>facility</x:v>
      </x:c>
      <x:c r="D4709" s="21" t="str">
        <x:v>facility 30 utilization bounded</x:v>
      </x:c>
      <x:c r="E4709" s="21" t="n">
        <x:f>IF(AND('Facility Reserve'!I30&gt;=0,'Facility Reserve'!I30&lt;=1),1,0)</x:f>
        <x:v>1</x:v>
      </x:c>
      <x:c r="F4709" s="21" t="n">
        <x:v>1</x:v>
      </x:c>
      <x:c r="G4709" s="23" t="str">
        <x:f>IF(E4709=F4709,"PASS","FAIL")</x:f>
        <x:v>PASS</x:v>
      </x:c>
    </x:row>
    <x:row r="4710">
      <x:c r="B4710" s="21" t="str">
        <x:v>A4704</x:v>
      </x:c>
      <x:c r="C4710" s="21" t="str">
        <x:v>facility</x:v>
      </x:c>
      <x:c r="D4710" s="21" t="str">
        <x:v>facility 30 capacity available</x:v>
      </x:c>
      <x:c r="E4710" s="21" t="n">
        <x:f>IF('Facility Reserve'!K30="AVAILABLE",1,0)</x:f>
        <x:v>1</x:v>
      </x:c>
      <x:c r="F4710" s="21" t="n">
        <x:v>1</x:v>
      </x:c>
      <x:c r="G4710" s="23" t="str">
        <x:f>IF(E4710=F4710,"PASS","FAIL")</x:f>
        <x:v>PASS</x:v>
      </x:c>
    </x:row>
    <x:row r="4711">
      <x:c r="B4711" s="21" t="str">
        <x:v>A4705</x:v>
      </x:c>
      <x:c r="C4711" s="21" t="str">
        <x:v>facility</x:v>
      </x:c>
      <x:c r="D4711" s="21" t="str">
        <x:v>facility 30 evidence open</x:v>
      </x:c>
      <x:c r="E4711" s="21" t="n">
        <x:f>IF('Facility Reserve'!J30="OPEN",1,0)</x:f>
        <x:v>1</x:v>
      </x:c>
      <x:c r="F4711" s="21" t="n">
        <x:v>1</x:v>
      </x:c>
      <x:c r="G4711" s="23" t="str">
        <x:f>IF(E4711=F4711,"PASS","FAIL")</x:f>
        <x:v>PASS</x:v>
      </x:c>
    </x:row>
    <x:row r="4712">
      <x:c r="B4712" s="21" t="str">
        <x:v>A4706</x:v>
      </x:c>
      <x:c r="C4712" s="21" t="str">
        <x:v>facility</x:v>
      </x:c>
      <x:c r="D4712" s="21" t="str">
        <x:v>facility 31 nonnegative reserve</x:v>
      </x:c>
      <x:c r="E4712" s="21" t="n">
        <x:f>IF('Facility Reserve'!H31&gt;=0,1,0)</x:f>
        <x:v>1</x:v>
      </x:c>
      <x:c r="F4712" s="21" t="n">
        <x:v>1</x:v>
      </x:c>
      <x:c r="G4712" s="23" t="str">
        <x:f>IF(E4712=F4712,"PASS","FAIL")</x:f>
        <x:v>PASS</x:v>
      </x:c>
    </x:row>
    <x:row r="4713">
      <x:c r="B4713" s="21" t="str">
        <x:v>A4707</x:v>
      </x:c>
      <x:c r="C4713" s="21" t="str">
        <x:v>facility</x:v>
      </x:c>
      <x:c r="D4713" s="21" t="str">
        <x:v>facility 31 utilization bounded</x:v>
      </x:c>
      <x:c r="E4713" s="21" t="n">
        <x:f>IF(AND('Facility Reserve'!I31&gt;=0,'Facility Reserve'!I31&lt;=1),1,0)</x:f>
        <x:v>1</x:v>
      </x:c>
      <x:c r="F4713" s="21" t="n">
        <x:v>1</x:v>
      </x:c>
      <x:c r="G4713" s="23" t="str">
        <x:f>IF(E4713=F4713,"PASS","FAIL")</x:f>
        <x:v>PASS</x:v>
      </x:c>
    </x:row>
    <x:row r="4714">
      <x:c r="B4714" s="21" t="str">
        <x:v>A4708</x:v>
      </x:c>
      <x:c r="C4714" s="21" t="str">
        <x:v>facility</x:v>
      </x:c>
      <x:c r="D4714" s="21" t="str">
        <x:v>facility 31 capacity available</x:v>
      </x:c>
      <x:c r="E4714" s="21" t="n">
        <x:f>IF('Facility Reserve'!K31="AVAILABLE",1,0)</x:f>
        <x:v>1</x:v>
      </x:c>
      <x:c r="F4714" s="21" t="n">
        <x:v>1</x:v>
      </x:c>
      <x:c r="G4714" s="23" t="str">
        <x:f>IF(E4714=F4714,"PASS","FAIL")</x:f>
        <x:v>PASS</x:v>
      </x:c>
    </x:row>
    <x:row r="4715">
      <x:c r="B4715" s="21" t="str">
        <x:v>A4709</x:v>
      </x:c>
      <x:c r="C4715" s="21" t="str">
        <x:v>facility</x:v>
      </x:c>
      <x:c r="D4715" s="21" t="str">
        <x:v>facility 31 evidence open</x:v>
      </x:c>
      <x:c r="E4715" s="21" t="n">
        <x:f>IF('Facility Reserve'!J31="OPEN",1,0)</x:f>
        <x:v>1</x:v>
      </x:c>
      <x:c r="F4715" s="21" t="n">
        <x:v>1</x:v>
      </x:c>
      <x:c r="G4715" s="23" t="str">
        <x:f>IF(E4715=F4715,"PASS","FAIL")</x:f>
        <x:v>PASS</x:v>
      </x:c>
    </x:row>
    <x:row r="4716">
      <x:c r="B4716" s="21" t="str">
        <x:v>A4710</x:v>
      </x:c>
      <x:c r="C4716" s="21" t="str">
        <x:v>facility</x:v>
      </x:c>
      <x:c r="D4716" s="21" t="str">
        <x:v>facility 32 nonnegative reserve</x:v>
      </x:c>
      <x:c r="E4716" s="21" t="n">
        <x:f>IF('Facility Reserve'!H32&gt;=0,1,0)</x:f>
        <x:v>1</x:v>
      </x:c>
      <x:c r="F4716" s="21" t="n">
        <x:v>1</x:v>
      </x:c>
      <x:c r="G4716" s="23" t="str">
        <x:f>IF(E4716=F4716,"PASS","FAIL")</x:f>
        <x:v>PASS</x:v>
      </x:c>
    </x:row>
    <x:row r="4717">
      <x:c r="B4717" s="21" t="str">
        <x:v>A4711</x:v>
      </x:c>
      <x:c r="C4717" s="21" t="str">
        <x:v>facility</x:v>
      </x:c>
      <x:c r="D4717" s="21" t="str">
        <x:v>facility 32 utilization bounded</x:v>
      </x:c>
      <x:c r="E4717" s="21" t="n">
        <x:f>IF(AND('Facility Reserve'!I32&gt;=0,'Facility Reserve'!I32&lt;=1),1,0)</x:f>
        <x:v>1</x:v>
      </x:c>
      <x:c r="F4717" s="21" t="n">
        <x:v>1</x:v>
      </x:c>
      <x:c r="G4717" s="23" t="str">
        <x:f>IF(E4717=F4717,"PASS","FAIL")</x:f>
        <x:v>PASS</x:v>
      </x:c>
    </x:row>
    <x:row r="4718">
      <x:c r="B4718" s="21" t="str">
        <x:v>A4712</x:v>
      </x:c>
      <x:c r="C4718" s="21" t="str">
        <x:v>facility</x:v>
      </x:c>
      <x:c r="D4718" s="21" t="str">
        <x:v>facility 32 capacity available</x:v>
      </x:c>
      <x:c r="E4718" s="21" t="n">
        <x:f>IF('Facility Reserve'!K32="AVAILABLE",1,0)</x:f>
        <x:v>1</x:v>
      </x:c>
      <x:c r="F4718" s="21" t="n">
        <x:v>1</x:v>
      </x:c>
      <x:c r="G4718" s="23" t="str">
        <x:f>IF(E4718=F4718,"PASS","FAIL")</x:f>
        <x:v>PASS</x:v>
      </x:c>
    </x:row>
    <x:row r="4719">
      <x:c r="B4719" s="21" t="str">
        <x:v>A4713</x:v>
      </x:c>
      <x:c r="C4719" s="21" t="str">
        <x:v>facility</x:v>
      </x:c>
      <x:c r="D4719" s="21" t="str">
        <x:v>facility 32 evidence open</x:v>
      </x:c>
      <x:c r="E4719" s="21" t="n">
        <x:f>IF('Facility Reserve'!J32="OPEN",1,0)</x:f>
        <x:v>1</x:v>
      </x:c>
      <x:c r="F4719" s="21" t="n">
        <x:v>1</x:v>
      </x:c>
      <x:c r="G4719" s="23" t="str">
        <x:f>IF(E4719=F4719,"PASS","FAIL")</x:f>
        <x:v>PASS</x:v>
      </x:c>
    </x:row>
    <x:row r="4720">
      <x:c r="B4720" s="21" t="str">
        <x:v>A4714</x:v>
      </x:c>
      <x:c r="C4720" s="21" t="str">
        <x:v>facility</x:v>
      </x:c>
      <x:c r="D4720" s="21" t="str">
        <x:v>facility 33 nonnegative reserve</x:v>
      </x:c>
      <x:c r="E4720" s="21" t="n">
        <x:f>IF('Facility Reserve'!H33&gt;=0,1,0)</x:f>
        <x:v>1</x:v>
      </x:c>
      <x:c r="F4720" s="21" t="n">
        <x:v>1</x:v>
      </x:c>
      <x:c r="G4720" s="23" t="str">
        <x:f>IF(E4720=F4720,"PASS","FAIL")</x:f>
        <x:v>PASS</x:v>
      </x:c>
    </x:row>
    <x:row r="4721">
      <x:c r="B4721" s="21" t="str">
        <x:v>A4715</x:v>
      </x:c>
      <x:c r="C4721" s="21" t="str">
        <x:v>facility</x:v>
      </x:c>
      <x:c r="D4721" s="21" t="str">
        <x:v>facility 33 utilization bounded</x:v>
      </x:c>
      <x:c r="E4721" s="21" t="n">
        <x:f>IF(AND('Facility Reserve'!I33&gt;=0,'Facility Reserve'!I33&lt;=1),1,0)</x:f>
        <x:v>1</x:v>
      </x:c>
      <x:c r="F4721" s="21" t="n">
        <x:v>1</x:v>
      </x:c>
      <x:c r="G4721" s="23" t="str">
        <x:f>IF(E4721=F4721,"PASS","FAIL")</x:f>
        <x:v>PASS</x:v>
      </x:c>
    </x:row>
    <x:row r="4722">
      <x:c r="B4722" s="21" t="str">
        <x:v>A4716</x:v>
      </x:c>
      <x:c r="C4722" s="21" t="str">
        <x:v>facility</x:v>
      </x:c>
      <x:c r="D4722" s="21" t="str">
        <x:v>facility 33 capacity available</x:v>
      </x:c>
      <x:c r="E4722" s="21" t="n">
        <x:f>IF('Facility Reserve'!K33="AVAILABLE",1,0)</x:f>
        <x:v>1</x:v>
      </x:c>
      <x:c r="F4722" s="21" t="n">
        <x:v>1</x:v>
      </x:c>
      <x:c r="G4722" s="23" t="str">
        <x:f>IF(E4722=F4722,"PASS","FAIL")</x:f>
        <x:v>PASS</x:v>
      </x:c>
    </x:row>
    <x:row r="4723">
      <x:c r="B4723" s="21" t="str">
        <x:v>A4717</x:v>
      </x:c>
      <x:c r="C4723" s="21" t="str">
        <x:v>facility</x:v>
      </x:c>
      <x:c r="D4723" s="21" t="str">
        <x:v>facility 33 evidence open</x:v>
      </x:c>
      <x:c r="E4723" s="21" t="n">
        <x:f>IF('Facility Reserve'!J33="OPEN",1,0)</x:f>
        <x:v>1</x:v>
      </x:c>
      <x:c r="F4723" s="21" t="n">
        <x:v>1</x:v>
      </x:c>
      <x:c r="G4723" s="23" t="str">
        <x:f>IF(E4723=F4723,"PASS","FAIL")</x:f>
        <x:v>PASS</x:v>
      </x:c>
    </x:row>
    <x:row r="4724">
      <x:c r="B4724" s="21" t="str">
        <x:v>A4718</x:v>
      </x:c>
      <x:c r="C4724" s="21" t="str">
        <x:v>facility</x:v>
      </x:c>
      <x:c r="D4724" s="21" t="str">
        <x:v>facility 34 nonnegative reserve</x:v>
      </x:c>
      <x:c r="E4724" s="21" t="n">
        <x:f>IF('Facility Reserve'!H34&gt;=0,1,0)</x:f>
        <x:v>1</x:v>
      </x:c>
      <x:c r="F4724" s="21" t="n">
        <x:v>1</x:v>
      </x:c>
      <x:c r="G4724" s="23" t="str">
        <x:f>IF(E4724=F4724,"PASS","FAIL")</x:f>
        <x:v>PASS</x:v>
      </x:c>
    </x:row>
    <x:row r="4725">
      <x:c r="B4725" s="21" t="str">
        <x:v>A4719</x:v>
      </x:c>
      <x:c r="C4725" s="21" t="str">
        <x:v>facility</x:v>
      </x:c>
      <x:c r="D4725" s="21" t="str">
        <x:v>facility 34 utilization bounded</x:v>
      </x:c>
      <x:c r="E4725" s="21" t="n">
        <x:f>IF(AND('Facility Reserve'!I34&gt;=0,'Facility Reserve'!I34&lt;=1),1,0)</x:f>
        <x:v>1</x:v>
      </x:c>
      <x:c r="F4725" s="21" t="n">
        <x:v>1</x:v>
      </x:c>
      <x:c r="G4725" s="23" t="str">
        <x:f>IF(E4725=F4725,"PASS","FAIL")</x:f>
        <x:v>PASS</x:v>
      </x:c>
    </x:row>
    <x:row r="4726">
      <x:c r="B4726" s="21" t="str">
        <x:v>A4720</x:v>
      </x:c>
      <x:c r="C4726" s="21" t="str">
        <x:v>facility</x:v>
      </x:c>
      <x:c r="D4726" s="21" t="str">
        <x:v>facility 34 capacity available</x:v>
      </x:c>
      <x:c r="E4726" s="21" t="n">
        <x:f>IF('Facility Reserve'!K34="AVAILABLE",1,0)</x:f>
        <x:v>1</x:v>
      </x:c>
      <x:c r="F4726" s="21" t="n">
        <x:v>1</x:v>
      </x:c>
      <x:c r="G4726" s="23" t="str">
        <x:f>IF(E4726=F4726,"PASS","FAIL")</x:f>
        <x:v>PASS</x:v>
      </x:c>
    </x:row>
    <x:row r="4727">
      <x:c r="B4727" s="21" t="str">
        <x:v>A4721</x:v>
      </x:c>
      <x:c r="C4727" s="21" t="str">
        <x:v>facility</x:v>
      </x:c>
      <x:c r="D4727" s="21" t="str">
        <x:v>facility 34 evidence open</x:v>
      </x:c>
      <x:c r="E4727" s="21" t="n">
        <x:f>IF('Facility Reserve'!J34="OPEN",1,0)</x:f>
        <x:v>1</x:v>
      </x:c>
      <x:c r="F4727" s="21" t="n">
        <x:v>1</x:v>
      </x:c>
      <x:c r="G4727" s="23" t="str">
        <x:f>IF(E4727=F4727,"PASS","FAIL")</x:f>
        <x:v>PASS</x:v>
      </x:c>
    </x:row>
    <x:row r="4728">
      <x:c r="B4728" s="21" t="str">
        <x:v>A4722</x:v>
      </x:c>
      <x:c r="C4728" s="21" t="str">
        <x:v>facility</x:v>
      </x:c>
      <x:c r="D4728" s="21" t="str">
        <x:v>facility 35 nonnegative reserve</x:v>
      </x:c>
      <x:c r="E4728" s="21" t="n">
        <x:f>IF('Facility Reserve'!H35&gt;=0,1,0)</x:f>
        <x:v>1</x:v>
      </x:c>
      <x:c r="F4728" s="21" t="n">
        <x:v>1</x:v>
      </x:c>
      <x:c r="G4728" s="23" t="str">
        <x:f>IF(E4728=F4728,"PASS","FAIL")</x:f>
        <x:v>PASS</x:v>
      </x:c>
    </x:row>
    <x:row r="4729">
      <x:c r="B4729" s="21" t="str">
        <x:v>A4723</x:v>
      </x:c>
      <x:c r="C4729" s="21" t="str">
        <x:v>facility</x:v>
      </x:c>
      <x:c r="D4729" s="21" t="str">
        <x:v>facility 35 utilization bounded</x:v>
      </x:c>
      <x:c r="E4729" s="21" t="n">
        <x:f>IF(AND('Facility Reserve'!I35&gt;=0,'Facility Reserve'!I35&lt;=1),1,0)</x:f>
        <x:v>1</x:v>
      </x:c>
      <x:c r="F4729" s="21" t="n">
        <x:v>1</x:v>
      </x:c>
      <x:c r="G4729" s="23" t="str">
        <x:f>IF(E4729=F4729,"PASS","FAIL")</x:f>
        <x:v>PASS</x:v>
      </x:c>
    </x:row>
    <x:row r="4730">
      <x:c r="B4730" s="21" t="str">
        <x:v>A4724</x:v>
      </x:c>
      <x:c r="C4730" s="21" t="str">
        <x:v>facility</x:v>
      </x:c>
      <x:c r="D4730" s="21" t="str">
        <x:v>facility 35 capacity available</x:v>
      </x:c>
      <x:c r="E4730" s="21" t="n">
        <x:f>IF('Facility Reserve'!K35="AVAILABLE",1,0)</x:f>
        <x:v>1</x:v>
      </x:c>
      <x:c r="F4730" s="21" t="n">
        <x:v>1</x:v>
      </x:c>
      <x:c r="G4730" s="23" t="str">
        <x:f>IF(E4730=F4730,"PASS","FAIL")</x:f>
        <x:v>PASS</x:v>
      </x:c>
    </x:row>
    <x:row r="4731">
      <x:c r="B4731" s="21" t="str">
        <x:v>A4725</x:v>
      </x:c>
      <x:c r="C4731" s="21" t="str">
        <x:v>facility</x:v>
      </x:c>
      <x:c r="D4731" s="21" t="str">
        <x:v>facility 35 evidence open</x:v>
      </x:c>
      <x:c r="E4731" s="21" t="n">
        <x:f>IF('Facility Reserve'!J35="OPEN",1,0)</x:f>
        <x:v>1</x:v>
      </x:c>
      <x:c r="F4731" s="21" t="n">
        <x:v>1</x:v>
      </x:c>
      <x:c r="G4731" s="23" t="str">
        <x:f>IF(E4731=F4731,"PASS","FAIL")</x:f>
        <x:v>PASS</x:v>
      </x:c>
    </x:row>
    <x:row r="4732">
      <x:c r="B4732" s="21" t="str">
        <x:v>A4726</x:v>
      </x:c>
      <x:c r="C4732" s="21" t="str">
        <x:v>facility</x:v>
      </x:c>
      <x:c r="D4732" s="21" t="str">
        <x:v>facility 36 nonnegative reserve</x:v>
      </x:c>
      <x:c r="E4732" s="21" t="n">
        <x:f>IF('Facility Reserve'!H36&gt;=0,1,0)</x:f>
        <x:v>1</x:v>
      </x:c>
      <x:c r="F4732" s="21" t="n">
        <x:v>1</x:v>
      </x:c>
      <x:c r="G4732" s="23" t="str">
        <x:f>IF(E4732=F4732,"PASS","FAIL")</x:f>
        <x:v>PASS</x:v>
      </x:c>
    </x:row>
    <x:row r="4733">
      <x:c r="B4733" s="21" t="str">
        <x:v>A4727</x:v>
      </x:c>
      <x:c r="C4733" s="21" t="str">
        <x:v>facility</x:v>
      </x:c>
      <x:c r="D4733" s="21" t="str">
        <x:v>facility 36 utilization bounded</x:v>
      </x:c>
      <x:c r="E4733" s="21" t="n">
        <x:f>IF(AND('Facility Reserve'!I36&gt;=0,'Facility Reserve'!I36&lt;=1),1,0)</x:f>
        <x:v>1</x:v>
      </x:c>
      <x:c r="F4733" s="21" t="n">
        <x:v>1</x:v>
      </x:c>
      <x:c r="G4733" s="23" t="str">
        <x:f>IF(E4733=F4733,"PASS","FAIL")</x:f>
        <x:v>PASS</x:v>
      </x:c>
    </x:row>
    <x:row r="4734">
      <x:c r="B4734" s="21" t="str">
        <x:v>A4728</x:v>
      </x:c>
      <x:c r="C4734" s="21" t="str">
        <x:v>facility</x:v>
      </x:c>
      <x:c r="D4734" s="21" t="str">
        <x:v>facility 36 capacity available</x:v>
      </x:c>
      <x:c r="E4734" s="21" t="n">
        <x:f>IF('Facility Reserve'!K36="AVAILABLE",1,0)</x:f>
        <x:v>1</x:v>
      </x:c>
      <x:c r="F4734" s="21" t="n">
        <x:v>1</x:v>
      </x:c>
      <x:c r="G4734" s="23" t="str">
        <x:f>IF(E4734=F4734,"PASS","FAIL")</x:f>
        <x:v>PASS</x:v>
      </x:c>
    </x:row>
    <x:row r="4735">
      <x:c r="B4735" s="21" t="str">
        <x:v>A4729</x:v>
      </x:c>
      <x:c r="C4735" s="21" t="str">
        <x:v>facility</x:v>
      </x:c>
      <x:c r="D4735" s="21" t="str">
        <x:v>facility 36 evidence open</x:v>
      </x:c>
      <x:c r="E4735" s="21" t="n">
        <x:f>IF('Facility Reserve'!J36="OPEN",1,0)</x:f>
        <x:v>1</x:v>
      </x:c>
      <x:c r="F4735" s="21" t="n">
        <x:v>1</x:v>
      </x:c>
      <x:c r="G4735" s="23" t="str">
        <x:f>IF(E4735=F4735,"PASS","FAIL")</x:f>
        <x:v>PASS</x:v>
      </x:c>
    </x:row>
    <x:row r="4736">
      <x:c r="B4736" s="21" t="str">
        <x:v>A4730</x:v>
      </x:c>
      <x:c r="C4736" s="21" t="str">
        <x:v>facility</x:v>
      </x:c>
      <x:c r="D4736" s="21" t="str">
        <x:v>facility 37 nonnegative reserve</x:v>
      </x:c>
      <x:c r="E4736" s="21" t="n">
        <x:f>IF('Facility Reserve'!H37&gt;=0,1,0)</x:f>
        <x:v>1</x:v>
      </x:c>
      <x:c r="F4736" s="21" t="n">
        <x:v>1</x:v>
      </x:c>
      <x:c r="G4736" s="23" t="str">
        <x:f>IF(E4736=F4736,"PASS","FAIL")</x:f>
        <x:v>PASS</x:v>
      </x:c>
    </x:row>
    <x:row r="4737">
      <x:c r="B4737" s="21" t="str">
        <x:v>A4731</x:v>
      </x:c>
      <x:c r="C4737" s="21" t="str">
        <x:v>facility</x:v>
      </x:c>
      <x:c r="D4737" s="21" t="str">
        <x:v>facility 37 utilization bounded</x:v>
      </x:c>
      <x:c r="E4737" s="21" t="n">
        <x:f>IF(AND('Facility Reserve'!I37&gt;=0,'Facility Reserve'!I37&lt;=1),1,0)</x:f>
        <x:v>1</x:v>
      </x:c>
      <x:c r="F4737" s="21" t="n">
        <x:v>1</x:v>
      </x:c>
      <x:c r="G4737" s="23" t="str">
        <x:f>IF(E4737=F4737,"PASS","FAIL")</x:f>
        <x:v>PASS</x:v>
      </x:c>
    </x:row>
    <x:row r="4738">
      <x:c r="B4738" s="21" t="str">
        <x:v>A4732</x:v>
      </x:c>
      <x:c r="C4738" s="21" t="str">
        <x:v>facility</x:v>
      </x:c>
      <x:c r="D4738" s="21" t="str">
        <x:v>facility 37 capacity available</x:v>
      </x:c>
      <x:c r="E4738" s="21" t="n">
        <x:f>IF('Facility Reserve'!K37="AVAILABLE",1,0)</x:f>
        <x:v>1</x:v>
      </x:c>
      <x:c r="F4738" s="21" t="n">
        <x:v>1</x:v>
      </x:c>
      <x:c r="G4738" s="23" t="str">
        <x:f>IF(E4738=F4738,"PASS","FAIL")</x:f>
        <x:v>PASS</x:v>
      </x:c>
    </x:row>
    <x:row r="4739">
      <x:c r="B4739" s="21" t="str">
        <x:v>A4733</x:v>
      </x:c>
      <x:c r="C4739" s="21" t="str">
        <x:v>facility</x:v>
      </x:c>
      <x:c r="D4739" s="21" t="str">
        <x:v>facility 37 evidence open</x:v>
      </x:c>
      <x:c r="E4739" s="21" t="n">
        <x:f>IF('Facility Reserve'!J37="OPEN",1,0)</x:f>
        <x:v>1</x:v>
      </x:c>
      <x:c r="F4739" s="21" t="n">
        <x:v>1</x:v>
      </x:c>
      <x:c r="G4739" s="23" t="str">
        <x:f>IF(E4739=F4739,"PASS","FAIL")</x:f>
        <x:v>PASS</x:v>
      </x:c>
    </x:row>
    <x:row r="4740">
      <x:c r="B4740" s="21" t="str">
        <x:v>A4734</x:v>
      </x:c>
      <x:c r="C4740" s="21" t="str">
        <x:v>facility</x:v>
      </x:c>
      <x:c r="D4740" s="21" t="str">
        <x:v>facility 38 nonnegative reserve</x:v>
      </x:c>
      <x:c r="E4740" s="21" t="n">
        <x:f>IF('Facility Reserve'!H38&gt;=0,1,0)</x:f>
        <x:v>1</x:v>
      </x:c>
      <x:c r="F4740" s="21" t="n">
        <x:v>1</x:v>
      </x:c>
      <x:c r="G4740" s="23" t="str">
        <x:f>IF(E4740=F4740,"PASS","FAIL")</x:f>
        <x:v>PASS</x:v>
      </x:c>
    </x:row>
    <x:row r="4741">
      <x:c r="B4741" s="21" t="str">
        <x:v>A4735</x:v>
      </x:c>
      <x:c r="C4741" s="21" t="str">
        <x:v>facility</x:v>
      </x:c>
      <x:c r="D4741" s="21" t="str">
        <x:v>facility 38 utilization bounded</x:v>
      </x:c>
      <x:c r="E4741" s="21" t="n">
        <x:f>IF(AND('Facility Reserve'!I38&gt;=0,'Facility Reserve'!I38&lt;=1),1,0)</x:f>
        <x:v>1</x:v>
      </x:c>
      <x:c r="F4741" s="21" t="n">
        <x:v>1</x:v>
      </x:c>
      <x:c r="G4741" s="23" t="str">
        <x:f>IF(E4741=F4741,"PASS","FAIL")</x:f>
        <x:v>PASS</x:v>
      </x:c>
    </x:row>
    <x:row r="4742">
      <x:c r="B4742" s="21" t="str">
        <x:v>A4736</x:v>
      </x:c>
      <x:c r="C4742" s="21" t="str">
        <x:v>facility</x:v>
      </x:c>
      <x:c r="D4742" s="21" t="str">
        <x:v>facility 38 capacity available</x:v>
      </x:c>
      <x:c r="E4742" s="21" t="n">
        <x:f>IF('Facility Reserve'!K38="AVAILABLE",1,0)</x:f>
        <x:v>1</x:v>
      </x:c>
      <x:c r="F4742" s="21" t="n">
        <x:v>1</x:v>
      </x:c>
      <x:c r="G4742" s="23" t="str">
        <x:f>IF(E4742=F4742,"PASS","FAIL")</x:f>
        <x:v>PASS</x:v>
      </x:c>
    </x:row>
    <x:row r="4743">
      <x:c r="B4743" s="21" t="str">
        <x:v>A4737</x:v>
      </x:c>
      <x:c r="C4743" s="21" t="str">
        <x:v>facility</x:v>
      </x:c>
      <x:c r="D4743" s="21" t="str">
        <x:v>facility 38 evidence open</x:v>
      </x:c>
      <x:c r="E4743" s="21" t="n">
        <x:f>IF('Facility Reserve'!J38="OPEN",1,0)</x:f>
        <x:v>1</x:v>
      </x:c>
      <x:c r="F4743" s="21" t="n">
        <x:v>1</x:v>
      </x:c>
      <x:c r="G4743" s="23" t="str">
        <x:f>IF(E4743=F4743,"PASS","FAIL")</x:f>
        <x:v>PASS</x:v>
      </x:c>
    </x:row>
    <x:row r="4744">
      <x:c r="B4744" s="21" t="str">
        <x:v>A4738</x:v>
      </x:c>
      <x:c r="C4744" s="21" t="str">
        <x:v>facility</x:v>
      </x:c>
      <x:c r="D4744" s="21" t="str">
        <x:v>facility 39 nonnegative reserve</x:v>
      </x:c>
      <x:c r="E4744" s="21" t="n">
        <x:f>IF('Facility Reserve'!H39&gt;=0,1,0)</x:f>
        <x:v>1</x:v>
      </x:c>
      <x:c r="F4744" s="21" t="n">
        <x:v>1</x:v>
      </x:c>
      <x:c r="G4744" s="23" t="str">
        <x:f>IF(E4744=F4744,"PASS","FAIL")</x:f>
        <x:v>PASS</x:v>
      </x:c>
    </x:row>
    <x:row r="4745">
      <x:c r="B4745" s="21" t="str">
        <x:v>A4739</x:v>
      </x:c>
      <x:c r="C4745" s="21" t="str">
        <x:v>facility</x:v>
      </x:c>
      <x:c r="D4745" s="21" t="str">
        <x:v>facility 39 utilization bounded</x:v>
      </x:c>
      <x:c r="E4745" s="21" t="n">
        <x:f>IF(AND('Facility Reserve'!I39&gt;=0,'Facility Reserve'!I39&lt;=1),1,0)</x:f>
        <x:v>1</x:v>
      </x:c>
      <x:c r="F4745" s="21" t="n">
        <x:v>1</x:v>
      </x:c>
      <x:c r="G4745" s="23" t="str">
        <x:f>IF(E4745=F4745,"PASS","FAIL")</x:f>
        <x:v>PASS</x:v>
      </x:c>
    </x:row>
    <x:row r="4746">
      <x:c r="B4746" s="21" t="str">
        <x:v>A4740</x:v>
      </x:c>
      <x:c r="C4746" s="21" t="str">
        <x:v>facility</x:v>
      </x:c>
      <x:c r="D4746" s="21" t="str">
        <x:v>facility 39 capacity available</x:v>
      </x:c>
      <x:c r="E4746" s="21" t="n">
        <x:f>IF('Facility Reserve'!K39="AVAILABLE",1,0)</x:f>
        <x:v>1</x:v>
      </x:c>
      <x:c r="F4746" s="21" t="n">
        <x:v>1</x:v>
      </x:c>
      <x:c r="G4746" s="23" t="str">
        <x:f>IF(E4746=F4746,"PASS","FAIL")</x:f>
        <x:v>PASS</x:v>
      </x:c>
    </x:row>
    <x:row r="4747">
      <x:c r="B4747" s="21" t="str">
        <x:v>A4741</x:v>
      </x:c>
      <x:c r="C4747" s="21" t="str">
        <x:v>facility</x:v>
      </x:c>
      <x:c r="D4747" s="21" t="str">
        <x:v>facility 39 evidence open</x:v>
      </x:c>
      <x:c r="E4747" s="21" t="n">
        <x:f>IF('Facility Reserve'!J39="OPEN",1,0)</x:f>
        <x:v>1</x:v>
      </x:c>
      <x:c r="F4747" s="21" t="n">
        <x:v>1</x:v>
      </x:c>
      <x:c r="G4747" s="23" t="str">
        <x:f>IF(E4747=F4747,"PASS","FAIL")</x:f>
        <x:v>PASS</x:v>
      </x:c>
    </x:row>
    <x:row r="4748">
      <x:c r="B4748" s="21" t="str">
        <x:v>A4742</x:v>
      </x:c>
      <x:c r="C4748" s="21" t="str">
        <x:v>facility</x:v>
      </x:c>
      <x:c r="D4748" s="21" t="str">
        <x:v>facility 40 nonnegative reserve</x:v>
      </x:c>
      <x:c r="E4748" s="21" t="n">
        <x:f>IF('Facility Reserve'!H40&gt;=0,1,0)</x:f>
        <x:v>1</x:v>
      </x:c>
      <x:c r="F4748" s="21" t="n">
        <x:v>1</x:v>
      </x:c>
      <x:c r="G4748" s="23" t="str">
        <x:f>IF(E4748=F4748,"PASS","FAIL")</x:f>
        <x:v>PASS</x:v>
      </x:c>
    </x:row>
    <x:row r="4749">
      <x:c r="B4749" s="21" t="str">
        <x:v>A4743</x:v>
      </x:c>
      <x:c r="C4749" s="21" t="str">
        <x:v>facility</x:v>
      </x:c>
      <x:c r="D4749" s="21" t="str">
        <x:v>facility 40 utilization bounded</x:v>
      </x:c>
      <x:c r="E4749" s="21" t="n">
        <x:f>IF(AND('Facility Reserve'!I40&gt;=0,'Facility Reserve'!I40&lt;=1),1,0)</x:f>
        <x:v>1</x:v>
      </x:c>
      <x:c r="F4749" s="21" t="n">
        <x:v>1</x:v>
      </x:c>
      <x:c r="G4749" s="23" t="str">
        <x:f>IF(E4749=F4749,"PASS","FAIL")</x:f>
        <x:v>PASS</x:v>
      </x:c>
    </x:row>
    <x:row r="4750">
      <x:c r="B4750" s="21" t="str">
        <x:v>A4744</x:v>
      </x:c>
      <x:c r="C4750" s="21" t="str">
        <x:v>facility</x:v>
      </x:c>
      <x:c r="D4750" s="21" t="str">
        <x:v>facility 40 capacity available</x:v>
      </x:c>
      <x:c r="E4750" s="21" t="n">
        <x:f>IF('Facility Reserve'!K40="AVAILABLE",1,0)</x:f>
        <x:v>1</x:v>
      </x:c>
      <x:c r="F4750" s="21" t="n">
        <x:v>1</x:v>
      </x:c>
      <x:c r="G4750" s="23" t="str">
        <x:f>IF(E4750=F4750,"PASS","FAIL")</x:f>
        <x:v>PASS</x:v>
      </x:c>
    </x:row>
    <x:row r="4751">
      <x:c r="B4751" s="21" t="str">
        <x:v>A4745</x:v>
      </x:c>
      <x:c r="C4751" s="21" t="str">
        <x:v>facility</x:v>
      </x:c>
      <x:c r="D4751" s="21" t="str">
        <x:v>facility 40 evidence open</x:v>
      </x:c>
      <x:c r="E4751" s="21" t="n">
        <x:f>IF('Facility Reserve'!J40="OPEN",1,0)</x:f>
        <x:v>1</x:v>
      </x:c>
      <x:c r="F4751" s="21" t="n">
        <x:v>1</x:v>
      </x:c>
      <x:c r="G4751" s="23" t="str">
        <x:f>IF(E4751=F4751,"PASS","FAIL")</x:f>
        <x:v>PASS</x:v>
      </x:c>
    </x:row>
    <x:row r="4752">
      <x:c r="B4752" s="21" t="str">
        <x:v>A4746</x:v>
      </x:c>
      <x:c r="C4752" s="21" t="str">
        <x:v>facility</x:v>
      </x:c>
      <x:c r="D4752" s="21" t="str">
        <x:v>facility 41 nonnegative reserve</x:v>
      </x:c>
      <x:c r="E4752" s="21" t="n">
        <x:f>IF('Facility Reserve'!H41&gt;=0,1,0)</x:f>
        <x:v>1</x:v>
      </x:c>
      <x:c r="F4752" s="21" t="n">
        <x:v>1</x:v>
      </x:c>
      <x:c r="G4752" s="23" t="str">
        <x:f>IF(E4752=F4752,"PASS","FAIL")</x:f>
        <x:v>PASS</x:v>
      </x:c>
    </x:row>
    <x:row r="4753">
      <x:c r="B4753" s="21" t="str">
        <x:v>A4747</x:v>
      </x:c>
      <x:c r="C4753" s="21" t="str">
        <x:v>facility</x:v>
      </x:c>
      <x:c r="D4753" s="21" t="str">
        <x:v>facility 41 utilization bounded</x:v>
      </x:c>
      <x:c r="E4753" s="21" t="n">
        <x:f>IF(AND('Facility Reserve'!I41&gt;=0,'Facility Reserve'!I41&lt;=1),1,0)</x:f>
        <x:v>1</x:v>
      </x:c>
      <x:c r="F4753" s="21" t="n">
        <x:v>1</x:v>
      </x:c>
      <x:c r="G4753" s="23" t="str">
        <x:f>IF(E4753=F4753,"PASS","FAIL")</x:f>
        <x:v>PASS</x:v>
      </x:c>
    </x:row>
    <x:row r="4754">
      <x:c r="B4754" s="21" t="str">
        <x:v>A4748</x:v>
      </x:c>
      <x:c r="C4754" s="21" t="str">
        <x:v>facility</x:v>
      </x:c>
      <x:c r="D4754" s="21" t="str">
        <x:v>facility 41 capacity available</x:v>
      </x:c>
      <x:c r="E4754" s="21" t="n">
        <x:f>IF('Facility Reserve'!K41="AVAILABLE",1,0)</x:f>
        <x:v>1</x:v>
      </x:c>
      <x:c r="F4754" s="21" t="n">
        <x:v>1</x:v>
      </x:c>
      <x:c r="G4754" s="23" t="str">
        <x:f>IF(E4754=F4754,"PASS","FAIL")</x:f>
        <x:v>PASS</x:v>
      </x:c>
    </x:row>
    <x:row r="4755">
      <x:c r="B4755" s="21" t="str">
        <x:v>A4749</x:v>
      </x:c>
      <x:c r="C4755" s="21" t="str">
        <x:v>facility</x:v>
      </x:c>
      <x:c r="D4755" s="21" t="str">
        <x:v>facility 41 evidence open</x:v>
      </x:c>
      <x:c r="E4755" s="21" t="n">
        <x:f>IF('Facility Reserve'!J41="OPEN",1,0)</x:f>
        <x:v>1</x:v>
      </x:c>
      <x:c r="F4755" s="21" t="n">
        <x:v>1</x:v>
      </x:c>
      <x:c r="G4755" s="23" t="str">
        <x:f>IF(E4755=F4755,"PASS","FAIL")</x:f>
        <x:v>PASS</x:v>
      </x:c>
    </x:row>
    <x:row r="4756">
      <x:c r="B4756" s="21" t="str">
        <x:v>A4750</x:v>
      </x:c>
      <x:c r="C4756" s="21" t="str">
        <x:v>facility</x:v>
      </x:c>
      <x:c r="D4756" s="21" t="str">
        <x:v>facility 42 nonnegative reserve</x:v>
      </x:c>
      <x:c r="E4756" s="21" t="n">
        <x:f>IF('Facility Reserve'!H42&gt;=0,1,0)</x:f>
        <x:v>1</x:v>
      </x:c>
      <x:c r="F4756" s="21" t="n">
        <x:v>1</x:v>
      </x:c>
      <x:c r="G4756" s="23" t="str">
        <x:f>IF(E4756=F4756,"PASS","FAIL")</x:f>
        <x:v>PASS</x:v>
      </x:c>
    </x:row>
    <x:row r="4757">
      <x:c r="B4757" s="21" t="str">
        <x:v>A4751</x:v>
      </x:c>
      <x:c r="C4757" s="21" t="str">
        <x:v>facility</x:v>
      </x:c>
      <x:c r="D4757" s="21" t="str">
        <x:v>facility 42 utilization bounded</x:v>
      </x:c>
      <x:c r="E4757" s="21" t="n">
        <x:f>IF(AND('Facility Reserve'!I42&gt;=0,'Facility Reserve'!I42&lt;=1),1,0)</x:f>
        <x:v>1</x:v>
      </x:c>
      <x:c r="F4757" s="21" t="n">
        <x:v>1</x:v>
      </x:c>
      <x:c r="G4757" s="23" t="str">
        <x:f>IF(E4757=F4757,"PASS","FAIL")</x:f>
        <x:v>PASS</x:v>
      </x:c>
    </x:row>
    <x:row r="4758">
      <x:c r="B4758" s="21" t="str">
        <x:v>A4752</x:v>
      </x:c>
      <x:c r="C4758" s="21" t="str">
        <x:v>facility</x:v>
      </x:c>
      <x:c r="D4758" s="21" t="str">
        <x:v>facility 42 capacity available</x:v>
      </x:c>
      <x:c r="E4758" s="21" t="n">
        <x:f>IF('Facility Reserve'!K42="AVAILABLE",1,0)</x:f>
        <x:v>1</x:v>
      </x:c>
      <x:c r="F4758" s="21" t="n">
        <x:v>1</x:v>
      </x:c>
      <x:c r="G4758" s="23" t="str">
        <x:f>IF(E4758=F4758,"PASS","FAIL")</x:f>
        <x:v>PASS</x:v>
      </x:c>
    </x:row>
    <x:row r="4759">
      <x:c r="B4759" s="21" t="str">
        <x:v>A4753</x:v>
      </x:c>
      <x:c r="C4759" s="21" t="str">
        <x:v>facility</x:v>
      </x:c>
      <x:c r="D4759" s="21" t="str">
        <x:v>facility 42 evidence open</x:v>
      </x:c>
      <x:c r="E4759" s="21" t="n">
        <x:f>IF('Facility Reserve'!J42="OPEN",1,0)</x:f>
        <x:v>1</x:v>
      </x:c>
      <x:c r="F4759" s="21" t="n">
        <x:v>1</x:v>
      </x:c>
      <x:c r="G4759" s="23" t="str">
        <x:f>IF(E4759=F4759,"PASS","FAIL")</x:f>
        <x:v>PASS</x:v>
      </x:c>
    </x:row>
    <x:row r="4760">
      <x:c r="B4760" s="21" t="str">
        <x:v>A4754</x:v>
      </x:c>
      <x:c r="C4760" s="21" t="str">
        <x:v>facility</x:v>
      </x:c>
      <x:c r="D4760" s="21" t="str">
        <x:v>facility 43 nonnegative reserve</x:v>
      </x:c>
      <x:c r="E4760" s="21" t="n">
        <x:f>IF('Facility Reserve'!H43&gt;=0,1,0)</x:f>
        <x:v>1</x:v>
      </x:c>
      <x:c r="F4760" s="21" t="n">
        <x:v>1</x:v>
      </x:c>
      <x:c r="G4760" s="23" t="str">
        <x:f>IF(E4760=F4760,"PASS","FAIL")</x:f>
        <x:v>PASS</x:v>
      </x:c>
    </x:row>
    <x:row r="4761">
      <x:c r="B4761" s="21" t="str">
        <x:v>A4755</x:v>
      </x:c>
      <x:c r="C4761" s="21" t="str">
        <x:v>facility</x:v>
      </x:c>
      <x:c r="D4761" s="21" t="str">
        <x:v>facility 43 utilization bounded</x:v>
      </x:c>
      <x:c r="E4761" s="21" t="n">
        <x:f>IF(AND('Facility Reserve'!I43&gt;=0,'Facility Reserve'!I43&lt;=1),1,0)</x:f>
        <x:v>1</x:v>
      </x:c>
      <x:c r="F4761" s="21" t="n">
        <x:v>1</x:v>
      </x:c>
      <x:c r="G4761" s="23" t="str">
        <x:f>IF(E4761=F4761,"PASS","FAIL")</x:f>
        <x:v>PASS</x:v>
      </x:c>
    </x:row>
    <x:row r="4762">
      <x:c r="B4762" s="21" t="str">
        <x:v>A4756</x:v>
      </x:c>
      <x:c r="C4762" s="21" t="str">
        <x:v>facility</x:v>
      </x:c>
      <x:c r="D4762" s="21" t="str">
        <x:v>facility 43 capacity available</x:v>
      </x:c>
      <x:c r="E4762" s="21" t="n">
        <x:f>IF('Facility Reserve'!K43="AVAILABLE",1,0)</x:f>
        <x:v>1</x:v>
      </x:c>
      <x:c r="F4762" s="21" t="n">
        <x:v>1</x:v>
      </x:c>
      <x:c r="G4762" s="23" t="str">
        <x:f>IF(E4762=F4762,"PASS","FAIL")</x:f>
        <x:v>PASS</x:v>
      </x:c>
    </x:row>
    <x:row r="4763">
      <x:c r="B4763" s="21" t="str">
        <x:v>A4757</x:v>
      </x:c>
      <x:c r="C4763" s="21" t="str">
        <x:v>facility</x:v>
      </x:c>
      <x:c r="D4763" s="21" t="str">
        <x:v>facility 43 evidence open</x:v>
      </x:c>
      <x:c r="E4763" s="21" t="n">
        <x:f>IF('Facility Reserve'!J43="OPEN",1,0)</x:f>
        <x:v>1</x:v>
      </x:c>
      <x:c r="F4763" s="21" t="n">
        <x:v>1</x:v>
      </x:c>
      <x:c r="G4763" s="23" t="str">
        <x:f>IF(E4763=F4763,"PASS","FAIL")</x:f>
        <x:v>PASS</x:v>
      </x:c>
    </x:row>
    <x:row r="4764">
      <x:c r="B4764" s="21" t="str">
        <x:v>A4758</x:v>
      </x:c>
      <x:c r="C4764" s="21" t="str">
        <x:v>facility</x:v>
      </x:c>
      <x:c r="D4764" s="21" t="str">
        <x:v>facility 44 nonnegative reserve</x:v>
      </x:c>
      <x:c r="E4764" s="21" t="n">
        <x:f>IF('Facility Reserve'!H44&gt;=0,1,0)</x:f>
        <x:v>1</x:v>
      </x:c>
      <x:c r="F4764" s="21" t="n">
        <x:v>1</x:v>
      </x:c>
      <x:c r="G4764" s="23" t="str">
        <x:f>IF(E4764=F4764,"PASS","FAIL")</x:f>
        <x:v>PASS</x:v>
      </x:c>
    </x:row>
    <x:row r="4765">
      <x:c r="B4765" s="21" t="str">
        <x:v>A4759</x:v>
      </x:c>
      <x:c r="C4765" s="21" t="str">
        <x:v>facility</x:v>
      </x:c>
      <x:c r="D4765" s="21" t="str">
        <x:v>facility 44 utilization bounded</x:v>
      </x:c>
      <x:c r="E4765" s="21" t="n">
        <x:f>IF(AND('Facility Reserve'!I44&gt;=0,'Facility Reserve'!I44&lt;=1),1,0)</x:f>
        <x:v>1</x:v>
      </x:c>
      <x:c r="F4765" s="21" t="n">
        <x:v>1</x:v>
      </x:c>
      <x:c r="G4765" s="23" t="str">
        <x:f>IF(E4765=F4765,"PASS","FAIL")</x:f>
        <x:v>PASS</x:v>
      </x:c>
    </x:row>
    <x:row r="4766">
      <x:c r="B4766" s="21" t="str">
        <x:v>A4760</x:v>
      </x:c>
      <x:c r="C4766" s="21" t="str">
        <x:v>facility</x:v>
      </x:c>
      <x:c r="D4766" s="21" t="str">
        <x:v>facility 44 capacity available</x:v>
      </x:c>
      <x:c r="E4766" s="21" t="n">
        <x:f>IF('Facility Reserve'!K44="AVAILABLE",1,0)</x:f>
        <x:v>1</x:v>
      </x:c>
      <x:c r="F4766" s="21" t="n">
        <x:v>1</x:v>
      </x:c>
      <x:c r="G4766" s="23" t="str">
        <x:f>IF(E4766=F4766,"PASS","FAIL")</x:f>
        <x:v>PASS</x:v>
      </x:c>
    </x:row>
    <x:row r="4767">
      <x:c r="B4767" s="21" t="str">
        <x:v>A4761</x:v>
      </x:c>
      <x:c r="C4767" s="21" t="str">
        <x:v>facility</x:v>
      </x:c>
      <x:c r="D4767" s="21" t="str">
        <x:v>facility 44 evidence open</x:v>
      </x:c>
      <x:c r="E4767" s="21" t="n">
        <x:f>IF('Facility Reserve'!J44="OPEN",1,0)</x:f>
        <x:v>1</x:v>
      </x:c>
      <x:c r="F4767" s="21" t="n">
        <x:v>1</x:v>
      </x:c>
      <x:c r="G4767" s="23" t="str">
        <x:f>IF(E4767=F4767,"PASS","FAIL")</x:f>
        <x:v>PASS</x:v>
      </x:c>
    </x:row>
    <x:row r="4768">
      <x:c r="B4768" s="21" t="str">
        <x:v>A4762</x:v>
      </x:c>
      <x:c r="C4768" s="21" t="str">
        <x:v>facility</x:v>
      </x:c>
      <x:c r="D4768" s="21" t="str">
        <x:v>facility 45 nonnegative reserve</x:v>
      </x:c>
      <x:c r="E4768" s="21" t="n">
        <x:f>IF('Facility Reserve'!H45&gt;=0,1,0)</x:f>
        <x:v>1</x:v>
      </x:c>
      <x:c r="F4768" s="21" t="n">
        <x:v>1</x:v>
      </x:c>
      <x:c r="G4768" s="23" t="str">
        <x:f>IF(E4768=F4768,"PASS","FAIL")</x:f>
        <x:v>PASS</x:v>
      </x:c>
    </x:row>
    <x:row r="4769">
      <x:c r="B4769" s="21" t="str">
        <x:v>A4763</x:v>
      </x:c>
      <x:c r="C4769" s="21" t="str">
        <x:v>facility</x:v>
      </x:c>
      <x:c r="D4769" s="21" t="str">
        <x:v>facility 45 utilization bounded</x:v>
      </x:c>
      <x:c r="E4769" s="21" t="n">
        <x:f>IF(AND('Facility Reserve'!I45&gt;=0,'Facility Reserve'!I45&lt;=1),1,0)</x:f>
        <x:v>1</x:v>
      </x:c>
      <x:c r="F4769" s="21" t="n">
        <x:v>1</x:v>
      </x:c>
      <x:c r="G4769" s="23" t="str">
        <x:f>IF(E4769=F4769,"PASS","FAIL")</x:f>
        <x:v>PASS</x:v>
      </x:c>
    </x:row>
    <x:row r="4770">
      <x:c r="B4770" s="21" t="str">
        <x:v>A4764</x:v>
      </x:c>
      <x:c r="C4770" s="21" t="str">
        <x:v>facility</x:v>
      </x:c>
      <x:c r="D4770" s="21" t="str">
        <x:v>facility 45 capacity available</x:v>
      </x:c>
      <x:c r="E4770" s="21" t="n">
        <x:f>IF('Facility Reserve'!K45="AVAILABLE",1,0)</x:f>
        <x:v>1</x:v>
      </x:c>
      <x:c r="F4770" s="21" t="n">
        <x:v>1</x:v>
      </x:c>
      <x:c r="G4770" s="23" t="str">
        <x:f>IF(E4770=F4770,"PASS","FAIL")</x:f>
        <x:v>PASS</x:v>
      </x:c>
    </x:row>
    <x:row r="4771">
      <x:c r="B4771" s="21" t="str">
        <x:v>A4765</x:v>
      </x:c>
      <x:c r="C4771" s="21" t="str">
        <x:v>facility</x:v>
      </x:c>
      <x:c r="D4771" s="21" t="str">
        <x:v>facility 45 evidence open</x:v>
      </x:c>
      <x:c r="E4771" s="21" t="n">
        <x:f>IF('Facility Reserve'!J45="OPEN",1,0)</x:f>
        <x:v>1</x:v>
      </x:c>
      <x:c r="F4771" s="21" t="n">
        <x:v>1</x:v>
      </x:c>
      <x:c r="G4771" s="23" t="str">
        <x:f>IF(E4771=F4771,"PASS","FAIL")</x:f>
        <x:v>PASS</x:v>
      </x:c>
    </x:row>
    <x:row r="4772">
      <x:c r="B4772" s="21" t="str">
        <x:v>A4766</x:v>
      </x:c>
      <x:c r="C4772" s="21" t="str">
        <x:v>facility</x:v>
      </x:c>
      <x:c r="D4772" s="21" t="str">
        <x:v>facility 46 nonnegative reserve</x:v>
      </x:c>
      <x:c r="E4772" s="21" t="n">
        <x:f>IF('Facility Reserve'!H46&gt;=0,1,0)</x:f>
        <x:v>1</x:v>
      </x:c>
      <x:c r="F4772" s="21" t="n">
        <x:v>1</x:v>
      </x:c>
      <x:c r="G4772" s="23" t="str">
        <x:f>IF(E4772=F4772,"PASS","FAIL")</x:f>
        <x:v>PASS</x:v>
      </x:c>
    </x:row>
    <x:row r="4773">
      <x:c r="B4773" s="21" t="str">
        <x:v>A4767</x:v>
      </x:c>
      <x:c r="C4773" s="21" t="str">
        <x:v>facility</x:v>
      </x:c>
      <x:c r="D4773" s="21" t="str">
        <x:v>facility 46 utilization bounded</x:v>
      </x:c>
      <x:c r="E4773" s="21" t="n">
        <x:f>IF(AND('Facility Reserve'!I46&gt;=0,'Facility Reserve'!I46&lt;=1),1,0)</x:f>
        <x:v>1</x:v>
      </x:c>
      <x:c r="F4773" s="21" t="n">
        <x:v>1</x:v>
      </x:c>
      <x:c r="G4773" s="23" t="str">
        <x:f>IF(E4773=F4773,"PASS","FAIL")</x:f>
        <x:v>PASS</x:v>
      </x:c>
    </x:row>
    <x:row r="4774">
      <x:c r="B4774" s="21" t="str">
        <x:v>A4768</x:v>
      </x:c>
      <x:c r="C4774" s="21" t="str">
        <x:v>facility</x:v>
      </x:c>
      <x:c r="D4774" s="21" t="str">
        <x:v>facility 46 capacity available</x:v>
      </x:c>
      <x:c r="E4774" s="21" t="n">
        <x:f>IF('Facility Reserve'!K46="AVAILABLE",1,0)</x:f>
        <x:v>1</x:v>
      </x:c>
      <x:c r="F4774" s="21" t="n">
        <x:v>1</x:v>
      </x:c>
      <x:c r="G4774" s="23" t="str">
        <x:f>IF(E4774=F4774,"PASS","FAIL")</x:f>
        <x:v>PASS</x:v>
      </x:c>
    </x:row>
    <x:row r="4775">
      <x:c r="B4775" s="21" t="str">
        <x:v>A4769</x:v>
      </x:c>
      <x:c r="C4775" s="21" t="str">
        <x:v>facility</x:v>
      </x:c>
      <x:c r="D4775" s="21" t="str">
        <x:v>facility 46 evidence open</x:v>
      </x:c>
      <x:c r="E4775" s="21" t="n">
        <x:f>IF('Facility Reserve'!J46="OPEN",1,0)</x:f>
        <x:v>1</x:v>
      </x:c>
      <x:c r="F4775" s="21" t="n">
        <x:v>1</x:v>
      </x:c>
      <x:c r="G4775" s="23" t="str">
        <x:f>IF(E4775=F4775,"PASS","FAIL")</x:f>
        <x:v>PASS</x:v>
      </x:c>
    </x:row>
    <x:row r="4776">
      <x:c r="B4776" s="21" t="str">
        <x:v>A4770</x:v>
      </x:c>
      <x:c r="C4776" s="21" t="str">
        <x:v>facility</x:v>
      </x:c>
      <x:c r="D4776" s="21" t="str">
        <x:v>facility 47 nonnegative reserve</x:v>
      </x:c>
      <x:c r="E4776" s="21" t="n">
        <x:f>IF('Facility Reserve'!H47&gt;=0,1,0)</x:f>
        <x:v>1</x:v>
      </x:c>
      <x:c r="F4776" s="21" t="n">
        <x:v>1</x:v>
      </x:c>
      <x:c r="G4776" s="23" t="str">
        <x:f>IF(E4776=F4776,"PASS","FAIL")</x:f>
        <x:v>PASS</x:v>
      </x:c>
    </x:row>
    <x:row r="4777">
      <x:c r="B4777" s="21" t="str">
        <x:v>A4771</x:v>
      </x:c>
      <x:c r="C4777" s="21" t="str">
        <x:v>facility</x:v>
      </x:c>
      <x:c r="D4777" s="21" t="str">
        <x:v>facility 47 utilization bounded</x:v>
      </x:c>
      <x:c r="E4777" s="21" t="n">
        <x:f>IF(AND('Facility Reserve'!I47&gt;=0,'Facility Reserve'!I47&lt;=1),1,0)</x:f>
        <x:v>1</x:v>
      </x:c>
      <x:c r="F4777" s="21" t="n">
        <x:v>1</x:v>
      </x:c>
      <x:c r="G4777" s="23" t="str">
        <x:f>IF(E4777=F4777,"PASS","FAIL")</x:f>
        <x:v>PASS</x:v>
      </x:c>
    </x:row>
    <x:row r="4778">
      <x:c r="B4778" s="21" t="str">
        <x:v>A4772</x:v>
      </x:c>
      <x:c r="C4778" s="21" t="str">
        <x:v>facility</x:v>
      </x:c>
      <x:c r="D4778" s="21" t="str">
        <x:v>facility 47 capacity available</x:v>
      </x:c>
      <x:c r="E4778" s="21" t="n">
        <x:f>IF('Facility Reserve'!K47="AVAILABLE",1,0)</x:f>
        <x:v>1</x:v>
      </x:c>
      <x:c r="F4778" s="21" t="n">
        <x:v>1</x:v>
      </x:c>
      <x:c r="G4778" s="23" t="str">
        <x:f>IF(E4778=F4778,"PASS","FAIL")</x:f>
        <x:v>PASS</x:v>
      </x:c>
    </x:row>
    <x:row r="4779">
      <x:c r="B4779" s="21" t="str">
        <x:v>A4773</x:v>
      </x:c>
      <x:c r="C4779" s="21" t="str">
        <x:v>facility</x:v>
      </x:c>
      <x:c r="D4779" s="21" t="str">
        <x:v>facility 47 evidence open</x:v>
      </x:c>
      <x:c r="E4779" s="21" t="n">
        <x:f>IF('Facility Reserve'!J47="OPEN",1,0)</x:f>
        <x:v>1</x:v>
      </x:c>
      <x:c r="F4779" s="21" t="n">
        <x:v>1</x:v>
      </x:c>
      <x:c r="G4779" s="23" t="str">
        <x:f>IF(E4779=F4779,"PASS","FAIL")</x:f>
        <x:v>PASS</x:v>
      </x:c>
    </x:row>
    <x:row r="4780">
      <x:c r="B4780" s="21" t="str">
        <x:v>A4774</x:v>
      </x:c>
      <x:c r="C4780" s="21" t="str">
        <x:v>facility</x:v>
      </x:c>
      <x:c r="D4780" s="21" t="str">
        <x:v>facility 48 nonnegative reserve</x:v>
      </x:c>
      <x:c r="E4780" s="21" t="n">
        <x:f>IF('Facility Reserve'!H48&gt;=0,1,0)</x:f>
        <x:v>1</x:v>
      </x:c>
      <x:c r="F4780" s="21" t="n">
        <x:v>1</x:v>
      </x:c>
      <x:c r="G4780" s="23" t="str">
        <x:f>IF(E4780=F4780,"PASS","FAIL")</x:f>
        <x:v>PASS</x:v>
      </x:c>
    </x:row>
    <x:row r="4781">
      <x:c r="B4781" s="21" t="str">
        <x:v>A4775</x:v>
      </x:c>
      <x:c r="C4781" s="21" t="str">
        <x:v>facility</x:v>
      </x:c>
      <x:c r="D4781" s="21" t="str">
        <x:v>facility 48 utilization bounded</x:v>
      </x:c>
      <x:c r="E4781" s="21" t="n">
        <x:f>IF(AND('Facility Reserve'!I48&gt;=0,'Facility Reserve'!I48&lt;=1),1,0)</x:f>
        <x:v>1</x:v>
      </x:c>
      <x:c r="F4781" s="21" t="n">
        <x:v>1</x:v>
      </x:c>
      <x:c r="G4781" s="23" t="str">
        <x:f>IF(E4781=F4781,"PASS","FAIL")</x:f>
        <x:v>PASS</x:v>
      </x:c>
    </x:row>
    <x:row r="4782">
      <x:c r="B4782" s="21" t="str">
        <x:v>A4776</x:v>
      </x:c>
      <x:c r="C4782" s="21" t="str">
        <x:v>facility</x:v>
      </x:c>
      <x:c r="D4782" s="21" t="str">
        <x:v>facility 48 capacity available</x:v>
      </x:c>
      <x:c r="E4782" s="21" t="n">
        <x:f>IF('Facility Reserve'!K48="AVAILABLE",1,0)</x:f>
        <x:v>1</x:v>
      </x:c>
      <x:c r="F4782" s="21" t="n">
        <x:v>1</x:v>
      </x:c>
      <x:c r="G4782" s="23" t="str">
        <x:f>IF(E4782=F4782,"PASS","FAIL")</x:f>
        <x:v>PASS</x:v>
      </x:c>
    </x:row>
    <x:row r="4783">
      <x:c r="B4783" s="21" t="str">
        <x:v>A4777</x:v>
      </x:c>
      <x:c r="C4783" s="21" t="str">
        <x:v>facility</x:v>
      </x:c>
      <x:c r="D4783" s="21" t="str">
        <x:v>facility 48 evidence open</x:v>
      </x:c>
      <x:c r="E4783" s="21" t="n">
        <x:f>IF('Facility Reserve'!J48="OPEN",1,0)</x:f>
        <x:v>1</x:v>
      </x:c>
      <x:c r="F4783" s="21" t="n">
        <x:v>1</x:v>
      </x:c>
      <x:c r="G4783" s="23" t="str">
        <x:f>IF(E4783=F4783,"PASS","FAIL")</x:f>
        <x:v>PASS</x:v>
      </x:c>
    </x:row>
    <x:row r="4784">
      <x:c r="B4784" s="21" t="str">
        <x:v>A4778</x:v>
      </x:c>
      <x:c r="C4784" s="21" t="str">
        <x:v>facility</x:v>
      </x:c>
      <x:c r="D4784" s="21" t="str">
        <x:v>facility 49 nonnegative reserve</x:v>
      </x:c>
      <x:c r="E4784" s="21" t="n">
        <x:f>IF('Facility Reserve'!H49&gt;=0,1,0)</x:f>
        <x:v>1</x:v>
      </x:c>
      <x:c r="F4784" s="21" t="n">
        <x:v>1</x:v>
      </x:c>
      <x:c r="G4784" s="23" t="str">
        <x:f>IF(E4784=F4784,"PASS","FAIL")</x:f>
        <x:v>PASS</x:v>
      </x:c>
    </x:row>
    <x:row r="4785">
      <x:c r="B4785" s="21" t="str">
        <x:v>A4779</x:v>
      </x:c>
      <x:c r="C4785" s="21" t="str">
        <x:v>facility</x:v>
      </x:c>
      <x:c r="D4785" s="21" t="str">
        <x:v>facility 49 utilization bounded</x:v>
      </x:c>
      <x:c r="E4785" s="21" t="n">
        <x:f>IF(AND('Facility Reserve'!I49&gt;=0,'Facility Reserve'!I49&lt;=1),1,0)</x:f>
        <x:v>1</x:v>
      </x:c>
      <x:c r="F4785" s="21" t="n">
        <x:v>1</x:v>
      </x:c>
      <x:c r="G4785" s="23" t="str">
        <x:f>IF(E4785=F4785,"PASS","FAIL")</x:f>
        <x:v>PASS</x:v>
      </x:c>
    </x:row>
    <x:row r="4786">
      <x:c r="B4786" s="21" t="str">
        <x:v>A4780</x:v>
      </x:c>
      <x:c r="C4786" s="21" t="str">
        <x:v>facility</x:v>
      </x:c>
      <x:c r="D4786" s="21" t="str">
        <x:v>facility 49 capacity available</x:v>
      </x:c>
      <x:c r="E4786" s="21" t="n">
        <x:f>IF('Facility Reserve'!K49="AVAILABLE",1,0)</x:f>
        <x:v>1</x:v>
      </x:c>
      <x:c r="F4786" s="21" t="n">
        <x:v>1</x:v>
      </x:c>
      <x:c r="G4786" s="23" t="str">
        <x:f>IF(E4786=F4786,"PASS","FAIL")</x:f>
        <x:v>PASS</x:v>
      </x:c>
    </x:row>
    <x:row r="4787">
      <x:c r="B4787" s="21" t="str">
        <x:v>A4781</x:v>
      </x:c>
      <x:c r="C4787" s="21" t="str">
        <x:v>facility</x:v>
      </x:c>
      <x:c r="D4787" s="21" t="str">
        <x:v>facility 49 evidence open</x:v>
      </x:c>
      <x:c r="E4787" s="21" t="n">
        <x:f>IF('Facility Reserve'!J49="OPEN",1,0)</x:f>
        <x:v>1</x:v>
      </x:c>
      <x:c r="F4787" s="21" t="n">
        <x:v>1</x:v>
      </x:c>
      <x:c r="G4787" s="23" t="str">
        <x:f>IF(E4787=F4787,"PASS","FAIL")</x:f>
        <x:v>PASS</x:v>
      </x:c>
    </x:row>
    <x:row r="4788">
      <x:c r="B4788" s="21" t="str">
        <x:v>A4782</x:v>
      </x:c>
      <x:c r="C4788" s="21" t="str">
        <x:v>facility</x:v>
      </x:c>
      <x:c r="D4788" s="21" t="str">
        <x:v>facility 50 nonnegative reserve</x:v>
      </x:c>
      <x:c r="E4788" s="21" t="n">
        <x:f>IF('Facility Reserve'!H50&gt;=0,1,0)</x:f>
        <x:v>1</x:v>
      </x:c>
      <x:c r="F4788" s="21" t="n">
        <x:v>1</x:v>
      </x:c>
      <x:c r="G4788" s="23" t="str">
        <x:f>IF(E4788=F4788,"PASS","FAIL")</x:f>
        <x:v>PASS</x:v>
      </x:c>
    </x:row>
    <x:row r="4789">
      <x:c r="B4789" s="21" t="str">
        <x:v>A4783</x:v>
      </x:c>
      <x:c r="C4789" s="21" t="str">
        <x:v>facility</x:v>
      </x:c>
      <x:c r="D4789" s="21" t="str">
        <x:v>facility 50 utilization bounded</x:v>
      </x:c>
      <x:c r="E4789" s="21" t="n">
        <x:f>IF(AND('Facility Reserve'!I50&gt;=0,'Facility Reserve'!I50&lt;=1),1,0)</x:f>
        <x:v>1</x:v>
      </x:c>
      <x:c r="F4789" s="21" t="n">
        <x:v>1</x:v>
      </x:c>
      <x:c r="G4789" s="23" t="str">
        <x:f>IF(E4789=F4789,"PASS","FAIL")</x:f>
        <x:v>PASS</x:v>
      </x:c>
    </x:row>
    <x:row r="4790">
      <x:c r="B4790" s="21" t="str">
        <x:v>A4784</x:v>
      </x:c>
      <x:c r="C4790" s="21" t="str">
        <x:v>facility</x:v>
      </x:c>
      <x:c r="D4790" s="21" t="str">
        <x:v>facility 50 capacity available</x:v>
      </x:c>
      <x:c r="E4790" s="21" t="n">
        <x:f>IF('Facility Reserve'!K50="AVAILABLE",1,0)</x:f>
        <x:v>1</x:v>
      </x:c>
      <x:c r="F4790" s="21" t="n">
        <x:v>1</x:v>
      </x:c>
      <x:c r="G4790" s="23" t="str">
        <x:f>IF(E4790=F4790,"PASS","FAIL")</x:f>
        <x:v>PASS</x:v>
      </x:c>
    </x:row>
    <x:row r="4791">
      <x:c r="B4791" s="21" t="str">
        <x:v>A4785</x:v>
      </x:c>
      <x:c r="C4791" s="21" t="str">
        <x:v>facility</x:v>
      </x:c>
      <x:c r="D4791" s="21" t="str">
        <x:v>facility 50 evidence open</x:v>
      </x:c>
      <x:c r="E4791" s="21" t="n">
        <x:f>IF('Facility Reserve'!J50="OPEN",1,0)</x:f>
        <x:v>1</x:v>
      </x:c>
      <x:c r="F4791" s="21" t="n">
        <x:v>1</x:v>
      </x:c>
      <x:c r="G4791" s="23" t="str">
        <x:f>IF(E4791=F4791,"PASS","FAIL")</x:f>
        <x:v>PASS</x:v>
      </x:c>
    </x:row>
    <x:row r="4792">
      <x:c r="B4792" s="21" t="str">
        <x:v>A4786</x:v>
      </x:c>
      <x:c r="C4792" s="21" t="str">
        <x:v>facility</x:v>
      </x:c>
      <x:c r="D4792" s="21" t="str">
        <x:v>facility 51 nonnegative reserve</x:v>
      </x:c>
      <x:c r="E4792" s="21" t="n">
        <x:f>IF('Facility Reserve'!H51&gt;=0,1,0)</x:f>
        <x:v>1</x:v>
      </x:c>
      <x:c r="F4792" s="21" t="n">
        <x:v>1</x:v>
      </x:c>
      <x:c r="G4792" s="23" t="str">
        <x:f>IF(E4792=F4792,"PASS","FAIL")</x:f>
        <x:v>PASS</x:v>
      </x:c>
    </x:row>
    <x:row r="4793">
      <x:c r="B4793" s="21" t="str">
        <x:v>A4787</x:v>
      </x:c>
      <x:c r="C4793" s="21" t="str">
        <x:v>facility</x:v>
      </x:c>
      <x:c r="D4793" s="21" t="str">
        <x:v>facility 51 utilization bounded</x:v>
      </x:c>
      <x:c r="E4793" s="21" t="n">
        <x:f>IF(AND('Facility Reserve'!I51&gt;=0,'Facility Reserve'!I51&lt;=1),1,0)</x:f>
        <x:v>1</x:v>
      </x:c>
      <x:c r="F4793" s="21" t="n">
        <x:v>1</x:v>
      </x:c>
      <x:c r="G4793" s="23" t="str">
        <x:f>IF(E4793=F4793,"PASS","FAIL")</x:f>
        <x:v>PASS</x:v>
      </x:c>
    </x:row>
    <x:row r="4794">
      <x:c r="B4794" s="21" t="str">
        <x:v>A4788</x:v>
      </x:c>
      <x:c r="C4794" s="21" t="str">
        <x:v>facility</x:v>
      </x:c>
      <x:c r="D4794" s="21" t="str">
        <x:v>facility 51 capacity available</x:v>
      </x:c>
      <x:c r="E4794" s="21" t="n">
        <x:f>IF('Facility Reserve'!K51="AVAILABLE",1,0)</x:f>
        <x:v>1</x:v>
      </x:c>
      <x:c r="F4794" s="21" t="n">
        <x:v>1</x:v>
      </x:c>
      <x:c r="G4794" s="23" t="str">
        <x:f>IF(E4794=F4794,"PASS","FAIL")</x:f>
        <x:v>PASS</x:v>
      </x:c>
    </x:row>
    <x:row r="4795">
      <x:c r="B4795" s="21" t="str">
        <x:v>A4789</x:v>
      </x:c>
      <x:c r="C4795" s="21" t="str">
        <x:v>facility</x:v>
      </x:c>
      <x:c r="D4795" s="21" t="str">
        <x:v>facility 51 evidence open</x:v>
      </x:c>
      <x:c r="E4795" s="21" t="n">
        <x:f>IF('Facility Reserve'!J51="OPEN",1,0)</x:f>
        <x:v>1</x:v>
      </x:c>
      <x:c r="F4795" s="21" t="n">
        <x:v>1</x:v>
      </x:c>
      <x:c r="G4795" s="23" t="str">
        <x:f>IF(E4795=F4795,"PASS","FAIL")</x:f>
        <x:v>PASS</x:v>
      </x:c>
    </x:row>
    <x:row r="4796">
      <x:c r="B4796" s="21" t="str">
        <x:v>A4790</x:v>
      </x:c>
      <x:c r="C4796" s="21" t="str">
        <x:v>facility</x:v>
      </x:c>
      <x:c r="D4796" s="21" t="str">
        <x:v>facility 52 nonnegative reserve</x:v>
      </x:c>
      <x:c r="E4796" s="21" t="n">
        <x:f>IF('Facility Reserve'!H52&gt;=0,1,0)</x:f>
        <x:v>1</x:v>
      </x:c>
      <x:c r="F4796" s="21" t="n">
        <x:v>1</x:v>
      </x:c>
      <x:c r="G4796" s="23" t="str">
        <x:f>IF(E4796=F4796,"PASS","FAIL")</x:f>
        <x:v>PASS</x:v>
      </x:c>
    </x:row>
    <x:row r="4797">
      <x:c r="B4797" s="21" t="str">
        <x:v>A4791</x:v>
      </x:c>
      <x:c r="C4797" s="21" t="str">
        <x:v>facility</x:v>
      </x:c>
      <x:c r="D4797" s="21" t="str">
        <x:v>facility 52 utilization bounded</x:v>
      </x:c>
      <x:c r="E4797" s="21" t="n">
        <x:f>IF(AND('Facility Reserve'!I52&gt;=0,'Facility Reserve'!I52&lt;=1),1,0)</x:f>
        <x:v>1</x:v>
      </x:c>
      <x:c r="F4797" s="21" t="n">
        <x:v>1</x:v>
      </x:c>
      <x:c r="G4797" s="23" t="str">
        <x:f>IF(E4797=F4797,"PASS","FAIL")</x:f>
        <x:v>PASS</x:v>
      </x:c>
    </x:row>
    <x:row r="4798">
      <x:c r="B4798" s="21" t="str">
        <x:v>A4792</x:v>
      </x:c>
      <x:c r="C4798" s="21" t="str">
        <x:v>facility</x:v>
      </x:c>
      <x:c r="D4798" s="21" t="str">
        <x:v>facility 52 capacity available</x:v>
      </x:c>
      <x:c r="E4798" s="21" t="n">
        <x:f>IF('Facility Reserve'!K52="AVAILABLE",1,0)</x:f>
        <x:v>1</x:v>
      </x:c>
      <x:c r="F4798" s="21" t="n">
        <x:v>1</x:v>
      </x:c>
      <x:c r="G4798" s="23" t="str">
        <x:f>IF(E4798=F4798,"PASS","FAIL")</x:f>
        <x:v>PASS</x:v>
      </x:c>
    </x:row>
    <x:row r="4799">
      <x:c r="B4799" s="21" t="str">
        <x:v>A4793</x:v>
      </x:c>
      <x:c r="C4799" s="21" t="str">
        <x:v>facility</x:v>
      </x:c>
      <x:c r="D4799" s="21" t="str">
        <x:v>facility 52 evidence open</x:v>
      </x:c>
      <x:c r="E4799" s="21" t="n">
        <x:f>IF('Facility Reserve'!J52="OPEN",1,0)</x:f>
        <x:v>1</x:v>
      </x:c>
      <x:c r="F4799" s="21" t="n">
        <x:v>1</x:v>
      </x:c>
      <x:c r="G4799" s="23" t="str">
        <x:f>IF(E4799=F4799,"PASS","FAIL")</x:f>
        <x:v>PASS</x:v>
      </x:c>
    </x:row>
    <x:row r="4800">
      <x:c r="B4800" s="21" t="str">
        <x:v>A4794</x:v>
      </x:c>
      <x:c r="C4800" s="21" t="str">
        <x:v>facility</x:v>
      </x:c>
      <x:c r="D4800" s="21" t="str">
        <x:v>facility 53 nonnegative reserve</x:v>
      </x:c>
      <x:c r="E4800" s="21" t="n">
        <x:f>IF('Facility Reserve'!H53&gt;=0,1,0)</x:f>
        <x:v>1</x:v>
      </x:c>
      <x:c r="F4800" s="21" t="n">
        <x:v>1</x:v>
      </x:c>
      <x:c r="G4800" s="23" t="str">
        <x:f>IF(E4800=F4800,"PASS","FAIL")</x:f>
        <x:v>PASS</x:v>
      </x:c>
    </x:row>
    <x:row r="4801">
      <x:c r="B4801" s="21" t="str">
        <x:v>A4795</x:v>
      </x:c>
      <x:c r="C4801" s="21" t="str">
        <x:v>facility</x:v>
      </x:c>
      <x:c r="D4801" s="21" t="str">
        <x:v>facility 53 utilization bounded</x:v>
      </x:c>
      <x:c r="E4801" s="21" t="n">
        <x:f>IF(AND('Facility Reserve'!I53&gt;=0,'Facility Reserve'!I53&lt;=1),1,0)</x:f>
        <x:v>1</x:v>
      </x:c>
      <x:c r="F4801" s="21" t="n">
        <x:v>1</x:v>
      </x:c>
      <x:c r="G4801" s="23" t="str">
        <x:f>IF(E4801=F4801,"PASS","FAIL")</x:f>
        <x:v>PASS</x:v>
      </x:c>
    </x:row>
    <x:row r="4802">
      <x:c r="B4802" s="21" t="str">
        <x:v>A4796</x:v>
      </x:c>
      <x:c r="C4802" s="21" t="str">
        <x:v>facility</x:v>
      </x:c>
      <x:c r="D4802" s="21" t="str">
        <x:v>facility 53 capacity available</x:v>
      </x:c>
      <x:c r="E4802" s="21" t="n">
        <x:f>IF('Facility Reserve'!K53="AVAILABLE",1,0)</x:f>
        <x:v>1</x:v>
      </x:c>
      <x:c r="F4802" s="21" t="n">
        <x:v>1</x:v>
      </x:c>
      <x:c r="G4802" s="23" t="str">
        <x:f>IF(E4802=F4802,"PASS","FAIL")</x:f>
        <x:v>PASS</x:v>
      </x:c>
    </x:row>
    <x:row r="4803">
      <x:c r="B4803" s="21" t="str">
        <x:v>A4797</x:v>
      </x:c>
      <x:c r="C4803" s="21" t="str">
        <x:v>facility</x:v>
      </x:c>
      <x:c r="D4803" s="21" t="str">
        <x:v>facility 53 evidence open</x:v>
      </x:c>
      <x:c r="E4803" s="21" t="n">
        <x:f>IF('Facility Reserve'!J53="OPEN",1,0)</x:f>
        <x:v>1</x:v>
      </x:c>
      <x:c r="F4803" s="21" t="n">
        <x:v>1</x:v>
      </x:c>
      <x:c r="G4803" s="23" t="str">
        <x:f>IF(E4803=F4803,"PASS","FAIL")</x:f>
        <x:v>PASS</x:v>
      </x:c>
    </x:row>
    <x:row r="4804">
      <x:c r="B4804" s="21" t="str">
        <x:v>A4798</x:v>
      </x:c>
      <x:c r="C4804" s="21" t="str">
        <x:v>facility</x:v>
      </x:c>
      <x:c r="D4804" s="21" t="str">
        <x:v>facility 54 nonnegative reserve</x:v>
      </x:c>
      <x:c r="E4804" s="21" t="n">
        <x:f>IF('Facility Reserve'!H54&gt;=0,1,0)</x:f>
        <x:v>1</x:v>
      </x:c>
      <x:c r="F4804" s="21" t="n">
        <x:v>1</x:v>
      </x:c>
      <x:c r="G4804" s="23" t="str">
        <x:f>IF(E4804=F4804,"PASS","FAIL")</x:f>
        <x:v>PASS</x:v>
      </x:c>
    </x:row>
    <x:row r="4805">
      <x:c r="B4805" s="21" t="str">
        <x:v>A4799</x:v>
      </x:c>
      <x:c r="C4805" s="21" t="str">
        <x:v>facility</x:v>
      </x:c>
      <x:c r="D4805" s="21" t="str">
        <x:v>facility 54 utilization bounded</x:v>
      </x:c>
      <x:c r="E4805" s="21" t="n">
        <x:f>IF(AND('Facility Reserve'!I54&gt;=0,'Facility Reserve'!I54&lt;=1),1,0)</x:f>
        <x:v>1</x:v>
      </x:c>
      <x:c r="F4805" s="21" t="n">
        <x:v>1</x:v>
      </x:c>
      <x:c r="G4805" s="23" t="str">
        <x:f>IF(E4805=F4805,"PASS","FAIL")</x:f>
        <x:v>PASS</x:v>
      </x:c>
    </x:row>
    <x:row r="4806">
      <x:c r="B4806" s="21" t="str">
        <x:v>A4800</x:v>
      </x:c>
      <x:c r="C4806" s="21" t="str">
        <x:v>facility</x:v>
      </x:c>
      <x:c r="D4806" s="21" t="str">
        <x:v>facility 54 capacity available</x:v>
      </x:c>
      <x:c r="E4806" s="21" t="n">
        <x:f>IF('Facility Reserve'!K54="AVAILABLE",1,0)</x:f>
        <x:v>1</x:v>
      </x:c>
      <x:c r="F4806" s="21" t="n">
        <x:v>1</x:v>
      </x:c>
      <x:c r="G4806" s="23" t="str">
        <x:f>IF(E4806=F4806,"PASS","FAIL")</x:f>
        <x:v>PASS</x:v>
      </x:c>
    </x:row>
    <x:row r="4807">
      <x:c r="B4807" s="21" t="str">
        <x:v>A4801</x:v>
      </x:c>
      <x:c r="C4807" s="21" t="str">
        <x:v>facility</x:v>
      </x:c>
      <x:c r="D4807" s="21" t="str">
        <x:v>facility 54 evidence open</x:v>
      </x:c>
      <x:c r="E4807" s="21" t="n">
        <x:f>IF('Facility Reserve'!J54="OPEN",1,0)</x:f>
        <x:v>1</x:v>
      </x:c>
      <x:c r="F4807" s="21" t="n">
        <x:v>1</x:v>
      </x:c>
      <x:c r="G4807" s="23" t="str">
        <x:f>IF(E4807=F4807,"PASS","FAIL")</x:f>
        <x:v>PASS</x:v>
      </x:c>
    </x:row>
    <x:row r="4808">
      <x:c r="B4808" s="21" t="str">
        <x:v>A4802</x:v>
      </x:c>
      <x:c r="C4808" s="21" t="str">
        <x:v>facility</x:v>
      </x:c>
      <x:c r="D4808" s="21" t="str">
        <x:v>facility 55 nonnegative reserve</x:v>
      </x:c>
      <x:c r="E4808" s="21" t="n">
        <x:f>IF('Facility Reserve'!H55&gt;=0,1,0)</x:f>
        <x:v>1</x:v>
      </x:c>
      <x:c r="F4808" s="21" t="n">
        <x:v>1</x:v>
      </x:c>
      <x:c r="G4808" s="23" t="str">
        <x:f>IF(E4808=F4808,"PASS","FAIL")</x:f>
        <x:v>PASS</x:v>
      </x:c>
    </x:row>
    <x:row r="4809">
      <x:c r="B4809" s="21" t="str">
        <x:v>A4803</x:v>
      </x:c>
      <x:c r="C4809" s="21" t="str">
        <x:v>facility</x:v>
      </x:c>
      <x:c r="D4809" s="21" t="str">
        <x:v>facility 55 utilization bounded</x:v>
      </x:c>
      <x:c r="E4809" s="21" t="n">
        <x:f>IF(AND('Facility Reserve'!I55&gt;=0,'Facility Reserve'!I55&lt;=1),1,0)</x:f>
        <x:v>1</x:v>
      </x:c>
      <x:c r="F4809" s="21" t="n">
        <x:v>1</x:v>
      </x:c>
      <x:c r="G4809" s="23" t="str">
        <x:f>IF(E4809=F4809,"PASS","FAIL")</x:f>
        <x:v>PASS</x:v>
      </x:c>
    </x:row>
    <x:row r="4810">
      <x:c r="B4810" s="21" t="str">
        <x:v>A4804</x:v>
      </x:c>
      <x:c r="C4810" s="21" t="str">
        <x:v>facility</x:v>
      </x:c>
      <x:c r="D4810" s="21" t="str">
        <x:v>facility 55 capacity available</x:v>
      </x:c>
      <x:c r="E4810" s="21" t="n">
        <x:f>IF('Facility Reserve'!K55="AVAILABLE",1,0)</x:f>
        <x:v>1</x:v>
      </x:c>
      <x:c r="F4810" s="21" t="n">
        <x:v>1</x:v>
      </x:c>
      <x:c r="G4810" s="23" t="str">
        <x:f>IF(E4810=F4810,"PASS","FAIL")</x:f>
        <x:v>PASS</x:v>
      </x:c>
    </x:row>
    <x:row r="4811">
      <x:c r="B4811" s="21" t="str">
        <x:v>A4805</x:v>
      </x:c>
      <x:c r="C4811" s="21" t="str">
        <x:v>facility</x:v>
      </x:c>
      <x:c r="D4811" s="21" t="str">
        <x:v>facility 55 evidence open</x:v>
      </x:c>
      <x:c r="E4811" s="21" t="n">
        <x:f>IF('Facility Reserve'!J55="OPEN",1,0)</x:f>
        <x:v>1</x:v>
      </x:c>
      <x:c r="F4811" s="21" t="n">
        <x:v>1</x:v>
      </x:c>
      <x:c r="G4811" s="23" t="str">
        <x:f>IF(E4811=F4811,"PASS","FAIL")</x:f>
        <x:v>PASS</x:v>
      </x:c>
    </x:row>
    <x:row r="4812">
      <x:c r="B4812" s="21" t="str">
        <x:v>A4806</x:v>
      </x:c>
      <x:c r="C4812" s="21" t="str">
        <x:v>facility</x:v>
      </x:c>
      <x:c r="D4812" s="21" t="str">
        <x:v>facility 56 nonnegative reserve</x:v>
      </x:c>
      <x:c r="E4812" s="21" t="n">
        <x:f>IF('Facility Reserve'!H56&gt;=0,1,0)</x:f>
        <x:v>1</x:v>
      </x:c>
      <x:c r="F4812" s="21" t="n">
        <x:v>1</x:v>
      </x:c>
      <x:c r="G4812" s="23" t="str">
        <x:f>IF(E4812=F4812,"PASS","FAIL")</x:f>
        <x:v>PASS</x:v>
      </x:c>
    </x:row>
    <x:row r="4813">
      <x:c r="B4813" s="21" t="str">
        <x:v>A4807</x:v>
      </x:c>
      <x:c r="C4813" s="21" t="str">
        <x:v>facility</x:v>
      </x:c>
      <x:c r="D4813" s="21" t="str">
        <x:v>facility 56 utilization bounded</x:v>
      </x:c>
      <x:c r="E4813" s="21" t="n">
        <x:f>IF(AND('Facility Reserve'!I56&gt;=0,'Facility Reserve'!I56&lt;=1),1,0)</x:f>
        <x:v>1</x:v>
      </x:c>
      <x:c r="F4813" s="21" t="n">
        <x:v>1</x:v>
      </x:c>
      <x:c r="G4813" s="23" t="str">
        <x:f>IF(E4813=F4813,"PASS","FAIL")</x:f>
        <x:v>PASS</x:v>
      </x:c>
    </x:row>
    <x:row r="4814">
      <x:c r="B4814" s="21" t="str">
        <x:v>A4808</x:v>
      </x:c>
      <x:c r="C4814" s="21" t="str">
        <x:v>facility</x:v>
      </x:c>
      <x:c r="D4814" s="21" t="str">
        <x:v>facility 56 capacity available</x:v>
      </x:c>
      <x:c r="E4814" s="21" t="n">
        <x:f>IF('Facility Reserve'!K56="AVAILABLE",1,0)</x:f>
        <x:v>1</x:v>
      </x:c>
      <x:c r="F4814" s="21" t="n">
        <x:v>1</x:v>
      </x:c>
      <x:c r="G4814" s="23" t="str">
        <x:f>IF(E4814=F4814,"PASS","FAIL")</x:f>
        <x:v>PASS</x:v>
      </x:c>
    </x:row>
    <x:row r="4815">
      <x:c r="B4815" s="21" t="str">
        <x:v>A4809</x:v>
      </x:c>
      <x:c r="C4815" s="21" t="str">
        <x:v>facility</x:v>
      </x:c>
      <x:c r="D4815" s="21" t="str">
        <x:v>facility 56 evidence open</x:v>
      </x:c>
      <x:c r="E4815" s="21" t="n">
        <x:f>IF('Facility Reserve'!J56="OPEN",1,0)</x:f>
        <x:v>1</x:v>
      </x:c>
      <x:c r="F4815" s="21" t="n">
        <x:v>1</x:v>
      </x:c>
      <x:c r="G4815" s="23" t="str">
        <x:f>IF(E4815=F4815,"PASS","FAIL")</x:f>
        <x:v>PASS</x:v>
      </x:c>
    </x:row>
    <x:row r="4816">
      <x:c r="B4816" s="21" t="str">
        <x:v>A4810</x:v>
      </x:c>
      <x:c r="C4816" s="21" t="str">
        <x:v>facility</x:v>
      </x:c>
      <x:c r="D4816" s="21" t="str">
        <x:v>facility 57 nonnegative reserve</x:v>
      </x:c>
      <x:c r="E4816" s="21" t="n">
        <x:f>IF('Facility Reserve'!H57&gt;=0,1,0)</x:f>
        <x:v>1</x:v>
      </x:c>
      <x:c r="F4816" s="21" t="n">
        <x:v>1</x:v>
      </x:c>
      <x:c r="G4816" s="23" t="str">
        <x:f>IF(E4816=F4816,"PASS","FAIL")</x:f>
        <x:v>PASS</x:v>
      </x:c>
    </x:row>
    <x:row r="4817">
      <x:c r="B4817" s="21" t="str">
        <x:v>A4811</x:v>
      </x:c>
      <x:c r="C4817" s="21" t="str">
        <x:v>facility</x:v>
      </x:c>
      <x:c r="D4817" s="21" t="str">
        <x:v>facility 57 utilization bounded</x:v>
      </x:c>
      <x:c r="E4817" s="21" t="n">
        <x:f>IF(AND('Facility Reserve'!I57&gt;=0,'Facility Reserve'!I57&lt;=1),1,0)</x:f>
        <x:v>1</x:v>
      </x:c>
      <x:c r="F4817" s="21" t="n">
        <x:v>1</x:v>
      </x:c>
      <x:c r="G4817" s="23" t="str">
        <x:f>IF(E4817=F4817,"PASS","FAIL")</x:f>
        <x:v>PASS</x:v>
      </x:c>
    </x:row>
    <x:row r="4818">
      <x:c r="B4818" s="21" t="str">
        <x:v>A4812</x:v>
      </x:c>
      <x:c r="C4818" s="21" t="str">
        <x:v>facility</x:v>
      </x:c>
      <x:c r="D4818" s="21" t="str">
        <x:v>facility 57 capacity available</x:v>
      </x:c>
      <x:c r="E4818" s="21" t="n">
        <x:f>IF('Facility Reserve'!K57="AVAILABLE",1,0)</x:f>
        <x:v>1</x:v>
      </x:c>
      <x:c r="F4818" s="21" t="n">
        <x:v>1</x:v>
      </x:c>
      <x:c r="G4818" s="23" t="str">
        <x:f>IF(E4818=F4818,"PASS","FAIL")</x:f>
        <x:v>PASS</x:v>
      </x:c>
    </x:row>
    <x:row r="4819">
      <x:c r="B4819" s="21" t="str">
        <x:v>A4813</x:v>
      </x:c>
      <x:c r="C4819" s="21" t="str">
        <x:v>facility</x:v>
      </x:c>
      <x:c r="D4819" s="21" t="str">
        <x:v>facility 57 evidence open</x:v>
      </x:c>
      <x:c r="E4819" s="21" t="n">
        <x:f>IF('Facility Reserve'!J57="OPEN",1,0)</x:f>
        <x:v>1</x:v>
      </x:c>
      <x:c r="F4819" s="21" t="n">
        <x:v>1</x:v>
      </x:c>
      <x:c r="G4819" s="23" t="str">
        <x:f>IF(E4819=F4819,"PASS","FAIL")</x:f>
        <x:v>PASS</x:v>
      </x:c>
    </x:row>
    <x:row r="4820">
      <x:c r="B4820" s="21" t="str">
        <x:v>A4814</x:v>
      </x:c>
      <x:c r="C4820" s="21" t="str">
        <x:v>facility</x:v>
      </x:c>
      <x:c r="D4820" s="21" t="str">
        <x:v>facility 58 nonnegative reserve</x:v>
      </x:c>
      <x:c r="E4820" s="21" t="n">
        <x:f>IF('Facility Reserve'!H58&gt;=0,1,0)</x:f>
        <x:v>1</x:v>
      </x:c>
      <x:c r="F4820" s="21" t="n">
        <x:v>1</x:v>
      </x:c>
      <x:c r="G4820" s="23" t="str">
        <x:f>IF(E4820=F4820,"PASS","FAIL")</x:f>
        <x:v>PASS</x:v>
      </x:c>
    </x:row>
    <x:row r="4821">
      <x:c r="B4821" s="21" t="str">
        <x:v>A4815</x:v>
      </x:c>
      <x:c r="C4821" s="21" t="str">
        <x:v>facility</x:v>
      </x:c>
      <x:c r="D4821" s="21" t="str">
        <x:v>facility 58 utilization bounded</x:v>
      </x:c>
      <x:c r="E4821" s="21" t="n">
        <x:f>IF(AND('Facility Reserve'!I58&gt;=0,'Facility Reserve'!I58&lt;=1),1,0)</x:f>
        <x:v>1</x:v>
      </x:c>
      <x:c r="F4821" s="21" t="n">
        <x:v>1</x:v>
      </x:c>
      <x:c r="G4821" s="23" t="str">
        <x:f>IF(E4821=F4821,"PASS","FAIL")</x:f>
        <x:v>PASS</x:v>
      </x:c>
    </x:row>
    <x:row r="4822">
      <x:c r="B4822" s="21" t="str">
        <x:v>A4816</x:v>
      </x:c>
      <x:c r="C4822" s="21" t="str">
        <x:v>facility</x:v>
      </x:c>
      <x:c r="D4822" s="21" t="str">
        <x:v>facility 58 capacity available</x:v>
      </x:c>
      <x:c r="E4822" s="21" t="n">
        <x:f>IF('Facility Reserve'!K58="AVAILABLE",1,0)</x:f>
        <x:v>1</x:v>
      </x:c>
      <x:c r="F4822" s="21" t="n">
        <x:v>1</x:v>
      </x:c>
      <x:c r="G4822" s="23" t="str">
        <x:f>IF(E4822=F4822,"PASS","FAIL")</x:f>
        <x:v>PASS</x:v>
      </x:c>
    </x:row>
    <x:row r="4823">
      <x:c r="B4823" s="21" t="str">
        <x:v>A4817</x:v>
      </x:c>
      <x:c r="C4823" s="21" t="str">
        <x:v>facility</x:v>
      </x:c>
      <x:c r="D4823" s="21" t="str">
        <x:v>facility 58 evidence open</x:v>
      </x:c>
      <x:c r="E4823" s="21" t="n">
        <x:f>IF('Facility Reserve'!J58="OPEN",1,0)</x:f>
        <x:v>1</x:v>
      </x:c>
      <x:c r="F4823" s="21" t="n">
        <x:v>1</x:v>
      </x:c>
      <x:c r="G4823" s="23" t="str">
        <x:f>IF(E4823=F4823,"PASS","FAIL")</x:f>
        <x:v>PASS</x:v>
      </x:c>
    </x:row>
    <x:row r="4824">
      <x:c r="B4824" s="21" t="str">
        <x:v>A4818</x:v>
      </x:c>
      <x:c r="C4824" s="21" t="str">
        <x:v>facility</x:v>
      </x:c>
      <x:c r="D4824" s="21" t="str">
        <x:v>facility 59 nonnegative reserve</x:v>
      </x:c>
      <x:c r="E4824" s="21" t="n">
        <x:f>IF('Facility Reserve'!H59&gt;=0,1,0)</x:f>
        <x:v>1</x:v>
      </x:c>
      <x:c r="F4824" s="21" t="n">
        <x:v>1</x:v>
      </x:c>
      <x:c r="G4824" s="23" t="str">
        <x:f>IF(E4824=F4824,"PASS","FAIL")</x:f>
        <x:v>PASS</x:v>
      </x:c>
    </x:row>
    <x:row r="4825">
      <x:c r="B4825" s="21" t="str">
        <x:v>A4819</x:v>
      </x:c>
      <x:c r="C4825" s="21" t="str">
        <x:v>facility</x:v>
      </x:c>
      <x:c r="D4825" s="21" t="str">
        <x:v>facility 59 utilization bounded</x:v>
      </x:c>
      <x:c r="E4825" s="21" t="n">
        <x:f>IF(AND('Facility Reserve'!I59&gt;=0,'Facility Reserve'!I59&lt;=1),1,0)</x:f>
        <x:v>1</x:v>
      </x:c>
      <x:c r="F4825" s="21" t="n">
        <x:v>1</x:v>
      </x:c>
      <x:c r="G4825" s="23" t="str">
        <x:f>IF(E4825=F4825,"PASS","FAIL")</x:f>
        <x:v>PASS</x:v>
      </x:c>
    </x:row>
    <x:row r="4826">
      <x:c r="B4826" s="21" t="str">
        <x:v>A4820</x:v>
      </x:c>
      <x:c r="C4826" s="21" t="str">
        <x:v>facility</x:v>
      </x:c>
      <x:c r="D4826" s="21" t="str">
        <x:v>facility 59 capacity available</x:v>
      </x:c>
      <x:c r="E4826" s="21" t="n">
        <x:f>IF('Facility Reserve'!K59="AVAILABLE",1,0)</x:f>
        <x:v>1</x:v>
      </x:c>
      <x:c r="F4826" s="21" t="n">
        <x:v>1</x:v>
      </x:c>
      <x:c r="G4826" s="23" t="str">
        <x:f>IF(E4826=F4826,"PASS","FAIL")</x:f>
        <x:v>PASS</x:v>
      </x:c>
    </x:row>
    <x:row r="4827">
      <x:c r="B4827" s="21" t="str">
        <x:v>A4821</x:v>
      </x:c>
      <x:c r="C4827" s="21" t="str">
        <x:v>facility</x:v>
      </x:c>
      <x:c r="D4827" s="21" t="str">
        <x:v>facility 59 evidence open</x:v>
      </x:c>
      <x:c r="E4827" s="21" t="n">
        <x:f>IF('Facility Reserve'!J59="OPEN",1,0)</x:f>
        <x:v>1</x:v>
      </x:c>
      <x:c r="F4827" s="21" t="n">
        <x:v>1</x:v>
      </x:c>
      <x:c r="G4827" s="23" t="str">
        <x:f>IF(E4827=F4827,"PASS","FAIL")</x:f>
        <x:v>PASS</x:v>
      </x:c>
    </x:row>
    <x:row r="4828">
      <x:c r="B4828" s="21" t="str">
        <x:v>A4822</x:v>
      </x:c>
      <x:c r="C4828" s="21" t="str">
        <x:v>facility</x:v>
      </x:c>
      <x:c r="D4828" s="21" t="str">
        <x:v>facility 60 nonnegative reserve</x:v>
      </x:c>
      <x:c r="E4828" s="21" t="n">
        <x:f>IF('Facility Reserve'!H60&gt;=0,1,0)</x:f>
        <x:v>1</x:v>
      </x:c>
      <x:c r="F4828" s="21" t="n">
        <x:v>1</x:v>
      </x:c>
      <x:c r="G4828" s="23" t="str">
        <x:f>IF(E4828=F4828,"PASS","FAIL")</x:f>
        <x:v>PASS</x:v>
      </x:c>
    </x:row>
    <x:row r="4829">
      <x:c r="B4829" s="21" t="str">
        <x:v>A4823</x:v>
      </x:c>
      <x:c r="C4829" s="21" t="str">
        <x:v>facility</x:v>
      </x:c>
      <x:c r="D4829" s="21" t="str">
        <x:v>facility 60 utilization bounded</x:v>
      </x:c>
      <x:c r="E4829" s="21" t="n">
        <x:f>IF(AND('Facility Reserve'!I60&gt;=0,'Facility Reserve'!I60&lt;=1),1,0)</x:f>
        <x:v>1</x:v>
      </x:c>
      <x:c r="F4829" s="21" t="n">
        <x:v>1</x:v>
      </x:c>
      <x:c r="G4829" s="23" t="str">
        <x:f>IF(E4829=F4829,"PASS","FAIL")</x:f>
        <x:v>PASS</x:v>
      </x:c>
    </x:row>
    <x:row r="4830">
      <x:c r="B4830" s="21" t="str">
        <x:v>A4824</x:v>
      </x:c>
      <x:c r="C4830" s="21" t="str">
        <x:v>facility</x:v>
      </x:c>
      <x:c r="D4830" s="21" t="str">
        <x:v>facility 60 capacity available</x:v>
      </x:c>
      <x:c r="E4830" s="21" t="n">
        <x:f>IF('Facility Reserve'!K60="AVAILABLE",1,0)</x:f>
        <x:v>1</x:v>
      </x:c>
      <x:c r="F4830" s="21" t="n">
        <x:v>1</x:v>
      </x:c>
      <x:c r="G4830" s="23" t="str">
        <x:f>IF(E4830=F4830,"PASS","FAIL")</x:f>
        <x:v>PASS</x:v>
      </x:c>
    </x:row>
    <x:row r="4831">
      <x:c r="B4831" s="21" t="str">
        <x:v>A4825</x:v>
      </x:c>
      <x:c r="C4831" s="21" t="str">
        <x:v>facility</x:v>
      </x:c>
      <x:c r="D4831" s="21" t="str">
        <x:v>facility 60 evidence open</x:v>
      </x:c>
      <x:c r="E4831" s="21" t="n">
        <x:f>IF('Facility Reserve'!J60="OPEN",1,0)</x:f>
        <x:v>1</x:v>
      </x:c>
      <x:c r="F4831" s="21" t="n">
        <x:v>1</x:v>
      </x:c>
      <x:c r="G4831" s="23" t="str">
        <x:f>IF(E4831=F4831,"PASS","FAIL")</x:f>
        <x:v>PASS</x:v>
      </x:c>
    </x:row>
    <x:row r="4832">
      <x:c r="B4832" s="21" t="str">
        <x:v>A4826</x:v>
      </x:c>
      <x:c r="C4832" s="21" t="str">
        <x:v>facility</x:v>
      </x:c>
      <x:c r="D4832" s="21" t="str">
        <x:v>facility 61 nonnegative reserve</x:v>
      </x:c>
      <x:c r="E4832" s="21" t="n">
        <x:f>IF('Facility Reserve'!H61&gt;=0,1,0)</x:f>
        <x:v>1</x:v>
      </x:c>
      <x:c r="F4832" s="21" t="n">
        <x:v>1</x:v>
      </x:c>
      <x:c r="G4832" s="23" t="str">
        <x:f>IF(E4832=F4832,"PASS","FAIL")</x:f>
        <x:v>PASS</x:v>
      </x:c>
    </x:row>
    <x:row r="4833">
      <x:c r="B4833" s="21" t="str">
        <x:v>A4827</x:v>
      </x:c>
      <x:c r="C4833" s="21" t="str">
        <x:v>facility</x:v>
      </x:c>
      <x:c r="D4833" s="21" t="str">
        <x:v>facility 61 utilization bounded</x:v>
      </x:c>
      <x:c r="E4833" s="21" t="n">
        <x:f>IF(AND('Facility Reserve'!I61&gt;=0,'Facility Reserve'!I61&lt;=1),1,0)</x:f>
        <x:v>1</x:v>
      </x:c>
      <x:c r="F4833" s="21" t="n">
        <x:v>1</x:v>
      </x:c>
      <x:c r="G4833" s="23" t="str">
        <x:f>IF(E4833=F4833,"PASS","FAIL")</x:f>
        <x:v>PASS</x:v>
      </x:c>
    </x:row>
    <x:row r="4834">
      <x:c r="B4834" s="21" t="str">
        <x:v>A4828</x:v>
      </x:c>
      <x:c r="C4834" s="21" t="str">
        <x:v>facility</x:v>
      </x:c>
      <x:c r="D4834" s="21" t="str">
        <x:v>facility 61 capacity available</x:v>
      </x:c>
      <x:c r="E4834" s="21" t="n">
        <x:f>IF('Facility Reserve'!K61="AVAILABLE",1,0)</x:f>
        <x:v>1</x:v>
      </x:c>
      <x:c r="F4834" s="21" t="n">
        <x:v>1</x:v>
      </x:c>
      <x:c r="G4834" s="23" t="str">
        <x:f>IF(E4834=F4834,"PASS","FAIL")</x:f>
        <x:v>PASS</x:v>
      </x:c>
    </x:row>
    <x:row r="4835">
      <x:c r="B4835" s="21" t="str">
        <x:v>A4829</x:v>
      </x:c>
      <x:c r="C4835" s="21" t="str">
        <x:v>facility</x:v>
      </x:c>
      <x:c r="D4835" s="21" t="str">
        <x:v>facility 61 evidence open</x:v>
      </x:c>
      <x:c r="E4835" s="21" t="n">
        <x:f>IF('Facility Reserve'!J61="OPEN",1,0)</x:f>
        <x:v>1</x:v>
      </x:c>
      <x:c r="F4835" s="21" t="n">
        <x:v>1</x:v>
      </x:c>
      <x:c r="G4835" s="23" t="str">
        <x:f>IF(E4835=F4835,"PASS","FAIL")</x:f>
        <x:v>PASS</x:v>
      </x:c>
    </x:row>
    <x:row r="4836">
      <x:c r="B4836" s="21" t="str">
        <x:v>A4830</x:v>
      </x:c>
      <x:c r="C4836" s="21" t="str">
        <x:v>facility</x:v>
      </x:c>
      <x:c r="D4836" s="21" t="str">
        <x:v>facility 62 nonnegative reserve</x:v>
      </x:c>
      <x:c r="E4836" s="21" t="n">
        <x:f>IF('Facility Reserve'!H62&gt;=0,1,0)</x:f>
        <x:v>1</x:v>
      </x:c>
      <x:c r="F4836" s="21" t="n">
        <x:v>1</x:v>
      </x:c>
      <x:c r="G4836" s="23" t="str">
        <x:f>IF(E4836=F4836,"PASS","FAIL")</x:f>
        <x:v>PASS</x:v>
      </x:c>
    </x:row>
    <x:row r="4837">
      <x:c r="B4837" s="21" t="str">
        <x:v>A4831</x:v>
      </x:c>
      <x:c r="C4837" s="21" t="str">
        <x:v>facility</x:v>
      </x:c>
      <x:c r="D4837" s="21" t="str">
        <x:v>facility 62 utilization bounded</x:v>
      </x:c>
      <x:c r="E4837" s="21" t="n">
        <x:f>IF(AND('Facility Reserve'!I62&gt;=0,'Facility Reserve'!I62&lt;=1),1,0)</x:f>
        <x:v>1</x:v>
      </x:c>
      <x:c r="F4837" s="21" t="n">
        <x:v>1</x:v>
      </x:c>
      <x:c r="G4837" s="23" t="str">
        <x:f>IF(E4837=F4837,"PASS","FAIL")</x:f>
        <x:v>PASS</x:v>
      </x:c>
    </x:row>
    <x:row r="4838">
      <x:c r="B4838" s="21" t="str">
        <x:v>A4832</x:v>
      </x:c>
      <x:c r="C4838" s="21" t="str">
        <x:v>facility</x:v>
      </x:c>
      <x:c r="D4838" s="21" t="str">
        <x:v>facility 62 capacity available</x:v>
      </x:c>
      <x:c r="E4838" s="21" t="n">
        <x:f>IF('Facility Reserve'!K62="AVAILABLE",1,0)</x:f>
        <x:v>1</x:v>
      </x:c>
      <x:c r="F4838" s="21" t="n">
        <x:v>1</x:v>
      </x:c>
      <x:c r="G4838" s="23" t="str">
        <x:f>IF(E4838=F4838,"PASS","FAIL")</x:f>
        <x:v>PASS</x:v>
      </x:c>
    </x:row>
    <x:row r="4839">
      <x:c r="B4839" s="21" t="str">
        <x:v>A4833</x:v>
      </x:c>
      <x:c r="C4839" s="21" t="str">
        <x:v>facility</x:v>
      </x:c>
      <x:c r="D4839" s="21" t="str">
        <x:v>facility 62 evidence open</x:v>
      </x:c>
      <x:c r="E4839" s="21" t="n">
        <x:f>IF('Facility Reserve'!J62="OPEN",1,0)</x:f>
        <x:v>1</x:v>
      </x:c>
      <x:c r="F4839" s="21" t="n">
        <x:v>1</x:v>
      </x:c>
      <x:c r="G4839" s="23" t="str">
        <x:f>IF(E4839=F4839,"PASS","FAIL")</x:f>
        <x:v>PASS</x:v>
      </x:c>
    </x:row>
    <x:row r="4840">
      <x:c r="B4840" s="21" t="str">
        <x:v>A4834</x:v>
      </x:c>
      <x:c r="C4840" s="21" t="str">
        <x:v>facility</x:v>
      </x:c>
      <x:c r="D4840" s="21" t="str">
        <x:v>facility 63 nonnegative reserve</x:v>
      </x:c>
      <x:c r="E4840" s="21" t="n">
        <x:f>IF('Facility Reserve'!H63&gt;=0,1,0)</x:f>
        <x:v>1</x:v>
      </x:c>
      <x:c r="F4840" s="21" t="n">
        <x:v>1</x:v>
      </x:c>
      <x:c r="G4840" s="23" t="str">
        <x:f>IF(E4840=F4840,"PASS","FAIL")</x:f>
        <x:v>PASS</x:v>
      </x:c>
    </x:row>
    <x:row r="4841">
      <x:c r="B4841" s="21" t="str">
        <x:v>A4835</x:v>
      </x:c>
      <x:c r="C4841" s="21" t="str">
        <x:v>facility</x:v>
      </x:c>
      <x:c r="D4841" s="21" t="str">
        <x:v>facility 63 utilization bounded</x:v>
      </x:c>
      <x:c r="E4841" s="21" t="n">
        <x:f>IF(AND('Facility Reserve'!I63&gt;=0,'Facility Reserve'!I63&lt;=1),1,0)</x:f>
        <x:v>1</x:v>
      </x:c>
      <x:c r="F4841" s="21" t="n">
        <x:v>1</x:v>
      </x:c>
      <x:c r="G4841" s="23" t="str">
        <x:f>IF(E4841=F4841,"PASS","FAIL")</x:f>
        <x:v>PASS</x:v>
      </x:c>
    </x:row>
    <x:row r="4842">
      <x:c r="B4842" s="21" t="str">
        <x:v>A4836</x:v>
      </x:c>
      <x:c r="C4842" s="21" t="str">
        <x:v>facility</x:v>
      </x:c>
      <x:c r="D4842" s="21" t="str">
        <x:v>facility 63 capacity available</x:v>
      </x:c>
      <x:c r="E4842" s="21" t="n">
        <x:f>IF('Facility Reserve'!K63="AVAILABLE",1,0)</x:f>
        <x:v>1</x:v>
      </x:c>
      <x:c r="F4842" s="21" t="n">
        <x:v>1</x:v>
      </x:c>
      <x:c r="G4842" s="23" t="str">
        <x:f>IF(E4842=F4842,"PASS","FAIL")</x:f>
        <x:v>PASS</x:v>
      </x:c>
    </x:row>
    <x:row r="4843">
      <x:c r="B4843" s="21" t="str">
        <x:v>A4837</x:v>
      </x:c>
      <x:c r="C4843" s="21" t="str">
        <x:v>facility</x:v>
      </x:c>
      <x:c r="D4843" s="21" t="str">
        <x:v>facility 63 evidence open</x:v>
      </x:c>
      <x:c r="E4843" s="21" t="n">
        <x:f>IF('Facility Reserve'!J63="OPEN",1,0)</x:f>
        <x:v>1</x:v>
      </x:c>
      <x:c r="F4843" s="21" t="n">
        <x:v>1</x:v>
      </x:c>
      <x:c r="G4843" s="23" t="str">
        <x:f>IF(E4843=F4843,"PASS","FAIL")</x:f>
        <x:v>PASS</x:v>
      </x:c>
    </x:row>
    <x:row r="4844">
      <x:c r="B4844" s="21" t="str">
        <x:v>A4838</x:v>
      </x:c>
      <x:c r="C4844" s="21" t="str">
        <x:v>facility</x:v>
      </x:c>
      <x:c r="D4844" s="21" t="str">
        <x:v>facility 64 nonnegative reserve</x:v>
      </x:c>
      <x:c r="E4844" s="21" t="n">
        <x:f>IF('Facility Reserve'!H64&gt;=0,1,0)</x:f>
        <x:v>1</x:v>
      </x:c>
      <x:c r="F4844" s="21" t="n">
        <x:v>1</x:v>
      </x:c>
      <x:c r="G4844" s="23" t="str">
        <x:f>IF(E4844=F4844,"PASS","FAIL")</x:f>
        <x:v>PASS</x:v>
      </x:c>
    </x:row>
    <x:row r="4845">
      <x:c r="B4845" s="21" t="str">
        <x:v>A4839</x:v>
      </x:c>
      <x:c r="C4845" s="21" t="str">
        <x:v>facility</x:v>
      </x:c>
      <x:c r="D4845" s="21" t="str">
        <x:v>facility 64 utilization bounded</x:v>
      </x:c>
      <x:c r="E4845" s="21" t="n">
        <x:f>IF(AND('Facility Reserve'!I64&gt;=0,'Facility Reserve'!I64&lt;=1),1,0)</x:f>
        <x:v>1</x:v>
      </x:c>
      <x:c r="F4845" s="21" t="n">
        <x:v>1</x:v>
      </x:c>
      <x:c r="G4845" s="23" t="str">
        <x:f>IF(E4845=F4845,"PASS","FAIL")</x:f>
        <x:v>PASS</x:v>
      </x:c>
    </x:row>
    <x:row r="4846">
      <x:c r="B4846" s="21" t="str">
        <x:v>A4840</x:v>
      </x:c>
      <x:c r="C4846" s="21" t="str">
        <x:v>facility</x:v>
      </x:c>
      <x:c r="D4846" s="21" t="str">
        <x:v>facility 64 capacity available</x:v>
      </x:c>
      <x:c r="E4846" s="21" t="n">
        <x:f>IF('Facility Reserve'!K64="AVAILABLE",1,0)</x:f>
        <x:v>1</x:v>
      </x:c>
      <x:c r="F4846" s="21" t="n">
        <x:v>1</x:v>
      </x:c>
      <x:c r="G4846" s="23" t="str">
        <x:f>IF(E4846=F4846,"PASS","FAIL")</x:f>
        <x:v>PASS</x:v>
      </x:c>
    </x:row>
    <x:row r="4847">
      <x:c r="B4847" s="21" t="str">
        <x:v>A4841</x:v>
      </x:c>
      <x:c r="C4847" s="21" t="str">
        <x:v>facility</x:v>
      </x:c>
      <x:c r="D4847" s="21" t="str">
        <x:v>facility 64 evidence open</x:v>
      </x:c>
      <x:c r="E4847" s="21" t="n">
        <x:f>IF('Facility Reserve'!J64="OPEN",1,0)</x:f>
        <x:v>1</x:v>
      </x:c>
      <x:c r="F4847" s="21" t="n">
        <x:v>1</x:v>
      </x:c>
      <x:c r="G4847" s="23" t="str">
        <x:f>IF(E4847=F4847,"PASS","FAIL")</x:f>
        <x:v>PASS</x:v>
      </x:c>
    </x:row>
    <x:row r="4848">
      <x:c r="B4848" s="21" t="str">
        <x:v>A4842</x:v>
      </x:c>
      <x:c r="C4848" s="21" t="str">
        <x:v>facility</x:v>
      </x:c>
      <x:c r="D4848" s="21" t="str">
        <x:v>facility 65 nonnegative reserve</x:v>
      </x:c>
      <x:c r="E4848" s="21" t="n">
        <x:f>IF('Facility Reserve'!H65&gt;=0,1,0)</x:f>
        <x:v>1</x:v>
      </x:c>
      <x:c r="F4848" s="21" t="n">
        <x:v>1</x:v>
      </x:c>
      <x:c r="G4848" s="23" t="str">
        <x:f>IF(E4848=F4848,"PASS","FAIL")</x:f>
        <x:v>PASS</x:v>
      </x:c>
    </x:row>
    <x:row r="4849">
      <x:c r="B4849" s="21" t="str">
        <x:v>A4843</x:v>
      </x:c>
      <x:c r="C4849" s="21" t="str">
        <x:v>facility</x:v>
      </x:c>
      <x:c r="D4849" s="21" t="str">
        <x:v>facility 65 utilization bounded</x:v>
      </x:c>
      <x:c r="E4849" s="21" t="n">
        <x:f>IF(AND('Facility Reserve'!I65&gt;=0,'Facility Reserve'!I65&lt;=1),1,0)</x:f>
        <x:v>1</x:v>
      </x:c>
      <x:c r="F4849" s="21" t="n">
        <x:v>1</x:v>
      </x:c>
      <x:c r="G4849" s="23" t="str">
        <x:f>IF(E4849=F4849,"PASS","FAIL")</x:f>
        <x:v>PASS</x:v>
      </x:c>
    </x:row>
    <x:row r="4850">
      <x:c r="B4850" s="21" t="str">
        <x:v>A4844</x:v>
      </x:c>
      <x:c r="C4850" s="21" t="str">
        <x:v>facility</x:v>
      </x:c>
      <x:c r="D4850" s="21" t="str">
        <x:v>facility 65 capacity available</x:v>
      </x:c>
      <x:c r="E4850" s="21" t="n">
        <x:f>IF('Facility Reserve'!K65="AVAILABLE",1,0)</x:f>
        <x:v>1</x:v>
      </x:c>
      <x:c r="F4850" s="21" t="n">
        <x:v>1</x:v>
      </x:c>
      <x:c r="G4850" s="23" t="str">
        <x:f>IF(E4850=F4850,"PASS","FAIL")</x:f>
        <x:v>PASS</x:v>
      </x:c>
    </x:row>
    <x:row r="4851">
      <x:c r="B4851" s="21" t="str">
        <x:v>A4845</x:v>
      </x:c>
      <x:c r="C4851" s="21" t="str">
        <x:v>facility</x:v>
      </x:c>
      <x:c r="D4851" s="21" t="str">
        <x:v>facility 65 evidence open</x:v>
      </x:c>
      <x:c r="E4851" s="21" t="n">
        <x:f>IF('Facility Reserve'!J65="OPEN",1,0)</x:f>
        <x:v>1</x:v>
      </x:c>
      <x:c r="F4851" s="21" t="n">
        <x:v>1</x:v>
      </x:c>
      <x:c r="G4851" s="23" t="str">
        <x:f>IF(E4851=F4851,"PASS","FAIL")</x:f>
        <x:v>PASS</x:v>
      </x:c>
    </x:row>
    <x:row r="4852">
      <x:c r="B4852" s="21" t="str">
        <x:v>A4846</x:v>
      </x:c>
      <x:c r="C4852" s="21" t="str">
        <x:v>facility</x:v>
      </x:c>
      <x:c r="D4852" s="21" t="str">
        <x:v>facility 66 nonnegative reserve</x:v>
      </x:c>
      <x:c r="E4852" s="21" t="n">
        <x:f>IF('Facility Reserve'!H66&gt;=0,1,0)</x:f>
        <x:v>1</x:v>
      </x:c>
      <x:c r="F4852" s="21" t="n">
        <x:v>1</x:v>
      </x:c>
      <x:c r="G4852" s="23" t="str">
        <x:f>IF(E4852=F4852,"PASS","FAIL")</x:f>
        <x:v>PASS</x:v>
      </x:c>
    </x:row>
    <x:row r="4853">
      <x:c r="B4853" s="21" t="str">
        <x:v>A4847</x:v>
      </x:c>
      <x:c r="C4853" s="21" t="str">
        <x:v>facility</x:v>
      </x:c>
      <x:c r="D4853" s="21" t="str">
        <x:v>facility 66 utilization bounded</x:v>
      </x:c>
      <x:c r="E4853" s="21" t="n">
        <x:f>IF(AND('Facility Reserve'!I66&gt;=0,'Facility Reserve'!I66&lt;=1),1,0)</x:f>
        <x:v>1</x:v>
      </x:c>
      <x:c r="F4853" s="21" t="n">
        <x:v>1</x:v>
      </x:c>
      <x:c r="G4853" s="23" t="str">
        <x:f>IF(E4853=F4853,"PASS","FAIL")</x:f>
        <x:v>PASS</x:v>
      </x:c>
    </x:row>
    <x:row r="4854">
      <x:c r="B4854" s="21" t="str">
        <x:v>A4848</x:v>
      </x:c>
      <x:c r="C4854" s="21" t="str">
        <x:v>facility</x:v>
      </x:c>
      <x:c r="D4854" s="21" t="str">
        <x:v>facility 66 capacity available</x:v>
      </x:c>
      <x:c r="E4854" s="21" t="n">
        <x:f>IF('Facility Reserve'!K66="AVAILABLE",1,0)</x:f>
        <x:v>1</x:v>
      </x:c>
      <x:c r="F4854" s="21" t="n">
        <x:v>1</x:v>
      </x:c>
      <x:c r="G4854" s="23" t="str">
        <x:f>IF(E4854=F4854,"PASS","FAIL")</x:f>
        <x:v>PASS</x:v>
      </x:c>
    </x:row>
    <x:row r="4855">
      <x:c r="B4855" s="21" t="str">
        <x:v>A4849</x:v>
      </x:c>
      <x:c r="C4855" s="21" t="str">
        <x:v>facility</x:v>
      </x:c>
      <x:c r="D4855" s="21" t="str">
        <x:v>facility 66 evidence open</x:v>
      </x:c>
      <x:c r="E4855" s="21" t="n">
        <x:f>IF('Facility Reserve'!J66="OPEN",1,0)</x:f>
        <x:v>1</x:v>
      </x:c>
      <x:c r="F4855" s="21" t="n">
        <x:v>1</x:v>
      </x:c>
      <x:c r="G4855" s="23" t="str">
        <x:f>IF(E4855=F4855,"PASS","FAIL")</x:f>
        <x:v>PASS</x:v>
      </x:c>
    </x:row>
    <x:row r="4856">
      <x:c r="B4856" s="21" t="str">
        <x:v>A4850</x:v>
      </x:c>
      <x:c r="C4856" s="21" t="str">
        <x:v>facility</x:v>
      </x:c>
      <x:c r="D4856" s="21" t="str">
        <x:v>facility 67 nonnegative reserve</x:v>
      </x:c>
      <x:c r="E4856" s="21" t="n">
        <x:f>IF('Facility Reserve'!H67&gt;=0,1,0)</x:f>
        <x:v>1</x:v>
      </x:c>
      <x:c r="F4856" s="21" t="n">
        <x:v>1</x:v>
      </x:c>
      <x:c r="G4856" s="23" t="str">
        <x:f>IF(E4856=F4856,"PASS","FAIL")</x:f>
        <x:v>PASS</x:v>
      </x:c>
    </x:row>
    <x:row r="4857">
      <x:c r="B4857" s="21" t="str">
        <x:v>A4851</x:v>
      </x:c>
      <x:c r="C4857" s="21" t="str">
        <x:v>facility</x:v>
      </x:c>
      <x:c r="D4857" s="21" t="str">
        <x:v>facility 67 utilization bounded</x:v>
      </x:c>
      <x:c r="E4857" s="21" t="n">
        <x:f>IF(AND('Facility Reserve'!I67&gt;=0,'Facility Reserve'!I67&lt;=1),1,0)</x:f>
        <x:v>1</x:v>
      </x:c>
      <x:c r="F4857" s="21" t="n">
        <x:v>1</x:v>
      </x:c>
      <x:c r="G4857" s="23" t="str">
        <x:f>IF(E4857=F4857,"PASS","FAIL")</x:f>
        <x:v>PASS</x:v>
      </x:c>
    </x:row>
    <x:row r="4858">
      <x:c r="B4858" s="21" t="str">
        <x:v>A4852</x:v>
      </x:c>
      <x:c r="C4858" s="21" t="str">
        <x:v>facility</x:v>
      </x:c>
      <x:c r="D4858" s="21" t="str">
        <x:v>facility 67 capacity available</x:v>
      </x:c>
      <x:c r="E4858" s="21" t="n">
        <x:f>IF('Facility Reserve'!K67="AVAILABLE",1,0)</x:f>
        <x:v>1</x:v>
      </x:c>
      <x:c r="F4858" s="21" t="n">
        <x:v>1</x:v>
      </x:c>
      <x:c r="G4858" s="23" t="str">
        <x:f>IF(E4858=F4858,"PASS","FAIL")</x:f>
        <x:v>PASS</x:v>
      </x:c>
    </x:row>
    <x:row r="4859">
      <x:c r="B4859" s="21" t="str">
        <x:v>A4853</x:v>
      </x:c>
      <x:c r="C4859" s="21" t="str">
        <x:v>facility</x:v>
      </x:c>
      <x:c r="D4859" s="21" t="str">
        <x:v>facility 67 evidence open</x:v>
      </x:c>
      <x:c r="E4859" s="21" t="n">
        <x:f>IF('Facility Reserve'!J67="OPEN",1,0)</x:f>
        <x:v>1</x:v>
      </x:c>
      <x:c r="F4859" s="21" t="n">
        <x:v>1</x:v>
      </x:c>
      <x:c r="G4859" s="23" t="str">
        <x:f>IF(E4859=F4859,"PASS","FAIL")</x:f>
        <x:v>PASS</x:v>
      </x:c>
    </x:row>
    <x:row r="4860">
      <x:c r="B4860" s="21" t="str">
        <x:v>A4854</x:v>
      </x:c>
      <x:c r="C4860" s="21" t="str">
        <x:v>facility</x:v>
      </x:c>
      <x:c r="D4860" s="21" t="str">
        <x:v>facility 68 nonnegative reserve</x:v>
      </x:c>
      <x:c r="E4860" s="21" t="n">
        <x:f>IF('Facility Reserve'!H68&gt;=0,1,0)</x:f>
        <x:v>1</x:v>
      </x:c>
      <x:c r="F4860" s="21" t="n">
        <x:v>1</x:v>
      </x:c>
      <x:c r="G4860" s="23" t="str">
        <x:f>IF(E4860=F4860,"PASS","FAIL")</x:f>
        <x:v>PASS</x:v>
      </x:c>
    </x:row>
    <x:row r="4861">
      <x:c r="B4861" s="21" t="str">
        <x:v>A4855</x:v>
      </x:c>
      <x:c r="C4861" s="21" t="str">
        <x:v>facility</x:v>
      </x:c>
      <x:c r="D4861" s="21" t="str">
        <x:v>facility 68 utilization bounded</x:v>
      </x:c>
      <x:c r="E4861" s="21" t="n">
        <x:f>IF(AND('Facility Reserve'!I68&gt;=0,'Facility Reserve'!I68&lt;=1),1,0)</x:f>
        <x:v>1</x:v>
      </x:c>
      <x:c r="F4861" s="21" t="n">
        <x:v>1</x:v>
      </x:c>
      <x:c r="G4861" s="23" t="str">
        <x:f>IF(E4861=F4861,"PASS","FAIL")</x:f>
        <x:v>PASS</x:v>
      </x:c>
    </x:row>
    <x:row r="4862">
      <x:c r="B4862" s="21" t="str">
        <x:v>A4856</x:v>
      </x:c>
      <x:c r="C4862" s="21" t="str">
        <x:v>facility</x:v>
      </x:c>
      <x:c r="D4862" s="21" t="str">
        <x:v>facility 68 capacity available</x:v>
      </x:c>
      <x:c r="E4862" s="21" t="n">
        <x:f>IF('Facility Reserve'!K68="AVAILABLE",1,0)</x:f>
        <x:v>1</x:v>
      </x:c>
      <x:c r="F4862" s="21" t="n">
        <x:v>1</x:v>
      </x:c>
      <x:c r="G4862" s="23" t="str">
        <x:f>IF(E4862=F4862,"PASS","FAIL")</x:f>
        <x:v>PASS</x:v>
      </x:c>
    </x:row>
    <x:row r="4863">
      <x:c r="B4863" s="21" t="str">
        <x:v>A4857</x:v>
      </x:c>
      <x:c r="C4863" s="21" t="str">
        <x:v>facility</x:v>
      </x:c>
      <x:c r="D4863" s="21" t="str">
        <x:v>facility 68 evidence open</x:v>
      </x:c>
      <x:c r="E4863" s="21" t="n">
        <x:f>IF('Facility Reserve'!J68="OPEN",1,0)</x:f>
        <x:v>1</x:v>
      </x:c>
      <x:c r="F4863" s="21" t="n">
        <x:v>1</x:v>
      </x:c>
      <x:c r="G4863" s="23" t="str">
        <x:f>IF(E4863=F4863,"PASS","FAIL")</x:f>
        <x:v>PASS</x:v>
      </x:c>
    </x:row>
    <x:row r="4864">
      <x:c r="B4864" s="21" t="str">
        <x:v>A4858</x:v>
      </x:c>
      <x:c r="C4864" s="21" t="str">
        <x:v>facility</x:v>
      </x:c>
      <x:c r="D4864" s="21" t="str">
        <x:v>facility 69 nonnegative reserve</x:v>
      </x:c>
      <x:c r="E4864" s="21" t="n">
        <x:f>IF('Facility Reserve'!H69&gt;=0,1,0)</x:f>
        <x:v>1</x:v>
      </x:c>
      <x:c r="F4864" s="21" t="n">
        <x:v>1</x:v>
      </x:c>
      <x:c r="G4864" s="23" t="str">
        <x:f>IF(E4864=F4864,"PASS","FAIL")</x:f>
        <x:v>PASS</x:v>
      </x:c>
    </x:row>
    <x:row r="4865">
      <x:c r="B4865" s="21" t="str">
        <x:v>A4859</x:v>
      </x:c>
      <x:c r="C4865" s="21" t="str">
        <x:v>facility</x:v>
      </x:c>
      <x:c r="D4865" s="21" t="str">
        <x:v>facility 69 utilization bounded</x:v>
      </x:c>
      <x:c r="E4865" s="21" t="n">
        <x:f>IF(AND('Facility Reserve'!I69&gt;=0,'Facility Reserve'!I69&lt;=1),1,0)</x:f>
        <x:v>1</x:v>
      </x:c>
      <x:c r="F4865" s="21" t="n">
        <x:v>1</x:v>
      </x:c>
      <x:c r="G4865" s="23" t="str">
        <x:f>IF(E4865=F4865,"PASS","FAIL")</x:f>
        <x:v>PASS</x:v>
      </x:c>
    </x:row>
    <x:row r="4866">
      <x:c r="B4866" s="21" t="str">
        <x:v>A4860</x:v>
      </x:c>
      <x:c r="C4866" s="21" t="str">
        <x:v>facility</x:v>
      </x:c>
      <x:c r="D4866" s="21" t="str">
        <x:v>facility 69 capacity available</x:v>
      </x:c>
      <x:c r="E4866" s="21" t="n">
        <x:f>IF('Facility Reserve'!K69="AVAILABLE",1,0)</x:f>
        <x:v>1</x:v>
      </x:c>
      <x:c r="F4866" s="21" t="n">
        <x:v>1</x:v>
      </x:c>
      <x:c r="G4866" s="23" t="str">
        <x:f>IF(E4866=F4866,"PASS","FAIL")</x:f>
        <x:v>PASS</x:v>
      </x:c>
    </x:row>
    <x:row r="4867">
      <x:c r="B4867" s="21" t="str">
        <x:v>A4861</x:v>
      </x:c>
      <x:c r="C4867" s="21" t="str">
        <x:v>facility</x:v>
      </x:c>
      <x:c r="D4867" s="21" t="str">
        <x:v>facility 69 evidence open</x:v>
      </x:c>
      <x:c r="E4867" s="21" t="n">
        <x:f>IF('Facility Reserve'!J69="OPEN",1,0)</x:f>
        <x:v>1</x:v>
      </x:c>
      <x:c r="F4867" s="21" t="n">
        <x:v>1</x:v>
      </x:c>
      <x:c r="G4867" s="23" t="str">
        <x:f>IF(E4867=F4867,"PASS","FAIL")</x:f>
        <x:v>PASS</x:v>
      </x:c>
    </x:row>
    <x:row r="4868">
      <x:c r="B4868" s="21" t="str">
        <x:v>A4862</x:v>
      </x:c>
      <x:c r="C4868" s="21" t="str">
        <x:v>facility</x:v>
      </x:c>
      <x:c r="D4868" s="21" t="str">
        <x:v>facility 70 nonnegative reserve</x:v>
      </x:c>
      <x:c r="E4868" s="21" t="n">
        <x:f>IF('Facility Reserve'!H70&gt;=0,1,0)</x:f>
        <x:v>1</x:v>
      </x:c>
      <x:c r="F4868" s="21" t="n">
        <x:v>1</x:v>
      </x:c>
      <x:c r="G4868" s="23" t="str">
        <x:f>IF(E4868=F4868,"PASS","FAIL")</x:f>
        <x:v>PASS</x:v>
      </x:c>
    </x:row>
    <x:row r="4869">
      <x:c r="B4869" s="21" t="str">
        <x:v>A4863</x:v>
      </x:c>
      <x:c r="C4869" s="21" t="str">
        <x:v>facility</x:v>
      </x:c>
      <x:c r="D4869" s="21" t="str">
        <x:v>facility 70 utilization bounded</x:v>
      </x:c>
      <x:c r="E4869" s="21" t="n">
        <x:f>IF(AND('Facility Reserve'!I70&gt;=0,'Facility Reserve'!I70&lt;=1),1,0)</x:f>
        <x:v>1</x:v>
      </x:c>
      <x:c r="F4869" s="21" t="n">
        <x:v>1</x:v>
      </x:c>
      <x:c r="G4869" s="23" t="str">
        <x:f>IF(E4869=F4869,"PASS","FAIL")</x:f>
        <x:v>PASS</x:v>
      </x:c>
    </x:row>
    <x:row r="4870">
      <x:c r="B4870" s="21" t="str">
        <x:v>A4864</x:v>
      </x:c>
      <x:c r="C4870" s="21" t="str">
        <x:v>facility</x:v>
      </x:c>
      <x:c r="D4870" s="21" t="str">
        <x:v>facility 70 capacity available</x:v>
      </x:c>
      <x:c r="E4870" s="21" t="n">
        <x:f>IF('Facility Reserve'!K70="AVAILABLE",1,0)</x:f>
        <x:v>1</x:v>
      </x:c>
      <x:c r="F4870" s="21" t="n">
        <x:v>1</x:v>
      </x:c>
      <x:c r="G4870" s="23" t="str">
        <x:f>IF(E4870=F4870,"PASS","FAIL")</x:f>
        <x:v>PASS</x:v>
      </x:c>
    </x:row>
    <x:row r="4871">
      <x:c r="B4871" s="21" t="str">
        <x:v>A4865</x:v>
      </x:c>
      <x:c r="C4871" s="21" t="str">
        <x:v>facility</x:v>
      </x:c>
      <x:c r="D4871" s="21" t="str">
        <x:v>facility 70 evidence open</x:v>
      </x:c>
      <x:c r="E4871" s="21" t="n">
        <x:f>IF('Facility Reserve'!J70="OPEN",1,0)</x:f>
        <x:v>1</x:v>
      </x:c>
      <x:c r="F4871" s="21" t="n">
        <x:v>1</x:v>
      </x:c>
      <x:c r="G4871" s="23" t="str">
        <x:f>IF(E4871=F4871,"PASS","FAIL")</x:f>
        <x:v>PASS</x:v>
      </x:c>
    </x:row>
    <x:row r="4872">
      <x:c r="B4872" s="21" t="str">
        <x:v>A4866</x:v>
      </x:c>
      <x:c r="C4872" s="21" t="str">
        <x:v>facility</x:v>
      </x:c>
      <x:c r="D4872" s="21" t="str">
        <x:v>facility 71 nonnegative reserve</x:v>
      </x:c>
      <x:c r="E4872" s="21" t="n">
        <x:f>IF('Facility Reserve'!H71&gt;=0,1,0)</x:f>
        <x:v>1</x:v>
      </x:c>
      <x:c r="F4872" s="21" t="n">
        <x:v>1</x:v>
      </x:c>
      <x:c r="G4872" s="23" t="str">
        <x:f>IF(E4872=F4872,"PASS","FAIL")</x:f>
        <x:v>PASS</x:v>
      </x:c>
    </x:row>
    <x:row r="4873">
      <x:c r="B4873" s="21" t="str">
        <x:v>A4867</x:v>
      </x:c>
      <x:c r="C4873" s="21" t="str">
        <x:v>facility</x:v>
      </x:c>
      <x:c r="D4873" s="21" t="str">
        <x:v>facility 71 utilization bounded</x:v>
      </x:c>
      <x:c r="E4873" s="21" t="n">
        <x:f>IF(AND('Facility Reserve'!I71&gt;=0,'Facility Reserve'!I71&lt;=1),1,0)</x:f>
        <x:v>1</x:v>
      </x:c>
      <x:c r="F4873" s="21" t="n">
        <x:v>1</x:v>
      </x:c>
      <x:c r="G4873" s="23" t="str">
        <x:f>IF(E4873=F4873,"PASS","FAIL")</x:f>
        <x:v>PASS</x:v>
      </x:c>
    </x:row>
    <x:row r="4874">
      <x:c r="B4874" s="21" t="str">
        <x:v>A4868</x:v>
      </x:c>
      <x:c r="C4874" s="21" t="str">
        <x:v>facility</x:v>
      </x:c>
      <x:c r="D4874" s="21" t="str">
        <x:v>facility 71 capacity available</x:v>
      </x:c>
      <x:c r="E4874" s="21" t="n">
        <x:f>IF('Facility Reserve'!K71="AVAILABLE",1,0)</x:f>
        <x:v>1</x:v>
      </x:c>
      <x:c r="F4874" s="21" t="n">
        <x:v>1</x:v>
      </x:c>
      <x:c r="G4874" s="23" t="str">
        <x:f>IF(E4874=F4874,"PASS","FAIL")</x:f>
        <x:v>PASS</x:v>
      </x:c>
    </x:row>
    <x:row r="4875">
      <x:c r="B4875" s="21" t="str">
        <x:v>A4869</x:v>
      </x:c>
      <x:c r="C4875" s="21" t="str">
        <x:v>facility</x:v>
      </x:c>
      <x:c r="D4875" s="21" t="str">
        <x:v>facility 71 evidence open</x:v>
      </x:c>
      <x:c r="E4875" s="21" t="n">
        <x:f>IF('Facility Reserve'!J71="OPEN",1,0)</x:f>
        <x:v>1</x:v>
      </x:c>
      <x:c r="F4875" s="21" t="n">
        <x:v>1</x:v>
      </x:c>
      <x:c r="G4875" s="23" t="str">
        <x:f>IF(E4875=F4875,"PASS","FAIL")</x:f>
        <x:v>PASS</x:v>
      </x:c>
    </x:row>
    <x:row r="4876">
      <x:c r="B4876" s="21" t="str">
        <x:v>A4870</x:v>
      </x:c>
      <x:c r="C4876" s="21" t="str">
        <x:v>facility</x:v>
      </x:c>
      <x:c r="D4876" s="21" t="str">
        <x:v>facility 72 nonnegative reserve</x:v>
      </x:c>
      <x:c r="E4876" s="21" t="n">
        <x:f>IF('Facility Reserve'!H72&gt;=0,1,0)</x:f>
        <x:v>1</x:v>
      </x:c>
      <x:c r="F4876" s="21" t="n">
        <x:v>1</x:v>
      </x:c>
      <x:c r="G4876" s="23" t="str">
        <x:f>IF(E4876=F4876,"PASS","FAIL")</x:f>
        <x:v>PASS</x:v>
      </x:c>
    </x:row>
    <x:row r="4877">
      <x:c r="B4877" s="21" t="str">
        <x:v>A4871</x:v>
      </x:c>
      <x:c r="C4877" s="21" t="str">
        <x:v>facility</x:v>
      </x:c>
      <x:c r="D4877" s="21" t="str">
        <x:v>facility 72 utilization bounded</x:v>
      </x:c>
      <x:c r="E4877" s="21" t="n">
        <x:f>IF(AND('Facility Reserve'!I72&gt;=0,'Facility Reserve'!I72&lt;=1),1,0)</x:f>
        <x:v>1</x:v>
      </x:c>
      <x:c r="F4877" s="21" t="n">
        <x:v>1</x:v>
      </x:c>
      <x:c r="G4877" s="23" t="str">
        <x:f>IF(E4877=F4877,"PASS","FAIL")</x:f>
        <x:v>PASS</x:v>
      </x:c>
    </x:row>
    <x:row r="4878">
      <x:c r="B4878" s="21" t="str">
        <x:v>A4872</x:v>
      </x:c>
      <x:c r="C4878" s="21" t="str">
        <x:v>facility</x:v>
      </x:c>
      <x:c r="D4878" s="21" t="str">
        <x:v>facility 72 capacity available</x:v>
      </x:c>
      <x:c r="E4878" s="21" t="n">
        <x:f>IF('Facility Reserve'!K72="AVAILABLE",1,0)</x:f>
        <x:v>1</x:v>
      </x:c>
      <x:c r="F4878" s="21" t="n">
        <x:v>1</x:v>
      </x:c>
      <x:c r="G4878" s="23" t="str">
        <x:f>IF(E4878=F4878,"PASS","FAIL")</x:f>
        <x:v>PASS</x:v>
      </x:c>
    </x:row>
    <x:row r="4879">
      <x:c r="B4879" s="21" t="str">
        <x:v>A4873</x:v>
      </x:c>
      <x:c r="C4879" s="21" t="str">
        <x:v>facility</x:v>
      </x:c>
      <x:c r="D4879" s="21" t="str">
        <x:v>facility 72 evidence open</x:v>
      </x:c>
      <x:c r="E4879" s="21" t="n">
        <x:f>IF('Facility Reserve'!J72="OPEN",1,0)</x:f>
        <x:v>1</x:v>
      </x:c>
      <x:c r="F4879" s="21" t="n">
        <x:v>1</x:v>
      </x:c>
      <x:c r="G4879" s="23" t="str">
        <x:f>IF(E4879=F4879,"PASS","FAIL")</x:f>
        <x:v>PASS</x:v>
      </x:c>
    </x:row>
    <x:row r="4880">
      <x:c r="B4880" s="21" t="str">
        <x:v>A4874</x:v>
      </x:c>
      <x:c r="C4880" s="21" t="str">
        <x:v>facility</x:v>
      </x:c>
      <x:c r="D4880" s="21" t="str">
        <x:v>facility 73 nonnegative reserve</x:v>
      </x:c>
      <x:c r="E4880" s="21" t="n">
        <x:f>IF('Facility Reserve'!H73&gt;=0,1,0)</x:f>
        <x:v>1</x:v>
      </x:c>
      <x:c r="F4880" s="21" t="n">
        <x:v>1</x:v>
      </x:c>
      <x:c r="G4880" s="23" t="str">
        <x:f>IF(E4880=F4880,"PASS","FAIL")</x:f>
        <x:v>PASS</x:v>
      </x:c>
    </x:row>
    <x:row r="4881">
      <x:c r="B4881" s="21" t="str">
        <x:v>A4875</x:v>
      </x:c>
      <x:c r="C4881" s="21" t="str">
        <x:v>facility</x:v>
      </x:c>
      <x:c r="D4881" s="21" t="str">
        <x:v>facility 73 utilization bounded</x:v>
      </x:c>
      <x:c r="E4881" s="21" t="n">
        <x:f>IF(AND('Facility Reserve'!I73&gt;=0,'Facility Reserve'!I73&lt;=1),1,0)</x:f>
        <x:v>1</x:v>
      </x:c>
      <x:c r="F4881" s="21" t="n">
        <x:v>1</x:v>
      </x:c>
      <x:c r="G4881" s="23" t="str">
        <x:f>IF(E4881=F4881,"PASS","FAIL")</x:f>
        <x:v>PASS</x:v>
      </x:c>
    </x:row>
    <x:row r="4882">
      <x:c r="B4882" s="21" t="str">
        <x:v>A4876</x:v>
      </x:c>
      <x:c r="C4882" s="21" t="str">
        <x:v>facility</x:v>
      </x:c>
      <x:c r="D4882" s="21" t="str">
        <x:v>facility 73 capacity available</x:v>
      </x:c>
      <x:c r="E4882" s="21" t="n">
        <x:f>IF('Facility Reserve'!K73="AVAILABLE",1,0)</x:f>
        <x:v>1</x:v>
      </x:c>
      <x:c r="F4882" s="21" t="n">
        <x:v>1</x:v>
      </x:c>
      <x:c r="G4882" s="23" t="str">
        <x:f>IF(E4882=F4882,"PASS","FAIL")</x:f>
        <x:v>PASS</x:v>
      </x:c>
    </x:row>
    <x:row r="4883">
      <x:c r="B4883" s="21" t="str">
        <x:v>A4877</x:v>
      </x:c>
      <x:c r="C4883" s="21" t="str">
        <x:v>facility</x:v>
      </x:c>
      <x:c r="D4883" s="21" t="str">
        <x:v>facility 73 evidence open</x:v>
      </x:c>
      <x:c r="E4883" s="21" t="n">
        <x:f>IF('Facility Reserve'!J73="OPEN",1,0)</x:f>
        <x:v>1</x:v>
      </x:c>
      <x:c r="F4883" s="21" t="n">
        <x:v>1</x:v>
      </x:c>
      <x:c r="G4883" s="23" t="str">
        <x:f>IF(E4883=F4883,"PASS","FAIL")</x:f>
        <x:v>PASS</x:v>
      </x:c>
    </x:row>
    <x:row r="4884">
      <x:c r="B4884" s="21" t="str">
        <x:v>A4878</x:v>
      </x:c>
      <x:c r="C4884" s="21" t="str">
        <x:v>facility</x:v>
      </x:c>
      <x:c r="D4884" s="21" t="str">
        <x:v>facility 74 nonnegative reserve</x:v>
      </x:c>
      <x:c r="E4884" s="21" t="n">
        <x:f>IF('Facility Reserve'!H74&gt;=0,1,0)</x:f>
        <x:v>1</x:v>
      </x:c>
      <x:c r="F4884" s="21" t="n">
        <x:v>1</x:v>
      </x:c>
      <x:c r="G4884" s="23" t="str">
        <x:f>IF(E4884=F4884,"PASS","FAIL")</x:f>
        <x:v>PASS</x:v>
      </x:c>
    </x:row>
    <x:row r="4885">
      <x:c r="B4885" s="21" t="str">
        <x:v>A4879</x:v>
      </x:c>
      <x:c r="C4885" s="21" t="str">
        <x:v>facility</x:v>
      </x:c>
      <x:c r="D4885" s="21" t="str">
        <x:v>facility 74 utilization bounded</x:v>
      </x:c>
      <x:c r="E4885" s="21" t="n">
        <x:f>IF(AND('Facility Reserve'!I74&gt;=0,'Facility Reserve'!I74&lt;=1),1,0)</x:f>
        <x:v>1</x:v>
      </x:c>
      <x:c r="F4885" s="21" t="n">
        <x:v>1</x:v>
      </x:c>
      <x:c r="G4885" s="23" t="str">
        <x:f>IF(E4885=F4885,"PASS","FAIL")</x:f>
        <x:v>PASS</x:v>
      </x:c>
    </x:row>
    <x:row r="4886">
      <x:c r="B4886" s="21" t="str">
        <x:v>A4880</x:v>
      </x:c>
      <x:c r="C4886" s="21" t="str">
        <x:v>facility</x:v>
      </x:c>
      <x:c r="D4886" s="21" t="str">
        <x:v>facility 74 capacity available</x:v>
      </x:c>
      <x:c r="E4886" s="21" t="n">
        <x:f>IF('Facility Reserve'!K74="AVAILABLE",1,0)</x:f>
        <x:v>1</x:v>
      </x:c>
      <x:c r="F4886" s="21" t="n">
        <x:v>1</x:v>
      </x:c>
      <x:c r="G4886" s="23" t="str">
        <x:f>IF(E4886=F4886,"PASS","FAIL")</x:f>
        <x:v>PASS</x:v>
      </x:c>
    </x:row>
    <x:row r="4887">
      <x:c r="B4887" s="21" t="str">
        <x:v>A4881</x:v>
      </x:c>
      <x:c r="C4887" s="21" t="str">
        <x:v>facility</x:v>
      </x:c>
      <x:c r="D4887" s="21" t="str">
        <x:v>facility 74 evidence open</x:v>
      </x:c>
      <x:c r="E4887" s="21" t="n">
        <x:f>IF('Facility Reserve'!J74="OPEN",1,0)</x:f>
        <x:v>1</x:v>
      </x:c>
      <x:c r="F4887" s="21" t="n">
        <x:v>1</x:v>
      </x:c>
      <x:c r="G4887" s="23" t="str">
        <x:f>IF(E4887=F4887,"PASS","FAIL")</x:f>
        <x:v>PASS</x:v>
      </x:c>
    </x:row>
    <x:row r="4888">
      <x:c r="B4888" s="21" t="str">
        <x:v>A4882</x:v>
      </x:c>
      <x:c r="C4888" s="21" t="str">
        <x:v>facility</x:v>
      </x:c>
      <x:c r="D4888" s="21" t="str">
        <x:v>facility 75 nonnegative reserve</x:v>
      </x:c>
      <x:c r="E4888" s="21" t="n">
        <x:f>IF('Facility Reserve'!H75&gt;=0,1,0)</x:f>
        <x:v>1</x:v>
      </x:c>
      <x:c r="F4888" s="21" t="n">
        <x:v>1</x:v>
      </x:c>
      <x:c r="G4888" s="23" t="str">
        <x:f>IF(E4888=F4888,"PASS","FAIL")</x:f>
        <x:v>PASS</x:v>
      </x:c>
    </x:row>
    <x:row r="4889">
      <x:c r="B4889" s="21" t="str">
        <x:v>A4883</x:v>
      </x:c>
      <x:c r="C4889" s="21" t="str">
        <x:v>facility</x:v>
      </x:c>
      <x:c r="D4889" s="21" t="str">
        <x:v>facility 75 utilization bounded</x:v>
      </x:c>
      <x:c r="E4889" s="21" t="n">
        <x:f>IF(AND('Facility Reserve'!I75&gt;=0,'Facility Reserve'!I75&lt;=1),1,0)</x:f>
        <x:v>1</x:v>
      </x:c>
      <x:c r="F4889" s="21" t="n">
        <x:v>1</x:v>
      </x:c>
      <x:c r="G4889" s="23" t="str">
        <x:f>IF(E4889=F4889,"PASS","FAIL")</x:f>
        <x:v>PASS</x:v>
      </x:c>
    </x:row>
    <x:row r="4890">
      <x:c r="B4890" s="21" t="str">
        <x:v>A4884</x:v>
      </x:c>
      <x:c r="C4890" s="21" t="str">
        <x:v>facility</x:v>
      </x:c>
      <x:c r="D4890" s="21" t="str">
        <x:v>facility 75 capacity available</x:v>
      </x:c>
      <x:c r="E4890" s="21" t="n">
        <x:f>IF('Facility Reserve'!K75="AVAILABLE",1,0)</x:f>
        <x:v>1</x:v>
      </x:c>
      <x:c r="F4890" s="21" t="n">
        <x:v>1</x:v>
      </x:c>
      <x:c r="G4890" s="23" t="str">
        <x:f>IF(E4890=F4890,"PASS","FAIL")</x:f>
        <x:v>PASS</x:v>
      </x:c>
    </x:row>
    <x:row r="4891">
      <x:c r="B4891" s="21" t="str">
        <x:v>A4885</x:v>
      </x:c>
      <x:c r="C4891" s="21" t="str">
        <x:v>facility</x:v>
      </x:c>
      <x:c r="D4891" s="21" t="str">
        <x:v>facility 75 evidence open</x:v>
      </x:c>
      <x:c r="E4891" s="21" t="n">
        <x:f>IF('Facility Reserve'!J75="OPEN",1,0)</x:f>
        <x:v>1</x:v>
      </x:c>
      <x:c r="F4891" s="21" t="n">
        <x:v>1</x:v>
      </x:c>
      <x:c r="G4891" s="23" t="str">
        <x:f>IF(E4891=F4891,"PASS","FAIL")</x:f>
        <x:v>PASS</x:v>
      </x:c>
    </x:row>
    <x:row r="4892">
      <x:c r="B4892" s="21" t="str">
        <x:v>A4886</x:v>
      </x:c>
      <x:c r="C4892" s="21" t="str">
        <x:v>facility</x:v>
      </x:c>
      <x:c r="D4892" s="21" t="str">
        <x:v>facility 76 nonnegative reserve</x:v>
      </x:c>
      <x:c r="E4892" s="21" t="n">
        <x:f>IF('Facility Reserve'!H76&gt;=0,1,0)</x:f>
        <x:v>1</x:v>
      </x:c>
      <x:c r="F4892" s="21" t="n">
        <x:v>1</x:v>
      </x:c>
      <x:c r="G4892" s="23" t="str">
        <x:f>IF(E4892=F4892,"PASS","FAIL")</x:f>
        <x:v>PASS</x:v>
      </x:c>
    </x:row>
    <x:row r="4893">
      <x:c r="B4893" s="21" t="str">
        <x:v>A4887</x:v>
      </x:c>
      <x:c r="C4893" s="21" t="str">
        <x:v>facility</x:v>
      </x:c>
      <x:c r="D4893" s="21" t="str">
        <x:v>facility 76 utilization bounded</x:v>
      </x:c>
      <x:c r="E4893" s="21" t="n">
        <x:f>IF(AND('Facility Reserve'!I76&gt;=0,'Facility Reserve'!I76&lt;=1),1,0)</x:f>
        <x:v>1</x:v>
      </x:c>
      <x:c r="F4893" s="21" t="n">
        <x:v>1</x:v>
      </x:c>
      <x:c r="G4893" s="23" t="str">
        <x:f>IF(E4893=F4893,"PASS","FAIL")</x:f>
        <x:v>PASS</x:v>
      </x:c>
    </x:row>
    <x:row r="4894">
      <x:c r="B4894" s="21" t="str">
        <x:v>A4888</x:v>
      </x:c>
      <x:c r="C4894" s="21" t="str">
        <x:v>facility</x:v>
      </x:c>
      <x:c r="D4894" s="21" t="str">
        <x:v>facility 76 capacity available</x:v>
      </x:c>
      <x:c r="E4894" s="21" t="n">
        <x:f>IF('Facility Reserve'!K76="AVAILABLE",1,0)</x:f>
        <x:v>1</x:v>
      </x:c>
      <x:c r="F4894" s="21" t="n">
        <x:v>1</x:v>
      </x:c>
      <x:c r="G4894" s="23" t="str">
        <x:f>IF(E4894=F4894,"PASS","FAIL")</x:f>
        <x:v>PASS</x:v>
      </x:c>
    </x:row>
    <x:row r="4895">
      <x:c r="B4895" s="21" t="str">
        <x:v>A4889</x:v>
      </x:c>
      <x:c r="C4895" s="21" t="str">
        <x:v>facility</x:v>
      </x:c>
      <x:c r="D4895" s="21" t="str">
        <x:v>facility 76 evidence open</x:v>
      </x:c>
      <x:c r="E4895" s="21" t="n">
        <x:f>IF('Facility Reserve'!J76="OPEN",1,0)</x:f>
        <x:v>1</x:v>
      </x:c>
      <x:c r="F4895" s="21" t="n">
        <x:v>1</x:v>
      </x:c>
      <x:c r="G4895" s="23" t="str">
        <x:f>IF(E4895=F4895,"PASS","FAIL")</x:f>
        <x:v>PASS</x:v>
      </x:c>
    </x:row>
    <x:row r="4896">
      <x:c r="B4896" s="21" t="str">
        <x:v>A4890</x:v>
      </x:c>
      <x:c r="C4896" s="21" t="str">
        <x:v>facility</x:v>
      </x:c>
      <x:c r="D4896" s="21" t="str">
        <x:v>facility 77 nonnegative reserve</x:v>
      </x:c>
      <x:c r="E4896" s="21" t="n">
        <x:f>IF('Facility Reserve'!H77&gt;=0,1,0)</x:f>
        <x:v>1</x:v>
      </x:c>
      <x:c r="F4896" s="21" t="n">
        <x:v>1</x:v>
      </x:c>
      <x:c r="G4896" s="23" t="str">
        <x:f>IF(E4896=F4896,"PASS","FAIL")</x:f>
        <x:v>PASS</x:v>
      </x:c>
    </x:row>
    <x:row r="4897">
      <x:c r="B4897" s="21" t="str">
        <x:v>A4891</x:v>
      </x:c>
      <x:c r="C4897" s="21" t="str">
        <x:v>facility</x:v>
      </x:c>
      <x:c r="D4897" s="21" t="str">
        <x:v>facility 77 utilization bounded</x:v>
      </x:c>
      <x:c r="E4897" s="21" t="n">
        <x:f>IF(AND('Facility Reserve'!I77&gt;=0,'Facility Reserve'!I77&lt;=1),1,0)</x:f>
        <x:v>1</x:v>
      </x:c>
      <x:c r="F4897" s="21" t="n">
        <x:v>1</x:v>
      </x:c>
      <x:c r="G4897" s="23" t="str">
        <x:f>IF(E4897=F4897,"PASS","FAIL")</x:f>
        <x:v>PASS</x:v>
      </x:c>
    </x:row>
    <x:row r="4898">
      <x:c r="B4898" s="21" t="str">
        <x:v>A4892</x:v>
      </x:c>
      <x:c r="C4898" s="21" t="str">
        <x:v>facility</x:v>
      </x:c>
      <x:c r="D4898" s="21" t="str">
        <x:v>facility 77 capacity available</x:v>
      </x:c>
      <x:c r="E4898" s="21" t="n">
        <x:f>IF('Facility Reserve'!K77="AVAILABLE",1,0)</x:f>
        <x:v>1</x:v>
      </x:c>
      <x:c r="F4898" s="21" t="n">
        <x:v>1</x:v>
      </x:c>
      <x:c r="G4898" s="23" t="str">
        <x:f>IF(E4898=F4898,"PASS","FAIL")</x:f>
        <x:v>PASS</x:v>
      </x:c>
    </x:row>
    <x:row r="4899">
      <x:c r="B4899" s="21" t="str">
        <x:v>A4893</x:v>
      </x:c>
      <x:c r="C4899" s="21" t="str">
        <x:v>facility</x:v>
      </x:c>
      <x:c r="D4899" s="21" t="str">
        <x:v>facility 77 evidence open</x:v>
      </x:c>
      <x:c r="E4899" s="21" t="n">
        <x:f>IF('Facility Reserve'!J77="OPEN",1,0)</x:f>
        <x:v>1</x:v>
      </x:c>
      <x:c r="F4899" s="21" t="n">
        <x:v>1</x:v>
      </x:c>
      <x:c r="G4899" s="23" t="str">
        <x:f>IF(E4899=F4899,"PASS","FAIL")</x:f>
        <x:v>PASS</x:v>
      </x:c>
    </x:row>
    <x:row r="4900">
      <x:c r="B4900" s="21" t="str">
        <x:v>A4894</x:v>
      </x:c>
      <x:c r="C4900" s="21" t="str">
        <x:v>facility</x:v>
      </x:c>
      <x:c r="D4900" s="21" t="str">
        <x:v>facility 78 nonnegative reserve</x:v>
      </x:c>
      <x:c r="E4900" s="21" t="n">
        <x:f>IF('Facility Reserve'!H78&gt;=0,1,0)</x:f>
        <x:v>1</x:v>
      </x:c>
      <x:c r="F4900" s="21" t="n">
        <x:v>1</x:v>
      </x:c>
      <x:c r="G4900" s="23" t="str">
        <x:f>IF(E4900=F4900,"PASS","FAIL")</x:f>
        <x:v>PASS</x:v>
      </x:c>
    </x:row>
    <x:row r="4901">
      <x:c r="B4901" s="21" t="str">
        <x:v>A4895</x:v>
      </x:c>
      <x:c r="C4901" s="21" t="str">
        <x:v>facility</x:v>
      </x:c>
      <x:c r="D4901" s="21" t="str">
        <x:v>facility 78 utilization bounded</x:v>
      </x:c>
      <x:c r="E4901" s="21" t="n">
        <x:f>IF(AND('Facility Reserve'!I78&gt;=0,'Facility Reserve'!I78&lt;=1),1,0)</x:f>
        <x:v>1</x:v>
      </x:c>
      <x:c r="F4901" s="21" t="n">
        <x:v>1</x:v>
      </x:c>
      <x:c r="G4901" s="23" t="str">
        <x:f>IF(E4901=F4901,"PASS","FAIL")</x:f>
        <x:v>PASS</x:v>
      </x:c>
    </x:row>
    <x:row r="4902">
      <x:c r="B4902" s="21" t="str">
        <x:v>A4896</x:v>
      </x:c>
      <x:c r="C4902" s="21" t="str">
        <x:v>facility</x:v>
      </x:c>
      <x:c r="D4902" s="21" t="str">
        <x:v>facility 78 capacity available</x:v>
      </x:c>
      <x:c r="E4902" s="21" t="n">
        <x:f>IF('Facility Reserve'!K78="AVAILABLE",1,0)</x:f>
        <x:v>1</x:v>
      </x:c>
      <x:c r="F4902" s="21" t="n">
        <x:v>1</x:v>
      </x:c>
      <x:c r="G4902" s="23" t="str">
        <x:f>IF(E4902=F4902,"PASS","FAIL")</x:f>
        <x:v>PASS</x:v>
      </x:c>
    </x:row>
    <x:row r="4903">
      <x:c r="B4903" s="21" t="str">
        <x:v>A4897</x:v>
      </x:c>
      <x:c r="C4903" s="21" t="str">
        <x:v>facility</x:v>
      </x:c>
      <x:c r="D4903" s="21" t="str">
        <x:v>facility 78 evidence open</x:v>
      </x:c>
      <x:c r="E4903" s="21" t="n">
        <x:f>IF('Facility Reserve'!J78="OPEN",1,0)</x:f>
        <x:v>1</x:v>
      </x:c>
      <x:c r="F4903" s="21" t="n">
        <x:v>1</x:v>
      </x:c>
      <x:c r="G4903" s="23" t="str">
        <x:f>IF(E4903=F4903,"PASS","FAIL")</x:f>
        <x:v>PASS</x:v>
      </x:c>
    </x:row>
    <x:row r="4904">
      <x:c r="B4904" s="21" t="str">
        <x:v>A4898</x:v>
      </x:c>
      <x:c r="C4904" s="21" t="str">
        <x:v>cost</x:v>
      </x:c>
      <x:c r="D4904" s="21" t="str">
        <x:v>cost 7 phased reconciliation</x:v>
      </x:c>
      <x:c r="E4904" s="21" t="n">
        <x:f>IF(ABS('Cost Phasing'!L7-'Cost Phasing'!M7)&lt;0.000001,1,0)</x:f>
        <x:v>1</x:v>
      </x:c>
      <x:c r="F4904" s="21" t="n">
        <x:v>1</x:v>
      </x:c>
      <x:c r="G4904" s="23" t="str">
        <x:f>IF(E4904=F4904,"PASS","FAIL")</x:f>
        <x:v>PASS</x:v>
      </x:c>
    </x:row>
    <x:row r="4905">
      <x:c r="B4905" s="21" t="str">
        <x:v>A4899</x:v>
      </x:c>
      <x:c r="C4905" s="21" t="str">
        <x:v>cost</x:v>
      </x:c>
      <x:c r="D4905" s="21" t="str">
        <x:v>cost 7 zero variance</x:v>
      </x:c>
      <x:c r="E4905" s="21" t="n">
        <x:f>IF(ABS('Cost Phasing'!N7)&lt;0.000001,1,0)</x:f>
        <x:v>1</x:v>
      </x:c>
      <x:c r="F4905" s="21" t="n">
        <x:v>1</x:v>
      </x:c>
      <x:c r="G4905" s="23" t="str">
        <x:f>IF(E4905=F4905,"PASS","FAIL")</x:f>
        <x:v>PASS</x:v>
      </x:c>
    </x:row>
    <x:row r="4906">
      <x:c r="B4906" s="21" t="str">
        <x:v>A4900</x:v>
      </x:c>
      <x:c r="C4906" s="21" t="str">
        <x:v>cost</x:v>
      </x:c>
      <x:c r="D4906" s="21" t="str">
        <x:v>cost 8 phased reconciliation</x:v>
      </x:c>
      <x:c r="E4906" s="21" t="n">
        <x:f>IF(ABS('Cost Phasing'!L8-'Cost Phasing'!M8)&lt;0.000001,1,0)</x:f>
        <x:v>1</x:v>
      </x:c>
      <x:c r="F4906" s="21" t="n">
        <x:v>1</x:v>
      </x:c>
      <x:c r="G4906" s="23" t="str">
        <x:f>IF(E4906=F4906,"PASS","FAIL")</x:f>
        <x:v>PASS</x:v>
      </x:c>
    </x:row>
    <x:row r="4907">
      <x:c r="B4907" s="21" t="str">
        <x:v>A4901</x:v>
      </x:c>
      <x:c r="C4907" s="21" t="str">
        <x:v>cost</x:v>
      </x:c>
      <x:c r="D4907" s="21" t="str">
        <x:v>cost 8 zero variance</x:v>
      </x:c>
      <x:c r="E4907" s="21" t="n">
        <x:f>IF(ABS('Cost Phasing'!N8)&lt;0.000001,1,0)</x:f>
        <x:v>1</x:v>
      </x:c>
      <x:c r="F4907" s="21" t="n">
        <x:v>1</x:v>
      </x:c>
      <x:c r="G4907" s="23" t="str">
        <x:f>IF(E4907=F4907,"PASS","FAIL")</x:f>
        <x:v>PASS</x:v>
      </x:c>
    </x:row>
    <x:row r="4908">
      <x:c r="B4908" s="21" t="str">
        <x:v>A4902</x:v>
      </x:c>
      <x:c r="C4908" s="21" t="str">
        <x:v>cost</x:v>
      </x:c>
      <x:c r="D4908" s="21" t="str">
        <x:v>cost 9 phased reconciliation</x:v>
      </x:c>
      <x:c r="E4908" s="21" t="n">
        <x:f>IF(ABS('Cost Phasing'!L9-'Cost Phasing'!M9)&lt;0.000001,1,0)</x:f>
        <x:v>1</x:v>
      </x:c>
      <x:c r="F4908" s="21" t="n">
        <x:v>1</x:v>
      </x:c>
      <x:c r="G4908" s="23" t="str">
        <x:f>IF(E4908=F4908,"PASS","FAIL")</x:f>
        <x:v>PASS</x:v>
      </x:c>
    </x:row>
    <x:row r="4909">
      <x:c r="B4909" s="21" t="str">
        <x:v>A4903</x:v>
      </x:c>
      <x:c r="C4909" s="21" t="str">
        <x:v>cost</x:v>
      </x:c>
      <x:c r="D4909" s="21" t="str">
        <x:v>cost 9 zero variance</x:v>
      </x:c>
      <x:c r="E4909" s="21" t="n">
        <x:f>IF(ABS('Cost Phasing'!N9)&lt;0.000001,1,0)</x:f>
        <x:v>1</x:v>
      </x:c>
      <x:c r="F4909" s="21" t="n">
        <x:v>1</x:v>
      </x:c>
      <x:c r="G4909" s="23" t="str">
        <x:f>IF(E4909=F4909,"PASS","FAIL")</x:f>
        <x:v>PASS</x:v>
      </x:c>
    </x:row>
    <x:row r="4910">
      <x:c r="B4910" s="21" t="str">
        <x:v>A4904</x:v>
      </x:c>
      <x:c r="C4910" s="21" t="str">
        <x:v>cost</x:v>
      </x:c>
      <x:c r="D4910" s="21" t="str">
        <x:v>cost 10 phased reconciliation</x:v>
      </x:c>
      <x:c r="E4910" s="21" t="n">
        <x:f>IF(ABS('Cost Phasing'!L10-'Cost Phasing'!M10)&lt;0.000001,1,0)</x:f>
        <x:v>1</x:v>
      </x:c>
      <x:c r="F4910" s="21" t="n">
        <x:v>1</x:v>
      </x:c>
      <x:c r="G4910" s="23" t="str">
        <x:f>IF(E4910=F4910,"PASS","FAIL")</x:f>
        <x:v>PASS</x:v>
      </x:c>
    </x:row>
    <x:row r="4911">
      <x:c r="B4911" s="21" t="str">
        <x:v>A4905</x:v>
      </x:c>
      <x:c r="C4911" s="21" t="str">
        <x:v>cost</x:v>
      </x:c>
      <x:c r="D4911" s="21" t="str">
        <x:v>cost 10 zero variance</x:v>
      </x:c>
      <x:c r="E4911" s="21" t="n">
        <x:f>IF(ABS('Cost Phasing'!N10)&lt;0.000001,1,0)</x:f>
        <x:v>1</x:v>
      </x:c>
      <x:c r="F4911" s="21" t="n">
        <x:v>1</x:v>
      </x:c>
      <x:c r="G4911" s="23" t="str">
        <x:f>IF(E4911=F4911,"PASS","FAIL")</x:f>
        <x:v>PASS</x:v>
      </x:c>
    </x:row>
    <x:row r="4912">
      <x:c r="B4912" s="21" t="str">
        <x:v>A4906</x:v>
      </x:c>
      <x:c r="C4912" s="21" t="str">
        <x:v>cost</x:v>
      </x:c>
      <x:c r="D4912" s="21" t="str">
        <x:v>cost 11 phased reconciliation</x:v>
      </x:c>
      <x:c r="E4912" s="21" t="n">
        <x:f>IF(ABS('Cost Phasing'!L11-'Cost Phasing'!M11)&lt;0.000001,1,0)</x:f>
        <x:v>1</x:v>
      </x:c>
      <x:c r="F4912" s="21" t="n">
        <x:v>1</x:v>
      </x:c>
      <x:c r="G4912" s="23" t="str">
        <x:f>IF(E4912=F4912,"PASS","FAIL")</x:f>
        <x:v>PASS</x:v>
      </x:c>
    </x:row>
    <x:row r="4913">
      <x:c r="B4913" s="21" t="str">
        <x:v>A4907</x:v>
      </x:c>
      <x:c r="C4913" s="21" t="str">
        <x:v>cost</x:v>
      </x:c>
      <x:c r="D4913" s="21" t="str">
        <x:v>cost 11 zero variance</x:v>
      </x:c>
      <x:c r="E4913" s="21" t="n">
        <x:f>IF(ABS('Cost Phasing'!N11)&lt;0.000001,1,0)</x:f>
        <x:v>1</x:v>
      </x:c>
      <x:c r="F4913" s="21" t="n">
        <x:v>1</x:v>
      </x:c>
      <x:c r="G4913" s="23" t="str">
        <x:f>IF(E4913=F4913,"PASS","FAIL")</x:f>
        <x:v>PASS</x:v>
      </x:c>
    </x:row>
    <x:row r="4914">
      <x:c r="B4914" s="21" t="str">
        <x:v>A4908</x:v>
      </x:c>
      <x:c r="C4914" s="21" t="str">
        <x:v>cost</x:v>
      </x:c>
      <x:c r="D4914" s="21" t="str">
        <x:v>cost 12 phased reconciliation</x:v>
      </x:c>
      <x:c r="E4914" s="21" t="n">
        <x:f>IF(ABS('Cost Phasing'!L12-'Cost Phasing'!M12)&lt;0.000001,1,0)</x:f>
        <x:v>1</x:v>
      </x:c>
      <x:c r="F4914" s="21" t="n">
        <x:v>1</x:v>
      </x:c>
      <x:c r="G4914" s="23" t="str">
        <x:f>IF(E4914=F4914,"PASS","FAIL")</x:f>
        <x:v>PASS</x:v>
      </x:c>
    </x:row>
    <x:row r="4915">
      <x:c r="B4915" s="21" t="str">
        <x:v>A4909</x:v>
      </x:c>
      <x:c r="C4915" s="21" t="str">
        <x:v>cost</x:v>
      </x:c>
      <x:c r="D4915" s="21" t="str">
        <x:v>cost 12 zero variance</x:v>
      </x:c>
      <x:c r="E4915" s="21" t="n">
        <x:f>IF(ABS('Cost Phasing'!N12)&lt;0.000001,1,0)</x:f>
        <x:v>1</x:v>
      </x:c>
      <x:c r="F4915" s="21" t="n">
        <x:v>1</x:v>
      </x:c>
      <x:c r="G4915" s="23" t="str">
        <x:f>IF(E4915=F4915,"PASS","FAIL")</x:f>
        <x:v>PASS</x:v>
      </x:c>
    </x:row>
    <x:row r="4916">
      <x:c r="B4916" s="21" t="str">
        <x:v>A4910</x:v>
      </x:c>
      <x:c r="C4916" s="21" t="str">
        <x:v>cost</x:v>
      </x:c>
      <x:c r="D4916" s="21" t="str">
        <x:v>cost 13 phased reconciliation</x:v>
      </x:c>
      <x:c r="E4916" s="21" t="n">
        <x:f>IF(ABS('Cost Phasing'!L13-'Cost Phasing'!M13)&lt;0.000001,1,0)</x:f>
        <x:v>1</x:v>
      </x:c>
      <x:c r="F4916" s="21" t="n">
        <x:v>1</x:v>
      </x:c>
      <x:c r="G4916" s="23" t="str">
        <x:f>IF(E4916=F4916,"PASS","FAIL")</x:f>
        <x:v>PASS</x:v>
      </x:c>
    </x:row>
    <x:row r="4917">
      <x:c r="B4917" s="21" t="str">
        <x:v>A4911</x:v>
      </x:c>
      <x:c r="C4917" s="21" t="str">
        <x:v>cost</x:v>
      </x:c>
      <x:c r="D4917" s="21" t="str">
        <x:v>cost 13 zero variance</x:v>
      </x:c>
      <x:c r="E4917" s="21" t="n">
        <x:f>IF(ABS('Cost Phasing'!N13)&lt;0.000001,1,0)</x:f>
        <x:v>1</x:v>
      </x:c>
      <x:c r="F4917" s="21" t="n">
        <x:v>1</x:v>
      </x:c>
      <x:c r="G4917" s="23" t="str">
        <x:f>IF(E4917=F4917,"PASS","FAIL")</x:f>
        <x:v>PASS</x:v>
      </x:c>
    </x:row>
    <x:row r="4918">
      <x:c r="B4918" s="21" t="str">
        <x:v>A4912</x:v>
      </x:c>
      <x:c r="C4918" s="21" t="str">
        <x:v>cost</x:v>
      </x:c>
      <x:c r="D4918" s="21" t="str">
        <x:v>cost 14 phased reconciliation</x:v>
      </x:c>
      <x:c r="E4918" s="21" t="n">
        <x:f>IF(ABS('Cost Phasing'!L14-'Cost Phasing'!M14)&lt;0.000001,1,0)</x:f>
        <x:v>1</x:v>
      </x:c>
      <x:c r="F4918" s="21" t="n">
        <x:v>1</x:v>
      </x:c>
      <x:c r="G4918" s="23" t="str">
        <x:f>IF(E4918=F4918,"PASS","FAIL")</x:f>
        <x:v>PASS</x:v>
      </x:c>
    </x:row>
    <x:row r="4919">
      <x:c r="B4919" s="21" t="str">
        <x:v>A4913</x:v>
      </x:c>
      <x:c r="C4919" s="21" t="str">
        <x:v>cost</x:v>
      </x:c>
      <x:c r="D4919" s="21" t="str">
        <x:v>cost 14 zero variance</x:v>
      </x:c>
      <x:c r="E4919" s="21" t="n">
        <x:f>IF(ABS('Cost Phasing'!N14)&lt;0.000001,1,0)</x:f>
        <x:v>1</x:v>
      </x:c>
      <x:c r="F4919" s="21" t="n">
        <x:v>1</x:v>
      </x:c>
      <x:c r="G4919" s="23" t="str">
        <x:f>IF(E4919=F4919,"PASS","FAIL")</x:f>
        <x:v>PASS</x:v>
      </x:c>
    </x:row>
    <x:row r="4920">
      <x:c r="B4920" s="21" t="str">
        <x:v>A4914</x:v>
      </x:c>
      <x:c r="C4920" s="21" t="str">
        <x:v>authority</x:v>
      </x:c>
      <x:c r="D4920" s="21" t="str">
        <x:v>gate 7 evidence open</x:v>
      </x:c>
      <x:c r="E4920" s="21" t="n">
        <x:f>IF('Decision Gates'!F7="OPEN",1,0)</x:f>
        <x:v>1</x:v>
      </x:c>
      <x:c r="F4920" s="21" t="n">
        <x:v>1</x:v>
      </x:c>
      <x:c r="G4920" s="23" t="str">
        <x:f>IF(E4920=F4920,"PASS","FAIL")</x:f>
        <x:v>PASS</x:v>
      </x:c>
    </x:row>
    <x:row r="4921">
      <x:c r="B4921" s="21" t="str">
        <x:v>A4915</x:v>
      </x:c>
      <x:c r="C4921" s="21" t="str">
        <x:v>authority</x:v>
      </x:c>
      <x:c r="D4921" s="21" t="str">
        <x:v>gate 7 decision held</x:v>
      </x:c>
      <x:c r="E4921" s="21" t="n">
        <x:f>IF('Decision Gates'!G7="HOLD",1,0)</x:f>
        <x:v>1</x:v>
      </x:c>
      <x:c r="F4921" s="21" t="n">
        <x:v>1</x:v>
      </x:c>
      <x:c r="G4921" s="23" t="str">
        <x:f>IF(E4921=F4921,"PASS","FAIL")</x:f>
        <x:v>PASS</x:v>
      </x:c>
    </x:row>
    <x:row r="4922">
      <x:c r="B4922" s="21" t="str">
        <x:v>A4916</x:v>
      </x:c>
      <x:c r="C4922" s="21" t="str">
        <x:v>authority</x:v>
      </x:c>
      <x:c r="D4922" s="21" t="str">
        <x:v>gate 7 rendering blocked</x:v>
      </x:c>
      <x:c r="E4922" s="21" t="n">
        <x:f>IF('Decision Gates'!I7="BLOCKED",1,0)</x:f>
        <x:v>1</x:v>
      </x:c>
      <x:c r="F4922" s="21" t="n">
        <x:v>1</x:v>
      </x:c>
      <x:c r="G4922" s="23" t="str">
        <x:f>IF(E4922=F4922,"PASS","FAIL")</x:f>
        <x:v>PASS</x:v>
      </x:c>
    </x:row>
    <x:row r="4923">
      <x:c r="B4923" s="21" t="str">
        <x:v>A4917</x:v>
      </x:c>
      <x:c r="C4923" s="21" t="str">
        <x:v>authority</x:v>
      </x:c>
      <x:c r="D4923" s="21" t="str">
        <x:v>gate 7 zero credit</x:v>
      </x:c>
      <x:c r="E4923" s="21" t="n">
        <x:f>IF('Decision Gates'!J7=0,1,0)</x:f>
        <x:v>1</x:v>
      </x:c>
      <x:c r="F4923" s="21" t="n">
        <x:v>1</x:v>
      </x:c>
      <x:c r="G4923" s="23" t="str">
        <x:f>IF(E4923=F4923,"PASS","FAIL")</x:f>
        <x:v>PASS</x:v>
      </x:c>
    </x:row>
    <x:row r="4924">
      <x:c r="B4924" s="21" t="str">
        <x:v>A4918</x:v>
      </x:c>
      <x:c r="C4924" s="21" t="str">
        <x:v>authority</x:v>
      </x:c>
      <x:c r="D4924" s="21" t="str">
        <x:v>gate 8 evidence open</x:v>
      </x:c>
      <x:c r="E4924" s="21" t="n">
        <x:f>IF('Decision Gates'!F8="OPEN",1,0)</x:f>
        <x:v>1</x:v>
      </x:c>
      <x:c r="F4924" s="21" t="n">
        <x:v>1</x:v>
      </x:c>
      <x:c r="G4924" s="23" t="str">
        <x:f>IF(E4924=F4924,"PASS","FAIL")</x:f>
        <x:v>PASS</x:v>
      </x:c>
    </x:row>
    <x:row r="4925">
      <x:c r="B4925" s="21" t="str">
        <x:v>A4919</x:v>
      </x:c>
      <x:c r="C4925" s="21" t="str">
        <x:v>authority</x:v>
      </x:c>
      <x:c r="D4925" s="21" t="str">
        <x:v>gate 8 decision held</x:v>
      </x:c>
      <x:c r="E4925" s="21" t="n">
        <x:f>IF('Decision Gates'!G8="HOLD",1,0)</x:f>
        <x:v>1</x:v>
      </x:c>
      <x:c r="F4925" s="21" t="n">
        <x:v>1</x:v>
      </x:c>
      <x:c r="G4925" s="23" t="str">
        <x:f>IF(E4925=F4925,"PASS","FAIL")</x:f>
        <x:v>PASS</x:v>
      </x:c>
    </x:row>
    <x:row r="4926">
      <x:c r="B4926" s="21" t="str">
        <x:v>A4920</x:v>
      </x:c>
      <x:c r="C4926" s="21" t="str">
        <x:v>authority</x:v>
      </x:c>
      <x:c r="D4926" s="21" t="str">
        <x:v>gate 8 rendering blocked</x:v>
      </x:c>
      <x:c r="E4926" s="21" t="n">
        <x:f>IF('Decision Gates'!I8="BLOCKED",1,0)</x:f>
        <x:v>1</x:v>
      </x:c>
      <x:c r="F4926" s="21" t="n">
        <x:v>1</x:v>
      </x:c>
      <x:c r="G4926" s="23" t="str">
        <x:f>IF(E4926=F4926,"PASS","FAIL")</x:f>
        <x:v>PASS</x:v>
      </x:c>
    </x:row>
    <x:row r="4927">
      <x:c r="B4927" s="21" t="str">
        <x:v>A4921</x:v>
      </x:c>
      <x:c r="C4927" s="21" t="str">
        <x:v>authority</x:v>
      </x:c>
      <x:c r="D4927" s="21" t="str">
        <x:v>gate 8 zero credit</x:v>
      </x:c>
      <x:c r="E4927" s="21" t="n">
        <x:f>IF('Decision Gates'!J8=0,1,0)</x:f>
        <x:v>1</x:v>
      </x:c>
      <x:c r="F4927" s="21" t="n">
        <x:v>1</x:v>
      </x:c>
      <x:c r="G4927" s="23" t="str">
        <x:f>IF(E4927=F4927,"PASS","FAIL")</x:f>
        <x:v>PASS</x:v>
      </x:c>
    </x:row>
    <x:row r="4928">
      <x:c r="B4928" s="21" t="str">
        <x:v>A4922</x:v>
      </x:c>
      <x:c r="C4928" s="21" t="str">
        <x:v>authority</x:v>
      </x:c>
      <x:c r="D4928" s="21" t="str">
        <x:v>gate 9 evidence open</x:v>
      </x:c>
      <x:c r="E4928" s="21" t="n">
        <x:f>IF('Decision Gates'!F9="OPEN",1,0)</x:f>
        <x:v>1</x:v>
      </x:c>
      <x:c r="F4928" s="21" t="n">
        <x:v>1</x:v>
      </x:c>
      <x:c r="G4928" s="23" t="str">
        <x:f>IF(E4928=F4928,"PASS","FAIL")</x:f>
        <x:v>PASS</x:v>
      </x:c>
    </x:row>
    <x:row r="4929">
      <x:c r="B4929" s="21" t="str">
        <x:v>A4923</x:v>
      </x:c>
      <x:c r="C4929" s="21" t="str">
        <x:v>authority</x:v>
      </x:c>
      <x:c r="D4929" s="21" t="str">
        <x:v>gate 9 decision held</x:v>
      </x:c>
      <x:c r="E4929" s="21" t="n">
        <x:f>IF('Decision Gates'!G9="HOLD",1,0)</x:f>
        <x:v>1</x:v>
      </x:c>
      <x:c r="F4929" s="21" t="n">
        <x:v>1</x:v>
      </x:c>
      <x:c r="G4929" s="23" t="str">
        <x:f>IF(E4929=F4929,"PASS","FAIL")</x:f>
        <x:v>PASS</x:v>
      </x:c>
    </x:row>
    <x:row r="4930">
      <x:c r="B4930" s="21" t="str">
        <x:v>A4924</x:v>
      </x:c>
      <x:c r="C4930" s="21" t="str">
        <x:v>authority</x:v>
      </x:c>
      <x:c r="D4930" s="21" t="str">
        <x:v>gate 9 rendering blocked</x:v>
      </x:c>
      <x:c r="E4930" s="21" t="n">
        <x:f>IF('Decision Gates'!I9="BLOCKED",1,0)</x:f>
        <x:v>1</x:v>
      </x:c>
      <x:c r="F4930" s="21" t="n">
        <x:v>1</x:v>
      </x:c>
      <x:c r="G4930" s="23" t="str">
        <x:f>IF(E4930=F4930,"PASS","FAIL")</x:f>
        <x:v>PASS</x:v>
      </x:c>
    </x:row>
    <x:row r="4931">
      <x:c r="B4931" s="21" t="str">
        <x:v>A4925</x:v>
      </x:c>
      <x:c r="C4931" s="21" t="str">
        <x:v>authority</x:v>
      </x:c>
      <x:c r="D4931" s="21" t="str">
        <x:v>gate 9 zero credit</x:v>
      </x:c>
      <x:c r="E4931" s="21" t="n">
        <x:f>IF('Decision Gates'!J9=0,1,0)</x:f>
        <x:v>1</x:v>
      </x:c>
      <x:c r="F4931" s="21" t="n">
        <x:v>1</x:v>
      </x:c>
      <x:c r="G4931" s="23" t="str">
        <x:f>IF(E4931=F4931,"PASS","FAIL")</x:f>
        <x:v>PASS</x:v>
      </x:c>
    </x:row>
    <x:row r="4932">
      <x:c r="B4932" s="21" t="str">
        <x:v>A4926</x:v>
      </x:c>
      <x:c r="C4932" s="21" t="str">
        <x:v>authority</x:v>
      </x:c>
      <x:c r="D4932" s="21" t="str">
        <x:v>gate 10 evidence open</x:v>
      </x:c>
      <x:c r="E4932" s="21" t="n">
        <x:f>IF('Decision Gates'!F10="OPEN",1,0)</x:f>
        <x:v>1</x:v>
      </x:c>
      <x:c r="F4932" s="21" t="n">
        <x:v>1</x:v>
      </x:c>
      <x:c r="G4932" s="23" t="str">
        <x:f>IF(E4932=F4932,"PASS","FAIL")</x:f>
        <x:v>PASS</x:v>
      </x:c>
    </x:row>
    <x:row r="4933">
      <x:c r="B4933" s="21" t="str">
        <x:v>A4927</x:v>
      </x:c>
      <x:c r="C4933" s="21" t="str">
        <x:v>authority</x:v>
      </x:c>
      <x:c r="D4933" s="21" t="str">
        <x:v>gate 10 decision held</x:v>
      </x:c>
      <x:c r="E4933" s="21" t="n">
        <x:f>IF('Decision Gates'!G10="HOLD",1,0)</x:f>
        <x:v>1</x:v>
      </x:c>
      <x:c r="F4933" s="21" t="n">
        <x:v>1</x:v>
      </x:c>
      <x:c r="G4933" s="23" t="str">
        <x:f>IF(E4933=F4933,"PASS","FAIL")</x:f>
        <x:v>PASS</x:v>
      </x:c>
    </x:row>
    <x:row r="4934">
      <x:c r="B4934" s="21" t="str">
        <x:v>A4928</x:v>
      </x:c>
      <x:c r="C4934" s="21" t="str">
        <x:v>authority</x:v>
      </x:c>
      <x:c r="D4934" s="21" t="str">
        <x:v>gate 10 rendering blocked</x:v>
      </x:c>
      <x:c r="E4934" s="21" t="n">
        <x:f>IF('Decision Gates'!I10="BLOCKED",1,0)</x:f>
        <x:v>1</x:v>
      </x:c>
      <x:c r="F4934" s="21" t="n">
        <x:v>1</x:v>
      </x:c>
      <x:c r="G4934" s="23" t="str">
        <x:f>IF(E4934=F4934,"PASS","FAIL")</x:f>
        <x:v>PASS</x:v>
      </x:c>
    </x:row>
    <x:row r="4935">
      <x:c r="B4935" s="21" t="str">
        <x:v>A4929</x:v>
      </x:c>
      <x:c r="C4935" s="21" t="str">
        <x:v>authority</x:v>
      </x:c>
      <x:c r="D4935" s="21" t="str">
        <x:v>gate 10 zero credit</x:v>
      </x:c>
      <x:c r="E4935" s="21" t="n">
        <x:f>IF('Decision Gates'!J10=0,1,0)</x:f>
        <x:v>1</x:v>
      </x:c>
      <x:c r="F4935" s="21" t="n">
        <x:v>1</x:v>
      </x:c>
      <x:c r="G4935" s="23" t="str">
        <x:f>IF(E4935=F4935,"PASS","FAIL")</x:f>
        <x:v>PASS</x:v>
      </x:c>
    </x:row>
    <x:row r="4936">
      <x:c r="B4936" s="21" t="str">
        <x:v>A4930</x:v>
      </x:c>
      <x:c r="C4936" s="21" t="str">
        <x:v>authority</x:v>
      </x:c>
      <x:c r="D4936" s="21" t="str">
        <x:v>gate 11 evidence open</x:v>
      </x:c>
      <x:c r="E4936" s="21" t="n">
        <x:f>IF('Decision Gates'!F11="OPEN",1,0)</x:f>
        <x:v>1</x:v>
      </x:c>
      <x:c r="F4936" s="21" t="n">
        <x:v>1</x:v>
      </x:c>
      <x:c r="G4936" s="23" t="str">
        <x:f>IF(E4936=F4936,"PASS","FAIL")</x:f>
        <x:v>PASS</x:v>
      </x:c>
    </x:row>
    <x:row r="4937">
      <x:c r="B4937" s="21" t="str">
        <x:v>A4931</x:v>
      </x:c>
      <x:c r="C4937" s="21" t="str">
        <x:v>authority</x:v>
      </x:c>
      <x:c r="D4937" s="21" t="str">
        <x:v>gate 11 decision held</x:v>
      </x:c>
      <x:c r="E4937" s="21" t="n">
        <x:f>IF('Decision Gates'!G11="HOLD",1,0)</x:f>
        <x:v>1</x:v>
      </x:c>
      <x:c r="F4937" s="21" t="n">
        <x:v>1</x:v>
      </x:c>
      <x:c r="G4937" s="23" t="str">
        <x:f>IF(E4937=F4937,"PASS","FAIL")</x:f>
        <x:v>PASS</x:v>
      </x:c>
    </x:row>
    <x:row r="4938">
      <x:c r="B4938" s="21" t="str">
        <x:v>A4932</x:v>
      </x:c>
      <x:c r="C4938" s="21" t="str">
        <x:v>authority</x:v>
      </x:c>
      <x:c r="D4938" s="21" t="str">
        <x:v>gate 11 rendering blocked</x:v>
      </x:c>
      <x:c r="E4938" s="21" t="n">
        <x:f>IF('Decision Gates'!I11="BLOCKED",1,0)</x:f>
        <x:v>1</x:v>
      </x:c>
      <x:c r="F4938" s="21" t="n">
        <x:v>1</x:v>
      </x:c>
      <x:c r="G4938" s="23" t="str">
        <x:f>IF(E4938=F4938,"PASS","FAIL")</x:f>
        <x:v>PASS</x:v>
      </x:c>
    </x:row>
    <x:row r="4939">
      <x:c r="B4939" s="21" t="str">
        <x:v>A4933</x:v>
      </x:c>
      <x:c r="C4939" s="21" t="str">
        <x:v>authority</x:v>
      </x:c>
      <x:c r="D4939" s="21" t="str">
        <x:v>gate 11 zero credit</x:v>
      </x:c>
      <x:c r="E4939" s="21" t="n">
        <x:f>IF('Decision Gates'!J11=0,1,0)</x:f>
        <x:v>1</x:v>
      </x:c>
      <x:c r="F4939" s="21" t="n">
        <x:v>1</x:v>
      </x:c>
      <x:c r="G4939" s="23" t="str">
        <x:f>IF(E4939=F4939,"PASS","FAIL")</x:f>
        <x:v>PASS</x:v>
      </x:c>
    </x:row>
    <x:row r="4940">
      <x:c r="B4940" s="21" t="str">
        <x:v>A4934</x:v>
      </x:c>
      <x:c r="C4940" s="21" t="str">
        <x:v>authority</x:v>
      </x:c>
      <x:c r="D4940" s="21" t="str">
        <x:v>gate 12 evidence open</x:v>
      </x:c>
      <x:c r="E4940" s="21" t="n">
        <x:f>IF('Decision Gates'!F12="OPEN",1,0)</x:f>
        <x:v>1</x:v>
      </x:c>
      <x:c r="F4940" s="21" t="n">
        <x:v>1</x:v>
      </x:c>
      <x:c r="G4940" s="23" t="str">
        <x:f>IF(E4940=F4940,"PASS","FAIL")</x:f>
        <x:v>PASS</x:v>
      </x:c>
    </x:row>
    <x:row r="4941">
      <x:c r="B4941" s="21" t="str">
        <x:v>A4935</x:v>
      </x:c>
      <x:c r="C4941" s="21" t="str">
        <x:v>authority</x:v>
      </x:c>
      <x:c r="D4941" s="21" t="str">
        <x:v>gate 12 decision held</x:v>
      </x:c>
      <x:c r="E4941" s="21" t="n">
        <x:f>IF('Decision Gates'!G12="HOLD",1,0)</x:f>
        <x:v>1</x:v>
      </x:c>
      <x:c r="F4941" s="21" t="n">
        <x:v>1</x:v>
      </x:c>
      <x:c r="G4941" s="23" t="str">
        <x:f>IF(E4941=F4941,"PASS","FAIL")</x:f>
        <x:v>PASS</x:v>
      </x:c>
    </x:row>
    <x:row r="4942">
      <x:c r="B4942" s="21" t="str">
        <x:v>A4936</x:v>
      </x:c>
      <x:c r="C4942" s="21" t="str">
        <x:v>authority</x:v>
      </x:c>
      <x:c r="D4942" s="21" t="str">
        <x:v>gate 12 rendering blocked</x:v>
      </x:c>
      <x:c r="E4942" s="21" t="n">
        <x:f>IF('Decision Gates'!I12="BLOCKED",1,0)</x:f>
        <x:v>1</x:v>
      </x:c>
      <x:c r="F4942" s="21" t="n">
        <x:v>1</x:v>
      </x:c>
      <x:c r="G4942" s="23" t="str">
        <x:f>IF(E4942=F4942,"PASS","FAIL")</x:f>
        <x:v>PASS</x:v>
      </x:c>
    </x:row>
    <x:row r="4943">
      <x:c r="B4943" s="21" t="str">
        <x:v>A4937</x:v>
      </x:c>
      <x:c r="C4943" s="21" t="str">
        <x:v>authority</x:v>
      </x:c>
      <x:c r="D4943" s="21" t="str">
        <x:v>gate 12 zero credit</x:v>
      </x:c>
      <x:c r="E4943" s="21" t="n">
        <x:f>IF('Decision Gates'!J12=0,1,0)</x:f>
        <x:v>1</x:v>
      </x:c>
      <x:c r="F4943" s="21" t="n">
        <x:v>1</x:v>
      </x:c>
      <x:c r="G4943" s="23" t="str">
        <x:f>IF(E4943=F4943,"PASS","FAIL")</x:f>
        <x:v>PASS</x:v>
      </x:c>
    </x:row>
    <x:row r="4944">
      <x:c r="B4944" s="21" t="str">
        <x:v>A4938</x:v>
      </x:c>
      <x:c r="C4944" s="21" t="str">
        <x:v>authority</x:v>
      </x:c>
      <x:c r="D4944" s="21" t="str">
        <x:v>gate 13 evidence open</x:v>
      </x:c>
      <x:c r="E4944" s="21" t="n">
        <x:f>IF('Decision Gates'!F13="OPEN",1,0)</x:f>
        <x:v>1</x:v>
      </x:c>
      <x:c r="F4944" s="21" t="n">
        <x:v>1</x:v>
      </x:c>
      <x:c r="G4944" s="23" t="str">
        <x:f>IF(E4944=F4944,"PASS","FAIL")</x:f>
        <x:v>PASS</x:v>
      </x:c>
    </x:row>
    <x:row r="4945">
      <x:c r="B4945" s="21" t="str">
        <x:v>A4939</x:v>
      </x:c>
      <x:c r="C4945" s="21" t="str">
        <x:v>authority</x:v>
      </x:c>
      <x:c r="D4945" s="21" t="str">
        <x:v>gate 13 decision held</x:v>
      </x:c>
      <x:c r="E4945" s="21" t="n">
        <x:f>IF('Decision Gates'!G13="HOLD",1,0)</x:f>
        <x:v>1</x:v>
      </x:c>
      <x:c r="F4945" s="21" t="n">
        <x:v>1</x:v>
      </x:c>
      <x:c r="G4945" s="23" t="str">
        <x:f>IF(E4945=F4945,"PASS","FAIL")</x:f>
        <x:v>PASS</x:v>
      </x:c>
    </x:row>
    <x:row r="4946">
      <x:c r="B4946" s="21" t="str">
        <x:v>A4940</x:v>
      </x:c>
      <x:c r="C4946" s="21" t="str">
        <x:v>authority</x:v>
      </x:c>
      <x:c r="D4946" s="21" t="str">
        <x:v>gate 13 rendering blocked</x:v>
      </x:c>
      <x:c r="E4946" s="21" t="n">
        <x:f>IF('Decision Gates'!I13="BLOCKED",1,0)</x:f>
        <x:v>1</x:v>
      </x:c>
      <x:c r="F4946" s="21" t="n">
        <x:v>1</x:v>
      </x:c>
      <x:c r="G4946" s="23" t="str">
        <x:f>IF(E4946=F4946,"PASS","FAIL")</x:f>
        <x:v>PASS</x:v>
      </x:c>
    </x:row>
    <x:row r="4947">
      <x:c r="B4947" s="21" t="str">
        <x:v>A4941</x:v>
      </x:c>
      <x:c r="C4947" s="21" t="str">
        <x:v>authority</x:v>
      </x:c>
      <x:c r="D4947" s="21" t="str">
        <x:v>gate 13 zero credit</x:v>
      </x:c>
      <x:c r="E4947" s="21" t="n">
        <x:f>IF('Decision Gates'!J13=0,1,0)</x:f>
        <x:v>1</x:v>
      </x:c>
      <x:c r="F4947" s="21" t="n">
        <x:v>1</x:v>
      </x:c>
      <x:c r="G4947" s="23" t="str">
        <x:f>IF(E4947=F4947,"PASS","FAIL")</x:f>
        <x:v>PASS</x:v>
      </x:c>
    </x:row>
    <x:row r="4948">
      <x:c r="B4948" s="21" t="str">
        <x:v>A4942</x:v>
      </x:c>
      <x:c r="C4948" s="21" t="str">
        <x:v>authority</x:v>
      </x:c>
      <x:c r="D4948" s="21" t="str">
        <x:v>gate 14 evidence open</x:v>
      </x:c>
      <x:c r="E4948" s="21" t="n">
        <x:f>IF('Decision Gates'!F14="OPEN",1,0)</x:f>
        <x:v>1</x:v>
      </x:c>
      <x:c r="F4948" s="21" t="n">
        <x:v>1</x:v>
      </x:c>
      <x:c r="G4948" s="23" t="str">
        <x:f>IF(E4948=F4948,"PASS","FAIL")</x:f>
        <x:v>PASS</x:v>
      </x:c>
    </x:row>
    <x:row r="4949">
      <x:c r="B4949" s="21" t="str">
        <x:v>A4943</x:v>
      </x:c>
      <x:c r="C4949" s="21" t="str">
        <x:v>authority</x:v>
      </x:c>
      <x:c r="D4949" s="21" t="str">
        <x:v>gate 14 decision held</x:v>
      </x:c>
      <x:c r="E4949" s="21" t="n">
        <x:f>IF('Decision Gates'!G14="HOLD",1,0)</x:f>
        <x:v>1</x:v>
      </x:c>
      <x:c r="F4949" s="21" t="n">
        <x:v>1</x:v>
      </x:c>
      <x:c r="G4949" s="23" t="str">
        <x:f>IF(E4949=F4949,"PASS","FAIL")</x:f>
        <x:v>PASS</x:v>
      </x:c>
    </x:row>
    <x:row r="4950">
      <x:c r="B4950" s="21" t="str">
        <x:v>A4944</x:v>
      </x:c>
      <x:c r="C4950" s="21" t="str">
        <x:v>authority</x:v>
      </x:c>
      <x:c r="D4950" s="21" t="str">
        <x:v>gate 14 rendering blocked</x:v>
      </x:c>
      <x:c r="E4950" s="21" t="n">
        <x:f>IF('Decision Gates'!I14="BLOCKED",1,0)</x:f>
        <x:v>1</x:v>
      </x:c>
      <x:c r="F4950" s="21" t="n">
        <x:v>1</x:v>
      </x:c>
      <x:c r="G4950" s="23" t="str">
        <x:f>IF(E4950=F4950,"PASS","FAIL")</x:f>
        <x:v>PASS</x:v>
      </x:c>
    </x:row>
    <x:row r="4951">
      <x:c r="B4951" s="21" t="str">
        <x:v>A4945</x:v>
      </x:c>
      <x:c r="C4951" s="21" t="str">
        <x:v>authority</x:v>
      </x:c>
      <x:c r="D4951" s="21" t="str">
        <x:v>gate 14 zero credit</x:v>
      </x:c>
      <x:c r="E4951" s="21" t="n">
        <x:f>IF('Decision Gates'!J14=0,1,0)</x:f>
        <x:v>1</x:v>
      </x:c>
      <x:c r="F4951" s="21" t="n">
        <x:v>1</x:v>
      </x:c>
      <x:c r="G4951" s="23" t="str">
        <x:f>IF(E4951=F4951,"PASS","FAIL")</x:f>
        <x:v>PASS</x:v>
      </x:c>
    </x:row>
    <x:row r="4952">
      <x:c r="B4952" s="21" t="str">
        <x:v>A4946</x:v>
      </x:c>
      <x:c r="C4952" s="21" t="str">
        <x:v>authority</x:v>
      </x:c>
      <x:c r="D4952" s="21" t="str">
        <x:v>gate 15 evidence open</x:v>
      </x:c>
      <x:c r="E4952" s="21" t="n">
        <x:f>IF('Decision Gates'!F15="OPEN",1,0)</x:f>
        <x:v>1</x:v>
      </x:c>
      <x:c r="F4952" s="21" t="n">
        <x:v>1</x:v>
      </x:c>
      <x:c r="G4952" s="23" t="str">
        <x:f>IF(E4952=F4952,"PASS","FAIL")</x:f>
        <x:v>PASS</x:v>
      </x:c>
    </x:row>
    <x:row r="4953">
      <x:c r="B4953" s="21" t="str">
        <x:v>A4947</x:v>
      </x:c>
      <x:c r="C4953" s="21" t="str">
        <x:v>authority</x:v>
      </x:c>
      <x:c r="D4953" s="21" t="str">
        <x:v>gate 15 decision held</x:v>
      </x:c>
      <x:c r="E4953" s="21" t="n">
        <x:f>IF('Decision Gates'!G15="HOLD",1,0)</x:f>
        <x:v>1</x:v>
      </x:c>
      <x:c r="F4953" s="21" t="n">
        <x:v>1</x:v>
      </x:c>
      <x:c r="G4953" s="23" t="str">
        <x:f>IF(E4953=F4953,"PASS","FAIL")</x:f>
        <x:v>PASS</x:v>
      </x:c>
    </x:row>
    <x:row r="4954">
      <x:c r="B4954" s="21" t="str">
        <x:v>A4948</x:v>
      </x:c>
      <x:c r="C4954" s="21" t="str">
        <x:v>authority</x:v>
      </x:c>
      <x:c r="D4954" s="21" t="str">
        <x:v>gate 15 rendering blocked</x:v>
      </x:c>
      <x:c r="E4954" s="21" t="n">
        <x:f>IF('Decision Gates'!I15="BLOCKED",1,0)</x:f>
        <x:v>1</x:v>
      </x:c>
      <x:c r="F4954" s="21" t="n">
        <x:v>1</x:v>
      </x:c>
      <x:c r="G4954" s="23" t="str">
        <x:f>IF(E4954=F4954,"PASS","FAIL")</x:f>
        <x:v>PASS</x:v>
      </x:c>
    </x:row>
    <x:row r="4955">
      <x:c r="B4955" s="21" t="str">
        <x:v>A4949</x:v>
      </x:c>
      <x:c r="C4955" s="21" t="str">
        <x:v>authority</x:v>
      </x:c>
      <x:c r="D4955" s="21" t="str">
        <x:v>gate 15 zero credit</x:v>
      </x:c>
      <x:c r="E4955" s="21" t="n">
        <x:f>IF('Decision Gates'!J15=0,1,0)</x:f>
        <x:v>1</x:v>
      </x:c>
      <x:c r="F4955" s="21" t="n">
        <x:v>1</x:v>
      </x:c>
      <x:c r="G4955" s="23" t="str">
        <x:f>IF(E4955=F4955,"PASS","FAIL")</x:f>
        <x:v>PASS</x:v>
      </x:c>
    </x:row>
    <x:row r="4956">
      <x:c r="B4956" s="21" t="str">
        <x:v>A4950</x:v>
      </x:c>
      <x:c r="C4956" s="21" t="str">
        <x:v>authority</x:v>
      </x:c>
      <x:c r="D4956" s="21" t="str">
        <x:v>gate 16 evidence open</x:v>
      </x:c>
      <x:c r="E4956" s="21" t="n">
        <x:f>IF('Decision Gates'!F16="OPEN",1,0)</x:f>
        <x:v>1</x:v>
      </x:c>
      <x:c r="F4956" s="21" t="n">
        <x:v>1</x:v>
      </x:c>
      <x:c r="G4956" s="23" t="str">
        <x:f>IF(E4956=F4956,"PASS","FAIL")</x:f>
        <x:v>PASS</x:v>
      </x:c>
    </x:row>
    <x:row r="4957">
      <x:c r="B4957" s="21" t="str">
        <x:v>A4951</x:v>
      </x:c>
      <x:c r="C4957" s="21" t="str">
        <x:v>authority</x:v>
      </x:c>
      <x:c r="D4957" s="21" t="str">
        <x:v>gate 16 decision held</x:v>
      </x:c>
      <x:c r="E4957" s="21" t="n">
        <x:f>IF('Decision Gates'!G16="HOLD",1,0)</x:f>
        <x:v>1</x:v>
      </x:c>
      <x:c r="F4957" s="21" t="n">
        <x:v>1</x:v>
      </x:c>
      <x:c r="G4957" s="23" t="str">
        <x:f>IF(E4957=F4957,"PASS","FAIL")</x:f>
        <x:v>PASS</x:v>
      </x:c>
    </x:row>
    <x:row r="4958">
      <x:c r="B4958" s="21" t="str">
        <x:v>A4952</x:v>
      </x:c>
      <x:c r="C4958" s="21" t="str">
        <x:v>authority</x:v>
      </x:c>
      <x:c r="D4958" s="21" t="str">
        <x:v>gate 16 rendering blocked</x:v>
      </x:c>
      <x:c r="E4958" s="21" t="n">
        <x:f>IF('Decision Gates'!I16="BLOCKED",1,0)</x:f>
        <x:v>1</x:v>
      </x:c>
      <x:c r="F4958" s="21" t="n">
        <x:v>1</x:v>
      </x:c>
      <x:c r="G4958" s="23" t="str">
        <x:f>IF(E4958=F4958,"PASS","FAIL")</x:f>
        <x:v>PASS</x:v>
      </x:c>
    </x:row>
    <x:row r="4959">
      <x:c r="B4959" s="21" t="str">
        <x:v>A4953</x:v>
      </x:c>
      <x:c r="C4959" s="21" t="str">
        <x:v>authority</x:v>
      </x:c>
      <x:c r="D4959" s="21" t="str">
        <x:v>gate 16 zero credit</x:v>
      </x:c>
      <x:c r="E4959" s="21" t="n">
        <x:f>IF('Decision Gates'!J16=0,1,0)</x:f>
        <x:v>1</x:v>
      </x:c>
      <x:c r="F4959" s="21" t="n">
        <x:v>1</x:v>
      </x:c>
      <x:c r="G4959" s="23" t="str">
        <x:f>IF(E4959=F4959,"PASS","FAIL")</x:f>
        <x:v>PASS</x:v>
      </x:c>
    </x:row>
    <x:row r="4960">
      <x:c r="B4960" s="21" t="str">
        <x:v>A4954</x:v>
      </x:c>
      <x:c r="C4960" s="21" t="str">
        <x:v>authority</x:v>
      </x:c>
      <x:c r="D4960" s="21" t="str">
        <x:v>gate 17 evidence open</x:v>
      </x:c>
      <x:c r="E4960" s="21" t="n">
        <x:f>IF('Decision Gates'!F17="OPEN",1,0)</x:f>
        <x:v>1</x:v>
      </x:c>
      <x:c r="F4960" s="21" t="n">
        <x:v>1</x:v>
      </x:c>
      <x:c r="G4960" s="23" t="str">
        <x:f>IF(E4960=F4960,"PASS","FAIL")</x:f>
        <x:v>PASS</x:v>
      </x:c>
    </x:row>
    <x:row r="4961">
      <x:c r="B4961" s="21" t="str">
        <x:v>A4955</x:v>
      </x:c>
      <x:c r="C4961" s="21" t="str">
        <x:v>authority</x:v>
      </x:c>
      <x:c r="D4961" s="21" t="str">
        <x:v>gate 17 decision held</x:v>
      </x:c>
      <x:c r="E4961" s="21" t="n">
        <x:f>IF('Decision Gates'!G17="HOLD",1,0)</x:f>
        <x:v>1</x:v>
      </x:c>
      <x:c r="F4961" s="21" t="n">
        <x:v>1</x:v>
      </x:c>
      <x:c r="G4961" s="23" t="str">
        <x:f>IF(E4961=F4961,"PASS","FAIL")</x:f>
        <x:v>PASS</x:v>
      </x:c>
    </x:row>
    <x:row r="4962">
      <x:c r="B4962" s="21" t="str">
        <x:v>A4956</x:v>
      </x:c>
      <x:c r="C4962" s="21" t="str">
        <x:v>authority</x:v>
      </x:c>
      <x:c r="D4962" s="21" t="str">
        <x:v>gate 17 rendering blocked</x:v>
      </x:c>
      <x:c r="E4962" s="21" t="n">
        <x:f>IF('Decision Gates'!I17="BLOCKED",1,0)</x:f>
        <x:v>1</x:v>
      </x:c>
      <x:c r="F4962" s="21" t="n">
        <x:v>1</x:v>
      </x:c>
      <x:c r="G4962" s="23" t="str">
        <x:f>IF(E4962=F4962,"PASS","FAIL")</x:f>
        <x:v>PASS</x:v>
      </x:c>
    </x:row>
    <x:row r="4963">
      <x:c r="B4963" s="21" t="str">
        <x:v>A4957</x:v>
      </x:c>
      <x:c r="C4963" s="21" t="str">
        <x:v>authority</x:v>
      </x:c>
      <x:c r="D4963" s="21" t="str">
        <x:v>gate 17 zero credit</x:v>
      </x:c>
      <x:c r="E4963" s="21" t="n">
        <x:f>IF('Decision Gates'!J17=0,1,0)</x:f>
        <x:v>1</x:v>
      </x:c>
      <x:c r="F4963" s="21" t="n">
        <x:v>1</x:v>
      </x:c>
      <x:c r="G4963" s="23" t="str">
        <x:f>IF(E4963=F4963,"PASS","FAIL")</x:f>
        <x:v>PASS</x:v>
      </x:c>
    </x:row>
    <x:row r="4964">
      <x:c r="B4964" s="21" t="str">
        <x:v>A4958</x:v>
      </x:c>
      <x:c r="C4964" s="21" t="str">
        <x:v>authority</x:v>
      </x:c>
      <x:c r="D4964" s="21" t="str">
        <x:v>gate 18 evidence open</x:v>
      </x:c>
      <x:c r="E4964" s="21" t="n">
        <x:f>IF('Decision Gates'!F18="OPEN",1,0)</x:f>
        <x:v>1</x:v>
      </x:c>
      <x:c r="F4964" s="21" t="n">
        <x:v>1</x:v>
      </x:c>
      <x:c r="G4964" s="23" t="str">
        <x:f>IF(E4964=F4964,"PASS","FAIL")</x:f>
        <x:v>PASS</x:v>
      </x:c>
    </x:row>
    <x:row r="4965">
      <x:c r="B4965" s="21" t="str">
        <x:v>A4959</x:v>
      </x:c>
      <x:c r="C4965" s="21" t="str">
        <x:v>authority</x:v>
      </x:c>
      <x:c r="D4965" s="21" t="str">
        <x:v>gate 18 decision held</x:v>
      </x:c>
      <x:c r="E4965" s="21" t="n">
        <x:f>IF('Decision Gates'!G18="HOLD",1,0)</x:f>
        <x:v>1</x:v>
      </x:c>
      <x:c r="F4965" s="21" t="n">
        <x:v>1</x:v>
      </x:c>
      <x:c r="G4965" s="23" t="str">
        <x:f>IF(E4965=F4965,"PASS","FAIL")</x:f>
        <x:v>PASS</x:v>
      </x:c>
    </x:row>
    <x:row r="4966">
      <x:c r="B4966" s="21" t="str">
        <x:v>A4960</x:v>
      </x:c>
      <x:c r="C4966" s="21" t="str">
        <x:v>authority</x:v>
      </x:c>
      <x:c r="D4966" s="21" t="str">
        <x:v>gate 18 rendering blocked</x:v>
      </x:c>
      <x:c r="E4966" s="21" t="n">
        <x:f>IF('Decision Gates'!I18="BLOCKED",1,0)</x:f>
        <x:v>1</x:v>
      </x:c>
      <x:c r="F4966" s="21" t="n">
        <x:v>1</x:v>
      </x:c>
      <x:c r="G4966" s="23" t="str">
        <x:f>IF(E4966=F4966,"PASS","FAIL")</x:f>
        <x:v>PASS</x:v>
      </x:c>
    </x:row>
    <x:row r="4967">
      <x:c r="B4967" s="21" t="str">
        <x:v>A4961</x:v>
      </x:c>
      <x:c r="C4967" s="21" t="str">
        <x:v>authority</x:v>
      </x:c>
      <x:c r="D4967" s="21" t="str">
        <x:v>gate 18 zero credit</x:v>
      </x:c>
      <x:c r="E4967" s="21" t="n">
        <x:f>IF('Decision Gates'!J18=0,1,0)</x:f>
        <x:v>1</x:v>
      </x:c>
      <x:c r="F4967" s="21" t="n">
        <x:v>1</x:v>
      </x:c>
      <x:c r="G4967" s="23" t="str">
        <x:f>IF(E4967=F4967,"PASS","FAIL")</x:f>
        <x:v>PASS</x:v>
      </x:c>
    </x:row>
    <x:row r="4968">
      <x:c r="B4968" s="21" t="str">
        <x:v>A4962</x:v>
      </x:c>
      <x:c r="C4968" s="21" t="str">
        <x:v>authority</x:v>
      </x:c>
      <x:c r="D4968" s="21" t="str">
        <x:v>gate 19 evidence open</x:v>
      </x:c>
      <x:c r="E4968" s="21" t="n">
        <x:f>IF('Decision Gates'!F19="OPEN",1,0)</x:f>
        <x:v>1</x:v>
      </x:c>
      <x:c r="F4968" s="21" t="n">
        <x:v>1</x:v>
      </x:c>
      <x:c r="G4968" s="23" t="str">
        <x:f>IF(E4968=F4968,"PASS","FAIL")</x:f>
        <x:v>PASS</x:v>
      </x:c>
    </x:row>
    <x:row r="4969">
      <x:c r="B4969" s="21" t="str">
        <x:v>A4963</x:v>
      </x:c>
      <x:c r="C4969" s="21" t="str">
        <x:v>authority</x:v>
      </x:c>
      <x:c r="D4969" s="21" t="str">
        <x:v>gate 19 decision held</x:v>
      </x:c>
      <x:c r="E4969" s="21" t="n">
        <x:f>IF('Decision Gates'!G19="HOLD",1,0)</x:f>
        <x:v>1</x:v>
      </x:c>
      <x:c r="F4969" s="21" t="n">
        <x:v>1</x:v>
      </x:c>
      <x:c r="G4969" s="23" t="str">
        <x:f>IF(E4969=F4969,"PASS","FAIL")</x:f>
        <x:v>PASS</x:v>
      </x:c>
    </x:row>
    <x:row r="4970">
      <x:c r="B4970" s="21" t="str">
        <x:v>A4964</x:v>
      </x:c>
      <x:c r="C4970" s="21" t="str">
        <x:v>authority</x:v>
      </x:c>
      <x:c r="D4970" s="21" t="str">
        <x:v>gate 19 rendering blocked</x:v>
      </x:c>
      <x:c r="E4970" s="21" t="n">
        <x:f>IF('Decision Gates'!I19="BLOCKED",1,0)</x:f>
        <x:v>1</x:v>
      </x:c>
      <x:c r="F4970" s="21" t="n">
        <x:v>1</x:v>
      </x:c>
      <x:c r="G4970" s="23" t="str">
        <x:f>IF(E4970=F4970,"PASS","FAIL")</x:f>
        <x:v>PASS</x:v>
      </x:c>
    </x:row>
    <x:row r="4971">
      <x:c r="B4971" s="21" t="str">
        <x:v>A4965</x:v>
      </x:c>
      <x:c r="C4971" s="21" t="str">
        <x:v>authority</x:v>
      </x:c>
      <x:c r="D4971" s="21" t="str">
        <x:v>gate 19 zero credit</x:v>
      </x:c>
      <x:c r="E4971" s="21" t="n">
        <x:f>IF('Decision Gates'!J19=0,1,0)</x:f>
        <x:v>1</x:v>
      </x:c>
      <x:c r="F4971" s="21" t="n">
        <x:v>1</x:v>
      </x:c>
      <x:c r="G4971" s="23" t="str">
        <x:f>IF(E4971=F4971,"PASS","FAIL")</x:f>
        <x:v>PASS</x:v>
      </x:c>
    </x:row>
    <x:row r="4972">
      <x:c r="B4972" s="21" t="str">
        <x:v>A4966</x:v>
      </x:c>
      <x:c r="C4972" s="21" t="str">
        <x:v>authority</x:v>
      </x:c>
      <x:c r="D4972" s="21" t="str">
        <x:v>gate 20 evidence open</x:v>
      </x:c>
      <x:c r="E4972" s="21" t="n">
        <x:f>IF('Decision Gates'!F20="OPEN",1,0)</x:f>
        <x:v>1</x:v>
      </x:c>
      <x:c r="F4972" s="21" t="n">
        <x:v>1</x:v>
      </x:c>
      <x:c r="G4972" s="23" t="str">
        <x:f>IF(E4972=F4972,"PASS","FAIL")</x:f>
        <x:v>PASS</x:v>
      </x:c>
    </x:row>
    <x:row r="4973">
      <x:c r="B4973" s="21" t="str">
        <x:v>A4967</x:v>
      </x:c>
      <x:c r="C4973" s="21" t="str">
        <x:v>authority</x:v>
      </x:c>
      <x:c r="D4973" s="21" t="str">
        <x:v>gate 20 decision held</x:v>
      </x:c>
      <x:c r="E4973" s="21" t="n">
        <x:f>IF('Decision Gates'!G20="HOLD",1,0)</x:f>
        <x:v>1</x:v>
      </x:c>
      <x:c r="F4973" s="21" t="n">
        <x:v>1</x:v>
      </x:c>
      <x:c r="G4973" s="23" t="str">
        <x:f>IF(E4973=F4973,"PASS","FAIL")</x:f>
        <x:v>PASS</x:v>
      </x:c>
    </x:row>
    <x:row r="4974">
      <x:c r="B4974" s="21" t="str">
        <x:v>A4968</x:v>
      </x:c>
      <x:c r="C4974" s="21" t="str">
        <x:v>authority</x:v>
      </x:c>
      <x:c r="D4974" s="21" t="str">
        <x:v>gate 20 rendering blocked</x:v>
      </x:c>
      <x:c r="E4974" s="21" t="n">
        <x:f>IF('Decision Gates'!I20="BLOCKED",1,0)</x:f>
        <x:v>1</x:v>
      </x:c>
      <x:c r="F4974" s="21" t="n">
        <x:v>1</x:v>
      </x:c>
      <x:c r="G4974" s="23" t="str">
        <x:f>IF(E4974=F4974,"PASS","FAIL")</x:f>
        <x:v>PASS</x:v>
      </x:c>
    </x:row>
    <x:row r="4975">
      <x:c r="B4975" s="21" t="str">
        <x:v>A4969</x:v>
      </x:c>
      <x:c r="C4975" s="21" t="str">
        <x:v>authority</x:v>
      </x:c>
      <x:c r="D4975" s="21" t="str">
        <x:v>gate 20 zero credit</x:v>
      </x:c>
      <x:c r="E4975" s="21" t="n">
        <x:f>IF('Decision Gates'!J20=0,1,0)</x:f>
        <x:v>1</x:v>
      </x:c>
      <x:c r="F4975" s="21" t="n">
        <x:v>1</x:v>
      </x:c>
      <x:c r="G4975" s="23" t="str">
        <x:f>IF(E4975=F4975,"PASS","FAIL")</x:f>
        <x:v>PASS</x:v>
      </x:c>
    </x:row>
    <x:row r="4976">
      <x:c r="B4976" s="21" t="str">
        <x:v>A4970</x:v>
      </x:c>
      <x:c r="C4976" s="21" t="str">
        <x:v>authority</x:v>
      </x:c>
      <x:c r="D4976" s="21" t="str">
        <x:v>gate 21 evidence open</x:v>
      </x:c>
      <x:c r="E4976" s="21" t="n">
        <x:f>IF('Decision Gates'!F21="OPEN",1,0)</x:f>
        <x:v>1</x:v>
      </x:c>
      <x:c r="F4976" s="21" t="n">
        <x:v>1</x:v>
      </x:c>
      <x:c r="G4976" s="23" t="str">
        <x:f>IF(E4976=F4976,"PASS","FAIL")</x:f>
        <x:v>PASS</x:v>
      </x:c>
    </x:row>
    <x:row r="4977">
      <x:c r="B4977" s="21" t="str">
        <x:v>A4971</x:v>
      </x:c>
      <x:c r="C4977" s="21" t="str">
        <x:v>authority</x:v>
      </x:c>
      <x:c r="D4977" s="21" t="str">
        <x:v>gate 21 decision held</x:v>
      </x:c>
      <x:c r="E4977" s="21" t="n">
        <x:f>IF('Decision Gates'!G21="HOLD",1,0)</x:f>
        <x:v>1</x:v>
      </x:c>
      <x:c r="F4977" s="21" t="n">
        <x:v>1</x:v>
      </x:c>
      <x:c r="G4977" s="23" t="str">
        <x:f>IF(E4977=F4977,"PASS","FAIL")</x:f>
        <x:v>PASS</x:v>
      </x:c>
    </x:row>
    <x:row r="4978">
      <x:c r="B4978" s="21" t="str">
        <x:v>A4972</x:v>
      </x:c>
      <x:c r="C4978" s="21" t="str">
        <x:v>authority</x:v>
      </x:c>
      <x:c r="D4978" s="21" t="str">
        <x:v>gate 21 rendering blocked</x:v>
      </x:c>
      <x:c r="E4978" s="21" t="n">
        <x:f>IF('Decision Gates'!I21="BLOCKED",1,0)</x:f>
        <x:v>1</x:v>
      </x:c>
      <x:c r="F4978" s="21" t="n">
        <x:v>1</x:v>
      </x:c>
      <x:c r="G4978" s="23" t="str">
        <x:f>IF(E4978=F4978,"PASS","FAIL")</x:f>
        <x:v>PASS</x:v>
      </x:c>
    </x:row>
    <x:row r="4979">
      <x:c r="B4979" s="21" t="str">
        <x:v>A4973</x:v>
      </x:c>
      <x:c r="C4979" s="21" t="str">
        <x:v>authority</x:v>
      </x:c>
      <x:c r="D4979" s="21" t="str">
        <x:v>gate 21 zero credit</x:v>
      </x:c>
      <x:c r="E4979" s="21" t="n">
        <x:f>IF('Decision Gates'!J21=0,1,0)</x:f>
        <x:v>1</x:v>
      </x:c>
      <x:c r="F4979" s="21" t="n">
        <x:v>1</x:v>
      </x:c>
      <x:c r="G4979" s="23" t="str">
        <x:f>IF(E4979=F4979,"PASS","FAIL")</x:f>
        <x:v>PASS</x:v>
      </x:c>
    </x:row>
    <x:row r="4980">
      <x:c r="B4980" s="21" t="str">
        <x:v>A4974</x:v>
      </x:c>
      <x:c r="C4980" s="21" t="str">
        <x:v>authority</x:v>
      </x:c>
      <x:c r="D4980" s="21" t="str">
        <x:v>gate 22 evidence open</x:v>
      </x:c>
      <x:c r="E4980" s="21" t="n">
        <x:f>IF('Decision Gates'!F22="OPEN",1,0)</x:f>
        <x:v>1</x:v>
      </x:c>
      <x:c r="F4980" s="21" t="n">
        <x:v>1</x:v>
      </x:c>
      <x:c r="G4980" s="23" t="str">
        <x:f>IF(E4980=F4980,"PASS","FAIL")</x:f>
        <x:v>PASS</x:v>
      </x:c>
    </x:row>
    <x:row r="4981">
      <x:c r="B4981" s="21" t="str">
        <x:v>A4975</x:v>
      </x:c>
      <x:c r="C4981" s="21" t="str">
        <x:v>authority</x:v>
      </x:c>
      <x:c r="D4981" s="21" t="str">
        <x:v>gate 22 decision held</x:v>
      </x:c>
      <x:c r="E4981" s="21" t="n">
        <x:f>IF('Decision Gates'!G22="HOLD",1,0)</x:f>
        <x:v>1</x:v>
      </x:c>
      <x:c r="F4981" s="21" t="n">
        <x:v>1</x:v>
      </x:c>
      <x:c r="G4981" s="23" t="str">
        <x:f>IF(E4981=F4981,"PASS","FAIL")</x:f>
        <x:v>PASS</x:v>
      </x:c>
    </x:row>
    <x:row r="4982">
      <x:c r="B4982" s="21" t="str">
        <x:v>A4976</x:v>
      </x:c>
      <x:c r="C4982" s="21" t="str">
        <x:v>authority</x:v>
      </x:c>
      <x:c r="D4982" s="21" t="str">
        <x:v>gate 22 rendering blocked</x:v>
      </x:c>
      <x:c r="E4982" s="21" t="n">
        <x:f>IF('Decision Gates'!I22="BLOCKED",1,0)</x:f>
        <x:v>1</x:v>
      </x:c>
      <x:c r="F4982" s="21" t="n">
        <x:v>1</x:v>
      </x:c>
      <x:c r="G4982" s="23" t="str">
        <x:f>IF(E4982=F4982,"PASS","FAIL")</x:f>
        <x:v>PASS</x:v>
      </x:c>
    </x:row>
    <x:row r="4983">
      <x:c r="B4983" s="21" t="str">
        <x:v>A4977</x:v>
      </x:c>
      <x:c r="C4983" s="21" t="str">
        <x:v>authority</x:v>
      </x:c>
      <x:c r="D4983" s="21" t="str">
        <x:v>gate 22 zero credit</x:v>
      </x:c>
      <x:c r="E4983" s="21" t="n">
        <x:f>IF('Decision Gates'!J22=0,1,0)</x:f>
        <x:v>1</x:v>
      </x:c>
      <x:c r="F4983" s="21" t="n">
        <x:v>1</x:v>
      </x:c>
      <x:c r="G4983" s="23" t="str">
        <x:f>IF(E4983=F4983,"PASS","FAIL")</x:f>
        <x:v>PASS</x:v>
      </x:c>
    </x:row>
    <x:row r="4984">
      <x:c r="B4984" s="21" t="str">
        <x:v>A4978</x:v>
      </x:c>
      <x:c r="C4984" s="21" t="str">
        <x:v>concentration</x:v>
      </x:c>
      <x:c r="D4984" s="21" t="str">
        <x:v>integrator row 45 within ceiling</x:v>
      </x:c>
      <x:c r="E4984" s="21" t="n">
        <x:f>IF('Award Portfolio'!C45&lt;='Award Portfolio'!D45,1,0)</x:f>
        <x:v>1</x:v>
      </x:c>
      <x:c r="F4984" s="21" t="n">
        <x:v>1</x:v>
      </x:c>
      <x:c r="G4984" s="23" t="str">
        <x:f>IF(E4984=F4984,"PASS","FAIL")</x:f>
        <x:v>PASS</x:v>
      </x:c>
    </x:row>
    <x:row r="4985">
      <x:c r="B4985" s="21" t="str">
        <x:v>A4979</x:v>
      </x:c>
      <x:c r="C4985" s="21" t="str">
        <x:v>concentration</x:v>
      </x:c>
      <x:c r="D4985" s="21" t="str">
        <x:v>integrator row 46 within ceiling</x:v>
      </x:c>
      <x:c r="E4985" s="21" t="n">
        <x:f>IF('Award Portfolio'!C46&lt;='Award Portfolio'!D46,1,0)</x:f>
        <x:v>1</x:v>
      </x:c>
      <x:c r="F4985" s="21" t="n">
        <x:v>1</x:v>
      </x:c>
      <x:c r="G4985" s="23" t="str">
        <x:f>IF(E4985=F4985,"PASS","FAIL")</x:f>
        <x:v>PASS</x:v>
      </x:c>
    </x:row>
    <x:row r="4986">
      <x:c r="B4986" s="21" t="str">
        <x:v>A4980</x:v>
      </x:c>
      <x:c r="C4986" s="21" t="str">
        <x:v>concentration</x:v>
      </x:c>
      <x:c r="D4986" s="21" t="str">
        <x:v>integrator row 47 within ceiling</x:v>
      </x:c>
      <x:c r="E4986" s="21" t="n">
        <x:f>IF('Award Portfolio'!C47&lt;='Award Portfolio'!D47,1,0)</x:f>
        <x:v>1</x:v>
      </x:c>
      <x:c r="F4986" s="21" t="n">
        <x:v>1</x:v>
      </x:c>
      <x:c r="G4986" s="23" t="str">
        <x:f>IF(E4986=F4986,"PASS","FAIL")</x:f>
        <x:v>PASS</x:v>
      </x:c>
    </x:row>
    <x:row r="4987">
      <x:c r="B4987" s="21" t="str">
        <x:v>A4981</x:v>
      </x:c>
      <x:c r="C4987" s="21" t="str">
        <x:v>concentration</x:v>
      </x:c>
      <x:c r="D4987" s="21" t="str">
        <x:v>integrator row 48 within ceiling</x:v>
      </x:c>
      <x:c r="E4987" s="21" t="n">
        <x:f>IF('Award Portfolio'!C48&lt;='Award Portfolio'!D48,1,0)</x:f>
        <x:v>1</x:v>
      </x:c>
      <x:c r="F4987" s="21" t="n">
        <x:v>1</x:v>
      </x:c>
      <x:c r="G4987" s="23" t="str">
        <x:f>IF(E4987=F4987,"PASS","FAIL")</x:f>
        <x:v>PASS</x:v>
      </x:c>
    </x:row>
    <x:row r="4988">
      <x:c r="B4988" s="21" t="str">
        <x:v>A4982</x:v>
      </x:c>
      <x:c r="C4988" s="21" t="str">
        <x:v>concentration</x:v>
      </x:c>
      <x:c r="D4988" s="21" t="str">
        <x:v>integrator row 49 within ceiling</x:v>
      </x:c>
      <x:c r="E4988" s="21" t="n">
        <x:f>IF('Award Portfolio'!C49&lt;='Award Portfolio'!D49,1,0)</x:f>
        <x:v>1</x:v>
      </x:c>
      <x:c r="F4988" s="21" t="n">
        <x:v>1</x:v>
      </x:c>
      <x:c r="G4988" s="23" t="str">
        <x:f>IF(E4988=F4988,"PASS","FAIL")</x:f>
        <x:v>PASS</x:v>
      </x:c>
    </x:row>
    <x:row r="4989">
      <x:c r="B4989" s="24" t="str">
        <x:v>A4983</x:v>
      </x:c>
      <x:c r="C4989" s="24" t="str">
        <x:v>concentration</x:v>
      </x:c>
      <x:c r="D4989" s="24" t="str">
        <x:v>integrator row 50 within ceiling</x:v>
      </x:c>
      <x:c r="E4989" s="24" t="n">
        <x:f>IF('Award Portfolio'!C50&lt;='Award Portfolio'!D50,1,0)</x:f>
        <x:v>1</x:v>
      </x:c>
      <x:c r="F4989" s="24" t="n">
        <x:v>1</x:v>
      </x:c>
      <x:c r="G4989" s="26" t="str">
        <x:f>IF(E4989=F4989,"PASS","FAIL")</x:f>
        <x:v>PASS</x:v>
      </x:c>
    </x:row>
    <x:row r="4990">
      <x:c r="B4990" s="2"/>
      <x:c r="C4990" s="2"/>
      <x:c r="D4990" s="2"/>
      <x:c r="E4990" s="2"/>
      <x:c r="F4990" s="2"/>
      <x:c r="G4990" s="2"/>
    </x:row>
    <x:row r="4991">
      <x:c r="B4991" s="2"/>
      <x:c r="C4991" s="2"/>
      <x:c r="D4991" s="2"/>
      <x:c r="E4991" s="2"/>
      <x:c r="F4991" s="2"/>
      <x:c r="G4991" s="2"/>
    </x:row>
    <x:row r="4992">
      <x:c r="B4992" s="2"/>
      <x:c r="C4992" s="2"/>
      <x:c r="D4992" s="2"/>
      <x:c r="E4992" s="2"/>
      <x:c r="F4992" s="2"/>
      <x:c r="G4992" s="2"/>
    </x:row>
    <x:row r="4993">
      <x:c r="B4993" s="2"/>
      <x:c r="C4993" s="2"/>
      <x:c r="D4993" s="2"/>
      <x:c r="E4993" s="2"/>
      <x:c r="F4993" s="2"/>
      <x:c r="G4993" s="2"/>
    </x:row>
    <x:row r="4994">
      <x:c r="B4994" s="2"/>
      <x:c r="C4994" s="2"/>
      <x:c r="D4994" s="2"/>
      <x:c r="E4994" s="2"/>
      <x:c r="F4994" s="2"/>
      <x:c r="G4994" s="2"/>
    </x:row>
    <x:row r="4995">
      <x:c r="B4995" s="2"/>
      <x:c r="C4995" s="2"/>
      <x:c r="D4995" s="2"/>
      <x:c r="E4995" s="2"/>
      <x:c r="F4995" s="2"/>
      <x:c r="G4995" s="2"/>
    </x:row>
    <x:row r="4996">
      <x:c r="B4996" s="2"/>
      <x:c r="C4996" s="2"/>
      <x:c r="D4996" s="2"/>
      <x:c r="E4996" s="2"/>
      <x:c r="F4996" s="2"/>
      <x:c r="G4996" s="2"/>
    </x:row>
    <x:row r="4997">
      <x:c r="B4997" s="2"/>
      <x:c r="C4997" s="2"/>
      <x:c r="D4997" s="2"/>
      <x:c r="E4997" s="2"/>
      <x:c r="F4997" s="2"/>
      <x:c r="G4997" s="2"/>
    </x:row>
    <x:row r="4998">
      <x:c r="B4998" s="2"/>
      <x:c r="C4998" s="2"/>
      <x:c r="D4998" s="2"/>
      <x:c r="E4998" s="2"/>
      <x:c r="F4998" s="2"/>
      <x:c r="G4998" s="2"/>
    </x:row>
    <x:row r="4999">
      <x:c r="B4999" s="2"/>
      <x:c r="C4999" s="2"/>
      <x:c r="D4999" s="2"/>
      <x:c r="E4999" s="2"/>
      <x:c r="F4999" s="2"/>
      <x:c r="G4999" s="2"/>
    </x:row>
    <x:row r="5000">
      <x:c r="B5000" s="2"/>
      <x:c r="C5000" s="2"/>
      <x:c r="D5000" s="2"/>
      <x:c r="E5000" s="2"/>
      <x:c r="F5000" s="2"/>
      <x:c r="G5000" s="2"/>
    </x:row>
    <x:row r="5001">
      <x:c r="B5001" s="2"/>
      <x:c r="C5001" s="2"/>
      <x:c r="D5001" s="2"/>
      <x:c r="E5001" s="2"/>
      <x:c r="F5001" s="2"/>
      <x:c r="G5001" s="2"/>
    </x:row>
    <x:row r="5002">
      <x:c r="B5002" s="2"/>
      <x:c r="C5002" s="2"/>
      <x:c r="D5002" s="2"/>
      <x:c r="E5002" s="2"/>
      <x:c r="F5002" s="2"/>
      <x:c r="G5002" s="2"/>
    </x:row>
    <x:row r="5003">
      <x:c r="B5003" s="2"/>
      <x:c r="C5003" s="2"/>
      <x:c r="D5003" s="2"/>
      <x:c r="E5003" s="2"/>
      <x:c r="F5003" s="2"/>
      <x:c r="G5003" s="2"/>
    </x:row>
    <x:row r="5004">
      <x:c r="B5004" s="2"/>
      <x:c r="C5004" s="2"/>
      <x:c r="D5004" s="2"/>
      <x:c r="E5004" s="2"/>
      <x:c r="F5004" s="2"/>
      <x:c r="G5004" s="2"/>
    </x:row>
    <x:row r="5005">
      <x:c r="B5005" s="2"/>
      <x:c r="C5005" s="2"/>
      <x:c r="D5005" s="2"/>
      <x:c r="E5005" s="2"/>
      <x:c r="F5005" s="2"/>
      <x:c r="G5005" s="2"/>
    </x:row>
    <x:row r="5006">
      <x:c r="B5006" s="2"/>
      <x:c r="C5006" s="2"/>
      <x:c r="D5006" s="2"/>
      <x:c r="E5006" s="2"/>
      <x:c r="F5006" s="2"/>
      <x:c r="G5006" s="2"/>
    </x:row>
    <x:row r="5007">
      <x:c r="B5007" s="2"/>
      <x:c r="C5007" s="2"/>
      <x:c r="D5007" s="2"/>
      <x:c r="E5007" s="2"/>
      <x:c r="F5007" s="2"/>
      <x:c r="G5007" s="2"/>
    </x:row>
    <x:row r="5008">
      <x:c r="B5008" s="2"/>
      <x:c r="C5008" s="2"/>
      <x:c r="D5008" s="2"/>
      <x:c r="E5008" s="2"/>
      <x:c r="F5008" s="2"/>
      <x:c r="G5008" s="2"/>
    </x:row>
    <x:row r="5009">
      <x:c r="B5009" s="2"/>
      <x:c r="C5009" s="2"/>
      <x:c r="D5009" s="2"/>
      <x:c r="E5009" s="2"/>
      <x:c r="F5009" s="2"/>
      <x:c r="G5009" s="2"/>
    </x:row>
    <x:row r="5010">
      <x:c r="B5010" s="2"/>
      <x:c r="C5010" s="2"/>
      <x:c r="D5010" s="2"/>
      <x:c r="E5010" s="2"/>
      <x:c r="F5010" s="2"/>
      <x:c r="G5010" s="2"/>
    </x:row>
    <x:row r="5011">
      <x:c r="B5011" s="2"/>
      <x:c r="C5011" s="2"/>
      <x:c r="D5011" s="2"/>
      <x:c r="E5011" s="2"/>
      <x:c r="F5011" s="2"/>
      <x:c r="G5011" s="2"/>
    </x:row>
    <x:row r="5012">
      <x:c r="B5012" s="2"/>
      <x:c r="C5012" s="2"/>
      <x:c r="D5012" s="2"/>
      <x:c r="E5012" s="2"/>
      <x:c r="F5012" s="2"/>
      <x:c r="G5012" s="2"/>
    </x:row>
    <x:row r="5013">
      <x:c r="B5013" s="2"/>
      <x:c r="C5013" s="2"/>
      <x:c r="D5013" s="2"/>
      <x:c r="E5013" s="2"/>
      <x:c r="F5013" s="2"/>
      <x:c r="G5013" s="2"/>
    </x:row>
    <x:row r="5014">
      <x:c r="B5014" s="2"/>
      <x:c r="C5014" s="2"/>
      <x:c r="D5014" s="2"/>
      <x:c r="E5014" s="2"/>
      <x:c r="F5014" s="2"/>
      <x:c r="G5014" s="2"/>
    </x:row>
    <x:row r="5015">
      <x:c r="B5015" s="2"/>
      <x:c r="C5015" s="2"/>
      <x:c r="D5015" s="2"/>
      <x:c r="E5015" s="2"/>
      <x:c r="F5015" s="2"/>
      <x:c r="G5015" s="2"/>
    </x:row>
    <x:row r="5016">
      <x:c r="B5016" s="2"/>
      <x:c r="C5016" s="2"/>
      <x:c r="D5016" s="2"/>
      <x:c r="E5016" s="2"/>
      <x:c r="F5016" s="2"/>
      <x:c r="G5016" s="2"/>
    </x:row>
    <x:row r="5017">
      <x:c r="B5017" s="2"/>
      <x:c r="C5017" s="2"/>
      <x:c r="D5017" s="2"/>
      <x:c r="E5017" s="2"/>
      <x:c r="F5017" s="2"/>
      <x:c r="G5017" s="2"/>
    </x:row>
    <x:row r="5018">
      <x:c r="B5018" s="2"/>
      <x:c r="C5018" s="2"/>
      <x:c r="D5018" s="2"/>
      <x:c r="E5018" s="2"/>
      <x:c r="F5018" s="2"/>
      <x:c r="G5018" s="2"/>
    </x:row>
    <x:row r="5019">
      <x:c r="B5019" s="2"/>
      <x:c r="C5019" s="2"/>
      <x:c r="D5019" s="2"/>
      <x:c r="E5019" s="2"/>
      <x:c r="F5019" s="2"/>
      <x:c r="G5019" s="2"/>
    </x:row>
    <x:row r="5020">
      <x:c r="B5020" s="2"/>
      <x:c r="C5020" s="2"/>
      <x:c r="D5020" s="2"/>
      <x:c r="E5020" s="2"/>
      <x:c r="F5020" s="2"/>
      <x:c r="G5020" s="2"/>
    </x:row>
    <x:row r="5021">
      <x:c r="B5021" s="2"/>
      <x:c r="C5021" s="2"/>
      <x:c r="D5021" s="2"/>
      <x:c r="E5021" s="2"/>
      <x:c r="F5021" s="2"/>
      <x:c r="G5021" s="2"/>
    </x:row>
    <x:row r="5022">
      <x:c r="B5022" s="2"/>
      <x:c r="C5022" s="2"/>
      <x:c r="D5022" s="2"/>
      <x:c r="E5022" s="2"/>
      <x:c r="F5022" s="2"/>
      <x:c r="G5022" s="2"/>
    </x:row>
    <x:row r="5023">
      <x:c r="B5023" s="2"/>
      <x:c r="C5023" s="2"/>
      <x:c r="D5023" s="2"/>
      <x:c r="E5023" s="2"/>
      <x:c r="F5023" s="2"/>
      <x:c r="G5023" s="2"/>
    </x:row>
    <x:row r="5024">
      <x:c r="B5024" s="2"/>
      <x:c r="C5024" s="2"/>
      <x:c r="D5024" s="2"/>
      <x:c r="E5024" s="2"/>
      <x:c r="F5024" s="2"/>
      <x:c r="G5024" s="2"/>
    </x:row>
    <x:row r="5025">
      <x:c r="B5025" s="2"/>
      <x:c r="C5025" s="2"/>
      <x:c r="D5025" s="2"/>
      <x:c r="E5025" s="2"/>
      <x:c r="F5025" s="2"/>
      <x:c r="G5025" s="2"/>
    </x:row>
    <x:row r="5026">
      <x:c r="B5026" s="2"/>
      <x:c r="C5026" s="2"/>
      <x:c r="D5026" s="2"/>
      <x:c r="E5026" s="2"/>
      <x:c r="F5026" s="2"/>
      <x:c r="G5026" s="2"/>
    </x:row>
    <x:row r="5027">
      <x:c r="B5027" s="2"/>
      <x:c r="C5027" s="2"/>
      <x:c r="D5027" s="2"/>
      <x:c r="E5027" s="2"/>
      <x:c r="F5027" s="2"/>
      <x:c r="G5027" s="2"/>
    </x:row>
    <x:row r="5028">
      <x:c r="B5028" s="2"/>
      <x:c r="C5028" s="2"/>
      <x:c r="D5028" s="2"/>
      <x:c r="E5028" s="2"/>
      <x:c r="F5028" s="2"/>
      <x:c r="G5028" s="2"/>
    </x:row>
    <x:row r="5029">
      <x:c r="B5029" s="2"/>
      <x:c r="C5029" s="2"/>
      <x:c r="D5029" s="2"/>
      <x:c r="E5029" s="2"/>
      <x:c r="F5029" s="2"/>
      <x:c r="G5029" s="2"/>
    </x:row>
    <x:row r="5030">
      <x:c r="B5030" s="2"/>
      <x:c r="C5030" s="2"/>
      <x:c r="D5030" s="2"/>
      <x:c r="E5030" s="2"/>
      <x:c r="F5030" s="2"/>
      <x:c r="G5030" s="2"/>
    </x:row>
    <x:row r="5031">
      <x:c r="B5031" s="2"/>
      <x:c r="C5031" s="2"/>
      <x:c r="D5031" s="2"/>
      <x:c r="E5031" s="2"/>
      <x:c r="F5031" s="2"/>
      <x:c r="G5031" s="2"/>
    </x:row>
    <x:row r="5032">
      <x:c r="B5032" s="2"/>
      <x:c r="C5032" s="2"/>
      <x:c r="D5032" s="2"/>
      <x:c r="E5032" s="2"/>
      <x:c r="F5032" s="2"/>
      <x:c r="G5032" s="2"/>
    </x:row>
    <x:row r="5033">
      <x:c r="B5033" s="2"/>
      <x:c r="C5033" s="2"/>
      <x:c r="D5033" s="2"/>
      <x:c r="E5033" s="2"/>
      <x:c r="F5033" s="2"/>
      <x:c r="G5033" s="2"/>
    </x:row>
    <x:row r="5034">
      <x:c r="B5034" s="2"/>
      <x:c r="C5034" s="2"/>
      <x:c r="D5034" s="2"/>
      <x:c r="E5034" s="2"/>
      <x:c r="F5034" s="2"/>
      <x:c r="G5034" s="2"/>
    </x:row>
    <x:row r="5035">
      <x:c r="B5035" s="2"/>
      <x:c r="C5035" s="2"/>
      <x:c r="D5035" s="2"/>
      <x:c r="E5035" s="2"/>
      <x:c r="F5035" s="2"/>
      <x:c r="G5035" s="2"/>
    </x:row>
    <x:row r="5036">
      <x:c r="B5036" s="2"/>
      <x:c r="C5036" s="2"/>
      <x:c r="D5036" s="2"/>
      <x:c r="E5036" s="2"/>
      <x:c r="F5036" s="2"/>
      <x:c r="G5036" s="2"/>
    </x:row>
    <x:row r="5037">
      <x:c r="B5037" s="2"/>
      <x:c r="C5037" s="2"/>
      <x:c r="D5037" s="2"/>
      <x:c r="E5037" s="2"/>
      <x:c r="F5037" s="2"/>
      <x:c r="G5037" s="2"/>
    </x:row>
    <x:row r="5038">
      <x:c r="B5038" s="2"/>
      <x:c r="C5038" s="2"/>
      <x:c r="D5038" s="2"/>
      <x:c r="E5038" s="2"/>
      <x:c r="F5038" s="2"/>
      <x:c r="G5038" s="2"/>
    </x:row>
    <x:row r="5039">
      <x:c r="B5039" s="2"/>
      <x:c r="C5039" s="2"/>
      <x:c r="D5039" s="2"/>
      <x:c r="E5039" s="2"/>
      <x:c r="F5039" s="2"/>
      <x:c r="G5039" s="2"/>
    </x:row>
    <x:row r="5040">
      <x:c r="B5040" s="2"/>
      <x:c r="C5040" s="2"/>
      <x:c r="D5040" s="2"/>
      <x:c r="E5040" s="2"/>
      <x:c r="F5040" s="2"/>
      <x:c r="G5040" s="2"/>
    </x:row>
    <x:row r="5041">
      <x:c r="B5041" s="2"/>
      <x:c r="C5041" s="2"/>
      <x:c r="D5041" s="2"/>
      <x:c r="E5041" s="2"/>
      <x:c r="F5041" s="2"/>
      <x:c r="G5041" s="2"/>
    </x:row>
    <x:row r="5042">
      <x:c r="B5042" s="2"/>
      <x:c r="C5042" s="2"/>
      <x:c r="D5042" s="2"/>
      <x:c r="E5042" s="2"/>
      <x:c r="F5042" s="2"/>
      <x:c r="G5042" s="2"/>
    </x:row>
    <x:row r="5043">
      <x:c r="B5043" s="2"/>
      <x:c r="C5043" s="2"/>
      <x:c r="D5043" s="2"/>
      <x:c r="E5043" s="2"/>
      <x:c r="F5043" s="2"/>
      <x:c r="G5043" s="2"/>
    </x:row>
    <x:row r="5044">
      <x:c r="B5044" s="2"/>
      <x:c r="C5044" s="2"/>
      <x:c r="D5044" s="2"/>
      <x:c r="E5044" s="2"/>
      <x:c r="F5044" s="2"/>
      <x:c r="G5044" s="2"/>
    </x:row>
    <x:row r="5045">
      <x:c r="B5045" s="2"/>
      <x:c r="C5045" s="2"/>
      <x:c r="D5045" s="2"/>
      <x:c r="E5045" s="2"/>
      <x:c r="F5045" s="2"/>
      <x:c r="G5045" s="2"/>
    </x:row>
    <x:row r="5046">
      <x:c r="B5046" s="2"/>
      <x:c r="C5046" s="2"/>
      <x:c r="D5046" s="2"/>
      <x:c r="E5046" s="2"/>
      <x:c r="F5046" s="2"/>
      <x:c r="G5046" s="2"/>
    </x:row>
    <x:row r="5047">
      <x:c r="B5047" s="2"/>
      <x:c r="C5047" s="2"/>
      <x:c r="D5047" s="2"/>
      <x:c r="E5047" s="2"/>
      <x:c r="F5047" s="2"/>
      <x:c r="G5047" s="2"/>
    </x:row>
    <x:row r="5048">
      <x:c r="B5048" s="2"/>
      <x:c r="C5048" s="2"/>
      <x:c r="D5048" s="2"/>
      <x:c r="E5048" s="2"/>
      <x:c r="F5048" s="2"/>
      <x:c r="G5048" s="2"/>
    </x:row>
    <x:row r="5049">
      <x:c r="B5049" s="2"/>
      <x:c r="C5049" s="2"/>
      <x:c r="D5049" s="2"/>
      <x:c r="E5049" s="2"/>
      <x:c r="F5049" s="2"/>
      <x:c r="G5049" s="2"/>
    </x:row>
    <x:row r="5050">
      <x:c r="B5050" s="2"/>
      <x:c r="C5050" s="2"/>
      <x:c r="D5050" s="2"/>
      <x:c r="E5050" s="2"/>
      <x:c r="F5050" s="2"/>
      <x:c r="G5050" s="2"/>
    </x:row>
    <x:row r="5051">
      <x:c r="B5051" s="2"/>
      <x:c r="C5051" s="2"/>
      <x:c r="D5051" s="2"/>
      <x:c r="E5051" s="2"/>
      <x:c r="F5051" s="2"/>
      <x:c r="G5051" s="2"/>
    </x:row>
    <x:row r="5052">
      <x:c r="B5052" s="2"/>
      <x:c r="C5052" s="2"/>
      <x:c r="D5052" s="2"/>
      <x:c r="E5052" s="2"/>
      <x:c r="F5052" s="2"/>
      <x:c r="G5052" s="2"/>
    </x:row>
    <x:row r="5053">
      <x:c r="B5053" s="2"/>
      <x:c r="C5053" s="2"/>
      <x:c r="D5053" s="2"/>
      <x:c r="E5053" s="2"/>
      <x:c r="F5053" s="2"/>
      <x:c r="G5053" s="2"/>
    </x:row>
    <x:row r="5054">
      <x:c r="B5054" s="2"/>
      <x:c r="C5054" s="2"/>
      <x:c r="D5054" s="2"/>
      <x:c r="E5054" s="2"/>
      <x:c r="F5054" s="2"/>
      <x:c r="G5054" s="2"/>
    </x:row>
    <x:row r="5055">
      <x:c r="B5055" s="2"/>
      <x:c r="C5055" s="2"/>
      <x:c r="D5055" s="2"/>
      <x:c r="E5055" s="2"/>
      <x:c r="F5055" s="2"/>
      <x:c r="G5055" s="2"/>
    </x:row>
    <x:row r="5056">
      <x:c r="B5056" s="2"/>
      <x:c r="C5056" s="2"/>
      <x:c r="D5056" s="2"/>
      <x:c r="E5056" s="2"/>
      <x:c r="F5056" s="2"/>
      <x:c r="G5056" s="2"/>
    </x:row>
    <x:row r="5057">
      <x:c r="B5057" s="2"/>
      <x:c r="C5057" s="2"/>
      <x:c r="D5057" s="2"/>
      <x:c r="E5057" s="2"/>
      <x:c r="F5057" s="2"/>
      <x:c r="G5057" s="2"/>
    </x:row>
    <x:row r="5058">
      <x:c r="B5058" s="2"/>
      <x:c r="C5058" s="2"/>
      <x:c r="D5058" s="2"/>
      <x:c r="E5058" s="2"/>
      <x:c r="F5058" s="2"/>
      <x:c r="G5058" s="2"/>
    </x:row>
    <x:row r="5059">
      <x:c r="B5059" s="2"/>
      <x:c r="C5059" s="2"/>
      <x:c r="D5059" s="2"/>
      <x:c r="E5059" s="2"/>
      <x:c r="F5059" s="2"/>
      <x:c r="G5059" s="2"/>
    </x:row>
    <x:row r="5060">
      <x:c r="B5060" s="2"/>
      <x:c r="C5060" s="2"/>
      <x:c r="D5060" s="2"/>
      <x:c r="E5060" s="2"/>
      <x:c r="F5060" s="2"/>
      <x:c r="G5060" s="2"/>
    </x:row>
    <x:row r="5061">
      <x:c r="B5061" s="2"/>
      <x:c r="C5061" s="2"/>
      <x:c r="D5061" s="2"/>
      <x:c r="E5061" s="2"/>
      <x:c r="F5061" s="2"/>
      <x:c r="G5061" s="2"/>
    </x:row>
    <x:row r="5062">
      <x:c r="B5062" s="2"/>
      <x:c r="C5062" s="2"/>
      <x:c r="D5062" s="2"/>
      <x:c r="E5062" s="2"/>
      <x:c r="F5062" s="2"/>
      <x:c r="G5062" s="2"/>
    </x:row>
    <x:row r="5063">
      <x:c r="B5063" s="2"/>
      <x:c r="C5063" s="2"/>
      <x:c r="D5063" s="2"/>
      <x:c r="E5063" s="2"/>
      <x:c r="F5063" s="2"/>
      <x:c r="G5063" s="2"/>
    </x:row>
    <x:row r="5064">
      <x:c r="B5064" s="2"/>
      <x:c r="C5064" s="2"/>
      <x:c r="D5064" s="2"/>
      <x:c r="E5064" s="2"/>
      <x:c r="F5064" s="2"/>
      <x:c r="G5064" s="2"/>
    </x:row>
    <x:row r="5065">
      <x:c r="B5065" s="2"/>
      <x:c r="C5065" s="2"/>
      <x:c r="D5065" s="2"/>
      <x:c r="E5065" s="2"/>
      <x:c r="F5065" s="2"/>
      <x:c r="G5065" s="2"/>
    </x:row>
    <x:row r="5066">
      <x:c r="B5066" s="2"/>
      <x:c r="C5066" s="2"/>
      <x:c r="D5066" s="2"/>
      <x:c r="E5066" s="2"/>
      <x:c r="F5066" s="2"/>
      <x:c r="G5066" s="2"/>
    </x:row>
    <x:row r="5067">
      <x:c r="B5067" s="2"/>
      <x:c r="C5067" s="2"/>
      <x:c r="D5067" s="2"/>
      <x:c r="E5067" s="2"/>
      <x:c r="F5067" s="2"/>
      <x:c r="G5067" s="2"/>
    </x:row>
    <x:row r="5068">
      <x:c r="B5068" s="2"/>
      <x:c r="C5068" s="2"/>
      <x:c r="D5068" s="2"/>
      <x:c r="E5068" s="2"/>
      <x:c r="F5068" s="2"/>
      <x:c r="G5068" s="2"/>
    </x:row>
    <x:row r="5069">
      <x:c r="B5069" s="2"/>
      <x:c r="C5069" s="2"/>
      <x:c r="D5069" s="2"/>
      <x:c r="E5069" s="2"/>
      <x:c r="F5069" s="2"/>
      <x:c r="G5069" s="2"/>
    </x:row>
    <x:row r="5070">
      <x:c r="B5070" s="2"/>
      <x:c r="C5070" s="2"/>
      <x:c r="D5070" s="2"/>
      <x:c r="E5070" s="2"/>
      <x:c r="F5070" s="2"/>
      <x:c r="G5070" s="2"/>
    </x:row>
    <x:row r="5071">
      <x:c r="B5071" s="2"/>
      <x:c r="C5071" s="2"/>
      <x:c r="D5071" s="2"/>
      <x:c r="E5071" s="2"/>
      <x:c r="F5071" s="2"/>
      <x:c r="G5071" s="2"/>
    </x:row>
    <x:row r="5072">
      <x:c r="B5072" s="2"/>
      <x:c r="C5072" s="2"/>
      <x:c r="D5072" s="2"/>
      <x:c r="E5072" s="2"/>
      <x:c r="F5072" s="2"/>
      <x:c r="G5072" s="2"/>
    </x:row>
    <x:row r="5073">
      <x:c r="B5073" s="2"/>
      <x:c r="C5073" s="2"/>
      <x:c r="D5073" s="2"/>
      <x:c r="E5073" s="2"/>
      <x:c r="F5073" s="2"/>
      <x:c r="G5073" s="2"/>
    </x:row>
    <x:row r="5074">
      <x:c r="B5074" s="2"/>
      <x:c r="C5074" s="2"/>
      <x:c r="D5074" s="2"/>
      <x:c r="E5074" s="2"/>
      <x:c r="F5074" s="2"/>
      <x:c r="G5074" s="2"/>
    </x:row>
    <x:row r="5075">
      <x:c r="B5075" s="2"/>
      <x:c r="C5075" s="2"/>
      <x:c r="D5075" s="2"/>
      <x:c r="E5075" s="2"/>
      <x:c r="F5075" s="2"/>
      <x:c r="G5075" s="2"/>
    </x:row>
    <x:row r="5076">
      <x:c r="B5076" s="2"/>
      <x:c r="C5076" s="2"/>
      <x:c r="D5076" s="2"/>
      <x:c r="E5076" s="2"/>
      <x:c r="F5076" s="2"/>
      <x:c r="G5076" s="2"/>
    </x:row>
    <x:row r="5077">
      <x:c r="B5077" s="2"/>
      <x:c r="C5077" s="2"/>
      <x:c r="D5077" s="2"/>
      <x:c r="E5077" s="2"/>
      <x:c r="F5077" s="2"/>
      <x:c r="G5077" s="2"/>
    </x:row>
    <x:row r="5078">
      <x:c r="B5078" s="2"/>
      <x:c r="C5078" s="2"/>
      <x:c r="D5078" s="2"/>
      <x:c r="E5078" s="2"/>
      <x:c r="F5078" s="2"/>
      <x:c r="G5078" s="2"/>
    </x:row>
    <x:row r="5079">
      <x:c r="B5079" s="2"/>
      <x:c r="C5079" s="2"/>
      <x:c r="D5079" s="2"/>
      <x:c r="E5079" s="2"/>
      <x:c r="F5079" s="2"/>
      <x:c r="G5079" s="2"/>
    </x:row>
    <x:row r="5080">
      <x:c r="B5080" s="2"/>
      <x:c r="C5080" s="2"/>
      <x:c r="D5080" s="2"/>
      <x:c r="E5080" s="2"/>
      <x:c r="F5080" s="2"/>
      <x:c r="G5080" s="2"/>
    </x:row>
    <x:row r="5081">
      <x:c r="B5081" s="2"/>
      <x:c r="C5081" s="2"/>
      <x:c r="D5081" s="2"/>
      <x:c r="E5081" s="2"/>
      <x:c r="F5081" s="2"/>
      <x:c r="G5081" s="2"/>
    </x:row>
    <x:row r="5082">
      <x:c r="B5082" s="2"/>
      <x:c r="C5082" s="2"/>
      <x:c r="D5082" s="2"/>
      <x:c r="E5082" s="2"/>
      <x:c r="F5082" s="2"/>
      <x:c r="G5082" s="2"/>
    </x:row>
    <x:row r="5083">
      <x:c r="B5083" s="2"/>
      <x:c r="C5083" s="2"/>
      <x:c r="D5083" s="2"/>
      <x:c r="E5083" s="2"/>
      <x:c r="F5083" s="2"/>
      <x:c r="G5083" s="2"/>
    </x:row>
    <x:row r="5084">
      <x:c r="B5084" s="2"/>
      <x:c r="C5084" s="2"/>
      <x:c r="D5084" s="2"/>
      <x:c r="E5084" s="2"/>
      <x:c r="F5084" s="2"/>
      <x:c r="G5084" s="2"/>
    </x:row>
    <x:row r="5085">
      <x:c r="B5085" s="2"/>
      <x:c r="C5085" s="2"/>
      <x:c r="D5085" s="2"/>
      <x:c r="E5085" s="2"/>
      <x:c r="F5085" s="2"/>
      <x:c r="G5085" s="2"/>
    </x:row>
    <x:row r="5086">
      <x:c r="B5086" s="2"/>
      <x:c r="C5086" s="2"/>
      <x:c r="D5086" s="2"/>
      <x:c r="E5086" s="2"/>
      <x:c r="F5086" s="2"/>
      <x:c r="G5086" s="2"/>
    </x:row>
    <x:row r="5087">
      <x:c r="B5087" s="2"/>
      <x:c r="C5087" s="2"/>
      <x:c r="D5087" s="2"/>
      <x:c r="E5087" s="2"/>
      <x:c r="F5087" s="2"/>
      <x:c r="G5087" s="2"/>
    </x:row>
    <x:row r="5088">
      <x:c r="B5088" s="2"/>
      <x:c r="C5088" s="2"/>
      <x:c r="D5088" s="2"/>
      <x:c r="E5088" s="2"/>
      <x:c r="F5088" s="2"/>
      <x:c r="G5088" s="2"/>
    </x:row>
    <x:row r="5089">
      <x:c r="B5089" s="2"/>
      <x:c r="C5089" s="2"/>
      <x:c r="D5089" s="2"/>
      <x:c r="E5089" s="2"/>
      <x:c r="F5089" s="2"/>
      <x:c r="G5089" s="2"/>
    </x:row>
    <x:row r="5090">
      <x:c r="B5090" s="2"/>
      <x:c r="C5090" s="2"/>
      <x:c r="D5090" s="2"/>
      <x:c r="E5090" s="2"/>
      <x:c r="F5090" s="2"/>
      <x:c r="G5090" s="2"/>
    </x:row>
    <x:row r="5091">
      <x:c r="B5091" s="2"/>
      <x:c r="C5091" s="2"/>
      <x:c r="D5091" s="2"/>
      <x:c r="E5091" s="2"/>
      <x:c r="F5091" s="2"/>
      <x:c r="G5091" s="2"/>
    </x:row>
    <x:row r="5092">
      <x:c r="B5092" s="2"/>
      <x:c r="C5092" s="2"/>
      <x:c r="D5092" s="2"/>
      <x:c r="E5092" s="2"/>
      <x:c r="F5092" s="2"/>
      <x:c r="G5092" s="2"/>
    </x:row>
    <x:row r="5093">
      <x:c r="B5093" s="2"/>
      <x:c r="C5093" s="2"/>
      <x:c r="D5093" s="2"/>
      <x:c r="E5093" s="2"/>
      <x:c r="F5093" s="2"/>
      <x:c r="G5093" s="2"/>
    </x:row>
    <x:row r="5094">
      <x:c r="B5094" s="2"/>
      <x:c r="C5094" s="2"/>
      <x:c r="D5094" s="2"/>
      <x:c r="E5094" s="2"/>
      <x:c r="F5094" s="2"/>
      <x:c r="G5094" s="2"/>
    </x:row>
    <x:row r="5095">
      <x:c r="B5095" s="2"/>
      <x:c r="C5095" s="2"/>
      <x:c r="D5095" s="2"/>
      <x:c r="E5095" s="2"/>
      <x:c r="F5095" s="2"/>
      <x:c r="G5095" s="2"/>
    </x:row>
    <x:row r="5096">
      <x:c r="B5096" s="2"/>
      <x:c r="C5096" s="2"/>
      <x:c r="D5096" s="2"/>
      <x:c r="E5096" s="2"/>
      <x:c r="F5096" s="2"/>
      <x:c r="G5096" s="2"/>
    </x:row>
    <x:row r="5097">
      <x:c r="B5097" s="2"/>
      <x:c r="C5097" s="2"/>
      <x:c r="D5097" s="2"/>
      <x:c r="E5097" s="2"/>
      <x:c r="F5097" s="2"/>
      <x:c r="G5097" s="2"/>
    </x:row>
    <x:row r="5098">
      <x:c r="B5098" s="2"/>
      <x:c r="C5098" s="2"/>
      <x:c r="D5098" s="2"/>
      <x:c r="E5098" s="2"/>
      <x:c r="F5098" s="2"/>
      <x:c r="G5098" s="2"/>
    </x:row>
    <x:row r="5099">
      <x:c r="B5099" s="2"/>
      <x:c r="C5099" s="2"/>
      <x:c r="D5099" s="2"/>
      <x:c r="E5099" s="2"/>
      <x:c r="F5099" s="2"/>
      <x:c r="G5099" s="2"/>
    </x:row>
    <x:row r="5100">
      <x:c r="B5100" s="2"/>
      <x:c r="C5100" s="2"/>
      <x:c r="D5100" s="2"/>
      <x:c r="E5100" s="2"/>
      <x:c r="F5100" s="2"/>
      <x:c r="G5100" s="2"/>
    </x:row>
    <x:row r="5101">
      <x:c r="B5101" s="2"/>
      <x:c r="C5101" s="2"/>
      <x:c r="D5101" s="2"/>
      <x:c r="E5101" s="2"/>
      <x:c r="F5101" s="2"/>
      <x:c r="G5101" s="2"/>
    </x:row>
    <x:row r="5102">
      <x:c r="B5102" s="2"/>
      <x:c r="C5102" s="2"/>
      <x:c r="D5102" s="2"/>
      <x:c r="E5102" s="2"/>
      <x:c r="F5102" s="2"/>
      <x:c r="G5102" s="2"/>
    </x:row>
    <x:row r="5103">
      <x:c r="B5103" s="2"/>
      <x:c r="C5103" s="2"/>
      <x:c r="D5103" s="2"/>
      <x:c r="E5103" s="2"/>
      <x:c r="F5103" s="2"/>
      <x:c r="G5103" s="2"/>
    </x:row>
    <x:row r="5104">
      <x:c r="B5104" s="2"/>
      <x:c r="C5104" s="2"/>
      <x:c r="D5104" s="2"/>
      <x:c r="E5104" s="2"/>
      <x:c r="F5104" s="2"/>
      <x:c r="G5104" s="2"/>
    </x:row>
    <x:row r="5105">
      <x:c r="B5105" s="2"/>
      <x:c r="C5105" s="2"/>
      <x:c r="D5105" s="2"/>
      <x:c r="E5105" s="2"/>
      <x:c r="F5105" s="2"/>
      <x:c r="G5105" s="2"/>
    </x:row>
    <x:row r="5106">
      <x:c r="B5106" s="2"/>
      <x:c r="C5106" s="2"/>
      <x:c r="D5106" s="2"/>
      <x:c r="E5106" s="2"/>
      <x:c r="F5106" s="2"/>
      <x:c r="G5106" s="2"/>
    </x:row>
    <x:row r="5107">
      <x:c r="B5107" s="2"/>
      <x:c r="C5107" s="2"/>
      <x:c r="D5107" s="2"/>
      <x:c r="E5107" s="2"/>
      <x:c r="F5107" s="2"/>
      <x:c r="G5107" s="2"/>
    </x:row>
    <x:row r="5108">
      <x:c r="B5108" s="2"/>
      <x:c r="C5108" s="2"/>
      <x:c r="D5108" s="2"/>
      <x:c r="E5108" s="2"/>
      <x:c r="F5108" s="2"/>
      <x:c r="G5108" s="2"/>
    </x:row>
    <x:row r="5109">
      <x:c r="B5109" s="2"/>
      <x:c r="C5109" s="2"/>
      <x:c r="D5109" s="2"/>
      <x:c r="E5109" s="2"/>
      <x:c r="F5109" s="2"/>
      <x:c r="G5109" s="2"/>
    </x:row>
    <x:row r="5110">
      <x:c r="B5110" s="2"/>
      <x:c r="C5110" s="2"/>
      <x:c r="D5110" s="2"/>
      <x:c r="E5110" s="2"/>
      <x:c r="F5110" s="2"/>
      <x:c r="G5110" s="2"/>
    </x:row>
    <x:row r="5111">
      <x:c r="B5111" s="2"/>
      <x:c r="C5111" s="2"/>
      <x:c r="D5111" s="2"/>
      <x:c r="E5111" s="2"/>
      <x:c r="F5111" s="2"/>
      <x:c r="G5111" s="2"/>
    </x:row>
    <x:row r="5112">
      <x:c r="B5112" s="2"/>
      <x:c r="C5112" s="2"/>
      <x:c r="D5112" s="2"/>
      <x:c r="E5112" s="2"/>
      <x:c r="F5112" s="2"/>
      <x:c r="G5112" s="2"/>
    </x:row>
    <x:row r="5113">
      <x:c r="B5113" s="2"/>
      <x:c r="C5113" s="2"/>
      <x:c r="D5113" s="2"/>
      <x:c r="E5113" s="2"/>
      <x:c r="F5113" s="2"/>
      <x:c r="G5113" s="2"/>
    </x:row>
    <x:row r="5114">
      <x:c r="B5114" s="2"/>
      <x:c r="C5114" s="2"/>
      <x:c r="D5114" s="2"/>
      <x:c r="E5114" s="2"/>
      <x:c r="F5114" s="2"/>
      <x:c r="G5114" s="2"/>
    </x:row>
    <x:row r="5115">
      <x:c r="B5115" s="2"/>
      <x:c r="C5115" s="2"/>
      <x:c r="D5115" s="2"/>
      <x:c r="E5115" s="2"/>
      <x:c r="F5115" s="2"/>
      <x:c r="G5115" s="2"/>
    </x:row>
    <x:row r="5116">
      <x:c r="B5116" s="2"/>
      <x:c r="C5116" s="2"/>
      <x:c r="D5116" s="2"/>
      <x:c r="E5116" s="2"/>
      <x:c r="F5116" s="2"/>
      <x:c r="G5116" s="2"/>
    </x:row>
    <x:row r="5117">
      <x:c r="B5117" s="2"/>
      <x:c r="C5117" s="2"/>
      <x:c r="D5117" s="2"/>
      <x:c r="E5117" s="2"/>
      <x:c r="F5117" s="2"/>
      <x:c r="G5117" s="2"/>
    </x:row>
    <x:row r="5118">
      <x:c r="B5118" s="2"/>
      <x:c r="C5118" s="2"/>
      <x:c r="D5118" s="2"/>
      <x:c r="E5118" s="2"/>
      <x:c r="F5118" s="2"/>
      <x:c r="G5118" s="2"/>
    </x:row>
    <x:row r="5119">
      <x:c r="B5119" s="2"/>
      <x:c r="C5119" s="2"/>
      <x:c r="D5119" s="2"/>
      <x:c r="E5119" s="2"/>
      <x:c r="F5119" s="2"/>
      <x:c r="G5119" s="2"/>
    </x:row>
    <x:row r="5120">
      <x:c r="B5120" s="2"/>
      <x:c r="C5120" s="2"/>
      <x:c r="D5120" s="2"/>
      <x:c r="E5120" s="2"/>
      <x:c r="F5120" s="2"/>
      <x:c r="G5120" s="2"/>
    </x:row>
    <x:row r="5121">
      <x:c r="B5121" s="2"/>
      <x:c r="C5121" s="2"/>
      <x:c r="D5121" s="2"/>
      <x:c r="E5121" s="2"/>
      <x:c r="F5121" s="2"/>
      <x:c r="G5121" s="2"/>
    </x:row>
    <x:row r="5122">
      <x:c r="B5122" s="2"/>
      <x:c r="C5122" s="2"/>
      <x:c r="D5122" s="2"/>
      <x:c r="E5122" s="2"/>
      <x:c r="F5122" s="2"/>
      <x:c r="G5122" s="2"/>
    </x:row>
    <x:row r="5123">
      <x:c r="B5123" s="2"/>
      <x:c r="C5123" s="2"/>
      <x:c r="D5123" s="2"/>
      <x:c r="E5123" s="2"/>
      <x:c r="F5123" s="2"/>
      <x:c r="G5123" s="2"/>
    </x:row>
    <x:row r="5124">
      <x:c r="B5124" s="2"/>
      <x:c r="C5124" s="2"/>
      <x:c r="D5124" s="2"/>
      <x:c r="E5124" s="2"/>
      <x:c r="F5124" s="2"/>
      <x:c r="G5124" s="2"/>
    </x:row>
    <x:row r="5125">
      <x:c r="B5125" s="2"/>
      <x:c r="C5125" s="2"/>
      <x:c r="D5125" s="2"/>
      <x:c r="E5125" s="2"/>
      <x:c r="F5125" s="2"/>
      <x:c r="G5125" s="2"/>
    </x:row>
    <x:row r="5126">
      <x:c r="B5126" s="2"/>
      <x:c r="C5126" s="2"/>
      <x:c r="D5126" s="2"/>
      <x:c r="E5126" s="2"/>
      <x:c r="F5126" s="2"/>
      <x:c r="G5126" s="2"/>
    </x:row>
    <x:row r="5127">
      <x:c r="B5127" s="2"/>
      <x:c r="C5127" s="2"/>
      <x:c r="D5127" s="2"/>
      <x:c r="E5127" s="2"/>
      <x:c r="F5127" s="2"/>
      <x:c r="G5127" s="2"/>
    </x:row>
    <x:row r="5128">
      <x:c r="B5128" s="2"/>
      <x:c r="C5128" s="2"/>
      <x:c r="D5128" s="2"/>
      <x:c r="E5128" s="2"/>
      <x:c r="F5128" s="2"/>
      <x:c r="G5128" s="2"/>
    </x:row>
    <x:row r="5129">
      <x:c r="B5129" s="2"/>
      <x:c r="C5129" s="2"/>
      <x:c r="D5129" s="2"/>
      <x:c r="E5129" s="2"/>
      <x:c r="F5129" s="2"/>
      <x:c r="G5129" s="2"/>
    </x:row>
    <x:row r="5130">
      <x:c r="B5130" s="2"/>
      <x:c r="C5130" s="2"/>
      <x:c r="D5130" s="2"/>
      <x:c r="E5130" s="2"/>
      <x:c r="F5130" s="2"/>
      <x:c r="G5130" s="2"/>
    </x:row>
    <x:row r="5131">
      <x:c r="B5131" s="2"/>
      <x:c r="C5131" s="2"/>
      <x:c r="D5131" s="2"/>
      <x:c r="E5131" s="2"/>
      <x:c r="F5131" s="2"/>
      <x:c r="G5131" s="2"/>
    </x:row>
    <x:row r="5132">
      <x:c r="B5132" s="2"/>
      <x:c r="C5132" s="2"/>
      <x:c r="D5132" s="2"/>
      <x:c r="E5132" s="2"/>
      <x:c r="F5132" s="2"/>
      <x:c r="G5132" s="2"/>
    </x:row>
    <x:row r="5133">
      <x:c r="B5133" s="2"/>
      <x:c r="C5133" s="2"/>
      <x:c r="D5133" s="2"/>
      <x:c r="E5133" s="2"/>
      <x:c r="F5133" s="2"/>
      <x:c r="G5133" s="2"/>
    </x:row>
    <x:row r="5134">
      <x:c r="B5134" s="2"/>
      <x:c r="C5134" s="2"/>
      <x:c r="D5134" s="2"/>
      <x:c r="E5134" s="2"/>
      <x:c r="F5134" s="2"/>
      <x:c r="G5134" s="2"/>
    </x:row>
    <x:row r="5135">
      <x:c r="B5135" s="2"/>
      <x:c r="C5135" s="2"/>
      <x:c r="D5135" s="2"/>
      <x:c r="E5135" s="2"/>
      <x:c r="F5135" s="2"/>
      <x:c r="G5135" s="2"/>
    </x:row>
    <x:row r="5136">
      <x:c r="B5136" s="2"/>
      <x:c r="C5136" s="2"/>
      <x:c r="D5136" s="2"/>
      <x:c r="E5136" s="2"/>
      <x:c r="F5136" s="2"/>
      <x:c r="G5136" s="2"/>
    </x:row>
    <x:row r="5137">
      <x:c r="B5137" s="2"/>
      <x:c r="C5137" s="2"/>
      <x:c r="D5137" s="2"/>
      <x:c r="E5137" s="2"/>
      <x:c r="F5137" s="2"/>
      <x:c r="G5137" s="2"/>
    </x:row>
    <x:row r="5138">
      <x:c r="B5138" s="2"/>
      <x:c r="C5138" s="2"/>
      <x:c r="D5138" s="2"/>
      <x:c r="E5138" s="2"/>
      <x:c r="F5138" s="2"/>
      <x:c r="G5138" s="2"/>
    </x:row>
    <x:row r="5139">
      <x:c r="B5139" s="2"/>
      <x:c r="C5139" s="2"/>
      <x:c r="D5139" s="2"/>
      <x:c r="E5139" s="2"/>
      <x:c r="F5139" s="2"/>
      <x:c r="G5139" s="2"/>
    </x:row>
    <x:row r="5140">
      <x:c r="B5140" s="2"/>
      <x:c r="C5140" s="2"/>
      <x:c r="D5140" s="2"/>
      <x:c r="E5140" s="2"/>
      <x:c r="F5140" s="2"/>
      <x:c r="G5140" s="2"/>
    </x:row>
    <x:row r="5141">
      <x:c r="B5141" s="2"/>
      <x:c r="C5141" s="2"/>
      <x:c r="D5141" s="2"/>
      <x:c r="E5141" s="2"/>
      <x:c r="F5141" s="2"/>
      <x:c r="G5141" s="2"/>
    </x:row>
    <x:row r="5142">
      <x:c r="B5142" s="2"/>
      <x:c r="C5142" s="2"/>
      <x:c r="D5142" s="2"/>
      <x:c r="E5142" s="2"/>
      <x:c r="F5142" s="2"/>
      <x:c r="G5142" s="2"/>
    </x:row>
    <x:row r="5143">
      <x:c r="B5143" s="2"/>
      <x:c r="C5143" s="2"/>
      <x:c r="D5143" s="2"/>
      <x:c r="E5143" s="2"/>
      <x:c r="F5143" s="2"/>
      <x:c r="G5143" s="2"/>
    </x:row>
    <x:row r="5144">
      <x:c r="B5144" s="2"/>
      <x:c r="C5144" s="2"/>
      <x:c r="D5144" s="2"/>
      <x:c r="E5144" s="2"/>
      <x:c r="F5144" s="2"/>
      <x:c r="G5144" s="2"/>
    </x:row>
    <x:row r="5145">
      <x:c r="B5145" s="2"/>
      <x:c r="C5145" s="2"/>
      <x:c r="D5145" s="2"/>
      <x:c r="E5145" s="2"/>
      <x:c r="F5145" s="2"/>
      <x:c r="G5145" s="2"/>
    </x:row>
    <x:row r="5146">
      <x:c r="B5146" s="2"/>
      <x:c r="C5146" s="2"/>
      <x:c r="D5146" s="2"/>
      <x:c r="E5146" s="2"/>
      <x:c r="F5146" s="2"/>
      <x:c r="G5146" s="2"/>
    </x:row>
    <x:row r="5147">
      <x:c r="B5147" s="2"/>
      <x:c r="C5147" s="2"/>
      <x:c r="D5147" s="2"/>
      <x:c r="E5147" s="2"/>
      <x:c r="F5147" s="2"/>
      <x:c r="G5147" s="2"/>
    </x:row>
    <x:row r="5148">
      <x:c r="B5148" s="2"/>
      <x:c r="C5148" s="2"/>
      <x:c r="D5148" s="2"/>
      <x:c r="E5148" s="2"/>
      <x:c r="F5148" s="2"/>
      <x:c r="G5148" s="2"/>
    </x:row>
    <x:row r="5149">
      <x:c r="B5149" s="2"/>
      <x:c r="C5149" s="2"/>
      <x:c r="D5149" s="2"/>
      <x:c r="E5149" s="2"/>
      <x:c r="F5149" s="2"/>
      <x:c r="G5149" s="2"/>
    </x:row>
    <x:row r="5150">
      <x:c r="B5150" s="2"/>
      <x:c r="C5150" s="2"/>
      <x:c r="D5150" s="2"/>
      <x:c r="E5150" s="2"/>
      <x:c r="F5150" s="2"/>
      <x:c r="G5150" s="2"/>
    </x:row>
    <x:row r="5151">
      <x:c r="B5151" s="2"/>
      <x:c r="C5151" s="2"/>
      <x:c r="D5151" s="2"/>
      <x:c r="E5151" s="2"/>
      <x:c r="F5151" s="2"/>
      <x:c r="G5151" s="2"/>
    </x:row>
    <x:row r="5152">
      <x:c r="B5152" s="2"/>
      <x:c r="C5152" s="2"/>
      <x:c r="D5152" s="2"/>
      <x:c r="E5152" s="2"/>
      <x:c r="F5152" s="2"/>
      <x:c r="G5152" s="2"/>
    </x:row>
    <x:row r="5153">
      <x:c r="B5153" s="2"/>
      <x:c r="C5153" s="2"/>
      <x:c r="D5153" s="2"/>
      <x:c r="E5153" s="2"/>
      <x:c r="F5153" s="2"/>
      <x:c r="G5153" s="2"/>
    </x:row>
    <x:row r="5154">
      <x:c r="B5154" s="2"/>
      <x:c r="C5154" s="2"/>
      <x:c r="D5154" s="2"/>
      <x:c r="E5154" s="2"/>
      <x:c r="F5154" s="2"/>
      <x:c r="G5154" s="2"/>
    </x:row>
    <x:row r="5155">
      <x:c r="B5155" s="2"/>
      <x:c r="C5155" s="2"/>
      <x:c r="D5155" s="2"/>
      <x:c r="E5155" s="2"/>
      <x:c r="F5155" s="2"/>
      <x:c r="G5155" s="2"/>
    </x:row>
    <x:row r="5156">
      <x:c r="B5156" s="2"/>
      <x:c r="C5156" s="2"/>
      <x:c r="D5156" s="2"/>
      <x:c r="E5156" s="2"/>
      <x:c r="F5156" s="2"/>
      <x:c r="G5156" s="2"/>
    </x:row>
    <x:row r="5157">
      <x:c r="B5157" s="2"/>
      <x:c r="C5157" s="2"/>
      <x:c r="D5157" s="2"/>
      <x:c r="E5157" s="2"/>
      <x:c r="F5157" s="2"/>
      <x:c r="G5157" s="2"/>
    </x:row>
    <x:row r="5158">
      <x:c r="B5158" s="2"/>
      <x:c r="C5158" s="2"/>
      <x:c r="D5158" s="2"/>
      <x:c r="E5158" s="2"/>
      <x:c r="F5158" s="2"/>
      <x:c r="G5158" s="2"/>
    </x:row>
    <x:row r="5159">
      <x:c r="B5159" s="2"/>
      <x:c r="C5159" s="2"/>
      <x:c r="D5159" s="2"/>
      <x:c r="E5159" s="2"/>
      <x:c r="F5159" s="2"/>
      <x:c r="G5159" s="2"/>
    </x:row>
    <x:row r="5160">
      <x:c r="B5160" s="2"/>
      <x:c r="C5160" s="2"/>
      <x:c r="D5160" s="2"/>
      <x:c r="E5160" s="2"/>
      <x:c r="F5160" s="2"/>
      <x:c r="G5160" s="2"/>
    </x:row>
    <x:row r="5161">
      <x:c r="B5161" s="2"/>
      <x:c r="C5161" s="2"/>
      <x:c r="D5161" s="2"/>
      <x:c r="E5161" s="2"/>
      <x:c r="F5161" s="2"/>
      <x:c r="G5161" s="2"/>
    </x:row>
    <x:row r="5162">
      <x:c r="B5162" s="2"/>
      <x:c r="C5162" s="2"/>
      <x:c r="D5162" s="2"/>
      <x:c r="E5162" s="2"/>
      <x:c r="F5162" s="2"/>
      <x:c r="G5162" s="2"/>
    </x:row>
    <x:row r="5163">
      <x:c r="B5163" s="2"/>
      <x:c r="C5163" s="2"/>
      <x:c r="D5163" s="2"/>
      <x:c r="E5163" s="2"/>
      <x:c r="F5163" s="2"/>
      <x:c r="G5163" s="2"/>
    </x:row>
    <x:row r="5164">
      <x:c r="B5164" s="2"/>
      <x:c r="C5164" s="2"/>
      <x:c r="D5164" s="2"/>
      <x:c r="E5164" s="2"/>
      <x:c r="F5164" s="2"/>
      <x:c r="G5164" s="2"/>
    </x:row>
    <x:row r="5165">
      <x:c r="B5165" s="2"/>
      <x:c r="C5165" s="2"/>
      <x:c r="D5165" s="2"/>
      <x:c r="E5165" s="2"/>
      <x:c r="F5165" s="2"/>
      <x:c r="G5165" s="2"/>
    </x:row>
    <x:row r="5166">
      <x:c r="B5166" s="2"/>
      <x:c r="C5166" s="2"/>
      <x:c r="D5166" s="2"/>
      <x:c r="E5166" s="2"/>
      <x:c r="F5166" s="2"/>
      <x:c r="G5166" s="2"/>
    </x:row>
    <x:row r="5167">
      <x:c r="B5167" s="2"/>
      <x:c r="C5167" s="2"/>
      <x:c r="D5167" s="2"/>
      <x:c r="E5167" s="2"/>
      <x:c r="F5167" s="2"/>
      <x:c r="G5167" s="2"/>
    </x:row>
    <x:row r="5168">
      <x:c r="B5168" s="2"/>
      <x:c r="C5168" s="2"/>
      <x:c r="D5168" s="2"/>
      <x:c r="E5168" s="2"/>
      <x:c r="F5168" s="2"/>
      <x:c r="G5168" s="2"/>
    </x:row>
    <x:row r="5169">
      <x:c r="B5169" s="2"/>
      <x:c r="C5169" s="2"/>
      <x:c r="D5169" s="2"/>
      <x:c r="E5169" s="2"/>
      <x:c r="F5169" s="2"/>
      <x:c r="G5169" s="2"/>
    </x:row>
    <x:row r="5170">
      <x:c r="B5170" s="2"/>
      <x:c r="C5170" s="2"/>
      <x:c r="D5170" s="2"/>
      <x:c r="E5170" s="2"/>
      <x:c r="F5170" s="2"/>
      <x:c r="G5170" s="2"/>
    </x:row>
    <x:row r="5171">
      <x:c r="B5171" s="2"/>
      <x:c r="C5171" s="2"/>
      <x:c r="D5171" s="2"/>
      <x:c r="E5171" s="2"/>
      <x:c r="F5171" s="2"/>
      <x:c r="G5171" s="2"/>
    </x:row>
    <x:row r="5172">
      <x:c r="B5172" s="2"/>
      <x:c r="C5172" s="2"/>
      <x:c r="D5172" s="2"/>
      <x:c r="E5172" s="2"/>
      <x:c r="F5172" s="2"/>
      <x:c r="G5172" s="2"/>
    </x:row>
    <x:row r="5173">
      <x:c r="B5173" s="2"/>
      <x:c r="C5173" s="2"/>
      <x:c r="D5173" s="2"/>
      <x:c r="E5173" s="2"/>
      <x:c r="F5173" s="2"/>
      <x:c r="G5173" s="2"/>
    </x:row>
    <x:row r="5174">
      <x:c r="B5174" s="2"/>
      <x:c r="C5174" s="2"/>
      <x:c r="D5174" s="2"/>
      <x:c r="E5174" s="2"/>
      <x:c r="F5174" s="2"/>
      <x:c r="G5174" s="2"/>
    </x:row>
    <x:row r="5175">
      <x:c r="B5175" s="2"/>
      <x:c r="C5175" s="2"/>
      <x:c r="D5175" s="2"/>
      <x:c r="E5175" s="2"/>
      <x:c r="F5175" s="2"/>
      <x:c r="G5175" s="2"/>
    </x:row>
    <x:row r="5176">
      <x:c r="B5176" s="2"/>
      <x:c r="C5176" s="2"/>
      <x:c r="D5176" s="2"/>
      <x:c r="E5176" s="2"/>
      <x:c r="F5176" s="2"/>
      <x:c r="G5176" s="2"/>
    </x:row>
    <x:row r="5177">
      <x:c r="B5177" s="2"/>
      <x:c r="C5177" s="2"/>
      <x:c r="D5177" s="2"/>
      <x:c r="E5177" s="2"/>
      <x:c r="F5177" s="2"/>
      <x:c r="G5177" s="2"/>
    </x:row>
    <x:row r="5178">
      <x:c r="B5178" s="2"/>
      <x:c r="C5178" s="2"/>
      <x:c r="D5178" s="2"/>
      <x:c r="E5178" s="2"/>
      <x:c r="F5178" s="2"/>
      <x:c r="G5178" s="2"/>
    </x:row>
    <x:row r="5179">
      <x:c r="B5179" s="2"/>
      <x:c r="C5179" s="2"/>
      <x:c r="D5179" s="2"/>
      <x:c r="E5179" s="2"/>
      <x:c r="F5179" s="2"/>
      <x:c r="G5179" s="2"/>
    </x:row>
    <x:row r="5180">
      <x:c r="B5180" s="2"/>
      <x:c r="C5180" s="2"/>
      <x:c r="D5180" s="2"/>
      <x:c r="E5180" s="2"/>
      <x:c r="F5180" s="2"/>
      <x:c r="G5180" s="2"/>
    </x:row>
    <x:row r="5181">
      <x:c r="B5181" s="2"/>
      <x:c r="C5181" s="2"/>
      <x:c r="D5181" s="2"/>
      <x:c r="E5181" s="2"/>
      <x:c r="F5181" s="2"/>
      <x:c r="G5181" s="2"/>
    </x:row>
    <x:row r="5182">
      <x:c r="B5182" s="2"/>
      <x:c r="C5182" s="2"/>
      <x:c r="D5182" s="2"/>
      <x:c r="E5182" s="2"/>
      <x:c r="F5182" s="2"/>
      <x:c r="G5182" s="2"/>
    </x:row>
    <x:row r="5183">
      <x:c r="B5183" s="2"/>
      <x:c r="C5183" s="2"/>
      <x:c r="D5183" s="2"/>
      <x:c r="E5183" s="2"/>
      <x:c r="F5183" s="2"/>
      <x:c r="G5183" s="2"/>
    </x:row>
    <x:row r="5184">
      <x:c r="B5184" s="2"/>
      <x:c r="C5184" s="2"/>
      <x:c r="D5184" s="2"/>
      <x:c r="E5184" s="2"/>
      <x:c r="F5184" s="2"/>
      <x:c r="G5184" s="2"/>
    </x:row>
    <x:row r="5185">
      <x:c r="B5185" s="2"/>
      <x:c r="C5185" s="2"/>
      <x:c r="D5185" s="2"/>
      <x:c r="E5185" s="2"/>
      <x:c r="F5185" s="2"/>
      <x:c r="G5185" s="2"/>
    </x:row>
    <x:row r="5186">
      <x:c r="B5186" s="2"/>
      <x:c r="C5186" s="2"/>
      <x:c r="D5186" s="2"/>
      <x:c r="E5186" s="2"/>
      <x:c r="F5186" s="2"/>
      <x:c r="G5186" s="2"/>
    </x:row>
    <x:row r="5187">
      <x:c r="B5187" s="2"/>
      <x:c r="C5187" s="2"/>
      <x:c r="D5187" s="2"/>
      <x:c r="E5187" s="2"/>
      <x:c r="F5187" s="2"/>
      <x:c r="G5187" s="2"/>
    </x:row>
    <x:row r="5188">
      <x:c r="B5188" s="2"/>
      <x:c r="C5188" s="2"/>
      <x:c r="D5188" s="2"/>
      <x:c r="E5188" s="2"/>
      <x:c r="F5188" s="2"/>
      <x:c r="G5188" s="2"/>
    </x:row>
    <x:row r="5189">
      <x:c r="B5189" s="2"/>
      <x:c r="C5189" s="2"/>
      <x:c r="D5189" s="2"/>
      <x:c r="E5189" s="2"/>
      <x:c r="F5189" s="2"/>
      <x:c r="G5189" s="2"/>
    </x:row>
    <x:row r="5190">
      <x:c r="B5190" s="2"/>
      <x:c r="C5190" s="2"/>
      <x:c r="D5190" s="2"/>
      <x:c r="E5190" s="2"/>
      <x:c r="F5190" s="2"/>
      <x:c r="G5190" s="2"/>
    </x:row>
    <x:row r="5191">
      <x:c r="B5191" s="2"/>
      <x:c r="C5191" s="2"/>
      <x:c r="D5191" s="2"/>
      <x:c r="E5191" s="2"/>
      <x:c r="F5191" s="2"/>
      <x:c r="G5191" s="2"/>
    </x:row>
    <x:row r="5192">
      <x:c r="B5192" s="2"/>
      <x:c r="C5192" s="2"/>
      <x:c r="D5192" s="2"/>
      <x:c r="E5192" s="2"/>
      <x:c r="F5192" s="2"/>
      <x:c r="G5192" s="2"/>
    </x:row>
    <x:row r="5193">
      <x:c r="B5193" s="2"/>
      <x:c r="C5193" s="2"/>
      <x:c r="D5193" s="2"/>
      <x:c r="E5193" s="2"/>
      <x:c r="F5193" s="2"/>
      <x:c r="G5193" s="2"/>
    </x:row>
    <x:row r="5194">
      <x:c r="B5194" s="2"/>
      <x:c r="C5194" s="2"/>
      <x:c r="D5194" s="2"/>
      <x:c r="E5194" s="2"/>
      <x:c r="F5194" s="2"/>
      <x:c r="G5194" s="2"/>
    </x:row>
    <x:row r="5195">
      <x:c r="B5195" s="2"/>
      <x:c r="C5195" s="2"/>
      <x:c r="D5195" s="2"/>
      <x:c r="E5195" s="2"/>
      <x:c r="F5195" s="2"/>
      <x:c r="G5195" s="2"/>
    </x:row>
    <x:row r="5196">
      <x:c r="B5196" s="2"/>
      <x:c r="C5196" s="2"/>
      <x:c r="D5196" s="2"/>
      <x:c r="E5196" s="2"/>
      <x:c r="F5196" s="2"/>
      <x:c r="G5196" s="2"/>
    </x:row>
    <x:row r="5197">
      <x:c r="B5197" s="2"/>
      <x:c r="C5197" s="2"/>
      <x:c r="D5197" s="2"/>
      <x:c r="E5197" s="2"/>
      <x:c r="F5197" s="2"/>
      <x:c r="G5197" s="2"/>
    </x:row>
    <x:row r="5198">
      <x:c r="B5198" s="2"/>
      <x:c r="C5198" s="2"/>
      <x:c r="D5198" s="2"/>
      <x:c r="E5198" s="2"/>
      <x:c r="F5198" s="2"/>
      <x:c r="G5198" s="2"/>
    </x:row>
    <x:row r="5199">
      <x:c r="B5199" s="2"/>
      <x:c r="C5199" s="2"/>
      <x:c r="D5199" s="2"/>
      <x:c r="E5199" s="2"/>
      <x:c r="F5199" s="2"/>
      <x:c r="G5199" s="2"/>
    </x:row>
    <x:row r="5200">
      <x:c r="B5200" s="2"/>
      <x:c r="C5200" s="2"/>
      <x:c r="D5200" s="2"/>
      <x:c r="E5200" s="2"/>
      <x:c r="F5200" s="2"/>
      <x:c r="G5200" s="2"/>
    </x:row>
  </x:sheetData>
  <x:mergeCells>
    <x:mergeCell ref="B3:G3"/>
  </x:mergeCells>
  <x:conditionalFormatting sqref="G7:G4989">
    <x:cfRule type="containsText" dxfId="75" priority="1" operator="containsText" text="OPEN"/>
    <x:cfRule type="containsText" dxfId="76" priority="2" operator="containsText" text="HOLD"/>
    <x:cfRule type="containsText" dxfId="77" priority="3" operator="containsText" text="BLOCKED"/>
    <x:cfRule type="containsText" dxfId="78" priority="4" operator="containsText" text="CHALLENGE ONLY"/>
    <x:cfRule type="containsText" dxfId="79" priority="5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3" hidden="0" customWidth="1"/>
    <x:col min="3" max="3" width="39" hidden="0" customWidth="1"/>
    <x:col min="4" max="4" width="39" hidden="0" customWidth="1"/>
    <x:col min="5" max="5" width="28" hidden="0" customWidth="1"/>
    <x:col min="6" max="6" width="31" hidden="0" customWidth="1"/>
    <x:col min="7" max="7" width="17" hidden="0" customWidth="1"/>
    <x:col min="8" max="8" width="28" hidden="0" customWidth="1"/>
    <x:col min="9" max="9" width="25" hidden="0" customWidth="1"/>
    <x:col min="10" max="10" width="31" hidden="0" customWidth="1"/>
  </x:cols>
  <x:sheetData>
    <x:row r="2">
      <x:c r="B2" s="3" t="str">
        <x:v>Workbook reading order and authority boundary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MESA-1E is a first-principles procurement experiment. It converts an accepted prototype envelope into an inspectable competition design without selecting a vendor.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Sheet</x:v>
      </x:c>
      <x:c r="C6" s="20" t="str">
        <x:v>Question</x:v>
      </x:c>
      <x:c r="D6" s="20" t="str">
        <x:v>Purpose</x:v>
      </x:c>
      <x:c r="E6" s="20" t="str">
        <x:v>Inputs</x:v>
      </x:c>
      <x:c r="F6" s="20" t="str">
        <x:v>Output</x:v>
      </x:c>
      <x:c r="G6" s="20" t="str">
        <x:v>State</x:v>
      </x:c>
      <x:c r="H6" s="20" t="str">
        <x:v>Not evidence of</x:v>
      </x:c>
      <x:c r="I6" s="20" t="str">
        <x:v>Authority</x:v>
      </x:c>
      <x:c r="J6" s="20" t="str">
        <x:v>Reopen trigger</x:v>
      </x:c>
    </x:row>
    <x:row r="7">
      <x:c r="B7" s="21" t="str">
        <x:v>Summary</x:v>
      </x:c>
      <x:c r="C7" s="21" t="str">
        <x:v>What has this pass established?</x:v>
      </x:c>
      <x:c r="D7" s="21" t="str">
        <x:v>state the portfolio answer</x:v>
      </x:c>
      <x:c r="E7" s="21" t="str">
        <x:v>all registers</x:v>
      </x:c>
      <x:c r="F7" s="21" t="str">
        <x:v>headline controls</x:v>
      </x:c>
      <x:c r="G7" s="21" t="str">
        <x:v>planning</x:v>
      </x:c>
      <x:c r="H7" s="21" t="str">
        <x:v>performance or award</x:v>
      </x:c>
      <x:c r="I7" s="21" t="str">
        <x:v>program executive</x:v>
      </x:c>
      <x:c r="J7" s="23" t="str">
        <x:v>failed audit or new evidence</x:v>
      </x:c>
    </x:row>
    <x:row r="8">
      <x:c r="B8" s="21" t="str">
        <x:v>Assumptions</x:v>
      </x:c>
      <x:c r="C8" s="21" t="str">
        <x:v>What is frozen?</x:v>
      </x:c>
      <x:c r="D8" s="21" t="str">
        <x:v>declare editable inputs</x:v>
      </x:c>
      <x:c r="E8" s="21" t="str">
        <x:v>inherited MESA baselines</x:v>
      </x:c>
      <x:c r="F8" s="21" t="str">
        <x:v>source-strategy constants</x:v>
      </x:c>
      <x:c r="G8" s="21" t="str">
        <x:v>FROZEN</x:v>
      </x:c>
      <x:c r="H8" s="21" t="str">
        <x:v>truth or price</x:v>
      </x:c>
      <x:c r="I8" s="21" t="str">
        <x:v>requirements authority</x:v>
      </x:c>
      <x:c r="J8" s="23" t="str">
        <x:v>accepted amendment</x:v>
      </x:c>
    </x:row>
    <x:row r="9">
      <x:c r="B9" s="21" t="str">
        <x:v>Family Packages</x:v>
      </x:c>
      <x:c r="C9" s="21" t="str">
        <x:v>What is bought?</x:v>
      </x:c>
      <x:c r="D9" s="21" t="str">
        <x:v>freeze effect and burden packages</x:v>
      </x:c>
      <x:c r="E9" s="21" t="str">
        <x:v>eleven families</x:v>
      </x:c>
      <x:c r="F9" s="21" t="str">
        <x:v>solicitation envelopes</x:v>
      </x:c>
      <x:c r="G9" s="21" t="str">
        <x:v>planning</x:v>
      </x:c>
      <x:c r="H9" s="21" t="str">
        <x:v>physical design</x:v>
      </x:c>
      <x:c r="I9" s="21" t="str">
        <x:v>configuration authority</x:v>
      </x:c>
      <x:c r="J9" s="23" t="str">
        <x:v>accepted allocation</x:v>
      </x:c>
    </x:row>
    <x:row r="10">
      <x:c r="B10" s="21" t="str">
        <x:v>Requirement Register</x:v>
      </x:c>
      <x:c r="C10" s="21" t="str">
        <x:v>What cannot be traded?</x:v>
      </x:c>
      <x:c r="D10" s="21" t="str">
        <x:v>turn principles into hard questions</x:v>
      </x:c>
      <x:c r="E10" s="21" t="str">
        <x:v>family envelopes</x:v>
      </x:c>
      <x:c r="F10" s="21" t="str">
        <x:v>132 requirements</x:v>
      </x:c>
      <x:c r="G10" s="21" t="str">
        <x:v>OPEN</x:v>
      </x:c>
      <x:c r="H10" s="21" t="str">
        <x:v>gate closure</x:v>
      </x:c>
      <x:c r="I10" s="21" t="str">
        <x:v>requirements authority</x:v>
      </x:c>
      <x:c r="J10" s="23" t="str">
        <x:v>accepted evidence</x:v>
      </x:c>
    </x:row>
    <x:row r="11">
      <x:c r="B11" s="21" t="str">
        <x:v>Bid Register</x:v>
      </x:c>
      <x:c r="C11" s="21" t="str">
        <x:v>What rival roots are admitted?</x:v>
      </x:c>
      <x:c r="D11" s="21" t="str">
        <x:v>preserve mechanism diversity</x:v>
      </x:c>
      <x:c r="E11" s="21" t="str">
        <x:v>fictional archetypes</x:v>
      </x:c>
      <x:c r="F11" s="21" t="str">
        <x:v>33 proposals</x:v>
      </x:c>
      <x:c r="G11" s="21" t="str">
        <x:v>OPEN</x:v>
      </x:c>
      <x:c r="H11" s="21" t="str">
        <x:v>vendor availability</x:v>
      </x:c>
      <x:c r="I11" s="21" t="str">
        <x:v>source board</x:v>
      </x:c>
      <x:c r="J11" s="23" t="str">
        <x:v>market and paper evidence</x:v>
      </x:c>
    </x:row>
    <x:row r="12">
      <x:c r="B12" s="21" t="str">
        <x:v>Paper Gates</x:v>
      </x:c>
      <x:c r="C12" s="21" t="str">
        <x:v>Who may enter build consideration?</x:v>
      </x:c>
      <x:c r="D12" s="21" t="str">
        <x:v>enforce all-or-nothing boundary</x:v>
      </x:c>
      <x:c r="E12" s="21" t="str">
        <x:v>396 gate records</x:v>
      </x:c>
      <x:c r="F12" s="21" t="str">
        <x:v>pass/fail record</x:v>
      </x:c>
      <x:c r="G12" s="21" t="str">
        <x:v>paper only</x:v>
      </x:c>
      <x:c r="H12" s="21" t="str">
        <x:v>physical acceptance</x:v>
      </x:c>
      <x:c r="I12" s="21" t="str">
        <x:v>gate authority</x:v>
      </x:c>
      <x:c r="J12" s="23" t="str">
        <x:v>new disclosure</x:v>
      </x:c>
    </x:row>
    <x:row r="13">
      <x:c r="B13" s="21" t="str">
        <x:v>Merit Review</x:v>
      </x:c>
      <x:c r="C13" s="21" t="str">
        <x:v>How is learning value compared?</x:v>
      </x:c>
      <x:c r="D13" s="21" t="str">
        <x:v>rank only after hard gates</x:v>
      </x:c>
      <x:c r="E13" s="21" t="str">
        <x:v>198 judgments</x:v>
      </x:c>
      <x:c r="F13" s="21" t="str">
        <x:v>weighted score</x:v>
      </x:c>
      <x:c r="G13" s="21" t="str">
        <x:v>planning</x:v>
      </x:c>
      <x:c r="H13" s="21" t="str">
        <x:v>award finding</x:v>
      </x:c>
      <x:c r="I13" s="21" t="str">
        <x:v>merit panel</x:v>
      </x:c>
      <x:c r="J13" s="23" t="str">
        <x:v>registered review</x:v>
      </x:c>
    </x:row>
    <x:row r="14">
      <x:c r="B14" s="21" t="str">
        <x:v>Award Portfolio</x:v>
      </x:c>
      <x:c r="C14" s="21" t="str">
        <x:v>What options are reserved?</x:v>
      </x:c>
      <x:c r="D14" s="21" t="str">
        <x:v>fund 22 build and 11 challenge paths</x:v>
      </x:c>
      <x:c r="E14" s="21" t="str">
        <x:v>gates merit budget</x:v>
      </x:c>
      <x:c r="F14" s="21" t="str">
        <x:v>provisional portfolio</x:v>
      </x:c>
      <x:c r="G14" s="21" t="str">
        <x:v>HOLD</x:v>
      </x:c>
      <x:c r="H14" s="21" t="str">
        <x:v>contract award</x:v>
      </x:c>
      <x:c r="I14" s="21" t="str">
        <x:v>source authority</x:v>
      </x:c>
      <x:c r="J14" s="23" t="str">
        <x:v>gate and conflict closure</x:v>
      </x:c>
    </x:row>
    <x:row r="15">
      <x:c r="B15" s="21" t="str">
        <x:v>Root Independence</x:v>
      </x:c>
      <x:c r="C15" s="21" t="str">
        <x:v>Are paired build paths truly unlike?</x:v>
      </x:c>
      <x:c r="D15" s="21" t="str">
        <x:v>test independence below prime</x:v>
      </x:c>
      <x:c r="E15" s="21" t="str">
        <x:v>root disclosures</x:v>
      </x:c>
      <x:c r="F15" s="21" t="str">
        <x:v>11 pair decisions</x:v>
      </x:c>
      <x:c r="G15" s="21" t="str">
        <x:v>paper only</x:v>
      </x:c>
      <x:c r="H15" s="21" t="str">
        <x:v>supply independence</x:v>
      </x:c>
      <x:c r="I15" s="21" t="str">
        <x:v>industrial authority</x:v>
      </x:c>
      <x:c r="J15" s="23" t="str">
        <x:v>ancestry evidence</x:v>
      </x:c>
    </x:row>
    <x:row r="16">
      <x:c r="B16" s="21" t="str">
        <x:v>Rights Register</x:v>
      </x:c>
      <x:c r="C16" s="21" t="str">
        <x:v>Can failure be inspected and reproduced?</x:v>
      </x:c>
      <x:c r="D16" s="21" t="str">
        <x:v>attach rights to roots</x:v>
      </x:c>
      <x:c r="E16" s="21" t="str">
        <x:v>264 right records</x:v>
      </x:c>
      <x:c r="F16" s="21" t="str">
        <x:v>rights ledger</x:v>
      </x:c>
      <x:c r="G16" s="21" t="str">
        <x:v>OPEN</x:v>
      </x:c>
      <x:c r="H16" s="21" t="str">
        <x:v>rights delivery</x:v>
      </x:c>
      <x:c r="I16" s="21" t="str">
        <x:v>data-rights authority</x:v>
      </x:c>
      <x:c r="J16" s="23" t="str">
        <x:v>accepted instrument</x:v>
      </x:c>
    </x:row>
    <x:row r="17">
      <x:c r="B17" s="21" t="str">
        <x:v>Article Lots</x:v>
      </x:c>
      <x:c r="C17" s="21" t="str">
        <x:v>Are rival articles physically separated?</x:v>
      </x:c>
      <x:c r="D17" s="21" t="str">
        <x:v>preserve engineering destructive and protected lots</x:v>
      </x:c>
      <x:c r="E17" s="21" t="str">
        <x:v>66 lots</x:v>
      </x:c>
      <x:c r="F17" s="21" t="str">
        <x:v>254-article bank</x:v>
      </x:c>
      <x:c r="G17" s="21" t="str">
        <x:v>OPEN</x:v>
      </x:c>
      <x:c r="H17" s="21" t="str">
        <x:v>availability</x:v>
      </x:c>
      <x:c r="I17" s="21" t="str">
        <x:v>custody authority</x:v>
      </x:c>
      <x:c r="J17" s="23" t="str">
        <x:v>lot release</x:v>
      </x:c>
    </x:row>
    <x:row r="18">
      <x:c r="B18" s="21" t="str">
        <x:v>GFE Standards</x:v>
      </x:c>
      <x:c r="C18" s="21" t="str">
        <x:v>Who owns the definition of success?</x:v>
      </x:c>
      <x:c r="D18" s="21" t="str">
        <x:v>fund public evidence infrastructure</x:v>
      </x:c>
      <x:c r="E18" s="21" t="str">
        <x:v>15 standards</x:v>
      </x:c>
      <x:c r="F18" s="21" t="str">
        <x:v>USD 0.44B program</x:v>
      </x:c>
      <x:c r="G18" s="21" t="str">
        <x:v>OPEN</x:v>
      </x:c>
      <x:c r="H18" s="21" t="str">
        <x:v>calibration</x:v>
      </x:c>
      <x:c r="I18" s="21" t="str">
        <x:v>metrology authority</x:v>
      </x:c>
      <x:c r="J18" s="23" t="str">
        <x:v>accepted standard</x:v>
      </x:c>
    </x:row>
    <x:row r="19">
      <x:c r="B19" s="21" t="str">
        <x:v>Long Leads</x:v>
      </x:c>
      <x:c r="C19" s="21" t="str">
        <x:v>Can roots arrive without pre-freeze commitment?</x:v>
      </x:c>
      <x:c r="D19" s="21" t="str">
        <x:v>expose decisive reservations</x:v>
      </x:c>
      <x:c r="E19" s="21" t="str">
        <x:v>22 build paths</x:v>
      </x:c>
      <x:c r="F19" s="21" t="str">
        <x:v>order windows</x:v>
      </x:c>
      <x:c r="G19" s="21" t="str">
        <x:v>OPEN</x:v>
      </x:c>
      <x:c r="H19" s="21" t="str">
        <x:v>supplier capacity</x:v>
      </x:c>
      <x:c r="I19" s="21" t="str">
        <x:v>industrial authority</x:v>
      </x:c>
      <x:c r="J19" s="23" t="str">
        <x:v>accepted source</x:v>
      </x:c>
    </x:row>
    <x:row r="20">
      <x:c r="B20" s="21" t="str">
        <x:v>Milestones</x:v>
      </x:c>
      <x:c r="C20" s="21" t="str">
        <x:v>What earns payment?</x:v>
      </x:c>
      <x:c r="D20" s="21" t="str">
        <x:v>tie money to physical artifacts</x:v>
      </x:c>
      <x:c r="E20" s="21" t="str">
        <x:v>165 milestones</x:v>
      </x:c>
      <x:c r="F20" s="21" t="str">
        <x:v>artifact schedule</x:v>
      </x:c>
      <x:c r="G20" s="21" t="str">
        <x:v>HOLD</x:v>
      </x:c>
      <x:c r="H20" s="21" t="str">
        <x:v>payment authority</x:v>
      </x:c>
      <x:c r="I20" s="21" t="str">
        <x:v>acceptance authority</x:v>
      </x:c>
      <x:c r="J20" s="23" t="str">
        <x:v>artifact acceptance</x:v>
      </x:c>
    </x:row>
    <x:row r="21">
      <x:c r="B21" s="21" t="str">
        <x:v>Facility Reserve</x:v>
      </x:c>
      <x:c r="C21" s="21" t="str">
        <x:v>Can public ranges support rivalry?</x:v>
      </x:c>
      <x:c r="D21" s="21" t="str">
        <x:v>reserve independent capacity</x:v>
      </x:c>
      <x:c r="E21" s="21" t="str">
        <x:v>8 facilities x 9 years</x:v>
      </x:c>
      <x:c r="F21" s="21" t="str">
        <x:v>72 facility-years</x:v>
      </x:c>
      <x:c r="G21" s="21" t="str">
        <x:v>OPEN</x:v>
      </x:c>
      <x:c r="H21" s="21" t="str">
        <x:v>qualified capacity</x:v>
      </x:c>
      <x:c r="I21" s="21" t="str">
        <x:v>proving command</x:v>
      </x:c>
      <x:c r="J21" s="23" t="str">
        <x:v>facility evidence</x:v>
      </x:c>
    </x:row>
    <x:row r="22">
      <x:c r="B22" s="21" t="str">
        <x:v>Cost Phasing</x:v>
      </x:c>
      <x:c r="C22" s="21" t="str">
        <x:v>What does learning capacity cost?</x:v>
      </x:c>
      <x:c r="D22" s="21" t="str">
        <x:v>reconcile portfolio ceiling</x:v>
      </x:c>
      <x:c r="E22" s="21" t="str">
        <x:v>nine workstreams</x:v>
      </x:c>
      <x:c r="F22" s="21" t="str">
        <x:v>USD 6.8B</x:v>
      </x:c>
      <x:c r="G22" s="21" t="str">
        <x:v>planning</x:v>
      </x:c>
      <x:c r="H22" s="21" t="str">
        <x:v>appropriation or quote</x:v>
      </x:c>
      <x:c r="I22" s="21" t="str">
        <x:v>cost board</x:v>
      </x:c>
      <x:c r="J22" s="23" t="str">
        <x:v>price and scope evidence</x:v>
      </x:c>
    </x:row>
    <x:row r="23">
      <x:c r="B23" s="21" t="str">
        <x:v>Decision Gates</x:v>
      </x:c>
      <x:c r="C23" s="21" t="str">
        <x:v>What stops progression?</x:v>
      </x:c>
      <x:c r="D23" s="21" t="str">
        <x:v>separate paper build evidence production and form</x:v>
      </x:c>
      <x:c r="E23" s="21" t="str">
        <x:v>all registers</x:v>
      </x:c>
      <x:c r="F23" s="21" t="str">
        <x:v>16 hold points</x:v>
      </x:c>
      <x:c r="G23" s="21" t="str">
        <x:v>HOLD/BLOCKED</x:v>
      </x:c>
      <x:c r="H23" s="21" t="str">
        <x:v>authorization</x:v>
      </x:c>
      <x:c r="I23" s="21" t="str">
        <x:v>named gate owners</x:v>
      </x:c>
      <x:c r="J23" s="23" t="str">
        <x:v>accepted artifacts</x:v>
      </x:c>
    </x:row>
    <x:row r="24">
      <x:c r="B24" s="24" t="str">
        <x:v>Audit</x:v>
      </x:c>
      <x:c r="C24" s="24" t="str">
        <x:v>Is the model internally coherent?</x:v>
      </x:c>
      <x:c r="D24" s="24" t="str">
        <x:v>recalculate deterministic controls</x:v>
      </x:c>
      <x:c r="E24" s="24" t="str">
        <x:v>all sheets</x:v>
      </x:c>
      <x:c r="F24" s="24" t="str">
        <x:v>PASS/FAIL</x:v>
      </x:c>
      <x:c r="G24" s="24" t="str">
        <x:v>model only</x:v>
      </x:c>
      <x:c r="H24" s="24" t="str">
        <x:v>physical evidence</x:v>
      </x:c>
      <x:c r="I24" s="24" t="str">
        <x:v>model custodian</x:v>
      </x:c>
      <x:c r="J24" s="26" t="str">
        <x:v>formula or input change</x:v>
      </x:c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8" t="str">
        <x:v>Interpretation</x:v>
      </x:c>
      <x:c r="C27" s="29" t="str">
        <x:v>Interpretation</x:v>
      </x:c>
      <x:c r="D27" s="29" t="str">
        <x:v>Interpretation</x:v>
      </x:c>
      <x:c r="E27" s="29" t="str">
        <x:v>Interpretation</x:v>
      </x:c>
      <x:c r="F27" s="29" t="str">
        <x:v>Interpretation</x:v>
      </x:c>
      <x:c r="G27" s="29" t="str">
        <x:v>Interpretation</x:v>
      </x:c>
      <x:c r="H27" s="29" t="str">
        <x:v>Interpretation</x:v>
      </x:c>
      <x:c r="I27" s="29" t="str">
        <x:v>Interpretation</x:v>
      </x:c>
      <x:c r="J27" s="30" t="str">
        <x:v>Interpretation</x:v>
      </x:c>
    </x:row>
    <x:row r="28">
      <x:c r="B28" s="2" t="str">
        <x:v>The unit of procurement is a falsifiable learning path, not a platform promise.</x:v>
      </x:c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</x:row>
    <x:row r="29">
      <x:c r="B29" s="2" t="str">
        <x:v>A build award is an option on evidence. It is not an entitlement to continue, consolidate, or enter production.</x:v>
      </x:c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</x:row>
    <x:row r="30">
      <x:c r="B30" s="2" t="str">
        <x:v>Challenge contracts are structurally protected dissent: one failed gate, one bounded experiment, and no waiver.</x:v>
      </x:c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</x:row>
    <x:row r="31">
      <x:c r="B31" s="2" t="str">
        <x:v>The government owns standards, custody, destructive access, interfaces, and reproduction rights so competition can survive the first award.</x:v>
      </x:c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</x:row>
    <x:row r="32">
      <x:c r="B32" s="2" t="str">
        <x:v>No technical rendering is authorized in this pass; measured sections and accepted burden paths must precede exterior form.</x:v>
      </x:c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</x:row>
    <x:row r="33">
      <x:c r="B33" s="2" t="str">
        <x:v>Next pass: scale this experiment into a Department of Resilience acquisition and industrial-mobilization command.</x:v>
      </x:c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</x:row>
    <x:row r="34">
      <x:c r="B34" s="2" t="str">
        <x:v>All archetypes, scores, costs, dates, and capacities are declared planning constructs unless replaced by accepted evidence.</x:v>
      </x:c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mergeCells>
    <x:mergeCell ref="B3:J3"/>
    <x:mergeCell ref="B27:J27"/>
  </x:mergeCells>
  <x:conditionalFormatting sqref="G7:G24">
    <x:cfRule type="containsText" dxfId="70" priority="1" operator="containsText" text="OPEN"/>
    <x:cfRule type="containsText" dxfId="71" priority="2" operator="containsText" text="HOLD"/>
    <x:cfRule type="containsText" dxfId="72" priority="3" operator="containsText" text="BLOCKED"/>
    <x:cfRule type="containsText" dxfId="73" priority="4" operator="containsText" text="CHALLENGE ONLY"/>
    <x:cfRule type="containsText" dxfId="74" priority="5" operator="containsText" text="FAIL"/>
  </x:conditionalFormatting>
  <x:pageMargins left="0.7" right="0.7" top="0.75" bottom="0.75" header="0.3" footer="0.3"/>
</x:worksheet>
</file>