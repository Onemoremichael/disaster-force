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f320efea9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0a8545abe84d69"/>
    <x:sheet xmlns:r="http://schemas.openxmlformats.org/officeDocument/2006/relationships" name="Assumptions" sheetId="2" r:id="R090e788038f542bd"/>
    <x:sheet xmlns:r="http://schemas.openxmlformats.org/officeDocument/2006/relationships" name="Evidence Constitution" sheetId="3" r:id="R4979c0b5768d4805"/>
    <x:sheet xmlns:r="http://schemas.openxmlformats.org/officeDocument/2006/relationships" name="Article Fleet" sheetId="4" r:id="R42c3853586b043d5"/>
    <x:sheet xmlns:r="http://schemas.openxmlformats.org/officeDocument/2006/relationships" name="Facility Network" sheetId="5" r:id="R19111abdd2364258"/>
    <x:sheet xmlns:r="http://schemas.openxmlformats.org/officeDocument/2006/relationships" name="Gate Assignment" sheetId="6" r:id="R24f4309efa7a45de"/>
    <x:sheet xmlns:r="http://schemas.openxmlformats.org/officeDocument/2006/relationships" name="Campaign DAG" sheetId="7" r:id="R2975a74d729e4252"/>
    <x:sheet xmlns:r="http://schemas.openxmlformats.org/officeDocument/2006/relationships" name="Range Capacity" sheetId="8" r:id="Rad142363f9324954"/>
    <x:sheet xmlns:r="http://schemas.openxmlformats.org/officeDocument/2006/relationships" name="Mission Matrix" sheetId="9" r:id="Rd44ec2a3e2b94f61"/>
    <x:sheet xmlns:r="http://schemas.openxmlformats.org/officeDocument/2006/relationships" name="Workforce" sheetId="10" r:id="R13a0f766d9b84023"/>
    <x:sheet xmlns:r="http://schemas.openxmlformats.org/officeDocument/2006/relationships" name="Program Cost" sheetId="11" r:id="Rcb188f26226740ba"/>
    <x:sheet xmlns:r="http://schemas.openxmlformats.org/officeDocument/2006/relationships" name="Decision Gates" sheetId="12" r:id="R361ae0250e7a475b"/>
    <x:sheet xmlns:r="http://schemas.openxmlformats.org/officeDocument/2006/relationships" name="Audit" sheetId="13" r:id="R2a46c24cd4764980"/>
    <x:sheet xmlns:r="http://schemas.openxmlformats.org/officeDocument/2006/relationships" name="ReadMe" sheetId="14" r:id="R353aef0c7c3c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10" xfId="0" applyNumberFormat="1" applyFont="1" applyFill="1" applyBorder="1" applyAlignment="1">
      <x:alignment vertical="center" wrapText="1"/>
    </x:xf>
    <x:xf numFmtId="202" fontId="1" fillId="0" borderId="10" xfId="0" applyNumberFormat="1" applyFont="1" applyFill="1" applyBorder="1" applyAlignment="1">
      <x:alignment vertical="center" wrapText="1"/>
    </x:xf>
    <x:xf numFmtId="201" fontId="1" fillId="0" borderId="12" xfId="0" applyNumberFormat="1" applyFont="1" applyFill="1" applyBorder="1" applyAlignment="1">
      <x:alignment vertical="center" wrapText="1"/>
    </x:xf>
    <x:xf numFmtId="202" fontId="1" fillId="0" borderId="1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0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3367dbb194557" /><Relationship Type="http://schemas.openxmlformats.org/officeDocument/2006/relationships/theme" Target="/xl/theme/theme1.xml" Id="Rdc39d8208251449d" /><Relationship Type="http://schemas.openxmlformats.org/officeDocument/2006/relationships/sharedStrings" Target="/xl/sharedStrings.xml" Id="R69065bd4bbef45bb" /><Relationship Type="http://schemas.openxmlformats.org/officeDocument/2006/relationships/worksheet" Target="/xl/worksheets/sheet1.xml" Id="Ra90a8545abe84d69" /><Relationship Type="http://schemas.openxmlformats.org/officeDocument/2006/relationships/worksheet" Target="/xl/worksheets/sheet2.xml" Id="R090e788038f542bd" /><Relationship Type="http://schemas.openxmlformats.org/officeDocument/2006/relationships/worksheet" Target="/xl/worksheets/sheet3.xml" Id="R4979c0b5768d4805" /><Relationship Type="http://schemas.openxmlformats.org/officeDocument/2006/relationships/worksheet" Target="/xl/worksheets/sheet4.xml" Id="R42c3853586b043d5" /><Relationship Type="http://schemas.openxmlformats.org/officeDocument/2006/relationships/worksheet" Target="/xl/worksheets/sheet5.xml" Id="R19111abdd2364258" /><Relationship Type="http://schemas.openxmlformats.org/officeDocument/2006/relationships/worksheet" Target="/xl/worksheets/sheet6.xml" Id="R24f4309efa7a45de" /><Relationship Type="http://schemas.openxmlformats.org/officeDocument/2006/relationships/worksheet" Target="/xl/worksheets/sheet7.xml" Id="R2975a74d729e4252" /><Relationship Type="http://schemas.openxmlformats.org/officeDocument/2006/relationships/worksheet" Target="/xl/worksheets/sheet8.xml" Id="Rad142363f9324954" /><Relationship Type="http://schemas.openxmlformats.org/officeDocument/2006/relationships/worksheet" Target="/xl/worksheets/sheet9.xml" Id="Rd44ec2a3e2b94f61" /><Relationship Type="http://schemas.openxmlformats.org/officeDocument/2006/relationships/worksheet" Target="/xl/worksheets/sheet10.xml" Id="R13a0f766d9b84023" /><Relationship Type="http://schemas.openxmlformats.org/officeDocument/2006/relationships/worksheet" Target="/xl/worksheets/sheet11.xml" Id="Rcb188f26226740ba" /><Relationship Type="http://schemas.openxmlformats.org/officeDocument/2006/relationships/worksheet" Target="/xl/worksheets/sheet12.xml" Id="R361ae0250e7a475b" /><Relationship Type="http://schemas.openxmlformats.org/officeDocument/2006/relationships/worksheet" Target="/xl/worksheets/sheet13.xml" Id="R2a46c24cd4764980" /><Relationship Type="http://schemas.openxmlformats.org/officeDocument/2006/relationships/worksheet" Target="/xl/worksheets/sheet14.xml" Id="R353aef0c7c3c4d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4" hidden="0" customWidth="1"/>
    <x:col min="3" max="3" width="85" hidden="0" customWidth="1"/>
    <x:col min="4" max="4" width="16" hidden="0" customWidth="1"/>
    <x:col min="5" max="5" width="16" hidden="0" customWidth="1"/>
    <x:col min="6" max="6" width="3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>
      <x:c r="B2" s="4" t="str">
        <x:v>CSAC-1 compound service article campaign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B3" s="5" t="str">
        <x:v>Current answer: build a sovereign proving service before selecting an exterior vehicle form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B6" s="9" t="str">
        <x:v>Executive decision record</x:v>
      </x:c>
      <x:c r="C6" s="10" t="str">
        <x:v>Executive decision record</x:v>
      </x:c>
      <x:c r="D6" s="10" t="str">
        <x:v>Executive decision record</x:v>
      </x:c>
      <x:c r="E6" s="10" t="str">
        <x:v>Executive decision record</x:v>
      </x:c>
      <x:c r="F6" s="10" t="str">
        <x:v>Executive decision record</x:v>
      </x:c>
      <x:c r="G6" s="10" t="str">
        <x:v>Executive decision record</x:v>
      </x:c>
      <x:c r="H6" s="10" t="str">
        <x:v>Executive decision record</x:v>
      </x:c>
      <x:c r="I6" s="10" t="str">
        <x:v>Executive decision record</x:v>
      </x:c>
      <x:c r="J6" s="10" t="str">
        <x:v>Executive decision record</x:v>
      </x:c>
      <x:c r="K6" s="10" t="str">
        <x:v>Executive decision record</x:v>
      </x:c>
      <x:c r="L6" s="10" t="str">
        <x:v>Executive decision record</x:v>
      </x:c>
      <x:c r="M6" s="10" t="str">
        <x:v>Executive decision record</x:v>
      </x:c>
      <x:c r="N6" s="11" t="str">
        <x:v>Executive decision record</x:v>
      </x:c>
    </x:row>
    <x:row r="7">
      <x:c r="B7" s="17" t="str">
        <x:v>Question</x:v>
      </x:c>
      <x:c r="C7" s="18" t="str">
        <x:v>Current answer</x:v>
      </x:c>
      <x:c r="D7" s="18" t="str">
        <x:v>Model state</x:v>
      </x:c>
      <x:c r="E7" s="18" t="str">
        <x:v>Evidence state</x:v>
      </x:c>
      <x:c r="F7" s="19" t="str">
        <x:v>Consequence</x:v>
      </x:c>
      <x:c r="G7" s="3"/>
      <x:c r="H7" s="3"/>
      <x:c r="I7" s="3"/>
      <x:c r="J7" s="3"/>
      <x:c r="K7" s="3"/>
      <x:c r="L7" s="3"/>
      <x:c r="M7" s="3"/>
      <x:c r="N7" s="3"/>
    </x:row>
    <x:row r="8">
      <x:c r="B8" s="3" t="str">
        <x:v>What is selected?</x:v>
      </x:c>
      <x:c r="C8" s="3" t="str">
        <x:v>C3: four paired range classes, separate qualification and mission article banks, and a permanent Service Systems Proving Command</x:v>
      </x:c>
      <x:c r="D8" s="3" t="str">
        <x:v>PASS</x:v>
      </x:c>
      <x:c r="E8" s="3" t="str">
        <x:v>OPEN</x:v>
      </x:c>
      <x:c r="F8" s="3" t="str">
        <x:v>campaign architecture selected; fleet architecture not selected</x:v>
      </x:c>
      <x:c r="G8" s="3"/>
      <x:c r="H8" s="3"/>
      <x:c r="I8" s="3"/>
      <x:c r="J8" s="3"/>
      <x:c r="K8" s="3"/>
      <x:c r="L8" s="3"/>
      <x:c r="M8" s="3"/>
      <x:c r="N8" s="3"/>
    </x:row>
    <x:row r="9">
      <x:c r="B9" s="3" t="str">
        <x:v>How many articles?</x:v>
      </x:c>
      <x:c r="C9" s="3" t="str">
        <x:v>480 development tiles: 240 protected qualification plus 240 mission and attrition; 6156 total tile inventory</x:v>
      </x:c>
      <x:c r="D9" s="3" t="str">
        <x:v>PASS</x:v>
      </x:c>
      <x:c r="E9" s="3" t="str">
        <x:v>OPEN</x:v>
      </x:c>
      <x:c r="F9" s="3" t="str">
        <x:v>corrects Pass 89 development double use</x:v>
      </x:c>
      <x:c r="G9" s="3"/>
      <x:c r="H9" s="3"/>
      <x:c r="I9" s="3"/>
      <x:c r="J9" s="3"/>
      <x:c r="K9" s="3"/>
      <x:c r="L9" s="3"/>
      <x:c r="M9" s="3"/>
      <x:c r="N9" s="3"/>
    </x:row>
    <x:row r="10">
      <x:c r="B10" s="3" t="str">
        <x:v>How much full-mission evidence?</x:v>
      </x:c>
      <x:c r="C10" s="3" t="str">
        <x:v>200 registered missions: 176 admitted-claim repetitions, 8 boundary probes and 16 blinded defects</x:v>
      </x:c>
      <x:c r="D10" s="3" t="str">
        <x:v>PASS</x:v>
      </x:c>
      <x:c r="E10" s="3" t="str">
        <x:v>OPEN</x:v>
      </x:c>
      <x:c r="F10" s="3" t="str">
        <x:v>coverage is not a probability claim</x:v>
      </x:c>
      <x:c r="G10" s="3"/>
      <x:c r="H10" s="3"/>
      <x:c r="I10" s="3"/>
      <x:c r="J10" s="3"/>
      <x:c r="K10" s="3"/>
      <x:c r="L10" s="3"/>
      <x:c r="M10" s="3"/>
      <x:c r="N10" s="3"/>
    </x:row>
    <x:row r="11">
      <x:c r="B11" s="3" t="str">
        <x:v>Can the terrain clock be trusted?</x:v>
      </x:c>
      <x:c r="C11" s="3" t="str">
        <x:v>No. 53.569 h leaves only 0.181 h against the 53.75 h evidence threshold</x:v>
      </x:c>
      <x:c r="D11" s="3" t="str">
        <x:v>PASS</x:v>
      </x:c>
      <x:c r="E11" s="3" t="str">
        <x:v>OPEN</x:v>
      </x:c>
      <x:c r="F11" s="3" t="str">
        <x:v>terrain architecture remains the critical falsification target</x:v>
      </x:c>
      <x:c r="G11" s="3"/>
      <x:c r="H11" s="3"/>
      <x:c r="I11" s="3"/>
      <x:c r="J11" s="3"/>
      <x:c r="K11" s="3"/>
      <x:c r="L11" s="3"/>
      <x:c r="M11" s="3"/>
      <x:c r="N11" s="3"/>
    </x:row>
    <x:row r="12">
      <x:c r="B12" s="3" t="str">
        <x:v>What institution owns proof?</x:v>
      </x:c>
      <x:c r="C12" s="3" t="str">
        <x:v>Service Systems Proving Command inside the National Resilience Proving Network</x:v>
      </x:c>
      <x:c r="D12" s="3" t="str">
        <x:v>PASS</x:v>
      </x:c>
      <x:c r="E12" s="3" t="str">
        <x:v>OPEN</x:v>
      </x:c>
      <x:c r="F12" s="3" t="str">
        <x:v>builder, operator, evidence and civil authorities remain separate</x:v>
      </x:c>
      <x:c r="G12" s="3"/>
      <x:c r="H12" s="3"/>
      <x:c r="I12" s="3"/>
      <x:c r="J12" s="3"/>
      <x:c r="K12" s="3"/>
      <x:c r="L12" s="3"/>
      <x:c r="M12" s="3"/>
      <x:c r="N12" s="3"/>
    </x:row>
    <x:row r="13">
      <x:c r="B13" s="3" t="str">
        <x:v>What does it cost?</x:v>
      </x:c>
      <x:c r="C13" s="3" t="str">
        <x:v>USD 1.050 trillion allocated from the existing technology portfolio; no new national authorization in this pass</x:v>
      </x:c>
      <x:c r="D13" s="3" t="str">
        <x:v>PASS</x:v>
      </x:c>
      <x:c r="E13" s="3" t="str">
        <x:v>OPEN</x:v>
      </x:c>
      <x:c r="F13" s="3" t="str">
        <x:v>reopen if bottom-up quotes exceed allocation</x:v>
      </x:c>
      <x:c r="G13" s="3"/>
      <x:c r="H13" s="3"/>
      <x:c r="I13" s="3"/>
      <x:c r="J13" s="3"/>
      <x:c r="K13" s="3"/>
      <x:c r="L13" s="3"/>
      <x:c r="M13" s="3"/>
      <x:c r="N13" s="3"/>
    </x:row>
    <x:row r="14">
      <x:c r="B14" s="3" t="str">
        <x:v>May production start?</x:v>
      </x:c>
      <x:c r="C14" s="3" t="str">
        <x:v>No</x:v>
      </x:c>
      <x:c r="D14" s="3" t="str">
        <x:v>PASS</x:v>
      </x:c>
      <x:c r="E14" s="3" t="str">
        <x:v>OPEN</x:v>
      </x:c>
      <x:c r="F14" s="3" t="str">
        <x:v>production HOLD until independent G8 closure</x:v>
      </x:c>
      <x:c r="G14" s="3"/>
      <x:c r="H14" s="3"/>
      <x:c r="I14" s="3"/>
      <x:c r="J14" s="3"/>
      <x:c r="K14" s="3"/>
      <x:c r="L14" s="3"/>
      <x:c r="M14" s="3"/>
      <x:c r="N14" s="3"/>
    </x:row>
    <x:row r="15">
      <x:c r="B15" s="3" t="str">
        <x:v>May exterior rendering start?</x:v>
      </x:c>
      <x:c r="C15" s="3" t="str">
        <x:v>No</x:v>
      </x:c>
      <x:c r="D15" s="3" t="str">
        <x:v>PASS</x:v>
      </x:c>
      <x:c r="E15" s="3" t="str">
        <x:v>OPEN</x:v>
      </x:c>
      <x:c r="F15" s="3" t="str">
        <x:v>rendering BLOCKED until physical envelope closure</x:v>
      </x:c>
      <x:c r="G15" s="3"/>
      <x:c r="H15" s="3"/>
      <x:c r="I15" s="3"/>
      <x:c r="J15" s="3"/>
      <x:c r="K15" s="3"/>
      <x:c r="L15" s="3"/>
      <x:c r="M15" s="3"/>
      <x:c r="N15" s="3"/>
    </x:row>
    <x:row r="16"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B18" s="9" t="str">
        <x:v>Campaign quantities</x:v>
      </x:c>
      <x:c r="C18" s="10" t="str">
        <x:v>Campaign quantities</x:v>
      </x:c>
      <x:c r="D18" s="10" t="str">
        <x:v>Campaign quantities</x:v>
      </x:c>
      <x:c r="E18" s="10" t="str">
        <x:v>Campaign quantities</x:v>
      </x:c>
      <x:c r="F18" s="10" t="str">
        <x:v>Campaign quantities</x:v>
      </x:c>
      <x:c r="G18" s="10" t="str">
        <x:v>Campaign quantities</x:v>
      </x:c>
      <x:c r="H18" s="10" t="str">
        <x:v>Campaign quantities</x:v>
      </x:c>
      <x:c r="I18" s="10" t="str">
        <x:v>Campaign quantities</x:v>
      </x:c>
      <x:c r="J18" s="10" t="str">
        <x:v>Campaign quantities</x:v>
      </x:c>
      <x:c r="K18" s="10" t="str">
        <x:v>Campaign quantities</x:v>
      </x:c>
      <x:c r="L18" s="10" t="str">
        <x:v>Campaign quantities</x:v>
      </x:c>
      <x:c r="M18" s="10" t="str">
        <x:v>Campaign quantities</x:v>
      </x:c>
      <x:c r="N18" s="11" t="str">
        <x:v>Campaign quantities</x:v>
      </x:c>
    </x:row>
    <x:row r="19">
      <x:c r="B19" s="17" t="str">
        <x:v>Measure</x:v>
      </x:c>
      <x:c r="C19" s="18" t="str">
        <x:v>Value</x:v>
      </x:c>
      <x:c r="D19" s="18" t="str">
        <x:v>Unit</x:v>
      </x:c>
      <x:c r="E19" s="18" t="str">
        <x:v>Control</x:v>
      </x:c>
      <x:c r="F19" s="19" t="str">
        <x:v>Result</x:v>
      </x:c>
      <x:c r="G19" s="3"/>
      <x:c r="H19" s="3"/>
      <x:c r="I19" s="3"/>
      <x:c r="J19" s="3"/>
      <x:c r="K19" s="3"/>
      <x:c r="L19" s="3"/>
      <x:c r="M19" s="3"/>
      <x:c r="N19" s="3"/>
    </x:row>
    <x:row r="20">
      <x:c r="B20" s="3" t="str">
        <x:v>Campaigns</x:v>
      </x:c>
      <x:c r="C20" s="3" t="n">
        <x:f>Assumptions!C10</x:f>
        <x:v>25</x:v>
      </x:c>
      <x:c r="D20" s="3" t="str">
        <x:v>campaigns</x:v>
      </x:c>
      <x:c r="E20" s="3" t="n">
        <x:v>25</x:v>
      </x:c>
      <x:c r="F20" s="3" t="str">
        <x:f>IF(C20=E20,"PASS","FAIL")</x:f>
        <x:v>PASS</x:v>
      </x:c>
      <x:c r="G20" s="3"/>
      <x:c r="H20" s="3"/>
      <x:c r="I20" s="3"/>
      <x:c r="J20" s="3"/>
      <x:c r="K20" s="3"/>
      <x:c r="L20" s="3"/>
      <x:c r="M20" s="3"/>
      <x:c r="N20" s="3"/>
    </x:row>
    <x:row r="21">
      <x:c r="B21" s="3" t="str">
        <x:v>Evidence gates</x:v>
      </x:c>
      <x:c r="C21" s="3" t="n">
        <x:f>Assumptions!C12</x:f>
        <x:v>200</x:v>
      </x:c>
      <x:c r="D21" s="3" t="str">
        <x:v>gates</x:v>
      </x:c>
      <x:c r="E21" s="3" t="n">
        <x:v>200</x:v>
      </x:c>
      <x:c r="F21" s="3" t="str">
        <x:f>IF(C21=E21,"PASS","FAIL")</x:f>
        <x:v>PASS</x:v>
      </x:c>
      <x:c r="G21" s="3"/>
      <x:c r="H21" s="3"/>
      <x:c r="I21" s="3"/>
      <x:c r="J21" s="3"/>
      <x:c r="K21" s="3"/>
      <x:c r="L21" s="3"/>
      <x:c r="M21" s="3"/>
      <x:c r="N21" s="3"/>
    </x:row>
    <x:row r="22">
      <x:c r="B22" s="3" t="str">
        <x:v>Full missions</x:v>
      </x:c>
      <x:c r="C22" s="3" t="n">
        <x:f>SUM('Mission Matrix'!G7:G74)</x:f>
        <x:v>200</x:v>
      </x:c>
      <x:c r="D22" s="3" t="str">
        <x:v>missions</x:v>
      </x:c>
      <x:c r="E22" s="3" t="n">
        <x:v>200</x:v>
      </x:c>
      <x:c r="F22" s="3" t="str">
        <x:f>IF(C22=E22,"PASS","FAIL")</x:f>
        <x:v>PASS</x:v>
      </x:c>
      <x:c r="G22" s="3"/>
      <x:c r="H22" s="3"/>
      <x:c r="I22" s="3"/>
      <x:c r="J22" s="3"/>
      <x:c r="K22" s="3"/>
      <x:c r="L22" s="3"/>
      <x:c r="M22" s="3"/>
      <x:c r="N22" s="3"/>
    </x:row>
    <x:row r="23">
      <x:c r="B23" s="3" t="str">
        <x:v>Development tiles</x:v>
      </x:c>
      <x:c r="C23" s="3" t="n">
        <x:f>'Article Fleet'!C25</x:f>
        <x:v>480</x:v>
      </x:c>
      <x:c r="D23" s="3" t="str">
        <x:v>tiles</x:v>
      </x:c>
      <x:c r="E23" s="3" t="n">
        <x:v>480</x:v>
      </x:c>
      <x:c r="F23" s="3" t="str">
        <x:f>IF(C23=E23,"PASS","FAIL")</x:f>
        <x:v>PASS</x:v>
      </x:c>
      <x:c r="G23" s="3"/>
      <x:c r="H23" s="3"/>
      <x:c r="I23" s="3"/>
      <x:c r="J23" s="3"/>
      <x:c r="K23" s="3"/>
      <x:c r="L23" s="3"/>
      <x:c r="M23" s="3"/>
      <x:c r="N23" s="3"/>
    </x:row>
    <x:row r="24">
      <x:c r="B24" s="3" t="str">
        <x:v>Total tile inventory</x:v>
      </x:c>
      <x:c r="C24" s="3" t="n">
        <x:f>'Article Fleet'!C26</x:f>
        <x:v>6156</x:v>
      </x:c>
      <x:c r="D24" s="3" t="str">
        <x:v>tiles</x:v>
      </x:c>
      <x:c r="E24" s="3" t="n">
        <x:v>6156</x:v>
      </x:c>
      <x:c r="F24" s="3" t="str">
        <x:f>IF(C24=E24,"PASS","FAIL")</x:f>
        <x:v>PASS</x:v>
      </x:c>
      <x:c r="G24" s="3"/>
      <x:c r="H24" s="3"/>
      <x:c r="I24" s="3"/>
      <x:c r="J24" s="3"/>
      <x:c r="K24" s="3"/>
      <x:c r="L24" s="3"/>
      <x:c r="M24" s="3"/>
      <x:c r="N24" s="3"/>
    </x:row>
    <x:row r="25">
      <x:c r="B25" s="3" t="str">
        <x:v>Paired range classes</x:v>
      </x:c>
      <x:c r="C25" s="3" t="n">
        <x:f>Assumptions!C30</x:f>
        <x:v>4</x:v>
      </x:c>
      <x:c r="D25" s="3" t="str">
        <x:v>ranges</x:v>
      </x:c>
      <x:c r="E25" s="3" t="n">
        <x:v>4</x:v>
      </x:c>
      <x:c r="F25" s="3" t="str">
        <x:f>IF(C25=E25,"PASS","FAIL")</x:f>
        <x:v>PASS</x:v>
      </x:c>
      <x:c r="G25" s="3"/>
      <x:c r="H25" s="3"/>
      <x:c r="I25" s="3"/>
      <x:c r="J25" s="3"/>
      <x:c r="K25" s="3"/>
      <x:c r="L25" s="3"/>
      <x:c r="M25" s="3"/>
      <x:c r="N25" s="3"/>
    </x:row>
    <x:row r="26">
      <x:c r="B26" s="3" t="str">
        <x:v>Direct workforce</x:v>
      </x:c>
      <x:c r="C26" s="3" t="n">
        <x:f>'Workforce'!C19</x:f>
        <x:v>24000</x:v>
      </x:c>
      <x:c r="D26" s="3" t="str">
        <x:v>people</x:v>
      </x:c>
      <x:c r="E26" s="3" t="n">
        <x:v>24000</x:v>
      </x:c>
      <x:c r="F26" s="3" t="str">
        <x:f>IF(C26=E26,"PASS","FAIL")</x:f>
        <x:v>PASS</x:v>
      </x:c>
      <x:c r="G26" s="3"/>
      <x:c r="H26" s="3"/>
      <x:c r="I26" s="3"/>
      <x:c r="J26" s="3"/>
      <x:c r="K26" s="3"/>
      <x:c r="L26" s="3"/>
      <x:c r="M26" s="3"/>
      <x:c r="N26" s="3"/>
    </x:row>
    <x:row r="27">
      <x:c r="B27" s="3" t="str">
        <x:v>Technology portfolio</x:v>
      </x:c>
      <x:c r="C27" s="3" t="n">
        <x:f>'Program Cost'!C18</x:f>
        <x:v>1050</x:v>
      </x:c>
      <x:c r="D27" s="3" t="str">
        <x:v>USD billions</x:v>
      </x:c>
      <x:c r="E27" s="3" t="n">
        <x:v>1050</x:v>
      </x:c>
      <x:c r="F27" s="3" t="str">
        <x:f>IF(C27=E27,"PASS","FAIL")</x:f>
        <x:v>PASS</x:v>
      </x:c>
      <x:c r="G27" s="3"/>
      <x:c r="H27" s="3"/>
      <x:c r="I27" s="3"/>
      <x:c r="J27" s="3"/>
      <x:c r="K27" s="3"/>
      <x:c r="L27" s="3"/>
      <x:c r="M27" s="3"/>
      <x:c r="N27" s="3"/>
    </x:row>
    <x:row r="28">
      <x:c r="B28" s="3" t="str">
        <x:v>Deterministic controls</x:v>
      </x:c>
      <x:c r="C28" s="3" t="n">
        <x:f>COUNTA(Audit!B7:B374)</x:f>
        <x:v>368</x:v>
      </x:c>
      <x:c r="D28" s="3" t="str">
        <x:v>controls</x:v>
      </x:c>
      <x:c r="E28" s="3" t="n">
        <x:v>368</x:v>
      </x:c>
      <x:c r="F28" s="3" t="str">
        <x:f>IF(C28=E28,"PASS","FAIL")</x:f>
        <x:v>PASS</x:v>
      </x:c>
      <x:c r="G28" s="3"/>
      <x:c r="H28" s="3"/>
      <x:c r="I28" s="3"/>
      <x:c r="J28" s="3"/>
      <x:c r="K28" s="3"/>
      <x:c r="L28" s="3"/>
      <x:c r="M28" s="3"/>
      <x:c r="N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B31" s="9" t="str">
        <x:v>Interpretation boundary</x:v>
      </x:c>
      <x:c r="C31" s="10" t="str">
        <x:v>Interpretation boundary</x:v>
      </x:c>
      <x:c r="D31" s="10" t="str">
        <x:v>Interpretation boundary</x:v>
      </x:c>
      <x:c r="E31" s="10" t="str">
        <x:v>Interpretation boundary</x:v>
      </x:c>
      <x:c r="F31" s="10" t="str">
        <x:v>Interpretation boundary</x:v>
      </x:c>
      <x:c r="G31" s="10" t="str">
        <x:v>Interpretation boundary</x:v>
      </x:c>
      <x:c r="H31" s="10" t="str">
        <x:v>Interpretation boundary</x:v>
      </x:c>
      <x:c r="I31" s="10" t="str">
        <x:v>Interpretation boundary</x:v>
      </x:c>
      <x:c r="J31" s="10" t="str">
        <x:v>Interpretation boundary</x:v>
      </x:c>
      <x:c r="K31" s="10" t="str">
        <x:v>Interpretation boundary</x:v>
      </x:c>
      <x:c r="L31" s="10" t="str">
        <x:v>Interpretation boundary</x:v>
      </x:c>
      <x:c r="M31" s="10" t="str">
        <x:v>Interpretation boundary</x:v>
      </x:c>
      <x:c r="N31" s="11" t="str">
        <x:v>Interpretation boundary</x:v>
      </x:c>
    </x:row>
    <x:row r="32">
      <x:c r="B32" s="39" t="str">
        <x:v>This workbook selects a proving architecture, not ESK-40V production geometry.</x:v>
      </x:c>
      <x:c r="C32" s="3" t="str"/>
      <x:c r="D32" s="3" t="str"/>
      <x:c r="E32" s="3" t="str"/>
      <x:c r="F32" s="3" t="str"/>
      <x:c r="G32" s="3" t="str"/>
      <x:c r="H32" s="3" t="str"/>
      <x:c r="I32" s="3" t="str"/>
      <x:c r="J32" s="3" t="str"/>
      <x:c r="K32" s="3" t="str"/>
      <x:c r="L32" s="3" t="str"/>
      <x:c r="M32" s="3" t="str"/>
      <x:c r="N32" s="3" t="str"/>
    </x:row>
    <x:row r="33">
      <x:c r="B33" s="39" t="str">
        <x:v>PASS means a deterministic model relationship reconciles; OPEN means physical evidence has not been earned.</x:v>
      </x:c>
      <x:c r="C33" s="3" t="str"/>
      <x:c r="D33" s="3" t="str"/>
      <x:c r="E33" s="3" t="str"/>
      <x:c r="F33" s="3" t="str"/>
      <x:c r="G33" s="3" t="str"/>
      <x:c r="H33" s="3" t="str"/>
      <x:c r="I33" s="3" t="str"/>
      <x:c r="J33" s="3" t="str"/>
      <x:c r="K33" s="3" t="str"/>
      <x:c r="L33" s="3" t="str"/>
      <x:c r="M33" s="3" t="str"/>
      <x:c r="N33" s="3" t="str"/>
    </x:row>
    <x:row r="34">
      <x:c r="B34" s="39" t="str">
        <x:v>The four range labels are environmental classes, not geographic siting decisions.</x:v>
      </x:c>
      <x:c r="C34" s="3" t="str"/>
      <x:c r="D34" s="3" t="str"/>
      <x:c r="E34" s="3" t="str"/>
      <x:c r="F34" s="3" t="str"/>
      <x:c r="G34" s="3" t="str"/>
      <x:c r="H34" s="3" t="str"/>
      <x:c r="I34" s="3" t="str"/>
      <x:c r="J34" s="3" t="str"/>
      <x:c r="K34" s="3" t="str"/>
      <x:c r="L34" s="3" t="str"/>
      <x:c r="M34" s="3" t="str"/>
      <x:c r="N34" s="3" t="str"/>
    </x:row>
    <x:row r="35">
      <x:c r="B35" s="39" t="str">
        <x:v>The USD 1.050 trillion allocation is nested inside Pass 89 and cannot be added again to national totals.</x:v>
      </x:c>
      <x:c r="C35" s="3" t="str"/>
      <x:c r="D35" s="3" t="str"/>
      <x:c r="E35" s="3" t="str"/>
      <x:c r="F35" s="3" t="str"/>
      <x:c r="G35" s="3" t="str"/>
      <x:c r="H35" s="3" t="str"/>
      <x:c r="I35" s="3" t="str"/>
      <x:c r="J35" s="3" t="str"/>
      <x:c r="K35" s="3" t="str"/>
      <x:c r="L35" s="3" t="str"/>
      <x:c r="M35" s="3" t="str"/>
      <x:c r="N35" s="3" t="str"/>
    </x:row>
    <x:row r="36">
      <x:c r="B36" s="39" t="str">
        <x:v>The terrain service clock is inside the absolute deadline but only 0.181 h inside the campaign guardband.</x:v>
      </x:c>
      <x:c r="C36" s="3" t="str"/>
      <x:c r="D36" s="3" t="str"/>
      <x:c r="E36" s="3" t="str"/>
      <x:c r="F36" s="3" t="str"/>
      <x:c r="G36" s="3" t="str"/>
      <x:c r="H36" s="3" t="str"/>
      <x:c r="I36" s="3" t="str"/>
      <x:c r="J36" s="3" t="str"/>
      <x:c r="K36" s="3" t="str"/>
      <x:c r="L36" s="3" t="str"/>
      <x:c r="M36" s="3" t="str"/>
      <x:c r="N36" s="3" t="str"/>
    </x:row>
    <x:row r="37">
      <x:c r="B37" s="39" t="str">
        <x:v>Exterior renderings remain blocked.</x:v>
      </x:c>
      <x:c r="C37" s="3" t="str"/>
      <x:c r="D37" s="3" t="str"/>
      <x:c r="E37" s="3" t="str"/>
      <x:c r="F37" s="3" t="str"/>
      <x:c r="G37" s="3" t="str"/>
      <x:c r="H37" s="3" t="str"/>
      <x:c r="I37" s="3" t="str"/>
      <x:c r="J37" s="3" t="str"/>
      <x:c r="K37" s="3" t="str"/>
      <x:c r="L37" s="3" t="str"/>
      <x:c r="M37" s="3" t="str"/>
      <x:c r="N37" s="3" t="str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</x:sheetData>
  <x:mergeCells>
    <x:mergeCell ref="B2:H2"/>
    <x:mergeCell ref="B3:N3"/>
    <x:mergeCell ref="B6:N6"/>
    <x:mergeCell ref="B18:N18"/>
    <x:mergeCell ref="B31:N31"/>
  </x:mergeCells>
  <x:conditionalFormatting sqref="D8:E15">
    <x:cfRule type="containsText" dxfId="90" priority="1" operator="containsText" text="FAIL"/>
    <x:cfRule type="containsText" dxfId="91" priority="2" operator="containsText" text="PASS"/>
    <x:cfRule type="containsText" dxfId="92" priority="3" operator="containsText" text="OPEN"/>
    <x:cfRule type="containsText" dxfId="93" priority="4" operator="containsText" text="HOLD"/>
    <x:cfRule type="containsText" dxfId="94" priority="5" operator="containsText" text="BLOCKED"/>
  </x:conditionalFormatting>
  <x:conditionalFormatting sqref="F20:F28">
    <x:cfRule type="containsText" dxfId="95" priority="6" operator="containsText" text="FAIL"/>
    <x:cfRule type="containsText" dxfId="96" priority="7" operator="containsText" text="PASS"/>
    <x:cfRule type="containsText" dxfId="97" priority="8" operator="containsText" text="OPEN"/>
    <x:cfRule type="containsText" dxfId="98" priority="9" operator="containsText" text="HOLD"/>
    <x:cfRule type="containsText" dxfId="99" priority="10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42" hidden="0" customWidth="1"/>
    <x:col min="3" max="3" width="18" hidden="0" customWidth="1"/>
    <x:col min="4" max="4" width="19" hidden="0" customWidth="1"/>
    <x:col min="5" max="5" width="25" hidden="0" customWidth="1"/>
    <x:col min="6" max="6" width="52" hidden="0" customWidth="1"/>
  </x:cols>
  <x:sheetData>
    <x:row r="2">
      <x:c r="B2" s="4" t="str">
        <x:v>CSAC-1 assumptions</x:v>
      </x:c>
      <x:c r="C2" s="3"/>
      <x:c r="D2" s="3"/>
      <x:c r="E2" s="3"/>
      <x:c r="F2" s="3"/>
    </x:row>
    <x:row r="3">
      <x:c r="B3" s="5" t="str">
        <x:v>Declared article, facility, mission, workforce and fiscal controls; blue cells are unmeasured program hypotheses</x:v>
      </x:c>
      <x:c r="C3" s="3"/>
      <x:c r="D3" s="3"/>
      <x:c r="E3" s="3"/>
      <x:c r="F3" s="3"/>
    </x:row>
    <x:row r="4">
      <x:c r="B4" s="6"/>
      <x:c r="C4" s="6"/>
      <x:c r="D4" s="6"/>
      <x:c r="E4" s="6"/>
      <x:c r="F4" s="6"/>
    </x:row>
    <x:row r="5">
      <x:c r="B5" s="3"/>
      <x:c r="C5" s="3"/>
      <x:c r="D5" s="3"/>
      <x:c r="E5" s="3"/>
      <x:c r="F5" s="3"/>
    </x:row>
    <x:row r="6">
      <x:c r="B6" s="9" t="str">
        <x:v>Campaign controls</x:v>
      </x:c>
      <x:c r="C6" s="10" t="str">
        <x:v>Campaign controls</x:v>
      </x:c>
      <x:c r="D6" s="10" t="str">
        <x:v>Campaign controls</x:v>
      </x:c>
      <x:c r="E6" s="10" t="str">
        <x:v>Campaign controls</x:v>
      </x:c>
      <x:c r="F6" s="11" t="str">
        <x:v>Campaign controls</x:v>
      </x:c>
    </x:row>
    <x:row r="7">
      <x:c r="B7" s="22" t="str">
        <x:v>Input</x:v>
      </x:c>
      <x:c r="C7" s="23" t="str">
        <x:v>Value</x:v>
      </x:c>
      <x:c r="D7" s="23" t="str">
        <x:v>Unit</x:v>
      </x:c>
      <x:c r="E7" s="23" t="str">
        <x:v>Origin</x:v>
      </x:c>
      <x:c r="F7" s="23" t="str">
        <x:v>Meaning</x:v>
      </x:c>
    </x:row>
    <x:row r="8">
      <x:c r="B8" s="24" t="str">
        <x:v>Family-lineage campaigns</x:v>
      </x:c>
      <x:c r="C8" s="25" t="n">
        <x:v>10</x:v>
      </x:c>
      <x:c r="D8" s="24" t="str">
        <x:v>campaigns</x:v>
      </x:c>
      <x:c r="E8" s="24" t="str">
        <x:v>Pass 89</x:v>
      </x:c>
      <x:c r="F8" s="26" t="str">
        <x:v>five families by two physical lineages</x:v>
      </x:c>
    </x:row>
    <x:row r="9">
      <x:c r="B9" s="24" t="str">
        <x:v>Interface campaigns</x:v>
      </x:c>
      <x:c r="C9" s="25" t="n">
        <x:v>15</x:v>
      </x:c>
      <x:c r="D9" s="24" t="str">
        <x:v>campaigns</x:v>
      </x:c>
      <x:c r="E9" s="24" t="str">
        <x:v>Pass 89</x:v>
      </x:c>
      <x:c r="F9" s="26" t="str">
        <x:v>carrier receiver control and industrial interfaces</x:v>
      </x:c>
    </x:row>
    <x:row r="10">
      <x:c r="B10" s="24" t="str">
        <x:v>Campaigns</x:v>
      </x:c>
      <x:c r="C10" s="25" t="n">
        <x:v>25</x:v>
      </x:c>
      <x:c r="D10" s="24" t="str">
        <x:v>campaigns</x:v>
      </x:c>
      <x:c r="E10" s="24" t="str">
        <x:v>Pass 89</x:v>
      </x:c>
      <x:c r="F10" s="26" t="str">
        <x:v>complete technology portfolio</x:v>
      </x:c>
    </x:row>
    <x:row r="11">
      <x:c r="B11" s="24" t="str">
        <x:v>Stages per campaign</x:v>
      </x:c>
      <x:c r="C11" s="25" t="n">
        <x:v>8</x:v>
      </x:c>
      <x:c r="D11" s="24" t="str">
        <x:v>stages</x:v>
      </x:c>
      <x:c r="E11" s="24" t="str">
        <x:v>Pass 89</x:v>
      </x:c>
      <x:c r="F11" s="26" t="str">
        <x:v>G1 through G8</x:v>
      </x:c>
    </x:row>
    <x:row r="12">
      <x:c r="B12" s="24" t="str">
        <x:v>Evidence gates</x:v>
      </x:c>
      <x:c r="C12" s="25" t="n">
        <x:v>200</x:v>
      </x:c>
      <x:c r="D12" s="24" t="str">
        <x:v>gates</x:v>
      </x:c>
      <x:c r="E12" s="24" t="str">
        <x:v>derived</x:v>
      </x:c>
      <x:c r="F12" s="26" t="str">
        <x:v>campaigns times stages</x:v>
      </x:c>
    </x:row>
    <x:row r="13">
      <x:c r="B13" s="24" t="str">
        <x:v>Qualification tiles per family-lineage</x:v>
      </x:c>
      <x:c r="C13" s="25" t="n">
        <x:v>24</x:v>
      </x:c>
      <x:c r="D13" s="24" t="str">
        <x:v>tiles</x:v>
      </x:c>
      <x:c r="E13" s="24" t="str">
        <x:v>Pass 89</x:v>
      </x:c>
      <x:c r="F13" s="26" t="str">
        <x:v>protected evidence bank</x:v>
      </x:c>
    </x:row>
    <x:row r="14">
      <x:c r="B14" s="24" t="str">
        <x:v>Family-lineages</x:v>
      </x:c>
      <x:c r="C14" s="25" t="n">
        <x:v>10</x:v>
      </x:c>
      <x:c r="D14" s="24" t="str">
        <x:v>lineages</x:v>
      </x:c>
      <x:c r="E14" s="24" t="str">
        <x:v>Pass 89</x:v>
      </x:c>
      <x:c r="F14" s="26" t="str">
        <x:v>EA WA TA DA CA and ET WT TT DT CT</x:v>
      </x:c>
    </x:row>
    <x:row r="15">
      <x:c r="B15" s="24" t="str">
        <x:v>Qualification tile bank</x:v>
      </x:c>
      <x:c r="C15" s="25" t="n">
        <x:v>240</x:v>
      </x:c>
      <x:c r="D15" s="24" t="str">
        <x:v>tiles</x:v>
      </x:c>
      <x:c r="E15" s="24" t="str">
        <x:v>derived</x:v>
      </x:c>
      <x:c r="F15" s="26" t="str">
        <x:v>not borrowed into full-mission banks</x:v>
      </x:c>
    </x:row>
    <x:row r="16">
      <x:c r="B16" s="24" t="str">
        <x:v>Air formations concurrent</x:v>
      </x:c>
      <x:c r="C16" s="25" t="n">
        <x:v>2</x:v>
      </x:c>
      <x:c r="D16" s="24" t="str">
        <x:v>formations</x:v>
      </x:c>
      <x:c r="E16" s="24" t="str">
        <x:v>campaign design</x:v>
      </x:c>
      <x:c r="F16" s="26" t="str">
        <x:v>instrumented mission bank</x:v>
      </x:c>
    </x:row>
    <x:row r="17">
      <x:c r="B17" s="24" t="str">
        <x:v>Air tiles per formation</x:v>
      </x:c>
      <x:c r="C17" s="25" t="n">
        <x:v>60</x:v>
      </x:c>
      <x:c r="D17" s="24" t="str">
        <x:v>tiles</x:v>
      </x:c>
      <x:c r="E17" s="24" t="str">
        <x:v>Pass 89</x:v>
      </x:c>
      <x:c r="F17" s="26" t="str">
        <x:v>three carriers by twenty</x:v>
      </x:c>
    </x:row>
    <x:row r="18">
      <x:c r="B18" s="24" t="str">
        <x:v>Terrain formations concurrent</x:v>
      </x:c>
      <x:c r="C18" s="25" t="n">
        <x:v>2</x:v>
      </x:c>
      <x:c r="D18" s="24" t="str">
        <x:v>formations</x:v>
      </x:c>
      <x:c r="E18" s="24" t="str">
        <x:v>campaign design</x:v>
      </x:c>
      <x:c r="F18" s="26" t="str">
        <x:v>instrumented mission bank</x:v>
      </x:c>
    </x:row>
    <x:row r="19">
      <x:c r="B19" s="24" t="str">
        <x:v>Terrain tiles per formation</x:v>
      </x:c>
      <x:c r="C19" s="25" t="n">
        <x:v>50</x:v>
      </x:c>
      <x:c r="D19" s="24" t="str">
        <x:v>tiles</x:v>
      </x:c>
      <x:c r="E19" s="24" t="str">
        <x:v>Pass 89</x:v>
      </x:c>
      <x:c r="F19" s="26" t="str">
        <x:v>five carriers by ten</x:v>
      </x:c>
    </x:row>
    <x:row r="20">
      <x:c r="B20" s="24" t="str">
        <x:v>Mission attrition bank</x:v>
      </x:c>
      <x:c r="C20" s="25" t="n">
        <x:v>20</x:v>
      </x:c>
      <x:c r="D20" s="24" t="str">
        <x:v>tiles</x:v>
      </x:c>
      <x:c r="E20" s="24" t="str">
        <x:v>campaign design</x:v>
      </x:c>
      <x:c r="F20" s="26" t="str">
        <x:v>quarantine damage and blind faults</x:v>
      </x:c>
    </x:row>
    <x:row r="21">
      <x:c r="B21" s="24" t="str">
        <x:v>Mission tile bank</x:v>
      </x:c>
      <x:c r="C21" s="25" t="n">
        <x:v>240</x:v>
      </x:c>
      <x:c r="D21" s="24" t="str">
        <x:v>tiles</x:v>
      </x:c>
      <x:c r="E21" s="24" t="str">
        <x:v>derived</x:v>
      </x:c>
      <x:c r="F21" s="26" t="str">
        <x:v>air plus terrain plus attrition</x:v>
      </x:c>
    </x:row>
    <x:row r="22">
      <x:c r="B22" s="24" t="str">
        <x:v>Development tiles</x:v>
      </x:c>
      <x:c r="C22" s="25" t="n">
        <x:v>480</x:v>
      </x:c>
      <x:c r="D22" s="24" t="str">
        <x:v>tiles</x:v>
      </x:c>
      <x:c r="E22" s="24" t="str">
        <x:v>derived</x:v>
      </x:c>
      <x:c r="F22" s="26" t="str">
        <x:v>qualification plus mission banks</x:v>
      </x:c>
    </x:row>
    <x:row r="23">
      <x:c r="B23" s="24" t="str">
        <x:v>Operational loaded tiles</x:v>
      </x:c>
      <x:c r="C23" s="25" t="n">
        <x:v>4730</x:v>
      </x:c>
      <x:c r="D23" s="24" t="str">
        <x:v>tiles</x:v>
      </x:c>
      <x:c r="E23" s="24" t="str">
        <x:v>Pass 89</x:v>
      </x:c>
      <x:c r="F23" s="26" t="str">
        <x:v>forty-three ready formations</x:v>
      </x:c>
    </x:row>
    <x:row r="24">
      <x:c r="B24" s="24" t="str">
        <x:v>Operational reserve tiles</x:v>
      </x:c>
      <x:c r="C24" s="25" t="n">
        <x:v>946</x:v>
      </x:c>
      <x:c r="D24" s="24" t="str">
        <x:v>tiles</x:v>
      </x:c>
      <x:c r="E24" s="24" t="str">
        <x:v>Pass 89</x:v>
      </x:c>
      <x:c r="F24" s="26" t="str">
        <x:v>twenty percent rotating reserve</x:v>
      </x:c>
    </x:row>
    <x:row r="25">
      <x:c r="B25" s="24" t="str">
        <x:v>Total tile inventory</x:v>
      </x:c>
      <x:c r="C25" s="25" t="n">
        <x:v>6156</x:v>
      </x:c>
      <x:c r="D25" s="24" t="str">
        <x:v>tiles</x:v>
      </x:c>
      <x:c r="E25" s="24" t="str">
        <x:v>derived</x:v>
      </x:c>
      <x:c r="F25" s="26" t="str">
        <x:v>operational reserve and development</x:v>
      </x:c>
    </x:row>
    <x:row r="26">
      <x:c r="B26" s="24" t="str">
        <x:v>Air development carriers</x:v>
      </x:c>
      <x:c r="C26" s="25" t="n">
        <x:v>14</x:v>
      </x:c>
      <x:c r="D26" s="24" t="str">
        <x:v>carriers</x:v>
      </x:c>
      <x:c r="E26" s="24" t="str">
        <x:v>Pass 87</x:v>
      </x:c>
      <x:c r="F26" s="26" t="str">
        <x:v>test and destructive fleet</x:v>
      </x:c>
    </x:row>
    <x:row r="27">
      <x:c r="B27" s="24" t="str">
        <x:v>Terrain development carriers</x:v>
      </x:c>
      <x:c r="C27" s="25" t="n">
        <x:v>12</x:v>
      </x:c>
      <x:c r="D27" s="24" t="str">
        <x:v>carriers</x:v>
      </x:c>
      <x:c r="E27" s="24" t="str">
        <x:v>Pass 86</x:v>
      </x:c>
      <x:c r="F27" s="26" t="str">
        <x:v>test and destructive fleet</x:v>
      </x:c>
    </x:row>
    <x:row r="28">
      <x:c r="B28" s="24" t="str">
        <x:v>Air carriers per mission</x:v>
      </x:c>
      <x:c r="C28" s="25" t="n">
        <x:v>3</x:v>
      </x:c>
      <x:c r="D28" s="24" t="str">
        <x:v>carriers</x:v>
      </x:c>
      <x:c r="E28" s="24" t="str">
        <x:v>Pass 89</x:v>
      </x:c>
      <x:c r="F28" s="26" t="str">
        <x:v>one reinforced formation</x:v>
      </x:c>
    </x:row>
    <x:row r="29">
      <x:c r="B29" s="24" t="str">
        <x:v>Terrain carriers per mission</x:v>
      </x:c>
      <x:c r="C29" s="25" t="n">
        <x:v>5</x:v>
      </x:c>
      <x:c r="D29" s="24" t="str">
        <x:v>carriers</x:v>
      </x:c>
      <x:c r="E29" s="24" t="str">
        <x:v>Pass 89</x:v>
      </x:c>
      <x:c r="F29" s="26" t="str">
        <x:v>one reinforced formation</x:v>
      </x:c>
    </x:row>
    <x:row r="30">
      <x:c r="B30" s="24" t="str">
        <x:v>Paired mission ranges</x:v>
      </x:c>
      <x:c r="C30" s="25" t="n">
        <x:v>4</x:v>
      </x:c>
      <x:c r="D30" s="24" t="str">
        <x:v>ranges</x:v>
      </x:c>
      <x:c r="E30" s="24" t="str">
        <x:v>campaign design</x:v>
      </x:c>
      <x:c r="F30" s="26" t="str">
        <x:v>four environmental classes</x:v>
      </x:c>
    </x:row>
    <x:row r="31">
      <x:c r="B31" s="24" t="str">
        <x:v>Range operating days per year</x:v>
      </x:c>
      <x:c r="C31" s="25" t="n">
        <x:v>180</x:v>
      </x:c>
      <x:c r="D31" s="24" t="str">
        <x:v>days/range-year</x:v>
      </x:c>
      <x:c r="E31" s="24" t="str">
        <x:v>campaign assumption</x:v>
      </x:c>
      <x:c r="F31" s="26" t="str">
        <x:v>after maintenance safety and restoration</x:v>
      </x:c>
    </x:row>
    <x:row r="32">
      <x:c r="B32" s="24" t="str">
        <x:v>Mission occupation</x:v>
      </x:c>
      <x:c r="C32" s="25" t="n">
        <x:v>10</x:v>
      </x:c>
      <x:c r="D32" s="24" t="str">
        <x:v>range-days</x:v>
      </x:c>
      <x:c r="E32" s="24" t="str">
        <x:v>campaign assumption</x:v>
      </x:c>
      <x:c r="F32" s="26" t="str">
        <x:v>168-hour mission plus changeover</x:v>
      </x:c>
    </x:row>
    <x:row r="33">
      <x:c r="B33" s="24" t="str">
        <x:v>Full-mission window</x:v>
      </x:c>
      <x:c r="C33" s="25" t="n">
        <x:v>4</x:v>
      </x:c>
      <x:c r="D33" s="24" t="str">
        <x:v>years</x:v>
      </x:c>
      <x:c r="E33" s="24" t="str">
        <x:v>campaign schedule</x:v>
      </x:c>
      <x:c r="F33" s="26" t="str">
        <x:v>years nine through twelve</x:v>
      </x:c>
    </x:row>
    <x:row r="34">
      <x:c r="B34" s="24" t="str">
        <x:v>Claim cells per mode</x:v>
      </x:c>
      <x:c r="C34" s="25" t="n">
        <x:v>22</x:v>
      </x:c>
      <x:c r="D34" s="24" t="str">
        <x:v>cells</x:v>
      </x:c>
      <x:c r="E34" s="24" t="str">
        <x:v>campaign design</x:v>
      </x:c>
      <x:c r="F34" s="26" t="str">
        <x:v>registered service and coupling worlds</x:v>
      </x:c>
    </x:row>
    <x:row r="35">
      <x:c r="B35" s="24" t="str">
        <x:v>Repetitions per claim cell</x:v>
      </x:c>
      <x:c r="C35" s="25" t="n">
        <x:v>4</x:v>
      </x:c>
      <x:c r="D35" s="24" t="str">
        <x:v>missions</x:v>
      </x:c>
      <x:c r="E35" s="24" t="str">
        <x:v>campaign design</x:v>
      </x:c>
      <x:c r="F35" s="26" t="str">
        <x:v>coverage not probability</x:v>
      </x:c>
    </x:row>
    <x:row r="36">
      <x:c r="B36" s="24" t="str">
        <x:v>Boundary probes per mode</x:v>
      </x:c>
      <x:c r="C36" s="25" t="n">
        <x:v>4</x:v>
      </x:c>
      <x:c r="D36" s="24" t="str">
        <x:v>missions</x:v>
      </x:c>
      <x:c r="E36" s="24" t="str">
        <x:v>campaign design</x:v>
      </x:c>
      <x:c r="F36" s="26" t="str">
        <x:v>truthful safe-stop characterization</x:v>
      </x:c>
    </x:row>
    <x:row r="37">
      <x:c r="B37" s="24" t="str">
        <x:v>Blinded defects per mode</x:v>
      </x:c>
      <x:c r="C37" s="25" t="n">
        <x:v>8</x:v>
      </x:c>
      <x:c r="D37" s="24" t="str">
        <x:v>missions</x:v>
      </x:c>
      <x:c r="E37" s="24" t="str">
        <x:v>campaign design</x:v>
      </x:c>
      <x:c r="F37" s="26" t="str">
        <x:v>detection and quarantine</x:v>
      </x:c>
    </x:row>
    <x:row r="38">
      <x:c r="B38" s="24" t="str">
        <x:v>Required missions per mode</x:v>
      </x:c>
      <x:c r="C38" s="25" t="n">
        <x:v>100</x:v>
      </x:c>
      <x:c r="D38" s="24" t="str">
        <x:v>missions</x:v>
      </x:c>
      <x:c r="E38" s="24" t="str">
        <x:v>derived</x:v>
      </x:c>
      <x:c r="F38" s="26" t="str">
        <x:v>claim repeats plus probes plus defects</x:v>
      </x:c>
    </x:row>
    <x:row r="39">
      <x:c r="B39" s="24" t="str">
        <x:v>Required full missions</x:v>
      </x:c>
      <x:c r="C39" s="25" t="n">
        <x:v>200</x:v>
      </x:c>
      <x:c r="D39" s="24" t="str">
        <x:v>missions</x:v>
      </x:c>
      <x:c r="E39" s="24" t="str">
        <x:v>derived</x:v>
      </x:c>
      <x:c r="F39" s="26" t="str">
        <x:v>air plus terrain</x:v>
      </x:c>
    </x:row>
    <x:row r="40">
      <x:c r="B40" s="24" t="str">
        <x:v>Service deadline</x:v>
      </x:c>
      <x:c r="C40" s="25" t="n">
        <x:v>54</x:v>
      </x:c>
      <x:c r="D40" s="24" t="str">
        <x:v>h</x:v>
      </x:c>
      <x:c r="E40" s="24" t="str">
        <x:v>Pass 82</x:v>
      </x:c>
      <x:c r="F40" s="26" t="str">
        <x:v>absolute public release</x:v>
      </x:c>
    </x:row>
    <x:row r="41">
      <x:c r="B41" s="24" t="str">
        <x:v>Clock guardband</x:v>
      </x:c>
      <x:c r="C41" s="25" t="n">
        <x:v>0.25</x:v>
      </x:c>
      <x:c r="D41" s="24" t="str">
        <x:v>h</x:v>
      </x:c>
      <x:c r="E41" s="24" t="str">
        <x:v>campaign constitution</x:v>
      </x:c>
      <x:c r="F41" s="26" t="str">
        <x:v>evidence threshold below deadline</x:v>
      </x:c>
    </x:row>
    <x:row r="42">
      <x:c r="B42" s="24" t="str">
        <x:v>Air modeled stressed service</x:v>
      </x:c>
      <x:c r="C42" s="25" t="n">
        <x:v>52.9166667</x:v>
      </x:c>
      <x:c r="D42" s="24" t="str">
        <x:v>h</x:v>
      </x:c>
      <x:c r="E42" s="24" t="str">
        <x:v>Pass 89</x:v>
      </x:c>
      <x:c r="F42" s="26" t="str">
        <x:v>behavior reference</x:v>
      </x:c>
    </x:row>
    <x:row r="43">
      <x:c r="B43" s="24" t="str">
        <x:v>Terrain modeled stressed service</x:v>
      </x:c>
      <x:c r="C43" s="25" t="n">
        <x:v>53.5694444</x:v>
      </x:c>
      <x:c r="D43" s="24" t="str">
        <x:v>h</x:v>
      </x:c>
      <x:c r="E43" s="24" t="str">
        <x:v>Pass 89</x:v>
      </x:c>
      <x:c r="F43" s="26" t="str">
        <x:v>behavior reference</x:v>
      </x:c>
    </x:row>
    <x:row r="44">
      <x:c r="B44" s="24" t="str">
        <x:v>Reset ceiling</x:v>
      </x:c>
      <x:c r="C44" s="25" t="n">
        <x:v>168</x:v>
      </x:c>
      <x:c r="D44" s="24" t="str">
        <x:v>h</x:v>
      </x:c>
      <x:c r="E44" s="24" t="str">
        <x:v>Pass 82</x:v>
      </x:c>
      <x:c r="F44" s="26" t="str">
        <x:v>return to certified load</x:v>
      </x:c>
    </x:row>
    <x:row r="45">
      <x:c r="B45" s="24" t="str">
        <x:v>Reset guardband</x:v>
      </x:c>
      <x:c r="C45" s="25" t="n">
        <x:v>0.5</x:v>
      </x:c>
      <x:c r="D45" s="24" t="str">
        <x:v>h</x:v>
      </x:c>
      <x:c r="E45" s="24" t="str">
        <x:v>campaign constitution</x:v>
      </x:c>
      <x:c r="F45" s="26" t="str">
        <x:v>evidence threshold below ceiling</x:v>
      </x:c>
    </x:row>
    <x:row r="46">
      <x:c r="B46" s="24" t="str">
        <x:v>Air modeled reset</x:v>
      </x:c>
      <x:c r="C46" s="25" t="n">
        <x:v>163</x:v>
      </x:c>
      <x:c r="D46" s="24" t="str">
        <x:v>h</x:v>
      </x:c>
      <x:c r="E46" s="24" t="str">
        <x:v>Pass 89</x:v>
      </x:c>
      <x:c r="F46" s="26" t="str">
        <x:v>behavior reference</x:v>
      </x:c>
    </x:row>
    <x:row r="47">
      <x:c r="B47" s="24" t="str">
        <x:v>Terrain modeled reset</x:v>
      </x:c>
      <x:c r="C47" s="25" t="n">
        <x:v>167</x:v>
      </x:c>
      <x:c r="D47" s="24" t="str">
        <x:v>h</x:v>
      </x:c>
      <x:c r="E47" s="24" t="str">
        <x:v>Pass 89</x:v>
      </x:c>
      <x:c r="F47" s="26" t="str">
        <x:v>behavior reference</x:v>
      </x:c>
    </x:row>
    <x:row r="48">
      <x:c r="B48" s="24" t="str">
        <x:v>Soil pressure ceiling</x:v>
      </x:c>
      <x:c r="C48" s="25" t="n">
        <x:v>35</x:v>
      </x:c>
      <x:c r="D48" s="24" t="str">
        <x:v>kPa</x:v>
      </x:c>
      <x:c r="E48" s="24" t="str">
        <x:v>Pass 86</x:v>
      </x:c>
      <x:c r="F48" s="26" t="str">
        <x:v>damaged-route screen</x:v>
      </x:c>
    </x:row>
    <x:row r="49">
      <x:c r="B49" s="24" t="str">
        <x:v>Soil pressure guardband</x:v>
      </x:c>
      <x:c r="C49" s="25" t="n">
        <x:v>0.25</x:v>
      </x:c>
      <x:c r="D49" s="24" t="str">
        <x:v>kPa</x:v>
      </x:c>
      <x:c r="E49" s="24" t="str">
        <x:v>campaign constitution</x:v>
      </x:c>
      <x:c r="F49" s="26" t="str">
        <x:v>evidence threshold below ceiling</x:v>
      </x:c>
    </x:row>
    <x:row r="50">
      <x:c r="B50" s="24" t="str">
        <x:v>Terrain modeled pressure</x:v>
      </x:c>
      <x:c r="C50" s="25" t="n">
        <x:v>34.2492055</x:v>
      </x:c>
      <x:c r="D50" s="24" t="str">
        <x:v>kPa</x:v>
      </x:c>
      <x:c r="E50" s="24" t="str">
        <x:v>Pass 89</x:v>
      </x:c>
      <x:c r="F50" s="26" t="str">
        <x:v>coupled reference</x:v>
      </x:c>
    </x:row>
    <x:row r="51">
      <x:c r="B51" s="24" t="str">
        <x:v>Direct proving workforce</x:v>
      </x:c>
      <x:c r="C51" s="25" t="n">
        <x:v>24000</x:v>
      </x:c>
      <x:c r="D51" s="24" t="str">
        <x:v>people</x:v>
      </x:c>
      <x:c r="E51" s="24" t="str">
        <x:v>campaign design</x:v>
      </x:c>
      <x:c r="F51" s="26" t="str">
        <x:v>programmatic not operational formation</x:v>
      </x:c>
    </x:row>
    <x:row r="52">
      <x:c r="B52" s="24" t="str">
        <x:v>Affiliated proving ecosystem</x:v>
      </x:c>
      <x:c r="C52" s="25" t="n">
        <x:v>60000</x:v>
      </x:c>
      <x:c r="D52" s="24" t="str">
        <x:v>positions</x:v>
      </x:c>
      <x:c r="E52" s="24" t="str">
        <x:v>campaign design</x:v>
      </x:c>
      <x:c r="F52" s="26" t="str">
        <x:v>industry laboratories schools and partners</x:v>
      </x:c>
    </x:row>
    <x:row r="53">
      <x:c r="B53" s="24" t="str">
        <x:v>Minimum proving watch</x:v>
      </x:c>
      <x:c r="C53" s="25" t="n">
        <x:v>5800</x:v>
      </x:c>
      <x:c r="D53" s="24" t="str">
        <x:v>people</x:v>
      </x:c>
      <x:c r="E53" s="24" t="str">
        <x:v>campaign design</x:v>
      </x:c>
      <x:c r="F53" s="26" t="str">
        <x:v>continuous safety custody and facilities</x:v>
      </x:c>
    </x:row>
    <x:row r="54">
      <x:c r="B54" s="24" t="str">
        <x:v>Technology portfolio</x:v>
      </x:c>
      <x:c r="C54" s="25" t="n">
        <x:v>1050</x:v>
      </x:c>
      <x:c r="D54" s="24" t="str">
        <x:v>$B</x:v>
      </x:c>
      <x:c r="E54" s="24" t="str">
        <x:v>Pass 89</x:v>
      </x:c>
      <x:c r="F54" s="26" t="str">
        <x:v>nested inside tile program</x:v>
      </x:c>
    </x:row>
    <x:row r="55">
      <x:c r="B55" s="24" t="str">
        <x:v>Facility capital</x:v>
      </x:c>
      <x:c r="C55" s="25" t="n">
        <x:v>350</x:v>
      </x:c>
      <x:c r="D55" s="24" t="str">
        <x:v>$B</x:v>
      </x:c>
      <x:c r="E55" s="24" t="str">
        <x:v>campaign allocation</x:v>
      </x:c>
      <x:c r="F55" s="26" t="str">
        <x:v>dedicated and expanded range capacity</x:v>
      </x:c>
    </x:row>
    <x:row r="56">
      <x:c r="B56" s="24" t="str">
        <x:v>Article engineering</x:v>
      </x:c>
      <x:c r="C56" s="25" t="n">
        <x:v>250</x:v>
      </x:c>
      <x:c r="D56" s="24" t="str">
        <x:v>$B</x:v>
      </x:c>
      <x:c r="E56" s="24" t="str">
        <x:v>campaign allocation</x:v>
      </x:c>
      <x:c r="F56" s="26" t="str">
        <x:v>tiles rigs instrumentation and carrier configurations</x:v>
      </x:c>
    </x:row>
    <x:row r="57">
      <x:c r="B57" s="24" t="str">
        <x:v>Workforce and operations</x:v>
      </x:c>
      <x:c r="C57" s="25" t="n">
        <x:v>210</x:v>
      </x:c>
      <x:c r="D57" s="24" t="str">
        <x:v>$B</x:v>
      </x:c>
      <x:c r="E57" s="24" t="str">
        <x:v>campaign allocation</x:v>
      </x:c>
      <x:c r="F57" s="26" t="str">
        <x:v>twenty-five-year direct enterprise</x:v>
      </x:c>
    </x:row>
    <x:row r="58">
      <x:c r="B58" s="24" t="str">
        <x:v>Full-mission operations</x:v>
      </x:c>
      <x:c r="C58" s="25" t="n">
        <x:v>110</x:v>
      </x:c>
      <x:c r="D58" s="24" t="str">
        <x:v>$B</x:v>
      </x:c>
      <x:c r="E58" s="24" t="str">
        <x:v>campaign allocation</x:v>
      </x:c>
      <x:c r="F58" s="26" t="str">
        <x:v>two hundred missions and restoration</x:v>
      </x:c>
    </x:row>
    <x:row r="59">
      <x:c r="B59" s="24" t="str">
        <x:v>Independent evidence</x:v>
      </x:c>
      <x:c r="C59" s="25" t="n">
        <x:v>45</x:v>
      </x:c>
      <x:c r="D59" s="24" t="str">
        <x:v>$B</x:v>
      </x:c>
      <x:c r="E59" s="24" t="str">
        <x:v>campaign allocation</x:v>
      </x:c>
      <x:c r="F59" s="26" t="str">
        <x:v>metrology replication rights and release</x:v>
      </x:c>
    </x:row>
    <x:row r="60">
      <x:c r="B60" s="24" t="str">
        <x:v>Pilot production</x:v>
      </x:c>
      <x:c r="C60" s="25" t="n">
        <x:v>60</x:v>
      </x:c>
      <x:c r="D60" s="24" t="str">
        <x:v>$B</x:v>
      </x:c>
      <x:c r="E60" s="24" t="str">
        <x:v>campaign allocation</x:v>
      </x:c>
      <x:c r="F60" s="26" t="str">
        <x:v>plural lines and sub-tier diversification</x:v>
      </x:c>
    </x:row>
    <x:row r="61">
      <x:c r="B61" s="24" t="str">
        <x:v>Program reserve</x:v>
      </x:c>
      <x:c r="C61" s="25" t="n">
        <x:v>25</x:v>
      </x:c>
      <x:c r="D61" s="24" t="str">
        <x:v>$B</x:v>
      </x:c>
      <x:c r="E61" s="24" t="str">
        <x:v>campaign allocation</x:v>
      </x:c>
      <x:c r="F61" s="26" t="str">
        <x:v>controlled risk reserve</x:v>
      </x:c>
    </x:row>
    <x:row r="62">
      <x:c r="B62" s="24" t="str">
        <x:v>Facility families</x:v>
      </x:c>
      <x:c r="C62" s="25" t="n">
        <x:v>11</x:v>
      </x:c>
      <x:c r="D62" s="24" t="str">
        <x:v>families</x:v>
      </x:c>
      <x:c r="E62" s="24" t="str">
        <x:v>campaign design</x:v>
      </x:c>
      <x:c r="F62" s="26" t="str">
        <x:v>national specialized proving network</x:v>
      </x:c>
    </x:row>
    <x:row r="63">
      <x:c r="B63" s="24" t="str">
        <x:v>Model controls</x:v>
      </x:c>
      <x:c r="C63" s="25" t="n">
        <x:v>100</x:v>
      </x:c>
      <x:c r="D63" s="24" t="str">
        <x:v>controls</x:v>
      </x:c>
      <x:c r="E63" s="24" t="str">
        <x:v>campaign design</x:v>
      </x:c>
      <x:c r="F63" s="26" t="str">
        <x:v>deterministic workbook checks</x:v>
      </x:c>
    </x:row>
    <x:row r="64">
      <x:c r="B64" s="27" t="str">
        <x:v>Rendering authorization</x:v>
      </x:c>
      <x:c r="C64" s="28" t="n">
        <x:v>0</x:v>
      </x:c>
      <x:c r="D64" s="27" t="str">
        <x:v>binary</x:v>
      </x:c>
      <x:c r="E64" s="27" t="str">
        <x:v>governance</x:v>
      </x:c>
      <x:c r="F64" s="29" t="str">
        <x:v>exterior imagery remains blocked</x:v>
      </x:c>
    </x:row>
  </x:sheetData>
  <x:mergeCells>
    <x:mergeCell ref="B2:H2"/>
    <x:mergeCell ref="B3:F3"/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34" hidden="0" customWidth="1"/>
    <x:col min="4" max="4" width="30" hidden="0" customWidth="1"/>
    <x:col min="5" max="5" width="38" hidden="0" customWidth="1"/>
    <x:col min="6" max="6" width="28" hidden="0" customWidth="1"/>
    <x:col min="7" max="7" width="18" hidden="0" customWidth="1"/>
    <x:col min="8" max="8" width="20" hidden="0" customWidth="1"/>
    <x:col min="9" max="9" width="30" hidden="0" customWidth="1"/>
    <x:col min="10" max="10" width="28" hidden="0" customWidth="1"/>
    <x:col min="11" max="11" width="27" hidden="0" customWidth="1"/>
    <x:col min="12" max="12" width="14" hidden="0" customWidth="1"/>
  </x:cols>
  <x:sheetData>
    <x:row r="2">
      <x:c r="B2" s="4" t="str">
        <x:v>Evidence constitution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B3" s="5" t="str">
        <x:v>A gate closes only through a measured artifact, independent reproduction and public authority; documentation alone earns no maturity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B6" s="22" t="str">
        <x:v>Stage</x:v>
      </x:c>
      <x:c r="C6" s="23" t="str">
        <x:v>Question</x:v>
      </x:c>
      <x:c r="D6" s="23" t="str">
        <x:v>Required article</x:v>
      </x:c>
      <x:c r="E6" s="23" t="str">
        <x:v>Required artifact</x:v>
      </x:c>
      <x:c r="F6" s="23" t="str">
        <x:v>Primary facility</x:v>
      </x:c>
      <x:c r="G6" s="23" t="str">
        <x:v>Builder role</x:v>
      </x:c>
      <x:c r="H6" s="23" t="str">
        <x:v>Operator role</x:v>
      </x:c>
      <x:c r="I6" s="23" t="str">
        <x:v>Evidence owner</x:v>
      </x:c>
      <x:c r="J6" s="23" t="str">
        <x:v>Civil role</x:v>
      </x:c>
      <x:c r="K6" s="23" t="str">
        <x:v>Failure consequence</x:v>
      </x:c>
      <x:c r="L6" s="23" t="str">
        <x:v>Initial state</x:v>
      </x:c>
    </x:row>
    <x:row r="7">
      <x:c r="B7" s="24" t="str">
        <x:v>G1</x:v>
      </x:c>
      <x:c r="C7" s="24" t="str">
        <x:v>Is the burden and hazard claim complete?</x:v>
      </x:c>
      <x:c r="D7" s="24" t="str">
        <x:v>registered requirement</x:v>
      </x:c>
      <x:c r="E7" s="24" t="str">
        <x:v>signed burden hazard and authority contract</x:v>
      </x:c>
      <x:c r="F7" s="24" t="str">
        <x:v>F01 metrology-control-ancestry</x:v>
      </x:c>
      <x:c r="G7" s="24" t="str">
        <x:v>propose</x:v>
      </x:c>
      <x:c r="H7" s="24" t="str">
        <x:v>challenge</x:v>
      </x:c>
      <x:c r="I7" s="24" t="str">
        <x:v>Independent Requirements Authority</x:v>
      </x:c>
      <x:c r="J7" s="24" t="str">
        <x:v>accept public obligation</x:v>
      </x:c>
      <x:c r="K7" s="24" t="str">
        <x:v>reopen requirement</x:v>
      </x:c>
      <x:c r="L7" s="26" t="str">
        <x:v>OPEN</x:v>
      </x:c>
    </x:row>
    <x:row r="8">
      <x:c r="B8" s="24" t="str">
        <x:v>G2</x:v>
      </x:c>
      <x:c r="C8" s="24" t="str">
        <x:v>Do materials and subcomponents survive?</x:v>
      </x:c>
      <x:c r="D8" s="24" t="str">
        <x:v>coupons and subassemblies</x:v>
      </x:c>
      <x:c r="E8" s="24" t="str">
        <x:v>raw data calibration uncertainty and failure dossier</x:v>
      </x:c>
      <x:c r="F8" s="24" t="str">
        <x:v>domain laboratory</x:v>
      </x:c>
      <x:c r="G8" s="24" t="str">
        <x:v>fabricate</x:v>
      </x:c>
      <x:c r="H8" s="24" t="str">
        <x:v>support</x:v>
      </x:c>
      <x:c r="I8" s="24" t="str">
        <x:v>Independent Laboratory Authority</x:v>
      </x:c>
      <x:c r="J8" s="24" t="str">
        <x:v>observe prohibited hazards</x:v>
      </x:c>
      <x:c r="K8" s="24" t="str">
        <x:v>reopen mechanism</x:v>
      </x:c>
      <x:c r="L8" s="26" t="str">
        <x:v>OPEN</x:v>
      </x:c>
    </x:row>
    <x:row r="9">
      <x:c r="B9" s="24" t="str">
        <x:v>G3</x:v>
      </x:c>
      <x:c r="C9" s="24" t="str">
        <x:v>Does one family tile meet mass and output?</x:v>
      </x:c>
      <x:c r="D9" s="24" t="str">
        <x:v>representative family tile</x:v>
      </x:c>
      <x:c r="E9" s="24" t="str">
        <x:v>configuration output hazard and maintainability record</x:v>
      </x:c>
      <x:c r="F9" s="24" t="str">
        <x:v>domain article range</x:v>
      </x:c>
      <x:c r="G9" s="24" t="str">
        <x:v>repair only</x:v>
      </x:c>
      <x:c r="H9" s="24" t="str">
        <x:v>operate blind protocol</x:v>
      </x:c>
      <x:c r="I9" s="24" t="str">
        <x:v>Family Certification Authority</x:v>
      </x:c>
      <x:c r="J9" s="24" t="str">
        <x:v>withhold service credit</x:v>
      </x:c>
      <x:c r="K9" s="24" t="str">
        <x:v>reopen family</x:v>
      </x:c>
      <x:c r="L9" s="26" t="str">
        <x:v>OPEN</x:v>
      </x:c>
    </x:row>
    <x:row r="10">
      <x:c r="B10" s="24" t="str">
        <x:v>G4</x:v>
      </x:c>
      <x:c r="C10" s="24" t="str">
        <x:v>Do five families operate simultaneously?</x:v>
      </x:c>
      <x:c r="D10" s="24" t="str">
        <x:v>five-family set</x:v>
      </x:c>
      <x:c r="E10" s="24" t="str">
        <x:v>cross-coupling and public-service vector record</x:v>
      </x:c>
      <x:c r="F10" s="24" t="str">
        <x:v>paired integration range</x:v>
      </x:c>
      <x:c r="G10" s="24" t="str">
        <x:v>supply configuration</x:v>
      </x:c>
      <x:c r="H10" s="24" t="str">
        <x:v>operate</x:v>
      </x:c>
      <x:c r="I10" s="24" t="str">
        <x:v>Set Integration Authority</x:v>
      </x:c>
      <x:c r="J10" s="24" t="str">
        <x:v>assay every effect</x:v>
      </x:c>
      <x:c r="K10" s="24" t="str">
        <x:v>reopen interfaces</x:v>
      </x:c>
      <x:c r="L10" s="26" t="str">
        <x:v>OPEN</x:v>
      </x:c>
    </x:row>
    <x:row r="11">
      <x:c r="B11" s="24" t="str">
        <x:v>G5</x:v>
      </x:c>
      <x:c r="C11" s="24" t="str">
        <x:v>Can the carrier accept and release the tiles?</x:v>
      </x:c>
      <x:c r="D11" s="24" t="str">
        <x:v>instrumented carrier configuration</x:v>
      </x:c>
      <x:c r="E11" s="24" t="str">
        <x:v>structure CG restraint transfer fire and evacuation record</x:v>
      </x:c>
      <x:c r="F11" s="24" t="str">
        <x:v>air or terrain carrier range</x:v>
      </x:c>
      <x:c r="G11" s="24" t="str">
        <x:v>modify</x:v>
      </x:c>
      <x:c r="H11" s="24" t="str">
        <x:v>operate</x:v>
      </x:c>
      <x:c r="I11" s="24" t="str">
        <x:v>Vehicle Certification Authority</x:v>
      </x:c>
      <x:c r="J11" s="24" t="str">
        <x:v>observe custody</x:v>
      </x:c>
      <x:c r="K11" s="24" t="str">
        <x:v>reopen carrier or count</x:v>
      </x:c>
      <x:c r="L11" s="26" t="str">
        <x:v>OPEN</x:v>
      </x:c>
    </x:row>
    <x:row r="12">
      <x:c r="B12" s="24" t="str">
        <x:v>G6</x:v>
      </x:c>
      <x:c r="C12" s="24" t="str">
        <x:v>Can an unprepared receiver create safe service?</x:v>
      </x:c>
      <x:c r="D12" s="24" t="str">
        <x:v>mode-specific receiver complex</x:v>
      </x:c>
      <x:c r="E12" s="24" t="str">
        <x:v>assembly assay handoff and public release record</x:v>
      </x:c>
      <x:c r="F12" s="24" t="str">
        <x:v>compound mission range</x:v>
      </x:c>
      <x:c r="G12" s="24" t="str">
        <x:v>support</x:v>
      </x:c>
      <x:c r="H12" s="24" t="str">
        <x:v>operate</x:v>
      </x:c>
      <x:c r="I12" s="24" t="str">
        <x:v>Receiver Evidence Authority</x:v>
      </x:c>
      <x:c r="J12" s="24" t="str">
        <x:v>alone authorizes reliance</x:v>
      </x:c>
      <x:c r="K12" s="24" t="str">
        <x:v>reopen receiver</x:v>
      </x:c>
      <x:c r="L12" s="26" t="str">
        <x:v>OPEN</x:v>
      </x:c>
    </x:row>
    <x:row r="13">
      <x:c r="B13" s="24" t="str">
        <x:v>G7</x:v>
      </x:c>
      <x:c r="C13" s="24" t="str">
        <x:v>Does the claim survive casualties and denial?</x:v>
      </x:c>
      <x:c r="D13" s="24" t="str">
        <x:v>complete survivor formation</x:v>
      </x:c>
      <x:c r="E13" s="24" t="str">
        <x:v>blinded casualty denial and safe-stop record</x:v>
      </x:c>
      <x:c r="F13" s="24" t="str">
        <x:v>compound mission range</x:v>
      </x:c>
      <x:c r="G13" s="24" t="str">
        <x:v>no test control</x:v>
      </x:c>
      <x:c r="H13" s="24" t="str">
        <x:v>operate blind</x:v>
      </x:c>
      <x:c r="I13" s="24" t="str">
        <x:v>Destructive Trial Authority</x:v>
      </x:c>
      <x:c r="J13" s="24" t="str">
        <x:v>verify public consequence</x:v>
      </x:c>
      <x:c r="K13" s="24" t="str">
        <x:v>reopen architecture</x:v>
      </x:c>
      <x:c r="L13" s="26" t="str">
        <x:v>OPEN</x:v>
      </x:c>
    </x:row>
    <x:row r="14">
      <x:c r="B14" s="27" t="str">
        <x:v>G8</x:v>
      </x:c>
      <x:c r="C14" s="27" t="str">
        <x:v>Can it reset repeat and reproduce independently?</x:v>
      </x:c>
      <x:c r="D14" s="27" t="str">
        <x:v>second-lot articles and reset chain</x:v>
      </x:c>
      <x:c r="E14" s="27" t="str">
        <x:v>repeat mission lot trace depot and replication record</x:v>
      </x:c>
      <x:c r="F14" s="27" t="str">
        <x:v>reset depot and pilot line</x:v>
      </x:c>
      <x:c r="G14" s="27" t="str">
        <x:v>produce second lot</x:v>
      </x:c>
      <x:c r="H14" s="27" t="str">
        <x:v>operate new crew</x:v>
      </x:c>
      <x:c r="I14" s="27" t="str">
        <x:v>Production Evidence Authority</x:v>
      </x:c>
      <x:c r="J14" s="27" t="str">
        <x:v>authorize production question</x:v>
      </x:c>
      <x:c r="K14" s="27" t="str">
        <x:v>hold production</x:v>
      </x:c>
      <x:c r="L14" s="29" t="str">
        <x:v>OPEN</x:v>
      </x:c>
    </x:row>
    <x:row r="15"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B17" s="9" t="str">
        <x:v>Four-party separation</x:v>
      </x:c>
      <x:c r="C17" s="10" t="str">
        <x:v>Four-party separation</x:v>
      </x:c>
      <x:c r="D17" s="10" t="str">
        <x:v>Four-party separation</x:v>
      </x:c>
      <x:c r="E17" s="10" t="str">
        <x:v>Four-party separation</x:v>
      </x:c>
      <x:c r="F17" s="10" t="str">
        <x:v>Four-party separation</x:v>
      </x:c>
      <x:c r="G17" s="10" t="str">
        <x:v>Four-party separation</x:v>
      </x:c>
      <x:c r="H17" s="10" t="str">
        <x:v>Four-party separation</x:v>
      </x:c>
      <x:c r="I17" s="10" t="str">
        <x:v>Four-party separation</x:v>
      </x:c>
      <x:c r="J17" s="10" t="str">
        <x:v>Four-party separation</x:v>
      </x:c>
      <x:c r="K17" s="10" t="str">
        <x:v>Four-party separation</x:v>
      </x:c>
      <x:c r="L17" s="11" t="str">
        <x:v>Four-party separation</x:v>
      </x:c>
    </x:row>
    <x:row r="18">
      <x:c r="B18" s="39" t="str">
        <x:v>Builder</x:v>
      </x:c>
      <x:c r="C18" s="3" t="str">
        <x:v>designs fabricates and repairs; never owns evidence acceptance</x:v>
      </x:c>
      <x:c r="D18" s="3" t="str"/>
      <x:c r="E18" s="3" t="str"/>
      <x:c r="F18" s="3" t="str"/>
      <x:c r="G18" s="3" t="str"/>
      <x:c r="H18" s="3" t="str"/>
      <x:c r="I18" s="3" t="str"/>
      <x:c r="J18" s="3" t="str"/>
      <x:c r="K18" s="3" t="str"/>
      <x:c r="L18" s="3" t="str"/>
    </x:row>
    <x:row r="19">
      <x:c r="B19" s="39" t="str">
        <x:v>Operator</x:v>
      </x:c>
      <x:c r="C19" s="3" t="str">
        <x:v>executes blind protocol and may declare unsafe stop; never changes thresholds</x:v>
      </x:c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</x:row>
    <x:row r="20">
      <x:c r="B20" s="39" t="str">
        <x:v>Evidence authority</x:v>
      </x:c>
      <x:c r="C20" s="3" t="str">
        <x:v>owns configuration randomization raw data uncertainty reproduction and gate state</x:v>
      </x:c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</x:row>
    <x:row r="21">
      <x:c r="B21" s="39" t="str">
        <x:v>Civil authority</x:v>
      </x:c>
      <x:c r="C21" s="3" t="str">
        <x:v>defines acceptable public effect and alone releases service to participants or population</x:v>
      </x:c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</x:row>
    <x:row r="22">
      <x:c r="B22" s="39" t="str">
        <x:v>Ancestry authority</x:v>
      </x:c>
      <x:c r="C22" s="3" t="str">
        <x:v>traces sub-tier factories feedstocks firmware laboratories and update roots across both lineages</x:v>
      </x:c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</x:row>
    <x:row r="23">
      <x:c r="B23" s="39" t="str">
        <x:v>Rights authority</x:v>
      </x:c>
      <x:c r="C23" s="3" t="str">
        <x:v>owns consent accessibility privacy participant care remediation and public reporting</x:v>
      </x:c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</x:sheetData>
  <x:mergeCells>
    <x:mergeCell ref="B2:H2"/>
    <x:mergeCell ref="B3:L3"/>
    <x:mergeCell ref="B17:L17"/>
  </x:mergeCells>
  <x:conditionalFormatting sqref="L7:L14">
    <x:cfRule type="containsText" dxfId="55" priority="1" operator="containsText" text="FAIL"/>
    <x:cfRule type="containsText" dxfId="56" priority="2" operator="containsText" text="PASS"/>
    <x:cfRule type="containsText" dxfId="57" priority="3" operator="containsText" text="OPEN"/>
    <x:cfRule type="containsText" dxfId="58" priority="4" operator="containsText" text="HOLD"/>
    <x:cfRule type="containsText" dxfId="59" priority="5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6" hidden="0" customWidth="1"/>
    <x:col min="3" max="3" width="14" hidden="0" customWidth="1"/>
    <x:col min="4" max="4" width="16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9" hidden="0" customWidth="1"/>
    <x:col min="12" max="12" width="29" hidden="0" customWidth="1"/>
    <x:col min="13" max="13" width="29" hidden="0" customWidth="1"/>
    <x:col min="14" max="14" width="14" hidden="0" customWidth="1"/>
  </x:cols>
  <x:sheetData>
    <x:row r="2">
      <x:c r="B2" s="4" t="str">
        <x:v>Article fleet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B3" s="5" t="str">
        <x:v>Qualification evidence, full-mission capacity and operational readiness use separate physical banks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B6" s="22" t="str">
        <x:v>ID</x:v>
      </x:c>
      <x:c r="C6" s="23" t="str">
        <x:v>Family</x:v>
      </x:c>
      <x:c r="D6" s="23" t="str">
        <x:v>Lineage</x:v>
      </x:c>
      <x:c r="E6" s="23" t="str">
        <x:v>Qualification tiles</x:v>
      </x:c>
      <x:c r="F6" s="23" t="str">
        <x:v>Engineering</x:v>
      </x:c>
      <x:c r="G6" s="23" t="str">
        <x:v>Environment</x:v>
      </x:c>
      <x:c r="H6" s="23" t="str">
        <x:v>Destructive</x:v>
      </x:c>
      <x:c r="I6" s="23" t="str">
        <x:v>Set integration</x:v>
      </x:c>
      <x:c r="J6" s="23" t="str">
        <x:v>Replication</x:v>
      </x:c>
      <x:c r="K6" s="23" t="str">
        <x:v>Preserved</x:v>
      </x:c>
      <x:c r="L6" s="23" t="str">
        <x:v>Mission-bank use</x:v>
      </x:c>
      <x:c r="M6" s="23" t="str">
        <x:v>Owner</x:v>
      </x:c>
      <x:c r="N6" s="23" t="str">
        <x:v>Result</x:v>
      </x:c>
    </x:row>
    <x:row r="7">
      <x:c r="B7" s="24" t="str">
        <x:v>AE</x:v>
      </x:c>
      <x:c r="C7" s="24" t="str">
        <x:v>E</x:v>
      </x:c>
      <x:c r="D7" s="24" t="str">
        <x:v>Air</x:v>
      </x:c>
      <x:c r="E7" s="24" t="n">
        <x:v>24</x:v>
      </x:c>
      <x:c r="F7" s="24" t="n">
        <x:v>4</x:v>
      </x:c>
      <x:c r="G7" s="24" t="n">
        <x:v>4</x:v>
      </x:c>
      <x:c r="H7" s="24" t="n">
        <x:v>4</x:v>
      </x:c>
      <x:c r="I7" s="24" t="n">
        <x:v>4</x:v>
      </x:c>
      <x:c r="J7" s="24" t="n">
        <x:v>4</x:v>
      </x:c>
      <x:c r="K7" s="24" t="n">
        <x:v>4</x:v>
      </x:c>
      <x:c r="L7" s="24" t="n">
        <x:v>0</x:v>
      </x:c>
      <x:c r="M7" s="24" t="str">
        <x:v>Air E Article Authority</x:v>
      </x:c>
      <x:c r="N7" s="45" t="str">
        <x:f>IF(SUM(F7:K7)=E7,"PASS","FAIL")</x:f>
        <x:v>PASS</x:v>
      </x:c>
    </x:row>
    <x:row r="8">
      <x:c r="B8" s="24" t="str">
        <x:v>AW</x:v>
      </x:c>
      <x:c r="C8" s="24" t="str">
        <x:v>W</x:v>
      </x:c>
      <x:c r="D8" s="24" t="str">
        <x:v>Air</x:v>
      </x:c>
      <x:c r="E8" s="24" t="n">
        <x:v>24</x:v>
      </x:c>
      <x:c r="F8" s="24" t="n">
        <x:v>4</x:v>
      </x:c>
      <x:c r="G8" s="24" t="n">
        <x:v>4</x:v>
      </x:c>
      <x:c r="H8" s="24" t="n">
        <x:v>4</x:v>
      </x:c>
      <x:c r="I8" s="24" t="n">
        <x:v>4</x:v>
      </x:c>
      <x:c r="J8" s="24" t="n">
        <x:v>4</x:v>
      </x:c>
      <x:c r="K8" s="24" t="n">
        <x:v>4</x:v>
      </x:c>
      <x:c r="L8" s="24" t="n">
        <x:v>0</x:v>
      </x:c>
      <x:c r="M8" s="24" t="str">
        <x:v>Air W Article Authority</x:v>
      </x:c>
      <x:c r="N8" s="45" t="str">
        <x:f>IF(SUM(F8:K8)=E8,"PASS","FAIL")</x:f>
        <x:v>PASS</x:v>
      </x:c>
    </x:row>
    <x:row r="9">
      <x:c r="B9" s="24" t="str">
        <x:v>AT</x:v>
      </x:c>
      <x:c r="C9" s="24" t="str">
        <x:v>T</x:v>
      </x:c>
      <x:c r="D9" s="24" t="str">
        <x:v>Air</x:v>
      </x:c>
      <x:c r="E9" s="24" t="n">
        <x:v>24</x:v>
      </x:c>
      <x:c r="F9" s="24" t="n">
        <x:v>4</x:v>
      </x:c>
      <x:c r="G9" s="24" t="n">
        <x:v>4</x:v>
      </x:c>
      <x:c r="H9" s="24" t="n">
        <x:v>4</x:v>
      </x:c>
      <x:c r="I9" s="24" t="n">
        <x:v>4</x:v>
      </x:c>
      <x:c r="J9" s="24" t="n">
        <x:v>4</x:v>
      </x:c>
      <x:c r="K9" s="24" t="n">
        <x:v>4</x:v>
      </x:c>
      <x:c r="L9" s="24" t="n">
        <x:v>0</x:v>
      </x:c>
      <x:c r="M9" s="24" t="str">
        <x:v>Air T Article Authority</x:v>
      </x:c>
      <x:c r="N9" s="45" t="str">
        <x:f>IF(SUM(F9:K9)=E9,"PASS","FAIL")</x:f>
        <x:v>PASS</x:v>
      </x:c>
    </x:row>
    <x:row r="10">
      <x:c r="B10" s="24" t="str">
        <x:v>AD</x:v>
      </x:c>
      <x:c r="C10" s="24" t="str">
        <x:v>D</x:v>
      </x:c>
      <x:c r="D10" s="24" t="str">
        <x:v>Air</x:v>
      </x:c>
      <x:c r="E10" s="24" t="n">
        <x:v>24</x:v>
      </x:c>
      <x:c r="F10" s="24" t="n">
        <x:v>4</x:v>
      </x:c>
      <x:c r="G10" s="24" t="n">
        <x:v>4</x:v>
      </x:c>
      <x:c r="H10" s="24" t="n">
        <x:v>4</x:v>
      </x:c>
      <x:c r="I10" s="24" t="n">
        <x:v>4</x:v>
      </x:c>
      <x:c r="J10" s="24" t="n">
        <x:v>4</x:v>
      </x:c>
      <x:c r="K10" s="24" t="n">
        <x:v>4</x:v>
      </x:c>
      <x:c r="L10" s="24" t="n">
        <x:v>0</x:v>
      </x:c>
      <x:c r="M10" s="24" t="str">
        <x:v>Air D Article Authority</x:v>
      </x:c>
      <x:c r="N10" s="45" t="str">
        <x:f>IF(SUM(F10:K10)=E10,"PASS","FAIL")</x:f>
        <x:v>PASS</x:v>
      </x:c>
    </x:row>
    <x:row r="11">
      <x:c r="B11" s="24" t="str">
        <x:v>AC</x:v>
      </x:c>
      <x:c r="C11" s="24" t="str">
        <x:v>C</x:v>
      </x:c>
      <x:c r="D11" s="24" t="str">
        <x:v>Air</x:v>
      </x:c>
      <x:c r="E11" s="24" t="n">
        <x:v>24</x:v>
      </x:c>
      <x:c r="F11" s="24" t="n">
        <x:v>4</x:v>
      </x:c>
      <x:c r="G11" s="24" t="n">
        <x:v>4</x:v>
      </x:c>
      <x:c r="H11" s="24" t="n">
        <x:v>4</x:v>
      </x:c>
      <x:c r="I11" s="24" t="n">
        <x:v>4</x:v>
      </x:c>
      <x:c r="J11" s="24" t="n">
        <x:v>4</x:v>
      </x:c>
      <x:c r="K11" s="24" t="n">
        <x:v>4</x:v>
      </x:c>
      <x:c r="L11" s="24" t="n">
        <x:v>0</x:v>
      </x:c>
      <x:c r="M11" s="24" t="str">
        <x:v>Air C Article Authority</x:v>
      </x:c>
      <x:c r="N11" s="45" t="str">
        <x:f>IF(SUM(F11:K11)=E11,"PASS","FAIL")</x:f>
        <x:v>PASS</x:v>
      </x:c>
    </x:row>
    <x:row r="12">
      <x:c r="B12" s="24" t="str">
        <x:v>TE</x:v>
      </x:c>
      <x:c r="C12" s="24" t="str">
        <x:v>E</x:v>
      </x:c>
      <x:c r="D12" s="24" t="str">
        <x:v>Terrain</x:v>
      </x:c>
      <x:c r="E12" s="24" t="n">
        <x:v>24</x:v>
      </x:c>
      <x:c r="F12" s="24" t="n">
        <x:v>4</x:v>
      </x:c>
      <x:c r="G12" s="24" t="n">
        <x:v>4</x:v>
      </x:c>
      <x:c r="H12" s="24" t="n">
        <x:v>4</x:v>
      </x:c>
      <x:c r="I12" s="24" t="n">
        <x:v>4</x:v>
      </x:c>
      <x:c r="J12" s="24" t="n">
        <x:v>4</x:v>
      </x:c>
      <x:c r="K12" s="24" t="n">
        <x:v>4</x:v>
      </x:c>
      <x:c r="L12" s="24" t="n">
        <x:v>0</x:v>
      </x:c>
      <x:c r="M12" s="24" t="str">
        <x:v>Terrain E Article Authority</x:v>
      </x:c>
      <x:c r="N12" s="45" t="str">
        <x:f>IF(SUM(F12:K12)=E12,"PASS","FAIL")</x:f>
        <x:v>PASS</x:v>
      </x:c>
    </x:row>
    <x:row r="13">
      <x:c r="B13" s="24" t="str">
        <x:v>TW</x:v>
      </x:c>
      <x:c r="C13" s="24" t="str">
        <x:v>W</x:v>
      </x:c>
      <x:c r="D13" s="24" t="str">
        <x:v>Terrain</x:v>
      </x:c>
      <x:c r="E13" s="24" t="n">
        <x:v>24</x:v>
      </x:c>
      <x:c r="F13" s="24" t="n">
        <x:v>4</x:v>
      </x:c>
      <x:c r="G13" s="24" t="n">
        <x:v>4</x:v>
      </x:c>
      <x:c r="H13" s="24" t="n">
        <x:v>4</x:v>
      </x:c>
      <x:c r="I13" s="24" t="n">
        <x:v>4</x:v>
      </x:c>
      <x:c r="J13" s="24" t="n">
        <x:v>4</x:v>
      </x:c>
      <x:c r="K13" s="24" t="n">
        <x:v>4</x:v>
      </x:c>
      <x:c r="L13" s="24" t="n">
        <x:v>0</x:v>
      </x:c>
      <x:c r="M13" s="24" t="str">
        <x:v>Terrain W Article Authority</x:v>
      </x:c>
      <x:c r="N13" s="45" t="str">
        <x:f>IF(SUM(F13:K13)=E13,"PASS","FAIL")</x:f>
        <x:v>PASS</x:v>
      </x:c>
    </x:row>
    <x:row r="14">
      <x:c r="B14" s="24" t="str">
        <x:v>TT</x:v>
      </x:c>
      <x:c r="C14" s="24" t="str">
        <x:v>T</x:v>
      </x:c>
      <x:c r="D14" s="24" t="str">
        <x:v>Terrain</x:v>
      </x:c>
      <x:c r="E14" s="24" t="n">
        <x:v>24</x:v>
      </x:c>
      <x:c r="F14" s="24" t="n">
        <x:v>4</x:v>
      </x:c>
      <x:c r="G14" s="24" t="n">
        <x:v>4</x:v>
      </x:c>
      <x:c r="H14" s="24" t="n">
        <x:v>4</x:v>
      </x:c>
      <x:c r="I14" s="24" t="n">
        <x:v>4</x:v>
      </x:c>
      <x:c r="J14" s="24" t="n">
        <x:v>4</x:v>
      </x:c>
      <x:c r="K14" s="24" t="n">
        <x:v>4</x:v>
      </x:c>
      <x:c r="L14" s="24" t="n">
        <x:v>0</x:v>
      </x:c>
      <x:c r="M14" s="24" t="str">
        <x:v>Terrain T Article Authority</x:v>
      </x:c>
      <x:c r="N14" s="45" t="str">
        <x:f>IF(SUM(F14:K14)=E14,"PASS","FAIL")</x:f>
        <x:v>PASS</x:v>
      </x:c>
    </x:row>
    <x:row r="15">
      <x:c r="B15" s="24" t="str">
        <x:v>TD</x:v>
      </x:c>
      <x:c r="C15" s="24" t="str">
        <x:v>D</x:v>
      </x:c>
      <x:c r="D15" s="24" t="str">
        <x:v>Terrain</x:v>
      </x:c>
      <x:c r="E15" s="24" t="n">
        <x:v>24</x:v>
      </x:c>
      <x:c r="F15" s="24" t="n">
        <x:v>4</x:v>
      </x:c>
      <x:c r="G15" s="24" t="n">
        <x:v>4</x:v>
      </x:c>
      <x:c r="H15" s="24" t="n">
        <x:v>4</x:v>
      </x:c>
      <x:c r="I15" s="24" t="n">
        <x:v>4</x:v>
      </x:c>
      <x:c r="J15" s="24" t="n">
        <x:v>4</x:v>
      </x:c>
      <x:c r="K15" s="24" t="n">
        <x:v>4</x:v>
      </x:c>
      <x:c r="L15" s="24" t="n">
        <x:v>0</x:v>
      </x:c>
      <x:c r="M15" s="24" t="str">
        <x:v>Terrain D Article Authority</x:v>
      </x:c>
      <x:c r="N15" s="45" t="str">
        <x:f>IF(SUM(F15:K15)=E15,"PASS","FAIL")</x:f>
        <x:v>PASS</x:v>
      </x:c>
    </x:row>
    <x:row r="16">
      <x:c r="B16" s="27" t="str">
        <x:v>TC</x:v>
      </x:c>
      <x:c r="C16" s="27" t="str">
        <x:v>C</x:v>
      </x:c>
      <x:c r="D16" s="27" t="str">
        <x:v>Terrain</x:v>
      </x:c>
      <x:c r="E16" s="27" t="n">
        <x:v>24</x:v>
      </x:c>
      <x:c r="F16" s="27" t="n">
        <x:v>4</x:v>
      </x:c>
      <x:c r="G16" s="27" t="n">
        <x:v>4</x:v>
      </x:c>
      <x:c r="H16" s="27" t="n">
        <x:v>4</x:v>
      </x:c>
      <x:c r="I16" s="27" t="n">
        <x:v>4</x:v>
      </x:c>
      <x:c r="J16" s="27" t="n">
        <x:v>4</x:v>
      </x:c>
      <x:c r="K16" s="27" t="n">
        <x:v>4</x:v>
      </x:c>
      <x:c r="L16" s="27" t="n">
        <x:v>0</x:v>
      </x:c>
      <x:c r="M16" s="27" t="str">
        <x:v>Terrain C Article Authority</x:v>
      </x:c>
      <x:c r="N16" s="46" t="str">
        <x:f>IF(SUM(F16:K16)=E16,"PASS","FAIL")</x:f>
        <x:v>PASS</x:v>
      </x:c>
    </x:row>
    <x:row r="17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B19" s="9" t="str">
        <x:v>Mission and carrier banks</x:v>
      </x:c>
      <x:c r="C19" s="10" t="str">
        <x:v>Mission and carrier banks</x:v>
      </x:c>
      <x:c r="D19" s="10" t="str">
        <x:v>Mission and carrier banks</x:v>
      </x:c>
      <x:c r="E19" s="10" t="str">
        <x:v>Mission and carrier banks</x:v>
      </x:c>
      <x:c r="F19" s="10" t="str">
        <x:v>Mission and carrier banks</x:v>
      </x:c>
      <x:c r="G19" s="10" t="str">
        <x:v>Mission and carrier banks</x:v>
      </x:c>
      <x:c r="H19" s="10" t="str">
        <x:v>Mission and carrier banks</x:v>
      </x:c>
      <x:c r="I19" s="10" t="str">
        <x:v>Mission and carrier banks</x:v>
      </x:c>
      <x:c r="J19" s="10" t="str">
        <x:v>Mission and carrier banks</x:v>
      </x:c>
      <x:c r="K19" s="10" t="str">
        <x:v>Mission and carrier banks</x:v>
      </x:c>
      <x:c r="L19" s="10" t="str">
        <x:v>Mission and carrier banks</x:v>
      </x:c>
      <x:c r="M19" s="10" t="str">
        <x:v>Mission and carrier banks</x:v>
      </x:c>
      <x:c r="N19" s="49" t="str">
        <x:v>Mission and carrier banks</x:v>
      </x:c>
    </x:row>
    <x:row r="20">
      <x:c r="B20" s="17" t="str">
        <x:v>Bank</x:v>
      </x:c>
      <x:c r="C20" s="18" t="str">
        <x:v>Calculation</x:v>
      </x:c>
      <x:c r="D20" s="18" t="str">
        <x:v>Articles</x:v>
      </x:c>
      <x:c r="E20" s="18" t="str">
        <x:v>Unit</x:v>
      </x:c>
      <x:c r="F20" s="18" t="str">
        <x:v>Protected from</x:v>
      </x:c>
      <x:c r="G20" s="18" t="str">
        <x:v>Concurrency supported</x:v>
      </x:c>
      <x:c r="H20" s="19" t="str">
        <x:v>Result</x:v>
      </x:c>
      <x:c r="I20" s="3"/>
      <x:c r="J20" s="3"/>
      <x:c r="K20" s="3"/>
      <x:c r="L20" s="3"/>
      <x:c r="M20" s="3"/>
    </x:row>
    <x:row r="21">
      <x:c r="B21" s="3" t="str">
        <x:v>Qualification tiles</x:v>
      </x:c>
      <x:c r="C21" s="3" t="n">
        <x:f>SUM(E7:E16)</x:f>
        <x:v>240</x:v>
      </x:c>
      <x:c r="D21" s="3" t="str">
        <x:v>protected qualification evidence</x:v>
      </x:c>
      <x:c r="E21" s="3" t="str">
        <x:v>tiles</x:v>
      </x:c>
      <x:c r="F21" s="3" t="str">
        <x:v>operational tasking</x:v>
      </x:c>
      <x:c r="G21" s="3" t="n">
        <x:v>0</x:v>
      </x:c>
      <x:c r="H21" s="3" t="str">
        <x:f>IF(C21=240,"PASS","FAIL")</x:f>
        <x:v>PASS</x:v>
      </x:c>
      <x:c r="I21" s="3"/>
      <x:c r="J21" s="3"/>
      <x:c r="K21" s="3"/>
      <x:c r="L21" s="3"/>
      <x:c r="M21" s="3"/>
    </x:row>
    <x:row r="22">
      <x:c r="B22" s="3" t="str">
        <x:v>Air mission tiles</x:v>
      </x:c>
      <x:c r="C22" s="3" t="n">
        <x:f>Assumptions!C16*Assumptions!C17</x:f>
        <x:v>120</x:v>
      </x:c>
      <x:c r="D22" s="3" t="str">
        <x:v>2 x 60</x:v>
      </x:c>
      <x:c r="E22" s="3" t="str">
        <x:v>tiles</x:v>
      </x:c>
      <x:c r="F22" s="3" t="str">
        <x:v>qualification use</x:v>
      </x:c>
      <x:c r="G22" s="3" t="n">
        <x:v>2</x:v>
      </x:c>
      <x:c r="H22" s="3" t="str">
        <x:f>IF(C22=120,"PASS","FAIL")</x:f>
        <x:v>PASS</x:v>
      </x:c>
      <x:c r="I22" s="3"/>
      <x:c r="J22" s="3"/>
      <x:c r="K22" s="3"/>
      <x:c r="L22" s="3"/>
      <x:c r="M22" s="3"/>
    </x:row>
    <x:row r="23">
      <x:c r="B23" s="3" t="str">
        <x:v>Terrain mission tiles</x:v>
      </x:c>
      <x:c r="C23" s="3" t="n">
        <x:f>Assumptions!C18*Assumptions!C19</x:f>
        <x:v>100</x:v>
      </x:c>
      <x:c r="D23" s="3" t="str">
        <x:v>2 x 50</x:v>
      </x:c>
      <x:c r="E23" s="3" t="str">
        <x:v>tiles</x:v>
      </x:c>
      <x:c r="F23" s="3" t="str">
        <x:v>qualification use</x:v>
      </x:c>
      <x:c r="G23" s="3" t="n">
        <x:v>2</x:v>
      </x:c>
      <x:c r="H23" s="3" t="str">
        <x:f>IF(C23=100,"PASS","FAIL")</x:f>
        <x:v>PASS</x:v>
      </x:c>
      <x:c r="I23" s="3"/>
      <x:c r="J23" s="3"/>
      <x:c r="K23" s="3"/>
      <x:c r="L23" s="3"/>
      <x:c r="M23" s="3"/>
    </x:row>
    <x:row r="24">
      <x:c r="B24" s="3" t="str">
        <x:v>Mission attrition tiles</x:v>
      </x:c>
      <x:c r="C24" s="3" t="n">
        <x:f>Assumptions!C20</x:f>
        <x:v>20</x:v>
      </x:c>
      <x:c r="D24" s="3" t="str">
        <x:v>quarantine and hidden faults</x:v>
      </x:c>
      <x:c r="E24" s="3" t="str">
        <x:v>tiles</x:v>
      </x:c>
      <x:c r="F24" s="3" t="str">
        <x:v>routine replenishment</x:v>
      </x:c>
      <x:c r="G24" s="3" t="n">
        <x:v>0</x:v>
      </x:c>
      <x:c r="H24" s="3" t="str">
        <x:f>IF(C24=20,"PASS","FAIL")</x:f>
        <x:v>PASS</x:v>
      </x:c>
      <x:c r="I24" s="3"/>
      <x:c r="J24" s="3"/>
      <x:c r="K24" s="3"/>
      <x:c r="L24" s="3"/>
      <x:c r="M24" s="3"/>
    </x:row>
    <x:row r="25">
      <x:c r="B25" s="3" t="str">
        <x:v>Development tiles</x:v>
      </x:c>
      <x:c r="C25" s="3" t="n">
        <x:f>SUM(C21:C24)</x:f>
        <x:v>480</x:v>
      </x:c>
      <x:c r="D25" s="3" t="str">
        <x:v>qualification plus mission</x:v>
      </x:c>
      <x:c r="E25" s="3" t="str">
        <x:v>tiles</x:v>
      </x:c>
      <x:c r="F25" s="3" t="str">
        <x:v>operational readiness</x:v>
      </x:c>
      <x:c r="G25" s="3" t="n">
        <x:v>4</x:v>
      </x:c>
      <x:c r="H25" s="3" t="str">
        <x:f>IF(C25=480,"PASS","FAIL")</x:f>
        <x:v>PASS</x:v>
      </x:c>
      <x:c r="I25" s="3"/>
      <x:c r="J25" s="3"/>
      <x:c r="K25" s="3"/>
      <x:c r="L25" s="3"/>
      <x:c r="M25" s="3"/>
    </x:row>
    <x:row r="26">
      <x:c r="B26" s="3" t="str">
        <x:v>Total tile inventory</x:v>
      </x:c>
      <x:c r="C26" s="3" t="n">
        <x:f>Assumptions!C23+Assumptions!C24+C25</x:f>
        <x:v>6156</x:v>
      </x:c>
      <x:c r="D26" s="3" t="str">
        <x:v>loaded plus reserve plus development</x:v>
      </x:c>
      <x:c r="E26" s="3" t="str">
        <x:v>tiles</x:v>
      </x:c>
      <x:c r="F26" s="3" t="str">
        <x:v>double counting</x:v>
      </x:c>
      <x:c r="G26" s="3" t="n">
        <x:v>4</x:v>
      </x:c>
      <x:c r="H26" s="3" t="str">
        <x:f>IF(C26=6156,"PASS","FAIL")</x:f>
        <x:v>PASS</x:v>
      </x:c>
      <x:c r="I26" s="3"/>
      <x:c r="J26" s="3"/>
      <x:c r="K26" s="3"/>
      <x:c r="L26" s="3"/>
      <x:c r="M26" s="3"/>
    </x:row>
    <x:row r="27">
      <x:c r="B27" s="3" t="str">
        <x:v>Air development carriers</x:v>
      </x:c>
      <x:c r="C27" s="3" t="n">
        <x:f>Assumptions!C26</x:f>
        <x:v>14</x:v>
      </x:c>
      <x:c r="D27" s="3" t="str">
        <x:v>inherited development fleet</x:v>
      </x:c>
      <x:c r="E27" s="3" t="str">
        <x:v>carriers</x:v>
      </x:c>
      <x:c r="F27" s="3" t="str">
        <x:v>operational fleet</x:v>
      </x:c>
      <x:c r="G27" s="3" t="n">
        <x:v>4</x:v>
      </x:c>
      <x:c r="H27" s="3" t="str">
        <x:f>IF(C27&gt;=12,"PASS","FAIL")</x:f>
        <x:v>PASS</x:v>
      </x:c>
      <x:c r="I27" s="3"/>
      <x:c r="J27" s="3"/>
      <x:c r="K27" s="3"/>
      <x:c r="L27" s="3"/>
      <x:c r="M27" s="3"/>
    </x:row>
    <x:row r="28">
      <x:c r="B28" s="3" t="str">
        <x:v>Terrain development carriers</x:v>
      </x:c>
      <x:c r="C28" s="3" t="n">
        <x:f>Assumptions!C27</x:f>
        <x:v>12</x:v>
      </x:c>
      <x:c r="D28" s="3" t="str">
        <x:v>inherited development fleet</x:v>
      </x:c>
      <x:c r="E28" s="3" t="str">
        <x:v>carriers</x:v>
      </x:c>
      <x:c r="F28" s="3" t="str">
        <x:v>operational fleet</x:v>
      </x:c>
      <x:c r="G28" s="3" t="n">
        <x:v>2</x:v>
      </x:c>
      <x:c r="H28" s="3" t="str">
        <x:f>IF(C28&gt;=10,"PASS","FAIL")</x:f>
        <x:v>PASS</x:v>
      </x:c>
      <x:c r="I28" s="3"/>
      <x:c r="J28" s="3"/>
      <x:c r="K28" s="3"/>
      <x:c r="L28" s="3"/>
      <x:c r="M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B31" s="9" t="str">
        <x:v>Other representative articles</x:v>
      </x:c>
      <x:c r="C31" s="10" t="str">
        <x:v>Other representative articles</x:v>
      </x:c>
      <x:c r="D31" s="10" t="str">
        <x:v>Other representative articles</x:v>
      </x:c>
      <x:c r="E31" s="10" t="str">
        <x:v>Other representative articles</x:v>
      </x:c>
      <x:c r="F31" s="10" t="str">
        <x:v>Other representative articles</x:v>
      </x:c>
      <x:c r="G31" s="10" t="str">
        <x:v>Other representative articles</x:v>
      </x:c>
      <x:c r="H31" s="10" t="str">
        <x:v>Other representative articles</x:v>
      </x:c>
      <x:c r="I31" s="10" t="str">
        <x:v>Other representative articles</x:v>
      </x:c>
      <x:c r="J31" s="10" t="str">
        <x:v>Other representative articles</x:v>
      </x:c>
      <x:c r="K31" s="10" t="str">
        <x:v>Other representative articles</x:v>
      </x:c>
      <x:c r="L31" s="10" t="str">
        <x:v>Other representative articles</x:v>
      </x:c>
      <x:c r="M31" s="10" t="str">
        <x:v>Other representative articles</x:v>
      </x:c>
      <x:c r="N31" s="49" t="str">
        <x:v>Other representative articles</x:v>
      </x:c>
    </x:row>
    <x:row r="32">
      <x:c r="B32" s="50" t="str">
        <x:v>Air saddle and keel rigs</x:v>
      </x:c>
      <x:c r="C32" s="50" t="n">
        <x:v>8</x:v>
      </x:c>
      <x:c r="D32" s="50" t="str">
        <x:v>full-scale rigs</x:v>
      </x:c>
      <x:c r="E32" s="50" t="str">
        <x:v>two keels four load states destructive repair</x:v>
      </x:c>
      <x:c r="F32" s="50" t="str">
        <x:v>F07</x:v>
      </x:c>
      <x:c r="G32" s="50" t="str">
        <x:v>OPEN</x:v>
      </x:c>
      <x:c r="H32" s="3" t="str">
        <x:v>Airworthiness Evidence Authority</x:v>
      </x:c>
      <x:c r="I32" s="3" t="str"/>
      <x:c r="J32" s="3" t="str"/>
      <x:c r="K32" s="3" t="str"/>
      <x:c r="L32" s="3" t="str"/>
      <x:c r="M32" s="3" t="str"/>
      <x:c r="N32" t="str"/>
    </x:row>
    <x:row r="33">
      <x:c r="B33" s="24" t="str">
        <x:v>Terrain body joint and saddle rigs</x:v>
      </x:c>
      <x:c r="C33" s="24" t="n">
        <x:v>10</x:v>
      </x:c>
      <x:c r="D33" s="24" t="str">
        <x:v>full-scale rigs</x:v>
      </x:c>
      <x:c r="E33" s="24" t="str">
        <x:v>two bodies joints soil and bridge coupling</x:v>
      </x:c>
      <x:c r="F33" s="24" t="str">
        <x:v>F08</x:v>
      </x:c>
      <x:c r="G33" s="24" t="str">
        <x:v>OPEN</x:v>
      </x:c>
      <x:c r="H33" s="3" t="str">
        <x:v>Terrain Evidence Authority</x:v>
      </x:c>
      <x:c r="I33" s="3" t="str"/>
      <x:c r="J33" s="3" t="str"/>
      <x:c r="K33" s="3" t="str"/>
      <x:c r="L33" s="3" t="str"/>
      <x:c r="M33" s="3" t="str"/>
      <x:c r="N33" t="str"/>
    </x:row>
    <x:row r="34">
      <x:c r="B34" s="24" t="str">
        <x:v>Five-family integration sets</x:v>
      </x:c>
      <x:c r="C34" s="24" t="n">
        <x:v>16</x:v>
      </x:c>
      <x:c r="D34" s="24" t="str">
        <x:v>sets</x:v>
      </x:c>
      <x:c r="E34" s="24" t="str">
        <x:v>four per environmental class and lineage</x:v>
      </x:c>
      <x:c r="F34" s="24" t="str">
        <x:v>F09</x:v>
      </x:c>
      <x:c r="G34" s="24" t="str">
        <x:v>OPEN</x:v>
      </x:c>
      <x:c r="H34" s="3" t="str">
        <x:v>Set Integration Authority</x:v>
      </x:c>
      <x:c r="I34" s="3" t="str"/>
      <x:c r="J34" s="3" t="str"/>
      <x:c r="K34" s="3" t="str"/>
      <x:c r="L34" s="3" t="str"/>
      <x:c r="M34" s="3" t="str"/>
      <x:c r="N34" t="str"/>
    </x:row>
    <x:row r="35">
      <x:c r="B35" s="24" t="str">
        <x:v>Mode-specific receiver complexes</x:v>
      </x:c>
      <x:c r="C35" s="24" t="n">
        <x:v>8</x:v>
      </x:c>
      <x:c r="D35" s="24" t="str">
        <x:v>complexes</x:v>
      </x:c>
      <x:c r="E35" s="24" t="str">
        <x:v>air and terrain complex at four paired ranges</x:v>
      </x:c>
      <x:c r="F35" s="24" t="str">
        <x:v>F09</x:v>
      </x:c>
      <x:c r="G35" s="24" t="str">
        <x:v>OPEN</x:v>
      </x:c>
      <x:c r="H35" s="3" t="str">
        <x:v>Receiver Evidence Authority</x:v>
      </x:c>
      <x:c r="I35" s="3" t="str"/>
      <x:c r="J35" s="3" t="str"/>
      <x:c r="K35" s="3" t="str"/>
      <x:c r="L35" s="3" t="str"/>
      <x:c r="M35" s="3" t="str"/>
      <x:c r="N35" t="str"/>
    </x:row>
    <x:row r="36">
      <x:c r="B36" s="51" t="str">
        <x:v>Second-lot pilot runs</x:v>
      </x:c>
      <x:c r="C36" s="51" t="n">
        <x:v>20</x:v>
      </x:c>
      <x:c r="D36" s="51" t="str">
        <x:v>lots</x:v>
      </x:c>
      <x:c r="E36" s="51" t="str">
        <x:v>one independent lot per family-lineage plus interface lots</x:v>
      </x:c>
      <x:c r="F36" s="51" t="str">
        <x:v>F11</x:v>
      </x:c>
      <x:c r="G36" s="51" t="str">
        <x:v>OPEN</x:v>
      </x:c>
      <x:c r="H36" s="3" t="str">
        <x:v>Production Evidence Authority</x:v>
      </x:c>
      <x:c r="I36" s="3" t="str"/>
      <x:c r="J36" s="3" t="str"/>
      <x:c r="K36" s="3" t="str"/>
      <x:c r="L36" s="3" t="str"/>
      <x:c r="M36" s="3" t="str"/>
      <x:c r="N36" t="str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</x:sheetData>
  <x:mergeCells>
    <x:mergeCell ref="B2:H2"/>
    <x:mergeCell ref="B3:M3"/>
    <x:mergeCell ref="B19:N19"/>
    <x:mergeCell ref="B31:N31"/>
  </x:mergeCells>
  <x:conditionalFormatting sqref="N7:N16">
    <x:cfRule type="containsText" dxfId="60" priority="1" operator="containsText" text="FAIL"/>
    <x:cfRule type="containsText" dxfId="61" priority="2" operator="containsText" text="PASS"/>
    <x:cfRule type="containsText" dxfId="62" priority="3" operator="containsText" text="OPEN"/>
    <x:cfRule type="containsText" dxfId="63" priority="4" operator="containsText" text="HOLD"/>
    <x:cfRule type="containsText" dxfId="64" priority="5" operator="containsText" text="BLOCKED"/>
  </x:conditionalFormatting>
  <x:conditionalFormatting sqref="H21:H28">
    <x:cfRule type="containsText" dxfId="65" priority="6" operator="containsText" text="FAIL"/>
    <x:cfRule type="containsText" dxfId="66" priority="7" operator="containsText" text="PASS"/>
    <x:cfRule type="containsText" dxfId="67" priority="8" operator="containsText" text="OPEN"/>
    <x:cfRule type="containsText" dxfId="68" priority="9" operator="containsText" text="HOLD"/>
    <x:cfRule type="containsText" dxfId="69" priority="10" operator="containsText" text="BLOCKED"/>
  </x:conditionalFormatting>
  <x:conditionalFormatting sqref="F32:F36">
    <x:cfRule type="containsText" dxfId="70" priority="11" operator="containsText" text="FAIL"/>
    <x:cfRule type="containsText" dxfId="71" priority="12" operator="containsText" text="PASS"/>
    <x:cfRule type="containsText" dxfId="72" priority="13" operator="containsText" text="OPEN"/>
    <x:cfRule type="containsText" dxfId="73" priority="14" operator="containsText" text="HOLD"/>
    <x:cfRule type="containsText" dxfId="74" priority="15" operator="containsText" text="BLOCK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29" hidden="0" customWidth="1"/>
    <x:col min="4" max="4" width="43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14" hidden="0" customWidth="1"/>
    <x:col min="11" max="11" width="21" hidden="0" customWidth="1"/>
    <x:col min="12" max="12" width="27" hidden="0" customWidth="1"/>
    <x:col min="13" max="13" width="14" hidden="0" customWidth="1"/>
  </x:cols>
  <x:sheetData>
    <x:row r="2">
      <x:c r="B2" s="4" t="str">
        <x:v>National proving facility network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B3" s="5" t="str">
        <x:v>Eleven facility families close distinct physical questions; mission ranges integrate rather than replace laboratories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B6" s="22" t="str">
        <x:v>ID</x:v>
      </x:c>
      <x:c r="C6" s="23" t="str">
        <x:v>Facility family</x:v>
      </x:c>
      <x:c r="D6" s="23" t="str">
        <x:v>Physical question</x:v>
      </x:c>
      <x:c r="E6" s="23" t="str">
        <x:v>Primary stages</x:v>
      </x:c>
      <x:c r="F6" s="23" t="str">
        <x:v>Capital $B</x:v>
      </x:c>
      <x:c r="G6" s="23" t="str">
        <x:v>Capacity</x:v>
      </x:c>
      <x:c r="H6" s="23" t="str">
        <x:v>Demand</x:v>
      </x:c>
      <x:c r="I6" s="23" t="str">
        <x:v>Unit</x:v>
      </x:c>
      <x:c r="J6" s="23" t="str">
        <x:v>Utilization</x:v>
      </x:c>
      <x:c r="K6" s="23" t="str">
        <x:v>Concurrency</x:v>
      </x:c>
      <x:c r="L6" s="23" t="str">
        <x:v>Independent control</x:v>
      </x:c>
      <x:c r="M6" s="23" t="str">
        <x:v>Initial state</x:v>
      </x:c>
    </x:row>
    <x:row r="7">
      <x:c r="B7" s="24" t="str">
        <x:v>F01</x:v>
      </x:c>
      <x:c r="C7" s="24" t="str">
        <x:v>Metrology, control, ancestry and mobile instrumentation</x:v>
      </x:c>
      <x:c r="D7" s="24" t="str">
        <x:v>Can every measurement and software-material lineage be reconstructed?</x:v>
      </x:c>
      <x:c r="E7" s="24" t="str">
        <x:v>G1-G8</x:v>
      </x:c>
      <x:c r="F7" s="35" t="n">
        <x:v>24</x:v>
      </x:c>
      <x:c r="G7" s="36" t="n">
        <x:v>1200</x:v>
      </x:c>
      <x:c r="H7" s="36" t="n">
        <x:v>700</x:v>
      </x:c>
      <x:c r="I7" s="24" t="str">
        <x:v>slot-weeks</x:v>
      </x:c>
      <x:c r="J7" s="30" t="n">
        <x:f>H7/G7</x:f>
        <x:v>0.5833333333333334</x:v>
      </x:c>
      <x:c r="K7" s="24" t="str">
        <x:v>all campaigns</x:v>
      </x:c>
      <x:c r="L7" s="24" t="str">
        <x:v>National Measurement Authority</x:v>
      </x:c>
      <x:c r="M7" s="26" t="str">
        <x:v>OPEN</x:v>
      </x:c>
    </x:row>
    <x:row r="8">
      <x:c r="B8" s="24" t="str">
        <x:v>F02</x:v>
      </x:c>
      <x:c r="C8" s="24" t="str">
        <x:v>Energy stress and safety laboratories</x:v>
      </x:c>
      <x:c r="D8" s="24" t="str">
        <x:v>Can E tiles generate, isolate and black-start under compound load?</x:v>
      </x:c>
      <x:c r="E8" s="24" t="str">
        <x:v>G2-G4</x:v>
      </x:c>
      <x:c r="F8" s="35" t="n">
        <x:v>42</x:v>
      </x:c>
      <x:c r="G8" s="36" t="n">
        <x:v>1440</x:v>
      </x:c>
      <x:c r="H8" s="36" t="n">
        <x:v>360</x:v>
      </x:c>
      <x:c r="I8" s="24" t="str">
        <x:v>article-weeks</x:v>
      </x:c>
      <x:c r="J8" s="30" t="n">
        <x:f>H8/G8</x:f>
        <x:v>0.25</x:v>
      </x:c>
      <x:c r="K8" s="24" t="str">
        <x:v>10 lineages</x:v>
      </x:c>
      <x:c r="L8" s="24" t="str">
        <x:v>Energy Evidence Authority</x:v>
      </x:c>
      <x:c r="M8" s="26" t="str">
        <x:v>OPEN</x:v>
      </x:c>
    </x:row>
    <x:row r="9">
      <x:c r="B9" s="24" t="str">
        <x:v>F03</x:v>
      </x:c>
      <x:c r="C9" s="24" t="str">
        <x:v>Water and residual laboratories</x:v>
      </x:c>
      <x:c r="D9" s="24" t="str">
        <x:v>Can W tiles produce lawful water and manage every residual stream?</x:v>
      </x:c>
      <x:c r="E9" s="24" t="str">
        <x:v>G2-G4</x:v>
      </x:c>
      <x:c r="F9" s="35" t="n">
        <x:v>36</x:v>
      </x:c>
      <x:c r="G9" s="36" t="n">
        <x:v>1440</x:v>
      </x:c>
      <x:c r="H9" s="36" t="n">
        <x:v>360</x:v>
      </x:c>
      <x:c r="I9" s="24" t="str">
        <x:v>article-weeks</x:v>
      </x:c>
      <x:c r="J9" s="30" t="n">
        <x:f>H9/G9</x:f>
        <x:v>0.25</x:v>
      </x:c>
      <x:c r="K9" s="24" t="str">
        <x:v>10 lineages</x:v>
      </x:c>
      <x:c r="L9" s="24" t="str">
        <x:v>Water Evidence Authority</x:v>
      </x:c>
      <x:c r="M9" s="26" t="str">
        <x:v>OPEN</x:v>
      </x:c>
    </x:row>
    <x:row r="10">
      <x:c r="B10" s="24" t="str">
        <x:v>F04</x:v>
      </x:c>
      <x:c r="C10" s="24" t="str">
        <x:v>Thermal and shelter laboratories</x:v>
      </x:c>
      <x:c r="D10" s="24" t="str">
        <x:v>Can T tiles hold survivable thermal envelopes under simultaneous demand?</x:v>
      </x:c>
      <x:c r="E10" s="24" t="str">
        <x:v>G2-G4</x:v>
      </x:c>
      <x:c r="F10" s="35" t="n">
        <x:v>30</x:v>
      </x:c>
      <x:c r="G10" s="36" t="n">
        <x:v>1080</x:v>
      </x:c>
      <x:c r="H10" s="36" t="n">
        <x:v>300</x:v>
      </x:c>
      <x:c r="I10" s="24" t="str">
        <x:v>article-weeks</x:v>
      </x:c>
      <x:c r="J10" s="30" t="n">
        <x:f>H10/G10</x:f>
        <x:v>0.2777777777777778</x:v>
      </x:c>
      <x:c r="K10" s="24" t="str">
        <x:v>10 lineages</x:v>
      </x:c>
      <x:c r="L10" s="24" t="str">
        <x:v>Thermal Evidence Authority</x:v>
      </x:c>
      <x:c r="M10" s="26" t="str">
        <x:v>OPEN</x:v>
      </x:c>
    </x:row>
    <x:row r="11">
      <x:c r="B11" s="24" t="str">
        <x:v>F05</x:v>
      </x:c>
      <x:c r="C11" s="24" t="str">
        <x:v>Distribution and communications laboratories</x:v>
      </x:c>
      <x:c r="D11" s="24" t="str">
        <x:v>Can D tiles route power fluid data and custody while degraded?</x:v>
      </x:c>
      <x:c r="E11" s="24" t="str">
        <x:v>G2-G4</x:v>
      </x:c>
      <x:c r="F11" s="35" t="n">
        <x:v>28</x:v>
      </x:c>
      <x:c r="G11" s="36" t="n">
        <x:v>1440</x:v>
      </x:c>
      <x:c r="H11" s="36" t="n">
        <x:v>360</x:v>
      </x:c>
      <x:c r="I11" s="24" t="str">
        <x:v>article-weeks</x:v>
      </x:c>
      <x:c r="J11" s="30" t="n">
        <x:f>H11/G11</x:f>
        <x:v>0.25</x:v>
      </x:c>
      <x:c r="K11" s="24" t="str">
        <x:v>10 lineages</x:v>
      </x:c>
      <x:c r="L11" s="24" t="str">
        <x:v>Distribution Evidence Authority</x:v>
      </x:c>
      <x:c r="M11" s="26" t="str">
        <x:v>OPEN</x:v>
      </x:c>
    </x:row>
    <x:row r="12">
      <x:c r="B12" s="24" t="str">
        <x:v>F06</x:v>
      </x:c>
      <x:c r="C12" s="24" t="str">
        <x:v>Civil, clinical and accessibility laboratories</x:v>
      </x:c>
      <x:c r="D12" s="24" t="str">
        <x:v>Can C tiles deliver lawful accessible public service?</x:v>
      </x:c>
      <x:c r="E12" s="24" t="str">
        <x:v>G2-G4</x:v>
      </x:c>
      <x:c r="F12" s="35" t="n">
        <x:v>24</x:v>
      </x:c>
      <x:c r="G12" s="36" t="n">
        <x:v>1080</x:v>
      </x:c>
      <x:c r="H12" s="36" t="n">
        <x:v>300</x:v>
      </x:c>
      <x:c r="I12" s="24" t="str">
        <x:v>article-weeks</x:v>
      </x:c>
      <x:c r="J12" s="30" t="n">
        <x:f>H12/G12</x:f>
        <x:v>0.2777777777777778</x:v>
      </x:c>
      <x:c r="K12" s="24" t="str">
        <x:v>10 lineages</x:v>
      </x:c>
      <x:c r="L12" s="24" t="str">
        <x:v>Civil Service Evidence Authority</x:v>
      </x:c>
      <x:c r="M12" s="26" t="str">
        <x:v>OPEN</x:v>
      </x:c>
    </x:row>
    <x:row r="13">
      <x:c r="B13" s="24" t="str">
        <x:v>F07</x:v>
      </x:c>
      <x:c r="C13" s="24" t="str">
        <x:v>Air structural, restraint and unload complex</x:v>
      </x:c>
      <x:c r="D13" s="24" t="str">
        <x:v>Can the air carrier survive load, CG, fire, transfer and evacuation worlds?</x:v>
      </x:c>
      <x:c r="E13" s="24" t="str">
        <x:v>G3-G5</x:v>
      </x:c>
      <x:c r="F13" s="35" t="n">
        <x:v>48</x:v>
      </x:c>
      <x:c r="G13" s="36" t="n">
        <x:v>1280</x:v>
      </x:c>
      <x:c r="H13" s="36" t="n">
        <x:v>520</x:v>
      </x:c>
      <x:c r="I13" s="24" t="str">
        <x:v>rig-weeks</x:v>
      </x:c>
      <x:c r="J13" s="30" t="n">
        <x:f>H13/G13</x:f>
        <x:v>0.40625</x:v>
      </x:c>
      <x:c r="K13" s="24" t="str">
        <x:v>two air missions</x:v>
      </x:c>
      <x:c r="L13" s="24" t="str">
        <x:v>Airworthiness Evidence Authority</x:v>
      </x:c>
      <x:c r="M13" s="26" t="str">
        <x:v>OPEN</x:v>
      </x:c>
    </x:row>
    <x:row r="14">
      <x:c r="B14" s="24" t="str">
        <x:v>F08</x:v>
      </x:c>
      <x:c r="C14" s="24" t="str">
        <x:v>Terrain soil, bridge and articulation complex</x:v>
      </x:c>
      <x:c r="D14" s="24" t="str">
        <x:v>Can the terrain carrier stay below route and soil constraints while coupled?</x:v>
      </x:c>
      <x:c r="E14" s="24" t="str">
        <x:v>G3-G5</x:v>
      </x:c>
      <x:c r="F14" s="35" t="n">
        <x:v>42</x:v>
      </x:c>
      <x:c r="G14" s="36" t="n">
        <x:v>1600</x:v>
      </x:c>
      <x:c r="H14" s="36" t="n">
        <x:v>560</x:v>
      </x:c>
      <x:c r="I14" s="24" t="str">
        <x:v>rig-weeks</x:v>
      </x:c>
      <x:c r="J14" s="30" t="n">
        <x:f>H14/G14</x:f>
        <x:v>0.35</x:v>
      </x:c>
      <x:c r="K14" s="24" t="str">
        <x:v>two terrain missions</x:v>
      </x:c>
      <x:c r="L14" s="24" t="str">
        <x:v>Terrain Evidence Authority</x:v>
      </x:c>
      <x:c r="M14" s="26" t="str">
        <x:v>OPEN</x:v>
      </x:c>
    </x:row>
    <x:row r="15">
      <x:c r="B15" s="24" t="str">
        <x:v>F09</x:v>
      </x:c>
      <x:c r="C15" s="24" t="str">
        <x:v>Four paired compound-service mission ranges</x:v>
      </x:c>
      <x:c r="D15" s="24" t="str">
        <x:v>Can a formation create lawful service at an unprepared receiver?</x:v>
      </x:c>
      <x:c r="E15" s="24" t="str">
        <x:v>G4-G7</x:v>
      </x:c>
      <x:c r="F15" s="35" t="n">
        <x:v>48</x:v>
      </x:c>
      <x:c r="G15" s="36" t="n">
        <x:v>2880</x:v>
      </x:c>
      <x:c r="H15" s="36" t="n">
        <x:v>2000</x:v>
      </x:c>
      <x:c r="I15" s="24" t="str">
        <x:v>range-days</x:v>
      </x:c>
      <x:c r="J15" s="30" t="n">
        <x:f>H15/G15</x:f>
        <x:v>0.6944444444444444</x:v>
      </x:c>
      <x:c r="K15" s="24" t="str">
        <x:v>four simultaneous</x:v>
      </x:c>
      <x:c r="L15" s="24" t="str">
        <x:v>Range Evidence Authority</x:v>
      </x:c>
      <x:c r="M15" s="26" t="str">
        <x:v>OPEN</x:v>
      </x:c>
    </x:row>
    <x:row r="16">
      <x:c r="B16" s="24" t="str">
        <x:v>F10</x:v>
      </x:c>
      <x:c r="C16" s="24" t="str">
        <x:v>Reset, contamination and quarantine depots</x:v>
      </x:c>
      <x:c r="D16" s="24" t="str">
        <x:v>Can articles return to a known certified state without hiding damage?</x:v>
      </x:c>
      <x:c r="E16" s="24" t="str">
        <x:v>G7-G8</x:v>
      </x:c>
      <x:c r="F16" s="35" t="n">
        <x:v>16</x:v>
      </x:c>
      <x:c r="G16" s="36" t="n">
        <x:v>1600</x:v>
      </x:c>
      <x:c r="H16" s="36" t="n">
        <x:v>480</x:v>
      </x:c>
      <x:c r="I16" s="24" t="str">
        <x:v>article-weeks</x:v>
      </x:c>
      <x:c r="J16" s="30" t="n">
        <x:f>H16/G16</x:f>
        <x:v>0.3</x:v>
      </x:c>
      <x:c r="K16" s="24" t="str">
        <x:v>four reset streams</x:v>
      </x:c>
      <x:c r="L16" s="24" t="str">
        <x:v>Reset Evidence Authority</x:v>
      </x:c>
      <x:c r="M16" s="26" t="str">
        <x:v>OPEN</x:v>
      </x:c>
    </x:row>
    <x:row r="17">
      <x:c r="B17" s="27" t="str">
        <x:v>F11</x:v>
      </x:c>
      <x:c r="C17" s="27" t="str">
        <x:v>Plural pilot-production and second-lot lines</x:v>
      </x:c>
      <x:c r="D17" s="27" t="str">
        <x:v>Can independent lots reproduce configuration and performance?</x:v>
      </x:c>
      <x:c r="E17" s="27" t="str">
        <x:v>G8</x:v>
      </x:c>
      <x:c r="F17" s="37" t="n">
        <x:v>12</x:v>
      </x:c>
      <x:c r="G17" s="38" t="n">
        <x:v>1440</x:v>
      </x:c>
      <x:c r="H17" s="38" t="n">
        <x:v>320</x:v>
      </x:c>
      <x:c r="I17" s="27" t="str">
        <x:v>lot-weeks</x:v>
      </x:c>
      <x:c r="J17" s="31" t="n">
        <x:f>H17/G17</x:f>
        <x:v>0.2222222222222222</x:v>
      </x:c>
      <x:c r="K17" s="27" t="str">
        <x:v>ten lineages</x:v>
      </x:c>
      <x:c r="L17" s="27" t="str">
        <x:v>Production Evidence Authority</x:v>
      </x:c>
      <x:c r="M17" s="29" t="str">
        <x:v>OPEN</x:v>
      </x:c>
    </x:row>
    <x:row r="18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>
      <x:c r="B20" s="9" t="str">
        <x:v>Network reconciliation</x:v>
      </x:c>
      <x:c r="C20" s="10" t="str">
        <x:v>Network reconciliation</x:v>
      </x:c>
      <x:c r="D20" s="10" t="str">
        <x:v>Network reconciliation</x:v>
      </x:c>
      <x:c r="E20" s="10" t="str">
        <x:v>Network reconciliation</x:v>
      </x:c>
      <x:c r="F20" s="10" t="str">
        <x:v>Network reconciliation</x:v>
      </x:c>
      <x:c r="G20" s="10" t="str">
        <x:v>Network reconciliation</x:v>
      </x:c>
      <x:c r="H20" s="10" t="str">
        <x:v>Network reconciliation</x:v>
      </x:c>
      <x:c r="I20" s="10" t="str">
        <x:v>Network reconciliation</x:v>
      </x:c>
      <x:c r="J20" s="10" t="str">
        <x:v>Network reconciliation</x:v>
      </x:c>
      <x:c r="K20" s="10" t="str">
        <x:v>Network reconciliation</x:v>
      </x:c>
      <x:c r="L20" s="10" t="str">
        <x:v>Network reconciliation</x:v>
      </x:c>
      <x:c r="M20" s="11" t="str">
        <x:v>Network reconciliation</x:v>
      </x:c>
    </x:row>
    <x:row r="21">
      <x:c r="B21" s="3" t="str">
        <x:v>Measure</x:v>
      </x:c>
      <x:c r="C21" s="3" t="str">
        <x:v>Value</x:v>
      </x:c>
      <x:c r="D21" s="3" t="str">
        <x:v>Threshold</x:v>
      </x:c>
      <x:c r="E21" s="3" t="str">
        <x:v>Result</x:v>
      </x:c>
      <x:c r="F21" s="3" t="str">
        <x:v>Interpretation</x:v>
      </x:c>
      <x:c r="G21" s="3"/>
      <x:c r="H21" s="3"/>
      <x:c r="I21" s="3"/>
      <x:c r="J21" s="3"/>
      <x:c r="K21" s="3"/>
      <x:c r="L21" s="3"/>
      <x:c r="M21" s="3"/>
    </x:row>
    <x:row r="22">
      <x:c r="B22" s="3" t="str">
        <x:v>Facility families</x:v>
      </x:c>
      <x:c r="C22" s="3" t="n">
        <x:f>COUNTA(B7:B17)</x:f>
        <x:v>11</x:v>
      </x:c>
      <x:c r="D22" s="3" t="n">
        <x:v>11</x:v>
      </x:c>
      <x:c r="E22" s="3" t="str">
        <x:f>IF(C22=D22,"PASS","FAIL")</x:f>
        <x:v>PASS</x:v>
      </x:c>
      <x:c r="F22" s="3" t="str">
        <x:v>complete functional network</x:v>
      </x:c>
      <x:c r="G22" s="3"/>
      <x:c r="H22" s="3"/>
      <x:c r="I22" s="3"/>
      <x:c r="J22" s="3"/>
      <x:c r="K22" s="3"/>
      <x:c r="L22" s="3"/>
      <x:c r="M22" s="3"/>
    </x:row>
    <x:row r="23">
      <x:c r="B23" s="3" t="str">
        <x:v>Capital allocation</x:v>
      </x:c>
      <x:c r="C23" s="3" t="n">
        <x:f>SUM(F7:F17)</x:f>
        <x:v>350</x:v>
      </x:c>
      <x:c r="D23" s="3" t="n">
        <x:v>350</x:v>
      </x:c>
      <x:c r="E23" s="3" t="str">
        <x:f>IF(C23=D23,"PASS","FAIL")</x:f>
        <x:v>PASS</x:v>
      </x:c>
      <x:c r="F23" s="3" t="str">
        <x:v>within inherited portfolio</x:v>
      </x:c>
      <x:c r="G23" s="3"/>
      <x:c r="H23" s="3"/>
      <x:c r="I23" s="3"/>
      <x:c r="J23" s="3"/>
      <x:c r="K23" s="3"/>
      <x:c r="L23" s="3"/>
      <x:c r="M23" s="3"/>
    </x:row>
    <x:row r="24">
      <x:c r="B24" s="3" t="str">
        <x:v>Peak utilization</x:v>
      </x:c>
      <x:c r="C24" s="3" t="n">
        <x:f>MAX(J7:J17)</x:f>
        <x:v>0.6944444444444444</x:v>
      </x:c>
      <x:c r="D24" s="3" t="n">
        <x:v>1</x:v>
      </x:c>
      <x:c r="E24" s="3" t="str">
        <x:f>IF(C24&lt;=D24,"PASS","FAIL")</x:f>
        <x:v>PASS</x:v>
      </x:c>
      <x:c r="F24" s="3" t="str">
        <x:v>no facility above modeled capacity</x:v>
      </x:c>
      <x:c r="G24" s="3"/>
      <x:c r="H24" s="3"/>
      <x:c r="I24" s="3"/>
      <x:c r="J24" s="3"/>
      <x:c r="K24" s="3"/>
      <x:c r="L24" s="3"/>
      <x:c r="M24" s="3"/>
    </x:row>
    <x:row r="25">
      <x:c r="B25" s="3" t="str">
        <x:v>Geographic site selection</x:v>
      </x:c>
      <x:c r="C25" s="3" t="n">
        <x:v>0</x:v>
      </x:c>
      <x:c r="D25" s="3" t="n">
        <x:v>0</x:v>
      </x:c>
      <x:c r="E25" s="3" t="str">
        <x:f>IF(C25=D25,"PASS","FAIL")</x:f>
        <x:v>PASS</x:v>
      </x:c>
      <x:c r="F25" s="3" t="str">
        <x:v>range classes only; no siting claim</x:v>
      </x:c>
      <x:c r="G25" s="3"/>
      <x:c r="H25" s="3"/>
      <x:c r="I25" s="3"/>
      <x:c r="J25" s="3"/>
      <x:c r="K25" s="3"/>
      <x:c r="L25" s="3"/>
      <x:c r="M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</x:sheetData>
  <x:mergeCells>
    <x:mergeCell ref="B2:H2"/>
    <x:mergeCell ref="B3:M3"/>
    <x:mergeCell ref="B20:M20"/>
  </x:mergeCells>
  <x:conditionalFormatting sqref="M7:M17">
    <x:cfRule type="containsText" dxfId="30" priority="1" operator="containsText" text="FAIL"/>
    <x:cfRule type="containsText" dxfId="31" priority="2" operator="containsText" text="PASS"/>
    <x:cfRule type="containsText" dxfId="32" priority="3" operator="containsText" text="OPEN"/>
    <x:cfRule type="containsText" dxfId="33" priority="4" operator="containsText" text="HOLD"/>
    <x:cfRule type="containsText" dxfId="34" priority="5" operator="containsText" text="BLOCKED"/>
  </x:conditionalFormatting>
  <x:conditionalFormatting sqref="E22:E25">
    <x:cfRule type="containsText" dxfId="35" priority="6" operator="containsText" text="FAIL"/>
    <x:cfRule type="containsText" dxfId="36" priority="7" operator="containsText" text="PASS"/>
    <x:cfRule type="containsText" dxfId="37" priority="8" operator="containsText" text="OPEN"/>
    <x:cfRule type="containsText" dxfId="38" priority="9" operator="containsText" text="HOLD"/>
    <x:cfRule type="containsText" dxfId="39" priority="10" operator="containsText" text="BLOCK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8" hidden="0" customWidth="1"/>
    <x:col min="4" max="4" width="12" hidden="0" customWidth="1"/>
    <x:col min="5" max="5" width="16" hidden="0" customWidth="1"/>
    <x:col min="6" max="6" width="10" hidden="0" customWidth="1"/>
    <x:col min="7" max="7" width="24" hidden="0" customWidth="1"/>
    <x:col min="8" max="8" width="39" hidden="0" customWidth="1"/>
    <x:col min="9" max="9" width="13" hidden="0" customWidth="1"/>
    <x:col min="10" max="10" width="12" hidden="0" customWidth="1"/>
    <x:col min="11" max="11" width="28" hidden="0" customWidth="1"/>
    <x:col min="12" max="12" width="34" hidden="0" customWidth="1"/>
    <x:col min="13" max="13" width="37" hidden="0" customWidth="1"/>
    <x:col min="14" max="14" width="12" hidden="0" customWidth="1"/>
  </x:cols>
  <x:sheetData>
    <x:row r="2">
      <x:c r="B2" s="4" t="str">
        <x:v>Gate assignment register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B3" s="5" t="str">
        <x:v>Every one of the 200 gates names an article, facility, artifact, evidence owner, acceptance rule and stop condition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B6" s="22" t="str">
        <x:v>Gate ID</x:v>
      </x:c>
      <x:c r="C6" s="23" t="str">
        <x:v>Campaign</x:v>
      </x:c>
      <x:c r="D6" s="23" t="str">
        <x:v>Mode</x:v>
      </x:c>
      <x:c r="E6" s="23" t="str">
        <x:v>Domain</x:v>
      </x:c>
      <x:c r="F6" s="23" t="str">
        <x:v>Stage</x:v>
      </x:c>
      <x:c r="G6" s="23" t="str">
        <x:v>Required article</x:v>
      </x:c>
      <x:c r="H6" s="23" t="str">
        <x:v>Required artifact</x:v>
      </x:c>
      <x:c r="I6" s="23" t="str">
        <x:v>Facility</x:v>
      </x:c>
      <x:c r="J6" s="23" t="str">
        <x:v>Test weeks</x:v>
      </x:c>
      <x:c r="K6" s="23" t="str">
        <x:v>Evidence owner</x:v>
      </x:c>
      <x:c r="L6" s="23" t="str">
        <x:v>Acceptance rule</x:v>
      </x:c>
      <x:c r="M6" s="23" t="str">
        <x:v>Stop condition</x:v>
      </x:c>
      <x:c r="N6" s="23" t="str">
        <x:v>State</x:v>
      </x:c>
    </x:row>
    <x:row r="7">
      <x:c r="B7" s="24" t="str">
        <x:v>EA-G1</x:v>
      </x:c>
      <x:c r="C7" s="24" t="str">
        <x:v>Air energy</x:v>
      </x:c>
      <x:c r="D7" s="24" t="str">
        <x:v>Air</x:v>
      </x:c>
      <x:c r="E7" s="24" t="str">
        <x:v>Energy</x:v>
      </x:c>
      <x:c r="F7" s="24" t="str">
        <x:v>G1</x:v>
      </x:c>
      <x:c r="G7" s="24" t="str">
        <x:v>registered claim</x:v>
      </x:c>
      <x:c r="H7" s="24" t="str">
        <x:v>burden-hazard-authority contract</x:v>
      </x:c>
      <x:c r="I7" s="24" t="str">
        <x:v>F01</x:v>
      </x:c>
      <x:c r="J7" s="24" t="n">
        <x:v>2</x:v>
      </x:c>
      <x:c r="K7" s="24" t="str">
        <x:v>Requirements Authority</x:v>
      </x:c>
      <x:c r="L7" s="24" t="str">
        <x:v>registered threshold plus uncertainty and guardband</x:v>
      </x:c>
      <x:c r="M7" s="24" t="str">
        <x:v>reopen stage and every dependent claim</x:v>
      </x:c>
      <x:c r="N7" s="26" t="str">
        <x:v>OPEN</x:v>
      </x:c>
    </x:row>
    <x:row r="8">
      <x:c r="B8" s="24" t="str">
        <x:v>EA-G2</x:v>
      </x:c>
      <x:c r="C8" s="24" t="str">
        <x:v>Air energy</x:v>
      </x:c>
      <x:c r="D8" s="24" t="str">
        <x:v>Air</x:v>
      </x:c>
      <x:c r="E8" s="24" t="str">
        <x:v>Energy</x:v>
      </x:c>
      <x:c r="F8" s="24" t="str">
        <x:v>G2</x:v>
      </x:c>
      <x:c r="G8" s="24" t="str">
        <x:v>coupons and subassemblies</x:v>
      </x:c>
      <x:c r="H8" s="24" t="str">
        <x:v>raw data calibration uncertainty failure dossier</x:v>
      </x:c>
      <x:c r="I8" s="24" t="str">
        <x:v>F02</x:v>
      </x:c>
      <x:c r="J8" s="24" t="n">
        <x:v>8</x:v>
      </x:c>
      <x:c r="K8" s="24" t="str">
        <x:v>Independent Laboratory Authority</x:v>
      </x:c>
      <x:c r="L8" s="24" t="str">
        <x:v>registered threshold plus uncertainty and guardband</x:v>
      </x:c>
      <x:c r="M8" s="24" t="str">
        <x:v>reopen stage and every dependent claim</x:v>
      </x:c>
      <x:c r="N8" s="26" t="str">
        <x:v>OPEN</x:v>
      </x:c>
    </x:row>
    <x:row r="9">
      <x:c r="B9" s="24" t="str">
        <x:v>EA-G3</x:v>
      </x:c>
      <x:c r="C9" s="24" t="str">
        <x:v>Air energy</x:v>
      </x:c>
      <x:c r="D9" s="24" t="str">
        <x:v>Air</x:v>
      </x:c>
      <x:c r="E9" s="24" t="str">
        <x:v>Energy</x:v>
      </x:c>
      <x:c r="F9" s="24" t="str">
        <x:v>G3</x:v>
      </x:c>
      <x:c r="G9" s="24" t="str">
        <x:v>representative article</x:v>
      </x:c>
      <x:c r="H9" s="24" t="str">
        <x:v>configuration output hazard maintainability record</x:v>
      </x:c>
      <x:c r="I9" s="24" t="str">
        <x:v>F02</x:v>
      </x:c>
      <x:c r="J9" s="24" t="n">
        <x:v>14</x:v>
      </x:c>
      <x:c r="K9" s="24" t="str">
        <x:v>Family Certification Authority</x:v>
      </x:c>
      <x:c r="L9" s="24" t="str">
        <x:v>registered threshold plus uncertainty and guardband</x:v>
      </x:c>
      <x:c r="M9" s="24" t="str">
        <x:v>reopen stage and every dependent claim</x:v>
      </x:c>
      <x:c r="N9" s="26" t="str">
        <x:v>OPEN</x:v>
      </x:c>
    </x:row>
    <x:row r="10">
      <x:c r="B10" s="24" t="str">
        <x:v>EA-G4</x:v>
      </x:c>
      <x:c r="C10" s="24" t="str">
        <x:v>Air energy</x:v>
      </x:c>
      <x:c r="D10" s="24" t="str">
        <x:v>Air</x:v>
      </x:c>
      <x:c r="E10" s="24" t="str">
        <x:v>Energy</x:v>
      </x:c>
      <x:c r="F10" s="24" t="str">
        <x:v>G4</x:v>
      </x:c>
      <x:c r="G10" s="24" t="str">
        <x:v>five-family set</x:v>
      </x:c>
      <x:c r="H10" s="24" t="str">
        <x:v>simultaneous coupling and public-service vector</x:v>
      </x:c>
      <x:c r="I10" s="24" t="str">
        <x:v>F09</x:v>
      </x:c>
      <x:c r="J10" s="24" t="n">
        <x:v>12</x:v>
      </x:c>
      <x:c r="K10" s="24" t="str">
        <x:v>Set Integration Authority</x:v>
      </x:c>
      <x:c r="L10" s="24" t="str">
        <x:v>registered threshold plus uncertainty and guardband</x:v>
      </x:c>
      <x:c r="M10" s="24" t="str">
        <x:v>reopen stage and every dependent claim</x:v>
      </x:c>
      <x:c r="N10" s="26" t="str">
        <x:v>OPEN</x:v>
      </x:c>
    </x:row>
    <x:row r="11">
      <x:c r="B11" s="24" t="str">
        <x:v>EA-G5</x:v>
      </x:c>
      <x:c r="C11" s="24" t="str">
        <x:v>Air energy</x:v>
      </x:c>
      <x:c r="D11" s="24" t="str">
        <x:v>Air</x:v>
      </x:c>
      <x:c r="E11" s="24" t="str">
        <x:v>Energy</x:v>
      </x:c>
      <x:c r="F11" s="24" t="str">
        <x:v>G5</x:v>
      </x:c>
      <x:c r="G11" s="24" t="str">
        <x:v>instrumented carrier</x:v>
      </x:c>
      <x:c r="H11" s="24" t="str">
        <x:v>structure CG restraint transfer fire evacuation record</x:v>
      </x:c>
      <x:c r="I11" s="24" t="str">
        <x:v>F07</x:v>
      </x:c>
      <x:c r="J11" s="24" t="n">
        <x:v>16</x:v>
      </x:c>
      <x:c r="K11" s="24" t="str">
        <x:v>Vehicle Certification Authority</x:v>
      </x:c>
      <x:c r="L11" s="24" t="str">
        <x:v>registered threshold plus uncertainty and guardband</x:v>
      </x:c>
      <x:c r="M11" s="24" t="str">
        <x:v>reopen stage and every dependent claim</x:v>
      </x:c>
      <x:c r="N11" s="26" t="str">
        <x:v>OPEN</x:v>
      </x:c>
    </x:row>
    <x:row r="12">
      <x:c r="B12" s="24" t="str">
        <x:v>EA-G6</x:v>
      </x:c>
      <x:c r="C12" s="24" t="str">
        <x:v>Air energy</x:v>
      </x:c>
      <x:c r="D12" s="24" t="str">
        <x:v>Air</x:v>
      </x:c>
      <x:c r="E12" s="24" t="str">
        <x:v>Energy</x:v>
      </x:c>
      <x:c r="F12" s="24" t="str">
        <x:v>G6</x:v>
      </x:c>
      <x:c r="G12" s="24" t="str">
        <x:v>receiver complex</x:v>
      </x:c>
      <x:c r="H12" s="24" t="str">
        <x:v>assembly assay handoff public release record</x:v>
      </x:c>
      <x:c r="I12" s="24" t="str">
        <x:v>F09</x:v>
      </x:c>
      <x:c r="J12" s="24" t="n">
        <x:v>18</x:v>
      </x:c>
      <x:c r="K12" s="24" t="str">
        <x:v>Receiver Evidence Authority</x:v>
      </x:c>
      <x:c r="L12" s="24" t="str">
        <x:v>registered threshold plus uncertainty and guardband</x:v>
      </x:c>
      <x:c r="M12" s="24" t="str">
        <x:v>reopen stage and every dependent claim</x:v>
      </x:c>
      <x:c r="N12" s="26" t="str">
        <x:v>OPEN</x:v>
      </x:c>
    </x:row>
    <x:row r="13">
      <x:c r="B13" s="24" t="str">
        <x:v>EA-G7</x:v>
      </x:c>
      <x:c r="C13" s="24" t="str">
        <x:v>Air energy</x:v>
      </x:c>
      <x:c r="D13" s="24" t="str">
        <x:v>Air</x:v>
      </x:c>
      <x:c r="E13" s="24" t="str">
        <x:v>Energy</x:v>
      </x:c>
      <x:c r="F13" s="24" t="str">
        <x:v>G7</x:v>
      </x:c>
      <x:c r="G13" s="24" t="str">
        <x:v>survivor formation</x:v>
      </x:c>
      <x:c r="H13" s="24" t="str">
        <x:v>blinded casualty denial and safe-stop record</x:v>
      </x:c>
      <x:c r="I13" s="24" t="str">
        <x:v>F09</x:v>
      </x:c>
      <x:c r="J13" s="24" t="n">
        <x:v>20</x:v>
      </x:c>
      <x:c r="K13" s="24" t="str">
        <x:v>Destructive Trial Authority</x:v>
      </x:c>
      <x:c r="L13" s="24" t="str">
        <x:v>registered threshold plus uncertainty and guardband</x:v>
      </x:c>
      <x:c r="M13" s="24" t="str">
        <x:v>reopen stage and every dependent claim</x:v>
      </x:c>
      <x:c r="N13" s="26" t="str">
        <x:v>OPEN</x:v>
      </x:c>
    </x:row>
    <x:row r="14">
      <x:c r="B14" s="24" t="str">
        <x:v>EA-G8</x:v>
      </x:c>
      <x:c r="C14" s="24" t="str">
        <x:v>Air energy</x:v>
      </x:c>
      <x:c r="D14" s="24" t="str">
        <x:v>Air</x:v>
      </x:c>
      <x:c r="E14" s="24" t="str">
        <x:v>Energy</x:v>
      </x:c>
      <x:c r="F14" s="24" t="str">
        <x:v>G8</x:v>
      </x:c>
      <x:c r="G14" s="24" t="str">
        <x:v>second-lot and reset chain</x:v>
      </x:c>
      <x:c r="H14" s="24" t="str">
        <x:v>repeat mission lot trace depot replication record</x:v>
      </x:c>
      <x:c r="I14" s="24" t="str">
        <x:v>F10</x:v>
      </x:c>
      <x:c r="J14" s="24" t="n">
        <x:v>12</x:v>
      </x:c>
      <x:c r="K14" s="24" t="str">
        <x:v>Production Evidence Authority</x:v>
      </x:c>
      <x:c r="L14" s="24" t="str">
        <x:v>registered threshold plus uncertainty and guardband</x:v>
      </x:c>
      <x:c r="M14" s="24" t="str">
        <x:v>reopen stage and every dependent claim</x:v>
      </x:c>
      <x:c r="N14" s="26" t="str">
        <x:v>OPEN</x:v>
      </x:c>
    </x:row>
    <x:row r="15">
      <x:c r="B15" s="24" t="str">
        <x:v>ET-G1</x:v>
      </x:c>
      <x:c r="C15" s="24" t="str">
        <x:v>Terrain energy</x:v>
      </x:c>
      <x:c r="D15" s="24" t="str">
        <x:v>Terrain</x:v>
      </x:c>
      <x:c r="E15" s="24" t="str">
        <x:v>Energy</x:v>
      </x:c>
      <x:c r="F15" s="24" t="str">
        <x:v>G1</x:v>
      </x:c>
      <x:c r="G15" s="24" t="str">
        <x:v>registered claim</x:v>
      </x:c>
      <x:c r="H15" s="24" t="str">
        <x:v>burden-hazard-authority contract</x:v>
      </x:c>
      <x:c r="I15" s="24" t="str">
        <x:v>F01</x:v>
      </x:c>
      <x:c r="J15" s="24" t="n">
        <x:v>2</x:v>
      </x:c>
      <x:c r="K15" s="24" t="str">
        <x:v>Requirements Authority</x:v>
      </x:c>
      <x:c r="L15" s="24" t="str">
        <x:v>registered threshold plus uncertainty and guardband</x:v>
      </x:c>
      <x:c r="M15" s="24" t="str">
        <x:v>reopen stage and every dependent claim</x:v>
      </x:c>
      <x:c r="N15" s="26" t="str">
        <x:v>OPEN</x:v>
      </x:c>
    </x:row>
    <x:row r="16">
      <x:c r="B16" s="24" t="str">
        <x:v>ET-G2</x:v>
      </x:c>
      <x:c r="C16" s="24" t="str">
        <x:v>Terrain energy</x:v>
      </x:c>
      <x:c r="D16" s="24" t="str">
        <x:v>Terrain</x:v>
      </x:c>
      <x:c r="E16" s="24" t="str">
        <x:v>Energy</x:v>
      </x:c>
      <x:c r="F16" s="24" t="str">
        <x:v>G2</x:v>
      </x:c>
      <x:c r="G16" s="24" t="str">
        <x:v>coupons and subassemblies</x:v>
      </x:c>
      <x:c r="H16" s="24" t="str">
        <x:v>raw data calibration uncertainty failure dossier</x:v>
      </x:c>
      <x:c r="I16" s="24" t="str">
        <x:v>F02</x:v>
      </x:c>
      <x:c r="J16" s="24" t="n">
        <x:v>8</x:v>
      </x:c>
      <x:c r="K16" s="24" t="str">
        <x:v>Independent Laboratory Authority</x:v>
      </x:c>
      <x:c r="L16" s="24" t="str">
        <x:v>registered threshold plus uncertainty and guardband</x:v>
      </x:c>
      <x:c r="M16" s="24" t="str">
        <x:v>reopen stage and every dependent claim</x:v>
      </x:c>
      <x:c r="N16" s="26" t="str">
        <x:v>OPEN</x:v>
      </x:c>
    </x:row>
    <x:row r="17">
      <x:c r="B17" s="24" t="str">
        <x:v>ET-G3</x:v>
      </x:c>
      <x:c r="C17" s="24" t="str">
        <x:v>Terrain energy</x:v>
      </x:c>
      <x:c r="D17" s="24" t="str">
        <x:v>Terrain</x:v>
      </x:c>
      <x:c r="E17" s="24" t="str">
        <x:v>Energy</x:v>
      </x:c>
      <x:c r="F17" s="24" t="str">
        <x:v>G3</x:v>
      </x:c>
      <x:c r="G17" s="24" t="str">
        <x:v>representative article</x:v>
      </x:c>
      <x:c r="H17" s="24" t="str">
        <x:v>configuration output hazard maintainability record</x:v>
      </x:c>
      <x:c r="I17" s="24" t="str">
        <x:v>F02</x:v>
      </x:c>
      <x:c r="J17" s="24" t="n">
        <x:v>14</x:v>
      </x:c>
      <x:c r="K17" s="24" t="str">
        <x:v>Family Certification Authority</x:v>
      </x:c>
      <x:c r="L17" s="24" t="str">
        <x:v>registered threshold plus uncertainty and guardband</x:v>
      </x:c>
      <x:c r="M17" s="24" t="str">
        <x:v>reopen stage and every dependent claim</x:v>
      </x:c>
      <x:c r="N17" s="26" t="str">
        <x:v>OPEN</x:v>
      </x:c>
    </x:row>
    <x:row r="18">
      <x:c r="B18" s="24" t="str">
        <x:v>ET-G4</x:v>
      </x:c>
      <x:c r="C18" s="24" t="str">
        <x:v>Terrain energy</x:v>
      </x:c>
      <x:c r="D18" s="24" t="str">
        <x:v>Terrain</x:v>
      </x:c>
      <x:c r="E18" s="24" t="str">
        <x:v>Energy</x:v>
      </x:c>
      <x:c r="F18" s="24" t="str">
        <x:v>G4</x:v>
      </x:c>
      <x:c r="G18" s="24" t="str">
        <x:v>five-family set</x:v>
      </x:c>
      <x:c r="H18" s="24" t="str">
        <x:v>simultaneous coupling and public-service vector</x:v>
      </x:c>
      <x:c r="I18" s="24" t="str">
        <x:v>F09</x:v>
      </x:c>
      <x:c r="J18" s="24" t="n">
        <x:v>12</x:v>
      </x:c>
      <x:c r="K18" s="24" t="str">
        <x:v>Set Integration Authority</x:v>
      </x:c>
      <x:c r="L18" s="24" t="str">
        <x:v>registered threshold plus uncertainty and guardband</x:v>
      </x:c>
      <x:c r="M18" s="24" t="str">
        <x:v>reopen stage and every dependent claim</x:v>
      </x:c>
      <x:c r="N18" s="26" t="str">
        <x:v>OPEN</x:v>
      </x:c>
    </x:row>
    <x:row r="19">
      <x:c r="B19" s="24" t="str">
        <x:v>ET-G5</x:v>
      </x:c>
      <x:c r="C19" s="24" t="str">
        <x:v>Terrain energy</x:v>
      </x:c>
      <x:c r="D19" s="24" t="str">
        <x:v>Terrain</x:v>
      </x:c>
      <x:c r="E19" s="24" t="str">
        <x:v>Energy</x:v>
      </x:c>
      <x:c r="F19" s="24" t="str">
        <x:v>G5</x:v>
      </x:c>
      <x:c r="G19" s="24" t="str">
        <x:v>instrumented carrier</x:v>
      </x:c>
      <x:c r="H19" s="24" t="str">
        <x:v>structure CG restraint transfer fire evacuation record</x:v>
      </x:c>
      <x:c r="I19" s="24" t="str">
        <x:v>F08</x:v>
      </x:c>
      <x:c r="J19" s="24" t="n">
        <x:v>16</x:v>
      </x:c>
      <x:c r="K19" s="24" t="str">
        <x:v>Vehicle Certification Authority</x:v>
      </x:c>
      <x:c r="L19" s="24" t="str">
        <x:v>registered threshold plus uncertainty and guardband</x:v>
      </x:c>
      <x:c r="M19" s="24" t="str">
        <x:v>reopen stage and every dependent claim</x:v>
      </x:c>
      <x:c r="N19" s="26" t="str">
        <x:v>OPEN</x:v>
      </x:c>
    </x:row>
    <x:row r="20">
      <x:c r="B20" s="24" t="str">
        <x:v>ET-G6</x:v>
      </x:c>
      <x:c r="C20" s="24" t="str">
        <x:v>Terrain energy</x:v>
      </x:c>
      <x:c r="D20" s="24" t="str">
        <x:v>Terrain</x:v>
      </x:c>
      <x:c r="E20" s="24" t="str">
        <x:v>Energy</x:v>
      </x:c>
      <x:c r="F20" s="24" t="str">
        <x:v>G6</x:v>
      </x:c>
      <x:c r="G20" s="24" t="str">
        <x:v>receiver complex</x:v>
      </x:c>
      <x:c r="H20" s="24" t="str">
        <x:v>assembly assay handoff public release record</x:v>
      </x:c>
      <x:c r="I20" s="24" t="str">
        <x:v>F09</x:v>
      </x:c>
      <x:c r="J20" s="24" t="n">
        <x:v>18</x:v>
      </x:c>
      <x:c r="K20" s="24" t="str">
        <x:v>Receiver Evidence Authority</x:v>
      </x:c>
      <x:c r="L20" s="24" t="str">
        <x:v>registered threshold plus uncertainty and guardband</x:v>
      </x:c>
      <x:c r="M20" s="24" t="str">
        <x:v>reopen stage and every dependent claim</x:v>
      </x:c>
      <x:c r="N20" s="26" t="str">
        <x:v>OPEN</x:v>
      </x:c>
    </x:row>
    <x:row r="21">
      <x:c r="B21" s="24" t="str">
        <x:v>ET-G7</x:v>
      </x:c>
      <x:c r="C21" s="24" t="str">
        <x:v>Terrain energy</x:v>
      </x:c>
      <x:c r="D21" s="24" t="str">
        <x:v>Terrain</x:v>
      </x:c>
      <x:c r="E21" s="24" t="str">
        <x:v>Energy</x:v>
      </x:c>
      <x:c r="F21" s="24" t="str">
        <x:v>G7</x:v>
      </x:c>
      <x:c r="G21" s="24" t="str">
        <x:v>survivor formation</x:v>
      </x:c>
      <x:c r="H21" s="24" t="str">
        <x:v>blinded casualty denial and safe-stop record</x:v>
      </x:c>
      <x:c r="I21" s="24" t="str">
        <x:v>F09</x:v>
      </x:c>
      <x:c r="J21" s="24" t="n">
        <x:v>20</x:v>
      </x:c>
      <x:c r="K21" s="24" t="str">
        <x:v>Destructive Trial Authority</x:v>
      </x:c>
      <x:c r="L21" s="24" t="str">
        <x:v>registered threshold plus uncertainty and guardband</x:v>
      </x:c>
      <x:c r="M21" s="24" t="str">
        <x:v>reopen stage and every dependent claim</x:v>
      </x:c>
      <x:c r="N21" s="26" t="str">
        <x:v>OPEN</x:v>
      </x:c>
    </x:row>
    <x:row r="22">
      <x:c r="B22" s="24" t="str">
        <x:v>ET-G8</x:v>
      </x:c>
      <x:c r="C22" s="24" t="str">
        <x:v>Terrain energy</x:v>
      </x:c>
      <x:c r="D22" s="24" t="str">
        <x:v>Terrain</x:v>
      </x:c>
      <x:c r="E22" s="24" t="str">
        <x:v>Energy</x:v>
      </x:c>
      <x:c r="F22" s="24" t="str">
        <x:v>G8</x:v>
      </x:c>
      <x:c r="G22" s="24" t="str">
        <x:v>second-lot and reset chain</x:v>
      </x:c>
      <x:c r="H22" s="24" t="str">
        <x:v>repeat mission lot trace depot replication record</x:v>
      </x:c>
      <x:c r="I22" s="24" t="str">
        <x:v>F10</x:v>
      </x:c>
      <x:c r="J22" s="24" t="n">
        <x:v>12</x:v>
      </x:c>
      <x:c r="K22" s="24" t="str">
        <x:v>Production Evidence Authority</x:v>
      </x:c>
      <x:c r="L22" s="24" t="str">
        <x:v>registered threshold plus uncertainty and guardband</x:v>
      </x:c>
      <x:c r="M22" s="24" t="str">
        <x:v>reopen stage and every dependent claim</x:v>
      </x:c>
      <x:c r="N22" s="26" t="str">
        <x:v>OPEN</x:v>
      </x:c>
    </x:row>
    <x:row r="23">
      <x:c r="B23" s="24" t="str">
        <x:v>WA-G1</x:v>
      </x:c>
      <x:c r="C23" s="24" t="str">
        <x:v>Air water</x:v>
      </x:c>
      <x:c r="D23" s="24" t="str">
        <x:v>Air</x:v>
      </x:c>
      <x:c r="E23" s="24" t="str">
        <x:v>Water</x:v>
      </x:c>
      <x:c r="F23" s="24" t="str">
        <x:v>G1</x:v>
      </x:c>
      <x:c r="G23" s="24" t="str">
        <x:v>registered claim</x:v>
      </x:c>
      <x:c r="H23" s="24" t="str">
        <x:v>burden-hazard-authority contract</x:v>
      </x:c>
      <x:c r="I23" s="24" t="str">
        <x:v>F01</x:v>
      </x:c>
      <x:c r="J23" s="24" t="n">
        <x:v>2</x:v>
      </x:c>
      <x:c r="K23" s="24" t="str">
        <x:v>Requirements Authority</x:v>
      </x:c>
      <x:c r="L23" s="24" t="str">
        <x:v>registered threshold plus uncertainty and guardband</x:v>
      </x:c>
      <x:c r="M23" s="24" t="str">
        <x:v>reopen stage and every dependent claim</x:v>
      </x:c>
      <x:c r="N23" s="26" t="str">
        <x:v>OPEN</x:v>
      </x:c>
    </x:row>
    <x:row r="24">
      <x:c r="B24" s="24" t="str">
        <x:v>WA-G2</x:v>
      </x:c>
      <x:c r="C24" s="24" t="str">
        <x:v>Air water</x:v>
      </x:c>
      <x:c r="D24" s="24" t="str">
        <x:v>Air</x:v>
      </x:c>
      <x:c r="E24" s="24" t="str">
        <x:v>Water</x:v>
      </x:c>
      <x:c r="F24" s="24" t="str">
        <x:v>G2</x:v>
      </x:c>
      <x:c r="G24" s="24" t="str">
        <x:v>coupons and subassemblies</x:v>
      </x:c>
      <x:c r="H24" s="24" t="str">
        <x:v>raw data calibration uncertainty failure dossier</x:v>
      </x:c>
      <x:c r="I24" s="24" t="str">
        <x:v>F03</x:v>
      </x:c>
      <x:c r="J24" s="24" t="n">
        <x:v>8</x:v>
      </x:c>
      <x:c r="K24" s="24" t="str">
        <x:v>Independent Laboratory Authority</x:v>
      </x:c>
      <x:c r="L24" s="24" t="str">
        <x:v>registered threshold plus uncertainty and guardband</x:v>
      </x:c>
      <x:c r="M24" s="24" t="str">
        <x:v>reopen stage and every dependent claim</x:v>
      </x:c>
      <x:c r="N24" s="26" t="str">
        <x:v>OPEN</x:v>
      </x:c>
    </x:row>
    <x:row r="25">
      <x:c r="B25" s="24" t="str">
        <x:v>WA-G3</x:v>
      </x:c>
      <x:c r="C25" s="24" t="str">
        <x:v>Air water</x:v>
      </x:c>
      <x:c r="D25" s="24" t="str">
        <x:v>Air</x:v>
      </x:c>
      <x:c r="E25" s="24" t="str">
        <x:v>Water</x:v>
      </x:c>
      <x:c r="F25" s="24" t="str">
        <x:v>G3</x:v>
      </x:c>
      <x:c r="G25" s="24" t="str">
        <x:v>representative article</x:v>
      </x:c>
      <x:c r="H25" s="24" t="str">
        <x:v>configuration output hazard maintainability record</x:v>
      </x:c>
      <x:c r="I25" s="24" t="str">
        <x:v>F03</x:v>
      </x:c>
      <x:c r="J25" s="24" t="n">
        <x:v>14</x:v>
      </x:c>
      <x:c r="K25" s="24" t="str">
        <x:v>Family Certification Authority</x:v>
      </x:c>
      <x:c r="L25" s="24" t="str">
        <x:v>registered threshold plus uncertainty and guardband</x:v>
      </x:c>
      <x:c r="M25" s="24" t="str">
        <x:v>reopen stage and every dependent claim</x:v>
      </x:c>
      <x:c r="N25" s="26" t="str">
        <x:v>OPEN</x:v>
      </x:c>
    </x:row>
    <x:row r="26">
      <x:c r="B26" s="24" t="str">
        <x:v>WA-G4</x:v>
      </x:c>
      <x:c r="C26" s="24" t="str">
        <x:v>Air water</x:v>
      </x:c>
      <x:c r="D26" s="24" t="str">
        <x:v>Air</x:v>
      </x:c>
      <x:c r="E26" s="24" t="str">
        <x:v>Water</x:v>
      </x:c>
      <x:c r="F26" s="24" t="str">
        <x:v>G4</x:v>
      </x:c>
      <x:c r="G26" s="24" t="str">
        <x:v>five-family set</x:v>
      </x:c>
      <x:c r="H26" s="24" t="str">
        <x:v>simultaneous coupling and public-service vector</x:v>
      </x:c>
      <x:c r="I26" s="24" t="str">
        <x:v>F09</x:v>
      </x:c>
      <x:c r="J26" s="24" t="n">
        <x:v>12</x:v>
      </x:c>
      <x:c r="K26" s="24" t="str">
        <x:v>Set Integration Authority</x:v>
      </x:c>
      <x:c r="L26" s="24" t="str">
        <x:v>registered threshold plus uncertainty and guardband</x:v>
      </x:c>
      <x:c r="M26" s="24" t="str">
        <x:v>reopen stage and every dependent claim</x:v>
      </x:c>
      <x:c r="N26" s="26" t="str">
        <x:v>OPEN</x:v>
      </x:c>
    </x:row>
    <x:row r="27">
      <x:c r="B27" s="24" t="str">
        <x:v>WA-G5</x:v>
      </x:c>
      <x:c r="C27" s="24" t="str">
        <x:v>Air water</x:v>
      </x:c>
      <x:c r="D27" s="24" t="str">
        <x:v>Air</x:v>
      </x:c>
      <x:c r="E27" s="24" t="str">
        <x:v>Water</x:v>
      </x:c>
      <x:c r="F27" s="24" t="str">
        <x:v>G5</x:v>
      </x:c>
      <x:c r="G27" s="24" t="str">
        <x:v>instrumented carrier</x:v>
      </x:c>
      <x:c r="H27" s="24" t="str">
        <x:v>structure CG restraint transfer fire evacuation record</x:v>
      </x:c>
      <x:c r="I27" s="24" t="str">
        <x:v>F07</x:v>
      </x:c>
      <x:c r="J27" s="24" t="n">
        <x:v>16</x:v>
      </x:c>
      <x:c r="K27" s="24" t="str">
        <x:v>Vehicle Certification Authority</x:v>
      </x:c>
      <x:c r="L27" s="24" t="str">
        <x:v>registered threshold plus uncertainty and guardband</x:v>
      </x:c>
      <x:c r="M27" s="24" t="str">
        <x:v>reopen stage and every dependent claim</x:v>
      </x:c>
      <x:c r="N27" s="26" t="str">
        <x:v>OPEN</x:v>
      </x:c>
    </x:row>
    <x:row r="28">
      <x:c r="B28" s="24" t="str">
        <x:v>WA-G6</x:v>
      </x:c>
      <x:c r="C28" s="24" t="str">
        <x:v>Air water</x:v>
      </x:c>
      <x:c r="D28" s="24" t="str">
        <x:v>Air</x:v>
      </x:c>
      <x:c r="E28" s="24" t="str">
        <x:v>Water</x:v>
      </x:c>
      <x:c r="F28" s="24" t="str">
        <x:v>G6</x:v>
      </x:c>
      <x:c r="G28" s="24" t="str">
        <x:v>receiver complex</x:v>
      </x:c>
      <x:c r="H28" s="24" t="str">
        <x:v>assembly assay handoff public release record</x:v>
      </x:c>
      <x:c r="I28" s="24" t="str">
        <x:v>F09</x:v>
      </x:c>
      <x:c r="J28" s="24" t="n">
        <x:v>18</x:v>
      </x:c>
      <x:c r="K28" s="24" t="str">
        <x:v>Receiver Evidence Authority</x:v>
      </x:c>
      <x:c r="L28" s="24" t="str">
        <x:v>registered threshold plus uncertainty and guardband</x:v>
      </x:c>
      <x:c r="M28" s="24" t="str">
        <x:v>reopen stage and every dependent claim</x:v>
      </x:c>
      <x:c r="N28" s="26" t="str">
        <x:v>OPEN</x:v>
      </x:c>
    </x:row>
    <x:row r="29">
      <x:c r="B29" s="24" t="str">
        <x:v>WA-G7</x:v>
      </x:c>
      <x:c r="C29" s="24" t="str">
        <x:v>Air water</x:v>
      </x:c>
      <x:c r="D29" s="24" t="str">
        <x:v>Air</x:v>
      </x:c>
      <x:c r="E29" s="24" t="str">
        <x:v>Water</x:v>
      </x:c>
      <x:c r="F29" s="24" t="str">
        <x:v>G7</x:v>
      </x:c>
      <x:c r="G29" s="24" t="str">
        <x:v>survivor formation</x:v>
      </x:c>
      <x:c r="H29" s="24" t="str">
        <x:v>blinded casualty denial and safe-stop record</x:v>
      </x:c>
      <x:c r="I29" s="24" t="str">
        <x:v>F09</x:v>
      </x:c>
      <x:c r="J29" s="24" t="n">
        <x:v>20</x:v>
      </x:c>
      <x:c r="K29" s="24" t="str">
        <x:v>Destructive Trial Authority</x:v>
      </x:c>
      <x:c r="L29" s="24" t="str">
        <x:v>registered threshold plus uncertainty and guardband</x:v>
      </x:c>
      <x:c r="M29" s="24" t="str">
        <x:v>reopen stage and every dependent claim</x:v>
      </x:c>
      <x:c r="N29" s="26" t="str">
        <x:v>OPEN</x:v>
      </x:c>
    </x:row>
    <x:row r="30">
      <x:c r="B30" s="24" t="str">
        <x:v>WA-G8</x:v>
      </x:c>
      <x:c r="C30" s="24" t="str">
        <x:v>Air water</x:v>
      </x:c>
      <x:c r="D30" s="24" t="str">
        <x:v>Air</x:v>
      </x:c>
      <x:c r="E30" s="24" t="str">
        <x:v>Water</x:v>
      </x:c>
      <x:c r="F30" s="24" t="str">
        <x:v>G8</x:v>
      </x:c>
      <x:c r="G30" s="24" t="str">
        <x:v>second-lot and reset chain</x:v>
      </x:c>
      <x:c r="H30" s="24" t="str">
        <x:v>repeat mission lot trace depot replication record</x:v>
      </x:c>
      <x:c r="I30" s="24" t="str">
        <x:v>F10</x:v>
      </x:c>
      <x:c r="J30" s="24" t="n">
        <x:v>12</x:v>
      </x:c>
      <x:c r="K30" s="24" t="str">
        <x:v>Production Evidence Authority</x:v>
      </x:c>
      <x:c r="L30" s="24" t="str">
        <x:v>registered threshold plus uncertainty and guardband</x:v>
      </x:c>
      <x:c r="M30" s="24" t="str">
        <x:v>reopen stage and every dependent claim</x:v>
      </x:c>
      <x:c r="N30" s="26" t="str">
        <x:v>OPEN</x:v>
      </x:c>
    </x:row>
    <x:row r="31">
      <x:c r="B31" s="24" t="str">
        <x:v>WT-G1</x:v>
      </x:c>
      <x:c r="C31" s="24" t="str">
        <x:v>Terrain water</x:v>
      </x:c>
      <x:c r="D31" s="24" t="str">
        <x:v>Terrain</x:v>
      </x:c>
      <x:c r="E31" s="24" t="str">
        <x:v>Water</x:v>
      </x:c>
      <x:c r="F31" s="24" t="str">
        <x:v>G1</x:v>
      </x:c>
      <x:c r="G31" s="24" t="str">
        <x:v>registered claim</x:v>
      </x:c>
      <x:c r="H31" s="24" t="str">
        <x:v>burden-hazard-authority contract</x:v>
      </x:c>
      <x:c r="I31" s="24" t="str">
        <x:v>F01</x:v>
      </x:c>
      <x:c r="J31" s="24" t="n">
        <x:v>2</x:v>
      </x:c>
      <x:c r="K31" s="24" t="str">
        <x:v>Requirements Authority</x:v>
      </x:c>
      <x:c r="L31" s="24" t="str">
        <x:v>registered threshold plus uncertainty and guardband</x:v>
      </x:c>
      <x:c r="M31" s="24" t="str">
        <x:v>reopen stage and every dependent claim</x:v>
      </x:c>
      <x:c r="N31" s="26" t="str">
        <x:v>OPEN</x:v>
      </x:c>
    </x:row>
    <x:row r="32">
      <x:c r="B32" s="24" t="str">
        <x:v>WT-G2</x:v>
      </x:c>
      <x:c r="C32" s="24" t="str">
        <x:v>Terrain water</x:v>
      </x:c>
      <x:c r="D32" s="24" t="str">
        <x:v>Terrain</x:v>
      </x:c>
      <x:c r="E32" s="24" t="str">
        <x:v>Water</x:v>
      </x:c>
      <x:c r="F32" s="24" t="str">
        <x:v>G2</x:v>
      </x:c>
      <x:c r="G32" s="24" t="str">
        <x:v>coupons and subassemblies</x:v>
      </x:c>
      <x:c r="H32" s="24" t="str">
        <x:v>raw data calibration uncertainty failure dossier</x:v>
      </x:c>
      <x:c r="I32" s="24" t="str">
        <x:v>F03</x:v>
      </x:c>
      <x:c r="J32" s="24" t="n">
        <x:v>8</x:v>
      </x:c>
      <x:c r="K32" s="24" t="str">
        <x:v>Independent Laboratory Authority</x:v>
      </x:c>
      <x:c r="L32" s="24" t="str">
        <x:v>registered threshold plus uncertainty and guardband</x:v>
      </x:c>
      <x:c r="M32" s="24" t="str">
        <x:v>reopen stage and every dependent claim</x:v>
      </x:c>
      <x:c r="N32" s="26" t="str">
        <x:v>OPEN</x:v>
      </x:c>
    </x:row>
    <x:row r="33">
      <x:c r="B33" s="24" t="str">
        <x:v>WT-G3</x:v>
      </x:c>
      <x:c r="C33" s="24" t="str">
        <x:v>Terrain water</x:v>
      </x:c>
      <x:c r="D33" s="24" t="str">
        <x:v>Terrain</x:v>
      </x:c>
      <x:c r="E33" s="24" t="str">
        <x:v>Water</x:v>
      </x:c>
      <x:c r="F33" s="24" t="str">
        <x:v>G3</x:v>
      </x:c>
      <x:c r="G33" s="24" t="str">
        <x:v>representative article</x:v>
      </x:c>
      <x:c r="H33" s="24" t="str">
        <x:v>configuration output hazard maintainability record</x:v>
      </x:c>
      <x:c r="I33" s="24" t="str">
        <x:v>F03</x:v>
      </x:c>
      <x:c r="J33" s="24" t="n">
        <x:v>14</x:v>
      </x:c>
      <x:c r="K33" s="24" t="str">
        <x:v>Family Certification Authority</x:v>
      </x:c>
      <x:c r="L33" s="24" t="str">
        <x:v>registered threshold plus uncertainty and guardband</x:v>
      </x:c>
      <x:c r="M33" s="24" t="str">
        <x:v>reopen stage and every dependent claim</x:v>
      </x:c>
      <x:c r="N33" s="26" t="str">
        <x:v>OPEN</x:v>
      </x:c>
    </x:row>
    <x:row r="34">
      <x:c r="B34" s="24" t="str">
        <x:v>WT-G4</x:v>
      </x:c>
      <x:c r="C34" s="24" t="str">
        <x:v>Terrain water</x:v>
      </x:c>
      <x:c r="D34" s="24" t="str">
        <x:v>Terrain</x:v>
      </x:c>
      <x:c r="E34" s="24" t="str">
        <x:v>Water</x:v>
      </x:c>
      <x:c r="F34" s="24" t="str">
        <x:v>G4</x:v>
      </x:c>
      <x:c r="G34" s="24" t="str">
        <x:v>five-family set</x:v>
      </x:c>
      <x:c r="H34" s="24" t="str">
        <x:v>simultaneous coupling and public-service vector</x:v>
      </x:c>
      <x:c r="I34" s="24" t="str">
        <x:v>F09</x:v>
      </x:c>
      <x:c r="J34" s="24" t="n">
        <x:v>12</x:v>
      </x:c>
      <x:c r="K34" s="24" t="str">
        <x:v>Set Integration Authority</x:v>
      </x:c>
      <x:c r="L34" s="24" t="str">
        <x:v>registered threshold plus uncertainty and guardband</x:v>
      </x:c>
      <x:c r="M34" s="24" t="str">
        <x:v>reopen stage and every dependent claim</x:v>
      </x:c>
      <x:c r="N34" s="26" t="str">
        <x:v>OPEN</x:v>
      </x:c>
    </x:row>
    <x:row r="35">
      <x:c r="B35" s="24" t="str">
        <x:v>WT-G5</x:v>
      </x:c>
      <x:c r="C35" s="24" t="str">
        <x:v>Terrain water</x:v>
      </x:c>
      <x:c r="D35" s="24" t="str">
        <x:v>Terrain</x:v>
      </x:c>
      <x:c r="E35" s="24" t="str">
        <x:v>Water</x:v>
      </x:c>
      <x:c r="F35" s="24" t="str">
        <x:v>G5</x:v>
      </x:c>
      <x:c r="G35" s="24" t="str">
        <x:v>instrumented carrier</x:v>
      </x:c>
      <x:c r="H35" s="24" t="str">
        <x:v>structure CG restraint transfer fire evacuation record</x:v>
      </x:c>
      <x:c r="I35" s="24" t="str">
        <x:v>F08</x:v>
      </x:c>
      <x:c r="J35" s="24" t="n">
        <x:v>16</x:v>
      </x:c>
      <x:c r="K35" s="24" t="str">
        <x:v>Vehicle Certification Authority</x:v>
      </x:c>
      <x:c r="L35" s="24" t="str">
        <x:v>registered threshold plus uncertainty and guardband</x:v>
      </x:c>
      <x:c r="M35" s="24" t="str">
        <x:v>reopen stage and every dependent claim</x:v>
      </x:c>
      <x:c r="N35" s="26" t="str">
        <x:v>OPEN</x:v>
      </x:c>
    </x:row>
    <x:row r="36">
      <x:c r="B36" s="24" t="str">
        <x:v>WT-G6</x:v>
      </x:c>
      <x:c r="C36" s="24" t="str">
        <x:v>Terrain water</x:v>
      </x:c>
      <x:c r="D36" s="24" t="str">
        <x:v>Terrain</x:v>
      </x:c>
      <x:c r="E36" s="24" t="str">
        <x:v>Water</x:v>
      </x:c>
      <x:c r="F36" s="24" t="str">
        <x:v>G6</x:v>
      </x:c>
      <x:c r="G36" s="24" t="str">
        <x:v>receiver complex</x:v>
      </x:c>
      <x:c r="H36" s="24" t="str">
        <x:v>assembly assay handoff public release record</x:v>
      </x:c>
      <x:c r="I36" s="24" t="str">
        <x:v>F09</x:v>
      </x:c>
      <x:c r="J36" s="24" t="n">
        <x:v>18</x:v>
      </x:c>
      <x:c r="K36" s="24" t="str">
        <x:v>Receiver Evidence Authority</x:v>
      </x:c>
      <x:c r="L36" s="24" t="str">
        <x:v>registered threshold plus uncertainty and guardband</x:v>
      </x:c>
      <x:c r="M36" s="24" t="str">
        <x:v>reopen stage and every dependent claim</x:v>
      </x:c>
      <x:c r="N36" s="26" t="str">
        <x:v>OPEN</x:v>
      </x:c>
    </x:row>
    <x:row r="37">
      <x:c r="B37" s="24" t="str">
        <x:v>WT-G7</x:v>
      </x:c>
      <x:c r="C37" s="24" t="str">
        <x:v>Terrain water</x:v>
      </x:c>
      <x:c r="D37" s="24" t="str">
        <x:v>Terrain</x:v>
      </x:c>
      <x:c r="E37" s="24" t="str">
        <x:v>Water</x:v>
      </x:c>
      <x:c r="F37" s="24" t="str">
        <x:v>G7</x:v>
      </x:c>
      <x:c r="G37" s="24" t="str">
        <x:v>survivor formation</x:v>
      </x:c>
      <x:c r="H37" s="24" t="str">
        <x:v>blinded casualty denial and safe-stop record</x:v>
      </x:c>
      <x:c r="I37" s="24" t="str">
        <x:v>F09</x:v>
      </x:c>
      <x:c r="J37" s="24" t="n">
        <x:v>20</x:v>
      </x:c>
      <x:c r="K37" s="24" t="str">
        <x:v>Destructive Trial Authority</x:v>
      </x:c>
      <x:c r="L37" s="24" t="str">
        <x:v>registered threshold plus uncertainty and guardband</x:v>
      </x:c>
      <x:c r="M37" s="24" t="str">
        <x:v>reopen stage and every dependent claim</x:v>
      </x:c>
      <x:c r="N37" s="26" t="str">
        <x:v>OPEN</x:v>
      </x:c>
    </x:row>
    <x:row r="38">
      <x:c r="B38" s="24" t="str">
        <x:v>WT-G8</x:v>
      </x:c>
      <x:c r="C38" s="24" t="str">
        <x:v>Terrain water</x:v>
      </x:c>
      <x:c r="D38" s="24" t="str">
        <x:v>Terrain</x:v>
      </x:c>
      <x:c r="E38" s="24" t="str">
        <x:v>Water</x:v>
      </x:c>
      <x:c r="F38" s="24" t="str">
        <x:v>G8</x:v>
      </x:c>
      <x:c r="G38" s="24" t="str">
        <x:v>second-lot and reset chain</x:v>
      </x:c>
      <x:c r="H38" s="24" t="str">
        <x:v>repeat mission lot trace depot replication record</x:v>
      </x:c>
      <x:c r="I38" s="24" t="str">
        <x:v>F10</x:v>
      </x:c>
      <x:c r="J38" s="24" t="n">
        <x:v>12</x:v>
      </x:c>
      <x:c r="K38" s="24" t="str">
        <x:v>Production Evidence Authority</x:v>
      </x:c>
      <x:c r="L38" s="24" t="str">
        <x:v>registered threshold plus uncertainty and guardband</x:v>
      </x:c>
      <x:c r="M38" s="24" t="str">
        <x:v>reopen stage and every dependent claim</x:v>
      </x:c>
      <x:c r="N38" s="26" t="str">
        <x:v>OPEN</x:v>
      </x:c>
    </x:row>
    <x:row r="39">
      <x:c r="B39" s="24" t="str">
        <x:v>TA-G1</x:v>
      </x:c>
      <x:c r="C39" s="24" t="str">
        <x:v>Air thermal</x:v>
      </x:c>
      <x:c r="D39" s="24" t="str">
        <x:v>Air</x:v>
      </x:c>
      <x:c r="E39" s="24" t="str">
        <x:v>Thermal</x:v>
      </x:c>
      <x:c r="F39" s="24" t="str">
        <x:v>G1</x:v>
      </x:c>
      <x:c r="G39" s="24" t="str">
        <x:v>registered claim</x:v>
      </x:c>
      <x:c r="H39" s="24" t="str">
        <x:v>burden-hazard-authority contract</x:v>
      </x:c>
      <x:c r="I39" s="24" t="str">
        <x:v>F01</x:v>
      </x:c>
      <x:c r="J39" s="24" t="n">
        <x:v>2</x:v>
      </x:c>
      <x:c r="K39" s="24" t="str">
        <x:v>Requirements Authority</x:v>
      </x:c>
      <x:c r="L39" s="24" t="str">
        <x:v>registered threshold plus uncertainty and guardband</x:v>
      </x:c>
      <x:c r="M39" s="24" t="str">
        <x:v>reopen stage and every dependent claim</x:v>
      </x:c>
      <x:c r="N39" s="26" t="str">
        <x:v>OPEN</x:v>
      </x:c>
    </x:row>
    <x:row r="40">
      <x:c r="B40" s="24" t="str">
        <x:v>TA-G2</x:v>
      </x:c>
      <x:c r="C40" s="24" t="str">
        <x:v>Air thermal</x:v>
      </x:c>
      <x:c r="D40" s="24" t="str">
        <x:v>Air</x:v>
      </x:c>
      <x:c r="E40" s="24" t="str">
        <x:v>Thermal</x:v>
      </x:c>
      <x:c r="F40" s="24" t="str">
        <x:v>G2</x:v>
      </x:c>
      <x:c r="G40" s="24" t="str">
        <x:v>coupons and subassemblies</x:v>
      </x:c>
      <x:c r="H40" s="24" t="str">
        <x:v>raw data calibration uncertainty failure dossier</x:v>
      </x:c>
      <x:c r="I40" s="24" t="str">
        <x:v>F04</x:v>
      </x:c>
      <x:c r="J40" s="24" t="n">
        <x:v>8</x:v>
      </x:c>
      <x:c r="K40" s="24" t="str">
        <x:v>Independent Laboratory Authority</x:v>
      </x:c>
      <x:c r="L40" s="24" t="str">
        <x:v>registered threshold plus uncertainty and guardband</x:v>
      </x:c>
      <x:c r="M40" s="24" t="str">
        <x:v>reopen stage and every dependent claim</x:v>
      </x:c>
      <x:c r="N40" s="26" t="str">
        <x:v>OPEN</x:v>
      </x:c>
    </x:row>
    <x:row r="41">
      <x:c r="B41" s="24" t="str">
        <x:v>TA-G3</x:v>
      </x:c>
      <x:c r="C41" s="24" t="str">
        <x:v>Air thermal</x:v>
      </x:c>
      <x:c r="D41" s="24" t="str">
        <x:v>Air</x:v>
      </x:c>
      <x:c r="E41" s="24" t="str">
        <x:v>Thermal</x:v>
      </x:c>
      <x:c r="F41" s="24" t="str">
        <x:v>G3</x:v>
      </x:c>
      <x:c r="G41" s="24" t="str">
        <x:v>representative article</x:v>
      </x:c>
      <x:c r="H41" s="24" t="str">
        <x:v>configuration output hazard maintainability record</x:v>
      </x:c>
      <x:c r="I41" s="24" t="str">
        <x:v>F04</x:v>
      </x:c>
      <x:c r="J41" s="24" t="n">
        <x:v>14</x:v>
      </x:c>
      <x:c r="K41" s="24" t="str">
        <x:v>Family Certification Authority</x:v>
      </x:c>
      <x:c r="L41" s="24" t="str">
        <x:v>registered threshold plus uncertainty and guardband</x:v>
      </x:c>
      <x:c r="M41" s="24" t="str">
        <x:v>reopen stage and every dependent claim</x:v>
      </x:c>
      <x:c r="N41" s="26" t="str">
        <x:v>OPEN</x:v>
      </x:c>
    </x:row>
    <x:row r="42">
      <x:c r="B42" s="24" t="str">
        <x:v>TA-G4</x:v>
      </x:c>
      <x:c r="C42" s="24" t="str">
        <x:v>Air thermal</x:v>
      </x:c>
      <x:c r="D42" s="24" t="str">
        <x:v>Air</x:v>
      </x:c>
      <x:c r="E42" s="24" t="str">
        <x:v>Thermal</x:v>
      </x:c>
      <x:c r="F42" s="24" t="str">
        <x:v>G4</x:v>
      </x:c>
      <x:c r="G42" s="24" t="str">
        <x:v>five-family set</x:v>
      </x:c>
      <x:c r="H42" s="24" t="str">
        <x:v>simultaneous coupling and public-service vector</x:v>
      </x:c>
      <x:c r="I42" s="24" t="str">
        <x:v>F09</x:v>
      </x:c>
      <x:c r="J42" s="24" t="n">
        <x:v>12</x:v>
      </x:c>
      <x:c r="K42" s="24" t="str">
        <x:v>Set Integration Authority</x:v>
      </x:c>
      <x:c r="L42" s="24" t="str">
        <x:v>registered threshold plus uncertainty and guardband</x:v>
      </x:c>
      <x:c r="M42" s="24" t="str">
        <x:v>reopen stage and every dependent claim</x:v>
      </x:c>
      <x:c r="N42" s="26" t="str">
        <x:v>OPEN</x:v>
      </x:c>
    </x:row>
    <x:row r="43">
      <x:c r="B43" s="24" t="str">
        <x:v>TA-G5</x:v>
      </x:c>
      <x:c r="C43" s="24" t="str">
        <x:v>Air thermal</x:v>
      </x:c>
      <x:c r="D43" s="24" t="str">
        <x:v>Air</x:v>
      </x:c>
      <x:c r="E43" s="24" t="str">
        <x:v>Thermal</x:v>
      </x:c>
      <x:c r="F43" s="24" t="str">
        <x:v>G5</x:v>
      </x:c>
      <x:c r="G43" s="24" t="str">
        <x:v>instrumented carrier</x:v>
      </x:c>
      <x:c r="H43" s="24" t="str">
        <x:v>structure CG restraint transfer fire evacuation record</x:v>
      </x:c>
      <x:c r="I43" s="24" t="str">
        <x:v>F07</x:v>
      </x:c>
      <x:c r="J43" s="24" t="n">
        <x:v>16</x:v>
      </x:c>
      <x:c r="K43" s="24" t="str">
        <x:v>Vehicle Certification Authority</x:v>
      </x:c>
      <x:c r="L43" s="24" t="str">
        <x:v>registered threshold plus uncertainty and guardband</x:v>
      </x:c>
      <x:c r="M43" s="24" t="str">
        <x:v>reopen stage and every dependent claim</x:v>
      </x:c>
      <x:c r="N43" s="26" t="str">
        <x:v>OPEN</x:v>
      </x:c>
    </x:row>
    <x:row r="44">
      <x:c r="B44" s="24" t="str">
        <x:v>TA-G6</x:v>
      </x:c>
      <x:c r="C44" s="24" t="str">
        <x:v>Air thermal</x:v>
      </x:c>
      <x:c r="D44" s="24" t="str">
        <x:v>Air</x:v>
      </x:c>
      <x:c r="E44" s="24" t="str">
        <x:v>Thermal</x:v>
      </x:c>
      <x:c r="F44" s="24" t="str">
        <x:v>G6</x:v>
      </x:c>
      <x:c r="G44" s="24" t="str">
        <x:v>receiver complex</x:v>
      </x:c>
      <x:c r="H44" s="24" t="str">
        <x:v>assembly assay handoff public release record</x:v>
      </x:c>
      <x:c r="I44" s="24" t="str">
        <x:v>F09</x:v>
      </x:c>
      <x:c r="J44" s="24" t="n">
        <x:v>18</x:v>
      </x:c>
      <x:c r="K44" s="24" t="str">
        <x:v>Receiver Evidence Authority</x:v>
      </x:c>
      <x:c r="L44" s="24" t="str">
        <x:v>registered threshold plus uncertainty and guardband</x:v>
      </x:c>
      <x:c r="M44" s="24" t="str">
        <x:v>reopen stage and every dependent claim</x:v>
      </x:c>
      <x:c r="N44" s="26" t="str">
        <x:v>OPEN</x:v>
      </x:c>
    </x:row>
    <x:row r="45">
      <x:c r="B45" s="24" t="str">
        <x:v>TA-G7</x:v>
      </x:c>
      <x:c r="C45" s="24" t="str">
        <x:v>Air thermal</x:v>
      </x:c>
      <x:c r="D45" s="24" t="str">
        <x:v>Air</x:v>
      </x:c>
      <x:c r="E45" s="24" t="str">
        <x:v>Thermal</x:v>
      </x:c>
      <x:c r="F45" s="24" t="str">
        <x:v>G7</x:v>
      </x:c>
      <x:c r="G45" s="24" t="str">
        <x:v>survivor formation</x:v>
      </x:c>
      <x:c r="H45" s="24" t="str">
        <x:v>blinded casualty denial and safe-stop record</x:v>
      </x:c>
      <x:c r="I45" s="24" t="str">
        <x:v>F09</x:v>
      </x:c>
      <x:c r="J45" s="24" t="n">
        <x:v>20</x:v>
      </x:c>
      <x:c r="K45" s="24" t="str">
        <x:v>Destructive Trial Authority</x:v>
      </x:c>
      <x:c r="L45" s="24" t="str">
        <x:v>registered threshold plus uncertainty and guardband</x:v>
      </x:c>
      <x:c r="M45" s="24" t="str">
        <x:v>reopen stage and every dependent claim</x:v>
      </x:c>
      <x:c r="N45" s="26" t="str">
        <x:v>OPEN</x:v>
      </x:c>
    </x:row>
    <x:row r="46">
      <x:c r="B46" s="24" t="str">
        <x:v>TA-G8</x:v>
      </x:c>
      <x:c r="C46" s="24" t="str">
        <x:v>Air thermal</x:v>
      </x:c>
      <x:c r="D46" s="24" t="str">
        <x:v>Air</x:v>
      </x:c>
      <x:c r="E46" s="24" t="str">
        <x:v>Thermal</x:v>
      </x:c>
      <x:c r="F46" s="24" t="str">
        <x:v>G8</x:v>
      </x:c>
      <x:c r="G46" s="24" t="str">
        <x:v>second-lot and reset chain</x:v>
      </x:c>
      <x:c r="H46" s="24" t="str">
        <x:v>repeat mission lot trace depot replication record</x:v>
      </x:c>
      <x:c r="I46" s="24" t="str">
        <x:v>F10</x:v>
      </x:c>
      <x:c r="J46" s="24" t="n">
        <x:v>12</x:v>
      </x:c>
      <x:c r="K46" s="24" t="str">
        <x:v>Production Evidence Authority</x:v>
      </x:c>
      <x:c r="L46" s="24" t="str">
        <x:v>registered threshold plus uncertainty and guardband</x:v>
      </x:c>
      <x:c r="M46" s="24" t="str">
        <x:v>reopen stage and every dependent claim</x:v>
      </x:c>
      <x:c r="N46" s="26" t="str">
        <x:v>OPEN</x:v>
      </x:c>
    </x:row>
    <x:row r="47">
      <x:c r="B47" s="24" t="str">
        <x:v>TT-G1</x:v>
      </x:c>
      <x:c r="C47" s="24" t="str">
        <x:v>Terrain thermal</x:v>
      </x:c>
      <x:c r="D47" s="24" t="str">
        <x:v>Terrain</x:v>
      </x:c>
      <x:c r="E47" s="24" t="str">
        <x:v>Thermal</x:v>
      </x:c>
      <x:c r="F47" s="24" t="str">
        <x:v>G1</x:v>
      </x:c>
      <x:c r="G47" s="24" t="str">
        <x:v>registered claim</x:v>
      </x:c>
      <x:c r="H47" s="24" t="str">
        <x:v>burden-hazard-authority contract</x:v>
      </x:c>
      <x:c r="I47" s="24" t="str">
        <x:v>F01</x:v>
      </x:c>
      <x:c r="J47" s="24" t="n">
        <x:v>2</x:v>
      </x:c>
      <x:c r="K47" s="24" t="str">
        <x:v>Requirements Authority</x:v>
      </x:c>
      <x:c r="L47" s="24" t="str">
        <x:v>registered threshold plus uncertainty and guardband</x:v>
      </x:c>
      <x:c r="M47" s="24" t="str">
        <x:v>reopen stage and every dependent claim</x:v>
      </x:c>
      <x:c r="N47" s="26" t="str">
        <x:v>OPEN</x:v>
      </x:c>
    </x:row>
    <x:row r="48">
      <x:c r="B48" s="24" t="str">
        <x:v>TT-G2</x:v>
      </x:c>
      <x:c r="C48" s="24" t="str">
        <x:v>Terrain thermal</x:v>
      </x:c>
      <x:c r="D48" s="24" t="str">
        <x:v>Terrain</x:v>
      </x:c>
      <x:c r="E48" s="24" t="str">
        <x:v>Thermal</x:v>
      </x:c>
      <x:c r="F48" s="24" t="str">
        <x:v>G2</x:v>
      </x:c>
      <x:c r="G48" s="24" t="str">
        <x:v>coupons and subassemblies</x:v>
      </x:c>
      <x:c r="H48" s="24" t="str">
        <x:v>raw data calibration uncertainty failure dossier</x:v>
      </x:c>
      <x:c r="I48" s="24" t="str">
        <x:v>F04</x:v>
      </x:c>
      <x:c r="J48" s="24" t="n">
        <x:v>8</x:v>
      </x:c>
      <x:c r="K48" s="24" t="str">
        <x:v>Independent Laboratory Authority</x:v>
      </x:c>
      <x:c r="L48" s="24" t="str">
        <x:v>registered threshold plus uncertainty and guardband</x:v>
      </x:c>
      <x:c r="M48" s="24" t="str">
        <x:v>reopen stage and every dependent claim</x:v>
      </x:c>
      <x:c r="N48" s="26" t="str">
        <x:v>OPEN</x:v>
      </x:c>
    </x:row>
    <x:row r="49">
      <x:c r="B49" s="24" t="str">
        <x:v>TT-G3</x:v>
      </x:c>
      <x:c r="C49" s="24" t="str">
        <x:v>Terrain thermal</x:v>
      </x:c>
      <x:c r="D49" s="24" t="str">
        <x:v>Terrain</x:v>
      </x:c>
      <x:c r="E49" s="24" t="str">
        <x:v>Thermal</x:v>
      </x:c>
      <x:c r="F49" s="24" t="str">
        <x:v>G3</x:v>
      </x:c>
      <x:c r="G49" s="24" t="str">
        <x:v>representative article</x:v>
      </x:c>
      <x:c r="H49" s="24" t="str">
        <x:v>configuration output hazard maintainability record</x:v>
      </x:c>
      <x:c r="I49" s="24" t="str">
        <x:v>F04</x:v>
      </x:c>
      <x:c r="J49" s="24" t="n">
        <x:v>14</x:v>
      </x:c>
      <x:c r="K49" s="24" t="str">
        <x:v>Family Certification Authority</x:v>
      </x:c>
      <x:c r="L49" s="24" t="str">
        <x:v>registered threshold plus uncertainty and guardband</x:v>
      </x:c>
      <x:c r="M49" s="24" t="str">
        <x:v>reopen stage and every dependent claim</x:v>
      </x:c>
      <x:c r="N49" s="26" t="str">
        <x:v>OPEN</x:v>
      </x:c>
    </x:row>
    <x:row r="50">
      <x:c r="B50" s="24" t="str">
        <x:v>TT-G4</x:v>
      </x:c>
      <x:c r="C50" s="24" t="str">
        <x:v>Terrain thermal</x:v>
      </x:c>
      <x:c r="D50" s="24" t="str">
        <x:v>Terrain</x:v>
      </x:c>
      <x:c r="E50" s="24" t="str">
        <x:v>Thermal</x:v>
      </x:c>
      <x:c r="F50" s="24" t="str">
        <x:v>G4</x:v>
      </x:c>
      <x:c r="G50" s="24" t="str">
        <x:v>five-family set</x:v>
      </x:c>
      <x:c r="H50" s="24" t="str">
        <x:v>simultaneous coupling and public-service vector</x:v>
      </x:c>
      <x:c r="I50" s="24" t="str">
        <x:v>F09</x:v>
      </x:c>
      <x:c r="J50" s="24" t="n">
        <x:v>12</x:v>
      </x:c>
      <x:c r="K50" s="24" t="str">
        <x:v>Set Integration Authority</x:v>
      </x:c>
      <x:c r="L50" s="24" t="str">
        <x:v>registered threshold plus uncertainty and guardband</x:v>
      </x:c>
      <x:c r="M50" s="24" t="str">
        <x:v>reopen stage and every dependent claim</x:v>
      </x:c>
      <x:c r="N50" s="26" t="str">
        <x:v>OPEN</x:v>
      </x:c>
    </x:row>
    <x:row r="51">
      <x:c r="B51" s="24" t="str">
        <x:v>TT-G5</x:v>
      </x:c>
      <x:c r="C51" s="24" t="str">
        <x:v>Terrain thermal</x:v>
      </x:c>
      <x:c r="D51" s="24" t="str">
        <x:v>Terrain</x:v>
      </x:c>
      <x:c r="E51" s="24" t="str">
        <x:v>Thermal</x:v>
      </x:c>
      <x:c r="F51" s="24" t="str">
        <x:v>G5</x:v>
      </x:c>
      <x:c r="G51" s="24" t="str">
        <x:v>instrumented carrier</x:v>
      </x:c>
      <x:c r="H51" s="24" t="str">
        <x:v>structure CG restraint transfer fire evacuation record</x:v>
      </x:c>
      <x:c r="I51" s="24" t="str">
        <x:v>F08</x:v>
      </x:c>
      <x:c r="J51" s="24" t="n">
        <x:v>16</x:v>
      </x:c>
      <x:c r="K51" s="24" t="str">
        <x:v>Vehicle Certification Authority</x:v>
      </x:c>
      <x:c r="L51" s="24" t="str">
        <x:v>registered threshold plus uncertainty and guardband</x:v>
      </x:c>
      <x:c r="M51" s="24" t="str">
        <x:v>reopen stage and every dependent claim</x:v>
      </x:c>
      <x:c r="N51" s="26" t="str">
        <x:v>OPEN</x:v>
      </x:c>
    </x:row>
    <x:row r="52">
      <x:c r="B52" s="24" t="str">
        <x:v>TT-G6</x:v>
      </x:c>
      <x:c r="C52" s="24" t="str">
        <x:v>Terrain thermal</x:v>
      </x:c>
      <x:c r="D52" s="24" t="str">
        <x:v>Terrain</x:v>
      </x:c>
      <x:c r="E52" s="24" t="str">
        <x:v>Thermal</x:v>
      </x:c>
      <x:c r="F52" s="24" t="str">
        <x:v>G6</x:v>
      </x:c>
      <x:c r="G52" s="24" t="str">
        <x:v>receiver complex</x:v>
      </x:c>
      <x:c r="H52" s="24" t="str">
        <x:v>assembly assay handoff public release record</x:v>
      </x:c>
      <x:c r="I52" s="24" t="str">
        <x:v>F09</x:v>
      </x:c>
      <x:c r="J52" s="24" t="n">
        <x:v>18</x:v>
      </x:c>
      <x:c r="K52" s="24" t="str">
        <x:v>Receiver Evidence Authority</x:v>
      </x:c>
      <x:c r="L52" s="24" t="str">
        <x:v>registered threshold plus uncertainty and guardband</x:v>
      </x:c>
      <x:c r="M52" s="24" t="str">
        <x:v>reopen stage and every dependent claim</x:v>
      </x:c>
      <x:c r="N52" s="26" t="str">
        <x:v>OPEN</x:v>
      </x:c>
    </x:row>
    <x:row r="53">
      <x:c r="B53" s="24" t="str">
        <x:v>TT-G7</x:v>
      </x:c>
      <x:c r="C53" s="24" t="str">
        <x:v>Terrain thermal</x:v>
      </x:c>
      <x:c r="D53" s="24" t="str">
        <x:v>Terrain</x:v>
      </x:c>
      <x:c r="E53" s="24" t="str">
        <x:v>Thermal</x:v>
      </x:c>
      <x:c r="F53" s="24" t="str">
        <x:v>G7</x:v>
      </x:c>
      <x:c r="G53" s="24" t="str">
        <x:v>survivor formation</x:v>
      </x:c>
      <x:c r="H53" s="24" t="str">
        <x:v>blinded casualty denial and safe-stop record</x:v>
      </x:c>
      <x:c r="I53" s="24" t="str">
        <x:v>F09</x:v>
      </x:c>
      <x:c r="J53" s="24" t="n">
        <x:v>20</x:v>
      </x:c>
      <x:c r="K53" s="24" t="str">
        <x:v>Destructive Trial Authority</x:v>
      </x:c>
      <x:c r="L53" s="24" t="str">
        <x:v>registered threshold plus uncertainty and guardband</x:v>
      </x:c>
      <x:c r="M53" s="24" t="str">
        <x:v>reopen stage and every dependent claim</x:v>
      </x:c>
      <x:c r="N53" s="26" t="str">
        <x:v>OPEN</x:v>
      </x:c>
    </x:row>
    <x:row r="54">
      <x:c r="B54" s="24" t="str">
        <x:v>TT-G8</x:v>
      </x:c>
      <x:c r="C54" s="24" t="str">
        <x:v>Terrain thermal</x:v>
      </x:c>
      <x:c r="D54" s="24" t="str">
        <x:v>Terrain</x:v>
      </x:c>
      <x:c r="E54" s="24" t="str">
        <x:v>Thermal</x:v>
      </x:c>
      <x:c r="F54" s="24" t="str">
        <x:v>G8</x:v>
      </x:c>
      <x:c r="G54" s="24" t="str">
        <x:v>second-lot and reset chain</x:v>
      </x:c>
      <x:c r="H54" s="24" t="str">
        <x:v>repeat mission lot trace depot replication record</x:v>
      </x:c>
      <x:c r="I54" s="24" t="str">
        <x:v>F10</x:v>
      </x:c>
      <x:c r="J54" s="24" t="n">
        <x:v>12</x:v>
      </x:c>
      <x:c r="K54" s="24" t="str">
        <x:v>Production Evidence Authority</x:v>
      </x:c>
      <x:c r="L54" s="24" t="str">
        <x:v>registered threshold plus uncertainty and guardband</x:v>
      </x:c>
      <x:c r="M54" s="24" t="str">
        <x:v>reopen stage and every dependent claim</x:v>
      </x:c>
      <x:c r="N54" s="26" t="str">
        <x:v>OPEN</x:v>
      </x:c>
    </x:row>
    <x:row r="55">
      <x:c r="B55" s="24" t="str">
        <x:v>DA-G1</x:v>
      </x:c>
      <x:c r="C55" s="24" t="str">
        <x:v>Air distribution</x:v>
      </x:c>
      <x:c r="D55" s="24" t="str">
        <x:v>Air</x:v>
      </x:c>
      <x:c r="E55" s="24" t="str">
        <x:v>Distribution</x:v>
      </x:c>
      <x:c r="F55" s="24" t="str">
        <x:v>G1</x:v>
      </x:c>
      <x:c r="G55" s="24" t="str">
        <x:v>registered claim</x:v>
      </x:c>
      <x:c r="H55" s="24" t="str">
        <x:v>burden-hazard-authority contract</x:v>
      </x:c>
      <x:c r="I55" s="24" t="str">
        <x:v>F01</x:v>
      </x:c>
      <x:c r="J55" s="24" t="n">
        <x:v>2</x:v>
      </x:c>
      <x:c r="K55" s="24" t="str">
        <x:v>Requirements Authority</x:v>
      </x:c>
      <x:c r="L55" s="24" t="str">
        <x:v>registered threshold plus uncertainty and guardband</x:v>
      </x:c>
      <x:c r="M55" s="24" t="str">
        <x:v>reopen stage and every dependent claim</x:v>
      </x:c>
      <x:c r="N55" s="26" t="str">
        <x:v>OPEN</x:v>
      </x:c>
    </x:row>
    <x:row r="56">
      <x:c r="B56" s="24" t="str">
        <x:v>DA-G2</x:v>
      </x:c>
      <x:c r="C56" s="24" t="str">
        <x:v>Air distribution</x:v>
      </x:c>
      <x:c r="D56" s="24" t="str">
        <x:v>Air</x:v>
      </x:c>
      <x:c r="E56" s="24" t="str">
        <x:v>Distribution</x:v>
      </x:c>
      <x:c r="F56" s="24" t="str">
        <x:v>G2</x:v>
      </x:c>
      <x:c r="G56" s="24" t="str">
        <x:v>coupons and subassemblies</x:v>
      </x:c>
      <x:c r="H56" s="24" t="str">
        <x:v>raw data calibration uncertainty failure dossier</x:v>
      </x:c>
      <x:c r="I56" s="24" t="str">
        <x:v>F05</x:v>
      </x:c>
      <x:c r="J56" s="24" t="n">
        <x:v>8</x:v>
      </x:c>
      <x:c r="K56" s="24" t="str">
        <x:v>Independent Laboratory Authority</x:v>
      </x:c>
      <x:c r="L56" s="24" t="str">
        <x:v>registered threshold plus uncertainty and guardband</x:v>
      </x:c>
      <x:c r="M56" s="24" t="str">
        <x:v>reopen stage and every dependent claim</x:v>
      </x:c>
      <x:c r="N56" s="26" t="str">
        <x:v>OPEN</x:v>
      </x:c>
    </x:row>
    <x:row r="57">
      <x:c r="B57" s="24" t="str">
        <x:v>DA-G3</x:v>
      </x:c>
      <x:c r="C57" s="24" t="str">
        <x:v>Air distribution</x:v>
      </x:c>
      <x:c r="D57" s="24" t="str">
        <x:v>Air</x:v>
      </x:c>
      <x:c r="E57" s="24" t="str">
        <x:v>Distribution</x:v>
      </x:c>
      <x:c r="F57" s="24" t="str">
        <x:v>G3</x:v>
      </x:c>
      <x:c r="G57" s="24" t="str">
        <x:v>representative article</x:v>
      </x:c>
      <x:c r="H57" s="24" t="str">
        <x:v>configuration output hazard maintainability record</x:v>
      </x:c>
      <x:c r="I57" s="24" t="str">
        <x:v>F05</x:v>
      </x:c>
      <x:c r="J57" s="24" t="n">
        <x:v>14</x:v>
      </x:c>
      <x:c r="K57" s="24" t="str">
        <x:v>Family Certification Authority</x:v>
      </x:c>
      <x:c r="L57" s="24" t="str">
        <x:v>registered threshold plus uncertainty and guardband</x:v>
      </x:c>
      <x:c r="M57" s="24" t="str">
        <x:v>reopen stage and every dependent claim</x:v>
      </x:c>
      <x:c r="N57" s="26" t="str">
        <x:v>OPEN</x:v>
      </x:c>
    </x:row>
    <x:row r="58">
      <x:c r="B58" s="24" t="str">
        <x:v>DA-G4</x:v>
      </x:c>
      <x:c r="C58" s="24" t="str">
        <x:v>Air distribution</x:v>
      </x:c>
      <x:c r="D58" s="24" t="str">
        <x:v>Air</x:v>
      </x:c>
      <x:c r="E58" s="24" t="str">
        <x:v>Distribution</x:v>
      </x:c>
      <x:c r="F58" s="24" t="str">
        <x:v>G4</x:v>
      </x:c>
      <x:c r="G58" s="24" t="str">
        <x:v>five-family set</x:v>
      </x:c>
      <x:c r="H58" s="24" t="str">
        <x:v>simultaneous coupling and public-service vector</x:v>
      </x:c>
      <x:c r="I58" s="24" t="str">
        <x:v>F09</x:v>
      </x:c>
      <x:c r="J58" s="24" t="n">
        <x:v>12</x:v>
      </x:c>
      <x:c r="K58" s="24" t="str">
        <x:v>Set Integration Authority</x:v>
      </x:c>
      <x:c r="L58" s="24" t="str">
        <x:v>registered threshold plus uncertainty and guardband</x:v>
      </x:c>
      <x:c r="M58" s="24" t="str">
        <x:v>reopen stage and every dependent claim</x:v>
      </x:c>
      <x:c r="N58" s="26" t="str">
        <x:v>OPEN</x:v>
      </x:c>
    </x:row>
    <x:row r="59">
      <x:c r="B59" s="24" t="str">
        <x:v>DA-G5</x:v>
      </x:c>
      <x:c r="C59" s="24" t="str">
        <x:v>Air distribution</x:v>
      </x:c>
      <x:c r="D59" s="24" t="str">
        <x:v>Air</x:v>
      </x:c>
      <x:c r="E59" s="24" t="str">
        <x:v>Distribution</x:v>
      </x:c>
      <x:c r="F59" s="24" t="str">
        <x:v>G5</x:v>
      </x:c>
      <x:c r="G59" s="24" t="str">
        <x:v>instrumented carrier</x:v>
      </x:c>
      <x:c r="H59" s="24" t="str">
        <x:v>structure CG restraint transfer fire evacuation record</x:v>
      </x:c>
      <x:c r="I59" s="24" t="str">
        <x:v>F07</x:v>
      </x:c>
      <x:c r="J59" s="24" t="n">
        <x:v>16</x:v>
      </x:c>
      <x:c r="K59" s="24" t="str">
        <x:v>Vehicle Certification Authority</x:v>
      </x:c>
      <x:c r="L59" s="24" t="str">
        <x:v>registered threshold plus uncertainty and guardband</x:v>
      </x:c>
      <x:c r="M59" s="24" t="str">
        <x:v>reopen stage and every dependent claim</x:v>
      </x:c>
      <x:c r="N59" s="26" t="str">
        <x:v>OPEN</x:v>
      </x:c>
    </x:row>
    <x:row r="60">
      <x:c r="B60" s="24" t="str">
        <x:v>DA-G6</x:v>
      </x:c>
      <x:c r="C60" s="24" t="str">
        <x:v>Air distribution</x:v>
      </x:c>
      <x:c r="D60" s="24" t="str">
        <x:v>Air</x:v>
      </x:c>
      <x:c r="E60" s="24" t="str">
        <x:v>Distribution</x:v>
      </x:c>
      <x:c r="F60" s="24" t="str">
        <x:v>G6</x:v>
      </x:c>
      <x:c r="G60" s="24" t="str">
        <x:v>receiver complex</x:v>
      </x:c>
      <x:c r="H60" s="24" t="str">
        <x:v>assembly assay handoff public release record</x:v>
      </x:c>
      <x:c r="I60" s="24" t="str">
        <x:v>F09</x:v>
      </x:c>
      <x:c r="J60" s="24" t="n">
        <x:v>18</x:v>
      </x:c>
      <x:c r="K60" s="24" t="str">
        <x:v>Receiver Evidence Authority</x:v>
      </x:c>
      <x:c r="L60" s="24" t="str">
        <x:v>registered threshold plus uncertainty and guardband</x:v>
      </x:c>
      <x:c r="M60" s="24" t="str">
        <x:v>reopen stage and every dependent claim</x:v>
      </x:c>
      <x:c r="N60" s="26" t="str">
        <x:v>OPEN</x:v>
      </x:c>
    </x:row>
    <x:row r="61">
      <x:c r="B61" s="24" t="str">
        <x:v>DA-G7</x:v>
      </x:c>
      <x:c r="C61" s="24" t="str">
        <x:v>Air distribution</x:v>
      </x:c>
      <x:c r="D61" s="24" t="str">
        <x:v>Air</x:v>
      </x:c>
      <x:c r="E61" s="24" t="str">
        <x:v>Distribution</x:v>
      </x:c>
      <x:c r="F61" s="24" t="str">
        <x:v>G7</x:v>
      </x:c>
      <x:c r="G61" s="24" t="str">
        <x:v>survivor formation</x:v>
      </x:c>
      <x:c r="H61" s="24" t="str">
        <x:v>blinded casualty denial and safe-stop record</x:v>
      </x:c>
      <x:c r="I61" s="24" t="str">
        <x:v>F09</x:v>
      </x:c>
      <x:c r="J61" s="24" t="n">
        <x:v>20</x:v>
      </x:c>
      <x:c r="K61" s="24" t="str">
        <x:v>Destructive Trial Authority</x:v>
      </x:c>
      <x:c r="L61" s="24" t="str">
        <x:v>registered threshold plus uncertainty and guardband</x:v>
      </x:c>
      <x:c r="M61" s="24" t="str">
        <x:v>reopen stage and every dependent claim</x:v>
      </x:c>
      <x:c r="N61" s="26" t="str">
        <x:v>OPEN</x:v>
      </x:c>
    </x:row>
    <x:row r="62">
      <x:c r="B62" s="24" t="str">
        <x:v>DA-G8</x:v>
      </x:c>
      <x:c r="C62" s="24" t="str">
        <x:v>Air distribution</x:v>
      </x:c>
      <x:c r="D62" s="24" t="str">
        <x:v>Air</x:v>
      </x:c>
      <x:c r="E62" s="24" t="str">
        <x:v>Distribution</x:v>
      </x:c>
      <x:c r="F62" s="24" t="str">
        <x:v>G8</x:v>
      </x:c>
      <x:c r="G62" s="24" t="str">
        <x:v>second-lot and reset chain</x:v>
      </x:c>
      <x:c r="H62" s="24" t="str">
        <x:v>repeat mission lot trace depot replication record</x:v>
      </x:c>
      <x:c r="I62" s="24" t="str">
        <x:v>F10</x:v>
      </x:c>
      <x:c r="J62" s="24" t="n">
        <x:v>12</x:v>
      </x:c>
      <x:c r="K62" s="24" t="str">
        <x:v>Production Evidence Authority</x:v>
      </x:c>
      <x:c r="L62" s="24" t="str">
        <x:v>registered threshold plus uncertainty and guardband</x:v>
      </x:c>
      <x:c r="M62" s="24" t="str">
        <x:v>reopen stage and every dependent claim</x:v>
      </x:c>
      <x:c r="N62" s="26" t="str">
        <x:v>OPEN</x:v>
      </x:c>
    </x:row>
    <x:row r="63">
      <x:c r="B63" s="24" t="str">
        <x:v>DT-G1</x:v>
      </x:c>
      <x:c r="C63" s="24" t="str">
        <x:v>Terrain distribution</x:v>
      </x:c>
      <x:c r="D63" s="24" t="str">
        <x:v>Terrain</x:v>
      </x:c>
      <x:c r="E63" s="24" t="str">
        <x:v>Distribution</x:v>
      </x:c>
      <x:c r="F63" s="24" t="str">
        <x:v>G1</x:v>
      </x:c>
      <x:c r="G63" s="24" t="str">
        <x:v>registered claim</x:v>
      </x:c>
      <x:c r="H63" s="24" t="str">
        <x:v>burden-hazard-authority contract</x:v>
      </x:c>
      <x:c r="I63" s="24" t="str">
        <x:v>F01</x:v>
      </x:c>
      <x:c r="J63" s="24" t="n">
        <x:v>2</x:v>
      </x:c>
      <x:c r="K63" s="24" t="str">
        <x:v>Requirements Authority</x:v>
      </x:c>
      <x:c r="L63" s="24" t="str">
        <x:v>registered threshold plus uncertainty and guardband</x:v>
      </x:c>
      <x:c r="M63" s="24" t="str">
        <x:v>reopen stage and every dependent claim</x:v>
      </x:c>
      <x:c r="N63" s="26" t="str">
        <x:v>OPEN</x:v>
      </x:c>
    </x:row>
    <x:row r="64">
      <x:c r="B64" s="24" t="str">
        <x:v>DT-G2</x:v>
      </x:c>
      <x:c r="C64" s="24" t="str">
        <x:v>Terrain distribution</x:v>
      </x:c>
      <x:c r="D64" s="24" t="str">
        <x:v>Terrain</x:v>
      </x:c>
      <x:c r="E64" s="24" t="str">
        <x:v>Distribution</x:v>
      </x:c>
      <x:c r="F64" s="24" t="str">
        <x:v>G2</x:v>
      </x:c>
      <x:c r="G64" s="24" t="str">
        <x:v>coupons and subassemblies</x:v>
      </x:c>
      <x:c r="H64" s="24" t="str">
        <x:v>raw data calibration uncertainty failure dossier</x:v>
      </x:c>
      <x:c r="I64" s="24" t="str">
        <x:v>F05</x:v>
      </x:c>
      <x:c r="J64" s="24" t="n">
        <x:v>8</x:v>
      </x:c>
      <x:c r="K64" s="24" t="str">
        <x:v>Independent Laboratory Authority</x:v>
      </x:c>
      <x:c r="L64" s="24" t="str">
        <x:v>registered threshold plus uncertainty and guardband</x:v>
      </x:c>
      <x:c r="M64" s="24" t="str">
        <x:v>reopen stage and every dependent claim</x:v>
      </x:c>
      <x:c r="N64" s="26" t="str">
        <x:v>OPEN</x:v>
      </x:c>
    </x:row>
    <x:row r="65">
      <x:c r="B65" s="24" t="str">
        <x:v>DT-G3</x:v>
      </x:c>
      <x:c r="C65" s="24" t="str">
        <x:v>Terrain distribution</x:v>
      </x:c>
      <x:c r="D65" s="24" t="str">
        <x:v>Terrain</x:v>
      </x:c>
      <x:c r="E65" s="24" t="str">
        <x:v>Distribution</x:v>
      </x:c>
      <x:c r="F65" s="24" t="str">
        <x:v>G3</x:v>
      </x:c>
      <x:c r="G65" s="24" t="str">
        <x:v>representative article</x:v>
      </x:c>
      <x:c r="H65" s="24" t="str">
        <x:v>configuration output hazard maintainability record</x:v>
      </x:c>
      <x:c r="I65" s="24" t="str">
        <x:v>F05</x:v>
      </x:c>
      <x:c r="J65" s="24" t="n">
        <x:v>14</x:v>
      </x:c>
      <x:c r="K65" s="24" t="str">
        <x:v>Family Certification Authority</x:v>
      </x:c>
      <x:c r="L65" s="24" t="str">
        <x:v>registered threshold plus uncertainty and guardband</x:v>
      </x:c>
      <x:c r="M65" s="24" t="str">
        <x:v>reopen stage and every dependent claim</x:v>
      </x:c>
      <x:c r="N65" s="26" t="str">
        <x:v>OPEN</x:v>
      </x:c>
    </x:row>
    <x:row r="66">
      <x:c r="B66" s="24" t="str">
        <x:v>DT-G4</x:v>
      </x:c>
      <x:c r="C66" s="24" t="str">
        <x:v>Terrain distribution</x:v>
      </x:c>
      <x:c r="D66" s="24" t="str">
        <x:v>Terrain</x:v>
      </x:c>
      <x:c r="E66" s="24" t="str">
        <x:v>Distribution</x:v>
      </x:c>
      <x:c r="F66" s="24" t="str">
        <x:v>G4</x:v>
      </x:c>
      <x:c r="G66" s="24" t="str">
        <x:v>five-family set</x:v>
      </x:c>
      <x:c r="H66" s="24" t="str">
        <x:v>simultaneous coupling and public-service vector</x:v>
      </x:c>
      <x:c r="I66" s="24" t="str">
        <x:v>F09</x:v>
      </x:c>
      <x:c r="J66" s="24" t="n">
        <x:v>12</x:v>
      </x:c>
      <x:c r="K66" s="24" t="str">
        <x:v>Set Integration Authority</x:v>
      </x:c>
      <x:c r="L66" s="24" t="str">
        <x:v>registered threshold plus uncertainty and guardband</x:v>
      </x:c>
      <x:c r="M66" s="24" t="str">
        <x:v>reopen stage and every dependent claim</x:v>
      </x:c>
      <x:c r="N66" s="26" t="str">
        <x:v>OPEN</x:v>
      </x:c>
    </x:row>
    <x:row r="67">
      <x:c r="B67" s="24" t="str">
        <x:v>DT-G5</x:v>
      </x:c>
      <x:c r="C67" s="24" t="str">
        <x:v>Terrain distribution</x:v>
      </x:c>
      <x:c r="D67" s="24" t="str">
        <x:v>Terrain</x:v>
      </x:c>
      <x:c r="E67" s="24" t="str">
        <x:v>Distribution</x:v>
      </x:c>
      <x:c r="F67" s="24" t="str">
        <x:v>G5</x:v>
      </x:c>
      <x:c r="G67" s="24" t="str">
        <x:v>instrumented carrier</x:v>
      </x:c>
      <x:c r="H67" s="24" t="str">
        <x:v>structure CG restraint transfer fire evacuation record</x:v>
      </x:c>
      <x:c r="I67" s="24" t="str">
        <x:v>F08</x:v>
      </x:c>
      <x:c r="J67" s="24" t="n">
        <x:v>16</x:v>
      </x:c>
      <x:c r="K67" s="24" t="str">
        <x:v>Vehicle Certification Authority</x:v>
      </x:c>
      <x:c r="L67" s="24" t="str">
        <x:v>registered threshold plus uncertainty and guardband</x:v>
      </x:c>
      <x:c r="M67" s="24" t="str">
        <x:v>reopen stage and every dependent claim</x:v>
      </x:c>
      <x:c r="N67" s="26" t="str">
        <x:v>OPEN</x:v>
      </x:c>
    </x:row>
    <x:row r="68">
      <x:c r="B68" s="24" t="str">
        <x:v>DT-G6</x:v>
      </x:c>
      <x:c r="C68" s="24" t="str">
        <x:v>Terrain distribution</x:v>
      </x:c>
      <x:c r="D68" s="24" t="str">
        <x:v>Terrain</x:v>
      </x:c>
      <x:c r="E68" s="24" t="str">
        <x:v>Distribution</x:v>
      </x:c>
      <x:c r="F68" s="24" t="str">
        <x:v>G6</x:v>
      </x:c>
      <x:c r="G68" s="24" t="str">
        <x:v>receiver complex</x:v>
      </x:c>
      <x:c r="H68" s="24" t="str">
        <x:v>assembly assay handoff public release record</x:v>
      </x:c>
      <x:c r="I68" s="24" t="str">
        <x:v>F09</x:v>
      </x:c>
      <x:c r="J68" s="24" t="n">
        <x:v>18</x:v>
      </x:c>
      <x:c r="K68" s="24" t="str">
        <x:v>Receiver Evidence Authority</x:v>
      </x:c>
      <x:c r="L68" s="24" t="str">
        <x:v>registered threshold plus uncertainty and guardband</x:v>
      </x:c>
      <x:c r="M68" s="24" t="str">
        <x:v>reopen stage and every dependent claim</x:v>
      </x:c>
      <x:c r="N68" s="26" t="str">
        <x:v>OPEN</x:v>
      </x:c>
    </x:row>
    <x:row r="69">
      <x:c r="B69" s="24" t="str">
        <x:v>DT-G7</x:v>
      </x:c>
      <x:c r="C69" s="24" t="str">
        <x:v>Terrain distribution</x:v>
      </x:c>
      <x:c r="D69" s="24" t="str">
        <x:v>Terrain</x:v>
      </x:c>
      <x:c r="E69" s="24" t="str">
        <x:v>Distribution</x:v>
      </x:c>
      <x:c r="F69" s="24" t="str">
        <x:v>G7</x:v>
      </x:c>
      <x:c r="G69" s="24" t="str">
        <x:v>survivor formation</x:v>
      </x:c>
      <x:c r="H69" s="24" t="str">
        <x:v>blinded casualty denial and safe-stop record</x:v>
      </x:c>
      <x:c r="I69" s="24" t="str">
        <x:v>F09</x:v>
      </x:c>
      <x:c r="J69" s="24" t="n">
        <x:v>20</x:v>
      </x:c>
      <x:c r="K69" s="24" t="str">
        <x:v>Destructive Trial Authority</x:v>
      </x:c>
      <x:c r="L69" s="24" t="str">
        <x:v>registered threshold plus uncertainty and guardband</x:v>
      </x:c>
      <x:c r="M69" s="24" t="str">
        <x:v>reopen stage and every dependent claim</x:v>
      </x:c>
      <x:c r="N69" s="26" t="str">
        <x:v>OPEN</x:v>
      </x:c>
    </x:row>
    <x:row r="70">
      <x:c r="B70" s="24" t="str">
        <x:v>DT-G8</x:v>
      </x:c>
      <x:c r="C70" s="24" t="str">
        <x:v>Terrain distribution</x:v>
      </x:c>
      <x:c r="D70" s="24" t="str">
        <x:v>Terrain</x:v>
      </x:c>
      <x:c r="E70" s="24" t="str">
        <x:v>Distribution</x:v>
      </x:c>
      <x:c r="F70" s="24" t="str">
        <x:v>G8</x:v>
      </x:c>
      <x:c r="G70" s="24" t="str">
        <x:v>second-lot and reset chain</x:v>
      </x:c>
      <x:c r="H70" s="24" t="str">
        <x:v>repeat mission lot trace depot replication record</x:v>
      </x:c>
      <x:c r="I70" s="24" t="str">
        <x:v>F10</x:v>
      </x:c>
      <x:c r="J70" s="24" t="n">
        <x:v>12</x:v>
      </x:c>
      <x:c r="K70" s="24" t="str">
        <x:v>Production Evidence Authority</x:v>
      </x:c>
      <x:c r="L70" s="24" t="str">
        <x:v>registered threshold plus uncertainty and guardband</x:v>
      </x:c>
      <x:c r="M70" s="24" t="str">
        <x:v>reopen stage and every dependent claim</x:v>
      </x:c>
      <x:c r="N70" s="26" t="str">
        <x:v>OPEN</x:v>
      </x:c>
    </x:row>
    <x:row r="71">
      <x:c r="B71" s="24" t="str">
        <x:v>CA-G1</x:v>
      </x:c>
      <x:c r="C71" s="24" t="str">
        <x:v>Air civil</x:v>
      </x:c>
      <x:c r="D71" s="24" t="str">
        <x:v>Air</x:v>
      </x:c>
      <x:c r="E71" s="24" t="str">
        <x:v>Civil</x:v>
      </x:c>
      <x:c r="F71" s="24" t="str">
        <x:v>G1</x:v>
      </x:c>
      <x:c r="G71" s="24" t="str">
        <x:v>registered claim</x:v>
      </x:c>
      <x:c r="H71" s="24" t="str">
        <x:v>burden-hazard-authority contract</x:v>
      </x:c>
      <x:c r="I71" s="24" t="str">
        <x:v>F01</x:v>
      </x:c>
      <x:c r="J71" s="24" t="n">
        <x:v>2</x:v>
      </x:c>
      <x:c r="K71" s="24" t="str">
        <x:v>Requirements Authority</x:v>
      </x:c>
      <x:c r="L71" s="24" t="str">
        <x:v>registered threshold plus uncertainty and guardband</x:v>
      </x:c>
      <x:c r="M71" s="24" t="str">
        <x:v>reopen stage and every dependent claim</x:v>
      </x:c>
      <x:c r="N71" s="26" t="str">
        <x:v>OPEN</x:v>
      </x:c>
    </x:row>
    <x:row r="72">
      <x:c r="B72" s="24" t="str">
        <x:v>CA-G2</x:v>
      </x:c>
      <x:c r="C72" s="24" t="str">
        <x:v>Air civil</x:v>
      </x:c>
      <x:c r="D72" s="24" t="str">
        <x:v>Air</x:v>
      </x:c>
      <x:c r="E72" s="24" t="str">
        <x:v>Civil</x:v>
      </x:c>
      <x:c r="F72" s="24" t="str">
        <x:v>G2</x:v>
      </x:c>
      <x:c r="G72" s="24" t="str">
        <x:v>coupons and subassemblies</x:v>
      </x:c>
      <x:c r="H72" s="24" t="str">
        <x:v>raw data calibration uncertainty failure dossier</x:v>
      </x:c>
      <x:c r="I72" s="24" t="str">
        <x:v>F06</x:v>
      </x:c>
      <x:c r="J72" s="24" t="n">
        <x:v>8</x:v>
      </x:c>
      <x:c r="K72" s="24" t="str">
        <x:v>Independent Laboratory Authority</x:v>
      </x:c>
      <x:c r="L72" s="24" t="str">
        <x:v>registered threshold plus uncertainty and guardband</x:v>
      </x:c>
      <x:c r="M72" s="24" t="str">
        <x:v>reopen stage and every dependent claim</x:v>
      </x:c>
      <x:c r="N72" s="26" t="str">
        <x:v>OPEN</x:v>
      </x:c>
    </x:row>
    <x:row r="73">
      <x:c r="B73" s="24" t="str">
        <x:v>CA-G3</x:v>
      </x:c>
      <x:c r="C73" s="24" t="str">
        <x:v>Air civil</x:v>
      </x:c>
      <x:c r="D73" s="24" t="str">
        <x:v>Air</x:v>
      </x:c>
      <x:c r="E73" s="24" t="str">
        <x:v>Civil</x:v>
      </x:c>
      <x:c r="F73" s="24" t="str">
        <x:v>G3</x:v>
      </x:c>
      <x:c r="G73" s="24" t="str">
        <x:v>representative article</x:v>
      </x:c>
      <x:c r="H73" s="24" t="str">
        <x:v>configuration output hazard maintainability record</x:v>
      </x:c>
      <x:c r="I73" s="24" t="str">
        <x:v>F06</x:v>
      </x:c>
      <x:c r="J73" s="24" t="n">
        <x:v>14</x:v>
      </x:c>
      <x:c r="K73" s="24" t="str">
        <x:v>Family Certification Authority</x:v>
      </x:c>
      <x:c r="L73" s="24" t="str">
        <x:v>registered threshold plus uncertainty and guardband</x:v>
      </x:c>
      <x:c r="M73" s="24" t="str">
        <x:v>reopen stage and every dependent claim</x:v>
      </x:c>
      <x:c r="N73" s="26" t="str">
        <x:v>OPEN</x:v>
      </x:c>
    </x:row>
    <x:row r="74">
      <x:c r="B74" s="24" t="str">
        <x:v>CA-G4</x:v>
      </x:c>
      <x:c r="C74" s="24" t="str">
        <x:v>Air civil</x:v>
      </x:c>
      <x:c r="D74" s="24" t="str">
        <x:v>Air</x:v>
      </x:c>
      <x:c r="E74" s="24" t="str">
        <x:v>Civil</x:v>
      </x:c>
      <x:c r="F74" s="24" t="str">
        <x:v>G4</x:v>
      </x:c>
      <x:c r="G74" s="24" t="str">
        <x:v>five-family set</x:v>
      </x:c>
      <x:c r="H74" s="24" t="str">
        <x:v>simultaneous coupling and public-service vector</x:v>
      </x:c>
      <x:c r="I74" s="24" t="str">
        <x:v>F09</x:v>
      </x:c>
      <x:c r="J74" s="24" t="n">
        <x:v>12</x:v>
      </x:c>
      <x:c r="K74" s="24" t="str">
        <x:v>Set Integration Authority</x:v>
      </x:c>
      <x:c r="L74" s="24" t="str">
        <x:v>registered threshold plus uncertainty and guardband</x:v>
      </x:c>
      <x:c r="M74" s="24" t="str">
        <x:v>reopen stage and every dependent claim</x:v>
      </x:c>
      <x:c r="N74" s="26" t="str">
        <x:v>OPEN</x:v>
      </x:c>
    </x:row>
    <x:row r="75">
      <x:c r="B75" s="24" t="str">
        <x:v>CA-G5</x:v>
      </x:c>
      <x:c r="C75" s="24" t="str">
        <x:v>Air civil</x:v>
      </x:c>
      <x:c r="D75" s="24" t="str">
        <x:v>Air</x:v>
      </x:c>
      <x:c r="E75" s="24" t="str">
        <x:v>Civil</x:v>
      </x:c>
      <x:c r="F75" s="24" t="str">
        <x:v>G5</x:v>
      </x:c>
      <x:c r="G75" s="24" t="str">
        <x:v>instrumented carrier</x:v>
      </x:c>
      <x:c r="H75" s="24" t="str">
        <x:v>structure CG restraint transfer fire evacuation record</x:v>
      </x:c>
      <x:c r="I75" s="24" t="str">
        <x:v>F07</x:v>
      </x:c>
      <x:c r="J75" s="24" t="n">
        <x:v>16</x:v>
      </x:c>
      <x:c r="K75" s="24" t="str">
        <x:v>Vehicle Certification Authority</x:v>
      </x:c>
      <x:c r="L75" s="24" t="str">
        <x:v>registered threshold plus uncertainty and guardband</x:v>
      </x:c>
      <x:c r="M75" s="24" t="str">
        <x:v>reopen stage and every dependent claim</x:v>
      </x:c>
      <x:c r="N75" s="26" t="str">
        <x:v>OPEN</x:v>
      </x:c>
    </x:row>
    <x:row r="76">
      <x:c r="B76" s="24" t="str">
        <x:v>CA-G6</x:v>
      </x:c>
      <x:c r="C76" s="24" t="str">
        <x:v>Air civil</x:v>
      </x:c>
      <x:c r="D76" s="24" t="str">
        <x:v>Air</x:v>
      </x:c>
      <x:c r="E76" s="24" t="str">
        <x:v>Civil</x:v>
      </x:c>
      <x:c r="F76" s="24" t="str">
        <x:v>G6</x:v>
      </x:c>
      <x:c r="G76" s="24" t="str">
        <x:v>receiver complex</x:v>
      </x:c>
      <x:c r="H76" s="24" t="str">
        <x:v>assembly assay handoff public release record</x:v>
      </x:c>
      <x:c r="I76" s="24" t="str">
        <x:v>F09</x:v>
      </x:c>
      <x:c r="J76" s="24" t="n">
        <x:v>18</x:v>
      </x:c>
      <x:c r="K76" s="24" t="str">
        <x:v>Receiver Evidence Authority</x:v>
      </x:c>
      <x:c r="L76" s="24" t="str">
        <x:v>registered threshold plus uncertainty and guardband</x:v>
      </x:c>
      <x:c r="M76" s="24" t="str">
        <x:v>reopen stage and every dependent claim</x:v>
      </x:c>
      <x:c r="N76" s="26" t="str">
        <x:v>OPEN</x:v>
      </x:c>
    </x:row>
    <x:row r="77">
      <x:c r="B77" s="24" t="str">
        <x:v>CA-G7</x:v>
      </x:c>
      <x:c r="C77" s="24" t="str">
        <x:v>Air civil</x:v>
      </x:c>
      <x:c r="D77" s="24" t="str">
        <x:v>Air</x:v>
      </x:c>
      <x:c r="E77" s="24" t="str">
        <x:v>Civil</x:v>
      </x:c>
      <x:c r="F77" s="24" t="str">
        <x:v>G7</x:v>
      </x:c>
      <x:c r="G77" s="24" t="str">
        <x:v>survivor formation</x:v>
      </x:c>
      <x:c r="H77" s="24" t="str">
        <x:v>blinded casualty denial and safe-stop record</x:v>
      </x:c>
      <x:c r="I77" s="24" t="str">
        <x:v>F09</x:v>
      </x:c>
      <x:c r="J77" s="24" t="n">
        <x:v>20</x:v>
      </x:c>
      <x:c r="K77" s="24" t="str">
        <x:v>Destructive Trial Authority</x:v>
      </x:c>
      <x:c r="L77" s="24" t="str">
        <x:v>registered threshold plus uncertainty and guardband</x:v>
      </x:c>
      <x:c r="M77" s="24" t="str">
        <x:v>reopen stage and every dependent claim</x:v>
      </x:c>
      <x:c r="N77" s="26" t="str">
        <x:v>OPEN</x:v>
      </x:c>
    </x:row>
    <x:row r="78">
      <x:c r="B78" s="24" t="str">
        <x:v>CA-G8</x:v>
      </x:c>
      <x:c r="C78" s="24" t="str">
        <x:v>Air civil</x:v>
      </x:c>
      <x:c r="D78" s="24" t="str">
        <x:v>Air</x:v>
      </x:c>
      <x:c r="E78" s="24" t="str">
        <x:v>Civil</x:v>
      </x:c>
      <x:c r="F78" s="24" t="str">
        <x:v>G8</x:v>
      </x:c>
      <x:c r="G78" s="24" t="str">
        <x:v>second-lot and reset chain</x:v>
      </x:c>
      <x:c r="H78" s="24" t="str">
        <x:v>repeat mission lot trace depot replication record</x:v>
      </x:c>
      <x:c r="I78" s="24" t="str">
        <x:v>F10</x:v>
      </x:c>
      <x:c r="J78" s="24" t="n">
        <x:v>12</x:v>
      </x:c>
      <x:c r="K78" s="24" t="str">
        <x:v>Production Evidence Authority</x:v>
      </x:c>
      <x:c r="L78" s="24" t="str">
        <x:v>registered threshold plus uncertainty and guardband</x:v>
      </x:c>
      <x:c r="M78" s="24" t="str">
        <x:v>reopen stage and every dependent claim</x:v>
      </x:c>
      <x:c r="N78" s="26" t="str">
        <x:v>OPEN</x:v>
      </x:c>
    </x:row>
    <x:row r="79">
      <x:c r="B79" s="24" t="str">
        <x:v>CT-G1</x:v>
      </x:c>
      <x:c r="C79" s="24" t="str">
        <x:v>Terrain civil</x:v>
      </x:c>
      <x:c r="D79" s="24" t="str">
        <x:v>Terrain</x:v>
      </x:c>
      <x:c r="E79" s="24" t="str">
        <x:v>Civil</x:v>
      </x:c>
      <x:c r="F79" s="24" t="str">
        <x:v>G1</x:v>
      </x:c>
      <x:c r="G79" s="24" t="str">
        <x:v>registered claim</x:v>
      </x:c>
      <x:c r="H79" s="24" t="str">
        <x:v>burden-hazard-authority contract</x:v>
      </x:c>
      <x:c r="I79" s="24" t="str">
        <x:v>F01</x:v>
      </x:c>
      <x:c r="J79" s="24" t="n">
        <x:v>2</x:v>
      </x:c>
      <x:c r="K79" s="24" t="str">
        <x:v>Requirements Authority</x:v>
      </x:c>
      <x:c r="L79" s="24" t="str">
        <x:v>registered threshold plus uncertainty and guardband</x:v>
      </x:c>
      <x:c r="M79" s="24" t="str">
        <x:v>reopen stage and every dependent claim</x:v>
      </x:c>
      <x:c r="N79" s="26" t="str">
        <x:v>OPEN</x:v>
      </x:c>
    </x:row>
    <x:row r="80">
      <x:c r="B80" s="24" t="str">
        <x:v>CT-G2</x:v>
      </x:c>
      <x:c r="C80" s="24" t="str">
        <x:v>Terrain civil</x:v>
      </x:c>
      <x:c r="D80" s="24" t="str">
        <x:v>Terrain</x:v>
      </x:c>
      <x:c r="E80" s="24" t="str">
        <x:v>Civil</x:v>
      </x:c>
      <x:c r="F80" s="24" t="str">
        <x:v>G2</x:v>
      </x:c>
      <x:c r="G80" s="24" t="str">
        <x:v>coupons and subassemblies</x:v>
      </x:c>
      <x:c r="H80" s="24" t="str">
        <x:v>raw data calibration uncertainty failure dossier</x:v>
      </x:c>
      <x:c r="I80" s="24" t="str">
        <x:v>F06</x:v>
      </x:c>
      <x:c r="J80" s="24" t="n">
        <x:v>8</x:v>
      </x:c>
      <x:c r="K80" s="24" t="str">
        <x:v>Independent Laboratory Authority</x:v>
      </x:c>
      <x:c r="L80" s="24" t="str">
        <x:v>registered threshold plus uncertainty and guardband</x:v>
      </x:c>
      <x:c r="M80" s="24" t="str">
        <x:v>reopen stage and every dependent claim</x:v>
      </x:c>
      <x:c r="N80" s="26" t="str">
        <x:v>OPEN</x:v>
      </x:c>
    </x:row>
    <x:row r="81">
      <x:c r="B81" s="24" t="str">
        <x:v>CT-G3</x:v>
      </x:c>
      <x:c r="C81" s="24" t="str">
        <x:v>Terrain civil</x:v>
      </x:c>
      <x:c r="D81" s="24" t="str">
        <x:v>Terrain</x:v>
      </x:c>
      <x:c r="E81" s="24" t="str">
        <x:v>Civil</x:v>
      </x:c>
      <x:c r="F81" s="24" t="str">
        <x:v>G3</x:v>
      </x:c>
      <x:c r="G81" s="24" t="str">
        <x:v>representative article</x:v>
      </x:c>
      <x:c r="H81" s="24" t="str">
        <x:v>configuration output hazard maintainability record</x:v>
      </x:c>
      <x:c r="I81" s="24" t="str">
        <x:v>F06</x:v>
      </x:c>
      <x:c r="J81" s="24" t="n">
        <x:v>14</x:v>
      </x:c>
      <x:c r="K81" s="24" t="str">
        <x:v>Family Certification Authority</x:v>
      </x:c>
      <x:c r="L81" s="24" t="str">
        <x:v>registered threshold plus uncertainty and guardband</x:v>
      </x:c>
      <x:c r="M81" s="24" t="str">
        <x:v>reopen stage and every dependent claim</x:v>
      </x:c>
      <x:c r="N81" s="26" t="str">
        <x:v>OPEN</x:v>
      </x:c>
    </x:row>
    <x:row r="82">
      <x:c r="B82" s="24" t="str">
        <x:v>CT-G4</x:v>
      </x:c>
      <x:c r="C82" s="24" t="str">
        <x:v>Terrain civil</x:v>
      </x:c>
      <x:c r="D82" s="24" t="str">
        <x:v>Terrain</x:v>
      </x:c>
      <x:c r="E82" s="24" t="str">
        <x:v>Civil</x:v>
      </x:c>
      <x:c r="F82" s="24" t="str">
        <x:v>G4</x:v>
      </x:c>
      <x:c r="G82" s="24" t="str">
        <x:v>five-family set</x:v>
      </x:c>
      <x:c r="H82" s="24" t="str">
        <x:v>simultaneous coupling and public-service vector</x:v>
      </x:c>
      <x:c r="I82" s="24" t="str">
        <x:v>F09</x:v>
      </x:c>
      <x:c r="J82" s="24" t="n">
        <x:v>12</x:v>
      </x:c>
      <x:c r="K82" s="24" t="str">
        <x:v>Set Integration Authority</x:v>
      </x:c>
      <x:c r="L82" s="24" t="str">
        <x:v>registered threshold plus uncertainty and guardband</x:v>
      </x:c>
      <x:c r="M82" s="24" t="str">
        <x:v>reopen stage and every dependent claim</x:v>
      </x:c>
      <x:c r="N82" s="26" t="str">
        <x:v>OPEN</x:v>
      </x:c>
    </x:row>
    <x:row r="83">
      <x:c r="B83" s="24" t="str">
        <x:v>CT-G5</x:v>
      </x:c>
      <x:c r="C83" s="24" t="str">
        <x:v>Terrain civil</x:v>
      </x:c>
      <x:c r="D83" s="24" t="str">
        <x:v>Terrain</x:v>
      </x:c>
      <x:c r="E83" s="24" t="str">
        <x:v>Civil</x:v>
      </x:c>
      <x:c r="F83" s="24" t="str">
        <x:v>G5</x:v>
      </x:c>
      <x:c r="G83" s="24" t="str">
        <x:v>instrumented carrier</x:v>
      </x:c>
      <x:c r="H83" s="24" t="str">
        <x:v>structure CG restraint transfer fire evacuation record</x:v>
      </x:c>
      <x:c r="I83" s="24" t="str">
        <x:v>F08</x:v>
      </x:c>
      <x:c r="J83" s="24" t="n">
        <x:v>16</x:v>
      </x:c>
      <x:c r="K83" s="24" t="str">
        <x:v>Vehicle Certification Authority</x:v>
      </x:c>
      <x:c r="L83" s="24" t="str">
        <x:v>registered threshold plus uncertainty and guardband</x:v>
      </x:c>
      <x:c r="M83" s="24" t="str">
        <x:v>reopen stage and every dependent claim</x:v>
      </x:c>
      <x:c r="N83" s="26" t="str">
        <x:v>OPEN</x:v>
      </x:c>
    </x:row>
    <x:row r="84">
      <x:c r="B84" s="24" t="str">
        <x:v>CT-G6</x:v>
      </x:c>
      <x:c r="C84" s="24" t="str">
        <x:v>Terrain civil</x:v>
      </x:c>
      <x:c r="D84" s="24" t="str">
        <x:v>Terrain</x:v>
      </x:c>
      <x:c r="E84" s="24" t="str">
        <x:v>Civil</x:v>
      </x:c>
      <x:c r="F84" s="24" t="str">
        <x:v>G6</x:v>
      </x:c>
      <x:c r="G84" s="24" t="str">
        <x:v>receiver complex</x:v>
      </x:c>
      <x:c r="H84" s="24" t="str">
        <x:v>assembly assay handoff public release record</x:v>
      </x:c>
      <x:c r="I84" s="24" t="str">
        <x:v>F09</x:v>
      </x:c>
      <x:c r="J84" s="24" t="n">
        <x:v>18</x:v>
      </x:c>
      <x:c r="K84" s="24" t="str">
        <x:v>Receiver Evidence Authority</x:v>
      </x:c>
      <x:c r="L84" s="24" t="str">
        <x:v>registered threshold plus uncertainty and guardband</x:v>
      </x:c>
      <x:c r="M84" s="24" t="str">
        <x:v>reopen stage and every dependent claim</x:v>
      </x:c>
      <x:c r="N84" s="26" t="str">
        <x:v>OPEN</x:v>
      </x:c>
    </x:row>
    <x:row r="85">
      <x:c r="B85" s="24" t="str">
        <x:v>CT-G7</x:v>
      </x:c>
      <x:c r="C85" s="24" t="str">
        <x:v>Terrain civil</x:v>
      </x:c>
      <x:c r="D85" s="24" t="str">
        <x:v>Terrain</x:v>
      </x:c>
      <x:c r="E85" s="24" t="str">
        <x:v>Civil</x:v>
      </x:c>
      <x:c r="F85" s="24" t="str">
        <x:v>G7</x:v>
      </x:c>
      <x:c r="G85" s="24" t="str">
        <x:v>survivor formation</x:v>
      </x:c>
      <x:c r="H85" s="24" t="str">
        <x:v>blinded casualty denial and safe-stop record</x:v>
      </x:c>
      <x:c r="I85" s="24" t="str">
        <x:v>F09</x:v>
      </x:c>
      <x:c r="J85" s="24" t="n">
        <x:v>20</x:v>
      </x:c>
      <x:c r="K85" s="24" t="str">
        <x:v>Destructive Trial Authority</x:v>
      </x:c>
      <x:c r="L85" s="24" t="str">
        <x:v>registered threshold plus uncertainty and guardband</x:v>
      </x:c>
      <x:c r="M85" s="24" t="str">
        <x:v>reopen stage and every dependent claim</x:v>
      </x:c>
      <x:c r="N85" s="26" t="str">
        <x:v>OPEN</x:v>
      </x:c>
    </x:row>
    <x:row r="86">
      <x:c r="B86" s="24" t="str">
        <x:v>CT-G8</x:v>
      </x:c>
      <x:c r="C86" s="24" t="str">
        <x:v>Terrain civil</x:v>
      </x:c>
      <x:c r="D86" s="24" t="str">
        <x:v>Terrain</x:v>
      </x:c>
      <x:c r="E86" s="24" t="str">
        <x:v>Civil</x:v>
      </x:c>
      <x:c r="F86" s="24" t="str">
        <x:v>G8</x:v>
      </x:c>
      <x:c r="G86" s="24" t="str">
        <x:v>second-lot and reset chain</x:v>
      </x:c>
      <x:c r="H86" s="24" t="str">
        <x:v>repeat mission lot trace depot replication record</x:v>
      </x:c>
      <x:c r="I86" s="24" t="str">
        <x:v>F10</x:v>
      </x:c>
      <x:c r="J86" s="24" t="n">
        <x:v>12</x:v>
      </x:c>
      <x:c r="K86" s="24" t="str">
        <x:v>Production Evidence Authority</x:v>
      </x:c>
      <x:c r="L86" s="24" t="str">
        <x:v>registered threshold plus uncertainty and guardband</x:v>
      </x:c>
      <x:c r="M86" s="24" t="str">
        <x:v>reopen stage and every dependent claim</x:v>
      </x:c>
      <x:c r="N86" s="26" t="str">
        <x:v>OPEN</x:v>
      </x:c>
    </x:row>
    <x:row r="87">
      <x:c r="B87" s="24" t="str">
        <x:v>I01-G1</x:v>
      </x:c>
      <x:c r="C87" s="24" t="str">
        <x:v>Air saddle and restraint</x:v>
      </x:c>
      <x:c r="D87" s="24" t="str">
        <x:v>Air</x:v>
      </x:c>
      <x:c r="E87" s="24" t="str">
        <x:v>Interface</x:v>
      </x:c>
      <x:c r="F87" s="24" t="str">
        <x:v>G1</x:v>
      </x:c>
      <x:c r="G87" s="24" t="str">
        <x:v>registered claim</x:v>
      </x:c>
      <x:c r="H87" s="24" t="str">
        <x:v>burden-hazard-authority contract</x:v>
      </x:c>
      <x:c r="I87" s="24" t="str">
        <x:v>F01</x:v>
      </x:c>
      <x:c r="J87" s="24" t="n">
        <x:v>2</x:v>
      </x:c>
      <x:c r="K87" s="24" t="str">
        <x:v>Requirements Authority</x:v>
      </x:c>
      <x:c r="L87" s="24" t="str">
        <x:v>registered threshold plus uncertainty and guardband</x:v>
      </x:c>
      <x:c r="M87" s="24" t="str">
        <x:v>reopen stage and every dependent claim</x:v>
      </x:c>
      <x:c r="N87" s="26" t="str">
        <x:v>OPEN</x:v>
      </x:c>
    </x:row>
    <x:row r="88">
      <x:c r="B88" s="24" t="str">
        <x:v>I01-G2</x:v>
      </x:c>
      <x:c r="C88" s="24" t="str">
        <x:v>Air saddle and restraint</x:v>
      </x:c>
      <x:c r="D88" s="24" t="str">
        <x:v>Air</x:v>
      </x:c>
      <x:c r="E88" s="24" t="str">
        <x:v>Interface</x:v>
      </x:c>
      <x:c r="F88" s="24" t="str">
        <x:v>G2</x:v>
      </x:c>
      <x:c r="G88" s="24" t="str">
        <x:v>coupons and subassemblies</x:v>
      </x:c>
      <x:c r="H88" s="24" t="str">
        <x:v>raw data calibration uncertainty failure dossier</x:v>
      </x:c>
      <x:c r="I88" s="24" t="str">
        <x:v>F07</x:v>
      </x:c>
      <x:c r="J88" s="24" t="n">
        <x:v>8</x:v>
      </x:c>
      <x:c r="K88" s="24" t="str">
        <x:v>Independent Laboratory Authority</x:v>
      </x:c>
      <x:c r="L88" s="24" t="str">
        <x:v>registered threshold plus uncertainty and guardband</x:v>
      </x:c>
      <x:c r="M88" s="24" t="str">
        <x:v>reopen stage and every dependent claim</x:v>
      </x:c>
      <x:c r="N88" s="26" t="str">
        <x:v>OPEN</x:v>
      </x:c>
    </x:row>
    <x:row r="89">
      <x:c r="B89" s="24" t="str">
        <x:v>I01-G3</x:v>
      </x:c>
      <x:c r="C89" s="24" t="str">
        <x:v>Air saddle and restraint</x:v>
      </x:c>
      <x:c r="D89" s="24" t="str">
        <x:v>Air</x:v>
      </x:c>
      <x:c r="E89" s="24" t="str">
        <x:v>Interface</x:v>
      </x:c>
      <x:c r="F89" s="24" t="str">
        <x:v>G3</x:v>
      </x:c>
      <x:c r="G89" s="24" t="str">
        <x:v>representative article</x:v>
      </x:c>
      <x:c r="H89" s="24" t="str">
        <x:v>configuration output hazard maintainability record</x:v>
      </x:c>
      <x:c r="I89" s="24" t="str">
        <x:v>F07</x:v>
      </x:c>
      <x:c r="J89" s="24" t="n">
        <x:v>14</x:v>
      </x:c>
      <x:c r="K89" s="24" t="str">
        <x:v>Family Certification Authority</x:v>
      </x:c>
      <x:c r="L89" s="24" t="str">
        <x:v>registered threshold plus uncertainty and guardband</x:v>
      </x:c>
      <x:c r="M89" s="24" t="str">
        <x:v>reopen stage and every dependent claim</x:v>
      </x:c>
      <x:c r="N89" s="26" t="str">
        <x:v>OPEN</x:v>
      </x:c>
    </x:row>
    <x:row r="90">
      <x:c r="B90" s="24" t="str">
        <x:v>I01-G4</x:v>
      </x:c>
      <x:c r="C90" s="24" t="str">
        <x:v>Air saddle and restraint</x:v>
      </x:c>
      <x:c r="D90" s="24" t="str">
        <x:v>Air</x:v>
      </x:c>
      <x:c r="E90" s="24" t="str">
        <x:v>Interface</x:v>
      </x:c>
      <x:c r="F90" s="24" t="str">
        <x:v>G4</x:v>
      </x:c>
      <x:c r="G90" s="24" t="str">
        <x:v>five-family set</x:v>
      </x:c>
      <x:c r="H90" s="24" t="str">
        <x:v>simultaneous coupling and public-service vector</x:v>
      </x:c>
      <x:c r="I90" s="24" t="str">
        <x:v>F09</x:v>
      </x:c>
      <x:c r="J90" s="24" t="n">
        <x:v>12</x:v>
      </x:c>
      <x:c r="K90" s="24" t="str">
        <x:v>Set Integration Authority</x:v>
      </x:c>
      <x:c r="L90" s="24" t="str">
        <x:v>registered threshold plus uncertainty and guardband</x:v>
      </x:c>
      <x:c r="M90" s="24" t="str">
        <x:v>reopen stage and every dependent claim</x:v>
      </x:c>
      <x:c r="N90" s="26" t="str">
        <x:v>OPEN</x:v>
      </x:c>
    </x:row>
    <x:row r="91">
      <x:c r="B91" s="24" t="str">
        <x:v>I01-G5</x:v>
      </x:c>
      <x:c r="C91" s="24" t="str">
        <x:v>Air saddle and restraint</x:v>
      </x:c>
      <x:c r="D91" s="24" t="str">
        <x:v>Air</x:v>
      </x:c>
      <x:c r="E91" s="24" t="str">
        <x:v>Interface</x:v>
      </x:c>
      <x:c r="F91" s="24" t="str">
        <x:v>G5</x:v>
      </x:c>
      <x:c r="G91" s="24" t="str">
        <x:v>instrumented carrier</x:v>
      </x:c>
      <x:c r="H91" s="24" t="str">
        <x:v>structure CG restraint transfer fire evacuation record</x:v>
      </x:c>
      <x:c r="I91" s="24" t="str">
        <x:v>F07</x:v>
      </x:c>
      <x:c r="J91" s="24" t="n">
        <x:v>16</x:v>
      </x:c>
      <x:c r="K91" s="24" t="str">
        <x:v>Vehicle Certification Authority</x:v>
      </x:c>
      <x:c r="L91" s="24" t="str">
        <x:v>registered threshold plus uncertainty and guardband</x:v>
      </x:c>
      <x:c r="M91" s="24" t="str">
        <x:v>reopen stage and every dependent claim</x:v>
      </x:c>
      <x:c r="N91" s="26" t="str">
        <x:v>OPEN</x:v>
      </x:c>
    </x:row>
    <x:row r="92">
      <x:c r="B92" s="24" t="str">
        <x:v>I01-G6</x:v>
      </x:c>
      <x:c r="C92" s="24" t="str">
        <x:v>Air saddle and restraint</x:v>
      </x:c>
      <x:c r="D92" s="24" t="str">
        <x:v>Air</x:v>
      </x:c>
      <x:c r="E92" s="24" t="str">
        <x:v>Interface</x:v>
      </x:c>
      <x:c r="F92" s="24" t="str">
        <x:v>G6</x:v>
      </x:c>
      <x:c r="G92" s="24" t="str">
        <x:v>receiver complex</x:v>
      </x:c>
      <x:c r="H92" s="24" t="str">
        <x:v>assembly assay handoff public release record</x:v>
      </x:c>
      <x:c r="I92" s="24" t="str">
        <x:v>F09</x:v>
      </x:c>
      <x:c r="J92" s="24" t="n">
        <x:v>18</x:v>
      </x:c>
      <x:c r="K92" s="24" t="str">
        <x:v>Receiver Evidence Authority</x:v>
      </x:c>
      <x:c r="L92" s="24" t="str">
        <x:v>registered threshold plus uncertainty and guardband</x:v>
      </x:c>
      <x:c r="M92" s="24" t="str">
        <x:v>reopen stage and every dependent claim</x:v>
      </x:c>
      <x:c r="N92" s="26" t="str">
        <x:v>OPEN</x:v>
      </x:c>
    </x:row>
    <x:row r="93">
      <x:c r="B93" s="24" t="str">
        <x:v>I01-G7</x:v>
      </x:c>
      <x:c r="C93" s="24" t="str">
        <x:v>Air saddle and restraint</x:v>
      </x:c>
      <x:c r="D93" s="24" t="str">
        <x:v>Air</x:v>
      </x:c>
      <x:c r="E93" s="24" t="str">
        <x:v>Interface</x:v>
      </x:c>
      <x:c r="F93" s="24" t="str">
        <x:v>G7</x:v>
      </x:c>
      <x:c r="G93" s="24" t="str">
        <x:v>survivor formation</x:v>
      </x:c>
      <x:c r="H93" s="24" t="str">
        <x:v>blinded casualty denial and safe-stop record</x:v>
      </x:c>
      <x:c r="I93" s="24" t="str">
        <x:v>F09</x:v>
      </x:c>
      <x:c r="J93" s="24" t="n">
        <x:v>20</x:v>
      </x:c>
      <x:c r="K93" s="24" t="str">
        <x:v>Destructive Trial Authority</x:v>
      </x:c>
      <x:c r="L93" s="24" t="str">
        <x:v>registered threshold plus uncertainty and guardband</x:v>
      </x:c>
      <x:c r="M93" s="24" t="str">
        <x:v>reopen stage and every dependent claim</x:v>
      </x:c>
      <x:c r="N93" s="26" t="str">
        <x:v>OPEN</x:v>
      </x:c>
    </x:row>
    <x:row r="94">
      <x:c r="B94" s="24" t="str">
        <x:v>I01-G8</x:v>
      </x:c>
      <x:c r="C94" s="24" t="str">
        <x:v>Air saddle and restraint</x:v>
      </x:c>
      <x:c r="D94" s="24" t="str">
        <x:v>Air</x:v>
      </x:c>
      <x:c r="E94" s="24" t="str">
        <x:v>Interface</x:v>
      </x:c>
      <x:c r="F94" s="24" t="str">
        <x:v>G8</x:v>
      </x:c>
      <x:c r="G94" s="24" t="str">
        <x:v>second-lot and reset chain</x:v>
      </x:c>
      <x:c r="H94" s="24" t="str">
        <x:v>repeat mission lot trace depot replication record</x:v>
      </x:c>
      <x:c r="I94" s="24" t="str">
        <x:v>F10</x:v>
      </x:c>
      <x:c r="J94" s="24" t="n">
        <x:v>12</x:v>
      </x:c>
      <x:c r="K94" s="24" t="str">
        <x:v>Production Evidence Authority</x:v>
      </x:c>
      <x:c r="L94" s="24" t="str">
        <x:v>registered threshold plus uncertainty and guardband</x:v>
      </x:c>
      <x:c r="M94" s="24" t="str">
        <x:v>reopen stage and every dependent claim</x:v>
      </x:c>
      <x:c r="N94" s="26" t="str">
        <x:v>OPEN</x:v>
      </x:c>
    </x:row>
    <x:row r="95">
      <x:c r="B95" s="24" t="str">
        <x:v>I02-G1</x:v>
      </x:c>
      <x:c r="C95" s="24" t="str">
        <x:v>Terrain saddle and articulation</x:v>
      </x:c>
      <x:c r="D95" s="24" t="str">
        <x:v>Terrain</x:v>
      </x:c>
      <x:c r="E95" s="24" t="str">
        <x:v>Interface</x:v>
      </x:c>
      <x:c r="F95" s="24" t="str">
        <x:v>G1</x:v>
      </x:c>
      <x:c r="G95" s="24" t="str">
        <x:v>registered claim</x:v>
      </x:c>
      <x:c r="H95" s="24" t="str">
        <x:v>burden-hazard-authority contract</x:v>
      </x:c>
      <x:c r="I95" s="24" t="str">
        <x:v>F01</x:v>
      </x:c>
      <x:c r="J95" s="24" t="n">
        <x:v>2</x:v>
      </x:c>
      <x:c r="K95" s="24" t="str">
        <x:v>Requirements Authority</x:v>
      </x:c>
      <x:c r="L95" s="24" t="str">
        <x:v>registered threshold plus uncertainty and guardband</x:v>
      </x:c>
      <x:c r="M95" s="24" t="str">
        <x:v>reopen stage and every dependent claim</x:v>
      </x:c>
      <x:c r="N95" s="26" t="str">
        <x:v>OPEN</x:v>
      </x:c>
    </x:row>
    <x:row r="96">
      <x:c r="B96" s="24" t="str">
        <x:v>I02-G2</x:v>
      </x:c>
      <x:c r="C96" s="24" t="str">
        <x:v>Terrain saddle and articulation</x:v>
      </x:c>
      <x:c r="D96" s="24" t="str">
        <x:v>Terrain</x:v>
      </x:c>
      <x:c r="E96" s="24" t="str">
        <x:v>Interface</x:v>
      </x:c>
      <x:c r="F96" s="24" t="str">
        <x:v>G2</x:v>
      </x:c>
      <x:c r="G96" s="24" t="str">
        <x:v>coupons and subassemblies</x:v>
      </x:c>
      <x:c r="H96" s="24" t="str">
        <x:v>raw data calibration uncertainty failure dossier</x:v>
      </x:c>
      <x:c r="I96" s="24" t="str">
        <x:v>F08</x:v>
      </x:c>
      <x:c r="J96" s="24" t="n">
        <x:v>8</x:v>
      </x:c>
      <x:c r="K96" s="24" t="str">
        <x:v>Independent Laboratory Authority</x:v>
      </x:c>
      <x:c r="L96" s="24" t="str">
        <x:v>registered threshold plus uncertainty and guardband</x:v>
      </x:c>
      <x:c r="M96" s="24" t="str">
        <x:v>reopen stage and every dependent claim</x:v>
      </x:c>
      <x:c r="N96" s="26" t="str">
        <x:v>OPEN</x:v>
      </x:c>
    </x:row>
    <x:row r="97">
      <x:c r="B97" s="24" t="str">
        <x:v>I02-G3</x:v>
      </x:c>
      <x:c r="C97" s="24" t="str">
        <x:v>Terrain saddle and articulation</x:v>
      </x:c>
      <x:c r="D97" s="24" t="str">
        <x:v>Terrain</x:v>
      </x:c>
      <x:c r="E97" s="24" t="str">
        <x:v>Interface</x:v>
      </x:c>
      <x:c r="F97" s="24" t="str">
        <x:v>G3</x:v>
      </x:c>
      <x:c r="G97" s="24" t="str">
        <x:v>representative article</x:v>
      </x:c>
      <x:c r="H97" s="24" t="str">
        <x:v>configuration output hazard maintainability record</x:v>
      </x:c>
      <x:c r="I97" s="24" t="str">
        <x:v>F08</x:v>
      </x:c>
      <x:c r="J97" s="24" t="n">
        <x:v>14</x:v>
      </x:c>
      <x:c r="K97" s="24" t="str">
        <x:v>Family Certification Authority</x:v>
      </x:c>
      <x:c r="L97" s="24" t="str">
        <x:v>registered threshold plus uncertainty and guardband</x:v>
      </x:c>
      <x:c r="M97" s="24" t="str">
        <x:v>reopen stage and every dependent claim</x:v>
      </x:c>
      <x:c r="N97" s="26" t="str">
        <x:v>OPEN</x:v>
      </x:c>
    </x:row>
    <x:row r="98">
      <x:c r="B98" s="24" t="str">
        <x:v>I02-G4</x:v>
      </x:c>
      <x:c r="C98" s="24" t="str">
        <x:v>Terrain saddle and articulation</x:v>
      </x:c>
      <x:c r="D98" s="24" t="str">
        <x:v>Terrain</x:v>
      </x:c>
      <x:c r="E98" s="24" t="str">
        <x:v>Interface</x:v>
      </x:c>
      <x:c r="F98" s="24" t="str">
        <x:v>G4</x:v>
      </x:c>
      <x:c r="G98" s="24" t="str">
        <x:v>five-family set</x:v>
      </x:c>
      <x:c r="H98" s="24" t="str">
        <x:v>simultaneous coupling and public-service vector</x:v>
      </x:c>
      <x:c r="I98" s="24" t="str">
        <x:v>F09</x:v>
      </x:c>
      <x:c r="J98" s="24" t="n">
        <x:v>12</x:v>
      </x:c>
      <x:c r="K98" s="24" t="str">
        <x:v>Set Integration Authority</x:v>
      </x:c>
      <x:c r="L98" s="24" t="str">
        <x:v>registered threshold plus uncertainty and guardband</x:v>
      </x:c>
      <x:c r="M98" s="24" t="str">
        <x:v>reopen stage and every dependent claim</x:v>
      </x:c>
      <x:c r="N98" s="26" t="str">
        <x:v>OPEN</x:v>
      </x:c>
    </x:row>
    <x:row r="99">
      <x:c r="B99" s="24" t="str">
        <x:v>I02-G5</x:v>
      </x:c>
      <x:c r="C99" s="24" t="str">
        <x:v>Terrain saddle and articulation</x:v>
      </x:c>
      <x:c r="D99" s="24" t="str">
        <x:v>Terrain</x:v>
      </x:c>
      <x:c r="E99" s="24" t="str">
        <x:v>Interface</x:v>
      </x:c>
      <x:c r="F99" s="24" t="str">
        <x:v>G5</x:v>
      </x:c>
      <x:c r="G99" s="24" t="str">
        <x:v>instrumented carrier</x:v>
      </x:c>
      <x:c r="H99" s="24" t="str">
        <x:v>structure CG restraint transfer fire evacuation record</x:v>
      </x:c>
      <x:c r="I99" s="24" t="str">
        <x:v>F08</x:v>
      </x:c>
      <x:c r="J99" s="24" t="n">
        <x:v>16</x:v>
      </x:c>
      <x:c r="K99" s="24" t="str">
        <x:v>Vehicle Certification Authority</x:v>
      </x:c>
      <x:c r="L99" s="24" t="str">
        <x:v>registered threshold plus uncertainty and guardband</x:v>
      </x:c>
      <x:c r="M99" s="24" t="str">
        <x:v>reopen stage and every dependent claim</x:v>
      </x:c>
      <x:c r="N99" s="26" t="str">
        <x:v>OPEN</x:v>
      </x:c>
    </x:row>
    <x:row r="100">
      <x:c r="B100" s="24" t="str">
        <x:v>I02-G6</x:v>
      </x:c>
      <x:c r="C100" s="24" t="str">
        <x:v>Terrain saddle and articulation</x:v>
      </x:c>
      <x:c r="D100" s="24" t="str">
        <x:v>Terrain</x:v>
      </x:c>
      <x:c r="E100" s="24" t="str">
        <x:v>Interface</x:v>
      </x:c>
      <x:c r="F100" s="24" t="str">
        <x:v>G6</x:v>
      </x:c>
      <x:c r="G100" s="24" t="str">
        <x:v>receiver complex</x:v>
      </x:c>
      <x:c r="H100" s="24" t="str">
        <x:v>assembly assay handoff public release record</x:v>
      </x:c>
      <x:c r="I100" s="24" t="str">
        <x:v>F09</x:v>
      </x:c>
      <x:c r="J100" s="24" t="n">
        <x:v>18</x:v>
      </x:c>
      <x:c r="K100" s="24" t="str">
        <x:v>Receiver Evidence Authority</x:v>
      </x:c>
      <x:c r="L100" s="24" t="str">
        <x:v>registered threshold plus uncertainty and guardband</x:v>
      </x:c>
      <x:c r="M100" s="24" t="str">
        <x:v>reopen stage and every dependent claim</x:v>
      </x:c>
      <x:c r="N100" s="26" t="str">
        <x:v>OPEN</x:v>
      </x:c>
    </x:row>
    <x:row r="101">
      <x:c r="B101" s="24" t="str">
        <x:v>I02-G7</x:v>
      </x:c>
      <x:c r="C101" s="24" t="str">
        <x:v>Terrain saddle and articulation</x:v>
      </x:c>
      <x:c r="D101" s="24" t="str">
        <x:v>Terrain</x:v>
      </x:c>
      <x:c r="E101" s="24" t="str">
        <x:v>Interface</x:v>
      </x:c>
      <x:c r="F101" s="24" t="str">
        <x:v>G7</x:v>
      </x:c>
      <x:c r="G101" s="24" t="str">
        <x:v>survivor formation</x:v>
      </x:c>
      <x:c r="H101" s="24" t="str">
        <x:v>blinded casualty denial and safe-stop record</x:v>
      </x:c>
      <x:c r="I101" s="24" t="str">
        <x:v>F09</x:v>
      </x:c>
      <x:c r="J101" s="24" t="n">
        <x:v>20</x:v>
      </x:c>
      <x:c r="K101" s="24" t="str">
        <x:v>Destructive Trial Authority</x:v>
      </x:c>
      <x:c r="L101" s="24" t="str">
        <x:v>registered threshold plus uncertainty and guardband</x:v>
      </x:c>
      <x:c r="M101" s="24" t="str">
        <x:v>reopen stage and every dependent claim</x:v>
      </x:c>
      <x:c r="N101" s="26" t="str">
        <x:v>OPEN</x:v>
      </x:c>
    </x:row>
    <x:row r="102">
      <x:c r="B102" s="24" t="str">
        <x:v>I02-G8</x:v>
      </x:c>
      <x:c r="C102" s="24" t="str">
        <x:v>Terrain saddle and articulation</x:v>
      </x:c>
      <x:c r="D102" s="24" t="str">
        <x:v>Terrain</x:v>
      </x:c>
      <x:c r="E102" s="24" t="str">
        <x:v>Interface</x:v>
      </x:c>
      <x:c r="F102" s="24" t="str">
        <x:v>G8</x:v>
      </x:c>
      <x:c r="G102" s="24" t="str">
        <x:v>second-lot and reset chain</x:v>
      </x:c>
      <x:c r="H102" s="24" t="str">
        <x:v>repeat mission lot trace depot replication record</x:v>
      </x:c>
      <x:c r="I102" s="24" t="str">
        <x:v>F10</x:v>
      </x:c>
      <x:c r="J102" s="24" t="n">
        <x:v>12</x:v>
      </x:c>
      <x:c r="K102" s="24" t="str">
        <x:v>Production Evidence Authority</x:v>
      </x:c>
      <x:c r="L102" s="24" t="str">
        <x:v>registered threshold plus uncertainty and guardband</x:v>
      </x:c>
      <x:c r="M102" s="24" t="str">
        <x:v>reopen stage and every dependent claim</x:v>
      </x:c>
      <x:c r="N102" s="26" t="str">
        <x:v>OPEN</x:v>
      </x:c>
    </x:row>
    <x:row r="103">
      <x:c r="B103" s="24" t="str">
        <x:v>I03-G1</x:v>
      </x:c>
      <x:c r="C103" s="24" t="str">
        <x:v>Air receiver</x:v>
      </x:c>
      <x:c r="D103" s="24" t="str">
        <x:v>Air</x:v>
      </x:c>
      <x:c r="E103" s="24" t="str">
        <x:v>Receiver</x:v>
      </x:c>
      <x:c r="F103" s="24" t="str">
        <x:v>G1</x:v>
      </x:c>
      <x:c r="G103" s="24" t="str">
        <x:v>registered claim</x:v>
      </x:c>
      <x:c r="H103" s="24" t="str">
        <x:v>burden-hazard-authority contract</x:v>
      </x:c>
      <x:c r="I103" s="24" t="str">
        <x:v>F01</x:v>
      </x:c>
      <x:c r="J103" s="24" t="n">
        <x:v>2</x:v>
      </x:c>
      <x:c r="K103" s="24" t="str">
        <x:v>Requirements Authority</x:v>
      </x:c>
      <x:c r="L103" s="24" t="str">
        <x:v>registered threshold plus uncertainty and guardband</x:v>
      </x:c>
      <x:c r="M103" s="24" t="str">
        <x:v>reopen stage and every dependent claim</x:v>
      </x:c>
      <x:c r="N103" s="26" t="str">
        <x:v>OPEN</x:v>
      </x:c>
    </x:row>
    <x:row r="104">
      <x:c r="B104" s="24" t="str">
        <x:v>I03-G2</x:v>
      </x:c>
      <x:c r="C104" s="24" t="str">
        <x:v>Air receiver</x:v>
      </x:c>
      <x:c r="D104" s="24" t="str">
        <x:v>Air</x:v>
      </x:c>
      <x:c r="E104" s="24" t="str">
        <x:v>Receiver</x:v>
      </x:c>
      <x:c r="F104" s="24" t="str">
        <x:v>G2</x:v>
      </x:c>
      <x:c r="G104" s="24" t="str">
        <x:v>coupons and subassemblies</x:v>
      </x:c>
      <x:c r="H104" s="24" t="str">
        <x:v>raw data calibration uncertainty failure dossier</x:v>
      </x:c>
      <x:c r="I104" s="24" t="str">
        <x:v>F09</x:v>
      </x:c>
      <x:c r="J104" s="24" t="n">
        <x:v>8</x:v>
      </x:c>
      <x:c r="K104" s="24" t="str">
        <x:v>Independent Laboratory Authority</x:v>
      </x:c>
      <x:c r="L104" s="24" t="str">
        <x:v>registered threshold plus uncertainty and guardband</x:v>
      </x:c>
      <x:c r="M104" s="24" t="str">
        <x:v>reopen stage and every dependent claim</x:v>
      </x:c>
      <x:c r="N104" s="26" t="str">
        <x:v>OPEN</x:v>
      </x:c>
    </x:row>
    <x:row r="105">
      <x:c r="B105" s="24" t="str">
        <x:v>I03-G3</x:v>
      </x:c>
      <x:c r="C105" s="24" t="str">
        <x:v>Air receiver</x:v>
      </x:c>
      <x:c r="D105" s="24" t="str">
        <x:v>Air</x:v>
      </x:c>
      <x:c r="E105" s="24" t="str">
        <x:v>Receiver</x:v>
      </x:c>
      <x:c r="F105" s="24" t="str">
        <x:v>G3</x:v>
      </x:c>
      <x:c r="G105" s="24" t="str">
        <x:v>representative article</x:v>
      </x:c>
      <x:c r="H105" s="24" t="str">
        <x:v>configuration output hazard maintainability record</x:v>
      </x:c>
      <x:c r="I105" s="24" t="str">
        <x:v>F09</x:v>
      </x:c>
      <x:c r="J105" s="24" t="n">
        <x:v>14</x:v>
      </x:c>
      <x:c r="K105" s="24" t="str">
        <x:v>Family Certification Authority</x:v>
      </x:c>
      <x:c r="L105" s="24" t="str">
        <x:v>registered threshold plus uncertainty and guardband</x:v>
      </x:c>
      <x:c r="M105" s="24" t="str">
        <x:v>reopen stage and every dependent claim</x:v>
      </x:c>
      <x:c r="N105" s="26" t="str">
        <x:v>OPEN</x:v>
      </x:c>
    </x:row>
    <x:row r="106">
      <x:c r="B106" s="24" t="str">
        <x:v>I03-G4</x:v>
      </x:c>
      <x:c r="C106" s="24" t="str">
        <x:v>Air receiver</x:v>
      </x:c>
      <x:c r="D106" s="24" t="str">
        <x:v>Air</x:v>
      </x:c>
      <x:c r="E106" s="24" t="str">
        <x:v>Receiver</x:v>
      </x:c>
      <x:c r="F106" s="24" t="str">
        <x:v>G4</x:v>
      </x:c>
      <x:c r="G106" s="24" t="str">
        <x:v>five-family set</x:v>
      </x:c>
      <x:c r="H106" s="24" t="str">
        <x:v>simultaneous coupling and public-service vector</x:v>
      </x:c>
      <x:c r="I106" s="24" t="str">
        <x:v>F09</x:v>
      </x:c>
      <x:c r="J106" s="24" t="n">
        <x:v>12</x:v>
      </x:c>
      <x:c r="K106" s="24" t="str">
        <x:v>Set Integration Authority</x:v>
      </x:c>
      <x:c r="L106" s="24" t="str">
        <x:v>registered threshold plus uncertainty and guardband</x:v>
      </x:c>
      <x:c r="M106" s="24" t="str">
        <x:v>reopen stage and every dependent claim</x:v>
      </x:c>
      <x:c r="N106" s="26" t="str">
        <x:v>OPEN</x:v>
      </x:c>
    </x:row>
    <x:row r="107">
      <x:c r="B107" s="24" t="str">
        <x:v>I03-G5</x:v>
      </x:c>
      <x:c r="C107" s="24" t="str">
        <x:v>Air receiver</x:v>
      </x:c>
      <x:c r="D107" s="24" t="str">
        <x:v>Air</x:v>
      </x:c>
      <x:c r="E107" s="24" t="str">
        <x:v>Receiver</x:v>
      </x:c>
      <x:c r="F107" s="24" t="str">
        <x:v>G5</x:v>
      </x:c>
      <x:c r="G107" s="24" t="str">
        <x:v>instrumented carrier</x:v>
      </x:c>
      <x:c r="H107" s="24" t="str">
        <x:v>structure CG restraint transfer fire evacuation record</x:v>
      </x:c>
      <x:c r="I107" s="24" t="str">
        <x:v>F07</x:v>
      </x:c>
      <x:c r="J107" s="24" t="n">
        <x:v>16</x:v>
      </x:c>
      <x:c r="K107" s="24" t="str">
        <x:v>Vehicle Certification Authority</x:v>
      </x:c>
      <x:c r="L107" s="24" t="str">
        <x:v>registered threshold plus uncertainty and guardband</x:v>
      </x:c>
      <x:c r="M107" s="24" t="str">
        <x:v>reopen stage and every dependent claim</x:v>
      </x:c>
      <x:c r="N107" s="26" t="str">
        <x:v>OPEN</x:v>
      </x:c>
    </x:row>
    <x:row r="108">
      <x:c r="B108" s="24" t="str">
        <x:v>I03-G6</x:v>
      </x:c>
      <x:c r="C108" s="24" t="str">
        <x:v>Air receiver</x:v>
      </x:c>
      <x:c r="D108" s="24" t="str">
        <x:v>Air</x:v>
      </x:c>
      <x:c r="E108" s="24" t="str">
        <x:v>Receiver</x:v>
      </x:c>
      <x:c r="F108" s="24" t="str">
        <x:v>G6</x:v>
      </x:c>
      <x:c r="G108" s="24" t="str">
        <x:v>receiver complex</x:v>
      </x:c>
      <x:c r="H108" s="24" t="str">
        <x:v>assembly assay handoff public release record</x:v>
      </x:c>
      <x:c r="I108" s="24" t="str">
        <x:v>F09</x:v>
      </x:c>
      <x:c r="J108" s="24" t="n">
        <x:v>18</x:v>
      </x:c>
      <x:c r="K108" s="24" t="str">
        <x:v>Receiver Evidence Authority</x:v>
      </x:c>
      <x:c r="L108" s="24" t="str">
        <x:v>registered threshold plus uncertainty and guardband</x:v>
      </x:c>
      <x:c r="M108" s="24" t="str">
        <x:v>reopen stage and every dependent claim</x:v>
      </x:c>
      <x:c r="N108" s="26" t="str">
        <x:v>OPEN</x:v>
      </x:c>
    </x:row>
    <x:row r="109">
      <x:c r="B109" s="24" t="str">
        <x:v>I03-G7</x:v>
      </x:c>
      <x:c r="C109" s="24" t="str">
        <x:v>Air receiver</x:v>
      </x:c>
      <x:c r="D109" s="24" t="str">
        <x:v>Air</x:v>
      </x:c>
      <x:c r="E109" s="24" t="str">
        <x:v>Receiver</x:v>
      </x:c>
      <x:c r="F109" s="24" t="str">
        <x:v>G7</x:v>
      </x:c>
      <x:c r="G109" s="24" t="str">
        <x:v>survivor formation</x:v>
      </x:c>
      <x:c r="H109" s="24" t="str">
        <x:v>blinded casualty denial and safe-stop record</x:v>
      </x:c>
      <x:c r="I109" s="24" t="str">
        <x:v>F09</x:v>
      </x:c>
      <x:c r="J109" s="24" t="n">
        <x:v>20</x:v>
      </x:c>
      <x:c r="K109" s="24" t="str">
        <x:v>Destructive Trial Authority</x:v>
      </x:c>
      <x:c r="L109" s="24" t="str">
        <x:v>registered threshold plus uncertainty and guardband</x:v>
      </x:c>
      <x:c r="M109" s="24" t="str">
        <x:v>reopen stage and every dependent claim</x:v>
      </x:c>
      <x:c r="N109" s="26" t="str">
        <x:v>OPEN</x:v>
      </x:c>
    </x:row>
    <x:row r="110">
      <x:c r="B110" s="24" t="str">
        <x:v>I03-G8</x:v>
      </x:c>
      <x:c r="C110" s="24" t="str">
        <x:v>Air receiver</x:v>
      </x:c>
      <x:c r="D110" s="24" t="str">
        <x:v>Air</x:v>
      </x:c>
      <x:c r="E110" s="24" t="str">
        <x:v>Receiver</x:v>
      </x:c>
      <x:c r="F110" s="24" t="str">
        <x:v>G8</x:v>
      </x:c>
      <x:c r="G110" s="24" t="str">
        <x:v>second-lot and reset chain</x:v>
      </x:c>
      <x:c r="H110" s="24" t="str">
        <x:v>repeat mission lot trace depot replication record</x:v>
      </x:c>
      <x:c r="I110" s="24" t="str">
        <x:v>F10</x:v>
      </x:c>
      <x:c r="J110" s="24" t="n">
        <x:v>12</x:v>
      </x:c>
      <x:c r="K110" s="24" t="str">
        <x:v>Production Evidence Authority</x:v>
      </x:c>
      <x:c r="L110" s="24" t="str">
        <x:v>registered threshold plus uncertainty and guardband</x:v>
      </x:c>
      <x:c r="M110" s="24" t="str">
        <x:v>reopen stage and every dependent claim</x:v>
      </x:c>
      <x:c r="N110" s="26" t="str">
        <x:v>OPEN</x:v>
      </x:c>
    </x:row>
    <x:row r="111">
      <x:c r="B111" s="24" t="str">
        <x:v>I04-G1</x:v>
      </x:c>
      <x:c r="C111" s="24" t="str">
        <x:v>Terrain receiver</x:v>
      </x:c>
      <x:c r="D111" s="24" t="str">
        <x:v>Terrain</x:v>
      </x:c>
      <x:c r="E111" s="24" t="str">
        <x:v>Receiver</x:v>
      </x:c>
      <x:c r="F111" s="24" t="str">
        <x:v>G1</x:v>
      </x:c>
      <x:c r="G111" s="24" t="str">
        <x:v>registered claim</x:v>
      </x:c>
      <x:c r="H111" s="24" t="str">
        <x:v>burden-hazard-authority contract</x:v>
      </x:c>
      <x:c r="I111" s="24" t="str">
        <x:v>F01</x:v>
      </x:c>
      <x:c r="J111" s="24" t="n">
        <x:v>2</x:v>
      </x:c>
      <x:c r="K111" s="24" t="str">
        <x:v>Requirements Authority</x:v>
      </x:c>
      <x:c r="L111" s="24" t="str">
        <x:v>registered threshold plus uncertainty and guardband</x:v>
      </x:c>
      <x:c r="M111" s="24" t="str">
        <x:v>reopen stage and every dependent claim</x:v>
      </x:c>
      <x:c r="N111" s="26" t="str">
        <x:v>OPEN</x:v>
      </x:c>
    </x:row>
    <x:row r="112">
      <x:c r="B112" s="24" t="str">
        <x:v>I04-G2</x:v>
      </x:c>
      <x:c r="C112" s="24" t="str">
        <x:v>Terrain receiver</x:v>
      </x:c>
      <x:c r="D112" s="24" t="str">
        <x:v>Terrain</x:v>
      </x:c>
      <x:c r="E112" s="24" t="str">
        <x:v>Receiver</x:v>
      </x:c>
      <x:c r="F112" s="24" t="str">
        <x:v>G2</x:v>
      </x:c>
      <x:c r="G112" s="24" t="str">
        <x:v>coupons and subassemblies</x:v>
      </x:c>
      <x:c r="H112" s="24" t="str">
        <x:v>raw data calibration uncertainty failure dossier</x:v>
      </x:c>
      <x:c r="I112" s="24" t="str">
        <x:v>F09</x:v>
      </x:c>
      <x:c r="J112" s="24" t="n">
        <x:v>8</x:v>
      </x:c>
      <x:c r="K112" s="24" t="str">
        <x:v>Independent Laboratory Authority</x:v>
      </x:c>
      <x:c r="L112" s="24" t="str">
        <x:v>registered threshold plus uncertainty and guardband</x:v>
      </x:c>
      <x:c r="M112" s="24" t="str">
        <x:v>reopen stage and every dependent claim</x:v>
      </x:c>
      <x:c r="N112" s="26" t="str">
        <x:v>OPEN</x:v>
      </x:c>
    </x:row>
    <x:row r="113">
      <x:c r="B113" s="24" t="str">
        <x:v>I04-G3</x:v>
      </x:c>
      <x:c r="C113" s="24" t="str">
        <x:v>Terrain receiver</x:v>
      </x:c>
      <x:c r="D113" s="24" t="str">
        <x:v>Terrain</x:v>
      </x:c>
      <x:c r="E113" s="24" t="str">
        <x:v>Receiver</x:v>
      </x:c>
      <x:c r="F113" s="24" t="str">
        <x:v>G3</x:v>
      </x:c>
      <x:c r="G113" s="24" t="str">
        <x:v>representative article</x:v>
      </x:c>
      <x:c r="H113" s="24" t="str">
        <x:v>configuration output hazard maintainability record</x:v>
      </x:c>
      <x:c r="I113" s="24" t="str">
        <x:v>F09</x:v>
      </x:c>
      <x:c r="J113" s="24" t="n">
        <x:v>14</x:v>
      </x:c>
      <x:c r="K113" s="24" t="str">
        <x:v>Family Certification Authority</x:v>
      </x:c>
      <x:c r="L113" s="24" t="str">
        <x:v>registered threshold plus uncertainty and guardband</x:v>
      </x:c>
      <x:c r="M113" s="24" t="str">
        <x:v>reopen stage and every dependent claim</x:v>
      </x:c>
      <x:c r="N113" s="26" t="str">
        <x:v>OPEN</x:v>
      </x:c>
    </x:row>
    <x:row r="114">
      <x:c r="B114" s="24" t="str">
        <x:v>I04-G4</x:v>
      </x:c>
      <x:c r="C114" s="24" t="str">
        <x:v>Terrain receiver</x:v>
      </x:c>
      <x:c r="D114" s="24" t="str">
        <x:v>Terrain</x:v>
      </x:c>
      <x:c r="E114" s="24" t="str">
        <x:v>Receiver</x:v>
      </x:c>
      <x:c r="F114" s="24" t="str">
        <x:v>G4</x:v>
      </x:c>
      <x:c r="G114" s="24" t="str">
        <x:v>five-family set</x:v>
      </x:c>
      <x:c r="H114" s="24" t="str">
        <x:v>simultaneous coupling and public-service vector</x:v>
      </x:c>
      <x:c r="I114" s="24" t="str">
        <x:v>F09</x:v>
      </x:c>
      <x:c r="J114" s="24" t="n">
        <x:v>12</x:v>
      </x:c>
      <x:c r="K114" s="24" t="str">
        <x:v>Set Integration Authority</x:v>
      </x:c>
      <x:c r="L114" s="24" t="str">
        <x:v>registered threshold plus uncertainty and guardband</x:v>
      </x:c>
      <x:c r="M114" s="24" t="str">
        <x:v>reopen stage and every dependent claim</x:v>
      </x:c>
      <x:c r="N114" s="26" t="str">
        <x:v>OPEN</x:v>
      </x:c>
    </x:row>
    <x:row r="115">
      <x:c r="B115" s="24" t="str">
        <x:v>I04-G5</x:v>
      </x:c>
      <x:c r="C115" s="24" t="str">
        <x:v>Terrain receiver</x:v>
      </x:c>
      <x:c r="D115" s="24" t="str">
        <x:v>Terrain</x:v>
      </x:c>
      <x:c r="E115" s="24" t="str">
        <x:v>Receiver</x:v>
      </x:c>
      <x:c r="F115" s="24" t="str">
        <x:v>G5</x:v>
      </x:c>
      <x:c r="G115" s="24" t="str">
        <x:v>instrumented carrier</x:v>
      </x:c>
      <x:c r="H115" s="24" t="str">
        <x:v>structure CG restraint transfer fire evacuation record</x:v>
      </x:c>
      <x:c r="I115" s="24" t="str">
        <x:v>F08</x:v>
      </x:c>
      <x:c r="J115" s="24" t="n">
        <x:v>16</x:v>
      </x:c>
      <x:c r="K115" s="24" t="str">
        <x:v>Vehicle Certification Authority</x:v>
      </x:c>
      <x:c r="L115" s="24" t="str">
        <x:v>registered threshold plus uncertainty and guardband</x:v>
      </x:c>
      <x:c r="M115" s="24" t="str">
        <x:v>reopen stage and every dependent claim</x:v>
      </x:c>
      <x:c r="N115" s="26" t="str">
        <x:v>OPEN</x:v>
      </x:c>
    </x:row>
    <x:row r="116">
      <x:c r="B116" s="24" t="str">
        <x:v>I04-G6</x:v>
      </x:c>
      <x:c r="C116" s="24" t="str">
        <x:v>Terrain receiver</x:v>
      </x:c>
      <x:c r="D116" s="24" t="str">
        <x:v>Terrain</x:v>
      </x:c>
      <x:c r="E116" s="24" t="str">
        <x:v>Receiver</x:v>
      </x:c>
      <x:c r="F116" s="24" t="str">
        <x:v>G6</x:v>
      </x:c>
      <x:c r="G116" s="24" t="str">
        <x:v>receiver complex</x:v>
      </x:c>
      <x:c r="H116" s="24" t="str">
        <x:v>assembly assay handoff public release record</x:v>
      </x:c>
      <x:c r="I116" s="24" t="str">
        <x:v>F09</x:v>
      </x:c>
      <x:c r="J116" s="24" t="n">
        <x:v>18</x:v>
      </x:c>
      <x:c r="K116" s="24" t="str">
        <x:v>Receiver Evidence Authority</x:v>
      </x:c>
      <x:c r="L116" s="24" t="str">
        <x:v>registered threshold plus uncertainty and guardband</x:v>
      </x:c>
      <x:c r="M116" s="24" t="str">
        <x:v>reopen stage and every dependent claim</x:v>
      </x:c>
      <x:c r="N116" s="26" t="str">
        <x:v>OPEN</x:v>
      </x:c>
    </x:row>
    <x:row r="117">
      <x:c r="B117" s="24" t="str">
        <x:v>I04-G7</x:v>
      </x:c>
      <x:c r="C117" s="24" t="str">
        <x:v>Terrain receiver</x:v>
      </x:c>
      <x:c r="D117" s="24" t="str">
        <x:v>Terrain</x:v>
      </x:c>
      <x:c r="E117" s="24" t="str">
        <x:v>Receiver</x:v>
      </x:c>
      <x:c r="F117" s="24" t="str">
        <x:v>G7</x:v>
      </x:c>
      <x:c r="G117" s="24" t="str">
        <x:v>survivor formation</x:v>
      </x:c>
      <x:c r="H117" s="24" t="str">
        <x:v>blinded casualty denial and safe-stop record</x:v>
      </x:c>
      <x:c r="I117" s="24" t="str">
        <x:v>F09</x:v>
      </x:c>
      <x:c r="J117" s="24" t="n">
        <x:v>20</x:v>
      </x:c>
      <x:c r="K117" s="24" t="str">
        <x:v>Destructive Trial Authority</x:v>
      </x:c>
      <x:c r="L117" s="24" t="str">
        <x:v>registered threshold plus uncertainty and guardband</x:v>
      </x:c>
      <x:c r="M117" s="24" t="str">
        <x:v>reopen stage and every dependent claim</x:v>
      </x:c>
      <x:c r="N117" s="26" t="str">
        <x:v>OPEN</x:v>
      </x:c>
    </x:row>
    <x:row r="118">
      <x:c r="B118" s="24" t="str">
        <x:v>I04-G8</x:v>
      </x:c>
      <x:c r="C118" s="24" t="str">
        <x:v>Terrain receiver</x:v>
      </x:c>
      <x:c r="D118" s="24" t="str">
        <x:v>Terrain</x:v>
      </x:c>
      <x:c r="E118" s="24" t="str">
        <x:v>Receiver</x:v>
      </x:c>
      <x:c r="F118" s="24" t="str">
        <x:v>G8</x:v>
      </x:c>
      <x:c r="G118" s="24" t="str">
        <x:v>second-lot and reset chain</x:v>
      </x:c>
      <x:c r="H118" s="24" t="str">
        <x:v>repeat mission lot trace depot replication record</x:v>
      </x:c>
      <x:c r="I118" s="24" t="str">
        <x:v>F10</x:v>
      </x:c>
      <x:c r="J118" s="24" t="n">
        <x:v>12</x:v>
      </x:c>
      <x:c r="K118" s="24" t="str">
        <x:v>Production Evidence Authority</x:v>
      </x:c>
      <x:c r="L118" s="24" t="str">
        <x:v>registered threshold plus uncertainty and guardband</x:v>
      </x:c>
      <x:c r="M118" s="24" t="str">
        <x:v>reopen stage and every dependent claim</x:v>
      </x:c>
      <x:c r="N118" s="26" t="str">
        <x:v>OPEN</x:v>
      </x:c>
    </x:row>
    <x:row r="119">
      <x:c r="B119" s="24" t="str">
        <x:v>I05-G1</x:v>
      </x:c>
      <x:c r="C119" s="24" t="str">
        <x:v>CUIC and control</x:v>
      </x:c>
      <x:c r="D119" s="24" t="str">
        <x:v>Both</x:v>
      </x:c>
      <x:c r="E119" s="24" t="str">
        <x:v>Control</x:v>
      </x:c>
      <x:c r="F119" s="24" t="str">
        <x:v>G1</x:v>
      </x:c>
      <x:c r="G119" s="24" t="str">
        <x:v>registered claim</x:v>
      </x:c>
      <x:c r="H119" s="24" t="str">
        <x:v>burden-hazard-authority contract</x:v>
      </x:c>
      <x:c r="I119" s="24" t="str">
        <x:v>F01</x:v>
      </x:c>
      <x:c r="J119" s="24" t="n">
        <x:v>2</x:v>
      </x:c>
      <x:c r="K119" s="24" t="str">
        <x:v>Requirements Authority</x:v>
      </x:c>
      <x:c r="L119" s="24" t="str">
        <x:v>registered threshold plus uncertainty and guardband</x:v>
      </x:c>
      <x:c r="M119" s="24" t="str">
        <x:v>reopen stage and every dependent claim</x:v>
      </x:c>
      <x:c r="N119" s="26" t="str">
        <x:v>OPEN</x:v>
      </x:c>
    </x:row>
    <x:row r="120">
      <x:c r="B120" s="24" t="str">
        <x:v>I05-G2</x:v>
      </x:c>
      <x:c r="C120" s="24" t="str">
        <x:v>CUIC and control</x:v>
      </x:c>
      <x:c r="D120" s="24" t="str">
        <x:v>Both</x:v>
      </x:c>
      <x:c r="E120" s="24" t="str">
        <x:v>Control</x:v>
      </x:c>
      <x:c r="F120" s="24" t="str">
        <x:v>G2</x:v>
      </x:c>
      <x:c r="G120" s="24" t="str">
        <x:v>coupons and subassemblies</x:v>
      </x:c>
      <x:c r="H120" s="24" t="str">
        <x:v>raw data calibration uncertainty failure dossier</x:v>
      </x:c>
      <x:c r="I120" s="24" t="str">
        <x:v>F01</x:v>
      </x:c>
      <x:c r="J120" s="24" t="n">
        <x:v>8</x:v>
      </x:c>
      <x:c r="K120" s="24" t="str">
        <x:v>Independent Laboratory Authority</x:v>
      </x:c>
      <x:c r="L120" s="24" t="str">
        <x:v>registered threshold plus uncertainty and guardband</x:v>
      </x:c>
      <x:c r="M120" s="24" t="str">
        <x:v>reopen stage and every dependent claim</x:v>
      </x:c>
      <x:c r="N120" s="26" t="str">
        <x:v>OPEN</x:v>
      </x:c>
    </x:row>
    <x:row r="121">
      <x:c r="B121" s="24" t="str">
        <x:v>I05-G3</x:v>
      </x:c>
      <x:c r="C121" s="24" t="str">
        <x:v>CUIC and control</x:v>
      </x:c>
      <x:c r="D121" s="24" t="str">
        <x:v>Both</x:v>
      </x:c>
      <x:c r="E121" s="24" t="str">
        <x:v>Control</x:v>
      </x:c>
      <x:c r="F121" s="24" t="str">
        <x:v>G3</x:v>
      </x:c>
      <x:c r="G121" s="24" t="str">
        <x:v>representative article</x:v>
      </x:c>
      <x:c r="H121" s="24" t="str">
        <x:v>configuration output hazard maintainability record</x:v>
      </x:c>
      <x:c r="I121" s="24" t="str">
        <x:v>F01</x:v>
      </x:c>
      <x:c r="J121" s="24" t="n">
        <x:v>14</x:v>
      </x:c>
      <x:c r="K121" s="24" t="str">
        <x:v>Family Certification Authority</x:v>
      </x:c>
      <x:c r="L121" s="24" t="str">
        <x:v>registered threshold plus uncertainty and guardband</x:v>
      </x:c>
      <x:c r="M121" s="24" t="str">
        <x:v>reopen stage and every dependent claim</x:v>
      </x:c>
      <x:c r="N121" s="26" t="str">
        <x:v>OPEN</x:v>
      </x:c>
    </x:row>
    <x:row r="122">
      <x:c r="B122" s="24" t="str">
        <x:v>I05-G4</x:v>
      </x:c>
      <x:c r="C122" s="24" t="str">
        <x:v>CUIC and control</x:v>
      </x:c>
      <x:c r="D122" s="24" t="str">
        <x:v>Both</x:v>
      </x:c>
      <x:c r="E122" s="24" t="str">
        <x:v>Control</x:v>
      </x:c>
      <x:c r="F122" s="24" t="str">
        <x:v>G4</x:v>
      </x:c>
      <x:c r="G122" s="24" t="str">
        <x:v>five-family set</x:v>
      </x:c>
      <x:c r="H122" s="24" t="str">
        <x:v>simultaneous coupling and public-service vector</x:v>
      </x:c>
      <x:c r="I122" s="24" t="str">
        <x:v>F09</x:v>
      </x:c>
      <x:c r="J122" s="24" t="n">
        <x:v>12</x:v>
      </x:c>
      <x:c r="K122" s="24" t="str">
        <x:v>Set Integration Authority</x:v>
      </x:c>
      <x:c r="L122" s="24" t="str">
        <x:v>registered threshold plus uncertainty and guardband</x:v>
      </x:c>
      <x:c r="M122" s="24" t="str">
        <x:v>reopen stage and every dependent claim</x:v>
      </x:c>
      <x:c r="N122" s="26" t="str">
        <x:v>OPEN</x:v>
      </x:c>
    </x:row>
    <x:row r="123">
      <x:c r="B123" s="24" t="str">
        <x:v>I05-G5</x:v>
      </x:c>
      <x:c r="C123" s="24" t="str">
        <x:v>CUIC and control</x:v>
      </x:c>
      <x:c r="D123" s="24" t="str">
        <x:v>Both</x:v>
      </x:c>
      <x:c r="E123" s="24" t="str">
        <x:v>Control</x:v>
      </x:c>
      <x:c r="F123" s="24" t="str">
        <x:v>G5</x:v>
      </x:c>
      <x:c r="G123" s="24" t="str">
        <x:v>instrumented carrier</x:v>
      </x:c>
      <x:c r="H123" s="24" t="str">
        <x:v>structure CG restraint transfer fire evacuation record</x:v>
      </x:c>
      <x:c r="I123" s="24" t="str">
        <x:v>F09</x:v>
      </x:c>
      <x:c r="J123" s="24" t="n">
        <x:v>16</x:v>
      </x:c>
      <x:c r="K123" s="24" t="str">
        <x:v>Vehicle Certification Authority</x:v>
      </x:c>
      <x:c r="L123" s="24" t="str">
        <x:v>registered threshold plus uncertainty and guardband</x:v>
      </x:c>
      <x:c r="M123" s="24" t="str">
        <x:v>reopen stage and every dependent claim</x:v>
      </x:c>
      <x:c r="N123" s="26" t="str">
        <x:v>OPEN</x:v>
      </x:c>
    </x:row>
    <x:row r="124">
      <x:c r="B124" s="24" t="str">
        <x:v>I05-G6</x:v>
      </x:c>
      <x:c r="C124" s="24" t="str">
        <x:v>CUIC and control</x:v>
      </x:c>
      <x:c r="D124" s="24" t="str">
        <x:v>Both</x:v>
      </x:c>
      <x:c r="E124" s="24" t="str">
        <x:v>Control</x:v>
      </x:c>
      <x:c r="F124" s="24" t="str">
        <x:v>G6</x:v>
      </x:c>
      <x:c r="G124" s="24" t="str">
        <x:v>receiver complex</x:v>
      </x:c>
      <x:c r="H124" s="24" t="str">
        <x:v>assembly assay handoff public release record</x:v>
      </x:c>
      <x:c r="I124" s="24" t="str">
        <x:v>F09</x:v>
      </x:c>
      <x:c r="J124" s="24" t="n">
        <x:v>18</x:v>
      </x:c>
      <x:c r="K124" s="24" t="str">
        <x:v>Receiver Evidence Authority</x:v>
      </x:c>
      <x:c r="L124" s="24" t="str">
        <x:v>registered threshold plus uncertainty and guardband</x:v>
      </x:c>
      <x:c r="M124" s="24" t="str">
        <x:v>reopen stage and every dependent claim</x:v>
      </x:c>
      <x:c r="N124" s="26" t="str">
        <x:v>OPEN</x:v>
      </x:c>
    </x:row>
    <x:row r="125">
      <x:c r="B125" s="24" t="str">
        <x:v>I05-G7</x:v>
      </x:c>
      <x:c r="C125" s="24" t="str">
        <x:v>CUIC and control</x:v>
      </x:c>
      <x:c r="D125" s="24" t="str">
        <x:v>Both</x:v>
      </x:c>
      <x:c r="E125" s="24" t="str">
        <x:v>Control</x:v>
      </x:c>
      <x:c r="F125" s="24" t="str">
        <x:v>G7</x:v>
      </x:c>
      <x:c r="G125" s="24" t="str">
        <x:v>survivor formation</x:v>
      </x:c>
      <x:c r="H125" s="24" t="str">
        <x:v>blinded casualty denial and safe-stop record</x:v>
      </x:c>
      <x:c r="I125" s="24" t="str">
        <x:v>F09</x:v>
      </x:c>
      <x:c r="J125" s="24" t="n">
        <x:v>20</x:v>
      </x:c>
      <x:c r="K125" s="24" t="str">
        <x:v>Destructive Trial Authority</x:v>
      </x:c>
      <x:c r="L125" s="24" t="str">
        <x:v>registered threshold plus uncertainty and guardband</x:v>
      </x:c>
      <x:c r="M125" s="24" t="str">
        <x:v>reopen stage and every dependent claim</x:v>
      </x:c>
      <x:c r="N125" s="26" t="str">
        <x:v>OPEN</x:v>
      </x:c>
    </x:row>
    <x:row r="126">
      <x:c r="B126" s="24" t="str">
        <x:v>I05-G8</x:v>
      </x:c>
      <x:c r="C126" s="24" t="str">
        <x:v>CUIC and control</x:v>
      </x:c>
      <x:c r="D126" s="24" t="str">
        <x:v>Both</x:v>
      </x:c>
      <x:c r="E126" s="24" t="str">
        <x:v>Control</x:v>
      </x:c>
      <x:c r="F126" s="24" t="str">
        <x:v>G8</x:v>
      </x:c>
      <x:c r="G126" s="24" t="str">
        <x:v>second-lot and reset chain</x:v>
      </x:c>
      <x:c r="H126" s="24" t="str">
        <x:v>repeat mission lot trace depot replication record</x:v>
      </x:c>
      <x:c r="I126" s="24" t="str">
        <x:v>F10</x:v>
      </x:c>
      <x:c r="J126" s="24" t="n">
        <x:v>12</x:v>
      </x:c>
      <x:c r="K126" s="24" t="str">
        <x:v>Production Evidence Authority</x:v>
      </x:c>
      <x:c r="L126" s="24" t="str">
        <x:v>registered threshold plus uncertainty and guardband</x:v>
      </x:c>
      <x:c r="M126" s="24" t="str">
        <x:v>reopen stage and every dependent claim</x:v>
      </x:c>
      <x:c r="N126" s="26" t="str">
        <x:v>OPEN</x:v>
      </x:c>
    </x:row>
    <x:row r="127">
      <x:c r="B127" s="24" t="str">
        <x:v>I06-G1</x:v>
      </x:c>
      <x:c r="C127" s="24" t="str">
        <x:v>Mass and CG certification</x:v>
      </x:c>
      <x:c r="D127" s="24" t="str">
        <x:v>Both</x:v>
      </x:c>
      <x:c r="E127" s="24" t="str">
        <x:v>Control</x:v>
      </x:c>
      <x:c r="F127" s="24" t="str">
        <x:v>G1</x:v>
      </x:c>
      <x:c r="G127" s="24" t="str">
        <x:v>registered claim</x:v>
      </x:c>
      <x:c r="H127" s="24" t="str">
        <x:v>burden-hazard-authority contract</x:v>
      </x:c>
      <x:c r="I127" s="24" t="str">
        <x:v>F01</x:v>
      </x:c>
      <x:c r="J127" s="24" t="n">
        <x:v>2</x:v>
      </x:c>
      <x:c r="K127" s="24" t="str">
        <x:v>Requirements Authority</x:v>
      </x:c>
      <x:c r="L127" s="24" t="str">
        <x:v>registered threshold plus uncertainty and guardband</x:v>
      </x:c>
      <x:c r="M127" s="24" t="str">
        <x:v>reopen stage and every dependent claim</x:v>
      </x:c>
      <x:c r="N127" s="26" t="str">
        <x:v>OPEN</x:v>
      </x:c>
    </x:row>
    <x:row r="128">
      <x:c r="B128" s="24" t="str">
        <x:v>I06-G2</x:v>
      </x:c>
      <x:c r="C128" s="24" t="str">
        <x:v>Mass and CG certification</x:v>
      </x:c>
      <x:c r="D128" s="24" t="str">
        <x:v>Both</x:v>
      </x:c>
      <x:c r="E128" s="24" t="str">
        <x:v>Control</x:v>
      </x:c>
      <x:c r="F128" s="24" t="str">
        <x:v>G2</x:v>
      </x:c>
      <x:c r="G128" s="24" t="str">
        <x:v>coupons and subassemblies</x:v>
      </x:c>
      <x:c r="H128" s="24" t="str">
        <x:v>raw data calibration uncertainty failure dossier</x:v>
      </x:c>
      <x:c r="I128" s="24" t="str">
        <x:v>F01</x:v>
      </x:c>
      <x:c r="J128" s="24" t="n">
        <x:v>8</x:v>
      </x:c>
      <x:c r="K128" s="24" t="str">
        <x:v>Independent Laboratory Authority</x:v>
      </x:c>
      <x:c r="L128" s="24" t="str">
        <x:v>registered threshold plus uncertainty and guardband</x:v>
      </x:c>
      <x:c r="M128" s="24" t="str">
        <x:v>reopen stage and every dependent claim</x:v>
      </x:c>
      <x:c r="N128" s="26" t="str">
        <x:v>OPEN</x:v>
      </x:c>
    </x:row>
    <x:row r="129">
      <x:c r="B129" s="24" t="str">
        <x:v>I06-G3</x:v>
      </x:c>
      <x:c r="C129" s="24" t="str">
        <x:v>Mass and CG certification</x:v>
      </x:c>
      <x:c r="D129" s="24" t="str">
        <x:v>Both</x:v>
      </x:c>
      <x:c r="E129" s="24" t="str">
        <x:v>Control</x:v>
      </x:c>
      <x:c r="F129" s="24" t="str">
        <x:v>G3</x:v>
      </x:c>
      <x:c r="G129" s="24" t="str">
        <x:v>representative article</x:v>
      </x:c>
      <x:c r="H129" s="24" t="str">
        <x:v>configuration output hazard maintainability record</x:v>
      </x:c>
      <x:c r="I129" s="24" t="str">
        <x:v>F01</x:v>
      </x:c>
      <x:c r="J129" s="24" t="n">
        <x:v>14</x:v>
      </x:c>
      <x:c r="K129" s="24" t="str">
        <x:v>Family Certification Authority</x:v>
      </x:c>
      <x:c r="L129" s="24" t="str">
        <x:v>registered threshold plus uncertainty and guardband</x:v>
      </x:c>
      <x:c r="M129" s="24" t="str">
        <x:v>reopen stage and every dependent claim</x:v>
      </x:c>
      <x:c r="N129" s="26" t="str">
        <x:v>OPEN</x:v>
      </x:c>
    </x:row>
    <x:row r="130">
      <x:c r="B130" s="24" t="str">
        <x:v>I06-G4</x:v>
      </x:c>
      <x:c r="C130" s="24" t="str">
        <x:v>Mass and CG certification</x:v>
      </x:c>
      <x:c r="D130" s="24" t="str">
        <x:v>Both</x:v>
      </x:c>
      <x:c r="E130" s="24" t="str">
        <x:v>Control</x:v>
      </x:c>
      <x:c r="F130" s="24" t="str">
        <x:v>G4</x:v>
      </x:c>
      <x:c r="G130" s="24" t="str">
        <x:v>five-family set</x:v>
      </x:c>
      <x:c r="H130" s="24" t="str">
        <x:v>simultaneous coupling and public-service vector</x:v>
      </x:c>
      <x:c r="I130" s="24" t="str">
        <x:v>F09</x:v>
      </x:c>
      <x:c r="J130" s="24" t="n">
        <x:v>12</x:v>
      </x:c>
      <x:c r="K130" s="24" t="str">
        <x:v>Set Integration Authority</x:v>
      </x:c>
      <x:c r="L130" s="24" t="str">
        <x:v>registered threshold plus uncertainty and guardband</x:v>
      </x:c>
      <x:c r="M130" s="24" t="str">
        <x:v>reopen stage and every dependent claim</x:v>
      </x:c>
      <x:c r="N130" s="26" t="str">
        <x:v>OPEN</x:v>
      </x:c>
    </x:row>
    <x:row r="131">
      <x:c r="B131" s="24" t="str">
        <x:v>I06-G5</x:v>
      </x:c>
      <x:c r="C131" s="24" t="str">
        <x:v>Mass and CG certification</x:v>
      </x:c>
      <x:c r="D131" s="24" t="str">
        <x:v>Both</x:v>
      </x:c>
      <x:c r="E131" s="24" t="str">
        <x:v>Control</x:v>
      </x:c>
      <x:c r="F131" s="24" t="str">
        <x:v>G5</x:v>
      </x:c>
      <x:c r="G131" s="24" t="str">
        <x:v>instrumented carrier</x:v>
      </x:c>
      <x:c r="H131" s="24" t="str">
        <x:v>structure CG restraint transfer fire evacuation record</x:v>
      </x:c>
      <x:c r="I131" s="24" t="str">
        <x:v>F09</x:v>
      </x:c>
      <x:c r="J131" s="24" t="n">
        <x:v>16</x:v>
      </x:c>
      <x:c r="K131" s="24" t="str">
        <x:v>Vehicle Certification Authority</x:v>
      </x:c>
      <x:c r="L131" s="24" t="str">
        <x:v>registered threshold plus uncertainty and guardband</x:v>
      </x:c>
      <x:c r="M131" s="24" t="str">
        <x:v>reopen stage and every dependent claim</x:v>
      </x:c>
      <x:c r="N131" s="26" t="str">
        <x:v>OPEN</x:v>
      </x:c>
    </x:row>
    <x:row r="132">
      <x:c r="B132" s="24" t="str">
        <x:v>I06-G6</x:v>
      </x:c>
      <x:c r="C132" s="24" t="str">
        <x:v>Mass and CG certification</x:v>
      </x:c>
      <x:c r="D132" s="24" t="str">
        <x:v>Both</x:v>
      </x:c>
      <x:c r="E132" s="24" t="str">
        <x:v>Control</x:v>
      </x:c>
      <x:c r="F132" s="24" t="str">
        <x:v>G6</x:v>
      </x:c>
      <x:c r="G132" s="24" t="str">
        <x:v>receiver complex</x:v>
      </x:c>
      <x:c r="H132" s="24" t="str">
        <x:v>assembly assay handoff public release record</x:v>
      </x:c>
      <x:c r="I132" s="24" t="str">
        <x:v>F09</x:v>
      </x:c>
      <x:c r="J132" s="24" t="n">
        <x:v>18</x:v>
      </x:c>
      <x:c r="K132" s="24" t="str">
        <x:v>Receiver Evidence Authority</x:v>
      </x:c>
      <x:c r="L132" s="24" t="str">
        <x:v>registered threshold plus uncertainty and guardband</x:v>
      </x:c>
      <x:c r="M132" s="24" t="str">
        <x:v>reopen stage and every dependent claim</x:v>
      </x:c>
      <x:c r="N132" s="26" t="str">
        <x:v>OPEN</x:v>
      </x:c>
    </x:row>
    <x:row r="133">
      <x:c r="B133" s="24" t="str">
        <x:v>I06-G7</x:v>
      </x:c>
      <x:c r="C133" s="24" t="str">
        <x:v>Mass and CG certification</x:v>
      </x:c>
      <x:c r="D133" s="24" t="str">
        <x:v>Both</x:v>
      </x:c>
      <x:c r="E133" s="24" t="str">
        <x:v>Control</x:v>
      </x:c>
      <x:c r="F133" s="24" t="str">
        <x:v>G7</x:v>
      </x:c>
      <x:c r="G133" s="24" t="str">
        <x:v>survivor formation</x:v>
      </x:c>
      <x:c r="H133" s="24" t="str">
        <x:v>blinded casualty denial and safe-stop record</x:v>
      </x:c>
      <x:c r="I133" s="24" t="str">
        <x:v>F09</x:v>
      </x:c>
      <x:c r="J133" s="24" t="n">
        <x:v>20</x:v>
      </x:c>
      <x:c r="K133" s="24" t="str">
        <x:v>Destructive Trial Authority</x:v>
      </x:c>
      <x:c r="L133" s="24" t="str">
        <x:v>registered threshold plus uncertainty and guardband</x:v>
      </x:c>
      <x:c r="M133" s="24" t="str">
        <x:v>reopen stage and every dependent claim</x:v>
      </x:c>
      <x:c r="N133" s="26" t="str">
        <x:v>OPEN</x:v>
      </x:c>
    </x:row>
    <x:row r="134">
      <x:c r="B134" s="24" t="str">
        <x:v>I06-G8</x:v>
      </x:c>
      <x:c r="C134" s="24" t="str">
        <x:v>Mass and CG certification</x:v>
      </x:c>
      <x:c r="D134" s="24" t="str">
        <x:v>Both</x:v>
      </x:c>
      <x:c r="E134" s="24" t="str">
        <x:v>Control</x:v>
      </x:c>
      <x:c r="F134" s="24" t="str">
        <x:v>G8</x:v>
      </x:c>
      <x:c r="G134" s="24" t="str">
        <x:v>second-lot and reset chain</x:v>
      </x:c>
      <x:c r="H134" s="24" t="str">
        <x:v>repeat mission lot trace depot replication record</x:v>
      </x:c>
      <x:c r="I134" s="24" t="str">
        <x:v>F10</x:v>
      </x:c>
      <x:c r="J134" s="24" t="n">
        <x:v>12</x:v>
      </x:c>
      <x:c r="K134" s="24" t="str">
        <x:v>Production Evidence Authority</x:v>
      </x:c>
      <x:c r="L134" s="24" t="str">
        <x:v>registered threshold plus uncertainty and guardband</x:v>
      </x:c>
      <x:c r="M134" s="24" t="str">
        <x:v>reopen stage and every dependent claim</x:v>
      </x:c>
      <x:c r="N134" s="26" t="str">
        <x:v>OPEN</x:v>
      </x:c>
    </x:row>
    <x:row r="135">
      <x:c r="B135" s="24" t="str">
        <x:v>I07-G1</x:v>
      </x:c>
      <x:c r="C135" s="24" t="str">
        <x:v>Wet custody</x:v>
      </x:c>
      <x:c r="D135" s="24" t="str">
        <x:v>Both</x:v>
      </x:c>
      <x:c r="E135" s="24" t="str">
        <x:v>Water</x:v>
      </x:c>
      <x:c r="F135" s="24" t="str">
        <x:v>G1</x:v>
      </x:c>
      <x:c r="G135" s="24" t="str">
        <x:v>registered claim</x:v>
      </x:c>
      <x:c r="H135" s="24" t="str">
        <x:v>burden-hazard-authority contract</x:v>
      </x:c>
      <x:c r="I135" s="24" t="str">
        <x:v>F01</x:v>
      </x:c>
      <x:c r="J135" s="24" t="n">
        <x:v>2</x:v>
      </x:c>
      <x:c r="K135" s="24" t="str">
        <x:v>Requirements Authority</x:v>
      </x:c>
      <x:c r="L135" s="24" t="str">
        <x:v>registered threshold plus uncertainty and guardband</x:v>
      </x:c>
      <x:c r="M135" s="24" t="str">
        <x:v>reopen stage and every dependent claim</x:v>
      </x:c>
      <x:c r="N135" s="26" t="str">
        <x:v>OPEN</x:v>
      </x:c>
    </x:row>
    <x:row r="136">
      <x:c r="B136" s="24" t="str">
        <x:v>I07-G2</x:v>
      </x:c>
      <x:c r="C136" s="24" t="str">
        <x:v>Wet custody</x:v>
      </x:c>
      <x:c r="D136" s="24" t="str">
        <x:v>Both</x:v>
      </x:c>
      <x:c r="E136" s="24" t="str">
        <x:v>Water</x:v>
      </x:c>
      <x:c r="F136" s="24" t="str">
        <x:v>G2</x:v>
      </x:c>
      <x:c r="G136" s="24" t="str">
        <x:v>coupons and subassemblies</x:v>
      </x:c>
      <x:c r="H136" s="24" t="str">
        <x:v>raw data calibration uncertainty failure dossier</x:v>
      </x:c>
      <x:c r="I136" s="24" t="str">
        <x:v>F03</x:v>
      </x:c>
      <x:c r="J136" s="24" t="n">
        <x:v>8</x:v>
      </x:c>
      <x:c r="K136" s="24" t="str">
        <x:v>Independent Laboratory Authority</x:v>
      </x:c>
      <x:c r="L136" s="24" t="str">
        <x:v>registered threshold plus uncertainty and guardband</x:v>
      </x:c>
      <x:c r="M136" s="24" t="str">
        <x:v>reopen stage and every dependent claim</x:v>
      </x:c>
      <x:c r="N136" s="26" t="str">
        <x:v>OPEN</x:v>
      </x:c>
    </x:row>
    <x:row r="137">
      <x:c r="B137" s="24" t="str">
        <x:v>I07-G3</x:v>
      </x:c>
      <x:c r="C137" s="24" t="str">
        <x:v>Wet custody</x:v>
      </x:c>
      <x:c r="D137" s="24" t="str">
        <x:v>Both</x:v>
      </x:c>
      <x:c r="E137" s="24" t="str">
        <x:v>Water</x:v>
      </x:c>
      <x:c r="F137" s="24" t="str">
        <x:v>G3</x:v>
      </x:c>
      <x:c r="G137" s="24" t="str">
        <x:v>representative article</x:v>
      </x:c>
      <x:c r="H137" s="24" t="str">
        <x:v>configuration output hazard maintainability record</x:v>
      </x:c>
      <x:c r="I137" s="24" t="str">
        <x:v>F03</x:v>
      </x:c>
      <x:c r="J137" s="24" t="n">
        <x:v>14</x:v>
      </x:c>
      <x:c r="K137" s="24" t="str">
        <x:v>Family Certification Authority</x:v>
      </x:c>
      <x:c r="L137" s="24" t="str">
        <x:v>registered threshold plus uncertainty and guardband</x:v>
      </x:c>
      <x:c r="M137" s="24" t="str">
        <x:v>reopen stage and every dependent claim</x:v>
      </x:c>
      <x:c r="N137" s="26" t="str">
        <x:v>OPEN</x:v>
      </x:c>
    </x:row>
    <x:row r="138">
      <x:c r="B138" s="24" t="str">
        <x:v>I07-G4</x:v>
      </x:c>
      <x:c r="C138" s="24" t="str">
        <x:v>Wet custody</x:v>
      </x:c>
      <x:c r="D138" s="24" t="str">
        <x:v>Both</x:v>
      </x:c>
      <x:c r="E138" s="24" t="str">
        <x:v>Water</x:v>
      </x:c>
      <x:c r="F138" s="24" t="str">
        <x:v>G4</x:v>
      </x:c>
      <x:c r="G138" s="24" t="str">
        <x:v>five-family set</x:v>
      </x:c>
      <x:c r="H138" s="24" t="str">
        <x:v>simultaneous coupling and public-service vector</x:v>
      </x:c>
      <x:c r="I138" s="24" t="str">
        <x:v>F09</x:v>
      </x:c>
      <x:c r="J138" s="24" t="n">
        <x:v>12</x:v>
      </x:c>
      <x:c r="K138" s="24" t="str">
        <x:v>Set Integration Authority</x:v>
      </x:c>
      <x:c r="L138" s="24" t="str">
        <x:v>registered threshold plus uncertainty and guardband</x:v>
      </x:c>
      <x:c r="M138" s="24" t="str">
        <x:v>reopen stage and every dependent claim</x:v>
      </x:c>
      <x:c r="N138" s="26" t="str">
        <x:v>OPEN</x:v>
      </x:c>
    </x:row>
    <x:row r="139">
      <x:c r="B139" s="24" t="str">
        <x:v>I07-G5</x:v>
      </x:c>
      <x:c r="C139" s="24" t="str">
        <x:v>Wet custody</x:v>
      </x:c>
      <x:c r="D139" s="24" t="str">
        <x:v>Both</x:v>
      </x:c>
      <x:c r="E139" s="24" t="str">
        <x:v>Water</x:v>
      </x:c>
      <x:c r="F139" s="24" t="str">
        <x:v>G5</x:v>
      </x:c>
      <x:c r="G139" s="24" t="str">
        <x:v>instrumented carrier</x:v>
      </x:c>
      <x:c r="H139" s="24" t="str">
        <x:v>structure CG restraint transfer fire evacuation record</x:v>
      </x:c>
      <x:c r="I139" s="24" t="str">
        <x:v>F09</x:v>
      </x:c>
      <x:c r="J139" s="24" t="n">
        <x:v>16</x:v>
      </x:c>
      <x:c r="K139" s="24" t="str">
        <x:v>Vehicle Certification Authority</x:v>
      </x:c>
      <x:c r="L139" s="24" t="str">
        <x:v>registered threshold plus uncertainty and guardband</x:v>
      </x:c>
      <x:c r="M139" s="24" t="str">
        <x:v>reopen stage and every dependent claim</x:v>
      </x:c>
      <x:c r="N139" s="26" t="str">
        <x:v>OPEN</x:v>
      </x:c>
    </x:row>
    <x:row r="140">
      <x:c r="B140" s="24" t="str">
        <x:v>I07-G6</x:v>
      </x:c>
      <x:c r="C140" s="24" t="str">
        <x:v>Wet custody</x:v>
      </x:c>
      <x:c r="D140" s="24" t="str">
        <x:v>Both</x:v>
      </x:c>
      <x:c r="E140" s="24" t="str">
        <x:v>Water</x:v>
      </x:c>
      <x:c r="F140" s="24" t="str">
        <x:v>G6</x:v>
      </x:c>
      <x:c r="G140" s="24" t="str">
        <x:v>receiver complex</x:v>
      </x:c>
      <x:c r="H140" s="24" t="str">
        <x:v>assembly assay handoff public release record</x:v>
      </x:c>
      <x:c r="I140" s="24" t="str">
        <x:v>F09</x:v>
      </x:c>
      <x:c r="J140" s="24" t="n">
        <x:v>18</x:v>
      </x:c>
      <x:c r="K140" s="24" t="str">
        <x:v>Receiver Evidence Authority</x:v>
      </x:c>
      <x:c r="L140" s="24" t="str">
        <x:v>registered threshold plus uncertainty and guardband</x:v>
      </x:c>
      <x:c r="M140" s="24" t="str">
        <x:v>reopen stage and every dependent claim</x:v>
      </x:c>
      <x:c r="N140" s="26" t="str">
        <x:v>OPEN</x:v>
      </x:c>
    </x:row>
    <x:row r="141">
      <x:c r="B141" s="24" t="str">
        <x:v>I07-G7</x:v>
      </x:c>
      <x:c r="C141" s="24" t="str">
        <x:v>Wet custody</x:v>
      </x:c>
      <x:c r="D141" s="24" t="str">
        <x:v>Both</x:v>
      </x:c>
      <x:c r="E141" s="24" t="str">
        <x:v>Water</x:v>
      </x:c>
      <x:c r="F141" s="24" t="str">
        <x:v>G7</x:v>
      </x:c>
      <x:c r="G141" s="24" t="str">
        <x:v>survivor formation</x:v>
      </x:c>
      <x:c r="H141" s="24" t="str">
        <x:v>blinded casualty denial and safe-stop record</x:v>
      </x:c>
      <x:c r="I141" s="24" t="str">
        <x:v>F09</x:v>
      </x:c>
      <x:c r="J141" s="24" t="n">
        <x:v>20</x:v>
      </x:c>
      <x:c r="K141" s="24" t="str">
        <x:v>Destructive Trial Authority</x:v>
      </x:c>
      <x:c r="L141" s="24" t="str">
        <x:v>registered threshold plus uncertainty and guardband</x:v>
      </x:c>
      <x:c r="M141" s="24" t="str">
        <x:v>reopen stage and every dependent claim</x:v>
      </x:c>
      <x:c r="N141" s="26" t="str">
        <x:v>OPEN</x:v>
      </x:c>
    </x:row>
    <x:row r="142">
      <x:c r="B142" s="24" t="str">
        <x:v>I07-G8</x:v>
      </x:c>
      <x:c r="C142" s="24" t="str">
        <x:v>Wet custody</x:v>
      </x:c>
      <x:c r="D142" s="24" t="str">
        <x:v>Both</x:v>
      </x:c>
      <x:c r="E142" s="24" t="str">
        <x:v>Water</x:v>
      </x:c>
      <x:c r="F142" s="24" t="str">
        <x:v>G8</x:v>
      </x:c>
      <x:c r="G142" s="24" t="str">
        <x:v>second-lot and reset chain</x:v>
      </x:c>
      <x:c r="H142" s="24" t="str">
        <x:v>repeat mission lot trace depot replication record</x:v>
      </x:c>
      <x:c r="I142" s="24" t="str">
        <x:v>F10</x:v>
      </x:c>
      <x:c r="J142" s="24" t="n">
        <x:v>12</x:v>
      </x:c>
      <x:c r="K142" s="24" t="str">
        <x:v>Production Evidence Authority</x:v>
      </x:c>
      <x:c r="L142" s="24" t="str">
        <x:v>registered threshold plus uncertainty and guardband</x:v>
      </x:c>
      <x:c r="M142" s="24" t="str">
        <x:v>reopen stage and every dependent claim</x:v>
      </x:c>
      <x:c r="N142" s="26" t="str">
        <x:v>OPEN</x:v>
      </x:c>
    </x:row>
    <x:row r="143">
      <x:c r="B143" s="24" t="str">
        <x:v>I08-G1</x:v>
      </x:c>
      <x:c r="C143" s="24" t="str">
        <x:v>Multi-hazard isolation</x:v>
      </x:c>
      <x:c r="D143" s="24" t="str">
        <x:v>Both</x:v>
      </x:c>
      <x:c r="E143" s="24" t="str">
        <x:v>Safety</x:v>
      </x:c>
      <x:c r="F143" s="24" t="str">
        <x:v>G1</x:v>
      </x:c>
      <x:c r="G143" s="24" t="str">
        <x:v>registered claim</x:v>
      </x:c>
      <x:c r="H143" s="24" t="str">
        <x:v>burden-hazard-authority contract</x:v>
      </x:c>
      <x:c r="I143" s="24" t="str">
        <x:v>F01</x:v>
      </x:c>
      <x:c r="J143" s="24" t="n">
        <x:v>2</x:v>
      </x:c>
      <x:c r="K143" s="24" t="str">
        <x:v>Requirements Authority</x:v>
      </x:c>
      <x:c r="L143" s="24" t="str">
        <x:v>registered threshold plus uncertainty and guardband</x:v>
      </x:c>
      <x:c r="M143" s="24" t="str">
        <x:v>reopen stage and every dependent claim</x:v>
      </x:c>
      <x:c r="N143" s="26" t="str">
        <x:v>OPEN</x:v>
      </x:c>
    </x:row>
    <x:row r="144">
      <x:c r="B144" s="24" t="str">
        <x:v>I08-G2</x:v>
      </x:c>
      <x:c r="C144" s="24" t="str">
        <x:v>Multi-hazard isolation</x:v>
      </x:c>
      <x:c r="D144" s="24" t="str">
        <x:v>Both</x:v>
      </x:c>
      <x:c r="E144" s="24" t="str">
        <x:v>Safety</x:v>
      </x:c>
      <x:c r="F144" s="24" t="str">
        <x:v>G2</x:v>
      </x:c>
      <x:c r="G144" s="24" t="str">
        <x:v>coupons and subassemblies</x:v>
      </x:c>
      <x:c r="H144" s="24" t="str">
        <x:v>raw data calibration uncertainty failure dossier</x:v>
      </x:c>
      <x:c r="I144" s="24" t="str">
        <x:v>F09</x:v>
      </x:c>
      <x:c r="J144" s="24" t="n">
        <x:v>8</x:v>
      </x:c>
      <x:c r="K144" s="24" t="str">
        <x:v>Independent Laboratory Authority</x:v>
      </x:c>
      <x:c r="L144" s="24" t="str">
        <x:v>registered threshold plus uncertainty and guardband</x:v>
      </x:c>
      <x:c r="M144" s="24" t="str">
        <x:v>reopen stage and every dependent claim</x:v>
      </x:c>
      <x:c r="N144" s="26" t="str">
        <x:v>OPEN</x:v>
      </x:c>
    </x:row>
    <x:row r="145">
      <x:c r="B145" s="24" t="str">
        <x:v>I08-G3</x:v>
      </x:c>
      <x:c r="C145" s="24" t="str">
        <x:v>Multi-hazard isolation</x:v>
      </x:c>
      <x:c r="D145" s="24" t="str">
        <x:v>Both</x:v>
      </x:c>
      <x:c r="E145" s="24" t="str">
        <x:v>Safety</x:v>
      </x:c>
      <x:c r="F145" s="24" t="str">
        <x:v>G3</x:v>
      </x:c>
      <x:c r="G145" s="24" t="str">
        <x:v>representative article</x:v>
      </x:c>
      <x:c r="H145" s="24" t="str">
        <x:v>configuration output hazard maintainability record</x:v>
      </x:c>
      <x:c r="I145" s="24" t="str">
        <x:v>F09</x:v>
      </x:c>
      <x:c r="J145" s="24" t="n">
        <x:v>14</x:v>
      </x:c>
      <x:c r="K145" s="24" t="str">
        <x:v>Family Certification Authority</x:v>
      </x:c>
      <x:c r="L145" s="24" t="str">
        <x:v>registered threshold plus uncertainty and guardband</x:v>
      </x:c>
      <x:c r="M145" s="24" t="str">
        <x:v>reopen stage and every dependent claim</x:v>
      </x:c>
      <x:c r="N145" s="26" t="str">
        <x:v>OPEN</x:v>
      </x:c>
    </x:row>
    <x:row r="146">
      <x:c r="B146" s="24" t="str">
        <x:v>I08-G4</x:v>
      </x:c>
      <x:c r="C146" s="24" t="str">
        <x:v>Multi-hazard isolation</x:v>
      </x:c>
      <x:c r="D146" s="24" t="str">
        <x:v>Both</x:v>
      </x:c>
      <x:c r="E146" s="24" t="str">
        <x:v>Safety</x:v>
      </x:c>
      <x:c r="F146" s="24" t="str">
        <x:v>G4</x:v>
      </x:c>
      <x:c r="G146" s="24" t="str">
        <x:v>five-family set</x:v>
      </x:c>
      <x:c r="H146" s="24" t="str">
        <x:v>simultaneous coupling and public-service vector</x:v>
      </x:c>
      <x:c r="I146" s="24" t="str">
        <x:v>F09</x:v>
      </x:c>
      <x:c r="J146" s="24" t="n">
        <x:v>12</x:v>
      </x:c>
      <x:c r="K146" s="24" t="str">
        <x:v>Set Integration Authority</x:v>
      </x:c>
      <x:c r="L146" s="24" t="str">
        <x:v>registered threshold plus uncertainty and guardband</x:v>
      </x:c>
      <x:c r="M146" s="24" t="str">
        <x:v>reopen stage and every dependent claim</x:v>
      </x:c>
      <x:c r="N146" s="26" t="str">
        <x:v>OPEN</x:v>
      </x:c>
    </x:row>
    <x:row r="147">
      <x:c r="B147" s="24" t="str">
        <x:v>I08-G5</x:v>
      </x:c>
      <x:c r="C147" s="24" t="str">
        <x:v>Multi-hazard isolation</x:v>
      </x:c>
      <x:c r="D147" s="24" t="str">
        <x:v>Both</x:v>
      </x:c>
      <x:c r="E147" s="24" t="str">
        <x:v>Safety</x:v>
      </x:c>
      <x:c r="F147" s="24" t="str">
        <x:v>G5</x:v>
      </x:c>
      <x:c r="G147" s="24" t="str">
        <x:v>instrumented carrier</x:v>
      </x:c>
      <x:c r="H147" s="24" t="str">
        <x:v>structure CG restraint transfer fire evacuation record</x:v>
      </x:c>
      <x:c r="I147" s="24" t="str">
        <x:v>F09</x:v>
      </x:c>
      <x:c r="J147" s="24" t="n">
        <x:v>16</x:v>
      </x:c>
      <x:c r="K147" s="24" t="str">
        <x:v>Vehicle Certification Authority</x:v>
      </x:c>
      <x:c r="L147" s="24" t="str">
        <x:v>registered threshold plus uncertainty and guardband</x:v>
      </x:c>
      <x:c r="M147" s="24" t="str">
        <x:v>reopen stage and every dependent claim</x:v>
      </x:c>
      <x:c r="N147" s="26" t="str">
        <x:v>OPEN</x:v>
      </x:c>
    </x:row>
    <x:row r="148">
      <x:c r="B148" s="24" t="str">
        <x:v>I08-G6</x:v>
      </x:c>
      <x:c r="C148" s="24" t="str">
        <x:v>Multi-hazard isolation</x:v>
      </x:c>
      <x:c r="D148" s="24" t="str">
        <x:v>Both</x:v>
      </x:c>
      <x:c r="E148" s="24" t="str">
        <x:v>Safety</x:v>
      </x:c>
      <x:c r="F148" s="24" t="str">
        <x:v>G6</x:v>
      </x:c>
      <x:c r="G148" s="24" t="str">
        <x:v>receiver complex</x:v>
      </x:c>
      <x:c r="H148" s="24" t="str">
        <x:v>assembly assay handoff public release record</x:v>
      </x:c>
      <x:c r="I148" s="24" t="str">
        <x:v>F09</x:v>
      </x:c>
      <x:c r="J148" s="24" t="n">
        <x:v>18</x:v>
      </x:c>
      <x:c r="K148" s="24" t="str">
        <x:v>Receiver Evidence Authority</x:v>
      </x:c>
      <x:c r="L148" s="24" t="str">
        <x:v>registered threshold plus uncertainty and guardband</x:v>
      </x:c>
      <x:c r="M148" s="24" t="str">
        <x:v>reopen stage and every dependent claim</x:v>
      </x:c>
      <x:c r="N148" s="26" t="str">
        <x:v>OPEN</x:v>
      </x:c>
    </x:row>
    <x:row r="149">
      <x:c r="B149" s="24" t="str">
        <x:v>I08-G7</x:v>
      </x:c>
      <x:c r="C149" s="24" t="str">
        <x:v>Multi-hazard isolation</x:v>
      </x:c>
      <x:c r="D149" s="24" t="str">
        <x:v>Both</x:v>
      </x:c>
      <x:c r="E149" s="24" t="str">
        <x:v>Safety</x:v>
      </x:c>
      <x:c r="F149" s="24" t="str">
        <x:v>G7</x:v>
      </x:c>
      <x:c r="G149" s="24" t="str">
        <x:v>survivor formation</x:v>
      </x:c>
      <x:c r="H149" s="24" t="str">
        <x:v>blinded casualty denial and safe-stop record</x:v>
      </x:c>
      <x:c r="I149" s="24" t="str">
        <x:v>F09</x:v>
      </x:c>
      <x:c r="J149" s="24" t="n">
        <x:v>20</x:v>
      </x:c>
      <x:c r="K149" s="24" t="str">
        <x:v>Destructive Trial Authority</x:v>
      </x:c>
      <x:c r="L149" s="24" t="str">
        <x:v>registered threshold plus uncertainty and guardband</x:v>
      </x:c>
      <x:c r="M149" s="24" t="str">
        <x:v>reopen stage and every dependent claim</x:v>
      </x:c>
      <x:c r="N149" s="26" t="str">
        <x:v>OPEN</x:v>
      </x:c>
    </x:row>
    <x:row r="150">
      <x:c r="B150" s="24" t="str">
        <x:v>I08-G8</x:v>
      </x:c>
      <x:c r="C150" s="24" t="str">
        <x:v>Multi-hazard isolation</x:v>
      </x:c>
      <x:c r="D150" s="24" t="str">
        <x:v>Both</x:v>
      </x:c>
      <x:c r="E150" s="24" t="str">
        <x:v>Safety</x:v>
      </x:c>
      <x:c r="F150" s="24" t="str">
        <x:v>G8</x:v>
      </x:c>
      <x:c r="G150" s="24" t="str">
        <x:v>second-lot and reset chain</x:v>
      </x:c>
      <x:c r="H150" s="24" t="str">
        <x:v>repeat mission lot trace depot replication record</x:v>
      </x:c>
      <x:c r="I150" s="24" t="str">
        <x:v>F10</x:v>
      </x:c>
      <x:c r="J150" s="24" t="n">
        <x:v>12</x:v>
      </x:c>
      <x:c r="K150" s="24" t="str">
        <x:v>Production Evidence Authority</x:v>
      </x:c>
      <x:c r="L150" s="24" t="str">
        <x:v>registered threshold plus uncertainty and guardband</x:v>
      </x:c>
      <x:c r="M150" s="24" t="str">
        <x:v>reopen stage and every dependent claim</x:v>
      </x:c>
      <x:c r="N150" s="26" t="str">
        <x:v>OPEN</x:v>
      </x:c>
    </x:row>
    <x:row r="151">
      <x:c r="B151" s="24" t="str">
        <x:v>I09-G1</x:v>
      </x:c>
      <x:c r="C151" s="24" t="str">
        <x:v>Transfer robotics</x:v>
      </x:c>
      <x:c r="D151" s="24" t="str">
        <x:v>Both</x:v>
      </x:c>
      <x:c r="E151" s="24" t="str">
        <x:v>Interface</x:v>
      </x:c>
      <x:c r="F151" s="24" t="str">
        <x:v>G1</x:v>
      </x:c>
      <x:c r="G151" s="24" t="str">
        <x:v>registered claim</x:v>
      </x:c>
      <x:c r="H151" s="24" t="str">
        <x:v>burden-hazard-authority contract</x:v>
      </x:c>
      <x:c r="I151" s="24" t="str">
        <x:v>F01</x:v>
      </x:c>
      <x:c r="J151" s="24" t="n">
        <x:v>2</x:v>
      </x:c>
      <x:c r="K151" s="24" t="str">
        <x:v>Requirements Authority</x:v>
      </x:c>
      <x:c r="L151" s="24" t="str">
        <x:v>registered threshold plus uncertainty and guardband</x:v>
      </x:c>
      <x:c r="M151" s="24" t="str">
        <x:v>reopen stage and every dependent claim</x:v>
      </x:c>
      <x:c r="N151" s="26" t="str">
        <x:v>OPEN</x:v>
      </x:c>
    </x:row>
    <x:row r="152">
      <x:c r="B152" s="24" t="str">
        <x:v>I09-G2</x:v>
      </x:c>
      <x:c r="C152" s="24" t="str">
        <x:v>Transfer robotics</x:v>
      </x:c>
      <x:c r="D152" s="24" t="str">
        <x:v>Both</x:v>
      </x:c>
      <x:c r="E152" s="24" t="str">
        <x:v>Interface</x:v>
      </x:c>
      <x:c r="F152" s="24" t="str">
        <x:v>G2</x:v>
      </x:c>
      <x:c r="G152" s="24" t="str">
        <x:v>coupons and subassemblies</x:v>
      </x:c>
      <x:c r="H152" s="24" t="str">
        <x:v>raw data calibration uncertainty failure dossier</x:v>
      </x:c>
      <x:c r="I152" s="24" t="str">
        <x:v>F09</x:v>
      </x:c>
      <x:c r="J152" s="24" t="n">
        <x:v>8</x:v>
      </x:c>
      <x:c r="K152" s="24" t="str">
        <x:v>Independent Laboratory Authority</x:v>
      </x:c>
      <x:c r="L152" s="24" t="str">
        <x:v>registered threshold plus uncertainty and guardband</x:v>
      </x:c>
      <x:c r="M152" s="24" t="str">
        <x:v>reopen stage and every dependent claim</x:v>
      </x:c>
      <x:c r="N152" s="26" t="str">
        <x:v>OPEN</x:v>
      </x:c>
    </x:row>
    <x:row r="153">
      <x:c r="B153" s="24" t="str">
        <x:v>I09-G3</x:v>
      </x:c>
      <x:c r="C153" s="24" t="str">
        <x:v>Transfer robotics</x:v>
      </x:c>
      <x:c r="D153" s="24" t="str">
        <x:v>Both</x:v>
      </x:c>
      <x:c r="E153" s="24" t="str">
        <x:v>Interface</x:v>
      </x:c>
      <x:c r="F153" s="24" t="str">
        <x:v>G3</x:v>
      </x:c>
      <x:c r="G153" s="24" t="str">
        <x:v>representative article</x:v>
      </x:c>
      <x:c r="H153" s="24" t="str">
        <x:v>configuration output hazard maintainability record</x:v>
      </x:c>
      <x:c r="I153" s="24" t="str">
        <x:v>F09</x:v>
      </x:c>
      <x:c r="J153" s="24" t="n">
        <x:v>14</x:v>
      </x:c>
      <x:c r="K153" s="24" t="str">
        <x:v>Family Certification Authority</x:v>
      </x:c>
      <x:c r="L153" s="24" t="str">
        <x:v>registered threshold plus uncertainty and guardband</x:v>
      </x:c>
      <x:c r="M153" s="24" t="str">
        <x:v>reopen stage and every dependent claim</x:v>
      </x:c>
      <x:c r="N153" s="26" t="str">
        <x:v>OPEN</x:v>
      </x:c>
    </x:row>
    <x:row r="154">
      <x:c r="B154" s="24" t="str">
        <x:v>I09-G4</x:v>
      </x:c>
      <x:c r="C154" s="24" t="str">
        <x:v>Transfer robotics</x:v>
      </x:c>
      <x:c r="D154" s="24" t="str">
        <x:v>Both</x:v>
      </x:c>
      <x:c r="E154" s="24" t="str">
        <x:v>Interface</x:v>
      </x:c>
      <x:c r="F154" s="24" t="str">
        <x:v>G4</x:v>
      </x:c>
      <x:c r="G154" s="24" t="str">
        <x:v>five-family set</x:v>
      </x:c>
      <x:c r="H154" s="24" t="str">
        <x:v>simultaneous coupling and public-service vector</x:v>
      </x:c>
      <x:c r="I154" s="24" t="str">
        <x:v>F09</x:v>
      </x:c>
      <x:c r="J154" s="24" t="n">
        <x:v>12</x:v>
      </x:c>
      <x:c r="K154" s="24" t="str">
        <x:v>Set Integration Authority</x:v>
      </x:c>
      <x:c r="L154" s="24" t="str">
        <x:v>registered threshold plus uncertainty and guardband</x:v>
      </x:c>
      <x:c r="M154" s="24" t="str">
        <x:v>reopen stage and every dependent claim</x:v>
      </x:c>
      <x:c r="N154" s="26" t="str">
        <x:v>OPEN</x:v>
      </x:c>
    </x:row>
    <x:row r="155">
      <x:c r="B155" s="24" t="str">
        <x:v>I09-G5</x:v>
      </x:c>
      <x:c r="C155" s="24" t="str">
        <x:v>Transfer robotics</x:v>
      </x:c>
      <x:c r="D155" s="24" t="str">
        <x:v>Both</x:v>
      </x:c>
      <x:c r="E155" s="24" t="str">
        <x:v>Interface</x:v>
      </x:c>
      <x:c r="F155" s="24" t="str">
        <x:v>G5</x:v>
      </x:c>
      <x:c r="G155" s="24" t="str">
        <x:v>instrumented carrier</x:v>
      </x:c>
      <x:c r="H155" s="24" t="str">
        <x:v>structure CG restraint transfer fire evacuation record</x:v>
      </x:c>
      <x:c r="I155" s="24" t="str">
        <x:v>F09</x:v>
      </x:c>
      <x:c r="J155" s="24" t="n">
        <x:v>16</x:v>
      </x:c>
      <x:c r="K155" s="24" t="str">
        <x:v>Vehicle Certification Authority</x:v>
      </x:c>
      <x:c r="L155" s="24" t="str">
        <x:v>registered threshold plus uncertainty and guardband</x:v>
      </x:c>
      <x:c r="M155" s="24" t="str">
        <x:v>reopen stage and every dependent claim</x:v>
      </x:c>
      <x:c r="N155" s="26" t="str">
        <x:v>OPEN</x:v>
      </x:c>
    </x:row>
    <x:row r="156">
      <x:c r="B156" s="24" t="str">
        <x:v>I09-G6</x:v>
      </x:c>
      <x:c r="C156" s="24" t="str">
        <x:v>Transfer robotics</x:v>
      </x:c>
      <x:c r="D156" s="24" t="str">
        <x:v>Both</x:v>
      </x:c>
      <x:c r="E156" s="24" t="str">
        <x:v>Interface</x:v>
      </x:c>
      <x:c r="F156" s="24" t="str">
        <x:v>G6</x:v>
      </x:c>
      <x:c r="G156" s="24" t="str">
        <x:v>receiver complex</x:v>
      </x:c>
      <x:c r="H156" s="24" t="str">
        <x:v>assembly assay handoff public release record</x:v>
      </x:c>
      <x:c r="I156" s="24" t="str">
        <x:v>F09</x:v>
      </x:c>
      <x:c r="J156" s="24" t="n">
        <x:v>18</x:v>
      </x:c>
      <x:c r="K156" s="24" t="str">
        <x:v>Receiver Evidence Authority</x:v>
      </x:c>
      <x:c r="L156" s="24" t="str">
        <x:v>registered threshold plus uncertainty and guardband</x:v>
      </x:c>
      <x:c r="M156" s="24" t="str">
        <x:v>reopen stage and every dependent claim</x:v>
      </x:c>
      <x:c r="N156" s="26" t="str">
        <x:v>OPEN</x:v>
      </x:c>
    </x:row>
    <x:row r="157">
      <x:c r="B157" s="24" t="str">
        <x:v>I09-G7</x:v>
      </x:c>
      <x:c r="C157" s="24" t="str">
        <x:v>Transfer robotics</x:v>
      </x:c>
      <x:c r="D157" s="24" t="str">
        <x:v>Both</x:v>
      </x:c>
      <x:c r="E157" s="24" t="str">
        <x:v>Interface</x:v>
      </x:c>
      <x:c r="F157" s="24" t="str">
        <x:v>G7</x:v>
      </x:c>
      <x:c r="G157" s="24" t="str">
        <x:v>survivor formation</x:v>
      </x:c>
      <x:c r="H157" s="24" t="str">
        <x:v>blinded casualty denial and safe-stop record</x:v>
      </x:c>
      <x:c r="I157" s="24" t="str">
        <x:v>F09</x:v>
      </x:c>
      <x:c r="J157" s="24" t="n">
        <x:v>20</x:v>
      </x:c>
      <x:c r="K157" s="24" t="str">
        <x:v>Destructive Trial Authority</x:v>
      </x:c>
      <x:c r="L157" s="24" t="str">
        <x:v>registered threshold plus uncertainty and guardband</x:v>
      </x:c>
      <x:c r="M157" s="24" t="str">
        <x:v>reopen stage and every dependent claim</x:v>
      </x:c>
      <x:c r="N157" s="26" t="str">
        <x:v>OPEN</x:v>
      </x:c>
    </x:row>
    <x:row r="158">
      <x:c r="B158" s="24" t="str">
        <x:v>I09-G8</x:v>
      </x:c>
      <x:c r="C158" s="24" t="str">
        <x:v>Transfer robotics</x:v>
      </x:c>
      <x:c r="D158" s="24" t="str">
        <x:v>Both</x:v>
      </x:c>
      <x:c r="E158" s="24" t="str">
        <x:v>Interface</x:v>
      </x:c>
      <x:c r="F158" s="24" t="str">
        <x:v>G8</x:v>
      </x:c>
      <x:c r="G158" s="24" t="str">
        <x:v>second-lot and reset chain</x:v>
      </x:c>
      <x:c r="H158" s="24" t="str">
        <x:v>repeat mission lot trace depot replication record</x:v>
      </x:c>
      <x:c r="I158" s="24" t="str">
        <x:v>F10</x:v>
      </x:c>
      <x:c r="J158" s="24" t="n">
        <x:v>12</x:v>
      </x:c>
      <x:c r="K158" s="24" t="str">
        <x:v>Production Evidence Authority</x:v>
      </x:c>
      <x:c r="L158" s="24" t="str">
        <x:v>registered threshold plus uncertainty and guardband</x:v>
      </x:c>
      <x:c r="M158" s="24" t="str">
        <x:v>reopen stage and every dependent claim</x:v>
      </x:c>
      <x:c r="N158" s="26" t="str">
        <x:v>OPEN</x:v>
      </x:c>
    </x:row>
    <x:row r="159">
      <x:c r="B159" s="24" t="str">
        <x:v>I10-G1</x:v>
      </x:c>
      <x:c r="C159" s="24" t="str">
        <x:v>Offline cyber</x:v>
      </x:c>
      <x:c r="D159" s="24" t="str">
        <x:v>Both</x:v>
      </x:c>
      <x:c r="E159" s="24" t="str">
        <x:v>Control</x:v>
      </x:c>
      <x:c r="F159" s="24" t="str">
        <x:v>G1</x:v>
      </x:c>
      <x:c r="G159" s="24" t="str">
        <x:v>registered claim</x:v>
      </x:c>
      <x:c r="H159" s="24" t="str">
        <x:v>burden-hazard-authority contract</x:v>
      </x:c>
      <x:c r="I159" s="24" t="str">
        <x:v>F01</x:v>
      </x:c>
      <x:c r="J159" s="24" t="n">
        <x:v>2</x:v>
      </x:c>
      <x:c r="K159" s="24" t="str">
        <x:v>Requirements Authority</x:v>
      </x:c>
      <x:c r="L159" s="24" t="str">
        <x:v>registered threshold plus uncertainty and guardband</x:v>
      </x:c>
      <x:c r="M159" s="24" t="str">
        <x:v>reopen stage and every dependent claim</x:v>
      </x:c>
      <x:c r="N159" s="26" t="str">
        <x:v>OPEN</x:v>
      </x:c>
    </x:row>
    <x:row r="160">
      <x:c r="B160" s="24" t="str">
        <x:v>I10-G2</x:v>
      </x:c>
      <x:c r="C160" s="24" t="str">
        <x:v>Offline cyber</x:v>
      </x:c>
      <x:c r="D160" s="24" t="str">
        <x:v>Both</x:v>
      </x:c>
      <x:c r="E160" s="24" t="str">
        <x:v>Control</x:v>
      </x:c>
      <x:c r="F160" s="24" t="str">
        <x:v>G2</x:v>
      </x:c>
      <x:c r="G160" s="24" t="str">
        <x:v>coupons and subassemblies</x:v>
      </x:c>
      <x:c r="H160" s="24" t="str">
        <x:v>raw data calibration uncertainty failure dossier</x:v>
      </x:c>
      <x:c r="I160" s="24" t="str">
        <x:v>F01</x:v>
      </x:c>
      <x:c r="J160" s="24" t="n">
        <x:v>8</x:v>
      </x:c>
      <x:c r="K160" s="24" t="str">
        <x:v>Independent Laboratory Authority</x:v>
      </x:c>
      <x:c r="L160" s="24" t="str">
        <x:v>registered threshold plus uncertainty and guardband</x:v>
      </x:c>
      <x:c r="M160" s="24" t="str">
        <x:v>reopen stage and every dependent claim</x:v>
      </x:c>
      <x:c r="N160" s="26" t="str">
        <x:v>OPEN</x:v>
      </x:c>
    </x:row>
    <x:row r="161">
      <x:c r="B161" s="24" t="str">
        <x:v>I10-G3</x:v>
      </x:c>
      <x:c r="C161" s="24" t="str">
        <x:v>Offline cyber</x:v>
      </x:c>
      <x:c r="D161" s="24" t="str">
        <x:v>Both</x:v>
      </x:c>
      <x:c r="E161" s="24" t="str">
        <x:v>Control</x:v>
      </x:c>
      <x:c r="F161" s="24" t="str">
        <x:v>G3</x:v>
      </x:c>
      <x:c r="G161" s="24" t="str">
        <x:v>representative article</x:v>
      </x:c>
      <x:c r="H161" s="24" t="str">
        <x:v>configuration output hazard maintainability record</x:v>
      </x:c>
      <x:c r="I161" s="24" t="str">
        <x:v>F01</x:v>
      </x:c>
      <x:c r="J161" s="24" t="n">
        <x:v>14</x:v>
      </x:c>
      <x:c r="K161" s="24" t="str">
        <x:v>Family Certification Authority</x:v>
      </x:c>
      <x:c r="L161" s="24" t="str">
        <x:v>registered threshold plus uncertainty and guardband</x:v>
      </x:c>
      <x:c r="M161" s="24" t="str">
        <x:v>reopen stage and every dependent claim</x:v>
      </x:c>
      <x:c r="N161" s="26" t="str">
        <x:v>OPEN</x:v>
      </x:c>
    </x:row>
    <x:row r="162">
      <x:c r="B162" s="24" t="str">
        <x:v>I10-G4</x:v>
      </x:c>
      <x:c r="C162" s="24" t="str">
        <x:v>Offline cyber</x:v>
      </x:c>
      <x:c r="D162" s="24" t="str">
        <x:v>Both</x:v>
      </x:c>
      <x:c r="E162" s="24" t="str">
        <x:v>Control</x:v>
      </x:c>
      <x:c r="F162" s="24" t="str">
        <x:v>G4</x:v>
      </x:c>
      <x:c r="G162" s="24" t="str">
        <x:v>five-family set</x:v>
      </x:c>
      <x:c r="H162" s="24" t="str">
        <x:v>simultaneous coupling and public-service vector</x:v>
      </x:c>
      <x:c r="I162" s="24" t="str">
        <x:v>F09</x:v>
      </x:c>
      <x:c r="J162" s="24" t="n">
        <x:v>12</x:v>
      </x:c>
      <x:c r="K162" s="24" t="str">
        <x:v>Set Integration Authority</x:v>
      </x:c>
      <x:c r="L162" s="24" t="str">
        <x:v>registered threshold plus uncertainty and guardband</x:v>
      </x:c>
      <x:c r="M162" s="24" t="str">
        <x:v>reopen stage and every dependent claim</x:v>
      </x:c>
      <x:c r="N162" s="26" t="str">
        <x:v>OPEN</x:v>
      </x:c>
    </x:row>
    <x:row r="163">
      <x:c r="B163" s="24" t="str">
        <x:v>I10-G5</x:v>
      </x:c>
      <x:c r="C163" s="24" t="str">
        <x:v>Offline cyber</x:v>
      </x:c>
      <x:c r="D163" s="24" t="str">
        <x:v>Both</x:v>
      </x:c>
      <x:c r="E163" s="24" t="str">
        <x:v>Control</x:v>
      </x:c>
      <x:c r="F163" s="24" t="str">
        <x:v>G5</x:v>
      </x:c>
      <x:c r="G163" s="24" t="str">
        <x:v>instrumented carrier</x:v>
      </x:c>
      <x:c r="H163" s="24" t="str">
        <x:v>structure CG restraint transfer fire evacuation record</x:v>
      </x:c>
      <x:c r="I163" s="24" t="str">
        <x:v>F09</x:v>
      </x:c>
      <x:c r="J163" s="24" t="n">
        <x:v>16</x:v>
      </x:c>
      <x:c r="K163" s="24" t="str">
        <x:v>Vehicle Certification Authority</x:v>
      </x:c>
      <x:c r="L163" s="24" t="str">
        <x:v>registered threshold plus uncertainty and guardband</x:v>
      </x:c>
      <x:c r="M163" s="24" t="str">
        <x:v>reopen stage and every dependent claim</x:v>
      </x:c>
      <x:c r="N163" s="26" t="str">
        <x:v>OPEN</x:v>
      </x:c>
    </x:row>
    <x:row r="164">
      <x:c r="B164" s="24" t="str">
        <x:v>I10-G6</x:v>
      </x:c>
      <x:c r="C164" s="24" t="str">
        <x:v>Offline cyber</x:v>
      </x:c>
      <x:c r="D164" s="24" t="str">
        <x:v>Both</x:v>
      </x:c>
      <x:c r="E164" s="24" t="str">
        <x:v>Control</x:v>
      </x:c>
      <x:c r="F164" s="24" t="str">
        <x:v>G6</x:v>
      </x:c>
      <x:c r="G164" s="24" t="str">
        <x:v>receiver complex</x:v>
      </x:c>
      <x:c r="H164" s="24" t="str">
        <x:v>assembly assay handoff public release record</x:v>
      </x:c>
      <x:c r="I164" s="24" t="str">
        <x:v>F09</x:v>
      </x:c>
      <x:c r="J164" s="24" t="n">
        <x:v>18</x:v>
      </x:c>
      <x:c r="K164" s="24" t="str">
        <x:v>Receiver Evidence Authority</x:v>
      </x:c>
      <x:c r="L164" s="24" t="str">
        <x:v>registered threshold plus uncertainty and guardband</x:v>
      </x:c>
      <x:c r="M164" s="24" t="str">
        <x:v>reopen stage and every dependent claim</x:v>
      </x:c>
      <x:c r="N164" s="26" t="str">
        <x:v>OPEN</x:v>
      </x:c>
    </x:row>
    <x:row r="165">
      <x:c r="B165" s="24" t="str">
        <x:v>I10-G7</x:v>
      </x:c>
      <x:c r="C165" s="24" t="str">
        <x:v>Offline cyber</x:v>
      </x:c>
      <x:c r="D165" s="24" t="str">
        <x:v>Both</x:v>
      </x:c>
      <x:c r="E165" s="24" t="str">
        <x:v>Control</x:v>
      </x:c>
      <x:c r="F165" s="24" t="str">
        <x:v>G7</x:v>
      </x:c>
      <x:c r="G165" s="24" t="str">
        <x:v>survivor formation</x:v>
      </x:c>
      <x:c r="H165" s="24" t="str">
        <x:v>blinded casualty denial and safe-stop record</x:v>
      </x:c>
      <x:c r="I165" s="24" t="str">
        <x:v>F09</x:v>
      </x:c>
      <x:c r="J165" s="24" t="n">
        <x:v>20</x:v>
      </x:c>
      <x:c r="K165" s="24" t="str">
        <x:v>Destructive Trial Authority</x:v>
      </x:c>
      <x:c r="L165" s="24" t="str">
        <x:v>registered threshold plus uncertainty and guardband</x:v>
      </x:c>
      <x:c r="M165" s="24" t="str">
        <x:v>reopen stage and every dependent claim</x:v>
      </x:c>
      <x:c r="N165" s="26" t="str">
        <x:v>OPEN</x:v>
      </x:c>
    </x:row>
    <x:row r="166">
      <x:c r="B166" s="24" t="str">
        <x:v>I10-G8</x:v>
      </x:c>
      <x:c r="C166" s="24" t="str">
        <x:v>Offline cyber</x:v>
      </x:c>
      <x:c r="D166" s="24" t="str">
        <x:v>Both</x:v>
      </x:c>
      <x:c r="E166" s="24" t="str">
        <x:v>Control</x:v>
      </x:c>
      <x:c r="F166" s="24" t="str">
        <x:v>G8</x:v>
      </x:c>
      <x:c r="G166" s="24" t="str">
        <x:v>second-lot and reset chain</x:v>
      </x:c>
      <x:c r="H166" s="24" t="str">
        <x:v>repeat mission lot trace depot replication record</x:v>
      </x:c>
      <x:c r="I166" s="24" t="str">
        <x:v>F10</x:v>
      </x:c>
      <x:c r="J166" s="24" t="n">
        <x:v>12</x:v>
      </x:c>
      <x:c r="K166" s="24" t="str">
        <x:v>Production Evidence Authority</x:v>
      </x:c>
      <x:c r="L166" s="24" t="str">
        <x:v>registered threshold plus uncertainty and guardband</x:v>
      </x:c>
      <x:c r="M166" s="24" t="str">
        <x:v>reopen stage and every dependent claim</x:v>
      </x:c>
      <x:c r="N166" s="26" t="str">
        <x:v>OPEN</x:v>
      </x:c>
    </x:row>
    <x:row r="167">
      <x:c r="B167" s="24" t="str">
        <x:v>I11-G1</x:v>
      </x:c>
      <x:c r="C167" s="24" t="str">
        <x:v>Public metrology</x:v>
      </x:c>
      <x:c r="D167" s="24" t="str">
        <x:v>Both</x:v>
      </x:c>
      <x:c r="E167" s="24" t="str">
        <x:v>Control</x:v>
      </x:c>
      <x:c r="F167" s="24" t="str">
        <x:v>G1</x:v>
      </x:c>
      <x:c r="G167" s="24" t="str">
        <x:v>registered claim</x:v>
      </x:c>
      <x:c r="H167" s="24" t="str">
        <x:v>burden-hazard-authority contract</x:v>
      </x:c>
      <x:c r="I167" s="24" t="str">
        <x:v>F01</x:v>
      </x:c>
      <x:c r="J167" s="24" t="n">
        <x:v>2</x:v>
      </x:c>
      <x:c r="K167" s="24" t="str">
        <x:v>Requirements Authority</x:v>
      </x:c>
      <x:c r="L167" s="24" t="str">
        <x:v>registered threshold plus uncertainty and guardband</x:v>
      </x:c>
      <x:c r="M167" s="24" t="str">
        <x:v>reopen stage and every dependent claim</x:v>
      </x:c>
      <x:c r="N167" s="26" t="str">
        <x:v>OPEN</x:v>
      </x:c>
    </x:row>
    <x:row r="168">
      <x:c r="B168" s="24" t="str">
        <x:v>I11-G2</x:v>
      </x:c>
      <x:c r="C168" s="24" t="str">
        <x:v>Public metrology</x:v>
      </x:c>
      <x:c r="D168" s="24" t="str">
        <x:v>Both</x:v>
      </x:c>
      <x:c r="E168" s="24" t="str">
        <x:v>Control</x:v>
      </x:c>
      <x:c r="F168" s="24" t="str">
        <x:v>G2</x:v>
      </x:c>
      <x:c r="G168" s="24" t="str">
        <x:v>coupons and subassemblies</x:v>
      </x:c>
      <x:c r="H168" s="24" t="str">
        <x:v>raw data calibration uncertainty failure dossier</x:v>
      </x:c>
      <x:c r="I168" s="24" t="str">
        <x:v>F01</x:v>
      </x:c>
      <x:c r="J168" s="24" t="n">
        <x:v>8</x:v>
      </x:c>
      <x:c r="K168" s="24" t="str">
        <x:v>Independent Laboratory Authority</x:v>
      </x:c>
      <x:c r="L168" s="24" t="str">
        <x:v>registered threshold plus uncertainty and guardband</x:v>
      </x:c>
      <x:c r="M168" s="24" t="str">
        <x:v>reopen stage and every dependent claim</x:v>
      </x:c>
      <x:c r="N168" s="26" t="str">
        <x:v>OPEN</x:v>
      </x:c>
    </x:row>
    <x:row r="169">
      <x:c r="B169" s="24" t="str">
        <x:v>I11-G3</x:v>
      </x:c>
      <x:c r="C169" s="24" t="str">
        <x:v>Public metrology</x:v>
      </x:c>
      <x:c r="D169" s="24" t="str">
        <x:v>Both</x:v>
      </x:c>
      <x:c r="E169" s="24" t="str">
        <x:v>Control</x:v>
      </x:c>
      <x:c r="F169" s="24" t="str">
        <x:v>G3</x:v>
      </x:c>
      <x:c r="G169" s="24" t="str">
        <x:v>representative article</x:v>
      </x:c>
      <x:c r="H169" s="24" t="str">
        <x:v>configuration output hazard maintainability record</x:v>
      </x:c>
      <x:c r="I169" s="24" t="str">
        <x:v>F01</x:v>
      </x:c>
      <x:c r="J169" s="24" t="n">
        <x:v>14</x:v>
      </x:c>
      <x:c r="K169" s="24" t="str">
        <x:v>Family Certification Authority</x:v>
      </x:c>
      <x:c r="L169" s="24" t="str">
        <x:v>registered threshold plus uncertainty and guardband</x:v>
      </x:c>
      <x:c r="M169" s="24" t="str">
        <x:v>reopen stage and every dependent claim</x:v>
      </x:c>
      <x:c r="N169" s="26" t="str">
        <x:v>OPEN</x:v>
      </x:c>
    </x:row>
    <x:row r="170">
      <x:c r="B170" s="24" t="str">
        <x:v>I11-G4</x:v>
      </x:c>
      <x:c r="C170" s="24" t="str">
        <x:v>Public metrology</x:v>
      </x:c>
      <x:c r="D170" s="24" t="str">
        <x:v>Both</x:v>
      </x:c>
      <x:c r="E170" s="24" t="str">
        <x:v>Control</x:v>
      </x:c>
      <x:c r="F170" s="24" t="str">
        <x:v>G4</x:v>
      </x:c>
      <x:c r="G170" s="24" t="str">
        <x:v>five-family set</x:v>
      </x:c>
      <x:c r="H170" s="24" t="str">
        <x:v>simultaneous coupling and public-service vector</x:v>
      </x:c>
      <x:c r="I170" s="24" t="str">
        <x:v>F09</x:v>
      </x:c>
      <x:c r="J170" s="24" t="n">
        <x:v>12</x:v>
      </x:c>
      <x:c r="K170" s="24" t="str">
        <x:v>Set Integration Authority</x:v>
      </x:c>
      <x:c r="L170" s="24" t="str">
        <x:v>registered threshold plus uncertainty and guardband</x:v>
      </x:c>
      <x:c r="M170" s="24" t="str">
        <x:v>reopen stage and every dependent claim</x:v>
      </x:c>
      <x:c r="N170" s="26" t="str">
        <x:v>OPEN</x:v>
      </x:c>
    </x:row>
    <x:row r="171">
      <x:c r="B171" s="24" t="str">
        <x:v>I11-G5</x:v>
      </x:c>
      <x:c r="C171" s="24" t="str">
        <x:v>Public metrology</x:v>
      </x:c>
      <x:c r="D171" s="24" t="str">
        <x:v>Both</x:v>
      </x:c>
      <x:c r="E171" s="24" t="str">
        <x:v>Control</x:v>
      </x:c>
      <x:c r="F171" s="24" t="str">
        <x:v>G5</x:v>
      </x:c>
      <x:c r="G171" s="24" t="str">
        <x:v>instrumented carrier</x:v>
      </x:c>
      <x:c r="H171" s="24" t="str">
        <x:v>structure CG restraint transfer fire evacuation record</x:v>
      </x:c>
      <x:c r="I171" s="24" t="str">
        <x:v>F09</x:v>
      </x:c>
      <x:c r="J171" s="24" t="n">
        <x:v>16</x:v>
      </x:c>
      <x:c r="K171" s="24" t="str">
        <x:v>Vehicle Certification Authority</x:v>
      </x:c>
      <x:c r="L171" s="24" t="str">
        <x:v>registered threshold plus uncertainty and guardband</x:v>
      </x:c>
      <x:c r="M171" s="24" t="str">
        <x:v>reopen stage and every dependent claim</x:v>
      </x:c>
      <x:c r="N171" s="26" t="str">
        <x:v>OPEN</x:v>
      </x:c>
    </x:row>
    <x:row r="172">
      <x:c r="B172" s="24" t="str">
        <x:v>I11-G6</x:v>
      </x:c>
      <x:c r="C172" s="24" t="str">
        <x:v>Public metrology</x:v>
      </x:c>
      <x:c r="D172" s="24" t="str">
        <x:v>Both</x:v>
      </x:c>
      <x:c r="E172" s="24" t="str">
        <x:v>Control</x:v>
      </x:c>
      <x:c r="F172" s="24" t="str">
        <x:v>G6</x:v>
      </x:c>
      <x:c r="G172" s="24" t="str">
        <x:v>receiver complex</x:v>
      </x:c>
      <x:c r="H172" s="24" t="str">
        <x:v>assembly assay handoff public release record</x:v>
      </x:c>
      <x:c r="I172" s="24" t="str">
        <x:v>F09</x:v>
      </x:c>
      <x:c r="J172" s="24" t="n">
        <x:v>18</x:v>
      </x:c>
      <x:c r="K172" s="24" t="str">
        <x:v>Receiver Evidence Authority</x:v>
      </x:c>
      <x:c r="L172" s="24" t="str">
        <x:v>registered threshold plus uncertainty and guardband</x:v>
      </x:c>
      <x:c r="M172" s="24" t="str">
        <x:v>reopen stage and every dependent claim</x:v>
      </x:c>
      <x:c r="N172" s="26" t="str">
        <x:v>OPEN</x:v>
      </x:c>
    </x:row>
    <x:row r="173">
      <x:c r="B173" s="24" t="str">
        <x:v>I11-G7</x:v>
      </x:c>
      <x:c r="C173" s="24" t="str">
        <x:v>Public metrology</x:v>
      </x:c>
      <x:c r="D173" s="24" t="str">
        <x:v>Both</x:v>
      </x:c>
      <x:c r="E173" s="24" t="str">
        <x:v>Control</x:v>
      </x:c>
      <x:c r="F173" s="24" t="str">
        <x:v>G7</x:v>
      </x:c>
      <x:c r="G173" s="24" t="str">
        <x:v>survivor formation</x:v>
      </x:c>
      <x:c r="H173" s="24" t="str">
        <x:v>blinded casualty denial and safe-stop record</x:v>
      </x:c>
      <x:c r="I173" s="24" t="str">
        <x:v>F09</x:v>
      </x:c>
      <x:c r="J173" s="24" t="n">
        <x:v>20</x:v>
      </x:c>
      <x:c r="K173" s="24" t="str">
        <x:v>Destructive Trial Authority</x:v>
      </x:c>
      <x:c r="L173" s="24" t="str">
        <x:v>registered threshold plus uncertainty and guardband</x:v>
      </x:c>
      <x:c r="M173" s="24" t="str">
        <x:v>reopen stage and every dependent claim</x:v>
      </x:c>
      <x:c r="N173" s="26" t="str">
        <x:v>OPEN</x:v>
      </x:c>
    </x:row>
    <x:row r="174">
      <x:c r="B174" s="24" t="str">
        <x:v>I11-G8</x:v>
      </x:c>
      <x:c r="C174" s="24" t="str">
        <x:v>Public metrology</x:v>
      </x:c>
      <x:c r="D174" s="24" t="str">
        <x:v>Both</x:v>
      </x:c>
      <x:c r="E174" s="24" t="str">
        <x:v>Control</x:v>
      </x:c>
      <x:c r="F174" s="24" t="str">
        <x:v>G8</x:v>
      </x:c>
      <x:c r="G174" s="24" t="str">
        <x:v>second-lot and reset chain</x:v>
      </x:c>
      <x:c r="H174" s="24" t="str">
        <x:v>repeat mission lot trace depot replication record</x:v>
      </x:c>
      <x:c r="I174" s="24" t="str">
        <x:v>F10</x:v>
      </x:c>
      <x:c r="J174" s="24" t="n">
        <x:v>12</x:v>
      </x:c>
      <x:c r="K174" s="24" t="str">
        <x:v>Production Evidence Authority</x:v>
      </x:c>
      <x:c r="L174" s="24" t="str">
        <x:v>registered threshold plus uncertainty and guardband</x:v>
      </x:c>
      <x:c r="M174" s="24" t="str">
        <x:v>reopen stage and every dependent claim</x:v>
      </x:c>
      <x:c r="N174" s="26" t="str">
        <x:v>OPEN</x:v>
      </x:c>
    </x:row>
    <x:row r="175">
      <x:c r="B175" s="24" t="str">
        <x:v>I12-G1</x:v>
      </x:c>
      <x:c r="C175" s="24" t="str">
        <x:v>Ancestry mapping</x:v>
      </x:c>
      <x:c r="D175" s="24" t="str">
        <x:v>Both</x:v>
      </x:c>
      <x:c r="E175" s="24" t="str">
        <x:v>Industrial</x:v>
      </x:c>
      <x:c r="F175" s="24" t="str">
        <x:v>G1</x:v>
      </x:c>
      <x:c r="G175" s="24" t="str">
        <x:v>registered claim</x:v>
      </x:c>
      <x:c r="H175" s="24" t="str">
        <x:v>burden-hazard-authority contract</x:v>
      </x:c>
      <x:c r="I175" s="24" t="str">
        <x:v>F01</x:v>
      </x:c>
      <x:c r="J175" s="24" t="n">
        <x:v>2</x:v>
      </x:c>
      <x:c r="K175" s="24" t="str">
        <x:v>Requirements Authority</x:v>
      </x:c>
      <x:c r="L175" s="24" t="str">
        <x:v>registered threshold plus uncertainty and guardband</x:v>
      </x:c>
      <x:c r="M175" s="24" t="str">
        <x:v>reopen stage and every dependent claim</x:v>
      </x:c>
      <x:c r="N175" s="26" t="str">
        <x:v>OPEN</x:v>
      </x:c>
    </x:row>
    <x:row r="176">
      <x:c r="B176" s="24" t="str">
        <x:v>I12-G2</x:v>
      </x:c>
      <x:c r="C176" s="24" t="str">
        <x:v>Ancestry mapping</x:v>
      </x:c>
      <x:c r="D176" s="24" t="str">
        <x:v>Both</x:v>
      </x:c>
      <x:c r="E176" s="24" t="str">
        <x:v>Industrial</x:v>
      </x:c>
      <x:c r="F176" s="24" t="str">
        <x:v>G2</x:v>
      </x:c>
      <x:c r="G176" s="24" t="str">
        <x:v>coupons and subassemblies</x:v>
      </x:c>
      <x:c r="H176" s="24" t="str">
        <x:v>raw data calibration uncertainty failure dossier</x:v>
      </x:c>
      <x:c r="I176" s="24" t="str">
        <x:v>F11</x:v>
      </x:c>
      <x:c r="J176" s="24" t="n">
        <x:v>8</x:v>
      </x:c>
      <x:c r="K176" s="24" t="str">
        <x:v>Independent Laboratory Authority</x:v>
      </x:c>
      <x:c r="L176" s="24" t="str">
        <x:v>registered threshold plus uncertainty and guardband</x:v>
      </x:c>
      <x:c r="M176" s="24" t="str">
        <x:v>reopen stage and every dependent claim</x:v>
      </x:c>
      <x:c r="N176" s="26" t="str">
        <x:v>OPEN</x:v>
      </x:c>
    </x:row>
    <x:row r="177">
      <x:c r="B177" s="24" t="str">
        <x:v>I12-G3</x:v>
      </x:c>
      <x:c r="C177" s="24" t="str">
        <x:v>Ancestry mapping</x:v>
      </x:c>
      <x:c r="D177" s="24" t="str">
        <x:v>Both</x:v>
      </x:c>
      <x:c r="E177" s="24" t="str">
        <x:v>Industrial</x:v>
      </x:c>
      <x:c r="F177" s="24" t="str">
        <x:v>G3</x:v>
      </x:c>
      <x:c r="G177" s="24" t="str">
        <x:v>representative article</x:v>
      </x:c>
      <x:c r="H177" s="24" t="str">
        <x:v>configuration output hazard maintainability record</x:v>
      </x:c>
      <x:c r="I177" s="24" t="str">
        <x:v>F11</x:v>
      </x:c>
      <x:c r="J177" s="24" t="n">
        <x:v>14</x:v>
      </x:c>
      <x:c r="K177" s="24" t="str">
        <x:v>Family Certification Authority</x:v>
      </x:c>
      <x:c r="L177" s="24" t="str">
        <x:v>registered threshold plus uncertainty and guardband</x:v>
      </x:c>
      <x:c r="M177" s="24" t="str">
        <x:v>reopen stage and every dependent claim</x:v>
      </x:c>
      <x:c r="N177" s="26" t="str">
        <x:v>OPEN</x:v>
      </x:c>
    </x:row>
    <x:row r="178">
      <x:c r="B178" s="24" t="str">
        <x:v>I12-G4</x:v>
      </x:c>
      <x:c r="C178" s="24" t="str">
        <x:v>Ancestry mapping</x:v>
      </x:c>
      <x:c r="D178" s="24" t="str">
        <x:v>Both</x:v>
      </x:c>
      <x:c r="E178" s="24" t="str">
        <x:v>Industrial</x:v>
      </x:c>
      <x:c r="F178" s="24" t="str">
        <x:v>G4</x:v>
      </x:c>
      <x:c r="G178" s="24" t="str">
        <x:v>five-family set</x:v>
      </x:c>
      <x:c r="H178" s="24" t="str">
        <x:v>simultaneous coupling and public-service vector</x:v>
      </x:c>
      <x:c r="I178" s="24" t="str">
        <x:v>F09</x:v>
      </x:c>
      <x:c r="J178" s="24" t="n">
        <x:v>12</x:v>
      </x:c>
      <x:c r="K178" s="24" t="str">
        <x:v>Set Integration Authority</x:v>
      </x:c>
      <x:c r="L178" s="24" t="str">
        <x:v>registered threshold plus uncertainty and guardband</x:v>
      </x:c>
      <x:c r="M178" s="24" t="str">
        <x:v>reopen stage and every dependent claim</x:v>
      </x:c>
      <x:c r="N178" s="26" t="str">
        <x:v>OPEN</x:v>
      </x:c>
    </x:row>
    <x:row r="179">
      <x:c r="B179" s="24" t="str">
        <x:v>I12-G5</x:v>
      </x:c>
      <x:c r="C179" s="24" t="str">
        <x:v>Ancestry mapping</x:v>
      </x:c>
      <x:c r="D179" s="24" t="str">
        <x:v>Both</x:v>
      </x:c>
      <x:c r="E179" s="24" t="str">
        <x:v>Industrial</x:v>
      </x:c>
      <x:c r="F179" s="24" t="str">
        <x:v>G5</x:v>
      </x:c>
      <x:c r="G179" s="24" t="str">
        <x:v>instrumented carrier</x:v>
      </x:c>
      <x:c r="H179" s="24" t="str">
        <x:v>structure CG restraint transfer fire evacuation record</x:v>
      </x:c>
      <x:c r="I179" s="24" t="str">
        <x:v>F09</x:v>
      </x:c>
      <x:c r="J179" s="24" t="n">
        <x:v>16</x:v>
      </x:c>
      <x:c r="K179" s="24" t="str">
        <x:v>Vehicle Certification Authority</x:v>
      </x:c>
      <x:c r="L179" s="24" t="str">
        <x:v>registered threshold plus uncertainty and guardband</x:v>
      </x:c>
      <x:c r="M179" s="24" t="str">
        <x:v>reopen stage and every dependent claim</x:v>
      </x:c>
      <x:c r="N179" s="26" t="str">
        <x:v>OPEN</x:v>
      </x:c>
    </x:row>
    <x:row r="180">
      <x:c r="B180" s="24" t="str">
        <x:v>I12-G6</x:v>
      </x:c>
      <x:c r="C180" s="24" t="str">
        <x:v>Ancestry mapping</x:v>
      </x:c>
      <x:c r="D180" s="24" t="str">
        <x:v>Both</x:v>
      </x:c>
      <x:c r="E180" s="24" t="str">
        <x:v>Industrial</x:v>
      </x:c>
      <x:c r="F180" s="24" t="str">
        <x:v>G6</x:v>
      </x:c>
      <x:c r="G180" s="24" t="str">
        <x:v>receiver complex</x:v>
      </x:c>
      <x:c r="H180" s="24" t="str">
        <x:v>assembly assay handoff public release record</x:v>
      </x:c>
      <x:c r="I180" s="24" t="str">
        <x:v>F09</x:v>
      </x:c>
      <x:c r="J180" s="24" t="n">
        <x:v>18</x:v>
      </x:c>
      <x:c r="K180" s="24" t="str">
        <x:v>Receiver Evidence Authority</x:v>
      </x:c>
      <x:c r="L180" s="24" t="str">
        <x:v>registered threshold plus uncertainty and guardband</x:v>
      </x:c>
      <x:c r="M180" s="24" t="str">
        <x:v>reopen stage and every dependent claim</x:v>
      </x:c>
      <x:c r="N180" s="26" t="str">
        <x:v>OPEN</x:v>
      </x:c>
    </x:row>
    <x:row r="181">
      <x:c r="B181" s="24" t="str">
        <x:v>I12-G7</x:v>
      </x:c>
      <x:c r="C181" s="24" t="str">
        <x:v>Ancestry mapping</x:v>
      </x:c>
      <x:c r="D181" s="24" t="str">
        <x:v>Both</x:v>
      </x:c>
      <x:c r="E181" s="24" t="str">
        <x:v>Industrial</x:v>
      </x:c>
      <x:c r="F181" s="24" t="str">
        <x:v>G7</x:v>
      </x:c>
      <x:c r="G181" s="24" t="str">
        <x:v>survivor formation</x:v>
      </x:c>
      <x:c r="H181" s="24" t="str">
        <x:v>blinded casualty denial and safe-stop record</x:v>
      </x:c>
      <x:c r="I181" s="24" t="str">
        <x:v>F09</x:v>
      </x:c>
      <x:c r="J181" s="24" t="n">
        <x:v>20</x:v>
      </x:c>
      <x:c r="K181" s="24" t="str">
        <x:v>Destructive Trial Authority</x:v>
      </x:c>
      <x:c r="L181" s="24" t="str">
        <x:v>registered threshold plus uncertainty and guardband</x:v>
      </x:c>
      <x:c r="M181" s="24" t="str">
        <x:v>reopen stage and every dependent claim</x:v>
      </x:c>
      <x:c r="N181" s="26" t="str">
        <x:v>OPEN</x:v>
      </x:c>
    </x:row>
    <x:row r="182">
      <x:c r="B182" s="24" t="str">
        <x:v>I12-G8</x:v>
      </x:c>
      <x:c r="C182" s="24" t="str">
        <x:v>Ancestry mapping</x:v>
      </x:c>
      <x:c r="D182" s="24" t="str">
        <x:v>Both</x:v>
      </x:c>
      <x:c r="E182" s="24" t="str">
        <x:v>Industrial</x:v>
      </x:c>
      <x:c r="F182" s="24" t="str">
        <x:v>G8</x:v>
      </x:c>
      <x:c r="G182" s="24" t="str">
        <x:v>second-lot and reset chain</x:v>
      </x:c>
      <x:c r="H182" s="24" t="str">
        <x:v>repeat mission lot trace depot replication record</x:v>
      </x:c>
      <x:c r="I182" s="24" t="str">
        <x:v>F11</x:v>
      </x:c>
      <x:c r="J182" s="24" t="n">
        <x:v>12</x:v>
      </x:c>
      <x:c r="K182" s="24" t="str">
        <x:v>Production Evidence Authority</x:v>
      </x:c>
      <x:c r="L182" s="24" t="str">
        <x:v>registered threshold plus uncertainty and guardband</x:v>
      </x:c>
      <x:c r="M182" s="24" t="str">
        <x:v>reopen stage and every dependent claim</x:v>
      </x:c>
      <x:c r="N182" s="26" t="str">
        <x:v>OPEN</x:v>
      </x:c>
    </x:row>
    <x:row r="183">
      <x:c r="B183" s="24" t="str">
        <x:v>I13-G1</x:v>
      </x:c>
      <x:c r="C183" s="24" t="str">
        <x:v>Unprepared-site civil works</x:v>
      </x:c>
      <x:c r="D183" s="24" t="str">
        <x:v>Both</x:v>
      </x:c>
      <x:c r="E183" s="24" t="str">
        <x:v>Receiver</x:v>
      </x:c>
      <x:c r="F183" s="24" t="str">
        <x:v>G1</x:v>
      </x:c>
      <x:c r="G183" s="24" t="str">
        <x:v>registered claim</x:v>
      </x:c>
      <x:c r="H183" s="24" t="str">
        <x:v>burden-hazard-authority contract</x:v>
      </x:c>
      <x:c r="I183" s="24" t="str">
        <x:v>F01</x:v>
      </x:c>
      <x:c r="J183" s="24" t="n">
        <x:v>2</x:v>
      </x:c>
      <x:c r="K183" s="24" t="str">
        <x:v>Requirements Authority</x:v>
      </x:c>
      <x:c r="L183" s="24" t="str">
        <x:v>registered threshold plus uncertainty and guardband</x:v>
      </x:c>
      <x:c r="M183" s="24" t="str">
        <x:v>reopen stage and every dependent claim</x:v>
      </x:c>
      <x:c r="N183" s="26" t="str">
        <x:v>OPEN</x:v>
      </x:c>
    </x:row>
    <x:row r="184">
      <x:c r="B184" s="24" t="str">
        <x:v>I13-G2</x:v>
      </x:c>
      <x:c r="C184" s="24" t="str">
        <x:v>Unprepared-site civil works</x:v>
      </x:c>
      <x:c r="D184" s="24" t="str">
        <x:v>Both</x:v>
      </x:c>
      <x:c r="E184" s="24" t="str">
        <x:v>Receiver</x:v>
      </x:c>
      <x:c r="F184" s="24" t="str">
        <x:v>G2</x:v>
      </x:c>
      <x:c r="G184" s="24" t="str">
        <x:v>coupons and subassemblies</x:v>
      </x:c>
      <x:c r="H184" s="24" t="str">
        <x:v>raw data calibration uncertainty failure dossier</x:v>
      </x:c>
      <x:c r="I184" s="24" t="str">
        <x:v>F09</x:v>
      </x:c>
      <x:c r="J184" s="24" t="n">
        <x:v>8</x:v>
      </x:c>
      <x:c r="K184" s="24" t="str">
        <x:v>Independent Laboratory Authority</x:v>
      </x:c>
      <x:c r="L184" s="24" t="str">
        <x:v>registered threshold plus uncertainty and guardband</x:v>
      </x:c>
      <x:c r="M184" s="24" t="str">
        <x:v>reopen stage and every dependent claim</x:v>
      </x:c>
      <x:c r="N184" s="26" t="str">
        <x:v>OPEN</x:v>
      </x:c>
    </x:row>
    <x:row r="185">
      <x:c r="B185" s="24" t="str">
        <x:v>I13-G3</x:v>
      </x:c>
      <x:c r="C185" s="24" t="str">
        <x:v>Unprepared-site civil works</x:v>
      </x:c>
      <x:c r="D185" s="24" t="str">
        <x:v>Both</x:v>
      </x:c>
      <x:c r="E185" s="24" t="str">
        <x:v>Receiver</x:v>
      </x:c>
      <x:c r="F185" s="24" t="str">
        <x:v>G3</x:v>
      </x:c>
      <x:c r="G185" s="24" t="str">
        <x:v>representative article</x:v>
      </x:c>
      <x:c r="H185" s="24" t="str">
        <x:v>configuration output hazard maintainability record</x:v>
      </x:c>
      <x:c r="I185" s="24" t="str">
        <x:v>F09</x:v>
      </x:c>
      <x:c r="J185" s="24" t="n">
        <x:v>14</x:v>
      </x:c>
      <x:c r="K185" s="24" t="str">
        <x:v>Family Certification Authority</x:v>
      </x:c>
      <x:c r="L185" s="24" t="str">
        <x:v>registered threshold plus uncertainty and guardband</x:v>
      </x:c>
      <x:c r="M185" s="24" t="str">
        <x:v>reopen stage and every dependent claim</x:v>
      </x:c>
      <x:c r="N185" s="26" t="str">
        <x:v>OPEN</x:v>
      </x:c>
    </x:row>
    <x:row r="186">
      <x:c r="B186" s="24" t="str">
        <x:v>I13-G4</x:v>
      </x:c>
      <x:c r="C186" s="24" t="str">
        <x:v>Unprepared-site civil works</x:v>
      </x:c>
      <x:c r="D186" s="24" t="str">
        <x:v>Both</x:v>
      </x:c>
      <x:c r="E186" s="24" t="str">
        <x:v>Receiver</x:v>
      </x:c>
      <x:c r="F186" s="24" t="str">
        <x:v>G4</x:v>
      </x:c>
      <x:c r="G186" s="24" t="str">
        <x:v>five-family set</x:v>
      </x:c>
      <x:c r="H186" s="24" t="str">
        <x:v>simultaneous coupling and public-service vector</x:v>
      </x:c>
      <x:c r="I186" s="24" t="str">
        <x:v>F09</x:v>
      </x:c>
      <x:c r="J186" s="24" t="n">
        <x:v>12</x:v>
      </x:c>
      <x:c r="K186" s="24" t="str">
        <x:v>Set Integration Authority</x:v>
      </x:c>
      <x:c r="L186" s="24" t="str">
        <x:v>registered threshold plus uncertainty and guardband</x:v>
      </x:c>
      <x:c r="M186" s="24" t="str">
        <x:v>reopen stage and every dependent claim</x:v>
      </x:c>
      <x:c r="N186" s="26" t="str">
        <x:v>OPEN</x:v>
      </x:c>
    </x:row>
    <x:row r="187">
      <x:c r="B187" s="24" t="str">
        <x:v>I13-G5</x:v>
      </x:c>
      <x:c r="C187" s="24" t="str">
        <x:v>Unprepared-site civil works</x:v>
      </x:c>
      <x:c r="D187" s="24" t="str">
        <x:v>Both</x:v>
      </x:c>
      <x:c r="E187" s="24" t="str">
        <x:v>Receiver</x:v>
      </x:c>
      <x:c r="F187" s="24" t="str">
        <x:v>G5</x:v>
      </x:c>
      <x:c r="G187" s="24" t="str">
        <x:v>instrumented carrier</x:v>
      </x:c>
      <x:c r="H187" s="24" t="str">
        <x:v>structure CG restraint transfer fire evacuation record</x:v>
      </x:c>
      <x:c r="I187" s="24" t="str">
        <x:v>F09</x:v>
      </x:c>
      <x:c r="J187" s="24" t="n">
        <x:v>16</x:v>
      </x:c>
      <x:c r="K187" s="24" t="str">
        <x:v>Vehicle Certification Authority</x:v>
      </x:c>
      <x:c r="L187" s="24" t="str">
        <x:v>registered threshold plus uncertainty and guardband</x:v>
      </x:c>
      <x:c r="M187" s="24" t="str">
        <x:v>reopen stage and every dependent claim</x:v>
      </x:c>
      <x:c r="N187" s="26" t="str">
        <x:v>OPEN</x:v>
      </x:c>
    </x:row>
    <x:row r="188">
      <x:c r="B188" s="24" t="str">
        <x:v>I13-G6</x:v>
      </x:c>
      <x:c r="C188" s="24" t="str">
        <x:v>Unprepared-site civil works</x:v>
      </x:c>
      <x:c r="D188" s="24" t="str">
        <x:v>Both</x:v>
      </x:c>
      <x:c r="E188" s="24" t="str">
        <x:v>Receiver</x:v>
      </x:c>
      <x:c r="F188" s="24" t="str">
        <x:v>G6</x:v>
      </x:c>
      <x:c r="G188" s="24" t="str">
        <x:v>receiver complex</x:v>
      </x:c>
      <x:c r="H188" s="24" t="str">
        <x:v>assembly assay handoff public release record</x:v>
      </x:c>
      <x:c r="I188" s="24" t="str">
        <x:v>F09</x:v>
      </x:c>
      <x:c r="J188" s="24" t="n">
        <x:v>18</x:v>
      </x:c>
      <x:c r="K188" s="24" t="str">
        <x:v>Receiver Evidence Authority</x:v>
      </x:c>
      <x:c r="L188" s="24" t="str">
        <x:v>registered threshold plus uncertainty and guardband</x:v>
      </x:c>
      <x:c r="M188" s="24" t="str">
        <x:v>reopen stage and every dependent claim</x:v>
      </x:c>
      <x:c r="N188" s="26" t="str">
        <x:v>OPEN</x:v>
      </x:c>
    </x:row>
    <x:row r="189">
      <x:c r="B189" s="24" t="str">
        <x:v>I13-G7</x:v>
      </x:c>
      <x:c r="C189" s="24" t="str">
        <x:v>Unprepared-site civil works</x:v>
      </x:c>
      <x:c r="D189" s="24" t="str">
        <x:v>Both</x:v>
      </x:c>
      <x:c r="E189" s="24" t="str">
        <x:v>Receiver</x:v>
      </x:c>
      <x:c r="F189" s="24" t="str">
        <x:v>G7</x:v>
      </x:c>
      <x:c r="G189" s="24" t="str">
        <x:v>survivor formation</x:v>
      </x:c>
      <x:c r="H189" s="24" t="str">
        <x:v>blinded casualty denial and safe-stop record</x:v>
      </x:c>
      <x:c r="I189" s="24" t="str">
        <x:v>F09</x:v>
      </x:c>
      <x:c r="J189" s="24" t="n">
        <x:v>20</x:v>
      </x:c>
      <x:c r="K189" s="24" t="str">
        <x:v>Destructive Trial Authority</x:v>
      </x:c>
      <x:c r="L189" s="24" t="str">
        <x:v>registered threshold plus uncertainty and guardband</x:v>
      </x:c>
      <x:c r="M189" s="24" t="str">
        <x:v>reopen stage and every dependent claim</x:v>
      </x:c>
      <x:c r="N189" s="26" t="str">
        <x:v>OPEN</x:v>
      </x:c>
    </x:row>
    <x:row r="190">
      <x:c r="B190" s="24" t="str">
        <x:v>I13-G8</x:v>
      </x:c>
      <x:c r="C190" s="24" t="str">
        <x:v>Unprepared-site civil works</x:v>
      </x:c>
      <x:c r="D190" s="24" t="str">
        <x:v>Both</x:v>
      </x:c>
      <x:c r="E190" s="24" t="str">
        <x:v>Receiver</x:v>
      </x:c>
      <x:c r="F190" s="24" t="str">
        <x:v>G8</x:v>
      </x:c>
      <x:c r="G190" s="24" t="str">
        <x:v>second-lot and reset chain</x:v>
      </x:c>
      <x:c r="H190" s="24" t="str">
        <x:v>repeat mission lot trace depot replication record</x:v>
      </x:c>
      <x:c r="I190" s="24" t="str">
        <x:v>F10</x:v>
      </x:c>
      <x:c r="J190" s="24" t="n">
        <x:v>12</x:v>
      </x:c>
      <x:c r="K190" s="24" t="str">
        <x:v>Production Evidence Authority</x:v>
      </x:c>
      <x:c r="L190" s="24" t="str">
        <x:v>registered threshold plus uncertainty and guardband</x:v>
      </x:c>
      <x:c r="M190" s="24" t="str">
        <x:v>reopen stage and every dependent claim</x:v>
      </x:c>
      <x:c r="N190" s="26" t="str">
        <x:v>OPEN</x:v>
      </x:c>
    </x:row>
    <x:row r="191">
      <x:c r="B191" s="24" t="str">
        <x:v>I14-G1</x:v>
      </x:c>
      <x:c r="C191" s="24" t="str">
        <x:v>Production and lot trace</x:v>
      </x:c>
      <x:c r="D191" s="24" t="str">
        <x:v>Both</x:v>
      </x:c>
      <x:c r="E191" s="24" t="str">
        <x:v>Industrial</x:v>
      </x:c>
      <x:c r="F191" s="24" t="str">
        <x:v>G1</x:v>
      </x:c>
      <x:c r="G191" s="24" t="str">
        <x:v>registered claim</x:v>
      </x:c>
      <x:c r="H191" s="24" t="str">
        <x:v>burden-hazard-authority contract</x:v>
      </x:c>
      <x:c r="I191" s="24" t="str">
        <x:v>F01</x:v>
      </x:c>
      <x:c r="J191" s="24" t="n">
        <x:v>2</x:v>
      </x:c>
      <x:c r="K191" s="24" t="str">
        <x:v>Requirements Authority</x:v>
      </x:c>
      <x:c r="L191" s="24" t="str">
        <x:v>registered threshold plus uncertainty and guardband</x:v>
      </x:c>
      <x:c r="M191" s="24" t="str">
        <x:v>reopen stage and every dependent claim</x:v>
      </x:c>
      <x:c r="N191" s="26" t="str">
        <x:v>OPEN</x:v>
      </x:c>
    </x:row>
    <x:row r="192">
      <x:c r="B192" s="24" t="str">
        <x:v>I14-G2</x:v>
      </x:c>
      <x:c r="C192" s="24" t="str">
        <x:v>Production and lot trace</x:v>
      </x:c>
      <x:c r="D192" s="24" t="str">
        <x:v>Both</x:v>
      </x:c>
      <x:c r="E192" s="24" t="str">
        <x:v>Industrial</x:v>
      </x:c>
      <x:c r="F192" s="24" t="str">
        <x:v>G2</x:v>
      </x:c>
      <x:c r="G192" s="24" t="str">
        <x:v>coupons and subassemblies</x:v>
      </x:c>
      <x:c r="H192" s="24" t="str">
        <x:v>raw data calibration uncertainty failure dossier</x:v>
      </x:c>
      <x:c r="I192" s="24" t="str">
        <x:v>F11</x:v>
      </x:c>
      <x:c r="J192" s="24" t="n">
        <x:v>8</x:v>
      </x:c>
      <x:c r="K192" s="24" t="str">
        <x:v>Independent Laboratory Authority</x:v>
      </x:c>
      <x:c r="L192" s="24" t="str">
        <x:v>registered threshold plus uncertainty and guardband</x:v>
      </x:c>
      <x:c r="M192" s="24" t="str">
        <x:v>reopen stage and every dependent claim</x:v>
      </x:c>
      <x:c r="N192" s="26" t="str">
        <x:v>OPEN</x:v>
      </x:c>
    </x:row>
    <x:row r="193">
      <x:c r="B193" s="24" t="str">
        <x:v>I14-G3</x:v>
      </x:c>
      <x:c r="C193" s="24" t="str">
        <x:v>Production and lot trace</x:v>
      </x:c>
      <x:c r="D193" s="24" t="str">
        <x:v>Both</x:v>
      </x:c>
      <x:c r="E193" s="24" t="str">
        <x:v>Industrial</x:v>
      </x:c>
      <x:c r="F193" s="24" t="str">
        <x:v>G3</x:v>
      </x:c>
      <x:c r="G193" s="24" t="str">
        <x:v>representative article</x:v>
      </x:c>
      <x:c r="H193" s="24" t="str">
        <x:v>configuration output hazard maintainability record</x:v>
      </x:c>
      <x:c r="I193" s="24" t="str">
        <x:v>F11</x:v>
      </x:c>
      <x:c r="J193" s="24" t="n">
        <x:v>14</x:v>
      </x:c>
      <x:c r="K193" s="24" t="str">
        <x:v>Family Certification Authority</x:v>
      </x:c>
      <x:c r="L193" s="24" t="str">
        <x:v>registered threshold plus uncertainty and guardband</x:v>
      </x:c>
      <x:c r="M193" s="24" t="str">
        <x:v>reopen stage and every dependent claim</x:v>
      </x:c>
      <x:c r="N193" s="26" t="str">
        <x:v>OPEN</x:v>
      </x:c>
    </x:row>
    <x:row r="194">
      <x:c r="B194" s="24" t="str">
        <x:v>I14-G4</x:v>
      </x:c>
      <x:c r="C194" s="24" t="str">
        <x:v>Production and lot trace</x:v>
      </x:c>
      <x:c r="D194" s="24" t="str">
        <x:v>Both</x:v>
      </x:c>
      <x:c r="E194" s="24" t="str">
        <x:v>Industrial</x:v>
      </x:c>
      <x:c r="F194" s="24" t="str">
        <x:v>G4</x:v>
      </x:c>
      <x:c r="G194" s="24" t="str">
        <x:v>five-family set</x:v>
      </x:c>
      <x:c r="H194" s="24" t="str">
        <x:v>simultaneous coupling and public-service vector</x:v>
      </x:c>
      <x:c r="I194" s="24" t="str">
        <x:v>F09</x:v>
      </x:c>
      <x:c r="J194" s="24" t="n">
        <x:v>12</x:v>
      </x:c>
      <x:c r="K194" s="24" t="str">
        <x:v>Set Integration Authority</x:v>
      </x:c>
      <x:c r="L194" s="24" t="str">
        <x:v>registered threshold plus uncertainty and guardband</x:v>
      </x:c>
      <x:c r="M194" s="24" t="str">
        <x:v>reopen stage and every dependent claim</x:v>
      </x:c>
      <x:c r="N194" s="26" t="str">
        <x:v>OPEN</x:v>
      </x:c>
    </x:row>
    <x:row r="195">
      <x:c r="B195" s="24" t="str">
        <x:v>I14-G5</x:v>
      </x:c>
      <x:c r="C195" s="24" t="str">
        <x:v>Production and lot trace</x:v>
      </x:c>
      <x:c r="D195" s="24" t="str">
        <x:v>Both</x:v>
      </x:c>
      <x:c r="E195" s="24" t="str">
        <x:v>Industrial</x:v>
      </x:c>
      <x:c r="F195" s="24" t="str">
        <x:v>G5</x:v>
      </x:c>
      <x:c r="G195" s="24" t="str">
        <x:v>instrumented carrier</x:v>
      </x:c>
      <x:c r="H195" s="24" t="str">
        <x:v>structure CG restraint transfer fire evacuation record</x:v>
      </x:c>
      <x:c r="I195" s="24" t="str">
        <x:v>F09</x:v>
      </x:c>
      <x:c r="J195" s="24" t="n">
        <x:v>16</x:v>
      </x:c>
      <x:c r="K195" s="24" t="str">
        <x:v>Vehicle Certification Authority</x:v>
      </x:c>
      <x:c r="L195" s="24" t="str">
        <x:v>registered threshold plus uncertainty and guardband</x:v>
      </x:c>
      <x:c r="M195" s="24" t="str">
        <x:v>reopen stage and every dependent claim</x:v>
      </x:c>
      <x:c r="N195" s="26" t="str">
        <x:v>OPEN</x:v>
      </x:c>
    </x:row>
    <x:row r="196">
      <x:c r="B196" s="24" t="str">
        <x:v>I14-G6</x:v>
      </x:c>
      <x:c r="C196" s="24" t="str">
        <x:v>Production and lot trace</x:v>
      </x:c>
      <x:c r="D196" s="24" t="str">
        <x:v>Both</x:v>
      </x:c>
      <x:c r="E196" s="24" t="str">
        <x:v>Industrial</x:v>
      </x:c>
      <x:c r="F196" s="24" t="str">
        <x:v>G6</x:v>
      </x:c>
      <x:c r="G196" s="24" t="str">
        <x:v>receiver complex</x:v>
      </x:c>
      <x:c r="H196" s="24" t="str">
        <x:v>assembly assay handoff public release record</x:v>
      </x:c>
      <x:c r="I196" s="24" t="str">
        <x:v>F09</x:v>
      </x:c>
      <x:c r="J196" s="24" t="n">
        <x:v>18</x:v>
      </x:c>
      <x:c r="K196" s="24" t="str">
        <x:v>Receiver Evidence Authority</x:v>
      </x:c>
      <x:c r="L196" s="24" t="str">
        <x:v>registered threshold plus uncertainty and guardband</x:v>
      </x:c>
      <x:c r="M196" s="24" t="str">
        <x:v>reopen stage and every dependent claim</x:v>
      </x:c>
      <x:c r="N196" s="26" t="str">
        <x:v>OPEN</x:v>
      </x:c>
    </x:row>
    <x:row r="197">
      <x:c r="B197" s="24" t="str">
        <x:v>I14-G7</x:v>
      </x:c>
      <x:c r="C197" s="24" t="str">
        <x:v>Production and lot trace</x:v>
      </x:c>
      <x:c r="D197" s="24" t="str">
        <x:v>Both</x:v>
      </x:c>
      <x:c r="E197" s="24" t="str">
        <x:v>Industrial</x:v>
      </x:c>
      <x:c r="F197" s="24" t="str">
        <x:v>G7</x:v>
      </x:c>
      <x:c r="G197" s="24" t="str">
        <x:v>survivor formation</x:v>
      </x:c>
      <x:c r="H197" s="24" t="str">
        <x:v>blinded casualty denial and safe-stop record</x:v>
      </x:c>
      <x:c r="I197" s="24" t="str">
        <x:v>F09</x:v>
      </x:c>
      <x:c r="J197" s="24" t="n">
        <x:v>20</x:v>
      </x:c>
      <x:c r="K197" s="24" t="str">
        <x:v>Destructive Trial Authority</x:v>
      </x:c>
      <x:c r="L197" s="24" t="str">
        <x:v>registered threshold plus uncertainty and guardband</x:v>
      </x:c>
      <x:c r="M197" s="24" t="str">
        <x:v>reopen stage and every dependent claim</x:v>
      </x:c>
      <x:c r="N197" s="26" t="str">
        <x:v>OPEN</x:v>
      </x:c>
    </x:row>
    <x:row r="198">
      <x:c r="B198" s="24" t="str">
        <x:v>I14-G8</x:v>
      </x:c>
      <x:c r="C198" s="24" t="str">
        <x:v>Production and lot trace</x:v>
      </x:c>
      <x:c r="D198" s="24" t="str">
        <x:v>Both</x:v>
      </x:c>
      <x:c r="E198" s="24" t="str">
        <x:v>Industrial</x:v>
      </x:c>
      <x:c r="F198" s="24" t="str">
        <x:v>G8</x:v>
      </x:c>
      <x:c r="G198" s="24" t="str">
        <x:v>second-lot and reset chain</x:v>
      </x:c>
      <x:c r="H198" s="24" t="str">
        <x:v>repeat mission lot trace depot replication record</x:v>
      </x:c>
      <x:c r="I198" s="24" t="str">
        <x:v>F11</x:v>
      </x:c>
      <x:c r="J198" s="24" t="n">
        <x:v>12</x:v>
      </x:c>
      <x:c r="K198" s="24" t="str">
        <x:v>Production Evidence Authority</x:v>
      </x:c>
      <x:c r="L198" s="24" t="str">
        <x:v>registered threshold plus uncertainty and guardband</x:v>
      </x:c>
      <x:c r="M198" s="24" t="str">
        <x:v>reopen stage and every dependent claim</x:v>
      </x:c>
      <x:c r="N198" s="26" t="str">
        <x:v>OPEN</x:v>
      </x:c>
    </x:row>
    <x:row r="199">
      <x:c r="B199" s="24" t="str">
        <x:v>I15-G1</x:v>
      </x:c>
      <x:c r="C199" s="24" t="str">
        <x:v>Export variants</x:v>
      </x:c>
      <x:c r="D199" s="24" t="str">
        <x:v>Both</x:v>
      </x:c>
      <x:c r="E199" s="24" t="str">
        <x:v>Industrial</x:v>
      </x:c>
      <x:c r="F199" s="24" t="str">
        <x:v>G1</x:v>
      </x:c>
      <x:c r="G199" s="24" t="str">
        <x:v>registered claim</x:v>
      </x:c>
      <x:c r="H199" s="24" t="str">
        <x:v>burden-hazard-authority contract</x:v>
      </x:c>
      <x:c r="I199" s="24" t="str">
        <x:v>F01</x:v>
      </x:c>
      <x:c r="J199" s="24" t="n">
        <x:v>2</x:v>
      </x:c>
      <x:c r="K199" s="24" t="str">
        <x:v>Requirements Authority</x:v>
      </x:c>
      <x:c r="L199" s="24" t="str">
        <x:v>registered threshold plus uncertainty and guardband</x:v>
      </x:c>
      <x:c r="M199" s="24" t="str">
        <x:v>reopen stage and every dependent claim</x:v>
      </x:c>
      <x:c r="N199" s="26" t="str">
        <x:v>OPEN</x:v>
      </x:c>
    </x:row>
    <x:row r="200">
      <x:c r="B200" s="24" t="str">
        <x:v>I15-G2</x:v>
      </x:c>
      <x:c r="C200" s="24" t="str">
        <x:v>Export variants</x:v>
      </x:c>
      <x:c r="D200" s="24" t="str">
        <x:v>Both</x:v>
      </x:c>
      <x:c r="E200" s="24" t="str">
        <x:v>Industrial</x:v>
      </x:c>
      <x:c r="F200" s="24" t="str">
        <x:v>G2</x:v>
      </x:c>
      <x:c r="G200" s="24" t="str">
        <x:v>coupons and subassemblies</x:v>
      </x:c>
      <x:c r="H200" s="24" t="str">
        <x:v>raw data calibration uncertainty failure dossier</x:v>
      </x:c>
      <x:c r="I200" s="24" t="str">
        <x:v>F11</x:v>
      </x:c>
      <x:c r="J200" s="24" t="n">
        <x:v>8</x:v>
      </x:c>
      <x:c r="K200" s="24" t="str">
        <x:v>Independent Laboratory Authority</x:v>
      </x:c>
      <x:c r="L200" s="24" t="str">
        <x:v>registered threshold plus uncertainty and guardband</x:v>
      </x:c>
      <x:c r="M200" s="24" t="str">
        <x:v>reopen stage and every dependent claim</x:v>
      </x:c>
      <x:c r="N200" s="26" t="str">
        <x:v>OPEN</x:v>
      </x:c>
    </x:row>
    <x:row r="201">
      <x:c r="B201" s="24" t="str">
        <x:v>I15-G3</x:v>
      </x:c>
      <x:c r="C201" s="24" t="str">
        <x:v>Export variants</x:v>
      </x:c>
      <x:c r="D201" s="24" t="str">
        <x:v>Both</x:v>
      </x:c>
      <x:c r="E201" s="24" t="str">
        <x:v>Industrial</x:v>
      </x:c>
      <x:c r="F201" s="24" t="str">
        <x:v>G3</x:v>
      </x:c>
      <x:c r="G201" s="24" t="str">
        <x:v>representative article</x:v>
      </x:c>
      <x:c r="H201" s="24" t="str">
        <x:v>configuration output hazard maintainability record</x:v>
      </x:c>
      <x:c r="I201" s="24" t="str">
        <x:v>F11</x:v>
      </x:c>
      <x:c r="J201" s="24" t="n">
        <x:v>14</x:v>
      </x:c>
      <x:c r="K201" s="24" t="str">
        <x:v>Family Certification Authority</x:v>
      </x:c>
      <x:c r="L201" s="24" t="str">
        <x:v>registered threshold plus uncertainty and guardband</x:v>
      </x:c>
      <x:c r="M201" s="24" t="str">
        <x:v>reopen stage and every dependent claim</x:v>
      </x:c>
      <x:c r="N201" s="26" t="str">
        <x:v>OPEN</x:v>
      </x:c>
    </x:row>
    <x:row r="202">
      <x:c r="B202" s="24" t="str">
        <x:v>I15-G4</x:v>
      </x:c>
      <x:c r="C202" s="24" t="str">
        <x:v>Export variants</x:v>
      </x:c>
      <x:c r="D202" s="24" t="str">
        <x:v>Both</x:v>
      </x:c>
      <x:c r="E202" s="24" t="str">
        <x:v>Industrial</x:v>
      </x:c>
      <x:c r="F202" s="24" t="str">
        <x:v>G4</x:v>
      </x:c>
      <x:c r="G202" s="24" t="str">
        <x:v>five-family set</x:v>
      </x:c>
      <x:c r="H202" s="24" t="str">
        <x:v>simultaneous coupling and public-service vector</x:v>
      </x:c>
      <x:c r="I202" s="24" t="str">
        <x:v>F09</x:v>
      </x:c>
      <x:c r="J202" s="24" t="n">
        <x:v>12</x:v>
      </x:c>
      <x:c r="K202" s="24" t="str">
        <x:v>Set Integration Authority</x:v>
      </x:c>
      <x:c r="L202" s="24" t="str">
        <x:v>registered threshold plus uncertainty and guardband</x:v>
      </x:c>
      <x:c r="M202" s="24" t="str">
        <x:v>reopen stage and every dependent claim</x:v>
      </x:c>
      <x:c r="N202" s="26" t="str">
        <x:v>OPEN</x:v>
      </x:c>
    </x:row>
    <x:row r="203">
      <x:c r="B203" s="24" t="str">
        <x:v>I15-G5</x:v>
      </x:c>
      <x:c r="C203" s="24" t="str">
        <x:v>Export variants</x:v>
      </x:c>
      <x:c r="D203" s="24" t="str">
        <x:v>Both</x:v>
      </x:c>
      <x:c r="E203" s="24" t="str">
        <x:v>Industrial</x:v>
      </x:c>
      <x:c r="F203" s="24" t="str">
        <x:v>G5</x:v>
      </x:c>
      <x:c r="G203" s="24" t="str">
        <x:v>instrumented carrier</x:v>
      </x:c>
      <x:c r="H203" s="24" t="str">
        <x:v>structure CG restraint transfer fire evacuation record</x:v>
      </x:c>
      <x:c r="I203" s="24" t="str">
        <x:v>F09</x:v>
      </x:c>
      <x:c r="J203" s="24" t="n">
        <x:v>16</x:v>
      </x:c>
      <x:c r="K203" s="24" t="str">
        <x:v>Vehicle Certification Authority</x:v>
      </x:c>
      <x:c r="L203" s="24" t="str">
        <x:v>registered threshold plus uncertainty and guardband</x:v>
      </x:c>
      <x:c r="M203" s="24" t="str">
        <x:v>reopen stage and every dependent claim</x:v>
      </x:c>
      <x:c r="N203" s="26" t="str">
        <x:v>OPEN</x:v>
      </x:c>
    </x:row>
    <x:row r="204">
      <x:c r="B204" s="24" t="str">
        <x:v>I15-G6</x:v>
      </x:c>
      <x:c r="C204" s="24" t="str">
        <x:v>Export variants</x:v>
      </x:c>
      <x:c r="D204" s="24" t="str">
        <x:v>Both</x:v>
      </x:c>
      <x:c r="E204" s="24" t="str">
        <x:v>Industrial</x:v>
      </x:c>
      <x:c r="F204" s="24" t="str">
        <x:v>G6</x:v>
      </x:c>
      <x:c r="G204" s="24" t="str">
        <x:v>receiver complex</x:v>
      </x:c>
      <x:c r="H204" s="24" t="str">
        <x:v>assembly assay handoff public release record</x:v>
      </x:c>
      <x:c r="I204" s="24" t="str">
        <x:v>F09</x:v>
      </x:c>
      <x:c r="J204" s="24" t="n">
        <x:v>18</x:v>
      </x:c>
      <x:c r="K204" s="24" t="str">
        <x:v>Receiver Evidence Authority</x:v>
      </x:c>
      <x:c r="L204" s="24" t="str">
        <x:v>registered threshold plus uncertainty and guardband</x:v>
      </x:c>
      <x:c r="M204" s="24" t="str">
        <x:v>reopen stage and every dependent claim</x:v>
      </x:c>
      <x:c r="N204" s="26" t="str">
        <x:v>OPEN</x:v>
      </x:c>
    </x:row>
    <x:row r="205">
      <x:c r="B205" s="24" t="str">
        <x:v>I15-G7</x:v>
      </x:c>
      <x:c r="C205" s="24" t="str">
        <x:v>Export variants</x:v>
      </x:c>
      <x:c r="D205" s="24" t="str">
        <x:v>Both</x:v>
      </x:c>
      <x:c r="E205" s="24" t="str">
        <x:v>Industrial</x:v>
      </x:c>
      <x:c r="F205" s="24" t="str">
        <x:v>G7</x:v>
      </x:c>
      <x:c r="G205" s="24" t="str">
        <x:v>survivor formation</x:v>
      </x:c>
      <x:c r="H205" s="24" t="str">
        <x:v>blinded casualty denial and safe-stop record</x:v>
      </x:c>
      <x:c r="I205" s="24" t="str">
        <x:v>F09</x:v>
      </x:c>
      <x:c r="J205" s="24" t="n">
        <x:v>20</x:v>
      </x:c>
      <x:c r="K205" s="24" t="str">
        <x:v>Destructive Trial Authority</x:v>
      </x:c>
      <x:c r="L205" s="24" t="str">
        <x:v>registered threshold plus uncertainty and guardband</x:v>
      </x:c>
      <x:c r="M205" s="24" t="str">
        <x:v>reopen stage and every dependent claim</x:v>
      </x:c>
      <x:c r="N205" s="26" t="str">
        <x:v>OPEN</x:v>
      </x:c>
    </x:row>
    <x:row r="206">
      <x:c r="B206" s="27" t="str">
        <x:v>I15-G8</x:v>
      </x:c>
      <x:c r="C206" s="27" t="str">
        <x:v>Export variants</x:v>
      </x:c>
      <x:c r="D206" s="27" t="str">
        <x:v>Both</x:v>
      </x:c>
      <x:c r="E206" s="27" t="str">
        <x:v>Industrial</x:v>
      </x:c>
      <x:c r="F206" s="27" t="str">
        <x:v>G8</x:v>
      </x:c>
      <x:c r="G206" s="27" t="str">
        <x:v>second-lot and reset chain</x:v>
      </x:c>
      <x:c r="H206" s="27" t="str">
        <x:v>repeat mission lot trace depot replication record</x:v>
      </x:c>
      <x:c r="I206" s="27" t="str">
        <x:v>F11</x:v>
      </x:c>
      <x:c r="J206" s="27" t="n">
        <x:v>12</x:v>
      </x:c>
      <x:c r="K206" s="27" t="str">
        <x:v>Production Evidence Authority</x:v>
      </x:c>
      <x:c r="L206" s="27" t="str">
        <x:v>registered threshold plus uncertainty and guardband</x:v>
      </x:c>
      <x:c r="M206" s="27" t="str">
        <x:v>reopen stage and every dependent claim</x:v>
      </x:c>
      <x:c r="N206" s="29" t="str">
        <x:v>OPEN</x:v>
      </x:c>
    </x:row>
  </x:sheetData>
  <x:mergeCells>
    <x:mergeCell ref="B2:H2"/>
    <x:mergeCell ref="B3:N3"/>
  </x:mergeCells>
  <x:conditionalFormatting sqref="N7:N206">
    <x:cfRule type="containsText" dxfId="40" priority="1" operator="containsText" text="FAIL"/>
    <x:cfRule type="containsText" dxfId="41" priority="2" operator="containsText" text="PASS"/>
    <x:cfRule type="containsText" dxfId="42" priority="3" operator="containsText" text="OPEN"/>
    <x:cfRule type="containsText" dxfId="43" priority="4" operator="containsText" text="HOLD"/>
    <x:cfRule type="containsText" dxfId="44" priority="5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14" hidden="0" customWidth="1"/>
    <x:col min="4" max="4" width="14" hidden="0" customWidth="1"/>
    <x:col min="5" max="5" width="13" hidden="0" customWidth="1"/>
    <x:col min="6" max="6" width="24" hidden="0" customWidth="1"/>
    <x:col min="7" max="7" width="38" hidden="0" customWidth="1"/>
    <x:col min="8" max="8" width="28" hidden="0" customWidth="1"/>
    <x:col min="9" max="9" width="27" hidden="0" customWidth="1"/>
    <x:col min="10" max="10" width="26" hidden="0" customWidth="1"/>
    <x:col min="11" max="11" width="12" hidden="0" customWidth="1"/>
    <x:col min="12" max="12" width="13" hidden="0" customWidth="1"/>
    <x:col min="13" max="13" width="24" hidden="0" customWidth="1"/>
  </x:cols>
  <x:sheetData>
    <x:row r="2">
      <x:c r="B2" s="4" t="str">
        <x:v>Fourteen-year qualification DAG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B3" s="5" t="str">
        <x:v>Production evidence depends on ordered physical closure; schedule overlap is permitted only where dependency arrows remain intact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B6" s="22" t="str">
        <x:v>Phase</x:v>
      </x:c>
      <x:c r="C6" s="23" t="str">
        <x:v>Start year</x:v>
      </x:c>
      <x:c r="D6" s="23" t="str">
        <x:v>End year</x:v>
      </x:c>
      <x:c r="E6" s="23" t="str">
        <x:v>Duration</x:v>
      </x:c>
      <x:c r="F6" s="23" t="str">
        <x:v>Predecessor</x:v>
      </x:c>
      <x:c r="G6" s="23" t="str">
        <x:v>Exit artifact</x:v>
      </x:c>
      <x:c r="H6" s="23" t="str">
        <x:v>Parallel work</x:v>
      </x:c>
      <x:c r="I6" s="23" t="str">
        <x:v>Decision owner</x:v>
      </x:c>
      <x:c r="J6" s="23" t="str">
        <x:v>Rollback</x:v>
      </x:c>
      <x:c r="K6" s="23" t="str">
        <x:v>Critical path</x:v>
      </x:c>
      <x:c r="L6" s="23" t="str">
        <x:v>Initial state</x:v>
      </x:c>
      <x:c r="M6" s="23" t="str">
        <x:v>Claim</x:v>
      </x:c>
    </x:row>
    <x:row r="7">
      <x:c r="B7" s="24" t="str">
        <x:v>Charter and authority</x:v>
      </x:c>
      <x:c r="C7" s="24" t="n">
        <x:v>1</x:v>
      </x:c>
      <x:c r="D7" s="24" t="n">
        <x:v>2</x:v>
      </x:c>
      <x:c r="E7" s="24" t="n">
        <x:f>D7-C7+1</x:f>
        <x:v>2</x:v>
      </x:c>
      <x:c r="F7" s="24" t="str">
        <x:v>none</x:v>
      </x:c>
      <x:c r="G7" s="24" t="str">
        <x:v>evidence constitution and public rights charter</x:v>
      </x:c>
      <x:c r="H7" s="24" t="str">
        <x:v>range class definition</x:v>
      </x:c>
      <x:c r="I7" s="24" t="str">
        <x:v>Resilience Secretary</x:v>
      </x:c>
      <x:c r="J7" s="24" t="str">
        <x:v>void invalid delegations</x:v>
      </x:c>
      <x:c r="K7" s="24" t="str">
        <x:v>yes</x:v>
      </x:c>
      <x:c r="L7" s="24" t="str">
        <x:v>OPEN</x:v>
      </x:c>
      <x:c r="M7" s="26" t="str">
        <x:v>authority</x:v>
      </x:c>
    </x:row>
    <x:row r="8">
      <x:c r="B8" s="24" t="str">
        <x:v>Requirements and burden registry</x:v>
      </x:c>
      <x:c r="C8" s="24" t="n">
        <x:v>1</x:v>
      </x:c>
      <x:c r="D8" s="24" t="n">
        <x:v>3</x:v>
      </x:c>
      <x:c r="E8" s="24" t="n">
        <x:f>D8-C8+1</x:f>
        <x:v>3</x:v>
      </x:c>
      <x:c r="F8" s="24" t="str">
        <x:v>charter</x:v>
      </x:c>
      <x:c r="G8" s="24" t="str">
        <x:v>versioned burden hazard and service contracts</x:v>
      </x:c>
      <x:c r="H8" s="24" t="str">
        <x:v>all 25 campaigns</x:v>
      </x:c>
      <x:c r="I8" s="24" t="str">
        <x:v>Requirements Authority</x:v>
      </x:c>
      <x:c r="J8" s="24" t="str">
        <x:v>reopen claim</x:v>
      </x:c>
      <x:c r="K8" s="24" t="str">
        <x:v>yes</x:v>
      </x:c>
      <x:c r="L8" s="24" t="str">
        <x:v>OPEN</x:v>
      </x:c>
      <x:c r="M8" s="26" t="str">
        <x:v>claim completeness</x:v>
      </x:c>
    </x:row>
    <x:row r="9">
      <x:c r="B9" s="24" t="str">
        <x:v>Coupons and mechanisms</x:v>
      </x:c>
      <x:c r="C9" s="24" t="n">
        <x:v>2</x:v>
      </x:c>
      <x:c r="D9" s="24" t="n">
        <x:v>5</x:v>
      </x:c>
      <x:c r="E9" s="24" t="n">
        <x:f>D9-C9+1</x:f>
        <x:v>4</x:v>
      </x:c>
      <x:c r="F9" s="24" t="str">
        <x:v>requirements</x:v>
      </x:c>
      <x:c r="G9" s="24" t="str">
        <x:v>failure physics and uncertainty dossiers</x:v>
      </x:c>
      <x:c r="H9" s="24" t="str">
        <x:v>five domains both lineages</x:v>
      </x:c>
      <x:c r="I9" s="24" t="str">
        <x:v>Laboratory Authority</x:v>
      </x:c>
      <x:c r="J9" s="24" t="str">
        <x:v>reopen mechanism</x:v>
      </x:c>
      <x:c r="K9" s="24" t="str">
        <x:v>yes</x:v>
      </x:c>
      <x:c r="L9" s="24" t="str">
        <x:v>OPEN</x:v>
      </x:c>
      <x:c r="M9" s="26" t="str">
        <x:v>mechanism</x:v>
      </x:c>
    </x:row>
    <x:row r="10">
      <x:c r="B10" s="24" t="str">
        <x:v>Family articles</x:v>
      </x:c>
      <x:c r="C10" s="24" t="n">
        <x:v>3</x:v>
      </x:c>
      <x:c r="D10" s="24" t="n">
        <x:v>7</x:v>
      </x:c>
      <x:c r="E10" s="24" t="n">
        <x:f>D10-C10+1</x:f>
        <x:v>5</x:v>
      </x:c>
      <x:c r="F10" s="24" t="str">
        <x:v>coupons</x:v>
      </x:c>
      <x:c r="G10" s="24" t="str">
        <x:v>ten representative family-lineage articles</x:v>
      </x:c>
      <x:c r="H10" s="24" t="str">
        <x:v>plural suppliers</x:v>
      </x:c>
      <x:c r="I10" s="24" t="str">
        <x:v>Family Authorities</x:v>
      </x:c>
      <x:c r="J10" s="24" t="str">
        <x:v>reopen family</x:v>
      </x:c>
      <x:c r="K10" s="24" t="str">
        <x:v>yes</x:v>
      </x:c>
      <x:c r="L10" s="24" t="str">
        <x:v>OPEN</x:v>
      </x:c>
      <x:c r="M10" s="26" t="str">
        <x:v>family</x:v>
      </x:c>
    </x:row>
    <x:row r="11">
      <x:c r="B11" s="24" t="str">
        <x:v>Five-family set integration</x:v>
      </x:c>
      <x:c r="C11" s="24" t="n">
        <x:v>5</x:v>
      </x:c>
      <x:c r="D11" s="24" t="n">
        <x:v>9</x:v>
      </x:c>
      <x:c r="E11" s="24" t="n">
        <x:f>D11-C11+1</x:f>
        <x:v>5</x:v>
      </x:c>
      <x:c r="F11" s="24" t="str">
        <x:v>family articles</x:v>
      </x:c>
      <x:c r="G11" s="24" t="str">
        <x:v>simultaneous service-vector evidence</x:v>
      </x:c>
      <x:c r="H11" s="24" t="str">
        <x:v>four environmental classes</x:v>
      </x:c>
      <x:c r="I11" s="24" t="str">
        <x:v>Set Authority</x:v>
      </x:c>
      <x:c r="J11" s="24" t="str">
        <x:v>reopen interface</x:v>
      </x:c>
      <x:c r="K11" s="24" t="str">
        <x:v>yes</x:v>
      </x:c>
      <x:c r="L11" s="24" t="str">
        <x:v>OPEN</x:v>
      </x:c>
      <x:c r="M11" s="26" t="str">
        <x:v>coupling</x:v>
      </x:c>
    </x:row>
    <x:row r="12">
      <x:c r="B12" s="24" t="str">
        <x:v>Carrier integration</x:v>
      </x:c>
      <x:c r="C12" s="24" t="n">
        <x:v>6</x:v>
      </x:c>
      <x:c r="D12" s="24" t="n">
        <x:v>10</x:v>
      </x:c>
      <x:c r="E12" s="24" t="n">
        <x:f>D12-C12+1</x:f>
        <x:v>5</x:v>
      </x:c>
      <x:c r="F12" s="24" t="str">
        <x:v>family articles</x:v>
      </x:c>
      <x:c r="G12" s="24" t="str">
        <x:v>air and terrain carrier evidence</x:v>
      </x:c>
      <x:c r="H12" s="24" t="str">
        <x:v>receiver engineering</x:v>
      </x:c>
      <x:c r="I12" s="24" t="str">
        <x:v>Vehicle Authorities</x:v>
      </x:c>
      <x:c r="J12" s="24" t="str">
        <x:v>reopen carrier</x:v>
      </x:c>
      <x:c r="K12" s="24" t="str">
        <x:v>yes</x:v>
      </x:c>
      <x:c r="L12" s="24" t="str">
        <x:v>OPEN</x:v>
      </x:c>
      <x:c r="M12" s="26" t="str">
        <x:v>mobility</x:v>
      </x:c>
    </x:row>
    <x:row r="13">
      <x:c r="B13" s="24" t="str">
        <x:v>Unprepared receiver proof</x:v>
      </x:c>
      <x:c r="C13" s="24" t="n">
        <x:v>7</x:v>
      </x:c>
      <x:c r="D13" s="24" t="n">
        <x:v>11</x:v>
      </x:c>
      <x:c r="E13" s="24" t="n">
        <x:f>D13-C13+1</x:f>
        <x:v>5</x:v>
      </x:c>
      <x:c r="F13" s="24" t="str">
        <x:v>set and carrier</x:v>
      </x:c>
      <x:c r="G13" s="24" t="str">
        <x:v>lawful public service at receiver</x:v>
      </x:c>
      <x:c r="H13" s="24" t="str">
        <x:v>four range classes</x:v>
      </x:c>
      <x:c r="I13" s="24" t="str">
        <x:v>Civil and Receiver Authorities</x:v>
      </x:c>
      <x:c r="J13" s="24" t="str">
        <x:v>reopen receiver</x:v>
      </x:c>
      <x:c r="K13" s="24" t="str">
        <x:v>yes</x:v>
      </x:c>
      <x:c r="L13" s="24" t="str">
        <x:v>OPEN</x:v>
      </x:c>
      <x:c r="M13" s="26" t="str">
        <x:v>service</x:v>
      </x:c>
    </x:row>
    <x:row r="14">
      <x:c r="B14" s="24" t="str">
        <x:v>Full-mission campaign</x:v>
      </x:c>
      <x:c r="C14" s="24" t="n">
        <x:v>9</x:v>
      </x:c>
      <x:c r="D14" s="24" t="n">
        <x:v>12</x:v>
      </x:c>
      <x:c r="E14" s="24" t="n">
        <x:f>D14-C14+1</x:f>
        <x:v>4</x:v>
      </x:c>
      <x:c r="F14" s="24" t="str">
        <x:v>receiver</x:v>
      </x:c>
      <x:c r="G14" s="24" t="str">
        <x:v>200 registered missions</x:v>
      </x:c>
      <x:c r="H14" s="24" t="str">
        <x:v>reset trials</x:v>
      </x:c>
      <x:c r="I14" s="24" t="str">
        <x:v>Destructive Trial Authority</x:v>
      </x:c>
      <x:c r="J14" s="24" t="str">
        <x:v>reopen architecture</x:v>
      </x:c>
      <x:c r="K14" s="24" t="str">
        <x:v>yes</x:v>
      </x:c>
      <x:c r="L14" s="24" t="str">
        <x:v>OPEN</x:v>
      </x:c>
      <x:c r="M14" s="26" t="str">
        <x:v>formation</x:v>
      </x:c>
    </x:row>
    <x:row r="15">
      <x:c r="B15" s="24" t="str">
        <x:v>Independent replication</x:v>
      </x:c>
      <x:c r="C15" s="24" t="n">
        <x:v>12</x:v>
      </x:c>
      <x:c r="D15" s="24" t="n">
        <x:v>14</x:v>
      </x:c>
      <x:c r="E15" s="24" t="n">
        <x:f>D15-C15+1</x:f>
        <x:v>3</x:v>
      </x:c>
      <x:c r="F15" s="24" t="str">
        <x:v>full mission</x:v>
      </x:c>
      <x:c r="G15" s="24" t="str">
        <x:v>second-lot repeat by new crews</x:v>
      </x:c>
      <x:c r="H15" s="24" t="str">
        <x:v>pilot production</x:v>
      </x:c>
      <x:c r="I15" s="24" t="str">
        <x:v>Production Evidence Authority</x:v>
      </x:c>
      <x:c r="J15" s="24" t="str">
        <x:v>hold production</x:v>
      </x:c>
      <x:c r="K15" s="24" t="str">
        <x:v>yes</x:v>
      </x:c>
      <x:c r="L15" s="24" t="str">
        <x:v>OPEN</x:v>
      </x:c>
      <x:c r="M15" s="26" t="str">
        <x:v>reproducibility</x:v>
      </x:c>
    </x:row>
    <x:row r="16">
      <x:c r="B16" s="27" t="str">
        <x:v>Continuous block proof</x:v>
      </x:c>
      <x:c r="C16" s="27" t="n">
        <x:v>15</x:v>
      </x:c>
      <x:c r="D16" s="27" t="n">
        <x:v>25</x:v>
      </x:c>
      <x:c r="E16" s="27" t="n">
        <x:f>D16-C16+1</x:f>
        <x:v>11</x:v>
      </x:c>
      <x:c r="F16" s="27" t="str">
        <x:v>production decision</x:v>
      </x:c>
      <x:c r="G16" s="27" t="str">
        <x:v>lot and software block evidence</x:v>
      </x:c>
      <x:c r="H16" s="27" t="str">
        <x:v>field exercises</x:v>
      </x:c>
      <x:c r="I16" s="27" t="str">
        <x:v>Service Systems Proving Command</x:v>
      </x:c>
      <x:c r="J16" s="27" t="str">
        <x:v>ground affected block</x:v>
      </x:c>
      <x:c r="K16" s="27" t="str">
        <x:v>no</x:v>
      </x:c>
      <x:c r="L16" s="27" t="str">
        <x:v>OPEN</x:v>
      </x:c>
      <x:c r="M16" s="29" t="str">
        <x:v>sustainment</x:v>
      </x:c>
    </x:row>
    <x:row r="17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B19" s="9" t="str">
        <x:v>Production decision</x:v>
      </x:c>
      <x:c r="C19" s="10" t="str">
        <x:v>Production decision</x:v>
      </x:c>
      <x:c r="D19" s="10" t="str">
        <x:v>Production decision</x:v>
      </x:c>
      <x:c r="E19" s="10" t="str">
        <x:v>Production decision</x:v>
      </x:c>
      <x:c r="F19" s="10" t="str">
        <x:v>Production decision</x:v>
      </x:c>
      <x:c r="G19" s="10" t="str">
        <x:v>Production decision</x:v>
      </x:c>
      <x:c r="H19" s="10" t="str">
        <x:v>Production decision</x:v>
      </x:c>
      <x:c r="I19" s="10" t="str">
        <x:v>Production decision</x:v>
      </x:c>
      <x:c r="J19" s="10" t="str">
        <x:v>Production decision</x:v>
      </x:c>
      <x:c r="K19" s="10" t="str">
        <x:v>Production decision</x:v>
      </x:c>
      <x:c r="L19" s="10" t="str">
        <x:v>Production decision</x:v>
      </x:c>
      <x:c r="M19" s="11" t="str">
        <x:v>Production decision</x:v>
      </x:c>
    </x:row>
    <x:row r="20">
      <x:c r="B20" s="3" t="str">
        <x:v>Rule</x:v>
      </x:c>
      <x:c r="C20" s="3" t="str">
        <x:v>Value</x:v>
      </x:c>
      <x:c r="D20" s="3" t="str">
        <x:v>Threshold</x:v>
      </x:c>
      <x:c r="E20" s="3" t="str">
        <x:v>Result</x:v>
      </x:c>
      <x:c r="F20" s="3" t="str">
        <x:v>Meaning</x:v>
      </x:c>
      <x:c r="G20" s="3"/>
      <x:c r="H20" s="3"/>
      <x:c r="I20" s="3"/>
      <x:c r="J20" s="3"/>
      <x:c r="K20" s="3"/>
      <x:c r="L20" s="3"/>
      <x:c r="M20" s="3"/>
    </x:row>
    <x:row r="21">
      <x:c r="B21" s="3" t="str">
        <x:v>Earliest production decision year</x:v>
      </x:c>
      <x:c r="C21" s="3" t="n">
        <x:v>14</x:v>
      </x:c>
      <x:c r="D21" s="3" t="n">
        <x:v>14</x:v>
      </x:c>
      <x:c r="E21" s="3" t="str">
        <x:f>IF(C21&gt;=D21,"PASS","FAIL")</x:f>
        <x:v>PASS</x:v>
      </x:c>
      <x:c r="F21" s="3" t="str">
        <x:v>never infer readiness from prototype schedule</x:v>
      </x:c>
      <x:c r="G21" s="3"/>
      <x:c r="H21" s="3"/>
      <x:c r="I21" s="3"/>
      <x:c r="J21" s="3"/>
      <x:c r="K21" s="3"/>
      <x:c r="L21" s="3"/>
      <x:c r="M21" s="3"/>
    </x:row>
    <x:row r="22">
      <x:c r="B22" s="3" t="str">
        <x:v>Evidence gates closed</x:v>
      </x:c>
      <x:c r="C22" s="3" t="n">
        <x:v>0</x:v>
      </x:c>
      <x:c r="D22" s="3" t="n">
        <x:v>200</x:v>
      </x:c>
      <x:c r="E22" s="3" t="str">
        <x:f>IF(C22=D22,"PASS","FAIL")</x:f>
        <x:v>FAIL</x:v>
      </x:c>
      <x:c r="F22" s="3" t="str">
        <x:v>all gates are presently open</x:v>
      </x:c>
      <x:c r="G22" s="3"/>
      <x:c r="H22" s="3"/>
      <x:c r="I22" s="3"/>
      <x:c r="J22" s="3"/>
      <x:c r="K22" s="3"/>
      <x:c r="L22" s="3"/>
      <x:c r="M22" s="3"/>
    </x:row>
    <x:row r="23">
      <x:c r="B23" s="3" t="str">
        <x:v>Decision</x:v>
      </x:c>
      <x:c r="C23" s="3" t="n">
        <x:v>0</x:v>
      </x:c>
      <x:c r="D23" s="3" t="n">
        <x:v>1</x:v>
      </x:c>
      <x:c r="E23" s="3" t="str">
        <x:f>IF(AND(C21&gt;=D21,C22=D22),"PASS","HOLD")</x:f>
        <x:v>HOLD</x:v>
      </x:c>
      <x:c r="F23" s="3" t="str">
        <x:v>HOLD until year and evidence conditions close</x:v>
      </x:c>
      <x:c r="G23" s="3"/>
      <x:c r="H23" s="3"/>
      <x:c r="I23" s="3"/>
      <x:c r="J23" s="3"/>
      <x:c r="K23" s="3"/>
      <x:c r="L23" s="3"/>
      <x:c r="M23" s="3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</x:sheetData>
  <x:mergeCells>
    <x:mergeCell ref="B2:H2"/>
    <x:mergeCell ref="B3:M3"/>
    <x:mergeCell ref="B19:M19"/>
  </x:mergeCells>
  <x:conditionalFormatting sqref="L7:L16">
    <x:cfRule type="containsText" dxfId="45" priority="1" operator="containsText" text="FAIL"/>
    <x:cfRule type="containsText" dxfId="46" priority="2" operator="containsText" text="PASS"/>
    <x:cfRule type="containsText" dxfId="47" priority="3" operator="containsText" text="OPEN"/>
    <x:cfRule type="containsText" dxfId="48" priority="4" operator="containsText" text="HOLD"/>
    <x:cfRule type="containsText" dxfId="49" priority="5" operator="containsText" text="BLOCKED"/>
  </x:conditionalFormatting>
  <x:conditionalFormatting sqref="E21:E23">
    <x:cfRule type="containsText" dxfId="50" priority="6" operator="containsText" text="FAIL"/>
    <x:cfRule type="containsText" dxfId="51" priority="7" operator="containsText" text="PASS"/>
    <x:cfRule type="containsText" dxfId="52" priority="8" operator="containsText" text="OPEN"/>
    <x:cfRule type="containsText" dxfId="53" priority="9" operator="containsText" text="HOLD"/>
    <x:cfRule type="containsText" dxfId="54" priority="10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13" hidden="0" customWidth="1"/>
    <x:col min="4" max="4" width="13" hidden="0" customWidth="1"/>
    <x:col min="5" max="5" width="43" hidden="0" customWidth="1"/>
    <x:col min="6" max="6" width="17" hidden="0" customWidth="1"/>
    <x:col min="7" max="7" width="12" hidden="0" customWidth="1"/>
    <x:col min="8" max="8" width="14" hidden="0" customWidth="1"/>
    <x:col min="9" max="9" width="15" hidden="0" customWidth="1"/>
    <x:col min="10" max="10" width="20" hidden="0" customWidth="1"/>
    <x:col min="11" max="11" width="15" hidden="0" customWidth="1"/>
    <x:col min="12" max="12" width="14" hidden="0" customWidth="1"/>
    <x:col min="13" max="13" width="13" hidden="0" customWidth="1"/>
    <x:col min="14" max="14" width="12" hidden="0" customWidth="1"/>
  </x:cols>
  <x:sheetData>
    <x:row r="2">
      <x:c r="B2" s="4" t="str">
        <x:v>Compound-service range capacity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B3" s="5" t="str">
        <x:v>Four paired environmental classes support two air and two terrain formations concurrently without borrowing qualification articles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B6" s="22" t="str">
        <x:v>Range class</x:v>
      </x:c>
      <x:c r="C6" s="23" t="str">
        <x:v>Air complex</x:v>
      </x:c>
      <x:c r="D6" s="23" t="str">
        <x:v>Terrain complex</x:v>
      </x:c>
      <x:c r="E6" s="23" t="str">
        <x:v>Environmental compound</x:v>
      </x:c>
      <x:c r="F6" s="23" t="str">
        <x:v>Operating days/year</x:v>
      </x:c>
      <x:c r="G6" s="23" t="str">
        <x:v>Years</x:v>
      </x:c>
      <x:c r="H6" s="23" t="str">
        <x:v>Mission days</x:v>
      </x:c>
      <x:c r="I6" s="23" t="str">
        <x:v>Gross missions</x:v>
      </x:c>
      <x:c r="J6" s="23" t="str">
        <x:v>Article-limited concurrency</x:v>
      </x:c>
      <x:c r="K6" s="23" t="str">
        <x:v>Mode capacity</x:v>
      </x:c>
      <x:c r="L6" s="23" t="str">
        <x:v>Mode demand</x:v>
      </x:c>
      <x:c r="M6" s="23" t="str">
        <x:v>Margin</x:v>
      </x:c>
      <x:c r="N6" s="23" t="str">
        <x:v>Result</x:v>
      </x:c>
    </x:row>
    <x:row r="7">
      <x:c r="B7" s="24" t="str">
        <x:v>Humid coastal and salt</x:v>
      </x:c>
      <x:c r="C7" s="24" t="str">
        <x:v>yes</x:v>
      </x:c>
      <x:c r="D7" s="24" t="str">
        <x:v>yes</x:v>
      </x:c>
      <x:c r="E7" s="24" t="str">
        <x:v>salt aerosol heat humidity surge debris</x:v>
      </x:c>
      <x:c r="F7" s="24" t="n">
        <x:v>180</x:v>
      </x:c>
      <x:c r="G7" s="24" t="n">
        <x:v>4</x:v>
      </x:c>
      <x:c r="H7" s="24" t="n">
        <x:v>10</x:v>
      </x:c>
      <x:c r="I7" s="24" t="n">
        <x:f>F7*G7/H7</x:f>
        <x:v>72</x:v>
      </x:c>
      <x:c r="J7" s="24" t="n">
        <x:v>1</x:v>
      </x:c>
      <x:c r="K7" s="24" t="n">
        <x:f>I7*J7</x:f>
        <x:v>72</x:v>
      </x:c>
      <x:c r="L7" s="24" t="n">
        <x:v>25</x:v>
      </x:c>
      <x:c r="M7" s="24" t="n">
        <x:f>K7-L7</x:f>
        <x:v>47</x:v>
      </x:c>
      <x:c r="N7" s="26" t="str">
        <x:f>IF(M7&gt;=0,"PASS","FAIL")</x:f>
        <x:v>PASS</x:v>
      </x:c>
    </x:row>
    <x:row r="8">
      <x:c r="B8" s="24" t="str">
        <x:v>Arid heat and dust</x:v>
      </x:c>
      <x:c r="C8" s="24" t="str">
        <x:v>yes</x:v>
      </x:c>
      <x:c r="D8" s="24" t="str">
        <x:v>yes</x:v>
      </x:c>
      <x:c r="E8" s="24" t="str">
        <x:v>heat dust smoke water scarcity and grid loss</x:v>
      </x:c>
      <x:c r="F8" s="24" t="n">
        <x:v>180</x:v>
      </x:c>
      <x:c r="G8" s="24" t="n">
        <x:v>4</x:v>
      </x:c>
      <x:c r="H8" s="24" t="n">
        <x:v>10</x:v>
      </x:c>
      <x:c r="I8" s="24" t="n">
        <x:f>F8*G8/H8</x:f>
        <x:v>72</x:v>
      </x:c>
      <x:c r="J8" s="24" t="n">
        <x:v>1</x:v>
      </x:c>
      <x:c r="K8" s="24" t="n">
        <x:f>I8*J8</x:f>
        <x:v>72</x:v>
      </x:c>
      <x:c r="L8" s="24" t="n">
        <x:v>25</x:v>
      </x:c>
      <x:c r="M8" s="24" t="n">
        <x:f>K8-L8</x:f>
        <x:v>47</x:v>
      </x:c>
      <x:c r="N8" s="26" t="str">
        <x:f>IF(M8&gt;=0,"PASS","FAIL")</x:f>
        <x:v>PASS</x:v>
      </x:c>
    </x:row>
    <x:row r="9">
      <x:c r="B9" s="24" t="str">
        <x:v>Cold and freeze</x:v>
      </x:c>
      <x:c r="C9" s="24" t="str">
        <x:v>yes</x:v>
      </x:c>
      <x:c r="D9" s="24" t="str">
        <x:v>yes</x:v>
      </x:c>
      <x:c r="E9" s="24" t="str">
        <x:v>freeze snow icing cold-start and broken roads</x:v>
      </x:c>
      <x:c r="F9" s="24" t="n">
        <x:v>180</x:v>
      </x:c>
      <x:c r="G9" s="24" t="n">
        <x:v>4</x:v>
      </x:c>
      <x:c r="H9" s="24" t="n">
        <x:v>10</x:v>
      </x:c>
      <x:c r="I9" s="24" t="n">
        <x:f>F9*G9/H9</x:f>
        <x:v>72</x:v>
      </x:c>
      <x:c r="J9" s="24" t="n">
        <x:v>1</x:v>
      </x:c>
      <x:c r="K9" s="24" t="n">
        <x:f>I9*J9</x:f>
        <x:v>72</x:v>
      </x:c>
      <x:c r="L9" s="24" t="n">
        <x:v>25</x:v>
      </x:c>
      <x:c r="M9" s="24" t="n">
        <x:f>K9-L9</x:f>
        <x:v>47</x:v>
      </x:c>
      <x:c r="N9" s="26" t="str">
        <x:f>IF(M9&gt;=0,"PASS","FAIL")</x:f>
        <x:v>PASS</x:v>
      </x:c>
    </x:row>
    <x:row r="10">
      <x:c r="B10" s="27" t="str">
        <x:v>Weak-soil flood and urban debris</x:v>
      </x:c>
      <x:c r="C10" s="27" t="str">
        <x:v>yes</x:v>
      </x:c>
      <x:c r="D10" s="27" t="str">
        <x:v>yes</x:v>
      </x:c>
      <x:c r="E10" s="27" t="str">
        <x:v>saturation low bearing flooded access rubble and utility conflict</x:v>
      </x:c>
      <x:c r="F10" s="27" t="n">
        <x:v>180</x:v>
      </x:c>
      <x:c r="G10" s="27" t="n">
        <x:v>4</x:v>
      </x:c>
      <x:c r="H10" s="27" t="n">
        <x:v>10</x:v>
      </x:c>
      <x:c r="I10" s="27" t="n">
        <x:f>F10*G10/H10</x:f>
        <x:v>72</x:v>
      </x:c>
      <x:c r="J10" s="27" t="n">
        <x:v>1</x:v>
      </x:c>
      <x:c r="K10" s="27" t="n">
        <x:f>I10*J10</x:f>
        <x:v>72</x:v>
      </x:c>
      <x:c r="L10" s="27" t="n">
        <x:v>25</x:v>
      </x:c>
      <x:c r="M10" s="27" t="n">
        <x:f>K10-L10</x:f>
        <x:v>47</x:v>
      </x:c>
      <x:c r="N10" s="29" t="str">
        <x:f>IF(M10&gt;=0,"PASS","FAIL")</x:f>
        <x:v>PASS</x:v>
      </x:c>
    </x:row>
    <x:row r="11"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B13" s="9" t="str">
        <x:v>Mode and national capacity</x:v>
      </x:c>
      <x:c r="C13" s="10" t="str">
        <x:v>Mode and national capacity</x:v>
      </x:c>
      <x:c r="D13" s="10" t="str">
        <x:v>Mode and national capacity</x:v>
      </x:c>
      <x:c r="E13" s="10" t="str">
        <x:v>Mode and national capacity</x:v>
      </x:c>
      <x:c r="F13" s="10" t="str">
        <x:v>Mode and national capacity</x:v>
      </x:c>
      <x:c r="G13" s="10" t="str">
        <x:v>Mode and national capacity</x:v>
      </x:c>
      <x:c r="H13" s="10" t="str">
        <x:v>Mode and national capacity</x:v>
      </x:c>
      <x:c r="I13" s="10" t="str">
        <x:v>Mode and national capacity</x:v>
      </x:c>
      <x:c r="J13" s="10" t="str">
        <x:v>Mode and national capacity</x:v>
      </x:c>
      <x:c r="K13" s="10" t="str">
        <x:v>Mode and national capacity</x:v>
      </x:c>
      <x:c r="L13" s="10" t="str">
        <x:v>Mode and national capacity</x:v>
      </x:c>
      <x:c r="M13" s="11" t="str">
        <x:v>Mode and national capacity</x:v>
      </x:c>
      <x:c r="N13" s="3"/>
    </x:row>
    <x:row r="14">
      <x:c r="B14" s="3" t="str">
        <x:v>Measure</x:v>
      </x:c>
      <x:c r="C14" s="3" t="str">
        <x:v>Calculation</x:v>
      </x:c>
      <x:c r="D14" s="3" t="str">
        <x:v>Capacity</x:v>
      </x:c>
      <x:c r="E14" s="3" t="str">
        <x:v>Demand</x:v>
      </x:c>
      <x:c r="F14" s="3" t="str">
        <x:v>Margin</x:v>
      </x:c>
      <x:c r="G14" s="3" t="str">
        <x:v>Result</x:v>
      </x:c>
      <x:c r="H14" s="3"/>
      <x:c r="I14" s="3"/>
      <x:c r="J14" s="3"/>
      <x:c r="K14" s="3"/>
      <x:c r="L14" s="3"/>
      <x:c r="M14" s="3"/>
      <x:c r="N14" s="3"/>
    </x:row>
    <x:row r="15">
      <x:c r="B15" s="3" t="str">
        <x:v>Air formation capacity</x:v>
      </x:c>
      <x:c r="C15" s="3" t="str">
        <x:v>2 concurrent x 180 days x 4 years / 10</x:v>
      </x:c>
      <x:c r="D15" s="3" t="n">
        <x:f>Assumptions!C16*Assumptions!C31*Assumptions!C33/Assumptions!C32</x:f>
        <x:v>144</x:v>
      </x:c>
      <x:c r="E15" s="3" t="n">
        <x:v>100</x:v>
      </x:c>
      <x:c r="F15" s="3" t="n">
        <x:f>D15-E15</x:f>
        <x:v>44</x:v>
      </x:c>
      <x:c r="G15" s="3" t="str">
        <x:f>IF(F15&gt;=0,"PASS","FAIL")</x:f>
        <x:v>PASS</x:v>
      </x:c>
      <x:c r="H15" s="3"/>
      <x:c r="I15" s="3"/>
      <x:c r="J15" s="3"/>
      <x:c r="K15" s="3"/>
      <x:c r="L15" s="3"/>
      <x:c r="M15" s="3"/>
      <x:c r="N15" s="3"/>
    </x:row>
    <x:row r="16">
      <x:c r="B16" s="3" t="str">
        <x:v>Terrain formation capacity</x:v>
      </x:c>
      <x:c r="C16" s="3" t="str">
        <x:v>2 concurrent x 180 days x 4 years / 10</x:v>
      </x:c>
      <x:c r="D16" s="3" t="n">
        <x:f>Assumptions!C18*Assumptions!C31*Assumptions!C33/Assumptions!C32</x:f>
        <x:v>144</x:v>
      </x:c>
      <x:c r="E16" s="3" t="n">
        <x:v>100</x:v>
      </x:c>
      <x:c r="F16" s="3" t="n">
        <x:f>D16-E16</x:f>
        <x:v>44</x:v>
      </x:c>
      <x:c r="G16" s="3" t="str">
        <x:f>IF(F16&gt;=0,"PASS","FAIL")</x:f>
        <x:v>PASS</x:v>
      </x:c>
      <x:c r="H16" s="3"/>
      <x:c r="I16" s="3"/>
      <x:c r="J16" s="3"/>
      <x:c r="K16" s="3"/>
      <x:c r="L16" s="3"/>
      <x:c r="M16" s="3"/>
      <x:c r="N16" s="3"/>
    </x:row>
    <x:row r="17">
      <x:c r="B17" s="3" t="str">
        <x:v>Gross paired-range capacity</x:v>
      </x:c>
      <x:c r="C17" s="3" t="str">
        <x:v>4 ranges x 180 x 4 / 10</x:v>
      </x:c>
      <x:c r="D17" s="3" t="n">
        <x:f>Assumptions!C30*Assumptions!C31*Assumptions!C33/Assumptions!C32</x:f>
        <x:v>288</x:v>
      </x:c>
      <x:c r="E17" s="3" t="n">
        <x:v>200</x:v>
      </x:c>
      <x:c r="F17" s="3" t="n">
        <x:f>D17-E17</x:f>
        <x:v>88</x:v>
      </x:c>
      <x:c r="G17" s="3" t="str">
        <x:f>IF(F17&gt;=0,"PASS","FAIL")</x:f>
        <x:v>PASS</x:v>
      </x:c>
      <x:c r="H17" s="3"/>
      <x:c r="I17" s="3"/>
      <x:c r="J17" s="3"/>
      <x:c r="K17" s="3"/>
      <x:c r="L17" s="3"/>
      <x:c r="M17" s="3"/>
      <x:c r="N17" s="3"/>
    </x:row>
    <x:row r="18">
      <x:c r="B18" s="3" t="str">
        <x:v>Required mission coverage</x:v>
      </x:c>
      <x:c r="C18" s="3" t="str">
        <x:v>22 x 4 + 4 + 8 per mode</x:v>
      </x:c>
      <x:c r="D18" s="3" t="n">
        <x:v>200</x:v>
      </x:c>
      <x:c r="E18" s="3" t="n">
        <x:v>200</x:v>
      </x:c>
      <x:c r="F18" s="3" t="n">
        <x:f>D18-E18</x:f>
        <x:v>0</x:v>
      </x:c>
      <x:c r="G18" s="3" t="str">
        <x:f>IF(F18&gt;=0,"PASS","FAIL")</x:f>
        <x:v>PASS</x:v>
      </x:c>
      <x:c r="H18" s="3"/>
      <x:c r="I18" s="3"/>
      <x:c r="J18" s="3"/>
      <x:c r="K18" s="3"/>
      <x:c r="L18" s="3"/>
      <x:c r="M18" s="3"/>
      <x:c r="N18" s="3"/>
    </x:row>
    <x:row r="19">
      <x:c r="B19" s="3" t="str">
        <x:v>Air carrier support</x:v>
      </x:c>
      <x:c r="C19" s="3" t="str">
        <x:v>14 development / 3 per mission</x:v>
      </x:c>
      <x:c r="D19" s="3" t="n">
        <x:v>4</x:v>
      </x:c>
      <x:c r="E19" s="3" t="n">
        <x:v>2</x:v>
      </x:c>
      <x:c r="F19" s="3" t="n">
        <x:f>D19-E19</x:f>
        <x:v>2</x:v>
      </x:c>
      <x:c r="G19" s="3" t="str">
        <x:f>IF(F19&gt;=0,"PASS","FAIL")</x:f>
        <x:v>PASS</x:v>
      </x:c>
      <x:c r="H19" s="3"/>
      <x:c r="I19" s="3"/>
      <x:c r="J19" s="3"/>
      <x:c r="K19" s="3"/>
      <x:c r="L19" s="3"/>
      <x:c r="M19" s="3"/>
      <x:c r="N19" s="3"/>
    </x:row>
    <x:row r="20">
      <x:c r="B20" s="3" t="str">
        <x:v>Terrain carrier support</x:v>
      </x:c>
      <x:c r="C20" s="3" t="str">
        <x:v>12 development / 5 per mission</x:v>
      </x:c>
      <x:c r="D20" s="3" t="n">
        <x:v>2</x:v>
      </x:c>
      <x:c r="E20" s="3" t="n">
        <x:v>2</x:v>
      </x:c>
      <x:c r="F20" s="3" t="n">
        <x:f>D20-E20</x:f>
        <x:v>0</x:v>
      </x:c>
      <x:c r="G20" s="3" t="str">
        <x:f>IF(F20&gt;=0,"PASS","FAIL")</x:f>
        <x:v>PASS</x:v>
      </x:c>
      <x:c r="H20" s="3"/>
      <x:c r="I20" s="3"/>
      <x:c r="J20" s="3"/>
      <x:c r="K20" s="3"/>
      <x:c r="L20" s="3"/>
      <x:c r="M20" s="3"/>
      <x:c r="N20" s="3"/>
    </x:row>
    <x:row r="21"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B23" s="9" t="str">
        <x:v>Guardband closure</x:v>
      </x:c>
      <x:c r="C23" s="10" t="str">
        <x:v>Guardband closure</x:v>
      </x:c>
      <x:c r="D23" s="10" t="str">
        <x:v>Guardband closure</x:v>
      </x:c>
      <x:c r="E23" s="10" t="str">
        <x:v>Guardband closure</x:v>
      </x:c>
      <x:c r="F23" s="10" t="str">
        <x:v>Guardband closure</x:v>
      </x:c>
      <x:c r="G23" s="10" t="str">
        <x:v>Guardband closure</x:v>
      </x:c>
      <x:c r="H23" s="10" t="str">
        <x:v>Guardband closure</x:v>
      </x:c>
      <x:c r="I23" s="10" t="str">
        <x:v>Guardband closure</x:v>
      </x:c>
      <x:c r="J23" s="10" t="str">
        <x:v>Guardband closure</x:v>
      </x:c>
      <x:c r="K23" s="10" t="str">
        <x:v>Guardband closure</x:v>
      </x:c>
      <x:c r="L23" s="10" t="str">
        <x:v>Guardband closure</x:v>
      </x:c>
      <x:c r="M23" s="11" t="str">
        <x:v>Guardband closure</x:v>
      </x:c>
      <x:c r="N23" s="3"/>
    </x:row>
    <x:row r="24">
      <x:c r="B24" s="3" t="str">
        <x:v>Measure</x:v>
      </x:c>
      <x:c r="C24" s="3" t="str">
        <x:v>Modeled</x:v>
      </x:c>
      <x:c r="D24" s="3" t="str">
        <x:v>Absolute limit</x:v>
      </x:c>
      <x:c r="E24" s="3" t="str">
        <x:v>Guardband</x:v>
      </x:c>
      <x:c r="F24" s="3" t="str">
        <x:v>Evidence threshold</x:v>
      </x:c>
      <x:c r="G24" s="3" t="str">
        <x:v>Margin to evidence threshold</x:v>
      </x:c>
      <x:c r="H24" s="3"/>
      <x:c r="I24" s="3"/>
      <x:c r="J24" s="3"/>
      <x:c r="K24" s="3"/>
      <x:c r="L24" s="3"/>
      <x:c r="M24" s="3"/>
      <x:c r="N24" s="3"/>
    </x:row>
    <x:row r="25">
      <x:c r="B25" s="3" t="str">
        <x:v>Air stressed service h</x:v>
      </x:c>
      <x:c r="C25" s="3" t="n">
        <x:v>52.9166667</x:v>
      </x:c>
      <x:c r="D25" s="3" t="n">
        <x:v>54</x:v>
      </x:c>
      <x:c r="E25" s="3" t="n">
        <x:v>0.25</x:v>
      </x:c>
      <x:c r="F25" s="3" t="n">
        <x:f>D25-E25</x:f>
        <x:v>53.75</x:v>
      </x:c>
      <x:c r="G25" s="3" t="n">
        <x:f>F25-C25</x:f>
        <x:v>0.8333332999999996</x:v>
      </x:c>
      <x:c r="H25" s="3"/>
      <x:c r="I25" s="3"/>
      <x:c r="J25" s="3"/>
      <x:c r="K25" s="3"/>
      <x:c r="L25" s="3"/>
      <x:c r="M25" s="3"/>
      <x:c r="N25" s="3"/>
    </x:row>
    <x:row r="26">
      <x:c r="B26" s="3" t="str">
        <x:v>Terrain stressed service h</x:v>
      </x:c>
      <x:c r="C26" s="3" t="n">
        <x:v>53.5694444</x:v>
      </x:c>
      <x:c r="D26" s="3" t="n">
        <x:v>54</x:v>
      </x:c>
      <x:c r="E26" s="3" t="n">
        <x:v>0.25</x:v>
      </x:c>
      <x:c r="F26" s="3" t="n">
        <x:f>D26-E26</x:f>
        <x:v>53.75</x:v>
      </x:c>
      <x:c r="G26" s="3" t="n">
        <x:f>F26-C26</x:f>
        <x:v>0.18055559999999815</x:v>
      </x:c>
      <x:c r="H26" s="3"/>
      <x:c r="I26" s="3"/>
      <x:c r="J26" s="3"/>
      <x:c r="K26" s="3"/>
      <x:c r="L26" s="3"/>
      <x:c r="M26" s="3"/>
      <x:c r="N26" s="3"/>
    </x:row>
    <x:row r="27">
      <x:c r="B27" s="3" t="str">
        <x:v>Terrain soil pressure kPa</x:v>
      </x:c>
      <x:c r="C27" s="3" t="n">
        <x:v>34.2492055</x:v>
      </x:c>
      <x:c r="D27" s="3" t="n">
        <x:v>35</x:v>
      </x:c>
      <x:c r="E27" s="3" t="n">
        <x:v>0.25</x:v>
      </x:c>
      <x:c r="F27" s="3" t="n">
        <x:f>D27-E27</x:f>
        <x:v>34.75</x:v>
      </x:c>
      <x:c r="G27" s="3" t="n">
        <x:f>F27-C27</x:f>
        <x:v>0.5007944999999978</x:v>
      </x:c>
      <x:c r="H27" s="3"/>
      <x:c r="I27" s="3"/>
      <x:c r="J27" s="3"/>
      <x:c r="K27" s="3"/>
      <x:c r="L27" s="3"/>
      <x:c r="M27" s="3"/>
      <x:c r="N27" s="3"/>
    </x:row>
    <x:row r="28">
      <x:c r="B28" s="3" t="str">
        <x:v>Terrain reset h</x:v>
      </x:c>
      <x:c r="C28" s="3" t="n">
        <x:v>167</x:v>
      </x:c>
      <x:c r="D28" s="3" t="n">
        <x:v>168</x:v>
      </x:c>
      <x:c r="E28" s="3" t="n">
        <x:v>0.5</x:v>
      </x:c>
      <x:c r="F28" s="3" t="n">
        <x:f>D28-E28</x:f>
        <x:v>167.5</x:v>
      </x:c>
      <x:c r="G28" s="3" t="n">
        <x:f>F28-C28</x:f>
        <x:v>0.5</x:v>
      </x:c>
      <x:c r="H28" s="3"/>
      <x:c r="I28" s="3"/>
      <x:c r="J28" s="3"/>
      <x:c r="K28" s="3"/>
      <x:c r="L28" s="3"/>
      <x:c r="M28" s="3"/>
      <x:c r="N28" s="3"/>
    </x:row>
  </x:sheetData>
  <x:mergeCells>
    <x:mergeCell ref="B2:H2"/>
    <x:mergeCell ref="B3:N3"/>
    <x:mergeCell ref="B13:M13"/>
    <x:mergeCell ref="B23:M23"/>
  </x:mergeCells>
  <x:conditionalFormatting sqref="N7:N10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OPEN"/>
    <x:cfRule type="containsText" dxfId="3" priority="4" operator="containsText" text="HOLD"/>
    <x:cfRule type="containsText" dxfId="4" priority="5" operator="containsText" text="BLOCKED"/>
  </x:conditionalFormatting>
  <x:conditionalFormatting sqref="G15:G20">
    <x:cfRule type="containsText" dxfId="5" priority="6" operator="containsText" text="FAIL"/>
    <x:cfRule type="containsText" dxfId="6" priority="7" operator="containsText" text="PASS"/>
    <x:cfRule type="containsText" dxfId="7" priority="8" operator="containsText" text="OPEN"/>
    <x:cfRule type="containsText" dxfId="8" priority="9" operator="containsText" text="HOLD"/>
    <x:cfRule type="containsText" dxfId="9" priority="10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2" hidden="0" customWidth="1"/>
    <x:col min="4" max="4" width="18" hidden="0" customWidth="1"/>
    <x:col min="5" max="5" width="31" hidden="0" customWidth="1"/>
    <x:col min="6" max="6" width="13" hidden="0" customWidth="1"/>
    <x:col min="7" max="7" width="12" hidden="0" customWidth="1"/>
    <x:col min="8" max="8" width="37" hidden="0" customWidth="1"/>
    <x:col min="9" max="9" width="13" hidden="0" customWidth="1"/>
    <x:col min="10" max="10" width="27" hidden="0" customWidth="1"/>
    <x:col min="11" max="11" width="20" hidden="0" customWidth="1"/>
    <x:col min="12" max="12" width="20" hidden="0" customWidth="1"/>
    <x:col min="13" max="13" width="12" hidden="0" customWidth="1"/>
    <x:col min="14" max="14" width="10" hidden="0" customWidth="1"/>
  </x:cols>
  <x:sheetData>
    <x:row r="2">
      <x:c r="B2" s="4" t="str">
        <x:v>Registered full-mission matrix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B3" s="5" t="str">
        <x:v>Two hundred missions test admitted claims, edge-of-claim safe stops and blinded defect detection across both mobility lineages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B6" s="22" t="str">
        <x:v>Mission cell</x:v>
      </x:c>
      <x:c r="C6" s="23" t="str">
        <x:v>Mode</x:v>
      </x:c>
      <x:c r="D6" s="23" t="str">
        <x:v>Type</x:v>
      </x:c>
      <x:c r="E6" s="23" t="str">
        <x:v>World or defect</x:v>
      </x:c>
      <x:c r="F6" s="23" t="str">
        <x:v>Repetitions</x:v>
      </x:c>
      <x:c r="G6" s="23" t="str">
        <x:v>Missions</x:v>
      </x:c>
      <x:c r="H6" s="23" t="str">
        <x:v>Expected behavior</x:v>
      </x:c>
      <x:c r="I6" s="23" t="str">
        <x:v>Randomized</x:v>
      </x:c>
      <x:c r="J6" s="23" t="str">
        <x:v>Evidence owner</x:v>
      </x:c>
      <x:c r="K6" s="23" t="str">
        <x:v>Civil release</x:v>
      </x:c>
      <x:c r="L6" s="23" t="str">
        <x:v>Article bank</x:v>
      </x:c>
      <x:c r="M6" s="23" t="str">
        <x:v>State</x:v>
      </x:c>
      <x:c r="N6" s="23" t="str">
        <x:v>Credit</x:v>
      </x:c>
    </x:row>
    <x:row r="7">
      <x:c r="B7" s="24" t="str">
        <x:v>AC01</x:v>
      </x:c>
      <x:c r="C7" s="24" t="str">
        <x:v>Air</x:v>
      </x:c>
      <x:c r="D7" s="24" t="str">
        <x:v>admitted claim</x:v>
      </x:c>
      <x:c r="E7" s="24" t="str">
        <x:v>nominal</x:v>
      </x:c>
      <x:c r="F7" s="24" t="n">
        <x:v>4</x:v>
      </x:c>
      <x:c r="G7" s="24" t="n">
        <x:v>4</x:v>
      </x:c>
      <x:c r="H7" s="24" t="str">
        <x:v>meet registered service threshold</x:v>
      </x:c>
      <x:c r="I7" s="24" t="str">
        <x:v>yes</x:v>
      </x:c>
      <x:c r="J7" s="24" t="str">
        <x:v>Mission Evidence Authority</x:v>
      </x:c>
      <x:c r="K7" s="24" t="str">
        <x:v>required</x:v>
      </x:c>
      <x:c r="L7" s="24" t="str">
        <x:v>Air mission bank</x:v>
      </x:c>
      <x:c r="M7" s="24" t="str">
        <x:v>OPEN</x:v>
      </x:c>
      <x:c r="N7" s="26" t="n">
        <x:v>0</x:v>
      </x:c>
    </x:row>
    <x:row r="8">
      <x:c r="B8" s="24" t="str">
        <x:v>AC02</x:v>
      </x:c>
      <x:c r="C8" s="24" t="str">
        <x:v>Air</x:v>
      </x:c>
      <x:c r="D8" s="24" t="str">
        <x:v>admitted claim</x:v>
      </x:c>
      <x:c r="E8" s="24" t="str">
        <x:v>carrier loss</x:v>
      </x:c>
      <x:c r="F8" s="24" t="n">
        <x:v>4</x:v>
      </x:c>
      <x:c r="G8" s="24" t="n">
        <x:v>4</x:v>
      </x:c>
      <x:c r="H8" s="24" t="str">
        <x:v>meet registered degraded-service threshold</x:v>
      </x:c>
      <x:c r="I8" s="24" t="str">
        <x:v>yes</x:v>
      </x:c>
      <x:c r="J8" s="24" t="str">
        <x:v>Mission Evidence Authority</x:v>
      </x:c>
      <x:c r="K8" s="24" t="str">
        <x:v>required</x:v>
      </x:c>
      <x:c r="L8" s="24" t="str">
        <x:v>Air mission bank</x:v>
      </x:c>
      <x:c r="M8" s="24" t="str">
        <x:v>OPEN</x:v>
      </x:c>
      <x:c r="N8" s="26" t="n">
        <x:v>0</x:v>
      </x:c>
    </x:row>
    <x:row r="9">
      <x:c r="B9" s="24" t="str">
        <x:v>AC03</x:v>
      </x:c>
      <x:c r="C9" s="24" t="str">
        <x:v>Air</x:v>
      </x:c>
      <x:c r="D9" s="24" t="str">
        <x:v>admitted claim</x:v>
      </x:c>
      <x:c r="E9" s="24" t="str">
        <x:v>carrier plus E loss</x:v>
      </x:c>
      <x:c r="F9" s="24" t="n">
        <x:v>4</x:v>
      </x:c>
      <x:c r="G9" s="24" t="n">
        <x:v>4</x:v>
      </x:c>
      <x:c r="H9" s="24" t="str">
        <x:v>meet registered degraded-service threshold</x:v>
      </x:c>
      <x:c r="I9" s="24" t="str">
        <x:v>yes</x:v>
      </x:c>
      <x:c r="J9" s="24" t="str">
        <x:v>Mission Evidence Authority</x:v>
      </x:c>
      <x:c r="K9" s="24" t="str">
        <x:v>required</x:v>
      </x:c>
      <x:c r="L9" s="24" t="str">
        <x:v>Air mission bank</x:v>
      </x:c>
      <x:c r="M9" s="24" t="str">
        <x:v>OPEN</x:v>
      </x:c>
      <x:c r="N9" s="26" t="n">
        <x:v>0</x:v>
      </x:c>
    </x:row>
    <x:row r="10">
      <x:c r="B10" s="24" t="str">
        <x:v>AC04</x:v>
      </x:c>
      <x:c r="C10" s="24" t="str">
        <x:v>Air</x:v>
      </x:c>
      <x:c r="D10" s="24" t="str">
        <x:v>admitted claim</x:v>
      </x:c>
      <x:c r="E10" s="24" t="str">
        <x:v>carrier plus W loss</x:v>
      </x:c>
      <x:c r="F10" s="24" t="n">
        <x:v>4</x:v>
      </x:c>
      <x:c r="G10" s="24" t="n">
        <x:v>4</x:v>
      </x:c>
      <x:c r="H10" s="24" t="str">
        <x:v>meet registered degraded-service threshold</x:v>
      </x:c>
      <x:c r="I10" s="24" t="str">
        <x:v>yes</x:v>
      </x:c>
      <x:c r="J10" s="24" t="str">
        <x:v>Mission Evidence Authority</x:v>
      </x:c>
      <x:c r="K10" s="24" t="str">
        <x:v>required</x:v>
      </x:c>
      <x:c r="L10" s="24" t="str">
        <x:v>Air mission bank</x:v>
      </x:c>
      <x:c r="M10" s="24" t="str">
        <x:v>OPEN</x:v>
      </x:c>
      <x:c r="N10" s="26" t="n">
        <x:v>0</x:v>
      </x:c>
    </x:row>
    <x:row r="11">
      <x:c r="B11" s="24" t="str">
        <x:v>AC05</x:v>
      </x:c>
      <x:c r="C11" s="24" t="str">
        <x:v>Air</x:v>
      </x:c>
      <x:c r="D11" s="24" t="str">
        <x:v>admitted claim</x:v>
      </x:c>
      <x:c r="E11" s="24" t="str">
        <x:v>carrier plus T loss</x:v>
      </x:c>
      <x:c r="F11" s="24" t="n">
        <x:v>4</x:v>
      </x:c>
      <x:c r="G11" s="24" t="n">
        <x:v>4</x:v>
      </x:c>
      <x:c r="H11" s="24" t="str">
        <x:v>meet registered degraded-service threshold</x:v>
      </x:c>
      <x:c r="I11" s="24" t="str">
        <x:v>yes</x:v>
      </x:c>
      <x:c r="J11" s="24" t="str">
        <x:v>Mission Evidence Authority</x:v>
      </x:c>
      <x:c r="K11" s="24" t="str">
        <x:v>required</x:v>
      </x:c>
      <x:c r="L11" s="24" t="str">
        <x:v>Air mission bank</x:v>
      </x:c>
      <x:c r="M11" s="24" t="str">
        <x:v>OPEN</x:v>
      </x:c>
      <x:c r="N11" s="26" t="n">
        <x:v>0</x:v>
      </x:c>
    </x:row>
    <x:row r="12">
      <x:c r="B12" s="24" t="str">
        <x:v>AC06</x:v>
      </x:c>
      <x:c r="C12" s="24" t="str">
        <x:v>Air</x:v>
      </x:c>
      <x:c r="D12" s="24" t="str">
        <x:v>admitted claim</x:v>
      </x:c>
      <x:c r="E12" s="24" t="str">
        <x:v>carrier plus D loss</x:v>
      </x:c>
      <x:c r="F12" s="24" t="n">
        <x:v>4</x:v>
      </x:c>
      <x:c r="G12" s="24" t="n">
        <x:v>4</x:v>
      </x:c>
      <x:c r="H12" s="24" t="str">
        <x:v>meet registered degraded-service threshold</x:v>
      </x:c>
      <x:c r="I12" s="24" t="str">
        <x:v>yes</x:v>
      </x:c>
      <x:c r="J12" s="24" t="str">
        <x:v>Mission Evidence Authority</x:v>
      </x:c>
      <x:c r="K12" s="24" t="str">
        <x:v>required</x:v>
      </x:c>
      <x:c r="L12" s="24" t="str">
        <x:v>Air mission bank</x:v>
      </x:c>
      <x:c r="M12" s="24" t="str">
        <x:v>OPEN</x:v>
      </x:c>
      <x:c r="N12" s="26" t="n">
        <x:v>0</x:v>
      </x:c>
    </x:row>
    <x:row r="13">
      <x:c r="B13" s="24" t="str">
        <x:v>AC07</x:v>
      </x:c>
      <x:c r="C13" s="24" t="str">
        <x:v>Air</x:v>
      </x:c>
      <x:c r="D13" s="24" t="str">
        <x:v>admitted claim</x:v>
      </x:c>
      <x:c r="E13" s="24" t="str">
        <x:v>carrier plus C loss</x:v>
      </x:c>
      <x:c r="F13" s="24" t="n">
        <x:v>4</x:v>
      </x:c>
      <x:c r="G13" s="24" t="n">
        <x:v>4</x:v>
      </x:c>
      <x:c r="H13" s="24" t="str">
        <x:v>meet registered degraded-service threshold</x:v>
      </x:c>
      <x:c r="I13" s="24" t="str">
        <x:v>yes</x:v>
      </x:c>
      <x:c r="J13" s="24" t="str">
        <x:v>Mission Evidence Authority</x:v>
      </x:c>
      <x:c r="K13" s="24" t="str">
        <x:v>required</x:v>
      </x:c>
      <x:c r="L13" s="24" t="str">
        <x:v>Air mission bank</x:v>
      </x:c>
      <x:c r="M13" s="24" t="str">
        <x:v>OPEN</x:v>
      </x:c>
      <x:c r="N13" s="26" t="n">
        <x:v>0</x:v>
      </x:c>
    </x:row>
    <x:row r="14">
      <x:c r="B14" s="24" t="str">
        <x:v>AC08</x:v>
      </x:c>
      <x:c r="C14" s="24" t="str">
        <x:v>Air</x:v>
      </x:c>
      <x:c r="D14" s="24" t="str">
        <x:v>admitted claim</x:v>
      </x:c>
      <x:c r="E14" s="24" t="str">
        <x:v>receiver zone denied</x:v>
      </x:c>
      <x:c r="F14" s="24" t="n">
        <x:v>4</x:v>
      </x:c>
      <x:c r="G14" s="24" t="n">
        <x:v>4</x:v>
      </x:c>
      <x:c r="H14" s="24" t="str">
        <x:v>meet registered degraded-service threshold</x:v>
      </x:c>
      <x:c r="I14" s="24" t="str">
        <x:v>yes</x:v>
      </x:c>
      <x:c r="J14" s="24" t="str">
        <x:v>Mission Evidence Authority</x:v>
      </x:c>
      <x:c r="K14" s="24" t="str">
        <x:v>required</x:v>
      </x:c>
      <x:c r="L14" s="24" t="str">
        <x:v>Air mission bank</x:v>
      </x:c>
      <x:c r="M14" s="24" t="str">
        <x:v>OPEN</x:v>
      </x:c>
      <x:c r="N14" s="26" t="n">
        <x:v>0</x:v>
      </x:c>
    </x:row>
    <x:row r="15">
      <x:c r="B15" s="24" t="str">
        <x:v>AC09</x:v>
      </x:c>
      <x:c r="C15" s="24" t="str">
        <x:v>Air</x:v>
      </x:c>
      <x:c r="D15" s="24" t="str">
        <x:v>admitted claim</x:v>
      </x:c>
      <x:c r="E15" s="24" t="str">
        <x:v>origin loader denied</x:v>
      </x:c>
      <x:c r="F15" s="24" t="n">
        <x:v>4</x:v>
      </x:c>
      <x:c r="G15" s="24" t="n">
        <x:v>4</x:v>
      </x:c>
      <x:c r="H15" s="24" t="str">
        <x:v>meet registered degraded-service threshold</x:v>
      </x:c>
      <x:c r="I15" s="24" t="str">
        <x:v>yes</x:v>
      </x:c>
      <x:c r="J15" s="24" t="str">
        <x:v>Mission Evidence Authority</x:v>
      </x:c>
      <x:c r="K15" s="24" t="str">
        <x:v>required</x:v>
      </x:c>
      <x:c r="L15" s="24" t="str">
        <x:v>Air mission bank</x:v>
      </x:c>
      <x:c r="M15" s="24" t="str">
        <x:v>OPEN</x:v>
      </x:c>
      <x:c r="N15" s="26" t="n">
        <x:v>0</x:v>
      </x:c>
    </x:row>
    <x:row r="16">
      <x:c r="B16" s="24" t="str">
        <x:v>AC10</x:v>
      </x:c>
      <x:c r="C16" s="24" t="str">
        <x:v>Air</x:v>
      </x:c>
      <x:c r="D16" s="24" t="str">
        <x:v>admitted claim</x:v>
      </x:c>
      <x:c r="E16" s="24" t="str">
        <x:v>GNSS denial</x:v>
      </x:c>
      <x:c r="F16" s="24" t="n">
        <x:v>4</x:v>
      </x:c>
      <x:c r="G16" s="24" t="n">
        <x:v>4</x:v>
      </x:c>
      <x:c r="H16" s="24" t="str">
        <x:v>meet registered degraded-service threshold</x:v>
      </x:c>
      <x:c r="I16" s="24" t="str">
        <x:v>yes</x:v>
      </x:c>
      <x:c r="J16" s="24" t="str">
        <x:v>Mission Evidence Authority</x:v>
      </x:c>
      <x:c r="K16" s="24" t="str">
        <x:v>required</x:v>
      </x:c>
      <x:c r="L16" s="24" t="str">
        <x:v>Air mission bank</x:v>
      </x:c>
      <x:c r="M16" s="24" t="str">
        <x:v>OPEN</x:v>
      </x:c>
      <x:c r="N16" s="26" t="n">
        <x:v>0</x:v>
      </x:c>
    </x:row>
    <x:row r="17">
      <x:c r="B17" s="24" t="str">
        <x:v>AC11</x:v>
      </x:c>
      <x:c r="C17" s="24" t="str">
        <x:v>Air</x:v>
      </x:c>
      <x:c r="D17" s="24" t="str">
        <x:v>admitted claim</x:v>
      </x:c>
      <x:c r="E17" s="24" t="str">
        <x:v>network denial</x:v>
      </x:c>
      <x:c r="F17" s="24" t="n">
        <x:v>4</x:v>
      </x:c>
      <x:c r="G17" s="24" t="n">
        <x:v>4</x:v>
      </x:c>
      <x:c r="H17" s="24" t="str">
        <x:v>meet registered degraded-service threshold</x:v>
      </x:c>
      <x:c r="I17" s="24" t="str">
        <x:v>yes</x:v>
      </x:c>
      <x:c r="J17" s="24" t="str">
        <x:v>Mission Evidence Authority</x:v>
      </x:c>
      <x:c r="K17" s="24" t="str">
        <x:v>required</x:v>
      </x:c>
      <x:c r="L17" s="24" t="str">
        <x:v>Air mission bank</x:v>
      </x:c>
      <x:c r="M17" s="24" t="str">
        <x:v>OPEN</x:v>
      </x:c>
      <x:c r="N17" s="26" t="n">
        <x:v>0</x:v>
      </x:c>
    </x:row>
    <x:row r="18">
      <x:c r="B18" s="24" t="str">
        <x:v>AC12</x:v>
      </x:c>
      <x:c r="C18" s="24" t="str">
        <x:v>Air</x:v>
      </x:c>
      <x:c r="D18" s="24" t="str">
        <x:v>admitted claim</x:v>
      </x:c>
      <x:c r="E18" s="24" t="str">
        <x:v>assay queue</x:v>
      </x:c>
      <x:c r="F18" s="24" t="n">
        <x:v>4</x:v>
      </x:c>
      <x:c r="G18" s="24" t="n">
        <x:v>4</x:v>
      </x:c>
      <x:c r="H18" s="24" t="str">
        <x:v>meet registered degraded-service threshold</x:v>
      </x:c>
      <x:c r="I18" s="24" t="str">
        <x:v>yes</x:v>
      </x:c>
      <x:c r="J18" s="24" t="str">
        <x:v>Mission Evidence Authority</x:v>
      </x:c>
      <x:c r="K18" s="24" t="str">
        <x:v>required</x:v>
      </x:c>
      <x:c r="L18" s="24" t="str">
        <x:v>Air mission bank</x:v>
      </x:c>
      <x:c r="M18" s="24" t="str">
        <x:v>OPEN</x:v>
      </x:c>
      <x:c r="N18" s="26" t="n">
        <x:v>0</x:v>
      </x:c>
    </x:row>
    <x:row r="19">
      <x:c r="B19" s="24" t="str">
        <x:v>AC13</x:v>
      </x:c>
      <x:c r="C19" s="24" t="str">
        <x:v>Air</x:v>
      </x:c>
      <x:c r="D19" s="24" t="str">
        <x:v>admitted claim</x:v>
      </x:c>
      <x:c r="E19" s="24" t="str">
        <x:v>climate envelope</x:v>
      </x:c>
      <x:c r="F19" s="24" t="n">
        <x:v>4</x:v>
      </x:c>
      <x:c r="G19" s="24" t="n">
        <x:v>4</x:v>
      </x:c>
      <x:c r="H19" s="24" t="str">
        <x:v>meet registered degraded-service threshold</x:v>
      </x:c>
      <x:c r="I19" s="24" t="str">
        <x:v>yes</x:v>
      </x:c>
      <x:c r="J19" s="24" t="str">
        <x:v>Mission Evidence Authority</x:v>
      </x:c>
      <x:c r="K19" s="24" t="str">
        <x:v>required</x:v>
      </x:c>
      <x:c r="L19" s="24" t="str">
        <x:v>Air mission bank</x:v>
      </x:c>
      <x:c r="M19" s="24" t="str">
        <x:v>OPEN</x:v>
      </x:c>
      <x:c r="N19" s="26" t="n">
        <x:v>0</x:v>
      </x:c>
    </x:row>
    <x:row r="20">
      <x:c r="B20" s="24" t="str">
        <x:v>AC14</x:v>
      </x:c>
      <x:c r="C20" s="24" t="str">
        <x:v>Air</x:v>
      </x:c>
      <x:c r="D20" s="24" t="str">
        <x:v>admitted claim</x:v>
      </x:c>
      <x:c r="E20" s="24" t="str">
        <x:v>wet containment</x:v>
      </x:c>
      <x:c r="F20" s="24" t="n">
        <x:v>4</x:v>
      </x:c>
      <x:c r="G20" s="24" t="n">
        <x:v>4</x:v>
      </x:c>
      <x:c r="H20" s="24" t="str">
        <x:v>meet registered degraded-service threshold</x:v>
      </x:c>
      <x:c r="I20" s="24" t="str">
        <x:v>yes</x:v>
      </x:c>
      <x:c r="J20" s="24" t="str">
        <x:v>Mission Evidence Authority</x:v>
      </x:c>
      <x:c r="K20" s="24" t="str">
        <x:v>required</x:v>
      </x:c>
      <x:c r="L20" s="24" t="str">
        <x:v>Air mission bank</x:v>
      </x:c>
      <x:c r="M20" s="24" t="str">
        <x:v>OPEN</x:v>
      </x:c>
      <x:c r="N20" s="26" t="n">
        <x:v>0</x:v>
      </x:c>
    </x:row>
    <x:row r="21">
      <x:c r="B21" s="24" t="str">
        <x:v>AC15</x:v>
      </x:c>
      <x:c r="C21" s="24" t="str">
        <x:v>Air</x:v>
      </x:c>
      <x:c r="D21" s="24" t="str">
        <x:v>admitted claim</x:v>
      </x:c>
      <x:c r="E21" s="24" t="str">
        <x:v>black start</x:v>
      </x:c>
      <x:c r="F21" s="24" t="n">
        <x:v>4</x:v>
      </x:c>
      <x:c r="G21" s="24" t="n">
        <x:v>4</x:v>
      </x:c>
      <x:c r="H21" s="24" t="str">
        <x:v>meet registered degraded-service threshold</x:v>
      </x:c>
      <x:c r="I21" s="24" t="str">
        <x:v>yes</x:v>
      </x:c>
      <x:c r="J21" s="24" t="str">
        <x:v>Mission Evidence Authority</x:v>
      </x:c>
      <x:c r="K21" s="24" t="str">
        <x:v>required</x:v>
      </x:c>
      <x:c r="L21" s="24" t="str">
        <x:v>Air mission bank</x:v>
      </x:c>
      <x:c r="M21" s="24" t="str">
        <x:v>OPEN</x:v>
      </x:c>
      <x:c r="N21" s="26" t="n">
        <x:v>0</x:v>
      </x:c>
    </x:row>
    <x:row r="22">
      <x:c r="B22" s="24" t="str">
        <x:v>AC16</x:v>
      </x:c>
      <x:c r="C22" s="24" t="str">
        <x:v>Air</x:v>
      </x:c>
      <x:c r="D22" s="24" t="str">
        <x:v>admitted claim</x:v>
      </x:c>
      <x:c r="E22" s="24" t="str">
        <x:v>simultaneous peak</x:v>
      </x:c>
      <x:c r="F22" s="24" t="n">
        <x:v>4</x:v>
      </x:c>
      <x:c r="G22" s="24" t="n">
        <x:v>4</x:v>
      </x:c>
      <x:c r="H22" s="24" t="str">
        <x:v>meet registered degraded-service threshold</x:v>
      </x:c>
      <x:c r="I22" s="24" t="str">
        <x:v>yes</x:v>
      </x:c>
      <x:c r="J22" s="24" t="str">
        <x:v>Mission Evidence Authority</x:v>
      </x:c>
      <x:c r="K22" s="24" t="str">
        <x:v>required</x:v>
      </x:c>
      <x:c r="L22" s="24" t="str">
        <x:v>Air mission bank</x:v>
      </x:c>
      <x:c r="M22" s="24" t="str">
        <x:v>OPEN</x:v>
      </x:c>
      <x:c r="N22" s="26" t="n">
        <x:v>0</x:v>
      </x:c>
    </x:row>
    <x:row r="23">
      <x:c r="B23" s="24" t="str">
        <x:v>AC17</x:v>
      </x:c>
      <x:c r="C23" s="24" t="str">
        <x:v>Air</x:v>
      </x:c>
      <x:c r="D23" s="24" t="str">
        <x:v>admitted claim</x:v>
      </x:c>
      <x:c r="E23" s="24" t="str">
        <x:v>certification authority removed</x:v>
      </x:c>
      <x:c r="F23" s="24" t="n">
        <x:v>4</x:v>
      </x:c>
      <x:c r="G23" s="24" t="n">
        <x:v>4</x:v>
      </x:c>
      <x:c r="H23" s="24" t="str">
        <x:v>meet registered degraded-service threshold</x:v>
      </x:c>
      <x:c r="I23" s="24" t="str">
        <x:v>yes</x:v>
      </x:c>
      <x:c r="J23" s="24" t="str">
        <x:v>Mission Evidence Authority</x:v>
      </x:c>
      <x:c r="K23" s="24" t="str">
        <x:v>required</x:v>
      </x:c>
      <x:c r="L23" s="24" t="str">
        <x:v>Air mission bank</x:v>
      </x:c>
      <x:c r="M23" s="24" t="str">
        <x:v>OPEN</x:v>
      </x:c>
      <x:c r="N23" s="26" t="n">
        <x:v>0</x:v>
      </x:c>
    </x:row>
    <x:row r="24">
      <x:c r="B24" s="24" t="str">
        <x:v>AC18</x:v>
      </x:c>
      <x:c r="C24" s="24" t="str">
        <x:v>Air</x:v>
      </x:c>
      <x:c r="D24" s="24" t="str">
        <x:v>admitted claim</x:v>
      </x:c>
      <x:c r="E24" s="24" t="str">
        <x:v>sub-tier recall</x:v>
      </x:c>
      <x:c r="F24" s="24" t="n">
        <x:v>4</x:v>
      </x:c>
      <x:c r="G24" s="24" t="n">
        <x:v>4</x:v>
      </x:c>
      <x:c r="H24" s="24" t="str">
        <x:v>meet registered degraded-service threshold</x:v>
      </x:c>
      <x:c r="I24" s="24" t="str">
        <x:v>yes</x:v>
      </x:c>
      <x:c r="J24" s="24" t="str">
        <x:v>Mission Evidence Authority</x:v>
      </x:c>
      <x:c r="K24" s="24" t="str">
        <x:v>required</x:v>
      </x:c>
      <x:c r="L24" s="24" t="str">
        <x:v>Air mission bank</x:v>
      </x:c>
      <x:c r="M24" s="24" t="str">
        <x:v>OPEN</x:v>
      </x:c>
      <x:c r="N24" s="26" t="n">
        <x:v>0</x:v>
      </x:c>
    </x:row>
    <x:row r="25">
      <x:c r="B25" s="24" t="str">
        <x:v>AC19</x:v>
      </x:c>
      <x:c r="C25" s="24" t="str">
        <x:v>Air</x:v>
      </x:c>
      <x:c r="D25" s="24" t="str">
        <x:v>admitted claim</x:v>
      </x:c>
      <x:c r="E25" s="24" t="str">
        <x:v>control root defect</x:v>
      </x:c>
      <x:c r="F25" s="24" t="n">
        <x:v>4</x:v>
      </x:c>
      <x:c r="G25" s="24" t="n">
        <x:v>4</x:v>
      </x:c>
      <x:c r="H25" s="24" t="str">
        <x:v>meet registered degraded-service threshold</x:v>
      </x:c>
      <x:c r="I25" s="24" t="str">
        <x:v>yes</x:v>
      </x:c>
      <x:c r="J25" s="24" t="str">
        <x:v>Mission Evidence Authority</x:v>
      </x:c>
      <x:c r="K25" s="24" t="str">
        <x:v>required</x:v>
      </x:c>
      <x:c r="L25" s="24" t="str">
        <x:v>Air mission bank</x:v>
      </x:c>
      <x:c r="M25" s="24" t="str">
        <x:v>OPEN</x:v>
      </x:c>
      <x:c r="N25" s="26" t="n">
        <x:v>0</x:v>
      </x:c>
    </x:row>
    <x:row r="26">
      <x:c r="B26" s="24" t="str">
        <x:v>AC20</x:v>
      </x:c>
      <x:c r="C26" s="24" t="str">
        <x:v>Air</x:v>
      </x:c>
      <x:c r="D26" s="24" t="str">
        <x:v>admitted claim</x:v>
      </x:c>
      <x:c r="E26" s="24" t="str">
        <x:v>crew casualty</x:v>
      </x:c>
      <x:c r="F26" s="24" t="n">
        <x:v>4</x:v>
      </x:c>
      <x:c r="G26" s="24" t="n">
        <x:v>4</x:v>
      </x:c>
      <x:c r="H26" s="24" t="str">
        <x:v>meet registered degraded-service threshold</x:v>
      </x:c>
      <x:c r="I26" s="24" t="str">
        <x:v>yes</x:v>
      </x:c>
      <x:c r="J26" s="24" t="str">
        <x:v>Mission Evidence Authority</x:v>
      </x:c>
      <x:c r="K26" s="24" t="str">
        <x:v>required</x:v>
      </x:c>
      <x:c r="L26" s="24" t="str">
        <x:v>Air mission bank</x:v>
      </x:c>
      <x:c r="M26" s="24" t="str">
        <x:v>OPEN</x:v>
      </x:c>
      <x:c r="N26" s="26" t="n">
        <x:v>0</x:v>
      </x:c>
    </x:row>
    <x:row r="27">
      <x:c r="B27" s="24" t="str">
        <x:v>AC21</x:v>
      </x:c>
      <x:c r="C27" s="24" t="str">
        <x:v>Air</x:v>
      </x:c>
      <x:c r="D27" s="24" t="str">
        <x:v>admitted claim</x:v>
      </x:c>
      <x:c r="E27" s="24" t="str">
        <x:v>saddle quarantine</x:v>
      </x:c>
      <x:c r="F27" s="24" t="n">
        <x:v>4</x:v>
      </x:c>
      <x:c r="G27" s="24" t="n">
        <x:v>4</x:v>
      </x:c>
      <x:c r="H27" s="24" t="str">
        <x:v>meet registered degraded-service threshold</x:v>
      </x:c>
      <x:c r="I27" s="24" t="str">
        <x:v>yes</x:v>
      </x:c>
      <x:c r="J27" s="24" t="str">
        <x:v>Mission Evidence Authority</x:v>
      </x:c>
      <x:c r="K27" s="24" t="str">
        <x:v>required</x:v>
      </x:c>
      <x:c r="L27" s="24" t="str">
        <x:v>Air mission bank</x:v>
      </x:c>
      <x:c r="M27" s="24" t="str">
        <x:v>OPEN</x:v>
      </x:c>
      <x:c r="N27" s="26" t="n">
        <x:v>0</x:v>
      </x:c>
    </x:row>
    <x:row r="28">
      <x:c r="B28" s="24" t="str">
        <x:v>AC22</x:v>
      </x:c>
      <x:c r="C28" s="24" t="str">
        <x:v>Air</x:v>
      </x:c>
      <x:c r="D28" s="24" t="str">
        <x:v>admitted claim</x:v>
      </x:c>
      <x:c r="E28" s="24" t="str">
        <x:v>reset and second mission</x:v>
      </x:c>
      <x:c r="F28" s="24" t="n">
        <x:v>4</x:v>
      </x:c>
      <x:c r="G28" s="24" t="n">
        <x:v>4</x:v>
      </x:c>
      <x:c r="H28" s="24" t="str">
        <x:v>meet registered degraded-service threshold</x:v>
      </x:c>
      <x:c r="I28" s="24" t="str">
        <x:v>yes</x:v>
      </x:c>
      <x:c r="J28" s="24" t="str">
        <x:v>Mission Evidence Authority</x:v>
      </x:c>
      <x:c r="K28" s="24" t="str">
        <x:v>required</x:v>
      </x:c>
      <x:c r="L28" s="24" t="str">
        <x:v>Air mission bank</x:v>
      </x:c>
      <x:c r="M28" s="24" t="str">
        <x:v>OPEN</x:v>
      </x:c>
      <x:c r="N28" s="26" t="n">
        <x:v>0</x:v>
      </x:c>
    </x:row>
    <x:row r="29">
      <x:c r="B29" s="24" t="str">
        <x:v>AP01</x:v>
      </x:c>
      <x:c r="C29" s="24" t="str">
        <x:v>Air</x:v>
      </x:c>
      <x:c r="D29" s="24" t="str">
        <x:v>boundary probe</x:v>
      </x:c>
      <x:c r="E29" s="24" t="str">
        <x:v>second carrier loss</x:v>
      </x:c>
      <x:c r="F29" s="24" t="n">
        <x:v>1</x:v>
      </x:c>
      <x:c r="G29" s="24" t="n">
        <x:v>1</x:v>
      </x:c>
      <x:c r="H29" s="24" t="str">
        <x:v>truthful safe stop</x:v>
      </x:c>
      <x:c r="I29" s="24" t="str">
        <x:v>yes</x:v>
      </x:c>
      <x:c r="J29" s="24" t="str">
        <x:v>Destructive Trial Authority</x:v>
      </x:c>
      <x:c r="K29" s="24" t="str">
        <x:v>no public reliance</x:v>
      </x:c>
      <x:c r="L29" s="24" t="str">
        <x:v>Air mission bank</x:v>
      </x:c>
      <x:c r="M29" s="24" t="str">
        <x:v>OPEN</x:v>
      </x:c>
      <x:c r="N29" s="26" t="n">
        <x:v>0</x:v>
      </x:c>
    </x:row>
    <x:row r="30">
      <x:c r="B30" s="24" t="str">
        <x:v>AP02</x:v>
      </x:c>
      <x:c r="C30" s="24" t="str">
        <x:v>Air</x:v>
      </x:c>
      <x:c r="D30" s="24" t="str">
        <x:v>boundary probe</x:v>
      </x:c>
      <x:c r="E30" s="24" t="str">
        <x:v>two same-family tile losses</x:v>
      </x:c>
      <x:c r="F30" s="24" t="n">
        <x:v>1</x:v>
      </x:c>
      <x:c r="G30" s="24" t="n">
        <x:v>1</x:v>
      </x:c>
      <x:c r="H30" s="24" t="str">
        <x:v>truthful safe stop</x:v>
      </x:c>
      <x:c r="I30" s="24" t="str">
        <x:v>yes</x:v>
      </x:c>
      <x:c r="J30" s="24" t="str">
        <x:v>Destructive Trial Authority</x:v>
      </x:c>
      <x:c r="K30" s="24" t="str">
        <x:v>no public reliance</x:v>
      </x:c>
      <x:c r="L30" s="24" t="str">
        <x:v>Air mission bank</x:v>
      </x:c>
      <x:c r="M30" s="24" t="str">
        <x:v>OPEN</x:v>
      </x:c>
      <x:c r="N30" s="26" t="n">
        <x:v>0</x:v>
      </x:c>
    </x:row>
    <x:row r="31">
      <x:c r="B31" s="24" t="str">
        <x:v>AP03</x:v>
      </x:c>
      <x:c r="C31" s="24" t="str">
        <x:v>Air</x:v>
      </x:c>
      <x:c r="D31" s="24" t="str">
        <x:v>boundary probe</x:v>
      </x:c>
      <x:c r="E31" s="24" t="str">
        <x:v>both access modes lost</x:v>
      </x:c>
      <x:c r="F31" s="24" t="n">
        <x:v>1</x:v>
      </x:c>
      <x:c r="G31" s="24" t="n">
        <x:v>1</x:v>
      </x:c>
      <x:c r="H31" s="24" t="str">
        <x:v>truthful safe stop</x:v>
      </x:c>
      <x:c r="I31" s="24" t="str">
        <x:v>yes</x:v>
      </x:c>
      <x:c r="J31" s="24" t="str">
        <x:v>Destructive Trial Authority</x:v>
      </x:c>
      <x:c r="K31" s="24" t="str">
        <x:v>no public reliance</x:v>
      </x:c>
      <x:c r="L31" s="24" t="str">
        <x:v>Air mission bank</x:v>
      </x:c>
      <x:c r="M31" s="24" t="str">
        <x:v>OPEN</x:v>
      </x:c>
      <x:c r="N31" s="26" t="n">
        <x:v>0</x:v>
      </x:c>
    </x:row>
    <x:row r="32">
      <x:c r="B32" s="24" t="str">
        <x:v>AP04</x:v>
      </x:c>
      <x:c r="C32" s="24" t="str">
        <x:v>Air</x:v>
      </x:c>
      <x:c r="D32" s="24" t="str">
        <x:v>boundary probe</x:v>
      </x:c>
      <x:c r="E32" s="24" t="str">
        <x:v>no lawful receiver</x:v>
      </x:c>
      <x:c r="F32" s="24" t="n">
        <x:v>1</x:v>
      </x:c>
      <x:c r="G32" s="24" t="n">
        <x:v>1</x:v>
      </x:c>
      <x:c r="H32" s="24" t="str">
        <x:v>truthful safe stop</x:v>
      </x:c>
      <x:c r="I32" s="24" t="str">
        <x:v>yes</x:v>
      </x:c>
      <x:c r="J32" s="24" t="str">
        <x:v>Destructive Trial Authority</x:v>
      </x:c>
      <x:c r="K32" s="24" t="str">
        <x:v>no public reliance</x:v>
      </x:c>
      <x:c r="L32" s="24" t="str">
        <x:v>Air mission bank</x:v>
      </x:c>
      <x:c r="M32" s="24" t="str">
        <x:v>OPEN</x:v>
      </x:c>
      <x:c r="N32" s="26" t="n">
        <x:v>0</x:v>
      </x:c>
    </x:row>
    <x:row r="33">
      <x:c r="B33" s="24" t="str">
        <x:v>AD01</x:v>
      </x:c>
      <x:c r="C33" s="24" t="str">
        <x:v>Air</x:v>
      </x:c>
      <x:c r="D33" s="24" t="str">
        <x:v>blinded defect</x:v>
      </x:c>
      <x:c r="E33" s="24" t="str">
        <x:v>mass tag mismatch</x:v>
      </x:c>
      <x:c r="F33" s="24" t="n">
        <x:v>1</x:v>
      </x:c>
      <x:c r="G33" s="24" t="n">
        <x:v>1</x:v>
      </x:c>
      <x:c r="H33" s="24" t="str">
        <x:v>detect and quarantine</x:v>
      </x:c>
      <x:c r="I33" s="24" t="str">
        <x:v>yes</x:v>
      </x:c>
      <x:c r="J33" s="24" t="str">
        <x:v>Defect Injection Authority</x:v>
      </x:c>
      <x:c r="K33" s="24" t="str">
        <x:v>no public reliance</x:v>
      </x:c>
      <x:c r="L33" s="24" t="str">
        <x:v>Air mission bank</x:v>
      </x:c>
      <x:c r="M33" s="24" t="str">
        <x:v>OPEN</x:v>
      </x:c>
      <x:c r="N33" s="26" t="n">
        <x:v>0</x:v>
      </x:c>
    </x:row>
    <x:row r="34">
      <x:c r="B34" s="24" t="str">
        <x:v>AD02</x:v>
      </x:c>
      <x:c r="C34" s="24" t="str">
        <x:v>Air</x:v>
      </x:c>
      <x:c r="D34" s="24" t="str">
        <x:v>blinded defect</x:v>
      </x:c>
      <x:c r="E34" s="24" t="str">
        <x:v>counterfeit component</x:v>
      </x:c>
      <x:c r="F34" s="24" t="n">
        <x:v>1</x:v>
      </x:c>
      <x:c r="G34" s="24" t="n">
        <x:v>1</x:v>
      </x:c>
      <x:c r="H34" s="24" t="str">
        <x:v>detect and quarantine</x:v>
      </x:c>
      <x:c r="I34" s="24" t="str">
        <x:v>yes</x:v>
      </x:c>
      <x:c r="J34" s="24" t="str">
        <x:v>Defect Injection Authority</x:v>
      </x:c>
      <x:c r="K34" s="24" t="str">
        <x:v>no public reliance</x:v>
      </x:c>
      <x:c r="L34" s="24" t="str">
        <x:v>Air mission bank</x:v>
      </x:c>
      <x:c r="M34" s="24" t="str">
        <x:v>OPEN</x:v>
      </x:c>
      <x:c r="N34" s="26" t="n">
        <x:v>0</x:v>
      </x:c>
    </x:row>
    <x:row r="35">
      <x:c r="B35" s="24" t="str">
        <x:v>AD03</x:v>
      </x:c>
      <x:c r="C35" s="24" t="str">
        <x:v>Air</x:v>
      </x:c>
      <x:c r="D35" s="24" t="str">
        <x:v>blinded defect</x:v>
      </x:c>
      <x:c r="E35" s="24" t="str">
        <x:v>common firmware signature</x:v>
      </x:c>
      <x:c r="F35" s="24" t="n">
        <x:v>1</x:v>
      </x:c>
      <x:c r="G35" s="24" t="n">
        <x:v>1</x:v>
      </x:c>
      <x:c r="H35" s="24" t="str">
        <x:v>detect and quarantine</x:v>
      </x:c>
      <x:c r="I35" s="24" t="str">
        <x:v>yes</x:v>
      </x:c>
      <x:c r="J35" s="24" t="str">
        <x:v>Defect Injection Authority</x:v>
      </x:c>
      <x:c r="K35" s="24" t="str">
        <x:v>no public reliance</x:v>
      </x:c>
      <x:c r="L35" s="24" t="str">
        <x:v>Air mission bank</x:v>
      </x:c>
      <x:c r="M35" s="24" t="str">
        <x:v>OPEN</x:v>
      </x:c>
      <x:c r="N35" s="26" t="n">
        <x:v>0</x:v>
      </x:c>
    </x:row>
    <x:row r="36">
      <x:c r="B36" s="24" t="str">
        <x:v>AD04</x:v>
      </x:c>
      <x:c r="C36" s="24" t="str">
        <x:v>Air</x:v>
      </x:c>
      <x:c r="D36" s="24" t="str">
        <x:v>blinded defect</x:v>
      </x:c>
      <x:c r="E36" s="24" t="str">
        <x:v>contaminated wet lot</x:v>
      </x:c>
      <x:c r="F36" s="24" t="n">
        <x:v>1</x:v>
      </x:c>
      <x:c r="G36" s="24" t="n">
        <x:v>1</x:v>
      </x:c>
      <x:c r="H36" s="24" t="str">
        <x:v>detect and quarantine</x:v>
      </x:c>
      <x:c r="I36" s="24" t="str">
        <x:v>yes</x:v>
      </x:c>
      <x:c r="J36" s="24" t="str">
        <x:v>Defect Injection Authority</x:v>
      </x:c>
      <x:c r="K36" s="24" t="str">
        <x:v>no public reliance</x:v>
      </x:c>
      <x:c r="L36" s="24" t="str">
        <x:v>Air mission bank</x:v>
      </x:c>
      <x:c r="M36" s="24" t="str">
        <x:v>OPEN</x:v>
      </x:c>
      <x:c r="N36" s="26" t="n">
        <x:v>0</x:v>
      </x:c>
    </x:row>
    <x:row r="37">
      <x:c r="B37" s="24" t="str">
        <x:v>AD05</x:v>
      </x:c>
      <x:c r="C37" s="24" t="str">
        <x:v>Air</x:v>
      </x:c>
      <x:c r="D37" s="24" t="str">
        <x:v>blinded defect</x:v>
      </x:c>
      <x:c r="E37" s="24" t="str">
        <x:v>wrong center of gravity</x:v>
      </x:c>
      <x:c r="F37" s="24" t="n">
        <x:v>1</x:v>
      </x:c>
      <x:c r="G37" s="24" t="n">
        <x:v>1</x:v>
      </x:c>
      <x:c r="H37" s="24" t="str">
        <x:v>detect and quarantine</x:v>
      </x:c>
      <x:c r="I37" s="24" t="str">
        <x:v>yes</x:v>
      </x:c>
      <x:c r="J37" s="24" t="str">
        <x:v>Defect Injection Authority</x:v>
      </x:c>
      <x:c r="K37" s="24" t="str">
        <x:v>no public reliance</x:v>
      </x:c>
      <x:c r="L37" s="24" t="str">
        <x:v>Air mission bank</x:v>
      </x:c>
      <x:c r="M37" s="24" t="str">
        <x:v>OPEN</x:v>
      </x:c>
      <x:c r="N37" s="26" t="n">
        <x:v>0</x:v>
      </x:c>
    </x:row>
    <x:row r="38">
      <x:c r="B38" s="24" t="str">
        <x:v>AD06</x:v>
      </x:c>
      <x:c r="C38" s="24" t="str">
        <x:v>Air</x:v>
      </x:c>
      <x:c r="D38" s="24" t="str">
        <x:v>blinded defect</x:v>
      </x:c>
      <x:c r="E38" s="24" t="str">
        <x:v>assay disagreement</x:v>
      </x:c>
      <x:c r="F38" s="24" t="n">
        <x:v>1</x:v>
      </x:c>
      <x:c r="G38" s="24" t="n">
        <x:v>1</x:v>
      </x:c>
      <x:c r="H38" s="24" t="str">
        <x:v>detect and quarantine</x:v>
      </x:c>
      <x:c r="I38" s="24" t="str">
        <x:v>yes</x:v>
      </x:c>
      <x:c r="J38" s="24" t="str">
        <x:v>Defect Injection Authority</x:v>
      </x:c>
      <x:c r="K38" s="24" t="str">
        <x:v>no public reliance</x:v>
      </x:c>
      <x:c r="L38" s="24" t="str">
        <x:v>Air mission bank</x:v>
      </x:c>
      <x:c r="M38" s="24" t="str">
        <x:v>OPEN</x:v>
      </x:c>
      <x:c r="N38" s="26" t="n">
        <x:v>0</x:v>
      </x:c>
    </x:row>
    <x:row r="39">
      <x:c r="B39" s="24" t="str">
        <x:v>AD07</x:v>
      </x:c>
      <x:c r="C39" s="24" t="str">
        <x:v>Air</x:v>
      </x:c>
      <x:c r="D39" s="24" t="str">
        <x:v>blinded defect</x:v>
      </x:c>
      <x:c r="E39" s="24" t="str">
        <x:v>receiver adapter fault</x:v>
      </x:c>
      <x:c r="F39" s="24" t="n">
        <x:v>1</x:v>
      </x:c>
      <x:c r="G39" s="24" t="n">
        <x:v>1</x:v>
      </x:c>
      <x:c r="H39" s="24" t="str">
        <x:v>detect and quarantine</x:v>
      </x:c>
      <x:c r="I39" s="24" t="str">
        <x:v>yes</x:v>
      </x:c>
      <x:c r="J39" s="24" t="str">
        <x:v>Defect Injection Authority</x:v>
      </x:c>
      <x:c r="K39" s="24" t="str">
        <x:v>no public reliance</x:v>
      </x:c>
      <x:c r="L39" s="24" t="str">
        <x:v>Air mission bank</x:v>
      </x:c>
      <x:c r="M39" s="24" t="str">
        <x:v>OPEN</x:v>
      </x:c>
      <x:c r="N39" s="26" t="n">
        <x:v>0</x:v>
      </x:c>
    </x:row>
    <x:row r="40">
      <x:c r="B40" s="24" t="str">
        <x:v>AD08</x:v>
      </x:c>
      <x:c r="C40" s="24" t="str">
        <x:v>Air</x:v>
      </x:c>
      <x:c r="D40" s="24" t="str">
        <x:v>blinded defect</x:v>
      </x:c>
      <x:c r="E40" s="24" t="str">
        <x:v>falsified reset record</x:v>
      </x:c>
      <x:c r="F40" s="24" t="n">
        <x:v>1</x:v>
      </x:c>
      <x:c r="G40" s="24" t="n">
        <x:v>1</x:v>
      </x:c>
      <x:c r="H40" s="24" t="str">
        <x:v>detect and quarantine</x:v>
      </x:c>
      <x:c r="I40" s="24" t="str">
        <x:v>yes</x:v>
      </x:c>
      <x:c r="J40" s="24" t="str">
        <x:v>Defect Injection Authority</x:v>
      </x:c>
      <x:c r="K40" s="24" t="str">
        <x:v>no public reliance</x:v>
      </x:c>
      <x:c r="L40" s="24" t="str">
        <x:v>Air mission bank</x:v>
      </x:c>
      <x:c r="M40" s="24" t="str">
        <x:v>OPEN</x:v>
      </x:c>
      <x:c r="N40" s="26" t="n">
        <x:v>0</x:v>
      </x:c>
    </x:row>
    <x:row r="41">
      <x:c r="B41" s="24" t="str">
        <x:v>TC01</x:v>
      </x:c>
      <x:c r="C41" s="24" t="str">
        <x:v>Terrain</x:v>
      </x:c>
      <x:c r="D41" s="24" t="str">
        <x:v>admitted claim</x:v>
      </x:c>
      <x:c r="E41" s="24" t="str">
        <x:v>nominal</x:v>
      </x:c>
      <x:c r="F41" s="24" t="n">
        <x:v>4</x:v>
      </x:c>
      <x:c r="G41" s="24" t="n">
        <x:v>4</x:v>
      </x:c>
      <x:c r="H41" s="24" t="str">
        <x:v>meet registered service threshold</x:v>
      </x:c>
      <x:c r="I41" s="24" t="str">
        <x:v>yes</x:v>
      </x:c>
      <x:c r="J41" s="24" t="str">
        <x:v>Mission Evidence Authority</x:v>
      </x:c>
      <x:c r="K41" s="24" t="str">
        <x:v>required</x:v>
      </x:c>
      <x:c r="L41" s="24" t="str">
        <x:v>Terrain mission bank</x:v>
      </x:c>
      <x:c r="M41" s="24" t="str">
        <x:v>OPEN</x:v>
      </x:c>
      <x:c r="N41" s="26" t="n">
        <x:v>0</x:v>
      </x:c>
    </x:row>
    <x:row r="42">
      <x:c r="B42" s="24" t="str">
        <x:v>TC02</x:v>
      </x:c>
      <x:c r="C42" s="24" t="str">
        <x:v>Terrain</x:v>
      </x:c>
      <x:c r="D42" s="24" t="str">
        <x:v>admitted claim</x:v>
      </x:c>
      <x:c r="E42" s="24" t="str">
        <x:v>carrier loss</x:v>
      </x:c>
      <x:c r="F42" s="24" t="n">
        <x:v>4</x:v>
      </x:c>
      <x:c r="G42" s="24" t="n">
        <x:v>4</x:v>
      </x:c>
      <x:c r="H42" s="24" t="str">
        <x:v>meet registered degraded-service threshold</x:v>
      </x:c>
      <x:c r="I42" s="24" t="str">
        <x:v>yes</x:v>
      </x:c>
      <x:c r="J42" s="24" t="str">
        <x:v>Mission Evidence Authority</x:v>
      </x:c>
      <x:c r="K42" s="24" t="str">
        <x:v>required</x:v>
      </x:c>
      <x:c r="L42" s="24" t="str">
        <x:v>Terrain mission bank</x:v>
      </x:c>
      <x:c r="M42" s="24" t="str">
        <x:v>OPEN</x:v>
      </x:c>
      <x:c r="N42" s="26" t="n">
        <x:v>0</x:v>
      </x:c>
    </x:row>
    <x:row r="43">
      <x:c r="B43" s="24" t="str">
        <x:v>TC03</x:v>
      </x:c>
      <x:c r="C43" s="24" t="str">
        <x:v>Terrain</x:v>
      </x:c>
      <x:c r="D43" s="24" t="str">
        <x:v>admitted claim</x:v>
      </x:c>
      <x:c r="E43" s="24" t="str">
        <x:v>carrier plus E loss</x:v>
      </x:c>
      <x:c r="F43" s="24" t="n">
        <x:v>4</x:v>
      </x:c>
      <x:c r="G43" s="24" t="n">
        <x:v>4</x:v>
      </x:c>
      <x:c r="H43" s="24" t="str">
        <x:v>meet registered degraded-service threshold</x:v>
      </x:c>
      <x:c r="I43" s="24" t="str">
        <x:v>yes</x:v>
      </x:c>
      <x:c r="J43" s="24" t="str">
        <x:v>Mission Evidence Authority</x:v>
      </x:c>
      <x:c r="K43" s="24" t="str">
        <x:v>required</x:v>
      </x:c>
      <x:c r="L43" s="24" t="str">
        <x:v>Terrain mission bank</x:v>
      </x:c>
      <x:c r="M43" s="24" t="str">
        <x:v>OPEN</x:v>
      </x:c>
      <x:c r="N43" s="26" t="n">
        <x:v>0</x:v>
      </x:c>
    </x:row>
    <x:row r="44">
      <x:c r="B44" s="24" t="str">
        <x:v>TC04</x:v>
      </x:c>
      <x:c r="C44" s="24" t="str">
        <x:v>Terrain</x:v>
      </x:c>
      <x:c r="D44" s="24" t="str">
        <x:v>admitted claim</x:v>
      </x:c>
      <x:c r="E44" s="24" t="str">
        <x:v>carrier plus W loss</x:v>
      </x:c>
      <x:c r="F44" s="24" t="n">
        <x:v>4</x:v>
      </x:c>
      <x:c r="G44" s="24" t="n">
        <x:v>4</x:v>
      </x:c>
      <x:c r="H44" s="24" t="str">
        <x:v>meet registered degraded-service threshold</x:v>
      </x:c>
      <x:c r="I44" s="24" t="str">
        <x:v>yes</x:v>
      </x:c>
      <x:c r="J44" s="24" t="str">
        <x:v>Mission Evidence Authority</x:v>
      </x:c>
      <x:c r="K44" s="24" t="str">
        <x:v>required</x:v>
      </x:c>
      <x:c r="L44" s="24" t="str">
        <x:v>Terrain mission bank</x:v>
      </x:c>
      <x:c r="M44" s="24" t="str">
        <x:v>OPEN</x:v>
      </x:c>
      <x:c r="N44" s="26" t="n">
        <x:v>0</x:v>
      </x:c>
    </x:row>
    <x:row r="45">
      <x:c r="B45" s="24" t="str">
        <x:v>TC05</x:v>
      </x:c>
      <x:c r="C45" s="24" t="str">
        <x:v>Terrain</x:v>
      </x:c>
      <x:c r="D45" s="24" t="str">
        <x:v>admitted claim</x:v>
      </x:c>
      <x:c r="E45" s="24" t="str">
        <x:v>carrier plus T loss</x:v>
      </x:c>
      <x:c r="F45" s="24" t="n">
        <x:v>4</x:v>
      </x:c>
      <x:c r="G45" s="24" t="n">
        <x:v>4</x:v>
      </x:c>
      <x:c r="H45" s="24" t="str">
        <x:v>meet registered degraded-service threshold</x:v>
      </x:c>
      <x:c r="I45" s="24" t="str">
        <x:v>yes</x:v>
      </x:c>
      <x:c r="J45" s="24" t="str">
        <x:v>Mission Evidence Authority</x:v>
      </x:c>
      <x:c r="K45" s="24" t="str">
        <x:v>required</x:v>
      </x:c>
      <x:c r="L45" s="24" t="str">
        <x:v>Terrain mission bank</x:v>
      </x:c>
      <x:c r="M45" s="24" t="str">
        <x:v>OPEN</x:v>
      </x:c>
      <x:c r="N45" s="26" t="n">
        <x:v>0</x:v>
      </x:c>
    </x:row>
    <x:row r="46">
      <x:c r="B46" s="24" t="str">
        <x:v>TC06</x:v>
      </x:c>
      <x:c r="C46" s="24" t="str">
        <x:v>Terrain</x:v>
      </x:c>
      <x:c r="D46" s="24" t="str">
        <x:v>admitted claim</x:v>
      </x:c>
      <x:c r="E46" s="24" t="str">
        <x:v>carrier plus D loss</x:v>
      </x:c>
      <x:c r="F46" s="24" t="n">
        <x:v>4</x:v>
      </x:c>
      <x:c r="G46" s="24" t="n">
        <x:v>4</x:v>
      </x:c>
      <x:c r="H46" s="24" t="str">
        <x:v>meet registered degraded-service threshold</x:v>
      </x:c>
      <x:c r="I46" s="24" t="str">
        <x:v>yes</x:v>
      </x:c>
      <x:c r="J46" s="24" t="str">
        <x:v>Mission Evidence Authority</x:v>
      </x:c>
      <x:c r="K46" s="24" t="str">
        <x:v>required</x:v>
      </x:c>
      <x:c r="L46" s="24" t="str">
        <x:v>Terrain mission bank</x:v>
      </x:c>
      <x:c r="M46" s="24" t="str">
        <x:v>OPEN</x:v>
      </x:c>
      <x:c r="N46" s="26" t="n">
        <x:v>0</x:v>
      </x:c>
    </x:row>
    <x:row r="47">
      <x:c r="B47" s="24" t="str">
        <x:v>TC07</x:v>
      </x:c>
      <x:c r="C47" s="24" t="str">
        <x:v>Terrain</x:v>
      </x:c>
      <x:c r="D47" s="24" t="str">
        <x:v>admitted claim</x:v>
      </x:c>
      <x:c r="E47" s="24" t="str">
        <x:v>carrier plus C loss</x:v>
      </x:c>
      <x:c r="F47" s="24" t="n">
        <x:v>4</x:v>
      </x:c>
      <x:c r="G47" s="24" t="n">
        <x:v>4</x:v>
      </x:c>
      <x:c r="H47" s="24" t="str">
        <x:v>meet registered degraded-service threshold</x:v>
      </x:c>
      <x:c r="I47" s="24" t="str">
        <x:v>yes</x:v>
      </x:c>
      <x:c r="J47" s="24" t="str">
        <x:v>Mission Evidence Authority</x:v>
      </x:c>
      <x:c r="K47" s="24" t="str">
        <x:v>required</x:v>
      </x:c>
      <x:c r="L47" s="24" t="str">
        <x:v>Terrain mission bank</x:v>
      </x:c>
      <x:c r="M47" s="24" t="str">
        <x:v>OPEN</x:v>
      </x:c>
      <x:c r="N47" s="26" t="n">
        <x:v>0</x:v>
      </x:c>
    </x:row>
    <x:row r="48">
      <x:c r="B48" s="24" t="str">
        <x:v>TC08</x:v>
      </x:c>
      <x:c r="C48" s="24" t="str">
        <x:v>Terrain</x:v>
      </x:c>
      <x:c r="D48" s="24" t="str">
        <x:v>admitted claim</x:v>
      </x:c>
      <x:c r="E48" s="24" t="str">
        <x:v>receiver zone denied</x:v>
      </x:c>
      <x:c r="F48" s="24" t="n">
        <x:v>4</x:v>
      </x:c>
      <x:c r="G48" s="24" t="n">
        <x:v>4</x:v>
      </x:c>
      <x:c r="H48" s="24" t="str">
        <x:v>meet registered degraded-service threshold</x:v>
      </x:c>
      <x:c r="I48" s="24" t="str">
        <x:v>yes</x:v>
      </x:c>
      <x:c r="J48" s="24" t="str">
        <x:v>Mission Evidence Authority</x:v>
      </x:c>
      <x:c r="K48" s="24" t="str">
        <x:v>required</x:v>
      </x:c>
      <x:c r="L48" s="24" t="str">
        <x:v>Terrain mission bank</x:v>
      </x:c>
      <x:c r="M48" s="24" t="str">
        <x:v>OPEN</x:v>
      </x:c>
      <x:c r="N48" s="26" t="n">
        <x:v>0</x:v>
      </x:c>
    </x:row>
    <x:row r="49">
      <x:c r="B49" s="24" t="str">
        <x:v>TC09</x:v>
      </x:c>
      <x:c r="C49" s="24" t="str">
        <x:v>Terrain</x:v>
      </x:c>
      <x:c r="D49" s="24" t="str">
        <x:v>admitted claim</x:v>
      </x:c>
      <x:c r="E49" s="24" t="str">
        <x:v>origin loader denied</x:v>
      </x:c>
      <x:c r="F49" s="24" t="n">
        <x:v>4</x:v>
      </x:c>
      <x:c r="G49" s="24" t="n">
        <x:v>4</x:v>
      </x:c>
      <x:c r="H49" s="24" t="str">
        <x:v>meet registered degraded-service threshold</x:v>
      </x:c>
      <x:c r="I49" s="24" t="str">
        <x:v>yes</x:v>
      </x:c>
      <x:c r="J49" s="24" t="str">
        <x:v>Mission Evidence Authority</x:v>
      </x:c>
      <x:c r="K49" s="24" t="str">
        <x:v>required</x:v>
      </x:c>
      <x:c r="L49" s="24" t="str">
        <x:v>Terrain mission bank</x:v>
      </x:c>
      <x:c r="M49" s="24" t="str">
        <x:v>OPEN</x:v>
      </x:c>
      <x:c r="N49" s="26" t="n">
        <x:v>0</x:v>
      </x:c>
    </x:row>
    <x:row r="50">
      <x:c r="B50" s="24" t="str">
        <x:v>TC10</x:v>
      </x:c>
      <x:c r="C50" s="24" t="str">
        <x:v>Terrain</x:v>
      </x:c>
      <x:c r="D50" s="24" t="str">
        <x:v>admitted claim</x:v>
      </x:c>
      <x:c r="E50" s="24" t="str">
        <x:v>GNSS denial</x:v>
      </x:c>
      <x:c r="F50" s="24" t="n">
        <x:v>4</x:v>
      </x:c>
      <x:c r="G50" s="24" t="n">
        <x:v>4</x:v>
      </x:c>
      <x:c r="H50" s="24" t="str">
        <x:v>meet registered degraded-service threshold</x:v>
      </x:c>
      <x:c r="I50" s="24" t="str">
        <x:v>yes</x:v>
      </x:c>
      <x:c r="J50" s="24" t="str">
        <x:v>Mission Evidence Authority</x:v>
      </x:c>
      <x:c r="K50" s="24" t="str">
        <x:v>required</x:v>
      </x:c>
      <x:c r="L50" s="24" t="str">
        <x:v>Terrain mission bank</x:v>
      </x:c>
      <x:c r="M50" s="24" t="str">
        <x:v>OPEN</x:v>
      </x:c>
      <x:c r="N50" s="26" t="n">
        <x:v>0</x:v>
      </x:c>
    </x:row>
    <x:row r="51">
      <x:c r="B51" s="24" t="str">
        <x:v>TC11</x:v>
      </x:c>
      <x:c r="C51" s="24" t="str">
        <x:v>Terrain</x:v>
      </x:c>
      <x:c r="D51" s="24" t="str">
        <x:v>admitted claim</x:v>
      </x:c>
      <x:c r="E51" s="24" t="str">
        <x:v>network denial</x:v>
      </x:c>
      <x:c r="F51" s="24" t="n">
        <x:v>4</x:v>
      </x:c>
      <x:c r="G51" s="24" t="n">
        <x:v>4</x:v>
      </x:c>
      <x:c r="H51" s="24" t="str">
        <x:v>meet registered degraded-service threshold</x:v>
      </x:c>
      <x:c r="I51" s="24" t="str">
        <x:v>yes</x:v>
      </x:c>
      <x:c r="J51" s="24" t="str">
        <x:v>Mission Evidence Authority</x:v>
      </x:c>
      <x:c r="K51" s="24" t="str">
        <x:v>required</x:v>
      </x:c>
      <x:c r="L51" s="24" t="str">
        <x:v>Terrain mission bank</x:v>
      </x:c>
      <x:c r="M51" s="24" t="str">
        <x:v>OPEN</x:v>
      </x:c>
      <x:c r="N51" s="26" t="n">
        <x:v>0</x:v>
      </x:c>
    </x:row>
    <x:row r="52">
      <x:c r="B52" s="24" t="str">
        <x:v>TC12</x:v>
      </x:c>
      <x:c r="C52" s="24" t="str">
        <x:v>Terrain</x:v>
      </x:c>
      <x:c r="D52" s="24" t="str">
        <x:v>admitted claim</x:v>
      </x:c>
      <x:c r="E52" s="24" t="str">
        <x:v>assay queue</x:v>
      </x:c>
      <x:c r="F52" s="24" t="n">
        <x:v>4</x:v>
      </x:c>
      <x:c r="G52" s="24" t="n">
        <x:v>4</x:v>
      </x:c>
      <x:c r="H52" s="24" t="str">
        <x:v>meet registered degraded-service threshold</x:v>
      </x:c>
      <x:c r="I52" s="24" t="str">
        <x:v>yes</x:v>
      </x:c>
      <x:c r="J52" s="24" t="str">
        <x:v>Mission Evidence Authority</x:v>
      </x:c>
      <x:c r="K52" s="24" t="str">
        <x:v>required</x:v>
      </x:c>
      <x:c r="L52" s="24" t="str">
        <x:v>Terrain mission bank</x:v>
      </x:c>
      <x:c r="M52" s="24" t="str">
        <x:v>OPEN</x:v>
      </x:c>
      <x:c r="N52" s="26" t="n">
        <x:v>0</x:v>
      </x:c>
    </x:row>
    <x:row r="53">
      <x:c r="B53" s="24" t="str">
        <x:v>TC13</x:v>
      </x:c>
      <x:c r="C53" s="24" t="str">
        <x:v>Terrain</x:v>
      </x:c>
      <x:c r="D53" s="24" t="str">
        <x:v>admitted claim</x:v>
      </x:c>
      <x:c r="E53" s="24" t="str">
        <x:v>climate envelope</x:v>
      </x:c>
      <x:c r="F53" s="24" t="n">
        <x:v>4</x:v>
      </x:c>
      <x:c r="G53" s="24" t="n">
        <x:v>4</x:v>
      </x:c>
      <x:c r="H53" s="24" t="str">
        <x:v>meet registered degraded-service threshold</x:v>
      </x:c>
      <x:c r="I53" s="24" t="str">
        <x:v>yes</x:v>
      </x:c>
      <x:c r="J53" s="24" t="str">
        <x:v>Mission Evidence Authority</x:v>
      </x:c>
      <x:c r="K53" s="24" t="str">
        <x:v>required</x:v>
      </x:c>
      <x:c r="L53" s="24" t="str">
        <x:v>Terrain mission bank</x:v>
      </x:c>
      <x:c r="M53" s="24" t="str">
        <x:v>OPEN</x:v>
      </x:c>
      <x:c r="N53" s="26" t="n">
        <x:v>0</x:v>
      </x:c>
    </x:row>
    <x:row r="54">
      <x:c r="B54" s="24" t="str">
        <x:v>TC14</x:v>
      </x:c>
      <x:c r="C54" s="24" t="str">
        <x:v>Terrain</x:v>
      </x:c>
      <x:c r="D54" s="24" t="str">
        <x:v>admitted claim</x:v>
      </x:c>
      <x:c r="E54" s="24" t="str">
        <x:v>wet containment</x:v>
      </x:c>
      <x:c r="F54" s="24" t="n">
        <x:v>4</x:v>
      </x:c>
      <x:c r="G54" s="24" t="n">
        <x:v>4</x:v>
      </x:c>
      <x:c r="H54" s="24" t="str">
        <x:v>meet registered degraded-service threshold</x:v>
      </x:c>
      <x:c r="I54" s="24" t="str">
        <x:v>yes</x:v>
      </x:c>
      <x:c r="J54" s="24" t="str">
        <x:v>Mission Evidence Authority</x:v>
      </x:c>
      <x:c r="K54" s="24" t="str">
        <x:v>required</x:v>
      </x:c>
      <x:c r="L54" s="24" t="str">
        <x:v>Terrain mission bank</x:v>
      </x:c>
      <x:c r="M54" s="24" t="str">
        <x:v>OPEN</x:v>
      </x:c>
      <x:c r="N54" s="26" t="n">
        <x:v>0</x:v>
      </x:c>
    </x:row>
    <x:row r="55">
      <x:c r="B55" s="24" t="str">
        <x:v>TC15</x:v>
      </x:c>
      <x:c r="C55" s="24" t="str">
        <x:v>Terrain</x:v>
      </x:c>
      <x:c r="D55" s="24" t="str">
        <x:v>admitted claim</x:v>
      </x:c>
      <x:c r="E55" s="24" t="str">
        <x:v>black start</x:v>
      </x:c>
      <x:c r="F55" s="24" t="n">
        <x:v>4</x:v>
      </x:c>
      <x:c r="G55" s="24" t="n">
        <x:v>4</x:v>
      </x:c>
      <x:c r="H55" s="24" t="str">
        <x:v>meet registered degraded-service threshold</x:v>
      </x:c>
      <x:c r="I55" s="24" t="str">
        <x:v>yes</x:v>
      </x:c>
      <x:c r="J55" s="24" t="str">
        <x:v>Mission Evidence Authority</x:v>
      </x:c>
      <x:c r="K55" s="24" t="str">
        <x:v>required</x:v>
      </x:c>
      <x:c r="L55" s="24" t="str">
        <x:v>Terrain mission bank</x:v>
      </x:c>
      <x:c r="M55" s="24" t="str">
        <x:v>OPEN</x:v>
      </x:c>
      <x:c r="N55" s="26" t="n">
        <x:v>0</x:v>
      </x:c>
    </x:row>
    <x:row r="56">
      <x:c r="B56" s="24" t="str">
        <x:v>TC16</x:v>
      </x:c>
      <x:c r="C56" s="24" t="str">
        <x:v>Terrain</x:v>
      </x:c>
      <x:c r="D56" s="24" t="str">
        <x:v>admitted claim</x:v>
      </x:c>
      <x:c r="E56" s="24" t="str">
        <x:v>simultaneous peak</x:v>
      </x:c>
      <x:c r="F56" s="24" t="n">
        <x:v>4</x:v>
      </x:c>
      <x:c r="G56" s="24" t="n">
        <x:v>4</x:v>
      </x:c>
      <x:c r="H56" s="24" t="str">
        <x:v>meet registered degraded-service threshold</x:v>
      </x:c>
      <x:c r="I56" s="24" t="str">
        <x:v>yes</x:v>
      </x:c>
      <x:c r="J56" s="24" t="str">
        <x:v>Mission Evidence Authority</x:v>
      </x:c>
      <x:c r="K56" s="24" t="str">
        <x:v>required</x:v>
      </x:c>
      <x:c r="L56" s="24" t="str">
        <x:v>Terrain mission bank</x:v>
      </x:c>
      <x:c r="M56" s="24" t="str">
        <x:v>OPEN</x:v>
      </x:c>
      <x:c r="N56" s="26" t="n">
        <x:v>0</x:v>
      </x:c>
    </x:row>
    <x:row r="57">
      <x:c r="B57" s="24" t="str">
        <x:v>TC17</x:v>
      </x:c>
      <x:c r="C57" s="24" t="str">
        <x:v>Terrain</x:v>
      </x:c>
      <x:c r="D57" s="24" t="str">
        <x:v>admitted claim</x:v>
      </x:c>
      <x:c r="E57" s="24" t="str">
        <x:v>certification authority removed</x:v>
      </x:c>
      <x:c r="F57" s="24" t="n">
        <x:v>4</x:v>
      </x:c>
      <x:c r="G57" s="24" t="n">
        <x:v>4</x:v>
      </x:c>
      <x:c r="H57" s="24" t="str">
        <x:v>meet registered degraded-service threshold</x:v>
      </x:c>
      <x:c r="I57" s="24" t="str">
        <x:v>yes</x:v>
      </x:c>
      <x:c r="J57" s="24" t="str">
        <x:v>Mission Evidence Authority</x:v>
      </x:c>
      <x:c r="K57" s="24" t="str">
        <x:v>required</x:v>
      </x:c>
      <x:c r="L57" s="24" t="str">
        <x:v>Terrain mission bank</x:v>
      </x:c>
      <x:c r="M57" s="24" t="str">
        <x:v>OPEN</x:v>
      </x:c>
      <x:c r="N57" s="26" t="n">
        <x:v>0</x:v>
      </x:c>
    </x:row>
    <x:row r="58">
      <x:c r="B58" s="24" t="str">
        <x:v>TC18</x:v>
      </x:c>
      <x:c r="C58" s="24" t="str">
        <x:v>Terrain</x:v>
      </x:c>
      <x:c r="D58" s="24" t="str">
        <x:v>admitted claim</x:v>
      </x:c>
      <x:c r="E58" s="24" t="str">
        <x:v>sub-tier recall</x:v>
      </x:c>
      <x:c r="F58" s="24" t="n">
        <x:v>4</x:v>
      </x:c>
      <x:c r="G58" s="24" t="n">
        <x:v>4</x:v>
      </x:c>
      <x:c r="H58" s="24" t="str">
        <x:v>meet registered degraded-service threshold</x:v>
      </x:c>
      <x:c r="I58" s="24" t="str">
        <x:v>yes</x:v>
      </x:c>
      <x:c r="J58" s="24" t="str">
        <x:v>Mission Evidence Authority</x:v>
      </x:c>
      <x:c r="K58" s="24" t="str">
        <x:v>required</x:v>
      </x:c>
      <x:c r="L58" s="24" t="str">
        <x:v>Terrain mission bank</x:v>
      </x:c>
      <x:c r="M58" s="24" t="str">
        <x:v>OPEN</x:v>
      </x:c>
      <x:c r="N58" s="26" t="n">
        <x:v>0</x:v>
      </x:c>
    </x:row>
    <x:row r="59">
      <x:c r="B59" s="24" t="str">
        <x:v>TC19</x:v>
      </x:c>
      <x:c r="C59" s="24" t="str">
        <x:v>Terrain</x:v>
      </x:c>
      <x:c r="D59" s="24" t="str">
        <x:v>admitted claim</x:v>
      </x:c>
      <x:c r="E59" s="24" t="str">
        <x:v>control root defect</x:v>
      </x:c>
      <x:c r="F59" s="24" t="n">
        <x:v>4</x:v>
      </x:c>
      <x:c r="G59" s="24" t="n">
        <x:v>4</x:v>
      </x:c>
      <x:c r="H59" s="24" t="str">
        <x:v>meet registered degraded-service threshold</x:v>
      </x:c>
      <x:c r="I59" s="24" t="str">
        <x:v>yes</x:v>
      </x:c>
      <x:c r="J59" s="24" t="str">
        <x:v>Mission Evidence Authority</x:v>
      </x:c>
      <x:c r="K59" s="24" t="str">
        <x:v>required</x:v>
      </x:c>
      <x:c r="L59" s="24" t="str">
        <x:v>Terrain mission bank</x:v>
      </x:c>
      <x:c r="M59" s="24" t="str">
        <x:v>OPEN</x:v>
      </x:c>
      <x:c r="N59" s="26" t="n">
        <x:v>0</x:v>
      </x:c>
    </x:row>
    <x:row r="60">
      <x:c r="B60" s="24" t="str">
        <x:v>TC20</x:v>
      </x:c>
      <x:c r="C60" s="24" t="str">
        <x:v>Terrain</x:v>
      </x:c>
      <x:c r="D60" s="24" t="str">
        <x:v>admitted claim</x:v>
      </x:c>
      <x:c r="E60" s="24" t="str">
        <x:v>crew casualty</x:v>
      </x:c>
      <x:c r="F60" s="24" t="n">
        <x:v>4</x:v>
      </x:c>
      <x:c r="G60" s="24" t="n">
        <x:v>4</x:v>
      </x:c>
      <x:c r="H60" s="24" t="str">
        <x:v>meet registered degraded-service threshold</x:v>
      </x:c>
      <x:c r="I60" s="24" t="str">
        <x:v>yes</x:v>
      </x:c>
      <x:c r="J60" s="24" t="str">
        <x:v>Mission Evidence Authority</x:v>
      </x:c>
      <x:c r="K60" s="24" t="str">
        <x:v>required</x:v>
      </x:c>
      <x:c r="L60" s="24" t="str">
        <x:v>Terrain mission bank</x:v>
      </x:c>
      <x:c r="M60" s="24" t="str">
        <x:v>OPEN</x:v>
      </x:c>
      <x:c r="N60" s="26" t="n">
        <x:v>0</x:v>
      </x:c>
    </x:row>
    <x:row r="61">
      <x:c r="B61" s="24" t="str">
        <x:v>TC21</x:v>
      </x:c>
      <x:c r="C61" s="24" t="str">
        <x:v>Terrain</x:v>
      </x:c>
      <x:c r="D61" s="24" t="str">
        <x:v>admitted claim</x:v>
      </x:c>
      <x:c r="E61" s="24" t="str">
        <x:v>saddle quarantine</x:v>
      </x:c>
      <x:c r="F61" s="24" t="n">
        <x:v>4</x:v>
      </x:c>
      <x:c r="G61" s="24" t="n">
        <x:v>4</x:v>
      </x:c>
      <x:c r="H61" s="24" t="str">
        <x:v>meet registered degraded-service threshold</x:v>
      </x:c>
      <x:c r="I61" s="24" t="str">
        <x:v>yes</x:v>
      </x:c>
      <x:c r="J61" s="24" t="str">
        <x:v>Mission Evidence Authority</x:v>
      </x:c>
      <x:c r="K61" s="24" t="str">
        <x:v>required</x:v>
      </x:c>
      <x:c r="L61" s="24" t="str">
        <x:v>Terrain mission bank</x:v>
      </x:c>
      <x:c r="M61" s="24" t="str">
        <x:v>OPEN</x:v>
      </x:c>
      <x:c r="N61" s="26" t="n">
        <x:v>0</x:v>
      </x:c>
    </x:row>
    <x:row r="62">
      <x:c r="B62" s="24" t="str">
        <x:v>TC22</x:v>
      </x:c>
      <x:c r="C62" s="24" t="str">
        <x:v>Terrain</x:v>
      </x:c>
      <x:c r="D62" s="24" t="str">
        <x:v>admitted claim</x:v>
      </x:c>
      <x:c r="E62" s="24" t="str">
        <x:v>reset and second mission</x:v>
      </x:c>
      <x:c r="F62" s="24" t="n">
        <x:v>4</x:v>
      </x:c>
      <x:c r="G62" s="24" t="n">
        <x:v>4</x:v>
      </x:c>
      <x:c r="H62" s="24" t="str">
        <x:v>meet registered degraded-service threshold</x:v>
      </x:c>
      <x:c r="I62" s="24" t="str">
        <x:v>yes</x:v>
      </x:c>
      <x:c r="J62" s="24" t="str">
        <x:v>Mission Evidence Authority</x:v>
      </x:c>
      <x:c r="K62" s="24" t="str">
        <x:v>required</x:v>
      </x:c>
      <x:c r="L62" s="24" t="str">
        <x:v>Terrain mission bank</x:v>
      </x:c>
      <x:c r="M62" s="24" t="str">
        <x:v>OPEN</x:v>
      </x:c>
      <x:c r="N62" s="26" t="n">
        <x:v>0</x:v>
      </x:c>
    </x:row>
    <x:row r="63">
      <x:c r="B63" s="24" t="str">
        <x:v>TP01</x:v>
      </x:c>
      <x:c r="C63" s="24" t="str">
        <x:v>Terrain</x:v>
      </x:c>
      <x:c r="D63" s="24" t="str">
        <x:v>boundary probe</x:v>
      </x:c>
      <x:c r="E63" s="24" t="str">
        <x:v>second carrier loss</x:v>
      </x:c>
      <x:c r="F63" s="24" t="n">
        <x:v>1</x:v>
      </x:c>
      <x:c r="G63" s="24" t="n">
        <x:v>1</x:v>
      </x:c>
      <x:c r="H63" s="24" t="str">
        <x:v>truthful safe stop</x:v>
      </x:c>
      <x:c r="I63" s="24" t="str">
        <x:v>yes</x:v>
      </x:c>
      <x:c r="J63" s="24" t="str">
        <x:v>Destructive Trial Authority</x:v>
      </x:c>
      <x:c r="K63" s="24" t="str">
        <x:v>no public reliance</x:v>
      </x:c>
      <x:c r="L63" s="24" t="str">
        <x:v>Terrain mission bank</x:v>
      </x:c>
      <x:c r="M63" s="24" t="str">
        <x:v>OPEN</x:v>
      </x:c>
      <x:c r="N63" s="26" t="n">
        <x:v>0</x:v>
      </x:c>
    </x:row>
    <x:row r="64">
      <x:c r="B64" s="24" t="str">
        <x:v>TP02</x:v>
      </x:c>
      <x:c r="C64" s="24" t="str">
        <x:v>Terrain</x:v>
      </x:c>
      <x:c r="D64" s="24" t="str">
        <x:v>boundary probe</x:v>
      </x:c>
      <x:c r="E64" s="24" t="str">
        <x:v>two same-family tile losses</x:v>
      </x:c>
      <x:c r="F64" s="24" t="n">
        <x:v>1</x:v>
      </x:c>
      <x:c r="G64" s="24" t="n">
        <x:v>1</x:v>
      </x:c>
      <x:c r="H64" s="24" t="str">
        <x:v>truthful safe stop</x:v>
      </x:c>
      <x:c r="I64" s="24" t="str">
        <x:v>yes</x:v>
      </x:c>
      <x:c r="J64" s="24" t="str">
        <x:v>Destructive Trial Authority</x:v>
      </x:c>
      <x:c r="K64" s="24" t="str">
        <x:v>no public reliance</x:v>
      </x:c>
      <x:c r="L64" s="24" t="str">
        <x:v>Terrain mission bank</x:v>
      </x:c>
      <x:c r="M64" s="24" t="str">
        <x:v>OPEN</x:v>
      </x:c>
      <x:c r="N64" s="26" t="n">
        <x:v>0</x:v>
      </x:c>
    </x:row>
    <x:row r="65">
      <x:c r="B65" s="24" t="str">
        <x:v>TP03</x:v>
      </x:c>
      <x:c r="C65" s="24" t="str">
        <x:v>Terrain</x:v>
      </x:c>
      <x:c r="D65" s="24" t="str">
        <x:v>boundary probe</x:v>
      </x:c>
      <x:c r="E65" s="24" t="str">
        <x:v>both access modes lost</x:v>
      </x:c>
      <x:c r="F65" s="24" t="n">
        <x:v>1</x:v>
      </x:c>
      <x:c r="G65" s="24" t="n">
        <x:v>1</x:v>
      </x:c>
      <x:c r="H65" s="24" t="str">
        <x:v>truthful safe stop</x:v>
      </x:c>
      <x:c r="I65" s="24" t="str">
        <x:v>yes</x:v>
      </x:c>
      <x:c r="J65" s="24" t="str">
        <x:v>Destructive Trial Authority</x:v>
      </x:c>
      <x:c r="K65" s="24" t="str">
        <x:v>no public reliance</x:v>
      </x:c>
      <x:c r="L65" s="24" t="str">
        <x:v>Terrain mission bank</x:v>
      </x:c>
      <x:c r="M65" s="24" t="str">
        <x:v>OPEN</x:v>
      </x:c>
      <x:c r="N65" s="26" t="n">
        <x:v>0</x:v>
      </x:c>
    </x:row>
    <x:row r="66">
      <x:c r="B66" s="24" t="str">
        <x:v>TP04</x:v>
      </x:c>
      <x:c r="C66" s="24" t="str">
        <x:v>Terrain</x:v>
      </x:c>
      <x:c r="D66" s="24" t="str">
        <x:v>boundary probe</x:v>
      </x:c>
      <x:c r="E66" s="24" t="str">
        <x:v>no lawful receiver</x:v>
      </x:c>
      <x:c r="F66" s="24" t="n">
        <x:v>1</x:v>
      </x:c>
      <x:c r="G66" s="24" t="n">
        <x:v>1</x:v>
      </x:c>
      <x:c r="H66" s="24" t="str">
        <x:v>truthful safe stop</x:v>
      </x:c>
      <x:c r="I66" s="24" t="str">
        <x:v>yes</x:v>
      </x:c>
      <x:c r="J66" s="24" t="str">
        <x:v>Destructive Trial Authority</x:v>
      </x:c>
      <x:c r="K66" s="24" t="str">
        <x:v>no public reliance</x:v>
      </x:c>
      <x:c r="L66" s="24" t="str">
        <x:v>Terrain mission bank</x:v>
      </x:c>
      <x:c r="M66" s="24" t="str">
        <x:v>OPEN</x:v>
      </x:c>
      <x:c r="N66" s="26" t="n">
        <x:v>0</x:v>
      </x:c>
    </x:row>
    <x:row r="67">
      <x:c r="B67" s="24" t="str">
        <x:v>TD01</x:v>
      </x:c>
      <x:c r="C67" s="24" t="str">
        <x:v>Terrain</x:v>
      </x:c>
      <x:c r="D67" s="24" t="str">
        <x:v>blinded defect</x:v>
      </x:c>
      <x:c r="E67" s="24" t="str">
        <x:v>mass tag mismatch</x:v>
      </x:c>
      <x:c r="F67" s="24" t="n">
        <x:v>1</x:v>
      </x:c>
      <x:c r="G67" s="24" t="n">
        <x:v>1</x:v>
      </x:c>
      <x:c r="H67" s="24" t="str">
        <x:v>detect and quarantine</x:v>
      </x:c>
      <x:c r="I67" s="24" t="str">
        <x:v>yes</x:v>
      </x:c>
      <x:c r="J67" s="24" t="str">
        <x:v>Defect Injection Authority</x:v>
      </x:c>
      <x:c r="K67" s="24" t="str">
        <x:v>no public reliance</x:v>
      </x:c>
      <x:c r="L67" s="24" t="str">
        <x:v>Terrain mission bank</x:v>
      </x:c>
      <x:c r="M67" s="24" t="str">
        <x:v>OPEN</x:v>
      </x:c>
      <x:c r="N67" s="26" t="n">
        <x:v>0</x:v>
      </x:c>
    </x:row>
    <x:row r="68">
      <x:c r="B68" s="24" t="str">
        <x:v>TD02</x:v>
      </x:c>
      <x:c r="C68" s="24" t="str">
        <x:v>Terrain</x:v>
      </x:c>
      <x:c r="D68" s="24" t="str">
        <x:v>blinded defect</x:v>
      </x:c>
      <x:c r="E68" s="24" t="str">
        <x:v>counterfeit component</x:v>
      </x:c>
      <x:c r="F68" s="24" t="n">
        <x:v>1</x:v>
      </x:c>
      <x:c r="G68" s="24" t="n">
        <x:v>1</x:v>
      </x:c>
      <x:c r="H68" s="24" t="str">
        <x:v>detect and quarantine</x:v>
      </x:c>
      <x:c r="I68" s="24" t="str">
        <x:v>yes</x:v>
      </x:c>
      <x:c r="J68" s="24" t="str">
        <x:v>Defect Injection Authority</x:v>
      </x:c>
      <x:c r="K68" s="24" t="str">
        <x:v>no public reliance</x:v>
      </x:c>
      <x:c r="L68" s="24" t="str">
        <x:v>Terrain mission bank</x:v>
      </x:c>
      <x:c r="M68" s="24" t="str">
        <x:v>OPEN</x:v>
      </x:c>
      <x:c r="N68" s="26" t="n">
        <x:v>0</x:v>
      </x:c>
    </x:row>
    <x:row r="69">
      <x:c r="B69" s="24" t="str">
        <x:v>TD03</x:v>
      </x:c>
      <x:c r="C69" s="24" t="str">
        <x:v>Terrain</x:v>
      </x:c>
      <x:c r="D69" s="24" t="str">
        <x:v>blinded defect</x:v>
      </x:c>
      <x:c r="E69" s="24" t="str">
        <x:v>common firmware signature</x:v>
      </x:c>
      <x:c r="F69" s="24" t="n">
        <x:v>1</x:v>
      </x:c>
      <x:c r="G69" s="24" t="n">
        <x:v>1</x:v>
      </x:c>
      <x:c r="H69" s="24" t="str">
        <x:v>detect and quarantine</x:v>
      </x:c>
      <x:c r="I69" s="24" t="str">
        <x:v>yes</x:v>
      </x:c>
      <x:c r="J69" s="24" t="str">
        <x:v>Defect Injection Authority</x:v>
      </x:c>
      <x:c r="K69" s="24" t="str">
        <x:v>no public reliance</x:v>
      </x:c>
      <x:c r="L69" s="24" t="str">
        <x:v>Terrain mission bank</x:v>
      </x:c>
      <x:c r="M69" s="24" t="str">
        <x:v>OPEN</x:v>
      </x:c>
      <x:c r="N69" s="26" t="n">
        <x:v>0</x:v>
      </x:c>
    </x:row>
    <x:row r="70">
      <x:c r="B70" s="24" t="str">
        <x:v>TD04</x:v>
      </x:c>
      <x:c r="C70" s="24" t="str">
        <x:v>Terrain</x:v>
      </x:c>
      <x:c r="D70" s="24" t="str">
        <x:v>blinded defect</x:v>
      </x:c>
      <x:c r="E70" s="24" t="str">
        <x:v>contaminated wet lot</x:v>
      </x:c>
      <x:c r="F70" s="24" t="n">
        <x:v>1</x:v>
      </x:c>
      <x:c r="G70" s="24" t="n">
        <x:v>1</x:v>
      </x:c>
      <x:c r="H70" s="24" t="str">
        <x:v>detect and quarantine</x:v>
      </x:c>
      <x:c r="I70" s="24" t="str">
        <x:v>yes</x:v>
      </x:c>
      <x:c r="J70" s="24" t="str">
        <x:v>Defect Injection Authority</x:v>
      </x:c>
      <x:c r="K70" s="24" t="str">
        <x:v>no public reliance</x:v>
      </x:c>
      <x:c r="L70" s="24" t="str">
        <x:v>Terrain mission bank</x:v>
      </x:c>
      <x:c r="M70" s="24" t="str">
        <x:v>OPEN</x:v>
      </x:c>
      <x:c r="N70" s="26" t="n">
        <x:v>0</x:v>
      </x:c>
    </x:row>
    <x:row r="71">
      <x:c r="B71" s="24" t="str">
        <x:v>TD05</x:v>
      </x:c>
      <x:c r="C71" s="24" t="str">
        <x:v>Terrain</x:v>
      </x:c>
      <x:c r="D71" s="24" t="str">
        <x:v>blinded defect</x:v>
      </x:c>
      <x:c r="E71" s="24" t="str">
        <x:v>wrong center of gravity</x:v>
      </x:c>
      <x:c r="F71" s="24" t="n">
        <x:v>1</x:v>
      </x:c>
      <x:c r="G71" s="24" t="n">
        <x:v>1</x:v>
      </x:c>
      <x:c r="H71" s="24" t="str">
        <x:v>detect and quarantine</x:v>
      </x:c>
      <x:c r="I71" s="24" t="str">
        <x:v>yes</x:v>
      </x:c>
      <x:c r="J71" s="24" t="str">
        <x:v>Defect Injection Authority</x:v>
      </x:c>
      <x:c r="K71" s="24" t="str">
        <x:v>no public reliance</x:v>
      </x:c>
      <x:c r="L71" s="24" t="str">
        <x:v>Terrain mission bank</x:v>
      </x:c>
      <x:c r="M71" s="24" t="str">
        <x:v>OPEN</x:v>
      </x:c>
      <x:c r="N71" s="26" t="n">
        <x:v>0</x:v>
      </x:c>
    </x:row>
    <x:row r="72">
      <x:c r="B72" s="24" t="str">
        <x:v>TD06</x:v>
      </x:c>
      <x:c r="C72" s="24" t="str">
        <x:v>Terrain</x:v>
      </x:c>
      <x:c r="D72" s="24" t="str">
        <x:v>blinded defect</x:v>
      </x:c>
      <x:c r="E72" s="24" t="str">
        <x:v>assay disagreement</x:v>
      </x:c>
      <x:c r="F72" s="24" t="n">
        <x:v>1</x:v>
      </x:c>
      <x:c r="G72" s="24" t="n">
        <x:v>1</x:v>
      </x:c>
      <x:c r="H72" s="24" t="str">
        <x:v>detect and quarantine</x:v>
      </x:c>
      <x:c r="I72" s="24" t="str">
        <x:v>yes</x:v>
      </x:c>
      <x:c r="J72" s="24" t="str">
        <x:v>Defect Injection Authority</x:v>
      </x:c>
      <x:c r="K72" s="24" t="str">
        <x:v>no public reliance</x:v>
      </x:c>
      <x:c r="L72" s="24" t="str">
        <x:v>Terrain mission bank</x:v>
      </x:c>
      <x:c r="M72" s="24" t="str">
        <x:v>OPEN</x:v>
      </x:c>
      <x:c r="N72" s="26" t="n">
        <x:v>0</x:v>
      </x:c>
    </x:row>
    <x:row r="73">
      <x:c r="B73" s="24" t="str">
        <x:v>TD07</x:v>
      </x:c>
      <x:c r="C73" s="24" t="str">
        <x:v>Terrain</x:v>
      </x:c>
      <x:c r="D73" s="24" t="str">
        <x:v>blinded defect</x:v>
      </x:c>
      <x:c r="E73" s="24" t="str">
        <x:v>receiver adapter fault</x:v>
      </x:c>
      <x:c r="F73" s="24" t="n">
        <x:v>1</x:v>
      </x:c>
      <x:c r="G73" s="24" t="n">
        <x:v>1</x:v>
      </x:c>
      <x:c r="H73" s="24" t="str">
        <x:v>detect and quarantine</x:v>
      </x:c>
      <x:c r="I73" s="24" t="str">
        <x:v>yes</x:v>
      </x:c>
      <x:c r="J73" s="24" t="str">
        <x:v>Defect Injection Authority</x:v>
      </x:c>
      <x:c r="K73" s="24" t="str">
        <x:v>no public reliance</x:v>
      </x:c>
      <x:c r="L73" s="24" t="str">
        <x:v>Terrain mission bank</x:v>
      </x:c>
      <x:c r="M73" s="24" t="str">
        <x:v>OPEN</x:v>
      </x:c>
      <x:c r="N73" s="26" t="n">
        <x:v>0</x:v>
      </x:c>
    </x:row>
    <x:row r="74">
      <x:c r="B74" s="27" t="str">
        <x:v>TD08</x:v>
      </x:c>
      <x:c r="C74" s="27" t="str">
        <x:v>Terrain</x:v>
      </x:c>
      <x:c r="D74" s="27" t="str">
        <x:v>blinded defect</x:v>
      </x:c>
      <x:c r="E74" s="27" t="str">
        <x:v>falsified reset record</x:v>
      </x:c>
      <x:c r="F74" s="27" t="n">
        <x:v>1</x:v>
      </x:c>
      <x:c r="G74" s="27" t="n">
        <x:v>1</x:v>
      </x:c>
      <x:c r="H74" s="27" t="str">
        <x:v>detect and quarantine</x:v>
      </x:c>
      <x:c r="I74" s="27" t="str">
        <x:v>yes</x:v>
      </x:c>
      <x:c r="J74" s="27" t="str">
        <x:v>Defect Injection Authority</x:v>
      </x:c>
      <x:c r="K74" s="27" t="str">
        <x:v>no public reliance</x:v>
      </x:c>
      <x:c r="L74" s="27" t="str">
        <x:v>Terrain mission bank</x:v>
      </x:c>
      <x:c r="M74" s="27" t="str">
        <x:v>OPEN</x:v>
      </x:c>
      <x:c r="N74" s="29" t="n">
        <x:v>0</x:v>
      </x:c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</x:sheetData>
  <x:mergeCells>
    <x:mergeCell ref="B2:H2"/>
    <x:mergeCell ref="B3:N3"/>
  </x:mergeCells>
  <x:conditionalFormatting sqref="M7:M74">
    <x:cfRule type="containsText" dxfId="10" priority="1" operator="containsText" text="FAIL"/>
    <x:cfRule type="containsText" dxfId="11" priority="2" operator="containsText" text="PASS"/>
    <x:cfRule type="containsText" dxfId="12" priority="3" operator="containsText" text="OPEN"/>
    <x:cfRule type="containsText" dxfId="13" priority="4" operator="containsText" text="HOLD"/>
    <x:cfRule type="containsText" dxfId="14" priority="5" operator="containsText" text="BLOC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5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55" hidden="0" customWidth="1"/>
  </x:cols>
  <x:sheetData>
    <x:row r="2">
      <x:c r="B2" s="4" t="str">
        <x:v>Proving workforce</x:v>
      </x:c>
      <x:c r="C2" s="3"/>
      <x:c r="D2" s="3"/>
      <x:c r="E2" s="3"/>
      <x:c r="F2" s="3"/>
      <x:c r="G2" s="3"/>
      <x:c r="H2" s="3"/>
    </x:row>
    <x:row r="3">
      <x:c r="B3" s="5" t="str">
        <x:v>The enterprise is a permanent technical service with a minimum watch, not a rotating contractor project office</x:v>
      </x:c>
      <x:c r="C3" s="3"/>
      <x:c r="D3" s="3"/>
      <x:c r="E3" s="3"/>
      <x:c r="F3" s="3"/>
      <x:c r="G3" s="3"/>
      <x:c r="H3" s="3"/>
    </x:row>
    <x:row r="4">
      <x:c r="B4" s="6"/>
      <x:c r="C4" s="6"/>
      <x:c r="D4" s="6"/>
      <x:c r="E4" s="6"/>
      <x:c r="F4" s="6"/>
      <x:c r="G4" s="6"/>
      <x:c r="H4" s="6"/>
    </x:row>
    <x:row r="5">
      <x:c r="B5" s="3"/>
      <x:c r="C5" s="3"/>
      <x:c r="D5" s="3"/>
      <x:c r="E5" s="3"/>
      <x:c r="F5" s="3"/>
      <x:c r="G5" s="3"/>
      <x:c r="H5" s="3"/>
    </x:row>
    <x:row r="6">
      <x:c r="B6" s="22" t="str">
        <x:v>Function</x:v>
      </x:c>
      <x:c r="C6" s="23" t="str">
        <x:v>Direct</x:v>
      </x:c>
      <x:c r="D6" s="23" t="str">
        <x:v>Affiliated</x:v>
      </x:c>
      <x:c r="E6" s="23" t="str">
        <x:v>Minimum watch</x:v>
      </x:c>
      <x:c r="F6" s="23" t="str">
        <x:v>Direct share</x:v>
      </x:c>
      <x:c r="G6" s="23" t="str">
        <x:v>Watch share</x:v>
      </x:c>
      <x:c r="H6" s="23" t="str">
        <x:v>Core responsibility</x:v>
      </x:c>
    </x:row>
    <x:row r="7">
      <x:c r="B7" s="24" t="str">
        <x:v>Command and program integration</x:v>
      </x:c>
      <x:c r="C7" s="24" t="n">
        <x:v>1200</x:v>
      </x:c>
      <x:c r="D7" s="24" t="n">
        <x:v>3000</x:v>
      </x:c>
      <x:c r="E7" s="24" t="n">
        <x:v>300</x:v>
      </x:c>
      <x:c r="F7" s="30" t="n">
        <x:f>C7/SUM(C$7:C$14)</x:f>
        <x:v>0.05</x:v>
      </x:c>
      <x:c r="G7" s="30" t="n">
        <x:f>E7/SUM(E$7:E$14)</x:f>
        <x:v>0.05172413793103448</x:v>
      </x:c>
      <x:c r="H7" s="26" t="str">
        <x:v>charter portfolio decisions and dependency control</x:v>
      </x:c>
    </x:row>
    <x:row r="8">
      <x:c r="B8" s="24" t="str">
        <x:v>Science engineering and metrology</x:v>
      </x:c>
      <x:c r="C8" s="24" t="n">
        <x:v>6000</x:v>
      </x:c>
      <x:c r="D8" s="24" t="n">
        <x:v>18000</x:v>
      </x:c>
      <x:c r="E8" s="24" t="n">
        <x:v>1100</x:v>
      </x:c>
      <x:c r="F8" s="30" t="n">
        <x:f>C8/SUM(C$7:C$14)</x:f>
        <x:v>0.25</x:v>
      </x:c>
      <x:c r="G8" s="30" t="n">
        <x:f>E8/SUM(E$7:E$14)</x:f>
        <x:v>0.1896551724137931</x:v>
      </x:c>
      <x:c r="H8" s="26" t="str">
        <x:v>models instruments uncertainty and independent reproduction</x:v>
      </x:c>
    </x:row>
    <x:row r="9">
      <x:c r="B9" s="24" t="str">
        <x:v>Test operations and range crews</x:v>
      </x:c>
      <x:c r="C9" s="24" t="n">
        <x:v>5000</x:v>
      </x:c>
      <x:c r="D9" s="24" t="n">
        <x:v>12000</x:v>
      </x:c>
      <x:c r="E9" s="24" t="n">
        <x:v>1600</x:v>
      </x:c>
      <x:c r="F9" s="30" t="n">
        <x:f>C9/SUM(C$7:C$14)</x:f>
        <x:v>0.20833333333333334</x:v>
      </x:c>
      <x:c r="G9" s="30" t="n">
        <x:f>E9/SUM(E$7:E$14)</x:f>
        <x:v>0.27586206896551724</x:v>
      </x:c>
      <x:c r="H9" s="26" t="str">
        <x:v>blind protocols range restoration and public-service operations</x:v>
      </x:c>
    </x:row>
    <x:row r="10">
      <x:c r="B10" s="24" t="str">
        <x:v>Safety quality rights and civil release</x:v>
      </x:c>
      <x:c r="C10" s="24" t="n">
        <x:v>2800</x:v>
      </x:c>
      <x:c r="D10" s="24" t="n">
        <x:v>7000</x:v>
      </x:c>
      <x:c r="E10" s="24" t="n">
        <x:v>700</x:v>
      </x:c>
      <x:c r="F10" s="30" t="n">
        <x:f>C10/SUM(C$7:C$14)</x:f>
        <x:v>0.11666666666666667</x:v>
      </x:c>
      <x:c r="G10" s="30" t="n">
        <x:f>E10/SUM(E$7:E$14)</x:f>
        <x:v>0.1206896551724138</x:v>
      </x:c>
      <x:c r="H10" s="26" t="str">
        <x:v>stop authority participant protection and lawful release</x:v>
      </x:c>
    </x:row>
    <x:row r="11">
      <x:c r="B11" s="24" t="str">
        <x:v>Maintenance reset and quarantine</x:v>
      </x:c>
      <x:c r="C11" s="24" t="n">
        <x:v>3500</x:v>
      </x:c>
      <x:c r="D11" s="24" t="n">
        <x:v>8000</x:v>
      </x:c>
      <x:c r="E11" s="24" t="n">
        <x:v>900</x:v>
      </x:c>
      <x:c r="F11" s="30" t="n">
        <x:f>C11/SUM(C$7:C$14)</x:f>
        <x:v>0.14583333333333334</x:v>
      </x:c>
      <x:c r="G11" s="30" t="n">
        <x:f>E11/SUM(E$7:E$14)</x:f>
        <x:v>0.15517241379310345</x:v>
      </x:c>
      <x:c r="H11" s="26" t="str">
        <x:v>known-state return contamination control and configuration</x:v>
      </x:c>
    </x:row>
    <x:row r="12">
      <x:c r="B12" s="24" t="str">
        <x:v>Data cyber ancestry and records</x:v>
      </x:c>
      <x:c r="C12" s="24" t="n">
        <x:v>2200</x:v>
      </x:c>
      <x:c r="D12" s="24" t="n">
        <x:v>5000</x:v>
      </x:c>
      <x:c r="E12" s="24" t="n">
        <x:v>500</x:v>
      </x:c>
      <x:c r="F12" s="30" t="n">
        <x:f>C12/SUM(C$7:C$14)</x:f>
        <x:v>0.09166666666666666</x:v>
      </x:c>
      <x:c r="G12" s="30" t="n">
        <x:f>E12/SUM(E$7:E$14)</x:f>
        <x:v>0.08620689655172414</x:v>
      </x:c>
      <x:c r="H12" s="26" t="str">
        <x:v>offline evidence custody software roots and sub-tier trace</x:v>
      </x:c>
    </x:row>
    <x:row r="13">
      <x:c r="B13" s="24" t="str">
        <x:v>Participant clinical and accessibility</x:v>
      </x:c>
      <x:c r="C13" s="24" t="n">
        <x:v>1400</x:v>
      </x:c>
      <x:c r="D13" s="24" t="n">
        <x:v>3000</x:v>
      </x:c>
      <x:c r="E13" s="24" t="n">
        <x:v>300</x:v>
      </x:c>
      <x:c r="F13" s="30" t="n">
        <x:f>C13/SUM(C$7:C$14)</x:f>
        <x:v>0.058333333333333334</x:v>
      </x:c>
      <x:c r="G13" s="30" t="n">
        <x:f>E13/SUM(E$7:E$14)</x:f>
        <x:v>0.05172413793103448</x:v>
      </x:c>
      <x:c r="H13" s="26" t="str">
        <x:v>clinical oversight access design consent and aftercare</x:v>
      </x:c>
    </x:row>
    <x:row r="14">
      <x:c r="B14" s="27" t="str">
        <x:v>Logistics environmental and facilities</x:v>
      </x:c>
      <x:c r="C14" s="27" t="n">
        <x:v>1900</x:v>
      </x:c>
      <x:c r="D14" s="27" t="n">
        <x:v>4000</x:v>
      </x:c>
      <x:c r="E14" s="27" t="n">
        <x:v>400</x:v>
      </x:c>
      <x:c r="F14" s="31" t="n">
        <x:f>C14/SUM(C$7:C$14)</x:f>
        <x:v>0.07916666666666666</x:v>
      </x:c>
      <x:c r="G14" s="31" t="n">
        <x:f>E14/SUM(E$7:E$14)</x:f>
        <x:v>0.06896551724137931</x:v>
      </x:c>
      <x:c r="H14" s="29" t="str">
        <x:v>articles utilities waste restoration and environmental custody</x:v>
      </x:c>
    </x:row>
    <x:row r="15">
      <x:c r="B15" s="3"/>
      <x:c r="C15" s="3"/>
      <x:c r="D15" s="3"/>
      <x:c r="E15" s="3"/>
      <x:c r="F15" s="3"/>
      <x:c r="G15" s="3"/>
      <x:c r="H15" s="3"/>
    </x:row>
    <x:row r="16">
      <x:c r="B16" s="3"/>
      <x:c r="C16" s="3"/>
      <x:c r="D16" s="3"/>
      <x:c r="E16" s="3"/>
      <x:c r="F16" s="3"/>
      <x:c r="G16" s="3"/>
      <x:c r="H16" s="3"/>
    </x:row>
    <x:row r="17">
      <x:c r="B17" s="9" t="str">
        <x:v>Reconciliation</x:v>
      </x:c>
      <x:c r="C17" s="10" t="str">
        <x:v>Reconciliation</x:v>
      </x:c>
      <x:c r="D17" s="10" t="str">
        <x:v>Reconciliation</x:v>
      </x:c>
      <x:c r="E17" s="10" t="str">
        <x:v>Reconciliation</x:v>
      </x:c>
      <x:c r="F17" s="10" t="str">
        <x:v>Reconciliation</x:v>
      </x:c>
      <x:c r="G17" s="10" t="str">
        <x:v>Reconciliation</x:v>
      </x:c>
      <x:c r="H17" s="11" t="str">
        <x:v>Reconciliation</x:v>
      </x:c>
    </x:row>
    <x:row r="18">
      <x:c r="B18" s="3" t="str">
        <x:v>Measure</x:v>
      </x:c>
      <x:c r="C18" s="3" t="str">
        <x:v>Actual</x:v>
      </x:c>
      <x:c r="D18" s="3" t="str">
        <x:v>Required</x:v>
      </x:c>
      <x:c r="E18" s="3" t="str">
        <x:v>Result</x:v>
      </x:c>
      <x:c r="F18" s="3"/>
      <x:c r="G18" s="3"/>
      <x:c r="H18" s="3"/>
    </x:row>
    <x:row r="19">
      <x:c r="B19" s="3" t="str">
        <x:v>Direct workforce</x:v>
      </x:c>
      <x:c r="C19" s="3" t="n">
        <x:f>SUM(C7:C14)</x:f>
        <x:v>24000</x:v>
      </x:c>
      <x:c r="D19" s="3" t="n">
        <x:v>24000</x:v>
      </x:c>
      <x:c r="E19" s="3" t="str">
        <x:f>IF(C19=D19,"PASS","FAIL")</x:f>
        <x:v>PASS</x:v>
      </x:c>
      <x:c r="F19" s="3"/>
      <x:c r="G19" s="3"/>
      <x:c r="H19" s="3"/>
    </x:row>
    <x:row r="20">
      <x:c r="B20" s="3" t="str">
        <x:v>Affiliated ecosystem</x:v>
      </x:c>
      <x:c r="C20" s="3" t="n">
        <x:f>SUM(D7:D14)</x:f>
        <x:v>60000</x:v>
      </x:c>
      <x:c r="D20" s="3" t="n">
        <x:v>60000</x:v>
      </x:c>
      <x:c r="E20" s="3" t="str">
        <x:f>IF(C20=D20,"PASS","FAIL")</x:f>
        <x:v>PASS</x:v>
      </x:c>
      <x:c r="F20" s="3"/>
      <x:c r="G20" s="3"/>
      <x:c r="H20" s="3"/>
    </x:row>
    <x:row r="21">
      <x:c r="B21" s="3" t="str">
        <x:v>Minimum watch</x:v>
      </x:c>
      <x:c r="C21" s="3" t="n">
        <x:f>SUM(E7:E14)</x:f>
        <x:v>5800</x:v>
      </x:c>
      <x:c r="D21" s="3" t="n">
        <x:v>5800</x:v>
      </x:c>
      <x:c r="E21" s="3" t="str">
        <x:f>IF(C21=D21,"PASS","FAIL")</x:f>
        <x:v>PASS</x:v>
      </x:c>
      <x:c r="F21" s="3"/>
      <x:c r="G21" s="3"/>
      <x:c r="H21" s="3"/>
    </x:row>
    <x:row r="22">
      <x:c r="B22" s="3"/>
      <x:c r="C22" s="3"/>
      <x:c r="D22" s="3"/>
      <x:c r="E22" s="3"/>
      <x:c r="F22" s="3"/>
      <x:c r="G22" s="3"/>
      <x:c r="H22" s="3"/>
    </x:row>
    <x:row r="23">
      <x:c r="B23" s="3"/>
      <x:c r="C23" s="3"/>
      <x:c r="D23" s="3"/>
      <x:c r="E23" s="3"/>
      <x:c r="F23" s="3"/>
      <x:c r="G23" s="3"/>
      <x:c r="H23" s="3"/>
    </x:row>
    <x:row r="24">
      <x:c r="B24" s="3"/>
      <x:c r="C24" s="3"/>
      <x:c r="D24" s="3"/>
      <x:c r="E24" s="3"/>
      <x:c r="F24" s="3"/>
      <x:c r="G24" s="3"/>
      <x:c r="H24" s="3"/>
    </x:row>
    <x:row r="25">
      <x:c r="B25" s="3"/>
      <x:c r="C25" s="3"/>
      <x:c r="D25" s="3"/>
      <x:c r="E25" s="3"/>
      <x:c r="F25" s="3"/>
      <x:c r="G25" s="3"/>
      <x:c r="H25" s="3"/>
    </x:row>
  </x:sheetData>
  <x:mergeCells>
    <x:mergeCell ref="B2:H2"/>
    <x:mergeCell ref="B3:H3"/>
    <x:mergeCell ref="B17:H17"/>
  </x:mergeCells>
  <x:conditionalFormatting sqref="E19:E21">
    <x:cfRule type="containsText" dxfId="15" priority="1" operator="containsText" text="FAIL"/>
    <x:cfRule type="containsText" dxfId="16" priority="2" operator="containsText" text="PASS"/>
    <x:cfRule type="containsText" dxfId="17" priority="3" operator="containsText" text="OPEN"/>
    <x:cfRule type="containsText" dxfId="18" priority="4" operator="containsText" text="HOLD"/>
    <x:cfRule type="containsText" dxfId="19" priority="5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16" hidden="0" customWidth="1"/>
    <x:col min="4" max="4" width="13" hidden="0" customWidth="1"/>
    <x:col min="5" max="5" width="37" hidden="0" customWidth="1"/>
    <x:col min="6" max="6" width="15" hidden="0" customWidth="1"/>
    <x:col min="7" max="7" width="25" hidden="0" customWidth="1"/>
    <x:col min="8" max="8" width="29" hidden="0" customWidth="1"/>
    <x:col min="9" max="9" width="24" hidden="0" customWidth="1"/>
    <x:col min="10" max="10" width="12" hidden="0" customWidth="1"/>
    <x:col min="11" max="11" width="39" hidden="0" customWidth="1"/>
  </x:cols>
  <x:sheetData>
    <x:row r="2">
      <x:c r="B2" s="4" t="str">
        <x:v>Technology portfolio allocation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B3" s="5" t="str">
        <x:v>CSAC-1 allocates the inherited USD 1.050 trillion technology portfolio; it does not add a second national authorization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>
      <x:c r="B6" s="22" t="str">
        <x:v>Element</x:v>
      </x:c>
      <x:c r="C6" s="23" t="str">
        <x:v>Allocation $B</x:v>
      </x:c>
      <x:c r="D6" s="23" t="str">
        <x:v>Share</x:v>
      </x:c>
      <x:c r="E6" s="23" t="str">
        <x:v>Primary output</x:v>
      </x:c>
      <x:c r="F6" s="23" t="str">
        <x:v>Years</x:v>
      </x:c>
      <x:c r="G6" s="23" t="str">
        <x:v>Decision owner</x:v>
      </x:c>
      <x:c r="H6" s="23" t="str">
        <x:v>Release condition</x:v>
      </x:c>
      <x:c r="I6" s="23" t="str">
        <x:v>Double-count risk</x:v>
      </x:c>
      <x:c r="J6" s="23" t="str">
        <x:v>State</x:v>
      </x:c>
      <x:c r="K6" s="23" t="str">
        <x:v>Note</x:v>
      </x:c>
    </x:row>
    <x:row r="7">
      <x:c r="B7" s="24" t="str">
        <x:v>Facility capital</x:v>
      </x:c>
      <x:c r="C7" s="24" t="n">
        <x:v>350</x:v>
      </x:c>
      <x:c r="D7" s="30" t="n">
        <x:f>C7/SUM(C$7:C$13)</x:f>
        <x:v>0.3333333333333333</x:v>
      </x:c>
      <x:c r="E7" s="24" t="str">
        <x:v>eleven facility families and four paired ranges</x:v>
      </x:c>
      <x:c r="F7" s="24" t="str">
        <x:v>1-12</x:v>
      </x:c>
      <x:c r="G7" s="24" t="str">
        <x:v>Capital Evidence Board</x:v>
      </x:c>
      <x:c r="H7" s="24" t="str">
        <x:v>facility acceptance</x:v>
      </x:c>
      <x:c r="I7" s="24" t="str">
        <x:v>embedded site works</x:v>
      </x:c>
      <x:c r="J7" s="24" t="str">
        <x:v>OPEN</x:v>
      </x:c>
      <x:c r="K7" s="26" t="str">
        <x:v>includes instruments and range restoration</x:v>
      </x:c>
    </x:row>
    <x:row r="8">
      <x:c r="B8" s="24" t="str">
        <x:v>Article engineering</x:v>
      </x:c>
      <x:c r="C8" s="24" t="n">
        <x:v>250</x:v>
      </x:c>
      <x:c r="D8" s="30" t="n">
        <x:f>C8/SUM(C$7:C$13)</x:f>
        <x:v>0.23809523809523808</x:v>
      </x:c>
      <x:c r="E8" s="24" t="str">
        <x:v>480 tiles rigs carrier configurations and instrumentation</x:v>
      </x:c>
      <x:c r="F8" s="24" t="str">
        <x:v>2-12</x:v>
      </x:c>
      <x:c r="G8" s="24" t="str">
        <x:v>Article Board</x:v>
      </x:c>
      <x:c r="H8" s="24" t="str">
        <x:v>G3-G5 evidence</x:v>
      </x:c>
      <x:c r="I8" s="24" t="str">
        <x:v>production assets</x:v>
      </x:c>
      <x:c r="J8" s="24" t="str">
        <x:v>OPEN</x:v>
      </x:c>
      <x:c r="K8" s="26" t="str">
        <x:v>qualification and mission banks separated</x:v>
      </x:c>
    </x:row>
    <x:row r="9">
      <x:c r="B9" s="24" t="str">
        <x:v>Workforce and operations</x:v>
      </x:c>
      <x:c r="C9" s="24" t="n">
        <x:v>210</x:v>
      </x:c>
      <x:c r="D9" s="30" t="n">
        <x:f>C9/SUM(C$7:C$13)</x:f>
        <x:v>0.2</x:v>
      </x:c>
      <x:c r="E9" s="24" t="str">
        <x:v>permanent proving service over twenty-five years</x:v>
      </x:c>
      <x:c r="F9" s="24" t="str">
        <x:v>1-25</x:v>
      </x:c>
      <x:c r="G9" s="24" t="str">
        <x:v>Service Systems Proving Command</x:v>
      </x:c>
      <x:c r="H9" s="24" t="str">
        <x:v>annual evidence plan</x:v>
      </x:c>
      <x:c r="I9" s="24" t="str">
        <x:v>formation workforce</x:v>
      </x:c>
      <x:c r="J9" s="24" t="str">
        <x:v>OPEN</x:v>
      </x:c>
      <x:c r="K9" s="26" t="str">
        <x:v>programmatic not operational force</x:v>
      </x:c>
    </x:row>
    <x:row r="10">
      <x:c r="B10" s="24" t="str">
        <x:v>Full-mission operations</x:v>
      </x:c>
      <x:c r="C10" s="24" t="n">
        <x:v>110</x:v>
      </x:c>
      <x:c r="D10" s="30" t="n">
        <x:f>C10/SUM(C$7:C$13)</x:f>
        <x:v>0.10476190476190476</x:v>
      </x:c>
      <x:c r="E10" s="24" t="str">
        <x:v>two hundred registered missions and restoration</x:v>
      </x:c>
      <x:c r="F10" s="24" t="str">
        <x:v>9-12</x:v>
      </x:c>
      <x:c r="G10" s="24" t="str">
        <x:v>Mission Evidence Board</x:v>
      </x:c>
      <x:c r="H10" s="24" t="str">
        <x:v>pre-registration</x:v>
      </x:c>
      <x:c r="I10" s="24" t="str">
        <x:v>range capital</x:v>
      </x:c>
      <x:c r="J10" s="24" t="str">
        <x:v>OPEN</x:v>
      </x:c>
      <x:c r="K10" s="26" t="str">
        <x:v>includes destructive and boundary worlds</x:v>
      </x:c>
    </x:row>
    <x:row r="11">
      <x:c r="B11" s="24" t="str">
        <x:v>Independent evidence</x:v>
      </x:c>
      <x:c r="C11" s="24" t="n">
        <x:v>45</x:v>
      </x:c>
      <x:c r="D11" s="30" t="n">
        <x:f>C11/SUM(C$7:C$13)</x:f>
        <x:v>0.04285714285714286</x:v>
      </x:c>
      <x:c r="E11" s="24" t="str">
        <x:v>replication metrology rights and public record</x:v>
      </x:c>
      <x:c r="F11" s="24" t="str">
        <x:v>1-25</x:v>
      </x:c>
      <x:c r="G11" s="24" t="str">
        <x:v>Independent Evidence Authority</x:v>
      </x:c>
      <x:c r="H11" s="24" t="str">
        <x:v>unrestricted raw evidence</x:v>
      </x:c>
      <x:c r="I11" s="24" t="str">
        <x:v>builder QA</x:v>
      </x:c>
      <x:c r="J11" s="24" t="str">
        <x:v>OPEN</x:v>
      </x:c>
      <x:c r="K11" s="26" t="str">
        <x:v>builder acceptance never substitutes</x:v>
      </x:c>
    </x:row>
    <x:row r="12">
      <x:c r="B12" s="24" t="str">
        <x:v>Pilot production</x:v>
      </x:c>
      <x:c r="C12" s="24" t="n">
        <x:v>60</x:v>
      </x:c>
      <x:c r="D12" s="30" t="n">
        <x:f>C12/SUM(C$7:C$13)</x:f>
        <x:v>0.05714285714285714</x:v>
      </x:c>
      <x:c r="E12" s="24" t="str">
        <x:v>plural lines second lots and sub-tier diversification</x:v>
      </x:c>
      <x:c r="F12" s="24" t="str">
        <x:v>8-14</x:v>
      </x:c>
      <x:c r="G12" s="24" t="str">
        <x:v>Production Evidence Board</x:v>
      </x:c>
      <x:c r="H12" s="24" t="str">
        <x:v>G8 closure</x:v>
      </x:c>
      <x:c r="I12" s="24" t="str">
        <x:v>operational procurement</x:v>
      </x:c>
      <x:c r="J12" s="24" t="str">
        <x:v>OPEN</x:v>
      </x:c>
      <x:c r="K12" s="26" t="str">
        <x:v>qualification output only</x:v>
      </x:c>
    </x:row>
    <x:row r="13">
      <x:c r="B13" s="27" t="str">
        <x:v>Program reserve</x:v>
      </x:c>
      <x:c r="C13" s="27" t="n">
        <x:v>25</x:v>
      </x:c>
      <x:c r="D13" s="31" t="n">
        <x:f>C13/SUM(C$7:C$13)</x:f>
        <x:v>0.023809523809523808</x:v>
      </x:c>
      <x:c r="E13" s="27" t="str">
        <x:v>controlled response to registered risks</x:v>
      </x:c>
      <x:c r="F13" s="27" t="str">
        <x:v>1-25</x:v>
      </x:c>
      <x:c r="G13" s="27" t="str">
        <x:v>Resilience Secretary</x:v>
      </x:c>
      <x:c r="H13" s="27" t="str">
        <x:v>public reserve decision</x:v>
      </x:c>
      <x:c r="I13" s="27" t="str">
        <x:v>routine overrun</x:v>
      </x:c>
      <x:c r="J13" s="27" t="str">
        <x:v>OPEN</x:v>
      </x:c>
      <x:c r="K13" s="29" t="str">
        <x:v>not preallocated</x:v>
      </x:c>
    </x:row>
    <x:row r="14"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B16" s="9" t="str">
        <x:v>Portfolio reconciliation</x:v>
      </x:c>
      <x:c r="C16" s="10" t="str">
        <x:v>Portfolio reconciliation</x:v>
      </x:c>
      <x:c r="D16" s="10" t="str">
        <x:v>Portfolio reconciliation</x:v>
      </x:c>
      <x:c r="E16" s="10" t="str">
        <x:v>Portfolio reconciliation</x:v>
      </x:c>
      <x:c r="F16" s="10" t="str">
        <x:v>Portfolio reconciliation</x:v>
      </x:c>
      <x:c r="G16" s="10" t="str">
        <x:v>Portfolio reconciliation</x:v>
      </x:c>
      <x:c r="H16" s="10" t="str">
        <x:v>Portfolio reconciliation</x:v>
      </x:c>
      <x:c r="I16" s="10" t="str">
        <x:v>Portfolio reconciliation</x:v>
      </x:c>
      <x:c r="J16" s="10" t="str">
        <x:v>Portfolio reconciliation</x:v>
      </x:c>
      <x:c r="K16" s="11" t="str">
        <x:v>Portfolio reconciliation</x:v>
      </x:c>
    </x:row>
    <x:row r="17">
      <x:c r="B17" s="3" t="str">
        <x:v>Measure</x:v>
      </x:c>
      <x:c r="C17" s="3" t="str">
        <x:v>Actual</x:v>
      </x:c>
      <x:c r="D17" s="3" t="str">
        <x:v>Control</x:v>
      </x:c>
      <x:c r="E17" s="3" t="str">
        <x:v>Result</x:v>
      </x:c>
      <x:c r="F17" s="3" t="str">
        <x:v>Interpretation</x:v>
      </x:c>
      <x:c r="G17" s="3"/>
      <x:c r="H17" s="3"/>
      <x:c r="I17" s="3"/>
      <x:c r="J17" s="3"/>
      <x:c r="K17" s="3"/>
    </x:row>
    <x:row r="18">
      <x:c r="B18" s="3" t="str">
        <x:v>Allocated portfolio $B</x:v>
      </x:c>
      <x:c r="C18" s="3" t="n">
        <x:f>SUM(C7:C13)</x:f>
        <x:v>1050</x:v>
      </x:c>
      <x:c r="D18" s="3" t="n">
        <x:v>1050</x:v>
      </x:c>
      <x:c r="E18" s="3" t="str">
        <x:f>IF(C18=D18,"PASS","FAIL")</x:f>
        <x:v>PASS</x:v>
      </x:c>
      <x:c r="F18" s="3" t="str">
        <x:v>same portfolio as Pass 89</x:v>
      </x:c>
      <x:c r="G18" s="3"/>
      <x:c r="H18" s="3"/>
      <x:c r="I18" s="3"/>
      <x:c r="J18" s="3"/>
      <x:c r="K18" s="3"/>
    </x:row>
    <x:row r="19">
      <x:c r="B19" s="3" t="str">
        <x:v>New national authorization $B</x:v>
      </x:c>
      <x:c r="C19" s="3" t="n">
        <x:v>0</x:v>
      </x:c>
      <x:c r="D19" s="3" t="n">
        <x:v>0</x:v>
      </x:c>
      <x:c r="E19" s="3" t="str">
        <x:f>IF(C19=D19,"PASS","FAIL")</x:f>
        <x:v>PASS</x:v>
      </x:c>
      <x:c r="F19" s="3" t="str">
        <x:v>no addition in this pass</x:v>
      </x:c>
      <x:c r="G19" s="3"/>
      <x:c r="H19" s="3"/>
      <x:c r="I19" s="3"/>
      <x:c r="J19" s="3"/>
      <x:c r="K19" s="3"/>
    </x:row>
    <x:row r="20">
      <x:c r="B20" s="3" t="str">
        <x:v>Unallocated $B</x:v>
      </x:c>
      <x:c r="C20" s="3" t="n">
        <x:f>D18-C18</x:f>
        <x:v>0</x:v>
      </x:c>
      <x:c r="D20" s="3" t="n">
        <x:v>0</x:v>
      </x:c>
      <x:c r="E20" s="3" t="str">
        <x:f>IF(C20=D20,"PASS","FAIL")</x:f>
        <x:v>PASS</x:v>
      </x:c>
      <x:c r="F20" s="3" t="str">
        <x:v>fully assigned</x:v>
      </x:c>
      <x:c r="G20" s="3"/>
      <x:c r="H20" s="3"/>
      <x:c r="I20" s="3"/>
      <x:c r="J20" s="3"/>
      <x:c r="K20" s="3"/>
    </x:row>
    <x:row r="21">
      <x:c r="B21" s="3" t="str">
        <x:v>Production procurement included</x:v>
      </x:c>
      <x:c r="C21" s="3" t="n">
        <x:v>0</x:v>
      </x:c>
      <x:c r="D21" s="3" t="n">
        <x:v>0</x:v>
      </x:c>
      <x:c r="E21" s="3" t="str">
        <x:f>IF(C21=D21,"PASS","FAIL")</x:f>
        <x:v>PASS</x:v>
      </x:c>
      <x:c r="F21" s="3" t="str">
        <x:v>qualification portfolio only</x:v>
      </x:c>
      <x:c r="G21" s="3"/>
      <x:c r="H21" s="3"/>
      <x:c r="I21" s="3"/>
      <x:c r="J21" s="3"/>
      <x:c r="K21" s="3"/>
    </x:row>
    <x:row r="22"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</x:sheetData>
  <x:mergeCells>
    <x:mergeCell ref="B2:H2"/>
    <x:mergeCell ref="B3:K3"/>
    <x:mergeCell ref="B16:K16"/>
  </x:mergeCells>
  <x:conditionalFormatting sqref="J7:J13">
    <x:cfRule type="containsText" dxfId="20" priority="1" operator="containsText" text="FAIL"/>
    <x:cfRule type="containsText" dxfId="21" priority="2" operator="containsText" text="PASS"/>
    <x:cfRule type="containsText" dxfId="22" priority="3" operator="containsText" text="OPEN"/>
    <x:cfRule type="containsText" dxfId="23" priority="4" operator="containsText" text="HOLD"/>
    <x:cfRule type="containsText" dxfId="24" priority="5" operator="containsText" text="BLOCKED"/>
  </x:conditionalFormatting>
  <x:conditionalFormatting sqref="E18:E21">
    <x:cfRule type="containsText" dxfId="25" priority="6" operator="containsText" text="FAIL"/>
    <x:cfRule type="containsText" dxfId="26" priority="7" operator="containsText" text="PASS"/>
    <x:cfRule type="containsText" dxfId="27" priority="8" operator="containsText" text="OPEN"/>
    <x:cfRule type="containsText" dxfId="28" priority="9" operator="containsText" text="HOLD"/>
    <x:cfRule type="containsText" dxfId="29" priority="10" operator="containsText" text="BLOCK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45" hidden="0" customWidth="1"/>
    <x:col min="4" max="4" width="32" hidden="0" customWidth="1"/>
    <x:col min="5" max="5" width="34" hidden="0" customWidth="1"/>
    <x:col min="6" max="6" width="15" hidden="0" customWidth="1"/>
    <x:col min="7" max="7" width="16" hidden="0" customWidth="1"/>
    <x:col min="8" max="8" width="28" hidden="0" customWidth="1"/>
    <x:col min="9" max="9" width="14" hidden="0" customWidth="1"/>
    <x:col min="10" max="10" width="28" hidden="0" customWidth="1"/>
    <x:col min="11" max="11" width="16" hidden="0" customWidth="1"/>
    <x:col min="12" max="12" width="17" hidden="0" customWidth="1"/>
    <x:col min="13" max="13" width="12" hidden="0" customWidth="1"/>
  </x:cols>
  <x:sheetData>
    <x:row r="2">
      <x:c r="B2" s="4" t="str">
        <x:v>Decision gates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B3" s="5" t="str">
        <x:v>The model closes architecture bookkeeping only; every physical evidence gate remains open and production remains on hold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B6" s="22" t="str">
        <x:v>Decision</x:v>
      </x:c>
      <x:c r="C6" s="23" t="str">
        <x:v>Question</x:v>
      </x:c>
      <x:c r="D6" s="23" t="str">
        <x:v>Model condition</x:v>
      </x:c>
      <x:c r="E6" s="23" t="str">
        <x:v>Evidence condition</x:v>
      </x:c>
      <x:c r="F6" s="23" t="str">
        <x:v>Current model</x:v>
      </x:c>
      <x:c r="G6" s="23" t="str">
        <x:v>Current evidence</x:v>
      </x:c>
      <x:c r="H6" s="23" t="str">
        <x:v>Authority</x:v>
      </x:c>
      <x:c r="I6" s="23" t="str">
        <x:v>Earliest year</x:v>
      </x:c>
      <x:c r="J6" s="23" t="str">
        <x:v>Failure action</x:v>
      </x:c>
      <x:c r="K6" s="23" t="str">
        <x:v>Production effect</x:v>
      </x:c>
      <x:c r="L6" s="23" t="str">
        <x:v>Rendering effect</x:v>
      </x:c>
      <x:c r="M6" s="23" t="str">
        <x:v>State</x:v>
      </x:c>
    </x:row>
    <x:row r="7">
      <x:c r="B7" s="24" t="str">
        <x:v>D01 Article-bank separation</x:v>
      </x:c>
      <x:c r="C7" s="24" t="str">
        <x:v>Are qualification and mission articles physically separate?</x:v>
      </x:c>
      <x:c r="D7" s="24" t="str">
        <x:v>480 development tiles reconciled</x:v>
      </x:c>
      <x:c r="E7" s="24" t="str">
        <x:v>serial-level custody witnessed</x:v>
      </x:c>
      <x:c r="F7" s="24" t="str">
        <x:v>PASS</x:v>
      </x:c>
      <x:c r="G7" s="24" t="str">
        <x:v>OPEN</x:v>
      </x:c>
      <x:c r="H7" s="24" t="str">
        <x:v>Article Evidence Board</x:v>
      </x:c>
      <x:c r="I7" s="24" t="n">
        <x:v>3</x:v>
      </x:c>
      <x:c r="J7" s="24" t="str">
        <x:v>rebuild banks</x:v>
      </x:c>
      <x:c r="K7" s="24" t="str">
        <x:v>HOLD</x:v>
      </x:c>
      <x:c r="L7" s="24" t="str">
        <x:v>BLOCKED</x:v>
      </x:c>
      <x:c r="M7" s="26" t="str">
        <x:v>OPEN</x:v>
      </x:c>
    </x:row>
    <x:row r="8">
      <x:c r="B8" s="24" t="str">
        <x:v>D02 Facility network</x:v>
      </x:c>
      <x:c r="C8" s="24" t="str">
        <x:v>Can every stage reach a controlled facility?</x:v>
      </x:c>
      <x:c r="D8" s="24" t="str">
        <x:v>11 families assigned within capacity</x:v>
      </x:c>
      <x:c r="E8" s="24" t="str">
        <x:v>facility acceptance complete</x:v>
      </x:c>
      <x:c r="F8" s="24" t="str">
        <x:v>PASS</x:v>
      </x:c>
      <x:c r="G8" s="24" t="str">
        <x:v>OPEN</x:v>
      </x:c>
      <x:c r="H8" s="24" t="str">
        <x:v>Facility Evidence Board</x:v>
      </x:c>
      <x:c r="I8" s="24" t="n">
        <x:v>5</x:v>
      </x:c>
      <x:c r="J8" s="24" t="str">
        <x:v>reallocate or build</x:v>
      </x:c>
      <x:c r="K8" s="24" t="str">
        <x:v>HOLD</x:v>
      </x:c>
      <x:c r="L8" s="24" t="str">
        <x:v>BLOCKED</x:v>
      </x:c>
      <x:c r="M8" s="26" t="str">
        <x:v>OPEN</x:v>
      </x:c>
    </x:row>
    <x:row r="9">
      <x:c r="B9" s="24" t="str">
        <x:v>D03 Family physics</x:v>
      </x:c>
      <x:c r="C9" s="24" t="str">
        <x:v>Do ten family-lineages meet burden and hazard claims?</x:v>
      </x:c>
      <x:c r="D9" s="24" t="str">
        <x:v>200 gates registered</x:v>
      </x:c>
      <x:c r="E9" s="24" t="str">
        <x:v>G1-G3 close for all</x:v>
      </x:c>
      <x:c r="F9" s="24" t="str">
        <x:v>PASS</x:v>
      </x:c>
      <x:c r="G9" s="24" t="str">
        <x:v>OPEN</x:v>
      </x:c>
      <x:c r="H9" s="24" t="str">
        <x:v>Family Authorities</x:v>
      </x:c>
      <x:c r="I9" s="24" t="n">
        <x:v>7</x:v>
      </x:c>
      <x:c r="J9" s="24" t="str">
        <x:v>reopen family</x:v>
      </x:c>
      <x:c r="K9" s="24" t="str">
        <x:v>HOLD</x:v>
      </x:c>
      <x:c r="L9" s="24" t="str">
        <x:v>BLOCKED</x:v>
      </x:c>
      <x:c r="M9" s="26" t="str">
        <x:v>OPEN</x:v>
      </x:c>
    </x:row>
    <x:row r="10">
      <x:c r="B10" s="24" t="str">
        <x:v>D04 Simultaneous coupling</x:v>
      </x:c>
      <x:c r="C10" s="24" t="str">
        <x:v>Can five families operate together without hidden transfer?</x:v>
      </x:c>
      <x:c r="D10" s="24" t="str">
        <x:v>G4 artifacts specified</x:v>
      </x:c>
      <x:c r="E10" s="24" t="str">
        <x:v>G4 closes for all families</x:v>
      </x:c>
      <x:c r="F10" s="24" t="str">
        <x:v>PASS</x:v>
      </x:c>
      <x:c r="G10" s="24" t="str">
        <x:v>OPEN</x:v>
      </x:c>
      <x:c r="H10" s="24" t="str">
        <x:v>Set Authority</x:v>
      </x:c>
      <x:c r="I10" s="24" t="n">
        <x:v>9</x:v>
      </x:c>
      <x:c r="J10" s="24" t="str">
        <x:v>reopen interfaces</x:v>
      </x:c>
      <x:c r="K10" s="24" t="str">
        <x:v>HOLD</x:v>
      </x:c>
      <x:c r="L10" s="24" t="str">
        <x:v>BLOCKED</x:v>
      </x:c>
      <x:c r="M10" s="26" t="str">
        <x:v>OPEN</x:v>
      </x:c>
    </x:row>
    <x:row r="11">
      <x:c r="B11" s="24" t="str">
        <x:v>D05 Carrier integration</x:v>
      </x:c>
      <x:c r="C11" s="24" t="str">
        <x:v>Can air and terrain carriers accept variable-mass sets?</x:v>
      </x:c>
      <x:c r="D11" s="24" t="str">
        <x:v>carrier facilities and banks reconciled</x:v>
      </x:c>
      <x:c r="E11" s="24" t="str">
        <x:v>G5 closes for both lineages</x:v>
      </x:c>
      <x:c r="F11" s="24" t="str">
        <x:v>PASS</x:v>
      </x:c>
      <x:c r="G11" s="24" t="str">
        <x:v>OPEN</x:v>
      </x:c>
      <x:c r="H11" s="24" t="str">
        <x:v>Vehicle Authorities</x:v>
      </x:c>
      <x:c r="I11" s="24" t="n">
        <x:v>10</x:v>
      </x:c>
      <x:c r="J11" s="24" t="str">
        <x:v>reopen count or carrier</x:v>
      </x:c>
      <x:c r="K11" s="24" t="str">
        <x:v>HOLD</x:v>
      </x:c>
      <x:c r="L11" s="24" t="str">
        <x:v>BLOCKED</x:v>
      </x:c>
      <x:c r="M11" s="26" t="str">
        <x:v>OPEN</x:v>
      </x:c>
    </x:row>
    <x:row r="12">
      <x:c r="B12" s="24" t="str">
        <x:v>D06 Public receiver</x:v>
      </x:c>
      <x:c r="C12" s="24" t="str">
        <x:v>Can service be lawfully created at an unprepared receiver?</x:v>
      </x:c>
      <x:c r="D12" s="24" t="str">
        <x:v>receiver complexes assigned</x:v>
      </x:c>
      <x:c r="E12" s="24" t="str">
        <x:v>G6 closes with civil release</x:v>
      </x:c>
      <x:c r="F12" s="24" t="str">
        <x:v>PASS</x:v>
      </x:c>
      <x:c r="G12" s="24" t="str">
        <x:v>OPEN</x:v>
      </x:c>
      <x:c r="H12" s="24" t="str">
        <x:v>Civil and Receiver Authorities</x:v>
      </x:c>
      <x:c r="I12" s="24" t="n">
        <x:v>11</x:v>
      </x:c>
      <x:c r="J12" s="24" t="str">
        <x:v>reopen receiver</x:v>
      </x:c>
      <x:c r="K12" s="24" t="str">
        <x:v>HOLD</x:v>
      </x:c>
      <x:c r="L12" s="24" t="str">
        <x:v>BLOCKED</x:v>
      </x:c>
      <x:c r="M12" s="26" t="str">
        <x:v>OPEN</x:v>
      </x:c>
    </x:row>
    <x:row r="13">
      <x:c r="B13" s="24" t="str">
        <x:v>D07 Degraded mission</x:v>
      </x:c>
      <x:c r="C13" s="24" t="str">
        <x:v>Do admitted loss worlds preserve service inside guardbands?</x:v>
      </x:c>
      <x:c r="D13" s="24" t="str">
        <x:v>200-mission matrix and capacity close</x:v>
      </x:c>
      <x:c r="E13" s="24" t="str">
        <x:v>registered missions reproduced</x:v>
      </x:c>
      <x:c r="F13" s="24" t="str">
        <x:v>PASS</x:v>
      </x:c>
      <x:c r="G13" s="24" t="str">
        <x:v>OPEN</x:v>
      </x:c>
      <x:c r="H13" s="24" t="str">
        <x:v>Destructive Trial Authority</x:v>
      </x:c>
      <x:c r="I13" s="24" t="n">
        <x:v>12</x:v>
      </x:c>
      <x:c r="J13" s="24" t="str">
        <x:v>reopen architecture</x:v>
      </x:c>
      <x:c r="K13" s="24" t="str">
        <x:v>HOLD</x:v>
      </x:c>
      <x:c r="L13" s="24" t="str">
        <x:v>BLOCKED</x:v>
      </x:c>
      <x:c r="M13" s="26" t="str">
        <x:v>OPEN</x:v>
      </x:c>
    </x:row>
    <x:row r="14">
      <x:c r="B14" s="24" t="str">
        <x:v>D08 Safe-stop truthfulness</x:v>
      </x:c>
      <x:c r="C14" s="24" t="str">
        <x:v>Does the formation stop rather than improvise beyond evidence?</x:v>
      </x:c>
      <x:c r="D14" s="24" t="str">
        <x:v>boundary probes registered</x:v>
      </x:c>
      <x:c r="E14" s="24" t="str">
        <x:v>all probes observed</x:v>
      </x:c>
      <x:c r="F14" s="24" t="str">
        <x:v>PASS</x:v>
      </x:c>
      <x:c r="G14" s="24" t="str">
        <x:v>OPEN</x:v>
      </x:c>
      <x:c r="H14" s="24" t="str">
        <x:v>Rights and Safety Authorities</x:v>
      </x:c>
      <x:c r="I14" s="24" t="n">
        <x:v>12</x:v>
      </x:c>
      <x:c r="J14" s="24" t="str">
        <x:v>narrow claim</x:v>
      </x:c>
      <x:c r="K14" s="24" t="str">
        <x:v>HOLD</x:v>
      </x:c>
      <x:c r="L14" s="24" t="str">
        <x:v>BLOCKED</x:v>
      </x:c>
      <x:c r="M14" s="26" t="str">
        <x:v>OPEN</x:v>
      </x:c>
    </x:row>
    <x:row r="15">
      <x:c r="B15" s="24" t="str">
        <x:v>D09 Independent replication</x:v>
      </x:c>
      <x:c r="C15" s="24" t="str">
        <x:v>Can second lots and new crews reproduce results?</x:v>
      </x:c>
      <x:c r="D15" s="24" t="str">
        <x:v>pilot lines and G8 defined</x:v>
      </x:c>
      <x:c r="E15" s="24" t="str">
        <x:v>independent replication closes</x:v>
      </x:c>
      <x:c r="F15" s="24" t="str">
        <x:v>PASS</x:v>
      </x:c>
      <x:c r="G15" s="24" t="str">
        <x:v>OPEN</x:v>
      </x:c>
      <x:c r="H15" s="24" t="str">
        <x:v>Production Evidence Authority</x:v>
      </x:c>
      <x:c r="I15" s="24" t="n">
        <x:v>14</x:v>
      </x:c>
      <x:c r="J15" s="24" t="str">
        <x:v>hold production</x:v>
      </x:c>
      <x:c r="K15" s="24" t="str">
        <x:v>HOLD</x:v>
      </x:c>
      <x:c r="L15" s="24" t="str">
        <x:v>BLOCKED</x:v>
      </x:c>
      <x:c r="M15" s="26" t="str">
        <x:v>OPEN</x:v>
      </x:c>
    </x:row>
    <x:row r="16">
      <x:c r="B16" s="27" t="str">
        <x:v>D10 Production authorization</x:v>
      </x:c>
      <x:c r="C16" s="27" t="str">
        <x:v>Is the architecture ready for series production?</x:v>
      </x:c>
      <x:c r="D16" s="27" t="str">
        <x:v>bookkeeping checks pass</x:v>
      </x:c>
      <x:c r="E16" s="27" t="str">
        <x:v>D01-D09 evidence closed</x:v>
      </x:c>
      <x:c r="F16" s="27" t="str">
        <x:v>PASS</x:v>
      </x:c>
      <x:c r="G16" s="27" t="str">
        <x:v>OPEN</x:v>
      </x:c>
      <x:c r="H16" s="27" t="str">
        <x:v>Resilience Secretary</x:v>
      </x:c>
      <x:c r="I16" s="27" t="n">
        <x:v>14</x:v>
      </x:c>
      <x:c r="J16" s="27" t="str">
        <x:v>continue proving</x:v>
      </x:c>
      <x:c r="K16" s="27" t="str">
        <x:v>HOLD</x:v>
      </x:c>
      <x:c r="L16" s="27" t="str">
        <x:v>BLOCKED</x:v>
      </x:c>
      <x:c r="M16" s="29" t="str">
        <x:v>HOLD</x:v>
      </x:c>
    </x:row>
    <x:row r="17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B19" s="9" t="str">
        <x:v>Controlling rule</x:v>
      </x:c>
      <x:c r="C19" s="10" t="str">
        <x:v>Controlling rule</x:v>
      </x:c>
      <x:c r="D19" s="10" t="str">
        <x:v>Controlling rule</x:v>
      </x:c>
      <x:c r="E19" s="10" t="str">
        <x:v>Controlling rule</x:v>
      </x:c>
      <x:c r="F19" s="10" t="str">
        <x:v>Controlling rule</x:v>
      </x:c>
      <x:c r="G19" s="10" t="str">
        <x:v>Controlling rule</x:v>
      </x:c>
      <x:c r="H19" s="10" t="str">
        <x:v>Controlling rule</x:v>
      </x:c>
      <x:c r="I19" s="10" t="str">
        <x:v>Controlling rule</x:v>
      </x:c>
      <x:c r="J19" s="10" t="str">
        <x:v>Controlling rule</x:v>
      </x:c>
      <x:c r="K19" s="10" t="str">
        <x:v>Controlling rule</x:v>
      </x:c>
      <x:c r="L19" s="10" t="str">
        <x:v>Controlling rule</x:v>
      </x:c>
      <x:c r="M19" s="11" t="str">
        <x:v>Controlling rule</x:v>
      </x:c>
    </x:row>
    <x:row r="20">
      <x:c r="B20" s="3" t="str">
        <x:v>No paper maturity</x:v>
      </x:c>
      <x:c r="C20" s="3" t="str">
        <x:v>A report, simulation, inspection checklist or contractor sign-off cannot close a physical gate.</x:v>
      </x:c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/>
    </x:row>
    <x:row r="21">
      <x:c r="B21" s="3" t="str">
        <x:v>No borrowed evidence</x:v>
      </x:c>
      <x:c r="C21" s="3" t="str">
        <x:v>A qualification article cannot be consumed by mission training or counted as operational readiness.</x:v>
      </x:c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  <x:c r="M21" s="3" t="str"/>
    </x:row>
    <x:row r="22">
      <x:c r="B22" s="3" t="str">
        <x:v>No averaged deadline</x:v>
      </x:c>
      <x:c r="C22" s="3" t="str">
        <x:v>Each service, pressure and reset threshold applies to the relevant loss world; fleet averages earn no credit.</x:v>
      </x:c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</x:row>
    <x:row r="23">
      <x:c r="B23" s="3" t="str">
        <x:v>No image-driven requirement</x:v>
      </x:c>
      <x:c r="C23" s="3" t="str">
        <x:v>Exterior renderings remain blocked until burden, interface, hazard, custody and human-access geometry survive physical evidence.</x:v>
      </x:c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  <x:c r="M23" s="3" t="str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</x:sheetData>
  <x:mergeCells>
    <x:mergeCell ref="B2:H2"/>
    <x:mergeCell ref="B3:M3"/>
    <x:mergeCell ref="B19:M19"/>
  </x:mergeCells>
  <x:conditionalFormatting sqref="F7:G16">
    <x:cfRule type="containsText" dxfId="75" priority="1" operator="containsText" text="FAIL"/>
    <x:cfRule type="containsText" dxfId="76" priority="2" operator="containsText" text="PASS"/>
    <x:cfRule type="containsText" dxfId="77" priority="3" operator="containsText" text="OPEN"/>
    <x:cfRule type="containsText" dxfId="78" priority="4" operator="containsText" text="HOLD"/>
    <x:cfRule type="containsText" dxfId="79" priority="5" operator="containsText" text="BLOCKED"/>
  </x:conditionalFormatting>
  <x:conditionalFormatting sqref="M7:M16">
    <x:cfRule type="containsText" dxfId="80" priority="6" operator="containsText" text="FAIL"/>
    <x:cfRule type="containsText" dxfId="81" priority="7" operator="containsText" text="PASS"/>
    <x:cfRule type="containsText" dxfId="82" priority="8" operator="containsText" text="OPEN"/>
    <x:cfRule type="containsText" dxfId="83" priority="9" operator="containsText" text="HOLD"/>
    <x:cfRule type="containsText" dxfId="84" priority="10" operator="containsText" text="BLOCK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22" hidden="0" customWidth="1"/>
    <x:col min="4" max="4" width="51" hidden="0" customWidth="1"/>
    <x:col min="5" max="5" width="16" hidden="0" customWidth="1"/>
    <x:col min="6" max="6" width="16" hidden="0" customWidth="1"/>
    <x:col min="7" max="7" width="12" hidden="0" customWidth="1"/>
  </x:cols>
  <x:sheetData>
    <x:row r="2">
      <x:c r="B2" s="4" t="str">
        <x:v>Deterministic audit</x:v>
      </x:c>
      <x:c r="C2" s="3"/>
      <x:c r="D2" s="3"/>
      <x:c r="E2" s="3"/>
      <x:c r="F2" s="3"/>
      <x:c r="G2" s="3"/>
    </x:row>
    <x:row r="3">
      <x:c r="B3" s="5" t="str">
        <x:v>Three hundred sixty-eight controls test model integrity, gate state and mission credit without converting open evidence into maturity</x:v>
      </x:c>
      <x:c r="C3" s="3"/>
      <x:c r="D3" s="3"/>
      <x:c r="E3" s="3"/>
      <x:c r="F3" s="3"/>
      <x:c r="G3" s="3"/>
    </x:row>
    <x:row r="4">
      <x:c r="B4" s="6"/>
      <x:c r="C4" s="6"/>
      <x:c r="D4" s="6"/>
      <x:c r="E4" s="6"/>
      <x:c r="F4" s="6"/>
      <x:c r="G4" s="6"/>
    </x:row>
    <x:row r="5">
      <x:c r="B5" s="3"/>
      <x:c r="C5" s="3"/>
      <x:c r="D5" s="3"/>
      <x:c r="E5" s="3"/>
      <x:c r="F5" s="3"/>
      <x:c r="G5" s="3"/>
    </x:row>
    <x:row r="6">
      <x:c r="B6" s="22" t="str">
        <x:v>Control</x:v>
      </x:c>
      <x:c r="C6" s="23" t="str">
        <x:v>Class</x:v>
      </x:c>
      <x:c r="D6" s="23" t="str">
        <x:v>Test</x:v>
      </x:c>
      <x:c r="E6" s="23" t="str">
        <x:v>Observed</x:v>
      </x:c>
      <x:c r="F6" s="23" t="str">
        <x:v>Required</x:v>
      </x:c>
      <x:c r="G6" s="23" t="str">
        <x:v>Result</x:v>
      </x:c>
    </x:row>
    <x:row r="7">
      <x:c r="B7" s="24" t="str">
        <x:v>A001</x:v>
      </x:c>
      <x:c r="C7" s="24" t="str">
        <x:v>campaign topology</x:v>
      </x:c>
      <x:c r="D7" s="24" t="str">
        <x:v>EA has eight gates</x:v>
      </x:c>
      <x:c r="E7" s="24" t="n">
        <x:f>COUNTA('Gate Assignment'!B7:B14)</x:f>
        <x:v>8</x:v>
      </x:c>
      <x:c r="F7" s="24" t="n">
        <x:v>8</x:v>
      </x:c>
      <x:c r="G7" s="26" t="str">
        <x:f>IF(E7=F7,"PASS","FAIL")</x:f>
        <x:v>PASS</x:v>
      </x:c>
    </x:row>
    <x:row r="8">
      <x:c r="B8" s="24" t="str">
        <x:v>A002</x:v>
      </x:c>
      <x:c r="C8" s="24" t="str">
        <x:v>campaign state</x:v>
      </x:c>
      <x:c r="D8" s="24" t="str">
        <x:v>EA gates remain openly unearned</x:v>
      </x:c>
      <x:c r="E8" s="24" t="n">
        <x:f>COUNTIF('Gate Assignment'!N7:N14,"OPEN")</x:f>
        <x:v>8</x:v>
      </x:c>
      <x:c r="F8" s="24" t="n">
        <x:v>8</x:v>
      </x:c>
      <x:c r="G8" s="26" t="str">
        <x:f>IF(E8=F8,"PASS","FAIL")</x:f>
        <x:v>PASS</x:v>
      </x:c>
    </x:row>
    <x:row r="9">
      <x:c r="B9" s="24" t="str">
        <x:v>A003</x:v>
      </x:c>
      <x:c r="C9" s="24" t="str">
        <x:v>campaign topology</x:v>
      </x:c>
      <x:c r="D9" s="24" t="str">
        <x:v>ET has eight gates</x:v>
      </x:c>
      <x:c r="E9" s="24" t="n">
        <x:f>COUNTA('Gate Assignment'!B15:B22)</x:f>
        <x:v>8</x:v>
      </x:c>
      <x:c r="F9" s="24" t="n">
        <x:v>8</x:v>
      </x:c>
      <x:c r="G9" s="26" t="str">
        <x:f>IF(E9=F9,"PASS","FAIL")</x:f>
        <x:v>PASS</x:v>
      </x:c>
    </x:row>
    <x:row r="10">
      <x:c r="B10" s="24" t="str">
        <x:v>A004</x:v>
      </x:c>
      <x:c r="C10" s="24" t="str">
        <x:v>campaign state</x:v>
      </x:c>
      <x:c r="D10" s="24" t="str">
        <x:v>ET gates remain openly unearned</x:v>
      </x:c>
      <x:c r="E10" s="24" t="n">
        <x:f>COUNTIF('Gate Assignment'!N15:N22,"OPEN")</x:f>
        <x:v>8</x:v>
      </x:c>
      <x:c r="F10" s="24" t="n">
        <x:v>8</x:v>
      </x:c>
      <x:c r="G10" s="26" t="str">
        <x:f>IF(E10=F10,"PASS","FAIL")</x:f>
        <x:v>PASS</x:v>
      </x:c>
    </x:row>
    <x:row r="11">
      <x:c r="B11" s="24" t="str">
        <x:v>A005</x:v>
      </x:c>
      <x:c r="C11" s="24" t="str">
        <x:v>campaign topology</x:v>
      </x:c>
      <x:c r="D11" s="24" t="str">
        <x:v>WA has eight gates</x:v>
      </x:c>
      <x:c r="E11" s="24" t="n">
        <x:f>COUNTA('Gate Assignment'!B23:B30)</x:f>
        <x:v>8</x:v>
      </x:c>
      <x:c r="F11" s="24" t="n">
        <x:v>8</x:v>
      </x:c>
      <x:c r="G11" s="26" t="str">
        <x:f>IF(E11=F11,"PASS","FAIL")</x:f>
        <x:v>PASS</x:v>
      </x:c>
    </x:row>
    <x:row r="12">
      <x:c r="B12" s="24" t="str">
        <x:v>A006</x:v>
      </x:c>
      <x:c r="C12" s="24" t="str">
        <x:v>campaign state</x:v>
      </x:c>
      <x:c r="D12" s="24" t="str">
        <x:v>WA gates remain openly unearned</x:v>
      </x:c>
      <x:c r="E12" s="24" t="n">
        <x:f>COUNTIF('Gate Assignment'!N23:N30,"OPEN")</x:f>
        <x:v>8</x:v>
      </x:c>
      <x:c r="F12" s="24" t="n">
        <x:v>8</x:v>
      </x:c>
      <x:c r="G12" s="26" t="str">
        <x:f>IF(E12=F12,"PASS","FAIL")</x:f>
        <x:v>PASS</x:v>
      </x:c>
    </x:row>
    <x:row r="13">
      <x:c r="B13" s="24" t="str">
        <x:v>A007</x:v>
      </x:c>
      <x:c r="C13" s="24" t="str">
        <x:v>campaign topology</x:v>
      </x:c>
      <x:c r="D13" s="24" t="str">
        <x:v>WT has eight gates</x:v>
      </x:c>
      <x:c r="E13" s="24" t="n">
        <x:f>COUNTA('Gate Assignment'!B31:B38)</x:f>
        <x:v>8</x:v>
      </x:c>
      <x:c r="F13" s="24" t="n">
        <x:v>8</x:v>
      </x:c>
      <x:c r="G13" s="26" t="str">
        <x:f>IF(E13=F13,"PASS","FAIL")</x:f>
        <x:v>PASS</x:v>
      </x:c>
    </x:row>
    <x:row r="14">
      <x:c r="B14" s="24" t="str">
        <x:v>A008</x:v>
      </x:c>
      <x:c r="C14" s="24" t="str">
        <x:v>campaign state</x:v>
      </x:c>
      <x:c r="D14" s="24" t="str">
        <x:v>WT gates remain openly unearned</x:v>
      </x:c>
      <x:c r="E14" s="24" t="n">
        <x:f>COUNTIF('Gate Assignment'!N31:N38,"OPEN")</x:f>
        <x:v>8</x:v>
      </x:c>
      <x:c r="F14" s="24" t="n">
        <x:v>8</x:v>
      </x:c>
      <x:c r="G14" s="26" t="str">
        <x:f>IF(E14=F14,"PASS","FAIL")</x:f>
        <x:v>PASS</x:v>
      </x:c>
    </x:row>
    <x:row r="15">
      <x:c r="B15" s="24" t="str">
        <x:v>A009</x:v>
      </x:c>
      <x:c r="C15" s="24" t="str">
        <x:v>campaign topology</x:v>
      </x:c>
      <x:c r="D15" s="24" t="str">
        <x:v>TA has eight gates</x:v>
      </x:c>
      <x:c r="E15" s="24" t="n">
        <x:f>COUNTA('Gate Assignment'!B39:B46)</x:f>
        <x:v>8</x:v>
      </x:c>
      <x:c r="F15" s="24" t="n">
        <x:v>8</x:v>
      </x:c>
      <x:c r="G15" s="26" t="str">
        <x:f>IF(E15=F15,"PASS","FAIL")</x:f>
        <x:v>PASS</x:v>
      </x:c>
    </x:row>
    <x:row r="16">
      <x:c r="B16" s="24" t="str">
        <x:v>A010</x:v>
      </x:c>
      <x:c r="C16" s="24" t="str">
        <x:v>campaign state</x:v>
      </x:c>
      <x:c r="D16" s="24" t="str">
        <x:v>TA gates remain openly unearned</x:v>
      </x:c>
      <x:c r="E16" s="24" t="n">
        <x:f>COUNTIF('Gate Assignment'!N39:N46,"OPEN")</x:f>
        <x:v>8</x:v>
      </x:c>
      <x:c r="F16" s="24" t="n">
        <x:v>8</x:v>
      </x:c>
      <x:c r="G16" s="26" t="str">
        <x:f>IF(E16=F16,"PASS","FAIL")</x:f>
        <x:v>PASS</x:v>
      </x:c>
    </x:row>
    <x:row r="17">
      <x:c r="B17" s="24" t="str">
        <x:v>A011</x:v>
      </x:c>
      <x:c r="C17" s="24" t="str">
        <x:v>campaign topology</x:v>
      </x:c>
      <x:c r="D17" s="24" t="str">
        <x:v>TT has eight gates</x:v>
      </x:c>
      <x:c r="E17" s="24" t="n">
        <x:f>COUNTA('Gate Assignment'!B47:B54)</x:f>
        <x:v>8</x:v>
      </x:c>
      <x:c r="F17" s="24" t="n">
        <x:v>8</x:v>
      </x:c>
      <x:c r="G17" s="26" t="str">
        <x:f>IF(E17=F17,"PASS","FAIL")</x:f>
        <x:v>PASS</x:v>
      </x:c>
    </x:row>
    <x:row r="18">
      <x:c r="B18" s="24" t="str">
        <x:v>A012</x:v>
      </x:c>
      <x:c r="C18" s="24" t="str">
        <x:v>campaign state</x:v>
      </x:c>
      <x:c r="D18" s="24" t="str">
        <x:v>TT gates remain openly unearned</x:v>
      </x:c>
      <x:c r="E18" s="24" t="n">
        <x:f>COUNTIF('Gate Assignment'!N47:N54,"OPEN")</x:f>
        <x:v>8</x:v>
      </x:c>
      <x:c r="F18" s="24" t="n">
        <x:v>8</x:v>
      </x:c>
      <x:c r="G18" s="26" t="str">
        <x:f>IF(E18=F18,"PASS","FAIL")</x:f>
        <x:v>PASS</x:v>
      </x:c>
    </x:row>
    <x:row r="19">
      <x:c r="B19" s="24" t="str">
        <x:v>A013</x:v>
      </x:c>
      <x:c r="C19" s="24" t="str">
        <x:v>campaign topology</x:v>
      </x:c>
      <x:c r="D19" s="24" t="str">
        <x:v>DA has eight gates</x:v>
      </x:c>
      <x:c r="E19" s="24" t="n">
        <x:f>COUNTA('Gate Assignment'!B55:B62)</x:f>
        <x:v>8</x:v>
      </x:c>
      <x:c r="F19" s="24" t="n">
        <x:v>8</x:v>
      </x:c>
      <x:c r="G19" s="26" t="str">
        <x:f>IF(E19=F19,"PASS","FAIL")</x:f>
        <x:v>PASS</x:v>
      </x:c>
    </x:row>
    <x:row r="20">
      <x:c r="B20" s="24" t="str">
        <x:v>A014</x:v>
      </x:c>
      <x:c r="C20" s="24" t="str">
        <x:v>campaign state</x:v>
      </x:c>
      <x:c r="D20" s="24" t="str">
        <x:v>DA gates remain openly unearned</x:v>
      </x:c>
      <x:c r="E20" s="24" t="n">
        <x:f>COUNTIF('Gate Assignment'!N55:N62,"OPEN")</x:f>
        <x:v>8</x:v>
      </x:c>
      <x:c r="F20" s="24" t="n">
        <x:v>8</x:v>
      </x:c>
      <x:c r="G20" s="26" t="str">
        <x:f>IF(E20=F20,"PASS","FAIL")</x:f>
        <x:v>PASS</x:v>
      </x:c>
    </x:row>
    <x:row r="21">
      <x:c r="B21" s="24" t="str">
        <x:v>A015</x:v>
      </x:c>
      <x:c r="C21" s="24" t="str">
        <x:v>campaign topology</x:v>
      </x:c>
      <x:c r="D21" s="24" t="str">
        <x:v>DT has eight gates</x:v>
      </x:c>
      <x:c r="E21" s="24" t="n">
        <x:f>COUNTA('Gate Assignment'!B63:B70)</x:f>
        <x:v>8</x:v>
      </x:c>
      <x:c r="F21" s="24" t="n">
        <x:v>8</x:v>
      </x:c>
      <x:c r="G21" s="26" t="str">
        <x:f>IF(E21=F21,"PASS","FAIL")</x:f>
        <x:v>PASS</x:v>
      </x:c>
    </x:row>
    <x:row r="22">
      <x:c r="B22" s="24" t="str">
        <x:v>A016</x:v>
      </x:c>
      <x:c r="C22" s="24" t="str">
        <x:v>campaign state</x:v>
      </x:c>
      <x:c r="D22" s="24" t="str">
        <x:v>DT gates remain openly unearned</x:v>
      </x:c>
      <x:c r="E22" s="24" t="n">
        <x:f>COUNTIF('Gate Assignment'!N63:N70,"OPEN")</x:f>
        <x:v>8</x:v>
      </x:c>
      <x:c r="F22" s="24" t="n">
        <x:v>8</x:v>
      </x:c>
      <x:c r="G22" s="26" t="str">
        <x:f>IF(E22=F22,"PASS","FAIL")</x:f>
        <x:v>PASS</x:v>
      </x:c>
    </x:row>
    <x:row r="23">
      <x:c r="B23" s="24" t="str">
        <x:v>A017</x:v>
      </x:c>
      <x:c r="C23" s="24" t="str">
        <x:v>campaign topology</x:v>
      </x:c>
      <x:c r="D23" s="24" t="str">
        <x:v>CA has eight gates</x:v>
      </x:c>
      <x:c r="E23" s="24" t="n">
        <x:f>COUNTA('Gate Assignment'!B71:B78)</x:f>
        <x:v>8</x:v>
      </x:c>
      <x:c r="F23" s="24" t="n">
        <x:v>8</x:v>
      </x:c>
      <x:c r="G23" s="26" t="str">
        <x:f>IF(E23=F23,"PASS","FAIL")</x:f>
        <x:v>PASS</x:v>
      </x:c>
    </x:row>
    <x:row r="24">
      <x:c r="B24" s="24" t="str">
        <x:v>A018</x:v>
      </x:c>
      <x:c r="C24" s="24" t="str">
        <x:v>campaign state</x:v>
      </x:c>
      <x:c r="D24" s="24" t="str">
        <x:v>CA gates remain openly unearned</x:v>
      </x:c>
      <x:c r="E24" s="24" t="n">
        <x:f>COUNTIF('Gate Assignment'!N71:N78,"OPEN")</x:f>
        <x:v>8</x:v>
      </x:c>
      <x:c r="F24" s="24" t="n">
        <x:v>8</x:v>
      </x:c>
      <x:c r="G24" s="26" t="str">
        <x:f>IF(E24=F24,"PASS","FAIL")</x:f>
        <x:v>PASS</x:v>
      </x:c>
    </x:row>
    <x:row r="25">
      <x:c r="B25" s="24" t="str">
        <x:v>A019</x:v>
      </x:c>
      <x:c r="C25" s="24" t="str">
        <x:v>campaign topology</x:v>
      </x:c>
      <x:c r="D25" s="24" t="str">
        <x:v>CT has eight gates</x:v>
      </x:c>
      <x:c r="E25" s="24" t="n">
        <x:f>COUNTA('Gate Assignment'!B79:B86)</x:f>
        <x:v>8</x:v>
      </x:c>
      <x:c r="F25" s="24" t="n">
        <x:v>8</x:v>
      </x:c>
      <x:c r="G25" s="26" t="str">
        <x:f>IF(E25=F25,"PASS","FAIL")</x:f>
        <x:v>PASS</x:v>
      </x:c>
    </x:row>
    <x:row r="26">
      <x:c r="B26" s="24" t="str">
        <x:v>A020</x:v>
      </x:c>
      <x:c r="C26" s="24" t="str">
        <x:v>campaign state</x:v>
      </x:c>
      <x:c r="D26" s="24" t="str">
        <x:v>CT gates remain openly unearned</x:v>
      </x:c>
      <x:c r="E26" s="24" t="n">
        <x:f>COUNTIF('Gate Assignment'!N79:N86,"OPEN")</x:f>
        <x:v>8</x:v>
      </x:c>
      <x:c r="F26" s="24" t="n">
        <x:v>8</x:v>
      </x:c>
      <x:c r="G26" s="26" t="str">
        <x:f>IF(E26=F26,"PASS","FAIL")</x:f>
        <x:v>PASS</x:v>
      </x:c>
    </x:row>
    <x:row r="27">
      <x:c r="B27" s="24" t="str">
        <x:v>A021</x:v>
      </x:c>
      <x:c r="C27" s="24" t="str">
        <x:v>campaign topology</x:v>
      </x:c>
      <x:c r="D27" s="24" t="str">
        <x:v>I01 has eight gates</x:v>
      </x:c>
      <x:c r="E27" s="24" t="n">
        <x:f>COUNTA('Gate Assignment'!B87:B94)</x:f>
        <x:v>8</x:v>
      </x:c>
      <x:c r="F27" s="24" t="n">
        <x:v>8</x:v>
      </x:c>
      <x:c r="G27" s="26" t="str">
        <x:f>IF(E27=F27,"PASS","FAIL")</x:f>
        <x:v>PASS</x:v>
      </x:c>
    </x:row>
    <x:row r="28">
      <x:c r="B28" s="24" t="str">
        <x:v>A022</x:v>
      </x:c>
      <x:c r="C28" s="24" t="str">
        <x:v>campaign state</x:v>
      </x:c>
      <x:c r="D28" s="24" t="str">
        <x:v>I01 gates remain openly unearned</x:v>
      </x:c>
      <x:c r="E28" s="24" t="n">
        <x:f>COUNTIF('Gate Assignment'!N87:N94,"OPEN")</x:f>
        <x:v>8</x:v>
      </x:c>
      <x:c r="F28" s="24" t="n">
        <x:v>8</x:v>
      </x:c>
      <x:c r="G28" s="26" t="str">
        <x:f>IF(E28=F28,"PASS","FAIL")</x:f>
        <x:v>PASS</x:v>
      </x:c>
    </x:row>
    <x:row r="29">
      <x:c r="B29" s="24" t="str">
        <x:v>A023</x:v>
      </x:c>
      <x:c r="C29" s="24" t="str">
        <x:v>campaign topology</x:v>
      </x:c>
      <x:c r="D29" s="24" t="str">
        <x:v>I02 has eight gates</x:v>
      </x:c>
      <x:c r="E29" s="24" t="n">
        <x:f>COUNTA('Gate Assignment'!B95:B102)</x:f>
        <x:v>8</x:v>
      </x:c>
      <x:c r="F29" s="24" t="n">
        <x:v>8</x:v>
      </x:c>
      <x:c r="G29" s="26" t="str">
        <x:f>IF(E29=F29,"PASS","FAIL")</x:f>
        <x:v>PASS</x:v>
      </x:c>
    </x:row>
    <x:row r="30">
      <x:c r="B30" s="24" t="str">
        <x:v>A024</x:v>
      </x:c>
      <x:c r="C30" s="24" t="str">
        <x:v>campaign state</x:v>
      </x:c>
      <x:c r="D30" s="24" t="str">
        <x:v>I02 gates remain openly unearned</x:v>
      </x:c>
      <x:c r="E30" s="24" t="n">
        <x:f>COUNTIF('Gate Assignment'!N95:N102,"OPEN")</x:f>
        <x:v>8</x:v>
      </x:c>
      <x:c r="F30" s="24" t="n">
        <x:v>8</x:v>
      </x:c>
      <x:c r="G30" s="26" t="str">
        <x:f>IF(E30=F30,"PASS","FAIL")</x:f>
        <x:v>PASS</x:v>
      </x:c>
    </x:row>
    <x:row r="31">
      <x:c r="B31" s="24" t="str">
        <x:v>A025</x:v>
      </x:c>
      <x:c r="C31" s="24" t="str">
        <x:v>campaign topology</x:v>
      </x:c>
      <x:c r="D31" s="24" t="str">
        <x:v>I03 has eight gates</x:v>
      </x:c>
      <x:c r="E31" s="24" t="n">
        <x:f>COUNTA('Gate Assignment'!B103:B110)</x:f>
        <x:v>8</x:v>
      </x:c>
      <x:c r="F31" s="24" t="n">
        <x:v>8</x:v>
      </x:c>
      <x:c r="G31" s="26" t="str">
        <x:f>IF(E31=F31,"PASS","FAIL")</x:f>
        <x:v>PASS</x:v>
      </x:c>
    </x:row>
    <x:row r="32">
      <x:c r="B32" s="24" t="str">
        <x:v>A026</x:v>
      </x:c>
      <x:c r="C32" s="24" t="str">
        <x:v>campaign state</x:v>
      </x:c>
      <x:c r="D32" s="24" t="str">
        <x:v>I03 gates remain openly unearned</x:v>
      </x:c>
      <x:c r="E32" s="24" t="n">
        <x:f>COUNTIF('Gate Assignment'!N103:N110,"OPEN")</x:f>
        <x:v>8</x:v>
      </x:c>
      <x:c r="F32" s="24" t="n">
        <x:v>8</x:v>
      </x:c>
      <x:c r="G32" s="26" t="str">
        <x:f>IF(E32=F32,"PASS","FAIL")</x:f>
        <x:v>PASS</x:v>
      </x:c>
    </x:row>
    <x:row r="33">
      <x:c r="B33" s="24" t="str">
        <x:v>A027</x:v>
      </x:c>
      <x:c r="C33" s="24" t="str">
        <x:v>campaign topology</x:v>
      </x:c>
      <x:c r="D33" s="24" t="str">
        <x:v>I04 has eight gates</x:v>
      </x:c>
      <x:c r="E33" s="24" t="n">
        <x:f>COUNTA('Gate Assignment'!B111:B118)</x:f>
        <x:v>8</x:v>
      </x:c>
      <x:c r="F33" s="24" t="n">
        <x:v>8</x:v>
      </x:c>
      <x:c r="G33" s="26" t="str">
        <x:f>IF(E33=F33,"PASS","FAIL")</x:f>
        <x:v>PASS</x:v>
      </x:c>
    </x:row>
    <x:row r="34">
      <x:c r="B34" s="24" t="str">
        <x:v>A028</x:v>
      </x:c>
      <x:c r="C34" s="24" t="str">
        <x:v>campaign state</x:v>
      </x:c>
      <x:c r="D34" s="24" t="str">
        <x:v>I04 gates remain openly unearned</x:v>
      </x:c>
      <x:c r="E34" s="24" t="n">
        <x:f>COUNTIF('Gate Assignment'!N111:N118,"OPEN")</x:f>
        <x:v>8</x:v>
      </x:c>
      <x:c r="F34" s="24" t="n">
        <x:v>8</x:v>
      </x:c>
      <x:c r="G34" s="26" t="str">
        <x:f>IF(E34=F34,"PASS","FAIL")</x:f>
        <x:v>PASS</x:v>
      </x:c>
    </x:row>
    <x:row r="35">
      <x:c r="B35" s="24" t="str">
        <x:v>A029</x:v>
      </x:c>
      <x:c r="C35" s="24" t="str">
        <x:v>campaign topology</x:v>
      </x:c>
      <x:c r="D35" s="24" t="str">
        <x:v>I05 has eight gates</x:v>
      </x:c>
      <x:c r="E35" s="24" t="n">
        <x:f>COUNTA('Gate Assignment'!B119:B126)</x:f>
        <x:v>8</x:v>
      </x:c>
      <x:c r="F35" s="24" t="n">
        <x:v>8</x:v>
      </x:c>
      <x:c r="G35" s="26" t="str">
        <x:f>IF(E35=F35,"PASS","FAIL")</x:f>
        <x:v>PASS</x:v>
      </x:c>
    </x:row>
    <x:row r="36">
      <x:c r="B36" s="24" t="str">
        <x:v>A030</x:v>
      </x:c>
      <x:c r="C36" s="24" t="str">
        <x:v>campaign state</x:v>
      </x:c>
      <x:c r="D36" s="24" t="str">
        <x:v>I05 gates remain openly unearned</x:v>
      </x:c>
      <x:c r="E36" s="24" t="n">
        <x:f>COUNTIF('Gate Assignment'!N119:N126,"OPEN")</x:f>
        <x:v>8</x:v>
      </x:c>
      <x:c r="F36" s="24" t="n">
        <x:v>8</x:v>
      </x:c>
      <x:c r="G36" s="26" t="str">
        <x:f>IF(E36=F36,"PASS","FAIL")</x:f>
        <x:v>PASS</x:v>
      </x:c>
    </x:row>
    <x:row r="37">
      <x:c r="B37" s="24" t="str">
        <x:v>A031</x:v>
      </x:c>
      <x:c r="C37" s="24" t="str">
        <x:v>campaign topology</x:v>
      </x:c>
      <x:c r="D37" s="24" t="str">
        <x:v>I06 has eight gates</x:v>
      </x:c>
      <x:c r="E37" s="24" t="n">
        <x:f>COUNTA('Gate Assignment'!B127:B134)</x:f>
        <x:v>8</x:v>
      </x:c>
      <x:c r="F37" s="24" t="n">
        <x:v>8</x:v>
      </x:c>
      <x:c r="G37" s="26" t="str">
        <x:f>IF(E37=F37,"PASS","FAIL")</x:f>
        <x:v>PASS</x:v>
      </x:c>
    </x:row>
    <x:row r="38">
      <x:c r="B38" s="24" t="str">
        <x:v>A032</x:v>
      </x:c>
      <x:c r="C38" s="24" t="str">
        <x:v>campaign state</x:v>
      </x:c>
      <x:c r="D38" s="24" t="str">
        <x:v>I06 gates remain openly unearned</x:v>
      </x:c>
      <x:c r="E38" s="24" t="n">
        <x:f>COUNTIF('Gate Assignment'!N127:N134,"OPEN")</x:f>
        <x:v>8</x:v>
      </x:c>
      <x:c r="F38" s="24" t="n">
        <x:v>8</x:v>
      </x:c>
      <x:c r="G38" s="26" t="str">
        <x:f>IF(E38=F38,"PASS","FAIL")</x:f>
        <x:v>PASS</x:v>
      </x:c>
    </x:row>
    <x:row r="39">
      <x:c r="B39" s="24" t="str">
        <x:v>A033</x:v>
      </x:c>
      <x:c r="C39" s="24" t="str">
        <x:v>campaign topology</x:v>
      </x:c>
      <x:c r="D39" s="24" t="str">
        <x:v>I07 has eight gates</x:v>
      </x:c>
      <x:c r="E39" s="24" t="n">
        <x:f>COUNTA('Gate Assignment'!B135:B142)</x:f>
        <x:v>8</x:v>
      </x:c>
      <x:c r="F39" s="24" t="n">
        <x:v>8</x:v>
      </x:c>
      <x:c r="G39" s="26" t="str">
        <x:f>IF(E39=F39,"PASS","FAIL")</x:f>
        <x:v>PASS</x:v>
      </x:c>
    </x:row>
    <x:row r="40">
      <x:c r="B40" s="24" t="str">
        <x:v>A034</x:v>
      </x:c>
      <x:c r="C40" s="24" t="str">
        <x:v>campaign state</x:v>
      </x:c>
      <x:c r="D40" s="24" t="str">
        <x:v>I07 gates remain openly unearned</x:v>
      </x:c>
      <x:c r="E40" s="24" t="n">
        <x:f>COUNTIF('Gate Assignment'!N135:N142,"OPEN")</x:f>
        <x:v>8</x:v>
      </x:c>
      <x:c r="F40" s="24" t="n">
        <x:v>8</x:v>
      </x:c>
      <x:c r="G40" s="26" t="str">
        <x:f>IF(E40=F40,"PASS","FAIL")</x:f>
        <x:v>PASS</x:v>
      </x:c>
    </x:row>
    <x:row r="41">
      <x:c r="B41" s="24" t="str">
        <x:v>A035</x:v>
      </x:c>
      <x:c r="C41" s="24" t="str">
        <x:v>campaign topology</x:v>
      </x:c>
      <x:c r="D41" s="24" t="str">
        <x:v>I08 has eight gates</x:v>
      </x:c>
      <x:c r="E41" s="24" t="n">
        <x:f>COUNTA('Gate Assignment'!B143:B150)</x:f>
        <x:v>8</x:v>
      </x:c>
      <x:c r="F41" s="24" t="n">
        <x:v>8</x:v>
      </x:c>
      <x:c r="G41" s="26" t="str">
        <x:f>IF(E41=F41,"PASS","FAIL")</x:f>
        <x:v>PASS</x:v>
      </x:c>
    </x:row>
    <x:row r="42">
      <x:c r="B42" s="24" t="str">
        <x:v>A036</x:v>
      </x:c>
      <x:c r="C42" s="24" t="str">
        <x:v>campaign state</x:v>
      </x:c>
      <x:c r="D42" s="24" t="str">
        <x:v>I08 gates remain openly unearned</x:v>
      </x:c>
      <x:c r="E42" s="24" t="n">
        <x:f>COUNTIF('Gate Assignment'!N143:N150,"OPEN")</x:f>
        <x:v>8</x:v>
      </x:c>
      <x:c r="F42" s="24" t="n">
        <x:v>8</x:v>
      </x:c>
      <x:c r="G42" s="26" t="str">
        <x:f>IF(E42=F42,"PASS","FAIL")</x:f>
        <x:v>PASS</x:v>
      </x:c>
    </x:row>
    <x:row r="43">
      <x:c r="B43" s="24" t="str">
        <x:v>A037</x:v>
      </x:c>
      <x:c r="C43" s="24" t="str">
        <x:v>campaign topology</x:v>
      </x:c>
      <x:c r="D43" s="24" t="str">
        <x:v>I09 has eight gates</x:v>
      </x:c>
      <x:c r="E43" s="24" t="n">
        <x:f>COUNTA('Gate Assignment'!B151:B158)</x:f>
        <x:v>8</x:v>
      </x:c>
      <x:c r="F43" s="24" t="n">
        <x:v>8</x:v>
      </x:c>
      <x:c r="G43" s="26" t="str">
        <x:f>IF(E43=F43,"PASS","FAIL")</x:f>
        <x:v>PASS</x:v>
      </x:c>
    </x:row>
    <x:row r="44">
      <x:c r="B44" s="24" t="str">
        <x:v>A038</x:v>
      </x:c>
      <x:c r="C44" s="24" t="str">
        <x:v>campaign state</x:v>
      </x:c>
      <x:c r="D44" s="24" t="str">
        <x:v>I09 gates remain openly unearned</x:v>
      </x:c>
      <x:c r="E44" s="24" t="n">
        <x:f>COUNTIF('Gate Assignment'!N151:N158,"OPEN")</x:f>
        <x:v>8</x:v>
      </x:c>
      <x:c r="F44" s="24" t="n">
        <x:v>8</x:v>
      </x:c>
      <x:c r="G44" s="26" t="str">
        <x:f>IF(E44=F44,"PASS","FAIL")</x:f>
        <x:v>PASS</x:v>
      </x:c>
    </x:row>
    <x:row r="45">
      <x:c r="B45" s="24" t="str">
        <x:v>A039</x:v>
      </x:c>
      <x:c r="C45" s="24" t="str">
        <x:v>campaign topology</x:v>
      </x:c>
      <x:c r="D45" s="24" t="str">
        <x:v>I10 has eight gates</x:v>
      </x:c>
      <x:c r="E45" s="24" t="n">
        <x:f>COUNTA('Gate Assignment'!B159:B166)</x:f>
        <x:v>8</x:v>
      </x:c>
      <x:c r="F45" s="24" t="n">
        <x:v>8</x:v>
      </x:c>
      <x:c r="G45" s="26" t="str">
        <x:f>IF(E45=F45,"PASS","FAIL")</x:f>
        <x:v>PASS</x:v>
      </x:c>
    </x:row>
    <x:row r="46">
      <x:c r="B46" s="24" t="str">
        <x:v>A040</x:v>
      </x:c>
      <x:c r="C46" s="24" t="str">
        <x:v>campaign state</x:v>
      </x:c>
      <x:c r="D46" s="24" t="str">
        <x:v>I10 gates remain openly unearned</x:v>
      </x:c>
      <x:c r="E46" s="24" t="n">
        <x:f>COUNTIF('Gate Assignment'!N159:N166,"OPEN")</x:f>
        <x:v>8</x:v>
      </x:c>
      <x:c r="F46" s="24" t="n">
        <x:v>8</x:v>
      </x:c>
      <x:c r="G46" s="26" t="str">
        <x:f>IF(E46=F46,"PASS","FAIL")</x:f>
        <x:v>PASS</x:v>
      </x:c>
    </x:row>
    <x:row r="47">
      <x:c r="B47" s="24" t="str">
        <x:v>A041</x:v>
      </x:c>
      <x:c r="C47" s="24" t="str">
        <x:v>campaign topology</x:v>
      </x:c>
      <x:c r="D47" s="24" t="str">
        <x:v>I11 has eight gates</x:v>
      </x:c>
      <x:c r="E47" s="24" t="n">
        <x:f>COUNTA('Gate Assignment'!B167:B174)</x:f>
        <x:v>8</x:v>
      </x:c>
      <x:c r="F47" s="24" t="n">
        <x:v>8</x:v>
      </x:c>
      <x:c r="G47" s="26" t="str">
        <x:f>IF(E47=F47,"PASS","FAIL")</x:f>
        <x:v>PASS</x:v>
      </x:c>
    </x:row>
    <x:row r="48">
      <x:c r="B48" s="24" t="str">
        <x:v>A042</x:v>
      </x:c>
      <x:c r="C48" s="24" t="str">
        <x:v>campaign state</x:v>
      </x:c>
      <x:c r="D48" s="24" t="str">
        <x:v>I11 gates remain openly unearned</x:v>
      </x:c>
      <x:c r="E48" s="24" t="n">
        <x:f>COUNTIF('Gate Assignment'!N167:N174,"OPEN")</x:f>
        <x:v>8</x:v>
      </x:c>
      <x:c r="F48" s="24" t="n">
        <x:v>8</x:v>
      </x:c>
      <x:c r="G48" s="26" t="str">
        <x:f>IF(E48=F48,"PASS","FAIL")</x:f>
        <x:v>PASS</x:v>
      </x:c>
    </x:row>
    <x:row r="49">
      <x:c r="B49" s="24" t="str">
        <x:v>A043</x:v>
      </x:c>
      <x:c r="C49" s="24" t="str">
        <x:v>campaign topology</x:v>
      </x:c>
      <x:c r="D49" s="24" t="str">
        <x:v>I12 has eight gates</x:v>
      </x:c>
      <x:c r="E49" s="24" t="n">
        <x:f>COUNTA('Gate Assignment'!B175:B182)</x:f>
        <x:v>8</x:v>
      </x:c>
      <x:c r="F49" s="24" t="n">
        <x:v>8</x:v>
      </x:c>
      <x:c r="G49" s="26" t="str">
        <x:f>IF(E49=F49,"PASS","FAIL")</x:f>
        <x:v>PASS</x:v>
      </x:c>
    </x:row>
    <x:row r="50">
      <x:c r="B50" s="24" t="str">
        <x:v>A044</x:v>
      </x:c>
      <x:c r="C50" s="24" t="str">
        <x:v>campaign state</x:v>
      </x:c>
      <x:c r="D50" s="24" t="str">
        <x:v>I12 gates remain openly unearned</x:v>
      </x:c>
      <x:c r="E50" s="24" t="n">
        <x:f>COUNTIF('Gate Assignment'!N175:N182,"OPEN")</x:f>
        <x:v>8</x:v>
      </x:c>
      <x:c r="F50" s="24" t="n">
        <x:v>8</x:v>
      </x:c>
      <x:c r="G50" s="26" t="str">
        <x:f>IF(E50=F50,"PASS","FAIL")</x:f>
        <x:v>PASS</x:v>
      </x:c>
    </x:row>
    <x:row r="51">
      <x:c r="B51" s="24" t="str">
        <x:v>A045</x:v>
      </x:c>
      <x:c r="C51" s="24" t="str">
        <x:v>campaign topology</x:v>
      </x:c>
      <x:c r="D51" s="24" t="str">
        <x:v>I13 has eight gates</x:v>
      </x:c>
      <x:c r="E51" s="24" t="n">
        <x:f>COUNTA('Gate Assignment'!B183:B190)</x:f>
        <x:v>8</x:v>
      </x:c>
      <x:c r="F51" s="24" t="n">
        <x:v>8</x:v>
      </x:c>
      <x:c r="G51" s="26" t="str">
        <x:f>IF(E51=F51,"PASS","FAIL")</x:f>
        <x:v>PASS</x:v>
      </x:c>
    </x:row>
    <x:row r="52">
      <x:c r="B52" s="24" t="str">
        <x:v>A046</x:v>
      </x:c>
      <x:c r="C52" s="24" t="str">
        <x:v>campaign state</x:v>
      </x:c>
      <x:c r="D52" s="24" t="str">
        <x:v>I13 gates remain openly unearned</x:v>
      </x:c>
      <x:c r="E52" s="24" t="n">
        <x:f>COUNTIF('Gate Assignment'!N183:N190,"OPEN")</x:f>
        <x:v>8</x:v>
      </x:c>
      <x:c r="F52" s="24" t="n">
        <x:v>8</x:v>
      </x:c>
      <x:c r="G52" s="26" t="str">
        <x:f>IF(E52=F52,"PASS","FAIL")</x:f>
        <x:v>PASS</x:v>
      </x:c>
    </x:row>
    <x:row r="53">
      <x:c r="B53" s="24" t="str">
        <x:v>A047</x:v>
      </x:c>
      <x:c r="C53" s="24" t="str">
        <x:v>campaign topology</x:v>
      </x:c>
      <x:c r="D53" s="24" t="str">
        <x:v>I14 has eight gates</x:v>
      </x:c>
      <x:c r="E53" s="24" t="n">
        <x:f>COUNTA('Gate Assignment'!B191:B198)</x:f>
        <x:v>8</x:v>
      </x:c>
      <x:c r="F53" s="24" t="n">
        <x:v>8</x:v>
      </x:c>
      <x:c r="G53" s="26" t="str">
        <x:f>IF(E53=F53,"PASS","FAIL")</x:f>
        <x:v>PASS</x:v>
      </x:c>
    </x:row>
    <x:row r="54">
      <x:c r="B54" s="24" t="str">
        <x:v>A048</x:v>
      </x:c>
      <x:c r="C54" s="24" t="str">
        <x:v>campaign state</x:v>
      </x:c>
      <x:c r="D54" s="24" t="str">
        <x:v>I14 gates remain openly unearned</x:v>
      </x:c>
      <x:c r="E54" s="24" t="n">
        <x:f>COUNTIF('Gate Assignment'!N191:N198,"OPEN")</x:f>
        <x:v>8</x:v>
      </x:c>
      <x:c r="F54" s="24" t="n">
        <x:v>8</x:v>
      </x:c>
      <x:c r="G54" s="26" t="str">
        <x:f>IF(E54=F54,"PASS","FAIL")</x:f>
        <x:v>PASS</x:v>
      </x:c>
    </x:row>
    <x:row r="55">
      <x:c r="B55" s="24" t="str">
        <x:v>A049</x:v>
      </x:c>
      <x:c r="C55" s="24" t="str">
        <x:v>campaign topology</x:v>
      </x:c>
      <x:c r="D55" s="24" t="str">
        <x:v>I15 has eight gates</x:v>
      </x:c>
      <x:c r="E55" s="24" t="n">
        <x:f>COUNTA('Gate Assignment'!B199:B206)</x:f>
        <x:v>8</x:v>
      </x:c>
      <x:c r="F55" s="24" t="n">
        <x:v>8</x:v>
      </x:c>
      <x:c r="G55" s="26" t="str">
        <x:f>IF(E55=F55,"PASS","FAIL")</x:f>
        <x:v>PASS</x:v>
      </x:c>
    </x:row>
    <x:row r="56">
      <x:c r="B56" s="24" t="str">
        <x:v>A050</x:v>
      </x:c>
      <x:c r="C56" s="24" t="str">
        <x:v>campaign state</x:v>
      </x:c>
      <x:c r="D56" s="24" t="str">
        <x:v>I15 gates remain openly unearned</x:v>
      </x:c>
      <x:c r="E56" s="24" t="n">
        <x:f>COUNTIF('Gate Assignment'!N199:N206,"OPEN")</x:f>
        <x:v>8</x:v>
      </x:c>
      <x:c r="F56" s="24" t="n">
        <x:v>8</x:v>
      </x:c>
      <x:c r="G56" s="26" t="str">
        <x:f>IF(E56=F56,"PASS","FAIL")</x:f>
        <x:v>PASS</x:v>
      </x:c>
    </x:row>
    <x:row r="57">
      <x:c r="B57" s="24" t="str">
        <x:v>A051</x:v>
      </x:c>
      <x:c r="C57" s="24" t="str">
        <x:v>facility capacity</x:v>
      </x:c>
      <x:c r="D57" s="24" t="str">
        <x:v>F01 utilization at or below one</x:v>
      </x:c>
      <x:c r="E57" s="24" t="n">
        <x:f>'Facility Network'!J7</x:f>
        <x:v>0.5833333333333334</x:v>
      </x:c>
      <x:c r="F57" s="24" t="n">
        <x:v>1</x:v>
      </x:c>
      <x:c r="G57" s="26" t="str">
        <x:f>IF(E57&lt;=F57,"PASS","FAIL")</x:f>
        <x:v>PASS</x:v>
      </x:c>
    </x:row>
    <x:row r="58">
      <x:c r="B58" s="24" t="str">
        <x:v>A052</x:v>
      </x:c>
      <x:c r="C58" s="24" t="str">
        <x:v>facility state</x:v>
      </x:c>
      <x:c r="D58" s="24" t="str">
        <x:v>F01 remains open</x:v>
      </x:c>
      <x:c r="E58" s="24" t="n">
        <x:f>IF('Facility Network'!M7="OPEN",1,0)</x:f>
        <x:v>1</x:v>
      </x:c>
      <x:c r="F58" s="24" t="n">
        <x:v>1</x:v>
      </x:c>
      <x:c r="G58" s="26" t="str">
        <x:f>IF(E58=F58,"PASS","FAIL")</x:f>
        <x:v>PASS</x:v>
      </x:c>
    </x:row>
    <x:row r="59">
      <x:c r="B59" s="24" t="str">
        <x:v>A053</x:v>
      </x:c>
      <x:c r="C59" s="24" t="str">
        <x:v>facility capacity</x:v>
      </x:c>
      <x:c r="D59" s="24" t="str">
        <x:v>F02 utilization at or below one</x:v>
      </x:c>
      <x:c r="E59" s="24" t="n">
        <x:f>'Facility Network'!J8</x:f>
        <x:v>0.25</x:v>
      </x:c>
      <x:c r="F59" s="24" t="n">
        <x:v>1</x:v>
      </x:c>
      <x:c r="G59" s="26" t="str">
        <x:f>IF(E59&lt;=F59,"PASS","FAIL")</x:f>
        <x:v>PASS</x:v>
      </x:c>
    </x:row>
    <x:row r="60">
      <x:c r="B60" s="24" t="str">
        <x:v>A054</x:v>
      </x:c>
      <x:c r="C60" s="24" t="str">
        <x:v>facility state</x:v>
      </x:c>
      <x:c r="D60" s="24" t="str">
        <x:v>F02 remains open</x:v>
      </x:c>
      <x:c r="E60" s="24" t="n">
        <x:f>IF('Facility Network'!M8="OPEN",1,0)</x:f>
        <x:v>1</x:v>
      </x:c>
      <x:c r="F60" s="24" t="n">
        <x:v>1</x:v>
      </x:c>
      <x:c r="G60" s="26" t="str">
        <x:f>IF(E60=F60,"PASS","FAIL")</x:f>
        <x:v>PASS</x:v>
      </x:c>
    </x:row>
    <x:row r="61">
      <x:c r="B61" s="24" t="str">
        <x:v>A055</x:v>
      </x:c>
      <x:c r="C61" s="24" t="str">
        <x:v>facility capacity</x:v>
      </x:c>
      <x:c r="D61" s="24" t="str">
        <x:v>F03 utilization at or below one</x:v>
      </x:c>
      <x:c r="E61" s="24" t="n">
        <x:f>'Facility Network'!J9</x:f>
        <x:v>0.25</x:v>
      </x:c>
      <x:c r="F61" s="24" t="n">
        <x:v>1</x:v>
      </x:c>
      <x:c r="G61" s="26" t="str">
        <x:f>IF(E61&lt;=F61,"PASS","FAIL")</x:f>
        <x:v>PASS</x:v>
      </x:c>
    </x:row>
    <x:row r="62">
      <x:c r="B62" s="24" t="str">
        <x:v>A056</x:v>
      </x:c>
      <x:c r="C62" s="24" t="str">
        <x:v>facility state</x:v>
      </x:c>
      <x:c r="D62" s="24" t="str">
        <x:v>F03 remains open</x:v>
      </x:c>
      <x:c r="E62" s="24" t="n">
        <x:f>IF('Facility Network'!M9="OPEN",1,0)</x:f>
        <x:v>1</x:v>
      </x:c>
      <x:c r="F62" s="24" t="n">
        <x:v>1</x:v>
      </x:c>
      <x:c r="G62" s="26" t="str">
        <x:f>IF(E62=F62,"PASS","FAIL")</x:f>
        <x:v>PASS</x:v>
      </x:c>
    </x:row>
    <x:row r="63">
      <x:c r="B63" s="24" t="str">
        <x:v>A057</x:v>
      </x:c>
      <x:c r="C63" s="24" t="str">
        <x:v>facility capacity</x:v>
      </x:c>
      <x:c r="D63" s="24" t="str">
        <x:v>F04 utilization at or below one</x:v>
      </x:c>
      <x:c r="E63" s="24" t="n">
        <x:f>'Facility Network'!J10</x:f>
        <x:v>0.2777777777777778</x:v>
      </x:c>
      <x:c r="F63" s="24" t="n">
        <x:v>1</x:v>
      </x:c>
      <x:c r="G63" s="26" t="str">
        <x:f>IF(E63&lt;=F63,"PASS","FAIL")</x:f>
        <x:v>PASS</x:v>
      </x:c>
    </x:row>
    <x:row r="64">
      <x:c r="B64" s="24" t="str">
        <x:v>A058</x:v>
      </x:c>
      <x:c r="C64" s="24" t="str">
        <x:v>facility state</x:v>
      </x:c>
      <x:c r="D64" s="24" t="str">
        <x:v>F04 remains open</x:v>
      </x:c>
      <x:c r="E64" s="24" t="n">
        <x:f>IF('Facility Network'!M10="OPEN",1,0)</x:f>
        <x:v>1</x:v>
      </x:c>
      <x:c r="F64" s="24" t="n">
        <x:v>1</x:v>
      </x:c>
      <x:c r="G64" s="26" t="str">
        <x:f>IF(E64=F64,"PASS","FAIL")</x:f>
        <x:v>PASS</x:v>
      </x:c>
    </x:row>
    <x:row r="65">
      <x:c r="B65" s="24" t="str">
        <x:v>A059</x:v>
      </x:c>
      <x:c r="C65" s="24" t="str">
        <x:v>facility capacity</x:v>
      </x:c>
      <x:c r="D65" s="24" t="str">
        <x:v>F05 utilization at or below one</x:v>
      </x:c>
      <x:c r="E65" s="24" t="n">
        <x:f>'Facility Network'!J11</x:f>
        <x:v>0.25</x:v>
      </x:c>
      <x:c r="F65" s="24" t="n">
        <x:v>1</x:v>
      </x:c>
      <x:c r="G65" s="26" t="str">
        <x:f>IF(E65&lt;=F65,"PASS","FAIL")</x:f>
        <x:v>PASS</x:v>
      </x:c>
    </x:row>
    <x:row r="66">
      <x:c r="B66" s="24" t="str">
        <x:v>A060</x:v>
      </x:c>
      <x:c r="C66" s="24" t="str">
        <x:v>facility state</x:v>
      </x:c>
      <x:c r="D66" s="24" t="str">
        <x:v>F05 remains open</x:v>
      </x:c>
      <x:c r="E66" s="24" t="n">
        <x:f>IF('Facility Network'!M11="OPEN",1,0)</x:f>
        <x:v>1</x:v>
      </x:c>
      <x:c r="F66" s="24" t="n">
        <x:v>1</x:v>
      </x:c>
      <x:c r="G66" s="26" t="str">
        <x:f>IF(E66=F66,"PASS","FAIL")</x:f>
        <x:v>PASS</x:v>
      </x:c>
    </x:row>
    <x:row r="67">
      <x:c r="B67" s="24" t="str">
        <x:v>A061</x:v>
      </x:c>
      <x:c r="C67" s="24" t="str">
        <x:v>facility capacity</x:v>
      </x:c>
      <x:c r="D67" s="24" t="str">
        <x:v>F06 utilization at or below one</x:v>
      </x:c>
      <x:c r="E67" s="24" t="n">
        <x:f>'Facility Network'!J12</x:f>
        <x:v>0.2777777777777778</x:v>
      </x:c>
      <x:c r="F67" s="24" t="n">
        <x:v>1</x:v>
      </x:c>
      <x:c r="G67" s="26" t="str">
        <x:f>IF(E67&lt;=F67,"PASS","FAIL")</x:f>
        <x:v>PASS</x:v>
      </x:c>
    </x:row>
    <x:row r="68">
      <x:c r="B68" s="24" t="str">
        <x:v>A062</x:v>
      </x:c>
      <x:c r="C68" s="24" t="str">
        <x:v>facility state</x:v>
      </x:c>
      <x:c r="D68" s="24" t="str">
        <x:v>F06 remains open</x:v>
      </x:c>
      <x:c r="E68" s="24" t="n">
        <x:f>IF('Facility Network'!M12="OPEN",1,0)</x:f>
        <x:v>1</x:v>
      </x:c>
      <x:c r="F68" s="24" t="n">
        <x:v>1</x:v>
      </x:c>
      <x:c r="G68" s="26" t="str">
        <x:f>IF(E68=F68,"PASS","FAIL")</x:f>
        <x:v>PASS</x:v>
      </x:c>
    </x:row>
    <x:row r="69">
      <x:c r="B69" s="24" t="str">
        <x:v>A063</x:v>
      </x:c>
      <x:c r="C69" s="24" t="str">
        <x:v>facility capacity</x:v>
      </x:c>
      <x:c r="D69" s="24" t="str">
        <x:v>F07 utilization at or below one</x:v>
      </x:c>
      <x:c r="E69" s="24" t="n">
        <x:f>'Facility Network'!J13</x:f>
        <x:v>0.40625</x:v>
      </x:c>
      <x:c r="F69" s="24" t="n">
        <x:v>1</x:v>
      </x:c>
      <x:c r="G69" s="26" t="str">
        <x:f>IF(E69&lt;=F69,"PASS","FAIL")</x:f>
        <x:v>PASS</x:v>
      </x:c>
    </x:row>
    <x:row r="70">
      <x:c r="B70" s="24" t="str">
        <x:v>A064</x:v>
      </x:c>
      <x:c r="C70" s="24" t="str">
        <x:v>facility state</x:v>
      </x:c>
      <x:c r="D70" s="24" t="str">
        <x:v>F07 remains open</x:v>
      </x:c>
      <x:c r="E70" s="24" t="n">
        <x:f>IF('Facility Network'!M13="OPEN",1,0)</x:f>
        <x:v>1</x:v>
      </x:c>
      <x:c r="F70" s="24" t="n">
        <x:v>1</x:v>
      </x:c>
      <x:c r="G70" s="26" t="str">
        <x:f>IF(E70=F70,"PASS","FAIL")</x:f>
        <x:v>PASS</x:v>
      </x:c>
    </x:row>
    <x:row r="71">
      <x:c r="B71" s="24" t="str">
        <x:v>A065</x:v>
      </x:c>
      <x:c r="C71" s="24" t="str">
        <x:v>facility capacity</x:v>
      </x:c>
      <x:c r="D71" s="24" t="str">
        <x:v>F08 utilization at or below one</x:v>
      </x:c>
      <x:c r="E71" s="24" t="n">
        <x:f>'Facility Network'!J14</x:f>
        <x:v>0.35</x:v>
      </x:c>
      <x:c r="F71" s="24" t="n">
        <x:v>1</x:v>
      </x:c>
      <x:c r="G71" s="26" t="str">
        <x:f>IF(E71&lt;=F71,"PASS","FAIL")</x:f>
        <x:v>PASS</x:v>
      </x:c>
    </x:row>
    <x:row r="72">
      <x:c r="B72" s="24" t="str">
        <x:v>A066</x:v>
      </x:c>
      <x:c r="C72" s="24" t="str">
        <x:v>facility state</x:v>
      </x:c>
      <x:c r="D72" s="24" t="str">
        <x:v>F08 remains open</x:v>
      </x:c>
      <x:c r="E72" s="24" t="n">
        <x:f>IF('Facility Network'!M14="OPEN",1,0)</x:f>
        <x:v>1</x:v>
      </x:c>
      <x:c r="F72" s="24" t="n">
        <x:v>1</x:v>
      </x:c>
      <x:c r="G72" s="26" t="str">
        <x:f>IF(E72=F72,"PASS","FAIL")</x:f>
        <x:v>PASS</x:v>
      </x:c>
    </x:row>
    <x:row r="73">
      <x:c r="B73" s="24" t="str">
        <x:v>A067</x:v>
      </x:c>
      <x:c r="C73" s="24" t="str">
        <x:v>facility capacity</x:v>
      </x:c>
      <x:c r="D73" s="24" t="str">
        <x:v>F09 utilization at or below one</x:v>
      </x:c>
      <x:c r="E73" s="24" t="n">
        <x:f>'Facility Network'!J15</x:f>
        <x:v>0.6944444444444444</x:v>
      </x:c>
      <x:c r="F73" s="24" t="n">
        <x:v>1</x:v>
      </x:c>
      <x:c r="G73" s="26" t="str">
        <x:f>IF(E73&lt;=F73,"PASS","FAIL")</x:f>
        <x:v>PASS</x:v>
      </x:c>
    </x:row>
    <x:row r="74">
      <x:c r="B74" s="24" t="str">
        <x:v>A068</x:v>
      </x:c>
      <x:c r="C74" s="24" t="str">
        <x:v>facility state</x:v>
      </x:c>
      <x:c r="D74" s="24" t="str">
        <x:v>F09 remains open</x:v>
      </x:c>
      <x:c r="E74" s="24" t="n">
        <x:f>IF('Facility Network'!M15="OPEN",1,0)</x:f>
        <x:v>1</x:v>
      </x:c>
      <x:c r="F74" s="24" t="n">
        <x:v>1</x:v>
      </x:c>
      <x:c r="G74" s="26" t="str">
        <x:f>IF(E74=F74,"PASS","FAIL")</x:f>
        <x:v>PASS</x:v>
      </x:c>
    </x:row>
    <x:row r="75">
      <x:c r="B75" s="24" t="str">
        <x:v>A069</x:v>
      </x:c>
      <x:c r="C75" s="24" t="str">
        <x:v>facility capacity</x:v>
      </x:c>
      <x:c r="D75" s="24" t="str">
        <x:v>F10 utilization at or below one</x:v>
      </x:c>
      <x:c r="E75" s="24" t="n">
        <x:f>'Facility Network'!J16</x:f>
        <x:v>0.3</x:v>
      </x:c>
      <x:c r="F75" s="24" t="n">
        <x:v>1</x:v>
      </x:c>
      <x:c r="G75" s="26" t="str">
        <x:f>IF(E75&lt;=F75,"PASS","FAIL")</x:f>
        <x:v>PASS</x:v>
      </x:c>
    </x:row>
    <x:row r="76">
      <x:c r="B76" s="24" t="str">
        <x:v>A070</x:v>
      </x:c>
      <x:c r="C76" s="24" t="str">
        <x:v>facility state</x:v>
      </x:c>
      <x:c r="D76" s="24" t="str">
        <x:v>F10 remains open</x:v>
      </x:c>
      <x:c r="E76" s="24" t="n">
        <x:f>IF('Facility Network'!M16="OPEN",1,0)</x:f>
        <x:v>1</x:v>
      </x:c>
      <x:c r="F76" s="24" t="n">
        <x:v>1</x:v>
      </x:c>
      <x:c r="G76" s="26" t="str">
        <x:f>IF(E76=F76,"PASS","FAIL")</x:f>
        <x:v>PASS</x:v>
      </x:c>
    </x:row>
    <x:row r="77">
      <x:c r="B77" s="24" t="str">
        <x:v>A071</x:v>
      </x:c>
      <x:c r="C77" s="24" t="str">
        <x:v>facility capacity</x:v>
      </x:c>
      <x:c r="D77" s="24" t="str">
        <x:v>F11 utilization at or below one</x:v>
      </x:c>
      <x:c r="E77" s="24" t="n">
        <x:f>'Facility Network'!J17</x:f>
        <x:v>0.2222222222222222</x:v>
      </x:c>
      <x:c r="F77" s="24" t="n">
        <x:v>1</x:v>
      </x:c>
      <x:c r="G77" s="26" t="str">
        <x:f>IF(E77&lt;=F77,"PASS","FAIL")</x:f>
        <x:v>PASS</x:v>
      </x:c>
    </x:row>
    <x:row r="78">
      <x:c r="B78" s="24" t="str">
        <x:v>A072</x:v>
      </x:c>
      <x:c r="C78" s="24" t="str">
        <x:v>facility state</x:v>
      </x:c>
      <x:c r="D78" s="24" t="str">
        <x:v>F11 remains open</x:v>
      </x:c>
      <x:c r="E78" s="24" t="n">
        <x:f>IF('Facility Network'!M17="OPEN",1,0)</x:f>
        <x:v>1</x:v>
      </x:c>
      <x:c r="F78" s="24" t="n">
        <x:v>1</x:v>
      </x:c>
      <x:c r="G78" s="26" t="str">
        <x:f>IF(E78=F78,"PASS","FAIL")</x:f>
        <x:v>PASS</x:v>
      </x:c>
    </x:row>
    <x:row r="79">
      <x:c r="B79" s="24" t="str">
        <x:v>A073</x:v>
      </x:c>
      <x:c r="C79" s="24" t="str">
        <x:v>article allocation</x:v>
      </x:c>
      <x:c r="D79" s="24" t="str">
        <x:v>family-lineage 1 sub-banks sum to 24</x:v>
      </x:c>
      <x:c r="E79" s="24" t="n">
        <x:f>SUM('Article Fleet'!F7:K7)</x:f>
        <x:v>24</x:v>
      </x:c>
      <x:c r="F79" s="24" t="n">
        <x:v>24</x:v>
      </x:c>
      <x:c r="G79" s="26" t="str">
        <x:f>IF(E79=F79,"PASS","FAIL")</x:f>
        <x:v>PASS</x:v>
      </x:c>
    </x:row>
    <x:row r="80">
      <x:c r="B80" s="24" t="str">
        <x:v>A074</x:v>
      </x:c>
      <x:c r="C80" s="24" t="str">
        <x:v>article preservation</x:v>
      </x:c>
      <x:c r="D80" s="24" t="str">
        <x:v>family-lineage 1 allocation passes</x:v>
      </x:c>
      <x:c r="E80" s="24" t="n">
        <x:f>IF('Article Fleet'!N7="PASS",1,0)</x:f>
        <x:v>1</x:v>
      </x:c>
      <x:c r="F80" s="24" t="n">
        <x:v>1</x:v>
      </x:c>
      <x:c r="G80" s="26" t="str">
        <x:f>IF(E80=F80,"PASS","FAIL")</x:f>
        <x:v>PASS</x:v>
      </x:c>
    </x:row>
    <x:row r="81">
      <x:c r="B81" s="24" t="str">
        <x:v>A075</x:v>
      </x:c>
      <x:c r="C81" s="24" t="str">
        <x:v>article allocation</x:v>
      </x:c>
      <x:c r="D81" s="24" t="str">
        <x:v>family-lineage 2 sub-banks sum to 24</x:v>
      </x:c>
      <x:c r="E81" s="24" t="n">
        <x:f>SUM('Article Fleet'!F8:K8)</x:f>
        <x:v>24</x:v>
      </x:c>
      <x:c r="F81" s="24" t="n">
        <x:v>24</x:v>
      </x:c>
      <x:c r="G81" s="26" t="str">
        <x:f>IF(E81=F81,"PASS","FAIL")</x:f>
        <x:v>PASS</x:v>
      </x:c>
    </x:row>
    <x:row r="82">
      <x:c r="B82" s="24" t="str">
        <x:v>A076</x:v>
      </x:c>
      <x:c r="C82" s="24" t="str">
        <x:v>article preservation</x:v>
      </x:c>
      <x:c r="D82" s="24" t="str">
        <x:v>family-lineage 2 allocation passes</x:v>
      </x:c>
      <x:c r="E82" s="24" t="n">
        <x:f>IF('Article Fleet'!N8="PASS",1,0)</x:f>
        <x:v>1</x:v>
      </x:c>
      <x:c r="F82" s="24" t="n">
        <x:v>1</x:v>
      </x:c>
      <x:c r="G82" s="26" t="str">
        <x:f>IF(E82=F82,"PASS","FAIL")</x:f>
        <x:v>PASS</x:v>
      </x:c>
    </x:row>
    <x:row r="83">
      <x:c r="B83" s="24" t="str">
        <x:v>A077</x:v>
      </x:c>
      <x:c r="C83" s="24" t="str">
        <x:v>article allocation</x:v>
      </x:c>
      <x:c r="D83" s="24" t="str">
        <x:v>family-lineage 3 sub-banks sum to 24</x:v>
      </x:c>
      <x:c r="E83" s="24" t="n">
        <x:f>SUM('Article Fleet'!F9:K9)</x:f>
        <x:v>24</x:v>
      </x:c>
      <x:c r="F83" s="24" t="n">
        <x:v>24</x:v>
      </x:c>
      <x:c r="G83" s="26" t="str">
        <x:f>IF(E83=F83,"PASS","FAIL")</x:f>
        <x:v>PASS</x:v>
      </x:c>
    </x:row>
    <x:row r="84">
      <x:c r="B84" s="24" t="str">
        <x:v>A078</x:v>
      </x:c>
      <x:c r="C84" s="24" t="str">
        <x:v>article preservation</x:v>
      </x:c>
      <x:c r="D84" s="24" t="str">
        <x:v>family-lineage 3 allocation passes</x:v>
      </x:c>
      <x:c r="E84" s="24" t="n">
        <x:f>IF('Article Fleet'!N9="PASS",1,0)</x:f>
        <x:v>1</x:v>
      </x:c>
      <x:c r="F84" s="24" t="n">
        <x:v>1</x:v>
      </x:c>
      <x:c r="G84" s="26" t="str">
        <x:f>IF(E84=F84,"PASS","FAIL")</x:f>
        <x:v>PASS</x:v>
      </x:c>
    </x:row>
    <x:row r="85">
      <x:c r="B85" s="24" t="str">
        <x:v>A079</x:v>
      </x:c>
      <x:c r="C85" s="24" t="str">
        <x:v>article allocation</x:v>
      </x:c>
      <x:c r="D85" s="24" t="str">
        <x:v>family-lineage 4 sub-banks sum to 24</x:v>
      </x:c>
      <x:c r="E85" s="24" t="n">
        <x:f>SUM('Article Fleet'!F10:K10)</x:f>
        <x:v>24</x:v>
      </x:c>
      <x:c r="F85" s="24" t="n">
        <x:v>24</x:v>
      </x:c>
      <x:c r="G85" s="26" t="str">
        <x:f>IF(E85=F85,"PASS","FAIL")</x:f>
        <x:v>PASS</x:v>
      </x:c>
    </x:row>
    <x:row r="86">
      <x:c r="B86" s="24" t="str">
        <x:v>A080</x:v>
      </x:c>
      <x:c r="C86" s="24" t="str">
        <x:v>article preservation</x:v>
      </x:c>
      <x:c r="D86" s="24" t="str">
        <x:v>family-lineage 4 allocation passes</x:v>
      </x:c>
      <x:c r="E86" s="24" t="n">
        <x:f>IF('Article Fleet'!N10="PASS",1,0)</x:f>
        <x:v>1</x:v>
      </x:c>
      <x:c r="F86" s="24" t="n">
        <x:v>1</x:v>
      </x:c>
      <x:c r="G86" s="26" t="str">
        <x:f>IF(E86=F86,"PASS","FAIL")</x:f>
        <x:v>PASS</x:v>
      </x:c>
    </x:row>
    <x:row r="87">
      <x:c r="B87" s="24" t="str">
        <x:v>A081</x:v>
      </x:c>
      <x:c r="C87" s="24" t="str">
        <x:v>article allocation</x:v>
      </x:c>
      <x:c r="D87" s="24" t="str">
        <x:v>family-lineage 5 sub-banks sum to 24</x:v>
      </x:c>
      <x:c r="E87" s="24" t="n">
        <x:f>SUM('Article Fleet'!F11:K11)</x:f>
        <x:v>24</x:v>
      </x:c>
      <x:c r="F87" s="24" t="n">
        <x:v>24</x:v>
      </x:c>
      <x:c r="G87" s="26" t="str">
        <x:f>IF(E87=F87,"PASS","FAIL")</x:f>
        <x:v>PASS</x:v>
      </x:c>
    </x:row>
    <x:row r="88">
      <x:c r="B88" s="24" t="str">
        <x:v>A082</x:v>
      </x:c>
      <x:c r="C88" s="24" t="str">
        <x:v>article preservation</x:v>
      </x:c>
      <x:c r="D88" s="24" t="str">
        <x:v>family-lineage 5 allocation passes</x:v>
      </x:c>
      <x:c r="E88" s="24" t="n">
        <x:f>IF('Article Fleet'!N11="PASS",1,0)</x:f>
        <x:v>1</x:v>
      </x:c>
      <x:c r="F88" s="24" t="n">
        <x:v>1</x:v>
      </x:c>
      <x:c r="G88" s="26" t="str">
        <x:f>IF(E88=F88,"PASS","FAIL")</x:f>
        <x:v>PASS</x:v>
      </x:c>
    </x:row>
    <x:row r="89">
      <x:c r="B89" s="24" t="str">
        <x:v>A083</x:v>
      </x:c>
      <x:c r="C89" s="24" t="str">
        <x:v>article allocation</x:v>
      </x:c>
      <x:c r="D89" s="24" t="str">
        <x:v>family-lineage 6 sub-banks sum to 24</x:v>
      </x:c>
      <x:c r="E89" s="24" t="n">
        <x:f>SUM('Article Fleet'!F12:K12)</x:f>
        <x:v>24</x:v>
      </x:c>
      <x:c r="F89" s="24" t="n">
        <x:v>24</x:v>
      </x:c>
      <x:c r="G89" s="26" t="str">
        <x:f>IF(E89=F89,"PASS","FAIL")</x:f>
        <x:v>PASS</x:v>
      </x:c>
    </x:row>
    <x:row r="90">
      <x:c r="B90" s="24" t="str">
        <x:v>A084</x:v>
      </x:c>
      <x:c r="C90" s="24" t="str">
        <x:v>article preservation</x:v>
      </x:c>
      <x:c r="D90" s="24" t="str">
        <x:v>family-lineage 6 allocation passes</x:v>
      </x:c>
      <x:c r="E90" s="24" t="n">
        <x:f>IF('Article Fleet'!N12="PASS",1,0)</x:f>
        <x:v>1</x:v>
      </x:c>
      <x:c r="F90" s="24" t="n">
        <x:v>1</x:v>
      </x:c>
      <x:c r="G90" s="26" t="str">
        <x:f>IF(E90=F90,"PASS","FAIL")</x:f>
        <x:v>PASS</x:v>
      </x:c>
    </x:row>
    <x:row r="91">
      <x:c r="B91" s="24" t="str">
        <x:v>A085</x:v>
      </x:c>
      <x:c r="C91" s="24" t="str">
        <x:v>article allocation</x:v>
      </x:c>
      <x:c r="D91" s="24" t="str">
        <x:v>family-lineage 7 sub-banks sum to 24</x:v>
      </x:c>
      <x:c r="E91" s="24" t="n">
        <x:f>SUM('Article Fleet'!F13:K13)</x:f>
        <x:v>24</x:v>
      </x:c>
      <x:c r="F91" s="24" t="n">
        <x:v>24</x:v>
      </x:c>
      <x:c r="G91" s="26" t="str">
        <x:f>IF(E91=F91,"PASS","FAIL")</x:f>
        <x:v>PASS</x:v>
      </x:c>
    </x:row>
    <x:row r="92">
      <x:c r="B92" s="24" t="str">
        <x:v>A086</x:v>
      </x:c>
      <x:c r="C92" s="24" t="str">
        <x:v>article preservation</x:v>
      </x:c>
      <x:c r="D92" s="24" t="str">
        <x:v>family-lineage 7 allocation passes</x:v>
      </x:c>
      <x:c r="E92" s="24" t="n">
        <x:f>IF('Article Fleet'!N13="PASS",1,0)</x:f>
        <x:v>1</x:v>
      </x:c>
      <x:c r="F92" s="24" t="n">
        <x:v>1</x:v>
      </x:c>
      <x:c r="G92" s="26" t="str">
        <x:f>IF(E92=F92,"PASS","FAIL")</x:f>
        <x:v>PASS</x:v>
      </x:c>
    </x:row>
    <x:row r="93">
      <x:c r="B93" s="24" t="str">
        <x:v>A087</x:v>
      </x:c>
      <x:c r="C93" s="24" t="str">
        <x:v>article allocation</x:v>
      </x:c>
      <x:c r="D93" s="24" t="str">
        <x:v>family-lineage 8 sub-banks sum to 24</x:v>
      </x:c>
      <x:c r="E93" s="24" t="n">
        <x:f>SUM('Article Fleet'!F14:K14)</x:f>
        <x:v>24</x:v>
      </x:c>
      <x:c r="F93" s="24" t="n">
        <x:v>24</x:v>
      </x:c>
      <x:c r="G93" s="26" t="str">
        <x:f>IF(E93=F93,"PASS","FAIL")</x:f>
        <x:v>PASS</x:v>
      </x:c>
    </x:row>
    <x:row r="94">
      <x:c r="B94" s="24" t="str">
        <x:v>A088</x:v>
      </x:c>
      <x:c r="C94" s="24" t="str">
        <x:v>article preservation</x:v>
      </x:c>
      <x:c r="D94" s="24" t="str">
        <x:v>family-lineage 8 allocation passes</x:v>
      </x:c>
      <x:c r="E94" s="24" t="n">
        <x:f>IF('Article Fleet'!N14="PASS",1,0)</x:f>
        <x:v>1</x:v>
      </x:c>
      <x:c r="F94" s="24" t="n">
        <x:v>1</x:v>
      </x:c>
      <x:c r="G94" s="26" t="str">
        <x:f>IF(E94=F94,"PASS","FAIL")</x:f>
        <x:v>PASS</x:v>
      </x:c>
    </x:row>
    <x:row r="95">
      <x:c r="B95" s="24" t="str">
        <x:v>A089</x:v>
      </x:c>
      <x:c r="C95" s="24" t="str">
        <x:v>article allocation</x:v>
      </x:c>
      <x:c r="D95" s="24" t="str">
        <x:v>family-lineage 9 sub-banks sum to 24</x:v>
      </x:c>
      <x:c r="E95" s="24" t="n">
        <x:f>SUM('Article Fleet'!F15:K15)</x:f>
        <x:v>24</x:v>
      </x:c>
      <x:c r="F95" s="24" t="n">
        <x:v>24</x:v>
      </x:c>
      <x:c r="G95" s="26" t="str">
        <x:f>IF(E95=F95,"PASS","FAIL")</x:f>
        <x:v>PASS</x:v>
      </x:c>
    </x:row>
    <x:row r="96">
      <x:c r="B96" s="24" t="str">
        <x:v>A090</x:v>
      </x:c>
      <x:c r="C96" s="24" t="str">
        <x:v>article preservation</x:v>
      </x:c>
      <x:c r="D96" s="24" t="str">
        <x:v>family-lineage 9 allocation passes</x:v>
      </x:c>
      <x:c r="E96" s="24" t="n">
        <x:f>IF('Article Fleet'!N15="PASS",1,0)</x:f>
        <x:v>1</x:v>
      </x:c>
      <x:c r="F96" s="24" t="n">
        <x:v>1</x:v>
      </x:c>
      <x:c r="G96" s="26" t="str">
        <x:f>IF(E96=F96,"PASS","FAIL")</x:f>
        <x:v>PASS</x:v>
      </x:c>
    </x:row>
    <x:row r="97">
      <x:c r="B97" s="24" t="str">
        <x:v>A091</x:v>
      </x:c>
      <x:c r="C97" s="24" t="str">
        <x:v>article allocation</x:v>
      </x:c>
      <x:c r="D97" s="24" t="str">
        <x:v>family-lineage 10 sub-banks sum to 24</x:v>
      </x:c>
      <x:c r="E97" s="24" t="n">
        <x:f>SUM('Article Fleet'!F16:K16)</x:f>
        <x:v>24</x:v>
      </x:c>
      <x:c r="F97" s="24" t="n">
        <x:v>24</x:v>
      </x:c>
      <x:c r="G97" s="26" t="str">
        <x:f>IF(E97=F97,"PASS","FAIL")</x:f>
        <x:v>PASS</x:v>
      </x:c>
    </x:row>
    <x:row r="98">
      <x:c r="B98" s="24" t="str">
        <x:v>A092</x:v>
      </x:c>
      <x:c r="C98" s="24" t="str">
        <x:v>article preservation</x:v>
      </x:c>
      <x:c r="D98" s="24" t="str">
        <x:v>family-lineage 10 allocation passes</x:v>
      </x:c>
      <x:c r="E98" s="24" t="n">
        <x:f>IF('Article Fleet'!N16="PASS",1,0)</x:f>
        <x:v>1</x:v>
      </x:c>
      <x:c r="F98" s="24" t="n">
        <x:v>1</x:v>
      </x:c>
      <x:c r="G98" s="26" t="str">
        <x:f>IF(E98=F98,"PASS","FAIL")</x:f>
        <x:v>PASS</x:v>
      </x:c>
    </x:row>
    <x:row r="99">
      <x:c r="B99" s="24" t="str">
        <x:v>A093</x:v>
      </x:c>
      <x:c r="C99" s="24" t="str">
        <x:v>portfolio</x:v>
      </x:c>
      <x:c r="D99" s="24" t="str">
        <x:v>allocation equals inherited portfolio</x:v>
      </x:c>
      <x:c r="E99" s="24" t="n">
        <x:f>'Program Cost'!C18</x:f>
        <x:v>1050</x:v>
      </x:c>
      <x:c r="F99" s="24" t="n">
        <x:v>1050</x:v>
      </x:c>
      <x:c r="G99" s="26" t="str">
        <x:f>IF(E99=F99,"PASS","FAIL")</x:f>
        <x:v>PASS</x:v>
      </x:c>
    </x:row>
    <x:row r="100">
      <x:c r="B100" s="24" t="str">
        <x:v>A094</x:v>
      </x:c>
      <x:c r="C100" s="24" t="str">
        <x:v>article fleet</x:v>
      </x:c>
      <x:c r="D100" s="24" t="str">
        <x:v>development tiles</x:v>
      </x:c>
      <x:c r="E100" s="24" t="n">
        <x:f>'Article Fleet'!C25</x:f>
        <x:v>480</x:v>
      </x:c>
      <x:c r="F100" s="24" t="n">
        <x:v>480</x:v>
      </x:c>
      <x:c r="G100" s="26" t="str">
        <x:f>IF(E100=F100,"PASS","FAIL")</x:f>
        <x:v>PASS</x:v>
      </x:c>
    </x:row>
    <x:row r="101">
      <x:c r="B101" s="24" t="str">
        <x:v>A095</x:v>
      </x:c>
      <x:c r="C101" s="24" t="str">
        <x:v>article fleet</x:v>
      </x:c>
      <x:c r="D101" s="24" t="str">
        <x:v>total tile inventory</x:v>
      </x:c>
      <x:c r="E101" s="24" t="n">
        <x:f>'Article Fleet'!C26</x:f>
        <x:v>6156</x:v>
      </x:c>
      <x:c r="F101" s="24" t="n">
        <x:v>6156</x:v>
      </x:c>
      <x:c r="G101" s="26" t="str">
        <x:f>IF(E101=F101,"PASS","FAIL")</x:f>
        <x:v>PASS</x:v>
      </x:c>
    </x:row>
    <x:row r="102">
      <x:c r="B102" s="24" t="str">
        <x:v>A096</x:v>
      </x:c>
      <x:c r="C102" s="24" t="str">
        <x:v>mission design</x:v>
      </x:c>
      <x:c r="D102" s="24" t="str">
        <x:v>mission count</x:v>
      </x:c>
      <x:c r="E102" s="24" t="n">
        <x:f>SUM('Mission Matrix'!G7:G74)</x:f>
        <x:v>200</x:v>
      </x:c>
      <x:c r="F102" s="24" t="n">
        <x:v>200</x:v>
      </x:c>
      <x:c r="G102" s="26" t="str">
        <x:f>IF(E102=F102,"PASS","FAIL")</x:f>
        <x:v>PASS</x:v>
      </x:c>
    </x:row>
    <x:row r="103">
      <x:c r="B103" s="24" t="str">
        <x:v>A097</x:v>
      </x:c>
      <x:c r="C103" s="24" t="str">
        <x:v>workforce</x:v>
      </x:c>
      <x:c r="D103" s="24" t="str">
        <x:v>direct workforce</x:v>
      </x:c>
      <x:c r="E103" s="24" t="n">
        <x:f>'Workforce'!C19</x:f>
        <x:v>24000</x:v>
      </x:c>
      <x:c r="F103" s="24" t="n">
        <x:v>24000</x:v>
      </x:c>
      <x:c r="G103" s="26" t="str">
        <x:f>IF(E103=F103,"PASS","FAIL")</x:f>
        <x:v>PASS</x:v>
      </x:c>
    </x:row>
    <x:row r="104">
      <x:c r="B104" s="24" t="str">
        <x:v>A098</x:v>
      </x:c>
      <x:c r="C104" s="24" t="str">
        <x:v>workforce</x:v>
      </x:c>
      <x:c r="D104" s="24" t="str">
        <x:v>affiliated workforce</x:v>
      </x:c>
      <x:c r="E104" s="24" t="n">
        <x:f>'Workforce'!C20</x:f>
        <x:v>60000</x:v>
      </x:c>
      <x:c r="F104" s="24" t="n">
        <x:v>60000</x:v>
      </x:c>
      <x:c r="G104" s="26" t="str">
        <x:f>IF(E104=F104,"PASS","FAIL")</x:f>
        <x:v>PASS</x:v>
      </x:c>
    </x:row>
    <x:row r="105">
      <x:c r="B105" s="24" t="str">
        <x:v>A099</x:v>
      </x:c>
      <x:c r="C105" s="24" t="str">
        <x:v>workforce</x:v>
      </x:c>
      <x:c r="D105" s="24" t="str">
        <x:v>minimum watch</x:v>
      </x:c>
      <x:c r="E105" s="24" t="n">
        <x:f>'Workforce'!C21</x:f>
        <x:v>5800</x:v>
      </x:c>
      <x:c r="F105" s="24" t="n">
        <x:v>5800</x:v>
      </x:c>
      <x:c r="G105" s="26" t="str">
        <x:f>IF(E105=F105,"PASS","FAIL")</x:f>
        <x:v>PASS</x:v>
      </x:c>
    </x:row>
    <x:row r="106">
      <x:c r="B106" s="24" t="str">
        <x:v>A100</x:v>
      </x:c>
      <x:c r="C106" s="24" t="str">
        <x:v>governance</x:v>
      </x:c>
      <x:c r="D106" s="24" t="str">
        <x:v>rendering remains blocked</x:v>
      </x:c>
      <x:c r="E106" s="24" t="n">
        <x:f>Assumptions!C64</x:f>
        <x:v>0</x:v>
      </x:c>
      <x:c r="F106" s="24" t="n">
        <x:v>0</x:v>
      </x:c>
      <x:c r="G106" s="26" t="str">
        <x:f>IF(E106=F106,"PASS","FAIL")</x:f>
        <x:v>PASS</x:v>
      </x:c>
    </x:row>
    <x:row r="107">
      <x:c r="B107" s="24" t="str">
        <x:v>A101</x:v>
      </x:c>
      <x:c r="C107" s="24" t="str">
        <x:v>evidence state</x:v>
      </x:c>
      <x:c r="D107" s="24" t="str">
        <x:v>gate 1 is OPEN</x:v>
      </x:c>
      <x:c r="E107" s="24" t="n">
        <x:f>IF('Gate Assignment'!N7="OPEN",1,0)</x:f>
        <x:v>1</x:v>
      </x:c>
      <x:c r="F107" s="24" t="n">
        <x:v>1</x:v>
      </x:c>
      <x:c r="G107" s="26" t="str">
        <x:f>IF(E107=F107,"PASS","FAIL")</x:f>
        <x:v>PASS</x:v>
      </x:c>
    </x:row>
    <x:row r="108">
      <x:c r="B108" s="24" t="str">
        <x:v>A102</x:v>
      </x:c>
      <x:c r="C108" s="24" t="str">
        <x:v>evidence state</x:v>
      </x:c>
      <x:c r="D108" s="24" t="str">
        <x:v>gate 2 is OPEN</x:v>
      </x:c>
      <x:c r="E108" s="24" t="n">
        <x:f>IF('Gate Assignment'!N8="OPEN",1,0)</x:f>
        <x:v>1</x:v>
      </x:c>
      <x:c r="F108" s="24" t="n">
        <x:v>1</x:v>
      </x:c>
      <x:c r="G108" s="26" t="str">
        <x:f>IF(E108=F108,"PASS","FAIL")</x:f>
        <x:v>PASS</x:v>
      </x:c>
    </x:row>
    <x:row r="109">
      <x:c r="B109" s="24" t="str">
        <x:v>A103</x:v>
      </x:c>
      <x:c r="C109" s="24" t="str">
        <x:v>evidence state</x:v>
      </x:c>
      <x:c r="D109" s="24" t="str">
        <x:v>gate 3 is OPEN</x:v>
      </x:c>
      <x:c r="E109" s="24" t="n">
        <x:f>IF('Gate Assignment'!N9="OPEN",1,0)</x:f>
        <x:v>1</x:v>
      </x:c>
      <x:c r="F109" s="24" t="n">
        <x:v>1</x:v>
      </x:c>
      <x:c r="G109" s="26" t="str">
        <x:f>IF(E109=F109,"PASS","FAIL")</x:f>
        <x:v>PASS</x:v>
      </x:c>
    </x:row>
    <x:row r="110">
      <x:c r="B110" s="24" t="str">
        <x:v>A104</x:v>
      </x:c>
      <x:c r="C110" s="24" t="str">
        <x:v>evidence state</x:v>
      </x:c>
      <x:c r="D110" s="24" t="str">
        <x:v>gate 4 is OPEN</x:v>
      </x:c>
      <x:c r="E110" s="24" t="n">
        <x:f>IF('Gate Assignment'!N10="OPEN",1,0)</x:f>
        <x:v>1</x:v>
      </x:c>
      <x:c r="F110" s="24" t="n">
        <x:v>1</x:v>
      </x:c>
      <x:c r="G110" s="26" t="str">
        <x:f>IF(E110=F110,"PASS","FAIL")</x:f>
        <x:v>PASS</x:v>
      </x:c>
    </x:row>
    <x:row r="111">
      <x:c r="B111" s="24" t="str">
        <x:v>A105</x:v>
      </x:c>
      <x:c r="C111" s="24" t="str">
        <x:v>evidence state</x:v>
      </x:c>
      <x:c r="D111" s="24" t="str">
        <x:v>gate 5 is OPEN</x:v>
      </x:c>
      <x:c r="E111" s="24" t="n">
        <x:f>IF('Gate Assignment'!N11="OPEN",1,0)</x:f>
        <x:v>1</x:v>
      </x:c>
      <x:c r="F111" s="24" t="n">
        <x:v>1</x:v>
      </x:c>
      <x:c r="G111" s="26" t="str">
        <x:f>IF(E111=F111,"PASS","FAIL")</x:f>
        <x:v>PASS</x:v>
      </x:c>
    </x:row>
    <x:row r="112">
      <x:c r="B112" s="24" t="str">
        <x:v>A106</x:v>
      </x:c>
      <x:c r="C112" s="24" t="str">
        <x:v>evidence state</x:v>
      </x:c>
      <x:c r="D112" s="24" t="str">
        <x:v>gate 6 is OPEN</x:v>
      </x:c>
      <x:c r="E112" s="24" t="n">
        <x:f>IF('Gate Assignment'!N12="OPEN",1,0)</x:f>
        <x:v>1</x:v>
      </x:c>
      <x:c r="F112" s="24" t="n">
        <x:v>1</x:v>
      </x:c>
      <x:c r="G112" s="26" t="str">
        <x:f>IF(E112=F112,"PASS","FAIL")</x:f>
        <x:v>PASS</x:v>
      </x:c>
    </x:row>
    <x:row r="113">
      <x:c r="B113" s="24" t="str">
        <x:v>A107</x:v>
      </x:c>
      <x:c r="C113" s="24" t="str">
        <x:v>evidence state</x:v>
      </x:c>
      <x:c r="D113" s="24" t="str">
        <x:v>gate 7 is OPEN</x:v>
      </x:c>
      <x:c r="E113" s="24" t="n">
        <x:f>IF('Gate Assignment'!N13="OPEN",1,0)</x:f>
        <x:v>1</x:v>
      </x:c>
      <x:c r="F113" s="24" t="n">
        <x:v>1</x:v>
      </x:c>
      <x:c r="G113" s="26" t="str">
        <x:f>IF(E113=F113,"PASS","FAIL")</x:f>
        <x:v>PASS</x:v>
      </x:c>
    </x:row>
    <x:row r="114">
      <x:c r="B114" s="24" t="str">
        <x:v>A108</x:v>
      </x:c>
      <x:c r="C114" s="24" t="str">
        <x:v>evidence state</x:v>
      </x:c>
      <x:c r="D114" s="24" t="str">
        <x:v>gate 8 is OPEN</x:v>
      </x:c>
      <x:c r="E114" s="24" t="n">
        <x:f>IF('Gate Assignment'!N14="OPEN",1,0)</x:f>
        <x:v>1</x:v>
      </x:c>
      <x:c r="F114" s="24" t="n">
        <x:v>1</x:v>
      </x:c>
      <x:c r="G114" s="26" t="str">
        <x:f>IF(E114=F114,"PASS","FAIL")</x:f>
        <x:v>PASS</x:v>
      </x:c>
    </x:row>
    <x:row r="115">
      <x:c r="B115" s="24" t="str">
        <x:v>A109</x:v>
      </x:c>
      <x:c r="C115" s="24" t="str">
        <x:v>evidence state</x:v>
      </x:c>
      <x:c r="D115" s="24" t="str">
        <x:v>gate 9 is OPEN</x:v>
      </x:c>
      <x:c r="E115" s="24" t="n">
        <x:f>IF('Gate Assignment'!N15="OPEN",1,0)</x:f>
        <x:v>1</x:v>
      </x:c>
      <x:c r="F115" s="24" t="n">
        <x:v>1</x:v>
      </x:c>
      <x:c r="G115" s="26" t="str">
        <x:f>IF(E115=F115,"PASS","FAIL")</x:f>
        <x:v>PASS</x:v>
      </x:c>
    </x:row>
    <x:row r="116">
      <x:c r="B116" s="24" t="str">
        <x:v>A110</x:v>
      </x:c>
      <x:c r="C116" s="24" t="str">
        <x:v>evidence state</x:v>
      </x:c>
      <x:c r="D116" s="24" t="str">
        <x:v>gate 10 is OPEN</x:v>
      </x:c>
      <x:c r="E116" s="24" t="n">
        <x:f>IF('Gate Assignment'!N16="OPEN",1,0)</x:f>
        <x:v>1</x:v>
      </x:c>
      <x:c r="F116" s="24" t="n">
        <x:v>1</x:v>
      </x:c>
      <x:c r="G116" s="26" t="str">
        <x:f>IF(E116=F116,"PASS","FAIL")</x:f>
        <x:v>PASS</x:v>
      </x:c>
    </x:row>
    <x:row r="117">
      <x:c r="B117" s="24" t="str">
        <x:v>A111</x:v>
      </x:c>
      <x:c r="C117" s="24" t="str">
        <x:v>evidence state</x:v>
      </x:c>
      <x:c r="D117" s="24" t="str">
        <x:v>gate 11 is OPEN</x:v>
      </x:c>
      <x:c r="E117" s="24" t="n">
        <x:f>IF('Gate Assignment'!N17="OPEN",1,0)</x:f>
        <x:v>1</x:v>
      </x:c>
      <x:c r="F117" s="24" t="n">
        <x:v>1</x:v>
      </x:c>
      <x:c r="G117" s="26" t="str">
        <x:f>IF(E117=F117,"PASS","FAIL")</x:f>
        <x:v>PASS</x:v>
      </x:c>
    </x:row>
    <x:row r="118">
      <x:c r="B118" s="24" t="str">
        <x:v>A112</x:v>
      </x:c>
      <x:c r="C118" s="24" t="str">
        <x:v>evidence state</x:v>
      </x:c>
      <x:c r="D118" s="24" t="str">
        <x:v>gate 12 is OPEN</x:v>
      </x:c>
      <x:c r="E118" s="24" t="n">
        <x:f>IF('Gate Assignment'!N18="OPEN",1,0)</x:f>
        <x:v>1</x:v>
      </x:c>
      <x:c r="F118" s="24" t="n">
        <x:v>1</x:v>
      </x:c>
      <x:c r="G118" s="26" t="str">
        <x:f>IF(E118=F118,"PASS","FAIL")</x:f>
        <x:v>PASS</x:v>
      </x:c>
    </x:row>
    <x:row r="119">
      <x:c r="B119" s="24" t="str">
        <x:v>A113</x:v>
      </x:c>
      <x:c r="C119" s="24" t="str">
        <x:v>evidence state</x:v>
      </x:c>
      <x:c r="D119" s="24" t="str">
        <x:v>gate 13 is OPEN</x:v>
      </x:c>
      <x:c r="E119" s="24" t="n">
        <x:f>IF('Gate Assignment'!N19="OPEN",1,0)</x:f>
        <x:v>1</x:v>
      </x:c>
      <x:c r="F119" s="24" t="n">
        <x:v>1</x:v>
      </x:c>
      <x:c r="G119" s="26" t="str">
        <x:f>IF(E119=F119,"PASS","FAIL")</x:f>
        <x:v>PASS</x:v>
      </x:c>
    </x:row>
    <x:row r="120">
      <x:c r="B120" s="24" t="str">
        <x:v>A114</x:v>
      </x:c>
      <x:c r="C120" s="24" t="str">
        <x:v>evidence state</x:v>
      </x:c>
      <x:c r="D120" s="24" t="str">
        <x:v>gate 14 is OPEN</x:v>
      </x:c>
      <x:c r="E120" s="24" t="n">
        <x:f>IF('Gate Assignment'!N20="OPEN",1,0)</x:f>
        <x:v>1</x:v>
      </x:c>
      <x:c r="F120" s="24" t="n">
        <x:v>1</x:v>
      </x:c>
      <x:c r="G120" s="26" t="str">
        <x:f>IF(E120=F120,"PASS","FAIL")</x:f>
        <x:v>PASS</x:v>
      </x:c>
    </x:row>
    <x:row r="121">
      <x:c r="B121" s="24" t="str">
        <x:v>A115</x:v>
      </x:c>
      <x:c r="C121" s="24" t="str">
        <x:v>evidence state</x:v>
      </x:c>
      <x:c r="D121" s="24" t="str">
        <x:v>gate 15 is OPEN</x:v>
      </x:c>
      <x:c r="E121" s="24" t="n">
        <x:f>IF('Gate Assignment'!N21="OPEN",1,0)</x:f>
        <x:v>1</x:v>
      </x:c>
      <x:c r="F121" s="24" t="n">
        <x:v>1</x:v>
      </x:c>
      <x:c r="G121" s="26" t="str">
        <x:f>IF(E121=F121,"PASS","FAIL")</x:f>
        <x:v>PASS</x:v>
      </x:c>
    </x:row>
    <x:row r="122">
      <x:c r="B122" s="24" t="str">
        <x:v>A116</x:v>
      </x:c>
      <x:c r="C122" s="24" t="str">
        <x:v>evidence state</x:v>
      </x:c>
      <x:c r="D122" s="24" t="str">
        <x:v>gate 16 is OPEN</x:v>
      </x:c>
      <x:c r="E122" s="24" t="n">
        <x:f>IF('Gate Assignment'!N22="OPEN",1,0)</x:f>
        <x:v>1</x:v>
      </x:c>
      <x:c r="F122" s="24" t="n">
        <x:v>1</x:v>
      </x:c>
      <x:c r="G122" s="26" t="str">
        <x:f>IF(E122=F122,"PASS","FAIL")</x:f>
        <x:v>PASS</x:v>
      </x:c>
    </x:row>
    <x:row r="123">
      <x:c r="B123" s="24" t="str">
        <x:v>A117</x:v>
      </x:c>
      <x:c r="C123" s="24" t="str">
        <x:v>evidence state</x:v>
      </x:c>
      <x:c r="D123" s="24" t="str">
        <x:v>gate 17 is OPEN</x:v>
      </x:c>
      <x:c r="E123" s="24" t="n">
        <x:f>IF('Gate Assignment'!N23="OPEN",1,0)</x:f>
        <x:v>1</x:v>
      </x:c>
      <x:c r="F123" s="24" t="n">
        <x:v>1</x:v>
      </x:c>
      <x:c r="G123" s="26" t="str">
        <x:f>IF(E123=F123,"PASS","FAIL")</x:f>
        <x:v>PASS</x:v>
      </x:c>
    </x:row>
    <x:row r="124">
      <x:c r="B124" s="24" t="str">
        <x:v>A118</x:v>
      </x:c>
      <x:c r="C124" s="24" t="str">
        <x:v>evidence state</x:v>
      </x:c>
      <x:c r="D124" s="24" t="str">
        <x:v>gate 18 is OPEN</x:v>
      </x:c>
      <x:c r="E124" s="24" t="n">
        <x:f>IF('Gate Assignment'!N24="OPEN",1,0)</x:f>
        <x:v>1</x:v>
      </x:c>
      <x:c r="F124" s="24" t="n">
        <x:v>1</x:v>
      </x:c>
      <x:c r="G124" s="26" t="str">
        <x:f>IF(E124=F124,"PASS","FAIL")</x:f>
        <x:v>PASS</x:v>
      </x:c>
    </x:row>
    <x:row r="125">
      <x:c r="B125" s="24" t="str">
        <x:v>A119</x:v>
      </x:c>
      <x:c r="C125" s="24" t="str">
        <x:v>evidence state</x:v>
      </x:c>
      <x:c r="D125" s="24" t="str">
        <x:v>gate 19 is OPEN</x:v>
      </x:c>
      <x:c r="E125" s="24" t="n">
        <x:f>IF('Gate Assignment'!N25="OPEN",1,0)</x:f>
        <x:v>1</x:v>
      </x:c>
      <x:c r="F125" s="24" t="n">
        <x:v>1</x:v>
      </x:c>
      <x:c r="G125" s="26" t="str">
        <x:f>IF(E125=F125,"PASS","FAIL")</x:f>
        <x:v>PASS</x:v>
      </x:c>
    </x:row>
    <x:row r="126">
      <x:c r="B126" s="24" t="str">
        <x:v>A120</x:v>
      </x:c>
      <x:c r="C126" s="24" t="str">
        <x:v>evidence state</x:v>
      </x:c>
      <x:c r="D126" s="24" t="str">
        <x:v>gate 20 is OPEN</x:v>
      </x:c>
      <x:c r="E126" s="24" t="n">
        <x:f>IF('Gate Assignment'!N26="OPEN",1,0)</x:f>
        <x:v>1</x:v>
      </x:c>
      <x:c r="F126" s="24" t="n">
        <x:v>1</x:v>
      </x:c>
      <x:c r="G126" s="26" t="str">
        <x:f>IF(E126=F126,"PASS","FAIL")</x:f>
        <x:v>PASS</x:v>
      </x:c>
    </x:row>
    <x:row r="127">
      <x:c r="B127" s="24" t="str">
        <x:v>A121</x:v>
      </x:c>
      <x:c r="C127" s="24" t="str">
        <x:v>evidence state</x:v>
      </x:c>
      <x:c r="D127" s="24" t="str">
        <x:v>gate 21 is OPEN</x:v>
      </x:c>
      <x:c r="E127" s="24" t="n">
        <x:f>IF('Gate Assignment'!N27="OPEN",1,0)</x:f>
        <x:v>1</x:v>
      </x:c>
      <x:c r="F127" s="24" t="n">
        <x:v>1</x:v>
      </x:c>
      <x:c r="G127" s="26" t="str">
        <x:f>IF(E127=F127,"PASS","FAIL")</x:f>
        <x:v>PASS</x:v>
      </x:c>
    </x:row>
    <x:row r="128">
      <x:c r="B128" s="24" t="str">
        <x:v>A122</x:v>
      </x:c>
      <x:c r="C128" s="24" t="str">
        <x:v>evidence state</x:v>
      </x:c>
      <x:c r="D128" s="24" t="str">
        <x:v>gate 22 is OPEN</x:v>
      </x:c>
      <x:c r="E128" s="24" t="n">
        <x:f>IF('Gate Assignment'!N28="OPEN",1,0)</x:f>
        <x:v>1</x:v>
      </x:c>
      <x:c r="F128" s="24" t="n">
        <x:v>1</x:v>
      </x:c>
      <x:c r="G128" s="26" t="str">
        <x:f>IF(E128=F128,"PASS","FAIL")</x:f>
        <x:v>PASS</x:v>
      </x:c>
    </x:row>
    <x:row r="129">
      <x:c r="B129" s="24" t="str">
        <x:v>A123</x:v>
      </x:c>
      <x:c r="C129" s="24" t="str">
        <x:v>evidence state</x:v>
      </x:c>
      <x:c r="D129" s="24" t="str">
        <x:v>gate 23 is OPEN</x:v>
      </x:c>
      <x:c r="E129" s="24" t="n">
        <x:f>IF('Gate Assignment'!N29="OPEN",1,0)</x:f>
        <x:v>1</x:v>
      </x:c>
      <x:c r="F129" s="24" t="n">
        <x:v>1</x:v>
      </x:c>
      <x:c r="G129" s="26" t="str">
        <x:f>IF(E129=F129,"PASS","FAIL")</x:f>
        <x:v>PASS</x:v>
      </x:c>
    </x:row>
    <x:row r="130">
      <x:c r="B130" s="24" t="str">
        <x:v>A124</x:v>
      </x:c>
      <x:c r="C130" s="24" t="str">
        <x:v>evidence state</x:v>
      </x:c>
      <x:c r="D130" s="24" t="str">
        <x:v>gate 24 is OPEN</x:v>
      </x:c>
      <x:c r="E130" s="24" t="n">
        <x:f>IF('Gate Assignment'!N30="OPEN",1,0)</x:f>
        <x:v>1</x:v>
      </x:c>
      <x:c r="F130" s="24" t="n">
        <x:v>1</x:v>
      </x:c>
      <x:c r="G130" s="26" t="str">
        <x:f>IF(E130=F130,"PASS","FAIL")</x:f>
        <x:v>PASS</x:v>
      </x:c>
    </x:row>
    <x:row r="131">
      <x:c r="B131" s="24" t="str">
        <x:v>A125</x:v>
      </x:c>
      <x:c r="C131" s="24" t="str">
        <x:v>evidence state</x:v>
      </x:c>
      <x:c r="D131" s="24" t="str">
        <x:v>gate 25 is OPEN</x:v>
      </x:c>
      <x:c r="E131" s="24" t="n">
        <x:f>IF('Gate Assignment'!N31="OPEN",1,0)</x:f>
        <x:v>1</x:v>
      </x:c>
      <x:c r="F131" s="24" t="n">
        <x:v>1</x:v>
      </x:c>
      <x:c r="G131" s="26" t="str">
        <x:f>IF(E131=F131,"PASS","FAIL")</x:f>
        <x:v>PASS</x:v>
      </x:c>
    </x:row>
    <x:row r="132">
      <x:c r="B132" s="24" t="str">
        <x:v>A126</x:v>
      </x:c>
      <x:c r="C132" s="24" t="str">
        <x:v>evidence state</x:v>
      </x:c>
      <x:c r="D132" s="24" t="str">
        <x:v>gate 26 is OPEN</x:v>
      </x:c>
      <x:c r="E132" s="24" t="n">
        <x:f>IF('Gate Assignment'!N32="OPEN",1,0)</x:f>
        <x:v>1</x:v>
      </x:c>
      <x:c r="F132" s="24" t="n">
        <x:v>1</x:v>
      </x:c>
      <x:c r="G132" s="26" t="str">
        <x:f>IF(E132=F132,"PASS","FAIL")</x:f>
        <x:v>PASS</x:v>
      </x:c>
    </x:row>
    <x:row r="133">
      <x:c r="B133" s="24" t="str">
        <x:v>A127</x:v>
      </x:c>
      <x:c r="C133" s="24" t="str">
        <x:v>evidence state</x:v>
      </x:c>
      <x:c r="D133" s="24" t="str">
        <x:v>gate 27 is OPEN</x:v>
      </x:c>
      <x:c r="E133" s="24" t="n">
        <x:f>IF('Gate Assignment'!N33="OPEN",1,0)</x:f>
        <x:v>1</x:v>
      </x:c>
      <x:c r="F133" s="24" t="n">
        <x:v>1</x:v>
      </x:c>
      <x:c r="G133" s="26" t="str">
        <x:f>IF(E133=F133,"PASS","FAIL")</x:f>
        <x:v>PASS</x:v>
      </x:c>
    </x:row>
    <x:row r="134">
      <x:c r="B134" s="24" t="str">
        <x:v>A128</x:v>
      </x:c>
      <x:c r="C134" s="24" t="str">
        <x:v>evidence state</x:v>
      </x:c>
      <x:c r="D134" s="24" t="str">
        <x:v>gate 28 is OPEN</x:v>
      </x:c>
      <x:c r="E134" s="24" t="n">
        <x:f>IF('Gate Assignment'!N34="OPEN",1,0)</x:f>
        <x:v>1</x:v>
      </x:c>
      <x:c r="F134" s="24" t="n">
        <x:v>1</x:v>
      </x:c>
      <x:c r="G134" s="26" t="str">
        <x:f>IF(E134=F134,"PASS","FAIL")</x:f>
        <x:v>PASS</x:v>
      </x:c>
    </x:row>
    <x:row r="135">
      <x:c r="B135" s="24" t="str">
        <x:v>A129</x:v>
      </x:c>
      <x:c r="C135" s="24" t="str">
        <x:v>evidence state</x:v>
      </x:c>
      <x:c r="D135" s="24" t="str">
        <x:v>gate 29 is OPEN</x:v>
      </x:c>
      <x:c r="E135" s="24" t="n">
        <x:f>IF('Gate Assignment'!N35="OPEN",1,0)</x:f>
        <x:v>1</x:v>
      </x:c>
      <x:c r="F135" s="24" t="n">
        <x:v>1</x:v>
      </x:c>
      <x:c r="G135" s="26" t="str">
        <x:f>IF(E135=F135,"PASS","FAIL")</x:f>
        <x:v>PASS</x:v>
      </x:c>
    </x:row>
    <x:row r="136">
      <x:c r="B136" s="24" t="str">
        <x:v>A130</x:v>
      </x:c>
      <x:c r="C136" s="24" t="str">
        <x:v>evidence state</x:v>
      </x:c>
      <x:c r="D136" s="24" t="str">
        <x:v>gate 30 is OPEN</x:v>
      </x:c>
      <x:c r="E136" s="24" t="n">
        <x:f>IF('Gate Assignment'!N36="OPEN",1,0)</x:f>
        <x:v>1</x:v>
      </x:c>
      <x:c r="F136" s="24" t="n">
        <x:v>1</x:v>
      </x:c>
      <x:c r="G136" s="26" t="str">
        <x:f>IF(E136=F136,"PASS","FAIL")</x:f>
        <x:v>PASS</x:v>
      </x:c>
    </x:row>
    <x:row r="137">
      <x:c r="B137" s="24" t="str">
        <x:v>A131</x:v>
      </x:c>
      <x:c r="C137" s="24" t="str">
        <x:v>evidence state</x:v>
      </x:c>
      <x:c r="D137" s="24" t="str">
        <x:v>gate 31 is OPEN</x:v>
      </x:c>
      <x:c r="E137" s="24" t="n">
        <x:f>IF('Gate Assignment'!N37="OPEN",1,0)</x:f>
        <x:v>1</x:v>
      </x:c>
      <x:c r="F137" s="24" t="n">
        <x:v>1</x:v>
      </x:c>
      <x:c r="G137" s="26" t="str">
        <x:f>IF(E137=F137,"PASS","FAIL")</x:f>
        <x:v>PASS</x:v>
      </x:c>
    </x:row>
    <x:row r="138">
      <x:c r="B138" s="24" t="str">
        <x:v>A132</x:v>
      </x:c>
      <x:c r="C138" s="24" t="str">
        <x:v>evidence state</x:v>
      </x:c>
      <x:c r="D138" s="24" t="str">
        <x:v>gate 32 is OPEN</x:v>
      </x:c>
      <x:c r="E138" s="24" t="n">
        <x:f>IF('Gate Assignment'!N38="OPEN",1,0)</x:f>
        <x:v>1</x:v>
      </x:c>
      <x:c r="F138" s="24" t="n">
        <x:v>1</x:v>
      </x:c>
      <x:c r="G138" s="26" t="str">
        <x:f>IF(E138=F138,"PASS","FAIL")</x:f>
        <x:v>PASS</x:v>
      </x:c>
    </x:row>
    <x:row r="139">
      <x:c r="B139" s="24" t="str">
        <x:v>A133</x:v>
      </x:c>
      <x:c r="C139" s="24" t="str">
        <x:v>evidence state</x:v>
      </x:c>
      <x:c r="D139" s="24" t="str">
        <x:v>gate 33 is OPEN</x:v>
      </x:c>
      <x:c r="E139" s="24" t="n">
        <x:f>IF('Gate Assignment'!N39="OPEN",1,0)</x:f>
        <x:v>1</x:v>
      </x:c>
      <x:c r="F139" s="24" t="n">
        <x:v>1</x:v>
      </x:c>
      <x:c r="G139" s="26" t="str">
        <x:f>IF(E139=F139,"PASS","FAIL")</x:f>
        <x:v>PASS</x:v>
      </x:c>
    </x:row>
    <x:row r="140">
      <x:c r="B140" s="24" t="str">
        <x:v>A134</x:v>
      </x:c>
      <x:c r="C140" s="24" t="str">
        <x:v>evidence state</x:v>
      </x:c>
      <x:c r="D140" s="24" t="str">
        <x:v>gate 34 is OPEN</x:v>
      </x:c>
      <x:c r="E140" s="24" t="n">
        <x:f>IF('Gate Assignment'!N40="OPEN",1,0)</x:f>
        <x:v>1</x:v>
      </x:c>
      <x:c r="F140" s="24" t="n">
        <x:v>1</x:v>
      </x:c>
      <x:c r="G140" s="26" t="str">
        <x:f>IF(E140=F140,"PASS","FAIL")</x:f>
        <x:v>PASS</x:v>
      </x:c>
    </x:row>
    <x:row r="141">
      <x:c r="B141" s="24" t="str">
        <x:v>A135</x:v>
      </x:c>
      <x:c r="C141" s="24" t="str">
        <x:v>evidence state</x:v>
      </x:c>
      <x:c r="D141" s="24" t="str">
        <x:v>gate 35 is OPEN</x:v>
      </x:c>
      <x:c r="E141" s="24" t="n">
        <x:f>IF('Gate Assignment'!N41="OPEN",1,0)</x:f>
        <x:v>1</x:v>
      </x:c>
      <x:c r="F141" s="24" t="n">
        <x:v>1</x:v>
      </x:c>
      <x:c r="G141" s="26" t="str">
        <x:f>IF(E141=F141,"PASS","FAIL")</x:f>
        <x:v>PASS</x:v>
      </x:c>
    </x:row>
    <x:row r="142">
      <x:c r="B142" s="24" t="str">
        <x:v>A136</x:v>
      </x:c>
      <x:c r="C142" s="24" t="str">
        <x:v>evidence state</x:v>
      </x:c>
      <x:c r="D142" s="24" t="str">
        <x:v>gate 36 is OPEN</x:v>
      </x:c>
      <x:c r="E142" s="24" t="n">
        <x:f>IF('Gate Assignment'!N42="OPEN",1,0)</x:f>
        <x:v>1</x:v>
      </x:c>
      <x:c r="F142" s="24" t="n">
        <x:v>1</x:v>
      </x:c>
      <x:c r="G142" s="26" t="str">
        <x:f>IF(E142=F142,"PASS","FAIL")</x:f>
        <x:v>PASS</x:v>
      </x:c>
    </x:row>
    <x:row r="143">
      <x:c r="B143" s="24" t="str">
        <x:v>A137</x:v>
      </x:c>
      <x:c r="C143" s="24" t="str">
        <x:v>evidence state</x:v>
      </x:c>
      <x:c r="D143" s="24" t="str">
        <x:v>gate 37 is OPEN</x:v>
      </x:c>
      <x:c r="E143" s="24" t="n">
        <x:f>IF('Gate Assignment'!N43="OPEN",1,0)</x:f>
        <x:v>1</x:v>
      </x:c>
      <x:c r="F143" s="24" t="n">
        <x:v>1</x:v>
      </x:c>
      <x:c r="G143" s="26" t="str">
        <x:f>IF(E143=F143,"PASS","FAIL")</x:f>
        <x:v>PASS</x:v>
      </x:c>
    </x:row>
    <x:row r="144">
      <x:c r="B144" s="24" t="str">
        <x:v>A138</x:v>
      </x:c>
      <x:c r="C144" s="24" t="str">
        <x:v>evidence state</x:v>
      </x:c>
      <x:c r="D144" s="24" t="str">
        <x:v>gate 38 is OPEN</x:v>
      </x:c>
      <x:c r="E144" s="24" t="n">
        <x:f>IF('Gate Assignment'!N44="OPEN",1,0)</x:f>
        <x:v>1</x:v>
      </x:c>
      <x:c r="F144" s="24" t="n">
        <x:v>1</x:v>
      </x:c>
      <x:c r="G144" s="26" t="str">
        <x:f>IF(E144=F144,"PASS","FAIL")</x:f>
        <x:v>PASS</x:v>
      </x:c>
    </x:row>
    <x:row r="145">
      <x:c r="B145" s="24" t="str">
        <x:v>A139</x:v>
      </x:c>
      <x:c r="C145" s="24" t="str">
        <x:v>evidence state</x:v>
      </x:c>
      <x:c r="D145" s="24" t="str">
        <x:v>gate 39 is OPEN</x:v>
      </x:c>
      <x:c r="E145" s="24" t="n">
        <x:f>IF('Gate Assignment'!N45="OPEN",1,0)</x:f>
        <x:v>1</x:v>
      </x:c>
      <x:c r="F145" s="24" t="n">
        <x:v>1</x:v>
      </x:c>
      <x:c r="G145" s="26" t="str">
        <x:f>IF(E145=F145,"PASS","FAIL")</x:f>
        <x:v>PASS</x:v>
      </x:c>
    </x:row>
    <x:row r="146">
      <x:c r="B146" s="24" t="str">
        <x:v>A140</x:v>
      </x:c>
      <x:c r="C146" s="24" t="str">
        <x:v>evidence state</x:v>
      </x:c>
      <x:c r="D146" s="24" t="str">
        <x:v>gate 40 is OPEN</x:v>
      </x:c>
      <x:c r="E146" s="24" t="n">
        <x:f>IF('Gate Assignment'!N46="OPEN",1,0)</x:f>
        <x:v>1</x:v>
      </x:c>
      <x:c r="F146" s="24" t="n">
        <x:v>1</x:v>
      </x:c>
      <x:c r="G146" s="26" t="str">
        <x:f>IF(E146=F146,"PASS","FAIL")</x:f>
        <x:v>PASS</x:v>
      </x:c>
    </x:row>
    <x:row r="147">
      <x:c r="B147" s="24" t="str">
        <x:v>A141</x:v>
      </x:c>
      <x:c r="C147" s="24" t="str">
        <x:v>evidence state</x:v>
      </x:c>
      <x:c r="D147" s="24" t="str">
        <x:v>gate 41 is OPEN</x:v>
      </x:c>
      <x:c r="E147" s="24" t="n">
        <x:f>IF('Gate Assignment'!N47="OPEN",1,0)</x:f>
        <x:v>1</x:v>
      </x:c>
      <x:c r="F147" s="24" t="n">
        <x:v>1</x:v>
      </x:c>
      <x:c r="G147" s="26" t="str">
        <x:f>IF(E147=F147,"PASS","FAIL")</x:f>
        <x:v>PASS</x:v>
      </x:c>
    </x:row>
    <x:row r="148">
      <x:c r="B148" s="24" t="str">
        <x:v>A142</x:v>
      </x:c>
      <x:c r="C148" s="24" t="str">
        <x:v>evidence state</x:v>
      </x:c>
      <x:c r="D148" s="24" t="str">
        <x:v>gate 42 is OPEN</x:v>
      </x:c>
      <x:c r="E148" s="24" t="n">
        <x:f>IF('Gate Assignment'!N48="OPEN",1,0)</x:f>
        <x:v>1</x:v>
      </x:c>
      <x:c r="F148" s="24" t="n">
        <x:v>1</x:v>
      </x:c>
      <x:c r="G148" s="26" t="str">
        <x:f>IF(E148=F148,"PASS","FAIL")</x:f>
        <x:v>PASS</x:v>
      </x:c>
    </x:row>
    <x:row r="149">
      <x:c r="B149" s="24" t="str">
        <x:v>A143</x:v>
      </x:c>
      <x:c r="C149" s="24" t="str">
        <x:v>evidence state</x:v>
      </x:c>
      <x:c r="D149" s="24" t="str">
        <x:v>gate 43 is OPEN</x:v>
      </x:c>
      <x:c r="E149" s="24" t="n">
        <x:f>IF('Gate Assignment'!N49="OPEN",1,0)</x:f>
        <x:v>1</x:v>
      </x:c>
      <x:c r="F149" s="24" t="n">
        <x:v>1</x:v>
      </x:c>
      <x:c r="G149" s="26" t="str">
        <x:f>IF(E149=F149,"PASS","FAIL")</x:f>
        <x:v>PASS</x:v>
      </x:c>
    </x:row>
    <x:row r="150">
      <x:c r="B150" s="24" t="str">
        <x:v>A144</x:v>
      </x:c>
      <x:c r="C150" s="24" t="str">
        <x:v>evidence state</x:v>
      </x:c>
      <x:c r="D150" s="24" t="str">
        <x:v>gate 44 is OPEN</x:v>
      </x:c>
      <x:c r="E150" s="24" t="n">
        <x:f>IF('Gate Assignment'!N50="OPEN",1,0)</x:f>
        <x:v>1</x:v>
      </x:c>
      <x:c r="F150" s="24" t="n">
        <x:v>1</x:v>
      </x:c>
      <x:c r="G150" s="26" t="str">
        <x:f>IF(E150=F150,"PASS","FAIL")</x:f>
        <x:v>PASS</x:v>
      </x:c>
    </x:row>
    <x:row r="151">
      <x:c r="B151" s="24" t="str">
        <x:v>A145</x:v>
      </x:c>
      <x:c r="C151" s="24" t="str">
        <x:v>evidence state</x:v>
      </x:c>
      <x:c r="D151" s="24" t="str">
        <x:v>gate 45 is OPEN</x:v>
      </x:c>
      <x:c r="E151" s="24" t="n">
        <x:f>IF('Gate Assignment'!N51="OPEN",1,0)</x:f>
        <x:v>1</x:v>
      </x:c>
      <x:c r="F151" s="24" t="n">
        <x:v>1</x:v>
      </x:c>
      <x:c r="G151" s="26" t="str">
        <x:f>IF(E151=F151,"PASS","FAIL")</x:f>
        <x:v>PASS</x:v>
      </x:c>
    </x:row>
    <x:row r="152">
      <x:c r="B152" s="24" t="str">
        <x:v>A146</x:v>
      </x:c>
      <x:c r="C152" s="24" t="str">
        <x:v>evidence state</x:v>
      </x:c>
      <x:c r="D152" s="24" t="str">
        <x:v>gate 46 is OPEN</x:v>
      </x:c>
      <x:c r="E152" s="24" t="n">
        <x:f>IF('Gate Assignment'!N52="OPEN",1,0)</x:f>
        <x:v>1</x:v>
      </x:c>
      <x:c r="F152" s="24" t="n">
        <x:v>1</x:v>
      </x:c>
      <x:c r="G152" s="26" t="str">
        <x:f>IF(E152=F152,"PASS","FAIL")</x:f>
        <x:v>PASS</x:v>
      </x:c>
    </x:row>
    <x:row r="153">
      <x:c r="B153" s="24" t="str">
        <x:v>A147</x:v>
      </x:c>
      <x:c r="C153" s="24" t="str">
        <x:v>evidence state</x:v>
      </x:c>
      <x:c r="D153" s="24" t="str">
        <x:v>gate 47 is OPEN</x:v>
      </x:c>
      <x:c r="E153" s="24" t="n">
        <x:f>IF('Gate Assignment'!N53="OPEN",1,0)</x:f>
        <x:v>1</x:v>
      </x:c>
      <x:c r="F153" s="24" t="n">
        <x:v>1</x:v>
      </x:c>
      <x:c r="G153" s="26" t="str">
        <x:f>IF(E153=F153,"PASS","FAIL")</x:f>
        <x:v>PASS</x:v>
      </x:c>
    </x:row>
    <x:row r="154">
      <x:c r="B154" s="24" t="str">
        <x:v>A148</x:v>
      </x:c>
      <x:c r="C154" s="24" t="str">
        <x:v>evidence state</x:v>
      </x:c>
      <x:c r="D154" s="24" t="str">
        <x:v>gate 48 is OPEN</x:v>
      </x:c>
      <x:c r="E154" s="24" t="n">
        <x:f>IF('Gate Assignment'!N54="OPEN",1,0)</x:f>
        <x:v>1</x:v>
      </x:c>
      <x:c r="F154" s="24" t="n">
        <x:v>1</x:v>
      </x:c>
      <x:c r="G154" s="26" t="str">
        <x:f>IF(E154=F154,"PASS","FAIL")</x:f>
        <x:v>PASS</x:v>
      </x:c>
    </x:row>
    <x:row r="155">
      <x:c r="B155" s="24" t="str">
        <x:v>A149</x:v>
      </x:c>
      <x:c r="C155" s="24" t="str">
        <x:v>evidence state</x:v>
      </x:c>
      <x:c r="D155" s="24" t="str">
        <x:v>gate 49 is OPEN</x:v>
      </x:c>
      <x:c r="E155" s="24" t="n">
        <x:f>IF('Gate Assignment'!N55="OPEN",1,0)</x:f>
        <x:v>1</x:v>
      </x:c>
      <x:c r="F155" s="24" t="n">
        <x:v>1</x:v>
      </x:c>
      <x:c r="G155" s="26" t="str">
        <x:f>IF(E155=F155,"PASS","FAIL")</x:f>
        <x:v>PASS</x:v>
      </x:c>
    </x:row>
    <x:row r="156">
      <x:c r="B156" s="24" t="str">
        <x:v>A150</x:v>
      </x:c>
      <x:c r="C156" s="24" t="str">
        <x:v>evidence state</x:v>
      </x:c>
      <x:c r="D156" s="24" t="str">
        <x:v>gate 50 is OPEN</x:v>
      </x:c>
      <x:c r="E156" s="24" t="n">
        <x:f>IF('Gate Assignment'!N56="OPEN",1,0)</x:f>
        <x:v>1</x:v>
      </x:c>
      <x:c r="F156" s="24" t="n">
        <x:v>1</x:v>
      </x:c>
      <x:c r="G156" s="26" t="str">
        <x:f>IF(E156=F156,"PASS","FAIL")</x:f>
        <x:v>PASS</x:v>
      </x:c>
    </x:row>
    <x:row r="157">
      <x:c r="B157" s="24" t="str">
        <x:v>A151</x:v>
      </x:c>
      <x:c r="C157" s="24" t="str">
        <x:v>evidence state</x:v>
      </x:c>
      <x:c r="D157" s="24" t="str">
        <x:v>gate 51 is OPEN</x:v>
      </x:c>
      <x:c r="E157" s="24" t="n">
        <x:f>IF('Gate Assignment'!N57="OPEN",1,0)</x:f>
        <x:v>1</x:v>
      </x:c>
      <x:c r="F157" s="24" t="n">
        <x:v>1</x:v>
      </x:c>
      <x:c r="G157" s="26" t="str">
        <x:f>IF(E157=F157,"PASS","FAIL")</x:f>
        <x:v>PASS</x:v>
      </x:c>
    </x:row>
    <x:row r="158">
      <x:c r="B158" s="24" t="str">
        <x:v>A152</x:v>
      </x:c>
      <x:c r="C158" s="24" t="str">
        <x:v>evidence state</x:v>
      </x:c>
      <x:c r="D158" s="24" t="str">
        <x:v>gate 52 is OPEN</x:v>
      </x:c>
      <x:c r="E158" s="24" t="n">
        <x:f>IF('Gate Assignment'!N58="OPEN",1,0)</x:f>
        <x:v>1</x:v>
      </x:c>
      <x:c r="F158" s="24" t="n">
        <x:v>1</x:v>
      </x:c>
      <x:c r="G158" s="26" t="str">
        <x:f>IF(E158=F158,"PASS","FAIL")</x:f>
        <x:v>PASS</x:v>
      </x:c>
    </x:row>
    <x:row r="159">
      <x:c r="B159" s="24" t="str">
        <x:v>A153</x:v>
      </x:c>
      <x:c r="C159" s="24" t="str">
        <x:v>evidence state</x:v>
      </x:c>
      <x:c r="D159" s="24" t="str">
        <x:v>gate 53 is OPEN</x:v>
      </x:c>
      <x:c r="E159" s="24" t="n">
        <x:f>IF('Gate Assignment'!N59="OPEN",1,0)</x:f>
        <x:v>1</x:v>
      </x:c>
      <x:c r="F159" s="24" t="n">
        <x:v>1</x:v>
      </x:c>
      <x:c r="G159" s="26" t="str">
        <x:f>IF(E159=F159,"PASS","FAIL")</x:f>
        <x:v>PASS</x:v>
      </x:c>
    </x:row>
    <x:row r="160">
      <x:c r="B160" s="24" t="str">
        <x:v>A154</x:v>
      </x:c>
      <x:c r="C160" s="24" t="str">
        <x:v>evidence state</x:v>
      </x:c>
      <x:c r="D160" s="24" t="str">
        <x:v>gate 54 is OPEN</x:v>
      </x:c>
      <x:c r="E160" s="24" t="n">
        <x:f>IF('Gate Assignment'!N60="OPEN",1,0)</x:f>
        <x:v>1</x:v>
      </x:c>
      <x:c r="F160" s="24" t="n">
        <x:v>1</x:v>
      </x:c>
      <x:c r="G160" s="26" t="str">
        <x:f>IF(E160=F160,"PASS","FAIL")</x:f>
        <x:v>PASS</x:v>
      </x:c>
    </x:row>
    <x:row r="161">
      <x:c r="B161" s="24" t="str">
        <x:v>A155</x:v>
      </x:c>
      <x:c r="C161" s="24" t="str">
        <x:v>evidence state</x:v>
      </x:c>
      <x:c r="D161" s="24" t="str">
        <x:v>gate 55 is OPEN</x:v>
      </x:c>
      <x:c r="E161" s="24" t="n">
        <x:f>IF('Gate Assignment'!N61="OPEN",1,0)</x:f>
        <x:v>1</x:v>
      </x:c>
      <x:c r="F161" s="24" t="n">
        <x:v>1</x:v>
      </x:c>
      <x:c r="G161" s="26" t="str">
        <x:f>IF(E161=F161,"PASS","FAIL")</x:f>
        <x:v>PASS</x:v>
      </x:c>
    </x:row>
    <x:row r="162">
      <x:c r="B162" s="24" t="str">
        <x:v>A156</x:v>
      </x:c>
      <x:c r="C162" s="24" t="str">
        <x:v>evidence state</x:v>
      </x:c>
      <x:c r="D162" s="24" t="str">
        <x:v>gate 56 is OPEN</x:v>
      </x:c>
      <x:c r="E162" s="24" t="n">
        <x:f>IF('Gate Assignment'!N62="OPEN",1,0)</x:f>
        <x:v>1</x:v>
      </x:c>
      <x:c r="F162" s="24" t="n">
        <x:v>1</x:v>
      </x:c>
      <x:c r="G162" s="26" t="str">
        <x:f>IF(E162=F162,"PASS","FAIL")</x:f>
        <x:v>PASS</x:v>
      </x:c>
    </x:row>
    <x:row r="163">
      <x:c r="B163" s="24" t="str">
        <x:v>A157</x:v>
      </x:c>
      <x:c r="C163" s="24" t="str">
        <x:v>evidence state</x:v>
      </x:c>
      <x:c r="D163" s="24" t="str">
        <x:v>gate 57 is OPEN</x:v>
      </x:c>
      <x:c r="E163" s="24" t="n">
        <x:f>IF('Gate Assignment'!N63="OPEN",1,0)</x:f>
        <x:v>1</x:v>
      </x:c>
      <x:c r="F163" s="24" t="n">
        <x:v>1</x:v>
      </x:c>
      <x:c r="G163" s="26" t="str">
        <x:f>IF(E163=F163,"PASS","FAIL")</x:f>
        <x:v>PASS</x:v>
      </x:c>
    </x:row>
    <x:row r="164">
      <x:c r="B164" s="24" t="str">
        <x:v>A158</x:v>
      </x:c>
      <x:c r="C164" s="24" t="str">
        <x:v>evidence state</x:v>
      </x:c>
      <x:c r="D164" s="24" t="str">
        <x:v>gate 58 is OPEN</x:v>
      </x:c>
      <x:c r="E164" s="24" t="n">
        <x:f>IF('Gate Assignment'!N64="OPEN",1,0)</x:f>
        <x:v>1</x:v>
      </x:c>
      <x:c r="F164" s="24" t="n">
        <x:v>1</x:v>
      </x:c>
      <x:c r="G164" s="26" t="str">
        <x:f>IF(E164=F164,"PASS","FAIL")</x:f>
        <x:v>PASS</x:v>
      </x:c>
    </x:row>
    <x:row r="165">
      <x:c r="B165" s="24" t="str">
        <x:v>A159</x:v>
      </x:c>
      <x:c r="C165" s="24" t="str">
        <x:v>evidence state</x:v>
      </x:c>
      <x:c r="D165" s="24" t="str">
        <x:v>gate 59 is OPEN</x:v>
      </x:c>
      <x:c r="E165" s="24" t="n">
        <x:f>IF('Gate Assignment'!N65="OPEN",1,0)</x:f>
        <x:v>1</x:v>
      </x:c>
      <x:c r="F165" s="24" t="n">
        <x:v>1</x:v>
      </x:c>
      <x:c r="G165" s="26" t="str">
        <x:f>IF(E165=F165,"PASS","FAIL")</x:f>
        <x:v>PASS</x:v>
      </x:c>
    </x:row>
    <x:row r="166">
      <x:c r="B166" s="24" t="str">
        <x:v>A160</x:v>
      </x:c>
      <x:c r="C166" s="24" t="str">
        <x:v>evidence state</x:v>
      </x:c>
      <x:c r="D166" s="24" t="str">
        <x:v>gate 60 is OPEN</x:v>
      </x:c>
      <x:c r="E166" s="24" t="n">
        <x:f>IF('Gate Assignment'!N66="OPEN",1,0)</x:f>
        <x:v>1</x:v>
      </x:c>
      <x:c r="F166" s="24" t="n">
        <x:v>1</x:v>
      </x:c>
      <x:c r="G166" s="26" t="str">
        <x:f>IF(E166=F166,"PASS","FAIL")</x:f>
        <x:v>PASS</x:v>
      </x:c>
    </x:row>
    <x:row r="167">
      <x:c r="B167" s="24" t="str">
        <x:v>A161</x:v>
      </x:c>
      <x:c r="C167" s="24" t="str">
        <x:v>evidence state</x:v>
      </x:c>
      <x:c r="D167" s="24" t="str">
        <x:v>gate 61 is OPEN</x:v>
      </x:c>
      <x:c r="E167" s="24" t="n">
        <x:f>IF('Gate Assignment'!N67="OPEN",1,0)</x:f>
        <x:v>1</x:v>
      </x:c>
      <x:c r="F167" s="24" t="n">
        <x:v>1</x:v>
      </x:c>
      <x:c r="G167" s="26" t="str">
        <x:f>IF(E167=F167,"PASS","FAIL")</x:f>
        <x:v>PASS</x:v>
      </x:c>
    </x:row>
    <x:row r="168">
      <x:c r="B168" s="24" t="str">
        <x:v>A162</x:v>
      </x:c>
      <x:c r="C168" s="24" t="str">
        <x:v>evidence state</x:v>
      </x:c>
      <x:c r="D168" s="24" t="str">
        <x:v>gate 62 is OPEN</x:v>
      </x:c>
      <x:c r="E168" s="24" t="n">
        <x:f>IF('Gate Assignment'!N68="OPEN",1,0)</x:f>
        <x:v>1</x:v>
      </x:c>
      <x:c r="F168" s="24" t="n">
        <x:v>1</x:v>
      </x:c>
      <x:c r="G168" s="26" t="str">
        <x:f>IF(E168=F168,"PASS","FAIL")</x:f>
        <x:v>PASS</x:v>
      </x:c>
    </x:row>
    <x:row r="169">
      <x:c r="B169" s="24" t="str">
        <x:v>A163</x:v>
      </x:c>
      <x:c r="C169" s="24" t="str">
        <x:v>evidence state</x:v>
      </x:c>
      <x:c r="D169" s="24" t="str">
        <x:v>gate 63 is OPEN</x:v>
      </x:c>
      <x:c r="E169" s="24" t="n">
        <x:f>IF('Gate Assignment'!N69="OPEN",1,0)</x:f>
        <x:v>1</x:v>
      </x:c>
      <x:c r="F169" s="24" t="n">
        <x:v>1</x:v>
      </x:c>
      <x:c r="G169" s="26" t="str">
        <x:f>IF(E169=F169,"PASS","FAIL")</x:f>
        <x:v>PASS</x:v>
      </x:c>
    </x:row>
    <x:row r="170">
      <x:c r="B170" s="24" t="str">
        <x:v>A164</x:v>
      </x:c>
      <x:c r="C170" s="24" t="str">
        <x:v>evidence state</x:v>
      </x:c>
      <x:c r="D170" s="24" t="str">
        <x:v>gate 64 is OPEN</x:v>
      </x:c>
      <x:c r="E170" s="24" t="n">
        <x:f>IF('Gate Assignment'!N70="OPEN",1,0)</x:f>
        <x:v>1</x:v>
      </x:c>
      <x:c r="F170" s="24" t="n">
        <x:v>1</x:v>
      </x:c>
      <x:c r="G170" s="26" t="str">
        <x:f>IF(E170=F170,"PASS","FAIL")</x:f>
        <x:v>PASS</x:v>
      </x:c>
    </x:row>
    <x:row r="171">
      <x:c r="B171" s="24" t="str">
        <x:v>A165</x:v>
      </x:c>
      <x:c r="C171" s="24" t="str">
        <x:v>evidence state</x:v>
      </x:c>
      <x:c r="D171" s="24" t="str">
        <x:v>gate 65 is OPEN</x:v>
      </x:c>
      <x:c r="E171" s="24" t="n">
        <x:f>IF('Gate Assignment'!N71="OPEN",1,0)</x:f>
        <x:v>1</x:v>
      </x:c>
      <x:c r="F171" s="24" t="n">
        <x:v>1</x:v>
      </x:c>
      <x:c r="G171" s="26" t="str">
        <x:f>IF(E171=F171,"PASS","FAIL")</x:f>
        <x:v>PASS</x:v>
      </x:c>
    </x:row>
    <x:row r="172">
      <x:c r="B172" s="24" t="str">
        <x:v>A166</x:v>
      </x:c>
      <x:c r="C172" s="24" t="str">
        <x:v>evidence state</x:v>
      </x:c>
      <x:c r="D172" s="24" t="str">
        <x:v>gate 66 is OPEN</x:v>
      </x:c>
      <x:c r="E172" s="24" t="n">
        <x:f>IF('Gate Assignment'!N72="OPEN",1,0)</x:f>
        <x:v>1</x:v>
      </x:c>
      <x:c r="F172" s="24" t="n">
        <x:v>1</x:v>
      </x:c>
      <x:c r="G172" s="26" t="str">
        <x:f>IF(E172=F172,"PASS","FAIL")</x:f>
        <x:v>PASS</x:v>
      </x:c>
    </x:row>
    <x:row r="173">
      <x:c r="B173" s="24" t="str">
        <x:v>A167</x:v>
      </x:c>
      <x:c r="C173" s="24" t="str">
        <x:v>evidence state</x:v>
      </x:c>
      <x:c r="D173" s="24" t="str">
        <x:v>gate 67 is OPEN</x:v>
      </x:c>
      <x:c r="E173" s="24" t="n">
        <x:f>IF('Gate Assignment'!N73="OPEN",1,0)</x:f>
        <x:v>1</x:v>
      </x:c>
      <x:c r="F173" s="24" t="n">
        <x:v>1</x:v>
      </x:c>
      <x:c r="G173" s="26" t="str">
        <x:f>IF(E173=F173,"PASS","FAIL")</x:f>
        <x:v>PASS</x:v>
      </x:c>
    </x:row>
    <x:row r="174">
      <x:c r="B174" s="24" t="str">
        <x:v>A168</x:v>
      </x:c>
      <x:c r="C174" s="24" t="str">
        <x:v>evidence state</x:v>
      </x:c>
      <x:c r="D174" s="24" t="str">
        <x:v>gate 68 is OPEN</x:v>
      </x:c>
      <x:c r="E174" s="24" t="n">
        <x:f>IF('Gate Assignment'!N74="OPEN",1,0)</x:f>
        <x:v>1</x:v>
      </x:c>
      <x:c r="F174" s="24" t="n">
        <x:v>1</x:v>
      </x:c>
      <x:c r="G174" s="26" t="str">
        <x:f>IF(E174=F174,"PASS","FAIL")</x:f>
        <x:v>PASS</x:v>
      </x:c>
    </x:row>
    <x:row r="175">
      <x:c r="B175" s="24" t="str">
        <x:v>A169</x:v>
      </x:c>
      <x:c r="C175" s="24" t="str">
        <x:v>evidence state</x:v>
      </x:c>
      <x:c r="D175" s="24" t="str">
        <x:v>gate 69 is OPEN</x:v>
      </x:c>
      <x:c r="E175" s="24" t="n">
        <x:f>IF('Gate Assignment'!N75="OPEN",1,0)</x:f>
        <x:v>1</x:v>
      </x:c>
      <x:c r="F175" s="24" t="n">
        <x:v>1</x:v>
      </x:c>
      <x:c r="G175" s="26" t="str">
        <x:f>IF(E175=F175,"PASS","FAIL")</x:f>
        <x:v>PASS</x:v>
      </x:c>
    </x:row>
    <x:row r="176">
      <x:c r="B176" s="24" t="str">
        <x:v>A170</x:v>
      </x:c>
      <x:c r="C176" s="24" t="str">
        <x:v>evidence state</x:v>
      </x:c>
      <x:c r="D176" s="24" t="str">
        <x:v>gate 70 is OPEN</x:v>
      </x:c>
      <x:c r="E176" s="24" t="n">
        <x:f>IF('Gate Assignment'!N76="OPEN",1,0)</x:f>
        <x:v>1</x:v>
      </x:c>
      <x:c r="F176" s="24" t="n">
        <x:v>1</x:v>
      </x:c>
      <x:c r="G176" s="26" t="str">
        <x:f>IF(E176=F176,"PASS","FAIL")</x:f>
        <x:v>PASS</x:v>
      </x:c>
    </x:row>
    <x:row r="177">
      <x:c r="B177" s="24" t="str">
        <x:v>A171</x:v>
      </x:c>
      <x:c r="C177" s="24" t="str">
        <x:v>evidence state</x:v>
      </x:c>
      <x:c r="D177" s="24" t="str">
        <x:v>gate 71 is OPEN</x:v>
      </x:c>
      <x:c r="E177" s="24" t="n">
        <x:f>IF('Gate Assignment'!N77="OPEN",1,0)</x:f>
        <x:v>1</x:v>
      </x:c>
      <x:c r="F177" s="24" t="n">
        <x:v>1</x:v>
      </x:c>
      <x:c r="G177" s="26" t="str">
        <x:f>IF(E177=F177,"PASS","FAIL")</x:f>
        <x:v>PASS</x:v>
      </x:c>
    </x:row>
    <x:row r="178">
      <x:c r="B178" s="24" t="str">
        <x:v>A172</x:v>
      </x:c>
      <x:c r="C178" s="24" t="str">
        <x:v>evidence state</x:v>
      </x:c>
      <x:c r="D178" s="24" t="str">
        <x:v>gate 72 is OPEN</x:v>
      </x:c>
      <x:c r="E178" s="24" t="n">
        <x:f>IF('Gate Assignment'!N78="OPEN",1,0)</x:f>
        <x:v>1</x:v>
      </x:c>
      <x:c r="F178" s="24" t="n">
        <x:v>1</x:v>
      </x:c>
      <x:c r="G178" s="26" t="str">
        <x:f>IF(E178=F178,"PASS","FAIL")</x:f>
        <x:v>PASS</x:v>
      </x:c>
    </x:row>
    <x:row r="179">
      <x:c r="B179" s="24" t="str">
        <x:v>A173</x:v>
      </x:c>
      <x:c r="C179" s="24" t="str">
        <x:v>evidence state</x:v>
      </x:c>
      <x:c r="D179" s="24" t="str">
        <x:v>gate 73 is OPEN</x:v>
      </x:c>
      <x:c r="E179" s="24" t="n">
        <x:f>IF('Gate Assignment'!N79="OPEN",1,0)</x:f>
        <x:v>1</x:v>
      </x:c>
      <x:c r="F179" s="24" t="n">
        <x:v>1</x:v>
      </x:c>
      <x:c r="G179" s="26" t="str">
        <x:f>IF(E179=F179,"PASS","FAIL")</x:f>
        <x:v>PASS</x:v>
      </x:c>
    </x:row>
    <x:row r="180">
      <x:c r="B180" s="24" t="str">
        <x:v>A174</x:v>
      </x:c>
      <x:c r="C180" s="24" t="str">
        <x:v>evidence state</x:v>
      </x:c>
      <x:c r="D180" s="24" t="str">
        <x:v>gate 74 is OPEN</x:v>
      </x:c>
      <x:c r="E180" s="24" t="n">
        <x:f>IF('Gate Assignment'!N80="OPEN",1,0)</x:f>
        <x:v>1</x:v>
      </x:c>
      <x:c r="F180" s="24" t="n">
        <x:v>1</x:v>
      </x:c>
      <x:c r="G180" s="26" t="str">
        <x:f>IF(E180=F180,"PASS","FAIL")</x:f>
        <x:v>PASS</x:v>
      </x:c>
    </x:row>
    <x:row r="181">
      <x:c r="B181" s="24" t="str">
        <x:v>A175</x:v>
      </x:c>
      <x:c r="C181" s="24" t="str">
        <x:v>evidence state</x:v>
      </x:c>
      <x:c r="D181" s="24" t="str">
        <x:v>gate 75 is OPEN</x:v>
      </x:c>
      <x:c r="E181" s="24" t="n">
        <x:f>IF('Gate Assignment'!N81="OPEN",1,0)</x:f>
        <x:v>1</x:v>
      </x:c>
      <x:c r="F181" s="24" t="n">
        <x:v>1</x:v>
      </x:c>
      <x:c r="G181" s="26" t="str">
        <x:f>IF(E181=F181,"PASS","FAIL")</x:f>
        <x:v>PASS</x:v>
      </x:c>
    </x:row>
    <x:row r="182">
      <x:c r="B182" s="24" t="str">
        <x:v>A176</x:v>
      </x:c>
      <x:c r="C182" s="24" t="str">
        <x:v>evidence state</x:v>
      </x:c>
      <x:c r="D182" s="24" t="str">
        <x:v>gate 76 is OPEN</x:v>
      </x:c>
      <x:c r="E182" s="24" t="n">
        <x:f>IF('Gate Assignment'!N82="OPEN",1,0)</x:f>
        <x:v>1</x:v>
      </x:c>
      <x:c r="F182" s="24" t="n">
        <x:v>1</x:v>
      </x:c>
      <x:c r="G182" s="26" t="str">
        <x:f>IF(E182=F182,"PASS","FAIL")</x:f>
        <x:v>PASS</x:v>
      </x:c>
    </x:row>
    <x:row r="183">
      <x:c r="B183" s="24" t="str">
        <x:v>A177</x:v>
      </x:c>
      <x:c r="C183" s="24" t="str">
        <x:v>evidence state</x:v>
      </x:c>
      <x:c r="D183" s="24" t="str">
        <x:v>gate 77 is OPEN</x:v>
      </x:c>
      <x:c r="E183" s="24" t="n">
        <x:f>IF('Gate Assignment'!N83="OPEN",1,0)</x:f>
        <x:v>1</x:v>
      </x:c>
      <x:c r="F183" s="24" t="n">
        <x:v>1</x:v>
      </x:c>
      <x:c r="G183" s="26" t="str">
        <x:f>IF(E183=F183,"PASS","FAIL")</x:f>
        <x:v>PASS</x:v>
      </x:c>
    </x:row>
    <x:row r="184">
      <x:c r="B184" s="24" t="str">
        <x:v>A178</x:v>
      </x:c>
      <x:c r="C184" s="24" t="str">
        <x:v>evidence state</x:v>
      </x:c>
      <x:c r="D184" s="24" t="str">
        <x:v>gate 78 is OPEN</x:v>
      </x:c>
      <x:c r="E184" s="24" t="n">
        <x:f>IF('Gate Assignment'!N84="OPEN",1,0)</x:f>
        <x:v>1</x:v>
      </x:c>
      <x:c r="F184" s="24" t="n">
        <x:v>1</x:v>
      </x:c>
      <x:c r="G184" s="26" t="str">
        <x:f>IF(E184=F184,"PASS","FAIL")</x:f>
        <x:v>PASS</x:v>
      </x:c>
    </x:row>
    <x:row r="185">
      <x:c r="B185" s="24" t="str">
        <x:v>A179</x:v>
      </x:c>
      <x:c r="C185" s="24" t="str">
        <x:v>evidence state</x:v>
      </x:c>
      <x:c r="D185" s="24" t="str">
        <x:v>gate 79 is OPEN</x:v>
      </x:c>
      <x:c r="E185" s="24" t="n">
        <x:f>IF('Gate Assignment'!N85="OPEN",1,0)</x:f>
        <x:v>1</x:v>
      </x:c>
      <x:c r="F185" s="24" t="n">
        <x:v>1</x:v>
      </x:c>
      <x:c r="G185" s="26" t="str">
        <x:f>IF(E185=F185,"PASS","FAIL")</x:f>
        <x:v>PASS</x:v>
      </x:c>
    </x:row>
    <x:row r="186">
      <x:c r="B186" s="24" t="str">
        <x:v>A180</x:v>
      </x:c>
      <x:c r="C186" s="24" t="str">
        <x:v>evidence state</x:v>
      </x:c>
      <x:c r="D186" s="24" t="str">
        <x:v>gate 80 is OPEN</x:v>
      </x:c>
      <x:c r="E186" s="24" t="n">
        <x:f>IF('Gate Assignment'!N86="OPEN",1,0)</x:f>
        <x:v>1</x:v>
      </x:c>
      <x:c r="F186" s="24" t="n">
        <x:v>1</x:v>
      </x:c>
      <x:c r="G186" s="26" t="str">
        <x:f>IF(E186=F186,"PASS","FAIL")</x:f>
        <x:v>PASS</x:v>
      </x:c>
    </x:row>
    <x:row r="187">
      <x:c r="B187" s="24" t="str">
        <x:v>A181</x:v>
      </x:c>
      <x:c r="C187" s="24" t="str">
        <x:v>evidence state</x:v>
      </x:c>
      <x:c r="D187" s="24" t="str">
        <x:v>gate 81 is OPEN</x:v>
      </x:c>
      <x:c r="E187" s="24" t="n">
        <x:f>IF('Gate Assignment'!N87="OPEN",1,0)</x:f>
        <x:v>1</x:v>
      </x:c>
      <x:c r="F187" s="24" t="n">
        <x:v>1</x:v>
      </x:c>
      <x:c r="G187" s="26" t="str">
        <x:f>IF(E187=F187,"PASS","FAIL")</x:f>
        <x:v>PASS</x:v>
      </x:c>
    </x:row>
    <x:row r="188">
      <x:c r="B188" s="24" t="str">
        <x:v>A182</x:v>
      </x:c>
      <x:c r="C188" s="24" t="str">
        <x:v>evidence state</x:v>
      </x:c>
      <x:c r="D188" s="24" t="str">
        <x:v>gate 82 is OPEN</x:v>
      </x:c>
      <x:c r="E188" s="24" t="n">
        <x:f>IF('Gate Assignment'!N88="OPEN",1,0)</x:f>
        <x:v>1</x:v>
      </x:c>
      <x:c r="F188" s="24" t="n">
        <x:v>1</x:v>
      </x:c>
      <x:c r="G188" s="26" t="str">
        <x:f>IF(E188=F188,"PASS","FAIL")</x:f>
        <x:v>PASS</x:v>
      </x:c>
    </x:row>
    <x:row r="189">
      <x:c r="B189" s="24" t="str">
        <x:v>A183</x:v>
      </x:c>
      <x:c r="C189" s="24" t="str">
        <x:v>evidence state</x:v>
      </x:c>
      <x:c r="D189" s="24" t="str">
        <x:v>gate 83 is OPEN</x:v>
      </x:c>
      <x:c r="E189" s="24" t="n">
        <x:f>IF('Gate Assignment'!N89="OPEN",1,0)</x:f>
        <x:v>1</x:v>
      </x:c>
      <x:c r="F189" s="24" t="n">
        <x:v>1</x:v>
      </x:c>
      <x:c r="G189" s="26" t="str">
        <x:f>IF(E189=F189,"PASS","FAIL")</x:f>
        <x:v>PASS</x:v>
      </x:c>
    </x:row>
    <x:row r="190">
      <x:c r="B190" s="24" t="str">
        <x:v>A184</x:v>
      </x:c>
      <x:c r="C190" s="24" t="str">
        <x:v>evidence state</x:v>
      </x:c>
      <x:c r="D190" s="24" t="str">
        <x:v>gate 84 is OPEN</x:v>
      </x:c>
      <x:c r="E190" s="24" t="n">
        <x:f>IF('Gate Assignment'!N90="OPEN",1,0)</x:f>
        <x:v>1</x:v>
      </x:c>
      <x:c r="F190" s="24" t="n">
        <x:v>1</x:v>
      </x:c>
      <x:c r="G190" s="26" t="str">
        <x:f>IF(E190=F190,"PASS","FAIL")</x:f>
        <x:v>PASS</x:v>
      </x:c>
    </x:row>
    <x:row r="191">
      <x:c r="B191" s="24" t="str">
        <x:v>A185</x:v>
      </x:c>
      <x:c r="C191" s="24" t="str">
        <x:v>evidence state</x:v>
      </x:c>
      <x:c r="D191" s="24" t="str">
        <x:v>gate 85 is OPEN</x:v>
      </x:c>
      <x:c r="E191" s="24" t="n">
        <x:f>IF('Gate Assignment'!N91="OPEN",1,0)</x:f>
        <x:v>1</x:v>
      </x:c>
      <x:c r="F191" s="24" t="n">
        <x:v>1</x:v>
      </x:c>
      <x:c r="G191" s="26" t="str">
        <x:f>IF(E191=F191,"PASS","FAIL")</x:f>
        <x:v>PASS</x:v>
      </x:c>
    </x:row>
    <x:row r="192">
      <x:c r="B192" s="24" t="str">
        <x:v>A186</x:v>
      </x:c>
      <x:c r="C192" s="24" t="str">
        <x:v>evidence state</x:v>
      </x:c>
      <x:c r="D192" s="24" t="str">
        <x:v>gate 86 is OPEN</x:v>
      </x:c>
      <x:c r="E192" s="24" t="n">
        <x:f>IF('Gate Assignment'!N92="OPEN",1,0)</x:f>
        <x:v>1</x:v>
      </x:c>
      <x:c r="F192" s="24" t="n">
        <x:v>1</x:v>
      </x:c>
      <x:c r="G192" s="26" t="str">
        <x:f>IF(E192=F192,"PASS","FAIL")</x:f>
        <x:v>PASS</x:v>
      </x:c>
    </x:row>
    <x:row r="193">
      <x:c r="B193" s="24" t="str">
        <x:v>A187</x:v>
      </x:c>
      <x:c r="C193" s="24" t="str">
        <x:v>evidence state</x:v>
      </x:c>
      <x:c r="D193" s="24" t="str">
        <x:v>gate 87 is OPEN</x:v>
      </x:c>
      <x:c r="E193" s="24" t="n">
        <x:f>IF('Gate Assignment'!N93="OPEN",1,0)</x:f>
        <x:v>1</x:v>
      </x:c>
      <x:c r="F193" s="24" t="n">
        <x:v>1</x:v>
      </x:c>
      <x:c r="G193" s="26" t="str">
        <x:f>IF(E193=F193,"PASS","FAIL")</x:f>
        <x:v>PASS</x:v>
      </x:c>
    </x:row>
    <x:row r="194">
      <x:c r="B194" s="24" t="str">
        <x:v>A188</x:v>
      </x:c>
      <x:c r="C194" s="24" t="str">
        <x:v>evidence state</x:v>
      </x:c>
      <x:c r="D194" s="24" t="str">
        <x:v>gate 88 is OPEN</x:v>
      </x:c>
      <x:c r="E194" s="24" t="n">
        <x:f>IF('Gate Assignment'!N94="OPEN",1,0)</x:f>
        <x:v>1</x:v>
      </x:c>
      <x:c r="F194" s="24" t="n">
        <x:v>1</x:v>
      </x:c>
      <x:c r="G194" s="26" t="str">
        <x:f>IF(E194=F194,"PASS","FAIL")</x:f>
        <x:v>PASS</x:v>
      </x:c>
    </x:row>
    <x:row r="195">
      <x:c r="B195" s="24" t="str">
        <x:v>A189</x:v>
      </x:c>
      <x:c r="C195" s="24" t="str">
        <x:v>evidence state</x:v>
      </x:c>
      <x:c r="D195" s="24" t="str">
        <x:v>gate 89 is OPEN</x:v>
      </x:c>
      <x:c r="E195" s="24" t="n">
        <x:f>IF('Gate Assignment'!N95="OPEN",1,0)</x:f>
        <x:v>1</x:v>
      </x:c>
      <x:c r="F195" s="24" t="n">
        <x:v>1</x:v>
      </x:c>
      <x:c r="G195" s="26" t="str">
        <x:f>IF(E195=F195,"PASS","FAIL")</x:f>
        <x:v>PASS</x:v>
      </x:c>
    </x:row>
    <x:row r="196">
      <x:c r="B196" s="24" t="str">
        <x:v>A190</x:v>
      </x:c>
      <x:c r="C196" s="24" t="str">
        <x:v>evidence state</x:v>
      </x:c>
      <x:c r="D196" s="24" t="str">
        <x:v>gate 90 is OPEN</x:v>
      </x:c>
      <x:c r="E196" s="24" t="n">
        <x:f>IF('Gate Assignment'!N96="OPEN",1,0)</x:f>
        <x:v>1</x:v>
      </x:c>
      <x:c r="F196" s="24" t="n">
        <x:v>1</x:v>
      </x:c>
      <x:c r="G196" s="26" t="str">
        <x:f>IF(E196=F196,"PASS","FAIL")</x:f>
        <x:v>PASS</x:v>
      </x:c>
    </x:row>
    <x:row r="197">
      <x:c r="B197" s="24" t="str">
        <x:v>A191</x:v>
      </x:c>
      <x:c r="C197" s="24" t="str">
        <x:v>evidence state</x:v>
      </x:c>
      <x:c r="D197" s="24" t="str">
        <x:v>gate 91 is OPEN</x:v>
      </x:c>
      <x:c r="E197" s="24" t="n">
        <x:f>IF('Gate Assignment'!N97="OPEN",1,0)</x:f>
        <x:v>1</x:v>
      </x:c>
      <x:c r="F197" s="24" t="n">
        <x:v>1</x:v>
      </x:c>
      <x:c r="G197" s="26" t="str">
        <x:f>IF(E197=F197,"PASS","FAIL")</x:f>
        <x:v>PASS</x:v>
      </x:c>
    </x:row>
    <x:row r="198">
      <x:c r="B198" s="24" t="str">
        <x:v>A192</x:v>
      </x:c>
      <x:c r="C198" s="24" t="str">
        <x:v>evidence state</x:v>
      </x:c>
      <x:c r="D198" s="24" t="str">
        <x:v>gate 92 is OPEN</x:v>
      </x:c>
      <x:c r="E198" s="24" t="n">
        <x:f>IF('Gate Assignment'!N98="OPEN",1,0)</x:f>
        <x:v>1</x:v>
      </x:c>
      <x:c r="F198" s="24" t="n">
        <x:v>1</x:v>
      </x:c>
      <x:c r="G198" s="26" t="str">
        <x:f>IF(E198=F198,"PASS","FAIL")</x:f>
        <x:v>PASS</x:v>
      </x:c>
    </x:row>
    <x:row r="199">
      <x:c r="B199" s="24" t="str">
        <x:v>A193</x:v>
      </x:c>
      <x:c r="C199" s="24" t="str">
        <x:v>evidence state</x:v>
      </x:c>
      <x:c r="D199" s="24" t="str">
        <x:v>gate 93 is OPEN</x:v>
      </x:c>
      <x:c r="E199" s="24" t="n">
        <x:f>IF('Gate Assignment'!N99="OPEN",1,0)</x:f>
        <x:v>1</x:v>
      </x:c>
      <x:c r="F199" s="24" t="n">
        <x:v>1</x:v>
      </x:c>
      <x:c r="G199" s="26" t="str">
        <x:f>IF(E199=F199,"PASS","FAIL")</x:f>
        <x:v>PASS</x:v>
      </x:c>
    </x:row>
    <x:row r="200">
      <x:c r="B200" s="24" t="str">
        <x:v>A194</x:v>
      </x:c>
      <x:c r="C200" s="24" t="str">
        <x:v>evidence state</x:v>
      </x:c>
      <x:c r="D200" s="24" t="str">
        <x:v>gate 94 is OPEN</x:v>
      </x:c>
      <x:c r="E200" s="24" t="n">
        <x:f>IF('Gate Assignment'!N100="OPEN",1,0)</x:f>
        <x:v>1</x:v>
      </x:c>
      <x:c r="F200" s="24" t="n">
        <x:v>1</x:v>
      </x:c>
      <x:c r="G200" s="26" t="str">
        <x:f>IF(E200=F200,"PASS","FAIL")</x:f>
        <x:v>PASS</x:v>
      </x:c>
    </x:row>
    <x:row r="201">
      <x:c r="B201" s="24" t="str">
        <x:v>A195</x:v>
      </x:c>
      <x:c r="C201" s="24" t="str">
        <x:v>evidence state</x:v>
      </x:c>
      <x:c r="D201" s="24" t="str">
        <x:v>gate 95 is OPEN</x:v>
      </x:c>
      <x:c r="E201" s="24" t="n">
        <x:f>IF('Gate Assignment'!N101="OPEN",1,0)</x:f>
        <x:v>1</x:v>
      </x:c>
      <x:c r="F201" s="24" t="n">
        <x:v>1</x:v>
      </x:c>
      <x:c r="G201" s="26" t="str">
        <x:f>IF(E201=F201,"PASS","FAIL")</x:f>
        <x:v>PASS</x:v>
      </x:c>
    </x:row>
    <x:row r="202">
      <x:c r="B202" s="24" t="str">
        <x:v>A196</x:v>
      </x:c>
      <x:c r="C202" s="24" t="str">
        <x:v>evidence state</x:v>
      </x:c>
      <x:c r="D202" s="24" t="str">
        <x:v>gate 96 is OPEN</x:v>
      </x:c>
      <x:c r="E202" s="24" t="n">
        <x:f>IF('Gate Assignment'!N102="OPEN",1,0)</x:f>
        <x:v>1</x:v>
      </x:c>
      <x:c r="F202" s="24" t="n">
        <x:v>1</x:v>
      </x:c>
      <x:c r="G202" s="26" t="str">
        <x:f>IF(E202=F202,"PASS","FAIL")</x:f>
        <x:v>PASS</x:v>
      </x:c>
    </x:row>
    <x:row r="203">
      <x:c r="B203" s="24" t="str">
        <x:v>A197</x:v>
      </x:c>
      <x:c r="C203" s="24" t="str">
        <x:v>evidence state</x:v>
      </x:c>
      <x:c r="D203" s="24" t="str">
        <x:v>gate 97 is OPEN</x:v>
      </x:c>
      <x:c r="E203" s="24" t="n">
        <x:f>IF('Gate Assignment'!N103="OPEN",1,0)</x:f>
        <x:v>1</x:v>
      </x:c>
      <x:c r="F203" s="24" t="n">
        <x:v>1</x:v>
      </x:c>
      <x:c r="G203" s="26" t="str">
        <x:f>IF(E203=F203,"PASS","FAIL")</x:f>
        <x:v>PASS</x:v>
      </x:c>
    </x:row>
    <x:row r="204">
      <x:c r="B204" s="24" t="str">
        <x:v>A198</x:v>
      </x:c>
      <x:c r="C204" s="24" t="str">
        <x:v>evidence state</x:v>
      </x:c>
      <x:c r="D204" s="24" t="str">
        <x:v>gate 98 is OPEN</x:v>
      </x:c>
      <x:c r="E204" s="24" t="n">
        <x:f>IF('Gate Assignment'!N104="OPEN",1,0)</x:f>
        <x:v>1</x:v>
      </x:c>
      <x:c r="F204" s="24" t="n">
        <x:v>1</x:v>
      </x:c>
      <x:c r="G204" s="26" t="str">
        <x:f>IF(E204=F204,"PASS","FAIL")</x:f>
        <x:v>PASS</x:v>
      </x:c>
    </x:row>
    <x:row r="205">
      <x:c r="B205" s="24" t="str">
        <x:v>A199</x:v>
      </x:c>
      <x:c r="C205" s="24" t="str">
        <x:v>evidence state</x:v>
      </x:c>
      <x:c r="D205" s="24" t="str">
        <x:v>gate 99 is OPEN</x:v>
      </x:c>
      <x:c r="E205" s="24" t="n">
        <x:f>IF('Gate Assignment'!N105="OPEN",1,0)</x:f>
        <x:v>1</x:v>
      </x:c>
      <x:c r="F205" s="24" t="n">
        <x:v>1</x:v>
      </x:c>
      <x:c r="G205" s="26" t="str">
        <x:f>IF(E205=F205,"PASS","FAIL")</x:f>
        <x:v>PASS</x:v>
      </x:c>
    </x:row>
    <x:row r="206">
      <x:c r="B206" s="24" t="str">
        <x:v>A200</x:v>
      </x:c>
      <x:c r="C206" s="24" t="str">
        <x:v>evidence state</x:v>
      </x:c>
      <x:c r="D206" s="24" t="str">
        <x:v>gate 100 is OPEN</x:v>
      </x:c>
      <x:c r="E206" s="24" t="n">
        <x:f>IF('Gate Assignment'!N106="OPEN",1,0)</x:f>
        <x:v>1</x:v>
      </x:c>
      <x:c r="F206" s="24" t="n">
        <x:v>1</x:v>
      </x:c>
      <x:c r="G206" s="26" t="str">
        <x:f>IF(E206=F206,"PASS","FAIL")</x:f>
        <x:v>PASS</x:v>
      </x:c>
    </x:row>
    <x:row r="207">
      <x:c r="B207" s="24" t="str">
        <x:v>A201</x:v>
      </x:c>
      <x:c r="C207" s="24" t="str">
        <x:v>evidence state</x:v>
      </x:c>
      <x:c r="D207" s="24" t="str">
        <x:v>gate 101 is OPEN</x:v>
      </x:c>
      <x:c r="E207" s="24" t="n">
        <x:f>IF('Gate Assignment'!N107="OPEN",1,0)</x:f>
        <x:v>1</x:v>
      </x:c>
      <x:c r="F207" s="24" t="n">
        <x:v>1</x:v>
      </x:c>
      <x:c r="G207" s="26" t="str">
        <x:f>IF(E207=F207,"PASS","FAIL")</x:f>
        <x:v>PASS</x:v>
      </x:c>
    </x:row>
    <x:row r="208">
      <x:c r="B208" s="24" t="str">
        <x:v>A202</x:v>
      </x:c>
      <x:c r="C208" s="24" t="str">
        <x:v>evidence state</x:v>
      </x:c>
      <x:c r="D208" s="24" t="str">
        <x:v>gate 102 is OPEN</x:v>
      </x:c>
      <x:c r="E208" s="24" t="n">
        <x:f>IF('Gate Assignment'!N108="OPEN",1,0)</x:f>
        <x:v>1</x:v>
      </x:c>
      <x:c r="F208" s="24" t="n">
        <x:v>1</x:v>
      </x:c>
      <x:c r="G208" s="26" t="str">
        <x:f>IF(E208=F208,"PASS","FAIL")</x:f>
        <x:v>PASS</x:v>
      </x:c>
    </x:row>
    <x:row r="209">
      <x:c r="B209" s="24" t="str">
        <x:v>A203</x:v>
      </x:c>
      <x:c r="C209" s="24" t="str">
        <x:v>evidence state</x:v>
      </x:c>
      <x:c r="D209" s="24" t="str">
        <x:v>gate 103 is OPEN</x:v>
      </x:c>
      <x:c r="E209" s="24" t="n">
        <x:f>IF('Gate Assignment'!N109="OPEN",1,0)</x:f>
        <x:v>1</x:v>
      </x:c>
      <x:c r="F209" s="24" t="n">
        <x:v>1</x:v>
      </x:c>
      <x:c r="G209" s="26" t="str">
        <x:f>IF(E209=F209,"PASS","FAIL")</x:f>
        <x:v>PASS</x:v>
      </x:c>
    </x:row>
    <x:row r="210">
      <x:c r="B210" s="24" t="str">
        <x:v>A204</x:v>
      </x:c>
      <x:c r="C210" s="24" t="str">
        <x:v>evidence state</x:v>
      </x:c>
      <x:c r="D210" s="24" t="str">
        <x:v>gate 104 is OPEN</x:v>
      </x:c>
      <x:c r="E210" s="24" t="n">
        <x:f>IF('Gate Assignment'!N110="OPEN",1,0)</x:f>
        <x:v>1</x:v>
      </x:c>
      <x:c r="F210" s="24" t="n">
        <x:v>1</x:v>
      </x:c>
      <x:c r="G210" s="26" t="str">
        <x:f>IF(E210=F210,"PASS","FAIL")</x:f>
        <x:v>PASS</x:v>
      </x:c>
    </x:row>
    <x:row r="211">
      <x:c r="B211" s="24" t="str">
        <x:v>A205</x:v>
      </x:c>
      <x:c r="C211" s="24" t="str">
        <x:v>evidence state</x:v>
      </x:c>
      <x:c r="D211" s="24" t="str">
        <x:v>gate 105 is OPEN</x:v>
      </x:c>
      <x:c r="E211" s="24" t="n">
        <x:f>IF('Gate Assignment'!N111="OPEN",1,0)</x:f>
        <x:v>1</x:v>
      </x:c>
      <x:c r="F211" s="24" t="n">
        <x:v>1</x:v>
      </x:c>
      <x:c r="G211" s="26" t="str">
        <x:f>IF(E211=F211,"PASS","FAIL")</x:f>
        <x:v>PASS</x:v>
      </x:c>
    </x:row>
    <x:row r="212">
      <x:c r="B212" s="24" t="str">
        <x:v>A206</x:v>
      </x:c>
      <x:c r="C212" s="24" t="str">
        <x:v>evidence state</x:v>
      </x:c>
      <x:c r="D212" s="24" t="str">
        <x:v>gate 106 is OPEN</x:v>
      </x:c>
      <x:c r="E212" s="24" t="n">
        <x:f>IF('Gate Assignment'!N112="OPEN",1,0)</x:f>
        <x:v>1</x:v>
      </x:c>
      <x:c r="F212" s="24" t="n">
        <x:v>1</x:v>
      </x:c>
      <x:c r="G212" s="26" t="str">
        <x:f>IF(E212=F212,"PASS","FAIL")</x:f>
        <x:v>PASS</x:v>
      </x:c>
    </x:row>
    <x:row r="213">
      <x:c r="B213" s="24" t="str">
        <x:v>A207</x:v>
      </x:c>
      <x:c r="C213" s="24" t="str">
        <x:v>evidence state</x:v>
      </x:c>
      <x:c r="D213" s="24" t="str">
        <x:v>gate 107 is OPEN</x:v>
      </x:c>
      <x:c r="E213" s="24" t="n">
        <x:f>IF('Gate Assignment'!N113="OPEN",1,0)</x:f>
        <x:v>1</x:v>
      </x:c>
      <x:c r="F213" s="24" t="n">
        <x:v>1</x:v>
      </x:c>
      <x:c r="G213" s="26" t="str">
        <x:f>IF(E213=F213,"PASS","FAIL")</x:f>
        <x:v>PASS</x:v>
      </x:c>
    </x:row>
    <x:row r="214">
      <x:c r="B214" s="24" t="str">
        <x:v>A208</x:v>
      </x:c>
      <x:c r="C214" s="24" t="str">
        <x:v>evidence state</x:v>
      </x:c>
      <x:c r="D214" s="24" t="str">
        <x:v>gate 108 is OPEN</x:v>
      </x:c>
      <x:c r="E214" s="24" t="n">
        <x:f>IF('Gate Assignment'!N114="OPEN",1,0)</x:f>
        <x:v>1</x:v>
      </x:c>
      <x:c r="F214" s="24" t="n">
        <x:v>1</x:v>
      </x:c>
      <x:c r="G214" s="26" t="str">
        <x:f>IF(E214=F214,"PASS","FAIL")</x:f>
        <x:v>PASS</x:v>
      </x:c>
    </x:row>
    <x:row r="215">
      <x:c r="B215" s="24" t="str">
        <x:v>A209</x:v>
      </x:c>
      <x:c r="C215" s="24" t="str">
        <x:v>evidence state</x:v>
      </x:c>
      <x:c r="D215" s="24" t="str">
        <x:v>gate 109 is OPEN</x:v>
      </x:c>
      <x:c r="E215" s="24" t="n">
        <x:f>IF('Gate Assignment'!N115="OPEN",1,0)</x:f>
        <x:v>1</x:v>
      </x:c>
      <x:c r="F215" s="24" t="n">
        <x:v>1</x:v>
      </x:c>
      <x:c r="G215" s="26" t="str">
        <x:f>IF(E215=F215,"PASS","FAIL")</x:f>
        <x:v>PASS</x:v>
      </x:c>
    </x:row>
    <x:row r="216">
      <x:c r="B216" s="24" t="str">
        <x:v>A210</x:v>
      </x:c>
      <x:c r="C216" s="24" t="str">
        <x:v>evidence state</x:v>
      </x:c>
      <x:c r="D216" s="24" t="str">
        <x:v>gate 110 is OPEN</x:v>
      </x:c>
      <x:c r="E216" s="24" t="n">
        <x:f>IF('Gate Assignment'!N116="OPEN",1,0)</x:f>
        <x:v>1</x:v>
      </x:c>
      <x:c r="F216" s="24" t="n">
        <x:v>1</x:v>
      </x:c>
      <x:c r="G216" s="26" t="str">
        <x:f>IF(E216=F216,"PASS","FAIL")</x:f>
        <x:v>PASS</x:v>
      </x:c>
    </x:row>
    <x:row r="217">
      <x:c r="B217" s="24" t="str">
        <x:v>A211</x:v>
      </x:c>
      <x:c r="C217" s="24" t="str">
        <x:v>evidence state</x:v>
      </x:c>
      <x:c r="D217" s="24" t="str">
        <x:v>gate 111 is OPEN</x:v>
      </x:c>
      <x:c r="E217" s="24" t="n">
        <x:f>IF('Gate Assignment'!N117="OPEN",1,0)</x:f>
        <x:v>1</x:v>
      </x:c>
      <x:c r="F217" s="24" t="n">
        <x:v>1</x:v>
      </x:c>
      <x:c r="G217" s="26" t="str">
        <x:f>IF(E217=F217,"PASS","FAIL")</x:f>
        <x:v>PASS</x:v>
      </x:c>
    </x:row>
    <x:row r="218">
      <x:c r="B218" s="24" t="str">
        <x:v>A212</x:v>
      </x:c>
      <x:c r="C218" s="24" t="str">
        <x:v>evidence state</x:v>
      </x:c>
      <x:c r="D218" s="24" t="str">
        <x:v>gate 112 is OPEN</x:v>
      </x:c>
      <x:c r="E218" s="24" t="n">
        <x:f>IF('Gate Assignment'!N118="OPEN",1,0)</x:f>
        <x:v>1</x:v>
      </x:c>
      <x:c r="F218" s="24" t="n">
        <x:v>1</x:v>
      </x:c>
      <x:c r="G218" s="26" t="str">
        <x:f>IF(E218=F218,"PASS","FAIL")</x:f>
        <x:v>PASS</x:v>
      </x:c>
    </x:row>
    <x:row r="219">
      <x:c r="B219" s="24" t="str">
        <x:v>A213</x:v>
      </x:c>
      <x:c r="C219" s="24" t="str">
        <x:v>evidence state</x:v>
      </x:c>
      <x:c r="D219" s="24" t="str">
        <x:v>gate 113 is OPEN</x:v>
      </x:c>
      <x:c r="E219" s="24" t="n">
        <x:f>IF('Gate Assignment'!N119="OPEN",1,0)</x:f>
        <x:v>1</x:v>
      </x:c>
      <x:c r="F219" s="24" t="n">
        <x:v>1</x:v>
      </x:c>
      <x:c r="G219" s="26" t="str">
        <x:f>IF(E219=F219,"PASS","FAIL")</x:f>
        <x:v>PASS</x:v>
      </x:c>
    </x:row>
    <x:row r="220">
      <x:c r="B220" s="24" t="str">
        <x:v>A214</x:v>
      </x:c>
      <x:c r="C220" s="24" t="str">
        <x:v>evidence state</x:v>
      </x:c>
      <x:c r="D220" s="24" t="str">
        <x:v>gate 114 is OPEN</x:v>
      </x:c>
      <x:c r="E220" s="24" t="n">
        <x:f>IF('Gate Assignment'!N120="OPEN",1,0)</x:f>
        <x:v>1</x:v>
      </x:c>
      <x:c r="F220" s="24" t="n">
        <x:v>1</x:v>
      </x:c>
      <x:c r="G220" s="26" t="str">
        <x:f>IF(E220=F220,"PASS","FAIL")</x:f>
        <x:v>PASS</x:v>
      </x:c>
    </x:row>
    <x:row r="221">
      <x:c r="B221" s="24" t="str">
        <x:v>A215</x:v>
      </x:c>
      <x:c r="C221" s="24" t="str">
        <x:v>evidence state</x:v>
      </x:c>
      <x:c r="D221" s="24" t="str">
        <x:v>gate 115 is OPEN</x:v>
      </x:c>
      <x:c r="E221" s="24" t="n">
        <x:f>IF('Gate Assignment'!N121="OPEN",1,0)</x:f>
        <x:v>1</x:v>
      </x:c>
      <x:c r="F221" s="24" t="n">
        <x:v>1</x:v>
      </x:c>
      <x:c r="G221" s="26" t="str">
        <x:f>IF(E221=F221,"PASS","FAIL")</x:f>
        <x:v>PASS</x:v>
      </x:c>
    </x:row>
    <x:row r="222">
      <x:c r="B222" s="24" t="str">
        <x:v>A216</x:v>
      </x:c>
      <x:c r="C222" s="24" t="str">
        <x:v>evidence state</x:v>
      </x:c>
      <x:c r="D222" s="24" t="str">
        <x:v>gate 116 is OPEN</x:v>
      </x:c>
      <x:c r="E222" s="24" t="n">
        <x:f>IF('Gate Assignment'!N122="OPEN",1,0)</x:f>
        <x:v>1</x:v>
      </x:c>
      <x:c r="F222" s="24" t="n">
        <x:v>1</x:v>
      </x:c>
      <x:c r="G222" s="26" t="str">
        <x:f>IF(E222=F222,"PASS","FAIL")</x:f>
        <x:v>PASS</x:v>
      </x:c>
    </x:row>
    <x:row r="223">
      <x:c r="B223" s="24" t="str">
        <x:v>A217</x:v>
      </x:c>
      <x:c r="C223" s="24" t="str">
        <x:v>evidence state</x:v>
      </x:c>
      <x:c r="D223" s="24" t="str">
        <x:v>gate 117 is OPEN</x:v>
      </x:c>
      <x:c r="E223" s="24" t="n">
        <x:f>IF('Gate Assignment'!N123="OPEN",1,0)</x:f>
        <x:v>1</x:v>
      </x:c>
      <x:c r="F223" s="24" t="n">
        <x:v>1</x:v>
      </x:c>
      <x:c r="G223" s="26" t="str">
        <x:f>IF(E223=F223,"PASS","FAIL")</x:f>
        <x:v>PASS</x:v>
      </x:c>
    </x:row>
    <x:row r="224">
      <x:c r="B224" s="24" t="str">
        <x:v>A218</x:v>
      </x:c>
      <x:c r="C224" s="24" t="str">
        <x:v>evidence state</x:v>
      </x:c>
      <x:c r="D224" s="24" t="str">
        <x:v>gate 118 is OPEN</x:v>
      </x:c>
      <x:c r="E224" s="24" t="n">
        <x:f>IF('Gate Assignment'!N124="OPEN",1,0)</x:f>
        <x:v>1</x:v>
      </x:c>
      <x:c r="F224" s="24" t="n">
        <x:v>1</x:v>
      </x:c>
      <x:c r="G224" s="26" t="str">
        <x:f>IF(E224=F224,"PASS","FAIL")</x:f>
        <x:v>PASS</x:v>
      </x:c>
    </x:row>
    <x:row r="225">
      <x:c r="B225" s="24" t="str">
        <x:v>A219</x:v>
      </x:c>
      <x:c r="C225" s="24" t="str">
        <x:v>evidence state</x:v>
      </x:c>
      <x:c r="D225" s="24" t="str">
        <x:v>gate 119 is OPEN</x:v>
      </x:c>
      <x:c r="E225" s="24" t="n">
        <x:f>IF('Gate Assignment'!N125="OPEN",1,0)</x:f>
        <x:v>1</x:v>
      </x:c>
      <x:c r="F225" s="24" t="n">
        <x:v>1</x:v>
      </x:c>
      <x:c r="G225" s="26" t="str">
        <x:f>IF(E225=F225,"PASS","FAIL")</x:f>
        <x:v>PASS</x:v>
      </x:c>
    </x:row>
    <x:row r="226">
      <x:c r="B226" s="24" t="str">
        <x:v>A220</x:v>
      </x:c>
      <x:c r="C226" s="24" t="str">
        <x:v>evidence state</x:v>
      </x:c>
      <x:c r="D226" s="24" t="str">
        <x:v>gate 120 is OPEN</x:v>
      </x:c>
      <x:c r="E226" s="24" t="n">
        <x:f>IF('Gate Assignment'!N126="OPEN",1,0)</x:f>
        <x:v>1</x:v>
      </x:c>
      <x:c r="F226" s="24" t="n">
        <x:v>1</x:v>
      </x:c>
      <x:c r="G226" s="26" t="str">
        <x:f>IF(E226=F226,"PASS","FAIL")</x:f>
        <x:v>PASS</x:v>
      </x:c>
    </x:row>
    <x:row r="227">
      <x:c r="B227" s="24" t="str">
        <x:v>A221</x:v>
      </x:c>
      <x:c r="C227" s="24" t="str">
        <x:v>evidence state</x:v>
      </x:c>
      <x:c r="D227" s="24" t="str">
        <x:v>gate 121 is OPEN</x:v>
      </x:c>
      <x:c r="E227" s="24" t="n">
        <x:f>IF('Gate Assignment'!N127="OPEN",1,0)</x:f>
        <x:v>1</x:v>
      </x:c>
      <x:c r="F227" s="24" t="n">
        <x:v>1</x:v>
      </x:c>
      <x:c r="G227" s="26" t="str">
        <x:f>IF(E227=F227,"PASS","FAIL")</x:f>
        <x:v>PASS</x:v>
      </x:c>
    </x:row>
    <x:row r="228">
      <x:c r="B228" s="24" t="str">
        <x:v>A222</x:v>
      </x:c>
      <x:c r="C228" s="24" t="str">
        <x:v>evidence state</x:v>
      </x:c>
      <x:c r="D228" s="24" t="str">
        <x:v>gate 122 is OPEN</x:v>
      </x:c>
      <x:c r="E228" s="24" t="n">
        <x:f>IF('Gate Assignment'!N128="OPEN",1,0)</x:f>
        <x:v>1</x:v>
      </x:c>
      <x:c r="F228" s="24" t="n">
        <x:v>1</x:v>
      </x:c>
      <x:c r="G228" s="26" t="str">
        <x:f>IF(E228=F228,"PASS","FAIL")</x:f>
        <x:v>PASS</x:v>
      </x:c>
    </x:row>
    <x:row r="229">
      <x:c r="B229" s="24" t="str">
        <x:v>A223</x:v>
      </x:c>
      <x:c r="C229" s="24" t="str">
        <x:v>evidence state</x:v>
      </x:c>
      <x:c r="D229" s="24" t="str">
        <x:v>gate 123 is OPEN</x:v>
      </x:c>
      <x:c r="E229" s="24" t="n">
        <x:f>IF('Gate Assignment'!N129="OPEN",1,0)</x:f>
        <x:v>1</x:v>
      </x:c>
      <x:c r="F229" s="24" t="n">
        <x:v>1</x:v>
      </x:c>
      <x:c r="G229" s="26" t="str">
        <x:f>IF(E229=F229,"PASS","FAIL")</x:f>
        <x:v>PASS</x:v>
      </x:c>
    </x:row>
    <x:row r="230">
      <x:c r="B230" s="24" t="str">
        <x:v>A224</x:v>
      </x:c>
      <x:c r="C230" s="24" t="str">
        <x:v>evidence state</x:v>
      </x:c>
      <x:c r="D230" s="24" t="str">
        <x:v>gate 124 is OPEN</x:v>
      </x:c>
      <x:c r="E230" s="24" t="n">
        <x:f>IF('Gate Assignment'!N130="OPEN",1,0)</x:f>
        <x:v>1</x:v>
      </x:c>
      <x:c r="F230" s="24" t="n">
        <x:v>1</x:v>
      </x:c>
      <x:c r="G230" s="26" t="str">
        <x:f>IF(E230=F230,"PASS","FAIL")</x:f>
        <x:v>PASS</x:v>
      </x:c>
    </x:row>
    <x:row r="231">
      <x:c r="B231" s="24" t="str">
        <x:v>A225</x:v>
      </x:c>
      <x:c r="C231" s="24" t="str">
        <x:v>evidence state</x:v>
      </x:c>
      <x:c r="D231" s="24" t="str">
        <x:v>gate 125 is OPEN</x:v>
      </x:c>
      <x:c r="E231" s="24" t="n">
        <x:f>IF('Gate Assignment'!N131="OPEN",1,0)</x:f>
        <x:v>1</x:v>
      </x:c>
      <x:c r="F231" s="24" t="n">
        <x:v>1</x:v>
      </x:c>
      <x:c r="G231" s="26" t="str">
        <x:f>IF(E231=F231,"PASS","FAIL")</x:f>
        <x:v>PASS</x:v>
      </x:c>
    </x:row>
    <x:row r="232">
      <x:c r="B232" s="24" t="str">
        <x:v>A226</x:v>
      </x:c>
      <x:c r="C232" s="24" t="str">
        <x:v>evidence state</x:v>
      </x:c>
      <x:c r="D232" s="24" t="str">
        <x:v>gate 126 is OPEN</x:v>
      </x:c>
      <x:c r="E232" s="24" t="n">
        <x:f>IF('Gate Assignment'!N132="OPEN",1,0)</x:f>
        <x:v>1</x:v>
      </x:c>
      <x:c r="F232" s="24" t="n">
        <x:v>1</x:v>
      </x:c>
      <x:c r="G232" s="26" t="str">
        <x:f>IF(E232=F232,"PASS","FAIL")</x:f>
        <x:v>PASS</x:v>
      </x:c>
    </x:row>
    <x:row r="233">
      <x:c r="B233" s="24" t="str">
        <x:v>A227</x:v>
      </x:c>
      <x:c r="C233" s="24" t="str">
        <x:v>evidence state</x:v>
      </x:c>
      <x:c r="D233" s="24" t="str">
        <x:v>gate 127 is OPEN</x:v>
      </x:c>
      <x:c r="E233" s="24" t="n">
        <x:f>IF('Gate Assignment'!N133="OPEN",1,0)</x:f>
        <x:v>1</x:v>
      </x:c>
      <x:c r="F233" s="24" t="n">
        <x:v>1</x:v>
      </x:c>
      <x:c r="G233" s="26" t="str">
        <x:f>IF(E233=F233,"PASS","FAIL")</x:f>
        <x:v>PASS</x:v>
      </x:c>
    </x:row>
    <x:row r="234">
      <x:c r="B234" s="24" t="str">
        <x:v>A228</x:v>
      </x:c>
      <x:c r="C234" s="24" t="str">
        <x:v>evidence state</x:v>
      </x:c>
      <x:c r="D234" s="24" t="str">
        <x:v>gate 128 is OPEN</x:v>
      </x:c>
      <x:c r="E234" s="24" t="n">
        <x:f>IF('Gate Assignment'!N134="OPEN",1,0)</x:f>
        <x:v>1</x:v>
      </x:c>
      <x:c r="F234" s="24" t="n">
        <x:v>1</x:v>
      </x:c>
      <x:c r="G234" s="26" t="str">
        <x:f>IF(E234=F234,"PASS","FAIL")</x:f>
        <x:v>PASS</x:v>
      </x:c>
    </x:row>
    <x:row r="235">
      <x:c r="B235" s="24" t="str">
        <x:v>A229</x:v>
      </x:c>
      <x:c r="C235" s="24" t="str">
        <x:v>evidence state</x:v>
      </x:c>
      <x:c r="D235" s="24" t="str">
        <x:v>gate 129 is OPEN</x:v>
      </x:c>
      <x:c r="E235" s="24" t="n">
        <x:f>IF('Gate Assignment'!N135="OPEN",1,0)</x:f>
        <x:v>1</x:v>
      </x:c>
      <x:c r="F235" s="24" t="n">
        <x:v>1</x:v>
      </x:c>
      <x:c r="G235" s="26" t="str">
        <x:f>IF(E235=F235,"PASS","FAIL")</x:f>
        <x:v>PASS</x:v>
      </x:c>
    </x:row>
    <x:row r="236">
      <x:c r="B236" s="24" t="str">
        <x:v>A230</x:v>
      </x:c>
      <x:c r="C236" s="24" t="str">
        <x:v>evidence state</x:v>
      </x:c>
      <x:c r="D236" s="24" t="str">
        <x:v>gate 130 is OPEN</x:v>
      </x:c>
      <x:c r="E236" s="24" t="n">
        <x:f>IF('Gate Assignment'!N136="OPEN",1,0)</x:f>
        <x:v>1</x:v>
      </x:c>
      <x:c r="F236" s="24" t="n">
        <x:v>1</x:v>
      </x:c>
      <x:c r="G236" s="26" t="str">
        <x:f>IF(E236=F236,"PASS","FAIL")</x:f>
        <x:v>PASS</x:v>
      </x:c>
    </x:row>
    <x:row r="237">
      <x:c r="B237" s="24" t="str">
        <x:v>A231</x:v>
      </x:c>
      <x:c r="C237" s="24" t="str">
        <x:v>evidence state</x:v>
      </x:c>
      <x:c r="D237" s="24" t="str">
        <x:v>gate 131 is OPEN</x:v>
      </x:c>
      <x:c r="E237" s="24" t="n">
        <x:f>IF('Gate Assignment'!N137="OPEN",1,0)</x:f>
        <x:v>1</x:v>
      </x:c>
      <x:c r="F237" s="24" t="n">
        <x:v>1</x:v>
      </x:c>
      <x:c r="G237" s="26" t="str">
        <x:f>IF(E237=F237,"PASS","FAIL")</x:f>
        <x:v>PASS</x:v>
      </x:c>
    </x:row>
    <x:row r="238">
      <x:c r="B238" s="24" t="str">
        <x:v>A232</x:v>
      </x:c>
      <x:c r="C238" s="24" t="str">
        <x:v>evidence state</x:v>
      </x:c>
      <x:c r="D238" s="24" t="str">
        <x:v>gate 132 is OPEN</x:v>
      </x:c>
      <x:c r="E238" s="24" t="n">
        <x:f>IF('Gate Assignment'!N138="OPEN",1,0)</x:f>
        <x:v>1</x:v>
      </x:c>
      <x:c r="F238" s="24" t="n">
        <x:v>1</x:v>
      </x:c>
      <x:c r="G238" s="26" t="str">
        <x:f>IF(E238=F238,"PASS","FAIL")</x:f>
        <x:v>PASS</x:v>
      </x:c>
    </x:row>
    <x:row r="239">
      <x:c r="B239" s="24" t="str">
        <x:v>A233</x:v>
      </x:c>
      <x:c r="C239" s="24" t="str">
        <x:v>evidence state</x:v>
      </x:c>
      <x:c r="D239" s="24" t="str">
        <x:v>gate 133 is OPEN</x:v>
      </x:c>
      <x:c r="E239" s="24" t="n">
        <x:f>IF('Gate Assignment'!N139="OPEN",1,0)</x:f>
        <x:v>1</x:v>
      </x:c>
      <x:c r="F239" s="24" t="n">
        <x:v>1</x:v>
      </x:c>
      <x:c r="G239" s="26" t="str">
        <x:f>IF(E239=F239,"PASS","FAIL")</x:f>
        <x:v>PASS</x:v>
      </x:c>
    </x:row>
    <x:row r="240">
      <x:c r="B240" s="24" t="str">
        <x:v>A234</x:v>
      </x:c>
      <x:c r="C240" s="24" t="str">
        <x:v>evidence state</x:v>
      </x:c>
      <x:c r="D240" s="24" t="str">
        <x:v>gate 134 is OPEN</x:v>
      </x:c>
      <x:c r="E240" s="24" t="n">
        <x:f>IF('Gate Assignment'!N140="OPEN",1,0)</x:f>
        <x:v>1</x:v>
      </x:c>
      <x:c r="F240" s="24" t="n">
        <x:v>1</x:v>
      </x:c>
      <x:c r="G240" s="26" t="str">
        <x:f>IF(E240=F240,"PASS","FAIL")</x:f>
        <x:v>PASS</x:v>
      </x:c>
    </x:row>
    <x:row r="241">
      <x:c r="B241" s="24" t="str">
        <x:v>A235</x:v>
      </x:c>
      <x:c r="C241" s="24" t="str">
        <x:v>evidence state</x:v>
      </x:c>
      <x:c r="D241" s="24" t="str">
        <x:v>gate 135 is OPEN</x:v>
      </x:c>
      <x:c r="E241" s="24" t="n">
        <x:f>IF('Gate Assignment'!N141="OPEN",1,0)</x:f>
        <x:v>1</x:v>
      </x:c>
      <x:c r="F241" s="24" t="n">
        <x:v>1</x:v>
      </x:c>
      <x:c r="G241" s="26" t="str">
        <x:f>IF(E241=F241,"PASS","FAIL")</x:f>
        <x:v>PASS</x:v>
      </x:c>
    </x:row>
    <x:row r="242">
      <x:c r="B242" s="24" t="str">
        <x:v>A236</x:v>
      </x:c>
      <x:c r="C242" s="24" t="str">
        <x:v>evidence state</x:v>
      </x:c>
      <x:c r="D242" s="24" t="str">
        <x:v>gate 136 is OPEN</x:v>
      </x:c>
      <x:c r="E242" s="24" t="n">
        <x:f>IF('Gate Assignment'!N142="OPEN",1,0)</x:f>
        <x:v>1</x:v>
      </x:c>
      <x:c r="F242" s="24" t="n">
        <x:v>1</x:v>
      </x:c>
      <x:c r="G242" s="26" t="str">
        <x:f>IF(E242=F242,"PASS","FAIL")</x:f>
        <x:v>PASS</x:v>
      </x:c>
    </x:row>
    <x:row r="243">
      <x:c r="B243" s="24" t="str">
        <x:v>A237</x:v>
      </x:c>
      <x:c r="C243" s="24" t="str">
        <x:v>evidence state</x:v>
      </x:c>
      <x:c r="D243" s="24" t="str">
        <x:v>gate 137 is OPEN</x:v>
      </x:c>
      <x:c r="E243" s="24" t="n">
        <x:f>IF('Gate Assignment'!N143="OPEN",1,0)</x:f>
        <x:v>1</x:v>
      </x:c>
      <x:c r="F243" s="24" t="n">
        <x:v>1</x:v>
      </x:c>
      <x:c r="G243" s="26" t="str">
        <x:f>IF(E243=F243,"PASS","FAIL")</x:f>
        <x:v>PASS</x:v>
      </x:c>
    </x:row>
    <x:row r="244">
      <x:c r="B244" s="24" t="str">
        <x:v>A238</x:v>
      </x:c>
      <x:c r="C244" s="24" t="str">
        <x:v>evidence state</x:v>
      </x:c>
      <x:c r="D244" s="24" t="str">
        <x:v>gate 138 is OPEN</x:v>
      </x:c>
      <x:c r="E244" s="24" t="n">
        <x:f>IF('Gate Assignment'!N144="OPEN",1,0)</x:f>
        <x:v>1</x:v>
      </x:c>
      <x:c r="F244" s="24" t="n">
        <x:v>1</x:v>
      </x:c>
      <x:c r="G244" s="26" t="str">
        <x:f>IF(E244=F244,"PASS","FAIL")</x:f>
        <x:v>PASS</x:v>
      </x:c>
    </x:row>
    <x:row r="245">
      <x:c r="B245" s="24" t="str">
        <x:v>A239</x:v>
      </x:c>
      <x:c r="C245" s="24" t="str">
        <x:v>evidence state</x:v>
      </x:c>
      <x:c r="D245" s="24" t="str">
        <x:v>gate 139 is OPEN</x:v>
      </x:c>
      <x:c r="E245" s="24" t="n">
        <x:f>IF('Gate Assignment'!N145="OPEN",1,0)</x:f>
        <x:v>1</x:v>
      </x:c>
      <x:c r="F245" s="24" t="n">
        <x:v>1</x:v>
      </x:c>
      <x:c r="G245" s="26" t="str">
        <x:f>IF(E245=F245,"PASS","FAIL")</x:f>
        <x:v>PASS</x:v>
      </x:c>
    </x:row>
    <x:row r="246">
      <x:c r="B246" s="24" t="str">
        <x:v>A240</x:v>
      </x:c>
      <x:c r="C246" s="24" t="str">
        <x:v>evidence state</x:v>
      </x:c>
      <x:c r="D246" s="24" t="str">
        <x:v>gate 140 is OPEN</x:v>
      </x:c>
      <x:c r="E246" s="24" t="n">
        <x:f>IF('Gate Assignment'!N146="OPEN",1,0)</x:f>
        <x:v>1</x:v>
      </x:c>
      <x:c r="F246" s="24" t="n">
        <x:v>1</x:v>
      </x:c>
      <x:c r="G246" s="26" t="str">
        <x:f>IF(E246=F246,"PASS","FAIL")</x:f>
        <x:v>PASS</x:v>
      </x:c>
    </x:row>
    <x:row r="247">
      <x:c r="B247" s="24" t="str">
        <x:v>A241</x:v>
      </x:c>
      <x:c r="C247" s="24" t="str">
        <x:v>evidence state</x:v>
      </x:c>
      <x:c r="D247" s="24" t="str">
        <x:v>gate 141 is OPEN</x:v>
      </x:c>
      <x:c r="E247" s="24" t="n">
        <x:f>IF('Gate Assignment'!N147="OPEN",1,0)</x:f>
        <x:v>1</x:v>
      </x:c>
      <x:c r="F247" s="24" t="n">
        <x:v>1</x:v>
      </x:c>
      <x:c r="G247" s="26" t="str">
        <x:f>IF(E247=F247,"PASS","FAIL")</x:f>
        <x:v>PASS</x:v>
      </x:c>
    </x:row>
    <x:row r="248">
      <x:c r="B248" s="24" t="str">
        <x:v>A242</x:v>
      </x:c>
      <x:c r="C248" s="24" t="str">
        <x:v>evidence state</x:v>
      </x:c>
      <x:c r="D248" s="24" t="str">
        <x:v>gate 142 is OPEN</x:v>
      </x:c>
      <x:c r="E248" s="24" t="n">
        <x:f>IF('Gate Assignment'!N148="OPEN",1,0)</x:f>
        <x:v>1</x:v>
      </x:c>
      <x:c r="F248" s="24" t="n">
        <x:v>1</x:v>
      </x:c>
      <x:c r="G248" s="26" t="str">
        <x:f>IF(E248=F248,"PASS","FAIL")</x:f>
        <x:v>PASS</x:v>
      </x:c>
    </x:row>
    <x:row r="249">
      <x:c r="B249" s="24" t="str">
        <x:v>A243</x:v>
      </x:c>
      <x:c r="C249" s="24" t="str">
        <x:v>evidence state</x:v>
      </x:c>
      <x:c r="D249" s="24" t="str">
        <x:v>gate 143 is OPEN</x:v>
      </x:c>
      <x:c r="E249" s="24" t="n">
        <x:f>IF('Gate Assignment'!N149="OPEN",1,0)</x:f>
        <x:v>1</x:v>
      </x:c>
      <x:c r="F249" s="24" t="n">
        <x:v>1</x:v>
      </x:c>
      <x:c r="G249" s="26" t="str">
        <x:f>IF(E249=F249,"PASS","FAIL")</x:f>
        <x:v>PASS</x:v>
      </x:c>
    </x:row>
    <x:row r="250">
      <x:c r="B250" s="24" t="str">
        <x:v>A244</x:v>
      </x:c>
      <x:c r="C250" s="24" t="str">
        <x:v>evidence state</x:v>
      </x:c>
      <x:c r="D250" s="24" t="str">
        <x:v>gate 144 is OPEN</x:v>
      </x:c>
      <x:c r="E250" s="24" t="n">
        <x:f>IF('Gate Assignment'!N150="OPEN",1,0)</x:f>
        <x:v>1</x:v>
      </x:c>
      <x:c r="F250" s="24" t="n">
        <x:v>1</x:v>
      </x:c>
      <x:c r="G250" s="26" t="str">
        <x:f>IF(E250=F250,"PASS","FAIL")</x:f>
        <x:v>PASS</x:v>
      </x:c>
    </x:row>
    <x:row r="251">
      <x:c r="B251" s="24" t="str">
        <x:v>A245</x:v>
      </x:c>
      <x:c r="C251" s="24" t="str">
        <x:v>evidence state</x:v>
      </x:c>
      <x:c r="D251" s="24" t="str">
        <x:v>gate 145 is OPEN</x:v>
      </x:c>
      <x:c r="E251" s="24" t="n">
        <x:f>IF('Gate Assignment'!N151="OPEN",1,0)</x:f>
        <x:v>1</x:v>
      </x:c>
      <x:c r="F251" s="24" t="n">
        <x:v>1</x:v>
      </x:c>
      <x:c r="G251" s="26" t="str">
        <x:f>IF(E251=F251,"PASS","FAIL")</x:f>
        <x:v>PASS</x:v>
      </x:c>
    </x:row>
    <x:row r="252">
      <x:c r="B252" s="24" t="str">
        <x:v>A246</x:v>
      </x:c>
      <x:c r="C252" s="24" t="str">
        <x:v>evidence state</x:v>
      </x:c>
      <x:c r="D252" s="24" t="str">
        <x:v>gate 146 is OPEN</x:v>
      </x:c>
      <x:c r="E252" s="24" t="n">
        <x:f>IF('Gate Assignment'!N152="OPEN",1,0)</x:f>
        <x:v>1</x:v>
      </x:c>
      <x:c r="F252" s="24" t="n">
        <x:v>1</x:v>
      </x:c>
      <x:c r="G252" s="26" t="str">
        <x:f>IF(E252=F252,"PASS","FAIL")</x:f>
        <x:v>PASS</x:v>
      </x:c>
    </x:row>
    <x:row r="253">
      <x:c r="B253" s="24" t="str">
        <x:v>A247</x:v>
      </x:c>
      <x:c r="C253" s="24" t="str">
        <x:v>evidence state</x:v>
      </x:c>
      <x:c r="D253" s="24" t="str">
        <x:v>gate 147 is OPEN</x:v>
      </x:c>
      <x:c r="E253" s="24" t="n">
        <x:f>IF('Gate Assignment'!N153="OPEN",1,0)</x:f>
        <x:v>1</x:v>
      </x:c>
      <x:c r="F253" s="24" t="n">
        <x:v>1</x:v>
      </x:c>
      <x:c r="G253" s="26" t="str">
        <x:f>IF(E253=F253,"PASS","FAIL")</x:f>
        <x:v>PASS</x:v>
      </x:c>
    </x:row>
    <x:row r="254">
      <x:c r="B254" s="24" t="str">
        <x:v>A248</x:v>
      </x:c>
      <x:c r="C254" s="24" t="str">
        <x:v>evidence state</x:v>
      </x:c>
      <x:c r="D254" s="24" t="str">
        <x:v>gate 148 is OPEN</x:v>
      </x:c>
      <x:c r="E254" s="24" t="n">
        <x:f>IF('Gate Assignment'!N154="OPEN",1,0)</x:f>
        <x:v>1</x:v>
      </x:c>
      <x:c r="F254" s="24" t="n">
        <x:v>1</x:v>
      </x:c>
      <x:c r="G254" s="26" t="str">
        <x:f>IF(E254=F254,"PASS","FAIL")</x:f>
        <x:v>PASS</x:v>
      </x:c>
    </x:row>
    <x:row r="255">
      <x:c r="B255" s="24" t="str">
        <x:v>A249</x:v>
      </x:c>
      <x:c r="C255" s="24" t="str">
        <x:v>evidence state</x:v>
      </x:c>
      <x:c r="D255" s="24" t="str">
        <x:v>gate 149 is OPEN</x:v>
      </x:c>
      <x:c r="E255" s="24" t="n">
        <x:f>IF('Gate Assignment'!N155="OPEN",1,0)</x:f>
        <x:v>1</x:v>
      </x:c>
      <x:c r="F255" s="24" t="n">
        <x:v>1</x:v>
      </x:c>
      <x:c r="G255" s="26" t="str">
        <x:f>IF(E255=F255,"PASS","FAIL")</x:f>
        <x:v>PASS</x:v>
      </x:c>
    </x:row>
    <x:row r="256">
      <x:c r="B256" s="24" t="str">
        <x:v>A250</x:v>
      </x:c>
      <x:c r="C256" s="24" t="str">
        <x:v>evidence state</x:v>
      </x:c>
      <x:c r="D256" s="24" t="str">
        <x:v>gate 150 is OPEN</x:v>
      </x:c>
      <x:c r="E256" s="24" t="n">
        <x:f>IF('Gate Assignment'!N156="OPEN",1,0)</x:f>
        <x:v>1</x:v>
      </x:c>
      <x:c r="F256" s="24" t="n">
        <x:v>1</x:v>
      </x:c>
      <x:c r="G256" s="26" t="str">
        <x:f>IF(E256=F256,"PASS","FAIL")</x:f>
        <x:v>PASS</x:v>
      </x:c>
    </x:row>
    <x:row r="257">
      <x:c r="B257" s="24" t="str">
        <x:v>A251</x:v>
      </x:c>
      <x:c r="C257" s="24" t="str">
        <x:v>evidence state</x:v>
      </x:c>
      <x:c r="D257" s="24" t="str">
        <x:v>gate 151 is OPEN</x:v>
      </x:c>
      <x:c r="E257" s="24" t="n">
        <x:f>IF('Gate Assignment'!N157="OPEN",1,0)</x:f>
        <x:v>1</x:v>
      </x:c>
      <x:c r="F257" s="24" t="n">
        <x:v>1</x:v>
      </x:c>
      <x:c r="G257" s="26" t="str">
        <x:f>IF(E257=F257,"PASS","FAIL")</x:f>
        <x:v>PASS</x:v>
      </x:c>
    </x:row>
    <x:row r="258">
      <x:c r="B258" s="24" t="str">
        <x:v>A252</x:v>
      </x:c>
      <x:c r="C258" s="24" t="str">
        <x:v>evidence state</x:v>
      </x:c>
      <x:c r="D258" s="24" t="str">
        <x:v>gate 152 is OPEN</x:v>
      </x:c>
      <x:c r="E258" s="24" t="n">
        <x:f>IF('Gate Assignment'!N158="OPEN",1,0)</x:f>
        <x:v>1</x:v>
      </x:c>
      <x:c r="F258" s="24" t="n">
        <x:v>1</x:v>
      </x:c>
      <x:c r="G258" s="26" t="str">
        <x:f>IF(E258=F258,"PASS","FAIL")</x:f>
        <x:v>PASS</x:v>
      </x:c>
    </x:row>
    <x:row r="259">
      <x:c r="B259" s="24" t="str">
        <x:v>A253</x:v>
      </x:c>
      <x:c r="C259" s="24" t="str">
        <x:v>evidence state</x:v>
      </x:c>
      <x:c r="D259" s="24" t="str">
        <x:v>gate 153 is OPEN</x:v>
      </x:c>
      <x:c r="E259" s="24" t="n">
        <x:f>IF('Gate Assignment'!N159="OPEN",1,0)</x:f>
        <x:v>1</x:v>
      </x:c>
      <x:c r="F259" s="24" t="n">
        <x:v>1</x:v>
      </x:c>
      <x:c r="G259" s="26" t="str">
        <x:f>IF(E259=F259,"PASS","FAIL")</x:f>
        <x:v>PASS</x:v>
      </x:c>
    </x:row>
    <x:row r="260">
      <x:c r="B260" s="24" t="str">
        <x:v>A254</x:v>
      </x:c>
      <x:c r="C260" s="24" t="str">
        <x:v>evidence state</x:v>
      </x:c>
      <x:c r="D260" s="24" t="str">
        <x:v>gate 154 is OPEN</x:v>
      </x:c>
      <x:c r="E260" s="24" t="n">
        <x:f>IF('Gate Assignment'!N160="OPEN",1,0)</x:f>
        <x:v>1</x:v>
      </x:c>
      <x:c r="F260" s="24" t="n">
        <x:v>1</x:v>
      </x:c>
      <x:c r="G260" s="26" t="str">
        <x:f>IF(E260=F260,"PASS","FAIL")</x:f>
        <x:v>PASS</x:v>
      </x:c>
    </x:row>
    <x:row r="261">
      <x:c r="B261" s="24" t="str">
        <x:v>A255</x:v>
      </x:c>
      <x:c r="C261" s="24" t="str">
        <x:v>evidence state</x:v>
      </x:c>
      <x:c r="D261" s="24" t="str">
        <x:v>gate 155 is OPEN</x:v>
      </x:c>
      <x:c r="E261" s="24" t="n">
        <x:f>IF('Gate Assignment'!N161="OPEN",1,0)</x:f>
        <x:v>1</x:v>
      </x:c>
      <x:c r="F261" s="24" t="n">
        <x:v>1</x:v>
      </x:c>
      <x:c r="G261" s="26" t="str">
        <x:f>IF(E261=F261,"PASS","FAIL")</x:f>
        <x:v>PASS</x:v>
      </x:c>
    </x:row>
    <x:row r="262">
      <x:c r="B262" s="24" t="str">
        <x:v>A256</x:v>
      </x:c>
      <x:c r="C262" s="24" t="str">
        <x:v>evidence state</x:v>
      </x:c>
      <x:c r="D262" s="24" t="str">
        <x:v>gate 156 is OPEN</x:v>
      </x:c>
      <x:c r="E262" s="24" t="n">
        <x:f>IF('Gate Assignment'!N162="OPEN",1,0)</x:f>
        <x:v>1</x:v>
      </x:c>
      <x:c r="F262" s="24" t="n">
        <x:v>1</x:v>
      </x:c>
      <x:c r="G262" s="26" t="str">
        <x:f>IF(E262=F262,"PASS","FAIL")</x:f>
        <x:v>PASS</x:v>
      </x:c>
    </x:row>
    <x:row r="263">
      <x:c r="B263" s="24" t="str">
        <x:v>A257</x:v>
      </x:c>
      <x:c r="C263" s="24" t="str">
        <x:v>evidence state</x:v>
      </x:c>
      <x:c r="D263" s="24" t="str">
        <x:v>gate 157 is OPEN</x:v>
      </x:c>
      <x:c r="E263" s="24" t="n">
        <x:f>IF('Gate Assignment'!N163="OPEN",1,0)</x:f>
        <x:v>1</x:v>
      </x:c>
      <x:c r="F263" s="24" t="n">
        <x:v>1</x:v>
      </x:c>
      <x:c r="G263" s="26" t="str">
        <x:f>IF(E263=F263,"PASS","FAIL")</x:f>
        <x:v>PASS</x:v>
      </x:c>
    </x:row>
    <x:row r="264">
      <x:c r="B264" s="24" t="str">
        <x:v>A258</x:v>
      </x:c>
      <x:c r="C264" s="24" t="str">
        <x:v>evidence state</x:v>
      </x:c>
      <x:c r="D264" s="24" t="str">
        <x:v>gate 158 is OPEN</x:v>
      </x:c>
      <x:c r="E264" s="24" t="n">
        <x:f>IF('Gate Assignment'!N164="OPEN",1,0)</x:f>
        <x:v>1</x:v>
      </x:c>
      <x:c r="F264" s="24" t="n">
        <x:v>1</x:v>
      </x:c>
      <x:c r="G264" s="26" t="str">
        <x:f>IF(E264=F264,"PASS","FAIL")</x:f>
        <x:v>PASS</x:v>
      </x:c>
    </x:row>
    <x:row r="265">
      <x:c r="B265" s="24" t="str">
        <x:v>A259</x:v>
      </x:c>
      <x:c r="C265" s="24" t="str">
        <x:v>evidence state</x:v>
      </x:c>
      <x:c r="D265" s="24" t="str">
        <x:v>gate 159 is OPEN</x:v>
      </x:c>
      <x:c r="E265" s="24" t="n">
        <x:f>IF('Gate Assignment'!N165="OPEN",1,0)</x:f>
        <x:v>1</x:v>
      </x:c>
      <x:c r="F265" s="24" t="n">
        <x:v>1</x:v>
      </x:c>
      <x:c r="G265" s="26" t="str">
        <x:f>IF(E265=F265,"PASS","FAIL")</x:f>
        <x:v>PASS</x:v>
      </x:c>
    </x:row>
    <x:row r="266">
      <x:c r="B266" s="24" t="str">
        <x:v>A260</x:v>
      </x:c>
      <x:c r="C266" s="24" t="str">
        <x:v>evidence state</x:v>
      </x:c>
      <x:c r="D266" s="24" t="str">
        <x:v>gate 160 is OPEN</x:v>
      </x:c>
      <x:c r="E266" s="24" t="n">
        <x:f>IF('Gate Assignment'!N166="OPEN",1,0)</x:f>
        <x:v>1</x:v>
      </x:c>
      <x:c r="F266" s="24" t="n">
        <x:v>1</x:v>
      </x:c>
      <x:c r="G266" s="26" t="str">
        <x:f>IF(E266=F266,"PASS","FAIL")</x:f>
        <x:v>PASS</x:v>
      </x:c>
    </x:row>
    <x:row r="267">
      <x:c r="B267" s="24" t="str">
        <x:v>A261</x:v>
      </x:c>
      <x:c r="C267" s="24" t="str">
        <x:v>evidence state</x:v>
      </x:c>
      <x:c r="D267" s="24" t="str">
        <x:v>gate 161 is OPEN</x:v>
      </x:c>
      <x:c r="E267" s="24" t="n">
        <x:f>IF('Gate Assignment'!N167="OPEN",1,0)</x:f>
        <x:v>1</x:v>
      </x:c>
      <x:c r="F267" s="24" t="n">
        <x:v>1</x:v>
      </x:c>
      <x:c r="G267" s="26" t="str">
        <x:f>IF(E267=F267,"PASS","FAIL")</x:f>
        <x:v>PASS</x:v>
      </x:c>
    </x:row>
    <x:row r="268">
      <x:c r="B268" s="24" t="str">
        <x:v>A262</x:v>
      </x:c>
      <x:c r="C268" s="24" t="str">
        <x:v>evidence state</x:v>
      </x:c>
      <x:c r="D268" s="24" t="str">
        <x:v>gate 162 is OPEN</x:v>
      </x:c>
      <x:c r="E268" s="24" t="n">
        <x:f>IF('Gate Assignment'!N168="OPEN",1,0)</x:f>
        <x:v>1</x:v>
      </x:c>
      <x:c r="F268" s="24" t="n">
        <x:v>1</x:v>
      </x:c>
      <x:c r="G268" s="26" t="str">
        <x:f>IF(E268=F268,"PASS","FAIL")</x:f>
        <x:v>PASS</x:v>
      </x:c>
    </x:row>
    <x:row r="269">
      <x:c r="B269" s="24" t="str">
        <x:v>A263</x:v>
      </x:c>
      <x:c r="C269" s="24" t="str">
        <x:v>evidence state</x:v>
      </x:c>
      <x:c r="D269" s="24" t="str">
        <x:v>gate 163 is OPEN</x:v>
      </x:c>
      <x:c r="E269" s="24" t="n">
        <x:f>IF('Gate Assignment'!N169="OPEN",1,0)</x:f>
        <x:v>1</x:v>
      </x:c>
      <x:c r="F269" s="24" t="n">
        <x:v>1</x:v>
      </x:c>
      <x:c r="G269" s="26" t="str">
        <x:f>IF(E269=F269,"PASS","FAIL")</x:f>
        <x:v>PASS</x:v>
      </x:c>
    </x:row>
    <x:row r="270">
      <x:c r="B270" s="24" t="str">
        <x:v>A264</x:v>
      </x:c>
      <x:c r="C270" s="24" t="str">
        <x:v>evidence state</x:v>
      </x:c>
      <x:c r="D270" s="24" t="str">
        <x:v>gate 164 is OPEN</x:v>
      </x:c>
      <x:c r="E270" s="24" t="n">
        <x:f>IF('Gate Assignment'!N170="OPEN",1,0)</x:f>
        <x:v>1</x:v>
      </x:c>
      <x:c r="F270" s="24" t="n">
        <x:v>1</x:v>
      </x:c>
      <x:c r="G270" s="26" t="str">
        <x:f>IF(E270=F270,"PASS","FAIL")</x:f>
        <x:v>PASS</x:v>
      </x:c>
    </x:row>
    <x:row r="271">
      <x:c r="B271" s="24" t="str">
        <x:v>A265</x:v>
      </x:c>
      <x:c r="C271" s="24" t="str">
        <x:v>evidence state</x:v>
      </x:c>
      <x:c r="D271" s="24" t="str">
        <x:v>gate 165 is OPEN</x:v>
      </x:c>
      <x:c r="E271" s="24" t="n">
        <x:f>IF('Gate Assignment'!N171="OPEN",1,0)</x:f>
        <x:v>1</x:v>
      </x:c>
      <x:c r="F271" s="24" t="n">
        <x:v>1</x:v>
      </x:c>
      <x:c r="G271" s="26" t="str">
        <x:f>IF(E271=F271,"PASS","FAIL")</x:f>
        <x:v>PASS</x:v>
      </x:c>
    </x:row>
    <x:row r="272">
      <x:c r="B272" s="24" t="str">
        <x:v>A266</x:v>
      </x:c>
      <x:c r="C272" s="24" t="str">
        <x:v>evidence state</x:v>
      </x:c>
      <x:c r="D272" s="24" t="str">
        <x:v>gate 166 is OPEN</x:v>
      </x:c>
      <x:c r="E272" s="24" t="n">
        <x:f>IF('Gate Assignment'!N172="OPEN",1,0)</x:f>
        <x:v>1</x:v>
      </x:c>
      <x:c r="F272" s="24" t="n">
        <x:v>1</x:v>
      </x:c>
      <x:c r="G272" s="26" t="str">
        <x:f>IF(E272=F272,"PASS","FAIL")</x:f>
        <x:v>PASS</x:v>
      </x:c>
    </x:row>
    <x:row r="273">
      <x:c r="B273" s="24" t="str">
        <x:v>A267</x:v>
      </x:c>
      <x:c r="C273" s="24" t="str">
        <x:v>evidence state</x:v>
      </x:c>
      <x:c r="D273" s="24" t="str">
        <x:v>gate 167 is OPEN</x:v>
      </x:c>
      <x:c r="E273" s="24" t="n">
        <x:f>IF('Gate Assignment'!N173="OPEN",1,0)</x:f>
        <x:v>1</x:v>
      </x:c>
      <x:c r="F273" s="24" t="n">
        <x:v>1</x:v>
      </x:c>
      <x:c r="G273" s="26" t="str">
        <x:f>IF(E273=F273,"PASS","FAIL")</x:f>
        <x:v>PASS</x:v>
      </x:c>
    </x:row>
    <x:row r="274">
      <x:c r="B274" s="24" t="str">
        <x:v>A268</x:v>
      </x:c>
      <x:c r="C274" s="24" t="str">
        <x:v>evidence state</x:v>
      </x:c>
      <x:c r="D274" s="24" t="str">
        <x:v>gate 168 is OPEN</x:v>
      </x:c>
      <x:c r="E274" s="24" t="n">
        <x:f>IF('Gate Assignment'!N174="OPEN",1,0)</x:f>
        <x:v>1</x:v>
      </x:c>
      <x:c r="F274" s="24" t="n">
        <x:v>1</x:v>
      </x:c>
      <x:c r="G274" s="26" t="str">
        <x:f>IF(E274=F274,"PASS","FAIL")</x:f>
        <x:v>PASS</x:v>
      </x:c>
    </x:row>
    <x:row r="275">
      <x:c r="B275" s="24" t="str">
        <x:v>A269</x:v>
      </x:c>
      <x:c r="C275" s="24" t="str">
        <x:v>evidence state</x:v>
      </x:c>
      <x:c r="D275" s="24" t="str">
        <x:v>gate 169 is OPEN</x:v>
      </x:c>
      <x:c r="E275" s="24" t="n">
        <x:f>IF('Gate Assignment'!N175="OPEN",1,0)</x:f>
        <x:v>1</x:v>
      </x:c>
      <x:c r="F275" s="24" t="n">
        <x:v>1</x:v>
      </x:c>
      <x:c r="G275" s="26" t="str">
        <x:f>IF(E275=F275,"PASS","FAIL")</x:f>
        <x:v>PASS</x:v>
      </x:c>
    </x:row>
    <x:row r="276">
      <x:c r="B276" s="24" t="str">
        <x:v>A270</x:v>
      </x:c>
      <x:c r="C276" s="24" t="str">
        <x:v>evidence state</x:v>
      </x:c>
      <x:c r="D276" s="24" t="str">
        <x:v>gate 170 is OPEN</x:v>
      </x:c>
      <x:c r="E276" s="24" t="n">
        <x:f>IF('Gate Assignment'!N176="OPEN",1,0)</x:f>
        <x:v>1</x:v>
      </x:c>
      <x:c r="F276" s="24" t="n">
        <x:v>1</x:v>
      </x:c>
      <x:c r="G276" s="26" t="str">
        <x:f>IF(E276=F276,"PASS","FAIL")</x:f>
        <x:v>PASS</x:v>
      </x:c>
    </x:row>
    <x:row r="277">
      <x:c r="B277" s="24" t="str">
        <x:v>A271</x:v>
      </x:c>
      <x:c r="C277" s="24" t="str">
        <x:v>evidence state</x:v>
      </x:c>
      <x:c r="D277" s="24" t="str">
        <x:v>gate 171 is OPEN</x:v>
      </x:c>
      <x:c r="E277" s="24" t="n">
        <x:f>IF('Gate Assignment'!N177="OPEN",1,0)</x:f>
        <x:v>1</x:v>
      </x:c>
      <x:c r="F277" s="24" t="n">
        <x:v>1</x:v>
      </x:c>
      <x:c r="G277" s="26" t="str">
        <x:f>IF(E277=F277,"PASS","FAIL")</x:f>
        <x:v>PASS</x:v>
      </x:c>
    </x:row>
    <x:row r="278">
      <x:c r="B278" s="24" t="str">
        <x:v>A272</x:v>
      </x:c>
      <x:c r="C278" s="24" t="str">
        <x:v>evidence state</x:v>
      </x:c>
      <x:c r="D278" s="24" t="str">
        <x:v>gate 172 is OPEN</x:v>
      </x:c>
      <x:c r="E278" s="24" t="n">
        <x:f>IF('Gate Assignment'!N178="OPEN",1,0)</x:f>
        <x:v>1</x:v>
      </x:c>
      <x:c r="F278" s="24" t="n">
        <x:v>1</x:v>
      </x:c>
      <x:c r="G278" s="26" t="str">
        <x:f>IF(E278=F278,"PASS","FAIL")</x:f>
        <x:v>PASS</x:v>
      </x:c>
    </x:row>
    <x:row r="279">
      <x:c r="B279" s="24" t="str">
        <x:v>A273</x:v>
      </x:c>
      <x:c r="C279" s="24" t="str">
        <x:v>evidence state</x:v>
      </x:c>
      <x:c r="D279" s="24" t="str">
        <x:v>gate 173 is OPEN</x:v>
      </x:c>
      <x:c r="E279" s="24" t="n">
        <x:f>IF('Gate Assignment'!N179="OPEN",1,0)</x:f>
        <x:v>1</x:v>
      </x:c>
      <x:c r="F279" s="24" t="n">
        <x:v>1</x:v>
      </x:c>
      <x:c r="G279" s="26" t="str">
        <x:f>IF(E279=F279,"PASS","FAIL")</x:f>
        <x:v>PASS</x:v>
      </x:c>
    </x:row>
    <x:row r="280">
      <x:c r="B280" s="24" t="str">
        <x:v>A274</x:v>
      </x:c>
      <x:c r="C280" s="24" t="str">
        <x:v>evidence state</x:v>
      </x:c>
      <x:c r="D280" s="24" t="str">
        <x:v>gate 174 is OPEN</x:v>
      </x:c>
      <x:c r="E280" s="24" t="n">
        <x:f>IF('Gate Assignment'!N180="OPEN",1,0)</x:f>
        <x:v>1</x:v>
      </x:c>
      <x:c r="F280" s="24" t="n">
        <x:v>1</x:v>
      </x:c>
      <x:c r="G280" s="26" t="str">
        <x:f>IF(E280=F280,"PASS","FAIL")</x:f>
        <x:v>PASS</x:v>
      </x:c>
    </x:row>
    <x:row r="281">
      <x:c r="B281" s="24" t="str">
        <x:v>A275</x:v>
      </x:c>
      <x:c r="C281" s="24" t="str">
        <x:v>evidence state</x:v>
      </x:c>
      <x:c r="D281" s="24" t="str">
        <x:v>gate 175 is OPEN</x:v>
      </x:c>
      <x:c r="E281" s="24" t="n">
        <x:f>IF('Gate Assignment'!N181="OPEN",1,0)</x:f>
        <x:v>1</x:v>
      </x:c>
      <x:c r="F281" s="24" t="n">
        <x:v>1</x:v>
      </x:c>
      <x:c r="G281" s="26" t="str">
        <x:f>IF(E281=F281,"PASS","FAIL")</x:f>
        <x:v>PASS</x:v>
      </x:c>
    </x:row>
    <x:row r="282">
      <x:c r="B282" s="24" t="str">
        <x:v>A276</x:v>
      </x:c>
      <x:c r="C282" s="24" t="str">
        <x:v>evidence state</x:v>
      </x:c>
      <x:c r="D282" s="24" t="str">
        <x:v>gate 176 is OPEN</x:v>
      </x:c>
      <x:c r="E282" s="24" t="n">
        <x:f>IF('Gate Assignment'!N182="OPEN",1,0)</x:f>
        <x:v>1</x:v>
      </x:c>
      <x:c r="F282" s="24" t="n">
        <x:v>1</x:v>
      </x:c>
      <x:c r="G282" s="26" t="str">
        <x:f>IF(E282=F282,"PASS","FAIL")</x:f>
        <x:v>PASS</x:v>
      </x:c>
    </x:row>
    <x:row r="283">
      <x:c r="B283" s="24" t="str">
        <x:v>A277</x:v>
      </x:c>
      <x:c r="C283" s="24" t="str">
        <x:v>evidence state</x:v>
      </x:c>
      <x:c r="D283" s="24" t="str">
        <x:v>gate 177 is OPEN</x:v>
      </x:c>
      <x:c r="E283" s="24" t="n">
        <x:f>IF('Gate Assignment'!N183="OPEN",1,0)</x:f>
        <x:v>1</x:v>
      </x:c>
      <x:c r="F283" s="24" t="n">
        <x:v>1</x:v>
      </x:c>
      <x:c r="G283" s="26" t="str">
        <x:f>IF(E283=F283,"PASS","FAIL")</x:f>
        <x:v>PASS</x:v>
      </x:c>
    </x:row>
    <x:row r="284">
      <x:c r="B284" s="24" t="str">
        <x:v>A278</x:v>
      </x:c>
      <x:c r="C284" s="24" t="str">
        <x:v>evidence state</x:v>
      </x:c>
      <x:c r="D284" s="24" t="str">
        <x:v>gate 178 is OPEN</x:v>
      </x:c>
      <x:c r="E284" s="24" t="n">
        <x:f>IF('Gate Assignment'!N184="OPEN",1,0)</x:f>
        <x:v>1</x:v>
      </x:c>
      <x:c r="F284" s="24" t="n">
        <x:v>1</x:v>
      </x:c>
      <x:c r="G284" s="26" t="str">
        <x:f>IF(E284=F284,"PASS","FAIL")</x:f>
        <x:v>PASS</x:v>
      </x:c>
    </x:row>
    <x:row r="285">
      <x:c r="B285" s="24" t="str">
        <x:v>A279</x:v>
      </x:c>
      <x:c r="C285" s="24" t="str">
        <x:v>evidence state</x:v>
      </x:c>
      <x:c r="D285" s="24" t="str">
        <x:v>gate 179 is OPEN</x:v>
      </x:c>
      <x:c r="E285" s="24" t="n">
        <x:f>IF('Gate Assignment'!N185="OPEN",1,0)</x:f>
        <x:v>1</x:v>
      </x:c>
      <x:c r="F285" s="24" t="n">
        <x:v>1</x:v>
      </x:c>
      <x:c r="G285" s="26" t="str">
        <x:f>IF(E285=F285,"PASS","FAIL")</x:f>
        <x:v>PASS</x:v>
      </x:c>
    </x:row>
    <x:row r="286">
      <x:c r="B286" s="24" t="str">
        <x:v>A280</x:v>
      </x:c>
      <x:c r="C286" s="24" t="str">
        <x:v>evidence state</x:v>
      </x:c>
      <x:c r="D286" s="24" t="str">
        <x:v>gate 180 is OPEN</x:v>
      </x:c>
      <x:c r="E286" s="24" t="n">
        <x:f>IF('Gate Assignment'!N186="OPEN",1,0)</x:f>
        <x:v>1</x:v>
      </x:c>
      <x:c r="F286" s="24" t="n">
        <x:v>1</x:v>
      </x:c>
      <x:c r="G286" s="26" t="str">
        <x:f>IF(E286=F286,"PASS","FAIL")</x:f>
        <x:v>PASS</x:v>
      </x:c>
    </x:row>
    <x:row r="287">
      <x:c r="B287" s="24" t="str">
        <x:v>A281</x:v>
      </x:c>
      <x:c r="C287" s="24" t="str">
        <x:v>evidence state</x:v>
      </x:c>
      <x:c r="D287" s="24" t="str">
        <x:v>gate 181 is OPEN</x:v>
      </x:c>
      <x:c r="E287" s="24" t="n">
        <x:f>IF('Gate Assignment'!N187="OPEN",1,0)</x:f>
        <x:v>1</x:v>
      </x:c>
      <x:c r="F287" s="24" t="n">
        <x:v>1</x:v>
      </x:c>
      <x:c r="G287" s="26" t="str">
        <x:f>IF(E287=F287,"PASS","FAIL")</x:f>
        <x:v>PASS</x:v>
      </x:c>
    </x:row>
    <x:row r="288">
      <x:c r="B288" s="24" t="str">
        <x:v>A282</x:v>
      </x:c>
      <x:c r="C288" s="24" t="str">
        <x:v>evidence state</x:v>
      </x:c>
      <x:c r="D288" s="24" t="str">
        <x:v>gate 182 is OPEN</x:v>
      </x:c>
      <x:c r="E288" s="24" t="n">
        <x:f>IF('Gate Assignment'!N188="OPEN",1,0)</x:f>
        <x:v>1</x:v>
      </x:c>
      <x:c r="F288" s="24" t="n">
        <x:v>1</x:v>
      </x:c>
      <x:c r="G288" s="26" t="str">
        <x:f>IF(E288=F288,"PASS","FAIL")</x:f>
        <x:v>PASS</x:v>
      </x:c>
    </x:row>
    <x:row r="289">
      <x:c r="B289" s="24" t="str">
        <x:v>A283</x:v>
      </x:c>
      <x:c r="C289" s="24" t="str">
        <x:v>evidence state</x:v>
      </x:c>
      <x:c r="D289" s="24" t="str">
        <x:v>gate 183 is OPEN</x:v>
      </x:c>
      <x:c r="E289" s="24" t="n">
        <x:f>IF('Gate Assignment'!N189="OPEN",1,0)</x:f>
        <x:v>1</x:v>
      </x:c>
      <x:c r="F289" s="24" t="n">
        <x:v>1</x:v>
      </x:c>
      <x:c r="G289" s="26" t="str">
        <x:f>IF(E289=F289,"PASS","FAIL")</x:f>
        <x:v>PASS</x:v>
      </x:c>
    </x:row>
    <x:row r="290">
      <x:c r="B290" s="24" t="str">
        <x:v>A284</x:v>
      </x:c>
      <x:c r="C290" s="24" t="str">
        <x:v>evidence state</x:v>
      </x:c>
      <x:c r="D290" s="24" t="str">
        <x:v>gate 184 is OPEN</x:v>
      </x:c>
      <x:c r="E290" s="24" t="n">
        <x:f>IF('Gate Assignment'!N190="OPEN",1,0)</x:f>
        <x:v>1</x:v>
      </x:c>
      <x:c r="F290" s="24" t="n">
        <x:v>1</x:v>
      </x:c>
      <x:c r="G290" s="26" t="str">
        <x:f>IF(E290=F290,"PASS","FAIL")</x:f>
        <x:v>PASS</x:v>
      </x:c>
    </x:row>
    <x:row r="291">
      <x:c r="B291" s="24" t="str">
        <x:v>A285</x:v>
      </x:c>
      <x:c r="C291" s="24" t="str">
        <x:v>evidence state</x:v>
      </x:c>
      <x:c r="D291" s="24" t="str">
        <x:v>gate 185 is OPEN</x:v>
      </x:c>
      <x:c r="E291" s="24" t="n">
        <x:f>IF('Gate Assignment'!N191="OPEN",1,0)</x:f>
        <x:v>1</x:v>
      </x:c>
      <x:c r="F291" s="24" t="n">
        <x:v>1</x:v>
      </x:c>
      <x:c r="G291" s="26" t="str">
        <x:f>IF(E291=F291,"PASS","FAIL")</x:f>
        <x:v>PASS</x:v>
      </x:c>
    </x:row>
    <x:row r="292">
      <x:c r="B292" s="24" t="str">
        <x:v>A286</x:v>
      </x:c>
      <x:c r="C292" s="24" t="str">
        <x:v>evidence state</x:v>
      </x:c>
      <x:c r="D292" s="24" t="str">
        <x:v>gate 186 is OPEN</x:v>
      </x:c>
      <x:c r="E292" s="24" t="n">
        <x:f>IF('Gate Assignment'!N192="OPEN",1,0)</x:f>
        <x:v>1</x:v>
      </x:c>
      <x:c r="F292" s="24" t="n">
        <x:v>1</x:v>
      </x:c>
      <x:c r="G292" s="26" t="str">
        <x:f>IF(E292=F292,"PASS","FAIL")</x:f>
        <x:v>PASS</x:v>
      </x:c>
    </x:row>
    <x:row r="293">
      <x:c r="B293" s="24" t="str">
        <x:v>A287</x:v>
      </x:c>
      <x:c r="C293" s="24" t="str">
        <x:v>evidence state</x:v>
      </x:c>
      <x:c r="D293" s="24" t="str">
        <x:v>gate 187 is OPEN</x:v>
      </x:c>
      <x:c r="E293" s="24" t="n">
        <x:f>IF('Gate Assignment'!N193="OPEN",1,0)</x:f>
        <x:v>1</x:v>
      </x:c>
      <x:c r="F293" s="24" t="n">
        <x:v>1</x:v>
      </x:c>
      <x:c r="G293" s="26" t="str">
        <x:f>IF(E293=F293,"PASS","FAIL")</x:f>
        <x:v>PASS</x:v>
      </x:c>
    </x:row>
    <x:row r="294">
      <x:c r="B294" s="24" t="str">
        <x:v>A288</x:v>
      </x:c>
      <x:c r="C294" s="24" t="str">
        <x:v>evidence state</x:v>
      </x:c>
      <x:c r="D294" s="24" t="str">
        <x:v>gate 188 is OPEN</x:v>
      </x:c>
      <x:c r="E294" s="24" t="n">
        <x:f>IF('Gate Assignment'!N194="OPEN",1,0)</x:f>
        <x:v>1</x:v>
      </x:c>
      <x:c r="F294" s="24" t="n">
        <x:v>1</x:v>
      </x:c>
      <x:c r="G294" s="26" t="str">
        <x:f>IF(E294=F294,"PASS","FAIL")</x:f>
        <x:v>PASS</x:v>
      </x:c>
    </x:row>
    <x:row r="295">
      <x:c r="B295" s="24" t="str">
        <x:v>A289</x:v>
      </x:c>
      <x:c r="C295" s="24" t="str">
        <x:v>evidence state</x:v>
      </x:c>
      <x:c r="D295" s="24" t="str">
        <x:v>gate 189 is OPEN</x:v>
      </x:c>
      <x:c r="E295" s="24" t="n">
        <x:f>IF('Gate Assignment'!N195="OPEN",1,0)</x:f>
        <x:v>1</x:v>
      </x:c>
      <x:c r="F295" s="24" t="n">
        <x:v>1</x:v>
      </x:c>
      <x:c r="G295" s="26" t="str">
        <x:f>IF(E295=F295,"PASS","FAIL")</x:f>
        <x:v>PASS</x:v>
      </x:c>
    </x:row>
    <x:row r="296">
      <x:c r="B296" s="24" t="str">
        <x:v>A290</x:v>
      </x:c>
      <x:c r="C296" s="24" t="str">
        <x:v>evidence state</x:v>
      </x:c>
      <x:c r="D296" s="24" t="str">
        <x:v>gate 190 is OPEN</x:v>
      </x:c>
      <x:c r="E296" s="24" t="n">
        <x:f>IF('Gate Assignment'!N196="OPEN",1,0)</x:f>
        <x:v>1</x:v>
      </x:c>
      <x:c r="F296" s="24" t="n">
        <x:v>1</x:v>
      </x:c>
      <x:c r="G296" s="26" t="str">
        <x:f>IF(E296=F296,"PASS","FAIL")</x:f>
        <x:v>PASS</x:v>
      </x:c>
    </x:row>
    <x:row r="297">
      <x:c r="B297" s="24" t="str">
        <x:v>A291</x:v>
      </x:c>
      <x:c r="C297" s="24" t="str">
        <x:v>evidence state</x:v>
      </x:c>
      <x:c r="D297" s="24" t="str">
        <x:v>gate 191 is OPEN</x:v>
      </x:c>
      <x:c r="E297" s="24" t="n">
        <x:f>IF('Gate Assignment'!N197="OPEN",1,0)</x:f>
        <x:v>1</x:v>
      </x:c>
      <x:c r="F297" s="24" t="n">
        <x:v>1</x:v>
      </x:c>
      <x:c r="G297" s="26" t="str">
        <x:f>IF(E297=F297,"PASS","FAIL")</x:f>
        <x:v>PASS</x:v>
      </x:c>
    </x:row>
    <x:row r="298">
      <x:c r="B298" s="24" t="str">
        <x:v>A292</x:v>
      </x:c>
      <x:c r="C298" s="24" t="str">
        <x:v>evidence state</x:v>
      </x:c>
      <x:c r="D298" s="24" t="str">
        <x:v>gate 192 is OPEN</x:v>
      </x:c>
      <x:c r="E298" s="24" t="n">
        <x:f>IF('Gate Assignment'!N198="OPEN",1,0)</x:f>
        <x:v>1</x:v>
      </x:c>
      <x:c r="F298" s="24" t="n">
        <x:v>1</x:v>
      </x:c>
      <x:c r="G298" s="26" t="str">
        <x:f>IF(E298=F298,"PASS","FAIL")</x:f>
        <x:v>PASS</x:v>
      </x:c>
    </x:row>
    <x:row r="299">
      <x:c r="B299" s="24" t="str">
        <x:v>A293</x:v>
      </x:c>
      <x:c r="C299" s="24" t="str">
        <x:v>evidence state</x:v>
      </x:c>
      <x:c r="D299" s="24" t="str">
        <x:v>gate 193 is OPEN</x:v>
      </x:c>
      <x:c r="E299" s="24" t="n">
        <x:f>IF('Gate Assignment'!N199="OPEN",1,0)</x:f>
        <x:v>1</x:v>
      </x:c>
      <x:c r="F299" s="24" t="n">
        <x:v>1</x:v>
      </x:c>
      <x:c r="G299" s="26" t="str">
        <x:f>IF(E299=F299,"PASS","FAIL")</x:f>
        <x:v>PASS</x:v>
      </x:c>
    </x:row>
    <x:row r="300">
      <x:c r="B300" s="24" t="str">
        <x:v>A294</x:v>
      </x:c>
      <x:c r="C300" s="24" t="str">
        <x:v>evidence state</x:v>
      </x:c>
      <x:c r="D300" s="24" t="str">
        <x:v>gate 194 is OPEN</x:v>
      </x:c>
      <x:c r="E300" s="24" t="n">
        <x:f>IF('Gate Assignment'!N200="OPEN",1,0)</x:f>
        <x:v>1</x:v>
      </x:c>
      <x:c r="F300" s="24" t="n">
        <x:v>1</x:v>
      </x:c>
      <x:c r="G300" s="26" t="str">
        <x:f>IF(E300=F300,"PASS","FAIL")</x:f>
        <x:v>PASS</x:v>
      </x:c>
    </x:row>
    <x:row r="301">
      <x:c r="B301" s="24" t="str">
        <x:v>A295</x:v>
      </x:c>
      <x:c r="C301" s="24" t="str">
        <x:v>evidence state</x:v>
      </x:c>
      <x:c r="D301" s="24" t="str">
        <x:v>gate 195 is OPEN</x:v>
      </x:c>
      <x:c r="E301" s="24" t="n">
        <x:f>IF('Gate Assignment'!N201="OPEN",1,0)</x:f>
        <x:v>1</x:v>
      </x:c>
      <x:c r="F301" s="24" t="n">
        <x:v>1</x:v>
      </x:c>
      <x:c r="G301" s="26" t="str">
        <x:f>IF(E301=F301,"PASS","FAIL")</x:f>
        <x:v>PASS</x:v>
      </x:c>
    </x:row>
    <x:row r="302">
      <x:c r="B302" s="24" t="str">
        <x:v>A296</x:v>
      </x:c>
      <x:c r="C302" s="24" t="str">
        <x:v>evidence state</x:v>
      </x:c>
      <x:c r="D302" s="24" t="str">
        <x:v>gate 196 is OPEN</x:v>
      </x:c>
      <x:c r="E302" s="24" t="n">
        <x:f>IF('Gate Assignment'!N202="OPEN",1,0)</x:f>
        <x:v>1</x:v>
      </x:c>
      <x:c r="F302" s="24" t="n">
        <x:v>1</x:v>
      </x:c>
      <x:c r="G302" s="26" t="str">
        <x:f>IF(E302=F302,"PASS","FAIL")</x:f>
        <x:v>PASS</x:v>
      </x:c>
    </x:row>
    <x:row r="303">
      <x:c r="B303" s="24" t="str">
        <x:v>A297</x:v>
      </x:c>
      <x:c r="C303" s="24" t="str">
        <x:v>evidence state</x:v>
      </x:c>
      <x:c r="D303" s="24" t="str">
        <x:v>gate 197 is OPEN</x:v>
      </x:c>
      <x:c r="E303" s="24" t="n">
        <x:f>IF('Gate Assignment'!N203="OPEN",1,0)</x:f>
        <x:v>1</x:v>
      </x:c>
      <x:c r="F303" s="24" t="n">
        <x:v>1</x:v>
      </x:c>
      <x:c r="G303" s="26" t="str">
        <x:f>IF(E303=F303,"PASS","FAIL")</x:f>
        <x:v>PASS</x:v>
      </x:c>
    </x:row>
    <x:row r="304">
      <x:c r="B304" s="24" t="str">
        <x:v>A298</x:v>
      </x:c>
      <x:c r="C304" s="24" t="str">
        <x:v>evidence state</x:v>
      </x:c>
      <x:c r="D304" s="24" t="str">
        <x:v>gate 198 is OPEN</x:v>
      </x:c>
      <x:c r="E304" s="24" t="n">
        <x:f>IF('Gate Assignment'!N204="OPEN",1,0)</x:f>
        <x:v>1</x:v>
      </x:c>
      <x:c r="F304" s="24" t="n">
        <x:v>1</x:v>
      </x:c>
      <x:c r="G304" s="26" t="str">
        <x:f>IF(E304=F304,"PASS","FAIL")</x:f>
        <x:v>PASS</x:v>
      </x:c>
    </x:row>
    <x:row r="305">
      <x:c r="B305" s="24" t="str">
        <x:v>A299</x:v>
      </x:c>
      <x:c r="C305" s="24" t="str">
        <x:v>evidence state</x:v>
      </x:c>
      <x:c r="D305" s="24" t="str">
        <x:v>gate 199 is OPEN</x:v>
      </x:c>
      <x:c r="E305" s="24" t="n">
        <x:f>IF('Gate Assignment'!N205="OPEN",1,0)</x:f>
        <x:v>1</x:v>
      </x:c>
      <x:c r="F305" s="24" t="n">
        <x:v>1</x:v>
      </x:c>
      <x:c r="G305" s="26" t="str">
        <x:f>IF(E305=F305,"PASS","FAIL")</x:f>
        <x:v>PASS</x:v>
      </x:c>
    </x:row>
    <x:row r="306">
      <x:c r="B306" s="24" t="str">
        <x:v>A300</x:v>
      </x:c>
      <x:c r="C306" s="24" t="str">
        <x:v>evidence state</x:v>
      </x:c>
      <x:c r="D306" s="24" t="str">
        <x:v>gate 200 is OPEN</x:v>
      </x:c>
      <x:c r="E306" s="24" t="n">
        <x:f>IF('Gate Assignment'!N206="OPEN",1,0)</x:f>
        <x:v>1</x:v>
      </x:c>
      <x:c r="F306" s="24" t="n">
        <x:v>1</x:v>
      </x:c>
      <x:c r="G306" s="26" t="str">
        <x:f>IF(E306=F306,"PASS","FAIL")</x:f>
        <x:v>PASS</x:v>
      </x:c>
    </x:row>
    <x:row r="307">
      <x:c r="B307" s="24" t="str">
        <x:v>A301</x:v>
      </x:c>
      <x:c r="C307" s="24" t="str">
        <x:v>mission credit</x:v>
      </x:c>
      <x:c r="D307" s="24" t="str">
        <x:v>mission cell 1 has zero credit</x:v>
      </x:c>
      <x:c r="E307" s="24" t="n">
        <x:f>'Mission Matrix'!N7</x:f>
        <x:v>0</x:v>
      </x:c>
      <x:c r="F307" s="24" t="n">
        <x:v>0</x:v>
      </x:c>
      <x:c r="G307" s="26" t="str">
        <x:f>IF(E307=F307,"PASS","FAIL")</x:f>
        <x:v>PASS</x:v>
      </x:c>
    </x:row>
    <x:row r="308">
      <x:c r="B308" s="24" t="str">
        <x:v>A302</x:v>
      </x:c>
      <x:c r="C308" s="24" t="str">
        <x:v>mission credit</x:v>
      </x:c>
      <x:c r="D308" s="24" t="str">
        <x:v>mission cell 2 has zero credit</x:v>
      </x:c>
      <x:c r="E308" s="24" t="n">
        <x:f>'Mission Matrix'!N8</x:f>
        <x:v>0</x:v>
      </x:c>
      <x:c r="F308" s="24" t="n">
        <x:v>0</x:v>
      </x:c>
      <x:c r="G308" s="26" t="str">
        <x:f>IF(E308=F308,"PASS","FAIL")</x:f>
        <x:v>PASS</x:v>
      </x:c>
    </x:row>
    <x:row r="309">
      <x:c r="B309" s="24" t="str">
        <x:v>A303</x:v>
      </x:c>
      <x:c r="C309" s="24" t="str">
        <x:v>mission credit</x:v>
      </x:c>
      <x:c r="D309" s="24" t="str">
        <x:v>mission cell 3 has zero credit</x:v>
      </x:c>
      <x:c r="E309" s="24" t="n">
        <x:f>'Mission Matrix'!N9</x:f>
        <x:v>0</x:v>
      </x:c>
      <x:c r="F309" s="24" t="n">
        <x:v>0</x:v>
      </x:c>
      <x:c r="G309" s="26" t="str">
        <x:f>IF(E309=F309,"PASS","FAIL")</x:f>
        <x:v>PASS</x:v>
      </x:c>
    </x:row>
    <x:row r="310">
      <x:c r="B310" s="24" t="str">
        <x:v>A304</x:v>
      </x:c>
      <x:c r="C310" s="24" t="str">
        <x:v>mission credit</x:v>
      </x:c>
      <x:c r="D310" s="24" t="str">
        <x:v>mission cell 4 has zero credit</x:v>
      </x:c>
      <x:c r="E310" s="24" t="n">
        <x:f>'Mission Matrix'!N10</x:f>
        <x:v>0</x:v>
      </x:c>
      <x:c r="F310" s="24" t="n">
        <x:v>0</x:v>
      </x:c>
      <x:c r="G310" s="26" t="str">
        <x:f>IF(E310=F310,"PASS","FAIL")</x:f>
        <x:v>PASS</x:v>
      </x:c>
    </x:row>
    <x:row r="311">
      <x:c r="B311" s="24" t="str">
        <x:v>A305</x:v>
      </x:c>
      <x:c r="C311" s="24" t="str">
        <x:v>mission credit</x:v>
      </x:c>
      <x:c r="D311" s="24" t="str">
        <x:v>mission cell 5 has zero credit</x:v>
      </x:c>
      <x:c r="E311" s="24" t="n">
        <x:f>'Mission Matrix'!N11</x:f>
        <x:v>0</x:v>
      </x:c>
      <x:c r="F311" s="24" t="n">
        <x:v>0</x:v>
      </x:c>
      <x:c r="G311" s="26" t="str">
        <x:f>IF(E311=F311,"PASS","FAIL")</x:f>
        <x:v>PASS</x:v>
      </x:c>
    </x:row>
    <x:row r="312">
      <x:c r="B312" s="24" t="str">
        <x:v>A306</x:v>
      </x:c>
      <x:c r="C312" s="24" t="str">
        <x:v>mission credit</x:v>
      </x:c>
      <x:c r="D312" s="24" t="str">
        <x:v>mission cell 6 has zero credit</x:v>
      </x:c>
      <x:c r="E312" s="24" t="n">
        <x:f>'Mission Matrix'!N12</x:f>
        <x:v>0</x:v>
      </x:c>
      <x:c r="F312" s="24" t="n">
        <x:v>0</x:v>
      </x:c>
      <x:c r="G312" s="26" t="str">
        <x:f>IF(E312=F312,"PASS","FAIL")</x:f>
        <x:v>PASS</x:v>
      </x:c>
    </x:row>
    <x:row r="313">
      <x:c r="B313" s="24" t="str">
        <x:v>A307</x:v>
      </x:c>
      <x:c r="C313" s="24" t="str">
        <x:v>mission credit</x:v>
      </x:c>
      <x:c r="D313" s="24" t="str">
        <x:v>mission cell 7 has zero credit</x:v>
      </x:c>
      <x:c r="E313" s="24" t="n">
        <x:f>'Mission Matrix'!N13</x:f>
        <x:v>0</x:v>
      </x:c>
      <x:c r="F313" s="24" t="n">
        <x:v>0</x:v>
      </x:c>
      <x:c r="G313" s="26" t="str">
        <x:f>IF(E313=F313,"PASS","FAIL")</x:f>
        <x:v>PASS</x:v>
      </x:c>
    </x:row>
    <x:row r="314">
      <x:c r="B314" s="24" t="str">
        <x:v>A308</x:v>
      </x:c>
      <x:c r="C314" s="24" t="str">
        <x:v>mission credit</x:v>
      </x:c>
      <x:c r="D314" s="24" t="str">
        <x:v>mission cell 8 has zero credit</x:v>
      </x:c>
      <x:c r="E314" s="24" t="n">
        <x:f>'Mission Matrix'!N14</x:f>
        <x:v>0</x:v>
      </x:c>
      <x:c r="F314" s="24" t="n">
        <x:v>0</x:v>
      </x:c>
      <x:c r="G314" s="26" t="str">
        <x:f>IF(E314=F314,"PASS","FAIL")</x:f>
        <x:v>PASS</x:v>
      </x:c>
    </x:row>
    <x:row r="315">
      <x:c r="B315" s="24" t="str">
        <x:v>A309</x:v>
      </x:c>
      <x:c r="C315" s="24" t="str">
        <x:v>mission credit</x:v>
      </x:c>
      <x:c r="D315" s="24" t="str">
        <x:v>mission cell 9 has zero credit</x:v>
      </x:c>
      <x:c r="E315" s="24" t="n">
        <x:f>'Mission Matrix'!N15</x:f>
        <x:v>0</x:v>
      </x:c>
      <x:c r="F315" s="24" t="n">
        <x:v>0</x:v>
      </x:c>
      <x:c r="G315" s="26" t="str">
        <x:f>IF(E315=F315,"PASS","FAIL")</x:f>
        <x:v>PASS</x:v>
      </x:c>
    </x:row>
    <x:row r="316">
      <x:c r="B316" s="24" t="str">
        <x:v>A310</x:v>
      </x:c>
      <x:c r="C316" s="24" t="str">
        <x:v>mission credit</x:v>
      </x:c>
      <x:c r="D316" s="24" t="str">
        <x:v>mission cell 10 has zero credit</x:v>
      </x:c>
      <x:c r="E316" s="24" t="n">
        <x:f>'Mission Matrix'!N16</x:f>
        <x:v>0</x:v>
      </x:c>
      <x:c r="F316" s="24" t="n">
        <x:v>0</x:v>
      </x:c>
      <x:c r="G316" s="26" t="str">
        <x:f>IF(E316=F316,"PASS","FAIL")</x:f>
        <x:v>PASS</x:v>
      </x:c>
    </x:row>
    <x:row r="317">
      <x:c r="B317" s="24" t="str">
        <x:v>A311</x:v>
      </x:c>
      <x:c r="C317" s="24" t="str">
        <x:v>mission credit</x:v>
      </x:c>
      <x:c r="D317" s="24" t="str">
        <x:v>mission cell 11 has zero credit</x:v>
      </x:c>
      <x:c r="E317" s="24" t="n">
        <x:f>'Mission Matrix'!N17</x:f>
        <x:v>0</x:v>
      </x:c>
      <x:c r="F317" s="24" t="n">
        <x:v>0</x:v>
      </x:c>
      <x:c r="G317" s="26" t="str">
        <x:f>IF(E317=F317,"PASS","FAIL")</x:f>
        <x:v>PASS</x:v>
      </x:c>
    </x:row>
    <x:row r="318">
      <x:c r="B318" s="24" t="str">
        <x:v>A312</x:v>
      </x:c>
      <x:c r="C318" s="24" t="str">
        <x:v>mission credit</x:v>
      </x:c>
      <x:c r="D318" s="24" t="str">
        <x:v>mission cell 12 has zero credit</x:v>
      </x:c>
      <x:c r="E318" s="24" t="n">
        <x:f>'Mission Matrix'!N18</x:f>
        <x:v>0</x:v>
      </x:c>
      <x:c r="F318" s="24" t="n">
        <x:v>0</x:v>
      </x:c>
      <x:c r="G318" s="26" t="str">
        <x:f>IF(E318=F318,"PASS","FAIL")</x:f>
        <x:v>PASS</x:v>
      </x:c>
    </x:row>
    <x:row r="319">
      <x:c r="B319" s="24" t="str">
        <x:v>A313</x:v>
      </x:c>
      <x:c r="C319" s="24" t="str">
        <x:v>mission credit</x:v>
      </x:c>
      <x:c r="D319" s="24" t="str">
        <x:v>mission cell 13 has zero credit</x:v>
      </x:c>
      <x:c r="E319" s="24" t="n">
        <x:f>'Mission Matrix'!N19</x:f>
        <x:v>0</x:v>
      </x:c>
      <x:c r="F319" s="24" t="n">
        <x:v>0</x:v>
      </x:c>
      <x:c r="G319" s="26" t="str">
        <x:f>IF(E319=F319,"PASS","FAIL")</x:f>
        <x:v>PASS</x:v>
      </x:c>
    </x:row>
    <x:row r="320">
      <x:c r="B320" s="24" t="str">
        <x:v>A314</x:v>
      </x:c>
      <x:c r="C320" s="24" t="str">
        <x:v>mission credit</x:v>
      </x:c>
      <x:c r="D320" s="24" t="str">
        <x:v>mission cell 14 has zero credit</x:v>
      </x:c>
      <x:c r="E320" s="24" t="n">
        <x:f>'Mission Matrix'!N20</x:f>
        <x:v>0</x:v>
      </x:c>
      <x:c r="F320" s="24" t="n">
        <x:v>0</x:v>
      </x:c>
      <x:c r="G320" s="26" t="str">
        <x:f>IF(E320=F320,"PASS","FAIL")</x:f>
        <x:v>PASS</x:v>
      </x:c>
    </x:row>
    <x:row r="321">
      <x:c r="B321" s="24" t="str">
        <x:v>A315</x:v>
      </x:c>
      <x:c r="C321" s="24" t="str">
        <x:v>mission credit</x:v>
      </x:c>
      <x:c r="D321" s="24" t="str">
        <x:v>mission cell 15 has zero credit</x:v>
      </x:c>
      <x:c r="E321" s="24" t="n">
        <x:f>'Mission Matrix'!N21</x:f>
        <x:v>0</x:v>
      </x:c>
      <x:c r="F321" s="24" t="n">
        <x:v>0</x:v>
      </x:c>
      <x:c r="G321" s="26" t="str">
        <x:f>IF(E321=F321,"PASS","FAIL")</x:f>
        <x:v>PASS</x:v>
      </x:c>
    </x:row>
    <x:row r="322">
      <x:c r="B322" s="24" t="str">
        <x:v>A316</x:v>
      </x:c>
      <x:c r="C322" s="24" t="str">
        <x:v>mission credit</x:v>
      </x:c>
      <x:c r="D322" s="24" t="str">
        <x:v>mission cell 16 has zero credit</x:v>
      </x:c>
      <x:c r="E322" s="24" t="n">
        <x:f>'Mission Matrix'!N22</x:f>
        <x:v>0</x:v>
      </x:c>
      <x:c r="F322" s="24" t="n">
        <x:v>0</x:v>
      </x:c>
      <x:c r="G322" s="26" t="str">
        <x:f>IF(E322=F322,"PASS","FAIL")</x:f>
        <x:v>PASS</x:v>
      </x:c>
    </x:row>
    <x:row r="323">
      <x:c r="B323" s="24" t="str">
        <x:v>A317</x:v>
      </x:c>
      <x:c r="C323" s="24" t="str">
        <x:v>mission credit</x:v>
      </x:c>
      <x:c r="D323" s="24" t="str">
        <x:v>mission cell 17 has zero credit</x:v>
      </x:c>
      <x:c r="E323" s="24" t="n">
        <x:f>'Mission Matrix'!N23</x:f>
        <x:v>0</x:v>
      </x:c>
      <x:c r="F323" s="24" t="n">
        <x:v>0</x:v>
      </x:c>
      <x:c r="G323" s="26" t="str">
        <x:f>IF(E323=F323,"PASS","FAIL")</x:f>
        <x:v>PASS</x:v>
      </x:c>
    </x:row>
    <x:row r="324">
      <x:c r="B324" s="24" t="str">
        <x:v>A318</x:v>
      </x:c>
      <x:c r="C324" s="24" t="str">
        <x:v>mission credit</x:v>
      </x:c>
      <x:c r="D324" s="24" t="str">
        <x:v>mission cell 18 has zero credit</x:v>
      </x:c>
      <x:c r="E324" s="24" t="n">
        <x:f>'Mission Matrix'!N24</x:f>
        <x:v>0</x:v>
      </x:c>
      <x:c r="F324" s="24" t="n">
        <x:v>0</x:v>
      </x:c>
      <x:c r="G324" s="26" t="str">
        <x:f>IF(E324=F324,"PASS","FAIL")</x:f>
        <x:v>PASS</x:v>
      </x:c>
    </x:row>
    <x:row r="325">
      <x:c r="B325" s="24" t="str">
        <x:v>A319</x:v>
      </x:c>
      <x:c r="C325" s="24" t="str">
        <x:v>mission credit</x:v>
      </x:c>
      <x:c r="D325" s="24" t="str">
        <x:v>mission cell 19 has zero credit</x:v>
      </x:c>
      <x:c r="E325" s="24" t="n">
        <x:f>'Mission Matrix'!N25</x:f>
        <x:v>0</x:v>
      </x:c>
      <x:c r="F325" s="24" t="n">
        <x:v>0</x:v>
      </x:c>
      <x:c r="G325" s="26" t="str">
        <x:f>IF(E325=F325,"PASS","FAIL")</x:f>
        <x:v>PASS</x:v>
      </x:c>
    </x:row>
    <x:row r="326">
      <x:c r="B326" s="24" t="str">
        <x:v>A320</x:v>
      </x:c>
      <x:c r="C326" s="24" t="str">
        <x:v>mission credit</x:v>
      </x:c>
      <x:c r="D326" s="24" t="str">
        <x:v>mission cell 20 has zero credit</x:v>
      </x:c>
      <x:c r="E326" s="24" t="n">
        <x:f>'Mission Matrix'!N26</x:f>
        <x:v>0</x:v>
      </x:c>
      <x:c r="F326" s="24" t="n">
        <x:v>0</x:v>
      </x:c>
      <x:c r="G326" s="26" t="str">
        <x:f>IF(E326=F326,"PASS","FAIL")</x:f>
        <x:v>PASS</x:v>
      </x:c>
    </x:row>
    <x:row r="327">
      <x:c r="B327" s="24" t="str">
        <x:v>A321</x:v>
      </x:c>
      <x:c r="C327" s="24" t="str">
        <x:v>mission credit</x:v>
      </x:c>
      <x:c r="D327" s="24" t="str">
        <x:v>mission cell 21 has zero credit</x:v>
      </x:c>
      <x:c r="E327" s="24" t="n">
        <x:f>'Mission Matrix'!N27</x:f>
        <x:v>0</x:v>
      </x:c>
      <x:c r="F327" s="24" t="n">
        <x:v>0</x:v>
      </x:c>
      <x:c r="G327" s="26" t="str">
        <x:f>IF(E327=F327,"PASS","FAIL")</x:f>
        <x:v>PASS</x:v>
      </x:c>
    </x:row>
    <x:row r="328">
      <x:c r="B328" s="24" t="str">
        <x:v>A322</x:v>
      </x:c>
      <x:c r="C328" s="24" t="str">
        <x:v>mission credit</x:v>
      </x:c>
      <x:c r="D328" s="24" t="str">
        <x:v>mission cell 22 has zero credit</x:v>
      </x:c>
      <x:c r="E328" s="24" t="n">
        <x:f>'Mission Matrix'!N28</x:f>
        <x:v>0</x:v>
      </x:c>
      <x:c r="F328" s="24" t="n">
        <x:v>0</x:v>
      </x:c>
      <x:c r="G328" s="26" t="str">
        <x:f>IF(E328=F328,"PASS","FAIL")</x:f>
        <x:v>PASS</x:v>
      </x:c>
    </x:row>
    <x:row r="329">
      <x:c r="B329" s="24" t="str">
        <x:v>A323</x:v>
      </x:c>
      <x:c r="C329" s="24" t="str">
        <x:v>mission credit</x:v>
      </x:c>
      <x:c r="D329" s="24" t="str">
        <x:v>mission cell 23 has zero credit</x:v>
      </x:c>
      <x:c r="E329" s="24" t="n">
        <x:f>'Mission Matrix'!N29</x:f>
        <x:v>0</x:v>
      </x:c>
      <x:c r="F329" s="24" t="n">
        <x:v>0</x:v>
      </x:c>
      <x:c r="G329" s="26" t="str">
        <x:f>IF(E329=F329,"PASS","FAIL")</x:f>
        <x:v>PASS</x:v>
      </x:c>
    </x:row>
    <x:row r="330">
      <x:c r="B330" s="24" t="str">
        <x:v>A324</x:v>
      </x:c>
      <x:c r="C330" s="24" t="str">
        <x:v>mission credit</x:v>
      </x:c>
      <x:c r="D330" s="24" t="str">
        <x:v>mission cell 24 has zero credit</x:v>
      </x:c>
      <x:c r="E330" s="24" t="n">
        <x:f>'Mission Matrix'!N30</x:f>
        <x:v>0</x:v>
      </x:c>
      <x:c r="F330" s="24" t="n">
        <x:v>0</x:v>
      </x:c>
      <x:c r="G330" s="26" t="str">
        <x:f>IF(E330=F330,"PASS","FAIL")</x:f>
        <x:v>PASS</x:v>
      </x:c>
    </x:row>
    <x:row r="331">
      <x:c r="B331" s="24" t="str">
        <x:v>A325</x:v>
      </x:c>
      <x:c r="C331" s="24" t="str">
        <x:v>mission credit</x:v>
      </x:c>
      <x:c r="D331" s="24" t="str">
        <x:v>mission cell 25 has zero credit</x:v>
      </x:c>
      <x:c r="E331" s="24" t="n">
        <x:f>'Mission Matrix'!N31</x:f>
        <x:v>0</x:v>
      </x:c>
      <x:c r="F331" s="24" t="n">
        <x:v>0</x:v>
      </x:c>
      <x:c r="G331" s="26" t="str">
        <x:f>IF(E331=F331,"PASS","FAIL")</x:f>
        <x:v>PASS</x:v>
      </x:c>
    </x:row>
    <x:row r="332">
      <x:c r="B332" s="24" t="str">
        <x:v>A326</x:v>
      </x:c>
      <x:c r="C332" s="24" t="str">
        <x:v>mission credit</x:v>
      </x:c>
      <x:c r="D332" s="24" t="str">
        <x:v>mission cell 26 has zero credit</x:v>
      </x:c>
      <x:c r="E332" s="24" t="n">
        <x:f>'Mission Matrix'!N32</x:f>
        <x:v>0</x:v>
      </x:c>
      <x:c r="F332" s="24" t="n">
        <x:v>0</x:v>
      </x:c>
      <x:c r="G332" s="26" t="str">
        <x:f>IF(E332=F332,"PASS","FAIL")</x:f>
        <x:v>PASS</x:v>
      </x:c>
    </x:row>
    <x:row r="333">
      <x:c r="B333" s="24" t="str">
        <x:v>A327</x:v>
      </x:c>
      <x:c r="C333" s="24" t="str">
        <x:v>mission credit</x:v>
      </x:c>
      <x:c r="D333" s="24" t="str">
        <x:v>mission cell 27 has zero credit</x:v>
      </x:c>
      <x:c r="E333" s="24" t="n">
        <x:f>'Mission Matrix'!N33</x:f>
        <x:v>0</x:v>
      </x:c>
      <x:c r="F333" s="24" t="n">
        <x:v>0</x:v>
      </x:c>
      <x:c r="G333" s="26" t="str">
        <x:f>IF(E333=F333,"PASS","FAIL")</x:f>
        <x:v>PASS</x:v>
      </x:c>
    </x:row>
    <x:row r="334">
      <x:c r="B334" s="24" t="str">
        <x:v>A328</x:v>
      </x:c>
      <x:c r="C334" s="24" t="str">
        <x:v>mission credit</x:v>
      </x:c>
      <x:c r="D334" s="24" t="str">
        <x:v>mission cell 28 has zero credit</x:v>
      </x:c>
      <x:c r="E334" s="24" t="n">
        <x:f>'Mission Matrix'!N34</x:f>
        <x:v>0</x:v>
      </x:c>
      <x:c r="F334" s="24" t="n">
        <x:v>0</x:v>
      </x:c>
      <x:c r="G334" s="26" t="str">
        <x:f>IF(E334=F334,"PASS","FAIL")</x:f>
        <x:v>PASS</x:v>
      </x:c>
    </x:row>
    <x:row r="335">
      <x:c r="B335" s="24" t="str">
        <x:v>A329</x:v>
      </x:c>
      <x:c r="C335" s="24" t="str">
        <x:v>mission credit</x:v>
      </x:c>
      <x:c r="D335" s="24" t="str">
        <x:v>mission cell 29 has zero credit</x:v>
      </x:c>
      <x:c r="E335" s="24" t="n">
        <x:f>'Mission Matrix'!N35</x:f>
        <x:v>0</x:v>
      </x:c>
      <x:c r="F335" s="24" t="n">
        <x:v>0</x:v>
      </x:c>
      <x:c r="G335" s="26" t="str">
        <x:f>IF(E335=F335,"PASS","FAIL")</x:f>
        <x:v>PASS</x:v>
      </x:c>
    </x:row>
    <x:row r="336">
      <x:c r="B336" s="24" t="str">
        <x:v>A330</x:v>
      </x:c>
      <x:c r="C336" s="24" t="str">
        <x:v>mission credit</x:v>
      </x:c>
      <x:c r="D336" s="24" t="str">
        <x:v>mission cell 30 has zero credit</x:v>
      </x:c>
      <x:c r="E336" s="24" t="n">
        <x:f>'Mission Matrix'!N36</x:f>
        <x:v>0</x:v>
      </x:c>
      <x:c r="F336" s="24" t="n">
        <x:v>0</x:v>
      </x:c>
      <x:c r="G336" s="26" t="str">
        <x:f>IF(E336=F336,"PASS","FAIL")</x:f>
        <x:v>PASS</x:v>
      </x:c>
    </x:row>
    <x:row r="337">
      <x:c r="B337" s="24" t="str">
        <x:v>A331</x:v>
      </x:c>
      <x:c r="C337" s="24" t="str">
        <x:v>mission credit</x:v>
      </x:c>
      <x:c r="D337" s="24" t="str">
        <x:v>mission cell 31 has zero credit</x:v>
      </x:c>
      <x:c r="E337" s="24" t="n">
        <x:f>'Mission Matrix'!N37</x:f>
        <x:v>0</x:v>
      </x:c>
      <x:c r="F337" s="24" t="n">
        <x:v>0</x:v>
      </x:c>
      <x:c r="G337" s="26" t="str">
        <x:f>IF(E337=F337,"PASS","FAIL")</x:f>
        <x:v>PASS</x:v>
      </x:c>
    </x:row>
    <x:row r="338">
      <x:c r="B338" s="24" t="str">
        <x:v>A332</x:v>
      </x:c>
      <x:c r="C338" s="24" t="str">
        <x:v>mission credit</x:v>
      </x:c>
      <x:c r="D338" s="24" t="str">
        <x:v>mission cell 32 has zero credit</x:v>
      </x:c>
      <x:c r="E338" s="24" t="n">
        <x:f>'Mission Matrix'!N38</x:f>
        <x:v>0</x:v>
      </x:c>
      <x:c r="F338" s="24" t="n">
        <x:v>0</x:v>
      </x:c>
      <x:c r="G338" s="26" t="str">
        <x:f>IF(E338=F338,"PASS","FAIL")</x:f>
        <x:v>PASS</x:v>
      </x:c>
    </x:row>
    <x:row r="339">
      <x:c r="B339" s="24" t="str">
        <x:v>A333</x:v>
      </x:c>
      <x:c r="C339" s="24" t="str">
        <x:v>mission credit</x:v>
      </x:c>
      <x:c r="D339" s="24" t="str">
        <x:v>mission cell 33 has zero credit</x:v>
      </x:c>
      <x:c r="E339" s="24" t="n">
        <x:f>'Mission Matrix'!N39</x:f>
        <x:v>0</x:v>
      </x:c>
      <x:c r="F339" s="24" t="n">
        <x:v>0</x:v>
      </x:c>
      <x:c r="G339" s="26" t="str">
        <x:f>IF(E339=F339,"PASS","FAIL")</x:f>
        <x:v>PASS</x:v>
      </x:c>
    </x:row>
    <x:row r="340">
      <x:c r="B340" s="24" t="str">
        <x:v>A334</x:v>
      </x:c>
      <x:c r="C340" s="24" t="str">
        <x:v>mission credit</x:v>
      </x:c>
      <x:c r="D340" s="24" t="str">
        <x:v>mission cell 34 has zero credit</x:v>
      </x:c>
      <x:c r="E340" s="24" t="n">
        <x:f>'Mission Matrix'!N40</x:f>
        <x:v>0</x:v>
      </x:c>
      <x:c r="F340" s="24" t="n">
        <x:v>0</x:v>
      </x:c>
      <x:c r="G340" s="26" t="str">
        <x:f>IF(E340=F340,"PASS","FAIL")</x:f>
        <x:v>PASS</x:v>
      </x:c>
    </x:row>
    <x:row r="341">
      <x:c r="B341" s="24" t="str">
        <x:v>A335</x:v>
      </x:c>
      <x:c r="C341" s="24" t="str">
        <x:v>mission credit</x:v>
      </x:c>
      <x:c r="D341" s="24" t="str">
        <x:v>mission cell 35 has zero credit</x:v>
      </x:c>
      <x:c r="E341" s="24" t="n">
        <x:f>'Mission Matrix'!N41</x:f>
        <x:v>0</x:v>
      </x:c>
      <x:c r="F341" s="24" t="n">
        <x:v>0</x:v>
      </x:c>
      <x:c r="G341" s="26" t="str">
        <x:f>IF(E341=F341,"PASS","FAIL")</x:f>
        <x:v>PASS</x:v>
      </x:c>
    </x:row>
    <x:row r="342">
      <x:c r="B342" s="24" t="str">
        <x:v>A336</x:v>
      </x:c>
      <x:c r="C342" s="24" t="str">
        <x:v>mission credit</x:v>
      </x:c>
      <x:c r="D342" s="24" t="str">
        <x:v>mission cell 36 has zero credit</x:v>
      </x:c>
      <x:c r="E342" s="24" t="n">
        <x:f>'Mission Matrix'!N42</x:f>
        <x:v>0</x:v>
      </x:c>
      <x:c r="F342" s="24" t="n">
        <x:v>0</x:v>
      </x:c>
      <x:c r="G342" s="26" t="str">
        <x:f>IF(E342=F342,"PASS","FAIL")</x:f>
        <x:v>PASS</x:v>
      </x:c>
    </x:row>
    <x:row r="343">
      <x:c r="B343" s="24" t="str">
        <x:v>A337</x:v>
      </x:c>
      <x:c r="C343" s="24" t="str">
        <x:v>mission credit</x:v>
      </x:c>
      <x:c r="D343" s="24" t="str">
        <x:v>mission cell 37 has zero credit</x:v>
      </x:c>
      <x:c r="E343" s="24" t="n">
        <x:f>'Mission Matrix'!N43</x:f>
        <x:v>0</x:v>
      </x:c>
      <x:c r="F343" s="24" t="n">
        <x:v>0</x:v>
      </x:c>
      <x:c r="G343" s="26" t="str">
        <x:f>IF(E343=F343,"PASS","FAIL")</x:f>
        <x:v>PASS</x:v>
      </x:c>
    </x:row>
    <x:row r="344">
      <x:c r="B344" s="24" t="str">
        <x:v>A338</x:v>
      </x:c>
      <x:c r="C344" s="24" t="str">
        <x:v>mission credit</x:v>
      </x:c>
      <x:c r="D344" s="24" t="str">
        <x:v>mission cell 38 has zero credit</x:v>
      </x:c>
      <x:c r="E344" s="24" t="n">
        <x:f>'Mission Matrix'!N44</x:f>
        <x:v>0</x:v>
      </x:c>
      <x:c r="F344" s="24" t="n">
        <x:v>0</x:v>
      </x:c>
      <x:c r="G344" s="26" t="str">
        <x:f>IF(E344=F344,"PASS","FAIL")</x:f>
        <x:v>PASS</x:v>
      </x:c>
    </x:row>
    <x:row r="345">
      <x:c r="B345" s="24" t="str">
        <x:v>A339</x:v>
      </x:c>
      <x:c r="C345" s="24" t="str">
        <x:v>mission credit</x:v>
      </x:c>
      <x:c r="D345" s="24" t="str">
        <x:v>mission cell 39 has zero credit</x:v>
      </x:c>
      <x:c r="E345" s="24" t="n">
        <x:f>'Mission Matrix'!N45</x:f>
        <x:v>0</x:v>
      </x:c>
      <x:c r="F345" s="24" t="n">
        <x:v>0</x:v>
      </x:c>
      <x:c r="G345" s="26" t="str">
        <x:f>IF(E345=F345,"PASS","FAIL")</x:f>
        <x:v>PASS</x:v>
      </x:c>
    </x:row>
    <x:row r="346">
      <x:c r="B346" s="24" t="str">
        <x:v>A340</x:v>
      </x:c>
      <x:c r="C346" s="24" t="str">
        <x:v>mission credit</x:v>
      </x:c>
      <x:c r="D346" s="24" t="str">
        <x:v>mission cell 40 has zero credit</x:v>
      </x:c>
      <x:c r="E346" s="24" t="n">
        <x:f>'Mission Matrix'!N46</x:f>
        <x:v>0</x:v>
      </x:c>
      <x:c r="F346" s="24" t="n">
        <x:v>0</x:v>
      </x:c>
      <x:c r="G346" s="26" t="str">
        <x:f>IF(E346=F346,"PASS","FAIL")</x:f>
        <x:v>PASS</x:v>
      </x:c>
    </x:row>
    <x:row r="347">
      <x:c r="B347" s="24" t="str">
        <x:v>A341</x:v>
      </x:c>
      <x:c r="C347" s="24" t="str">
        <x:v>mission credit</x:v>
      </x:c>
      <x:c r="D347" s="24" t="str">
        <x:v>mission cell 41 has zero credit</x:v>
      </x:c>
      <x:c r="E347" s="24" t="n">
        <x:f>'Mission Matrix'!N47</x:f>
        <x:v>0</x:v>
      </x:c>
      <x:c r="F347" s="24" t="n">
        <x:v>0</x:v>
      </x:c>
      <x:c r="G347" s="26" t="str">
        <x:f>IF(E347=F347,"PASS","FAIL")</x:f>
        <x:v>PASS</x:v>
      </x:c>
    </x:row>
    <x:row r="348">
      <x:c r="B348" s="24" t="str">
        <x:v>A342</x:v>
      </x:c>
      <x:c r="C348" s="24" t="str">
        <x:v>mission credit</x:v>
      </x:c>
      <x:c r="D348" s="24" t="str">
        <x:v>mission cell 42 has zero credit</x:v>
      </x:c>
      <x:c r="E348" s="24" t="n">
        <x:f>'Mission Matrix'!N48</x:f>
        <x:v>0</x:v>
      </x:c>
      <x:c r="F348" s="24" t="n">
        <x:v>0</x:v>
      </x:c>
      <x:c r="G348" s="26" t="str">
        <x:f>IF(E348=F348,"PASS","FAIL")</x:f>
        <x:v>PASS</x:v>
      </x:c>
    </x:row>
    <x:row r="349">
      <x:c r="B349" s="24" t="str">
        <x:v>A343</x:v>
      </x:c>
      <x:c r="C349" s="24" t="str">
        <x:v>mission credit</x:v>
      </x:c>
      <x:c r="D349" s="24" t="str">
        <x:v>mission cell 43 has zero credit</x:v>
      </x:c>
      <x:c r="E349" s="24" t="n">
        <x:f>'Mission Matrix'!N49</x:f>
        <x:v>0</x:v>
      </x:c>
      <x:c r="F349" s="24" t="n">
        <x:v>0</x:v>
      </x:c>
      <x:c r="G349" s="26" t="str">
        <x:f>IF(E349=F349,"PASS","FAIL")</x:f>
        <x:v>PASS</x:v>
      </x:c>
    </x:row>
    <x:row r="350">
      <x:c r="B350" s="24" t="str">
        <x:v>A344</x:v>
      </x:c>
      <x:c r="C350" s="24" t="str">
        <x:v>mission credit</x:v>
      </x:c>
      <x:c r="D350" s="24" t="str">
        <x:v>mission cell 44 has zero credit</x:v>
      </x:c>
      <x:c r="E350" s="24" t="n">
        <x:f>'Mission Matrix'!N50</x:f>
        <x:v>0</x:v>
      </x:c>
      <x:c r="F350" s="24" t="n">
        <x:v>0</x:v>
      </x:c>
      <x:c r="G350" s="26" t="str">
        <x:f>IF(E350=F350,"PASS","FAIL")</x:f>
        <x:v>PASS</x:v>
      </x:c>
    </x:row>
    <x:row r="351">
      <x:c r="B351" s="24" t="str">
        <x:v>A345</x:v>
      </x:c>
      <x:c r="C351" s="24" t="str">
        <x:v>mission credit</x:v>
      </x:c>
      <x:c r="D351" s="24" t="str">
        <x:v>mission cell 45 has zero credit</x:v>
      </x:c>
      <x:c r="E351" s="24" t="n">
        <x:f>'Mission Matrix'!N51</x:f>
        <x:v>0</x:v>
      </x:c>
      <x:c r="F351" s="24" t="n">
        <x:v>0</x:v>
      </x:c>
      <x:c r="G351" s="26" t="str">
        <x:f>IF(E351=F351,"PASS","FAIL")</x:f>
        <x:v>PASS</x:v>
      </x:c>
    </x:row>
    <x:row r="352">
      <x:c r="B352" s="24" t="str">
        <x:v>A346</x:v>
      </x:c>
      <x:c r="C352" s="24" t="str">
        <x:v>mission credit</x:v>
      </x:c>
      <x:c r="D352" s="24" t="str">
        <x:v>mission cell 46 has zero credit</x:v>
      </x:c>
      <x:c r="E352" s="24" t="n">
        <x:f>'Mission Matrix'!N52</x:f>
        <x:v>0</x:v>
      </x:c>
      <x:c r="F352" s="24" t="n">
        <x:v>0</x:v>
      </x:c>
      <x:c r="G352" s="26" t="str">
        <x:f>IF(E352=F352,"PASS","FAIL")</x:f>
        <x:v>PASS</x:v>
      </x:c>
    </x:row>
    <x:row r="353">
      <x:c r="B353" s="24" t="str">
        <x:v>A347</x:v>
      </x:c>
      <x:c r="C353" s="24" t="str">
        <x:v>mission credit</x:v>
      </x:c>
      <x:c r="D353" s="24" t="str">
        <x:v>mission cell 47 has zero credit</x:v>
      </x:c>
      <x:c r="E353" s="24" t="n">
        <x:f>'Mission Matrix'!N53</x:f>
        <x:v>0</x:v>
      </x:c>
      <x:c r="F353" s="24" t="n">
        <x:v>0</x:v>
      </x:c>
      <x:c r="G353" s="26" t="str">
        <x:f>IF(E353=F353,"PASS","FAIL")</x:f>
        <x:v>PASS</x:v>
      </x:c>
    </x:row>
    <x:row r="354">
      <x:c r="B354" s="24" t="str">
        <x:v>A348</x:v>
      </x:c>
      <x:c r="C354" s="24" t="str">
        <x:v>mission credit</x:v>
      </x:c>
      <x:c r="D354" s="24" t="str">
        <x:v>mission cell 48 has zero credit</x:v>
      </x:c>
      <x:c r="E354" s="24" t="n">
        <x:f>'Mission Matrix'!N54</x:f>
        <x:v>0</x:v>
      </x:c>
      <x:c r="F354" s="24" t="n">
        <x:v>0</x:v>
      </x:c>
      <x:c r="G354" s="26" t="str">
        <x:f>IF(E354=F354,"PASS","FAIL")</x:f>
        <x:v>PASS</x:v>
      </x:c>
    </x:row>
    <x:row r="355">
      <x:c r="B355" s="24" t="str">
        <x:v>A349</x:v>
      </x:c>
      <x:c r="C355" s="24" t="str">
        <x:v>mission credit</x:v>
      </x:c>
      <x:c r="D355" s="24" t="str">
        <x:v>mission cell 49 has zero credit</x:v>
      </x:c>
      <x:c r="E355" s="24" t="n">
        <x:f>'Mission Matrix'!N55</x:f>
        <x:v>0</x:v>
      </x:c>
      <x:c r="F355" s="24" t="n">
        <x:v>0</x:v>
      </x:c>
      <x:c r="G355" s="26" t="str">
        <x:f>IF(E355=F355,"PASS","FAIL")</x:f>
        <x:v>PASS</x:v>
      </x:c>
    </x:row>
    <x:row r="356">
      <x:c r="B356" s="24" t="str">
        <x:v>A350</x:v>
      </x:c>
      <x:c r="C356" s="24" t="str">
        <x:v>mission credit</x:v>
      </x:c>
      <x:c r="D356" s="24" t="str">
        <x:v>mission cell 50 has zero credit</x:v>
      </x:c>
      <x:c r="E356" s="24" t="n">
        <x:f>'Mission Matrix'!N56</x:f>
        <x:v>0</x:v>
      </x:c>
      <x:c r="F356" s="24" t="n">
        <x:v>0</x:v>
      </x:c>
      <x:c r="G356" s="26" t="str">
        <x:f>IF(E356=F356,"PASS","FAIL")</x:f>
        <x:v>PASS</x:v>
      </x:c>
    </x:row>
    <x:row r="357">
      <x:c r="B357" s="24" t="str">
        <x:v>A351</x:v>
      </x:c>
      <x:c r="C357" s="24" t="str">
        <x:v>mission credit</x:v>
      </x:c>
      <x:c r="D357" s="24" t="str">
        <x:v>mission cell 51 has zero credit</x:v>
      </x:c>
      <x:c r="E357" s="24" t="n">
        <x:f>'Mission Matrix'!N57</x:f>
        <x:v>0</x:v>
      </x:c>
      <x:c r="F357" s="24" t="n">
        <x:v>0</x:v>
      </x:c>
      <x:c r="G357" s="26" t="str">
        <x:f>IF(E357=F357,"PASS","FAIL")</x:f>
        <x:v>PASS</x:v>
      </x:c>
    </x:row>
    <x:row r="358">
      <x:c r="B358" s="24" t="str">
        <x:v>A352</x:v>
      </x:c>
      <x:c r="C358" s="24" t="str">
        <x:v>mission credit</x:v>
      </x:c>
      <x:c r="D358" s="24" t="str">
        <x:v>mission cell 52 has zero credit</x:v>
      </x:c>
      <x:c r="E358" s="24" t="n">
        <x:f>'Mission Matrix'!N58</x:f>
        <x:v>0</x:v>
      </x:c>
      <x:c r="F358" s="24" t="n">
        <x:v>0</x:v>
      </x:c>
      <x:c r="G358" s="26" t="str">
        <x:f>IF(E358=F358,"PASS","FAIL")</x:f>
        <x:v>PASS</x:v>
      </x:c>
    </x:row>
    <x:row r="359">
      <x:c r="B359" s="24" t="str">
        <x:v>A353</x:v>
      </x:c>
      <x:c r="C359" s="24" t="str">
        <x:v>mission credit</x:v>
      </x:c>
      <x:c r="D359" s="24" t="str">
        <x:v>mission cell 53 has zero credit</x:v>
      </x:c>
      <x:c r="E359" s="24" t="n">
        <x:f>'Mission Matrix'!N59</x:f>
        <x:v>0</x:v>
      </x:c>
      <x:c r="F359" s="24" t="n">
        <x:v>0</x:v>
      </x:c>
      <x:c r="G359" s="26" t="str">
        <x:f>IF(E359=F359,"PASS","FAIL")</x:f>
        <x:v>PASS</x:v>
      </x:c>
    </x:row>
    <x:row r="360">
      <x:c r="B360" s="24" t="str">
        <x:v>A354</x:v>
      </x:c>
      <x:c r="C360" s="24" t="str">
        <x:v>mission credit</x:v>
      </x:c>
      <x:c r="D360" s="24" t="str">
        <x:v>mission cell 54 has zero credit</x:v>
      </x:c>
      <x:c r="E360" s="24" t="n">
        <x:f>'Mission Matrix'!N60</x:f>
        <x:v>0</x:v>
      </x:c>
      <x:c r="F360" s="24" t="n">
        <x:v>0</x:v>
      </x:c>
      <x:c r="G360" s="26" t="str">
        <x:f>IF(E360=F360,"PASS","FAIL")</x:f>
        <x:v>PASS</x:v>
      </x:c>
    </x:row>
    <x:row r="361">
      <x:c r="B361" s="24" t="str">
        <x:v>A355</x:v>
      </x:c>
      <x:c r="C361" s="24" t="str">
        <x:v>mission credit</x:v>
      </x:c>
      <x:c r="D361" s="24" t="str">
        <x:v>mission cell 55 has zero credit</x:v>
      </x:c>
      <x:c r="E361" s="24" t="n">
        <x:f>'Mission Matrix'!N61</x:f>
        <x:v>0</x:v>
      </x:c>
      <x:c r="F361" s="24" t="n">
        <x:v>0</x:v>
      </x:c>
      <x:c r="G361" s="26" t="str">
        <x:f>IF(E361=F361,"PASS","FAIL")</x:f>
        <x:v>PASS</x:v>
      </x:c>
    </x:row>
    <x:row r="362">
      <x:c r="B362" s="24" t="str">
        <x:v>A356</x:v>
      </x:c>
      <x:c r="C362" s="24" t="str">
        <x:v>mission credit</x:v>
      </x:c>
      <x:c r="D362" s="24" t="str">
        <x:v>mission cell 56 has zero credit</x:v>
      </x:c>
      <x:c r="E362" s="24" t="n">
        <x:f>'Mission Matrix'!N62</x:f>
        <x:v>0</x:v>
      </x:c>
      <x:c r="F362" s="24" t="n">
        <x:v>0</x:v>
      </x:c>
      <x:c r="G362" s="26" t="str">
        <x:f>IF(E362=F362,"PASS","FAIL")</x:f>
        <x:v>PASS</x:v>
      </x:c>
    </x:row>
    <x:row r="363">
      <x:c r="B363" s="24" t="str">
        <x:v>A357</x:v>
      </x:c>
      <x:c r="C363" s="24" t="str">
        <x:v>mission credit</x:v>
      </x:c>
      <x:c r="D363" s="24" t="str">
        <x:v>mission cell 57 has zero credit</x:v>
      </x:c>
      <x:c r="E363" s="24" t="n">
        <x:f>'Mission Matrix'!N63</x:f>
        <x:v>0</x:v>
      </x:c>
      <x:c r="F363" s="24" t="n">
        <x:v>0</x:v>
      </x:c>
      <x:c r="G363" s="26" t="str">
        <x:f>IF(E363=F363,"PASS","FAIL")</x:f>
        <x:v>PASS</x:v>
      </x:c>
    </x:row>
    <x:row r="364">
      <x:c r="B364" s="24" t="str">
        <x:v>A358</x:v>
      </x:c>
      <x:c r="C364" s="24" t="str">
        <x:v>mission credit</x:v>
      </x:c>
      <x:c r="D364" s="24" t="str">
        <x:v>mission cell 58 has zero credit</x:v>
      </x:c>
      <x:c r="E364" s="24" t="n">
        <x:f>'Mission Matrix'!N64</x:f>
        <x:v>0</x:v>
      </x:c>
      <x:c r="F364" s="24" t="n">
        <x:v>0</x:v>
      </x:c>
      <x:c r="G364" s="26" t="str">
        <x:f>IF(E364=F364,"PASS","FAIL")</x:f>
        <x:v>PASS</x:v>
      </x:c>
    </x:row>
    <x:row r="365">
      <x:c r="B365" s="24" t="str">
        <x:v>A359</x:v>
      </x:c>
      <x:c r="C365" s="24" t="str">
        <x:v>mission credit</x:v>
      </x:c>
      <x:c r="D365" s="24" t="str">
        <x:v>mission cell 59 has zero credit</x:v>
      </x:c>
      <x:c r="E365" s="24" t="n">
        <x:f>'Mission Matrix'!N65</x:f>
        <x:v>0</x:v>
      </x:c>
      <x:c r="F365" s="24" t="n">
        <x:v>0</x:v>
      </x:c>
      <x:c r="G365" s="26" t="str">
        <x:f>IF(E365=F365,"PASS","FAIL")</x:f>
        <x:v>PASS</x:v>
      </x:c>
    </x:row>
    <x:row r="366">
      <x:c r="B366" s="24" t="str">
        <x:v>A360</x:v>
      </x:c>
      <x:c r="C366" s="24" t="str">
        <x:v>mission credit</x:v>
      </x:c>
      <x:c r="D366" s="24" t="str">
        <x:v>mission cell 60 has zero credit</x:v>
      </x:c>
      <x:c r="E366" s="24" t="n">
        <x:f>'Mission Matrix'!N66</x:f>
        <x:v>0</x:v>
      </x:c>
      <x:c r="F366" s="24" t="n">
        <x:v>0</x:v>
      </x:c>
      <x:c r="G366" s="26" t="str">
        <x:f>IF(E366=F366,"PASS","FAIL")</x:f>
        <x:v>PASS</x:v>
      </x:c>
    </x:row>
    <x:row r="367">
      <x:c r="B367" s="24" t="str">
        <x:v>A361</x:v>
      </x:c>
      <x:c r="C367" s="24" t="str">
        <x:v>mission credit</x:v>
      </x:c>
      <x:c r="D367" s="24" t="str">
        <x:v>mission cell 61 has zero credit</x:v>
      </x:c>
      <x:c r="E367" s="24" t="n">
        <x:f>'Mission Matrix'!N67</x:f>
        <x:v>0</x:v>
      </x:c>
      <x:c r="F367" s="24" t="n">
        <x:v>0</x:v>
      </x:c>
      <x:c r="G367" s="26" t="str">
        <x:f>IF(E367=F367,"PASS","FAIL")</x:f>
        <x:v>PASS</x:v>
      </x:c>
    </x:row>
    <x:row r="368">
      <x:c r="B368" s="24" t="str">
        <x:v>A362</x:v>
      </x:c>
      <x:c r="C368" s="24" t="str">
        <x:v>mission credit</x:v>
      </x:c>
      <x:c r="D368" s="24" t="str">
        <x:v>mission cell 62 has zero credit</x:v>
      </x:c>
      <x:c r="E368" s="24" t="n">
        <x:f>'Mission Matrix'!N68</x:f>
        <x:v>0</x:v>
      </x:c>
      <x:c r="F368" s="24" t="n">
        <x:v>0</x:v>
      </x:c>
      <x:c r="G368" s="26" t="str">
        <x:f>IF(E368=F368,"PASS","FAIL")</x:f>
        <x:v>PASS</x:v>
      </x:c>
    </x:row>
    <x:row r="369">
      <x:c r="B369" s="24" t="str">
        <x:v>A363</x:v>
      </x:c>
      <x:c r="C369" s="24" t="str">
        <x:v>mission credit</x:v>
      </x:c>
      <x:c r="D369" s="24" t="str">
        <x:v>mission cell 63 has zero credit</x:v>
      </x:c>
      <x:c r="E369" s="24" t="n">
        <x:f>'Mission Matrix'!N69</x:f>
        <x:v>0</x:v>
      </x:c>
      <x:c r="F369" s="24" t="n">
        <x:v>0</x:v>
      </x:c>
      <x:c r="G369" s="26" t="str">
        <x:f>IF(E369=F369,"PASS","FAIL")</x:f>
        <x:v>PASS</x:v>
      </x:c>
    </x:row>
    <x:row r="370">
      <x:c r="B370" s="24" t="str">
        <x:v>A364</x:v>
      </x:c>
      <x:c r="C370" s="24" t="str">
        <x:v>mission credit</x:v>
      </x:c>
      <x:c r="D370" s="24" t="str">
        <x:v>mission cell 64 has zero credit</x:v>
      </x:c>
      <x:c r="E370" s="24" t="n">
        <x:f>'Mission Matrix'!N70</x:f>
        <x:v>0</x:v>
      </x:c>
      <x:c r="F370" s="24" t="n">
        <x:v>0</x:v>
      </x:c>
      <x:c r="G370" s="26" t="str">
        <x:f>IF(E370=F370,"PASS","FAIL")</x:f>
        <x:v>PASS</x:v>
      </x:c>
    </x:row>
    <x:row r="371">
      <x:c r="B371" s="24" t="str">
        <x:v>A365</x:v>
      </x:c>
      <x:c r="C371" s="24" t="str">
        <x:v>mission credit</x:v>
      </x:c>
      <x:c r="D371" s="24" t="str">
        <x:v>mission cell 65 has zero credit</x:v>
      </x:c>
      <x:c r="E371" s="24" t="n">
        <x:f>'Mission Matrix'!N71</x:f>
        <x:v>0</x:v>
      </x:c>
      <x:c r="F371" s="24" t="n">
        <x:v>0</x:v>
      </x:c>
      <x:c r="G371" s="26" t="str">
        <x:f>IF(E371=F371,"PASS","FAIL")</x:f>
        <x:v>PASS</x:v>
      </x:c>
    </x:row>
    <x:row r="372">
      <x:c r="B372" s="24" t="str">
        <x:v>A366</x:v>
      </x:c>
      <x:c r="C372" s="24" t="str">
        <x:v>mission credit</x:v>
      </x:c>
      <x:c r="D372" s="24" t="str">
        <x:v>mission cell 66 has zero credit</x:v>
      </x:c>
      <x:c r="E372" s="24" t="n">
        <x:f>'Mission Matrix'!N72</x:f>
        <x:v>0</x:v>
      </x:c>
      <x:c r="F372" s="24" t="n">
        <x:v>0</x:v>
      </x:c>
      <x:c r="G372" s="26" t="str">
        <x:f>IF(E372=F372,"PASS","FAIL")</x:f>
        <x:v>PASS</x:v>
      </x:c>
    </x:row>
    <x:row r="373">
      <x:c r="B373" s="24" t="str">
        <x:v>A367</x:v>
      </x:c>
      <x:c r="C373" s="24" t="str">
        <x:v>mission credit</x:v>
      </x:c>
      <x:c r="D373" s="24" t="str">
        <x:v>mission cell 67 has zero credit</x:v>
      </x:c>
      <x:c r="E373" s="24" t="n">
        <x:f>'Mission Matrix'!N73</x:f>
        <x:v>0</x:v>
      </x:c>
      <x:c r="F373" s="24" t="n">
        <x:v>0</x:v>
      </x:c>
      <x:c r="G373" s="26" t="str">
        <x:f>IF(E373=F373,"PASS","FAIL")</x:f>
        <x:v>PASS</x:v>
      </x:c>
    </x:row>
    <x:row r="374">
      <x:c r="B374" s="27" t="str">
        <x:v>A368</x:v>
      </x:c>
      <x:c r="C374" s="27" t="str">
        <x:v>mission credit</x:v>
      </x:c>
      <x:c r="D374" s="27" t="str">
        <x:v>mission cell 68 has zero credit</x:v>
      </x:c>
      <x:c r="E374" s="27" t="n">
        <x:f>'Mission Matrix'!N74</x:f>
        <x:v>0</x:v>
      </x:c>
      <x:c r="F374" s="27" t="n">
        <x:v>0</x:v>
      </x:c>
      <x:c r="G374" s="29" t="str">
        <x:f>IF(E374=F374,"PASS","FAIL")</x:f>
        <x:v>PASS</x:v>
      </x:c>
    </x:row>
    <x:row r="375">
      <x:c r="B375" s="3"/>
      <x:c r="C375" s="3"/>
      <x:c r="D375" s="3"/>
      <x:c r="E375" s="3"/>
      <x:c r="F375" s="3"/>
      <x:c r="G375" s="3"/>
    </x:row>
  </x:sheetData>
  <x:mergeCells>
    <x:mergeCell ref="B2:H2"/>
    <x:mergeCell ref="B3:G3"/>
  </x:mergeCells>
  <x:conditionalFormatting sqref="G7:G374">
    <x:cfRule type="containsText" dxfId="85" priority="1" operator="containsText" text="FAIL"/>
    <x:cfRule type="containsText" dxfId="86" priority="2" operator="containsText" text="PASS"/>
    <x:cfRule type="containsText" dxfId="87" priority="3" operator="containsText" text="OPEN"/>
    <x:cfRule type="containsText" dxfId="88" priority="4" operator="containsText" text="HOLD"/>
    <x:cfRule type="containsText" dxfId="89" priority="5" operator="containsText" text="BLOCK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6" hidden="0" customWidth="1"/>
    <x:col min="3" max="3" width="37" hidden="0" customWidth="1"/>
    <x:col min="4" max="4" width="34" hidden="0" customWidth="1"/>
    <x:col min="5" max="5" width="30" hidden="0" customWidth="1"/>
    <x:col min="6" max="6" width="29" hidden="0" customWidth="1"/>
    <x:col min="7" max="7" width="24" hidden="0" customWidth="1"/>
    <x:col min="8" max="8" width="34" hidden="0" customWidth="1"/>
    <x:col min="9" max="9" width="28" hidden="0" customWidth="1"/>
    <x:col min="10" max="10" width="28" hidden="0" customWidth="1"/>
  </x:cols>
  <x:sheetData>
    <x:row r="2">
      <x:c r="B2" s="4" t="str">
        <x:v>Workbook guide</x:v>
      </x:c>
      <x:c r="C2" s="3"/>
      <x:c r="D2" s="3"/>
      <x:c r="E2" s="3"/>
      <x:c r="F2" s="3"/>
      <x:c r="G2" s="3"/>
      <x:c r="H2" s="3"/>
      <x:c r="I2" s="3"/>
      <x:c r="J2" s="3"/>
    </x:row>
    <x:row r="3">
      <x:c r="B3" s="5" t="str">
        <x:v>CSAC-1 is an auditable proving-campaign model; it is not a site plan, procurement estimate or claim of physical maturity</x:v>
      </x:c>
      <x:c r="C3" s="3"/>
      <x:c r="D3" s="3"/>
      <x:c r="E3" s="3"/>
      <x:c r="F3" s="3"/>
      <x:c r="G3" s="3"/>
      <x:c r="H3" s="3"/>
      <x:c r="I3" s="3"/>
      <x:c r="J3" s="3"/>
    </x:row>
    <x:row r="4">
      <x:c r="B4" s="6"/>
      <x:c r="C4" s="6"/>
      <x:c r="D4" s="6"/>
      <x:c r="E4" s="6"/>
      <x:c r="F4" s="6"/>
      <x:c r="G4" s="6"/>
      <x:c r="H4" s="6"/>
      <x:c r="I4" s="6"/>
      <x:c r="J4" s="6"/>
    </x:row>
    <x:row r="5">
      <x:c r="B5" s="3"/>
      <x:c r="C5" s="3"/>
      <x:c r="D5" s="3"/>
      <x:c r="E5" s="3"/>
      <x:c r="F5" s="3"/>
      <x:c r="G5" s="3"/>
      <x:c r="H5" s="3"/>
      <x:c r="I5" s="3"/>
      <x:c r="J5" s="3"/>
    </x:row>
    <x:row r="6">
      <x:c r="B6" s="22" t="str">
        <x:v>Sheet</x:v>
      </x:c>
      <x:c r="C6" s="23" t="str">
        <x:v>Purpose</x:v>
      </x:c>
      <x:c r="D6" s="23" t="str">
        <x:v>Key decision</x:v>
      </x:c>
      <x:c r="E6" s="23" t="str">
        <x:v>Inputs</x:v>
      </x:c>
      <x:c r="F6" s="23" t="str">
        <x:v>Formula outputs</x:v>
      </x:c>
      <x:c r="G6" s="23" t="str">
        <x:v>State semantics</x:v>
      </x:c>
      <x:c r="H6" s="23" t="str">
        <x:v>Do not infer</x:v>
      </x:c>
      <x:c r="I6" s="23" t="str">
        <x:v>Owner</x:v>
      </x:c>
      <x:c r="J6" s="23" t="str">
        <x:v>Update trigger</x:v>
      </x:c>
    </x:row>
    <x:row r="7">
      <x:c r="B7" s="24" t="str">
        <x:v>Summary</x:v>
      </x:c>
      <x:c r="C7" s="24" t="str">
        <x:v>current answer and boundary</x:v>
      </x:c>
      <x:c r="D7" s="24" t="str">
        <x:v>select campaign C3</x:v>
      </x:c>
      <x:c r="E7" s="24" t="str">
        <x:v>all sheets</x:v>
      </x:c>
      <x:c r="F7" s="24" t="str">
        <x:v>headline quantities</x:v>
      </x:c>
      <x:c r="G7" s="24" t="str">
        <x:v>PASS plus OPEN</x:v>
      </x:c>
      <x:c r="H7" s="24" t="str">
        <x:v>production maturity</x:v>
      </x:c>
      <x:c r="I7" s="24" t="str">
        <x:v>Program Executive</x:v>
      </x:c>
      <x:c r="J7" s="26" t="str">
        <x:v>any decision change</x:v>
      </x:c>
    </x:row>
    <x:row r="8">
      <x:c r="B8" s="24" t="str">
        <x:v>Assumptions</x:v>
      </x:c>
      <x:c r="C8" s="24" t="str">
        <x:v>declared hypotheses</x:v>
      </x:c>
      <x:c r="D8" s="24" t="str">
        <x:v>freeze controls for this pass</x:v>
      </x:c>
      <x:c r="E8" s="24" t="str">
        <x:v>prior passes and design assumptions</x:v>
      </x:c>
      <x:c r="F8" s="24" t="str">
        <x:v>none</x:v>
      </x:c>
      <x:c r="G8" s="24" t="str">
        <x:v>blue means unmeasured</x:v>
      </x:c>
      <x:c r="H8" s="24" t="str">
        <x:v>empirical truth</x:v>
      </x:c>
      <x:c r="I8" s="24" t="str">
        <x:v>Model Custodian</x:v>
      </x:c>
      <x:c r="J8" s="26" t="str">
        <x:v>new evidence</x:v>
      </x:c>
    </x:row>
    <x:row r="9">
      <x:c r="B9" s="24" t="str">
        <x:v>Evidence Constitution</x:v>
      </x:c>
      <x:c r="C9" s="24" t="str">
        <x:v>authority and stage rules</x:v>
      </x:c>
      <x:c r="D9" s="24" t="str">
        <x:v>no paper maturity</x:v>
      </x:c>
      <x:c r="E9" s="24" t="str">
        <x:v>campaign charter</x:v>
      </x:c>
      <x:c r="F9" s="24" t="str">
        <x:v>none</x:v>
      </x:c>
      <x:c r="G9" s="24" t="str">
        <x:v>OPEN</x:v>
      </x:c>
      <x:c r="H9" s="24" t="str">
        <x:v>gate closure</x:v>
      </x:c>
      <x:c r="I9" s="24" t="str">
        <x:v>Evidence Authority</x:v>
      </x:c>
      <x:c r="J9" s="26" t="str">
        <x:v>charter revision</x:v>
      </x:c>
    </x:row>
    <x:row r="10">
      <x:c r="B10" s="24" t="str">
        <x:v>Article Fleet</x:v>
      </x:c>
      <x:c r="C10" s="24" t="str">
        <x:v>separate physical banks</x:v>
      </x:c>
      <x:c r="D10" s="24" t="str">
        <x:v>480 development tiles</x:v>
      </x:c>
      <x:c r="E10" s="24" t="str">
        <x:v>formation and evidence needs</x:v>
      </x:c>
      <x:c r="F10" s="24" t="str">
        <x:v>inventory reconciliation</x:v>
      </x:c>
      <x:c r="G10" s="24" t="str">
        <x:v>PASS bookkeeping</x:v>
      </x:c>
      <x:c r="H10" s="24" t="str">
        <x:v>article qualification</x:v>
      </x:c>
      <x:c r="I10" s="24" t="str">
        <x:v>Article Authority</x:v>
      </x:c>
      <x:c r="J10" s="26" t="str">
        <x:v>serial plan</x:v>
      </x:c>
    </x:row>
    <x:row r="11">
      <x:c r="B11" s="24" t="str">
        <x:v>Facility Network</x:v>
      </x:c>
      <x:c r="C11" s="24" t="str">
        <x:v>map questions to capacity</x:v>
      </x:c>
      <x:c r="D11" s="24" t="str">
        <x:v>11 facility families</x:v>
      </x:c>
      <x:c r="E11" s="24" t="str">
        <x:v>stage demand</x:v>
      </x:c>
      <x:c r="F11" s="24" t="str">
        <x:v>utilization</x:v>
      </x:c>
      <x:c r="G11" s="24" t="str">
        <x:v>OPEN evidence</x:v>
      </x:c>
      <x:c r="H11" s="24" t="str">
        <x:v>geographic siting</x:v>
      </x:c>
      <x:c r="I11" s="24" t="str">
        <x:v>Facility Authority</x:v>
      </x:c>
      <x:c r="J11" s="26" t="str">
        <x:v>site study</x:v>
      </x:c>
    </x:row>
    <x:row r="12">
      <x:c r="B12" s="24" t="str">
        <x:v>Gate Assignment</x:v>
      </x:c>
      <x:c r="C12" s="24" t="str">
        <x:v>executable register</x:v>
      </x:c>
      <x:c r="D12" s="24" t="str">
        <x:v>200 gates</x:v>
      </x:c>
      <x:c r="E12" s="24" t="str">
        <x:v>25 campaigns x 8</x:v>
      </x:c>
      <x:c r="F12" s="24" t="str">
        <x:v>none</x:v>
      </x:c>
      <x:c r="G12" s="24" t="str">
        <x:v>OPEN</x:v>
      </x:c>
      <x:c r="H12" s="24" t="str">
        <x:v>earned maturity</x:v>
      </x:c>
      <x:c r="I12" s="24" t="str">
        <x:v>Gate Owners</x:v>
      </x:c>
      <x:c r="J12" s="26" t="str">
        <x:v>artifact acceptance</x:v>
      </x:c>
    </x:row>
    <x:row r="13">
      <x:c r="B13" s="24" t="str">
        <x:v>Campaign DAG</x:v>
      </x:c>
      <x:c r="C13" s="24" t="str">
        <x:v>ordered dependency plan</x:v>
      </x:c>
      <x:c r="D13" s="24" t="str">
        <x:v>year 14 earliest decision</x:v>
      </x:c>
      <x:c r="E13" s="24" t="str">
        <x:v>stage dependencies</x:v>
      </x:c>
      <x:c r="F13" s="24" t="str">
        <x:v>durations</x:v>
      </x:c>
      <x:c r="G13" s="24" t="str">
        <x:v>OPEN</x:v>
      </x:c>
      <x:c r="H13" s="24" t="str">
        <x:v>schedule certainty</x:v>
      </x:c>
      <x:c r="I13" s="24" t="str">
        <x:v>Program Executive</x:v>
      </x:c>
      <x:c r="J13" s="26" t="str">
        <x:v>dependency change</x:v>
      </x:c>
    </x:row>
    <x:row r="14">
      <x:c r="B14" s="24" t="str">
        <x:v>Range Capacity</x:v>
      </x:c>
      <x:c r="C14" s="24" t="str">
        <x:v>mission throughput</x:v>
      </x:c>
      <x:c r="D14" s="24" t="str">
        <x:v>four paired classes</x:v>
      </x:c>
      <x:c r="E14" s="24" t="str">
        <x:v>days duration concurrency</x:v>
      </x:c>
      <x:c r="F14" s="24" t="str">
        <x:v>capacity and guardbands</x:v>
      </x:c>
      <x:c r="G14" s="24" t="str">
        <x:v>PASS model</x:v>
      </x:c>
      <x:c r="H14" s="24" t="str">
        <x:v>mission success</x:v>
      </x:c>
      <x:c r="I14" s="24" t="str">
        <x:v>Range Authority</x:v>
      </x:c>
      <x:c r="J14" s="26" t="str">
        <x:v>measured occupation</x:v>
      </x:c>
    </x:row>
    <x:row r="15">
      <x:c r="B15" s="24" t="str">
        <x:v>Mission Matrix</x:v>
      </x:c>
      <x:c r="C15" s="24" t="str">
        <x:v>registered loss worlds</x:v>
      </x:c>
      <x:c r="D15" s="24" t="str">
        <x:v>200 full missions</x:v>
      </x:c>
      <x:c r="E15" s="24" t="str">
        <x:v>claims probes defects</x:v>
      </x:c>
      <x:c r="F15" s="24" t="str">
        <x:v>mission count</x:v>
      </x:c>
      <x:c r="G15" s="24" t="str">
        <x:v>OPEN and zero credit</x:v>
      </x:c>
      <x:c r="H15" s="24" t="str">
        <x:v>reliability probability</x:v>
      </x:c>
      <x:c r="I15" s="24" t="str">
        <x:v>Trial Authority</x:v>
      </x:c>
      <x:c r="J15" s="26" t="str">
        <x:v>protocol registration</x:v>
      </x:c>
    </x:row>
    <x:row r="16">
      <x:c r="B16" s="24" t="str">
        <x:v>Workforce</x:v>
      </x:c>
      <x:c r="C16" s="24" t="str">
        <x:v>permanent proving service</x:v>
      </x:c>
      <x:c r="D16" s="24" t="str">
        <x:v>24000 direct</x:v>
      </x:c>
      <x:c r="E16" s="24" t="str">
        <x:v>role design</x:v>
      </x:c>
      <x:c r="F16" s="24" t="str">
        <x:v>shares and totals</x:v>
      </x:c>
      <x:c r="G16" s="24" t="str">
        <x:v>PASS model</x:v>
      </x:c>
      <x:c r="H16" s="24" t="str">
        <x:v>hiring feasibility</x:v>
      </x:c>
      <x:c r="I16" s="24" t="str">
        <x:v>Command</x:v>
      </x:c>
      <x:c r="J16" s="26" t="str">
        <x:v>work design</x:v>
      </x:c>
    </x:row>
    <x:row r="17">
      <x:c r="B17" s="24" t="str">
        <x:v>Program Cost</x:v>
      </x:c>
      <x:c r="C17" s="24" t="str">
        <x:v>allocate inherited portfolio</x:v>
      </x:c>
      <x:c r="D17" s="24" t="str">
        <x:v>USD 1050B nested</x:v>
      </x:c>
      <x:c r="E17" s="24" t="str">
        <x:v>Pass 89 portfolio</x:v>
      </x:c>
      <x:c r="F17" s="24" t="str">
        <x:v>shares and reconciliation</x:v>
      </x:c>
      <x:c r="G17" s="24" t="str">
        <x:v>OPEN evidence</x:v>
      </x:c>
      <x:c r="H17" s="24" t="str">
        <x:v>quote-level cost</x:v>
      </x:c>
      <x:c r="I17" s="24" t="str">
        <x:v>Cost Evidence Board</x:v>
      </x:c>
      <x:c r="J17" s="26" t="str">
        <x:v>bottom-up quote</x:v>
      </x:c>
    </x:row>
    <x:row r="18">
      <x:c r="B18" s="24" t="str">
        <x:v>Decision Gates</x:v>
      </x:c>
      <x:c r="C18" s="24" t="str">
        <x:v>hold production and imagery</x:v>
      </x:c>
      <x:c r="D18" s="24" t="str">
        <x:v>year 14 earliest</x:v>
      </x:c>
      <x:c r="E18" s="24" t="str">
        <x:v>model and evidence states</x:v>
      </x:c>
      <x:c r="F18" s="24" t="str">
        <x:v>none</x:v>
      </x:c>
      <x:c r="G18" s="24" t="str">
        <x:v>HOLD</x:v>
      </x:c>
      <x:c r="H18" s="24" t="str">
        <x:v>authorization</x:v>
      </x:c>
      <x:c r="I18" s="24" t="str">
        <x:v>Resilience Secretary</x:v>
      </x:c>
      <x:c r="J18" s="26" t="str">
        <x:v>gate closure</x:v>
      </x:c>
    </x:row>
    <x:row r="19">
      <x:c r="B19" s="27" t="str">
        <x:v>Audit</x:v>
      </x:c>
      <x:c r="C19" s="27" t="str">
        <x:v>deterministic controls</x:v>
      </x:c>
      <x:c r="D19" s="27" t="str">
        <x:v>368 checks</x:v>
      </x:c>
      <x:c r="E19" s="27" t="str">
        <x:v>all model sheets</x:v>
      </x:c>
      <x:c r="F19" s="27" t="str">
        <x:v>PASS/FAIL</x:v>
      </x:c>
      <x:c r="G19" s="27" t="str">
        <x:v>PASS model only</x:v>
      </x:c>
      <x:c r="H19" s="27" t="str">
        <x:v>physical evidence</x:v>
      </x:c>
      <x:c r="I19" s="27" t="str">
        <x:v>Model Custodian</x:v>
      </x:c>
      <x:c r="J19" s="29" t="str">
        <x:v>any formula change</x:v>
      </x:c>
    </x:row>
    <x:row r="20">
      <x:c r="B20" s="3"/>
      <x:c r="C20" s="3"/>
      <x:c r="D20" s="3"/>
      <x:c r="E20" s="3"/>
      <x:c r="F20" s="3"/>
      <x:c r="G20" s="3"/>
      <x:c r="H20" s="3"/>
      <x:c r="I20" s="3"/>
      <x:c r="J20" s="3"/>
    </x:row>
    <x:row r="21">
      <x:c r="B21" s="3"/>
      <x:c r="C21" s="3"/>
      <x:c r="D21" s="3"/>
      <x:c r="E21" s="3"/>
      <x:c r="F21" s="3"/>
      <x:c r="G21" s="3"/>
      <x:c r="H21" s="3"/>
      <x:c r="I21" s="3"/>
      <x:c r="J21" s="3"/>
    </x:row>
    <x:row r="22">
      <x:c r="B22" s="9" t="str">
        <x:v>Version and use</x:v>
      </x:c>
      <x:c r="C22" s="10" t="str">
        <x:v>Version and use</x:v>
      </x:c>
      <x:c r="D22" s="10" t="str">
        <x:v>Version and use</x:v>
      </x:c>
      <x:c r="E22" s="10" t="str">
        <x:v>Version and use</x:v>
      </x:c>
      <x:c r="F22" s="10" t="str">
        <x:v>Version and use</x:v>
      </x:c>
      <x:c r="G22" s="10" t="str">
        <x:v>Version and use</x:v>
      </x:c>
      <x:c r="H22" s="10" t="str">
        <x:v>Version and use</x:v>
      </x:c>
      <x:c r="I22" s="10" t="str">
        <x:v>Version and use</x:v>
      </x:c>
      <x:c r="J22" s="11" t="str">
        <x:v>Version and use</x:v>
      </x:c>
    </x:row>
    <x:row r="23">
      <x:c r="B23" s="3" t="str">
        <x:v>Model version</x:v>
      </x:c>
      <x:c r="C23" s="3" t="str">
        <x:v>CSAC-1 Pass 90</x:v>
      </x:c>
      <x:c r="D23" s="3" t="str"/>
      <x:c r="E23" s="3" t="str"/>
      <x:c r="F23" s="3" t="str"/>
      <x:c r="G23" s="3" t="str"/>
      <x:c r="H23" s="3" t="str"/>
      <x:c r="I23" s="3" t="str"/>
      <x:c r="J23" s="3" t="str"/>
    </x:row>
    <x:row r="24">
      <x:c r="B24" s="3" t="str">
        <x:v>Currency</x:v>
      </x:c>
      <x:c r="C24" s="3" t="str">
        <x:v>constant planning dollars in USD billions; price base not yet selected</x:v>
      </x:c>
      <x:c r="D24" s="3" t="str"/>
      <x:c r="E24" s="3" t="str"/>
      <x:c r="F24" s="3" t="str"/>
      <x:c r="G24" s="3" t="str"/>
      <x:c r="H24" s="3" t="str"/>
      <x:c r="I24" s="3" t="str"/>
      <x:c r="J24" s="3" t="str"/>
    </x:row>
    <x:row r="25">
      <x:c r="B25" s="3" t="str">
        <x:v>External sources</x:v>
      </x:c>
      <x:c r="C25" s="3" t="str">
        <x:v>none; first-principles synthesis using internal project doctrine</x:v>
      </x:c>
      <x:c r="D25" s="3" t="str"/>
      <x:c r="E25" s="3" t="str"/>
      <x:c r="F25" s="3" t="str"/>
      <x:c r="G25" s="3" t="str"/>
      <x:c r="H25" s="3" t="str"/>
      <x:c r="I25" s="3" t="str"/>
      <x:c r="J25" s="3" t="str"/>
    </x:row>
    <x:row r="26">
      <x:c r="B26" s="3" t="str">
        <x:v>Probability claim</x:v>
      </x:c>
      <x:c r="C26" s="3" t="str">
        <x:v>none; repetitions are registered coverage, not estimated reliability</x:v>
      </x:c>
      <x:c r="D26" s="3" t="str"/>
      <x:c r="E26" s="3" t="str"/>
      <x:c r="F26" s="3" t="str"/>
      <x:c r="G26" s="3" t="str"/>
      <x:c r="H26" s="3" t="str"/>
      <x:c r="I26" s="3" t="str"/>
      <x:c r="J26" s="3" t="str"/>
    </x:row>
    <x:row r="27">
      <x:c r="B27" s="3" t="str">
        <x:v>Rendering</x:v>
      </x:c>
      <x:c r="C27" s="3" t="str">
        <x:v>blocked pending measured physical envelope</x:v>
      </x:c>
      <x:c r="D27" s="3" t="str"/>
      <x:c r="E27" s="3" t="str"/>
      <x:c r="F27" s="3" t="str"/>
      <x:c r="G27" s="3" t="str"/>
      <x:c r="H27" s="3" t="str"/>
      <x:c r="I27" s="3" t="str"/>
      <x:c r="J27" s="3" t="str"/>
    </x:row>
    <x:row r="28">
      <x:c r="B28" s="3" t="str">
        <x:v>Production</x:v>
      </x:c>
      <x:c r="C28" s="3" t="str">
        <x:v>hold pending G8 independent replication</x:v>
      </x:c>
      <x:c r="D28" s="3" t="str"/>
      <x:c r="E28" s="3" t="str"/>
      <x:c r="F28" s="3" t="str"/>
      <x:c r="G28" s="3" t="str"/>
      <x:c r="H28" s="3" t="str"/>
      <x:c r="I28" s="3" t="str"/>
      <x:c r="J28" s="3" t="str"/>
    </x:row>
    <x:row r="29">
      <x:c r="B29" s="3" t="str">
        <x:v>Next model</x:v>
      </x:c>
      <x:c r="C29" s="3" t="str">
        <x:v>instrumentation channel count, data rate, destructive-article burn and bottom-up facility quotes</x:v>
      </x:c>
      <x:c r="D29" s="3" t="str"/>
      <x:c r="E29" s="3" t="str"/>
      <x:c r="F29" s="3" t="str"/>
      <x:c r="G29" s="3" t="str"/>
      <x:c r="H29" s="3" t="str"/>
      <x:c r="I29" s="3" t="str"/>
      <x:c r="J29" s="3" t="str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</x:row>
  </x:sheetData>
  <x:mergeCells>
    <x:mergeCell ref="B2:H2"/>
    <x:mergeCell ref="B3:J3"/>
    <x:mergeCell ref="B22:J22"/>
  </x:mergeCells>
  <x:pageMargins left="0.7" right="0.7" top="0.75" bottom="0.75" header="0.3" footer="0.3"/>
</x:worksheet>
</file>