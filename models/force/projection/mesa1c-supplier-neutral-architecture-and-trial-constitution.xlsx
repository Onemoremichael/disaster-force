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f2166fa25c42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12ab9346f5e4898"/>
    <x:sheet xmlns:r="http://schemas.openxmlformats.org/officeDocument/2006/relationships" name="Assumptions" sheetId="2" r:id="Rfee03b28e5a24482"/>
    <x:sheet xmlns:r="http://schemas.openxmlformats.org/officeDocument/2006/relationships" name="Competition" sheetId="3" r:id="R1ec0516e3abd467f"/>
    <x:sheet xmlns:r="http://schemas.openxmlformats.org/officeDocument/2006/relationships" name="Gate Matrix" sheetId="4" r:id="R41eed28235ea4806"/>
    <x:sheet xmlns:r="http://schemas.openxmlformats.org/officeDocument/2006/relationships" name="Serial Baseline" sheetId="5" r:id="R24e5820e9c3341c5"/>
    <x:sheet xmlns:r="http://schemas.openxmlformats.org/officeDocument/2006/relationships" name="Interfaces" sheetId="6" r:id="Rf46fff53fd714f0e"/>
    <x:sheet xmlns:r="http://schemas.openxmlformats.org/officeDocument/2006/relationships" name="Prototype Articles" sheetId="7" r:id="Rcbc3edf062434c46"/>
    <x:sheet xmlns:r="http://schemas.openxmlformats.org/officeDocument/2006/relationships" name="Trial Register" sheetId="8" r:id="Rd20ea2900a2946a4"/>
    <x:sheet xmlns:r="http://schemas.openxmlformats.org/officeDocument/2006/relationships" name="Evidence Gates" sheetId="9" r:id="R088f348b09774490"/>
    <x:sheet xmlns:r="http://schemas.openxmlformats.org/officeDocument/2006/relationships" name="Campaign Schedule" sheetId="10" r:id="R9e49e6e913cc4c06"/>
    <x:sheet xmlns:r="http://schemas.openxmlformats.org/officeDocument/2006/relationships" name="Cost Matrix" sheetId="11" r:id="Re30bec15429449e5"/>
    <x:sheet xmlns:r="http://schemas.openxmlformats.org/officeDocument/2006/relationships" name="Industrial Base" sheetId="12" r:id="R31e0a317799c4808"/>
    <x:sheet xmlns:r="http://schemas.openxmlformats.org/officeDocument/2006/relationships" name="Decision Gates" sheetId="13" r:id="R132e8c78114e44c2"/>
    <x:sheet xmlns:r="http://schemas.openxmlformats.org/officeDocument/2006/relationships" name="Audit" sheetId="14" r:id="R6999fd0e19c64c08"/>
    <x:sheet xmlns:r="http://schemas.openxmlformats.org/officeDocument/2006/relationships" name="ReadMe" sheetId="15" r:id="R3278fd251f3e4e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"/>
    <x:numFmt numFmtId="202" formatCode="0.00"/>
    <x:numFmt numFmtId="203" formatCode="0.000"/>
  </x:numFmts>
  <x:fonts count="7">
    <x:font>
      <x:sz val="11"/>
      <x:name val="Carlito"/>
    </x:font>
    <x:font>
      <x:sz val="10"/>
      <x:color rgb="FF1F2933"/>
      <x:name val="Arial"/>
    </x:font>
    <x:font>
      <x:b/>
      <x:sz val="15"/>
      <x:color rgb="FF17324D"/>
      <x:name val="Arial"/>
    </x:font>
    <x:font>
      <x:i/>
      <x:sz val="10"/>
      <x:color rgb="FF52636F"/>
      <x:name val="Arial"/>
    </x:font>
    <x:font>
      <x:b/>
      <x:sz val="10"/>
      <x:color rgb="FF17324D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CEAF4"/>
      </x:patternFill>
    </x:fill>
    <x:fill>
      <x:patternFill patternType="solid">
        <x:fgColor rgb="FF17324D"/>
      </x:patternFill>
    </x:fill>
    <x:fill>
      <x:patternFill patternType="solid">
        <x:fgColor rgb="FFFFF2CC"/>
      </x:patternFill>
    </x:fill>
  </x:fills>
  <x:borders count="14">
    <x:border/>
    <x:border>
      <x:bottom style="thin">
        <x:color rgb="FF17324D"/>
      </x:bottom>
    </x:border>
    <x:border>
      <x:left style="thin">
        <x:color rgb="FFAEBBC5"/>
      </x:left>
      <x:top style="thin">
        <x:color rgb="FFAEBBC5"/>
      </x:top>
      <x:bottom style="thin">
        <x:color rgb="FFAEBBC5"/>
      </x:bottom>
    </x:border>
    <x:border>
      <x:top style="thin">
        <x:color rgb="FFAEBBC5"/>
      </x:top>
      <x:bottom style="thin">
        <x:color rgb="FFAEBBC5"/>
      </x:bottom>
    </x:border>
    <x:border>
      <x:right style="thin">
        <x:color rgb="FFAEBBC5"/>
      </x:right>
      <x:top style="thin">
        <x:color rgb="FFAEBBC5"/>
      </x:top>
      <x:bottom style="thin">
        <x:color rgb="FFAEBBC5"/>
      </x:bottom>
    </x:border>
    <x:border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bottom style="thin">
        <x:color rgb="FF17324D"/>
      </x:bottom>
    </x:border>
    <x:border>
      <x:right style="thin">
        <x:color rgb="FFFFFFFF"/>
      </x:right>
      <x:bottom style="thin">
        <x:color rgb="FFD8E0E5"/>
      </x:bottom>
    </x:border>
    <x:border>
      <x:left style="thin">
        <x:color rgb="FFFFFFFF"/>
      </x:left>
      <x:right style="thin">
        <x:color rgb="FFFFFFFF"/>
      </x:right>
      <x:bottom style="thin">
        <x:color rgb="FFD8E0E5"/>
      </x:bottom>
    </x:border>
    <x:border>
      <x:top style="thin">
        <x:color rgb="FFD8E0E5"/>
      </x:top>
      <x:bottom style="thin">
        <x:color rgb="FFD8E0E5"/>
      </x:bottom>
    </x:border>
    <x:border>
      <x:right style="thin">
        <x:color rgb="FFFFFFFF"/>
      </x:right>
      <x:top style="thin">
        <x:color rgb="FFD8E0E5"/>
      </x:top>
      <x:bottom style="thin">
        <x:color rgb="FFD8E0E5"/>
      </x:bottom>
    </x:border>
    <x:border>
      <x:top style="thin">
        <x:color rgb="FFD8E0E5"/>
      </x:top>
      <x:bottom style="thin">
        <x:color rgb="FF17324D"/>
      </x:bottom>
    </x:border>
    <x:border>
      <x:right style="thin">
        <x:color rgb="FFFFFFFF"/>
      </x:right>
      <x:top style="thin">
        <x:color rgb="FFD8E0E5"/>
      </x:top>
      <x:bottom style="thin">
        <x:color rgb="FF17324D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5" fillId="3" borderId="6" xfId="0" applyNumberFormat="1" applyFont="1" applyFill="1" applyBorder="1" applyAlignment="1">
      <x:alignment vertical="center"/>
    </x:xf>
    <x:xf numFmtId="0" fontId="5" fillId="3" borderId="7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5" fillId="3" borderId="6" xfId="0" applyNumberFormat="1" applyFont="1" applyFill="1" applyBorder="1" applyAlignment="1">
      <x:alignment horizontal="center" vertical="center" wrapText="1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200" fontId="6" fillId="4" borderId="0" xfId="0" applyNumberFormat="1" applyFont="1" applyFill="1" applyBorder="1" applyAlignment="1">
      <x:alignment vertical="center"/>
    </x:xf>
    <x:xf numFmtId="0" fontId="5" fillId="3" borderId="8" xfId="0" applyNumberFormat="1" applyFont="1" applyFill="1" applyBorder="1" applyAlignment="1">
      <x:alignment horizontal="center" vertical="center" wrapText="1"/>
    </x:xf>
    <x:xf numFmtId="0" fontId="5" fillId="3" borderId="9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vertical="center"/>
    </x:xf>
    <x:xf numFmtId="0" fontId="6" fillId="4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200" fontId="6" fillId="4" borderId="10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6" fillId="4" borderId="12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10" xfId="0" applyNumberFormat="1" applyFont="1" applyFill="1" applyBorder="1" applyAlignment="1">
      <x:alignment vertical="center"/>
    </x:xf>
    <x:xf numFmtId="201" fontId="1" fillId="0" borderId="12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10" xfId="0" applyNumberFormat="1" applyFont="1" applyFill="1" applyBorder="1" applyAlignment="1">
      <x:alignment vertical="center"/>
    </x:xf>
    <x:xf numFmtId="202" fontId="1" fillId="0" borderId="12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10" xfId="0" applyNumberFormat="1" applyFont="1" applyFill="1" applyBorder="1" applyAlignment="1">
      <x:alignment vertical="center"/>
    </x:xf>
    <x:xf numFmtId="203" fontId="1" fillId="0" borderId="12" xfId="0" applyNumberFormat="1" applyFont="1" applyFill="1" applyBorder="1" applyAlignment="1">
      <x:alignment vertical="center"/>
    </x:xf>
    <x:xf numFmtId="203" fontId="1" fillId="0" borderId="11" xfId="0" applyNumberFormat="1" applyFont="1" applyFill="1" applyBorder="1" applyAlignment="1">
      <x:alignment vertical="center"/>
    </x:xf>
    <x:xf numFmtId="203" fontId="1" fillId="0" borderId="13" xfId="0" applyNumberFormat="1" applyFont="1" applyFill="1" applyBorder="1" applyAlignment="1">
      <x:alignment vertical="center"/>
    </x:xf>
  </x:cellXfs>
  <x:cellStyles count="1">
    <x:cellStyle name="Normal" xfId="0"/>
  </x:cellStyles>
  <x:dxfs count="102"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7324D"/>
      </x:font>
      <x:fill>
        <x:patternFill patternType="solid">
          <x:bgColor rgb="FFDCEAF4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7324D"/>
      </x:font>
      <x:fill>
        <x:patternFill patternType="solid">
          <x:bgColor rgb="FFDCEAF4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7324D"/>
      </x:font>
      <x:fill>
        <x:patternFill patternType="solid">
          <x:bgColor rgb="FFDCEAF4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7324D"/>
      </x:font>
      <x:fill>
        <x:patternFill patternType="solid">
          <x:bgColor rgb="FFDCEAF4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7324D"/>
      </x:font>
      <x:fill>
        <x:patternFill patternType="solid">
          <x:bgColor rgb="FFDCEAF4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7324D"/>
      </x:font>
      <x:fill>
        <x:patternFill patternType="solid">
          <x:bgColor rgb="FFDCEAF4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7324D"/>
      </x:font>
      <x:fill>
        <x:patternFill patternType="solid">
          <x:bgColor rgb="FFDCEAF4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7324D"/>
      </x:font>
      <x:fill>
        <x:patternFill patternType="solid">
          <x:bgColor rgb="FFDCEAF4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7324D"/>
      </x:font>
      <x:fill>
        <x:patternFill patternType="solid">
          <x:bgColor rgb="FFDCEAF4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7324D"/>
      </x:font>
      <x:fill>
        <x:patternFill patternType="solid">
          <x:bgColor rgb="FFDCEAF4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7324D"/>
      </x:font>
      <x:fill>
        <x:patternFill patternType="solid">
          <x:bgColor rgb="FFDCEAF4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7324D"/>
      </x:font>
      <x:fill>
        <x:patternFill patternType="solid">
          <x:bgColor rgb="FFDCEAF4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7324D"/>
      </x:font>
      <x:fill>
        <x:patternFill patternType="solid">
          <x:bgColor rgb="FFDCEAF4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7324D"/>
      </x:font>
      <x:fill>
        <x:patternFill patternType="solid">
          <x:bgColor rgb="FFDCEAF4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7324D"/>
      </x:font>
      <x:fill>
        <x:patternFill patternType="solid">
          <x:bgColor rgb="FFDCEAF4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7324D"/>
      </x:font>
      <x:fill>
        <x:patternFill patternType="solid">
          <x:bgColor rgb="FFDCEAF4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7324D"/>
      </x:font>
      <x:fill>
        <x:patternFill patternType="solid">
          <x:bgColor rgb="FFDCEA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055342cd0c4555" /><Relationship Type="http://schemas.openxmlformats.org/officeDocument/2006/relationships/theme" Target="/xl/theme/theme1.xml" Id="Rf65f1d7fb53b4398" /><Relationship Type="http://schemas.openxmlformats.org/officeDocument/2006/relationships/sharedStrings" Target="/xl/sharedStrings.xml" Id="R6264f286a4214717" /><Relationship Type="http://schemas.openxmlformats.org/officeDocument/2006/relationships/worksheet" Target="/xl/worksheets/sheet1.xml" Id="Rf12ab9346f5e4898" /><Relationship Type="http://schemas.openxmlformats.org/officeDocument/2006/relationships/worksheet" Target="/xl/worksheets/sheet2.xml" Id="Rfee03b28e5a24482" /><Relationship Type="http://schemas.openxmlformats.org/officeDocument/2006/relationships/worksheet" Target="/xl/worksheets/sheet3.xml" Id="R1ec0516e3abd467f" /><Relationship Type="http://schemas.openxmlformats.org/officeDocument/2006/relationships/worksheet" Target="/xl/worksheets/sheet4.xml" Id="R41eed28235ea4806" /><Relationship Type="http://schemas.openxmlformats.org/officeDocument/2006/relationships/worksheet" Target="/xl/worksheets/sheet5.xml" Id="R24e5820e9c3341c5" /><Relationship Type="http://schemas.openxmlformats.org/officeDocument/2006/relationships/worksheet" Target="/xl/worksheets/sheet6.xml" Id="Rf46fff53fd714f0e" /><Relationship Type="http://schemas.openxmlformats.org/officeDocument/2006/relationships/worksheet" Target="/xl/worksheets/sheet7.xml" Id="Rcbc3edf062434c46" /><Relationship Type="http://schemas.openxmlformats.org/officeDocument/2006/relationships/worksheet" Target="/xl/worksheets/sheet8.xml" Id="Rd20ea2900a2946a4" /><Relationship Type="http://schemas.openxmlformats.org/officeDocument/2006/relationships/worksheet" Target="/xl/worksheets/sheet9.xml" Id="R088f348b09774490" /><Relationship Type="http://schemas.openxmlformats.org/officeDocument/2006/relationships/worksheet" Target="/xl/worksheets/sheet10.xml" Id="R9e49e6e913cc4c06" /><Relationship Type="http://schemas.openxmlformats.org/officeDocument/2006/relationships/worksheet" Target="/xl/worksheets/sheet11.xml" Id="Re30bec15429449e5" /><Relationship Type="http://schemas.openxmlformats.org/officeDocument/2006/relationships/worksheet" Target="/xl/worksheets/sheet12.xml" Id="R31e0a317799c4808" /><Relationship Type="http://schemas.openxmlformats.org/officeDocument/2006/relationships/worksheet" Target="/xl/worksheets/sheet13.xml" Id="R132e8c78114e44c2" /><Relationship Type="http://schemas.openxmlformats.org/officeDocument/2006/relationships/worksheet" Target="/xl/worksheets/sheet14.xml" Id="R6999fd0e19c64c08" /><Relationship Type="http://schemas.openxmlformats.org/officeDocument/2006/relationships/worksheet" Target="/xl/worksheets/sheet15.xml" Id="R3278fd251f3e4e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2" max="2" width="35" hidden="0" customWidth="1"/>
    <x:col min="3" max="3" width="118" hidden="0" customWidth="1"/>
    <x:col min="4" max="4" width="56" hidden="0" customWidth="1"/>
    <x:col min="5" max="5" width="28" hidden="0" customWidth="1"/>
    <x:col min="6" max="6" width="43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2" ht="18" customHeight="1">
      <x:c r="B2" s="3" t="str">
        <x:v>MESA-1C supplier-neutral architecture constitution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18" customHeight="1">
      <x:c r="B3" s="4" t="str">
        <x:v>Current answer: eleven clean-sheet evidence systems enter construction through hard-gated competitions; no supplier, production form or rendering is authorized.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18" customHeight="1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</x:row>
    <x:row r="5" ht="18" customHeight="1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18" customHeight="1">
      <x:c r="B6" s="8" t="str">
        <x:v>Executive decision record</x:v>
      </x:c>
      <x:c r="C6" s="9" t="str">
        <x:v>Executive decision record</x:v>
      </x:c>
      <x:c r="D6" s="9" t="str">
        <x:v>Executive decision record</x:v>
      </x:c>
      <x:c r="E6" s="9" t="str">
        <x:v>Executive decision record</x:v>
      </x:c>
      <x:c r="F6" s="9" t="str">
        <x:v>Executive decision record</x:v>
      </x:c>
      <x:c r="G6" s="9" t="str">
        <x:v>Executive decision record</x:v>
      </x:c>
      <x:c r="H6" s="9" t="str">
        <x:v>Executive decision record</x:v>
      </x:c>
      <x:c r="I6" s="9" t="str">
        <x:v>Executive decision record</x:v>
      </x:c>
      <x:c r="J6" s="9" t="str">
        <x:v>Executive decision record</x:v>
      </x:c>
      <x:c r="K6" s="9" t="str">
        <x:v>Executive decision record</x:v>
      </x:c>
      <x:c r="L6" s="9" t="str">
        <x:v>Executive decision record</x:v>
      </x:c>
      <x:c r="M6" s="9" t="str">
        <x:v>Executive decision record</x:v>
      </x:c>
      <x:c r="N6" s="9" t="str">
        <x:v>Executive decision record</x:v>
      </x:c>
      <x:c r="O6" s="9" t="str">
        <x:v>Executive decision record</x:v>
      </x:c>
      <x:c r="P6" s="10" t="str">
        <x:v>Executive decision record</x:v>
      </x:c>
    </x:row>
    <x:row r="7" ht="18" customHeight="1">
      <x:c r="B7" s="19" t="str">
        <x:v>Question</x:v>
      </x:c>
      <x:c r="C7" s="20" t="str">
        <x:v>Current answer</x:v>
      </x:c>
      <x:c r="D7" s="20" t="str">
        <x:v>Model state</x:v>
      </x:c>
      <x:c r="E7" s="20" t="str">
        <x:v>Evidence state</x:v>
      </x:c>
      <x:c r="F7" s="21" t="str">
        <x:v>Consequence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44" customHeight="1">
      <x:c r="B8" s="2" t="str">
        <x:v>What is selected?</x:v>
      </x:c>
      <x:c r="C8" s="2" t="str">
        <x:v>Eleven prototype baselines spanning article cassettes, carrier nodes, receiver truth, sensing, isolation, power, time, storage and equivalence.</x:v>
      </x:c>
      <x:c r="D8" s="2" t="str">
        <x:v>PASS</x:v>
      </x:c>
      <x:c r="E8" s="2" t="str">
        <x:v>OPEN</x:v>
      </x:c>
      <x:c r="F8" s="2" t="str">
        <x:v>build rival first articles under frozen serial control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 ht="44" customHeight="1">
      <x:c r="B9" s="2" t="str">
        <x:v>What did the competition reject?</x:v>
      </x:c>
      <x:c r="C9" s="2" t="str">
        <x:v>Any candidate that borrows mission power, control, network, provider custody or an unpaired physical burden.</x:v>
      </x:c>
      <x:c r="D9" s="2" t="str">
        <x:v>PASS</x:v>
      </x:c>
      <x:c r="E9" s="2" t="str">
        <x:v>OPEN</x:v>
      </x:c>
      <x:c r="F9" s="2" t="str">
        <x:v>good weighted scores cannot purchase admission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 ht="44" customHeight="1">
      <x:c r="B10" s="2" t="str">
        <x:v>What is technologically new?</x:v>
      </x:c>
      <x:c r="C10" s="2" t="str">
        <x:v>Dual-physics pressure skins, passive split-physics interfaces, zonal evidence vaults, seven-day primary-plus-buffer power and burden-matched emulators.</x:v>
      </x:c>
      <x:c r="D10" s="2" t="str">
        <x:v>PASS</x:v>
      </x:c>
      <x:c r="E10" s="2" t="str">
        <x:v>OPEN</x:v>
      </x:c>
      <x:c r="F10" s="2" t="str">
        <x:v>innovation is directed at proof infrastructure, not cosmetic form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 ht="44" customHeight="1">
      <x:c r="B11" s="2" t="str">
        <x:v>How is independence proved?</x:v>
      </x:c>
      <x:c r="C11" s="2" t="str">
        <x:v>Component ancestry, physical teardown, custody separation and independently repeated trials—not prime-contractor labels.</x:v>
      </x:c>
      <x:c r="D11" s="2" t="str">
        <x:v>PASS</x:v>
      </x:c>
      <x:c r="E11" s="2" t="str">
        <x:v>OPEN</x:v>
      </x:c>
      <x:c r="F11" s="2" t="str">
        <x:v>shared decisive roots force recompete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44" customHeight="1">
      <x:c r="B12" s="2" t="str">
        <x:v>How large is the prototype campaign?</x:v>
      </x:c>
      <x:c r="C12" s="2" t="str">
        <x:v>68 registered trials, 64 co-governing evidence gates and 78 months.</x:v>
      </x:c>
      <x:c r="D12" s="2" t="str">
        <x:v>PASS</x:v>
      </x:c>
      <x:c r="E12" s="2" t="str">
        <x:v>OPEN</x:v>
      </x:c>
      <x:c r="F12" s="2" t="str">
        <x:v>one failed gate yields zero campaign credit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 ht="44" customHeight="1">
      <x:c r="B13" s="2" t="str">
        <x:v>What does it cost?</x:v>
      </x:c>
      <x:c r="C13" s="2" t="str">
        <x:v>USD 6.8B nested inside the existing USD 24B F01 evidence family.</x:v>
      </x:c>
      <x:c r="D13" s="2" t="str">
        <x:v>PASS</x:v>
      </x:c>
      <x:c r="E13" s="2" t="str">
        <x:v>OPEN</x:v>
      </x:c>
      <x:c r="F13" s="2" t="str">
        <x:v>this pass reallocates; it does not add to the portfolio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44" customHeight="1">
      <x:c r="B14" s="2" t="str">
        <x:v>Can evidence equipment help the mission?</x:v>
      </x:c>
      <x:c r="C14" s="2" t="str">
        <x:v>No. Every interface is physically one-way and loss-safe; useful energy, data, actuation or service rejects the design.</x:v>
      </x:c>
      <x:c r="D14" s="2" t="str">
        <x:v>PASS</x:v>
      </x:c>
      <x:c r="E14" s="2" t="str">
        <x:v>OPEN</x:v>
      </x:c>
      <x:c r="F14" s="2" t="str">
        <x:v>prove no-crutch equivalence in P07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44" customHeight="1">
      <x:c r="B15" s="2" t="str">
        <x:v>May production start?</x:v>
      </x:c>
      <x:c r="C15" s="2" t="str">
        <x:v>No</x:v>
      </x:c>
      <x:c r="D15" s="2" t="str">
        <x:v>PASS</x:v>
      </x:c>
      <x:c r="E15" s="2" t="str">
        <x:v>OPEN</x:v>
      </x:c>
      <x:c r="F15" s="2" t="str">
        <x:v>production HOLD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44" customHeight="1">
      <x:c r="B16" s="2" t="str">
        <x:v>May internal design rendering start?</x:v>
      </x:c>
      <x:c r="C16" s="2" t="str">
        <x:v>No</x:v>
      </x:c>
      <x:c r="D16" s="2" t="str">
        <x:v>PASS</x:v>
      </x:c>
      <x:c r="E16" s="2" t="str">
        <x:v>OPEN</x:v>
      </x:c>
      <x:c r="F16" s="2" t="str">
        <x:v>rendering BLOCKED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44" customHeight="1">
      <x:c r="B17" s="2" t="str">
        <x:v>What closes the pass?</x:v>
      </x:c>
      <x:c r="C17" s="2" t="str">
        <x:v>A frozen second-lot complete mission independently reproduced in P08.</x:v>
      </x:c>
      <x:c r="D17" s="2" t="str">
        <x:v>PASS</x:v>
      </x:c>
      <x:c r="E17" s="2" t="str">
        <x:v>OPEN</x:v>
      </x:c>
      <x:c r="F17" s="2" t="str">
        <x:v>only accepted evidence can reopen form and production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18" customHeight="1"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18" customHeight="1"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18" customHeight="1">
      <x:c r="B20" s="8" t="str">
        <x:v>Derived control quantities</x:v>
      </x:c>
      <x:c r="C20" s="9" t="str">
        <x:v>Derived control quantities</x:v>
      </x:c>
      <x:c r="D20" s="9" t="str">
        <x:v>Derived control quantities</x:v>
      </x:c>
      <x:c r="E20" s="9" t="str">
        <x:v>Derived control quantities</x:v>
      </x:c>
      <x:c r="F20" s="9" t="str">
        <x:v>Derived control quantities</x:v>
      </x:c>
      <x:c r="G20" s="9" t="str">
        <x:v>Derived control quantities</x:v>
      </x:c>
      <x:c r="H20" s="9" t="str">
        <x:v>Derived control quantities</x:v>
      </x:c>
      <x:c r="I20" s="9" t="str">
        <x:v>Derived control quantities</x:v>
      </x:c>
      <x:c r="J20" s="9" t="str">
        <x:v>Derived control quantities</x:v>
      </x:c>
      <x:c r="K20" s="9" t="str">
        <x:v>Derived control quantities</x:v>
      </x:c>
      <x:c r="L20" s="9" t="str">
        <x:v>Derived control quantities</x:v>
      </x:c>
      <x:c r="M20" s="9" t="str">
        <x:v>Derived control quantities</x:v>
      </x:c>
      <x:c r="N20" s="9" t="str">
        <x:v>Derived control quantities</x:v>
      </x:c>
      <x:c r="O20" s="9" t="str">
        <x:v>Derived control quantities</x:v>
      </x:c>
      <x:c r="P20" s="10" t="str">
        <x:v>Derived control quantities</x:v>
      </x:c>
    </x:row>
    <x:row r="21" ht="18" customHeight="1">
      <x:c r="B21" s="19" t="str">
        <x:v>Measure</x:v>
      </x:c>
      <x:c r="C21" s="20" t="str">
        <x:v>Value</x:v>
      </x:c>
      <x:c r="D21" s="20" t="str">
        <x:v>Unit</x:v>
      </x:c>
      <x:c r="E21" s="20" t="str">
        <x:v>Required</x:v>
      </x:c>
      <x:c r="F21" s="21" t="str">
        <x:v>Result</x:v>
      </x:c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18" customHeight="1">
      <x:c r="B22" s="2" t="str">
        <x:v>Subsystem competitions</x:v>
      </x:c>
      <x:c r="C22" s="2" t="n">
        <x:f>COUNTA('Serial Baseline'!C7:C17)</x:f>
        <x:v>11</x:v>
      </x:c>
      <x:c r="D22" s="2" t="str">
        <x:v>classes</x:v>
      </x:c>
      <x:c r="E22" s="2" t="n">
        <x:v>11</x:v>
      </x:c>
      <x:c r="F22" s="2" t="str">
        <x:f>IF(C22=E22,"PASS","FAIL")</x:f>
        <x:v>PASS</x:v>
      </x:c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18" customHeight="1">
      <x:c r="B23" s="2" t="str">
        <x:v>Candidates screened</x:v>
      </x:c>
      <x:c r="C23" s="2" t="n">
        <x:f>COUNTA(Competition!B7:B39)</x:f>
        <x:v>33</x:v>
      </x:c>
      <x:c r="D23" s="2" t="str">
        <x:v>candidates</x:v>
      </x:c>
      <x:c r="E23" s="2" t="n">
        <x:v>33</x:v>
      </x:c>
      <x:c r="F23" s="2" t="str">
        <x:f>IF(C23=E23,"PASS","FAIL")</x:f>
        <x:v>PASS</x:v>
      </x:c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18" customHeight="1">
      <x:c r="B24" s="2" t="str">
        <x:v>Admissible candidates</x:v>
      </x:c>
      <x:c r="C24" s="2" t="n">
        <x:f>COUNTIFS(Competition!F7:F39,"ADMISSIBLE")</x:f>
        <x:v>14</x:v>
      </x:c>
      <x:c r="D24" s="2" t="str">
        <x:v>candidates</x:v>
      </x:c>
      <x:c r="E24" s="2" t="n">
        <x:v>0</x:v>
      </x:c>
      <x:c r="F24" s="2" t="str">
        <x:f>IF(C24&gt;=1,"PASS","FAIL")</x:f>
        <x:v>PASS</x:v>
      </x:c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 ht="18" customHeight="1">
      <x:c r="B25" s="2" t="str">
        <x:v>Selected prototype baselines</x:v>
      </x:c>
      <x:c r="C25" s="2" t="n">
        <x:f>COUNTIFS(Competition!M7:M39,"SELECTED")</x:f>
        <x:v>11</x:v>
      </x:c>
      <x:c r="D25" s="2" t="str">
        <x:v>baselines</x:v>
      </x:c>
      <x:c r="E25" s="2" t="n">
        <x:v>11</x:v>
      </x:c>
      <x:c r="F25" s="2" t="str">
        <x:f>IF(C25=E25,"PASS","FAIL")</x:f>
        <x:v>PASS</x:v>
      </x:c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 ht="18" customHeight="1">
      <x:c r="B26" s="2" t="str">
        <x:v>Physical interfaces</x:v>
      </x:c>
      <x:c r="C26" s="2" t="n">
        <x:f>COUNTA(Interfaces!B7:B18)</x:f>
        <x:v>12</x:v>
      </x:c>
      <x:c r="D26" s="2" t="str">
        <x:v>interfaces</x:v>
      </x:c>
      <x:c r="E26" s="2" t="n">
        <x:v>12</x:v>
      </x:c>
      <x:c r="F26" s="2" t="str">
        <x:f>IF(C26=E26,"PASS","FAIL")</x:f>
        <x:v>PASS</x:v>
      </x:c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 ht="18" customHeight="1">
      <x:c r="B27" s="2" t="str">
        <x:v>Prototype serial families</x:v>
      </x:c>
      <x:c r="C27" s="2" t="n">
        <x:f>COUNTA('Prototype Articles'!B7:B17)</x:f>
        <x:v>11</x:v>
      </x:c>
      <x:c r="D27" s="2" t="str">
        <x:v>families</x:v>
      </x:c>
      <x:c r="E27" s="2" t="n">
        <x:v>11</x:v>
      </x:c>
      <x:c r="F27" s="2" t="str">
        <x:f>IF(C27=E27,"PASS","FAIL")</x:f>
        <x:v>PASS</x:v>
      </x:c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 ht="18" customHeight="1">
      <x:c r="B28" s="2" t="str">
        <x:v>Registered trials</x:v>
      </x:c>
      <x:c r="C28" s="2" t="n">
        <x:f>COUNTA('Trial Register'!B7:B74)</x:f>
        <x:v>68</x:v>
      </x:c>
      <x:c r="D28" s="2" t="str">
        <x:v>trials</x:v>
      </x:c>
      <x:c r="E28" s="2" t="n">
        <x:v>68</x:v>
      </x:c>
      <x:c r="F28" s="2" t="str">
        <x:f>IF(C28=E28,"PASS","FAIL")</x:f>
        <x:v>PASS</x:v>
      </x:c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 ht="18" customHeight="1">
      <x:c r="B29" s="2" t="str">
        <x:v>Evidence gates</x:v>
      </x:c>
      <x:c r="C29" s="2" t="n">
        <x:f>COUNTA('Evidence Gates'!B7:B70)</x:f>
        <x:v>64</x:v>
      </x:c>
      <x:c r="D29" s="2" t="str">
        <x:v>gates</x:v>
      </x:c>
      <x:c r="E29" s="2" t="n">
        <x:v>64</x:v>
      </x:c>
      <x:c r="F29" s="2" t="str">
        <x:f>IF(C29=E29,"PASS","FAIL")</x:f>
        <x:v>PASS</x:v>
      </x:c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 ht="18" customHeight="1">
      <x:c r="B30" s="2" t="str">
        <x:v>Program duration</x:v>
      </x:c>
      <x:c r="C30" s="2" t="n">
        <x:f>MAX('Campaign Schedule'!F7:F14)</x:f>
        <x:v>78</x:v>
      </x:c>
      <x:c r="D30" s="2" t="str">
        <x:v>months</x:v>
      </x:c>
      <x:c r="E30" s="2" t="n">
        <x:v>78</x:v>
      </x:c>
      <x:c r="F30" s="2" t="str">
        <x:f>IF(C30=E30,"PASS","FAIL")</x:f>
        <x:v>PASS</x:v>
      </x:c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 ht="18" customHeight="1">
      <x:c r="B31" s="2" t="str">
        <x:v>Prototype cost</x:v>
      </x:c>
      <x:c r="C31" s="40" t="n">
        <x:f>'Cost Matrix'!N17</x:f>
        <x:v>6.800000000000001</x:v>
      </x:c>
      <x:c r="D31" s="2" t="str">
        <x:v>USD B</x:v>
      </x:c>
      <x:c r="E31" s="2" t="n">
        <x:v>6.8</x:v>
      </x:c>
      <x:c r="F31" s="2" t="str">
        <x:f>IF(C31=E31,"PASS","FAIL")</x:f>
        <x:v>PASS</x:v>
      </x:c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 ht="18" customHeight="1">
      <x:c r="B32" s="2" t="str">
        <x:v>F01 ceiling</x:v>
      </x:c>
      <x:c r="C32" s="40" t="n">
        <x:f>Assumptions!C32</x:f>
        <x:v>24</x:v>
      </x:c>
      <x:c r="D32" s="2" t="str">
        <x:v>USD B</x:v>
      </x:c>
      <x:c r="E32" s="2" t="n">
        <x:v>24</x:v>
      </x:c>
      <x:c r="F32" s="2" t="str">
        <x:f>IF(C32=E32,"PASS","FAIL")</x:f>
        <x:v>PASS</x:v>
      </x:c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 ht="18" customHeight="1">
      <x:c r="B33" s="2" t="str">
        <x:v>Critical industrial chains</x:v>
      </x:c>
      <x:c r="C33" s="2" t="n">
        <x:f>COUNTA('Industrial Base'!B7:B18)</x:f>
        <x:v>12</x:v>
      </x:c>
      <x:c r="D33" s="2" t="str">
        <x:v>chains</x:v>
      </x:c>
      <x:c r="E33" s="2" t="n">
        <x:v>12</x:v>
      </x:c>
      <x:c r="F33" s="2" t="str">
        <x:f>IF(C33=E33,"PASS","FAIL")</x:f>
        <x:v>PASS</x:v>
      </x:c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 ht="18" customHeight="1">
      <x:c r="B34" s="2" t="str">
        <x:v>Physical evidence credit</x:v>
      </x:c>
      <x:c r="C34" s="2" t="n">
        <x:f>SUM('Evidence Gates'!K7:K70)</x:f>
        <x:v>0</x:v>
      </x:c>
      <x:c r="D34" s="2" t="str">
        <x:v>credits</x:v>
      </x:c>
      <x:c r="E34" s="2" t="n">
        <x:v>0</x:v>
      </x:c>
      <x:c r="F34" s="2" t="str">
        <x:f>IF(C34=E34,"PASS","FAIL")</x:f>
        <x:v>PASS</x:v>
      </x:c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 ht="18" customHeight="1">
      <x:c r="B35" s="2" t="str">
        <x:v>Rendering authorization</x:v>
      </x:c>
      <x:c r="C35" s="2" t="n">
        <x:f>SUM('Decision Gates'!H7:H18)</x:f>
        <x:v>0</x:v>
      </x:c>
      <x:c r="D35" s="2" t="str">
        <x:v>binary</x:v>
      </x:c>
      <x:c r="E35" s="2" t="n">
        <x:v>0</x:v>
      </x:c>
      <x:c r="F35" s="2" t="str">
        <x:f>IF(C35=E35,"PASS","FAIL")</x:f>
        <x:v>PASS</x:v>
      </x:c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 ht="18" customHeight="1"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 ht="18" customHeight="1"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 ht="18" customHeight="1">
      <x:c r="B38" s="8" t="str">
        <x:v>Selected architecture chain</x:v>
      </x:c>
      <x:c r="C38" s="9" t="str">
        <x:v>Selected architecture chain</x:v>
      </x:c>
      <x:c r="D38" s="9" t="str">
        <x:v>Selected architecture chain</x:v>
      </x:c>
      <x:c r="E38" s="9" t="str">
        <x:v>Selected architecture chain</x:v>
      </x:c>
      <x:c r="F38" s="9" t="str">
        <x:v>Selected architecture chain</x:v>
      </x:c>
      <x:c r="G38" s="9" t="str">
        <x:v>Selected architecture chain</x:v>
      </x:c>
      <x:c r="H38" s="9" t="str">
        <x:v>Selected architecture chain</x:v>
      </x:c>
      <x:c r="I38" s="9" t="str">
        <x:v>Selected architecture chain</x:v>
      </x:c>
      <x:c r="J38" s="9" t="str">
        <x:v>Selected architecture chain</x:v>
      </x:c>
      <x:c r="K38" s="9" t="str">
        <x:v>Selected architecture chain</x:v>
      </x:c>
      <x:c r="L38" s="9" t="str">
        <x:v>Selected architecture chain</x:v>
      </x:c>
      <x:c r="M38" s="9" t="str">
        <x:v>Selected architecture chain</x:v>
      </x:c>
      <x:c r="N38" s="9" t="str">
        <x:v>Selected architecture chain</x:v>
      </x:c>
      <x:c r="O38" s="9" t="str">
        <x:v>Selected architecture chain</x:v>
      </x:c>
      <x:c r="P38" s="10" t="str">
        <x:v>Selected architecture chain</x:v>
      </x:c>
    </x:row>
    <x:row r="39" ht="18" customHeight="1">
      <x:c r="B39" s="19" t="str">
        <x:v>Subsystem</x:v>
      </x:c>
      <x:c r="C39" s="20" t="str">
        <x:v>Selected candidate</x:v>
      </x:c>
      <x:c r="D39" s="20" t="str">
        <x:v>First-principles role</x:v>
      </x:c>
      <x:c r="E39" s="21" t="str">
        <x:v>Evidence boundary</x:v>
      </x:c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 ht="31" customHeight="1">
      <x:c r="B40" s="2" t="str">
        <x:v>Air tile cassette</x:v>
      </x:c>
      <x:c r="C40" s="2" t="str">
        <x:v>ATC-2</x:v>
      </x:c>
      <x:c r="D40" s="2" t="str">
        <x:v>three-zone isolated vault cassette</x:v>
      </x:c>
      <x:c r="E40" s="2" t="str">
        <x:v>prototype only; evidence OPEN</x:v>
      </x:c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 ht="31" customHeight="1">
      <x:c r="B41" s="2" t="str">
        <x:v>Terrain tile cassette</x:v>
      </x:c>
      <x:c r="C41" s="2" t="str">
        <x:v>TTC-2</x:v>
      </x:c>
      <x:c r="D41" s="2" t="str">
        <x:v>four-pod conformal evidence cassette</x:v>
      </x:c>
      <x:c r="E41" s="2" t="str">
        <x:v>prototype only; evidence OPEN</x:v>
      </x:c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 ht="31" customHeight="1">
      <x:c r="B42" s="2" t="str">
        <x:v>Air carrier node</x:v>
      </x:c>
      <x:c r="C42" s="2" t="str">
        <x:v>ACN-2</x:v>
      </x:c>
      <x:c r="D42" s="2" t="str">
        <x:v>triple zonal vault and passive witness ring</x:v>
      </x:c>
      <x:c r="E42" s="2" t="str">
        <x:v>prototype only; evidence OPEN</x:v>
      </x:c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 ht="31" customHeight="1">
      <x:c r="B43" s="2" t="str">
        <x:v>Terrain carrier node</x:v>
      </x:c>
      <x:c r="C43" s="2" t="str">
        <x:v>TCN-2</x:v>
      </x:c>
      <x:c r="D43" s="2" t="str">
        <x:v>twelve pod-local acquisition nodes and dual vaults</x:v>
      </x:c>
      <x:c r="E43" s="2" t="str">
        <x:v>prototype only; evidence OPEN</x:v>
      </x:c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  <x:row r="44" ht="31" customHeight="1">
      <x:c r="B44" s="2" t="str">
        <x:v>Civil receiver</x:v>
      </x:c>
      <x:c r="C44" s="2" t="str">
        <x:v>CRS-2</x:v>
      </x:c>
      <x:c r="D44" s="2" t="str">
        <x:v>three-module assay, utility and civil-release station</x:v>
      </x:c>
      <x:c r="E44" s="2" t="str">
        <x:v>prototype only; evidence OPEN</x:v>
      </x:c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</x:row>
    <x:row r="45" ht="31" customHeight="1">
      <x:c r="B45" s="2" t="str">
        <x:v>Pressure skin</x:v>
      </x:c>
      <x:c r="C45" s="2" t="str">
        <x:v>PSS-3</x:v>
      </x:c>
      <x:c r="D45" s="2" t="str">
        <x:v>dual-physics mosaic with optical geometry</x:v>
      </x:c>
      <x:c r="E45" s="2" t="str">
        <x:v>prototype only; evidence OPEN</x:v>
      </x:c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</x:row>
    <x:row r="46" ht="31" customHeight="1">
      <x:c r="B46" s="2" t="str">
        <x:v>Passive interface</x:v>
      </x:c>
      <x:c r="C46" s="2" t="str">
        <x:v>PIF-3</x:v>
      </x:c>
      <x:c r="D46" s="2" t="str">
        <x:v>split-physics transducer plus optical state mirror</x:v>
      </x:c>
      <x:c r="E46" s="2" t="str">
        <x:v>prototype only; evidence OPEN</x:v>
      </x:c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</x:row>
    <x:row r="47" ht="31" customHeight="1">
      <x:c r="B47" s="2" t="str">
        <x:v>Independent energy</x:v>
      </x:c>
      <x:c r="C47" s="2" t="str">
        <x:v>EPS-2</x:v>
      </x:c>
      <x:c r="D47" s="2" t="str">
        <x:v>primary-cell endurance core with rechargeable event buffer</x:v>
      </x:c>
      <x:c r="E47" s="2" t="str">
        <x:v>prototype only; evidence OPEN</x:v>
      </x:c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</x:row>
    <x:row r="48" ht="31" customHeight="1">
      <x:c r="B48" s="2" t="str">
        <x:v>Denied time</x:v>
      </x:c>
      <x:c r="C48" s="2" t="str">
        <x:v>TKS-2</x:v>
      </x:c>
      <x:c r="D48" s="2" t="str">
        <x:v>dual atomic roots plus independent quartz witness</x:v>
      </x:c>
      <x:c r="E48" s="2" t="str">
        <x:v>prototype only; evidence OPEN</x:v>
      </x:c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</x:row>
    <x:row r="49" ht="31" customHeight="1">
      <x:c r="B49" s="2" t="str">
        <x:v>Immutable storage</x:v>
      </x:c>
      <x:c r="C49" s="2" t="str">
        <x:v>STG-2</x:v>
      </x:c>
      <x:c r="D49" s="2" t="str">
        <x:v>dual independent vaults with cross-hashed segments</x:v>
      </x:c>
      <x:c r="E49" s="2" t="str">
        <x:v>prototype only; evidence OPEN</x:v>
      </x:c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</x:row>
    <x:row r="50" ht="31" customHeight="1">
      <x:c r="B50" s="2" t="str">
        <x:v>Mass and heat emulator</x:v>
      </x:c>
      <x:c r="C50" s="2" t="str">
        <x:v>MHE-3</x:v>
      </x:c>
      <x:c r="D50" s="2" t="str">
        <x:v>passive mass-CG body with outward heater and impedance loads</x:v>
      </x:c>
      <x:c r="E50" s="2" t="str">
        <x:v>prototype only; evidence OPEN</x:v>
      </x:c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</x:row>
  </x:sheetData>
  <x:mergeCells>
    <x:mergeCell ref="B3:P3"/>
    <x:mergeCell ref="B6:P6"/>
    <x:mergeCell ref="B20:P20"/>
    <x:mergeCell ref="B38:P38"/>
  </x:mergeCells>
  <x:conditionalFormatting sqref="D8:E17">
    <x:cfRule type="containsText" dxfId="84" priority="1" operator="containsText" text="OPEN"/>
    <x:cfRule type="containsText" dxfId="85" priority="2" operator="containsText" text="HOLD"/>
    <x:cfRule type="containsText" dxfId="86" priority="3" operator="containsText" text="BLOCKED"/>
    <x:cfRule type="containsText" dxfId="87" priority="4" operator="containsText" text="REJECT"/>
    <x:cfRule type="containsText" dxfId="88" priority="5" operator="containsText" text="FAIL"/>
    <x:cfRule type="containsText" dxfId="89" priority="6" operator="containsText" text="SELECTED"/>
  </x:conditionalFormatting>
  <x:conditionalFormatting sqref="F22:F35">
    <x:cfRule type="containsText" dxfId="90" priority="7" operator="containsText" text="OPEN"/>
    <x:cfRule type="containsText" dxfId="91" priority="8" operator="containsText" text="HOLD"/>
    <x:cfRule type="containsText" dxfId="92" priority="9" operator="containsText" text="BLOCKED"/>
    <x:cfRule type="containsText" dxfId="93" priority="10" operator="containsText" text="REJECT"/>
    <x:cfRule type="containsText" dxfId="94" priority="11" operator="containsText" text="FAIL"/>
    <x:cfRule type="containsText" dxfId="95" priority="12" operator="containsText" text="SELECTED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5D7C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2" max="2" width="39" hidden="0" customWidth="1"/>
    <x:col min="3" max="3" width="18" hidden="0" customWidth="1"/>
    <x:col min="4" max="4" width="17" hidden="0" customWidth="1"/>
    <x:col min="5" max="5" width="18" hidden="0" customWidth="1"/>
    <x:col min="6" max="6" width="49" hidden="0" customWidth="1"/>
  </x:cols>
  <x:sheetData>
    <x:row r="2" ht="18" customHeight="1">
      <x:c r="B2" s="3" t="str">
        <x:v>MESA-1C assumptions</x:v>
      </x:c>
      <x:c r="C2" s="2"/>
      <x:c r="D2" s="2"/>
      <x:c r="E2" s="2"/>
      <x:c r="F2" s="2"/>
    </x:row>
    <x:row r="3" ht="18" customHeight="1">
      <x:c r="B3" s="4" t="str">
        <x:v>Blue values are planning inputs. No value is a measurement, quote or probability distribution.</x:v>
      </x:c>
      <x:c r="C3" s="2"/>
      <x:c r="D3" s="2"/>
      <x:c r="E3" s="2"/>
      <x:c r="F3" s="2"/>
    </x:row>
    <x:row r="4" ht="18" customHeight="1">
      <x:c r="B4" s="5"/>
      <x:c r="C4" s="5"/>
      <x:c r="D4" s="5"/>
      <x:c r="E4" s="5"/>
      <x:c r="F4" s="5"/>
    </x:row>
    <x:row r="5" ht="18" customHeight="1">
      <x:c r="B5" s="2"/>
      <x:c r="C5" s="2"/>
      <x:c r="D5" s="2"/>
      <x:c r="E5" s="2"/>
      <x:c r="F5" s="2"/>
    </x:row>
    <x:row r="6" ht="18" customHeight="1">
      <x:c r="B6" s="8" t="str">
        <x:v>Inherited and selected controls</x:v>
      </x:c>
      <x:c r="C6" s="9" t="str">
        <x:v>Inherited and selected controls</x:v>
      </x:c>
      <x:c r="D6" s="9" t="str">
        <x:v>Inherited and selected controls</x:v>
      </x:c>
      <x:c r="E6" s="9" t="str">
        <x:v>Inherited and selected controls</x:v>
      </x:c>
      <x:c r="F6" s="10" t="str">
        <x:v>Inherited and selected controls</x:v>
      </x:c>
    </x:row>
    <x:row r="7" ht="18" customHeight="1">
      <x:c r="B7" s="25" t="str">
        <x:v>Input</x:v>
      </x:c>
      <x:c r="C7" s="26" t="str">
        <x:v>Value</x:v>
      </x:c>
      <x:c r="D7" s="26" t="str">
        <x:v>Unit</x:v>
      </x:c>
      <x:c r="E7" s="26" t="str">
        <x:v>Origin</x:v>
      </x:c>
      <x:c r="F7" s="26" t="str">
        <x:v>Meaning</x:v>
      </x:c>
    </x:row>
    <x:row r="8" ht="18" customHeight="1">
      <x:c r="B8" s="27" t="str">
        <x:v>Mission evidence interval</x:v>
      </x:c>
      <x:c r="C8" s="28" t="n">
        <x:v>168</x:v>
      </x:c>
      <x:c r="D8" s="27" t="str">
        <x:v>h</x:v>
      </x:c>
      <x:c r="E8" s="27" t="str">
        <x:v>MESA-1R</x:v>
      </x:c>
      <x:c r="F8" s="29" t="str">
        <x:v>continuous local evidence</x:v>
      </x:c>
    </x:row>
    <x:row r="9" ht="18" customHeight="1">
      <x:c r="B9" s="27" t="str">
        <x:v>Energy nameplate reserve</x:v>
      </x:c>
      <x:c r="C9" s="28" t="n">
        <x:v>1.25</x:v>
      </x:c>
      <x:c r="D9" s="27" t="str">
        <x:v>x</x:v>
      </x:c>
      <x:c r="E9" s="27" t="str">
        <x:v>MESA-1R</x:v>
      </x:c>
      <x:c r="F9" s="29" t="str">
        <x:v>independent energy sizing</x:v>
      </x:c>
    </x:row>
    <x:row r="10" ht="18" customHeight="1">
      <x:c r="B10" s="27" t="str">
        <x:v>Clock U95 limit</x:v>
      </x:c>
      <x:c r="C10" s="28" t="n">
        <x:v>0.01</x:v>
      </x:c>
      <x:c r="D10" s="27" t="str">
        <x:v>s</x:v>
      </x:c>
      <x:c r="E10" s="27" t="str">
        <x:v>MESA-1R</x:v>
      </x:c>
      <x:c r="F10" s="29" t="str">
        <x:v>denied-time allocation</x:v>
      </x:c>
    </x:row>
    <x:row r="11" ht="18" customHeight="1">
      <x:c r="B11" s="27" t="str">
        <x:v>Terrain U95 limit after test mass</x:v>
      </x:c>
      <x:c r="C11" s="28" t="n">
        <x:v>0.183201148</x:v>
      </x:c>
      <x:c r="D11" s="27" t="str">
        <x:v>kPa</x:v>
      </x:c>
      <x:c r="E11" s="27" t="str">
        <x:v>MESA-1R</x:v>
      </x:c>
      <x:c r="F11" s="29" t="str">
        <x:v>half of remaining pressure margin</x:v>
      </x:c>
    </x:row>
    <x:row r="12" ht="18" customHeight="1">
      <x:c r="B12" s="27" t="str">
        <x:v>Terrain U95 design target</x:v>
      </x:c>
      <x:c r="C12" s="28" t="n">
        <x:v>0.12922848</x:v>
      </x:c>
      <x:c r="D12" s="27" t="str">
        <x:v>kPa</x:v>
      </x:c>
      <x:c r="E12" s="27" t="str">
        <x:v>MESA-1R</x:v>
      </x:c>
      <x:c r="F12" s="29" t="str">
        <x:v>unearned architecture allocation</x:v>
      </x:c>
    </x:row>
    <x:row r="13" ht="18" customHeight="1">
      <x:c r="B13" s="27" t="str">
        <x:v>Air tile mass envelope</x:v>
      </x:c>
      <x:c r="C13" s="28" t="n">
        <x:v>110</x:v>
      </x:c>
      <x:c r="D13" s="27" t="str">
        <x:v>kg</x:v>
      </x:c>
      <x:c r="E13" s="27" t="str">
        <x:v>MESA-1R</x:v>
      </x:c>
      <x:c r="F13" s="29" t="str">
        <x:v>complete cassette</x:v>
      </x:c>
    </x:row>
    <x:row r="14" ht="18" customHeight="1">
      <x:c r="B14" s="27" t="str">
        <x:v>Terrain tile mass envelope</x:v>
      </x:c>
      <x:c r="C14" s="28" t="n">
        <x:v>135</x:v>
      </x:c>
      <x:c r="D14" s="27" t="str">
        <x:v>kg</x:v>
      </x:c>
      <x:c r="E14" s="27" t="str">
        <x:v>MESA-1R</x:v>
      </x:c>
      <x:c r="F14" s="29" t="str">
        <x:v>complete cassette</x:v>
      </x:c>
    </x:row>
    <x:row r="15" ht="18" customHeight="1">
      <x:c r="B15" s="27" t="str">
        <x:v>Air carrier node envelope</x:v>
      </x:c>
      <x:c r="C15" s="28" t="n">
        <x:v>1200</x:v>
      </x:c>
      <x:c r="D15" s="27" t="str">
        <x:v>kg</x:v>
      </x:c>
      <x:c r="E15" s="27" t="str">
        <x:v>MESA-1R</x:v>
      </x:c>
      <x:c r="F15" s="29" t="str">
        <x:v>complete truth node</x:v>
      </x:c>
    </x:row>
    <x:row r="16" ht="18" customHeight="1">
      <x:c r="B16" s="27" t="str">
        <x:v>Terrain carrier node envelope</x:v>
      </x:c>
      <x:c r="C16" s="28" t="n">
        <x:v>2600</x:v>
      </x:c>
      <x:c r="D16" s="27" t="str">
        <x:v>kg</x:v>
      </x:c>
      <x:c r="E16" s="27" t="str">
        <x:v>MESA-1R</x:v>
      </x:c>
      <x:c r="F16" s="29" t="str">
        <x:v>includes skin</x:v>
      </x:c>
    </x:row>
    <x:row r="17" ht="18" customHeight="1">
      <x:c r="B17" s="27" t="str">
        <x:v>Civil receiver envelope</x:v>
      </x:c>
      <x:c r="C17" s="28" t="n">
        <x:v>2800</x:v>
      </x:c>
      <x:c r="D17" s="27" t="str">
        <x:v>kg</x:v>
      </x:c>
      <x:c r="E17" s="27" t="str">
        <x:v>MESA-1R</x:v>
      </x:c>
      <x:c r="F17" s="29" t="str">
        <x:v>separate station</x:v>
      </x:c>
    </x:row>
    <x:row r="18" ht="18" customHeight="1">
      <x:c r="B18" s="27" t="str">
        <x:v>Pressure cells</x:v>
      </x:c>
      <x:c r="C18" s="28" t="n">
        <x:v>4560</x:v>
      </x:c>
      <x:c r="D18" s="27" t="str">
        <x:v>cells</x:v>
      </x:c>
      <x:c r="E18" s="27" t="str">
        <x:v>MESA-1R</x:v>
      </x:c>
      <x:c r="F18" s="29" t="str">
        <x:v>285 m2 at 0.25 m pitch</x:v>
      </x:c>
    </x:row>
    <x:row r="19" ht="18" customHeight="1">
      <x:c r="B19" s="27" t="str">
        <x:v>Architecture classes</x:v>
      </x:c>
      <x:c r="C19" s="28" t="n">
        <x:v>11</x:v>
      </x:c>
      <x:c r="D19" s="27" t="str">
        <x:v>classes</x:v>
      </x:c>
      <x:c r="E19" s="27" t="str">
        <x:v>Pass 93</x:v>
      </x:c>
      <x:c r="F19" s="29" t="str">
        <x:v>supplier-neutral competitions</x:v>
      </x:c>
    </x:row>
    <x:row r="20" ht="18" customHeight="1">
      <x:c r="B20" s="27" t="str">
        <x:v>Candidate architectures</x:v>
      </x:c>
      <x:c r="C20" s="28" t="n">
        <x:v>33</x:v>
      </x:c>
      <x:c r="D20" s="27" t="str">
        <x:v>candidates</x:v>
      </x:c>
      <x:c r="E20" s="27" t="str">
        <x:v>Pass 93</x:v>
      </x:c>
      <x:c r="F20" s="29" t="str">
        <x:v>three per class</x:v>
      </x:c>
    </x:row>
    <x:row r="21" ht="18" customHeight="1">
      <x:c r="B21" s="27" t="str">
        <x:v>Hard gates per candidate</x:v>
      </x:c>
      <x:c r="C21" s="28" t="n">
        <x:v>10</x:v>
      </x:c>
      <x:c r="D21" s="27" t="str">
        <x:v>gates</x:v>
      </x:c>
      <x:c r="E21" s="27" t="str">
        <x:v>Pass 93</x:v>
      </x:c>
      <x:c r="F21" s="29" t="str">
        <x:v>non-substitutable</x:v>
      </x:c>
    </x:row>
    <x:row r="22" ht="18" customHeight="1">
      <x:c r="B22" s="27" t="str">
        <x:v>Reliability weight</x:v>
      </x:c>
      <x:c r="C22" s="30" t="n">
        <x:v>0.25</x:v>
      </x:c>
      <x:c r="D22" s="27" t="str">
        <x:v>fraction</x:v>
      </x:c>
      <x:c r="E22" s="27" t="str">
        <x:v>Pass 93</x:v>
      </x:c>
      <x:c r="F22" s="29" t="str">
        <x:v>secondary score</x:v>
      </x:c>
    </x:row>
    <x:row r="23" ht="18" customHeight="1">
      <x:c r="B23" s="27" t="str">
        <x:v>Failure isolation weight</x:v>
      </x:c>
      <x:c r="C23" s="30" t="n">
        <x:v>0.25</x:v>
      </x:c>
      <x:c r="D23" s="27" t="str">
        <x:v>fraction</x:v>
      </x:c>
      <x:c r="E23" s="27" t="str">
        <x:v>Pass 93</x:v>
      </x:c>
      <x:c r="F23" s="29" t="str">
        <x:v>secondary score</x:v>
      </x:c>
    </x:row>
    <x:row r="24" ht="18" customHeight="1">
      <x:c r="B24" s="27" t="str">
        <x:v>Maintainability weight</x:v>
      </x:c>
      <x:c r="C24" s="30" t="n">
        <x:v>0.15</x:v>
      </x:c>
      <x:c r="D24" s="27" t="str">
        <x:v>fraction</x:v>
      </x:c>
      <x:c r="E24" s="27" t="str">
        <x:v>Pass 93</x:v>
      </x:c>
      <x:c r="F24" s="29" t="str">
        <x:v>secondary score</x:v>
      </x:c>
    </x:row>
    <x:row r="25" ht="18" customHeight="1">
      <x:c r="B25" s="27" t="str">
        <x:v>Integration weight</x:v>
      </x:c>
      <x:c r="C25" s="30" t="n">
        <x:v>0.15</x:v>
      </x:c>
      <x:c r="D25" s="27" t="str">
        <x:v>fraction</x:v>
      </x:c>
      <x:c r="E25" s="27" t="str">
        <x:v>Pass 93</x:v>
      </x:c>
      <x:c r="F25" s="29" t="str">
        <x:v>secondary score</x:v>
      </x:c>
    </x:row>
    <x:row r="26" ht="18" customHeight="1">
      <x:c r="B26" s="27" t="str">
        <x:v>Innovation weight</x:v>
      </x:c>
      <x:c r="C26" s="30" t="n">
        <x:v>0.2</x:v>
      </x:c>
      <x:c r="D26" s="27" t="str">
        <x:v>fraction</x:v>
      </x:c>
      <x:c r="E26" s="27" t="str">
        <x:v>Pass 93</x:v>
      </x:c>
      <x:c r="F26" s="29" t="str">
        <x:v>secondary score</x:v>
      </x:c>
    </x:row>
    <x:row r="27" ht="18" customHeight="1">
      <x:c r="B27" s="27" t="str">
        <x:v>Prototype campaigns</x:v>
      </x:c>
      <x:c r="C27" s="28" t="n">
        <x:v>8</x:v>
      </x:c>
      <x:c r="D27" s="27" t="str">
        <x:v>campaigns</x:v>
      </x:c>
      <x:c r="E27" s="27" t="str">
        <x:v>MESA-1R</x:v>
      </x:c>
      <x:c r="F27" s="29" t="str">
        <x:v>P01-P08</x:v>
      </x:c>
    </x:row>
    <x:row r="28" ht="18" customHeight="1">
      <x:c r="B28" s="27" t="str">
        <x:v>Registered trials</x:v>
      </x:c>
      <x:c r="C28" s="28" t="n">
        <x:v>68</x:v>
      </x:c>
      <x:c r="D28" s="27" t="str">
        <x:v>trials</x:v>
      </x:c>
      <x:c r="E28" s="27" t="str">
        <x:v>MESA-1R</x:v>
      </x:c>
      <x:c r="F28" s="29" t="str">
        <x:v>all OPEN</x:v>
      </x:c>
    </x:row>
    <x:row r="29" ht="18" customHeight="1">
      <x:c r="B29" s="27" t="str">
        <x:v>Evidence gates</x:v>
      </x:c>
      <x:c r="C29" s="28" t="n">
        <x:v>64</x:v>
      </x:c>
      <x:c r="D29" s="27" t="str">
        <x:v>gates</x:v>
      </x:c>
      <x:c r="E29" s="27" t="str">
        <x:v>MESA-1R</x:v>
      </x:c>
      <x:c r="F29" s="29" t="str">
        <x:v>eight per campaign</x:v>
      </x:c>
    </x:row>
    <x:row r="30" ht="18" customHeight="1">
      <x:c r="B30" s="27" t="str">
        <x:v>Program duration</x:v>
      </x:c>
      <x:c r="C30" s="28" t="n">
        <x:v>78</x:v>
      </x:c>
      <x:c r="D30" s="27" t="str">
        <x:v>months</x:v>
      </x:c>
      <x:c r="E30" s="27" t="str">
        <x:v>Pass 93</x:v>
      </x:c>
      <x:c r="F30" s="29" t="str">
        <x:v>component start through P08</x:v>
      </x:c>
    </x:row>
    <x:row r="31" ht="18" customHeight="1">
      <x:c r="B31" s="27" t="str">
        <x:v>Prototype subportfolio</x:v>
      </x:c>
      <x:c r="C31" s="28" t="n">
        <x:v>6.8</x:v>
      </x:c>
      <x:c r="D31" s="27" t="str">
        <x:v>USD B</x:v>
      </x:c>
      <x:c r="E31" s="27" t="str">
        <x:v>MESA-1R</x:v>
      </x:c>
      <x:c r="F31" s="29" t="str">
        <x:v>nested inside F01</x:v>
      </x:c>
    </x:row>
    <x:row r="32" ht="18" customHeight="1">
      <x:c r="B32" s="27" t="str">
        <x:v>F01 capital</x:v>
      </x:c>
      <x:c r="C32" s="28" t="n">
        <x:v>24</x:v>
      </x:c>
      <x:c r="D32" s="27" t="str">
        <x:v>USD B</x:v>
      </x:c>
      <x:c r="E32" s="27" t="str">
        <x:v>MESA-1</x:v>
      </x:c>
      <x:c r="F32" s="29" t="str">
        <x:v>unchanged family</x:v>
      </x:c>
    </x:row>
    <x:row r="33" ht="18" customHeight="1">
      <x:c r="B33" s="27" t="str">
        <x:v>Physical evidence credit</x:v>
      </x:c>
      <x:c r="C33" s="28" t="n">
        <x:v>0</x:v>
      </x:c>
      <x:c r="D33" s="27" t="str">
        <x:v>credits</x:v>
      </x:c>
      <x:c r="E33" s="27" t="str">
        <x:v>governance</x:v>
      </x:c>
      <x:c r="F33" s="29" t="str">
        <x:v>no paper maturity</x:v>
      </x:c>
    </x:row>
    <x:row r="34" ht="18" customHeight="1">
      <x:c r="B34" s="31" t="str">
        <x:v>Rendering authorization</x:v>
      </x:c>
      <x:c r="C34" s="32" t="n">
        <x:v>0</x:v>
      </x:c>
      <x:c r="D34" s="31" t="str">
        <x:v>binary</x:v>
      </x:c>
      <x:c r="E34" s="31" t="str">
        <x:v>governance</x:v>
      </x:c>
      <x:c r="F34" s="33" t="str">
        <x:v>internal and exterior form blocked</x:v>
      </x:c>
    </x:row>
    <x:row r="35" ht="18" customHeight="1">
      <x:c r="B35" s="2"/>
      <x:c r="C35" s="2"/>
      <x:c r="D35" s="2"/>
      <x:c r="E35" s="2"/>
      <x:c r="F35" s="2"/>
    </x:row>
    <x:row r="36" ht="18" customHeight="1">
      <x:c r="B36" s="2"/>
      <x:c r="C36" s="2"/>
      <x:c r="D36" s="2"/>
      <x:c r="E36" s="2"/>
      <x:c r="F36" s="2"/>
    </x:row>
    <x:row r="37" ht="18" customHeight="1">
      <x:c r="B37" s="2"/>
      <x:c r="C37" s="2"/>
      <x:c r="D37" s="2"/>
      <x:c r="E37" s="2"/>
      <x:c r="F37" s="2"/>
    </x:row>
    <x:row r="38" ht="18" customHeight="1">
      <x:c r="B38" s="2"/>
      <x:c r="C38" s="2"/>
      <x:c r="D38" s="2"/>
      <x:c r="E38" s="2"/>
      <x:c r="F38" s="2"/>
    </x:row>
    <x:row r="39" ht="18" customHeight="1">
      <x:c r="B39" s="2"/>
      <x:c r="C39" s="2"/>
      <x:c r="D39" s="2"/>
      <x:c r="E39" s="2"/>
      <x:c r="F39" s="2"/>
    </x:row>
    <x:row r="40" ht="18" customHeight="1">
      <x:c r="B40" s="2"/>
      <x:c r="C40" s="2"/>
      <x:c r="D40" s="2"/>
      <x:c r="E40" s="2"/>
      <x:c r="F40" s="2"/>
    </x:row>
    <x:row r="41" ht="18" customHeight="1">
      <x:c r="B41" s="2"/>
      <x:c r="C41" s="2"/>
      <x:c r="D41" s="2"/>
      <x:c r="E41" s="2"/>
      <x:c r="F41" s="2"/>
    </x:row>
    <x:row r="42" ht="18" customHeight="1">
      <x:c r="B42" s="2"/>
      <x:c r="C42" s="2"/>
      <x:c r="D42" s="2"/>
      <x:c r="E42" s="2"/>
      <x:c r="F42" s="2"/>
    </x:row>
    <x:row r="43" ht="18" customHeight="1">
      <x:c r="B43" s="2"/>
      <x:c r="C43" s="2"/>
      <x:c r="D43" s="2"/>
      <x:c r="E43" s="2"/>
      <x:c r="F43" s="2"/>
    </x:row>
    <x:row r="44" ht="18" customHeight="1">
      <x:c r="B44" s="2"/>
      <x:c r="C44" s="2"/>
      <x:c r="D44" s="2"/>
      <x:c r="E44" s="2"/>
      <x:c r="F44" s="2"/>
    </x:row>
    <x:row r="45" ht="18" customHeight="1">
      <x:c r="B45" s="2"/>
      <x:c r="C45" s="2"/>
      <x:c r="D45" s="2"/>
      <x:c r="E45" s="2"/>
      <x:c r="F45" s="2"/>
    </x:row>
  </x:sheetData>
  <x:mergeCells>
    <x:mergeCell ref="B3:F3"/>
    <x:mergeCell ref="B6:F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2" hidden="0" customWidth="1"/>
    <x:col min="3" max="3" width="26" hidden="0" customWidth="1"/>
    <x:col min="4" max="4" width="47" hidden="0" customWidth="1"/>
    <x:col min="5" max="5" width="17" hidden="0" customWidth="1"/>
    <x:col min="6" max="6" width="16" hidden="0" customWidth="1"/>
    <x:col min="7" max="7" width="14" hidden="0" customWidth="1"/>
    <x:col min="8" max="8" width="17" hidden="0" customWidth="1"/>
    <x:col min="9" max="9" width="16" hidden="0" customWidth="1"/>
    <x:col min="10" max="10" width="14" hidden="0" customWidth="1"/>
    <x:col min="11" max="11" width="14" hidden="0" customWidth="1"/>
    <x:col min="12" max="12" width="16" hidden="0" customWidth="1"/>
    <x:col min="13" max="13" width="14" hidden="0" customWidth="1"/>
    <x:col min="14" max="14" width="12" hidden="0" customWidth="1"/>
    <x:col min="15" max="15" width="42" hidden="0" customWidth="1"/>
    <x:col min="16" max="16" width="24" hidden="0" customWidth="1"/>
  </x:cols>
  <x:sheetData>
    <x:row r="2" ht="18" customHeight="1">
      <x:c r="B2" s="3" t="str">
        <x:v>Supplier-neutral architecture competition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18" customHeight="1">
      <x:c r="B3" s="4" t="str">
        <x:v>Hard gates govern admission. Weighted scores compare only candidates that remain physically admissible.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18" customHeight="1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</x:row>
    <x:row r="5" ht="18" customHeight="1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18" customHeight="1">
      <x:c r="B6" s="25" t="str">
        <x:v>Candidate</x:v>
      </x:c>
      <x:c r="C6" s="26" t="str">
        <x:v>Subsystem</x:v>
      </x:c>
      <x:c r="D6" s="26" t="str">
        <x:v>Concept</x:v>
      </x:c>
      <x:c r="E6" s="26" t="str">
        <x:v>Hard gates passed</x:v>
      </x:c>
      <x:c r="F6" s="26" t="str">
        <x:v>Admission</x:v>
      </x:c>
      <x:c r="G6" s="26" t="str">
        <x:v>Reliability</x:v>
      </x:c>
      <x:c r="H6" s="26" t="str">
        <x:v>Failure isolation</x:v>
      </x:c>
      <x:c r="I6" s="26" t="str">
        <x:v>Maintainability</x:v>
      </x:c>
      <x:c r="J6" s="26" t="str">
        <x:v>Integration</x:v>
      </x:c>
      <x:c r="K6" s="26" t="str">
        <x:v>Innovation</x:v>
      </x:c>
      <x:c r="L6" s="26" t="str">
        <x:v>Weighted score</x:v>
      </x:c>
      <x:c r="M6" s="26" t="str">
        <x:v>Selection</x:v>
      </x:c>
      <x:c r="N6" s="26" t="str">
        <x:v>Evidence</x:v>
      </x:c>
      <x:c r="O6" s="26" t="str">
        <x:v>Selection reason</x:v>
      </x:c>
      <x:c r="P6" s="26" t="str">
        <x:v>Next evidence</x:v>
      </x:c>
    </x:row>
    <x:row r="7" ht="29" customHeight="1">
      <x:c r="B7" s="27" t="str">
        <x:v>ATC-1</x:v>
      </x:c>
      <x:c r="C7" s="27" t="str">
        <x:v>Air tile cassette</x:v>
      </x:c>
      <x:c r="D7" s="27" t="str">
        <x:v>single central sealed vault</x:v>
      </x:c>
      <x:c r="E7" s="27" t="n">
        <x:f>SUM('Gate Matrix'!D7:M7)</x:f>
        <x:v>9</x:v>
      </x:c>
      <x:c r="F7" s="27" t="str">
        <x:f>IF(E7=10,"ADMISSIBLE","REJECT")</x:f>
        <x:v>REJECT</x:v>
      </x:c>
      <x:c r="G7" s="27" t="n">
        <x:v>4</x:v>
      </x:c>
      <x:c r="H7" s="27" t="n">
        <x:v>3</x:v>
      </x:c>
      <x:c r="I7" s="27" t="n">
        <x:v>5</x:v>
      </x:c>
      <x:c r="J7" s="27" t="n">
        <x:v>5</x:v>
      </x:c>
      <x:c r="K7" s="27" t="n">
        <x:v>3</x:v>
      </x:c>
      <x:c r="L7" s="38" t="n">
        <x:f>G7*Assumptions!C22+H7*Assumptions!C23+I7*Assumptions!C24+J7*Assumptions!C25+K7*Assumptions!C26</x:f>
        <x:v>3.85</x:v>
      </x:c>
      <x:c r="M7" s="27" t="str"/>
      <x:c r="N7" s="27" t="str">
        <x:v>OPEN</x:v>
      </x:c>
      <x:c r="O7" s="27" t="str">
        <x:v>single physical burden remains</x:v>
      </x:c>
      <x:c r="P7" s="29" t="str">
        <x:v>P02 removal pair</x:v>
      </x:c>
    </x:row>
    <x:row r="8" ht="29" customHeight="1">
      <x:c r="B8" s="27" t="str">
        <x:v>ATC-2</x:v>
      </x:c>
      <x:c r="C8" s="27" t="str">
        <x:v>Air tile cassette</x:v>
      </x:c>
      <x:c r="D8" s="27" t="str">
        <x:v>three-zone isolated vault cassette</x:v>
      </x:c>
      <x:c r="E8" s="27" t="n">
        <x:f>SUM('Gate Matrix'!D8:M8)</x:f>
        <x:v>10</x:v>
      </x:c>
      <x:c r="F8" s="27" t="str">
        <x:f>IF(E8=10,"ADMISSIBLE","REJECT")</x:f>
        <x:v>ADMISSIBLE</x:v>
      </x:c>
      <x:c r="G8" s="27" t="n">
        <x:v>5</x:v>
      </x:c>
      <x:c r="H8" s="27" t="n">
        <x:v>5</x:v>
      </x:c>
      <x:c r="I8" s="27" t="n">
        <x:v>4</x:v>
      </x:c>
      <x:c r="J8" s="27" t="n">
        <x:v>4</x:v>
      </x:c>
      <x:c r="K8" s="27" t="n">
        <x:v>4</x:v>
      </x:c>
      <x:c r="L8" s="38" t="n">
        <x:f>G8*Assumptions!C22+H8*Assumptions!C23+I8*Assumptions!C24+J8*Assumptions!C25+K8*Assumptions!C26</x:f>
        <x:v>4.5</x:v>
      </x:c>
      <x:c r="M8" s="27" t="str">
        <x:v>SELECTED</x:v>
      </x:c>
      <x:c r="N8" s="27" t="str">
        <x:v>OPEN</x:v>
      </x:c>
      <x:c r="O8" s="27" t="str">
        <x:v>isolates lift, utility and custody failures</x:v>
      </x:c>
      <x:c r="P8" s="29" t="str">
        <x:v>P02 full sequence</x:v>
      </x:c>
    </x:row>
    <x:row r="9" ht="29" customHeight="1">
      <x:c r="B9" s="27" t="str">
        <x:v>ATC-3</x:v>
      </x:c>
      <x:c r="C9" s="27" t="str">
        <x:v>Air tile cassette</x:v>
      </x:c>
      <x:c r="D9" s="27" t="str">
        <x:v>streaming concentrator with light cache</x:v>
      </x:c>
      <x:c r="E9" s="27" t="n">
        <x:f>SUM('Gate Matrix'!D9:M9)</x:f>
        <x:v>6</x:v>
      </x:c>
      <x:c r="F9" s="27" t="str">
        <x:f>IF(E9=10,"ADMISSIBLE","REJECT")</x:f>
        <x:v>REJECT</x:v>
      </x:c>
      <x:c r="G9" s="27" t="n">
        <x:v>3</x:v>
      </x:c>
      <x:c r="H9" s="27" t="n">
        <x:v>2</x:v>
      </x:c>
      <x:c r="I9" s="27" t="n">
        <x:v>5</x:v>
      </x:c>
      <x:c r="J9" s="27" t="n">
        <x:v>5</x:v>
      </x:c>
      <x:c r="K9" s="27" t="n">
        <x:v>3</x:v>
      </x:c>
      <x:c r="L9" s="38" t="n">
        <x:f>G9*Assumptions!C22+H9*Assumptions!C23+I9*Assumptions!C24+J9*Assumptions!C25+K9*Assumptions!C26</x:f>
        <x:v>3.35</x:v>
      </x:c>
      <x:c r="M9" s="27" t="str"/>
      <x:c r="N9" s="27" t="str">
        <x:v>OPEN</x:v>
      </x:c>
      <x:c r="O9" s="27" t="str">
        <x:v>network and custody dependency</x:v>
      </x:c>
      <x:c r="P9" s="29" t="str">
        <x:v>reject before build</x:v>
      </x:c>
    </x:row>
    <x:row r="10" ht="29" customHeight="1">
      <x:c r="B10" s="27" t="str">
        <x:v>TTC-1</x:v>
      </x:c>
      <x:c r="C10" s="27" t="str">
        <x:v>Terrain tile cassette</x:v>
      </x:c>
      <x:c r="D10" s="27" t="str">
        <x:v>one ruggedized spine vault</x:v>
      </x:c>
      <x:c r="E10" s="27" t="n">
        <x:f>SUM('Gate Matrix'!D10:M10)</x:f>
        <x:v>8</x:v>
      </x:c>
      <x:c r="F10" s="27" t="str">
        <x:f>IF(E10=10,"ADMISSIBLE","REJECT")</x:f>
        <x:v>REJECT</x:v>
      </x:c>
      <x:c r="G10" s="27" t="n">
        <x:v>4</x:v>
      </x:c>
      <x:c r="H10" s="27" t="n">
        <x:v>3</x:v>
      </x:c>
      <x:c r="I10" s="27" t="n">
        <x:v>4</x:v>
      </x:c>
      <x:c r="J10" s="27" t="n">
        <x:v>4</x:v>
      </x:c>
      <x:c r="K10" s="27" t="n">
        <x:v>3</x:v>
      </x:c>
      <x:c r="L10" s="38" t="n">
        <x:f>G10*Assumptions!C22+H10*Assumptions!C23+I10*Assumptions!C24+J10*Assumptions!C25+K10*Assumptions!C26</x:f>
        <x:v>3.5500000000000003</x:v>
      </x:c>
      <x:c r="M10" s="27" t="str"/>
      <x:c r="N10" s="27" t="str">
        <x:v>OPEN</x:v>
      </x:c>
      <x:c r="O10" s="27" t="str">
        <x:v>shock and removal correlation</x:v>
      </x:c>
      <x:c r="P10" s="29" t="str">
        <x:v>P02 shock screen</x:v>
      </x:c>
    </x:row>
    <x:row r="11" ht="29" customHeight="1">
      <x:c r="B11" s="27" t="str">
        <x:v>TTC-2</x:v>
      </x:c>
      <x:c r="C11" s="27" t="str">
        <x:v>Terrain tile cassette</x:v>
      </x:c>
      <x:c r="D11" s="27" t="str">
        <x:v>four-pod conformal evidence cassette</x:v>
      </x:c>
      <x:c r="E11" s="27" t="n">
        <x:f>SUM('Gate Matrix'!D11:M11)</x:f>
        <x:v>10</x:v>
      </x:c>
      <x:c r="F11" s="27" t="str">
        <x:f>IF(E11=10,"ADMISSIBLE","REJECT")</x:f>
        <x:v>ADMISSIBLE</x:v>
      </x:c>
      <x:c r="G11" s="27" t="n">
        <x:v>5</x:v>
      </x:c>
      <x:c r="H11" s="27" t="n">
        <x:v>5</x:v>
      </x:c>
      <x:c r="I11" s="27" t="n">
        <x:v>4</x:v>
      </x:c>
      <x:c r="J11" s="27" t="n">
        <x:v>4</x:v>
      </x:c>
      <x:c r="K11" s="27" t="n">
        <x:v>5</x:v>
      </x:c>
      <x:c r="L11" s="38" t="n">
        <x:f>G11*Assumptions!C22+H11*Assumptions!C23+I11*Assumptions!C24+J11*Assumptions!C25+K11*Assumptions!C26</x:f>
        <x:v>4.7</x:v>
      </x:c>
      <x:c r="M11" s="27" t="str">
        <x:v>SELECTED</x:v>
      </x:c>
      <x:c r="N11" s="27" t="str">
        <x:v>OPEN</x:v>
      </x:c>
      <x:c r="O11" s="27" t="str">
        <x:v>survives local crush and contaminated handling</x:v>
      </x:c>
      <x:c r="P11" s="29" t="str">
        <x:v>P02 full sequence</x:v>
      </x:c>
    </x:row>
    <x:row r="12" ht="29" customHeight="1">
      <x:c r="B12" s="27" t="str">
        <x:v>TTC-3</x:v>
      </x:c>
      <x:c r="C12" s="27" t="str">
        <x:v>Terrain tile cassette</x:v>
      </x:c>
      <x:c r="D12" s="27" t="str">
        <x:v>carrier-fed multiplexer</x:v>
      </x:c>
      <x:c r="E12" s="27" t="n">
        <x:f>SUM('Gate Matrix'!D12:M12)</x:f>
        <x:v>6</x:v>
      </x:c>
      <x:c r="F12" s="27" t="str">
        <x:f>IF(E12=10,"ADMISSIBLE","REJECT")</x:f>
        <x:v>REJECT</x:v>
      </x:c>
      <x:c r="G12" s="27" t="n">
        <x:v>3</x:v>
      </x:c>
      <x:c r="H12" s="27" t="n">
        <x:v>2</x:v>
      </x:c>
      <x:c r="I12" s="27" t="n">
        <x:v>5</x:v>
      </x:c>
      <x:c r="J12" s="27" t="n">
        <x:v>5</x:v>
      </x:c>
      <x:c r="K12" s="27" t="n">
        <x:v>2</x:v>
      </x:c>
      <x:c r="L12" s="38" t="n">
        <x:f>G12*Assumptions!C22+H12*Assumptions!C23+I12*Assumptions!C24+J12*Assumptions!C25+K12*Assumptions!C26</x:f>
        <x:v>3.15</x:v>
      </x:c>
      <x:c r="M12" s="27" t="str"/>
      <x:c r="N12" s="27" t="str">
        <x:v>OPEN</x:v>
      </x:c>
      <x:c r="O12" s="27" t="str">
        <x:v>borrows carrier energy and control bus</x:v>
      </x:c>
      <x:c r="P12" s="29" t="str">
        <x:v>reject before build</x:v>
      </x:c>
    </x:row>
    <x:row r="13" ht="29" customHeight="1">
      <x:c r="B13" s="27" t="str">
        <x:v>ACN-1</x:v>
      </x:c>
      <x:c r="C13" s="27" t="str">
        <x:v>Air carrier node</x:v>
      </x:c>
      <x:c r="D13" s="27" t="str">
        <x:v>single armored carrier pallet</x:v>
      </x:c>
      <x:c r="E13" s="27" t="n">
        <x:f>SUM('Gate Matrix'!D13:M13)</x:f>
        <x:v>9</x:v>
      </x:c>
      <x:c r="F13" s="27" t="str">
        <x:f>IF(E13=10,"ADMISSIBLE","REJECT")</x:f>
        <x:v>REJECT</x:v>
      </x:c>
      <x:c r="G13" s="27" t="n">
        <x:v>4</x:v>
      </x:c>
      <x:c r="H13" s="27" t="n">
        <x:v>3</x:v>
      </x:c>
      <x:c r="I13" s="27" t="n">
        <x:v>4</x:v>
      </x:c>
      <x:c r="J13" s="27" t="n">
        <x:v>5</x:v>
      </x:c>
      <x:c r="K13" s="27" t="n">
        <x:v>3</x:v>
      </x:c>
      <x:c r="L13" s="38" t="n">
        <x:f>G13*Assumptions!C22+H13*Assumptions!C23+I13*Assumptions!C24+J13*Assumptions!C25+K13*Assumptions!C26</x:f>
        <x:v>3.7</x:v>
      </x:c>
      <x:c r="M13" s="27" t="str"/>
      <x:c r="N13" s="27" t="str">
        <x:v>OPEN</x:v>
      </x:c>
      <x:c r="O13" s="27" t="str">
        <x:v>one-zone loss and removal ambiguity</x:v>
      </x:c>
      <x:c r="P13" s="29" t="str">
        <x:v>P03 removal pair</x:v>
      </x:c>
    </x:row>
    <x:row r="14" ht="29" customHeight="1">
      <x:c r="B14" s="27" t="str">
        <x:v>ACN-2</x:v>
      </x:c>
      <x:c r="C14" s="27" t="str">
        <x:v>Air carrier node</x:v>
      </x:c>
      <x:c r="D14" s="27" t="str">
        <x:v>triple zonal vault and passive witness ring</x:v>
      </x:c>
      <x:c r="E14" s="27" t="n">
        <x:f>SUM('Gate Matrix'!D14:M14)</x:f>
        <x:v>10</x:v>
      </x:c>
      <x:c r="F14" s="27" t="str">
        <x:f>IF(E14=10,"ADMISSIBLE","REJECT")</x:f>
        <x:v>ADMISSIBLE</x:v>
      </x:c>
      <x:c r="G14" s="27" t="n">
        <x:v>5</x:v>
      </x:c>
      <x:c r="H14" s="27" t="n">
        <x:v>5</x:v>
      </x:c>
      <x:c r="I14" s="27" t="n">
        <x:v>4</x:v>
      </x:c>
      <x:c r="J14" s="27" t="n">
        <x:v>4</x:v>
      </x:c>
      <x:c r="K14" s="27" t="n">
        <x:v>4</x:v>
      </x:c>
      <x:c r="L14" s="38" t="n">
        <x:f>G14*Assumptions!C22+H14*Assumptions!C23+I14*Assumptions!C24+J14*Assumptions!C25+K14*Assumptions!C26</x:f>
        <x:v>4.5</x:v>
      </x:c>
      <x:c r="M14" s="27" t="str">
        <x:v>SELECTED</x:v>
      </x:c>
      <x:c r="N14" s="27" t="str">
        <x:v>OPEN</x:v>
      </x:c>
      <x:c r="O14" s="27" t="str">
        <x:v>separates lift, propulsion and contact evidence</x:v>
      </x:c>
      <x:c r="P14" s="29" t="str">
        <x:v>P03 full sequence</x:v>
      </x:c>
    </x:row>
    <x:row r="15" ht="29" customHeight="1">
      <x:c r="B15" s="27" t="str">
        <x:v>ACN-3</x:v>
      </x:c>
      <x:c r="C15" s="27" t="str">
        <x:v>Air carrier node</x:v>
      </x:c>
      <x:c r="D15" s="27" t="str">
        <x:v>offboard range laboratory</x:v>
      </x:c>
      <x:c r="E15" s="27" t="n">
        <x:f>SUM('Gate Matrix'!D15:M15)</x:f>
        <x:v>7</x:v>
      </x:c>
      <x:c r="F15" s="27" t="str">
        <x:f>IF(E15=10,"ADMISSIBLE","REJECT")</x:f>
        <x:v>REJECT</x:v>
      </x:c>
      <x:c r="G15" s="27" t="n">
        <x:v>3</x:v>
      </x:c>
      <x:c r="H15" s="27" t="n">
        <x:v>4</x:v>
      </x:c>
      <x:c r="I15" s="27" t="n">
        <x:v>4</x:v>
      </x:c>
      <x:c r="J15" s="27" t="n">
        <x:v>3</x:v>
      </x:c>
      <x:c r="K15" s="27" t="n">
        <x:v>3</x:v>
      </x:c>
      <x:c r="L15" s="38" t="n">
        <x:f>G15*Assumptions!C22+H15*Assumptions!C23+I15*Assumptions!C24+J15*Assumptions!C25+K15*Assumptions!C26</x:f>
        <x:v>3.4</x:v>
      </x:c>
      <x:c r="M15" s="27" t="str"/>
      <x:c r="N15" s="27" t="str">
        <x:v>OPEN</x:v>
      </x:c>
      <x:c r="O15" s="27" t="str">
        <x:v>evidence does not survive departure or link loss</x:v>
      </x:c>
      <x:c r="P15" s="29" t="str">
        <x:v>reject before build</x:v>
      </x:c>
    </x:row>
    <x:row r="16" ht="29" customHeight="1">
      <x:c r="B16" s="27" t="str">
        <x:v>TCN-1</x:v>
      </x:c>
      <x:c r="C16" s="27" t="str">
        <x:v>Terrain carrier node</x:v>
      </x:c>
      <x:c r="D16" s="27" t="str">
        <x:v>central rack with analog skin fan-in</x:v>
      </x:c>
      <x:c r="E16" s="27" t="n">
        <x:f>SUM('Gate Matrix'!D16:M16)</x:f>
        <x:v>8</x:v>
      </x:c>
      <x:c r="F16" s="27" t="str">
        <x:f>IF(E16=10,"ADMISSIBLE","REJECT")</x:f>
        <x:v>REJECT</x:v>
      </x:c>
      <x:c r="G16" s="27" t="n">
        <x:v>4</x:v>
      </x:c>
      <x:c r="H16" s="27" t="n">
        <x:v>3</x:v>
      </x:c>
      <x:c r="I16" s="27" t="n">
        <x:v>4</x:v>
      </x:c>
      <x:c r="J16" s="27" t="n">
        <x:v>4</x:v>
      </x:c>
      <x:c r="K16" s="27" t="n">
        <x:v>3</x:v>
      </x:c>
      <x:c r="L16" s="38" t="n">
        <x:f>G16*Assumptions!C22+H16*Assumptions!C23+I16*Assumptions!C24+J16*Assumptions!C25+K16*Assumptions!C26</x:f>
        <x:v>3.5500000000000003</x:v>
      </x:c>
      <x:c r="M16" s="27" t="str"/>
      <x:c r="N16" s="27" t="str">
        <x:v>OPEN</x:v>
      </x:c>
      <x:c r="O16" s="27" t="str">
        <x:v>pod loss erases correlated field</x:v>
      </x:c>
      <x:c r="P16" s="29" t="str">
        <x:v>P04 pod-loss screen</x:v>
      </x:c>
    </x:row>
    <x:row r="17" ht="29" customHeight="1">
      <x:c r="B17" s="27" t="str">
        <x:v>TCN-2</x:v>
      </x:c>
      <x:c r="C17" s="27" t="str">
        <x:v>Terrain carrier node</x:v>
      </x:c>
      <x:c r="D17" s="27" t="str">
        <x:v>twelve pod-local acquisition nodes and dual vaults</x:v>
      </x:c>
      <x:c r="E17" s="27" t="n">
        <x:f>SUM('Gate Matrix'!D17:M17)</x:f>
        <x:v>10</x:v>
      </x:c>
      <x:c r="F17" s="27" t="str">
        <x:f>IF(E17=10,"ADMISSIBLE","REJECT")</x:f>
        <x:v>ADMISSIBLE</x:v>
      </x:c>
      <x:c r="G17" s="27" t="n">
        <x:v>5</x:v>
      </x:c>
      <x:c r="H17" s="27" t="n">
        <x:v>5</x:v>
      </x:c>
      <x:c r="I17" s="27" t="n">
        <x:v>3</x:v>
      </x:c>
      <x:c r="J17" s="27" t="n">
        <x:v>4</x:v>
      </x:c>
      <x:c r="K17" s="27" t="n">
        <x:v>5</x:v>
      </x:c>
      <x:c r="L17" s="38" t="n">
        <x:f>G17*Assumptions!C22+H17*Assumptions!C23+I17*Assumptions!C24+J17*Assumptions!C25+K17*Assumptions!C26</x:f>
        <x:v>4.550000000000001</x:v>
      </x:c>
      <x:c r="M17" s="27" t="str">
        <x:v>SELECTED</x:v>
      </x:c>
      <x:c r="N17" s="27" t="str">
        <x:v>OPEN</x:v>
      </x:c>
      <x:c r="O17" s="27" t="str">
        <x:v>preserves local field through pod and ring faults</x:v>
      </x:c>
      <x:c r="P17" s="29" t="str">
        <x:v>P04 full sequence</x:v>
      </x:c>
    </x:row>
    <x:row r="18" ht="29" customHeight="1">
      <x:c r="B18" s="27" t="str">
        <x:v>TCN-3</x:v>
      </x:c>
      <x:c r="C18" s="27" t="str">
        <x:v>Terrain carrier node</x:v>
      </x:c>
      <x:c r="D18" s="27" t="str">
        <x:v>wireless skin to remote range array</x:v>
      </x:c>
      <x:c r="E18" s="27" t="n">
        <x:f>SUM('Gate Matrix'!D18:M18)</x:f>
        <x:v>5</x:v>
      </x:c>
      <x:c r="F18" s="27" t="str">
        <x:f>IF(E18=10,"ADMISSIBLE","REJECT")</x:f>
        <x:v>REJECT</x:v>
      </x:c>
      <x:c r="G18" s="27" t="n">
        <x:v>2</x:v>
      </x:c>
      <x:c r="H18" s="27" t="n">
        <x:v>3</x:v>
      </x:c>
      <x:c r="I18" s="27" t="n">
        <x:v>4</x:v>
      </x:c>
      <x:c r="J18" s="27" t="n">
        <x:v>4</x:v>
      </x:c>
      <x:c r="K18" s="27" t="n">
        <x:v>4</x:v>
      </x:c>
      <x:c r="L18" s="38" t="n">
        <x:f>G18*Assumptions!C22+H18*Assumptions!C23+I18*Assumptions!C24+J18*Assumptions!C25+K18*Assumptions!C26</x:f>
        <x:v>3.25</x:v>
      </x:c>
      <x:c r="M18" s="27" t="str"/>
      <x:c r="N18" s="27" t="str">
        <x:v>OPEN</x:v>
      </x:c>
      <x:c r="O18" s="27" t="str">
        <x:v>link, interference and custody dependency</x:v>
      </x:c>
      <x:c r="P18" s="29" t="str">
        <x:v>reject before build</x:v>
      </x:c>
    </x:row>
    <x:row r="19" ht="29" customHeight="1">
      <x:c r="B19" s="27" t="str">
        <x:v>CRS-1</x:v>
      </x:c>
      <x:c r="C19" s="27" t="str">
        <x:v>Civil receiver</x:v>
      </x:c>
      <x:c r="D19" s="27" t="str">
        <x:v>single trailer assay and release laboratory</x:v>
      </x:c>
      <x:c r="E19" s="27" t="n">
        <x:f>SUM('Gate Matrix'!D19:M19)</x:f>
        <x:v>10</x:v>
      </x:c>
      <x:c r="F19" s="27" t="str">
        <x:f>IF(E19=10,"ADMISSIBLE","REJECT")</x:f>
        <x:v>ADMISSIBLE</x:v>
      </x:c>
      <x:c r="G19" s="27" t="n">
        <x:v>4</x:v>
      </x:c>
      <x:c r="H19" s="27" t="n">
        <x:v>3</x:v>
      </x:c>
      <x:c r="I19" s="27" t="n">
        <x:v>5</x:v>
      </x:c>
      <x:c r="J19" s="27" t="n">
        <x:v>4</x:v>
      </x:c>
      <x:c r="K19" s="27" t="n">
        <x:v>3</x:v>
      </x:c>
      <x:c r="L19" s="38" t="n">
        <x:f>G19*Assumptions!C22+H19*Assumptions!C23+I19*Assumptions!C24+J19*Assumptions!C25+K19*Assumptions!C26</x:f>
        <x:v>3.7</x:v>
      </x:c>
      <x:c r="M19" s="27" t="str"/>
      <x:c r="N19" s="27" t="str">
        <x:v>OPEN</x:v>
      </x:c>
      <x:c r="O19" s="27" t="str">
        <x:v>admissible but one physical casualty</x:v>
      </x:c>
      <x:c r="P19" s="29" t="str">
        <x:v>P05 casualty screen</x:v>
      </x:c>
    </x:row>
    <x:row r="20" ht="29" customHeight="1">
      <x:c r="B20" s="27" t="str">
        <x:v>CRS-2</x:v>
      </x:c>
      <x:c r="C20" s="27" t="str">
        <x:v>Civil receiver</x:v>
      </x:c>
      <x:c r="D20" s="27" t="str">
        <x:v>three-module assay, utility and civil-release station</x:v>
      </x:c>
      <x:c r="E20" s="27" t="n">
        <x:f>SUM('Gate Matrix'!D20:M20)</x:f>
        <x:v>10</x:v>
      </x:c>
      <x:c r="F20" s="27" t="str">
        <x:f>IF(E20=10,"ADMISSIBLE","REJECT")</x:f>
        <x:v>ADMISSIBLE</x:v>
      </x:c>
      <x:c r="G20" s="27" t="n">
        <x:v>5</x:v>
      </x:c>
      <x:c r="H20" s="27" t="n">
        <x:v>5</x:v>
      </x:c>
      <x:c r="I20" s="27" t="n">
        <x:v>4</x:v>
      </x:c>
      <x:c r="J20" s="27" t="n">
        <x:v>4</x:v>
      </x:c>
      <x:c r="K20" s="27" t="n">
        <x:v>4</x:v>
      </x:c>
      <x:c r="L20" s="38" t="n">
        <x:f>G20*Assumptions!C22+H20*Assumptions!C23+I20*Assumptions!C24+J20*Assumptions!C25+K20*Assumptions!C26</x:f>
        <x:v>4.5</x:v>
      </x:c>
      <x:c r="M20" s="27" t="str">
        <x:v>SELECTED</x:v>
      </x:c>
      <x:c r="N20" s="27" t="str">
        <x:v>OPEN</x:v>
      </x:c>
      <x:c r="O20" s="27" t="str">
        <x:v>separates public effect from one module loss</x:v>
      </x:c>
      <x:c r="P20" s="29" t="str">
        <x:v>P05 full sequence</x:v>
      </x:c>
    </x:row>
    <x:row r="21" ht="29" customHeight="1">
      <x:c r="B21" s="27" t="str">
        <x:v>CRS-3</x:v>
      </x:c>
      <x:c r="C21" s="27" t="str">
        <x:v>Civil receiver</x:v>
      </x:c>
      <x:c r="D21" s="27" t="str">
        <x:v>carrier-integrated receiver package</x:v>
      </x:c>
      <x:c r="E21" s="27" t="n">
        <x:f>SUM('Gate Matrix'!D21:M21)</x:f>
        <x:v>6</x:v>
      </x:c>
      <x:c r="F21" s="27" t="str">
        <x:f>IF(E21=10,"ADMISSIBLE","REJECT")</x:f>
        <x:v>REJECT</x:v>
      </x:c>
      <x:c r="G21" s="27" t="n">
        <x:v>3</x:v>
      </x:c>
      <x:c r="H21" s="27" t="n">
        <x:v>2</x:v>
      </x:c>
      <x:c r="I21" s="27" t="n">
        <x:v>4</x:v>
      </x:c>
      <x:c r="J21" s="27" t="n">
        <x:v>5</x:v>
      </x:c>
      <x:c r="K21" s="27" t="n">
        <x:v>2</x:v>
      </x:c>
      <x:c r="L21" s="38" t="n">
        <x:f>G21*Assumptions!C22+H21*Assumptions!C23+I21*Assumptions!C24+J21*Assumptions!C25+K21*Assumptions!C26</x:f>
        <x:v>3</x:v>
      </x:c>
      <x:c r="M21" s="27" t="str"/>
      <x:c r="N21" s="27" t="str">
        <x:v>OPEN</x:v>
      </x:c>
      <x:c r="O21" s="27" t="str">
        <x:v>provider controls receiver truth</x:v>
      </x:c>
      <x:c r="P21" s="29" t="str">
        <x:v>reject before build</x:v>
      </x:c>
    </x:row>
    <x:row r="22" ht="29" customHeight="1">
      <x:c r="B22" s="27" t="str">
        <x:v>PSS-1</x:v>
      </x:c>
      <x:c r="C22" s="27" t="str">
        <x:v>Pressure skin</x:v>
      </x:c>
      <x:c r="D22" s="27" t="str">
        <x:v>replaceable capacitive mosaic</x:v>
      </x:c>
      <x:c r="E22" s="27" t="n">
        <x:f>SUM('Gate Matrix'!D22:M22)</x:f>
        <x:v>10</x:v>
      </x:c>
      <x:c r="F22" s="27" t="str">
        <x:f>IF(E22=10,"ADMISSIBLE","REJECT")</x:f>
        <x:v>ADMISSIBLE</x:v>
      </x:c>
      <x:c r="G22" s="27" t="n">
        <x:v>4</x:v>
      </x:c>
      <x:c r="H22" s="27" t="n">
        <x:v>4</x:v>
      </x:c>
      <x:c r="I22" s="27" t="n">
        <x:v>4</x:v>
      </x:c>
      <x:c r="J22" s="27" t="n">
        <x:v>5</x:v>
      </x:c>
      <x:c r="K22" s="27" t="n">
        <x:v>4</x:v>
      </x:c>
      <x:c r="L22" s="38" t="n">
        <x:f>G22*Assumptions!C22+H22*Assumptions!C23+I22*Assumptions!C24+J22*Assumptions!C25+K22*Assumptions!C26</x:f>
        <x:v>4.15</x:v>
      </x:c>
      <x:c r="M22" s="27" t="str"/>
      <x:c r="N22" s="27" t="str">
        <x:v>OPEN</x:v>
      </x:c>
      <x:c r="O22" s="27" t="str">
        <x:v>admissible single-physics reference</x:v>
      </x:c>
      <x:c r="P22" s="29" t="str">
        <x:v>P04 comparator</x:v>
      </x:c>
    </x:row>
    <x:row r="23" ht="29" customHeight="1">
      <x:c r="B23" s="27" t="str">
        <x:v>PSS-2</x:v>
      </x:c>
      <x:c r="C23" s="27" t="str">
        <x:v>Pressure skin</x:v>
      </x:c>
      <x:c r="D23" s="27" t="str">
        <x:v>fiber strain lattice with sparse force cells</x:v>
      </x:c>
      <x:c r="E23" s="27" t="n">
        <x:f>SUM('Gate Matrix'!D23:M23)</x:f>
        <x:v>9</x:v>
      </x:c>
      <x:c r="F23" s="27" t="str">
        <x:f>IF(E23=10,"ADMISSIBLE","REJECT")</x:f>
        <x:v>REJECT</x:v>
      </x:c>
      <x:c r="G23" s="27" t="n">
        <x:v>4</x:v>
      </x:c>
      <x:c r="H23" s="27" t="n">
        <x:v>4</x:v>
      </x:c>
      <x:c r="I23" s="27" t="n">
        <x:v>3</x:v>
      </x:c>
      <x:c r="J23" s="27" t="n">
        <x:v>4</x:v>
      </x:c>
      <x:c r="K23" s="27" t="n">
        <x:v>4</x:v>
      </x:c>
      <x:c r="L23" s="38" t="n">
        <x:f>G23*Assumptions!C22+H23*Assumptions!C23+I23*Assumptions!C24+J23*Assumptions!C25+K23*Assumptions!C26</x:f>
        <x:v>3.8500000000000005</x:v>
      </x:c>
      <x:c r="M23" s="27" t="str"/>
      <x:c r="N23" s="27" t="str">
        <x:v>OPEN</x:v>
      </x:c>
      <x:c r="O23" s="27" t="str">
        <x:v>contact-area inference remains correlated</x:v>
      </x:c>
      <x:c r="P23" s="29" t="str">
        <x:v>P04 comparator</x:v>
      </x:c>
    </x:row>
    <x:row r="24" ht="29" customHeight="1">
      <x:c r="B24" s="27" t="str">
        <x:v>PSS-3</x:v>
      </x:c>
      <x:c r="C24" s="27" t="str">
        <x:v>Pressure skin</x:v>
      </x:c>
      <x:c r="D24" s="27" t="str">
        <x:v>dual-physics mosaic with optical geometry</x:v>
      </x:c>
      <x:c r="E24" s="27" t="n">
        <x:f>SUM('Gate Matrix'!D24:M24)</x:f>
        <x:v>10</x:v>
      </x:c>
      <x:c r="F24" s="27" t="str">
        <x:f>IF(E24=10,"ADMISSIBLE","REJECT")</x:f>
        <x:v>ADMISSIBLE</x:v>
      </x:c>
      <x:c r="G24" s="27" t="n">
        <x:v>5</x:v>
      </x:c>
      <x:c r="H24" s="27" t="n">
        <x:v>5</x:v>
      </x:c>
      <x:c r="I24" s="27" t="n">
        <x:v>3</x:v>
      </x:c>
      <x:c r="J24" s="27" t="n">
        <x:v>4</x:v>
      </x:c>
      <x:c r="K24" s="27" t="n">
        <x:v>5</x:v>
      </x:c>
      <x:c r="L24" s="38" t="n">
        <x:f>G24*Assumptions!C22+H24*Assumptions!C23+I24*Assumptions!C24+J24*Assumptions!C25+K24*Assumptions!C26</x:f>
        <x:v>4.550000000000001</x:v>
      </x:c>
      <x:c r="M24" s="27" t="str">
        <x:v>SELECTED</x:v>
      </x:c>
      <x:c r="N24" s="27" t="str">
        <x:v>OPEN</x:v>
      </x:c>
      <x:c r="O24" s="27" t="str">
        <x:v>independent force and boundary reconstruction</x:v>
      </x:c>
      <x:c r="P24" s="29" t="str">
        <x:v>P04 full sequence</x:v>
      </x:c>
    </x:row>
    <x:row r="25" ht="29" customHeight="1">
      <x:c r="B25" s="27" t="str">
        <x:v>PIF-1</x:v>
      </x:c>
      <x:c r="C25" s="27" t="str">
        <x:v>Passive interface</x:v>
      </x:c>
      <x:c r="D25" s="27" t="str">
        <x:v>certified software data diode</x:v>
      </x:c>
      <x:c r="E25" s="27" t="n">
        <x:f>SUM('Gate Matrix'!D25:M25)</x:f>
        <x:v>8</x:v>
      </x:c>
      <x:c r="F25" s="27" t="str">
        <x:f>IF(E25=10,"ADMISSIBLE","REJECT")</x:f>
        <x:v>REJECT</x:v>
      </x:c>
      <x:c r="G25" s="27" t="n">
        <x:v>4</x:v>
      </x:c>
      <x:c r="H25" s="27" t="n">
        <x:v>3</x:v>
      </x:c>
      <x:c r="I25" s="27" t="n">
        <x:v>5</x:v>
      </x:c>
      <x:c r="J25" s="27" t="n">
        <x:v>5</x:v>
      </x:c>
      <x:c r="K25" s="27" t="n">
        <x:v>3</x:v>
      </x:c>
      <x:c r="L25" s="38" t="n">
        <x:f>G25*Assumptions!C22+H25*Assumptions!C23+I25*Assumptions!C24+J25*Assumptions!C25+K25*Assumptions!C26</x:f>
        <x:v>3.85</x:v>
      </x:c>
      <x:c r="M25" s="27" t="str"/>
      <x:c r="N25" s="27" t="str">
        <x:v>OPEN</x:v>
      </x:c>
      <x:c r="O25" s="27" t="str">
        <x:v>software cannot prove physical non-actuation</x:v>
      </x:c>
      <x:c r="P25" s="29" t="str">
        <x:v>P02 reverse-energy screen</x:v>
      </x:c>
    </x:row>
    <x:row r="26" ht="29" customHeight="1">
      <x:c r="B26" s="27" t="str">
        <x:v>PIF-2</x:v>
      </x:c>
      <x:c r="C26" s="27" t="str">
        <x:v>Passive interface</x:v>
      </x:c>
      <x:c r="D26" s="27" t="str">
        <x:v>passive optical mirror after mission conversion</x:v>
      </x:c>
      <x:c r="E26" s="27" t="n">
        <x:f>SUM('Gate Matrix'!D26:M26)</x:f>
        <x:v>9</x:v>
      </x:c>
      <x:c r="F26" s="27" t="str">
        <x:f>IF(E26=10,"ADMISSIBLE","REJECT")</x:f>
        <x:v>REJECT</x:v>
      </x:c>
      <x:c r="G26" s="27" t="n">
        <x:v>4</x:v>
      </x:c>
      <x:c r="H26" s="27" t="n">
        <x:v>4</x:v>
      </x:c>
      <x:c r="I26" s="27" t="n">
        <x:v>4</x:v>
      </x:c>
      <x:c r="J26" s="27" t="n">
        <x:v>5</x:v>
      </x:c>
      <x:c r="K26" s="27" t="n">
        <x:v>4</x:v>
      </x:c>
      <x:c r="L26" s="38" t="n">
        <x:f>G26*Assumptions!C22+H26*Assumptions!C23+I26*Assumptions!C24+J26*Assumptions!C25+K26*Assumptions!C26</x:f>
        <x:v>4.15</x:v>
      </x:c>
      <x:c r="M26" s="27" t="str"/>
      <x:c r="N26" s="27" t="str">
        <x:v>OPEN</x:v>
      </x:c>
      <x:c r="O26" s="27" t="str">
        <x:v>shares upstream conversion failure</x:v>
      </x:c>
      <x:c r="P26" s="29" t="str">
        <x:v>P02 common-fault screen</x:v>
      </x:c>
    </x:row>
    <x:row r="27" ht="29" customHeight="1">
      <x:c r="B27" s="27" t="str">
        <x:v>PIF-3</x:v>
      </x:c>
      <x:c r="C27" s="27" t="str">
        <x:v>Passive interface</x:v>
      </x:c>
      <x:c r="D27" s="27" t="str">
        <x:v>split-physics transducer plus optical state mirror</x:v>
      </x:c>
      <x:c r="E27" s="27" t="n">
        <x:f>SUM('Gate Matrix'!D27:M27)</x:f>
        <x:v>10</x:v>
      </x:c>
      <x:c r="F27" s="27" t="str">
        <x:f>IF(E27=10,"ADMISSIBLE","REJECT")</x:f>
        <x:v>ADMISSIBLE</x:v>
      </x:c>
      <x:c r="G27" s="27" t="n">
        <x:v>5</x:v>
      </x:c>
      <x:c r="H27" s="27" t="n">
        <x:v>5</x:v>
      </x:c>
      <x:c r="I27" s="27" t="n">
        <x:v>4</x:v>
      </x:c>
      <x:c r="J27" s="27" t="n">
        <x:v>3</x:v>
      </x:c>
      <x:c r="K27" s="27" t="n">
        <x:v>5</x:v>
      </x:c>
      <x:c r="L27" s="38" t="n">
        <x:f>G27*Assumptions!C22+H27*Assumptions!C23+I27*Assumptions!C24+J27*Assumptions!C25+K27*Assumptions!C26</x:f>
        <x:v>4.55</x:v>
      </x:c>
      <x:c r="M27" s="27" t="str">
        <x:v>SELECTED</x:v>
      </x:c>
      <x:c r="N27" s="27" t="str">
        <x:v>OPEN</x:v>
      </x:c>
      <x:c r="O27" s="27" t="str">
        <x:v>physical diversity and inspectable one-way boundary</x:v>
      </x:c>
      <x:c r="P27" s="29" t="str">
        <x:v>P02 full sequence</x:v>
      </x:c>
    </x:row>
    <x:row r="28" ht="29" customHeight="1">
      <x:c r="B28" s="27" t="str">
        <x:v>EPS-1</x:v>
      </x:c>
      <x:c r="C28" s="27" t="str">
        <x:v>Independent energy</x:v>
      </x:c>
      <x:c r="D28" s="27" t="str">
        <x:v>rechargeable battery-only packs</x:v>
      </x:c>
      <x:c r="E28" s="27" t="n">
        <x:f>SUM('Gate Matrix'!D28:M28)</x:f>
        <x:v>10</x:v>
      </x:c>
      <x:c r="F28" s="27" t="str">
        <x:f>IF(E28=10,"ADMISSIBLE","REJECT")</x:f>
        <x:v>ADMISSIBLE</x:v>
      </x:c>
      <x:c r="G28" s="27" t="n">
        <x:v>4</x:v>
      </x:c>
      <x:c r="H28" s="27" t="n">
        <x:v>4</x:v>
      </x:c>
      <x:c r="I28" s="27" t="n">
        <x:v>5</x:v>
      </x:c>
      <x:c r="J28" s="27" t="n">
        <x:v>5</x:v>
      </x:c>
      <x:c r="K28" s="27" t="n">
        <x:v>3</x:v>
      </x:c>
      <x:c r="L28" s="38" t="n">
        <x:f>G28*Assumptions!C22+H28*Assumptions!C23+I28*Assumptions!C24+J28*Assumptions!C25+K28*Assumptions!C26</x:f>
        <x:v>4.1</x:v>
      </x:c>
      <x:c r="M28" s="27" t="str"/>
      <x:c r="N28" s="27" t="str">
        <x:v>OPEN</x:v>
      </x:c>
      <x:c r="O28" s="27" t="str">
        <x:v>admissible mass control</x:v>
      </x:c>
      <x:c r="P28" s="29" t="str">
        <x:v>P01 comparator</x:v>
      </x:c>
    </x:row>
    <x:row r="29" ht="29" customHeight="1">
      <x:c r="B29" s="27" t="str">
        <x:v>EPS-2</x:v>
      </x:c>
      <x:c r="C29" s="27" t="str">
        <x:v>Independent energy</x:v>
      </x:c>
      <x:c r="D29" s="27" t="str">
        <x:v>primary-cell endurance core with rechargeable event buffer</x:v>
      </x:c>
      <x:c r="E29" s="27" t="n">
        <x:f>SUM('Gate Matrix'!D29:M29)</x:f>
        <x:v>10</x:v>
      </x:c>
      <x:c r="F29" s="27" t="str">
        <x:f>IF(E29=10,"ADMISSIBLE","REJECT")</x:f>
        <x:v>ADMISSIBLE</x:v>
      </x:c>
      <x:c r="G29" s="27" t="n">
        <x:v>5</x:v>
      </x:c>
      <x:c r="H29" s="27" t="n">
        <x:v>4</x:v>
      </x:c>
      <x:c r="I29" s="27" t="n">
        <x:v>4</x:v>
      </x:c>
      <x:c r="J29" s="27" t="n">
        <x:v>4</x:v>
      </x:c>
      <x:c r="K29" s="27" t="n">
        <x:v>4</x:v>
      </x:c>
      <x:c r="L29" s="38" t="n">
        <x:f>G29*Assumptions!C22+H29*Assumptions!C23+I29*Assumptions!C24+J29*Assumptions!C25+K29*Assumptions!C26</x:f>
        <x:v>4.25</x:v>
      </x:c>
      <x:c r="M29" s="27" t="str">
        <x:v>SELECTED</x:v>
      </x:c>
      <x:c r="N29" s="27" t="str">
        <x:v>OPEN</x:v>
      </x:c>
      <x:c r="O29" s="27" t="str">
        <x:v>low standby loss and isolated peak delivery</x:v>
      </x:c>
      <x:c r="P29" s="29" t="str">
        <x:v>P01 full sequence</x:v>
      </x:c>
    </x:row>
    <x:row r="30" ht="29" customHeight="1">
      <x:c r="B30" s="27" t="str">
        <x:v>EPS-3</x:v>
      </x:c>
      <x:c r="C30" s="27" t="str">
        <x:v>Independent energy</x:v>
      </x:c>
      <x:c r="D30" s="27" t="str">
        <x:v>fuel-cell endurance core with battery buffer</x:v>
      </x:c>
      <x:c r="E30" s="27" t="n">
        <x:f>SUM('Gate Matrix'!D30:M30)</x:f>
        <x:v>8</x:v>
      </x:c>
      <x:c r="F30" s="27" t="str">
        <x:f>IF(E30=10,"ADMISSIBLE","REJECT")</x:f>
        <x:v>REJECT</x:v>
      </x:c>
      <x:c r="G30" s="27" t="n">
        <x:v>4</x:v>
      </x:c>
      <x:c r="H30" s="27" t="n">
        <x:v>4</x:v>
      </x:c>
      <x:c r="I30" s="27" t="n">
        <x:v>3</x:v>
      </x:c>
      <x:c r="J30" s="27" t="n">
        <x:v>3</x:v>
      </x:c>
      <x:c r="K30" s="27" t="n">
        <x:v>5</x:v>
      </x:c>
      <x:c r="L30" s="38" t="n">
        <x:f>G30*Assumptions!C22+H30*Assumptions!C23+I30*Assumptions!C24+J30*Assumptions!C25+K30*Assumptions!C26</x:f>
        <x:v>3.9000000000000004</x:v>
      </x:c>
      <x:c r="M30" s="27" t="str"/>
      <x:c r="N30" s="27" t="str">
        <x:v>OPEN</x:v>
      </x:c>
      <x:c r="O30" s="27" t="str">
        <x:v>exhaust, heat and consumable state alter mission</x:v>
      </x:c>
      <x:c r="P30" s="29" t="str">
        <x:v>P01 hazard screen</x:v>
      </x:c>
    </x:row>
    <x:row r="31" ht="29" customHeight="1">
      <x:c r="B31" s="27" t="str">
        <x:v>TKS-1</x:v>
      </x:c>
      <x:c r="C31" s="27" t="str">
        <x:v>Denied time</x:v>
      </x:c>
      <x:c r="D31" s="27" t="str">
        <x:v>GNSS disciplined oscillator pair</x:v>
      </x:c>
      <x:c r="E31" s="27" t="n">
        <x:f>SUM('Gate Matrix'!D31:M31)</x:f>
        <x:v>9</x:v>
      </x:c>
      <x:c r="F31" s="27" t="str">
        <x:f>IF(E31=10,"ADMISSIBLE","REJECT")</x:f>
        <x:v>REJECT</x:v>
      </x:c>
      <x:c r="G31" s="27" t="n">
        <x:v>4</x:v>
      </x:c>
      <x:c r="H31" s="27" t="n">
        <x:v>3</x:v>
      </x:c>
      <x:c r="I31" s="27" t="n">
        <x:v>5</x:v>
      </x:c>
      <x:c r="J31" s="27" t="n">
        <x:v>5</x:v>
      </x:c>
      <x:c r="K31" s="27" t="n">
        <x:v>2</x:v>
      </x:c>
      <x:c r="L31" s="38" t="n">
        <x:f>G31*Assumptions!C22+H31*Assumptions!C23+I31*Assumptions!C24+J31*Assumptions!C25+K31*Assumptions!C26</x:f>
        <x:v>3.65</x:v>
      </x:c>
      <x:c r="M31" s="27" t="str"/>
      <x:c r="N31" s="27" t="str">
        <x:v>OPEN</x:v>
      </x:c>
      <x:c r="O31" s="27" t="str">
        <x:v>external discipline and common root</x:v>
      </x:c>
      <x:c r="P31" s="29" t="str">
        <x:v>P06 denial screen</x:v>
      </x:c>
    </x:row>
    <x:row r="32" ht="29" customHeight="1">
      <x:c r="B32" s="27" t="str">
        <x:v>TKS-2</x:v>
      </x:c>
      <x:c r="C32" s="27" t="str">
        <x:v>Denied time</x:v>
      </x:c>
      <x:c r="D32" s="27" t="str">
        <x:v>dual atomic roots plus independent quartz witness</x:v>
      </x:c>
      <x:c r="E32" s="27" t="n">
        <x:f>SUM('Gate Matrix'!D32:M32)</x:f>
        <x:v>10</x:v>
      </x:c>
      <x:c r="F32" s="27" t="str">
        <x:f>IF(E32=10,"ADMISSIBLE","REJECT")</x:f>
        <x:v>ADMISSIBLE</x:v>
      </x:c>
      <x:c r="G32" s="27" t="n">
        <x:v>5</x:v>
      </x:c>
      <x:c r="H32" s="27" t="n">
        <x:v>5</x:v>
      </x:c>
      <x:c r="I32" s="27" t="n">
        <x:v>4</x:v>
      </x:c>
      <x:c r="J32" s="27" t="n">
        <x:v>4</x:v>
      </x:c>
      <x:c r="K32" s="27" t="n">
        <x:v>4</x:v>
      </x:c>
      <x:c r="L32" s="38" t="n">
        <x:f>G32*Assumptions!C22+H32*Assumptions!C23+I32*Assumptions!C24+J32*Assumptions!C25+K32*Assumptions!C26</x:f>
        <x:v>4.5</x:v>
      </x:c>
      <x:c r="M32" s="27" t="str">
        <x:v>SELECTED</x:v>
      </x:c>
      <x:c r="N32" s="27" t="str">
        <x:v>OPEN</x:v>
      </x:c>
      <x:c r="O32" s="27" t="str">
        <x:v>three physical roots and traveling reference</x:v>
      </x:c>
      <x:c r="P32" s="29" t="str">
        <x:v>P06 full sequence</x:v>
      </x:c>
    </x:row>
    <x:row r="33" ht="29" customHeight="1">
      <x:c r="B33" s="27" t="str">
        <x:v>TKS-3</x:v>
      </x:c>
      <x:c r="C33" s="27" t="str">
        <x:v>Denied time</x:v>
      </x:c>
      <x:c r="D33" s="27" t="str">
        <x:v>carrier precision-time-protocol tap</x:v>
      </x:c>
      <x:c r="E33" s="27" t="n">
        <x:f>SUM('Gate Matrix'!D33:M33)</x:f>
        <x:v>7</x:v>
      </x:c>
      <x:c r="F33" s="27" t="str">
        <x:f>IF(E33=10,"ADMISSIBLE","REJECT")</x:f>
        <x:v>REJECT</x:v>
      </x:c>
      <x:c r="G33" s="27" t="n">
        <x:v>3</x:v>
      </x:c>
      <x:c r="H33" s="27" t="n">
        <x:v>2</x:v>
      </x:c>
      <x:c r="I33" s="27" t="n">
        <x:v>5</x:v>
      </x:c>
      <x:c r="J33" s="27" t="n">
        <x:v>5</x:v>
      </x:c>
      <x:c r="K33" s="27" t="n">
        <x:v>2</x:v>
      </x:c>
      <x:c r="L33" s="38" t="n">
        <x:f>G33*Assumptions!C22+H33*Assumptions!C23+I33*Assumptions!C24+J33*Assumptions!C25+K33*Assumptions!C26</x:f>
        <x:v>3.15</x:v>
      </x:c>
      <x:c r="M33" s="27" t="str"/>
      <x:c r="N33" s="27" t="str">
        <x:v>OPEN</x:v>
      </x:c>
      <x:c r="O33" s="27" t="str">
        <x:v>carrier time and network dependency</x:v>
      </x:c>
      <x:c r="P33" s="29" t="str">
        <x:v>reject before build</x:v>
      </x:c>
    </x:row>
    <x:row r="34" ht="29" customHeight="1">
      <x:c r="B34" s="27" t="str">
        <x:v>STG-1</x:v>
      </x:c>
      <x:c r="C34" s="27" t="str">
        <x:v>Immutable storage</x:v>
      </x:c>
      <x:c r="D34" s="27" t="str">
        <x:v>single write-once solid-state vault</x:v>
      </x:c>
      <x:c r="E34" s="27" t="n">
        <x:f>SUM('Gate Matrix'!D34:M34)</x:f>
        <x:v>9</x:v>
      </x:c>
      <x:c r="F34" s="27" t="str">
        <x:f>IF(E34=10,"ADMISSIBLE","REJECT")</x:f>
        <x:v>REJECT</x:v>
      </x:c>
      <x:c r="G34" s="27" t="n">
        <x:v>4</x:v>
      </x:c>
      <x:c r="H34" s="27" t="n">
        <x:v>3</x:v>
      </x:c>
      <x:c r="I34" s="27" t="n">
        <x:v>5</x:v>
      </x:c>
      <x:c r="J34" s="27" t="n">
        <x:v>5</x:v>
      </x:c>
      <x:c r="K34" s="27" t="n">
        <x:v>3</x:v>
      </x:c>
      <x:c r="L34" s="38" t="n">
        <x:f>G34*Assumptions!C22+H34*Assumptions!C23+I34*Assumptions!C24+J34*Assumptions!C25+K34*Assumptions!C26</x:f>
        <x:v>3.85</x:v>
      </x:c>
      <x:c r="M34" s="27" t="str"/>
      <x:c r="N34" s="27" t="str">
        <x:v>OPEN</x:v>
      </x:c>
      <x:c r="O34" s="27" t="str">
        <x:v>one media-controller failure</x:v>
      </x:c>
      <x:c r="P34" s="29" t="str">
        <x:v>P01 corruption screen</x:v>
      </x:c>
    </x:row>
    <x:row r="35" ht="29" customHeight="1">
      <x:c r="B35" s="27" t="str">
        <x:v>STG-2</x:v>
      </x:c>
      <x:c r="C35" s="27" t="str">
        <x:v>Immutable storage</x:v>
      </x:c>
      <x:c r="D35" s="27" t="str">
        <x:v>dual independent vaults with cross-hashed segments</x:v>
      </x:c>
      <x:c r="E35" s="27" t="n">
        <x:f>SUM('Gate Matrix'!D35:M35)</x:f>
        <x:v>10</x:v>
      </x:c>
      <x:c r="F35" s="27" t="str">
        <x:f>IF(E35=10,"ADMISSIBLE","REJECT")</x:f>
        <x:v>ADMISSIBLE</x:v>
      </x:c>
      <x:c r="G35" s="27" t="n">
        <x:v>5</x:v>
      </x:c>
      <x:c r="H35" s="27" t="n">
        <x:v>5</x:v>
      </x:c>
      <x:c r="I35" s="27" t="n">
        <x:v>4</x:v>
      </x:c>
      <x:c r="J35" s="27" t="n">
        <x:v>4</x:v>
      </x:c>
      <x:c r="K35" s="27" t="n">
        <x:v>4</x:v>
      </x:c>
      <x:c r="L35" s="38" t="n">
        <x:f>G35*Assumptions!C22+H35*Assumptions!C23+I35*Assumptions!C24+J35*Assumptions!C25+K35*Assumptions!C26</x:f>
        <x:v>4.5</x:v>
      </x:c>
      <x:c r="M35" s="27" t="str">
        <x:v>SELECTED</x:v>
      </x:c>
      <x:c r="N35" s="27" t="str">
        <x:v>OPEN</x:v>
      </x:c>
      <x:c r="O35" s="27" t="str">
        <x:v>separate controllers, media and custody seals</x:v>
      </x:c>
      <x:c r="P35" s="29" t="str">
        <x:v>P01 full sequence</x:v>
      </x:c>
    </x:row>
    <x:row r="36" ht="29" customHeight="1">
      <x:c r="B36" s="27" t="str">
        <x:v>STG-3</x:v>
      </x:c>
      <x:c r="C36" s="27" t="str">
        <x:v>Immutable storage</x:v>
      </x:c>
      <x:c r="D36" s="27" t="str">
        <x:v>encrypted stream to national archive</x:v>
      </x:c>
      <x:c r="E36" s="27" t="n">
        <x:f>SUM('Gate Matrix'!D36:M36)</x:f>
        <x:v>7</x:v>
      </x:c>
      <x:c r="F36" s="27" t="str">
        <x:f>IF(E36=10,"ADMISSIBLE","REJECT")</x:f>
        <x:v>REJECT</x:v>
      </x:c>
      <x:c r="G36" s="27" t="n">
        <x:v>3</x:v>
      </x:c>
      <x:c r="H36" s="27" t="n">
        <x:v>3</x:v>
      </x:c>
      <x:c r="I36" s="27" t="n">
        <x:v>5</x:v>
      </x:c>
      <x:c r="J36" s="27" t="n">
        <x:v>5</x:v>
      </x:c>
      <x:c r="K36" s="27" t="n">
        <x:v>3</x:v>
      </x:c>
      <x:c r="L36" s="38" t="n">
        <x:f>G36*Assumptions!C22+H36*Assumptions!C23+I36*Assumptions!C24+J36*Assumptions!C25+K36*Assumptions!C26</x:f>
        <x:v>3.6</x:v>
      </x:c>
      <x:c r="M36" s="27" t="str"/>
      <x:c r="N36" s="27" t="str">
        <x:v>OPEN</x:v>
      </x:c>
      <x:c r="O36" s="27" t="str">
        <x:v>no complete local original</x:v>
      </x:c>
      <x:c r="P36" s="29" t="str">
        <x:v>reject before build</x:v>
      </x:c>
    </x:row>
    <x:row r="37" ht="29" customHeight="1">
      <x:c r="B37" s="27" t="str">
        <x:v>MHE-1</x:v>
      </x:c>
      <x:c r="C37" s="27" t="str">
        <x:v>Mass and heat emulator</x:v>
      </x:c>
      <x:c r="D37" s="27" t="str">
        <x:v>ballast matched only to total mass</x:v>
      </x:c>
      <x:c r="E37" s="27" t="n">
        <x:f>SUM('Gate Matrix'!D37:M37)</x:f>
        <x:v>8</x:v>
      </x:c>
      <x:c r="F37" s="27" t="str">
        <x:f>IF(E37=10,"ADMISSIBLE","REJECT")</x:f>
        <x:v>REJECT</x:v>
      </x:c>
      <x:c r="G37" s="27" t="n">
        <x:v>3</x:v>
      </x:c>
      <x:c r="H37" s="27" t="n">
        <x:v>3</x:v>
      </x:c>
      <x:c r="I37" s="27" t="n">
        <x:v>5</x:v>
      </x:c>
      <x:c r="J37" s="27" t="n">
        <x:v>5</x:v>
      </x:c>
      <x:c r="K37" s="27" t="n">
        <x:v>2</x:v>
      </x:c>
      <x:c r="L37" s="38" t="n">
        <x:f>G37*Assumptions!C22+H37*Assumptions!C23+I37*Assumptions!C24+J37*Assumptions!C25+K37*Assumptions!C26</x:f>
        <x:v>3.4</x:v>
      </x:c>
      <x:c r="M37" s="27" t="str"/>
      <x:c r="N37" s="27" t="str">
        <x:v>OPEN</x:v>
      </x:c>
      <x:c r="O37" s="27" t="str">
        <x:v>heat, impedance and center of gravity unpaired</x:v>
      </x:c>
      <x:c r="P37" s="29" t="str">
        <x:v>P07 comparator</x:v>
      </x:c>
    </x:row>
    <x:row r="38" ht="29" customHeight="1">
      <x:c r="B38" s="27" t="str">
        <x:v>MHE-2</x:v>
      </x:c>
      <x:c r="C38" s="27" t="str">
        <x:v>Mass and heat emulator</x:v>
      </x:c>
      <x:c r="D38" s="27" t="str">
        <x:v>programmable active system emulator</x:v>
      </x:c>
      <x:c r="E38" s="27" t="n">
        <x:f>SUM('Gate Matrix'!D38:M38)</x:f>
        <x:v>9</x:v>
      </x:c>
      <x:c r="F38" s="27" t="str">
        <x:f>IF(E38=10,"ADMISSIBLE","REJECT")</x:f>
        <x:v>REJECT</x:v>
      </x:c>
      <x:c r="G38" s="27" t="n">
        <x:v>4</x:v>
      </x:c>
      <x:c r="H38" s="27" t="n">
        <x:v>3</x:v>
      </x:c>
      <x:c r="I38" s="27" t="n">
        <x:v>3</x:v>
      </x:c>
      <x:c r="J38" s="27" t="n">
        <x:v>3</x:v>
      </x:c>
      <x:c r="K38" s="27" t="n">
        <x:v>5</x:v>
      </x:c>
      <x:c r="L38" s="38" t="n">
        <x:f>G38*Assumptions!C22+H38*Assumptions!C23+I38*Assumptions!C24+J38*Assumptions!C25+K38*Assumptions!C26</x:f>
        <x:v>3.6500000000000004</x:v>
      </x:c>
      <x:c r="M38" s="27" t="str"/>
      <x:c r="N38" s="27" t="str">
        <x:v>OPEN</x:v>
      </x:c>
      <x:c r="O38" s="27" t="str">
        <x:v>active emulator can support the mission</x:v>
      </x:c>
      <x:c r="P38" s="29" t="str">
        <x:v>P07 reverse-energy screen</x:v>
      </x:c>
    </x:row>
    <x:row r="39" ht="29" customHeight="1">
      <x:c r="B39" s="31" t="str">
        <x:v>MHE-3</x:v>
      </x:c>
      <x:c r="C39" s="31" t="str">
        <x:v>Mass and heat emulator</x:v>
      </x:c>
      <x:c r="D39" s="31" t="str">
        <x:v>passive mass-CG body with outward heater and impedance loads</x:v>
      </x:c>
      <x:c r="E39" s="31" t="n">
        <x:f>SUM('Gate Matrix'!D39:M39)</x:f>
        <x:v>10</x:v>
      </x:c>
      <x:c r="F39" s="31" t="str">
        <x:f>IF(E39=10,"ADMISSIBLE","REJECT")</x:f>
        <x:v>ADMISSIBLE</x:v>
      </x:c>
      <x:c r="G39" s="31" t="n">
        <x:v>5</x:v>
      </x:c>
      <x:c r="H39" s="31" t="n">
        <x:v>5</x:v>
      </x:c>
      <x:c r="I39" s="31" t="n">
        <x:v>3</x:v>
      </x:c>
      <x:c r="J39" s="31" t="n">
        <x:v>4</x:v>
      </x:c>
      <x:c r="K39" s="31" t="n">
        <x:v>5</x:v>
      </x:c>
      <x:c r="L39" s="39" t="n">
        <x:f>G39*Assumptions!C22+H39*Assumptions!C23+I39*Assumptions!C24+J39*Assumptions!C25+K39*Assumptions!C26</x:f>
        <x:v>4.550000000000001</x:v>
      </x:c>
      <x:c r="M39" s="31" t="str">
        <x:v>SELECTED</x:v>
      </x:c>
      <x:c r="N39" s="31" t="str">
        <x:v>OPEN</x:v>
      </x:c>
      <x:c r="O39" s="31" t="str">
        <x:v>matches physical burden without sensing or support</x:v>
      </x:c>
      <x:c r="P39" s="33" t="str">
        <x:v>P07 full sequence</x:v>
      </x:c>
    </x:row>
    <x:row r="40" ht="18" customHeight="1"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 ht="18" customHeight="1"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 ht="18" customHeight="1"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</x:sheetData>
  <x:mergeCells>
    <x:mergeCell ref="B3:P3"/>
  </x:mergeCells>
  <x:conditionalFormatting sqref="F7:F39">
    <x:cfRule type="containsText" dxfId="6" priority="1" operator="containsText" text="OPEN"/>
    <x:cfRule type="containsText" dxfId="7" priority="2" operator="containsText" text="HOLD"/>
    <x:cfRule type="containsText" dxfId="8" priority="3" operator="containsText" text="BLOCKED"/>
    <x:cfRule type="containsText" dxfId="9" priority="4" operator="containsText" text="REJECT"/>
    <x:cfRule type="containsText" dxfId="10" priority="5" operator="containsText" text="FAIL"/>
    <x:cfRule type="containsText" dxfId="11" priority="6" operator="containsText" text="SELECTED"/>
  </x:conditionalFormatting>
  <x:conditionalFormatting sqref="M7:N39">
    <x:cfRule type="containsText" dxfId="12" priority="7" operator="containsText" text="OPEN"/>
    <x:cfRule type="containsText" dxfId="13" priority="8" operator="containsText" text="HOLD"/>
    <x:cfRule type="containsText" dxfId="14" priority="9" operator="containsText" text="BLOCKED"/>
    <x:cfRule type="containsText" dxfId="15" priority="10" operator="containsText" text="REJECT"/>
    <x:cfRule type="containsText" dxfId="16" priority="11" operator="containsText" text="FAIL"/>
    <x:cfRule type="containsText" dxfId="17" priority="12" operator="containsText" text="SELECTED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3" hidden="0" customWidth="1"/>
    <x:col min="3" max="3" width="2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2" hidden="0" customWidth="1"/>
  </x:cols>
  <x:sheetData>
    <x:row r="2" ht="18" customHeight="1">
      <x:c r="B2" s="3" t="str">
        <x:v>Architecture hard-gate matrix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18" customHeight="1">
      <x:c r="B3" s="4" t="str">
        <x:v>A candidate is admissible only when all ten physical, independence and custody gates pass.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18" customHeight="1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</x:row>
    <x:row r="5" ht="18" customHeight="1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18" customHeight="1">
      <x:c r="B6" s="25" t="str">
        <x:v>Candidate</x:v>
      </x:c>
      <x:c r="C6" s="26" t="str">
        <x:v>Subsystem</x:v>
      </x:c>
      <x:c r="D6" s="26" t="str">
        <x:v>168 h independent power</x:v>
      </x:c>
      <x:c r="E6" s="26" t="str">
        <x:v>complete local retention</x:v>
      </x:c>
      <x:c r="F6" s="26" t="str">
        <x:v>no actuation path</x:v>
      </x:c>
      <x:c r="G6" s="26" t="str">
        <x:v>diverse critical ancestry</x:v>
      </x:c>
      <x:c r="H6" s="26" t="str">
        <x:v>mass and volume envelope</x:v>
      </x:c>
      <x:c r="I6" s="26" t="str">
        <x:v>outward heat path</x:v>
      </x:c>
      <x:c r="J6" s="26" t="str">
        <x:v>hazard survival</x:v>
      </x:c>
      <x:c r="K6" s="26" t="str">
        <x:v>field calibration</x:v>
      </x:c>
      <x:c r="L6" s="26" t="str">
        <x:v>removal equivalence</x:v>
      </x:c>
      <x:c r="M6" s="26" t="str">
        <x:v>independent custody</x:v>
      </x:c>
      <x:c r="N6" s="26" t="str">
        <x:v>Result</x:v>
      </x:c>
    </x:row>
    <x:row r="7" ht="18" customHeight="1">
      <x:c r="B7" s="27" t="str">
        <x:v>ATC-1</x:v>
      </x:c>
      <x:c r="C7" s="27" t="str">
        <x:v>Air tile cassette</x:v>
      </x:c>
      <x:c r="D7" s="35" t="n">
        <x:v>1</x:v>
      </x:c>
      <x:c r="E7" s="35" t="n">
        <x:v>1</x:v>
      </x:c>
      <x:c r="F7" s="35" t="n">
        <x:v>1</x:v>
      </x:c>
      <x:c r="G7" s="35" t="n">
        <x:v>1</x:v>
      </x:c>
      <x:c r="H7" s="35" t="n">
        <x:v>1</x:v>
      </x:c>
      <x:c r="I7" s="35" t="n">
        <x:v>1</x:v>
      </x:c>
      <x:c r="J7" s="35" t="n">
        <x:v>1</x:v>
      </x:c>
      <x:c r="K7" s="35" t="n">
        <x:v>1</x:v>
      </x:c>
      <x:c r="L7" s="35" t="n">
        <x:v>0</x:v>
      </x:c>
      <x:c r="M7" s="35" t="n">
        <x:v>1</x:v>
      </x:c>
      <x:c r="N7" s="29" t="str">
        <x:f>IF(SUM(D7:M7)=10,"PASS","FAIL")</x:f>
        <x:v>FAIL</x:v>
      </x:c>
    </x:row>
    <x:row r="8" ht="18" customHeight="1">
      <x:c r="B8" s="27" t="str">
        <x:v>ATC-2</x:v>
      </x:c>
      <x:c r="C8" s="27" t="str">
        <x:v>Air tile cassette</x:v>
      </x:c>
      <x:c r="D8" s="35" t="n">
        <x:v>1</x:v>
      </x:c>
      <x:c r="E8" s="35" t="n">
        <x:v>1</x:v>
      </x:c>
      <x:c r="F8" s="35" t="n">
        <x:v>1</x:v>
      </x:c>
      <x:c r="G8" s="35" t="n">
        <x:v>1</x:v>
      </x:c>
      <x:c r="H8" s="35" t="n">
        <x:v>1</x:v>
      </x:c>
      <x:c r="I8" s="35" t="n">
        <x:v>1</x:v>
      </x:c>
      <x:c r="J8" s="35" t="n">
        <x:v>1</x:v>
      </x:c>
      <x:c r="K8" s="35" t="n">
        <x:v>1</x:v>
      </x:c>
      <x:c r="L8" s="35" t="n">
        <x:v>1</x:v>
      </x:c>
      <x:c r="M8" s="35" t="n">
        <x:v>1</x:v>
      </x:c>
      <x:c r="N8" s="29" t="str">
        <x:f>IF(SUM(D8:M8)=10,"PASS","FAIL")</x:f>
        <x:v>PASS</x:v>
      </x:c>
    </x:row>
    <x:row r="9" ht="18" customHeight="1">
      <x:c r="B9" s="27" t="str">
        <x:v>ATC-3</x:v>
      </x:c>
      <x:c r="C9" s="27" t="str">
        <x:v>Air tile cassette</x:v>
      </x:c>
      <x:c r="D9" s="35" t="n">
        <x:v>0</x:v>
      </x:c>
      <x:c r="E9" s="35" t="n">
        <x:v>0</x:v>
      </x:c>
      <x:c r="F9" s="35" t="n">
        <x:v>1</x:v>
      </x:c>
      <x:c r="G9" s="35" t="n">
        <x:v>0</x:v>
      </x:c>
      <x:c r="H9" s="35" t="n">
        <x:v>1</x:v>
      </x:c>
      <x:c r="I9" s="35" t="n">
        <x:v>1</x:v>
      </x:c>
      <x:c r="J9" s="35" t="n">
        <x:v>1</x:v>
      </x:c>
      <x:c r="K9" s="35" t="n">
        <x:v>1</x:v>
      </x:c>
      <x:c r="L9" s="35" t="n">
        <x:v>1</x:v>
      </x:c>
      <x:c r="M9" s="35" t="n">
        <x:v>0</x:v>
      </x:c>
      <x:c r="N9" s="29" t="str">
        <x:f>IF(SUM(D9:M9)=10,"PASS","FAIL")</x:f>
        <x:v>FAIL</x:v>
      </x:c>
    </x:row>
    <x:row r="10" ht="18" customHeight="1">
      <x:c r="B10" s="27" t="str">
        <x:v>TTC-1</x:v>
      </x:c>
      <x:c r="C10" s="27" t="str">
        <x:v>Terrain tile cassette</x:v>
      </x:c>
      <x:c r="D10" s="35" t="n">
        <x:v>1</x:v>
      </x:c>
      <x:c r="E10" s="35" t="n">
        <x:v>1</x:v>
      </x:c>
      <x:c r="F10" s="35" t="n">
        <x:v>1</x:v>
      </x:c>
      <x:c r="G10" s="35" t="n">
        <x:v>1</x:v>
      </x:c>
      <x:c r="H10" s="35" t="n">
        <x:v>1</x:v>
      </x:c>
      <x:c r="I10" s="35" t="n">
        <x:v>1</x:v>
      </x:c>
      <x:c r="J10" s="35" t="n">
        <x:v>0</x:v>
      </x:c>
      <x:c r="K10" s="35" t="n">
        <x:v>1</x:v>
      </x:c>
      <x:c r="L10" s="35" t="n">
        <x:v>0</x:v>
      </x:c>
      <x:c r="M10" s="35" t="n">
        <x:v>1</x:v>
      </x:c>
      <x:c r="N10" s="29" t="str">
        <x:f>IF(SUM(D10:M10)=10,"PASS","FAIL")</x:f>
        <x:v>FAIL</x:v>
      </x:c>
    </x:row>
    <x:row r="11" ht="18" customHeight="1">
      <x:c r="B11" s="27" t="str">
        <x:v>TTC-2</x:v>
      </x:c>
      <x:c r="C11" s="27" t="str">
        <x:v>Terrain tile cassette</x:v>
      </x:c>
      <x:c r="D11" s="35" t="n">
        <x:v>1</x:v>
      </x:c>
      <x:c r="E11" s="35" t="n">
        <x:v>1</x:v>
      </x:c>
      <x:c r="F11" s="35" t="n">
        <x:v>1</x:v>
      </x:c>
      <x:c r="G11" s="35" t="n">
        <x:v>1</x:v>
      </x:c>
      <x:c r="H11" s="35" t="n">
        <x:v>1</x:v>
      </x:c>
      <x:c r="I11" s="35" t="n">
        <x:v>1</x:v>
      </x:c>
      <x:c r="J11" s="35" t="n">
        <x:v>1</x:v>
      </x:c>
      <x:c r="K11" s="35" t="n">
        <x:v>1</x:v>
      </x:c>
      <x:c r="L11" s="35" t="n">
        <x:v>1</x:v>
      </x:c>
      <x:c r="M11" s="35" t="n">
        <x:v>1</x:v>
      </x:c>
      <x:c r="N11" s="29" t="str">
        <x:f>IF(SUM(D11:M11)=10,"PASS","FAIL")</x:f>
        <x:v>PASS</x:v>
      </x:c>
    </x:row>
    <x:row r="12" ht="18" customHeight="1">
      <x:c r="B12" s="27" t="str">
        <x:v>TTC-3</x:v>
      </x:c>
      <x:c r="C12" s="27" t="str">
        <x:v>Terrain tile cassette</x:v>
      </x:c>
      <x:c r="D12" s="35" t="n">
        <x:v>0</x:v>
      </x:c>
      <x:c r="E12" s="35" t="n">
        <x:v>1</x:v>
      </x:c>
      <x:c r="F12" s="35" t="n">
        <x:v>0</x:v>
      </x:c>
      <x:c r="G12" s="35" t="n">
        <x:v>0</x:v>
      </x:c>
      <x:c r="H12" s="35" t="n">
        <x:v>1</x:v>
      </x:c>
      <x:c r="I12" s="35" t="n">
        <x:v>1</x:v>
      </x:c>
      <x:c r="J12" s="35" t="n">
        <x:v>1</x:v>
      </x:c>
      <x:c r="K12" s="35" t="n">
        <x:v>1</x:v>
      </x:c>
      <x:c r="L12" s="35" t="n">
        <x:v>1</x:v>
      </x:c>
      <x:c r="M12" s="35" t="n">
        <x:v>0</x:v>
      </x:c>
      <x:c r="N12" s="29" t="str">
        <x:f>IF(SUM(D12:M12)=10,"PASS","FAIL")</x:f>
        <x:v>FAIL</x:v>
      </x:c>
    </x:row>
    <x:row r="13" ht="18" customHeight="1">
      <x:c r="B13" s="27" t="str">
        <x:v>ACN-1</x:v>
      </x:c>
      <x:c r="C13" s="27" t="str">
        <x:v>Air carrier node</x:v>
      </x:c>
      <x:c r="D13" s="35" t="n">
        <x:v>1</x:v>
      </x:c>
      <x:c r="E13" s="35" t="n">
        <x:v>1</x:v>
      </x:c>
      <x:c r="F13" s="35" t="n">
        <x:v>1</x:v>
      </x:c>
      <x:c r="G13" s="35" t="n">
        <x:v>1</x:v>
      </x:c>
      <x:c r="H13" s="35" t="n">
        <x:v>1</x:v>
      </x:c>
      <x:c r="I13" s="35" t="n">
        <x:v>1</x:v>
      </x:c>
      <x:c r="J13" s="35" t="n">
        <x:v>1</x:v>
      </x:c>
      <x:c r="K13" s="35" t="n">
        <x:v>1</x:v>
      </x:c>
      <x:c r="L13" s="35" t="n">
        <x:v>0</x:v>
      </x:c>
      <x:c r="M13" s="35" t="n">
        <x:v>1</x:v>
      </x:c>
      <x:c r="N13" s="29" t="str">
        <x:f>IF(SUM(D13:M13)=10,"PASS","FAIL")</x:f>
        <x:v>FAIL</x:v>
      </x:c>
    </x:row>
    <x:row r="14" ht="18" customHeight="1">
      <x:c r="B14" s="27" t="str">
        <x:v>ACN-2</x:v>
      </x:c>
      <x:c r="C14" s="27" t="str">
        <x:v>Air carrier node</x:v>
      </x:c>
      <x:c r="D14" s="35" t="n">
        <x:v>1</x:v>
      </x:c>
      <x:c r="E14" s="35" t="n">
        <x:v>1</x:v>
      </x:c>
      <x:c r="F14" s="35" t="n">
        <x:v>1</x:v>
      </x:c>
      <x:c r="G14" s="35" t="n">
        <x:v>1</x:v>
      </x:c>
      <x:c r="H14" s="35" t="n">
        <x:v>1</x:v>
      </x:c>
      <x:c r="I14" s="35" t="n">
        <x:v>1</x:v>
      </x:c>
      <x:c r="J14" s="35" t="n">
        <x:v>1</x:v>
      </x:c>
      <x:c r="K14" s="35" t="n">
        <x:v>1</x:v>
      </x:c>
      <x:c r="L14" s="35" t="n">
        <x:v>1</x:v>
      </x:c>
      <x:c r="M14" s="35" t="n">
        <x:v>1</x:v>
      </x:c>
      <x:c r="N14" s="29" t="str">
        <x:f>IF(SUM(D14:M14)=10,"PASS","FAIL")</x:f>
        <x:v>PASS</x:v>
      </x:c>
    </x:row>
    <x:row r="15" ht="18" customHeight="1">
      <x:c r="B15" s="27" t="str">
        <x:v>ACN-3</x:v>
      </x:c>
      <x:c r="C15" s="27" t="str">
        <x:v>Air carrier node</x:v>
      </x:c>
      <x:c r="D15" s="35" t="n">
        <x:v>0</x:v>
      </x:c>
      <x:c r="E15" s="35" t="n">
        <x:v>0</x:v>
      </x:c>
      <x:c r="F15" s="35" t="n">
        <x:v>1</x:v>
      </x:c>
      <x:c r="G15" s="35" t="n">
        <x:v>1</x:v>
      </x:c>
      <x:c r="H15" s="35" t="n">
        <x:v>1</x:v>
      </x:c>
      <x:c r="I15" s="35" t="n">
        <x:v>1</x:v>
      </x:c>
      <x:c r="J15" s="35" t="n">
        <x:v>0</x:v>
      </x:c>
      <x:c r="K15" s="35" t="n">
        <x:v>1</x:v>
      </x:c>
      <x:c r="L15" s="35" t="n">
        <x:v>1</x:v>
      </x:c>
      <x:c r="M15" s="35" t="n">
        <x:v>1</x:v>
      </x:c>
      <x:c r="N15" s="29" t="str">
        <x:f>IF(SUM(D15:M15)=10,"PASS","FAIL")</x:f>
        <x:v>FAIL</x:v>
      </x:c>
    </x:row>
    <x:row r="16" ht="18" customHeight="1">
      <x:c r="B16" s="27" t="str">
        <x:v>TCN-1</x:v>
      </x:c>
      <x:c r="C16" s="27" t="str">
        <x:v>Terrain carrier node</x:v>
      </x:c>
      <x:c r="D16" s="35" t="n">
        <x:v>1</x:v>
      </x:c>
      <x:c r="E16" s="35" t="n">
        <x:v>1</x:v>
      </x:c>
      <x:c r="F16" s="35" t="n">
        <x:v>1</x:v>
      </x:c>
      <x:c r="G16" s="35" t="n">
        <x:v>1</x:v>
      </x:c>
      <x:c r="H16" s="35" t="n">
        <x:v>1</x:v>
      </x:c>
      <x:c r="I16" s="35" t="n">
        <x:v>1</x:v>
      </x:c>
      <x:c r="J16" s="35" t="n">
        <x:v>0</x:v>
      </x:c>
      <x:c r="K16" s="35" t="n">
        <x:v>1</x:v>
      </x:c>
      <x:c r="L16" s="35" t="n">
        <x:v>0</x:v>
      </x:c>
      <x:c r="M16" s="35" t="n">
        <x:v>1</x:v>
      </x:c>
      <x:c r="N16" s="29" t="str">
        <x:f>IF(SUM(D16:M16)=10,"PASS","FAIL")</x:f>
        <x:v>FAIL</x:v>
      </x:c>
    </x:row>
    <x:row r="17" ht="18" customHeight="1">
      <x:c r="B17" s="27" t="str">
        <x:v>TCN-2</x:v>
      </x:c>
      <x:c r="C17" s="27" t="str">
        <x:v>Terrain carrier node</x:v>
      </x:c>
      <x:c r="D17" s="35" t="n">
        <x:v>1</x:v>
      </x:c>
      <x:c r="E17" s="35" t="n">
        <x:v>1</x:v>
      </x:c>
      <x:c r="F17" s="35" t="n">
        <x:v>1</x:v>
      </x:c>
      <x:c r="G17" s="35" t="n">
        <x:v>1</x:v>
      </x:c>
      <x:c r="H17" s="35" t="n">
        <x:v>1</x:v>
      </x:c>
      <x:c r="I17" s="35" t="n">
        <x:v>1</x:v>
      </x:c>
      <x:c r="J17" s="35" t="n">
        <x:v>1</x:v>
      </x:c>
      <x:c r="K17" s="35" t="n">
        <x:v>1</x:v>
      </x:c>
      <x:c r="L17" s="35" t="n">
        <x:v>1</x:v>
      </x:c>
      <x:c r="M17" s="35" t="n">
        <x:v>1</x:v>
      </x:c>
      <x:c r="N17" s="29" t="str">
        <x:f>IF(SUM(D17:M17)=10,"PASS","FAIL")</x:f>
        <x:v>PASS</x:v>
      </x:c>
    </x:row>
    <x:row r="18" ht="18" customHeight="1">
      <x:c r="B18" s="27" t="str">
        <x:v>TCN-3</x:v>
      </x:c>
      <x:c r="C18" s="27" t="str">
        <x:v>Terrain carrier node</x:v>
      </x:c>
      <x:c r="D18" s="35" t="n">
        <x:v>0</x:v>
      </x:c>
      <x:c r="E18" s="35" t="n">
        <x:v>0</x:v>
      </x:c>
      <x:c r="F18" s="35" t="n">
        <x:v>1</x:v>
      </x:c>
      <x:c r="G18" s="35" t="n">
        <x:v>0</x:v>
      </x:c>
      <x:c r="H18" s="35" t="n">
        <x:v>1</x:v>
      </x:c>
      <x:c r="I18" s="35" t="n">
        <x:v>1</x:v>
      </x:c>
      <x:c r="J18" s="35" t="n">
        <x:v>0</x:v>
      </x:c>
      <x:c r="K18" s="35" t="n">
        <x:v>1</x:v>
      </x:c>
      <x:c r="L18" s="35" t="n">
        <x:v>1</x:v>
      </x:c>
      <x:c r="M18" s="35" t="n">
        <x:v>0</x:v>
      </x:c>
      <x:c r="N18" s="29" t="str">
        <x:f>IF(SUM(D18:M18)=10,"PASS","FAIL")</x:f>
        <x:v>FAIL</x:v>
      </x:c>
    </x:row>
    <x:row r="19" ht="18" customHeight="1">
      <x:c r="B19" s="27" t="str">
        <x:v>CRS-1</x:v>
      </x:c>
      <x:c r="C19" s="27" t="str">
        <x:v>Civil receiver</x:v>
      </x:c>
      <x:c r="D19" s="35" t="n">
        <x:v>1</x:v>
      </x:c>
      <x:c r="E19" s="35" t="n">
        <x:v>1</x:v>
      </x:c>
      <x:c r="F19" s="35" t="n">
        <x:v>1</x:v>
      </x:c>
      <x:c r="G19" s="35" t="n">
        <x:v>1</x:v>
      </x:c>
      <x:c r="H19" s="35" t="n">
        <x:v>1</x:v>
      </x:c>
      <x:c r="I19" s="35" t="n">
        <x:v>1</x:v>
      </x:c>
      <x:c r="J19" s="35" t="n">
        <x:v>1</x:v>
      </x:c>
      <x:c r="K19" s="35" t="n">
        <x:v>1</x:v>
      </x:c>
      <x:c r="L19" s="35" t="n">
        <x:v>1</x:v>
      </x:c>
      <x:c r="M19" s="35" t="n">
        <x:v>1</x:v>
      </x:c>
      <x:c r="N19" s="29" t="str">
        <x:f>IF(SUM(D19:M19)=10,"PASS","FAIL")</x:f>
        <x:v>PASS</x:v>
      </x:c>
    </x:row>
    <x:row r="20" ht="18" customHeight="1">
      <x:c r="B20" s="27" t="str">
        <x:v>CRS-2</x:v>
      </x:c>
      <x:c r="C20" s="27" t="str">
        <x:v>Civil receiver</x:v>
      </x:c>
      <x:c r="D20" s="35" t="n">
        <x:v>1</x:v>
      </x:c>
      <x:c r="E20" s="35" t="n">
        <x:v>1</x:v>
      </x:c>
      <x:c r="F20" s="35" t="n">
        <x:v>1</x:v>
      </x:c>
      <x:c r="G20" s="35" t="n">
        <x:v>1</x:v>
      </x:c>
      <x:c r="H20" s="35" t="n">
        <x:v>1</x:v>
      </x:c>
      <x:c r="I20" s="35" t="n">
        <x:v>1</x:v>
      </x:c>
      <x:c r="J20" s="35" t="n">
        <x:v>1</x:v>
      </x:c>
      <x:c r="K20" s="35" t="n">
        <x:v>1</x:v>
      </x:c>
      <x:c r="L20" s="35" t="n">
        <x:v>1</x:v>
      </x:c>
      <x:c r="M20" s="35" t="n">
        <x:v>1</x:v>
      </x:c>
      <x:c r="N20" s="29" t="str">
        <x:f>IF(SUM(D20:M20)=10,"PASS","FAIL")</x:f>
        <x:v>PASS</x:v>
      </x:c>
    </x:row>
    <x:row r="21" ht="18" customHeight="1">
      <x:c r="B21" s="27" t="str">
        <x:v>CRS-3</x:v>
      </x:c>
      <x:c r="C21" s="27" t="str">
        <x:v>Civil receiver</x:v>
      </x:c>
      <x:c r="D21" s="35" t="n">
        <x:v>1</x:v>
      </x:c>
      <x:c r="E21" s="35" t="n">
        <x:v>1</x:v>
      </x:c>
      <x:c r="F21" s="35" t="n">
        <x:v>0</x:v>
      </x:c>
      <x:c r="G21" s="35" t="n">
        <x:v>0</x:v>
      </x:c>
      <x:c r="H21" s="35" t="n">
        <x:v>1</x:v>
      </x:c>
      <x:c r="I21" s="35" t="n">
        <x:v>1</x:v>
      </x:c>
      <x:c r="J21" s="35" t="n">
        <x:v>1</x:v>
      </x:c>
      <x:c r="K21" s="35" t="n">
        <x:v>1</x:v>
      </x:c>
      <x:c r="L21" s="35" t="n">
        <x:v>0</x:v>
      </x:c>
      <x:c r="M21" s="35" t="n">
        <x:v>0</x:v>
      </x:c>
      <x:c r="N21" s="29" t="str">
        <x:f>IF(SUM(D21:M21)=10,"PASS","FAIL")</x:f>
        <x:v>FAIL</x:v>
      </x:c>
    </x:row>
    <x:row r="22" ht="18" customHeight="1">
      <x:c r="B22" s="27" t="str">
        <x:v>PSS-1</x:v>
      </x:c>
      <x:c r="C22" s="27" t="str">
        <x:v>Pressure skin</x:v>
      </x:c>
      <x:c r="D22" s="35" t="n">
        <x:v>1</x:v>
      </x:c>
      <x:c r="E22" s="35" t="n">
        <x:v>1</x:v>
      </x:c>
      <x:c r="F22" s="35" t="n">
        <x:v>1</x:v>
      </x:c>
      <x:c r="G22" s="35" t="n">
        <x:v>1</x:v>
      </x:c>
      <x:c r="H22" s="35" t="n">
        <x:v>1</x:v>
      </x:c>
      <x:c r="I22" s="35" t="n">
        <x:v>1</x:v>
      </x:c>
      <x:c r="J22" s="35" t="n">
        <x:v>1</x:v>
      </x:c>
      <x:c r="K22" s="35" t="n">
        <x:v>1</x:v>
      </x:c>
      <x:c r="L22" s="35" t="n">
        <x:v>1</x:v>
      </x:c>
      <x:c r="M22" s="35" t="n">
        <x:v>1</x:v>
      </x:c>
      <x:c r="N22" s="29" t="str">
        <x:f>IF(SUM(D22:M22)=10,"PASS","FAIL")</x:f>
        <x:v>PASS</x:v>
      </x:c>
    </x:row>
    <x:row r="23" ht="18" customHeight="1">
      <x:c r="B23" s="27" t="str">
        <x:v>PSS-2</x:v>
      </x:c>
      <x:c r="C23" s="27" t="str">
        <x:v>Pressure skin</x:v>
      </x:c>
      <x:c r="D23" s="35" t="n">
        <x:v>1</x:v>
      </x:c>
      <x:c r="E23" s="35" t="n">
        <x:v>1</x:v>
      </x:c>
      <x:c r="F23" s="35" t="n">
        <x:v>1</x:v>
      </x:c>
      <x:c r="G23" s="35" t="n">
        <x:v>1</x:v>
      </x:c>
      <x:c r="H23" s="35" t="n">
        <x:v>1</x:v>
      </x:c>
      <x:c r="I23" s="35" t="n">
        <x:v>1</x:v>
      </x:c>
      <x:c r="J23" s="35" t="n">
        <x:v>1</x:v>
      </x:c>
      <x:c r="K23" s="35" t="n">
        <x:v>1</x:v>
      </x:c>
      <x:c r="L23" s="35" t="n">
        <x:v>0</x:v>
      </x:c>
      <x:c r="M23" s="35" t="n">
        <x:v>1</x:v>
      </x:c>
      <x:c r="N23" s="29" t="str">
        <x:f>IF(SUM(D23:M23)=10,"PASS","FAIL")</x:f>
        <x:v>FAIL</x:v>
      </x:c>
    </x:row>
    <x:row r="24" ht="18" customHeight="1">
      <x:c r="B24" s="27" t="str">
        <x:v>PSS-3</x:v>
      </x:c>
      <x:c r="C24" s="27" t="str">
        <x:v>Pressure skin</x:v>
      </x:c>
      <x:c r="D24" s="35" t="n">
        <x:v>1</x:v>
      </x:c>
      <x:c r="E24" s="35" t="n">
        <x:v>1</x:v>
      </x:c>
      <x:c r="F24" s="35" t="n">
        <x:v>1</x:v>
      </x:c>
      <x:c r="G24" s="35" t="n">
        <x:v>1</x:v>
      </x:c>
      <x:c r="H24" s="35" t="n">
        <x:v>1</x:v>
      </x:c>
      <x:c r="I24" s="35" t="n">
        <x:v>1</x:v>
      </x:c>
      <x:c r="J24" s="35" t="n">
        <x:v>1</x:v>
      </x:c>
      <x:c r="K24" s="35" t="n">
        <x:v>1</x:v>
      </x:c>
      <x:c r="L24" s="35" t="n">
        <x:v>1</x:v>
      </x:c>
      <x:c r="M24" s="35" t="n">
        <x:v>1</x:v>
      </x:c>
      <x:c r="N24" s="29" t="str">
        <x:f>IF(SUM(D24:M24)=10,"PASS","FAIL")</x:f>
        <x:v>PASS</x:v>
      </x:c>
    </x:row>
    <x:row r="25" ht="18" customHeight="1">
      <x:c r="B25" s="27" t="str">
        <x:v>PIF-1</x:v>
      </x:c>
      <x:c r="C25" s="27" t="str">
        <x:v>Passive interface</x:v>
      </x:c>
      <x:c r="D25" s="35" t="n">
        <x:v>1</x:v>
      </x:c>
      <x:c r="E25" s="35" t="n">
        <x:v>1</x:v>
      </x:c>
      <x:c r="F25" s="35" t="n">
        <x:v>0</x:v>
      </x:c>
      <x:c r="G25" s="35" t="n">
        <x:v>0</x:v>
      </x:c>
      <x:c r="H25" s="35" t="n">
        <x:v>1</x:v>
      </x:c>
      <x:c r="I25" s="35" t="n">
        <x:v>1</x:v>
      </x:c>
      <x:c r="J25" s="35" t="n">
        <x:v>1</x:v>
      </x:c>
      <x:c r="K25" s="35" t="n">
        <x:v>1</x:v>
      </x:c>
      <x:c r="L25" s="35" t="n">
        <x:v>1</x:v>
      </x:c>
      <x:c r="M25" s="35" t="n">
        <x:v>1</x:v>
      </x:c>
      <x:c r="N25" s="29" t="str">
        <x:f>IF(SUM(D25:M25)=10,"PASS","FAIL")</x:f>
        <x:v>FAIL</x:v>
      </x:c>
    </x:row>
    <x:row r="26" ht="18" customHeight="1">
      <x:c r="B26" s="27" t="str">
        <x:v>PIF-2</x:v>
      </x:c>
      <x:c r="C26" s="27" t="str">
        <x:v>Passive interface</x:v>
      </x:c>
      <x:c r="D26" s="35" t="n">
        <x:v>1</x:v>
      </x:c>
      <x:c r="E26" s="35" t="n">
        <x:v>1</x:v>
      </x:c>
      <x:c r="F26" s="35" t="n">
        <x:v>1</x:v>
      </x:c>
      <x:c r="G26" s="35" t="n">
        <x:v>0</x:v>
      </x:c>
      <x:c r="H26" s="35" t="n">
        <x:v>1</x:v>
      </x:c>
      <x:c r="I26" s="35" t="n">
        <x:v>1</x:v>
      </x:c>
      <x:c r="J26" s="35" t="n">
        <x:v>1</x:v>
      </x:c>
      <x:c r="K26" s="35" t="n">
        <x:v>1</x:v>
      </x:c>
      <x:c r="L26" s="35" t="n">
        <x:v>1</x:v>
      </x:c>
      <x:c r="M26" s="35" t="n">
        <x:v>1</x:v>
      </x:c>
      <x:c r="N26" s="29" t="str">
        <x:f>IF(SUM(D26:M26)=10,"PASS","FAIL")</x:f>
        <x:v>FAIL</x:v>
      </x:c>
    </x:row>
    <x:row r="27" ht="18" customHeight="1">
      <x:c r="B27" s="27" t="str">
        <x:v>PIF-3</x:v>
      </x:c>
      <x:c r="C27" s="27" t="str">
        <x:v>Passive interface</x:v>
      </x:c>
      <x:c r="D27" s="35" t="n">
        <x:v>1</x:v>
      </x:c>
      <x:c r="E27" s="35" t="n">
        <x:v>1</x:v>
      </x:c>
      <x:c r="F27" s="35" t="n">
        <x:v>1</x:v>
      </x:c>
      <x:c r="G27" s="35" t="n">
        <x:v>1</x:v>
      </x:c>
      <x:c r="H27" s="35" t="n">
        <x:v>1</x:v>
      </x:c>
      <x:c r="I27" s="35" t="n">
        <x:v>1</x:v>
      </x:c>
      <x:c r="J27" s="35" t="n">
        <x:v>1</x:v>
      </x:c>
      <x:c r="K27" s="35" t="n">
        <x:v>1</x:v>
      </x:c>
      <x:c r="L27" s="35" t="n">
        <x:v>1</x:v>
      </x:c>
      <x:c r="M27" s="35" t="n">
        <x:v>1</x:v>
      </x:c>
      <x:c r="N27" s="29" t="str">
        <x:f>IF(SUM(D27:M27)=10,"PASS","FAIL")</x:f>
        <x:v>PASS</x:v>
      </x:c>
    </x:row>
    <x:row r="28" ht="18" customHeight="1">
      <x:c r="B28" s="27" t="str">
        <x:v>EPS-1</x:v>
      </x:c>
      <x:c r="C28" s="27" t="str">
        <x:v>Independent energy</x:v>
      </x:c>
      <x:c r="D28" s="35" t="n">
        <x:v>1</x:v>
      </x:c>
      <x:c r="E28" s="35" t="n">
        <x:v>1</x:v>
      </x:c>
      <x:c r="F28" s="35" t="n">
        <x:v>1</x:v>
      </x:c>
      <x:c r="G28" s="35" t="n">
        <x:v>1</x:v>
      </x:c>
      <x:c r="H28" s="35" t="n">
        <x:v>1</x:v>
      </x:c>
      <x:c r="I28" s="35" t="n">
        <x:v>1</x:v>
      </x:c>
      <x:c r="J28" s="35" t="n">
        <x:v>1</x:v>
      </x:c>
      <x:c r="K28" s="35" t="n">
        <x:v>1</x:v>
      </x:c>
      <x:c r="L28" s="35" t="n">
        <x:v>1</x:v>
      </x:c>
      <x:c r="M28" s="35" t="n">
        <x:v>1</x:v>
      </x:c>
      <x:c r="N28" s="29" t="str">
        <x:f>IF(SUM(D28:M28)=10,"PASS","FAIL")</x:f>
        <x:v>PASS</x:v>
      </x:c>
    </x:row>
    <x:row r="29" ht="18" customHeight="1">
      <x:c r="B29" s="27" t="str">
        <x:v>EPS-2</x:v>
      </x:c>
      <x:c r="C29" s="27" t="str">
        <x:v>Independent energy</x:v>
      </x:c>
      <x:c r="D29" s="35" t="n">
        <x:v>1</x:v>
      </x:c>
      <x:c r="E29" s="35" t="n">
        <x:v>1</x:v>
      </x:c>
      <x:c r="F29" s="35" t="n">
        <x:v>1</x:v>
      </x:c>
      <x:c r="G29" s="35" t="n">
        <x:v>1</x:v>
      </x:c>
      <x:c r="H29" s="35" t="n">
        <x:v>1</x:v>
      </x:c>
      <x:c r="I29" s="35" t="n">
        <x:v>1</x:v>
      </x:c>
      <x:c r="J29" s="35" t="n">
        <x:v>1</x:v>
      </x:c>
      <x:c r="K29" s="35" t="n">
        <x:v>1</x:v>
      </x:c>
      <x:c r="L29" s="35" t="n">
        <x:v>1</x:v>
      </x:c>
      <x:c r="M29" s="35" t="n">
        <x:v>1</x:v>
      </x:c>
      <x:c r="N29" s="29" t="str">
        <x:f>IF(SUM(D29:M29)=10,"PASS","FAIL")</x:f>
        <x:v>PASS</x:v>
      </x:c>
    </x:row>
    <x:row r="30" ht="18" customHeight="1">
      <x:c r="B30" s="27" t="str">
        <x:v>EPS-3</x:v>
      </x:c>
      <x:c r="C30" s="27" t="str">
        <x:v>Independent energy</x:v>
      </x:c>
      <x:c r="D30" s="35" t="n">
        <x:v>1</x:v>
      </x:c>
      <x:c r="E30" s="35" t="n">
        <x:v>1</x:v>
      </x:c>
      <x:c r="F30" s="35" t="n">
        <x:v>1</x:v>
      </x:c>
      <x:c r="G30" s="35" t="n">
        <x:v>1</x:v>
      </x:c>
      <x:c r="H30" s="35" t="n">
        <x:v>1</x:v>
      </x:c>
      <x:c r="I30" s="35" t="n">
        <x:v>0</x:v>
      </x:c>
      <x:c r="J30" s="35" t="n">
        <x:v>0</x:v>
      </x:c>
      <x:c r="K30" s="35" t="n">
        <x:v>1</x:v>
      </x:c>
      <x:c r="L30" s="35" t="n">
        <x:v>1</x:v>
      </x:c>
      <x:c r="M30" s="35" t="n">
        <x:v>1</x:v>
      </x:c>
      <x:c r="N30" s="29" t="str">
        <x:f>IF(SUM(D30:M30)=10,"PASS","FAIL")</x:f>
        <x:v>FAIL</x:v>
      </x:c>
    </x:row>
    <x:row r="31" ht="18" customHeight="1">
      <x:c r="B31" s="27" t="str">
        <x:v>TKS-1</x:v>
      </x:c>
      <x:c r="C31" s="27" t="str">
        <x:v>Denied time</x:v>
      </x:c>
      <x:c r="D31" s="35" t="n">
        <x:v>1</x:v>
      </x:c>
      <x:c r="E31" s="35" t="n">
        <x:v>1</x:v>
      </x:c>
      <x:c r="F31" s="35" t="n">
        <x:v>1</x:v>
      </x:c>
      <x:c r="G31" s="35" t="n">
        <x:v>0</x:v>
      </x:c>
      <x:c r="H31" s="35" t="n">
        <x:v>1</x:v>
      </x:c>
      <x:c r="I31" s="35" t="n">
        <x:v>1</x:v>
      </x:c>
      <x:c r="J31" s="35" t="n">
        <x:v>1</x:v>
      </x:c>
      <x:c r="K31" s="35" t="n">
        <x:v>1</x:v>
      </x:c>
      <x:c r="L31" s="35" t="n">
        <x:v>1</x:v>
      </x:c>
      <x:c r="M31" s="35" t="n">
        <x:v>1</x:v>
      </x:c>
      <x:c r="N31" s="29" t="str">
        <x:f>IF(SUM(D31:M31)=10,"PASS","FAIL")</x:f>
        <x:v>FAIL</x:v>
      </x:c>
    </x:row>
    <x:row r="32" ht="18" customHeight="1">
      <x:c r="B32" s="27" t="str">
        <x:v>TKS-2</x:v>
      </x:c>
      <x:c r="C32" s="27" t="str">
        <x:v>Denied time</x:v>
      </x:c>
      <x:c r="D32" s="35" t="n">
        <x:v>1</x:v>
      </x:c>
      <x:c r="E32" s="35" t="n">
        <x:v>1</x:v>
      </x:c>
      <x:c r="F32" s="35" t="n">
        <x:v>1</x:v>
      </x:c>
      <x:c r="G32" s="35" t="n">
        <x:v>1</x:v>
      </x:c>
      <x:c r="H32" s="35" t="n">
        <x:v>1</x:v>
      </x:c>
      <x:c r="I32" s="35" t="n">
        <x:v>1</x:v>
      </x:c>
      <x:c r="J32" s="35" t="n">
        <x:v>1</x:v>
      </x:c>
      <x:c r="K32" s="35" t="n">
        <x:v>1</x:v>
      </x:c>
      <x:c r="L32" s="35" t="n">
        <x:v>1</x:v>
      </x:c>
      <x:c r="M32" s="35" t="n">
        <x:v>1</x:v>
      </x:c>
      <x:c r="N32" s="29" t="str">
        <x:f>IF(SUM(D32:M32)=10,"PASS","FAIL")</x:f>
        <x:v>PASS</x:v>
      </x:c>
    </x:row>
    <x:row r="33" ht="18" customHeight="1">
      <x:c r="B33" s="27" t="str">
        <x:v>TKS-3</x:v>
      </x:c>
      <x:c r="C33" s="27" t="str">
        <x:v>Denied time</x:v>
      </x:c>
      <x:c r="D33" s="35" t="n">
        <x:v>1</x:v>
      </x:c>
      <x:c r="E33" s="35" t="n">
        <x:v>1</x:v>
      </x:c>
      <x:c r="F33" s="35" t="n">
        <x:v>0</x:v>
      </x:c>
      <x:c r="G33" s="35" t="n">
        <x:v>0</x:v>
      </x:c>
      <x:c r="H33" s="35" t="n">
        <x:v>1</x:v>
      </x:c>
      <x:c r="I33" s="35" t="n">
        <x:v>1</x:v>
      </x:c>
      <x:c r="J33" s="35" t="n">
        <x:v>1</x:v>
      </x:c>
      <x:c r="K33" s="35" t="n">
        <x:v>1</x:v>
      </x:c>
      <x:c r="L33" s="35" t="n">
        <x:v>1</x:v>
      </x:c>
      <x:c r="M33" s="35" t="n">
        <x:v>0</x:v>
      </x:c>
      <x:c r="N33" s="29" t="str">
        <x:f>IF(SUM(D33:M33)=10,"PASS","FAIL")</x:f>
        <x:v>FAIL</x:v>
      </x:c>
    </x:row>
    <x:row r="34" ht="18" customHeight="1">
      <x:c r="B34" s="27" t="str">
        <x:v>STG-1</x:v>
      </x:c>
      <x:c r="C34" s="27" t="str">
        <x:v>Immutable storage</x:v>
      </x:c>
      <x:c r="D34" s="35" t="n">
        <x:v>1</x:v>
      </x:c>
      <x:c r="E34" s="35" t="n">
        <x:v>1</x:v>
      </x:c>
      <x:c r="F34" s="35" t="n">
        <x:v>1</x:v>
      </x:c>
      <x:c r="G34" s="35" t="n">
        <x:v>1</x:v>
      </x:c>
      <x:c r="H34" s="35" t="n">
        <x:v>1</x:v>
      </x:c>
      <x:c r="I34" s="35" t="n">
        <x:v>1</x:v>
      </x:c>
      <x:c r="J34" s="35" t="n">
        <x:v>1</x:v>
      </x:c>
      <x:c r="K34" s="35" t="n">
        <x:v>1</x:v>
      </x:c>
      <x:c r="L34" s="35" t="n">
        <x:v>0</x:v>
      </x:c>
      <x:c r="M34" s="35" t="n">
        <x:v>1</x:v>
      </x:c>
      <x:c r="N34" s="29" t="str">
        <x:f>IF(SUM(D34:M34)=10,"PASS","FAIL")</x:f>
        <x:v>FAIL</x:v>
      </x:c>
    </x:row>
    <x:row r="35" ht="18" customHeight="1">
      <x:c r="B35" s="27" t="str">
        <x:v>STG-2</x:v>
      </x:c>
      <x:c r="C35" s="27" t="str">
        <x:v>Immutable storage</x:v>
      </x:c>
      <x:c r="D35" s="35" t="n">
        <x:v>1</x:v>
      </x:c>
      <x:c r="E35" s="35" t="n">
        <x:v>1</x:v>
      </x:c>
      <x:c r="F35" s="35" t="n">
        <x:v>1</x:v>
      </x:c>
      <x:c r="G35" s="35" t="n">
        <x:v>1</x:v>
      </x:c>
      <x:c r="H35" s="35" t="n">
        <x:v>1</x:v>
      </x:c>
      <x:c r="I35" s="35" t="n">
        <x:v>1</x:v>
      </x:c>
      <x:c r="J35" s="35" t="n">
        <x:v>1</x:v>
      </x:c>
      <x:c r="K35" s="35" t="n">
        <x:v>1</x:v>
      </x:c>
      <x:c r="L35" s="35" t="n">
        <x:v>1</x:v>
      </x:c>
      <x:c r="M35" s="35" t="n">
        <x:v>1</x:v>
      </x:c>
      <x:c r="N35" s="29" t="str">
        <x:f>IF(SUM(D35:M35)=10,"PASS","FAIL")</x:f>
        <x:v>PASS</x:v>
      </x:c>
    </x:row>
    <x:row r="36" ht="18" customHeight="1">
      <x:c r="B36" s="27" t="str">
        <x:v>STG-3</x:v>
      </x:c>
      <x:c r="C36" s="27" t="str">
        <x:v>Immutable storage</x:v>
      </x:c>
      <x:c r="D36" s="35" t="n">
        <x:v>1</x:v>
      </x:c>
      <x:c r="E36" s="35" t="n">
        <x:v>0</x:v>
      </x:c>
      <x:c r="F36" s="35" t="n">
        <x:v>1</x:v>
      </x:c>
      <x:c r="G36" s="35" t="n">
        <x:v>0</x:v>
      </x:c>
      <x:c r="H36" s="35" t="n">
        <x:v>1</x:v>
      </x:c>
      <x:c r="I36" s="35" t="n">
        <x:v>1</x:v>
      </x:c>
      <x:c r="J36" s="35" t="n">
        <x:v>1</x:v>
      </x:c>
      <x:c r="K36" s="35" t="n">
        <x:v>1</x:v>
      </x:c>
      <x:c r="L36" s="35" t="n">
        <x:v>1</x:v>
      </x:c>
      <x:c r="M36" s="35" t="n">
        <x:v>0</x:v>
      </x:c>
      <x:c r="N36" s="29" t="str">
        <x:f>IF(SUM(D36:M36)=10,"PASS","FAIL")</x:f>
        <x:v>FAIL</x:v>
      </x:c>
    </x:row>
    <x:row r="37" ht="18" customHeight="1">
      <x:c r="B37" s="27" t="str">
        <x:v>MHE-1</x:v>
      </x:c>
      <x:c r="C37" s="27" t="str">
        <x:v>Mass and heat emulator</x:v>
      </x:c>
      <x:c r="D37" s="35" t="n">
        <x:v>1</x:v>
      </x:c>
      <x:c r="E37" s="35" t="n">
        <x:v>1</x:v>
      </x:c>
      <x:c r="F37" s="35" t="n">
        <x:v>1</x:v>
      </x:c>
      <x:c r="G37" s="35" t="n">
        <x:v>1</x:v>
      </x:c>
      <x:c r="H37" s="35" t="n">
        <x:v>1</x:v>
      </x:c>
      <x:c r="I37" s="35" t="n">
        <x:v>0</x:v>
      </x:c>
      <x:c r="J37" s="35" t="n">
        <x:v>1</x:v>
      </x:c>
      <x:c r="K37" s="35" t="n">
        <x:v>1</x:v>
      </x:c>
      <x:c r="L37" s="35" t="n">
        <x:v>0</x:v>
      </x:c>
      <x:c r="M37" s="35" t="n">
        <x:v>1</x:v>
      </x:c>
      <x:c r="N37" s="29" t="str">
        <x:f>IF(SUM(D37:M37)=10,"PASS","FAIL")</x:f>
        <x:v>FAIL</x:v>
      </x:c>
    </x:row>
    <x:row r="38" ht="18" customHeight="1">
      <x:c r="B38" s="27" t="str">
        <x:v>MHE-2</x:v>
      </x:c>
      <x:c r="C38" s="27" t="str">
        <x:v>Mass and heat emulator</x:v>
      </x:c>
      <x:c r="D38" s="35" t="n">
        <x:v>1</x:v>
      </x:c>
      <x:c r="E38" s="35" t="n">
        <x:v>1</x:v>
      </x:c>
      <x:c r="F38" s="35" t="n">
        <x:v>0</x:v>
      </x:c>
      <x:c r="G38" s="35" t="n">
        <x:v>1</x:v>
      </x:c>
      <x:c r="H38" s="35" t="n">
        <x:v>1</x:v>
      </x:c>
      <x:c r="I38" s="35" t="n">
        <x:v>1</x:v>
      </x:c>
      <x:c r="J38" s="35" t="n">
        <x:v>1</x:v>
      </x:c>
      <x:c r="K38" s="35" t="n">
        <x:v>1</x:v>
      </x:c>
      <x:c r="L38" s="35" t="n">
        <x:v>1</x:v>
      </x:c>
      <x:c r="M38" s="35" t="n">
        <x:v>1</x:v>
      </x:c>
      <x:c r="N38" s="29" t="str">
        <x:f>IF(SUM(D38:M38)=10,"PASS","FAIL")</x:f>
        <x:v>FAIL</x:v>
      </x:c>
    </x:row>
    <x:row r="39" ht="18" customHeight="1">
      <x:c r="B39" s="31" t="str">
        <x:v>MHE-3</x:v>
      </x:c>
      <x:c r="C39" s="31" t="str">
        <x:v>Mass and heat emulator</x:v>
      </x:c>
      <x:c r="D39" s="36" t="n">
        <x:v>1</x:v>
      </x:c>
      <x:c r="E39" s="36" t="n">
        <x:v>1</x:v>
      </x:c>
      <x:c r="F39" s="36" t="n">
        <x:v>1</x:v>
      </x:c>
      <x:c r="G39" s="36" t="n">
        <x:v>1</x:v>
      </x:c>
      <x:c r="H39" s="36" t="n">
        <x:v>1</x:v>
      </x:c>
      <x:c r="I39" s="36" t="n">
        <x:v>1</x:v>
      </x:c>
      <x:c r="J39" s="36" t="n">
        <x:v>1</x:v>
      </x:c>
      <x:c r="K39" s="36" t="n">
        <x:v>1</x:v>
      </x:c>
      <x:c r="L39" s="36" t="n">
        <x:v>1</x:v>
      </x:c>
      <x:c r="M39" s="36" t="n">
        <x:v>1</x:v>
      </x:c>
      <x:c r="N39" s="33" t="str">
        <x:f>IF(SUM(D39:M39)=10,"PASS","FAIL")</x:f>
        <x:v>PASS</x:v>
      </x:c>
    </x:row>
    <x:row r="40" ht="18" customHeight="1"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18" customHeight="1"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18" customHeight="1"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</x:sheetData>
  <x:mergeCells>
    <x:mergeCell ref="B3:N3"/>
  </x:mergeCells>
  <x:conditionalFormatting sqref="N7:N39">
    <x:cfRule type="containsText" dxfId="0" priority="1" operator="containsText" text="OPEN"/>
    <x:cfRule type="containsText" dxfId="1" priority="2" operator="containsText" text="HOLD"/>
    <x:cfRule type="containsText" dxfId="2" priority="3" operator="containsText" text="BLOCKED"/>
    <x:cfRule type="containsText" dxfId="3" priority="4" operator="containsText" text="REJECT"/>
    <x:cfRule type="containsText" dxfId="4" priority="5" operator="containsText" text="FAIL"/>
    <x:cfRule type="containsText" dxfId="5" priority="6" operator="containsText" text="SELECTED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4" hidden="0" customWidth="1"/>
    <x:col min="3" max="3" width="26" hidden="0" customWidth="1"/>
    <x:col min="4" max="4" width="13" hidden="0" customWidth="1"/>
    <x:col min="5" max="5" width="28" hidden="0" customWidth="1"/>
    <x:col min="6" max="6" width="13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6" hidden="0" customWidth="1"/>
    <x:col min="12" max="12" width="48" hidden="0" customWidth="1"/>
    <x:col min="13" max="13" width="21" hidden="0" customWidth="1"/>
    <x:col min="14" max="14" width="16" hidden="0" customWidth="1"/>
    <x:col min="15" max="15" width="28" hidden="0" customWidth="1"/>
  </x:cols>
  <x:sheetData>
    <x:row r="2" ht="18" customHeight="1">
      <x:c r="B2" s="3" t="str">
        <x:v>Serial prototype baseline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18" customHeight="1">
      <x:c r="B3" s="4" t="str">
        <x:v>The selected record fixes burden and interfaces for P01-P08. Submodules are already included in their host node mass.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18" customHeight="1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</x:row>
    <x:row r="5" ht="18" customHeight="1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18" customHeight="1">
      <x:c r="B6" s="25" t="str">
        <x:v>Serial prefix</x:v>
      </x:c>
      <x:c r="C6" s="26" t="str">
        <x:v>Subsystem</x:v>
      </x:c>
      <x:c r="D6" s="26" t="str">
        <x:v>Architecture</x:v>
      </x:c>
      <x:c r="E6" s="26" t="str">
        <x:v>Installed in</x:v>
      </x:c>
      <x:c r="F6" s="26" t="str">
        <x:v>Mass kg</x:v>
      </x:c>
      <x:c r="G6" s="26" t="str">
        <x:v>Volume m3</x:v>
      </x:c>
      <x:c r="H6" s="26" t="str">
        <x:v>Average W</x:v>
      </x:c>
      <x:c r="I6" s="26" t="str">
        <x:v>Peak W</x:v>
      </x:c>
      <x:c r="J6" s="26" t="str">
        <x:v>Storage TB</x:v>
      </x:c>
      <x:c r="K6" s="26" t="str">
        <x:v>Additive to host</x:v>
      </x:c>
      <x:c r="L6" s="26" t="str">
        <x:v>Configuration rule</x:v>
      </x:c>
      <x:c r="M6" s="26" t="str">
        <x:v>Config state</x:v>
      </x:c>
      <x:c r="N6" s="26" t="str">
        <x:v>Evidence state</x:v>
      </x:c>
      <x:c r="O6" s="26" t="str">
        <x:v>Change consequence</x:v>
      </x:c>
    </x:row>
    <x:row r="7" ht="29" customHeight="1">
      <x:c r="B7" s="27" t="str">
        <x:v>ATC-A01</x:v>
      </x:c>
      <x:c r="C7" s="27" t="str">
        <x:v>Air tile cassette</x:v>
      </x:c>
      <x:c r="D7" s="27" t="str">
        <x:v>ATC-2</x:v>
      </x:c>
      <x:c r="E7" s="38" t="str">
        <x:v>air service tiles</x:v>
      </x:c>
      <x:c r="F7" s="38" t="n">
        <x:v>110</x:v>
      </x:c>
      <x:c r="G7" s="38" t="n">
        <x:v>0.22</x:v>
      </x:c>
      <x:c r="H7" s="38" t="n">
        <x:v>55</x:v>
      </x:c>
      <x:c r="I7" s="38" t="n">
        <x:v>180</x:v>
      </x:c>
      <x:c r="J7" s="38" t="n">
        <x:v>8</x:v>
      </x:c>
      <x:c r="K7" s="27" t="n">
        <x:v>1</x:v>
      </x:c>
      <x:c r="L7" s="27" t="str">
        <x:v>three isolated zones; two surviving zones retain critical record</x:v>
      </x:c>
      <x:c r="M7" s="27" t="str">
        <x:v>PROTOTYPE BASELINE</x:v>
      </x:c>
      <x:c r="N7" s="27" t="str">
        <x:v>OPEN</x:v>
      </x:c>
      <x:c r="O7" s="29" t="str">
        <x:v>repeat every affected campaign</x:v>
      </x:c>
    </x:row>
    <x:row r="8" ht="29" customHeight="1">
      <x:c r="B8" s="27" t="str">
        <x:v>TTC-T01</x:v>
      </x:c>
      <x:c r="C8" s="27" t="str">
        <x:v>Terrain tile cassette</x:v>
      </x:c>
      <x:c r="D8" s="27" t="str">
        <x:v>TTC-2</x:v>
      </x:c>
      <x:c r="E8" s="38" t="str">
        <x:v>terrain service tiles</x:v>
      </x:c>
      <x:c r="F8" s="38" t="n">
        <x:v>135</x:v>
      </x:c>
      <x:c r="G8" s="38" t="n">
        <x:v>0.28</x:v>
      </x:c>
      <x:c r="H8" s="38" t="n">
        <x:v>65</x:v>
      </x:c>
      <x:c r="I8" s="38" t="n">
        <x:v>220</x:v>
      </x:c>
      <x:c r="J8" s="38" t="n">
        <x:v>8</x:v>
      </x:c>
      <x:c r="K8" s="27" t="n">
        <x:v>1</x:v>
      </x:c>
      <x:c r="L8" s="27" t="str">
        <x:v>four conformal pods; three retain critical record</x:v>
      </x:c>
      <x:c r="M8" s="27" t="str">
        <x:v>PROTOTYPE BASELINE</x:v>
      </x:c>
      <x:c r="N8" s="27" t="str">
        <x:v>OPEN</x:v>
      </x:c>
      <x:c r="O8" s="29" t="str">
        <x:v>repeat every affected campaign</x:v>
      </x:c>
    </x:row>
    <x:row r="9" ht="29" customHeight="1">
      <x:c r="B9" s="27" t="str">
        <x:v>ACN-A01</x:v>
      </x:c>
      <x:c r="C9" s="27" t="str">
        <x:v>Air carrier node</x:v>
      </x:c>
      <x:c r="D9" s="27" t="str">
        <x:v>ACN-2</x:v>
      </x:c>
      <x:c r="E9" s="38" t="str">
        <x:v>GCH-340R test carrier</x:v>
      </x:c>
      <x:c r="F9" s="38" t="n">
        <x:v>1200</x:v>
      </x:c>
      <x:c r="G9" s="38" t="n">
        <x:v>2.8</x:v>
      </x:c>
      <x:c r="H9" s="38" t="n">
        <x:v>800</x:v>
      </x:c>
      <x:c r="I9" s="38" t="n">
        <x:v>2200</x:v>
      </x:c>
      <x:c r="J9" s="38" t="n">
        <x:v>24</x:v>
      </x:c>
      <x:c r="K9" s="27" t="n">
        <x:v>1</x:v>
      </x:c>
      <x:c r="L9" s="27" t="str">
        <x:v>three vault zones; lift, propulsion and contact paths separated</x:v>
      </x:c>
      <x:c r="M9" s="27" t="str">
        <x:v>PROTOTYPE BASELINE</x:v>
      </x:c>
      <x:c r="N9" s="27" t="str">
        <x:v>OPEN</x:v>
      </x:c>
      <x:c r="O9" s="29" t="str">
        <x:v>repeat every affected campaign</x:v>
      </x:c>
    </x:row>
    <x:row r="10" ht="29" customHeight="1">
      <x:c r="B10" s="27" t="str">
        <x:v>TCN-T01</x:v>
      </x:c>
      <x:c r="C10" s="27" t="str">
        <x:v>Terrain carrier node</x:v>
      </x:c>
      <x:c r="D10" s="27" t="str">
        <x:v>TCN-2</x:v>
      </x:c>
      <x:c r="E10" s="38" t="str">
        <x:v>SAT-170R test carrier</x:v>
      </x:c>
      <x:c r="F10" s="38" t="n">
        <x:v>2600</x:v>
      </x:c>
      <x:c r="G10" s="38" t="n">
        <x:v>8.5</x:v>
      </x:c>
      <x:c r="H10" s="38" t="n">
        <x:v>600</x:v>
      </x:c>
      <x:c r="I10" s="38" t="n">
        <x:v>3500</x:v>
      </x:c>
      <x:c r="J10" s="38" t="n">
        <x:v>24</x:v>
      </x:c>
      <x:c r="K10" s="27" t="n">
        <x:v>1</x:v>
      </x:c>
      <x:c r="L10" s="27" t="str">
        <x:v>twelve pod nodes and two separate custody vaults</x:v>
      </x:c>
      <x:c r="M10" s="27" t="str">
        <x:v>PROTOTYPE BASELINE</x:v>
      </x:c>
      <x:c r="N10" s="27" t="str">
        <x:v>OPEN</x:v>
      </x:c>
      <x:c r="O10" s="29" t="str">
        <x:v>repeat every affected campaign</x:v>
      </x:c>
    </x:row>
    <x:row r="11" ht="29" customHeight="1">
      <x:c r="B11" s="27" t="str">
        <x:v>CRS-R01</x:v>
      </x:c>
      <x:c r="C11" s="27" t="str">
        <x:v>Civil receiver</x:v>
      </x:c>
      <x:c r="D11" s="27" t="str">
        <x:v>CRS-2</x:v>
      </x:c>
      <x:c r="E11" s="38" t="str">
        <x:v>unprepared civil receiver</x:v>
      </x:c>
      <x:c r="F11" s="38" t="n">
        <x:v>2800</x:v>
      </x:c>
      <x:c r="G11" s="38" t="n">
        <x:v>12</x:v>
      </x:c>
      <x:c r="H11" s="38" t="n">
        <x:v>1200</x:v>
      </x:c>
      <x:c r="I11" s="38" t="n">
        <x:v>3200</x:v>
      </x:c>
      <x:c r="J11" s="38" t="n">
        <x:v>64</x:v>
      </x:c>
      <x:c r="K11" s="27" t="n">
        <x:v>1</x:v>
      </x:c>
      <x:c r="L11" s="27" t="str">
        <x:v>assay, utility truth and civil release are separate modules</x:v>
      </x:c>
      <x:c r="M11" s="27" t="str">
        <x:v>PROTOTYPE BASELINE</x:v>
      </x:c>
      <x:c r="N11" s="27" t="str">
        <x:v>OPEN</x:v>
      </x:c>
      <x:c r="O11" s="29" t="str">
        <x:v>repeat every affected campaign</x:v>
      </x:c>
    </x:row>
    <x:row r="12" ht="29" customHeight="1">
      <x:c r="B12" s="27" t="str">
        <x:v>PSS-T01</x:v>
      </x:c>
      <x:c r="C12" s="27" t="str">
        <x:v>Pressure skin</x:v>
      </x:c>
      <x:c r="D12" s="27" t="str">
        <x:v>PSS-3</x:v>
      </x:c>
      <x:c r="E12" s="38" t="str">
        <x:v>inside TCN-T01</x:v>
      </x:c>
      <x:c r="F12" s="38" t="n">
        <x:v>1140</x:v>
      </x:c>
      <x:c r="G12" s="38" t="n">
        <x:v>3.42</x:v>
      </x:c>
      <x:c r="H12" s="38" t="n">
        <x:v>220</x:v>
      </x:c>
      <x:c r="I12" s="38" t="n">
        <x:v>1200</x:v>
      </x:c>
      <x:c r="J12" s="38" t="n">
        <x:v>0</x:v>
      </x:c>
      <x:c r="K12" s="27" t="n">
        <x:v>0</x:v>
      </x:c>
      <x:c r="L12" s="27" t="str">
        <x:v>4,560 dual-physics cells plus optical boundary</x:v>
      </x:c>
      <x:c r="M12" s="27" t="str">
        <x:v>PROTOTYPE BASELINE</x:v>
      </x:c>
      <x:c r="N12" s="27" t="str">
        <x:v>OPEN</x:v>
      </x:c>
      <x:c r="O12" s="29" t="str">
        <x:v>repeat every affected campaign</x:v>
      </x:c>
    </x:row>
    <x:row r="13" ht="29" customHeight="1">
      <x:c r="B13" s="27" t="str">
        <x:v>PIF-I01</x:v>
      </x:c>
      <x:c r="C13" s="27" t="str">
        <x:v>Passive interface</x:v>
      </x:c>
      <x:c r="D13" s="27" t="str">
        <x:v>PIF-3</x:v>
      </x:c>
      <x:c r="E13" s="38" t="str">
        <x:v>inside all five nodes</x:v>
      </x:c>
      <x:c r="F13" s="38" t="n">
        <x:v>40</x:v>
      </x:c>
      <x:c r="G13" s="38" t="n">
        <x:v>0.08</x:v>
      </x:c>
      <x:c r="H13" s="38" t="n">
        <x:v>20</x:v>
      </x:c>
      <x:c r="I13" s="38" t="n">
        <x:v>80</x:v>
      </x:c>
      <x:c r="J13" s="38" t="n">
        <x:v>0</x:v>
      </x:c>
      <x:c r="K13" s="27" t="n">
        <x:v>0</x:v>
      </x:c>
      <x:c r="L13" s="27" t="str">
        <x:v>split transducer and optical mirror; no return energy path</x:v>
      </x:c>
      <x:c r="M13" s="27" t="str">
        <x:v>PROTOTYPE BASELINE</x:v>
      </x:c>
      <x:c r="N13" s="27" t="str">
        <x:v>OPEN</x:v>
      </x:c>
      <x:c r="O13" s="29" t="str">
        <x:v>repeat every affected campaign</x:v>
      </x:c>
    </x:row>
    <x:row r="14" ht="29" customHeight="1">
      <x:c r="B14" s="27" t="str">
        <x:v>EPS-P01</x:v>
      </x:c>
      <x:c r="C14" s="27" t="str">
        <x:v>Independent energy</x:v>
      </x:c>
      <x:c r="D14" s="27" t="str">
        <x:v>EPS-2</x:v>
      </x:c>
      <x:c r="E14" s="38" t="str">
        <x:v>inside all five nodes</x:v>
      </x:c>
      <x:c r="F14" s="38" t="n">
        <x:v>1145.46</x:v>
      </x:c>
      <x:c r="G14" s="38" t="n">
        <x:v>2.5</x:v>
      </x:c>
      <x:c r="H14" s="38" t="n">
        <x:v>20</x:v>
      </x:c>
      <x:c r="I14" s="38" t="n">
        <x:v>200</x:v>
      </x:c>
      <x:c r="J14" s="38" t="n">
        <x:v>0</x:v>
      </x:c>
      <x:c r="K14" s="27" t="n">
        <x:v>0</x:v>
      </x:c>
      <x:c r="L14" s="27" t="str">
        <x:v>role-sized primary endurance core and rechargeable event buffer</x:v>
      </x:c>
      <x:c r="M14" s="27" t="str">
        <x:v>PROTOTYPE BASELINE</x:v>
      </x:c>
      <x:c r="N14" s="27" t="str">
        <x:v>OPEN</x:v>
      </x:c>
      <x:c r="O14" s="29" t="str">
        <x:v>repeat every affected campaign</x:v>
      </x:c>
    </x:row>
    <x:row r="15" ht="29" customHeight="1">
      <x:c r="B15" s="27" t="str">
        <x:v>TKS-C01</x:v>
      </x:c>
      <x:c r="C15" s="27" t="str">
        <x:v>Denied time</x:v>
      </x:c>
      <x:c r="D15" s="27" t="str">
        <x:v>TKS-2</x:v>
      </x:c>
      <x:c r="E15" s="38" t="str">
        <x:v>inside all five nodes</x:v>
      </x:c>
      <x:c r="F15" s="38" t="n">
        <x:v>10</x:v>
      </x:c>
      <x:c r="G15" s="38" t="n">
        <x:v>0.02</x:v>
      </x:c>
      <x:c r="H15" s="38" t="n">
        <x:v>20</x:v>
      </x:c>
      <x:c r="I15" s="38" t="n">
        <x:v>50</x:v>
      </x:c>
      <x:c r="J15" s="38" t="n">
        <x:v>0</x:v>
      </x:c>
      <x:c r="K15" s="27" t="n">
        <x:v>0</x:v>
      </x:c>
      <x:c r="L15" s="27" t="str">
        <x:v>two atomic roots and independent quartz witness</x:v>
      </x:c>
      <x:c r="M15" s="27" t="str">
        <x:v>PROTOTYPE BASELINE</x:v>
      </x:c>
      <x:c r="N15" s="27" t="str">
        <x:v>OPEN</x:v>
      </x:c>
      <x:c r="O15" s="29" t="str">
        <x:v>repeat every affected campaign</x:v>
      </x:c>
    </x:row>
    <x:row r="16" ht="29" customHeight="1">
      <x:c r="B16" s="27" t="str">
        <x:v>STG-S01</x:v>
      </x:c>
      <x:c r="C16" s="27" t="str">
        <x:v>Immutable storage</x:v>
      </x:c>
      <x:c r="D16" s="27" t="str">
        <x:v>STG-2</x:v>
      </x:c>
      <x:c r="E16" s="38" t="str">
        <x:v>inside all five nodes</x:v>
      </x:c>
      <x:c r="F16" s="38" t="n">
        <x:v>40</x:v>
      </x:c>
      <x:c r="G16" s="38" t="n">
        <x:v>0.12</x:v>
      </x:c>
      <x:c r="H16" s="38" t="n">
        <x:v>90</x:v>
      </x:c>
      <x:c r="I16" s="38" t="n">
        <x:v>220</x:v>
      </x:c>
      <x:c r="J16" s="38" t="n">
        <x:v>64</x:v>
      </x:c>
      <x:c r="K16" s="27" t="n">
        <x:v>0</x:v>
      </x:c>
      <x:c r="L16" s="27" t="str">
        <x:v>two controller and media ancestries with cross-hashed segments</x:v>
      </x:c>
      <x:c r="M16" s="27" t="str">
        <x:v>PROTOTYPE BASELINE</x:v>
      </x:c>
      <x:c r="N16" s="27" t="str">
        <x:v>OPEN</x:v>
      </x:c>
      <x:c r="O16" s="29" t="str">
        <x:v>repeat every affected campaign</x:v>
      </x:c>
    </x:row>
    <x:row r="17" ht="29" customHeight="1">
      <x:c r="B17" s="31" t="str">
        <x:v>MHE-E01</x:v>
      </x:c>
      <x:c r="C17" s="31" t="str">
        <x:v>Mass and heat emulator</x:v>
      </x:c>
      <x:c r="D17" s="31" t="str">
        <x:v>MHE-3</x:v>
      </x:c>
      <x:c r="E17" s="39" t="str">
        <x:v>paired removal configuration</x:v>
      </x:c>
      <x:c r="F17" s="39" t="n">
        <x:v>2800</x:v>
      </x:c>
      <x:c r="G17" s="39" t="n">
        <x:v>12</x:v>
      </x:c>
      <x:c r="H17" s="39" t="n">
        <x:v>1200</x:v>
      </x:c>
      <x:c r="I17" s="39" t="n">
        <x:v>3200</x:v>
      </x:c>
      <x:c r="J17" s="39" t="n">
        <x:v>0</x:v>
      </x:c>
      <x:c r="K17" s="31" t="n">
        <x:v>0</x:v>
      </x:c>
      <x:c r="L17" s="31" t="str">
        <x:v>role-matched mass, center of gravity, heat and impedance</x:v>
      </x:c>
      <x:c r="M17" s="31" t="str">
        <x:v>PROTOTYPE BASELINE</x:v>
      </x:c>
      <x:c r="N17" s="31" t="str">
        <x:v>OPEN</x:v>
      </x:c>
      <x:c r="O17" s="33" t="str">
        <x:v>repeat every affected campaign</x:v>
      </x:c>
    </x:row>
    <x:row r="18" ht="18" customHeight="1"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</x:row>
    <x:row r="19" ht="18" customHeight="1"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</x:row>
    <x:row r="20" ht="18" customHeight="1">
      <x:c r="B20" s="8" t="str">
        <x:v>Configuration law</x:v>
      </x:c>
      <x:c r="C20" s="9" t="str">
        <x:v>Configuration law</x:v>
      </x:c>
      <x:c r="D20" s="9" t="str">
        <x:v>Configuration law</x:v>
      </x:c>
      <x:c r="E20" s="9" t="str">
        <x:v>Configuration law</x:v>
      </x:c>
      <x:c r="F20" s="9" t="str">
        <x:v>Configuration law</x:v>
      </x:c>
      <x:c r="G20" s="9" t="str">
        <x:v>Configuration law</x:v>
      </x:c>
      <x:c r="H20" s="9" t="str">
        <x:v>Configuration law</x:v>
      </x:c>
      <x:c r="I20" s="9" t="str">
        <x:v>Configuration law</x:v>
      </x:c>
      <x:c r="J20" s="9" t="str">
        <x:v>Configuration law</x:v>
      </x:c>
      <x:c r="K20" s="9" t="str">
        <x:v>Configuration law</x:v>
      </x:c>
      <x:c r="L20" s="9" t="str">
        <x:v>Configuration law</x:v>
      </x:c>
      <x:c r="M20" s="9" t="str">
        <x:v>Configuration law</x:v>
      </x:c>
      <x:c r="N20" s="9" t="str">
        <x:v>Configuration law</x:v>
      </x:c>
      <x:c r="O20" s="10" t="str">
        <x:v>Configuration law</x:v>
      </x:c>
    </x:row>
    <x:row r="21" ht="18" customHeight="1">
      <x:c r="B21" s="2" t="str">
        <x:v>A serial record includes hardware, firmware, calibration ancestry, mass properties, heat rejection, wiring, access, seals and custody fixtures.</x:v>
      </x:c>
      <x:c r="C21" s="2" t="str"/>
      <x:c r="D21" s="2" t="str"/>
      <x:c r="E21" s="2" t="str"/>
      <x:c r="F21" s="2" t="str"/>
      <x:c r="G21" s="2" t="str"/>
      <x:c r="H21" s="2" t="str"/>
      <x:c r="I21" s="2" t="str"/>
      <x:c r="J21" s="2" t="str"/>
      <x:c r="K21" s="2" t="str"/>
      <x:c r="L21" s="2" t="str"/>
      <x:c r="M21" s="2" t="str"/>
      <x:c r="N21" s="2" t="str"/>
      <x:c r="O21" s="2" t="str"/>
    </x:row>
    <x:row r="22" ht="18" customHeight="1">
      <x:c r="B22" s="2" t="str">
        <x:v>A change after a campaign begins invalidates that campaign and every dependent result unless prospectively amended and repeated.</x:v>
      </x:c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  <x:c r="K22" s="2" t="str"/>
      <x:c r="L22" s="2" t="str"/>
      <x:c r="M22" s="2" t="str"/>
      <x:c r="N22" s="2" t="str"/>
      <x:c r="O22" s="2" t="str"/>
    </x:row>
    <x:row r="23" ht="18" customHeight="1">
      <x:c r="B23" s="2" t="str">
        <x:v>Submodule rows describe critical internal architectures and cannot be added again to host totals.</x:v>
      </x:c>
      <x:c r="C23" s="2" t="str"/>
      <x:c r="D23" s="2" t="str"/>
      <x:c r="E23" s="2" t="str"/>
      <x:c r="F23" s="2" t="str"/>
      <x:c r="G23" s="2" t="str"/>
      <x:c r="H23" s="2" t="str"/>
      <x:c r="I23" s="2" t="str"/>
      <x:c r="J23" s="2" t="str"/>
      <x:c r="K23" s="2" t="str"/>
      <x:c r="L23" s="2" t="str"/>
      <x:c r="M23" s="2" t="str"/>
      <x:c r="N23" s="2" t="str"/>
      <x:c r="O23" s="2" t="str"/>
    </x:row>
    <x:row r="24" ht="18" customHeight="1">
      <x:c r="B24" s="2" t="str">
        <x:v>The baseline selects test configuration only. It grants no production or rendering authority.</x:v>
      </x:c>
      <x:c r="C24" s="2" t="str"/>
      <x:c r="D24" s="2" t="str"/>
      <x:c r="E24" s="2" t="str"/>
      <x:c r="F24" s="2" t="str"/>
      <x:c r="G24" s="2" t="str"/>
      <x:c r="H24" s="2" t="str"/>
      <x:c r="I24" s="2" t="str"/>
      <x:c r="J24" s="2" t="str"/>
      <x:c r="K24" s="2" t="str"/>
      <x:c r="L24" s="2" t="str"/>
      <x:c r="M24" s="2" t="str"/>
      <x:c r="N24" s="2" t="str"/>
      <x:c r="O24" s="2" t="str"/>
    </x:row>
  </x:sheetData>
  <x:mergeCells>
    <x:mergeCell ref="B3:O3"/>
    <x:mergeCell ref="B20:O20"/>
  </x:mergeCells>
  <x:conditionalFormatting sqref="M7:N17">
    <x:cfRule type="containsText" dxfId="18" priority="1" operator="containsText" text="OPEN"/>
    <x:cfRule type="containsText" dxfId="19" priority="2" operator="containsText" text="HOLD"/>
    <x:cfRule type="containsText" dxfId="20" priority="3" operator="containsText" text="BLOCKED"/>
    <x:cfRule type="containsText" dxfId="21" priority="4" operator="containsText" text="REJECT"/>
    <x:cfRule type="containsText" dxfId="22" priority="5" operator="containsText" text="FAIL"/>
    <x:cfRule type="containsText" dxfId="23" priority="6" operator="containsText" text="SELECTED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2" hidden="0" customWidth="1"/>
    <x:col min="3" max="3" width="25" hidden="0" customWidth="1"/>
    <x:col min="4" max="4" width="31" hidden="0" customWidth="1"/>
    <x:col min="5" max="5" width="42" hidden="0" customWidth="1"/>
    <x:col min="6" max="6" width="28" hidden="0" customWidth="1"/>
    <x:col min="7" max="7" width="17" hidden="0" customWidth="1"/>
    <x:col min="8" max="8" width="17" hidden="0" customWidth="1"/>
    <x:col min="9" max="9" width="16" hidden="0" customWidth="1"/>
    <x:col min="10" max="10" width="19" hidden="0" customWidth="1"/>
    <x:col min="11" max="11" width="35" hidden="0" customWidth="1"/>
    <x:col min="12" max="12" width="35" hidden="0" customWidth="1"/>
    <x:col min="13" max="13" width="12" hidden="0" customWidth="1"/>
    <x:col min="14" max="14" width="14" hidden="0" customWidth="1"/>
  </x:cols>
  <x:sheetData>
    <x:row r="2" ht="18" customHeight="1">
      <x:c r="B2" s="3" t="str">
        <x:v>Physical one-way interfaces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18" customHeight="1">
      <x:c r="B3" s="4" t="str">
        <x:v>Each path loses evidence before it can alter, power or improve the mission under test.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18" customHeight="1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</x:row>
    <x:row r="5" ht="18" customHeight="1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18" customHeight="1">
      <x:c r="B6" s="25" t="str">
        <x:v>Interface</x:v>
      </x:c>
      <x:c r="C6" s="26" t="str">
        <x:v>Source</x:v>
      </x:c>
      <x:c r="D6" s="26" t="str">
        <x:v>Observable</x:v>
      </x:c>
      <x:c r="E6" s="26" t="str">
        <x:v>Passive mechanism</x:v>
      </x:c>
      <x:c r="F6" s="26" t="str">
        <x:v>Evidence destination</x:v>
      </x:c>
      <x:c r="G6" s="26" t="str">
        <x:v>Energy transfer W</x:v>
      </x:c>
      <x:c r="H6" s="26" t="str">
        <x:v>Return data path</x:v>
      </x:c>
      <x:c r="I6" s="26" t="str">
        <x:v>Actuation path</x:v>
      </x:c>
      <x:c r="J6" s="26" t="str">
        <x:v>Mission contribution</x:v>
      </x:c>
      <x:c r="K6" s="26" t="str">
        <x:v>Loss behavior</x:v>
      </x:c>
      <x:c r="L6" s="26" t="str">
        <x:v>Calibration</x:v>
      </x:c>
      <x:c r="M6" s="26" t="str">
        <x:v>State</x:v>
      </x:c>
      <x:c r="N6" s="26" t="str">
        <x:v>Control</x:v>
      </x:c>
    </x:row>
    <x:row r="7" ht="31" customHeight="1">
      <x:c r="B7" s="27" t="str">
        <x:v>I01</x:v>
      </x:c>
      <x:c r="C7" s="27" t="str">
        <x:v>tile structure</x:v>
      </x:c>
      <x:c r="D7" s="27" t="str">
        <x:v>strain and damage</x:v>
      </x:c>
      <x:c r="E7" s="27" t="str">
        <x:v>split transducer bridge</x:v>
      </x:c>
      <x:c r="F7" s="27" t="str">
        <x:v>article cassette</x:v>
      </x:c>
      <x:c r="G7" s="27" t="n">
        <x:v>0</x:v>
      </x:c>
      <x:c r="H7" s="27" t="n">
        <x:v>0</x:v>
      </x:c>
      <x:c r="I7" s="27" t="n">
        <x:v>0</x:v>
      </x:c>
      <x:c r="J7" s="27" t="n">
        <x:v>0</x:v>
      </x:c>
      <x:c r="K7" s="27" t="str">
        <x:v>loss recorded locally</x:v>
      </x:c>
      <x:c r="L7" s="27" t="str">
        <x:v>before and after load reference</x:v>
      </x:c>
      <x:c r="M7" s="27" t="str">
        <x:v>OPEN</x:v>
      </x:c>
      <x:c r="N7" s="29" t="str"/>
    </x:row>
    <x:row r="8" ht="31" customHeight="1">
      <x:c r="B8" s="27" t="str">
        <x:v>I02</x:v>
      </x:c>
      <x:c r="C8" s="27" t="str">
        <x:v>mission power bus</x:v>
      </x:c>
      <x:c r="D8" s="27" t="str">
        <x:v>waveform and fault energy</x:v>
      </x:c>
      <x:c r="E8" s="27" t="str">
        <x:v>isolated optical voltage-current conversion</x:v>
      </x:c>
      <x:c r="F8" s="27" t="str">
        <x:v>article cassette</x:v>
      </x:c>
      <x:c r="G8" s="27" t="n">
        <x:v>0</x:v>
      </x:c>
      <x:c r="H8" s="27" t="n">
        <x:v>0</x:v>
      </x:c>
      <x:c r="I8" s="27" t="n">
        <x:v>0</x:v>
      </x:c>
      <x:c r="J8" s="27" t="n">
        <x:v>0</x:v>
      </x:c>
      <x:c r="K8" s="27" t="str">
        <x:v>evidence path opens safe</x:v>
      </x:c>
      <x:c r="L8" s="27" t="str">
        <x:v>traveling electrical standard</x:v>
      </x:c>
      <x:c r="M8" s="27" t="str">
        <x:v>OPEN</x:v>
      </x:c>
      <x:c r="N8" s="29" t="str"/>
    </x:row>
    <x:row r="9" ht="31" customHeight="1">
      <x:c r="B9" s="27" t="str">
        <x:v>I03</x:v>
      </x:c>
      <x:c r="C9" s="27" t="str">
        <x:v>mission fluid line</x:v>
      </x:c>
      <x:c r="D9" s="27" t="str">
        <x:v>flow, pressure and quality</x:v>
      </x:c>
      <x:c r="E9" s="27" t="str">
        <x:v>separate physical transducers</x:v>
      </x:c>
      <x:c r="F9" s="27" t="str">
        <x:v>article cassette</x:v>
      </x:c>
      <x:c r="G9" s="27" t="n">
        <x:v>0</x:v>
      </x:c>
      <x:c r="H9" s="27" t="n">
        <x:v>0</x:v>
      </x:c>
      <x:c r="I9" s="27" t="n">
        <x:v>0</x:v>
      </x:c>
      <x:c r="J9" s="27" t="n">
        <x:v>0</x:v>
      </x:c>
      <x:c r="K9" s="27" t="str">
        <x:v>mission line remains intact</x:v>
      </x:c>
      <x:c r="L9" s="27" t="str">
        <x:v>traveling pressure-flow loop</x:v>
      </x:c>
      <x:c r="M9" s="27" t="str">
        <x:v>OPEN</x:v>
      </x:c>
      <x:c r="N9" s="29" t="str"/>
    </x:row>
    <x:row r="10" ht="31" customHeight="1">
      <x:c r="B10" s="27" t="str">
        <x:v>I04</x:v>
      </x:c>
      <x:c r="C10" s="27" t="str">
        <x:v>thermal boundary</x:v>
      </x:c>
      <x:c r="D10" s="27" t="str">
        <x:v>temperature and heat flux</x:v>
      </x:c>
      <x:c r="E10" s="27" t="str">
        <x:v>independent surface witnesses</x:v>
      </x:c>
      <x:c r="F10" s="27" t="str">
        <x:v>article cassette</x:v>
      </x:c>
      <x:c r="G10" s="27" t="n">
        <x:v>0</x:v>
      </x:c>
      <x:c r="H10" s="27" t="n">
        <x:v>0</x:v>
      </x:c>
      <x:c r="I10" s="27" t="n">
        <x:v>0</x:v>
      </x:c>
      <x:c r="J10" s="27" t="n">
        <x:v>0</x:v>
      </x:c>
      <x:c r="K10" s="27" t="str">
        <x:v>thermal record becomes invalid</x:v>
      </x:c>
      <x:c r="L10" s="27" t="str">
        <x:v>reference thermometry</x:v>
      </x:c>
      <x:c r="M10" s="27" t="str">
        <x:v>OPEN</x:v>
      </x:c>
      <x:c r="N10" s="29" t="str"/>
    </x:row>
    <x:row r="11" ht="31" customHeight="1">
      <x:c r="B11" s="27" t="str">
        <x:v>I05</x:v>
      </x:c>
      <x:c r="C11" s="27" t="str">
        <x:v>carrier lift system</x:v>
      </x:c>
      <x:c r="D11" s="27" t="str">
        <x:v>cell pressure and support state</x:v>
      </x:c>
      <x:c r="E11" s="27" t="str">
        <x:v>passive optical state mirror</x:v>
      </x:c>
      <x:c r="F11" s="27" t="str">
        <x:v>air carrier node</x:v>
      </x:c>
      <x:c r="G11" s="27" t="n">
        <x:v>0</x:v>
      </x:c>
      <x:c r="H11" s="27" t="n">
        <x:v>0</x:v>
      </x:c>
      <x:c r="I11" s="27" t="n">
        <x:v>0</x:v>
      </x:c>
      <x:c r="J11" s="27" t="n">
        <x:v>0</x:v>
      </x:c>
      <x:c r="K11" s="27" t="str">
        <x:v>no effect on lift control</x:v>
      </x:c>
      <x:c r="L11" s="27" t="str">
        <x:v>pressure and geometry references</x:v>
      </x:c>
      <x:c r="M11" s="27" t="str">
        <x:v>OPEN</x:v>
      </x:c>
      <x:c r="N11" s="29" t="str"/>
    </x:row>
    <x:row r="12" ht="31" customHeight="1">
      <x:c r="B12" s="27" t="str">
        <x:v>I06</x:v>
      </x:c>
      <x:c r="C12" s="27" t="str">
        <x:v>carrier propulsion</x:v>
      </x:c>
      <x:c r="D12" s="27" t="str">
        <x:v>thrust, energy and vector state</x:v>
      </x:c>
      <x:c r="E12" s="27" t="str">
        <x:v>split-physics witnesses</x:v>
      </x:c>
      <x:c r="F12" s="27" t="str">
        <x:v>air carrier node</x:v>
      </x:c>
      <x:c r="G12" s="27" t="n">
        <x:v>0</x:v>
      </x:c>
      <x:c r="H12" s="27" t="n">
        <x:v>0</x:v>
      </x:c>
      <x:c r="I12" s="27" t="n">
        <x:v>0</x:v>
      </x:c>
      <x:c r="J12" s="27" t="n">
        <x:v>0</x:v>
      </x:c>
      <x:c r="K12" s="27" t="str">
        <x:v>control continues without evidence</x:v>
      </x:c>
      <x:c r="L12" s="27" t="str">
        <x:v>force and electrical references</x:v>
      </x:c>
      <x:c r="M12" s="27" t="str">
        <x:v>OPEN</x:v>
      </x:c>
      <x:c r="N12" s="29" t="str"/>
    </x:row>
    <x:row r="13" ht="31" customHeight="1">
      <x:c r="B13" s="27" t="str">
        <x:v>I07</x:v>
      </x:c>
      <x:c r="C13" s="27" t="str">
        <x:v>terrain pod</x:v>
      </x:c>
      <x:c r="D13" s="27" t="str">
        <x:v>load, pose and contact</x:v>
      </x:c>
      <x:c r="E13" s="27" t="str">
        <x:v>pod-local dual acquisition</x:v>
      </x:c>
      <x:c r="F13" s="27" t="str">
        <x:v>terrain carrier node</x:v>
      </x:c>
      <x:c r="G13" s="27" t="n">
        <x:v>0</x:v>
      </x:c>
      <x:c r="H13" s="27" t="n">
        <x:v>0</x:v>
      </x:c>
      <x:c r="I13" s="27" t="n">
        <x:v>0</x:v>
      </x:c>
      <x:c r="J13" s="27" t="n">
        <x:v>0</x:v>
      </x:c>
      <x:c r="K13" s="27" t="str">
        <x:v>neighbor nodes continue</x:v>
      </x:c>
      <x:c r="L13" s="27" t="str">
        <x:v>traveling platen and geometry grid</x:v>
      </x:c>
      <x:c r="M13" s="27" t="str">
        <x:v>OPEN</x:v>
      </x:c>
      <x:c r="N13" s="29" t="str"/>
    </x:row>
    <x:row r="14" ht="31" customHeight="1">
      <x:c r="B14" s="27" t="str">
        <x:v>I08</x:v>
      </x:c>
      <x:c r="C14" s="27" t="str">
        <x:v>pressure skin</x:v>
      </x:c>
      <x:c r="D14" s="27" t="str">
        <x:v>normal, shear, temperature and health</x:v>
      </x:c>
      <x:c r="E14" s="27" t="str">
        <x:v>passive multiplexed skin branches</x:v>
      </x:c>
      <x:c r="F14" s="27" t="str">
        <x:v>terrain carrier node</x:v>
      </x:c>
      <x:c r="G14" s="27" t="n">
        <x:v>0</x:v>
      </x:c>
      <x:c r="H14" s="27" t="n">
        <x:v>0</x:v>
      </x:c>
      <x:c r="I14" s="27" t="n">
        <x:v>0</x:v>
      </x:c>
      <x:c r="J14" s="27" t="n">
        <x:v>0</x:v>
      </x:c>
      <x:c r="K14" s="27" t="str">
        <x:v>missing cells remain explicit</x:v>
      </x:c>
      <x:c r="L14" s="27" t="str">
        <x:v>platen, shear and thermal references</x:v>
      </x:c>
      <x:c r="M14" s="27" t="str">
        <x:v>OPEN</x:v>
      </x:c>
      <x:c r="N14" s="29" t="str"/>
    </x:row>
    <x:row r="15" ht="31" customHeight="1">
      <x:c r="B15" s="27" t="str">
        <x:v>I09</x:v>
      </x:c>
      <x:c r="C15" s="27" t="str">
        <x:v>receiver utility boundary</x:v>
      </x:c>
      <x:c r="D15" s="27" t="str">
        <x:v>delivered public service</x:v>
      </x:c>
      <x:c r="E15" s="27" t="str">
        <x:v>separate physical meters</x:v>
      </x:c>
      <x:c r="F15" s="27" t="str">
        <x:v>civil receiver</x:v>
      </x:c>
      <x:c r="G15" s="27" t="n">
        <x:v>0</x:v>
      </x:c>
      <x:c r="H15" s="27" t="n">
        <x:v>0</x:v>
      </x:c>
      <x:c r="I15" s="27" t="n">
        <x:v>0</x:v>
      </x:c>
      <x:c r="J15" s="27" t="n">
        <x:v>0</x:v>
      </x:c>
      <x:c r="K15" s="27" t="str">
        <x:v>service continues without credit</x:v>
      </x:c>
      <x:c r="L15" s="27" t="str">
        <x:v>civil utility standards</x:v>
      </x:c>
      <x:c r="M15" s="27" t="str">
        <x:v>OPEN</x:v>
      </x:c>
      <x:c r="N15" s="29" t="str"/>
    </x:row>
    <x:row r="16" ht="31" customHeight="1">
      <x:c r="B16" s="27" t="str">
        <x:v>I10</x:v>
      </x:c>
      <x:c r="C16" s="27" t="str">
        <x:v>civil authority</x:v>
      </x:c>
      <x:c r="D16" s="27" t="str">
        <x:v>release and rights state</x:v>
      </x:c>
      <x:c r="E16" s="27" t="str">
        <x:v>signed independent ledger</x:v>
      </x:c>
      <x:c r="F16" s="27" t="str">
        <x:v>civil receiver</x:v>
      </x:c>
      <x:c r="G16" s="27" t="n">
        <x:v>0</x:v>
      </x:c>
      <x:c r="H16" s="27" t="n">
        <x:v>0</x:v>
      </x:c>
      <x:c r="I16" s="27" t="n">
        <x:v>0</x:v>
      </x:c>
      <x:c r="J16" s="27" t="n">
        <x:v>0</x:v>
      </x:c>
      <x:c r="K16" s="27" t="str">
        <x:v>no release inferred from silence</x:v>
      </x:c>
      <x:c r="L16" s="27" t="str">
        <x:v>authority key ceremony</x:v>
      </x:c>
      <x:c r="M16" s="27" t="str">
        <x:v>OPEN</x:v>
      </x:c>
      <x:c r="N16" s="29" t="str"/>
    </x:row>
    <x:row r="17" ht="31" customHeight="1">
      <x:c r="B17" s="27" t="str">
        <x:v>I11</x:v>
      </x:c>
      <x:c r="C17" s="27" t="str">
        <x:v>evidence vault</x:v>
      </x:c>
      <x:c r="D17" s="27" t="str">
        <x:v>sealed local segments</x:v>
      </x:c>
      <x:c r="E17" s="27" t="str">
        <x:v>one-way removable media export</x:v>
      </x:c>
      <x:c r="F17" s="27" t="str">
        <x:v>evidence authority</x:v>
      </x:c>
      <x:c r="G17" s="27" t="n">
        <x:v>0</x:v>
      </x:c>
      <x:c r="H17" s="27" t="n">
        <x:v>0</x:v>
      </x:c>
      <x:c r="I17" s="27" t="n">
        <x:v>0</x:v>
      </x:c>
      <x:c r="J17" s="27" t="n">
        <x:v>0</x:v>
      </x:c>
      <x:c r="K17" s="27" t="str">
        <x:v>delivery waits; original survives</x:v>
      </x:c>
      <x:c r="L17" s="27" t="str">
        <x:v>hash and custody challenge</x:v>
      </x:c>
      <x:c r="M17" s="27" t="str">
        <x:v>OPEN</x:v>
      </x:c>
      <x:c r="N17" s="29" t="str"/>
    </x:row>
    <x:row r="18" ht="31" customHeight="1">
      <x:c r="B18" s="31" t="str">
        <x:v>I12</x:v>
      </x:c>
      <x:c r="C18" s="31" t="str">
        <x:v>evidence enclosure</x:v>
      </x:c>
      <x:c r="D18" s="31" t="str">
        <x:v>waste heat</x:v>
      </x:c>
      <x:c r="E18" s="31" t="str">
        <x:v>dedicated outward rejection path</x:v>
      </x:c>
      <x:c r="F18" s="31" t="str">
        <x:v>environment</x:v>
      </x:c>
      <x:c r="G18" s="31" t="n">
        <x:v>0</x:v>
      </x:c>
      <x:c r="H18" s="31" t="n">
        <x:v>0</x:v>
      </x:c>
      <x:c r="I18" s="31" t="n">
        <x:v>0</x:v>
      </x:c>
      <x:c r="J18" s="31" t="n">
        <x:v>0</x:v>
      </x:c>
      <x:c r="K18" s="31" t="str">
        <x:v>evidence shuts down before mission coupling</x:v>
      </x:c>
      <x:c r="L18" s="31" t="str">
        <x:v>calorimetry and heat emulator</x:v>
      </x:c>
      <x:c r="M18" s="31" t="str">
        <x:v>OPEN</x:v>
      </x:c>
      <x:c r="N18" s="33" t="str"/>
    </x:row>
    <x:row r="19" ht="18" customHeight="1"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18" customHeight="1"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18" customHeight="1">
      <x:c r="B21" s="8" t="str">
        <x:v>Failure rule</x:v>
      </x:c>
      <x:c r="C21" s="9" t="str">
        <x:v>Failure rule</x:v>
      </x:c>
      <x:c r="D21" s="9" t="str">
        <x:v>Failure rule</x:v>
      </x:c>
      <x:c r="E21" s="9" t="str">
        <x:v>Failure rule</x:v>
      </x:c>
      <x:c r="F21" s="9" t="str">
        <x:v>Failure rule</x:v>
      </x:c>
      <x:c r="G21" s="9" t="str">
        <x:v>Failure rule</x:v>
      </x:c>
      <x:c r="H21" s="9" t="str">
        <x:v>Failure rule</x:v>
      </x:c>
      <x:c r="I21" s="9" t="str">
        <x:v>Failure rule</x:v>
      </x:c>
      <x:c r="J21" s="9" t="str">
        <x:v>Failure rule</x:v>
      </x:c>
      <x:c r="K21" s="9" t="str">
        <x:v>Failure rule</x:v>
      </x:c>
      <x:c r="L21" s="9" t="str">
        <x:v>Failure rule</x:v>
      </x:c>
      <x:c r="M21" s="9" t="str">
        <x:v>Failure rule</x:v>
      </x:c>
      <x:c r="N21" s="10" t="str">
        <x:v>Failure rule</x:v>
      </x:c>
    </x:row>
    <x:row r="22" ht="18" customHeight="1">
      <x:c r="B22" s="2" t="str">
        <x:v>Any detected reverse energy, return data, actuation authority or useful mission contribution rejects the interface family.</x:v>
      </x:c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  <x:c r="K22" s="2" t="str"/>
      <x:c r="L22" s="2" t="str"/>
      <x:c r="M22" s="2" t="str"/>
      <x:c r="N22" s="2" t="str"/>
    </x:row>
    <x:row r="23" ht="18" customHeight="1">
      <x:c r="B23" s="2" t="str">
        <x:v>Loss of an evidence path can stop trial credit. It cannot create an unsafe mission state.</x:v>
      </x:c>
      <x:c r="C23" s="2" t="str"/>
      <x:c r="D23" s="2" t="str"/>
      <x:c r="E23" s="2" t="str"/>
      <x:c r="F23" s="2" t="str"/>
      <x:c r="G23" s="2" t="str"/>
      <x:c r="H23" s="2" t="str"/>
      <x:c r="I23" s="2" t="str"/>
      <x:c r="J23" s="2" t="str"/>
      <x:c r="K23" s="2" t="str"/>
      <x:c r="L23" s="2" t="str"/>
      <x:c r="M23" s="2" t="str"/>
      <x:c r="N23" s="2" t="str"/>
    </x:row>
    <x:row r="24" ht="18" customHeight="1">
      <x:c r="B24" s="2" t="str">
        <x:v>Calibration ports remain physically disabled during credited execution.</x:v>
      </x:c>
      <x:c r="C24" s="2" t="str"/>
      <x:c r="D24" s="2" t="str"/>
      <x:c r="E24" s="2" t="str"/>
      <x:c r="F24" s="2" t="str"/>
      <x:c r="G24" s="2" t="str"/>
      <x:c r="H24" s="2" t="str"/>
      <x:c r="I24" s="2" t="str"/>
      <x:c r="J24" s="2" t="str"/>
      <x:c r="K24" s="2" t="str"/>
      <x:c r="L24" s="2" t="str"/>
      <x:c r="M24" s="2" t="str"/>
      <x:c r="N24" s="2" t="str"/>
    </x:row>
  </x:sheetData>
  <x:mergeCells>
    <x:mergeCell ref="B3:N3"/>
    <x:mergeCell ref="B21:N21"/>
  </x:mergeCells>
  <x:conditionalFormatting sqref="M7:M18">
    <x:cfRule type="containsText" dxfId="24" priority="1" operator="containsText" text="OPEN"/>
    <x:cfRule type="containsText" dxfId="25" priority="2" operator="containsText" text="HOLD"/>
    <x:cfRule type="containsText" dxfId="26" priority="3" operator="containsText" text="BLOCKED"/>
    <x:cfRule type="containsText" dxfId="27" priority="4" operator="containsText" text="REJECT"/>
    <x:cfRule type="containsText" dxfId="28" priority="5" operator="containsText" text="FAIL"/>
    <x:cfRule type="containsText" dxfId="29" priority="6" operator="containsText" text="SELECTED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4" hidden="0" customWidth="1"/>
    <x:col min="3" max="3" width="12" hidden="0" customWidth="1"/>
    <x:col min="4" max="4" width="19" hidden="0" customWidth="1"/>
    <x:col min="5" max="5" width="14" hidden="0" customWidth="1"/>
    <x:col min="6" max="6" width="14" hidden="0" customWidth="1"/>
    <x:col min="7" max="7" width="14" hidden="0" customWidth="1"/>
    <x:col min="8" max="8" width="18" hidden="0" customWidth="1"/>
    <x:col min="9" max="9" width="13" hidden="0" customWidth="1"/>
    <x:col min="10" max="10" width="17" hidden="0" customWidth="1"/>
    <x:col min="11" max="11" width="17" hidden="0" customWidth="1"/>
    <x:col min="12" max="12" width="28" hidden="0" customWidth="1"/>
    <x:col min="13" max="13" width="15" hidden="0" customWidth="1"/>
    <x:col min="14" max="14" width="14" hidden="0" customWidth="1"/>
  </x:cols>
  <x:sheetData>
    <x:row r="2" ht="18" customHeight="1">
      <x:c r="B2" s="3" t="str">
        <x:v>Protected prototype article bank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18" customHeight="1">
      <x:c r="B3" s="4" t="str">
        <x:v>Reference, destructive and quarantine stocks are not available to satisfy simultaneous campaign demand.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18" customHeight="1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</x:row>
    <x:row r="5" ht="18" customHeight="1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18" customHeight="1">
      <x:c r="B6" s="25" t="str">
        <x:v>Serial family</x:v>
      </x:c>
      <x:c r="C6" s="26" t="str">
        <x:v>Built</x:v>
      </x:c>
      <x:c r="D6" s="26" t="str">
        <x:v>Protected reference</x:v>
      </x:c>
      <x:c r="E6" s="26" t="str">
        <x:v>Destructive</x:v>
      </x:c>
      <x:c r="F6" s="26" t="str">
        <x:v>Quarantine</x:v>
      </x:c>
      <x:c r="G6" s="26" t="str">
        <x:v>Deployable</x:v>
      </x:c>
      <x:c r="H6" s="26" t="str">
        <x:v>Simultaneous need</x:v>
      </x:c>
      <x:c r="I6" s="26" t="str">
        <x:v>Margin</x:v>
      </x:c>
      <x:c r="J6" s="26" t="str">
        <x:v>Unit cost USD M</x:v>
      </x:c>
      <x:c r="K6" s="26" t="str">
        <x:v>Extended USD B</x:v>
      </x:c>
      <x:c r="L6" s="26" t="str">
        <x:v>Custody</x:v>
      </x:c>
      <x:c r="M6" s="26" t="str">
        <x:v>Evidence state</x:v>
      </x:c>
      <x:c r="N6" s="26" t="str">
        <x:v>Control</x:v>
      </x:c>
    </x:row>
    <x:row r="7" ht="18" customHeight="1">
      <x:c r="B7" s="27" t="str">
        <x:v>ATC-A01</x:v>
      </x:c>
      <x:c r="C7" s="27" t="n">
        <x:v>36</x:v>
      </x:c>
      <x:c r="D7" s="27" t="n">
        <x:v>4</x:v>
      </x:c>
      <x:c r="E7" s="27" t="n">
        <x:v>6</x:v>
      </x:c>
      <x:c r="F7" s="27" t="n">
        <x:v>4</x:v>
      </x:c>
      <x:c r="G7" s="27" t="n">
        <x:f>C7-D7-E7-F7</x:f>
        <x:v>22</x:v>
      </x:c>
      <x:c r="H7" s="27" t="n">
        <x:v>12</x:v>
      </x:c>
      <x:c r="I7" s="27" t="n">
        <x:f>G7-H7</x:f>
        <x:v>10</x:v>
      </x:c>
      <x:c r="J7" s="41" t="n">
        <x:v>4</x:v>
      </x:c>
      <x:c r="K7" s="41" t="n">
        <x:f>C7*J7/1000</x:f>
        <x:v>0.144</x:v>
      </x:c>
      <x:c r="L7" s="27" t="str">
        <x:v>article evidence authority</x:v>
      </x:c>
      <x:c r="M7" s="27" t="str">
        <x:v>OPEN</x:v>
      </x:c>
      <x:c r="N7" s="29" t="str"/>
    </x:row>
    <x:row r="8" ht="18" customHeight="1">
      <x:c r="B8" s="27" t="str">
        <x:v>TTC-T01</x:v>
      </x:c>
      <x:c r="C8" s="27" t="n">
        <x:v>36</x:v>
      </x:c>
      <x:c r="D8" s="27" t="n">
        <x:v>4</x:v>
      </x:c>
      <x:c r="E8" s="27" t="n">
        <x:v>8</x:v>
      </x:c>
      <x:c r="F8" s="27" t="n">
        <x:v>4</x:v>
      </x:c>
      <x:c r="G8" s="27" t="n">
        <x:f>C8-D8-E8-F8</x:f>
        <x:v>20</x:v>
      </x:c>
      <x:c r="H8" s="27" t="n">
        <x:v>12</x:v>
      </x:c>
      <x:c r="I8" s="27" t="n">
        <x:f>G8-H8</x:f>
        <x:v>8</x:v>
      </x:c>
      <x:c r="J8" s="41" t="n">
        <x:v>5</x:v>
      </x:c>
      <x:c r="K8" s="41" t="n">
        <x:f>C8*J8/1000</x:f>
        <x:v>0.18</x:v>
      </x:c>
      <x:c r="L8" s="27" t="str">
        <x:v>article evidence authority</x:v>
      </x:c>
      <x:c r="M8" s="27" t="str">
        <x:v>OPEN</x:v>
      </x:c>
      <x:c r="N8" s="29" t="str"/>
    </x:row>
    <x:row r="9" ht="18" customHeight="1">
      <x:c r="B9" s="27" t="str">
        <x:v>ACN-A01</x:v>
      </x:c>
      <x:c r="C9" s="27" t="n">
        <x:v>8</x:v>
      </x:c>
      <x:c r="D9" s="27" t="n">
        <x:v>2</x:v>
      </x:c>
      <x:c r="E9" s="27" t="n">
        <x:v>1</x:v>
      </x:c>
      <x:c r="F9" s="27" t="n">
        <x:v>1</x:v>
      </x:c>
      <x:c r="G9" s="27" t="n">
        <x:f>C9-D9-E9-F9</x:f>
        <x:v>4</x:v>
      </x:c>
      <x:c r="H9" s="27" t="n">
        <x:v>3</x:v>
      </x:c>
      <x:c r="I9" s="27" t="n">
        <x:f>G9-H9</x:f>
        <x:v>1</x:v>
      </x:c>
      <x:c r="J9" s="41" t="n">
        <x:v>25</x:v>
      </x:c>
      <x:c r="K9" s="41" t="n">
        <x:f>C9*J9/1000</x:f>
        <x:v>0.2</x:v>
      </x:c>
      <x:c r="L9" s="27" t="str">
        <x:v>air evidence authority</x:v>
      </x:c>
      <x:c r="M9" s="27" t="str">
        <x:v>OPEN</x:v>
      </x:c>
      <x:c r="N9" s="29" t="str"/>
    </x:row>
    <x:row r="10" ht="18" customHeight="1">
      <x:c r="B10" s="27" t="str">
        <x:v>TCN-T01</x:v>
      </x:c>
      <x:c r="C10" s="27" t="n">
        <x:v>10</x:v>
      </x:c>
      <x:c r="D10" s="27" t="n">
        <x:v>2</x:v>
      </x:c>
      <x:c r="E10" s="27" t="n">
        <x:v>2</x:v>
      </x:c>
      <x:c r="F10" s="27" t="n">
        <x:v>1</x:v>
      </x:c>
      <x:c r="G10" s="27" t="n">
        <x:f>C10-D10-E10-F10</x:f>
        <x:v>5</x:v>
      </x:c>
      <x:c r="H10" s="27" t="n">
        <x:v>4</x:v>
      </x:c>
      <x:c r="I10" s="27" t="n">
        <x:f>G10-H10</x:f>
        <x:v>1</x:v>
      </x:c>
      <x:c r="J10" s="41" t="n">
        <x:v>45</x:v>
      </x:c>
      <x:c r="K10" s="41" t="n">
        <x:f>C10*J10/1000</x:f>
        <x:v>0.45</x:v>
      </x:c>
      <x:c r="L10" s="27" t="str">
        <x:v>terrain evidence authority</x:v>
      </x:c>
      <x:c r="M10" s="27" t="str">
        <x:v>OPEN</x:v>
      </x:c>
      <x:c r="N10" s="29" t="str"/>
    </x:row>
    <x:row r="11" ht="18" customHeight="1">
      <x:c r="B11" s="27" t="str">
        <x:v>CRS-R01</x:v>
      </x:c>
      <x:c r="C11" s="27" t="n">
        <x:v>8</x:v>
      </x:c>
      <x:c r="D11" s="27" t="n">
        <x:v>2</x:v>
      </x:c>
      <x:c r="E11" s="27" t="n">
        <x:v>1</x:v>
      </x:c>
      <x:c r="F11" s="27" t="n">
        <x:v>1</x:v>
      </x:c>
      <x:c r="G11" s="27" t="n">
        <x:f>C11-D11-E11-F11</x:f>
        <x:v>4</x:v>
      </x:c>
      <x:c r="H11" s="27" t="n">
        <x:v>3</x:v>
      </x:c>
      <x:c r="I11" s="27" t="n">
        <x:f>G11-H11</x:f>
        <x:v>1</x:v>
      </x:c>
      <x:c r="J11" s="41" t="n">
        <x:v>35</x:v>
      </x:c>
      <x:c r="K11" s="41" t="n">
        <x:f>C11*J11/1000</x:f>
        <x:v>0.28</x:v>
      </x:c>
      <x:c r="L11" s="27" t="str">
        <x:v>civil-effect authority</x:v>
      </x:c>
      <x:c r="M11" s="27" t="str">
        <x:v>OPEN</x:v>
      </x:c>
      <x:c r="N11" s="29" t="str"/>
    </x:row>
    <x:row r="12" ht="18" customHeight="1">
      <x:c r="B12" s="27" t="str">
        <x:v>PSS-T01</x:v>
      </x:c>
      <x:c r="C12" s="27" t="n">
        <x:v>16</x:v>
      </x:c>
      <x:c r="D12" s="27" t="n">
        <x:v>2</x:v>
      </x:c>
      <x:c r="E12" s="27" t="n">
        <x:v>4</x:v>
      </x:c>
      <x:c r="F12" s="27" t="n">
        <x:v>2</x:v>
      </x:c>
      <x:c r="G12" s="27" t="n">
        <x:f>C12-D12-E12-F12</x:f>
        <x:v>8</x:v>
      </x:c>
      <x:c r="H12" s="27" t="n">
        <x:v>4</x:v>
      </x:c>
      <x:c r="I12" s="27" t="n">
        <x:f>G12-H12</x:f>
        <x:v>4</x:v>
      </x:c>
      <x:c r="J12" s="41" t="n">
        <x:v>20</x:v>
      </x:c>
      <x:c r="K12" s="41" t="n">
        <x:f>C12*J12/1000</x:f>
        <x:v>0.32</x:v>
      </x:c>
      <x:c r="L12" s="27" t="str">
        <x:v>terrain metrology</x:v>
      </x:c>
      <x:c r="M12" s="27" t="str">
        <x:v>OPEN</x:v>
      </x:c>
      <x:c r="N12" s="29" t="str"/>
    </x:row>
    <x:row r="13" ht="18" customHeight="1">
      <x:c r="B13" s="27" t="str">
        <x:v>PIF-I01</x:v>
      </x:c>
      <x:c r="C13" s="27" t="n">
        <x:v>60</x:v>
      </x:c>
      <x:c r="D13" s="27" t="n">
        <x:v>6</x:v>
      </x:c>
      <x:c r="E13" s="27" t="n">
        <x:v>12</x:v>
      </x:c>
      <x:c r="F13" s="27" t="n">
        <x:v>6</x:v>
      </x:c>
      <x:c r="G13" s="27" t="n">
        <x:f>C13-D13-E13-F13</x:f>
        <x:v>36</x:v>
      </x:c>
      <x:c r="H13" s="27" t="n">
        <x:v>20</x:v>
      </x:c>
      <x:c r="I13" s="27" t="n">
        <x:f>G13-H13</x:f>
        <x:v>16</x:v>
      </x:c>
      <x:c r="J13" s="41" t="n">
        <x:v>0.5</x:v>
      </x:c>
      <x:c r="K13" s="41" t="n">
        <x:f>C13*J13/1000</x:f>
        <x:v>0.03</x:v>
      </x:c>
      <x:c r="L13" s="27" t="str">
        <x:v>interface authority</x:v>
      </x:c>
      <x:c r="M13" s="27" t="str">
        <x:v>OPEN</x:v>
      </x:c>
      <x:c r="N13" s="29" t="str"/>
    </x:row>
    <x:row r="14" ht="18" customHeight="1">
      <x:c r="B14" s="27" t="str">
        <x:v>TKS-C01</x:v>
      </x:c>
      <x:c r="C14" s="27" t="n">
        <x:v>20</x:v>
      </x:c>
      <x:c r="D14" s="27" t="n">
        <x:v>4</x:v>
      </x:c>
      <x:c r="E14" s="27" t="n">
        <x:v>2</x:v>
      </x:c>
      <x:c r="F14" s="27" t="n">
        <x:v>2</x:v>
      </x:c>
      <x:c r="G14" s="27" t="n">
        <x:f>C14-D14-E14-F14</x:f>
        <x:v>12</x:v>
      </x:c>
      <x:c r="H14" s="27" t="n">
        <x:v>8</x:v>
      </x:c>
      <x:c r="I14" s="27" t="n">
        <x:f>G14-H14</x:f>
        <x:v>4</x:v>
      </x:c>
      <x:c r="J14" s="41" t="n">
        <x:v>2</x:v>
      </x:c>
      <x:c r="K14" s="41" t="n">
        <x:f>C14*J14/1000</x:f>
        <x:v>0.04</x:v>
      </x:c>
      <x:c r="L14" s="27" t="str">
        <x:v>time authority</x:v>
      </x:c>
      <x:c r="M14" s="27" t="str">
        <x:v>OPEN</x:v>
      </x:c>
      <x:c r="N14" s="29" t="str"/>
    </x:row>
    <x:row r="15" ht="18" customHeight="1">
      <x:c r="B15" s="27" t="str">
        <x:v>STG-S01</x:v>
      </x:c>
      <x:c r="C15" s="27" t="n">
        <x:v>20</x:v>
      </x:c>
      <x:c r="D15" s="27" t="n">
        <x:v>4</x:v>
      </x:c>
      <x:c r="E15" s="27" t="n">
        <x:v>2</x:v>
      </x:c>
      <x:c r="F15" s="27" t="n">
        <x:v>2</x:v>
      </x:c>
      <x:c r="G15" s="27" t="n">
        <x:f>C15-D15-E15-F15</x:f>
        <x:v>12</x:v>
      </x:c>
      <x:c r="H15" s="27" t="n">
        <x:v>8</x:v>
      </x:c>
      <x:c r="I15" s="27" t="n">
        <x:f>G15-H15</x:f>
        <x:v>4</x:v>
      </x:c>
      <x:c r="J15" s="41" t="n">
        <x:v>1</x:v>
      </x:c>
      <x:c r="K15" s="41" t="n">
        <x:f>C15*J15/1000</x:f>
        <x:v>0.02</x:v>
      </x:c>
      <x:c r="L15" s="27" t="str">
        <x:v>data authority</x:v>
      </x:c>
      <x:c r="M15" s="27" t="str">
        <x:v>OPEN</x:v>
      </x:c>
      <x:c r="N15" s="29" t="str"/>
    </x:row>
    <x:row r="16" ht="18" customHeight="1">
      <x:c r="B16" s="27" t="str">
        <x:v>EPS-P01</x:v>
      </x:c>
      <x:c r="C16" s="27" t="n">
        <x:v>20</x:v>
      </x:c>
      <x:c r="D16" s="27" t="n">
        <x:v>4</x:v>
      </x:c>
      <x:c r="E16" s="27" t="n">
        <x:v>3</x:v>
      </x:c>
      <x:c r="F16" s="27" t="n">
        <x:v>2</x:v>
      </x:c>
      <x:c r="G16" s="27" t="n">
        <x:f>C16-D16-E16-F16</x:f>
        <x:v>11</x:v>
      </x:c>
      <x:c r="H16" s="27" t="n">
        <x:v>8</x:v>
      </x:c>
      <x:c r="I16" s="27" t="n">
        <x:f>G16-H16</x:f>
        <x:v>3</x:v>
      </x:c>
      <x:c r="J16" s="41" t="n">
        <x:v>3</x:v>
      </x:c>
      <x:c r="K16" s="41" t="n">
        <x:f>C16*J16/1000</x:f>
        <x:v>0.06</x:v>
      </x:c>
      <x:c r="L16" s="27" t="str">
        <x:v>energy safety authority</x:v>
      </x:c>
      <x:c r="M16" s="27" t="str">
        <x:v>OPEN</x:v>
      </x:c>
      <x:c r="N16" s="29" t="str"/>
    </x:row>
    <x:row r="17" ht="18" customHeight="1">
      <x:c r="B17" s="31" t="str">
        <x:v>MHE-E01</x:v>
      </x:c>
      <x:c r="C17" s="31" t="n">
        <x:v>20</x:v>
      </x:c>
      <x:c r="D17" s="31" t="n">
        <x:v>4</x:v>
      </x:c>
      <x:c r="E17" s="31" t="n">
        <x:v>4</x:v>
      </x:c>
      <x:c r="F17" s="31" t="n">
        <x:v>2</x:v>
      </x:c>
      <x:c r="G17" s="31" t="n">
        <x:f>C17-D17-E17-F17</x:f>
        <x:v>10</x:v>
      </x:c>
      <x:c r="H17" s="31" t="n">
        <x:v>6</x:v>
      </x:c>
      <x:c r="I17" s="31" t="n">
        <x:f>G17-H17</x:f>
        <x:v>4</x:v>
      </x:c>
      <x:c r="J17" s="42" t="n">
        <x:v>2</x:v>
      </x:c>
      <x:c r="K17" s="42" t="n">
        <x:f>C17*J17/1000</x:f>
        <x:v>0.04</x:v>
      </x:c>
      <x:c r="L17" s="31" t="str">
        <x:v>equivalence authority</x:v>
      </x:c>
      <x:c r="M17" s="31" t="str">
        <x:v>OPEN</x:v>
      </x:c>
      <x:c r="N17" s="33" t="str"/>
    </x:row>
    <x:row r="18" ht="18" customHeight="1"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18" customHeight="1"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18" customHeight="1">
      <x:c r="B20" s="8" t="str">
        <x:v>Bank controls</x:v>
      </x:c>
      <x:c r="C20" s="9" t="str">
        <x:v>Bank controls</x:v>
      </x:c>
      <x:c r="D20" s="9" t="str">
        <x:v>Bank controls</x:v>
      </x:c>
      <x:c r="E20" s="9" t="str">
        <x:v>Bank controls</x:v>
      </x:c>
      <x:c r="F20" s="9" t="str">
        <x:v>Bank controls</x:v>
      </x:c>
      <x:c r="G20" s="9" t="str">
        <x:v>Bank controls</x:v>
      </x:c>
      <x:c r="H20" s="9" t="str">
        <x:v>Bank controls</x:v>
      </x:c>
      <x:c r="I20" s="9" t="str">
        <x:v>Bank controls</x:v>
      </x:c>
      <x:c r="J20" s="9" t="str">
        <x:v>Bank controls</x:v>
      </x:c>
      <x:c r="K20" s="9" t="str">
        <x:v>Bank controls</x:v>
      </x:c>
      <x:c r="L20" s="9" t="str">
        <x:v>Bank controls</x:v>
      </x:c>
      <x:c r="M20" s="9" t="str">
        <x:v>Bank controls</x:v>
      </x:c>
      <x:c r="N20" s="10" t="str">
        <x:v>Bank controls</x:v>
      </x:c>
    </x:row>
    <x:row r="21" ht="18" customHeight="1">
      <x:c r="B21" s="19" t="str">
        <x:v>Measure</x:v>
      </x:c>
      <x:c r="C21" s="20" t="str">
        <x:v>Value</x:v>
      </x:c>
      <x:c r="D21" s="20" t="str">
        <x:v>Unit</x:v>
      </x:c>
      <x:c r="E21" s="20" t="str">
        <x:v>Limit</x:v>
      </x:c>
      <x:c r="F21" s="21" t="str">
        <x:v>Result</x:v>
      </x:c>
      <x:c r="G21" s="2"/>
      <x:c r="H21" s="2"/>
      <x:c r="I21" s="2"/>
      <x:c r="J21" s="2"/>
      <x:c r="K21" s="2"/>
      <x:c r="L21" s="2"/>
      <x:c r="M21" s="2"/>
      <x:c r="N21" s="2"/>
    </x:row>
    <x:row r="22" ht="18" customHeight="1">
      <x:c r="B22" s="2" t="str">
        <x:v>Serial families</x:v>
      </x:c>
      <x:c r="C22" s="2" t="n">
        <x:f>COUNTA(B7:B17)</x:f>
        <x:v>11</x:v>
      </x:c>
      <x:c r="D22" s="2" t="str">
        <x:v>families</x:v>
      </x:c>
      <x:c r="E22" s="2" t="n">
        <x:v>11</x:v>
      </x:c>
      <x:c r="F22" s="2" t="str">
        <x:f>IF(C22=E22,"PASS","FAIL")</x:f>
        <x:v>PASS</x:v>
      </x:c>
      <x:c r="G22" s="2"/>
      <x:c r="H22" s="2"/>
      <x:c r="I22" s="2"/>
      <x:c r="J22" s="2"/>
      <x:c r="K22" s="2"/>
      <x:c r="L22" s="2"/>
      <x:c r="M22" s="2"/>
      <x:c r="N22" s="2"/>
    </x:row>
    <x:row r="23" ht="18" customHeight="1">
      <x:c r="B23" s="2" t="str">
        <x:v>Prototype article cost</x:v>
      </x:c>
      <x:c r="C23" s="2" t="n">
        <x:f>SUM(K7:K17)</x:f>
        <x:v>1.7640000000000002</x:v>
      </x:c>
      <x:c r="D23" s="2" t="str">
        <x:v>USD B</x:v>
      </x:c>
      <x:c r="E23" s="2" t="n">
        <x:v>2</x:v>
      </x:c>
      <x:c r="F23" s="2" t="str">
        <x:f>IF(C23&lt;=E23,"PASS","FAIL")</x:f>
        <x:v>PASS</x:v>
      </x:c>
      <x:c r="G23" s="2"/>
      <x:c r="H23" s="2"/>
      <x:c r="I23" s="2"/>
      <x:c r="J23" s="2"/>
      <x:c r="K23" s="2"/>
      <x:c r="L23" s="2"/>
      <x:c r="M23" s="2"/>
      <x:c r="N23" s="2"/>
    </x:row>
    <x:row r="24" ht="18" customHeight="1">
      <x:c r="B24" s="2" t="str">
        <x:v>Negative margins</x:v>
      </x:c>
      <x:c r="C24" s="2" t="n">
        <x:f>COUNTIFS(I7:I17,"&lt;0")</x:f>
        <x:v>0</x:v>
      </x:c>
      <x:c r="D24" s="2" t="str">
        <x:v>families</x:v>
      </x:c>
      <x:c r="E24" s="2" t="n">
        <x:v>0</x:v>
      </x:c>
      <x:c r="F24" s="2" t="str">
        <x:f>IF(C24=E24,"PASS","FAIL")</x:f>
        <x:v>PASS</x:v>
      </x:c>
      <x:c r="G24" s="2"/>
      <x:c r="H24" s="2"/>
      <x:c r="I24" s="2"/>
      <x:c r="J24" s="2"/>
      <x:c r="K24" s="2"/>
      <x:c r="L24" s="2"/>
      <x:c r="M24" s="2"/>
      <x:c r="N24" s="2"/>
    </x:row>
  </x:sheetData>
  <x:mergeCells>
    <x:mergeCell ref="B3:N3"/>
    <x:mergeCell ref="B20:N20"/>
  </x:mergeCells>
  <x:conditionalFormatting sqref="M7:M17">
    <x:cfRule type="containsText" dxfId="30" priority="1" operator="containsText" text="OPEN"/>
    <x:cfRule type="containsText" dxfId="31" priority="2" operator="containsText" text="HOLD"/>
    <x:cfRule type="containsText" dxfId="32" priority="3" operator="containsText" text="BLOCKED"/>
    <x:cfRule type="containsText" dxfId="33" priority="4" operator="containsText" text="REJECT"/>
    <x:cfRule type="containsText" dxfId="34" priority="5" operator="containsText" text="FAIL"/>
    <x:cfRule type="containsText" dxfId="35" priority="6" operator="containsText" text="SELECTED"/>
  </x:conditionalFormatting>
  <x:conditionalFormatting sqref="F22:F24">
    <x:cfRule type="containsText" dxfId="36" priority="7" operator="containsText" text="OPEN"/>
    <x:cfRule type="containsText" dxfId="37" priority="8" operator="containsText" text="HOLD"/>
    <x:cfRule type="containsText" dxfId="38" priority="9" operator="containsText" text="BLOCKED"/>
    <x:cfRule type="containsText" dxfId="39" priority="10" operator="containsText" text="REJECT"/>
    <x:cfRule type="containsText" dxfId="40" priority="11" operator="containsText" text="FAIL"/>
    <x:cfRule type="containsText" dxfId="41" priority="12" operator="containsText" text="SELECTED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1" hidden="0" customWidth="1"/>
    <x:col min="3" max="3" width="11" hidden="0" customWidth="1"/>
    <x:col min="4" max="4" width="11" hidden="0" customWidth="1"/>
    <x:col min="5" max="5" width="38" hidden="0" customWidth="1"/>
    <x:col min="6" max="6" width="24" hidden="0" customWidth="1"/>
    <x:col min="7" max="7" width="25" hidden="0" customWidth="1"/>
    <x:col min="8" max="8" width="21" hidden="0" customWidth="1"/>
    <x:col min="9" max="9" width="30" hidden="0" customWidth="1"/>
    <x:col min="10" max="10" width="27" hidden="0" customWidth="1"/>
    <x:col min="11" max="11" width="14" hidden="0" customWidth="1"/>
    <x:col min="12" max="12" width="12" hidden="0" customWidth="1"/>
    <x:col min="13" max="13" width="11" hidden="0" customWidth="1"/>
    <x:col min="14" max="14" width="14" hidden="0" customWidth="1"/>
    <x:col min="15" max="15" width="14" hidden="0" customWidth="1"/>
  </x:cols>
  <x:sheetData>
    <x:row r="2" ht="18" customHeight="1">
      <x:c r="B2" s="3" t="str">
        <x:v>P01-P08 trial register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18" customHeight="1">
      <x:c r="B3" s="4" t="str">
        <x:v>Sixty-eight frozen trials expose energy, custody, physics, civil effect, equivalence and independent reproduction.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18" customHeight="1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</x:row>
    <x:row r="5" ht="18" customHeight="1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18" customHeight="1">
      <x:c r="B6" s="25" t="str">
        <x:v>Trial</x:v>
      </x:c>
      <x:c r="C6" s="26" t="str">
        <x:v>Campaign</x:v>
      </x:c>
      <x:c r="D6" s="26" t="str">
        <x:v>Sequence</x:v>
      </x:c>
      <x:c r="E6" s="26" t="str">
        <x:v>Trial object</x:v>
      </x:c>
      <x:c r="F6" s="26" t="str">
        <x:v>Failure world</x:v>
      </x:c>
      <x:c r="G6" s="26" t="str">
        <x:v>Configuration</x:v>
      </x:c>
      <x:c r="H6" s="26" t="str">
        <x:v>Required articles</x:v>
      </x:c>
      <x:c r="I6" s="26" t="str">
        <x:v>Blinding</x:v>
      </x:c>
      <x:c r="J6" s="26" t="str">
        <x:v>Evidence authority</x:v>
      </x:c>
      <x:c r="K6" s="26" t="str">
        <x:v>Gate set</x:v>
      </x:c>
      <x:c r="L6" s="26" t="str">
        <x:v>State</x:v>
      </x:c>
      <x:c r="M6" s="26" t="str">
        <x:v>Credit</x:v>
      </x:c>
      <x:c r="N6" s="26" t="str">
        <x:v>Start month</x:v>
      </x:c>
      <x:c r="O6" s="26" t="str">
        <x:v>End month</x:v>
      </x:c>
    </x:row>
    <x:row r="7" ht="28" customHeight="1">
      <x:c r="B7" s="27" t="str">
        <x:v>T001</x:v>
      </x:c>
      <x:c r="C7" s="27" t="str">
        <x:v>P01</x:v>
      </x:c>
      <x:c r="D7" s="27" t="n">
        <x:v>1</x:v>
      </x:c>
      <x:c r="E7" s="27" t="str">
        <x:v>air tile seven-day energy</x:v>
      </x:c>
      <x:c r="F7" s="27" t="str">
        <x:v>registered hazard envelope</x:v>
      </x:c>
      <x:c r="G7" s="27" t="str">
        <x:v>instrumented</x:v>
      </x:c>
      <x:c r="H7" s="27" t="str">
        <x:v>campaign article set</x:v>
      </x:c>
      <x:c r="I7" s="27" t="str">
        <x:v>builder and operator blinded after start</x:v>
      </x:c>
      <x:c r="J7" s="27" t="str">
        <x:v>independent trial authority</x:v>
      </x:c>
      <x:c r="K7" s="27" t="str">
        <x:v>G01-G08</x:v>
      </x:c>
      <x:c r="L7" s="27" t="str">
        <x:v>OPEN</x:v>
      </x:c>
      <x:c r="M7" s="27" t="n">
        <x:v>0</x:v>
      </x:c>
      <x:c r="N7" s="27" t="n">
        <x:v>1</x:v>
      </x:c>
      <x:c r="O7" s="29" t="n">
        <x:v>3</x:v>
      </x:c>
    </x:row>
    <x:row r="8" ht="28" customHeight="1">
      <x:c r="B8" s="27" t="str">
        <x:v>T002</x:v>
      </x:c>
      <x:c r="C8" s="27" t="str">
        <x:v>P01</x:v>
      </x:c>
      <x:c r="D8" s="27" t="n">
        <x:v>2</x:v>
      </x:c>
      <x:c r="E8" s="27" t="str">
        <x:v>terrain tile seven-day energy</x:v>
      </x:c>
      <x:c r="F8" s="27" t="str">
        <x:v>registered hazard envelope</x:v>
      </x:c>
      <x:c r="G8" s="27" t="str">
        <x:v>instrumented</x:v>
      </x:c>
      <x:c r="H8" s="27" t="str">
        <x:v>campaign article set</x:v>
      </x:c>
      <x:c r="I8" s="27" t="str">
        <x:v>builder and operator blinded after start</x:v>
      </x:c>
      <x:c r="J8" s="27" t="str">
        <x:v>independent trial authority</x:v>
      </x:c>
      <x:c r="K8" s="27" t="str">
        <x:v>G01-G08</x:v>
      </x:c>
      <x:c r="L8" s="27" t="str">
        <x:v>OPEN</x:v>
      </x:c>
      <x:c r="M8" s="27" t="n">
        <x:v>0</x:v>
      </x:c>
      <x:c r="N8" s="27" t="n">
        <x:v>2</x:v>
      </x:c>
      <x:c r="O8" s="29" t="n">
        <x:v>4</x:v>
      </x:c>
    </x:row>
    <x:row r="9" ht="28" customHeight="1">
      <x:c r="B9" s="27" t="str">
        <x:v>T003</x:v>
      </x:c>
      <x:c r="C9" s="27" t="str">
        <x:v>P01</x:v>
      </x:c>
      <x:c r="D9" s="27" t="n">
        <x:v>3</x:v>
      </x:c>
      <x:c r="E9" s="27" t="str">
        <x:v>air carrier seven-day energy</x:v>
      </x:c>
      <x:c r="F9" s="27" t="str">
        <x:v>registered hazard envelope</x:v>
      </x:c>
      <x:c r="G9" s="27" t="str">
        <x:v>instrumented</x:v>
      </x:c>
      <x:c r="H9" s="27" t="str">
        <x:v>campaign article set</x:v>
      </x:c>
      <x:c r="I9" s="27" t="str">
        <x:v>builder and operator blinded after start</x:v>
      </x:c>
      <x:c r="J9" s="27" t="str">
        <x:v>independent trial authority</x:v>
      </x:c>
      <x:c r="K9" s="27" t="str">
        <x:v>G01-G08</x:v>
      </x:c>
      <x:c r="L9" s="27" t="str">
        <x:v>OPEN</x:v>
      </x:c>
      <x:c r="M9" s="27" t="n">
        <x:v>0</x:v>
      </x:c>
      <x:c r="N9" s="27" t="n">
        <x:v>4</x:v>
      </x:c>
      <x:c r="O9" s="29" t="n">
        <x:v>6</x:v>
      </x:c>
    </x:row>
    <x:row r="10" ht="28" customHeight="1">
      <x:c r="B10" s="27" t="str">
        <x:v>T004</x:v>
      </x:c>
      <x:c r="C10" s="27" t="str">
        <x:v>P01</x:v>
      </x:c>
      <x:c r="D10" s="27" t="n">
        <x:v>4</x:v>
      </x:c>
      <x:c r="E10" s="27" t="str">
        <x:v>terrain carrier seven-day energy</x:v>
      </x:c>
      <x:c r="F10" s="27" t="str">
        <x:v>registered hazard envelope</x:v>
      </x:c>
      <x:c r="G10" s="27" t="str">
        <x:v>instrumented</x:v>
      </x:c>
      <x:c r="H10" s="27" t="str">
        <x:v>campaign article set</x:v>
      </x:c>
      <x:c r="I10" s="27" t="str">
        <x:v>builder and operator blinded after start</x:v>
      </x:c>
      <x:c r="J10" s="27" t="str">
        <x:v>independent trial authority</x:v>
      </x:c>
      <x:c r="K10" s="27" t="str">
        <x:v>G01-G08</x:v>
      </x:c>
      <x:c r="L10" s="27" t="str">
        <x:v>OPEN</x:v>
      </x:c>
      <x:c r="M10" s="27" t="n">
        <x:v>0</x:v>
      </x:c>
      <x:c r="N10" s="27" t="n">
        <x:v>5</x:v>
      </x:c>
      <x:c r="O10" s="29" t="n">
        <x:v>7</x:v>
      </x:c>
    </x:row>
    <x:row r="11" ht="28" customHeight="1">
      <x:c r="B11" s="27" t="str">
        <x:v>T005</x:v>
      </x:c>
      <x:c r="C11" s="27" t="str">
        <x:v>P01</x:v>
      </x:c>
      <x:c r="D11" s="27" t="n">
        <x:v>5</x:v>
      </x:c>
      <x:c r="E11" s="27" t="str">
        <x:v>civil receiver seven-day energy</x:v>
      </x:c>
      <x:c r="F11" s="27" t="str">
        <x:v>registered hazard envelope</x:v>
      </x:c>
      <x:c r="G11" s="27" t="str">
        <x:v>instrumented</x:v>
      </x:c>
      <x:c r="H11" s="27" t="str">
        <x:v>campaign article set</x:v>
      </x:c>
      <x:c r="I11" s="27" t="str">
        <x:v>builder and operator blinded after start</x:v>
      </x:c>
      <x:c r="J11" s="27" t="str">
        <x:v>independent trial authority</x:v>
      </x:c>
      <x:c r="K11" s="27" t="str">
        <x:v>G01-G08</x:v>
      </x:c>
      <x:c r="L11" s="27" t="str">
        <x:v>OPEN</x:v>
      </x:c>
      <x:c r="M11" s="27" t="n">
        <x:v>0</x:v>
      </x:c>
      <x:c r="N11" s="27" t="n">
        <x:v>7</x:v>
      </x:c>
      <x:c r="O11" s="29" t="n">
        <x:v>9</x:v>
      </x:c>
    </x:row>
    <x:row r="12" ht="28" customHeight="1">
      <x:c r="B12" s="27" t="str">
        <x:v>T006</x:v>
      </x:c>
      <x:c r="C12" s="27" t="str">
        <x:v>P01</x:v>
      </x:c>
      <x:c r="D12" s="27" t="n">
        <x:v>6</x:v>
      </x:c>
      <x:c r="E12" s="27" t="str">
        <x:v>coincident peak capture</x:v>
      </x:c>
      <x:c r="F12" s="27" t="str">
        <x:v>registered hazard envelope</x:v>
      </x:c>
      <x:c r="G12" s="27" t="str">
        <x:v>instrumented</x:v>
      </x:c>
      <x:c r="H12" s="27" t="str">
        <x:v>campaign article set</x:v>
      </x:c>
      <x:c r="I12" s="27" t="str">
        <x:v>builder and operator blinded after start</x:v>
      </x:c>
      <x:c r="J12" s="27" t="str">
        <x:v>independent trial authority</x:v>
      </x:c>
      <x:c r="K12" s="27" t="str">
        <x:v>G01-G08</x:v>
      </x:c>
      <x:c r="L12" s="27" t="str">
        <x:v>OPEN</x:v>
      </x:c>
      <x:c r="M12" s="27" t="n">
        <x:v>0</x:v>
      </x:c>
      <x:c r="N12" s="27" t="n">
        <x:v>8</x:v>
      </x:c>
      <x:c r="O12" s="29" t="n">
        <x:v>10</x:v>
      </x:c>
    </x:row>
    <x:row r="13" ht="28" customHeight="1">
      <x:c r="B13" s="27" t="str">
        <x:v>T007</x:v>
      </x:c>
      <x:c r="C13" s="27" t="str">
        <x:v>P01</x:v>
      </x:c>
      <x:c r="D13" s="27" t="n">
        <x:v>7</x:v>
      </x:c>
      <x:c r="E13" s="27" t="str">
        <x:v>total network loss</x:v>
      </x:c>
      <x:c r="F13" s="27" t="str">
        <x:v>total link loss</x:v>
      </x:c>
      <x:c r="G13" s="27" t="str">
        <x:v>instrumented</x:v>
      </x:c>
      <x:c r="H13" s="27" t="str">
        <x:v>campaign article set</x:v>
      </x:c>
      <x:c r="I13" s="27" t="str">
        <x:v>builder and operator blinded after start</x:v>
      </x:c>
      <x:c r="J13" s="27" t="str">
        <x:v>independent trial authority</x:v>
      </x:c>
      <x:c r="K13" s="27" t="str">
        <x:v>G01-G08</x:v>
      </x:c>
      <x:c r="L13" s="27" t="str">
        <x:v>OPEN</x:v>
      </x:c>
      <x:c r="M13" s="27" t="n">
        <x:v>0</x:v>
      </x:c>
      <x:c r="N13" s="27" t="n">
        <x:v>10</x:v>
      </x:c>
      <x:c r="O13" s="29" t="n">
        <x:v>12</x:v>
      </x:c>
    </x:row>
    <x:row r="14" ht="28" customHeight="1">
      <x:c r="B14" s="27" t="str">
        <x:v>T008</x:v>
      </x:c>
      <x:c r="C14" s="27" t="str">
        <x:v>P01</x:v>
      </x:c>
      <x:c r="D14" s="27" t="n">
        <x:v>8</x:v>
      </x:c>
      <x:c r="E14" s="27" t="str">
        <x:v>post-endurance fire containment</x:v>
      </x:c>
      <x:c r="F14" s="27" t="str">
        <x:v>registered hazard envelope</x:v>
      </x:c>
      <x:c r="G14" s="27" t="str">
        <x:v>instrumented</x:v>
      </x:c>
      <x:c r="H14" s="27" t="str">
        <x:v>campaign article set</x:v>
      </x:c>
      <x:c r="I14" s="27" t="str">
        <x:v>builder and operator blinded after start</x:v>
      </x:c>
      <x:c r="J14" s="27" t="str">
        <x:v>independent trial authority</x:v>
      </x:c>
      <x:c r="K14" s="27" t="str">
        <x:v>G01-G08</x:v>
      </x:c>
      <x:c r="L14" s="27" t="str">
        <x:v>OPEN</x:v>
      </x:c>
      <x:c r="M14" s="27" t="n">
        <x:v>0</x:v>
      </x:c>
      <x:c r="N14" s="27" t="n">
        <x:v>11</x:v>
      </x:c>
      <x:c r="O14" s="29" t="n">
        <x:v>12</x:v>
      </x:c>
    </x:row>
    <x:row r="15" ht="28" customHeight="1">
      <x:c r="B15" s="27" t="str">
        <x:v>T009</x:v>
      </x:c>
      <x:c r="C15" s="27" t="str">
        <x:v>P02</x:v>
      </x:c>
      <x:c r="D15" s="27" t="n">
        <x:v>1</x:v>
      </x:c>
      <x:c r="E15" s="27" t="str">
        <x:v>air cassette mass-volume weigh-in</x:v>
      </x:c>
      <x:c r="F15" s="27" t="str">
        <x:v>registered hazard envelope</x:v>
      </x:c>
      <x:c r="G15" s="27" t="str">
        <x:v>instrumented</x:v>
      </x:c>
      <x:c r="H15" s="27" t="str">
        <x:v>campaign article set</x:v>
      </x:c>
      <x:c r="I15" s="27" t="str">
        <x:v>builder and operator blinded after start</x:v>
      </x:c>
      <x:c r="J15" s="27" t="str">
        <x:v>independent trial authority</x:v>
      </x:c>
      <x:c r="K15" s="27" t="str">
        <x:v>G01-G08</x:v>
      </x:c>
      <x:c r="L15" s="27" t="str">
        <x:v>OPEN</x:v>
      </x:c>
      <x:c r="M15" s="27" t="n">
        <x:v>0</x:v>
      </x:c>
      <x:c r="N15" s="27" t="n">
        <x:v>7</x:v>
      </x:c>
      <x:c r="O15" s="29" t="n">
        <x:v>9</x:v>
      </x:c>
    </x:row>
    <x:row r="16" ht="28" customHeight="1">
      <x:c r="B16" s="27" t="str">
        <x:v>T010</x:v>
      </x:c>
      <x:c r="C16" s="27" t="str">
        <x:v>P02</x:v>
      </x:c>
      <x:c r="D16" s="27" t="n">
        <x:v>2</x:v>
      </x:c>
      <x:c r="E16" s="27" t="str">
        <x:v>terrain cassette mass-volume weigh-in</x:v>
      </x:c>
      <x:c r="F16" s="27" t="str">
        <x:v>registered hazard envelope</x:v>
      </x:c>
      <x:c r="G16" s="27" t="str">
        <x:v>instrumented</x:v>
      </x:c>
      <x:c r="H16" s="27" t="str">
        <x:v>campaign article set</x:v>
      </x:c>
      <x:c r="I16" s="27" t="str">
        <x:v>builder and operator blinded after start</x:v>
      </x:c>
      <x:c r="J16" s="27" t="str">
        <x:v>independent trial authority</x:v>
      </x:c>
      <x:c r="K16" s="27" t="str">
        <x:v>G01-G08</x:v>
      </x:c>
      <x:c r="L16" s="27" t="str">
        <x:v>OPEN</x:v>
      </x:c>
      <x:c r="M16" s="27" t="n">
        <x:v>0</x:v>
      </x:c>
      <x:c r="N16" s="27" t="n">
        <x:v>8</x:v>
      </x:c>
      <x:c r="O16" s="29" t="n">
        <x:v>10</x:v>
      </x:c>
    </x:row>
    <x:row r="17" ht="28" customHeight="1">
      <x:c r="B17" s="27" t="str">
        <x:v>T011</x:v>
      </x:c>
      <x:c r="C17" s="27" t="str">
        <x:v>P02</x:v>
      </x:c>
      <x:c r="D17" s="27" t="n">
        <x:v>3</x:v>
      </x:c>
      <x:c r="E17" s="27" t="str">
        <x:v>air cassette thermal boundary</x:v>
      </x:c>
      <x:c r="F17" s="27" t="str">
        <x:v>registered hazard envelope</x:v>
      </x:c>
      <x:c r="G17" s="27" t="str">
        <x:v>instrumented</x:v>
      </x:c>
      <x:c r="H17" s="27" t="str">
        <x:v>campaign article set</x:v>
      </x:c>
      <x:c r="I17" s="27" t="str">
        <x:v>builder and operator blinded after start</x:v>
      </x:c>
      <x:c r="J17" s="27" t="str">
        <x:v>independent trial authority</x:v>
      </x:c>
      <x:c r="K17" s="27" t="str">
        <x:v>G01-G08</x:v>
      </x:c>
      <x:c r="L17" s="27" t="str">
        <x:v>OPEN</x:v>
      </x:c>
      <x:c r="M17" s="27" t="n">
        <x:v>0</x:v>
      </x:c>
      <x:c r="N17" s="27" t="n">
        <x:v>10</x:v>
      </x:c>
      <x:c r="O17" s="29" t="n">
        <x:v>12</x:v>
      </x:c>
    </x:row>
    <x:row r="18" ht="28" customHeight="1">
      <x:c r="B18" s="27" t="str">
        <x:v>T012</x:v>
      </x:c>
      <x:c r="C18" s="27" t="str">
        <x:v>P02</x:v>
      </x:c>
      <x:c r="D18" s="27" t="n">
        <x:v>4</x:v>
      </x:c>
      <x:c r="E18" s="27" t="str">
        <x:v>terrain contamination and cleaning</x:v>
      </x:c>
      <x:c r="F18" s="27" t="str">
        <x:v>registered hazard envelope</x:v>
      </x:c>
      <x:c r="G18" s="27" t="str">
        <x:v>instrumented</x:v>
      </x:c>
      <x:c r="H18" s="27" t="str">
        <x:v>campaign article set</x:v>
      </x:c>
      <x:c r="I18" s="27" t="str">
        <x:v>builder and operator blinded after start</x:v>
      </x:c>
      <x:c r="J18" s="27" t="str">
        <x:v>independent trial authority</x:v>
      </x:c>
      <x:c r="K18" s="27" t="str">
        <x:v>G01-G08</x:v>
      </x:c>
      <x:c r="L18" s="27" t="str">
        <x:v>OPEN</x:v>
      </x:c>
      <x:c r="M18" s="27" t="n">
        <x:v>0</x:v>
      </x:c>
      <x:c r="N18" s="27" t="n">
        <x:v>12</x:v>
      </x:c>
      <x:c r="O18" s="29" t="n">
        <x:v>14</x:v>
      </x:c>
    </x:row>
    <x:row r="19" ht="28" customHeight="1">
      <x:c r="B19" s="27" t="str">
        <x:v>T013</x:v>
      </x:c>
      <x:c r="C19" s="27" t="str">
        <x:v>P02</x:v>
      </x:c>
      <x:c r="D19" s="27" t="n">
        <x:v>5</x:v>
      </x:c>
      <x:c r="E19" s="27" t="str">
        <x:v>reverse-energy passive-interface test</x:v>
      </x:c>
      <x:c r="F19" s="27" t="str">
        <x:v>registered hazard envelope</x:v>
      </x:c>
      <x:c r="G19" s="27" t="str">
        <x:v>instrumented</x:v>
      </x:c>
      <x:c r="H19" s="27" t="str">
        <x:v>campaign article set</x:v>
      </x:c>
      <x:c r="I19" s="27" t="str">
        <x:v>builder and operator blinded after start</x:v>
      </x:c>
      <x:c r="J19" s="27" t="str">
        <x:v>independent trial authority</x:v>
      </x:c>
      <x:c r="K19" s="27" t="str">
        <x:v>G01-G08</x:v>
      </x:c>
      <x:c r="L19" s="27" t="str">
        <x:v>OPEN</x:v>
      </x:c>
      <x:c r="M19" s="27" t="n">
        <x:v>0</x:v>
      </x:c>
      <x:c r="N19" s="27" t="n">
        <x:v>14</x:v>
      </x:c>
      <x:c r="O19" s="29" t="n">
        <x:v>16</x:v>
      </x:c>
    </x:row>
    <x:row r="20" ht="28" customHeight="1">
      <x:c r="B20" s="27" t="str">
        <x:v>T014</x:v>
      </x:c>
      <x:c r="C20" s="27" t="str">
        <x:v>P02</x:v>
      </x:c>
      <x:c r="D20" s="27" t="n">
        <x:v>6</x:v>
      </x:c>
      <x:c r="E20" s="27" t="str">
        <x:v>handling shock and drop</x:v>
      </x:c>
      <x:c r="F20" s="27" t="str">
        <x:v>registered hazard envelope</x:v>
      </x:c>
      <x:c r="G20" s="27" t="str">
        <x:v>instrumented</x:v>
      </x:c>
      <x:c r="H20" s="27" t="str">
        <x:v>campaign article set</x:v>
      </x:c>
      <x:c r="I20" s="27" t="str">
        <x:v>builder and operator blinded after start</x:v>
      </x:c>
      <x:c r="J20" s="27" t="str">
        <x:v>independent trial authority</x:v>
      </x:c>
      <x:c r="K20" s="27" t="str">
        <x:v>G01-G08</x:v>
      </x:c>
      <x:c r="L20" s="27" t="str">
        <x:v>OPEN</x:v>
      </x:c>
      <x:c r="M20" s="27" t="n">
        <x:v>0</x:v>
      </x:c>
      <x:c r="N20" s="27" t="n">
        <x:v>16</x:v>
      </x:c>
      <x:c r="O20" s="29" t="n">
        <x:v>18</x:v>
      </x:c>
    </x:row>
    <x:row r="21" ht="28" customHeight="1">
      <x:c r="B21" s="27" t="str">
        <x:v>T015</x:v>
      </x:c>
      <x:c r="C21" s="27" t="str">
        <x:v>P02</x:v>
      </x:c>
      <x:c r="D21" s="27" t="n">
        <x:v>7</x:v>
      </x:c>
      <x:c r="E21" s="27" t="str">
        <x:v>water ingress and decontamination</x:v>
      </x:c>
      <x:c r="F21" s="27" t="str">
        <x:v>registered hazard envelope</x:v>
      </x:c>
      <x:c r="G21" s="27" t="str">
        <x:v>instrumented</x:v>
      </x:c>
      <x:c r="H21" s="27" t="str">
        <x:v>campaign article set</x:v>
      </x:c>
      <x:c r="I21" s="27" t="str">
        <x:v>builder and operator blinded after start</x:v>
      </x:c>
      <x:c r="J21" s="27" t="str">
        <x:v>independent trial authority</x:v>
      </x:c>
      <x:c r="K21" s="27" t="str">
        <x:v>G01-G08</x:v>
      </x:c>
      <x:c r="L21" s="27" t="str">
        <x:v>OPEN</x:v>
      </x:c>
      <x:c r="M21" s="27" t="n">
        <x:v>0</x:v>
      </x:c>
      <x:c r="N21" s="27" t="n">
        <x:v>17</x:v>
      </x:c>
      <x:c r="O21" s="29" t="n">
        <x:v>19</x:v>
      </x:c>
    </x:row>
    <x:row r="22" ht="28" customHeight="1">
      <x:c r="B22" s="27" t="str">
        <x:v>T016</x:v>
      </x:c>
      <x:c r="C22" s="27" t="str">
        <x:v>P02</x:v>
      </x:c>
      <x:c r="D22" s="27" t="n">
        <x:v>8</x:v>
      </x:c>
      <x:c r="E22" s="27" t="str">
        <x:v>electromagnetic common fault</x:v>
      </x:c>
      <x:c r="F22" s="27" t="str">
        <x:v>registered hazard envelope</x:v>
      </x:c>
      <x:c r="G22" s="27" t="str">
        <x:v>instrumented</x:v>
      </x:c>
      <x:c r="H22" s="27" t="str">
        <x:v>campaign article set</x:v>
      </x:c>
      <x:c r="I22" s="27" t="str">
        <x:v>builder and operator blinded after start</x:v>
      </x:c>
      <x:c r="J22" s="27" t="str">
        <x:v>independent trial authority</x:v>
      </x:c>
      <x:c r="K22" s="27" t="str">
        <x:v>G01-G08</x:v>
      </x:c>
      <x:c r="L22" s="27" t="str">
        <x:v>OPEN</x:v>
      </x:c>
      <x:c r="M22" s="27" t="n">
        <x:v>0</x:v>
      </x:c>
      <x:c r="N22" s="27" t="n">
        <x:v>19</x:v>
      </x:c>
      <x:c r="O22" s="29" t="n">
        <x:v>21</x:v>
      </x:c>
    </x:row>
    <x:row r="23" ht="28" customHeight="1">
      <x:c r="B23" s="27" t="str">
        <x:v>T017</x:v>
      </x:c>
      <x:c r="C23" s="27" t="str">
        <x:v>P02</x:v>
      </x:c>
      <x:c r="D23" s="27" t="n">
        <x:v>9</x:v>
      </x:c>
      <x:c r="E23" s="27" t="str">
        <x:v>local media corruption</x:v>
      </x:c>
      <x:c r="F23" s="27" t="str">
        <x:v>registered hazard envelope</x:v>
      </x:c>
      <x:c r="G23" s="27" t="str">
        <x:v>instrumented</x:v>
      </x:c>
      <x:c r="H23" s="27" t="str">
        <x:v>campaign article set</x:v>
      </x:c>
      <x:c r="I23" s="27" t="str">
        <x:v>builder and operator blinded after start</x:v>
      </x:c>
      <x:c r="J23" s="27" t="str">
        <x:v>independent trial authority</x:v>
      </x:c>
      <x:c r="K23" s="27" t="str">
        <x:v>G01-G08</x:v>
      </x:c>
      <x:c r="L23" s="27" t="str">
        <x:v>OPEN</x:v>
      </x:c>
      <x:c r="M23" s="27" t="n">
        <x:v>0</x:v>
      </x:c>
      <x:c r="N23" s="27" t="n">
        <x:v>21</x:v>
      </x:c>
      <x:c r="O23" s="29" t="n">
        <x:v>23</x:v>
      </x:c>
    </x:row>
    <x:row r="24" ht="28" customHeight="1">
      <x:c r="B24" s="27" t="str">
        <x:v>T018</x:v>
      </x:c>
      <x:c r="C24" s="27" t="str">
        <x:v>P02</x:v>
      </x:c>
      <x:c r="D24" s="27" t="n">
        <x:v>10</x:v>
      </x:c>
      <x:c r="E24" s="27" t="str">
        <x:v>independent cassette replication</x:v>
      </x:c>
      <x:c r="F24" s="27" t="str">
        <x:v>registered hazard envelope</x:v>
      </x:c>
      <x:c r="G24" s="27" t="str">
        <x:v>instrumented</x:v>
      </x:c>
      <x:c r="H24" s="27" t="str">
        <x:v>campaign article set</x:v>
      </x:c>
      <x:c r="I24" s="27" t="str">
        <x:v>builder and operator blinded after start</x:v>
      </x:c>
      <x:c r="J24" s="27" t="str">
        <x:v>independent trial authority</x:v>
      </x:c>
      <x:c r="K24" s="27" t="str">
        <x:v>G01-G08</x:v>
      </x:c>
      <x:c r="L24" s="27" t="str">
        <x:v>OPEN</x:v>
      </x:c>
      <x:c r="M24" s="27" t="n">
        <x:v>0</x:v>
      </x:c>
      <x:c r="N24" s="27" t="n">
        <x:v>23</x:v>
      </x:c>
      <x:c r="O24" s="29" t="n">
        <x:v>24</x:v>
      </x:c>
    </x:row>
    <x:row r="25" ht="28" customHeight="1">
      <x:c r="B25" s="27" t="str">
        <x:v>T019</x:v>
      </x:c>
      <x:c r="C25" s="27" t="str">
        <x:v>P03</x:v>
      </x:c>
      <x:c r="D25" s="27" t="n">
        <x:v>1</x:v>
      </x:c>
      <x:c r="E25" s="27" t="str">
        <x:v>static zonal integration</x:v>
      </x:c>
      <x:c r="F25" s="27" t="str">
        <x:v>registered hazard envelope</x:v>
      </x:c>
      <x:c r="G25" s="27" t="str">
        <x:v>instrumented</x:v>
      </x:c>
      <x:c r="H25" s="27" t="str">
        <x:v>campaign article set</x:v>
      </x:c>
      <x:c r="I25" s="27" t="str">
        <x:v>builder and operator blinded after start</x:v>
      </x:c>
      <x:c r="J25" s="27" t="str">
        <x:v>independent trial authority</x:v>
      </x:c>
      <x:c r="K25" s="27" t="str">
        <x:v>G01-G08</x:v>
      </x:c>
      <x:c r="L25" s="27" t="str">
        <x:v>OPEN</x:v>
      </x:c>
      <x:c r="M25" s="27" t="n">
        <x:v>0</x:v>
      </x:c>
      <x:c r="N25" s="27" t="n">
        <x:v>19</x:v>
      </x:c>
      <x:c r="O25" s="29" t="n">
        <x:v>21</x:v>
      </x:c>
    </x:row>
    <x:row r="26" ht="28" customHeight="1">
      <x:c r="B26" s="27" t="str">
        <x:v>T020</x:v>
      </x:c>
      <x:c r="C26" s="27" t="str">
        <x:v>P03</x:v>
      </x:c>
      <x:c r="D26" s="27" t="n">
        <x:v>2</x:v>
      </x:c>
      <x:c r="E26" s="27" t="str">
        <x:v>cold-dense instrumented unload</x:v>
      </x:c>
      <x:c r="F26" s="27" t="str">
        <x:v>cold thermal</x:v>
      </x:c>
      <x:c r="G26" s="27" t="str">
        <x:v>instrumented</x:v>
      </x:c>
      <x:c r="H26" s="27" t="str">
        <x:v>campaign article set</x:v>
      </x:c>
      <x:c r="I26" s="27" t="str">
        <x:v>builder and operator blinded after start</x:v>
      </x:c>
      <x:c r="J26" s="27" t="str">
        <x:v>independent trial authority</x:v>
      </x:c>
      <x:c r="K26" s="27" t="str">
        <x:v>G01-G08</x:v>
      </x:c>
      <x:c r="L26" s="27" t="str">
        <x:v>OPEN</x:v>
      </x:c>
      <x:c r="M26" s="27" t="n">
        <x:v>0</x:v>
      </x:c>
      <x:c r="N26" s="27" t="n">
        <x:v>22</x:v>
      </x:c>
      <x:c r="O26" s="29" t="n">
        <x:v>24</x:v>
      </x:c>
    </x:row>
    <x:row r="27" ht="28" customHeight="1">
      <x:c r="B27" s="27" t="str">
        <x:v>T021</x:v>
      </x:c>
      <x:c r="C27" s="27" t="str">
        <x:v>P03</x:v>
      </x:c>
      <x:c r="D27" s="27" t="n">
        <x:v>3</x:v>
      </x:c>
      <x:c r="E27" s="27" t="str">
        <x:v>matched-emulator unload</x:v>
      </x:c>
      <x:c r="F27" s="27" t="str">
        <x:v>registered hazard envelope</x:v>
      </x:c>
      <x:c r="G27" s="27" t="str">
        <x:v>instrumented</x:v>
      </x:c>
      <x:c r="H27" s="27" t="str">
        <x:v>campaign article set</x:v>
      </x:c>
      <x:c r="I27" s="27" t="str">
        <x:v>builder and operator blinded after start</x:v>
      </x:c>
      <x:c r="J27" s="27" t="str">
        <x:v>independent trial authority</x:v>
      </x:c>
      <x:c r="K27" s="27" t="str">
        <x:v>G01-G08</x:v>
      </x:c>
      <x:c r="L27" s="27" t="str">
        <x:v>OPEN</x:v>
      </x:c>
      <x:c r="M27" s="27" t="n">
        <x:v>0</x:v>
      </x:c>
      <x:c r="N27" s="27" t="n">
        <x:v>25</x:v>
      </x:c>
      <x:c r="O27" s="29" t="n">
        <x:v>27</x:v>
      </x:c>
    </x:row>
    <x:row r="28" ht="28" customHeight="1">
      <x:c r="B28" s="27" t="str">
        <x:v>T022</x:v>
      </x:c>
      <x:c r="C28" s="27" t="str">
        <x:v>P03</x:v>
      </x:c>
      <x:c r="D28" s="27" t="n">
        <x:v>4</x:v>
      </x:c>
      <x:c r="E28" s="27" t="str">
        <x:v>bare-carrier unload</x:v>
      </x:c>
      <x:c r="F28" s="27" t="str">
        <x:v>registered hazard envelope</x:v>
      </x:c>
      <x:c r="G28" s="27" t="str">
        <x:v>instrumented</x:v>
      </x:c>
      <x:c r="H28" s="27" t="str">
        <x:v>campaign article set</x:v>
      </x:c>
      <x:c r="I28" s="27" t="str">
        <x:v>builder and operator blinded after start</x:v>
      </x:c>
      <x:c r="J28" s="27" t="str">
        <x:v>independent trial authority</x:v>
      </x:c>
      <x:c r="K28" s="27" t="str">
        <x:v>G01-G08</x:v>
      </x:c>
      <x:c r="L28" s="27" t="str">
        <x:v>OPEN</x:v>
      </x:c>
      <x:c r="M28" s="27" t="n">
        <x:v>0</x:v>
      </x:c>
      <x:c r="N28" s="27" t="n">
        <x:v>28</x:v>
      </x:c>
      <x:c r="O28" s="29" t="n">
        <x:v>30</x:v>
      </x:c>
    </x:row>
    <x:row r="29" ht="28" customHeight="1">
      <x:c r="B29" s="27" t="str">
        <x:v>T023</x:v>
      </x:c>
      <x:c r="C29" s="27" t="str">
        <x:v>P03</x:v>
      </x:c>
      <x:c r="D29" s="27" t="n">
        <x:v>5</x:v>
      </x:c>
      <x:c r="E29" s="27" t="str">
        <x:v>gust and no-anchor denial</x:v>
      </x:c>
      <x:c r="F29" s="27" t="str">
        <x:v>registered hazard envelope</x:v>
      </x:c>
      <x:c r="G29" s="27" t="str">
        <x:v>instrumented</x:v>
      </x:c>
      <x:c r="H29" s="27" t="str">
        <x:v>campaign article set</x:v>
      </x:c>
      <x:c r="I29" s="27" t="str">
        <x:v>builder and operator blinded after start</x:v>
      </x:c>
      <x:c r="J29" s="27" t="str">
        <x:v>independent trial authority</x:v>
      </x:c>
      <x:c r="K29" s="27" t="str">
        <x:v>G01-G08</x:v>
      </x:c>
      <x:c r="L29" s="27" t="str">
        <x:v>OPEN</x:v>
      </x:c>
      <x:c r="M29" s="27" t="n">
        <x:v>0</x:v>
      </x:c>
      <x:c r="N29" s="27" t="n">
        <x:v>31</x:v>
      </x:c>
      <x:c r="O29" s="29" t="n">
        <x:v>33</x:v>
      </x:c>
    </x:row>
    <x:row r="30" ht="28" customHeight="1">
      <x:c r="B30" s="27" t="str">
        <x:v>T024</x:v>
      </x:c>
      <x:c r="C30" s="27" t="str">
        <x:v>P03</x:v>
      </x:c>
      <x:c r="D30" s="27" t="n">
        <x:v>6</x:v>
      </x:c>
      <x:c r="E30" s="27" t="str">
        <x:v>independent air-node replication</x:v>
      </x:c>
      <x:c r="F30" s="27" t="str">
        <x:v>registered hazard envelope</x:v>
      </x:c>
      <x:c r="G30" s="27" t="str">
        <x:v>instrumented</x:v>
      </x:c>
      <x:c r="H30" s="27" t="str">
        <x:v>campaign article set</x:v>
      </x:c>
      <x:c r="I30" s="27" t="str">
        <x:v>builder and operator blinded after start</x:v>
      </x:c>
      <x:c r="J30" s="27" t="str">
        <x:v>independent trial authority</x:v>
      </x:c>
      <x:c r="K30" s="27" t="str">
        <x:v>G01-G08</x:v>
      </x:c>
      <x:c r="L30" s="27" t="str">
        <x:v>OPEN</x:v>
      </x:c>
      <x:c r="M30" s="27" t="n">
        <x:v>0</x:v>
      </x:c>
      <x:c r="N30" s="27" t="n">
        <x:v>34</x:v>
      </x:c>
      <x:c r="O30" s="29" t="n">
        <x:v>36</x:v>
      </x:c>
    </x:row>
    <x:row r="31" ht="28" customHeight="1">
      <x:c r="B31" s="27" t="str">
        <x:v>T025</x:v>
      </x:c>
      <x:c r="C31" s="27" t="str">
        <x:v>P04</x:v>
      </x:c>
      <x:c r="D31" s="27" t="n">
        <x:v>1</x:v>
      </x:c>
      <x:c r="E31" s="27" t="str">
        <x:v>traveling-platen calibration</x:v>
      </x:c>
      <x:c r="F31" s="27" t="str">
        <x:v>registered hazard envelope</x:v>
      </x:c>
      <x:c r="G31" s="27" t="str">
        <x:v>instrumented</x:v>
      </x:c>
      <x:c r="H31" s="27" t="str">
        <x:v>campaign article set</x:v>
      </x:c>
      <x:c r="I31" s="27" t="str">
        <x:v>builder and operator blinded after start</x:v>
      </x:c>
      <x:c r="J31" s="27" t="str">
        <x:v>independent trial authority</x:v>
      </x:c>
      <x:c r="K31" s="27" t="str">
        <x:v>G01-G08</x:v>
      </x:c>
      <x:c r="L31" s="27" t="str">
        <x:v>OPEN</x:v>
      </x:c>
      <x:c r="M31" s="27" t="n">
        <x:v>0</x:v>
      </x:c>
      <x:c r="N31" s="27" t="n">
        <x:v>19</x:v>
      </x:c>
      <x:c r="O31" s="29" t="n">
        <x:v>21</x:v>
      </x:c>
    </x:row>
    <x:row r="32" ht="28" customHeight="1">
      <x:c r="B32" s="27" t="str">
        <x:v>T026</x:v>
      </x:c>
      <x:c r="C32" s="27" t="str">
        <x:v>P04</x:v>
      </x:c>
      <x:c r="D32" s="27" t="n">
        <x:v>2</x:v>
      </x:c>
      <x:c r="E32" s="27" t="str">
        <x:v>dry uniform soil</x:v>
      </x:c>
      <x:c r="F32" s="27" t="str">
        <x:v>registered hazard envelope</x:v>
      </x:c>
      <x:c r="G32" s="27" t="str">
        <x:v>instrumented</x:v>
      </x:c>
      <x:c r="H32" s="27" t="str">
        <x:v>campaign article set</x:v>
      </x:c>
      <x:c r="I32" s="27" t="str">
        <x:v>builder and operator blinded after start</x:v>
      </x:c>
      <x:c r="J32" s="27" t="str">
        <x:v>independent trial authority</x:v>
      </x:c>
      <x:c r="K32" s="27" t="str">
        <x:v>G01-G08</x:v>
      </x:c>
      <x:c r="L32" s="27" t="str">
        <x:v>OPEN</x:v>
      </x:c>
      <x:c r="M32" s="27" t="n">
        <x:v>0</x:v>
      </x:c>
      <x:c r="N32" s="27" t="n">
        <x:v>21</x:v>
      </x:c>
      <x:c r="O32" s="29" t="n">
        <x:v>23</x:v>
      </x:c>
    </x:row>
    <x:row r="33" ht="28" customHeight="1">
      <x:c r="B33" s="27" t="str">
        <x:v>T027</x:v>
      </x:c>
      <x:c r="C33" s="27" t="str">
        <x:v>P04</x:v>
      </x:c>
      <x:c r="D33" s="27" t="n">
        <x:v>3</x:v>
      </x:c>
      <x:c r="E33" s="27" t="str">
        <x:v>saturated uniform soil</x:v>
      </x:c>
      <x:c r="F33" s="27" t="str">
        <x:v>saturated soil</x:v>
      </x:c>
      <x:c r="G33" s="27" t="str">
        <x:v>instrumented</x:v>
      </x:c>
      <x:c r="H33" s="27" t="str">
        <x:v>campaign article set</x:v>
      </x:c>
      <x:c r="I33" s="27" t="str">
        <x:v>builder and operator blinded after start</x:v>
      </x:c>
      <x:c r="J33" s="27" t="str">
        <x:v>independent trial authority</x:v>
      </x:c>
      <x:c r="K33" s="27" t="str">
        <x:v>G01-G08</x:v>
      </x:c>
      <x:c r="L33" s="27" t="str">
        <x:v>OPEN</x:v>
      </x:c>
      <x:c r="M33" s="27" t="n">
        <x:v>0</x:v>
      </x:c>
      <x:c r="N33" s="27" t="n">
        <x:v>24</x:v>
      </x:c>
      <x:c r="O33" s="29" t="n">
        <x:v>26</x:v>
      </x:c>
    </x:row>
    <x:row r="34" ht="28" customHeight="1">
      <x:c r="B34" s="27" t="str">
        <x:v>T028</x:v>
      </x:c>
      <x:c r="C34" s="27" t="str">
        <x:v>P04</x:v>
      </x:c>
      <x:c r="D34" s="27" t="n">
        <x:v>4</x:v>
      </x:c>
      <x:c r="E34" s="27" t="str">
        <x:v>layered bearing field</x:v>
      </x:c>
      <x:c r="F34" s="27" t="str">
        <x:v>registered hazard envelope</x:v>
      </x:c>
      <x:c r="G34" s="27" t="str">
        <x:v>instrumented</x:v>
      </x:c>
      <x:c r="H34" s="27" t="str">
        <x:v>campaign article set</x:v>
      </x:c>
      <x:c r="I34" s="27" t="str">
        <x:v>builder and operator blinded after start</x:v>
      </x:c>
      <x:c r="J34" s="27" t="str">
        <x:v>independent trial authority</x:v>
      </x:c>
      <x:c r="K34" s="27" t="str">
        <x:v>G01-G08</x:v>
      </x:c>
      <x:c r="L34" s="27" t="str">
        <x:v>OPEN</x:v>
      </x:c>
      <x:c r="M34" s="27" t="n">
        <x:v>0</x:v>
      </x:c>
      <x:c r="N34" s="27" t="n">
        <x:v>26</x:v>
      </x:c>
      <x:c r="O34" s="29" t="n">
        <x:v>28</x:v>
      </x:c>
    </x:row>
    <x:row r="35" ht="28" customHeight="1">
      <x:c r="B35" s="27" t="str">
        <x:v>T029</x:v>
      </x:c>
      <x:c r="C35" s="27" t="str">
        <x:v>P04</x:v>
      </x:c>
      <x:c r="D35" s="27" t="n">
        <x:v>5</x:v>
      </x:c>
      <x:c r="E35" s="27" t="str">
        <x:v>debris-contaminated contact</x:v>
      </x:c>
      <x:c r="F35" s="27" t="str">
        <x:v>registered hazard envelope</x:v>
      </x:c>
      <x:c r="G35" s="27" t="str">
        <x:v>instrumented</x:v>
      </x:c>
      <x:c r="H35" s="27" t="str">
        <x:v>campaign article set</x:v>
      </x:c>
      <x:c r="I35" s="27" t="str">
        <x:v>builder and operator blinded after start</x:v>
      </x:c>
      <x:c r="J35" s="27" t="str">
        <x:v>independent trial authority</x:v>
      </x:c>
      <x:c r="K35" s="27" t="str">
        <x:v>G01-G08</x:v>
      </x:c>
      <x:c r="L35" s="27" t="str">
        <x:v>OPEN</x:v>
      </x:c>
      <x:c r="M35" s="27" t="n">
        <x:v>0</x:v>
      </x:c>
      <x:c r="N35" s="27" t="n">
        <x:v>29</x:v>
      </x:c>
      <x:c r="O35" s="29" t="n">
        <x:v>31</x:v>
      </x:c>
    </x:row>
    <x:row r="36" ht="28" customHeight="1">
      <x:c r="B36" s="27" t="str">
        <x:v>T030</x:v>
      </x:c>
      <x:c r="C36" s="27" t="str">
        <x:v>P04</x:v>
      </x:c>
      <x:c r="D36" s="27" t="n">
        <x:v>6</x:v>
      </x:c>
      <x:c r="E36" s="27" t="str">
        <x:v>side-slope contact</x:v>
      </x:c>
      <x:c r="F36" s="27" t="str">
        <x:v>registered hazard envelope</x:v>
      </x:c>
      <x:c r="G36" s="27" t="str">
        <x:v>instrumented</x:v>
      </x:c>
      <x:c r="H36" s="27" t="str">
        <x:v>campaign article set</x:v>
      </x:c>
      <x:c r="I36" s="27" t="str">
        <x:v>builder and operator blinded after start</x:v>
      </x:c>
      <x:c r="J36" s="27" t="str">
        <x:v>independent trial authority</x:v>
      </x:c>
      <x:c r="K36" s="27" t="str">
        <x:v>G01-G08</x:v>
      </x:c>
      <x:c r="L36" s="27" t="str">
        <x:v>OPEN</x:v>
      </x:c>
      <x:c r="M36" s="27" t="n">
        <x:v>0</x:v>
      </x:c>
      <x:c r="N36" s="27" t="n">
        <x:v>31</x:v>
      </x:c>
      <x:c r="O36" s="29" t="n">
        <x:v>33</x:v>
      </x:c>
    </x:row>
    <x:row r="37" ht="28" customHeight="1">
      <x:c r="B37" s="27" t="str">
        <x:v>T031</x:v>
      </x:c>
      <x:c r="C37" s="27" t="str">
        <x:v>P04</x:v>
      </x:c>
      <x:c r="D37" s="27" t="n">
        <x:v>7</x:v>
      </x:c>
      <x:c r="E37" s="27" t="str">
        <x:v>one-pod loss</x:v>
      </x:c>
      <x:c r="F37" s="27" t="str">
        <x:v>registered hazard envelope</x:v>
      </x:c>
      <x:c r="G37" s="27" t="str">
        <x:v>instrumented</x:v>
      </x:c>
      <x:c r="H37" s="27" t="str">
        <x:v>campaign article set</x:v>
      </x:c>
      <x:c r="I37" s="27" t="str">
        <x:v>builder and operator blinded after start</x:v>
      </x:c>
      <x:c r="J37" s="27" t="str">
        <x:v>independent trial authority</x:v>
      </x:c>
      <x:c r="K37" s="27" t="str">
        <x:v>G01-G08</x:v>
      </x:c>
      <x:c r="L37" s="27" t="str">
        <x:v>OPEN</x:v>
      </x:c>
      <x:c r="M37" s="27" t="n">
        <x:v>0</x:v>
      </x:c>
      <x:c r="N37" s="27" t="n">
        <x:v>34</x:v>
      </x:c>
      <x:c r="O37" s="29" t="n">
        <x:v>36</x:v>
      </x:c>
    </x:row>
    <x:row r="38" ht="28" customHeight="1">
      <x:c r="B38" s="27" t="str">
        <x:v>T032</x:v>
      </x:c>
      <x:c r="C38" s="27" t="str">
        <x:v>P04</x:v>
      </x:c>
      <x:c r="D38" s="27" t="n">
        <x:v>8</x:v>
      </x:c>
      <x:c r="E38" s="27" t="str">
        <x:v>ten-percent skin-cell loss</x:v>
      </x:c>
      <x:c r="F38" s="27" t="str">
        <x:v>registered hazard envelope</x:v>
      </x:c>
      <x:c r="G38" s="27" t="str">
        <x:v>instrumented</x:v>
      </x:c>
      <x:c r="H38" s="27" t="str">
        <x:v>campaign article set</x:v>
      </x:c>
      <x:c r="I38" s="27" t="str">
        <x:v>builder and operator blinded after start</x:v>
      </x:c>
      <x:c r="J38" s="27" t="str">
        <x:v>independent trial authority</x:v>
      </x:c>
      <x:c r="K38" s="27" t="str">
        <x:v>G01-G08</x:v>
      </x:c>
      <x:c r="L38" s="27" t="str">
        <x:v>OPEN</x:v>
      </x:c>
      <x:c r="M38" s="27" t="n">
        <x:v>0</x:v>
      </x:c>
      <x:c r="N38" s="27" t="n">
        <x:v>36</x:v>
      </x:c>
      <x:c r="O38" s="29" t="n">
        <x:v>38</x:v>
      </x:c>
    </x:row>
    <x:row r="39" ht="28" customHeight="1">
      <x:c r="B39" s="27" t="str">
        <x:v>T033</x:v>
      </x:c>
      <x:c r="C39" s="27" t="str">
        <x:v>P04</x:v>
      </x:c>
      <x:c r="D39" s="27" t="n">
        <x:v>9</x:v>
      </x:c>
      <x:c r="E39" s="27" t="str">
        <x:v>instrumented route mission</x:v>
      </x:c>
      <x:c r="F39" s="27" t="str">
        <x:v>registered hazard envelope</x:v>
      </x:c>
      <x:c r="G39" s="27" t="str">
        <x:v>instrumented</x:v>
      </x:c>
      <x:c r="H39" s="27" t="str">
        <x:v>campaign article set</x:v>
      </x:c>
      <x:c r="I39" s="27" t="str">
        <x:v>builder and operator blinded after start</x:v>
      </x:c>
      <x:c r="J39" s="27" t="str">
        <x:v>independent trial authority</x:v>
      </x:c>
      <x:c r="K39" s="27" t="str">
        <x:v>G01-G08</x:v>
      </x:c>
      <x:c r="L39" s="27" t="str">
        <x:v>OPEN</x:v>
      </x:c>
      <x:c r="M39" s="27" t="n">
        <x:v>0</x:v>
      </x:c>
      <x:c r="N39" s="27" t="n">
        <x:v>39</x:v>
      </x:c>
      <x:c r="O39" s="29" t="n">
        <x:v>41</x:v>
      </x:c>
    </x:row>
    <x:row r="40" ht="28" customHeight="1">
      <x:c r="B40" s="27" t="str">
        <x:v>T034</x:v>
      </x:c>
      <x:c r="C40" s="27" t="str">
        <x:v>P04</x:v>
      </x:c>
      <x:c r="D40" s="27" t="n">
        <x:v>10</x:v>
      </x:c>
      <x:c r="E40" s="27" t="str">
        <x:v>matched-emulator route mission</x:v>
      </x:c>
      <x:c r="F40" s="27" t="str">
        <x:v>registered hazard envelope</x:v>
      </x:c>
      <x:c r="G40" s="27" t="str">
        <x:v>instrumented</x:v>
      </x:c>
      <x:c r="H40" s="27" t="str">
        <x:v>campaign article set</x:v>
      </x:c>
      <x:c r="I40" s="27" t="str">
        <x:v>builder and operator blinded after start</x:v>
      </x:c>
      <x:c r="J40" s="27" t="str">
        <x:v>independent trial authority</x:v>
      </x:c>
      <x:c r="K40" s="27" t="str">
        <x:v>G01-G08</x:v>
      </x:c>
      <x:c r="L40" s="27" t="str">
        <x:v>OPEN</x:v>
      </x:c>
      <x:c r="M40" s="27" t="n">
        <x:v>0</x:v>
      </x:c>
      <x:c r="N40" s="27" t="n">
        <x:v>41</x:v>
      </x:c>
      <x:c r="O40" s="29" t="n">
        <x:v>43</x:v>
      </x:c>
    </x:row>
    <x:row r="41" ht="28" customHeight="1">
      <x:c r="B41" s="27" t="str">
        <x:v>T035</x:v>
      </x:c>
      <x:c r="C41" s="27" t="str">
        <x:v>P04</x:v>
      </x:c>
      <x:c r="D41" s="27" t="n">
        <x:v>11</x:v>
      </x:c>
      <x:c r="E41" s="27" t="str">
        <x:v>bare route mission</x:v>
      </x:c>
      <x:c r="F41" s="27" t="str">
        <x:v>registered hazard envelope</x:v>
      </x:c>
      <x:c r="G41" s="27" t="str">
        <x:v>instrumented</x:v>
      </x:c>
      <x:c r="H41" s="27" t="str">
        <x:v>campaign article set</x:v>
      </x:c>
      <x:c r="I41" s="27" t="str">
        <x:v>builder and operator blinded after start</x:v>
      </x:c>
      <x:c r="J41" s="27" t="str">
        <x:v>independent trial authority</x:v>
      </x:c>
      <x:c r="K41" s="27" t="str">
        <x:v>G01-G08</x:v>
      </x:c>
      <x:c r="L41" s="27" t="str">
        <x:v>OPEN</x:v>
      </x:c>
      <x:c r="M41" s="27" t="n">
        <x:v>0</x:v>
      </x:c>
      <x:c r="N41" s="27" t="n">
        <x:v>44</x:v>
      </x:c>
      <x:c r="O41" s="29" t="n">
        <x:v>46</x:v>
      </x:c>
    </x:row>
    <x:row r="42" ht="28" customHeight="1">
      <x:c r="B42" s="27" t="str">
        <x:v>T036</x:v>
      </x:c>
      <x:c r="C42" s="27" t="str">
        <x:v>P04</x:v>
      </x:c>
      <x:c r="D42" s="27" t="n">
        <x:v>12</x:v>
      </x:c>
      <x:c r="E42" s="27" t="str">
        <x:v>independent terrain replication</x:v>
      </x:c>
      <x:c r="F42" s="27" t="str">
        <x:v>registered hazard envelope</x:v>
      </x:c>
      <x:c r="G42" s="27" t="str">
        <x:v>instrumented</x:v>
      </x:c>
      <x:c r="H42" s="27" t="str">
        <x:v>campaign article set</x:v>
      </x:c>
      <x:c r="I42" s="27" t="str">
        <x:v>builder and operator blinded after start</x:v>
      </x:c>
      <x:c r="J42" s="27" t="str">
        <x:v>independent trial authority</x:v>
      </x:c>
      <x:c r="K42" s="27" t="str">
        <x:v>G01-G08</x:v>
      </x:c>
      <x:c r="L42" s="27" t="str">
        <x:v>OPEN</x:v>
      </x:c>
      <x:c r="M42" s="27" t="n">
        <x:v>0</x:v>
      </x:c>
      <x:c r="N42" s="27" t="n">
        <x:v>46</x:v>
      </x:c>
      <x:c r="O42" s="29" t="n">
        <x:v>48</x:v>
      </x:c>
    </x:row>
    <x:row r="43" ht="28" customHeight="1">
      <x:c r="B43" s="27" t="str">
        <x:v>T037</x:v>
      </x:c>
      <x:c r="C43" s="27" t="str">
        <x:v>P05</x:v>
      </x:c>
      <x:c r="D43" s="27" t="n">
        <x:v>1</x:v>
      </x:c>
      <x:c r="E43" s="27" t="str">
        <x:v>water assay custody</x:v>
      </x:c>
      <x:c r="F43" s="27" t="str">
        <x:v>registered hazard envelope</x:v>
      </x:c>
      <x:c r="G43" s="27" t="str">
        <x:v>instrumented</x:v>
      </x:c>
      <x:c r="H43" s="27" t="str">
        <x:v>campaign article set</x:v>
      </x:c>
      <x:c r="I43" s="27" t="str">
        <x:v>builder and operator blinded after start</x:v>
      </x:c>
      <x:c r="J43" s="27" t="str">
        <x:v>civil-effect authority</x:v>
      </x:c>
      <x:c r="K43" s="27" t="str">
        <x:v>G01-G08</x:v>
      </x:c>
      <x:c r="L43" s="27" t="str">
        <x:v>OPEN</x:v>
      </x:c>
      <x:c r="M43" s="27" t="n">
        <x:v>0</x:v>
      </x:c>
      <x:c r="N43" s="27" t="n">
        <x:v>25</x:v>
      </x:c>
      <x:c r="O43" s="29" t="n">
        <x:v>27</x:v>
      </x:c>
    </x:row>
    <x:row r="44" ht="28" customHeight="1">
      <x:c r="B44" s="27" t="str">
        <x:v>T038</x:v>
      </x:c>
      <x:c r="C44" s="27" t="str">
        <x:v>P05</x:v>
      </x:c>
      <x:c r="D44" s="27" t="n">
        <x:v>2</x:v>
      </x:c>
      <x:c r="E44" s="27" t="str">
        <x:v>power quality and protection</x:v>
      </x:c>
      <x:c r="F44" s="27" t="str">
        <x:v>registered hazard envelope</x:v>
      </x:c>
      <x:c r="G44" s="27" t="str">
        <x:v>instrumented</x:v>
      </x:c>
      <x:c r="H44" s="27" t="str">
        <x:v>campaign article set</x:v>
      </x:c>
      <x:c r="I44" s="27" t="str">
        <x:v>builder and operator blinded after start</x:v>
      </x:c>
      <x:c r="J44" s="27" t="str">
        <x:v>civil-effect authority</x:v>
      </x:c>
      <x:c r="K44" s="27" t="str">
        <x:v>G01-G08</x:v>
      </x:c>
      <x:c r="L44" s="27" t="str">
        <x:v>OPEN</x:v>
      </x:c>
      <x:c r="M44" s="27" t="n">
        <x:v>0</x:v>
      </x:c>
      <x:c r="N44" s="27" t="n">
        <x:v>28</x:v>
      </x:c>
      <x:c r="O44" s="29" t="n">
        <x:v>30</x:v>
      </x:c>
    </x:row>
    <x:row r="45" ht="28" customHeight="1">
      <x:c r="B45" s="27" t="str">
        <x:v>T039</x:v>
      </x:c>
      <x:c r="C45" s="27" t="str">
        <x:v>P05</x:v>
      </x:c>
      <x:c r="D45" s="27" t="n">
        <x:v>3</x:v>
      </x:c>
      <x:c r="E45" s="27" t="str">
        <x:v>occupied thermal effect</x:v>
      </x:c>
      <x:c r="F45" s="27" t="str">
        <x:v>registered hazard envelope</x:v>
      </x:c>
      <x:c r="G45" s="27" t="str">
        <x:v>instrumented</x:v>
      </x:c>
      <x:c r="H45" s="27" t="str">
        <x:v>campaign article set</x:v>
      </x:c>
      <x:c r="I45" s="27" t="str">
        <x:v>builder and operator blinded after start</x:v>
      </x:c>
      <x:c r="J45" s="27" t="str">
        <x:v>civil-effect authority</x:v>
      </x:c>
      <x:c r="K45" s="27" t="str">
        <x:v>G01-G08</x:v>
      </x:c>
      <x:c r="L45" s="27" t="str">
        <x:v>OPEN</x:v>
      </x:c>
      <x:c r="M45" s="27" t="n">
        <x:v>0</x:v>
      </x:c>
      <x:c r="N45" s="27" t="n">
        <x:v>31</x:v>
      </x:c>
      <x:c r="O45" s="29" t="n">
        <x:v>33</x:v>
      </x:c>
    </x:row>
    <x:row r="46" ht="28" customHeight="1">
      <x:c r="B46" s="27" t="str">
        <x:v>T040</x:v>
      </x:c>
      <x:c r="C46" s="27" t="str">
        <x:v>P05</x:v>
      </x:c>
      <x:c r="D46" s="27" t="n">
        <x:v>4</x:v>
      </x:c>
      <x:c r="E46" s="27" t="str">
        <x:v>accessible public service</x:v>
      </x:c>
      <x:c r="F46" s="27" t="str">
        <x:v>registered hazard envelope</x:v>
      </x:c>
      <x:c r="G46" s="27" t="str">
        <x:v>instrumented</x:v>
      </x:c>
      <x:c r="H46" s="27" t="str">
        <x:v>campaign article set</x:v>
      </x:c>
      <x:c r="I46" s="27" t="str">
        <x:v>builder and operator blinded after start</x:v>
      </x:c>
      <x:c r="J46" s="27" t="str">
        <x:v>civil-effect authority</x:v>
      </x:c>
      <x:c r="K46" s="27" t="str">
        <x:v>G01-G08</x:v>
      </x:c>
      <x:c r="L46" s="27" t="str">
        <x:v>OPEN</x:v>
      </x:c>
      <x:c r="M46" s="27" t="n">
        <x:v>0</x:v>
      </x:c>
      <x:c r="N46" s="27" t="n">
        <x:v>34</x:v>
      </x:c>
      <x:c r="O46" s="29" t="n">
        <x:v>36</x:v>
      </x:c>
    </x:row>
    <x:row r="47" ht="28" customHeight="1">
      <x:c r="B47" s="27" t="str">
        <x:v>T041</x:v>
      </x:c>
      <x:c r="C47" s="27" t="str">
        <x:v>P05</x:v>
      </x:c>
      <x:c r="D47" s="27" t="n">
        <x:v>5</x:v>
      </x:c>
      <x:c r="E47" s="27" t="str">
        <x:v>receiver network loss</x:v>
      </x:c>
      <x:c r="F47" s="27" t="str">
        <x:v>total link loss</x:v>
      </x:c>
      <x:c r="G47" s="27" t="str">
        <x:v>instrumented</x:v>
      </x:c>
      <x:c r="H47" s="27" t="str">
        <x:v>campaign article set</x:v>
      </x:c>
      <x:c r="I47" s="27" t="str">
        <x:v>builder and operator blinded after start</x:v>
      </x:c>
      <x:c r="J47" s="27" t="str">
        <x:v>civil-effect authority</x:v>
      </x:c>
      <x:c r="K47" s="27" t="str">
        <x:v>G01-G08</x:v>
      </x:c>
      <x:c r="L47" s="27" t="str">
        <x:v>OPEN</x:v>
      </x:c>
      <x:c r="M47" s="27" t="n">
        <x:v>0</x:v>
      </x:c>
      <x:c r="N47" s="27" t="n">
        <x:v>37</x:v>
      </x:c>
      <x:c r="O47" s="29" t="n">
        <x:v>39</x:v>
      </x:c>
    </x:row>
    <x:row r="48" ht="28" customHeight="1">
      <x:c r="B48" s="27" t="str">
        <x:v>T042</x:v>
      </x:c>
      <x:c r="C48" s="27" t="str">
        <x:v>P05</x:v>
      </x:c>
      <x:c r="D48" s="27" t="n">
        <x:v>6</x:v>
      </x:c>
      <x:c r="E48" s="27" t="str">
        <x:v>receiver energy isolation</x:v>
      </x:c>
      <x:c r="F48" s="27" t="str">
        <x:v>registered hazard envelope</x:v>
      </x:c>
      <x:c r="G48" s="27" t="str">
        <x:v>instrumented</x:v>
      </x:c>
      <x:c r="H48" s="27" t="str">
        <x:v>campaign article set</x:v>
      </x:c>
      <x:c r="I48" s="27" t="str">
        <x:v>builder and operator blinded after start</x:v>
      </x:c>
      <x:c r="J48" s="27" t="str">
        <x:v>civil-effect authority</x:v>
      </x:c>
      <x:c r="K48" s="27" t="str">
        <x:v>G01-G08</x:v>
      </x:c>
      <x:c r="L48" s="27" t="str">
        <x:v>OPEN</x:v>
      </x:c>
      <x:c r="M48" s="27" t="n">
        <x:v>0</x:v>
      </x:c>
      <x:c r="N48" s="27" t="n">
        <x:v>40</x:v>
      </x:c>
      <x:c r="O48" s="29" t="n">
        <x:v>42</x:v>
      </x:c>
    </x:row>
    <x:row r="49" ht="28" customHeight="1">
      <x:c r="B49" s="27" t="str">
        <x:v>T043</x:v>
      </x:c>
      <x:c r="C49" s="27" t="str">
        <x:v>P05</x:v>
      </x:c>
      <x:c r="D49" s="27" t="n">
        <x:v>7</x:v>
      </x:c>
      <x:c r="E49" s="27" t="str">
        <x:v>civil release and rights custody</x:v>
      </x:c>
      <x:c r="F49" s="27" t="str">
        <x:v>registered hazard envelope</x:v>
      </x:c>
      <x:c r="G49" s="27" t="str">
        <x:v>instrumented</x:v>
      </x:c>
      <x:c r="H49" s="27" t="str">
        <x:v>campaign article set</x:v>
      </x:c>
      <x:c r="I49" s="27" t="str">
        <x:v>builder and operator blinded after start</x:v>
      </x:c>
      <x:c r="J49" s="27" t="str">
        <x:v>civil-effect authority</x:v>
      </x:c>
      <x:c r="K49" s="27" t="str">
        <x:v>G01-G08</x:v>
      </x:c>
      <x:c r="L49" s="27" t="str">
        <x:v>OPEN</x:v>
      </x:c>
      <x:c r="M49" s="27" t="n">
        <x:v>0</x:v>
      </x:c>
      <x:c r="N49" s="27" t="n">
        <x:v>43</x:v>
      </x:c>
      <x:c r="O49" s="29" t="n">
        <x:v>45</x:v>
      </x:c>
    </x:row>
    <x:row r="50" ht="28" customHeight="1">
      <x:c r="B50" s="27" t="str">
        <x:v>T044</x:v>
      </x:c>
      <x:c r="C50" s="27" t="str">
        <x:v>P05</x:v>
      </x:c>
      <x:c r="D50" s="27" t="n">
        <x:v>8</x:v>
      </x:c>
      <x:c r="E50" s="27" t="str">
        <x:v>independent receiver replication</x:v>
      </x:c>
      <x:c r="F50" s="27" t="str">
        <x:v>registered hazard envelope</x:v>
      </x:c>
      <x:c r="G50" s="27" t="str">
        <x:v>instrumented</x:v>
      </x:c>
      <x:c r="H50" s="27" t="str">
        <x:v>campaign article set</x:v>
      </x:c>
      <x:c r="I50" s="27" t="str">
        <x:v>builder and operator blinded after start</x:v>
      </x:c>
      <x:c r="J50" s="27" t="str">
        <x:v>civil-effect authority</x:v>
      </x:c>
      <x:c r="K50" s="27" t="str">
        <x:v>G01-G08</x:v>
      </x:c>
      <x:c r="L50" s="27" t="str">
        <x:v>OPEN</x:v>
      </x:c>
      <x:c r="M50" s="27" t="n">
        <x:v>0</x:v>
      </x:c>
      <x:c r="N50" s="27" t="n">
        <x:v>46</x:v>
      </x:c>
      <x:c r="O50" s="29" t="n">
        <x:v>48</x:v>
      </x:c>
    </x:row>
    <x:row r="51" ht="28" customHeight="1">
      <x:c r="B51" s="27" t="str">
        <x:v>T045</x:v>
      </x:c>
      <x:c r="C51" s="27" t="str">
        <x:v>P06</x:v>
      </x:c>
      <x:c r="D51" s="27" t="n">
        <x:v>1</x:v>
      </x:c>
      <x:c r="E51" s="27" t="str">
        <x:v>hot holdover</x:v>
      </x:c>
      <x:c r="F51" s="27" t="str">
        <x:v>registered hazard envelope</x:v>
      </x:c>
      <x:c r="G51" s="27" t="str">
        <x:v>instrumented</x:v>
      </x:c>
      <x:c r="H51" s="27" t="str">
        <x:v>campaign article set</x:v>
      </x:c>
      <x:c r="I51" s="27" t="str">
        <x:v>builder and operator blinded after start</x:v>
      </x:c>
      <x:c r="J51" s="27" t="str">
        <x:v>time authority</x:v>
      </x:c>
      <x:c r="K51" s="27" t="str">
        <x:v>G01-G08</x:v>
      </x:c>
      <x:c r="L51" s="27" t="str">
        <x:v>OPEN</x:v>
      </x:c>
      <x:c r="M51" s="27" t="n">
        <x:v>0</x:v>
      </x:c>
      <x:c r="N51" s="27" t="n">
        <x:v>13</x:v>
      </x:c>
      <x:c r="O51" s="29" t="n">
        <x:v>15</x:v>
      </x:c>
    </x:row>
    <x:row r="52" ht="28" customHeight="1">
      <x:c r="B52" s="27" t="str">
        <x:v>T046</x:v>
      </x:c>
      <x:c r="C52" s="27" t="str">
        <x:v>P06</x:v>
      </x:c>
      <x:c r="D52" s="27" t="n">
        <x:v>2</x:v>
      </x:c>
      <x:c r="E52" s="27" t="str">
        <x:v>cold holdover</x:v>
      </x:c>
      <x:c r="F52" s="27" t="str">
        <x:v>cold thermal</x:v>
      </x:c>
      <x:c r="G52" s="27" t="str">
        <x:v>instrumented</x:v>
      </x:c>
      <x:c r="H52" s="27" t="str">
        <x:v>campaign article set</x:v>
      </x:c>
      <x:c r="I52" s="27" t="str">
        <x:v>builder and operator blinded after start</x:v>
      </x:c>
      <x:c r="J52" s="27" t="str">
        <x:v>time authority</x:v>
      </x:c>
      <x:c r="K52" s="27" t="str">
        <x:v>G01-G08</x:v>
      </x:c>
      <x:c r="L52" s="27" t="str">
        <x:v>OPEN</x:v>
      </x:c>
      <x:c r="M52" s="27" t="n">
        <x:v>0</x:v>
      </x:c>
      <x:c r="N52" s="27" t="n">
        <x:v>15</x:v>
      </x:c>
      <x:c r="O52" s="29" t="n">
        <x:v>17</x:v>
      </x:c>
    </x:row>
    <x:row r="53" ht="28" customHeight="1">
      <x:c r="B53" s="27" t="str">
        <x:v>T047</x:v>
      </x:c>
      <x:c r="C53" s="27" t="str">
        <x:v>P06</x:v>
      </x:c>
      <x:c r="D53" s="27" t="n">
        <x:v>3</x:v>
      </x:c>
      <x:c r="E53" s="27" t="str">
        <x:v>shock holdover</x:v>
      </x:c>
      <x:c r="F53" s="27" t="str">
        <x:v>registered hazard envelope</x:v>
      </x:c>
      <x:c r="G53" s="27" t="str">
        <x:v>instrumented</x:v>
      </x:c>
      <x:c r="H53" s="27" t="str">
        <x:v>campaign article set</x:v>
      </x:c>
      <x:c r="I53" s="27" t="str">
        <x:v>builder and operator blinded after start</x:v>
      </x:c>
      <x:c r="J53" s="27" t="str">
        <x:v>time authority</x:v>
      </x:c>
      <x:c r="K53" s="27" t="str">
        <x:v>G01-G08</x:v>
      </x:c>
      <x:c r="L53" s="27" t="str">
        <x:v>OPEN</x:v>
      </x:c>
      <x:c r="M53" s="27" t="n">
        <x:v>0</x:v>
      </x:c>
      <x:c r="N53" s="27" t="n">
        <x:v>17</x:v>
      </x:c>
      <x:c r="O53" s="29" t="n">
        <x:v>19</x:v>
      </x:c>
    </x:row>
    <x:row r="54" ht="28" customHeight="1">
      <x:c r="B54" s="27" t="str">
        <x:v>T048</x:v>
      </x:c>
      <x:c r="C54" s="27" t="str">
        <x:v>P06</x:v>
      </x:c>
      <x:c r="D54" s="27" t="n">
        <x:v>4</x:v>
      </x:c>
      <x:c r="E54" s="27" t="str">
        <x:v>power-cycle holdover</x:v>
      </x:c>
      <x:c r="F54" s="27" t="str">
        <x:v>registered hazard envelope</x:v>
      </x:c>
      <x:c r="G54" s="27" t="str">
        <x:v>instrumented</x:v>
      </x:c>
      <x:c r="H54" s="27" t="str">
        <x:v>campaign article set</x:v>
      </x:c>
      <x:c r="I54" s="27" t="str">
        <x:v>builder and operator blinded after start</x:v>
      </x:c>
      <x:c r="J54" s="27" t="str">
        <x:v>time authority</x:v>
      </x:c>
      <x:c r="K54" s="27" t="str">
        <x:v>G01-G08</x:v>
      </x:c>
      <x:c r="L54" s="27" t="str">
        <x:v>OPEN</x:v>
      </x:c>
      <x:c r="M54" s="27" t="n">
        <x:v>0</x:v>
      </x:c>
      <x:c r="N54" s="27" t="n">
        <x:v>19</x:v>
      </x:c>
      <x:c r="O54" s="29" t="n">
        <x:v>21</x:v>
      </x:c>
    </x:row>
    <x:row r="55" ht="28" customHeight="1">
      <x:c r="B55" s="27" t="str">
        <x:v>T049</x:v>
      </x:c>
      <x:c r="C55" s="27" t="str">
        <x:v>P06</x:v>
      </x:c>
      <x:c r="D55" s="27" t="n">
        <x:v>5</x:v>
      </x:c>
      <x:c r="E55" s="27" t="str">
        <x:v>primary-root loss</x:v>
      </x:c>
      <x:c r="F55" s="27" t="str">
        <x:v>registered hazard envelope</x:v>
      </x:c>
      <x:c r="G55" s="27" t="str">
        <x:v>instrumented</x:v>
      </x:c>
      <x:c r="H55" s="27" t="str">
        <x:v>campaign article set</x:v>
      </x:c>
      <x:c r="I55" s="27" t="str">
        <x:v>builder and operator blinded after start</x:v>
      </x:c>
      <x:c r="J55" s="27" t="str">
        <x:v>time authority</x:v>
      </x:c>
      <x:c r="K55" s="27" t="str">
        <x:v>G01-G08</x:v>
      </x:c>
      <x:c r="L55" s="27" t="str">
        <x:v>OPEN</x:v>
      </x:c>
      <x:c r="M55" s="27" t="n">
        <x:v>0</x:v>
      </x:c>
      <x:c r="N55" s="27" t="n">
        <x:v>22</x:v>
      </x:c>
      <x:c r="O55" s="29" t="n">
        <x:v>24</x:v>
      </x:c>
    </x:row>
    <x:row r="56" ht="28" customHeight="1">
      <x:c r="B56" s="27" t="str">
        <x:v>T050</x:v>
      </x:c>
      <x:c r="C56" s="27" t="str">
        <x:v>P06</x:v>
      </x:c>
      <x:c r="D56" s="27" t="n">
        <x:v>6</x:v>
      </x:c>
      <x:c r="E56" s="27" t="str">
        <x:v>distribution-delay insertion</x:v>
      </x:c>
      <x:c r="F56" s="27" t="str">
        <x:v>registered hazard envelope</x:v>
      </x:c>
      <x:c r="G56" s="27" t="str">
        <x:v>instrumented</x:v>
      </x:c>
      <x:c r="H56" s="27" t="str">
        <x:v>campaign article set</x:v>
      </x:c>
      <x:c r="I56" s="27" t="str">
        <x:v>builder and operator blinded after start</x:v>
      </x:c>
      <x:c r="J56" s="27" t="str">
        <x:v>time authority</x:v>
      </x:c>
      <x:c r="K56" s="27" t="str">
        <x:v>G01-G08</x:v>
      </x:c>
      <x:c r="L56" s="27" t="str">
        <x:v>OPEN</x:v>
      </x:c>
      <x:c r="M56" s="27" t="n">
        <x:v>0</x:v>
      </x:c>
      <x:c r="N56" s="27" t="n">
        <x:v>24</x:v>
      </x:c>
      <x:c r="O56" s="29" t="n">
        <x:v>26</x:v>
      </x:c>
    </x:row>
    <x:row r="57" ht="28" customHeight="1">
      <x:c r="B57" s="27" t="str">
        <x:v>T051</x:v>
      </x:c>
      <x:c r="C57" s="27" t="str">
        <x:v>P06</x:v>
      </x:c>
      <x:c r="D57" s="27" t="n">
        <x:v>7</x:v>
      </x:c>
      <x:c r="E57" s="27" t="str">
        <x:v>calibration-root substitution</x:v>
      </x:c>
      <x:c r="F57" s="27" t="str">
        <x:v>registered hazard envelope</x:v>
      </x:c>
      <x:c r="G57" s="27" t="str">
        <x:v>instrumented</x:v>
      </x:c>
      <x:c r="H57" s="27" t="str">
        <x:v>campaign article set</x:v>
      </x:c>
      <x:c r="I57" s="27" t="str">
        <x:v>builder and operator blinded after start</x:v>
      </x:c>
      <x:c r="J57" s="27" t="str">
        <x:v>time authority</x:v>
      </x:c>
      <x:c r="K57" s="27" t="str">
        <x:v>G01-G08</x:v>
      </x:c>
      <x:c r="L57" s="27" t="str">
        <x:v>OPEN</x:v>
      </x:c>
      <x:c r="M57" s="27" t="n">
        <x:v>0</x:v>
      </x:c>
      <x:c r="N57" s="27" t="n">
        <x:v>26</x:v>
      </x:c>
      <x:c r="O57" s="29" t="n">
        <x:v>28</x:v>
      </x:c>
    </x:row>
    <x:row r="58" ht="28" customHeight="1">
      <x:c r="B58" s="27" t="str">
        <x:v>T052</x:v>
      </x:c>
      <x:c r="C58" s="27" t="str">
        <x:v>P06</x:v>
      </x:c>
      <x:c r="D58" s="27" t="n">
        <x:v>8</x:v>
      </x:c>
      <x:c r="E58" s="27" t="str">
        <x:v>independent time replication</x:v>
      </x:c>
      <x:c r="F58" s="27" t="str">
        <x:v>registered hazard envelope</x:v>
      </x:c>
      <x:c r="G58" s="27" t="str">
        <x:v>instrumented</x:v>
      </x:c>
      <x:c r="H58" s="27" t="str">
        <x:v>campaign article set</x:v>
      </x:c>
      <x:c r="I58" s="27" t="str">
        <x:v>builder and operator blinded after start</x:v>
      </x:c>
      <x:c r="J58" s="27" t="str">
        <x:v>time authority</x:v>
      </x:c>
      <x:c r="K58" s="27" t="str">
        <x:v>G01-G08</x:v>
      </x:c>
      <x:c r="L58" s="27" t="str">
        <x:v>OPEN</x:v>
      </x:c>
      <x:c r="M58" s="27" t="n">
        <x:v>0</x:v>
      </x:c>
      <x:c r="N58" s="27" t="n">
        <x:v>28</x:v>
      </x:c>
      <x:c r="O58" s="29" t="n">
        <x:v>30</x:v>
      </x:c>
    </x:row>
    <x:row r="59" ht="28" customHeight="1">
      <x:c r="B59" s="27" t="str">
        <x:v>T053</x:v>
      </x:c>
      <x:c r="C59" s="27" t="str">
        <x:v>P07</x:v>
      </x:c>
      <x:c r="D59" s="27" t="n">
        <x:v>1</x:v>
      </x:c>
      <x:c r="E59" s="27" t="str">
        <x:v>air tile removal</x:v>
      </x:c>
      <x:c r="F59" s="27" t="str">
        <x:v>registered hazard envelope</x:v>
      </x:c>
      <x:c r="G59" s="27" t="str">
        <x:v>instrumented-bare pair</x:v>
      </x:c>
      <x:c r="H59" s="27" t="str">
        <x:v>campaign article set</x:v>
      </x:c>
      <x:c r="I59" s="27" t="str">
        <x:v>builder and operator blinded after start</x:v>
      </x:c>
      <x:c r="J59" s="27" t="str">
        <x:v>independent trial authority</x:v>
      </x:c>
      <x:c r="K59" s="27" t="str">
        <x:v>G01-G08</x:v>
      </x:c>
      <x:c r="L59" s="27" t="str">
        <x:v>OPEN</x:v>
      </x:c>
      <x:c r="M59" s="27" t="n">
        <x:v>0</x:v>
      </x:c>
      <x:c r="N59" s="27" t="n">
        <x:v>37</x:v>
      </x:c>
      <x:c r="O59" s="29" t="n">
        <x:v>39</x:v>
      </x:c>
    </x:row>
    <x:row r="60" ht="28" customHeight="1">
      <x:c r="B60" s="27" t="str">
        <x:v>T054</x:v>
      </x:c>
      <x:c r="C60" s="27" t="str">
        <x:v>P07</x:v>
      </x:c>
      <x:c r="D60" s="27" t="n">
        <x:v>2</x:v>
      </x:c>
      <x:c r="E60" s="27" t="str">
        <x:v>terrain tile removal</x:v>
      </x:c>
      <x:c r="F60" s="27" t="str">
        <x:v>registered hazard envelope</x:v>
      </x:c>
      <x:c r="G60" s="27" t="str">
        <x:v>instrumented-bare pair</x:v>
      </x:c>
      <x:c r="H60" s="27" t="str">
        <x:v>campaign article set</x:v>
      </x:c>
      <x:c r="I60" s="27" t="str">
        <x:v>builder and operator blinded after start</x:v>
      </x:c>
      <x:c r="J60" s="27" t="str">
        <x:v>independent trial authority</x:v>
      </x:c>
      <x:c r="K60" s="27" t="str">
        <x:v>G01-G08</x:v>
      </x:c>
      <x:c r="L60" s="27" t="str">
        <x:v>OPEN</x:v>
      </x:c>
      <x:c r="M60" s="27" t="n">
        <x:v>0</x:v>
      </x:c>
      <x:c r="N60" s="27" t="n">
        <x:v>39</x:v>
      </x:c>
      <x:c r="O60" s="29" t="n">
        <x:v>41</x:v>
      </x:c>
    </x:row>
    <x:row r="61" ht="28" customHeight="1">
      <x:c r="B61" s="27" t="str">
        <x:v>T055</x:v>
      </x:c>
      <x:c r="C61" s="27" t="str">
        <x:v>P07</x:v>
      </x:c>
      <x:c r="D61" s="27" t="n">
        <x:v>3</x:v>
      </x:c>
      <x:c r="E61" s="27" t="str">
        <x:v>air carrier mass-only emulator</x:v>
      </x:c>
      <x:c r="F61" s="27" t="str">
        <x:v>registered hazard envelope</x:v>
      </x:c>
      <x:c r="G61" s="27" t="str">
        <x:v>mass-only comparator</x:v>
      </x:c>
      <x:c r="H61" s="27" t="str">
        <x:v>campaign article set</x:v>
      </x:c>
      <x:c r="I61" s="27" t="str">
        <x:v>builder and operator blinded after start</x:v>
      </x:c>
      <x:c r="J61" s="27" t="str">
        <x:v>independent trial authority</x:v>
      </x:c>
      <x:c r="K61" s="27" t="str">
        <x:v>G01-G08</x:v>
      </x:c>
      <x:c r="L61" s="27" t="str">
        <x:v>OPEN</x:v>
      </x:c>
      <x:c r="M61" s="27" t="n">
        <x:v>0</x:v>
      </x:c>
      <x:c r="N61" s="27" t="n">
        <x:v>41</x:v>
      </x:c>
      <x:c r="O61" s="29" t="n">
        <x:v>43</x:v>
      </x:c>
    </x:row>
    <x:row r="62" ht="28" customHeight="1">
      <x:c r="B62" s="27" t="str">
        <x:v>T056</x:v>
      </x:c>
      <x:c r="C62" s="27" t="str">
        <x:v>P07</x:v>
      </x:c>
      <x:c r="D62" s="27" t="n">
        <x:v>4</x:v>
      </x:c>
      <x:c r="E62" s="27" t="str">
        <x:v>air carrier mass-heat emulator</x:v>
      </x:c>
      <x:c r="F62" s="27" t="str">
        <x:v>registered hazard envelope</x:v>
      </x:c>
      <x:c r="G62" s="27" t="str">
        <x:v>mass-heat comparator</x:v>
      </x:c>
      <x:c r="H62" s="27" t="str">
        <x:v>campaign article set</x:v>
      </x:c>
      <x:c r="I62" s="27" t="str">
        <x:v>builder and operator blinded after start</x:v>
      </x:c>
      <x:c r="J62" s="27" t="str">
        <x:v>independent trial authority</x:v>
      </x:c>
      <x:c r="K62" s="27" t="str">
        <x:v>G01-G08</x:v>
      </x:c>
      <x:c r="L62" s="27" t="str">
        <x:v>OPEN</x:v>
      </x:c>
      <x:c r="M62" s="27" t="n">
        <x:v>0</x:v>
      </x:c>
      <x:c r="N62" s="27" t="n">
        <x:v>43</x:v>
      </x:c>
      <x:c r="O62" s="29" t="n">
        <x:v>45</x:v>
      </x:c>
    </x:row>
    <x:row r="63" ht="28" customHeight="1">
      <x:c r="B63" s="27" t="str">
        <x:v>T057</x:v>
      </x:c>
      <x:c r="C63" s="27" t="str">
        <x:v>P07</x:v>
      </x:c>
      <x:c r="D63" s="27" t="n">
        <x:v>5</x:v>
      </x:c>
      <x:c r="E63" s="27" t="str">
        <x:v>terrain carrier mass-only emulator</x:v>
      </x:c>
      <x:c r="F63" s="27" t="str">
        <x:v>registered hazard envelope</x:v>
      </x:c>
      <x:c r="G63" s="27" t="str">
        <x:v>mass-only comparator</x:v>
      </x:c>
      <x:c r="H63" s="27" t="str">
        <x:v>campaign article set</x:v>
      </x:c>
      <x:c r="I63" s="27" t="str">
        <x:v>builder and operator blinded after start</x:v>
      </x:c>
      <x:c r="J63" s="27" t="str">
        <x:v>independent trial authority</x:v>
      </x:c>
      <x:c r="K63" s="27" t="str">
        <x:v>G01-G08</x:v>
      </x:c>
      <x:c r="L63" s="27" t="str">
        <x:v>OPEN</x:v>
      </x:c>
      <x:c r="M63" s="27" t="n">
        <x:v>0</x:v>
      </x:c>
      <x:c r="N63" s="27" t="n">
        <x:v>46</x:v>
      </x:c>
      <x:c r="O63" s="29" t="n">
        <x:v>48</x:v>
      </x:c>
    </x:row>
    <x:row r="64" ht="28" customHeight="1">
      <x:c r="B64" s="27" t="str">
        <x:v>T058</x:v>
      </x:c>
      <x:c r="C64" s="27" t="str">
        <x:v>P07</x:v>
      </x:c>
      <x:c r="D64" s="27" t="n">
        <x:v>6</x:v>
      </x:c>
      <x:c r="E64" s="27" t="str">
        <x:v>terrain skin and heat emulator</x:v>
      </x:c>
      <x:c r="F64" s="27" t="str">
        <x:v>registered hazard envelope</x:v>
      </x:c>
      <x:c r="G64" s="27" t="str">
        <x:v>skin-heat comparator</x:v>
      </x:c>
      <x:c r="H64" s="27" t="str">
        <x:v>campaign article set</x:v>
      </x:c>
      <x:c r="I64" s="27" t="str">
        <x:v>builder and operator blinded after start</x:v>
      </x:c>
      <x:c r="J64" s="27" t="str">
        <x:v>independent trial authority</x:v>
      </x:c>
      <x:c r="K64" s="27" t="str">
        <x:v>G01-G08</x:v>
      </x:c>
      <x:c r="L64" s="27" t="str">
        <x:v>OPEN</x:v>
      </x:c>
      <x:c r="M64" s="27" t="n">
        <x:v>0</x:v>
      </x:c>
      <x:c r="N64" s="27" t="n">
        <x:v>48</x:v>
      </x:c>
      <x:c r="O64" s="29" t="n">
        <x:v>50</x:v>
      </x:c>
    </x:row>
    <x:row r="65" ht="28" customHeight="1">
      <x:c r="B65" s="27" t="str">
        <x:v>T059</x:v>
      </x:c>
      <x:c r="C65" s="27" t="str">
        <x:v>P07</x:v>
      </x:c>
      <x:c r="D65" s="27" t="n">
        <x:v>7</x:v>
      </x:c>
      <x:c r="E65" s="27" t="str">
        <x:v>receiver no-crutch withdrawal</x:v>
      </x:c>
      <x:c r="F65" s="27" t="str">
        <x:v>registered hazard envelope</x:v>
      </x:c>
      <x:c r="G65" s="27" t="str">
        <x:v>receiver withdrawal</x:v>
      </x:c>
      <x:c r="H65" s="27" t="str">
        <x:v>campaign article set</x:v>
      </x:c>
      <x:c r="I65" s="27" t="str">
        <x:v>builder and operator blinded after start</x:v>
      </x:c>
      <x:c r="J65" s="27" t="str">
        <x:v>independent trial authority</x:v>
      </x:c>
      <x:c r="K65" s="27" t="str">
        <x:v>G01-G08</x:v>
      </x:c>
      <x:c r="L65" s="27" t="str">
        <x:v>OPEN</x:v>
      </x:c>
      <x:c r="M65" s="27" t="n">
        <x:v>0</x:v>
      </x:c>
      <x:c r="N65" s="27" t="n">
        <x:v>50</x:v>
      </x:c>
      <x:c r="O65" s="29" t="n">
        <x:v>52</x:v>
      </x:c>
    </x:row>
    <x:row r="66" ht="28" customHeight="1">
      <x:c r="B66" s="27" t="str">
        <x:v>T060</x:v>
      </x:c>
      <x:c r="C66" s="27" t="str">
        <x:v>P07</x:v>
      </x:c>
      <x:c r="D66" s="27" t="n">
        <x:v>8</x:v>
      </x:c>
      <x:c r="E66" s="27" t="str">
        <x:v>blinded operator behavior</x:v>
      </x:c>
      <x:c r="F66" s="27" t="str">
        <x:v>registered hazard envelope</x:v>
      </x:c>
      <x:c r="G66" s="27" t="str">
        <x:v>blinded pair</x:v>
      </x:c>
      <x:c r="H66" s="27" t="str">
        <x:v>campaign article set</x:v>
      </x:c>
      <x:c r="I66" s="27" t="str">
        <x:v>builder and operator blinded after start</x:v>
      </x:c>
      <x:c r="J66" s="27" t="str">
        <x:v>independent trial authority</x:v>
      </x:c>
      <x:c r="K66" s="27" t="str">
        <x:v>G01-G08</x:v>
      </x:c>
      <x:c r="L66" s="27" t="str">
        <x:v>OPEN</x:v>
      </x:c>
      <x:c r="M66" s="27" t="n">
        <x:v>0</x:v>
      </x:c>
      <x:c r="N66" s="27" t="n">
        <x:v>52</x:v>
      </x:c>
      <x:c r="O66" s="29" t="n">
        <x:v>54</x:v>
      </x:c>
    </x:row>
    <x:row r="67" ht="28" customHeight="1">
      <x:c r="B67" s="27" t="str">
        <x:v>T061</x:v>
      </x:c>
      <x:c r="C67" s="27" t="str">
        <x:v>P08</x:v>
      </x:c>
      <x:c r="D67" s="27" t="n">
        <x:v>1</x:v>
      </x:c>
      <x:c r="E67" s="27" t="str">
        <x:v>air nominal mission</x:v>
      </x:c>
      <x:c r="F67" s="27" t="str">
        <x:v>registered hazard envelope</x:v>
      </x:c>
      <x:c r="G67" s="27" t="str">
        <x:v>instrumented</x:v>
      </x:c>
      <x:c r="H67" s="27" t="str">
        <x:v>formation set</x:v>
      </x:c>
      <x:c r="I67" s="27" t="str">
        <x:v>builder and operator blinded after start</x:v>
      </x:c>
      <x:c r="J67" s="27" t="str">
        <x:v>independent trial authority</x:v>
      </x:c>
      <x:c r="K67" s="27" t="str">
        <x:v>G01-G08</x:v>
      </x:c>
      <x:c r="L67" s="27" t="str">
        <x:v>OPEN</x:v>
      </x:c>
      <x:c r="M67" s="27" t="n">
        <x:v>0</x:v>
      </x:c>
      <x:c r="N67" s="27" t="n">
        <x:v>55</x:v>
      </x:c>
      <x:c r="O67" s="29" t="n">
        <x:v>57</x:v>
      </x:c>
    </x:row>
    <x:row r="68" ht="28" customHeight="1">
      <x:c r="B68" s="27" t="str">
        <x:v>T062</x:v>
      </x:c>
      <x:c r="C68" s="27" t="str">
        <x:v>P08</x:v>
      </x:c>
      <x:c r="D68" s="27" t="n">
        <x:v>2</x:v>
      </x:c>
      <x:c r="E68" s="27" t="str">
        <x:v>terrain nominal mission</x:v>
      </x:c>
      <x:c r="F68" s="27" t="str">
        <x:v>registered hazard envelope</x:v>
      </x:c>
      <x:c r="G68" s="27" t="str">
        <x:v>instrumented</x:v>
      </x:c>
      <x:c r="H68" s="27" t="str">
        <x:v>formation set</x:v>
      </x:c>
      <x:c r="I68" s="27" t="str">
        <x:v>builder and operator blinded after start</x:v>
      </x:c>
      <x:c r="J68" s="27" t="str">
        <x:v>independent trial authority</x:v>
      </x:c>
      <x:c r="K68" s="27" t="str">
        <x:v>G01-G08</x:v>
      </x:c>
      <x:c r="L68" s="27" t="str">
        <x:v>OPEN</x:v>
      </x:c>
      <x:c r="M68" s="27" t="n">
        <x:v>0</x:v>
      </x:c>
      <x:c r="N68" s="27" t="n">
        <x:v>58</x:v>
      </x:c>
      <x:c r="O68" s="29" t="n">
        <x:v>60</x:v>
      </x:c>
    </x:row>
    <x:row r="69" ht="28" customHeight="1">
      <x:c r="B69" s="27" t="str">
        <x:v>T063</x:v>
      </x:c>
      <x:c r="C69" s="27" t="str">
        <x:v>P08</x:v>
      </x:c>
      <x:c r="D69" s="27" t="n">
        <x:v>3</x:v>
      </x:c>
      <x:c r="E69" s="27" t="str">
        <x:v>air carrier casualty</x:v>
      </x:c>
      <x:c r="F69" s="27" t="str">
        <x:v>carrier casualty</x:v>
      </x:c>
      <x:c r="G69" s="27" t="str">
        <x:v>instrumented</x:v>
      </x:c>
      <x:c r="H69" s="27" t="str">
        <x:v>formation set</x:v>
      </x:c>
      <x:c r="I69" s="27" t="str">
        <x:v>builder and operator blinded after start</x:v>
      </x:c>
      <x:c r="J69" s="27" t="str">
        <x:v>independent trial authority</x:v>
      </x:c>
      <x:c r="K69" s="27" t="str">
        <x:v>G01-G08</x:v>
      </x:c>
      <x:c r="L69" s="27" t="str">
        <x:v>OPEN</x:v>
      </x:c>
      <x:c r="M69" s="27" t="n">
        <x:v>0</x:v>
      </x:c>
      <x:c r="N69" s="27" t="n">
        <x:v>61</x:v>
      </x:c>
      <x:c r="O69" s="29" t="n">
        <x:v>63</x:v>
      </x:c>
    </x:row>
    <x:row r="70" ht="28" customHeight="1">
      <x:c r="B70" s="27" t="str">
        <x:v>T064</x:v>
      </x:c>
      <x:c r="C70" s="27" t="str">
        <x:v>P08</x:v>
      </x:c>
      <x:c r="D70" s="27" t="n">
        <x:v>4</x:v>
      </x:c>
      <x:c r="E70" s="27" t="str">
        <x:v>terrain carrier casualty</x:v>
      </x:c>
      <x:c r="F70" s="27" t="str">
        <x:v>carrier casualty</x:v>
      </x:c>
      <x:c r="G70" s="27" t="str">
        <x:v>instrumented</x:v>
      </x:c>
      <x:c r="H70" s="27" t="str">
        <x:v>formation set</x:v>
      </x:c>
      <x:c r="I70" s="27" t="str">
        <x:v>builder and operator blinded after start</x:v>
      </x:c>
      <x:c r="J70" s="27" t="str">
        <x:v>independent trial authority</x:v>
      </x:c>
      <x:c r="K70" s="27" t="str">
        <x:v>G01-G08</x:v>
      </x:c>
      <x:c r="L70" s="27" t="str">
        <x:v>OPEN</x:v>
      </x:c>
      <x:c r="M70" s="27" t="n">
        <x:v>0</x:v>
      </x:c>
      <x:c r="N70" s="27" t="n">
        <x:v>64</x:v>
      </x:c>
      <x:c r="O70" s="29" t="n">
        <x:v>66</x:v>
      </x:c>
    </x:row>
    <x:row r="71" ht="28" customHeight="1">
      <x:c r="B71" s="27" t="str">
        <x:v>T065</x:v>
      </x:c>
      <x:c r="C71" s="27" t="str">
        <x:v>P08</x:v>
      </x:c>
      <x:c r="D71" s="27" t="n">
        <x:v>5</x:v>
      </x:c>
      <x:c r="E71" s="27" t="str">
        <x:v>air network and time denial</x:v>
      </x:c>
      <x:c r="F71" s="27" t="str">
        <x:v>total link loss</x:v>
      </x:c>
      <x:c r="G71" s="27" t="str">
        <x:v>instrumented</x:v>
      </x:c>
      <x:c r="H71" s="27" t="str">
        <x:v>formation set</x:v>
      </x:c>
      <x:c r="I71" s="27" t="str">
        <x:v>builder and operator blinded after start</x:v>
      </x:c>
      <x:c r="J71" s="27" t="str">
        <x:v>independent trial authority</x:v>
      </x:c>
      <x:c r="K71" s="27" t="str">
        <x:v>G01-G08</x:v>
      </x:c>
      <x:c r="L71" s="27" t="str">
        <x:v>OPEN</x:v>
      </x:c>
      <x:c r="M71" s="27" t="n">
        <x:v>0</x:v>
      </x:c>
      <x:c r="N71" s="27" t="n">
        <x:v>67</x:v>
      </x:c>
      <x:c r="O71" s="29" t="n">
        <x:v>69</x:v>
      </x:c>
    </x:row>
    <x:row r="72" ht="28" customHeight="1">
      <x:c r="B72" s="27" t="str">
        <x:v>T066</x:v>
      </x:c>
      <x:c r="C72" s="27" t="str">
        <x:v>P08</x:v>
      </x:c>
      <x:c r="D72" s="27" t="n">
        <x:v>6</x:v>
      </x:c>
      <x:c r="E72" s="27" t="str">
        <x:v>terrain soil and power denial</x:v>
      </x:c>
      <x:c r="F72" s="27" t="str">
        <x:v>registered hazard envelope</x:v>
      </x:c>
      <x:c r="G72" s="27" t="str">
        <x:v>instrumented</x:v>
      </x:c>
      <x:c r="H72" s="27" t="str">
        <x:v>formation set</x:v>
      </x:c>
      <x:c r="I72" s="27" t="str">
        <x:v>builder and operator blinded after start</x:v>
      </x:c>
      <x:c r="J72" s="27" t="str">
        <x:v>independent trial authority</x:v>
      </x:c>
      <x:c r="K72" s="27" t="str">
        <x:v>G01-G08</x:v>
      </x:c>
      <x:c r="L72" s="27" t="str">
        <x:v>OPEN</x:v>
      </x:c>
      <x:c r="M72" s="27" t="n">
        <x:v>0</x:v>
      </x:c>
      <x:c r="N72" s="27" t="n">
        <x:v>70</x:v>
      </x:c>
      <x:c r="O72" s="29" t="n">
        <x:v>72</x:v>
      </x:c>
    </x:row>
    <x:row r="73" ht="28" customHeight="1">
      <x:c r="B73" s="27" t="str">
        <x:v>T067</x:v>
      </x:c>
      <x:c r="C73" s="27" t="str">
        <x:v>P08</x:v>
      </x:c>
      <x:c r="D73" s="27" t="n">
        <x:v>7</x:v>
      </x:c>
      <x:c r="E73" s="27" t="str">
        <x:v>cross-mode civil receiver</x:v>
      </x:c>
      <x:c r="F73" s="27" t="str">
        <x:v>registered hazard envelope</x:v>
      </x:c>
      <x:c r="G73" s="27" t="str">
        <x:v>instrumented</x:v>
      </x:c>
      <x:c r="H73" s="27" t="str">
        <x:v>formation set</x:v>
      </x:c>
      <x:c r="I73" s="27" t="str">
        <x:v>builder and operator blinded after start</x:v>
      </x:c>
      <x:c r="J73" s="27" t="str">
        <x:v>independent trial authority</x:v>
      </x:c>
      <x:c r="K73" s="27" t="str">
        <x:v>G01-G08</x:v>
      </x:c>
      <x:c r="L73" s="27" t="str">
        <x:v>OPEN</x:v>
      </x:c>
      <x:c r="M73" s="27" t="n">
        <x:v>0</x:v>
      </x:c>
      <x:c r="N73" s="27" t="n">
        <x:v>73</x:v>
      </x:c>
      <x:c r="O73" s="29" t="n">
        <x:v>75</x:v>
      </x:c>
    </x:row>
    <x:row r="74" ht="28" customHeight="1">
      <x:c r="B74" s="31" t="str">
        <x:v>T068</x:v>
      </x:c>
      <x:c r="C74" s="31" t="str">
        <x:v>P08</x:v>
      </x:c>
      <x:c r="D74" s="31" t="n">
        <x:v>8</x:v>
      </x:c>
      <x:c r="E74" s="31" t="str">
        <x:v>independent second-lot mission</x:v>
      </x:c>
      <x:c r="F74" s="31" t="str">
        <x:v>registered hazard envelope</x:v>
      </x:c>
      <x:c r="G74" s="31" t="str">
        <x:v>instrumented</x:v>
      </x:c>
      <x:c r="H74" s="31" t="str">
        <x:v>formation set</x:v>
      </x:c>
      <x:c r="I74" s="31" t="str">
        <x:v>builder and operator blinded after start</x:v>
      </x:c>
      <x:c r="J74" s="31" t="str">
        <x:v>independent trial authority</x:v>
      </x:c>
      <x:c r="K74" s="31" t="str">
        <x:v>G01-G08</x:v>
      </x:c>
      <x:c r="L74" s="31" t="str">
        <x:v>OPEN</x:v>
      </x:c>
      <x:c r="M74" s="31" t="n">
        <x:v>0</x:v>
      </x:c>
      <x:c r="N74" s="31" t="n">
        <x:v>76</x:v>
      </x:c>
      <x:c r="O74" s="33" t="n">
        <x:v>78</x:v>
      </x:c>
    </x:row>
    <x:row r="75" ht="18" customHeight="1"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</x:row>
    <x:row r="76" ht="18" customHeight="1"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</x:row>
    <x:row r="77" ht="18" customHeight="1"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</x:row>
    <x:row r="78" ht="18" customHeight="1"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</x:row>
  </x:sheetData>
  <x:mergeCells>
    <x:mergeCell ref="B3:O3"/>
  </x:mergeCells>
  <x:conditionalFormatting sqref="L7:L74">
    <x:cfRule type="containsText" dxfId="42" priority="1" operator="containsText" text="OPEN"/>
    <x:cfRule type="containsText" dxfId="43" priority="2" operator="containsText" text="HOLD"/>
    <x:cfRule type="containsText" dxfId="44" priority="3" operator="containsText" text="BLOCKED"/>
    <x:cfRule type="containsText" dxfId="45" priority="4" operator="containsText" text="REJECT"/>
    <x:cfRule type="containsText" dxfId="46" priority="5" operator="containsText" text="FAIL"/>
    <x:cfRule type="containsText" dxfId="47" priority="6" operator="containsText" text="SELECTED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3" hidden="0" customWidth="1"/>
    <x:col min="3" max="3" width="11" hidden="0" customWidth="1"/>
    <x:col min="4" max="4" width="18" hidden="0" customWidth="1"/>
    <x:col min="5" max="5" width="48" hidden="0" customWidth="1"/>
    <x:col min="6" max="6" width="27" hidden="0" customWidth="1"/>
    <x:col min="7" max="7" width="29" hidden="0" customWidth="1"/>
    <x:col min="8" max="8" width="43" hidden="0" customWidth="1"/>
    <x:col min="9" max="9" width="15" hidden="0" customWidth="1"/>
    <x:col min="10" max="10" width="13" hidden="0" customWidth="1"/>
    <x:col min="11" max="11" width="11" hidden="0" customWidth="1"/>
  </x:cols>
  <x:sheetData>
    <x:row r="2" ht="18" customHeight="1">
      <x:c r="B2" s="3" t="str">
        <x:v>Campaign evidence gates</x:v>
      </x:c>
      <x:c r="C2" s="2"/>
      <x:c r="D2" s="2"/>
      <x:c r="E2" s="2"/>
      <x:c r="F2" s="2"/>
      <x:c r="G2" s="2"/>
      <x:c r="H2" s="2"/>
      <x:c r="I2" s="2"/>
      <x:c r="J2" s="2"/>
      <x:c r="K2" s="2"/>
    </x:row>
    <x:row r="3" ht="18" customHeight="1">
      <x:c r="B3" s="4" t="str">
        <x:v>Eight co-governing gates apply to every campaign. One failed gate produces zero campaign credit.</x:v>
      </x:c>
      <x:c r="C3" s="2"/>
      <x:c r="D3" s="2"/>
      <x:c r="E3" s="2"/>
      <x:c r="F3" s="2"/>
      <x:c r="G3" s="2"/>
      <x:c r="H3" s="2"/>
      <x:c r="I3" s="2"/>
      <x:c r="J3" s="2"/>
      <x:c r="K3" s="2"/>
    </x:row>
    <x:row r="4" ht="18" customHeight="1">
      <x:c r="B4" s="5"/>
      <x:c r="C4" s="5"/>
      <x:c r="D4" s="5"/>
      <x:c r="E4" s="5"/>
      <x:c r="F4" s="5"/>
      <x:c r="G4" s="5"/>
      <x:c r="H4" s="5"/>
      <x:c r="I4" s="5"/>
      <x:c r="J4" s="5"/>
      <x:c r="K4" s="5"/>
    </x:row>
    <x:row r="5" ht="18" customHeight="1"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18" customHeight="1">
      <x:c r="B6" s="25" t="str">
        <x:v>Gate</x:v>
      </x:c>
      <x:c r="C6" s="26" t="str">
        <x:v>Campaign</x:v>
      </x:c>
      <x:c r="D6" s="26" t="str">
        <x:v>Class</x:v>
      </x:c>
      <x:c r="E6" s="26" t="str">
        <x:v>Question</x:v>
      </x:c>
      <x:c r="F6" s="26" t="str">
        <x:v>Required artifact</x:v>
      </x:c>
      <x:c r="G6" s="26" t="str">
        <x:v>Authority</x:v>
      </x:c>
      <x:c r="H6" s="26" t="str">
        <x:v>Threshold</x:v>
      </x:c>
      <x:c r="I6" s="26" t="str">
        <x:v>Evidence state</x:v>
      </x:c>
      <x:c r="J6" s="26" t="str">
        <x:v>Decision</x:v>
      </x:c>
      <x:c r="K6" s="26" t="str">
        <x:v>Credit</x:v>
      </x:c>
    </x:row>
    <x:row r="7" ht="29" customHeight="1">
      <x:c r="B7" s="27" t="str">
        <x:v>P01-G01</x:v>
      </x:c>
      <x:c r="C7" s="27" t="str">
        <x:v>P01</x:v>
      </x:c>
      <x:c r="D7" s="27" t="str">
        <x:v>configuration</x:v>
      </x:c>
      <x:c r="E7" s="27" t="str">
        <x:v>weighed configuration and ancestry match frozen serial record</x:v>
      </x:c>
      <x:c r="F7" s="27" t="str">
        <x:v>accepted P01 artifact set</x:v>
      </x:c>
      <x:c r="G7" s="27" t="str">
        <x:v>configuration authority</x:v>
      </x:c>
      <x:c r="H7" s="27" t="str">
        <x:v>zero undeclared variance</x:v>
      </x:c>
      <x:c r="I7" s="27" t="str">
        <x:v>OPEN</x:v>
      </x:c>
      <x:c r="J7" s="27" t="str">
        <x:v>HOLD</x:v>
      </x:c>
      <x:c r="K7" s="29" t="n">
        <x:v>0</x:v>
      </x:c>
    </x:row>
    <x:row r="8" ht="29" customHeight="1">
      <x:c r="B8" s="27" t="str">
        <x:v>P01-G02</x:v>
      </x:c>
      <x:c r="C8" s="27" t="str">
        <x:v>P01</x:v>
      </x:c>
      <x:c r="D8" s="27" t="str">
        <x:v>energy</x:v>
      </x:c>
      <x:c r="E8" s="27" t="str">
        <x:v>independent energy survives interval and peak events</x:v>
      </x:c>
      <x:c r="F8" s="27" t="str">
        <x:v>accepted P01 artifact set</x:v>
      </x:c>
      <x:c r="G8" s="27" t="str">
        <x:v>energy safety authority</x:v>
      </x:c>
      <x:c r="H8" s="27" t="str">
        <x:v>168 h plus reserve; zero mission energy</x:v>
      </x:c>
      <x:c r="I8" s="27" t="str">
        <x:v>OPEN</x:v>
      </x:c>
      <x:c r="J8" s="27" t="str">
        <x:v>HOLD</x:v>
      </x:c>
      <x:c r="K8" s="29" t="n">
        <x:v>0</x:v>
      </x:c>
    </x:row>
    <x:row r="9" ht="29" customHeight="1">
      <x:c r="B9" s="27" t="str">
        <x:v>P01-G03</x:v>
      </x:c>
      <x:c r="C9" s="27" t="str">
        <x:v>P01</x:v>
      </x:c>
      <x:c r="D9" s="27" t="str">
        <x:v>data</x:v>
      </x:c>
      <x:c r="E9" s="27" t="str">
        <x:v>complete local original survives link and media faults</x:v>
      </x:c>
      <x:c r="F9" s="27" t="str">
        <x:v>accepted P01 artifact set</x:v>
      </x:c>
      <x:c r="G9" s="27" t="str">
        <x:v>data authority</x:v>
      </x:c>
      <x:c r="H9" s="27" t="str">
        <x:v>registered interval and invalid states retained</x:v>
      </x:c>
      <x:c r="I9" s="27" t="str">
        <x:v>OPEN</x:v>
      </x:c>
      <x:c r="J9" s="27" t="str">
        <x:v>HOLD</x:v>
      </x:c>
      <x:c r="K9" s="29" t="n">
        <x:v>0</x:v>
      </x:c>
    </x:row>
    <x:row r="10" ht="29" customHeight="1">
      <x:c r="B10" s="27" t="str">
        <x:v>P01-G04</x:v>
      </x:c>
      <x:c r="C10" s="27" t="str">
        <x:v>P01</x:v>
      </x:c>
      <x:c r="D10" s="27" t="str">
        <x:v>time</x:v>
      </x:c>
      <x:c r="E10" s="27" t="str">
        <x:v>denied-time event order remains inside allocation</x:v>
      </x:c>
      <x:c r="F10" s="27" t="str">
        <x:v>accepted P01 artifact set</x:v>
      </x:c>
      <x:c r="G10" s="27" t="str">
        <x:v>time authority</x:v>
      </x:c>
      <x:c r="H10" s="27" t="str">
        <x:v>U95 at or below registered limit</x:v>
      </x:c>
      <x:c r="I10" s="27" t="str">
        <x:v>OPEN</x:v>
      </x:c>
      <x:c r="J10" s="27" t="str">
        <x:v>HOLD</x:v>
      </x:c>
      <x:c r="K10" s="29" t="n">
        <x:v>0</x:v>
      </x:c>
    </x:row>
    <x:row r="11" ht="29" customHeight="1">
      <x:c r="B11" s="27" t="str">
        <x:v>P01-G05</x:v>
      </x:c>
      <x:c r="C11" s="27" t="str">
        <x:v>P01</x:v>
      </x:c>
      <x:c r="D11" s="27" t="str">
        <x:v>mechanism</x:v>
      </x:c>
      <x:c r="E11" s="27" t="str">
        <x:v>independent witnesses observe governing physics</x:v>
      </x:c>
      <x:c r="F11" s="27" t="str">
        <x:v>accepted P01 artifact set</x:v>
      </x:c>
      <x:c r="G11" s="27" t="str">
        <x:v>mechanism evidence authority</x:v>
      </x:c>
      <x:c r="H11" s="27" t="str">
        <x:v>all decisive events physically observed</x:v>
      </x:c>
      <x:c r="I11" s="27" t="str">
        <x:v>OPEN</x:v>
      </x:c>
      <x:c r="J11" s="27" t="str">
        <x:v>HOLD</x:v>
      </x:c>
      <x:c r="K11" s="29" t="n">
        <x:v>0</x:v>
      </x:c>
    </x:row>
    <x:row r="12" ht="29" customHeight="1">
      <x:c r="B12" s="27" t="str">
        <x:v>P01-G06</x:v>
      </x:c>
      <x:c r="C12" s="27" t="str">
        <x:v>P01</x:v>
      </x:c>
      <x:c r="D12" s="27" t="str">
        <x:v>civil effect</x:v>
      </x:c>
      <x:c r="E12" s="27" t="str">
        <x:v>receiver proves safe lawful public service</x:v>
      </x:c>
      <x:c r="F12" s="27" t="str">
        <x:v>accepted P01 artifact set</x:v>
      </x:c>
      <x:c r="G12" s="27" t="str">
        <x:v>civil-effect authority</x:v>
      </x:c>
      <x:c r="H12" s="27" t="str">
        <x:v>registered service bundle and release</x:v>
      </x:c>
      <x:c r="I12" s="27" t="str">
        <x:v>OPEN</x:v>
      </x:c>
      <x:c r="J12" s="27" t="str">
        <x:v>HOLD</x:v>
      </x:c>
      <x:c r="K12" s="29" t="n">
        <x:v>0</x:v>
      </x:c>
    </x:row>
    <x:row r="13" ht="29" customHeight="1">
      <x:c r="B13" s="27" t="str">
        <x:v>P01-G07</x:v>
      </x:c>
      <x:c r="C13" s="27" t="str">
        <x:v>P01</x:v>
      </x:c>
      <x:c r="D13" s="27" t="str">
        <x:v>no crutch</x:v>
      </x:c>
      <x:c r="E13" s="27" t="str">
        <x:v>instrumentation and range provide no mission advantage</x:v>
      </x:c>
      <x:c r="F13" s="27" t="str">
        <x:v>accepted P01 artifact set</x:v>
      </x:c>
      <x:c r="G13" s="27" t="str">
        <x:v>equivalence authority</x:v>
      </x:c>
      <x:c r="H13" s="27" t="str">
        <x:v>instrumented, emulated and bare within bound</x:v>
      </x:c>
      <x:c r="I13" s="27" t="str">
        <x:v>OPEN</x:v>
      </x:c>
      <x:c r="J13" s="27" t="str">
        <x:v>HOLD</x:v>
      </x:c>
      <x:c r="K13" s="29" t="n">
        <x:v>0</x:v>
      </x:c>
    </x:row>
    <x:row r="14" ht="29" customHeight="1">
      <x:c r="B14" s="27" t="str">
        <x:v>P01-G08</x:v>
      </x:c>
      <x:c r="C14" s="27" t="str">
        <x:v>P01</x:v>
      </x:c>
      <x:c r="D14" s="27" t="str">
        <x:v>replication</x:v>
      </x:c>
      <x:c r="E14" s="27" t="str">
        <x:v>independent team reproduces result from originals</x:v>
      </x:c>
      <x:c r="F14" s="27" t="str">
        <x:v>accepted P01 artifact set</x:v>
      </x:c>
      <x:c r="G14" s="27" t="str">
        <x:v>independent replication authority</x:v>
      </x:c>
      <x:c r="H14" s="27" t="str">
        <x:v>same verdict under frozen protocol</x:v>
      </x:c>
      <x:c r="I14" s="27" t="str">
        <x:v>OPEN</x:v>
      </x:c>
      <x:c r="J14" s="27" t="str">
        <x:v>HOLD</x:v>
      </x:c>
      <x:c r="K14" s="29" t="n">
        <x:v>0</x:v>
      </x:c>
    </x:row>
    <x:row r="15" ht="29" customHeight="1">
      <x:c r="B15" s="27" t="str">
        <x:v>P02-G01</x:v>
      </x:c>
      <x:c r="C15" s="27" t="str">
        <x:v>P02</x:v>
      </x:c>
      <x:c r="D15" s="27" t="str">
        <x:v>configuration</x:v>
      </x:c>
      <x:c r="E15" s="27" t="str">
        <x:v>weighed configuration and ancestry match frozen serial record</x:v>
      </x:c>
      <x:c r="F15" s="27" t="str">
        <x:v>accepted P02 artifact set</x:v>
      </x:c>
      <x:c r="G15" s="27" t="str">
        <x:v>configuration authority</x:v>
      </x:c>
      <x:c r="H15" s="27" t="str">
        <x:v>zero undeclared variance</x:v>
      </x:c>
      <x:c r="I15" s="27" t="str">
        <x:v>OPEN</x:v>
      </x:c>
      <x:c r="J15" s="27" t="str">
        <x:v>HOLD</x:v>
      </x:c>
      <x:c r="K15" s="29" t="n">
        <x:v>0</x:v>
      </x:c>
    </x:row>
    <x:row r="16" ht="29" customHeight="1">
      <x:c r="B16" s="27" t="str">
        <x:v>P02-G02</x:v>
      </x:c>
      <x:c r="C16" s="27" t="str">
        <x:v>P02</x:v>
      </x:c>
      <x:c r="D16" s="27" t="str">
        <x:v>energy</x:v>
      </x:c>
      <x:c r="E16" s="27" t="str">
        <x:v>independent energy survives interval and peak events</x:v>
      </x:c>
      <x:c r="F16" s="27" t="str">
        <x:v>accepted P02 artifact set</x:v>
      </x:c>
      <x:c r="G16" s="27" t="str">
        <x:v>energy safety authority</x:v>
      </x:c>
      <x:c r="H16" s="27" t="str">
        <x:v>168 h plus reserve; zero mission energy</x:v>
      </x:c>
      <x:c r="I16" s="27" t="str">
        <x:v>OPEN</x:v>
      </x:c>
      <x:c r="J16" s="27" t="str">
        <x:v>HOLD</x:v>
      </x:c>
      <x:c r="K16" s="29" t="n">
        <x:v>0</x:v>
      </x:c>
    </x:row>
    <x:row r="17" ht="29" customHeight="1">
      <x:c r="B17" s="27" t="str">
        <x:v>P02-G03</x:v>
      </x:c>
      <x:c r="C17" s="27" t="str">
        <x:v>P02</x:v>
      </x:c>
      <x:c r="D17" s="27" t="str">
        <x:v>data</x:v>
      </x:c>
      <x:c r="E17" s="27" t="str">
        <x:v>complete local original survives link and media faults</x:v>
      </x:c>
      <x:c r="F17" s="27" t="str">
        <x:v>accepted P02 artifact set</x:v>
      </x:c>
      <x:c r="G17" s="27" t="str">
        <x:v>data authority</x:v>
      </x:c>
      <x:c r="H17" s="27" t="str">
        <x:v>registered interval and invalid states retained</x:v>
      </x:c>
      <x:c r="I17" s="27" t="str">
        <x:v>OPEN</x:v>
      </x:c>
      <x:c r="J17" s="27" t="str">
        <x:v>HOLD</x:v>
      </x:c>
      <x:c r="K17" s="29" t="n">
        <x:v>0</x:v>
      </x:c>
    </x:row>
    <x:row r="18" ht="29" customHeight="1">
      <x:c r="B18" s="27" t="str">
        <x:v>P02-G04</x:v>
      </x:c>
      <x:c r="C18" s="27" t="str">
        <x:v>P02</x:v>
      </x:c>
      <x:c r="D18" s="27" t="str">
        <x:v>time</x:v>
      </x:c>
      <x:c r="E18" s="27" t="str">
        <x:v>denied-time event order remains inside allocation</x:v>
      </x:c>
      <x:c r="F18" s="27" t="str">
        <x:v>accepted P02 artifact set</x:v>
      </x:c>
      <x:c r="G18" s="27" t="str">
        <x:v>time authority</x:v>
      </x:c>
      <x:c r="H18" s="27" t="str">
        <x:v>U95 at or below registered limit</x:v>
      </x:c>
      <x:c r="I18" s="27" t="str">
        <x:v>OPEN</x:v>
      </x:c>
      <x:c r="J18" s="27" t="str">
        <x:v>HOLD</x:v>
      </x:c>
      <x:c r="K18" s="29" t="n">
        <x:v>0</x:v>
      </x:c>
    </x:row>
    <x:row r="19" ht="29" customHeight="1">
      <x:c r="B19" s="27" t="str">
        <x:v>P02-G05</x:v>
      </x:c>
      <x:c r="C19" s="27" t="str">
        <x:v>P02</x:v>
      </x:c>
      <x:c r="D19" s="27" t="str">
        <x:v>mechanism</x:v>
      </x:c>
      <x:c r="E19" s="27" t="str">
        <x:v>independent witnesses observe governing physics</x:v>
      </x:c>
      <x:c r="F19" s="27" t="str">
        <x:v>accepted P02 artifact set</x:v>
      </x:c>
      <x:c r="G19" s="27" t="str">
        <x:v>mechanism evidence authority</x:v>
      </x:c>
      <x:c r="H19" s="27" t="str">
        <x:v>all decisive events physically observed</x:v>
      </x:c>
      <x:c r="I19" s="27" t="str">
        <x:v>OPEN</x:v>
      </x:c>
      <x:c r="J19" s="27" t="str">
        <x:v>HOLD</x:v>
      </x:c>
      <x:c r="K19" s="29" t="n">
        <x:v>0</x:v>
      </x:c>
    </x:row>
    <x:row r="20" ht="29" customHeight="1">
      <x:c r="B20" s="27" t="str">
        <x:v>P02-G06</x:v>
      </x:c>
      <x:c r="C20" s="27" t="str">
        <x:v>P02</x:v>
      </x:c>
      <x:c r="D20" s="27" t="str">
        <x:v>civil effect</x:v>
      </x:c>
      <x:c r="E20" s="27" t="str">
        <x:v>receiver proves safe lawful public service</x:v>
      </x:c>
      <x:c r="F20" s="27" t="str">
        <x:v>accepted P02 artifact set</x:v>
      </x:c>
      <x:c r="G20" s="27" t="str">
        <x:v>civil-effect authority</x:v>
      </x:c>
      <x:c r="H20" s="27" t="str">
        <x:v>registered service bundle and release</x:v>
      </x:c>
      <x:c r="I20" s="27" t="str">
        <x:v>OPEN</x:v>
      </x:c>
      <x:c r="J20" s="27" t="str">
        <x:v>HOLD</x:v>
      </x:c>
      <x:c r="K20" s="29" t="n">
        <x:v>0</x:v>
      </x:c>
    </x:row>
    <x:row r="21" ht="29" customHeight="1">
      <x:c r="B21" s="27" t="str">
        <x:v>P02-G07</x:v>
      </x:c>
      <x:c r="C21" s="27" t="str">
        <x:v>P02</x:v>
      </x:c>
      <x:c r="D21" s="27" t="str">
        <x:v>no crutch</x:v>
      </x:c>
      <x:c r="E21" s="27" t="str">
        <x:v>instrumentation and range provide no mission advantage</x:v>
      </x:c>
      <x:c r="F21" s="27" t="str">
        <x:v>accepted P02 artifact set</x:v>
      </x:c>
      <x:c r="G21" s="27" t="str">
        <x:v>equivalence authority</x:v>
      </x:c>
      <x:c r="H21" s="27" t="str">
        <x:v>instrumented, emulated and bare within bound</x:v>
      </x:c>
      <x:c r="I21" s="27" t="str">
        <x:v>OPEN</x:v>
      </x:c>
      <x:c r="J21" s="27" t="str">
        <x:v>HOLD</x:v>
      </x:c>
      <x:c r="K21" s="29" t="n">
        <x:v>0</x:v>
      </x:c>
    </x:row>
    <x:row r="22" ht="29" customHeight="1">
      <x:c r="B22" s="27" t="str">
        <x:v>P02-G08</x:v>
      </x:c>
      <x:c r="C22" s="27" t="str">
        <x:v>P02</x:v>
      </x:c>
      <x:c r="D22" s="27" t="str">
        <x:v>replication</x:v>
      </x:c>
      <x:c r="E22" s="27" t="str">
        <x:v>independent team reproduces result from originals</x:v>
      </x:c>
      <x:c r="F22" s="27" t="str">
        <x:v>accepted P02 artifact set</x:v>
      </x:c>
      <x:c r="G22" s="27" t="str">
        <x:v>independent replication authority</x:v>
      </x:c>
      <x:c r="H22" s="27" t="str">
        <x:v>same verdict under frozen protocol</x:v>
      </x:c>
      <x:c r="I22" s="27" t="str">
        <x:v>OPEN</x:v>
      </x:c>
      <x:c r="J22" s="27" t="str">
        <x:v>HOLD</x:v>
      </x:c>
      <x:c r="K22" s="29" t="n">
        <x:v>0</x:v>
      </x:c>
    </x:row>
    <x:row r="23" ht="29" customHeight="1">
      <x:c r="B23" s="27" t="str">
        <x:v>P03-G01</x:v>
      </x:c>
      <x:c r="C23" s="27" t="str">
        <x:v>P03</x:v>
      </x:c>
      <x:c r="D23" s="27" t="str">
        <x:v>configuration</x:v>
      </x:c>
      <x:c r="E23" s="27" t="str">
        <x:v>weighed configuration and ancestry match frozen serial record</x:v>
      </x:c>
      <x:c r="F23" s="27" t="str">
        <x:v>accepted P03 artifact set</x:v>
      </x:c>
      <x:c r="G23" s="27" t="str">
        <x:v>configuration authority</x:v>
      </x:c>
      <x:c r="H23" s="27" t="str">
        <x:v>zero undeclared variance</x:v>
      </x:c>
      <x:c r="I23" s="27" t="str">
        <x:v>OPEN</x:v>
      </x:c>
      <x:c r="J23" s="27" t="str">
        <x:v>HOLD</x:v>
      </x:c>
      <x:c r="K23" s="29" t="n">
        <x:v>0</x:v>
      </x:c>
    </x:row>
    <x:row r="24" ht="29" customHeight="1">
      <x:c r="B24" s="27" t="str">
        <x:v>P03-G02</x:v>
      </x:c>
      <x:c r="C24" s="27" t="str">
        <x:v>P03</x:v>
      </x:c>
      <x:c r="D24" s="27" t="str">
        <x:v>energy</x:v>
      </x:c>
      <x:c r="E24" s="27" t="str">
        <x:v>independent energy survives interval and peak events</x:v>
      </x:c>
      <x:c r="F24" s="27" t="str">
        <x:v>accepted P03 artifact set</x:v>
      </x:c>
      <x:c r="G24" s="27" t="str">
        <x:v>energy safety authority</x:v>
      </x:c>
      <x:c r="H24" s="27" t="str">
        <x:v>168 h plus reserve; zero mission energy</x:v>
      </x:c>
      <x:c r="I24" s="27" t="str">
        <x:v>OPEN</x:v>
      </x:c>
      <x:c r="J24" s="27" t="str">
        <x:v>HOLD</x:v>
      </x:c>
      <x:c r="K24" s="29" t="n">
        <x:v>0</x:v>
      </x:c>
    </x:row>
    <x:row r="25" ht="29" customHeight="1">
      <x:c r="B25" s="27" t="str">
        <x:v>P03-G03</x:v>
      </x:c>
      <x:c r="C25" s="27" t="str">
        <x:v>P03</x:v>
      </x:c>
      <x:c r="D25" s="27" t="str">
        <x:v>data</x:v>
      </x:c>
      <x:c r="E25" s="27" t="str">
        <x:v>complete local original survives link and media faults</x:v>
      </x:c>
      <x:c r="F25" s="27" t="str">
        <x:v>accepted P03 artifact set</x:v>
      </x:c>
      <x:c r="G25" s="27" t="str">
        <x:v>data authority</x:v>
      </x:c>
      <x:c r="H25" s="27" t="str">
        <x:v>registered interval and invalid states retained</x:v>
      </x:c>
      <x:c r="I25" s="27" t="str">
        <x:v>OPEN</x:v>
      </x:c>
      <x:c r="J25" s="27" t="str">
        <x:v>HOLD</x:v>
      </x:c>
      <x:c r="K25" s="29" t="n">
        <x:v>0</x:v>
      </x:c>
    </x:row>
    <x:row r="26" ht="29" customHeight="1">
      <x:c r="B26" s="27" t="str">
        <x:v>P03-G04</x:v>
      </x:c>
      <x:c r="C26" s="27" t="str">
        <x:v>P03</x:v>
      </x:c>
      <x:c r="D26" s="27" t="str">
        <x:v>time</x:v>
      </x:c>
      <x:c r="E26" s="27" t="str">
        <x:v>denied-time event order remains inside allocation</x:v>
      </x:c>
      <x:c r="F26" s="27" t="str">
        <x:v>accepted P03 artifact set</x:v>
      </x:c>
      <x:c r="G26" s="27" t="str">
        <x:v>time authority</x:v>
      </x:c>
      <x:c r="H26" s="27" t="str">
        <x:v>U95 at or below registered limit</x:v>
      </x:c>
      <x:c r="I26" s="27" t="str">
        <x:v>OPEN</x:v>
      </x:c>
      <x:c r="J26" s="27" t="str">
        <x:v>HOLD</x:v>
      </x:c>
      <x:c r="K26" s="29" t="n">
        <x:v>0</x:v>
      </x:c>
    </x:row>
    <x:row r="27" ht="29" customHeight="1">
      <x:c r="B27" s="27" t="str">
        <x:v>P03-G05</x:v>
      </x:c>
      <x:c r="C27" s="27" t="str">
        <x:v>P03</x:v>
      </x:c>
      <x:c r="D27" s="27" t="str">
        <x:v>mechanism</x:v>
      </x:c>
      <x:c r="E27" s="27" t="str">
        <x:v>independent witnesses observe governing physics</x:v>
      </x:c>
      <x:c r="F27" s="27" t="str">
        <x:v>accepted P03 artifact set</x:v>
      </x:c>
      <x:c r="G27" s="27" t="str">
        <x:v>mechanism evidence authority</x:v>
      </x:c>
      <x:c r="H27" s="27" t="str">
        <x:v>all decisive events physically observed</x:v>
      </x:c>
      <x:c r="I27" s="27" t="str">
        <x:v>OPEN</x:v>
      </x:c>
      <x:c r="J27" s="27" t="str">
        <x:v>HOLD</x:v>
      </x:c>
      <x:c r="K27" s="29" t="n">
        <x:v>0</x:v>
      </x:c>
    </x:row>
    <x:row r="28" ht="29" customHeight="1">
      <x:c r="B28" s="27" t="str">
        <x:v>P03-G06</x:v>
      </x:c>
      <x:c r="C28" s="27" t="str">
        <x:v>P03</x:v>
      </x:c>
      <x:c r="D28" s="27" t="str">
        <x:v>civil effect</x:v>
      </x:c>
      <x:c r="E28" s="27" t="str">
        <x:v>receiver proves safe lawful public service</x:v>
      </x:c>
      <x:c r="F28" s="27" t="str">
        <x:v>accepted P03 artifact set</x:v>
      </x:c>
      <x:c r="G28" s="27" t="str">
        <x:v>civil-effect authority</x:v>
      </x:c>
      <x:c r="H28" s="27" t="str">
        <x:v>registered service bundle and release</x:v>
      </x:c>
      <x:c r="I28" s="27" t="str">
        <x:v>OPEN</x:v>
      </x:c>
      <x:c r="J28" s="27" t="str">
        <x:v>HOLD</x:v>
      </x:c>
      <x:c r="K28" s="29" t="n">
        <x:v>0</x:v>
      </x:c>
    </x:row>
    <x:row r="29" ht="29" customHeight="1">
      <x:c r="B29" s="27" t="str">
        <x:v>P03-G07</x:v>
      </x:c>
      <x:c r="C29" s="27" t="str">
        <x:v>P03</x:v>
      </x:c>
      <x:c r="D29" s="27" t="str">
        <x:v>no crutch</x:v>
      </x:c>
      <x:c r="E29" s="27" t="str">
        <x:v>instrumentation and range provide no mission advantage</x:v>
      </x:c>
      <x:c r="F29" s="27" t="str">
        <x:v>accepted P03 artifact set</x:v>
      </x:c>
      <x:c r="G29" s="27" t="str">
        <x:v>equivalence authority</x:v>
      </x:c>
      <x:c r="H29" s="27" t="str">
        <x:v>instrumented, emulated and bare within bound</x:v>
      </x:c>
      <x:c r="I29" s="27" t="str">
        <x:v>OPEN</x:v>
      </x:c>
      <x:c r="J29" s="27" t="str">
        <x:v>HOLD</x:v>
      </x:c>
      <x:c r="K29" s="29" t="n">
        <x:v>0</x:v>
      </x:c>
    </x:row>
    <x:row r="30" ht="29" customHeight="1">
      <x:c r="B30" s="27" t="str">
        <x:v>P03-G08</x:v>
      </x:c>
      <x:c r="C30" s="27" t="str">
        <x:v>P03</x:v>
      </x:c>
      <x:c r="D30" s="27" t="str">
        <x:v>replication</x:v>
      </x:c>
      <x:c r="E30" s="27" t="str">
        <x:v>independent team reproduces result from originals</x:v>
      </x:c>
      <x:c r="F30" s="27" t="str">
        <x:v>accepted P03 artifact set</x:v>
      </x:c>
      <x:c r="G30" s="27" t="str">
        <x:v>independent replication authority</x:v>
      </x:c>
      <x:c r="H30" s="27" t="str">
        <x:v>same verdict under frozen protocol</x:v>
      </x:c>
      <x:c r="I30" s="27" t="str">
        <x:v>OPEN</x:v>
      </x:c>
      <x:c r="J30" s="27" t="str">
        <x:v>HOLD</x:v>
      </x:c>
      <x:c r="K30" s="29" t="n">
        <x:v>0</x:v>
      </x:c>
    </x:row>
    <x:row r="31" ht="29" customHeight="1">
      <x:c r="B31" s="27" t="str">
        <x:v>P04-G01</x:v>
      </x:c>
      <x:c r="C31" s="27" t="str">
        <x:v>P04</x:v>
      </x:c>
      <x:c r="D31" s="27" t="str">
        <x:v>configuration</x:v>
      </x:c>
      <x:c r="E31" s="27" t="str">
        <x:v>weighed configuration and ancestry match frozen serial record</x:v>
      </x:c>
      <x:c r="F31" s="27" t="str">
        <x:v>accepted P04 artifact set</x:v>
      </x:c>
      <x:c r="G31" s="27" t="str">
        <x:v>configuration authority</x:v>
      </x:c>
      <x:c r="H31" s="27" t="str">
        <x:v>zero undeclared variance</x:v>
      </x:c>
      <x:c r="I31" s="27" t="str">
        <x:v>OPEN</x:v>
      </x:c>
      <x:c r="J31" s="27" t="str">
        <x:v>HOLD</x:v>
      </x:c>
      <x:c r="K31" s="29" t="n">
        <x:v>0</x:v>
      </x:c>
    </x:row>
    <x:row r="32" ht="29" customHeight="1">
      <x:c r="B32" s="27" t="str">
        <x:v>P04-G02</x:v>
      </x:c>
      <x:c r="C32" s="27" t="str">
        <x:v>P04</x:v>
      </x:c>
      <x:c r="D32" s="27" t="str">
        <x:v>energy</x:v>
      </x:c>
      <x:c r="E32" s="27" t="str">
        <x:v>independent energy survives interval and peak events</x:v>
      </x:c>
      <x:c r="F32" s="27" t="str">
        <x:v>accepted P04 artifact set</x:v>
      </x:c>
      <x:c r="G32" s="27" t="str">
        <x:v>energy safety authority</x:v>
      </x:c>
      <x:c r="H32" s="27" t="str">
        <x:v>168 h plus reserve; zero mission energy</x:v>
      </x:c>
      <x:c r="I32" s="27" t="str">
        <x:v>OPEN</x:v>
      </x:c>
      <x:c r="J32" s="27" t="str">
        <x:v>HOLD</x:v>
      </x:c>
      <x:c r="K32" s="29" t="n">
        <x:v>0</x:v>
      </x:c>
    </x:row>
    <x:row r="33" ht="29" customHeight="1">
      <x:c r="B33" s="27" t="str">
        <x:v>P04-G03</x:v>
      </x:c>
      <x:c r="C33" s="27" t="str">
        <x:v>P04</x:v>
      </x:c>
      <x:c r="D33" s="27" t="str">
        <x:v>data</x:v>
      </x:c>
      <x:c r="E33" s="27" t="str">
        <x:v>complete local original survives link and media faults</x:v>
      </x:c>
      <x:c r="F33" s="27" t="str">
        <x:v>accepted P04 artifact set</x:v>
      </x:c>
      <x:c r="G33" s="27" t="str">
        <x:v>data authority</x:v>
      </x:c>
      <x:c r="H33" s="27" t="str">
        <x:v>registered interval and invalid states retained</x:v>
      </x:c>
      <x:c r="I33" s="27" t="str">
        <x:v>OPEN</x:v>
      </x:c>
      <x:c r="J33" s="27" t="str">
        <x:v>HOLD</x:v>
      </x:c>
      <x:c r="K33" s="29" t="n">
        <x:v>0</x:v>
      </x:c>
    </x:row>
    <x:row r="34" ht="29" customHeight="1">
      <x:c r="B34" s="27" t="str">
        <x:v>P04-G04</x:v>
      </x:c>
      <x:c r="C34" s="27" t="str">
        <x:v>P04</x:v>
      </x:c>
      <x:c r="D34" s="27" t="str">
        <x:v>time</x:v>
      </x:c>
      <x:c r="E34" s="27" t="str">
        <x:v>denied-time event order remains inside allocation</x:v>
      </x:c>
      <x:c r="F34" s="27" t="str">
        <x:v>accepted P04 artifact set</x:v>
      </x:c>
      <x:c r="G34" s="27" t="str">
        <x:v>time authority</x:v>
      </x:c>
      <x:c r="H34" s="27" t="str">
        <x:v>U95 at or below registered limit</x:v>
      </x:c>
      <x:c r="I34" s="27" t="str">
        <x:v>OPEN</x:v>
      </x:c>
      <x:c r="J34" s="27" t="str">
        <x:v>HOLD</x:v>
      </x:c>
      <x:c r="K34" s="29" t="n">
        <x:v>0</x:v>
      </x:c>
    </x:row>
    <x:row r="35" ht="29" customHeight="1">
      <x:c r="B35" s="27" t="str">
        <x:v>P04-G05</x:v>
      </x:c>
      <x:c r="C35" s="27" t="str">
        <x:v>P04</x:v>
      </x:c>
      <x:c r="D35" s="27" t="str">
        <x:v>mechanism</x:v>
      </x:c>
      <x:c r="E35" s="27" t="str">
        <x:v>independent witnesses observe governing physics</x:v>
      </x:c>
      <x:c r="F35" s="27" t="str">
        <x:v>accepted P04 artifact set</x:v>
      </x:c>
      <x:c r="G35" s="27" t="str">
        <x:v>mechanism evidence authority</x:v>
      </x:c>
      <x:c r="H35" s="27" t="str">
        <x:v>all decisive events physically observed</x:v>
      </x:c>
      <x:c r="I35" s="27" t="str">
        <x:v>OPEN</x:v>
      </x:c>
      <x:c r="J35" s="27" t="str">
        <x:v>HOLD</x:v>
      </x:c>
      <x:c r="K35" s="29" t="n">
        <x:v>0</x:v>
      </x:c>
    </x:row>
    <x:row r="36" ht="29" customHeight="1">
      <x:c r="B36" s="27" t="str">
        <x:v>P04-G06</x:v>
      </x:c>
      <x:c r="C36" s="27" t="str">
        <x:v>P04</x:v>
      </x:c>
      <x:c r="D36" s="27" t="str">
        <x:v>civil effect</x:v>
      </x:c>
      <x:c r="E36" s="27" t="str">
        <x:v>receiver proves safe lawful public service</x:v>
      </x:c>
      <x:c r="F36" s="27" t="str">
        <x:v>accepted P04 artifact set</x:v>
      </x:c>
      <x:c r="G36" s="27" t="str">
        <x:v>civil-effect authority</x:v>
      </x:c>
      <x:c r="H36" s="27" t="str">
        <x:v>registered service bundle and release</x:v>
      </x:c>
      <x:c r="I36" s="27" t="str">
        <x:v>OPEN</x:v>
      </x:c>
      <x:c r="J36" s="27" t="str">
        <x:v>HOLD</x:v>
      </x:c>
      <x:c r="K36" s="29" t="n">
        <x:v>0</x:v>
      </x:c>
    </x:row>
    <x:row r="37" ht="29" customHeight="1">
      <x:c r="B37" s="27" t="str">
        <x:v>P04-G07</x:v>
      </x:c>
      <x:c r="C37" s="27" t="str">
        <x:v>P04</x:v>
      </x:c>
      <x:c r="D37" s="27" t="str">
        <x:v>no crutch</x:v>
      </x:c>
      <x:c r="E37" s="27" t="str">
        <x:v>instrumentation and range provide no mission advantage</x:v>
      </x:c>
      <x:c r="F37" s="27" t="str">
        <x:v>accepted P04 artifact set</x:v>
      </x:c>
      <x:c r="G37" s="27" t="str">
        <x:v>equivalence authority</x:v>
      </x:c>
      <x:c r="H37" s="27" t="str">
        <x:v>instrumented, emulated and bare within bound</x:v>
      </x:c>
      <x:c r="I37" s="27" t="str">
        <x:v>OPEN</x:v>
      </x:c>
      <x:c r="J37" s="27" t="str">
        <x:v>HOLD</x:v>
      </x:c>
      <x:c r="K37" s="29" t="n">
        <x:v>0</x:v>
      </x:c>
    </x:row>
    <x:row r="38" ht="29" customHeight="1">
      <x:c r="B38" s="27" t="str">
        <x:v>P04-G08</x:v>
      </x:c>
      <x:c r="C38" s="27" t="str">
        <x:v>P04</x:v>
      </x:c>
      <x:c r="D38" s="27" t="str">
        <x:v>replication</x:v>
      </x:c>
      <x:c r="E38" s="27" t="str">
        <x:v>independent team reproduces result from originals</x:v>
      </x:c>
      <x:c r="F38" s="27" t="str">
        <x:v>accepted P04 artifact set</x:v>
      </x:c>
      <x:c r="G38" s="27" t="str">
        <x:v>independent replication authority</x:v>
      </x:c>
      <x:c r="H38" s="27" t="str">
        <x:v>same verdict under frozen protocol</x:v>
      </x:c>
      <x:c r="I38" s="27" t="str">
        <x:v>OPEN</x:v>
      </x:c>
      <x:c r="J38" s="27" t="str">
        <x:v>HOLD</x:v>
      </x:c>
      <x:c r="K38" s="29" t="n">
        <x:v>0</x:v>
      </x:c>
    </x:row>
    <x:row r="39" ht="29" customHeight="1">
      <x:c r="B39" s="27" t="str">
        <x:v>P05-G01</x:v>
      </x:c>
      <x:c r="C39" s="27" t="str">
        <x:v>P05</x:v>
      </x:c>
      <x:c r="D39" s="27" t="str">
        <x:v>configuration</x:v>
      </x:c>
      <x:c r="E39" s="27" t="str">
        <x:v>weighed configuration and ancestry match frozen serial record</x:v>
      </x:c>
      <x:c r="F39" s="27" t="str">
        <x:v>accepted P05 artifact set</x:v>
      </x:c>
      <x:c r="G39" s="27" t="str">
        <x:v>configuration authority</x:v>
      </x:c>
      <x:c r="H39" s="27" t="str">
        <x:v>zero undeclared variance</x:v>
      </x:c>
      <x:c r="I39" s="27" t="str">
        <x:v>OPEN</x:v>
      </x:c>
      <x:c r="J39" s="27" t="str">
        <x:v>HOLD</x:v>
      </x:c>
      <x:c r="K39" s="29" t="n">
        <x:v>0</x:v>
      </x:c>
    </x:row>
    <x:row r="40" ht="29" customHeight="1">
      <x:c r="B40" s="27" t="str">
        <x:v>P05-G02</x:v>
      </x:c>
      <x:c r="C40" s="27" t="str">
        <x:v>P05</x:v>
      </x:c>
      <x:c r="D40" s="27" t="str">
        <x:v>energy</x:v>
      </x:c>
      <x:c r="E40" s="27" t="str">
        <x:v>independent energy survives interval and peak events</x:v>
      </x:c>
      <x:c r="F40" s="27" t="str">
        <x:v>accepted P05 artifact set</x:v>
      </x:c>
      <x:c r="G40" s="27" t="str">
        <x:v>energy safety authority</x:v>
      </x:c>
      <x:c r="H40" s="27" t="str">
        <x:v>168 h plus reserve; zero mission energy</x:v>
      </x:c>
      <x:c r="I40" s="27" t="str">
        <x:v>OPEN</x:v>
      </x:c>
      <x:c r="J40" s="27" t="str">
        <x:v>HOLD</x:v>
      </x:c>
      <x:c r="K40" s="29" t="n">
        <x:v>0</x:v>
      </x:c>
    </x:row>
    <x:row r="41" ht="29" customHeight="1">
      <x:c r="B41" s="27" t="str">
        <x:v>P05-G03</x:v>
      </x:c>
      <x:c r="C41" s="27" t="str">
        <x:v>P05</x:v>
      </x:c>
      <x:c r="D41" s="27" t="str">
        <x:v>data</x:v>
      </x:c>
      <x:c r="E41" s="27" t="str">
        <x:v>complete local original survives link and media faults</x:v>
      </x:c>
      <x:c r="F41" s="27" t="str">
        <x:v>accepted P05 artifact set</x:v>
      </x:c>
      <x:c r="G41" s="27" t="str">
        <x:v>data authority</x:v>
      </x:c>
      <x:c r="H41" s="27" t="str">
        <x:v>registered interval and invalid states retained</x:v>
      </x:c>
      <x:c r="I41" s="27" t="str">
        <x:v>OPEN</x:v>
      </x:c>
      <x:c r="J41" s="27" t="str">
        <x:v>HOLD</x:v>
      </x:c>
      <x:c r="K41" s="29" t="n">
        <x:v>0</x:v>
      </x:c>
    </x:row>
    <x:row r="42" ht="29" customHeight="1">
      <x:c r="B42" s="27" t="str">
        <x:v>P05-G04</x:v>
      </x:c>
      <x:c r="C42" s="27" t="str">
        <x:v>P05</x:v>
      </x:c>
      <x:c r="D42" s="27" t="str">
        <x:v>time</x:v>
      </x:c>
      <x:c r="E42" s="27" t="str">
        <x:v>denied-time event order remains inside allocation</x:v>
      </x:c>
      <x:c r="F42" s="27" t="str">
        <x:v>accepted P05 artifact set</x:v>
      </x:c>
      <x:c r="G42" s="27" t="str">
        <x:v>time authority</x:v>
      </x:c>
      <x:c r="H42" s="27" t="str">
        <x:v>U95 at or below registered limit</x:v>
      </x:c>
      <x:c r="I42" s="27" t="str">
        <x:v>OPEN</x:v>
      </x:c>
      <x:c r="J42" s="27" t="str">
        <x:v>HOLD</x:v>
      </x:c>
      <x:c r="K42" s="29" t="n">
        <x:v>0</x:v>
      </x:c>
    </x:row>
    <x:row r="43" ht="29" customHeight="1">
      <x:c r="B43" s="27" t="str">
        <x:v>P05-G05</x:v>
      </x:c>
      <x:c r="C43" s="27" t="str">
        <x:v>P05</x:v>
      </x:c>
      <x:c r="D43" s="27" t="str">
        <x:v>mechanism</x:v>
      </x:c>
      <x:c r="E43" s="27" t="str">
        <x:v>independent witnesses observe governing physics</x:v>
      </x:c>
      <x:c r="F43" s="27" t="str">
        <x:v>accepted P05 artifact set</x:v>
      </x:c>
      <x:c r="G43" s="27" t="str">
        <x:v>mechanism evidence authority</x:v>
      </x:c>
      <x:c r="H43" s="27" t="str">
        <x:v>all decisive events physically observed</x:v>
      </x:c>
      <x:c r="I43" s="27" t="str">
        <x:v>OPEN</x:v>
      </x:c>
      <x:c r="J43" s="27" t="str">
        <x:v>HOLD</x:v>
      </x:c>
      <x:c r="K43" s="29" t="n">
        <x:v>0</x:v>
      </x:c>
    </x:row>
    <x:row r="44" ht="29" customHeight="1">
      <x:c r="B44" s="27" t="str">
        <x:v>P05-G06</x:v>
      </x:c>
      <x:c r="C44" s="27" t="str">
        <x:v>P05</x:v>
      </x:c>
      <x:c r="D44" s="27" t="str">
        <x:v>civil effect</x:v>
      </x:c>
      <x:c r="E44" s="27" t="str">
        <x:v>receiver proves safe lawful public service</x:v>
      </x:c>
      <x:c r="F44" s="27" t="str">
        <x:v>accepted P05 artifact set</x:v>
      </x:c>
      <x:c r="G44" s="27" t="str">
        <x:v>civil-effect authority</x:v>
      </x:c>
      <x:c r="H44" s="27" t="str">
        <x:v>registered service bundle and release</x:v>
      </x:c>
      <x:c r="I44" s="27" t="str">
        <x:v>OPEN</x:v>
      </x:c>
      <x:c r="J44" s="27" t="str">
        <x:v>HOLD</x:v>
      </x:c>
      <x:c r="K44" s="29" t="n">
        <x:v>0</x:v>
      </x:c>
    </x:row>
    <x:row r="45" ht="29" customHeight="1">
      <x:c r="B45" s="27" t="str">
        <x:v>P05-G07</x:v>
      </x:c>
      <x:c r="C45" s="27" t="str">
        <x:v>P05</x:v>
      </x:c>
      <x:c r="D45" s="27" t="str">
        <x:v>no crutch</x:v>
      </x:c>
      <x:c r="E45" s="27" t="str">
        <x:v>instrumentation and range provide no mission advantage</x:v>
      </x:c>
      <x:c r="F45" s="27" t="str">
        <x:v>accepted P05 artifact set</x:v>
      </x:c>
      <x:c r="G45" s="27" t="str">
        <x:v>equivalence authority</x:v>
      </x:c>
      <x:c r="H45" s="27" t="str">
        <x:v>instrumented, emulated and bare within bound</x:v>
      </x:c>
      <x:c r="I45" s="27" t="str">
        <x:v>OPEN</x:v>
      </x:c>
      <x:c r="J45" s="27" t="str">
        <x:v>HOLD</x:v>
      </x:c>
      <x:c r="K45" s="29" t="n">
        <x:v>0</x:v>
      </x:c>
    </x:row>
    <x:row r="46" ht="29" customHeight="1">
      <x:c r="B46" s="27" t="str">
        <x:v>P05-G08</x:v>
      </x:c>
      <x:c r="C46" s="27" t="str">
        <x:v>P05</x:v>
      </x:c>
      <x:c r="D46" s="27" t="str">
        <x:v>replication</x:v>
      </x:c>
      <x:c r="E46" s="27" t="str">
        <x:v>independent team reproduces result from originals</x:v>
      </x:c>
      <x:c r="F46" s="27" t="str">
        <x:v>accepted P05 artifact set</x:v>
      </x:c>
      <x:c r="G46" s="27" t="str">
        <x:v>independent replication authority</x:v>
      </x:c>
      <x:c r="H46" s="27" t="str">
        <x:v>same verdict under frozen protocol</x:v>
      </x:c>
      <x:c r="I46" s="27" t="str">
        <x:v>OPEN</x:v>
      </x:c>
      <x:c r="J46" s="27" t="str">
        <x:v>HOLD</x:v>
      </x:c>
      <x:c r="K46" s="29" t="n">
        <x:v>0</x:v>
      </x:c>
    </x:row>
    <x:row r="47" ht="29" customHeight="1">
      <x:c r="B47" s="27" t="str">
        <x:v>P06-G01</x:v>
      </x:c>
      <x:c r="C47" s="27" t="str">
        <x:v>P06</x:v>
      </x:c>
      <x:c r="D47" s="27" t="str">
        <x:v>configuration</x:v>
      </x:c>
      <x:c r="E47" s="27" t="str">
        <x:v>weighed configuration and ancestry match frozen serial record</x:v>
      </x:c>
      <x:c r="F47" s="27" t="str">
        <x:v>accepted P06 artifact set</x:v>
      </x:c>
      <x:c r="G47" s="27" t="str">
        <x:v>configuration authority</x:v>
      </x:c>
      <x:c r="H47" s="27" t="str">
        <x:v>zero undeclared variance</x:v>
      </x:c>
      <x:c r="I47" s="27" t="str">
        <x:v>OPEN</x:v>
      </x:c>
      <x:c r="J47" s="27" t="str">
        <x:v>HOLD</x:v>
      </x:c>
      <x:c r="K47" s="29" t="n">
        <x:v>0</x:v>
      </x:c>
    </x:row>
    <x:row r="48" ht="29" customHeight="1">
      <x:c r="B48" s="27" t="str">
        <x:v>P06-G02</x:v>
      </x:c>
      <x:c r="C48" s="27" t="str">
        <x:v>P06</x:v>
      </x:c>
      <x:c r="D48" s="27" t="str">
        <x:v>energy</x:v>
      </x:c>
      <x:c r="E48" s="27" t="str">
        <x:v>independent energy survives interval and peak events</x:v>
      </x:c>
      <x:c r="F48" s="27" t="str">
        <x:v>accepted P06 artifact set</x:v>
      </x:c>
      <x:c r="G48" s="27" t="str">
        <x:v>energy safety authority</x:v>
      </x:c>
      <x:c r="H48" s="27" t="str">
        <x:v>168 h plus reserve; zero mission energy</x:v>
      </x:c>
      <x:c r="I48" s="27" t="str">
        <x:v>OPEN</x:v>
      </x:c>
      <x:c r="J48" s="27" t="str">
        <x:v>HOLD</x:v>
      </x:c>
      <x:c r="K48" s="29" t="n">
        <x:v>0</x:v>
      </x:c>
    </x:row>
    <x:row r="49" ht="29" customHeight="1">
      <x:c r="B49" s="27" t="str">
        <x:v>P06-G03</x:v>
      </x:c>
      <x:c r="C49" s="27" t="str">
        <x:v>P06</x:v>
      </x:c>
      <x:c r="D49" s="27" t="str">
        <x:v>data</x:v>
      </x:c>
      <x:c r="E49" s="27" t="str">
        <x:v>complete local original survives link and media faults</x:v>
      </x:c>
      <x:c r="F49" s="27" t="str">
        <x:v>accepted P06 artifact set</x:v>
      </x:c>
      <x:c r="G49" s="27" t="str">
        <x:v>data authority</x:v>
      </x:c>
      <x:c r="H49" s="27" t="str">
        <x:v>registered interval and invalid states retained</x:v>
      </x:c>
      <x:c r="I49" s="27" t="str">
        <x:v>OPEN</x:v>
      </x:c>
      <x:c r="J49" s="27" t="str">
        <x:v>HOLD</x:v>
      </x:c>
      <x:c r="K49" s="29" t="n">
        <x:v>0</x:v>
      </x:c>
    </x:row>
    <x:row r="50" ht="29" customHeight="1">
      <x:c r="B50" s="27" t="str">
        <x:v>P06-G04</x:v>
      </x:c>
      <x:c r="C50" s="27" t="str">
        <x:v>P06</x:v>
      </x:c>
      <x:c r="D50" s="27" t="str">
        <x:v>time</x:v>
      </x:c>
      <x:c r="E50" s="27" t="str">
        <x:v>denied-time event order remains inside allocation</x:v>
      </x:c>
      <x:c r="F50" s="27" t="str">
        <x:v>accepted P06 artifact set</x:v>
      </x:c>
      <x:c r="G50" s="27" t="str">
        <x:v>time authority</x:v>
      </x:c>
      <x:c r="H50" s="27" t="str">
        <x:v>U95 at or below registered limit</x:v>
      </x:c>
      <x:c r="I50" s="27" t="str">
        <x:v>OPEN</x:v>
      </x:c>
      <x:c r="J50" s="27" t="str">
        <x:v>HOLD</x:v>
      </x:c>
      <x:c r="K50" s="29" t="n">
        <x:v>0</x:v>
      </x:c>
    </x:row>
    <x:row r="51" ht="29" customHeight="1">
      <x:c r="B51" s="27" t="str">
        <x:v>P06-G05</x:v>
      </x:c>
      <x:c r="C51" s="27" t="str">
        <x:v>P06</x:v>
      </x:c>
      <x:c r="D51" s="27" t="str">
        <x:v>mechanism</x:v>
      </x:c>
      <x:c r="E51" s="27" t="str">
        <x:v>independent witnesses observe governing physics</x:v>
      </x:c>
      <x:c r="F51" s="27" t="str">
        <x:v>accepted P06 artifact set</x:v>
      </x:c>
      <x:c r="G51" s="27" t="str">
        <x:v>mechanism evidence authority</x:v>
      </x:c>
      <x:c r="H51" s="27" t="str">
        <x:v>all decisive events physically observed</x:v>
      </x:c>
      <x:c r="I51" s="27" t="str">
        <x:v>OPEN</x:v>
      </x:c>
      <x:c r="J51" s="27" t="str">
        <x:v>HOLD</x:v>
      </x:c>
      <x:c r="K51" s="29" t="n">
        <x:v>0</x:v>
      </x:c>
    </x:row>
    <x:row r="52" ht="29" customHeight="1">
      <x:c r="B52" s="27" t="str">
        <x:v>P06-G06</x:v>
      </x:c>
      <x:c r="C52" s="27" t="str">
        <x:v>P06</x:v>
      </x:c>
      <x:c r="D52" s="27" t="str">
        <x:v>civil effect</x:v>
      </x:c>
      <x:c r="E52" s="27" t="str">
        <x:v>receiver proves safe lawful public service</x:v>
      </x:c>
      <x:c r="F52" s="27" t="str">
        <x:v>accepted P06 artifact set</x:v>
      </x:c>
      <x:c r="G52" s="27" t="str">
        <x:v>civil-effect authority</x:v>
      </x:c>
      <x:c r="H52" s="27" t="str">
        <x:v>registered service bundle and release</x:v>
      </x:c>
      <x:c r="I52" s="27" t="str">
        <x:v>OPEN</x:v>
      </x:c>
      <x:c r="J52" s="27" t="str">
        <x:v>HOLD</x:v>
      </x:c>
      <x:c r="K52" s="29" t="n">
        <x:v>0</x:v>
      </x:c>
    </x:row>
    <x:row r="53" ht="29" customHeight="1">
      <x:c r="B53" s="27" t="str">
        <x:v>P06-G07</x:v>
      </x:c>
      <x:c r="C53" s="27" t="str">
        <x:v>P06</x:v>
      </x:c>
      <x:c r="D53" s="27" t="str">
        <x:v>no crutch</x:v>
      </x:c>
      <x:c r="E53" s="27" t="str">
        <x:v>instrumentation and range provide no mission advantage</x:v>
      </x:c>
      <x:c r="F53" s="27" t="str">
        <x:v>accepted P06 artifact set</x:v>
      </x:c>
      <x:c r="G53" s="27" t="str">
        <x:v>equivalence authority</x:v>
      </x:c>
      <x:c r="H53" s="27" t="str">
        <x:v>instrumented, emulated and bare within bound</x:v>
      </x:c>
      <x:c r="I53" s="27" t="str">
        <x:v>OPEN</x:v>
      </x:c>
      <x:c r="J53" s="27" t="str">
        <x:v>HOLD</x:v>
      </x:c>
      <x:c r="K53" s="29" t="n">
        <x:v>0</x:v>
      </x:c>
    </x:row>
    <x:row r="54" ht="29" customHeight="1">
      <x:c r="B54" s="27" t="str">
        <x:v>P06-G08</x:v>
      </x:c>
      <x:c r="C54" s="27" t="str">
        <x:v>P06</x:v>
      </x:c>
      <x:c r="D54" s="27" t="str">
        <x:v>replication</x:v>
      </x:c>
      <x:c r="E54" s="27" t="str">
        <x:v>independent team reproduces result from originals</x:v>
      </x:c>
      <x:c r="F54" s="27" t="str">
        <x:v>accepted P06 artifact set</x:v>
      </x:c>
      <x:c r="G54" s="27" t="str">
        <x:v>independent replication authority</x:v>
      </x:c>
      <x:c r="H54" s="27" t="str">
        <x:v>same verdict under frozen protocol</x:v>
      </x:c>
      <x:c r="I54" s="27" t="str">
        <x:v>OPEN</x:v>
      </x:c>
      <x:c r="J54" s="27" t="str">
        <x:v>HOLD</x:v>
      </x:c>
      <x:c r="K54" s="29" t="n">
        <x:v>0</x:v>
      </x:c>
    </x:row>
    <x:row r="55" ht="29" customHeight="1">
      <x:c r="B55" s="27" t="str">
        <x:v>P07-G01</x:v>
      </x:c>
      <x:c r="C55" s="27" t="str">
        <x:v>P07</x:v>
      </x:c>
      <x:c r="D55" s="27" t="str">
        <x:v>configuration</x:v>
      </x:c>
      <x:c r="E55" s="27" t="str">
        <x:v>weighed configuration and ancestry match frozen serial record</x:v>
      </x:c>
      <x:c r="F55" s="27" t="str">
        <x:v>accepted P07 artifact set</x:v>
      </x:c>
      <x:c r="G55" s="27" t="str">
        <x:v>configuration authority</x:v>
      </x:c>
      <x:c r="H55" s="27" t="str">
        <x:v>zero undeclared variance</x:v>
      </x:c>
      <x:c r="I55" s="27" t="str">
        <x:v>OPEN</x:v>
      </x:c>
      <x:c r="J55" s="27" t="str">
        <x:v>HOLD</x:v>
      </x:c>
      <x:c r="K55" s="29" t="n">
        <x:v>0</x:v>
      </x:c>
    </x:row>
    <x:row r="56" ht="29" customHeight="1">
      <x:c r="B56" s="27" t="str">
        <x:v>P07-G02</x:v>
      </x:c>
      <x:c r="C56" s="27" t="str">
        <x:v>P07</x:v>
      </x:c>
      <x:c r="D56" s="27" t="str">
        <x:v>energy</x:v>
      </x:c>
      <x:c r="E56" s="27" t="str">
        <x:v>independent energy survives interval and peak events</x:v>
      </x:c>
      <x:c r="F56" s="27" t="str">
        <x:v>accepted P07 artifact set</x:v>
      </x:c>
      <x:c r="G56" s="27" t="str">
        <x:v>energy safety authority</x:v>
      </x:c>
      <x:c r="H56" s="27" t="str">
        <x:v>168 h plus reserve; zero mission energy</x:v>
      </x:c>
      <x:c r="I56" s="27" t="str">
        <x:v>OPEN</x:v>
      </x:c>
      <x:c r="J56" s="27" t="str">
        <x:v>HOLD</x:v>
      </x:c>
      <x:c r="K56" s="29" t="n">
        <x:v>0</x:v>
      </x:c>
    </x:row>
    <x:row r="57" ht="29" customHeight="1">
      <x:c r="B57" s="27" t="str">
        <x:v>P07-G03</x:v>
      </x:c>
      <x:c r="C57" s="27" t="str">
        <x:v>P07</x:v>
      </x:c>
      <x:c r="D57" s="27" t="str">
        <x:v>data</x:v>
      </x:c>
      <x:c r="E57" s="27" t="str">
        <x:v>complete local original survives link and media faults</x:v>
      </x:c>
      <x:c r="F57" s="27" t="str">
        <x:v>accepted P07 artifact set</x:v>
      </x:c>
      <x:c r="G57" s="27" t="str">
        <x:v>data authority</x:v>
      </x:c>
      <x:c r="H57" s="27" t="str">
        <x:v>registered interval and invalid states retained</x:v>
      </x:c>
      <x:c r="I57" s="27" t="str">
        <x:v>OPEN</x:v>
      </x:c>
      <x:c r="J57" s="27" t="str">
        <x:v>HOLD</x:v>
      </x:c>
      <x:c r="K57" s="29" t="n">
        <x:v>0</x:v>
      </x:c>
    </x:row>
    <x:row r="58" ht="29" customHeight="1">
      <x:c r="B58" s="27" t="str">
        <x:v>P07-G04</x:v>
      </x:c>
      <x:c r="C58" s="27" t="str">
        <x:v>P07</x:v>
      </x:c>
      <x:c r="D58" s="27" t="str">
        <x:v>time</x:v>
      </x:c>
      <x:c r="E58" s="27" t="str">
        <x:v>denied-time event order remains inside allocation</x:v>
      </x:c>
      <x:c r="F58" s="27" t="str">
        <x:v>accepted P07 artifact set</x:v>
      </x:c>
      <x:c r="G58" s="27" t="str">
        <x:v>time authority</x:v>
      </x:c>
      <x:c r="H58" s="27" t="str">
        <x:v>U95 at or below registered limit</x:v>
      </x:c>
      <x:c r="I58" s="27" t="str">
        <x:v>OPEN</x:v>
      </x:c>
      <x:c r="J58" s="27" t="str">
        <x:v>HOLD</x:v>
      </x:c>
      <x:c r="K58" s="29" t="n">
        <x:v>0</x:v>
      </x:c>
    </x:row>
    <x:row r="59" ht="29" customHeight="1">
      <x:c r="B59" s="27" t="str">
        <x:v>P07-G05</x:v>
      </x:c>
      <x:c r="C59" s="27" t="str">
        <x:v>P07</x:v>
      </x:c>
      <x:c r="D59" s="27" t="str">
        <x:v>mechanism</x:v>
      </x:c>
      <x:c r="E59" s="27" t="str">
        <x:v>independent witnesses observe governing physics</x:v>
      </x:c>
      <x:c r="F59" s="27" t="str">
        <x:v>accepted P07 artifact set</x:v>
      </x:c>
      <x:c r="G59" s="27" t="str">
        <x:v>mechanism evidence authority</x:v>
      </x:c>
      <x:c r="H59" s="27" t="str">
        <x:v>all decisive events physically observed</x:v>
      </x:c>
      <x:c r="I59" s="27" t="str">
        <x:v>OPEN</x:v>
      </x:c>
      <x:c r="J59" s="27" t="str">
        <x:v>HOLD</x:v>
      </x:c>
      <x:c r="K59" s="29" t="n">
        <x:v>0</x:v>
      </x:c>
    </x:row>
    <x:row r="60" ht="29" customHeight="1">
      <x:c r="B60" s="27" t="str">
        <x:v>P07-G06</x:v>
      </x:c>
      <x:c r="C60" s="27" t="str">
        <x:v>P07</x:v>
      </x:c>
      <x:c r="D60" s="27" t="str">
        <x:v>civil effect</x:v>
      </x:c>
      <x:c r="E60" s="27" t="str">
        <x:v>receiver proves safe lawful public service</x:v>
      </x:c>
      <x:c r="F60" s="27" t="str">
        <x:v>accepted P07 artifact set</x:v>
      </x:c>
      <x:c r="G60" s="27" t="str">
        <x:v>civil-effect authority</x:v>
      </x:c>
      <x:c r="H60" s="27" t="str">
        <x:v>registered service bundle and release</x:v>
      </x:c>
      <x:c r="I60" s="27" t="str">
        <x:v>OPEN</x:v>
      </x:c>
      <x:c r="J60" s="27" t="str">
        <x:v>HOLD</x:v>
      </x:c>
      <x:c r="K60" s="29" t="n">
        <x:v>0</x:v>
      </x:c>
    </x:row>
    <x:row r="61" ht="29" customHeight="1">
      <x:c r="B61" s="27" t="str">
        <x:v>P07-G07</x:v>
      </x:c>
      <x:c r="C61" s="27" t="str">
        <x:v>P07</x:v>
      </x:c>
      <x:c r="D61" s="27" t="str">
        <x:v>no crutch</x:v>
      </x:c>
      <x:c r="E61" s="27" t="str">
        <x:v>instrumentation and range provide no mission advantage</x:v>
      </x:c>
      <x:c r="F61" s="27" t="str">
        <x:v>accepted P07 artifact set</x:v>
      </x:c>
      <x:c r="G61" s="27" t="str">
        <x:v>equivalence authority</x:v>
      </x:c>
      <x:c r="H61" s="27" t="str">
        <x:v>instrumented, emulated and bare within bound</x:v>
      </x:c>
      <x:c r="I61" s="27" t="str">
        <x:v>OPEN</x:v>
      </x:c>
      <x:c r="J61" s="27" t="str">
        <x:v>HOLD</x:v>
      </x:c>
      <x:c r="K61" s="29" t="n">
        <x:v>0</x:v>
      </x:c>
    </x:row>
    <x:row r="62" ht="29" customHeight="1">
      <x:c r="B62" s="27" t="str">
        <x:v>P07-G08</x:v>
      </x:c>
      <x:c r="C62" s="27" t="str">
        <x:v>P07</x:v>
      </x:c>
      <x:c r="D62" s="27" t="str">
        <x:v>replication</x:v>
      </x:c>
      <x:c r="E62" s="27" t="str">
        <x:v>independent team reproduces result from originals</x:v>
      </x:c>
      <x:c r="F62" s="27" t="str">
        <x:v>accepted P07 artifact set</x:v>
      </x:c>
      <x:c r="G62" s="27" t="str">
        <x:v>independent replication authority</x:v>
      </x:c>
      <x:c r="H62" s="27" t="str">
        <x:v>same verdict under frozen protocol</x:v>
      </x:c>
      <x:c r="I62" s="27" t="str">
        <x:v>OPEN</x:v>
      </x:c>
      <x:c r="J62" s="27" t="str">
        <x:v>HOLD</x:v>
      </x:c>
      <x:c r="K62" s="29" t="n">
        <x:v>0</x:v>
      </x:c>
    </x:row>
    <x:row r="63" ht="29" customHeight="1">
      <x:c r="B63" s="27" t="str">
        <x:v>P08-G01</x:v>
      </x:c>
      <x:c r="C63" s="27" t="str">
        <x:v>P08</x:v>
      </x:c>
      <x:c r="D63" s="27" t="str">
        <x:v>configuration</x:v>
      </x:c>
      <x:c r="E63" s="27" t="str">
        <x:v>weighed configuration and ancestry match frozen serial record</x:v>
      </x:c>
      <x:c r="F63" s="27" t="str">
        <x:v>accepted P08 artifact set</x:v>
      </x:c>
      <x:c r="G63" s="27" t="str">
        <x:v>configuration authority</x:v>
      </x:c>
      <x:c r="H63" s="27" t="str">
        <x:v>zero undeclared variance</x:v>
      </x:c>
      <x:c r="I63" s="27" t="str">
        <x:v>OPEN</x:v>
      </x:c>
      <x:c r="J63" s="27" t="str">
        <x:v>HOLD</x:v>
      </x:c>
      <x:c r="K63" s="29" t="n">
        <x:v>0</x:v>
      </x:c>
    </x:row>
    <x:row r="64" ht="29" customHeight="1">
      <x:c r="B64" s="27" t="str">
        <x:v>P08-G02</x:v>
      </x:c>
      <x:c r="C64" s="27" t="str">
        <x:v>P08</x:v>
      </x:c>
      <x:c r="D64" s="27" t="str">
        <x:v>energy</x:v>
      </x:c>
      <x:c r="E64" s="27" t="str">
        <x:v>independent energy survives interval and peak events</x:v>
      </x:c>
      <x:c r="F64" s="27" t="str">
        <x:v>accepted P08 artifact set</x:v>
      </x:c>
      <x:c r="G64" s="27" t="str">
        <x:v>energy safety authority</x:v>
      </x:c>
      <x:c r="H64" s="27" t="str">
        <x:v>168 h plus reserve; zero mission energy</x:v>
      </x:c>
      <x:c r="I64" s="27" t="str">
        <x:v>OPEN</x:v>
      </x:c>
      <x:c r="J64" s="27" t="str">
        <x:v>HOLD</x:v>
      </x:c>
      <x:c r="K64" s="29" t="n">
        <x:v>0</x:v>
      </x:c>
    </x:row>
    <x:row r="65" ht="29" customHeight="1">
      <x:c r="B65" s="27" t="str">
        <x:v>P08-G03</x:v>
      </x:c>
      <x:c r="C65" s="27" t="str">
        <x:v>P08</x:v>
      </x:c>
      <x:c r="D65" s="27" t="str">
        <x:v>data</x:v>
      </x:c>
      <x:c r="E65" s="27" t="str">
        <x:v>complete local original survives link and media faults</x:v>
      </x:c>
      <x:c r="F65" s="27" t="str">
        <x:v>accepted P08 artifact set</x:v>
      </x:c>
      <x:c r="G65" s="27" t="str">
        <x:v>data authority</x:v>
      </x:c>
      <x:c r="H65" s="27" t="str">
        <x:v>registered interval and invalid states retained</x:v>
      </x:c>
      <x:c r="I65" s="27" t="str">
        <x:v>OPEN</x:v>
      </x:c>
      <x:c r="J65" s="27" t="str">
        <x:v>HOLD</x:v>
      </x:c>
      <x:c r="K65" s="29" t="n">
        <x:v>0</x:v>
      </x:c>
    </x:row>
    <x:row r="66" ht="29" customHeight="1">
      <x:c r="B66" s="27" t="str">
        <x:v>P08-G04</x:v>
      </x:c>
      <x:c r="C66" s="27" t="str">
        <x:v>P08</x:v>
      </x:c>
      <x:c r="D66" s="27" t="str">
        <x:v>time</x:v>
      </x:c>
      <x:c r="E66" s="27" t="str">
        <x:v>denied-time event order remains inside allocation</x:v>
      </x:c>
      <x:c r="F66" s="27" t="str">
        <x:v>accepted P08 artifact set</x:v>
      </x:c>
      <x:c r="G66" s="27" t="str">
        <x:v>time authority</x:v>
      </x:c>
      <x:c r="H66" s="27" t="str">
        <x:v>U95 at or below registered limit</x:v>
      </x:c>
      <x:c r="I66" s="27" t="str">
        <x:v>OPEN</x:v>
      </x:c>
      <x:c r="J66" s="27" t="str">
        <x:v>HOLD</x:v>
      </x:c>
      <x:c r="K66" s="29" t="n">
        <x:v>0</x:v>
      </x:c>
    </x:row>
    <x:row r="67" ht="29" customHeight="1">
      <x:c r="B67" s="27" t="str">
        <x:v>P08-G05</x:v>
      </x:c>
      <x:c r="C67" s="27" t="str">
        <x:v>P08</x:v>
      </x:c>
      <x:c r="D67" s="27" t="str">
        <x:v>mechanism</x:v>
      </x:c>
      <x:c r="E67" s="27" t="str">
        <x:v>independent witnesses observe governing physics</x:v>
      </x:c>
      <x:c r="F67" s="27" t="str">
        <x:v>accepted P08 artifact set</x:v>
      </x:c>
      <x:c r="G67" s="27" t="str">
        <x:v>mechanism evidence authority</x:v>
      </x:c>
      <x:c r="H67" s="27" t="str">
        <x:v>all decisive events physically observed</x:v>
      </x:c>
      <x:c r="I67" s="27" t="str">
        <x:v>OPEN</x:v>
      </x:c>
      <x:c r="J67" s="27" t="str">
        <x:v>HOLD</x:v>
      </x:c>
      <x:c r="K67" s="29" t="n">
        <x:v>0</x:v>
      </x:c>
    </x:row>
    <x:row r="68" ht="29" customHeight="1">
      <x:c r="B68" s="27" t="str">
        <x:v>P08-G06</x:v>
      </x:c>
      <x:c r="C68" s="27" t="str">
        <x:v>P08</x:v>
      </x:c>
      <x:c r="D68" s="27" t="str">
        <x:v>civil effect</x:v>
      </x:c>
      <x:c r="E68" s="27" t="str">
        <x:v>receiver proves safe lawful public service</x:v>
      </x:c>
      <x:c r="F68" s="27" t="str">
        <x:v>accepted P08 artifact set</x:v>
      </x:c>
      <x:c r="G68" s="27" t="str">
        <x:v>civil-effect authority</x:v>
      </x:c>
      <x:c r="H68" s="27" t="str">
        <x:v>registered service bundle and release</x:v>
      </x:c>
      <x:c r="I68" s="27" t="str">
        <x:v>OPEN</x:v>
      </x:c>
      <x:c r="J68" s="27" t="str">
        <x:v>HOLD</x:v>
      </x:c>
      <x:c r="K68" s="29" t="n">
        <x:v>0</x:v>
      </x:c>
    </x:row>
    <x:row r="69" ht="29" customHeight="1">
      <x:c r="B69" s="27" t="str">
        <x:v>P08-G07</x:v>
      </x:c>
      <x:c r="C69" s="27" t="str">
        <x:v>P08</x:v>
      </x:c>
      <x:c r="D69" s="27" t="str">
        <x:v>no crutch</x:v>
      </x:c>
      <x:c r="E69" s="27" t="str">
        <x:v>instrumentation and range provide no mission advantage</x:v>
      </x:c>
      <x:c r="F69" s="27" t="str">
        <x:v>accepted P08 artifact set</x:v>
      </x:c>
      <x:c r="G69" s="27" t="str">
        <x:v>equivalence authority</x:v>
      </x:c>
      <x:c r="H69" s="27" t="str">
        <x:v>instrumented, emulated and bare within bound</x:v>
      </x:c>
      <x:c r="I69" s="27" t="str">
        <x:v>OPEN</x:v>
      </x:c>
      <x:c r="J69" s="27" t="str">
        <x:v>HOLD</x:v>
      </x:c>
      <x:c r="K69" s="29" t="n">
        <x:v>0</x:v>
      </x:c>
    </x:row>
    <x:row r="70" ht="29" customHeight="1">
      <x:c r="B70" s="31" t="str">
        <x:v>P08-G08</x:v>
      </x:c>
      <x:c r="C70" s="31" t="str">
        <x:v>P08</x:v>
      </x:c>
      <x:c r="D70" s="31" t="str">
        <x:v>replication</x:v>
      </x:c>
      <x:c r="E70" s="31" t="str">
        <x:v>independent team reproduces result from originals</x:v>
      </x:c>
      <x:c r="F70" s="31" t="str">
        <x:v>accepted P08 artifact set</x:v>
      </x:c>
      <x:c r="G70" s="31" t="str">
        <x:v>independent replication authority</x:v>
      </x:c>
      <x:c r="H70" s="31" t="str">
        <x:v>same verdict under frozen protocol</x:v>
      </x:c>
      <x:c r="I70" s="31" t="str">
        <x:v>OPEN</x:v>
      </x:c>
      <x:c r="J70" s="31" t="str">
        <x:v>HOLD</x:v>
      </x:c>
      <x:c r="K70" s="33" t="n">
        <x:v>0</x:v>
      </x:c>
    </x:row>
    <x:row r="71" ht="18" customHeight="1">
      <x:c r="B71" s="2"/>
      <x:c r="C71" s="2"/>
      <x:c r="D71" s="2"/>
      <x:c r="E71" s="2"/>
      <x:c r="F71" s="2"/>
      <x:c r="G71" s="2"/>
      <x:c r="H71" s="2"/>
      <x:c r="I71" s="2"/>
      <x:c r="J71" s="2"/>
      <x:c r="K71" s="2"/>
    </x:row>
    <x:row r="72" ht="18" customHeight="1">
      <x:c r="B72" s="2"/>
      <x:c r="C72" s="2"/>
      <x:c r="D72" s="2"/>
      <x:c r="E72" s="2"/>
      <x:c r="F72" s="2"/>
      <x:c r="G72" s="2"/>
      <x:c r="H72" s="2"/>
      <x:c r="I72" s="2"/>
      <x:c r="J72" s="2"/>
      <x:c r="K72" s="2"/>
    </x:row>
  </x:sheetData>
  <x:mergeCells>
    <x:mergeCell ref="B3:K3"/>
  </x:mergeCells>
  <x:conditionalFormatting sqref="I7:J70">
    <x:cfRule type="containsText" dxfId="48" priority="1" operator="containsText" text="OPEN"/>
    <x:cfRule type="containsText" dxfId="49" priority="2" operator="containsText" text="HOLD"/>
    <x:cfRule type="containsText" dxfId="50" priority="3" operator="containsText" text="BLOCKED"/>
    <x:cfRule type="containsText" dxfId="51" priority="4" operator="containsText" text="REJECT"/>
    <x:cfRule type="containsText" dxfId="52" priority="5" operator="containsText" text="FAIL"/>
    <x:cfRule type="containsText" dxfId="53" priority="6" operator="containsText" text="SELECTED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2" hidden="0" customWidth="1"/>
    <x:col min="3" max="3" width="38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12" hidden="0" customWidth="1"/>
    <x:col min="9" max="9" width="17" hidden="0" customWidth="1"/>
    <x:col min="10" max="10" width="16" hidden="0" customWidth="1"/>
    <x:col min="11" max="11" width="16" hidden="0" customWidth="1"/>
    <x:col min="12" max="12" width="16" hidden="0" customWidth="1"/>
    <x:col min="13" max="13" width="17" hidden="0" customWidth="1"/>
    <x:col min="14" max="14" width="14" hidden="0" customWidth="1"/>
    <x:col min="15" max="15" width="12" hidden="0" customWidth="1"/>
  </x:cols>
  <x:sheetData>
    <x:row r="2" ht="18" customHeight="1">
      <x:c r="B2" s="3" t="str">
        <x:v>Campaign schedule and controls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18" customHeight="1">
      <x:c r="B3" s="4" t="str">
        <x:v>The 78-month sequence overlaps component learning but prevents the full mission from outrunning prerequisite evidence.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18" customHeight="1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</x:row>
    <x:row r="5" ht="18" customHeight="1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18" customHeight="1">
      <x:c r="B6" s="25" t="str">
        <x:v>Campaign</x:v>
      </x:c>
      <x:c r="C6" s="26" t="str">
        <x:v>Object</x:v>
      </x:c>
      <x:c r="D6" s="26" t="str">
        <x:v>Dependency</x:v>
      </x:c>
      <x:c r="E6" s="26" t="str">
        <x:v>Start month</x:v>
      </x:c>
      <x:c r="F6" s="26" t="str">
        <x:v>End month</x:v>
      </x:c>
      <x:c r="G6" s="26" t="str">
        <x:v>Duration</x:v>
      </x:c>
      <x:c r="H6" s="26" t="str">
        <x:v>Trials</x:v>
      </x:c>
      <x:c r="I6" s="26" t="str">
        <x:v>Required trials</x:v>
      </x:c>
      <x:c r="J6" s="26" t="str">
        <x:v>Evidence gates</x:v>
      </x:c>
      <x:c r="K6" s="26" t="str">
        <x:v>Required gates</x:v>
      </x:c>
      <x:c r="L6" s="26" t="str">
        <x:v>Cost USD B</x:v>
      </x:c>
      <x:c r="M6" s="26" t="str">
        <x:v>Campaign budget</x:v>
      </x:c>
      <x:c r="N6" s="26" t="str">
        <x:v>Variance</x:v>
      </x:c>
      <x:c r="O6" s="26" t="str">
        <x:v>State</x:v>
      </x:c>
    </x:row>
    <x:row r="7" ht="18" customHeight="1">
      <x:c r="B7" s="27" t="str">
        <x:v>P01</x:v>
      </x:c>
      <x:c r="C7" s="27" t="str">
        <x:v>Power and storage endurance</x:v>
      </x:c>
      <x:c r="D7" s="27" t="str">
        <x:v>none</x:v>
      </x:c>
      <x:c r="E7" s="27" t="n">
        <x:v>1</x:v>
      </x:c>
      <x:c r="F7" s="27" t="n">
        <x:v>12</x:v>
      </x:c>
      <x:c r="G7" s="27" t="n">
        <x:f>F7-E7+1</x:f>
        <x:v>12</x:v>
      </x:c>
      <x:c r="H7" s="27" t="n">
        <x:f>COUNTIFS('Trial Register'!C7:C74,B7)</x:f>
        <x:v>8</x:v>
      </x:c>
      <x:c r="I7" s="27" t="n">
        <x:v>8</x:v>
      </x:c>
      <x:c r="J7" s="27" t="n">
        <x:f>COUNTIFS('Evidence Gates'!C7:C70,B7)</x:f>
        <x:v>8</x:v>
      </x:c>
      <x:c r="K7" s="27" t="n">
        <x:v>8</x:v>
      </x:c>
      <x:c r="L7" s="41" t="n">
        <x:f>'Cost Matrix'!N7</x:f>
        <x:v>1.0000000000000002</x:v>
      </x:c>
      <x:c r="M7" s="41" t="n">
        <x:v>1</x:v>
      </x:c>
      <x:c r="N7" s="41" t="n">
        <x:f>L7-M7</x:f>
        <x:v>2.220446049250313e-16</x:v>
      </x:c>
      <x:c r="O7" s="29" t="str">
        <x:v>OPEN</x:v>
      </x:c>
    </x:row>
    <x:row r="8" ht="18" customHeight="1">
      <x:c r="B8" s="27" t="str">
        <x:v>P02</x:v>
      </x:c>
      <x:c r="C8" s="27" t="str">
        <x:v>Tile cassettes and passive interfaces</x:v>
      </x:c>
      <x:c r="D8" s="27" t="str">
        <x:v>P01 component release</x:v>
      </x:c>
      <x:c r="E8" s="27" t="n">
        <x:v>7</x:v>
      </x:c>
      <x:c r="F8" s="27" t="n">
        <x:v>24</x:v>
      </x:c>
      <x:c r="G8" s="27" t="n">
        <x:f>F8-E8+1</x:f>
        <x:v>18</x:v>
      </x:c>
      <x:c r="H8" s="27" t="n">
        <x:f>COUNTIFS('Trial Register'!C7:C74,B8)</x:f>
        <x:v>10</x:v>
      </x:c>
      <x:c r="I8" s="27" t="n">
        <x:v>10</x:v>
      </x:c>
      <x:c r="J8" s="27" t="n">
        <x:f>COUNTIFS('Evidence Gates'!C7:C70,B8)</x:f>
        <x:v>8</x:v>
      </x:c>
      <x:c r="K8" s="27" t="n">
        <x:v>8</x:v>
      </x:c>
      <x:c r="L8" s="41" t="n">
        <x:f>'Cost Matrix'!N8</x:f>
        <x:v>0.7000000000000002</x:v>
      </x:c>
      <x:c r="M8" s="41" t="n">
        <x:v>0.7</x:v>
      </x:c>
      <x:c r="N8" s="41" t="n">
        <x:f>L8-M8</x:f>
        <x:v>2.220446049250313e-16</x:v>
      </x:c>
      <x:c r="O8" s="29" t="str">
        <x:v>OPEN</x:v>
      </x:c>
    </x:row>
    <x:row r="9" ht="18" customHeight="1">
      <x:c r="B9" s="27" t="str">
        <x:v>P03</x:v>
      </x:c>
      <x:c r="C9" s="27" t="str">
        <x:v>Air carrier truth node</x:v>
      </x:c>
      <x:c r="D9" s="27" t="str">
        <x:v>P01-P02</x:v>
      </x:c>
      <x:c r="E9" s="27" t="n">
        <x:v>19</x:v>
      </x:c>
      <x:c r="F9" s="27" t="n">
        <x:v>36</x:v>
      </x:c>
      <x:c r="G9" s="27" t="n">
        <x:f>F9-E9+1</x:f>
        <x:v>18</x:v>
      </x:c>
      <x:c r="H9" s="27" t="n">
        <x:f>COUNTIFS('Trial Register'!C7:C74,B9)</x:f>
        <x:v>6</x:v>
      </x:c>
      <x:c r="I9" s="27" t="n">
        <x:v>6</x:v>
      </x:c>
      <x:c r="J9" s="27" t="n">
        <x:f>COUNTIFS('Evidence Gates'!C7:C70,B9)</x:f>
        <x:v>8</x:v>
      </x:c>
      <x:c r="K9" s="27" t="n">
        <x:v>8</x:v>
      </x:c>
      <x:c r="L9" s="41" t="n">
        <x:f>'Cost Matrix'!N9</x:f>
        <x:v>0.6000000000000001</x:v>
      </x:c>
      <x:c r="M9" s="41" t="n">
        <x:v>0.6</x:v>
      </x:c>
      <x:c r="N9" s="41" t="n">
        <x:f>L9-M9</x:f>
        <x:v>1.1102230246251565e-16</x:v>
      </x:c>
      <x:c r="O9" s="29" t="str">
        <x:v>OPEN</x:v>
      </x:c>
    </x:row>
    <x:row r="10" ht="18" customHeight="1">
      <x:c r="B10" s="27" t="str">
        <x:v>P04</x:v>
      </x:c>
      <x:c r="C10" s="27" t="str">
        <x:v>Terrain carrier and pressure skin</x:v>
      </x:c>
      <x:c r="D10" s="27" t="str">
        <x:v>P01-P02</x:v>
      </x:c>
      <x:c r="E10" s="27" t="n">
        <x:v>19</x:v>
      </x:c>
      <x:c r="F10" s="27" t="n">
        <x:v>48</x:v>
      </x:c>
      <x:c r="G10" s="27" t="n">
        <x:f>F10-E10+1</x:f>
        <x:v>30</x:v>
      </x:c>
      <x:c r="H10" s="27" t="n">
        <x:f>COUNTIFS('Trial Register'!C7:C74,B10)</x:f>
        <x:v>12</x:v>
      </x:c>
      <x:c r="I10" s="27" t="n">
        <x:v>12</x:v>
      </x:c>
      <x:c r="J10" s="27" t="n">
        <x:f>COUNTIFS('Evidence Gates'!C7:C70,B10)</x:f>
        <x:v>8</x:v>
      </x:c>
      <x:c r="K10" s="27" t="n">
        <x:v>8</x:v>
      </x:c>
      <x:c r="L10" s="41" t="n">
        <x:f>'Cost Matrix'!N10</x:f>
        <x:v>1.5000000000000002</x:v>
      </x:c>
      <x:c r="M10" s="41" t="n">
        <x:v>1.5</x:v>
      </x:c>
      <x:c r="N10" s="41" t="n">
        <x:f>L10-M10</x:f>
        <x:v>2.220446049250313e-16</x:v>
      </x:c>
      <x:c r="O10" s="29" t="str">
        <x:v>OPEN</x:v>
      </x:c>
    </x:row>
    <x:row r="11" ht="18" customHeight="1">
      <x:c r="B11" s="27" t="str">
        <x:v>P05</x:v>
      </x:c>
      <x:c r="C11" s="27" t="str">
        <x:v>Civil receiver truth station</x:v>
      </x:c>
      <x:c r="D11" s="27" t="str">
        <x:v>P01 and civil protocol</x:v>
      </x:c>
      <x:c r="E11" s="27" t="n">
        <x:v>25</x:v>
      </x:c>
      <x:c r="F11" s="27" t="n">
        <x:v>48</x:v>
      </x:c>
      <x:c r="G11" s="27" t="n">
        <x:f>F11-E11+1</x:f>
        <x:v>24</x:v>
      </x:c>
      <x:c r="H11" s="27" t="n">
        <x:f>COUNTIFS('Trial Register'!C7:C74,B11)</x:f>
        <x:v>8</x:v>
      </x:c>
      <x:c r="I11" s="27" t="n">
        <x:v>8</x:v>
      </x:c>
      <x:c r="J11" s="27" t="n">
        <x:f>COUNTIFS('Evidence Gates'!C7:C70,B11)</x:f>
        <x:v>8</x:v>
      </x:c>
      <x:c r="K11" s="27" t="n">
        <x:v>8</x:v>
      </x:c>
      <x:c r="L11" s="41" t="n">
        <x:f>'Cost Matrix'!N11</x:f>
        <x:v>0.8</x:v>
      </x:c>
      <x:c r="M11" s="41" t="n">
        <x:v>0.8</x:v>
      </x:c>
      <x:c r="N11" s="41" t="n">
        <x:f>L11-M11</x:f>
        <x:v>0</x:v>
      </x:c>
      <x:c r="O11" s="29" t="str">
        <x:v>OPEN</x:v>
      </x:c>
    </x:row>
    <x:row r="12" ht="18" customHeight="1">
      <x:c r="B12" s="27" t="str">
        <x:v>P06</x:v>
      </x:c>
      <x:c r="C12" s="27" t="str">
        <x:v>Denied time and event order</x:v>
      </x:c>
      <x:c r="D12" s="27" t="str">
        <x:v>P01</x:v>
      </x:c>
      <x:c r="E12" s="27" t="n">
        <x:v>13</x:v>
      </x:c>
      <x:c r="F12" s="27" t="n">
        <x:v>30</x:v>
      </x:c>
      <x:c r="G12" s="27" t="n">
        <x:f>F12-E12+1</x:f>
        <x:v>18</x:v>
      </x:c>
      <x:c r="H12" s="27" t="n">
        <x:f>COUNTIFS('Trial Register'!C7:C74,B12)</x:f>
        <x:v>8</x:v>
      </x:c>
      <x:c r="I12" s="27" t="n">
        <x:v>8</x:v>
      </x:c>
      <x:c r="J12" s="27" t="n">
        <x:f>COUNTIFS('Evidence Gates'!C7:C70,B12)</x:f>
        <x:v>8</x:v>
      </x:c>
      <x:c r="K12" s="27" t="n">
        <x:v>8</x:v>
      </x:c>
      <x:c r="L12" s="41" t="n">
        <x:f>'Cost Matrix'!N12</x:f>
        <x:v>0.5</x:v>
      </x:c>
      <x:c r="M12" s="41" t="n">
        <x:v>0.5</x:v>
      </x:c>
      <x:c r="N12" s="41" t="n">
        <x:f>L12-M12</x:f>
        <x:v>0</x:v>
      </x:c>
      <x:c r="O12" s="29" t="str">
        <x:v>OPEN</x:v>
      </x:c>
    </x:row>
    <x:row r="13" ht="18" customHeight="1">
      <x:c r="B13" s="27" t="str">
        <x:v>P07</x:v>
      </x:c>
      <x:c r="C13" s="27" t="str">
        <x:v>Removal and no-crutch equivalence</x:v>
      </x:c>
      <x:c r="D13" s="27" t="str">
        <x:v>P02-P06</x:v>
      </x:c>
      <x:c r="E13" s="27" t="n">
        <x:v>37</x:v>
      </x:c>
      <x:c r="F13" s="27" t="n">
        <x:v>54</x:v>
      </x:c>
      <x:c r="G13" s="27" t="n">
        <x:f>F13-E13+1</x:f>
        <x:v>18</x:v>
      </x:c>
      <x:c r="H13" s="27" t="n">
        <x:f>COUNTIFS('Trial Register'!C7:C74,B13)</x:f>
        <x:v>8</x:v>
      </x:c>
      <x:c r="I13" s="27" t="n">
        <x:v>8</x:v>
      </x:c>
      <x:c r="J13" s="27" t="n">
        <x:f>COUNTIFS('Evidence Gates'!C7:C70,B13)</x:f>
        <x:v>8</x:v>
      </x:c>
      <x:c r="K13" s="27" t="n">
        <x:v>8</x:v>
      </x:c>
      <x:c r="L13" s="41" t="n">
        <x:f>'Cost Matrix'!N13</x:f>
        <x:v>0.6000000000000001</x:v>
      </x:c>
      <x:c r="M13" s="41" t="n">
        <x:v>0.6</x:v>
      </x:c>
      <x:c r="N13" s="41" t="n">
        <x:f>L13-M13</x:f>
        <x:v>1.1102230246251565e-16</x:v>
      </x:c>
      <x:c r="O13" s="29" t="str">
        <x:v>OPEN</x:v>
      </x:c>
    </x:row>
    <x:row r="14" ht="18" customHeight="1">
      <x:c r="B14" s="31" t="str">
        <x:v>P08</x:v>
      </x:c>
      <x:c r="C14" s="31" t="str">
        <x:v>Frozen complete mission</x:v>
      </x:c>
      <x:c r="D14" s="31" t="str">
        <x:v>P01-P07</x:v>
      </x:c>
      <x:c r="E14" s="31" t="n">
        <x:v>55</x:v>
      </x:c>
      <x:c r="F14" s="31" t="n">
        <x:v>78</x:v>
      </x:c>
      <x:c r="G14" s="31" t="n">
        <x:f>F14-E14+1</x:f>
        <x:v>24</x:v>
      </x:c>
      <x:c r="H14" s="31" t="n">
        <x:f>COUNTIFS('Trial Register'!C7:C74,B14)</x:f>
        <x:v>8</x:v>
      </x:c>
      <x:c r="I14" s="31" t="n">
        <x:v>8</x:v>
      </x:c>
      <x:c r="J14" s="31" t="n">
        <x:f>COUNTIFS('Evidence Gates'!C7:C70,B14)</x:f>
        <x:v>8</x:v>
      </x:c>
      <x:c r="K14" s="31" t="n">
        <x:v>8</x:v>
      </x:c>
      <x:c r="L14" s="42" t="n">
        <x:f>'Cost Matrix'!N14</x:f>
        <x:v>1.1</x:v>
      </x:c>
      <x:c r="M14" s="42" t="n">
        <x:v>1.1</x:v>
      </x:c>
      <x:c r="N14" s="42" t="n">
        <x:f>L14-M14</x:f>
        <x:v>0</x:v>
      </x:c>
      <x:c r="O14" s="33" t="str">
        <x:v>OPEN</x:v>
      </x:c>
    </x:row>
    <x:row r="15" ht="18" customHeight="1"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</x:row>
    <x:row r="16" ht="18" customHeight="1"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</x:row>
    <x:row r="17" ht="18" customHeight="1">
      <x:c r="B17" s="8" t="str">
        <x:v>Program controls</x:v>
      </x:c>
      <x:c r="C17" s="9" t="str">
        <x:v>Program controls</x:v>
      </x:c>
      <x:c r="D17" s="9" t="str">
        <x:v>Program controls</x:v>
      </x:c>
      <x:c r="E17" s="9" t="str">
        <x:v>Program controls</x:v>
      </x:c>
      <x:c r="F17" s="9" t="str">
        <x:v>Program controls</x:v>
      </x:c>
      <x:c r="G17" s="9" t="str">
        <x:v>Program controls</x:v>
      </x:c>
      <x:c r="H17" s="9" t="str">
        <x:v>Program controls</x:v>
      </x:c>
      <x:c r="I17" s="9" t="str">
        <x:v>Program controls</x:v>
      </x:c>
      <x:c r="J17" s="9" t="str">
        <x:v>Program controls</x:v>
      </x:c>
      <x:c r="K17" s="9" t="str">
        <x:v>Program controls</x:v>
      </x:c>
      <x:c r="L17" s="9" t="str">
        <x:v>Program controls</x:v>
      </x:c>
      <x:c r="M17" s="9" t="str">
        <x:v>Program controls</x:v>
      </x:c>
      <x:c r="N17" s="9" t="str">
        <x:v>Program controls</x:v>
      </x:c>
      <x:c r="O17" s="10" t="str">
        <x:v>Program controls</x:v>
      </x:c>
    </x:row>
    <x:row r="18" ht="18" customHeight="1">
      <x:c r="B18" s="19" t="str">
        <x:v>Measure</x:v>
      </x:c>
      <x:c r="C18" s="20" t="str">
        <x:v>Value</x:v>
      </x:c>
      <x:c r="D18" s="20" t="str">
        <x:v>Unit</x:v>
      </x:c>
      <x:c r="E18" s="20" t="str">
        <x:v>Required</x:v>
      </x:c>
      <x:c r="F18" s="21" t="str">
        <x:v>Result</x:v>
      </x:c>
      <x:c r="G18" s="2"/>
      <x:c r="H18" s="2"/>
      <x:c r="I18" s="2"/>
      <x:c r="J18" s="2"/>
      <x:c r="K18" s="2"/>
      <x:c r="L18" s="2"/>
      <x:c r="M18" s="2"/>
      <x:c r="N18" s="2"/>
      <x:c r="O18" s="2"/>
    </x:row>
    <x:row r="19" ht="18" customHeight="1">
      <x:c r="B19" s="2" t="str">
        <x:v>Campaigns</x:v>
      </x:c>
      <x:c r="C19" s="2" t="n">
        <x:f>COUNTA(B7:B14)</x:f>
        <x:v>8</x:v>
      </x:c>
      <x:c r="D19" s="2" t="str">
        <x:v>campaigns</x:v>
      </x:c>
      <x:c r="E19" s="2" t="n">
        <x:v>8</x:v>
      </x:c>
      <x:c r="F19" s="2" t="str">
        <x:f>IF(C19=E19,"PASS","FAIL")</x:f>
        <x:v>PASS</x:v>
      </x:c>
      <x:c r="G19" s="2"/>
      <x:c r="H19" s="2"/>
      <x:c r="I19" s="2"/>
      <x:c r="J19" s="2"/>
      <x:c r="K19" s="2"/>
      <x:c r="L19" s="2"/>
      <x:c r="M19" s="2"/>
      <x:c r="N19" s="2"/>
      <x:c r="O19" s="2"/>
    </x:row>
    <x:row r="20" ht="18" customHeight="1">
      <x:c r="B20" s="2" t="str">
        <x:v>Trials</x:v>
      </x:c>
      <x:c r="C20" s="2" t="n">
        <x:f>SUM(H7:H14)</x:f>
        <x:v>68</x:v>
      </x:c>
      <x:c r="D20" s="2" t="str">
        <x:v>trials</x:v>
      </x:c>
      <x:c r="E20" s="2" t="n">
        <x:v>68</x:v>
      </x:c>
      <x:c r="F20" s="2" t="str">
        <x:f>IF(C20=E20,"PASS","FAIL")</x:f>
        <x:v>PASS</x:v>
      </x:c>
      <x:c r="G20" s="2"/>
      <x:c r="H20" s="2"/>
      <x:c r="I20" s="2"/>
      <x:c r="J20" s="2"/>
      <x:c r="K20" s="2"/>
      <x:c r="L20" s="2"/>
      <x:c r="M20" s="2"/>
      <x:c r="N20" s="2"/>
      <x:c r="O20" s="2"/>
    </x:row>
    <x:row r="21" ht="18" customHeight="1">
      <x:c r="B21" s="2" t="str">
        <x:v>Evidence gates</x:v>
      </x:c>
      <x:c r="C21" s="2" t="n">
        <x:f>SUM(J7:J14)</x:f>
        <x:v>64</x:v>
      </x:c>
      <x:c r="D21" s="2" t="str">
        <x:v>gates</x:v>
      </x:c>
      <x:c r="E21" s="2" t="n">
        <x:v>64</x:v>
      </x:c>
      <x:c r="F21" s="2" t="str">
        <x:f>IF(C21=E21,"PASS","FAIL")</x:f>
        <x:v>PASS</x:v>
      </x:c>
      <x:c r="G21" s="2"/>
      <x:c r="H21" s="2"/>
      <x:c r="I21" s="2"/>
      <x:c r="J21" s="2"/>
      <x:c r="K21" s="2"/>
      <x:c r="L21" s="2"/>
      <x:c r="M21" s="2"/>
      <x:c r="N21" s="2"/>
      <x:c r="O21" s="2"/>
    </x:row>
    <x:row r="22" ht="18" customHeight="1">
      <x:c r="B22" s="2" t="str">
        <x:v>Program duration</x:v>
      </x:c>
      <x:c r="C22" s="2" t="n">
        <x:f>MAX(F7:F14)</x:f>
        <x:v>78</x:v>
      </x:c>
      <x:c r="D22" s="2" t="str">
        <x:v>months</x:v>
      </x:c>
      <x:c r="E22" s="2" t="n">
        <x:v>78</x:v>
      </x:c>
      <x:c r="F22" s="2" t="str">
        <x:f>IF(C22=E22,"PASS","FAIL")</x:f>
        <x:v>PASS</x:v>
      </x:c>
      <x:c r="G22" s="2"/>
      <x:c r="H22" s="2"/>
      <x:c r="I22" s="2"/>
      <x:c r="J22" s="2"/>
      <x:c r="K22" s="2"/>
      <x:c r="L22" s="2"/>
      <x:c r="M22" s="2"/>
      <x:c r="N22" s="2"/>
      <x:c r="O22" s="2"/>
    </x:row>
    <x:row r="23" ht="18" customHeight="1">
      <x:c r="B23" s="2" t="str">
        <x:v>Physical credit</x:v>
      </x:c>
      <x:c r="C23" s="2" t="n">
        <x:f>SUM('Evidence Gates'!K7:K70)</x:f>
        <x:v>0</x:v>
      </x:c>
      <x:c r="D23" s="2" t="str">
        <x:v>credits</x:v>
      </x:c>
      <x:c r="E23" s="2" t="n">
        <x:v>0</x:v>
      </x:c>
      <x:c r="F23" s="2" t="str">
        <x:f>IF(C23=E23,"PASS","FAIL")</x:f>
        <x:v>PASS</x:v>
      </x:c>
      <x:c r="G23" s="2"/>
      <x:c r="H23" s="2"/>
      <x:c r="I23" s="2"/>
      <x:c r="J23" s="2"/>
      <x:c r="K23" s="2"/>
      <x:c r="L23" s="2"/>
      <x:c r="M23" s="2"/>
      <x:c r="N23" s="2"/>
      <x:c r="O23" s="2"/>
    </x:row>
  </x:sheetData>
  <x:mergeCells>
    <x:mergeCell ref="B3:O3"/>
    <x:mergeCell ref="B17:O17"/>
  </x:mergeCells>
  <x:conditionalFormatting sqref="O7:O14">
    <x:cfRule type="containsText" dxfId="54" priority="1" operator="containsText" text="OPEN"/>
    <x:cfRule type="containsText" dxfId="55" priority="2" operator="containsText" text="HOLD"/>
    <x:cfRule type="containsText" dxfId="56" priority="3" operator="containsText" text="BLOCKED"/>
    <x:cfRule type="containsText" dxfId="57" priority="4" operator="containsText" text="REJECT"/>
    <x:cfRule type="containsText" dxfId="58" priority="5" operator="containsText" text="FAIL"/>
    <x:cfRule type="containsText" dxfId="59" priority="6" operator="containsText" text="SELECTED"/>
  </x:conditionalFormatting>
  <x:conditionalFormatting sqref="F19:F23">
    <x:cfRule type="containsText" dxfId="60" priority="7" operator="containsText" text="OPEN"/>
    <x:cfRule type="containsText" dxfId="61" priority="8" operator="containsText" text="HOLD"/>
    <x:cfRule type="containsText" dxfId="62" priority="9" operator="containsText" text="BLOCKED"/>
    <x:cfRule type="containsText" dxfId="63" priority="10" operator="containsText" text="REJECT"/>
    <x:cfRule type="containsText" dxfId="64" priority="11" operator="containsText" text="FAIL"/>
    <x:cfRule type="containsText" dxfId="65" priority="12" operator="containsText" text="SELECTED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0" hidden="0" customWidth="1"/>
    <x:col min="3" max="3" width="18" hidden="0" customWidth="1"/>
    <x:col min="4" max="4" width="18" hidden="0" customWidth="1"/>
    <x:col min="5" max="5" width="17" hidden="0" customWidth="1"/>
    <x:col min="6" max="6" width="16" hidden="0" customWidth="1"/>
    <x:col min="7" max="7" width="17" hidden="0" customWidth="1"/>
    <x:col min="8" max="8" width="19" hidden="0" customWidth="1"/>
    <x:col min="9" max="9" width="19" hidden="0" customWidth="1"/>
    <x:col min="10" max="10" width="17" hidden="0" customWidth="1"/>
    <x:col min="11" max="11" width="19" hidden="0" customWidth="1"/>
    <x:col min="12" max="12" width="16" hidden="0" customWidth="1"/>
    <x:col min="13" max="13" width="15" hidden="0" customWidth="1"/>
    <x:col min="14" max="14" width="17" hidden="0" customWidth="1"/>
    <x:col min="15" max="15" width="17" hidden="0" customWidth="1"/>
    <x:col min="16" max="16" width="14" hidden="0" customWidth="1"/>
  </x:cols>
  <x:sheetData>
    <x:row r="2" ht="18" customHeight="1">
      <x:c r="B2" s="3" t="str">
        <x:v>Prototype cost matrix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18" customHeight="1">
      <x:c r="B3" s="4" t="str">
        <x:v>Campaign and workstream views reconcile to the same USD 6.8 billion subportfolio inside F01.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18" customHeight="1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</x:row>
    <x:row r="5" ht="18" customHeight="1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18" customHeight="1">
      <x:c r="B6" s="25" t="str">
        <x:v>Campaign</x:v>
      </x:c>
      <x:c r="C6" s="26" t="str">
        <x:v>Architecture competitions</x:v>
      </x:c>
      <x:c r="D6" s="26" t="str">
        <x:v>Tile prototype articles</x:v>
      </x:c>
      <x:c r="E6" s="26" t="str">
        <x:v>Carrier truth nodes</x:v>
      </x:c>
      <x:c r="F6" s="26" t="str">
        <x:v>Pressure skins</x:v>
      </x:c>
      <x:c r="G6" s="26" t="str">
        <x:v>Receiver stations</x:v>
      </x:c>
      <x:c r="H6" s="26" t="str">
        <x:v>Power, time and storage</x:v>
      </x:c>
      <x:c r="I6" s="26" t="str">
        <x:v>Range and trial operations</x:v>
      </x:c>
      <x:c r="J6" s="26" t="str">
        <x:v>Destructive evidence</x:v>
      </x:c>
      <x:c r="K6" s="26" t="str">
        <x:v>Independent replication</x:v>
      </x:c>
      <x:c r="L6" s="26" t="str">
        <x:v>Data custody</x:v>
      </x:c>
      <x:c r="M6" s="26" t="str">
        <x:v>Program reserve</x:v>
      </x:c>
      <x:c r="N6" s="26" t="str">
        <x:v>Campaign total</x:v>
      </x:c>
      <x:c r="O6" s="26" t="str">
        <x:v>Campaign budget</x:v>
      </x:c>
      <x:c r="P6" s="26" t="str">
        <x:v>Variance</x:v>
      </x:c>
    </x:row>
    <x:row r="7" ht="18" customHeight="1">
      <x:c r="B7" s="27" t="str">
        <x:v>P01</x:v>
      </x:c>
      <x:c r="C7" s="41" t="n">
        <x:v>0.08</x:v>
      </x:c>
      <x:c r="D7" s="41" t="n">
        <x:v>0.05</x:v>
      </x:c>
      <x:c r="E7" s="41" t="n">
        <x:v>0.05</x:v>
      </x:c>
      <x:c r="F7" s="41" t="n">
        <x:v>0</x:v>
      </x:c>
      <x:c r="G7" s="41" t="n">
        <x:v>0.05</x:v>
      </x:c>
      <x:c r="H7" s="41" t="n">
        <x:v>0.4</x:v>
      </x:c>
      <x:c r="I7" s="41" t="n">
        <x:v>0.2</x:v>
      </x:c>
      <x:c r="J7" s="41" t="n">
        <x:v>0.05</x:v>
      </x:c>
      <x:c r="K7" s="41" t="n">
        <x:v>0.07</x:v>
      </x:c>
      <x:c r="L7" s="41" t="n">
        <x:v>0.03</x:v>
      </x:c>
      <x:c r="M7" s="41" t="n">
        <x:v>0.02</x:v>
      </x:c>
      <x:c r="N7" s="41" t="n">
        <x:f>SUM(C7:M7)</x:f>
        <x:v>1.0000000000000002</x:v>
      </x:c>
      <x:c r="O7" s="41" t="n">
        <x:v>1</x:v>
      </x:c>
      <x:c r="P7" s="43" t="n">
        <x:f>N7-O7</x:f>
        <x:v>2.220446049250313e-16</x:v>
      </x:c>
    </x:row>
    <x:row r="8" ht="18" customHeight="1">
      <x:c r="B8" s="27" t="str">
        <x:v>P02</x:v>
      </x:c>
      <x:c r="C8" s="41" t="n">
        <x:v>0.08</x:v>
      </x:c>
      <x:c r="D8" s="41" t="n">
        <x:v>0.28</x:v>
      </x:c>
      <x:c r="E8" s="41" t="n">
        <x:v>0</x:v>
      </x:c>
      <x:c r="F8" s="41" t="n">
        <x:v>0.05</x:v>
      </x:c>
      <x:c r="G8" s="41" t="n">
        <x:v>0</x:v>
      </x:c>
      <x:c r="H8" s="41" t="n">
        <x:v>0.08</x:v>
      </x:c>
      <x:c r="I8" s="41" t="n">
        <x:v>0.08</x:v>
      </x:c>
      <x:c r="J8" s="41" t="n">
        <x:v>0.05</x:v>
      </x:c>
      <x:c r="K8" s="41" t="n">
        <x:v>0.05</x:v>
      </x:c>
      <x:c r="L8" s="41" t="n">
        <x:v>0.02</x:v>
      </x:c>
      <x:c r="M8" s="41" t="n">
        <x:v>0.01</x:v>
      </x:c>
      <x:c r="N8" s="41" t="n">
        <x:f>SUM(C8:M8)</x:f>
        <x:v>0.7000000000000002</x:v>
      </x:c>
      <x:c r="O8" s="41" t="n">
        <x:v>0.7</x:v>
      </x:c>
      <x:c r="P8" s="43" t="n">
        <x:f>N8-O8</x:f>
        <x:v>2.220446049250313e-16</x:v>
      </x:c>
    </x:row>
    <x:row r="9" ht="18" customHeight="1">
      <x:c r="B9" s="27" t="str">
        <x:v>P03</x:v>
      </x:c>
      <x:c r="C9" s="41" t="n">
        <x:v>0.06</x:v>
      </x:c>
      <x:c r="D9" s="41" t="n">
        <x:v>0</x:v>
      </x:c>
      <x:c r="E9" s="41" t="n">
        <x:v>0.2</x:v>
      </x:c>
      <x:c r="F9" s="41" t="n">
        <x:v>0</x:v>
      </x:c>
      <x:c r="G9" s="41" t="n">
        <x:v>0</x:v>
      </x:c>
      <x:c r="H9" s="41" t="n">
        <x:v>0.08</x:v>
      </x:c>
      <x:c r="I9" s="41" t="n">
        <x:v>0.12</x:v>
      </x:c>
      <x:c r="J9" s="41" t="n">
        <x:v>0.03</x:v>
      </x:c>
      <x:c r="K9" s="41" t="n">
        <x:v>0.07</x:v>
      </x:c>
      <x:c r="L9" s="41" t="n">
        <x:v>0.03</x:v>
      </x:c>
      <x:c r="M9" s="41" t="n">
        <x:v>0.01</x:v>
      </x:c>
      <x:c r="N9" s="41" t="n">
        <x:f>SUM(C9:M9)</x:f>
        <x:v>0.6000000000000001</x:v>
      </x:c>
      <x:c r="O9" s="41" t="n">
        <x:v>0.6</x:v>
      </x:c>
      <x:c r="P9" s="43" t="n">
        <x:f>N9-O9</x:f>
        <x:v>1.1102230246251565e-16</x:v>
      </x:c>
    </x:row>
    <x:row r="10" ht="18" customHeight="1">
      <x:c r="B10" s="27" t="str">
        <x:v>P04</x:v>
      </x:c>
      <x:c r="C10" s="41" t="n">
        <x:v>0.1</x:v>
      </x:c>
      <x:c r="D10" s="41" t="n">
        <x:v>0</x:v>
      </x:c>
      <x:c r="E10" s="41" t="n">
        <x:v>0.25</x:v>
      </x:c>
      <x:c r="F10" s="41" t="n">
        <x:v>0.6</x:v>
      </x:c>
      <x:c r="G10" s="41" t="n">
        <x:v>0</x:v>
      </x:c>
      <x:c r="H10" s="41" t="n">
        <x:v>0.05</x:v>
      </x:c>
      <x:c r="I10" s="41" t="n">
        <x:v>0.25</x:v>
      </x:c>
      <x:c r="J10" s="41" t="n">
        <x:v>0.08</x:v>
      </x:c>
      <x:c r="K10" s="41" t="n">
        <x:v>0.12</x:v>
      </x:c>
      <x:c r="L10" s="41" t="n">
        <x:v>0.03</x:v>
      </x:c>
      <x:c r="M10" s="41" t="n">
        <x:v>0.02</x:v>
      </x:c>
      <x:c r="N10" s="41" t="n">
        <x:f>SUM(C10:M10)</x:f>
        <x:v>1.5000000000000002</x:v>
      </x:c>
      <x:c r="O10" s="41" t="n">
        <x:v>1.5</x:v>
      </x:c>
      <x:c r="P10" s="43" t="n">
        <x:f>N10-O10</x:f>
        <x:v>2.220446049250313e-16</x:v>
      </x:c>
    </x:row>
    <x:row r="11" ht="18" customHeight="1">
      <x:c r="B11" s="27" t="str">
        <x:v>P05</x:v>
      </x:c>
      <x:c r="C11" s="41" t="n">
        <x:v>0.06</x:v>
      </x:c>
      <x:c r="D11" s="41" t="n">
        <x:v>0</x:v>
      </x:c>
      <x:c r="E11" s="41" t="n">
        <x:v>0</x:v>
      </x:c>
      <x:c r="F11" s="41" t="n">
        <x:v>0</x:v>
      </x:c>
      <x:c r="G11" s="41" t="n">
        <x:v>0.35</x:v>
      </x:c>
      <x:c r="H11" s="41" t="n">
        <x:v>0.04</x:v>
      </x:c>
      <x:c r="I11" s="41" t="n">
        <x:v>0.15</x:v>
      </x:c>
      <x:c r="J11" s="41" t="n">
        <x:v>0.03</x:v>
      </x:c>
      <x:c r="K11" s="41" t="n">
        <x:v>0.12</x:v>
      </x:c>
      <x:c r="L11" s="41" t="n">
        <x:v>0.04</x:v>
      </x:c>
      <x:c r="M11" s="41" t="n">
        <x:v>0.01</x:v>
      </x:c>
      <x:c r="N11" s="41" t="n">
        <x:f>SUM(C11:M11)</x:f>
        <x:v>0.8</x:v>
      </x:c>
      <x:c r="O11" s="41" t="n">
        <x:v>0.8</x:v>
      </x:c>
      <x:c r="P11" s="43" t="n">
        <x:f>N11-O11</x:f>
        <x:v>0</x:v>
      </x:c>
    </x:row>
    <x:row r="12" ht="18" customHeight="1">
      <x:c r="B12" s="27" t="str">
        <x:v>P06</x:v>
      </x:c>
      <x:c r="C12" s="41" t="n">
        <x:v>0.05</x:v>
      </x:c>
      <x:c r="D12" s="41" t="n">
        <x:v>0</x:v>
      </x:c>
      <x:c r="E12" s="41" t="n">
        <x:v>0</x:v>
      </x:c>
      <x:c r="F12" s="41" t="n">
        <x:v>0</x:v>
      </x:c>
      <x:c r="G12" s="41" t="n">
        <x:v>0</x:v>
      </x:c>
      <x:c r="H12" s="41" t="n">
        <x:v>0.25</x:v>
      </x:c>
      <x:c r="I12" s="41" t="n">
        <x:v>0.07</x:v>
      </x:c>
      <x:c r="J12" s="41" t="n">
        <x:v>0.02</x:v>
      </x:c>
      <x:c r="K12" s="41" t="n">
        <x:v>0.07</x:v>
      </x:c>
      <x:c r="L12" s="41" t="n">
        <x:v>0.03</x:v>
      </x:c>
      <x:c r="M12" s="41" t="n">
        <x:v>0.01</x:v>
      </x:c>
      <x:c r="N12" s="41" t="n">
        <x:f>SUM(C12:M12)</x:f>
        <x:v>0.5</x:v>
      </x:c>
      <x:c r="O12" s="41" t="n">
        <x:v>0.5</x:v>
      </x:c>
      <x:c r="P12" s="43" t="n">
        <x:f>N12-O12</x:f>
        <x:v>0</x:v>
      </x:c>
    </x:row>
    <x:row r="13" ht="18" customHeight="1">
      <x:c r="B13" s="27" t="str">
        <x:v>P07</x:v>
      </x:c>
      <x:c r="C13" s="41" t="n">
        <x:v>0.07</x:v>
      </x:c>
      <x:c r="D13" s="41" t="n">
        <x:v>0.07</x:v>
      </x:c>
      <x:c r="E13" s="41" t="n">
        <x:v>0.1</x:v>
      </x:c>
      <x:c r="F13" s="41" t="n">
        <x:v>0.08</x:v>
      </x:c>
      <x:c r="G13" s="41" t="n">
        <x:v>0.05</x:v>
      </x:c>
      <x:c r="H13" s="41" t="n">
        <x:v>0.03</x:v>
      </x:c>
      <x:c r="I13" s="41" t="n">
        <x:v>0.1</x:v>
      </x:c>
      <x:c r="J13" s="41" t="n">
        <x:v>0.05</x:v>
      </x:c>
      <x:c r="K13" s="41" t="n">
        <x:v>0.04</x:v>
      </x:c>
      <x:c r="L13" s="41" t="n">
        <x:v>0</x:v>
      </x:c>
      <x:c r="M13" s="41" t="n">
        <x:v>0.01</x:v>
      </x:c>
      <x:c r="N13" s="41" t="n">
        <x:f>SUM(C13:M13)</x:f>
        <x:v>0.6000000000000001</x:v>
      </x:c>
      <x:c r="O13" s="41" t="n">
        <x:v>0.6</x:v>
      </x:c>
      <x:c r="P13" s="43" t="n">
        <x:f>N13-O13</x:f>
        <x:v>1.1102230246251565e-16</x:v>
      </x:c>
    </x:row>
    <x:row r="14" ht="18" customHeight="1">
      <x:c r="B14" s="27" t="str">
        <x:v>P08</x:v>
      </x:c>
      <x:c r="C14" s="41" t="n">
        <x:v>0.1</x:v>
      </x:c>
      <x:c r="D14" s="41" t="n">
        <x:v>0.15</x:v>
      </x:c>
      <x:c r="E14" s="41" t="n">
        <x:v>0.15</x:v>
      </x:c>
      <x:c r="F14" s="41" t="n">
        <x:v>0.15</x:v>
      </x:c>
      <x:c r="G14" s="41" t="n">
        <x:v>0.15</x:v>
      </x:c>
      <x:c r="H14" s="41" t="n">
        <x:v>0.1</x:v>
      </x:c>
      <x:c r="I14" s="41" t="n">
        <x:v>0.2</x:v>
      </x:c>
      <x:c r="J14" s="41" t="n">
        <x:v>0.02</x:v>
      </x:c>
      <x:c r="K14" s="41" t="n">
        <x:v>0.05</x:v>
      </x:c>
      <x:c r="L14" s="41" t="n">
        <x:v>0.02</x:v>
      </x:c>
      <x:c r="M14" s="41" t="n">
        <x:v>0.01</x:v>
      </x:c>
      <x:c r="N14" s="41" t="n">
        <x:f>SUM(C14:M14)</x:f>
        <x:v>1.1</x:v>
      </x:c>
      <x:c r="O14" s="41" t="n">
        <x:v>1.1</x:v>
      </x:c>
      <x:c r="P14" s="43" t="n">
        <x:f>N14-O14</x:f>
        <x:v>0</x:v>
      </x:c>
    </x:row>
    <x:row r="15" ht="18" customHeight="1">
      <x:c r="B15" s="27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3"/>
    </x:row>
    <x:row r="16" ht="18" customHeight="1">
      <x:c r="B16" s="27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3"/>
    </x:row>
    <x:row r="17" ht="18" customHeight="1">
      <x:c r="B17" s="31" t="str">
        <x:v>WORKSTREAM TOTAL</x:v>
      </x:c>
      <x:c r="C17" s="42" t="n">
        <x:f>SUM(C7:C14)</x:f>
        <x:v>0.6</x:v>
      </x:c>
      <x:c r="D17" s="42" t="n">
        <x:f>SUM(D7:D14)</x:f>
        <x:v>0.55</x:v>
      </x:c>
      <x:c r="E17" s="42" t="n">
        <x:f>SUM(E7:E14)</x:f>
        <x:v>0.75</x:v>
      </x:c>
      <x:c r="F17" s="42" t="n">
        <x:f>SUM(F7:F14)</x:f>
        <x:v>0.88</x:v>
      </x:c>
      <x:c r="G17" s="42" t="n">
        <x:f>SUM(G7:G14)</x:f>
        <x:v>0.6</x:v>
      </x:c>
      <x:c r="H17" s="42" t="n">
        <x:f>SUM(H7:H14)</x:f>
        <x:v>1.0300000000000002</x:v>
      </x:c>
      <x:c r="I17" s="42" t="n">
        <x:f>SUM(I7:I14)</x:f>
        <x:v>1.1700000000000002</x:v>
      </x:c>
      <x:c r="J17" s="42" t="n">
        <x:f>SUM(J7:J14)</x:f>
        <x:v>0.33</x:v>
      </x:c>
      <x:c r="K17" s="42" t="n">
        <x:f>SUM(K7:K14)</x:f>
        <x:v>0.5900000000000001</x:v>
      </x:c>
      <x:c r="L17" s="42" t="n">
        <x:f>SUM(L7:L14)</x:f>
        <x:v>0.19999999999999998</x:v>
      </x:c>
      <x:c r="M17" s="42" t="n">
        <x:f>SUM(M7:M14)</x:f>
        <x:v>0.09999999999999998</x:v>
      </x:c>
      <x:c r="N17" s="42" t="n">
        <x:f>SUM(N7:N14)</x:f>
        <x:v>6.800000000000001</x:v>
      </x:c>
      <x:c r="O17" s="42" t="n">
        <x:v>6.8</x:v>
      </x:c>
      <x:c r="P17" s="44" t="n">
        <x:f>N17-O17</x:f>
        <x:v>8.881784197001252e-16</x:v>
      </x:c>
    </x:row>
    <x:row r="18" ht="18" customHeight="1"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18" customHeight="1"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18" customHeight="1">
      <x:c r="B20" s="8" t="str">
        <x:v>Fiscal boundary</x:v>
      </x:c>
      <x:c r="C20" s="9" t="str">
        <x:v>Fiscal boundary</x:v>
      </x:c>
      <x:c r="D20" s="9" t="str">
        <x:v>Fiscal boundary</x:v>
      </x:c>
      <x:c r="E20" s="9" t="str">
        <x:v>Fiscal boundary</x:v>
      </x:c>
      <x:c r="F20" s="9" t="str">
        <x:v>Fiscal boundary</x:v>
      </x:c>
      <x:c r="G20" s="9" t="str">
        <x:v>Fiscal boundary</x:v>
      </x:c>
      <x:c r="H20" s="9" t="str">
        <x:v>Fiscal boundary</x:v>
      </x:c>
      <x:c r="I20" s="9" t="str">
        <x:v>Fiscal boundary</x:v>
      </x:c>
      <x:c r="J20" s="9" t="str">
        <x:v>Fiscal boundary</x:v>
      </x:c>
      <x:c r="K20" s="9" t="str">
        <x:v>Fiscal boundary</x:v>
      </x:c>
      <x:c r="L20" s="9" t="str">
        <x:v>Fiscal boundary</x:v>
      </x:c>
      <x:c r="M20" s="9" t="str">
        <x:v>Fiscal boundary</x:v>
      </x:c>
      <x:c r="N20" s="9" t="str">
        <x:v>Fiscal boundary</x:v>
      </x:c>
      <x:c r="O20" s="9" t="str">
        <x:v>Fiscal boundary</x:v>
      </x:c>
      <x:c r="P20" s="10" t="str">
        <x:v>Fiscal boundary</x:v>
      </x:c>
    </x:row>
    <x:row r="21" ht="18" customHeight="1">
      <x:c r="B21" s="2" t="str">
        <x:v>The prototype matrix is nested inside F01. It is not additive to the USD 24B family or USD 1.050T proving portfolio.</x:v>
      </x:c>
      <x:c r="C21" s="2" t="str"/>
      <x:c r="D21" s="2" t="str"/>
      <x:c r="E21" s="2" t="str"/>
      <x:c r="F21" s="2" t="str"/>
      <x:c r="G21" s="2" t="str"/>
      <x:c r="H21" s="2" t="str"/>
      <x:c r="I21" s="2" t="str"/>
      <x:c r="J21" s="2" t="str"/>
      <x:c r="K21" s="2" t="str"/>
      <x:c r="L21" s="2" t="str"/>
      <x:c r="M21" s="2" t="str"/>
      <x:c r="N21" s="2" t="str"/>
      <x:c r="O21" s="2" t="str"/>
      <x:c r="P21" s="2" t="str"/>
    </x:row>
    <x:row r="22" ht="18" customHeight="1">
      <x:c r="B22" s="2" t="str">
        <x:v>A workstream reopens when awarded obligations exceed its displayed total or when a repeated campaign cannot be absorbed by reserve.</x:v>
      </x:c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  <x:c r="K22" s="2" t="str"/>
      <x:c r="L22" s="2" t="str"/>
      <x:c r="M22" s="2" t="str"/>
      <x:c r="N22" s="2" t="str"/>
      <x:c r="O22" s="2" t="str"/>
      <x:c r="P22" s="2" t="str"/>
    </x:row>
  </x:sheetData>
  <x:mergeCells>
    <x:mergeCell ref="B3:P3"/>
    <x:mergeCell ref="B20:P20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1" hidden="0" customWidth="1"/>
    <x:col min="3" max="3" width="35" hidden="0" customWidth="1"/>
    <x:col min="4" max="4" width="25" hidden="0" customWidth="1"/>
    <x:col min="5" max="5" width="17" hidden="0" customWidth="1"/>
    <x:col min="6" max="6" width="16" hidden="0" customWidth="1"/>
    <x:col min="7" max="7" width="24" hidden="0" customWidth="1"/>
    <x:col min="8" max="8" width="26" hidden="0" customWidth="1"/>
    <x:col min="9" max="9" width="15" hidden="0" customWidth="1"/>
    <x:col min="10" max="10" width="16" hidden="0" customWidth="1"/>
    <x:col min="11" max="11" width="37" hidden="0" customWidth="1"/>
    <x:col min="12" max="12" width="11" hidden="0" customWidth="1"/>
  </x:cols>
  <x:sheetData>
    <x:row r="2" ht="18" customHeight="1">
      <x:c r="B2" s="3" t="str">
        <x:v>Critical industrial independence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18" customHeight="1">
      <x:c r="B3" s="4" t="str">
        <x:v>Different primes are not independent when decisive components, processes, firmware or calibration roots are shared.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18" customHeight="1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5" ht="18" customHeight="1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18" customHeight="1">
      <x:c r="B6" s="25" t="str">
        <x:v>Critical chain</x:v>
      </x:c>
      <x:c r="C6" s="26" t="str">
        <x:v>Common-mode failure</x:v>
      </x:c>
      <x:c r="D6" s="26" t="str">
        <x:v>Ancestry boundary</x:v>
      </x:c>
      <x:c r="E6" s="26" t="str">
        <x:v>Required rival teams</x:v>
      </x:c>
      <x:c r="F6" s="26" t="str">
        <x:v>Planned awards</x:v>
      </x:c>
      <x:c r="G6" s="26" t="str">
        <x:v>Shared critical ancestry allowed</x:v>
      </x:c>
      <x:c r="H6" s="26" t="str">
        <x:v>Authority</x:v>
      </x:c>
      <x:c r="I6" s="26" t="str">
        <x:v>Evidence state</x:v>
      </x:c>
      <x:c r="J6" s="26" t="str">
        <x:v>Design screen</x:v>
      </x:c>
      <x:c r="K6" s="26" t="str">
        <x:v>Reopen trigger</x:v>
      </x:c>
      <x:c r="L6" s="26" t="str">
        <x:v>Credit</x:v>
      </x:c>
    </x:row>
    <x:row r="7" ht="18" customHeight="1">
      <x:c r="B7" s="27" t="str">
        <x:v>isolated acquisition silicon</x:v>
      </x:c>
      <x:c r="C7" s="27" t="str">
        <x:v>common conversion error</x:v>
      </x:c>
      <x:c r="D7" s="27" t="str">
        <x:v>component and firmware</x:v>
      </x:c>
      <x:c r="E7" s="27" t="n">
        <x:v>3</x:v>
      </x:c>
      <x:c r="F7" s="27" t="n">
        <x:v>3</x:v>
      </x:c>
      <x:c r="G7" s="27" t="n">
        <x:v>0</x:v>
      </x:c>
      <x:c r="H7" s="27" t="str">
        <x:v>metrology authority</x:v>
      </x:c>
      <x:c r="I7" s="27" t="str">
        <x:v>OPEN</x:v>
      </x:c>
      <x:c r="J7" s="27" t="str">
        <x:f>IF(AND(F7&gt;=E7,G7=0),"PASS","FAIL")</x:f>
        <x:v>PASS</x:v>
      </x:c>
      <x:c r="K7" s="27" t="str">
        <x:v>ownership, teardown or test shows shared root</x:v>
      </x:c>
      <x:c r="L7" s="29" t="n">
        <x:v>0</x:v>
      </x:c>
    </x:row>
    <x:row r="8" ht="18" customHeight="1">
      <x:c r="B8" s="27" t="str">
        <x:v>pressure-skin substrate</x:v>
      </x:c>
      <x:c r="C8" s="27" t="str">
        <x:v>common hysteresis or delamination</x:v>
      </x:c>
      <x:c r="D8" s="27" t="str">
        <x:v>material and process</x:v>
      </x:c>
      <x:c r="E8" s="27" t="n">
        <x:v>3</x:v>
      </x:c>
      <x:c r="F8" s="27" t="n">
        <x:v>3</x:v>
      </x:c>
      <x:c r="G8" s="27" t="n">
        <x:v>0</x:v>
      </x:c>
      <x:c r="H8" s="27" t="str">
        <x:v>terrain evidence authority</x:v>
      </x:c>
      <x:c r="I8" s="27" t="str">
        <x:v>OPEN</x:v>
      </x:c>
      <x:c r="J8" s="27" t="str">
        <x:f>IF(AND(F8&gt;=E8,G8=0),"PASS","FAIL")</x:f>
        <x:v>PASS</x:v>
      </x:c>
      <x:c r="K8" s="27" t="str">
        <x:v>ownership, teardown or test shows shared root</x:v>
      </x:c>
      <x:c r="L8" s="29" t="n">
        <x:v>0</x:v>
      </x:c>
    </x:row>
    <x:row r="9" ht="18" customHeight="1">
      <x:c r="B9" s="27" t="str">
        <x:v>optical geometry</x:v>
      </x:c>
      <x:c r="C9" s="27" t="str">
        <x:v>common scene-reconstruction defect</x:v>
      </x:c>
      <x:c r="D9" s="27" t="str">
        <x:v>sensor and algorithm</x:v>
      </x:c>
      <x:c r="E9" s="27" t="n">
        <x:v>3</x:v>
      </x:c>
      <x:c r="F9" s="27" t="n">
        <x:v>3</x:v>
      </x:c>
      <x:c r="G9" s="27" t="n">
        <x:v>0</x:v>
      </x:c>
      <x:c r="H9" s="27" t="str">
        <x:v>geometry authority</x:v>
      </x:c>
      <x:c r="I9" s="27" t="str">
        <x:v>OPEN</x:v>
      </x:c>
      <x:c r="J9" s="27" t="str">
        <x:f>IF(AND(F9&gt;=E9,G9=0),"PASS","FAIL")</x:f>
        <x:v>PASS</x:v>
      </x:c>
      <x:c r="K9" s="27" t="str">
        <x:v>ownership, teardown or test shows shared root</x:v>
      </x:c>
      <x:c r="L9" s="29" t="n">
        <x:v>0</x:v>
      </x:c>
    </x:row>
    <x:row r="10" ht="18" customHeight="1">
      <x:c r="B10" s="27" t="str">
        <x:v>atomic time root A</x:v>
      </x:c>
      <x:c r="C10" s="27" t="str">
        <x:v>shared physics package</x:v>
      </x:c>
      <x:c r="D10" s="27" t="str">
        <x:v>device and calibration</x:v>
      </x:c>
      <x:c r="E10" s="27" t="n">
        <x:v>2</x:v>
      </x:c>
      <x:c r="F10" s="27" t="n">
        <x:v>2</x:v>
      </x:c>
      <x:c r="G10" s="27" t="n">
        <x:v>0</x:v>
      </x:c>
      <x:c r="H10" s="27" t="str">
        <x:v>time authority</x:v>
      </x:c>
      <x:c r="I10" s="27" t="str">
        <x:v>OPEN</x:v>
      </x:c>
      <x:c r="J10" s="27" t="str">
        <x:f>IF(AND(F10&gt;=E10,G10=0),"PASS","FAIL")</x:f>
        <x:v>PASS</x:v>
      </x:c>
      <x:c r="K10" s="27" t="str">
        <x:v>ownership, teardown or test shows shared root</x:v>
      </x:c>
      <x:c r="L10" s="29" t="n">
        <x:v>0</x:v>
      </x:c>
    </x:row>
    <x:row r="11" ht="18" customHeight="1">
      <x:c r="B11" s="27" t="str">
        <x:v>atomic time root B</x:v>
      </x:c>
      <x:c r="C11" s="27" t="str">
        <x:v>shared physics package</x:v>
      </x:c>
      <x:c r="D11" s="27" t="str">
        <x:v>device and calibration</x:v>
      </x:c>
      <x:c r="E11" s="27" t="n">
        <x:v>2</x:v>
      </x:c>
      <x:c r="F11" s="27" t="n">
        <x:v>2</x:v>
      </x:c>
      <x:c r="G11" s="27" t="n">
        <x:v>0</x:v>
      </x:c>
      <x:c r="H11" s="27" t="str">
        <x:v>time authority</x:v>
      </x:c>
      <x:c r="I11" s="27" t="str">
        <x:v>OPEN</x:v>
      </x:c>
      <x:c r="J11" s="27" t="str">
        <x:f>IF(AND(F11&gt;=E11,G11=0),"PASS","FAIL")</x:f>
        <x:v>PASS</x:v>
      </x:c>
      <x:c r="K11" s="27" t="str">
        <x:v>ownership, teardown or test shows shared root</x:v>
      </x:c>
      <x:c r="L11" s="29" t="n">
        <x:v>0</x:v>
      </x:c>
    </x:row>
    <x:row r="12" ht="18" customHeight="1">
      <x:c r="B12" s="27" t="str">
        <x:v>immutable storage controller</x:v>
      </x:c>
      <x:c r="C12" s="27" t="str">
        <x:v>common write or erase defect</x:v>
      </x:c>
      <x:c r="D12" s="27" t="str">
        <x:v>controller and firmware</x:v>
      </x:c>
      <x:c r="E12" s="27" t="n">
        <x:v>3</x:v>
      </x:c>
      <x:c r="F12" s="27" t="n">
        <x:v>3</x:v>
      </x:c>
      <x:c r="G12" s="27" t="n">
        <x:v>0</x:v>
      </x:c>
      <x:c r="H12" s="27" t="str">
        <x:v>data authority</x:v>
      </x:c>
      <x:c r="I12" s="27" t="str">
        <x:v>OPEN</x:v>
      </x:c>
      <x:c r="J12" s="27" t="str">
        <x:f>IF(AND(F12&gt;=E12,G12=0),"PASS","FAIL")</x:f>
        <x:v>PASS</x:v>
      </x:c>
      <x:c r="K12" s="27" t="str">
        <x:v>ownership, teardown or test shows shared root</x:v>
      </x:c>
      <x:c r="L12" s="29" t="n">
        <x:v>0</x:v>
      </x:c>
    </x:row>
    <x:row r="13" ht="18" customHeight="1">
      <x:c r="B13" s="27" t="str">
        <x:v>immutable storage media</x:v>
      </x:c>
      <x:c r="C13" s="27" t="str">
        <x:v>common wear or latent loss</x:v>
      </x:c>
      <x:c r="D13" s="27" t="str">
        <x:v>media process</x:v>
      </x:c>
      <x:c r="E13" s="27" t="n">
        <x:v>3</x:v>
      </x:c>
      <x:c r="F13" s="27" t="n">
        <x:v>3</x:v>
      </x:c>
      <x:c r="G13" s="27" t="n">
        <x:v>0</x:v>
      </x:c>
      <x:c r="H13" s="27" t="str">
        <x:v>data authority</x:v>
      </x:c>
      <x:c r="I13" s="27" t="str">
        <x:v>OPEN</x:v>
      </x:c>
      <x:c r="J13" s="27" t="str">
        <x:f>IF(AND(F13&gt;=E13,G13=0),"PASS","FAIL")</x:f>
        <x:v>PASS</x:v>
      </x:c>
      <x:c r="K13" s="27" t="str">
        <x:v>ownership, teardown or test shows shared root</x:v>
      </x:c>
      <x:c r="L13" s="29" t="n">
        <x:v>0</x:v>
      </x:c>
    </x:row>
    <x:row r="14" ht="18" customHeight="1">
      <x:c r="B14" s="27" t="str">
        <x:v>endurance cells and management</x:v>
      </x:c>
      <x:c r="C14" s="27" t="str">
        <x:v>common fire or state-estimation fault</x:v>
      </x:c>
      <x:c r="D14" s="27" t="str">
        <x:v>cell, pack and firmware</x:v>
      </x:c>
      <x:c r="E14" s="27" t="n">
        <x:v>3</x:v>
      </x:c>
      <x:c r="F14" s="27" t="n">
        <x:v>3</x:v>
      </x:c>
      <x:c r="G14" s="27" t="n">
        <x:v>0</x:v>
      </x:c>
      <x:c r="H14" s="27" t="str">
        <x:v>energy safety authority</x:v>
      </x:c>
      <x:c r="I14" s="27" t="str">
        <x:v>OPEN</x:v>
      </x:c>
      <x:c r="J14" s="27" t="str">
        <x:f>IF(AND(F14&gt;=E14,G14=0),"PASS","FAIL")</x:f>
        <x:v>PASS</x:v>
      </x:c>
      <x:c r="K14" s="27" t="str">
        <x:v>ownership, teardown or test shows shared root</x:v>
      </x:c>
      <x:c r="L14" s="29" t="n">
        <x:v>0</x:v>
      </x:c>
    </x:row>
    <x:row r="15" ht="18" customHeight="1">
      <x:c r="B15" s="27" t="str">
        <x:v>passive isolation photonics</x:v>
      </x:c>
      <x:c r="C15" s="27" t="str">
        <x:v>hidden reverse-energy path</x:v>
      </x:c>
      <x:c r="D15" s="27" t="str">
        <x:v>device and assembly</x:v>
      </x:c>
      <x:c r="E15" s="27" t="n">
        <x:v>3</x:v>
      </x:c>
      <x:c r="F15" s="27" t="n">
        <x:v>3</x:v>
      </x:c>
      <x:c r="G15" s="27" t="n">
        <x:v>0</x:v>
      </x:c>
      <x:c r="H15" s="27" t="str">
        <x:v>interface authority</x:v>
      </x:c>
      <x:c r="I15" s="27" t="str">
        <x:v>OPEN</x:v>
      </x:c>
      <x:c r="J15" s="27" t="str">
        <x:f>IF(AND(F15&gt;=E15,G15=0),"PASS","FAIL")</x:f>
        <x:v>PASS</x:v>
      </x:c>
      <x:c r="K15" s="27" t="str">
        <x:v>ownership, teardown or test shows shared root</x:v>
      </x:c>
      <x:c r="L15" s="29" t="n">
        <x:v>0</x:v>
      </x:c>
    </x:row>
    <x:row r="16" ht="18" customHeight="1">
      <x:c r="B16" s="27" t="str">
        <x:v>traveling calibration standards</x:v>
      </x:c>
      <x:c r="C16" s="27" t="str">
        <x:v>common reference drift</x:v>
      </x:c>
      <x:c r="D16" s="27" t="str">
        <x:v>primary standard chain</x:v>
      </x:c>
      <x:c r="E16" s="27" t="n">
        <x:v>2</x:v>
      </x:c>
      <x:c r="F16" s="27" t="n">
        <x:v>2</x:v>
      </x:c>
      <x:c r="G16" s="27" t="n">
        <x:v>0</x:v>
      </x:c>
      <x:c r="H16" s="27" t="str">
        <x:v>national metrology authority</x:v>
      </x:c>
      <x:c r="I16" s="27" t="str">
        <x:v>OPEN</x:v>
      </x:c>
      <x:c r="J16" s="27" t="str">
        <x:f>IF(AND(F16&gt;=E16,G16=0),"PASS","FAIL")</x:f>
        <x:v>PASS</x:v>
      </x:c>
      <x:c r="K16" s="27" t="str">
        <x:v>ownership, teardown or test shows shared root</x:v>
      </x:c>
      <x:c r="L16" s="29" t="n">
        <x:v>0</x:v>
      </x:c>
    </x:row>
    <x:row r="17" ht="18" customHeight="1">
      <x:c r="B17" s="27" t="str">
        <x:v>receiver assay chain</x:v>
      </x:c>
      <x:c r="C17" s="27" t="str">
        <x:v>common false-negative release</x:v>
      </x:c>
      <x:c r="D17" s="27" t="str">
        <x:v>method, reagent and lab</x:v>
      </x:c>
      <x:c r="E17" s="27" t="n">
        <x:v>3</x:v>
      </x:c>
      <x:c r="F17" s="27" t="n">
        <x:v>3</x:v>
      </x:c>
      <x:c r="G17" s="27" t="n">
        <x:v>0</x:v>
      </x:c>
      <x:c r="H17" s="27" t="str">
        <x:v>civil health authority</x:v>
      </x:c>
      <x:c r="I17" s="27" t="str">
        <x:v>OPEN</x:v>
      </x:c>
      <x:c r="J17" s="27" t="str">
        <x:f>IF(AND(F17&gt;=E17,G17=0),"PASS","FAIL")</x:f>
        <x:v>PASS</x:v>
      </x:c>
      <x:c r="K17" s="27" t="str">
        <x:v>ownership, teardown or test shows shared root</x:v>
      </x:c>
      <x:c r="L17" s="29" t="n">
        <x:v>0</x:v>
      </x:c>
    </x:row>
    <x:row r="18" ht="18" customHeight="1">
      <x:c r="B18" s="31" t="str">
        <x:v>thermal containment</x:v>
      </x:c>
      <x:c r="C18" s="31" t="str">
        <x:v>common propagation or heat leak</x:v>
      </x:c>
      <x:c r="D18" s="31" t="str">
        <x:v>material and enclosure</x:v>
      </x:c>
      <x:c r="E18" s="31" t="n">
        <x:v>3</x:v>
      </x:c>
      <x:c r="F18" s="31" t="n">
        <x:v>3</x:v>
      </x:c>
      <x:c r="G18" s="31" t="n">
        <x:v>0</x:v>
      </x:c>
      <x:c r="H18" s="31" t="str">
        <x:v>energy safety authority</x:v>
      </x:c>
      <x:c r="I18" s="31" t="str">
        <x:v>OPEN</x:v>
      </x:c>
      <x:c r="J18" s="31" t="str">
        <x:f>IF(AND(F18&gt;=E18,G18=0),"PASS","FAIL")</x:f>
        <x:v>PASS</x:v>
      </x:c>
      <x:c r="K18" s="31" t="str">
        <x:v>ownership, teardown or test shows shared root</x:v>
      </x:c>
      <x:c r="L18" s="33" t="n">
        <x:v>0</x:v>
      </x:c>
    </x:row>
    <x:row r="19" ht="18" customHeight="1"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18" customHeight="1"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18" customHeight="1">
      <x:c r="B21" s="8" t="str">
        <x:v>Competition rule</x:v>
      </x:c>
      <x:c r="C21" s="9" t="str">
        <x:v>Competition rule</x:v>
      </x:c>
      <x:c r="D21" s="9" t="str">
        <x:v>Competition rule</x:v>
      </x:c>
      <x:c r="E21" s="9" t="str">
        <x:v>Competition rule</x:v>
      </x:c>
      <x:c r="F21" s="9" t="str">
        <x:v>Competition rule</x:v>
      </x:c>
      <x:c r="G21" s="9" t="str">
        <x:v>Competition rule</x:v>
      </x:c>
      <x:c r="H21" s="9" t="str">
        <x:v>Competition rule</x:v>
      </x:c>
      <x:c r="I21" s="9" t="str">
        <x:v>Competition rule</x:v>
      </x:c>
      <x:c r="J21" s="9" t="str">
        <x:v>Competition rule</x:v>
      </x:c>
      <x:c r="K21" s="9" t="str">
        <x:v>Competition rule</x:v>
      </x:c>
      <x:c r="L21" s="10" t="str">
        <x:v>Competition rule</x:v>
      </x:c>
    </x:row>
    <x:row r="22" ht="18" customHeight="1">
      <x:c r="B22" s="2" t="str">
        <x:v>Prototype awards go to rival design teams before a production architecture exists.</x:v>
      </x:c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  <x:c r="K22" s="2" t="str"/>
      <x:c r="L22" s="2" t="str"/>
    </x:row>
    <x:row r="23" ht="18" customHeight="1">
      <x:c r="B23" s="2" t="str">
        <x:v>A shared wafer, cell, material process, reference standard or firmware root is counted once even when resold through several primes.</x:v>
      </x:c>
      <x:c r="C23" s="2" t="str"/>
      <x:c r="D23" s="2" t="str"/>
      <x:c r="E23" s="2" t="str"/>
      <x:c r="F23" s="2" t="str"/>
      <x:c r="G23" s="2" t="str"/>
      <x:c r="H23" s="2" t="str"/>
      <x:c r="I23" s="2" t="str"/>
      <x:c r="J23" s="2" t="str"/>
      <x:c r="K23" s="2" t="str"/>
      <x:c r="L23" s="2" t="str"/>
    </x:row>
    <x:row r="24" ht="18" customHeight="1">
      <x:c r="B24" s="2" t="str">
        <x:v>Production plurality requires destructive teardown and ownership evidence for separate decisive ancestries.</x:v>
      </x:c>
      <x:c r="C24" s="2" t="str"/>
      <x:c r="D24" s="2" t="str"/>
      <x:c r="E24" s="2" t="str"/>
      <x:c r="F24" s="2" t="str"/>
      <x:c r="G24" s="2" t="str"/>
      <x:c r="H24" s="2" t="str"/>
      <x:c r="I24" s="2" t="str"/>
      <x:c r="J24" s="2" t="str"/>
      <x:c r="K24" s="2" t="str"/>
      <x:c r="L24" s="2" t="str"/>
    </x:row>
  </x:sheetData>
  <x:mergeCells>
    <x:mergeCell ref="B3:L3"/>
    <x:mergeCell ref="B21:L21"/>
  </x:mergeCells>
  <x:conditionalFormatting sqref="I7:J18">
    <x:cfRule type="containsText" dxfId="66" priority="1" operator="containsText" text="OPEN"/>
    <x:cfRule type="containsText" dxfId="67" priority="2" operator="containsText" text="HOLD"/>
    <x:cfRule type="containsText" dxfId="68" priority="3" operator="containsText" text="BLOCKED"/>
    <x:cfRule type="containsText" dxfId="69" priority="4" operator="containsText" text="REJECT"/>
    <x:cfRule type="containsText" dxfId="70" priority="5" operator="containsText" text="FAIL"/>
    <x:cfRule type="containsText" dxfId="71" priority="6" operator="containsText" text="SELECTED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8" hidden="0" customWidth="1"/>
    <x:col min="3" max="3" width="58" hidden="0" customWidth="1"/>
    <x:col min="4" max="4" width="42" hidden="0" customWidth="1"/>
    <x:col min="5" max="5" width="15" hidden="0" customWidth="1"/>
    <x:col min="6" max="6" width="14" hidden="0" customWidth="1"/>
    <x:col min="7" max="7" width="35" hidden="0" customWidth="1"/>
    <x:col min="8" max="8" width="14" hidden="0" customWidth="1"/>
    <x:col min="9" max="9" width="11" hidden="0" customWidth="1"/>
    <x:col min="10" max="10" width="28" hidden="0" customWidth="1"/>
  </x:cols>
  <x:sheetData>
    <x:row r="2" ht="18" customHeight="1">
      <x:c r="B2" s="3" t="str">
        <x:v>Architecture decision gates</x:v>
      </x:c>
      <x:c r="C2" s="2"/>
      <x:c r="D2" s="2"/>
      <x:c r="E2" s="2"/>
      <x:c r="F2" s="2"/>
      <x:c r="G2" s="2"/>
      <x:c r="H2" s="2"/>
      <x:c r="I2" s="2"/>
      <x:c r="J2" s="2"/>
    </x:row>
    <x:row r="3" ht="18" customHeight="1">
      <x:c r="B3" s="4" t="str">
        <x:v>Every decision remains open. Rendering is a downstream privilege of accepted representative evidence, not a design input.</x:v>
      </x:c>
      <x:c r="C3" s="2"/>
      <x:c r="D3" s="2"/>
      <x:c r="E3" s="2"/>
      <x:c r="F3" s="2"/>
      <x:c r="G3" s="2"/>
      <x:c r="H3" s="2"/>
      <x:c r="I3" s="2"/>
      <x:c r="J3" s="2"/>
    </x:row>
    <x:row r="4" ht="18" customHeight="1">
      <x:c r="B4" s="5"/>
      <x:c r="C4" s="5"/>
      <x:c r="D4" s="5"/>
      <x:c r="E4" s="5"/>
      <x:c r="F4" s="5"/>
      <x:c r="G4" s="5"/>
      <x:c r="H4" s="5"/>
      <x:c r="I4" s="5"/>
      <x:c r="J4" s="5"/>
    </x:row>
    <x:row r="5" ht="18" customHeight="1">
      <x:c r="B5" s="2"/>
      <x:c r="C5" s="2"/>
      <x:c r="D5" s="2"/>
      <x:c r="E5" s="2"/>
      <x:c r="F5" s="2"/>
      <x:c r="G5" s="2"/>
      <x:c r="H5" s="2"/>
      <x:c r="I5" s="2"/>
      <x:c r="J5" s="2"/>
    </x:row>
    <x:row r="6" ht="18" customHeight="1">
      <x:c r="B6" s="25" t="str">
        <x:v>Gate</x:v>
      </x:c>
      <x:c r="C6" s="26" t="str">
        <x:v>Decision question</x:v>
      </x:c>
      <x:c r="D6" s="26" t="str">
        <x:v>Required closure</x:v>
      </x:c>
      <x:c r="E6" s="26" t="str">
        <x:v>Evidence state</x:v>
      </x:c>
      <x:c r="F6" s="26" t="str">
        <x:v>Decision</x:v>
      </x:c>
      <x:c r="G6" s="26" t="str">
        <x:v>Failure consequence</x:v>
      </x:c>
      <x:c r="H6" s="26" t="str">
        <x:v>Rendering</x:v>
      </x:c>
      <x:c r="I6" s="26" t="str">
        <x:v>Credit</x:v>
      </x:c>
      <x:c r="J6" s="26" t="str">
        <x:v>Owner</x:v>
      </x:c>
    </x:row>
    <x:row r="7" ht="34" customHeight="1">
      <x:c r="B7" s="27" t="str">
        <x:v>C01</x:v>
      </x:c>
      <x:c r="C7" s="27" t="str">
        <x:v>Do selected architectures pass every hard gate?</x:v>
      </x:c>
      <x:c r="D7" s="27" t="str">
        <x:v>accepted independent design review</x:v>
      </x:c>
      <x:c r="E7" s="27" t="str">
        <x:v>OPEN</x:v>
      </x:c>
      <x:c r="F7" s="27" t="str">
        <x:v>HOLD</x:v>
      </x:c>
      <x:c r="G7" s="27" t="str">
        <x:v>no serial freeze</x:v>
      </x:c>
      <x:c r="H7" s="27" t="str">
        <x:v>BLOCKED</x:v>
      </x:c>
      <x:c r="I7" s="27" t="n">
        <x:v>0</x:v>
      </x:c>
      <x:c r="J7" s="29" t="str">
        <x:v>independent trial authority</x:v>
      </x:c>
    </x:row>
    <x:row r="8" ht="34" customHeight="1">
      <x:c r="B8" s="27" t="str">
        <x:v>C02</x:v>
      </x:c>
      <x:c r="C8" s="27" t="str">
        <x:v>Do eleven serial records close interfaces and ancestry?</x:v>
      </x:c>
      <x:c r="D8" s="27" t="str">
        <x:v>signed configuration baseline</x:v>
      </x:c>
      <x:c r="E8" s="27" t="str">
        <x:v>OPEN</x:v>
      </x:c>
      <x:c r="F8" s="27" t="str">
        <x:v>HOLD</x:v>
      </x:c>
      <x:c r="G8" s="27" t="str">
        <x:v>repeat configuration review</x:v>
      </x:c>
      <x:c r="H8" s="27" t="str">
        <x:v>BLOCKED</x:v>
      </x:c>
      <x:c r="I8" s="27" t="n">
        <x:v>0</x:v>
      </x:c>
      <x:c r="J8" s="29" t="str">
        <x:v>independent trial authority</x:v>
      </x:c>
    </x:row>
    <x:row r="9" ht="34" customHeight="1">
      <x:c r="B9" s="27" t="str">
        <x:v>C03</x:v>
      </x:c>
      <x:c r="C9" s="27" t="str">
        <x:v>Do built articles meet mass and volume envelopes?</x:v>
      </x:c>
      <x:c r="D9" s="27" t="str">
        <x:v>independent weigh and scan</x:v>
      </x:c>
      <x:c r="E9" s="27" t="str">
        <x:v>OPEN</x:v>
      </x:c>
      <x:c r="F9" s="27" t="str">
        <x:v>HOLD</x:v>
      </x:c>
      <x:c r="G9" s="27" t="str">
        <x:v>reopen host envelopes</x:v>
      </x:c>
      <x:c r="H9" s="27" t="str">
        <x:v>BLOCKED</x:v>
      </x:c>
      <x:c r="I9" s="27" t="n">
        <x:v>0</x:v>
      </x:c>
      <x:c r="J9" s="29" t="str">
        <x:v>independent trial authority</x:v>
      </x:c>
    </x:row>
    <x:row r="10" ht="34" customHeight="1">
      <x:c r="B10" s="27" t="str">
        <x:v>C04</x:v>
      </x:c>
      <x:c r="C10" s="27" t="str">
        <x:v>Does every node survive 168 hours independently?</x:v>
      </x:c>
      <x:c r="D10" s="27" t="str">
        <x:v>P01 accepted record</x:v>
      </x:c>
      <x:c r="E10" s="27" t="str">
        <x:v>OPEN</x:v>
      </x:c>
      <x:c r="F10" s="27" t="str">
        <x:v>HOLD</x:v>
      </x:c>
      <x:c r="G10" s="27" t="str">
        <x:v>increase energy or reduce load</x:v>
      </x:c>
      <x:c r="H10" s="27" t="str">
        <x:v>BLOCKED</x:v>
      </x:c>
      <x:c r="I10" s="27" t="n">
        <x:v>0</x:v>
      </x:c>
      <x:c r="J10" s="29" t="str">
        <x:v>independent trial authority</x:v>
      </x:c>
    </x:row>
    <x:row r="11" ht="34" customHeight="1">
      <x:c r="B11" s="27" t="str">
        <x:v>C05</x:v>
      </x:c>
      <x:c r="C11" s="27" t="str">
        <x:v>Does every node retain the complete local original?</x:v>
      </x:c>
      <x:c r="D11" s="27" t="str">
        <x:v>P01 loss-world record</x:v>
      </x:c>
      <x:c r="E11" s="27" t="str">
        <x:v>OPEN</x:v>
      </x:c>
      <x:c r="F11" s="27" t="str">
        <x:v>HOLD</x:v>
      </x:c>
      <x:c r="G11" s="27" t="str">
        <x:v>increase storage or redesign custody</x:v>
      </x:c>
      <x:c r="H11" s="27" t="str">
        <x:v>BLOCKED</x:v>
      </x:c>
      <x:c r="I11" s="27" t="n">
        <x:v>0</x:v>
      </x:c>
      <x:c r="J11" s="29" t="str">
        <x:v>independent trial authority</x:v>
      </x:c>
    </x:row>
    <x:row r="12" ht="34" customHeight="1">
      <x:c r="B12" s="27" t="str">
        <x:v>C06</x:v>
      </x:c>
      <x:c r="C12" s="27" t="str">
        <x:v>Does denied time remain inside allocation?</x:v>
      </x:c>
      <x:c r="D12" s="27" t="str">
        <x:v>P06 accepted record</x:v>
      </x:c>
      <x:c r="E12" s="27" t="str">
        <x:v>OPEN</x:v>
      </x:c>
      <x:c r="F12" s="27" t="str">
        <x:v>HOLD</x:v>
      </x:c>
      <x:c r="G12" s="27" t="str">
        <x:v>redesign clocks or event grammar</x:v>
      </x:c>
      <x:c r="H12" s="27" t="str">
        <x:v>BLOCKED</x:v>
      </x:c>
      <x:c r="I12" s="27" t="n">
        <x:v>0</x:v>
      </x:c>
      <x:c r="J12" s="29" t="str">
        <x:v>independent trial authority</x:v>
      </x:c>
    </x:row>
    <x:row r="13" ht="34" customHeight="1">
      <x:c r="B13" s="27" t="str">
        <x:v>C07</x:v>
      </x:c>
      <x:c r="C13" s="27" t="str">
        <x:v>Does the terrain skin meet 0.183 kPa U95 after test mass?</x:v>
      </x:c>
      <x:c r="D13" s="27" t="str">
        <x:v>P04 accepted record</x:v>
      </x:c>
      <x:c r="E13" s="27" t="str">
        <x:v>OPEN</x:v>
      </x:c>
      <x:c r="F13" s="27" t="str">
        <x:v>HOLD</x:v>
      </x:c>
      <x:c r="G13" s="27" t="str">
        <x:v>reopen pressure margin or skin</x:v>
      </x:c>
      <x:c r="H13" s="27" t="str">
        <x:v>BLOCKED</x:v>
      </x:c>
      <x:c r="I13" s="27" t="n">
        <x:v>0</x:v>
      </x:c>
      <x:c r="J13" s="29" t="str">
        <x:v>independent trial authority</x:v>
      </x:c>
    </x:row>
    <x:row r="14" ht="34" customHeight="1">
      <x:c r="B14" s="27" t="str">
        <x:v>C08</x:v>
      </x:c>
      <x:c r="C14" s="27" t="str">
        <x:v>Are all evidence interfaces physically non-actuating?</x:v>
      </x:c>
      <x:c r="D14" s="27" t="str">
        <x:v>reverse-energy and teardown record</x:v>
      </x:c>
      <x:c r="E14" s="27" t="str">
        <x:v>OPEN</x:v>
      </x:c>
      <x:c r="F14" s="27" t="str">
        <x:v>HOLD</x:v>
      </x:c>
      <x:c r="G14" s="27" t="str">
        <x:v>reject interface architecture</x:v>
      </x:c>
      <x:c r="H14" s="27" t="str">
        <x:v>BLOCKED</x:v>
      </x:c>
      <x:c r="I14" s="27" t="n">
        <x:v>0</x:v>
      </x:c>
      <x:c r="J14" s="29" t="str">
        <x:v>independent trial authority</x:v>
      </x:c>
    </x:row>
    <x:row r="15" ht="34" customHeight="1">
      <x:c r="B15" s="27" t="str">
        <x:v>C09</x:v>
      </x:c>
      <x:c r="C15" s="27" t="str">
        <x:v>Does evidence heat reject outward without mission benefit?</x:v>
      </x:c>
      <x:c r="D15" s="27" t="str">
        <x:v>calorimetry and matched emulator</x:v>
      </x:c>
      <x:c r="E15" s="27" t="str">
        <x:v>OPEN</x:v>
      </x:c>
      <x:c r="F15" s="27" t="str">
        <x:v>HOLD</x:v>
      </x:c>
      <x:c r="G15" s="27" t="str">
        <x:v>redesign thermal boundary</x:v>
      </x:c>
      <x:c r="H15" s="27" t="str">
        <x:v>BLOCKED</x:v>
      </x:c>
      <x:c r="I15" s="27" t="n">
        <x:v>0</x:v>
      </x:c>
      <x:c r="J15" s="29" t="str">
        <x:v>independent trial authority</x:v>
      </x:c>
    </x:row>
    <x:row r="16" ht="34" customHeight="1">
      <x:c r="B16" s="27" t="str">
        <x:v>C10</x:v>
      </x:c>
      <x:c r="C16" s="27" t="str">
        <x:v>Do instrumented, emulated and bare missions agree?</x:v>
      </x:c>
      <x:c r="D16" s="27" t="str">
        <x:v>P07 equivalence record</x:v>
      </x:c>
      <x:c r="E16" s="27" t="str">
        <x:v>OPEN</x:v>
      </x:c>
      <x:c r="F16" s="27" t="str">
        <x:v>HOLD</x:v>
      </x:c>
      <x:c r="G16" s="27" t="str">
        <x:v>evidence remains nonrepresentative</x:v>
      </x:c>
      <x:c r="H16" s="27" t="str">
        <x:v>BLOCKED</x:v>
      </x:c>
      <x:c r="I16" s="27" t="n">
        <x:v>0</x:v>
      </x:c>
      <x:c r="J16" s="29" t="str">
        <x:v>independent trial authority</x:v>
      </x:c>
    </x:row>
    <x:row r="17" ht="34" customHeight="1">
      <x:c r="B17" s="27" t="str">
        <x:v>C11</x:v>
      </x:c>
      <x:c r="C17" s="27" t="str">
        <x:v>Are critical supplier ancestries genuinely independent?</x:v>
      </x:c>
      <x:c r="D17" s="27" t="str">
        <x:v>teardown and ownership audit</x:v>
      </x:c>
      <x:c r="E17" s="27" t="str">
        <x:v>OPEN</x:v>
      </x:c>
      <x:c r="F17" s="27" t="str">
        <x:v>HOLD</x:v>
      </x:c>
      <x:c r="G17" s="27" t="str">
        <x:v>recompete affected chains</x:v>
      </x:c>
      <x:c r="H17" s="27" t="str">
        <x:v>BLOCKED</x:v>
      </x:c>
      <x:c r="I17" s="27" t="n">
        <x:v>0</x:v>
      </x:c>
      <x:c r="J17" s="29" t="str">
        <x:v>independent trial authority</x:v>
      </x:c>
    </x:row>
    <x:row r="18" ht="34" customHeight="1">
      <x:c r="B18" s="31" t="str">
        <x:v>C12</x:v>
      </x:c>
      <x:c r="C18" s="31" t="str">
        <x:v>May internal or exterior rendering begin?</x:v>
      </x:c>
      <x:c r="D18" s="31" t="str">
        <x:v>accepted P08 second-lot mission</x:v>
      </x:c>
      <x:c r="E18" s="31" t="str">
        <x:v>OPEN</x:v>
      </x:c>
      <x:c r="F18" s="31" t="str">
        <x:v>HOLD</x:v>
      </x:c>
      <x:c r="G18" s="31" t="str">
        <x:v>retain geometry prohibition</x:v>
      </x:c>
      <x:c r="H18" s="31" t="str">
        <x:v>BLOCKED</x:v>
      </x:c>
      <x:c r="I18" s="31" t="n">
        <x:v>0</x:v>
      </x:c>
      <x:c r="J18" s="33" t="str">
        <x:v>requirements authority</x:v>
      </x:c>
    </x:row>
    <x:row r="19" ht="18" customHeight="1">
      <x:c r="B19" s="2"/>
      <x:c r="C19" s="2"/>
      <x:c r="D19" s="2"/>
      <x:c r="E19" s="2"/>
      <x:c r="F19" s="2"/>
      <x:c r="G19" s="2"/>
      <x:c r="H19" s="2"/>
      <x:c r="I19" s="2"/>
      <x:c r="J19" s="2"/>
    </x:row>
    <x:row r="20" ht="18" customHeight="1">
      <x:c r="B20" s="2"/>
      <x:c r="C20" s="2"/>
      <x:c r="D20" s="2"/>
      <x:c r="E20" s="2"/>
      <x:c r="F20" s="2"/>
      <x:c r="G20" s="2"/>
      <x:c r="H20" s="2"/>
      <x:c r="I20" s="2"/>
      <x:c r="J20" s="2"/>
    </x:row>
    <x:row r="21" ht="18" customHeight="1">
      <x:c r="B21" s="8" t="str">
        <x:v>Current authorization</x:v>
      </x:c>
      <x:c r="C21" s="9" t="str">
        <x:v>Current authorization</x:v>
      </x:c>
      <x:c r="D21" s="9" t="str">
        <x:v>Current authorization</x:v>
      </x:c>
      <x:c r="E21" s="9" t="str">
        <x:v>Current authorization</x:v>
      </x:c>
      <x:c r="F21" s="9" t="str">
        <x:v>Current authorization</x:v>
      </x:c>
      <x:c r="G21" s="9" t="str">
        <x:v>Current authorization</x:v>
      </x:c>
      <x:c r="H21" s="9" t="str">
        <x:v>Current authorization</x:v>
      </x:c>
      <x:c r="I21" s="9" t="str">
        <x:v>Current authorization</x:v>
      </x:c>
      <x:c r="J21" s="10" t="str">
        <x:v>Current authorization</x:v>
      </x:c>
    </x:row>
    <x:row r="22" ht="34" customHeight="1">
      <x:c r="B22" s="2" t="str">
        <x:v>Architecture competition</x:v>
      </x:c>
      <x:c r="C22" s="2" t="str">
        <x:v>selected for prototype only</x:v>
      </x:c>
      <x:c r="D22" s="2" t="str">
        <x:v>No production authority; a selected paper architecture can still fail first article.</x:v>
      </x:c>
      <x:c r="E22" s="2" t="str"/>
      <x:c r="F22" s="2" t="str"/>
      <x:c r="G22" s="2" t="str"/>
      <x:c r="H22" s="2" t="str"/>
      <x:c r="I22" s="2" t="str"/>
      <x:c r="J22" s="2" t="str"/>
    </x:row>
    <x:row r="23" ht="34" customHeight="1">
      <x:c r="B23" s="2" t="str">
        <x:v>Prototype construction</x:v>
      </x:c>
      <x:c r="C23" s="2" t="str">
        <x:v>authorized inside the USD 6.8B nested subportfolio</x:v>
      </x:c>
      <x:c r="D23" s="2" t="str">
        <x:v>Serial records and custody attach before test, not after a favorable run.</x:v>
      </x:c>
      <x:c r="E23" s="2" t="str"/>
      <x:c r="F23" s="2" t="str"/>
      <x:c r="G23" s="2" t="str"/>
      <x:c r="H23" s="2" t="str"/>
      <x:c r="I23" s="2" t="str"/>
      <x:c r="J23" s="2" t="str"/>
    </x:row>
    <x:row r="24" ht="34" customHeight="1">
      <x:c r="B24" s="2" t="str">
        <x:v>Production commitment</x:v>
      </x:c>
      <x:c r="C24" s="2" t="str">
        <x:v>HOLD</x:v>
      </x:c>
      <x:c r="D24" s="2" t="str">
        <x:v>A production lot cannot precede accepted P08 independent second-lot evidence.</x:v>
      </x:c>
      <x:c r="E24" s="2" t="str"/>
      <x:c r="F24" s="2" t="str"/>
      <x:c r="G24" s="2" t="str"/>
      <x:c r="H24" s="2" t="str"/>
      <x:c r="I24" s="2" t="str"/>
      <x:c r="J24" s="2" t="str"/>
    </x:row>
    <x:row r="25" ht="34" customHeight="1">
      <x:c r="B25" s="2" t="str">
        <x:v>Internal and exterior rendering</x:v>
      </x:c>
      <x:c r="C25" s="2" t="str">
        <x:v>BLOCKED</x:v>
      </x:c>
      <x:c r="D25" s="2" t="str">
        <x:v>Geometry follows weighed, scanned, calorimeter-tested and removal-equivalent articles.</x:v>
      </x:c>
      <x:c r="E25" s="2" t="str"/>
      <x:c r="F25" s="2" t="str"/>
      <x:c r="G25" s="2" t="str"/>
      <x:c r="H25" s="2" t="str"/>
      <x:c r="I25" s="2" t="str"/>
      <x:c r="J25" s="2" t="str"/>
    </x:row>
  </x:sheetData>
  <x:mergeCells>
    <x:mergeCell ref="B3:J3"/>
    <x:mergeCell ref="B21:J21"/>
  </x:mergeCells>
  <x:conditionalFormatting sqref="E7:I18">
    <x:cfRule type="containsText" dxfId="72" priority="1" operator="containsText" text="OPEN"/>
    <x:cfRule type="containsText" dxfId="73" priority="2" operator="containsText" text="HOLD"/>
    <x:cfRule type="containsText" dxfId="74" priority="3" operator="containsText" text="BLOCKED"/>
    <x:cfRule type="containsText" dxfId="75" priority="4" operator="containsText" text="REJECT"/>
    <x:cfRule type="containsText" dxfId="76" priority="5" operator="containsText" text="FAIL"/>
    <x:cfRule type="containsText" dxfId="77" priority="6" operator="containsText" text="SELECTED"/>
  </x:conditionalFormatting>
  <x:conditionalFormatting sqref="C22:C25">
    <x:cfRule type="containsText" dxfId="78" priority="7" operator="containsText" text="OPEN"/>
    <x:cfRule type="containsText" dxfId="79" priority="8" operator="containsText" text="HOLD"/>
    <x:cfRule type="containsText" dxfId="80" priority="9" operator="containsText" text="BLOCKED"/>
    <x:cfRule type="containsText" dxfId="81" priority="10" operator="containsText" text="REJECT"/>
    <x:cfRule type="containsText" dxfId="82" priority="11" operator="containsText" text="FAIL"/>
    <x:cfRule type="containsText" dxfId="83" priority="12" operator="containsText" text="SELECTED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3" hidden="0" customWidth="1"/>
    <x:col min="3" max="3" width="20" hidden="0" customWidth="1"/>
    <x:col min="4" max="4" width="62" hidden="0" customWidth="1"/>
    <x:col min="5" max="5" width="18" hidden="0" customWidth="1"/>
    <x:col min="6" max="6" width="18" hidden="0" customWidth="1"/>
    <x:col min="7" max="7" width="12" hidden="0" customWidth="1"/>
  </x:cols>
  <x:sheetData>
    <x:row r="2" ht="18" customHeight="1">
      <x:c r="B2" s="3" t="str">
        <x:v>Deterministic audit</x:v>
      </x:c>
      <x:c r="C2" s="2"/>
      <x:c r="D2" s="2"/>
      <x:c r="E2" s="2"/>
      <x:c r="F2" s="2"/>
      <x:c r="G2" s="2"/>
    </x:row>
    <x:row r="3" ht="18" customHeight="1">
      <x:c r="B3" s="4" t="str">
        <x:v>Terminal checks reconcile the workbook. PASS validates model structure only; it does not create physical evidence.</x:v>
      </x:c>
      <x:c r="C3" s="2"/>
      <x:c r="D3" s="2"/>
      <x:c r="E3" s="2"/>
      <x:c r="F3" s="2"/>
      <x:c r="G3" s="2"/>
    </x:row>
    <x:row r="4" ht="18" customHeight="1">
      <x:c r="B4" s="5"/>
      <x:c r="C4" s="5"/>
      <x:c r="D4" s="5"/>
      <x:c r="E4" s="5"/>
      <x:c r="F4" s="5"/>
      <x:c r="G4" s="5"/>
    </x:row>
    <x:row r="5" ht="18" customHeight="1">
      <x:c r="B5" s="2"/>
      <x:c r="C5" s="2"/>
      <x:c r="D5" s="2"/>
      <x:c r="E5" s="2"/>
      <x:c r="F5" s="2"/>
      <x:c r="G5" s="2"/>
    </x:row>
    <x:row r="6" ht="18" customHeight="1">
      <x:c r="B6" s="25" t="str">
        <x:v>Control</x:v>
      </x:c>
      <x:c r="C6" s="26" t="str">
        <x:v>Class</x:v>
      </x:c>
      <x:c r="D6" s="26" t="str">
        <x:v>Test</x:v>
      </x:c>
      <x:c r="E6" s="26" t="str">
        <x:v>Observed</x:v>
      </x:c>
      <x:c r="F6" s="26" t="str">
        <x:v>Required</x:v>
      </x:c>
      <x:c r="G6" s="26" t="str">
        <x:v>Result</x:v>
      </x:c>
    </x:row>
    <x:row r="7" ht="18" customHeight="1">
      <x:c r="B7" s="27" t="str">
        <x:v>A0001</x:v>
      </x:c>
      <x:c r="C7" s="27" t="str">
        <x:v>competition</x:v>
      </x:c>
      <x:c r="D7" s="27" t="str">
        <x:v>ATC-1 gates are binary</x:v>
      </x:c>
      <x:c r="E7" s="27" t="n">
        <x:f>IF(AND(MIN('Gate Matrix'!D7:M7)&gt;=0,MAX('Gate Matrix'!D7:M7)&lt;=1,SUM('Gate Matrix'!D7:M7)=ROUND(SUM('Gate Matrix'!D7:M7),0)),1,0)</x:f>
        <x:v>1</x:v>
      </x:c>
      <x:c r="F7" s="27" t="n">
        <x:v>1</x:v>
      </x:c>
      <x:c r="G7" s="29" t="str">
        <x:f>IF(E7=F7,"PASS","FAIL")</x:f>
        <x:v>PASS</x:v>
      </x:c>
    </x:row>
    <x:row r="8" ht="18" customHeight="1">
      <x:c r="B8" s="27" t="str">
        <x:v>A0002</x:v>
      </x:c>
      <x:c r="C8" s="27" t="str">
        <x:v>competition</x:v>
      </x:c>
      <x:c r="D8" s="27" t="str">
        <x:v>ATC-1 admission matches ten gates</x:v>
      </x:c>
      <x:c r="E8" s="27" t="n">
        <x:f>IF('Gate Matrix'!N7=IF(SUM('Gate Matrix'!D7:M7)=10,"PASS","FAIL"),1,0)</x:f>
        <x:v>1</x:v>
      </x:c>
      <x:c r="F8" s="27" t="n">
        <x:v>1</x:v>
      </x:c>
      <x:c r="G8" s="29" t="str">
        <x:f>IF(E8=F8,"PASS","FAIL")</x:f>
        <x:v>PASS</x:v>
      </x:c>
    </x:row>
    <x:row r="9" ht="18" customHeight="1">
      <x:c r="B9" s="27" t="str">
        <x:v>A0003</x:v>
      </x:c>
      <x:c r="C9" s="27" t="str">
        <x:v>competition</x:v>
      </x:c>
      <x:c r="D9" s="27" t="str">
        <x:v>ATC-2 gates are binary</x:v>
      </x:c>
      <x:c r="E9" s="27" t="n">
        <x:f>IF(AND(MIN('Gate Matrix'!D8:M8)&gt;=0,MAX('Gate Matrix'!D8:M8)&lt;=1,SUM('Gate Matrix'!D8:M8)=ROUND(SUM('Gate Matrix'!D8:M8),0)),1,0)</x:f>
        <x:v>1</x:v>
      </x:c>
      <x:c r="F9" s="27" t="n">
        <x:v>1</x:v>
      </x:c>
      <x:c r="G9" s="29" t="str">
        <x:f>IF(E9=F9,"PASS","FAIL")</x:f>
        <x:v>PASS</x:v>
      </x:c>
    </x:row>
    <x:row r="10" ht="18" customHeight="1">
      <x:c r="B10" s="27" t="str">
        <x:v>A0004</x:v>
      </x:c>
      <x:c r="C10" s="27" t="str">
        <x:v>competition</x:v>
      </x:c>
      <x:c r="D10" s="27" t="str">
        <x:v>ATC-2 admission matches ten gates</x:v>
      </x:c>
      <x:c r="E10" s="27" t="n">
        <x:f>IF('Gate Matrix'!N8=IF(SUM('Gate Matrix'!D8:M8)=10,"PASS","FAIL"),1,0)</x:f>
        <x:v>1</x:v>
      </x:c>
      <x:c r="F10" s="27" t="n">
        <x:v>1</x:v>
      </x:c>
      <x:c r="G10" s="29" t="str">
        <x:f>IF(E10=F10,"PASS","FAIL")</x:f>
        <x:v>PASS</x:v>
      </x:c>
    </x:row>
    <x:row r="11" ht="18" customHeight="1">
      <x:c r="B11" s="27" t="str">
        <x:v>A0005</x:v>
      </x:c>
      <x:c r="C11" s="27" t="str">
        <x:v>competition</x:v>
      </x:c>
      <x:c r="D11" s="27" t="str">
        <x:v>ATC-3 gates are binary</x:v>
      </x:c>
      <x:c r="E11" s="27" t="n">
        <x:f>IF(AND(MIN('Gate Matrix'!D9:M9)&gt;=0,MAX('Gate Matrix'!D9:M9)&lt;=1,SUM('Gate Matrix'!D9:M9)=ROUND(SUM('Gate Matrix'!D9:M9),0)),1,0)</x:f>
        <x:v>1</x:v>
      </x:c>
      <x:c r="F11" s="27" t="n">
        <x:v>1</x:v>
      </x:c>
      <x:c r="G11" s="29" t="str">
        <x:f>IF(E11=F11,"PASS","FAIL")</x:f>
        <x:v>PASS</x:v>
      </x:c>
    </x:row>
    <x:row r="12" ht="18" customHeight="1">
      <x:c r="B12" s="27" t="str">
        <x:v>A0006</x:v>
      </x:c>
      <x:c r="C12" s="27" t="str">
        <x:v>competition</x:v>
      </x:c>
      <x:c r="D12" s="27" t="str">
        <x:v>ATC-3 admission matches ten gates</x:v>
      </x:c>
      <x:c r="E12" s="27" t="n">
        <x:f>IF('Gate Matrix'!N9=IF(SUM('Gate Matrix'!D9:M9)=10,"PASS","FAIL"),1,0)</x:f>
        <x:v>1</x:v>
      </x:c>
      <x:c r="F12" s="27" t="n">
        <x:v>1</x:v>
      </x:c>
      <x:c r="G12" s="29" t="str">
        <x:f>IF(E12=F12,"PASS","FAIL")</x:f>
        <x:v>PASS</x:v>
      </x:c>
    </x:row>
    <x:row r="13" ht="18" customHeight="1">
      <x:c r="B13" s="27" t="str">
        <x:v>A0007</x:v>
      </x:c>
      <x:c r="C13" s="27" t="str">
        <x:v>competition</x:v>
      </x:c>
      <x:c r="D13" s="27" t="str">
        <x:v>TTC-1 gates are binary</x:v>
      </x:c>
      <x:c r="E13" s="27" t="n">
        <x:f>IF(AND(MIN('Gate Matrix'!D10:M10)&gt;=0,MAX('Gate Matrix'!D10:M10)&lt;=1,SUM('Gate Matrix'!D10:M10)=ROUND(SUM('Gate Matrix'!D10:M10),0)),1,0)</x:f>
        <x:v>1</x:v>
      </x:c>
      <x:c r="F13" s="27" t="n">
        <x:v>1</x:v>
      </x:c>
      <x:c r="G13" s="29" t="str">
        <x:f>IF(E13=F13,"PASS","FAIL")</x:f>
        <x:v>PASS</x:v>
      </x:c>
    </x:row>
    <x:row r="14" ht="18" customHeight="1">
      <x:c r="B14" s="27" t="str">
        <x:v>A0008</x:v>
      </x:c>
      <x:c r="C14" s="27" t="str">
        <x:v>competition</x:v>
      </x:c>
      <x:c r="D14" s="27" t="str">
        <x:v>TTC-1 admission matches ten gates</x:v>
      </x:c>
      <x:c r="E14" s="27" t="n">
        <x:f>IF('Gate Matrix'!N10=IF(SUM('Gate Matrix'!D10:M10)=10,"PASS","FAIL"),1,0)</x:f>
        <x:v>1</x:v>
      </x:c>
      <x:c r="F14" s="27" t="n">
        <x:v>1</x:v>
      </x:c>
      <x:c r="G14" s="29" t="str">
        <x:f>IF(E14=F14,"PASS","FAIL")</x:f>
        <x:v>PASS</x:v>
      </x:c>
    </x:row>
    <x:row r="15" ht="18" customHeight="1">
      <x:c r="B15" s="27" t="str">
        <x:v>A0009</x:v>
      </x:c>
      <x:c r="C15" s="27" t="str">
        <x:v>competition</x:v>
      </x:c>
      <x:c r="D15" s="27" t="str">
        <x:v>TTC-2 gates are binary</x:v>
      </x:c>
      <x:c r="E15" s="27" t="n">
        <x:f>IF(AND(MIN('Gate Matrix'!D11:M11)&gt;=0,MAX('Gate Matrix'!D11:M11)&lt;=1,SUM('Gate Matrix'!D11:M11)=ROUND(SUM('Gate Matrix'!D11:M11),0)),1,0)</x:f>
        <x:v>1</x:v>
      </x:c>
      <x:c r="F15" s="27" t="n">
        <x:v>1</x:v>
      </x:c>
      <x:c r="G15" s="29" t="str">
        <x:f>IF(E15=F15,"PASS","FAIL")</x:f>
        <x:v>PASS</x:v>
      </x:c>
    </x:row>
    <x:row r="16" ht="18" customHeight="1">
      <x:c r="B16" s="27" t="str">
        <x:v>A0010</x:v>
      </x:c>
      <x:c r="C16" s="27" t="str">
        <x:v>competition</x:v>
      </x:c>
      <x:c r="D16" s="27" t="str">
        <x:v>TTC-2 admission matches ten gates</x:v>
      </x:c>
      <x:c r="E16" s="27" t="n">
        <x:f>IF('Gate Matrix'!N11=IF(SUM('Gate Matrix'!D11:M11)=10,"PASS","FAIL"),1,0)</x:f>
        <x:v>1</x:v>
      </x:c>
      <x:c r="F16" s="27" t="n">
        <x:v>1</x:v>
      </x:c>
      <x:c r="G16" s="29" t="str">
        <x:f>IF(E16=F16,"PASS","FAIL")</x:f>
        <x:v>PASS</x:v>
      </x:c>
    </x:row>
    <x:row r="17" ht="18" customHeight="1">
      <x:c r="B17" s="27" t="str">
        <x:v>A0011</x:v>
      </x:c>
      <x:c r="C17" s="27" t="str">
        <x:v>competition</x:v>
      </x:c>
      <x:c r="D17" s="27" t="str">
        <x:v>TTC-3 gates are binary</x:v>
      </x:c>
      <x:c r="E17" s="27" t="n">
        <x:f>IF(AND(MIN('Gate Matrix'!D12:M12)&gt;=0,MAX('Gate Matrix'!D12:M12)&lt;=1,SUM('Gate Matrix'!D12:M12)=ROUND(SUM('Gate Matrix'!D12:M12),0)),1,0)</x:f>
        <x:v>1</x:v>
      </x:c>
      <x:c r="F17" s="27" t="n">
        <x:v>1</x:v>
      </x:c>
      <x:c r="G17" s="29" t="str">
        <x:f>IF(E17=F17,"PASS","FAIL")</x:f>
        <x:v>PASS</x:v>
      </x:c>
    </x:row>
    <x:row r="18" ht="18" customHeight="1">
      <x:c r="B18" s="27" t="str">
        <x:v>A0012</x:v>
      </x:c>
      <x:c r="C18" s="27" t="str">
        <x:v>competition</x:v>
      </x:c>
      <x:c r="D18" s="27" t="str">
        <x:v>TTC-3 admission matches ten gates</x:v>
      </x:c>
      <x:c r="E18" s="27" t="n">
        <x:f>IF('Gate Matrix'!N12=IF(SUM('Gate Matrix'!D12:M12)=10,"PASS","FAIL"),1,0)</x:f>
        <x:v>1</x:v>
      </x:c>
      <x:c r="F18" s="27" t="n">
        <x:v>1</x:v>
      </x:c>
      <x:c r="G18" s="29" t="str">
        <x:f>IF(E18=F18,"PASS","FAIL")</x:f>
        <x:v>PASS</x:v>
      </x:c>
    </x:row>
    <x:row r="19" ht="18" customHeight="1">
      <x:c r="B19" s="27" t="str">
        <x:v>A0013</x:v>
      </x:c>
      <x:c r="C19" s="27" t="str">
        <x:v>competition</x:v>
      </x:c>
      <x:c r="D19" s="27" t="str">
        <x:v>ACN-1 gates are binary</x:v>
      </x:c>
      <x:c r="E19" s="27" t="n">
        <x:f>IF(AND(MIN('Gate Matrix'!D13:M13)&gt;=0,MAX('Gate Matrix'!D13:M13)&lt;=1,SUM('Gate Matrix'!D13:M13)=ROUND(SUM('Gate Matrix'!D13:M13),0)),1,0)</x:f>
        <x:v>1</x:v>
      </x:c>
      <x:c r="F19" s="27" t="n">
        <x:v>1</x:v>
      </x:c>
      <x:c r="G19" s="29" t="str">
        <x:f>IF(E19=F19,"PASS","FAIL")</x:f>
        <x:v>PASS</x:v>
      </x:c>
    </x:row>
    <x:row r="20" ht="18" customHeight="1">
      <x:c r="B20" s="27" t="str">
        <x:v>A0014</x:v>
      </x:c>
      <x:c r="C20" s="27" t="str">
        <x:v>competition</x:v>
      </x:c>
      <x:c r="D20" s="27" t="str">
        <x:v>ACN-1 admission matches ten gates</x:v>
      </x:c>
      <x:c r="E20" s="27" t="n">
        <x:f>IF('Gate Matrix'!N13=IF(SUM('Gate Matrix'!D13:M13)=10,"PASS","FAIL"),1,0)</x:f>
        <x:v>1</x:v>
      </x:c>
      <x:c r="F20" s="27" t="n">
        <x:v>1</x:v>
      </x:c>
      <x:c r="G20" s="29" t="str">
        <x:f>IF(E20=F20,"PASS","FAIL")</x:f>
        <x:v>PASS</x:v>
      </x:c>
    </x:row>
    <x:row r="21" ht="18" customHeight="1">
      <x:c r="B21" s="27" t="str">
        <x:v>A0015</x:v>
      </x:c>
      <x:c r="C21" s="27" t="str">
        <x:v>competition</x:v>
      </x:c>
      <x:c r="D21" s="27" t="str">
        <x:v>ACN-2 gates are binary</x:v>
      </x:c>
      <x:c r="E21" s="27" t="n">
        <x:f>IF(AND(MIN('Gate Matrix'!D14:M14)&gt;=0,MAX('Gate Matrix'!D14:M14)&lt;=1,SUM('Gate Matrix'!D14:M14)=ROUND(SUM('Gate Matrix'!D14:M14),0)),1,0)</x:f>
        <x:v>1</x:v>
      </x:c>
      <x:c r="F21" s="27" t="n">
        <x:v>1</x:v>
      </x:c>
      <x:c r="G21" s="29" t="str">
        <x:f>IF(E21=F21,"PASS","FAIL")</x:f>
        <x:v>PASS</x:v>
      </x:c>
    </x:row>
    <x:row r="22" ht="18" customHeight="1">
      <x:c r="B22" s="27" t="str">
        <x:v>A0016</x:v>
      </x:c>
      <x:c r="C22" s="27" t="str">
        <x:v>competition</x:v>
      </x:c>
      <x:c r="D22" s="27" t="str">
        <x:v>ACN-2 admission matches ten gates</x:v>
      </x:c>
      <x:c r="E22" s="27" t="n">
        <x:f>IF('Gate Matrix'!N14=IF(SUM('Gate Matrix'!D14:M14)=10,"PASS","FAIL"),1,0)</x:f>
        <x:v>1</x:v>
      </x:c>
      <x:c r="F22" s="27" t="n">
        <x:v>1</x:v>
      </x:c>
      <x:c r="G22" s="29" t="str">
        <x:f>IF(E22=F22,"PASS","FAIL")</x:f>
        <x:v>PASS</x:v>
      </x:c>
    </x:row>
    <x:row r="23" ht="18" customHeight="1">
      <x:c r="B23" s="27" t="str">
        <x:v>A0017</x:v>
      </x:c>
      <x:c r="C23" s="27" t="str">
        <x:v>competition</x:v>
      </x:c>
      <x:c r="D23" s="27" t="str">
        <x:v>ACN-3 gates are binary</x:v>
      </x:c>
      <x:c r="E23" s="27" t="n">
        <x:f>IF(AND(MIN('Gate Matrix'!D15:M15)&gt;=0,MAX('Gate Matrix'!D15:M15)&lt;=1,SUM('Gate Matrix'!D15:M15)=ROUND(SUM('Gate Matrix'!D15:M15),0)),1,0)</x:f>
        <x:v>1</x:v>
      </x:c>
      <x:c r="F23" s="27" t="n">
        <x:v>1</x:v>
      </x:c>
      <x:c r="G23" s="29" t="str">
        <x:f>IF(E23=F23,"PASS","FAIL")</x:f>
        <x:v>PASS</x:v>
      </x:c>
    </x:row>
    <x:row r="24" ht="18" customHeight="1">
      <x:c r="B24" s="27" t="str">
        <x:v>A0018</x:v>
      </x:c>
      <x:c r="C24" s="27" t="str">
        <x:v>competition</x:v>
      </x:c>
      <x:c r="D24" s="27" t="str">
        <x:v>ACN-3 admission matches ten gates</x:v>
      </x:c>
      <x:c r="E24" s="27" t="n">
        <x:f>IF('Gate Matrix'!N15=IF(SUM('Gate Matrix'!D15:M15)=10,"PASS","FAIL"),1,0)</x:f>
        <x:v>1</x:v>
      </x:c>
      <x:c r="F24" s="27" t="n">
        <x:v>1</x:v>
      </x:c>
      <x:c r="G24" s="29" t="str">
        <x:f>IF(E24=F24,"PASS","FAIL")</x:f>
        <x:v>PASS</x:v>
      </x:c>
    </x:row>
    <x:row r="25" ht="18" customHeight="1">
      <x:c r="B25" s="27" t="str">
        <x:v>A0019</x:v>
      </x:c>
      <x:c r="C25" s="27" t="str">
        <x:v>competition</x:v>
      </x:c>
      <x:c r="D25" s="27" t="str">
        <x:v>TCN-1 gates are binary</x:v>
      </x:c>
      <x:c r="E25" s="27" t="n">
        <x:f>IF(AND(MIN('Gate Matrix'!D16:M16)&gt;=0,MAX('Gate Matrix'!D16:M16)&lt;=1,SUM('Gate Matrix'!D16:M16)=ROUND(SUM('Gate Matrix'!D16:M16),0)),1,0)</x:f>
        <x:v>1</x:v>
      </x:c>
      <x:c r="F25" s="27" t="n">
        <x:v>1</x:v>
      </x:c>
      <x:c r="G25" s="29" t="str">
        <x:f>IF(E25=F25,"PASS","FAIL")</x:f>
        <x:v>PASS</x:v>
      </x:c>
    </x:row>
    <x:row r="26" ht="18" customHeight="1">
      <x:c r="B26" s="27" t="str">
        <x:v>A0020</x:v>
      </x:c>
      <x:c r="C26" s="27" t="str">
        <x:v>competition</x:v>
      </x:c>
      <x:c r="D26" s="27" t="str">
        <x:v>TCN-1 admission matches ten gates</x:v>
      </x:c>
      <x:c r="E26" s="27" t="n">
        <x:f>IF('Gate Matrix'!N16=IF(SUM('Gate Matrix'!D16:M16)=10,"PASS","FAIL"),1,0)</x:f>
        <x:v>1</x:v>
      </x:c>
      <x:c r="F26" s="27" t="n">
        <x:v>1</x:v>
      </x:c>
      <x:c r="G26" s="29" t="str">
        <x:f>IF(E26=F26,"PASS","FAIL")</x:f>
        <x:v>PASS</x:v>
      </x:c>
    </x:row>
    <x:row r="27" ht="18" customHeight="1">
      <x:c r="B27" s="27" t="str">
        <x:v>A0021</x:v>
      </x:c>
      <x:c r="C27" s="27" t="str">
        <x:v>competition</x:v>
      </x:c>
      <x:c r="D27" s="27" t="str">
        <x:v>TCN-2 gates are binary</x:v>
      </x:c>
      <x:c r="E27" s="27" t="n">
        <x:f>IF(AND(MIN('Gate Matrix'!D17:M17)&gt;=0,MAX('Gate Matrix'!D17:M17)&lt;=1,SUM('Gate Matrix'!D17:M17)=ROUND(SUM('Gate Matrix'!D17:M17),0)),1,0)</x:f>
        <x:v>1</x:v>
      </x:c>
      <x:c r="F27" s="27" t="n">
        <x:v>1</x:v>
      </x:c>
      <x:c r="G27" s="29" t="str">
        <x:f>IF(E27=F27,"PASS","FAIL")</x:f>
        <x:v>PASS</x:v>
      </x:c>
    </x:row>
    <x:row r="28" ht="18" customHeight="1">
      <x:c r="B28" s="27" t="str">
        <x:v>A0022</x:v>
      </x:c>
      <x:c r="C28" s="27" t="str">
        <x:v>competition</x:v>
      </x:c>
      <x:c r="D28" s="27" t="str">
        <x:v>TCN-2 admission matches ten gates</x:v>
      </x:c>
      <x:c r="E28" s="27" t="n">
        <x:f>IF('Gate Matrix'!N17=IF(SUM('Gate Matrix'!D17:M17)=10,"PASS","FAIL"),1,0)</x:f>
        <x:v>1</x:v>
      </x:c>
      <x:c r="F28" s="27" t="n">
        <x:v>1</x:v>
      </x:c>
      <x:c r="G28" s="29" t="str">
        <x:f>IF(E28=F28,"PASS","FAIL")</x:f>
        <x:v>PASS</x:v>
      </x:c>
    </x:row>
    <x:row r="29" ht="18" customHeight="1">
      <x:c r="B29" s="27" t="str">
        <x:v>A0023</x:v>
      </x:c>
      <x:c r="C29" s="27" t="str">
        <x:v>competition</x:v>
      </x:c>
      <x:c r="D29" s="27" t="str">
        <x:v>TCN-3 gates are binary</x:v>
      </x:c>
      <x:c r="E29" s="27" t="n">
        <x:f>IF(AND(MIN('Gate Matrix'!D18:M18)&gt;=0,MAX('Gate Matrix'!D18:M18)&lt;=1,SUM('Gate Matrix'!D18:M18)=ROUND(SUM('Gate Matrix'!D18:M18),0)),1,0)</x:f>
        <x:v>1</x:v>
      </x:c>
      <x:c r="F29" s="27" t="n">
        <x:v>1</x:v>
      </x:c>
      <x:c r="G29" s="29" t="str">
        <x:f>IF(E29=F29,"PASS","FAIL")</x:f>
        <x:v>PASS</x:v>
      </x:c>
    </x:row>
    <x:row r="30" ht="18" customHeight="1">
      <x:c r="B30" s="27" t="str">
        <x:v>A0024</x:v>
      </x:c>
      <x:c r="C30" s="27" t="str">
        <x:v>competition</x:v>
      </x:c>
      <x:c r="D30" s="27" t="str">
        <x:v>TCN-3 admission matches ten gates</x:v>
      </x:c>
      <x:c r="E30" s="27" t="n">
        <x:f>IF('Gate Matrix'!N18=IF(SUM('Gate Matrix'!D18:M18)=10,"PASS","FAIL"),1,0)</x:f>
        <x:v>1</x:v>
      </x:c>
      <x:c r="F30" s="27" t="n">
        <x:v>1</x:v>
      </x:c>
      <x:c r="G30" s="29" t="str">
        <x:f>IF(E30=F30,"PASS","FAIL")</x:f>
        <x:v>PASS</x:v>
      </x:c>
    </x:row>
    <x:row r="31" ht="18" customHeight="1">
      <x:c r="B31" s="27" t="str">
        <x:v>A0025</x:v>
      </x:c>
      <x:c r="C31" s="27" t="str">
        <x:v>competition</x:v>
      </x:c>
      <x:c r="D31" s="27" t="str">
        <x:v>CRS-1 gates are binary</x:v>
      </x:c>
      <x:c r="E31" s="27" t="n">
        <x:f>IF(AND(MIN('Gate Matrix'!D19:M19)&gt;=0,MAX('Gate Matrix'!D19:M19)&lt;=1,SUM('Gate Matrix'!D19:M19)=ROUND(SUM('Gate Matrix'!D19:M19),0)),1,0)</x:f>
        <x:v>1</x:v>
      </x:c>
      <x:c r="F31" s="27" t="n">
        <x:v>1</x:v>
      </x:c>
      <x:c r="G31" s="29" t="str">
        <x:f>IF(E31=F31,"PASS","FAIL")</x:f>
        <x:v>PASS</x:v>
      </x:c>
    </x:row>
    <x:row r="32" ht="18" customHeight="1">
      <x:c r="B32" s="27" t="str">
        <x:v>A0026</x:v>
      </x:c>
      <x:c r="C32" s="27" t="str">
        <x:v>competition</x:v>
      </x:c>
      <x:c r="D32" s="27" t="str">
        <x:v>CRS-1 admission matches ten gates</x:v>
      </x:c>
      <x:c r="E32" s="27" t="n">
        <x:f>IF('Gate Matrix'!N19=IF(SUM('Gate Matrix'!D19:M19)=10,"PASS","FAIL"),1,0)</x:f>
        <x:v>1</x:v>
      </x:c>
      <x:c r="F32" s="27" t="n">
        <x:v>1</x:v>
      </x:c>
      <x:c r="G32" s="29" t="str">
        <x:f>IF(E32=F32,"PASS","FAIL")</x:f>
        <x:v>PASS</x:v>
      </x:c>
    </x:row>
    <x:row r="33" ht="18" customHeight="1">
      <x:c r="B33" s="27" t="str">
        <x:v>A0027</x:v>
      </x:c>
      <x:c r="C33" s="27" t="str">
        <x:v>competition</x:v>
      </x:c>
      <x:c r="D33" s="27" t="str">
        <x:v>CRS-2 gates are binary</x:v>
      </x:c>
      <x:c r="E33" s="27" t="n">
        <x:f>IF(AND(MIN('Gate Matrix'!D20:M20)&gt;=0,MAX('Gate Matrix'!D20:M20)&lt;=1,SUM('Gate Matrix'!D20:M20)=ROUND(SUM('Gate Matrix'!D20:M20),0)),1,0)</x:f>
        <x:v>1</x:v>
      </x:c>
      <x:c r="F33" s="27" t="n">
        <x:v>1</x:v>
      </x:c>
      <x:c r="G33" s="29" t="str">
        <x:f>IF(E33=F33,"PASS","FAIL")</x:f>
        <x:v>PASS</x:v>
      </x:c>
    </x:row>
    <x:row r="34" ht="18" customHeight="1">
      <x:c r="B34" s="27" t="str">
        <x:v>A0028</x:v>
      </x:c>
      <x:c r="C34" s="27" t="str">
        <x:v>competition</x:v>
      </x:c>
      <x:c r="D34" s="27" t="str">
        <x:v>CRS-2 admission matches ten gates</x:v>
      </x:c>
      <x:c r="E34" s="27" t="n">
        <x:f>IF('Gate Matrix'!N20=IF(SUM('Gate Matrix'!D20:M20)=10,"PASS","FAIL"),1,0)</x:f>
        <x:v>1</x:v>
      </x:c>
      <x:c r="F34" s="27" t="n">
        <x:v>1</x:v>
      </x:c>
      <x:c r="G34" s="29" t="str">
        <x:f>IF(E34=F34,"PASS","FAIL")</x:f>
        <x:v>PASS</x:v>
      </x:c>
    </x:row>
    <x:row r="35" ht="18" customHeight="1">
      <x:c r="B35" s="27" t="str">
        <x:v>A0029</x:v>
      </x:c>
      <x:c r="C35" s="27" t="str">
        <x:v>competition</x:v>
      </x:c>
      <x:c r="D35" s="27" t="str">
        <x:v>CRS-3 gates are binary</x:v>
      </x:c>
      <x:c r="E35" s="27" t="n">
        <x:f>IF(AND(MIN('Gate Matrix'!D21:M21)&gt;=0,MAX('Gate Matrix'!D21:M21)&lt;=1,SUM('Gate Matrix'!D21:M21)=ROUND(SUM('Gate Matrix'!D21:M21),0)),1,0)</x:f>
        <x:v>1</x:v>
      </x:c>
      <x:c r="F35" s="27" t="n">
        <x:v>1</x:v>
      </x:c>
      <x:c r="G35" s="29" t="str">
        <x:f>IF(E35=F35,"PASS","FAIL")</x:f>
        <x:v>PASS</x:v>
      </x:c>
    </x:row>
    <x:row r="36" ht="18" customHeight="1">
      <x:c r="B36" s="27" t="str">
        <x:v>A0030</x:v>
      </x:c>
      <x:c r="C36" s="27" t="str">
        <x:v>competition</x:v>
      </x:c>
      <x:c r="D36" s="27" t="str">
        <x:v>CRS-3 admission matches ten gates</x:v>
      </x:c>
      <x:c r="E36" s="27" t="n">
        <x:f>IF('Gate Matrix'!N21=IF(SUM('Gate Matrix'!D21:M21)=10,"PASS","FAIL"),1,0)</x:f>
        <x:v>1</x:v>
      </x:c>
      <x:c r="F36" s="27" t="n">
        <x:v>1</x:v>
      </x:c>
      <x:c r="G36" s="29" t="str">
        <x:f>IF(E36=F36,"PASS","FAIL")</x:f>
        <x:v>PASS</x:v>
      </x:c>
    </x:row>
    <x:row r="37" ht="18" customHeight="1">
      <x:c r="B37" s="27" t="str">
        <x:v>A0031</x:v>
      </x:c>
      <x:c r="C37" s="27" t="str">
        <x:v>competition</x:v>
      </x:c>
      <x:c r="D37" s="27" t="str">
        <x:v>PSS-1 gates are binary</x:v>
      </x:c>
      <x:c r="E37" s="27" t="n">
        <x:f>IF(AND(MIN('Gate Matrix'!D22:M22)&gt;=0,MAX('Gate Matrix'!D22:M22)&lt;=1,SUM('Gate Matrix'!D22:M22)=ROUND(SUM('Gate Matrix'!D22:M22),0)),1,0)</x:f>
        <x:v>1</x:v>
      </x:c>
      <x:c r="F37" s="27" t="n">
        <x:v>1</x:v>
      </x:c>
      <x:c r="G37" s="29" t="str">
        <x:f>IF(E37=F37,"PASS","FAIL")</x:f>
        <x:v>PASS</x:v>
      </x:c>
    </x:row>
    <x:row r="38" ht="18" customHeight="1">
      <x:c r="B38" s="27" t="str">
        <x:v>A0032</x:v>
      </x:c>
      <x:c r="C38" s="27" t="str">
        <x:v>competition</x:v>
      </x:c>
      <x:c r="D38" s="27" t="str">
        <x:v>PSS-1 admission matches ten gates</x:v>
      </x:c>
      <x:c r="E38" s="27" t="n">
        <x:f>IF('Gate Matrix'!N22=IF(SUM('Gate Matrix'!D22:M22)=10,"PASS","FAIL"),1,0)</x:f>
        <x:v>1</x:v>
      </x:c>
      <x:c r="F38" s="27" t="n">
        <x:v>1</x:v>
      </x:c>
      <x:c r="G38" s="29" t="str">
        <x:f>IF(E38=F38,"PASS","FAIL")</x:f>
        <x:v>PASS</x:v>
      </x:c>
    </x:row>
    <x:row r="39" ht="18" customHeight="1">
      <x:c r="B39" s="27" t="str">
        <x:v>A0033</x:v>
      </x:c>
      <x:c r="C39" s="27" t="str">
        <x:v>competition</x:v>
      </x:c>
      <x:c r="D39" s="27" t="str">
        <x:v>PSS-2 gates are binary</x:v>
      </x:c>
      <x:c r="E39" s="27" t="n">
        <x:f>IF(AND(MIN('Gate Matrix'!D23:M23)&gt;=0,MAX('Gate Matrix'!D23:M23)&lt;=1,SUM('Gate Matrix'!D23:M23)=ROUND(SUM('Gate Matrix'!D23:M23),0)),1,0)</x:f>
        <x:v>1</x:v>
      </x:c>
      <x:c r="F39" s="27" t="n">
        <x:v>1</x:v>
      </x:c>
      <x:c r="G39" s="29" t="str">
        <x:f>IF(E39=F39,"PASS","FAIL")</x:f>
        <x:v>PASS</x:v>
      </x:c>
    </x:row>
    <x:row r="40" ht="18" customHeight="1">
      <x:c r="B40" s="27" t="str">
        <x:v>A0034</x:v>
      </x:c>
      <x:c r="C40" s="27" t="str">
        <x:v>competition</x:v>
      </x:c>
      <x:c r="D40" s="27" t="str">
        <x:v>PSS-2 admission matches ten gates</x:v>
      </x:c>
      <x:c r="E40" s="27" t="n">
        <x:f>IF('Gate Matrix'!N23=IF(SUM('Gate Matrix'!D23:M23)=10,"PASS","FAIL"),1,0)</x:f>
        <x:v>1</x:v>
      </x:c>
      <x:c r="F40" s="27" t="n">
        <x:v>1</x:v>
      </x:c>
      <x:c r="G40" s="29" t="str">
        <x:f>IF(E40=F40,"PASS","FAIL")</x:f>
        <x:v>PASS</x:v>
      </x:c>
    </x:row>
    <x:row r="41" ht="18" customHeight="1">
      <x:c r="B41" s="27" t="str">
        <x:v>A0035</x:v>
      </x:c>
      <x:c r="C41" s="27" t="str">
        <x:v>competition</x:v>
      </x:c>
      <x:c r="D41" s="27" t="str">
        <x:v>PSS-3 gates are binary</x:v>
      </x:c>
      <x:c r="E41" s="27" t="n">
        <x:f>IF(AND(MIN('Gate Matrix'!D24:M24)&gt;=0,MAX('Gate Matrix'!D24:M24)&lt;=1,SUM('Gate Matrix'!D24:M24)=ROUND(SUM('Gate Matrix'!D24:M24),0)),1,0)</x:f>
        <x:v>1</x:v>
      </x:c>
      <x:c r="F41" s="27" t="n">
        <x:v>1</x:v>
      </x:c>
      <x:c r="G41" s="29" t="str">
        <x:f>IF(E41=F41,"PASS","FAIL")</x:f>
        <x:v>PASS</x:v>
      </x:c>
    </x:row>
    <x:row r="42" ht="18" customHeight="1">
      <x:c r="B42" s="27" t="str">
        <x:v>A0036</x:v>
      </x:c>
      <x:c r="C42" s="27" t="str">
        <x:v>competition</x:v>
      </x:c>
      <x:c r="D42" s="27" t="str">
        <x:v>PSS-3 admission matches ten gates</x:v>
      </x:c>
      <x:c r="E42" s="27" t="n">
        <x:f>IF('Gate Matrix'!N24=IF(SUM('Gate Matrix'!D24:M24)=10,"PASS","FAIL"),1,0)</x:f>
        <x:v>1</x:v>
      </x:c>
      <x:c r="F42" s="27" t="n">
        <x:v>1</x:v>
      </x:c>
      <x:c r="G42" s="29" t="str">
        <x:f>IF(E42=F42,"PASS","FAIL")</x:f>
        <x:v>PASS</x:v>
      </x:c>
    </x:row>
    <x:row r="43" ht="18" customHeight="1">
      <x:c r="B43" s="27" t="str">
        <x:v>A0037</x:v>
      </x:c>
      <x:c r="C43" s="27" t="str">
        <x:v>competition</x:v>
      </x:c>
      <x:c r="D43" s="27" t="str">
        <x:v>PIF-1 gates are binary</x:v>
      </x:c>
      <x:c r="E43" s="27" t="n">
        <x:f>IF(AND(MIN('Gate Matrix'!D25:M25)&gt;=0,MAX('Gate Matrix'!D25:M25)&lt;=1,SUM('Gate Matrix'!D25:M25)=ROUND(SUM('Gate Matrix'!D25:M25),0)),1,0)</x:f>
        <x:v>1</x:v>
      </x:c>
      <x:c r="F43" s="27" t="n">
        <x:v>1</x:v>
      </x:c>
      <x:c r="G43" s="29" t="str">
        <x:f>IF(E43=F43,"PASS","FAIL")</x:f>
        <x:v>PASS</x:v>
      </x:c>
    </x:row>
    <x:row r="44" ht="18" customHeight="1">
      <x:c r="B44" s="27" t="str">
        <x:v>A0038</x:v>
      </x:c>
      <x:c r="C44" s="27" t="str">
        <x:v>competition</x:v>
      </x:c>
      <x:c r="D44" s="27" t="str">
        <x:v>PIF-1 admission matches ten gates</x:v>
      </x:c>
      <x:c r="E44" s="27" t="n">
        <x:f>IF('Gate Matrix'!N25=IF(SUM('Gate Matrix'!D25:M25)=10,"PASS","FAIL"),1,0)</x:f>
        <x:v>1</x:v>
      </x:c>
      <x:c r="F44" s="27" t="n">
        <x:v>1</x:v>
      </x:c>
      <x:c r="G44" s="29" t="str">
        <x:f>IF(E44=F44,"PASS","FAIL")</x:f>
        <x:v>PASS</x:v>
      </x:c>
    </x:row>
    <x:row r="45" ht="18" customHeight="1">
      <x:c r="B45" s="27" t="str">
        <x:v>A0039</x:v>
      </x:c>
      <x:c r="C45" s="27" t="str">
        <x:v>competition</x:v>
      </x:c>
      <x:c r="D45" s="27" t="str">
        <x:v>PIF-2 gates are binary</x:v>
      </x:c>
      <x:c r="E45" s="27" t="n">
        <x:f>IF(AND(MIN('Gate Matrix'!D26:M26)&gt;=0,MAX('Gate Matrix'!D26:M26)&lt;=1,SUM('Gate Matrix'!D26:M26)=ROUND(SUM('Gate Matrix'!D26:M26),0)),1,0)</x:f>
        <x:v>1</x:v>
      </x:c>
      <x:c r="F45" s="27" t="n">
        <x:v>1</x:v>
      </x:c>
      <x:c r="G45" s="29" t="str">
        <x:f>IF(E45=F45,"PASS","FAIL")</x:f>
        <x:v>PASS</x:v>
      </x:c>
    </x:row>
    <x:row r="46" ht="18" customHeight="1">
      <x:c r="B46" s="27" t="str">
        <x:v>A0040</x:v>
      </x:c>
      <x:c r="C46" s="27" t="str">
        <x:v>competition</x:v>
      </x:c>
      <x:c r="D46" s="27" t="str">
        <x:v>PIF-2 admission matches ten gates</x:v>
      </x:c>
      <x:c r="E46" s="27" t="n">
        <x:f>IF('Gate Matrix'!N26=IF(SUM('Gate Matrix'!D26:M26)=10,"PASS","FAIL"),1,0)</x:f>
        <x:v>1</x:v>
      </x:c>
      <x:c r="F46" s="27" t="n">
        <x:v>1</x:v>
      </x:c>
      <x:c r="G46" s="29" t="str">
        <x:f>IF(E46=F46,"PASS","FAIL")</x:f>
        <x:v>PASS</x:v>
      </x:c>
    </x:row>
    <x:row r="47" ht="18" customHeight="1">
      <x:c r="B47" s="27" t="str">
        <x:v>A0041</x:v>
      </x:c>
      <x:c r="C47" s="27" t="str">
        <x:v>competition</x:v>
      </x:c>
      <x:c r="D47" s="27" t="str">
        <x:v>PIF-3 gates are binary</x:v>
      </x:c>
      <x:c r="E47" s="27" t="n">
        <x:f>IF(AND(MIN('Gate Matrix'!D27:M27)&gt;=0,MAX('Gate Matrix'!D27:M27)&lt;=1,SUM('Gate Matrix'!D27:M27)=ROUND(SUM('Gate Matrix'!D27:M27),0)),1,0)</x:f>
        <x:v>1</x:v>
      </x:c>
      <x:c r="F47" s="27" t="n">
        <x:v>1</x:v>
      </x:c>
      <x:c r="G47" s="29" t="str">
        <x:f>IF(E47=F47,"PASS","FAIL")</x:f>
        <x:v>PASS</x:v>
      </x:c>
    </x:row>
    <x:row r="48" ht="18" customHeight="1">
      <x:c r="B48" s="27" t="str">
        <x:v>A0042</x:v>
      </x:c>
      <x:c r="C48" s="27" t="str">
        <x:v>competition</x:v>
      </x:c>
      <x:c r="D48" s="27" t="str">
        <x:v>PIF-3 admission matches ten gates</x:v>
      </x:c>
      <x:c r="E48" s="27" t="n">
        <x:f>IF('Gate Matrix'!N27=IF(SUM('Gate Matrix'!D27:M27)=10,"PASS","FAIL"),1,0)</x:f>
        <x:v>1</x:v>
      </x:c>
      <x:c r="F48" s="27" t="n">
        <x:v>1</x:v>
      </x:c>
      <x:c r="G48" s="29" t="str">
        <x:f>IF(E48=F48,"PASS","FAIL")</x:f>
        <x:v>PASS</x:v>
      </x:c>
    </x:row>
    <x:row r="49" ht="18" customHeight="1">
      <x:c r="B49" s="27" t="str">
        <x:v>A0043</x:v>
      </x:c>
      <x:c r="C49" s="27" t="str">
        <x:v>competition</x:v>
      </x:c>
      <x:c r="D49" s="27" t="str">
        <x:v>EPS-1 gates are binary</x:v>
      </x:c>
      <x:c r="E49" s="27" t="n">
        <x:f>IF(AND(MIN('Gate Matrix'!D28:M28)&gt;=0,MAX('Gate Matrix'!D28:M28)&lt;=1,SUM('Gate Matrix'!D28:M28)=ROUND(SUM('Gate Matrix'!D28:M28),0)),1,0)</x:f>
        <x:v>1</x:v>
      </x:c>
      <x:c r="F49" s="27" t="n">
        <x:v>1</x:v>
      </x:c>
      <x:c r="G49" s="29" t="str">
        <x:f>IF(E49=F49,"PASS","FAIL")</x:f>
        <x:v>PASS</x:v>
      </x:c>
    </x:row>
    <x:row r="50" ht="18" customHeight="1">
      <x:c r="B50" s="27" t="str">
        <x:v>A0044</x:v>
      </x:c>
      <x:c r="C50" s="27" t="str">
        <x:v>competition</x:v>
      </x:c>
      <x:c r="D50" s="27" t="str">
        <x:v>EPS-1 admission matches ten gates</x:v>
      </x:c>
      <x:c r="E50" s="27" t="n">
        <x:f>IF('Gate Matrix'!N28=IF(SUM('Gate Matrix'!D28:M28)=10,"PASS","FAIL"),1,0)</x:f>
        <x:v>1</x:v>
      </x:c>
      <x:c r="F50" s="27" t="n">
        <x:v>1</x:v>
      </x:c>
      <x:c r="G50" s="29" t="str">
        <x:f>IF(E50=F50,"PASS","FAIL")</x:f>
        <x:v>PASS</x:v>
      </x:c>
    </x:row>
    <x:row r="51" ht="18" customHeight="1">
      <x:c r="B51" s="27" t="str">
        <x:v>A0045</x:v>
      </x:c>
      <x:c r="C51" s="27" t="str">
        <x:v>competition</x:v>
      </x:c>
      <x:c r="D51" s="27" t="str">
        <x:v>EPS-2 gates are binary</x:v>
      </x:c>
      <x:c r="E51" s="27" t="n">
        <x:f>IF(AND(MIN('Gate Matrix'!D29:M29)&gt;=0,MAX('Gate Matrix'!D29:M29)&lt;=1,SUM('Gate Matrix'!D29:M29)=ROUND(SUM('Gate Matrix'!D29:M29),0)),1,0)</x:f>
        <x:v>1</x:v>
      </x:c>
      <x:c r="F51" s="27" t="n">
        <x:v>1</x:v>
      </x:c>
      <x:c r="G51" s="29" t="str">
        <x:f>IF(E51=F51,"PASS","FAIL")</x:f>
        <x:v>PASS</x:v>
      </x:c>
    </x:row>
    <x:row r="52" ht="18" customHeight="1">
      <x:c r="B52" s="27" t="str">
        <x:v>A0046</x:v>
      </x:c>
      <x:c r="C52" s="27" t="str">
        <x:v>competition</x:v>
      </x:c>
      <x:c r="D52" s="27" t="str">
        <x:v>EPS-2 admission matches ten gates</x:v>
      </x:c>
      <x:c r="E52" s="27" t="n">
        <x:f>IF('Gate Matrix'!N29=IF(SUM('Gate Matrix'!D29:M29)=10,"PASS","FAIL"),1,0)</x:f>
        <x:v>1</x:v>
      </x:c>
      <x:c r="F52" s="27" t="n">
        <x:v>1</x:v>
      </x:c>
      <x:c r="G52" s="29" t="str">
        <x:f>IF(E52=F52,"PASS","FAIL")</x:f>
        <x:v>PASS</x:v>
      </x:c>
    </x:row>
    <x:row r="53" ht="18" customHeight="1">
      <x:c r="B53" s="27" t="str">
        <x:v>A0047</x:v>
      </x:c>
      <x:c r="C53" s="27" t="str">
        <x:v>competition</x:v>
      </x:c>
      <x:c r="D53" s="27" t="str">
        <x:v>EPS-3 gates are binary</x:v>
      </x:c>
      <x:c r="E53" s="27" t="n">
        <x:f>IF(AND(MIN('Gate Matrix'!D30:M30)&gt;=0,MAX('Gate Matrix'!D30:M30)&lt;=1,SUM('Gate Matrix'!D30:M30)=ROUND(SUM('Gate Matrix'!D30:M30),0)),1,0)</x:f>
        <x:v>1</x:v>
      </x:c>
      <x:c r="F53" s="27" t="n">
        <x:v>1</x:v>
      </x:c>
      <x:c r="G53" s="29" t="str">
        <x:f>IF(E53=F53,"PASS","FAIL")</x:f>
        <x:v>PASS</x:v>
      </x:c>
    </x:row>
    <x:row r="54" ht="18" customHeight="1">
      <x:c r="B54" s="27" t="str">
        <x:v>A0048</x:v>
      </x:c>
      <x:c r="C54" s="27" t="str">
        <x:v>competition</x:v>
      </x:c>
      <x:c r="D54" s="27" t="str">
        <x:v>EPS-3 admission matches ten gates</x:v>
      </x:c>
      <x:c r="E54" s="27" t="n">
        <x:f>IF('Gate Matrix'!N30=IF(SUM('Gate Matrix'!D30:M30)=10,"PASS","FAIL"),1,0)</x:f>
        <x:v>1</x:v>
      </x:c>
      <x:c r="F54" s="27" t="n">
        <x:v>1</x:v>
      </x:c>
      <x:c r="G54" s="29" t="str">
        <x:f>IF(E54=F54,"PASS","FAIL")</x:f>
        <x:v>PASS</x:v>
      </x:c>
    </x:row>
    <x:row r="55" ht="18" customHeight="1">
      <x:c r="B55" s="27" t="str">
        <x:v>A0049</x:v>
      </x:c>
      <x:c r="C55" s="27" t="str">
        <x:v>competition</x:v>
      </x:c>
      <x:c r="D55" s="27" t="str">
        <x:v>TKS-1 gates are binary</x:v>
      </x:c>
      <x:c r="E55" s="27" t="n">
        <x:f>IF(AND(MIN('Gate Matrix'!D31:M31)&gt;=0,MAX('Gate Matrix'!D31:M31)&lt;=1,SUM('Gate Matrix'!D31:M31)=ROUND(SUM('Gate Matrix'!D31:M31),0)),1,0)</x:f>
        <x:v>1</x:v>
      </x:c>
      <x:c r="F55" s="27" t="n">
        <x:v>1</x:v>
      </x:c>
      <x:c r="G55" s="29" t="str">
        <x:f>IF(E55=F55,"PASS","FAIL")</x:f>
        <x:v>PASS</x:v>
      </x:c>
    </x:row>
    <x:row r="56" ht="18" customHeight="1">
      <x:c r="B56" s="27" t="str">
        <x:v>A0050</x:v>
      </x:c>
      <x:c r="C56" s="27" t="str">
        <x:v>competition</x:v>
      </x:c>
      <x:c r="D56" s="27" t="str">
        <x:v>TKS-1 admission matches ten gates</x:v>
      </x:c>
      <x:c r="E56" s="27" t="n">
        <x:f>IF('Gate Matrix'!N31=IF(SUM('Gate Matrix'!D31:M31)=10,"PASS","FAIL"),1,0)</x:f>
        <x:v>1</x:v>
      </x:c>
      <x:c r="F56" s="27" t="n">
        <x:v>1</x:v>
      </x:c>
      <x:c r="G56" s="29" t="str">
        <x:f>IF(E56=F56,"PASS","FAIL")</x:f>
        <x:v>PASS</x:v>
      </x:c>
    </x:row>
    <x:row r="57" ht="18" customHeight="1">
      <x:c r="B57" s="27" t="str">
        <x:v>A0051</x:v>
      </x:c>
      <x:c r="C57" s="27" t="str">
        <x:v>competition</x:v>
      </x:c>
      <x:c r="D57" s="27" t="str">
        <x:v>TKS-2 gates are binary</x:v>
      </x:c>
      <x:c r="E57" s="27" t="n">
        <x:f>IF(AND(MIN('Gate Matrix'!D32:M32)&gt;=0,MAX('Gate Matrix'!D32:M32)&lt;=1,SUM('Gate Matrix'!D32:M32)=ROUND(SUM('Gate Matrix'!D32:M32),0)),1,0)</x:f>
        <x:v>1</x:v>
      </x:c>
      <x:c r="F57" s="27" t="n">
        <x:v>1</x:v>
      </x:c>
      <x:c r="G57" s="29" t="str">
        <x:f>IF(E57=F57,"PASS","FAIL")</x:f>
        <x:v>PASS</x:v>
      </x:c>
    </x:row>
    <x:row r="58" ht="18" customHeight="1">
      <x:c r="B58" s="27" t="str">
        <x:v>A0052</x:v>
      </x:c>
      <x:c r="C58" s="27" t="str">
        <x:v>competition</x:v>
      </x:c>
      <x:c r="D58" s="27" t="str">
        <x:v>TKS-2 admission matches ten gates</x:v>
      </x:c>
      <x:c r="E58" s="27" t="n">
        <x:f>IF('Gate Matrix'!N32=IF(SUM('Gate Matrix'!D32:M32)=10,"PASS","FAIL"),1,0)</x:f>
        <x:v>1</x:v>
      </x:c>
      <x:c r="F58" s="27" t="n">
        <x:v>1</x:v>
      </x:c>
      <x:c r="G58" s="29" t="str">
        <x:f>IF(E58=F58,"PASS","FAIL")</x:f>
        <x:v>PASS</x:v>
      </x:c>
    </x:row>
    <x:row r="59" ht="18" customHeight="1">
      <x:c r="B59" s="27" t="str">
        <x:v>A0053</x:v>
      </x:c>
      <x:c r="C59" s="27" t="str">
        <x:v>competition</x:v>
      </x:c>
      <x:c r="D59" s="27" t="str">
        <x:v>TKS-3 gates are binary</x:v>
      </x:c>
      <x:c r="E59" s="27" t="n">
        <x:f>IF(AND(MIN('Gate Matrix'!D33:M33)&gt;=0,MAX('Gate Matrix'!D33:M33)&lt;=1,SUM('Gate Matrix'!D33:M33)=ROUND(SUM('Gate Matrix'!D33:M33),0)),1,0)</x:f>
        <x:v>1</x:v>
      </x:c>
      <x:c r="F59" s="27" t="n">
        <x:v>1</x:v>
      </x:c>
      <x:c r="G59" s="29" t="str">
        <x:f>IF(E59=F59,"PASS","FAIL")</x:f>
        <x:v>PASS</x:v>
      </x:c>
    </x:row>
    <x:row r="60" ht="18" customHeight="1">
      <x:c r="B60" s="27" t="str">
        <x:v>A0054</x:v>
      </x:c>
      <x:c r="C60" s="27" t="str">
        <x:v>competition</x:v>
      </x:c>
      <x:c r="D60" s="27" t="str">
        <x:v>TKS-3 admission matches ten gates</x:v>
      </x:c>
      <x:c r="E60" s="27" t="n">
        <x:f>IF('Gate Matrix'!N33=IF(SUM('Gate Matrix'!D33:M33)=10,"PASS","FAIL"),1,0)</x:f>
        <x:v>1</x:v>
      </x:c>
      <x:c r="F60" s="27" t="n">
        <x:v>1</x:v>
      </x:c>
      <x:c r="G60" s="29" t="str">
        <x:f>IF(E60=F60,"PASS","FAIL")</x:f>
        <x:v>PASS</x:v>
      </x:c>
    </x:row>
    <x:row r="61" ht="18" customHeight="1">
      <x:c r="B61" s="27" t="str">
        <x:v>A0055</x:v>
      </x:c>
      <x:c r="C61" s="27" t="str">
        <x:v>competition</x:v>
      </x:c>
      <x:c r="D61" s="27" t="str">
        <x:v>STG-1 gates are binary</x:v>
      </x:c>
      <x:c r="E61" s="27" t="n">
        <x:f>IF(AND(MIN('Gate Matrix'!D34:M34)&gt;=0,MAX('Gate Matrix'!D34:M34)&lt;=1,SUM('Gate Matrix'!D34:M34)=ROUND(SUM('Gate Matrix'!D34:M34),0)),1,0)</x:f>
        <x:v>1</x:v>
      </x:c>
      <x:c r="F61" s="27" t="n">
        <x:v>1</x:v>
      </x:c>
      <x:c r="G61" s="29" t="str">
        <x:f>IF(E61=F61,"PASS","FAIL")</x:f>
        <x:v>PASS</x:v>
      </x:c>
    </x:row>
    <x:row r="62" ht="18" customHeight="1">
      <x:c r="B62" s="27" t="str">
        <x:v>A0056</x:v>
      </x:c>
      <x:c r="C62" s="27" t="str">
        <x:v>competition</x:v>
      </x:c>
      <x:c r="D62" s="27" t="str">
        <x:v>STG-1 admission matches ten gates</x:v>
      </x:c>
      <x:c r="E62" s="27" t="n">
        <x:f>IF('Gate Matrix'!N34=IF(SUM('Gate Matrix'!D34:M34)=10,"PASS","FAIL"),1,0)</x:f>
        <x:v>1</x:v>
      </x:c>
      <x:c r="F62" s="27" t="n">
        <x:v>1</x:v>
      </x:c>
      <x:c r="G62" s="29" t="str">
        <x:f>IF(E62=F62,"PASS","FAIL")</x:f>
        <x:v>PASS</x:v>
      </x:c>
    </x:row>
    <x:row r="63" ht="18" customHeight="1">
      <x:c r="B63" s="27" t="str">
        <x:v>A0057</x:v>
      </x:c>
      <x:c r="C63" s="27" t="str">
        <x:v>competition</x:v>
      </x:c>
      <x:c r="D63" s="27" t="str">
        <x:v>STG-2 gates are binary</x:v>
      </x:c>
      <x:c r="E63" s="27" t="n">
        <x:f>IF(AND(MIN('Gate Matrix'!D35:M35)&gt;=0,MAX('Gate Matrix'!D35:M35)&lt;=1,SUM('Gate Matrix'!D35:M35)=ROUND(SUM('Gate Matrix'!D35:M35),0)),1,0)</x:f>
        <x:v>1</x:v>
      </x:c>
      <x:c r="F63" s="27" t="n">
        <x:v>1</x:v>
      </x:c>
      <x:c r="G63" s="29" t="str">
        <x:f>IF(E63=F63,"PASS","FAIL")</x:f>
        <x:v>PASS</x:v>
      </x:c>
    </x:row>
    <x:row r="64" ht="18" customHeight="1">
      <x:c r="B64" s="27" t="str">
        <x:v>A0058</x:v>
      </x:c>
      <x:c r="C64" s="27" t="str">
        <x:v>competition</x:v>
      </x:c>
      <x:c r="D64" s="27" t="str">
        <x:v>STG-2 admission matches ten gates</x:v>
      </x:c>
      <x:c r="E64" s="27" t="n">
        <x:f>IF('Gate Matrix'!N35=IF(SUM('Gate Matrix'!D35:M35)=10,"PASS","FAIL"),1,0)</x:f>
        <x:v>1</x:v>
      </x:c>
      <x:c r="F64" s="27" t="n">
        <x:v>1</x:v>
      </x:c>
      <x:c r="G64" s="29" t="str">
        <x:f>IF(E64=F64,"PASS","FAIL")</x:f>
        <x:v>PASS</x:v>
      </x:c>
    </x:row>
    <x:row r="65" ht="18" customHeight="1">
      <x:c r="B65" s="27" t="str">
        <x:v>A0059</x:v>
      </x:c>
      <x:c r="C65" s="27" t="str">
        <x:v>competition</x:v>
      </x:c>
      <x:c r="D65" s="27" t="str">
        <x:v>STG-3 gates are binary</x:v>
      </x:c>
      <x:c r="E65" s="27" t="n">
        <x:f>IF(AND(MIN('Gate Matrix'!D36:M36)&gt;=0,MAX('Gate Matrix'!D36:M36)&lt;=1,SUM('Gate Matrix'!D36:M36)=ROUND(SUM('Gate Matrix'!D36:M36),0)),1,0)</x:f>
        <x:v>1</x:v>
      </x:c>
      <x:c r="F65" s="27" t="n">
        <x:v>1</x:v>
      </x:c>
      <x:c r="G65" s="29" t="str">
        <x:f>IF(E65=F65,"PASS","FAIL")</x:f>
        <x:v>PASS</x:v>
      </x:c>
    </x:row>
    <x:row r="66" ht="18" customHeight="1">
      <x:c r="B66" s="27" t="str">
        <x:v>A0060</x:v>
      </x:c>
      <x:c r="C66" s="27" t="str">
        <x:v>competition</x:v>
      </x:c>
      <x:c r="D66" s="27" t="str">
        <x:v>STG-3 admission matches ten gates</x:v>
      </x:c>
      <x:c r="E66" s="27" t="n">
        <x:f>IF('Gate Matrix'!N36=IF(SUM('Gate Matrix'!D36:M36)=10,"PASS","FAIL"),1,0)</x:f>
        <x:v>1</x:v>
      </x:c>
      <x:c r="F66" s="27" t="n">
        <x:v>1</x:v>
      </x:c>
      <x:c r="G66" s="29" t="str">
        <x:f>IF(E66=F66,"PASS","FAIL")</x:f>
        <x:v>PASS</x:v>
      </x:c>
    </x:row>
    <x:row r="67" ht="18" customHeight="1">
      <x:c r="B67" s="27" t="str">
        <x:v>A0061</x:v>
      </x:c>
      <x:c r="C67" s="27" t="str">
        <x:v>competition</x:v>
      </x:c>
      <x:c r="D67" s="27" t="str">
        <x:v>MHE-1 gates are binary</x:v>
      </x:c>
      <x:c r="E67" s="27" t="n">
        <x:f>IF(AND(MIN('Gate Matrix'!D37:M37)&gt;=0,MAX('Gate Matrix'!D37:M37)&lt;=1,SUM('Gate Matrix'!D37:M37)=ROUND(SUM('Gate Matrix'!D37:M37),0)),1,0)</x:f>
        <x:v>1</x:v>
      </x:c>
      <x:c r="F67" s="27" t="n">
        <x:v>1</x:v>
      </x:c>
      <x:c r="G67" s="29" t="str">
        <x:f>IF(E67=F67,"PASS","FAIL")</x:f>
        <x:v>PASS</x:v>
      </x:c>
    </x:row>
    <x:row r="68" ht="18" customHeight="1">
      <x:c r="B68" s="27" t="str">
        <x:v>A0062</x:v>
      </x:c>
      <x:c r="C68" s="27" t="str">
        <x:v>competition</x:v>
      </x:c>
      <x:c r="D68" s="27" t="str">
        <x:v>MHE-1 admission matches ten gates</x:v>
      </x:c>
      <x:c r="E68" s="27" t="n">
        <x:f>IF('Gate Matrix'!N37=IF(SUM('Gate Matrix'!D37:M37)=10,"PASS","FAIL"),1,0)</x:f>
        <x:v>1</x:v>
      </x:c>
      <x:c r="F68" s="27" t="n">
        <x:v>1</x:v>
      </x:c>
      <x:c r="G68" s="29" t="str">
        <x:f>IF(E68=F68,"PASS","FAIL")</x:f>
        <x:v>PASS</x:v>
      </x:c>
    </x:row>
    <x:row r="69" ht="18" customHeight="1">
      <x:c r="B69" s="27" t="str">
        <x:v>A0063</x:v>
      </x:c>
      <x:c r="C69" s="27" t="str">
        <x:v>competition</x:v>
      </x:c>
      <x:c r="D69" s="27" t="str">
        <x:v>MHE-2 gates are binary</x:v>
      </x:c>
      <x:c r="E69" s="27" t="n">
        <x:f>IF(AND(MIN('Gate Matrix'!D38:M38)&gt;=0,MAX('Gate Matrix'!D38:M38)&lt;=1,SUM('Gate Matrix'!D38:M38)=ROUND(SUM('Gate Matrix'!D38:M38),0)),1,0)</x:f>
        <x:v>1</x:v>
      </x:c>
      <x:c r="F69" s="27" t="n">
        <x:v>1</x:v>
      </x:c>
      <x:c r="G69" s="29" t="str">
        <x:f>IF(E69=F69,"PASS","FAIL")</x:f>
        <x:v>PASS</x:v>
      </x:c>
    </x:row>
    <x:row r="70" ht="18" customHeight="1">
      <x:c r="B70" s="27" t="str">
        <x:v>A0064</x:v>
      </x:c>
      <x:c r="C70" s="27" t="str">
        <x:v>competition</x:v>
      </x:c>
      <x:c r="D70" s="27" t="str">
        <x:v>MHE-2 admission matches ten gates</x:v>
      </x:c>
      <x:c r="E70" s="27" t="n">
        <x:f>IF('Gate Matrix'!N38=IF(SUM('Gate Matrix'!D38:M38)=10,"PASS","FAIL"),1,0)</x:f>
        <x:v>1</x:v>
      </x:c>
      <x:c r="F70" s="27" t="n">
        <x:v>1</x:v>
      </x:c>
      <x:c r="G70" s="29" t="str">
        <x:f>IF(E70=F70,"PASS","FAIL")</x:f>
        <x:v>PASS</x:v>
      </x:c>
    </x:row>
    <x:row r="71" ht="18" customHeight="1">
      <x:c r="B71" s="27" t="str">
        <x:v>A0065</x:v>
      </x:c>
      <x:c r="C71" s="27" t="str">
        <x:v>competition</x:v>
      </x:c>
      <x:c r="D71" s="27" t="str">
        <x:v>MHE-3 gates are binary</x:v>
      </x:c>
      <x:c r="E71" s="27" t="n">
        <x:f>IF(AND(MIN('Gate Matrix'!D39:M39)&gt;=0,MAX('Gate Matrix'!D39:M39)&lt;=1,SUM('Gate Matrix'!D39:M39)=ROUND(SUM('Gate Matrix'!D39:M39),0)),1,0)</x:f>
        <x:v>1</x:v>
      </x:c>
      <x:c r="F71" s="27" t="n">
        <x:v>1</x:v>
      </x:c>
      <x:c r="G71" s="29" t="str">
        <x:f>IF(E71=F71,"PASS","FAIL")</x:f>
        <x:v>PASS</x:v>
      </x:c>
    </x:row>
    <x:row r="72" ht="18" customHeight="1">
      <x:c r="B72" s="27" t="str">
        <x:v>A0066</x:v>
      </x:c>
      <x:c r="C72" s="27" t="str">
        <x:v>competition</x:v>
      </x:c>
      <x:c r="D72" s="27" t="str">
        <x:v>MHE-3 admission matches ten gates</x:v>
      </x:c>
      <x:c r="E72" s="27" t="n">
        <x:f>IF('Gate Matrix'!N39=IF(SUM('Gate Matrix'!D39:M39)=10,"PASS","FAIL"),1,0)</x:f>
        <x:v>1</x:v>
      </x:c>
      <x:c r="F72" s="27" t="n">
        <x:v>1</x:v>
      </x:c>
      <x:c r="G72" s="29" t="str">
        <x:f>IF(E72=F72,"PASS","FAIL")</x:f>
        <x:v>PASS</x:v>
      </x:c>
    </x:row>
    <x:row r="73" ht="18" customHeight="1">
      <x:c r="B73" s="27" t="str">
        <x:v>A0067</x:v>
      </x:c>
      <x:c r="C73" s="27" t="str">
        <x:v>competition</x:v>
      </x:c>
      <x:c r="D73" s="27" t="str">
        <x:v>Air tile cassette has one selected architecture</x:v>
      </x:c>
      <x:c r="E73" s="27" t="n">
        <x:f>COUNTIFS(Competition!C7:C39,"Air tile cassette",Competition!M7:M39,"SELECTED")</x:f>
        <x:v>1</x:v>
      </x:c>
      <x:c r="F73" s="27" t="n">
        <x:v>1</x:v>
      </x:c>
      <x:c r="G73" s="29" t="str">
        <x:f>IF(E73=F73,"PASS","FAIL")</x:f>
        <x:v>PASS</x:v>
      </x:c>
    </x:row>
    <x:row r="74" ht="18" customHeight="1">
      <x:c r="B74" s="27" t="str">
        <x:v>A0068</x:v>
      </x:c>
      <x:c r="C74" s="27" t="str">
        <x:v>competition</x:v>
      </x:c>
      <x:c r="D74" s="27" t="str">
        <x:v>Terrain tile cassette has one selected architecture</x:v>
      </x:c>
      <x:c r="E74" s="27" t="n">
        <x:f>COUNTIFS(Competition!C7:C39,"Terrain tile cassette",Competition!M7:M39,"SELECTED")</x:f>
        <x:v>1</x:v>
      </x:c>
      <x:c r="F74" s="27" t="n">
        <x:v>1</x:v>
      </x:c>
      <x:c r="G74" s="29" t="str">
        <x:f>IF(E74=F74,"PASS","FAIL")</x:f>
        <x:v>PASS</x:v>
      </x:c>
    </x:row>
    <x:row r="75" ht="18" customHeight="1">
      <x:c r="B75" s="27" t="str">
        <x:v>A0069</x:v>
      </x:c>
      <x:c r="C75" s="27" t="str">
        <x:v>competition</x:v>
      </x:c>
      <x:c r="D75" s="27" t="str">
        <x:v>Air carrier node has one selected architecture</x:v>
      </x:c>
      <x:c r="E75" s="27" t="n">
        <x:f>COUNTIFS(Competition!C7:C39,"Air carrier node",Competition!M7:M39,"SELECTED")</x:f>
        <x:v>1</x:v>
      </x:c>
      <x:c r="F75" s="27" t="n">
        <x:v>1</x:v>
      </x:c>
      <x:c r="G75" s="29" t="str">
        <x:f>IF(E75=F75,"PASS","FAIL")</x:f>
        <x:v>PASS</x:v>
      </x:c>
    </x:row>
    <x:row r="76" ht="18" customHeight="1">
      <x:c r="B76" s="27" t="str">
        <x:v>A0070</x:v>
      </x:c>
      <x:c r="C76" s="27" t="str">
        <x:v>competition</x:v>
      </x:c>
      <x:c r="D76" s="27" t="str">
        <x:v>Terrain carrier node has one selected architecture</x:v>
      </x:c>
      <x:c r="E76" s="27" t="n">
        <x:f>COUNTIFS(Competition!C7:C39,"Terrain carrier node",Competition!M7:M39,"SELECTED")</x:f>
        <x:v>1</x:v>
      </x:c>
      <x:c r="F76" s="27" t="n">
        <x:v>1</x:v>
      </x:c>
      <x:c r="G76" s="29" t="str">
        <x:f>IF(E76=F76,"PASS","FAIL")</x:f>
        <x:v>PASS</x:v>
      </x:c>
    </x:row>
    <x:row r="77" ht="18" customHeight="1">
      <x:c r="B77" s="27" t="str">
        <x:v>A0071</x:v>
      </x:c>
      <x:c r="C77" s="27" t="str">
        <x:v>competition</x:v>
      </x:c>
      <x:c r="D77" s="27" t="str">
        <x:v>Civil receiver has one selected architecture</x:v>
      </x:c>
      <x:c r="E77" s="27" t="n">
        <x:f>COUNTIFS(Competition!C7:C39,"Civil receiver",Competition!M7:M39,"SELECTED")</x:f>
        <x:v>1</x:v>
      </x:c>
      <x:c r="F77" s="27" t="n">
        <x:v>1</x:v>
      </x:c>
      <x:c r="G77" s="29" t="str">
        <x:f>IF(E77=F77,"PASS","FAIL")</x:f>
        <x:v>PASS</x:v>
      </x:c>
    </x:row>
    <x:row r="78" ht="18" customHeight="1">
      <x:c r="B78" s="27" t="str">
        <x:v>A0072</x:v>
      </x:c>
      <x:c r="C78" s="27" t="str">
        <x:v>competition</x:v>
      </x:c>
      <x:c r="D78" s="27" t="str">
        <x:v>Pressure skin has one selected architecture</x:v>
      </x:c>
      <x:c r="E78" s="27" t="n">
        <x:f>COUNTIFS(Competition!C7:C39,"Pressure skin",Competition!M7:M39,"SELECTED")</x:f>
        <x:v>1</x:v>
      </x:c>
      <x:c r="F78" s="27" t="n">
        <x:v>1</x:v>
      </x:c>
      <x:c r="G78" s="29" t="str">
        <x:f>IF(E78=F78,"PASS","FAIL")</x:f>
        <x:v>PASS</x:v>
      </x:c>
    </x:row>
    <x:row r="79" ht="18" customHeight="1">
      <x:c r="B79" s="27" t="str">
        <x:v>A0073</x:v>
      </x:c>
      <x:c r="C79" s="27" t="str">
        <x:v>competition</x:v>
      </x:c>
      <x:c r="D79" s="27" t="str">
        <x:v>Passive interface has one selected architecture</x:v>
      </x:c>
      <x:c r="E79" s="27" t="n">
        <x:f>COUNTIFS(Competition!C7:C39,"Passive interface",Competition!M7:M39,"SELECTED")</x:f>
        <x:v>1</x:v>
      </x:c>
      <x:c r="F79" s="27" t="n">
        <x:v>1</x:v>
      </x:c>
      <x:c r="G79" s="29" t="str">
        <x:f>IF(E79=F79,"PASS","FAIL")</x:f>
        <x:v>PASS</x:v>
      </x:c>
    </x:row>
    <x:row r="80" ht="18" customHeight="1">
      <x:c r="B80" s="27" t="str">
        <x:v>A0074</x:v>
      </x:c>
      <x:c r="C80" s="27" t="str">
        <x:v>competition</x:v>
      </x:c>
      <x:c r="D80" s="27" t="str">
        <x:v>Independent energy has one selected architecture</x:v>
      </x:c>
      <x:c r="E80" s="27" t="n">
        <x:f>COUNTIFS(Competition!C7:C39,"Independent energy",Competition!M7:M39,"SELECTED")</x:f>
        <x:v>1</x:v>
      </x:c>
      <x:c r="F80" s="27" t="n">
        <x:v>1</x:v>
      </x:c>
      <x:c r="G80" s="29" t="str">
        <x:f>IF(E80=F80,"PASS","FAIL")</x:f>
        <x:v>PASS</x:v>
      </x:c>
    </x:row>
    <x:row r="81" ht="18" customHeight="1">
      <x:c r="B81" s="27" t="str">
        <x:v>A0075</x:v>
      </x:c>
      <x:c r="C81" s="27" t="str">
        <x:v>competition</x:v>
      </x:c>
      <x:c r="D81" s="27" t="str">
        <x:v>Denied time has one selected architecture</x:v>
      </x:c>
      <x:c r="E81" s="27" t="n">
        <x:f>COUNTIFS(Competition!C7:C39,"Denied time",Competition!M7:M39,"SELECTED")</x:f>
        <x:v>1</x:v>
      </x:c>
      <x:c r="F81" s="27" t="n">
        <x:v>1</x:v>
      </x:c>
      <x:c r="G81" s="29" t="str">
        <x:f>IF(E81=F81,"PASS","FAIL")</x:f>
        <x:v>PASS</x:v>
      </x:c>
    </x:row>
    <x:row r="82" ht="18" customHeight="1">
      <x:c r="B82" s="27" t="str">
        <x:v>A0076</x:v>
      </x:c>
      <x:c r="C82" s="27" t="str">
        <x:v>competition</x:v>
      </x:c>
      <x:c r="D82" s="27" t="str">
        <x:v>Immutable storage has one selected architecture</x:v>
      </x:c>
      <x:c r="E82" s="27" t="n">
        <x:f>COUNTIFS(Competition!C7:C39,"Immutable storage",Competition!M7:M39,"SELECTED")</x:f>
        <x:v>1</x:v>
      </x:c>
      <x:c r="F82" s="27" t="n">
        <x:v>1</x:v>
      </x:c>
      <x:c r="G82" s="29" t="str">
        <x:f>IF(E82=F82,"PASS","FAIL")</x:f>
        <x:v>PASS</x:v>
      </x:c>
    </x:row>
    <x:row r="83" ht="18" customHeight="1">
      <x:c r="B83" s="27" t="str">
        <x:v>A0077</x:v>
      </x:c>
      <x:c r="C83" s="27" t="str">
        <x:v>competition</x:v>
      </x:c>
      <x:c r="D83" s="27" t="str">
        <x:v>Mass and heat emulator has one selected architecture</x:v>
      </x:c>
      <x:c r="E83" s="27" t="n">
        <x:f>COUNTIFS(Competition!C7:C39,"Mass and heat emulator",Competition!M7:M39,"SELECTED")</x:f>
        <x:v>1</x:v>
      </x:c>
      <x:c r="F83" s="27" t="n">
        <x:v>1</x:v>
      </x:c>
      <x:c r="G83" s="29" t="str">
        <x:f>IF(E83=F83,"PASS","FAIL")</x:f>
        <x:v>PASS</x:v>
      </x:c>
    </x:row>
    <x:row r="84" ht="18" customHeight="1">
      <x:c r="B84" s="27" t="str">
        <x:v>A0078</x:v>
      </x:c>
      <x:c r="C84" s="27" t="str">
        <x:v>selection</x:v>
      </x:c>
      <x:c r="D84" s="27" t="str">
        <x:v>ATC-2 passes all hard gates</x:v>
      </x:c>
      <x:c r="E84" s="27" t="n">
        <x:f>IF('Gate Matrix'!N8="PASS",1,0)</x:f>
        <x:v>1</x:v>
      </x:c>
      <x:c r="F84" s="27" t="n">
        <x:v>1</x:v>
      </x:c>
      <x:c r="G84" s="29" t="str">
        <x:f>IF(E84=F84,"PASS","FAIL")</x:f>
        <x:v>PASS</x:v>
      </x:c>
    </x:row>
    <x:row r="85" ht="18" customHeight="1">
      <x:c r="B85" s="27" t="str">
        <x:v>A0079</x:v>
      </x:c>
      <x:c r="C85" s="27" t="str">
        <x:v>selection</x:v>
      </x:c>
      <x:c r="D85" s="27" t="str">
        <x:v>TTC-2 passes all hard gates</x:v>
      </x:c>
      <x:c r="E85" s="27" t="n">
        <x:f>IF('Gate Matrix'!N11="PASS",1,0)</x:f>
        <x:v>1</x:v>
      </x:c>
      <x:c r="F85" s="27" t="n">
        <x:v>1</x:v>
      </x:c>
      <x:c r="G85" s="29" t="str">
        <x:f>IF(E85=F85,"PASS","FAIL")</x:f>
        <x:v>PASS</x:v>
      </x:c>
    </x:row>
    <x:row r="86" ht="18" customHeight="1">
      <x:c r="B86" s="27" t="str">
        <x:v>A0080</x:v>
      </x:c>
      <x:c r="C86" s="27" t="str">
        <x:v>selection</x:v>
      </x:c>
      <x:c r="D86" s="27" t="str">
        <x:v>ACN-2 passes all hard gates</x:v>
      </x:c>
      <x:c r="E86" s="27" t="n">
        <x:f>IF('Gate Matrix'!N14="PASS",1,0)</x:f>
        <x:v>1</x:v>
      </x:c>
      <x:c r="F86" s="27" t="n">
        <x:v>1</x:v>
      </x:c>
      <x:c r="G86" s="29" t="str">
        <x:f>IF(E86=F86,"PASS","FAIL")</x:f>
        <x:v>PASS</x:v>
      </x:c>
    </x:row>
    <x:row r="87" ht="18" customHeight="1">
      <x:c r="B87" s="27" t="str">
        <x:v>A0081</x:v>
      </x:c>
      <x:c r="C87" s="27" t="str">
        <x:v>selection</x:v>
      </x:c>
      <x:c r="D87" s="27" t="str">
        <x:v>TCN-2 passes all hard gates</x:v>
      </x:c>
      <x:c r="E87" s="27" t="n">
        <x:f>IF('Gate Matrix'!N17="PASS",1,0)</x:f>
        <x:v>1</x:v>
      </x:c>
      <x:c r="F87" s="27" t="n">
        <x:v>1</x:v>
      </x:c>
      <x:c r="G87" s="29" t="str">
        <x:f>IF(E87=F87,"PASS","FAIL")</x:f>
        <x:v>PASS</x:v>
      </x:c>
    </x:row>
    <x:row r="88" ht="18" customHeight="1">
      <x:c r="B88" s="27" t="str">
        <x:v>A0082</x:v>
      </x:c>
      <x:c r="C88" s="27" t="str">
        <x:v>selection</x:v>
      </x:c>
      <x:c r="D88" s="27" t="str">
        <x:v>CRS-2 passes all hard gates</x:v>
      </x:c>
      <x:c r="E88" s="27" t="n">
        <x:f>IF('Gate Matrix'!N20="PASS",1,0)</x:f>
        <x:v>1</x:v>
      </x:c>
      <x:c r="F88" s="27" t="n">
        <x:v>1</x:v>
      </x:c>
      <x:c r="G88" s="29" t="str">
        <x:f>IF(E88=F88,"PASS","FAIL")</x:f>
        <x:v>PASS</x:v>
      </x:c>
    </x:row>
    <x:row r="89" ht="18" customHeight="1">
      <x:c r="B89" s="27" t="str">
        <x:v>A0083</x:v>
      </x:c>
      <x:c r="C89" s="27" t="str">
        <x:v>selection</x:v>
      </x:c>
      <x:c r="D89" s="27" t="str">
        <x:v>PSS-3 passes all hard gates</x:v>
      </x:c>
      <x:c r="E89" s="27" t="n">
        <x:f>IF('Gate Matrix'!N24="PASS",1,0)</x:f>
        <x:v>1</x:v>
      </x:c>
      <x:c r="F89" s="27" t="n">
        <x:v>1</x:v>
      </x:c>
      <x:c r="G89" s="29" t="str">
        <x:f>IF(E89=F89,"PASS","FAIL")</x:f>
        <x:v>PASS</x:v>
      </x:c>
    </x:row>
    <x:row r="90" ht="18" customHeight="1">
      <x:c r="B90" s="27" t="str">
        <x:v>A0084</x:v>
      </x:c>
      <x:c r="C90" s="27" t="str">
        <x:v>selection</x:v>
      </x:c>
      <x:c r="D90" s="27" t="str">
        <x:v>PIF-3 passes all hard gates</x:v>
      </x:c>
      <x:c r="E90" s="27" t="n">
        <x:f>IF('Gate Matrix'!N27="PASS",1,0)</x:f>
        <x:v>1</x:v>
      </x:c>
      <x:c r="F90" s="27" t="n">
        <x:v>1</x:v>
      </x:c>
      <x:c r="G90" s="29" t="str">
        <x:f>IF(E90=F90,"PASS","FAIL")</x:f>
        <x:v>PASS</x:v>
      </x:c>
    </x:row>
    <x:row r="91" ht="18" customHeight="1">
      <x:c r="B91" s="27" t="str">
        <x:v>A0085</x:v>
      </x:c>
      <x:c r="C91" s="27" t="str">
        <x:v>selection</x:v>
      </x:c>
      <x:c r="D91" s="27" t="str">
        <x:v>EPS-2 passes all hard gates</x:v>
      </x:c>
      <x:c r="E91" s="27" t="n">
        <x:f>IF('Gate Matrix'!N29="PASS",1,0)</x:f>
        <x:v>1</x:v>
      </x:c>
      <x:c r="F91" s="27" t="n">
        <x:v>1</x:v>
      </x:c>
      <x:c r="G91" s="29" t="str">
        <x:f>IF(E91=F91,"PASS","FAIL")</x:f>
        <x:v>PASS</x:v>
      </x:c>
    </x:row>
    <x:row r="92" ht="18" customHeight="1">
      <x:c r="B92" s="27" t="str">
        <x:v>A0086</x:v>
      </x:c>
      <x:c r="C92" s="27" t="str">
        <x:v>selection</x:v>
      </x:c>
      <x:c r="D92" s="27" t="str">
        <x:v>TKS-2 passes all hard gates</x:v>
      </x:c>
      <x:c r="E92" s="27" t="n">
        <x:f>IF('Gate Matrix'!N32="PASS",1,0)</x:f>
        <x:v>1</x:v>
      </x:c>
      <x:c r="F92" s="27" t="n">
        <x:v>1</x:v>
      </x:c>
      <x:c r="G92" s="29" t="str">
        <x:f>IF(E92=F92,"PASS","FAIL")</x:f>
        <x:v>PASS</x:v>
      </x:c>
    </x:row>
    <x:row r="93" ht="18" customHeight="1">
      <x:c r="B93" s="27" t="str">
        <x:v>A0087</x:v>
      </x:c>
      <x:c r="C93" s="27" t="str">
        <x:v>selection</x:v>
      </x:c>
      <x:c r="D93" s="27" t="str">
        <x:v>STG-2 passes all hard gates</x:v>
      </x:c>
      <x:c r="E93" s="27" t="n">
        <x:f>IF('Gate Matrix'!N35="PASS",1,0)</x:f>
        <x:v>1</x:v>
      </x:c>
      <x:c r="F93" s="27" t="n">
        <x:v>1</x:v>
      </x:c>
      <x:c r="G93" s="29" t="str">
        <x:f>IF(E93=F93,"PASS","FAIL")</x:f>
        <x:v>PASS</x:v>
      </x:c>
    </x:row>
    <x:row r="94" ht="18" customHeight="1">
      <x:c r="B94" s="27" t="str">
        <x:v>A0088</x:v>
      </x:c>
      <x:c r="C94" s="27" t="str">
        <x:v>selection</x:v>
      </x:c>
      <x:c r="D94" s="27" t="str">
        <x:v>MHE-3 passes all hard gates</x:v>
      </x:c>
      <x:c r="E94" s="27" t="n">
        <x:f>IF('Gate Matrix'!N39="PASS",1,0)</x:f>
        <x:v>1</x:v>
      </x:c>
      <x:c r="F94" s="27" t="n">
        <x:v>1</x:v>
      </x:c>
      <x:c r="G94" s="29" t="str">
        <x:f>IF(E94=F94,"PASS","FAIL")</x:f>
        <x:v>PASS</x:v>
      </x:c>
    </x:row>
    <x:row r="95" ht="18" customHeight="1">
      <x:c r="B95" s="27" t="str">
        <x:v>A0089</x:v>
      </x:c>
      <x:c r="C95" s="27" t="str">
        <x:v>selection</x:v>
      </x:c>
      <x:c r="D95" s="27" t="str">
        <x:v>ATC-1 does not outrank selected admissible design</x:v>
      </x:c>
      <x:c r="E95" s="27" t="n">
        <x:f>IF(OR(Competition!F7&lt;&gt;"ADMISSIBLE",Competition!L8&gt;=Competition!L7),1,0)</x:f>
        <x:v>1</x:v>
      </x:c>
      <x:c r="F95" s="27" t="n">
        <x:v>1</x:v>
      </x:c>
      <x:c r="G95" s="29" t="str">
        <x:f>IF(E95=F95,"PASS","FAIL")</x:f>
        <x:v>PASS</x:v>
      </x:c>
    </x:row>
    <x:row r="96" ht="18" customHeight="1">
      <x:c r="B96" s="27" t="str">
        <x:v>A0090</x:v>
      </x:c>
      <x:c r="C96" s="27" t="str">
        <x:v>selection</x:v>
      </x:c>
      <x:c r="D96" s="27" t="str">
        <x:v>ATC-2 does not outrank selected admissible design</x:v>
      </x:c>
      <x:c r="E96" s="27" t="n">
        <x:f>IF(OR(Competition!F8&lt;&gt;"ADMISSIBLE",Competition!L8&gt;=Competition!L8),1,0)</x:f>
        <x:v>1</x:v>
      </x:c>
      <x:c r="F96" s="27" t="n">
        <x:v>1</x:v>
      </x:c>
      <x:c r="G96" s="29" t="str">
        <x:f>IF(E96=F96,"PASS","FAIL")</x:f>
        <x:v>PASS</x:v>
      </x:c>
    </x:row>
    <x:row r="97" ht="18" customHeight="1">
      <x:c r="B97" s="27" t="str">
        <x:v>A0091</x:v>
      </x:c>
      <x:c r="C97" s="27" t="str">
        <x:v>selection</x:v>
      </x:c>
      <x:c r="D97" s="27" t="str">
        <x:v>ATC-3 does not outrank selected admissible design</x:v>
      </x:c>
      <x:c r="E97" s="27" t="n">
        <x:f>IF(OR(Competition!F9&lt;&gt;"ADMISSIBLE",Competition!L8&gt;=Competition!L9),1,0)</x:f>
        <x:v>1</x:v>
      </x:c>
      <x:c r="F97" s="27" t="n">
        <x:v>1</x:v>
      </x:c>
      <x:c r="G97" s="29" t="str">
        <x:f>IF(E97=F97,"PASS","FAIL")</x:f>
        <x:v>PASS</x:v>
      </x:c>
    </x:row>
    <x:row r="98" ht="18" customHeight="1">
      <x:c r="B98" s="27" t="str">
        <x:v>A0092</x:v>
      </x:c>
      <x:c r="C98" s="27" t="str">
        <x:v>selection</x:v>
      </x:c>
      <x:c r="D98" s="27" t="str">
        <x:v>TTC-1 does not outrank selected admissible design</x:v>
      </x:c>
      <x:c r="E98" s="27" t="n">
        <x:f>IF(OR(Competition!F10&lt;&gt;"ADMISSIBLE",Competition!L11&gt;=Competition!L10),1,0)</x:f>
        <x:v>1</x:v>
      </x:c>
      <x:c r="F98" s="27" t="n">
        <x:v>1</x:v>
      </x:c>
      <x:c r="G98" s="29" t="str">
        <x:f>IF(E98=F98,"PASS","FAIL")</x:f>
        <x:v>PASS</x:v>
      </x:c>
    </x:row>
    <x:row r="99" ht="18" customHeight="1">
      <x:c r="B99" s="27" t="str">
        <x:v>A0093</x:v>
      </x:c>
      <x:c r="C99" s="27" t="str">
        <x:v>selection</x:v>
      </x:c>
      <x:c r="D99" s="27" t="str">
        <x:v>TTC-2 does not outrank selected admissible design</x:v>
      </x:c>
      <x:c r="E99" s="27" t="n">
        <x:f>IF(OR(Competition!F11&lt;&gt;"ADMISSIBLE",Competition!L11&gt;=Competition!L11),1,0)</x:f>
        <x:v>1</x:v>
      </x:c>
      <x:c r="F99" s="27" t="n">
        <x:v>1</x:v>
      </x:c>
      <x:c r="G99" s="29" t="str">
        <x:f>IF(E99=F99,"PASS","FAIL")</x:f>
        <x:v>PASS</x:v>
      </x:c>
    </x:row>
    <x:row r="100" ht="18" customHeight="1">
      <x:c r="B100" s="27" t="str">
        <x:v>A0094</x:v>
      </x:c>
      <x:c r="C100" s="27" t="str">
        <x:v>selection</x:v>
      </x:c>
      <x:c r="D100" s="27" t="str">
        <x:v>TTC-3 does not outrank selected admissible design</x:v>
      </x:c>
      <x:c r="E100" s="27" t="n">
        <x:f>IF(OR(Competition!F12&lt;&gt;"ADMISSIBLE",Competition!L11&gt;=Competition!L12),1,0)</x:f>
        <x:v>1</x:v>
      </x:c>
      <x:c r="F100" s="27" t="n">
        <x:v>1</x:v>
      </x:c>
      <x:c r="G100" s="29" t="str">
        <x:f>IF(E100=F100,"PASS","FAIL")</x:f>
        <x:v>PASS</x:v>
      </x:c>
    </x:row>
    <x:row r="101" ht="18" customHeight="1">
      <x:c r="B101" s="27" t="str">
        <x:v>A0095</x:v>
      </x:c>
      <x:c r="C101" s="27" t="str">
        <x:v>selection</x:v>
      </x:c>
      <x:c r="D101" s="27" t="str">
        <x:v>ACN-1 does not outrank selected admissible design</x:v>
      </x:c>
      <x:c r="E101" s="27" t="n">
        <x:f>IF(OR(Competition!F13&lt;&gt;"ADMISSIBLE",Competition!L14&gt;=Competition!L13),1,0)</x:f>
        <x:v>1</x:v>
      </x:c>
      <x:c r="F101" s="27" t="n">
        <x:v>1</x:v>
      </x:c>
      <x:c r="G101" s="29" t="str">
        <x:f>IF(E101=F101,"PASS","FAIL")</x:f>
        <x:v>PASS</x:v>
      </x:c>
    </x:row>
    <x:row r="102" ht="18" customHeight="1">
      <x:c r="B102" s="27" t="str">
        <x:v>A0096</x:v>
      </x:c>
      <x:c r="C102" s="27" t="str">
        <x:v>selection</x:v>
      </x:c>
      <x:c r="D102" s="27" t="str">
        <x:v>ACN-2 does not outrank selected admissible design</x:v>
      </x:c>
      <x:c r="E102" s="27" t="n">
        <x:f>IF(OR(Competition!F14&lt;&gt;"ADMISSIBLE",Competition!L14&gt;=Competition!L14),1,0)</x:f>
        <x:v>1</x:v>
      </x:c>
      <x:c r="F102" s="27" t="n">
        <x:v>1</x:v>
      </x:c>
      <x:c r="G102" s="29" t="str">
        <x:f>IF(E102=F102,"PASS","FAIL")</x:f>
        <x:v>PASS</x:v>
      </x:c>
    </x:row>
    <x:row r="103" ht="18" customHeight="1">
      <x:c r="B103" s="27" t="str">
        <x:v>A0097</x:v>
      </x:c>
      <x:c r="C103" s="27" t="str">
        <x:v>selection</x:v>
      </x:c>
      <x:c r="D103" s="27" t="str">
        <x:v>ACN-3 does not outrank selected admissible design</x:v>
      </x:c>
      <x:c r="E103" s="27" t="n">
        <x:f>IF(OR(Competition!F15&lt;&gt;"ADMISSIBLE",Competition!L14&gt;=Competition!L15),1,0)</x:f>
        <x:v>1</x:v>
      </x:c>
      <x:c r="F103" s="27" t="n">
        <x:v>1</x:v>
      </x:c>
      <x:c r="G103" s="29" t="str">
        <x:f>IF(E103=F103,"PASS","FAIL")</x:f>
        <x:v>PASS</x:v>
      </x:c>
    </x:row>
    <x:row r="104" ht="18" customHeight="1">
      <x:c r="B104" s="27" t="str">
        <x:v>A0098</x:v>
      </x:c>
      <x:c r="C104" s="27" t="str">
        <x:v>selection</x:v>
      </x:c>
      <x:c r="D104" s="27" t="str">
        <x:v>TCN-1 does not outrank selected admissible design</x:v>
      </x:c>
      <x:c r="E104" s="27" t="n">
        <x:f>IF(OR(Competition!F16&lt;&gt;"ADMISSIBLE",Competition!L17&gt;=Competition!L16),1,0)</x:f>
        <x:v>1</x:v>
      </x:c>
      <x:c r="F104" s="27" t="n">
        <x:v>1</x:v>
      </x:c>
      <x:c r="G104" s="29" t="str">
        <x:f>IF(E104=F104,"PASS","FAIL")</x:f>
        <x:v>PASS</x:v>
      </x:c>
    </x:row>
    <x:row r="105" ht="18" customHeight="1">
      <x:c r="B105" s="27" t="str">
        <x:v>A0099</x:v>
      </x:c>
      <x:c r="C105" s="27" t="str">
        <x:v>selection</x:v>
      </x:c>
      <x:c r="D105" s="27" t="str">
        <x:v>TCN-2 does not outrank selected admissible design</x:v>
      </x:c>
      <x:c r="E105" s="27" t="n">
        <x:f>IF(OR(Competition!F17&lt;&gt;"ADMISSIBLE",Competition!L17&gt;=Competition!L17),1,0)</x:f>
        <x:v>1</x:v>
      </x:c>
      <x:c r="F105" s="27" t="n">
        <x:v>1</x:v>
      </x:c>
      <x:c r="G105" s="29" t="str">
        <x:f>IF(E105=F105,"PASS","FAIL")</x:f>
        <x:v>PASS</x:v>
      </x:c>
    </x:row>
    <x:row r="106" ht="18" customHeight="1">
      <x:c r="B106" s="27" t="str">
        <x:v>A0100</x:v>
      </x:c>
      <x:c r="C106" s="27" t="str">
        <x:v>selection</x:v>
      </x:c>
      <x:c r="D106" s="27" t="str">
        <x:v>TCN-3 does not outrank selected admissible design</x:v>
      </x:c>
      <x:c r="E106" s="27" t="n">
        <x:f>IF(OR(Competition!F18&lt;&gt;"ADMISSIBLE",Competition!L17&gt;=Competition!L18),1,0)</x:f>
        <x:v>1</x:v>
      </x:c>
      <x:c r="F106" s="27" t="n">
        <x:v>1</x:v>
      </x:c>
      <x:c r="G106" s="29" t="str">
        <x:f>IF(E106=F106,"PASS","FAIL")</x:f>
        <x:v>PASS</x:v>
      </x:c>
    </x:row>
    <x:row r="107" ht="18" customHeight="1">
      <x:c r="B107" s="27" t="str">
        <x:v>A0101</x:v>
      </x:c>
      <x:c r="C107" s="27" t="str">
        <x:v>selection</x:v>
      </x:c>
      <x:c r="D107" s="27" t="str">
        <x:v>CRS-1 does not outrank selected admissible design</x:v>
      </x:c>
      <x:c r="E107" s="27" t="n">
        <x:f>IF(OR(Competition!F19&lt;&gt;"ADMISSIBLE",Competition!L20&gt;=Competition!L19),1,0)</x:f>
        <x:v>1</x:v>
      </x:c>
      <x:c r="F107" s="27" t="n">
        <x:v>1</x:v>
      </x:c>
      <x:c r="G107" s="29" t="str">
        <x:f>IF(E107=F107,"PASS","FAIL")</x:f>
        <x:v>PASS</x:v>
      </x:c>
    </x:row>
    <x:row r="108" ht="18" customHeight="1">
      <x:c r="B108" s="27" t="str">
        <x:v>A0102</x:v>
      </x:c>
      <x:c r="C108" s="27" t="str">
        <x:v>selection</x:v>
      </x:c>
      <x:c r="D108" s="27" t="str">
        <x:v>CRS-2 does not outrank selected admissible design</x:v>
      </x:c>
      <x:c r="E108" s="27" t="n">
        <x:f>IF(OR(Competition!F20&lt;&gt;"ADMISSIBLE",Competition!L20&gt;=Competition!L20),1,0)</x:f>
        <x:v>1</x:v>
      </x:c>
      <x:c r="F108" s="27" t="n">
        <x:v>1</x:v>
      </x:c>
      <x:c r="G108" s="29" t="str">
        <x:f>IF(E108=F108,"PASS","FAIL")</x:f>
        <x:v>PASS</x:v>
      </x:c>
    </x:row>
    <x:row r="109" ht="18" customHeight="1">
      <x:c r="B109" s="27" t="str">
        <x:v>A0103</x:v>
      </x:c>
      <x:c r="C109" s="27" t="str">
        <x:v>selection</x:v>
      </x:c>
      <x:c r="D109" s="27" t="str">
        <x:v>CRS-3 does not outrank selected admissible design</x:v>
      </x:c>
      <x:c r="E109" s="27" t="n">
        <x:f>IF(OR(Competition!F21&lt;&gt;"ADMISSIBLE",Competition!L20&gt;=Competition!L21),1,0)</x:f>
        <x:v>1</x:v>
      </x:c>
      <x:c r="F109" s="27" t="n">
        <x:v>1</x:v>
      </x:c>
      <x:c r="G109" s="29" t="str">
        <x:f>IF(E109=F109,"PASS","FAIL")</x:f>
        <x:v>PASS</x:v>
      </x:c>
    </x:row>
    <x:row r="110" ht="18" customHeight="1">
      <x:c r="B110" s="27" t="str">
        <x:v>A0104</x:v>
      </x:c>
      <x:c r="C110" s="27" t="str">
        <x:v>selection</x:v>
      </x:c>
      <x:c r="D110" s="27" t="str">
        <x:v>PSS-1 does not outrank selected admissible design</x:v>
      </x:c>
      <x:c r="E110" s="27" t="n">
        <x:f>IF(OR(Competition!F22&lt;&gt;"ADMISSIBLE",Competition!L24&gt;=Competition!L22),1,0)</x:f>
        <x:v>1</x:v>
      </x:c>
      <x:c r="F110" s="27" t="n">
        <x:v>1</x:v>
      </x:c>
      <x:c r="G110" s="29" t="str">
        <x:f>IF(E110=F110,"PASS","FAIL")</x:f>
        <x:v>PASS</x:v>
      </x:c>
    </x:row>
    <x:row r="111" ht="18" customHeight="1">
      <x:c r="B111" s="27" t="str">
        <x:v>A0105</x:v>
      </x:c>
      <x:c r="C111" s="27" t="str">
        <x:v>selection</x:v>
      </x:c>
      <x:c r="D111" s="27" t="str">
        <x:v>PSS-2 does not outrank selected admissible design</x:v>
      </x:c>
      <x:c r="E111" s="27" t="n">
        <x:f>IF(OR(Competition!F23&lt;&gt;"ADMISSIBLE",Competition!L24&gt;=Competition!L23),1,0)</x:f>
        <x:v>1</x:v>
      </x:c>
      <x:c r="F111" s="27" t="n">
        <x:v>1</x:v>
      </x:c>
      <x:c r="G111" s="29" t="str">
        <x:f>IF(E111=F111,"PASS","FAIL")</x:f>
        <x:v>PASS</x:v>
      </x:c>
    </x:row>
    <x:row r="112" ht="18" customHeight="1">
      <x:c r="B112" s="27" t="str">
        <x:v>A0106</x:v>
      </x:c>
      <x:c r="C112" s="27" t="str">
        <x:v>selection</x:v>
      </x:c>
      <x:c r="D112" s="27" t="str">
        <x:v>PSS-3 does not outrank selected admissible design</x:v>
      </x:c>
      <x:c r="E112" s="27" t="n">
        <x:f>IF(OR(Competition!F24&lt;&gt;"ADMISSIBLE",Competition!L24&gt;=Competition!L24),1,0)</x:f>
        <x:v>1</x:v>
      </x:c>
      <x:c r="F112" s="27" t="n">
        <x:v>1</x:v>
      </x:c>
      <x:c r="G112" s="29" t="str">
        <x:f>IF(E112=F112,"PASS","FAIL")</x:f>
        <x:v>PASS</x:v>
      </x:c>
    </x:row>
    <x:row r="113" ht="18" customHeight="1">
      <x:c r="B113" s="27" t="str">
        <x:v>A0107</x:v>
      </x:c>
      <x:c r="C113" s="27" t="str">
        <x:v>selection</x:v>
      </x:c>
      <x:c r="D113" s="27" t="str">
        <x:v>PIF-1 does not outrank selected admissible design</x:v>
      </x:c>
      <x:c r="E113" s="27" t="n">
        <x:f>IF(OR(Competition!F25&lt;&gt;"ADMISSIBLE",Competition!L27&gt;=Competition!L25),1,0)</x:f>
        <x:v>1</x:v>
      </x:c>
      <x:c r="F113" s="27" t="n">
        <x:v>1</x:v>
      </x:c>
      <x:c r="G113" s="29" t="str">
        <x:f>IF(E113=F113,"PASS","FAIL")</x:f>
        <x:v>PASS</x:v>
      </x:c>
    </x:row>
    <x:row r="114" ht="18" customHeight="1">
      <x:c r="B114" s="27" t="str">
        <x:v>A0108</x:v>
      </x:c>
      <x:c r="C114" s="27" t="str">
        <x:v>selection</x:v>
      </x:c>
      <x:c r="D114" s="27" t="str">
        <x:v>PIF-2 does not outrank selected admissible design</x:v>
      </x:c>
      <x:c r="E114" s="27" t="n">
        <x:f>IF(OR(Competition!F26&lt;&gt;"ADMISSIBLE",Competition!L27&gt;=Competition!L26),1,0)</x:f>
        <x:v>1</x:v>
      </x:c>
      <x:c r="F114" s="27" t="n">
        <x:v>1</x:v>
      </x:c>
      <x:c r="G114" s="29" t="str">
        <x:f>IF(E114=F114,"PASS","FAIL")</x:f>
        <x:v>PASS</x:v>
      </x:c>
    </x:row>
    <x:row r="115" ht="18" customHeight="1">
      <x:c r="B115" s="27" t="str">
        <x:v>A0109</x:v>
      </x:c>
      <x:c r="C115" s="27" t="str">
        <x:v>selection</x:v>
      </x:c>
      <x:c r="D115" s="27" t="str">
        <x:v>PIF-3 does not outrank selected admissible design</x:v>
      </x:c>
      <x:c r="E115" s="27" t="n">
        <x:f>IF(OR(Competition!F27&lt;&gt;"ADMISSIBLE",Competition!L27&gt;=Competition!L27),1,0)</x:f>
        <x:v>1</x:v>
      </x:c>
      <x:c r="F115" s="27" t="n">
        <x:v>1</x:v>
      </x:c>
      <x:c r="G115" s="29" t="str">
        <x:f>IF(E115=F115,"PASS","FAIL")</x:f>
        <x:v>PASS</x:v>
      </x:c>
    </x:row>
    <x:row r="116" ht="18" customHeight="1">
      <x:c r="B116" s="27" t="str">
        <x:v>A0110</x:v>
      </x:c>
      <x:c r="C116" s="27" t="str">
        <x:v>selection</x:v>
      </x:c>
      <x:c r="D116" s="27" t="str">
        <x:v>EPS-1 does not outrank selected admissible design</x:v>
      </x:c>
      <x:c r="E116" s="27" t="n">
        <x:f>IF(OR(Competition!F28&lt;&gt;"ADMISSIBLE",Competition!L29&gt;=Competition!L28),1,0)</x:f>
        <x:v>1</x:v>
      </x:c>
      <x:c r="F116" s="27" t="n">
        <x:v>1</x:v>
      </x:c>
      <x:c r="G116" s="29" t="str">
        <x:f>IF(E116=F116,"PASS","FAIL")</x:f>
        <x:v>PASS</x:v>
      </x:c>
    </x:row>
    <x:row r="117" ht="18" customHeight="1">
      <x:c r="B117" s="27" t="str">
        <x:v>A0111</x:v>
      </x:c>
      <x:c r="C117" s="27" t="str">
        <x:v>selection</x:v>
      </x:c>
      <x:c r="D117" s="27" t="str">
        <x:v>EPS-2 does not outrank selected admissible design</x:v>
      </x:c>
      <x:c r="E117" s="27" t="n">
        <x:f>IF(OR(Competition!F29&lt;&gt;"ADMISSIBLE",Competition!L29&gt;=Competition!L29),1,0)</x:f>
        <x:v>1</x:v>
      </x:c>
      <x:c r="F117" s="27" t="n">
        <x:v>1</x:v>
      </x:c>
      <x:c r="G117" s="29" t="str">
        <x:f>IF(E117=F117,"PASS","FAIL")</x:f>
        <x:v>PASS</x:v>
      </x:c>
    </x:row>
    <x:row r="118" ht="18" customHeight="1">
      <x:c r="B118" s="27" t="str">
        <x:v>A0112</x:v>
      </x:c>
      <x:c r="C118" s="27" t="str">
        <x:v>selection</x:v>
      </x:c>
      <x:c r="D118" s="27" t="str">
        <x:v>EPS-3 does not outrank selected admissible design</x:v>
      </x:c>
      <x:c r="E118" s="27" t="n">
        <x:f>IF(OR(Competition!F30&lt;&gt;"ADMISSIBLE",Competition!L29&gt;=Competition!L30),1,0)</x:f>
        <x:v>1</x:v>
      </x:c>
      <x:c r="F118" s="27" t="n">
        <x:v>1</x:v>
      </x:c>
      <x:c r="G118" s="29" t="str">
        <x:f>IF(E118=F118,"PASS","FAIL")</x:f>
        <x:v>PASS</x:v>
      </x:c>
    </x:row>
    <x:row r="119" ht="18" customHeight="1">
      <x:c r="B119" s="27" t="str">
        <x:v>A0113</x:v>
      </x:c>
      <x:c r="C119" s="27" t="str">
        <x:v>selection</x:v>
      </x:c>
      <x:c r="D119" s="27" t="str">
        <x:v>TKS-1 does not outrank selected admissible design</x:v>
      </x:c>
      <x:c r="E119" s="27" t="n">
        <x:f>IF(OR(Competition!F31&lt;&gt;"ADMISSIBLE",Competition!L32&gt;=Competition!L31),1,0)</x:f>
        <x:v>1</x:v>
      </x:c>
      <x:c r="F119" s="27" t="n">
        <x:v>1</x:v>
      </x:c>
      <x:c r="G119" s="29" t="str">
        <x:f>IF(E119=F119,"PASS","FAIL")</x:f>
        <x:v>PASS</x:v>
      </x:c>
    </x:row>
    <x:row r="120" ht="18" customHeight="1">
      <x:c r="B120" s="27" t="str">
        <x:v>A0114</x:v>
      </x:c>
      <x:c r="C120" s="27" t="str">
        <x:v>selection</x:v>
      </x:c>
      <x:c r="D120" s="27" t="str">
        <x:v>TKS-2 does not outrank selected admissible design</x:v>
      </x:c>
      <x:c r="E120" s="27" t="n">
        <x:f>IF(OR(Competition!F32&lt;&gt;"ADMISSIBLE",Competition!L32&gt;=Competition!L32),1,0)</x:f>
        <x:v>1</x:v>
      </x:c>
      <x:c r="F120" s="27" t="n">
        <x:v>1</x:v>
      </x:c>
      <x:c r="G120" s="29" t="str">
        <x:f>IF(E120=F120,"PASS","FAIL")</x:f>
        <x:v>PASS</x:v>
      </x:c>
    </x:row>
    <x:row r="121" ht="18" customHeight="1">
      <x:c r="B121" s="27" t="str">
        <x:v>A0115</x:v>
      </x:c>
      <x:c r="C121" s="27" t="str">
        <x:v>selection</x:v>
      </x:c>
      <x:c r="D121" s="27" t="str">
        <x:v>TKS-3 does not outrank selected admissible design</x:v>
      </x:c>
      <x:c r="E121" s="27" t="n">
        <x:f>IF(OR(Competition!F33&lt;&gt;"ADMISSIBLE",Competition!L32&gt;=Competition!L33),1,0)</x:f>
        <x:v>1</x:v>
      </x:c>
      <x:c r="F121" s="27" t="n">
        <x:v>1</x:v>
      </x:c>
      <x:c r="G121" s="29" t="str">
        <x:f>IF(E121=F121,"PASS","FAIL")</x:f>
        <x:v>PASS</x:v>
      </x:c>
    </x:row>
    <x:row r="122" ht="18" customHeight="1">
      <x:c r="B122" s="27" t="str">
        <x:v>A0116</x:v>
      </x:c>
      <x:c r="C122" s="27" t="str">
        <x:v>selection</x:v>
      </x:c>
      <x:c r="D122" s="27" t="str">
        <x:v>STG-1 does not outrank selected admissible design</x:v>
      </x:c>
      <x:c r="E122" s="27" t="n">
        <x:f>IF(OR(Competition!F34&lt;&gt;"ADMISSIBLE",Competition!L35&gt;=Competition!L34),1,0)</x:f>
        <x:v>1</x:v>
      </x:c>
      <x:c r="F122" s="27" t="n">
        <x:v>1</x:v>
      </x:c>
      <x:c r="G122" s="29" t="str">
        <x:f>IF(E122=F122,"PASS","FAIL")</x:f>
        <x:v>PASS</x:v>
      </x:c>
    </x:row>
    <x:row r="123" ht="18" customHeight="1">
      <x:c r="B123" s="27" t="str">
        <x:v>A0117</x:v>
      </x:c>
      <x:c r="C123" s="27" t="str">
        <x:v>selection</x:v>
      </x:c>
      <x:c r="D123" s="27" t="str">
        <x:v>STG-2 does not outrank selected admissible design</x:v>
      </x:c>
      <x:c r="E123" s="27" t="n">
        <x:f>IF(OR(Competition!F35&lt;&gt;"ADMISSIBLE",Competition!L35&gt;=Competition!L35),1,0)</x:f>
        <x:v>1</x:v>
      </x:c>
      <x:c r="F123" s="27" t="n">
        <x:v>1</x:v>
      </x:c>
      <x:c r="G123" s="29" t="str">
        <x:f>IF(E123=F123,"PASS","FAIL")</x:f>
        <x:v>PASS</x:v>
      </x:c>
    </x:row>
    <x:row r="124" ht="18" customHeight="1">
      <x:c r="B124" s="27" t="str">
        <x:v>A0118</x:v>
      </x:c>
      <x:c r="C124" s="27" t="str">
        <x:v>selection</x:v>
      </x:c>
      <x:c r="D124" s="27" t="str">
        <x:v>STG-3 does not outrank selected admissible design</x:v>
      </x:c>
      <x:c r="E124" s="27" t="n">
        <x:f>IF(OR(Competition!F36&lt;&gt;"ADMISSIBLE",Competition!L35&gt;=Competition!L36),1,0)</x:f>
        <x:v>1</x:v>
      </x:c>
      <x:c r="F124" s="27" t="n">
        <x:v>1</x:v>
      </x:c>
      <x:c r="G124" s="29" t="str">
        <x:f>IF(E124=F124,"PASS","FAIL")</x:f>
        <x:v>PASS</x:v>
      </x:c>
    </x:row>
    <x:row r="125" ht="18" customHeight="1">
      <x:c r="B125" s="27" t="str">
        <x:v>A0119</x:v>
      </x:c>
      <x:c r="C125" s="27" t="str">
        <x:v>selection</x:v>
      </x:c>
      <x:c r="D125" s="27" t="str">
        <x:v>MHE-1 does not outrank selected admissible design</x:v>
      </x:c>
      <x:c r="E125" s="27" t="n">
        <x:f>IF(OR(Competition!F37&lt;&gt;"ADMISSIBLE",Competition!L39&gt;=Competition!L37),1,0)</x:f>
        <x:v>1</x:v>
      </x:c>
      <x:c r="F125" s="27" t="n">
        <x:v>1</x:v>
      </x:c>
      <x:c r="G125" s="29" t="str">
        <x:f>IF(E125=F125,"PASS","FAIL")</x:f>
        <x:v>PASS</x:v>
      </x:c>
    </x:row>
    <x:row r="126" ht="18" customHeight="1">
      <x:c r="B126" s="27" t="str">
        <x:v>A0120</x:v>
      </x:c>
      <x:c r="C126" s="27" t="str">
        <x:v>selection</x:v>
      </x:c>
      <x:c r="D126" s="27" t="str">
        <x:v>MHE-2 does not outrank selected admissible design</x:v>
      </x:c>
      <x:c r="E126" s="27" t="n">
        <x:f>IF(OR(Competition!F38&lt;&gt;"ADMISSIBLE",Competition!L39&gt;=Competition!L38),1,0)</x:f>
        <x:v>1</x:v>
      </x:c>
      <x:c r="F126" s="27" t="n">
        <x:v>1</x:v>
      </x:c>
      <x:c r="G126" s="29" t="str">
        <x:f>IF(E126=F126,"PASS","FAIL")</x:f>
        <x:v>PASS</x:v>
      </x:c>
    </x:row>
    <x:row r="127" ht="18" customHeight="1">
      <x:c r="B127" s="27" t="str">
        <x:v>A0121</x:v>
      </x:c>
      <x:c r="C127" s="27" t="str">
        <x:v>selection</x:v>
      </x:c>
      <x:c r="D127" s="27" t="str">
        <x:v>MHE-3 does not outrank selected admissible design</x:v>
      </x:c>
      <x:c r="E127" s="27" t="n">
        <x:f>IF(OR(Competition!F39&lt;&gt;"ADMISSIBLE",Competition!L39&gt;=Competition!L39),1,0)</x:f>
        <x:v>1</x:v>
      </x:c>
      <x:c r="F127" s="27" t="n">
        <x:v>1</x:v>
      </x:c>
      <x:c r="G127" s="29" t="str">
        <x:f>IF(E127=F127,"PASS","FAIL")</x:f>
        <x:v>PASS</x:v>
      </x:c>
    </x:row>
    <x:row r="128" ht="18" customHeight="1">
      <x:c r="B128" s="27" t="str">
        <x:v>A0122</x:v>
      </x:c>
      <x:c r="C128" s="27" t="str">
        <x:v>serial</x:v>
      </x:c>
      <x:c r="D128" s="27" t="str">
        <x:v>ATC-A01 positive burden</x:v>
      </x:c>
      <x:c r="E128" s="27" t="n">
        <x:f>IF(AND('Serial Baseline'!E7&gt;0,'Serial Baseline'!F7&gt;0),1,0)</x:f>
        <x:v>1</x:v>
      </x:c>
      <x:c r="F128" s="27" t="n">
        <x:v>1</x:v>
      </x:c>
      <x:c r="G128" s="29" t="str">
        <x:f>IF(E128=F128,"PASS","FAIL")</x:f>
        <x:v>PASS</x:v>
      </x:c>
    </x:row>
    <x:row r="129" ht="18" customHeight="1">
      <x:c r="B129" s="27" t="str">
        <x:v>A0123</x:v>
      </x:c>
      <x:c r="C129" s="27" t="str">
        <x:v>serial</x:v>
      </x:c>
      <x:c r="D129" s="27" t="str">
        <x:v>ATC-A01 frozen state</x:v>
      </x:c>
      <x:c r="E129" s="27" t="n">
        <x:f>IF('Serial Baseline'!M7="PROTOTYPE BASELINE",1,0)</x:f>
        <x:v>1</x:v>
      </x:c>
      <x:c r="F129" s="27" t="n">
        <x:v>1</x:v>
      </x:c>
      <x:c r="G129" s="29" t="str">
        <x:f>IF(E129=F129,"PASS","FAIL")</x:f>
        <x:v>PASS</x:v>
      </x:c>
    </x:row>
    <x:row r="130" ht="18" customHeight="1">
      <x:c r="B130" s="27" t="str">
        <x:v>A0124</x:v>
      </x:c>
      <x:c r="C130" s="27" t="str">
        <x:v>serial</x:v>
      </x:c>
      <x:c r="D130" s="27" t="str">
        <x:v>ATC-A01 evidence open</x:v>
      </x:c>
      <x:c r="E130" s="27" t="n">
        <x:f>IF('Serial Baseline'!N7="OPEN",1,0)</x:f>
        <x:v>1</x:v>
      </x:c>
      <x:c r="F130" s="27" t="n">
        <x:v>1</x:v>
      </x:c>
      <x:c r="G130" s="29" t="str">
        <x:f>IF(E130=F130,"PASS","FAIL")</x:f>
        <x:v>PASS</x:v>
      </x:c>
    </x:row>
    <x:row r="131" ht="18" customHeight="1">
      <x:c r="B131" s="27" t="str">
        <x:v>A0125</x:v>
      </x:c>
      <x:c r="C131" s="27" t="str">
        <x:v>serial</x:v>
      </x:c>
      <x:c r="D131" s="27" t="str">
        <x:v>ATC-A01 uses selected architecture</x:v>
      </x:c>
      <x:c r="E131" s="27" t="n">
        <x:f>IF(Competition!M8="SELECTED",1,0)</x:f>
        <x:v>1</x:v>
      </x:c>
      <x:c r="F131" s="27" t="n">
        <x:v>1</x:v>
      </x:c>
      <x:c r="G131" s="29" t="str">
        <x:f>IF(E131=F131,"PASS","FAIL")</x:f>
        <x:v>PASS</x:v>
      </x:c>
    </x:row>
    <x:row r="132" ht="18" customHeight="1">
      <x:c r="B132" s="27" t="str">
        <x:v>A0126</x:v>
      </x:c>
      <x:c r="C132" s="27" t="str">
        <x:v>serial</x:v>
      </x:c>
      <x:c r="D132" s="27" t="str">
        <x:v>TTC-T01 positive burden</x:v>
      </x:c>
      <x:c r="E132" s="27" t="n">
        <x:f>IF(AND('Serial Baseline'!E8&gt;0,'Serial Baseline'!F8&gt;0),1,0)</x:f>
        <x:v>1</x:v>
      </x:c>
      <x:c r="F132" s="27" t="n">
        <x:v>1</x:v>
      </x:c>
      <x:c r="G132" s="29" t="str">
        <x:f>IF(E132=F132,"PASS","FAIL")</x:f>
        <x:v>PASS</x:v>
      </x:c>
    </x:row>
    <x:row r="133" ht="18" customHeight="1">
      <x:c r="B133" s="27" t="str">
        <x:v>A0127</x:v>
      </x:c>
      <x:c r="C133" s="27" t="str">
        <x:v>serial</x:v>
      </x:c>
      <x:c r="D133" s="27" t="str">
        <x:v>TTC-T01 frozen state</x:v>
      </x:c>
      <x:c r="E133" s="27" t="n">
        <x:f>IF('Serial Baseline'!M8="PROTOTYPE BASELINE",1,0)</x:f>
        <x:v>1</x:v>
      </x:c>
      <x:c r="F133" s="27" t="n">
        <x:v>1</x:v>
      </x:c>
      <x:c r="G133" s="29" t="str">
        <x:f>IF(E133=F133,"PASS","FAIL")</x:f>
        <x:v>PASS</x:v>
      </x:c>
    </x:row>
    <x:row r="134" ht="18" customHeight="1">
      <x:c r="B134" s="27" t="str">
        <x:v>A0128</x:v>
      </x:c>
      <x:c r="C134" s="27" t="str">
        <x:v>serial</x:v>
      </x:c>
      <x:c r="D134" s="27" t="str">
        <x:v>TTC-T01 evidence open</x:v>
      </x:c>
      <x:c r="E134" s="27" t="n">
        <x:f>IF('Serial Baseline'!N8="OPEN",1,0)</x:f>
        <x:v>1</x:v>
      </x:c>
      <x:c r="F134" s="27" t="n">
        <x:v>1</x:v>
      </x:c>
      <x:c r="G134" s="29" t="str">
        <x:f>IF(E134=F134,"PASS","FAIL")</x:f>
        <x:v>PASS</x:v>
      </x:c>
    </x:row>
    <x:row r="135" ht="18" customHeight="1">
      <x:c r="B135" s="27" t="str">
        <x:v>A0129</x:v>
      </x:c>
      <x:c r="C135" s="27" t="str">
        <x:v>serial</x:v>
      </x:c>
      <x:c r="D135" s="27" t="str">
        <x:v>TTC-T01 uses selected architecture</x:v>
      </x:c>
      <x:c r="E135" s="27" t="n">
        <x:f>IF(Competition!M11="SELECTED",1,0)</x:f>
        <x:v>1</x:v>
      </x:c>
      <x:c r="F135" s="27" t="n">
        <x:v>1</x:v>
      </x:c>
      <x:c r="G135" s="29" t="str">
        <x:f>IF(E135=F135,"PASS","FAIL")</x:f>
        <x:v>PASS</x:v>
      </x:c>
    </x:row>
    <x:row r="136" ht="18" customHeight="1">
      <x:c r="B136" s="27" t="str">
        <x:v>A0130</x:v>
      </x:c>
      <x:c r="C136" s="27" t="str">
        <x:v>serial</x:v>
      </x:c>
      <x:c r="D136" s="27" t="str">
        <x:v>ACN-A01 positive burden</x:v>
      </x:c>
      <x:c r="E136" s="27" t="n">
        <x:f>IF(AND('Serial Baseline'!E9&gt;0,'Serial Baseline'!F9&gt;0),1,0)</x:f>
        <x:v>1</x:v>
      </x:c>
      <x:c r="F136" s="27" t="n">
        <x:v>1</x:v>
      </x:c>
      <x:c r="G136" s="29" t="str">
        <x:f>IF(E136=F136,"PASS","FAIL")</x:f>
        <x:v>PASS</x:v>
      </x:c>
    </x:row>
    <x:row r="137" ht="18" customHeight="1">
      <x:c r="B137" s="27" t="str">
        <x:v>A0131</x:v>
      </x:c>
      <x:c r="C137" s="27" t="str">
        <x:v>serial</x:v>
      </x:c>
      <x:c r="D137" s="27" t="str">
        <x:v>ACN-A01 frozen state</x:v>
      </x:c>
      <x:c r="E137" s="27" t="n">
        <x:f>IF('Serial Baseline'!M9="PROTOTYPE BASELINE",1,0)</x:f>
        <x:v>1</x:v>
      </x:c>
      <x:c r="F137" s="27" t="n">
        <x:v>1</x:v>
      </x:c>
      <x:c r="G137" s="29" t="str">
        <x:f>IF(E137=F137,"PASS","FAIL")</x:f>
        <x:v>PASS</x:v>
      </x:c>
    </x:row>
    <x:row r="138" ht="18" customHeight="1">
      <x:c r="B138" s="27" t="str">
        <x:v>A0132</x:v>
      </x:c>
      <x:c r="C138" s="27" t="str">
        <x:v>serial</x:v>
      </x:c>
      <x:c r="D138" s="27" t="str">
        <x:v>ACN-A01 evidence open</x:v>
      </x:c>
      <x:c r="E138" s="27" t="n">
        <x:f>IF('Serial Baseline'!N9="OPEN",1,0)</x:f>
        <x:v>1</x:v>
      </x:c>
      <x:c r="F138" s="27" t="n">
        <x:v>1</x:v>
      </x:c>
      <x:c r="G138" s="29" t="str">
        <x:f>IF(E138=F138,"PASS","FAIL")</x:f>
        <x:v>PASS</x:v>
      </x:c>
    </x:row>
    <x:row r="139" ht="18" customHeight="1">
      <x:c r="B139" s="27" t="str">
        <x:v>A0133</x:v>
      </x:c>
      <x:c r="C139" s="27" t="str">
        <x:v>serial</x:v>
      </x:c>
      <x:c r="D139" s="27" t="str">
        <x:v>ACN-A01 uses selected architecture</x:v>
      </x:c>
      <x:c r="E139" s="27" t="n">
        <x:f>IF(Competition!M14="SELECTED",1,0)</x:f>
        <x:v>1</x:v>
      </x:c>
      <x:c r="F139" s="27" t="n">
        <x:v>1</x:v>
      </x:c>
      <x:c r="G139" s="29" t="str">
        <x:f>IF(E139=F139,"PASS","FAIL")</x:f>
        <x:v>PASS</x:v>
      </x:c>
    </x:row>
    <x:row r="140" ht="18" customHeight="1">
      <x:c r="B140" s="27" t="str">
        <x:v>A0134</x:v>
      </x:c>
      <x:c r="C140" s="27" t="str">
        <x:v>serial</x:v>
      </x:c>
      <x:c r="D140" s="27" t="str">
        <x:v>TCN-T01 positive burden</x:v>
      </x:c>
      <x:c r="E140" s="27" t="n">
        <x:f>IF(AND('Serial Baseline'!E10&gt;0,'Serial Baseline'!F10&gt;0),1,0)</x:f>
        <x:v>1</x:v>
      </x:c>
      <x:c r="F140" s="27" t="n">
        <x:v>1</x:v>
      </x:c>
      <x:c r="G140" s="29" t="str">
        <x:f>IF(E140=F140,"PASS","FAIL")</x:f>
        <x:v>PASS</x:v>
      </x:c>
    </x:row>
    <x:row r="141" ht="18" customHeight="1">
      <x:c r="B141" s="27" t="str">
        <x:v>A0135</x:v>
      </x:c>
      <x:c r="C141" s="27" t="str">
        <x:v>serial</x:v>
      </x:c>
      <x:c r="D141" s="27" t="str">
        <x:v>TCN-T01 frozen state</x:v>
      </x:c>
      <x:c r="E141" s="27" t="n">
        <x:f>IF('Serial Baseline'!M10="PROTOTYPE BASELINE",1,0)</x:f>
        <x:v>1</x:v>
      </x:c>
      <x:c r="F141" s="27" t="n">
        <x:v>1</x:v>
      </x:c>
      <x:c r="G141" s="29" t="str">
        <x:f>IF(E141=F141,"PASS","FAIL")</x:f>
        <x:v>PASS</x:v>
      </x:c>
    </x:row>
    <x:row r="142" ht="18" customHeight="1">
      <x:c r="B142" s="27" t="str">
        <x:v>A0136</x:v>
      </x:c>
      <x:c r="C142" s="27" t="str">
        <x:v>serial</x:v>
      </x:c>
      <x:c r="D142" s="27" t="str">
        <x:v>TCN-T01 evidence open</x:v>
      </x:c>
      <x:c r="E142" s="27" t="n">
        <x:f>IF('Serial Baseline'!N10="OPEN",1,0)</x:f>
        <x:v>1</x:v>
      </x:c>
      <x:c r="F142" s="27" t="n">
        <x:v>1</x:v>
      </x:c>
      <x:c r="G142" s="29" t="str">
        <x:f>IF(E142=F142,"PASS","FAIL")</x:f>
        <x:v>PASS</x:v>
      </x:c>
    </x:row>
    <x:row r="143" ht="18" customHeight="1">
      <x:c r="B143" s="27" t="str">
        <x:v>A0137</x:v>
      </x:c>
      <x:c r="C143" s="27" t="str">
        <x:v>serial</x:v>
      </x:c>
      <x:c r="D143" s="27" t="str">
        <x:v>TCN-T01 uses selected architecture</x:v>
      </x:c>
      <x:c r="E143" s="27" t="n">
        <x:f>IF(Competition!M17="SELECTED",1,0)</x:f>
        <x:v>1</x:v>
      </x:c>
      <x:c r="F143" s="27" t="n">
        <x:v>1</x:v>
      </x:c>
      <x:c r="G143" s="29" t="str">
        <x:f>IF(E143=F143,"PASS","FAIL")</x:f>
        <x:v>PASS</x:v>
      </x:c>
    </x:row>
    <x:row r="144" ht="18" customHeight="1">
      <x:c r="B144" s="27" t="str">
        <x:v>A0138</x:v>
      </x:c>
      <x:c r="C144" s="27" t="str">
        <x:v>serial</x:v>
      </x:c>
      <x:c r="D144" s="27" t="str">
        <x:v>CRS-R01 positive burden</x:v>
      </x:c>
      <x:c r="E144" s="27" t="n">
        <x:f>IF(AND('Serial Baseline'!E11&gt;0,'Serial Baseline'!F11&gt;0),1,0)</x:f>
        <x:v>1</x:v>
      </x:c>
      <x:c r="F144" s="27" t="n">
        <x:v>1</x:v>
      </x:c>
      <x:c r="G144" s="29" t="str">
        <x:f>IF(E144=F144,"PASS","FAIL")</x:f>
        <x:v>PASS</x:v>
      </x:c>
    </x:row>
    <x:row r="145" ht="18" customHeight="1">
      <x:c r="B145" s="27" t="str">
        <x:v>A0139</x:v>
      </x:c>
      <x:c r="C145" s="27" t="str">
        <x:v>serial</x:v>
      </x:c>
      <x:c r="D145" s="27" t="str">
        <x:v>CRS-R01 frozen state</x:v>
      </x:c>
      <x:c r="E145" s="27" t="n">
        <x:f>IF('Serial Baseline'!M11="PROTOTYPE BASELINE",1,0)</x:f>
        <x:v>1</x:v>
      </x:c>
      <x:c r="F145" s="27" t="n">
        <x:v>1</x:v>
      </x:c>
      <x:c r="G145" s="29" t="str">
        <x:f>IF(E145=F145,"PASS","FAIL")</x:f>
        <x:v>PASS</x:v>
      </x:c>
    </x:row>
    <x:row r="146" ht="18" customHeight="1">
      <x:c r="B146" s="27" t="str">
        <x:v>A0140</x:v>
      </x:c>
      <x:c r="C146" s="27" t="str">
        <x:v>serial</x:v>
      </x:c>
      <x:c r="D146" s="27" t="str">
        <x:v>CRS-R01 evidence open</x:v>
      </x:c>
      <x:c r="E146" s="27" t="n">
        <x:f>IF('Serial Baseline'!N11="OPEN",1,0)</x:f>
        <x:v>1</x:v>
      </x:c>
      <x:c r="F146" s="27" t="n">
        <x:v>1</x:v>
      </x:c>
      <x:c r="G146" s="29" t="str">
        <x:f>IF(E146=F146,"PASS","FAIL")</x:f>
        <x:v>PASS</x:v>
      </x:c>
    </x:row>
    <x:row r="147" ht="18" customHeight="1">
      <x:c r="B147" s="27" t="str">
        <x:v>A0141</x:v>
      </x:c>
      <x:c r="C147" s="27" t="str">
        <x:v>serial</x:v>
      </x:c>
      <x:c r="D147" s="27" t="str">
        <x:v>CRS-R01 uses selected architecture</x:v>
      </x:c>
      <x:c r="E147" s="27" t="n">
        <x:f>IF(Competition!M20="SELECTED",1,0)</x:f>
        <x:v>1</x:v>
      </x:c>
      <x:c r="F147" s="27" t="n">
        <x:v>1</x:v>
      </x:c>
      <x:c r="G147" s="29" t="str">
        <x:f>IF(E147=F147,"PASS","FAIL")</x:f>
        <x:v>PASS</x:v>
      </x:c>
    </x:row>
    <x:row r="148" ht="18" customHeight="1">
      <x:c r="B148" s="27" t="str">
        <x:v>A0142</x:v>
      </x:c>
      <x:c r="C148" s="27" t="str">
        <x:v>serial</x:v>
      </x:c>
      <x:c r="D148" s="27" t="str">
        <x:v>PSS-T01 positive burden</x:v>
      </x:c>
      <x:c r="E148" s="27" t="n">
        <x:f>IF(AND('Serial Baseline'!E12&gt;0,'Serial Baseline'!F12&gt;0),1,0)</x:f>
        <x:v>1</x:v>
      </x:c>
      <x:c r="F148" s="27" t="n">
        <x:v>1</x:v>
      </x:c>
      <x:c r="G148" s="29" t="str">
        <x:f>IF(E148=F148,"PASS","FAIL")</x:f>
        <x:v>PASS</x:v>
      </x:c>
    </x:row>
    <x:row r="149" ht="18" customHeight="1">
      <x:c r="B149" s="27" t="str">
        <x:v>A0143</x:v>
      </x:c>
      <x:c r="C149" s="27" t="str">
        <x:v>serial</x:v>
      </x:c>
      <x:c r="D149" s="27" t="str">
        <x:v>PSS-T01 frozen state</x:v>
      </x:c>
      <x:c r="E149" s="27" t="n">
        <x:f>IF('Serial Baseline'!M12="PROTOTYPE BASELINE",1,0)</x:f>
        <x:v>1</x:v>
      </x:c>
      <x:c r="F149" s="27" t="n">
        <x:v>1</x:v>
      </x:c>
      <x:c r="G149" s="29" t="str">
        <x:f>IF(E149=F149,"PASS","FAIL")</x:f>
        <x:v>PASS</x:v>
      </x:c>
    </x:row>
    <x:row r="150" ht="18" customHeight="1">
      <x:c r="B150" s="27" t="str">
        <x:v>A0144</x:v>
      </x:c>
      <x:c r="C150" s="27" t="str">
        <x:v>serial</x:v>
      </x:c>
      <x:c r="D150" s="27" t="str">
        <x:v>PSS-T01 evidence open</x:v>
      </x:c>
      <x:c r="E150" s="27" t="n">
        <x:f>IF('Serial Baseline'!N12="OPEN",1,0)</x:f>
        <x:v>1</x:v>
      </x:c>
      <x:c r="F150" s="27" t="n">
        <x:v>1</x:v>
      </x:c>
      <x:c r="G150" s="29" t="str">
        <x:f>IF(E150=F150,"PASS","FAIL")</x:f>
        <x:v>PASS</x:v>
      </x:c>
    </x:row>
    <x:row r="151" ht="18" customHeight="1">
      <x:c r="B151" s="27" t="str">
        <x:v>A0145</x:v>
      </x:c>
      <x:c r="C151" s="27" t="str">
        <x:v>serial</x:v>
      </x:c>
      <x:c r="D151" s="27" t="str">
        <x:v>PSS-T01 uses selected architecture</x:v>
      </x:c>
      <x:c r="E151" s="27" t="n">
        <x:f>IF(Competition!M24="SELECTED",1,0)</x:f>
        <x:v>1</x:v>
      </x:c>
      <x:c r="F151" s="27" t="n">
        <x:v>1</x:v>
      </x:c>
      <x:c r="G151" s="29" t="str">
        <x:f>IF(E151=F151,"PASS","FAIL")</x:f>
        <x:v>PASS</x:v>
      </x:c>
    </x:row>
    <x:row r="152" ht="18" customHeight="1">
      <x:c r="B152" s="27" t="str">
        <x:v>A0146</x:v>
      </x:c>
      <x:c r="C152" s="27" t="str">
        <x:v>serial</x:v>
      </x:c>
      <x:c r="D152" s="27" t="str">
        <x:v>PIF-I01 positive burden</x:v>
      </x:c>
      <x:c r="E152" s="27" t="n">
        <x:f>IF(AND('Serial Baseline'!E13&gt;0,'Serial Baseline'!F13&gt;0),1,0)</x:f>
        <x:v>1</x:v>
      </x:c>
      <x:c r="F152" s="27" t="n">
        <x:v>1</x:v>
      </x:c>
      <x:c r="G152" s="29" t="str">
        <x:f>IF(E152=F152,"PASS","FAIL")</x:f>
        <x:v>PASS</x:v>
      </x:c>
    </x:row>
    <x:row r="153" ht="18" customHeight="1">
      <x:c r="B153" s="27" t="str">
        <x:v>A0147</x:v>
      </x:c>
      <x:c r="C153" s="27" t="str">
        <x:v>serial</x:v>
      </x:c>
      <x:c r="D153" s="27" t="str">
        <x:v>PIF-I01 frozen state</x:v>
      </x:c>
      <x:c r="E153" s="27" t="n">
        <x:f>IF('Serial Baseline'!M13="PROTOTYPE BASELINE",1,0)</x:f>
        <x:v>1</x:v>
      </x:c>
      <x:c r="F153" s="27" t="n">
        <x:v>1</x:v>
      </x:c>
      <x:c r="G153" s="29" t="str">
        <x:f>IF(E153=F153,"PASS","FAIL")</x:f>
        <x:v>PASS</x:v>
      </x:c>
    </x:row>
    <x:row r="154" ht="18" customHeight="1">
      <x:c r="B154" s="27" t="str">
        <x:v>A0148</x:v>
      </x:c>
      <x:c r="C154" s="27" t="str">
        <x:v>serial</x:v>
      </x:c>
      <x:c r="D154" s="27" t="str">
        <x:v>PIF-I01 evidence open</x:v>
      </x:c>
      <x:c r="E154" s="27" t="n">
        <x:f>IF('Serial Baseline'!N13="OPEN",1,0)</x:f>
        <x:v>1</x:v>
      </x:c>
      <x:c r="F154" s="27" t="n">
        <x:v>1</x:v>
      </x:c>
      <x:c r="G154" s="29" t="str">
        <x:f>IF(E154=F154,"PASS","FAIL")</x:f>
        <x:v>PASS</x:v>
      </x:c>
    </x:row>
    <x:row r="155" ht="18" customHeight="1">
      <x:c r="B155" s="27" t="str">
        <x:v>A0149</x:v>
      </x:c>
      <x:c r="C155" s="27" t="str">
        <x:v>serial</x:v>
      </x:c>
      <x:c r="D155" s="27" t="str">
        <x:v>PIF-I01 uses selected architecture</x:v>
      </x:c>
      <x:c r="E155" s="27" t="n">
        <x:f>IF(Competition!M27="SELECTED",1,0)</x:f>
        <x:v>1</x:v>
      </x:c>
      <x:c r="F155" s="27" t="n">
        <x:v>1</x:v>
      </x:c>
      <x:c r="G155" s="29" t="str">
        <x:f>IF(E155=F155,"PASS","FAIL")</x:f>
        <x:v>PASS</x:v>
      </x:c>
    </x:row>
    <x:row r="156" ht="18" customHeight="1">
      <x:c r="B156" s="27" t="str">
        <x:v>A0150</x:v>
      </x:c>
      <x:c r="C156" s="27" t="str">
        <x:v>serial</x:v>
      </x:c>
      <x:c r="D156" s="27" t="str">
        <x:v>EPS-P01 positive burden</x:v>
      </x:c>
      <x:c r="E156" s="27" t="n">
        <x:f>IF(AND('Serial Baseline'!E14&gt;0,'Serial Baseline'!F14&gt;0),1,0)</x:f>
        <x:v>1</x:v>
      </x:c>
      <x:c r="F156" s="27" t="n">
        <x:v>1</x:v>
      </x:c>
      <x:c r="G156" s="29" t="str">
        <x:f>IF(E156=F156,"PASS","FAIL")</x:f>
        <x:v>PASS</x:v>
      </x:c>
    </x:row>
    <x:row r="157" ht="18" customHeight="1">
      <x:c r="B157" s="27" t="str">
        <x:v>A0151</x:v>
      </x:c>
      <x:c r="C157" s="27" t="str">
        <x:v>serial</x:v>
      </x:c>
      <x:c r="D157" s="27" t="str">
        <x:v>EPS-P01 frozen state</x:v>
      </x:c>
      <x:c r="E157" s="27" t="n">
        <x:f>IF('Serial Baseline'!M14="PROTOTYPE BASELINE",1,0)</x:f>
        <x:v>1</x:v>
      </x:c>
      <x:c r="F157" s="27" t="n">
        <x:v>1</x:v>
      </x:c>
      <x:c r="G157" s="29" t="str">
        <x:f>IF(E157=F157,"PASS","FAIL")</x:f>
        <x:v>PASS</x:v>
      </x:c>
    </x:row>
    <x:row r="158" ht="18" customHeight="1">
      <x:c r="B158" s="27" t="str">
        <x:v>A0152</x:v>
      </x:c>
      <x:c r="C158" s="27" t="str">
        <x:v>serial</x:v>
      </x:c>
      <x:c r="D158" s="27" t="str">
        <x:v>EPS-P01 evidence open</x:v>
      </x:c>
      <x:c r="E158" s="27" t="n">
        <x:f>IF('Serial Baseline'!N14="OPEN",1,0)</x:f>
        <x:v>1</x:v>
      </x:c>
      <x:c r="F158" s="27" t="n">
        <x:v>1</x:v>
      </x:c>
      <x:c r="G158" s="29" t="str">
        <x:f>IF(E158=F158,"PASS","FAIL")</x:f>
        <x:v>PASS</x:v>
      </x:c>
    </x:row>
    <x:row r="159" ht="18" customHeight="1">
      <x:c r="B159" s="27" t="str">
        <x:v>A0153</x:v>
      </x:c>
      <x:c r="C159" s="27" t="str">
        <x:v>serial</x:v>
      </x:c>
      <x:c r="D159" s="27" t="str">
        <x:v>EPS-P01 uses selected architecture</x:v>
      </x:c>
      <x:c r="E159" s="27" t="n">
        <x:f>IF(Competition!M29="SELECTED",1,0)</x:f>
        <x:v>1</x:v>
      </x:c>
      <x:c r="F159" s="27" t="n">
        <x:v>1</x:v>
      </x:c>
      <x:c r="G159" s="29" t="str">
        <x:f>IF(E159=F159,"PASS","FAIL")</x:f>
        <x:v>PASS</x:v>
      </x:c>
    </x:row>
    <x:row r="160" ht="18" customHeight="1">
      <x:c r="B160" s="27" t="str">
        <x:v>A0154</x:v>
      </x:c>
      <x:c r="C160" s="27" t="str">
        <x:v>serial</x:v>
      </x:c>
      <x:c r="D160" s="27" t="str">
        <x:v>TKS-C01 positive burden</x:v>
      </x:c>
      <x:c r="E160" s="27" t="n">
        <x:f>IF(AND('Serial Baseline'!E15&gt;0,'Serial Baseline'!F15&gt;0),1,0)</x:f>
        <x:v>1</x:v>
      </x:c>
      <x:c r="F160" s="27" t="n">
        <x:v>1</x:v>
      </x:c>
      <x:c r="G160" s="29" t="str">
        <x:f>IF(E160=F160,"PASS","FAIL")</x:f>
        <x:v>PASS</x:v>
      </x:c>
    </x:row>
    <x:row r="161" ht="18" customHeight="1">
      <x:c r="B161" s="27" t="str">
        <x:v>A0155</x:v>
      </x:c>
      <x:c r="C161" s="27" t="str">
        <x:v>serial</x:v>
      </x:c>
      <x:c r="D161" s="27" t="str">
        <x:v>TKS-C01 frozen state</x:v>
      </x:c>
      <x:c r="E161" s="27" t="n">
        <x:f>IF('Serial Baseline'!M15="PROTOTYPE BASELINE",1,0)</x:f>
        <x:v>1</x:v>
      </x:c>
      <x:c r="F161" s="27" t="n">
        <x:v>1</x:v>
      </x:c>
      <x:c r="G161" s="29" t="str">
        <x:f>IF(E161=F161,"PASS","FAIL")</x:f>
        <x:v>PASS</x:v>
      </x:c>
    </x:row>
    <x:row r="162" ht="18" customHeight="1">
      <x:c r="B162" s="27" t="str">
        <x:v>A0156</x:v>
      </x:c>
      <x:c r="C162" s="27" t="str">
        <x:v>serial</x:v>
      </x:c>
      <x:c r="D162" s="27" t="str">
        <x:v>TKS-C01 evidence open</x:v>
      </x:c>
      <x:c r="E162" s="27" t="n">
        <x:f>IF('Serial Baseline'!N15="OPEN",1,0)</x:f>
        <x:v>1</x:v>
      </x:c>
      <x:c r="F162" s="27" t="n">
        <x:v>1</x:v>
      </x:c>
      <x:c r="G162" s="29" t="str">
        <x:f>IF(E162=F162,"PASS","FAIL")</x:f>
        <x:v>PASS</x:v>
      </x:c>
    </x:row>
    <x:row r="163" ht="18" customHeight="1">
      <x:c r="B163" s="27" t="str">
        <x:v>A0157</x:v>
      </x:c>
      <x:c r="C163" s="27" t="str">
        <x:v>serial</x:v>
      </x:c>
      <x:c r="D163" s="27" t="str">
        <x:v>TKS-C01 uses selected architecture</x:v>
      </x:c>
      <x:c r="E163" s="27" t="n">
        <x:f>IF(Competition!M32="SELECTED",1,0)</x:f>
        <x:v>1</x:v>
      </x:c>
      <x:c r="F163" s="27" t="n">
        <x:v>1</x:v>
      </x:c>
      <x:c r="G163" s="29" t="str">
        <x:f>IF(E163=F163,"PASS","FAIL")</x:f>
        <x:v>PASS</x:v>
      </x:c>
    </x:row>
    <x:row r="164" ht="18" customHeight="1">
      <x:c r="B164" s="27" t="str">
        <x:v>A0158</x:v>
      </x:c>
      <x:c r="C164" s="27" t="str">
        <x:v>serial</x:v>
      </x:c>
      <x:c r="D164" s="27" t="str">
        <x:v>STG-S01 positive burden</x:v>
      </x:c>
      <x:c r="E164" s="27" t="n">
        <x:f>IF(AND('Serial Baseline'!E16&gt;0,'Serial Baseline'!F16&gt;0),1,0)</x:f>
        <x:v>1</x:v>
      </x:c>
      <x:c r="F164" s="27" t="n">
        <x:v>1</x:v>
      </x:c>
      <x:c r="G164" s="29" t="str">
        <x:f>IF(E164=F164,"PASS","FAIL")</x:f>
        <x:v>PASS</x:v>
      </x:c>
    </x:row>
    <x:row r="165" ht="18" customHeight="1">
      <x:c r="B165" s="27" t="str">
        <x:v>A0159</x:v>
      </x:c>
      <x:c r="C165" s="27" t="str">
        <x:v>serial</x:v>
      </x:c>
      <x:c r="D165" s="27" t="str">
        <x:v>STG-S01 frozen state</x:v>
      </x:c>
      <x:c r="E165" s="27" t="n">
        <x:f>IF('Serial Baseline'!M16="PROTOTYPE BASELINE",1,0)</x:f>
        <x:v>1</x:v>
      </x:c>
      <x:c r="F165" s="27" t="n">
        <x:v>1</x:v>
      </x:c>
      <x:c r="G165" s="29" t="str">
        <x:f>IF(E165=F165,"PASS","FAIL")</x:f>
        <x:v>PASS</x:v>
      </x:c>
    </x:row>
    <x:row r="166" ht="18" customHeight="1">
      <x:c r="B166" s="27" t="str">
        <x:v>A0160</x:v>
      </x:c>
      <x:c r="C166" s="27" t="str">
        <x:v>serial</x:v>
      </x:c>
      <x:c r="D166" s="27" t="str">
        <x:v>STG-S01 evidence open</x:v>
      </x:c>
      <x:c r="E166" s="27" t="n">
        <x:f>IF('Serial Baseline'!N16="OPEN",1,0)</x:f>
        <x:v>1</x:v>
      </x:c>
      <x:c r="F166" s="27" t="n">
        <x:v>1</x:v>
      </x:c>
      <x:c r="G166" s="29" t="str">
        <x:f>IF(E166=F166,"PASS","FAIL")</x:f>
        <x:v>PASS</x:v>
      </x:c>
    </x:row>
    <x:row r="167" ht="18" customHeight="1">
      <x:c r="B167" s="27" t="str">
        <x:v>A0161</x:v>
      </x:c>
      <x:c r="C167" s="27" t="str">
        <x:v>serial</x:v>
      </x:c>
      <x:c r="D167" s="27" t="str">
        <x:v>STG-S01 uses selected architecture</x:v>
      </x:c>
      <x:c r="E167" s="27" t="n">
        <x:f>IF(Competition!M35="SELECTED",1,0)</x:f>
        <x:v>1</x:v>
      </x:c>
      <x:c r="F167" s="27" t="n">
        <x:v>1</x:v>
      </x:c>
      <x:c r="G167" s="29" t="str">
        <x:f>IF(E167=F167,"PASS","FAIL")</x:f>
        <x:v>PASS</x:v>
      </x:c>
    </x:row>
    <x:row r="168" ht="18" customHeight="1">
      <x:c r="B168" s="27" t="str">
        <x:v>A0162</x:v>
      </x:c>
      <x:c r="C168" s="27" t="str">
        <x:v>serial</x:v>
      </x:c>
      <x:c r="D168" s="27" t="str">
        <x:v>MHE-E01 positive burden</x:v>
      </x:c>
      <x:c r="E168" s="27" t="n">
        <x:f>IF(AND('Serial Baseline'!E17&gt;0,'Serial Baseline'!F17&gt;0),1,0)</x:f>
        <x:v>1</x:v>
      </x:c>
      <x:c r="F168" s="27" t="n">
        <x:v>1</x:v>
      </x:c>
      <x:c r="G168" s="29" t="str">
        <x:f>IF(E168=F168,"PASS","FAIL")</x:f>
        <x:v>PASS</x:v>
      </x:c>
    </x:row>
    <x:row r="169" ht="18" customHeight="1">
      <x:c r="B169" s="27" t="str">
        <x:v>A0163</x:v>
      </x:c>
      <x:c r="C169" s="27" t="str">
        <x:v>serial</x:v>
      </x:c>
      <x:c r="D169" s="27" t="str">
        <x:v>MHE-E01 frozen state</x:v>
      </x:c>
      <x:c r="E169" s="27" t="n">
        <x:f>IF('Serial Baseline'!M17="PROTOTYPE BASELINE",1,0)</x:f>
        <x:v>1</x:v>
      </x:c>
      <x:c r="F169" s="27" t="n">
        <x:v>1</x:v>
      </x:c>
      <x:c r="G169" s="29" t="str">
        <x:f>IF(E169=F169,"PASS","FAIL")</x:f>
        <x:v>PASS</x:v>
      </x:c>
    </x:row>
    <x:row r="170" ht="18" customHeight="1">
      <x:c r="B170" s="27" t="str">
        <x:v>A0164</x:v>
      </x:c>
      <x:c r="C170" s="27" t="str">
        <x:v>serial</x:v>
      </x:c>
      <x:c r="D170" s="27" t="str">
        <x:v>MHE-E01 evidence open</x:v>
      </x:c>
      <x:c r="E170" s="27" t="n">
        <x:f>IF('Serial Baseline'!N17="OPEN",1,0)</x:f>
        <x:v>1</x:v>
      </x:c>
      <x:c r="F170" s="27" t="n">
        <x:v>1</x:v>
      </x:c>
      <x:c r="G170" s="29" t="str">
        <x:f>IF(E170=F170,"PASS","FAIL")</x:f>
        <x:v>PASS</x:v>
      </x:c>
    </x:row>
    <x:row r="171" ht="18" customHeight="1">
      <x:c r="B171" s="27" t="str">
        <x:v>A0165</x:v>
      </x:c>
      <x:c r="C171" s="27" t="str">
        <x:v>serial</x:v>
      </x:c>
      <x:c r="D171" s="27" t="str">
        <x:v>MHE-E01 uses selected architecture</x:v>
      </x:c>
      <x:c r="E171" s="27" t="n">
        <x:f>IF(Competition!M39="SELECTED",1,0)</x:f>
        <x:v>1</x:v>
      </x:c>
      <x:c r="F171" s="27" t="n">
        <x:v>1</x:v>
      </x:c>
      <x:c r="G171" s="29" t="str">
        <x:f>IF(E171=F171,"PASS","FAIL")</x:f>
        <x:v>PASS</x:v>
      </x:c>
    </x:row>
    <x:row r="172" ht="18" customHeight="1">
      <x:c r="B172" s="27" t="str">
        <x:v>A0166</x:v>
      </x:c>
      <x:c r="C172" s="27" t="str">
        <x:v>interface</x:v>
      </x:c>
      <x:c r="D172" s="27" t="str">
        <x:v>Interface row 7 G remains zero</x:v>
      </x:c>
      <x:c r="E172" s="27" t="n">
        <x:f>IF(Interfaces!G7=0,1,0)</x:f>
        <x:v>1</x:v>
      </x:c>
      <x:c r="F172" s="27" t="n">
        <x:v>1</x:v>
      </x:c>
      <x:c r="G172" s="29" t="str">
        <x:f>IF(E172=F172,"PASS","FAIL")</x:f>
        <x:v>PASS</x:v>
      </x:c>
    </x:row>
    <x:row r="173" ht="18" customHeight="1">
      <x:c r="B173" s="27" t="str">
        <x:v>A0167</x:v>
      </x:c>
      <x:c r="C173" s="27" t="str">
        <x:v>interface</x:v>
      </x:c>
      <x:c r="D173" s="27" t="str">
        <x:v>Interface row 7 H remains zero</x:v>
      </x:c>
      <x:c r="E173" s="27" t="n">
        <x:f>IF(Interfaces!H7=0,1,0)</x:f>
        <x:v>1</x:v>
      </x:c>
      <x:c r="F173" s="27" t="n">
        <x:v>1</x:v>
      </x:c>
      <x:c r="G173" s="29" t="str">
        <x:f>IF(E173=F173,"PASS","FAIL")</x:f>
        <x:v>PASS</x:v>
      </x:c>
    </x:row>
    <x:row r="174" ht="18" customHeight="1">
      <x:c r="B174" s="27" t="str">
        <x:v>A0168</x:v>
      </x:c>
      <x:c r="C174" s="27" t="str">
        <x:v>interface</x:v>
      </x:c>
      <x:c r="D174" s="27" t="str">
        <x:v>Interface row 7 I remains zero</x:v>
      </x:c>
      <x:c r="E174" s="27" t="n">
        <x:f>IF(Interfaces!I7=0,1,0)</x:f>
        <x:v>1</x:v>
      </x:c>
      <x:c r="F174" s="27" t="n">
        <x:v>1</x:v>
      </x:c>
      <x:c r="G174" s="29" t="str">
        <x:f>IF(E174=F174,"PASS","FAIL")</x:f>
        <x:v>PASS</x:v>
      </x:c>
    </x:row>
    <x:row r="175" ht="18" customHeight="1">
      <x:c r="B175" s="27" t="str">
        <x:v>A0169</x:v>
      </x:c>
      <x:c r="C175" s="27" t="str">
        <x:v>interface</x:v>
      </x:c>
      <x:c r="D175" s="27" t="str">
        <x:v>Interface row 7 J remains zero</x:v>
      </x:c>
      <x:c r="E175" s="27" t="n">
        <x:f>IF(Interfaces!J7=0,1,0)</x:f>
        <x:v>1</x:v>
      </x:c>
      <x:c r="F175" s="27" t="n">
        <x:v>1</x:v>
      </x:c>
      <x:c r="G175" s="29" t="str">
        <x:f>IF(E175=F175,"PASS","FAIL")</x:f>
        <x:v>PASS</x:v>
      </x:c>
    </x:row>
    <x:row r="176" ht="18" customHeight="1">
      <x:c r="B176" s="27" t="str">
        <x:v>A0170</x:v>
      </x:c>
      <x:c r="C176" s="27" t="str">
        <x:v>interface</x:v>
      </x:c>
      <x:c r="D176" s="27" t="str">
        <x:v>Interface row 7 remains open</x:v>
      </x:c>
      <x:c r="E176" s="27" t="n">
        <x:f>IF(Interfaces!M7="OPEN",1,0)</x:f>
        <x:v>1</x:v>
      </x:c>
      <x:c r="F176" s="27" t="n">
        <x:v>1</x:v>
      </x:c>
      <x:c r="G176" s="29" t="str">
        <x:f>IF(E176=F176,"PASS","FAIL")</x:f>
        <x:v>PASS</x:v>
      </x:c>
    </x:row>
    <x:row r="177" ht="18" customHeight="1">
      <x:c r="B177" s="27" t="str">
        <x:v>A0171</x:v>
      </x:c>
      <x:c r="C177" s="27" t="str">
        <x:v>interface</x:v>
      </x:c>
      <x:c r="D177" s="27" t="str">
        <x:v>Interface row 8 G remains zero</x:v>
      </x:c>
      <x:c r="E177" s="27" t="n">
        <x:f>IF(Interfaces!G8=0,1,0)</x:f>
        <x:v>1</x:v>
      </x:c>
      <x:c r="F177" s="27" t="n">
        <x:v>1</x:v>
      </x:c>
      <x:c r="G177" s="29" t="str">
        <x:f>IF(E177=F177,"PASS","FAIL")</x:f>
        <x:v>PASS</x:v>
      </x:c>
    </x:row>
    <x:row r="178" ht="18" customHeight="1">
      <x:c r="B178" s="27" t="str">
        <x:v>A0172</x:v>
      </x:c>
      <x:c r="C178" s="27" t="str">
        <x:v>interface</x:v>
      </x:c>
      <x:c r="D178" s="27" t="str">
        <x:v>Interface row 8 H remains zero</x:v>
      </x:c>
      <x:c r="E178" s="27" t="n">
        <x:f>IF(Interfaces!H8=0,1,0)</x:f>
        <x:v>1</x:v>
      </x:c>
      <x:c r="F178" s="27" t="n">
        <x:v>1</x:v>
      </x:c>
      <x:c r="G178" s="29" t="str">
        <x:f>IF(E178=F178,"PASS","FAIL")</x:f>
        <x:v>PASS</x:v>
      </x:c>
    </x:row>
    <x:row r="179" ht="18" customHeight="1">
      <x:c r="B179" s="27" t="str">
        <x:v>A0173</x:v>
      </x:c>
      <x:c r="C179" s="27" t="str">
        <x:v>interface</x:v>
      </x:c>
      <x:c r="D179" s="27" t="str">
        <x:v>Interface row 8 I remains zero</x:v>
      </x:c>
      <x:c r="E179" s="27" t="n">
        <x:f>IF(Interfaces!I8=0,1,0)</x:f>
        <x:v>1</x:v>
      </x:c>
      <x:c r="F179" s="27" t="n">
        <x:v>1</x:v>
      </x:c>
      <x:c r="G179" s="29" t="str">
        <x:f>IF(E179=F179,"PASS","FAIL")</x:f>
        <x:v>PASS</x:v>
      </x:c>
    </x:row>
    <x:row r="180" ht="18" customHeight="1">
      <x:c r="B180" s="27" t="str">
        <x:v>A0174</x:v>
      </x:c>
      <x:c r="C180" s="27" t="str">
        <x:v>interface</x:v>
      </x:c>
      <x:c r="D180" s="27" t="str">
        <x:v>Interface row 8 J remains zero</x:v>
      </x:c>
      <x:c r="E180" s="27" t="n">
        <x:f>IF(Interfaces!J8=0,1,0)</x:f>
        <x:v>1</x:v>
      </x:c>
      <x:c r="F180" s="27" t="n">
        <x:v>1</x:v>
      </x:c>
      <x:c r="G180" s="29" t="str">
        <x:f>IF(E180=F180,"PASS","FAIL")</x:f>
        <x:v>PASS</x:v>
      </x:c>
    </x:row>
    <x:row r="181" ht="18" customHeight="1">
      <x:c r="B181" s="27" t="str">
        <x:v>A0175</x:v>
      </x:c>
      <x:c r="C181" s="27" t="str">
        <x:v>interface</x:v>
      </x:c>
      <x:c r="D181" s="27" t="str">
        <x:v>Interface row 8 remains open</x:v>
      </x:c>
      <x:c r="E181" s="27" t="n">
        <x:f>IF(Interfaces!M8="OPEN",1,0)</x:f>
        <x:v>1</x:v>
      </x:c>
      <x:c r="F181" s="27" t="n">
        <x:v>1</x:v>
      </x:c>
      <x:c r="G181" s="29" t="str">
        <x:f>IF(E181=F181,"PASS","FAIL")</x:f>
        <x:v>PASS</x:v>
      </x:c>
    </x:row>
    <x:row r="182" ht="18" customHeight="1">
      <x:c r="B182" s="27" t="str">
        <x:v>A0176</x:v>
      </x:c>
      <x:c r="C182" s="27" t="str">
        <x:v>interface</x:v>
      </x:c>
      <x:c r="D182" s="27" t="str">
        <x:v>Interface row 9 G remains zero</x:v>
      </x:c>
      <x:c r="E182" s="27" t="n">
        <x:f>IF(Interfaces!G9=0,1,0)</x:f>
        <x:v>1</x:v>
      </x:c>
      <x:c r="F182" s="27" t="n">
        <x:v>1</x:v>
      </x:c>
      <x:c r="G182" s="29" t="str">
        <x:f>IF(E182=F182,"PASS","FAIL")</x:f>
        <x:v>PASS</x:v>
      </x:c>
    </x:row>
    <x:row r="183" ht="18" customHeight="1">
      <x:c r="B183" s="27" t="str">
        <x:v>A0177</x:v>
      </x:c>
      <x:c r="C183" s="27" t="str">
        <x:v>interface</x:v>
      </x:c>
      <x:c r="D183" s="27" t="str">
        <x:v>Interface row 9 H remains zero</x:v>
      </x:c>
      <x:c r="E183" s="27" t="n">
        <x:f>IF(Interfaces!H9=0,1,0)</x:f>
        <x:v>1</x:v>
      </x:c>
      <x:c r="F183" s="27" t="n">
        <x:v>1</x:v>
      </x:c>
      <x:c r="G183" s="29" t="str">
        <x:f>IF(E183=F183,"PASS","FAIL")</x:f>
        <x:v>PASS</x:v>
      </x:c>
    </x:row>
    <x:row r="184" ht="18" customHeight="1">
      <x:c r="B184" s="27" t="str">
        <x:v>A0178</x:v>
      </x:c>
      <x:c r="C184" s="27" t="str">
        <x:v>interface</x:v>
      </x:c>
      <x:c r="D184" s="27" t="str">
        <x:v>Interface row 9 I remains zero</x:v>
      </x:c>
      <x:c r="E184" s="27" t="n">
        <x:f>IF(Interfaces!I9=0,1,0)</x:f>
        <x:v>1</x:v>
      </x:c>
      <x:c r="F184" s="27" t="n">
        <x:v>1</x:v>
      </x:c>
      <x:c r="G184" s="29" t="str">
        <x:f>IF(E184=F184,"PASS","FAIL")</x:f>
        <x:v>PASS</x:v>
      </x:c>
    </x:row>
    <x:row r="185" ht="18" customHeight="1">
      <x:c r="B185" s="27" t="str">
        <x:v>A0179</x:v>
      </x:c>
      <x:c r="C185" s="27" t="str">
        <x:v>interface</x:v>
      </x:c>
      <x:c r="D185" s="27" t="str">
        <x:v>Interface row 9 J remains zero</x:v>
      </x:c>
      <x:c r="E185" s="27" t="n">
        <x:f>IF(Interfaces!J9=0,1,0)</x:f>
        <x:v>1</x:v>
      </x:c>
      <x:c r="F185" s="27" t="n">
        <x:v>1</x:v>
      </x:c>
      <x:c r="G185" s="29" t="str">
        <x:f>IF(E185=F185,"PASS","FAIL")</x:f>
        <x:v>PASS</x:v>
      </x:c>
    </x:row>
    <x:row r="186" ht="18" customHeight="1">
      <x:c r="B186" s="27" t="str">
        <x:v>A0180</x:v>
      </x:c>
      <x:c r="C186" s="27" t="str">
        <x:v>interface</x:v>
      </x:c>
      <x:c r="D186" s="27" t="str">
        <x:v>Interface row 9 remains open</x:v>
      </x:c>
      <x:c r="E186" s="27" t="n">
        <x:f>IF(Interfaces!M9="OPEN",1,0)</x:f>
        <x:v>1</x:v>
      </x:c>
      <x:c r="F186" s="27" t="n">
        <x:v>1</x:v>
      </x:c>
      <x:c r="G186" s="29" t="str">
        <x:f>IF(E186=F186,"PASS","FAIL")</x:f>
        <x:v>PASS</x:v>
      </x:c>
    </x:row>
    <x:row r="187" ht="18" customHeight="1">
      <x:c r="B187" s="27" t="str">
        <x:v>A0181</x:v>
      </x:c>
      <x:c r="C187" s="27" t="str">
        <x:v>interface</x:v>
      </x:c>
      <x:c r="D187" s="27" t="str">
        <x:v>Interface row 10 G remains zero</x:v>
      </x:c>
      <x:c r="E187" s="27" t="n">
        <x:f>IF(Interfaces!G10=0,1,0)</x:f>
        <x:v>1</x:v>
      </x:c>
      <x:c r="F187" s="27" t="n">
        <x:v>1</x:v>
      </x:c>
      <x:c r="G187" s="29" t="str">
        <x:f>IF(E187=F187,"PASS","FAIL")</x:f>
        <x:v>PASS</x:v>
      </x:c>
    </x:row>
    <x:row r="188" ht="18" customHeight="1">
      <x:c r="B188" s="27" t="str">
        <x:v>A0182</x:v>
      </x:c>
      <x:c r="C188" s="27" t="str">
        <x:v>interface</x:v>
      </x:c>
      <x:c r="D188" s="27" t="str">
        <x:v>Interface row 10 H remains zero</x:v>
      </x:c>
      <x:c r="E188" s="27" t="n">
        <x:f>IF(Interfaces!H10=0,1,0)</x:f>
        <x:v>1</x:v>
      </x:c>
      <x:c r="F188" s="27" t="n">
        <x:v>1</x:v>
      </x:c>
      <x:c r="G188" s="29" t="str">
        <x:f>IF(E188=F188,"PASS","FAIL")</x:f>
        <x:v>PASS</x:v>
      </x:c>
    </x:row>
    <x:row r="189" ht="18" customHeight="1">
      <x:c r="B189" s="27" t="str">
        <x:v>A0183</x:v>
      </x:c>
      <x:c r="C189" s="27" t="str">
        <x:v>interface</x:v>
      </x:c>
      <x:c r="D189" s="27" t="str">
        <x:v>Interface row 10 I remains zero</x:v>
      </x:c>
      <x:c r="E189" s="27" t="n">
        <x:f>IF(Interfaces!I10=0,1,0)</x:f>
        <x:v>1</x:v>
      </x:c>
      <x:c r="F189" s="27" t="n">
        <x:v>1</x:v>
      </x:c>
      <x:c r="G189" s="29" t="str">
        <x:f>IF(E189=F189,"PASS","FAIL")</x:f>
        <x:v>PASS</x:v>
      </x:c>
    </x:row>
    <x:row r="190" ht="18" customHeight="1">
      <x:c r="B190" s="27" t="str">
        <x:v>A0184</x:v>
      </x:c>
      <x:c r="C190" s="27" t="str">
        <x:v>interface</x:v>
      </x:c>
      <x:c r="D190" s="27" t="str">
        <x:v>Interface row 10 J remains zero</x:v>
      </x:c>
      <x:c r="E190" s="27" t="n">
        <x:f>IF(Interfaces!J10=0,1,0)</x:f>
        <x:v>1</x:v>
      </x:c>
      <x:c r="F190" s="27" t="n">
        <x:v>1</x:v>
      </x:c>
      <x:c r="G190" s="29" t="str">
        <x:f>IF(E190=F190,"PASS","FAIL")</x:f>
        <x:v>PASS</x:v>
      </x:c>
    </x:row>
    <x:row r="191" ht="18" customHeight="1">
      <x:c r="B191" s="27" t="str">
        <x:v>A0185</x:v>
      </x:c>
      <x:c r="C191" s="27" t="str">
        <x:v>interface</x:v>
      </x:c>
      <x:c r="D191" s="27" t="str">
        <x:v>Interface row 10 remains open</x:v>
      </x:c>
      <x:c r="E191" s="27" t="n">
        <x:f>IF(Interfaces!M10="OPEN",1,0)</x:f>
        <x:v>1</x:v>
      </x:c>
      <x:c r="F191" s="27" t="n">
        <x:v>1</x:v>
      </x:c>
      <x:c r="G191" s="29" t="str">
        <x:f>IF(E191=F191,"PASS","FAIL")</x:f>
        <x:v>PASS</x:v>
      </x:c>
    </x:row>
    <x:row r="192" ht="18" customHeight="1">
      <x:c r="B192" s="27" t="str">
        <x:v>A0186</x:v>
      </x:c>
      <x:c r="C192" s="27" t="str">
        <x:v>interface</x:v>
      </x:c>
      <x:c r="D192" s="27" t="str">
        <x:v>Interface row 11 G remains zero</x:v>
      </x:c>
      <x:c r="E192" s="27" t="n">
        <x:f>IF(Interfaces!G11=0,1,0)</x:f>
        <x:v>1</x:v>
      </x:c>
      <x:c r="F192" s="27" t="n">
        <x:v>1</x:v>
      </x:c>
      <x:c r="G192" s="29" t="str">
        <x:f>IF(E192=F192,"PASS","FAIL")</x:f>
        <x:v>PASS</x:v>
      </x:c>
    </x:row>
    <x:row r="193" ht="18" customHeight="1">
      <x:c r="B193" s="27" t="str">
        <x:v>A0187</x:v>
      </x:c>
      <x:c r="C193" s="27" t="str">
        <x:v>interface</x:v>
      </x:c>
      <x:c r="D193" s="27" t="str">
        <x:v>Interface row 11 H remains zero</x:v>
      </x:c>
      <x:c r="E193" s="27" t="n">
        <x:f>IF(Interfaces!H11=0,1,0)</x:f>
        <x:v>1</x:v>
      </x:c>
      <x:c r="F193" s="27" t="n">
        <x:v>1</x:v>
      </x:c>
      <x:c r="G193" s="29" t="str">
        <x:f>IF(E193=F193,"PASS","FAIL")</x:f>
        <x:v>PASS</x:v>
      </x:c>
    </x:row>
    <x:row r="194" ht="18" customHeight="1">
      <x:c r="B194" s="27" t="str">
        <x:v>A0188</x:v>
      </x:c>
      <x:c r="C194" s="27" t="str">
        <x:v>interface</x:v>
      </x:c>
      <x:c r="D194" s="27" t="str">
        <x:v>Interface row 11 I remains zero</x:v>
      </x:c>
      <x:c r="E194" s="27" t="n">
        <x:f>IF(Interfaces!I11=0,1,0)</x:f>
        <x:v>1</x:v>
      </x:c>
      <x:c r="F194" s="27" t="n">
        <x:v>1</x:v>
      </x:c>
      <x:c r="G194" s="29" t="str">
        <x:f>IF(E194=F194,"PASS","FAIL")</x:f>
        <x:v>PASS</x:v>
      </x:c>
    </x:row>
    <x:row r="195" ht="18" customHeight="1">
      <x:c r="B195" s="27" t="str">
        <x:v>A0189</x:v>
      </x:c>
      <x:c r="C195" s="27" t="str">
        <x:v>interface</x:v>
      </x:c>
      <x:c r="D195" s="27" t="str">
        <x:v>Interface row 11 J remains zero</x:v>
      </x:c>
      <x:c r="E195" s="27" t="n">
        <x:f>IF(Interfaces!J11=0,1,0)</x:f>
        <x:v>1</x:v>
      </x:c>
      <x:c r="F195" s="27" t="n">
        <x:v>1</x:v>
      </x:c>
      <x:c r="G195" s="29" t="str">
        <x:f>IF(E195=F195,"PASS","FAIL")</x:f>
        <x:v>PASS</x:v>
      </x:c>
    </x:row>
    <x:row r="196" ht="18" customHeight="1">
      <x:c r="B196" s="27" t="str">
        <x:v>A0190</x:v>
      </x:c>
      <x:c r="C196" s="27" t="str">
        <x:v>interface</x:v>
      </x:c>
      <x:c r="D196" s="27" t="str">
        <x:v>Interface row 11 remains open</x:v>
      </x:c>
      <x:c r="E196" s="27" t="n">
        <x:f>IF(Interfaces!M11="OPEN",1,0)</x:f>
        <x:v>1</x:v>
      </x:c>
      <x:c r="F196" s="27" t="n">
        <x:v>1</x:v>
      </x:c>
      <x:c r="G196" s="29" t="str">
        <x:f>IF(E196=F196,"PASS","FAIL")</x:f>
        <x:v>PASS</x:v>
      </x:c>
    </x:row>
    <x:row r="197" ht="18" customHeight="1">
      <x:c r="B197" s="27" t="str">
        <x:v>A0191</x:v>
      </x:c>
      <x:c r="C197" s="27" t="str">
        <x:v>interface</x:v>
      </x:c>
      <x:c r="D197" s="27" t="str">
        <x:v>Interface row 12 G remains zero</x:v>
      </x:c>
      <x:c r="E197" s="27" t="n">
        <x:f>IF(Interfaces!G12=0,1,0)</x:f>
        <x:v>1</x:v>
      </x:c>
      <x:c r="F197" s="27" t="n">
        <x:v>1</x:v>
      </x:c>
      <x:c r="G197" s="29" t="str">
        <x:f>IF(E197=F197,"PASS","FAIL")</x:f>
        <x:v>PASS</x:v>
      </x:c>
    </x:row>
    <x:row r="198" ht="18" customHeight="1">
      <x:c r="B198" s="27" t="str">
        <x:v>A0192</x:v>
      </x:c>
      <x:c r="C198" s="27" t="str">
        <x:v>interface</x:v>
      </x:c>
      <x:c r="D198" s="27" t="str">
        <x:v>Interface row 12 H remains zero</x:v>
      </x:c>
      <x:c r="E198" s="27" t="n">
        <x:f>IF(Interfaces!H12=0,1,0)</x:f>
        <x:v>1</x:v>
      </x:c>
      <x:c r="F198" s="27" t="n">
        <x:v>1</x:v>
      </x:c>
      <x:c r="G198" s="29" t="str">
        <x:f>IF(E198=F198,"PASS","FAIL")</x:f>
        <x:v>PASS</x:v>
      </x:c>
    </x:row>
    <x:row r="199" ht="18" customHeight="1">
      <x:c r="B199" s="27" t="str">
        <x:v>A0193</x:v>
      </x:c>
      <x:c r="C199" s="27" t="str">
        <x:v>interface</x:v>
      </x:c>
      <x:c r="D199" s="27" t="str">
        <x:v>Interface row 12 I remains zero</x:v>
      </x:c>
      <x:c r="E199" s="27" t="n">
        <x:f>IF(Interfaces!I12=0,1,0)</x:f>
        <x:v>1</x:v>
      </x:c>
      <x:c r="F199" s="27" t="n">
        <x:v>1</x:v>
      </x:c>
      <x:c r="G199" s="29" t="str">
        <x:f>IF(E199=F199,"PASS","FAIL")</x:f>
        <x:v>PASS</x:v>
      </x:c>
    </x:row>
    <x:row r="200" ht="18" customHeight="1">
      <x:c r="B200" s="27" t="str">
        <x:v>A0194</x:v>
      </x:c>
      <x:c r="C200" s="27" t="str">
        <x:v>interface</x:v>
      </x:c>
      <x:c r="D200" s="27" t="str">
        <x:v>Interface row 12 J remains zero</x:v>
      </x:c>
      <x:c r="E200" s="27" t="n">
        <x:f>IF(Interfaces!J12=0,1,0)</x:f>
        <x:v>1</x:v>
      </x:c>
      <x:c r="F200" s="27" t="n">
        <x:v>1</x:v>
      </x:c>
      <x:c r="G200" s="29" t="str">
        <x:f>IF(E200=F200,"PASS","FAIL")</x:f>
        <x:v>PASS</x:v>
      </x:c>
    </x:row>
    <x:row r="201" ht="18" customHeight="1">
      <x:c r="B201" s="27" t="str">
        <x:v>A0195</x:v>
      </x:c>
      <x:c r="C201" s="27" t="str">
        <x:v>interface</x:v>
      </x:c>
      <x:c r="D201" s="27" t="str">
        <x:v>Interface row 12 remains open</x:v>
      </x:c>
      <x:c r="E201" s="27" t="n">
        <x:f>IF(Interfaces!M12="OPEN",1,0)</x:f>
        <x:v>1</x:v>
      </x:c>
      <x:c r="F201" s="27" t="n">
        <x:v>1</x:v>
      </x:c>
      <x:c r="G201" s="29" t="str">
        <x:f>IF(E201=F201,"PASS","FAIL")</x:f>
        <x:v>PASS</x:v>
      </x:c>
    </x:row>
    <x:row r="202" ht="18" customHeight="1">
      <x:c r="B202" s="27" t="str">
        <x:v>A0196</x:v>
      </x:c>
      <x:c r="C202" s="27" t="str">
        <x:v>interface</x:v>
      </x:c>
      <x:c r="D202" s="27" t="str">
        <x:v>Interface row 13 G remains zero</x:v>
      </x:c>
      <x:c r="E202" s="27" t="n">
        <x:f>IF(Interfaces!G13=0,1,0)</x:f>
        <x:v>1</x:v>
      </x:c>
      <x:c r="F202" s="27" t="n">
        <x:v>1</x:v>
      </x:c>
      <x:c r="G202" s="29" t="str">
        <x:f>IF(E202=F202,"PASS","FAIL")</x:f>
        <x:v>PASS</x:v>
      </x:c>
    </x:row>
    <x:row r="203" ht="18" customHeight="1">
      <x:c r="B203" s="27" t="str">
        <x:v>A0197</x:v>
      </x:c>
      <x:c r="C203" s="27" t="str">
        <x:v>interface</x:v>
      </x:c>
      <x:c r="D203" s="27" t="str">
        <x:v>Interface row 13 H remains zero</x:v>
      </x:c>
      <x:c r="E203" s="27" t="n">
        <x:f>IF(Interfaces!H13=0,1,0)</x:f>
        <x:v>1</x:v>
      </x:c>
      <x:c r="F203" s="27" t="n">
        <x:v>1</x:v>
      </x:c>
      <x:c r="G203" s="29" t="str">
        <x:f>IF(E203=F203,"PASS","FAIL")</x:f>
        <x:v>PASS</x:v>
      </x:c>
    </x:row>
    <x:row r="204" ht="18" customHeight="1">
      <x:c r="B204" s="27" t="str">
        <x:v>A0198</x:v>
      </x:c>
      <x:c r="C204" s="27" t="str">
        <x:v>interface</x:v>
      </x:c>
      <x:c r="D204" s="27" t="str">
        <x:v>Interface row 13 I remains zero</x:v>
      </x:c>
      <x:c r="E204" s="27" t="n">
        <x:f>IF(Interfaces!I13=0,1,0)</x:f>
        <x:v>1</x:v>
      </x:c>
      <x:c r="F204" s="27" t="n">
        <x:v>1</x:v>
      </x:c>
      <x:c r="G204" s="29" t="str">
        <x:f>IF(E204=F204,"PASS","FAIL")</x:f>
        <x:v>PASS</x:v>
      </x:c>
    </x:row>
    <x:row r="205" ht="18" customHeight="1">
      <x:c r="B205" s="27" t="str">
        <x:v>A0199</x:v>
      </x:c>
      <x:c r="C205" s="27" t="str">
        <x:v>interface</x:v>
      </x:c>
      <x:c r="D205" s="27" t="str">
        <x:v>Interface row 13 J remains zero</x:v>
      </x:c>
      <x:c r="E205" s="27" t="n">
        <x:f>IF(Interfaces!J13=0,1,0)</x:f>
        <x:v>1</x:v>
      </x:c>
      <x:c r="F205" s="27" t="n">
        <x:v>1</x:v>
      </x:c>
      <x:c r="G205" s="29" t="str">
        <x:f>IF(E205=F205,"PASS","FAIL")</x:f>
        <x:v>PASS</x:v>
      </x:c>
    </x:row>
    <x:row r="206" ht="18" customHeight="1">
      <x:c r="B206" s="27" t="str">
        <x:v>A0200</x:v>
      </x:c>
      <x:c r="C206" s="27" t="str">
        <x:v>interface</x:v>
      </x:c>
      <x:c r="D206" s="27" t="str">
        <x:v>Interface row 13 remains open</x:v>
      </x:c>
      <x:c r="E206" s="27" t="n">
        <x:f>IF(Interfaces!M13="OPEN",1,0)</x:f>
        <x:v>1</x:v>
      </x:c>
      <x:c r="F206" s="27" t="n">
        <x:v>1</x:v>
      </x:c>
      <x:c r="G206" s="29" t="str">
        <x:f>IF(E206=F206,"PASS","FAIL")</x:f>
        <x:v>PASS</x:v>
      </x:c>
    </x:row>
    <x:row r="207" ht="18" customHeight="1">
      <x:c r="B207" s="27" t="str">
        <x:v>A0201</x:v>
      </x:c>
      <x:c r="C207" s="27" t="str">
        <x:v>interface</x:v>
      </x:c>
      <x:c r="D207" s="27" t="str">
        <x:v>Interface row 14 G remains zero</x:v>
      </x:c>
      <x:c r="E207" s="27" t="n">
        <x:f>IF(Interfaces!G14=0,1,0)</x:f>
        <x:v>1</x:v>
      </x:c>
      <x:c r="F207" s="27" t="n">
        <x:v>1</x:v>
      </x:c>
      <x:c r="G207" s="29" t="str">
        <x:f>IF(E207=F207,"PASS","FAIL")</x:f>
        <x:v>PASS</x:v>
      </x:c>
    </x:row>
    <x:row r="208" ht="18" customHeight="1">
      <x:c r="B208" s="27" t="str">
        <x:v>A0202</x:v>
      </x:c>
      <x:c r="C208" s="27" t="str">
        <x:v>interface</x:v>
      </x:c>
      <x:c r="D208" s="27" t="str">
        <x:v>Interface row 14 H remains zero</x:v>
      </x:c>
      <x:c r="E208" s="27" t="n">
        <x:f>IF(Interfaces!H14=0,1,0)</x:f>
        <x:v>1</x:v>
      </x:c>
      <x:c r="F208" s="27" t="n">
        <x:v>1</x:v>
      </x:c>
      <x:c r="G208" s="29" t="str">
        <x:f>IF(E208=F208,"PASS","FAIL")</x:f>
        <x:v>PASS</x:v>
      </x:c>
    </x:row>
    <x:row r="209" ht="18" customHeight="1">
      <x:c r="B209" s="27" t="str">
        <x:v>A0203</x:v>
      </x:c>
      <x:c r="C209" s="27" t="str">
        <x:v>interface</x:v>
      </x:c>
      <x:c r="D209" s="27" t="str">
        <x:v>Interface row 14 I remains zero</x:v>
      </x:c>
      <x:c r="E209" s="27" t="n">
        <x:f>IF(Interfaces!I14=0,1,0)</x:f>
        <x:v>1</x:v>
      </x:c>
      <x:c r="F209" s="27" t="n">
        <x:v>1</x:v>
      </x:c>
      <x:c r="G209" s="29" t="str">
        <x:f>IF(E209=F209,"PASS","FAIL")</x:f>
        <x:v>PASS</x:v>
      </x:c>
    </x:row>
    <x:row r="210" ht="18" customHeight="1">
      <x:c r="B210" s="27" t="str">
        <x:v>A0204</x:v>
      </x:c>
      <x:c r="C210" s="27" t="str">
        <x:v>interface</x:v>
      </x:c>
      <x:c r="D210" s="27" t="str">
        <x:v>Interface row 14 J remains zero</x:v>
      </x:c>
      <x:c r="E210" s="27" t="n">
        <x:f>IF(Interfaces!J14=0,1,0)</x:f>
        <x:v>1</x:v>
      </x:c>
      <x:c r="F210" s="27" t="n">
        <x:v>1</x:v>
      </x:c>
      <x:c r="G210" s="29" t="str">
        <x:f>IF(E210=F210,"PASS","FAIL")</x:f>
        <x:v>PASS</x:v>
      </x:c>
    </x:row>
    <x:row r="211" ht="18" customHeight="1">
      <x:c r="B211" s="27" t="str">
        <x:v>A0205</x:v>
      </x:c>
      <x:c r="C211" s="27" t="str">
        <x:v>interface</x:v>
      </x:c>
      <x:c r="D211" s="27" t="str">
        <x:v>Interface row 14 remains open</x:v>
      </x:c>
      <x:c r="E211" s="27" t="n">
        <x:f>IF(Interfaces!M14="OPEN",1,0)</x:f>
        <x:v>1</x:v>
      </x:c>
      <x:c r="F211" s="27" t="n">
        <x:v>1</x:v>
      </x:c>
      <x:c r="G211" s="29" t="str">
        <x:f>IF(E211=F211,"PASS","FAIL")</x:f>
        <x:v>PASS</x:v>
      </x:c>
    </x:row>
    <x:row r="212" ht="18" customHeight="1">
      <x:c r="B212" s="27" t="str">
        <x:v>A0206</x:v>
      </x:c>
      <x:c r="C212" s="27" t="str">
        <x:v>interface</x:v>
      </x:c>
      <x:c r="D212" s="27" t="str">
        <x:v>Interface row 15 G remains zero</x:v>
      </x:c>
      <x:c r="E212" s="27" t="n">
        <x:f>IF(Interfaces!G15=0,1,0)</x:f>
        <x:v>1</x:v>
      </x:c>
      <x:c r="F212" s="27" t="n">
        <x:v>1</x:v>
      </x:c>
      <x:c r="G212" s="29" t="str">
        <x:f>IF(E212=F212,"PASS","FAIL")</x:f>
        <x:v>PASS</x:v>
      </x:c>
    </x:row>
    <x:row r="213" ht="18" customHeight="1">
      <x:c r="B213" s="27" t="str">
        <x:v>A0207</x:v>
      </x:c>
      <x:c r="C213" s="27" t="str">
        <x:v>interface</x:v>
      </x:c>
      <x:c r="D213" s="27" t="str">
        <x:v>Interface row 15 H remains zero</x:v>
      </x:c>
      <x:c r="E213" s="27" t="n">
        <x:f>IF(Interfaces!H15=0,1,0)</x:f>
        <x:v>1</x:v>
      </x:c>
      <x:c r="F213" s="27" t="n">
        <x:v>1</x:v>
      </x:c>
      <x:c r="G213" s="29" t="str">
        <x:f>IF(E213=F213,"PASS","FAIL")</x:f>
        <x:v>PASS</x:v>
      </x:c>
    </x:row>
    <x:row r="214" ht="18" customHeight="1">
      <x:c r="B214" s="27" t="str">
        <x:v>A0208</x:v>
      </x:c>
      <x:c r="C214" s="27" t="str">
        <x:v>interface</x:v>
      </x:c>
      <x:c r="D214" s="27" t="str">
        <x:v>Interface row 15 I remains zero</x:v>
      </x:c>
      <x:c r="E214" s="27" t="n">
        <x:f>IF(Interfaces!I15=0,1,0)</x:f>
        <x:v>1</x:v>
      </x:c>
      <x:c r="F214" s="27" t="n">
        <x:v>1</x:v>
      </x:c>
      <x:c r="G214" s="29" t="str">
        <x:f>IF(E214=F214,"PASS","FAIL")</x:f>
        <x:v>PASS</x:v>
      </x:c>
    </x:row>
    <x:row r="215" ht="18" customHeight="1">
      <x:c r="B215" s="27" t="str">
        <x:v>A0209</x:v>
      </x:c>
      <x:c r="C215" s="27" t="str">
        <x:v>interface</x:v>
      </x:c>
      <x:c r="D215" s="27" t="str">
        <x:v>Interface row 15 J remains zero</x:v>
      </x:c>
      <x:c r="E215" s="27" t="n">
        <x:f>IF(Interfaces!J15=0,1,0)</x:f>
        <x:v>1</x:v>
      </x:c>
      <x:c r="F215" s="27" t="n">
        <x:v>1</x:v>
      </x:c>
      <x:c r="G215" s="29" t="str">
        <x:f>IF(E215=F215,"PASS","FAIL")</x:f>
        <x:v>PASS</x:v>
      </x:c>
    </x:row>
    <x:row r="216" ht="18" customHeight="1">
      <x:c r="B216" s="27" t="str">
        <x:v>A0210</x:v>
      </x:c>
      <x:c r="C216" s="27" t="str">
        <x:v>interface</x:v>
      </x:c>
      <x:c r="D216" s="27" t="str">
        <x:v>Interface row 15 remains open</x:v>
      </x:c>
      <x:c r="E216" s="27" t="n">
        <x:f>IF(Interfaces!M15="OPEN",1,0)</x:f>
        <x:v>1</x:v>
      </x:c>
      <x:c r="F216" s="27" t="n">
        <x:v>1</x:v>
      </x:c>
      <x:c r="G216" s="29" t="str">
        <x:f>IF(E216=F216,"PASS","FAIL")</x:f>
        <x:v>PASS</x:v>
      </x:c>
    </x:row>
    <x:row r="217" ht="18" customHeight="1">
      <x:c r="B217" s="27" t="str">
        <x:v>A0211</x:v>
      </x:c>
      <x:c r="C217" s="27" t="str">
        <x:v>interface</x:v>
      </x:c>
      <x:c r="D217" s="27" t="str">
        <x:v>Interface row 16 G remains zero</x:v>
      </x:c>
      <x:c r="E217" s="27" t="n">
        <x:f>IF(Interfaces!G16=0,1,0)</x:f>
        <x:v>1</x:v>
      </x:c>
      <x:c r="F217" s="27" t="n">
        <x:v>1</x:v>
      </x:c>
      <x:c r="G217" s="29" t="str">
        <x:f>IF(E217=F217,"PASS","FAIL")</x:f>
        <x:v>PASS</x:v>
      </x:c>
    </x:row>
    <x:row r="218" ht="18" customHeight="1">
      <x:c r="B218" s="27" t="str">
        <x:v>A0212</x:v>
      </x:c>
      <x:c r="C218" s="27" t="str">
        <x:v>interface</x:v>
      </x:c>
      <x:c r="D218" s="27" t="str">
        <x:v>Interface row 16 H remains zero</x:v>
      </x:c>
      <x:c r="E218" s="27" t="n">
        <x:f>IF(Interfaces!H16=0,1,0)</x:f>
        <x:v>1</x:v>
      </x:c>
      <x:c r="F218" s="27" t="n">
        <x:v>1</x:v>
      </x:c>
      <x:c r="G218" s="29" t="str">
        <x:f>IF(E218=F218,"PASS","FAIL")</x:f>
        <x:v>PASS</x:v>
      </x:c>
    </x:row>
    <x:row r="219" ht="18" customHeight="1">
      <x:c r="B219" s="27" t="str">
        <x:v>A0213</x:v>
      </x:c>
      <x:c r="C219" s="27" t="str">
        <x:v>interface</x:v>
      </x:c>
      <x:c r="D219" s="27" t="str">
        <x:v>Interface row 16 I remains zero</x:v>
      </x:c>
      <x:c r="E219" s="27" t="n">
        <x:f>IF(Interfaces!I16=0,1,0)</x:f>
        <x:v>1</x:v>
      </x:c>
      <x:c r="F219" s="27" t="n">
        <x:v>1</x:v>
      </x:c>
      <x:c r="G219" s="29" t="str">
        <x:f>IF(E219=F219,"PASS","FAIL")</x:f>
        <x:v>PASS</x:v>
      </x:c>
    </x:row>
    <x:row r="220" ht="18" customHeight="1">
      <x:c r="B220" s="27" t="str">
        <x:v>A0214</x:v>
      </x:c>
      <x:c r="C220" s="27" t="str">
        <x:v>interface</x:v>
      </x:c>
      <x:c r="D220" s="27" t="str">
        <x:v>Interface row 16 J remains zero</x:v>
      </x:c>
      <x:c r="E220" s="27" t="n">
        <x:f>IF(Interfaces!J16=0,1,0)</x:f>
        <x:v>1</x:v>
      </x:c>
      <x:c r="F220" s="27" t="n">
        <x:v>1</x:v>
      </x:c>
      <x:c r="G220" s="29" t="str">
        <x:f>IF(E220=F220,"PASS","FAIL")</x:f>
        <x:v>PASS</x:v>
      </x:c>
    </x:row>
    <x:row r="221" ht="18" customHeight="1">
      <x:c r="B221" s="27" t="str">
        <x:v>A0215</x:v>
      </x:c>
      <x:c r="C221" s="27" t="str">
        <x:v>interface</x:v>
      </x:c>
      <x:c r="D221" s="27" t="str">
        <x:v>Interface row 16 remains open</x:v>
      </x:c>
      <x:c r="E221" s="27" t="n">
        <x:f>IF(Interfaces!M16="OPEN",1,0)</x:f>
        <x:v>1</x:v>
      </x:c>
      <x:c r="F221" s="27" t="n">
        <x:v>1</x:v>
      </x:c>
      <x:c r="G221" s="29" t="str">
        <x:f>IF(E221=F221,"PASS","FAIL")</x:f>
        <x:v>PASS</x:v>
      </x:c>
    </x:row>
    <x:row r="222" ht="18" customHeight="1">
      <x:c r="B222" s="27" t="str">
        <x:v>A0216</x:v>
      </x:c>
      <x:c r="C222" s="27" t="str">
        <x:v>interface</x:v>
      </x:c>
      <x:c r="D222" s="27" t="str">
        <x:v>Interface row 17 G remains zero</x:v>
      </x:c>
      <x:c r="E222" s="27" t="n">
        <x:f>IF(Interfaces!G17=0,1,0)</x:f>
        <x:v>1</x:v>
      </x:c>
      <x:c r="F222" s="27" t="n">
        <x:v>1</x:v>
      </x:c>
      <x:c r="G222" s="29" t="str">
        <x:f>IF(E222=F222,"PASS","FAIL")</x:f>
        <x:v>PASS</x:v>
      </x:c>
    </x:row>
    <x:row r="223" ht="18" customHeight="1">
      <x:c r="B223" s="27" t="str">
        <x:v>A0217</x:v>
      </x:c>
      <x:c r="C223" s="27" t="str">
        <x:v>interface</x:v>
      </x:c>
      <x:c r="D223" s="27" t="str">
        <x:v>Interface row 17 H remains zero</x:v>
      </x:c>
      <x:c r="E223" s="27" t="n">
        <x:f>IF(Interfaces!H17=0,1,0)</x:f>
        <x:v>1</x:v>
      </x:c>
      <x:c r="F223" s="27" t="n">
        <x:v>1</x:v>
      </x:c>
      <x:c r="G223" s="29" t="str">
        <x:f>IF(E223=F223,"PASS","FAIL")</x:f>
        <x:v>PASS</x:v>
      </x:c>
    </x:row>
    <x:row r="224" ht="18" customHeight="1">
      <x:c r="B224" s="27" t="str">
        <x:v>A0218</x:v>
      </x:c>
      <x:c r="C224" s="27" t="str">
        <x:v>interface</x:v>
      </x:c>
      <x:c r="D224" s="27" t="str">
        <x:v>Interface row 17 I remains zero</x:v>
      </x:c>
      <x:c r="E224" s="27" t="n">
        <x:f>IF(Interfaces!I17=0,1,0)</x:f>
        <x:v>1</x:v>
      </x:c>
      <x:c r="F224" s="27" t="n">
        <x:v>1</x:v>
      </x:c>
      <x:c r="G224" s="29" t="str">
        <x:f>IF(E224=F224,"PASS","FAIL")</x:f>
        <x:v>PASS</x:v>
      </x:c>
    </x:row>
    <x:row r="225" ht="18" customHeight="1">
      <x:c r="B225" s="27" t="str">
        <x:v>A0219</x:v>
      </x:c>
      <x:c r="C225" s="27" t="str">
        <x:v>interface</x:v>
      </x:c>
      <x:c r="D225" s="27" t="str">
        <x:v>Interface row 17 J remains zero</x:v>
      </x:c>
      <x:c r="E225" s="27" t="n">
        <x:f>IF(Interfaces!J17=0,1,0)</x:f>
        <x:v>1</x:v>
      </x:c>
      <x:c r="F225" s="27" t="n">
        <x:v>1</x:v>
      </x:c>
      <x:c r="G225" s="29" t="str">
        <x:f>IF(E225=F225,"PASS","FAIL")</x:f>
        <x:v>PASS</x:v>
      </x:c>
    </x:row>
    <x:row r="226" ht="18" customHeight="1">
      <x:c r="B226" s="27" t="str">
        <x:v>A0220</x:v>
      </x:c>
      <x:c r="C226" s="27" t="str">
        <x:v>interface</x:v>
      </x:c>
      <x:c r="D226" s="27" t="str">
        <x:v>Interface row 17 remains open</x:v>
      </x:c>
      <x:c r="E226" s="27" t="n">
        <x:f>IF(Interfaces!M17="OPEN",1,0)</x:f>
        <x:v>1</x:v>
      </x:c>
      <x:c r="F226" s="27" t="n">
        <x:v>1</x:v>
      </x:c>
      <x:c r="G226" s="29" t="str">
        <x:f>IF(E226=F226,"PASS","FAIL")</x:f>
        <x:v>PASS</x:v>
      </x:c>
    </x:row>
    <x:row r="227" ht="18" customHeight="1">
      <x:c r="B227" s="27" t="str">
        <x:v>A0221</x:v>
      </x:c>
      <x:c r="C227" s="27" t="str">
        <x:v>interface</x:v>
      </x:c>
      <x:c r="D227" s="27" t="str">
        <x:v>Interface row 18 G remains zero</x:v>
      </x:c>
      <x:c r="E227" s="27" t="n">
        <x:f>IF(Interfaces!G18=0,1,0)</x:f>
        <x:v>1</x:v>
      </x:c>
      <x:c r="F227" s="27" t="n">
        <x:v>1</x:v>
      </x:c>
      <x:c r="G227" s="29" t="str">
        <x:f>IF(E227=F227,"PASS","FAIL")</x:f>
        <x:v>PASS</x:v>
      </x:c>
    </x:row>
    <x:row r="228" ht="18" customHeight="1">
      <x:c r="B228" s="27" t="str">
        <x:v>A0222</x:v>
      </x:c>
      <x:c r="C228" s="27" t="str">
        <x:v>interface</x:v>
      </x:c>
      <x:c r="D228" s="27" t="str">
        <x:v>Interface row 18 H remains zero</x:v>
      </x:c>
      <x:c r="E228" s="27" t="n">
        <x:f>IF(Interfaces!H18=0,1,0)</x:f>
        <x:v>1</x:v>
      </x:c>
      <x:c r="F228" s="27" t="n">
        <x:v>1</x:v>
      </x:c>
      <x:c r="G228" s="29" t="str">
        <x:f>IF(E228=F228,"PASS","FAIL")</x:f>
        <x:v>PASS</x:v>
      </x:c>
    </x:row>
    <x:row r="229" ht="18" customHeight="1">
      <x:c r="B229" s="27" t="str">
        <x:v>A0223</x:v>
      </x:c>
      <x:c r="C229" s="27" t="str">
        <x:v>interface</x:v>
      </x:c>
      <x:c r="D229" s="27" t="str">
        <x:v>Interface row 18 I remains zero</x:v>
      </x:c>
      <x:c r="E229" s="27" t="n">
        <x:f>IF(Interfaces!I18=0,1,0)</x:f>
        <x:v>1</x:v>
      </x:c>
      <x:c r="F229" s="27" t="n">
        <x:v>1</x:v>
      </x:c>
      <x:c r="G229" s="29" t="str">
        <x:f>IF(E229=F229,"PASS","FAIL")</x:f>
        <x:v>PASS</x:v>
      </x:c>
    </x:row>
    <x:row r="230" ht="18" customHeight="1">
      <x:c r="B230" s="27" t="str">
        <x:v>A0224</x:v>
      </x:c>
      <x:c r="C230" s="27" t="str">
        <x:v>interface</x:v>
      </x:c>
      <x:c r="D230" s="27" t="str">
        <x:v>Interface row 18 J remains zero</x:v>
      </x:c>
      <x:c r="E230" s="27" t="n">
        <x:f>IF(Interfaces!J18=0,1,0)</x:f>
        <x:v>1</x:v>
      </x:c>
      <x:c r="F230" s="27" t="n">
        <x:v>1</x:v>
      </x:c>
      <x:c r="G230" s="29" t="str">
        <x:f>IF(E230=F230,"PASS","FAIL")</x:f>
        <x:v>PASS</x:v>
      </x:c>
    </x:row>
    <x:row r="231" ht="18" customHeight="1">
      <x:c r="B231" s="27" t="str">
        <x:v>A0225</x:v>
      </x:c>
      <x:c r="C231" s="27" t="str">
        <x:v>interface</x:v>
      </x:c>
      <x:c r="D231" s="27" t="str">
        <x:v>Interface row 18 remains open</x:v>
      </x:c>
      <x:c r="E231" s="27" t="n">
        <x:f>IF(Interfaces!M18="OPEN",1,0)</x:f>
        <x:v>1</x:v>
      </x:c>
      <x:c r="F231" s="27" t="n">
        <x:v>1</x:v>
      </x:c>
      <x:c r="G231" s="29" t="str">
        <x:f>IF(E231=F231,"PASS","FAIL")</x:f>
        <x:v>PASS</x:v>
      </x:c>
    </x:row>
    <x:row r="232" ht="18" customHeight="1">
      <x:c r="B232" s="27" t="str">
        <x:v>A0226</x:v>
      </x:c>
      <x:c r="C232" s="27" t="str">
        <x:v>articles</x:v>
      </x:c>
      <x:c r="D232" s="27" t="str">
        <x:v>Article row 7 deployable balance</x:v>
      </x:c>
      <x:c r="E232" s="27" t="n">
        <x:f>IF('Prototype Articles'!G7='Prototype Articles'!C7-'Prototype Articles'!D7-'Prototype Articles'!E7-'Prototype Articles'!F7,1,0)</x:f>
        <x:v>1</x:v>
      </x:c>
      <x:c r="F232" s="27" t="n">
        <x:v>1</x:v>
      </x:c>
      <x:c r="G232" s="29" t="str">
        <x:f>IF(E232=F232,"PASS","FAIL")</x:f>
        <x:v>PASS</x:v>
      </x:c>
    </x:row>
    <x:row r="233" ht="18" customHeight="1">
      <x:c r="B233" s="27" t="str">
        <x:v>A0227</x:v>
      </x:c>
      <x:c r="C233" s="27" t="str">
        <x:v>articles</x:v>
      </x:c>
      <x:c r="D233" s="27" t="str">
        <x:v>Article row 7 nonnegative margin</x:v>
      </x:c>
      <x:c r="E233" s="27" t="n">
        <x:f>IF('Prototype Articles'!I7&gt;=0,1,0)</x:f>
        <x:v>1</x:v>
      </x:c>
      <x:c r="F233" s="27" t="n">
        <x:v>1</x:v>
      </x:c>
      <x:c r="G233" s="29" t="str">
        <x:f>IF(E233=F233,"PASS","FAIL")</x:f>
        <x:v>PASS</x:v>
      </x:c>
    </x:row>
    <x:row r="234" ht="18" customHeight="1">
      <x:c r="B234" s="27" t="str">
        <x:v>A0228</x:v>
      </x:c>
      <x:c r="C234" s="27" t="str">
        <x:v>articles</x:v>
      </x:c>
      <x:c r="D234" s="27" t="str">
        <x:v>Article row 7 cost extension</x:v>
      </x:c>
      <x:c r="E234" s="27" t="n">
        <x:f>IF(ABS('Prototype Articles'!K7-'Prototype Articles'!C7*'Prototype Articles'!J7/1000)&lt;0.000001,1,0)</x:f>
        <x:v>1</x:v>
      </x:c>
      <x:c r="F234" s="27" t="n">
        <x:v>1</x:v>
      </x:c>
      <x:c r="G234" s="29" t="str">
        <x:f>IF(E234=F234,"PASS","FAIL")</x:f>
        <x:v>PASS</x:v>
      </x:c>
    </x:row>
    <x:row r="235" ht="18" customHeight="1">
      <x:c r="B235" s="27" t="str">
        <x:v>A0229</x:v>
      </x:c>
      <x:c r="C235" s="27" t="str">
        <x:v>articles</x:v>
      </x:c>
      <x:c r="D235" s="27" t="str">
        <x:v>Article row 7 evidence open</x:v>
      </x:c>
      <x:c r="E235" s="27" t="n">
        <x:f>IF('Prototype Articles'!M7="OPEN",1,0)</x:f>
        <x:v>1</x:v>
      </x:c>
      <x:c r="F235" s="27" t="n">
        <x:v>1</x:v>
      </x:c>
      <x:c r="G235" s="29" t="str">
        <x:f>IF(E235=F235,"PASS","FAIL")</x:f>
        <x:v>PASS</x:v>
      </x:c>
    </x:row>
    <x:row r="236" ht="18" customHeight="1">
      <x:c r="B236" s="27" t="str">
        <x:v>A0230</x:v>
      </x:c>
      <x:c r="C236" s="27" t="str">
        <x:v>articles</x:v>
      </x:c>
      <x:c r="D236" s="27" t="str">
        <x:v>Article row 8 deployable balance</x:v>
      </x:c>
      <x:c r="E236" s="27" t="n">
        <x:f>IF('Prototype Articles'!G8='Prototype Articles'!C8-'Prototype Articles'!D8-'Prototype Articles'!E8-'Prototype Articles'!F8,1,0)</x:f>
        <x:v>1</x:v>
      </x:c>
      <x:c r="F236" s="27" t="n">
        <x:v>1</x:v>
      </x:c>
      <x:c r="G236" s="29" t="str">
        <x:f>IF(E236=F236,"PASS","FAIL")</x:f>
        <x:v>PASS</x:v>
      </x:c>
    </x:row>
    <x:row r="237" ht="18" customHeight="1">
      <x:c r="B237" s="27" t="str">
        <x:v>A0231</x:v>
      </x:c>
      <x:c r="C237" s="27" t="str">
        <x:v>articles</x:v>
      </x:c>
      <x:c r="D237" s="27" t="str">
        <x:v>Article row 8 nonnegative margin</x:v>
      </x:c>
      <x:c r="E237" s="27" t="n">
        <x:f>IF('Prototype Articles'!I8&gt;=0,1,0)</x:f>
        <x:v>1</x:v>
      </x:c>
      <x:c r="F237" s="27" t="n">
        <x:v>1</x:v>
      </x:c>
      <x:c r="G237" s="29" t="str">
        <x:f>IF(E237=F237,"PASS","FAIL")</x:f>
        <x:v>PASS</x:v>
      </x:c>
    </x:row>
    <x:row r="238" ht="18" customHeight="1">
      <x:c r="B238" s="27" t="str">
        <x:v>A0232</x:v>
      </x:c>
      <x:c r="C238" s="27" t="str">
        <x:v>articles</x:v>
      </x:c>
      <x:c r="D238" s="27" t="str">
        <x:v>Article row 8 cost extension</x:v>
      </x:c>
      <x:c r="E238" s="27" t="n">
        <x:f>IF(ABS('Prototype Articles'!K8-'Prototype Articles'!C8*'Prototype Articles'!J8/1000)&lt;0.000001,1,0)</x:f>
        <x:v>1</x:v>
      </x:c>
      <x:c r="F238" s="27" t="n">
        <x:v>1</x:v>
      </x:c>
      <x:c r="G238" s="29" t="str">
        <x:f>IF(E238=F238,"PASS","FAIL")</x:f>
        <x:v>PASS</x:v>
      </x:c>
    </x:row>
    <x:row r="239" ht="18" customHeight="1">
      <x:c r="B239" s="27" t="str">
        <x:v>A0233</x:v>
      </x:c>
      <x:c r="C239" s="27" t="str">
        <x:v>articles</x:v>
      </x:c>
      <x:c r="D239" s="27" t="str">
        <x:v>Article row 8 evidence open</x:v>
      </x:c>
      <x:c r="E239" s="27" t="n">
        <x:f>IF('Prototype Articles'!M8="OPEN",1,0)</x:f>
        <x:v>1</x:v>
      </x:c>
      <x:c r="F239" s="27" t="n">
        <x:v>1</x:v>
      </x:c>
      <x:c r="G239" s="29" t="str">
        <x:f>IF(E239=F239,"PASS","FAIL")</x:f>
        <x:v>PASS</x:v>
      </x:c>
    </x:row>
    <x:row r="240" ht="18" customHeight="1">
      <x:c r="B240" s="27" t="str">
        <x:v>A0234</x:v>
      </x:c>
      <x:c r="C240" s="27" t="str">
        <x:v>articles</x:v>
      </x:c>
      <x:c r="D240" s="27" t="str">
        <x:v>Article row 9 deployable balance</x:v>
      </x:c>
      <x:c r="E240" s="27" t="n">
        <x:f>IF('Prototype Articles'!G9='Prototype Articles'!C9-'Prototype Articles'!D9-'Prototype Articles'!E9-'Prototype Articles'!F9,1,0)</x:f>
        <x:v>1</x:v>
      </x:c>
      <x:c r="F240" s="27" t="n">
        <x:v>1</x:v>
      </x:c>
      <x:c r="G240" s="29" t="str">
        <x:f>IF(E240=F240,"PASS","FAIL")</x:f>
        <x:v>PASS</x:v>
      </x:c>
    </x:row>
    <x:row r="241" ht="18" customHeight="1">
      <x:c r="B241" s="27" t="str">
        <x:v>A0235</x:v>
      </x:c>
      <x:c r="C241" s="27" t="str">
        <x:v>articles</x:v>
      </x:c>
      <x:c r="D241" s="27" t="str">
        <x:v>Article row 9 nonnegative margin</x:v>
      </x:c>
      <x:c r="E241" s="27" t="n">
        <x:f>IF('Prototype Articles'!I9&gt;=0,1,0)</x:f>
        <x:v>1</x:v>
      </x:c>
      <x:c r="F241" s="27" t="n">
        <x:v>1</x:v>
      </x:c>
      <x:c r="G241" s="29" t="str">
        <x:f>IF(E241=F241,"PASS","FAIL")</x:f>
        <x:v>PASS</x:v>
      </x:c>
    </x:row>
    <x:row r="242" ht="18" customHeight="1">
      <x:c r="B242" s="27" t="str">
        <x:v>A0236</x:v>
      </x:c>
      <x:c r="C242" s="27" t="str">
        <x:v>articles</x:v>
      </x:c>
      <x:c r="D242" s="27" t="str">
        <x:v>Article row 9 cost extension</x:v>
      </x:c>
      <x:c r="E242" s="27" t="n">
        <x:f>IF(ABS('Prototype Articles'!K9-'Prototype Articles'!C9*'Prototype Articles'!J9/1000)&lt;0.000001,1,0)</x:f>
        <x:v>1</x:v>
      </x:c>
      <x:c r="F242" s="27" t="n">
        <x:v>1</x:v>
      </x:c>
      <x:c r="G242" s="29" t="str">
        <x:f>IF(E242=F242,"PASS","FAIL")</x:f>
        <x:v>PASS</x:v>
      </x:c>
    </x:row>
    <x:row r="243" ht="18" customHeight="1">
      <x:c r="B243" s="27" t="str">
        <x:v>A0237</x:v>
      </x:c>
      <x:c r="C243" s="27" t="str">
        <x:v>articles</x:v>
      </x:c>
      <x:c r="D243" s="27" t="str">
        <x:v>Article row 9 evidence open</x:v>
      </x:c>
      <x:c r="E243" s="27" t="n">
        <x:f>IF('Prototype Articles'!M9="OPEN",1,0)</x:f>
        <x:v>1</x:v>
      </x:c>
      <x:c r="F243" s="27" t="n">
        <x:v>1</x:v>
      </x:c>
      <x:c r="G243" s="29" t="str">
        <x:f>IF(E243=F243,"PASS","FAIL")</x:f>
        <x:v>PASS</x:v>
      </x:c>
    </x:row>
    <x:row r="244" ht="18" customHeight="1">
      <x:c r="B244" s="27" t="str">
        <x:v>A0238</x:v>
      </x:c>
      <x:c r="C244" s="27" t="str">
        <x:v>articles</x:v>
      </x:c>
      <x:c r="D244" s="27" t="str">
        <x:v>Article row 10 deployable balance</x:v>
      </x:c>
      <x:c r="E244" s="27" t="n">
        <x:f>IF('Prototype Articles'!G10='Prototype Articles'!C10-'Prototype Articles'!D10-'Prototype Articles'!E10-'Prototype Articles'!F10,1,0)</x:f>
        <x:v>1</x:v>
      </x:c>
      <x:c r="F244" s="27" t="n">
        <x:v>1</x:v>
      </x:c>
      <x:c r="G244" s="29" t="str">
        <x:f>IF(E244=F244,"PASS","FAIL")</x:f>
        <x:v>PASS</x:v>
      </x:c>
    </x:row>
    <x:row r="245" ht="18" customHeight="1">
      <x:c r="B245" s="27" t="str">
        <x:v>A0239</x:v>
      </x:c>
      <x:c r="C245" s="27" t="str">
        <x:v>articles</x:v>
      </x:c>
      <x:c r="D245" s="27" t="str">
        <x:v>Article row 10 nonnegative margin</x:v>
      </x:c>
      <x:c r="E245" s="27" t="n">
        <x:f>IF('Prototype Articles'!I10&gt;=0,1,0)</x:f>
        <x:v>1</x:v>
      </x:c>
      <x:c r="F245" s="27" t="n">
        <x:v>1</x:v>
      </x:c>
      <x:c r="G245" s="29" t="str">
        <x:f>IF(E245=F245,"PASS","FAIL")</x:f>
        <x:v>PASS</x:v>
      </x:c>
    </x:row>
    <x:row r="246" ht="18" customHeight="1">
      <x:c r="B246" s="27" t="str">
        <x:v>A0240</x:v>
      </x:c>
      <x:c r="C246" s="27" t="str">
        <x:v>articles</x:v>
      </x:c>
      <x:c r="D246" s="27" t="str">
        <x:v>Article row 10 cost extension</x:v>
      </x:c>
      <x:c r="E246" s="27" t="n">
        <x:f>IF(ABS('Prototype Articles'!K10-'Prototype Articles'!C10*'Prototype Articles'!J10/1000)&lt;0.000001,1,0)</x:f>
        <x:v>1</x:v>
      </x:c>
      <x:c r="F246" s="27" t="n">
        <x:v>1</x:v>
      </x:c>
      <x:c r="G246" s="29" t="str">
        <x:f>IF(E246=F246,"PASS","FAIL")</x:f>
        <x:v>PASS</x:v>
      </x:c>
    </x:row>
    <x:row r="247" ht="18" customHeight="1">
      <x:c r="B247" s="27" t="str">
        <x:v>A0241</x:v>
      </x:c>
      <x:c r="C247" s="27" t="str">
        <x:v>articles</x:v>
      </x:c>
      <x:c r="D247" s="27" t="str">
        <x:v>Article row 10 evidence open</x:v>
      </x:c>
      <x:c r="E247" s="27" t="n">
        <x:f>IF('Prototype Articles'!M10="OPEN",1,0)</x:f>
        <x:v>1</x:v>
      </x:c>
      <x:c r="F247" s="27" t="n">
        <x:v>1</x:v>
      </x:c>
      <x:c r="G247" s="29" t="str">
        <x:f>IF(E247=F247,"PASS","FAIL")</x:f>
        <x:v>PASS</x:v>
      </x:c>
    </x:row>
    <x:row r="248" ht="18" customHeight="1">
      <x:c r="B248" s="27" t="str">
        <x:v>A0242</x:v>
      </x:c>
      <x:c r="C248" s="27" t="str">
        <x:v>articles</x:v>
      </x:c>
      <x:c r="D248" s="27" t="str">
        <x:v>Article row 11 deployable balance</x:v>
      </x:c>
      <x:c r="E248" s="27" t="n">
        <x:f>IF('Prototype Articles'!G11='Prototype Articles'!C11-'Prototype Articles'!D11-'Prototype Articles'!E11-'Prototype Articles'!F11,1,0)</x:f>
        <x:v>1</x:v>
      </x:c>
      <x:c r="F248" s="27" t="n">
        <x:v>1</x:v>
      </x:c>
      <x:c r="G248" s="29" t="str">
        <x:f>IF(E248=F248,"PASS","FAIL")</x:f>
        <x:v>PASS</x:v>
      </x:c>
    </x:row>
    <x:row r="249" ht="18" customHeight="1">
      <x:c r="B249" s="27" t="str">
        <x:v>A0243</x:v>
      </x:c>
      <x:c r="C249" s="27" t="str">
        <x:v>articles</x:v>
      </x:c>
      <x:c r="D249" s="27" t="str">
        <x:v>Article row 11 nonnegative margin</x:v>
      </x:c>
      <x:c r="E249" s="27" t="n">
        <x:f>IF('Prototype Articles'!I11&gt;=0,1,0)</x:f>
        <x:v>1</x:v>
      </x:c>
      <x:c r="F249" s="27" t="n">
        <x:v>1</x:v>
      </x:c>
      <x:c r="G249" s="29" t="str">
        <x:f>IF(E249=F249,"PASS","FAIL")</x:f>
        <x:v>PASS</x:v>
      </x:c>
    </x:row>
    <x:row r="250" ht="18" customHeight="1">
      <x:c r="B250" s="27" t="str">
        <x:v>A0244</x:v>
      </x:c>
      <x:c r="C250" s="27" t="str">
        <x:v>articles</x:v>
      </x:c>
      <x:c r="D250" s="27" t="str">
        <x:v>Article row 11 cost extension</x:v>
      </x:c>
      <x:c r="E250" s="27" t="n">
        <x:f>IF(ABS('Prototype Articles'!K11-'Prototype Articles'!C11*'Prototype Articles'!J11/1000)&lt;0.000001,1,0)</x:f>
        <x:v>1</x:v>
      </x:c>
      <x:c r="F250" s="27" t="n">
        <x:v>1</x:v>
      </x:c>
      <x:c r="G250" s="29" t="str">
        <x:f>IF(E250=F250,"PASS","FAIL")</x:f>
        <x:v>PASS</x:v>
      </x:c>
    </x:row>
    <x:row r="251" ht="18" customHeight="1">
      <x:c r="B251" s="27" t="str">
        <x:v>A0245</x:v>
      </x:c>
      <x:c r="C251" s="27" t="str">
        <x:v>articles</x:v>
      </x:c>
      <x:c r="D251" s="27" t="str">
        <x:v>Article row 11 evidence open</x:v>
      </x:c>
      <x:c r="E251" s="27" t="n">
        <x:f>IF('Prototype Articles'!M11="OPEN",1,0)</x:f>
        <x:v>1</x:v>
      </x:c>
      <x:c r="F251" s="27" t="n">
        <x:v>1</x:v>
      </x:c>
      <x:c r="G251" s="29" t="str">
        <x:f>IF(E251=F251,"PASS","FAIL")</x:f>
        <x:v>PASS</x:v>
      </x:c>
    </x:row>
    <x:row r="252" ht="18" customHeight="1">
      <x:c r="B252" s="27" t="str">
        <x:v>A0246</x:v>
      </x:c>
      <x:c r="C252" s="27" t="str">
        <x:v>articles</x:v>
      </x:c>
      <x:c r="D252" s="27" t="str">
        <x:v>Article row 12 deployable balance</x:v>
      </x:c>
      <x:c r="E252" s="27" t="n">
        <x:f>IF('Prototype Articles'!G12='Prototype Articles'!C12-'Prototype Articles'!D12-'Prototype Articles'!E12-'Prototype Articles'!F12,1,0)</x:f>
        <x:v>1</x:v>
      </x:c>
      <x:c r="F252" s="27" t="n">
        <x:v>1</x:v>
      </x:c>
      <x:c r="G252" s="29" t="str">
        <x:f>IF(E252=F252,"PASS","FAIL")</x:f>
        <x:v>PASS</x:v>
      </x:c>
    </x:row>
    <x:row r="253" ht="18" customHeight="1">
      <x:c r="B253" s="27" t="str">
        <x:v>A0247</x:v>
      </x:c>
      <x:c r="C253" s="27" t="str">
        <x:v>articles</x:v>
      </x:c>
      <x:c r="D253" s="27" t="str">
        <x:v>Article row 12 nonnegative margin</x:v>
      </x:c>
      <x:c r="E253" s="27" t="n">
        <x:f>IF('Prototype Articles'!I12&gt;=0,1,0)</x:f>
        <x:v>1</x:v>
      </x:c>
      <x:c r="F253" s="27" t="n">
        <x:v>1</x:v>
      </x:c>
      <x:c r="G253" s="29" t="str">
        <x:f>IF(E253=F253,"PASS","FAIL")</x:f>
        <x:v>PASS</x:v>
      </x:c>
    </x:row>
    <x:row r="254" ht="18" customHeight="1">
      <x:c r="B254" s="27" t="str">
        <x:v>A0248</x:v>
      </x:c>
      <x:c r="C254" s="27" t="str">
        <x:v>articles</x:v>
      </x:c>
      <x:c r="D254" s="27" t="str">
        <x:v>Article row 12 cost extension</x:v>
      </x:c>
      <x:c r="E254" s="27" t="n">
        <x:f>IF(ABS('Prototype Articles'!K12-'Prototype Articles'!C12*'Prototype Articles'!J12/1000)&lt;0.000001,1,0)</x:f>
        <x:v>1</x:v>
      </x:c>
      <x:c r="F254" s="27" t="n">
        <x:v>1</x:v>
      </x:c>
      <x:c r="G254" s="29" t="str">
        <x:f>IF(E254=F254,"PASS","FAIL")</x:f>
        <x:v>PASS</x:v>
      </x:c>
    </x:row>
    <x:row r="255" ht="18" customHeight="1">
      <x:c r="B255" s="27" t="str">
        <x:v>A0249</x:v>
      </x:c>
      <x:c r="C255" s="27" t="str">
        <x:v>articles</x:v>
      </x:c>
      <x:c r="D255" s="27" t="str">
        <x:v>Article row 12 evidence open</x:v>
      </x:c>
      <x:c r="E255" s="27" t="n">
        <x:f>IF('Prototype Articles'!M12="OPEN",1,0)</x:f>
        <x:v>1</x:v>
      </x:c>
      <x:c r="F255" s="27" t="n">
        <x:v>1</x:v>
      </x:c>
      <x:c r="G255" s="29" t="str">
        <x:f>IF(E255=F255,"PASS","FAIL")</x:f>
        <x:v>PASS</x:v>
      </x:c>
    </x:row>
    <x:row r="256" ht="18" customHeight="1">
      <x:c r="B256" s="27" t="str">
        <x:v>A0250</x:v>
      </x:c>
      <x:c r="C256" s="27" t="str">
        <x:v>articles</x:v>
      </x:c>
      <x:c r="D256" s="27" t="str">
        <x:v>Article row 13 deployable balance</x:v>
      </x:c>
      <x:c r="E256" s="27" t="n">
        <x:f>IF('Prototype Articles'!G13='Prototype Articles'!C13-'Prototype Articles'!D13-'Prototype Articles'!E13-'Prototype Articles'!F13,1,0)</x:f>
        <x:v>1</x:v>
      </x:c>
      <x:c r="F256" s="27" t="n">
        <x:v>1</x:v>
      </x:c>
      <x:c r="G256" s="29" t="str">
        <x:f>IF(E256=F256,"PASS","FAIL")</x:f>
        <x:v>PASS</x:v>
      </x:c>
    </x:row>
    <x:row r="257" ht="18" customHeight="1">
      <x:c r="B257" s="27" t="str">
        <x:v>A0251</x:v>
      </x:c>
      <x:c r="C257" s="27" t="str">
        <x:v>articles</x:v>
      </x:c>
      <x:c r="D257" s="27" t="str">
        <x:v>Article row 13 nonnegative margin</x:v>
      </x:c>
      <x:c r="E257" s="27" t="n">
        <x:f>IF('Prototype Articles'!I13&gt;=0,1,0)</x:f>
        <x:v>1</x:v>
      </x:c>
      <x:c r="F257" s="27" t="n">
        <x:v>1</x:v>
      </x:c>
      <x:c r="G257" s="29" t="str">
        <x:f>IF(E257=F257,"PASS","FAIL")</x:f>
        <x:v>PASS</x:v>
      </x:c>
    </x:row>
    <x:row r="258" ht="18" customHeight="1">
      <x:c r="B258" s="27" t="str">
        <x:v>A0252</x:v>
      </x:c>
      <x:c r="C258" s="27" t="str">
        <x:v>articles</x:v>
      </x:c>
      <x:c r="D258" s="27" t="str">
        <x:v>Article row 13 cost extension</x:v>
      </x:c>
      <x:c r="E258" s="27" t="n">
        <x:f>IF(ABS('Prototype Articles'!K13-'Prototype Articles'!C13*'Prototype Articles'!J13/1000)&lt;0.000001,1,0)</x:f>
        <x:v>1</x:v>
      </x:c>
      <x:c r="F258" s="27" t="n">
        <x:v>1</x:v>
      </x:c>
      <x:c r="G258" s="29" t="str">
        <x:f>IF(E258=F258,"PASS","FAIL")</x:f>
        <x:v>PASS</x:v>
      </x:c>
    </x:row>
    <x:row r="259" ht="18" customHeight="1">
      <x:c r="B259" s="27" t="str">
        <x:v>A0253</x:v>
      </x:c>
      <x:c r="C259" s="27" t="str">
        <x:v>articles</x:v>
      </x:c>
      <x:c r="D259" s="27" t="str">
        <x:v>Article row 13 evidence open</x:v>
      </x:c>
      <x:c r="E259" s="27" t="n">
        <x:f>IF('Prototype Articles'!M13="OPEN",1,0)</x:f>
        <x:v>1</x:v>
      </x:c>
      <x:c r="F259" s="27" t="n">
        <x:v>1</x:v>
      </x:c>
      <x:c r="G259" s="29" t="str">
        <x:f>IF(E259=F259,"PASS","FAIL")</x:f>
        <x:v>PASS</x:v>
      </x:c>
    </x:row>
    <x:row r="260" ht="18" customHeight="1">
      <x:c r="B260" s="27" t="str">
        <x:v>A0254</x:v>
      </x:c>
      <x:c r="C260" s="27" t="str">
        <x:v>articles</x:v>
      </x:c>
      <x:c r="D260" s="27" t="str">
        <x:v>Article row 14 deployable balance</x:v>
      </x:c>
      <x:c r="E260" s="27" t="n">
        <x:f>IF('Prototype Articles'!G14='Prototype Articles'!C14-'Prototype Articles'!D14-'Prototype Articles'!E14-'Prototype Articles'!F14,1,0)</x:f>
        <x:v>1</x:v>
      </x:c>
      <x:c r="F260" s="27" t="n">
        <x:v>1</x:v>
      </x:c>
      <x:c r="G260" s="29" t="str">
        <x:f>IF(E260=F260,"PASS","FAIL")</x:f>
        <x:v>PASS</x:v>
      </x:c>
    </x:row>
    <x:row r="261" ht="18" customHeight="1">
      <x:c r="B261" s="27" t="str">
        <x:v>A0255</x:v>
      </x:c>
      <x:c r="C261" s="27" t="str">
        <x:v>articles</x:v>
      </x:c>
      <x:c r="D261" s="27" t="str">
        <x:v>Article row 14 nonnegative margin</x:v>
      </x:c>
      <x:c r="E261" s="27" t="n">
        <x:f>IF('Prototype Articles'!I14&gt;=0,1,0)</x:f>
        <x:v>1</x:v>
      </x:c>
      <x:c r="F261" s="27" t="n">
        <x:v>1</x:v>
      </x:c>
      <x:c r="G261" s="29" t="str">
        <x:f>IF(E261=F261,"PASS","FAIL")</x:f>
        <x:v>PASS</x:v>
      </x:c>
    </x:row>
    <x:row r="262" ht="18" customHeight="1">
      <x:c r="B262" s="27" t="str">
        <x:v>A0256</x:v>
      </x:c>
      <x:c r="C262" s="27" t="str">
        <x:v>articles</x:v>
      </x:c>
      <x:c r="D262" s="27" t="str">
        <x:v>Article row 14 cost extension</x:v>
      </x:c>
      <x:c r="E262" s="27" t="n">
        <x:f>IF(ABS('Prototype Articles'!K14-'Prototype Articles'!C14*'Prototype Articles'!J14/1000)&lt;0.000001,1,0)</x:f>
        <x:v>1</x:v>
      </x:c>
      <x:c r="F262" s="27" t="n">
        <x:v>1</x:v>
      </x:c>
      <x:c r="G262" s="29" t="str">
        <x:f>IF(E262=F262,"PASS","FAIL")</x:f>
        <x:v>PASS</x:v>
      </x:c>
    </x:row>
    <x:row r="263" ht="18" customHeight="1">
      <x:c r="B263" s="27" t="str">
        <x:v>A0257</x:v>
      </x:c>
      <x:c r="C263" s="27" t="str">
        <x:v>articles</x:v>
      </x:c>
      <x:c r="D263" s="27" t="str">
        <x:v>Article row 14 evidence open</x:v>
      </x:c>
      <x:c r="E263" s="27" t="n">
        <x:f>IF('Prototype Articles'!M14="OPEN",1,0)</x:f>
        <x:v>1</x:v>
      </x:c>
      <x:c r="F263" s="27" t="n">
        <x:v>1</x:v>
      </x:c>
      <x:c r="G263" s="29" t="str">
        <x:f>IF(E263=F263,"PASS","FAIL")</x:f>
        <x:v>PASS</x:v>
      </x:c>
    </x:row>
    <x:row r="264" ht="18" customHeight="1">
      <x:c r="B264" s="27" t="str">
        <x:v>A0258</x:v>
      </x:c>
      <x:c r="C264" s="27" t="str">
        <x:v>articles</x:v>
      </x:c>
      <x:c r="D264" s="27" t="str">
        <x:v>Article row 15 deployable balance</x:v>
      </x:c>
      <x:c r="E264" s="27" t="n">
        <x:f>IF('Prototype Articles'!G15='Prototype Articles'!C15-'Prototype Articles'!D15-'Prototype Articles'!E15-'Prototype Articles'!F15,1,0)</x:f>
        <x:v>1</x:v>
      </x:c>
      <x:c r="F264" s="27" t="n">
        <x:v>1</x:v>
      </x:c>
      <x:c r="G264" s="29" t="str">
        <x:f>IF(E264=F264,"PASS","FAIL")</x:f>
        <x:v>PASS</x:v>
      </x:c>
    </x:row>
    <x:row r="265" ht="18" customHeight="1">
      <x:c r="B265" s="27" t="str">
        <x:v>A0259</x:v>
      </x:c>
      <x:c r="C265" s="27" t="str">
        <x:v>articles</x:v>
      </x:c>
      <x:c r="D265" s="27" t="str">
        <x:v>Article row 15 nonnegative margin</x:v>
      </x:c>
      <x:c r="E265" s="27" t="n">
        <x:f>IF('Prototype Articles'!I15&gt;=0,1,0)</x:f>
        <x:v>1</x:v>
      </x:c>
      <x:c r="F265" s="27" t="n">
        <x:v>1</x:v>
      </x:c>
      <x:c r="G265" s="29" t="str">
        <x:f>IF(E265=F265,"PASS","FAIL")</x:f>
        <x:v>PASS</x:v>
      </x:c>
    </x:row>
    <x:row r="266" ht="18" customHeight="1">
      <x:c r="B266" s="27" t="str">
        <x:v>A0260</x:v>
      </x:c>
      <x:c r="C266" s="27" t="str">
        <x:v>articles</x:v>
      </x:c>
      <x:c r="D266" s="27" t="str">
        <x:v>Article row 15 cost extension</x:v>
      </x:c>
      <x:c r="E266" s="27" t="n">
        <x:f>IF(ABS('Prototype Articles'!K15-'Prototype Articles'!C15*'Prototype Articles'!J15/1000)&lt;0.000001,1,0)</x:f>
        <x:v>1</x:v>
      </x:c>
      <x:c r="F266" s="27" t="n">
        <x:v>1</x:v>
      </x:c>
      <x:c r="G266" s="29" t="str">
        <x:f>IF(E266=F266,"PASS","FAIL")</x:f>
        <x:v>PASS</x:v>
      </x:c>
    </x:row>
    <x:row r="267" ht="18" customHeight="1">
      <x:c r="B267" s="27" t="str">
        <x:v>A0261</x:v>
      </x:c>
      <x:c r="C267" s="27" t="str">
        <x:v>articles</x:v>
      </x:c>
      <x:c r="D267" s="27" t="str">
        <x:v>Article row 15 evidence open</x:v>
      </x:c>
      <x:c r="E267" s="27" t="n">
        <x:f>IF('Prototype Articles'!M15="OPEN",1,0)</x:f>
        <x:v>1</x:v>
      </x:c>
      <x:c r="F267" s="27" t="n">
        <x:v>1</x:v>
      </x:c>
      <x:c r="G267" s="29" t="str">
        <x:f>IF(E267=F267,"PASS","FAIL")</x:f>
        <x:v>PASS</x:v>
      </x:c>
    </x:row>
    <x:row r="268" ht="18" customHeight="1">
      <x:c r="B268" s="27" t="str">
        <x:v>A0262</x:v>
      </x:c>
      <x:c r="C268" s="27" t="str">
        <x:v>articles</x:v>
      </x:c>
      <x:c r="D268" s="27" t="str">
        <x:v>Article row 16 deployable balance</x:v>
      </x:c>
      <x:c r="E268" s="27" t="n">
        <x:f>IF('Prototype Articles'!G16='Prototype Articles'!C16-'Prototype Articles'!D16-'Prototype Articles'!E16-'Prototype Articles'!F16,1,0)</x:f>
        <x:v>1</x:v>
      </x:c>
      <x:c r="F268" s="27" t="n">
        <x:v>1</x:v>
      </x:c>
      <x:c r="G268" s="29" t="str">
        <x:f>IF(E268=F268,"PASS","FAIL")</x:f>
        <x:v>PASS</x:v>
      </x:c>
    </x:row>
    <x:row r="269" ht="18" customHeight="1">
      <x:c r="B269" s="27" t="str">
        <x:v>A0263</x:v>
      </x:c>
      <x:c r="C269" s="27" t="str">
        <x:v>articles</x:v>
      </x:c>
      <x:c r="D269" s="27" t="str">
        <x:v>Article row 16 nonnegative margin</x:v>
      </x:c>
      <x:c r="E269" s="27" t="n">
        <x:f>IF('Prototype Articles'!I16&gt;=0,1,0)</x:f>
        <x:v>1</x:v>
      </x:c>
      <x:c r="F269" s="27" t="n">
        <x:v>1</x:v>
      </x:c>
      <x:c r="G269" s="29" t="str">
        <x:f>IF(E269=F269,"PASS","FAIL")</x:f>
        <x:v>PASS</x:v>
      </x:c>
    </x:row>
    <x:row r="270" ht="18" customHeight="1">
      <x:c r="B270" s="27" t="str">
        <x:v>A0264</x:v>
      </x:c>
      <x:c r="C270" s="27" t="str">
        <x:v>articles</x:v>
      </x:c>
      <x:c r="D270" s="27" t="str">
        <x:v>Article row 16 cost extension</x:v>
      </x:c>
      <x:c r="E270" s="27" t="n">
        <x:f>IF(ABS('Prototype Articles'!K16-'Prototype Articles'!C16*'Prototype Articles'!J16/1000)&lt;0.000001,1,0)</x:f>
        <x:v>1</x:v>
      </x:c>
      <x:c r="F270" s="27" t="n">
        <x:v>1</x:v>
      </x:c>
      <x:c r="G270" s="29" t="str">
        <x:f>IF(E270=F270,"PASS","FAIL")</x:f>
        <x:v>PASS</x:v>
      </x:c>
    </x:row>
    <x:row r="271" ht="18" customHeight="1">
      <x:c r="B271" s="27" t="str">
        <x:v>A0265</x:v>
      </x:c>
      <x:c r="C271" s="27" t="str">
        <x:v>articles</x:v>
      </x:c>
      <x:c r="D271" s="27" t="str">
        <x:v>Article row 16 evidence open</x:v>
      </x:c>
      <x:c r="E271" s="27" t="n">
        <x:f>IF('Prototype Articles'!M16="OPEN",1,0)</x:f>
        <x:v>1</x:v>
      </x:c>
      <x:c r="F271" s="27" t="n">
        <x:v>1</x:v>
      </x:c>
      <x:c r="G271" s="29" t="str">
        <x:f>IF(E271=F271,"PASS","FAIL")</x:f>
        <x:v>PASS</x:v>
      </x:c>
    </x:row>
    <x:row r="272" ht="18" customHeight="1">
      <x:c r="B272" s="27" t="str">
        <x:v>A0266</x:v>
      </x:c>
      <x:c r="C272" s="27" t="str">
        <x:v>articles</x:v>
      </x:c>
      <x:c r="D272" s="27" t="str">
        <x:v>Article row 17 deployable balance</x:v>
      </x:c>
      <x:c r="E272" s="27" t="n">
        <x:f>IF('Prototype Articles'!G17='Prototype Articles'!C17-'Prototype Articles'!D17-'Prototype Articles'!E17-'Prototype Articles'!F17,1,0)</x:f>
        <x:v>1</x:v>
      </x:c>
      <x:c r="F272" s="27" t="n">
        <x:v>1</x:v>
      </x:c>
      <x:c r="G272" s="29" t="str">
        <x:f>IF(E272=F272,"PASS","FAIL")</x:f>
        <x:v>PASS</x:v>
      </x:c>
    </x:row>
    <x:row r="273" ht="18" customHeight="1">
      <x:c r="B273" s="27" t="str">
        <x:v>A0267</x:v>
      </x:c>
      <x:c r="C273" s="27" t="str">
        <x:v>articles</x:v>
      </x:c>
      <x:c r="D273" s="27" t="str">
        <x:v>Article row 17 nonnegative margin</x:v>
      </x:c>
      <x:c r="E273" s="27" t="n">
        <x:f>IF('Prototype Articles'!I17&gt;=0,1,0)</x:f>
        <x:v>1</x:v>
      </x:c>
      <x:c r="F273" s="27" t="n">
        <x:v>1</x:v>
      </x:c>
      <x:c r="G273" s="29" t="str">
        <x:f>IF(E273=F273,"PASS","FAIL")</x:f>
        <x:v>PASS</x:v>
      </x:c>
    </x:row>
    <x:row r="274" ht="18" customHeight="1">
      <x:c r="B274" s="27" t="str">
        <x:v>A0268</x:v>
      </x:c>
      <x:c r="C274" s="27" t="str">
        <x:v>articles</x:v>
      </x:c>
      <x:c r="D274" s="27" t="str">
        <x:v>Article row 17 cost extension</x:v>
      </x:c>
      <x:c r="E274" s="27" t="n">
        <x:f>IF(ABS('Prototype Articles'!K17-'Prototype Articles'!C17*'Prototype Articles'!J17/1000)&lt;0.000001,1,0)</x:f>
        <x:v>1</x:v>
      </x:c>
      <x:c r="F274" s="27" t="n">
        <x:v>1</x:v>
      </x:c>
      <x:c r="G274" s="29" t="str">
        <x:f>IF(E274=F274,"PASS","FAIL")</x:f>
        <x:v>PASS</x:v>
      </x:c>
    </x:row>
    <x:row r="275" ht="18" customHeight="1">
      <x:c r="B275" s="27" t="str">
        <x:v>A0269</x:v>
      </x:c>
      <x:c r="C275" s="27" t="str">
        <x:v>articles</x:v>
      </x:c>
      <x:c r="D275" s="27" t="str">
        <x:v>Article row 17 evidence open</x:v>
      </x:c>
      <x:c r="E275" s="27" t="n">
        <x:f>IF('Prototype Articles'!M17="OPEN",1,0)</x:f>
        <x:v>1</x:v>
      </x:c>
      <x:c r="F275" s="27" t="n">
        <x:v>1</x:v>
      </x:c>
      <x:c r="G275" s="29" t="str">
        <x:f>IF(E275=F275,"PASS","FAIL")</x:f>
        <x:v>PASS</x:v>
      </x:c>
    </x:row>
    <x:row r="276" ht="18" customHeight="1">
      <x:c r="B276" s="27" t="str">
        <x:v>A0270</x:v>
      </x:c>
      <x:c r="C276" s="27" t="str">
        <x:v>trial</x:v>
      </x:c>
      <x:c r="D276" s="27" t="str">
        <x:v>Trial row 7 state open</x:v>
      </x:c>
      <x:c r="E276" s="27" t="n">
        <x:f>IF('Trial Register'!L7="OPEN",1,0)</x:f>
        <x:v>1</x:v>
      </x:c>
      <x:c r="F276" s="27" t="n">
        <x:v>1</x:v>
      </x:c>
      <x:c r="G276" s="29" t="str">
        <x:f>IF(E276=F276,"PASS","FAIL")</x:f>
        <x:v>PASS</x:v>
      </x:c>
    </x:row>
    <x:row r="277" ht="18" customHeight="1">
      <x:c r="B277" s="27" t="str">
        <x:v>A0271</x:v>
      </x:c>
      <x:c r="C277" s="27" t="str">
        <x:v>trial</x:v>
      </x:c>
      <x:c r="D277" s="27" t="str">
        <x:v>Trial row 7 zero credit</x:v>
      </x:c>
      <x:c r="E277" s="27" t="n">
        <x:f>IF('Trial Register'!M7=0,1,0)</x:f>
        <x:v>1</x:v>
      </x:c>
      <x:c r="F277" s="27" t="n">
        <x:v>1</x:v>
      </x:c>
      <x:c r="G277" s="29" t="str">
        <x:f>IF(E277=F277,"PASS","FAIL")</x:f>
        <x:v>PASS</x:v>
      </x:c>
    </x:row>
    <x:row r="278" ht="18" customHeight="1">
      <x:c r="B278" s="27" t="str">
        <x:v>A0272</x:v>
      </x:c>
      <x:c r="C278" s="27" t="str">
        <x:v>trial</x:v>
      </x:c>
      <x:c r="D278" s="27" t="str">
        <x:v>Trial row 7 has authority</x:v>
      </x:c>
      <x:c r="E278" s="27" t="n">
        <x:f>IF('Trial Register'!J7&lt;&gt;"",1,0)</x:f>
        <x:v>1</x:v>
      </x:c>
      <x:c r="F278" s="27" t="n">
        <x:v>1</x:v>
      </x:c>
      <x:c r="G278" s="29" t="str">
        <x:f>IF(E278=F278,"PASS","FAIL")</x:f>
        <x:v>PASS</x:v>
      </x:c>
    </x:row>
    <x:row r="279" ht="18" customHeight="1">
      <x:c r="B279" s="27" t="str">
        <x:v>A0273</x:v>
      </x:c>
      <x:c r="C279" s="27" t="str">
        <x:v>trial</x:v>
      </x:c>
      <x:c r="D279" s="27" t="str">
        <x:v>Trial row 7 campaign registered</x:v>
      </x:c>
      <x:c r="E279" s="27" t="n">
        <x:f>IF(COUNTIFS('Campaign Schedule'!B7:B14,'Trial Register'!C7)=1,1,0)</x:f>
        <x:v>1</x:v>
      </x:c>
      <x:c r="F279" s="27" t="n">
        <x:v>1</x:v>
      </x:c>
      <x:c r="G279" s="29" t="str">
        <x:f>IF(E279=F279,"PASS","FAIL")</x:f>
        <x:v>PASS</x:v>
      </x:c>
    </x:row>
    <x:row r="280" ht="18" customHeight="1">
      <x:c r="B280" s="27" t="str">
        <x:v>A0274</x:v>
      </x:c>
      <x:c r="C280" s="27" t="str">
        <x:v>trial</x:v>
      </x:c>
      <x:c r="D280" s="27" t="str">
        <x:v>Trial row 7 date order</x:v>
      </x:c>
      <x:c r="E280" s="27" t="n">
        <x:f>IF('Trial Register'!O7&gt;='Trial Register'!N7,1,0)</x:f>
        <x:v>1</x:v>
      </x:c>
      <x:c r="F280" s="27" t="n">
        <x:v>1</x:v>
      </x:c>
      <x:c r="G280" s="29" t="str">
        <x:f>IF(E280=F280,"PASS","FAIL")</x:f>
        <x:v>PASS</x:v>
      </x:c>
    </x:row>
    <x:row r="281" ht="18" customHeight="1">
      <x:c r="B281" s="27" t="str">
        <x:v>A0275</x:v>
      </x:c>
      <x:c r="C281" s="27" t="str">
        <x:v>trial</x:v>
      </x:c>
      <x:c r="D281" s="27" t="str">
        <x:v>Trial row 8 state open</x:v>
      </x:c>
      <x:c r="E281" s="27" t="n">
        <x:f>IF('Trial Register'!L8="OPEN",1,0)</x:f>
        <x:v>1</x:v>
      </x:c>
      <x:c r="F281" s="27" t="n">
        <x:v>1</x:v>
      </x:c>
      <x:c r="G281" s="29" t="str">
        <x:f>IF(E281=F281,"PASS","FAIL")</x:f>
        <x:v>PASS</x:v>
      </x:c>
    </x:row>
    <x:row r="282" ht="18" customHeight="1">
      <x:c r="B282" s="27" t="str">
        <x:v>A0276</x:v>
      </x:c>
      <x:c r="C282" s="27" t="str">
        <x:v>trial</x:v>
      </x:c>
      <x:c r="D282" s="27" t="str">
        <x:v>Trial row 8 zero credit</x:v>
      </x:c>
      <x:c r="E282" s="27" t="n">
        <x:f>IF('Trial Register'!M8=0,1,0)</x:f>
        <x:v>1</x:v>
      </x:c>
      <x:c r="F282" s="27" t="n">
        <x:v>1</x:v>
      </x:c>
      <x:c r="G282" s="29" t="str">
        <x:f>IF(E282=F282,"PASS","FAIL")</x:f>
        <x:v>PASS</x:v>
      </x:c>
    </x:row>
    <x:row r="283" ht="18" customHeight="1">
      <x:c r="B283" s="27" t="str">
        <x:v>A0277</x:v>
      </x:c>
      <x:c r="C283" s="27" t="str">
        <x:v>trial</x:v>
      </x:c>
      <x:c r="D283" s="27" t="str">
        <x:v>Trial row 8 has authority</x:v>
      </x:c>
      <x:c r="E283" s="27" t="n">
        <x:f>IF('Trial Register'!J8&lt;&gt;"",1,0)</x:f>
        <x:v>1</x:v>
      </x:c>
      <x:c r="F283" s="27" t="n">
        <x:v>1</x:v>
      </x:c>
      <x:c r="G283" s="29" t="str">
        <x:f>IF(E283=F283,"PASS","FAIL")</x:f>
        <x:v>PASS</x:v>
      </x:c>
    </x:row>
    <x:row r="284" ht="18" customHeight="1">
      <x:c r="B284" s="27" t="str">
        <x:v>A0278</x:v>
      </x:c>
      <x:c r="C284" s="27" t="str">
        <x:v>trial</x:v>
      </x:c>
      <x:c r="D284" s="27" t="str">
        <x:v>Trial row 8 campaign registered</x:v>
      </x:c>
      <x:c r="E284" s="27" t="n">
        <x:f>IF(COUNTIFS('Campaign Schedule'!B7:B14,'Trial Register'!C8)=1,1,0)</x:f>
        <x:v>1</x:v>
      </x:c>
      <x:c r="F284" s="27" t="n">
        <x:v>1</x:v>
      </x:c>
      <x:c r="G284" s="29" t="str">
        <x:f>IF(E284=F284,"PASS","FAIL")</x:f>
        <x:v>PASS</x:v>
      </x:c>
    </x:row>
    <x:row r="285" ht="18" customHeight="1">
      <x:c r="B285" s="27" t="str">
        <x:v>A0279</x:v>
      </x:c>
      <x:c r="C285" s="27" t="str">
        <x:v>trial</x:v>
      </x:c>
      <x:c r="D285" s="27" t="str">
        <x:v>Trial row 8 date order</x:v>
      </x:c>
      <x:c r="E285" s="27" t="n">
        <x:f>IF('Trial Register'!O8&gt;='Trial Register'!N8,1,0)</x:f>
        <x:v>1</x:v>
      </x:c>
      <x:c r="F285" s="27" t="n">
        <x:v>1</x:v>
      </x:c>
      <x:c r="G285" s="29" t="str">
        <x:f>IF(E285=F285,"PASS","FAIL")</x:f>
        <x:v>PASS</x:v>
      </x:c>
    </x:row>
    <x:row r="286" ht="18" customHeight="1">
      <x:c r="B286" s="27" t="str">
        <x:v>A0280</x:v>
      </x:c>
      <x:c r="C286" s="27" t="str">
        <x:v>trial</x:v>
      </x:c>
      <x:c r="D286" s="27" t="str">
        <x:v>Trial row 9 state open</x:v>
      </x:c>
      <x:c r="E286" s="27" t="n">
        <x:f>IF('Trial Register'!L9="OPEN",1,0)</x:f>
        <x:v>1</x:v>
      </x:c>
      <x:c r="F286" s="27" t="n">
        <x:v>1</x:v>
      </x:c>
      <x:c r="G286" s="29" t="str">
        <x:f>IF(E286=F286,"PASS","FAIL")</x:f>
        <x:v>PASS</x:v>
      </x:c>
    </x:row>
    <x:row r="287" ht="18" customHeight="1">
      <x:c r="B287" s="27" t="str">
        <x:v>A0281</x:v>
      </x:c>
      <x:c r="C287" s="27" t="str">
        <x:v>trial</x:v>
      </x:c>
      <x:c r="D287" s="27" t="str">
        <x:v>Trial row 9 zero credit</x:v>
      </x:c>
      <x:c r="E287" s="27" t="n">
        <x:f>IF('Trial Register'!M9=0,1,0)</x:f>
        <x:v>1</x:v>
      </x:c>
      <x:c r="F287" s="27" t="n">
        <x:v>1</x:v>
      </x:c>
      <x:c r="G287" s="29" t="str">
        <x:f>IF(E287=F287,"PASS","FAIL")</x:f>
        <x:v>PASS</x:v>
      </x:c>
    </x:row>
    <x:row r="288" ht="18" customHeight="1">
      <x:c r="B288" s="27" t="str">
        <x:v>A0282</x:v>
      </x:c>
      <x:c r="C288" s="27" t="str">
        <x:v>trial</x:v>
      </x:c>
      <x:c r="D288" s="27" t="str">
        <x:v>Trial row 9 has authority</x:v>
      </x:c>
      <x:c r="E288" s="27" t="n">
        <x:f>IF('Trial Register'!J9&lt;&gt;"",1,0)</x:f>
        <x:v>1</x:v>
      </x:c>
      <x:c r="F288" s="27" t="n">
        <x:v>1</x:v>
      </x:c>
      <x:c r="G288" s="29" t="str">
        <x:f>IF(E288=F288,"PASS","FAIL")</x:f>
        <x:v>PASS</x:v>
      </x:c>
    </x:row>
    <x:row r="289" ht="18" customHeight="1">
      <x:c r="B289" s="27" t="str">
        <x:v>A0283</x:v>
      </x:c>
      <x:c r="C289" s="27" t="str">
        <x:v>trial</x:v>
      </x:c>
      <x:c r="D289" s="27" t="str">
        <x:v>Trial row 9 campaign registered</x:v>
      </x:c>
      <x:c r="E289" s="27" t="n">
        <x:f>IF(COUNTIFS('Campaign Schedule'!B7:B14,'Trial Register'!C9)=1,1,0)</x:f>
        <x:v>1</x:v>
      </x:c>
      <x:c r="F289" s="27" t="n">
        <x:v>1</x:v>
      </x:c>
      <x:c r="G289" s="29" t="str">
        <x:f>IF(E289=F289,"PASS","FAIL")</x:f>
        <x:v>PASS</x:v>
      </x:c>
    </x:row>
    <x:row r="290" ht="18" customHeight="1">
      <x:c r="B290" s="27" t="str">
        <x:v>A0284</x:v>
      </x:c>
      <x:c r="C290" s="27" t="str">
        <x:v>trial</x:v>
      </x:c>
      <x:c r="D290" s="27" t="str">
        <x:v>Trial row 9 date order</x:v>
      </x:c>
      <x:c r="E290" s="27" t="n">
        <x:f>IF('Trial Register'!O9&gt;='Trial Register'!N9,1,0)</x:f>
        <x:v>1</x:v>
      </x:c>
      <x:c r="F290" s="27" t="n">
        <x:v>1</x:v>
      </x:c>
      <x:c r="G290" s="29" t="str">
        <x:f>IF(E290=F290,"PASS","FAIL")</x:f>
        <x:v>PASS</x:v>
      </x:c>
    </x:row>
    <x:row r="291" ht="18" customHeight="1">
      <x:c r="B291" s="27" t="str">
        <x:v>A0285</x:v>
      </x:c>
      <x:c r="C291" s="27" t="str">
        <x:v>trial</x:v>
      </x:c>
      <x:c r="D291" s="27" t="str">
        <x:v>Trial row 10 state open</x:v>
      </x:c>
      <x:c r="E291" s="27" t="n">
        <x:f>IF('Trial Register'!L10="OPEN",1,0)</x:f>
        <x:v>1</x:v>
      </x:c>
      <x:c r="F291" s="27" t="n">
        <x:v>1</x:v>
      </x:c>
      <x:c r="G291" s="29" t="str">
        <x:f>IF(E291=F291,"PASS","FAIL")</x:f>
        <x:v>PASS</x:v>
      </x:c>
    </x:row>
    <x:row r="292" ht="18" customHeight="1">
      <x:c r="B292" s="27" t="str">
        <x:v>A0286</x:v>
      </x:c>
      <x:c r="C292" s="27" t="str">
        <x:v>trial</x:v>
      </x:c>
      <x:c r="D292" s="27" t="str">
        <x:v>Trial row 10 zero credit</x:v>
      </x:c>
      <x:c r="E292" s="27" t="n">
        <x:f>IF('Trial Register'!M10=0,1,0)</x:f>
        <x:v>1</x:v>
      </x:c>
      <x:c r="F292" s="27" t="n">
        <x:v>1</x:v>
      </x:c>
      <x:c r="G292" s="29" t="str">
        <x:f>IF(E292=F292,"PASS","FAIL")</x:f>
        <x:v>PASS</x:v>
      </x:c>
    </x:row>
    <x:row r="293" ht="18" customHeight="1">
      <x:c r="B293" s="27" t="str">
        <x:v>A0287</x:v>
      </x:c>
      <x:c r="C293" s="27" t="str">
        <x:v>trial</x:v>
      </x:c>
      <x:c r="D293" s="27" t="str">
        <x:v>Trial row 10 has authority</x:v>
      </x:c>
      <x:c r="E293" s="27" t="n">
        <x:f>IF('Trial Register'!J10&lt;&gt;"",1,0)</x:f>
        <x:v>1</x:v>
      </x:c>
      <x:c r="F293" s="27" t="n">
        <x:v>1</x:v>
      </x:c>
      <x:c r="G293" s="29" t="str">
        <x:f>IF(E293=F293,"PASS","FAIL")</x:f>
        <x:v>PASS</x:v>
      </x:c>
    </x:row>
    <x:row r="294" ht="18" customHeight="1">
      <x:c r="B294" s="27" t="str">
        <x:v>A0288</x:v>
      </x:c>
      <x:c r="C294" s="27" t="str">
        <x:v>trial</x:v>
      </x:c>
      <x:c r="D294" s="27" t="str">
        <x:v>Trial row 10 campaign registered</x:v>
      </x:c>
      <x:c r="E294" s="27" t="n">
        <x:f>IF(COUNTIFS('Campaign Schedule'!B7:B14,'Trial Register'!C10)=1,1,0)</x:f>
        <x:v>1</x:v>
      </x:c>
      <x:c r="F294" s="27" t="n">
        <x:v>1</x:v>
      </x:c>
      <x:c r="G294" s="29" t="str">
        <x:f>IF(E294=F294,"PASS","FAIL")</x:f>
        <x:v>PASS</x:v>
      </x:c>
    </x:row>
    <x:row r="295" ht="18" customHeight="1">
      <x:c r="B295" s="27" t="str">
        <x:v>A0289</x:v>
      </x:c>
      <x:c r="C295" s="27" t="str">
        <x:v>trial</x:v>
      </x:c>
      <x:c r="D295" s="27" t="str">
        <x:v>Trial row 10 date order</x:v>
      </x:c>
      <x:c r="E295" s="27" t="n">
        <x:f>IF('Trial Register'!O10&gt;='Trial Register'!N10,1,0)</x:f>
        <x:v>1</x:v>
      </x:c>
      <x:c r="F295" s="27" t="n">
        <x:v>1</x:v>
      </x:c>
      <x:c r="G295" s="29" t="str">
        <x:f>IF(E295=F295,"PASS","FAIL")</x:f>
        <x:v>PASS</x:v>
      </x:c>
    </x:row>
    <x:row r="296" ht="18" customHeight="1">
      <x:c r="B296" s="27" t="str">
        <x:v>A0290</x:v>
      </x:c>
      <x:c r="C296" s="27" t="str">
        <x:v>trial</x:v>
      </x:c>
      <x:c r="D296" s="27" t="str">
        <x:v>Trial row 11 state open</x:v>
      </x:c>
      <x:c r="E296" s="27" t="n">
        <x:f>IF('Trial Register'!L11="OPEN",1,0)</x:f>
        <x:v>1</x:v>
      </x:c>
      <x:c r="F296" s="27" t="n">
        <x:v>1</x:v>
      </x:c>
      <x:c r="G296" s="29" t="str">
        <x:f>IF(E296=F296,"PASS","FAIL")</x:f>
        <x:v>PASS</x:v>
      </x:c>
    </x:row>
    <x:row r="297" ht="18" customHeight="1">
      <x:c r="B297" s="27" t="str">
        <x:v>A0291</x:v>
      </x:c>
      <x:c r="C297" s="27" t="str">
        <x:v>trial</x:v>
      </x:c>
      <x:c r="D297" s="27" t="str">
        <x:v>Trial row 11 zero credit</x:v>
      </x:c>
      <x:c r="E297" s="27" t="n">
        <x:f>IF('Trial Register'!M11=0,1,0)</x:f>
        <x:v>1</x:v>
      </x:c>
      <x:c r="F297" s="27" t="n">
        <x:v>1</x:v>
      </x:c>
      <x:c r="G297" s="29" t="str">
        <x:f>IF(E297=F297,"PASS","FAIL")</x:f>
        <x:v>PASS</x:v>
      </x:c>
    </x:row>
    <x:row r="298" ht="18" customHeight="1">
      <x:c r="B298" s="27" t="str">
        <x:v>A0292</x:v>
      </x:c>
      <x:c r="C298" s="27" t="str">
        <x:v>trial</x:v>
      </x:c>
      <x:c r="D298" s="27" t="str">
        <x:v>Trial row 11 has authority</x:v>
      </x:c>
      <x:c r="E298" s="27" t="n">
        <x:f>IF('Trial Register'!J11&lt;&gt;"",1,0)</x:f>
        <x:v>1</x:v>
      </x:c>
      <x:c r="F298" s="27" t="n">
        <x:v>1</x:v>
      </x:c>
      <x:c r="G298" s="29" t="str">
        <x:f>IF(E298=F298,"PASS","FAIL")</x:f>
        <x:v>PASS</x:v>
      </x:c>
    </x:row>
    <x:row r="299" ht="18" customHeight="1">
      <x:c r="B299" s="27" t="str">
        <x:v>A0293</x:v>
      </x:c>
      <x:c r="C299" s="27" t="str">
        <x:v>trial</x:v>
      </x:c>
      <x:c r="D299" s="27" t="str">
        <x:v>Trial row 11 campaign registered</x:v>
      </x:c>
      <x:c r="E299" s="27" t="n">
        <x:f>IF(COUNTIFS('Campaign Schedule'!B7:B14,'Trial Register'!C11)=1,1,0)</x:f>
        <x:v>1</x:v>
      </x:c>
      <x:c r="F299" s="27" t="n">
        <x:v>1</x:v>
      </x:c>
      <x:c r="G299" s="29" t="str">
        <x:f>IF(E299=F299,"PASS","FAIL")</x:f>
        <x:v>PASS</x:v>
      </x:c>
    </x:row>
    <x:row r="300" ht="18" customHeight="1">
      <x:c r="B300" s="27" t="str">
        <x:v>A0294</x:v>
      </x:c>
      <x:c r="C300" s="27" t="str">
        <x:v>trial</x:v>
      </x:c>
      <x:c r="D300" s="27" t="str">
        <x:v>Trial row 11 date order</x:v>
      </x:c>
      <x:c r="E300" s="27" t="n">
        <x:f>IF('Trial Register'!O11&gt;='Trial Register'!N11,1,0)</x:f>
        <x:v>1</x:v>
      </x:c>
      <x:c r="F300" s="27" t="n">
        <x:v>1</x:v>
      </x:c>
      <x:c r="G300" s="29" t="str">
        <x:f>IF(E300=F300,"PASS","FAIL")</x:f>
        <x:v>PASS</x:v>
      </x:c>
    </x:row>
    <x:row r="301" ht="18" customHeight="1">
      <x:c r="B301" s="27" t="str">
        <x:v>A0295</x:v>
      </x:c>
      <x:c r="C301" s="27" t="str">
        <x:v>trial</x:v>
      </x:c>
      <x:c r="D301" s="27" t="str">
        <x:v>Trial row 12 state open</x:v>
      </x:c>
      <x:c r="E301" s="27" t="n">
        <x:f>IF('Trial Register'!L12="OPEN",1,0)</x:f>
        <x:v>1</x:v>
      </x:c>
      <x:c r="F301" s="27" t="n">
        <x:v>1</x:v>
      </x:c>
      <x:c r="G301" s="29" t="str">
        <x:f>IF(E301=F301,"PASS","FAIL")</x:f>
        <x:v>PASS</x:v>
      </x:c>
    </x:row>
    <x:row r="302" ht="18" customHeight="1">
      <x:c r="B302" s="27" t="str">
        <x:v>A0296</x:v>
      </x:c>
      <x:c r="C302" s="27" t="str">
        <x:v>trial</x:v>
      </x:c>
      <x:c r="D302" s="27" t="str">
        <x:v>Trial row 12 zero credit</x:v>
      </x:c>
      <x:c r="E302" s="27" t="n">
        <x:f>IF('Trial Register'!M12=0,1,0)</x:f>
        <x:v>1</x:v>
      </x:c>
      <x:c r="F302" s="27" t="n">
        <x:v>1</x:v>
      </x:c>
      <x:c r="G302" s="29" t="str">
        <x:f>IF(E302=F302,"PASS","FAIL")</x:f>
        <x:v>PASS</x:v>
      </x:c>
    </x:row>
    <x:row r="303" ht="18" customHeight="1">
      <x:c r="B303" s="27" t="str">
        <x:v>A0297</x:v>
      </x:c>
      <x:c r="C303" s="27" t="str">
        <x:v>trial</x:v>
      </x:c>
      <x:c r="D303" s="27" t="str">
        <x:v>Trial row 12 has authority</x:v>
      </x:c>
      <x:c r="E303" s="27" t="n">
        <x:f>IF('Trial Register'!J12&lt;&gt;"",1,0)</x:f>
        <x:v>1</x:v>
      </x:c>
      <x:c r="F303" s="27" t="n">
        <x:v>1</x:v>
      </x:c>
      <x:c r="G303" s="29" t="str">
        <x:f>IF(E303=F303,"PASS","FAIL")</x:f>
        <x:v>PASS</x:v>
      </x:c>
    </x:row>
    <x:row r="304" ht="18" customHeight="1">
      <x:c r="B304" s="27" t="str">
        <x:v>A0298</x:v>
      </x:c>
      <x:c r="C304" s="27" t="str">
        <x:v>trial</x:v>
      </x:c>
      <x:c r="D304" s="27" t="str">
        <x:v>Trial row 12 campaign registered</x:v>
      </x:c>
      <x:c r="E304" s="27" t="n">
        <x:f>IF(COUNTIFS('Campaign Schedule'!B7:B14,'Trial Register'!C12)=1,1,0)</x:f>
        <x:v>1</x:v>
      </x:c>
      <x:c r="F304" s="27" t="n">
        <x:v>1</x:v>
      </x:c>
      <x:c r="G304" s="29" t="str">
        <x:f>IF(E304=F304,"PASS","FAIL")</x:f>
        <x:v>PASS</x:v>
      </x:c>
    </x:row>
    <x:row r="305" ht="18" customHeight="1">
      <x:c r="B305" s="27" t="str">
        <x:v>A0299</x:v>
      </x:c>
      <x:c r="C305" s="27" t="str">
        <x:v>trial</x:v>
      </x:c>
      <x:c r="D305" s="27" t="str">
        <x:v>Trial row 12 date order</x:v>
      </x:c>
      <x:c r="E305" s="27" t="n">
        <x:f>IF('Trial Register'!O12&gt;='Trial Register'!N12,1,0)</x:f>
        <x:v>1</x:v>
      </x:c>
      <x:c r="F305" s="27" t="n">
        <x:v>1</x:v>
      </x:c>
      <x:c r="G305" s="29" t="str">
        <x:f>IF(E305=F305,"PASS","FAIL")</x:f>
        <x:v>PASS</x:v>
      </x:c>
    </x:row>
    <x:row r="306" ht="18" customHeight="1">
      <x:c r="B306" s="27" t="str">
        <x:v>A0300</x:v>
      </x:c>
      <x:c r="C306" s="27" t="str">
        <x:v>trial</x:v>
      </x:c>
      <x:c r="D306" s="27" t="str">
        <x:v>Trial row 13 state open</x:v>
      </x:c>
      <x:c r="E306" s="27" t="n">
        <x:f>IF('Trial Register'!L13="OPEN",1,0)</x:f>
        <x:v>1</x:v>
      </x:c>
      <x:c r="F306" s="27" t="n">
        <x:v>1</x:v>
      </x:c>
      <x:c r="G306" s="29" t="str">
        <x:f>IF(E306=F306,"PASS","FAIL")</x:f>
        <x:v>PASS</x:v>
      </x:c>
    </x:row>
    <x:row r="307" ht="18" customHeight="1">
      <x:c r="B307" s="27" t="str">
        <x:v>A0301</x:v>
      </x:c>
      <x:c r="C307" s="27" t="str">
        <x:v>trial</x:v>
      </x:c>
      <x:c r="D307" s="27" t="str">
        <x:v>Trial row 13 zero credit</x:v>
      </x:c>
      <x:c r="E307" s="27" t="n">
        <x:f>IF('Trial Register'!M13=0,1,0)</x:f>
        <x:v>1</x:v>
      </x:c>
      <x:c r="F307" s="27" t="n">
        <x:v>1</x:v>
      </x:c>
      <x:c r="G307" s="29" t="str">
        <x:f>IF(E307=F307,"PASS","FAIL")</x:f>
        <x:v>PASS</x:v>
      </x:c>
    </x:row>
    <x:row r="308" ht="18" customHeight="1">
      <x:c r="B308" s="27" t="str">
        <x:v>A0302</x:v>
      </x:c>
      <x:c r="C308" s="27" t="str">
        <x:v>trial</x:v>
      </x:c>
      <x:c r="D308" s="27" t="str">
        <x:v>Trial row 13 has authority</x:v>
      </x:c>
      <x:c r="E308" s="27" t="n">
        <x:f>IF('Trial Register'!J13&lt;&gt;"",1,0)</x:f>
        <x:v>1</x:v>
      </x:c>
      <x:c r="F308" s="27" t="n">
        <x:v>1</x:v>
      </x:c>
      <x:c r="G308" s="29" t="str">
        <x:f>IF(E308=F308,"PASS","FAIL")</x:f>
        <x:v>PASS</x:v>
      </x:c>
    </x:row>
    <x:row r="309" ht="18" customHeight="1">
      <x:c r="B309" s="27" t="str">
        <x:v>A0303</x:v>
      </x:c>
      <x:c r="C309" s="27" t="str">
        <x:v>trial</x:v>
      </x:c>
      <x:c r="D309" s="27" t="str">
        <x:v>Trial row 13 campaign registered</x:v>
      </x:c>
      <x:c r="E309" s="27" t="n">
        <x:f>IF(COUNTIFS('Campaign Schedule'!B7:B14,'Trial Register'!C13)=1,1,0)</x:f>
        <x:v>1</x:v>
      </x:c>
      <x:c r="F309" s="27" t="n">
        <x:v>1</x:v>
      </x:c>
      <x:c r="G309" s="29" t="str">
        <x:f>IF(E309=F309,"PASS","FAIL")</x:f>
        <x:v>PASS</x:v>
      </x:c>
    </x:row>
    <x:row r="310" ht="18" customHeight="1">
      <x:c r="B310" s="27" t="str">
        <x:v>A0304</x:v>
      </x:c>
      <x:c r="C310" s="27" t="str">
        <x:v>trial</x:v>
      </x:c>
      <x:c r="D310" s="27" t="str">
        <x:v>Trial row 13 date order</x:v>
      </x:c>
      <x:c r="E310" s="27" t="n">
        <x:f>IF('Trial Register'!O13&gt;='Trial Register'!N13,1,0)</x:f>
        <x:v>1</x:v>
      </x:c>
      <x:c r="F310" s="27" t="n">
        <x:v>1</x:v>
      </x:c>
      <x:c r="G310" s="29" t="str">
        <x:f>IF(E310=F310,"PASS","FAIL")</x:f>
        <x:v>PASS</x:v>
      </x:c>
    </x:row>
    <x:row r="311" ht="18" customHeight="1">
      <x:c r="B311" s="27" t="str">
        <x:v>A0305</x:v>
      </x:c>
      <x:c r="C311" s="27" t="str">
        <x:v>trial</x:v>
      </x:c>
      <x:c r="D311" s="27" t="str">
        <x:v>Trial row 14 state open</x:v>
      </x:c>
      <x:c r="E311" s="27" t="n">
        <x:f>IF('Trial Register'!L14="OPEN",1,0)</x:f>
        <x:v>1</x:v>
      </x:c>
      <x:c r="F311" s="27" t="n">
        <x:v>1</x:v>
      </x:c>
      <x:c r="G311" s="29" t="str">
        <x:f>IF(E311=F311,"PASS","FAIL")</x:f>
        <x:v>PASS</x:v>
      </x:c>
    </x:row>
    <x:row r="312" ht="18" customHeight="1">
      <x:c r="B312" s="27" t="str">
        <x:v>A0306</x:v>
      </x:c>
      <x:c r="C312" s="27" t="str">
        <x:v>trial</x:v>
      </x:c>
      <x:c r="D312" s="27" t="str">
        <x:v>Trial row 14 zero credit</x:v>
      </x:c>
      <x:c r="E312" s="27" t="n">
        <x:f>IF('Trial Register'!M14=0,1,0)</x:f>
        <x:v>1</x:v>
      </x:c>
      <x:c r="F312" s="27" t="n">
        <x:v>1</x:v>
      </x:c>
      <x:c r="G312" s="29" t="str">
        <x:f>IF(E312=F312,"PASS","FAIL")</x:f>
        <x:v>PASS</x:v>
      </x:c>
    </x:row>
    <x:row r="313" ht="18" customHeight="1">
      <x:c r="B313" s="27" t="str">
        <x:v>A0307</x:v>
      </x:c>
      <x:c r="C313" s="27" t="str">
        <x:v>trial</x:v>
      </x:c>
      <x:c r="D313" s="27" t="str">
        <x:v>Trial row 14 has authority</x:v>
      </x:c>
      <x:c r="E313" s="27" t="n">
        <x:f>IF('Trial Register'!J14&lt;&gt;"",1,0)</x:f>
        <x:v>1</x:v>
      </x:c>
      <x:c r="F313" s="27" t="n">
        <x:v>1</x:v>
      </x:c>
      <x:c r="G313" s="29" t="str">
        <x:f>IF(E313=F313,"PASS","FAIL")</x:f>
        <x:v>PASS</x:v>
      </x:c>
    </x:row>
    <x:row r="314" ht="18" customHeight="1">
      <x:c r="B314" s="27" t="str">
        <x:v>A0308</x:v>
      </x:c>
      <x:c r="C314" s="27" t="str">
        <x:v>trial</x:v>
      </x:c>
      <x:c r="D314" s="27" t="str">
        <x:v>Trial row 14 campaign registered</x:v>
      </x:c>
      <x:c r="E314" s="27" t="n">
        <x:f>IF(COUNTIFS('Campaign Schedule'!B7:B14,'Trial Register'!C14)=1,1,0)</x:f>
        <x:v>1</x:v>
      </x:c>
      <x:c r="F314" s="27" t="n">
        <x:v>1</x:v>
      </x:c>
      <x:c r="G314" s="29" t="str">
        <x:f>IF(E314=F314,"PASS","FAIL")</x:f>
        <x:v>PASS</x:v>
      </x:c>
    </x:row>
    <x:row r="315" ht="18" customHeight="1">
      <x:c r="B315" s="27" t="str">
        <x:v>A0309</x:v>
      </x:c>
      <x:c r="C315" s="27" t="str">
        <x:v>trial</x:v>
      </x:c>
      <x:c r="D315" s="27" t="str">
        <x:v>Trial row 14 date order</x:v>
      </x:c>
      <x:c r="E315" s="27" t="n">
        <x:f>IF('Trial Register'!O14&gt;='Trial Register'!N14,1,0)</x:f>
        <x:v>1</x:v>
      </x:c>
      <x:c r="F315" s="27" t="n">
        <x:v>1</x:v>
      </x:c>
      <x:c r="G315" s="29" t="str">
        <x:f>IF(E315=F315,"PASS","FAIL")</x:f>
        <x:v>PASS</x:v>
      </x:c>
    </x:row>
    <x:row r="316" ht="18" customHeight="1">
      <x:c r="B316" s="27" t="str">
        <x:v>A0310</x:v>
      </x:c>
      <x:c r="C316" s="27" t="str">
        <x:v>trial</x:v>
      </x:c>
      <x:c r="D316" s="27" t="str">
        <x:v>Trial row 15 state open</x:v>
      </x:c>
      <x:c r="E316" s="27" t="n">
        <x:f>IF('Trial Register'!L15="OPEN",1,0)</x:f>
        <x:v>1</x:v>
      </x:c>
      <x:c r="F316" s="27" t="n">
        <x:v>1</x:v>
      </x:c>
      <x:c r="G316" s="29" t="str">
        <x:f>IF(E316=F316,"PASS","FAIL")</x:f>
        <x:v>PASS</x:v>
      </x:c>
    </x:row>
    <x:row r="317" ht="18" customHeight="1">
      <x:c r="B317" s="27" t="str">
        <x:v>A0311</x:v>
      </x:c>
      <x:c r="C317" s="27" t="str">
        <x:v>trial</x:v>
      </x:c>
      <x:c r="D317" s="27" t="str">
        <x:v>Trial row 15 zero credit</x:v>
      </x:c>
      <x:c r="E317" s="27" t="n">
        <x:f>IF('Trial Register'!M15=0,1,0)</x:f>
        <x:v>1</x:v>
      </x:c>
      <x:c r="F317" s="27" t="n">
        <x:v>1</x:v>
      </x:c>
      <x:c r="G317" s="29" t="str">
        <x:f>IF(E317=F317,"PASS","FAIL")</x:f>
        <x:v>PASS</x:v>
      </x:c>
    </x:row>
    <x:row r="318" ht="18" customHeight="1">
      <x:c r="B318" s="27" t="str">
        <x:v>A0312</x:v>
      </x:c>
      <x:c r="C318" s="27" t="str">
        <x:v>trial</x:v>
      </x:c>
      <x:c r="D318" s="27" t="str">
        <x:v>Trial row 15 has authority</x:v>
      </x:c>
      <x:c r="E318" s="27" t="n">
        <x:f>IF('Trial Register'!J15&lt;&gt;"",1,0)</x:f>
        <x:v>1</x:v>
      </x:c>
      <x:c r="F318" s="27" t="n">
        <x:v>1</x:v>
      </x:c>
      <x:c r="G318" s="29" t="str">
        <x:f>IF(E318=F318,"PASS","FAIL")</x:f>
        <x:v>PASS</x:v>
      </x:c>
    </x:row>
    <x:row r="319" ht="18" customHeight="1">
      <x:c r="B319" s="27" t="str">
        <x:v>A0313</x:v>
      </x:c>
      <x:c r="C319" s="27" t="str">
        <x:v>trial</x:v>
      </x:c>
      <x:c r="D319" s="27" t="str">
        <x:v>Trial row 15 campaign registered</x:v>
      </x:c>
      <x:c r="E319" s="27" t="n">
        <x:f>IF(COUNTIFS('Campaign Schedule'!B7:B14,'Trial Register'!C15)=1,1,0)</x:f>
        <x:v>1</x:v>
      </x:c>
      <x:c r="F319" s="27" t="n">
        <x:v>1</x:v>
      </x:c>
      <x:c r="G319" s="29" t="str">
        <x:f>IF(E319=F319,"PASS","FAIL")</x:f>
        <x:v>PASS</x:v>
      </x:c>
    </x:row>
    <x:row r="320" ht="18" customHeight="1">
      <x:c r="B320" s="27" t="str">
        <x:v>A0314</x:v>
      </x:c>
      <x:c r="C320" s="27" t="str">
        <x:v>trial</x:v>
      </x:c>
      <x:c r="D320" s="27" t="str">
        <x:v>Trial row 15 date order</x:v>
      </x:c>
      <x:c r="E320" s="27" t="n">
        <x:f>IF('Trial Register'!O15&gt;='Trial Register'!N15,1,0)</x:f>
        <x:v>1</x:v>
      </x:c>
      <x:c r="F320" s="27" t="n">
        <x:v>1</x:v>
      </x:c>
      <x:c r="G320" s="29" t="str">
        <x:f>IF(E320=F320,"PASS","FAIL")</x:f>
        <x:v>PASS</x:v>
      </x:c>
    </x:row>
    <x:row r="321" ht="18" customHeight="1">
      <x:c r="B321" s="27" t="str">
        <x:v>A0315</x:v>
      </x:c>
      <x:c r="C321" s="27" t="str">
        <x:v>trial</x:v>
      </x:c>
      <x:c r="D321" s="27" t="str">
        <x:v>Trial row 16 state open</x:v>
      </x:c>
      <x:c r="E321" s="27" t="n">
        <x:f>IF('Trial Register'!L16="OPEN",1,0)</x:f>
        <x:v>1</x:v>
      </x:c>
      <x:c r="F321" s="27" t="n">
        <x:v>1</x:v>
      </x:c>
      <x:c r="G321" s="29" t="str">
        <x:f>IF(E321=F321,"PASS","FAIL")</x:f>
        <x:v>PASS</x:v>
      </x:c>
    </x:row>
    <x:row r="322" ht="18" customHeight="1">
      <x:c r="B322" s="27" t="str">
        <x:v>A0316</x:v>
      </x:c>
      <x:c r="C322" s="27" t="str">
        <x:v>trial</x:v>
      </x:c>
      <x:c r="D322" s="27" t="str">
        <x:v>Trial row 16 zero credit</x:v>
      </x:c>
      <x:c r="E322" s="27" t="n">
        <x:f>IF('Trial Register'!M16=0,1,0)</x:f>
        <x:v>1</x:v>
      </x:c>
      <x:c r="F322" s="27" t="n">
        <x:v>1</x:v>
      </x:c>
      <x:c r="G322" s="29" t="str">
        <x:f>IF(E322=F322,"PASS","FAIL")</x:f>
        <x:v>PASS</x:v>
      </x:c>
    </x:row>
    <x:row r="323" ht="18" customHeight="1">
      <x:c r="B323" s="27" t="str">
        <x:v>A0317</x:v>
      </x:c>
      <x:c r="C323" s="27" t="str">
        <x:v>trial</x:v>
      </x:c>
      <x:c r="D323" s="27" t="str">
        <x:v>Trial row 16 has authority</x:v>
      </x:c>
      <x:c r="E323" s="27" t="n">
        <x:f>IF('Trial Register'!J16&lt;&gt;"",1,0)</x:f>
        <x:v>1</x:v>
      </x:c>
      <x:c r="F323" s="27" t="n">
        <x:v>1</x:v>
      </x:c>
      <x:c r="G323" s="29" t="str">
        <x:f>IF(E323=F323,"PASS","FAIL")</x:f>
        <x:v>PASS</x:v>
      </x:c>
    </x:row>
    <x:row r="324" ht="18" customHeight="1">
      <x:c r="B324" s="27" t="str">
        <x:v>A0318</x:v>
      </x:c>
      <x:c r="C324" s="27" t="str">
        <x:v>trial</x:v>
      </x:c>
      <x:c r="D324" s="27" t="str">
        <x:v>Trial row 16 campaign registered</x:v>
      </x:c>
      <x:c r="E324" s="27" t="n">
        <x:f>IF(COUNTIFS('Campaign Schedule'!B7:B14,'Trial Register'!C16)=1,1,0)</x:f>
        <x:v>1</x:v>
      </x:c>
      <x:c r="F324" s="27" t="n">
        <x:v>1</x:v>
      </x:c>
      <x:c r="G324" s="29" t="str">
        <x:f>IF(E324=F324,"PASS","FAIL")</x:f>
        <x:v>PASS</x:v>
      </x:c>
    </x:row>
    <x:row r="325" ht="18" customHeight="1">
      <x:c r="B325" s="27" t="str">
        <x:v>A0319</x:v>
      </x:c>
      <x:c r="C325" s="27" t="str">
        <x:v>trial</x:v>
      </x:c>
      <x:c r="D325" s="27" t="str">
        <x:v>Trial row 16 date order</x:v>
      </x:c>
      <x:c r="E325" s="27" t="n">
        <x:f>IF('Trial Register'!O16&gt;='Trial Register'!N16,1,0)</x:f>
        <x:v>1</x:v>
      </x:c>
      <x:c r="F325" s="27" t="n">
        <x:v>1</x:v>
      </x:c>
      <x:c r="G325" s="29" t="str">
        <x:f>IF(E325=F325,"PASS","FAIL")</x:f>
        <x:v>PASS</x:v>
      </x:c>
    </x:row>
    <x:row r="326" ht="18" customHeight="1">
      <x:c r="B326" s="27" t="str">
        <x:v>A0320</x:v>
      </x:c>
      <x:c r="C326" s="27" t="str">
        <x:v>trial</x:v>
      </x:c>
      <x:c r="D326" s="27" t="str">
        <x:v>Trial row 17 state open</x:v>
      </x:c>
      <x:c r="E326" s="27" t="n">
        <x:f>IF('Trial Register'!L17="OPEN",1,0)</x:f>
        <x:v>1</x:v>
      </x:c>
      <x:c r="F326" s="27" t="n">
        <x:v>1</x:v>
      </x:c>
      <x:c r="G326" s="29" t="str">
        <x:f>IF(E326=F326,"PASS","FAIL")</x:f>
        <x:v>PASS</x:v>
      </x:c>
    </x:row>
    <x:row r="327" ht="18" customHeight="1">
      <x:c r="B327" s="27" t="str">
        <x:v>A0321</x:v>
      </x:c>
      <x:c r="C327" s="27" t="str">
        <x:v>trial</x:v>
      </x:c>
      <x:c r="D327" s="27" t="str">
        <x:v>Trial row 17 zero credit</x:v>
      </x:c>
      <x:c r="E327" s="27" t="n">
        <x:f>IF('Trial Register'!M17=0,1,0)</x:f>
        <x:v>1</x:v>
      </x:c>
      <x:c r="F327" s="27" t="n">
        <x:v>1</x:v>
      </x:c>
      <x:c r="G327" s="29" t="str">
        <x:f>IF(E327=F327,"PASS","FAIL")</x:f>
        <x:v>PASS</x:v>
      </x:c>
    </x:row>
    <x:row r="328" ht="18" customHeight="1">
      <x:c r="B328" s="27" t="str">
        <x:v>A0322</x:v>
      </x:c>
      <x:c r="C328" s="27" t="str">
        <x:v>trial</x:v>
      </x:c>
      <x:c r="D328" s="27" t="str">
        <x:v>Trial row 17 has authority</x:v>
      </x:c>
      <x:c r="E328" s="27" t="n">
        <x:f>IF('Trial Register'!J17&lt;&gt;"",1,0)</x:f>
        <x:v>1</x:v>
      </x:c>
      <x:c r="F328" s="27" t="n">
        <x:v>1</x:v>
      </x:c>
      <x:c r="G328" s="29" t="str">
        <x:f>IF(E328=F328,"PASS","FAIL")</x:f>
        <x:v>PASS</x:v>
      </x:c>
    </x:row>
    <x:row r="329" ht="18" customHeight="1">
      <x:c r="B329" s="27" t="str">
        <x:v>A0323</x:v>
      </x:c>
      <x:c r="C329" s="27" t="str">
        <x:v>trial</x:v>
      </x:c>
      <x:c r="D329" s="27" t="str">
        <x:v>Trial row 17 campaign registered</x:v>
      </x:c>
      <x:c r="E329" s="27" t="n">
        <x:f>IF(COUNTIFS('Campaign Schedule'!B7:B14,'Trial Register'!C17)=1,1,0)</x:f>
        <x:v>1</x:v>
      </x:c>
      <x:c r="F329" s="27" t="n">
        <x:v>1</x:v>
      </x:c>
      <x:c r="G329" s="29" t="str">
        <x:f>IF(E329=F329,"PASS","FAIL")</x:f>
        <x:v>PASS</x:v>
      </x:c>
    </x:row>
    <x:row r="330" ht="18" customHeight="1">
      <x:c r="B330" s="27" t="str">
        <x:v>A0324</x:v>
      </x:c>
      <x:c r="C330" s="27" t="str">
        <x:v>trial</x:v>
      </x:c>
      <x:c r="D330" s="27" t="str">
        <x:v>Trial row 17 date order</x:v>
      </x:c>
      <x:c r="E330" s="27" t="n">
        <x:f>IF('Trial Register'!O17&gt;='Trial Register'!N17,1,0)</x:f>
        <x:v>1</x:v>
      </x:c>
      <x:c r="F330" s="27" t="n">
        <x:v>1</x:v>
      </x:c>
      <x:c r="G330" s="29" t="str">
        <x:f>IF(E330=F330,"PASS","FAIL")</x:f>
        <x:v>PASS</x:v>
      </x:c>
    </x:row>
    <x:row r="331" ht="18" customHeight="1">
      <x:c r="B331" s="27" t="str">
        <x:v>A0325</x:v>
      </x:c>
      <x:c r="C331" s="27" t="str">
        <x:v>trial</x:v>
      </x:c>
      <x:c r="D331" s="27" t="str">
        <x:v>Trial row 18 state open</x:v>
      </x:c>
      <x:c r="E331" s="27" t="n">
        <x:f>IF('Trial Register'!L18="OPEN",1,0)</x:f>
        <x:v>1</x:v>
      </x:c>
      <x:c r="F331" s="27" t="n">
        <x:v>1</x:v>
      </x:c>
      <x:c r="G331" s="29" t="str">
        <x:f>IF(E331=F331,"PASS","FAIL")</x:f>
        <x:v>PASS</x:v>
      </x:c>
    </x:row>
    <x:row r="332" ht="18" customHeight="1">
      <x:c r="B332" s="27" t="str">
        <x:v>A0326</x:v>
      </x:c>
      <x:c r="C332" s="27" t="str">
        <x:v>trial</x:v>
      </x:c>
      <x:c r="D332" s="27" t="str">
        <x:v>Trial row 18 zero credit</x:v>
      </x:c>
      <x:c r="E332" s="27" t="n">
        <x:f>IF('Trial Register'!M18=0,1,0)</x:f>
        <x:v>1</x:v>
      </x:c>
      <x:c r="F332" s="27" t="n">
        <x:v>1</x:v>
      </x:c>
      <x:c r="G332" s="29" t="str">
        <x:f>IF(E332=F332,"PASS","FAIL")</x:f>
        <x:v>PASS</x:v>
      </x:c>
    </x:row>
    <x:row r="333" ht="18" customHeight="1">
      <x:c r="B333" s="27" t="str">
        <x:v>A0327</x:v>
      </x:c>
      <x:c r="C333" s="27" t="str">
        <x:v>trial</x:v>
      </x:c>
      <x:c r="D333" s="27" t="str">
        <x:v>Trial row 18 has authority</x:v>
      </x:c>
      <x:c r="E333" s="27" t="n">
        <x:f>IF('Trial Register'!J18&lt;&gt;"",1,0)</x:f>
        <x:v>1</x:v>
      </x:c>
      <x:c r="F333" s="27" t="n">
        <x:v>1</x:v>
      </x:c>
      <x:c r="G333" s="29" t="str">
        <x:f>IF(E333=F333,"PASS","FAIL")</x:f>
        <x:v>PASS</x:v>
      </x:c>
    </x:row>
    <x:row r="334" ht="18" customHeight="1">
      <x:c r="B334" s="27" t="str">
        <x:v>A0328</x:v>
      </x:c>
      <x:c r="C334" s="27" t="str">
        <x:v>trial</x:v>
      </x:c>
      <x:c r="D334" s="27" t="str">
        <x:v>Trial row 18 campaign registered</x:v>
      </x:c>
      <x:c r="E334" s="27" t="n">
        <x:f>IF(COUNTIFS('Campaign Schedule'!B7:B14,'Trial Register'!C18)=1,1,0)</x:f>
        <x:v>1</x:v>
      </x:c>
      <x:c r="F334" s="27" t="n">
        <x:v>1</x:v>
      </x:c>
      <x:c r="G334" s="29" t="str">
        <x:f>IF(E334=F334,"PASS","FAIL")</x:f>
        <x:v>PASS</x:v>
      </x:c>
    </x:row>
    <x:row r="335" ht="18" customHeight="1">
      <x:c r="B335" s="27" t="str">
        <x:v>A0329</x:v>
      </x:c>
      <x:c r="C335" s="27" t="str">
        <x:v>trial</x:v>
      </x:c>
      <x:c r="D335" s="27" t="str">
        <x:v>Trial row 18 date order</x:v>
      </x:c>
      <x:c r="E335" s="27" t="n">
        <x:f>IF('Trial Register'!O18&gt;='Trial Register'!N18,1,0)</x:f>
        <x:v>1</x:v>
      </x:c>
      <x:c r="F335" s="27" t="n">
        <x:v>1</x:v>
      </x:c>
      <x:c r="G335" s="29" t="str">
        <x:f>IF(E335=F335,"PASS","FAIL")</x:f>
        <x:v>PASS</x:v>
      </x:c>
    </x:row>
    <x:row r="336" ht="18" customHeight="1">
      <x:c r="B336" s="27" t="str">
        <x:v>A0330</x:v>
      </x:c>
      <x:c r="C336" s="27" t="str">
        <x:v>trial</x:v>
      </x:c>
      <x:c r="D336" s="27" t="str">
        <x:v>Trial row 19 state open</x:v>
      </x:c>
      <x:c r="E336" s="27" t="n">
        <x:f>IF('Trial Register'!L19="OPEN",1,0)</x:f>
        <x:v>1</x:v>
      </x:c>
      <x:c r="F336" s="27" t="n">
        <x:v>1</x:v>
      </x:c>
      <x:c r="G336" s="29" t="str">
        <x:f>IF(E336=F336,"PASS","FAIL")</x:f>
        <x:v>PASS</x:v>
      </x:c>
    </x:row>
    <x:row r="337" ht="18" customHeight="1">
      <x:c r="B337" s="27" t="str">
        <x:v>A0331</x:v>
      </x:c>
      <x:c r="C337" s="27" t="str">
        <x:v>trial</x:v>
      </x:c>
      <x:c r="D337" s="27" t="str">
        <x:v>Trial row 19 zero credit</x:v>
      </x:c>
      <x:c r="E337" s="27" t="n">
        <x:f>IF('Trial Register'!M19=0,1,0)</x:f>
        <x:v>1</x:v>
      </x:c>
      <x:c r="F337" s="27" t="n">
        <x:v>1</x:v>
      </x:c>
      <x:c r="G337" s="29" t="str">
        <x:f>IF(E337=F337,"PASS","FAIL")</x:f>
        <x:v>PASS</x:v>
      </x:c>
    </x:row>
    <x:row r="338" ht="18" customHeight="1">
      <x:c r="B338" s="27" t="str">
        <x:v>A0332</x:v>
      </x:c>
      <x:c r="C338" s="27" t="str">
        <x:v>trial</x:v>
      </x:c>
      <x:c r="D338" s="27" t="str">
        <x:v>Trial row 19 has authority</x:v>
      </x:c>
      <x:c r="E338" s="27" t="n">
        <x:f>IF('Trial Register'!J19&lt;&gt;"",1,0)</x:f>
        <x:v>1</x:v>
      </x:c>
      <x:c r="F338" s="27" t="n">
        <x:v>1</x:v>
      </x:c>
      <x:c r="G338" s="29" t="str">
        <x:f>IF(E338=F338,"PASS","FAIL")</x:f>
        <x:v>PASS</x:v>
      </x:c>
    </x:row>
    <x:row r="339" ht="18" customHeight="1">
      <x:c r="B339" s="27" t="str">
        <x:v>A0333</x:v>
      </x:c>
      <x:c r="C339" s="27" t="str">
        <x:v>trial</x:v>
      </x:c>
      <x:c r="D339" s="27" t="str">
        <x:v>Trial row 19 campaign registered</x:v>
      </x:c>
      <x:c r="E339" s="27" t="n">
        <x:f>IF(COUNTIFS('Campaign Schedule'!B7:B14,'Trial Register'!C19)=1,1,0)</x:f>
        <x:v>1</x:v>
      </x:c>
      <x:c r="F339" s="27" t="n">
        <x:v>1</x:v>
      </x:c>
      <x:c r="G339" s="29" t="str">
        <x:f>IF(E339=F339,"PASS","FAIL")</x:f>
        <x:v>PASS</x:v>
      </x:c>
    </x:row>
    <x:row r="340" ht="18" customHeight="1">
      <x:c r="B340" s="27" t="str">
        <x:v>A0334</x:v>
      </x:c>
      <x:c r="C340" s="27" t="str">
        <x:v>trial</x:v>
      </x:c>
      <x:c r="D340" s="27" t="str">
        <x:v>Trial row 19 date order</x:v>
      </x:c>
      <x:c r="E340" s="27" t="n">
        <x:f>IF('Trial Register'!O19&gt;='Trial Register'!N19,1,0)</x:f>
        <x:v>1</x:v>
      </x:c>
      <x:c r="F340" s="27" t="n">
        <x:v>1</x:v>
      </x:c>
      <x:c r="G340" s="29" t="str">
        <x:f>IF(E340=F340,"PASS","FAIL")</x:f>
        <x:v>PASS</x:v>
      </x:c>
    </x:row>
    <x:row r="341" ht="18" customHeight="1">
      <x:c r="B341" s="27" t="str">
        <x:v>A0335</x:v>
      </x:c>
      <x:c r="C341" s="27" t="str">
        <x:v>trial</x:v>
      </x:c>
      <x:c r="D341" s="27" t="str">
        <x:v>Trial row 20 state open</x:v>
      </x:c>
      <x:c r="E341" s="27" t="n">
        <x:f>IF('Trial Register'!L20="OPEN",1,0)</x:f>
        <x:v>1</x:v>
      </x:c>
      <x:c r="F341" s="27" t="n">
        <x:v>1</x:v>
      </x:c>
      <x:c r="G341" s="29" t="str">
        <x:f>IF(E341=F341,"PASS","FAIL")</x:f>
        <x:v>PASS</x:v>
      </x:c>
    </x:row>
    <x:row r="342" ht="18" customHeight="1">
      <x:c r="B342" s="27" t="str">
        <x:v>A0336</x:v>
      </x:c>
      <x:c r="C342" s="27" t="str">
        <x:v>trial</x:v>
      </x:c>
      <x:c r="D342" s="27" t="str">
        <x:v>Trial row 20 zero credit</x:v>
      </x:c>
      <x:c r="E342" s="27" t="n">
        <x:f>IF('Trial Register'!M20=0,1,0)</x:f>
        <x:v>1</x:v>
      </x:c>
      <x:c r="F342" s="27" t="n">
        <x:v>1</x:v>
      </x:c>
      <x:c r="G342" s="29" t="str">
        <x:f>IF(E342=F342,"PASS","FAIL")</x:f>
        <x:v>PASS</x:v>
      </x:c>
    </x:row>
    <x:row r="343" ht="18" customHeight="1">
      <x:c r="B343" s="27" t="str">
        <x:v>A0337</x:v>
      </x:c>
      <x:c r="C343" s="27" t="str">
        <x:v>trial</x:v>
      </x:c>
      <x:c r="D343" s="27" t="str">
        <x:v>Trial row 20 has authority</x:v>
      </x:c>
      <x:c r="E343" s="27" t="n">
        <x:f>IF('Trial Register'!J20&lt;&gt;"",1,0)</x:f>
        <x:v>1</x:v>
      </x:c>
      <x:c r="F343" s="27" t="n">
        <x:v>1</x:v>
      </x:c>
      <x:c r="G343" s="29" t="str">
        <x:f>IF(E343=F343,"PASS","FAIL")</x:f>
        <x:v>PASS</x:v>
      </x:c>
    </x:row>
    <x:row r="344" ht="18" customHeight="1">
      <x:c r="B344" s="27" t="str">
        <x:v>A0338</x:v>
      </x:c>
      <x:c r="C344" s="27" t="str">
        <x:v>trial</x:v>
      </x:c>
      <x:c r="D344" s="27" t="str">
        <x:v>Trial row 20 campaign registered</x:v>
      </x:c>
      <x:c r="E344" s="27" t="n">
        <x:f>IF(COUNTIFS('Campaign Schedule'!B7:B14,'Trial Register'!C20)=1,1,0)</x:f>
        <x:v>1</x:v>
      </x:c>
      <x:c r="F344" s="27" t="n">
        <x:v>1</x:v>
      </x:c>
      <x:c r="G344" s="29" t="str">
        <x:f>IF(E344=F344,"PASS","FAIL")</x:f>
        <x:v>PASS</x:v>
      </x:c>
    </x:row>
    <x:row r="345" ht="18" customHeight="1">
      <x:c r="B345" s="27" t="str">
        <x:v>A0339</x:v>
      </x:c>
      <x:c r="C345" s="27" t="str">
        <x:v>trial</x:v>
      </x:c>
      <x:c r="D345" s="27" t="str">
        <x:v>Trial row 20 date order</x:v>
      </x:c>
      <x:c r="E345" s="27" t="n">
        <x:f>IF('Trial Register'!O20&gt;='Trial Register'!N20,1,0)</x:f>
        <x:v>1</x:v>
      </x:c>
      <x:c r="F345" s="27" t="n">
        <x:v>1</x:v>
      </x:c>
      <x:c r="G345" s="29" t="str">
        <x:f>IF(E345=F345,"PASS","FAIL")</x:f>
        <x:v>PASS</x:v>
      </x:c>
    </x:row>
    <x:row r="346" ht="18" customHeight="1">
      <x:c r="B346" s="27" t="str">
        <x:v>A0340</x:v>
      </x:c>
      <x:c r="C346" s="27" t="str">
        <x:v>trial</x:v>
      </x:c>
      <x:c r="D346" s="27" t="str">
        <x:v>Trial row 21 state open</x:v>
      </x:c>
      <x:c r="E346" s="27" t="n">
        <x:f>IF('Trial Register'!L21="OPEN",1,0)</x:f>
        <x:v>1</x:v>
      </x:c>
      <x:c r="F346" s="27" t="n">
        <x:v>1</x:v>
      </x:c>
      <x:c r="G346" s="29" t="str">
        <x:f>IF(E346=F346,"PASS","FAIL")</x:f>
        <x:v>PASS</x:v>
      </x:c>
    </x:row>
    <x:row r="347" ht="18" customHeight="1">
      <x:c r="B347" s="27" t="str">
        <x:v>A0341</x:v>
      </x:c>
      <x:c r="C347" s="27" t="str">
        <x:v>trial</x:v>
      </x:c>
      <x:c r="D347" s="27" t="str">
        <x:v>Trial row 21 zero credit</x:v>
      </x:c>
      <x:c r="E347" s="27" t="n">
        <x:f>IF('Trial Register'!M21=0,1,0)</x:f>
        <x:v>1</x:v>
      </x:c>
      <x:c r="F347" s="27" t="n">
        <x:v>1</x:v>
      </x:c>
      <x:c r="G347" s="29" t="str">
        <x:f>IF(E347=F347,"PASS","FAIL")</x:f>
        <x:v>PASS</x:v>
      </x:c>
    </x:row>
    <x:row r="348" ht="18" customHeight="1">
      <x:c r="B348" s="27" t="str">
        <x:v>A0342</x:v>
      </x:c>
      <x:c r="C348" s="27" t="str">
        <x:v>trial</x:v>
      </x:c>
      <x:c r="D348" s="27" t="str">
        <x:v>Trial row 21 has authority</x:v>
      </x:c>
      <x:c r="E348" s="27" t="n">
        <x:f>IF('Trial Register'!J21&lt;&gt;"",1,0)</x:f>
        <x:v>1</x:v>
      </x:c>
      <x:c r="F348" s="27" t="n">
        <x:v>1</x:v>
      </x:c>
      <x:c r="G348" s="29" t="str">
        <x:f>IF(E348=F348,"PASS","FAIL")</x:f>
        <x:v>PASS</x:v>
      </x:c>
    </x:row>
    <x:row r="349" ht="18" customHeight="1">
      <x:c r="B349" s="27" t="str">
        <x:v>A0343</x:v>
      </x:c>
      <x:c r="C349" s="27" t="str">
        <x:v>trial</x:v>
      </x:c>
      <x:c r="D349" s="27" t="str">
        <x:v>Trial row 21 campaign registered</x:v>
      </x:c>
      <x:c r="E349" s="27" t="n">
        <x:f>IF(COUNTIFS('Campaign Schedule'!B7:B14,'Trial Register'!C21)=1,1,0)</x:f>
        <x:v>1</x:v>
      </x:c>
      <x:c r="F349" s="27" t="n">
        <x:v>1</x:v>
      </x:c>
      <x:c r="G349" s="29" t="str">
        <x:f>IF(E349=F349,"PASS","FAIL")</x:f>
        <x:v>PASS</x:v>
      </x:c>
    </x:row>
    <x:row r="350" ht="18" customHeight="1">
      <x:c r="B350" s="27" t="str">
        <x:v>A0344</x:v>
      </x:c>
      <x:c r="C350" s="27" t="str">
        <x:v>trial</x:v>
      </x:c>
      <x:c r="D350" s="27" t="str">
        <x:v>Trial row 21 date order</x:v>
      </x:c>
      <x:c r="E350" s="27" t="n">
        <x:f>IF('Trial Register'!O21&gt;='Trial Register'!N21,1,0)</x:f>
        <x:v>1</x:v>
      </x:c>
      <x:c r="F350" s="27" t="n">
        <x:v>1</x:v>
      </x:c>
      <x:c r="G350" s="29" t="str">
        <x:f>IF(E350=F350,"PASS","FAIL")</x:f>
        <x:v>PASS</x:v>
      </x:c>
    </x:row>
    <x:row r="351" ht="18" customHeight="1">
      <x:c r="B351" s="27" t="str">
        <x:v>A0345</x:v>
      </x:c>
      <x:c r="C351" s="27" t="str">
        <x:v>trial</x:v>
      </x:c>
      <x:c r="D351" s="27" t="str">
        <x:v>Trial row 22 state open</x:v>
      </x:c>
      <x:c r="E351" s="27" t="n">
        <x:f>IF('Trial Register'!L22="OPEN",1,0)</x:f>
        <x:v>1</x:v>
      </x:c>
      <x:c r="F351" s="27" t="n">
        <x:v>1</x:v>
      </x:c>
      <x:c r="G351" s="29" t="str">
        <x:f>IF(E351=F351,"PASS","FAIL")</x:f>
        <x:v>PASS</x:v>
      </x:c>
    </x:row>
    <x:row r="352" ht="18" customHeight="1">
      <x:c r="B352" s="27" t="str">
        <x:v>A0346</x:v>
      </x:c>
      <x:c r="C352" s="27" t="str">
        <x:v>trial</x:v>
      </x:c>
      <x:c r="D352" s="27" t="str">
        <x:v>Trial row 22 zero credit</x:v>
      </x:c>
      <x:c r="E352" s="27" t="n">
        <x:f>IF('Trial Register'!M22=0,1,0)</x:f>
        <x:v>1</x:v>
      </x:c>
      <x:c r="F352" s="27" t="n">
        <x:v>1</x:v>
      </x:c>
      <x:c r="G352" s="29" t="str">
        <x:f>IF(E352=F352,"PASS","FAIL")</x:f>
        <x:v>PASS</x:v>
      </x:c>
    </x:row>
    <x:row r="353" ht="18" customHeight="1">
      <x:c r="B353" s="27" t="str">
        <x:v>A0347</x:v>
      </x:c>
      <x:c r="C353" s="27" t="str">
        <x:v>trial</x:v>
      </x:c>
      <x:c r="D353" s="27" t="str">
        <x:v>Trial row 22 has authority</x:v>
      </x:c>
      <x:c r="E353" s="27" t="n">
        <x:f>IF('Trial Register'!J22&lt;&gt;"",1,0)</x:f>
        <x:v>1</x:v>
      </x:c>
      <x:c r="F353" s="27" t="n">
        <x:v>1</x:v>
      </x:c>
      <x:c r="G353" s="29" t="str">
        <x:f>IF(E353=F353,"PASS","FAIL")</x:f>
        <x:v>PASS</x:v>
      </x:c>
    </x:row>
    <x:row r="354" ht="18" customHeight="1">
      <x:c r="B354" s="27" t="str">
        <x:v>A0348</x:v>
      </x:c>
      <x:c r="C354" s="27" t="str">
        <x:v>trial</x:v>
      </x:c>
      <x:c r="D354" s="27" t="str">
        <x:v>Trial row 22 campaign registered</x:v>
      </x:c>
      <x:c r="E354" s="27" t="n">
        <x:f>IF(COUNTIFS('Campaign Schedule'!B7:B14,'Trial Register'!C22)=1,1,0)</x:f>
        <x:v>1</x:v>
      </x:c>
      <x:c r="F354" s="27" t="n">
        <x:v>1</x:v>
      </x:c>
      <x:c r="G354" s="29" t="str">
        <x:f>IF(E354=F354,"PASS","FAIL")</x:f>
        <x:v>PASS</x:v>
      </x:c>
    </x:row>
    <x:row r="355" ht="18" customHeight="1">
      <x:c r="B355" s="27" t="str">
        <x:v>A0349</x:v>
      </x:c>
      <x:c r="C355" s="27" t="str">
        <x:v>trial</x:v>
      </x:c>
      <x:c r="D355" s="27" t="str">
        <x:v>Trial row 22 date order</x:v>
      </x:c>
      <x:c r="E355" s="27" t="n">
        <x:f>IF('Trial Register'!O22&gt;='Trial Register'!N22,1,0)</x:f>
        <x:v>1</x:v>
      </x:c>
      <x:c r="F355" s="27" t="n">
        <x:v>1</x:v>
      </x:c>
      <x:c r="G355" s="29" t="str">
        <x:f>IF(E355=F355,"PASS","FAIL")</x:f>
        <x:v>PASS</x:v>
      </x:c>
    </x:row>
    <x:row r="356" ht="18" customHeight="1">
      <x:c r="B356" s="27" t="str">
        <x:v>A0350</x:v>
      </x:c>
      <x:c r="C356" s="27" t="str">
        <x:v>trial</x:v>
      </x:c>
      <x:c r="D356" s="27" t="str">
        <x:v>Trial row 23 state open</x:v>
      </x:c>
      <x:c r="E356" s="27" t="n">
        <x:f>IF('Trial Register'!L23="OPEN",1,0)</x:f>
        <x:v>1</x:v>
      </x:c>
      <x:c r="F356" s="27" t="n">
        <x:v>1</x:v>
      </x:c>
      <x:c r="G356" s="29" t="str">
        <x:f>IF(E356=F356,"PASS","FAIL")</x:f>
        <x:v>PASS</x:v>
      </x:c>
    </x:row>
    <x:row r="357" ht="18" customHeight="1">
      <x:c r="B357" s="27" t="str">
        <x:v>A0351</x:v>
      </x:c>
      <x:c r="C357" s="27" t="str">
        <x:v>trial</x:v>
      </x:c>
      <x:c r="D357" s="27" t="str">
        <x:v>Trial row 23 zero credit</x:v>
      </x:c>
      <x:c r="E357" s="27" t="n">
        <x:f>IF('Trial Register'!M23=0,1,0)</x:f>
        <x:v>1</x:v>
      </x:c>
      <x:c r="F357" s="27" t="n">
        <x:v>1</x:v>
      </x:c>
      <x:c r="G357" s="29" t="str">
        <x:f>IF(E357=F357,"PASS","FAIL")</x:f>
        <x:v>PASS</x:v>
      </x:c>
    </x:row>
    <x:row r="358" ht="18" customHeight="1">
      <x:c r="B358" s="27" t="str">
        <x:v>A0352</x:v>
      </x:c>
      <x:c r="C358" s="27" t="str">
        <x:v>trial</x:v>
      </x:c>
      <x:c r="D358" s="27" t="str">
        <x:v>Trial row 23 has authority</x:v>
      </x:c>
      <x:c r="E358" s="27" t="n">
        <x:f>IF('Trial Register'!J23&lt;&gt;"",1,0)</x:f>
        <x:v>1</x:v>
      </x:c>
      <x:c r="F358" s="27" t="n">
        <x:v>1</x:v>
      </x:c>
      <x:c r="G358" s="29" t="str">
        <x:f>IF(E358=F358,"PASS","FAIL")</x:f>
        <x:v>PASS</x:v>
      </x:c>
    </x:row>
    <x:row r="359" ht="18" customHeight="1">
      <x:c r="B359" s="27" t="str">
        <x:v>A0353</x:v>
      </x:c>
      <x:c r="C359" s="27" t="str">
        <x:v>trial</x:v>
      </x:c>
      <x:c r="D359" s="27" t="str">
        <x:v>Trial row 23 campaign registered</x:v>
      </x:c>
      <x:c r="E359" s="27" t="n">
        <x:f>IF(COUNTIFS('Campaign Schedule'!B7:B14,'Trial Register'!C23)=1,1,0)</x:f>
        <x:v>1</x:v>
      </x:c>
      <x:c r="F359" s="27" t="n">
        <x:v>1</x:v>
      </x:c>
      <x:c r="G359" s="29" t="str">
        <x:f>IF(E359=F359,"PASS","FAIL")</x:f>
        <x:v>PASS</x:v>
      </x:c>
    </x:row>
    <x:row r="360" ht="18" customHeight="1">
      <x:c r="B360" s="27" t="str">
        <x:v>A0354</x:v>
      </x:c>
      <x:c r="C360" s="27" t="str">
        <x:v>trial</x:v>
      </x:c>
      <x:c r="D360" s="27" t="str">
        <x:v>Trial row 23 date order</x:v>
      </x:c>
      <x:c r="E360" s="27" t="n">
        <x:f>IF('Trial Register'!O23&gt;='Trial Register'!N23,1,0)</x:f>
        <x:v>1</x:v>
      </x:c>
      <x:c r="F360" s="27" t="n">
        <x:v>1</x:v>
      </x:c>
      <x:c r="G360" s="29" t="str">
        <x:f>IF(E360=F360,"PASS","FAIL")</x:f>
        <x:v>PASS</x:v>
      </x:c>
    </x:row>
    <x:row r="361" ht="18" customHeight="1">
      <x:c r="B361" s="27" t="str">
        <x:v>A0355</x:v>
      </x:c>
      <x:c r="C361" s="27" t="str">
        <x:v>trial</x:v>
      </x:c>
      <x:c r="D361" s="27" t="str">
        <x:v>Trial row 24 state open</x:v>
      </x:c>
      <x:c r="E361" s="27" t="n">
        <x:f>IF('Trial Register'!L24="OPEN",1,0)</x:f>
        <x:v>1</x:v>
      </x:c>
      <x:c r="F361" s="27" t="n">
        <x:v>1</x:v>
      </x:c>
      <x:c r="G361" s="29" t="str">
        <x:f>IF(E361=F361,"PASS","FAIL")</x:f>
        <x:v>PASS</x:v>
      </x:c>
    </x:row>
    <x:row r="362" ht="18" customHeight="1">
      <x:c r="B362" s="27" t="str">
        <x:v>A0356</x:v>
      </x:c>
      <x:c r="C362" s="27" t="str">
        <x:v>trial</x:v>
      </x:c>
      <x:c r="D362" s="27" t="str">
        <x:v>Trial row 24 zero credit</x:v>
      </x:c>
      <x:c r="E362" s="27" t="n">
        <x:f>IF('Trial Register'!M24=0,1,0)</x:f>
        <x:v>1</x:v>
      </x:c>
      <x:c r="F362" s="27" t="n">
        <x:v>1</x:v>
      </x:c>
      <x:c r="G362" s="29" t="str">
        <x:f>IF(E362=F362,"PASS","FAIL")</x:f>
        <x:v>PASS</x:v>
      </x:c>
    </x:row>
    <x:row r="363" ht="18" customHeight="1">
      <x:c r="B363" s="27" t="str">
        <x:v>A0357</x:v>
      </x:c>
      <x:c r="C363" s="27" t="str">
        <x:v>trial</x:v>
      </x:c>
      <x:c r="D363" s="27" t="str">
        <x:v>Trial row 24 has authority</x:v>
      </x:c>
      <x:c r="E363" s="27" t="n">
        <x:f>IF('Trial Register'!J24&lt;&gt;"",1,0)</x:f>
        <x:v>1</x:v>
      </x:c>
      <x:c r="F363" s="27" t="n">
        <x:v>1</x:v>
      </x:c>
      <x:c r="G363" s="29" t="str">
        <x:f>IF(E363=F363,"PASS","FAIL")</x:f>
        <x:v>PASS</x:v>
      </x:c>
    </x:row>
    <x:row r="364" ht="18" customHeight="1">
      <x:c r="B364" s="27" t="str">
        <x:v>A0358</x:v>
      </x:c>
      <x:c r="C364" s="27" t="str">
        <x:v>trial</x:v>
      </x:c>
      <x:c r="D364" s="27" t="str">
        <x:v>Trial row 24 campaign registered</x:v>
      </x:c>
      <x:c r="E364" s="27" t="n">
        <x:f>IF(COUNTIFS('Campaign Schedule'!B7:B14,'Trial Register'!C24)=1,1,0)</x:f>
        <x:v>1</x:v>
      </x:c>
      <x:c r="F364" s="27" t="n">
        <x:v>1</x:v>
      </x:c>
      <x:c r="G364" s="29" t="str">
        <x:f>IF(E364=F364,"PASS","FAIL")</x:f>
        <x:v>PASS</x:v>
      </x:c>
    </x:row>
    <x:row r="365" ht="18" customHeight="1">
      <x:c r="B365" s="27" t="str">
        <x:v>A0359</x:v>
      </x:c>
      <x:c r="C365" s="27" t="str">
        <x:v>trial</x:v>
      </x:c>
      <x:c r="D365" s="27" t="str">
        <x:v>Trial row 24 date order</x:v>
      </x:c>
      <x:c r="E365" s="27" t="n">
        <x:f>IF('Trial Register'!O24&gt;='Trial Register'!N24,1,0)</x:f>
        <x:v>1</x:v>
      </x:c>
      <x:c r="F365" s="27" t="n">
        <x:v>1</x:v>
      </x:c>
      <x:c r="G365" s="29" t="str">
        <x:f>IF(E365=F365,"PASS","FAIL")</x:f>
        <x:v>PASS</x:v>
      </x:c>
    </x:row>
    <x:row r="366" ht="18" customHeight="1">
      <x:c r="B366" s="27" t="str">
        <x:v>A0360</x:v>
      </x:c>
      <x:c r="C366" s="27" t="str">
        <x:v>trial</x:v>
      </x:c>
      <x:c r="D366" s="27" t="str">
        <x:v>Trial row 25 state open</x:v>
      </x:c>
      <x:c r="E366" s="27" t="n">
        <x:f>IF('Trial Register'!L25="OPEN",1,0)</x:f>
        <x:v>1</x:v>
      </x:c>
      <x:c r="F366" s="27" t="n">
        <x:v>1</x:v>
      </x:c>
      <x:c r="G366" s="29" t="str">
        <x:f>IF(E366=F366,"PASS","FAIL")</x:f>
        <x:v>PASS</x:v>
      </x:c>
    </x:row>
    <x:row r="367" ht="18" customHeight="1">
      <x:c r="B367" s="27" t="str">
        <x:v>A0361</x:v>
      </x:c>
      <x:c r="C367" s="27" t="str">
        <x:v>trial</x:v>
      </x:c>
      <x:c r="D367" s="27" t="str">
        <x:v>Trial row 25 zero credit</x:v>
      </x:c>
      <x:c r="E367" s="27" t="n">
        <x:f>IF('Trial Register'!M25=0,1,0)</x:f>
        <x:v>1</x:v>
      </x:c>
      <x:c r="F367" s="27" t="n">
        <x:v>1</x:v>
      </x:c>
      <x:c r="G367" s="29" t="str">
        <x:f>IF(E367=F367,"PASS","FAIL")</x:f>
        <x:v>PASS</x:v>
      </x:c>
    </x:row>
    <x:row r="368" ht="18" customHeight="1">
      <x:c r="B368" s="27" t="str">
        <x:v>A0362</x:v>
      </x:c>
      <x:c r="C368" s="27" t="str">
        <x:v>trial</x:v>
      </x:c>
      <x:c r="D368" s="27" t="str">
        <x:v>Trial row 25 has authority</x:v>
      </x:c>
      <x:c r="E368" s="27" t="n">
        <x:f>IF('Trial Register'!J25&lt;&gt;"",1,0)</x:f>
        <x:v>1</x:v>
      </x:c>
      <x:c r="F368" s="27" t="n">
        <x:v>1</x:v>
      </x:c>
      <x:c r="G368" s="29" t="str">
        <x:f>IF(E368=F368,"PASS","FAIL")</x:f>
        <x:v>PASS</x:v>
      </x:c>
    </x:row>
    <x:row r="369" ht="18" customHeight="1">
      <x:c r="B369" s="27" t="str">
        <x:v>A0363</x:v>
      </x:c>
      <x:c r="C369" s="27" t="str">
        <x:v>trial</x:v>
      </x:c>
      <x:c r="D369" s="27" t="str">
        <x:v>Trial row 25 campaign registered</x:v>
      </x:c>
      <x:c r="E369" s="27" t="n">
        <x:f>IF(COUNTIFS('Campaign Schedule'!B7:B14,'Trial Register'!C25)=1,1,0)</x:f>
        <x:v>1</x:v>
      </x:c>
      <x:c r="F369" s="27" t="n">
        <x:v>1</x:v>
      </x:c>
      <x:c r="G369" s="29" t="str">
        <x:f>IF(E369=F369,"PASS","FAIL")</x:f>
        <x:v>PASS</x:v>
      </x:c>
    </x:row>
    <x:row r="370" ht="18" customHeight="1">
      <x:c r="B370" s="27" t="str">
        <x:v>A0364</x:v>
      </x:c>
      <x:c r="C370" s="27" t="str">
        <x:v>trial</x:v>
      </x:c>
      <x:c r="D370" s="27" t="str">
        <x:v>Trial row 25 date order</x:v>
      </x:c>
      <x:c r="E370" s="27" t="n">
        <x:f>IF('Trial Register'!O25&gt;='Trial Register'!N25,1,0)</x:f>
        <x:v>1</x:v>
      </x:c>
      <x:c r="F370" s="27" t="n">
        <x:v>1</x:v>
      </x:c>
      <x:c r="G370" s="29" t="str">
        <x:f>IF(E370=F370,"PASS","FAIL")</x:f>
        <x:v>PASS</x:v>
      </x:c>
    </x:row>
    <x:row r="371" ht="18" customHeight="1">
      <x:c r="B371" s="27" t="str">
        <x:v>A0365</x:v>
      </x:c>
      <x:c r="C371" s="27" t="str">
        <x:v>trial</x:v>
      </x:c>
      <x:c r="D371" s="27" t="str">
        <x:v>Trial row 26 state open</x:v>
      </x:c>
      <x:c r="E371" s="27" t="n">
        <x:f>IF('Trial Register'!L26="OPEN",1,0)</x:f>
        <x:v>1</x:v>
      </x:c>
      <x:c r="F371" s="27" t="n">
        <x:v>1</x:v>
      </x:c>
      <x:c r="G371" s="29" t="str">
        <x:f>IF(E371=F371,"PASS","FAIL")</x:f>
        <x:v>PASS</x:v>
      </x:c>
    </x:row>
    <x:row r="372" ht="18" customHeight="1">
      <x:c r="B372" s="27" t="str">
        <x:v>A0366</x:v>
      </x:c>
      <x:c r="C372" s="27" t="str">
        <x:v>trial</x:v>
      </x:c>
      <x:c r="D372" s="27" t="str">
        <x:v>Trial row 26 zero credit</x:v>
      </x:c>
      <x:c r="E372" s="27" t="n">
        <x:f>IF('Trial Register'!M26=0,1,0)</x:f>
        <x:v>1</x:v>
      </x:c>
      <x:c r="F372" s="27" t="n">
        <x:v>1</x:v>
      </x:c>
      <x:c r="G372" s="29" t="str">
        <x:f>IF(E372=F372,"PASS","FAIL")</x:f>
        <x:v>PASS</x:v>
      </x:c>
    </x:row>
    <x:row r="373" ht="18" customHeight="1">
      <x:c r="B373" s="27" t="str">
        <x:v>A0367</x:v>
      </x:c>
      <x:c r="C373" s="27" t="str">
        <x:v>trial</x:v>
      </x:c>
      <x:c r="D373" s="27" t="str">
        <x:v>Trial row 26 has authority</x:v>
      </x:c>
      <x:c r="E373" s="27" t="n">
        <x:f>IF('Trial Register'!J26&lt;&gt;"",1,0)</x:f>
        <x:v>1</x:v>
      </x:c>
      <x:c r="F373" s="27" t="n">
        <x:v>1</x:v>
      </x:c>
      <x:c r="G373" s="29" t="str">
        <x:f>IF(E373=F373,"PASS","FAIL")</x:f>
        <x:v>PASS</x:v>
      </x:c>
    </x:row>
    <x:row r="374" ht="18" customHeight="1">
      <x:c r="B374" s="27" t="str">
        <x:v>A0368</x:v>
      </x:c>
      <x:c r="C374" s="27" t="str">
        <x:v>trial</x:v>
      </x:c>
      <x:c r="D374" s="27" t="str">
        <x:v>Trial row 26 campaign registered</x:v>
      </x:c>
      <x:c r="E374" s="27" t="n">
        <x:f>IF(COUNTIFS('Campaign Schedule'!B7:B14,'Trial Register'!C26)=1,1,0)</x:f>
        <x:v>1</x:v>
      </x:c>
      <x:c r="F374" s="27" t="n">
        <x:v>1</x:v>
      </x:c>
      <x:c r="G374" s="29" t="str">
        <x:f>IF(E374=F374,"PASS","FAIL")</x:f>
        <x:v>PASS</x:v>
      </x:c>
    </x:row>
    <x:row r="375" ht="18" customHeight="1">
      <x:c r="B375" s="27" t="str">
        <x:v>A0369</x:v>
      </x:c>
      <x:c r="C375" s="27" t="str">
        <x:v>trial</x:v>
      </x:c>
      <x:c r="D375" s="27" t="str">
        <x:v>Trial row 26 date order</x:v>
      </x:c>
      <x:c r="E375" s="27" t="n">
        <x:f>IF('Trial Register'!O26&gt;='Trial Register'!N26,1,0)</x:f>
        <x:v>1</x:v>
      </x:c>
      <x:c r="F375" s="27" t="n">
        <x:v>1</x:v>
      </x:c>
      <x:c r="G375" s="29" t="str">
        <x:f>IF(E375=F375,"PASS","FAIL")</x:f>
        <x:v>PASS</x:v>
      </x:c>
    </x:row>
    <x:row r="376" ht="18" customHeight="1">
      <x:c r="B376" s="27" t="str">
        <x:v>A0370</x:v>
      </x:c>
      <x:c r="C376" s="27" t="str">
        <x:v>trial</x:v>
      </x:c>
      <x:c r="D376" s="27" t="str">
        <x:v>Trial row 27 state open</x:v>
      </x:c>
      <x:c r="E376" s="27" t="n">
        <x:f>IF('Trial Register'!L27="OPEN",1,0)</x:f>
        <x:v>1</x:v>
      </x:c>
      <x:c r="F376" s="27" t="n">
        <x:v>1</x:v>
      </x:c>
      <x:c r="G376" s="29" t="str">
        <x:f>IF(E376=F376,"PASS","FAIL")</x:f>
        <x:v>PASS</x:v>
      </x:c>
    </x:row>
    <x:row r="377" ht="18" customHeight="1">
      <x:c r="B377" s="27" t="str">
        <x:v>A0371</x:v>
      </x:c>
      <x:c r="C377" s="27" t="str">
        <x:v>trial</x:v>
      </x:c>
      <x:c r="D377" s="27" t="str">
        <x:v>Trial row 27 zero credit</x:v>
      </x:c>
      <x:c r="E377" s="27" t="n">
        <x:f>IF('Trial Register'!M27=0,1,0)</x:f>
        <x:v>1</x:v>
      </x:c>
      <x:c r="F377" s="27" t="n">
        <x:v>1</x:v>
      </x:c>
      <x:c r="G377" s="29" t="str">
        <x:f>IF(E377=F377,"PASS","FAIL")</x:f>
        <x:v>PASS</x:v>
      </x:c>
    </x:row>
    <x:row r="378" ht="18" customHeight="1">
      <x:c r="B378" s="27" t="str">
        <x:v>A0372</x:v>
      </x:c>
      <x:c r="C378" s="27" t="str">
        <x:v>trial</x:v>
      </x:c>
      <x:c r="D378" s="27" t="str">
        <x:v>Trial row 27 has authority</x:v>
      </x:c>
      <x:c r="E378" s="27" t="n">
        <x:f>IF('Trial Register'!J27&lt;&gt;"",1,0)</x:f>
        <x:v>1</x:v>
      </x:c>
      <x:c r="F378" s="27" t="n">
        <x:v>1</x:v>
      </x:c>
      <x:c r="G378" s="29" t="str">
        <x:f>IF(E378=F378,"PASS","FAIL")</x:f>
        <x:v>PASS</x:v>
      </x:c>
    </x:row>
    <x:row r="379" ht="18" customHeight="1">
      <x:c r="B379" s="27" t="str">
        <x:v>A0373</x:v>
      </x:c>
      <x:c r="C379" s="27" t="str">
        <x:v>trial</x:v>
      </x:c>
      <x:c r="D379" s="27" t="str">
        <x:v>Trial row 27 campaign registered</x:v>
      </x:c>
      <x:c r="E379" s="27" t="n">
        <x:f>IF(COUNTIFS('Campaign Schedule'!B7:B14,'Trial Register'!C27)=1,1,0)</x:f>
        <x:v>1</x:v>
      </x:c>
      <x:c r="F379" s="27" t="n">
        <x:v>1</x:v>
      </x:c>
      <x:c r="G379" s="29" t="str">
        <x:f>IF(E379=F379,"PASS","FAIL")</x:f>
        <x:v>PASS</x:v>
      </x:c>
    </x:row>
    <x:row r="380" ht="18" customHeight="1">
      <x:c r="B380" s="27" t="str">
        <x:v>A0374</x:v>
      </x:c>
      <x:c r="C380" s="27" t="str">
        <x:v>trial</x:v>
      </x:c>
      <x:c r="D380" s="27" t="str">
        <x:v>Trial row 27 date order</x:v>
      </x:c>
      <x:c r="E380" s="27" t="n">
        <x:f>IF('Trial Register'!O27&gt;='Trial Register'!N27,1,0)</x:f>
        <x:v>1</x:v>
      </x:c>
      <x:c r="F380" s="27" t="n">
        <x:v>1</x:v>
      </x:c>
      <x:c r="G380" s="29" t="str">
        <x:f>IF(E380=F380,"PASS","FAIL")</x:f>
        <x:v>PASS</x:v>
      </x:c>
    </x:row>
    <x:row r="381" ht="18" customHeight="1">
      <x:c r="B381" s="27" t="str">
        <x:v>A0375</x:v>
      </x:c>
      <x:c r="C381" s="27" t="str">
        <x:v>trial</x:v>
      </x:c>
      <x:c r="D381" s="27" t="str">
        <x:v>Trial row 28 state open</x:v>
      </x:c>
      <x:c r="E381" s="27" t="n">
        <x:f>IF('Trial Register'!L28="OPEN",1,0)</x:f>
        <x:v>1</x:v>
      </x:c>
      <x:c r="F381" s="27" t="n">
        <x:v>1</x:v>
      </x:c>
      <x:c r="G381" s="29" t="str">
        <x:f>IF(E381=F381,"PASS","FAIL")</x:f>
        <x:v>PASS</x:v>
      </x:c>
    </x:row>
    <x:row r="382" ht="18" customHeight="1">
      <x:c r="B382" s="27" t="str">
        <x:v>A0376</x:v>
      </x:c>
      <x:c r="C382" s="27" t="str">
        <x:v>trial</x:v>
      </x:c>
      <x:c r="D382" s="27" t="str">
        <x:v>Trial row 28 zero credit</x:v>
      </x:c>
      <x:c r="E382" s="27" t="n">
        <x:f>IF('Trial Register'!M28=0,1,0)</x:f>
        <x:v>1</x:v>
      </x:c>
      <x:c r="F382" s="27" t="n">
        <x:v>1</x:v>
      </x:c>
      <x:c r="G382" s="29" t="str">
        <x:f>IF(E382=F382,"PASS","FAIL")</x:f>
        <x:v>PASS</x:v>
      </x:c>
    </x:row>
    <x:row r="383" ht="18" customHeight="1">
      <x:c r="B383" s="27" t="str">
        <x:v>A0377</x:v>
      </x:c>
      <x:c r="C383" s="27" t="str">
        <x:v>trial</x:v>
      </x:c>
      <x:c r="D383" s="27" t="str">
        <x:v>Trial row 28 has authority</x:v>
      </x:c>
      <x:c r="E383" s="27" t="n">
        <x:f>IF('Trial Register'!J28&lt;&gt;"",1,0)</x:f>
        <x:v>1</x:v>
      </x:c>
      <x:c r="F383" s="27" t="n">
        <x:v>1</x:v>
      </x:c>
      <x:c r="G383" s="29" t="str">
        <x:f>IF(E383=F383,"PASS","FAIL")</x:f>
        <x:v>PASS</x:v>
      </x:c>
    </x:row>
    <x:row r="384" ht="18" customHeight="1">
      <x:c r="B384" s="27" t="str">
        <x:v>A0378</x:v>
      </x:c>
      <x:c r="C384" s="27" t="str">
        <x:v>trial</x:v>
      </x:c>
      <x:c r="D384" s="27" t="str">
        <x:v>Trial row 28 campaign registered</x:v>
      </x:c>
      <x:c r="E384" s="27" t="n">
        <x:f>IF(COUNTIFS('Campaign Schedule'!B7:B14,'Trial Register'!C28)=1,1,0)</x:f>
        <x:v>1</x:v>
      </x:c>
      <x:c r="F384" s="27" t="n">
        <x:v>1</x:v>
      </x:c>
      <x:c r="G384" s="29" t="str">
        <x:f>IF(E384=F384,"PASS","FAIL")</x:f>
        <x:v>PASS</x:v>
      </x:c>
    </x:row>
    <x:row r="385" ht="18" customHeight="1">
      <x:c r="B385" s="27" t="str">
        <x:v>A0379</x:v>
      </x:c>
      <x:c r="C385" s="27" t="str">
        <x:v>trial</x:v>
      </x:c>
      <x:c r="D385" s="27" t="str">
        <x:v>Trial row 28 date order</x:v>
      </x:c>
      <x:c r="E385" s="27" t="n">
        <x:f>IF('Trial Register'!O28&gt;='Trial Register'!N28,1,0)</x:f>
        <x:v>1</x:v>
      </x:c>
      <x:c r="F385" s="27" t="n">
        <x:v>1</x:v>
      </x:c>
      <x:c r="G385" s="29" t="str">
        <x:f>IF(E385=F385,"PASS","FAIL")</x:f>
        <x:v>PASS</x:v>
      </x:c>
    </x:row>
    <x:row r="386" ht="18" customHeight="1">
      <x:c r="B386" s="27" t="str">
        <x:v>A0380</x:v>
      </x:c>
      <x:c r="C386" s="27" t="str">
        <x:v>trial</x:v>
      </x:c>
      <x:c r="D386" s="27" t="str">
        <x:v>Trial row 29 state open</x:v>
      </x:c>
      <x:c r="E386" s="27" t="n">
        <x:f>IF('Trial Register'!L29="OPEN",1,0)</x:f>
        <x:v>1</x:v>
      </x:c>
      <x:c r="F386" s="27" t="n">
        <x:v>1</x:v>
      </x:c>
      <x:c r="G386" s="29" t="str">
        <x:f>IF(E386=F386,"PASS","FAIL")</x:f>
        <x:v>PASS</x:v>
      </x:c>
    </x:row>
    <x:row r="387" ht="18" customHeight="1">
      <x:c r="B387" s="27" t="str">
        <x:v>A0381</x:v>
      </x:c>
      <x:c r="C387" s="27" t="str">
        <x:v>trial</x:v>
      </x:c>
      <x:c r="D387" s="27" t="str">
        <x:v>Trial row 29 zero credit</x:v>
      </x:c>
      <x:c r="E387" s="27" t="n">
        <x:f>IF('Trial Register'!M29=0,1,0)</x:f>
        <x:v>1</x:v>
      </x:c>
      <x:c r="F387" s="27" t="n">
        <x:v>1</x:v>
      </x:c>
      <x:c r="G387" s="29" t="str">
        <x:f>IF(E387=F387,"PASS","FAIL")</x:f>
        <x:v>PASS</x:v>
      </x:c>
    </x:row>
    <x:row r="388" ht="18" customHeight="1">
      <x:c r="B388" s="27" t="str">
        <x:v>A0382</x:v>
      </x:c>
      <x:c r="C388" s="27" t="str">
        <x:v>trial</x:v>
      </x:c>
      <x:c r="D388" s="27" t="str">
        <x:v>Trial row 29 has authority</x:v>
      </x:c>
      <x:c r="E388" s="27" t="n">
        <x:f>IF('Trial Register'!J29&lt;&gt;"",1,0)</x:f>
        <x:v>1</x:v>
      </x:c>
      <x:c r="F388" s="27" t="n">
        <x:v>1</x:v>
      </x:c>
      <x:c r="G388" s="29" t="str">
        <x:f>IF(E388=F388,"PASS","FAIL")</x:f>
        <x:v>PASS</x:v>
      </x:c>
    </x:row>
    <x:row r="389" ht="18" customHeight="1">
      <x:c r="B389" s="27" t="str">
        <x:v>A0383</x:v>
      </x:c>
      <x:c r="C389" s="27" t="str">
        <x:v>trial</x:v>
      </x:c>
      <x:c r="D389" s="27" t="str">
        <x:v>Trial row 29 campaign registered</x:v>
      </x:c>
      <x:c r="E389" s="27" t="n">
        <x:f>IF(COUNTIFS('Campaign Schedule'!B7:B14,'Trial Register'!C29)=1,1,0)</x:f>
        <x:v>1</x:v>
      </x:c>
      <x:c r="F389" s="27" t="n">
        <x:v>1</x:v>
      </x:c>
      <x:c r="G389" s="29" t="str">
        <x:f>IF(E389=F389,"PASS","FAIL")</x:f>
        <x:v>PASS</x:v>
      </x:c>
    </x:row>
    <x:row r="390" ht="18" customHeight="1">
      <x:c r="B390" s="27" t="str">
        <x:v>A0384</x:v>
      </x:c>
      <x:c r="C390" s="27" t="str">
        <x:v>trial</x:v>
      </x:c>
      <x:c r="D390" s="27" t="str">
        <x:v>Trial row 29 date order</x:v>
      </x:c>
      <x:c r="E390" s="27" t="n">
        <x:f>IF('Trial Register'!O29&gt;='Trial Register'!N29,1,0)</x:f>
        <x:v>1</x:v>
      </x:c>
      <x:c r="F390" s="27" t="n">
        <x:v>1</x:v>
      </x:c>
      <x:c r="G390" s="29" t="str">
        <x:f>IF(E390=F390,"PASS","FAIL")</x:f>
        <x:v>PASS</x:v>
      </x:c>
    </x:row>
    <x:row r="391" ht="18" customHeight="1">
      <x:c r="B391" s="27" t="str">
        <x:v>A0385</x:v>
      </x:c>
      <x:c r="C391" s="27" t="str">
        <x:v>trial</x:v>
      </x:c>
      <x:c r="D391" s="27" t="str">
        <x:v>Trial row 30 state open</x:v>
      </x:c>
      <x:c r="E391" s="27" t="n">
        <x:f>IF('Trial Register'!L30="OPEN",1,0)</x:f>
        <x:v>1</x:v>
      </x:c>
      <x:c r="F391" s="27" t="n">
        <x:v>1</x:v>
      </x:c>
      <x:c r="G391" s="29" t="str">
        <x:f>IF(E391=F391,"PASS","FAIL")</x:f>
        <x:v>PASS</x:v>
      </x:c>
    </x:row>
    <x:row r="392" ht="18" customHeight="1">
      <x:c r="B392" s="27" t="str">
        <x:v>A0386</x:v>
      </x:c>
      <x:c r="C392" s="27" t="str">
        <x:v>trial</x:v>
      </x:c>
      <x:c r="D392" s="27" t="str">
        <x:v>Trial row 30 zero credit</x:v>
      </x:c>
      <x:c r="E392" s="27" t="n">
        <x:f>IF('Trial Register'!M30=0,1,0)</x:f>
        <x:v>1</x:v>
      </x:c>
      <x:c r="F392" s="27" t="n">
        <x:v>1</x:v>
      </x:c>
      <x:c r="G392" s="29" t="str">
        <x:f>IF(E392=F392,"PASS","FAIL")</x:f>
        <x:v>PASS</x:v>
      </x:c>
    </x:row>
    <x:row r="393" ht="18" customHeight="1">
      <x:c r="B393" s="27" t="str">
        <x:v>A0387</x:v>
      </x:c>
      <x:c r="C393" s="27" t="str">
        <x:v>trial</x:v>
      </x:c>
      <x:c r="D393" s="27" t="str">
        <x:v>Trial row 30 has authority</x:v>
      </x:c>
      <x:c r="E393" s="27" t="n">
        <x:f>IF('Trial Register'!J30&lt;&gt;"",1,0)</x:f>
        <x:v>1</x:v>
      </x:c>
      <x:c r="F393" s="27" t="n">
        <x:v>1</x:v>
      </x:c>
      <x:c r="G393" s="29" t="str">
        <x:f>IF(E393=F393,"PASS","FAIL")</x:f>
        <x:v>PASS</x:v>
      </x:c>
    </x:row>
    <x:row r="394" ht="18" customHeight="1">
      <x:c r="B394" s="27" t="str">
        <x:v>A0388</x:v>
      </x:c>
      <x:c r="C394" s="27" t="str">
        <x:v>trial</x:v>
      </x:c>
      <x:c r="D394" s="27" t="str">
        <x:v>Trial row 30 campaign registered</x:v>
      </x:c>
      <x:c r="E394" s="27" t="n">
        <x:f>IF(COUNTIFS('Campaign Schedule'!B7:B14,'Trial Register'!C30)=1,1,0)</x:f>
        <x:v>1</x:v>
      </x:c>
      <x:c r="F394" s="27" t="n">
        <x:v>1</x:v>
      </x:c>
      <x:c r="G394" s="29" t="str">
        <x:f>IF(E394=F394,"PASS","FAIL")</x:f>
        <x:v>PASS</x:v>
      </x:c>
    </x:row>
    <x:row r="395" ht="18" customHeight="1">
      <x:c r="B395" s="27" t="str">
        <x:v>A0389</x:v>
      </x:c>
      <x:c r="C395" s="27" t="str">
        <x:v>trial</x:v>
      </x:c>
      <x:c r="D395" s="27" t="str">
        <x:v>Trial row 30 date order</x:v>
      </x:c>
      <x:c r="E395" s="27" t="n">
        <x:f>IF('Trial Register'!O30&gt;='Trial Register'!N30,1,0)</x:f>
        <x:v>1</x:v>
      </x:c>
      <x:c r="F395" s="27" t="n">
        <x:v>1</x:v>
      </x:c>
      <x:c r="G395" s="29" t="str">
        <x:f>IF(E395=F395,"PASS","FAIL")</x:f>
        <x:v>PASS</x:v>
      </x:c>
    </x:row>
    <x:row r="396" ht="18" customHeight="1">
      <x:c r="B396" s="27" t="str">
        <x:v>A0390</x:v>
      </x:c>
      <x:c r="C396" s="27" t="str">
        <x:v>trial</x:v>
      </x:c>
      <x:c r="D396" s="27" t="str">
        <x:v>Trial row 31 state open</x:v>
      </x:c>
      <x:c r="E396" s="27" t="n">
        <x:f>IF('Trial Register'!L31="OPEN",1,0)</x:f>
        <x:v>1</x:v>
      </x:c>
      <x:c r="F396" s="27" t="n">
        <x:v>1</x:v>
      </x:c>
      <x:c r="G396" s="29" t="str">
        <x:f>IF(E396=F396,"PASS","FAIL")</x:f>
        <x:v>PASS</x:v>
      </x:c>
    </x:row>
    <x:row r="397" ht="18" customHeight="1">
      <x:c r="B397" s="27" t="str">
        <x:v>A0391</x:v>
      </x:c>
      <x:c r="C397" s="27" t="str">
        <x:v>trial</x:v>
      </x:c>
      <x:c r="D397" s="27" t="str">
        <x:v>Trial row 31 zero credit</x:v>
      </x:c>
      <x:c r="E397" s="27" t="n">
        <x:f>IF('Trial Register'!M31=0,1,0)</x:f>
        <x:v>1</x:v>
      </x:c>
      <x:c r="F397" s="27" t="n">
        <x:v>1</x:v>
      </x:c>
      <x:c r="G397" s="29" t="str">
        <x:f>IF(E397=F397,"PASS","FAIL")</x:f>
        <x:v>PASS</x:v>
      </x:c>
    </x:row>
    <x:row r="398" ht="18" customHeight="1">
      <x:c r="B398" s="27" t="str">
        <x:v>A0392</x:v>
      </x:c>
      <x:c r="C398" s="27" t="str">
        <x:v>trial</x:v>
      </x:c>
      <x:c r="D398" s="27" t="str">
        <x:v>Trial row 31 has authority</x:v>
      </x:c>
      <x:c r="E398" s="27" t="n">
        <x:f>IF('Trial Register'!J31&lt;&gt;"",1,0)</x:f>
        <x:v>1</x:v>
      </x:c>
      <x:c r="F398" s="27" t="n">
        <x:v>1</x:v>
      </x:c>
      <x:c r="G398" s="29" t="str">
        <x:f>IF(E398=F398,"PASS","FAIL")</x:f>
        <x:v>PASS</x:v>
      </x:c>
    </x:row>
    <x:row r="399" ht="18" customHeight="1">
      <x:c r="B399" s="27" t="str">
        <x:v>A0393</x:v>
      </x:c>
      <x:c r="C399" s="27" t="str">
        <x:v>trial</x:v>
      </x:c>
      <x:c r="D399" s="27" t="str">
        <x:v>Trial row 31 campaign registered</x:v>
      </x:c>
      <x:c r="E399" s="27" t="n">
        <x:f>IF(COUNTIFS('Campaign Schedule'!B7:B14,'Trial Register'!C31)=1,1,0)</x:f>
        <x:v>1</x:v>
      </x:c>
      <x:c r="F399" s="27" t="n">
        <x:v>1</x:v>
      </x:c>
      <x:c r="G399" s="29" t="str">
        <x:f>IF(E399=F399,"PASS","FAIL")</x:f>
        <x:v>PASS</x:v>
      </x:c>
    </x:row>
    <x:row r="400" ht="18" customHeight="1">
      <x:c r="B400" s="27" t="str">
        <x:v>A0394</x:v>
      </x:c>
      <x:c r="C400" s="27" t="str">
        <x:v>trial</x:v>
      </x:c>
      <x:c r="D400" s="27" t="str">
        <x:v>Trial row 31 date order</x:v>
      </x:c>
      <x:c r="E400" s="27" t="n">
        <x:f>IF('Trial Register'!O31&gt;='Trial Register'!N31,1,0)</x:f>
        <x:v>1</x:v>
      </x:c>
      <x:c r="F400" s="27" t="n">
        <x:v>1</x:v>
      </x:c>
      <x:c r="G400" s="29" t="str">
        <x:f>IF(E400=F400,"PASS","FAIL")</x:f>
        <x:v>PASS</x:v>
      </x:c>
    </x:row>
    <x:row r="401" ht="18" customHeight="1">
      <x:c r="B401" s="27" t="str">
        <x:v>A0395</x:v>
      </x:c>
      <x:c r="C401" s="27" t="str">
        <x:v>trial</x:v>
      </x:c>
      <x:c r="D401" s="27" t="str">
        <x:v>Trial row 32 state open</x:v>
      </x:c>
      <x:c r="E401" s="27" t="n">
        <x:f>IF('Trial Register'!L32="OPEN",1,0)</x:f>
        <x:v>1</x:v>
      </x:c>
      <x:c r="F401" s="27" t="n">
        <x:v>1</x:v>
      </x:c>
      <x:c r="G401" s="29" t="str">
        <x:f>IF(E401=F401,"PASS","FAIL")</x:f>
        <x:v>PASS</x:v>
      </x:c>
    </x:row>
    <x:row r="402" ht="18" customHeight="1">
      <x:c r="B402" s="27" t="str">
        <x:v>A0396</x:v>
      </x:c>
      <x:c r="C402" s="27" t="str">
        <x:v>trial</x:v>
      </x:c>
      <x:c r="D402" s="27" t="str">
        <x:v>Trial row 32 zero credit</x:v>
      </x:c>
      <x:c r="E402" s="27" t="n">
        <x:f>IF('Trial Register'!M32=0,1,0)</x:f>
        <x:v>1</x:v>
      </x:c>
      <x:c r="F402" s="27" t="n">
        <x:v>1</x:v>
      </x:c>
      <x:c r="G402" s="29" t="str">
        <x:f>IF(E402=F402,"PASS","FAIL")</x:f>
        <x:v>PASS</x:v>
      </x:c>
    </x:row>
    <x:row r="403" ht="18" customHeight="1">
      <x:c r="B403" s="27" t="str">
        <x:v>A0397</x:v>
      </x:c>
      <x:c r="C403" s="27" t="str">
        <x:v>trial</x:v>
      </x:c>
      <x:c r="D403" s="27" t="str">
        <x:v>Trial row 32 has authority</x:v>
      </x:c>
      <x:c r="E403" s="27" t="n">
        <x:f>IF('Trial Register'!J32&lt;&gt;"",1,0)</x:f>
        <x:v>1</x:v>
      </x:c>
      <x:c r="F403" s="27" t="n">
        <x:v>1</x:v>
      </x:c>
      <x:c r="G403" s="29" t="str">
        <x:f>IF(E403=F403,"PASS","FAIL")</x:f>
        <x:v>PASS</x:v>
      </x:c>
    </x:row>
    <x:row r="404" ht="18" customHeight="1">
      <x:c r="B404" s="27" t="str">
        <x:v>A0398</x:v>
      </x:c>
      <x:c r="C404" s="27" t="str">
        <x:v>trial</x:v>
      </x:c>
      <x:c r="D404" s="27" t="str">
        <x:v>Trial row 32 campaign registered</x:v>
      </x:c>
      <x:c r="E404" s="27" t="n">
        <x:f>IF(COUNTIFS('Campaign Schedule'!B7:B14,'Trial Register'!C32)=1,1,0)</x:f>
        <x:v>1</x:v>
      </x:c>
      <x:c r="F404" s="27" t="n">
        <x:v>1</x:v>
      </x:c>
      <x:c r="G404" s="29" t="str">
        <x:f>IF(E404=F404,"PASS","FAIL")</x:f>
        <x:v>PASS</x:v>
      </x:c>
    </x:row>
    <x:row r="405" ht="18" customHeight="1">
      <x:c r="B405" s="27" t="str">
        <x:v>A0399</x:v>
      </x:c>
      <x:c r="C405" s="27" t="str">
        <x:v>trial</x:v>
      </x:c>
      <x:c r="D405" s="27" t="str">
        <x:v>Trial row 32 date order</x:v>
      </x:c>
      <x:c r="E405" s="27" t="n">
        <x:f>IF('Trial Register'!O32&gt;='Trial Register'!N32,1,0)</x:f>
        <x:v>1</x:v>
      </x:c>
      <x:c r="F405" s="27" t="n">
        <x:v>1</x:v>
      </x:c>
      <x:c r="G405" s="29" t="str">
        <x:f>IF(E405=F405,"PASS","FAIL")</x:f>
        <x:v>PASS</x:v>
      </x:c>
    </x:row>
    <x:row r="406" ht="18" customHeight="1">
      <x:c r="B406" s="27" t="str">
        <x:v>A0400</x:v>
      </x:c>
      <x:c r="C406" s="27" t="str">
        <x:v>trial</x:v>
      </x:c>
      <x:c r="D406" s="27" t="str">
        <x:v>Trial row 33 state open</x:v>
      </x:c>
      <x:c r="E406" s="27" t="n">
        <x:f>IF('Trial Register'!L33="OPEN",1,0)</x:f>
        <x:v>1</x:v>
      </x:c>
      <x:c r="F406" s="27" t="n">
        <x:v>1</x:v>
      </x:c>
      <x:c r="G406" s="29" t="str">
        <x:f>IF(E406=F406,"PASS","FAIL")</x:f>
        <x:v>PASS</x:v>
      </x:c>
    </x:row>
    <x:row r="407" ht="18" customHeight="1">
      <x:c r="B407" s="27" t="str">
        <x:v>A0401</x:v>
      </x:c>
      <x:c r="C407" s="27" t="str">
        <x:v>trial</x:v>
      </x:c>
      <x:c r="D407" s="27" t="str">
        <x:v>Trial row 33 zero credit</x:v>
      </x:c>
      <x:c r="E407" s="27" t="n">
        <x:f>IF('Trial Register'!M33=0,1,0)</x:f>
        <x:v>1</x:v>
      </x:c>
      <x:c r="F407" s="27" t="n">
        <x:v>1</x:v>
      </x:c>
      <x:c r="G407" s="29" t="str">
        <x:f>IF(E407=F407,"PASS","FAIL")</x:f>
        <x:v>PASS</x:v>
      </x:c>
    </x:row>
    <x:row r="408" ht="18" customHeight="1">
      <x:c r="B408" s="27" t="str">
        <x:v>A0402</x:v>
      </x:c>
      <x:c r="C408" s="27" t="str">
        <x:v>trial</x:v>
      </x:c>
      <x:c r="D408" s="27" t="str">
        <x:v>Trial row 33 has authority</x:v>
      </x:c>
      <x:c r="E408" s="27" t="n">
        <x:f>IF('Trial Register'!J33&lt;&gt;"",1,0)</x:f>
        <x:v>1</x:v>
      </x:c>
      <x:c r="F408" s="27" t="n">
        <x:v>1</x:v>
      </x:c>
      <x:c r="G408" s="29" t="str">
        <x:f>IF(E408=F408,"PASS","FAIL")</x:f>
        <x:v>PASS</x:v>
      </x:c>
    </x:row>
    <x:row r="409" ht="18" customHeight="1">
      <x:c r="B409" s="27" t="str">
        <x:v>A0403</x:v>
      </x:c>
      <x:c r="C409" s="27" t="str">
        <x:v>trial</x:v>
      </x:c>
      <x:c r="D409" s="27" t="str">
        <x:v>Trial row 33 campaign registered</x:v>
      </x:c>
      <x:c r="E409" s="27" t="n">
        <x:f>IF(COUNTIFS('Campaign Schedule'!B7:B14,'Trial Register'!C33)=1,1,0)</x:f>
        <x:v>1</x:v>
      </x:c>
      <x:c r="F409" s="27" t="n">
        <x:v>1</x:v>
      </x:c>
      <x:c r="G409" s="29" t="str">
        <x:f>IF(E409=F409,"PASS","FAIL")</x:f>
        <x:v>PASS</x:v>
      </x:c>
    </x:row>
    <x:row r="410" ht="18" customHeight="1">
      <x:c r="B410" s="27" t="str">
        <x:v>A0404</x:v>
      </x:c>
      <x:c r="C410" s="27" t="str">
        <x:v>trial</x:v>
      </x:c>
      <x:c r="D410" s="27" t="str">
        <x:v>Trial row 33 date order</x:v>
      </x:c>
      <x:c r="E410" s="27" t="n">
        <x:f>IF('Trial Register'!O33&gt;='Trial Register'!N33,1,0)</x:f>
        <x:v>1</x:v>
      </x:c>
      <x:c r="F410" s="27" t="n">
        <x:v>1</x:v>
      </x:c>
      <x:c r="G410" s="29" t="str">
        <x:f>IF(E410=F410,"PASS","FAIL")</x:f>
        <x:v>PASS</x:v>
      </x:c>
    </x:row>
    <x:row r="411" ht="18" customHeight="1">
      <x:c r="B411" s="27" t="str">
        <x:v>A0405</x:v>
      </x:c>
      <x:c r="C411" s="27" t="str">
        <x:v>trial</x:v>
      </x:c>
      <x:c r="D411" s="27" t="str">
        <x:v>Trial row 34 state open</x:v>
      </x:c>
      <x:c r="E411" s="27" t="n">
        <x:f>IF('Trial Register'!L34="OPEN",1,0)</x:f>
        <x:v>1</x:v>
      </x:c>
      <x:c r="F411" s="27" t="n">
        <x:v>1</x:v>
      </x:c>
      <x:c r="G411" s="29" t="str">
        <x:f>IF(E411=F411,"PASS","FAIL")</x:f>
        <x:v>PASS</x:v>
      </x:c>
    </x:row>
    <x:row r="412" ht="18" customHeight="1">
      <x:c r="B412" s="27" t="str">
        <x:v>A0406</x:v>
      </x:c>
      <x:c r="C412" s="27" t="str">
        <x:v>trial</x:v>
      </x:c>
      <x:c r="D412" s="27" t="str">
        <x:v>Trial row 34 zero credit</x:v>
      </x:c>
      <x:c r="E412" s="27" t="n">
        <x:f>IF('Trial Register'!M34=0,1,0)</x:f>
        <x:v>1</x:v>
      </x:c>
      <x:c r="F412" s="27" t="n">
        <x:v>1</x:v>
      </x:c>
      <x:c r="G412" s="29" t="str">
        <x:f>IF(E412=F412,"PASS","FAIL")</x:f>
        <x:v>PASS</x:v>
      </x:c>
    </x:row>
    <x:row r="413" ht="18" customHeight="1">
      <x:c r="B413" s="27" t="str">
        <x:v>A0407</x:v>
      </x:c>
      <x:c r="C413" s="27" t="str">
        <x:v>trial</x:v>
      </x:c>
      <x:c r="D413" s="27" t="str">
        <x:v>Trial row 34 has authority</x:v>
      </x:c>
      <x:c r="E413" s="27" t="n">
        <x:f>IF('Trial Register'!J34&lt;&gt;"",1,0)</x:f>
        <x:v>1</x:v>
      </x:c>
      <x:c r="F413" s="27" t="n">
        <x:v>1</x:v>
      </x:c>
      <x:c r="G413" s="29" t="str">
        <x:f>IF(E413=F413,"PASS","FAIL")</x:f>
        <x:v>PASS</x:v>
      </x:c>
    </x:row>
    <x:row r="414" ht="18" customHeight="1">
      <x:c r="B414" s="27" t="str">
        <x:v>A0408</x:v>
      </x:c>
      <x:c r="C414" s="27" t="str">
        <x:v>trial</x:v>
      </x:c>
      <x:c r="D414" s="27" t="str">
        <x:v>Trial row 34 campaign registered</x:v>
      </x:c>
      <x:c r="E414" s="27" t="n">
        <x:f>IF(COUNTIFS('Campaign Schedule'!B7:B14,'Trial Register'!C34)=1,1,0)</x:f>
        <x:v>1</x:v>
      </x:c>
      <x:c r="F414" s="27" t="n">
        <x:v>1</x:v>
      </x:c>
      <x:c r="G414" s="29" t="str">
        <x:f>IF(E414=F414,"PASS","FAIL")</x:f>
        <x:v>PASS</x:v>
      </x:c>
    </x:row>
    <x:row r="415" ht="18" customHeight="1">
      <x:c r="B415" s="27" t="str">
        <x:v>A0409</x:v>
      </x:c>
      <x:c r="C415" s="27" t="str">
        <x:v>trial</x:v>
      </x:c>
      <x:c r="D415" s="27" t="str">
        <x:v>Trial row 34 date order</x:v>
      </x:c>
      <x:c r="E415" s="27" t="n">
        <x:f>IF('Trial Register'!O34&gt;='Trial Register'!N34,1,0)</x:f>
        <x:v>1</x:v>
      </x:c>
      <x:c r="F415" s="27" t="n">
        <x:v>1</x:v>
      </x:c>
      <x:c r="G415" s="29" t="str">
        <x:f>IF(E415=F415,"PASS","FAIL")</x:f>
        <x:v>PASS</x:v>
      </x:c>
    </x:row>
    <x:row r="416" ht="18" customHeight="1">
      <x:c r="B416" s="27" t="str">
        <x:v>A0410</x:v>
      </x:c>
      <x:c r="C416" s="27" t="str">
        <x:v>trial</x:v>
      </x:c>
      <x:c r="D416" s="27" t="str">
        <x:v>Trial row 35 state open</x:v>
      </x:c>
      <x:c r="E416" s="27" t="n">
        <x:f>IF('Trial Register'!L35="OPEN",1,0)</x:f>
        <x:v>1</x:v>
      </x:c>
      <x:c r="F416" s="27" t="n">
        <x:v>1</x:v>
      </x:c>
      <x:c r="G416" s="29" t="str">
        <x:f>IF(E416=F416,"PASS","FAIL")</x:f>
        <x:v>PASS</x:v>
      </x:c>
    </x:row>
    <x:row r="417" ht="18" customHeight="1">
      <x:c r="B417" s="27" t="str">
        <x:v>A0411</x:v>
      </x:c>
      <x:c r="C417" s="27" t="str">
        <x:v>trial</x:v>
      </x:c>
      <x:c r="D417" s="27" t="str">
        <x:v>Trial row 35 zero credit</x:v>
      </x:c>
      <x:c r="E417" s="27" t="n">
        <x:f>IF('Trial Register'!M35=0,1,0)</x:f>
        <x:v>1</x:v>
      </x:c>
      <x:c r="F417" s="27" t="n">
        <x:v>1</x:v>
      </x:c>
      <x:c r="G417" s="29" t="str">
        <x:f>IF(E417=F417,"PASS","FAIL")</x:f>
        <x:v>PASS</x:v>
      </x:c>
    </x:row>
    <x:row r="418" ht="18" customHeight="1">
      <x:c r="B418" s="27" t="str">
        <x:v>A0412</x:v>
      </x:c>
      <x:c r="C418" s="27" t="str">
        <x:v>trial</x:v>
      </x:c>
      <x:c r="D418" s="27" t="str">
        <x:v>Trial row 35 has authority</x:v>
      </x:c>
      <x:c r="E418" s="27" t="n">
        <x:f>IF('Trial Register'!J35&lt;&gt;"",1,0)</x:f>
        <x:v>1</x:v>
      </x:c>
      <x:c r="F418" s="27" t="n">
        <x:v>1</x:v>
      </x:c>
      <x:c r="G418" s="29" t="str">
        <x:f>IF(E418=F418,"PASS","FAIL")</x:f>
        <x:v>PASS</x:v>
      </x:c>
    </x:row>
    <x:row r="419" ht="18" customHeight="1">
      <x:c r="B419" s="27" t="str">
        <x:v>A0413</x:v>
      </x:c>
      <x:c r="C419" s="27" t="str">
        <x:v>trial</x:v>
      </x:c>
      <x:c r="D419" s="27" t="str">
        <x:v>Trial row 35 campaign registered</x:v>
      </x:c>
      <x:c r="E419" s="27" t="n">
        <x:f>IF(COUNTIFS('Campaign Schedule'!B7:B14,'Trial Register'!C35)=1,1,0)</x:f>
        <x:v>1</x:v>
      </x:c>
      <x:c r="F419" s="27" t="n">
        <x:v>1</x:v>
      </x:c>
      <x:c r="G419" s="29" t="str">
        <x:f>IF(E419=F419,"PASS","FAIL")</x:f>
        <x:v>PASS</x:v>
      </x:c>
    </x:row>
    <x:row r="420" ht="18" customHeight="1">
      <x:c r="B420" s="27" t="str">
        <x:v>A0414</x:v>
      </x:c>
      <x:c r="C420" s="27" t="str">
        <x:v>trial</x:v>
      </x:c>
      <x:c r="D420" s="27" t="str">
        <x:v>Trial row 35 date order</x:v>
      </x:c>
      <x:c r="E420" s="27" t="n">
        <x:f>IF('Trial Register'!O35&gt;='Trial Register'!N35,1,0)</x:f>
        <x:v>1</x:v>
      </x:c>
      <x:c r="F420" s="27" t="n">
        <x:v>1</x:v>
      </x:c>
      <x:c r="G420" s="29" t="str">
        <x:f>IF(E420=F420,"PASS","FAIL")</x:f>
        <x:v>PASS</x:v>
      </x:c>
    </x:row>
    <x:row r="421" ht="18" customHeight="1">
      <x:c r="B421" s="27" t="str">
        <x:v>A0415</x:v>
      </x:c>
      <x:c r="C421" s="27" t="str">
        <x:v>trial</x:v>
      </x:c>
      <x:c r="D421" s="27" t="str">
        <x:v>Trial row 36 state open</x:v>
      </x:c>
      <x:c r="E421" s="27" t="n">
        <x:f>IF('Trial Register'!L36="OPEN",1,0)</x:f>
        <x:v>1</x:v>
      </x:c>
      <x:c r="F421" s="27" t="n">
        <x:v>1</x:v>
      </x:c>
      <x:c r="G421" s="29" t="str">
        <x:f>IF(E421=F421,"PASS","FAIL")</x:f>
        <x:v>PASS</x:v>
      </x:c>
    </x:row>
    <x:row r="422" ht="18" customHeight="1">
      <x:c r="B422" s="27" t="str">
        <x:v>A0416</x:v>
      </x:c>
      <x:c r="C422" s="27" t="str">
        <x:v>trial</x:v>
      </x:c>
      <x:c r="D422" s="27" t="str">
        <x:v>Trial row 36 zero credit</x:v>
      </x:c>
      <x:c r="E422" s="27" t="n">
        <x:f>IF('Trial Register'!M36=0,1,0)</x:f>
        <x:v>1</x:v>
      </x:c>
      <x:c r="F422" s="27" t="n">
        <x:v>1</x:v>
      </x:c>
      <x:c r="G422" s="29" t="str">
        <x:f>IF(E422=F422,"PASS","FAIL")</x:f>
        <x:v>PASS</x:v>
      </x:c>
    </x:row>
    <x:row r="423" ht="18" customHeight="1">
      <x:c r="B423" s="27" t="str">
        <x:v>A0417</x:v>
      </x:c>
      <x:c r="C423" s="27" t="str">
        <x:v>trial</x:v>
      </x:c>
      <x:c r="D423" s="27" t="str">
        <x:v>Trial row 36 has authority</x:v>
      </x:c>
      <x:c r="E423" s="27" t="n">
        <x:f>IF('Trial Register'!J36&lt;&gt;"",1,0)</x:f>
        <x:v>1</x:v>
      </x:c>
      <x:c r="F423" s="27" t="n">
        <x:v>1</x:v>
      </x:c>
      <x:c r="G423" s="29" t="str">
        <x:f>IF(E423=F423,"PASS","FAIL")</x:f>
        <x:v>PASS</x:v>
      </x:c>
    </x:row>
    <x:row r="424" ht="18" customHeight="1">
      <x:c r="B424" s="27" t="str">
        <x:v>A0418</x:v>
      </x:c>
      <x:c r="C424" s="27" t="str">
        <x:v>trial</x:v>
      </x:c>
      <x:c r="D424" s="27" t="str">
        <x:v>Trial row 36 campaign registered</x:v>
      </x:c>
      <x:c r="E424" s="27" t="n">
        <x:f>IF(COUNTIFS('Campaign Schedule'!B7:B14,'Trial Register'!C36)=1,1,0)</x:f>
        <x:v>1</x:v>
      </x:c>
      <x:c r="F424" s="27" t="n">
        <x:v>1</x:v>
      </x:c>
      <x:c r="G424" s="29" t="str">
        <x:f>IF(E424=F424,"PASS","FAIL")</x:f>
        <x:v>PASS</x:v>
      </x:c>
    </x:row>
    <x:row r="425" ht="18" customHeight="1">
      <x:c r="B425" s="27" t="str">
        <x:v>A0419</x:v>
      </x:c>
      <x:c r="C425" s="27" t="str">
        <x:v>trial</x:v>
      </x:c>
      <x:c r="D425" s="27" t="str">
        <x:v>Trial row 36 date order</x:v>
      </x:c>
      <x:c r="E425" s="27" t="n">
        <x:f>IF('Trial Register'!O36&gt;='Trial Register'!N36,1,0)</x:f>
        <x:v>1</x:v>
      </x:c>
      <x:c r="F425" s="27" t="n">
        <x:v>1</x:v>
      </x:c>
      <x:c r="G425" s="29" t="str">
        <x:f>IF(E425=F425,"PASS","FAIL")</x:f>
        <x:v>PASS</x:v>
      </x:c>
    </x:row>
    <x:row r="426" ht="18" customHeight="1">
      <x:c r="B426" s="27" t="str">
        <x:v>A0420</x:v>
      </x:c>
      <x:c r="C426" s="27" t="str">
        <x:v>trial</x:v>
      </x:c>
      <x:c r="D426" s="27" t="str">
        <x:v>Trial row 37 state open</x:v>
      </x:c>
      <x:c r="E426" s="27" t="n">
        <x:f>IF('Trial Register'!L37="OPEN",1,0)</x:f>
        <x:v>1</x:v>
      </x:c>
      <x:c r="F426" s="27" t="n">
        <x:v>1</x:v>
      </x:c>
      <x:c r="G426" s="29" t="str">
        <x:f>IF(E426=F426,"PASS","FAIL")</x:f>
        <x:v>PASS</x:v>
      </x:c>
    </x:row>
    <x:row r="427" ht="18" customHeight="1">
      <x:c r="B427" s="27" t="str">
        <x:v>A0421</x:v>
      </x:c>
      <x:c r="C427" s="27" t="str">
        <x:v>trial</x:v>
      </x:c>
      <x:c r="D427" s="27" t="str">
        <x:v>Trial row 37 zero credit</x:v>
      </x:c>
      <x:c r="E427" s="27" t="n">
        <x:f>IF('Trial Register'!M37=0,1,0)</x:f>
        <x:v>1</x:v>
      </x:c>
      <x:c r="F427" s="27" t="n">
        <x:v>1</x:v>
      </x:c>
      <x:c r="G427" s="29" t="str">
        <x:f>IF(E427=F427,"PASS","FAIL")</x:f>
        <x:v>PASS</x:v>
      </x:c>
    </x:row>
    <x:row r="428" ht="18" customHeight="1">
      <x:c r="B428" s="27" t="str">
        <x:v>A0422</x:v>
      </x:c>
      <x:c r="C428" s="27" t="str">
        <x:v>trial</x:v>
      </x:c>
      <x:c r="D428" s="27" t="str">
        <x:v>Trial row 37 has authority</x:v>
      </x:c>
      <x:c r="E428" s="27" t="n">
        <x:f>IF('Trial Register'!J37&lt;&gt;"",1,0)</x:f>
        <x:v>1</x:v>
      </x:c>
      <x:c r="F428" s="27" t="n">
        <x:v>1</x:v>
      </x:c>
      <x:c r="G428" s="29" t="str">
        <x:f>IF(E428=F428,"PASS","FAIL")</x:f>
        <x:v>PASS</x:v>
      </x:c>
    </x:row>
    <x:row r="429" ht="18" customHeight="1">
      <x:c r="B429" s="27" t="str">
        <x:v>A0423</x:v>
      </x:c>
      <x:c r="C429" s="27" t="str">
        <x:v>trial</x:v>
      </x:c>
      <x:c r="D429" s="27" t="str">
        <x:v>Trial row 37 campaign registered</x:v>
      </x:c>
      <x:c r="E429" s="27" t="n">
        <x:f>IF(COUNTIFS('Campaign Schedule'!B7:B14,'Trial Register'!C37)=1,1,0)</x:f>
        <x:v>1</x:v>
      </x:c>
      <x:c r="F429" s="27" t="n">
        <x:v>1</x:v>
      </x:c>
      <x:c r="G429" s="29" t="str">
        <x:f>IF(E429=F429,"PASS","FAIL")</x:f>
        <x:v>PASS</x:v>
      </x:c>
    </x:row>
    <x:row r="430" ht="18" customHeight="1">
      <x:c r="B430" s="27" t="str">
        <x:v>A0424</x:v>
      </x:c>
      <x:c r="C430" s="27" t="str">
        <x:v>trial</x:v>
      </x:c>
      <x:c r="D430" s="27" t="str">
        <x:v>Trial row 37 date order</x:v>
      </x:c>
      <x:c r="E430" s="27" t="n">
        <x:f>IF('Trial Register'!O37&gt;='Trial Register'!N37,1,0)</x:f>
        <x:v>1</x:v>
      </x:c>
      <x:c r="F430" s="27" t="n">
        <x:v>1</x:v>
      </x:c>
      <x:c r="G430" s="29" t="str">
        <x:f>IF(E430=F430,"PASS","FAIL")</x:f>
        <x:v>PASS</x:v>
      </x:c>
    </x:row>
    <x:row r="431" ht="18" customHeight="1">
      <x:c r="B431" s="27" t="str">
        <x:v>A0425</x:v>
      </x:c>
      <x:c r="C431" s="27" t="str">
        <x:v>trial</x:v>
      </x:c>
      <x:c r="D431" s="27" t="str">
        <x:v>Trial row 38 state open</x:v>
      </x:c>
      <x:c r="E431" s="27" t="n">
        <x:f>IF('Trial Register'!L38="OPEN",1,0)</x:f>
        <x:v>1</x:v>
      </x:c>
      <x:c r="F431" s="27" t="n">
        <x:v>1</x:v>
      </x:c>
      <x:c r="G431" s="29" t="str">
        <x:f>IF(E431=F431,"PASS","FAIL")</x:f>
        <x:v>PASS</x:v>
      </x:c>
    </x:row>
    <x:row r="432" ht="18" customHeight="1">
      <x:c r="B432" s="27" t="str">
        <x:v>A0426</x:v>
      </x:c>
      <x:c r="C432" s="27" t="str">
        <x:v>trial</x:v>
      </x:c>
      <x:c r="D432" s="27" t="str">
        <x:v>Trial row 38 zero credit</x:v>
      </x:c>
      <x:c r="E432" s="27" t="n">
        <x:f>IF('Trial Register'!M38=0,1,0)</x:f>
        <x:v>1</x:v>
      </x:c>
      <x:c r="F432" s="27" t="n">
        <x:v>1</x:v>
      </x:c>
      <x:c r="G432" s="29" t="str">
        <x:f>IF(E432=F432,"PASS","FAIL")</x:f>
        <x:v>PASS</x:v>
      </x:c>
    </x:row>
    <x:row r="433" ht="18" customHeight="1">
      <x:c r="B433" s="27" t="str">
        <x:v>A0427</x:v>
      </x:c>
      <x:c r="C433" s="27" t="str">
        <x:v>trial</x:v>
      </x:c>
      <x:c r="D433" s="27" t="str">
        <x:v>Trial row 38 has authority</x:v>
      </x:c>
      <x:c r="E433" s="27" t="n">
        <x:f>IF('Trial Register'!J38&lt;&gt;"",1,0)</x:f>
        <x:v>1</x:v>
      </x:c>
      <x:c r="F433" s="27" t="n">
        <x:v>1</x:v>
      </x:c>
      <x:c r="G433" s="29" t="str">
        <x:f>IF(E433=F433,"PASS","FAIL")</x:f>
        <x:v>PASS</x:v>
      </x:c>
    </x:row>
    <x:row r="434" ht="18" customHeight="1">
      <x:c r="B434" s="27" t="str">
        <x:v>A0428</x:v>
      </x:c>
      <x:c r="C434" s="27" t="str">
        <x:v>trial</x:v>
      </x:c>
      <x:c r="D434" s="27" t="str">
        <x:v>Trial row 38 campaign registered</x:v>
      </x:c>
      <x:c r="E434" s="27" t="n">
        <x:f>IF(COUNTIFS('Campaign Schedule'!B7:B14,'Trial Register'!C38)=1,1,0)</x:f>
        <x:v>1</x:v>
      </x:c>
      <x:c r="F434" s="27" t="n">
        <x:v>1</x:v>
      </x:c>
      <x:c r="G434" s="29" t="str">
        <x:f>IF(E434=F434,"PASS","FAIL")</x:f>
        <x:v>PASS</x:v>
      </x:c>
    </x:row>
    <x:row r="435" ht="18" customHeight="1">
      <x:c r="B435" s="27" t="str">
        <x:v>A0429</x:v>
      </x:c>
      <x:c r="C435" s="27" t="str">
        <x:v>trial</x:v>
      </x:c>
      <x:c r="D435" s="27" t="str">
        <x:v>Trial row 38 date order</x:v>
      </x:c>
      <x:c r="E435" s="27" t="n">
        <x:f>IF('Trial Register'!O38&gt;='Trial Register'!N38,1,0)</x:f>
        <x:v>1</x:v>
      </x:c>
      <x:c r="F435" s="27" t="n">
        <x:v>1</x:v>
      </x:c>
      <x:c r="G435" s="29" t="str">
        <x:f>IF(E435=F435,"PASS","FAIL")</x:f>
        <x:v>PASS</x:v>
      </x:c>
    </x:row>
    <x:row r="436" ht="18" customHeight="1">
      <x:c r="B436" s="27" t="str">
        <x:v>A0430</x:v>
      </x:c>
      <x:c r="C436" s="27" t="str">
        <x:v>trial</x:v>
      </x:c>
      <x:c r="D436" s="27" t="str">
        <x:v>Trial row 39 state open</x:v>
      </x:c>
      <x:c r="E436" s="27" t="n">
        <x:f>IF('Trial Register'!L39="OPEN",1,0)</x:f>
        <x:v>1</x:v>
      </x:c>
      <x:c r="F436" s="27" t="n">
        <x:v>1</x:v>
      </x:c>
      <x:c r="G436" s="29" t="str">
        <x:f>IF(E436=F436,"PASS","FAIL")</x:f>
        <x:v>PASS</x:v>
      </x:c>
    </x:row>
    <x:row r="437" ht="18" customHeight="1">
      <x:c r="B437" s="27" t="str">
        <x:v>A0431</x:v>
      </x:c>
      <x:c r="C437" s="27" t="str">
        <x:v>trial</x:v>
      </x:c>
      <x:c r="D437" s="27" t="str">
        <x:v>Trial row 39 zero credit</x:v>
      </x:c>
      <x:c r="E437" s="27" t="n">
        <x:f>IF('Trial Register'!M39=0,1,0)</x:f>
        <x:v>1</x:v>
      </x:c>
      <x:c r="F437" s="27" t="n">
        <x:v>1</x:v>
      </x:c>
      <x:c r="G437" s="29" t="str">
        <x:f>IF(E437=F437,"PASS","FAIL")</x:f>
        <x:v>PASS</x:v>
      </x:c>
    </x:row>
    <x:row r="438" ht="18" customHeight="1">
      <x:c r="B438" s="27" t="str">
        <x:v>A0432</x:v>
      </x:c>
      <x:c r="C438" s="27" t="str">
        <x:v>trial</x:v>
      </x:c>
      <x:c r="D438" s="27" t="str">
        <x:v>Trial row 39 has authority</x:v>
      </x:c>
      <x:c r="E438" s="27" t="n">
        <x:f>IF('Trial Register'!J39&lt;&gt;"",1,0)</x:f>
        <x:v>1</x:v>
      </x:c>
      <x:c r="F438" s="27" t="n">
        <x:v>1</x:v>
      </x:c>
      <x:c r="G438" s="29" t="str">
        <x:f>IF(E438=F438,"PASS","FAIL")</x:f>
        <x:v>PASS</x:v>
      </x:c>
    </x:row>
    <x:row r="439" ht="18" customHeight="1">
      <x:c r="B439" s="27" t="str">
        <x:v>A0433</x:v>
      </x:c>
      <x:c r="C439" s="27" t="str">
        <x:v>trial</x:v>
      </x:c>
      <x:c r="D439" s="27" t="str">
        <x:v>Trial row 39 campaign registered</x:v>
      </x:c>
      <x:c r="E439" s="27" t="n">
        <x:f>IF(COUNTIFS('Campaign Schedule'!B7:B14,'Trial Register'!C39)=1,1,0)</x:f>
        <x:v>1</x:v>
      </x:c>
      <x:c r="F439" s="27" t="n">
        <x:v>1</x:v>
      </x:c>
      <x:c r="G439" s="29" t="str">
        <x:f>IF(E439=F439,"PASS","FAIL")</x:f>
        <x:v>PASS</x:v>
      </x:c>
    </x:row>
    <x:row r="440" ht="18" customHeight="1">
      <x:c r="B440" s="27" t="str">
        <x:v>A0434</x:v>
      </x:c>
      <x:c r="C440" s="27" t="str">
        <x:v>trial</x:v>
      </x:c>
      <x:c r="D440" s="27" t="str">
        <x:v>Trial row 39 date order</x:v>
      </x:c>
      <x:c r="E440" s="27" t="n">
        <x:f>IF('Trial Register'!O39&gt;='Trial Register'!N39,1,0)</x:f>
        <x:v>1</x:v>
      </x:c>
      <x:c r="F440" s="27" t="n">
        <x:v>1</x:v>
      </x:c>
      <x:c r="G440" s="29" t="str">
        <x:f>IF(E440=F440,"PASS","FAIL")</x:f>
        <x:v>PASS</x:v>
      </x:c>
    </x:row>
    <x:row r="441" ht="18" customHeight="1">
      <x:c r="B441" s="27" t="str">
        <x:v>A0435</x:v>
      </x:c>
      <x:c r="C441" s="27" t="str">
        <x:v>trial</x:v>
      </x:c>
      <x:c r="D441" s="27" t="str">
        <x:v>Trial row 40 state open</x:v>
      </x:c>
      <x:c r="E441" s="27" t="n">
        <x:f>IF('Trial Register'!L40="OPEN",1,0)</x:f>
        <x:v>1</x:v>
      </x:c>
      <x:c r="F441" s="27" t="n">
        <x:v>1</x:v>
      </x:c>
      <x:c r="G441" s="29" t="str">
        <x:f>IF(E441=F441,"PASS","FAIL")</x:f>
        <x:v>PASS</x:v>
      </x:c>
    </x:row>
    <x:row r="442" ht="18" customHeight="1">
      <x:c r="B442" s="27" t="str">
        <x:v>A0436</x:v>
      </x:c>
      <x:c r="C442" s="27" t="str">
        <x:v>trial</x:v>
      </x:c>
      <x:c r="D442" s="27" t="str">
        <x:v>Trial row 40 zero credit</x:v>
      </x:c>
      <x:c r="E442" s="27" t="n">
        <x:f>IF('Trial Register'!M40=0,1,0)</x:f>
        <x:v>1</x:v>
      </x:c>
      <x:c r="F442" s="27" t="n">
        <x:v>1</x:v>
      </x:c>
      <x:c r="G442" s="29" t="str">
        <x:f>IF(E442=F442,"PASS","FAIL")</x:f>
        <x:v>PASS</x:v>
      </x:c>
    </x:row>
    <x:row r="443" ht="18" customHeight="1">
      <x:c r="B443" s="27" t="str">
        <x:v>A0437</x:v>
      </x:c>
      <x:c r="C443" s="27" t="str">
        <x:v>trial</x:v>
      </x:c>
      <x:c r="D443" s="27" t="str">
        <x:v>Trial row 40 has authority</x:v>
      </x:c>
      <x:c r="E443" s="27" t="n">
        <x:f>IF('Trial Register'!J40&lt;&gt;"",1,0)</x:f>
        <x:v>1</x:v>
      </x:c>
      <x:c r="F443" s="27" t="n">
        <x:v>1</x:v>
      </x:c>
      <x:c r="G443" s="29" t="str">
        <x:f>IF(E443=F443,"PASS","FAIL")</x:f>
        <x:v>PASS</x:v>
      </x:c>
    </x:row>
    <x:row r="444" ht="18" customHeight="1">
      <x:c r="B444" s="27" t="str">
        <x:v>A0438</x:v>
      </x:c>
      <x:c r="C444" s="27" t="str">
        <x:v>trial</x:v>
      </x:c>
      <x:c r="D444" s="27" t="str">
        <x:v>Trial row 40 campaign registered</x:v>
      </x:c>
      <x:c r="E444" s="27" t="n">
        <x:f>IF(COUNTIFS('Campaign Schedule'!B7:B14,'Trial Register'!C40)=1,1,0)</x:f>
        <x:v>1</x:v>
      </x:c>
      <x:c r="F444" s="27" t="n">
        <x:v>1</x:v>
      </x:c>
      <x:c r="G444" s="29" t="str">
        <x:f>IF(E444=F444,"PASS","FAIL")</x:f>
        <x:v>PASS</x:v>
      </x:c>
    </x:row>
    <x:row r="445" ht="18" customHeight="1">
      <x:c r="B445" s="27" t="str">
        <x:v>A0439</x:v>
      </x:c>
      <x:c r="C445" s="27" t="str">
        <x:v>trial</x:v>
      </x:c>
      <x:c r="D445" s="27" t="str">
        <x:v>Trial row 40 date order</x:v>
      </x:c>
      <x:c r="E445" s="27" t="n">
        <x:f>IF('Trial Register'!O40&gt;='Trial Register'!N40,1,0)</x:f>
        <x:v>1</x:v>
      </x:c>
      <x:c r="F445" s="27" t="n">
        <x:v>1</x:v>
      </x:c>
      <x:c r="G445" s="29" t="str">
        <x:f>IF(E445=F445,"PASS","FAIL")</x:f>
        <x:v>PASS</x:v>
      </x:c>
    </x:row>
    <x:row r="446" ht="18" customHeight="1">
      <x:c r="B446" s="27" t="str">
        <x:v>A0440</x:v>
      </x:c>
      <x:c r="C446" s="27" t="str">
        <x:v>trial</x:v>
      </x:c>
      <x:c r="D446" s="27" t="str">
        <x:v>Trial row 41 state open</x:v>
      </x:c>
      <x:c r="E446" s="27" t="n">
        <x:f>IF('Trial Register'!L41="OPEN",1,0)</x:f>
        <x:v>1</x:v>
      </x:c>
      <x:c r="F446" s="27" t="n">
        <x:v>1</x:v>
      </x:c>
      <x:c r="G446" s="29" t="str">
        <x:f>IF(E446=F446,"PASS","FAIL")</x:f>
        <x:v>PASS</x:v>
      </x:c>
    </x:row>
    <x:row r="447" ht="18" customHeight="1">
      <x:c r="B447" s="27" t="str">
        <x:v>A0441</x:v>
      </x:c>
      <x:c r="C447" s="27" t="str">
        <x:v>trial</x:v>
      </x:c>
      <x:c r="D447" s="27" t="str">
        <x:v>Trial row 41 zero credit</x:v>
      </x:c>
      <x:c r="E447" s="27" t="n">
        <x:f>IF('Trial Register'!M41=0,1,0)</x:f>
        <x:v>1</x:v>
      </x:c>
      <x:c r="F447" s="27" t="n">
        <x:v>1</x:v>
      </x:c>
      <x:c r="G447" s="29" t="str">
        <x:f>IF(E447=F447,"PASS","FAIL")</x:f>
        <x:v>PASS</x:v>
      </x:c>
    </x:row>
    <x:row r="448" ht="18" customHeight="1">
      <x:c r="B448" s="27" t="str">
        <x:v>A0442</x:v>
      </x:c>
      <x:c r="C448" s="27" t="str">
        <x:v>trial</x:v>
      </x:c>
      <x:c r="D448" s="27" t="str">
        <x:v>Trial row 41 has authority</x:v>
      </x:c>
      <x:c r="E448" s="27" t="n">
        <x:f>IF('Trial Register'!J41&lt;&gt;"",1,0)</x:f>
        <x:v>1</x:v>
      </x:c>
      <x:c r="F448" s="27" t="n">
        <x:v>1</x:v>
      </x:c>
      <x:c r="G448" s="29" t="str">
        <x:f>IF(E448=F448,"PASS","FAIL")</x:f>
        <x:v>PASS</x:v>
      </x:c>
    </x:row>
    <x:row r="449" ht="18" customHeight="1">
      <x:c r="B449" s="27" t="str">
        <x:v>A0443</x:v>
      </x:c>
      <x:c r="C449" s="27" t="str">
        <x:v>trial</x:v>
      </x:c>
      <x:c r="D449" s="27" t="str">
        <x:v>Trial row 41 campaign registered</x:v>
      </x:c>
      <x:c r="E449" s="27" t="n">
        <x:f>IF(COUNTIFS('Campaign Schedule'!B7:B14,'Trial Register'!C41)=1,1,0)</x:f>
        <x:v>1</x:v>
      </x:c>
      <x:c r="F449" s="27" t="n">
        <x:v>1</x:v>
      </x:c>
      <x:c r="G449" s="29" t="str">
        <x:f>IF(E449=F449,"PASS","FAIL")</x:f>
        <x:v>PASS</x:v>
      </x:c>
    </x:row>
    <x:row r="450" ht="18" customHeight="1">
      <x:c r="B450" s="27" t="str">
        <x:v>A0444</x:v>
      </x:c>
      <x:c r="C450" s="27" t="str">
        <x:v>trial</x:v>
      </x:c>
      <x:c r="D450" s="27" t="str">
        <x:v>Trial row 41 date order</x:v>
      </x:c>
      <x:c r="E450" s="27" t="n">
        <x:f>IF('Trial Register'!O41&gt;='Trial Register'!N41,1,0)</x:f>
        <x:v>1</x:v>
      </x:c>
      <x:c r="F450" s="27" t="n">
        <x:v>1</x:v>
      </x:c>
      <x:c r="G450" s="29" t="str">
        <x:f>IF(E450=F450,"PASS","FAIL")</x:f>
        <x:v>PASS</x:v>
      </x:c>
    </x:row>
    <x:row r="451" ht="18" customHeight="1">
      <x:c r="B451" s="27" t="str">
        <x:v>A0445</x:v>
      </x:c>
      <x:c r="C451" s="27" t="str">
        <x:v>trial</x:v>
      </x:c>
      <x:c r="D451" s="27" t="str">
        <x:v>Trial row 42 state open</x:v>
      </x:c>
      <x:c r="E451" s="27" t="n">
        <x:f>IF('Trial Register'!L42="OPEN",1,0)</x:f>
        <x:v>1</x:v>
      </x:c>
      <x:c r="F451" s="27" t="n">
        <x:v>1</x:v>
      </x:c>
      <x:c r="G451" s="29" t="str">
        <x:f>IF(E451=F451,"PASS","FAIL")</x:f>
        <x:v>PASS</x:v>
      </x:c>
    </x:row>
    <x:row r="452" ht="18" customHeight="1">
      <x:c r="B452" s="27" t="str">
        <x:v>A0446</x:v>
      </x:c>
      <x:c r="C452" s="27" t="str">
        <x:v>trial</x:v>
      </x:c>
      <x:c r="D452" s="27" t="str">
        <x:v>Trial row 42 zero credit</x:v>
      </x:c>
      <x:c r="E452" s="27" t="n">
        <x:f>IF('Trial Register'!M42=0,1,0)</x:f>
        <x:v>1</x:v>
      </x:c>
      <x:c r="F452" s="27" t="n">
        <x:v>1</x:v>
      </x:c>
      <x:c r="G452" s="29" t="str">
        <x:f>IF(E452=F452,"PASS","FAIL")</x:f>
        <x:v>PASS</x:v>
      </x:c>
    </x:row>
    <x:row r="453" ht="18" customHeight="1">
      <x:c r="B453" s="27" t="str">
        <x:v>A0447</x:v>
      </x:c>
      <x:c r="C453" s="27" t="str">
        <x:v>trial</x:v>
      </x:c>
      <x:c r="D453" s="27" t="str">
        <x:v>Trial row 42 has authority</x:v>
      </x:c>
      <x:c r="E453" s="27" t="n">
        <x:f>IF('Trial Register'!J42&lt;&gt;"",1,0)</x:f>
        <x:v>1</x:v>
      </x:c>
      <x:c r="F453" s="27" t="n">
        <x:v>1</x:v>
      </x:c>
      <x:c r="G453" s="29" t="str">
        <x:f>IF(E453=F453,"PASS","FAIL")</x:f>
        <x:v>PASS</x:v>
      </x:c>
    </x:row>
    <x:row r="454" ht="18" customHeight="1">
      <x:c r="B454" s="27" t="str">
        <x:v>A0448</x:v>
      </x:c>
      <x:c r="C454" s="27" t="str">
        <x:v>trial</x:v>
      </x:c>
      <x:c r="D454" s="27" t="str">
        <x:v>Trial row 42 campaign registered</x:v>
      </x:c>
      <x:c r="E454" s="27" t="n">
        <x:f>IF(COUNTIFS('Campaign Schedule'!B7:B14,'Trial Register'!C42)=1,1,0)</x:f>
        <x:v>1</x:v>
      </x:c>
      <x:c r="F454" s="27" t="n">
        <x:v>1</x:v>
      </x:c>
      <x:c r="G454" s="29" t="str">
        <x:f>IF(E454=F454,"PASS","FAIL")</x:f>
        <x:v>PASS</x:v>
      </x:c>
    </x:row>
    <x:row r="455" ht="18" customHeight="1">
      <x:c r="B455" s="27" t="str">
        <x:v>A0449</x:v>
      </x:c>
      <x:c r="C455" s="27" t="str">
        <x:v>trial</x:v>
      </x:c>
      <x:c r="D455" s="27" t="str">
        <x:v>Trial row 42 date order</x:v>
      </x:c>
      <x:c r="E455" s="27" t="n">
        <x:f>IF('Trial Register'!O42&gt;='Trial Register'!N42,1,0)</x:f>
        <x:v>1</x:v>
      </x:c>
      <x:c r="F455" s="27" t="n">
        <x:v>1</x:v>
      </x:c>
      <x:c r="G455" s="29" t="str">
        <x:f>IF(E455=F455,"PASS","FAIL")</x:f>
        <x:v>PASS</x:v>
      </x:c>
    </x:row>
    <x:row r="456" ht="18" customHeight="1">
      <x:c r="B456" s="27" t="str">
        <x:v>A0450</x:v>
      </x:c>
      <x:c r="C456" s="27" t="str">
        <x:v>trial</x:v>
      </x:c>
      <x:c r="D456" s="27" t="str">
        <x:v>Trial row 43 state open</x:v>
      </x:c>
      <x:c r="E456" s="27" t="n">
        <x:f>IF('Trial Register'!L43="OPEN",1,0)</x:f>
        <x:v>1</x:v>
      </x:c>
      <x:c r="F456" s="27" t="n">
        <x:v>1</x:v>
      </x:c>
      <x:c r="G456" s="29" t="str">
        <x:f>IF(E456=F456,"PASS","FAIL")</x:f>
        <x:v>PASS</x:v>
      </x:c>
    </x:row>
    <x:row r="457" ht="18" customHeight="1">
      <x:c r="B457" s="27" t="str">
        <x:v>A0451</x:v>
      </x:c>
      <x:c r="C457" s="27" t="str">
        <x:v>trial</x:v>
      </x:c>
      <x:c r="D457" s="27" t="str">
        <x:v>Trial row 43 zero credit</x:v>
      </x:c>
      <x:c r="E457" s="27" t="n">
        <x:f>IF('Trial Register'!M43=0,1,0)</x:f>
        <x:v>1</x:v>
      </x:c>
      <x:c r="F457" s="27" t="n">
        <x:v>1</x:v>
      </x:c>
      <x:c r="G457" s="29" t="str">
        <x:f>IF(E457=F457,"PASS","FAIL")</x:f>
        <x:v>PASS</x:v>
      </x:c>
    </x:row>
    <x:row r="458" ht="18" customHeight="1">
      <x:c r="B458" s="27" t="str">
        <x:v>A0452</x:v>
      </x:c>
      <x:c r="C458" s="27" t="str">
        <x:v>trial</x:v>
      </x:c>
      <x:c r="D458" s="27" t="str">
        <x:v>Trial row 43 has authority</x:v>
      </x:c>
      <x:c r="E458" s="27" t="n">
        <x:f>IF('Trial Register'!J43&lt;&gt;"",1,0)</x:f>
        <x:v>1</x:v>
      </x:c>
      <x:c r="F458" s="27" t="n">
        <x:v>1</x:v>
      </x:c>
      <x:c r="G458" s="29" t="str">
        <x:f>IF(E458=F458,"PASS","FAIL")</x:f>
        <x:v>PASS</x:v>
      </x:c>
    </x:row>
    <x:row r="459" ht="18" customHeight="1">
      <x:c r="B459" s="27" t="str">
        <x:v>A0453</x:v>
      </x:c>
      <x:c r="C459" s="27" t="str">
        <x:v>trial</x:v>
      </x:c>
      <x:c r="D459" s="27" t="str">
        <x:v>Trial row 43 campaign registered</x:v>
      </x:c>
      <x:c r="E459" s="27" t="n">
        <x:f>IF(COUNTIFS('Campaign Schedule'!B7:B14,'Trial Register'!C43)=1,1,0)</x:f>
        <x:v>1</x:v>
      </x:c>
      <x:c r="F459" s="27" t="n">
        <x:v>1</x:v>
      </x:c>
      <x:c r="G459" s="29" t="str">
        <x:f>IF(E459=F459,"PASS","FAIL")</x:f>
        <x:v>PASS</x:v>
      </x:c>
    </x:row>
    <x:row r="460" ht="18" customHeight="1">
      <x:c r="B460" s="27" t="str">
        <x:v>A0454</x:v>
      </x:c>
      <x:c r="C460" s="27" t="str">
        <x:v>trial</x:v>
      </x:c>
      <x:c r="D460" s="27" t="str">
        <x:v>Trial row 43 date order</x:v>
      </x:c>
      <x:c r="E460" s="27" t="n">
        <x:f>IF('Trial Register'!O43&gt;='Trial Register'!N43,1,0)</x:f>
        <x:v>1</x:v>
      </x:c>
      <x:c r="F460" s="27" t="n">
        <x:v>1</x:v>
      </x:c>
      <x:c r="G460" s="29" t="str">
        <x:f>IF(E460=F460,"PASS","FAIL")</x:f>
        <x:v>PASS</x:v>
      </x:c>
    </x:row>
    <x:row r="461" ht="18" customHeight="1">
      <x:c r="B461" s="27" t="str">
        <x:v>A0455</x:v>
      </x:c>
      <x:c r="C461" s="27" t="str">
        <x:v>trial</x:v>
      </x:c>
      <x:c r="D461" s="27" t="str">
        <x:v>Trial row 44 state open</x:v>
      </x:c>
      <x:c r="E461" s="27" t="n">
        <x:f>IF('Trial Register'!L44="OPEN",1,0)</x:f>
        <x:v>1</x:v>
      </x:c>
      <x:c r="F461" s="27" t="n">
        <x:v>1</x:v>
      </x:c>
      <x:c r="G461" s="29" t="str">
        <x:f>IF(E461=F461,"PASS","FAIL")</x:f>
        <x:v>PASS</x:v>
      </x:c>
    </x:row>
    <x:row r="462" ht="18" customHeight="1">
      <x:c r="B462" s="27" t="str">
        <x:v>A0456</x:v>
      </x:c>
      <x:c r="C462" s="27" t="str">
        <x:v>trial</x:v>
      </x:c>
      <x:c r="D462" s="27" t="str">
        <x:v>Trial row 44 zero credit</x:v>
      </x:c>
      <x:c r="E462" s="27" t="n">
        <x:f>IF('Trial Register'!M44=0,1,0)</x:f>
        <x:v>1</x:v>
      </x:c>
      <x:c r="F462" s="27" t="n">
        <x:v>1</x:v>
      </x:c>
      <x:c r="G462" s="29" t="str">
        <x:f>IF(E462=F462,"PASS","FAIL")</x:f>
        <x:v>PASS</x:v>
      </x:c>
    </x:row>
    <x:row r="463" ht="18" customHeight="1">
      <x:c r="B463" s="27" t="str">
        <x:v>A0457</x:v>
      </x:c>
      <x:c r="C463" s="27" t="str">
        <x:v>trial</x:v>
      </x:c>
      <x:c r="D463" s="27" t="str">
        <x:v>Trial row 44 has authority</x:v>
      </x:c>
      <x:c r="E463" s="27" t="n">
        <x:f>IF('Trial Register'!J44&lt;&gt;"",1,0)</x:f>
        <x:v>1</x:v>
      </x:c>
      <x:c r="F463" s="27" t="n">
        <x:v>1</x:v>
      </x:c>
      <x:c r="G463" s="29" t="str">
        <x:f>IF(E463=F463,"PASS","FAIL")</x:f>
        <x:v>PASS</x:v>
      </x:c>
    </x:row>
    <x:row r="464" ht="18" customHeight="1">
      <x:c r="B464" s="27" t="str">
        <x:v>A0458</x:v>
      </x:c>
      <x:c r="C464" s="27" t="str">
        <x:v>trial</x:v>
      </x:c>
      <x:c r="D464" s="27" t="str">
        <x:v>Trial row 44 campaign registered</x:v>
      </x:c>
      <x:c r="E464" s="27" t="n">
        <x:f>IF(COUNTIFS('Campaign Schedule'!B7:B14,'Trial Register'!C44)=1,1,0)</x:f>
        <x:v>1</x:v>
      </x:c>
      <x:c r="F464" s="27" t="n">
        <x:v>1</x:v>
      </x:c>
      <x:c r="G464" s="29" t="str">
        <x:f>IF(E464=F464,"PASS","FAIL")</x:f>
        <x:v>PASS</x:v>
      </x:c>
    </x:row>
    <x:row r="465" ht="18" customHeight="1">
      <x:c r="B465" s="27" t="str">
        <x:v>A0459</x:v>
      </x:c>
      <x:c r="C465" s="27" t="str">
        <x:v>trial</x:v>
      </x:c>
      <x:c r="D465" s="27" t="str">
        <x:v>Trial row 44 date order</x:v>
      </x:c>
      <x:c r="E465" s="27" t="n">
        <x:f>IF('Trial Register'!O44&gt;='Trial Register'!N44,1,0)</x:f>
        <x:v>1</x:v>
      </x:c>
      <x:c r="F465" s="27" t="n">
        <x:v>1</x:v>
      </x:c>
      <x:c r="G465" s="29" t="str">
        <x:f>IF(E465=F465,"PASS","FAIL")</x:f>
        <x:v>PASS</x:v>
      </x:c>
    </x:row>
    <x:row r="466" ht="18" customHeight="1">
      <x:c r="B466" s="27" t="str">
        <x:v>A0460</x:v>
      </x:c>
      <x:c r="C466" s="27" t="str">
        <x:v>trial</x:v>
      </x:c>
      <x:c r="D466" s="27" t="str">
        <x:v>Trial row 45 state open</x:v>
      </x:c>
      <x:c r="E466" s="27" t="n">
        <x:f>IF('Trial Register'!L45="OPEN",1,0)</x:f>
        <x:v>1</x:v>
      </x:c>
      <x:c r="F466" s="27" t="n">
        <x:v>1</x:v>
      </x:c>
      <x:c r="G466" s="29" t="str">
        <x:f>IF(E466=F466,"PASS","FAIL")</x:f>
        <x:v>PASS</x:v>
      </x:c>
    </x:row>
    <x:row r="467" ht="18" customHeight="1">
      <x:c r="B467" s="27" t="str">
        <x:v>A0461</x:v>
      </x:c>
      <x:c r="C467" s="27" t="str">
        <x:v>trial</x:v>
      </x:c>
      <x:c r="D467" s="27" t="str">
        <x:v>Trial row 45 zero credit</x:v>
      </x:c>
      <x:c r="E467" s="27" t="n">
        <x:f>IF('Trial Register'!M45=0,1,0)</x:f>
        <x:v>1</x:v>
      </x:c>
      <x:c r="F467" s="27" t="n">
        <x:v>1</x:v>
      </x:c>
      <x:c r="G467" s="29" t="str">
        <x:f>IF(E467=F467,"PASS","FAIL")</x:f>
        <x:v>PASS</x:v>
      </x:c>
    </x:row>
    <x:row r="468" ht="18" customHeight="1">
      <x:c r="B468" s="27" t="str">
        <x:v>A0462</x:v>
      </x:c>
      <x:c r="C468" s="27" t="str">
        <x:v>trial</x:v>
      </x:c>
      <x:c r="D468" s="27" t="str">
        <x:v>Trial row 45 has authority</x:v>
      </x:c>
      <x:c r="E468" s="27" t="n">
        <x:f>IF('Trial Register'!J45&lt;&gt;"",1,0)</x:f>
        <x:v>1</x:v>
      </x:c>
      <x:c r="F468" s="27" t="n">
        <x:v>1</x:v>
      </x:c>
      <x:c r="G468" s="29" t="str">
        <x:f>IF(E468=F468,"PASS","FAIL")</x:f>
        <x:v>PASS</x:v>
      </x:c>
    </x:row>
    <x:row r="469" ht="18" customHeight="1">
      <x:c r="B469" s="27" t="str">
        <x:v>A0463</x:v>
      </x:c>
      <x:c r="C469" s="27" t="str">
        <x:v>trial</x:v>
      </x:c>
      <x:c r="D469" s="27" t="str">
        <x:v>Trial row 45 campaign registered</x:v>
      </x:c>
      <x:c r="E469" s="27" t="n">
        <x:f>IF(COUNTIFS('Campaign Schedule'!B7:B14,'Trial Register'!C45)=1,1,0)</x:f>
        <x:v>1</x:v>
      </x:c>
      <x:c r="F469" s="27" t="n">
        <x:v>1</x:v>
      </x:c>
      <x:c r="G469" s="29" t="str">
        <x:f>IF(E469=F469,"PASS","FAIL")</x:f>
        <x:v>PASS</x:v>
      </x:c>
    </x:row>
    <x:row r="470" ht="18" customHeight="1">
      <x:c r="B470" s="27" t="str">
        <x:v>A0464</x:v>
      </x:c>
      <x:c r="C470" s="27" t="str">
        <x:v>trial</x:v>
      </x:c>
      <x:c r="D470" s="27" t="str">
        <x:v>Trial row 45 date order</x:v>
      </x:c>
      <x:c r="E470" s="27" t="n">
        <x:f>IF('Trial Register'!O45&gt;='Trial Register'!N45,1,0)</x:f>
        <x:v>1</x:v>
      </x:c>
      <x:c r="F470" s="27" t="n">
        <x:v>1</x:v>
      </x:c>
      <x:c r="G470" s="29" t="str">
        <x:f>IF(E470=F470,"PASS","FAIL")</x:f>
        <x:v>PASS</x:v>
      </x:c>
    </x:row>
    <x:row r="471" ht="18" customHeight="1">
      <x:c r="B471" s="27" t="str">
        <x:v>A0465</x:v>
      </x:c>
      <x:c r="C471" s="27" t="str">
        <x:v>trial</x:v>
      </x:c>
      <x:c r="D471" s="27" t="str">
        <x:v>Trial row 46 state open</x:v>
      </x:c>
      <x:c r="E471" s="27" t="n">
        <x:f>IF('Trial Register'!L46="OPEN",1,0)</x:f>
        <x:v>1</x:v>
      </x:c>
      <x:c r="F471" s="27" t="n">
        <x:v>1</x:v>
      </x:c>
      <x:c r="G471" s="29" t="str">
        <x:f>IF(E471=F471,"PASS","FAIL")</x:f>
        <x:v>PASS</x:v>
      </x:c>
    </x:row>
    <x:row r="472" ht="18" customHeight="1">
      <x:c r="B472" s="27" t="str">
        <x:v>A0466</x:v>
      </x:c>
      <x:c r="C472" s="27" t="str">
        <x:v>trial</x:v>
      </x:c>
      <x:c r="D472" s="27" t="str">
        <x:v>Trial row 46 zero credit</x:v>
      </x:c>
      <x:c r="E472" s="27" t="n">
        <x:f>IF('Trial Register'!M46=0,1,0)</x:f>
        <x:v>1</x:v>
      </x:c>
      <x:c r="F472" s="27" t="n">
        <x:v>1</x:v>
      </x:c>
      <x:c r="G472" s="29" t="str">
        <x:f>IF(E472=F472,"PASS","FAIL")</x:f>
        <x:v>PASS</x:v>
      </x:c>
    </x:row>
    <x:row r="473" ht="18" customHeight="1">
      <x:c r="B473" s="27" t="str">
        <x:v>A0467</x:v>
      </x:c>
      <x:c r="C473" s="27" t="str">
        <x:v>trial</x:v>
      </x:c>
      <x:c r="D473" s="27" t="str">
        <x:v>Trial row 46 has authority</x:v>
      </x:c>
      <x:c r="E473" s="27" t="n">
        <x:f>IF('Trial Register'!J46&lt;&gt;"",1,0)</x:f>
        <x:v>1</x:v>
      </x:c>
      <x:c r="F473" s="27" t="n">
        <x:v>1</x:v>
      </x:c>
      <x:c r="G473" s="29" t="str">
        <x:f>IF(E473=F473,"PASS","FAIL")</x:f>
        <x:v>PASS</x:v>
      </x:c>
    </x:row>
    <x:row r="474" ht="18" customHeight="1">
      <x:c r="B474" s="27" t="str">
        <x:v>A0468</x:v>
      </x:c>
      <x:c r="C474" s="27" t="str">
        <x:v>trial</x:v>
      </x:c>
      <x:c r="D474" s="27" t="str">
        <x:v>Trial row 46 campaign registered</x:v>
      </x:c>
      <x:c r="E474" s="27" t="n">
        <x:f>IF(COUNTIFS('Campaign Schedule'!B7:B14,'Trial Register'!C46)=1,1,0)</x:f>
        <x:v>1</x:v>
      </x:c>
      <x:c r="F474" s="27" t="n">
        <x:v>1</x:v>
      </x:c>
      <x:c r="G474" s="29" t="str">
        <x:f>IF(E474=F474,"PASS","FAIL")</x:f>
        <x:v>PASS</x:v>
      </x:c>
    </x:row>
    <x:row r="475" ht="18" customHeight="1">
      <x:c r="B475" s="27" t="str">
        <x:v>A0469</x:v>
      </x:c>
      <x:c r="C475" s="27" t="str">
        <x:v>trial</x:v>
      </x:c>
      <x:c r="D475" s="27" t="str">
        <x:v>Trial row 46 date order</x:v>
      </x:c>
      <x:c r="E475" s="27" t="n">
        <x:f>IF('Trial Register'!O46&gt;='Trial Register'!N46,1,0)</x:f>
        <x:v>1</x:v>
      </x:c>
      <x:c r="F475" s="27" t="n">
        <x:v>1</x:v>
      </x:c>
      <x:c r="G475" s="29" t="str">
        <x:f>IF(E475=F475,"PASS","FAIL")</x:f>
        <x:v>PASS</x:v>
      </x:c>
    </x:row>
    <x:row r="476" ht="18" customHeight="1">
      <x:c r="B476" s="27" t="str">
        <x:v>A0470</x:v>
      </x:c>
      <x:c r="C476" s="27" t="str">
        <x:v>trial</x:v>
      </x:c>
      <x:c r="D476" s="27" t="str">
        <x:v>Trial row 47 state open</x:v>
      </x:c>
      <x:c r="E476" s="27" t="n">
        <x:f>IF('Trial Register'!L47="OPEN",1,0)</x:f>
        <x:v>1</x:v>
      </x:c>
      <x:c r="F476" s="27" t="n">
        <x:v>1</x:v>
      </x:c>
      <x:c r="G476" s="29" t="str">
        <x:f>IF(E476=F476,"PASS","FAIL")</x:f>
        <x:v>PASS</x:v>
      </x:c>
    </x:row>
    <x:row r="477" ht="18" customHeight="1">
      <x:c r="B477" s="27" t="str">
        <x:v>A0471</x:v>
      </x:c>
      <x:c r="C477" s="27" t="str">
        <x:v>trial</x:v>
      </x:c>
      <x:c r="D477" s="27" t="str">
        <x:v>Trial row 47 zero credit</x:v>
      </x:c>
      <x:c r="E477" s="27" t="n">
        <x:f>IF('Trial Register'!M47=0,1,0)</x:f>
        <x:v>1</x:v>
      </x:c>
      <x:c r="F477" s="27" t="n">
        <x:v>1</x:v>
      </x:c>
      <x:c r="G477" s="29" t="str">
        <x:f>IF(E477=F477,"PASS","FAIL")</x:f>
        <x:v>PASS</x:v>
      </x:c>
    </x:row>
    <x:row r="478" ht="18" customHeight="1">
      <x:c r="B478" s="27" t="str">
        <x:v>A0472</x:v>
      </x:c>
      <x:c r="C478" s="27" t="str">
        <x:v>trial</x:v>
      </x:c>
      <x:c r="D478" s="27" t="str">
        <x:v>Trial row 47 has authority</x:v>
      </x:c>
      <x:c r="E478" s="27" t="n">
        <x:f>IF('Trial Register'!J47&lt;&gt;"",1,0)</x:f>
        <x:v>1</x:v>
      </x:c>
      <x:c r="F478" s="27" t="n">
        <x:v>1</x:v>
      </x:c>
      <x:c r="G478" s="29" t="str">
        <x:f>IF(E478=F478,"PASS","FAIL")</x:f>
        <x:v>PASS</x:v>
      </x:c>
    </x:row>
    <x:row r="479" ht="18" customHeight="1">
      <x:c r="B479" s="27" t="str">
        <x:v>A0473</x:v>
      </x:c>
      <x:c r="C479" s="27" t="str">
        <x:v>trial</x:v>
      </x:c>
      <x:c r="D479" s="27" t="str">
        <x:v>Trial row 47 campaign registered</x:v>
      </x:c>
      <x:c r="E479" s="27" t="n">
        <x:f>IF(COUNTIFS('Campaign Schedule'!B7:B14,'Trial Register'!C47)=1,1,0)</x:f>
        <x:v>1</x:v>
      </x:c>
      <x:c r="F479" s="27" t="n">
        <x:v>1</x:v>
      </x:c>
      <x:c r="G479" s="29" t="str">
        <x:f>IF(E479=F479,"PASS","FAIL")</x:f>
        <x:v>PASS</x:v>
      </x:c>
    </x:row>
    <x:row r="480" ht="18" customHeight="1">
      <x:c r="B480" s="27" t="str">
        <x:v>A0474</x:v>
      </x:c>
      <x:c r="C480" s="27" t="str">
        <x:v>trial</x:v>
      </x:c>
      <x:c r="D480" s="27" t="str">
        <x:v>Trial row 47 date order</x:v>
      </x:c>
      <x:c r="E480" s="27" t="n">
        <x:f>IF('Trial Register'!O47&gt;='Trial Register'!N47,1,0)</x:f>
        <x:v>1</x:v>
      </x:c>
      <x:c r="F480" s="27" t="n">
        <x:v>1</x:v>
      </x:c>
      <x:c r="G480" s="29" t="str">
        <x:f>IF(E480=F480,"PASS","FAIL")</x:f>
        <x:v>PASS</x:v>
      </x:c>
    </x:row>
    <x:row r="481" ht="18" customHeight="1">
      <x:c r="B481" s="27" t="str">
        <x:v>A0475</x:v>
      </x:c>
      <x:c r="C481" s="27" t="str">
        <x:v>trial</x:v>
      </x:c>
      <x:c r="D481" s="27" t="str">
        <x:v>Trial row 48 state open</x:v>
      </x:c>
      <x:c r="E481" s="27" t="n">
        <x:f>IF('Trial Register'!L48="OPEN",1,0)</x:f>
        <x:v>1</x:v>
      </x:c>
      <x:c r="F481" s="27" t="n">
        <x:v>1</x:v>
      </x:c>
      <x:c r="G481" s="29" t="str">
        <x:f>IF(E481=F481,"PASS","FAIL")</x:f>
        <x:v>PASS</x:v>
      </x:c>
    </x:row>
    <x:row r="482" ht="18" customHeight="1">
      <x:c r="B482" s="27" t="str">
        <x:v>A0476</x:v>
      </x:c>
      <x:c r="C482" s="27" t="str">
        <x:v>trial</x:v>
      </x:c>
      <x:c r="D482" s="27" t="str">
        <x:v>Trial row 48 zero credit</x:v>
      </x:c>
      <x:c r="E482" s="27" t="n">
        <x:f>IF('Trial Register'!M48=0,1,0)</x:f>
        <x:v>1</x:v>
      </x:c>
      <x:c r="F482" s="27" t="n">
        <x:v>1</x:v>
      </x:c>
      <x:c r="G482" s="29" t="str">
        <x:f>IF(E482=F482,"PASS","FAIL")</x:f>
        <x:v>PASS</x:v>
      </x:c>
    </x:row>
    <x:row r="483" ht="18" customHeight="1">
      <x:c r="B483" s="27" t="str">
        <x:v>A0477</x:v>
      </x:c>
      <x:c r="C483" s="27" t="str">
        <x:v>trial</x:v>
      </x:c>
      <x:c r="D483" s="27" t="str">
        <x:v>Trial row 48 has authority</x:v>
      </x:c>
      <x:c r="E483" s="27" t="n">
        <x:f>IF('Trial Register'!J48&lt;&gt;"",1,0)</x:f>
        <x:v>1</x:v>
      </x:c>
      <x:c r="F483" s="27" t="n">
        <x:v>1</x:v>
      </x:c>
      <x:c r="G483" s="29" t="str">
        <x:f>IF(E483=F483,"PASS","FAIL")</x:f>
        <x:v>PASS</x:v>
      </x:c>
    </x:row>
    <x:row r="484" ht="18" customHeight="1">
      <x:c r="B484" s="27" t="str">
        <x:v>A0478</x:v>
      </x:c>
      <x:c r="C484" s="27" t="str">
        <x:v>trial</x:v>
      </x:c>
      <x:c r="D484" s="27" t="str">
        <x:v>Trial row 48 campaign registered</x:v>
      </x:c>
      <x:c r="E484" s="27" t="n">
        <x:f>IF(COUNTIFS('Campaign Schedule'!B7:B14,'Trial Register'!C48)=1,1,0)</x:f>
        <x:v>1</x:v>
      </x:c>
      <x:c r="F484" s="27" t="n">
        <x:v>1</x:v>
      </x:c>
      <x:c r="G484" s="29" t="str">
        <x:f>IF(E484=F484,"PASS","FAIL")</x:f>
        <x:v>PASS</x:v>
      </x:c>
    </x:row>
    <x:row r="485" ht="18" customHeight="1">
      <x:c r="B485" s="27" t="str">
        <x:v>A0479</x:v>
      </x:c>
      <x:c r="C485" s="27" t="str">
        <x:v>trial</x:v>
      </x:c>
      <x:c r="D485" s="27" t="str">
        <x:v>Trial row 48 date order</x:v>
      </x:c>
      <x:c r="E485" s="27" t="n">
        <x:f>IF('Trial Register'!O48&gt;='Trial Register'!N48,1,0)</x:f>
        <x:v>1</x:v>
      </x:c>
      <x:c r="F485" s="27" t="n">
        <x:v>1</x:v>
      </x:c>
      <x:c r="G485" s="29" t="str">
        <x:f>IF(E485=F485,"PASS","FAIL")</x:f>
        <x:v>PASS</x:v>
      </x:c>
    </x:row>
    <x:row r="486" ht="18" customHeight="1">
      <x:c r="B486" s="27" t="str">
        <x:v>A0480</x:v>
      </x:c>
      <x:c r="C486" s="27" t="str">
        <x:v>trial</x:v>
      </x:c>
      <x:c r="D486" s="27" t="str">
        <x:v>Trial row 49 state open</x:v>
      </x:c>
      <x:c r="E486" s="27" t="n">
        <x:f>IF('Trial Register'!L49="OPEN",1,0)</x:f>
        <x:v>1</x:v>
      </x:c>
      <x:c r="F486" s="27" t="n">
        <x:v>1</x:v>
      </x:c>
      <x:c r="G486" s="29" t="str">
        <x:f>IF(E486=F486,"PASS","FAIL")</x:f>
        <x:v>PASS</x:v>
      </x:c>
    </x:row>
    <x:row r="487" ht="18" customHeight="1">
      <x:c r="B487" s="27" t="str">
        <x:v>A0481</x:v>
      </x:c>
      <x:c r="C487" s="27" t="str">
        <x:v>trial</x:v>
      </x:c>
      <x:c r="D487" s="27" t="str">
        <x:v>Trial row 49 zero credit</x:v>
      </x:c>
      <x:c r="E487" s="27" t="n">
        <x:f>IF('Trial Register'!M49=0,1,0)</x:f>
        <x:v>1</x:v>
      </x:c>
      <x:c r="F487" s="27" t="n">
        <x:v>1</x:v>
      </x:c>
      <x:c r="G487" s="29" t="str">
        <x:f>IF(E487=F487,"PASS","FAIL")</x:f>
        <x:v>PASS</x:v>
      </x:c>
    </x:row>
    <x:row r="488" ht="18" customHeight="1">
      <x:c r="B488" s="27" t="str">
        <x:v>A0482</x:v>
      </x:c>
      <x:c r="C488" s="27" t="str">
        <x:v>trial</x:v>
      </x:c>
      <x:c r="D488" s="27" t="str">
        <x:v>Trial row 49 has authority</x:v>
      </x:c>
      <x:c r="E488" s="27" t="n">
        <x:f>IF('Trial Register'!J49&lt;&gt;"",1,0)</x:f>
        <x:v>1</x:v>
      </x:c>
      <x:c r="F488" s="27" t="n">
        <x:v>1</x:v>
      </x:c>
      <x:c r="G488" s="29" t="str">
        <x:f>IF(E488=F488,"PASS","FAIL")</x:f>
        <x:v>PASS</x:v>
      </x:c>
    </x:row>
    <x:row r="489" ht="18" customHeight="1">
      <x:c r="B489" s="27" t="str">
        <x:v>A0483</x:v>
      </x:c>
      <x:c r="C489" s="27" t="str">
        <x:v>trial</x:v>
      </x:c>
      <x:c r="D489" s="27" t="str">
        <x:v>Trial row 49 campaign registered</x:v>
      </x:c>
      <x:c r="E489" s="27" t="n">
        <x:f>IF(COUNTIFS('Campaign Schedule'!B7:B14,'Trial Register'!C49)=1,1,0)</x:f>
        <x:v>1</x:v>
      </x:c>
      <x:c r="F489" s="27" t="n">
        <x:v>1</x:v>
      </x:c>
      <x:c r="G489" s="29" t="str">
        <x:f>IF(E489=F489,"PASS","FAIL")</x:f>
        <x:v>PASS</x:v>
      </x:c>
    </x:row>
    <x:row r="490" ht="18" customHeight="1">
      <x:c r="B490" s="27" t="str">
        <x:v>A0484</x:v>
      </x:c>
      <x:c r="C490" s="27" t="str">
        <x:v>trial</x:v>
      </x:c>
      <x:c r="D490" s="27" t="str">
        <x:v>Trial row 49 date order</x:v>
      </x:c>
      <x:c r="E490" s="27" t="n">
        <x:f>IF('Trial Register'!O49&gt;='Trial Register'!N49,1,0)</x:f>
        <x:v>1</x:v>
      </x:c>
      <x:c r="F490" s="27" t="n">
        <x:v>1</x:v>
      </x:c>
      <x:c r="G490" s="29" t="str">
        <x:f>IF(E490=F490,"PASS","FAIL")</x:f>
        <x:v>PASS</x:v>
      </x:c>
    </x:row>
    <x:row r="491" ht="18" customHeight="1">
      <x:c r="B491" s="27" t="str">
        <x:v>A0485</x:v>
      </x:c>
      <x:c r="C491" s="27" t="str">
        <x:v>trial</x:v>
      </x:c>
      <x:c r="D491" s="27" t="str">
        <x:v>Trial row 50 state open</x:v>
      </x:c>
      <x:c r="E491" s="27" t="n">
        <x:f>IF('Trial Register'!L50="OPEN",1,0)</x:f>
        <x:v>1</x:v>
      </x:c>
      <x:c r="F491" s="27" t="n">
        <x:v>1</x:v>
      </x:c>
      <x:c r="G491" s="29" t="str">
        <x:f>IF(E491=F491,"PASS","FAIL")</x:f>
        <x:v>PASS</x:v>
      </x:c>
    </x:row>
    <x:row r="492" ht="18" customHeight="1">
      <x:c r="B492" s="27" t="str">
        <x:v>A0486</x:v>
      </x:c>
      <x:c r="C492" s="27" t="str">
        <x:v>trial</x:v>
      </x:c>
      <x:c r="D492" s="27" t="str">
        <x:v>Trial row 50 zero credit</x:v>
      </x:c>
      <x:c r="E492" s="27" t="n">
        <x:f>IF('Trial Register'!M50=0,1,0)</x:f>
        <x:v>1</x:v>
      </x:c>
      <x:c r="F492" s="27" t="n">
        <x:v>1</x:v>
      </x:c>
      <x:c r="G492" s="29" t="str">
        <x:f>IF(E492=F492,"PASS","FAIL")</x:f>
        <x:v>PASS</x:v>
      </x:c>
    </x:row>
    <x:row r="493" ht="18" customHeight="1">
      <x:c r="B493" s="27" t="str">
        <x:v>A0487</x:v>
      </x:c>
      <x:c r="C493" s="27" t="str">
        <x:v>trial</x:v>
      </x:c>
      <x:c r="D493" s="27" t="str">
        <x:v>Trial row 50 has authority</x:v>
      </x:c>
      <x:c r="E493" s="27" t="n">
        <x:f>IF('Trial Register'!J50&lt;&gt;"",1,0)</x:f>
        <x:v>1</x:v>
      </x:c>
      <x:c r="F493" s="27" t="n">
        <x:v>1</x:v>
      </x:c>
      <x:c r="G493" s="29" t="str">
        <x:f>IF(E493=F493,"PASS","FAIL")</x:f>
        <x:v>PASS</x:v>
      </x:c>
    </x:row>
    <x:row r="494" ht="18" customHeight="1">
      <x:c r="B494" s="27" t="str">
        <x:v>A0488</x:v>
      </x:c>
      <x:c r="C494" s="27" t="str">
        <x:v>trial</x:v>
      </x:c>
      <x:c r="D494" s="27" t="str">
        <x:v>Trial row 50 campaign registered</x:v>
      </x:c>
      <x:c r="E494" s="27" t="n">
        <x:f>IF(COUNTIFS('Campaign Schedule'!B7:B14,'Trial Register'!C50)=1,1,0)</x:f>
        <x:v>1</x:v>
      </x:c>
      <x:c r="F494" s="27" t="n">
        <x:v>1</x:v>
      </x:c>
      <x:c r="G494" s="29" t="str">
        <x:f>IF(E494=F494,"PASS","FAIL")</x:f>
        <x:v>PASS</x:v>
      </x:c>
    </x:row>
    <x:row r="495" ht="18" customHeight="1">
      <x:c r="B495" s="27" t="str">
        <x:v>A0489</x:v>
      </x:c>
      <x:c r="C495" s="27" t="str">
        <x:v>trial</x:v>
      </x:c>
      <x:c r="D495" s="27" t="str">
        <x:v>Trial row 50 date order</x:v>
      </x:c>
      <x:c r="E495" s="27" t="n">
        <x:f>IF('Trial Register'!O50&gt;='Trial Register'!N50,1,0)</x:f>
        <x:v>1</x:v>
      </x:c>
      <x:c r="F495" s="27" t="n">
        <x:v>1</x:v>
      </x:c>
      <x:c r="G495" s="29" t="str">
        <x:f>IF(E495=F495,"PASS","FAIL")</x:f>
        <x:v>PASS</x:v>
      </x:c>
    </x:row>
    <x:row r="496" ht="18" customHeight="1">
      <x:c r="B496" s="27" t="str">
        <x:v>A0490</x:v>
      </x:c>
      <x:c r="C496" s="27" t="str">
        <x:v>trial</x:v>
      </x:c>
      <x:c r="D496" s="27" t="str">
        <x:v>Trial row 51 state open</x:v>
      </x:c>
      <x:c r="E496" s="27" t="n">
        <x:f>IF('Trial Register'!L51="OPEN",1,0)</x:f>
        <x:v>1</x:v>
      </x:c>
      <x:c r="F496" s="27" t="n">
        <x:v>1</x:v>
      </x:c>
      <x:c r="G496" s="29" t="str">
        <x:f>IF(E496=F496,"PASS","FAIL")</x:f>
        <x:v>PASS</x:v>
      </x:c>
    </x:row>
    <x:row r="497" ht="18" customHeight="1">
      <x:c r="B497" s="27" t="str">
        <x:v>A0491</x:v>
      </x:c>
      <x:c r="C497" s="27" t="str">
        <x:v>trial</x:v>
      </x:c>
      <x:c r="D497" s="27" t="str">
        <x:v>Trial row 51 zero credit</x:v>
      </x:c>
      <x:c r="E497" s="27" t="n">
        <x:f>IF('Trial Register'!M51=0,1,0)</x:f>
        <x:v>1</x:v>
      </x:c>
      <x:c r="F497" s="27" t="n">
        <x:v>1</x:v>
      </x:c>
      <x:c r="G497" s="29" t="str">
        <x:f>IF(E497=F497,"PASS","FAIL")</x:f>
        <x:v>PASS</x:v>
      </x:c>
    </x:row>
    <x:row r="498" ht="18" customHeight="1">
      <x:c r="B498" s="27" t="str">
        <x:v>A0492</x:v>
      </x:c>
      <x:c r="C498" s="27" t="str">
        <x:v>trial</x:v>
      </x:c>
      <x:c r="D498" s="27" t="str">
        <x:v>Trial row 51 has authority</x:v>
      </x:c>
      <x:c r="E498" s="27" t="n">
        <x:f>IF('Trial Register'!J51&lt;&gt;"",1,0)</x:f>
        <x:v>1</x:v>
      </x:c>
      <x:c r="F498" s="27" t="n">
        <x:v>1</x:v>
      </x:c>
      <x:c r="G498" s="29" t="str">
        <x:f>IF(E498=F498,"PASS","FAIL")</x:f>
        <x:v>PASS</x:v>
      </x:c>
    </x:row>
    <x:row r="499" ht="18" customHeight="1">
      <x:c r="B499" s="27" t="str">
        <x:v>A0493</x:v>
      </x:c>
      <x:c r="C499" s="27" t="str">
        <x:v>trial</x:v>
      </x:c>
      <x:c r="D499" s="27" t="str">
        <x:v>Trial row 51 campaign registered</x:v>
      </x:c>
      <x:c r="E499" s="27" t="n">
        <x:f>IF(COUNTIFS('Campaign Schedule'!B7:B14,'Trial Register'!C51)=1,1,0)</x:f>
        <x:v>1</x:v>
      </x:c>
      <x:c r="F499" s="27" t="n">
        <x:v>1</x:v>
      </x:c>
      <x:c r="G499" s="29" t="str">
        <x:f>IF(E499=F499,"PASS","FAIL")</x:f>
        <x:v>PASS</x:v>
      </x:c>
    </x:row>
    <x:row r="500" ht="18" customHeight="1">
      <x:c r="B500" s="27" t="str">
        <x:v>A0494</x:v>
      </x:c>
      <x:c r="C500" s="27" t="str">
        <x:v>trial</x:v>
      </x:c>
      <x:c r="D500" s="27" t="str">
        <x:v>Trial row 51 date order</x:v>
      </x:c>
      <x:c r="E500" s="27" t="n">
        <x:f>IF('Trial Register'!O51&gt;='Trial Register'!N51,1,0)</x:f>
        <x:v>1</x:v>
      </x:c>
      <x:c r="F500" s="27" t="n">
        <x:v>1</x:v>
      </x:c>
      <x:c r="G500" s="29" t="str">
        <x:f>IF(E500=F500,"PASS","FAIL")</x:f>
        <x:v>PASS</x:v>
      </x:c>
    </x:row>
    <x:row r="501" ht="18" customHeight="1">
      <x:c r="B501" s="27" t="str">
        <x:v>A0495</x:v>
      </x:c>
      <x:c r="C501" s="27" t="str">
        <x:v>trial</x:v>
      </x:c>
      <x:c r="D501" s="27" t="str">
        <x:v>Trial row 52 state open</x:v>
      </x:c>
      <x:c r="E501" s="27" t="n">
        <x:f>IF('Trial Register'!L52="OPEN",1,0)</x:f>
        <x:v>1</x:v>
      </x:c>
      <x:c r="F501" s="27" t="n">
        <x:v>1</x:v>
      </x:c>
      <x:c r="G501" s="29" t="str">
        <x:f>IF(E501=F501,"PASS","FAIL")</x:f>
        <x:v>PASS</x:v>
      </x:c>
    </x:row>
    <x:row r="502" ht="18" customHeight="1">
      <x:c r="B502" s="27" t="str">
        <x:v>A0496</x:v>
      </x:c>
      <x:c r="C502" s="27" t="str">
        <x:v>trial</x:v>
      </x:c>
      <x:c r="D502" s="27" t="str">
        <x:v>Trial row 52 zero credit</x:v>
      </x:c>
      <x:c r="E502" s="27" t="n">
        <x:f>IF('Trial Register'!M52=0,1,0)</x:f>
        <x:v>1</x:v>
      </x:c>
      <x:c r="F502" s="27" t="n">
        <x:v>1</x:v>
      </x:c>
      <x:c r="G502" s="29" t="str">
        <x:f>IF(E502=F502,"PASS","FAIL")</x:f>
        <x:v>PASS</x:v>
      </x:c>
    </x:row>
    <x:row r="503" ht="18" customHeight="1">
      <x:c r="B503" s="27" t="str">
        <x:v>A0497</x:v>
      </x:c>
      <x:c r="C503" s="27" t="str">
        <x:v>trial</x:v>
      </x:c>
      <x:c r="D503" s="27" t="str">
        <x:v>Trial row 52 has authority</x:v>
      </x:c>
      <x:c r="E503" s="27" t="n">
        <x:f>IF('Trial Register'!J52&lt;&gt;"",1,0)</x:f>
        <x:v>1</x:v>
      </x:c>
      <x:c r="F503" s="27" t="n">
        <x:v>1</x:v>
      </x:c>
      <x:c r="G503" s="29" t="str">
        <x:f>IF(E503=F503,"PASS","FAIL")</x:f>
        <x:v>PASS</x:v>
      </x:c>
    </x:row>
    <x:row r="504" ht="18" customHeight="1">
      <x:c r="B504" s="27" t="str">
        <x:v>A0498</x:v>
      </x:c>
      <x:c r="C504" s="27" t="str">
        <x:v>trial</x:v>
      </x:c>
      <x:c r="D504" s="27" t="str">
        <x:v>Trial row 52 campaign registered</x:v>
      </x:c>
      <x:c r="E504" s="27" t="n">
        <x:f>IF(COUNTIFS('Campaign Schedule'!B7:B14,'Trial Register'!C52)=1,1,0)</x:f>
        <x:v>1</x:v>
      </x:c>
      <x:c r="F504" s="27" t="n">
        <x:v>1</x:v>
      </x:c>
      <x:c r="G504" s="29" t="str">
        <x:f>IF(E504=F504,"PASS","FAIL")</x:f>
        <x:v>PASS</x:v>
      </x:c>
    </x:row>
    <x:row r="505" ht="18" customHeight="1">
      <x:c r="B505" s="27" t="str">
        <x:v>A0499</x:v>
      </x:c>
      <x:c r="C505" s="27" t="str">
        <x:v>trial</x:v>
      </x:c>
      <x:c r="D505" s="27" t="str">
        <x:v>Trial row 52 date order</x:v>
      </x:c>
      <x:c r="E505" s="27" t="n">
        <x:f>IF('Trial Register'!O52&gt;='Trial Register'!N52,1,0)</x:f>
        <x:v>1</x:v>
      </x:c>
      <x:c r="F505" s="27" t="n">
        <x:v>1</x:v>
      </x:c>
      <x:c r="G505" s="29" t="str">
        <x:f>IF(E505=F505,"PASS","FAIL")</x:f>
        <x:v>PASS</x:v>
      </x:c>
    </x:row>
    <x:row r="506" ht="18" customHeight="1">
      <x:c r="B506" s="27" t="str">
        <x:v>A0500</x:v>
      </x:c>
      <x:c r="C506" s="27" t="str">
        <x:v>trial</x:v>
      </x:c>
      <x:c r="D506" s="27" t="str">
        <x:v>Trial row 53 state open</x:v>
      </x:c>
      <x:c r="E506" s="27" t="n">
        <x:f>IF('Trial Register'!L53="OPEN",1,0)</x:f>
        <x:v>1</x:v>
      </x:c>
      <x:c r="F506" s="27" t="n">
        <x:v>1</x:v>
      </x:c>
      <x:c r="G506" s="29" t="str">
        <x:f>IF(E506=F506,"PASS","FAIL")</x:f>
        <x:v>PASS</x:v>
      </x:c>
    </x:row>
    <x:row r="507" ht="18" customHeight="1">
      <x:c r="B507" s="27" t="str">
        <x:v>A0501</x:v>
      </x:c>
      <x:c r="C507" s="27" t="str">
        <x:v>trial</x:v>
      </x:c>
      <x:c r="D507" s="27" t="str">
        <x:v>Trial row 53 zero credit</x:v>
      </x:c>
      <x:c r="E507" s="27" t="n">
        <x:f>IF('Trial Register'!M53=0,1,0)</x:f>
        <x:v>1</x:v>
      </x:c>
      <x:c r="F507" s="27" t="n">
        <x:v>1</x:v>
      </x:c>
      <x:c r="G507" s="29" t="str">
        <x:f>IF(E507=F507,"PASS","FAIL")</x:f>
        <x:v>PASS</x:v>
      </x:c>
    </x:row>
    <x:row r="508" ht="18" customHeight="1">
      <x:c r="B508" s="27" t="str">
        <x:v>A0502</x:v>
      </x:c>
      <x:c r="C508" s="27" t="str">
        <x:v>trial</x:v>
      </x:c>
      <x:c r="D508" s="27" t="str">
        <x:v>Trial row 53 has authority</x:v>
      </x:c>
      <x:c r="E508" s="27" t="n">
        <x:f>IF('Trial Register'!J53&lt;&gt;"",1,0)</x:f>
        <x:v>1</x:v>
      </x:c>
      <x:c r="F508" s="27" t="n">
        <x:v>1</x:v>
      </x:c>
      <x:c r="G508" s="29" t="str">
        <x:f>IF(E508=F508,"PASS","FAIL")</x:f>
        <x:v>PASS</x:v>
      </x:c>
    </x:row>
    <x:row r="509" ht="18" customHeight="1">
      <x:c r="B509" s="27" t="str">
        <x:v>A0503</x:v>
      </x:c>
      <x:c r="C509" s="27" t="str">
        <x:v>trial</x:v>
      </x:c>
      <x:c r="D509" s="27" t="str">
        <x:v>Trial row 53 campaign registered</x:v>
      </x:c>
      <x:c r="E509" s="27" t="n">
        <x:f>IF(COUNTIFS('Campaign Schedule'!B7:B14,'Trial Register'!C53)=1,1,0)</x:f>
        <x:v>1</x:v>
      </x:c>
      <x:c r="F509" s="27" t="n">
        <x:v>1</x:v>
      </x:c>
      <x:c r="G509" s="29" t="str">
        <x:f>IF(E509=F509,"PASS","FAIL")</x:f>
        <x:v>PASS</x:v>
      </x:c>
    </x:row>
    <x:row r="510" ht="18" customHeight="1">
      <x:c r="B510" s="27" t="str">
        <x:v>A0504</x:v>
      </x:c>
      <x:c r="C510" s="27" t="str">
        <x:v>trial</x:v>
      </x:c>
      <x:c r="D510" s="27" t="str">
        <x:v>Trial row 53 date order</x:v>
      </x:c>
      <x:c r="E510" s="27" t="n">
        <x:f>IF('Trial Register'!O53&gt;='Trial Register'!N53,1,0)</x:f>
        <x:v>1</x:v>
      </x:c>
      <x:c r="F510" s="27" t="n">
        <x:v>1</x:v>
      </x:c>
      <x:c r="G510" s="29" t="str">
        <x:f>IF(E510=F510,"PASS","FAIL")</x:f>
        <x:v>PASS</x:v>
      </x:c>
    </x:row>
    <x:row r="511" ht="18" customHeight="1">
      <x:c r="B511" s="27" t="str">
        <x:v>A0505</x:v>
      </x:c>
      <x:c r="C511" s="27" t="str">
        <x:v>trial</x:v>
      </x:c>
      <x:c r="D511" s="27" t="str">
        <x:v>Trial row 54 state open</x:v>
      </x:c>
      <x:c r="E511" s="27" t="n">
        <x:f>IF('Trial Register'!L54="OPEN",1,0)</x:f>
        <x:v>1</x:v>
      </x:c>
      <x:c r="F511" s="27" t="n">
        <x:v>1</x:v>
      </x:c>
      <x:c r="G511" s="29" t="str">
        <x:f>IF(E511=F511,"PASS","FAIL")</x:f>
        <x:v>PASS</x:v>
      </x:c>
    </x:row>
    <x:row r="512" ht="18" customHeight="1">
      <x:c r="B512" s="27" t="str">
        <x:v>A0506</x:v>
      </x:c>
      <x:c r="C512" s="27" t="str">
        <x:v>trial</x:v>
      </x:c>
      <x:c r="D512" s="27" t="str">
        <x:v>Trial row 54 zero credit</x:v>
      </x:c>
      <x:c r="E512" s="27" t="n">
        <x:f>IF('Trial Register'!M54=0,1,0)</x:f>
        <x:v>1</x:v>
      </x:c>
      <x:c r="F512" s="27" t="n">
        <x:v>1</x:v>
      </x:c>
      <x:c r="G512" s="29" t="str">
        <x:f>IF(E512=F512,"PASS","FAIL")</x:f>
        <x:v>PASS</x:v>
      </x:c>
    </x:row>
    <x:row r="513" ht="18" customHeight="1">
      <x:c r="B513" s="27" t="str">
        <x:v>A0507</x:v>
      </x:c>
      <x:c r="C513" s="27" t="str">
        <x:v>trial</x:v>
      </x:c>
      <x:c r="D513" s="27" t="str">
        <x:v>Trial row 54 has authority</x:v>
      </x:c>
      <x:c r="E513" s="27" t="n">
        <x:f>IF('Trial Register'!J54&lt;&gt;"",1,0)</x:f>
        <x:v>1</x:v>
      </x:c>
      <x:c r="F513" s="27" t="n">
        <x:v>1</x:v>
      </x:c>
      <x:c r="G513" s="29" t="str">
        <x:f>IF(E513=F513,"PASS","FAIL")</x:f>
        <x:v>PASS</x:v>
      </x:c>
    </x:row>
    <x:row r="514" ht="18" customHeight="1">
      <x:c r="B514" s="27" t="str">
        <x:v>A0508</x:v>
      </x:c>
      <x:c r="C514" s="27" t="str">
        <x:v>trial</x:v>
      </x:c>
      <x:c r="D514" s="27" t="str">
        <x:v>Trial row 54 campaign registered</x:v>
      </x:c>
      <x:c r="E514" s="27" t="n">
        <x:f>IF(COUNTIFS('Campaign Schedule'!B7:B14,'Trial Register'!C54)=1,1,0)</x:f>
        <x:v>1</x:v>
      </x:c>
      <x:c r="F514" s="27" t="n">
        <x:v>1</x:v>
      </x:c>
      <x:c r="G514" s="29" t="str">
        <x:f>IF(E514=F514,"PASS","FAIL")</x:f>
        <x:v>PASS</x:v>
      </x:c>
    </x:row>
    <x:row r="515" ht="18" customHeight="1">
      <x:c r="B515" s="27" t="str">
        <x:v>A0509</x:v>
      </x:c>
      <x:c r="C515" s="27" t="str">
        <x:v>trial</x:v>
      </x:c>
      <x:c r="D515" s="27" t="str">
        <x:v>Trial row 54 date order</x:v>
      </x:c>
      <x:c r="E515" s="27" t="n">
        <x:f>IF('Trial Register'!O54&gt;='Trial Register'!N54,1,0)</x:f>
        <x:v>1</x:v>
      </x:c>
      <x:c r="F515" s="27" t="n">
        <x:v>1</x:v>
      </x:c>
      <x:c r="G515" s="29" t="str">
        <x:f>IF(E515=F515,"PASS","FAIL")</x:f>
        <x:v>PASS</x:v>
      </x:c>
    </x:row>
    <x:row r="516" ht="18" customHeight="1">
      <x:c r="B516" s="27" t="str">
        <x:v>A0510</x:v>
      </x:c>
      <x:c r="C516" s="27" t="str">
        <x:v>trial</x:v>
      </x:c>
      <x:c r="D516" s="27" t="str">
        <x:v>Trial row 55 state open</x:v>
      </x:c>
      <x:c r="E516" s="27" t="n">
        <x:f>IF('Trial Register'!L55="OPEN",1,0)</x:f>
        <x:v>1</x:v>
      </x:c>
      <x:c r="F516" s="27" t="n">
        <x:v>1</x:v>
      </x:c>
      <x:c r="G516" s="29" t="str">
        <x:f>IF(E516=F516,"PASS","FAIL")</x:f>
        <x:v>PASS</x:v>
      </x:c>
    </x:row>
    <x:row r="517" ht="18" customHeight="1">
      <x:c r="B517" s="27" t="str">
        <x:v>A0511</x:v>
      </x:c>
      <x:c r="C517" s="27" t="str">
        <x:v>trial</x:v>
      </x:c>
      <x:c r="D517" s="27" t="str">
        <x:v>Trial row 55 zero credit</x:v>
      </x:c>
      <x:c r="E517" s="27" t="n">
        <x:f>IF('Trial Register'!M55=0,1,0)</x:f>
        <x:v>1</x:v>
      </x:c>
      <x:c r="F517" s="27" t="n">
        <x:v>1</x:v>
      </x:c>
      <x:c r="G517" s="29" t="str">
        <x:f>IF(E517=F517,"PASS","FAIL")</x:f>
        <x:v>PASS</x:v>
      </x:c>
    </x:row>
    <x:row r="518" ht="18" customHeight="1">
      <x:c r="B518" s="27" t="str">
        <x:v>A0512</x:v>
      </x:c>
      <x:c r="C518" s="27" t="str">
        <x:v>trial</x:v>
      </x:c>
      <x:c r="D518" s="27" t="str">
        <x:v>Trial row 55 has authority</x:v>
      </x:c>
      <x:c r="E518" s="27" t="n">
        <x:f>IF('Trial Register'!J55&lt;&gt;"",1,0)</x:f>
        <x:v>1</x:v>
      </x:c>
      <x:c r="F518" s="27" t="n">
        <x:v>1</x:v>
      </x:c>
      <x:c r="G518" s="29" t="str">
        <x:f>IF(E518=F518,"PASS","FAIL")</x:f>
        <x:v>PASS</x:v>
      </x:c>
    </x:row>
    <x:row r="519" ht="18" customHeight="1">
      <x:c r="B519" s="27" t="str">
        <x:v>A0513</x:v>
      </x:c>
      <x:c r="C519" s="27" t="str">
        <x:v>trial</x:v>
      </x:c>
      <x:c r="D519" s="27" t="str">
        <x:v>Trial row 55 campaign registered</x:v>
      </x:c>
      <x:c r="E519" s="27" t="n">
        <x:f>IF(COUNTIFS('Campaign Schedule'!B7:B14,'Trial Register'!C55)=1,1,0)</x:f>
        <x:v>1</x:v>
      </x:c>
      <x:c r="F519" s="27" t="n">
        <x:v>1</x:v>
      </x:c>
      <x:c r="G519" s="29" t="str">
        <x:f>IF(E519=F519,"PASS","FAIL")</x:f>
        <x:v>PASS</x:v>
      </x:c>
    </x:row>
    <x:row r="520" ht="18" customHeight="1">
      <x:c r="B520" s="27" t="str">
        <x:v>A0514</x:v>
      </x:c>
      <x:c r="C520" s="27" t="str">
        <x:v>trial</x:v>
      </x:c>
      <x:c r="D520" s="27" t="str">
        <x:v>Trial row 55 date order</x:v>
      </x:c>
      <x:c r="E520" s="27" t="n">
        <x:f>IF('Trial Register'!O55&gt;='Trial Register'!N55,1,0)</x:f>
        <x:v>1</x:v>
      </x:c>
      <x:c r="F520" s="27" t="n">
        <x:v>1</x:v>
      </x:c>
      <x:c r="G520" s="29" t="str">
        <x:f>IF(E520=F520,"PASS","FAIL")</x:f>
        <x:v>PASS</x:v>
      </x:c>
    </x:row>
    <x:row r="521" ht="18" customHeight="1">
      <x:c r="B521" s="27" t="str">
        <x:v>A0515</x:v>
      </x:c>
      <x:c r="C521" s="27" t="str">
        <x:v>trial</x:v>
      </x:c>
      <x:c r="D521" s="27" t="str">
        <x:v>Trial row 56 state open</x:v>
      </x:c>
      <x:c r="E521" s="27" t="n">
        <x:f>IF('Trial Register'!L56="OPEN",1,0)</x:f>
        <x:v>1</x:v>
      </x:c>
      <x:c r="F521" s="27" t="n">
        <x:v>1</x:v>
      </x:c>
      <x:c r="G521" s="29" t="str">
        <x:f>IF(E521=F521,"PASS","FAIL")</x:f>
        <x:v>PASS</x:v>
      </x:c>
    </x:row>
    <x:row r="522" ht="18" customHeight="1">
      <x:c r="B522" s="27" t="str">
        <x:v>A0516</x:v>
      </x:c>
      <x:c r="C522" s="27" t="str">
        <x:v>trial</x:v>
      </x:c>
      <x:c r="D522" s="27" t="str">
        <x:v>Trial row 56 zero credit</x:v>
      </x:c>
      <x:c r="E522" s="27" t="n">
        <x:f>IF('Trial Register'!M56=0,1,0)</x:f>
        <x:v>1</x:v>
      </x:c>
      <x:c r="F522" s="27" t="n">
        <x:v>1</x:v>
      </x:c>
      <x:c r="G522" s="29" t="str">
        <x:f>IF(E522=F522,"PASS","FAIL")</x:f>
        <x:v>PASS</x:v>
      </x:c>
    </x:row>
    <x:row r="523" ht="18" customHeight="1">
      <x:c r="B523" s="27" t="str">
        <x:v>A0517</x:v>
      </x:c>
      <x:c r="C523" s="27" t="str">
        <x:v>trial</x:v>
      </x:c>
      <x:c r="D523" s="27" t="str">
        <x:v>Trial row 56 has authority</x:v>
      </x:c>
      <x:c r="E523" s="27" t="n">
        <x:f>IF('Trial Register'!J56&lt;&gt;"",1,0)</x:f>
        <x:v>1</x:v>
      </x:c>
      <x:c r="F523" s="27" t="n">
        <x:v>1</x:v>
      </x:c>
      <x:c r="G523" s="29" t="str">
        <x:f>IF(E523=F523,"PASS","FAIL")</x:f>
        <x:v>PASS</x:v>
      </x:c>
    </x:row>
    <x:row r="524" ht="18" customHeight="1">
      <x:c r="B524" s="27" t="str">
        <x:v>A0518</x:v>
      </x:c>
      <x:c r="C524" s="27" t="str">
        <x:v>trial</x:v>
      </x:c>
      <x:c r="D524" s="27" t="str">
        <x:v>Trial row 56 campaign registered</x:v>
      </x:c>
      <x:c r="E524" s="27" t="n">
        <x:f>IF(COUNTIFS('Campaign Schedule'!B7:B14,'Trial Register'!C56)=1,1,0)</x:f>
        <x:v>1</x:v>
      </x:c>
      <x:c r="F524" s="27" t="n">
        <x:v>1</x:v>
      </x:c>
      <x:c r="G524" s="29" t="str">
        <x:f>IF(E524=F524,"PASS","FAIL")</x:f>
        <x:v>PASS</x:v>
      </x:c>
    </x:row>
    <x:row r="525" ht="18" customHeight="1">
      <x:c r="B525" s="27" t="str">
        <x:v>A0519</x:v>
      </x:c>
      <x:c r="C525" s="27" t="str">
        <x:v>trial</x:v>
      </x:c>
      <x:c r="D525" s="27" t="str">
        <x:v>Trial row 56 date order</x:v>
      </x:c>
      <x:c r="E525" s="27" t="n">
        <x:f>IF('Trial Register'!O56&gt;='Trial Register'!N56,1,0)</x:f>
        <x:v>1</x:v>
      </x:c>
      <x:c r="F525" s="27" t="n">
        <x:v>1</x:v>
      </x:c>
      <x:c r="G525" s="29" t="str">
        <x:f>IF(E525=F525,"PASS","FAIL")</x:f>
        <x:v>PASS</x:v>
      </x:c>
    </x:row>
    <x:row r="526" ht="18" customHeight="1">
      <x:c r="B526" s="27" t="str">
        <x:v>A0520</x:v>
      </x:c>
      <x:c r="C526" s="27" t="str">
        <x:v>trial</x:v>
      </x:c>
      <x:c r="D526" s="27" t="str">
        <x:v>Trial row 57 state open</x:v>
      </x:c>
      <x:c r="E526" s="27" t="n">
        <x:f>IF('Trial Register'!L57="OPEN",1,0)</x:f>
        <x:v>1</x:v>
      </x:c>
      <x:c r="F526" s="27" t="n">
        <x:v>1</x:v>
      </x:c>
      <x:c r="G526" s="29" t="str">
        <x:f>IF(E526=F526,"PASS","FAIL")</x:f>
        <x:v>PASS</x:v>
      </x:c>
    </x:row>
    <x:row r="527" ht="18" customHeight="1">
      <x:c r="B527" s="27" t="str">
        <x:v>A0521</x:v>
      </x:c>
      <x:c r="C527" s="27" t="str">
        <x:v>trial</x:v>
      </x:c>
      <x:c r="D527" s="27" t="str">
        <x:v>Trial row 57 zero credit</x:v>
      </x:c>
      <x:c r="E527" s="27" t="n">
        <x:f>IF('Trial Register'!M57=0,1,0)</x:f>
        <x:v>1</x:v>
      </x:c>
      <x:c r="F527" s="27" t="n">
        <x:v>1</x:v>
      </x:c>
      <x:c r="G527" s="29" t="str">
        <x:f>IF(E527=F527,"PASS","FAIL")</x:f>
        <x:v>PASS</x:v>
      </x:c>
    </x:row>
    <x:row r="528" ht="18" customHeight="1">
      <x:c r="B528" s="27" t="str">
        <x:v>A0522</x:v>
      </x:c>
      <x:c r="C528" s="27" t="str">
        <x:v>trial</x:v>
      </x:c>
      <x:c r="D528" s="27" t="str">
        <x:v>Trial row 57 has authority</x:v>
      </x:c>
      <x:c r="E528" s="27" t="n">
        <x:f>IF('Trial Register'!J57&lt;&gt;"",1,0)</x:f>
        <x:v>1</x:v>
      </x:c>
      <x:c r="F528" s="27" t="n">
        <x:v>1</x:v>
      </x:c>
      <x:c r="G528" s="29" t="str">
        <x:f>IF(E528=F528,"PASS","FAIL")</x:f>
        <x:v>PASS</x:v>
      </x:c>
    </x:row>
    <x:row r="529" ht="18" customHeight="1">
      <x:c r="B529" s="27" t="str">
        <x:v>A0523</x:v>
      </x:c>
      <x:c r="C529" s="27" t="str">
        <x:v>trial</x:v>
      </x:c>
      <x:c r="D529" s="27" t="str">
        <x:v>Trial row 57 campaign registered</x:v>
      </x:c>
      <x:c r="E529" s="27" t="n">
        <x:f>IF(COUNTIFS('Campaign Schedule'!B7:B14,'Trial Register'!C57)=1,1,0)</x:f>
        <x:v>1</x:v>
      </x:c>
      <x:c r="F529" s="27" t="n">
        <x:v>1</x:v>
      </x:c>
      <x:c r="G529" s="29" t="str">
        <x:f>IF(E529=F529,"PASS","FAIL")</x:f>
        <x:v>PASS</x:v>
      </x:c>
    </x:row>
    <x:row r="530" ht="18" customHeight="1">
      <x:c r="B530" s="27" t="str">
        <x:v>A0524</x:v>
      </x:c>
      <x:c r="C530" s="27" t="str">
        <x:v>trial</x:v>
      </x:c>
      <x:c r="D530" s="27" t="str">
        <x:v>Trial row 57 date order</x:v>
      </x:c>
      <x:c r="E530" s="27" t="n">
        <x:f>IF('Trial Register'!O57&gt;='Trial Register'!N57,1,0)</x:f>
        <x:v>1</x:v>
      </x:c>
      <x:c r="F530" s="27" t="n">
        <x:v>1</x:v>
      </x:c>
      <x:c r="G530" s="29" t="str">
        <x:f>IF(E530=F530,"PASS","FAIL")</x:f>
        <x:v>PASS</x:v>
      </x:c>
    </x:row>
    <x:row r="531" ht="18" customHeight="1">
      <x:c r="B531" s="27" t="str">
        <x:v>A0525</x:v>
      </x:c>
      <x:c r="C531" s="27" t="str">
        <x:v>trial</x:v>
      </x:c>
      <x:c r="D531" s="27" t="str">
        <x:v>Trial row 58 state open</x:v>
      </x:c>
      <x:c r="E531" s="27" t="n">
        <x:f>IF('Trial Register'!L58="OPEN",1,0)</x:f>
        <x:v>1</x:v>
      </x:c>
      <x:c r="F531" s="27" t="n">
        <x:v>1</x:v>
      </x:c>
      <x:c r="G531" s="29" t="str">
        <x:f>IF(E531=F531,"PASS","FAIL")</x:f>
        <x:v>PASS</x:v>
      </x:c>
    </x:row>
    <x:row r="532" ht="18" customHeight="1">
      <x:c r="B532" s="27" t="str">
        <x:v>A0526</x:v>
      </x:c>
      <x:c r="C532" s="27" t="str">
        <x:v>trial</x:v>
      </x:c>
      <x:c r="D532" s="27" t="str">
        <x:v>Trial row 58 zero credit</x:v>
      </x:c>
      <x:c r="E532" s="27" t="n">
        <x:f>IF('Trial Register'!M58=0,1,0)</x:f>
        <x:v>1</x:v>
      </x:c>
      <x:c r="F532" s="27" t="n">
        <x:v>1</x:v>
      </x:c>
      <x:c r="G532" s="29" t="str">
        <x:f>IF(E532=F532,"PASS","FAIL")</x:f>
        <x:v>PASS</x:v>
      </x:c>
    </x:row>
    <x:row r="533" ht="18" customHeight="1">
      <x:c r="B533" s="27" t="str">
        <x:v>A0527</x:v>
      </x:c>
      <x:c r="C533" s="27" t="str">
        <x:v>trial</x:v>
      </x:c>
      <x:c r="D533" s="27" t="str">
        <x:v>Trial row 58 has authority</x:v>
      </x:c>
      <x:c r="E533" s="27" t="n">
        <x:f>IF('Trial Register'!J58&lt;&gt;"",1,0)</x:f>
        <x:v>1</x:v>
      </x:c>
      <x:c r="F533" s="27" t="n">
        <x:v>1</x:v>
      </x:c>
      <x:c r="G533" s="29" t="str">
        <x:f>IF(E533=F533,"PASS","FAIL")</x:f>
        <x:v>PASS</x:v>
      </x:c>
    </x:row>
    <x:row r="534" ht="18" customHeight="1">
      <x:c r="B534" s="27" t="str">
        <x:v>A0528</x:v>
      </x:c>
      <x:c r="C534" s="27" t="str">
        <x:v>trial</x:v>
      </x:c>
      <x:c r="D534" s="27" t="str">
        <x:v>Trial row 58 campaign registered</x:v>
      </x:c>
      <x:c r="E534" s="27" t="n">
        <x:f>IF(COUNTIFS('Campaign Schedule'!B7:B14,'Trial Register'!C58)=1,1,0)</x:f>
        <x:v>1</x:v>
      </x:c>
      <x:c r="F534" s="27" t="n">
        <x:v>1</x:v>
      </x:c>
      <x:c r="G534" s="29" t="str">
        <x:f>IF(E534=F534,"PASS","FAIL")</x:f>
        <x:v>PASS</x:v>
      </x:c>
    </x:row>
    <x:row r="535" ht="18" customHeight="1">
      <x:c r="B535" s="27" t="str">
        <x:v>A0529</x:v>
      </x:c>
      <x:c r="C535" s="27" t="str">
        <x:v>trial</x:v>
      </x:c>
      <x:c r="D535" s="27" t="str">
        <x:v>Trial row 58 date order</x:v>
      </x:c>
      <x:c r="E535" s="27" t="n">
        <x:f>IF('Trial Register'!O58&gt;='Trial Register'!N58,1,0)</x:f>
        <x:v>1</x:v>
      </x:c>
      <x:c r="F535" s="27" t="n">
        <x:v>1</x:v>
      </x:c>
      <x:c r="G535" s="29" t="str">
        <x:f>IF(E535=F535,"PASS","FAIL")</x:f>
        <x:v>PASS</x:v>
      </x:c>
    </x:row>
    <x:row r="536" ht="18" customHeight="1">
      <x:c r="B536" s="27" t="str">
        <x:v>A0530</x:v>
      </x:c>
      <x:c r="C536" s="27" t="str">
        <x:v>trial</x:v>
      </x:c>
      <x:c r="D536" s="27" t="str">
        <x:v>Trial row 59 state open</x:v>
      </x:c>
      <x:c r="E536" s="27" t="n">
        <x:f>IF('Trial Register'!L59="OPEN",1,0)</x:f>
        <x:v>1</x:v>
      </x:c>
      <x:c r="F536" s="27" t="n">
        <x:v>1</x:v>
      </x:c>
      <x:c r="G536" s="29" t="str">
        <x:f>IF(E536=F536,"PASS","FAIL")</x:f>
        <x:v>PASS</x:v>
      </x:c>
    </x:row>
    <x:row r="537" ht="18" customHeight="1">
      <x:c r="B537" s="27" t="str">
        <x:v>A0531</x:v>
      </x:c>
      <x:c r="C537" s="27" t="str">
        <x:v>trial</x:v>
      </x:c>
      <x:c r="D537" s="27" t="str">
        <x:v>Trial row 59 zero credit</x:v>
      </x:c>
      <x:c r="E537" s="27" t="n">
        <x:f>IF('Trial Register'!M59=0,1,0)</x:f>
        <x:v>1</x:v>
      </x:c>
      <x:c r="F537" s="27" t="n">
        <x:v>1</x:v>
      </x:c>
      <x:c r="G537" s="29" t="str">
        <x:f>IF(E537=F537,"PASS","FAIL")</x:f>
        <x:v>PASS</x:v>
      </x:c>
    </x:row>
    <x:row r="538" ht="18" customHeight="1">
      <x:c r="B538" s="27" t="str">
        <x:v>A0532</x:v>
      </x:c>
      <x:c r="C538" s="27" t="str">
        <x:v>trial</x:v>
      </x:c>
      <x:c r="D538" s="27" t="str">
        <x:v>Trial row 59 has authority</x:v>
      </x:c>
      <x:c r="E538" s="27" t="n">
        <x:f>IF('Trial Register'!J59&lt;&gt;"",1,0)</x:f>
        <x:v>1</x:v>
      </x:c>
      <x:c r="F538" s="27" t="n">
        <x:v>1</x:v>
      </x:c>
      <x:c r="G538" s="29" t="str">
        <x:f>IF(E538=F538,"PASS","FAIL")</x:f>
        <x:v>PASS</x:v>
      </x:c>
    </x:row>
    <x:row r="539" ht="18" customHeight="1">
      <x:c r="B539" s="27" t="str">
        <x:v>A0533</x:v>
      </x:c>
      <x:c r="C539" s="27" t="str">
        <x:v>trial</x:v>
      </x:c>
      <x:c r="D539" s="27" t="str">
        <x:v>Trial row 59 campaign registered</x:v>
      </x:c>
      <x:c r="E539" s="27" t="n">
        <x:f>IF(COUNTIFS('Campaign Schedule'!B7:B14,'Trial Register'!C59)=1,1,0)</x:f>
        <x:v>1</x:v>
      </x:c>
      <x:c r="F539" s="27" t="n">
        <x:v>1</x:v>
      </x:c>
      <x:c r="G539" s="29" t="str">
        <x:f>IF(E539=F539,"PASS","FAIL")</x:f>
        <x:v>PASS</x:v>
      </x:c>
    </x:row>
    <x:row r="540" ht="18" customHeight="1">
      <x:c r="B540" s="27" t="str">
        <x:v>A0534</x:v>
      </x:c>
      <x:c r="C540" s="27" t="str">
        <x:v>trial</x:v>
      </x:c>
      <x:c r="D540" s="27" t="str">
        <x:v>Trial row 59 date order</x:v>
      </x:c>
      <x:c r="E540" s="27" t="n">
        <x:f>IF('Trial Register'!O59&gt;='Trial Register'!N59,1,0)</x:f>
        <x:v>1</x:v>
      </x:c>
      <x:c r="F540" s="27" t="n">
        <x:v>1</x:v>
      </x:c>
      <x:c r="G540" s="29" t="str">
        <x:f>IF(E540=F540,"PASS","FAIL")</x:f>
        <x:v>PASS</x:v>
      </x:c>
    </x:row>
    <x:row r="541" ht="18" customHeight="1">
      <x:c r="B541" s="27" t="str">
        <x:v>A0535</x:v>
      </x:c>
      <x:c r="C541" s="27" t="str">
        <x:v>trial</x:v>
      </x:c>
      <x:c r="D541" s="27" t="str">
        <x:v>Trial row 60 state open</x:v>
      </x:c>
      <x:c r="E541" s="27" t="n">
        <x:f>IF('Trial Register'!L60="OPEN",1,0)</x:f>
        <x:v>1</x:v>
      </x:c>
      <x:c r="F541" s="27" t="n">
        <x:v>1</x:v>
      </x:c>
      <x:c r="G541" s="29" t="str">
        <x:f>IF(E541=F541,"PASS","FAIL")</x:f>
        <x:v>PASS</x:v>
      </x:c>
    </x:row>
    <x:row r="542" ht="18" customHeight="1">
      <x:c r="B542" s="27" t="str">
        <x:v>A0536</x:v>
      </x:c>
      <x:c r="C542" s="27" t="str">
        <x:v>trial</x:v>
      </x:c>
      <x:c r="D542" s="27" t="str">
        <x:v>Trial row 60 zero credit</x:v>
      </x:c>
      <x:c r="E542" s="27" t="n">
        <x:f>IF('Trial Register'!M60=0,1,0)</x:f>
        <x:v>1</x:v>
      </x:c>
      <x:c r="F542" s="27" t="n">
        <x:v>1</x:v>
      </x:c>
      <x:c r="G542" s="29" t="str">
        <x:f>IF(E542=F542,"PASS","FAIL")</x:f>
        <x:v>PASS</x:v>
      </x:c>
    </x:row>
    <x:row r="543" ht="18" customHeight="1">
      <x:c r="B543" s="27" t="str">
        <x:v>A0537</x:v>
      </x:c>
      <x:c r="C543" s="27" t="str">
        <x:v>trial</x:v>
      </x:c>
      <x:c r="D543" s="27" t="str">
        <x:v>Trial row 60 has authority</x:v>
      </x:c>
      <x:c r="E543" s="27" t="n">
        <x:f>IF('Trial Register'!J60&lt;&gt;"",1,0)</x:f>
        <x:v>1</x:v>
      </x:c>
      <x:c r="F543" s="27" t="n">
        <x:v>1</x:v>
      </x:c>
      <x:c r="G543" s="29" t="str">
        <x:f>IF(E543=F543,"PASS","FAIL")</x:f>
        <x:v>PASS</x:v>
      </x:c>
    </x:row>
    <x:row r="544" ht="18" customHeight="1">
      <x:c r="B544" s="27" t="str">
        <x:v>A0538</x:v>
      </x:c>
      <x:c r="C544" s="27" t="str">
        <x:v>trial</x:v>
      </x:c>
      <x:c r="D544" s="27" t="str">
        <x:v>Trial row 60 campaign registered</x:v>
      </x:c>
      <x:c r="E544" s="27" t="n">
        <x:f>IF(COUNTIFS('Campaign Schedule'!B7:B14,'Trial Register'!C60)=1,1,0)</x:f>
        <x:v>1</x:v>
      </x:c>
      <x:c r="F544" s="27" t="n">
        <x:v>1</x:v>
      </x:c>
      <x:c r="G544" s="29" t="str">
        <x:f>IF(E544=F544,"PASS","FAIL")</x:f>
        <x:v>PASS</x:v>
      </x:c>
    </x:row>
    <x:row r="545" ht="18" customHeight="1">
      <x:c r="B545" s="27" t="str">
        <x:v>A0539</x:v>
      </x:c>
      <x:c r="C545" s="27" t="str">
        <x:v>trial</x:v>
      </x:c>
      <x:c r="D545" s="27" t="str">
        <x:v>Trial row 60 date order</x:v>
      </x:c>
      <x:c r="E545" s="27" t="n">
        <x:f>IF('Trial Register'!O60&gt;='Trial Register'!N60,1,0)</x:f>
        <x:v>1</x:v>
      </x:c>
      <x:c r="F545" s="27" t="n">
        <x:v>1</x:v>
      </x:c>
      <x:c r="G545" s="29" t="str">
        <x:f>IF(E545=F545,"PASS","FAIL")</x:f>
        <x:v>PASS</x:v>
      </x:c>
    </x:row>
    <x:row r="546" ht="18" customHeight="1">
      <x:c r="B546" s="27" t="str">
        <x:v>A0540</x:v>
      </x:c>
      <x:c r="C546" s="27" t="str">
        <x:v>trial</x:v>
      </x:c>
      <x:c r="D546" s="27" t="str">
        <x:v>Trial row 61 state open</x:v>
      </x:c>
      <x:c r="E546" s="27" t="n">
        <x:f>IF('Trial Register'!L61="OPEN",1,0)</x:f>
        <x:v>1</x:v>
      </x:c>
      <x:c r="F546" s="27" t="n">
        <x:v>1</x:v>
      </x:c>
      <x:c r="G546" s="29" t="str">
        <x:f>IF(E546=F546,"PASS","FAIL")</x:f>
        <x:v>PASS</x:v>
      </x:c>
    </x:row>
    <x:row r="547" ht="18" customHeight="1">
      <x:c r="B547" s="27" t="str">
        <x:v>A0541</x:v>
      </x:c>
      <x:c r="C547" s="27" t="str">
        <x:v>trial</x:v>
      </x:c>
      <x:c r="D547" s="27" t="str">
        <x:v>Trial row 61 zero credit</x:v>
      </x:c>
      <x:c r="E547" s="27" t="n">
        <x:f>IF('Trial Register'!M61=0,1,0)</x:f>
        <x:v>1</x:v>
      </x:c>
      <x:c r="F547" s="27" t="n">
        <x:v>1</x:v>
      </x:c>
      <x:c r="G547" s="29" t="str">
        <x:f>IF(E547=F547,"PASS","FAIL")</x:f>
        <x:v>PASS</x:v>
      </x:c>
    </x:row>
    <x:row r="548" ht="18" customHeight="1">
      <x:c r="B548" s="27" t="str">
        <x:v>A0542</x:v>
      </x:c>
      <x:c r="C548" s="27" t="str">
        <x:v>trial</x:v>
      </x:c>
      <x:c r="D548" s="27" t="str">
        <x:v>Trial row 61 has authority</x:v>
      </x:c>
      <x:c r="E548" s="27" t="n">
        <x:f>IF('Trial Register'!J61&lt;&gt;"",1,0)</x:f>
        <x:v>1</x:v>
      </x:c>
      <x:c r="F548" s="27" t="n">
        <x:v>1</x:v>
      </x:c>
      <x:c r="G548" s="29" t="str">
        <x:f>IF(E548=F548,"PASS","FAIL")</x:f>
        <x:v>PASS</x:v>
      </x:c>
    </x:row>
    <x:row r="549" ht="18" customHeight="1">
      <x:c r="B549" s="27" t="str">
        <x:v>A0543</x:v>
      </x:c>
      <x:c r="C549" s="27" t="str">
        <x:v>trial</x:v>
      </x:c>
      <x:c r="D549" s="27" t="str">
        <x:v>Trial row 61 campaign registered</x:v>
      </x:c>
      <x:c r="E549" s="27" t="n">
        <x:f>IF(COUNTIFS('Campaign Schedule'!B7:B14,'Trial Register'!C61)=1,1,0)</x:f>
        <x:v>1</x:v>
      </x:c>
      <x:c r="F549" s="27" t="n">
        <x:v>1</x:v>
      </x:c>
      <x:c r="G549" s="29" t="str">
        <x:f>IF(E549=F549,"PASS","FAIL")</x:f>
        <x:v>PASS</x:v>
      </x:c>
    </x:row>
    <x:row r="550" ht="18" customHeight="1">
      <x:c r="B550" s="27" t="str">
        <x:v>A0544</x:v>
      </x:c>
      <x:c r="C550" s="27" t="str">
        <x:v>trial</x:v>
      </x:c>
      <x:c r="D550" s="27" t="str">
        <x:v>Trial row 61 date order</x:v>
      </x:c>
      <x:c r="E550" s="27" t="n">
        <x:f>IF('Trial Register'!O61&gt;='Trial Register'!N61,1,0)</x:f>
        <x:v>1</x:v>
      </x:c>
      <x:c r="F550" s="27" t="n">
        <x:v>1</x:v>
      </x:c>
      <x:c r="G550" s="29" t="str">
        <x:f>IF(E550=F550,"PASS","FAIL")</x:f>
        <x:v>PASS</x:v>
      </x:c>
    </x:row>
    <x:row r="551" ht="18" customHeight="1">
      <x:c r="B551" s="27" t="str">
        <x:v>A0545</x:v>
      </x:c>
      <x:c r="C551" s="27" t="str">
        <x:v>trial</x:v>
      </x:c>
      <x:c r="D551" s="27" t="str">
        <x:v>Trial row 62 state open</x:v>
      </x:c>
      <x:c r="E551" s="27" t="n">
        <x:f>IF('Trial Register'!L62="OPEN",1,0)</x:f>
        <x:v>1</x:v>
      </x:c>
      <x:c r="F551" s="27" t="n">
        <x:v>1</x:v>
      </x:c>
      <x:c r="G551" s="29" t="str">
        <x:f>IF(E551=F551,"PASS","FAIL")</x:f>
        <x:v>PASS</x:v>
      </x:c>
    </x:row>
    <x:row r="552" ht="18" customHeight="1">
      <x:c r="B552" s="27" t="str">
        <x:v>A0546</x:v>
      </x:c>
      <x:c r="C552" s="27" t="str">
        <x:v>trial</x:v>
      </x:c>
      <x:c r="D552" s="27" t="str">
        <x:v>Trial row 62 zero credit</x:v>
      </x:c>
      <x:c r="E552" s="27" t="n">
        <x:f>IF('Trial Register'!M62=0,1,0)</x:f>
        <x:v>1</x:v>
      </x:c>
      <x:c r="F552" s="27" t="n">
        <x:v>1</x:v>
      </x:c>
      <x:c r="G552" s="29" t="str">
        <x:f>IF(E552=F552,"PASS","FAIL")</x:f>
        <x:v>PASS</x:v>
      </x:c>
    </x:row>
    <x:row r="553" ht="18" customHeight="1">
      <x:c r="B553" s="27" t="str">
        <x:v>A0547</x:v>
      </x:c>
      <x:c r="C553" s="27" t="str">
        <x:v>trial</x:v>
      </x:c>
      <x:c r="D553" s="27" t="str">
        <x:v>Trial row 62 has authority</x:v>
      </x:c>
      <x:c r="E553" s="27" t="n">
        <x:f>IF('Trial Register'!J62&lt;&gt;"",1,0)</x:f>
        <x:v>1</x:v>
      </x:c>
      <x:c r="F553" s="27" t="n">
        <x:v>1</x:v>
      </x:c>
      <x:c r="G553" s="29" t="str">
        <x:f>IF(E553=F553,"PASS","FAIL")</x:f>
        <x:v>PASS</x:v>
      </x:c>
    </x:row>
    <x:row r="554" ht="18" customHeight="1">
      <x:c r="B554" s="27" t="str">
        <x:v>A0548</x:v>
      </x:c>
      <x:c r="C554" s="27" t="str">
        <x:v>trial</x:v>
      </x:c>
      <x:c r="D554" s="27" t="str">
        <x:v>Trial row 62 campaign registered</x:v>
      </x:c>
      <x:c r="E554" s="27" t="n">
        <x:f>IF(COUNTIFS('Campaign Schedule'!B7:B14,'Trial Register'!C62)=1,1,0)</x:f>
        <x:v>1</x:v>
      </x:c>
      <x:c r="F554" s="27" t="n">
        <x:v>1</x:v>
      </x:c>
      <x:c r="G554" s="29" t="str">
        <x:f>IF(E554=F554,"PASS","FAIL")</x:f>
        <x:v>PASS</x:v>
      </x:c>
    </x:row>
    <x:row r="555" ht="18" customHeight="1">
      <x:c r="B555" s="27" t="str">
        <x:v>A0549</x:v>
      </x:c>
      <x:c r="C555" s="27" t="str">
        <x:v>trial</x:v>
      </x:c>
      <x:c r="D555" s="27" t="str">
        <x:v>Trial row 62 date order</x:v>
      </x:c>
      <x:c r="E555" s="27" t="n">
        <x:f>IF('Trial Register'!O62&gt;='Trial Register'!N62,1,0)</x:f>
        <x:v>1</x:v>
      </x:c>
      <x:c r="F555" s="27" t="n">
        <x:v>1</x:v>
      </x:c>
      <x:c r="G555" s="29" t="str">
        <x:f>IF(E555=F555,"PASS","FAIL")</x:f>
        <x:v>PASS</x:v>
      </x:c>
    </x:row>
    <x:row r="556" ht="18" customHeight="1">
      <x:c r="B556" s="27" t="str">
        <x:v>A0550</x:v>
      </x:c>
      <x:c r="C556" s="27" t="str">
        <x:v>trial</x:v>
      </x:c>
      <x:c r="D556" s="27" t="str">
        <x:v>Trial row 63 state open</x:v>
      </x:c>
      <x:c r="E556" s="27" t="n">
        <x:f>IF('Trial Register'!L63="OPEN",1,0)</x:f>
        <x:v>1</x:v>
      </x:c>
      <x:c r="F556" s="27" t="n">
        <x:v>1</x:v>
      </x:c>
      <x:c r="G556" s="29" t="str">
        <x:f>IF(E556=F556,"PASS","FAIL")</x:f>
        <x:v>PASS</x:v>
      </x:c>
    </x:row>
    <x:row r="557" ht="18" customHeight="1">
      <x:c r="B557" s="27" t="str">
        <x:v>A0551</x:v>
      </x:c>
      <x:c r="C557" s="27" t="str">
        <x:v>trial</x:v>
      </x:c>
      <x:c r="D557" s="27" t="str">
        <x:v>Trial row 63 zero credit</x:v>
      </x:c>
      <x:c r="E557" s="27" t="n">
        <x:f>IF('Trial Register'!M63=0,1,0)</x:f>
        <x:v>1</x:v>
      </x:c>
      <x:c r="F557" s="27" t="n">
        <x:v>1</x:v>
      </x:c>
      <x:c r="G557" s="29" t="str">
        <x:f>IF(E557=F557,"PASS","FAIL")</x:f>
        <x:v>PASS</x:v>
      </x:c>
    </x:row>
    <x:row r="558" ht="18" customHeight="1">
      <x:c r="B558" s="27" t="str">
        <x:v>A0552</x:v>
      </x:c>
      <x:c r="C558" s="27" t="str">
        <x:v>trial</x:v>
      </x:c>
      <x:c r="D558" s="27" t="str">
        <x:v>Trial row 63 has authority</x:v>
      </x:c>
      <x:c r="E558" s="27" t="n">
        <x:f>IF('Trial Register'!J63&lt;&gt;"",1,0)</x:f>
        <x:v>1</x:v>
      </x:c>
      <x:c r="F558" s="27" t="n">
        <x:v>1</x:v>
      </x:c>
      <x:c r="G558" s="29" t="str">
        <x:f>IF(E558=F558,"PASS","FAIL")</x:f>
        <x:v>PASS</x:v>
      </x:c>
    </x:row>
    <x:row r="559" ht="18" customHeight="1">
      <x:c r="B559" s="27" t="str">
        <x:v>A0553</x:v>
      </x:c>
      <x:c r="C559" s="27" t="str">
        <x:v>trial</x:v>
      </x:c>
      <x:c r="D559" s="27" t="str">
        <x:v>Trial row 63 campaign registered</x:v>
      </x:c>
      <x:c r="E559" s="27" t="n">
        <x:f>IF(COUNTIFS('Campaign Schedule'!B7:B14,'Trial Register'!C63)=1,1,0)</x:f>
        <x:v>1</x:v>
      </x:c>
      <x:c r="F559" s="27" t="n">
        <x:v>1</x:v>
      </x:c>
      <x:c r="G559" s="29" t="str">
        <x:f>IF(E559=F559,"PASS","FAIL")</x:f>
        <x:v>PASS</x:v>
      </x:c>
    </x:row>
    <x:row r="560" ht="18" customHeight="1">
      <x:c r="B560" s="27" t="str">
        <x:v>A0554</x:v>
      </x:c>
      <x:c r="C560" s="27" t="str">
        <x:v>trial</x:v>
      </x:c>
      <x:c r="D560" s="27" t="str">
        <x:v>Trial row 63 date order</x:v>
      </x:c>
      <x:c r="E560" s="27" t="n">
        <x:f>IF('Trial Register'!O63&gt;='Trial Register'!N63,1,0)</x:f>
        <x:v>1</x:v>
      </x:c>
      <x:c r="F560" s="27" t="n">
        <x:v>1</x:v>
      </x:c>
      <x:c r="G560" s="29" t="str">
        <x:f>IF(E560=F560,"PASS","FAIL")</x:f>
        <x:v>PASS</x:v>
      </x:c>
    </x:row>
    <x:row r="561" ht="18" customHeight="1">
      <x:c r="B561" s="27" t="str">
        <x:v>A0555</x:v>
      </x:c>
      <x:c r="C561" s="27" t="str">
        <x:v>trial</x:v>
      </x:c>
      <x:c r="D561" s="27" t="str">
        <x:v>Trial row 64 state open</x:v>
      </x:c>
      <x:c r="E561" s="27" t="n">
        <x:f>IF('Trial Register'!L64="OPEN",1,0)</x:f>
        <x:v>1</x:v>
      </x:c>
      <x:c r="F561" s="27" t="n">
        <x:v>1</x:v>
      </x:c>
      <x:c r="G561" s="29" t="str">
        <x:f>IF(E561=F561,"PASS","FAIL")</x:f>
        <x:v>PASS</x:v>
      </x:c>
    </x:row>
    <x:row r="562" ht="18" customHeight="1">
      <x:c r="B562" s="27" t="str">
        <x:v>A0556</x:v>
      </x:c>
      <x:c r="C562" s="27" t="str">
        <x:v>trial</x:v>
      </x:c>
      <x:c r="D562" s="27" t="str">
        <x:v>Trial row 64 zero credit</x:v>
      </x:c>
      <x:c r="E562" s="27" t="n">
        <x:f>IF('Trial Register'!M64=0,1,0)</x:f>
        <x:v>1</x:v>
      </x:c>
      <x:c r="F562" s="27" t="n">
        <x:v>1</x:v>
      </x:c>
      <x:c r="G562" s="29" t="str">
        <x:f>IF(E562=F562,"PASS","FAIL")</x:f>
        <x:v>PASS</x:v>
      </x:c>
    </x:row>
    <x:row r="563" ht="18" customHeight="1">
      <x:c r="B563" s="27" t="str">
        <x:v>A0557</x:v>
      </x:c>
      <x:c r="C563" s="27" t="str">
        <x:v>trial</x:v>
      </x:c>
      <x:c r="D563" s="27" t="str">
        <x:v>Trial row 64 has authority</x:v>
      </x:c>
      <x:c r="E563" s="27" t="n">
        <x:f>IF('Trial Register'!J64&lt;&gt;"",1,0)</x:f>
        <x:v>1</x:v>
      </x:c>
      <x:c r="F563" s="27" t="n">
        <x:v>1</x:v>
      </x:c>
      <x:c r="G563" s="29" t="str">
        <x:f>IF(E563=F563,"PASS","FAIL")</x:f>
        <x:v>PASS</x:v>
      </x:c>
    </x:row>
    <x:row r="564" ht="18" customHeight="1">
      <x:c r="B564" s="27" t="str">
        <x:v>A0558</x:v>
      </x:c>
      <x:c r="C564" s="27" t="str">
        <x:v>trial</x:v>
      </x:c>
      <x:c r="D564" s="27" t="str">
        <x:v>Trial row 64 campaign registered</x:v>
      </x:c>
      <x:c r="E564" s="27" t="n">
        <x:f>IF(COUNTIFS('Campaign Schedule'!B7:B14,'Trial Register'!C64)=1,1,0)</x:f>
        <x:v>1</x:v>
      </x:c>
      <x:c r="F564" s="27" t="n">
        <x:v>1</x:v>
      </x:c>
      <x:c r="G564" s="29" t="str">
        <x:f>IF(E564=F564,"PASS","FAIL")</x:f>
        <x:v>PASS</x:v>
      </x:c>
    </x:row>
    <x:row r="565" ht="18" customHeight="1">
      <x:c r="B565" s="27" t="str">
        <x:v>A0559</x:v>
      </x:c>
      <x:c r="C565" s="27" t="str">
        <x:v>trial</x:v>
      </x:c>
      <x:c r="D565" s="27" t="str">
        <x:v>Trial row 64 date order</x:v>
      </x:c>
      <x:c r="E565" s="27" t="n">
        <x:f>IF('Trial Register'!O64&gt;='Trial Register'!N64,1,0)</x:f>
        <x:v>1</x:v>
      </x:c>
      <x:c r="F565" s="27" t="n">
        <x:v>1</x:v>
      </x:c>
      <x:c r="G565" s="29" t="str">
        <x:f>IF(E565=F565,"PASS","FAIL")</x:f>
        <x:v>PASS</x:v>
      </x:c>
    </x:row>
    <x:row r="566" ht="18" customHeight="1">
      <x:c r="B566" s="27" t="str">
        <x:v>A0560</x:v>
      </x:c>
      <x:c r="C566" s="27" t="str">
        <x:v>trial</x:v>
      </x:c>
      <x:c r="D566" s="27" t="str">
        <x:v>Trial row 65 state open</x:v>
      </x:c>
      <x:c r="E566" s="27" t="n">
        <x:f>IF('Trial Register'!L65="OPEN",1,0)</x:f>
        <x:v>1</x:v>
      </x:c>
      <x:c r="F566" s="27" t="n">
        <x:v>1</x:v>
      </x:c>
      <x:c r="G566" s="29" t="str">
        <x:f>IF(E566=F566,"PASS","FAIL")</x:f>
        <x:v>PASS</x:v>
      </x:c>
    </x:row>
    <x:row r="567" ht="18" customHeight="1">
      <x:c r="B567" s="27" t="str">
        <x:v>A0561</x:v>
      </x:c>
      <x:c r="C567" s="27" t="str">
        <x:v>trial</x:v>
      </x:c>
      <x:c r="D567" s="27" t="str">
        <x:v>Trial row 65 zero credit</x:v>
      </x:c>
      <x:c r="E567" s="27" t="n">
        <x:f>IF('Trial Register'!M65=0,1,0)</x:f>
        <x:v>1</x:v>
      </x:c>
      <x:c r="F567" s="27" t="n">
        <x:v>1</x:v>
      </x:c>
      <x:c r="G567" s="29" t="str">
        <x:f>IF(E567=F567,"PASS","FAIL")</x:f>
        <x:v>PASS</x:v>
      </x:c>
    </x:row>
    <x:row r="568" ht="18" customHeight="1">
      <x:c r="B568" s="27" t="str">
        <x:v>A0562</x:v>
      </x:c>
      <x:c r="C568" s="27" t="str">
        <x:v>trial</x:v>
      </x:c>
      <x:c r="D568" s="27" t="str">
        <x:v>Trial row 65 has authority</x:v>
      </x:c>
      <x:c r="E568" s="27" t="n">
        <x:f>IF('Trial Register'!J65&lt;&gt;"",1,0)</x:f>
        <x:v>1</x:v>
      </x:c>
      <x:c r="F568" s="27" t="n">
        <x:v>1</x:v>
      </x:c>
      <x:c r="G568" s="29" t="str">
        <x:f>IF(E568=F568,"PASS","FAIL")</x:f>
        <x:v>PASS</x:v>
      </x:c>
    </x:row>
    <x:row r="569" ht="18" customHeight="1">
      <x:c r="B569" s="27" t="str">
        <x:v>A0563</x:v>
      </x:c>
      <x:c r="C569" s="27" t="str">
        <x:v>trial</x:v>
      </x:c>
      <x:c r="D569" s="27" t="str">
        <x:v>Trial row 65 campaign registered</x:v>
      </x:c>
      <x:c r="E569" s="27" t="n">
        <x:f>IF(COUNTIFS('Campaign Schedule'!B7:B14,'Trial Register'!C65)=1,1,0)</x:f>
        <x:v>1</x:v>
      </x:c>
      <x:c r="F569" s="27" t="n">
        <x:v>1</x:v>
      </x:c>
      <x:c r="G569" s="29" t="str">
        <x:f>IF(E569=F569,"PASS","FAIL")</x:f>
        <x:v>PASS</x:v>
      </x:c>
    </x:row>
    <x:row r="570" ht="18" customHeight="1">
      <x:c r="B570" s="27" t="str">
        <x:v>A0564</x:v>
      </x:c>
      <x:c r="C570" s="27" t="str">
        <x:v>trial</x:v>
      </x:c>
      <x:c r="D570" s="27" t="str">
        <x:v>Trial row 65 date order</x:v>
      </x:c>
      <x:c r="E570" s="27" t="n">
        <x:f>IF('Trial Register'!O65&gt;='Trial Register'!N65,1,0)</x:f>
        <x:v>1</x:v>
      </x:c>
      <x:c r="F570" s="27" t="n">
        <x:v>1</x:v>
      </x:c>
      <x:c r="G570" s="29" t="str">
        <x:f>IF(E570=F570,"PASS","FAIL")</x:f>
        <x:v>PASS</x:v>
      </x:c>
    </x:row>
    <x:row r="571" ht="18" customHeight="1">
      <x:c r="B571" s="27" t="str">
        <x:v>A0565</x:v>
      </x:c>
      <x:c r="C571" s="27" t="str">
        <x:v>trial</x:v>
      </x:c>
      <x:c r="D571" s="27" t="str">
        <x:v>Trial row 66 state open</x:v>
      </x:c>
      <x:c r="E571" s="27" t="n">
        <x:f>IF('Trial Register'!L66="OPEN",1,0)</x:f>
        <x:v>1</x:v>
      </x:c>
      <x:c r="F571" s="27" t="n">
        <x:v>1</x:v>
      </x:c>
      <x:c r="G571" s="29" t="str">
        <x:f>IF(E571=F571,"PASS","FAIL")</x:f>
        <x:v>PASS</x:v>
      </x:c>
    </x:row>
    <x:row r="572" ht="18" customHeight="1">
      <x:c r="B572" s="27" t="str">
        <x:v>A0566</x:v>
      </x:c>
      <x:c r="C572" s="27" t="str">
        <x:v>trial</x:v>
      </x:c>
      <x:c r="D572" s="27" t="str">
        <x:v>Trial row 66 zero credit</x:v>
      </x:c>
      <x:c r="E572" s="27" t="n">
        <x:f>IF('Trial Register'!M66=0,1,0)</x:f>
        <x:v>1</x:v>
      </x:c>
      <x:c r="F572" s="27" t="n">
        <x:v>1</x:v>
      </x:c>
      <x:c r="G572" s="29" t="str">
        <x:f>IF(E572=F572,"PASS","FAIL")</x:f>
        <x:v>PASS</x:v>
      </x:c>
    </x:row>
    <x:row r="573" ht="18" customHeight="1">
      <x:c r="B573" s="27" t="str">
        <x:v>A0567</x:v>
      </x:c>
      <x:c r="C573" s="27" t="str">
        <x:v>trial</x:v>
      </x:c>
      <x:c r="D573" s="27" t="str">
        <x:v>Trial row 66 has authority</x:v>
      </x:c>
      <x:c r="E573" s="27" t="n">
        <x:f>IF('Trial Register'!J66&lt;&gt;"",1,0)</x:f>
        <x:v>1</x:v>
      </x:c>
      <x:c r="F573" s="27" t="n">
        <x:v>1</x:v>
      </x:c>
      <x:c r="G573" s="29" t="str">
        <x:f>IF(E573=F573,"PASS","FAIL")</x:f>
        <x:v>PASS</x:v>
      </x:c>
    </x:row>
    <x:row r="574" ht="18" customHeight="1">
      <x:c r="B574" s="27" t="str">
        <x:v>A0568</x:v>
      </x:c>
      <x:c r="C574" s="27" t="str">
        <x:v>trial</x:v>
      </x:c>
      <x:c r="D574" s="27" t="str">
        <x:v>Trial row 66 campaign registered</x:v>
      </x:c>
      <x:c r="E574" s="27" t="n">
        <x:f>IF(COUNTIFS('Campaign Schedule'!B7:B14,'Trial Register'!C66)=1,1,0)</x:f>
        <x:v>1</x:v>
      </x:c>
      <x:c r="F574" s="27" t="n">
        <x:v>1</x:v>
      </x:c>
      <x:c r="G574" s="29" t="str">
        <x:f>IF(E574=F574,"PASS","FAIL")</x:f>
        <x:v>PASS</x:v>
      </x:c>
    </x:row>
    <x:row r="575" ht="18" customHeight="1">
      <x:c r="B575" s="27" t="str">
        <x:v>A0569</x:v>
      </x:c>
      <x:c r="C575" s="27" t="str">
        <x:v>trial</x:v>
      </x:c>
      <x:c r="D575" s="27" t="str">
        <x:v>Trial row 66 date order</x:v>
      </x:c>
      <x:c r="E575" s="27" t="n">
        <x:f>IF('Trial Register'!O66&gt;='Trial Register'!N66,1,0)</x:f>
        <x:v>1</x:v>
      </x:c>
      <x:c r="F575" s="27" t="n">
        <x:v>1</x:v>
      </x:c>
      <x:c r="G575" s="29" t="str">
        <x:f>IF(E575=F575,"PASS","FAIL")</x:f>
        <x:v>PASS</x:v>
      </x:c>
    </x:row>
    <x:row r="576" ht="18" customHeight="1">
      <x:c r="B576" s="27" t="str">
        <x:v>A0570</x:v>
      </x:c>
      <x:c r="C576" s="27" t="str">
        <x:v>trial</x:v>
      </x:c>
      <x:c r="D576" s="27" t="str">
        <x:v>Trial row 67 state open</x:v>
      </x:c>
      <x:c r="E576" s="27" t="n">
        <x:f>IF('Trial Register'!L67="OPEN",1,0)</x:f>
        <x:v>1</x:v>
      </x:c>
      <x:c r="F576" s="27" t="n">
        <x:v>1</x:v>
      </x:c>
      <x:c r="G576" s="29" t="str">
        <x:f>IF(E576=F576,"PASS","FAIL")</x:f>
        <x:v>PASS</x:v>
      </x:c>
    </x:row>
    <x:row r="577" ht="18" customHeight="1">
      <x:c r="B577" s="27" t="str">
        <x:v>A0571</x:v>
      </x:c>
      <x:c r="C577" s="27" t="str">
        <x:v>trial</x:v>
      </x:c>
      <x:c r="D577" s="27" t="str">
        <x:v>Trial row 67 zero credit</x:v>
      </x:c>
      <x:c r="E577" s="27" t="n">
        <x:f>IF('Trial Register'!M67=0,1,0)</x:f>
        <x:v>1</x:v>
      </x:c>
      <x:c r="F577" s="27" t="n">
        <x:v>1</x:v>
      </x:c>
      <x:c r="G577" s="29" t="str">
        <x:f>IF(E577=F577,"PASS","FAIL")</x:f>
        <x:v>PASS</x:v>
      </x:c>
    </x:row>
    <x:row r="578" ht="18" customHeight="1">
      <x:c r="B578" s="27" t="str">
        <x:v>A0572</x:v>
      </x:c>
      <x:c r="C578" s="27" t="str">
        <x:v>trial</x:v>
      </x:c>
      <x:c r="D578" s="27" t="str">
        <x:v>Trial row 67 has authority</x:v>
      </x:c>
      <x:c r="E578" s="27" t="n">
        <x:f>IF('Trial Register'!J67&lt;&gt;"",1,0)</x:f>
        <x:v>1</x:v>
      </x:c>
      <x:c r="F578" s="27" t="n">
        <x:v>1</x:v>
      </x:c>
      <x:c r="G578" s="29" t="str">
        <x:f>IF(E578=F578,"PASS","FAIL")</x:f>
        <x:v>PASS</x:v>
      </x:c>
    </x:row>
    <x:row r="579" ht="18" customHeight="1">
      <x:c r="B579" s="27" t="str">
        <x:v>A0573</x:v>
      </x:c>
      <x:c r="C579" s="27" t="str">
        <x:v>trial</x:v>
      </x:c>
      <x:c r="D579" s="27" t="str">
        <x:v>Trial row 67 campaign registered</x:v>
      </x:c>
      <x:c r="E579" s="27" t="n">
        <x:f>IF(COUNTIFS('Campaign Schedule'!B7:B14,'Trial Register'!C67)=1,1,0)</x:f>
        <x:v>1</x:v>
      </x:c>
      <x:c r="F579" s="27" t="n">
        <x:v>1</x:v>
      </x:c>
      <x:c r="G579" s="29" t="str">
        <x:f>IF(E579=F579,"PASS","FAIL")</x:f>
        <x:v>PASS</x:v>
      </x:c>
    </x:row>
    <x:row r="580" ht="18" customHeight="1">
      <x:c r="B580" s="27" t="str">
        <x:v>A0574</x:v>
      </x:c>
      <x:c r="C580" s="27" t="str">
        <x:v>trial</x:v>
      </x:c>
      <x:c r="D580" s="27" t="str">
        <x:v>Trial row 67 date order</x:v>
      </x:c>
      <x:c r="E580" s="27" t="n">
        <x:f>IF('Trial Register'!O67&gt;='Trial Register'!N67,1,0)</x:f>
        <x:v>1</x:v>
      </x:c>
      <x:c r="F580" s="27" t="n">
        <x:v>1</x:v>
      </x:c>
      <x:c r="G580" s="29" t="str">
        <x:f>IF(E580=F580,"PASS","FAIL")</x:f>
        <x:v>PASS</x:v>
      </x:c>
    </x:row>
    <x:row r="581" ht="18" customHeight="1">
      <x:c r="B581" s="27" t="str">
        <x:v>A0575</x:v>
      </x:c>
      <x:c r="C581" s="27" t="str">
        <x:v>trial</x:v>
      </x:c>
      <x:c r="D581" s="27" t="str">
        <x:v>Trial row 68 state open</x:v>
      </x:c>
      <x:c r="E581" s="27" t="n">
        <x:f>IF('Trial Register'!L68="OPEN",1,0)</x:f>
        <x:v>1</x:v>
      </x:c>
      <x:c r="F581" s="27" t="n">
        <x:v>1</x:v>
      </x:c>
      <x:c r="G581" s="29" t="str">
        <x:f>IF(E581=F581,"PASS","FAIL")</x:f>
        <x:v>PASS</x:v>
      </x:c>
    </x:row>
    <x:row r="582" ht="18" customHeight="1">
      <x:c r="B582" s="27" t="str">
        <x:v>A0576</x:v>
      </x:c>
      <x:c r="C582" s="27" t="str">
        <x:v>trial</x:v>
      </x:c>
      <x:c r="D582" s="27" t="str">
        <x:v>Trial row 68 zero credit</x:v>
      </x:c>
      <x:c r="E582" s="27" t="n">
        <x:f>IF('Trial Register'!M68=0,1,0)</x:f>
        <x:v>1</x:v>
      </x:c>
      <x:c r="F582" s="27" t="n">
        <x:v>1</x:v>
      </x:c>
      <x:c r="G582" s="29" t="str">
        <x:f>IF(E582=F582,"PASS","FAIL")</x:f>
        <x:v>PASS</x:v>
      </x:c>
    </x:row>
    <x:row r="583" ht="18" customHeight="1">
      <x:c r="B583" s="27" t="str">
        <x:v>A0577</x:v>
      </x:c>
      <x:c r="C583" s="27" t="str">
        <x:v>trial</x:v>
      </x:c>
      <x:c r="D583" s="27" t="str">
        <x:v>Trial row 68 has authority</x:v>
      </x:c>
      <x:c r="E583" s="27" t="n">
        <x:f>IF('Trial Register'!J68&lt;&gt;"",1,0)</x:f>
        <x:v>1</x:v>
      </x:c>
      <x:c r="F583" s="27" t="n">
        <x:v>1</x:v>
      </x:c>
      <x:c r="G583" s="29" t="str">
        <x:f>IF(E583=F583,"PASS","FAIL")</x:f>
        <x:v>PASS</x:v>
      </x:c>
    </x:row>
    <x:row r="584" ht="18" customHeight="1">
      <x:c r="B584" s="27" t="str">
        <x:v>A0578</x:v>
      </x:c>
      <x:c r="C584" s="27" t="str">
        <x:v>trial</x:v>
      </x:c>
      <x:c r="D584" s="27" t="str">
        <x:v>Trial row 68 campaign registered</x:v>
      </x:c>
      <x:c r="E584" s="27" t="n">
        <x:f>IF(COUNTIFS('Campaign Schedule'!B7:B14,'Trial Register'!C68)=1,1,0)</x:f>
        <x:v>1</x:v>
      </x:c>
      <x:c r="F584" s="27" t="n">
        <x:v>1</x:v>
      </x:c>
      <x:c r="G584" s="29" t="str">
        <x:f>IF(E584=F584,"PASS","FAIL")</x:f>
        <x:v>PASS</x:v>
      </x:c>
    </x:row>
    <x:row r="585" ht="18" customHeight="1">
      <x:c r="B585" s="27" t="str">
        <x:v>A0579</x:v>
      </x:c>
      <x:c r="C585" s="27" t="str">
        <x:v>trial</x:v>
      </x:c>
      <x:c r="D585" s="27" t="str">
        <x:v>Trial row 68 date order</x:v>
      </x:c>
      <x:c r="E585" s="27" t="n">
        <x:f>IF('Trial Register'!O68&gt;='Trial Register'!N68,1,0)</x:f>
        <x:v>1</x:v>
      </x:c>
      <x:c r="F585" s="27" t="n">
        <x:v>1</x:v>
      </x:c>
      <x:c r="G585" s="29" t="str">
        <x:f>IF(E585=F585,"PASS","FAIL")</x:f>
        <x:v>PASS</x:v>
      </x:c>
    </x:row>
    <x:row r="586" ht="18" customHeight="1">
      <x:c r="B586" s="27" t="str">
        <x:v>A0580</x:v>
      </x:c>
      <x:c r="C586" s="27" t="str">
        <x:v>trial</x:v>
      </x:c>
      <x:c r="D586" s="27" t="str">
        <x:v>Trial row 69 state open</x:v>
      </x:c>
      <x:c r="E586" s="27" t="n">
        <x:f>IF('Trial Register'!L69="OPEN",1,0)</x:f>
        <x:v>1</x:v>
      </x:c>
      <x:c r="F586" s="27" t="n">
        <x:v>1</x:v>
      </x:c>
      <x:c r="G586" s="29" t="str">
        <x:f>IF(E586=F586,"PASS","FAIL")</x:f>
        <x:v>PASS</x:v>
      </x:c>
    </x:row>
    <x:row r="587" ht="18" customHeight="1">
      <x:c r="B587" s="27" t="str">
        <x:v>A0581</x:v>
      </x:c>
      <x:c r="C587" s="27" t="str">
        <x:v>trial</x:v>
      </x:c>
      <x:c r="D587" s="27" t="str">
        <x:v>Trial row 69 zero credit</x:v>
      </x:c>
      <x:c r="E587" s="27" t="n">
        <x:f>IF('Trial Register'!M69=0,1,0)</x:f>
        <x:v>1</x:v>
      </x:c>
      <x:c r="F587" s="27" t="n">
        <x:v>1</x:v>
      </x:c>
      <x:c r="G587" s="29" t="str">
        <x:f>IF(E587=F587,"PASS","FAIL")</x:f>
        <x:v>PASS</x:v>
      </x:c>
    </x:row>
    <x:row r="588" ht="18" customHeight="1">
      <x:c r="B588" s="27" t="str">
        <x:v>A0582</x:v>
      </x:c>
      <x:c r="C588" s="27" t="str">
        <x:v>trial</x:v>
      </x:c>
      <x:c r="D588" s="27" t="str">
        <x:v>Trial row 69 has authority</x:v>
      </x:c>
      <x:c r="E588" s="27" t="n">
        <x:f>IF('Trial Register'!J69&lt;&gt;"",1,0)</x:f>
        <x:v>1</x:v>
      </x:c>
      <x:c r="F588" s="27" t="n">
        <x:v>1</x:v>
      </x:c>
      <x:c r="G588" s="29" t="str">
        <x:f>IF(E588=F588,"PASS","FAIL")</x:f>
        <x:v>PASS</x:v>
      </x:c>
    </x:row>
    <x:row r="589" ht="18" customHeight="1">
      <x:c r="B589" s="27" t="str">
        <x:v>A0583</x:v>
      </x:c>
      <x:c r="C589" s="27" t="str">
        <x:v>trial</x:v>
      </x:c>
      <x:c r="D589" s="27" t="str">
        <x:v>Trial row 69 campaign registered</x:v>
      </x:c>
      <x:c r="E589" s="27" t="n">
        <x:f>IF(COUNTIFS('Campaign Schedule'!B7:B14,'Trial Register'!C69)=1,1,0)</x:f>
        <x:v>1</x:v>
      </x:c>
      <x:c r="F589" s="27" t="n">
        <x:v>1</x:v>
      </x:c>
      <x:c r="G589" s="29" t="str">
        <x:f>IF(E589=F589,"PASS","FAIL")</x:f>
        <x:v>PASS</x:v>
      </x:c>
    </x:row>
    <x:row r="590" ht="18" customHeight="1">
      <x:c r="B590" s="27" t="str">
        <x:v>A0584</x:v>
      </x:c>
      <x:c r="C590" s="27" t="str">
        <x:v>trial</x:v>
      </x:c>
      <x:c r="D590" s="27" t="str">
        <x:v>Trial row 69 date order</x:v>
      </x:c>
      <x:c r="E590" s="27" t="n">
        <x:f>IF('Trial Register'!O69&gt;='Trial Register'!N69,1,0)</x:f>
        <x:v>1</x:v>
      </x:c>
      <x:c r="F590" s="27" t="n">
        <x:v>1</x:v>
      </x:c>
      <x:c r="G590" s="29" t="str">
        <x:f>IF(E590=F590,"PASS","FAIL")</x:f>
        <x:v>PASS</x:v>
      </x:c>
    </x:row>
    <x:row r="591" ht="18" customHeight="1">
      <x:c r="B591" s="27" t="str">
        <x:v>A0585</x:v>
      </x:c>
      <x:c r="C591" s="27" t="str">
        <x:v>trial</x:v>
      </x:c>
      <x:c r="D591" s="27" t="str">
        <x:v>Trial row 70 state open</x:v>
      </x:c>
      <x:c r="E591" s="27" t="n">
        <x:f>IF('Trial Register'!L70="OPEN",1,0)</x:f>
        <x:v>1</x:v>
      </x:c>
      <x:c r="F591" s="27" t="n">
        <x:v>1</x:v>
      </x:c>
      <x:c r="G591" s="29" t="str">
        <x:f>IF(E591=F591,"PASS","FAIL")</x:f>
        <x:v>PASS</x:v>
      </x:c>
    </x:row>
    <x:row r="592" ht="18" customHeight="1">
      <x:c r="B592" s="27" t="str">
        <x:v>A0586</x:v>
      </x:c>
      <x:c r="C592" s="27" t="str">
        <x:v>trial</x:v>
      </x:c>
      <x:c r="D592" s="27" t="str">
        <x:v>Trial row 70 zero credit</x:v>
      </x:c>
      <x:c r="E592" s="27" t="n">
        <x:f>IF('Trial Register'!M70=0,1,0)</x:f>
        <x:v>1</x:v>
      </x:c>
      <x:c r="F592" s="27" t="n">
        <x:v>1</x:v>
      </x:c>
      <x:c r="G592" s="29" t="str">
        <x:f>IF(E592=F592,"PASS","FAIL")</x:f>
        <x:v>PASS</x:v>
      </x:c>
    </x:row>
    <x:row r="593" ht="18" customHeight="1">
      <x:c r="B593" s="27" t="str">
        <x:v>A0587</x:v>
      </x:c>
      <x:c r="C593" s="27" t="str">
        <x:v>trial</x:v>
      </x:c>
      <x:c r="D593" s="27" t="str">
        <x:v>Trial row 70 has authority</x:v>
      </x:c>
      <x:c r="E593" s="27" t="n">
        <x:f>IF('Trial Register'!J70&lt;&gt;"",1,0)</x:f>
        <x:v>1</x:v>
      </x:c>
      <x:c r="F593" s="27" t="n">
        <x:v>1</x:v>
      </x:c>
      <x:c r="G593" s="29" t="str">
        <x:f>IF(E593=F593,"PASS","FAIL")</x:f>
        <x:v>PASS</x:v>
      </x:c>
    </x:row>
    <x:row r="594" ht="18" customHeight="1">
      <x:c r="B594" s="27" t="str">
        <x:v>A0588</x:v>
      </x:c>
      <x:c r="C594" s="27" t="str">
        <x:v>trial</x:v>
      </x:c>
      <x:c r="D594" s="27" t="str">
        <x:v>Trial row 70 campaign registered</x:v>
      </x:c>
      <x:c r="E594" s="27" t="n">
        <x:f>IF(COUNTIFS('Campaign Schedule'!B7:B14,'Trial Register'!C70)=1,1,0)</x:f>
        <x:v>1</x:v>
      </x:c>
      <x:c r="F594" s="27" t="n">
        <x:v>1</x:v>
      </x:c>
      <x:c r="G594" s="29" t="str">
        <x:f>IF(E594=F594,"PASS","FAIL")</x:f>
        <x:v>PASS</x:v>
      </x:c>
    </x:row>
    <x:row r="595" ht="18" customHeight="1">
      <x:c r="B595" s="27" t="str">
        <x:v>A0589</x:v>
      </x:c>
      <x:c r="C595" s="27" t="str">
        <x:v>trial</x:v>
      </x:c>
      <x:c r="D595" s="27" t="str">
        <x:v>Trial row 70 date order</x:v>
      </x:c>
      <x:c r="E595" s="27" t="n">
        <x:f>IF('Trial Register'!O70&gt;='Trial Register'!N70,1,0)</x:f>
        <x:v>1</x:v>
      </x:c>
      <x:c r="F595" s="27" t="n">
        <x:v>1</x:v>
      </x:c>
      <x:c r="G595" s="29" t="str">
        <x:f>IF(E595=F595,"PASS","FAIL")</x:f>
        <x:v>PASS</x:v>
      </x:c>
    </x:row>
    <x:row r="596" ht="18" customHeight="1">
      <x:c r="B596" s="27" t="str">
        <x:v>A0590</x:v>
      </x:c>
      <x:c r="C596" s="27" t="str">
        <x:v>trial</x:v>
      </x:c>
      <x:c r="D596" s="27" t="str">
        <x:v>Trial row 71 state open</x:v>
      </x:c>
      <x:c r="E596" s="27" t="n">
        <x:f>IF('Trial Register'!L71="OPEN",1,0)</x:f>
        <x:v>1</x:v>
      </x:c>
      <x:c r="F596" s="27" t="n">
        <x:v>1</x:v>
      </x:c>
      <x:c r="G596" s="29" t="str">
        <x:f>IF(E596=F596,"PASS","FAIL")</x:f>
        <x:v>PASS</x:v>
      </x:c>
    </x:row>
    <x:row r="597" ht="18" customHeight="1">
      <x:c r="B597" s="27" t="str">
        <x:v>A0591</x:v>
      </x:c>
      <x:c r="C597" s="27" t="str">
        <x:v>trial</x:v>
      </x:c>
      <x:c r="D597" s="27" t="str">
        <x:v>Trial row 71 zero credit</x:v>
      </x:c>
      <x:c r="E597" s="27" t="n">
        <x:f>IF('Trial Register'!M71=0,1,0)</x:f>
        <x:v>1</x:v>
      </x:c>
      <x:c r="F597" s="27" t="n">
        <x:v>1</x:v>
      </x:c>
      <x:c r="G597" s="29" t="str">
        <x:f>IF(E597=F597,"PASS","FAIL")</x:f>
        <x:v>PASS</x:v>
      </x:c>
    </x:row>
    <x:row r="598" ht="18" customHeight="1">
      <x:c r="B598" s="27" t="str">
        <x:v>A0592</x:v>
      </x:c>
      <x:c r="C598" s="27" t="str">
        <x:v>trial</x:v>
      </x:c>
      <x:c r="D598" s="27" t="str">
        <x:v>Trial row 71 has authority</x:v>
      </x:c>
      <x:c r="E598" s="27" t="n">
        <x:f>IF('Trial Register'!J71&lt;&gt;"",1,0)</x:f>
        <x:v>1</x:v>
      </x:c>
      <x:c r="F598" s="27" t="n">
        <x:v>1</x:v>
      </x:c>
      <x:c r="G598" s="29" t="str">
        <x:f>IF(E598=F598,"PASS","FAIL")</x:f>
        <x:v>PASS</x:v>
      </x:c>
    </x:row>
    <x:row r="599" ht="18" customHeight="1">
      <x:c r="B599" s="27" t="str">
        <x:v>A0593</x:v>
      </x:c>
      <x:c r="C599" s="27" t="str">
        <x:v>trial</x:v>
      </x:c>
      <x:c r="D599" s="27" t="str">
        <x:v>Trial row 71 campaign registered</x:v>
      </x:c>
      <x:c r="E599" s="27" t="n">
        <x:f>IF(COUNTIFS('Campaign Schedule'!B7:B14,'Trial Register'!C71)=1,1,0)</x:f>
        <x:v>1</x:v>
      </x:c>
      <x:c r="F599" s="27" t="n">
        <x:v>1</x:v>
      </x:c>
      <x:c r="G599" s="29" t="str">
        <x:f>IF(E599=F599,"PASS","FAIL")</x:f>
        <x:v>PASS</x:v>
      </x:c>
    </x:row>
    <x:row r="600" ht="18" customHeight="1">
      <x:c r="B600" s="27" t="str">
        <x:v>A0594</x:v>
      </x:c>
      <x:c r="C600" s="27" t="str">
        <x:v>trial</x:v>
      </x:c>
      <x:c r="D600" s="27" t="str">
        <x:v>Trial row 71 date order</x:v>
      </x:c>
      <x:c r="E600" s="27" t="n">
        <x:f>IF('Trial Register'!O71&gt;='Trial Register'!N71,1,0)</x:f>
        <x:v>1</x:v>
      </x:c>
      <x:c r="F600" s="27" t="n">
        <x:v>1</x:v>
      </x:c>
      <x:c r="G600" s="29" t="str">
        <x:f>IF(E600=F600,"PASS","FAIL")</x:f>
        <x:v>PASS</x:v>
      </x:c>
    </x:row>
    <x:row r="601" ht="18" customHeight="1">
      <x:c r="B601" s="27" t="str">
        <x:v>A0595</x:v>
      </x:c>
      <x:c r="C601" s="27" t="str">
        <x:v>trial</x:v>
      </x:c>
      <x:c r="D601" s="27" t="str">
        <x:v>Trial row 72 state open</x:v>
      </x:c>
      <x:c r="E601" s="27" t="n">
        <x:f>IF('Trial Register'!L72="OPEN",1,0)</x:f>
        <x:v>1</x:v>
      </x:c>
      <x:c r="F601" s="27" t="n">
        <x:v>1</x:v>
      </x:c>
      <x:c r="G601" s="29" t="str">
        <x:f>IF(E601=F601,"PASS","FAIL")</x:f>
        <x:v>PASS</x:v>
      </x:c>
    </x:row>
    <x:row r="602" ht="18" customHeight="1">
      <x:c r="B602" s="27" t="str">
        <x:v>A0596</x:v>
      </x:c>
      <x:c r="C602" s="27" t="str">
        <x:v>trial</x:v>
      </x:c>
      <x:c r="D602" s="27" t="str">
        <x:v>Trial row 72 zero credit</x:v>
      </x:c>
      <x:c r="E602" s="27" t="n">
        <x:f>IF('Trial Register'!M72=0,1,0)</x:f>
        <x:v>1</x:v>
      </x:c>
      <x:c r="F602" s="27" t="n">
        <x:v>1</x:v>
      </x:c>
      <x:c r="G602" s="29" t="str">
        <x:f>IF(E602=F602,"PASS","FAIL")</x:f>
        <x:v>PASS</x:v>
      </x:c>
    </x:row>
    <x:row r="603" ht="18" customHeight="1">
      <x:c r="B603" s="27" t="str">
        <x:v>A0597</x:v>
      </x:c>
      <x:c r="C603" s="27" t="str">
        <x:v>trial</x:v>
      </x:c>
      <x:c r="D603" s="27" t="str">
        <x:v>Trial row 72 has authority</x:v>
      </x:c>
      <x:c r="E603" s="27" t="n">
        <x:f>IF('Trial Register'!J72&lt;&gt;"",1,0)</x:f>
        <x:v>1</x:v>
      </x:c>
      <x:c r="F603" s="27" t="n">
        <x:v>1</x:v>
      </x:c>
      <x:c r="G603" s="29" t="str">
        <x:f>IF(E603=F603,"PASS","FAIL")</x:f>
        <x:v>PASS</x:v>
      </x:c>
    </x:row>
    <x:row r="604" ht="18" customHeight="1">
      <x:c r="B604" s="27" t="str">
        <x:v>A0598</x:v>
      </x:c>
      <x:c r="C604" s="27" t="str">
        <x:v>trial</x:v>
      </x:c>
      <x:c r="D604" s="27" t="str">
        <x:v>Trial row 72 campaign registered</x:v>
      </x:c>
      <x:c r="E604" s="27" t="n">
        <x:f>IF(COUNTIFS('Campaign Schedule'!B7:B14,'Trial Register'!C72)=1,1,0)</x:f>
        <x:v>1</x:v>
      </x:c>
      <x:c r="F604" s="27" t="n">
        <x:v>1</x:v>
      </x:c>
      <x:c r="G604" s="29" t="str">
        <x:f>IF(E604=F604,"PASS","FAIL")</x:f>
        <x:v>PASS</x:v>
      </x:c>
    </x:row>
    <x:row r="605" ht="18" customHeight="1">
      <x:c r="B605" s="27" t="str">
        <x:v>A0599</x:v>
      </x:c>
      <x:c r="C605" s="27" t="str">
        <x:v>trial</x:v>
      </x:c>
      <x:c r="D605" s="27" t="str">
        <x:v>Trial row 72 date order</x:v>
      </x:c>
      <x:c r="E605" s="27" t="n">
        <x:f>IF('Trial Register'!O72&gt;='Trial Register'!N72,1,0)</x:f>
        <x:v>1</x:v>
      </x:c>
      <x:c r="F605" s="27" t="n">
        <x:v>1</x:v>
      </x:c>
      <x:c r="G605" s="29" t="str">
        <x:f>IF(E605=F605,"PASS","FAIL")</x:f>
        <x:v>PASS</x:v>
      </x:c>
    </x:row>
    <x:row r="606" ht="18" customHeight="1">
      <x:c r="B606" s="27" t="str">
        <x:v>A0600</x:v>
      </x:c>
      <x:c r="C606" s="27" t="str">
        <x:v>trial</x:v>
      </x:c>
      <x:c r="D606" s="27" t="str">
        <x:v>Trial row 73 state open</x:v>
      </x:c>
      <x:c r="E606" s="27" t="n">
        <x:f>IF('Trial Register'!L73="OPEN",1,0)</x:f>
        <x:v>1</x:v>
      </x:c>
      <x:c r="F606" s="27" t="n">
        <x:v>1</x:v>
      </x:c>
      <x:c r="G606" s="29" t="str">
        <x:f>IF(E606=F606,"PASS","FAIL")</x:f>
        <x:v>PASS</x:v>
      </x:c>
    </x:row>
    <x:row r="607" ht="18" customHeight="1">
      <x:c r="B607" s="27" t="str">
        <x:v>A0601</x:v>
      </x:c>
      <x:c r="C607" s="27" t="str">
        <x:v>trial</x:v>
      </x:c>
      <x:c r="D607" s="27" t="str">
        <x:v>Trial row 73 zero credit</x:v>
      </x:c>
      <x:c r="E607" s="27" t="n">
        <x:f>IF('Trial Register'!M73=0,1,0)</x:f>
        <x:v>1</x:v>
      </x:c>
      <x:c r="F607" s="27" t="n">
        <x:v>1</x:v>
      </x:c>
      <x:c r="G607" s="29" t="str">
        <x:f>IF(E607=F607,"PASS","FAIL")</x:f>
        <x:v>PASS</x:v>
      </x:c>
    </x:row>
    <x:row r="608" ht="18" customHeight="1">
      <x:c r="B608" s="27" t="str">
        <x:v>A0602</x:v>
      </x:c>
      <x:c r="C608" s="27" t="str">
        <x:v>trial</x:v>
      </x:c>
      <x:c r="D608" s="27" t="str">
        <x:v>Trial row 73 has authority</x:v>
      </x:c>
      <x:c r="E608" s="27" t="n">
        <x:f>IF('Trial Register'!J73&lt;&gt;"",1,0)</x:f>
        <x:v>1</x:v>
      </x:c>
      <x:c r="F608" s="27" t="n">
        <x:v>1</x:v>
      </x:c>
      <x:c r="G608" s="29" t="str">
        <x:f>IF(E608=F608,"PASS","FAIL")</x:f>
        <x:v>PASS</x:v>
      </x:c>
    </x:row>
    <x:row r="609" ht="18" customHeight="1">
      <x:c r="B609" s="27" t="str">
        <x:v>A0603</x:v>
      </x:c>
      <x:c r="C609" s="27" t="str">
        <x:v>trial</x:v>
      </x:c>
      <x:c r="D609" s="27" t="str">
        <x:v>Trial row 73 campaign registered</x:v>
      </x:c>
      <x:c r="E609" s="27" t="n">
        <x:f>IF(COUNTIFS('Campaign Schedule'!B7:B14,'Trial Register'!C73)=1,1,0)</x:f>
        <x:v>1</x:v>
      </x:c>
      <x:c r="F609" s="27" t="n">
        <x:v>1</x:v>
      </x:c>
      <x:c r="G609" s="29" t="str">
        <x:f>IF(E609=F609,"PASS","FAIL")</x:f>
        <x:v>PASS</x:v>
      </x:c>
    </x:row>
    <x:row r="610" ht="18" customHeight="1">
      <x:c r="B610" s="27" t="str">
        <x:v>A0604</x:v>
      </x:c>
      <x:c r="C610" s="27" t="str">
        <x:v>trial</x:v>
      </x:c>
      <x:c r="D610" s="27" t="str">
        <x:v>Trial row 73 date order</x:v>
      </x:c>
      <x:c r="E610" s="27" t="n">
        <x:f>IF('Trial Register'!O73&gt;='Trial Register'!N73,1,0)</x:f>
        <x:v>1</x:v>
      </x:c>
      <x:c r="F610" s="27" t="n">
        <x:v>1</x:v>
      </x:c>
      <x:c r="G610" s="29" t="str">
        <x:f>IF(E610=F610,"PASS","FAIL")</x:f>
        <x:v>PASS</x:v>
      </x:c>
    </x:row>
    <x:row r="611" ht="18" customHeight="1">
      <x:c r="B611" s="27" t="str">
        <x:v>A0605</x:v>
      </x:c>
      <x:c r="C611" s="27" t="str">
        <x:v>trial</x:v>
      </x:c>
      <x:c r="D611" s="27" t="str">
        <x:v>Trial row 74 state open</x:v>
      </x:c>
      <x:c r="E611" s="27" t="n">
        <x:f>IF('Trial Register'!L74="OPEN",1,0)</x:f>
        <x:v>1</x:v>
      </x:c>
      <x:c r="F611" s="27" t="n">
        <x:v>1</x:v>
      </x:c>
      <x:c r="G611" s="29" t="str">
        <x:f>IF(E611=F611,"PASS","FAIL")</x:f>
        <x:v>PASS</x:v>
      </x:c>
    </x:row>
    <x:row r="612" ht="18" customHeight="1">
      <x:c r="B612" s="27" t="str">
        <x:v>A0606</x:v>
      </x:c>
      <x:c r="C612" s="27" t="str">
        <x:v>trial</x:v>
      </x:c>
      <x:c r="D612" s="27" t="str">
        <x:v>Trial row 74 zero credit</x:v>
      </x:c>
      <x:c r="E612" s="27" t="n">
        <x:f>IF('Trial Register'!M74=0,1,0)</x:f>
        <x:v>1</x:v>
      </x:c>
      <x:c r="F612" s="27" t="n">
        <x:v>1</x:v>
      </x:c>
      <x:c r="G612" s="29" t="str">
        <x:f>IF(E612=F612,"PASS","FAIL")</x:f>
        <x:v>PASS</x:v>
      </x:c>
    </x:row>
    <x:row r="613" ht="18" customHeight="1">
      <x:c r="B613" s="27" t="str">
        <x:v>A0607</x:v>
      </x:c>
      <x:c r="C613" s="27" t="str">
        <x:v>trial</x:v>
      </x:c>
      <x:c r="D613" s="27" t="str">
        <x:v>Trial row 74 has authority</x:v>
      </x:c>
      <x:c r="E613" s="27" t="n">
        <x:f>IF('Trial Register'!J74&lt;&gt;"",1,0)</x:f>
        <x:v>1</x:v>
      </x:c>
      <x:c r="F613" s="27" t="n">
        <x:v>1</x:v>
      </x:c>
      <x:c r="G613" s="29" t="str">
        <x:f>IF(E613=F613,"PASS","FAIL")</x:f>
        <x:v>PASS</x:v>
      </x:c>
    </x:row>
    <x:row r="614" ht="18" customHeight="1">
      <x:c r="B614" s="27" t="str">
        <x:v>A0608</x:v>
      </x:c>
      <x:c r="C614" s="27" t="str">
        <x:v>trial</x:v>
      </x:c>
      <x:c r="D614" s="27" t="str">
        <x:v>Trial row 74 campaign registered</x:v>
      </x:c>
      <x:c r="E614" s="27" t="n">
        <x:f>IF(COUNTIFS('Campaign Schedule'!B7:B14,'Trial Register'!C74)=1,1,0)</x:f>
        <x:v>1</x:v>
      </x:c>
      <x:c r="F614" s="27" t="n">
        <x:v>1</x:v>
      </x:c>
      <x:c r="G614" s="29" t="str">
        <x:f>IF(E614=F614,"PASS","FAIL")</x:f>
        <x:v>PASS</x:v>
      </x:c>
    </x:row>
    <x:row r="615" ht="18" customHeight="1">
      <x:c r="B615" s="27" t="str">
        <x:v>A0609</x:v>
      </x:c>
      <x:c r="C615" s="27" t="str">
        <x:v>trial</x:v>
      </x:c>
      <x:c r="D615" s="27" t="str">
        <x:v>Trial row 74 date order</x:v>
      </x:c>
      <x:c r="E615" s="27" t="n">
        <x:f>IF('Trial Register'!O74&gt;='Trial Register'!N74,1,0)</x:f>
        <x:v>1</x:v>
      </x:c>
      <x:c r="F615" s="27" t="n">
        <x:v>1</x:v>
      </x:c>
      <x:c r="G615" s="29" t="str">
        <x:f>IF(E615=F615,"PASS","FAIL")</x:f>
        <x:v>PASS</x:v>
      </x:c>
    </x:row>
    <x:row r="616" ht="18" customHeight="1">
      <x:c r="B616" s="27" t="str">
        <x:v>A0610</x:v>
      </x:c>
      <x:c r="C616" s="27" t="str">
        <x:v>evidence</x:v>
      </x:c>
      <x:c r="D616" s="27" t="str">
        <x:v>Evidence row 7 open</x:v>
      </x:c>
      <x:c r="E616" s="27" t="n">
        <x:f>IF('Evidence Gates'!I7="OPEN",1,0)</x:f>
        <x:v>1</x:v>
      </x:c>
      <x:c r="F616" s="27" t="n">
        <x:v>1</x:v>
      </x:c>
      <x:c r="G616" s="29" t="str">
        <x:f>IF(E616=F616,"PASS","FAIL")</x:f>
        <x:v>PASS</x:v>
      </x:c>
    </x:row>
    <x:row r="617" ht="18" customHeight="1">
      <x:c r="B617" s="27" t="str">
        <x:v>A0611</x:v>
      </x:c>
      <x:c r="C617" s="27" t="str">
        <x:v>evidence</x:v>
      </x:c>
      <x:c r="D617" s="27" t="str">
        <x:v>Evidence row 7 hold</x:v>
      </x:c>
      <x:c r="E617" s="27" t="n">
        <x:f>IF('Evidence Gates'!J7="HOLD",1,0)</x:f>
        <x:v>1</x:v>
      </x:c>
      <x:c r="F617" s="27" t="n">
        <x:v>1</x:v>
      </x:c>
      <x:c r="G617" s="29" t="str">
        <x:f>IF(E617=F617,"PASS","FAIL")</x:f>
        <x:v>PASS</x:v>
      </x:c>
    </x:row>
    <x:row r="618" ht="18" customHeight="1">
      <x:c r="B618" s="27" t="str">
        <x:v>A0612</x:v>
      </x:c>
      <x:c r="C618" s="27" t="str">
        <x:v>evidence</x:v>
      </x:c>
      <x:c r="D618" s="27" t="str">
        <x:v>Evidence row 7 zero credit</x:v>
      </x:c>
      <x:c r="E618" s="27" t="n">
        <x:f>IF('Evidence Gates'!K7=0,1,0)</x:f>
        <x:v>1</x:v>
      </x:c>
      <x:c r="F618" s="27" t="n">
        <x:v>1</x:v>
      </x:c>
      <x:c r="G618" s="29" t="str">
        <x:f>IF(E618=F618,"PASS","FAIL")</x:f>
        <x:v>PASS</x:v>
      </x:c>
    </x:row>
    <x:row r="619" ht="18" customHeight="1">
      <x:c r="B619" s="27" t="str">
        <x:v>A0613</x:v>
      </x:c>
      <x:c r="C619" s="27" t="str">
        <x:v>evidence</x:v>
      </x:c>
      <x:c r="D619" s="27" t="str">
        <x:v>Evidence row 7 has artifact</x:v>
      </x:c>
      <x:c r="E619" s="27" t="n">
        <x:f>IF('Evidence Gates'!F7&lt;&gt;"",1,0)</x:f>
        <x:v>1</x:v>
      </x:c>
      <x:c r="F619" s="27" t="n">
        <x:v>1</x:v>
      </x:c>
      <x:c r="G619" s="29" t="str">
        <x:f>IF(E619=F619,"PASS","FAIL")</x:f>
        <x:v>PASS</x:v>
      </x:c>
    </x:row>
    <x:row r="620" ht="18" customHeight="1">
      <x:c r="B620" s="27" t="str">
        <x:v>A0614</x:v>
      </x:c>
      <x:c r="C620" s="27" t="str">
        <x:v>evidence</x:v>
      </x:c>
      <x:c r="D620" s="27" t="str">
        <x:v>Evidence row 7 has authority</x:v>
      </x:c>
      <x:c r="E620" s="27" t="n">
        <x:f>IF('Evidence Gates'!G7&lt;&gt;"",1,0)</x:f>
        <x:v>1</x:v>
      </x:c>
      <x:c r="F620" s="27" t="n">
        <x:v>1</x:v>
      </x:c>
      <x:c r="G620" s="29" t="str">
        <x:f>IF(E620=F620,"PASS","FAIL")</x:f>
        <x:v>PASS</x:v>
      </x:c>
    </x:row>
    <x:row r="621" ht="18" customHeight="1">
      <x:c r="B621" s="27" t="str">
        <x:v>A0615</x:v>
      </x:c>
      <x:c r="C621" s="27" t="str">
        <x:v>evidence</x:v>
      </x:c>
      <x:c r="D621" s="27" t="str">
        <x:v>Evidence row 8 open</x:v>
      </x:c>
      <x:c r="E621" s="27" t="n">
        <x:f>IF('Evidence Gates'!I8="OPEN",1,0)</x:f>
        <x:v>1</x:v>
      </x:c>
      <x:c r="F621" s="27" t="n">
        <x:v>1</x:v>
      </x:c>
      <x:c r="G621" s="29" t="str">
        <x:f>IF(E621=F621,"PASS","FAIL")</x:f>
        <x:v>PASS</x:v>
      </x:c>
    </x:row>
    <x:row r="622" ht="18" customHeight="1">
      <x:c r="B622" s="27" t="str">
        <x:v>A0616</x:v>
      </x:c>
      <x:c r="C622" s="27" t="str">
        <x:v>evidence</x:v>
      </x:c>
      <x:c r="D622" s="27" t="str">
        <x:v>Evidence row 8 hold</x:v>
      </x:c>
      <x:c r="E622" s="27" t="n">
        <x:f>IF('Evidence Gates'!J8="HOLD",1,0)</x:f>
        <x:v>1</x:v>
      </x:c>
      <x:c r="F622" s="27" t="n">
        <x:v>1</x:v>
      </x:c>
      <x:c r="G622" s="29" t="str">
        <x:f>IF(E622=F622,"PASS","FAIL")</x:f>
        <x:v>PASS</x:v>
      </x:c>
    </x:row>
    <x:row r="623" ht="18" customHeight="1">
      <x:c r="B623" s="27" t="str">
        <x:v>A0617</x:v>
      </x:c>
      <x:c r="C623" s="27" t="str">
        <x:v>evidence</x:v>
      </x:c>
      <x:c r="D623" s="27" t="str">
        <x:v>Evidence row 8 zero credit</x:v>
      </x:c>
      <x:c r="E623" s="27" t="n">
        <x:f>IF('Evidence Gates'!K8=0,1,0)</x:f>
        <x:v>1</x:v>
      </x:c>
      <x:c r="F623" s="27" t="n">
        <x:v>1</x:v>
      </x:c>
      <x:c r="G623" s="29" t="str">
        <x:f>IF(E623=F623,"PASS","FAIL")</x:f>
        <x:v>PASS</x:v>
      </x:c>
    </x:row>
    <x:row r="624" ht="18" customHeight="1">
      <x:c r="B624" s="27" t="str">
        <x:v>A0618</x:v>
      </x:c>
      <x:c r="C624" s="27" t="str">
        <x:v>evidence</x:v>
      </x:c>
      <x:c r="D624" s="27" t="str">
        <x:v>Evidence row 8 has artifact</x:v>
      </x:c>
      <x:c r="E624" s="27" t="n">
        <x:f>IF('Evidence Gates'!F8&lt;&gt;"",1,0)</x:f>
        <x:v>1</x:v>
      </x:c>
      <x:c r="F624" s="27" t="n">
        <x:v>1</x:v>
      </x:c>
      <x:c r="G624" s="29" t="str">
        <x:f>IF(E624=F624,"PASS","FAIL")</x:f>
        <x:v>PASS</x:v>
      </x:c>
    </x:row>
    <x:row r="625" ht="18" customHeight="1">
      <x:c r="B625" s="27" t="str">
        <x:v>A0619</x:v>
      </x:c>
      <x:c r="C625" s="27" t="str">
        <x:v>evidence</x:v>
      </x:c>
      <x:c r="D625" s="27" t="str">
        <x:v>Evidence row 8 has authority</x:v>
      </x:c>
      <x:c r="E625" s="27" t="n">
        <x:f>IF('Evidence Gates'!G8&lt;&gt;"",1,0)</x:f>
        <x:v>1</x:v>
      </x:c>
      <x:c r="F625" s="27" t="n">
        <x:v>1</x:v>
      </x:c>
      <x:c r="G625" s="29" t="str">
        <x:f>IF(E625=F625,"PASS","FAIL")</x:f>
        <x:v>PASS</x:v>
      </x:c>
    </x:row>
    <x:row r="626" ht="18" customHeight="1">
      <x:c r="B626" s="27" t="str">
        <x:v>A0620</x:v>
      </x:c>
      <x:c r="C626" s="27" t="str">
        <x:v>evidence</x:v>
      </x:c>
      <x:c r="D626" s="27" t="str">
        <x:v>Evidence row 9 open</x:v>
      </x:c>
      <x:c r="E626" s="27" t="n">
        <x:f>IF('Evidence Gates'!I9="OPEN",1,0)</x:f>
        <x:v>1</x:v>
      </x:c>
      <x:c r="F626" s="27" t="n">
        <x:v>1</x:v>
      </x:c>
      <x:c r="G626" s="29" t="str">
        <x:f>IF(E626=F626,"PASS","FAIL")</x:f>
        <x:v>PASS</x:v>
      </x:c>
    </x:row>
    <x:row r="627" ht="18" customHeight="1">
      <x:c r="B627" s="27" t="str">
        <x:v>A0621</x:v>
      </x:c>
      <x:c r="C627" s="27" t="str">
        <x:v>evidence</x:v>
      </x:c>
      <x:c r="D627" s="27" t="str">
        <x:v>Evidence row 9 hold</x:v>
      </x:c>
      <x:c r="E627" s="27" t="n">
        <x:f>IF('Evidence Gates'!J9="HOLD",1,0)</x:f>
        <x:v>1</x:v>
      </x:c>
      <x:c r="F627" s="27" t="n">
        <x:v>1</x:v>
      </x:c>
      <x:c r="G627" s="29" t="str">
        <x:f>IF(E627=F627,"PASS","FAIL")</x:f>
        <x:v>PASS</x:v>
      </x:c>
    </x:row>
    <x:row r="628" ht="18" customHeight="1">
      <x:c r="B628" s="27" t="str">
        <x:v>A0622</x:v>
      </x:c>
      <x:c r="C628" s="27" t="str">
        <x:v>evidence</x:v>
      </x:c>
      <x:c r="D628" s="27" t="str">
        <x:v>Evidence row 9 zero credit</x:v>
      </x:c>
      <x:c r="E628" s="27" t="n">
        <x:f>IF('Evidence Gates'!K9=0,1,0)</x:f>
        <x:v>1</x:v>
      </x:c>
      <x:c r="F628" s="27" t="n">
        <x:v>1</x:v>
      </x:c>
      <x:c r="G628" s="29" t="str">
        <x:f>IF(E628=F628,"PASS","FAIL")</x:f>
        <x:v>PASS</x:v>
      </x:c>
    </x:row>
    <x:row r="629" ht="18" customHeight="1">
      <x:c r="B629" s="27" t="str">
        <x:v>A0623</x:v>
      </x:c>
      <x:c r="C629" s="27" t="str">
        <x:v>evidence</x:v>
      </x:c>
      <x:c r="D629" s="27" t="str">
        <x:v>Evidence row 9 has artifact</x:v>
      </x:c>
      <x:c r="E629" s="27" t="n">
        <x:f>IF('Evidence Gates'!F9&lt;&gt;"",1,0)</x:f>
        <x:v>1</x:v>
      </x:c>
      <x:c r="F629" s="27" t="n">
        <x:v>1</x:v>
      </x:c>
      <x:c r="G629" s="29" t="str">
        <x:f>IF(E629=F629,"PASS","FAIL")</x:f>
        <x:v>PASS</x:v>
      </x:c>
    </x:row>
    <x:row r="630" ht="18" customHeight="1">
      <x:c r="B630" s="27" t="str">
        <x:v>A0624</x:v>
      </x:c>
      <x:c r="C630" s="27" t="str">
        <x:v>evidence</x:v>
      </x:c>
      <x:c r="D630" s="27" t="str">
        <x:v>Evidence row 9 has authority</x:v>
      </x:c>
      <x:c r="E630" s="27" t="n">
        <x:f>IF('Evidence Gates'!G9&lt;&gt;"",1,0)</x:f>
        <x:v>1</x:v>
      </x:c>
      <x:c r="F630" s="27" t="n">
        <x:v>1</x:v>
      </x:c>
      <x:c r="G630" s="29" t="str">
        <x:f>IF(E630=F630,"PASS","FAIL")</x:f>
        <x:v>PASS</x:v>
      </x:c>
    </x:row>
    <x:row r="631" ht="18" customHeight="1">
      <x:c r="B631" s="27" t="str">
        <x:v>A0625</x:v>
      </x:c>
      <x:c r="C631" s="27" t="str">
        <x:v>evidence</x:v>
      </x:c>
      <x:c r="D631" s="27" t="str">
        <x:v>Evidence row 10 open</x:v>
      </x:c>
      <x:c r="E631" s="27" t="n">
        <x:f>IF('Evidence Gates'!I10="OPEN",1,0)</x:f>
        <x:v>1</x:v>
      </x:c>
      <x:c r="F631" s="27" t="n">
        <x:v>1</x:v>
      </x:c>
      <x:c r="G631" s="29" t="str">
        <x:f>IF(E631=F631,"PASS","FAIL")</x:f>
        <x:v>PASS</x:v>
      </x:c>
    </x:row>
    <x:row r="632" ht="18" customHeight="1">
      <x:c r="B632" s="27" t="str">
        <x:v>A0626</x:v>
      </x:c>
      <x:c r="C632" s="27" t="str">
        <x:v>evidence</x:v>
      </x:c>
      <x:c r="D632" s="27" t="str">
        <x:v>Evidence row 10 hold</x:v>
      </x:c>
      <x:c r="E632" s="27" t="n">
        <x:f>IF('Evidence Gates'!J10="HOLD",1,0)</x:f>
        <x:v>1</x:v>
      </x:c>
      <x:c r="F632" s="27" t="n">
        <x:v>1</x:v>
      </x:c>
      <x:c r="G632" s="29" t="str">
        <x:f>IF(E632=F632,"PASS","FAIL")</x:f>
        <x:v>PASS</x:v>
      </x:c>
    </x:row>
    <x:row r="633" ht="18" customHeight="1">
      <x:c r="B633" s="27" t="str">
        <x:v>A0627</x:v>
      </x:c>
      <x:c r="C633" s="27" t="str">
        <x:v>evidence</x:v>
      </x:c>
      <x:c r="D633" s="27" t="str">
        <x:v>Evidence row 10 zero credit</x:v>
      </x:c>
      <x:c r="E633" s="27" t="n">
        <x:f>IF('Evidence Gates'!K10=0,1,0)</x:f>
        <x:v>1</x:v>
      </x:c>
      <x:c r="F633" s="27" t="n">
        <x:v>1</x:v>
      </x:c>
      <x:c r="G633" s="29" t="str">
        <x:f>IF(E633=F633,"PASS","FAIL")</x:f>
        <x:v>PASS</x:v>
      </x:c>
    </x:row>
    <x:row r="634" ht="18" customHeight="1">
      <x:c r="B634" s="27" t="str">
        <x:v>A0628</x:v>
      </x:c>
      <x:c r="C634" s="27" t="str">
        <x:v>evidence</x:v>
      </x:c>
      <x:c r="D634" s="27" t="str">
        <x:v>Evidence row 10 has artifact</x:v>
      </x:c>
      <x:c r="E634" s="27" t="n">
        <x:f>IF('Evidence Gates'!F10&lt;&gt;"",1,0)</x:f>
        <x:v>1</x:v>
      </x:c>
      <x:c r="F634" s="27" t="n">
        <x:v>1</x:v>
      </x:c>
      <x:c r="G634" s="29" t="str">
        <x:f>IF(E634=F634,"PASS","FAIL")</x:f>
        <x:v>PASS</x:v>
      </x:c>
    </x:row>
    <x:row r="635" ht="18" customHeight="1">
      <x:c r="B635" s="27" t="str">
        <x:v>A0629</x:v>
      </x:c>
      <x:c r="C635" s="27" t="str">
        <x:v>evidence</x:v>
      </x:c>
      <x:c r="D635" s="27" t="str">
        <x:v>Evidence row 10 has authority</x:v>
      </x:c>
      <x:c r="E635" s="27" t="n">
        <x:f>IF('Evidence Gates'!G10&lt;&gt;"",1,0)</x:f>
        <x:v>1</x:v>
      </x:c>
      <x:c r="F635" s="27" t="n">
        <x:v>1</x:v>
      </x:c>
      <x:c r="G635" s="29" t="str">
        <x:f>IF(E635=F635,"PASS","FAIL")</x:f>
        <x:v>PASS</x:v>
      </x:c>
    </x:row>
    <x:row r="636" ht="18" customHeight="1">
      <x:c r="B636" s="27" t="str">
        <x:v>A0630</x:v>
      </x:c>
      <x:c r="C636" s="27" t="str">
        <x:v>evidence</x:v>
      </x:c>
      <x:c r="D636" s="27" t="str">
        <x:v>Evidence row 11 open</x:v>
      </x:c>
      <x:c r="E636" s="27" t="n">
        <x:f>IF('Evidence Gates'!I11="OPEN",1,0)</x:f>
        <x:v>1</x:v>
      </x:c>
      <x:c r="F636" s="27" t="n">
        <x:v>1</x:v>
      </x:c>
      <x:c r="G636" s="29" t="str">
        <x:f>IF(E636=F636,"PASS","FAIL")</x:f>
        <x:v>PASS</x:v>
      </x:c>
    </x:row>
    <x:row r="637" ht="18" customHeight="1">
      <x:c r="B637" s="27" t="str">
        <x:v>A0631</x:v>
      </x:c>
      <x:c r="C637" s="27" t="str">
        <x:v>evidence</x:v>
      </x:c>
      <x:c r="D637" s="27" t="str">
        <x:v>Evidence row 11 hold</x:v>
      </x:c>
      <x:c r="E637" s="27" t="n">
        <x:f>IF('Evidence Gates'!J11="HOLD",1,0)</x:f>
        <x:v>1</x:v>
      </x:c>
      <x:c r="F637" s="27" t="n">
        <x:v>1</x:v>
      </x:c>
      <x:c r="G637" s="29" t="str">
        <x:f>IF(E637=F637,"PASS","FAIL")</x:f>
        <x:v>PASS</x:v>
      </x:c>
    </x:row>
    <x:row r="638" ht="18" customHeight="1">
      <x:c r="B638" s="27" t="str">
        <x:v>A0632</x:v>
      </x:c>
      <x:c r="C638" s="27" t="str">
        <x:v>evidence</x:v>
      </x:c>
      <x:c r="D638" s="27" t="str">
        <x:v>Evidence row 11 zero credit</x:v>
      </x:c>
      <x:c r="E638" s="27" t="n">
        <x:f>IF('Evidence Gates'!K11=0,1,0)</x:f>
        <x:v>1</x:v>
      </x:c>
      <x:c r="F638" s="27" t="n">
        <x:v>1</x:v>
      </x:c>
      <x:c r="G638" s="29" t="str">
        <x:f>IF(E638=F638,"PASS","FAIL")</x:f>
        <x:v>PASS</x:v>
      </x:c>
    </x:row>
    <x:row r="639" ht="18" customHeight="1">
      <x:c r="B639" s="27" t="str">
        <x:v>A0633</x:v>
      </x:c>
      <x:c r="C639" s="27" t="str">
        <x:v>evidence</x:v>
      </x:c>
      <x:c r="D639" s="27" t="str">
        <x:v>Evidence row 11 has artifact</x:v>
      </x:c>
      <x:c r="E639" s="27" t="n">
        <x:f>IF('Evidence Gates'!F11&lt;&gt;"",1,0)</x:f>
        <x:v>1</x:v>
      </x:c>
      <x:c r="F639" s="27" t="n">
        <x:v>1</x:v>
      </x:c>
      <x:c r="G639" s="29" t="str">
        <x:f>IF(E639=F639,"PASS","FAIL")</x:f>
        <x:v>PASS</x:v>
      </x:c>
    </x:row>
    <x:row r="640" ht="18" customHeight="1">
      <x:c r="B640" s="27" t="str">
        <x:v>A0634</x:v>
      </x:c>
      <x:c r="C640" s="27" t="str">
        <x:v>evidence</x:v>
      </x:c>
      <x:c r="D640" s="27" t="str">
        <x:v>Evidence row 11 has authority</x:v>
      </x:c>
      <x:c r="E640" s="27" t="n">
        <x:f>IF('Evidence Gates'!G11&lt;&gt;"",1,0)</x:f>
        <x:v>1</x:v>
      </x:c>
      <x:c r="F640" s="27" t="n">
        <x:v>1</x:v>
      </x:c>
      <x:c r="G640" s="29" t="str">
        <x:f>IF(E640=F640,"PASS","FAIL")</x:f>
        <x:v>PASS</x:v>
      </x:c>
    </x:row>
    <x:row r="641" ht="18" customHeight="1">
      <x:c r="B641" s="27" t="str">
        <x:v>A0635</x:v>
      </x:c>
      <x:c r="C641" s="27" t="str">
        <x:v>evidence</x:v>
      </x:c>
      <x:c r="D641" s="27" t="str">
        <x:v>Evidence row 12 open</x:v>
      </x:c>
      <x:c r="E641" s="27" t="n">
        <x:f>IF('Evidence Gates'!I12="OPEN",1,0)</x:f>
        <x:v>1</x:v>
      </x:c>
      <x:c r="F641" s="27" t="n">
        <x:v>1</x:v>
      </x:c>
      <x:c r="G641" s="29" t="str">
        <x:f>IF(E641=F641,"PASS","FAIL")</x:f>
        <x:v>PASS</x:v>
      </x:c>
    </x:row>
    <x:row r="642" ht="18" customHeight="1">
      <x:c r="B642" s="27" t="str">
        <x:v>A0636</x:v>
      </x:c>
      <x:c r="C642" s="27" t="str">
        <x:v>evidence</x:v>
      </x:c>
      <x:c r="D642" s="27" t="str">
        <x:v>Evidence row 12 hold</x:v>
      </x:c>
      <x:c r="E642" s="27" t="n">
        <x:f>IF('Evidence Gates'!J12="HOLD",1,0)</x:f>
        <x:v>1</x:v>
      </x:c>
      <x:c r="F642" s="27" t="n">
        <x:v>1</x:v>
      </x:c>
      <x:c r="G642" s="29" t="str">
        <x:f>IF(E642=F642,"PASS","FAIL")</x:f>
        <x:v>PASS</x:v>
      </x:c>
    </x:row>
    <x:row r="643" ht="18" customHeight="1">
      <x:c r="B643" s="27" t="str">
        <x:v>A0637</x:v>
      </x:c>
      <x:c r="C643" s="27" t="str">
        <x:v>evidence</x:v>
      </x:c>
      <x:c r="D643" s="27" t="str">
        <x:v>Evidence row 12 zero credit</x:v>
      </x:c>
      <x:c r="E643" s="27" t="n">
        <x:f>IF('Evidence Gates'!K12=0,1,0)</x:f>
        <x:v>1</x:v>
      </x:c>
      <x:c r="F643" s="27" t="n">
        <x:v>1</x:v>
      </x:c>
      <x:c r="G643" s="29" t="str">
        <x:f>IF(E643=F643,"PASS","FAIL")</x:f>
        <x:v>PASS</x:v>
      </x:c>
    </x:row>
    <x:row r="644" ht="18" customHeight="1">
      <x:c r="B644" s="27" t="str">
        <x:v>A0638</x:v>
      </x:c>
      <x:c r="C644" s="27" t="str">
        <x:v>evidence</x:v>
      </x:c>
      <x:c r="D644" s="27" t="str">
        <x:v>Evidence row 12 has artifact</x:v>
      </x:c>
      <x:c r="E644" s="27" t="n">
        <x:f>IF('Evidence Gates'!F12&lt;&gt;"",1,0)</x:f>
        <x:v>1</x:v>
      </x:c>
      <x:c r="F644" s="27" t="n">
        <x:v>1</x:v>
      </x:c>
      <x:c r="G644" s="29" t="str">
        <x:f>IF(E644=F644,"PASS","FAIL")</x:f>
        <x:v>PASS</x:v>
      </x:c>
    </x:row>
    <x:row r="645" ht="18" customHeight="1">
      <x:c r="B645" s="27" t="str">
        <x:v>A0639</x:v>
      </x:c>
      <x:c r="C645" s="27" t="str">
        <x:v>evidence</x:v>
      </x:c>
      <x:c r="D645" s="27" t="str">
        <x:v>Evidence row 12 has authority</x:v>
      </x:c>
      <x:c r="E645" s="27" t="n">
        <x:f>IF('Evidence Gates'!G12&lt;&gt;"",1,0)</x:f>
        <x:v>1</x:v>
      </x:c>
      <x:c r="F645" s="27" t="n">
        <x:v>1</x:v>
      </x:c>
      <x:c r="G645" s="29" t="str">
        <x:f>IF(E645=F645,"PASS","FAIL")</x:f>
        <x:v>PASS</x:v>
      </x:c>
    </x:row>
    <x:row r="646" ht="18" customHeight="1">
      <x:c r="B646" s="27" t="str">
        <x:v>A0640</x:v>
      </x:c>
      <x:c r="C646" s="27" t="str">
        <x:v>evidence</x:v>
      </x:c>
      <x:c r="D646" s="27" t="str">
        <x:v>Evidence row 13 open</x:v>
      </x:c>
      <x:c r="E646" s="27" t="n">
        <x:f>IF('Evidence Gates'!I13="OPEN",1,0)</x:f>
        <x:v>1</x:v>
      </x:c>
      <x:c r="F646" s="27" t="n">
        <x:v>1</x:v>
      </x:c>
      <x:c r="G646" s="29" t="str">
        <x:f>IF(E646=F646,"PASS","FAIL")</x:f>
        <x:v>PASS</x:v>
      </x:c>
    </x:row>
    <x:row r="647" ht="18" customHeight="1">
      <x:c r="B647" s="27" t="str">
        <x:v>A0641</x:v>
      </x:c>
      <x:c r="C647" s="27" t="str">
        <x:v>evidence</x:v>
      </x:c>
      <x:c r="D647" s="27" t="str">
        <x:v>Evidence row 13 hold</x:v>
      </x:c>
      <x:c r="E647" s="27" t="n">
        <x:f>IF('Evidence Gates'!J13="HOLD",1,0)</x:f>
        <x:v>1</x:v>
      </x:c>
      <x:c r="F647" s="27" t="n">
        <x:v>1</x:v>
      </x:c>
      <x:c r="G647" s="29" t="str">
        <x:f>IF(E647=F647,"PASS","FAIL")</x:f>
        <x:v>PASS</x:v>
      </x:c>
    </x:row>
    <x:row r="648" ht="18" customHeight="1">
      <x:c r="B648" s="27" t="str">
        <x:v>A0642</x:v>
      </x:c>
      <x:c r="C648" s="27" t="str">
        <x:v>evidence</x:v>
      </x:c>
      <x:c r="D648" s="27" t="str">
        <x:v>Evidence row 13 zero credit</x:v>
      </x:c>
      <x:c r="E648" s="27" t="n">
        <x:f>IF('Evidence Gates'!K13=0,1,0)</x:f>
        <x:v>1</x:v>
      </x:c>
      <x:c r="F648" s="27" t="n">
        <x:v>1</x:v>
      </x:c>
      <x:c r="G648" s="29" t="str">
        <x:f>IF(E648=F648,"PASS","FAIL")</x:f>
        <x:v>PASS</x:v>
      </x:c>
    </x:row>
    <x:row r="649" ht="18" customHeight="1">
      <x:c r="B649" s="27" t="str">
        <x:v>A0643</x:v>
      </x:c>
      <x:c r="C649" s="27" t="str">
        <x:v>evidence</x:v>
      </x:c>
      <x:c r="D649" s="27" t="str">
        <x:v>Evidence row 13 has artifact</x:v>
      </x:c>
      <x:c r="E649" s="27" t="n">
        <x:f>IF('Evidence Gates'!F13&lt;&gt;"",1,0)</x:f>
        <x:v>1</x:v>
      </x:c>
      <x:c r="F649" s="27" t="n">
        <x:v>1</x:v>
      </x:c>
      <x:c r="G649" s="29" t="str">
        <x:f>IF(E649=F649,"PASS","FAIL")</x:f>
        <x:v>PASS</x:v>
      </x:c>
    </x:row>
    <x:row r="650" ht="18" customHeight="1">
      <x:c r="B650" s="27" t="str">
        <x:v>A0644</x:v>
      </x:c>
      <x:c r="C650" s="27" t="str">
        <x:v>evidence</x:v>
      </x:c>
      <x:c r="D650" s="27" t="str">
        <x:v>Evidence row 13 has authority</x:v>
      </x:c>
      <x:c r="E650" s="27" t="n">
        <x:f>IF('Evidence Gates'!G13&lt;&gt;"",1,0)</x:f>
        <x:v>1</x:v>
      </x:c>
      <x:c r="F650" s="27" t="n">
        <x:v>1</x:v>
      </x:c>
      <x:c r="G650" s="29" t="str">
        <x:f>IF(E650=F650,"PASS","FAIL")</x:f>
        <x:v>PASS</x:v>
      </x:c>
    </x:row>
    <x:row r="651" ht="18" customHeight="1">
      <x:c r="B651" s="27" t="str">
        <x:v>A0645</x:v>
      </x:c>
      <x:c r="C651" s="27" t="str">
        <x:v>evidence</x:v>
      </x:c>
      <x:c r="D651" s="27" t="str">
        <x:v>Evidence row 14 open</x:v>
      </x:c>
      <x:c r="E651" s="27" t="n">
        <x:f>IF('Evidence Gates'!I14="OPEN",1,0)</x:f>
        <x:v>1</x:v>
      </x:c>
      <x:c r="F651" s="27" t="n">
        <x:v>1</x:v>
      </x:c>
      <x:c r="G651" s="29" t="str">
        <x:f>IF(E651=F651,"PASS","FAIL")</x:f>
        <x:v>PASS</x:v>
      </x:c>
    </x:row>
    <x:row r="652" ht="18" customHeight="1">
      <x:c r="B652" s="27" t="str">
        <x:v>A0646</x:v>
      </x:c>
      <x:c r="C652" s="27" t="str">
        <x:v>evidence</x:v>
      </x:c>
      <x:c r="D652" s="27" t="str">
        <x:v>Evidence row 14 hold</x:v>
      </x:c>
      <x:c r="E652" s="27" t="n">
        <x:f>IF('Evidence Gates'!J14="HOLD",1,0)</x:f>
        <x:v>1</x:v>
      </x:c>
      <x:c r="F652" s="27" t="n">
        <x:v>1</x:v>
      </x:c>
      <x:c r="G652" s="29" t="str">
        <x:f>IF(E652=F652,"PASS","FAIL")</x:f>
        <x:v>PASS</x:v>
      </x:c>
    </x:row>
    <x:row r="653" ht="18" customHeight="1">
      <x:c r="B653" s="27" t="str">
        <x:v>A0647</x:v>
      </x:c>
      <x:c r="C653" s="27" t="str">
        <x:v>evidence</x:v>
      </x:c>
      <x:c r="D653" s="27" t="str">
        <x:v>Evidence row 14 zero credit</x:v>
      </x:c>
      <x:c r="E653" s="27" t="n">
        <x:f>IF('Evidence Gates'!K14=0,1,0)</x:f>
        <x:v>1</x:v>
      </x:c>
      <x:c r="F653" s="27" t="n">
        <x:v>1</x:v>
      </x:c>
      <x:c r="G653" s="29" t="str">
        <x:f>IF(E653=F653,"PASS","FAIL")</x:f>
        <x:v>PASS</x:v>
      </x:c>
    </x:row>
    <x:row r="654" ht="18" customHeight="1">
      <x:c r="B654" s="27" t="str">
        <x:v>A0648</x:v>
      </x:c>
      <x:c r="C654" s="27" t="str">
        <x:v>evidence</x:v>
      </x:c>
      <x:c r="D654" s="27" t="str">
        <x:v>Evidence row 14 has artifact</x:v>
      </x:c>
      <x:c r="E654" s="27" t="n">
        <x:f>IF('Evidence Gates'!F14&lt;&gt;"",1,0)</x:f>
        <x:v>1</x:v>
      </x:c>
      <x:c r="F654" s="27" t="n">
        <x:v>1</x:v>
      </x:c>
      <x:c r="G654" s="29" t="str">
        <x:f>IF(E654=F654,"PASS","FAIL")</x:f>
        <x:v>PASS</x:v>
      </x:c>
    </x:row>
    <x:row r="655" ht="18" customHeight="1">
      <x:c r="B655" s="27" t="str">
        <x:v>A0649</x:v>
      </x:c>
      <x:c r="C655" s="27" t="str">
        <x:v>evidence</x:v>
      </x:c>
      <x:c r="D655" s="27" t="str">
        <x:v>Evidence row 14 has authority</x:v>
      </x:c>
      <x:c r="E655" s="27" t="n">
        <x:f>IF('Evidence Gates'!G14&lt;&gt;"",1,0)</x:f>
        <x:v>1</x:v>
      </x:c>
      <x:c r="F655" s="27" t="n">
        <x:v>1</x:v>
      </x:c>
      <x:c r="G655" s="29" t="str">
        <x:f>IF(E655=F655,"PASS","FAIL")</x:f>
        <x:v>PASS</x:v>
      </x:c>
    </x:row>
    <x:row r="656" ht="18" customHeight="1">
      <x:c r="B656" s="27" t="str">
        <x:v>A0650</x:v>
      </x:c>
      <x:c r="C656" s="27" t="str">
        <x:v>evidence</x:v>
      </x:c>
      <x:c r="D656" s="27" t="str">
        <x:v>Evidence row 15 open</x:v>
      </x:c>
      <x:c r="E656" s="27" t="n">
        <x:f>IF('Evidence Gates'!I15="OPEN",1,0)</x:f>
        <x:v>1</x:v>
      </x:c>
      <x:c r="F656" s="27" t="n">
        <x:v>1</x:v>
      </x:c>
      <x:c r="G656" s="29" t="str">
        <x:f>IF(E656=F656,"PASS","FAIL")</x:f>
        <x:v>PASS</x:v>
      </x:c>
    </x:row>
    <x:row r="657" ht="18" customHeight="1">
      <x:c r="B657" s="27" t="str">
        <x:v>A0651</x:v>
      </x:c>
      <x:c r="C657" s="27" t="str">
        <x:v>evidence</x:v>
      </x:c>
      <x:c r="D657" s="27" t="str">
        <x:v>Evidence row 15 hold</x:v>
      </x:c>
      <x:c r="E657" s="27" t="n">
        <x:f>IF('Evidence Gates'!J15="HOLD",1,0)</x:f>
        <x:v>1</x:v>
      </x:c>
      <x:c r="F657" s="27" t="n">
        <x:v>1</x:v>
      </x:c>
      <x:c r="G657" s="29" t="str">
        <x:f>IF(E657=F657,"PASS","FAIL")</x:f>
        <x:v>PASS</x:v>
      </x:c>
    </x:row>
    <x:row r="658" ht="18" customHeight="1">
      <x:c r="B658" s="27" t="str">
        <x:v>A0652</x:v>
      </x:c>
      <x:c r="C658" s="27" t="str">
        <x:v>evidence</x:v>
      </x:c>
      <x:c r="D658" s="27" t="str">
        <x:v>Evidence row 15 zero credit</x:v>
      </x:c>
      <x:c r="E658" s="27" t="n">
        <x:f>IF('Evidence Gates'!K15=0,1,0)</x:f>
        <x:v>1</x:v>
      </x:c>
      <x:c r="F658" s="27" t="n">
        <x:v>1</x:v>
      </x:c>
      <x:c r="G658" s="29" t="str">
        <x:f>IF(E658=F658,"PASS","FAIL")</x:f>
        <x:v>PASS</x:v>
      </x:c>
    </x:row>
    <x:row r="659" ht="18" customHeight="1">
      <x:c r="B659" s="27" t="str">
        <x:v>A0653</x:v>
      </x:c>
      <x:c r="C659" s="27" t="str">
        <x:v>evidence</x:v>
      </x:c>
      <x:c r="D659" s="27" t="str">
        <x:v>Evidence row 15 has artifact</x:v>
      </x:c>
      <x:c r="E659" s="27" t="n">
        <x:f>IF('Evidence Gates'!F15&lt;&gt;"",1,0)</x:f>
        <x:v>1</x:v>
      </x:c>
      <x:c r="F659" s="27" t="n">
        <x:v>1</x:v>
      </x:c>
      <x:c r="G659" s="29" t="str">
        <x:f>IF(E659=F659,"PASS","FAIL")</x:f>
        <x:v>PASS</x:v>
      </x:c>
    </x:row>
    <x:row r="660" ht="18" customHeight="1">
      <x:c r="B660" s="27" t="str">
        <x:v>A0654</x:v>
      </x:c>
      <x:c r="C660" s="27" t="str">
        <x:v>evidence</x:v>
      </x:c>
      <x:c r="D660" s="27" t="str">
        <x:v>Evidence row 15 has authority</x:v>
      </x:c>
      <x:c r="E660" s="27" t="n">
        <x:f>IF('Evidence Gates'!G15&lt;&gt;"",1,0)</x:f>
        <x:v>1</x:v>
      </x:c>
      <x:c r="F660" s="27" t="n">
        <x:v>1</x:v>
      </x:c>
      <x:c r="G660" s="29" t="str">
        <x:f>IF(E660=F660,"PASS","FAIL")</x:f>
        <x:v>PASS</x:v>
      </x:c>
    </x:row>
    <x:row r="661" ht="18" customHeight="1">
      <x:c r="B661" s="27" t="str">
        <x:v>A0655</x:v>
      </x:c>
      <x:c r="C661" s="27" t="str">
        <x:v>evidence</x:v>
      </x:c>
      <x:c r="D661" s="27" t="str">
        <x:v>Evidence row 16 open</x:v>
      </x:c>
      <x:c r="E661" s="27" t="n">
        <x:f>IF('Evidence Gates'!I16="OPEN",1,0)</x:f>
        <x:v>1</x:v>
      </x:c>
      <x:c r="F661" s="27" t="n">
        <x:v>1</x:v>
      </x:c>
      <x:c r="G661" s="29" t="str">
        <x:f>IF(E661=F661,"PASS","FAIL")</x:f>
        <x:v>PASS</x:v>
      </x:c>
    </x:row>
    <x:row r="662" ht="18" customHeight="1">
      <x:c r="B662" s="27" t="str">
        <x:v>A0656</x:v>
      </x:c>
      <x:c r="C662" s="27" t="str">
        <x:v>evidence</x:v>
      </x:c>
      <x:c r="D662" s="27" t="str">
        <x:v>Evidence row 16 hold</x:v>
      </x:c>
      <x:c r="E662" s="27" t="n">
        <x:f>IF('Evidence Gates'!J16="HOLD",1,0)</x:f>
        <x:v>1</x:v>
      </x:c>
      <x:c r="F662" s="27" t="n">
        <x:v>1</x:v>
      </x:c>
      <x:c r="G662" s="29" t="str">
        <x:f>IF(E662=F662,"PASS","FAIL")</x:f>
        <x:v>PASS</x:v>
      </x:c>
    </x:row>
    <x:row r="663" ht="18" customHeight="1">
      <x:c r="B663" s="27" t="str">
        <x:v>A0657</x:v>
      </x:c>
      <x:c r="C663" s="27" t="str">
        <x:v>evidence</x:v>
      </x:c>
      <x:c r="D663" s="27" t="str">
        <x:v>Evidence row 16 zero credit</x:v>
      </x:c>
      <x:c r="E663" s="27" t="n">
        <x:f>IF('Evidence Gates'!K16=0,1,0)</x:f>
        <x:v>1</x:v>
      </x:c>
      <x:c r="F663" s="27" t="n">
        <x:v>1</x:v>
      </x:c>
      <x:c r="G663" s="29" t="str">
        <x:f>IF(E663=F663,"PASS","FAIL")</x:f>
        <x:v>PASS</x:v>
      </x:c>
    </x:row>
    <x:row r="664" ht="18" customHeight="1">
      <x:c r="B664" s="27" t="str">
        <x:v>A0658</x:v>
      </x:c>
      <x:c r="C664" s="27" t="str">
        <x:v>evidence</x:v>
      </x:c>
      <x:c r="D664" s="27" t="str">
        <x:v>Evidence row 16 has artifact</x:v>
      </x:c>
      <x:c r="E664" s="27" t="n">
        <x:f>IF('Evidence Gates'!F16&lt;&gt;"",1,0)</x:f>
        <x:v>1</x:v>
      </x:c>
      <x:c r="F664" s="27" t="n">
        <x:v>1</x:v>
      </x:c>
      <x:c r="G664" s="29" t="str">
        <x:f>IF(E664=F664,"PASS","FAIL")</x:f>
        <x:v>PASS</x:v>
      </x:c>
    </x:row>
    <x:row r="665" ht="18" customHeight="1">
      <x:c r="B665" s="27" t="str">
        <x:v>A0659</x:v>
      </x:c>
      <x:c r="C665" s="27" t="str">
        <x:v>evidence</x:v>
      </x:c>
      <x:c r="D665" s="27" t="str">
        <x:v>Evidence row 16 has authority</x:v>
      </x:c>
      <x:c r="E665" s="27" t="n">
        <x:f>IF('Evidence Gates'!G16&lt;&gt;"",1,0)</x:f>
        <x:v>1</x:v>
      </x:c>
      <x:c r="F665" s="27" t="n">
        <x:v>1</x:v>
      </x:c>
      <x:c r="G665" s="29" t="str">
        <x:f>IF(E665=F665,"PASS","FAIL")</x:f>
        <x:v>PASS</x:v>
      </x:c>
    </x:row>
    <x:row r="666" ht="18" customHeight="1">
      <x:c r="B666" s="27" t="str">
        <x:v>A0660</x:v>
      </x:c>
      <x:c r="C666" s="27" t="str">
        <x:v>evidence</x:v>
      </x:c>
      <x:c r="D666" s="27" t="str">
        <x:v>Evidence row 17 open</x:v>
      </x:c>
      <x:c r="E666" s="27" t="n">
        <x:f>IF('Evidence Gates'!I17="OPEN",1,0)</x:f>
        <x:v>1</x:v>
      </x:c>
      <x:c r="F666" s="27" t="n">
        <x:v>1</x:v>
      </x:c>
      <x:c r="G666" s="29" t="str">
        <x:f>IF(E666=F666,"PASS","FAIL")</x:f>
        <x:v>PASS</x:v>
      </x:c>
    </x:row>
    <x:row r="667" ht="18" customHeight="1">
      <x:c r="B667" s="27" t="str">
        <x:v>A0661</x:v>
      </x:c>
      <x:c r="C667" s="27" t="str">
        <x:v>evidence</x:v>
      </x:c>
      <x:c r="D667" s="27" t="str">
        <x:v>Evidence row 17 hold</x:v>
      </x:c>
      <x:c r="E667" s="27" t="n">
        <x:f>IF('Evidence Gates'!J17="HOLD",1,0)</x:f>
        <x:v>1</x:v>
      </x:c>
      <x:c r="F667" s="27" t="n">
        <x:v>1</x:v>
      </x:c>
      <x:c r="G667" s="29" t="str">
        <x:f>IF(E667=F667,"PASS","FAIL")</x:f>
        <x:v>PASS</x:v>
      </x:c>
    </x:row>
    <x:row r="668" ht="18" customHeight="1">
      <x:c r="B668" s="27" t="str">
        <x:v>A0662</x:v>
      </x:c>
      <x:c r="C668" s="27" t="str">
        <x:v>evidence</x:v>
      </x:c>
      <x:c r="D668" s="27" t="str">
        <x:v>Evidence row 17 zero credit</x:v>
      </x:c>
      <x:c r="E668" s="27" t="n">
        <x:f>IF('Evidence Gates'!K17=0,1,0)</x:f>
        <x:v>1</x:v>
      </x:c>
      <x:c r="F668" s="27" t="n">
        <x:v>1</x:v>
      </x:c>
      <x:c r="G668" s="29" t="str">
        <x:f>IF(E668=F668,"PASS","FAIL")</x:f>
        <x:v>PASS</x:v>
      </x:c>
    </x:row>
    <x:row r="669" ht="18" customHeight="1">
      <x:c r="B669" s="27" t="str">
        <x:v>A0663</x:v>
      </x:c>
      <x:c r="C669" s="27" t="str">
        <x:v>evidence</x:v>
      </x:c>
      <x:c r="D669" s="27" t="str">
        <x:v>Evidence row 17 has artifact</x:v>
      </x:c>
      <x:c r="E669" s="27" t="n">
        <x:f>IF('Evidence Gates'!F17&lt;&gt;"",1,0)</x:f>
        <x:v>1</x:v>
      </x:c>
      <x:c r="F669" s="27" t="n">
        <x:v>1</x:v>
      </x:c>
      <x:c r="G669" s="29" t="str">
        <x:f>IF(E669=F669,"PASS","FAIL")</x:f>
        <x:v>PASS</x:v>
      </x:c>
    </x:row>
    <x:row r="670" ht="18" customHeight="1">
      <x:c r="B670" s="27" t="str">
        <x:v>A0664</x:v>
      </x:c>
      <x:c r="C670" s="27" t="str">
        <x:v>evidence</x:v>
      </x:c>
      <x:c r="D670" s="27" t="str">
        <x:v>Evidence row 17 has authority</x:v>
      </x:c>
      <x:c r="E670" s="27" t="n">
        <x:f>IF('Evidence Gates'!G17&lt;&gt;"",1,0)</x:f>
        <x:v>1</x:v>
      </x:c>
      <x:c r="F670" s="27" t="n">
        <x:v>1</x:v>
      </x:c>
      <x:c r="G670" s="29" t="str">
        <x:f>IF(E670=F670,"PASS","FAIL")</x:f>
        <x:v>PASS</x:v>
      </x:c>
    </x:row>
    <x:row r="671" ht="18" customHeight="1">
      <x:c r="B671" s="27" t="str">
        <x:v>A0665</x:v>
      </x:c>
      <x:c r="C671" s="27" t="str">
        <x:v>evidence</x:v>
      </x:c>
      <x:c r="D671" s="27" t="str">
        <x:v>Evidence row 18 open</x:v>
      </x:c>
      <x:c r="E671" s="27" t="n">
        <x:f>IF('Evidence Gates'!I18="OPEN",1,0)</x:f>
        <x:v>1</x:v>
      </x:c>
      <x:c r="F671" s="27" t="n">
        <x:v>1</x:v>
      </x:c>
      <x:c r="G671" s="29" t="str">
        <x:f>IF(E671=F671,"PASS","FAIL")</x:f>
        <x:v>PASS</x:v>
      </x:c>
    </x:row>
    <x:row r="672" ht="18" customHeight="1">
      <x:c r="B672" s="27" t="str">
        <x:v>A0666</x:v>
      </x:c>
      <x:c r="C672" s="27" t="str">
        <x:v>evidence</x:v>
      </x:c>
      <x:c r="D672" s="27" t="str">
        <x:v>Evidence row 18 hold</x:v>
      </x:c>
      <x:c r="E672" s="27" t="n">
        <x:f>IF('Evidence Gates'!J18="HOLD",1,0)</x:f>
        <x:v>1</x:v>
      </x:c>
      <x:c r="F672" s="27" t="n">
        <x:v>1</x:v>
      </x:c>
      <x:c r="G672" s="29" t="str">
        <x:f>IF(E672=F672,"PASS","FAIL")</x:f>
        <x:v>PASS</x:v>
      </x:c>
    </x:row>
    <x:row r="673" ht="18" customHeight="1">
      <x:c r="B673" s="27" t="str">
        <x:v>A0667</x:v>
      </x:c>
      <x:c r="C673" s="27" t="str">
        <x:v>evidence</x:v>
      </x:c>
      <x:c r="D673" s="27" t="str">
        <x:v>Evidence row 18 zero credit</x:v>
      </x:c>
      <x:c r="E673" s="27" t="n">
        <x:f>IF('Evidence Gates'!K18=0,1,0)</x:f>
        <x:v>1</x:v>
      </x:c>
      <x:c r="F673" s="27" t="n">
        <x:v>1</x:v>
      </x:c>
      <x:c r="G673" s="29" t="str">
        <x:f>IF(E673=F673,"PASS","FAIL")</x:f>
        <x:v>PASS</x:v>
      </x:c>
    </x:row>
    <x:row r="674" ht="18" customHeight="1">
      <x:c r="B674" s="27" t="str">
        <x:v>A0668</x:v>
      </x:c>
      <x:c r="C674" s="27" t="str">
        <x:v>evidence</x:v>
      </x:c>
      <x:c r="D674" s="27" t="str">
        <x:v>Evidence row 18 has artifact</x:v>
      </x:c>
      <x:c r="E674" s="27" t="n">
        <x:f>IF('Evidence Gates'!F18&lt;&gt;"",1,0)</x:f>
        <x:v>1</x:v>
      </x:c>
      <x:c r="F674" s="27" t="n">
        <x:v>1</x:v>
      </x:c>
      <x:c r="G674" s="29" t="str">
        <x:f>IF(E674=F674,"PASS","FAIL")</x:f>
        <x:v>PASS</x:v>
      </x:c>
    </x:row>
    <x:row r="675" ht="18" customHeight="1">
      <x:c r="B675" s="27" t="str">
        <x:v>A0669</x:v>
      </x:c>
      <x:c r="C675" s="27" t="str">
        <x:v>evidence</x:v>
      </x:c>
      <x:c r="D675" s="27" t="str">
        <x:v>Evidence row 18 has authority</x:v>
      </x:c>
      <x:c r="E675" s="27" t="n">
        <x:f>IF('Evidence Gates'!G18&lt;&gt;"",1,0)</x:f>
        <x:v>1</x:v>
      </x:c>
      <x:c r="F675" s="27" t="n">
        <x:v>1</x:v>
      </x:c>
      <x:c r="G675" s="29" t="str">
        <x:f>IF(E675=F675,"PASS","FAIL")</x:f>
        <x:v>PASS</x:v>
      </x:c>
    </x:row>
    <x:row r="676" ht="18" customHeight="1">
      <x:c r="B676" s="27" t="str">
        <x:v>A0670</x:v>
      </x:c>
      <x:c r="C676" s="27" t="str">
        <x:v>evidence</x:v>
      </x:c>
      <x:c r="D676" s="27" t="str">
        <x:v>Evidence row 19 open</x:v>
      </x:c>
      <x:c r="E676" s="27" t="n">
        <x:f>IF('Evidence Gates'!I19="OPEN",1,0)</x:f>
        <x:v>1</x:v>
      </x:c>
      <x:c r="F676" s="27" t="n">
        <x:v>1</x:v>
      </x:c>
      <x:c r="G676" s="29" t="str">
        <x:f>IF(E676=F676,"PASS","FAIL")</x:f>
        <x:v>PASS</x:v>
      </x:c>
    </x:row>
    <x:row r="677" ht="18" customHeight="1">
      <x:c r="B677" s="27" t="str">
        <x:v>A0671</x:v>
      </x:c>
      <x:c r="C677" s="27" t="str">
        <x:v>evidence</x:v>
      </x:c>
      <x:c r="D677" s="27" t="str">
        <x:v>Evidence row 19 hold</x:v>
      </x:c>
      <x:c r="E677" s="27" t="n">
        <x:f>IF('Evidence Gates'!J19="HOLD",1,0)</x:f>
        <x:v>1</x:v>
      </x:c>
      <x:c r="F677" s="27" t="n">
        <x:v>1</x:v>
      </x:c>
      <x:c r="G677" s="29" t="str">
        <x:f>IF(E677=F677,"PASS","FAIL")</x:f>
        <x:v>PASS</x:v>
      </x:c>
    </x:row>
    <x:row r="678" ht="18" customHeight="1">
      <x:c r="B678" s="27" t="str">
        <x:v>A0672</x:v>
      </x:c>
      <x:c r="C678" s="27" t="str">
        <x:v>evidence</x:v>
      </x:c>
      <x:c r="D678" s="27" t="str">
        <x:v>Evidence row 19 zero credit</x:v>
      </x:c>
      <x:c r="E678" s="27" t="n">
        <x:f>IF('Evidence Gates'!K19=0,1,0)</x:f>
        <x:v>1</x:v>
      </x:c>
      <x:c r="F678" s="27" t="n">
        <x:v>1</x:v>
      </x:c>
      <x:c r="G678" s="29" t="str">
        <x:f>IF(E678=F678,"PASS","FAIL")</x:f>
        <x:v>PASS</x:v>
      </x:c>
    </x:row>
    <x:row r="679" ht="18" customHeight="1">
      <x:c r="B679" s="27" t="str">
        <x:v>A0673</x:v>
      </x:c>
      <x:c r="C679" s="27" t="str">
        <x:v>evidence</x:v>
      </x:c>
      <x:c r="D679" s="27" t="str">
        <x:v>Evidence row 19 has artifact</x:v>
      </x:c>
      <x:c r="E679" s="27" t="n">
        <x:f>IF('Evidence Gates'!F19&lt;&gt;"",1,0)</x:f>
        <x:v>1</x:v>
      </x:c>
      <x:c r="F679" s="27" t="n">
        <x:v>1</x:v>
      </x:c>
      <x:c r="G679" s="29" t="str">
        <x:f>IF(E679=F679,"PASS","FAIL")</x:f>
        <x:v>PASS</x:v>
      </x:c>
    </x:row>
    <x:row r="680" ht="18" customHeight="1">
      <x:c r="B680" s="27" t="str">
        <x:v>A0674</x:v>
      </x:c>
      <x:c r="C680" s="27" t="str">
        <x:v>evidence</x:v>
      </x:c>
      <x:c r="D680" s="27" t="str">
        <x:v>Evidence row 19 has authority</x:v>
      </x:c>
      <x:c r="E680" s="27" t="n">
        <x:f>IF('Evidence Gates'!G19&lt;&gt;"",1,0)</x:f>
        <x:v>1</x:v>
      </x:c>
      <x:c r="F680" s="27" t="n">
        <x:v>1</x:v>
      </x:c>
      <x:c r="G680" s="29" t="str">
        <x:f>IF(E680=F680,"PASS","FAIL")</x:f>
        <x:v>PASS</x:v>
      </x:c>
    </x:row>
    <x:row r="681" ht="18" customHeight="1">
      <x:c r="B681" s="27" t="str">
        <x:v>A0675</x:v>
      </x:c>
      <x:c r="C681" s="27" t="str">
        <x:v>evidence</x:v>
      </x:c>
      <x:c r="D681" s="27" t="str">
        <x:v>Evidence row 20 open</x:v>
      </x:c>
      <x:c r="E681" s="27" t="n">
        <x:f>IF('Evidence Gates'!I20="OPEN",1,0)</x:f>
        <x:v>1</x:v>
      </x:c>
      <x:c r="F681" s="27" t="n">
        <x:v>1</x:v>
      </x:c>
      <x:c r="G681" s="29" t="str">
        <x:f>IF(E681=F681,"PASS","FAIL")</x:f>
        <x:v>PASS</x:v>
      </x:c>
    </x:row>
    <x:row r="682" ht="18" customHeight="1">
      <x:c r="B682" s="27" t="str">
        <x:v>A0676</x:v>
      </x:c>
      <x:c r="C682" s="27" t="str">
        <x:v>evidence</x:v>
      </x:c>
      <x:c r="D682" s="27" t="str">
        <x:v>Evidence row 20 hold</x:v>
      </x:c>
      <x:c r="E682" s="27" t="n">
        <x:f>IF('Evidence Gates'!J20="HOLD",1,0)</x:f>
        <x:v>1</x:v>
      </x:c>
      <x:c r="F682" s="27" t="n">
        <x:v>1</x:v>
      </x:c>
      <x:c r="G682" s="29" t="str">
        <x:f>IF(E682=F682,"PASS","FAIL")</x:f>
        <x:v>PASS</x:v>
      </x:c>
    </x:row>
    <x:row r="683" ht="18" customHeight="1">
      <x:c r="B683" s="27" t="str">
        <x:v>A0677</x:v>
      </x:c>
      <x:c r="C683" s="27" t="str">
        <x:v>evidence</x:v>
      </x:c>
      <x:c r="D683" s="27" t="str">
        <x:v>Evidence row 20 zero credit</x:v>
      </x:c>
      <x:c r="E683" s="27" t="n">
        <x:f>IF('Evidence Gates'!K20=0,1,0)</x:f>
        <x:v>1</x:v>
      </x:c>
      <x:c r="F683" s="27" t="n">
        <x:v>1</x:v>
      </x:c>
      <x:c r="G683" s="29" t="str">
        <x:f>IF(E683=F683,"PASS","FAIL")</x:f>
        <x:v>PASS</x:v>
      </x:c>
    </x:row>
    <x:row r="684" ht="18" customHeight="1">
      <x:c r="B684" s="27" t="str">
        <x:v>A0678</x:v>
      </x:c>
      <x:c r="C684" s="27" t="str">
        <x:v>evidence</x:v>
      </x:c>
      <x:c r="D684" s="27" t="str">
        <x:v>Evidence row 20 has artifact</x:v>
      </x:c>
      <x:c r="E684" s="27" t="n">
        <x:f>IF('Evidence Gates'!F20&lt;&gt;"",1,0)</x:f>
        <x:v>1</x:v>
      </x:c>
      <x:c r="F684" s="27" t="n">
        <x:v>1</x:v>
      </x:c>
      <x:c r="G684" s="29" t="str">
        <x:f>IF(E684=F684,"PASS","FAIL")</x:f>
        <x:v>PASS</x:v>
      </x:c>
    </x:row>
    <x:row r="685" ht="18" customHeight="1">
      <x:c r="B685" s="27" t="str">
        <x:v>A0679</x:v>
      </x:c>
      <x:c r="C685" s="27" t="str">
        <x:v>evidence</x:v>
      </x:c>
      <x:c r="D685" s="27" t="str">
        <x:v>Evidence row 20 has authority</x:v>
      </x:c>
      <x:c r="E685" s="27" t="n">
        <x:f>IF('Evidence Gates'!G20&lt;&gt;"",1,0)</x:f>
        <x:v>1</x:v>
      </x:c>
      <x:c r="F685" s="27" t="n">
        <x:v>1</x:v>
      </x:c>
      <x:c r="G685" s="29" t="str">
        <x:f>IF(E685=F685,"PASS","FAIL")</x:f>
        <x:v>PASS</x:v>
      </x:c>
    </x:row>
    <x:row r="686" ht="18" customHeight="1">
      <x:c r="B686" s="27" t="str">
        <x:v>A0680</x:v>
      </x:c>
      <x:c r="C686" s="27" t="str">
        <x:v>evidence</x:v>
      </x:c>
      <x:c r="D686" s="27" t="str">
        <x:v>Evidence row 21 open</x:v>
      </x:c>
      <x:c r="E686" s="27" t="n">
        <x:f>IF('Evidence Gates'!I21="OPEN",1,0)</x:f>
        <x:v>1</x:v>
      </x:c>
      <x:c r="F686" s="27" t="n">
        <x:v>1</x:v>
      </x:c>
      <x:c r="G686" s="29" t="str">
        <x:f>IF(E686=F686,"PASS","FAIL")</x:f>
        <x:v>PASS</x:v>
      </x:c>
    </x:row>
    <x:row r="687" ht="18" customHeight="1">
      <x:c r="B687" s="27" t="str">
        <x:v>A0681</x:v>
      </x:c>
      <x:c r="C687" s="27" t="str">
        <x:v>evidence</x:v>
      </x:c>
      <x:c r="D687" s="27" t="str">
        <x:v>Evidence row 21 hold</x:v>
      </x:c>
      <x:c r="E687" s="27" t="n">
        <x:f>IF('Evidence Gates'!J21="HOLD",1,0)</x:f>
        <x:v>1</x:v>
      </x:c>
      <x:c r="F687" s="27" t="n">
        <x:v>1</x:v>
      </x:c>
      <x:c r="G687" s="29" t="str">
        <x:f>IF(E687=F687,"PASS","FAIL")</x:f>
        <x:v>PASS</x:v>
      </x:c>
    </x:row>
    <x:row r="688" ht="18" customHeight="1">
      <x:c r="B688" s="27" t="str">
        <x:v>A0682</x:v>
      </x:c>
      <x:c r="C688" s="27" t="str">
        <x:v>evidence</x:v>
      </x:c>
      <x:c r="D688" s="27" t="str">
        <x:v>Evidence row 21 zero credit</x:v>
      </x:c>
      <x:c r="E688" s="27" t="n">
        <x:f>IF('Evidence Gates'!K21=0,1,0)</x:f>
        <x:v>1</x:v>
      </x:c>
      <x:c r="F688" s="27" t="n">
        <x:v>1</x:v>
      </x:c>
      <x:c r="G688" s="29" t="str">
        <x:f>IF(E688=F688,"PASS","FAIL")</x:f>
        <x:v>PASS</x:v>
      </x:c>
    </x:row>
    <x:row r="689" ht="18" customHeight="1">
      <x:c r="B689" s="27" t="str">
        <x:v>A0683</x:v>
      </x:c>
      <x:c r="C689" s="27" t="str">
        <x:v>evidence</x:v>
      </x:c>
      <x:c r="D689" s="27" t="str">
        <x:v>Evidence row 21 has artifact</x:v>
      </x:c>
      <x:c r="E689" s="27" t="n">
        <x:f>IF('Evidence Gates'!F21&lt;&gt;"",1,0)</x:f>
        <x:v>1</x:v>
      </x:c>
      <x:c r="F689" s="27" t="n">
        <x:v>1</x:v>
      </x:c>
      <x:c r="G689" s="29" t="str">
        <x:f>IF(E689=F689,"PASS","FAIL")</x:f>
        <x:v>PASS</x:v>
      </x:c>
    </x:row>
    <x:row r="690" ht="18" customHeight="1">
      <x:c r="B690" s="27" t="str">
        <x:v>A0684</x:v>
      </x:c>
      <x:c r="C690" s="27" t="str">
        <x:v>evidence</x:v>
      </x:c>
      <x:c r="D690" s="27" t="str">
        <x:v>Evidence row 21 has authority</x:v>
      </x:c>
      <x:c r="E690" s="27" t="n">
        <x:f>IF('Evidence Gates'!G21&lt;&gt;"",1,0)</x:f>
        <x:v>1</x:v>
      </x:c>
      <x:c r="F690" s="27" t="n">
        <x:v>1</x:v>
      </x:c>
      <x:c r="G690" s="29" t="str">
        <x:f>IF(E690=F690,"PASS","FAIL")</x:f>
        <x:v>PASS</x:v>
      </x:c>
    </x:row>
    <x:row r="691" ht="18" customHeight="1">
      <x:c r="B691" s="27" t="str">
        <x:v>A0685</x:v>
      </x:c>
      <x:c r="C691" s="27" t="str">
        <x:v>evidence</x:v>
      </x:c>
      <x:c r="D691" s="27" t="str">
        <x:v>Evidence row 22 open</x:v>
      </x:c>
      <x:c r="E691" s="27" t="n">
        <x:f>IF('Evidence Gates'!I22="OPEN",1,0)</x:f>
        <x:v>1</x:v>
      </x:c>
      <x:c r="F691" s="27" t="n">
        <x:v>1</x:v>
      </x:c>
      <x:c r="G691" s="29" t="str">
        <x:f>IF(E691=F691,"PASS","FAIL")</x:f>
        <x:v>PASS</x:v>
      </x:c>
    </x:row>
    <x:row r="692" ht="18" customHeight="1">
      <x:c r="B692" s="27" t="str">
        <x:v>A0686</x:v>
      </x:c>
      <x:c r="C692" s="27" t="str">
        <x:v>evidence</x:v>
      </x:c>
      <x:c r="D692" s="27" t="str">
        <x:v>Evidence row 22 hold</x:v>
      </x:c>
      <x:c r="E692" s="27" t="n">
        <x:f>IF('Evidence Gates'!J22="HOLD",1,0)</x:f>
        <x:v>1</x:v>
      </x:c>
      <x:c r="F692" s="27" t="n">
        <x:v>1</x:v>
      </x:c>
      <x:c r="G692" s="29" t="str">
        <x:f>IF(E692=F692,"PASS","FAIL")</x:f>
        <x:v>PASS</x:v>
      </x:c>
    </x:row>
    <x:row r="693" ht="18" customHeight="1">
      <x:c r="B693" s="27" t="str">
        <x:v>A0687</x:v>
      </x:c>
      <x:c r="C693" s="27" t="str">
        <x:v>evidence</x:v>
      </x:c>
      <x:c r="D693" s="27" t="str">
        <x:v>Evidence row 22 zero credit</x:v>
      </x:c>
      <x:c r="E693" s="27" t="n">
        <x:f>IF('Evidence Gates'!K22=0,1,0)</x:f>
        <x:v>1</x:v>
      </x:c>
      <x:c r="F693" s="27" t="n">
        <x:v>1</x:v>
      </x:c>
      <x:c r="G693" s="29" t="str">
        <x:f>IF(E693=F693,"PASS","FAIL")</x:f>
        <x:v>PASS</x:v>
      </x:c>
    </x:row>
    <x:row r="694" ht="18" customHeight="1">
      <x:c r="B694" s="27" t="str">
        <x:v>A0688</x:v>
      </x:c>
      <x:c r="C694" s="27" t="str">
        <x:v>evidence</x:v>
      </x:c>
      <x:c r="D694" s="27" t="str">
        <x:v>Evidence row 22 has artifact</x:v>
      </x:c>
      <x:c r="E694" s="27" t="n">
        <x:f>IF('Evidence Gates'!F22&lt;&gt;"",1,0)</x:f>
        <x:v>1</x:v>
      </x:c>
      <x:c r="F694" s="27" t="n">
        <x:v>1</x:v>
      </x:c>
      <x:c r="G694" s="29" t="str">
        <x:f>IF(E694=F694,"PASS","FAIL")</x:f>
        <x:v>PASS</x:v>
      </x:c>
    </x:row>
    <x:row r="695" ht="18" customHeight="1">
      <x:c r="B695" s="27" t="str">
        <x:v>A0689</x:v>
      </x:c>
      <x:c r="C695" s="27" t="str">
        <x:v>evidence</x:v>
      </x:c>
      <x:c r="D695" s="27" t="str">
        <x:v>Evidence row 22 has authority</x:v>
      </x:c>
      <x:c r="E695" s="27" t="n">
        <x:f>IF('Evidence Gates'!G22&lt;&gt;"",1,0)</x:f>
        <x:v>1</x:v>
      </x:c>
      <x:c r="F695" s="27" t="n">
        <x:v>1</x:v>
      </x:c>
      <x:c r="G695" s="29" t="str">
        <x:f>IF(E695=F695,"PASS","FAIL")</x:f>
        <x:v>PASS</x:v>
      </x:c>
    </x:row>
    <x:row r="696" ht="18" customHeight="1">
      <x:c r="B696" s="27" t="str">
        <x:v>A0690</x:v>
      </x:c>
      <x:c r="C696" s="27" t="str">
        <x:v>evidence</x:v>
      </x:c>
      <x:c r="D696" s="27" t="str">
        <x:v>Evidence row 23 open</x:v>
      </x:c>
      <x:c r="E696" s="27" t="n">
        <x:f>IF('Evidence Gates'!I23="OPEN",1,0)</x:f>
        <x:v>1</x:v>
      </x:c>
      <x:c r="F696" s="27" t="n">
        <x:v>1</x:v>
      </x:c>
      <x:c r="G696" s="29" t="str">
        <x:f>IF(E696=F696,"PASS","FAIL")</x:f>
        <x:v>PASS</x:v>
      </x:c>
    </x:row>
    <x:row r="697" ht="18" customHeight="1">
      <x:c r="B697" s="27" t="str">
        <x:v>A0691</x:v>
      </x:c>
      <x:c r="C697" s="27" t="str">
        <x:v>evidence</x:v>
      </x:c>
      <x:c r="D697" s="27" t="str">
        <x:v>Evidence row 23 hold</x:v>
      </x:c>
      <x:c r="E697" s="27" t="n">
        <x:f>IF('Evidence Gates'!J23="HOLD",1,0)</x:f>
        <x:v>1</x:v>
      </x:c>
      <x:c r="F697" s="27" t="n">
        <x:v>1</x:v>
      </x:c>
      <x:c r="G697" s="29" t="str">
        <x:f>IF(E697=F697,"PASS","FAIL")</x:f>
        <x:v>PASS</x:v>
      </x:c>
    </x:row>
    <x:row r="698" ht="18" customHeight="1">
      <x:c r="B698" s="27" t="str">
        <x:v>A0692</x:v>
      </x:c>
      <x:c r="C698" s="27" t="str">
        <x:v>evidence</x:v>
      </x:c>
      <x:c r="D698" s="27" t="str">
        <x:v>Evidence row 23 zero credit</x:v>
      </x:c>
      <x:c r="E698" s="27" t="n">
        <x:f>IF('Evidence Gates'!K23=0,1,0)</x:f>
        <x:v>1</x:v>
      </x:c>
      <x:c r="F698" s="27" t="n">
        <x:v>1</x:v>
      </x:c>
      <x:c r="G698" s="29" t="str">
        <x:f>IF(E698=F698,"PASS","FAIL")</x:f>
        <x:v>PASS</x:v>
      </x:c>
    </x:row>
    <x:row r="699" ht="18" customHeight="1">
      <x:c r="B699" s="27" t="str">
        <x:v>A0693</x:v>
      </x:c>
      <x:c r="C699" s="27" t="str">
        <x:v>evidence</x:v>
      </x:c>
      <x:c r="D699" s="27" t="str">
        <x:v>Evidence row 23 has artifact</x:v>
      </x:c>
      <x:c r="E699" s="27" t="n">
        <x:f>IF('Evidence Gates'!F23&lt;&gt;"",1,0)</x:f>
        <x:v>1</x:v>
      </x:c>
      <x:c r="F699" s="27" t="n">
        <x:v>1</x:v>
      </x:c>
      <x:c r="G699" s="29" t="str">
        <x:f>IF(E699=F699,"PASS","FAIL")</x:f>
        <x:v>PASS</x:v>
      </x:c>
    </x:row>
    <x:row r="700" ht="18" customHeight="1">
      <x:c r="B700" s="27" t="str">
        <x:v>A0694</x:v>
      </x:c>
      <x:c r="C700" s="27" t="str">
        <x:v>evidence</x:v>
      </x:c>
      <x:c r="D700" s="27" t="str">
        <x:v>Evidence row 23 has authority</x:v>
      </x:c>
      <x:c r="E700" s="27" t="n">
        <x:f>IF('Evidence Gates'!G23&lt;&gt;"",1,0)</x:f>
        <x:v>1</x:v>
      </x:c>
      <x:c r="F700" s="27" t="n">
        <x:v>1</x:v>
      </x:c>
      <x:c r="G700" s="29" t="str">
        <x:f>IF(E700=F700,"PASS","FAIL")</x:f>
        <x:v>PASS</x:v>
      </x:c>
    </x:row>
    <x:row r="701" ht="18" customHeight="1">
      <x:c r="B701" s="27" t="str">
        <x:v>A0695</x:v>
      </x:c>
      <x:c r="C701" s="27" t="str">
        <x:v>evidence</x:v>
      </x:c>
      <x:c r="D701" s="27" t="str">
        <x:v>Evidence row 24 open</x:v>
      </x:c>
      <x:c r="E701" s="27" t="n">
        <x:f>IF('Evidence Gates'!I24="OPEN",1,0)</x:f>
        <x:v>1</x:v>
      </x:c>
      <x:c r="F701" s="27" t="n">
        <x:v>1</x:v>
      </x:c>
      <x:c r="G701" s="29" t="str">
        <x:f>IF(E701=F701,"PASS","FAIL")</x:f>
        <x:v>PASS</x:v>
      </x:c>
    </x:row>
    <x:row r="702" ht="18" customHeight="1">
      <x:c r="B702" s="27" t="str">
        <x:v>A0696</x:v>
      </x:c>
      <x:c r="C702" s="27" t="str">
        <x:v>evidence</x:v>
      </x:c>
      <x:c r="D702" s="27" t="str">
        <x:v>Evidence row 24 hold</x:v>
      </x:c>
      <x:c r="E702" s="27" t="n">
        <x:f>IF('Evidence Gates'!J24="HOLD",1,0)</x:f>
        <x:v>1</x:v>
      </x:c>
      <x:c r="F702" s="27" t="n">
        <x:v>1</x:v>
      </x:c>
      <x:c r="G702" s="29" t="str">
        <x:f>IF(E702=F702,"PASS","FAIL")</x:f>
        <x:v>PASS</x:v>
      </x:c>
    </x:row>
    <x:row r="703" ht="18" customHeight="1">
      <x:c r="B703" s="27" t="str">
        <x:v>A0697</x:v>
      </x:c>
      <x:c r="C703" s="27" t="str">
        <x:v>evidence</x:v>
      </x:c>
      <x:c r="D703" s="27" t="str">
        <x:v>Evidence row 24 zero credit</x:v>
      </x:c>
      <x:c r="E703" s="27" t="n">
        <x:f>IF('Evidence Gates'!K24=0,1,0)</x:f>
        <x:v>1</x:v>
      </x:c>
      <x:c r="F703" s="27" t="n">
        <x:v>1</x:v>
      </x:c>
      <x:c r="G703" s="29" t="str">
        <x:f>IF(E703=F703,"PASS","FAIL")</x:f>
        <x:v>PASS</x:v>
      </x:c>
    </x:row>
    <x:row r="704" ht="18" customHeight="1">
      <x:c r="B704" s="27" t="str">
        <x:v>A0698</x:v>
      </x:c>
      <x:c r="C704" s="27" t="str">
        <x:v>evidence</x:v>
      </x:c>
      <x:c r="D704" s="27" t="str">
        <x:v>Evidence row 24 has artifact</x:v>
      </x:c>
      <x:c r="E704" s="27" t="n">
        <x:f>IF('Evidence Gates'!F24&lt;&gt;"",1,0)</x:f>
        <x:v>1</x:v>
      </x:c>
      <x:c r="F704" s="27" t="n">
        <x:v>1</x:v>
      </x:c>
      <x:c r="G704" s="29" t="str">
        <x:f>IF(E704=F704,"PASS","FAIL")</x:f>
        <x:v>PASS</x:v>
      </x:c>
    </x:row>
    <x:row r="705" ht="18" customHeight="1">
      <x:c r="B705" s="27" t="str">
        <x:v>A0699</x:v>
      </x:c>
      <x:c r="C705" s="27" t="str">
        <x:v>evidence</x:v>
      </x:c>
      <x:c r="D705" s="27" t="str">
        <x:v>Evidence row 24 has authority</x:v>
      </x:c>
      <x:c r="E705" s="27" t="n">
        <x:f>IF('Evidence Gates'!G24&lt;&gt;"",1,0)</x:f>
        <x:v>1</x:v>
      </x:c>
      <x:c r="F705" s="27" t="n">
        <x:v>1</x:v>
      </x:c>
      <x:c r="G705" s="29" t="str">
        <x:f>IF(E705=F705,"PASS","FAIL")</x:f>
        <x:v>PASS</x:v>
      </x:c>
    </x:row>
    <x:row r="706" ht="18" customHeight="1">
      <x:c r="B706" s="27" t="str">
        <x:v>A0700</x:v>
      </x:c>
      <x:c r="C706" s="27" t="str">
        <x:v>evidence</x:v>
      </x:c>
      <x:c r="D706" s="27" t="str">
        <x:v>Evidence row 25 open</x:v>
      </x:c>
      <x:c r="E706" s="27" t="n">
        <x:f>IF('Evidence Gates'!I25="OPEN",1,0)</x:f>
        <x:v>1</x:v>
      </x:c>
      <x:c r="F706" s="27" t="n">
        <x:v>1</x:v>
      </x:c>
      <x:c r="G706" s="29" t="str">
        <x:f>IF(E706=F706,"PASS","FAIL")</x:f>
        <x:v>PASS</x:v>
      </x:c>
    </x:row>
    <x:row r="707" ht="18" customHeight="1">
      <x:c r="B707" s="27" t="str">
        <x:v>A0701</x:v>
      </x:c>
      <x:c r="C707" s="27" t="str">
        <x:v>evidence</x:v>
      </x:c>
      <x:c r="D707" s="27" t="str">
        <x:v>Evidence row 25 hold</x:v>
      </x:c>
      <x:c r="E707" s="27" t="n">
        <x:f>IF('Evidence Gates'!J25="HOLD",1,0)</x:f>
        <x:v>1</x:v>
      </x:c>
      <x:c r="F707" s="27" t="n">
        <x:v>1</x:v>
      </x:c>
      <x:c r="G707" s="29" t="str">
        <x:f>IF(E707=F707,"PASS","FAIL")</x:f>
        <x:v>PASS</x:v>
      </x:c>
    </x:row>
    <x:row r="708" ht="18" customHeight="1">
      <x:c r="B708" s="27" t="str">
        <x:v>A0702</x:v>
      </x:c>
      <x:c r="C708" s="27" t="str">
        <x:v>evidence</x:v>
      </x:c>
      <x:c r="D708" s="27" t="str">
        <x:v>Evidence row 25 zero credit</x:v>
      </x:c>
      <x:c r="E708" s="27" t="n">
        <x:f>IF('Evidence Gates'!K25=0,1,0)</x:f>
        <x:v>1</x:v>
      </x:c>
      <x:c r="F708" s="27" t="n">
        <x:v>1</x:v>
      </x:c>
      <x:c r="G708" s="29" t="str">
        <x:f>IF(E708=F708,"PASS","FAIL")</x:f>
        <x:v>PASS</x:v>
      </x:c>
    </x:row>
    <x:row r="709" ht="18" customHeight="1">
      <x:c r="B709" s="27" t="str">
        <x:v>A0703</x:v>
      </x:c>
      <x:c r="C709" s="27" t="str">
        <x:v>evidence</x:v>
      </x:c>
      <x:c r="D709" s="27" t="str">
        <x:v>Evidence row 25 has artifact</x:v>
      </x:c>
      <x:c r="E709" s="27" t="n">
        <x:f>IF('Evidence Gates'!F25&lt;&gt;"",1,0)</x:f>
        <x:v>1</x:v>
      </x:c>
      <x:c r="F709" s="27" t="n">
        <x:v>1</x:v>
      </x:c>
      <x:c r="G709" s="29" t="str">
        <x:f>IF(E709=F709,"PASS","FAIL")</x:f>
        <x:v>PASS</x:v>
      </x:c>
    </x:row>
    <x:row r="710" ht="18" customHeight="1">
      <x:c r="B710" s="27" t="str">
        <x:v>A0704</x:v>
      </x:c>
      <x:c r="C710" s="27" t="str">
        <x:v>evidence</x:v>
      </x:c>
      <x:c r="D710" s="27" t="str">
        <x:v>Evidence row 25 has authority</x:v>
      </x:c>
      <x:c r="E710" s="27" t="n">
        <x:f>IF('Evidence Gates'!G25&lt;&gt;"",1,0)</x:f>
        <x:v>1</x:v>
      </x:c>
      <x:c r="F710" s="27" t="n">
        <x:v>1</x:v>
      </x:c>
      <x:c r="G710" s="29" t="str">
        <x:f>IF(E710=F710,"PASS","FAIL")</x:f>
        <x:v>PASS</x:v>
      </x:c>
    </x:row>
    <x:row r="711" ht="18" customHeight="1">
      <x:c r="B711" s="27" t="str">
        <x:v>A0705</x:v>
      </x:c>
      <x:c r="C711" s="27" t="str">
        <x:v>evidence</x:v>
      </x:c>
      <x:c r="D711" s="27" t="str">
        <x:v>Evidence row 26 open</x:v>
      </x:c>
      <x:c r="E711" s="27" t="n">
        <x:f>IF('Evidence Gates'!I26="OPEN",1,0)</x:f>
        <x:v>1</x:v>
      </x:c>
      <x:c r="F711" s="27" t="n">
        <x:v>1</x:v>
      </x:c>
      <x:c r="G711" s="29" t="str">
        <x:f>IF(E711=F711,"PASS","FAIL")</x:f>
        <x:v>PASS</x:v>
      </x:c>
    </x:row>
    <x:row r="712" ht="18" customHeight="1">
      <x:c r="B712" s="27" t="str">
        <x:v>A0706</x:v>
      </x:c>
      <x:c r="C712" s="27" t="str">
        <x:v>evidence</x:v>
      </x:c>
      <x:c r="D712" s="27" t="str">
        <x:v>Evidence row 26 hold</x:v>
      </x:c>
      <x:c r="E712" s="27" t="n">
        <x:f>IF('Evidence Gates'!J26="HOLD",1,0)</x:f>
        <x:v>1</x:v>
      </x:c>
      <x:c r="F712" s="27" t="n">
        <x:v>1</x:v>
      </x:c>
      <x:c r="G712" s="29" t="str">
        <x:f>IF(E712=F712,"PASS","FAIL")</x:f>
        <x:v>PASS</x:v>
      </x:c>
    </x:row>
    <x:row r="713" ht="18" customHeight="1">
      <x:c r="B713" s="27" t="str">
        <x:v>A0707</x:v>
      </x:c>
      <x:c r="C713" s="27" t="str">
        <x:v>evidence</x:v>
      </x:c>
      <x:c r="D713" s="27" t="str">
        <x:v>Evidence row 26 zero credit</x:v>
      </x:c>
      <x:c r="E713" s="27" t="n">
        <x:f>IF('Evidence Gates'!K26=0,1,0)</x:f>
        <x:v>1</x:v>
      </x:c>
      <x:c r="F713" s="27" t="n">
        <x:v>1</x:v>
      </x:c>
      <x:c r="G713" s="29" t="str">
        <x:f>IF(E713=F713,"PASS","FAIL")</x:f>
        <x:v>PASS</x:v>
      </x:c>
    </x:row>
    <x:row r="714" ht="18" customHeight="1">
      <x:c r="B714" s="27" t="str">
        <x:v>A0708</x:v>
      </x:c>
      <x:c r="C714" s="27" t="str">
        <x:v>evidence</x:v>
      </x:c>
      <x:c r="D714" s="27" t="str">
        <x:v>Evidence row 26 has artifact</x:v>
      </x:c>
      <x:c r="E714" s="27" t="n">
        <x:f>IF('Evidence Gates'!F26&lt;&gt;"",1,0)</x:f>
        <x:v>1</x:v>
      </x:c>
      <x:c r="F714" s="27" t="n">
        <x:v>1</x:v>
      </x:c>
      <x:c r="G714" s="29" t="str">
        <x:f>IF(E714=F714,"PASS","FAIL")</x:f>
        <x:v>PASS</x:v>
      </x:c>
    </x:row>
    <x:row r="715" ht="18" customHeight="1">
      <x:c r="B715" s="27" t="str">
        <x:v>A0709</x:v>
      </x:c>
      <x:c r="C715" s="27" t="str">
        <x:v>evidence</x:v>
      </x:c>
      <x:c r="D715" s="27" t="str">
        <x:v>Evidence row 26 has authority</x:v>
      </x:c>
      <x:c r="E715" s="27" t="n">
        <x:f>IF('Evidence Gates'!G26&lt;&gt;"",1,0)</x:f>
        <x:v>1</x:v>
      </x:c>
      <x:c r="F715" s="27" t="n">
        <x:v>1</x:v>
      </x:c>
      <x:c r="G715" s="29" t="str">
        <x:f>IF(E715=F715,"PASS","FAIL")</x:f>
        <x:v>PASS</x:v>
      </x:c>
    </x:row>
    <x:row r="716" ht="18" customHeight="1">
      <x:c r="B716" s="27" t="str">
        <x:v>A0710</x:v>
      </x:c>
      <x:c r="C716" s="27" t="str">
        <x:v>evidence</x:v>
      </x:c>
      <x:c r="D716" s="27" t="str">
        <x:v>Evidence row 27 open</x:v>
      </x:c>
      <x:c r="E716" s="27" t="n">
        <x:f>IF('Evidence Gates'!I27="OPEN",1,0)</x:f>
        <x:v>1</x:v>
      </x:c>
      <x:c r="F716" s="27" t="n">
        <x:v>1</x:v>
      </x:c>
      <x:c r="G716" s="29" t="str">
        <x:f>IF(E716=F716,"PASS","FAIL")</x:f>
        <x:v>PASS</x:v>
      </x:c>
    </x:row>
    <x:row r="717" ht="18" customHeight="1">
      <x:c r="B717" s="27" t="str">
        <x:v>A0711</x:v>
      </x:c>
      <x:c r="C717" s="27" t="str">
        <x:v>evidence</x:v>
      </x:c>
      <x:c r="D717" s="27" t="str">
        <x:v>Evidence row 27 hold</x:v>
      </x:c>
      <x:c r="E717" s="27" t="n">
        <x:f>IF('Evidence Gates'!J27="HOLD",1,0)</x:f>
        <x:v>1</x:v>
      </x:c>
      <x:c r="F717" s="27" t="n">
        <x:v>1</x:v>
      </x:c>
      <x:c r="G717" s="29" t="str">
        <x:f>IF(E717=F717,"PASS","FAIL")</x:f>
        <x:v>PASS</x:v>
      </x:c>
    </x:row>
    <x:row r="718" ht="18" customHeight="1">
      <x:c r="B718" s="27" t="str">
        <x:v>A0712</x:v>
      </x:c>
      <x:c r="C718" s="27" t="str">
        <x:v>evidence</x:v>
      </x:c>
      <x:c r="D718" s="27" t="str">
        <x:v>Evidence row 27 zero credit</x:v>
      </x:c>
      <x:c r="E718" s="27" t="n">
        <x:f>IF('Evidence Gates'!K27=0,1,0)</x:f>
        <x:v>1</x:v>
      </x:c>
      <x:c r="F718" s="27" t="n">
        <x:v>1</x:v>
      </x:c>
      <x:c r="G718" s="29" t="str">
        <x:f>IF(E718=F718,"PASS","FAIL")</x:f>
        <x:v>PASS</x:v>
      </x:c>
    </x:row>
    <x:row r="719" ht="18" customHeight="1">
      <x:c r="B719" s="27" t="str">
        <x:v>A0713</x:v>
      </x:c>
      <x:c r="C719" s="27" t="str">
        <x:v>evidence</x:v>
      </x:c>
      <x:c r="D719" s="27" t="str">
        <x:v>Evidence row 27 has artifact</x:v>
      </x:c>
      <x:c r="E719" s="27" t="n">
        <x:f>IF('Evidence Gates'!F27&lt;&gt;"",1,0)</x:f>
        <x:v>1</x:v>
      </x:c>
      <x:c r="F719" s="27" t="n">
        <x:v>1</x:v>
      </x:c>
      <x:c r="G719" s="29" t="str">
        <x:f>IF(E719=F719,"PASS","FAIL")</x:f>
        <x:v>PASS</x:v>
      </x:c>
    </x:row>
    <x:row r="720" ht="18" customHeight="1">
      <x:c r="B720" s="27" t="str">
        <x:v>A0714</x:v>
      </x:c>
      <x:c r="C720" s="27" t="str">
        <x:v>evidence</x:v>
      </x:c>
      <x:c r="D720" s="27" t="str">
        <x:v>Evidence row 27 has authority</x:v>
      </x:c>
      <x:c r="E720" s="27" t="n">
        <x:f>IF('Evidence Gates'!G27&lt;&gt;"",1,0)</x:f>
        <x:v>1</x:v>
      </x:c>
      <x:c r="F720" s="27" t="n">
        <x:v>1</x:v>
      </x:c>
      <x:c r="G720" s="29" t="str">
        <x:f>IF(E720=F720,"PASS","FAIL")</x:f>
        <x:v>PASS</x:v>
      </x:c>
    </x:row>
    <x:row r="721" ht="18" customHeight="1">
      <x:c r="B721" s="27" t="str">
        <x:v>A0715</x:v>
      </x:c>
      <x:c r="C721" s="27" t="str">
        <x:v>evidence</x:v>
      </x:c>
      <x:c r="D721" s="27" t="str">
        <x:v>Evidence row 28 open</x:v>
      </x:c>
      <x:c r="E721" s="27" t="n">
        <x:f>IF('Evidence Gates'!I28="OPEN",1,0)</x:f>
        <x:v>1</x:v>
      </x:c>
      <x:c r="F721" s="27" t="n">
        <x:v>1</x:v>
      </x:c>
      <x:c r="G721" s="29" t="str">
        <x:f>IF(E721=F721,"PASS","FAIL")</x:f>
        <x:v>PASS</x:v>
      </x:c>
    </x:row>
    <x:row r="722" ht="18" customHeight="1">
      <x:c r="B722" s="27" t="str">
        <x:v>A0716</x:v>
      </x:c>
      <x:c r="C722" s="27" t="str">
        <x:v>evidence</x:v>
      </x:c>
      <x:c r="D722" s="27" t="str">
        <x:v>Evidence row 28 hold</x:v>
      </x:c>
      <x:c r="E722" s="27" t="n">
        <x:f>IF('Evidence Gates'!J28="HOLD",1,0)</x:f>
        <x:v>1</x:v>
      </x:c>
      <x:c r="F722" s="27" t="n">
        <x:v>1</x:v>
      </x:c>
      <x:c r="G722" s="29" t="str">
        <x:f>IF(E722=F722,"PASS","FAIL")</x:f>
        <x:v>PASS</x:v>
      </x:c>
    </x:row>
    <x:row r="723" ht="18" customHeight="1">
      <x:c r="B723" s="27" t="str">
        <x:v>A0717</x:v>
      </x:c>
      <x:c r="C723" s="27" t="str">
        <x:v>evidence</x:v>
      </x:c>
      <x:c r="D723" s="27" t="str">
        <x:v>Evidence row 28 zero credit</x:v>
      </x:c>
      <x:c r="E723" s="27" t="n">
        <x:f>IF('Evidence Gates'!K28=0,1,0)</x:f>
        <x:v>1</x:v>
      </x:c>
      <x:c r="F723" s="27" t="n">
        <x:v>1</x:v>
      </x:c>
      <x:c r="G723" s="29" t="str">
        <x:f>IF(E723=F723,"PASS","FAIL")</x:f>
        <x:v>PASS</x:v>
      </x:c>
    </x:row>
    <x:row r="724" ht="18" customHeight="1">
      <x:c r="B724" s="27" t="str">
        <x:v>A0718</x:v>
      </x:c>
      <x:c r="C724" s="27" t="str">
        <x:v>evidence</x:v>
      </x:c>
      <x:c r="D724" s="27" t="str">
        <x:v>Evidence row 28 has artifact</x:v>
      </x:c>
      <x:c r="E724" s="27" t="n">
        <x:f>IF('Evidence Gates'!F28&lt;&gt;"",1,0)</x:f>
        <x:v>1</x:v>
      </x:c>
      <x:c r="F724" s="27" t="n">
        <x:v>1</x:v>
      </x:c>
      <x:c r="G724" s="29" t="str">
        <x:f>IF(E724=F724,"PASS","FAIL")</x:f>
        <x:v>PASS</x:v>
      </x:c>
    </x:row>
    <x:row r="725" ht="18" customHeight="1">
      <x:c r="B725" s="27" t="str">
        <x:v>A0719</x:v>
      </x:c>
      <x:c r="C725" s="27" t="str">
        <x:v>evidence</x:v>
      </x:c>
      <x:c r="D725" s="27" t="str">
        <x:v>Evidence row 28 has authority</x:v>
      </x:c>
      <x:c r="E725" s="27" t="n">
        <x:f>IF('Evidence Gates'!G28&lt;&gt;"",1,0)</x:f>
        <x:v>1</x:v>
      </x:c>
      <x:c r="F725" s="27" t="n">
        <x:v>1</x:v>
      </x:c>
      <x:c r="G725" s="29" t="str">
        <x:f>IF(E725=F725,"PASS","FAIL")</x:f>
        <x:v>PASS</x:v>
      </x:c>
    </x:row>
    <x:row r="726" ht="18" customHeight="1">
      <x:c r="B726" s="27" t="str">
        <x:v>A0720</x:v>
      </x:c>
      <x:c r="C726" s="27" t="str">
        <x:v>evidence</x:v>
      </x:c>
      <x:c r="D726" s="27" t="str">
        <x:v>Evidence row 29 open</x:v>
      </x:c>
      <x:c r="E726" s="27" t="n">
        <x:f>IF('Evidence Gates'!I29="OPEN",1,0)</x:f>
        <x:v>1</x:v>
      </x:c>
      <x:c r="F726" s="27" t="n">
        <x:v>1</x:v>
      </x:c>
      <x:c r="G726" s="29" t="str">
        <x:f>IF(E726=F726,"PASS","FAIL")</x:f>
        <x:v>PASS</x:v>
      </x:c>
    </x:row>
    <x:row r="727" ht="18" customHeight="1">
      <x:c r="B727" s="27" t="str">
        <x:v>A0721</x:v>
      </x:c>
      <x:c r="C727" s="27" t="str">
        <x:v>evidence</x:v>
      </x:c>
      <x:c r="D727" s="27" t="str">
        <x:v>Evidence row 29 hold</x:v>
      </x:c>
      <x:c r="E727" s="27" t="n">
        <x:f>IF('Evidence Gates'!J29="HOLD",1,0)</x:f>
        <x:v>1</x:v>
      </x:c>
      <x:c r="F727" s="27" t="n">
        <x:v>1</x:v>
      </x:c>
      <x:c r="G727" s="29" t="str">
        <x:f>IF(E727=F727,"PASS","FAIL")</x:f>
        <x:v>PASS</x:v>
      </x:c>
    </x:row>
    <x:row r="728" ht="18" customHeight="1">
      <x:c r="B728" s="27" t="str">
        <x:v>A0722</x:v>
      </x:c>
      <x:c r="C728" s="27" t="str">
        <x:v>evidence</x:v>
      </x:c>
      <x:c r="D728" s="27" t="str">
        <x:v>Evidence row 29 zero credit</x:v>
      </x:c>
      <x:c r="E728" s="27" t="n">
        <x:f>IF('Evidence Gates'!K29=0,1,0)</x:f>
        <x:v>1</x:v>
      </x:c>
      <x:c r="F728" s="27" t="n">
        <x:v>1</x:v>
      </x:c>
      <x:c r="G728" s="29" t="str">
        <x:f>IF(E728=F728,"PASS","FAIL")</x:f>
        <x:v>PASS</x:v>
      </x:c>
    </x:row>
    <x:row r="729" ht="18" customHeight="1">
      <x:c r="B729" s="27" t="str">
        <x:v>A0723</x:v>
      </x:c>
      <x:c r="C729" s="27" t="str">
        <x:v>evidence</x:v>
      </x:c>
      <x:c r="D729" s="27" t="str">
        <x:v>Evidence row 29 has artifact</x:v>
      </x:c>
      <x:c r="E729" s="27" t="n">
        <x:f>IF('Evidence Gates'!F29&lt;&gt;"",1,0)</x:f>
        <x:v>1</x:v>
      </x:c>
      <x:c r="F729" s="27" t="n">
        <x:v>1</x:v>
      </x:c>
      <x:c r="G729" s="29" t="str">
        <x:f>IF(E729=F729,"PASS","FAIL")</x:f>
        <x:v>PASS</x:v>
      </x:c>
    </x:row>
    <x:row r="730" ht="18" customHeight="1">
      <x:c r="B730" s="27" t="str">
        <x:v>A0724</x:v>
      </x:c>
      <x:c r="C730" s="27" t="str">
        <x:v>evidence</x:v>
      </x:c>
      <x:c r="D730" s="27" t="str">
        <x:v>Evidence row 29 has authority</x:v>
      </x:c>
      <x:c r="E730" s="27" t="n">
        <x:f>IF('Evidence Gates'!G29&lt;&gt;"",1,0)</x:f>
        <x:v>1</x:v>
      </x:c>
      <x:c r="F730" s="27" t="n">
        <x:v>1</x:v>
      </x:c>
      <x:c r="G730" s="29" t="str">
        <x:f>IF(E730=F730,"PASS","FAIL")</x:f>
        <x:v>PASS</x:v>
      </x:c>
    </x:row>
    <x:row r="731" ht="18" customHeight="1">
      <x:c r="B731" s="27" t="str">
        <x:v>A0725</x:v>
      </x:c>
      <x:c r="C731" s="27" t="str">
        <x:v>evidence</x:v>
      </x:c>
      <x:c r="D731" s="27" t="str">
        <x:v>Evidence row 30 open</x:v>
      </x:c>
      <x:c r="E731" s="27" t="n">
        <x:f>IF('Evidence Gates'!I30="OPEN",1,0)</x:f>
        <x:v>1</x:v>
      </x:c>
      <x:c r="F731" s="27" t="n">
        <x:v>1</x:v>
      </x:c>
      <x:c r="G731" s="29" t="str">
        <x:f>IF(E731=F731,"PASS","FAIL")</x:f>
        <x:v>PASS</x:v>
      </x:c>
    </x:row>
    <x:row r="732" ht="18" customHeight="1">
      <x:c r="B732" s="27" t="str">
        <x:v>A0726</x:v>
      </x:c>
      <x:c r="C732" s="27" t="str">
        <x:v>evidence</x:v>
      </x:c>
      <x:c r="D732" s="27" t="str">
        <x:v>Evidence row 30 hold</x:v>
      </x:c>
      <x:c r="E732" s="27" t="n">
        <x:f>IF('Evidence Gates'!J30="HOLD",1,0)</x:f>
        <x:v>1</x:v>
      </x:c>
      <x:c r="F732" s="27" t="n">
        <x:v>1</x:v>
      </x:c>
      <x:c r="G732" s="29" t="str">
        <x:f>IF(E732=F732,"PASS","FAIL")</x:f>
        <x:v>PASS</x:v>
      </x:c>
    </x:row>
    <x:row r="733" ht="18" customHeight="1">
      <x:c r="B733" s="27" t="str">
        <x:v>A0727</x:v>
      </x:c>
      <x:c r="C733" s="27" t="str">
        <x:v>evidence</x:v>
      </x:c>
      <x:c r="D733" s="27" t="str">
        <x:v>Evidence row 30 zero credit</x:v>
      </x:c>
      <x:c r="E733" s="27" t="n">
        <x:f>IF('Evidence Gates'!K30=0,1,0)</x:f>
        <x:v>1</x:v>
      </x:c>
      <x:c r="F733" s="27" t="n">
        <x:v>1</x:v>
      </x:c>
      <x:c r="G733" s="29" t="str">
        <x:f>IF(E733=F733,"PASS","FAIL")</x:f>
        <x:v>PASS</x:v>
      </x:c>
    </x:row>
    <x:row r="734" ht="18" customHeight="1">
      <x:c r="B734" s="27" t="str">
        <x:v>A0728</x:v>
      </x:c>
      <x:c r="C734" s="27" t="str">
        <x:v>evidence</x:v>
      </x:c>
      <x:c r="D734" s="27" t="str">
        <x:v>Evidence row 30 has artifact</x:v>
      </x:c>
      <x:c r="E734" s="27" t="n">
        <x:f>IF('Evidence Gates'!F30&lt;&gt;"",1,0)</x:f>
        <x:v>1</x:v>
      </x:c>
      <x:c r="F734" s="27" t="n">
        <x:v>1</x:v>
      </x:c>
      <x:c r="G734" s="29" t="str">
        <x:f>IF(E734=F734,"PASS","FAIL")</x:f>
        <x:v>PASS</x:v>
      </x:c>
    </x:row>
    <x:row r="735" ht="18" customHeight="1">
      <x:c r="B735" s="27" t="str">
        <x:v>A0729</x:v>
      </x:c>
      <x:c r="C735" s="27" t="str">
        <x:v>evidence</x:v>
      </x:c>
      <x:c r="D735" s="27" t="str">
        <x:v>Evidence row 30 has authority</x:v>
      </x:c>
      <x:c r="E735" s="27" t="n">
        <x:f>IF('Evidence Gates'!G30&lt;&gt;"",1,0)</x:f>
        <x:v>1</x:v>
      </x:c>
      <x:c r="F735" s="27" t="n">
        <x:v>1</x:v>
      </x:c>
      <x:c r="G735" s="29" t="str">
        <x:f>IF(E735=F735,"PASS","FAIL")</x:f>
        <x:v>PASS</x:v>
      </x:c>
    </x:row>
    <x:row r="736" ht="18" customHeight="1">
      <x:c r="B736" s="27" t="str">
        <x:v>A0730</x:v>
      </x:c>
      <x:c r="C736" s="27" t="str">
        <x:v>evidence</x:v>
      </x:c>
      <x:c r="D736" s="27" t="str">
        <x:v>Evidence row 31 open</x:v>
      </x:c>
      <x:c r="E736" s="27" t="n">
        <x:f>IF('Evidence Gates'!I31="OPEN",1,0)</x:f>
        <x:v>1</x:v>
      </x:c>
      <x:c r="F736" s="27" t="n">
        <x:v>1</x:v>
      </x:c>
      <x:c r="G736" s="29" t="str">
        <x:f>IF(E736=F736,"PASS","FAIL")</x:f>
        <x:v>PASS</x:v>
      </x:c>
    </x:row>
    <x:row r="737" ht="18" customHeight="1">
      <x:c r="B737" s="27" t="str">
        <x:v>A0731</x:v>
      </x:c>
      <x:c r="C737" s="27" t="str">
        <x:v>evidence</x:v>
      </x:c>
      <x:c r="D737" s="27" t="str">
        <x:v>Evidence row 31 hold</x:v>
      </x:c>
      <x:c r="E737" s="27" t="n">
        <x:f>IF('Evidence Gates'!J31="HOLD",1,0)</x:f>
        <x:v>1</x:v>
      </x:c>
      <x:c r="F737" s="27" t="n">
        <x:v>1</x:v>
      </x:c>
      <x:c r="G737" s="29" t="str">
        <x:f>IF(E737=F737,"PASS","FAIL")</x:f>
        <x:v>PASS</x:v>
      </x:c>
    </x:row>
    <x:row r="738" ht="18" customHeight="1">
      <x:c r="B738" s="27" t="str">
        <x:v>A0732</x:v>
      </x:c>
      <x:c r="C738" s="27" t="str">
        <x:v>evidence</x:v>
      </x:c>
      <x:c r="D738" s="27" t="str">
        <x:v>Evidence row 31 zero credit</x:v>
      </x:c>
      <x:c r="E738" s="27" t="n">
        <x:f>IF('Evidence Gates'!K31=0,1,0)</x:f>
        <x:v>1</x:v>
      </x:c>
      <x:c r="F738" s="27" t="n">
        <x:v>1</x:v>
      </x:c>
      <x:c r="G738" s="29" t="str">
        <x:f>IF(E738=F738,"PASS","FAIL")</x:f>
        <x:v>PASS</x:v>
      </x:c>
    </x:row>
    <x:row r="739" ht="18" customHeight="1">
      <x:c r="B739" s="27" t="str">
        <x:v>A0733</x:v>
      </x:c>
      <x:c r="C739" s="27" t="str">
        <x:v>evidence</x:v>
      </x:c>
      <x:c r="D739" s="27" t="str">
        <x:v>Evidence row 31 has artifact</x:v>
      </x:c>
      <x:c r="E739" s="27" t="n">
        <x:f>IF('Evidence Gates'!F31&lt;&gt;"",1,0)</x:f>
        <x:v>1</x:v>
      </x:c>
      <x:c r="F739" s="27" t="n">
        <x:v>1</x:v>
      </x:c>
      <x:c r="G739" s="29" t="str">
        <x:f>IF(E739=F739,"PASS","FAIL")</x:f>
        <x:v>PASS</x:v>
      </x:c>
    </x:row>
    <x:row r="740" ht="18" customHeight="1">
      <x:c r="B740" s="27" t="str">
        <x:v>A0734</x:v>
      </x:c>
      <x:c r="C740" s="27" t="str">
        <x:v>evidence</x:v>
      </x:c>
      <x:c r="D740" s="27" t="str">
        <x:v>Evidence row 31 has authority</x:v>
      </x:c>
      <x:c r="E740" s="27" t="n">
        <x:f>IF('Evidence Gates'!G31&lt;&gt;"",1,0)</x:f>
        <x:v>1</x:v>
      </x:c>
      <x:c r="F740" s="27" t="n">
        <x:v>1</x:v>
      </x:c>
      <x:c r="G740" s="29" t="str">
        <x:f>IF(E740=F740,"PASS","FAIL")</x:f>
        <x:v>PASS</x:v>
      </x:c>
    </x:row>
    <x:row r="741" ht="18" customHeight="1">
      <x:c r="B741" s="27" t="str">
        <x:v>A0735</x:v>
      </x:c>
      <x:c r="C741" s="27" t="str">
        <x:v>evidence</x:v>
      </x:c>
      <x:c r="D741" s="27" t="str">
        <x:v>Evidence row 32 open</x:v>
      </x:c>
      <x:c r="E741" s="27" t="n">
        <x:f>IF('Evidence Gates'!I32="OPEN",1,0)</x:f>
        <x:v>1</x:v>
      </x:c>
      <x:c r="F741" s="27" t="n">
        <x:v>1</x:v>
      </x:c>
      <x:c r="G741" s="29" t="str">
        <x:f>IF(E741=F741,"PASS","FAIL")</x:f>
        <x:v>PASS</x:v>
      </x:c>
    </x:row>
    <x:row r="742" ht="18" customHeight="1">
      <x:c r="B742" s="27" t="str">
        <x:v>A0736</x:v>
      </x:c>
      <x:c r="C742" s="27" t="str">
        <x:v>evidence</x:v>
      </x:c>
      <x:c r="D742" s="27" t="str">
        <x:v>Evidence row 32 hold</x:v>
      </x:c>
      <x:c r="E742" s="27" t="n">
        <x:f>IF('Evidence Gates'!J32="HOLD",1,0)</x:f>
        <x:v>1</x:v>
      </x:c>
      <x:c r="F742" s="27" t="n">
        <x:v>1</x:v>
      </x:c>
      <x:c r="G742" s="29" t="str">
        <x:f>IF(E742=F742,"PASS","FAIL")</x:f>
        <x:v>PASS</x:v>
      </x:c>
    </x:row>
    <x:row r="743" ht="18" customHeight="1">
      <x:c r="B743" s="27" t="str">
        <x:v>A0737</x:v>
      </x:c>
      <x:c r="C743" s="27" t="str">
        <x:v>evidence</x:v>
      </x:c>
      <x:c r="D743" s="27" t="str">
        <x:v>Evidence row 32 zero credit</x:v>
      </x:c>
      <x:c r="E743" s="27" t="n">
        <x:f>IF('Evidence Gates'!K32=0,1,0)</x:f>
        <x:v>1</x:v>
      </x:c>
      <x:c r="F743" s="27" t="n">
        <x:v>1</x:v>
      </x:c>
      <x:c r="G743" s="29" t="str">
        <x:f>IF(E743=F743,"PASS","FAIL")</x:f>
        <x:v>PASS</x:v>
      </x:c>
    </x:row>
    <x:row r="744" ht="18" customHeight="1">
      <x:c r="B744" s="27" t="str">
        <x:v>A0738</x:v>
      </x:c>
      <x:c r="C744" s="27" t="str">
        <x:v>evidence</x:v>
      </x:c>
      <x:c r="D744" s="27" t="str">
        <x:v>Evidence row 32 has artifact</x:v>
      </x:c>
      <x:c r="E744" s="27" t="n">
        <x:f>IF('Evidence Gates'!F32&lt;&gt;"",1,0)</x:f>
        <x:v>1</x:v>
      </x:c>
      <x:c r="F744" s="27" t="n">
        <x:v>1</x:v>
      </x:c>
      <x:c r="G744" s="29" t="str">
        <x:f>IF(E744=F744,"PASS","FAIL")</x:f>
        <x:v>PASS</x:v>
      </x:c>
    </x:row>
    <x:row r="745" ht="18" customHeight="1">
      <x:c r="B745" s="27" t="str">
        <x:v>A0739</x:v>
      </x:c>
      <x:c r="C745" s="27" t="str">
        <x:v>evidence</x:v>
      </x:c>
      <x:c r="D745" s="27" t="str">
        <x:v>Evidence row 32 has authority</x:v>
      </x:c>
      <x:c r="E745" s="27" t="n">
        <x:f>IF('Evidence Gates'!G32&lt;&gt;"",1,0)</x:f>
        <x:v>1</x:v>
      </x:c>
      <x:c r="F745" s="27" t="n">
        <x:v>1</x:v>
      </x:c>
      <x:c r="G745" s="29" t="str">
        <x:f>IF(E745=F745,"PASS","FAIL")</x:f>
        <x:v>PASS</x:v>
      </x:c>
    </x:row>
    <x:row r="746" ht="18" customHeight="1">
      <x:c r="B746" s="27" t="str">
        <x:v>A0740</x:v>
      </x:c>
      <x:c r="C746" s="27" t="str">
        <x:v>evidence</x:v>
      </x:c>
      <x:c r="D746" s="27" t="str">
        <x:v>Evidence row 33 open</x:v>
      </x:c>
      <x:c r="E746" s="27" t="n">
        <x:f>IF('Evidence Gates'!I33="OPEN",1,0)</x:f>
        <x:v>1</x:v>
      </x:c>
      <x:c r="F746" s="27" t="n">
        <x:v>1</x:v>
      </x:c>
      <x:c r="G746" s="29" t="str">
        <x:f>IF(E746=F746,"PASS","FAIL")</x:f>
        <x:v>PASS</x:v>
      </x:c>
    </x:row>
    <x:row r="747" ht="18" customHeight="1">
      <x:c r="B747" s="27" t="str">
        <x:v>A0741</x:v>
      </x:c>
      <x:c r="C747" s="27" t="str">
        <x:v>evidence</x:v>
      </x:c>
      <x:c r="D747" s="27" t="str">
        <x:v>Evidence row 33 hold</x:v>
      </x:c>
      <x:c r="E747" s="27" t="n">
        <x:f>IF('Evidence Gates'!J33="HOLD",1,0)</x:f>
        <x:v>1</x:v>
      </x:c>
      <x:c r="F747" s="27" t="n">
        <x:v>1</x:v>
      </x:c>
      <x:c r="G747" s="29" t="str">
        <x:f>IF(E747=F747,"PASS","FAIL")</x:f>
        <x:v>PASS</x:v>
      </x:c>
    </x:row>
    <x:row r="748" ht="18" customHeight="1">
      <x:c r="B748" s="27" t="str">
        <x:v>A0742</x:v>
      </x:c>
      <x:c r="C748" s="27" t="str">
        <x:v>evidence</x:v>
      </x:c>
      <x:c r="D748" s="27" t="str">
        <x:v>Evidence row 33 zero credit</x:v>
      </x:c>
      <x:c r="E748" s="27" t="n">
        <x:f>IF('Evidence Gates'!K33=0,1,0)</x:f>
        <x:v>1</x:v>
      </x:c>
      <x:c r="F748" s="27" t="n">
        <x:v>1</x:v>
      </x:c>
      <x:c r="G748" s="29" t="str">
        <x:f>IF(E748=F748,"PASS","FAIL")</x:f>
        <x:v>PASS</x:v>
      </x:c>
    </x:row>
    <x:row r="749" ht="18" customHeight="1">
      <x:c r="B749" s="27" t="str">
        <x:v>A0743</x:v>
      </x:c>
      <x:c r="C749" s="27" t="str">
        <x:v>evidence</x:v>
      </x:c>
      <x:c r="D749" s="27" t="str">
        <x:v>Evidence row 33 has artifact</x:v>
      </x:c>
      <x:c r="E749" s="27" t="n">
        <x:f>IF('Evidence Gates'!F33&lt;&gt;"",1,0)</x:f>
        <x:v>1</x:v>
      </x:c>
      <x:c r="F749" s="27" t="n">
        <x:v>1</x:v>
      </x:c>
      <x:c r="G749" s="29" t="str">
        <x:f>IF(E749=F749,"PASS","FAIL")</x:f>
        <x:v>PASS</x:v>
      </x:c>
    </x:row>
    <x:row r="750" ht="18" customHeight="1">
      <x:c r="B750" s="27" t="str">
        <x:v>A0744</x:v>
      </x:c>
      <x:c r="C750" s="27" t="str">
        <x:v>evidence</x:v>
      </x:c>
      <x:c r="D750" s="27" t="str">
        <x:v>Evidence row 33 has authority</x:v>
      </x:c>
      <x:c r="E750" s="27" t="n">
        <x:f>IF('Evidence Gates'!G33&lt;&gt;"",1,0)</x:f>
        <x:v>1</x:v>
      </x:c>
      <x:c r="F750" s="27" t="n">
        <x:v>1</x:v>
      </x:c>
      <x:c r="G750" s="29" t="str">
        <x:f>IF(E750=F750,"PASS","FAIL")</x:f>
        <x:v>PASS</x:v>
      </x:c>
    </x:row>
    <x:row r="751" ht="18" customHeight="1">
      <x:c r="B751" s="27" t="str">
        <x:v>A0745</x:v>
      </x:c>
      <x:c r="C751" s="27" t="str">
        <x:v>evidence</x:v>
      </x:c>
      <x:c r="D751" s="27" t="str">
        <x:v>Evidence row 34 open</x:v>
      </x:c>
      <x:c r="E751" s="27" t="n">
        <x:f>IF('Evidence Gates'!I34="OPEN",1,0)</x:f>
        <x:v>1</x:v>
      </x:c>
      <x:c r="F751" s="27" t="n">
        <x:v>1</x:v>
      </x:c>
      <x:c r="G751" s="29" t="str">
        <x:f>IF(E751=F751,"PASS","FAIL")</x:f>
        <x:v>PASS</x:v>
      </x:c>
    </x:row>
    <x:row r="752" ht="18" customHeight="1">
      <x:c r="B752" s="27" t="str">
        <x:v>A0746</x:v>
      </x:c>
      <x:c r="C752" s="27" t="str">
        <x:v>evidence</x:v>
      </x:c>
      <x:c r="D752" s="27" t="str">
        <x:v>Evidence row 34 hold</x:v>
      </x:c>
      <x:c r="E752" s="27" t="n">
        <x:f>IF('Evidence Gates'!J34="HOLD",1,0)</x:f>
        <x:v>1</x:v>
      </x:c>
      <x:c r="F752" s="27" t="n">
        <x:v>1</x:v>
      </x:c>
      <x:c r="G752" s="29" t="str">
        <x:f>IF(E752=F752,"PASS","FAIL")</x:f>
        <x:v>PASS</x:v>
      </x:c>
    </x:row>
    <x:row r="753" ht="18" customHeight="1">
      <x:c r="B753" s="27" t="str">
        <x:v>A0747</x:v>
      </x:c>
      <x:c r="C753" s="27" t="str">
        <x:v>evidence</x:v>
      </x:c>
      <x:c r="D753" s="27" t="str">
        <x:v>Evidence row 34 zero credit</x:v>
      </x:c>
      <x:c r="E753" s="27" t="n">
        <x:f>IF('Evidence Gates'!K34=0,1,0)</x:f>
        <x:v>1</x:v>
      </x:c>
      <x:c r="F753" s="27" t="n">
        <x:v>1</x:v>
      </x:c>
      <x:c r="G753" s="29" t="str">
        <x:f>IF(E753=F753,"PASS","FAIL")</x:f>
        <x:v>PASS</x:v>
      </x:c>
    </x:row>
    <x:row r="754" ht="18" customHeight="1">
      <x:c r="B754" s="27" t="str">
        <x:v>A0748</x:v>
      </x:c>
      <x:c r="C754" s="27" t="str">
        <x:v>evidence</x:v>
      </x:c>
      <x:c r="D754" s="27" t="str">
        <x:v>Evidence row 34 has artifact</x:v>
      </x:c>
      <x:c r="E754" s="27" t="n">
        <x:f>IF('Evidence Gates'!F34&lt;&gt;"",1,0)</x:f>
        <x:v>1</x:v>
      </x:c>
      <x:c r="F754" s="27" t="n">
        <x:v>1</x:v>
      </x:c>
      <x:c r="G754" s="29" t="str">
        <x:f>IF(E754=F754,"PASS","FAIL")</x:f>
        <x:v>PASS</x:v>
      </x:c>
    </x:row>
    <x:row r="755" ht="18" customHeight="1">
      <x:c r="B755" s="27" t="str">
        <x:v>A0749</x:v>
      </x:c>
      <x:c r="C755" s="27" t="str">
        <x:v>evidence</x:v>
      </x:c>
      <x:c r="D755" s="27" t="str">
        <x:v>Evidence row 34 has authority</x:v>
      </x:c>
      <x:c r="E755" s="27" t="n">
        <x:f>IF('Evidence Gates'!G34&lt;&gt;"",1,0)</x:f>
        <x:v>1</x:v>
      </x:c>
      <x:c r="F755" s="27" t="n">
        <x:v>1</x:v>
      </x:c>
      <x:c r="G755" s="29" t="str">
        <x:f>IF(E755=F755,"PASS","FAIL")</x:f>
        <x:v>PASS</x:v>
      </x:c>
    </x:row>
    <x:row r="756" ht="18" customHeight="1">
      <x:c r="B756" s="27" t="str">
        <x:v>A0750</x:v>
      </x:c>
      <x:c r="C756" s="27" t="str">
        <x:v>evidence</x:v>
      </x:c>
      <x:c r="D756" s="27" t="str">
        <x:v>Evidence row 35 open</x:v>
      </x:c>
      <x:c r="E756" s="27" t="n">
        <x:f>IF('Evidence Gates'!I35="OPEN",1,0)</x:f>
        <x:v>1</x:v>
      </x:c>
      <x:c r="F756" s="27" t="n">
        <x:v>1</x:v>
      </x:c>
      <x:c r="G756" s="29" t="str">
        <x:f>IF(E756=F756,"PASS","FAIL")</x:f>
        <x:v>PASS</x:v>
      </x:c>
    </x:row>
    <x:row r="757" ht="18" customHeight="1">
      <x:c r="B757" s="27" t="str">
        <x:v>A0751</x:v>
      </x:c>
      <x:c r="C757" s="27" t="str">
        <x:v>evidence</x:v>
      </x:c>
      <x:c r="D757" s="27" t="str">
        <x:v>Evidence row 35 hold</x:v>
      </x:c>
      <x:c r="E757" s="27" t="n">
        <x:f>IF('Evidence Gates'!J35="HOLD",1,0)</x:f>
        <x:v>1</x:v>
      </x:c>
      <x:c r="F757" s="27" t="n">
        <x:v>1</x:v>
      </x:c>
      <x:c r="G757" s="29" t="str">
        <x:f>IF(E757=F757,"PASS","FAIL")</x:f>
        <x:v>PASS</x:v>
      </x:c>
    </x:row>
    <x:row r="758" ht="18" customHeight="1">
      <x:c r="B758" s="27" t="str">
        <x:v>A0752</x:v>
      </x:c>
      <x:c r="C758" s="27" t="str">
        <x:v>evidence</x:v>
      </x:c>
      <x:c r="D758" s="27" t="str">
        <x:v>Evidence row 35 zero credit</x:v>
      </x:c>
      <x:c r="E758" s="27" t="n">
        <x:f>IF('Evidence Gates'!K35=0,1,0)</x:f>
        <x:v>1</x:v>
      </x:c>
      <x:c r="F758" s="27" t="n">
        <x:v>1</x:v>
      </x:c>
      <x:c r="G758" s="29" t="str">
        <x:f>IF(E758=F758,"PASS","FAIL")</x:f>
        <x:v>PASS</x:v>
      </x:c>
    </x:row>
    <x:row r="759" ht="18" customHeight="1">
      <x:c r="B759" s="27" t="str">
        <x:v>A0753</x:v>
      </x:c>
      <x:c r="C759" s="27" t="str">
        <x:v>evidence</x:v>
      </x:c>
      <x:c r="D759" s="27" t="str">
        <x:v>Evidence row 35 has artifact</x:v>
      </x:c>
      <x:c r="E759" s="27" t="n">
        <x:f>IF('Evidence Gates'!F35&lt;&gt;"",1,0)</x:f>
        <x:v>1</x:v>
      </x:c>
      <x:c r="F759" s="27" t="n">
        <x:v>1</x:v>
      </x:c>
      <x:c r="G759" s="29" t="str">
        <x:f>IF(E759=F759,"PASS","FAIL")</x:f>
        <x:v>PASS</x:v>
      </x:c>
    </x:row>
    <x:row r="760" ht="18" customHeight="1">
      <x:c r="B760" s="27" t="str">
        <x:v>A0754</x:v>
      </x:c>
      <x:c r="C760" s="27" t="str">
        <x:v>evidence</x:v>
      </x:c>
      <x:c r="D760" s="27" t="str">
        <x:v>Evidence row 35 has authority</x:v>
      </x:c>
      <x:c r="E760" s="27" t="n">
        <x:f>IF('Evidence Gates'!G35&lt;&gt;"",1,0)</x:f>
        <x:v>1</x:v>
      </x:c>
      <x:c r="F760" s="27" t="n">
        <x:v>1</x:v>
      </x:c>
      <x:c r="G760" s="29" t="str">
        <x:f>IF(E760=F760,"PASS","FAIL")</x:f>
        <x:v>PASS</x:v>
      </x:c>
    </x:row>
    <x:row r="761" ht="18" customHeight="1">
      <x:c r="B761" s="27" t="str">
        <x:v>A0755</x:v>
      </x:c>
      <x:c r="C761" s="27" t="str">
        <x:v>evidence</x:v>
      </x:c>
      <x:c r="D761" s="27" t="str">
        <x:v>Evidence row 36 open</x:v>
      </x:c>
      <x:c r="E761" s="27" t="n">
        <x:f>IF('Evidence Gates'!I36="OPEN",1,0)</x:f>
        <x:v>1</x:v>
      </x:c>
      <x:c r="F761" s="27" t="n">
        <x:v>1</x:v>
      </x:c>
      <x:c r="G761" s="29" t="str">
        <x:f>IF(E761=F761,"PASS","FAIL")</x:f>
        <x:v>PASS</x:v>
      </x:c>
    </x:row>
    <x:row r="762" ht="18" customHeight="1">
      <x:c r="B762" s="27" t="str">
        <x:v>A0756</x:v>
      </x:c>
      <x:c r="C762" s="27" t="str">
        <x:v>evidence</x:v>
      </x:c>
      <x:c r="D762" s="27" t="str">
        <x:v>Evidence row 36 hold</x:v>
      </x:c>
      <x:c r="E762" s="27" t="n">
        <x:f>IF('Evidence Gates'!J36="HOLD",1,0)</x:f>
        <x:v>1</x:v>
      </x:c>
      <x:c r="F762" s="27" t="n">
        <x:v>1</x:v>
      </x:c>
      <x:c r="G762" s="29" t="str">
        <x:f>IF(E762=F762,"PASS","FAIL")</x:f>
        <x:v>PASS</x:v>
      </x:c>
    </x:row>
    <x:row r="763" ht="18" customHeight="1">
      <x:c r="B763" s="27" t="str">
        <x:v>A0757</x:v>
      </x:c>
      <x:c r="C763" s="27" t="str">
        <x:v>evidence</x:v>
      </x:c>
      <x:c r="D763" s="27" t="str">
        <x:v>Evidence row 36 zero credit</x:v>
      </x:c>
      <x:c r="E763" s="27" t="n">
        <x:f>IF('Evidence Gates'!K36=0,1,0)</x:f>
        <x:v>1</x:v>
      </x:c>
      <x:c r="F763" s="27" t="n">
        <x:v>1</x:v>
      </x:c>
      <x:c r="G763" s="29" t="str">
        <x:f>IF(E763=F763,"PASS","FAIL")</x:f>
        <x:v>PASS</x:v>
      </x:c>
    </x:row>
    <x:row r="764" ht="18" customHeight="1">
      <x:c r="B764" s="27" t="str">
        <x:v>A0758</x:v>
      </x:c>
      <x:c r="C764" s="27" t="str">
        <x:v>evidence</x:v>
      </x:c>
      <x:c r="D764" s="27" t="str">
        <x:v>Evidence row 36 has artifact</x:v>
      </x:c>
      <x:c r="E764" s="27" t="n">
        <x:f>IF('Evidence Gates'!F36&lt;&gt;"",1,0)</x:f>
        <x:v>1</x:v>
      </x:c>
      <x:c r="F764" s="27" t="n">
        <x:v>1</x:v>
      </x:c>
      <x:c r="G764" s="29" t="str">
        <x:f>IF(E764=F764,"PASS","FAIL")</x:f>
        <x:v>PASS</x:v>
      </x:c>
    </x:row>
    <x:row r="765" ht="18" customHeight="1">
      <x:c r="B765" s="27" t="str">
        <x:v>A0759</x:v>
      </x:c>
      <x:c r="C765" s="27" t="str">
        <x:v>evidence</x:v>
      </x:c>
      <x:c r="D765" s="27" t="str">
        <x:v>Evidence row 36 has authority</x:v>
      </x:c>
      <x:c r="E765" s="27" t="n">
        <x:f>IF('Evidence Gates'!G36&lt;&gt;"",1,0)</x:f>
        <x:v>1</x:v>
      </x:c>
      <x:c r="F765" s="27" t="n">
        <x:v>1</x:v>
      </x:c>
      <x:c r="G765" s="29" t="str">
        <x:f>IF(E765=F765,"PASS","FAIL")</x:f>
        <x:v>PASS</x:v>
      </x:c>
    </x:row>
    <x:row r="766" ht="18" customHeight="1">
      <x:c r="B766" s="27" t="str">
        <x:v>A0760</x:v>
      </x:c>
      <x:c r="C766" s="27" t="str">
        <x:v>evidence</x:v>
      </x:c>
      <x:c r="D766" s="27" t="str">
        <x:v>Evidence row 37 open</x:v>
      </x:c>
      <x:c r="E766" s="27" t="n">
        <x:f>IF('Evidence Gates'!I37="OPEN",1,0)</x:f>
        <x:v>1</x:v>
      </x:c>
      <x:c r="F766" s="27" t="n">
        <x:v>1</x:v>
      </x:c>
      <x:c r="G766" s="29" t="str">
        <x:f>IF(E766=F766,"PASS","FAIL")</x:f>
        <x:v>PASS</x:v>
      </x:c>
    </x:row>
    <x:row r="767" ht="18" customHeight="1">
      <x:c r="B767" s="27" t="str">
        <x:v>A0761</x:v>
      </x:c>
      <x:c r="C767" s="27" t="str">
        <x:v>evidence</x:v>
      </x:c>
      <x:c r="D767" s="27" t="str">
        <x:v>Evidence row 37 hold</x:v>
      </x:c>
      <x:c r="E767" s="27" t="n">
        <x:f>IF('Evidence Gates'!J37="HOLD",1,0)</x:f>
        <x:v>1</x:v>
      </x:c>
      <x:c r="F767" s="27" t="n">
        <x:v>1</x:v>
      </x:c>
      <x:c r="G767" s="29" t="str">
        <x:f>IF(E767=F767,"PASS","FAIL")</x:f>
        <x:v>PASS</x:v>
      </x:c>
    </x:row>
    <x:row r="768" ht="18" customHeight="1">
      <x:c r="B768" s="27" t="str">
        <x:v>A0762</x:v>
      </x:c>
      <x:c r="C768" s="27" t="str">
        <x:v>evidence</x:v>
      </x:c>
      <x:c r="D768" s="27" t="str">
        <x:v>Evidence row 37 zero credit</x:v>
      </x:c>
      <x:c r="E768" s="27" t="n">
        <x:f>IF('Evidence Gates'!K37=0,1,0)</x:f>
        <x:v>1</x:v>
      </x:c>
      <x:c r="F768" s="27" t="n">
        <x:v>1</x:v>
      </x:c>
      <x:c r="G768" s="29" t="str">
        <x:f>IF(E768=F768,"PASS","FAIL")</x:f>
        <x:v>PASS</x:v>
      </x:c>
    </x:row>
    <x:row r="769" ht="18" customHeight="1">
      <x:c r="B769" s="27" t="str">
        <x:v>A0763</x:v>
      </x:c>
      <x:c r="C769" s="27" t="str">
        <x:v>evidence</x:v>
      </x:c>
      <x:c r="D769" s="27" t="str">
        <x:v>Evidence row 37 has artifact</x:v>
      </x:c>
      <x:c r="E769" s="27" t="n">
        <x:f>IF('Evidence Gates'!F37&lt;&gt;"",1,0)</x:f>
        <x:v>1</x:v>
      </x:c>
      <x:c r="F769" s="27" t="n">
        <x:v>1</x:v>
      </x:c>
      <x:c r="G769" s="29" t="str">
        <x:f>IF(E769=F769,"PASS","FAIL")</x:f>
        <x:v>PASS</x:v>
      </x:c>
    </x:row>
    <x:row r="770" ht="18" customHeight="1">
      <x:c r="B770" s="27" t="str">
        <x:v>A0764</x:v>
      </x:c>
      <x:c r="C770" s="27" t="str">
        <x:v>evidence</x:v>
      </x:c>
      <x:c r="D770" s="27" t="str">
        <x:v>Evidence row 37 has authority</x:v>
      </x:c>
      <x:c r="E770" s="27" t="n">
        <x:f>IF('Evidence Gates'!G37&lt;&gt;"",1,0)</x:f>
        <x:v>1</x:v>
      </x:c>
      <x:c r="F770" s="27" t="n">
        <x:v>1</x:v>
      </x:c>
      <x:c r="G770" s="29" t="str">
        <x:f>IF(E770=F770,"PASS","FAIL")</x:f>
        <x:v>PASS</x:v>
      </x:c>
    </x:row>
    <x:row r="771" ht="18" customHeight="1">
      <x:c r="B771" s="27" t="str">
        <x:v>A0765</x:v>
      </x:c>
      <x:c r="C771" s="27" t="str">
        <x:v>evidence</x:v>
      </x:c>
      <x:c r="D771" s="27" t="str">
        <x:v>Evidence row 38 open</x:v>
      </x:c>
      <x:c r="E771" s="27" t="n">
        <x:f>IF('Evidence Gates'!I38="OPEN",1,0)</x:f>
        <x:v>1</x:v>
      </x:c>
      <x:c r="F771" s="27" t="n">
        <x:v>1</x:v>
      </x:c>
      <x:c r="G771" s="29" t="str">
        <x:f>IF(E771=F771,"PASS","FAIL")</x:f>
        <x:v>PASS</x:v>
      </x:c>
    </x:row>
    <x:row r="772" ht="18" customHeight="1">
      <x:c r="B772" s="27" t="str">
        <x:v>A0766</x:v>
      </x:c>
      <x:c r="C772" s="27" t="str">
        <x:v>evidence</x:v>
      </x:c>
      <x:c r="D772" s="27" t="str">
        <x:v>Evidence row 38 hold</x:v>
      </x:c>
      <x:c r="E772" s="27" t="n">
        <x:f>IF('Evidence Gates'!J38="HOLD",1,0)</x:f>
        <x:v>1</x:v>
      </x:c>
      <x:c r="F772" s="27" t="n">
        <x:v>1</x:v>
      </x:c>
      <x:c r="G772" s="29" t="str">
        <x:f>IF(E772=F772,"PASS","FAIL")</x:f>
        <x:v>PASS</x:v>
      </x:c>
    </x:row>
    <x:row r="773" ht="18" customHeight="1">
      <x:c r="B773" s="27" t="str">
        <x:v>A0767</x:v>
      </x:c>
      <x:c r="C773" s="27" t="str">
        <x:v>evidence</x:v>
      </x:c>
      <x:c r="D773" s="27" t="str">
        <x:v>Evidence row 38 zero credit</x:v>
      </x:c>
      <x:c r="E773" s="27" t="n">
        <x:f>IF('Evidence Gates'!K38=0,1,0)</x:f>
        <x:v>1</x:v>
      </x:c>
      <x:c r="F773" s="27" t="n">
        <x:v>1</x:v>
      </x:c>
      <x:c r="G773" s="29" t="str">
        <x:f>IF(E773=F773,"PASS","FAIL")</x:f>
        <x:v>PASS</x:v>
      </x:c>
    </x:row>
    <x:row r="774" ht="18" customHeight="1">
      <x:c r="B774" s="27" t="str">
        <x:v>A0768</x:v>
      </x:c>
      <x:c r="C774" s="27" t="str">
        <x:v>evidence</x:v>
      </x:c>
      <x:c r="D774" s="27" t="str">
        <x:v>Evidence row 38 has artifact</x:v>
      </x:c>
      <x:c r="E774" s="27" t="n">
        <x:f>IF('Evidence Gates'!F38&lt;&gt;"",1,0)</x:f>
        <x:v>1</x:v>
      </x:c>
      <x:c r="F774" s="27" t="n">
        <x:v>1</x:v>
      </x:c>
      <x:c r="G774" s="29" t="str">
        <x:f>IF(E774=F774,"PASS","FAIL")</x:f>
        <x:v>PASS</x:v>
      </x:c>
    </x:row>
    <x:row r="775" ht="18" customHeight="1">
      <x:c r="B775" s="27" t="str">
        <x:v>A0769</x:v>
      </x:c>
      <x:c r="C775" s="27" t="str">
        <x:v>evidence</x:v>
      </x:c>
      <x:c r="D775" s="27" t="str">
        <x:v>Evidence row 38 has authority</x:v>
      </x:c>
      <x:c r="E775" s="27" t="n">
        <x:f>IF('Evidence Gates'!G38&lt;&gt;"",1,0)</x:f>
        <x:v>1</x:v>
      </x:c>
      <x:c r="F775" s="27" t="n">
        <x:v>1</x:v>
      </x:c>
      <x:c r="G775" s="29" t="str">
        <x:f>IF(E775=F775,"PASS","FAIL")</x:f>
        <x:v>PASS</x:v>
      </x:c>
    </x:row>
    <x:row r="776" ht="18" customHeight="1">
      <x:c r="B776" s="27" t="str">
        <x:v>A0770</x:v>
      </x:c>
      <x:c r="C776" s="27" t="str">
        <x:v>evidence</x:v>
      </x:c>
      <x:c r="D776" s="27" t="str">
        <x:v>Evidence row 39 open</x:v>
      </x:c>
      <x:c r="E776" s="27" t="n">
        <x:f>IF('Evidence Gates'!I39="OPEN",1,0)</x:f>
        <x:v>1</x:v>
      </x:c>
      <x:c r="F776" s="27" t="n">
        <x:v>1</x:v>
      </x:c>
      <x:c r="G776" s="29" t="str">
        <x:f>IF(E776=F776,"PASS","FAIL")</x:f>
        <x:v>PASS</x:v>
      </x:c>
    </x:row>
    <x:row r="777" ht="18" customHeight="1">
      <x:c r="B777" s="27" t="str">
        <x:v>A0771</x:v>
      </x:c>
      <x:c r="C777" s="27" t="str">
        <x:v>evidence</x:v>
      </x:c>
      <x:c r="D777" s="27" t="str">
        <x:v>Evidence row 39 hold</x:v>
      </x:c>
      <x:c r="E777" s="27" t="n">
        <x:f>IF('Evidence Gates'!J39="HOLD",1,0)</x:f>
        <x:v>1</x:v>
      </x:c>
      <x:c r="F777" s="27" t="n">
        <x:v>1</x:v>
      </x:c>
      <x:c r="G777" s="29" t="str">
        <x:f>IF(E777=F777,"PASS","FAIL")</x:f>
        <x:v>PASS</x:v>
      </x:c>
    </x:row>
    <x:row r="778" ht="18" customHeight="1">
      <x:c r="B778" s="27" t="str">
        <x:v>A0772</x:v>
      </x:c>
      <x:c r="C778" s="27" t="str">
        <x:v>evidence</x:v>
      </x:c>
      <x:c r="D778" s="27" t="str">
        <x:v>Evidence row 39 zero credit</x:v>
      </x:c>
      <x:c r="E778" s="27" t="n">
        <x:f>IF('Evidence Gates'!K39=0,1,0)</x:f>
        <x:v>1</x:v>
      </x:c>
      <x:c r="F778" s="27" t="n">
        <x:v>1</x:v>
      </x:c>
      <x:c r="G778" s="29" t="str">
        <x:f>IF(E778=F778,"PASS","FAIL")</x:f>
        <x:v>PASS</x:v>
      </x:c>
    </x:row>
    <x:row r="779" ht="18" customHeight="1">
      <x:c r="B779" s="27" t="str">
        <x:v>A0773</x:v>
      </x:c>
      <x:c r="C779" s="27" t="str">
        <x:v>evidence</x:v>
      </x:c>
      <x:c r="D779" s="27" t="str">
        <x:v>Evidence row 39 has artifact</x:v>
      </x:c>
      <x:c r="E779" s="27" t="n">
        <x:f>IF('Evidence Gates'!F39&lt;&gt;"",1,0)</x:f>
        <x:v>1</x:v>
      </x:c>
      <x:c r="F779" s="27" t="n">
        <x:v>1</x:v>
      </x:c>
      <x:c r="G779" s="29" t="str">
        <x:f>IF(E779=F779,"PASS","FAIL")</x:f>
        <x:v>PASS</x:v>
      </x:c>
    </x:row>
    <x:row r="780" ht="18" customHeight="1">
      <x:c r="B780" s="27" t="str">
        <x:v>A0774</x:v>
      </x:c>
      <x:c r="C780" s="27" t="str">
        <x:v>evidence</x:v>
      </x:c>
      <x:c r="D780" s="27" t="str">
        <x:v>Evidence row 39 has authority</x:v>
      </x:c>
      <x:c r="E780" s="27" t="n">
        <x:f>IF('Evidence Gates'!G39&lt;&gt;"",1,0)</x:f>
        <x:v>1</x:v>
      </x:c>
      <x:c r="F780" s="27" t="n">
        <x:v>1</x:v>
      </x:c>
      <x:c r="G780" s="29" t="str">
        <x:f>IF(E780=F780,"PASS","FAIL")</x:f>
        <x:v>PASS</x:v>
      </x:c>
    </x:row>
    <x:row r="781" ht="18" customHeight="1">
      <x:c r="B781" s="27" t="str">
        <x:v>A0775</x:v>
      </x:c>
      <x:c r="C781" s="27" t="str">
        <x:v>evidence</x:v>
      </x:c>
      <x:c r="D781" s="27" t="str">
        <x:v>Evidence row 40 open</x:v>
      </x:c>
      <x:c r="E781" s="27" t="n">
        <x:f>IF('Evidence Gates'!I40="OPEN",1,0)</x:f>
        <x:v>1</x:v>
      </x:c>
      <x:c r="F781" s="27" t="n">
        <x:v>1</x:v>
      </x:c>
      <x:c r="G781" s="29" t="str">
        <x:f>IF(E781=F781,"PASS","FAIL")</x:f>
        <x:v>PASS</x:v>
      </x:c>
    </x:row>
    <x:row r="782" ht="18" customHeight="1">
      <x:c r="B782" s="27" t="str">
        <x:v>A0776</x:v>
      </x:c>
      <x:c r="C782" s="27" t="str">
        <x:v>evidence</x:v>
      </x:c>
      <x:c r="D782" s="27" t="str">
        <x:v>Evidence row 40 hold</x:v>
      </x:c>
      <x:c r="E782" s="27" t="n">
        <x:f>IF('Evidence Gates'!J40="HOLD",1,0)</x:f>
        <x:v>1</x:v>
      </x:c>
      <x:c r="F782" s="27" t="n">
        <x:v>1</x:v>
      </x:c>
      <x:c r="G782" s="29" t="str">
        <x:f>IF(E782=F782,"PASS","FAIL")</x:f>
        <x:v>PASS</x:v>
      </x:c>
    </x:row>
    <x:row r="783" ht="18" customHeight="1">
      <x:c r="B783" s="27" t="str">
        <x:v>A0777</x:v>
      </x:c>
      <x:c r="C783" s="27" t="str">
        <x:v>evidence</x:v>
      </x:c>
      <x:c r="D783" s="27" t="str">
        <x:v>Evidence row 40 zero credit</x:v>
      </x:c>
      <x:c r="E783" s="27" t="n">
        <x:f>IF('Evidence Gates'!K40=0,1,0)</x:f>
        <x:v>1</x:v>
      </x:c>
      <x:c r="F783" s="27" t="n">
        <x:v>1</x:v>
      </x:c>
      <x:c r="G783" s="29" t="str">
        <x:f>IF(E783=F783,"PASS","FAIL")</x:f>
        <x:v>PASS</x:v>
      </x:c>
    </x:row>
    <x:row r="784" ht="18" customHeight="1">
      <x:c r="B784" s="27" t="str">
        <x:v>A0778</x:v>
      </x:c>
      <x:c r="C784" s="27" t="str">
        <x:v>evidence</x:v>
      </x:c>
      <x:c r="D784" s="27" t="str">
        <x:v>Evidence row 40 has artifact</x:v>
      </x:c>
      <x:c r="E784" s="27" t="n">
        <x:f>IF('Evidence Gates'!F40&lt;&gt;"",1,0)</x:f>
        <x:v>1</x:v>
      </x:c>
      <x:c r="F784" s="27" t="n">
        <x:v>1</x:v>
      </x:c>
      <x:c r="G784" s="29" t="str">
        <x:f>IF(E784=F784,"PASS","FAIL")</x:f>
        <x:v>PASS</x:v>
      </x:c>
    </x:row>
    <x:row r="785" ht="18" customHeight="1">
      <x:c r="B785" s="27" t="str">
        <x:v>A0779</x:v>
      </x:c>
      <x:c r="C785" s="27" t="str">
        <x:v>evidence</x:v>
      </x:c>
      <x:c r="D785" s="27" t="str">
        <x:v>Evidence row 40 has authority</x:v>
      </x:c>
      <x:c r="E785" s="27" t="n">
        <x:f>IF('Evidence Gates'!G40&lt;&gt;"",1,0)</x:f>
        <x:v>1</x:v>
      </x:c>
      <x:c r="F785" s="27" t="n">
        <x:v>1</x:v>
      </x:c>
      <x:c r="G785" s="29" t="str">
        <x:f>IF(E785=F785,"PASS","FAIL")</x:f>
        <x:v>PASS</x:v>
      </x:c>
    </x:row>
    <x:row r="786" ht="18" customHeight="1">
      <x:c r="B786" s="27" t="str">
        <x:v>A0780</x:v>
      </x:c>
      <x:c r="C786" s="27" t="str">
        <x:v>evidence</x:v>
      </x:c>
      <x:c r="D786" s="27" t="str">
        <x:v>Evidence row 41 open</x:v>
      </x:c>
      <x:c r="E786" s="27" t="n">
        <x:f>IF('Evidence Gates'!I41="OPEN",1,0)</x:f>
        <x:v>1</x:v>
      </x:c>
      <x:c r="F786" s="27" t="n">
        <x:v>1</x:v>
      </x:c>
      <x:c r="G786" s="29" t="str">
        <x:f>IF(E786=F786,"PASS","FAIL")</x:f>
        <x:v>PASS</x:v>
      </x:c>
    </x:row>
    <x:row r="787" ht="18" customHeight="1">
      <x:c r="B787" s="27" t="str">
        <x:v>A0781</x:v>
      </x:c>
      <x:c r="C787" s="27" t="str">
        <x:v>evidence</x:v>
      </x:c>
      <x:c r="D787" s="27" t="str">
        <x:v>Evidence row 41 hold</x:v>
      </x:c>
      <x:c r="E787" s="27" t="n">
        <x:f>IF('Evidence Gates'!J41="HOLD",1,0)</x:f>
        <x:v>1</x:v>
      </x:c>
      <x:c r="F787" s="27" t="n">
        <x:v>1</x:v>
      </x:c>
      <x:c r="G787" s="29" t="str">
        <x:f>IF(E787=F787,"PASS","FAIL")</x:f>
        <x:v>PASS</x:v>
      </x:c>
    </x:row>
    <x:row r="788" ht="18" customHeight="1">
      <x:c r="B788" s="27" t="str">
        <x:v>A0782</x:v>
      </x:c>
      <x:c r="C788" s="27" t="str">
        <x:v>evidence</x:v>
      </x:c>
      <x:c r="D788" s="27" t="str">
        <x:v>Evidence row 41 zero credit</x:v>
      </x:c>
      <x:c r="E788" s="27" t="n">
        <x:f>IF('Evidence Gates'!K41=0,1,0)</x:f>
        <x:v>1</x:v>
      </x:c>
      <x:c r="F788" s="27" t="n">
        <x:v>1</x:v>
      </x:c>
      <x:c r="G788" s="29" t="str">
        <x:f>IF(E788=F788,"PASS","FAIL")</x:f>
        <x:v>PASS</x:v>
      </x:c>
    </x:row>
    <x:row r="789" ht="18" customHeight="1">
      <x:c r="B789" s="27" t="str">
        <x:v>A0783</x:v>
      </x:c>
      <x:c r="C789" s="27" t="str">
        <x:v>evidence</x:v>
      </x:c>
      <x:c r="D789" s="27" t="str">
        <x:v>Evidence row 41 has artifact</x:v>
      </x:c>
      <x:c r="E789" s="27" t="n">
        <x:f>IF('Evidence Gates'!F41&lt;&gt;"",1,0)</x:f>
        <x:v>1</x:v>
      </x:c>
      <x:c r="F789" s="27" t="n">
        <x:v>1</x:v>
      </x:c>
      <x:c r="G789" s="29" t="str">
        <x:f>IF(E789=F789,"PASS","FAIL")</x:f>
        <x:v>PASS</x:v>
      </x:c>
    </x:row>
    <x:row r="790" ht="18" customHeight="1">
      <x:c r="B790" s="27" t="str">
        <x:v>A0784</x:v>
      </x:c>
      <x:c r="C790" s="27" t="str">
        <x:v>evidence</x:v>
      </x:c>
      <x:c r="D790" s="27" t="str">
        <x:v>Evidence row 41 has authority</x:v>
      </x:c>
      <x:c r="E790" s="27" t="n">
        <x:f>IF('Evidence Gates'!G41&lt;&gt;"",1,0)</x:f>
        <x:v>1</x:v>
      </x:c>
      <x:c r="F790" s="27" t="n">
        <x:v>1</x:v>
      </x:c>
      <x:c r="G790" s="29" t="str">
        <x:f>IF(E790=F790,"PASS","FAIL")</x:f>
        <x:v>PASS</x:v>
      </x:c>
    </x:row>
    <x:row r="791" ht="18" customHeight="1">
      <x:c r="B791" s="27" t="str">
        <x:v>A0785</x:v>
      </x:c>
      <x:c r="C791" s="27" t="str">
        <x:v>evidence</x:v>
      </x:c>
      <x:c r="D791" s="27" t="str">
        <x:v>Evidence row 42 open</x:v>
      </x:c>
      <x:c r="E791" s="27" t="n">
        <x:f>IF('Evidence Gates'!I42="OPEN",1,0)</x:f>
        <x:v>1</x:v>
      </x:c>
      <x:c r="F791" s="27" t="n">
        <x:v>1</x:v>
      </x:c>
      <x:c r="G791" s="29" t="str">
        <x:f>IF(E791=F791,"PASS","FAIL")</x:f>
        <x:v>PASS</x:v>
      </x:c>
    </x:row>
    <x:row r="792" ht="18" customHeight="1">
      <x:c r="B792" s="27" t="str">
        <x:v>A0786</x:v>
      </x:c>
      <x:c r="C792" s="27" t="str">
        <x:v>evidence</x:v>
      </x:c>
      <x:c r="D792" s="27" t="str">
        <x:v>Evidence row 42 hold</x:v>
      </x:c>
      <x:c r="E792" s="27" t="n">
        <x:f>IF('Evidence Gates'!J42="HOLD",1,0)</x:f>
        <x:v>1</x:v>
      </x:c>
      <x:c r="F792" s="27" t="n">
        <x:v>1</x:v>
      </x:c>
      <x:c r="G792" s="29" t="str">
        <x:f>IF(E792=F792,"PASS","FAIL")</x:f>
        <x:v>PASS</x:v>
      </x:c>
    </x:row>
    <x:row r="793" ht="18" customHeight="1">
      <x:c r="B793" s="27" t="str">
        <x:v>A0787</x:v>
      </x:c>
      <x:c r="C793" s="27" t="str">
        <x:v>evidence</x:v>
      </x:c>
      <x:c r="D793" s="27" t="str">
        <x:v>Evidence row 42 zero credit</x:v>
      </x:c>
      <x:c r="E793" s="27" t="n">
        <x:f>IF('Evidence Gates'!K42=0,1,0)</x:f>
        <x:v>1</x:v>
      </x:c>
      <x:c r="F793" s="27" t="n">
        <x:v>1</x:v>
      </x:c>
      <x:c r="G793" s="29" t="str">
        <x:f>IF(E793=F793,"PASS","FAIL")</x:f>
        <x:v>PASS</x:v>
      </x:c>
    </x:row>
    <x:row r="794" ht="18" customHeight="1">
      <x:c r="B794" s="27" t="str">
        <x:v>A0788</x:v>
      </x:c>
      <x:c r="C794" s="27" t="str">
        <x:v>evidence</x:v>
      </x:c>
      <x:c r="D794" s="27" t="str">
        <x:v>Evidence row 42 has artifact</x:v>
      </x:c>
      <x:c r="E794" s="27" t="n">
        <x:f>IF('Evidence Gates'!F42&lt;&gt;"",1,0)</x:f>
        <x:v>1</x:v>
      </x:c>
      <x:c r="F794" s="27" t="n">
        <x:v>1</x:v>
      </x:c>
      <x:c r="G794" s="29" t="str">
        <x:f>IF(E794=F794,"PASS","FAIL")</x:f>
        <x:v>PASS</x:v>
      </x:c>
    </x:row>
    <x:row r="795" ht="18" customHeight="1">
      <x:c r="B795" s="27" t="str">
        <x:v>A0789</x:v>
      </x:c>
      <x:c r="C795" s="27" t="str">
        <x:v>evidence</x:v>
      </x:c>
      <x:c r="D795" s="27" t="str">
        <x:v>Evidence row 42 has authority</x:v>
      </x:c>
      <x:c r="E795" s="27" t="n">
        <x:f>IF('Evidence Gates'!G42&lt;&gt;"",1,0)</x:f>
        <x:v>1</x:v>
      </x:c>
      <x:c r="F795" s="27" t="n">
        <x:v>1</x:v>
      </x:c>
      <x:c r="G795" s="29" t="str">
        <x:f>IF(E795=F795,"PASS","FAIL")</x:f>
        <x:v>PASS</x:v>
      </x:c>
    </x:row>
    <x:row r="796" ht="18" customHeight="1">
      <x:c r="B796" s="27" t="str">
        <x:v>A0790</x:v>
      </x:c>
      <x:c r="C796" s="27" t="str">
        <x:v>evidence</x:v>
      </x:c>
      <x:c r="D796" s="27" t="str">
        <x:v>Evidence row 43 open</x:v>
      </x:c>
      <x:c r="E796" s="27" t="n">
        <x:f>IF('Evidence Gates'!I43="OPEN",1,0)</x:f>
        <x:v>1</x:v>
      </x:c>
      <x:c r="F796" s="27" t="n">
        <x:v>1</x:v>
      </x:c>
      <x:c r="G796" s="29" t="str">
        <x:f>IF(E796=F796,"PASS","FAIL")</x:f>
        <x:v>PASS</x:v>
      </x:c>
    </x:row>
    <x:row r="797" ht="18" customHeight="1">
      <x:c r="B797" s="27" t="str">
        <x:v>A0791</x:v>
      </x:c>
      <x:c r="C797" s="27" t="str">
        <x:v>evidence</x:v>
      </x:c>
      <x:c r="D797" s="27" t="str">
        <x:v>Evidence row 43 hold</x:v>
      </x:c>
      <x:c r="E797" s="27" t="n">
        <x:f>IF('Evidence Gates'!J43="HOLD",1,0)</x:f>
        <x:v>1</x:v>
      </x:c>
      <x:c r="F797" s="27" t="n">
        <x:v>1</x:v>
      </x:c>
      <x:c r="G797" s="29" t="str">
        <x:f>IF(E797=F797,"PASS","FAIL")</x:f>
        <x:v>PASS</x:v>
      </x:c>
    </x:row>
    <x:row r="798" ht="18" customHeight="1">
      <x:c r="B798" s="27" t="str">
        <x:v>A0792</x:v>
      </x:c>
      <x:c r="C798" s="27" t="str">
        <x:v>evidence</x:v>
      </x:c>
      <x:c r="D798" s="27" t="str">
        <x:v>Evidence row 43 zero credit</x:v>
      </x:c>
      <x:c r="E798" s="27" t="n">
        <x:f>IF('Evidence Gates'!K43=0,1,0)</x:f>
        <x:v>1</x:v>
      </x:c>
      <x:c r="F798" s="27" t="n">
        <x:v>1</x:v>
      </x:c>
      <x:c r="G798" s="29" t="str">
        <x:f>IF(E798=F798,"PASS","FAIL")</x:f>
        <x:v>PASS</x:v>
      </x:c>
    </x:row>
    <x:row r="799" ht="18" customHeight="1">
      <x:c r="B799" s="27" t="str">
        <x:v>A0793</x:v>
      </x:c>
      <x:c r="C799" s="27" t="str">
        <x:v>evidence</x:v>
      </x:c>
      <x:c r="D799" s="27" t="str">
        <x:v>Evidence row 43 has artifact</x:v>
      </x:c>
      <x:c r="E799" s="27" t="n">
        <x:f>IF('Evidence Gates'!F43&lt;&gt;"",1,0)</x:f>
        <x:v>1</x:v>
      </x:c>
      <x:c r="F799" s="27" t="n">
        <x:v>1</x:v>
      </x:c>
      <x:c r="G799" s="29" t="str">
        <x:f>IF(E799=F799,"PASS","FAIL")</x:f>
        <x:v>PASS</x:v>
      </x:c>
    </x:row>
    <x:row r="800" ht="18" customHeight="1">
      <x:c r="B800" s="27" t="str">
        <x:v>A0794</x:v>
      </x:c>
      <x:c r="C800" s="27" t="str">
        <x:v>evidence</x:v>
      </x:c>
      <x:c r="D800" s="27" t="str">
        <x:v>Evidence row 43 has authority</x:v>
      </x:c>
      <x:c r="E800" s="27" t="n">
        <x:f>IF('Evidence Gates'!G43&lt;&gt;"",1,0)</x:f>
        <x:v>1</x:v>
      </x:c>
      <x:c r="F800" s="27" t="n">
        <x:v>1</x:v>
      </x:c>
      <x:c r="G800" s="29" t="str">
        <x:f>IF(E800=F800,"PASS","FAIL")</x:f>
        <x:v>PASS</x:v>
      </x:c>
    </x:row>
    <x:row r="801" ht="18" customHeight="1">
      <x:c r="B801" s="27" t="str">
        <x:v>A0795</x:v>
      </x:c>
      <x:c r="C801" s="27" t="str">
        <x:v>evidence</x:v>
      </x:c>
      <x:c r="D801" s="27" t="str">
        <x:v>Evidence row 44 open</x:v>
      </x:c>
      <x:c r="E801" s="27" t="n">
        <x:f>IF('Evidence Gates'!I44="OPEN",1,0)</x:f>
        <x:v>1</x:v>
      </x:c>
      <x:c r="F801" s="27" t="n">
        <x:v>1</x:v>
      </x:c>
      <x:c r="G801" s="29" t="str">
        <x:f>IF(E801=F801,"PASS","FAIL")</x:f>
        <x:v>PASS</x:v>
      </x:c>
    </x:row>
    <x:row r="802" ht="18" customHeight="1">
      <x:c r="B802" s="27" t="str">
        <x:v>A0796</x:v>
      </x:c>
      <x:c r="C802" s="27" t="str">
        <x:v>evidence</x:v>
      </x:c>
      <x:c r="D802" s="27" t="str">
        <x:v>Evidence row 44 hold</x:v>
      </x:c>
      <x:c r="E802" s="27" t="n">
        <x:f>IF('Evidence Gates'!J44="HOLD",1,0)</x:f>
        <x:v>1</x:v>
      </x:c>
      <x:c r="F802" s="27" t="n">
        <x:v>1</x:v>
      </x:c>
      <x:c r="G802" s="29" t="str">
        <x:f>IF(E802=F802,"PASS","FAIL")</x:f>
        <x:v>PASS</x:v>
      </x:c>
    </x:row>
    <x:row r="803" ht="18" customHeight="1">
      <x:c r="B803" s="27" t="str">
        <x:v>A0797</x:v>
      </x:c>
      <x:c r="C803" s="27" t="str">
        <x:v>evidence</x:v>
      </x:c>
      <x:c r="D803" s="27" t="str">
        <x:v>Evidence row 44 zero credit</x:v>
      </x:c>
      <x:c r="E803" s="27" t="n">
        <x:f>IF('Evidence Gates'!K44=0,1,0)</x:f>
        <x:v>1</x:v>
      </x:c>
      <x:c r="F803" s="27" t="n">
        <x:v>1</x:v>
      </x:c>
      <x:c r="G803" s="29" t="str">
        <x:f>IF(E803=F803,"PASS","FAIL")</x:f>
        <x:v>PASS</x:v>
      </x:c>
    </x:row>
    <x:row r="804" ht="18" customHeight="1">
      <x:c r="B804" s="27" t="str">
        <x:v>A0798</x:v>
      </x:c>
      <x:c r="C804" s="27" t="str">
        <x:v>evidence</x:v>
      </x:c>
      <x:c r="D804" s="27" t="str">
        <x:v>Evidence row 44 has artifact</x:v>
      </x:c>
      <x:c r="E804" s="27" t="n">
        <x:f>IF('Evidence Gates'!F44&lt;&gt;"",1,0)</x:f>
        <x:v>1</x:v>
      </x:c>
      <x:c r="F804" s="27" t="n">
        <x:v>1</x:v>
      </x:c>
      <x:c r="G804" s="29" t="str">
        <x:f>IF(E804=F804,"PASS","FAIL")</x:f>
        <x:v>PASS</x:v>
      </x:c>
    </x:row>
    <x:row r="805" ht="18" customHeight="1">
      <x:c r="B805" s="27" t="str">
        <x:v>A0799</x:v>
      </x:c>
      <x:c r="C805" s="27" t="str">
        <x:v>evidence</x:v>
      </x:c>
      <x:c r="D805" s="27" t="str">
        <x:v>Evidence row 44 has authority</x:v>
      </x:c>
      <x:c r="E805" s="27" t="n">
        <x:f>IF('Evidence Gates'!G44&lt;&gt;"",1,0)</x:f>
        <x:v>1</x:v>
      </x:c>
      <x:c r="F805" s="27" t="n">
        <x:v>1</x:v>
      </x:c>
      <x:c r="G805" s="29" t="str">
        <x:f>IF(E805=F805,"PASS","FAIL")</x:f>
        <x:v>PASS</x:v>
      </x:c>
    </x:row>
    <x:row r="806" ht="18" customHeight="1">
      <x:c r="B806" s="27" t="str">
        <x:v>A0800</x:v>
      </x:c>
      <x:c r="C806" s="27" t="str">
        <x:v>evidence</x:v>
      </x:c>
      <x:c r="D806" s="27" t="str">
        <x:v>Evidence row 45 open</x:v>
      </x:c>
      <x:c r="E806" s="27" t="n">
        <x:f>IF('Evidence Gates'!I45="OPEN",1,0)</x:f>
        <x:v>1</x:v>
      </x:c>
      <x:c r="F806" s="27" t="n">
        <x:v>1</x:v>
      </x:c>
      <x:c r="G806" s="29" t="str">
        <x:f>IF(E806=F806,"PASS","FAIL")</x:f>
        <x:v>PASS</x:v>
      </x:c>
    </x:row>
    <x:row r="807" ht="18" customHeight="1">
      <x:c r="B807" s="27" t="str">
        <x:v>A0801</x:v>
      </x:c>
      <x:c r="C807" s="27" t="str">
        <x:v>evidence</x:v>
      </x:c>
      <x:c r="D807" s="27" t="str">
        <x:v>Evidence row 45 hold</x:v>
      </x:c>
      <x:c r="E807" s="27" t="n">
        <x:f>IF('Evidence Gates'!J45="HOLD",1,0)</x:f>
        <x:v>1</x:v>
      </x:c>
      <x:c r="F807" s="27" t="n">
        <x:v>1</x:v>
      </x:c>
      <x:c r="G807" s="29" t="str">
        <x:f>IF(E807=F807,"PASS","FAIL")</x:f>
        <x:v>PASS</x:v>
      </x:c>
    </x:row>
    <x:row r="808" ht="18" customHeight="1">
      <x:c r="B808" s="27" t="str">
        <x:v>A0802</x:v>
      </x:c>
      <x:c r="C808" s="27" t="str">
        <x:v>evidence</x:v>
      </x:c>
      <x:c r="D808" s="27" t="str">
        <x:v>Evidence row 45 zero credit</x:v>
      </x:c>
      <x:c r="E808" s="27" t="n">
        <x:f>IF('Evidence Gates'!K45=0,1,0)</x:f>
        <x:v>1</x:v>
      </x:c>
      <x:c r="F808" s="27" t="n">
        <x:v>1</x:v>
      </x:c>
      <x:c r="G808" s="29" t="str">
        <x:f>IF(E808=F808,"PASS","FAIL")</x:f>
        <x:v>PASS</x:v>
      </x:c>
    </x:row>
    <x:row r="809" ht="18" customHeight="1">
      <x:c r="B809" s="27" t="str">
        <x:v>A0803</x:v>
      </x:c>
      <x:c r="C809" s="27" t="str">
        <x:v>evidence</x:v>
      </x:c>
      <x:c r="D809" s="27" t="str">
        <x:v>Evidence row 45 has artifact</x:v>
      </x:c>
      <x:c r="E809" s="27" t="n">
        <x:f>IF('Evidence Gates'!F45&lt;&gt;"",1,0)</x:f>
        <x:v>1</x:v>
      </x:c>
      <x:c r="F809" s="27" t="n">
        <x:v>1</x:v>
      </x:c>
      <x:c r="G809" s="29" t="str">
        <x:f>IF(E809=F809,"PASS","FAIL")</x:f>
        <x:v>PASS</x:v>
      </x:c>
    </x:row>
    <x:row r="810" ht="18" customHeight="1">
      <x:c r="B810" s="27" t="str">
        <x:v>A0804</x:v>
      </x:c>
      <x:c r="C810" s="27" t="str">
        <x:v>evidence</x:v>
      </x:c>
      <x:c r="D810" s="27" t="str">
        <x:v>Evidence row 45 has authority</x:v>
      </x:c>
      <x:c r="E810" s="27" t="n">
        <x:f>IF('Evidence Gates'!G45&lt;&gt;"",1,0)</x:f>
        <x:v>1</x:v>
      </x:c>
      <x:c r="F810" s="27" t="n">
        <x:v>1</x:v>
      </x:c>
      <x:c r="G810" s="29" t="str">
        <x:f>IF(E810=F810,"PASS","FAIL")</x:f>
        <x:v>PASS</x:v>
      </x:c>
    </x:row>
    <x:row r="811" ht="18" customHeight="1">
      <x:c r="B811" s="27" t="str">
        <x:v>A0805</x:v>
      </x:c>
      <x:c r="C811" s="27" t="str">
        <x:v>evidence</x:v>
      </x:c>
      <x:c r="D811" s="27" t="str">
        <x:v>Evidence row 46 open</x:v>
      </x:c>
      <x:c r="E811" s="27" t="n">
        <x:f>IF('Evidence Gates'!I46="OPEN",1,0)</x:f>
        <x:v>1</x:v>
      </x:c>
      <x:c r="F811" s="27" t="n">
        <x:v>1</x:v>
      </x:c>
      <x:c r="G811" s="29" t="str">
        <x:f>IF(E811=F811,"PASS","FAIL")</x:f>
        <x:v>PASS</x:v>
      </x:c>
    </x:row>
    <x:row r="812" ht="18" customHeight="1">
      <x:c r="B812" s="27" t="str">
        <x:v>A0806</x:v>
      </x:c>
      <x:c r="C812" s="27" t="str">
        <x:v>evidence</x:v>
      </x:c>
      <x:c r="D812" s="27" t="str">
        <x:v>Evidence row 46 hold</x:v>
      </x:c>
      <x:c r="E812" s="27" t="n">
        <x:f>IF('Evidence Gates'!J46="HOLD",1,0)</x:f>
        <x:v>1</x:v>
      </x:c>
      <x:c r="F812" s="27" t="n">
        <x:v>1</x:v>
      </x:c>
      <x:c r="G812" s="29" t="str">
        <x:f>IF(E812=F812,"PASS","FAIL")</x:f>
        <x:v>PASS</x:v>
      </x:c>
    </x:row>
    <x:row r="813" ht="18" customHeight="1">
      <x:c r="B813" s="27" t="str">
        <x:v>A0807</x:v>
      </x:c>
      <x:c r="C813" s="27" t="str">
        <x:v>evidence</x:v>
      </x:c>
      <x:c r="D813" s="27" t="str">
        <x:v>Evidence row 46 zero credit</x:v>
      </x:c>
      <x:c r="E813" s="27" t="n">
        <x:f>IF('Evidence Gates'!K46=0,1,0)</x:f>
        <x:v>1</x:v>
      </x:c>
      <x:c r="F813" s="27" t="n">
        <x:v>1</x:v>
      </x:c>
      <x:c r="G813" s="29" t="str">
        <x:f>IF(E813=F813,"PASS","FAIL")</x:f>
        <x:v>PASS</x:v>
      </x:c>
    </x:row>
    <x:row r="814" ht="18" customHeight="1">
      <x:c r="B814" s="27" t="str">
        <x:v>A0808</x:v>
      </x:c>
      <x:c r="C814" s="27" t="str">
        <x:v>evidence</x:v>
      </x:c>
      <x:c r="D814" s="27" t="str">
        <x:v>Evidence row 46 has artifact</x:v>
      </x:c>
      <x:c r="E814" s="27" t="n">
        <x:f>IF('Evidence Gates'!F46&lt;&gt;"",1,0)</x:f>
        <x:v>1</x:v>
      </x:c>
      <x:c r="F814" s="27" t="n">
        <x:v>1</x:v>
      </x:c>
      <x:c r="G814" s="29" t="str">
        <x:f>IF(E814=F814,"PASS","FAIL")</x:f>
        <x:v>PASS</x:v>
      </x:c>
    </x:row>
    <x:row r="815" ht="18" customHeight="1">
      <x:c r="B815" s="27" t="str">
        <x:v>A0809</x:v>
      </x:c>
      <x:c r="C815" s="27" t="str">
        <x:v>evidence</x:v>
      </x:c>
      <x:c r="D815" s="27" t="str">
        <x:v>Evidence row 46 has authority</x:v>
      </x:c>
      <x:c r="E815" s="27" t="n">
        <x:f>IF('Evidence Gates'!G46&lt;&gt;"",1,0)</x:f>
        <x:v>1</x:v>
      </x:c>
      <x:c r="F815" s="27" t="n">
        <x:v>1</x:v>
      </x:c>
      <x:c r="G815" s="29" t="str">
        <x:f>IF(E815=F815,"PASS","FAIL")</x:f>
        <x:v>PASS</x:v>
      </x:c>
    </x:row>
    <x:row r="816" ht="18" customHeight="1">
      <x:c r="B816" s="27" t="str">
        <x:v>A0810</x:v>
      </x:c>
      <x:c r="C816" s="27" t="str">
        <x:v>evidence</x:v>
      </x:c>
      <x:c r="D816" s="27" t="str">
        <x:v>Evidence row 47 open</x:v>
      </x:c>
      <x:c r="E816" s="27" t="n">
        <x:f>IF('Evidence Gates'!I47="OPEN",1,0)</x:f>
        <x:v>1</x:v>
      </x:c>
      <x:c r="F816" s="27" t="n">
        <x:v>1</x:v>
      </x:c>
      <x:c r="G816" s="29" t="str">
        <x:f>IF(E816=F816,"PASS","FAIL")</x:f>
        <x:v>PASS</x:v>
      </x:c>
    </x:row>
    <x:row r="817" ht="18" customHeight="1">
      <x:c r="B817" s="27" t="str">
        <x:v>A0811</x:v>
      </x:c>
      <x:c r="C817" s="27" t="str">
        <x:v>evidence</x:v>
      </x:c>
      <x:c r="D817" s="27" t="str">
        <x:v>Evidence row 47 hold</x:v>
      </x:c>
      <x:c r="E817" s="27" t="n">
        <x:f>IF('Evidence Gates'!J47="HOLD",1,0)</x:f>
        <x:v>1</x:v>
      </x:c>
      <x:c r="F817" s="27" t="n">
        <x:v>1</x:v>
      </x:c>
      <x:c r="G817" s="29" t="str">
        <x:f>IF(E817=F817,"PASS","FAIL")</x:f>
        <x:v>PASS</x:v>
      </x:c>
    </x:row>
    <x:row r="818" ht="18" customHeight="1">
      <x:c r="B818" s="27" t="str">
        <x:v>A0812</x:v>
      </x:c>
      <x:c r="C818" s="27" t="str">
        <x:v>evidence</x:v>
      </x:c>
      <x:c r="D818" s="27" t="str">
        <x:v>Evidence row 47 zero credit</x:v>
      </x:c>
      <x:c r="E818" s="27" t="n">
        <x:f>IF('Evidence Gates'!K47=0,1,0)</x:f>
        <x:v>1</x:v>
      </x:c>
      <x:c r="F818" s="27" t="n">
        <x:v>1</x:v>
      </x:c>
      <x:c r="G818" s="29" t="str">
        <x:f>IF(E818=F818,"PASS","FAIL")</x:f>
        <x:v>PASS</x:v>
      </x:c>
    </x:row>
    <x:row r="819" ht="18" customHeight="1">
      <x:c r="B819" s="27" t="str">
        <x:v>A0813</x:v>
      </x:c>
      <x:c r="C819" s="27" t="str">
        <x:v>evidence</x:v>
      </x:c>
      <x:c r="D819" s="27" t="str">
        <x:v>Evidence row 47 has artifact</x:v>
      </x:c>
      <x:c r="E819" s="27" t="n">
        <x:f>IF('Evidence Gates'!F47&lt;&gt;"",1,0)</x:f>
        <x:v>1</x:v>
      </x:c>
      <x:c r="F819" s="27" t="n">
        <x:v>1</x:v>
      </x:c>
      <x:c r="G819" s="29" t="str">
        <x:f>IF(E819=F819,"PASS","FAIL")</x:f>
        <x:v>PASS</x:v>
      </x:c>
    </x:row>
    <x:row r="820" ht="18" customHeight="1">
      <x:c r="B820" s="27" t="str">
        <x:v>A0814</x:v>
      </x:c>
      <x:c r="C820" s="27" t="str">
        <x:v>evidence</x:v>
      </x:c>
      <x:c r="D820" s="27" t="str">
        <x:v>Evidence row 47 has authority</x:v>
      </x:c>
      <x:c r="E820" s="27" t="n">
        <x:f>IF('Evidence Gates'!G47&lt;&gt;"",1,0)</x:f>
        <x:v>1</x:v>
      </x:c>
      <x:c r="F820" s="27" t="n">
        <x:v>1</x:v>
      </x:c>
      <x:c r="G820" s="29" t="str">
        <x:f>IF(E820=F820,"PASS","FAIL")</x:f>
        <x:v>PASS</x:v>
      </x:c>
    </x:row>
    <x:row r="821" ht="18" customHeight="1">
      <x:c r="B821" s="27" t="str">
        <x:v>A0815</x:v>
      </x:c>
      <x:c r="C821" s="27" t="str">
        <x:v>evidence</x:v>
      </x:c>
      <x:c r="D821" s="27" t="str">
        <x:v>Evidence row 48 open</x:v>
      </x:c>
      <x:c r="E821" s="27" t="n">
        <x:f>IF('Evidence Gates'!I48="OPEN",1,0)</x:f>
        <x:v>1</x:v>
      </x:c>
      <x:c r="F821" s="27" t="n">
        <x:v>1</x:v>
      </x:c>
      <x:c r="G821" s="29" t="str">
        <x:f>IF(E821=F821,"PASS","FAIL")</x:f>
        <x:v>PASS</x:v>
      </x:c>
    </x:row>
    <x:row r="822" ht="18" customHeight="1">
      <x:c r="B822" s="27" t="str">
        <x:v>A0816</x:v>
      </x:c>
      <x:c r="C822" s="27" t="str">
        <x:v>evidence</x:v>
      </x:c>
      <x:c r="D822" s="27" t="str">
        <x:v>Evidence row 48 hold</x:v>
      </x:c>
      <x:c r="E822" s="27" t="n">
        <x:f>IF('Evidence Gates'!J48="HOLD",1,0)</x:f>
        <x:v>1</x:v>
      </x:c>
      <x:c r="F822" s="27" t="n">
        <x:v>1</x:v>
      </x:c>
      <x:c r="G822" s="29" t="str">
        <x:f>IF(E822=F822,"PASS","FAIL")</x:f>
        <x:v>PASS</x:v>
      </x:c>
    </x:row>
    <x:row r="823" ht="18" customHeight="1">
      <x:c r="B823" s="27" t="str">
        <x:v>A0817</x:v>
      </x:c>
      <x:c r="C823" s="27" t="str">
        <x:v>evidence</x:v>
      </x:c>
      <x:c r="D823" s="27" t="str">
        <x:v>Evidence row 48 zero credit</x:v>
      </x:c>
      <x:c r="E823" s="27" t="n">
        <x:f>IF('Evidence Gates'!K48=0,1,0)</x:f>
        <x:v>1</x:v>
      </x:c>
      <x:c r="F823" s="27" t="n">
        <x:v>1</x:v>
      </x:c>
      <x:c r="G823" s="29" t="str">
        <x:f>IF(E823=F823,"PASS","FAIL")</x:f>
        <x:v>PASS</x:v>
      </x:c>
    </x:row>
    <x:row r="824" ht="18" customHeight="1">
      <x:c r="B824" s="27" t="str">
        <x:v>A0818</x:v>
      </x:c>
      <x:c r="C824" s="27" t="str">
        <x:v>evidence</x:v>
      </x:c>
      <x:c r="D824" s="27" t="str">
        <x:v>Evidence row 48 has artifact</x:v>
      </x:c>
      <x:c r="E824" s="27" t="n">
        <x:f>IF('Evidence Gates'!F48&lt;&gt;"",1,0)</x:f>
        <x:v>1</x:v>
      </x:c>
      <x:c r="F824" s="27" t="n">
        <x:v>1</x:v>
      </x:c>
      <x:c r="G824" s="29" t="str">
        <x:f>IF(E824=F824,"PASS","FAIL")</x:f>
        <x:v>PASS</x:v>
      </x:c>
    </x:row>
    <x:row r="825" ht="18" customHeight="1">
      <x:c r="B825" s="27" t="str">
        <x:v>A0819</x:v>
      </x:c>
      <x:c r="C825" s="27" t="str">
        <x:v>evidence</x:v>
      </x:c>
      <x:c r="D825" s="27" t="str">
        <x:v>Evidence row 48 has authority</x:v>
      </x:c>
      <x:c r="E825" s="27" t="n">
        <x:f>IF('Evidence Gates'!G48&lt;&gt;"",1,0)</x:f>
        <x:v>1</x:v>
      </x:c>
      <x:c r="F825" s="27" t="n">
        <x:v>1</x:v>
      </x:c>
      <x:c r="G825" s="29" t="str">
        <x:f>IF(E825=F825,"PASS","FAIL")</x:f>
        <x:v>PASS</x:v>
      </x:c>
    </x:row>
    <x:row r="826" ht="18" customHeight="1">
      <x:c r="B826" s="27" t="str">
        <x:v>A0820</x:v>
      </x:c>
      <x:c r="C826" s="27" t="str">
        <x:v>evidence</x:v>
      </x:c>
      <x:c r="D826" s="27" t="str">
        <x:v>Evidence row 49 open</x:v>
      </x:c>
      <x:c r="E826" s="27" t="n">
        <x:f>IF('Evidence Gates'!I49="OPEN",1,0)</x:f>
        <x:v>1</x:v>
      </x:c>
      <x:c r="F826" s="27" t="n">
        <x:v>1</x:v>
      </x:c>
      <x:c r="G826" s="29" t="str">
        <x:f>IF(E826=F826,"PASS","FAIL")</x:f>
        <x:v>PASS</x:v>
      </x:c>
    </x:row>
    <x:row r="827" ht="18" customHeight="1">
      <x:c r="B827" s="27" t="str">
        <x:v>A0821</x:v>
      </x:c>
      <x:c r="C827" s="27" t="str">
        <x:v>evidence</x:v>
      </x:c>
      <x:c r="D827" s="27" t="str">
        <x:v>Evidence row 49 hold</x:v>
      </x:c>
      <x:c r="E827" s="27" t="n">
        <x:f>IF('Evidence Gates'!J49="HOLD",1,0)</x:f>
        <x:v>1</x:v>
      </x:c>
      <x:c r="F827" s="27" t="n">
        <x:v>1</x:v>
      </x:c>
      <x:c r="G827" s="29" t="str">
        <x:f>IF(E827=F827,"PASS","FAIL")</x:f>
        <x:v>PASS</x:v>
      </x:c>
    </x:row>
    <x:row r="828" ht="18" customHeight="1">
      <x:c r="B828" s="27" t="str">
        <x:v>A0822</x:v>
      </x:c>
      <x:c r="C828" s="27" t="str">
        <x:v>evidence</x:v>
      </x:c>
      <x:c r="D828" s="27" t="str">
        <x:v>Evidence row 49 zero credit</x:v>
      </x:c>
      <x:c r="E828" s="27" t="n">
        <x:f>IF('Evidence Gates'!K49=0,1,0)</x:f>
        <x:v>1</x:v>
      </x:c>
      <x:c r="F828" s="27" t="n">
        <x:v>1</x:v>
      </x:c>
      <x:c r="G828" s="29" t="str">
        <x:f>IF(E828=F828,"PASS","FAIL")</x:f>
        <x:v>PASS</x:v>
      </x:c>
    </x:row>
    <x:row r="829" ht="18" customHeight="1">
      <x:c r="B829" s="27" t="str">
        <x:v>A0823</x:v>
      </x:c>
      <x:c r="C829" s="27" t="str">
        <x:v>evidence</x:v>
      </x:c>
      <x:c r="D829" s="27" t="str">
        <x:v>Evidence row 49 has artifact</x:v>
      </x:c>
      <x:c r="E829" s="27" t="n">
        <x:f>IF('Evidence Gates'!F49&lt;&gt;"",1,0)</x:f>
        <x:v>1</x:v>
      </x:c>
      <x:c r="F829" s="27" t="n">
        <x:v>1</x:v>
      </x:c>
      <x:c r="G829" s="29" t="str">
        <x:f>IF(E829=F829,"PASS","FAIL")</x:f>
        <x:v>PASS</x:v>
      </x:c>
    </x:row>
    <x:row r="830" ht="18" customHeight="1">
      <x:c r="B830" s="27" t="str">
        <x:v>A0824</x:v>
      </x:c>
      <x:c r="C830" s="27" t="str">
        <x:v>evidence</x:v>
      </x:c>
      <x:c r="D830" s="27" t="str">
        <x:v>Evidence row 49 has authority</x:v>
      </x:c>
      <x:c r="E830" s="27" t="n">
        <x:f>IF('Evidence Gates'!G49&lt;&gt;"",1,0)</x:f>
        <x:v>1</x:v>
      </x:c>
      <x:c r="F830" s="27" t="n">
        <x:v>1</x:v>
      </x:c>
      <x:c r="G830" s="29" t="str">
        <x:f>IF(E830=F830,"PASS","FAIL")</x:f>
        <x:v>PASS</x:v>
      </x:c>
    </x:row>
    <x:row r="831" ht="18" customHeight="1">
      <x:c r="B831" s="27" t="str">
        <x:v>A0825</x:v>
      </x:c>
      <x:c r="C831" s="27" t="str">
        <x:v>evidence</x:v>
      </x:c>
      <x:c r="D831" s="27" t="str">
        <x:v>Evidence row 50 open</x:v>
      </x:c>
      <x:c r="E831" s="27" t="n">
        <x:f>IF('Evidence Gates'!I50="OPEN",1,0)</x:f>
        <x:v>1</x:v>
      </x:c>
      <x:c r="F831" s="27" t="n">
        <x:v>1</x:v>
      </x:c>
      <x:c r="G831" s="29" t="str">
        <x:f>IF(E831=F831,"PASS","FAIL")</x:f>
        <x:v>PASS</x:v>
      </x:c>
    </x:row>
    <x:row r="832" ht="18" customHeight="1">
      <x:c r="B832" s="27" t="str">
        <x:v>A0826</x:v>
      </x:c>
      <x:c r="C832" s="27" t="str">
        <x:v>evidence</x:v>
      </x:c>
      <x:c r="D832" s="27" t="str">
        <x:v>Evidence row 50 hold</x:v>
      </x:c>
      <x:c r="E832" s="27" t="n">
        <x:f>IF('Evidence Gates'!J50="HOLD",1,0)</x:f>
        <x:v>1</x:v>
      </x:c>
      <x:c r="F832" s="27" t="n">
        <x:v>1</x:v>
      </x:c>
      <x:c r="G832" s="29" t="str">
        <x:f>IF(E832=F832,"PASS","FAIL")</x:f>
        <x:v>PASS</x:v>
      </x:c>
    </x:row>
    <x:row r="833" ht="18" customHeight="1">
      <x:c r="B833" s="27" t="str">
        <x:v>A0827</x:v>
      </x:c>
      <x:c r="C833" s="27" t="str">
        <x:v>evidence</x:v>
      </x:c>
      <x:c r="D833" s="27" t="str">
        <x:v>Evidence row 50 zero credit</x:v>
      </x:c>
      <x:c r="E833" s="27" t="n">
        <x:f>IF('Evidence Gates'!K50=0,1,0)</x:f>
        <x:v>1</x:v>
      </x:c>
      <x:c r="F833" s="27" t="n">
        <x:v>1</x:v>
      </x:c>
      <x:c r="G833" s="29" t="str">
        <x:f>IF(E833=F833,"PASS","FAIL")</x:f>
        <x:v>PASS</x:v>
      </x:c>
    </x:row>
    <x:row r="834" ht="18" customHeight="1">
      <x:c r="B834" s="27" t="str">
        <x:v>A0828</x:v>
      </x:c>
      <x:c r="C834" s="27" t="str">
        <x:v>evidence</x:v>
      </x:c>
      <x:c r="D834" s="27" t="str">
        <x:v>Evidence row 50 has artifact</x:v>
      </x:c>
      <x:c r="E834" s="27" t="n">
        <x:f>IF('Evidence Gates'!F50&lt;&gt;"",1,0)</x:f>
        <x:v>1</x:v>
      </x:c>
      <x:c r="F834" s="27" t="n">
        <x:v>1</x:v>
      </x:c>
      <x:c r="G834" s="29" t="str">
        <x:f>IF(E834=F834,"PASS","FAIL")</x:f>
        <x:v>PASS</x:v>
      </x:c>
    </x:row>
    <x:row r="835" ht="18" customHeight="1">
      <x:c r="B835" s="27" t="str">
        <x:v>A0829</x:v>
      </x:c>
      <x:c r="C835" s="27" t="str">
        <x:v>evidence</x:v>
      </x:c>
      <x:c r="D835" s="27" t="str">
        <x:v>Evidence row 50 has authority</x:v>
      </x:c>
      <x:c r="E835" s="27" t="n">
        <x:f>IF('Evidence Gates'!G50&lt;&gt;"",1,0)</x:f>
        <x:v>1</x:v>
      </x:c>
      <x:c r="F835" s="27" t="n">
        <x:v>1</x:v>
      </x:c>
      <x:c r="G835" s="29" t="str">
        <x:f>IF(E835=F835,"PASS","FAIL")</x:f>
        <x:v>PASS</x:v>
      </x:c>
    </x:row>
    <x:row r="836" ht="18" customHeight="1">
      <x:c r="B836" s="27" t="str">
        <x:v>A0830</x:v>
      </x:c>
      <x:c r="C836" s="27" t="str">
        <x:v>evidence</x:v>
      </x:c>
      <x:c r="D836" s="27" t="str">
        <x:v>Evidence row 51 open</x:v>
      </x:c>
      <x:c r="E836" s="27" t="n">
        <x:f>IF('Evidence Gates'!I51="OPEN",1,0)</x:f>
        <x:v>1</x:v>
      </x:c>
      <x:c r="F836" s="27" t="n">
        <x:v>1</x:v>
      </x:c>
      <x:c r="G836" s="29" t="str">
        <x:f>IF(E836=F836,"PASS","FAIL")</x:f>
        <x:v>PASS</x:v>
      </x:c>
    </x:row>
    <x:row r="837" ht="18" customHeight="1">
      <x:c r="B837" s="27" t="str">
        <x:v>A0831</x:v>
      </x:c>
      <x:c r="C837" s="27" t="str">
        <x:v>evidence</x:v>
      </x:c>
      <x:c r="D837" s="27" t="str">
        <x:v>Evidence row 51 hold</x:v>
      </x:c>
      <x:c r="E837" s="27" t="n">
        <x:f>IF('Evidence Gates'!J51="HOLD",1,0)</x:f>
        <x:v>1</x:v>
      </x:c>
      <x:c r="F837" s="27" t="n">
        <x:v>1</x:v>
      </x:c>
      <x:c r="G837" s="29" t="str">
        <x:f>IF(E837=F837,"PASS","FAIL")</x:f>
        <x:v>PASS</x:v>
      </x:c>
    </x:row>
    <x:row r="838" ht="18" customHeight="1">
      <x:c r="B838" s="27" t="str">
        <x:v>A0832</x:v>
      </x:c>
      <x:c r="C838" s="27" t="str">
        <x:v>evidence</x:v>
      </x:c>
      <x:c r="D838" s="27" t="str">
        <x:v>Evidence row 51 zero credit</x:v>
      </x:c>
      <x:c r="E838" s="27" t="n">
        <x:f>IF('Evidence Gates'!K51=0,1,0)</x:f>
        <x:v>1</x:v>
      </x:c>
      <x:c r="F838" s="27" t="n">
        <x:v>1</x:v>
      </x:c>
      <x:c r="G838" s="29" t="str">
        <x:f>IF(E838=F838,"PASS","FAIL")</x:f>
        <x:v>PASS</x:v>
      </x:c>
    </x:row>
    <x:row r="839" ht="18" customHeight="1">
      <x:c r="B839" s="27" t="str">
        <x:v>A0833</x:v>
      </x:c>
      <x:c r="C839" s="27" t="str">
        <x:v>evidence</x:v>
      </x:c>
      <x:c r="D839" s="27" t="str">
        <x:v>Evidence row 51 has artifact</x:v>
      </x:c>
      <x:c r="E839" s="27" t="n">
        <x:f>IF('Evidence Gates'!F51&lt;&gt;"",1,0)</x:f>
        <x:v>1</x:v>
      </x:c>
      <x:c r="F839" s="27" t="n">
        <x:v>1</x:v>
      </x:c>
      <x:c r="G839" s="29" t="str">
        <x:f>IF(E839=F839,"PASS","FAIL")</x:f>
        <x:v>PASS</x:v>
      </x:c>
    </x:row>
    <x:row r="840" ht="18" customHeight="1">
      <x:c r="B840" s="27" t="str">
        <x:v>A0834</x:v>
      </x:c>
      <x:c r="C840" s="27" t="str">
        <x:v>evidence</x:v>
      </x:c>
      <x:c r="D840" s="27" t="str">
        <x:v>Evidence row 51 has authority</x:v>
      </x:c>
      <x:c r="E840" s="27" t="n">
        <x:f>IF('Evidence Gates'!G51&lt;&gt;"",1,0)</x:f>
        <x:v>1</x:v>
      </x:c>
      <x:c r="F840" s="27" t="n">
        <x:v>1</x:v>
      </x:c>
      <x:c r="G840" s="29" t="str">
        <x:f>IF(E840=F840,"PASS","FAIL")</x:f>
        <x:v>PASS</x:v>
      </x:c>
    </x:row>
    <x:row r="841" ht="18" customHeight="1">
      <x:c r="B841" s="27" t="str">
        <x:v>A0835</x:v>
      </x:c>
      <x:c r="C841" s="27" t="str">
        <x:v>evidence</x:v>
      </x:c>
      <x:c r="D841" s="27" t="str">
        <x:v>Evidence row 52 open</x:v>
      </x:c>
      <x:c r="E841" s="27" t="n">
        <x:f>IF('Evidence Gates'!I52="OPEN",1,0)</x:f>
        <x:v>1</x:v>
      </x:c>
      <x:c r="F841" s="27" t="n">
        <x:v>1</x:v>
      </x:c>
      <x:c r="G841" s="29" t="str">
        <x:f>IF(E841=F841,"PASS","FAIL")</x:f>
        <x:v>PASS</x:v>
      </x:c>
    </x:row>
    <x:row r="842" ht="18" customHeight="1">
      <x:c r="B842" s="27" t="str">
        <x:v>A0836</x:v>
      </x:c>
      <x:c r="C842" s="27" t="str">
        <x:v>evidence</x:v>
      </x:c>
      <x:c r="D842" s="27" t="str">
        <x:v>Evidence row 52 hold</x:v>
      </x:c>
      <x:c r="E842" s="27" t="n">
        <x:f>IF('Evidence Gates'!J52="HOLD",1,0)</x:f>
        <x:v>1</x:v>
      </x:c>
      <x:c r="F842" s="27" t="n">
        <x:v>1</x:v>
      </x:c>
      <x:c r="G842" s="29" t="str">
        <x:f>IF(E842=F842,"PASS","FAIL")</x:f>
        <x:v>PASS</x:v>
      </x:c>
    </x:row>
    <x:row r="843" ht="18" customHeight="1">
      <x:c r="B843" s="27" t="str">
        <x:v>A0837</x:v>
      </x:c>
      <x:c r="C843" s="27" t="str">
        <x:v>evidence</x:v>
      </x:c>
      <x:c r="D843" s="27" t="str">
        <x:v>Evidence row 52 zero credit</x:v>
      </x:c>
      <x:c r="E843" s="27" t="n">
        <x:f>IF('Evidence Gates'!K52=0,1,0)</x:f>
        <x:v>1</x:v>
      </x:c>
      <x:c r="F843" s="27" t="n">
        <x:v>1</x:v>
      </x:c>
      <x:c r="G843" s="29" t="str">
        <x:f>IF(E843=F843,"PASS","FAIL")</x:f>
        <x:v>PASS</x:v>
      </x:c>
    </x:row>
    <x:row r="844" ht="18" customHeight="1">
      <x:c r="B844" s="27" t="str">
        <x:v>A0838</x:v>
      </x:c>
      <x:c r="C844" s="27" t="str">
        <x:v>evidence</x:v>
      </x:c>
      <x:c r="D844" s="27" t="str">
        <x:v>Evidence row 52 has artifact</x:v>
      </x:c>
      <x:c r="E844" s="27" t="n">
        <x:f>IF('Evidence Gates'!F52&lt;&gt;"",1,0)</x:f>
        <x:v>1</x:v>
      </x:c>
      <x:c r="F844" s="27" t="n">
        <x:v>1</x:v>
      </x:c>
      <x:c r="G844" s="29" t="str">
        <x:f>IF(E844=F844,"PASS","FAIL")</x:f>
        <x:v>PASS</x:v>
      </x:c>
    </x:row>
    <x:row r="845" ht="18" customHeight="1">
      <x:c r="B845" s="27" t="str">
        <x:v>A0839</x:v>
      </x:c>
      <x:c r="C845" s="27" t="str">
        <x:v>evidence</x:v>
      </x:c>
      <x:c r="D845" s="27" t="str">
        <x:v>Evidence row 52 has authority</x:v>
      </x:c>
      <x:c r="E845" s="27" t="n">
        <x:f>IF('Evidence Gates'!G52&lt;&gt;"",1,0)</x:f>
        <x:v>1</x:v>
      </x:c>
      <x:c r="F845" s="27" t="n">
        <x:v>1</x:v>
      </x:c>
      <x:c r="G845" s="29" t="str">
        <x:f>IF(E845=F845,"PASS","FAIL")</x:f>
        <x:v>PASS</x:v>
      </x:c>
    </x:row>
    <x:row r="846" ht="18" customHeight="1">
      <x:c r="B846" s="27" t="str">
        <x:v>A0840</x:v>
      </x:c>
      <x:c r="C846" s="27" t="str">
        <x:v>evidence</x:v>
      </x:c>
      <x:c r="D846" s="27" t="str">
        <x:v>Evidence row 53 open</x:v>
      </x:c>
      <x:c r="E846" s="27" t="n">
        <x:f>IF('Evidence Gates'!I53="OPEN",1,0)</x:f>
        <x:v>1</x:v>
      </x:c>
      <x:c r="F846" s="27" t="n">
        <x:v>1</x:v>
      </x:c>
      <x:c r="G846" s="29" t="str">
        <x:f>IF(E846=F846,"PASS","FAIL")</x:f>
        <x:v>PASS</x:v>
      </x:c>
    </x:row>
    <x:row r="847" ht="18" customHeight="1">
      <x:c r="B847" s="27" t="str">
        <x:v>A0841</x:v>
      </x:c>
      <x:c r="C847" s="27" t="str">
        <x:v>evidence</x:v>
      </x:c>
      <x:c r="D847" s="27" t="str">
        <x:v>Evidence row 53 hold</x:v>
      </x:c>
      <x:c r="E847" s="27" t="n">
        <x:f>IF('Evidence Gates'!J53="HOLD",1,0)</x:f>
        <x:v>1</x:v>
      </x:c>
      <x:c r="F847" s="27" t="n">
        <x:v>1</x:v>
      </x:c>
      <x:c r="G847" s="29" t="str">
        <x:f>IF(E847=F847,"PASS","FAIL")</x:f>
        <x:v>PASS</x:v>
      </x:c>
    </x:row>
    <x:row r="848" ht="18" customHeight="1">
      <x:c r="B848" s="27" t="str">
        <x:v>A0842</x:v>
      </x:c>
      <x:c r="C848" s="27" t="str">
        <x:v>evidence</x:v>
      </x:c>
      <x:c r="D848" s="27" t="str">
        <x:v>Evidence row 53 zero credit</x:v>
      </x:c>
      <x:c r="E848" s="27" t="n">
        <x:f>IF('Evidence Gates'!K53=0,1,0)</x:f>
        <x:v>1</x:v>
      </x:c>
      <x:c r="F848" s="27" t="n">
        <x:v>1</x:v>
      </x:c>
      <x:c r="G848" s="29" t="str">
        <x:f>IF(E848=F848,"PASS","FAIL")</x:f>
        <x:v>PASS</x:v>
      </x:c>
    </x:row>
    <x:row r="849" ht="18" customHeight="1">
      <x:c r="B849" s="27" t="str">
        <x:v>A0843</x:v>
      </x:c>
      <x:c r="C849" s="27" t="str">
        <x:v>evidence</x:v>
      </x:c>
      <x:c r="D849" s="27" t="str">
        <x:v>Evidence row 53 has artifact</x:v>
      </x:c>
      <x:c r="E849" s="27" t="n">
        <x:f>IF('Evidence Gates'!F53&lt;&gt;"",1,0)</x:f>
        <x:v>1</x:v>
      </x:c>
      <x:c r="F849" s="27" t="n">
        <x:v>1</x:v>
      </x:c>
      <x:c r="G849" s="29" t="str">
        <x:f>IF(E849=F849,"PASS","FAIL")</x:f>
        <x:v>PASS</x:v>
      </x:c>
    </x:row>
    <x:row r="850" ht="18" customHeight="1">
      <x:c r="B850" s="27" t="str">
        <x:v>A0844</x:v>
      </x:c>
      <x:c r="C850" s="27" t="str">
        <x:v>evidence</x:v>
      </x:c>
      <x:c r="D850" s="27" t="str">
        <x:v>Evidence row 53 has authority</x:v>
      </x:c>
      <x:c r="E850" s="27" t="n">
        <x:f>IF('Evidence Gates'!G53&lt;&gt;"",1,0)</x:f>
        <x:v>1</x:v>
      </x:c>
      <x:c r="F850" s="27" t="n">
        <x:v>1</x:v>
      </x:c>
      <x:c r="G850" s="29" t="str">
        <x:f>IF(E850=F850,"PASS","FAIL")</x:f>
        <x:v>PASS</x:v>
      </x:c>
    </x:row>
    <x:row r="851" ht="18" customHeight="1">
      <x:c r="B851" s="27" t="str">
        <x:v>A0845</x:v>
      </x:c>
      <x:c r="C851" s="27" t="str">
        <x:v>evidence</x:v>
      </x:c>
      <x:c r="D851" s="27" t="str">
        <x:v>Evidence row 54 open</x:v>
      </x:c>
      <x:c r="E851" s="27" t="n">
        <x:f>IF('Evidence Gates'!I54="OPEN",1,0)</x:f>
        <x:v>1</x:v>
      </x:c>
      <x:c r="F851" s="27" t="n">
        <x:v>1</x:v>
      </x:c>
      <x:c r="G851" s="29" t="str">
        <x:f>IF(E851=F851,"PASS","FAIL")</x:f>
        <x:v>PASS</x:v>
      </x:c>
    </x:row>
    <x:row r="852" ht="18" customHeight="1">
      <x:c r="B852" s="27" t="str">
        <x:v>A0846</x:v>
      </x:c>
      <x:c r="C852" s="27" t="str">
        <x:v>evidence</x:v>
      </x:c>
      <x:c r="D852" s="27" t="str">
        <x:v>Evidence row 54 hold</x:v>
      </x:c>
      <x:c r="E852" s="27" t="n">
        <x:f>IF('Evidence Gates'!J54="HOLD",1,0)</x:f>
        <x:v>1</x:v>
      </x:c>
      <x:c r="F852" s="27" t="n">
        <x:v>1</x:v>
      </x:c>
      <x:c r="G852" s="29" t="str">
        <x:f>IF(E852=F852,"PASS","FAIL")</x:f>
        <x:v>PASS</x:v>
      </x:c>
    </x:row>
    <x:row r="853" ht="18" customHeight="1">
      <x:c r="B853" s="27" t="str">
        <x:v>A0847</x:v>
      </x:c>
      <x:c r="C853" s="27" t="str">
        <x:v>evidence</x:v>
      </x:c>
      <x:c r="D853" s="27" t="str">
        <x:v>Evidence row 54 zero credit</x:v>
      </x:c>
      <x:c r="E853" s="27" t="n">
        <x:f>IF('Evidence Gates'!K54=0,1,0)</x:f>
        <x:v>1</x:v>
      </x:c>
      <x:c r="F853" s="27" t="n">
        <x:v>1</x:v>
      </x:c>
      <x:c r="G853" s="29" t="str">
        <x:f>IF(E853=F853,"PASS","FAIL")</x:f>
        <x:v>PASS</x:v>
      </x:c>
    </x:row>
    <x:row r="854" ht="18" customHeight="1">
      <x:c r="B854" s="27" t="str">
        <x:v>A0848</x:v>
      </x:c>
      <x:c r="C854" s="27" t="str">
        <x:v>evidence</x:v>
      </x:c>
      <x:c r="D854" s="27" t="str">
        <x:v>Evidence row 54 has artifact</x:v>
      </x:c>
      <x:c r="E854" s="27" t="n">
        <x:f>IF('Evidence Gates'!F54&lt;&gt;"",1,0)</x:f>
        <x:v>1</x:v>
      </x:c>
      <x:c r="F854" s="27" t="n">
        <x:v>1</x:v>
      </x:c>
      <x:c r="G854" s="29" t="str">
        <x:f>IF(E854=F854,"PASS","FAIL")</x:f>
        <x:v>PASS</x:v>
      </x:c>
    </x:row>
    <x:row r="855" ht="18" customHeight="1">
      <x:c r="B855" s="27" t="str">
        <x:v>A0849</x:v>
      </x:c>
      <x:c r="C855" s="27" t="str">
        <x:v>evidence</x:v>
      </x:c>
      <x:c r="D855" s="27" t="str">
        <x:v>Evidence row 54 has authority</x:v>
      </x:c>
      <x:c r="E855" s="27" t="n">
        <x:f>IF('Evidence Gates'!G54&lt;&gt;"",1,0)</x:f>
        <x:v>1</x:v>
      </x:c>
      <x:c r="F855" s="27" t="n">
        <x:v>1</x:v>
      </x:c>
      <x:c r="G855" s="29" t="str">
        <x:f>IF(E855=F855,"PASS","FAIL")</x:f>
        <x:v>PASS</x:v>
      </x:c>
    </x:row>
    <x:row r="856" ht="18" customHeight="1">
      <x:c r="B856" s="27" t="str">
        <x:v>A0850</x:v>
      </x:c>
      <x:c r="C856" s="27" t="str">
        <x:v>evidence</x:v>
      </x:c>
      <x:c r="D856" s="27" t="str">
        <x:v>Evidence row 55 open</x:v>
      </x:c>
      <x:c r="E856" s="27" t="n">
        <x:f>IF('Evidence Gates'!I55="OPEN",1,0)</x:f>
        <x:v>1</x:v>
      </x:c>
      <x:c r="F856" s="27" t="n">
        <x:v>1</x:v>
      </x:c>
      <x:c r="G856" s="29" t="str">
        <x:f>IF(E856=F856,"PASS","FAIL")</x:f>
        <x:v>PASS</x:v>
      </x:c>
    </x:row>
    <x:row r="857" ht="18" customHeight="1">
      <x:c r="B857" s="27" t="str">
        <x:v>A0851</x:v>
      </x:c>
      <x:c r="C857" s="27" t="str">
        <x:v>evidence</x:v>
      </x:c>
      <x:c r="D857" s="27" t="str">
        <x:v>Evidence row 55 hold</x:v>
      </x:c>
      <x:c r="E857" s="27" t="n">
        <x:f>IF('Evidence Gates'!J55="HOLD",1,0)</x:f>
        <x:v>1</x:v>
      </x:c>
      <x:c r="F857" s="27" t="n">
        <x:v>1</x:v>
      </x:c>
      <x:c r="G857" s="29" t="str">
        <x:f>IF(E857=F857,"PASS","FAIL")</x:f>
        <x:v>PASS</x:v>
      </x:c>
    </x:row>
    <x:row r="858" ht="18" customHeight="1">
      <x:c r="B858" s="27" t="str">
        <x:v>A0852</x:v>
      </x:c>
      <x:c r="C858" s="27" t="str">
        <x:v>evidence</x:v>
      </x:c>
      <x:c r="D858" s="27" t="str">
        <x:v>Evidence row 55 zero credit</x:v>
      </x:c>
      <x:c r="E858" s="27" t="n">
        <x:f>IF('Evidence Gates'!K55=0,1,0)</x:f>
        <x:v>1</x:v>
      </x:c>
      <x:c r="F858" s="27" t="n">
        <x:v>1</x:v>
      </x:c>
      <x:c r="G858" s="29" t="str">
        <x:f>IF(E858=F858,"PASS","FAIL")</x:f>
        <x:v>PASS</x:v>
      </x:c>
    </x:row>
    <x:row r="859" ht="18" customHeight="1">
      <x:c r="B859" s="27" t="str">
        <x:v>A0853</x:v>
      </x:c>
      <x:c r="C859" s="27" t="str">
        <x:v>evidence</x:v>
      </x:c>
      <x:c r="D859" s="27" t="str">
        <x:v>Evidence row 55 has artifact</x:v>
      </x:c>
      <x:c r="E859" s="27" t="n">
        <x:f>IF('Evidence Gates'!F55&lt;&gt;"",1,0)</x:f>
        <x:v>1</x:v>
      </x:c>
      <x:c r="F859" s="27" t="n">
        <x:v>1</x:v>
      </x:c>
      <x:c r="G859" s="29" t="str">
        <x:f>IF(E859=F859,"PASS","FAIL")</x:f>
        <x:v>PASS</x:v>
      </x:c>
    </x:row>
    <x:row r="860" ht="18" customHeight="1">
      <x:c r="B860" s="27" t="str">
        <x:v>A0854</x:v>
      </x:c>
      <x:c r="C860" s="27" t="str">
        <x:v>evidence</x:v>
      </x:c>
      <x:c r="D860" s="27" t="str">
        <x:v>Evidence row 55 has authority</x:v>
      </x:c>
      <x:c r="E860" s="27" t="n">
        <x:f>IF('Evidence Gates'!G55&lt;&gt;"",1,0)</x:f>
        <x:v>1</x:v>
      </x:c>
      <x:c r="F860" s="27" t="n">
        <x:v>1</x:v>
      </x:c>
      <x:c r="G860" s="29" t="str">
        <x:f>IF(E860=F860,"PASS","FAIL")</x:f>
        <x:v>PASS</x:v>
      </x:c>
    </x:row>
    <x:row r="861" ht="18" customHeight="1">
      <x:c r="B861" s="27" t="str">
        <x:v>A0855</x:v>
      </x:c>
      <x:c r="C861" s="27" t="str">
        <x:v>evidence</x:v>
      </x:c>
      <x:c r="D861" s="27" t="str">
        <x:v>Evidence row 56 open</x:v>
      </x:c>
      <x:c r="E861" s="27" t="n">
        <x:f>IF('Evidence Gates'!I56="OPEN",1,0)</x:f>
        <x:v>1</x:v>
      </x:c>
      <x:c r="F861" s="27" t="n">
        <x:v>1</x:v>
      </x:c>
      <x:c r="G861" s="29" t="str">
        <x:f>IF(E861=F861,"PASS","FAIL")</x:f>
        <x:v>PASS</x:v>
      </x:c>
    </x:row>
    <x:row r="862" ht="18" customHeight="1">
      <x:c r="B862" s="27" t="str">
        <x:v>A0856</x:v>
      </x:c>
      <x:c r="C862" s="27" t="str">
        <x:v>evidence</x:v>
      </x:c>
      <x:c r="D862" s="27" t="str">
        <x:v>Evidence row 56 hold</x:v>
      </x:c>
      <x:c r="E862" s="27" t="n">
        <x:f>IF('Evidence Gates'!J56="HOLD",1,0)</x:f>
        <x:v>1</x:v>
      </x:c>
      <x:c r="F862" s="27" t="n">
        <x:v>1</x:v>
      </x:c>
      <x:c r="G862" s="29" t="str">
        <x:f>IF(E862=F862,"PASS","FAIL")</x:f>
        <x:v>PASS</x:v>
      </x:c>
    </x:row>
    <x:row r="863" ht="18" customHeight="1">
      <x:c r="B863" s="27" t="str">
        <x:v>A0857</x:v>
      </x:c>
      <x:c r="C863" s="27" t="str">
        <x:v>evidence</x:v>
      </x:c>
      <x:c r="D863" s="27" t="str">
        <x:v>Evidence row 56 zero credit</x:v>
      </x:c>
      <x:c r="E863" s="27" t="n">
        <x:f>IF('Evidence Gates'!K56=0,1,0)</x:f>
        <x:v>1</x:v>
      </x:c>
      <x:c r="F863" s="27" t="n">
        <x:v>1</x:v>
      </x:c>
      <x:c r="G863" s="29" t="str">
        <x:f>IF(E863=F863,"PASS","FAIL")</x:f>
        <x:v>PASS</x:v>
      </x:c>
    </x:row>
    <x:row r="864" ht="18" customHeight="1">
      <x:c r="B864" s="27" t="str">
        <x:v>A0858</x:v>
      </x:c>
      <x:c r="C864" s="27" t="str">
        <x:v>evidence</x:v>
      </x:c>
      <x:c r="D864" s="27" t="str">
        <x:v>Evidence row 56 has artifact</x:v>
      </x:c>
      <x:c r="E864" s="27" t="n">
        <x:f>IF('Evidence Gates'!F56&lt;&gt;"",1,0)</x:f>
        <x:v>1</x:v>
      </x:c>
      <x:c r="F864" s="27" t="n">
        <x:v>1</x:v>
      </x:c>
      <x:c r="G864" s="29" t="str">
        <x:f>IF(E864=F864,"PASS","FAIL")</x:f>
        <x:v>PASS</x:v>
      </x:c>
    </x:row>
    <x:row r="865" ht="18" customHeight="1">
      <x:c r="B865" s="27" t="str">
        <x:v>A0859</x:v>
      </x:c>
      <x:c r="C865" s="27" t="str">
        <x:v>evidence</x:v>
      </x:c>
      <x:c r="D865" s="27" t="str">
        <x:v>Evidence row 56 has authority</x:v>
      </x:c>
      <x:c r="E865" s="27" t="n">
        <x:f>IF('Evidence Gates'!G56&lt;&gt;"",1,0)</x:f>
        <x:v>1</x:v>
      </x:c>
      <x:c r="F865" s="27" t="n">
        <x:v>1</x:v>
      </x:c>
      <x:c r="G865" s="29" t="str">
        <x:f>IF(E865=F865,"PASS","FAIL")</x:f>
        <x:v>PASS</x:v>
      </x:c>
    </x:row>
    <x:row r="866" ht="18" customHeight="1">
      <x:c r="B866" s="27" t="str">
        <x:v>A0860</x:v>
      </x:c>
      <x:c r="C866" s="27" t="str">
        <x:v>evidence</x:v>
      </x:c>
      <x:c r="D866" s="27" t="str">
        <x:v>Evidence row 57 open</x:v>
      </x:c>
      <x:c r="E866" s="27" t="n">
        <x:f>IF('Evidence Gates'!I57="OPEN",1,0)</x:f>
        <x:v>1</x:v>
      </x:c>
      <x:c r="F866" s="27" t="n">
        <x:v>1</x:v>
      </x:c>
      <x:c r="G866" s="29" t="str">
        <x:f>IF(E866=F866,"PASS","FAIL")</x:f>
        <x:v>PASS</x:v>
      </x:c>
    </x:row>
    <x:row r="867" ht="18" customHeight="1">
      <x:c r="B867" s="27" t="str">
        <x:v>A0861</x:v>
      </x:c>
      <x:c r="C867" s="27" t="str">
        <x:v>evidence</x:v>
      </x:c>
      <x:c r="D867" s="27" t="str">
        <x:v>Evidence row 57 hold</x:v>
      </x:c>
      <x:c r="E867" s="27" t="n">
        <x:f>IF('Evidence Gates'!J57="HOLD",1,0)</x:f>
        <x:v>1</x:v>
      </x:c>
      <x:c r="F867" s="27" t="n">
        <x:v>1</x:v>
      </x:c>
      <x:c r="G867" s="29" t="str">
        <x:f>IF(E867=F867,"PASS","FAIL")</x:f>
        <x:v>PASS</x:v>
      </x:c>
    </x:row>
    <x:row r="868" ht="18" customHeight="1">
      <x:c r="B868" s="27" t="str">
        <x:v>A0862</x:v>
      </x:c>
      <x:c r="C868" s="27" t="str">
        <x:v>evidence</x:v>
      </x:c>
      <x:c r="D868" s="27" t="str">
        <x:v>Evidence row 57 zero credit</x:v>
      </x:c>
      <x:c r="E868" s="27" t="n">
        <x:f>IF('Evidence Gates'!K57=0,1,0)</x:f>
        <x:v>1</x:v>
      </x:c>
      <x:c r="F868" s="27" t="n">
        <x:v>1</x:v>
      </x:c>
      <x:c r="G868" s="29" t="str">
        <x:f>IF(E868=F868,"PASS","FAIL")</x:f>
        <x:v>PASS</x:v>
      </x:c>
    </x:row>
    <x:row r="869" ht="18" customHeight="1">
      <x:c r="B869" s="27" t="str">
        <x:v>A0863</x:v>
      </x:c>
      <x:c r="C869" s="27" t="str">
        <x:v>evidence</x:v>
      </x:c>
      <x:c r="D869" s="27" t="str">
        <x:v>Evidence row 57 has artifact</x:v>
      </x:c>
      <x:c r="E869" s="27" t="n">
        <x:f>IF('Evidence Gates'!F57&lt;&gt;"",1,0)</x:f>
        <x:v>1</x:v>
      </x:c>
      <x:c r="F869" s="27" t="n">
        <x:v>1</x:v>
      </x:c>
      <x:c r="G869" s="29" t="str">
        <x:f>IF(E869=F869,"PASS","FAIL")</x:f>
        <x:v>PASS</x:v>
      </x:c>
    </x:row>
    <x:row r="870" ht="18" customHeight="1">
      <x:c r="B870" s="27" t="str">
        <x:v>A0864</x:v>
      </x:c>
      <x:c r="C870" s="27" t="str">
        <x:v>evidence</x:v>
      </x:c>
      <x:c r="D870" s="27" t="str">
        <x:v>Evidence row 57 has authority</x:v>
      </x:c>
      <x:c r="E870" s="27" t="n">
        <x:f>IF('Evidence Gates'!G57&lt;&gt;"",1,0)</x:f>
        <x:v>1</x:v>
      </x:c>
      <x:c r="F870" s="27" t="n">
        <x:v>1</x:v>
      </x:c>
      <x:c r="G870" s="29" t="str">
        <x:f>IF(E870=F870,"PASS","FAIL")</x:f>
        <x:v>PASS</x:v>
      </x:c>
    </x:row>
    <x:row r="871" ht="18" customHeight="1">
      <x:c r="B871" s="27" t="str">
        <x:v>A0865</x:v>
      </x:c>
      <x:c r="C871" s="27" t="str">
        <x:v>evidence</x:v>
      </x:c>
      <x:c r="D871" s="27" t="str">
        <x:v>Evidence row 58 open</x:v>
      </x:c>
      <x:c r="E871" s="27" t="n">
        <x:f>IF('Evidence Gates'!I58="OPEN",1,0)</x:f>
        <x:v>1</x:v>
      </x:c>
      <x:c r="F871" s="27" t="n">
        <x:v>1</x:v>
      </x:c>
      <x:c r="G871" s="29" t="str">
        <x:f>IF(E871=F871,"PASS","FAIL")</x:f>
        <x:v>PASS</x:v>
      </x:c>
    </x:row>
    <x:row r="872" ht="18" customHeight="1">
      <x:c r="B872" s="27" t="str">
        <x:v>A0866</x:v>
      </x:c>
      <x:c r="C872" s="27" t="str">
        <x:v>evidence</x:v>
      </x:c>
      <x:c r="D872" s="27" t="str">
        <x:v>Evidence row 58 hold</x:v>
      </x:c>
      <x:c r="E872" s="27" t="n">
        <x:f>IF('Evidence Gates'!J58="HOLD",1,0)</x:f>
        <x:v>1</x:v>
      </x:c>
      <x:c r="F872" s="27" t="n">
        <x:v>1</x:v>
      </x:c>
      <x:c r="G872" s="29" t="str">
        <x:f>IF(E872=F872,"PASS","FAIL")</x:f>
        <x:v>PASS</x:v>
      </x:c>
    </x:row>
    <x:row r="873" ht="18" customHeight="1">
      <x:c r="B873" s="27" t="str">
        <x:v>A0867</x:v>
      </x:c>
      <x:c r="C873" s="27" t="str">
        <x:v>evidence</x:v>
      </x:c>
      <x:c r="D873" s="27" t="str">
        <x:v>Evidence row 58 zero credit</x:v>
      </x:c>
      <x:c r="E873" s="27" t="n">
        <x:f>IF('Evidence Gates'!K58=0,1,0)</x:f>
        <x:v>1</x:v>
      </x:c>
      <x:c r="F873" s="27" t="n">
        <x:v>1</x:v>
      </x:c>
      <x:c r="G873" s="29" t="str">
        <x:f>IF(E873=F873,"PASS","FAIL")</x:f>
        <x:v>PASS</x:v>
      </x:c>
    </x:row>
    <x:row r="874" ht="18" customHeight="1">
      <x:c r="B874" s="27" t="str">
        <x:v>A0868</x:v>
      </x:c>
      <x:c r="C874" s="27" t="str">
        <x:v>evidence</x:v>
      </x:c>
      <x:c r="D874" s="27" t="str">
        <x:v>Evidence row 58 has artifact</x:v>
      </x:c>
      <x:c r="E874" s="27" t="n">
        <x:f>IF('Evidence Gates'!F58&lt;&gt;"",1,0)</x:f>
        <x:v>1</x:v>
      </x:c>
      <x:c r="F874" s="27" t="n">
        <x:v>1</x:v>
      </x:c>
      <x:c r="G874" s="29" t="str">
        <x:f>IF(E874=F874,"PASS","FAIL")</x:f>
        <x:v>PASS</x:v>
      </x:c>
    </x:row>
    <x:row r="875" ht="18" customHeight="1">
      <x:c r="B875" s="27" t="str">
        <x:v>A0869</x:v>
      </x:c>
      <x:c r="C875" s="27" t="str">
        <x:v>evidence</x:v>
      </x:c>
      <x:c r="D875" s="27" t="str">
        <x:v>Evidence row 58 has authority</x:v>
      </x:c>
      <x:c r="E875" s="27" t="n">
        <x:f>IF('Evidence Gates'!G58&lt;&gt;"",1,0)</x:f>
        <x:v>1</x:v>
      </x:c>
      <x:c r="F875" s="27" t="n">
        <x:v>1</x:v>
      </x:c>
      <x:c r="G875" s="29" t="str">
        <x:f>IF(E875=F875,"PASS","FAIL")</x:f>
        <x:v>PASS</x:v>
      </x:c>
    </x:row>
    <x:row r="876" ht="18" customHeight="1">
      <x:c r="B876" s="27" t="str">
        <x:v>A0870</x:v>
      </x:c>
      <x:c r="C876" s="27" t="str">
        <x:v>evidence</x:v>
      </x:c>
      <x:c r="D876" s="27" t="str">
        <x:v>Evidence row 59 open</x:v>
      </x:c>
      <x:c r="E876" s="27" t="n">
        <x:f>IF('Evidence Gates'!I59="OPEN",1,0)</x:f>
        <x:v>1</x:v>
      </x:c>
      <x:c r="F876" s="27" t="n">
        <x:v>1</x:v>
      </x:c>
      <x:c r="G876" s="29" t="str">
        <x:f>IF(E876=F876,"PASS","FAIL")</x:f>
        <x:v>PASS</x:v>
      </x:c>
    </x:row>
    <x:row r="877" ht="18" customHeight="1">
      <x:c r="B877" s="27" t="str">
        <x:v>A0871</x:v>
      </x:c>
      <x:c r="C877" s="27" t="str">
        <x:v>evidence</x:v>
      </x:c>
      <x:c r="D877" s="27" t="str">
        <x:v>Evidence row 59 hold</x:v>
      </x:c>
      <x:c r="E877" s="27" t="n">
        <x:f>IF('Evidence Gates'!J59="HOLD",1,0)</x:f>
        <x:v>1</x:v>
      </x:c>
      <x:c r="F877" s="27" t="n">
        <x:v>1</x:v>
      </x:c>
      <x:c r="G877" s="29" t="str">
        <x:f>IF(E877=F877,"PASS","FAIL")</x:f>
        <x:v>PASS</x:v>
      </x:c>
    </x:row>
    <x:row r="878" ht="18" customHeight="1">
      <x:c r="B878" s="27" t="str">
        <x:v>A0872</x:v>
      </x:c>
      <x:c r="C878" s="27" t="str">
        <x:v>evidence</x:v>
      </x:c>
      <x:c r="D878" s="27" t="str">
        <x:v>Evidence row 59 zero credit</x:v>
      </x:c>
      <x:c r="E878" s="27" t="n">
        <x:f>IF('Evidence Gates'!K59=0,1,0)</x:f>
        <x:v>1</x:v>
      </x:c>
      <x:c r="F878" s="27" t="n">
        <x:v>1</x:v>
      </x:c>
      <x:c r="G878" s="29" t="str">
        <x:f>IF(E878=F878,"PASS","FAIL")</x:f>
        <x:v>PASS</x:v>
      </x:c>
    </x:row>
    <x:row r="879" ht="18" customHeight="1">
      <x:c r="B879" s="27" t="str">
        <x:v>A0873</x:v>
      </x:c>
      <x:c r="C879" s="27" t="str">
        <x:v>evidence</x:v>
      </x:c>
      <x:c r="D879" s="27" t="str">
        <x:v>Evidence row 59 has artifact</x:v>
      </x:c>
      <x:c r="E879" s="27" t="n">
        <x:f>IF('Evidence Gates'!F59&lt;&gt;"",1,0)</x:f>
        <x:v>1</x:v>
      </x:c>
      <x:c r="F879" s="27" t="n">
        <x:v>1</x:v>
      </x:c>
      <x:c r="G879" s="29" t="str">
        <x:f>IF(E879=F879,"PASS","FAIL")</x:f>
        <x:v>PASS</x:v>
      </x:c>
    </x:row>
    <x:row r="880" ht="18" customHeight="1">
      <x:c r="B880" s="27" t="str">
        <x:v>A0874</x:v>
      </x:c>
      <x:c r="C880" s="27" t="str">
        <x:v>evidence</x:v>
      </x:c>
      <x:c r="D880" s="27" t="str">
        <x:v>Evidence row 59 has authority</x:v>
      </x:c>
      <x:c r="E880" s="27" t="n">
        <x:f>IF('Evidence Gates'!G59&lt;&gt;"",1,0)</x:f>
        <x:v>1</x:v>
      </x:c>
      <x:c r="F880" s="27" t="n">
        <x:v>1</x:v>
      </x:c>
      <x:c r="G880" s="29" t="str">
        <x:f>IF(E880=F880,"PASS","FAIL")</x:f>
        <x:v>PASS</x:v>
      </x:c>
    </x:row>
    <x:row r="881" ht="18" customHeight="1">
      <x:c r="B881" s="27" t="str">
        <x:v>A0875</x:v>
      </x:c>
      <x:c r="C881" s="27" t="str">
        <x:v>evidence</x:v>
      </x:c>
      <x:c r="D881" s="27" t="str">
        <x:v>Evidence row 60 open</x:v>
      </x:c>
      <x:c r="E881" s="27" t="n">
        <x:f>IF('Evidence Gates'!I60="OPEN",1,0)</x:f>
        <x:v>1</x:v>
      </x:c>
      <x:c r="F881" s="27" t="n">
        <x:v>1</x:v>
      </x:c>
      <x:c r="G881" s="29" t="str">
        <x:f>IF(E881=F881,"PASS","FAIL")</x:f>
        <x:v>PASS</x:v>
      </x:c>
    </x:row>
    <x:row r="882" ht="18" customHeight="1">
      <x:c r="B882" s="27" t="str">
        <x:v>A0876</x:v>
      </x:c>
      <x:c r="C882" s="27" t="str">
        <x:v>evidence</x:v>
      </x:c>
      <x:c r="D882" s="27" t="str">
        <x:v>Evidence row 60 hold</x:v>
      </x:c>
      <x:c r="E882" s="27" t="n">
        <x:f>IF('Evidence Gates'!J60="HOLD",1,0)</x:f>
        <x:v>1</x:v>
      </x:c>
      <x:c r="F882" s="27" t="n">
        <x:v>1</x:v>
      </x:c>
      <x:c r="G882" s="29" t="str">
        <x:f>IF(E882=F882,"PASS","FAIL")</x:f>
        <x:v>PASS</x:v>
      </x:c>
    </x:row>
    <x:row r="883" ht="18" customHeight="1">
      <x:c r="B883" s="27" t="str">
        <x:v>A0877</x:v>
      </x:c>
      <x:c r="C883" s="27" t="str">
        <x:v>evidence</x:v>
      </x:c>
      <x:c r="D883" s="27" t="str">
        <x:v>Evidence row 60 zero credit</x:v>
      </x:c>
      <x:c r="E883" s="27" t="n">
        <x:f>IF('Evidence Gates'!K60=0,1,0)</x:f>
        <x:v>1</x:v>
      </x:c>
      <x:c r="F883" s="27" t="n">
        <x:v>1</x:v>
      </x:c>
      <x:c r="G883" s="29" t="str">
        <x:f>IF(E883=F883,"PASS","FAIL")</x:f>
        <x:v>PASS</x:v>
      </x:c>
    </x:row>
    <x:row r="884" ht="18" customHeight="1">
      <x:c r="B884" s="27" t="str">
        <x:v>A0878</x:v>
      </x:c>
      <x:c r="C884" s="27" t="str">
        <x:v>evidence</x:v>
      </x:c>
      <x:c r="D884" s="27" t="str">
        <x:v>Evidence row 60 has artifact</x:v>
      </x:c>
      <x:c r="E884" s="27" t="n">
        <x:f>IF('Evidence Gates'!F60&lt;&gt;"",1,0)</x:f>
        <x:v>1</x:v>
      </x:c>
      <x:c r="F884" s="27" t="n">
        <x:v>1</x:v>
      </x:c>
      <x:c r="G884" s="29" t="str">
        <x:f>IF(E884=F884,"PASS","FAIL")</x:f>
        <x:v>PASS</x:v>
      </x:c>
    </x:row>
    <x:row r="885" ht="18" customHeight="1">
      <x:c r="B885" s="27" t="str">
        <x:v>A0879</x:v>
      </x:c>
      <x:c r="C885" s="27" t="str">
        <x:v>evidence</x:v>
      </x:c>
      <x:c r="D885" s="27" t="str">
        <x:v>Evidence row 60 has authority</x:v>
      </x:c>
      <x:c r="E885" s="27" t="n">
        <x:f>IF('Evidence Gates'!G60&lt;&gt;"",1,0)</x:f>
        <x:v>1</x:v>
      </x:c>
      <x:c r="F885" s="27" t="n">
        <x:v>1</x:v>
      </x:c>
      <x:c r="G885" s="29" t="str">
        <x:f>IF(E885=F885,"PASS","FAIL")</x:f>
        <x:v>PASS</x:v>
      </x:c>
    </x:row>
    <x:row r="886" ht="18" customHeight="1">
      <x:c r="B886" s="27" t="str">
        <x:v>A0880</x:v>
      </x:c>
      <x:c r="C886" s="27" t="str">
        <x:v>evidence</x:v>
      </x:c>
      <x:c r="D886" s="27" t="str">
        <x:v>Evidence row 61 open</x:v>
      </x:c>
      <x:c r="E886" s="27" t="n">
        <x:f>IF('Evidence Gates'!I61="OPEN",1,0)</x:f>
        <x:v>1</x:v>
      </x:c>
      <x:c r="F886" s="27" t="n">
        <x:v>1</x:v>
      </x:c>
      <x:c r="G886" s="29" t="str">
        <x:f>IF(E886=F886,"PASS","FAIL")</x:f>
        <x:v>PASS</x:v>
      </x:c>
    </x:row>
    <x:row r="887" ht="18" customHeight="1">
      <x:c r="B887" s="27" t="str">
        <x:v>A0881</x:v>
      </x:c>
      <x:c r="C887" s="27" t="str">
        <x:v>evidence</x:v>
      </x:c>
      <x:c r="D887" s="27" t="str">
        <x:v>Evidence row 61 hold</x:v>
      </x:c>
      <x:c r="E887" s="27" t="n">
        <x:f>IF('Evidence Gates'!J61="HOLD",1,0)</x:f>
        <x:v>1</x:v>
      </x:c>
      <x:c r="F887" s="27" t="n">
        <x:v>1</x:v>
      </x:c>
      <x:c r="G887" s="29" t="str">
        <x:f>IF(E887=F887,"PASS","FAIL")</x:f>
        <x:v>PASS</x:v>
      </x:c>
    </x:row>
    <x:row r="888" ht="18" customHeight="1">
      <x:c r="B888" s="27" t="str">
        <x:v>A0882</x:v>
      </x:c>
      <x:c r="C888" s="27" t="str">
        <x:v>evidence</x:v>
      </x:c>
      <x:c r="D888" s="27" t="str">
        <x:v>Evidence row 61 zero credit</x:v>
      </x:c>
      <x:c r="E888" s="27" t="n">
        <x:f>IF('Evidence Gates'!K61=0,1,0)</x:f>
        <x:v>1</x:v>
      </x:c>
      <x:c r="F888" s="27" t="n">
        <x:v>1</x:v>
      </x:c>
      <x:c r="G888" s="29" t="str">
        <x:f>IF(E888=F888,"PASS","FAIL")</x:f>
        <x:v>PASS</x:v>
      </x:c>
    </x:row>
    <x:row r="889" ht="18" customHeight="1">
      <x:c r="B889" s="27" t="str">
        <x:v>A0883</x:v>
      </x:c>
      <x:c r="C889" s="27" t="str">
        <x:v>evidence</x:v>
      </x:c>
      <x:c r="D889" s="27" t="str">
        <x:v>Evidence row 61 has artifact</x:v>
      </x:c>
      <x:c r="E889" s="27" t="n">
        <x:f>IF('Evidence Gates'!F61&lt;&gt;"",1,0)</x:f>
        <x:v>1</x:v>
      </x:c>
      <x:c r="F889" s="27" t="n">
        <x:v>1</x:v>
      </x:c>
      <x:c r="G889" s="29" t="str">
        <x:f>IF(E889=F889,"PASS","FAIL")</x:f>
        <x:v>PASS</x:v>
      </x:c>
    </x:row>
    <x:row r="890" ht="18" customHeight="1">
      <x:c r="B890" s="27" t="str">
        <x:v>A0884</x:v>
      </x:c>
      <x:c r="C890" s="27" t="str">
        <x:v>evidence</x:v>
      </x:c>
      <x:c r="D890" s="27" t="str">
        <x:v>Evidence row 61 has authority</x:v>
      </x:c>
      <x:c r="E890" s="27" t="n">
        <x:f>IF('Evidence Gates'!G61&lt;&gt;"",1,0)</x:f>
        <x:v>1</x:v>
      </x:c>
      <x:c r="F890" s="27" t="n">
        <x:v>1</x:v>
      </x:c>
      <x:c r="G890" s="29" t="str">
        <x:f>IF(E890=F890,"PASS","FAIL")</x:f>
        <x:v>PASS</x:v>
      </x:c>
    </x:row>
    <x:row r="891" ht="18" customHeight="1">
      <x:c r="B891" s="27" t="str">
        <x:v>A0885</x:v>
      </x:c>
      <x:c r="C891" s="27" t="str">
        <x:v>evidence</x:v>
      </x:c>
      <x:c r="D891" s="27" t="str">
        <x:v>Evidence row 62 open</x:v>
      </x:c>
      <x:c r="E891" s="27" t="n">
        <x:f>IF('Evidence Gates'!I62="OPEN",1,0)</x:f>
        <x:v>1</x:v>
      </x:c>
      <x:c r="F891" s="27" t="n">
        <x:v>1</x:v>
      </x:c>
      <x:c r="G891" s="29" t="str">
        <x:f>IF(E891=F891,"PASS","FAIL")</x:f>
        <x:v>PASS</x:v>
      </x:c>
    </x:row>
    <x:row r="892" ht="18" customHeight="1">
      <x:c r="B892" s="27" t="str">
        <x:v>A0886</x:v>
      </x:c>
      <x:c r="C892" s="27" t="str">
        <x:v>evidence</x:v>
      </x:c>
      <x:c r="D892" s="27" t="str">
        <x:v>Evidence row 62 hold</x:v>
      </x:c>
      <x:c r="E892" s="27" t="n">
        <x:f>IF('Evidence Gates'!J62="HOLD",1,0)</x:f>
        <x:v>1</x:v>
      </x:c>
      <x:c r="F892" s="27" t="n">
        <x:v>1</x:v>
      </x:c>
      <x:c r="G892" s="29" t="str">
        <x:f>IF(E892=F892,"PASS","FAIL")</x:f>
        <x:v>PASS</x:v>
      </x:c>
    </x:row>
    <x:row r="893" ht="18" customHeight="1">
      <x:c r="B893" s="27" t="str">
        <x:v>A0887</x:v>
      </x:c>
      <x:c r="C893" s="27" t="str">
        <x:v>evidence</x:v>
      </x:c>
      <x:c r="D893" s="27" t="str">
        <x:v>Evidence row 62 zero credit</x:v>
      </x:c>
      <x:c r="E893" s="27" t="n">
        <x:f>IF('Evidence Gates'!K62=0,1,0)</x:f>
        <x:v>1</x:v>
      </x:c>
      <x:c r="F893" s="27" t="n">
        <x:v>1</x:v>
      </x:c>
      <x:c r="G893" s="29" t="str">
        <x:f>IF(E893=F893,"PASS","FAIL")</x:f>
        <x:v>PASS</x:v>
      </x:c>
    </x:row>
    <x:row r="894" ht="18" customHeight="1">
      <x:c r="B894" s="27" t="str">
        <x:v>A0888</x:v>
      </x:c>
      <x:c r="C894" s="27" t="str">
        <x:v>evidence</x:v>
      </x:c>
      <x:c r="D894" s="27" t="str">
        <x:v>Evidence row 62 has artifact</x:v>
      </x:c>
      <x:c r="E894" s="27" t="n">
        <x:f>IF('Evidence Gates'!F62&lt;&gt;"",1,0)</x:f>
        <x:v>1</x:v>
      </x:c>
      <x:c r="F894" s="27" t="n">
        <x:v>1</x:v>
      </x:c>
      <x:c r="G894" s="29" t="str">
        <x:f>IF(E894=F894,"PASS","FAIL")</x:f>
        <x:v>PASS</x:v>
      </x:c>
    </x:row>
    <x:row r="895" ht="18" customHeight="1">
      <x:c r="B895" s="27" t="str">
        <x:v>A0889</x:v>
      </x:c>
      <x:c r="C895" s="27" t="str">
        <x:v>evidence</x:v>
      </x:c>
      <x:c r="D895" s="27" t="str">
        <x:v>Evidence row 62 has authority</x:v>
      </x:c>
      <x:c r="E895" s="27" t="n">
        <x:f>IF('Evidence Gates'!G62&lt;&gt;"",1,0)</x:f>
        <x:v>1</x:v>
      </x:c>
      <x:c r="F895" s="27" t="n">
        <x:v>1</x:v>
      </x:c>
      <x:c r="G895" s="29" t="str">
        <x:f>IF(E895=F895,"PASS","FAIL")</x:f>
        <x:v>PASS</x:v>
      </x:c>
    </x:row>
    <x:row r="896" ht="18" customHeight="1">
      <x:c r="B896" s="27" t="str">
        <x:v>A0890</x:v>
      </x:c>
      <x:c r="C896" s="27" t="str">
        <x:v>evidence</x:v>
      </x:c>
      <x:c r="D896" s="27" t="str">
        <x:v>Evidence row 63 open</x:v>
      </x:c>
      <x:c r="E896" s="27" t="n">
        <x:f>IF('Evidence Gates'!I63="OPEN",1,0)</x:f>
        <x:v>1</x:v>
      </x:c>
      <x:c r="F896" s="27" t="n">
        <x:v>1</x:v>
      </x:c>
      <x:c r="G896" s="29" t="str">
        <x:f>IF(E896=F896,"PASS","FAIL")</x:f>
        <x:v>PASS</x:v>
      </x:c>
    </x:row>
    <x:row r="897" ht="18" customHeight="1">
      <x:c r="B897" s="27" t="str">
        <x:v>A0891</x:v>
      </x:c>
      <x:c r="C897" s="27" t="str">
        <x:v>evidence</x:v>
      </x:c>
      <x:c r="D897" s="27" t="str">
        <x:v>Evidence row 63 hold</x:v>
      </x:c>
      <x:c r="E897" s="27" t="n">
        <x:f>IF('Evidence Gates'!J63="HOLD",1,0)</x:f>
        <x:v>1</x:v>
      </x:c>
      <x:c r="F897" s="27" t="n">
        <x:v>1</x:v>
      </x:c>
      <x:c r="G897" s="29" t="str">
        <x:f>IF(E897=F897,"PASS","FAIL")</x:f>
        <x:v>PASS</x:v>
      </x:c>
    </x:row>
    <x:row r="898" ht="18" customHeight="1">
      <x:c r="B898" s="27" t="str">
        <x:v>A0892</x:v>
      </x:c>
      <x:c r="C898" s="27" t="str">
        <x:v>evidence</x:v>
      </x:c>
      <x:c r="D898" s="27" t="str">
        <x:v>Evidence row 63 zero credit</x:v>
      </x:c>
      <x:c r="E898" s="27" t="n">
        <x:f>IF('Evidence Gates'!K63=0,1,0)</x:f>
        <x:v>1</x:v>
      </x:c>
      <x:c r="F898" s="27" t="n">
        <x:v>1</x:v>
      </x:c>
      <x:c r="G898" s="29" t="str">
        <x:f>IF(E898=F898,"PASS","FAIL")</x:f>
        <x:v>PASS</x:v>
      </x:c>
    </x:row>
    <x:row r="899" ht="18" customHeight="1">
      <x:c r="B899" s="27" t="str">
        <x:v>A0893</x:v>
      </x:c>
      <x:c r="C899" s="27" t="str">
        <x:v>evidence</x:v>
      </x:c>
      <x:c r="D899" s="27" t="str">
        <x:v>Evidence row 63 has artifact</x:v>
      </x:c>
      <x:c r="E899" s="27" t="n">
        <x:f>IF('Evidence Gates'!F63&lt;&gt;"",1,0)</x:f>
        <x:v>1</x:v>
      </x:c>
      <x:c r="F899" s="27" t="n">
        <x:v>1</x:v>
      </x:c>
      <x:c r="G899" s="29" t="str">
        <x:f>IF(E899=F899,"PASS","FAIL")</x:f>
        <x:v>PASS</x:v>
      </x:c>
    </x:row>
    <x:row r="900" ht="18" customHeight="1">
      <x:c r="B900" s="27" t="str">
        <x:v>A0894</x:v>
      </x:c>
      <x:c r="C900" s="27" t="str">
        <x:v>evidence</x:v>
      </x:c>
      <x:c r="D900" s="27" t="str">
        <x:v>Evidence row 63 has authority</x:v>
      </x:c>
      <x:c r="E900" s="27" t="n">
        <x:f>IF('Evidence Gates'!G63&lt;&gt;"",1,0)</x:f>
        <x:v>1</x:v>
      </x:c>
      <x:c r="F900" s="27" t="n">
        <x:v>1</x:v>
      </x:c>
      <x:c r="G900" s="29" t="str">
        <x:f>IF(E900=F900,"PASS","FAIL")</x:f>
        <x:v>PASS</x:v>
      </x:c>
    </x:row>
    <x:row r="901" ht="18" customHeight="1">
      <x:c r="B901" s="27" t="str">
        <x:v>A0895</x:v>
      </x:c>
      <x:c r="C901" s="27" t="str">
        <x:v>evidence</x:v>
      </x:c>
      <x:c r="D901" s="27" t="str">
        <x:v>Evidence row 64 open</x:v>
      </x:c>
      <x:c r="E901" s="27" t="n">
        <x:f>IF('Evidence Gates'!I64="OPEN",1,0)</x:f>
        <x:v>1</x:v>
      </x:c>
      <x:c r="F901" s="27" t="n">
        <x:v>1</x:v>
      </x:c>
      <x:c r="G901" s="29" t="str">
        <x:f>IF(E901=F901,"PASS","FAIL")</x:f>
        <x:v>PASS</x:v>
      </x:c>
    </x:row>
    <x:row r="902" ht="18" customHeight="1">
      <x:c r="B902" s="27" t="str">
        <x:v>A0896</x:v>
      </x:c>
      <x:c r="C902" s="27" t="str">
        <x:v>evidence</x:v>
      </x:c>
      <x:c r="D902" s="27" t="str">
        <x:v>Evidence row 64 hold</x:v>
      </x:c>
      <x:c r="E902" s="27" t="n">
        <x:f>IF('Evidence Gates'!J64="HOLD",1,0)</x:f>
        <x:v>1</x:v>
      </x:c>
      <x:c r="F902" s="27" t="n">
        <x:v>1</x:v>
      </x:c>
      <x:c r="G902" s="29" t="str">
        <x:f>IF(E902=F902,"PASS","FAIL")</x:f>
        <x:v>PASS</x:v>
      </x:c>
    </x:row>
    <x:row r="903" ht="18" customHeight="1">
      <x:c r="B903" s="27" t="str">
        <x:v>A0897</x:v>
      </x:c>
      <x:c r="C903" s="27" t="str">
        <x:v>evidence</x:v>
      </x:c>
      <x:c r="D903" s="27" t="str">
        <x:v>Evidence row 64 zero credit</x:v>
      </x:c>
      <x:c r="E903" s="27" t="n">
        <x:f>IF('Evidence Gates'!K64=0,1,0)</x:f>
        <x:v>1</x:v>
      </x:c>
      <x:c r="F903" s="27" t="n">
        <x:v>1</x:v>
      </x:c>
      <x:c r="G903" s="29" t="str">
        <x:f>IF(E903=F903,"PASS","FAIL")</x:f>
        <x:v>PASS</x:v>
      </x:c>
    </x:row>
    <x:row r="904" ht="18" customHeight="1">
      <x:c r="B904" s="27" t="str">
        <x:v>A0898</x:v>
      </x:c>
      <x:c r="C904" s="27" t="str">
        <x:v>evidence</x:v>
      </x:c>
      <x:c r="D904" s="27" t="str">
        <x:v>Evidence row 64 has artifact</x:v>
      </x:c>
      <x:c r="E904" s="27" t="n">
        <x:f>IF('Evidence Gates'!F64&lt;&gt;"",1,0)</x:f>
        <x:v>1</x:v>
      </x:c>
      <x:c r="F904" s="27" t="n">
        <x:v>1</x:v>
      </x:c>
      <x:c r="G904" s="29" t="str">
        <x:f>IF(E904=F904,"PASS","FAIL")</x:f>
        <x:v>PASS</x:v>
      </x:c>
    </x:row>
    <x:row r="905" ht="18" customHeight="1">
      <x:c r="B905" s="27" t="str">
        <x:v>A0899</x:v>
      </x:c>
      <x:c r="C905" s="27" t="str">
        <x:v>evidence</x:v>
      </x:c>
      <x:c r="D905" s="27" t="str">
        <x:v>Evidence row 64 has authority</x:v>
      </x:c>
      <x:c r="E905" s="27" t="n">
        <x:f>IF('Evidence Gates'!G64&lt;&gt;"",1,0)</x:f>
        <x:v>1</x:v>
      </x:c>
      <x:c r="F905" s="27" t="n">
        <x:v>1</x:v>
      </x:c>
      <x:c r="G905" s="29" t="str">
        <x:f>IF(E905=F905,"PASS","FAIL")</x:f>
        <x:v>PASS</x:v>
      </x:c>
    </x:row>
    <x:row r="906" ht="18" customHeight="1">
      <x:c r="B906" s="27" t="str">
        <x:v>A0900</x:v>
      </x:c>
      <x:c r="C906" s="27" t="str">
        <x:v>evidence</x:v>
      </x:c>
      <x:c r="D906" s="27" t="str">
        <x:v>Evidence row 65 open</x:v>
      </x:c>
      <x:c r="E906" s="27" t="n">
        <x:f>IF('Evidence Gates'!I65="OPEN",1,0)</x:f>
        <x:v>1</x:v>
      </x:c>
      <x:c r="F906" s="27" t="n">
        <x:v>1</x:v>
      </x:c>
      <x:c r="G906" s="29" t="str">
        <x:f>IF(E906=F906,"PASS","FAIL")</x:f>
        <x:v>PASS</x:v>
      </x:c>
    </x:row>
    <x:row r="907" ht="18" customHeight="1">
      <x:c r="B907" s="27" t="str">
        <x:v>A0901</x:v>
      </x:c>
      <x:c r="C907" s="27" t="str">
        <x:v>evidence</x:v>
      </x:c>
      <x:c r="D907" s="27" t="str">
        <x:v>Evidence row 65 hold</x:v>
      </x:c>
      <x:c r="E907" s="27" t="n">
        <x:f>IF('Evidence Gates'!J65="HOLD",1,0)</x:f>
        <x:v>1</x:v>
      </x:c>
      <x:c r="F907" s="27" t="n">
        <x:v>1</x:v>
      </x:c>
      <x:c r="G907" s="29" t="str">
        <x:f>IF(E907=F907,"PASS","FAIL")</x:f>
        <x:v>PASS</x:v>
      </x:c>
    </x:row>
    <x:row r="908" ht="18" customHeight="1">
      <x:c r="B908" s="27" t="str">
        <x:v>A0902</x:v>
      </x:c>
      <x:c r="C908" s="27" t="str">
        <x:v>evidence</x:v>
      </x:c>
      <x:c r="D908" s="27" t="str">
        <x:v>Evidence row 65 zero credit</x:v>
      </x:c>
      <x:c r="E908" s="27" t="n">
        <x:f>IF('Evidence Gates'!K65=0,1,0)</x:f>
        <x:v>1</x:v>
      </x:c>
      <x:c r="F908" s="27" t="n">
        <x:v>1</x:v>
      </x:c>
      <x:c r="G908" s="29" t="str">
        <x:f>IF(E908=F908,"PASS","FAIL")</x:f>
        <x:v>PASS</x:v>
      </x:c>
    </x:row>
    <x:row r="909" ht="18" customHeight="1">
      <x:c r="B909" s="27" t="str">
        <x:v>A0903</x:v>
      </x:c>
      <x:c r="C909" s="27" t="str">
        <x:v>evidence</x:v>
      </x:c>
      <x:c r="D909" s="27" t="str">
        <x:v>Evidence row 65 has artifact</x:v>
      </x:c>
      <x:c r="E909" s="27" t="n">
        <x:f>IF('Evidence Gates'!F65&lt;&gt;"",1,0)</x:f>
        <x:v>1</x:v>
      </x:c>
      <x:c r="F909" s="27" t="n">
        <x:v>1</x:v>
      </x:c>
      <x:c r="G909" s="29" t="str">
        <x:f>IF(E909=F909,"PASS","FAIL")</x:f>
        <x:v>PASS</x:v>
      </x:c>
    </x:row>
    <x:row r="910" ht="18" customHeight="1">
      <x:c r="B910" s="27" t="str">
        <x:v>A0904</x:v>
      </x:c>
      <x:c r="C910" s="27" t="str">
        <x:v>evidence</x:v>
      </x:c>
      <x:c r="D910" s="27" t="str">
        <x:v>Evidence row 65 has authority</x:v>
      </x:c>
      <x:c r="E910" s="27" t="n">
        <x:f>IF('Evidence Gates'!G65&lt;&gt;"",1,0)</x:f>
        <x:v>1</x:v>
      </x:c>
      <x:c r="F910" s="27" t="n">
        <x:v>1</x:v>
      </x:c>
      <x:c r="G910" s="29" t="str">
        <x:f>IF(E910=F910,"PASS","FAIL")</x:f>
        <x:v>PASS</x:v>
      </x:c>
    </x:row>
    <x:row r="911" ht="18" customHeight="1">
      <x:c r="B911" s="27" t="str">
        <x:v>A0905</x:v>
      </x:c>
      <x:c r="C911" s="27" t="str">
        <x:v>evidence</x:v>
      </x:c>
      <x:c r="D911" s="27" t="str">
        <x:v>Evidence row 66 open</x:v>
      </x:c>
      <x:c r="E911" s="27" t="n">
        <x:f>IF('Evidence Gates'!I66="OPEN",1,0)</x:f>
        <x:v>1</x:v>
      </x:c>
      <x:c r="F911" s="27" t="n">
        <x:v>1</x:v>
      </x:c>
      <x:c r="G911" s="29" t="str">
        <x:f>IF(E911=F911,"PASS","FAIL")</x:f>
        <x:v>PASS</x:v>
      </x:c>
    </x:row>
    <x:row r="912" ht="18" customHeight="1">
      <x:c r="B912" s="27" t="str">
        <x:v>A0906</x:v>
      </x:c>
      <x:c r="C912" s="27" t="str">
        <x:v>evidence</x:v>
      </x:c>
      <x:c r="D912" s="27" t="str">
        <x:v>Evidence row 66 hold</x:v>
      </x:c>
      <x:c r="E912" s="27" t="n">
        <x:f>IF('Evidence Gates'!J66="HOLD",1,0)</x:f>
        <x:v>1</x:v>
      </x:c>
      <x:c r="F912" s="27" t="n">
        <x:v>1</x:v>
      </x:c>
      <x:c r="G912" s="29" t="str">
        <x:f>IF(E912=F912,"PASS","FAIL")</x:f>
        <x:v>PASS</x:v>
      </x:c>
    </x:row>
    <x:row r="913" ht="18" customHeight="1">
      <x:c r="B913" s="27" t="str">
        <x:v>A0907</x:v>
      </x:c>
      <x:c r="C913" s="27" t="str">
        <x:v>evidence</x:v>
      </x:c>
      <x:c r="D913" s="27" t="str">
        <x:v>Evidence row 66 zero credit</x:v>
      </x:c>
      <x:c r="E913" s="27" t="n">
        <x:f>IF('Evidence Gates'!K66=0,1,0)</x:f>
        <x:v>1</x:v>
      </x:c>
      <x:c r="F913" s="27" t="n">
        <x:v>1</x:v>
      </x:c>
      <x:c r="G913" s="29" t="str">
        <x:f>IF(E913=F913,"PASS","FAIL")</x:f>
        <x:v>PASS</x:v>
      </x:c>
    </x:row>
    <x:row r="914" ht="18" customHeight="1">
      <x:c r="B914" s="27" t="str">
        <x:v>A0908</x:v>
      </x:c>
      <x:c r="C914" s="27" t="str">
        <x:v>evidence</x:v>
      </x:c>
      <x:c r="D914" s="27" t="str">
        <x:v>Evidence row 66 has artifact</x:v>
      </x:c>
      <x:c r="E914" s="27" t="n">
        <x:f>IF('Evidence Gates'!F66&lt;&gt;"",1,0)</x:f>
        <x:v>1</x:v>
      </x:c>
      <x:c r="F914" s="27" t="n">
        <x:v>1</x:v>
      </x:c>
      <x:c r="G914" s="29" t="str">
        <x:f>IF(E914=F914,"PASS","FAIL")</x:f>
        <x:v>PASS</x:v>
      </x:c>
    </x:row>
    <x:row r="915" ht="18" customHeight="1">
      <x:c r="B915" s="27" t="str">
        <x:v>A0909</x:v>
      </x:c>
      <x:c r="C915" s="27" t="str">
        <x:v>evidence</x:v>
      </x:c>
      <x:c r="D915" s="27" t="str">
        <x:v>Evidence row 66 has authority</x:v>
      </x:c>
      <x:c r="E915" s="27" t="n">
        <x:f>IF('Evidence Gates'!G66&lt;&gt;"",1,0)</x:f>
        <x:v>1</x:v>
      </x:c>
      <x:c r="F915" s="27" t="n">
        <x:v>1</x:v>
      </x:c>
      <x:c r="G915" s="29" t="str">
        <x:f>IF(E915=F915,"PASS","FAIL")</x:f>
        <x:v>PASS</x:v>
      </x:c>
    </x:row>
    <x:row r="916" ht="18" customHeight="1">
      <x:c r="B916" s="27" t="str">
        <x:v>A0910</x:v>
      </x:c>
      <x:c r="C916" s="27" t="str">
        <x:v>evidence</x:v>
      </x:c>
      <x:c r="D916" s="27" t="str">
        <x:v>Evidence row 67 open</x:v>
      </x:c>
      <x:c r="E916" s="27" t="n">
        <x:f>IF('Evidence Gates'!I67="OPEN",1,0)</x:f>
        <x:v>1</x:v>
      </x:c>
      <x:c r="F916" s="27" t="n">
        <x:v>1</x:v>
      </x:c>
      <x:c r="G916" s="29" t="str">
        <x:f>IF(E916=F916,"PASS","FAIL")</x:f>
        <x:v>PASS</x:v>
      </x:c>
    </x:row>
    <x:row r="917" ht="18" customHeight="1">
      <x:c r="B917" s="27" t="str">
        <x:v>A0911</x:v>
      </x:c>
      <x:c r="C917" s="27" t="str">
        <x:v>evidence</x:v>
      </x:c>
      <x:c r="D917" s="27" t="str">
        <x:v>Evidence row 67 hold</x:v>
      </x:c>
      <x:c r="E917" s="27" t="n">
        <x:f>IF('Evidence Gates'!J67="HOLD",1,0)</x:f>
        <x:v>1</x:v>
      </x:c>
      <x:c r="F917" s="27" t="n">
        <x:v>1</x:v>
      </x:c>
      <x:c r="G917" s="29" t="str">
        <x:f>IF(E917=F917,"PASS","FAIL")</x:f>
        <x:v>PASS</x:v>
      </x:c>
    </x:row>
    <x:row r="918" ht="18" customHeight="1">
      <x:c r="B918" s="27" t="str">
        <x:v>A0912</x:v>
      </x:c>
      <x:c r="C918" s="27" t="str">
        <x:v>evidence</x:v>
      </x:c>
      <x:c r="D918" s="27" t="str">
        <x:v>Evidence row 67 zero credit</x:v>
      </x:c>
      <x:c r="E918" s="27" t="n">
        <x:f>IF('Evidence Gates'!K67=0,1,0)</x:f>
        <x:v>1</x:v>
      </x:c>
      <x:c r="F918" s="27" t="n">
        <x:v>1</x:v>
      </x:c>
      <x:c r="G918" s="29" t="str">
        <x:f>IF(E918=F918,"PASS","FAIL")</x:f>
        <x:v>PASS</x:v>
      </x:c>
    </x:row>
    <x:row r="919" ht="18" customHeight="1">
      <x:c r="B919" s="27" t="str">
        <x:v>A0913</x:v>
      </x:c>
      <x:c r="C919" s="27" t="str">
        <x:v>evidence</x:v>
      </x:c>
      <x:c r="D919" s="27" t="str">
        <x:v>Evidence row 67 has artifact</x:v>
      </x:c>
      <x:c r="E919" s="27" t="n">
        <x:f>IF('Evidence Gates'!F67&lt;&gt;"",1,0)</x:f>
        <x:v>1</x:v>
      </x:c>
      <x:c r="F919" s="27" t="n">
        <x:v>1</x:v>
      </x:c>
      <x:c r="G919" s="29" t="str">
        <x:f>IF(E919=F919,"PASS","FAIL")</x:f>
        <x:v>PASS</x:v>
      </x:c>
    </x:row>
    <x:row r="920" ht="18" customHeight="1">
      <x:c r="B920" s="27" t="str">
        <x:v>A0914</x:v>
      </x:c>
      <x:c r="C920" s="27" t="str">
        <x:v>evidence</x:v>
      </x:c>
      <x:c r="D920" s="27" t="str">
        <x:v>Evidence row 67 has authority</x:v>
      </x:c>
      <x:c r="E920" s="27" t="n">
        <x:f>IF('Evidence Gates'!G67&lt;&gt;"",1,0)</x:f>
        <x:v>1</x:v>
      </x:c>
      <x:c r="F920" s="27" t="n">
        <x:v>1</x:v>
      </x:c>
      <x:c r="G920" s="29" t="str">
        <x:f>IF(E920=F920,"PASS","FAIL")</x:f>
        <x:v>PASS</x:v>
      </x:c>
    </x:row>
    <x:row r="921" ht="18" customHeight="1">
      <x:c r="B921" s="27" t="str">
        <x:v>A0915</x:v>
      </x:c>
      <x:c r="C921" s="27" t="str">
        <x:v>evidence</x:v>
      </x:c>
      <x:c r="D921" s="27" t="str">
        <x:v>Evidence row 68 open</x:v>
      </x:c>
      <x:c r="E921" s="27" t="n">
        <x:f>IF('Evidence Gates'!I68="OPEN",1,0)</x:f>
        <x:v>1</x:v>
      </x:c>
      <x:c r="F921" s="27" t="n">
        <x:v>1</x:v>
      </x:c>
      <x:c r="G921" s="29" t="str">
        <x:f>IF(E921=F921,"PASS","FAIL")</x:f>
        <x:v>PASS</x:v>
      </x:c>
    </x:row>
    <x:row r="922" ht="18" customHeight="1">
      <x:c r="B922" s="27" t="str">
        <x:v>A0916</x:v>
      </x:c>
      <x:c r="C922" s="27" t="str">
        <x:v>evidence</x:v>
      </x:c>
      <x:c r="D922" s="27" t="str">
        <x:v>Evidence row 68 hold</x:v>
      </x:c>
      <x:c r="E922" s="27" t="n">
        <x:f>IF('Evidence Gates'!J68="HOLD",1,0)</x:f>
        <x:v>1</x:v>
      </x:c>
      <x:c r="F922" s="27" t="n">
        <x:v>1</x:v>
      </x:c>
      <x:c r="G922" s="29" t="str">
        <x:f>IF(E922=F922,"PASS","FAIL")</x:f>
        <x:v>PASS</x:v>
      </x:c>
    </x:row>
    <x:row r="923" ht="18" customHeight="1">
      <x:c r="B923" s="27" t="str">
        <x:v>A0917</x:v>
      </x:c>
      <x:c r="C923" s="27" t="str">
        <x:v>evidence</x:v>
      </x:c>
      <x:c r="D923" s="27" t="str">
        <x:v>Evidence row 68 zero credit</x:v>
      </x:c>
      <x:c r="E923" s="27" t="n">
        <x:f>IF('Evidence Gates'!K68=0,1,0)</x:f>
        <x:v>1</x:v>
      </x:c>
      <x:c r="F923" s="27" t="n">
        <x:v>1</x:v>
      </x:c>
      <x:c r="G923" s="29" t="str">
        <x:f>IF(E923=F923,"PASS","FAIL")</x:f>
        <x:v>PASS</x:v>
      </x:c>
    </x:row>
    <x:row r="924" ht="18" customHeight="1">
      <x:c r="B924" s="27" t="str">
        <x:v>A0918</x:v>
      </x:c>
      <x:c r="C924" s="27" t="str">
        <x:v>evidence</x:v>
      </x:c>
      <x:c r="D924" s="27" t="str">
        <x:v>Evidence row 68 has artifact</x:v>
      </x:c>
      <x:c r="E924" s="27" t="n">
        <x:f>IF('Evidence Gates'!F68&lt;&gt;"",1,0)</x:f>
        <x:v>1</x:v>
      </x:c>
      <x:c r="F924" s="27" t="n">
        <x:v>1</x:v>
      </x:c>
      <x:c r="G924" s="29" t="str">
        <x:f>IF(E924=F924,"PASS","FAIL")</x:f>
        <x:v>PASS</x:v>
      </x:c>
    </x:row>
    <x:row r="925" ht="18" customHeight="1">
      <x:c r="B925" s="27" t="str">
        <x:v>A0919</x:v>
      </x:c>
      <x:c r="C925" s="27" t="str">
        <x:v>evidence</x:v>
      </x:c>
      <x:c r="D925" s="27" t="str">
        <x:v>Evidence row 68 has authority</x:v>
      </x:c>
      <x:c r="E925" s="27" t="n">
        <x:f>IF('Evidence Gates'!G68&lt;&gt;"",1,0)</x:f>
        <x:v>1</x:v>
      </x:c>
      <x:c r="F925" s="27" t="n">
        <x:v>1</x:v>
      </x:c>
      <x:c r="G925" s="29" t="str">
        <x:f>IF(E925=F925,"PASS","FAIL")</x:f>
        <x:v>PASS</x:v>
      </x:c>
    </x:row>
    <x:row r="926" ht="18" customHeight="1">
      <x:c r="B926" s="27" t="str">
        <x:v>A0920</x:v>
      </x:c>
      <x:c r="C926" s="27" t="str">
        <x:v>evidence</x:v>
      </x:c>
      <x:c r="D926" s="27" t="str">
        <x:v>Evidence row 69 open</x:v>
      </x:c>
      <x:c r="E926" s="27" t="n">
        <x:f>IF('Evidence Gates'!I69="OPEN",1,0)</x:f>
        <x:v>1</x:v>
      </x:c>
      <x:c r="F926" s="27" t="n">
        <x:v>1</x:v>
      </x:c>
      <x:c r="G926" s="29" t="str">
        <x:f>IF(E926=F926,"PASS","FAIL")</x:f>
        <x:v>PASS</x:v>
      </x:c>
    </x:row>
    <x:row r="927" ht="18" customHeight="1">
      <x:c r="B927" s="27" t="str">
        <x:v>A0921</x:v>
      </x:c>
      <x:c r="C927" s="27" t="str">
        <x:v>evidence</x:v>
      </x:c>
      <x:c r="D927" s="27" t="str">
        <x:v>Evidence row 69 hold</x:v>
      </x:c>
      <x:c r="E927" s="27" t="n">
        <x:f>IF('Evidence Gates'!J69="HOLD",1,0)</x:f>
        <x:v>1</x:v>
      </x:c>
      <x:c r="F927" s="27" t="n">
        <x:v>1</x:v>
      </x:c>
      <x:c r="G927" s="29" t="str">
        <x:f>IF(E927=F927,"PASS","FAIL")</x:f>
        <x:v>PASS</x:v>
      </x:c>
    </x:row>
    <x:row r="928" ht="18" customHeight="1">
      <x:c r="B928" s="27" t="str">
        <x:v>A0922</x:v>
      </x:c>
      <x:c r="C928" s="27" t="str">
        <x:v>evidence</x:v>
      </x:c>
      <x:c r="D928" s="27" t="str">
        <x:v>Evidence row 69 zero credit</x:v>
      </x:c>
      <x:c r="E928" s="27" t="n">
        <x:f>IF('Evidence Gates'!K69=0,1,0)</x:f>
        <x:v>1</x:v>
      </x:c>
      <x:c r="F928" s="27" t="n">
        <x:v>1</x:v>
      </x:c>
      <x:c r="G928" s="29" t="str">
        <x:f>IF(E928=F928,"PASS","FAIL")</x:f>
        <x:v>PASS</x:v>
      </x:c>
    </x:row>
    <x:row r="929" ht="18" customHeight="1">
      <x:c r="B929" s="27" t="str">
        <x:v>A0923</x:v>
      </x:c>
      <x:c r="C929" s="27" t="str">
        <x:v>evidence</x:v>
      </x:c>
      <x:c r="D929" s="27" t="str">
        <x:v>Evidence row 69 has artifact</x:v>
      </x:c>
      <x:c r="E929" s="27" t="n">
        <x:f>IF('Evidence Gates'!F69&lt;&gt;"",1,0)</x:f>
        <x:v>1</x:v>
      </x:c>
      <x:c r="F929" s="27" t="n">
        <x:v>1</x:v>
      </x:c>
      <x:c r="G929" s="29" t="str">
        <x:f>IF(E929=F929,"PASS","FAIL")</x:f>
        <x:v>PASS</x:v>
      </x:c>
    </x:row>
    <x:row r="930" ht="18" customHeight="1">
      <x:c r="B930" s="27" t="str">
        <x:v>A0924</x:v>
      </x:c>
      <x:c r="C930" s="27" t="str">
        <x:v>evidence</x:v>
      </x:c>
      <x:c r="D930" s="27" t="str">
        <x:v>Evidence row 69 has authority</x:v>
      </x:c>
      <x:c r="E930" s="27" t="n">
        <x:f>IF('Evidence Gates'!G69&lt;&gt;"",1,0)</x:f>
        <x:v>1</x:v>
      </x:c>
      <x:c r="F930" s="27" t="n">
        <x:v>1</x:v>
      </x:c>
      <x:c r="G930" s="29" t="str">
        <x:f>IF(E930=F930,"PASS","FAIL")</x:f>
        <x:v>PASS</x:v>
      </x:c>
    </x:row>
    <x:row r="931" ht="18" customHeight="1">
      <x:c r="B931" s="27" t="str">
        <x:v>A0925</x:v>
      </x:c>
      <x:c r="C931" s="27" t="str">
        <x:v>evidence</x:v>
      </x:c>
      <x:c r="D931" s="27" t="str">
        <x:v>Evidence row 70 open</x:v>
      </x:c>
      <x:c r="E931" s="27" t="n">
        <x:f>IF('Evidence Gates'!I70="OPEN",1,0)</x:f>
        <x:v>1</x:v>
      </x:c>
      <x:c r="F931" s="27" t="n">
        <x:v>1</x:v>
      </x:c>
      <x:c r="G931" s="29" t="str">
        <x:f>IF(E931=F931,"PASS","FAIL")</x:f>
        <x:v>PASS</x:v>
      </x:c>
    </x:row>
    <x:row r="932" ht="18" customHeight="1">
      <x:c r="B932" s="27" t="str">
        <x:v>A0926</x:v>
      </x:c>
      <x:c r="C932" s="27" t="str">
        <x:v>evidence</x:v>
      </x:c>
      <x:c r="D932" s="27" t="str">
        <x:v>Evidence row 70 hold</x:v>
      </x:c>
      <x:c r="E932" s="27" t="n">
        <x:f>IF('Evidence Gates'!J70="HOLD",1,0)</x:f>
        <x:v>1</x:v>
      </x:c>
      <x:c r="F932" s="27" t="n">
        <x:v>1</x:v>
      </x:c>
      <x:c r="G932" s="29" t="str">
        <x:f>IF(E932=F932,"PASS","FAIL")</x:f>
        <x:v>PASS</x:v>
      </x:c>
    </x:row>
    <x:row r="933" ht="18" customHeight="1">
      <x:c r="B933" s="27" t="str">
        <x:v>A0927</x:v>
      </x:c>
      <x:c r="C933" s="27" t="str">
        <x:v>evidence</x:v>
      </x:c>
      <x:c r="D933" s="27" t="str">
        <x:v>Evidence row 70 zero credit</x:v>
      </x:c>
      <x:c r="E933" s="27" t="n">
        <x:f>IF('Evidence Gates'!K70=0,1,0)</x:f>
        <x:v>1</x:v>
      </x:c>
      <x:c r="F933" s="27" t="n">
        <x:v>1</x:v>
      </x:c>
      <x:c r="G933" s="29" t="str">
        <x:f>IF(E933=F933,"PASS","FAIL")</x:f>
        <x:v>PASS</x:v>
      </x:c>
    </x:row>
    <x:row r="934" ht="18" customHeight="1">
      <x:c r="B934" s="27" t="str">
        <x:v>A0928</x:v>
      </x:c>
      <x:c r="C934" s="27" t="str">
        <x:v>evidence</x:v>
      </x:c>
      <x:c r="D934" s="27" t="str">
        <x:v>Evidence row 70 has artifact</x:v>
      </x:c>
      <x:c r="E934" s="27" t="n">
        <x:f>IF('Evidence Gates'!F70&lt;&gt;"",1,0)</x:f>
        <x:v>1</x:v>
      </x:c>
      <x:c r="F934" s="27" t="n">
        <x:v>1</x:v>
      </x:c>
      <x:c r="G934" s="29" t="str">
        <x:f>IF(E934=F934,"PASS","FAIL")</x:f>
        <x:v>PASS</x:v>
      </x:c>
    </x:row>
    <x:row r="935" ht="18" customHeight="1">
      <x:c r="B935" s="27" t="str">
        <x:v>A0929</x:v>
      </x:c>
      <x:c r="C935" s="27" t="str">
        <x:v>evidence</x:v>
      </x:c>
      <x:c r="D935" s="27" t="str">
        <x:v>Evidence row 70 has authority</x:v>
      </x:c>
      <x:c r="E935" s="27" t="n">
        <x:f>IF('Evidence Gates'!G70&lt;&gt;"",1,0)</x:f>
        <x:v>1</x:v>
      </x:c>
      <x:c r="F935" s="27" t="n">
        <x:v>1</x:v>
      </x:c>
      <x:c r="G935" s="29" t="str">
        <x:f>IF(E935=F935,"PASS","FAIL")</x:f>
        <x:v>PASS</x:v>
      </x:c>
    </x:row>
    <x:row r="936" ht="18" customHeight="1">
      <x:c r="B936" s="27" t="str">
        <x:v>A0930</x:v>
      </x:c>
      <x:c r="C936" s="27" t="str">
        <x:v>campaign</x:v>
      </x:c>
      <x:c r="D936" s="27" t="str">
        <x:v>Campaign row 7 trial count</x:v>
      </x:c>
      <x:c r="E936" s="27" t="n">
        <x:f>IF('Campaign Schedule'!H7='Campaign Schedule'!I7,1,0)</x:f>
        <x:v>1</x:v>
      </x:c>
      <x:c r="F936" s="27" t="n">
        <x:v>1</x:v>
      </x:c>
      <x:c r="G936" s="29" t="str">
        <x:f>IF(E936=F936,"PASS","FAIL")</x:f>
        <x:v>PASS</x:v>
      </x:c>
    </x:row>
    <x:row r="937" ht="18" customHeight="1">
      <x:c r="B937" s="27" t="str">
        <x:v>A0931</x:v>
      </x:c>
      <x:c r="C937" s="27" t="str">
        <x:v>campaign</x:v>
      </x:c>
      <x:c r="D937" s="27" t="str">
        <x:v>Campaign row 7 gate count</x:v>
      </x:c>
      <x:c r="E937" s="27" t="n">
        <x:f>IF('Campaign Schedule'!J7='Campaign Schedule'!K7,1,0)</x:f>
        <x:v>1</x:v>
      </x:c>
      <x:c r="F937" s="27" t="n">
        <x:v>1</x:v>
      </x:c>
      <x:c r="G937" s="29" t="str">
        <x:f>IF(E937=F937,"PASS","FAIL")</x:f>
        <x:v>PASS</x:v>
      </x:c>
    </x:row>
    <x:row r="938" ht="18" customHeight="1">
      <x:c r="B938" s="27" t="str">
        <x:v>A0932</x:v>
      </x:c>
      <x:c r="C938" s="27" t="str">
        <x:v>campaign</x:v>
      </x:c>
      <x:c r="D938" s="27" t="str">
        <x:v>Campaign row 7 cost budget</x:v>
      </x:c>
      <x:c r="E938" s="27" t="n">
        <x:f>IF(ABS('Campaign Schedule'!L7-'Campaign Schedule'!M7)&lt;0.000001,1,0)</x:f>
        <x:v>1</x:v>
      </x:c>
      <x:c r="F938" s="27" t="n">
        <x:v>1</x:v>
      </x:c>
      <x:c r="G938" s="29" t="str">
        <x:f>IF(E938=F938,"PASS","FAIL")</x:f>
        <x:v>PASS</x:v>
      </x:c>
    </x:row>
    <x:row r="939" ht="18" customHeight="1">
      <x:c r="B939" s="27" t="str">
        <x:v>A0933</x:v>
      </x:c>
      <x:c r="C939" s="27" t="str">
        <x:v>campaign</x:v>
      </x:c>
      <x:c r="D939" s="27" t="str">
        <x:v>Campaign row 7 zero variance</x:v>
      </x:c>
      <x:c r="E939" s="27" t="n">
        <x:f>IF(ABS('Campaign Schedule'!N7)&lt;0.000001,1,0)</x:f>
        <x:v>1</x:v>
      </x:c>
      <x:c r="F939" s="27" t="n">
        <x:v>1</x:v>
      </x:c>
      <x:c r="G939" s="29" t="str">
        <x:f>IF(E939=F939,"PASS","FAIL")</x:f>
        <x:v>PASS</x:v>
      </x:c>
    </x:row>
    <x:row r="940" ht="18" customHeight="1">
      <x:c r="B940" s="27" t="str">
        <x:v>A0934</x:v>
      </x:c>
      <x:c r="C940" s="27" t="str">
        <x:v>campaign</x:v>
      </x:c>
      <x:c r="D940" s="27" t="str">
        <x:v>Campaign row 7 state open</x:v>
      </x:c>
      <x:c r="E940" s="27" t="n">
        <x:f>IF('Campaign Schedule'!O7="OPEN",1,0)</x:f>
        <x:v>1</x:v>
      </x:c>
      <x:c r="F940" s="27" t="n">
        <x:v>1</x:v>
      </x:c>
      <x:c r="G940" s="29" t="str">
        <x:f>IF(E940=F940,"PASS","FAIL")</x:f>
        <x:v>PASS</x:v>
      </x:c>
    </x:row>
    <x:row r="941" ht="18" customHeight="1">
      <x:c r="B941" s="27" t="str">
        <x:v>A0935</x:v>
      </x:c>
      <x:c r="C941" s="27" t="str">
        <x:v>campaign</x:v>
      </x:c>
      <x:c r="D941" s="27" t="str">
        <x:v>Campaign row 8 trial count</x:v>
      </x:c>
      <x:c r="E941" s="27" t="n">
        <x:f>IF('Campaign Schedule'!H8='Campaign Schedule'!I8,1,0)</x:f>
        <x:v>1</x:v>
      </x:c>
      <x:c r="F941" s="27" t="n">
        <x:v>1</x:v>
      </x:c>
      <x:c r="G941" s="29" t="str">
        <x:f>IF(E941=F941,"PASS","FAIL")</x:f>
        <x:v>PASS</x:v>
      </x:c>
    </x:row>
    <x:row r="942" ht="18" customHeight="1">
      <x:c r="B942" s="27" t="str">
        <x:v>A0936</x:v>
      </x:c>
      <x:c r="C942" s="27" t="str">
        <x:v>campaign</x:v>
      </x:c>
      <x:c r="D942" s="27" t="str">
        <x:v>Campaign row 8 gate count</x:v>
      </x:c>
      <x:c r="E942" s="27" t="n">
        <x:f>IF('Campaign Schedule'!J8='Campaign Schedule'!K8,1,0)</x:f>
        <x:v>1</x:v>
      </x:c>
      <x:c r="F942" s="27" t="n">
        <x:v>1</x:v>
      </x:c>
      <x:c r="G942" s="29" t="str">
        <x:f>IF(E942=F942,"PASS","FAIL")</x:f>
        <x:v>PASS</x:v>
      </x:c>
    </x:row>
    <x:row r="943" ht="18" customHeight="1">
      <x:c r="B943" s="27" t="str">
        <x:v>A0937</x:v>
      </x:c>
      <x:c r="C943" s="27" t="str">
        <x:v>campaign</x:v>
      </x:c>
      <x:c r="D943" s="27" t="str">
        <x:v>Campaign row 8 cost budget</x:v>
      </x:c>
      <x:c r="E943" s="27" t="n">
        <x:f>IF(ABS('Campaign Schedule'!L8-'Campaign Schedule'!M8)&lt;0.000001,1,0)</x:f>
        <x:v>1</x:v>
      </x:c>
      <x:c r="F943" s="27" t="n">
        <x:v>1</x:v>
      </x:c>
      <x:c r="G943" s="29" t="str">
        <x:f>IF(E943=F943,"PASS","FAIL")</x:f>
        <x:v>PASS</x:v>
      </x:c>
    </x:row>
    <x:row r="944" ht="18" customHeight="1">
      <x:c r="B944" s="27" t="str">
        <x:v>A0938</x:v>
      </x:c>
      <x:c r="C944" s="27" t="str">
        <x:v>campaign</x:v>
      </x:c>
      <x:c r="D944" s="27" t="str">
        <x:v>Campaign row 8 zero variance</x:v>
      </x:c>
      <x:c r="E944" s="27" t="n">
        <x:f>IF(ABS('Campaign Schedule'!N8)&lt;0.000001,1,0)</x:f>
        <x:v>1</x:v>
      </x:c>
      <x:c r="F944" s="27" t="n">
        <x:v>1</x:v>
      </x:c>
      <x:c r="G944" s="29" t="str">
        <x:f>IF(E944=F944,"PASS","FAIL")</x:f>
        <x:v>PASS</x:v>
      </x:c>
    </x:row>
    <x:row r="945" ht="18" customHeight="1">
      <x:c r="B945" s="27" t="str">
        <x:v>A0939</x:v>
      </x:c>
      <x:c r="C945" s="27" t="str">
        <x:v>campaign</x:v>
      </x:c>
      <x:c r="D945" s="27" t="str">
        <x:v>Campaign row 8 state open</x:v>
      </x:c>
      <x:c r="E945" s="27" t="n">
        <x:f>IF('Campaign Schedule'!O8="OPEN",1,0)</x:f>
        <x:v>1</x:v>
      </x:c>
      <x:c r="F945" s="27" t="n">
        <x:v>1</x:v>
      </x:c>
      <x:c r="G945" s="29" t="str">
        <x:f>IF(E945=F945,"PASS","FAIL")</x:f>
        <x:v>PASS</x:v>
      </x:c>
    </x:row>
    <x:row r="946" ht="18" customHeight="1">
      <x:c r="B946" s="27" t="str">
        <x:v>A0940</x:v>
      </x:c>
      <x:c r="C946" s="27" t="str">
        <x:v>campaign</x:v>
      </x:c>
      <x:c r="D946" s="27" t="str">
        <x:v>Campaign row 9 trial count</x:v>
      </x:c>
      <x:c r="E946" s="27" t="n">
        <x:f>IF('Campaign Schedule'!H9='Campaign Schedule'!I9,1,0)</x:f>
        <x:v>1</x:v>
      </x:c>
      <x:c r="F946" s="27" t="n">
        <x:v>1</x:v>
      </x:c>
      <x:c r="G946" s="29" t="str">
        <x:f>IF(E946=F946,"PASS","FAIL")</x:f>
        <x:v>PASS</x:v>
      </x:c>
    </x:row>
    <x:row r="947" ht="18" customHeight="1">
      <x:c r="B947" s="27" t="str">
        <x:v>A0941</x:v>
      </x:c>
      <x:c r="C947" s="27" t="str">
        <x:v>campaign</x:v>
      </x:c>
      <x:c r="D947" s="27" t="str">
        <x:v>Campaign row 9 gate count</x:v>
      </x:c>
      <x:c r="E947" s="27" t="n">
        <x:f>IF('Campaign Schedule'!J9='Campaign Schedule'!K9,1,0)</x:f>
        <x:v>1</x:v>
      </x:c>
      <x:c r="F947" s="27" t="n">
        <x:v>1</x:v>
      </x:c>
      <x:c r="G947" s="29" t="str">
        <x:f>IF(E947=F947,"PASS","FAIL")</x:f>
        <x:v>PASS</x:v>
      </x:c>
    </x:row>
    <x:row r="948" ht="18" customHeight="1">
      <x:c r="B948" s="27" t="str">
        <x:v>A0942</x:v>
      </x:c>
      <x:c r="C948" s="27" t="str">
        <x:v>campaign</x:v>
      </x:c>
      <x:c r="D948" s="27" t="str">
        <x:v>Campaign row 9 cost budget</x:v>
      </x:c>
      <x:c r="E948" s="27" t="n">
        <x:f>IF(ABS('Campaign Schedule'!L9-'Campaign Schedule'!M9)&lt;0.000001,1,0)</x:f>
        <x:v>1</x:v>
      </x:c>
      <x:c r="F948" s="27" t="n">
        <x:v>1</x:v>
      </x:c>
      <x:c r="G948" s="29" t="str">
        <x:f>IF(E948=F948,"PASS","FAIL")</x:f>
        <x:v>PASS</x:v>
      </x:c>
    </x:row>
    <x:row r="949" ht="18" customHeight="1">
      <x:c r="B949" s="27" t="str">
        <x:v>A0943</x:v>
      </x:c>
      <x:c r="C949" s="27" t="str">
        <x:v>campaign</x:v>
      </x:c>
      <x:c r="D949" s="27" t="str">
        <x:v>Campaign row 9 zero variance</x:v>
      </x:c>
      <x:c r="E949" s="27" t="n">
        <x:f>IF(ABS('Campaign Schedule'!N9)&lt;0.000001,1,0)</x:f>
        <x:v>1</x:v>
      </x:c>
      <x:c r="F949" s="27" t="n">
        <x:v>1</x:v>
      </x:c>
      <x:c r="G949" s="29" t="str">
        <x:f>IF(E949=F949,"PASS","FAIL")</x:f>
        <x:v>PASS</x:v>
      </x:c>
    </x:row>
    <x:row r="950" ht="18" customHeight="1">
      <x:c r="B950" s="27" t="str">
        <x:v>A0944</x:v>
      </x:c>
      <x:c r="C950" s="27" t="str">
        <x:v>campaign</x:v>
      </x:c>
      <x:c r="D950" s="27" t="str">
        <x:v>Campaign row 9 state open</x:v>
      </x:c>
      <x:c r="E950" s="27" t="n">
        <x:f>IF('Campaign Schedule'!O9="OPEN",1,0)</x:f>
        <x:v>1</x:v>
      </x:c>
      <x:c r="F950" s="27" t="n">
        <x:v>1</x:v>
      </x:c>
      <x:c r="G950" s="29" t="str">
        <x:f>IF(E950=F950,"PASS","FAIL")</x:f>
        <x:v>PASS</x:v>
      </x:c>
    </x:row>
    <x:row r="951" ht="18" customHeight="1">
      <x:c r="B951" s="27" t="str">
        <x:v>A0945</x:v>
      </x:c>
      <x:c r="C951" s="27" t="str">
        <x:v>campaign</x:v>
      </x:c>
      <x:c r="D951" s="27" t="str">
        <x:v>Campaign row 10 trial count</x:v>
      </x:c>
      <x:c r="E951" s="27" t="n">
        <x:f>IF('Campaign Schedule'!H10='Campaign Schedule'!I10,1,0)</x:f>
        <x:v>1</x:v>
      </x:c>
      <x:c r="F951" s="27" t="n">
        <x:v>1</x:v>
      </x:c>
      <x:c r="G951" s="29" t="str">
        <x:f>IF(E951=F951,"PASS","FAIL")</x:f>
        <x:v>PASS</x:v>
      </x:c>
    </x:row>
    <x:row r="952" ht="18" customHeight="1">
      <x:c r="B952" s="27" t="str">
        <x:v>A0946</x:v>
      </x:c>
      <x:c r="C952" s="27" t="str">
        <x:v>campaign</x:v>
      </x:c>
      <x:c r="D952" s="27" t="str">
        <x:v>Campaign row 10 gate count</x:v>
      </x:c>
      <x:c r="E952" s="27" t="n">
        <x:f>IF('Campaign Schedule'!J10='Campaign Schedule'!K10,1,0)</x:f>
        <x:v>1</x:v>
      </x:c>
      <x:c r="F952" s="27" t="n">
        <x:v>1</x:v>
      </x:c>
      <x:c r="G952" s="29" t="str">
        <x:f>IF(E952=F952,"PASS","FAIL")</x:f>
        <x:v>PASS</x:v>
      </x:c>
    </x:row>
    <x:row r="953" ht="18" customHeight="1">
      <x:c r="B953" s="27" t="str">
        <x:v>A0947</x:v>
      </x:c>
      <x:c r="C953" s="27" t="str">
        <x:v>campaign</x:v>
      </x:c>
      <x:c r="D953" s="27" t="str">
        <x:v>Campaign row 10 cost budget</x:v>
      </x:c>
      <x:c r="E953" s="27" t="n">
        <x:f>IF(ABS('Campaign Schedule'!L10-'Campaign Schedule'!M10)&lt;0.000001,1,0)</x:f>
        <x:v>1</x:v>
      </x:c>
      <x:c r="F953" s="27" t="n">
        <x:v>1</x:v>
      </x:c>
      <x:c r="G953" s="29" t="str">
        <x:f>IF(E953=F953,"PASS","FAIL")</x:f>
        <x:v>PASS</x:v>
      </x:c>
    </x:row>
    <x:row r="954" ht="18" customHeight="1">
      <x:c r="B954" s="27" t="str">
        <x:v>A0948</x:v>
      </x:c>
      <x:c r="C954" s="27" t="str">
        <x:v>campaign</x:v>
      </x:c>
      <x:c r="D954" s="27" t="str">
        <x:v>Campaign row 10 zero variance</x:v>
      </x:c>
      <x:c r="E954" s="27" t="n">
        <x:f>IF(ABS('Campaign Schedule'!N10)&lt;0.000001,1,0)</x:f>
        <x:v>1</x:v>
      </x:c>
      <x:c r="F954" s="27" t="n">
        <x:v>1</x:v>
      </x:c>
      <x:c r="G954" s="29" t="str">
        <x:f>IF(E954=F954,"PASS","FAIL")</x:f>
        <x:v>PASS</x:v>
      </x:c>
    </x:row>
    <x:row r="955" ht="18" customHeight="1">
      <x:c r="B955" s="27" t="str">
        <x:v>A0949</x:v>
      </x:c>
      <x:c r="C955" s="27" t="str">
        <x:v>campaign</x:v>
      </x:c>
      <x:c r="D955" s="27" t="str">
        <x:v>Campaign row 10 state open</x:v>
      </x:c>
      <x:c r="E955" s="27" t="n">
        <x:f>IF('Campaign Schedule'!O10="OPEN",1,0)</x:f>
        <x:v>1</x:v>
      </x:c>
      <x:c r="F955" s="27" t="n">
        <x:v>1</x:v>
      </x:c>
      <x:c r="G955" s="29" t="str">
        <x:f>IF(E955=F955,"PASS","FAIL")</x:f>
        <x:v>PASS</x:v>
      </x:c>
    </x:row>
    <x:row r="956" ht="18" customHeight="1">
      <x:c r="B956" s="27" t="str">
        <x:v>A0950</x:v>
      </x:c>
      <x:c r="C956" s="27" t="str">
        <x:v>campaign</x:v>
      </x:c>
      <x:c r="D956" s="27" t="str">
        <x:v>Campaign row 11 trial count</x:v>
      </x:c>
      <x:c r="E956" s="27" t="n">
        <x:f>IF('Campaign Schedule'!H11='Campaign Schedule'!I11,1,0)</x:f>
        <x:v>1</x:v>
      </x:c>
      <x:c r="F956" s="27" t="n">
        <x:v>1</x:v>
      </x:c>
      <x:c r="G956" s="29" t="str">
        <x:f>IF(E956=F956,"PASS","FAIL")</x:f>
        <x:v>PASS</x:v>
      </x:c>
    </x:row>
    <x:row r="957" ht="18" customHeight="1">
      <x:c r="B957" s="27" t="str">
        <x:v>A0951</x:v>
      </x:c>
      <x:c r="C957" s="27" t="str">
        <x:v>campaign</x:v>
      </x:c>
      <x:c r="D957" s="27" t="str">
        <x:v>Campaign row 11 gate count</x:v>
      </x:c>
      <x:c r="E957" s="27" t="n">
        <x:f>IF('Campaign Schedule'!J11='Campaign Schedule'!K11,1,0)</x:f>
        <x:v>1</x:v>
      </x:c>
      <x:c r="F957" s="27" t="n">
        <x:v>1</x:v>
      </x:c>
      <x:c r="G957" s="29" t="str">
        <x:f>IF(E957=F957,"PASS","FAIL")</x:f>
        <x:v>PASS</x:v>
      </x:c>
    </x:row>
    <x:row r="958" ht="18" customHeight="1">
      <x:c r="B958" s="27" t="str">
        <x:v>A0952</x:v>
      </x:c>
      <x:c r="C958" s="27" t="str">
        <x:v>campaign</x:v>
      </x:c>
      <x:c r="D958" s="27" t="str">
        <x:v>Campaign row 11 cost budget</x:v>
      </x:c>
      <x:c r="E958" s="27" t="n">
        <x:f>IF(ABS('Campaign Schedule'!L11-'Campaign Schedule'!M11)&lt;0.000001,1,0)</x:f>
        <x:v>1</x:v>
      </x:c>
      <x:c r="F958" s="27" t="n">
        <x:v>1</x:v>
      </x:c>
      <x:c r="G958" s="29" t="str">
        <x:f>IF(E958=F958,"PASS","FAIL")</x:f>
        <x:v>PASS</x:v>
      </x:c>
    </x:row>
    <x:row r="959" ht="18" customHeight="1">
      <x:c r="B959" s="27" t="str">
        <x:v>A0953</x:v>
      </x:c>
      <x:c r="C959" s="27" t="str">
        <x:v>campaign</x:v>
      </x:c>
      <x:c r="D959" s="27" t="str">
        <x:v>Campaign row 11 zero variance</x:v>
      </x:c>
      <x:c r="E959" s="27" t="n">
        <x:f>IF(ABS('Campaign Schedule'!N11)&lt;0.000001,1,0)</x:f>
        <x:v>1</x:v>
      </x:c>
      <x:c r="F959" s="27" t="n">
        <x:v>1</x:v>
      </x:c>
      <x:c r="G959" s="29" t="str">
        <x:f>IF(E959=F959,"PASS","FAIL")</x:f>
        <x:v>PASS</x:v>
      </x:c>
    </x:row>
    <x:row r="960" ht="18" customHeight="1">
      <x:c r="B960" s="27" t="str">
        <x:v>A0954</x:v>
      </x:c>
      <x:c r="C960" s="27" t="str">
        <x:v>campaign</x:v>
      </x:c>
      <x:c r="D960" s="27" t="str">
        <x:v>Campaign row 11 state open</x:v>
      </x:c>
      <x:c r="E960" s="27" t="n">
        <x:f>IF('Campaign Schedule'!O11="OPEN",1,0)</x:f>
        <x:v>1</x:v>
      </x:c>
      <x:c r="F960" s="27" t="n">
        <x:v>1</x:v>
      </x:c>
      <x:c r="G960" s="29" t="str">
        <x:f>IF(E960=F960,"PASS","FAIL")</x:f>
        <x:v>PASS</x:v>
      </x:c>
    </x:row>
    <x:row r="961" ht="18" customHeight="1">
      <x:c r="B961" s="27" t="str">
        <x:v>A0955</x:v>
      </x:c>
      <x:c r="C961" s="27" t="str">
        <x:v>campaign</x:v>
      </x:c>
      <x:c r="D961" s="27" t="str">
        <x:v>Campaign row 12 trial count</x:v>
      </x:c>
      <x:c r="E961" s="27" t="n">
        <x:f>IF('Campaign Schedule'!H12='Campaign Schedule'!I12,1,0)</x:f>
        <x:v>1</x:v>
      </x:c>
      <x:c r="F961" s="27" t="n">
        <x:v>1</x:v>
      </x:c>
      <x:c r="G961" s="29" t="str">
        <x:f>IF(E961=F961,"PASS","FAIL")</x:f>
        <x:v>PASS</x:v>
      </x:c>
    </x:row>
    <x:row r="962" ht="18" customHeight="1">
      <x:c r="B962" s="27" t="str">
        <x:v>A0956</x:v>
      </x:c>
      <x:c r="C962" s="27" t="str">
        <x:v>campaign</x:v>
      </x:c>
      <x:c r="D962" s="27" t="str">
        <x:v>Campaign row 12 gate count</x:v>
      </x:c>
      <x:c r="E962" s="27" t="n">
        <x:f>IF('Campaign Schedule'!J12='Campaign Schedule'!K12,1,0)</x:f>
        <x:v>1</x:v>
      </x:c>
      <x:c r="F962" s="27" t="n">
        <x:v>1</x:v>
      </x:c>
      <x:c r="G962" s="29" t="str">
        <x:f>IF(E962=F962,"PASS","FAIL")</x:f>
        <x:v>PASS</x:v>
      </x:c>
    </x:row>
    <x:row r="963" ht="18" customHeight="1">
      <x:c r="B963" s="27" t="str">
        <x:v>A0957</x:v>
      </x:c>
      <x:c r="C963" s="27" t="str">
        <x:v>campaign</x:v>
      </x:c>
      <x:c r="D963" s="27" t="str">
        <x:v>Campaign row 12 cost budget</x:v>
      </x:c>
      <x:c r="E963" s="27" t="n">
        <x:f>IF(ABS('Campaign Schedule'!L12-'Campaign Schedule'!M12)&lt;0.000001,1,0)</x:f>
        <x:v>1</x:v>
      </x:c>
      <x:c r="F963" s="27" t="n">
        <x:v>1</x:v>
      </x:c>
      <x:c r="G963" s="29" t="str">
        <x:f>IF(E963=F963,"PASS","FAIL")</x:f>
        <x:v>PASS</x:v>
      </x:c>
    </x:row>
    <x:row r="964" ht="18" customHeight="1">
      <x:c r="B964" s="27" t="str">
        <x:v>A0958</x:v>
      </x:c>
      <x:c r="C964" s="27" t="str">
        <x:v>campaign</x:v>
      </x:c>
      <x:c r="D964" s="27" t="str">
        <x:v>Campaign row 12 zero variance</x:v>
      </x:c>
      <x:c r="E964" s="27" t="n">
        <x:f>IF(ABS('Campaign Schedule'!N12)&lt;0.000001,1,0)</x:f>
        <x:v>1</x:v>
      </x:c>
      <x:c r="F964" s="27" t="n">
        <x:v>1</x:v>
      </x:c>
      <x:c r="G964" s="29" t="str">
        <x:f>IF(E964=F964,"PASS","FAIL")</x:f>
        <x:v>PASS</x:v>
      </x:c>
    </x:row>
    <x:row r="965" ht="18" customHeight="1">
      <x:c r="B965" s="27" t="str">
        <x:v>A0959</x:v>
      </x:c>
      <x:c r="C965" s="27" t="str">
        <x:v>campaign</x:v>
      </x:c>
      <x:c r="D965" s="27" t="str">
        <x:v>Campaign row 12 state open</x:v>
      </x:c>
      <x:c r="E965" s="27" t="n">
        <x:f>IF('Campaign Schedule'!O12="OPEN",1,0)</x:f>
        <x:v>1</x:v>
      </x:c>
      <x:c r="F965" s="27" t="n">
        <x:v>1</x:v>
      </x:c>
      <x:c r="G965" s="29" t="str">
        <x:f>IF(E965=F965,"PASS","FAIL")</x:f>
        <x:v>PASS</x:v>
      </x:c>
    </x:row>
    <x:row r="966" ht="18" customHeight="1">
      <x:c r="B966" s="27" t="str">
        <x:v>A0960</x:v>
      </x:c>
      <x:c r="C966" s="27" t="str">
        <x:v>campaign</x:v>
      </x:c>
      <x:c r="D966" s="27" t="str">
        <x:v>Campaign row 13 trial count</x:v>
      </x:c>
      <x:c r="E966" s="27" t="n">
        <x:f>IF('Campaign Schedule'!H13='Campaign Schedule'!I13,1,0)</x:f>
        <x:v>1</x:v>
      </x:c>
      <x:c r="F966" s="27" t="n">
        <x:v>1</x:v>
      </x:c>
      <x:c r="G966" s="29" t="str">
        <x:f>IF(E966=F966,"PASS","FAIL")</x:f>
        <x:v>PASS</x:v>
      </x:c>
    </x:row>
    <x:row r="967" ht="18" customHeight="1">
      <x:c r="B967" s="27" t="str">
        <x:v>A0961</x:v>
      </x:c>
      <x:c r="C967" s="27" t="str">
        <x:v>campaign</x:v>
      </x:c>
      <x:c r="D967" s="27" t="str">
        <x:v>Campaign row 13 gate count</x:v>
      </x:c>
      <x:c r="E967" s="27" t="n">
        <x:f>IF('Campaign Schedule'!J13='Campaign Schedule'!K13,1,0)</x:f>
        <x:v>1</x:v>
      </x:c>
      <x:c r="F967" s="27" t="n">
        <x:v>1</x:v>
      </x:c>
      <x:c r="G967" s="29" t="str">
        <x:f>IF(E967=F967,"PASS","FAIL")</x:f>
        <x:v>PASS</x:v>
      </x:c>
    </x:row>
    <x:row r="968" ht="18" customHeight="1">
      <x:c r="B968" s="27" t="str">
        <x:v>A0962</x:v>
      </x:c>
      <x:c r="C968" s="27" t="str">
        <x:v>campaign</x:v>
      </x:c>
      <x:c r="D968" s="27" t="str">
        <x:v>Campaign row 13 cost budget</x:v>
      </x:c>
      <x:c r="E968" s="27" t="n">
        <x:f>IF(ABS('Campaign Schedule'!L13-'Campaign Schedule'!M13)&lt;0.000001,1,0)</x:f>
        <x:v>1</x:v>
      </x:c>
      <x:c r="F968" s="27" t="n">
        <x:v>1</x:v>
      </x:c>
      <x:c r="G968" s="29" t="str">
        <x:f>IF(E968=F968,"PASS","FAIL")</x:f>
        <x:v>PASS</x:v>
      </x:c>
    </x:row>
    <x:row r="969" ht="18" customHeight="1">
      <x:c r="B969" s="27" t="str">
        <x:v>A0963</x:v>
      </x:c>
      <x:c r="C969" s="27" t="str">
        <x:v>campaign</x:v>
      </x:c>
      <x:c r="D969" s="27" t="str">
        <x:v>Campaign row 13 zero variance</x:v>
      </x:c>
      <x:c r="E969" s="27" t="n">
        <x:f>IF(ABS('Campaign Schedule'!N13)&lt;0.000001,1,0)</x:f>
        <x:v>1</x:v>
      </x:c>
      <x:c r="F969" s="27" t="n">
        <x:v>1</x:v>
      </x:c>
      <x:c r="G969" s="29" t="str">
        <x:f>IF(E969=F969,"PASS","FAIL")</x:f>
        <x:v>PASS</x:v>
      </x:c>
    </x:row>
    <x:row r="970" ht="18" customHeight="1">
      <x:c r="B970" s="27" t="str">
        <x:v>A0964</x:v>
      </x:c>
      <x:c r="C970" s="27" t="str">
        <x:v>campaign</x:v>
      </x:c>
      <x:c r="D970" s="27" t="str">
        <x:v>Campaign row 13 state open</x:v>
      </x:c>
      <x:c r="E970" s="27" t="n">
        <x:f>IF('Campaign Schedule'!O13="OPEN",1,0)</x:f>
        <x:v>1</x:v>
      </x:c>
      <x:c r="F970" s="27" t="n">
        <x:v>1</x:v>
      </x:c>
      <x:c r="G970" s="29" t="str">
        <x:f>IF(E970=F970,"PASS","FAIL")</x:f>
        <x:v>PASS</x:v>
      </x:c>
    </x:row>
    <x:row r="971" ht="18" customHeight="1">
      <x:c r="B971" s="27" t="str">
        <x:v>A0965</x:v>
      </x:c>
      <x:c r="C971" s="27" t="str">
        <x:v>campaign</x:v>
      </x:c>
      <x:c r="D971" s="27" t="str">
        <x:v>Campaign row 14 trial count</x:v>
      </x:c>
      <x:c r="E971" s="27" t="n">
        <x:f>IF('Campaign Schedule'!H14='Campaign Schedule'!I14,1,0)</x:f>
        <x:v>1</x:v>
      </x:c>
      <x:c r="F971" s="27" t="n">
        <x:v>1</x:v>
      </x:c>
      <x:c r="G971" s="29" t="str">
        <x:f>IF(E971=F971,"PASS","FAIL")</x:f>
        <x:v>PASS</x:v>
      </x:c>
    </x:row>
    <x:row r="972" ht="18" customHeight="1">
      <x:c r="B972" s="27" t="str">
        <x:v>A0966</x:v>
      </x:c>
      <x:c r="C972" s="27" t="str">
        <x:v>campaign</x:v>
      </x:c>
      <x:c r="D972" s="27" t="str">
        <x:v>Campaign row 14 gate count</x:v>
      </x:c>
      <x:c r="E972" s="27" t="n">
        <x:f>IF('Campaign Schedule'!J14='Campaign Schedule'!K14,1,0)</x:f>
        <x:v>1</x:v>
      </x:c>
      <x:c r="F972" s="27" t="n">
        <x:v>1</x:v>
      </x:c>
      <x:c r="G972" s="29" t="str">
        <x:f>IF(E972=F972,"PASS","FAIL")</x:f>
        <x:v>PASS</x:v>
      </x:c>
    </x:row>
    <x:row r="973" ht="18" customHeight="1">
      <x:c r="B973" s="27" t="str">
        <x:v>A0967</x:v>
      </x:c>
      <x:c r="C973" s="27" t="str">
        <x:v>campaign</x:v>
      </x:c>
      <x:c r="D973" s="27" t="str">
        <x:v>Campaign row 14 cost budget</x:v>
      </x:c>
      <x:c r="E973" s="27" t="n">
        <x:f>IF(ABS('Campaign Schedule'!L14-'Campaign Schedule'!M14)&lt;0.000001,1,0)</x:f>
        <x:v>1</x:v>
      </x:c>
      <x:c r="F973" s="27" t="n">
        <x:v>1</x:v>
      </x:c>
      <x:c r="G973" s="29" t="str">
        <x:f>IF(E973=F973,"PASS","FAIL")</x:f>
        <x:v>PASS</x:v>
      </x:c>
    </x:row>
    <x:row r="974" ht="18" customHeight="1">
      <x:c r="B974" s="27" t="str">
        <x:v>A0968</x:v>
      </x:c>
      <x:c r="C974" s="27" t="str">
        <x:v>campaign</x:v>
      </x:c>
      <x:c r="D974" s="27" t="str">
        <x:v>Campaign row 14 zero variance</x:v>
      </x:c>
      <x:c r="E974" s="27" t="n">
        <x:f>IF(ABS('Campaign Schedule'!N14)&lt;0.000001,1,0)</x:f>
        <x:v>1</x:v>
      </x:c>
      <x:c r="F974" s="27" t="n">
        <x:v>1</x:v>
      </x:c>
      <x:c r="G974" s="29" t="str">
        <x:f>IF(E974=F974,"PASS","FAIL")</x:f>
        <x:v>PASS</x:v>
      </x:c>
    </x:row>
    <x:row r="975" ht="18" customHeight="1">
      <x:c r="B975" s="27" t="str">
        <x:v>A0969</x:v>
      </x:c>
      <x:c r="C975" s="27" t="str">
        <x:v>campaign</x:v>
      </x:c>
      <x:c r="D975" s="27" t="str">
        <x:v>Campaign row 14 state open</x:v>
      </x:c>
      <x:c r="E975" s="27" t="n">
        <x:f>IF('Campaign Schedule'!O14="OPEN",1,0)</x:f>
        <x:v>1</x:v>
      </x:c>
      <x:c r="F975" s="27" t="n">
        <x:v>1</x:v>
      </x:c>
      <x:c r="G975" s="29" t="str">
        <x:f>IF(E975=F975,"PASS","FAIL")</x:f>
        <x:v>PASS</x:v>
      </x:c>
    </x:row>
    <x:row r="976" ht="18" customHeight="1">
      <x:c r="B976" s="27" t="str">
        <x:v>A0970</x:v>
      </x:c>
      <x:c r="C976" s="27" t="str">
        <x:v>cost</x:v>
      </x:c>
      <x:c r="D976" s="27" t="str">
        <x:v>Cost C7 nonnegative</x:v>
      </x:c>
      <x:c r="E976" s="27" t="n">
        <x:f>IF('Cost Matrix'!C7&gt;=0,1,0)</x:f>
        <x:v>1</x:v>
      </x:c>
      <x:c r="F976" s="27" t="n">
        <x:v>1</x:v>
      </x:c>
      <x:c r="G976" s="29" t="str">
        <x:f>IF(E976=F976,"PASS","FAIL")</x:f>
        <x:v>PASS</x:v>
      </x:c>
    </x:row>
    <x:row r="977" ht="18" customHeight="1">
      <x:c r="B977" s="27" t="str">
        <x:v>A0971</x:v>
      </x:c>
      <x:c r="C977" s="27" t="str">
        <x:v>cost</x:v>
      </x:c>
      <x:c r="D977" s="27" t="str">
        <x:v>Cost D7 nonnegative</x:v>
      </x:c>
      <x:c r="E977" s="27" t="n">
        <x:f>IF('Cost Matrix'!D7&gt;=0,1,0)</x:f>
        <x:v>1</x:v>
      </x:c>
      <x:c r="F977" s="27" t="n">
        <x:v>1</x:v>
      </x:c>
      <x:c r="G977" s="29" t="str">
        <x:f>IF(E977=F977,"PASS","FAIL")</x:f>
        <x:v>PASS</x:v>
      </x:c>
    </x:row>
    <x:row r="978" ht="18" customHeight="1">
      <x:c r="B978" s="27" t="str">
        <x:v>A0972</x:v>
      </x:c>
      <x:c r="C978" s="27" t="str">
        <x:v>cost</x:v>
      </x:c>
      <x:c r="D978" s="27" t="str">
        <x:v>Cost E7 nonnegative</x:v>
      </x:c>
      <x:c r="E978" s="27" t="n">
        <x:f>IF('Cost Matrix'!E7&gt;=0,1,0)</x:f>
        <x:v>1</x:v>
      </x:c>
      <x:c r="F978" s="27" t="n">
        <x:v>1</x:v>
      </x:c>
      <x:c r="G978" s="29" t="str">
        <x:f>IF(E978=F978,"PASS","FAIL")</x:f>
        <x:v>PASS</x:v>
      </x:c>
    </x:row>
    <x:row r="979" ht="18" customHeight="1">
      <x:c r="B979" s="27" t="str">
        <x:v>A0973</x:v>
      </x:c>
      <x:c r="C979" s="27" t="str">
        <x:v>cost</x:v>
      </x:c>
      <x:c r="D979" s="27" t="str">
        <x:v>Cost F7 nonnegative</x:v>
      </x:c>
      <x:c r="E979" s="27" t="n">
        <x:f>IF('Cost Matrix'!F7&gt;=0,1,0)</x:f>
        <x:v>1</x:v>
      </x:c>
      <x:c r="F979" s="27" t="n">
        <x:v>1</x:v>
      </x:c>
      <x:c r="G979" s="29" t="str">
        <x:f>IF(E979=F979,"PASS","FAIL")</x:f>
        <x:v>PASS</x:v>
      </x:c>
    </x:row>
    <x:row r="980" ht="18" customHeight="1">
      <x:c r="B980" s="27" t="str">
        <x:v>A0974</x:v>
      </x:c>
      <x:c r="C980" s="27" t="str">
        <x:v>cost</x:v>
      </x:c>
      <x:c r="D980" s="27" t="str">
        <x:v>Cost G7 nonnegative</x:v>
      </x:c>
      <x:c r="E980" s="27" t="n">
        <x:f>IF('Cost Matrix'!G7&gt;=0,1,0)</x:f>
        <x:v>1</x:v>
      </x:c>
      <x:c r="F980" s="27" t="n">
        <x:v>1</x:v>
      </x:c>
      <x:c r="G980" s="29" t="str">
        <x:f>IF(E980=F980,"PASS","FAIL")</x:f>
        <x:v>PASS</x:v>
      </x:c>
    </x:row>
    <x:row r="981" ht="18" customHeight="1">
      <x:c r="B981" s="27" t="str">
        <x:v>A0975</x:v>
      </x:c>
      <x:c r="C981" s="27" t="str">
        <x:v>cost</x:v>
      </x:c>
      <x:c r="D981" s="27" t="str">
        <x:v>Cost H7 nonnegative</x:v>
      </x:c>
      <x:c r="E981" s="27" t="n">
        <x:f>IF('Cost Matrix'!H7&gt;=0,1,0)</x:f>
        <x:v>1</x:v>
      </x:c>
      <x:c r="F981" s="27" t="n">
        <x:v>1</x:v>
      </x:c>
      <x:c r="G981" s="29" t="str">
        <x:f>IF(E981=F981,"PASS","FAIL")</x:f>
        <x:v>PASS</x:v>
      </x:c>
    </x:row>
    <x:row r="982" ht="18" customHeight="1">
      <x:c r="B982" s="27" t="str">
        <x:v>A0976</x:v>
      </x:c>
      <x:c r="C982" s="27" t="str">
        <x:v>cost</x:v>
      </x:c>
      <x:c r="D982" s="27" t="str">
        <x:v>Cost I7 nonnegative</x:v>
      </x:c>
      <x:c r="E982" s="27" t="n">
        <x:f>IF('Cost Matrix'!I7&gt;=0,1,0)</x:f>
        <x:v>1</x:v>
      </x:c>
      <x:c r="F982" s="27" t="n">
        <x:v>1</x:v>
      </x:c>
      <x:c r="G982" s="29" t="str">
        <x:f>IF(E982=F982,"PASS","FAIL")</x:f>
        <x:v>PASS</x:v>
      </x:c>
    </x:row>
    <x:row r="983" ht="18" customHeight="1">
      <x:c r="B983" s="27" t="str">
        <x:v>A0977</x:v>
      </x:c>
      <x:c r="C983" s="27" t="str">
        <x:v>cost</x:v>
      </x:c>
      <x:c r="D983" s="27" t="str">
        <x:v>Cost J7 nonnegative</x:v>
      </x:c>
      <x:c r="E983" s="27" t="n">
        <x:f>IF('Cost Matrix'!J7&gt;=0,1,0)</x:f>
        <x:v>1</x:v>
      </x:c>
      <x:c r="F983" s="27" t="n">
        <x:v>1</x:v>
      </x:c>
      <x:c r="G983" s="29" t="str">
        <x:f>IF(E983=F983,"PASS","FAIL")</x:f>
        <x:v>PASS</x:v>
      </x:c>
    </x:row>
    <x:row r="984" ht="18" customHeight="1">
      <x:c r="B984" s="27" t="str">
        <x:v>A0978</x:v>
      </x:c>
      <x:c r="C984" s="27" t="str">
        <x:v>cost</x:v>
      </x:c>
      <x:c r="D984" s="27" t="str">
        <x:v>Cost K7 nonnegative</x:v>
      </x:c>
      <x:c r="E984" s="27" t="n">
        <x:f>IF('Cost Matrix'!K7&gt;=0,1,0)</x:f>
        <x:v>1</x:v>
      </x:c>
      <x:c r="F984" s="27" t="n">
        <x:v>1</x:v>
      </x:c>
      <x:c r="G984" s="29" t="str">
        <x:f>IF(E984=F984,"PASS","FAIL")</x:f>
        <x:v>PASS</x:v>
      </x:c>
    </x:row>
    <x:row r="985" ht="18" customHeight="1">
      <x:c r="B985" s="27" t="str">
        <x:v>A0979</x:v>
      </x:c>
      <x:c r="C985" s="27" t="str">
        <x:v>cost</x:v>
      </x:c>
      <x:c r="D985" s="27" t="str">
        <x:v>Cost L7 nonnegative</x:v>
      </x:c>
      <x:c r="E985" s="27" t="n">
        <x:f>IF('Cost Matrix'!L7&gt;=0,1,0)</x:f>
        <x:v>1</x:v>
      </x:c>
      <x:c r="F985" s="27" t="n">
        <x:v>1</x:v>
      </x:c>
      <x:c r="G985" s="29" t="str">
        <x:f>IF(E985=F985,"PASS","FAIL")</x:f>
        <x:v>PASS</x:v>
      </x:c>
    </x:row>
    <x:row r="986" ht="18" customHeight="1">
      <x:c r="B986" s="27" t="str">
        <x:v>A0980</x:v>
      </x:c>
      <x:c r="C986" s="27" t="str">
        <x:v>cost</x:v>
      </x:c>
      <x:c r="D986" s="27" t="str">
        <x:v>Cost M7 nonnegative</x:v>
      </x:c>
      <x:c r="E986" s="27" t="n">
        <x:f>IF('Cost Matrix'!M7&gt;=0,1,0)</x:f>
        <x:v>1</x:v>
      </x:c>
      <x:c r="F986" s="27" t="n">
        <x:v>1</x:v>
      </x:c>
      <x:c r="G986" s="29" t="str">
        <x:f>IF(E986=F986,"PASS","FAIL")</x:f>
        <x:v>PASS</x:v>
      </x:c>
    </x:row>
    <x:row r="987" ht="18" customHeight="1">
      <x:c r="B987" s="27" t="str">
        <x:v>A0981</x:v>
      </x:c>
      <x:c r="C987" s="27" t="str">
        <x:v>cost</x:v>
      </x:c>
      <x:c r="D987" s="27" t="str">
        <x:v>Campaign cost row 7 reconciles</x:v>
      </x:c>
      <x:c r="E987" s="27" t="n">
        <x:f>IF(ABS('Cost Matrix'!P7)&lt;0.000001,1,0)</x:f>
        <x:v>1</x:v>
      </x:c>
      <x:c r="F987" s="27" t="n">
        <x:v>1</x:v>
      </x:c>
      <x:c r="G987" s="29" t="str">
        <x:f>IF(E987=F987,"PASS","FAIL")</x:f>
        <x:v>PASS</x:v>
      </x:c>
    </x:row>
    <x:row r="988" ht="18" customHeight="1">
      <x:c r="B988" s="27" t="str">
        <x:v>A0982</x:v>
      </x:c>
      <x:c r="C988" s="27" t="str">
        <x:v>cost</x:v>
      </x:c>
      <x:c r="D988" s="27" t="str">
        <x:v>Cost C8 nonnegative</x:v>
      </x:c>
      <x:c r="E988" s="27" t="n">
        <x:f>IF('Cost Matrix'!C8&gt;=0,1,0)</x:f>
        <x:v>1</x:v>
      </x:c>
      <x:c r="F988" s="27" t="n">
        <x:v>1</x:v>
      </x:c>
      <x:c r="G988" s="29" t="str">
        <x:f>IF(E988=F988,"PASS","FAIL")</x:f>
        <x:v>PASS</x:v>
      </x:c>
    </x:row>
    <x:row r="989" ht="18" customHeight="1">
      <x:c r="B989" s="27" t="str">
        <x:v>A0983</x:v>
      </x:c>
      <x:c r="C989" s="27" t="str">
        <x:v>cost</x:v>
      </x:c>
      <x:c r="D989" s="27" t="str">
        <x:v>Cost D8 nonnegative</x:v>
      </x:c>
      <x:c r="E989" s="27" t="n">
        <x:f>IF('Cost Matrix'!D8&gt;=0,1,0)</x:f>
        <x:v>1</x:v>
      </x:c>
      <x:c r="F989" s="27" t="n">
        <x:v>1</x:v>
      </x:c>
      <x:c r="G989" s="29" t="str">
        <x:f>IF(E989=F989,"PASS","FAIL")</x:f>
        <x:v>PASS</x:v>
      </x:c>
    </x:row>
    <x:row r="990" ht="18" customHeight="1">
      <x:c r="B990" s="27" t="str">
        <x:v>A0984</x:v>
      </x:c>
      <x:c r="C990" s="27" t="str">
        <x:v>cost</x:v>
      </x:c>
      <x:c r="D990" s="27" t="str">
        <x:v>Cost E8 nonnegative</x:v>
      </x:c>
      <x:c r="E990" s="27" t="n">
        <x:f>IF('Cost Matrix'!E8&gt;=0,1,0)</x:f>
        <x:v>1</x:v>
      </x:c>
      <x:c r="F990" s="27" t="n">
        <x:v>1</x:v>
      </x:c>
      <x:c r="G990" s="29" t="str">
        <x:f>IF(E990=F990,"PASS","FAIL")</x:f>
        <x:v>PASS</x:v>
      </x:c>
    </x:row>
    <x:row r="991" ht="18" customHeight="1">
      <x:c r="B991" s="27" t="str">
        <x:v>A0985</x:v>
      </x:c>
      <x:c r="C991" s="27" t="str">
        <x:v>cost</x:v>
      </x:c>
      <x:c r="D991" s="27" t="str">
        <x:v>Cost F8 nonnegative</x:v>
      </x:c>
      <x:c r="E991" s="27" t="n">
        <x:f>IF('Cost Matrix'!F8&gt;=0,1,0)</x:f>
        <x:v>1</x:v>
      </x:c>
      <x:c r="F991" s="27" t="n">
        <x:v>1</x:v>
      </x:c>
      <x:c r="G991" s="29" t="str">
        <x:f>IF(E991=F991,"PASS","FAIL")</x:f>
        <x:v>PASS</x:v>
      </x:c>
    </x:row>
    <x:row r="992" ht="18" customHeight="1">
      <x:c r="B992" s="27" t="str">
        <x:v>A0986</x:v>
      </x:c>
      <x:c r="C992" s="27" t="str">
        <x:v>cost</x:v>
      </x:c>
      <x:c r="D992" s="27" t="str">
        <x:v>Cost G8 nonnegative</x:v>
      </x:c>
      <x:c r="E992" s="27" t="n">
        <x:f>IF('Cost Matrix'!G8&gt;=0,1,0)</x:f>
        <x:v>1</x:v>
      </x:c>
      <x:c r="F992" s="27" t="n">
        <x:v>1</x:v>
      </x:c>
      <x:c r="G992" s="29" t="str">
        <x:f>IF(E992=F992,"PASS","FAIL")</x:f>
        <x:v>PASS</x:v>
      </x:c>
    </x:row>
    <x:row r="993" ht="18" customHeight="1">
      <x:c r="B993" s="27" t="str">
        <x:v>A0987</x:v>
      </x:c>
      <x:c r="C993" s="27" t="str">
        <x:v>cost</x:v>
      </x:c>
      <x:c r="D993" s="27" t="str">
        <x:v>Cost H8 nonnegative</x:v>
      </x:c>
      <x:c r="E993" s="27" t="n">
        <x:f>IF('Cost Matrix'!H8&gt;=0,1,0)</x:f>
        <x:v>1</x:v>
      </x:c>
      <x:c r="F993" s="27" t="n">
        <x:v>1</x:v>
      </x:c>
      <x:c r="G993" s="29" t="str">
        <x:f>IF(E993=F993,"PASS","FAIL")</x:f>
        <x:v>PASS</x:v>
      </x:c>
    </x:row>
    <x:row r="994" ht="18" customHeight="1">
      <x:c r="B994" s="27" t="str">
        <x:v>A0988</x:v>
      </x:c>
      <x:c r="C994" s="27" t="str">
        <x:v>cost</x:v>
      </x:c>
      <x:c r="D994" s="27" t="str">
        <x:v>Cost I8 nonnegative</x:v>
      </x:c>
      <x:c r="E994" s="27" t="n">
        <x:f>IF('Cost Matrix'!I8&gt;=0,1,0)</x:f>
        <x:v>1</x:v>
      </x:c>
      <x:c r="F994" s="27" t="n">
        <x:v>1</x:v>
      </x:c>
      <x:c r="G994" s="29" t="str">
        <x:f>IF(E994=F994,"PASS","FAIL")</x:f>
        <x:v>PASS</x:v>
      </x:c>
    </x:row>
    <x:row r="995" ht="18" customHeight="1">
      <x:c r="B995" s="27" t="str">
        <x:v>A0989</x:v>
      </x:c>
      <x:c r="C995" s="27" t="str">
        <x:v>cost</x:v>
      </x:c>
      <x:c r="D995" s="27" t="str">
        <x:v>Cost J8 nonnegative</x:v>
      </x:c>
      <x:c r="E995" s="27" t="n">
        <x:f>IF('Cost Matrix'!J8&gt;=0,1,0)</x:f>
        <x:v>1</x:v>
      </x:c>
      <x:c r="F995" s="27" t="n">
        <x:v>1</x:v>
      </x:c>
      <x:c r="G995" s="29" t="str">
        <x:f>IF(E995=F995,"PASS","FAIL")</x:f>
        <x:v>PASS</x:v>
      </x:c>
    </x:row>
    <x:row r="996" ht="18" customHeight="1">
      <x:c r="B996" s="27" t="str">
        <x:v>A0990</x:v>
      </x:c>
      <x:c r="C996" s="27" t="str">
        <x:v>cost</x:v>
      </x:c>
      <x:c r="D996" s="27" t="str">
        <x:v>Cost K8 nonnegative</x:v>
      </x:c>
      <x:c r="E996" s="27" t="n">
        <x:f>IF('Cost Matrix'!K8&gt;=0,1,0)</x:f>
        <x:v>1</x:v>
      </x:c>
      <x:c r="F996" s="27" t="n">
        <x:v>1</x:v>
      </x:c>
      <x:c r="G996" s="29" t="str">
        <x:f>IF(E996=F996,"PASS","FAIL")</x:f>
        <x:v>PASS</x:v>
      </x:c>
    </x:row>
    <x:row r="997" ht="18" customHeight="1">
      <x:c r="B997" s="27" t="str">
        <x:v>A0991</x:v>
      </x:c>
      <x:c r="C997" s="27" t="str">
        <x:v>cost</x:v>
      </x:c>
      <x:c r="D997" s="27" t="str">
        <x:v>Cost L8 nonnegative</x:v>
      </x:c>
      <x:c r="E997" s="27" t="n">
        <x:f>IF('Cost Matrix'!L8&gt;=0,1,0)</x:f>
        <x:v>1</x:v>
      </x:c>
      <x:c r="F997" s="27" t="n">
        <x:v>1</x:v>
      </x:c>
      <x:c r="G997" s="29" t="str">
        <x:f>IF(E997=F997,"PASS","FAIL")</x:f>
        <x:v>PASS</x:v>
      </x:c>
    </x:row>
    <x:row r="998" ht="18" customHeight="1">
      <x:c r="B998" s="27" t="str">
        <x:v>A0992</x:v>
      </x:c>
      <x:c r="C998" s="27" t="str">
        <x:v>cost</x:v>
      </x:c>
      <x:c r="D998" s="27" t="str">
        <x:v>Cost M8 nonnegative</x:v>
      </x:c>
      <x:c r="E998" s="27" t="n">
        <x:f>IF('Cost Matrix'!M8&gt;=0,1,0)</x:f>
        <x:v>1</x:v>
      </x:c>
      <x:c r="F998" s="27" t="n">
        <x:v>1</x:v>
      </x:c>
      <x:c r="G998" s="29" t="str">
        <x:f>IF(E998=F998,"PASS","FAIL")</x:f>
        <x:v>PASS</x:v>
      </x:c>
    </x:row>
    <x:row r="999" ht="18" customHeight="1">
      <x:c r="B999" s="27" t="str">
        <x:v>A0993</x:v>
      </x:c>
      <x:c r="C999" s="27" t="str">
        <x:v>cost</x:v>
      </x:c>
      <x:c r="D999" s="27" t="str">
        <x:v>Campaign cost row 8 reconciles</x:v>
      </x:c>
      <x:c r="E999" s="27" t="n">
        <x:f>IF(ABS('Cost Matrix'!P8)&lt;0.000001,1,0)</x:f>
        <x:v>1</x:v>
      </x:c>
      <x:c r="F999" s="27" t="n">
        <x:v>1</x:v>
      </x:c>
      <x:c r="G999" s="29" t="str">
        <x:f>IF(E999=F999,"PASS","FAIL")</x:f>
        <x:v>PASS</x:v>
      </x:c>
    </x:row>
    <x:row r="1000" ht="18" customHeight="1">
      <x:c r="B1000" s="27" t="str">
        <x:v>A0994</x:v>
      </x:c>
      <x:c r="C1000" s="27" t="str">
        <x:v>cost</x:v>
      </x:c>
      <x:c r="D1000" s="27" t="str">
        <x:v>Cost C9 nonnegative</x:v>
      </x:c>
      <x:c r="E1000" s="27" t="n">
        <x:f>IF('Cost Matrix'!C9&gt;=0,1,0)</x:f>
        <x:v>1</x:v>
      </x:c>
      <x:c r="F1000" s="27" t="n">
        <x:v>1</x:v>
      </x:c>
      <x:c r="G1000" s="29" t="str">
        <x:f>IF(E1000=F1000,"PASS","FAIL")</x:f>
        <x:v>PASS</x:v>
      </x:c>
    </x:row>
    <x:row r="1001" ht="18" customHeight="1">
      <x:c r="B1001" s="27" t="str">
        <x:v>A0995</x:v>
      </x:c>
      <x:c r="C1001" s="27" t="str">
        <x:v>cost</x:v>
      </x:c>
      <x:c r="D1001" s="27" t="str">
        <x:v>Cost D9 nonnegative</x:v>
      </x:c>
      <x:c r="E1001" s="27" t="n">
        <x:f>IF('Cost Matrix'!D9&gt;=0,1,0)</x:f>
        <x:v>1</x:v>
      </x:c>
      <x:c r="F1001" s="27" t="n">
        <x:v>1</x:v>
      </x:c>
      <x:c r="G1001" s="29" t="str">
        <x:f>IF(E1001=F1001,"PASS","FAIL")</x:f>
        <x:v>PASS</x:v>
      </x:c>
    </x:row>
    <x:row r="1002" ht="18" customHeight="1">
      <x:c r="B1002" s="27" t="str">
        <x:v>A0996</x:v>
      </x:c>
      <x:c r="C1002" s="27" t="str">
        <x:v>cost</x:v>
      </x:c>
      <x:c r="D1002" s="27" t="str">
        <x:v>Cost E9 nonnegative</x:v>
      </x:c>
      <x:c r="E1002" s="27" t="n">
        <x:f>IF('Cost Matrix'!E9&gt;=0,1,0)</x:f>
        <x:v>1</x:v>
      </x:c>
      <x:c r="F1002" s="27" t="n">
        <x:v>1</x:v>
      </x:c>
      <x:c r="G1002" s="29" t="str">
        <x:f>IF(E1002=F1002,"PASS","FAIL")</x:f>
        <x:v>PASS</x:v>
      </x:c>
    </x:row>
    <x:row r="1003" ht="18" customHeight="1">
      <x:c r="B1003" s="27" t="str">
        <x:v>A0997</x:v>
      </x:c>
      <x:c r="C1003" s="27" t="str">
        <x:v>cost</x:v>
      </x:c>
      <x:c r="D1003" s="27" t="str">
        <x:v>Cost F9 nonnegative</x:v>
      </x:c>
      <x:c r="E1003" s="27" t="n">
        <x:f>IF('Cost Matrix'!F9&gt;=0,1,0)</x:f>
        <x:v>1</x:v>
      </x:c>
      <x:c r="F1003" s="27" t="n">
        <x:v>1</x:v>
      </x:c>
      <x:c r="G1003" s="29" t="str">
        <x:f>IF(E1003=F1003,"PASS","FAIL")</x:f>
        <x:v>PASS</x:v>
      </x:c>
    </x:row>
    <x:row r="1004" ht="18" customHeight="1">
      <x:c r="B1004" s="27" t="str">
        <x:v>A0998</x:v>
      </x:c>
      <x:c r="C1004" s="27" t="str">
        <x:v>cost</x:v>
      </x:c>
      <x:c r="D1004" s="27" t="str">
        <x:v>Cost G9 nonnegative</x:v>
      </x:c>
      <x:c r="E1004" s="27" t="n">
        <x:f>IF('Cost Matrix'!G9&gt;=0,1,0)</x:f>
        <x:v>1</x:v>
      </x:c>
      <x:c r="F1004" s="27" t="n">
        <x:v>1</x:v>
      </x:c>
      <x:c r="G1004" s="29" t="str">
        <x:f>IF(E1004=F1004,"PASS","FAIL")</x:f>
        <x:v>PASS</x:v>
      </x:c>
    </x:row>
    <x:row r="1005" ht="18" customHeight="1">
      <x:c r="B1005" s="27" t="str">
        <x:v>A0999</x:v>
      </x:c>
      <x:c r="C1005" s="27" t="str">
        <x:v>cost</x:v>
      </x:c>
      <x:c r="D1005" s="27" t="str">
        <x:v>Cost H9 nonnegative</x:v>
      </x:c>
      <x:c r="E1005" s="27" t="n">
        <x:f>IF('Cost Matrix'!H9&gt;=0,1,0)</x:f>
        <x:v>1</x:v>
      </x:c>
      <x:c r="F1005" s="27" t="n">
        <x:v>1</x:v>
      </x:c>
      <x:c r="G1005" s="29" t="str">
        <x:f>IF(E1005=F1005,"PASS","FAIL")</x:f>
        <x:v>PASS</x:v>
      </x:c>
    </x:row>
    <x:row r="1006" ht="18" customHeight="1">
      <x:c r="B1006" s="27" t="str">
        <x:v>A1000</x:v>
      </x:c>
      <x:c r="C1006" s="27" t="str">
        <x:v>cost</x:v>
      </x:c>
      <x:c r="D1006" s="27" t="str">
        <x:v>Cost I9 nonnegative</x:v>
      </x:c>
      <x:c r="E1006" s="27" t="n">
        <x:f>IF('Cost Matrix'!I9&gt;=0,1,0)</x:f>
        <x:v>1</x:v>
      </x:c>
      <x:c r="F1006" s="27" t="n">
        <x:v>1</x:v>
      </x:c>
      <x:c r="G1006" s="29" t="str">
        <x:f>IF(E1006=F1006,"PASS","FAIL")</x:f>
        <x:v>PASS</x:v>
      </x:c>
    </x:row>
    <x:row r="1007" ht="18" customHeight="1">
      <x:c r="B1007" s="27" t="str">
        <x:v>A1001</x:v>
      </x:c>
      <x:c r="C1007" s="27" t="str">
        <x:v>cost</x:v>
      </x:c>
      <x:c r="D1007" s="27" t="str">
        <x:v>Cost J9 nonnegative</x:v>
      </x:c>
      <x:c r="E1007" s="27" t="n">
        <x:f>IF('Cost Matrix'!J9&gt;=0,1,0)</x:f>
        <x:v>1</x:v>
      </x:c>
      <x:c r="F1007" s="27" t="n">
        <x:v>1</x:v>
      </x:c>
      <x:c r="G1007" s="29" t="str">
        <x:f>IF(E1007=F1007,"PASS","FAIL")</x:f>
        <x:v>PASS</x:v>
      </x:c>
    </x:row>
    <x:row r="1008" ht="18" customHeight="1">
      <x:c r="B1008" s="27" t="str">
        <x:v>A1002</x:v>
      </x:c>
      <x:c r="C1008" s="27" t="str">
        <x:v>cost</x:v>
      </x:c>
      <x:c r="D1008" s="27" t="str">
        <x:v>Cost K9 nonnegative</x:v>
      </x:c>
      <x:c r="E1008" s="27" t="n">
        <x:f>IF('Cost Matrix'!K9&gt;=0,1,0)</x:f>
        <x:v>1</x:v>
      </x:c>
      <x:c r="F1008" s="27" t="n">
        <x:v>1</x:v>
      </x:c>
      <x:c r="G1008" s="29" t="str">
        <x:f>IF(E1008=F1008,"PASS","FAIL")</x:f>
        <x:v>PASS</x:v>
      </x:c>
    </x:row>
    <x:row r="1009" ht="18" customHeight="1">
      <x:c r="B1009" s="27" t="str">
        <x:v>A1003</x:v>
      </x:c>
      <x:c r="C1009" s="27" t="str">
        <x:v>cost</x:v>
      </x:c>
      <x:c r="D1009" s="27" t="str">
        <x:v>Cost L9 nonnegative</x:v>
      </x:c>
      <x:c r="E1009" s="27" t="n">
        <x:f>IF('Cost Matrix'!L9&gt;=0,1,0)</x:f>
        <x:v>1</x:v>
      </x:c>
      <x:c r="F1009" s="27" t="n">
        <x:v>1</x:v>
      </x:c>
      <x:c r="G1009" s="29" t="str">
        <x:f>IF(E1009=F1009,"PASS","FAIL")</x:f>
        <x:v>PASS</x:v>
      </x:c>
    </x:row>
    <x:row r="1010" ht="18" customHeight="1">
      <x:c r="B1010" s="27" t="str">
        <x:v>A1004</x:v>
      </x:c>
      <x:c r="C1010" s="27" t="str">
        <x:v>cost</x:v>
      </x:c>
      <x:c r="D1010" s="27" t="str">
        <x:v>Cost M9 nonnegative</x:v>
      </x:c>
      <x:c r="E1010" s="27" t="n">
        <x:f>IF('Cost Matrix'!M9&gt;=0,1,0)</x:f>
        <x:v>1</x:v>
      </x:c>
      <x:c r="F1010" s="27" t="n">
        <x:v>1</x:v>
      </x:c>
      <x:c r="G1010" s="29" t="str">
        <x:f>IF(E1010=F1010,"PASS","FAIL")</x:f>
        <x:v>PASS</x:v>
      </x:c>
    </x:row>
    <x:row r="1011" ht="18" customHeight="1">
      <x:c r="B1011" s="27" t="str">
        <x:v>A1005</x:v>
      </x:c>
      <x:c r="C1011" s="27" t="str">
        <x:v>cost</x:v>
      </x:c>
      <x:c r="D1011" s="27" t="str">
        <x:v>Campaign cost row 9 reconciles</x:v>
      </x:c>
      <x:c r="E1011" s="27" t="n">
        <x:f>IF(ABS('Cost Matrix'!P9)&lt;0.000001,1,0)</x:f>
        <x:v>1</x:v>
      </x:c>
      <x:c r="F1011" s="27" t="n">
        <x:v>1</x:v>
      </x:c>
      <x:c r="G1011" s="29" t="str">
        <x:f>IF(E1011=F1011,"PASS","FAIL")</x:f>
        <x:v>PASS</x:v>
      </x:c>
    </x:row>
    <x:row r="1012" ht="18" customHeight="1">
      <x:c r="B1012" s="27" t="str">
        <x:v>A1006</x:v>
      </x:c>
      <x:c r="C1012" s="27" t="str">
        <x:v>cost</x:v>
      </x:c>
      <x:c r="D1012" s="27" t="str">
        <x:v>Cost C10 nonnegative</x:v>
      </x:c>
      <x:c r="E1012" s="27" t="n">
        <x:f>IF('Cost Matrix'!C10&gt;=0,1,0)</x:f>
        <x:v>1</x:v>
      </x:c>
      <x:c r="F1012" s="27" t="n">
        <x:v>1</x:v>
      </x:c>
      <x:c r="G1012" s="29" t="str">
        <x:f>IF(E1012=F1012,"PASS","FAIL")</x:f>
        <x:v>PASS</x:v>
      </x:c>
    </x:row>
    <x:row r="1013" ht="18" customHeight="1">
      <x:c r="B1013" s="27" t="str">
        <x:v>A1007</x:v>
      </x:c>
      <x:c r="C1013" s="27" t="str">
        <x:v>cost</x:v>
      </x:c>
      <x:c r="D1013" s="27" t="str">
        <x:v>Cost D10 nonnegative</x:v>
      </x:c>
      <x:c r="E1013" s="27" t="n">
        <x:f>IF('Cost Matrix'!D10&gt;=0,1,0)</x:f>
        <x:v>1</x:v>
      </x:c>
      <x:c r="F1013" s="27" t="n">
        <x:v>1</x:v>
      </x:c>
      <x:c r="G1013" s="29" t="str">
        <x:f>IF(E1013=F1013,"PASS","FAIL")</x:f>
        <x:v>PASS</x:v>
      </x:c>
    </x:row>
    <x:row r="1014" ht="18" customHeight="1">
      <x:c r="B1014" s="27" t="str">
        <x:v>A1008</x:v>
      </x:c>
      <x:c r="C1014" s="27" t="str">
        <x:v>cost</x:v>
      </x:c>
      <x:c r="D1014" s="27" t="str">
        <x:v>Cost E10 nonnegative</x:v>
      </x:c>
      <x:c r="E1014" s="27" t="n">
        <x:f>IF('Cost Matrix'!E10&gt;=0,1,0)</x:f>
        <x:v>1</x:v>
      </x:c>
      <x:c r="F1014" s="27" t="n">
        <x:v>1</x:v>
      </x:c>
      <x:c r="G1014" s="29" t="str">
        <x:f>IF(E1014=F1014,"PASS","FAIL")</x:f>
        <x:v>PASS</x:v>
      </x:c>
    </x:row>
    <x:row r="1015" ht="18" customHeight="1">
      <x:c r="B1015" s="27" t="str">
        <x:v>A1009</x:v>
      </x:c>
      <x:c r="C1015" s="27" t="str">
        <x:v>cost</x:v>
      </x:c>
      <x:c r="D1015" s="27" t="str">
        <x:v>Cost F10 nonnegative</x:v>
      </x:c>
      <x:c r="E1015" s="27" t="n">
        <x:f>IF('Cost Matrix'!F10&gt;=0,1,0)</x:f>
        <x:v>1</x:v>
      </x:c>
      <x:c r="F1015" s="27" t="n">
        <x:v>1</x:v>
      </x:c>
      <x:c r="G1015" s="29" t="str">
        <x:f>IF(E1015=F1015,"PASS","FAIL")</x:f>
        <x:v>PASS</x:v>
      </x:c>
    </x:row>
    <x:row r="1016" ht="18" customHeight="1">
      <x:c r="B1016" s="27" t="str">
        <x:v>A1010</x:v>
      </x:c>
      <x:c r="C1016" s="27" t="str">
        <x:v>cost</x:v>
      </x:c>
      <x:c r="D1016" s="27" t="str">
        <x:v>Cost G10 nonnegative</x:v>
      </x:c>
      <x:c r="E1016" s="27" t="n">
        <x:f>IF('Cost Matrix'!G10&gt;=0,1,0)</x:f>
        <x:v>1</x:v>
      </x:c>
      <x:c r="F1016" s="27" t="n">
        <x:v>1</x:v>
      </x:c>
      <x:c r="G1016" s="29" t="str">
        <x:f>IF(E1016=F1016,"PASS","FAIL")</x:f>
        <x:v>PASS</x:v>
      </x:c>
    </x:row>
    <x:row r="1017" ht="18" customHeight="1">
      <x:c r="B1017" s="27" t="str">
        <x:v>A1011</x:v>
      </x:c>
      <x:c r="C1017" s="27" t="str">
        <x:v>cost</x:v>
      </x:c>
      <x:c r="D1017" s="27" t="str">
        <x:v>Cost H10 nonnegative</x:v>
      </x:c>
      <x:c r="E1017" s="27" t="n">
        <x:f>IF('Cost Matrix'!H10&gt;=0,1,0)</x:f>
        <x:v>1</x:v>
      </x:c>
      <x:c r="F1017" s="27" t="n">
        <x:v>1</x:v>
      </x:c>
      <x:c r="G1017" s="29" t="str">
        <x:f>IF(E1017=F1017,"PASS","FAIL")</x:f>
        <x:v>PASS</x:v>
      </x:c>
    </x:row>
    <x:row r="1018" ht="18" customHeight="1">
      <x:c r="B1018" s="27" t="str">
        <x:v>A1012</x:v>
      </x:c>
      <x:c r="C1018" s="27" t="str">
        <x:v>cost</x:v>
      </x:c>
      <x:c r="D1018" s="27" t="str">
        <x:v>Cost I10 nonnegative</x:v>
      </x:c>
      <x:c r="E1018" s="27" t="n">
        <x:f>IF('Cost Matrix'!I10&gt;=0,1,0)</x:f>
        <x:v>1</x:v>
      </x:c>
      <x:c r="F1018" s="27" t="n">
        <x:v>1</x:v>
      </x:c>
      <x:c r="G1018" s="29" t="str">
        <x:f>IF(E1018=F1018,"PASS","FAIL")</x:f>
        <x:v>PASS</x:v>
      </x:c>
    </x:row>
    <x:row r="1019" ht="18" customHeight="1">
      <x:c r="B1019" s="27" t="str">
        <x:v>A1013</x:v>
      </x:c>
      <x:c r="C1019" s="27" t="str">
        <x:v>cost</x:v>
      </x:c>
      <x:c r="D1019" s="27" t="str">
        <x:v>Cost J10 nonnegative</x:v>
      </x:c>
      <x:c r="E1019" s="27" t="n">
        <x:f>IF('Cost Matrix'!J10&gt;=0,1,0)</x:f>
        <x:v>1</x:v>
      </x:c>
      <x:c r="F1019" s="27" t="n">
        <x:v>1</x:v>
      </x:c>
      <x:c r="G1019" s="29" t="str">
        <x:f>IF(E1019=F1019,"PASS","FAIL")</x:f>
        <x:v>PASS</x:v>
      </x:c>
    </x:row>
    <x:row r="1020" ht="18" customHeight="1">
      <x:c r="B1020" s="27" t="str">
        <x:v>A1014</x:v>
      </x:c>
      <x:c r="C1020" s="27" t="str">
        <x:v>cost</x:v>
      </x:c>
      <x:c r="D1020" s="27" t="str">
        <x:v>Cost K10 nonnegative</x:v>
      </x:c>
      <x:c r="E1020" s="27" t="n">
        <x:f>IF('Cost Matrix'!K10&gt;=0,1,0)</x:f>
        <x:v>1</x:v>
      </x:c>
      <x:c r="F1020" s="27" t="n">
        <x:v>1</x:v>
      </x:c>
      <x:c r="G1020" s="29" t="str">
        <x:f>IF(E1020=F1020,"PASS","FAIL")</x:f>
        <x:v>PASS</x:v>
      </x:c>
    </x:row>
    <x:row r="1021" ht="18" customHeight="1">
      <x:c r="B1021" s="27" t="str">
        <x:v>A1015</x:v>
      </x:c>
      <x:c r="C1021" s="27" t="str">
        <x:v>cost</x:v>
      </x:c>
      <x:c r="D1021" s="27" t="str">
        <x:v>Cost L10 nonnegative</x:v>
      </x:c>
      <x:c r="E1021" s="27" t="n">
        <x:f>IF('Cost Matrix'!L10&gt;=0,1,0)</x:f>
        <x:v>1</x:v>
      </x:c>
      <x:c r="F1021" s="27" t="n">
        <x:v>1</x:v>
      </x:c>
      <x:c r="G1021" s="29" t="str">
        <x:f>IF(E1021=F1021,"PASS","FAIL")</x:f>
        <x:v>PASS</x:v>
      </x:c>
    </x:row>
    <x:row r="1022" ht="18" customHeight="1">
      <x:c r="B1022" s="27" t="str">
        <x:v>A1016</x:v>
      </x:c>
      <x:c r="C1022" s="27" t="str">
        <x:v>cost</x:v>
      </x:c>
      <x:c r="D1022" s="27" t="str">
        <x:v>Cost M10 nonnegative</x:v>
      </x:c>
      <x:c r="E1022" s="27" t="n">
        <x:f>IF('Cost Matrix'!M10&gt;=0,1,0)</x:f>
        <x:v>1</x:v>
      </x:c>
      <x:c r="F1022" s="27" t="n">
        <x:v>1</x:v>
      </x:c>
      <x:c r="G1022" s="29" t="str">
        <x:f>IF(E1022=F1022,"PASS","FAIL")</x:f>
        <x:v>PASS</x:v>
      </x:c>
    </x:row>
    <x:row r="1023" ht="18" customHeight="1">
      <x:c r="B1023" s="27" t="str">
        <x:v>A1017</x:v>
      </x:c>
      <x:c r="C1023" s="27" t="str">
        <x:v>cost</x:v>
      </x:c>
      <x:c r="D1023" s="27" t="str">
        <x:v>Campaign cost row 10 reconciles</x:v>
      </x:c>
      <x:c r="E1023" s="27" t="n">
        <x:f>IF(ABS('Cost Matrix'!P10)&lt;0.000001,1,0)</x:f>
        <x:v>1</x:v>
      </x:c>
      <x:c r="F1023" s="27" t="n">
        <x:v>1</x:v>
      </x:c>
      <x:c r="G1023" s="29" t="str">
        <x:f>IF(E1023=F1023,"PASS","FAIL")</x:f>
        <x:v>PASS</x:v>
      </x:c>
    </x:row>
    <x:row r="1024" ht="18" customHeight="1">
      <x:c r="B1024" s="27" t="str">
        <x:v>A1018</x:v>
      </x:c>
      <x:c r="C1024" s="27" t="str">
        <x:v>cost</x:v>
      </x:c>
      <x:c r="D1024" s="27" t="str">
        <x:v>Cost C11 nonnegative</x:v>
      </x:c>
      <x:c r="E1024" s="27" t="n">
        <x:f>IF('Cost Matrix'!C11&gt;=0,1,0)</x:f>
        <x:v>1</x:v>
      </x:c>
      <x:c r="F1024" s="27" t="n">
        <x:v>1</x:v>
      </x:c>
      <x:c r="G1024" s="29" t="str">
        <x:f>IF(E1024=F1024,"PASS","FAIL")</x:f>
        <x:v>PASS</x:v>
      </x:c>
    </x:row>
    <x:row r="1025" ht="18" customHeight="1">
      <x:c r="B1025" s="27" t="str">
        <x:v>A1019</x:v>
      </x:c>
      <x:c r="C1025" s="27" t="str">
        <x:v>cost</x:v>
      </x:c>
      <x:c r="D1025" s="27" t="str">
        <x:v>Cost D11 nonnegative</x:v>
      </x:c>
      <x:c r="E1025" s="27" t="n">
        <x:f>IF('Cost Matrix'!D11&gt;=0,1,0)</x:f>
        <x:v>1</x:v>
      </x:c>
      <x:c r="F1025" s="27" t="n">
        <x:v>1</x:v>
      </x:c>
      <x:c r="G1025" s="29" t="str">
        <x:f>IF(E1025=F1025,"PASS","FAIL")</x:f>
        <x:v>PASS</x:v>
      </x:c>
    </x:row>
    <x:row r="1026" ht="18" customHeight="1">
      <x:c r="B1026" s="27" t="str">
        <x:v>A1020</x:v>
      </x:c>
      <x:c r="C1026" s="27" t="str">
        <x:v>cost</x:v>
      </x:c>
      <x:c r="D1026" s="27" t="str">
        <x:v>Cost E11 nonnegative</x:v>
      </x:c>
      <x:c r="E1026" s="27" t="n">
        <x:f>IF('Cost Matrix'!E11&gt;=0,1,0)</x:f>
        <x:v>1</x:v>
      </x:c>
      <x:c r="F1026" s="27" t="n">
        <x:v>1</x:v>
      </x:c>
      <x:c r="G1026" s="29" t="str">
        <x:f>IF(E1026=F1026,"PASS","FAIL")</x:f>
        <x:v>PASS</x:v>
      </x:c>
    </x:row>
    <x:row r="1027" ht="18" customHeight="1">
      <x:c r="B1027" s="27" t="str">
        <x:v>A1021</x:v>
      </x:c>
      <x:c r="C1027" s="27" t="str">
        <x:v>cost</x:v>
      </x:c>
      <x:c r="D1027" s="27" t="str">
        <x:v>Cost F11 nonnegative</x:v>
      </x:c>
      <x:c r="E1027" s="27" t="n">
        <x:f>IF('Cost Matrix'!F11&gt;=0,1,0)</x:f>
        <x:v>1</x:v>
      </x:c>
      <x:c r="F1027" s="27" t="n">
        <x:v>1</x:v>
      </x:c>
      <x:c r="G1027" s="29" t="str">
        <x:f>IF(E1027=F1027,"PASS","FAIL")</x:f>
        <x:v>PASS</x:v>
      </x:c>
    </x:row>
    <x:row r="1028" ht="18" customHeight="1">
      <x:c r="B1028" s="27" t="str">
        <x:v>A1022</x:v>
      </x:c>
      <x:c r="C1028" s="27" t="str">
        <x:v>cost</x:v>
      </x:c>
      <x:c r="D1028" s="27" t="str">
        <x:v>Cost G11 nonnegative</x:v>
      </x:c>
      <x:c r="E1028" s="27" t="n">
        <x:f>IF('Cost Matrix'!G11&gt;=0,1,0)</x:f>
        <x:v>1</x:v>
      </x:c>
      <x:c r="F1028" s="27" t="n">
        <x:v>1</x:v>
      </x:c>
      <x:c r="G1028" s="29" t="str">
        <x:f>IF(E1028=F1028,"PASS","FAIL")</x:f>
        <x:v>PASS</x:v>
      </x:c>
    </x:row>
    <x:row r="1029" ht="18" customHeight="1">
      <x:c r="B1029" s="27" t="str">
        <x:v>A1023</x:v>
      </x:c>
      <x:c r="C1029" s="27" t="str">
        <x:v>cost</x:v>
      </x:c>
      <x:c r="D1029" s="27" t="str">
        <x:v>Cost H11 nonnegative</x:v>
      </x:c>
      <x:c r="E1029" s="27" t="n">
        <x:f>IF('Cost Matrix'!H11&gt;=0,1,0)</x:f>
        <x:v>1</x:v>
      </x:c>
      <x:c r="F1029" s="27" t="n">
        <x:v>1</x:v>
      </x:c>
      <x:c r="G1029" s="29" t="str">
        <x:f>IF(E1029=F1029,"PASS","FAIL")</x:f>
        <x:v>PASS</x:v>
      </x:c>
    </x:row>
    <x:row r="1030" ht="18" customHeight="1">
      <x:c r="B1030" s="27" t="str">
        <x:v>A1024</x:v>
      </x:c>
      <x:c r="C1030" s="27" t="str">
        <x:v>cost</x:v>
      </x:c>
      <x:c r="D1030" s="27" t="str">
        <x:v>Cost I11 nonnegative</x:v>
      </x:c>
      <x:c r="E1030" s="27" t="n">
        <x:f>IF('Cost Matrix'!I11&gt;=0,1,0)</x:f>
        <x:v>1</x:v>
      </x:c>
      <x:c r="F1030" s="27" t="n">
        <x:v>1</x:v>
      </x:c>
      <x:c r="G1030" s="29" t="str">
        <x:f>IF(E1030=F1030,"PASS","FAIL")</x:f>
        <x:v>PASS</x:v>
      </x:c>
    </x:row>
    <x:row r="1031" ht="18" customHeight="1">
      <x:c r="B1031" s="27" t="str">
        <x:v>A1025</x:v>
      </x:c>
      <x:c r="C1031" s="27" t="str">
        <x:v>cost</x:v>
      </x:c>
      <x:c r="D1031" s="27" t="str">
        <x:v>Cost J11 nonnegative</x:v>
      </x:c>
      <x:c r="E1031" s="27" t="n">
        <x:f>IF('Cost Matrix'!J11&gt;=0,1,0)</x:f>
        <x:v>1</x:v>
      </x:c>
      <x:c r="F1031" s="27" t="n">
        <x:v>1</x:v>
      </x:c>
      <x:c r="G1031" s="29" t="str">
        <x:f>IF(E1031=F1031,"PASS","FAIL")</x:f>
        <x:v>PASS</x:v>
      </x:c>
    </x:row>
    <x:row r="1032" ht="18" customHeight="1">
      <x:c r="B1032" s="27" t="str">
        <x:v>A1026</x:v>
      </x:c>
      <x:c r="C1032" s="27" t="str">
        <x:v>cost</x:v>
      </x:c>
      <x:c r="D1032" s="27" t="str">
        <x:v>Cost K11 nonnegative</x:v>
      </x:c>
      <x:c r="E1032" s="27" t="n">
        <x:f>IF('Cost Matrix'!K11&gt;=0,1,0)</x:f>
        <x:v>1</x:v>
      </x:c>
      <x:c r="F1032" s="27" t="n">
        <x:v>1</x:v>
      </x:c>
      <x:c r="G1032" s="29" t="str">
        <x:f>IF(E1032=F1032,"PASS","FAIL")</x:f>
        <x:v>PASS</x:v>
      </x:c>
    </x:row>
    <x:row r="1033" ht="18" customHeight="1">
      <x:c r="B1033" s="27" t="str">
        <x:v>A1027</x:v>
      </x:c>
      <x:c r="C1033" s="27" t="str">
        <x:v>cost</x:v>
      </x:c>
      <x:c r="D1033" s="27" t="str">
        <x:v>Cost L11 nonnegative</x:v>
      </x:c>
      <x:c r="E1033" s="27" t="n">
        <x:f>IF('Cost Matrix'!L11&gt;=0,1,0)</x:f>
        <x:v>1</x:v>
      </x:c>
      <x:c r="F1033" s="27" t="n">
        <x:v>1</x:v>
      </x:c>
      <x:c r="G1033" s="29" t="str">
        <x:f>IF(E1033=F1033,"PASS","FAIL")</x:f>
        <x:v>PASS</x:v>
      </x:c>
    </x:row>
    <x:row r="1034" ht="18" customHeight="1">
      <x:c r="B1034" s="27" t="str">
        <x:v>A1028</x:v>
      </x:c>
      <x:c r="C1034" s="27" t="str">
        <x:v>cost</x:v>
      </x:c>
      <x:c r="D1034" s="27" t="str">
        <x:v>Cost M11 nonnegative</x:v>
      </x:c>
      <x:c r="E1034" s="27" t="n">
        <x:f>IF('Cost Matrix'!M11&gt;=0,1,0)</x:f>
        <x:v>1</x:v>
      </x:c>
      <x:c r="F1034" s="27" t="n">
        <x:v>1</x:v>
      </x:c>
      <x:c r="G1034" s="29" t="str">
        <x:f>IF(E1034=F1034,"PASS","FAIL")</x:f>
        <x:v>PASS</x:v>
      </x:c>
    </x:row>
    <x:row r="1035" ht="18" customHeight="1">
      <x:c r="B1035" s="27" t="str">
        <x:v>A1029</x:v>
      </x:c>
      <x:c r="C1035" s="27" t="str">
        <x:v>cost</x:v>
      </x:c>
      <x:c r="D1035" s="27" t="str">
        <x:v>Campaign cost row 11 reconciles</x:v>
      </x:c>
      <x:c r="E1035" s="27" t="n">
        <x:f>IF(ABS('Cost Matrix'!P11)&lt;0.000001,1,0)</x:f>
        <x:v>1</x:v>
      </x:c>
      <x:c r="F1035" s="27" t="n">
        <x:v>1</x:v>
      </x:c>
      <x:c r="G1035" s="29" t="str">
        <x:f>IF(E1035=F1035,"PASS","FAIL")</x:f>
        <x:v>PASS</x:v>
      </x:c>
    </x:row>
    <x:row r="1036" ht="18" customHeight="1">
      <x:c r="B1036" s="27" t="str">
        <x:v>A1030</x:v>
      </x:c>
      <x:c r="C1036" s="27" t="str">
        <x:v>cost</x:v>
      </x:c>
      <x:c r="D1036" s="27" t="str">
        <x:v>Cost C12 nonnegative</x:v>
      </x:c>
      <x:c r="E1036" s="27" t="n">
        <x:f>IF('Cost Matrix'!C12&gt;=0,1,0)</x:f>
        <x:v>1</x:v>
      </x:c>
      <x:c r="F1036" s="27" t="n">
        <x:v>1</x:v>
      </x:c>
      <x:c r="G1036" s="29" t="str">
        <x:f>IF(E1036=F1036,"PASS","FAIL")</x:f>
        <x:v>PASS</x:v>
      </x:c>
    </x:row>
    <x:row r="1037" ht="18" customHeight="1">
      <x:c r="B1037" s="27" t="str">
        <x:v>A1031</x:v>
      </x:c>
      <x:c r="C1037" s="27" t="str">
        <x:v>cost</x:v>
      </x:c>
      <x:c r="D1037" s="27" t="str">
        <x:v>Cost D12 nonnegative</x:v>
      </x:c>
      <x:c r="E1037" s="27" t="n">
        <x:f>IF('Cost Matrix'!D12&gt;=0,1,0)</x:f>
        <x:v>1</x:v>
      </x:c>
      <x:c r="F1037" s="27" t="n">
        <x:v>1</x:v>
      </x:c>
      <x:c r="G1037" s="29" t="str">
        <x:f>IF(E1037=F1037,"PASS","FAIL")</x:f>
        <x:v>PASS</x:v>
      </x:c>
    </x:row>
    <x:row r="1038" ht="18" customHeight="1">
      <x:c r="B1038" s="27" t="str">
        <x:v>A1032</x:v>
      </x:c>
      <x:c r="C1038" s="27" t="str">
        <x:v>cost</x:v>
      </x:c>
      <x:c r="D1038" s="27" t="str">
        <x:v>Cost E12 nonnegative</x:v>
      </x:c>
      <x:c r="E1038" s="27" t="n">
        <x:f>IF('Cost Matrix'!E12&gt;=0,1,0)</x:f>
        <x:v>1</x:v>
      </x:c>
      <x:c r="F1038" s="27" t="n">
        <x:v>1</x:v>
      </x:c>
      <x:c r="G1038" s="29" t="str">
        <x:f>IF(E1038=F1038,"PASS","FAIL")</x:f>
        <x:v>PASS</x:v>
      </x:c>
    </x:row>
    <x:row r="1039" ht="18" customHeight="1">
      <x:c r="B1039" s="27" t="str">
        <x:v>A1033</x:v>
      </x:c>
      <x:c r="C1039" s="27" t="str">
        <x:v>cost</x:v>
      </x:c>
      <x:c r="D1039" s="27" t="str">
        <x:v>Cost F12 nonnegative</x:v>
      </x:c>
      <x:c r="E1039" s="27" t="n">
        <x:f>IF('Cost Matrix'!F12&gt;=0,1,0)</x:f>
        <x:v>1</x:v>
      </x:c>
      <x:c r="F1039" s="27" t="n">
        <x:v>1</x:v>
      </x:c>
      <x:c r="G1039" s="29" t="str">
        <x:f>IF(E1039=F1039,"PASS","FAIL")</x:f>
        <x:v>PASS</x:v>
      </x:c>
    </x:row>
    <x:row r="1040" ht="18" customHeight="1">
      <x:c r="B1040" s="27" t="str">
        <x:v>A1034</x:v>
      </x:c>
      <x:c r="C1040" s="27" t="str">
        <x:v>cost</x:v>
      </x:c>
      <x:c r="D1040" s="27" t="str">
        <x:v>Cost G12 nonnegative</x:v>
      </x:c>
      <x:c r="E1040" s="27" t="n">
        <x:f>IF('Cost Matrix'!G12&gt;=0,1,0)</x:f>
        <x:v>1</x:v>
      </x:c>
      <x:c r="F1040" s="27" t="n">
        <x:v>1</x:v>
      </x:c>
      <x:c r="G1040" s="29" t="str">
        <x:f>IF(E1040=F1040,"PASS","FAIL")</x:f>
        <x:v>PASS</x:v>
      </x:c>
    </x:row>
    <x:row r="1041" ht="18" customHeight="1">
      <x:c r="B1041" s="27" t="str">
        <x:v>A1035</x:v>
      </x:c>
      <x:c r="C1041" s="27" t="str">
        <x:v>cost</x:v>
      </x:c>
      <x:c r="D1041" s="27" t="str">
        <x:v>Cost H12 nonnegative</x:v>
      </x:c>
      <x:c r="E1041" s="27" t="n">
        <x:f>IF('Cost Matrix'!H12&gt;=0,1,0)</x:f>
        <x:v>1</x:v>
      </x:c>
      <x:c r="F1041" s="27" t="n">
        <x:v>1</x:v>
      </x:c>
      <x:c r="G1041" s="29" t="str">
        <x:f>IF(E1041=F1041,"PASS","FAIL")</x:f>
        <x:v>PASS</x:v>
      </x:c>
    </x:row>
    <x:row r="1042" ht="18" customHeight="1">
      <x:c r="B1042" s="27" t="str">
        <x:v>A1036</x:v>
      </x:c>
      <x:c r="C1042" s="27" t="str">
        <x:v>cost</x:v>
      </x:c>
      <x:c r="D1042" s="27" t="str">
        <x:v>Cost I12 nonnegative</x:v>
      </x:c>
      <x:c r="E1042" s="27" t="n">
        <x:f>IF('Cost Matrix'!I12&gt;=0,1,0)</x:f>
        <x:v>1</x:v>
      </x:c>
      <x:c r="F1042" s="27" t="n">
        <x:v>1</x:v>
      </x:c>
      <x:c r="G1042" s="29" t="str">
        <x:f>IF(E1042=F1042,"PASS","FAIL")</x:f>
        <x:v>PASS</x:v>
      </x:c>
    </x:row>
    <x:row r="1043" ht="18" customHeight="1">
      <x:c r="B1043" s="27" t="str">
        <x:v>A1037</x:v>
      </x:c>
      <x:c r="C1043" s="27" t="str">
        <x:v>cost</x:v>
      </x:c>
      <x:c r="D1043" s="27" t="str">
        <x:v>Cost J12 nonnegative</x:v>
      </x:c>
      <x:c r="E1043" s="27" t="n">
        <x:f>IF('Cost Matrix'!J12&gt;=0,1,0)</x:f>
        <x:v>1</x:v>
      </x:c>
      <x:c r="F1043" s="27" t="n">
        <x:v>1</x:v>
      </x:c>
      <x:c r="G1043" s="29" t="str">
        <x:f>IF(E1043=F1043,"PASS","FAIL")</x:f>
        <x:v>PASS</x:v>
      </x:c>
    </x:row>
    <x:row r="1044" ht="18" customHeight="1">
      <x:c r="B1044" s="27" t="str">
        <x:v>A1038</x:v>
      </x:c>
      <x:c r="C1044" s="27" t="str">
        <x:v>cost</x:v>
      </x:c>
      <x:c r="D1044" s="27" t="str">
        <x:v>Cost K12 nonnegative</x:v>
      </x:c>
      <x:c r="E1044" s="27" t="n">
        <x:f>IF('Cost Matrix'!K12&gt;=0,1,0)</x:f>
        <x:v>1</x:v>
      </x:c>
      <x:c r="F1044" s="27" t="n">
        <x:v>1</x:v>
      </x:c>
      <x:c r="G1044" s="29" t="str">
        <x:f>IF(E1044=F1044,"PASS","FAIL")</x:f>
        <x:v>PASS</x:v>
      </x:c>
    </x:row>
    <x:row r="1045" ht="18" customHeight="1">
      <x:c r="B1045" s="27" t="str">
        <x:v>A1039</x:v>
      </x:c>
      <x:c r="C1045" s="27" t="str">
        <x:v>cost</x:v>
      </x:c>
      <x:c r="D1045" s="27" t="str">
        <x:v>Cost L12 nonnegative</x:v>
      </x:c>
      <x:c r="E1045" s="27" t="n">
        <x:f>IF('Cost Matrix'!L12&gt;=0,1,0)</x:f>
        <x:v>1</x:v>
      </x:c>
      <x:c r="F1045" s="27" t="n">
        <x:v>1</x:v>
      </x:c>
      <x:c r="G1045" s="29" t="str">
        <x:f>IF(E1045=F1045,"PASS","FAIL")</x:f>
        <x:v>PASS</x:v>
      </x:c>
    </x:row>
    <x:row r="1046" ht="18" customHeight="1">
      <x:c r="B1046" s="27" t="str">
        <x:v>A1040</x:v>
      </x:c>
      <x:c r="C1046" s="27" t="str">
        <x:v>cost</x:v>
      </x:c>
      <x:c r="D1046" s="27" t="str">
        <x:v>Cost M12 nonnegative</x:v>
      </x:c>
      <x:c r="E1046" s="27" t="n">
        <x:f>IF('Cost Matrix'!M12&gt;=0,1,0)</x:f>
        <x:v>1</x:v>
      </x:c>
      <x:c r="F1046" s="27" t="n">
        <x:v>1</x:v>
      </x:c>
      <x:c r="G1046" s="29" t="str">
        <x:f>IF(E1046=F1046,"PASS","FAIL")</x:f>
        <x:v>PASS</x:v>
      </x:c>
    </x:row>
    <x:row r="1047" ht="18" customHeight="1">
      <x:c r="B1047" s="27" t="str">
        <x:v>A1041</x:v>
      </x:c>
      <x:c r="C1047" s="27" t="str">
        <x:v>cost</x:v>
      </x:c>
      <x:c r="D1047" s="27" t="str">
        <x:v>Campaign cost row 12 reconciles</x:v>
      </x:c>
      <x:c r="E1047" s="27" t="n">
        <x:f>IF(ABS('Cost Matrix'!P12)&lt;0.000001,1,0)</x:f>
        <x:v>1</x:v>
      </x:c>
      <x:c r="F1047" s="27" t="n">
        <x:v>1</x:v>
      </x:c>
      <x:c r="G1047" s="29" t="str">
        <x:f>IF(E1047=F1047,"PASS","FAIL")</x:f>
        <x:v>PASS</x:v>
      </x:c>
    </x:row>
    <x:row r="1048" ht="18" customHeight="1">
      <x:c r="B1048" s="27" t="str">
        <x:v>A1042</x:v>
      </x:c>
      <x:c r="C1048" s="27" t="str">
        <x:v>cost</x:v>
      </x:c>
      <x:c r="D1048" s="27" t="str">
        <x:v>Cost C13 nonnegative</x:v>
      </x:c>
      <x:c r="E1048" s="27" t="n">
        <x:f>IF('Cost Matrix'!C13&gt;=0,1,0)</x:f>
        <x:v>1</x:v>
      </x:c>
      <x:c r="F1048" s="27" t="n">
        <x:v>1</x:v>
      </x:c>
      <x:c r="G1048" s="29" t="str">
        <x:f>IF(E1048=F1048,"PASS","FAIL")</x:f>
        <x:v>PASS</x:v>
      </x:c>
    </x:row>
    <x:row r="1049" ht="18" customHeight="1">
      <x:c r="B1049" s="27" t="str">
        <x:v>A1043</x:v>
      </x:c>
      <x:c r="C1049" s="27" t="str">
        <x:v>cost</x:v>
      </x:c>
      <x:c r="D1049" s="27" t="str">
        <x:v>Cost D13 nonnegative</x:v>
      </x:c>
      <x:c r="E1049" s="27" t="n">
        <x:f>IF('Cost Matrix'!D13&gt;=0,1,0)</x:f>
        <x:v>1</x:v>
      </x:c>
      <x:c r="F1049" s="27" t="n">
        <x:v>1</x:v>
      </x:c>
      <x:c r="G1049" s="29" t="str">
        <x:f>IF(E1049=F1049,"PASS","FAIL")</x:f>
        <x:v>PASS</x:v>
      </x:c>
    </x:row>
    <x:row r="1050" ht="18" customHeight="1">
      <x:c r="B1050" s="27" t="str">
        <x:v>A1044</x:v>
      </x:c>
      <x:c r="C1050" s="27" t="str">
        <x:v>cost</x:v>
      </x:c>
      <x:c r="D1050" s="27" t="str">
        <x:v>Cost E13 nonnegative</x:v>
      </x:c>
      <x:c r="E1050" s="27" t="n">
        <x:f>IF('Cost Matrix'!E13&gt;=0,1,0)</x:f>
        <x:v>1</x:v>
      </x:c>
      <x:c r="F1050" s="27" t="n">
        <x:v>1</x:v>
      </x:c>
      <x:c r="G1050" s="29" t="str">
        <x:f>IF(E1050=F1050,"PASS","FAIL")</x:f>
        <x:v>PASS</x:v>
      </x:c>
    </x:row>
    <x:row r="1051" ht="18" customHeight="1">
      <x:c r="B1051" s="27" t="str">
        <x:v>A1045</x:v>
      </x:c>
      <x:c r="C1051" s="27" t="str">
        <x:v>cost</x:v>
      </x:c>
      <x:c r="D1051" s="27" t="str">
        <x:v>Cost F13 nonnegative</x:v>
      </x:c>
      <x:c r="E1051" s="27" t="n">
        <x:f>IF('Cost Matrix'!F13&gt;=0,1,0)</x:f>
        <x:v>1</x:v>
      </x:c>
      <x:c r="F1051" s="27" t="n">
        <x:v>1</x:v>
      </x:c>
      <x:c r="G1051" s="29" t="str">
        <x:f>IF(E1051=F1051,"PASS","FAIL")</x:f>
        <x:v>PASS</x:v>
      </x:c>
    </x:row>
    <x:row r="1052" ht="18" customHeight="1">
      <x:c r="B1052" s="27" t="str">
        <x:v>A1046</x:v>
      </x:c>
      <x:c r="C1052" s="27" t="str">
        <x:v>cost</x:v>
      </x:c>
      <x:c r="D1052" s="27" t="str">
        <x:v>Cost G13 nonnegative</x:v>
      </x:c>
      <x:c r="E1052" s="27" t="n">
        <x:f>IF('Cost Matrix'!G13&gt;=0,1,0)</x:f>
        <x:v>1</x:v>
      </x:c>
      <x:c r="F1052" s="27" t="n">
        <x:v>1</x:v>
      </x:c>
      <x:c r="G1052" s="29" t="str">
        <x:f>IF(E1052=F1052,"PASS","FAIL")</x:f>
        <x:v>PASS</x:v>
      </x:c>
    </x:row>
    <x:row r="1053" ht="18" customHeight="1">
      <x:c r="B1053" s="27" t="str">
        <x:v>A1047</x:v>
      </x:c>
      <x:c r="C1053" s="27" t="str">
        <x:v>cost</x:v>
      </x:c>
      <x:c r="D1053" s="27" t="str">
        <x:v>Cost H13 nonnegative</x:v>
      </x:c>
      <x:c r="E1053" s="27" t="n">
        <x:f>IF('Cost Matrix'!H13&gt;=0,1,0)</x:f>
        <x:v>1</x:v>
      </x:c>
      <x:c r="F1053" s="27" t="n">
        <x:v>1</x:v>
      </x:c>
      <x:c r="G1053" s="29" t="str">
        <x:f>IF(E1053=F1053,"PASS","FAIL")</x:f>
        <x:v>PASS</x:v>
      </x:c>
    </x:row>
    <x:row r="1054" ht="18" customHeight="1">
      <x:c r="B1054" s="27" t="str">
        <x:v>A1048</x:v>
      </x:c>
      <x:c r="C1054" s="27" t="str">
        <x:v>cost</x:v>
      </x:c>
      <x:c r="D1054" s="27" t="str">
        <x:v>Cost I13 nonnegative</x:v>
      </x:c>
      <x:c r="E1054" s="27" t="n">
        <x:f>IF('Cost Matrix'!I13&gt;=0,1,0)</x:f>
        <x:v>1</x:v>
      </x:c>
      <x:c r="F1054" s="27" t="n">
        <x:v>1</x:v>
      </x:c>
      <x:c r="G1054" s="29" t="str">
        <x:f>IF(E1054=F1054,"PASS","FAIL")</x:f>
        <x:v>PASS</x:v>
      </x:c>
    </x:row>
    <x:row r="1055" ht="18" customHeight="1">
      <x:c r="B1055" s="27" t="str">
        <x:v>A1049</x:v>
      </x:c>
      <x:c r="C1055" s="27" t="str">
        <x:v>cost</x:v>
      </x:c>
      <x:c r="D1055" s="27" t="str">
        <x:v>Cost J13 nonnegative</x:v>
      </x:c>
      <x:c r="E1055" s="27" t="n">
        <x:f>IF('Cost Matrix'!J13&gt;=0,1,0)</x:f>
        <x:v>1</x:v>
      </x:c>
      <x:c r="F1055" s="27" t="n">
        <x:v>1</x:v>
      </x:c>
      <x:c r="G1055" s="29" t="str">
        <x:f>IF(E1055=F1055,"PASS","FAIL")</x:f>
        <x:v>PASS</x:v>
      </x:c>
    </x:row>
    <x:row r="1056" ht="18" customHeight="1">
      <x:c r="B1056" s="27" t="str">
        <x:v>A1050</x:v>
      </x:c>
      <x:c r="C1056" s="27" t="str">
        <x:v>cost</x:v>
      </x:c>
      <x:c r="D1056" s="27" t="str">
        <x:v>Cost K13 nonnegative</x:v>
      </x:c>
      <x:c r="E1056" s="27" t="n">
        <x:f>IF('Cost Matrix'!K13&gt;=0,1,0)</x:f>
        <x:v>1</x:v>
      </x:c>
      <x:c r="F1056" s="27" t="n">
        <x:v>1</x:v>
      </x:c>
      <x:c r="G1056" s="29" t="str">
        <x:f>IF(E1056=F1056,"PASS","FAIL")</x:f>
        <x:v>PASS</x:v>
      </x:c>
    </x:row>
    <x:row r="1057" ht="18" customHeight="1">
      <x:c r="B1057" s="27" t="str">
        <x:v>A1051</x:v>
      </x:c>
      <x:c r="C1057" s="27" t="str">
        <x:v>cost</x:v>
      </x:c>
      <x:c r="D1057" s="27" t="str">
        <x:v>Cost L13 nonnegative</x:v>
      </x:c>
      <x:c r="E1057" s="27" t="n">
        <x:f>IF('Cost Matrix'!L13&gt;=0,1,0)</x:f>
        <x:v>1</x:v>
      </x:c>
      <x:c r="F1057" s="27" t="n">
        <x:v>1</x:v>
      </x:c>
      <x:c r="G1057" s="29" t="str">
        <x:f>IF(E1057=F1057,"PASS","FAIL")</x:f>
        <x:v>PASS</x:v>
      </x:c>
    </x:row>
    <x:row r="1058" ht="18" customHeight="1">
      <x:c r="B1058" s="27" t="str">
        <x:v>A1052</x:v>
      </x:c>
      <x:c r="C1058" s="27" t="str">
        <x:v>cost</x:v>
      </x:c>
      <x:c r="D1058" s="27" t="str">
        <x:v>Cost M13 nonnegative</x:v>
      </x:c>
      <x:c r="E1058" s="27" t="n">
        <x:f>IF('Cost Matrix'!M13&gt;=0,1,0)</x:f>
        <x:v>1</x:v>
      </x:c>
      <x:c r="F1058" s="27" t="n">
        <x:v>1</x:v>
      </x:c>
      <x:c r="G1058" s="29" t="str">
        <x:f>IF(E1058=F1058,"PASS","FAIL")</x:f>
        <x:v>PASS</x:v>
      </x:c>
    </x:row>
    <x:row r="1059" ht="18" customHeight="1">
      <x:c r="B1059" s="27" t="str">
        <x:v>A1053</x:v>
      </x:c>
      <x:c r="C1059" s="27" t="str">
        <x:v>cost</x:v>
      </x:c>
      <x:c r="D1059" s="27" t="str">
        <x:v>Campaign cost row 13 reconciles</x:v>
      </x:c>
      <x:c r="E1059" s="27" t="n">
        <x:f>IF(ABS('Cost Matrix'!P13)&lt;0.000001,1,0)</x:f>
        <x:v>1</x:v>
      </x:c>
      <x:c r="F1059" s="27" t="n">
        <x:v>1</x:v>
      </x:c>
      <x:c r="G1059" s="29" t="str">
        <x:f>IF(E1059=F1059,"PASS","FAIL")</x:f>
        <x:v>PASS</x:v>
      </x:c>
    </x:row>
    <x:row r="1060" ht="18" customHeight="1">
      <x:c r="B1060" s="27" t="str">
        <x:v>A1054</x:v>
      </x:c>
      <x:c r="C1060" s="27" t="str">
        <x:v>cost</x:v>
      </x:c>
      <x:c r="D1060" s="27" t="str">
        <x:v>Cost C14 nonnegative</x:v>
      </x:c>
      <x:c r="E1060" s="27" t="n">
        <x:f>IF('Cost Matrix'!C14&gt;=0,1,0)</x:f>
        <x:v>1</x:v>
      </x:c>
      <x:c r="F1060" s="27" t="n">
        <x:v>1</x:v>
      </x:c>
      <x:c r="G1060" s="29" t="str">
        <x:f>IF(E1060=F1060,"PASS","FAIL")</x:f>
        <x:v>PASS</x:v>
      </x:c>
    </x:row>
    <x:row r="1061" ht="18" customHeight="1">
      <x:c r="B1061" s="27" t="str">
        <x:v>A1055</x:v>
      </x:c>
      <x:c r="C1061" s="27" t="str">
        <x:v>cost</x:v>
      </x:c>
      <x:c r="D1061" s="27" t="str">
        <x:v>Cost D14 nonnegative</x:v>
      </x:c>
      <x:c r="E1061" s="27" t="n">
        <x:f>IF('Cost Matrix'!D14&gt;=0,1,0)</x:f>
        <x:v>1</x:v>
      </x:c>
      <x:c r="F1061" s="27" t="n">
        <x:v>1</x:v>
      </x:c>
      <x:c r="G1061" s="29" t="str">
        <x:f>IF(E1061=F1061,"PASS","FAIL")</x:f>
        <x:v>PASS</x:v>
      </x:c>
    </x:row>
    <x:row r="1062" ht="18" customHeight="1">
      <x:c r="B1062" s="27" t="str">
        <x:v>A1056</x:v>
      </x:c>
      <x:c r="C1062" s="27" t="str">
        <x:v>cost</x:v>
      </x:c>
      <x:c r="D1062" s="27" t="str">
        <x:v>Cost E14 nonnegative</x:v>
      </x:c>
      <x:c r="E1062" s="27" t="n">
        <x:f>IF('Cost Matrix'!E14&gt;=0,1,0)</x:f>
        <x:v>1</x:v>
      </x:c>
      <x:c r="F1062" s="27" t="n">
        <x:v>1</x:v>
      </x:c>
      <x:c r="G1062" s="29" t="str">
        <x:f>IF(E1062=F1062,"PASS","FAIL")</x:f>
        <x:v>PASS</x:v>
      </x:c>
    </x:row>
    <x:row r="1063" ht="18" customHeight="1">
      <x:c r="B1063" s="27" t="str">
        <x:v>A1057</x:v>
      </x:c>
      <x:c r="C1063" s="27" t="str">
        <x:v>cost</x:v>
      </x:c>
      <x:c r="D1063" s="27" t="str">
        <x:v>Cost F14 nonnegative</x:v>
      </x:c>
      <x:c r="E1063" s="27" t="n">
        <x:f>IF('Cost Matrix'!F14&gt;=0,1,0)</x:f>
        <x:v>1</x:v>
      </x:c>
      <x:c r="F1063" s="27" t="n">
        <x:v>1</x:v>
      </x:c>
      <x:c r="G1063" s="29" t="str">
        <x:f>IF(E1063=F1063,"PASS","FAIL")</x:f>
        <x:v>PASS</x:v>
      </x:c>
    </x:row>
    <x:row r="1064" ht="18" customHeight="1">
      <x:c r="B1064" s="27" t="str">
        <x:v>A1058</x:v>
      </x:c>
      <x:c r="C1064" s="27" t="str">
        <x:v>cost</x:v>
      </x:c>
      <x:c r="D1064" s="27" t="str">
        <x:v>Cost G14 nonnegative</x:v>
      </x:c>
      <x:c r="E1064" s="27" t="n">
        <x:f>IF('Cost Matrix'!G14&gt;=0,1,0)</x:f>
        <x:v>1</x:v>
      </x:c>
      <x:c r="F1064" s="27" t="n">
        <x:v>1</x:v>
      </x:c>
      <x:c r="G1064" s="29" t="str">
        <x:f>IF(E1064=F1064,"PASS","FAIL")</x:f>
        <x:v>PASS</x:v>
      </x:c>
    </x:row>
    <x:row r="1065" ht="18" customHeight="1">
      <x:c r="B1065" s="27" t="str">
        <x:v>A1059</x:v>
      </x:c>
      <x:c r="C1065" s="27" t="str">
        <x:v>cost</x:v>
      </x:c>
      <x:c r="D1065" s="27" t="str">
        <x:v>Cost H14 nonnegative</x:v>
      </x:c>
      <x:c r="E1065" s="27" t="n">
        <x:f>IF('Cost Matrix'!H14&gt;=0,1,0)</x:f>
        <x:v>1</x:v>
      </x:c>
      <x:c r="F1065" s="27" t="n">
        <x:v>1</x:v>
      </x:c>
      <x:c r="G1065" s="29" t="str">
        <x:f>IF(E1065=F1065,"PASS","FAIL")</x:f>
        <x:v>PASS</x:v>
      </x:c>
    </x:row>
    <x:row r="1066" ht="18" customHeight="1">
      <x:c r="B1066" s="27" t="str">
        <x:v>A1060</x:v>
      </x:c>
      <x:c r="C1066" s="27" t="str">
        <x:v>cost</x:v>
      </x:c>
      <x:c r="D1066" s="27" t="str">
        <x:v>Cost I14 nonnegative</x:v>
      </x:c>
      <x:c r="E1066" s="27" t="n">
        <x:f>IF('Cost Matrix'!I14&gt;=0,1,0)</x:f>
        <x:v>1</x:v>
      </x:c>
      <x:c r="F1066" s="27" t="n">
        <x:v>1</x:v>
      </x:c>
      <x:c r="G1066" s="29" t="str">
        <x:f>IF(E1066=F1066,"PASS","FAIL")</x:f>
        <x:v>PASS</x:v>
      </x:c>
    </x:row>
    <x:row r="1067" ht="18" customHeight="1">
      <x:c r="B1067" s="27" t="str">
        <x:v>A1061</x:v>
      </x:c>
      <x:c r="C1067" s="27" t="str">
        <x:v>cost</x:v>
      </x:c>
      <x:c r="D1067" s="27" t="str">
        <x:v>Cost J14 nonnegative</x:v>
      </x:c>
      <x:c r="E1067" s="27" t="n">
        <x:f>IF('Cost Matrix'!J14&gt;=0,1,0)</x:f>
        <x:v>1</x:v>
      </x:c>
      <x:c r="F1067" s="27" t="n">
        <x:v>1</x:v>
      </x:c>
      <x:c r="G1067" s="29" t="str">
        <x:f>IF(E1067=F1067,"PASS","FAIL")</x:f>
        <x:v>PASS</x:v>
      </x:c>
    </x:row>
    <x:row r="1068" ht="18" customHeight="1">
      <x:c r="B1068" s="27" t="str">
        <x:v>A1062</x:v>
      </x:c>
      <x:c r="C1068" s="27" t="str">
        <x:v>cost</x:v>
      </x:c>
      <x:c r="D1068" s="27" t="str">
        <x:v>Cost K14 nonnegative</x:v>
      </x:c>
      <x:c r="E1068" s="27" t="n">
        <x:f>IF('Cost Matrix'!K14&gt;=0,1,0)</x:f>
        <x:v>1</x:v>
      </x:c>
      <x:c r="F1068" s="27" t="n">
        <x:v>1</x:v>
      </x:c>
      <x:c r="G1068" s="29" t="str">
        <x:f>IF(E1068=F1068,"PASS","FAIL")</x:f>
        <x:v>PASS</x:v>
      </x:c>
    </x:row>
    <x:row r="1069" ht="18" customHeight="1">
      <x:c r="B1069" s="27" t="str">
        <x:v>A1063</x:v>
      </x:c>
      <x:c r="C1069" s="27" t="str">
        <x:v>cost</x:v>
      </x:c>
      <x:c r="D1069" s="27" t="str">
        <x:v>Cost L14 nonnegative</x:v>
      </x:c>
      <x:c r="E1069" s="27" t="n">
        <x:f>IF('Cost Matrix'!L14&gt;=0,1,0)</x:f>
        <x:v>1</x:v>
      </x:c>
      <x:c r="F1069" s="27" t="n">
        <x:v>1</x:v>
      </x:c>
      <x:c r="G1069" s="29" t="str">
        <x:f>IF(E1069=F1069,"PASS","FAIL")</x:f>
        <x:v>PASS</x:v>
      </x:c>
    </x:row>
    <x:row r="1070" ht="18" customHeight="1">
      <x:c r="B1070" s="27" t="str">
        <x:v>A1064</x:v>
      </x:c>
      <x:c r="C1070" s="27" t="str">
        <x:v>cost</x:v>
      </x:c>
      <x:c r="D1070" s="27" t="str">
        <x:v>Cost M14 nonnegative</x:v>
      </x:c>
      <x:c r="E1070" s="27" t="n">
        <x:f>IF('Cost Matrix'!M14&gt;=0,1,0)</x:f>
        <x:v>1</x:v>
      </x:c>
      <x:c r="F1070" s="27" t="n">
        <x:v>1</x:v>
      </x:c>
      <x:c r="G1070" s="29" t="str">
        <x:f>IF(E1070=F1070,"PASS","FAIL")</x:f>
        <x:v>PASS</x:v>
      </x:c>
    </x:row>
    <x:row r="1071" ht="18" customHeight="1">
      <x:c r="B1071" s="27" t="str">
        <x:v>A1065</x:v>
      </x:c>
      <x:c r="C1071" s="27" t="str">
        <x:v>cost</x:v>
      </x:c>
      <x:c r="D1071" s="27" t="str">
        <x:v>Campaign cost row 14 reconciles</x:v>
      </x:c>
      <x:c r="E1071" s="27" t="n">
        <x:f>IF(ABS('Cost Matrix'!P14)&lt;0.000001,1,0)</x:f>
        <x:v>1</x:v>
      </x:c>
      <x:c r="F1071" s="27" t="n">
        <x:v>1</x:v>
      </x:c>
      <x:c r="G1071" s="29" t="str">
        <x:f>IF(E1071=F1071,"PASS","FAIL")</x:f>
        <x:v>PASS</x:v>
      </x:c>
    </x:row>
    <x:row r="1072" ht="18" customHeight="1">
      <x:c r="B1072" s="27" t="str">
        <x:v>A1066</x:v>
      </x:c>
      <x:c r="C1072" s="27" t="str">
        <x:v>cost</x:v>
      </x:c>
      <x:c r="D1072" s="27" t="str">
        <x:v>Program cost is USD 6.8B</x:v>
      </x:c>
      <x:c r="E1072" s="27" t="n">
        <x:f>'Cost Matrix'!N17</x:f>
        <x:v>6.800000000000001</x:v>
      </x:c>
      <x:c r="F1072" s="27" t="n">
        <x:v>6.8</x:v>
      </x:c>
      <x:c r="G1072" s="29" t="str">
        <x:f>IF(E1072=F1072,"PASS","FAIL")</x:f>
        <x:v>PASS</x:v>
      </x:c>
    </x:row>
    <x:row r="1073" ht="18" customHeight="1">
      <x:c r="B1073" s="27" t="str">
        <x:v>A1067</x:v>
      </x:c>
      <x:c r="C1073" s="27" t="str">
        <x:v>cost</x:v>
      </x:c>
      <x:c r="D1073" s="27" t="str">
        <x:v>Program cost variance is zero</x:v>
      </x:c>
      <x:c r="E1073" s="27" t="n">
        <x:f>IF(ABS('Cost Matrix'!P17)&lt;0.000001,1,0)</x:f>
        <x:v>1</x:v>
      </x:c>
      <x:c r="F1073" s="27" t="n">
        <x:v>1</x:v>
      </x:c>
      <x:c r="G1073" s="29" t="str">
        <x:f>IF(E1073=F1073,"PASS","FAIL")</x:f>
        <x:v>PASS</x:v>
      </x:c>
    </x:row>
    <x:row r="1074" ht="18" customHeight="1">
      <x:c r="B1074" s="27" t="str">
        <x:v>A1068</x:v>
      </x:c>
      <x:c r="C1074" s="27" t="str">
        <x:v>industry</x:v>
      </x:c>
      <x:c r="D1074" s="27" t="str">
        <x:v>Industry row 7 has rival teams</x:v>
      </x:c>
      <x:c r="E1074" s="27" t="n">
        <x:f>IF('Industrial Base'!F7&gt;='Industrial Base'!E7,1,0)</x:f>
        <x:v>1</x:v>
      </x:c>
      <x:c r="F1074" s="27" t="n">
        <x:v>1</x:v>
      </x:c>
      <x:c r="G1074" s="29" t="str">
        <x:f>IF(E1074=F1074,"PASS","FAIL")</x:f>
        <x:v>PASS</x:v>
      </x:c>
    </x:row>
    <x:row r="1075" ht="18" customHeight="1">
      <x:c r="B1075" s="27" t="str">
        <x:v>A1069</x:v>
      </x:c>
      <x:c r="C1075" s="27" t="str">
        <x:v>industry</x:v>
      </x:c>
      <x:c r="D1075" s="27" t="str">
        <x:v>Industry row 7 forbids shared ancestry</x:v>
      </x:c>
      <x:c r="E1075" s="27" t="n">
        <x:f>IF('Industrial Base'!G7=0,1,0)</x:f>
        <x:v>1</x:v>
      </x:c>
      <x:c r="F1075" s="27" t="n">
        <x:v>1</x:v>
      </x:c>
      <x:c r="G1075" s="29" t="str">
        <x:f>IF(E1075=F1075,"PASS","FAIL")</x:f>
        <x:v>PASS</x:v>
      </x:c>
    </x:row>
    <x:row r="1076" ht="18" customHeight="1">
      <x:c r="B1076" s="27" t="str">
        <x:v>A1070</x:v>
      </x:c>
      <x:c r="C1076" s="27" t="str">
        <x:v>industry</x:v>
      </x:c>
      <x:c r="D1076" s="27" t="str">
        <x:v>Industry row 7 evidence open</x:v>
      </x:c>
      <x:c r="E1076" s="27" t="n">
        <x:f>IF('Industrial Base'!I7="OPEN",1,0)</x:f>
        <x:v>1</x:v>
      </x:c>
      <x:c r="F1076" s="27" t="n">
        <x:v>1</x:v>
      </x:c>
      <x:c r="G1076" s="29" t="str">
        <x:f>IF(E1076=F1076,"PASS","FAIL")</x:f>
        <x:v>PASS</x:v>
      </x:c>
    </x:row>
    <x:row r="1077" ht="18" customHeight="1">
      <x:c r="B1077" s="27" t="str">
        <x:v>A1071</x:v>
      </x:c>
      <x:c r="C1077" s="27" t="str">
        <x:v>industry</x:v>
      </x:c>
      <x:c r="D1077" s="27" t="str">
        <x:v>Industry row 7 screen passes</x:v>
      </x:c>
      <x:c r="E1077" s="27" t="n">
        <x:f>IF('Industrial Base'!J7="PASS",1,0)</x:f>
        <x:v>1</x:v>
      </x:c>
      <x:c r="F1077" s="27" t="n">
        <x:v>1</x:v>
      </x:c>
      <x:c r="G1077" s="29" t="str">
        <x:f>IF(E1077=F1077,"PASS","FAIL")</x:f>
        <x:v>PASS</x:v>
      </x:c>
    </x:row>
    <x:row r="1078" ht="18" customHeight="1">
      <x:c r="B1078" s="27" t="str">
        <x:v>A1072</x:v>
      </x:c>
      <x:c r="C1078" s="27" t="str">
        <x:v>industry</x:v>
      </x:c>
      <x:c r="D1078" s="27" t="str">
        <x:v>Industry row 8 has rival teams</x:v>
      </x:c>
      <x:c r="E1078" s="27" t="n">
        <x:f>IF('Industrial Base'!F8&gt;='Industrial Base'!E8,1,0)</x:f>
        <x:v>1</x:v>
      </x:c>
      <x:c r="F1078" s="27" t="n">
        <x:v>1</x:v>
      </x:c>
      <x:c r="G1078" s="29" t="str">
        <x:f>IF(E1078=F1078,"PASS","FAIL")</x:f>
        <x:v>PASS</x:v>
      </x:c>
    </x:row>
    <x:row r="1079" ht="18" customHeight="1">
      <x:c r="B1079" s="27" t="str">
        <x:v>A1073</x:v>
      </x:c>
      <x:c r="C1079" s="27" t="str">
        <x:v>industry</x:v>
      </x:c>
      <x:c r="D1079" s="27" t="str">
        <x:v>Industry row 8 forbids shared ancestry</x:v>
      </x:c>
      <x:c r="E1079" s="27" t="n">
        <x:f>IF('Industrial Base'!G8=0,1,0)</x:f>
        <x:v>1</x:v>
      </x:c>
      <x:c r="F1079" s="27" t="n">
        <x:v>1</x:v>
      </x:c>
      <x:c r="G1079" s="29" t="str">
        <x:f>IF(E1079=F1079,"PASS","FAIL")</x:f>
        <x:v>PASS</x:v>
      </x:c>
    </x:row>
    <x:row r="1080" ht="18" customHeight="1">
      <x:c r="B1080" s="27" t="str">
        <x:v>A1074</x:v>
      </x:c>
      <x:c r="C1080" s="27" t="str">
        <x:v>industry</x:v>
      </x:c>
      <x:c r="D1080" s="27" t="str">
        <x:v>Industry row 8 evidence open</x:v>
      </x:c>
      <x:c r="E1080" s="27" t="n">
        <x:f>IF('Industrial Base'!I8="OPEN",1,0)</x:f>
        <x:v>1</x:v>
      </x:c>
      <x:c r="F1080" s="27" t="n">
        <x:v>1</x:v>
      </x:c>
      <x:c r="G1080" s="29" t="str">
        <x:f>IF(E1080=F1080,"PASS","FAIL")</x:f>
        <x:v>PASS</x:v>
      </x:c>
    </x:row>
    <x:row r="1081" ht="18" customHeight="1">
      <x:c r="B1081" s="27" t="str">
        <x:v>A1075</x:v>
      </x:c>
      <x:c r="C1081" s="27" t="str">
        <x:v>industry</x:v>
      </x:c>
      <x:c r="D1081" s="27" t="str">
        <x:v>Industry row 8 screen passes</x:v>
      </x:c>
      <x:c r="E1081" s="27" t="n">
        <x:f>IF('Industrial Base'!J8="PASS",1,0)</x:f>
        <x:v>1</x:v>
      </x:c>
      <x:c r="F1081" s="27" t="n">
        <x:v>1</x:v>
      </x:c>
      <x:c r="G1081" s="29" t="str">
        <x:f>IF(E1081=F1081,"PASS","FAIL")</x:f>
        <x:v>PASS</x:v>
      </x:c>
    </x:row>
    <x:row r="1082" ht="18" customHeight="1">
      <x:c r="B1082" s="27" t="str">
        <x:v>A1076</x:v>
      </x:c>
      <x:c r="C1082" s="27" t="str">
        <x:v>industry</x:v>
      </x:c>
      <x:c r="D1082" s="27" t="str">
        <x:v>Industry row 9 has rival teams</x:v>
      </x:c>
      <x:c r="E1082" s="27" t="n">
        <x:f>IF('Industrial Base'!F9&gt;='Industrial Base'!E9,1,0)</x:f>
        <x:v>1</x:v>
      </x:c>
      <x:c r="F1082" s="27" t="n">
        <x:v>1</x:v>
      </x:c>
      <x:c r="G1082" s="29" t="str">
        <x:f>IF(E1082=F1082,"PASS","FAIL")</x:f>
        <x:v>PASS</x:v>
      </x:c>
    </x:row>
    <x:row r="1083" ht="18" customHeight="1">
      <x:c r="B1083" s="27" t="str">
        <x:v>A1077</x:v>
      </x:c>
      <x:c r="C1083" s="27" t="str">
        <x:v>industry</x:v>
      </x:c>
      <x:c r="D1083" s="27" t="str">
        <x:v>Industry row 9 forbids shared ancestry</x:v>
      </x:c>
      <x:c r="E1083" s="27" t="n">
        <x:f>IF('Industrial Base'!G9=0,1,0)</x:f>
        <x:v>1</x:v>
      </x:c>
      <x:c r="F1083" s="27" t="n">
        <x:v>1</x:v>
      </x:c>
      <x:c r="G1083" s="29" t="str">
        <x:f>IF(E1083=F1083,"PASS","FAIL")</x:f>
        <x:v>PASS</x:v>
      </x:c>
    </x:row>
    <x:row r="1084" ht="18" customHeight="1">
      <x:c r="B1084" s="27" t="str">
        <x:v>A1078</x:v>
      </x:c>
      <x:c r="C1084" s="27" t="str">
        <x:v>industry</x:v>
      </x:c>
      <x:c r="D1084" s="27" t="str">
        <x:v>Industry row 9 evidence open</x:v>
      </x:c>
      <x:c r="E1084" s="27" t="n">
        <x:f>IF('Industrial Base'!I9="OPEN",1,0)</x:f>
        <x:v>1</x:v>
      </x:c>
      <x:c r="F1084" s="27" t="n">
        <x:v>1</x:v>
      </x:c>
      <x:c r="G1084" s="29" t="str">
        <x:f>IF(E1084=F1084,"PASS","FAIL")</x:f>
        <x:v>PASS</x:v>
      </x:c>
    </x:row>
    <x:row r="1085" ht="18" customHeight="1">
      <x:c r="B1085" s="27" t="str">
        <x:v>A1079</x:v>
      </x:c>
      <x:c r="C1085" s="27" t="str">
        <x:v>industry</x:v>
      </x:c>
      <x:c r="D1085" s="27" t="str">
        <x:v>Industry row 9 screen passes</x:v>
      </x:c>
      <x:c r="E1085" s="27" t="n">
        <x:f>IF('Industrial Base'!J9="PASS",1,0)</x:f>
        <x:v>1</x:v>
      </x:c>
      <x:c r="F1085" s="27" t="n">
        <x:v>1</x:v>
      </x:c>
      <x:c r="G1085" s="29" t="str">
        <x:f>IF(E1085=F1085,"PASS","FAIL")</x:f>
        <x:v>PASS</x:v>
      </x:c>
    </x:row>
    <x:row r="1086" ht="18" customHeight="1">
      <x:c r="B1086" s="27" t="str">
        <x:v>A1080</x:v>
      </x:c>
      <x:c r="C1086" s="27" t="str">
        <x:v>industry</x:v>
      </x:c>
      <x:c r="D1086" s="27" t="str">
        <x:v>Industry row 10 has rival teams</x:v>
      </x:c>
      <x:c r="E1086" s="27" t="n">
        <x:f>IF('Industrial Base'!F10&gt;='Industrial Base'!E10,1,0)</x:f>
        <x:v>1</x:v>
      </x:c>
      <x:c r="F1086" s="27" t="n">
        <x:v>1</x:v>
      </x:c>
      <x:c r="G1086" s="29" t="str">
        <x:f>IF(E1086=F1086,"PASS","FAIL")</x:f>
        <x:v>PASS</x:v>
      </x:c>
    </x:row>
    <x:row r="1087" ht="18" customHeight="1">
      <x:c r="B1087" s="27" t="str">
        <x:v>A1081</x:v>
      </x:c>
      <x:c r="C1087" s="27" t="str">
        <x:v>industry</x:v>
      </x:c>
      <x:c r="D1087" s="27" t="str">
        <x:v>Industry row 10 forbids shared ancestry</x:v>
      </x:c>
      <x:c r="E1087" s="27" t="n">
        <x:f>IF('Industrial Base'!G10=0,1,0)</x:f>
        <x:v>1</x:v>
      </x:c>
      <x:c r="F1087" s="27" t="n">
        <x:v>1</x:v>
      </x:c>
      <x:c r="G1087" s="29" t="str">
        <x:f>IF(E1087=F1087,"PASS","FAIL")</x:f>
        <x:v>PASS</x:v>
      </x:c>
    </x:row>
    <x:row r="1088" ht="18" customHeight="1">
      <x:c r="B1088" s="27" t="str">
        <x:v>A1082</x:v>
      </x:c>
      <x:c r="C1088" s="27" t="str">
        <x:v>industry</x:v>
      </x:c>
      <x:c r="D1088" s="27" t="str">
        <x:v>Industry row 10 evidence open</x:v>
      </x:c>
      <x:c r="E1088" s="27" t="n">
        <x:f>IF('Industrial Base'!I10="OPEN",1,0)</x:f>
        <x:v>1</x:v>
      </x:c>
      <x:c r="F1088" s="27" t="n">
        <x:v>1</x:v>
      </x:c>
      <x:c r="G1088" s="29" t="str">
        <x:f>IF(E1088=F1088,"PASS","FAIL")</x:f>
        <x:v>PASS</x:v>
      </x:c>
    </x:row>
    <x:row r="1089" ht="18" customHeight="1">
      <x:c r="B1089" s="27" t="str">
        <x:v>A1083</x:v>
      </x:c>
      <x:c r="C1089" s="27" t="str">
        <x:v>industry</x:v>
      </x:c>
      <x:c r="D1089" s="27" t="str">
        <x:v>Industry row 10 screen passes</x:v>
      </x:c>
      <x:c r="E1089" s="27" t="n">
        <x:f>IF('Industrial Base'!J10="PASS",1,0)</x:f>
        <x:v>1</x:v>
      </x:c>
      <x:c r="F1089" s="27" t="n">
        <x:v>1</x:v>
      </x:c>
      <x:c r="G1089" s="29" t="str">
        <x:f>IF(E1089=F1089,"PASS","FAIL")</x:f>
        <x:v>PASS</x:v>
      </x:c>
    </x:row>
    <x:row r="1090" ht="18" customHeight="1">
      <x:c r="B1090" s="27" t="str">
        <x:v>A1084</x:v>
      </x:c>
      <x:c r="C1090" s="27" t="str">
        <x:v>industry</x:v>
      </x:c>
      <x:c r="D1090" s="27" t="str">
        <x:v>Industry row 11 has rival teams</x:v>
      </x:c>
      <x:c r="E1090" s="27" t="n">
        <x:f>IF('Industrial Base'!F11&gt;='Industrial Base'!E11,1,0)</x:f>
        <x:v>1</x:v>
      </x:c>
      <x:c r="F1090" s="27" t="n">
        <x:v>1</x:v>
      </x:c>
      <x:c r="G1090" s="29" t="str">
        <x:f>IF(E1090=F1090,"PASS","FAIL")</x:f>
        <x:v>PASS</x:v>
      </x:c>
    </x:row>
    <x:row r="1091" ht="18" customHeight="1">
      <x:c r="B1091" s="27" t="str">
        <x:v>A1085</x:v>
      </x:c>
      <x:c r="C1091" s="27" t="str">
        <x:v>industry</x:v>
      </x:c>
      <x:c r="D1091" s="27" t="str">
        <x:v>Industry row 11 forbids shared ancestry</x:v>
      </x:c>
      <x:c r="E1091" s="27" t="n">
        <x:f>IF('Industrial Base'!G11=0,1,0)</x:f>
        <x:v>1</x:v>
      </x:c>
      <x:c r="F1091" s="27" t="n">
        <x:v>1</x:v>
      </x:c>
      <x:c r="G1091" s="29" t="str">
        <x:f>IF(E1091=F1091,"PASS","FAIL")</x:f>
        <x:v>PASS</x:v>
      </x:c>
    </x:row>
    <x:row r="1092" ht="18" customHeight="1">
      <x:c r="B1092" s="27" t="str">
        <x:v>A1086</x:v>
      </x:c>
      <x:c r="C1092" s="27" t="str">
        <x:v>industry</x:v>
      </x:c>
      <x:c r="D1092" s="27" t="str">
        <x:v>Industry row 11 evidence open</x:v>
      </x:c>
      <x:c r="E1092" s="27" t="n">
        <x:f>IF('Industrial Base'!I11="OPEN",1,0)</x:f>
        <x:v>1</x:v>
      </x:c>
      <x:c r="F1092" s="27" t="n">
        <x:v>1</x:v>
      </x:c>
      <x:c r="G1092" s="29" t="str">
        <x:f>IF(E1092=F1092,"PASS","FAIL")</x:f>
        <x:v>PASS</x:v>
      </x:c>
    </x:row>
    <x:row r="1093" ht="18" customHeight="1">
      <x:c r="B1093" s="27" t="str">
        <x:v>A1087</x:v>
      </x:c>
      <x:c r="C1093" s="27" t="str">
        <x:v>industry</x:v>
      </x:c>
      <x:c r="D1093" s="27" t="str">
        <x:v>Industry row 11 screen passes</x:v>
      </x:c>
      <x:c r="E1093" s="27" t="n">
        <x:f>IF('Industrial Base'!J11="PASS",1,0)</x:f>
        <x:v>1</x:v>
      </x:c>
      <x:c r="F1093" s="27" t="n">
        <x:v>1</x:v>
      </x:c>
      <x:c r="G1093" s="29" t="str">
        <x:f>IF(E1093=F1093,"PASS","FAIL")</x:f>
        <x:v>PASS</x:v>
      </x:c>
    </x:row>
    <x:row r="1094" ht="18" customHeight="1">
      <x:c r="B1094" s="27" t="str">
        <x:v>A1088</x:v>
      </x:c>
      <x:c r="C1094" s="27" t="str">
        <x:v>industry</x:v>
      </x:c>
      <x:c r="D1094" s="27" t="str">
        <x:v>Industry row 12 has rival teams</x:v>
      </x:c>
      <x:c r="E1094" s="27" t="n">
        <x:f>IF('Industrial Base'!F12&gt;='Industrial Base'!E12,1,0)</x:f>
        <x:v>1</x:v>
      </x:c>
      <x:c r="F1094" s="27" t="n">
        <x:v>1</x:v>
      </x:c>
      <x:c r="G1094" s="29" t="str">
        <x:f>IF(E1094=F1094,"PASS","FAIL")</x:f>
        <x:v>PASS</x:v>
      </x:c>
    </x:row>
    <x:row r="1095" ht="18" customHeight="1">
      <x:c r="B1095" s="27" t="str">
        <x:v>A1089</x:v>
      </x:c>
      <x:c r="C1095" s="27" t="str">
        <x:v>industry</x:v>
      </x:c>
      <x:c r="D1095" s="27" t="str">
        <x:v>Industry row 12 forbids shared ancestry</x:v>
      </x:c>
      <x:c r="E1095" s="27" t="n">
        <x:f>IF('Industrial Base'!G12=0,1,0)</x:f>
        <x:v>1</x:v>
      </x:c>
      <x:c r="F1095" s="27" t="n">
        <x:v>1</x:v>
      </x:c>
      <x:c r="G1095" s="29" t="str">
        <x:f>IF(E1095=F1095,"PASS","FAIL")</x:f>
        <x:v>PASS</x:v>
      </x:c>
    </x:row>
    <x:row r="1096" ht="18" customHeight="1">
      <x:c r="B1096" s="27" t="str">
        <x:v>A1090</x:v>
      </x:c>
      <x:c r="C1096" s="27" t="str">
        <x:v>industry</x:v>
      </x:c>
      <x:c r="D1096" s="27" t="str">
        <x:v>Industry row 12 evidence open</x:v>
      </x:c>
      <x:c r="E1096" s="27" t="n">
        <x:f>IF('Industrial Base'!I12="OPEN",1,0)</x:f>
        <x:v>1</x:v>
      </x:c>
      <x:c r="F1096" s="27" t="n">
        <x:v>1</x:v>
      </x:c>
      <x:c r="G1096" s="29" t="str">
        <x:f>IF(E1096=F1096,"PASS","FAIL")</x:f>
        <x:v>PASS</x:v>
      </x:c>
    </x:row>
    <x:row r="1097" ht="18" customHeight="1">
      <x:c r="B1097" s="27" t="str">
        <x:v>A1091</x:v>
      </x:c>
      <x:c r="C1097" s="27" t="str">
        <x:v>industry</x:v>
      </x:c>
      <x:c r="D1097" s="27" t="str">
        <x:v>Industry row 12 screen passes</x:v>
      </x:c>
      <x:c r="E1097" s="27" t="n">
        <x:f>IF('Industrial Base'!J12="PASS",1,0)</x:f>
        <x:v>1</x:v>
      </x:c>
      <x:c r="F1097" s="27" t="n">
        <x:v>1</x:v>
      </x:c>
      <x:c r="G1097" s="29" t="str">
        <x:f>IF(E1097=F1097,"PASS","FAIL")</x:f>
        <x:v>PASS</x:v>
      </x:c>
    </x:row>
    <x:row r="1098" ht="18" customHeight="1">
      <x:c r="B1098" s="27" t="str">
        <x:v>A1092</x:v>
      </x:c>
      <x:c r="C1098" s="27" t="str">
        <x:v>industry</x:v>
      </x:c>
      <x:c r="D1098" s="27" t="str">
        <x:v>Industry row 13 has rival teams</x:v>
      </x:c>
      <x:c r="E1098" s="27" t="n">
        <x:f>IF('Industrial Base'!F13&gt;='Industrial Base'!E13,1,0)</x:f>
        <x:v>1</x:v>
      </x:c>
      <x:c r="F1098" s="27" t="n">
        <x:v>1</x:v>
      </x:c>
      <x:c r="G1098" s="29" t="str">
        <x:f>IF(E1098=F1098,"PASS","FAIL")</x:f>
        <x:v>PASS</x:v>
      </x:c>
    </x:row>
    <x:row r="1099" ht="18" customHeight="1">
      <x:c r="B1099" s="27" t="str">
        <x:v>A1093</x:v>
      </x:c>
      <x:c r="C1099" s="27" t="str">
        <x:v>industry</x:v>
      </x:c>
      <x:c r="D1099" s="27" t="str">
        <x:v>Industry row 13 forbids shared ancestry</x:v>
      </x:c>
      <x:c r="E1099" s="27" t="n">
        <x:f>IF('Industrial Base'!G13=0,1,0)</x:f>
        <x:v>1</x:v>
      </x:c>
      <x:c r="F1099" s="27" t="n">
        <x:v>1</x:v>
      </x:c>
      <x:c r="G1099" s="29" t="str">
        <x:f>IF(E1099=F1099,"PASS","FAIL")</x:f>
        <x:v>PASS</x:v>
      </x:c>
    </x:row>
    <x:row r="1100" ht="18" customHeight="1">
      <x:c r="B1100" s="27" t="str">
        <x:v>A1094</x:v>
      </x:c>
      <x:c r="C1100" s="27" t="str">
        <x:v>industry</x:v>
      </x:c>
      <x:c r="D1100" s="27" t="str">
        <x:v>Industry row 13 evidence open</x:v>
      </x:c>
      <x:c r="E1100" s="27" t="n">
        <x:f>IF('Industrial Base'!I13="OPEN",1,0)</x:f>
        <x:v>1</x:v>
      </x:c>
      <x:c r="F1100" s="27" t="n">
        <x:v>1</x:v>
      </x:c>
      <x:c r="G1100" s="29" t="str">
        <x:f>IF(E1100=F1100,"PASS","FAIL")</x:f>
        <x:v>PASS</x:v>
      </x:c>
    </x:row>
    <x:row r="1101" ht="18" customHeight="1">
      <x:c r="B1101" s="27" t="str">
        <x:v>A1095</x:v>
      </x:c>
      <x:c r="C1101" s="27" t="str">
        <x:v>industry</x:v>
      </x:c>
      <x:c r="D1101" s="27" t="str">
        <x:v>Industry row 13 screen passes</x:v>
      </x:c>
      <x:c r="E1101" s="27" t="n">
        <x:f>IF('Industrial Base'!J13="PASS",1,0)</x:f>
        <x:v>1</x:v>
      </x:c>
      <x:c r="F1101" s="27" t="n">
        <x:v>1</x:v>
      </x:c>
      <x:c r="G1101" s="29" t="str">
        <x:f>IF(E1101=F1101,"PASS","FAIL")</x:f>
        <x:v>PASS</x:v>
      </x:c>
    </x:row>
    <x:row r="1102" ht="18" customHeight="1">
      <x:c r="B1102" s="27" t="str">
        <x:v>A1096</x:v>
      </x:c>
      <x:c r="C1102" s="27" t="str">
        <x:v>industry</x:v>
      </x:c>
      <x:c r="D1102" s="27" t="str">
        <x:v>Industry row 14 has rival teams</x:v>
      </x:c>
      <x:c r="E1102" s="27" t="n">
        <x:f>IF('Industrial Base'!F14&gt;='Industrial Base'!E14,1,0)</x:f>
        <x:v>1</x:v>
      </x:c>
      <x:c r="F1102" s="27" t="n">
        <x:v>1</x:v>
      </x:c>
      <x:c r="G1102" s="29" t="str">
        <x:f>IF(E1102=F1102,"PASS","FAIL")</x:f>
        <x:v>PASS</x:v>
      </x:c>
    </x:row>
    <x:row r="1103" ht="18" customHeight="1">
      <x:c r="B1103" s="27" t="str">
        <x:v>A1097</x:v>
      </x:c>
      <x:c r="C1103" s="27" t="str">
        <x:v>industry</x:v>
      </x:c>
      <x:c r="D1103" s="27" t="str">
        <x:v>Industry row 14 forbids shared ancestry</x:v>
      </x:c>
      <x:c r="E1103" s="27" t="n">
        <x:f>IF('Industrial Base'!G14=0,1,0)</x:f>
        <x:v>1</x:v>
      </x:c>
      <x:c r="F1103" s="27" t="n">
        <x:v>1</x:v>
      </x:c>
      <x:c r="G1103" s="29" t="str">
        <x:f>IF(E1103=F1103,"PASS","FAIL")</x:f>
        <x:v>PASS</x:v>
      </x:c>
    </x:row>
    <x:row r="1104" ht="18" customHeight="1">
      <x:c r="B1104" s="27" t="str">
        <x:v>A1098</x:v>
      </x:c>
      <x:c r="C1104" s="27" t="str">
        <x:v>industry</x:v>
      </x:c>
      <x:c r="D1104" s="27" t="str">
        <x:v>Industry row 14 evidence open</x:v>
      </x:c>
      <x:c r="E1104" s="27" t="n">
        <x:f>IF('Industrial Base'!I14="OPEN",1,0)</x:f>
        <x:v>1</x:v>
      </x:c>
      <x:c r="F1104" s="27" t="n">
        <x:v>1</x:v>
      </x:c>
      <x:c r="G1104" s="29" t="str">
        <x:f>IF(E1104=F1104,"PASS","FAIL")</x:f>
        <x:v>PASS</x:v>
      </x:c>
    </x:row>
    <x:row r="1105" ht="18" customHeight="1">
      <x:c r="B1105" s="27" t="str">
        <x:v>A1099</x:v>
      </x:c>
      <x:c r="C1105" s="27" t="str">
        <x:v>industry</x:v>
      </x:c>
      <x:c r="D1105" s="27" t="str">
        <x:v>Industry row 14 screen passes</x:v>
      </x:c>
      <x:c r="E1105" s="27" t="n">
        <x:f>IF('Industrial Base'!J14="PASS",1,0)</x:f>
        <x:v>1</x:v>
      </x:c>
      <x:c r="F1105" s="27" t="n">
        <x:v>1</x:v>
      </x:c>
      <x:c r="G1105" s="29" t="str">
        <x:f>IF(E1105=F1105,"PASS","FAIL")</x:f>
        <x:v>PASS</x:v>
      </x:c>
    </x:row>
    <x:row r="1106" ht="18" customHeight="1">
      <x:c r="B1106" s="27" t="str">
        <x:v>A1100</x:v>
      </x:c>
      <x:c r="C1106" s="27" t="str">
        <x:v>industry</x:v>
      </x:c>
      <x:c r="D1106" s="27" t="str">
        <x:v>Industry row 15 has rival teams</x:v>
      </x:c>
      <x:c r="E1106" s="27" t="n">
        <x:f>IF('Industrial Base'!F15&gt;='Industrial Base'!E15,1,0)</x:f>
        <x:v>1</x:v>
      </x:c>
      <x:c r="F1106" s="27" t="n">
        <x:v>1</x:v>
      </x:c>
      <x:c r="G1106" s="29" t="str">
        <x:f>IF(E1106=F1106,"PASS","FAIL")</x:f>
        <x:v>PASS</x:v>
      </x:c>
    </x:row>
    <x:row r="1107" ht="18" customHeight="1">
      <x:c r="B1107" s="27" t="str">
        <x:v>A1101</x:v>
      </x:c>
      <x:c r="C1107" s="27" t="str">
        <x:v>industry</x:v>
      </x:c>
      <x:c r="D1107" s="27" t="str">
        <x:v>Industry row 15 forbids shared ancestry</x:v>
      </x:c>
      <x:c r="E1107" s="27" t="n">
        <x:f>IF('Industrial Base'!G15=0,1,0)</x:f>
        <x:v>1</x:v>
      </x:c>
      <x:c r="F1107" s="27" t="n">
        <x:v>1</x:v>
      </x:c>
      <x:c r="G1107" s="29" t="str">
        <x:f>IF(E1107=F1107,"PASS","FAIL")</x:f>
        <x:v>PASS</x:v>
      </x:c>
    </x:row>
    <x:row r="1108" ht="18" customHeight="1">
      <x:c r="B1108" s="27" t="str">
        <x:v>A1102</x:v>
      </x:c>
      <x:c r="C1108" s="27" t="str">
        <x:v>industry</x:v>
      </x:c>
      <x:c r="D1108" s="27" t="str">
        <x:v>Industry row 15 evidence open</x:v>
      </x:c>
      <x:c r="E1108" s="27" t="n">
        <x:f>IF('Industrial Base'!I15="OPEN",1,0)</x:f>
        <x:v>1</x:v>
      </x:c>
      <x:c r="F1108" s="27" t="n">
        <x:v>1</x:v>
      </x:c>
      <x:c r="G1108" s="29" t="str">
        <x:f>IF(E1108=F1108,"PASS","FAIL")</x:f>
        <x:v>PASS</x:v>
      </x:c>
    </x:row>
    <x:row r="1109" ht="18" customHeight="1">
      <x:c r="B1109" s="27" t="str">
        <x:v>A1103</x:v>
      </x:c>
      <x:c r="C1109" s="27" t="str">
        <x:v>industry</x:v>
      </x:c>
      <x:c r="D1109" s="27" t="str">
        <x:v>Industry row 15 screen passes</x:v>
      </x:c>
      <x:c r="E1109" s="27" t="n">
        <x:f>IF('Industrial Base'!J15="PASS",1,0)</x:f>
        <x:v>1</x:v>
      </x:c>
      <x:c r="F1109" s="27" t="n">
        <x:v>1</x:v>
      </x:c>
      <x:c r="G1109" s="29" t="str">
        <x:f>IF(E1109=F1109,"PASS","FAIL")</x:f>
        <x:v>PASS</x:v>
      </x:c>
    </x:row>
    <x:row r="1110" ht="18" customHeight="1">
      <x:c r="B1110" s="27" t="str">
        <x:v>A1104</x:v>
      </x:c>
      <x:c r="C1110" s="27" t="str">
        <x:v>industry</x:v>
      </x:c>
      <x:c r="D1110" s="27" t="str">
        <x:v>Industry row 16 has rival teams</x:v>
      </x:c>
      <x:c r="E1110" s="27" t="n">
        <x:f>IF('Industrial Base'!F16&gt;='Industrial Base'!E16,1,0)</x:f>
        <x:v>1</x:v>
      </x:c>
      <x:c r="F1110" s="27" t="n">
        <x:v>1</x:v>
      </x:c>
      <x:c r="G1110" s="29" t="str">
        <x:f>IF(E1110=F1110,"PASS","FAIL")</x:f>
        <x:v>PASS</x:v>
      </x:c>
    </x:row>
    <x:row r="1111" ht="18" customHeight="1">
      <x:c r="B1111" s="27" t="str">
        <x:v>A1105</x:v>
      </x:c>
      <x:c r="C1111" s="27" t="str">
        <x:v>industry</x:v>
      </x:c>
      <x:c r="D1111" s="27" t="str">
        <x:v>Industry row 16 forbids shared ancestry</x:v>
      </x:c>
      <x:c r="E1111" s="27" t="n">
        <x:f>IF('Industrial Base'!G16=0,1,0)</x:f>
        <x:v>1</x:v>
      </x:c>
      <x:c r="F1111" s="27" t="n">
        <x:v>1</x:v>
      </x:c>
      <x:c r="G1111" s="29" t="str">
        <x:f>IF(E1111=F1111,"PASS","FAIL")</x:f>
        <x:v>PASS</x:v>
      </x:c>
    </x:row>
    <x:row r="1112" ht="18" customHeight="1">
      <x:c r="B1112" s="27" t="str">
        <x:v>A1106</x:v>
      </x:c>
      <x:c r="C1112" s="27" t="str">
        <x:v>industry</x:v>
      </x:c>
      <x:c r="D1112" s="27" t="str">
        <x:v>Industry row 16 evidence open</x:v>
      </x:c>
      <x:c r="E1112" s="27" t="n">
        <x:f>IF('Industrial Base'!I16="OPEN",1,0)</x:f>
        <x:v>1</x:v>
      </x:c>
      <x:c r="F1112" s="27" t="n">
        <x:v>1</x:v>
      </x:c>
      <x:c r="G1112" s="29" t="str">
        <x:f>IF(E1112=F1112,"PASS","FAIL")</x:f>
        <x:v>PASS</x:v>
      </x:c>
    </x:row>
    <x:row r="1113" ht="18" customHeight="1">
      <x:c r="B1113" s="27" t="str">
        <x:v>A1107</x:v>
      </x:c>
      <x:c r="C1113" s="27" t="str">
        <x:v>industry</x:v>
      </x:c>
      <x:c r="D1113" s="27" t="str">
        <x:v>Industry row 16 screen passes</x:v>
      </x:c>
      <x:c r="E1113" s="27" t="n">
        <x:f>IF('Industrial Base'!J16="PASS",1,0)</x:f>
        <x:v>1</x:v>
      </x:c>
      <x:c r="F1113" s="27" t="n">
        <x:v>1</x:v>
      </x:c>
      <x:c r="G1113" s="29" t="str">
        <x:f>IF(E1113=F1113,"PASS","FAIL")</x:f>
        <x:v>PASS</x:v>
      </x:c>
    </x:row>
    <x:row r="1114" ht="18" customHeight="1">
      <x:c r="B1114" s="27" t="str">
        <x:v>A1108</x:v>
      </x:c>
      <x:c r="C1114" s="27" t="str">
        <x:v>industry</x:v>
      </x:c>
      <x:c r="D1114" s="27" t="str">
        <x:v>Industry row 17 has rival teams</x:v>
      </x:c>
      <x:c r="E1114" s="27" t="n">
        <x:f>IF('Industrial Base'!F17&gt;='Industrial Base'!E17,1,0)</x:f>
        <x:v>1</x:v>
      </x:c>
      <x:c r="F1114" s="27" t="n">
        <x:v>1</x:v>
      </x:c>
      <x:c r="G1114" s="29" t="str">
        <x:f>IF(E1114=F1114,"PASS","FAIL")</x:f>
        <x:v>PASS</x:v>
      </x:c>
    </x:row>
    <x:row r="1115" ht="18" customHeight="1">
      <x:c r="B1115" s="27" t="str">
        <x:v>A1109</x:v>
      </x:c>
      <x:c r="C1115" s="27" t="str">
        <x:v>industry</x:v>
      </x:c>
      <x:c r="D1115" s="27" t="str">
        <x:v>Industry row 17 forbids shared ancestry</x:v>
      </x:c>
      <x:c r="E1115" s="27" t="n">
        <x:f>IF('Industrial Base'!G17=0,1,0)</x:f>
        <x:v>1</x:v>
      </x:c>
      <x:c r="F1115" s="27" t="n">
        <x:v>1</x:v>
      </x:c>
      <x:c r="G1115" s="29" t="str">
        <x:f>IF(E1115=F1115,"PASS","FAIL")</x:f>
        <x:v>PASS</x:v>
      </x:c>
    </x:row>
    <x:row r="1116" ht="18" customHeight="1">
      <x:c r="B1116" s="27" t="str">
        <x:v>A1110</x:v>
      </x:c>
      <x:c r="C1116" s="27" t="str">
        <x:v>industry</x:v>
      </x:c>
      <x:c r="D1116" s="27" t="str">
        <x:v>Industry row 17 evidence open</x:v>
      </x:c>
      <x:c r="E1116" s="27" t="n">
        <x:f>IF('Industrial Base'!I17="OPEN",1,0)</x:f>
        <x:v>1</x:v>
      </x:c>
      <x:c r="F1116" s="27" t="n">
        <x:v>1</x:v>
      </x:c>
      <x:c r="G1116" s="29" t="str">
        <x:f>IF(E1116=F1116,"PASS","FAIL")</x:f>
        <x:v>PASS</x:v>
      </x:c>
    </x:row>
    <x:row r="1117" ht="18" customHeight="1">
      <x:c r="B1117" s="27" t="str">
        <x:v>A1111</x:v>
      </x:c>
      <x:c r="C1117" s="27" t="str">
        <x:v>industry</x:v>
      </x:c>
      <x:c r="D1117" s="27" t="str">
        <x:v>Industry row 17 screen passes</x:v>
      </x:c>
      <x:c r="E1117" s="27" t="n">
        <x:f>IF('Industrial Base'!J17="PASS",1,0)</x:f>
        <x:v>1</x:v>
      </x:c>
      <x:c r="F1117" s="27" t="n">
        <x:v>1</x:v>
      </x:c>
      <x:c r="G1117" s="29" t="str">
        <x:f>IF(E1117=F1117,"PASS","FAIL")</x:f>
        <x:v>PASS</x:v>
      </x:c>
    </x:row>
    <x:row r="1118" ht="18" customHeight="1">
      <x:c r="B1118" s="27" t="str">
        <x:v>A1112</x:v>
      </x:c>
      <x:c r="C1118" s="27" t="str">
        <x:v>industry</x:v>
      </x:c>
      <x:c r="D1118" s="27" t="str">
        <x:v>Industry row 18 has rival teams</x:v>
      </x:c>
      <x:c r="E1118" s="27" t="n">
        <x:f>IF('Industrial Base'!F18&gt;='Industrial Base'!E18,1,0)</x:f>
        <x:v>1</x:v>
      </x:c>
      <x:c r="F1118" s="27" t="n">
        <x:v>1</x:v>
      </x:c>
      <x:c r="G1118" s="29" t="str">
        <x:f>IF(E1118=F1118,"PASS","FAIL")</x:f>
        <x:v>PASS</x:v>
      </x:c>
    </x:row>
    <x:row r="1119" ht="18" customHeight="1">
      <x:c r="B1119" s="27" t="str">
        <x:v>A1113</x:v>
      </x:c>
      <x:c r="C1119" s="27" t="str">
        <x:v>industry</x:v>
      </x:c>
      <x:c r="D1119" s="27" t="str">
        <x:v>Industry row 18 forbids shared ancestry</x:v>
      </x:c>
      <x:c r="E1119" s="27" t="n">
        <x:f>IF('Industrial Base'!G18=0,1,0)</x:f>
        <x:v>1</x:v>
      </x:c>
      <x:c r="F1119" s="27" t="n">
        <x:v>1</x:v>
      </x:c>
      <x:c r="G1119" s="29" t="str">
        <x:f>IF(E1119=F1119,"PASS","FAIL")</x:f>
        <x:v>PASS</x:v>
      </x:c>
    </x:row>
    <x:row r="1120" ht="18" customHeight="1">
      <x:c r="B1120" s="27" t="str">
        <x:v>A1114</x:v>
      </x:c>
      <x:c r="C1120" s="27" t="str">
        <x:v>industry</x:v>
      </x:c>
      <x:c r="D1120" s="27" t="str">
        <x:v>Industry row 18 evidence open</x:v>
      </x:c>
      <x:c r="E1120" s="27" t="n">
        <x:f>IF('Industrial Base'!I18="OPEN",1,0)</x:f>
        <x:v>1</x:v>
      </x:c>
      <x:c r="F1120" s="27" t="n">
        <x:v>1</x:v>
      </x:c>
      <x:c r="G1120" s="29" t="str">
        <x:f>IF(E1120=F1120,"PASS","FAIL")</x:f>
        <x:v>PASS</x:v>
      </x:c>
    </x:row>
    <x:row r="1121" ht="18" customHeight="1">
      <x:c r="B1121" s="27" t="str">
        <x:v>A1115</x:v>
      </x:c>
      <x:c r="C1121" s="27" t="str">
        <x:v>industry</x:v>
      </x:c>
      <x:c r="D1121" s="27" t="str">
        <x:v>Industry row 18 screen passes</x:v>
      </x:c>
      <x:c r="E1121" s="27" t="n">
        <x:f>IF('Industrial Base'!J18="PASS",1,0)</x:f>
        <x:v>1</x:v>
      </x:c>
      <x:c r="F1121" s="27" t="n">
        <x:v>1</x:v>
      </x:c>
      <x:c r="G1121" s="29" t="str">
        <x:f>IF(E1121=F1121,"PASS","FAIL")</x:f>
        <x:v>PASS</x:v>
      </x:c>
    </x:row>
    <x:row r="1122" ht="18" customHeight="1">
      <x:c r="B1122" s="27" t="str">
        <x:v>A1116</x:v>
      </x:c>
      <x:c r="C1122" s="27" t="str">
        <x:v>decision</x:v>
      </x:c>
      <x:c r="D1122" s="27" t="str">
        <x:v>Decision row 7 evidence open</x:v>
      </x:c>
      <x:c r="E1122" s="27" t="n">
        <x:f>IF('Decision Gates'!E7="OPEN",1,0)</x:f>
        <x:v>1</x:v>
      </x:c>
      <x:c r="F1122" s="27" t="n">
        <x:v>1</x:v>
      </x:c>
      <x:c r="G1122" s="29" t="str">
        <x:f>IF(E1122=F1122,"PASS","FAIL")</x:f>
        <x:v>PASS</x:v>
      </x:c>
    </x:row>
    <x:row r="1123" ht="18" customHeight="1">
      <x:c r="B1123" s="27" t="str">
        <x:v>A1117</x:v>
      </x:c>
      <x:c r="C1123" s="27" t="str">
        <x:v>decision</x:v>
      </x:c>
      <x:c r="D1123" s="27" t="str">
        <x:v>Decision row 7 hold</x:v>
      </x:c>
      <x:c r="E1123" s="27" t="n">
        <x:f>IF('Decision Gates'!F7="HOLD",1,0)</x:f>
        <x:v>1</x:v>
      </x:c>
      <x:c r="F1123" s="27" t="n">
        <x:v>1</x:v>
      </x:c>
      <x:c r="G1123" s="29" t="str">
        <x:f>IF(E1123=F1123,"PASS","FAIL")</x:f>
        <x:v>PASS</x:v>
      </x:c>
    </x:row>
    <x:row r="1124" ht="18" customHeight="1">
      <x:c r="B1124" s="27" t="str">
        <x:v>A1118</x:v>
      </x:c>
      <x:c r="C1124" s="27" t="str">
        <x:v>decision</x:v>
      </x:c>
      <x:c r="D1124" s="27" t="str">
        <x:v>Decision row 7 rendering blocked</x:v>
      </x:c>
      <x:c r="E1124" s="27" t="n">
        <x:f>IF('Decision Gates'!H7="BLOCKED",1,0)</x:f>
        <x:v>1</x:v>
      </x:c>
      <x:c r="F1124" s="27" t="n">
        <x:v>1</x:v>
      </x:c>
      <x:c r="G1124" s="29" t="str">
        <x:f>IF(E1124=F1124,"PASS","FAIL")</x:f>
        <x:v>PASS</x:v>
      </x:c>
    </x:row>
    <x:row r="1125" ht="18" customHeight="1">
      <x:c r="B1125" s="27" t="str">
        <x:v>A1119</x:v>
      </x:c>
      <x:c r="C1125" s="27" t="str">
        <x:v>decision</x:v>
      </x:c>
      <x:c r="D1125" s="27" t="str">
        <x:v>Decision row 7 zero credit</x:v>
      </x:c>
      <x:c r="E1125" s="27" t="n">
        <x:f>IF('Decision Gates'!I7=0,1,0)</x:f>
        <x:v>1</x:v>
      </x:c>
      <x:c r="F1125" s="27" t="n">
        <x:v>1</x:v>
      </x:c>
      <x:c r="G1125" s="29" t="str">
        <x:f>IF(E1125=F1125,"PASS","FAIL")</x:f>
        <x:v>PASS</x:v>
      </x:c>
    </x:row>
    <x:row r="1126" ht="18" customHeight="1">
      <x:c r="B1126" s="27" t="str">
        <x:v>A1120</x:v>
      </x:c>
      <x:c r="C1126" s="27" t="str">
        <x:v>decision</x:v>
      </x:c>
      <x:c r="D1126" s="27" t="str">
        <x:v>Decision row 8 evidence open</x:v>
      </x:c>
      <x:c r="E1126" s="27" t="n">
        <x:f>IF('Decision Gates'!E8="OPEN",1,0)</x:f>
        <x:v>1</x:v>
      </x:c>
      <x:c r="F1126" s="27" t="n">
        <x:v>1</x:v>
      </x:c>
      <x:c r="G1126" s="29" t="str">
        <x:f>IF(E1126=F1126,"PASS","FAIL")</x:f>
        <x:v>PASS</x:v>
      </x:c>
    </x:row>
    <x:row r="1127" ht="18" customHeight="1">
      <x:c r="B1127" s="27" t="str">
        <x:v>A1121</x:v>
      </x:c>
      <x:c r="C1127" s="27" t="str">
        <x:v>decision</x:v>
      </x:c>
      <x:c r="D1127" s="27" t="str">
        <x:v>Decision row 8 hold</x:v>
      </x:c>
      <x:c r="E1127" s="27" t="n">
        <x:f>IF('Decision Gates'!F8="HOLD",1,0)</x:f>
        <x:v>1</x:v>
      </x:c>
      <x:c r="F1127" s="27" t="n">
        <x:v>1</x:v>
      </x:c>
      <x:c r="G1127" s="29" t="str">
        <x:f>IF(E1127=F1127,"PASS","FAIL")</x:f>
        <x:v>PASS</x:v>
      </x:c>
    </x:row>
    <x:row r="1128" ht="18" customHeight="1">
      <x:c r="B1128" s="27" t="str">
        <x:v>A1122</x:v>
      </x:c>
      <x:c r="C1128" s="27" t="str">
        <x:v>decision</x:v>
      </x:c>
      <x:c r="D1128" s="27" t="str">
        <x:v>Decision row 8 rendering blocked</x:v>
      </x:c>
      <x:c r="E1128" s="27" t="n">
        <x:f>IF('Decision Gates'!H8="BLOCKED",1,0)</x:f>
        <x:v>1</x:v>
      </x:c>
      <x:c r="F1128" s="27" t="n">
        <x:v>1</x:v>
      </x:c>
      <x:c r="G1128" s="29" t="str">
        <x:f>IF(E1128=F1128,"PASS","FAIL")</x:f>
        <x:v>PASS</x:v>
      </x:c>
    </x:row>
    <x:row r="1129" ht="18" customHeight="1">
      <x:c r="B1129" s="27" t="str">
        <x:v>A1123</x:v>
      </x:c>
      <x:c r="C1129" s="27" t="str">
        <x:v>decision</x:v>
      </x:c>
      <x:c r="D1129" s="27" t="str">
        <x:v>Decision row 8 zero credit</x:v>
      </x:c>
      <x:c r="E1129" s="27" t="n">
        <x:f>IF('Decision Gates'!I8=0,1,0)</x:f>
        <x:v>1</x:v>
      </x:c>
      <x:c r="F1129" s="27" t="n">
        <x:v>1</x:v>
      </x:c>
      <x:c r="G1129" s="29" t="str">
        <x:f>IF(E1129=F1129,"PASS","FAIL")</x:f>
        <x:v>PASS</x:v>
      </x:c>
    </x:row>
    <x:row r="1130" ht="18" customHeight="1">
      <x:c r="B1130" s="27" t="str">
        <x:v>A1124</x:v>
      </x:c>
      <x:c r="C1130" s="27" t="str">
        <x:v>decision</x:v>
      </x:c>
      <x:c r="D1130" s="27" t="str">
        <x:v>Decision row 9 evidence open</x:v>
      </x:c>
      <x:c r="E1130" s="27" t="n">
        <x:f>IF('Decision Gates'!E9="OPEN",1,0)</x:f>
        <x:v>1</x:v>
      </x:c>
      <x:c r="F1130" s="27" t="n">
        <x:v>1</x:v>
      </x:c>
      <x:c r="G1130" s="29" t="str">
        <x:f>IF(E1130=F1130,"PASS","FAIL")</x:f>
        <x:v>PASS</x:v>
      </x:c>
    </x:row>
    <x:row r="1131" ht="18" customHeight="1">
      <x:c r="B1131" s="27" t="str">
        <x:v>A1125</x:v>
      </x:c>
      <x:c r="C1131" s="27" t="str">
        <x:v>decision</x:v>
      </x:c>
      <x:c r="D1131" s="27" t="str">
        <x:v>Decision row 9 hold</x:v>
      </x:c>
      <x:c r="E1131" s="27" t="n">
        <x:f>IF('Decision Gates'!F9="HOLD",1,0)</x:f>
        <x:v>1</x:v>
      </x:c>
      <x:c r="F1131" s="27" t="n">
        <x:v>1</x:v>
      </x:c>
      <x:c r="G1131" s="29" t="str">
        <x:f>IF(E1131=F1131,"PASS","FAIL")</x:f>
        <x:v>PASS</x:v>
      </x:c>
    </x:row>
    <x:row r="1132" ht="18" customHeight="1">
      <x:c r="B1132" s="27" t="str">
        <x:v>A1126</x:v>
      </x:c>
      <x:c r="C1132" s="27" t="str">
        <x:v>decision</x:v>
      </x:c>
      <x:c r="D1132" s="27" t="str">
        <x:v>Decision row 9 rendering blocked</x:v>
      </x:c>
      <x:c r="E1132" s="27" t="n">
        <x:f>IF('Decision Gates'!H9="BLOCKED",1,0)</x:f>
        <x:v>1</x:v>
      </x:c>
      <x:c r="F1132" s="27" t="n">
        <x:v>1</x:v>
      </x:c>
      <x:c r="G1132" s="29" t="str">
        <x:f>IF(E1132=F1132,"PASS","FAIL")</x:f>
        <x:v>PASS</x:v>
      </x:c>
    </x:row>
    <x:row r="1133" ht="18" customHeight="1">
      <x:c r="B1133" s="27" t="str">
        <x:v>A1127</x:v>
      </x:c>
      <x:c r="C1133" s="27" t="str">
        <x:v>decision</x:v>
      </x:c>
      <x:c r="D1133" s="27" t="str">
        <x:v>Decision row 9 zero credit</x:v>
      </x:c>
      <x:c r="E1133" s="27" t="n">
        <x:f>IF('Decision Gates'!I9=0,1,0)</x:f>
        <x:v>1</x:v>
      </x:c>
      <x:c r="F1133" s="27" t="n">
        <x:v>1</x:v>
      </x:c>
      <x:c r="G1133" s="29" t="str">
        <x:f>IF(E1133=F1133,"PASS","FAIL")</x:f>
        <x:v>PASS</x:v>
      </x:c>
    </x:row>
    <x:row r="1134" ht="18" customHeight="1">
      <x:c r="B1134" s="27" t="str">
        <x:v>A1128</x:v>
      </x:c>
      <x:c r="C1134" s="27" t="str">
        <x:v>decision</x:v>
      </x:c>
      <x:c r="D1134" s="27" t="str">
        <x:v>Decision row 10 evidence open</x:v>
      </x:c>
      <x:c r="E1134" s="27" t="n">
        <x:f>IF('Decision Gates'!E10="OPEN",1,0)</x:f>
        <x:v>1</x:v>
      </x:c>
      <x:c r="F1134" s="27" t="n">
        <x:v>1</x:v>
      </x:c>
      <x:c r="G1134" s="29" t="str">
        <x:f>IF(E1134=F1134,"PASS","FAIL")</x:f>
        <x:v>PASS</x:v>
      </x:c>
    </x:row>
    <x:row r="1135" ht="18" customHeight="1">
      <x:c r="B1135" s="27" t="str">
        <x:v>A1129</x:v>
      </x:c>
      <x:c r="C1135" s="27" t="str">
        <x:v>decision</x:v>
      </x:c>
      <x:c r="D1135" s="27" t="str">
        <x:v>Decision row 10 hold</x:v>
      </x:c>
      <x:c r="E1135" s="27" t="n">
        <x:f>IF('Decision Gates'!F10="HOLD",1,0)</x:f>
        <x:v>1</x:v>
      </x:c>
      <x:c r="F1135" s="27" t="n">
        <x:v>1</x:v>
      </x:c>
      <x:c r="G1135" s="29" t="str">
        <x:f>IF(E1135=F1135,"PASS","FAIL")</x:f>
        <x:v>PASS</x:v>
      </x:c>
    </x:row>
    <x:row r="1136" ht="18" customHeight="1">
      <x:c r="B1136" s="27" t="str">
        <x:v>A1130</x:v>
      </x:c>
      <x:c r="C1136" s="27" t="str">
        <x:v>decision</x:v>
      </x:c>
      <x:c r="D1136" s="27" t="str">
        <x:v>Decision row 10 rendering blocked</x:v>
      </x:c>
      <x:c r="E1136" s="27" t="n">
        <x:f>IF('Decision Gates'!H10="BLOCKED",1,0)</x:f>
        <x:v>1</x:v>
      </x:c>
      <x:c r="F1136" s="27" t="n">
        <x:v>1</x:v>
      </x:c>
      <x:c r="G1136" s="29" t="str">
        <x:f>IF(E1136=F1136,"PASS","FAIL")</x:f>
        <x:v>PASS</x:v>
      </x:c>
    </x:row>
    <x:row r="1137" ht="18" customHeight="1">
      <x:c r="B1137" s="27" t="str">
        <x:v>A1131</x:v>
      </x:c>
      <x:c r="C1137" s="27" t="str">
        <x:v>decision</x:v>
      </x:c>
      <x:c r="D1137" s="27" t="str">
        <x:v>Decision row 10 zero credit</x:v>
      </x:c>
      <x:c r="E1137" s="27" t="n">
        <x:f>IF('Decision Gates'!I10=0,1,0)</x:f>
        <x:v>1</x:v>
      </x:c>
      <x:c r="F1137" s="27" t="n">
        <x:v>1</x:v>
      </x:c>
      <x:c r="G1137" s="29" t="str">
        <x:f>IF(E1137=F1137,"PASS","FAIL")</x:f>
        <x:v>PASS</x:v>
      </x:c>
    </x:row>
    <x:row r="1138" ht="18" customHeight="1">
      <x:c r="B1138" s="27" t="str">
        <x:v>A1132</x:v>
      </x:c>
      <x:c r="C1138" s="27" t="str">
        <x:v>decision</x:v>
      </x:c>
      <x:c r="D1138" s="27" t="str">
        <x:v>Decision row 11 evidence open</x:v>
      </x:c>
      <x:c r="E1138" s="27" t="n">
        <x:f>IF('Decision Gates'!E11="OPEN",1,0)</x:f>
        <x:v>1</x:v>
      </x:c>
      <x:c r="F1138" s="27" t="n">
        <x:v>1</x:v>
      </x:c>
      <x:c r="G1138" s="29" t="str">
        <x:f>IF(E1138=F1138,"PASS","FAIL")</x:f>
        <x:v>PASS</x:v>
      </x:c>
    </x:row>
    <x:row r="1139" ht="18" customHeight="1">
      <x:c r="B1139" s="27" t="str">
        <x:v>A1133</x:v>
      </x:c>
      <x:c r="C1139" s="27" t="str">
        <x:v>decision</x:v>
      </x:c>
      <x:c r="D1139" s="27" t="str">
        <x:v>Decision row 11 hold</x:v>
      </x:c>
      <x:c r="E1139" s="27" t="n">
        <x:f>IF('Decision Gates'!F11="HOLD",1,0)</x:f>
        <x:v>1</x:v>
      </x:c>
      <x:c r="F1139" s="27" t="n">
        <x:v>1</x:v>
      </x:c>
      <x:c r="G1139" s="29" t="str">
        <x:f>IF(E1139=F1139,"PASS","FAIL")</x:f>
        <x:v>PASS</x:v>
      </x:c>
    </x:row>
    <x:row r="1140" ht="18" customHeight="1">
      <x:c r="B1140" s="27" t="str">
        <x:v>A1134</x:v>
      </x:c>
      <x:c r="C1140" s="27" t="str">
        <x:v>decision</x:v>
      </x:c>
      <x:c r="D1140" s="27" t="str">
        <x:v>Decision row 11 rendering blocked</x:v>
      </x:c>
      <x:c r="E1140" s="27" t="n">
        <x:f>IF('Decision Gates'!H11="BLOCKED",1,0)</x:f>
        <x:v>1</x:v>
      </x:c>
      <x:c r="F1140" s="27" t="n">
        <x:v>1</x:v>
      </x:c>
      <x:c r="G1140" s="29" t="str">
        <x:f>IF(E1140=F1140,"PASS","FAIL")</x:f>
        <x:v>PASS</x:v>
      </x:c>
    </x:row>
    <x:row r="1141" ht="18" customHeight="1">
      <x:c r="B1141" s="27" t="str">
        <x:v>A1135</x:v>
      </x:c>
      <x:c r="C1141" s="27" t="str">
        <x:v>decision</x:v>
      </x:c>
      <x:c r="D1141" s="27" t="str">
        <x:v>Decision row 11 zero credit</x:v>
      </x:c>
      <x:c r="E1141" s="27" t="n">
        <x:f>IF('Decision Gates'!I11=0,1,0)</x:f>
        <x:v>1</x:v>
      </x:c>
      <x:c r="F1141" s="27" t="n">
        <x:v>1</x:v>
      </x:c>
      <x:c r="G1141" s="29" t="str">
        <x:f>IF(E1141=F1141,"PASS","FAIL")</x:f>
        <x:v>PASS</x:v>
      </x:c>
    </x:row>
    <x:row r="1142" ht="18" customHeight="1">
      <x:c r="B1142" s="27" t="str">
        <x:v>A1136</x:v>
      </x:c>
      <x:c r="C1142" s="27" t="str">
        <x:v>decision</x:v>
      </x:c>
      <x:c r="D1142" s="27" t="str">
        <x:v>Decision row 12 evidence open</x:v>
      </x:c>
      <x:c r="E1142" s="27" t="n">
        <x:f>IF('Decision Gates'!E12="OPEN",1,0)</x:f>
        <x:v>1</x:v>
      </x:c>
      <x:c r="F1142" s="27" t="n">
        <x:v>1</x:v>
      </x:c>
      <x:c r="G1142" s="29" t="str">
        <x:f>IF(E1142=F1142,"PASS","FAIL")</x:f>
        <x:v>PASS</x:v>
      </x:c>
    </x:row>
    <x:row r="1143" ht="18" customHeight="1">
      <x:c r="B1143" s="27" t="str">
        <x:v>A1137</x:v>
      </x:c>
      <x:c r="C1143" s="27" t="str">
        <x:v>decision</x:v>
      </x:c>
      <x:c r="D1143" s="27" t="str">
        <x:v>Decision row 12 hold</x:v>
      </x:c>
      <x:c r="E1143" s="27" t="n">
        <x:f>IF('Decision Gates'!F12="HOLD",1,0)</x:f>
        <x:v>1</x:v>
      </x:c>
      <x:c r="F1143" s="27" t="n">
        <x:v>1</x:v>
      </x:c>
      <x:c r="G1143" s="29" t="str">
        <x:f>IF(E1143=F1143,"PASS","FAIL")</x:f>
        <x:v>PASS</x:v>
      </x:c>
    </x:row>
    <x:row r="1144" ht="18" customHeight="1">
      <x:c r="B1144" s="27" t="str">
        <x:v>A1138</x:v>
      </x:c>
      <x:c r="C1144" s="27" t="str">
        <x:v>decision</x:v>
      </x:c>
      <x:c r="D1144" s="27" t="str">
        <x:v>Decision row 12 rendering blocked</x:v>
      </x:c>
      <x:c r="E1144" s="27" t="n">
        <x:f>IF('Decision Gates'!H12="BLOCKED",1,0)</x:f>
        <x:v>1</x:v>
      </x:c>
      <x:c r="F1144" s="27" t="n">
        <x:v>1</x:v>
      </x:c>
      <x:c r="G1144" s="29" t="str">
        <x:f>IF(E1144=F1144,"PASS","FAIL")</x:f>
        <x:v>PASS</x:v>
      </x:c>
    </x:row>
    <x:row r="1145" ht="18" customHeight="1">
      <x:c r="B1145" s="27" t="str">
        <x:v>A1139</x:v>
      </x:c>
      <x:c r="C1145" s="27" t="str">
        <x:v>decision</x:v>
      </x:c>
      <x:c r="D1145" s="27" t="str">
        <x:v>Decision row 12 zero credit</x:v>
      </x:c>
      <x:c r="E1145" s="27" t="n">
        <x:f>IF('Decision Gates'!I12=0,1,0)</x:f>
        <x:v>1</x:v>
      </x:c>
      <x:c r="F1145" s="27" t="n">
        <x:v>1</x:v>
      </x:c>
      <x:c r="G1145" s="29" t="str">
        <x:f>IF(E1145=F1145,"PASS","FAIL")</x:f>
        <x:v>PASS</x:v>
      </x:c>
    </x:row>
    <x:row r="1146" ht="18" customHeight="1">
      <x:c r="B1146" s="27" t="str">
        <x:v>A1140</x:v>
      </x:c>
      <x:c r="C1146" s="27" t="str">
        <x:v>decision</x:v>
      </x:c>
      <x:c r="D1146" s="27" t="str">
        <x:v>Decision row 13 evidence open</x:v>
      </x:c>
      <x:c r="E1146" s="27" t="n">
        <x:f>IF('Decision Gates'!E13="OPEN",1,0)</x:f>
        <x:v>1</x:v>
      </x:c>
      <x:c r="F1146" s="27" t="n">
        <x:v>1</x:v>
      </x:c>
      <x:c r="G1146" s="29" t="str">
        <x:f>IF(E1146=F1146,"PASS","FAIL")</x:f>
        <x:v>PASS</x:v>
      </x:c>
    </x:row>
    <x:row r="1147" ht="18" customHeight="1">
      <x:c r="B1147" s="27" t="str">
        <x:v>A1141</x:v>
      </x:c>
      <x:c r="C1147" s="27" t="str">
        <x:v>decision</x:v>
      </x:c>
      <x:c r="D1147" s="27" t="str">
        <x:v>Decision row 13 hold</x:v>
      </x:c>
      <x:c r="E1147" s="27" t="n">
        <x:f>IF('Decision Gates'!F13="HOLD",1,0)</x:f>
        <x:v>1</x:v>
      </x:c>
      <x:c r="F1147" s="27" t="n">
        <x:v>1</x:v>
      </x:c>
      <x:c r="G1147" s="29" t="str">
        <x:f>IF(E1147=F1147,"PASS","FAIL")</x:f>
        <x:v>PASS</x:v>
      </x:c>
    </x:row>
    <x:row r="1148" ht="18" customHeight="1">
      <x:c r="B1148" s="27" t="str">
        <x:v>A1142</x:v>
      </x:c>
      <x:c r="C1148" s="27" t="str">
        <x:v>decision</x:v>
      </x:c>
      <x:c r="D1148" s="27" t="str">
        <x:v>Decision row 13 rendering blocked</x:v>
      </x:c>
      <x:c r="E1148" s="27" t="n">
        <x:f>IF('Decision Gates'!H13="BLOCKED",1,0)</x:f>
        <x:v>1</x:v>
      </x:c>
      <x:c r="F1148" s="27" t="n">
        <x:v>1</x:v>
      </x:c>
      <x:c r="G1148" s="29" t="str">
        <x:f>IF(E1148=F1148,"PASS","FAIL")</x:f>
        <x:v>PASS</x:v>
      </x:c>
    </x:row>
    <x:row r="1149" ht="18" customHeight="1">
      <x:c r="B1149" s="27" t="str">
        <x:v>A1143</x:v>
      </x:c>
      <x:c r="C1149" s="27" t="str">
        <x:v>decision</x:v>
      </x:c>
      <x:c r="D1149" s="27" t="str">
        <x:v>Decision row 13 zero credit</x:v>
      </x:c>
      <x:c r="E1149" s="27" t="n">
        <x:f>IF('Decision Gates'!I13=0,1,0)</x:f>
        <x:v>1</x:v>
      </x:c>
      <x:c r="F1149" s="27" t="n">
        <x:v>1</x:v>
      </x:c>
      <x:c r="G1149" s="29" t="str">
        <x:f>IF(E1149=F1149,"PASS","FAIL")</x:f>
        <x:v>PASS</x:v>
      </x:c>
    </x:row>
    <x:row r="1150" ht="18" customHeight="1">
      <x:c r="B1150" s="27" t="str">
        <x:v>A1144</x:v>
      </x:c>
      <x:c r="C1150" s="27" t="str">
        <x:v>decision</x:v>
      </x:c>
      <x:c r="D1150" s="27" t="str">
        <x:v>Decision row 14 evidence open</x:v>
      </x:c>
      <x:c r="E1150" s="27" t="n">
        <x:f>IF('Decision Gates'!E14="OPEN",1,0)</x:f>
        <x:v>1</x:v>
      </x:c>
      <x:c r="F1150" s="27" t="n">
        <x:v>1</x:v>
      </x:c>
      <x:c r="G1150" s="29" t="str">
        <x:f>IF(E1150=F1150,"PASS","FAIL")</x:f>
        <x:v>PASS</x:v>
      </x:c>
    </x:row>
    <x:row r="1151" ht="18" customHeight="1">
      <x:c r="B1151" s="27" t="str">
        <x:v>A1145</x:v>
      </x:c>
      <x:c r="C1151" s="27" t="str">
        <x:v>decision</x:v>
      </x:c>
      <x:c r="D1151" s="27" t="str">
        <x:v>Decision row 14 hold</x:v>
      </x:c>
      <x:c r="E1151" s="27" t="n">
        <x:f>IF('Decision Gates'!F14="HOLD",1,0)</x:f>
        <x:v>1</x:v>
      </x:c>
      <x:c r="F1151" s="27" t="n">
        <x:v>1</x:v>
      </x:c>
      <x:c r="G1151" s="29" t="str">
        <x:f>IF(E1151=F1151,"PASS","FAIL")</x:f>
        <x:v>PASS</x:v>
      </x:c>
    </x:row>
    <x:row r="1152" ht="18" customHeight="1">
      <x:c r="B1152" s="27" t="str">
        <x:v>A1146</x:v>
      </x:c>
      <x:c r="C1152" s="27" t="str">
        <x:v>decision</x:v>
      </x:c>
      <x:c r="D1152" s="27" t="str">
        <x:v>Decision row 14 rendering blocked</x:v>
      </x:c>
      <x:c r="E1152" s="27" t="n">
        <x:f>IF('Decision Gates'!H14="BLOCKED",1,0)</x:f>
        <x:v>1</x:v>
      </x:c>
      <x:c r="F1152" s="27" t="n">
        <x:v>1</x:v>
      </x:c>
      <x:c r="G1152" s="29" t="str">
        <x:f>IF(E1152=F1152,"PASS","FAIL")</x:f>
        <x:v>PASS</x:v>
      </x:c>
    </x:row>
    <x:row r="1153" ht="18" customHeight="1">
      <x:c r="B1153" s="27" t="str">
        <x:v>A1147</x:v>
      </x:c>
      <x:c r="C1153" s="27" t="str">
        <x:v>decision</x:v>
      </x:c>
      <x:c r="D1153" s="27" t="str">
        <x:v>Decision row 14 zero credit</x:v>
      </x:c>
      <x:c r="E1153" s="27" t="n">
        <x:f>IF('Decision Gates'!I14=0,1,0)</x:f>
        <x:v>1</x:v>
      </x:c>
      <x:c r="F1153" s="27" t="n">
        <x:v>1</x:v>
      </x:c>
      <x:c r="G1153" s="29" t="str">
        <x:f>IF(E1153=F1153,"PASS","FAIL")</x:f>
        <x:v>PASS</x:v>
      </x:c>
    </x:row>
    <x:row r="1154" ht="18" customHeight="1">
      <x:c r="B1154" s="27" t="str">
        <x:v>A1148</x:v>
      </x:c>
      <x:c r="C1154" s="27" t="str">
        <x:v>decision</x:v>
      </x:c>
      <x:c r="D1154" s="27" t="str">
        <x:v>Decision row 15 evidence open</x:v>
      </x:c>
      <x:c r="E1154" s="27" t="n">
        <x:f>IF('Decision Gates'!E15="OPEN",1,0)</x:f>
        <x:v>1</x:v>
      </x:c>
      <x:c r="F1154" s="27" t="n">
        <x:v>1</x:v>
      </x:c>
      <x:c r="G1154" s="29" t="str">
        <x:f>IF(E1154=F1154,"PASS","FAIL")</x:f>
        <x:v>PASS</x:v>
      </x:c>
    </x:row>
    <x:row r="1155" ht="18" customHeight="1">
      <x:c r="B1155" s="27" t="str">
        <x:v>A1149</x:v>
      </x:c>
      <x:c r="C1155" s="27" t="str">
        <x:v>decision</x:v>
      </x:c>
      <x:c r="D1155" s="27" t="str">
        <x:v>Decision row 15 hold</x:v>
      </x:c>
      <x:c r="E1155" s="27" t="n">
        <x:f>IF('Decision Gates'!F15="HOLD",1,0)</x:f>
        <x:v>1</x:v>
      </x:c>
      <x:c r="F1155" s="27" t="n">
        <x:v>1</x:v>
      </x:c>
      <x:c r="G1155" s="29" t="str">
        <x:f>IF(E1155=F1155,"PASS","FAIL")</x:f>
        <x:v>PASS</x:v>
      </x:c>
    </x:row>
    <x:row r="1156" ht="18" customHeight="1">
      <x:c r="B1156" s="27" t="str">
        <x:v>A1150</x:v>
      </x:c>
      <x:c r="C1156" s="27" t="str">
        <x:v>decision</x:v>
      </x:c>
      <x:c r="D1156" s="27" t="str">
        <x:v>Decision row 15 rendering blocked</x:v>
      </x:c>
      <x:c r="E1156" s="27" t="n">
        <x:f>IF('Decision Gates'!H15="BLOCKED",1,0)</x:f>
        <x:v>1</x:v>
      </x:c>
      <x:c r="F1156" s="27" t="n">
        <x:v>1</x:v>
      </x:c>
      <x:c r="G1156" s="29" t="str">
        <x:f>IF(E1156=F1156,"PASS","FAIL")</x:f>
        <x:v>PASS</x:v>
      </x:c>
    </x:row>
    <x:row r="1157" ht="18" customHeight="1">
      <x:c r="B1157" s="27" t="str">
        <x:v>A1151</x:v>
      </x:c>
      <x:c r="C1157" s="27" t="str">
        <x:v>decision</x:v>
      </x:c>
      <x:c r="D1157" s="27" t="str">
        <x:v>Decision row 15 zero credit</x:v>
      </x:c>
      <x:c r="E1157" s="27" t="n">
        <x:f>IF('Decision Gates'!I15=0,1,0)</x:f>
        <x:v>1</x:v>
      </x:c>
      <x:c r="F1157" s="27" t="n">
        <x:v>1</x:v>
      </x:c>
      <x:c r="G1157" s="29" t="str">
        <x:f>IF(E1157=F1157,"PASS","FAIL")</x:f>
        <x:v>PASS</x:v>
      </x:c>
    </x:row>
    <x:row r="1158" ht="18" customHeight="1">
      <x:c r="B1158" s="27" t="str">
        <x:v>A1152</x:v>
      </x:c>
      <x:c r="C1158" s="27" t="str">
        <x:v>decision</x:v>
      </x:c>
      <x:c r="D1158" s="27" t="str">
        <x:v>Decision row 16 evidence open</x:v>
      </x:c>
      <x:c r="E1158" s="27" t="n">
        <x:f>IF('Decision Gates'!E16="OPEN",1,0)</x:f>
        <x:v>1</x:v>
      </x:c>
      <x:c r="F1158" s="27" t="n">
        <x:v>1</x:v>
      </x:c>
      <x:c r="G1158" s="29" t="str">
        <x:f>IF(E1158=F1158,"PASS","FAIL")</x:f>
        <x:v>PASS</x:v>
      </x:c>
    </x:row>
    <x:row r="1159" ht="18" customHeight="1">
      <x:c r="B1159" s="27" t="str">
        <x:v>A1153</x:v>
      </x:c>
      <x:c r="C1159" s="27" t="str">
        <x:v>decision</x:v>
      </x:c>
      <x:c r="D1159" s="27" t="str">
        <x:v>Decision row 16 hold</x:v>
      </x:c>
      <x:c r="E1159" s="27" t="n">
        <x:f>IF('Decision Gates'!F16="HOLD",1,0)</x:f>
        <x:v>1</x:v>
      </x:c>
      <x:c r="F1159" s="27" t="n">
        <x:v>1</x:v>
      </x:c>
      <x:c r="G1159" s="29" t="str">
        <x:f>IF(E1159=F1159,"PASS","FAIL")</x:f>
        <x:v>PASS</x:v>
      </x:c>
    </x:row>
    <x:row r="1160" ht="18" customHeight="1">
      <x:c r="B1160" s="27" t="str">
        <x:v>A1154</x:v>
      </x:c>
      <x:c r="C1160" s="27" t="str">
        <x:v>decision</x:v>
      </x:c>
      <x:c r="D1160" s="27" t="str">
        <x:v>Decision row 16 rendering blocked</x:v>
      </x:c>
      <x:c r="E1160" s="27" t="n">
        <x:f>IF('Decision Gates'!H16="BLOCKED",1,0)</x:f>
        <x:v>1</x:v>
      </x:c>
      <x:c r="F1160" s="27" t="n">
        <x:v>1</x:v>
      </x:c>
      <x:c r="G1160" s="29" t="str">
        <x:f>IF(E1160=F1160,"PASS","FAIL")</x:f>
        <x:v>PASS</x:v>
      </x:c>
    </x:row>
    <x:row r="1161" ht="18" customHeight="1">
      <x:c r="B1161" s="27" t="str">
        <x:v>A1155</x:v>
      </x:c>
      <x:c r="C1161" s="27" t="str">
        <x:v>decision</x:v>
      </x:c>
      <x:c r="D1161" s="27" t="str">
        <x:v>Decision row 16 zero credit</x:v>
      </x:c>
      <x:c r="E1161" s="27" t="n">
        <x:f>IF('Decision Gates'!I16=0,1,0)</x:f>
        <x:v>1</x:v>
      </x:c>
      <x:c r="F1161" s="27" t="n">
        <x:v>1</x:v>
      </x:c>
      <x:c r="G1161" s="29" t="str">
        <x:f>IF(E1161=F1161,"PASS","FAIL")</x:f>
        <x:v>PASS</x:v>
      </x:c>
    </x:row>
    <x:row r="1162" ht="18" customHeight="1">
      <x:c r="B1162" s="27" t="str">
        <x:v>A1156</x:v>
      </x:c>
      <x:c r="C1162" s="27" t="str">
        <x:v>decision</x:v>
      </x:c>
      <x:c r="D1162" s="27" t="str">
        <x:v>Decision row 17 evidence open</x:v>
      </x:c>
      <x:c r="E1162" s="27" t="n">
        <x:f>IF('Decision Gates'!E17="OPEN",1,0)</x:f>
        <x:v>1</x:v>
      </x:c>
      <x:c r="F1162" s="27" t="n">
        <x:v>1</x:v>
      </x:c>
      <x:c r="G1162" s="29" t="str">
        <x:f>IF(E1162=F1162,"PASS","FAIL")</x:f>
        <x:v>PASS</x:v>
      </x:c>
    </x:row>
    <x:row r="1163" ht="18" customHeight="1">
      <x:c r="B1163" s="27" t="str">
        <x:v>A1157</x:v>
      </x:c>
      <x:c r="C1163" s="27" t="str">
        <x:v>decision</x:v>
      </x:c>
      <x:c r="D1163" s="27" t="str">
        <x:v>Decision row 17 hold</x:v>
      </x:c>
      <x:c r="E1163" s="27" t="n">
        <x:f>IF('Decision Gates'!F17="HOLD",1,0)</x:f>
        <x:v>1</x:v>
      </x:c>
      <x:c r="F1163" s="27" t="n">
        <x:v>1</x:v>
      </x:c>
      <x:c r="G1163" s="29" t="str">
        <x:f>IF(E1163=F1163,"PASS","FAIL")</x:f>
        <x:v>PASS</x:v>
      </x:c>
    </x:row>
    <x:row r="1164" ht="18" customHeight="1">
      <x:c r="B1164" s="27" t="str">
        <x:v>A1158</x:v>
      </x:c>
      <x:c r="C1164" s="27" t="str">
        <x:v>decision</x:v>
      </x:c>
      <x:c r="D1164" s="27" t="str">
        <x:v>Decision row 17 rendering blocked</x:v>
      </x:c>
      <x:c r="E1164" s="27" t="n">
        <x:f>IF('Decision Gates'!H17="BLOCKED",1,0)</x:f>
        <x:v>1</x:v>
      </x:c>
      <x:c r="F1164" s="27" t="n">
        <x:v>1</x:v>
      </x:c>
      <x:c r="G1164" s="29" t="str">
        <x:f>IF(E1164=F1164,"PASS","FAIL")</x:f>
        <x:v>PASS</x:v>
      </x:c>
    </x:row>
    <x:row r="1165" ht="18" customHeight="1">
      <x:c r="B1165" s="27" t="str">
        <x:v>A1159</x:v>
      </x:c>
      <x:c r="C1165" s="27" t="str">
        <x:v>decision</x:v>
      </x:c>
      <x:c r="D1165" s="27" t="str">
        <x:v>Decision row 17 zero credit</x:v>
      </x:c>
      <x:c r="E1165" s="27" t="n">
        <x:f>IF('Decision Gates'!I17=0,1,0)</x:f>
        <x:v>1</x:v>
      </x:c>
      <x:c r="F1165" s="27" t="n">
        <x:v>1</x:v>
      </x:c>
      <x:c r="G1165" s="29" t="str">
        <x:f>IF(E1165=F1165,"PASS","FAIL")</x:f>
        <x:v>PASS</x:v>
      </x:c>
    </x:row>
    <x:row r="1166" ht="18" customHeight="1">
      <x:c r="B1166" s="27" t="str">
        <x:v>A1160</x:v>
      </x:c>
      <x:c r="C1166" s="27" t="str">
        <x:v>decision</x:v>
      </x:c>
      <x:c r="D1166" s="27" t="str">
        <x:v>Decision row 18 evidence open</x:v>
      </x:c>
      <x:c r="E1166" s="27" t="n">
        <x:f>IF('Decision Gates'!E18="OPEN",1,0)</x:f>
        <x:v>1</x:v>
      </x:c>
      <x:c r="F1166" s="27" t="n">
        <x:v>1</x:v>
      </x:c>
      <x:c r="G1166" s="29" t="str">
        <x:f>IF(E1166=F1166,"PASS","FAIL")</x:f>
        <x:v>PASS</x:v>
      </x:c>
    </x:row>
    <x:row r="1167" ht="18" customHeight="1">
      <x:c r="B1167" s="27" t="str">
        <x:v>A1161</x:v>
      </x:c>
      <x:c r="C1167" s="27" t="str">
        <x:v>decision</x:v>
      </x:c>
      <x:c r="D1167" s="27" t="str">
        <x:v>Decision row 18 hold</x:v>
      </x:c>
      <x:c r="E1167" s="27" t="n">
        <x:f>IF('Decision Gates'!F18="HOLD",1,0)</x:f>
        <x:v>1</x:v>
      </x:c>
      <x:c r="F1167" s="27" t="n">
        <x:v>1</x:v>
      </x:c>
      <x:c r="G1167" s="29" t="str">
        <x:f>IF(E1167=F1167,"PASS","FAIL")</x:f>
        <x:v>PASS</x:v>
      </x:c>
    </x:row>
    <x:row r="1168" ht="18" customHeight="1">
      <x:c r="B1168" s="27" t="str">
        <x:v>A1162</x:v>
      </x:c>
      <x:c r="C1168" s="27" t="str">
        <x:v>decision</x:v>
      </x:c>
      <x:c r="D1168" s="27" t="str">
        <x:v>Decision row 18 rendering blocked</x:v>
      </x:c>
      <x:c r="E1168" s="27" t="n">
        <x:f>IF('Decision Gates'!H18="BLOCKED",1,0)</x:f>
        <x:v>1</x:v>
      </x:c>
      <x:c r="F1168" s="27" t="n">
        <x:v>1</x:v>
      </x:c>
      <x:c r="G1168" s="29" t="str">
        <x:f>IF(E1168=F1168,"PASS","FAIL")</x:f>
        <x:v>PASS</x:v>
      </x:c>
    </x:row>
    <x:row r="1169" ht="18" customHeight="1">
      <x:c r="B1169" s="27" t="str">
        <x:v>A1163</x:v>
      </x:c>
      <x:c r="C1169" s="27" t="str">
        <x:v>decision</x:v>
      </x:c>
      <x:c r="D1169" s="27" t="str">
        <x:v>Decision row 18 zero credit</x:v>
      </x:c>
      <x:c r="E1169" s="27" t="n">
        <x:f>IF('Decision Gates'!I18=0,1,0)</x:f>
        <x:v>1</x:v>
      </x:c>
      <x:c r="F1169" s="27" t="n">
        <x:v>1</x:v>
      </x:c>
      <x:c r="G1169" s="29" t="str">
        <x:f>IF(E1169=F1169,"PASS","FAIL")</x:f>
        <x:v>PASS</x:v>
      </x:c>
    </x:row>
    <x:row r="1170" ht="18" customHeight="1">
      <x:c r="B1170" s="27" t="str">
        <x:v>A1164</x:v>
      </x:c>
      <x:c r="C1170" s="27" t="str">
        <x:v>global</x:v>
      </x:c>
      <x:c r="D1170" s="27" t="str">
        <x:v>Eleven competitions</x:v>
      </x:c>
      <x:c r="E1170" s="27" t="n">
        <x:f>COUNTA('Serial Baseline'!C7:C17)</x:f>
        <x:v>11</x:v>
      </x:c>
      <x:c r="F1170" s="27" t="n">
        <x:v>11</x:v>
      </x:c>
      <x:c r="G1170" s="29" t="str">
        <x:f>IF(E1170=F1170,"PASS","FAIL")</x:f>
        <x:v>PASS</x:v>
      </x:c>
    </x:row>
    <x:row r="1171" ht="18" customHeight="1">
      <x:c r="B1171" s="27" t="str">
        <x:v>A1165</x:v>
      </x:c>
      <x:c r="C1171" s="27" t="str">
        <x:v>global</x:v>
      </x:c>
      <x:c r="D1171" s="27" t="str">
        <x:v>Thirty-three candidates</x:v>
      </x:c>
      <x:c r="E1171" s="27" t="n">
        <x:f>COUNTA(Competition!B7:B39)</x:f>
        <x:v>33</x:v>
      </x:c>
      <x:c r="F1171" s="27" t="n">
        <x:v>33</x:v>
      </x:c>
      <x:c r="G1171" s="29" t="str">
        <x:f>IF(E1171=F1171,"PASS","FAIL")</x:f>
        <x:v>PASS</x:v>
      </x:c>
    </x:row>
    <x:row r="1172" ht="18" customHeight="1">
      <x:c r="B1172" s="27" t="str">
        <x:v>A1166</x:v>
      </x:c>
      <x:c r="C1172" s="27" t="str">
        <x:v>global</x:v>
      </x:c>
      <x:c r="D1172" s="27" t="str">
        <x:v>Eleven selections</x:v>
      </x:c>
      <x:c r="E1172" s="27" t="n">
        <x:f>COUNTIFS(Competition!M7:M39,"SELECTED")</x:f>
        <x:v>11</x:v>
      </x:c>
      <x:c r="F1172" s="27" t="n">
        <x:v>11</x:v>
      </x:c>
      <x:c r="G1172" s="29" t="str">
        <x:f>IF(E1172=F1172,"PASS","FAIL")</x:f>
        <x:v>PASS</x:v>
      </x:c>
    </x:row>
    <x:row r="1173" ht="18" customHeight="1">
      <x:c r="B1173" s="27" t="str">
        <x:v>A1167</x:v>
      </x:c>
      <x:c r="C1173" s="27" t="str">
        <x:v>global</x:v>
      </x:c>
      <x:c r="D1173" s="27" t="str">
        <x:v>Twelve interfaces</x:v>
      </x:c>
      <x:c r="E1173" s="27" t="n">
        <x:f>COUNTA(Interfaces!B7:B18)</x:f>
        <x:v>12</x:v>
      </x:c>
      <x:c r="F1173" s="27" t="n">
        <x:v>12</x:v>
      </x:c>
      <x:c r="G1173" s="29" t="str">
        <x:f>IF(E1173=F1173,"PASS","FAIL")</x:f>
        <x:v>PASS</x:v>
      </x:c>
    </x:row>
    <x:row r="1174" ht="18" customHeight="1">
      <x:c r="B1174" s="27" t="str">
        <x:v>A1168</x:v>
      </x:c>
      <x:c r="C1174" s="27" t="str">
        <x:v>global</x:v>
      </x:c>
      <x:c r="D1174" s="27" t="str">
        <x:v>Eleven serial families</x:v>
      </x:c>
      <x:c r="E1174" s="27" t="n">
        <x:f>COUNTA('Prototype Articles'!B7:B17)</x:f>
        <x:v>11</x:v>
      </x:c>
      <x:c r="F1174" s="27" t="n">
        <x:v>11</x:v>
      </x:c>
      <x:c r="G1174" s="29" t="str">
        <x:f>IF(E1174=F1174,"PASS","FAIL")</x:f>
        <x:v>PASS</x:v>
      </x:c>
    </x:row>
    <x:row r="1175" ht="18" customHeight="1">
      <x:c r="B1175" s="27" t="str">
        <x:v>A1169</x:v>
      </x:c>
      <x:c r="C1175" s="27" t="str">
        <x:v>global</x:v>
      </x:c>
      <x:c r="D1175" s="27" t="str">
        <x:v>Sixty-eight trials</x:v>
      </x:c>
      <x:c r="E1175" s="27" t="n">
        <x:f>COUNTA('Trial Register'!B7:B74)</x:f>
        <x:v>68</x:v>
      </x:c>
      <x:c r="F1175" s="27" t="n">
        <x:v>68</x:v>
      </x:c>
      <x:c r="G1175" s="29" t="str">
        <x:f>IF(E1175=F1175,"PASS","FAIL")</x:f>
        <x:v>PASS</x:v>
      </x:c>
    </x:row>
    <x:row r="1176" ht="18" customHeight="1">
      <x:c r="B1176" s="27" t="str">
        <x:v>A1170</x:v>
      </x:c>
      <x:c r="C1176" s="27" t="str">
        <x:v>global</x:v>
      </x:c>
      <x:c r="D1176" s="27" t="str">
        <x:v>Sixty-four evidence gates</x:v>
      </x:c>
      <x:c r="E1176" s="27" t="n">
        <x:f>COUNTA('Evidence Gates'!B7:B70)</x:f>
        <x:v>64</x:v>
      </x:c>
      <x:c r="F1176" s="27" t="n">
        <x:v>64</x:v>
      </x:c>
      <x:c r="G1176" s="29" t="str">
        <x:f>IF(E1176=F1176,"PASS","FAIL")</x:f>
        <x:v>PASS</x:v>
      </x:c>
    </x:row>
    <x:row r="1177" ht="18" customHeight="1">
      <x:c r="B1177" s="27" t="str">
        <x:v>A1171</x:v>
      </x:c>
      <x:c r="C1177" s="27" t="str">
        <x:v>global</x:v>
      </x:c>
      <x:c r="D1177" s="27" t="str">
        <x:v>Eight campaigns</x:v>
      </x:c>
      <x:c r="E1177" s="27" t="n">
        <x:f>COUNTA('Campaign Schedule'!B7:B14)</x:f>
        <x:v>8</x:v>
      </x:c>
      <x:c r="F1177" s="27" t="n">
        <x:v>8</x:v>
      </x:c>
      <x:c r="G1177" s="29" t="str">
        <x:f>IF(E1177=F1177,"PASS","FAIL")</x:f>
        <x:v>PASS</x:v>
      </x:c>
    </x:row>
    <x:row r="1178" ht="18" customHeight="1">
      <x:c r="B1178" s="27" t="str">
        <x:v>A1172</x:v>
      </x:c>
      <x:c r="C1178" s="27" t="str">
        <x:v>global</x:v>
      </x:c>
      <x:c r="D1178" s="27" t="str">
        <x:v>Seventy-eight months</x:v>
      </x:c>
      <x:c r="E1178" s="27" t="n">
        <x:f>MAX('Campaign Schedule'!F7:F14)</x:f>
        <x:v>78</x:v>
      </x:c>
      <x:c r="F1178" s="27" t="n">
        <x:v>78</x:v>
      </x:c>
      <x:c r="G1178" s="29" t="str">
        <x:f>IF(E1178=F1178,"PASS","FAIL")</x:f>
        <x:v>PASS</x:v>
      </x:c>
    </x:row>
    <x:row r="1179" ht="18" customHeight="1">
      <x:c r="B1179" s="27" t="str">
        <x:v>A1173</x:v>
      </x:c>
      <x:c r="C1179" s="27" t="str">
        <x:v>global</x:v>
      </x:c>
      <x:c r="D1179" s="27" t="str">
        <x:v>Twelve critical chains</x:v>
      </x:c>
      <x:c r="E1179" s="27" t="n">
        <x:f>COUNTA('Industrial Base'!B7:B18)</x:f>
        <x:v>12</x:v>
      </x:c>
      <x:c r="F1179" s="27" t="n">
        <x:v>12</x:v>
      </x:c>
      <x:c r="G1179" s="29" t="str">
        <x:f>IF(E1179=F1179,"PASS","FAIL")</x:f>
        <x:v>PASS</x:v>
      </x:c>
    </x:row>
    <x:row r="1180" ht="18" customHeight="1">
      <x:c r="B1180" s="27" t="str">
        <x:v>A1174</x:v>
      </x:c>
      <x:c r="C1180" s="27" t="str">
        <x:v>global</x:v>
      </x:c>
      <x:c r="D1180" s="27" t="str">
        <x:v>Twelve decision gates</x:v>
      </x:c>
      <x:c r="E1180" s="27" t="n">
        <x:f>COUNTA('Decision Gates'!B7:B18)</x:f>
        <x:v>12</x:v>
      </x:c>
      <x:c r="F1180" s="27" t="n">
        <x:v>12</x:v>
      </x:c>
      <x:c r="G1180" s="29" t="str">
        <x:f>IF(E1180=F1180,"PASS","FAIL")</x:f>
        <x:v>PASS</x:v>
      </x:c>
    </x:row>
    <x:row r="1181" ht="18" customHeight="1">
      <x:c r="B1181" s="27" t="str">
        <x:v>A1175</x:v>
      </x:c>
      <x:c r="C1181" s="27" t="str">
        <x:v>global</x:v>
      </x:c>
      <x:c r="D1181" s="27" t="str">
        <x:v>All evidence credit zero</x:v>
      </x:c>
      <x:c r="E1181" s="27" t="n">
        <x:f>SUM('Evidence Gates'!K7:K70)</x:f>
        <x:v>0</x:v>
      </x:c>
      <x:c r="F1181" s="27" t="n">
        <x:v>0</x:v>
      </x:c>
      <x:c r="G1181" s="29" t="str">
        <x:f>IF(E1181=F1181,"PASS","FAIL")</x:f>
        <x:v>PASS</x:v>
      </x:c>
    </x:row>
    <x:row r="1182" ht="18" customHeight="1">
      <x:c r="B1182" s="27" t="str">
        <x:v>A1176</x:v>
      </x:c>
      <x:c r="C1182" s="27" t="str">
        <x:v>global</x:v>
      </x:c>
      <x:c r="D1182" s="27" t="str">
        <x:v>All decision credit zero</x:v>
      </x:c>
      <x:c r="E1182" s="27" t="n">
        <x:f>SUM('Decision Gates'!I7:I18)</x:f>
        <x:v>0</x:v>
      </x:c>
      <x:c r="F1182" s="27" t="n">
        <x:v>0</x:v>
      </x:c>
      <x:c r="G1182" s="29" t="str">
        <x:f>IF(E1182=F1182,"PASS","FAIL")</x:f>
        <x:v>PASS</x:v>
      </x:c>
    </x:row>
    <x:row r="1183" ht="18" customHeight="1">
      <x:c r="B1183" s="27" t="str">
        <x:v>A1177</x:v>
      </x:c>
      <x:c r="C1183" s="27" t="str">
        <x:v>global</x:v>
      </x:c>
      <x:c r="D1183" s="27" t="str">
        <x:v>All rendering decisions blocked</x:v>
      </x:c>
      <x:c r="E1183" s="27" t="n">
        <x:f>COUNTIFS('Decision Gates'!H7:H18,"BLOCKED")</x:f>
        <x:v>12</x:v>
      </x:c>
      <x:c r="F1183" s="27" t="n">
        <x:v>12</x:v>
      </x:c>
      <x:c r="G1183" s="29" t="str">
        <x:f>IF(E1183=F1183,"PASS","FAIL")</x:f>
        <x:v>PASS</x:v>
      </x:c>
    </x:row>
    <x:row r="1184" ht="18" customHeight="1">
      <x:c r="B1184" s="27" t="str">
        <x:v>A1178</x:v>
      </x:c>
      <x:c r="C1184" s="27" t="str">
        <x:v>global</x:v>
      </x:c>
      <x:c r="D1184" s="27" t="str">
        <x:v>Prototype bank has no negative margin</x:v>
      </x:c>
      <x:c r="E1184" s="27" t="n">
        <x:f>COUNTIFS('Prototype Articles'!I7:I17,"&lt;0")</x:f>
        <x:v>0</x:v>
      </x:c>
      <x:c r="F1184" s="27" t="n">
        <x:v>0</x:v>
      </x:c>
      <x:c r="G1184" s="29" t="str">
        <x:f>IF(E1184=F1184,"PASS","FAIL")</x:f>
        <x:v>PASS</x:v>
      </x:c>
    </x:row>
    <x:row r="1185" ht="18" customHeight="1">
      <x:c r="B1185" s="27" t="str">
        <x:v>A1179</x:v>
      </x:c>
      <x:c r="C1185" s="27" t="str">
        <x:v>global</x:v>
      </x:c>
      <x:c r="D1185" s="27" t="str">
        <x:v>Prototype articles within USD 2B</x:v>
      </x:c>
      <x:c r="E1185" s="27" t="n">
        <x:f>IF('Prototype Articles'!C23&lt;=2,1,0)</x:f>
        <x:v>1</x:v>
      </x:c>
      <x:c r="F1185" s="27" t="n">
        <x:v>1</x:v>
      </x:c>
      <x:c r="G1185" s="29" t="str">
        <x:f>IF(E1185=F1185,"PASS","FAIL")</x:f>
        <x:v>PASS</x:v>
      </x:c>
    </x:row>
    <x:row r="1186" ht="18" customHeight="1">
      <x:c r="B1186" s="27" t="str">
        <x:v>A1180</x:v>
      </x:c>
      <x:c r="C1186" s="27" t="str">
        <x:v>global</x:v>
      </x:c>
      <x:c r="D1186" s="27" t="str">
        <x:v>F01 ceiling remains USD 24B</x:v>
      </x:c>
      <x:c r="E1186" s="27" t="n">
        <x:f>Assumptions!C32</x:f>
        <x:v>24</x:v>
      </x:c>
      <x:c r="F1186" s="27" t="n">
        <x:v>24</x:v>
      </x:c>
      <x:c r="G1186" s="29" t="str">
        <x:f>IF(E1186=F1186,"PASS","FAIL")</x:f>
        <x:v>PASS</x:v>
      </x:c>
    </x:row>
    <x:row r="1187" ht="18" customHeight="1">
      <x:c r="B1187" s="27" t="str">
        <x:v>A1181</x:v>
      </x:c>
      <x:c r="C1187" s="27" t="str">
        <x:v>global</x:v>
      </x:c>
      <x:c r="D1187" s="27" t="str">
        <x:v>No return data paths</x:v>
      </x:c>
      <x:c r="E1187" s="27" t="n">
        <x:f>SUM(Interfaces!H7:H18)</x:f>
        <x:v>0</x:v>
      </x:c>
      <x:c r="F1187" s="27" t="n">
        <x:v>0</x:v>
      </x:c>
      <x:c r="G1187" s="29" t="str">
        <x:f>IF(E1187=F1187,"PASS","FAIL")</x:f>
        <x:v>PASS</x:v>
      </x:c>
    </x:row>
    <x:row r="1188" ht="18" customHeight="1">
      <x:c r="B1188" s="27" t="str">
        <x:v>A1182</x:v>
      </x:c>
      <x:c r="C1188" s="27" t="str">
        <x:v>global</x:v>
      </x:c>
      <x:c r="D1188" s="27" t="str">
        <x:v>No actuation paths</x:v>
      </x:c>
      <x:c r="E1188" s="27" t="n">
        <x:f>SUM(Interfaces!I7:I18)</x:f>
        <x:v>0</x:v>
      </x:c>
      <x:c r="F1188" s="27" t="n">
        <x:v>0</x:v>
      </x:c>
      <x:c r="G1188" s="29" t="str">
        <x:f>IF(E1188=F1188,"PASS","FAIL")</x:f>
        <x:v>PASS</x:v>
      </x:c>
    </x:row>
    <x:row r="1189" ht="18" customHeight="1">
      <x:c r="B1189" s="31" t="str">
        <x:v>A1183</x:v>
      </x:c>
      <x:c r="C1189" s="31" t="str">
        <x:v>global</x:v>
      </x:c>
      <x:c r="D1189" s="31" t="str">
        <x:v>No mission contributions</x:v>
      </x:c>
      <x:c r="E1189" s="31" t="n">
        <x:f>SUM(Interfaces!J7:J18)</x:f>
        <x:v>0</x:v>
      </x:c>
      <x:c r="F1189" s="31" t="n">
        <x:v>0</x:v>
      </x:c>
      <x:c r="G1189" s="33" t="str">
        <x:f>IF(E1189=F1189,"PASS","FAIL")</x:f>
        <x:v>PASS</x:v>
      </x:c>
    </x:row>
    <x:row r="1190" ht="18" customHeight="1">
      <x:c r="B1190" s="2"/>
      <x:c r="C1190" s="2"/>
      <x:c r="D1190" s="2"/>
      <x:c r="E1190" s="2"/>
      <x:c r="F1190" s="2"/>
      <x:c r="G1190" s="2"/>
    </x:row>
    <x:row r="1191" ht="18" customHeight="1">
      <x:c r="B1191" s="2"/>
      <x:c r="C1191" s="2"/>
      <x:c r="D1191" s="2"/>
      <x:c r="E1191" s="2"/>
      <x:c r="F1191" s="2"/>
      <x:c r="G1191" s="2"/>
    </x:row>
    <x:row r="1192" ht="18" customHeight="1">
      <x:c r="B1192" s="2"/>
      <x:c r="C1192" s="2"/>
      <x:c r="D1192" s="2"/>
      <x:c r="E1192" s="2"/>
      <x:c r="F1192" s="2"/>
      <x:c r="G1192" s="2"/>
    </x:row>
    <x:row r="1193" ht="18" customHeight="1">
      <x:c r="B1193" s="2"/>
      <x:c r="C1193" s="2"/>
      <x:c r="D1193" s="2"/>
      <x:c r="E1193" s="2"/>
      <x:c r="F1193" s="2"/>
      <x:c r="G1193" s="2"/>
    </x:row>
    <x:row r="1194" ht="18" customHeight="1">
      <x:c r="B1194" s="2"/>
      <x:c r="C1194" s="2"/>
      <x:c r="D1194" s="2"/>
      <x:c r="E1194" s="2"/>
      <x:c r="F1194" s="2"/>
      <x:c r="G1194" s="2"/>
    </x:row>
    <x:row r="1195" ht="18" customHeight="1">
      <x:c r="B1195" s="2"/>
      <x:c r="C1195" s="2"/>
      <x:c r="D1195" s="2"/>
      <x:c r="E1195" s="2"/>
      <x:c r="F1195" s="2"/>
      <x:c r="G1195" s="2"/>
    </x:row>
    <x:row r="1196" ht="18" customHeight="1">
      <x:c r="B1196" s="2"/>
      <x:c r="C1196" s="2"/>
      <x:c r="D1196" s="2"/>
      <x:c r="E1196" s="2"/>
      <x:c r="F1196" s="2"/>
      <x:c r="G1196" s="2"/>
    </x:row>
    <x:row r="1197" ht="18" customHeight="1">
      <x:c r="B1197" s="2"/>
      <x:c r="C1197" s="2"/>
      <x:c r="D1197" s="2"/>
      <x:c r="E1197" s="2"/>
      <x:c r="F1197" s="2"/>
      <x:c r="G1197" s="2"/>
    </x:row>
    <x:row r="1198" ht="18" customHeight="1">
      <x:c r="B1198" s="2"/>
      <x:c r="C1198" s="2"/>
      <x:c r="D1198" s="2"/>
      <x:c r="E1198" s="2"/>
      <x:c r="F1198" s="2"/>
      <x:c r="G1198" s="2"/>
    </x:row>
    <x:row r="1199" ht="18" customHeight="1">
      <x:c r="B1199" s="2"/>
      <x:c r="C1199" s="2"/>
      <x:c r="D1199" s="2"/>
      <x:c r="E1199" s="2"/>
      <x:c r="F1199" s="2"/>
      <x:c r="G1199" s="2"/>
    </x:row>
    <x:row r="1200" ht="18" customHeight="1">
      <x:c r="B1200" s="2"/>
      <x:c r="C1200" s="2"/>
      <x:c r="D1200" s="2"/>
      <x:c r="E1200" s="2"/>
      <x:c r="F1200" s="2"/>
      <x:c r="G1200" s="2"/>
    </x:row>
    <x:row r="1201" ht="18" customHeight="1">
      <x:c r="B1201" s="2"/>
      <x:c r="C1201" s="2"/>
      <x:c r="D1201" s="2"/>
      <x:c r="E1201" s="2"/>
      <x:c r="F1201" s="2"/>
      <x:c r="G1201" s="2"/>
    </x:row>
    <x:row r="1202" ht="18" customHeight="1">
      <x:c r="B1202" s="2"/>
      <x:c r="C1202" s="2"/>
      <x:c r="D1202" s="2"/>
      <x:c r="E1202" s="2"/>
      <x:c r="F1202" s="2"/>
      <x:c r="G1202" s="2"/>
    </x:row>
    <x:row r="1203" ht="18" customHeight="1">
      <x:c r="B1203" s="2"/>
      <x:c r="C1203" s="2"/>
      <x:c r="D1203" s="2"/>
      <x:c r="E1203" s="2"/>
      <x:c r="F1203" s="2"/>
      <x:c r="G1203" s="2"/>
    </x:row>
    <x:row r="1204" ht="18" customHeight="1">
      <x:c r="B1204" s="2"/>
      <x:c r="C1204" s="2"/>
      <x:c r="D1204" s="2"/>
      <x:c r="E1204" s="2"/>
      <x:c r="F1204" s="2"/>
      <x:c r="G1204" s="2"/>
    </x:row>
    <x:row r="1205" ht="18" customHeight="1">
      <x:c r="B1205" s="2"/>
      <x:c r="C1205" s="2"/>
      <x:c r="D1205" s="2"/>
      <x:c r="E1205" s="2"/>
      <x:c r="F1205" s="2"/>
      <x:c r="G1205" s="2"/>
    </x:row>
    <x:row r="1206" ht="18" customHeight="1">
      <x:c r="B1206" s="2"/>
      <x:c r="C1206" s="2"/>
      <x:c r="D1206" s="2"/>
      <x:c r="E1206" s="2"/>
      <x:c r="F1206" s="2"/>
      <x:c r="G1206" s="2"/>
    </x:row>
    <x:row r="1207" ht="18" customHeight="1">
      <x:c r="B1207" s="2"/>
      <x:c r="C1207" s="2"/>
      <x:c r="D1207" s="2"/>
      <x:c r="E1207" s="2"/>
      <x:c r="F1207" s="2"/>
      <x:c r="G1207" s="2"/>
    </x:row>
    <x:row r="1208" ht="18" customHeight="1">
      <x:c r="B1208" s="2"/>
      <x:c r="C1208" s="2"/>
      <x:c r="D1208" s="2"/>
      <x:c r="E1208" s="2"/>
      <x:c r="F1208" s="2"/>
      <x:c r="G1208" s="2"/>
    </x:row>
    <x:row r="1209" ht="18" customHeight="1">
      <x:c r="B1209" s="2"/>
      <x:c r="C1209" s="2"/>
      <x:c r="D1209" s="2"/>
      <x:c r="E1209" s="2"/>
      <x:c r="F1209" s="2"/>
      <x:c r="G1209" s="2"/>
    </x:row>
    <x:row r="1210" ht="18" customHeight="1">
      <x:c r="B1210" s="2"/>
      <x:c r="C1210" s="2"/>
      <x:c r="D1210" s="2"/>
      <x:c r="E1210" s="2"/>
      <x:c r="F1210" s="2"/>
      <x:c r="G1210" s="2"/>
    </x:row>
    <x:row r="1211" ht="18" customHeight="1">
      <x:c r="B1211" s="2"/>
      <x:c r="C1211" s="2"/>
      <x:c r="D1211" s="2"/>
      <x:c r="E1211" s="2"/>
      <x:c r="F1211" s="2"/>
      <x:c r="G1211" s="2"/>
    </x:row>
    <x:row r="1212" ht="18" customHeight="1">
      <x:c r="B1212" s="2"/>
      <x:c r="C1212" s="2"/>
      <x:c r="D1212" s="2"/>
      <x:c r="E1212" s="2"/>
      <x:c r="F1212" s="2"/>
      <x:c r="G1212" s="2"/>
    </x:row>
    <x:row r="1213" ht="18" customHeight="1">
      <x:c r="B1213" s="2"/>
      <x:c r="C1213" s="2"/>
      <x:c r="D1213" s="2"/>
      <x:c r="E1213" s="2"/>
      <x:c r="F1213" s="2"/>
      <x:c r="G1213" s="2"/>
    </x:row>
    <x:row r="1214" ht="18" customHeight="1">
      <x:c r="B1214" s="2"/>
      <x:c r="C1214" s="2"/>
      <x:c r="D1214" s="2"/>
      <x:c r="E1214" s="2"/>
      <x:c r="F1214" s="2"/>
      <x:c r="G1214" s="2"/>
    </x:row>
    <x:row r="1215" ht="18" customHeight="1">
      <x:c r="B1215" s="2"/>
      <x:c r="C1215" s="2"/>
      <x:c r="D1215" s="2"/>
      <x:c r="E1215" s="2"/>
      <x:c r="F1215" s="2"/>
      <x:c r="G1215" s="2"/>
    </x:row>
    <x:row r="1216" ht="18" customHeight="1">
      <x:c r="B1216" s="2"/>
      <x:c r="C1216" s="2"/>
      <x:c r="D1216" s="2"/>
      <x:c r="E1216" s="2"/>
      <x:c r="F1216" s="2"/>
      <x:c r="G1216" s="2"/>
    </x:row>
    <x:row r="1217" ht="18" customHeight="1">
      <x:c r="B1217" s="2"/>
      <x:c r="C1217" s="2"/>
      <x:c r="D1217" s="2"/>
      <x:c r="E1217" s="2"/>
      <x:c r="F1217" s="2"/>
      <x:c r="G1217" s="2"/>
    </x:row>
    <x:row r="1218" ht="18" customHeight="1">
      <x:c r="B1218" s="2"/>
      <x:c r="C1218" s="2"/>
      <x:c r="D1218" s="2"/>
      <x:c r="E1218" s="2"/>
      <x:c r="F1218" s="2"/>
      <x:c r="G1218" s="2"/>
    </x:row>
    <x:row r="1219" ht="18" customHeight="1">
      <x:c r="B1219" s="2"/>
      <x:c r="C1219" s="2"/>
      <x:c r="D1219" s="2"/>
      <x:c r="E1219" s="2"/>
      <x:c r="F1219" s="2"/>
      <x:c r="G1219" s="2"/>
    </x:row>
    <x:row r="1220" ht="18" customHeight="1">
      <x:c r="B1220" s="2"/>
      <x:c r="C1220" s="2"/>
      <x:c r="D1220" s="2"/>
      <x:c r="E1220" s="2"/>
      <x:c r="F1220" s="2"/>
      <x:c r="G1220" s="2"/>
    </x:row>
    <x:row r="1221" ht="18" customHeight="1">
      <x:c r="B1221" s="2"/>
      <x:c r="C1221" s="2"/>
      <x:c r="D1221" s="2"/>
      <x:c r="E1221" s="2"/>
      <x:c r="F1221" s="2"/>
      <x:c r="G1221" s="2"/>
    </x:row>
    <x:row r="1222" ht="18" customHeight="1">
      <x:c r="B1222" s="2"/>
      <x:c r="C1222" s="2"/>
      <x:c r="D1222" s="2"/>
      <x:c r="E1222" s="2"/>
      <x:c r="F1222" s="2"/>
      <x:c r="G1222" s="2"/>
    </x:row>
    <x:row r="1223" ht="18" customHeight="1">
      <x:c r="B1223" s="2"/>
      <x:c r="C1223" s="2"/>
      <x:c r="D1223" s="2"/>
      <x:c r="E1223" s="2"/>
      <x:c r="F1223" s="2"/>
      <x:c r="G1223" s="2"/>
    </x:row>
    <x:row r="1224" ht="18" customHeight="1">
      <x:c r="B1224" s="2"/>
      <x:c r="C1224" s="2"/>
      <x:c r="D1224" s="2"/>
      <x:c r="E1224" s="2"/>
      <x:c r="F1224" s="2"/>
      <x:c r="G1224" s="2"/>
    </x:row>
    <x:row r="1225" ht="18" customHeight="1">
      <x:c r="B1225" s="2"/>
      <x:c r="C1225" s="2"/>
      <x:c r="D1225" s="2"/>
      <x:c r="E1225" s="2"/>
      <x:c r="F1225" s="2"/>
      <x:c r="G1225" s="2"/>
    </x:row>
    <x:row r="1226" ht="18" customHeight="1">
      <x:c r="B1226" s="2"/>
      <x:c r="C1226" s="2"/>
      <x:c r="D1226" s="2"/>
      <x:c r="E1226" s="2"/>
      <x:c r="F1226" s="2"/>
      <x:c r="G1226" s="2"/>
    </x:row>
    <x:row r="1227" ht="18" customHeight="1">
      <x:c r="B1227" s="2"/>
      <x:c r="C1227" s="2"/>
      <x:c r="D1227" s="2"/>
      <x:c r="E1227" s="2"/>
      <x:c r="F1227" s="2"/>
      <x:c r="G1227" s="2"/>
    </x:row>
    <x:row r="1228" ht="18" customHeight="1">
      <x:c r="B1228" s="2"/>
      <x:c r="C1228" s="2"/>
      <x:c r="D1228" s="2"/>
      <x:c r="E1228" s="2"/>
      <x:c r="F1228" s="2"/>
      <x:c r="G1228" s="2"/>
    </x:row>
    <x:row r="1229" ht="18" customHeight="1">
      <x:c r="B1229" s="2"/>
      <x:c r="C1229" s="2"/>
      <x:c r="D1229" s="2"/>
      <x:c r="E1229" s="2"/>
      <x:c r="F1229" s="2"/>
      <x:c r="G1229" s="2"/>
    </x:row>
    <x:row r="1230" ht="18" customHeight="1">
      <x:c r="B1230" s="2"/>
      <x:c r="C1230" s="2"/>
      <x:c r="D1230" s="2"/>
      <x:c r="E1230" s="2"/>
      <x:c r="F1230" s="2"/>
      <x:c r="G1230" s="2"/>
    </x:row>
    <x:row r="1231" ht="18" customHeight="1">
      <x:c r="B1231" s="2"/>
      <x:c r="C1231" s="2"/>
      <x:c r="D1231" s="2"/>
      <x:c r="E1231" s="2"/>
      <x:c r="F1231" s="2"/>
      <x:c r="G1231" s="2"/>
    </x:row>
    <x:row r="1232" ht="18" customHeight="1">
      <x:c r="B1232" s="2"/>
      <x:c r="C1232" s="2"/>
      <x:c r="D1232" s="2"/>
      <x:c r="E1232" s="2"/>
      <x:c r="F1232" s="2"/>
      <x:c r="G1232" s="2"/>
    </x:row>
    <x:row r="1233" ht="18" customHeight="1">
      <x:c r="B1233" s="2"/>
      <x:c r="C1233" s="2"/>
      <x:c r="D1233" s="2"/>
      <x:c r="E1233" s="2"/>
      <x:c r="F1233" s="2"/>
      <x:c r="G1233" s="2"/>
    </x:row>
    <x:row r="1234" ht="18" customHeight="1">
      <x:c r="B1234" s="2"/>
      <x:c r="C1234" s="2"/>
      <x:c r="D1234" s="2"/>
      <x:c r="E1234" s="2"/>
      <x:c r="F1234" s="2"/>
      <x:c r="G1234" s="2"/>
    </x:row>
    <x:row r="1235" ht="18" customHeight="1">
      <x:c r="B1235" s="2"/>
      <x:c r="C1235" s="2"/>
      <x:c r="D1235" s="2"/>
      <x:c r="E1235" s="2"/>
      <x:c r="F1235" s="2"/>
      <x:c r="G1235" s="2"/>
    </x:row>
    <x:row r="1236" ht="18" customHeight="1">
      <x:c r="B1236" s="2"/>
      <x:c r="C1236" s="2"/>
      <x:c r="D1236" s="2"/>
      <x:c r="E1236" s="2"/>
      <x:c r="F1236" s="2"/>
      <x:c r="G1236" s="2"/>
    </x:row>
    <x:row r="1237" ht="18" customHeight="1">
      <x:c r="B1237" s="2"/>
      <x:c r="C1237" s="2"/>
      <x:c r="D1237" s="2"/>
      <x:c r="E1237" s="2"/>
      <x:c r="F1237" s="2"/>
      <x:c r="G1237" s="2"/>
    </x:row>
    <x:row r="1238" ht="18" customHeight="1">
      <x:c r="B1238" s="2"/>
      <x:c r="C1238" s="2"/>
      <x:c r="D1238" s="2"/>
      <x:c r="E1238" s="2"/>
      <x:c r="F1238" s="2"/>
      <x:c r="G1238" s="2"/>
    </x:row>
    <x:row r="1239" ht="18" customHeight="1">
      <x:c r="B1239" s="2"/>
      <x:c r="C1239" s="2"/>
      <x:c r="D1239" s="2"/>
      <x:c r="E1239" s="2"/>
      <x:c r="F1239" s="2"/>
      <x:c r="G1239" s="2"/>
    </x:row>
    <x:row r="1240" ht="18" customHeight="1">
      <x:c r="B1240" s="2"/>
      <x:c r="C1240" s="2"/>
      <x:c r="D1240" s="2"/>
      <x:c r="E1240" s="2"/>
      <x:c r="F1240" s="2"/>
      <x:c r="G1240" s="2"/>
    </x:row>
    <x:row r="1241" ht="18" customHeight="1">
      <x:c r="B1241" s="2"/>
      <x:c r="C1241" s="2"/>
      <x:c r="D1241" s="2"/>
      <x:c r="E1241" s="2"/>
      <x:c r="F1241" s="2"/>
      <x:c r="G1241" s="2"/>
    </x:row>
    <x:row r="1242" ht="18" customHeight="1">
      <x:c r="B1242" s="2"/>
      <x:c r="C1242" s="2"/>
      <x:c r="D1242" s="2"/>
      <x:c r="E1242" s="2"/>
      <x:c r="F1242" s="2"/>
      <x:c r="G1242" s="2"/>
    </x:row>
    <x:row r="1243" ht="18" customHeight="1">
      <x:c r="B1243" s="2"/>
      <x:c r="C1243" s="2"/>
      <x:c r="D1243" s="2"/>
      <x:c r="E1243" s="2"/>
      <x:c r="F1243" s="2"/>
      <x:c r="G1243" s="2"/>
    </x:row>
    <x:row r="1244" ht="18" customHeight="1">
      <x:c r="B1244" s="2"/>
      <x:c r="C1244" s="2"/>
      <x:c r="D1244" s="2"/>
      <x:c r="E1244" s="2"/>
      <x:c r="F1244" s="2"/>
      <x:c r="G1244" s="2"/>
    </x:row>
    <x:row r="1245" ht="18" customHeight="1">
      <x:c r="B1245" s="2"/>
      <x:c r="C1245" s="2"/>
      <x:c r="D1245" s="2"/>
      <x:c r="E1245" s="2"/>
      <x:c r="F1245" s="2"/>
      <x:c r="G1245" s="2"/>
    </x:row>
    <x:row r="1246" ht="18" customHeight="1">
      <x:c r="B1246" s="2"/>
      <x:c r="C1246" s="2"/>
      <x:c r="D1246" s="2"/>
      <x:c r="E1246" s="2"/>
      <x:c r="F1246" s="2"/>
      <x:c r="G1246" s="2"/>
    </x:row>
    <x:row r="1247" ht="18" customHeight="1">
      <x:c r="B1247" s="2"/>
      <x:c r="C1247" s="2"/>
      <x:c r="D1247" s="2"/>
      <x:c r="E1247" s="2"/>
      <x:c r="F1247" s="2"/>
      <x:c r="G1247" s="2"/>
    </x:row>
    <x:row r="1248" ht="18" customHeight="1">
      <x:c r="B1248" s="2"/>
      <x:c r="C1248" s="2"/>
      <x:c r="D1248" s="2"/>
      <x:c r="E1248" s="2"/>
      <x:c r="F1248" s="2"/>
      <x:c r="G1248" s="2"/>
    </x:row>
    <x:row r="1249" ht="18" customHeight="1">
      <x:c r="B1249" s="2"/>
      <x:c r="C1249" s="2"/>
      <x:c r="D1249" s="2"/>
      <x:c r="E1249" s="2"/>
      <x:c r="F1249" s="2"/>
      <x:c r="G1249" s="2"/>
    </x:row>
    <x:row r="1250" ht="18" customHeight="1">
      <x:c r="B1250" s="2"/>
      <x:c r="C1250" s="2"/>
      <x:c r="D1250" s="2"/>
      <x:c r="E1250" s="2"/>
      <x:c r="F1250" s="2"/>
      <x:c r="G1250" s="2"/>
    </x:row>
    <x:row r="1251" ht="18" customHeight="1">
      <x:c r="B1251" s="2"/>
      <x:c r="C1251" s="2"/>
      <x:c r="D1251" s="2"/>
      <x:c r="E1251" s="2"/>
      <x:c r="F1251" s="2"/>
      <x:c r="G1251" s="2"/>
    </x:row>
    <x:row r="1252" ht="18" customHeight="1">
      <x:c r="B1252" s="2"/>
      <x:c r="C1252" s="2"/>
      <x:c r="D1252" s="2"/>
      <x:c r="E1252" s="2"/>
      <x:c r="F1252" s="2"/>
      <x:c r="G1252" s="2"/>
    </x:row>
    <x:row r="1253" ht="18" customHeight="1">
      <x:c r="B1253" s="2"/>
      <x:c r="C1253" s="2"/>
      <x:c r="D1253" s="2"/>
      <x:c r="E1253" s="2"/>
      <x:c r="F1253" s="2"/>
      <x:c r="G1253" s="2"/>
    </x:row>
    <x:row r="1254" ht="18" customHeight="1">
      <x:c r="B1254" s="2"/>
      <x:c r="C1254" s="2"/>
      <x:c r="D1254" s="2"/>
      <x:c r="E1254" s="2"/>
      <x:c r="F1254" s="2"/>
      <x:c r="G1254" s="2"/>
    </x:row>
    <x:row r="1255" ht="18" customHeight="1">
      <x:c r="B1255" s="2"/>
      <x:c r="C1255" s="2"/>
      <x:c r="D1255" s="2"/>
      <x:c r="E1255" s="2"/>
      <x:c r="F1255" s="2"/>
      <x:c r="G1255" s="2"/>
    </x:row>
    <x:row r="1256" ht="18" customHeight="1">
      <x:c r="B1256" s="2"/>
      <x:c r="C1256" s="2"/>
      <x:c r="D1256" s="2"/>
      <x:c r="E1256" s="2"/>
      <x:c r="F1256" s="2"/>
      <x:c r="G1256" s="2"/>
    </x:row>
    <x:row r="1257" ht="18" customHeight="1">
      <x:c r="B1257" s="2"/>
      <x:c r="C1257" s="2"/>
      <x:c r="D1257" s="2"/>
      <x:c r="E1257" s="2"/>
      <x:c r="F1257" s="2"/>
      <x:c r="G1257" s="2"/>
    </x:row>
    <x:row r="1258" ht="18" customHeight="1">
      <x:c r="B1258" s="2"/>
      <x:c r="C1258" s="2"/>
      <x:c r="D1258" s="2"/>
      <x:c r="E1258" s="2"/>
      <x:c r="F1258" s="2"/>
      <x:c r="G1258" s="2"/>
    </x:row>
    <x:row r="1259" ht="18" customHeight="1">
      <x:c r="B1259" s="2"/>
      <x:c r="C1259" s="2"/>
      <x:c r="D1259" s="2"/>
      <x:c r="E1259" s="2"/>
      <x:c r="F1259" s="2"/>
      <x:c r="G1259" s="2"/>
    </x:row>
    <x:row r="1260" ht="18" customHeight="1">
      <x:c r="B1260" s="2"/>
      <x:c r="C1260" s="2"/>
      <x:c r="D1260" s="2"/>
      <x:c r="E1260" s="2"/>
      <x:c r="F1260" s="2"/>
      <x:c r="G1260" s="2"/>
    </x:row>
    <x:row r="1261" ht="18" customHeight="1">
      <x:c r="B1261" s="2"/>
      <x:c r="C1261" s="2"/>
      <x:c r="D1261" s="2"/>
      <x:c r="E1261" s="2"/>
      <x:c r="F1261" s="2"/>
      <x:c r="G1261" s="2"/>
    </x:row>
    <x:row r="1262" ht="18" customHeight="1">
      <x:c r="B1262" s="2"/>
      <x:c r="C1262" s="2"/>
      <x:c r="D1262" s="2"/>
      <x:c r="E1262" s="2"/>
      <x:c r="F1262" s="2"/>
      <x:c r="G1262" s="2"/>
    </x:row>
    <x:row r="1263" ht="18" customHeight="1">
      <x:c r="B1263" s="2"/>
      <x:c r="C1263" s="2"/>
      <x:c r="D1263" s="2"/>
      <x:c r="E1263" s="2"/>
      <x:c r="F1263" s="2"/>
      <x:c r="G1263" s="2"/>
    </x:row>
    <x:row r="1264" ht="18" customHeight="1">
      <x:c r="B1264" s="2"/>
      <x:c r="C1264" s="2"/>
      <x:c r="D1264" s="2"/>
      <x:c r="E1264" s="2"/>
      <x:c r="F1264" s="2"/>
      <x:c r="G1264" s="2"/>
    </x:row>
    <x:row r="1265" ht="18" customHeight="1">
      <x:c r="B1265" s="2"/>
      <x:c r="C1265" s="2"/>
      <x:c r="D1265" s="2"/>
      <x:c r="E1265" s="2"/>
      <x:c r="F1265" s="2"/>
      <x:c r="G1265" s="2"/>
    </x:row>
    <x:row r="1266" ht="18" customHeight="1">
      <x:c r="B1266" s="2"/>
      <x:c r="C1266" s="2"/>
      <x:c r="D1266" s="2"/>
      <x:c r="E1266" s="2"/>
      <x:c r="F1266" s="2"/>
      <x:c r="G1266" s="2"/>
    </x:row>
    <x:row r="1267" ht="18" customHeight="1">
      <x:c r="B1267" s="2"/>
      <x:c r="C1267" s="2"/>
      <x:c r="D1267" s="2"/>
      <x:c r="E1267" s="2"/>
      <x:c r="F1267" s="2"/>
      <x:c r="G1267" s="2"/>
    </x:row>
    <x:row r="1268" ht="18" customHeight="1">
      <x:c r="B1268" s="2"/>
      <x:c r="C1268" s="2"/>
      <x:c r="D1268" s="2"/>
      <x:c r="E1268" s="2"/>
      <x:c r="F1268" s="2"/>
      <x:c r="G1268" s="2"/>
    </x:row>
    <x:row r="1269" ht="18" customHeight="1">
      <x:c r="B1269" s="2"/>
      <x:c r="C1269" s="2"/>
      <x:c r="D1269" s="2"/>
      <x:c r="E1269" s="2"/>
      <x:c r="F1269" s="2"/>
      <x:c r="G1269" s="2"/>
    </x:row>
    <x:row r="1270" ht="18" customHeight="1">
      <x:c r="B1270" s="2"/>
      <x:c r="C1270" s="2"/>
      <x:c r="D1270" s="2"/>
      <x:c r="E1270" s="2"/>
      <x:c r="F1270" s="2"/>
      <x:c r="G1270" s="2"/>
    </x:row>
    <x:row r="1271" ht="18" customHeight="1">
      <x:c r="B1271" s="2"/>
      <x:c r="C1271" s="2"/>
      <x:c r="D1271" s="2"/>
      <x:c r="E1271" s="2"/>
      <x:c r="F1271" s="2"/>
      <x:c r="G1271" s="2"/>
    </x:row>
    <x:row r="1272" ht="18" customHeight="1">
      <x:c r="B1272" s="2"/>
      <x:c r="C1272" s="2"/>
      <x:c r="D1272" s="2"/>
      <x:c r="E1272" s="2"/>
      <x:c r="F1272" s="2"/>
      <x:c r="G1272" s="2"/>
    </x:row>
    <x:row r="1273" ht="18" customHeight="1">
      <x:c r="B1273" s="2"/>
      <x:c r="C1273" s="2"/>
      <x:c r="D1273" s="2"/>
      <x:c r="E1273" s="2"/>
      <x:c r="F1273" s="2"/>
      <x:c r="G1273" s="2"/>
    </x:row>
    <x:row r="1274" ht="18" customHeight="1">
      <x:c r="B1274" s="2"/>
      <x:c r="C1274" s="2"/>
      <x:c r="D1274" s="2"/>
      <x:c r="E1274" s="2"/>
      <x:c r="F1274" s="2"/>
      <x:c r="G1274" s="2"/>
    </x:row>
    <x:row r="1275" ht="18" customHeight="1">
      <x:c r="B1275" s="2"/>
      <x:c r="C1275" s="2"/>
      <x:c r="D1275" s="2"/>
      <x:c r="E1275" s="2"/>
      <x:c r="F1275" s="2"/>
      <x:c r="G1275" s="2"/>
    </x:row>
    <x:row r="1276" ht="18" customHeight="1">
      <x:c r="B1276" s="2"/>
      <x:c r="C1276" s="2"/>
      <x:c r="D1276" s="2"/>
      <x:c r="E1276" s="2"/>
      <x:c r="F1276" s="2"/>
      <x:c r="G1276" s="2"/>
    </x:row>
    <x:row r="1277" ht="18" customHeight="1">
      <x:c r="B1277" s="2"/>
      <x:c r="C1277" s="2"/>
      <x:c r="D1277" s="2"/>
      <x:c r="E1277" s="2"/>
      <x:c r="F1277" s="2"/>
      <x:c r="G1277" s="2"/>
    </x:row>
    <x:row r="1278" ht="18" customHeight="1">
      <x:c r="B1278" s="2"/>
      <x:c r="C1278" s="2"/>
      <x:c r="D1278" s="2"/>
      <x:c r="E1278" s="2"/>
      <x:c r="F1278" s="2"/>
      <x:c r="G1278" s="2"/>
    </x:row>
    <x:row r="1279" ht="18" customHeight="1">
      <x:c r="B1279" s="2"/>
      <x:c r="C1279" s="2"/>
      <x:c r="D1279" s="2"/>
      <x:c r="E1279" s="2"/>
      <x:c r="F1279" s="2"/>
      <x:c r="G1279" s="2"/>
    </x:row>
    <x:row r="1280" ht="18" customHeight="1">
      <x:c r="B1280" s="2"/>
      <x:c r="C1280" s="2"/>
      <x:c r="D1280" s="2"/>
      <x:c r="E1280" s="2"/>
      <x:c r="F1280" s="2"/>
      <x:c r="G1280" s="2"/>
    </x:row>
    <x:row r="1281" ht="18" customHeight="1">
      <x:c r="B1281" s="2"/>
      <x:c r="C1281" s="2"/>
      <x:c r="D1281" s="2"/>
      <x:c r="E1281" s="2"/>
      <x:c r="F1281" s="2"/>
      <x:c r="G1281" s="2"/>
    </x:row>
    <x:row r="1282" ht="18" customHeight="1">
      <x:c r="B1282" s="2"/>
      <x:c r="C1282" s="2"/>
      <x:c r="D1282" s="2"/>
      <x:c r="E1282" s="2"/>
      <x:c r="F1282" s="2"/>
      <x:c r="G1282" s="2"/>
    </x:row>
    <x:row r="1283" ht="18" customHeight="1">
      <x:c r="B1283" s="2"/>
      <x:c r="C1283" s="2"/>
      <x:c r="D1283" s="2"/>
      <x:c r="E1283" s="2"/>
      <x:c r="F1283" s="2"/>
      <x:c r="G1283" s="2"/>
    </x:row>
    <x:row r="1284" ht="18" customHeight="1">
      <x:c r="B1284" s="2"/>
      <x:c r="C1284" s="2"/>
      <x:c r="D1284" s="2"/>
      <x:c r="E1284" s="2"/>
      <x:c r="F1284" s="2"/>
      <x:c r="G1284" s="2"/>
    </x:row>
    <x:row r="1285" ht="18" customHeight="1">
      <x:c r="B1285" s="2"/>
      <x:c r="C1285" s="2"/>
      <x:c r="D1285" s="2"/>
      <x:c r="E1285" s="2"/>
      <x:c r="F1285" s="2"/>
      <x:c r="G1285" s="2"/>
    </x:row>
    <x:row r="1286" ht="18" customHeight="1">
      <x:c r="B1286" s="2"/>
      <x:c r="C1286" s="2"/>
      <x:c r="D1286" s="2"/>
      <x:c r="E1286" s="2"/>
      <x:c r="F1286" s="2"/>
      <x:c r="G1286" s="2"/>
    </x:row>
    <x:row r="1287" ht="18" customHeight="1">
      <x:c r="B1287" s="2"/>
      <x:c r="C1287" s="2"/>
      <x:c r="D1287" s="2"/>
      <x:c r="E1287" s="2"/>
      <x:c r="F1287" s="2"/>
      <x:c r="G1287" s="2"/>
    </x:row>
    <x:row r="1288" ht="18" customHeight="1">
      <x:c r="B1288" s="2"/>
      <x:c r="C1288" s="2"/>
      <x:c r="D1288" s="2"/>
      <x:c r="E1288" s="2"/>
      <x:c r="F1288" s="2"/>
      <x:c r="G1288" s="2"/>
    </x:row>
    <x:row r="1289" ht="18" customHeight="1">
      <x:c r="B1289" s="2"/>
      <x:c r="C1289" s="2"/>
      <x:c r="D1289" s="2"/>
      <x:c r="E1289" s="2"/>
      <x:c r="F1289" s="2"/>
      <x:c r="G1289" s="2"/>
    </x:row>
    <x:row r="1290" ht="18" customHeight="1">
      <x:c r="B1290" s="2"/>
      <x:c r="C1290" s="2"/>
      <x:c r="D1290" s="2"/>
      <x:c r="E1290" s="2"/>
      <x:c r="F1290" s="2"/>
      <x:c r="G1290" s="2"/>
    </x:row>
    <x:row r="1291" ht="18" customHeight="1">
      <x:c r="B1291" s="2"/>
      <x:c r="C1291" s="2"/>
      <x:c r="D1291" s="2"/>
      <x:c r="E1291" s="2"/>
      <x:c r="F1291" s="2"/>
      <x:c r="G1291" s="2"/>
    </x:row>
    <x:row r="1292" ht="18" customHeight="1">
      <x:c r="B1292" s="2"/>
      <x:c r="C1292" s="2"/>
      <x:c r="D1292" s="2"/>
      <x:c r="E1292" s="2"/>
      <x:c r="F1292" s="2"/>
      <x:c r="G1292" s="2"/>
    </x:row>
    <x:row r="1293" ht="18" customHeight="1">
      <x:c r="B1293" s="2"/>
      <x:c r="C1293" s="2"/>
      <x:c r="D1293" s="2"/>
      <x:c r="E1293" s="2"/>
      <x:c r="F1293" s="2"/>
      <x:c r="G1293" s="2"/>
    </x:row>
    <x:row r="1294" ht="18" customHeight="1">
      <x:c r="B1294" s="2"/>
      <x:c r="C1294" s="2"/>
      <x:c r="D1294" s="2"/>
      <x:c r="E1294" s="2"/>
      <x:c r="F1294" s="2"/>
      <x:c r="G1294" s="2"/>
    </x:row>
    <x:row r="1295" ht="18" customHeight="1">
      <x:c r="B1295" s="2"/>
      <x:c r="C1295" s="2"/>
      <x:c r="D1295" s="2"/>
      <x:c r="E1295" s="2"/>
      <x:c r="F1295" s="2"/>
      <x:c r="G1295" s="2"/>
    </x:row>
    <x:row r="1296" ht="18" customHeight="1">
      <x:c r="B1296" s="2"/>
      <x:c r="C1296" s="2"/>
      <x:c r="D1296" s="2"/>
      <x:c r="E1296" s="2"/>
      <x:c r="F1296" s="2"/>
      <x:c r="G1296" s="2"/>
    </x:row>
    <x:row r="1297" ht="18" customHeight="1">
      <x:c r="B1297" s="2"/>
      <x:c r="C1297" s="2"/>
      <x:c r="D1297" s="2"/>
      <x:c r="E1297" s="2"/>
      <x:c r="F1297" s="2"/>
      <x:c r="G1297" s="2"/>
    </x:row>
    <x:row r="1298" ht="18" customHeight="1">
      <x:c r="B1298" s="2"/>
      <x:c r="C1298" s="2"/>
      <x:c r="D1298" s="2"/>
      <x:c r="E1298" s="2"/>
      <x:c r="F1298" s="2"/>
      <x:c r="G1298" s="2"/>
    </x:row>
    <x:row r="1299" ht="18" customHeight="1">
      <x:c r="B1299" s="2"/>
      <x:c r="C1299" s="2"/>
      <x:c r="D1299" s="2"/>
      <x:c r="E1299" s="2"/>
      <x:c r="F1299" s="2"/>
      <x:c r="G1299" s="2"/>
    </x:row>
    <x:row r="1300" ht="18" customHeight="1">
      <x:c r="B1300" s="2"/>
      <x:c r="C1300" s="2"/>
      <x:c r="D1300" s="2"/>
      <x:c r="E1300" s="2"/>
      <x:c r="F1300" s="2"/>
      <x:c r="G1300" s="2"/>
    </x:row>
  </x:sheetData>
  <x:mergeCells>
    <x:mergeCell ref="B3:G3"/>
  </x:mergeCells>
  <x:conditionalFormatting sqref="G7:G1189">
    <x:cfRule type="containsText" dxfId="96" priority="1" operator="containsText" text="OPEN"/>
    <x:cfRule type="containsText" dxfId="97" priority="2" operator="containsText" text="HOLD"/>
    <x:cfRule type="containsText" dxfId="98" priority="3" operator="containsText" text="BLOCKED"/>
    <x:cfRule type="containsText" dxfId="99" priority="4" operator="containsText" text="REJECT"/>
    <x:cfRule type="containsText" dxfId="100" priority="5" operator="containsText" text="FAIL"/>
    <x:cfRule type="containsText" dxfId="101" priority="6" operator="containsText" text="SELECTED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7B8790"/>
  </x:sheetPr>
  <x:sheetViews>
    <x:sheetView showGridLines="0" workbookViewId="0"/>
  </x:sheetViews>
  <x:sheetFormatPr defaultRowHeight="15"/>
  <x:cols>
    <x:col min="2" max="2" width="30" hidden="0" customWidth="1"/>
    <x:col min="3" max="3" width="49" hidden="0" customWidth="1"/>
    <x:col min="4" max="4" width="38" hidden="0" customWidth="1"/>
    <x:col min="5" max="5" width="35" hidden="0" customWidth="1"/>
    <x:col min="6" max="6" width="31" hidden="0" customWidth="1"/>
    <x:col min="7" max="7" width="28" hidden="0" customWidth="1"/>
    <x:col min="8" max="8" width="35" hidden="0" customWidth="1"/>
    <x:col min="9" max="9" width="27" hidden="0" customWidth="1"/>
    <x:col min="10" max="10" width="31" hidden="0" customWidth="1"/>
  </x:cols>
  <x:sheetData>
    <x:row r="2" ht="18" customHeight="1">
      <x:c r="B2" s="3" t="str">
        <x:v>Workbook guide</x:v>
      </x:c>
      <x:c r="C2" s="2"/>
      <x:c r="D2" s="2"/>
      <x:c r="E2" s="2"/>
      <x:c r="F2" s="2"/>
      <x:c r="G2" s="2"/>
      <x:c r="H2" s="2"/>
      <x:c r="I2" s="2"/>
      <x:c r="J2" s="2"/>
    </x:row>
    <x:row r="3" ht="18" customHeight="1">
      <x:c r="B3" s="4" t="str">
        <x:v>MESA-1C converts a hardware list into a governed architecture competition, protected article bank and executable trial constitution.</x:v>
      </x:c>
      <x:c r="C3" s="2"/>
      <x:c r="D3" s="2"/>
      <x:c r="E3" s="2"/>
      <x:c r="F3" s="2"/>
      <x:c r="G3" s="2"/>
      <x:c r="H3" s="2"/>
      <x:c r="I3" s="2"/>
      <x:c r="J3" s="2"/>
    </x:row>
    <x:row r="4" ht="18" customHeight="1">
      <x:c r="B4" s="5"/>
      <x:c r="C4" s="5"/>
      <x:c r="D4" s="5"/>
      <x:c r="E4" s="5"/>
      <x:c r="F4" s="5"/>
      <x:c r="G4" s="5"/>
      <x:c r="H4" s="5"/>
      <x:c r="I4" s="5"/>
      <x:c r="J4" s="5"/>
    </x:row>
    <x:row r="5" ht="18" customHeight="1">
      <x:c r="B5" s="2"/>
      <x:c r="C5" s="2"/>
      <x:c r="D5" s="2"/>
      <x:c r="E5" s="2"/>
      <x:c r="F5" s="2"/>
      <x:c r="G5" s="2"/>
      <x:c r="H5" s="2"/>
      <x:c r="I5" s="2"/>
      <x:c r="J5" s="2"/>
    </x:row>
    <x:row r="6" ht="18" customHeight="1">
      <x:c r="B6" s="25" t="str">
        <x:v>Sheet</x:v>
      </x:c>
      <x:c r="C6" s="26" t="str">
        <x:v>Purpose</x:v>
      </x:c>
      <x:c r="D6" s="26" t="str">
        <x:v>Key decision</x:v>
      </x:c>
      <x:c r="E6" s="26" t="str">
        <x:v>Inputs</x:v>
      </x:c>
      <x:c r="F6" s="26" t="str">
        <x:v>Formula outputs</x:v>
      </x:c>
      <x:c r="G6" s="26" t="str">
        <x:v>State semantics</x:v>
      </x:c>
      <x:c r="H6" s="26" t="str">
        <x:v>Do not infer</x:v>
      </x:c>
      <x:c r="I6" s="26" t="str">
        <x:v>Owner</x:v>
      </x:c>
      <x:c r="J6" s="26" t="str">
        <x:v>Update trigger</x:v>
      </x:c>
    </x:row>
    <x:row r="7" ht="18" customHeight="1">
      <x:c r="B7" s="27" t="str">
        <x:v>Summary</x:v>
      </x:c>
      <x:c r="C7" s="27" t="str">
        <x:v>current answer</x:v>
      </x:c>
      <x:c r="D7" s="27" t="str">
        <x:v>select eleven prototype baselines</x:v>
      </x:c>
      <x:c r="E7" s="27" t="str">
        <x:v>all model sheets</x:v>
      </x:c>
      <x:c r="F7" s="27" t="str">
        <x:v>headline controls</x:v>
      </x:c>
      <x:c r="G7" s="27" t="str">
        <x:v>PASS plus OPEN</x:v>
      </x:c>
      <x:c r="H7" s="27" t="str">
        <x:v>physical maturity</x:v>
      </x:c>
      <x:c r="I7" s="27" t="str">
        <x:v>program executive</x:v>
      </x:c>
      <x:c r="J7" s="29" t="str">
        <x:v>accepted evidence</x:v>
      </x:c>
    </x:row>
    <x:row r="8" ht="18" customHeight="1">
      <x:c r="B8" s="27" t="str">
        <x:v>Assumptions</x:v>
      </x:c>
      <x:c r="C8" s="27" t="str">
        <x:v>declared hypotheses</x:v>
      </x:c>
      <x:c r="D8" s="27" t="str">
        <x:v>freeze inherited and Pass 93 controls</x:v>
      </x:c>
      <x:c r="E8" s="27" t="str">
        <x:v>MESA-1R and Pass 93</x:v>
      </x:c>
      <x:c r="F8" s="27" t="str">
        <x:v>none</x:v>
      </x:c>
      <x:c r="G8" s="27" t="str">
        <x:v>blue is unmeasured</x:v>
      </x:c>
      <x:c r="H8" s="27" t="str">
        <x:v>empirical truth</x:v>
      </x:c>
      <x:c r="I8" s="27" t="str">
        <x:v>model custodian</x:v>
      </x:c>
      <x:c r="J8" s="29" t="str">
        <x:v>new evidence</x:v>
      </x:c>
    </x:row>
    <x:row r="9" ht="18" customHeight="1">
      <x:c r="B9" s="27" t="str">
        <x:v>Competition / Gate Matrix</x:v>
      </x:c>
      <x:c r="C9" s="27" t="str">
        <x:v>architecture choice</x:v>
      </x:c>
      <x:c r="D9" s="27" t="str">
        <x:v>hard gates precede weighted score</x:v>
      </x:c>
      <x:c r="E9" s="27" t="str">
        <x:v>33 candidates</x:v>
      </x:c>
      <x:c r="F9" s="27" t="str">
        <x:v>admission and score</x:v>
      </x:c>
      <x:c r="G9" s="27" t="str">
        <x:v>REJECT is structural</x:v>
      </x:c>
      <x:c r="H9" s="27" t="str">
        <x:v>vendor winner</x:v>
      </x:c>
      <x:c r="I9" s="27" t="str">
        <x:v>requirements authority</x:v>
      </x:c>
      <x:c r="J9" s="29" t="str">
        <x:v>competition amendment</x:v>
      </x:c>
    </x:row>
    <x:row r="10" ht="18" customHeight="1">
      <x:c r="B10" s="27" t="str">
        <x:v>Serial Baseline</x:v>
      </x:c>
      <x:c r="C10" s="27" t="str">
        <x:v>configuration law</x:v>
      </x:c>
      <x:c r="D10" s="27" t="str">
        <x:v>fix prototype burden and ancestry</x:v>
      </x:c>
      <x:c r="E10" s="27" t="str">
        <x:v>11 selected concepts</x:v>
      </x:c>
      <x:c r="F10" s="27" t="str">
        <x:v>none</x:v>
      </x:c>
      <x:c r="G10" s="27" t="str">
        <x:v>OPEN</x:v>
      </x:c>
      <x:c r="H10" s="27" t="str">
        <x:v>production drawing</x:v>
      </x:c>
      <x:c r="I10" s="27" t="str">
        <x:v>configuration authority</x:v>
      </x:c>
      <x:c r="J10" s="29" t="str">
        <x:v>accepted change</x:v>
      </x:c>
    </x:row>
    <x:row r="11" ht="18" customHeight="1">
      <x:c r="B11" s="27" t="str">
        <x:v>Interfaces</x:v>
      </x:c>
      <x:c r="C11" s="27" t="str">
        <x:v>no-crutch boundary</x:v>
      </x:c>
      <x:c r="D11" s="27" t="str">
        <x:v>evidence loses before mission changes</x:v>
      </x:c>
      <x:c r="E11" s="27" t="str">
        <x:v>12 physical paths</x:v>
      </x:c>
      <x:c r="F11" s="27" t="str">
        <x:v>zero transfer controls</x:v>
      </x:c>
      <x:c r="G11" s="27" t="str">
        <x:v>OPEN</x:v>
      </x:c>
      <x:c r="H11" s="27" t="str">
        <x:v>qualified hardware</x:v>
      </x:c>
      <x:c r="I11" s="27" t="str">
        <x:v>interface authority</x:v>
      </x:c>
      <x:c r="J11" s="29" t="str">
        <x:v>reverse-energy evidence</x:v>
      </x:c>
    </x:row>
    <x:row r="12" ht="18" customHeight="1">
      <x:c r="B12" s="27" t="str">
        <x:v>Prototype Articles</x:v>
      </x:c>
      <x:c r="C12" s="27" t="str">
        <x:v>protected banks</x:v>
      </x:c>
      <x:c r="D12" s="27" t="str">
        <x:v>reserve reference, destructive and quarantine stock</x:v>
      </x:c>
      <x:c r="E12" s="27" t="str">
        <x:v>11 families</x:v>
      </x:c>
      <x:c r="F12" s="27" t="str">
        <x:v>deployable margins and cost</x:v>
      </x:c>
      <x:c r="G12" s="27" t="str">
        <x:v>OPEN</x:v>
      </x:c>
      <x:c r="H12" s="27" t="str">
        <x:v>article availability</x:v>
      </x:c>
      <x:c r="I12" s="27" t="str">
        <x:v>custody authorities</x:v>
      </x:c>
      <x:c r="J12" s="29" t="str">
        <x:v>article disposition</x:v>
      </x:c>
    </x:row>
    <x:row r="13" ht="18" customHeight="1">
      <x:c r="B13" s="27" t="str">
        <x:v>Trial Register</x:v>
      </x:c>
      <x:c r="C13" s="27" t="str">
        <x:v>execution sequence</x:v>
      </x:c>
      <x:c r="D13" s="27" t="str">
        <x:v>register 68 trials before outcomes</x:v>
      </x:c>
      <x:c r="E13" s="27" t="str">
        <x:v>P01-P08</x:v>
      </x:c>
      <x:c r="F13" s="27" t="str">
        <x:v>counts and dates</x:v>
      </x:c>
      <x:c r="G13" s="27" t="str">
        <x:v>OPEN and zero credit</x:v>
      </x:c>
      <x:c r="H13" s="27" t="str">
        <x:v>successful test</x:v>
      </x:c>
      <x:c r="I13" s="27" t="str">
        <x:v>trial authority</x:v>
      </x:c>
      <x:c r="J13" s="29" t="str">
        <x:v>protocol amendment</x:v>
      </x:c>
    </x:row>
    <x:row r="14" ht="18" customHeight="1">
      <x:c r="B14" s="27" t="str">
        <x:v>Evidence Gates</x:v>
      </x:c>
      <x:c r="C14" s="27" t="str">
        <x:v>campaign constitution</x:v>
      </x:c>
      <x:c r="D14" s="27" t="str">
        <x:v>eight gates co-govern every campaign</x:v>
      </x:c>
      <x:c r="E14" s="27" t="str">
        <x:v>64 records</x:v>
      </x:c>
      <x:c r="F14" s="27" t="str">
        <x:v>zero total credit</x:v>
      </x:c>
      <x:c r="G14" s="27" t="str">
        <x:v>HOLD</x:v>
      </x:c>
      <x:c r="H14" s="27" t="str">
        <x:v>earned campaign credit</x:v>
      </x:c>
      <x:c r="I14" s="27" t="str">
        <x:v>evidence authorities</x:v>
      </x:c>
      <x:c r="J14" s="29" t="str">
        <x:v>accepted artifact</x:v>
      </x:c>
    </x:row>
    <x:row r="15" ht="18" customHeight="1">
      <x:c r="B15" s="27" t="str">
        <x:v>Campaign Schedule</x:v>
      </x:c>
      <x:c r="C15" s="27" t="str">
        <x:v>dependency chain</x:v>
      </x:c>
      <x:c r="D15" s="27" t="str">
        <x:v>keep complete mission behind components</x:v>
      </x:c>
      <x:c r="E15" s="27" t="str">
        <x:v>registered trials and gates</x:v>
      </x:c>
      <x:c r="F15" s="27" t="str">
        <x:v>78 months and counts</x:v>
      </x:c>
      <x:c r="G15" s="27" t="str">
        <x:v>OPEN</x:v>
      </x:c>
      <x:c r="H15" s="27" t="str">
        <x:v>schedule certainty</x:v>
      </x:c>
      <x:c r="I15" s="27" t="str">
        <x:v>program executive</x:v>
      </x:c>
      <x:c r="J15" s="29" t="str">
        <x:v>campaign acceptance</x:v>
      </x:c>
    </x:row>
    <x:row r="16" ht="18" customHeight="1">
      <x:c r="B16" s="27" t="str">
        <x:v>Cost Matrix</x:v>
      </x:c>
      <x:c r="C16" s="27" t="str">
        <x:v>fiscal envelope</x:v>
      </x:c>
      <x:c r="D16" s="27" t="str">
        <x:v>nest USD 6.8B inside F01</x:v>
      </x:c>
      <x:c r="E16" s="27" t="str">
        <x:v>campaign allocations</x:v>
      </x:c>
      <x:c r="F16" s="27" t="str">
        <x:v>two-way reconciliation</x:v>
      </x:c>
      <x:c r="G16" s="27" t="str">
        <x:v>planning values</x:v>
      </x:c>
      <x:c r="H16" s="27" t="str">
        <x:v>vendor quote</x:v>
      </x:c>
      <x:c r="I16" s="27" t="str">
        <x:v>cost evidence board</x:v>
      </x:c>
      <x:c r="J16" s="29" t="str">
        <x:v>awarded obligation</x:v>
      </x:c>
    </x:row>
    <x:row r="17" ht="18" customHeight="1">
      <x:c r="B17" s="27" t="str">
        <x:v>Industrial Base</x:v>
      </x:c>
      <x:c r="C17" s="27" t="str">
        <x:v>real rivalry</x:v>
      </x:c>
      <x:c r="D17" s="27" t="str">
        <x:v>separate decisive ancestry, not labels</x:v>
      </x:c>
      <x:c r="E17" s="27" t="str">
        <x:v>12 critical chains</x:v>
      </x:c>
      <x:c r="F17" s="27" t="str">
        <x:v>design screens</x:v>
      </x:c>
      <x:c r="G17" s="27" t="str">
        <x:v>OPEN</x:v>
      </x:c>
      <x:c r="H17" s="27" t="str">
        <x:v>supplier independence</x:v>
      </x:c>
      <x:c r="I17" s="27" t="str">
        <x:v>industrial authority</x:v>
      </x:c>
      <x:c r="J17" s="29" t="str">
        <x:v>ownership or teardown finding</x:v>
      </x:c>
    </x:row>
    <x:row r="18" ht="18" customHeight="1">
      <x:c r="B18" s="27" t="str">
        <x:v>Decision Gates</x:v>
      </x:c>
      <x:c r="C18" s="27" t="str">
        <x:v>authority boundary</x:v>
      </x:c>
      <x:c r="D18" s="27" t="str">
        <x:v>hold production and rendering</x:v>
      </x:c>
      <x:c r="E18" s="27" t="str">
        <x:v>all evidence systems</x:v>
      </x:c>
      <x:c r="F18" s="27" t="str">
        <x:v>none</x:v>
      </x:c>
      <x:c r="G18" s="27" t="str">
        <x:v>HOLD/BLOCKED</x:v>
      </x:c>
      <x:c r="H18" s="27" t="str">
        <x:v>authorization</x:v>
      </x:c>
      <x:c r="I18" s="27" t="str">
        <x:v>requirements authority</x:v>
      </x:c>
      <x:c r="J18" s="29" t="str">
        <x:v>gate closure</x:v>
      </x:c>
    </x:row>
    <x:row r="19" ht="18" customHeight="1">
      <x:c r="B19" s="31" t="str">
        <x:v>Audit</x:v>
      </x:c>
      <x:c r="C19" s="31" t="str">
        <x:v>terminal validation</x:v>
      </x:c>
      <x:c r="D19" s="31" t="str">
        <x:v>1183 deterministic controls</x:v>
      </x:c>
      <x:c r="E19" s="31" t="str">
        <x:v>all sheets</x:v>
      </x:c>
      <x:c r="F19" s="31" t="str">
        <x:v>PASS/FAIL</x:v>
      </x:c>
      <x:c r="G19" s="31" t="str">
        <x:v>PASS model only</x:v>
      </x:c>
      <x:c r="H19" s="31" t="str">
        <x:v>physical evidence</x:v>
      </x:c>
      <x:c r="I19" s="31" t="str">
        <x:v>model custodian</x:v>
      </x:c>
      <x:c r="J19" s="33" t="str">
        <x:v>formula change</x:v>
      </x:c>
    </x:row>
    <x:row r="20" ht="18" customHeight="1">
      <x:c r="B20" s="2"/>
      <x:c r="C20" s="2"/>
      <x:c r="D20" s="2"/>
      <x:c r="E20" s="2"/>
      <x:c r="F20" s="2"/>
      <x:c r="G20" s="2"/>
      <x:c r="H20" s="2"/>
      <x:c r="I20" s="2"/>
      <x:c r="J20" s="2"/>
    </x:row>
    <x:row r="21" ht="18" customHeight="1">
      <x:c r="B21" s="2"/>
      <x:c r="C21" s="2"/>
      <x:c r="D21" s="2"/>
      <x:c r="E21" s="2"/>
      <x:c r="F21" s="2"/>
      <x:c r="G21" s="2"/>
      <x:c r="H21" s="2"/>
      <x:c r="I21" s="2"/>
      <x:c r="J21" s="2"/>
    </x:row>
    <x:row r="22" ht="18" customHeight="1">
      <x:c r="B22" s="8" t="str">
        <x:v>Version and use</x:v>
      </x:c>
      <x:c r="C22" s="9" t="str">
        <x:v>Version and use</x:v>
      </x:c>
      <x:c r="D22" s="9" t="str">
        <x:v>Version and use</x:v>
      </x:c>
      <x:c r="E22" s="9" t="str">
        <x:v>Version and use</x:v>
      </x:c>
      <x:c r="F22" s="9" t="str">
        <x:v>Version and use</x:v>
      </x:c>
      <x:c r="G22" s="9" t="str">
        <x:v>Version and use</x:v>
      </x:c>
      <x:c r="H22" s="9" t="str">
        <x:v>Version and use</x:v>
      </x:c>
      <x:c r="I22" s="9" t="str">
        <x:v>Version and use</x:v>
      </x:c>
      <x:c r="J22" s="10" t="str">
        <x:v>Version and use</x:v>
      </x:c>
    </x:row>
    <x:row r="23" ht="28" customHeight="1">
      <x:c r="B23" s="2" t="str">
        <x:v>Model version</x:v>
      </x:c>
      <x:c r="C23" s="2" t="str">
        <x:v>MESA-1C Pass 93</x:v>
      </x:c>
      <x:c r="D23" s="2" t="str"/>
      <x:c r="E23" s="2" t="str"/>
      <x:c r="F23" s="2" t="str"/>
      <x:c r="G23" s="2" t="str"/>
      <x:c r="H23" s="2" t="str"/>
      <x:c r="I23" s="2" t="str"/>
      <x:c r="J23" s="2" t="str"/>
    </x:row>
    <x:row r="24" ht="28" customHeight="1">
      <x:c r="B24" s="2" t="str">
        <x:v>Currency</x:v>
      </x:c>
      <x:c r="C24" s="2" t="str">
        <x:v>constant planning USD billions; price base not selected</x:v>
      </x:c>
      <x:c r="D24" s="2" t="str"/>
      <x:c r="E24" s="2" t="str"/>
      <x:c r="F24" s="2" t="str"/>
      <x:c r="G24" s="2" t="str"/>
      <x:c r="H24" s="2" t="str"/>
      <x:c r="I24" s="2" t="str"/>
      <x:c r="J24" s="2" t="str"/>
    </x:row>
    <x:row r="25" ht="28" customHeight="1">
      <x:c r="B25" s="2" t="str">
        <x:v>External sources</x:v>
      </x:c>
      <x:c r="C25" s="2" t="str">
        <x:v>none; first-principles synthesis from internal project references</x:v>
      </x:c>
      <x:c r="D25" s="2" t="str"/>
      <x:c r="E25" s="2" t="str"/>
      <x:c r="F25" s="2" t="str"/>
      <x:c r="G25" s="2" t="str"/>
      <x:c r="H25" s="2" t="str"/>
      <x:c r="I25" s="2" t="str"/>
      <x:c r="J25" s="2" t="str"/>
    </x:row>
    <x:row r="26" ht="28" customHeight="1">
      <x:c r="B26" s="2" t="str">
        <x:v>Uncertainty</x:v>
      </x:c>
      <x:c r="C26" s="2" t="str">
        <x:v>architecture allocations only; no measured distribution or vendor performance</x:v>
      </x:c>
      <x:c r="D26" s="2" t="str"/>
      <x:c r="E26" s="2" t="str"/>
      <x:c r="F26" s="2" t="str"/>
      <x:c r="G26" s="2" t="str"/>
      <x:c r="H26" s="2" t="str"/>
      <x:c r="I26" s="2" t="str"/>
      <x:c r="J26" s="2" t="str"/>
    </x:row>
    <x:row r="27" ht="28" customHeight="1">
      <x:c r="B27" s="2" t="str">
        <x:v>Independence</x:v>
      </x:c>
      <x:c r="C27" s="2" t="str">
        <x:v>different primes do not establish different decisive ancestry</x:v>
      </x:c>
      <x:c r="D27" s="2" t="str"/>
      <x:c r="E27" s="2" t="str"/>
      <x:c r="F27" s="2" t="str"/>
      <x:c r="G27" s="2" t="str"/>
      <x:c r="H27" s="2" t="str"/>
      <x:c r="I27" s="2" t="str"/>
      <x:c r="J27" s="2" t="str"/>
    </x:row>
    <x:row r="28" ht="28" customHeight="1">
      <x:c r="B28" s="2" t="str">
        <x:v>Evidence law</x:v>
      </x:c>
      <x:c r="C28" s="2" t="str">
        <x:v>a failed co-governing gate yields zero campaign credit</x:v>
      </x:c>
      <x:c r="D28" s="2" t="str"/>
      <x:c r="E28" s="2" t="str"/>
      <x:c r="F28" s="2" t="str"/>
      <x:c r="G28" s="2" t="str"/>
      <x:c r="H28" s="2" t="str"/>
      <x:c r="I28" s="2" t="str"/>
      <x:c r="J28" s="2" t="str"/>
    </x:row>
    <x:row r="29" ht="28" customHeight="1">
      <x:c r="B29" s="2" t="str">
        <x:v>Production</x:v>
      </x:c>
      <x:c r="C29" s="2" t="str">
        <x:v>HOLD pending accepted P08 independent second-lot mission</x:v>
      </x:c>
      <x:c r="D29" s="2" t="str"/>
      <x:c r="E29" s="2" t="str"/>
      <x:c r="F29" s="2" t="str"/>
      <x:c r="G29" s="2" t="str"/>
      <x:c r="H29" s="2" t="str"/>
      <x:c r="I29" s="2" t="str"/>
      <x:c r="J29" s="2" t="str"/>
    </x:row>
    <x:row r="30" ht="28" customHeight="1">
      <x:c r="B30" s="2" t="str">
        <x:v>Rendering</x:v>
      </x:c>
      <x:c r="C30" s="2" t="str">
        <x:v>BLOCKED pending weighed, integrated, calorimeter-tested and removal-equivalent articles</x:v>
      </x:c>
      <x:c r="D30" s="2" t="str"/>
      <x:c r="E30" s="2" t="str"/>
      <x:c r="F30" s="2" t="str"/>
      <x:c r="G30" s="2" t="str"/>
      <x:c r="H30" s="2" t="str"/>
      <x:c r="I30" s="2" t="str"/>
      <x:c r="J30" s="2" t="str"/>
    </x:row>
    <x:row r="31" ht="28" customHeight="1">
      <x:c r="B31" s="2" t="str">
        <x:v>Next pass</x:v>
      </x:c>
      <x:c r="C31" s="2" t="str">
        <x:v>write build-release packages, acceptance standards and range operations doctrine</x:v>
      </x:c>
      <x:c r="D31" s="2" t="str"/>
      <x:c r="E31" s="2" t="str"/>
      <x:c r="F31" s="2" t="str"/>
      <x:c r="G31" s="2" t="str"/>
      <x:c r="H31" s="2" t="str"/>
      <x:c r="I31" s="2" t="str"/>
      <x:c r="J31" s="2" t="str"/>
    </x:row>
    <x:row r="32" ht="18" customHeight="1">
      <x:c r="B32" s="2"/>
      <x:c r="C32" s="2"/>
      <x:c r="D32" s="2"/>
      <x:c r="E32" s="2"/>
      <x:c r="F32" s="2"/>
      <x:c r="G32" s="2"/>
      <x:c r="H32" s="2"/>
      <x:c r="I32" s="2"/>
      <x:c r="J32" s="2"/>
    </x:row>
    <x:row r="33" ht="18" customHeight="1">
      <x:c r="B33" s="2"/>
      <x:c r="C33" s="2"/>
      <x:c r="D33" s="2"/>
      <x:c r="E33" s="2"/>
      <x:c r="F33" s="2"/>
      <x:c r="G33" s="2"/>
      <x:c r="H33" s="2"/>
      <x:c r="I33" s="2"/>
      <x:c r="J33" s="2"/>
    </x:row>
    <x:row r="34" ht="18" customHeight="1"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18" customHeight="1">
      <x:c r="B35" s="2"/>
      <x:c r="C35" s="2"/>
      <x:c r="D35" s="2"/>
      <x:c r="E35" s="2"/>
      <x:c r="F35" s="2"/>
      <x:c r="G35" s="2"/>
      <x:c r="H35" s="2"/>
      <x:c r="I35" s="2"/>
      <x:c r="J35" s="2"/>
    </x:row>
    <x:row r="36" ht="18" customHeight="1">
      <x:c r="B36" s="2"/>
      <x:c r="C36" s="2"/>
      <x:c r="D36" s="2"/>
      <x:c r="E36" s="2"/>
      <x:c r="F36" s="2"/>
      <x:c r="G36" s="2"/>
      <x:c r="H36" s="2"/>
      <x:c r="I36" s="2"/>
      <x:c r="J36" s="2"/>
    </x:row>
  </x:sheetData>
  <x:mergeCells>
    <x:mergeCell ref="B3:J3"/>
    <x:mergeCell ref="B22:J22"/>
  </x:mergeCells>
  <x:pageMargins left="0.7" right="0.7" top="0.75" bottom="0.75" header="0.3" footer="0.3"/>
</x:worksheet>
</file>