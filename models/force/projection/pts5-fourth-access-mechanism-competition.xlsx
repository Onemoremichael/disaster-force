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b8575c49d48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0001ecc6584205"/>
    <x:sheet xmlns:r="http://schemas.openxmlformats.org/officeDocument/2006/relationships" name="Assumptions" sheetId="2" r:id="Rfbaeff47a29943b3"/>
    <x:sheet xmlns:r="http://schemas.openxmlformats.org/officeDocument/2006/relationships" name="Mechanisms" sheetId="3" r:id="Rbe223bbe5a0348a9"/>
    <x:sheet xmlns:r="http://schemas.openxmlformats.org/officeDocument/2006/relationships" name="Payload Closure" sheetId="4" r:id="R53b015b3a4544eea"/>
    <x:sheet xmlns:r="http://schemas.openxmlformats.org/officeDocument/2006/relationships" name="Mission Worlds" sheetId="5" r:id="R7149d3e4ee5f4b1b"/>
    <x:sheet xmlns:r="http://schemas.openxmlformats.org/officeDocument/2006/relationships" name="Mechanism Results" sheetId="6" r:id="Rf104ae01a0e74cd7"/>
    <x:sheet xmlns:r="http://schemas.openxmlformats.org/officeDocument/2006/relationships" name="Pair Portfolios" sheetId="7" r:id="R914a5866fde44669"/>
    <x:sheet xmlns:r="http://schemas.openxmlformats.org/officeDocument/2006/relationships" name="Bases and Nodes" sheetId="8" r:id="R5f3b5780f29c4a3c"/>
    <x:sheet xmlns:r="http://schemas.openxmlformats.org/officeDocument/2006/relationships" name="Program Cost" sheetId="9" r:id="Rc6d79b3c44f44dad"/>
    <x:sheet xmlns:r="http://schemas.openxmlformats.org/officeDocument/2006/relationships" name="Technology" sheetId="10" r:id="R2788a2f3bb234f6d"/>
    <x:sheet xmlns:r="http://schemas.openxmlformats.org/officeDocument/2006/relationships" name="Evidence Gates" sheetId="11" r:id="R6f1bb5ca7c9d4403"/>
    <x:sheet xmlns:r="http://schemas.openxmlformats.org/officeDocument/2006/relationships" name="Checks" sheetId="12" r:id="R73126dbefd814f83"/>
    <x:sheet xmlns:r="http://schemas.openxmlformats.org/officeDocument/2006/relationships" name="ReadMe" sheetId="13" r:id="Rb24e7252cf6147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&quot;$&quot;#,##0.000"/>
    <x:numFmt numFmtId="202" formatCode="&quot;$&quot;0.00"/>
    <x:numFmt numFmtId="203" formatCode="&quot;$&quot;#,##0.0"/>
    <x:numFmt numFmtId="204" formatCode="&quot;$&quot;#,##0.00"/>
    <x:numFmt numFmtId="205" formatCode="0"/>
    <x:numFmt numFmtId="206" formatCode="0.000000"/>
  </x:numFmts>
  <x:fonts count="7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CEAF4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DF1F4"/>
      </x:patternFill>
    </x:fill>
  </x:fills>
  <x:borders count="16">
    <x:border/>
    <x:border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bottom style="thin">
        <x:color rgb="FFD8E0E5"/>
      </x:bottom>
    </x:border>
    <x:border>
      <x:top style="thin">
        <x:color rgb="FFD8E0E5"/>
      </x:top>
    </x:border>
  </x:borders>
  <x:cellStyleXfs count="1">
    <x:xf numFmtId="0" fontId="0" fillId="0" borderId="0"/>
  </x:cellStyleXfs>
  <x:cellXfs count="9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center"/>
    </x:xf>
    <x:xf numFmtId="200" fontId="6" fillId="4" borderId="10" xfId="0" applyNumberFormat="1" applyFont="1" applyFill="1" applyBorder="1" applyAlignment="1">
      <x:alignment vertical="center"/>
    </x:xf>
    <x:xf numFmtId="201" fontId="6" fillId="4" borderId="10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6" fillId="4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/>
    <x:xf numFmtId="0" fontId="6" fillId="0" borderId="10" xfId="0" applyNumberFormat="1" applyFont="1" applyFill="1" applyBorder="1" applyAlignment="1">
      <x:alignment vertical="center"/>
    </x:xf>
    <x:xf numFmtId="202" fontId="6" fillId="0" borderId="10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202" fontId="1" fillId="0" borderId="11" xfId="0" applyNumberFormat="1" applyFont="1" applyFill="1" applyBorder="1"/>
    <x:xf numFmtId="0" fontId="6" fillId="0" borderId="12" xfId="0" applyNumberFormat="1" applyFont="1" applyFill="1" applyBorder="1" applyAlignment="1">
      <x:alignment vertical="center"/>
    </x:xf>
    <x:xf numFmtId="202" fontId="6" fillId="0" borderId="12" xfId="0" applyNumberFormat="1" applyFont="1" applyFill="1" applyBorder="1" applyAlignment="1">
      <x:alignment vertical="center"/>
    </x:xf>
    <x:xf numFmtId="200" fontId="1" fillId="0" borderId="12" xfId="0" applyNumberFormat="1" applyFont="1" applyFill="1" applyBorder="1" applyAlignment="1">
      <x:alignment vertical="center"/>
    </x:xf>
    <x:xf numFmtId="202" fontId="1" fillId="0" borderId="13" xfId="0" applyNumberFormat="1" applyFont="1" applyFill="1" applyBorder="1"/>
    <x:xf numFmtId="202" fontId="1" fillId="0" borderId="10" xfId="0" applyNumberFormat="1" applyFont="1" applyFill="1" applyBorder="1" applyAlignment="1">
      <x:alignment vertical="center"/>
    </x:xf>
    <x:xf numFmtId="202" fontId="1" fillId="0" borderId="12" xfId="0" applyNumberFormat="1" applyFont="1" applyFill="1" applyBorder="1" applyAlignment="1">
      <x:alignment vertical="center"/>
    </x:xf>
    <x:xf numFmtId="203" fontId="1" fillId="0" borderId="10" xfId="0" applyNumberFormat="1" applyFont="1" applyFill="1" applyBorder="1" applyAlignment="1">
      <x:alignment vertical="center"/>
    </x:xf>
    <x:xf numFmtId="203" fontId="1" fillId="0" borderId="12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4" fillId="2" borderId="3" xfId="0" applyNumberFormat="1" applyFont="1" applyFill="1" applyBorder="1" applyAlignment="1">
      <x:alignment vertical="center"/>
    </x:xf>
    <x:xf numFmtId="204" fontId="4" fillId="2" borderId="4" xfId="0" applyNumberFormat="1" applyFont="1" applyFill="1" applyBorder="1" applyAlignment="1">
      <x:alignment vertical="center"/>
    </x:xf>
    <x:xf numFmtId="204" fontId="5" fillId="3" borderId="6" xfId="0" applyNumberFormat="1" applyFont="1" applyFill="1" applyBorder="1" applyAlignment="1">
      <x:alignment horizontal="center" vertical="center" wrapText="1"/>
    </x:xf>
    <x:xf numFmtId="204" fontId="5" fillId="3" borderId="7" xfId="0" applyNumberFormat="1" applyFont="1" applyFill="1" applyBorder="1" applyAlignment="1">
      <x:alignment horizontal="center" vertical="center" wrapText="1"/>
    </x:xf>
    <x:xf numFmtId="205" fontId="1" fillId="0" borderId="0" xfId="0" applyNumberFormat="1" applyFont="1" applyFill="1" applyBorder="1" applyAlignment="1">
      <x:alignment vertical="center"/>
    </x:xf>
    <x:xf numFmtId="205" fontId="4" fillId="2" borderId="3" xfId="0" applyNumberFormat="1" applyFont="1" applyFill="1" applyBorder="1" applyAlignment="1">
      <x:alignment vertical="center"/>
    </x:xf>
    <x:xf numFmtId="205" fontId="5" fillId="3" borderId="6" xfId="0" applyNumberFormat="1" applyFont="1" applyFill="1" applyBorder="1" applyAlignment="1">
      <x:alignment horizontal="center" vertical="center" wrapText="1"/>
    </x:xf>
    <x:xf numFmtId="204" fontId="1" fillId="0" borderId="10" xfId="0" applyNumberFormat="1" applyFont="1" applyFill="1" applyBorder="1" applyAlignment="1">
      <x:alignment vertical="center"/>
    </x:xf>
    <x:xf numFmtId="205" fontId="1" fillId="0" borderId="10" xfId="0" applyNumberFormat="1" applyFont="1" applyFill="1" applyBorder="1" applyAlignment="1">
      <x:alignment vertical="center"/>
    </x:xf>
    <x:xf numFmtId="204" fontId="1" fillId="0" borderId="11" xfId="0" applyNumberFormat="1" applyFont="1" applyFill="1" applyBorder="1" applyAlignment="1">
      <x:alignment vertical="center"/>
    </x:xf>
    <x:xf numFmtId="204" fontId="1" fillId="0" borderId="12" xfId="0" applyNumberFormat="1" applyFont="1" applyFill="1" applyBorder="1" applyAlignment="1">
      <x:alignment vertical="center"/>
    </x:xf>
    <x:xf numFmtId="205" fontId="1" fillId="0" borderId="12" xfId="0" applyNumberFormat="1" applyFont="1" applyFill="1" applyBorder="1" applyAlignment="1">
      <x:alignment vertical="center"/>
    </x:xf>
    <x:xf numFmtId="204" fontId="1" fillId="0" borderId="13" xfId="0" applyNumberFormat="1" applyFont="1" applyFill="1" applyBorder="1" applyAlignment="1">
      <x:alignment vertical="center"/>
    </x:xf>
    <x:xf numFmtId="204" fontId="5" fillId="3" borderId="9" xfId="0" applyNumberFormat="1" applyFont="1" applyFill="1" applyBorder="1" applyAlignment="1">
      <x:alignment horizontal="center" vertical="center" wrapText="1"/>
    </x:xf>
    <x:xf numFmtId="205" fontId="5" fillId="3" borderId="9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4" fillId="2" borderId="3" xfId="0" applyNumberFormat="1" applyFont="1" applyFill="1" applyBorder="1" applyAlignment="1">
      <x:alignment vertical="center"/>
    </x:xf>
    <x:xf numFmtId="202" fontId="1" fillId="0" borderId="11" xfId="0" applyNumberFormat="1" applyFont="1" applyFill="1" applyBorder="1" applyAlignment="1">
      <x:alignment vertical="center"/>
    </x:xf>
    <x:xf numFmtId="202" fontId="1" fillId="0" borderId="1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1" fillId="0" borderId="10" xfId="0" applyNumberFormat="1" applyFont="1" applyFill="1" applyBorder="1" applyAlignment="1">
      <x:alignment vertical="center"/>
    </x:xf>
    <x:xf numFmtId="206" fontId="1" fillId="0" borderId="12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c3088b27e462b" /><Relationship Type="http://schemas.openxmlformats.org/officeDocument/2006/relationships/theme" Target="/xl/theme/theme1.xml" Id="Rb3d7100ffefe4f8c" /><Relationship Type="http://schemas.openxmlformats.org/officeDocument/2006/relationships/sharedStrings" Target="/xl/sharedStrings.xml" Id="Rcab2f46acbd04c20" /><Relationship Type="http://schemas.openxmlformats.org/officeDocument/2006/relationships/worksheet" Target="/xl/worksheets/sheet1.xml" Id="R220001ecc6584205" /><Relationship Type="http://schemas.openxmlformats.org/officeDocument/2006/relationships/worksheet" Target="/xl/worksheets/sheet2.xml" Id="Rfbaeff47a29943b3" /><Relationship Type="http://schemas.openxmlformats.org/officeDocument/2006/relationships/worksheet" Target="/xl/worksheets/sheet3.xml" Id="Rbe223bbe5a0348a9" /><Relationship Type="http://schemas.openxmlformats.org/officeDocument/2006/relationships/worksheet" Target="/xl/worksheets/sheet4.xml" Id="R53b015b3a4544eea" /><Relationship Type="http://schemas.openxmlformats.org/officeDocument/2006/relationships/worksheet" Target="/xl/worksheets/sheet5.xml" Id="R7149d3e4ee5f4b1b" /><Relationship Type="http://schemas.openxmlformats.org/officeDocument/2006/relationships/worksheet" Target="/xl/worksheets/sheet6.xml" Id="Rf104ae01a0e74cd7" /><Relationship Type="http://schemas.openxmlformats.org/officeDocument/2006/relationships/worksheet" Target="/xl/worksheets/sheet7.xml" Id="R914a5866fde44669" /><Relationship Type="http://schemas.openxmlformats.org/officeDocument/2006/relationships/worksheet" Target="/xl/worksheets/sheet8.xml" Id="R5f3b5780f29c4a3c" /><Relationship Type="http://schemas.openxmlformats.org/officeDocument/2006/relationships/worksheet" Target="/xl/worksheets/sheet9.xml" Id="Rc6d79b3c44f44dad" /><Relationship Type="http://schemas.openxmlformats.org/officeDocument/2006/relationships/worksheet" Target="/xl/worksheets/sheet10.xml" Id="R2788a2f3bb234f6d" /><Relationship Type="http://schemas.openxmlformats.org/officeDocument/2006/relationships/worksheet" Target="/xl/worksheets/sheet11.xml" Id="R6f1bb5ca7c9d4403" /><Relationship Type="http://schemas.openxmlformats.org/officeDocument/2006/relationships/worksheet" Target="/xl/worksheets/sheet12.xml" Id="R73126dbefd814f83" /><Relationship Type="http://schemas.openxmlformats.org/officeDocument/2006/relationships/worksheet" Target="/xl/worksheets/sheet13.xml" Id="Rb24e7252cf6147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44" hidden="0" customWidth="1"/>
    <x:col min="3" max="3" width="40" hidden="0" customWidth="1"/>
    <x:col min="4" max="4" width="16" hidden="0" customWidth="1"/>
    <x:col min="5" max="5" width="54" hidden="0" customWidth="1"/>
    <x:col min="6" max="6" width="17" hidden="0" customWidth="1"/>
    <x:col min="7" max="7" width="18" hidden="0" customWidth="1"/>
    <x:col min="8" max="8" width="16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B2" s="3" t="str">
        <x:v>PTS-5 fourth-access mechanism competition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No single carrier solves every hard-access geography; mechanism diversity is the force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8" t="str">
        <x:v>Executive result</x:v>
      </x:c>
      <x:c r="C6" s="9" t="str">
        <x:v>Executive result</x:v>
      </x:c>
      <x:c r="D6" s="9" t="str">
        <x:v>Executive result</x:v>
      </x:c>
      <x:c r="E6" s="9" t="str">
        <x:v>Executive result</x:v>
      </x:c>
      <x:c r="F6" s="10" t="str">
        <x:v>Executive result</x:v>
      </x:c>
      <x:c r="G6" s="2"/>
      <x:c r="H6" s="2"/>
      <x:c r="I6" s="2"/>
      <x:c r="J6" s="2"/>
      <x:c r="K6" s="2"/>
      <x:c r="L6" s="2"/>
      <x:c r="M6" s="2"/>
      <x:c r="N6" s="2"/>
    </x:row>
    <x:row r="7">
      <x:c r="B7" s="28" t="str">
        <x:v>Decision</x:v>
      </x:c>
      <x:c r="C7" s="29" t="str">
        <x:v>Value</x:v>
      </x:c>
      <x:c r="D7" s="29" t="str">
        <x:v>Unit</x:v>
      </x:c>
      <x:c r="E7" s="29" t="str">
        <x:v>Interpretation</x:v>
      </x:c>
      <x:c r="F7" s="29" t="str">
        <x:v>State</x:v>
      </x:c>
      <x:c r="G7" s="2"/>
      <x:c r="H7" s="2"/>
      <x:c r="I7" s="2"/>
      <x:c r="J7" s="2"/>
      <x:c r="K7" s="2"/>
      <x:c r="L7" s="2"/>
      <x:c r="M7" s="2"/>
      <x:c r="N7" s="2"/>
    </x:row>
    <x:row r="8">
      <x:c r="B8" s="30" t="str">
        <x:v>Complete access article</x:v>
      </x:c>
      <x:c r="C8" s="30" t="n">
        <x:f>Assumptions!C10</x:f>
        <x:v>635</x:v>
      </x:c>
      <x:c r="D8" s="30" t="str">
        <x:v>t</x:v>
      </x:c>
      <x:c r="E8" s="30" t="str">
        <x:v>one PTS-5 cell including wet launch load</x:v>
      </x:c>
      <x:c r="F8" s="32" t="str">
        <x:v>calculated</x:v>
      </x:c>
      <x:c r="G8" s="2"/>
      <x:c r="H8" s="2"/>
      <x:c r="I8" s="2"/>
      <x:c r="J8" s="2"/>
      <x:c r="K8" s="2"/>
      <x:c r="L8" s="2"/>
      <x:c r="M8" s="2"/>
      <x:c r="N8" s="2"/>
    </x:row>
    <x:row r="9">
      <x:c r="B9" s="30" t="str">
        <x:v>Mechanisms competed</x:v>
      </x:c>
      <x:c r="C9" s="30" t="n">
        <x:v>8</x:v>
      </x:c>
      <x:c r="D9" s="30" t="str">
        <x:v>rivals</x:v>
      </x:c>
      <x:c r="E9" s="30" t="str">
        <x:v>physical transfer, service bridge and local conversion</x:v>
      </x:c>
      <x:c r="F9" s="32" t="str">
        <x:v>declared</x:v>
      </x:c>
      <x:c r="G9" s="2"/>
      <x:c r="H9" s="2"/>
      <x:c r="I9" s="2"/>
      <x:c r="J9" s="2"/>
      <x:c r="K9" s="2"/>
      <x:c r="L9" s="2"/>
      <x:c r="M9" s="2"/>
      <x:c r="N9" s="2"/>
    </x:row>
    <x:row r="10">
      <x:c r="B10" s="30" t="str">
        <x:v>Behavior worlds</x:v>
      </x:c>
      <x:c r="C10" s="30" t="n">
        <x:v>15</x:v>
      </x:c>
      <x:c r="D10" s="30" t="str">
        <x:v>worlds</x:v>
      </x:c>
      <x:c r="E10" s="30" t="str">
        <x:v>evidence stop excluded</x:v>
      </x:c>
      <x:c r="F10" s="32" t="str">
        <x:v>declared</x:v>
      </x:c>
      <x:c r="G10" s="2"/>
      <x:c r="H10" s="2"/>
      <x:c r="I10" s="2"/>
      <x:c r="J10" s="2"/>
      <x:c r="K10" s="2"/>
      <x:c r="L10" s="2"/>
      <x:c r="M10" s="2"/>
      <x:c r="N10" s="2"/>
    </x:row>
    <x:row r="11">
      <x:c r="B11" s="30" t="str">
        <x:v>Best single mechanism worlds</x:v>
      </x:c>
      <x:c r="C11" s="30" t="n">
        <x:f>MAX(COUNTIF('Mechanism Results'!S7:S21,"PASS"),COUNTIF('Mechanism Results'!S23:S37,"PASS"),COUNTIF('Mechanism Results'!S39:S53,"PASS"),COUNTIF('Mechanism Results'!S55:S69,"PASS"),COUNTIF('Mechanism Results'!S71:S85,"PASS"),COUNTIF('Mechanism Results'!S87:S101,"PASS"),COUNTIF('Mechanism Results'!S103:S117,"PASS"),COUNTIF('Mechanism Results'!S119:S133,"PASS"))</x:f>
        <x:v>8</x:v>
      </x:c>
      <x:c r="D11" s="30" t="str">
        <x:v>of 15</x:v>
      </x:c>
      <x:c r="E11" s="30" t="str">
        <x:v>no universal mechanism</x:v>
      </x:c>
      <x:c r="F11" s="32" t="str">
        <x:v>calculated</x:v>
      </x:c>
      <x:c r="G11" s="2"/>
      <x:c r="H11" s="2"/>
      <x:c r="I11" s="2"/>
      <x:c r="J11" s="2"/>
      <x:c r="K11" s="2"/>
      <x:c r="L11" s="2"/>
      <x:c r="M11" s="2"/>
      <x:c r="N11" s="2"/>
    </x:row>
    <x:row r="12">
      <x:c r="B12" s="30" t="str">
        <x:v>Best two-mechanism worlds</x:v>
      </x:c>
      <x:c r="C12" s="30" t="n">
        <x:f>MAX('Pair Portfolios'!G7:G34)</x:f>
        <x:v>13</x:v>
      </x:c>
      <x:c r="D12" s="30" t="str">
        <x:v>of 15</x:v>
      </x:c>
      <x:c r="E12" s="30" t="str">
        <x:v>portfolio still leaves a designed gap if below fifteen</x:v>
      </x:c>
      <x:c r="F12" s="32" t="str">
        <x:v>calculated</x:v>
      </x:c>
      <x:c r="G12" s="2"/>
      <x:c r="H12" s="2"/>
      <x:c r="I12" s="2"/>
      <x:c r="J12" s="2"/>
      <x:c r="K12" s="2"/>
      <x:c r="L12" s="2"/>
      <x:c r="M12" s="2"/>
      <x:c r="N12" s="2"/>
    </x:row>
    <x:row r="13">
      <x:c r="B13" s="30" t="str">
        <x:v>Best pair</x:v>
      </x:c>
      <x:c r="C13" s="30" t="str">
        <x:f>INDEX('Pair Portfolios'!B7:B34,MATCH(C12,'Pair Portfolios'!G7:G34,0))&amp;" "&amp;INDEX('Pair Portfolios'!C7:C34,MATCH(C12,'Pair Portfolios'!G7:G34,0))&amp;"+"&amp;INDEX('Pair Portfolios'!D7:D34,MATCH(C12,'Pair Portfolios'!G7:G34,0))</x:f>
        <x:v>P02 M1+M3</x:v>
      </x:c>
      <x:c r="D13" s="30" t="str">
        <x:v>portfolio</x:v>
      </x:c>
      <x:c r="E13" s="30" t="str">
        <x:v>first pair at maximum coverage; not a selection</x:v>
      </x:c>
      <x:c r="F13" s="32" t="str">
        <x:v>calculated</x:v>
      </x:c>
      <x:c r="G13" s="2"/>
      <x:c r="H13" s="2"/>
      <x:c r="I13" s="2"/>
      <x:c r="J13" s="2"/>
      <x:c r="K13" s="2"/>
      <x:c r="L13" s="2"/>
      <x:c r="M13" s="2"/>
      <x:c r="N13" s="2"/>
    </x:row>
    <x:row r="14">
      <x:c r="B14" s="30" t="str">
        <x:v>Required national mission sets</x:v>
      </x:c>
      <x:c r="C14" s="30" t="n">
        <x:f>Assumptions!C18</x:f>
        <x:v>43</x:v>
      </x:c>
      <x:c r="D14" s="30" t="str">
        <x:v>sets</x:v>
      </x:c>
      <x:c r="E14" s="30" t="str">
        <x:v>22 groups × concurrency × readiness</x:v>
      </x:c>
      <x:c r="F14" s="32" t="str">
        <x:v>calculated</x:v>
      </x:c>
      <x:c r="G14" s="2"/>
      <x:c r="H14" s="2"/>
      <x:c r="I14" s="2"/>
      <x:c r="J14" s="2"/>
      <x:c r="K14" s="2"/>
      <x:c r="L14" s="2"/>
      <x:c r="M14" s="2"/>
      <x:c r="N14" s="2"/>
    </x:row>
    <x:row r="15">
      <x:c r="B15" s="30" t="str">
        <x:v>Pass 78 technology portfolio</x:v>
      </x:c>
      <x:c r="C15" s="30" t="n">
        <x:f>Assumptions!C24</x:f>
        <x:v>735</x:v>
      </x:c>
      <x:c r="D15" s="30" t="str">
        <x:v>$B</x:v>
      </x:c>
      <x:c r="E15" s="30" t="str">
        <x:v>$280B increment above Pass 77</x:v>
      </x:c>
      <x:c r="F15" s="32" t="str">
        <x:v>calculated</x:v>
      </x:c>
      <x:c r="G15" s="2"/>
      <x:c r="H15" s="2"/>
      <x:c r="I15" s="2"/>
      <x:c r="J15" s="2"/>
      <x:c r="K15" s="2"/>
      <x:c r="L15" s="2"/>
      <x:c r="M15" s="2"/>
      <x:c r="N15" s="2"/>
    </x:row>
    <x:row r="16">
      <x:c r="B16" s="30" t="str">
        <x:v>Open evidence gates</x:v>
      </x:c>
      <x:c r="C16" s="30" t="n">
        <x:f>COUNTIF('Evidence Gates'!H7:H40,"OPEN")</x:f>
        <x:v>34</x:v>
      </x:c>
      <x:c r="D16" s="30" t="str">
        <x:v>gates</x:v>
      </x:c>
      <x:c r="E16" s="30" t="str">
        <x:v>no current operating credit</x:v>
      </x:c>
      <x:c r="F16" s="32" t="str">
        <x:v>calculated</x:v>
      </x:c>
      <x:c r="G16" s="2"/>
      <x:c r="H16" s="2"/>
      <x:c r="I16" s="2"/>
      <x:c r="J16" s="2"/>
      <x:c r="K16" s="2"/>
      <x:c r="L16" s="2"/>
      <x:c r="M16" s="2"/>
      <x:c r="N16" s="2"/>
    </x:row>
    <x:row r="17">
      <x:c r="B17" s="30" t="str">
        <x:v>Strict mechanism admissions</x:v>
      </x:c>
      <x:c r="C17" s="30" t="n">
        <x:v>0</x:v>
      </x:c>
      <x:c r="D17" s="30" t="str">
        <x:v>mechanisms</x:v>
      </x:c>
      <x:c r="E17" s="30" t="str">
        <x:v>all novel paths remain research articles</x:v>
      </x:c>
      <x:c r="F17" s="32" t="str">
        <x:v>calculated</x:v>
      </x:c>
      <x:c r="G17" s="2"/>
      <x:c r="H17" s="2"/>
      <x:c r="I17" s="2"/>
      <x:c r="J17" s="2"/>
      <x:c r="K17" s="2"/>
      <x:c r="L17" s="2"/>
      <x:c r="M17" s="2"/>
      <x:c r="N17" s="2"/>
    </x:row>
    <x:row r="18">
      <x:c r="B18" s="36" t="str">
        <x:v>Rendering state</x:v>
      </x:c>
      <x:c r="C18" s="36" t="str">
        <x:v>BLOCKED</x:v>
      </x:c>
      <x:c r="D18" s="36" t="str">
        <x:v>governance</x:v>
      </x:c>
      <x:c r="E18" s="36" t="str">
        <x:v>form remains contingent on mechanism evidence</x:v>
      </x:c>
      <x:c r="F18" s="38" t="str">
        <x:v>declared</x:v>
      </x:c>
      <x:c r="G18" s="2"/>
      <x:c r="H18" s="2"/>
      <x:c r="I18" s="2"/>
      <x:c r="J18" s="2"/>
      <x:c r="K18" s="2"/>
      <x:c r="L18" s="2"/>
      <x:c r="M18" s="2"/>
      <x:c r="N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B21" s="8" t="str">
        <x:v>Mechanism comparison</x:v>
      </x:c>
      <x:c r="C21" s="9" t="str">
        <x:v>Mechanism comparison</x:v>
      </x:c>
      <x:c r="D21" s="9" t="str">
        <x:v>Mechanism comparison</x:v>
      </x:c>
      <x:c r="E21" s="9" t="str">
        <x:v>Mechanism comparison</x:v>
      </x:c>
      <x:c r="F21" s="9" t="str">
        <x:v>Mechanism comparison</x:v>
      </x:c>
      <x:c r="G21" s="9" t="str">
        <x:v>Mechanism comparison</x:v>
      </x:c>
      <x:c r="H21" s="10" t="str">
        <x:v>Mechanism comparison</x:v>
      </x:c>
      <x:c r="I21" s="2"/>
      <x:c r="J21" s="2"/>
      <x:c r="K21" s="2"/>
      <x:c r="L21" s="2"/>
      <x:c r="M21" s="2"/>
      <x:c r="N21" s="2"/>
    </x:row>
    <x:row r="22">
      <x:c r="B22" s="28" t="str">
        <x:v>Code</x:v>
      </x:c>
      <x:c r="C22" s="29" t="str">
        <x:v>Mechanism</x:v>
      </x:c>
      <x:c r="D22" s="29" t="str">
        <x:v>Complete fraction</x:v>
      </x:c>
      <x:c r="E22" s="29" t="str">
        <x:v>Behavior worlds</x:v>
      </x:c>
      <x:c r="F22" s="29" t="str">
        <x:v>Current-credit worlds</x:v>
      </x:c>
      <x:c r="G22" s="29" t="str">
        <x:v>Lifecycle/set $B</x:v>
      </x:c>
      <x:c r="H22" s="29" t="str">
        <x:v>RDT&amp;E $B</x:v>
      </x:c>
      <x:c r="I22" s="2"/>
      <x:c r="J22" s="2"/>
      <x:c r="K22" s="2"/>
      <x:c r="L22" s="2"/>
      <x:c r="M22" s="2"/>
      <x:c r="N22" s="2"/>
    </x:row>
    <x:row r="23">
      <x:c r="B23" s="30" t="str">
        <x:f>Mechanisms!B8</x:f>
        <x:v>M1</x:v>
      </x:c>
      <x:c r="C23" s="30" t="str">
        <x:f>Mechanisms!C8</x:f>
        <x:v>HBL-320 heavy buoyant liftship</x:v>
      </x:c>
      <x:c r="D23" s="50" t="n">
        <x:f>Mechanisms!AD8</x:f>
        <x:v>1</x:v>
      </x:c>
      <x:c r="E23" s="30" t="n">
        <x:f>COUNTIF('Mechanism Results'!S7:S21,"PASS")</x:f>
        <x:v>8</x:v>
      </x:c>
      <x:c r="F23" s="30" t="n">
        <x:f>COUNTIF('Mechanism Results'!T7:T21,"PASS")</x:f>
        <x:v>0</x:v>
      </x:c>
      <x:c r="G23" s="56" t="n">
        <x:f>Mechanisms!AE8</x:f>
        <x:v>7.5525</x:v>
      </x:c>
      <x:c r="H23" s="78" t="n">
        <x:f>Mechanisms!AA8</x:f>
        <x:v>70</x:v>
      </x:c>
      <x:c r="I23" s="2"/>
      <x:c r="J23" s="2"/>
      <x:c r="K23" s="2"/>
      <x:c r="L23" s="2"/>
      <x:c r="M23" s="2"/>
      <x:c r="N23" s="2"/>
    </x:row>
    <x:row r="24">
      <x:c r="B24" s="30" t="str">
        <x:f>Mechanisms!B9</x:f>
        <x:v>M2</x:v>
      </x:c>
      <x:c r="C24" s="30" t="str">
        <x:f>Mechanisms!C9</x:f>
        <x:v>WIG-650 amphibious utility carrier</x:v>
      </x:c>
      <x:c r="D24" s="50" t="n">
        <x:f>Mechanisms!AD9</x:f>
        <x:v>1</x:v>
      </x:c>
      <x:c r="E24" s="30" t="n">
        <x:f>COUNTIF('Mechanism Results'!S23:S37,"PASS")</x:f>
        <x:v>1</x:v>
      </x:c>
      <x:c r="F24" s="30" t="n">
        <x:f>COUNTIF('Mechanism Results'!T23:T37,"PASS")</x:f>
        <x:v>0</x:v>
      </x:c>
      <x:c r="G24" s="56" t="n">
        <x:f>Mechanisms!AE9</x:f>
        <x:v>5.3458000000000006</x:v>
      </x:c>
      <x:c r="H24" s="78" t="n">
        <x:f>Mechanisms!AA9</x:f>
        <x:v>55</x:v>
      </x:c>
      <x:c r="I24" s="2"/>
      <x:c r="J24" s="2"/>
      <x:c r="K24" s="2"/>
      <x:c r="L24" s="2"/>
      <x:c r="M24" s="2"/>
      <x:c r="N24" s="2"/>
    </x:row>
    <x:row r="25">
      <x:c r="B25" s="30" t="str">
        <x:f>Mechanisms!B10</x:f>
        <x:v>M3</x:v>
      </x:c>
      <x:c r="C25" s="30" t="str">
        <x:f>Mechanisms!C10</x:f>
        <x:v>ATUT-160 autonomous terrain train</x:v>
      </x:c>
      <x:c r="D25" s="50" t="n">
        <x:f>Mechanisms!AD10</x:f>
        <x:v>1</x:v>
      </x:c>
      <x:c r="E25" s="30" t="n">
        <x:f>COUNTIF('Mechanism Results'!S39:S53,"PASS")</x:f>
        <x:v>7</x:v>
      </x:c>
      <x:c r="F25" s="30" t="n">
        <x:f>COUNTIF('Mechanism Results'!T39:T53,"PASS")</x:f>
        <x:v>0</x:v>
      </x:c>
      <x:c r="G25" s="56" t="n">
        <x:f>Mechanisms!AE10</x:f>
        <x:v>6.362</x:v>
      </x:c>
      <x:c r="H25" s="78" t="n">
        <x:f>Mechanisms!AA10</x:f>
        <x:v>60</x:v>
      </x:c>
      <x:c r="I25" s="2"/>
      <x:c r="J25" s="2"/>
      <x:c r="K25" s="2"/>
      <x:c r="L25" s="2"/>
      <x:c r="M25" s="2"/>
      <x:c r="N25" s="2"/>
    </x:row>
    <x:row r="26">
      <x:c r="B26" s="30" t="str">
        <x:f>Mechanisms!B11</x:f>
        <x:v>M4</x:v>
      </x:c>
      <x:c r="C26" s="30" t="str">
        <x:f>Mechanisms!C11</x:f>
        <x:v>VHL-80 distributed heavy-VTOL lattice</x:v>
      </x:c>
      <x:c r="D26" s="50" t="n">
        <x:f>Mechanisms!AD11</x:f>
        <x:v>1</x:v>
      </x:c>
      <x:c r="E26" s="30" t="n">
        <x:f>COUNTIF('Mechanism Results'!S55:S69,"PASS")</x:f>
        <x:v>8</x:v>
      </x:c>
      <x:c r="F26" s="30" t="n">
        <x:f>COUNTIF('Mechanism Results'!T55:T69,"PASS")</x:f>
        <x:v>0</x:v>
      </x:c>
      <x:c r="G26" s="56" t="n">
        <x:f>Mechanisms!AE11</x:f>
        <x:v>11.524000000000001</x:v>
      </x:c>
      <x:c r="H26" s="78" t="n">
        <x:f>Mechanisms!AA11</x:f>
        <x:v>85</x:v>
      </x:c>
      <x:c r="I26" s="2"/>
      <x:c r="J26" s="2"/>
      <x:c r="K26" s="2"/>
      <x:c r="L26" s="2"/>
      <x:c r="M26" s="2"/>
      <x:c r="N26" s="2"/>
    </x:row>
    <x:row r="27">
      <x:c r="B27" s="30" t="str">
        <x:f>Mechanisms!B12</x:f>
        <x:v>M5</x:v>
      </x:c>
      <x:c r="C27" s="30" t="str">
        <x:f>Mechanisms!C12</x:f>
        <x:v>RUC-100 robotic utility corridor projector</x:v>
      </x:c>
      <x:c r="D27" s="50" t="n">
        <x:f>Mechanisms!AD12</x:f>
        <x:v>1</x:v>
      </x:c>
      <x:c r="E27" s="30" t="n">
        <x:f>COUNTIF('Mechanism Results'!S71:S85,"PASS")</x:f>
        <x:v>1</x:v>
      </x:c>
      <x:c r="F27" s="30" t="n">
        <x:f>COUNTIF('Mechanism Results'!T71:T85,"PASS")</x:f>
        <x:v>0</x:v>
      </x:c>
      <x:c r="G27" s="56" t="n">
        <x:f>Mechanisms!AE12</x:f>
        <x:v>3.0972</x:v>
      </x:c>
      <x:c r="H27" s="78" t="n">
        <x:f>Mechanisms!AA12</x:f>
        <x:v>45</x:v>
      </x:c>
      <x:c r="I27" s="2"/>
      <x:c r="J27" s="2"/>
      <x:c r="K27" s="2"/>
      <x:c r="L27" s="2"/>
      <x:c r="M27" s="2"/>
      <x:c r="N27" s="2"/>
    </x:row>
    <x:row r="28">
      <x:c r="B28" s="30" t="str">
        <x:f>Mechanisms!B13</x:f>
        <x:v>M6</x:v>
      </x:c>
      <x:c r="C28" s="30" t="str">
        <x:f>Mechanisms!C13</x:f>
        <x:v>LCS-150 local-conversion seed force</x:v>
      </x:c>
      <x:c r="D28" s="50" t="n">
        <x:f>Mechanisms!AD13</x:f>
        <x:v>1</x:v>
      </x:c>
      <x:c r="E28" s="30" t="n">
        <x:f>COUNTIF('Mechanism Results'!S87:S101,"PASS")</x:f>
        <x:v>1</x:v>
      </x:c>
      <x:c r="F28" s="30" t="n">
        <x:f>COUNTIF('Mechanism Results'!T87:T101,"PASS")</x:f>
        <x:v>0</x:v>
      </x:c>
      <x:c r="G28" s="56" t="n">
        <x:f>Mechanisms!AE13</x:f>
        <x:v>2.4810000000000003</x:v>
      </x:c>
      <x:c r="H28" s="78" t="n">
        <x:f>Mechanisms!AA13</x:f>
        <x:v>40</x:v>
      </x:c>
      <x:c r="I28" s="2"/>
      <x:c r="J28" s="2"/>
      <x:c r="K28" s="2"/>
      <x:c r="L28" s="2"/>
      <x:c r="M28" s="2"/>
      <x:c r="N28" s="2"/>
    </x:row>
    <x:row r="29">
      <x:c r="B29" s="30" t="str">
        <x:f>Mechanisms!B14</x:f>
        <x:v>M7</x:v>
      </x:c>
      <x:c r="C29" s="30" t="str">
        <x:f>Mechanisms!C14</x:f>
        <x:v>BCG-100 ballistic cargo-glider salvo</x:v>
      </x:c>
      <x:c r="D29" s="50" t="n">
        <x:f>Mechanisms!AD14</x:f>
        <x:v>1</x:v>
      </x:c>
      <x:c r="E29" s="30" t="n">
        <x:f>COUNTIF('Mechanism Results'!S103:S117,"PASS")</x:f>
        <x:v>1</x:v>
      </x:c>
      <x:c r="F29" s="30" t="n">
        <x:f>COUNTIF('Mechanism Results'!T103:T117,"PASS")</x:f>
        <x:v>0</x:v>
      </x:c>
      <x:c r="G29" s="56" t="n">
        <x:f>Mechanisms!AE14</x:f>
        <x:v>7.2835</x:v>
      </x:c>
      <x:c r="H29" s="78" t="n">
        <x:f>Mechanisms!AA14</x:f>
        <x:v>65</x:v>
      </x:c>
      <x:c r="I29" s="2"/>
      <x:c r="J29" s="2"/>
      <x:c r="K29" s="2"/>
      <x:c r="L29" s="2"/>
      <x:c r="M29" s="2"/>
      <x:c r="N29" s="2"/>
    </x:row>
    <x:row r="30">
      <x:c r="B30" s="36" t="str">
        <x:f>Mechanisms!B15</x:f>
        <x:v>M8</x:v>
      </x:c>
      <x:c r="C30" s="36" t="str">
        <x:f>Mechanisms!C15</x:f>
        <x:v>AGC-320 amphibious ground-effect crawler</x:v>
      </x:c>
      <x:c r="D30" s="54" t="n">
        <x:f>Mechanisms!AD15</x:f>
        <x:v>1</x:v>
      </x:c>
      <x:c r="E30" s="36" t="n">
        <x:f>COUNTIF('Mechanism Results'!S119:S133,"PASS")</x:f>
        <x:v>5</x:v>
      </x:c>
      <x:c r="F30" s="36" t="n">
        <x:f>COUNTIF('Mechanism Results'!T119:T133,"PASS")</x:f>
        <x:v>0</x:v>
      </x:c>
      <x:c r="G30" s="57" t="n">
        <x:f>Mechanisms!AE15</x:f>
        <x:v>5.6457999999999995</x:v>
      </x:c>
      <x:c r="H30" s="79" t="n">
        <x:f>Mechanisms!AA15</x:f>
        <x:v>60</x:v>
      </x:c>
      <x:c r="I30" s="2"/>
      <x:c r="J30" s="2"/>
      <x:c r="K30" s="2"/>
      <x:c r="L30" s="2"/>
      <x:c r="M30" s="2"/>
      <x:c r="N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B33" s="8" t="str">
        <x:v>Governing judgments</x:v>
      </x:c>
      <x:c r="C33" s="9" t="str">
        <x:v>Governing judgments</x:v>
      </x:c>
      <x:c r="D33" s="9" t="str">
        <x:v>Governing judgments</x:v>
      </x:c>
      <x:c r="E33" s="9" t="str">
        <x:v>Governing judgments</x:v>
      </x:c>
      <x:c r="F33" s="9" t="str">
        <x:v>Governing judgments</x:v>
      </x:c>
      <x:c r="G33" s="9" t="str">
        <x:v>Governing judgments</x:v>
      </x:c>
      <x:c r="H33" s="9" t="str">
        <x:v>Governing judgments</x:v>
      </x:c>
      <x:c r="I33" s="9" t="str">
        <x:v>Governing judgments</x:v>
      </x:c>
      <x:c r="J33" s="9" t="str">
        <x:v>Governing judgments</x:v>
      </x:c>
      <x:c r="K33" s="9" t="str">
        <x:v>Governing judgments</x:v>
      </x:c>
      <x:c r="L33" s="9" t="str">
        <x:v>Governing judgments</x:v>
      </x:c>
      <x:c r="M33" s="9" t="str">
        <x:v>Governing judgments</x:v>
      </x:c>
      <x:c r="N33" s="10" t="str">
        <x:v>Governing judgments</x:v>
      </x:c>
    </x:row>
    <x:row r="34">
      <x:c r="B34" s="80" t="str">
        <x:v>1. No single spectacular carrier is a universal fourth path.</x:v>
      </x:c>
      <x:c r="C34" s="2" t="str">
        <x:v>Weather, terrain, range, receiver and concurrency shift the advantage among mechanisms.</x:v>
      </x:c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B35" s="80" t="str">
        <x:v>2. Access includes substitution as well as carriage.</x:v>
      </x:c>
      <x:c r="C35" s="2" t="str">
        <x:v>A utility bridge or local-conversion seed can close selected missions without moving a 635 t cell.</x:v>
      </x:c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B36" s="80" t="str">
        <x:v>3. Novelty creates a new base and reset enterprise.</x:v>
      </x:c>
      <x:c r="C36" s="2" t="str">
        <x:v>The carrier is only one element of launch, weather, loading, authority, receiver, recovery and second-event readiness.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B37" s="80" t="str">
        <x:v>4. A fourth path should be bought selectively.</x:v>
      </x:c>
      <x:c r="C37" s="2" t="str">
        <x:v>It competes against another fixed island, ancestry partition or legacy-mode replication in each receiving class.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B38" s="80" t="str">
        <x:v>5. Every mechanism has zero current credit.</x:v>
      </x:c>
      <x:c r="C38" s="2" t="str">
        <x:v>Declared requirements and behavior arithmetic do not substitute for representative full-mission evidence.</x:v>
      </x:c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B39" s="80" t="str">
        <x:v>6. Rendering remains blocked.</x:v>
      </x:c>
      <x:c r="C39" s="2" t="str">
        <x:v>The evidence program must determine hull, propulsion, landing, corridor and seed-force form.</x:v>
      </x:c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B6:F6"/>
    <x:mergeCell ref="B21:H21"/>
    <x:mergeCell ref="B33:N33"/>
    <x:mergeCell ref="C34:N34"/>
    <x:mergeCell ref="C35:N35"/>
    <x:mergeCell ref="C36:N36"/>
    <x:mergeCell ref="C37:N37"/>
    <x:mergeCell ref="C38:N38"/>
    <x:mergeCell ref="C39:N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5D7C"/>
  </x:sheetPr>
  <x:sheetViews>
    <x:sheetView showGridLines="0" workbookViewId="0"/>
  </x:sheetViews>
  <x:sheetFormatPr defaultRowHeight="15"/>
  <x:cols>
    <x:col min="2" max="2" width="38" hidden="0" customWidth="1"/>
    <x:col min="3" max="3" width="17" hidden="0" customWidth="1"/>
    <x:col min="4" max="4" width="16" hidden="0" customWidth="1"/>
    <x:col min="5" max="5" width="20" hidden="0" customWidth="1"/>
    <x:col min="6" max="6" width="4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</x:cols>
  <x:sheetData>
    <x:row r="2">
      <x:c r="B2" s="3" t="str">
        <x:v>Fourth-access competition assumptions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B3" s="4" t="str">
        <x:v>One complete PTS-5 rapid-bridge cell under total legacy surface denial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B6" s="8" t="str">
        <x:v>Mission contract</x:v>
      </x:c>
      <x:c r="C6" s="9" t="str">
        <x:v>Mission contract</x:v>
      </x:c>
      <x:c r="D6" s="9" t="str">
        <x:v>Mission contract</x:v>
      </x:c>
      <x:c r="E6" s="9" t="str">
        <x:v>Mission contract</x:v>
      </x:c>
      <x:c r="F6" s="10" t="str">
        <x:v>Mission contract</x:v>
      </x:c>
      <x:c r="G6" s="2"/>
      <x:c r="H6" s="2"/>
      <x:c r="I6" s="2"/>
      <x:c r="J6" s="2"/>
      <x:c r="K6" s="2"/>
      <x:c r="L6" s="2"/>
    </x:row>
    <x:row r="7">
      <x:c r="B7" s="28" t="str">
        <x:v>Input</x:v>
      </x:c>
      <x:c r="C7" s="29" t="str">
        <x:v>Value</x:v>
      </x:c>
      <x:c r="D7" s="29" t="str">
        <x:v>Unit</x:v>
      </x:c>
      <x:c r="E7" s="29" t="str">
        <x:v>Origin</x:v>
      </x:c>
      <x:c r="F7" s="29" t="str">
        <x:v>Meaning</x:v>
      </x:c>
      <x:c r="G7" s="2"/>
      <x:c r="H7" s="2"/>
      <x:c r="I7" s="2"/>
      <x:c r="J7" s="2"/>
      <x:c r="K7" s="2"/>
      <x:c r="L7" s="2"/>
    </x:row>
    <x:row r="8">
      <x:c r="B8" s="30" t="str">
        <x:v>Complete cell dry payload</x:v>
      </x:c>
      <x:c r="C8" s="31" t="n">
        <x:v>580</x:v>
      </x:c>
      <x:c r="D8" s="30" t="str">
        <x:v>t</x:v>
      </x:c>
      <x:c r="E8" s="30" t="str">
        <x:v>Pass 74</x:v>
      </x:c>
      <x:c r="F8" s="32" t="str">
        <x:v>service equipment only</x:v>
      </x:c>
      <x:c r="G8" s="2"/>
      <x:c r="H8" s="2"/>
      <x:c r="I8" s="2"/>
      <x:c r="J8" s="2"/>
      <x:c r="K8" s="2"/>
      <x:c r="L8" s="2"/>
    </x:row>
    <x:row r="9">
      <x:c r="B9" s="30" t="str">
        <x:v>Wet and launch consumables</x:v>
      </x:c>
      <x:c r="C9" s="31" t="n">
        <x:v>55</x:v>
      </x:c>
      <x:c r="D9" s="30" t="str">
        <x:v>t</x:v>
      </x:c>
      <x:c r="E9" s="30" t="str">
        <x:v>Pass 74 rounded</x:v>
      </x:c>
      <x:c r="F9" s="32" t="str">
        <x:v>initial mission load</x:v>
      </x:c>
      <x:c r="G9" s="2"/>
      <x:c r="H9" s="2"/>
      <x:c r="I9" s="2"/>
      <x:c r="J9" s="2"/>
      <x:c r="K9" s="2"/>
      <x:c r="L9" s="2"/>
    </x:row>
    <x:row r="10">
      <x:c r="B10" s="30" t="str">
        <x:v>Complete cell launch mass</x:v>
      </x:c>
      <x:c r="C10" s="33" t="n">
        <x:f>C8+C9</x:f>
        <x:v>635</x:v>
      </x:c>
      <x:c r="D10" s="30" t="str">
        <x:v>t</x:v>
      </x:c>
      <x:c r="E10" s="30" t="str">
        <x:v>calculated</x:v>
      </x:c>
      <x:c r="F10" s="32" t="str">
        <x:v>indivisible access article</x:v>
      </x:c>
      <x:c r="G10" s="2"/>
      <x:c r="H10" s="2"/>
      <x:c r="I10" s="2"/>
      <x:c r="J10" s="2"/>
      <x:c r="K10" s="2"/>
      <x:c r="L10" s="2"/>
    </x:row>
    <x:row r="11">
      <x:c r="B11" s="30" t="str">
        <x:v>Payload cube</x:v>
      </x:c>
      <x:c r="C11" s="31" t="n">
        <x:v>2630</x:v>
      </x:c>
      <x:c r="D11" s="30" t="str">
        <x:v>m3</x:v>
      </x:c>
      <x:c r="E11" s="30" t="str">
        <x:v>Pass 74</x:v>
      </x:c>
      <x:c r="F11" s="32" t="str">
        <x:v>dimensional burden</x:v>
      </x:c>
      <x:c r="G11" s="2"/>
      <x:c r="H11" s="2"/>
      <x:c r="I11" s="2"/>
      <x:c r="J11" s="2"/>
      <x:c r="K11" s="2"/>
      <x:c r="L11" s="2"/>
    </x:row>
    <x:row r="12">
      <x:c r="B12" s="30" t="str">
        <x:v>Module positions</x:v>
      </x:c>
      <x:c r="C12" s="31" t="n">
        <x:v>32</x:v>
      </x:c>
      <x:c r="D12" s="30" t="str">
        <x:v>positions</x:v>
      </x:c>
      <x:c r="E12" s="30" t="str">
        <x:v>Pass 74</x:v>
      </x:c>
      <x:c r="F12" s="32" t="str">
        <x:v>governed load units</x:v>
      </x:c>
      <x:c r="G12" s="2"/>
      <x:c r="H12" s="2"/>
      <x:c r="I12" s="2"/>
      <x:c r="J12" s="2"/>
      <x:c r="K12" s="2"/>
      <x:c r="L12" s="2"/>
    </x:row>
    <x:row r="13">
      <x:c r="B13" s="30" t="str">
        <x:v>Service-entry deadline</x:v>
      </x:c>
      <x:c r="C13" s="31" t="n">
        <x:v>48</x:v>
      </x:c>
      <x:c r="D13" s="30" t="str">
        <x:v>hours</x:v>
      </x:c>
      <x:c r="E13" s="30" t="str">
        <x:v>Pass 72</x:v>
      </x:c>
      <x:c r="F13" s="32" t="str">
        <x:v>effect at receiver</x:v>
      </x:c>
      <x:c r="G13" s="2"/>
      <x:c r="H13" s="2"/>
      <x:c r="I13" s="2"/>
      <x:c r="J13" s="2"/>
      <x:c r="K13" s="2"/>
      <x:c r="L13" s="2"/>
    </x:row>
    <x:row r="14">
      <x:c r="B14" s="30" t="str">
        <x:v>Minimum complete-service fraction</x:v>
      </x:c>
      <x:c r="C14" s="34" t="n">
        <x:v>0.9</x:v>
      </x:c>
      <x:c r="D14" s="30" t="str">
        <x:v>share</x:v>
      </x:c>
      <x:c r="E14" s="30" t="str">
        <x:v>Pass 77</x:v>
      </x:c>
      <x:c r="F14" s="32" t="str">
        <x:v>no partial-cell credit below floor</x:v>
      </x:c>
      <x:c r="G14" s="2"/>
      <x:c r="H14" s="2"/>
      <x:c r="I14" s="2"/>
      <x:c r="J14" s="2"/>
      <x:c r="K14" s="2"/>
      <x:c r="L14" s="2"/>
    </x:row>
    <x:row r="15">
      <x:c r="B15" s="30" t="str">
        <x:v>Selective fourth-path groups</x:v>
      </x:c>
      <x:c r="C15" s="31" t="n">
        <x:v>22</x:v>
      </x:c>
      <x:c r="D15" s="30" t="str">
        <x:v>groups</x:v>
      </x:c>
      <x:c r="E15" s="30" t="str">
        <x:v>Pass 76</x:v>
      </x:c>
      <x:c r="F15" s="32" t="str">
        <x:v>hard-access receiving classes</x:v>
      </x:c>
      <x:c r="G15" s="2"/>
      <x:c r="H15" s="2"/>
      <x:c r="I15" s="2"/>
      <x:c r="J15" s="2"/>
      <x:c r="K15" s="2"/>
      <x:c r="L15" s="2"/>
    </x:row>
    <x:row r="16">
      <x:c r="B16" s="30" t="str">
        <x:v>Concurrent campaign factor</x:v>
      </x:c>
      <x:c r="C16" s="31" t="n">
        <x:v>1.5</x:v>
      </x:c>
      <x:c r="D16" s="30" t="str">
        <x:v>sets/group</x:v>
      </x:c>
      <x:c r="E16" s="30" t="str">
        <x:v>declared</x:v>
      </x:c>
      <x:c r="F16" s="32" t="str">
        <x:v>simultaneous regional demand</x:v>
      </x:c>
      <x:c r="G16" s="2"/>
      <x:c r="H16" s="2"/>
      <x:c r="I16" s="2"/>
      <x:c r="J16" s="2"/>
      <x:c r="K16" s="2"/>
      <x:c r="L16" s="2"/>
    </x:row>
    <x:row r="17">
      <x:c r="B17" s="30" t="str">
        <x:v>Readiness and attrition factor</x:v>
      </x:c>
      <x:c r="C17" s="31" t="n">
        <x:v>1.3</x:v>
      </x:c>
      <x:c r="D17" s="30" t="str">
        <x:v>factor</x:v>
      </x:c>
      <x:c r="E17" s="30" t="str">
        <x:v>declared</x:v>
      </x:c>
      <x:c r="F17" s="32" t="str">
        <x:v>training, overhaul and loss</x:v>
      </x:c>
      <x:c r="G17" s="2"/>
      <x:c r="H17" s="2"/>
      <x:c r="I17" s="2"/>
      <x:c r="J17" s="2"/>
      <x:c r="K17" s="2"/>
      <x:c r="L17" s="2"/>
    </x:row>
    <x:row r="18">
      <x:c r="B18" s="30" t="str">
        <x:v>Required national mission sets</x:v>
      </x:c>
      <x:c r="C18" s="33" t="n">
        <x:f>ROUNDUP(C15*C16*C17,0)</x:f>
        <x:v>43</x:v>
      </x:c>
      <x:c r="D18" s="30" t="str">
        <x:v>sets</x:v>
      </x:c>
      <x:c r="E18" s="30" t="str">
        <x:v>calculated</x:v>
      </x:c>
      <x:c r="F18" s="32" t="str">
        <x:v>ceiling of group demand</x:v>
      </x:c>
      <x:c r="G18" s="2"/>
      <x:c r="H18" s="2"/>
      <x:c r="I18" s="2"/>
      <x:c r="J18" s="2"/>
      <x:c r="K18" s="2"/>
      <x:c r="L18" s="2"/>
    </x:row>
    <x:row r="19">
      <x:c r="B19" s="30" t="str">
        <x:v>Ramp-weighted operations factor</x:v>
      </x:c>
      <x:c r="C19" s="31" t="n">
        <x:v>15.81</x:v>
      </x:c>
      <x:c r="D19" s="30" t="str">
        <x:v>years</x:v>
      </x:c>
      <x:c r="E19" s="30" t="str">
        <x:v>Pass 76</x:v>
      </x:c>
      <x:c r="F19" s="32" t="str">
        <x:v>25-year operating account</x:v>
      </x:c>
      <x:c r="G19" s="2"/>
      <x:c r="H19" s="2"/>
      <x:c r="I19" s="2"/>
      <x:c r="J19" s="2"/>
      <x:c r="K19" s="2"/>
      <x:c r="L19" s="2"/>
    </x:row>
    <x:row r="20">
      <x:c r="B20" s="30" t="str">
        <x:v>Pass 77 national comparator</x:v>
      </x:c>
      <x:c r="C20" s="35" t="n">
        <x:v>6098.71195</x:v>
      </x:c>
      <x:c r="D20" s="30" t="str">
        <x:v>$B</x:v>
      </x:c>
      <x:c r="E20" s="30" t="str">
        <x:v>Pass 77</x:v>
      </x:c>
      <x:c r="F20" s="32" t="str">
        <x:v>includes $99B provisional fourth path</x:v>
      </x:c>
      <x:c r="G20" s="2"/>
      <x:c r="H20" s="2"/>
      <x:c r="I20" s="2"/>
      <x:c r="J20" s="2"/>
      <x:c r="K20" s="2"/>
      <x:c r="L20" s="2"/>
    </x:row>
    <x:row r="21">
      <x:c r="B21" s="30" t="str">
        <x:v>Provisional fourth-path allowance</x:v>
      </x:c>
      <x:c r="C21" s="35" t="n">
        <x:v>99</x:v>
      </x:c>
      <x:c r="D21" s="30" t="str">
        <x:v>$B</x:v>
      </x:c>
      <x:c r="E21" s="30" t="str">
        <x:v>Pass 76</x:v>
      </x:c>
      <x:c r="F21" s="32" t="str">
        <x:v>removed before replacement</x:v>
      </x:c>
      <x:c r="G21" s="2"/>
      <x:c r="H21" s="2"/>
      <x:c r="I21" s="2"/>
      <x:c r="J21" s="2"/>
      <x:c r="K21" s="2"/>
      <x:c r="L21" s="2"/>
    </x:row>
    <x:row r="22">
      <x:c r="B22" s="30" t="str">
        <x:v>Shared fourth-access enterprise</x:v>
      </x:c>
      <x:c r="C22" s="35" t="n">
        <x:v>120</x:v>
      </x:c>
      <x:c r="D22" s="30" t="str">
        <x:v>$B</x:v>
      </x:c>
      <x:c r="E22" s="30" t="str">
        <x:v>declared</x:v>
      </x:c>
      <x:c r="F22" s="32" t="str">
        <x:v>bases, nodes, command and proving</x:v>
      </x:c>
      <x:c r="G22" s="2"/>
      <x:c r="H22" s="2"/>
      <x:c r="I22" s="2"/>
      <x:c r="J22" s="2"/>
      <x:c r="K22" s="2"/>
      <x:c r="L22" s="2"/>
    </x:row>
    <x:row r="23">
      <x:c r="B23" s="30" t="str">
        <x:v>Pass 77 technology portfolio</x:v>
      </x:c>
      <x:c r="C23" s="35" t="n">
        <x:v>455</x:v>
      </x:c>
      <x:c r="D23" s="30" t="str">
        <x:v>$B</x:v>
      </x:c>
      <x:c r="E23" s="30" t="str">
        <x:v>Pass 77</x:v>
      </x:c>
      <x:c r="F23" s="32" t="str">
        <x:v>predecessor technology account</x:v>
      </x:c>
      <x:c r="G23" s="2"/>
      <x:c r="H23" s="2"/>
      <x:c r="I23" s="2"/>
      <x:c r="J23" s="2"/>
      <x:c r="K23" s="2"/>
      <x:c r="L23" s="2"/>
    </x:row>
    <x:row r="24">
      <x:c r="B24" s="30" t="str">
        <x:v>Pass 78 technology portfolio</x:v>
      </x:c>
      <x:c r="C24" s="35" t="n">
        <x:v>735</x:v>
      </x:c>
      <x:c r="D24" s="30" t="str">
        <x:v>$B</x:v>
      </x:c>
      <x:c r="E24" s="30" t="str">
        <x:v>this pass</x:v>
      </x:c>
      <x:c r="F24" s="32" t="str">
        <x:v>all mechanism research programs</x:v>
      </x:c>
      <x:c r="G24" s="2"/>
      <x:c r="H24" s="2"/>
      <x:c r="I24" s="2"/>
      <x:c r="J24" s="2"/>
      <x:c r="K24" s="2"/>
      <x:c r="L24" s="2"/>
    </x:row>
    <x:row r="25">
      <x:c r="B25" s="36" t="str">
        <x:v>Rendering authorization</x:v>
      </x:c>
      <x:c r="C25" s="37" t="n">
        <x:v>0</x:v>
      </x:c>
      <x:c r="D25" s="36" t="str">
        <x:v>binary</x:v>
      </x:c>
      <x:c r="E25" s="36" t="str">
        <x:v>governance</x:v>
      </x:c>
      <x:c r="F25" s="38" t="str">
        <x:v>blocked pending representative evidence</x:v>
      </x:c>
      <x:c r="G25" s="2"/>
      <x:c r="H25" s="2"/>
      <x:c r="I25" s="2"/>
      <x:c r="J25" s="2"/>
      <x:c r="K25" s="2"/>
      <x:c r="L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</x:sheetData>
  <x:mergeCells>
    <x:mergeCell ref="B6:F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2" max="2" width="9" hidden="0" customWidth="1"/>
    <x:col min="3" max="3" width="39" hidden="0" customWidth="1"/>
    <x:col min="4" max="4" width="14" hidden="0" customWidth="1"/>
    <x:col min="5" max="5" width="14" hidden="0" customWidth="1"/>
    <x:col min="6" max="6" width="11" hidden="0" customWidth="1"/>
    <x:col min="7" max="7" width="11" hidden="0" customWidth="1"/>
    <x:col min="8" max="8" width="15" hidden="0" customWidth="1"/>
    <x:col min="9" max="9" width="16" hidden="0" customWidth="1"/>
    <x:col min="10" max="10" width="15" hidden="0" customWidth="1"/>
    <x:col min="11" max="11" width="13" hidden="0" customWidth="1"/>
    <x:col min="12" max="12" width="18" hidden="0" customWidth="1"/>
    <x:col min="13" max="13" width="12" hidden="0" customWidth="1"/>
    <x:col min="14" max="14" width="12" hidden="0" customWidth="1"/>
    <x:col min="15" max="15" width="14" hidden="0" customWidth="1"/>
    <x:col min="16" max="16" width="15" hidden="0" customWidth="1"/>
    <x:col min="17" max="17" width="18" hidden="0" customWidth="1"/>
    <x:col min="18" max="18" width="23" hidden="0" customWidth="1"/>
    <x:col min="19" max="19" width="16" hidden="0" customWidth="1"/>
    <x:col min="20" max="20" width="19" hidden="0" customWidth="1"/>
    <x:col min="21" max="21" width="20" hidden="0" customWidth="1"/>
    <x:col min="22" max="22" width="20" hidden="0" customWidth="1"/>
    <x:col min="23" max="23" width="16" hidden="0" customWidth="1"/>
    <x:col min="24" max="24" width="14" hidden="0" customWidth="1"/>
    <x:col min="25" max="25" width="16" hidden="0" customWidth="1"/>
    <x:col min="26" max="26" width="17" hidden="0" customWidth="1"/>
    <x:col min="27" max="27" width="13" hidden="0" customWidth="1"/>
    <x:col min="28" max="28" width="17" hidden="0" customWidth="1"/>
    <x:col min="29" max="29" width="17" hidden="0" customWidth="1"/>
    <x:col min="30" max="30" width="19" hidden="0" customWidth="1"/>
    <x:col min="31" max="31" width="22" hidden="0" customWidth="1"/>
  </x:cols>
  <x:sheetData>
    <x:row r="2">
      <x:c r="B2" s="3" t="str">
        <x:v>Fourth-access mechanism library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89"/>
    </x:row>
    <x:row r="3">
      <x:c r="B3" s="4" t="str">
        <x:v>Purpose-built rivals; capability values are declared research requirements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89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/>
      <x:c r="AE4" s="89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89"/>
    </x:row>
    <x:row r="6">
      <x:c r="B6" s="8" t="str">
        <x:v>Mechanism requirements</x:v>
      </x:c>
      <x:c r="C6" s="9" t="str">
        <x:v>Mechanism requirements</x:v>
      </x:c>
      <x:c r="D6" s="9" t="str">
        <x:v>Mechanism requirements</x:v>
      </x:c>
      <x:c r="E6" s="9" t="str">
        <x:v>Mechanism requirements</x:v>
      </x:c>
      <x:c r="F6" s="9" t="str">
        <x:v>Mechanism requirements</x:v>
      </x:c>
      <x:c r="G6" s="9" t="str">
        <x:v>Mechanism requirements</x:v>
      </x:c>
      <x:c r="H6" s="9" t="str">
        <x:v>Mechanism requirements</x:v>
      </x:c>
      <x:c r="I6" s="9" t="str">
        <x:v>Mechanism requirements</x:v>
      </x:c>
      <x:c r="J6" s="9" t="str">
        <x:v>Mechanism requirements</x:v>
      </x:c>
      <x:c r="K6" s="9" t="str">
        <x:v>Mechanism requirements</x:v>
      </x:c>
      <x:c r="L6" s="9" t="str">
        <x:v>Mechanism requirements</x:v>
      </x:c>
      <x:c r="M6" s="9" t="str">
        <x:v>Mechanism requirements</x:v>
      </x:c>
      <x:c r="N6" s="9" t="str">
        <x:v>Mechanism requirements</x:v>
      </x:c>
      <x:c r="O6" s="9" t="str">
        <x:v>Mechanism requirements</x:v>
      </x:c>
      <x:c r="P6" s="9" t="str">
        <x:v>Mechanism requirements</x:v>
      </x:c>
      <x:c r="Q6" s="9" t="str">
        <x:v>Mechanism requirements</x:v>
      </x:c>
      <x:c r="R6" s="9" t="str">
        <x:v>Mechanism requirements</x:v>
      </x:c>
      <x:c r="S6" s="9" t="str">
        <x:v>Mechanism requirements</x:v>
      </x:c>
      <x:c r="T6" s="9" t="str">
        <x:v>Mechanism requirements</x:v>
      </x:c>
      <x:c r="U6" s="9" t="str">
        <x:v>Mechanism requirements</x:v>
      </x:c>
      <x:c r="V6" s="9" t="str">
        <x:v>Mechanism requirements</x:v>
      </x:c>
      <x:c r="W6" s="9" t="str">
        <x:v>Mechanism requirements</x:v>
      </x:c>
      <x:c r="X6" s="9" t="str">
        <x:v>Mechanism requirements</x:v>
      </x:c>
      <x:c r="Y6" s="9" t="str">
        <x:v>Mechanism requirements</x:v>
      </x:c>
      <x:c r="Z6" s="9" t="str">
        <x:v>Mechanism requirements</x:v>
      </x:c>
      <x:c r="AA6" s="9" t="str">
        <x:v>Mechanism requirements</x:v>
      </x:c>
      <x:c r="AB6" s="9" t="str">
        <x:v>Mechanism requirements</x:v>
      </x:c>
      <x:c r="AC6" s="9" t="str">
        <x:v>Mechanism requirements</x:v>
      </x:c>
      <x:c r="AD6" s="10" t="str">
        <x:v>Mechanism requirements</x:v>
      </x:c>
      <x:c r="AE6" s="89"/>
    </x:row>
    <x:row r="7">
      <x:c r="B7" s="28" t="str">
        <x:v>Code</x:v>
      </x:c>
      <x:c r="C7" s="29" t="str">
        <x:v>Mechanism</x:v>
      </x:c>
      <x:c r="D7" s="29" t="str">
        <x:v>Effect method</x:v>
      </x:c>
      <x:c r="E7" s="29" t="str">
        <x:v>Payload/unit t</x:v>
      </x:c>
      <x:c r="F7" s="29" t="str">
        <x:v>Units/set</x:v>
      </x:c>
      <x:c r="G7" s="29" t="str">
        <x:v>Cycle h</x:v>
      </x:c>
      <x:c r="H7" s="29" t="str">
        <x:v>Sorties/vehicle</x:v>
      </x:c>
      <x:c r="I7" s="29" t="str">
        <x:v>Service potential</x:v>
      </x:c>
      <x:c r="J7" s="29" t="str">
        <x:v>Max range km</x:v>
      </x:c>
      <x:c r="K7" s="29" t="str">
        <x:v>No runway</x:v>
      </x:c>
      <x:c r="L7" s="29" t="str">
        <x:v>Needs water surface</x:v>
      </x:c>
      <x:c r="M7" s="29" t="str">
        <x:v>Needs road</x:v>
      </x:c>
      <x:c r="N7" s="29" t="str">
        <x:v>Max slope %</x:v>
      </x:c>
      <x:c r="O7" s="29" t="str">
        <x:v>Max wind m/s</x:v>
      </x:c>
      <x:c r="P7" s="29" t="str">
        <x:v>Min visibility km</x:v>
      </x:c>
      <x:c r="Q7" s="29" t="str">
        <x:v>Smoke operation</x:v>
      </x:c>
      <x:c r="R7" s="29" t="str">
        <x:v>Local feed required</x:v>
      </x:c>
      <x:c r="S7" s="29" t="str">
        <x:v>Standoff source required</x:v>
      </x:c>
      <x:c r="T7" s="29" t="str">
        <x:v>Offline control</x:v>
      </x:c>
      <x:c r="U7" s="29" t="str">
        <x:v>Receiver footprint ha</x:v>
      </x:c>
      <x:c r="V7" s="29" t="str">
        <x:v>Concurrent campaigns</x:v>
      </x:c>
      <x:c r="W7" s="29" t="str">
        <x:v>Source domains</x:v>
      </x:c>
      <x:c r="X7" s="29" t="str">
        <x:v>Base domains</x:v>
      </x:c>
      <x:c r="Y7" s="29" t="str">
        <x:v>Capital/set $B</x:v>
      </x:c>
      <x:c r="Z7" s="29" t="str">
        <x:v>Annual O&amp;S $B</x:v>
      </x:c>
      <x:c r="AA7" s="29" t="str">
        <x:v>RDT&amp;E $B</x:v>
      </x:c>
      <x:c r="AB7" s="29" t="str">
        <x:v>Current evidence</x:v>
      </x:c>
      <x:c r="AC7" s="29" t="str">
        <x:v>Delivered mass t</x:v>
      </x:c>
      <x:c r="AD7" s="29" t="str">
        <x:v>Complete-cell fraction</x:v>
      </x:c>
      <x:c r="AE7" s="29" t="str">
        <x:v>25-year lifecycle/set $B</x:v>
      </x:c>
    </x:row>
    <x:row r="8">
      <x:c r="B8" s="30" t="str">
        <x:v>M1</x:v>
      </x:c>
      <x:c r="C8" s="30" t="str">
        <x:v>HBL-320 heavy buoyant liftship</x:v>
      </x:c>
      <x:c r="D8" s="30" t="str">
        <x:v>PHYSICAL</x:v>
      </x:c>
      <x:c r="E8" s="48" t="n">
        <x:v>320</x:v>
      </x:c>
      <x:c r="F8" s="48" t="n">
        <x:v>2</x:v>
      </x:c>
      <x:c r="G8" s="48" t="n">
        <x:v>48</x:v>
      </x:c>
      <x:c r="H8" s="48" t="n">
        <x:v>1</x:v>
      </x:c>
      <x:c r="I8" s="48" t="n">
        <x:v>0</x:v>
      </x:c>
      <x:c r="J8" s="48" t="n">
        <x:v>4000</x:v>
      </x:c>
      <x:c r="K8" s="48" t="n">
        <x:v>1</x:v>
      </x:c>
      <x:c r="L8" s="48" t="n">
        <x:v>0</x:v>
      </x:c>
      <x:c r="M8" s="48" t="n">
        <x:v>0</x:v>
      </x:c>
      <x:c r="N8" s="48" t="n">
        <x:v>15</x:v>
      </x:c>
      <x:c r="O8" s="48" t="n">
        <x:v>22</x:v>
      </x:c>
      <x:c r="P8" s="48" t="n">
        <x:v>0.5</x:v>
      </x:c>
      <x:c r="Q8" s="48" t="n">
        <x:v>0</x:v>
      </x:c>
      <x:c r="R8" s="48" t="n">
        <x:v>0</x:v>
      </x:c>
      <x:c r="S8" s="48" t="n">
        <x:v>0</x:v>
      </x:c>
      <x:c r="T8" s="48" t="n">
        <x:v>1</x:v>
      </x:c>
      <x:c r="U8" s="48" t="n">
        <x:v>2</x:v>
      </x:c>
      <x:c r="V8" s="48" t="n">
        <x:v>1</x:v>
      </x:c>
      <x:c r="W8" s="48" t="n">
        <x:v>2</x:v>
      </x:c>
      <x:c r="X8" s="48" t="n">
        <x:v>1</x:v>
      </x:c>
      <x:c r="Y8" s="49" t="n">
        <x:v>3.6</x:v>
      </x:c>
      <x:c r="Z8" s="49" t="n">
        <x:v>0.25</x:v>
      </x:c>
      <x:c r="AA8" s="49" t="n">
        <x:v>70</x:v>
      </x:c>
      <x:c r="AB8" s="48" t="n">
        <x:v>0</x:v>
      </x:c>
      <x:c r="AC8" s="30" t="n">
        <x:f>E8*F8*H8</x:f>
        <x:v>640</x:v>
      </x:c>
      <x:c r="AD8" s="50" t="n">
        <x:f>IF(D8="PHYSICAL",MIN(1,AC8/Assumptions!$C$10),I8)</x:f>
        <x:v>1</x:v>
      </x:c>
      <x:c r="AE8" s="78" t="n">
        <x:f>Y8+Z8*Assumptions!$C$19</x:f>
        <x:v>7.5525</x:v>
      </x:c>
    </x:row>
    <x:row r="9">
      <x:c r="B9" s="30" t="str">
        <x:v>M2</x:v>
      </x:c>
      <x:c r="C9" s="30" t="str">
        <x:v>WIG-650 amphibious utility carrier</x:v>
      </x:c>
      <x:c r="D9" s="30" t="str">
        <x:v>PHYSICAL</x:v>
      </x:c>
      <x:c r="E9" s="48" t="n">
        <x:v>650</x:v>
      </x:c>
      <x:c r="F9" s="48" t="n">
        <x:v>1</x:v>
      </x:c>
      <x:c r="G9" s="48" t="n">
        <x:v>30</x:v>
      </x:c>
      <x:c r="H9" s="48" t="n">
        <x:v>1</x:v>
      </x:c>
      <x:c r="I9" s="48" t="n">
        <x:v>0</x:v>
      </x:c>
      <x:c r="J9" s="48" t="n">
        <x:v>2500</x:v>
      </x:c>
      <x:c r="K9" s="48" t="n">
        <x:v>1</x:v>
      </x:c>
      <x:c r="L9" s="48" t="n">
        <x:v>1</x:v>
      </x:c>
      <x:c r="M9" s="48" t="n">
        <x:v>0</x:v>
      </x:c>
      <x:c r="N9" s="48" t="n">
        <x:v>5</x:v>
      </x:c>
      <x:c r="O9" s="48" t="n">
        <x:v>15</x:v>
      </x:c>
      <x:c r="P9" s="48" t="n">
        <x:v>2</x:v>
      </x:c>
      <x:c r="Q9" s="48" t="n">
        <x:v>0</x:v>
      </x:c>
      <x:c r="R9" s="48" t="n">
        <x:v>0</x:v>
      </x:c>
      <x:c r="S9" s="48" t="n">
        <x:v>0</x:v>
      </x:c>
      <x:c r="T9" s="48" t="n">
        <x:v>1</x:v>
      </x:c>
      <x:c r="U9" s="48" t="n">
        <x:v>3</x:v>
      </x:c>
      <x:c r="V9" s="48" t="n">
        <x:v>1</x:v>
      </x:c>
      <x:c r="W9" s="48" t="n">
        <x:v>2</x:v>
      </x:c>
      <x:c r="X9" s="48" t="n">
        <x:v>2</x:v>
      </x:c>
      <x:c r="Y9" s="49" t="n">
        <x:v>2.5</x:v>
      </x:c>
      <x:c r="Z9" s="49" t="n">
        <x:v>0.18</x:v>
      </x:c>
      <x:c r="AA9" s="49" t="n">
        <x:v>55</x:v>
      </x:c>
      <x:c r="AB9" s="48" t="n">
        <x:v>0</x:v>
      </x:c>
      <x:c r="AC9" s="30" t="n">
        <x:f>E9*F9*H9</x:f>
        <x:v>650</x:v>
      </x:c>
      <x:c r="AD9" s="50" t="n">
        <x:f>IF(D9="PHYSICAL",MIN(1,AC9/Assumptions!$C$10),I9)</x:f>
        <x:v>1</x:v>
      </x:c>
      <x:c r="AE9" s="78" t="n">
        <x:f>Y9+Z9*Assumptions!$C$19</x:f>
        <x:v>5.3458000000000006</x:v>
      </x:c>
    </x:row>
    <x:row r="10">
      <x:c r="B10" s="30" t="str">
        <x:v>M3</x:v>
      </x:c>
      <x:c r="C10" s="30" t="str">
        <x:v>ATUT-160 autonomous terrain train</x:v>
      </x:c>
      <x:c r="D10" s="30" t="str">
        <x:v>PHYSICAL</x:v>
      </x:c>
      <x:c r="E10" s="48" t="n">
        <x:v>160</x:v>
      </x:c>
      <x:c r="F10" s="48" t="n">
        <x:v>4</x:v>
      </x:c>
      <x:c r="G10" s="48" t="n">
        <x:v>30</x:v>
      </x:c>
      <x:c r="H10" s="48" t="n">
        <x:v>1</x:v>
      </x:c>
      <x:c r="I10" s="48" t="n">
        <x:v>0</x:v>
      </x:c>
      <x:c r="J10" s="48" t="n">
        <x:v>800</x:v>
      </x:c>
      <x:c r="K10" s="48" t="n">
        <x:v>1</x:v>
      </x:c>
      <x:c r="L10" s="48" t="n">
        <x:v>0</x:v>
      </x:c>
      <x:c r="M10" s="48" t="n">
        <x:v>0</x:v>
      </x:c>
      <x:c r="N10" s="48" t="n">
        <x:v>30</x:v>
      </x:c>
      <x:c r="O10" s="48" t="n">
        <x:v>35</x:v>
      </x:c>
      <x:c r="P10" s="48" t="n">
        <x:v>0.1</x:v>
      </x:c>
      <x:c r="Q10" s="48" t="n">
        <x:v>1</x:v>
      </x:c>
      <x:c r="R10" s="48" t="n">
        <x:v>0</x:v>
      </x:c>
      <x:c r="S10" s="48" t="n">
        <x:v>0</x:v>
      </x:c>
      <x:c r="T10" s="48" t="n">
        <x:v>1</x:v>
      </x:c>
      <x:c r="U10" s="48" t="n">
        <x:v>1.5</x:v>
      </x:c>
      <x:c r="V10" s="48" t="n">
        <x:v>1</x:v>
      </x:c>
      <x:c r="W10" s="48" t="n">
        <x:v>2</x:v>
      </x:c>
      <x:c r="X10" s="48" t="n">
        <x:v>2</x:v>
      </x:c>
      <x:c r="Y10" s="49" t="n">
        <x:v>3.2</x:v>
      </x:c>
      <x:c r="Z10" s="49" t="n">
        <x:v>0.2</x:v>
      </x:c>
      <x:c r="AA10" s="49" t="n">
        <x:v>60</x:v>
      </x:c>
      <x:c r="AB10" s="48" t="n">
        <x:v>0</x:v>
      </x:c>
      <x:c r="AC10" s="30" t="n">
        <x:f>E10*F10*H10</x:f>
        <x:v>640</x:v>
      </x:c>
      <x:c r="AD10" s="50" t="n">
        <x:f>IF(D10="PHYSICAL",MIN(1,AC10/Assumptions!$C$10),I10)</x:f>
        <x:v>1</x:v>
      </x:c>
      <x:c r="AE10" s="78" t="n">
        <x:f>Y10+Z10*Assumptions!$C$19</x:f>
        <x:v>6.362</x:v>
      </x:c>
    </x:row>
    <x:row r="11">
      <x:c r="B11" s="30" t="str">
        <x:v>M4</x:v>
      </x:c>
      <x:c r="C11" s="30" t="str">
        <x:v>VHL-80 distributed heavy-VTOL lattice</x:v>
      </x:c>
      <x:c r="D11" s="30" t="str">
        <x:v>PHYSICAL</x:v>
      </x:c>
      <x:c r="E11" s="48" t="n">
        <x:v>80</x:v>
      </x:c>
      <x:c r="F11" s="48" t="n">
        <x:v>8</x:v>
      </x:c>
      <x:c r="G11" s="48" t="n">
        <x:v>48</x:v>
      </x:c>
      <x:c r="H11" s="48" t="n">
        <x:v>1</x:v>
      </x:c>
      <x:c r="I11" s="48" t="n">
        <x:v>0</x:v>
      </x:c>
      <x:c r="J11" s="48" t="n">
        <x:v>1500</x:v>
      </x:c>
      <x:c r="K11" s="48" t="n">
        <x:v>1</x:v>
      </x:c>
      <x:c r="L11" s="48" t="n">
        <x:v>0</x:v>
      </x:c>
      <x:c r="M11" s="48" t="n">
        <x:v>0</x:v>
      </x:c>
      <x:c r="N11" s="48" t="n">
        <x:v>20</x:v>
      </x:c>
      <x:c r="O11" s="48" t="n">
        <x:v>25</x:v>
      </x:c>
      <x:c r="P11" s="48" t="n">
        <x:v>0.2</x:v>
      </x:c>
      <x:c r="Q11" s="48" t="n">
        <x:v>0</x:v>
      </x:c>
      <x:c r="R11" s="48" t="n">
        <x:v>0</x:v>
      </x:c>
      <x:c r="S11" s="48" t="n">
        <x:v>0</x:v>
      </x:c>
      <x:c r="T11" s="48" t="n">
        <x:v>1</x:v>
      </x:c>
      <x:c r="U11" s="48" t="n">
        <x:v>0.8</x:v>
      </x:c>
      <x:c r="V11" s="48" t="n">
        <x:v>2</x:v>
      </x:c>
      <x:c r="W11" s="48" t="n">
        <x:v>3</x:v>
      </x:c>
      <x:c r="X11" s="48" t="n">
        <x:v>3</x:v>
      </x:c>
      <x:c r="Y11" s="49" t="n">
        <x:v>5.2</x:v>
      </x:c>
      <x:c r="Z11" s="49" t="n">
        <x:v>0.4</x:v>
      </x:c>
      <x:c r="AA11" s="49" t="n">
        <x:v>85</x:v>
      </x:c>
      <x:c r="AB11" s="48" t="n">
        <x:v>0</x:v>
      </x:c>
      <x:c r="AC11" s="30" t="n">
        <x:f>E11*F11*H11</x:f>
        <x:v>640</x:v>
      </x:c>
      <x:c r="AD11" s="50" t="n">
        <x:f>IF(D11="PHYSICAL",MIN(1,AC11/Assumptions!$C$10),I11)</x:f>
        <x:v>1</x:v>
      </x:c>
      <x:c r="AE11" s="78" t="n">
        <x:f>Y11+Z11*Assumptions!$C$19</x:f>
        <x:v>11.524000000000001</x:v>
      </x:c>
    </x:row>
    <x:row r="12">
      <x:c r="B12" s="30" t="str">
        <x:v>M5</x:v>
      </x:c>
      <x:c r="C12" s="30" t="str">
        <x:v>RUC-100 robotic utility corridor projector</x:v>
      </x:c>
      <x:c r="D12" s="30" t="str">
        <x:v>SERVICE</x:v>
      </x:c>
      <x:c r="E12" s="48" t="n">
        <x:v>50</x:v>
      </x:c>
      <x:c r="F12" s="48" t="n">
        <x:v>4</x:v>
      </x:c>
      <x:c r="G12" s="48" t="n">
        <x:v>24</x:v>
      </x:c>
      <x:c r="H12" s="48" t="n">
        <x:v>2</x:v>
      </x:c>
      <x:c r="I12" s="48" t="n">
        <x:v>1</x:v>
      </x:c>
      <x:c r="J12" s="48" t="n">
        <x:v>100</x:v>
      </x:c>
      <x:c r="K12" s="48" t="n">
        <x:v>1</x:v>
      </x:c>
      <x:c r="L12" s="48" t="n">
        <x:v>0</x:v>
      </x:c>
      <x:c r="M12" s="48" t="n">
        <x:v>0</x:v>
      </x:c>
      <x:c r="N12" s="48" t="n">
        <x:v>40</x:v>
      </x:c>
      <x:c r="O12" s="48" t="n">
        <x:v>25</x:v>
      </x:c>
      <x:c r="P12" s="48" t="n">
        <x:v>0.1</x:v>
      </x:c>
      <x:c r="Q12" s="48" t="n">
        <x:v>1</x:v>
      </x:c>
      <x:c r="R12" s="48" t="n">
        <x:v>0</x:v>
      </x:c>
      <x:c r="S12" s="48" t="n">
        <x:v>1</x:v>
      </x:c>
      <x:c r="T12" s="48" t="n">
        <x:v>1</x:v>
      </x:c>
      <x:c r="U12" s="48" t="n">
        <x:v>0.2</x:v>
      </x:c>
      <x:c r="V12" s="48" t="n">
        <x:v>2</x:v>
      </x:c>
      <x:c r="W12" s="48" t="n">
        <x:v>3</x:v>
      </x:c>
      <x:c r="X12" s="48" t="n">
        <x:v>3</x:v>
      </x:c>
      <x:c r="Y12" s="49" t="n">
        <x:v>1.2</x:v>
      </x:c>
      <x:c r="Z12" s="49" t="n">
        <x:v>0.12</x:v>
      </x:c>
      <x:c r="AA12" s="49" t="n">
        <x:v>45</x:v>
      </x:c>
      <x:c r="AB12" s="48" t="n">
        <x:v>0</x:v>
      </x:c>
      <x:c r="AC12" s="30" t="n">
        <x:f>E12*F12*H12</x:f>
        <x:v>400</x:v>
      </x:c>
      <x:c r="AD12" s="50" t="n">
        <x:f>IF(D12="PHYSICAL",MIN(1,AC12/Assumptions!$C$10),I12)</x:f>
        <x:v>1</x:v>
      </x:c>
      <x:c r="AE12" s="78" t="n">
        <x:f>Y12+Z12*Assumptions!$C$19</x:f>
        <x:v>3.0972</x:v>
      </x:c>
    </x:row>
    <x:row r="13">
      <x:c r="B13" s="30" t="str">
        <x:v>M6</x:v>
      </x:c>
      <x:c r="C13" s="30" t="str">
        <x:v>LCS-150 local-conversion seed force</x:v>
      </x:c>
      <x:c r="D13" s="30" t="str">
        <x:v>SERVICE</x:v>
      </x:c>
      <x:c r="E13" s="48" t="n">
        <x:v>50</x:v>
      </x:c>
      <x:c r="F13" s="48" t="n">
        <x:v>3</x:v>
      </x:c>
      <x:c r="G13" s="48" t="n">
        <x:v>24</x:v>
      </x:c>
      <x:c r="H13" s="48" t="n">
        <x:v>1</x:v>
      </x:c>
      <x:c r="I13" s="48" t="n">
        <x:v>1</x:v>
      </x:c>
      <x:c r="J13" s="48" t="n">
        <x:v>1200</x:v>
      </x:c>
      <x:c r="K13" s="48" t="n">
        <x:v>1</x:v>
      </x:c>
      <x:c r="L13" s="48" t="n">
        <x:v>0</x:v>
      </x:c>
      <x:c r="M13" s="48" t="n">
        <x:v>0</x:v>
      </x:c>
      <x:c r="N13" s="48" t="n">
        <x:v>25</x:v>
      </x:c>
      <x:c r="O13" s="48" t="n">
        <x:v>25</x:v>
      </x:c>
      <x:c r="P13" s="48" t="n">
        <x:v>0.2</x:v>
      </x:c>
      <x:c r="Q13" s="48" t="n">
        <x:v>1</x:v>
      </x:c>
      <x:c r="R13" s="48" t="n">
        <x:v>1</x:v>
      </x:c>
      <x:c r="S13" s="48" t="n">
        <x:v>0</x:v>
      </x:c>
      <x:c r="T13" s="48" t="n">
        <x:v>1</x:v>
      </x:c>
      <x:c r="U13" s="48" t="n">
        <x:v>1</x:v>
      </x:c>
      <x:c r="V13" s="48" t="n">
        <x:v>3</x:v>
      </x:c>
      <x:c r="W13" s="48" t="n">
        <x:v>4</x:v>
      </x:c>
      <x:c r="X13" s="48" t="n">
        <x:v>4</x:v>
      </x:c>
      <x:c r="Y13" s="49" t="n">
        <x:v>0.9</x:v>
      </x:c>
      <x:c r="Z13" s="49" t="n">
        <x:v>0.1</x:v>
      </x:c>
      <x:c r="AA13" s="49" t="n">
        <x:v>40</x:v>
      </x:c>
      <x:c r="AB13" s="48" t="n">
        <x:v>0</x:v>
      </x:c>
      <x:c r="AC13" s="30" t="n">
        <x:f>E13*F13*H13</x:f>
        <x:v>150</x:v>
      </x:c>
      <x:c r="AD13" s="50" t="n">
        <x:f>IF(D13="PHYSICAL",MIN(1,AC13/Assumptions!$C$10),I13)</x:f>
        <x:v>1</x:v>
      </x:c>
      <x:c r="AE13" s="78" t="n">
        <x:f>Y13+Z13*Assumptions!$C$19</x:f>
        <x:v>2.4810000000000003</x:v>
      </x:c>
    </x:row>
    <x:row r="14">
      <x:c r="B14" s="30" t="str">
        <x:v>M7</x:v>
      </x:c>
      <x:c r="C14" s="30" t="str">
        <x:v>BCG-100 ballistic cargo-glider salvo</x:v>
      </x:c>
      <x:c r="D14" s="30" t="str">
        <x:v>PHYSICAL</x:v>
      </x:c>
      <x:c r="E14" s="48" t="n">
        <x:v>100</x:v>
      </x:c>
      <x:c r="F14" s="48" t="n">
        <x:v>7</x:v>
      </x:c>
      <x:c r="G14" s="48" t="n">
        <x:v>48</x:v>
      </x:c>
      <x:c r="H14" s="48" t="n">
        <x:v>1</x:v>
      </x:c>
      <x:c r="I14" s="48" t="n">
        <x:v>0</x:v>
      </x:c>
      <x:c r="J14" s="48" t="n">
        <x:v>10000</x:v>
      </x:c>
      <x:c r="K14" s="48" t="n">
        <x:v>1</x:v>
      </x:c>
      <x:c r="L14" s="48" t="n">
        <x:v>0</x:v>
      </x:c>
      <x:c r="M14" s="48" t="n">
        <x:v>0</x:v>
      </x:c>
      <x:c r="N14" s="48" t="n">
        <x:v>10</x:v>
      </x:c>
      <x:c r="O14" s="48" t="n">
        <x:v>18</x:v>
      </x:c>
      <x:c r="P14" s="48" t="n">
        <x:v>0.5</x:v>
      </x:c>
      <x:c r="Q14" s="48" t="n">
        <x:v>1</x:v>
      </x:c>
      <x:c r="R14" s="48" t="n">
        <x:v>0</x:v>
      </x:c>
      <x:c r="S14" s="48" t="n">
        <x:v>0</x:v>
      </x:c>
      <x:c r="T14" s="48" t="n">
        <x:v>1</x:v>
      </x:c>
      <x:c r="U14" s="48" t="n">
        <x:v>4</x:v>
      </x:c>
      <x:c r="V14" s="48" t="n">
        <x:v>1</x:v>
      </x:c>
      <x:c r="W14" s="48" t="n">
        <x:v>4</x:v>
      </x:c>
      <x:c r="X14" s="48" t="n">
        <x:v>2</x:v>
      </x:c>
      <x:c r="Y14" s="49" t="n">
        <x:v>1.75</x:v>
      </x:c>
      <x:c r="Z14" s="49" t="n">
        <x:v>0.35</x:v>
      </x:c>
      <x:c r="AA14" s="49" t="n">
        <x:v>65</x:v>
      </x:c>
      <x:c r="AB14" s="48" t="n">
        <x:v>0</x:v>
      </x:c>
      <x:c r="AC14" s="30" t="n">
        <x:f>E14*F14*H14</x:f>
        <x:v>700</x:v>
      </x:c>
      <x:c r="AD14" s="50" t="n">
        <x:f>IF(D14="PHYSICAL",MIN(1,AC14/Assumptions!$C$10),I14)</x:f>
        <x:v>1</x:v>
      </x:c>
      <x:c r="AE14" s="78" t="n">
        <x:f>Y14+Z14*Assumptions!$C$19</x:f>
        <x:v>7.2835</x:v>
      </x:c>
    </x:row>
    <x:row r="15">
      <x:c r="B15" s="36" t="str">
        <x:v>M8</x:v>
      </x:c>
      <x:c r="C15" s="36" t="str">
        <x:v>AGC-320 amphibious ground-effect crawler</x:v>
      </x:c>
      <x:c r="D15" s="36" t="str">
        <x:v>PHYSICAL</x:v>
      </x:c>
      <x:c r="E15" s="52" t="n">
        <x:v>320</x:v>
      </x:c>
      <x:c r="F15" s="52" t="n">
        <x:v>2</x:v>
      </x:c>
      <x:c r="G15" s="52" t="n">
        <x:v>48</x:v>
      </x:c>
      <x:c r="H15" s="52" t="n">
        <x:v>1</x:v>
      </x:c>
      <x:c r="I15" s="52" t="n">
        <x:v>0</x:v>
      </x:c>
      <x:c r="J15" s="52" t="n">
        <x:v>1200</x:v>
      </x:c>
      <x:c r="K15" s="52" t="n">
        <x:v>1</x:v>
      </x:c>
      <x:c r="L15" s="52" t="n">
        <x:v>0</x:v>
      </x:c>
      <x:c r="M15" s="52" t="n">
        <x:v>0</x:v>
      </x:c>
      <x:c r="N15" s="52" t="n">
        <x:v>12</x:v>
      </x:c>
      <x:c r="O15" s="52" t="n">
        <x:v>20</x:v>
      </x:c>
      <x:c r="P15" s="52" t="n">
        <x:v>0.5</x:v>
      </x:c>
      <x:c r="Q15" s="52" t="n">
        <x:v>1</x:v>
      </x:c>
      <x:c r="R15" s="52" t="n">
        <x:v>0</x:v>
      </x:c>
      <x:c r="S15" s="52" t="n">
        <x:v>0</x:v>
      </x:c>
      <x:c r="T15" s="52" t="n">
        <x:v>1</x:v>
      </x:c>
      <x:c r="U15" s="52" t="n">
        <x:v>1.2</x:v>
      </x:c>
      <x:c r="V15" s="52" t="n">
        <x:v>1</x:v>
      </x:c>
      <x:c r="W15" s="52" t="n">
        <x:v>3</x:v>
      </x:c>
      <x:c r="X15" s="52" t="n">
        <x:v>3</x:v>
      </x:c>
      <x:c r="Y15" s="53" t="n">
        <x:v>2.8</x:v>
      </x:c>
      <x:c r="Z15" s="53" t="n">
        <x:v>0.18</x:v>
      </x:c>
      <x:c r="AA15" s="53" t="n">
        <x:v>60</x:v>
      </x:c>
      <x:c r="AB15" s="52" t="n">
        <x:v>0</x:v>
      </x:c>
      <x:c r="AC15" s="36" t="n">
        <x:f>E15*F15*H15</x:f>
        <x:v>640</x:v>
      </x:c>
      <x:c r="AD15" s="54" t="n">
        <x:f>IF(D15="PHYSICAL",MIN(1,AC15/Assumptions!$C$10),I15)</x:f>
        <x:v>1</x:v>
      </x:c>
      <x:c r="AE15" s="79" t="n">
        <x:f>Y15+Z15*Assumptions!$C$19</x:f>
        <x:v>5.6457999999999995</x:v>
      </x:c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89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89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89"/>
    </x:row>
  </x:sheetData>
  <x:mergeCells>
    <x:mergeCell ref="B6:AD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40" hidden="0" customWidth="1"/>
    <x:col min="4" max="4" width="14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7" hidden="0" customWidth="1"/>
    <x:col min="10" max="10" width="20" hidden="0" customWidth="1"/>
    <x:col min="11" max="11" width="17" hidden="0" customWidth="1"/>
    <x:col min="12" max="12" width="17" hidden="0" customWidth="1"/>
    <x:col min="13" max="13" width="22" hidden="0" customWidth="1"/>
    <x:col min="14" max="14" width="19" hidden="0" customWidth="1"/>
  </x:cols>
  <x:sheetData>
    <x:row r="2">
      <x:c r="B2" s="3" t="str">
        <x:v>Complete-cell payload closure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A mechanism receives transfer credit only when the full launch article reaches the receiver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28" t="str">
        <x:v>Code</x:v>
      </x:c>
      <x:c r="C6" s="29" t="str">
        <x:v>Mechanism</x:v>
      </x:c>
      <x:c r="D6" s="29" t="str">
        <x:v>Method</x:v>
      </x:c>
      <x:c r="E6" s="29" t="str">
        <x:v>Required mass t</x:v>
      </x:c>
      <x:c r="F6" s="29" t="str">
        <x:v>Delivered mass t</x:v>
      </x:c>
      <x:c r="G6" s="29" t="str">
        <x:v>Mass margin t</x:v>
      </x:c>
      <x:c r="H6" s="29" t="str">
        <x:v>Payload fraction</x:v>
      </x:c>
      <x:c r="I6" s="29" t="str">
        <x:v>Service potential</x:v>
      </x:c>
      <x:c r="J6" s="29" t="str">
        <x:v>Complete-cell fraction</x:v>
      </x:c>
      <x:c r="K6" s="29" t="str">
        <x:v>Module positions</x:v>
      </x:c>
      <x:c r="L6" s="29" t="str">
        <x:v>Receiver setup h</x:v>
      </x:c>
      <x:c r="M6" s="29" t="str">
        <x:v>Declared service entry h</x:v>
      </x:c>
      <x:c r="N6" s="29" t="str">
        <x:v>Access closure</x:v>
      </x:c>
    </x:row>
    <x:row r="7">
      <x:c r="B7" s="30" t="str">
        <x:f>Mechanisms!B8</x:f>
        <x:v>M1</x:v>
      </x:c>
      <x:c r="C7" s="30" t="str">
        <x:f>Mechanisms!C8</x:f>
        <x:v>HBL-320 heavy buoyant liftship</x:v>
      </x:c>
      <x:c r="D7" s="30" t="str">
        <x:f>Mechanisms!D8</x:f>
        <x:v>PHYSICAL</x:v>
      </x:c>
      <x:c r="E7" s="30" t="n">
        <x:f>Assumptions!$C$10</x:f>
        <x:v>635</x:v>
      </x:c>
      <x:c r="F7" s="30" t="n">
        <x:f>Mechanisms!AC8</x:f>
        <x:v>640</x:v>
      </x:c>
      <x:c r="G7" s="30" t="n">
        <x:f>F7-E7</x:f>
        <x:v>5</x:v>
      </x:c>
      <x:c r="H7" s="50" t="n">
        <x:f>MIN(1,F7/E7)</x:f>
        <x:v>1</x:v>
      </x:c>
      <x:c r="I7" s="50" t="n">
        <x:f>Mechanisms!I8</x:f>
        <x:v>0</x:v>
      </x:c>
      <x:c r="J7" s="50" t="n">
        <x:f>Mechanisms!AD8</x:f>
        <x:v>1</x:v>
      </x:c>
      <x:c r="K7" s="30" t="n">
        <x:v>32</x:v>
      </x:c>
      <x:c r="L7" s="30" t="n">
        <x:v>18</x:v>
      </x:c>
      <x:c r="M7" s="30" t="n">
        <x:f>Mechanisms!G8/2+L7</x:f>
        <x:v>42</x:v>
      </x:c>
      <x:c r="N7" s="32" t="str">
        <x:f>IF(AND(J7&gt;=Assumptions!$C$14,M7&lt;=Assumptions!$C$13),"PASS","FAIL")</x:f>
        <x:v>PASS</x:v>
      </x:c>
    </x:row>
    <x:row r="8">
      <x:c r="B8" s="30" t="str">
        <x:f>Mechanisms!B9</x:f>
        <x:v>M2</x:v>
      </x:c>
      <x:c r="C8" s="30" t="str">
        <x:f>Mechanisms!C9</x:f>
        <x:v>WIG-650 amphibious utility carrier</x:v>
      </x:c>
      <x:c r="D8" s="30" t="str">
        <x:f>Mechanisms!D9</x:f>
        <x:v>PHYSICAL</x:v>
      </x:c>
      <x:c r="E8" s="30" t="n">
        <x:f>Assumptions!$C$10</x:f>
        <x:v>635</x:v>
      </x:c>
      <x:c r="F8" s="30" t="n">
        <x:f>Mechanisms!AC9</x:f>
        <x:v>650</x:v>
      </x:c>
      <x:c r="G8" s="30" t="n">
        <x:f>F8-E8</x:f>
        <x:v>15</x:v>
      </x:c>
      <x:c r="H8" s="50" t="n">
        <x:f>MIN(1,F8/E8)</x:f>
        <x:v>1</x:v>
      </x:c>
      <x:c r="I8" s="50" t="n">
        <x:f>Mechanisms!I9</x:f>
        <x:v>0</x:v>
      </x:c>
      <x:c r="J8" s="50" t="n">
        <x:f>Mechanisms!AD9</x:f>
        <x:v>1</x:v>
      </x:c>
      <x:c r="K8" s="30" t="n">
        <x:v>32</x:v>
      </x:c>
      <x:c r="L8" s="30" t="n">
        <x:v>20</x:v>
      </x:c>
      <x:c r="M8" s="30" t="n">
        <x:f>Mechanisms!G9/2+L8</x:f>
        <x:v>35</x:v>
      </x:c>
      <x:c r="N8" s="32" t="str">
        <x:f>IF(AND(J8&gt;=Assumptions!$C$14,M8&lt;=Assumptions!$C$13),"PASS","FAIL")</x:f>
        <x:v>PASS</x:v>
      </x:c>
    </x:row>
    <x:row r="9">
      <x:c r="B9" s="30" t="str">
        <x:f>Mechanisms!B10</x:f>
        <x:v>M3</x:v>
      </x:c>
      <x:c r="C9" s="30" t="str">
        <x:f>Mechanisms!C10</x:f>
        <x:v>ATUT-160 autonomous terrain train</x:v>
      </x:c>
      <x:c r="D9" s="30" t="str">
        <x:f>Mechanisms!D10</x:f>
        <x:v>PHYSICAL</x:v>
      </x:c>
      <x:c r="E9" s="30" t="n">
        <x:f>Assumptions!$C$10</x:f>
        <x:v>635</x:v>
      </x:c>
      <x:c r="F9" s="30" t="n">
        <x:f>Mechanisms!AC10</x:f>
        <x:v>640</x:v>
      </x:c>
      <x:c r="G9" s="30" t="n">
        <x:f>F9-E9</x:f>
        <x:v>5</x:v>
      </x:c>
      <x:c r="H9" s="50" t="n">
        <x:f>MIN(1,F9/E9)</x:f>
        <x:v>1</x:v>
      </x:c>
      <x:c r="I9" s="50" t="n">
        <x:f>Mechanisms!I10</x:f>
        <x:v>0</x:v>
      </x:c>
      <x:c r="J9" s="50" t="n">
        <x:f>Mechanisms!AD10</x:f>
        <x:v>1</x:v>
      </x:c>
      <x:c r="K9" s="30" t="n">
        <x:v>32</x:v>
      </x:c>
      <x:c r="L9" s="30" t="n">
        <x:v>30</x:v>
      </x:c>
      <x:c r="M9" s="30" t="n">
        <x:f>Mechanisms!G10/2+L9</x:f>
        <x:v>45</x:v>
      </x:c>
      <x:c r="N9" s="32" t="str">
        <x:f>IF(AND(J9&gt;=Assumptions!$C$14,M9&lt;=Assumptions!$C$13),"PASS","FAIL")</x:f>
        <x:v>PASS</x:v>
      </x:c>
    </x:row>
    <x:row r="10">
      <x:c r="B10" s="30" t="str">
        <x:f>Mechanisms!B11</x:f>
        <x:v>M4</x:v>
      </x:c>
      <x:c r="C10" s="30" t="str">
        <x:f>Mechanisms!C11</x:f>
        <x:v>VHL-80 distributed heavy-VTOL lattice</x:v>
      </x:c>
      <x:c r="D10" s="30" t="str">
        <x:f>Mechanisms!D11</x:f>
        <x:v>PHYSICAL</x:v>
      </x:c>
      <x:c r="E10" s="30" t="n">
        <x:f>Assumptions!$C$10</x:f>
        <x:v>635</x:v>
      </x:c>
      <x:c r="F10" s="30" t="n">
        <x:f>Mechanisms!AC11</x:f>
        <x:v>640</x:v>
      </x:c>
      <x:c r="G10" s="30" t="n">
        <x:f>F10-E10</x:f>
        <x:v>5</x:v>
      </x:c>
      <x:c r="H10" s="50" t="n">
        <x:f>MIN(1,F10/E10)</x:f>
        <x:v>1</x:v>
      </x:c>
      <x:c r="I10" s="50" t="n">
        <x:f>Mechanisms!I11</x:f>
        <x:v>0</x:v>
      </x:c>
      <x:c r="J10" s="50" t="n">
        <x:f>Mechanisms!AD11</x:f>
        <x:v>1</x:v>
      </x:c>
      <x:c r="K10" s="30" t="n">
        <x:v>32</x:v>
      </x:c>
      <x:c r="L10" s="30" t="n">
        <x:v>16</x:v>
      </x:c>
      <x:c r="M10" s="30" t="n">
        <x:f>Mechanisms!G11/2+L10</x:f>
        <x:v>40</x:v>
      </x:c>
      <x:c r="N10" s="32" t="str">
        <x:f>IF(AND(J10&gt;=Assumptions!$C$14,M10&lt;=Assumptions!$C$13),"PASS","FAIL")</x:f>
        <x:v>PASS</x:v>
      </x:c>
    </x:row>
    <x:row r="11">
      <x:c r="B11" s="30" t="str">
        <x:f>Mechanisms!B12</x:f>
        <x:v>M5</x:v>
      </x:c>
      <x:c r="C11" s="30" t="str">
        <x:f>Mechanisms!C12</x:f>
        <x:v>RUC-100 robotic utility corridor projector</x:v>
      </x:c>
      <x:c r="D11" s="30" t="str">
        <x:f>Mechanisms!D12</x:f>
        <x:v>SERVICE</x:v>
      </x:c>
      <x:c r="E11" s="30" t="n">
        <x:f>Assumptions!$C$10</x:f>
        <x:v>635</x:v>
      </x:c>
      <x:c r="F11" s="30" t="n">
        <x:f>Mechanisms!AC12</x:f>
        <x:v>400</x:v>
      </x:c>
      <x:c r="G11" s="30" t="n">
        <x:f>F11-E11</x:f>
        <x:v>-235</x:v>
      </x:c>
      <x:c r="H11" s="50" t="n">
        <x:f>MIN(1,F11/E11)</x:f>
        <x:v>0.6299212598425197</x:v>
      </x:c>
      <x:c r="I11" s="50" t="n">
        <x:f>Mechanisms!I12</x:f>
        <x:v>1</x:v>
      </x:c>
      <x:c r="J11" s="50" t="n">
        <x:f>Mechanisms!AD12</x:f>
        <x:v>1</x:v>
      </x:c>
      <x:c r="K11" s="30" t="n">
        <x:v>32</x:v>
      </x:c>
      <x:c r="L11" s="30" t="n">
        <x:v>28</x:v>
      </x:c>
      <x:c r="M11" s="30" t="n">
        <x:f>Mechanisms!G12/2+L11</x:f>
        <x:v>40</x:v>
      </x:c>
      <x:c r="N11" s="32" t="str">
        <x:f>IF(AND(J11&gt;=Assumptions!$C$14,M11&lt;=Assumptions!$C$13),"PASS","FAIL")</x:f>
        <x:v>PASS</x:v>
      </x:c>
    </x:row>
    <x:row r="12">
      <x:c r="B12" s="30" t="str">
        <x:f>Mechanisms!B13</x:f>
        <x:v>M6</x:v>
      </x:c>
      <x:c r="C12" s="30" t="str">
        <x:f>Mechanisms!C13</x:f>
        <x:v>LCS-150 local-conversion seed force</x:v>
      </x:c>
      <x:c r="D12" s="30" t="str">
        <x:f>Mechanisms!D13</x:f>
        <x:v>SERVICE</x:v>
      </x:c>
      <x:c r="E12" s="30" t="n">
        <x:f>Assumptions!$C$10</x:f>
        <x:v>635</x:v>
      </x:c>
      <x:c r="F12" s="30" t="n">
        <x:f>Mechanisms!AC13</x:f>
        <x:v>150</x:v>
      </x:c>
      <x:c r="G12" s="30" t="n">
        <x:f>F12-E12</x:f>
        <x:v>-485</x:v>
      </x:c>
      <x:c r="H12" s="50" t="n">
        <x:f>MIN(1,F12/E12)</x:f>
        <x:v>0.23622047244094488</x:v>
      </x:c>
      <x:c r="I12" s="50" t="n">
        <x:f>Mechanisms!I13</x:f>
        <x:v>1</x:v>
      </x:c>
      <x:c r="J12" s="50" t="n">
        <x:f>Mechanisms!AD13</x:f>
        <x:v>1</x:v>
      </x:c>
      <x:c r="K12" s="30" t="n">
        <x:v>32</x:v>
      </x:c>
      <x:c r="L12" s="30" t="n">
        <x:v>36</x:v>
      </x:c>
      <x:c r="M12" s="30" t="n">
        <x:f>Mechanisms!G13/2+L12</x:f>
        <x:v>48</x:v>
      </x:c>
      <x:c r="N12" s="32" t="str">
        <x:f>IF(AND(J12&gt;=Assumptions!$C$14,M12&lt;=Assumptions!$C$13),"PASS","FAIL")</x:f>
        <x:v>PASS</x:v>
      </x:c>
    </x:row>
    <x:row r="13">
      <x:c r="B13" s="30" t="str">
        <x:f>Mechanisms!B14</x:f>
        <x:v>M7</x:v>
      </x:c>
      <x:c r="C13" s="30" t="str">
        <x:f>Mechanisms!C14</x:f>
        <x:v>BCG-100 ballistic cargo-glider salvo</x:v>
      </x:c>
      <x:c r="D13" s="30" t="str">
        <x:f>Mechanisms!D14</x:f>
        <x:v>PHYSICAL</x:v>
      </x:c>
      <x:c r="E13" s="30" t="n">
        <x:f>Assumptions!$C$10</x:f>
        <x:v>635</x:v>
      </x:c>
      <x:c r="F13" s="30" t="n">
        <x:f>Mechanisms!AC14</x:f>
        <x:v>700</x:v>
      </x:c>
      <x:c r="G13" s="30" t="n">
        <x:f>F13-E13</x:f>
        <x:v>65</x:v>
      </x:c>
      <x:c r="H13" s="50" t="n">
        <x:f>MIN(1,F13/E13)</x:f>
        <x:v>1</x:v>
      </x:c>
      <x:c r="I13" s="50" t="n">
        <x:f>Mechanisms!I14</x:f>
        <x:v>0</x:v>
      </x:c>
      <x:c r="J13" s="50" t="n">
        <x:f>Mechanisms!AD14</x:f>
        <x:v>1</x:v>
      </x:c>
      <x:c r="K13" s="30" t="n">
        <x:v>32</x:v>
      </x:c>
      <x:c r="L13" s="30" t="n">
        <x:v>12</x:v>
      </x:c>
      <x:c r="M13" s="30" t="n">
        <x:f>Mechanisms!G14/2+L13</x:f>
        <x:v>36</x:v>
      </x:c>
      <x:c r="N13" s="32" t="str">
        <x:f>IF(AND(J13&gt;=Assumptions!$C$14,M13&lt;=Assumptions!$C$13),"PASS","FAIL")</x:f>
        <x:v>PASS</x:v>
      </x:c>
    </x:row>
    <x:row r="14">
      <x:c r="B14" s="36" t="str">
        <x:f>Mechanisms!B15</x:f>
        <x:v>M8</x:v>
      </x:c>
      <x:c r="C14" s="36" t="str">
        <x:f>Mechanisms!C15</x:f>
        <x:v>AGC-320 amphibious ground-effect crawler</x:v>
      </x:c>
      <x:c r="D14" s="36" t="str">
        <x:f>Mechanisms!D15</x:f>
        <x:v>PHYSICAL</x:v>
      </x:c>
      <x:c r="E14" s="36" t="n">
        <x:f>Assumptions!$C$10</x:f>
        <x:v>635</x:v>
      </x:c>
      <x:c r="F14" s="36" t="n">
        <x:f>Mechanisms!AC15</x:f>
        <x:v>640</x:v>
      </x:c>
      <x:c r="G14" s="36" t="n">
        <x:f>F14-E14</x:f>
        <x:v>5</x:v>
      </x:c>
      <x:c r="H14" s="54" t="n">
        <x:f>MIN(1,F14/E14)</x:f>
        <x:v>1</x:v>
      </x:c>
      <x:c r="I14" s="54" t="n">
        <x:f>Mechanisms!I15</x:f>
        <x:v>0</x:v>
      </x:c>
      <x:c r="J14" s="54" t="n">
        <x:f>Mechanisms!AD15</x:f>
        <x:v>1</x:v>
      </x:c>
      <x:c r="K14" s="36" t="n">
        <x:v>32</x:v>
      </x:c>
      <x:c r="L14" s="36" t="n">
        <x:v>24</x:v>
      </x:c>
      <x:c r="M14" s="36" t="n">
        <x:f>Mechanisms!G15/2+L14</x:f>
        <x:v>48</x:v>
      </x:c>
      <x:c r="N14" s="38" t="str">
        <x:f>IF(AND(J14&gt;=Assumptions!$C$14,M14&lt;=Assumptions!$C$13),"PASS","FAIL")</x:f>
        <x:v>PASS</x:v>
      </x:c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</x:sheetData>
  <x:conditionalFormatting sqref="N7:N14">
    <x:cfRule type="containsText" dxfId="0" priority="1" operator="containsText" text="FAIL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9" hidden="0" customWidth="1"/>
    <x:col min="3" max="3" width="43" hidden="0" customWidth="1"/>
    <x:col min="4" max="4" width="12" hidden="0" customWidth="1"/>
    <x:col min="5" max="5" width="17" hidden="0" customWidth="1"/>
    <x:col min="6" max="6" width="22" hidden="0" customWidth="1"/>
    <x:col min="7" max="7" width="13" hidden="0" customWidth="1"/>
    <x:col min="8" max="8" width="11" hidden="0" customWidth="1"/>
    <x:col min="9" max="9" width="13" hidden="0" customWidth="1"/>
    <x:col min="10" max="10" width="15" hidden="0" customWidth="1"/>
    <x:col min="11" max="11" width="10" hidden="0" customWidth="1"/>
    <x:col min="12" max="12" width="18" hidden="0" customWidth="1"/>
    <x:col min="13" max="13" width="22" hidden="0" customWidth="1"/>
    <x:col min="14" max="14" width="15" hidden="0" customWidth="1"/>
    <x:col min="15" max="15" width="18" hidden="0" customWidth="1"/>
    <x:col min="16" max="16" width="12" hidden="0" customWidth="1"/>
    <x:col min="17" max="17" width="20" hidden="0" customWidth="1"/>
    <x:col min="18" max="18" width="41" hidden="0" customWidth="1"/>
  </x:cols>
  <x:sheetData>
    <x:row r="2">
      <x:c r="B2" s="3" t="str">
        <x:v>Fourth-access mission worlds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B3" s="4" t="str">
        <x:v>Fifteen behavior cases and one evidence-withheld stop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>
      <x:c r="B6" s="28" t="str">
        <x:v>World</x:v>
      </x:c>
      <x:c r="C6" s="29" t="str">
        <x:v>Condition</x:v>
      </x:c>
      <x:c r="D6" s="29" t="str">
        <x:v>Range km</x:v>
      </x:c>
      <x:c r="E6" s="29" t="str">
        <x:v>Runway denied</x:v>
      </x:c>
      <x:c r="F6" s="29" t="str">
        <x:v>Water surface denied</x:v>
      </x:c>
      <x:c r="G6" s="29" t="str">
        <x:v>Road denied</x:v>
      </x:c>
      <x:c r="H6" s="29" t="str">
        <x:v>Slope %</x:v>
      </x:c>
      <x:c r="I6" s="29" t="str">
        <x:v>Wind m/s</x:v>
      </x:c>
      <x:c r="J6" s="29" t="str">
        <x:v>Visibility km</x:v>
      </x:c>
      <x:c r="K6" s="29" t="str">
        <x:v>Smoke</x:v>
      </x:c>
      <x:c r="L6" s="29" t="str">
        <x:v>Local feed absent</x:v>
      </x:c>
      <x:c r="M6" s="29" t="str">
        <x:v>Standoff source absent</x:v>
      </x:c>
      <x:c r="N6" s="29" t="str">
        <x:v>Cyber denied</x:v>
      </x:c>
      <x:c r="O6" s="29" t="str">
        <x:v>Max footprint ha</x:v>
      </x:c>
      <x:c r="P6" s="29" t="str">
        <x:v>Campaigns</x:v>
      </x:c>
      <x:c r="Q6" s="29" t="str">
        <x:v>Evidence withheld</x:v>
      </x:c>
      <x:c r="R6" s="29" t="str">
        <x:v>Meaning</x:v>
      </x:c>
    </x:row>
    <x:row r="7">
      <x:c r="B7" s="30" t="str">
        <x:v>W01</x:v>
      </x:c>
      <x:c r="C7" s="30" t="str">
        <x:v>Island with runway and harbor denied</x:v>
      </x:c>
      <x:c r="D7" s="48" t="n">
        <x:v>2000</x:v>
      </x:c>
      <x:c r="E7" s="48" t="n">
        <x:v>1</x:v>
      </x:c>
      <x:c r="F7" s="48" t="n">
        <x:v>1</x:v>
      </x:c>
      <x:c r="G7" s="48" t="n">
        <x:v>1</x:v>
      </x:c>
      <x:c r="H7" s="48" t="n">
        <x:v>10</x:v>
      </x:c>
      <x:c r="I7" s="48" t="n">
        <x:v>18</x:v>
      </x:c>
      <x:c r="J7" s="48" t="n">
        <x:v>1</x:v>
      </x:c>
      <x:c r="K7" s="48" t="n">
        <x:v>0</x:v>
      </x:c>
      <x:c r="L7" s="48" t="n">
        <x:v>1</x:v>
      </x:c>
      <x:c r="M7" s="48" t="n">
        <x:v>1</x:v>
      </x:c>
      <x:c r="N7" s="48" t="n">
        <x:v>1</x:v>
      </x:c>
      <x:c r="O7" s="48" t="n">
        <x:v>2</x:v>
      </x:c>
      <x:c r="P7" s="48" t="n">
        <x:v>1</x:v>
      </x:c>
      <x:c r="Q7" s="48" t="n">
        <x:v>0</x:v>
      </x:c>
      <x:c r="R7" s="32" t="str">
        <x:v>no inherited terminal</x:v>
      </x:c>
    </x:row>
    <x:row r="8">
      <x:c r="B8" s="30" t="str">
        <x:v>W02</x:v>
      </x:c>
      <x:c r="C8" s="30" t="str">
        <x:v>Dispersed archipelago with open water</x:v>
      </x:c>
      <x:c r="D8" s="48" t="n">
        <x:v>1500</x:v>
      </x:c>
      <x:c r="E8" s="48" t="n">
        <x:v>1</x:v>
      </x:c>
      <x:c r="F8" s="48" t="n">
        <x:v>0</x:v>
      </x:c>
      <x:c r="G8" s="48" t="n">
        <x:v>1</x:v>
      </x:c>
      <x:c r="H8" s="48" t="n">
        <x:v>5</x:v>
      </x:c>
      <x:c r="I8" s="48" t="n">
        <x:v>15</x:v>
      </x:c>
      <x:c r="J8" s="48" t="n">
        <x:v>2</x:v>
      </x:c>
      <x:c r="K8" s="48" t="n">
        <x:v>0</x:v>
      </x:c>
      <x:c r="L8" s="48" t="n">
        <x:v>1</x:v>
      </x:c>
      <x:c r="M8" s="48" t="n">
        <x:v>1</x:v>
      </x:c>
      <x:c r="N8" s="48" t="n">
        <x:v>0</x:v>
      </x:c>
      <x:c r="O8" s="48" t="n">
        <x:v>3</x:v>
      </x:c>
      <x:c r="P8" s="48" t="n">
        <x:v>1</x:v>
      </x:c>
      <x:c r="Q8" s="48" t="n">
        <x:v>0</x:v>
      </x:c>
      <x:c r="R8" s="32" t="str">
        <x:v>water approach remains</x:v>
      </x:c>
    </x:row>
    <x:row r="9">
      <x:c r="B9" s="30" t="str">
        <x:v>W03</x:v>
      </x:c>
      <x:c r="C9" s="30" t="str">
        <x:v>Coastal city with debris-filled harbor</x:v>
      </x:c>
      <x:c r="D9" s="48" t="n">
        <x:v>1200</x:v>
      </x:c>
      <x:c r="E9" s="48" t="n">
        <x:v>1</x:v>
      </x:c>
      <x:c r="F9" s="48" t="n">
        <x:v>1</x:v>
      </x:c>
      <x:c r="G9" s="48" t="n">
        <x:v>1</x:v>
      </x:c>
      <x:c r="H9" s="48" t="n">
        <x:v>5</x:v>
      </x:c>
      <x:c r="I9" s="48" t="n">
        <x:v>20</x:v>
      </x:c>
      <x:c r="J9" s="48" t="n">
        <x:v>1</x:v>
      </x:c>
      <x:c r="K9" s="48" t="n">
        <x:v>0</x:v>
      </x:c>
      <x:c r="L9" s="48" t="n">
        <x:v>1</x:v>
      </x:c>
      <x:c r="M9" s="48" t="n">
        <x:v>0</x:v>
      </x:c>
      <x:c r="N9" s="48" t="n">
        <x:v>1</x:v>
      </x:c>
      <x:c r="O9" s="48" t="n">
        <x:v>2</x:v>
      </x:c>
      <x:c r="P9" s="48" t="n">
        <x:v>1</x:v>
      </x:c>
      <x:c r="Q9" s="48" t="n">
        <x:v>0</x:v>
      </x:c>
      <x:c r="R9" s="32" t="str">
        <x:v>nearby source may survive</x:v>
      </x:c>
    </x:row>
    <x:row r="10">
      <x:c r="B10" s="30" t="str">
        <x:v>W04</x:v>
      </x:c>
      <x:c r="C10" s="30" t="str">
        <x:v>Inland city after bridge collapse</x:v>
      </x:c>
      <x:c r="D10" s="48" t="n">
        <x:v>800</x:v>
      </x:c>
      <x:c r="E10" s="48" t="n">
        <x:v>1</x:v>
      </x:c>
      <x:c r="F10" s="48" t="n">
        <x:v>1</x:v>
      </x:c>
      <x:c r="G10" s="48" t="n">
        <x:v>1</x:v>
      </x:c>
      <x:c r="H10" s="48" t="n">
        <x:v>8</x:v>
      </x:c>
      <x:c r="I10" s="48" t="n">
        <x:v>15</x:v>
      </x:c>
      <x:c r="J10" s="48" t="n">
        <x:v>1</x:v>
      </x:c>
      <x:c r="K10" s="48" t="n">
        <x:v>0</x:v>
      </x:c>
      <x:c r="L10" s="48" t="n">
        <x:v>1</x:v>
      </x:c>
      <x:c r="M10" s="48" t="n">
        <x:v>1</x:v>
      </x:c>
      <x:c r="N10" s="48" t="n">
        <x:v>1</x:v>
      </x:c>
      <x:c r="O10" s="48" t="n">
        <x:v>2</x:v>
      </x:c>
      <x:c r="P10" s="48" t="n">
        <x:v>1</x:v>
      </x:c>
      <x:c r="Q10" s="48" t="n">
        <x:v>0</x:v>
      </x:c>
      <x:c r="R10" s="32" t="str">
        <x:v>all legacy surface paths lost</x:v>
      </x:c>
    </x:row>
    <x:row r="11">
      <x:c r="B11" s="30" t="str">
        <x:v>W05</x:v>
      </x:c>
      <x:c r="C11" s="30" t="str">
        <x:v>Mountain valley isolated by landslide</x:v>
      </x:c>
      <x:c r="D11" s="48" t="n">
        <x:v>600</x:v>
      </x:c>
      <x:c r="E11" s="48" t="n">
        <x:v>1</x:v>
      </x:c>
      <x:c r="F11" s="48" t="n">
        <x:v>1</x:v>
      </x:c>
      <x:c r="G11" s="48" t="n">
        <x:v>1</x:v>
      </x:c>
      <x:c r="H11" s="48" t="n">
        <x:v>30</x:v>
      </x:c>
      <x:c r="I11" s="48" t="n">
        <x:v>15</x:v>
      </x:c>
      <x:c r="J11" s="48" t="n">
        <x:v>0.5</x:v>
      </x:c>
      <x:c r="K11" s="48" t="n">
        <x:v>0</x:v>
      </x:c>
      <x:c r="L11" s="48" t="n">
        <x:v>1</x:v>
      </x:c>
      <x:c r="M11" s="48" t="n">
        <x:v>1</x:v>
      </x:c>
      <x:c r="N11" s="48" t="n">
        <x:v>1</x:v>
      </x:c>
      <x:c r="O11" s="48" t="n">
        <x:v>2</x:v>
      </x:c>
      <x:c r="P11" s="48" t="n">
        <x:v>1</x:v>
      </x:c>
      <x:c r="Q11" s="48" t="n">
        <x:v>0</x:v>
      </x:c>
      <x:c r="R11" s="32" t="str">
        <x:v>steep receiving terrain</x:v>
      </x:c>
    </x:row>
    <x:row r="12">
      <x:c r="B12" s="30" t="str">
        <x:v>W06</x:v>
      </x:c>
      <x:c r="C12" s="30" t="str">
        <x:v>Desert basin under drought and heat</x:v>
      </x:c>
      <x:c r="D12" s="48" t="n">
        <x:v>1000</x:v>
      </x:c>
      <x:c r="E12" s="48" t="n">
        <x:v>1</x:v>
      </x:c>
      <x:c r="F12" s="48" t="n">
        <x:v>1</x:v>
      </x:c>
      <x:c r="G12" s="48" t="n">
        <x:v>1</x:v>
      </x:c>
      <x:c r="H12" s="48" t="n">
        <x:v>5</x:v>
      </x:c>
      <x:c r="I12" s="48" t="n">
        <x:v>22</x:v>
      </x:c>
      <x:c r="J12" s="48" t="n">
        <x:v>2</x:v>
      </x:c>
      <x:c r="K12" s="48" t="n">
        <x:v>0</x:v>
      </x:c>
      <x:c r="L12" s="48" t="n">
        <x:v>1</x:v>
      </x:c>
      <x:c r="M12" s="48" t="n">
        <x:v>1</x:v>
      </x:c>
      <x:c r="N12" s="48" t="n">
        <x:v>1</x:v>
      </x:c>
      <x:c r="O12" s="48" t="n">
        <x:v>3</x:v>
      </x:c>
      <x:c r="P12" s="48" t="n">
        <x:v>1</x:v>
      </x:c>
      <x:c r="Q12" s="48" t="n">
        <x:v>0</x:v>
      </x:c>
      <x:c r="R12" s="32" t="str">
        <x:v>high ambient and no local feed</x:v>
      </x:c>
    </x:row>
    <x:row r="13">
      <x:c r="B13" s="30" t="str">
        <x:v>W07</x:v>
      </x:c>
      <x:c r="C13" s="30" t="str">
        <x:v>Floodplain with current and floating debris</x:v>
      </x:c>
      <x:c r="D13" s="48" t="n">
        <x:v>500</x:v>
      </x:c>
      <x:c r="E13" s="48" t="n">
        <x:v>1</x:v>
      </x:c>
      <x:c r="F13" s="48" t="n">
        <x:v>1</x:v>
      </x:c>
      <x:c r="G13" s="48" t="n">
        <x:v>1</x:v>
      </x:c>
      <x:c r="H13" s="48" t="n">
        <x:v>2</x:v>
      </x:c>
      <x:c r="I13" s="48" t="n">
        <x:v>18</x:v>
      </x:c>
      <x:c r="J13" s="48" t="n">
        <x:v>1</x:v>
      </x:c>
      <x:c r="K13" s="48" t="n">
        <x:v>0</x:v>
      </x:c>
      <x:c r="L13" s="48" t="n">
        <x:v>1</x:v>
      </x:c>
      <x:c r="M13" s="48" t="n">
        <x:v>1</x:v>
      </x:c>
      <x:c r="N13" s="48" t="n">
        <x:v>1</x:v>
      </x:c>
      <x:c r="O13" s="48" t="n">
        <x:v>2</x:v>
      </x:c>
      <x:c r="P13" s="48" t="n">
        <x:v>1</x:v>
      </x:c>
      <x:c r="Q13" s="48" t="n">
        <x:v>0</x:v>
      </x:c>
      <x:c r="R13" s="32" t="str">
        <x:v>surface-water approach denied</x:v>
      </x:c>
    </x:row>
    <x:row r="14">
      <x:c r="B14" s="30" t="str">
        <x:v>W08</x:v>
      </x:c>
      <x:c r="C14" s="30" t="str">
        <x:v>Frozen northern settlement</x:v>
      </x:c>
      <x:c r="D14" s="48" t="n">
        <x:v>1800</x:v>
      </x:c>
      <x:c r="E14" s="48" t="n">
        <x:v>1</x:v>
      </x:c>
      <x:c r="F14" s="48" t="n">
        <x:v>1</x:v>
      </x:c>
      <x:c r="G14" s="48" t="n">
        <x:v>1</x:v>
      </x:c>
      <x:c r="H14" s="48" t="n">
        <x:v>10</x:v>
      </x:c>
      <x:c r="I14" s="48" t="n">
        <x:v>20</x:v>
      </x:c>
      <x:c r="J14" s="48" t="n">
        <x:v>0.5</x:v>
      </x:c>
      <x:c r="K14" s="48" t="n">
        <x:v>0</x:v>
      </x:c>
      <x:c r="L14" s="48" t="n">
        <x:v>1</x:v>
      </x:c>
      <x:c r="M14" s="48" t="n">
        <x:v>1</x:v>
      </x:c>
      <x:c r="N14" s="48" t="n">
        <x:v>1</x:v>
      </x:c>
      <x:c r="O14" s="48" t="n">
        <x:v>5</x:v>
      </x:c>
      <x:c r="P14" s="48" t="n">
        <x:v>1</x:v>
      </x:c>
      <x:c r="Q14" s="48" t="n">
        <x:v>0</x:v>
      </x:c>
      <x:c r="R14" s="32" t="str">
        <x:v>long range and austere receiver</x:v>
      </x:c>
    </x:row>
    <x:row r="15">
      <x:c r="B15" s="30" t="str">
        <x:v>W09</x:v>
      </x:c>
      <x:c r="C15" s="30" t="str">
        <x:v>Wildfire smoke and turbulent wind</x:v>
      </x:c>
      <x:c r="D15" s="48" t="n">
        <x:v>700</x:v>
      </x:c>
      <x:c r="E15" s="48" t="n">
        <x:v>1</x:v>
      </x:c>
      <x:c r="F15" s="48" t="n">
        <x:v>1</x:v>
      </x:c>
      <x:c r="G15" s="48" t="n">
        <x:v>1</x:v>
      </x:c>
      <x:c r="H15" s="48" t="n">
        <x:v>15</x:v>
      </x:c>
      <x:c r="I15" s="48" t="n">
        <x:v>25</x:v>
      </x:c>
      <x:c r="J15" s="48" t="n">
        <x:v>0.2</x:v>
      </x:c>
      <x:c r="K15" s="48" t="n">
        <x:v>1</x:v>
      </x:c>
      <x:c r="L15" s="48" t="n">
        <x:v>1</x:v>
      </x:c>
      <x:c r="M15" s="48" t="n">
        <x:v>1</x:v>
      </x:c>
      <x:c r="N15" s="48" t="n">
        <x:v>1</x:v>
      </x:c>
      <x:c r="O15" s="48" t="n">
        <x:v>2</x:v>
      </x:c>
      <x:c r="P15" s="48" t="n">
        <x:v>1</x:v>
      </x:c>
      <x:c r="Q15" s="48" t="n">
        <x:v>0</x:v>
      </x:c>
      <x:c r="R15" s="32" t="str">
        <x:v>smoke operations required</x:v>
      </x:c>
    </x:row>
    <x:row r="16">
      <x:c r="B16" s="30" t="str">
        <x:v>W10</x:v>
      </x:c>
      <x:c r="C16" s="30" t="str">
        <x:v>Earthquake and liquefaction</x:v>
      </x:c>
      <x:c r="D16" s="48" t="n">
        <x:v>400</x:v>
      </x:c>
      <x:c r="E16" s="48" t="n">
        <x:v>1</x:v>
      </x:c>
      <x:c r="F16" s="48" t="n">
        <x:v>1</x:v>
      </x:c>
      <x:c r="G16" s="48" t="n">
        <x:v>1</x:v>
      </x:c>
      <x:c r="H16" s="48" t="n">
        <x:v>10</x:v>
      </x:c>
      <x:c r="I16" s="48" t="n">
        <x:v>15</x:v>
      </x:c>
      <x:c r="J16" s="48" t="n">
        <x:v>1</x:v>
      </x:c>
      <x:c r="K16" s="48" t="n">
        <x:v>0</x:v>
      </x:c>
      <x:c r="L16" s="48" t="n">
        <x:v>1</x:v>
      </x:c>
      <x:c r="M16" s="48" t="n">
        <x:v>1</x:v>
      </x:c>
      <x:c r="N16" s="48" t="n">
        <x:v>1</x:v>
      </x:c>
      <x:c r="O16" s="48" t="n">
        <x:v>1.5</x:v>
      </x:c>
      <x:c r="P16" s="48" t="n">
        <x:v>1</x:v>
      </x:c>
      <x:c r="Q16" s="48" t="n">
        <x:v>0</x:v>
      </x:c>
      <x:c r="R16" s="32" t="str">
        <x:v>small safe footprint</x:v>
      </x:c>
    </x:row>
    <x:row r="17">
      <x:c r="B17" s="30" t="str">
        <x:v>W11</x:v>
      </x:c>
      <x:c r="C17" s="30" t="str">
        <x:v>Cyclone aftermath before winds subside</x:v>
      </x:c>
      <x:c r="D17" s="48" t="n">
        <x:v>600</x:v>
      </x:c>
      <x:c r="E17" s="48" t="n">
        <x:v>1</x:v>
      </x:c>
      <x:c r="F17" s="48" t="n">
        <x:v>1</x:v>
      </x:c>
      <x:c r="G17" s="48" t="n">
        <x:v>1</x:v>
      </x:c>
      <x:c r="H17" s="48" t="n">
        <x:v>5</x:v>
      </x:c>
      <x:c r="I17" s="48" t="n">
        <x:v>30</x:v>
      </x:c>
      <x:c r="J17" s="48" t="n">
        <x:v>0.5</x:v>
      </x:c>
      <x:c r="K17" s="48" t="n">
        <x:v>0</x:v>
      </x:c>
      <x:c r="L17" s="48" t="n">
        <x:v>1</x:v>
      </x:c>
      <x:c r="M17" s="48" t="n">
        <x:v>1</x:v>
      </x:c>
      <x:c r="N17" s="48" t="n">
        <x:v>1</x:v>
      </x:c>
      <x:c r="O17" s="48" t="n">
        <x:v>2</x:v>
      </x:c>
      <x:c r="P17" s="48" t="n">
        <x:v>1</x:v>
      </x:c>
      <x:c r="Q17" s="48" t="n">
        <x:v>0</x:v>
      </x:c>
      <x:c r="R17" s="32" t="str">
        <x:v>high-wind launch and receipt</x:v>
      </x:c>
    </x:row>
    <x:row r="18">
      <x:c r="B18" s="30" t="str">
        <x:v>W12</x:v>
      </x:c>
      <x:c r="C18" s="30" t="str">
        <x:v>Remote partner under cyber denial</x:v>
      </x:c>
      <x:c r="D18" s="48" t="n">
        <x:v>3000</x:v>
      </x:c>
      <x:c r="E18" s="48" t="n">
        <x:v>1</x:v>
      </x:c>
      <x:c r="F18" s="48" t="n">
        <x:v>1</x:v>
      </x:c>
      <x:c r="G18" s="48" t="n">
        <x:v>1</x:v>
      </x:c>
      <x:c r="H18" s="48" t="n">
        <x:v>10</x:v>
      </x:c>
      <x:c r="I18" s="48" t="n">
        <x:v>15</x:v>
      </x:c>
      <x:c r="J18" s="48" t="n">
        <x:v>1</x:v>
      </x:c>
      <x:c r="K18" s="48" t="n">
        <x:v>0</x:v>
      </x:c>
      <x:c r="L18" s="48" t="n">
        <x:v>1</x:v>
      </x:c>
      <x:c r="M18" s="48" t="n">
        <x:v>1</x:v>
      </x:c>
      <x:c r="N18" s="48" t="n">
        <x:v>1</x:v>
      </x:c>
      <x:c r="O18" s="48" t="n">
        <x:v>5</x:v>
      </x:c>
      <x:c r="P18" s="48" t="n">
        <x:v>1</x:v>
      </x:c>
      <x:c r="Q18" s="48" t="n">
        <x:v>0</x:v>
      </x:c>
      <x:c r="R18" s="32" t="str">
        <x:v>long range and offline command</x:v>
      </x:c>
    </x:row>
    <x:row r="19">
      <x:c r="B19" s="30" t="str">
        <x:v>W13</x:v>
      </x:c>
      <x:c r="C19" s="30" t="str">
        <x:v>Eighty-kilometre utility gap</x:v>
      </x:c>
      <x:c r="D19" s="48" t="n">
        <x:v>80</x:v>
      </x:c>
      <x:c r="E19" s="48" t="n">
        <x:v>1</x:v>
      </x:c>
      <x:c r="F19" s="48" t="n">
        <x:v>1</x:v>
      </x:c>
      <x:c r="G19" s="48" t="n">
        <x:v>1</x:v>
      </x:c>
      <x:c r="H19" s="48" t="n">
        <x:v>35</x:v>
      </x:c>
      <x:c r="I19" s="48" t="n">
        <x:v>20</x:v>
      </x:c>
      <x:c r="J19" s="48" t="n">
        <x:v>0.2</x:v>
      </x:c>
      <x:c r="K19" s="48" t="n">
        <x:v>0</x:v>
      </x:c>
      <x:c r="L19" s="48" t="n">
        <x:v>0</x:v>
      </x:c>
      <x:c r="M19" s="48" t="n">
        <x:v>0</x:v>
      </x:c>
      <x:c r="N19" s="48" t="n">
        <x:v>1</x:v>
      </x:c>
      <x:c r="O19" s="48" t="n">
        <x:v>0.5</x:v>
      </x:c>
      <x:c r="P19" s="48" t="n">
        <x:v>1</x:v>
      </x:c>
      <x:c r="Q19" s="48" t="n">
        <x:v>0</x:v>
      </x:c>
      <x:c r="R19" s="32" t="str">
        <x:v>standoff source remains</x:v>
      </x:c>
    </x:row>
    <x:row r="20">
      <x:c r="B20" s="30" t="str">
        <x:v>W14</x:v>
      </x:c>
      <x:c r="C20" s="30" t="str">
        <x:v>Local feedstock with all corridors denied</x:v>
      </x:c>
      <x:c r="D20" s="48" t="n">
        <x:v>500</x:v>
      </x:c>
      <x:c r="E20" s="48" t="n">
        <x:v>1</x:v>
      </x:c>
      <x:c r="F20" s="48" t="n">
        <x:v>1</x:v>
      </x:c>
      <x:c r="G20" s="48" t="n">
        <x:v>1</x:v>
      </x:c>
      <x:c r="H20" s="48" t="n">
        <x:v>10</x:v>
      </x:c>
      <x:c r="I20" s="48" t="n">
        <x:v>20</x:v>
      </x:c>
      <x:c r="J20" s="48" t="n">
        <x:v>0.5</x:v>
      </x:c>
      <x:c r="K20" s="48" t="n">
        <x:v>0</x:v>
      </x:c>
      <x:c r="L20" s="48" t="n">
        <x:v>0</x:v>
      </x:c>
      <x:c r="M20" s="48" t="n">
        <x:v>1</x:v>
      </x:c>
      <x:c r="N20" s="48" t="n">
        <x:v>1</x:v>
      </x:c>
      <x:c r="O20" s="48" t="n">
        <x:v>1.5</x:v>
      </x:c>
      <x:c r="P20" s="48" t="n">
        <x:v>1</x:v>
      </x:c>
      <x:c r="Q20" s="48" t="n">
        <x:v>0</x:v>
      </x:c>
      <x:c r="R20" s="32" t="str">
        <x:v>conversion can substitute for carriage</x:v>
      </x:c>
    </x:row>
    <x:row r="21">
      <x:c r="B21" s="30" t="str">
        <x:v>W15</x:v>
      </x:c>
      <x:c r="C21" s="30" t="str">
        <x:v>Second simultaneous hard-access region</x:v>
      </x:c>
      <x:c r="D21" s="48" t="n">
        <x:v>1000</x:v>
      </x:c>
      <x:c r="E21" s="48" t="n">
        <x:v>1</x:v>
      </x:c>
      <x:c r="F21" s="48" t="n">
        <x:v>1</x:v>
      </x:c>
      <x:c r="G21" s="48" t="n">
        <x:v>1</x:v>
      </x:c>
      <x:c r="H21" s="48" t="n">
        <x:v>10</x:v>
      </x:c>
      <x:c r="I21" s="48" t="n">
        <x:v>20</x:v>
      </x:c>
      <x:c r="J21" s="48" t="n">
        <x:v>1</x:v>
      </x:c>
      <x:c r="K21" s="48" t="n">
        <x:v>0</x:v>
      </x:c>
      <x:c r="L21" s="48" t="n">
        <x:v>1</x:v>
      </x:c>
      <x:c r="M21" s="48" t="n">
        <x:v>1</x:v>
      </x:c>
      <x:c r="N21" s="48" t="n">
        <x:v>1</x:v>
      </x:c>
      <x:c r="O21" s="48" t="n">
        <x:v>2</x:v>
      </x:c>
      <x:c r="P21" s="48" t="n">
        <x:v>2</x:v>
      </x:c>
      <x:c r="Q21" s="48" t="n">
        <x:v>0</x:v>
      </x:c>
      <x:c r="R21" s="32" t="str">
        <x:v>one national set cannot double count</x:v>
      </x:c>
    </x:row>
    <x:row r="22">
      <x:c r="B22" s="36" t="str">
        <x:v>W16</x:v>
      </x:c>
      <x:c r="C22" s="36" t="str">
        <x:v>Representative evidence withheld</x:v>
      </x:c>
      <x:c r="D22" s="52" t="n">
        <x:v>500</x:v>
      </x:c>
      <x:c r="E22" s="52" t="n">
        <x:v>1</x:v>
      </x:c>
      <x:c r="F22" s="52" t="n">
        <x:v>1</x:v>
      </x:c>
      <x:c r="G22" s="52" t="n">
        <x:v>1</x:v>
      </x:c>
      <x:c r="H22" s="52" t="n">
        <x:v>10</x:v>
      </x:c>
      <x:c r="I22" s="52" t="n">
        <x:v>15</x:v>
      </x:c>
      <x:c r="J22" s="52" t="n">
        <x:v>1</x:v>
      </x:c>
      <x:c r="K22" s="52" t="n">
        <x:v>0</x:v>
      </x:c>
      <x:c r="L22" s="52" t="n">
        <x:v>1</x:v>
      </x:c>
      <x:c r="M22" s="52" t="n">
        <x:v>1</x:v>
      </x:c>
      <x:c r="N22" s="52" t="n">
        <x:v>1</x:v>
      </x:c>
      <x:c r="O22" s="52" t="n">
        <x:v>2</x:v>
      </x:c>
      <x:c r="P22" s="52" t="n">
        <x:v>1</x:v>
      </x:c>
      <x:c r="Q22" s="52" t="n">
        <x:v>1</x:v>
      </x:c>
      <x:c r="R22" s="38" t="str">
        <x:v>universal admission stop</x:v>
      </x:c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2" hidden="0" customWidth="1"/>
    <x:col min="3" max="3" width="10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4" hidden="0" customWidth="1"/>
    <x:col min="15" max="15" width="18" hidden="0" customWidth="1"/>
    <x:col min="16" max="16" width="12" hidden="0" customWidth="1"/>
    <x:col min="17" max="17" width="13" hidden="0" customWidth="1"/>
    <x:col min="18" max="18" width="15" hidden="0" customWidth="1"/>
    <x:col min="19" max="19" width="17" hidden="0" customWidth="1"/>
    <x:col min="20" max="20" width="18" hidden="0" customWidth="1"/>
    <x:col min="21" max="21" width="14" hidden="0" customWidth="1"/>
    <x:col min="22" max="22" width="42" hidden="0" customWidth="1"/>
  </x:cols>
  <x:sheetData>
    <x:row r="2">
      <x:c r="B2" s="3" t="str">
        <x:v>Mechanism behavior results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>
      <x:c r="B3" s="4" t="str">
        <x:v>Each mechanism must close the complete cell, environment, receiver, autonomy and concurrency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>
      <x:c r="B6" s="28" t="str">
        <x:v>Mechanism</x:v>
      </x:c>
      <x:c r="C6" s="29" t="str">
        <x:v>World</x:v>
      </x:c>
      <x:c r="D6" s="29" t="str">
        <x:v>Complete fraction</x:v>
      </x:c>
      <x:c r="E6" s="29" t="str">
        <x:v>Payload</x:v>
      </x:c>
      <x:c r="F6" s="29" t="str">
        <x:v>Range</x:v>
      </x:c>
      <x:c r="G6" s="29" t="str">
        <x:v>Runway</x:v>
      </x:c>
      <x:c r="H6" s="29" t="str">
        <x:v>Water</x:v>
      </x:c>
      <x:c r="I6" s="29" t="str">
        <x:v>Road</x:v>
      </x:c>
      <x:c r="J6" s="29" t="str">
        <x:v>Terrain</x:v>
      </x:c>
      <x:c r="K6" s="29" t="str">
        <x:v>Wind</x:v>
      </x:c>
      <x:c r="L6" s="29" t="str">
        <x:v>Visibility</x:v>
      </x:c>
      <x:c r="M6" s="29" t="str">
        <x:v>Smoke</x:v>
      </x:c>
      <x:c r="N6" s="29" t="str">
        <x:v>Local feed</x:v>
      </x:c>
      <x:c r="O6" s="29" t="str">
        <x:v>Standoff source</x:v>
      </x:c>
      <x:c r="P6" s="29" t="str">
        <x:v>Control</x:v>
      </x:c>
      <x:c r="Q6" s="29" t="str">
        <x:v>Footprint</x:v>
      </x:c>
      <x:c r="R6" s="29" t="str">
        <x:v>Concurrency</x:v>
      </x:c>
      <x:c r="S6" s="29" t="str">
        <x:v>Behavior status</x:v>
      </x:c>
      <x:c r="T6" s="29" t="str">
        <x:v>Current evidence</x:v>
      </x:c>
      <x:c r="U6" s="29" t="str">
        <x:v>Strict status</x:v>
      </x:c>
      <x:c r="V6" s="29" t="str">
        <x:v>Failure meaning</x:v>
      </x:c>
    </x:row>
    <x:row r="7">
      <x:c r="B7" s="30" t="str">
        <x:v>M1</x:v>
      </x:c>
      <x:c r="C7" s="30" t="str">
        <x:v>W01</x:v>
      </x:c>
      <x:c r="D7" s="50" t="n">
        <x:f>Mechanisms!AD8</x:f>
        <x:v>1</x:v>
      </x:c>
      <x:c r="E7" s="30" t="str">
        <x:f>'Payload Closure'!N7</x:f>
        <x:v>PASS</x:v>
      </x:c>
      <x:c r="F7" s="30" t="str">
        <x:f>IF(Mechanisms!J8&gt;='Mission Worlds'!D7,"PASS","FAIL")</x:f>
        <x:v>PASS</x:v>
      </x:c>
      <x:c r="G7" s="30" t="str">
        <x:f>IF(OR('Mission Worlds'!E7=0,Mechanisms!K8=1),"PASS","FAIL")</x:f>
        <x:v>PASS</x:v>
      </x:c>
      <x:c r="H7" s="30" t="str">
        <x:f>IF(OR('Mission Worlds'!F7=0,Mechanisms!L8=0),"PASS","FAIL")</x:f>
        <x:v>PASS</x:v>
      </x:c>
      <x:c r="I7" s="30" t="str">
        <x:f>IF(OR('Mission Worlds'!G7=0,Mechanisms!M8=0),"PASS","FAIL")</x:f>
        <x:v>PASS</x:v>
      </x:c>
      <x:c r="J7" s="30" t="str">
        <x:f>IF(Mechanisms!N8&gt;='Mission Worlds'!H7,"PASS","FAIL")</x:f>
        <x:v>PASS</x:v>
      </x:c>
      <x:c r="K7" s="30" t="str">
        <x:f>IF(Mechanisms!O8&gt;='Mission Worlds'!I7,"PASS","FAIL")</x:f>
        <x:v>PASS</x:v>
      </x:c>
      <x:c r="L7" s="30" t="str">
        <x:f>IF(Mechanisms!P8&lt;='Mission Worlds'!J7,"PASS","FAIL")</x:f>
        <x:v>PASS</x:v>
      </x:c>
      <x:c r="M7" s="30" t="str">
        <x:f>IF(OR('Mission Worlds'!K7=0,Mechanisms!Q8=1),"PASS","FAIL")</x:f>
        <x:v>PASS</x:v>
      </x:c>
      <x:c r="N7" s="30" t="str">
        <x:f>IF(OR('Mission Worlds'!L7=0,Mechanisms!R8=0),"PASS","FAIL")</x:f>
        <x:v>PASS</x:v>
      </x:c>
      <x:c r="O7" s="30" t="str">
        <x:f>IF(OR('Mission Worlds'!M7=0,Mechanisms!S8=0),"PASS","FAIL")</x:f>
        <x:v>PASS</x:v>
      </x:c>
      <x:c r="P7" s="30" t="str">
        <x:f>IF(OR('Mission Worlds'!N7=0,Mechanisms!T8=1),"PASS","FAIL")</x:f>
        <x:v>PASS</x:v>
      </x:c>
      <x:c r="Q7" s="30" t="str">
        <x:f>IF(Mechanisms!U8&lt;='Mission Worlds'!O7,"PASS","FAIL")</x:f>
        <x:v>PASS</x:v>
      </x:c>
      <x:c r="R7" s="30" t="str">
        <x:f>IF(Mechanisms!V8&gt;='Mission Worlds'!P7,"PASS","FAIL")</x:f>
        <x:v>PASS</x:v>
      </x:c>
      <x:c r="S7" s="30" t="str">
        <x:f>IF(COUNTIF(E7:R7,"FAIL")=0,"PASS","FAIL")</x:f>
        <x:v>PASS</x:v>
      </x:c>
      <x:c r="T7" s="30" t="str">
        <x:f>IF(AND(S7="PASS",Mechanisms!AB8=1),"PASS","FAIL")</x:f>
        <x:v>FAIL</x:v>
      </x:c>
      <x:c r="U7" s="30" t="str">
        <x:f>IF(AND(T7="PASS",'Mission Worlds'!Q7=0),"PASS","FAIL")</x:f>
        <x:v>FAIL</x:v>
      </x:c>
      <x:c r="V7" s="32" t="str">
        <x:f>'Mission Worlds'!R7</x:f>
        <x:v>no inherited terminal</x:v>
      </x:c>
    </x:row>
    <x:row r="8">
      <x:c r="B8" s="30" t="str">
        <x:v>M1</x:v>
      </x:c>
      <x:c r="C8" s="30" t="str">
        <x:v>W02</x:v>
      </x:c>
      <x:c r="D8" s="50" t="n">
        <x:f>Mechanisms!AD8</x:f>
        <x:v>1</x:v>
      </x:c>
      <x:c r="E8" s="30" t="str">
        <x:f>'Payload Closure'!N7</x:f>
        <x:v>PASS</x:v>
      </x:c>
      <x:c r="F8" s="30" t="str">
        <x:f>IF(Mechanisms!J8&gt;='Mission Worlds'!D8,"PASS","FAIL")</x:f>
        <x:v>PASS</x:v>
      </x:c>
      <x:c r="G8" s="30" t="str">
        <x:f>IF(OR('Mission Worlds'!E8=0,Mechanisms!K8=1),"PASS","FAIL")</x:f>
        <x:v>PASS</x:v>
      </x:c>
      <x:c r="H8" s="30" t="str">
        <x:f>IF(OR('Mission Worlds'!F8=0,Mechanisms!L8=0),"PASS","FAIL")</x:f>
        <x:v>PASS</x:v>
      </x:c>
      <x:c r="I8" s="30" t="str">
        <x:f>IF(OR('Mission Worlds'!G8=0,Mechanisms!M8=0),"PASS","FAIL")</x:f>
        <x:v>PASS</x:v>
      </x:c>
      <x:c r="J8" s="30" t="str">
        <x:f>IF(Mechanisms!N8&gt;='Mission Worlds'!H8,"PASS","FAIL")</x:f>
        <x:v>PASS</x:v>
      </x:c>
      <x:c r="K8" s="30" t="str">
        <x:f>IF(Mechanisms!O8&gt;='Mission Worlds'!I8,"PASS","FAIL")</x:f>
        <x:v>PASS</x:v>
      </x:c>
      <x:c r="L8" s="30" t="str">
        <x:f>IF(Mechanisms!P8&lt;='Mission Worlds'!J8,"PASS","FAIL")</x:f>
        <x:v>PASS</x:v>
      </x:c>
      <x:c r="M8" s="30" t="str">
        <x:f>IF(OR('Mission Worlds'!K8=0,Mechanisms!Q8=1),"PASS","FAIL")</x:f>
        <x:v>PASS</x:v>
      </x:c>
      <x:c r="N8" s="30" t="str">
        <x:f>IF(OR('Mission Worlds'!L8=0,Mechanisms!R8=0),"PASS","FAIL")</x:f>
        <x:v>PASS</x:v>
      </x:c>
      <x:c r="O8" s="30" t="str">
        <x:f>IF(OR('Mission Worlds'!M8=0,Mechanisms!S8=0),"PASS","FAIL")</x:f>
        <x:v>PASS</x:v>
      </x:c>
      <x:c r="P8" s="30" t="str">
        <x:f>IF(OR('Mission Worlds'!N8=0,Mechanisms!T8=1),"PASS","FAIL")</x:f>
        <x:v>PASS</x:v>
      </x:c>
      <x:c r="Q8" s="30" t="str">
        <x:f>IF(Mechanisms!U8&lt;='Mission Worlds'!O8,"PASS","FAIL")</x:f>
        <x:v>PASS</x:v>
      </x:c>
      <x:c r="R8" s="30" t="str">
        <x:f>IF(Mechanisms!V8&gt;='Mission Worlds'!P8,"PASS","FAIL")</x:f>
        <x:v>PASS</x:v>
      </x:c>
      <x:c r="S8" s="30" t="str">
        <x:f>IF(COUNTIF(E8:R8,"FAIL")=0,"PASS","FAIL")</x:f>
        <x:v>PASS</x:v>
      </x:c>
      <x:c r="T8" s="30" t="str">
        <x:f>IF(AND(S8="PASS",Mechanisms!AB8=1),"PASS","FAIL")</x:f>
        <x:v>FAIL</x:v>
      </x:c>
      <x:c r="U8" s="30" t="str">
        <x:f>IF(AND(T8="PASS",'Mission Worlds'!Q8=0),"PASS","FAIL")</x:f>
        <x:v>FAIL</x:v>
      </x:c>
      <x:c r="V8" s="32" t="str">
        <x:f>'Mission Worlds'!R8</x:f>
        <x:v>water approach remains</x:v>
      </x:c>
    </x:row>
    <x:row r="9">
      <x:c r="B9" s="30" t="str">
        <x:v>M1</x:v>
      </x:c>
      <x:c r="C9" s="30" t="str">
        <x:v>W03</x:v>
      </x:c>
      <x:c r="D9" s="50" t="n">
        <x:f>Mechanisms!AD8</x:f>
        <x:v>1</x:v>
      </x:c>
      <x:c r="E9" s="30" t="str">
        <x:f>'Payload Closure'!N7</x:f>
        <x:v>PASS</x:v>
      </x:c>
      <x:c r="F9" s="30" t="str">
        <x:f>IF(Mechanisms!J8&gt;='Mission Worlds'!D9,"PASS","FAIL")</x:f>
        <x:v>PASS</x:v>
      </x:c>
      <x:c r="G9" s="30" t="str">
        <x:f>IF(OR('Mission Worlds'!E9=0,Mechanisms!K8=1),"PASS","FAIL")</x:f>
        <x:v>PASS</x:v>
      </x:c>
      <x:c r="H9" s="30" t="str">
        <x:f>IF(OR('Mission Worlds'!F9=0,Mechanisms!L8=0),"PASS","FAIL")</x:f>
        <x:v>PASS</x:v>
      </x:c>
      <x:c r="I9" s="30" t="str">
        <x:f>IF(OR('Mission Worlds'!G9=0,Mechanisms!M8=0),"PASS","FAIL")</x:f>
        <x:v>PASS</x:v>
      </x:c>
      <x:c r="J9" s="30" t="str">
        <x:f>IF(Mechanisms!N8&gt;='Mission Worlds'!H9,"PASS","FAIL")</x:f>
        <x:v>PASS</x:v>
      </x:c>
      <x:c r="K9" s="30" t="str">
        <x:f>IF(Mechanisms!O8&gt;='Mission Worlds'!I9,"PASS","FAIL")</x:f>
        <x:v>PASS</x:v>
      </x:c>
      <x:c r="L9" s="30" t="str">
        <x:f>IF(Mechanisms!P8&lt;='Mission Worlds'!J9,"PASS","FAIL")</x:f>
        <x:v>PASS</x:v>
      </x:c>
      <x:c r="M9" s="30" t="str">
        <x:f>IF(OR('Mission Worlds'!K9=0,Mechanisms!Q8=1),"PASS","FAIL")</x:f>
        <x:v>PASS</x:v>
      </x:c>
      <x:c r="N9" s="30" t="str">
        <x:f>IF(OR('Mission Worlds'!L9=0,Mechanisms!R8=0),"PASS","FAIL")</x:f>
        <x:v>PASS</x:v>
      </x:c>
      <x:c r="O9" s="30" t="str">
        <x:f>IF(OR('Mission Worlds'!M9=0,Mechanisms!S8=0),"PASS","FAIL")</x:f>
        <x:v>PASS</x:v>
      </x:c>
      <x:c r="P9" s="30" t="str">
        <x:f>IF(OR('Mission Worlds'!N9=0,Mechanisms!T8=1),"PASS","FAIL")</x:f>
        <x:v>PASS</x:v>
      </x:c>
      <x:c r="Q9" s="30" t="str">
        <x:f>IF(Mechanisms!U8&lt;='Mission Worlds'!O9,"PASS","FAIL")</x:f>
        <x:v>PASS</x:v>
      </x:c>
      <x:c r="R9" s="30" t="str">
        <x:f>IF(Mechanisms!V8&gt;='Mission Worlds'!P9,"PASS","FAIL")</x:f>
        <x:v>PASS</x:v>
      </x:c>
      <x:c r="S9" s="30" t="str">
        <x:f>IF(COUNTIF(E9:R9,"FAIL")=0,"PASS","FAIL")</x:f>
        <x:v>PASS</x:v>
      </x:c>
      <x:c r="T9" s="30" t="str">
        <x:f>IF(AND(S9="PASS",Mechanisms!AB8=1),"PASS","FAIL")</x:f>
        <x:v>FAIL</x:v>
      </x:c>
      <x:c r="U9" s="30" t="str">
        <x:f>IF(AND(T9="PASS",'Mission Worlds'!Q9=0),"PASS","FAIL")</x:f>
        <x:v>FAIL</x:v>
      </x:c>
      <x:c r="V9" s="32" t="str">
        <x:f>'Mission Worlds'!R9</x:f>
        <x:v>nearby source may survive</x:v>
      </x:c>
    </x:row>
    <x:row r="10">
      <x:c r="B10" s="30" t="str">
        <x:v>M1</x:v>
      </x:c>
      <x:c r="C10" s="30" t="str">
        <x:v>W04</x:v>
      </x:c>
      <x:c r="D10" s="50" t="n">
        <x:f>Mechanisms!AD8</x:f>
        <x:v>1</x:v>
      </x:c>
      <x:c r="E10" s="30" t="str">
        <x:f>'Payload Closure'!N7</x:f>
        <x:v>PASS</x:v>
      </x:c>
      <x:c r="F10" s="30" t="str">
        <x:f>IF(Mechanisms!J8&gt;='Mission Worlds'!D10,"PASS","FAIL")</x:f>
        <x:v>PASS</x:v>
      </x:c>
      <x:c r="G10" s="30" t="str">
        <x:f>IF(OR('Mission Worlds'!E10=0,Mechanisms!K8=1),"PASS","FAIL")</x:f>
        <x:v>PASS</x:v>
      </x:c>
      <x:c r="H10" s="30" t="str">
        <x:f>IF(OR('Mission Worlds'!F10=0,Mechanisms!L8=0),"PASS","FAIL")</x:f>
        <x:v>PASS</x:v>
      </x:c>
      <x:c r="I10" s="30" t="str">
        <x:f>IF(OR('Mission Worlds'!G10=0,Mechanisms!M8=0),"PASS","FAIL")</x:f>
        <x:v>PASS</x:v>
      </x:c>
      <x:c r="J10" s="30" t="str">
        <x:f>IF(Mechanisms!N8&gt;='Mission Worlds'!H10,"PASS","FAIL")</x:f>
        <x:v>PASS</x:v>
      </x:c>
      <x:c r="K10" s="30" t="str">
        <x:f>IF(Mechanisms!O8&gt;='Mission Worlds'!I10,"PASS","FAIL")</x:f>
        <x:v>PASS</x:v>
      </x:c>
      <x:c r="L10" s="30" t="str">
        <x:f>IF(Mechanisms!P8&lt;='Mission Worlds'!J10,"PASS","FAIL")</x:f>
        <x:v>PASS</x:v>
      </x:c>
      <x:c r="M10" s="30" t="str">
        <x:f>IF(OR('Mission Worlds'!K10=0,Mechanisms!Q8=1),"PASS","FAIL")</x:f>
        <x:v>PASS</x:v>
      </x:c>
      <x:c r="N10" s="30" t="str">
        <x:f>IF(OR('Mission Worlds'!L10=0,Mechanisms!R8=0),"PASS","FAIL")</x:f>
        <x:v>PASS</x:v>
      </x:c>
      <x:c r="O10" s="30" t="str">
        <x:f>IF(OR('Mission Worlds'!M10=0,Mechanisms!S8=0),"PASS","FAIL")</x:f>
        <x:v>PASS</x:v>
      </x:c>
      <x:c r="P10" s="30" t="str">
        <x:f>IF(OR('Mission Worlds'!N10=0,Mechanisms!T8=1),"PASS","FAIL")</x:f>
        <x:v>PASS</x:v>
      </x:c>
      <x:c r="Q10" s="30" t="str">
        <x:f>IF(Mechanisms!U8&lt;='Mission Worlds'!O10,"PASS","FAIL")</x:f>
        <x:v>PASS</x:v>
      </x:c>
      <x:c r="R10" s="30" t="str">
        <x:f>IF(Mechanisms!V8&gt;='Mission Worlds'!P10,"PASS","FAIL")</x:f>
        <x:v>PASS</x:v>
      </x:c>
      <x:c r="S10" s="30" t="str">
        <x:f>IF(COUNTIF(E10:R10,"FAIL")=0,"PASS","FAIL")</x:f>
        <x:v>PASS</x:v>
      </x:c>
      <x:c r="T10" s="30" t="str">
        <x:f>IF(AND(S10="PASS",Mechanisms!AB8=1),"PASS","FAIL")</x:f>
        <x:v>FAIL</x:v>
      </x:c>
      <x:c r="U10" s="30" t="str">
        <x:f>IF(AND(T10="PASS",'Mission Worlds'!Q10=0),"PASS","FAIL")</x:f>
        <x:v>FAIL</x:v>
      </x:c>
      <x:c r="V10" s="32" t="str">
        <x:f>'Mission Worlds'!R10</x:f>
        <x:v>all legacy surface paths lost</x:v>
      </x:c>
    </x:row>
    <x:row r="11">
      <x:c r="B11" s="30" t="str">
        <x:v>M1</x:v>
      </x:c>
      <x:c r="C11" s="30" t="str">
        <x:v>W05</x:v>
      </x:c>
      <x:c r="D11" s="50" t="n">
        <x:f>Mechanisms!AD8</x:f>
        <x:v>1</x:v>
      </x:c>
      <x:c r="E11" s="30" t="str">
        <x:f>'Payload Closure'!N7</x:f>
        <x:v>PASS</x:v>
      </x:c>
      <x:c r="F11" s="30" t="str">
        <x:f>IF(Mechanisms!J8&gt;='Mission Worlds'!D11,"PASS","FAIL")</x:f>
        <x:v>PASS</x:v>
      </x:c>
      <x:c r="G11" s="30" t="str">
        <x:f>IF(OR('Mission Worlds'!E11=0,Mechanisms!K8=1),"PASS","FAIL")</x:f>
        <x:v>PASS</x:v>
      </x:c>
      <x:c r="H11" s="30" t="str">
        <x:f>IF(OR('Mission Worlds'!F11=0,Mechanisms!L8=0),"PASS","FAIL")</x:f>
        <x:v>PASS</x:v>
      </x:c>
      <x:c r="I11" s="30" t="str">
        <x:f>IF(OR('Mission Worlds'!G11=0,Mechanisms!M8=0),"PASS","FAIL")</x:f>
        <x:v>PASS</x:v>
      </x:c>
      <x:c r="J11" s="30" t="str">
        <x:f>IF(Mechanisms!N8&gt;='Mission Worlds'!H11,"PASS","FAIL")</x:f>
        <x:v>FAIL</x:v>
      </x:c>
      <x:c r="K11" s="30" t="str">
        <x:f>IF(Mechanisms!O8&gt;='Mission Worlds'!I11,"PASS","FAIL")</x:f>
        <x:v>PASS</x:v>
      </x:c>
      <x:c r="L11" s="30" t="str">
        <x:f>IF(Mechanisms!P8&lt;='Mission Worlds'!J11,"PASS","FAIL")</x:f>
        <x:v>PASS</x:v>
      </x:c>
      <x:c r="M11" s="30" t="str">
        <x:f>IF(OR('Mission Worlds'!K11=0,Mechanisms!Q8=1),"PASS","FAIL")</x:f>
        <x:v>PASS</x:v>
      </x:c>
      <x:c r="N11" s="30" t="str">
        <x:f>IF(OR('Mission Worlds'!L11=0,Mechanisms!R8=0),"PASS","FAIL")</x:f>
        <x:v>PASS</x:v>
      </x:c>
      <x:c r="O11" s="30" t="str">
        <x:f>IF(OR('Mission Worlds'!M11=0,Mechanisms!S8=0),"PASS","FAIL")</x:f>
        <x:v>PASS</x:v>
      </x:c>
      <x:c r="P11" s="30" t="str">
        <x:f>IF(OR('Mission Worlds'!N11=0,Mechanisms!T8=1),"PASS","FAIL")</x:f>
        <x:v>PASS</x:v>
      </x:c>
      <x:c r="Q11" s="30" t="str">
        <x:f>IF(Mechanisms!U8&lt;='Mission Worlds'!O11,"PASS","FAIL")</x:f>
        <x:v>PASS</x:v>
      </x:c>
      <x:c r="R11" s="30" t="str">
        <x:f>IF(Mechanisms!V8&gt;='Mission Worlds'!P11,"PASS","FAIL")</x:f>
        <x:v>PASS</x:v>
      </x:c>
      <x:c r="S11" s="30" t="str">
        <x:f>IF(COUNTIF(E11:R11,"FAIL")=0,"PASS","FAIL")</x:f>
        <x:v>FAIL</x:v>
      </x:c>
      <x:c r="T11" s="30" t="str">
        <x:f>IF(AND(S11="PASS",Mechanisms!AB8=1),"PASS","FAIL")</x:f>
        <x:v>FAIL</x:v>
      </x:c>
      <x:c r="U11" s="30" t="str">
        <x:f>IF(AND(T11="PASS",'Mission Worlds'!Q11=0),"PASS","FAIL")</x:f>
        <x:v>FAIL</x:v>
      </x:c>
      <x:c r="V11" s="32" t="str">
        <x:f>'Mission Worlds'!R11</x:f>
        <x:v>steep receiving terrain</x:v>
      </x:c>
    </x:row>
    <x:row r="12">
      <x:c r="B12" s="30" t="str">
        <x:v>M1</x:v>
      </x:c>
      <x:c r="C12" s="30" t="str">
        <x:v>W06</x:v>
      </x:c>
      <x:c r="D12" s="50" t="n">
        <x:f>Mechanisms!AD8</x:f>
        <x:v>1</x:v>
      </x:c>
      <x:c r="E12" s="30" t="str">
        <x:f>'Payload Closure'!N7</x:f>
        <x:v>PASS</x:v>
      </x:c>
      <x:c r="F12" s="30" t="str">
        <x:f>IF(Mechanisms!J8&gt;='Mission Worlds'!D12,"PASS","FAIL")</x:f>
        <x:v>PASS</x:v>
      </x:c>
      <x:c r="G12" s="30" t="str">
        <x:f>IF(OR('Mission Worlds'!E12=0,Mechanisms!K8=1),"PASS","FAIL")</x:f>
        <x:v>PASS</x:v>
      </x:c>
      <x:c r="H12" s="30" t="str">
        <x:f>IF(OR('Mission Worlds'!F12=0,Mechanisms!L8=0),"PASS","FAIL")</x:f>
        <x:v>PASS</x:v>
      </x:c>
      <x:c r="I12" s="30" t="str">
        <x:f>IF(OR('Mission Worlds'!G12=0,Mechanisms!M8=0),"PASS","FAIL")</x:f>
        <x:v>PASS</x:v>
      </x:c>
      <x:c r="J12" s="30" t="str">
        <x:f>IF(Mechanisms!N8&gt;='Mission Worlds'!H12,"PASS","FAIL")</x:f>
        <x:v>PASS</x:v>
      </x:c>
      <x:c r="K12" s="30" t="str">
        <x:f>IF(Mechanisms!O8&gt;='Mission Worlds'!I12,"PASS","FAIL")</x:f>
        <x:v>PASS</x:v>
      </x:c>
      <x:c r="L12" s="30" t="str">
        <x:f>IF(Mechanisms!P8&lt;='Mission Worlds'!J12,"PASS","FAIL")</x:f>
        <x:v>PASS</x:v>
      </x:c>
      <x:c r="M12" s="30" t="str">
        <x:f>IF(OR('Mission Worlds'!K12=0,Mechanisms!Q8=1),"PASS","FAIL")</x:f>
        <x:v>PASS</x:v>
      </x:c>
      <x:c r="N12" s="30" t="str">
        <x:f>IF(OR('Mission Worlds'!L12=0,Mechanisms!R8=0),"PASS","FAIL")</x:f>
        <x:v>PASS</x:v>
      </x:c>
      <x:c r="O12" s="30" t="str">
        <x:f>IF(OR('Mission Worlds'!M12=0,Mechanisms!S8=0),"PASS","FAIL")</x:f>
        <x:v>PASS</x:v>
      </x:c>
      <x:c r="P12" s="30" t="str">
        <x:f>IF(OR('Mission Worlds'!N12=0,Mechanisms!T8=1),"PASS","FAIL")</x:f>
        <x:v>PASS</x:v>
      </x:c>
      <x:c r="Q12" s="30" t="str">
        <x:f>IF(Mechanisms!U8&lt;='Mission Worlds'!O12,"PASS","FAIL")</x:f>
        <x:v>PASS</x:v>
      </x:c>
      <x:c r="R12" s="30" t="str">
        <x:f>IF(Mechanisms!V8&gt;='Mission Worlds'!P12,"PASS","FAIL")</x:f>
        <x:v>PASS</x:v>
      </x:c>
      <x:c r="S12" s="30" t="str">
        <x:f>IF(COUNTIF(E12:R12,"FAIL")=0,"PASS","FAIL")</x:f>
        <x:v>PASS</x:v>
      </x:c>
      <x:c r="T12" s="30" t="str">
        <x:f>IF(AND(S12="PASS",Mechanisms!AB8=1),"PASS","FAIL")</x:f>
        <x:v>FAIL</x:v>
      </x:c>
      <x:c r="U12" s="30" t="str">
        <x:f>IF(AND(T12="PASS",'Mission Worlds'!Q12=0),"PASS","FAIL")</x:f>
        <x:v>FAIL</x:v>
      </x:c>
      <x:c r="V12" s="32" t="str">
        <x:f>'Mission Worlds'!R12</x:f>
        <x:v>high ambient and no local feed</x:v>
      </x:c>
    </x:row>
    <x:row r="13">
      <x:c r="B13" s="30" t="str">
        <x:v>M1</x:v>
      </x:c>
      <x:c r="C13" s="30" t="str">
        <x:v>W07</x:v>
      </x:c>
      <x:c r="D13" s="50" t="n">
        <x:f>Mechanisms!AD8</x:f>
        <x:v>1</x:v>
      </x:c>
      <x:c r="E13" s="30" t="str">
        <x:f>'Payload Closure'!N7</x:f>
        <x:v>PASS</x:v>
      </x:c>
      <x:c r="F13" s="30" t="str">
        <x:f>IF(Mechanisms!J8&gt;='Mission Worlds'!D13,"PASS","FAIL")</x:f>
        <x:v>PASS</x:v>
      </x:c>
      <x:c r="G13" s="30" t="str">
        <x:f>IF(OR('Mission Worlds'!E13=0,Mechanisms!K8=1),"PASS","FAIL")</x:f>
        <x:v>PASS</x:v>
      </x:c>
      <x:c r="H13" s="30" t="str">
        <x:f>IF(OR('Mission Worlds'!F13=0,Mechanisms!L8=0),"PASS","FAIL")</x:f>
        <x:v>PASS</x:v>
      </x:c>
      <x:c r="I13" s="30" t="str">
        <x:f>IF(OR('Mission Worlds'!G13=0,Mechanisms!M8=0),"PASS","FAIL")</x:f>
        <x:v>PASS</x:v>
      </x:c>
      <x:c r="J13" s="30" t="str">
        <x:f>IF(Mechanisms!N8&gt;='Mission Worlds'!H13,"PASS","FAIL")</x:f>
        <x:v>PASS</x:v>
      </x:c>
      <x:c r="K13" s="30" t="str">
        <x:f>IF(Mechanisms!O8&gt;='Mission Worlds'!I13,"PASS","FAIL")</x:f>
        <x:v>PASS</x:v>
      </x:c>
      <x:c r="L13" s="30" t="str">
        <x:f>IF(Mechanisms!P8&lt;='Mission Worlds'!J13,"PASS","FAIL")</x:f>
        <x:v>PASS</x:v>
      </x:c>
      <x:c r="M13" s="30" t="str">
        <x:f>IF(OR('Mission Worlds'!K13=0,Mechanisms!Q8=1),"PASS","FAIL")</x:f>
        <x:v>PASS</x:v>
      </x:c>
      <x:c r="N13" s="30" t="str">
        <x:f>IF(OR('Mission Worlds'!L13=0,Mechanisms!R8=0),"PASS","FAIL")</x:f>
        <x:v>PASS</x:v>
      </x:c>
      <x:c r="O13" s="30" t="str">
        <x:f>IF(OR('Mission Worlds'!M13=0,Mechanisms!S8=0),"PASS","FAIL")</x:f>
        <x:v>PASS</x:v>
      </x:c>
      <x:c r="P13" s="30" t="str">
        <x:f>IF(OR('Mission Worlds'!N13=0,Mechanisms!T8=1),"PASS","FAIL")</x:f>
        <x:v>PASS</x:v>
      </x:c>
      <x:c r="Q13" s="30" t="str">
        <x:f>IF(Mechanisms!U8&lt;='Mission Worlds'!O13,"PASS","FAIL")</x:f>
        <x:v>PASS</x:v>
      </x:c>
      <x:c r="R13" s="30" t="str">
        <x:f>IF(Mechanisms!V8&gt;='Mission Worlds'!P13,"PASS","FAIL")</x:f>
        <x:v>PASS</x:v>
      </x:c>
      <x:c r="S13" s="30" t="str">
        <x:f>IF(COUNTIF(E13:R13,"FAIL")=0,"PASS","FAIL")</x:f>
        <x:v>PASS</x:v>
      </x:c>
      <x:c r="T13" s="30" t="str">
        <x:f>IF(AND(S13="PASS",Mechanisms!AB8=1),"PASS","FAIL")</x:f>
        <x:v>FAIL</x:v>
      </x:c>
      <x:c r="U13" s="30" t="str">
        <x:f>IF(AND(T13="PASS",'Mission Worlds'!Q13=0),"PASS","FAIL")</x:f>
        <x:v>FAIL</x:v>
      </x:c>
      <x:c r="V13" s="32" t="str">
        <x:f>'Mission Worlds'!R13</x:f>
        <x:v>surface-water approach denied</x:v>
      </x:c>
    </x:row>
    <x:row r="14">
      <x:c r="B14" s="30" t="str">
        <x:v>M1</x:v>
      </x:c>
      <x:c r="C14" s="30" t="str">
        <x:v>W08</x:v>
      </x:c>
      <x:c r="D14" s="50" t="n">
        <x:f>Mechanisms!AD8</x:f>
        <x:v>1</x:v>
      </x:c>
      <x:c r="E14" s="30" t="str">
        <x:f>'Payload Closure'!N7</x:f>
        <x:v>PASS</x:v>
      </x:c>
      <x:c r="F14" s="30" t="str">
        <x:f>IF(Mechanisms!J8&gt;='Mission Worlds'!D14,"PASS","FAIL")</x:f>
        <x:v>PASS</x:v>
      </x:c>
      <x:c r="G14" s="30" t="str">
        <x:f>IF(OR('Mission Worlds'!E14=0,Mechanisms!K8=1),"PASS","FAIL")</x:f>
        <x:v>PASS</x:v>
      </x:c>
      <x:c r="H14" s="30" t="str">
        <x:f>IF(OR('Mission Worlds'!F14=0,Mechanisms!L8=0),"PASS","FAIL")</x:f>
        <x:v>PASS</x:v>
      </x:c>
      <x:c r="I14" s="30" t="str">
        <x:f>IF(OR('Mission Worlds'!G14=0,Mechanisms!M8=0),"PASS","FAIL")</x:f>
        <x:v>PASS</x:v>
      </x:c>
      <x:c r="J14" s="30" t="str">
        <x:f>IF(Mechanisms!N8&gt;='Mission Worlds'!H14,"PASS","FAIL")</x:f>
        <x:v>PASS</x:v>
      </x:c>
      <x:c r="K14" s="30" t="str">
        <x:f>IF(Mechanisms!O8&gt;='Mission Worlds'!I14,"PASS","FAIL")</x:f>
        <x:v>PASS</x:v>
      </x:c>
      <x:c r="L14" s="30" t="str">
        <x:f>IF(Mechanisms!P8&lt;='Mission Worlds'!J14,"PASS","FAIL")</x:f>
        <x:v>PASS</x:v>
      </x:c>
      <x:c r="M14" s="30" t="str">
        <x:f>IF(OR('Mission Worlds'!K14=0,Mechanisms!Q8=1),"PASS","FAIL")</x:f>
        <x:v>PASS</x:v>
      </x:c>
      <x:c r="N14" s="30" t="str">
        <x:f>IF(OR('Mission Worlds'!L14=0,Mechanisms!R8=0),"PASS","FAIL")</x:f>
        <x:v>PASS</x:v>
      </x:c>
      <x:c r="O14" s="30" t="str">
        <x:f>IF(OR('Mission Worlds'!M14=0,Mechanisms!S8=0),"PASS","FAIL")</x:f>
        <x:v>PASS</x:v>
      </x:c>
      <x:c r="P14" s="30" t="str">
        <x:f>IF(OR('Mission Worlds'!N14=0,Mechanisms!T8=1),"PASS","FAIL")</x:f>
        <x:v>PASS</x:v>
      </x:c>
      <x:c r="Q14" s="30" t="str">
        <x:f>IF(Mechanisms!U8&lt;='Mission Worlds'!O14,"PASS","FAIL")</x:f>
        <x:v>PASS</x:v>
      </x:c>
      <x:c r="R14" s="30" t="str">
        <x:f>IF(Mechanisms!V8&gt;='Mission Worlds'!P14,"PASS","FAIL")</x:f>
        <x:v>PASS</x:v>
      </x:c>
      <x:c r="S14" s="30" t="str">
        <x:f>IF(COUNTIF(E14:R14,"FAIL")=0,"PASS","FAIL")</x:f>
        <x:v>PASS</x:v>
      </x:c>
      <x:c r="T14" s="30" t="str">
        <x:f>IF(AND(S14="PASS",Mechanisms!AB8=1),"PASS","FAIL")</x:f>
        <x:v>FAIL</x:v>
      </x:c>
      <x:c r="U14" s="30" t="str">
        <x:f>IF(AND(T14="PASS",'Mission Worlds'!Q14=0),"PASS","FAIL")</x:f>
        <x:v>FAIL</x:v>
      </x:c>
      <x:c r="V14" s="32" t="str">
        <x:f>'Mission Worlds'!R14</x:f>
        <x:v>long range and austere receiver</x:v>
      </x:c>
    </x:row>
    <x:row r="15">
      <x:c r="B15" s="30" t="str">
        <x:v>M1</x:v>
      </x:c>
      <x:c r="C15" s="30" t="str">
        <x:v>W09</x:v>
      </x:c>
      <x:c r="D15" s="50" t="n">
        <x:f>Mechanisms!AD8</x:f>
        <x:v>1</x:v>
      </x:c>
      <x:c r="E15" s="30" t="str">
        <x:f>'Payload Closure'!N7</x:f>
        <x:v>PASS</x:v>
      </x:c>
      <x:c r="F15" s="30" t="str">
        <x:f>IF(Mechanisms!J8&gt;='Mission Worlds'!D15,"PASS","FAIL")</x:f>
        <x:v>PASS</x:v>
      </x:c>
      <x:c r="G15" s="30" t="str">
        <x:f>IF(OR('Mission Worlds'!E15=0,Mechanisms!K8=1),"PASS","FAIL")</x:f>
        <x:v>PASS</x:v>
      </x:c>
      <x:c r="H15" s="30" t="str">
        <x:f>IF(OR('Mission Worlds'!F15=0,Mechanisms!L8=0),"PASS","FAIL")</x:f>
        <x:v>PASS</x:v>
      </x:c>
      <x:c r="I15" s="30" t="str">
        <x:f>IF(OR('Mission Worlds'!G15=0,Mechanisms!M8=0),"PASS","FAIL")</x:f>
        <x:v>PASS</x:v>
      </x:c>
      <x:c r="J15" s="30" t="str">
        <x:f>IF(Mechanisms!N8&gt;='Mission Worlds'!H15,"PASS","FAIL")</x:f>
        <x:v>PASS</x:v>
      </x:c>
      <x:c r="K15" s="30" t="str">
        <x:f>IF(Mechanisms!O8&gt;='Mission Worlds'!I15,"PASS","FAIL")</x:f>
        <x:v>FAIL</x:v>
      </x:c>
      <x:c r="L15" s="30" t="str">
        <x:f>IF(Mechanisms!P8&lt;='Mission Worlds'!J15,"PASS","FAIL")</x:f>
        <x:v>FAIL</x:v>
      </x:c>
      <x:c r="M15" s="30" t="str">
        <x:f>IF(OR('Mission Worlds'!K15=0,Mechanisms!Q8=1),"PASS","FAIL")</x:f>
        <x:v>FAIL</x:v>
      </x:c>
      <x:c r="N15" s="30" t="str">
        <x:f>IF(OR('Mission Worlds'!L15=0,Mechanisms!R8=0),"PASS","FAIL")</x:f>
        <x:v>PASS</x:v>
      </x:c>
      <x:c r="O15" s="30" t="str">
        <x:f>IF(OR('Mission Worlds'!M15=0,Mechanisms!S8=0),"PASS","FAIL")</x:f>
        <x:v>PASS</x:v>
      </x:c>
      <x:c r="P15" s="30" t="str">
        <x:f>IF(OR('Mission Worlds'!N15=0,Mechanisms!T8=1),"PASS","FAIL")</x:f>
        <x:v>PASS</x:v>
      </x:c>
      <x:c r="Q15" s="30" t="str">
        <x:f>IF(Mechanisms!U8&lt;='Mission Worlds'!O15,"PASS","FAIL")</x:f>
        <x:v>PASS</x:v>
      </x:c>
      <x:c r="R15" s="30" t="str">
        <x:f>IF(Mechanisms!V8&gt;='Mission Worlds'!P15,"PASS","FAIL")</x:f>
        <x:v>PASS</x:v>
      </x:c>
      <x:c r="S15" s="30" t="str">
        <x:f>IF(COUNTIF(E15:R15,"FAIL")=0,"PASS","FAIL")</x:f>
        <x:v>FAIL</x:v>
      </x:c>
      <x:c r="T15" s="30" t="str">
        <x:f>IF(AND(S15="PASS",Mechanisms!AB8=1),"PASS","FAIL")</x:f>
        <x:v>FAIL</x:v>
      </x:c>
      <x:c r="U15" s="30" t="str">
        <x:f>IF(AND(T15="PASS",'Mission Worlds'!Q15=0),"PASS","FAIL")</x:f>
        <x:v>FAIL</x:v>
      </x:c>
      <x:c r="V15" s="32" t="str">
        <x:f>'Mission Worlds'!R15</x:f>
        <x:v>smoke operations required</x:v>
      </x:c>
    </x:row>
    <x:row r="16">
      <x:c r="B16" s="30" t="str">
        <x:v>M1</x:v>
      </x:c>
      <x:c r="C16" s="30" t="str">
        <x:v>W10</x:v>
      </x:c>
      <x:c r="D16" s="50" t="n">
        <x:f>Mechanisms!AD8</x:f>
        <x:v>1</x:v>
      </x:c>
      <x:c r="E16" s="30" t="str">
        <x:f>'Payload Closure'!N7</x:f>
        <x:v>PASS</x:v>
      </x:c>
      <x:c r="F16" s="30" t="str">
        <x:f>IF(Mechanisms!J8&gt;='Mission Worlds'!D16,"PASS","FAIL")</x:f>
        <x:v>PASS</x:v>
      </x:c>
      <x:c r="G16" s="30" t="str">
        <x:f>IF(OR('Mission Worlds'!E16=0,Mechanisms!K8=1),"PASS","FAIL")</x:f>
        <x:v>PASS</x:v>
      </x:c>
      <x:c r="H16" s="30" t="str">
        <x:f>IF(OR('Mission Worlds'!F16=0,Mechanisms!L8=0),"PASS","FAIL")</x:f>
        <x:v>PASS</x:v>
      </x:c>
      <x:c r="I16" s="30" t="str">
        <x:f>IF(OR('Mission Worlds'!G16=0,Mechanisms!M8=0),"PASS","FAIL")</x:f>
        <x:v>PASS</x:v>
      </x:c>
      <x:c r="J16" s="30" t="str">
        <x:f>IF(Mechanisms!N8&gt;='Mission Worlds'!H16,"PASS","FAIL")</x:f>
        <x:v>PASS</x:v>
      </x:c>
      <x:c r="K16" s="30" t="str">
        <x:f>IF(Mechanisms!O8&gt;='Mission Worlds'!I16,"PASS","FAIL")</x:f>
        <x:v>PASS</x:v>
      </x:c>
      <x:c r="L16" s="30" t="str">
        <x:f>IF(Mechanisms!P8&lt;='Mission Worlds'!J16,"PASS","FAIL")</x:f>
        <x:v>PASS</x:v>
      </x:c>
      <x:c r="M16" s="30" t="str">
        <x:f>IF(OR('Mission Worlds'!K16=0,Mechanisms!Q8=1),"PASS","FAIL")</x:f>
        <x:v>PASS</x:v>
      </x:c>
      <x:c r="N16" s="30" t="str">
        <x:f>IF(OR('Mission Worlds'!L16=0,Mechanisms!R8=0),"PASS","FAIL")</x:f>
        <x:v>PASS</x:v>
      </x:c>
      <x:c r="O16" s="30" t="str">
        <x:f>IF(OR('Mission Worlds'!M16=0,Mechanisms!S8=0),"PASS","FAIL")</x:f>
        <x:v>PASS</x:v>
      </x:c>
      <x:c r="P16" s="30" t="str">
        <x:f>IF(OR('Mission Worlds'!N16=0,Mechanisms!T8=1),"PASS","FAIL")</x:f>
        <x:v>PASS</x:v>
      </x:c>
      <x:c r="Q16" s="30" t="str">
        <x:f>IF(Mechanisms!U8&lt;='Mission Worlds'!O16,"PASS","FAIL")</x:f>
        <x:v>FAIL</x:v>
      </x:c>
      <x:c r="R16" s="30" t="str">
        <x:f>IF(Mechanisms!V8&gt;='Mission Worlds'!P16,"PASS","FAIL")</x:f>
        <x:v>PASS</x:v>
      </x:c>
      <x:c r="S16" s="30" t="str">
        <x:f>IF(COUNTIF(E16:R16,"FAIL")=0,"PASS","FAIL")</x:f>
        <x:v>FAIL</x:v>
      </x:c>
      <x:c r="T16" s="30" t="str">
        <x:f>IF(AND(S16="PASS",Mechanisms!AB8=1),"PASS","FAIL")</x:f>
        <x:v>FAIL</x:v>
      </x:c>
      <x:c r="U16" s="30" t="str">
        <x:f>IF(AND(T16="PASS",'Mission Worlds'!Q16=0),"PASS","FAIL")</x:f>
        <x:v>FAIL</x:v>
      </x:c>
      <x:c r="V16" s="32" t="str">
        <x:f>'Mission Worlds'!R16</x:f>
        <x:v>small safe footprint</x:v>
      </x:c>
    </x:row>
    <x:row r="17">
      <x:c r="B17" s="30" t="str">
        <x:v>M1</x:v>
      </x:c>
      <x:c r="C17" s="30" t="str">
        <x:v>W11</x:v>
      </x:c>
      <x:c r="D17" s="50" t="n">
        <x:f>Mechanisms!AD8</x:f>
        <x:v>1</x:v>
      </x:c>
      <x:c r="E17" s="30" t="str">
        <x:f>'Payload Closure'!N7</x:f>
        <x:v>PASS</x:v>
      </x:c>
      <x:c r="F17" s="30" t="str">
        <x:f>IF(Mechanisms!J8&gt;='Mission Worlds'!D17,"PASS","FAIL")</x:f>
        <x:v>PASS</x:v>
      </x:c>
      <x:c r="G17" s="30" t="str">
        <x:f>IF(OR('Mission Worlds'!E17=0,Mechanisms!K8=1),"PASS","FAIL")</x:f>
        <x:v>PASS</x:v>
      </x:c>
      <x:c r="H17" s="30" t="str">
        <x:f>IF(OR('Mission Worlds'!F17=0,Mechanisms!L8=0),"PASS","FAIL")</x:f>
        <x:v>PASS</x:v>
      </x:c>
      <x:c r="I17" s="30" t="str">
        <x:f>IF(OR('Mission Worlds'!G17=0,Mechanisms!M8=0),"PASS","FAIL")</x:f>
        <x:v>PASS</x:v>
      </x:c>
      <x:c r="J17" s="30" t="str">
        <x:f>IF(Mechanisms!N8&gt;='Mission Worlds'!H17,"PASS","FAIL")</x:f>
        <x:v>PASS</x:v>
      </x:c>
      <x:c r="K17" s="30" t="str">
        <x:f>IF(Mechanisms!O8&gt;='Mission Worlds'!I17,"PASS","FAIL")</x:f>
        <x:v>FAIL</x:v>
      </x:c>
      <x:c r="L17" s="30" t="str">
        <x:f>IF(Mechanisms!P8&lt;='Mission Worlds'!J17,"PASS","FAIL")</x:f>
        <x:v>PASS</x:v>
      </x:c>
      <x:c r="M17" s="30" t="str">
        <x:f>IF(OR('Mission Worlds'!K17=0,Mechanisms!Q8=1),"PASS","FAIL")</x:f>
        <x:v>PASS</x:v>
      </x:c>
      <x:c r="N17" s="30" t="str">
        <x:f>IF(OR('Mission Worlds'!L17=0,Mechanisms!R8=0),"PASS","FAIL")</x:f>
        <x:v>PASS</x:v>
      </x:c>
      <x:c r="O17" s="30" t="str">
        <x:f>IF(OR('Mission Worlds'!M17=0,Mechanisms!S8=0),"PASS","FAIL")</x:f>
        <x:v>PASS</x:v>
      </x:c>
      <x:c r="P17" s="30" t="str">
        <x:f>IF(OR('Mission Worlds'!N17=0,Mechanisms!T8=1),"PASS","FAIL")</x:f>
        <x:v>PASS</x:v>
      </x:c>
      <x:c r="Q17" s="30" t="str">
        <x:f>IF(Mechanisms!U8&lt;='Mission Worlds'!O17,"PASS","FAIL")</x:f>
        <x:v>PASS</x:v>
      </x:c>
      <x:c r="R17" s="30" t="str">
        <x:f>IF(Mechanisms!V8&gt;='Mission Worlds'!P17,"PASS","FAIL")</x:f>
        <x:v>PASS</x:v>
      </x:c>
      <x:c r="S17" s="30" t="str">
        <x:f>IF(COUNTIF(E17:R17,"FAIL")=0,"PASS","FAIL")</x:f>
        <x:v>FAIL</x:v>
      </x:c>
      <x:c r="T17" s="30" t="str">
        <x:f>IF(AND(S17="PASS",Mechanisms!AB8=1),"PASS","FAIL")</x:f>
        <x:v>FAIL</x:v>
      </x:c>
      <x:c r="U17" s="30" t="str">
        <x:f>IF(AND(T17="PASS",'Mission Worlds'!Q17=0),"PASS","FAIL")</x:f>
        <x:v>FAIL</x:v>
      </x:c>
      <x:c r="V17" s="32" t="str">
        <x:f>'Mission Worlds'!R17</x:f>
        <x:v>high-wind launch and receipt</x:v>
      </x:c>
    </x:row>
    <x:row r="18">
      <x:c r="B18" s="30" t="str">
        <x:v>M1</x:v>
      </x:c>
      <x:c r="C18" s="30" t="str">
        <x:v>W12</x:v>
      </x:c>
      <x:c r="D18" s="50" t="n">
        <x:f>Mechanisms!AD8</x:f>
        <x:v>1</x:v>
      </x:c>
      <x:c r="E18" s="30" t="str">
        <x:f>'Payload Closure'!N7</x:f>
        <x:v>PASS</x:v>
      </x:c>
      <x:c r="F18" s="30" t="str">
        <x:f>IF(Mechanisms!J8&gt;='Mission Worlds'!D18,"PASS","FAIL")</x:f>
        <x:v>PASS</x:v>
      </x:c>
      <x:c r="G18" s="30" t="str">
        <x:f>IF(OR('Mission Worlds'!E18=0,Mechanisms!K8=1),"PASS","FAIL")</x:f>
        <x:v>PASS</x:v>
      </x:c>
      <x:c r="H18" s="30" t="str">
        <x:f>IF(OR('Mission Worlds'!F18=0,Mechanisms!L8=0),"PASS","FAIL")</x:f>
        <x:v>PASS</x:v>
      </x:c>
      <x:c r="I18" s="30" t="str">
        <x:f>IF(OR('Mission Worlds'!G18=0,Mechanisms!M8=0),"PASS","FAIL")</x:f>
        <x:v>PASS</x:v>
      </x:c>
      <x:c r="J18" s="30" t="str">
        <x:f>IF(Mechanisms!N8&gt;='Mission Worlds'!H18,"PASS","FAIL")</x:f>
        <x:v>PASS</x:v>
      </x:c>
      <x:c r="K18" s="30" t="str">
        <x:f>IF(Mechanisms!O8&gt;='Mission Worlds'!I18,"PASS","FAIL")</x:f>
        <x:v>PASS</x:v>
      </x:c>
      <x:c r="L18" s="30" t="str">
        <x:f>IF(Mechanisms!P8&lt;='Mission Worlds'!J18,"PASS","FAIL")</x:f>
        <x:v>PASS</x:v>
      </x:c>
      <x:c r="M18" s="30" t="str">
        <x:f>IF(OR('Mission Worlds'!K18=0,Mechanisms!Q8=1),"PASS","FAIL")</x:f>
        <x:v>PASS</x:v>
      </x:c>
      <x:c r="N18" s="30" t="str">
        <x:f>IF(OR('Mission Worlds'!L18=0,Mechanisms!R8=0),"PASS","FAIL")</x:f>
        <x:v>PASS</x:v>
      </x:c>
      <x:c r="O18" s="30" t="str">
        <x:f>IF(OR('Mission Worlds'!M18=0,Mechanisms!S8=0),"PASS","FAIL")</x:f>
        <x:v>PASS</x:v>
      </x:c>
      <x:c r="P18" s="30" t="str">
        <x:f>IF(OR('Mission Worlds'!N18=0,Mechanisms!T8=1),"PASS","FAIL")</x:f>
        <x:v>PASS</x:v>
      </x:c>
      <x:c r="Q18" s="30" t="str">
        <x:f>IF(Mechanisms!U8&lt;='Mission Worlds'!O18,"PASS","FAIL")</x:f>
        <x:v>PASS</x:v>
      </x:c>
      <x:c r="R18" s="30" t="str">
        <x:f>IF(Mechanisms!V8&gt;='Mission Worlds'!P18,"PASS","FAIL")</x:f>
        <x:v>PASS</x:v>
      </x:c>
      <x:c r="S18" s="30" t="str">
        <x:f>IF(COUNTIF(E18:R18,"FAIL")=0,"PASS","FAIL")</x:f>
        <x:v>PASS</x:v>
      </x:c>
      <x:c r="T18" s="30" t="str">
        <x:f>IF(AND(S18="PASS",Mechanisms!AB8=1),"PASS","FAIL")</x:f>
        <x:v>FAIL</x:v>
      </x:c>
      <x:c r="U18" s="30" t="str">
        <x:f>IF(AND(T18="PASS",'Mission Worlds'!Q18=0),"PASS","FAIL")</x:f>
        <x:v>FAIL</x:v>
      </x:c>
      <x:c r="V18" s="32" t="str">
        <x:f>'Mission Worlds'!R18</x:f>
        <x:v>long range and offline command</x:v>
      </x:c>
    </x:row>
    <x:row r="19">
      <x:c r="B19" s="30" t="str">
        <x:v>M1</x:v>
      </x:c>
      <x:c r="C19" s="30" t="str">
        <x:v>W13</x:v>
      </x:c>
      <x:c r="D19" s="50" t="n">
        <x:f>Mechanisms!AD8</x:f>
        <x:v>1</x:v>
      </x:c>
      <x:c r="E19" s="30" t="str">
        <x:f>'Payload Closure'!N7</x:f>
        <x:v>PASS</x:v>
      </x:c>
      <x:c r="F19" s="30" t="str">
        <x:f>IF(Mechanisms!J8&gt;='Mission Worlds'!D19,"PASS","FAIL")</x:f>
        <x:v>PASS</x:v>
      </x:c>
      <x:c r="G19" s="30" t="str">
        <x:f>IF(OR('Mission Worlds'!E19=0,Mechanisms!K8=1),"PASS","FAIL")</x:f>
        <x:v>PASS</x:v>
      </x:c>
      <x:c r="H19" s="30" t="str">
        <x:f>IF(OR('Mission Worlds'!F19=0,Mechanisms!L8=0),"PASS","FAIL")</x:f>
        <x:v>PASS</x:v>
      </x:c>
      <x:c r="I19" s="30" t="str">
        <x:f>IF(OR('Mission Worlds'!G19=0,Mechanisms!M8=0),"PASS","FAIL")</x:f>
        <x:v>PASS</x:v>
      </x:c>
      <x:c r="J19" s="30" t="str">
        <x:f>IF(Mechanisms!N8&gt;='Mission Worlds'!H19,"PASS","FAIL")</x:f>
        <x:v>FAIL</x:v>
      </x:c>
      <x:c r="K19" s="30" t="str">
        <x:f>IF(Mechanisms!O8&gt;='Mission Worlds'!I19,"PASS","FAIL")</x:f>
        <x:v>PASS</x:v>
      </x:c>
      <x:c r="L19" s="30" t="str">
        <x:f>IF(Mechanisms!P8&lt;='Mission Worlds'!J19,"PASS","FAIL")</x:f>
        <x:v>FAIL</x:v>
      </x:c>
      <x:c r="M19" s="30" t="str">
        <x:f>IF(OR('Mission Worlds'!K19=0,Mechanisms!Q8=1),"PASS","FAIL")</x:f>
        <x:v>PASS</x:v>
      </x:c>
      <x:c r="N19" s="30" t="str">
        <x:f>IF(OR('Mission Worlds'!L19=0,Mechanisms!R8=0),"PASS","FAIL")</x:f>
        <x:v>PASS</x:v>
      </x:c>
      <x:c r="O19" s="30" t="str">
        <x:f>IF(OR('Mission Worlds'!M19=0,Mechanisms!S8=0),"PASS","FAIL")</x:f>
        <x:v>PASS</x:v>
      </x:c>
      <x:c r="P19" s="30" t="str">
        <x:f>IF(OR('Mission Worlds'!N19=0,Mechanisms!T8=1),"PASS","FAIL")</x:f>
        <x:v>PASS</x:v>
      </x:c>
      <x:c r="Q19" s="30" t="str">
        <x:f>IF(Mechanisms!U8&lt;='Mission Worlds'!O19,"PASS","FAIL")</x:f>
        <x:v>FAIL</x:v>
      </x:c>
      <x:c r="R19" s="30" t="str">
        <x:f>IF(Mechanisms!V8&gt;='Mission Worlds'!P19,"PASS","FAIL")</x:f>
        <x:v>PASS</x:v>
      </x:c>
      <x:c r="S19" s="30" t="str">
        <x:f>IF(COUNTIF(E19:R19,"FAIL")=0,"PASS","FAIL")</x:f>
        <x:v>FAIL</x:v>
      </x:c>
      <x:c r="T19" s="30" t="str">
        <x:f>IF(AND(S19="PASS",Mechanisms!AB8=1),"PASS","FAIL")</x:f>
        <x:v>FAIL</x:v>
      </x:c>
      <x:c r="U19" s="30" t="str">
        <x:f>IF(AND(T19="PASS",'Mission Worlds'!Q19=0),"PASS","FAIL")</x:f>
        <x:v>FAIL</x:v>
      </x:c>
      <x:c r="V19" s="32" t="str">
        <x:f>'Mission Worlds'!R19</x:f>
        <x:v>standoff source remains</x:v>
      </x:c>
    </x:row>
    <x:row r="20">
      <x:c r="B20" s="30" t="str">
        <x:v>M1</x:v>
      </x:c>
      <x:c r="C20" s="30" t="str">
        <x:v>W14</x:v>
      </x:c>
      <x:c r="D20" s="50" t="n">
        <x:f>Mechanisms!AD8</x:f>
        <x:v>1</x:v>
      </x:c>
      <x:c r="E20" s="30" t="str">
        <x:f>'Payload Closure'!N7</x:f>
        <x:v>PASS</x:v>
      </x:c>
      <x:c r="F20" s="30" t="str">
        <x:f>IF(Mechanisms!J8&gt;='Mission Worlds'!D20,"PASS","FAIL")</x:f>
        <x:v>PASS</x:v>
      </x:c>
      <x:c r="G20" s="30" t="str">
        <x:f>IF(OR('Mission Worlds'!E20=0,Mechanisms!K8=1),"PASS","FAIL")</x:f>
        <x:v>PASS</x:v>
      </x:c>
      <x:c r="H20" s="30" t="str">
        <x:f>IF(OR('Mission Worlds'!F20=0,Mechanisms!L8=0),"PASS","FAIL")</x:f>
        <x:v>PASS</x:v>
      </x:c>
      <x:c r="I20" s="30" t="str">
        <x:f>IF(OR('Mission Worlds'!G20=0,Mechanisms!M8=0),"PASS","FAIL")</x:f>
        <x:v>PASS</x:v>
      </x:c>
      <x:c r="J20" s="30" t="str">
        <x:f>IF(Mechanisms!N8&gt;='Mission Worlds'!H20,"PASS","FAIL")</x:f>
        <x:v>PASS</x:v>
      </x:c>
      <x:c r="K20" s="30" t="str">
        <x:f>IF(Mechanisms!O8&gt;='Mission Worlds'!I20,"PASS","FAIL")</x:f>
        <x:v>PASS</x:v>
      </x:c>
      <x:c r="L20" s="30" t="str">
        <x:f>IF(Mechanisms!P8&lt;='Mission Worlds'!J20,"PASS","FAIL")</x:f>
        <x:v>PASS</x:v>
      </x:c>
      <x:c r="M20" s="30" t="str">
        <x:f>IF(OR('Mission Worlds'!K20=0,Mechanisms!Q8=1),"PASS","FAIL")</x:f>
        <x:v>PASS</x:v>
      </x:c>
      <x:c r="N20" s="30" t="str">
        <x:f>IF(OR('Mission Worlds'!L20=0,Mechanisms!R8=0),"PASS","FAIL")</x:f>
        <x:v>PASS</x:v>
      </x:c>
      <x:c r="O20" s="30" t="str">
        <x:f>IF(OR('Mission Worlds'!M20=0,Mechanisms!S8=0),"PASS","FAIL")</x:f>
        <x:v>PASS</x:v>
      </x:c>
      <x:c r="P20" s="30" t="str">
        <x:f>IF(OR('Mission Worlds'!N20=0,Mechanisms!T8=1),"PASS","FAIL")</x:f>
        <x:v>PASS</x:v>
      </x:c>
      <x:c r="Q20" s="30" t="str">
        <x:f>IF(Mechanisms!U8&lt;='Mission Worlds'!O20,"PASS","FAIL")</x:f>
        <x:v>FAIL</x:v>
      </x:c>
      <x:c r="R20" s="30" t="str">
        <x:f>IF(Mechanisms!V8&gt;='Mission Worlds'!P20,"PASS","FAIL")</x:f>
        <x:v>PASS</x:v>
      </x:c>
      <x:c r="S20" s="30" t="str">
        <x:f>IF(COUNTIF(E20:R20,"FAIL")=0,"PASS","FAIL")</x:f>
        <x:v>FAIL</x:v>
      </x:c>
      <x:c r="T20" s="30" t="str">
        <x:f>IF(AND(S20="PASS",Mechanisms!AB8=1),"PASS","FAIL")</x:f>
        <x:v>FAIL</x:v>
      </x:c>
      <x:c r="U20" s="30" t="str">
        <x:f>IF(AND(T20="PASS",'Mission Worlds'!Q20=0),"PASS","FAIL")</x:f>
        <x:v>FAIL</x:v>
      </x:c>
      <x:c r="V20" s="32" t="str">
        <x:f>'Mission Worlds'!R20</x:f>
        <x:v>conversion can substitute for carriage</x:v>
      </x:c>
    </x:row>
    <x:row r="21">
      <x:c r="B21" s="30" t="str">
        <x:v>M1</x:v>
      </x:c>
      <x:c r="C21" s="30" t="str">
        <x:v>W15</x:v>
      </x:c>
      <x:c r="D21" s="50" t="n">
        <x:f>Mechanisms!AD8</x:f>
        <x:v>1</x:v>
      </x:c>
      <x:c r="E21" s="30" t="str">
        <x:f>'Payload Closure'!N7</x:f>
        <x:v>PASS</x:v>
      </x:c>
      <x:c r="F21" s="30" t="str">
        <x:f>IF(Mechanisms!J8&gt;='Mission Worlds'!D21,"PASS","FAIL")</x:f>
        <x:v>PASS</x:v>
      </x:c>
      <x:c r="G21" s="30" t="str">
        <x:f>IF(OR('Mission Worlds'!E21=0,Mechanisms!K8=1),"PASS","FAIL")</x:f>
        <x:v>PASS</x:v>
      </x:c>
      <x:c r="H21" s="30" t="str">
        <x:f>IF(OR('Mission Worlds'!F21=0,Mechanisms!L8=0),"PASS","FAIL")</x:f>
        <x:v>PASS</x:v>
      </x:c>
      <x:c r="I21" s="30" t="str">
        <x:f>IF(OR('Mission Worlds'!G21=0,Mechanisms!M8=0),"PASS","FAIL")</x:f>
        <x:v>PASS</x:v>
      </x:c>
      <x:c r="J21" s="30" t="str">
        <x:f>IF(Mechanisms!N8&gt;='Mission Worlds'!H21,"PASS","FAIL")</x:f>
        <x:v>PASS</x:v>
      </x:c>
      <x:c r="K21" s="30" t="str">
        <x:f>IF(Mechanisms!O8&gt;='Mission Worlds'!I21,"PASS","FAIL")</x:f>
        <x:v>PASS</x:v>
      </x:c>
      <x:c r="L21" s="30" t="str">
        <x:f>IF(Mechanisms!P8&lt;='Mission Worlds'!J21,"PASS","FAIL")</x:f>
        <x:v>PASS</x:v>
      </x:c>
      <x:c r="M21" s="30" t="str">
        <x:f>IF(OR('Mission Worlds'!K21=0,Mechanisms!Q8=1),"PASS","FAIL")</x:f>
        <x:v>PASS</x:v>
      </x:c>
      <x:c r="N21" s="30" t="str">
        <x:f>IF(OR('Mission Worlds'!L21=0,Mechanisms!R8=0),"PASS","FAIL")</x:f>
        <x:v>PASS</x:v>
      </x:c>
      <x:c r="O21" s="30" t="str">
        <x:f>IF(OR('Mission Worlds'!M21=0,Mechanisms!S8=0),"PASS","FAIL")</x:f>
        <x:v>PASS</x:v>
      </x:c>
      <x:c r="P21" s="30" t="str">
        <x:f>IF(OR('Mission Worlds'!N21=0,Mechanisms!T8=1),"PASS","FAIL")</x:f>
        <x:v>PASS</x:v>
      </x:c>
      <x:c r="Q21" s="30" t="str">
        <x:f>IF(Mechanisms!U8&lt;='Mission Worlds'!O21,"PASS","FAIL")</x:f>
        <x:v>PASS</x:v>
      </x:c>
      <x:c r="R21" s="30" t="str">
        <x:f>IF(Mechanisms!V8&gt;='Mission Worlds'!P21,"PASS","FAIL")</x:f>
        <x:v>FAIL</x:v>
      </x:c>
      <x:c r="S21" s="30" t="str">
        <x:f>IF(COUNTIF(E21:R21,"FAIL")=0,"PASS","FAIL")</x:f>
        <x:v>FAIL</x:v>
      </x:c>
      <x:c r="T21" s="30" t="str">
        <x:f>IF(AND(S21="PASS",Mechanisms!AB8=1),"PASS","FAIL")</x:f>
        <x:v>FAIL</x:v>
      </x:c>
      <x:c r="U21" s="30" t="str">
        <x:f>IF(AND(T21="PASS",'Mission Worlds'!Q21=0),"PASS","FAIL")</x:f>
        <x:v>FAIL</x:v>
      </x:c>
      <x:c r="V21" s="32" t="str">
        <x:f>'Mission Worlds'!R21</x:f>
        <x:v>one national set cannot double count</x:v>
      </x:c>
    </x:row>
    <x:row r="22">
      <x:c r="B22" s="30" t="str">
        <x:v>M1</x:v>
      </x:c>
      <x:c r="C22" s="30" t="str">
        <x:v>W16</x:v>
      </x:c>
      <x:c r="D22" s="50" t="n">
        <x:f>Mechanisms!AD8</x:f>
        <x:v>1</x:v>
      </x:c>
      <x:c r="E22" s="30" t="str">
        <x:f>'Payload Closure'!N7</x:f>
        <x:v>PASS</x:v>
      </x:c>
      <x:c r="F22" s="30" t="str">
        <x:f>IF(Mechanisms!J8&gt;='Mission Worlds'!D22,"PASS","FAIL")</x:f>
        <x:v>PASS</x:v>
      </x:c>
      <x:c r="G22" s="30" t="str">
        <x:f>IF(OR('Mission Worlds'!E22=0,Mechanisms!K8=1),"PASS","FAIL")</x:f>
        <x:v>PASS</x:v>
      </x:c>
      <x:c r="H22" s="30" t="str">
        <x:f>IF(OR('Mission Worlds'!F22=0,Mechanisms!L8=0),"PASS","FAIL")</x:f>
        <x:v>PASS</x:v>
      </x:c>
      <x:c r="I22" s="30" t="str">
        <x:f>IF(OR('Mission Worlds'!G22=0,Mechanisms!M8=0),"PASS","FAIL")</x:f>
        <x:v>PASS</x:v>
      </x:c>
      <x:c r="J22" s="30" t="str">
        <x:f>IF(Mechanisms!N8&gt;='Mission Worlds'!H22,"PASS","FAIL")</x:f>
        <x:v>PASS</x:v>
      </x:c>
      <x:c r="K22" s="30" t="str">
        <x:f>IF(Mechanisms!O8&gt;='Mission Worlds'!I22,"PASS","FAIL")</x:f>
        <x:v>PASS</x:v>
      </x:c>
      <x:c r="L22" s="30" t="str">
        <x:f>IF(Mechanisms!P8&lt;='Mission Worlds'!J22,"PASS","FAIL")</x:f>
        <x:v>PASS</x:v>
      </x:c>
      <x:c r="M22" s="30" t="str">
        <x:f>IF(OR('Mission Worlds'!K22=0,Mechanisms!Q8=1),"PASS","FAIL")</x:f>
        <x:v>PASS</x:v>
      </x:c>
      <x:c r="N22" s="30" t="str">
        <x:f>IF(OR('Mission Worlds'!L22=0,Mechanisms!R8=0),"PASS","FAIL")</x:f>
        <x:v>PASS</x:v>
      </x:c>
      <x:c r="O22" s="30" t="str">
        <x:f>IF(OR('Mission Worlds'!M22=0,Mechanisms!S8=0),"PASS","FAIL")</x:f>
        <x:v>PASS</x:v>
      </x:c>
      <x:c r="P22" s="30" t="str">
        <x:f>IF(OR('Mission Worlds'!N22=0,Mechanisms!T8=1),"PASS","FAIL")</x:f>
        <x:v>PASS</x:v>
      </x:c>
      <x:c r="Q22" s="30" t="str">
        <x:f>IF(Mechanisms!U8&lt;='Mission Worlds'!O22,"PASS","FAIL")</x:f>
        <x:v>PASS</x:v>
      </x:c>
      <x:c r="R22" s="30" t="str">
        <x:f>IF(Mechanisms!V8&gt;='Mission Worlds'!P22,"PASS","FAIL")</x:f>
        <x:v>PASS</x:v>
      </x:c>
      <x:c r="S22" s="30" t="str">
        <x:f>IF(COUNTIF(E22:R22,"FAIL")=0,"PASS","FAIL")</x:f>
        <x:v>PASS</x:v>
      </x:c>
      <x:c r="T22" s="30" t="str">
        <x:f>IF(AND(S22="PASS",Mechanisms!AB8=1),"PASS","FAIL")</x:f>
        <x:v>FAIL</x:v>
      </x:c>
      <x:c r="U22" s="30" t="str">
        <x:f>IF(AND(T22="PASS",'Mission Worlds'!Q22=0),"PASS","FAIL")</x:f>
        <x:v>FAIL</x:v>
      </x:c>
      <x:c r="V22" s="32" t="str">
        <x:f>'Mission Worlds'!R22</x:f>
        <x:v>universal admission stop</x:v>
      </x:c>
    </x:row>
    <x:row r="23">
      <x:c r="B23" s="30" t="str">
        <x:v>M2</x:v>
      </x:c>
      <x:c r="C23" s="30" t="str">
        <x:v>W01</x:v>
      </x:c>
      <x:c r="D23" s="50" t="n">
        <x:f>Mechanisms!AD9</x:f>
        <x:v>1</x:v>
      </x:c>
      <x:c r="E23" s="30" t="str">
        <x:f>'Payload Closure'!N8</x:f>
        <x:v>PASS</x:v>
      </x:c>
      <x:c r="F23" s="30" t="str">
        <x:f>IF(Mechanisms!J9&gt;='Mission Worlds'!D7,"PASS","FAIL")</x:f>
        <x:v>PASS</x:v>
      </x:c>
      <x:c r="G23" s="30" t="str">
        <x:f>IF(OR('Mission Worlds'!E7=0,Mechanisms!K9=1),"PASS","FAIL")</x:f>
        <x:v>PASS</x:v>
      </x:c>
      <x:c r="H23" s="30" t="str">
        <x:f>IF(OR('Mission Worlds'!F7=0,Mechanisms!L9=0),"PASS","FAIL")</x:f>
        <x:v>FAIL</x:v>
      </x:c>
      <x:c r="I23" s="30" t="str">
        <x:f>IF(OR('Mission Worlds'!G7=0,Mechanisms!M9=0),"PASS","FAIL")</x:f>
        <x:v>PASS</x:v>
      </x:c>
      <x:c r="J23" s="30" t="str">
        <x:f>IF(Mechanisms!N9&gt;='Mission Worlds'!H7,"PASS","FAIL")</x:f>
        <x:v>FAIL</x:v>
      </x:c>
      <x:c r="K23" s="30" t="str">
        <x:f>IF(Mechanisms!O9&gt;='Mission Worlds'!I7,"PASS","FAIL")</x:f>
        <x:v>FAIL</x:v>
      </x:c>
      <x:c r="L23" s="30" t="str">
        <x:f>IF(Mechanisms!P9&lt;='Mission Worlds'!J7,"PASS","FAIL")</x:f>
        <x:v>FAIL</x:v>
      </x:c>
      <x:c r="M23" s="30" t="str">
        <x:f>IF(OR('Mission Worlds'!K7=0,Mechanisms!Q9=1),"PASS","FAIL")</x:f>
        <x:v>PASS</x:v>
      </x:c>
      <x:c r="N23" s="30" t="str">
        <x:f>IF(OR('Mission Worlds'!L7=0,Mechanisms!R9=0),"PASS","FAIL")</x:f>
        <x:v>PASS</x:v>
      </x:c>
      <x:c r="O23" s="30" t="str">
        <x:f>IF(OR('Mission Worlds'!M7=0,Mechanisms!S9=0),"PASS","FAIL")</x:f>
        <x:v>PASS</x:v>
      </x:c>
      <x:c r="P23" s="30" t="str">
        <x:f>IF(OR('Mission Worlds'!N7=0,Mechanisms!T9=1),"PASS","FAIL")</x:f>
        <x:v>PASS</x:v>
      </x:c>
      <x:c r="Q23" s="30" t="str">
        <x:f>IF(Mechanisms!U9&lt;='Mission Worlds'!O7,"PASS","FAIL")</x:f>
        <x:v>FAIL</x:v>
      </x:c>
      <x:c r="R23" s="30" t="str">
        <x:f>IF(Mechanisms!V9&gt;='Mission Worlds'!P7,"PASS","FAIL")</x:f>
        <x:v>PASS</x:v>
      </x:c>
      <x:c r="S23" s="30" t="str">
        <x:f>IF(COUNTIF(E23:R23,"FAIL")=0,"PASS","FAIL")</x:f>
        <x:v>FAIL</x:v>
      </x:c>
      <x:c r="T23" s="30" t="str">
        <x:f>IF(AND(S23="PASS",Mechanisms!AB9=1),"PASS","FAIL")</x:f>
        <x:v>FAIL</x:v>
      </x:c>
      <x:c r="U23" s="30" t="str">
        <x:f>IF(AND(T23="PASS",'Mission Worlds'!Q7=0),"PASS","FAIL")</x:f>
        <x:v>FAIL</x:v>
      </x:c>
      <x:c r="V23" s="32" t="str">
        <x:f>'Mission Worlds'!R7</x:f>
        <x:v>no inherited terminal</x:v>
      </x:c>
    </x:row>
    <x:row r="24">
      <x:c r="B24" s="30" t="str">
        <x:v>M2</x:v>
      </x:c>
      <x:c r="C24" s="30" t="str">
        <x:v>W02</x:v>
      </x:c>
      <x:c r="D24" s="50" t="n">
        <x:f>Mechanisms!AD9</x:f>
        <x:v>1</x:v>
      </x:c>
      <x:c r="E24" s="30" t="str">
        <x:f>'Payload Closure'!N8</x:f>
        <x:v>PASS</x:v>
      </x:c>
      <x:c r="F24" s="30" t="str">
        <x:f>IF(Mechanisms!J9&gt;='Mission Worlds'!D8,"PASS","FAIL")</x:f>
        <x:v>PASS</x:v>
      </x:c>
      <x:c r="G24" s="30" t="str">
        <x:f>IF(OR('Mission Worlds'!E8=0,Mechanisms!K9=1),"PASS","FAIL")</x:f>
        <x:v>PASS</x:v>
      </x:c>
      <x:c r="H24" s="30" t="str">
        <x:f>IF(OR('Mission Worlds'!F8=0,Mechanisms!L9=0),"PASS","FAIL")</x:f>
        <x:v>PASS</x:v>
      </x:c>
      <x:c r="I24" s="30" t="str">
        <x:f>IF(OR('Mission Worlds'!G8=0,Mechanisms!M9=0),"PASS","FAIL")</x:f>
        <x:v>PASS</x:v>
      </x:c>
      <x:c r="J24" s="30" t="str">
        <x:f>IF(Mechanisms!N9&gt;='Mission Worlds'!H8,"PASS","FAIL")</x:f>
        <x:v>PASS</x:v>
      </x:c>
      <x:c r="K24" s="30" t="str">
        <x:f>IF(Mechanisms!O9&gt;='Mission Worlds'!I8,"PASS","FAIL")</x:f>
        <x:v>PASS</x:v>
      </x:c>
      <x:c r="L24" s="30" t="str">
        <x:f>IF(Mechanisms!P9&lt;='Mission Worlds'!J8,"PASS","FAIL")</x:f>
        <x:v>PASS</x:v>
      </x:c>
      <x:c r="M24" s="30" t="str">
        <x:f>IF(OR('Mission Worlds'!K8=0,Mechanisms!Q9=1),"PASS","FAIL")</x:f>
        <x:v>PASS</x:v>
      </x:c>
      <x:c r="N24" s="30" t="str">
        <x:f>IF(OR('Mission Worlds'!L8=0,Mechanisms!R9=0),"PASS","FAIL")</x:f>
        <x:v>PASS</x:v>
      </x:c>
      <x:c r="O24" s="30" t="str">
        <x:f>IF(OR('Mission Worlds'!M8=0,Mechanisms!S9=0),"PASS","FAIL")</x:f>
        <x:v>PASS</x:v>
      </x:c>
      <x:c r="P24" s="30" t="str">
        <x:f>IF(OR('Mission Worlds'!N8=0,Mechanisms!T9=1),"PASS","FAIL")</x:f>
        <x:v>PASS</x:v>
      </x:c>
      <x:c r="Q24" s="30" t="str">
        <x:f>IF(Mechanisms!U9&lt;='Mission Worlds'!O8,"PASS","FAIL")</x:f>
        <x:v>PASS</x:v>
      </x:c>
      <x:c r="R24" s="30" t="str">
        <x:f>IF(Mechanisms!V9&gt;='Mission Worlds'!P8,"PASS","FAIL")</x:f>
        <x:v>PASS</x:v>
      </x:c>
      <x:c r="S24" s="30" t="str">
        <x:f>IF(COUNTIF(E24:R24,"FAIL")=0,"PASS","FAIL")</x:f>
        <x:v>PASS</x:v>
      </x:c>
      <x:c r="T24" s="30" t="str">
        <x:f>IF(AND(S24="PASS",Mechanisms!AB9=1),"PASS","FAIL")</x:f>
        <x:v>FAIL</x:v>
      </x:c>
      <x:c r="U24" s="30" t="str">
        <x:f>IF(AND(T24="PASS",'Mission Worlds'!Q8=0),"PASS","FAIL")</x:f>
        <x:v>FAIL</x:v>
      </x:c>
      <x:c r="V24" s="32" t="str">
        <x:f>'Mission Worlds'!R8</x:f>
        <x:v>water approach remains</x:v>
      </x:c>
    </x:row>
    <x:row r="25">
      <x:c r="B25" s="30" t="str">
        <x:v>M2</x:v>
      </x:c>
      <x:c r="C25" s="30" t="str">
        <x:v>W03</x:v>
      </x:c>
      <x:c r="D25" s="50" t="n">
        <x:f>Mechanisms!AD9</x:f>
        <x:v>1</x:v>
      </x:c>
      <x:c r="E25" s="30" t="str">
        <x:f>'Payload Closure'!N8</x:f>
        <x:v>PASS</x:v>
      </x:c>
      <x:c r="F25" s="30" t="str">
        <x:f>IF(Mechanisms!J9&gt;='Mission Worlds'!D9,"PASS","FAIL")</x:f>
        <x:v>PASS</x:v>
      </x:c>
      <x:c r="G25" s="30" t="str">
        <x:f>IF(OR('Mission Worlds'!E9=0,Mechanisms!K9=1),"PASS","FAIL")</x:f>
        <x:v>PASS</x:v>
      </x:c>
      <x:c r="H25" s="30" t="str">
        <x:f>IF(OR('Mission Worlds'!F9=0,Mechanisms!L9=0),"PASS","FAIL")</x:f>
        <x:v>FAIL</x:v>
      </x:c>
      <x:c r="I25" s="30" t="str">
        <x:f>IF(OR('Mission Worlds'!G9=0,Mechanisms!M9=0),"PASS","FAIL")</x:f>
        <x:v>PASS</x:v>
      </x:c>
      <x:c r="J25" s="30" t="str">
        <x:f>IF(Mechanisms!N9&gt;='Mission Worlds'!H9,"PASS","FAIL")</x:f>
        <x:v>PASS</x:v>
      </x:c>
      <x:c r="K25" s="30" t="str">
        <x:f>IF(Mechanisms!O9&gt;='Mission Worlds'!I9,"PASS","FAIL")</x:f>
        <x:v>FAIL</x:v>
      </x:c>
      <x:c r="L25" s="30" t="str">
        <x:f>IF(Mechanisms!P9&lt;='Mission Worlds'!J9,"PASS","FAIL")</x:f>
        <x:v>FAIL</x:v>
      </x:c>
      <x:c r="M25" s="30" t="str">
        <x:f>IF(OR('Mission Worlds'!K9=0,Mechanisms!Q9=1),"PASS","FAIL")</x:f>
        <x:v>PASS</x:v>
      </x:c>
      <x:c r="N25" s="30" t="str">
        <x:f>IF(OR('Mission Worlds'!L9=0,Mechanisms!R9=0),"PASS","FAIL")</x:f>
        <x:v>PASS</x:v>
      </x:c>
      <x:c r="O25" s="30" t="str">
        <x:f>IF(OR('Mission Worlds'!M9=0,Mechanisms!S9=0),"PASS","FAIL")</x:f>
        <x:v>PASS</x:v>
      </x:c>
      <x:c r="P25" s="30" t="str">
        <x:f>IF(OR('Mission Worlds'!N9=0,Mechanisms!T9=1),"PASS","FAIL")</x:f>
        <x:v>PASS</x:v>
      </x:c>
      <x:c r="Q25" s="30" t="str">
        <x:f>IF(Mechanisms!U9&lt;='Mission Worlds'!O9,"PASS","FAIL")</x:f>
        <x:v>FAIL</x:v>
      </x:c>
      <x:c r="R25" s="30" t="str">
        <x:f>IF(Mechanisms!V9&gt;='Mission Worlds'!P9,"PASS","FAIL")</x:f>
        <x:v>PASS</x:v>
      </x:c>
      <x:c r="S25" s="30" t="str">
        <x:f>IF(COUNTIF(E25:R25,"FAIL")=0,"PASS","FAIL")</x:f>
        <x:v>FAIL</x:v>
      </x:c>
      <x:c r="T25" s="30" t="str">
        <x:f>IF(AND(S25="PASS",Mechanisms!AB9=1),"PASS","FAIL")</x:f>
        <x:v>FAIL</x:v>
      </x:c>
      <x:c r="U25" s="30" t="str">
        <x:f>IF(AND(T25="PASS",'Mission Worlds'!Q9=0),"PASS","FAIL")</x:f>
        <x:v>FAIL</x:v>
      </x:c>
      <x:c r="V25" s="32" t="str">
        <x:f>'Mission Worlds'!R9</x:f>
        <x:v>nearby source may survive</x:v>
      </x:c>
    </x:row>
    <x:row r="26">
      <x:c r="B26" s="30" t="str">
        <x:v>M2</x:v>
      </x:c>
      <x:c r="C26" s="30" t="str">
        <x:v>W04</x:v>
      </x:c>
      <x:c r="D26" s="50" t="n">
        <x:f>Mechanisms!AD9</x:f>
        <x:v>1</x:v>
      </x:c>
      <x:c r="E26" s="30" t="str">
        <x:f>'Payload Closure'!N8</x:f>
        <x:v>PASS</x:v>
      </x:c>
      <x:c r="F26" s="30" t="str">
        <x:f>IF(Mechanisms!J9&gt;='Mission Worlds'!D10,"PASS","FAIL")</x:f>
        <x:v>PASS</x:v>
      </x:c>
      <x:c r="G26" s="30" t="str">
        <x:f>IF(OR('Mission Worlds'!E10=0,Mechanisms!K9=1),"PASS","FAIL")</x:f>
        <x:v>PASS</x:v>
      </x:c>
      <x:c r="H26" s="30" t="str">
        <x:f>IF(OR('Mission Worlds'!F10=0,Mechanisms!L9=0),"PASS","FAIL")</x:f>
        <x:v>FAIL</x:v>
      </x:c>
      <x:c r="I26" s="30" t="str">
        <x:f>IF(OR('Mission Worlds'!G10=0,Mechanisms!M9=0),"PASS","FAIL")</x:f>
        <x:v>PASS</x:v>
      </x:c>
      <x:c r="J26" s="30" t="str">
        <x:f>IF(Mechanisms!N9&gt;='Mission Worlds'!H10,"PASS","FAIL")</x:f>
        <x:v>FAIL</x:v>
      </x:c>
      <x:c r="K26" s="30" t="str">
        <x:f>IF(Mechanisms!O9&gt;='Mission Worlds'!I10,"PASS","FAIL")</x:f>
        <x:v>PASS</x:v>
      </x:c>
      <x:c r="L26" s="30" t="str">
        <x:f>IF(Mechanisms!P9&lt;='Mission Worlds'!J10,"PASS","FAIL")</x:f>
        <x:v>FAIL</x:v>
      </x:c>
      <x:c r="M26" s="30" t="str">
        <x:f>IF(OR('Mission Worlds'!K10=0,Mechanisms!Q9=1),"PASS","FAIL")</x:f>
        <x:v>PASS</x:v>
      </x:c>
      <x:c r="N26" s="30" t="str">
        <x:f>IF(OR('Mission Worlds'!L10=0,Mechanisms!R9=0),"PASS","FAIL")</x:f>
        <x:v>PASS</x:v>
      </x:c>
      <x:c r="O26" s="30" t="str">
        <x:f>IF(OR('Mission Worlds'!M10=0,Mechanisms!S9=0),"PASS","FAIL")</x:f>
        <x:v>PASS</x:v>
      </x:c>
      <x:c r="P26" s="30" t="str">
        <x:f>IF(OR('Mission Worlds'!N10=0,Mechanisms!T9=1),"PASS","FAIL")</x:f>
        <x:v>PASS</x:v>
      </x:c>
      <x:c r="Q26" s="30" t="str">
        <x:f>IF(Mechanisms!U9&lt;='Mission Worlds'!O10,"PASS","FAIL")</x:f>
        <x:v>FAIL</x:v>
      </x:c>
      <x:c r="R26" s="30" t="str">
        <x:f>IF(Mechanisms!V9&gt;='Mission Worlds'!P10,"PASS","FAIL")</x:f>
        <x:v>PASS</x:v>
      </x:c>
      <x:c r="S26" s="30" t="str">
        <x:f>IF(COUNTIF(E26:R26,"FAIL")=0,"PASS","FAIL")</x:f>
        <x:v>FAIL</x:v>
      </x:c>
      <x:c r="T26" s="30" t="str">
        <x:f>IF(AND(S26="PASS",Mechanisms!AB9=1),"PASS","FAIL")</x:f>
        <x:v>FAIL</x:v>
      </x:c>
      <x:c r="U26" s="30" t="str">
        <x:f>IF(AND(T26="PASS",'Mission Worlds'!Q10=0),"PASS","FAIL")</x:f>
        <x:v>FAIL</x:v>
      </x:c>
      <x:c r="V26" s="32" t="str">
        <x:f>'Mission Worlds'!R10</x:f>
        <x:v>all legacy surface paths lost</x:v>
      </x:c>
    </x:row>
    <x:row r="27">
      <x:c r="B27" s="30" t="str">
        <x:v>M2</x:v>
      </x:c>
      <x:c r="C27" s="30" t="str">
        <x:v>W05</x:v>
      </x:c>
      <x:c r="D27" s="50" t="n">
        <x:f>Mechanisms!AD9</x:f>
        <x:v>1</x:v>
      </x:c>
      <x:c r="E27" s="30" t="str">
        <x:f>'Payload Closure'!N8</x:f>
        <x:v>PASS</x:v>
      </x:c>
      <x:c r="F27" s="30" t="str">
        <x:f>IF(Mechanisms!J9&gt;='Mission Worlds'!D11,"PASS","FAIL")</x:f>
        <x:v>PASS</x:v>
      </x:c>
      <x:c r="G27" s="30" t="str">
        <x:f>IF(OR('Mission Worlds'!E11=0,Mechanisms!K9=1),"PASS","FAIL")</x:f>
        <x:v>PASS</x:v>
      </x:c>
      <x:c r="H27" s="30" t="str">
        <x:f>IF(OR('Mission Worlds'!F11=0,Mechanisms!L9=0),"PASS","FAIL")</x:f>
        <x:v>FAIL</x:v>
      </x:c>
      <x:c r="I27" s="30" t="str">
        <x:f>IF(OR('Mission Worlds'!G11=0,Mechanisms!M9=0),"PASS","FAIL")</x:f>
        <x:v>PASS</x:v>
      </x:c>
      <x:c r="J27" s="30" t="str">
        <x:f>IF(Mechanisms!N9&gt;='Mission Worlds'!H11,"PASS","FAIL")</x:f>
        <x:v>FAIL</x:v>
      </x:c>
      <x:c r="K27" s="30" t="str">
        <x:f>IF(Mechanisms!O9&gt;='Mission Worlds'!I11,"PASS","FAIL")</x:f>
        <x:v>PASS</x:v>
      </x:c>
      <x:c r="L27" s="30" t="str">
        <x:f>IF(Mechanisms!P9&lt;='Mission Worlds'!J11,"PASS","FAIL")</x:f>
        <x:v>FAIL</x:v>
      </x:c>
      <x:c r="M27" s="30" t="str">
        <x:f>IF(OR('Mission Worlds'!K11=0,Mechanisms!Q9=1),"PASS","FAIL")</x:f>
        <x:v>PASS</x:v>
      </x:c>
      <x:c r="N27" s="30" t="str">
        <x:f>IF(OR('Mission Worlds'!L11=0,Mechanisms!R9=0),"PASS","FAIL")</x:f>
        <x:v>PASS</x:v>
      </x:c>
      <x:c r="O27" s="30" t="str">
        <x:f>IF(OR('Mission Worlds'!M11=0,Mechanisms!S9=0),"PASS","FAIL")</x:f>
        <x:v>PASS</x:v>
      </x:c>
      <x:c r="P27" s="30" t="str">
        <x:f>IF(OR('Mission Worlds'!N11=0,Mechanisms!T9=1),"PASS","FAIL")</x:f>
        <x:v>PASS</x:v>
      </x:c>
      <x:c r="Q27" s="30" t="str">
        <x:f>IF(Mechanisms!U9&lt;='Mission Worlds'!O11,"PASS","FAIL")</x:f>
        <x:v>FAIL</x:v>
      </x:c>
      <x:c r="R27" s="30" t="str">
        <x:f>IF(Mechanisms!V9&gt;='Mission Worlds'!P11,"PASS","FAIL")</x:f>
        <x:v>PASS</x:v>
      </x:c>
      <x:c r="S27" s="30" t="str">
        <x:f>IF(COUNTIF(E27:R27,"FAIL")=0,"PASS","FAIL")</x:f>
        <x:v>FAIL</x:v>
      </x:c>
      <x:c r="T27" s="30" t="str">
        <x:f>IF(AND(S27="PASS",Mechanisms!AB9=1),"PASS","FAIL")</x:f>
        <x:v>FAIL</x:v>
      </x:c>
      <x:c r="U27" s="30" t="str">
        <x:f>IF(AND(T27="PASS",'Mission Worlds'!Q11=0),"PASS","FAIL")</x:f>
        <x:v>FAIL</x:v>
      </x:c>
      <x:c r="V27" s="32" t="str">
        <x:f>'Mission Worlds'!R11</x:f>
        <x:v>steep receiving terrain</x:v>
      </x:c>
    </x:row>
    <x:row r="28">
      <x:c r="B28" s="30" t="str">
        <x:v>M2</x:v>
      </x:c>
      <x:c r="C28" s="30" t="str">
        <x:v>W06</x:v>
      </x:c>
      <x:c r="D28" s="50" t="n">
        <x:f>Mechanisms!AD9</x:f>
        <x:v>1</x:v>
      </x:c>
      <x:c r="E28" s="30" t="str">
        <x:f>'Payload Closure'!N8</x:f>
        <x:v>PASS</x:v>
      </x:c>
      <x:c r="F28" s="30" t="str">
        <x:f>IF(Mechanisms!J9&gt;='Mission Worlds'!D12,"PASS","FAIL")</x:f>
        <x:v>PASS</x:v>
      </x:c>
      <x:c r="G28" s="30" t="str">
        <x:f>IF(OR('Mission Worlds'!E12=0,Mechanisms!K9=1),"PASS","FAIL")</x:f>
        <x:v>PASS</x:v>
      </x:c>
      <x:c r="H28" s="30" t="str">
        <x:f>IF(OR('Mission Worlds'!F12=0,Mechanisms!L9=0),"PASS","FAIL")</x:f>
        <x:v>FAIL</x:v>
      </x:c>
      <x:c r="I28" s="30" t="str">
        <x:f>IF(OR('Mission Worlds'!G12=0,Mechanisms!M9=0),"PASS","FAIL")</x:f>
        <x:v>PASS</x:v>
      </x:c>
      <x:c r="J28" s="30" t="str">
        <x:f>IF(Mechanisms!N9&gt;='Mission Worlds'!H12,"PASS","FAIL")</x:f>
        <x:v>PASS</x:v>
      </x:c>
      <x:c r="K28" s="30" t="str">
        <x:f>IF(Mechanisms!O9&gt;='Mission Worlds'!I12,"PASS","FAIL")</x:f>
        <x:v>FAIL</x:v>
      </x:c>
      <x:c r="L28" s="30" t="str">
        <x:f>IF(Mechanisms!P9&lt;='Mission Worlds'!J12,"PASS","FAIL")</x:f>
        <x:v>PASS</x:v>
      </x:c>
      <x:c r="M28" s="30" t="str">
        <x:f>IF(OR('Mission Worlds'!K12=0,Mechanisms!Q9=1),"PASS","FAIL")</x:f>
        <x:v>PASS</x:v>
      </x:c>
      <x:c r="N28" s="30" t="str">
        <x:f>IF(OR('Mission Worlds'!L12=0,Mechanisms!R9=0),"PASS","FAIL")</x:f>
        <x:v>PASS</x:v>
      </x:c>
      <x:c r="O28" s="30" t="str">
        <x:f>IF(OR('Mission Worlds'!M12=0,Mechanisms!S9=0),"PASS","FAIL")</x:f>
        <x:v>PASS</x:v>
      </x:c>
      <x:c r="P28" s="30" t="str">
        <x:f>IF(OR('Mission Worlds'!N12=0,Mechanisms!T9=1),"PASS","FAIL")</x:f>
        <x:v>PASS</x:v>
      </x:c>
      <x:c r="Q28" s="30" t="str">
        <x:f>IF(Mechanisms!U9&lt;='Mission Worlds'!O12,"PASS","FAIL")</x:f>
        <x:v>PASS</x:v>
      </x:c>
      <x:c r="R28" s="30" t="str">
        <x:f>IF(Mechanisms!V9&gt;='Mission Worlds'!P12,"PASS","FAIL")</x:f>
        <x:v>PASS</x:v>
      </x:c>
      <x:c r="S28" s="30" t="str">
        <x:f>IF(COUNTIF(E28:R28,"FAIL")=0,"PASS","FAIL")</x:f>
        <x:v>FAIL</x:v>
      </x:c>
      <x:c r="T28" s="30" t="str">
        <x:f>IF(AND(S28="PASS",Mechanisms!AB9=1),"PASS","FAIL")</x:f>
        <x:v>FAIL</x:v>
      </x:c>
      <x:c r="U28" s="30" t="str">
        <x:f>IF(AND(T28="PASS",'Mission Worlds'!Q12=0),"PASS","FAIL")</x:f>
        <x:v>FAIL</x:v>
      </x:c>
      <x:c r="V28" s="32" t="str">
        <x:f>'Mission Worlds'!R12</x:f>
        <x:v>high ambient and no local feed</x:v>
      </x:c>
    </x:row>
    <x:row r="29">
      <x:c r="B29" s="30" t="str">
        <x:v>M2</x:v>
      </x:c>
      <x:c r="C29" s="30" t="str">
        <x:v>W07</x:v>
      </x:c>
      <x:c r="D29" s="50" t="n">
        <x:f>Mechanisms!AD9</x:f>
        <x:v>1</x:v>
      </x:c>
      <x:c r="E29" s="30" t="str">
        <x:f>'Payload Closure'!N8</x:f>
        <x:v>PASS</x:v>
      </x:c>
      <x:c r="F29" s="30" t="str">
        <x:f>IF(Mechanisms!J9&gt;='Mission Worlds'!D13,"PASS","FAIL")</x:f>
        <x:v>PASS</x:v>
      </x:c>
      <x:c r="G29" s="30" t="str">
        <x:f>IF(OR('Mission Worlds'!E13=0,Mechanisms!K9=1),"PASS","FAIL")</x:f>
        <x:v>PASS</x:v>
      </x:c>
      <x:c r="H29" s="30" t="str">
        <x:f>IF(OR('Mission Worlds'!F13=0,Mechanisms!L9=0),"PASS","FAIL")</x:f>
        <x:v>FAIL</x:v>
      </x:c>
      <x:c r="I29" s="30" t="str">
        <x:f>IF(OR('Mission Worlds'!G13=0,Mechanisms!M9=0),"PASS","FAIL")</x:f>
        <x:v>PASS</x:v>
      </x:c>
      <x:c r="J29" s="30" t="str">
        <x:f>IF(Mechanisms!N9&gt;='Mission Worlds'!H13,"PASS","FAIL")</x:f>
        <x:v>PASS</x:v>
      </x:c>
      <x:c r="K29" s="30" t="str">
        <x:f>IF(Mechanisms!O9&gt;='Mission Worlds'!I13,"PASS","FAIL")</x:f>
        <x:v>FAIL</x:v>
      </x:c>
      <x:c r="L29" s="30" t="str">
        <x:f>IF(Mechanisms!P9&lt;='Mission Worlds'!J13,"PASS","FAIL")</x:f>
        <x:v>FAIL</x:v>
      </x:c>
      <x:c r="M29" s="30" t="str">
        <x:f>IF(OR('Mission Worlds'!K13=0,Mechanisms!Q9=1),"PASS","FAIL")</x:f>
        <x:v>PASS</x:v>
      </x:c>
      <x:c r="N29" s="30" t="str">
        <x:f>IF(OR('Mission Worlds'!L13=0,Mechanisms!R9=0),"PASS","FAIL")</x:f>
        <x:v>PASS</x:v>
      </x:c>
      <x:c r="O29" s="30" t="str">
        <x:f>IF(OR('Mission Worlds'!M13=0,Mechanisms!S9=0),"PASS","FAIL")</x:f>
        <x:v>PASS</x:v>
      </x:c>
      <x:c r="P29" s="30" t="str">
        <x:f>IF(OR('Mission Worlds'!N13=0,Mechanisms!T9=1),"PASS","FAIL")</x:f>
        <x:v>PASS</x:v>
      </x:c>
      <x:c r="Q29" s="30" t="str">
        <x:f>IF(Mechanisms!U9&lt;='Mission Worlds'!O13,"PASS","FAIL")</x:f>
        <x:v>FAIL</x:v>
      </x:c>
      <x:c r="R29" s="30" t="str">
        <x:f>IF(Mechanisms!V9&gt;='Mission Worlds'!P13,"PASS","FAIL")</x:f>
        <x:v>PASS</x:v>
      </x:c>
      <x:c r="S29" s="30" t="str">
        <x:f>IF(COUNTIF(E29:R29,"FAIL")=0,"PASS","FAIL")</x:f>
        <x:v>FAIL</x:v>
      </x:c>
      <x:c r="T29" s="30" t="str">
        <x:f>IF(AND(S29="PASS",Mechanisms!AB9=1),"PASS","FAIL")</x:f>
        <x:v>FAIL</x:v>
      </x:c>
      <x:c r="U29" s="30" t="str">
        <x:f>IF(AND(T29="PASS",'Mission Worlds'!Q13=0),"PASS","FAIL")</x:f>
        <x:v>FAIL</x:v>
      </x:c>
      <x:c r="V29" s="32" t="str">
        <x:f>'Mission Worlds'!R13</x:f>
        <x:v>surface-water approach denied</x:v>
      </x:c>
    </x:row>
    <x:row r="30">
      <x:c r="B30" s="30" t="str">
        <x:v>M2</x:v>
      </x:c>
      <x:c r="C30" s="30" t="str">
        <x:v>W08</x:v>
      </x:c>
      <x:c r="D30" s="50" t="n">
        <x:f>Mechanisms!AD9</x:f>
        <x:v>1</x:v>
      </x:c>
      <x:c r="E30" s="30" t="str">
        <x:f>'Payload Closure'!N8</x:f>
        <x:v>PASS</x:v>
      </x:c>
      <x:c r="F30" s="30" t="str">
        <x:f>IF(Mechanisms!J9&gt;='Mission Worlds'!D14,"PASS","FAIL")</x:f>
        <x:v>PASS</x:v>
      </x:c>
      <x:c r="G30" s="30" t="str">
        <x:f>IF(OR('Mission Worlds'!E14=0,Mechanisms!K9=1),"PASS","FAIL")</x:f>
        <x:v>PASS</x:v>
      </x:c>
      <x:c r="H30" s="30" t="str">
        <x:f>IF(OR('Mission Worlds'!F14=0,Mechanisms!L9=0),"PASS","FAIL")</x:f>
        <x:v>FAIL</x:v>
      </x:c>
      <x:c r="I30" s="30" t="str">
        <x:f>IF(OR('Mission Worlds'!G14=0,Mechanisms!M9=0),"PASS","FAIL")</x:f>
        <x:v>PASS</x:v>
      </x:c>
      <x:c r="J30" s="30" t="str">
        <x:f>IF(Mechanisms!N9&gt;='Mission Worlds'!H14,"PASS","FAIL")</x:f>
        <x:v>FAIL</x:v>
      </x:c>
      <x:c r="K30" s="30" t="str">
        <x:f>IF(Mechanisms!O9&gt;='Mission Worlds'!I14,"PASS","FAIL")</x:f>
        <x:v>FAIL</x:v>
      </x:c>
      <x:c r="L30" s="30" t="str">
        <x:f>IF(Mechanisms!P9&lt;='Mission Worlds'!J14,"PASS","FAIL")</x:f>
        <x:v>FAIL</x:v>
      </x:c>
      <x:c r="M30" s="30" t="str">
        <x:f>IF(OR('Mission Worlds'!K14=0,Mechanisms!Q9=1),"PASS","FAIL")</x:f>
        <x:v>PASS</x:v>
      </x:c>
      <x:c r="N30" s="30" t="str">
        <x:f>IF(OR('Mission Worlds'!L14=0,Mechanisms!R9=0),"PASS","FAIL")</x:f>
        <x:v>PASS</x:v>
      </x:c>
      <x:c r="O30" s="30" t="str">
        <x:f>IF(OR('Mission Worlds'!M14=0,Mechanisms!S9=0),"PASS","FAIL")</x:f>
        <x:v>PASS</x:v>
      </x:c>
      <x:c r="P30" s="30" t="str">
        <x:f>IF(OR('Mission Worlds'!N14=0,Mechanisms!T9=1),"PASS","FAIL")</x:f>
        <x:v>PASS</x:v>
      </x:c>
      <x:c r="Q30" s="30" t="str">
        <x:f>IF(Mechanisms!U9&lt;='Mission Worlds'!O14,"PASS","FAIL")</x:f>
        <x:v>PASS</x:v>
      </x:c>
      <x:c r="R30" s="30" t="str">
        <x:f>IF(Mechanisms!V9&gt;='Mission Worlds'!P14,"PASS","FAIL")</x:f>
        <x:v>PASS</x:v>
      </x:c>
      <x:c r="S30" s="30" t="str">
        <x:f>IF(COUNTIF(E30:R30,"FAIL")=0,"PASS","FAIL")</x:f>
        <x:v>FAIL</x:v>
      </x:c>
      <x:c r="T30" s="30" t="str">
        <x:f>IF(AND(S30="PASS",Mechanisms!AB9=1),"PASS","FAIL")</x:f>
        <x:v>FAIL</x:v>
      </x:c>
      <x:c r="U30" s="30" t="str">
        <x:f>IF(AND(T30="PASS",'Mission Worlds'!Q14=0),"PASS","FAIL")</x:f>
        <x:v>FAIL</x:v>
      </x:c>
      <x:c r="V30" s="32" t="str">
        <x:f>'Mission Worlds'!R14</x:f>
        <x:v>long range and austere receiver</x:v>
      </x:c>
    </x:row>
    <x:row r="31">
      <x:c r="B31" s="30" t="str">
        <x:v>M2</x:v>
      </x:c>
      <x:c r="C31" s="30" t="str">
        <x:v>W09</x:v>
      </x:c>
      <x:c r="D31" s="50" t="n">
        <x:f>Mechanisms!AD9</x:f>
        <x:v>1</x:v>
      </x:c>
      <x:c r="E31" s="30" t="str">
        <x:f>'Payload Closure'!N8</x:f>
        <x:v>PASS</x:v>
      </x:c>
      <x:c r="F31" s="30" t="str">
        <x:f>IF(Mechanisms!J9&gt;='Mission Worlds'!D15,"PASS","FAIL")</x:f>
        <x:v>PASS</x:v>
      </x:c>
      <x:c r="G31" s="30" t="str">
        <x:f>IF(OR('Mission Worlds'!E15=0,Mechanisms!K9=1),"PASS","FAIL")</x:f>
        <x:v>PASS</x:v>
      </x:c>
      <x:c r="H31" s="30" t="str">
        <x:f>IF(OR('Mission Worlds'!F15=0,Mechanisms!L9=0),"PASS","FAIL")</x:f>
        <x:v>FAIL</x:v>
      </x:c>
      <x:c r="I31" s="30" t="str">
        <x:f>IF(OR('Mission Worlds'!G15=0,Mechanisms!M9=0),"PASS","FAIL")</x:f>
        <x:v>PASS</x:v>
      </x:c>
      <x:c r="J31" s="30" t="str">
        <x:f>IF(Mechanisms!N9&gt;='Mission Worlds'!H15,"PASS","FAIL")</x:f>
        <x:v>FAIL</x:v>
      </x:c>
      <x:c r="K31" s="30" t="str">
        <x:f>IF(Mechanisms!O9&gt;='Mission Worlds'!I15,"PASS","FAIL")</x:f>
        <x:v>FAIL</x:v>
      </x:c>
      <x:c r="L31" s="30" t="str">
        <x:f>IF(Mechanisms!P9&lt;='Mission Worlds'!J15,"PASS","FAIL")</x:f>
        <x:v>FAIL</x:v>
      </x:c>
      <x:c r="M31" s="30" t="str">
        <x:f>IF(OR('Mission Worlds'!K15=0,Mechanisms!Q9=1),"PASS","FAIL")</x:f>
        <x:v>FAIL</x:v>
      </x:c>
      <x:c r="N31" s="30" t="str">
        <x:f>IF(OR('Mission Worlds'!L15=0,Mechanisms!R9=0),"PASS","FAIL")</x:f>
        <x:v>PASS</x:v>
      </x:c>
      <x:c r="O31" s="30" t="str">
        <x:f>IF(OR('Mission Worlds'!M15=0,Mechanisms!S9=0),"PASS","FAIL")</x:f>
        <x:v>PASS</x:v>
      </x:c>
      <x:c r="P31" s="30" t="str">
        <x:f>IF(OR('Mission Worlds'!N15=0,Mechanisms!T9=1),"PASS","FAIL")</x:f>
        <x:v>PASS</x:v>
      </x:c>
      <x:c r="Q31" s="30" t="str">
        <x:f>IF(Mechanisms!U9&lt;='Mission Worlds'!O15,"PASS","FAIL")</x:f>
        <x:v>FAIL</x:v>
      </x:c>
      <x:c r="R31" s="30" t="str">
        <x:f>IF(Mechanisms!V9&gt;='Mission Worlds'!P15,"PASS","FAIL")</x:f>
        <x:v>PASS</x:v>
      </x:c>
      <x:c r="S31" s="30" t="str">
        <x:f>IF(COUNTIF(E31:R31,"FAIL")=0,"PASS","FAIL")</x:f>
        <x:v>FAIL</x:v>
      </x:c>
      <x:c r="T31" s="30" t="str">
        <x:f>IF(AND(S31="PASS",Mechanisms!AB9=1),"PASS","FAIL")</x:f>
        <x:v>FAIL</x:v>
      </x:c>
      <x:c r="U31" s="30" t="str">
        <x:f>IF(AND(T31="PASS",'Mission Worlds'!Q15=0),"PASS","FAIL")</x:f>
        <x:v>FAIL</x:v>
      </x:c>
      <x:c r="V31" s="32" t="str">
        <x:f>'Mission Worlds'!R15</x:f>
        <x:v>smoke operations required</x:v>
      </x:c>
    </x:row>
    <x:row r="32">
      <x:c r="B32" s="30" t="str">
        <x:v>M2</x:v>
      </x:c>
      <x:c r="C32" s="30" t="str">
        <x:v>W10</x:v>
      </x:c>
      <x:c r="D32" s="50" t="n">
        <x:f>Mechanisms!AD9</x:f>
        <x:v>1</x:v>
      </x:c>
      <x:c r="E32" s="30" t="str">
        <x:f>'Payload Closure'!N8</x:f>
        <x:v>PASS</x:v>
      </x:c>
      <x:c r="F32" s="30" t="str">
        <x:f>IF(Mechanisms!J9&gt;='Mission Worlds'!D16,"PASS","FAIL")</x:f>
        <x:v>PASS</x:v>
      </x:c>
      <x:c r="G32" s="30" t="str">
        <x:f>IF(OR('Mission Worlds'!E16=0,Mechanisms!K9=1),"PASS","FAIL")</x:f>
        <x:v>PASS</x:v>
      </x:c>
      <x:c r="H32" s="30" t="str">
        <x:f>IF(OR('Mission Worlds'!F16=0,Mechanisms!L9=0),"PASS","FAIL")</x:f>
        <x:v>FAIL</x:v>
      </x:c>
      <x:c r="I32" s="30" t="str">
        <x:f>IF(OR('Mission Worlds'!G16=0,Mechanisms!M9=0),"PASS","FAIL")</x:f>
        <x:v>PASS</x:v>
      </x:c>
      <x:c r="J32" s="30" t="str">
        <x:f>IF(Mechanisms!N9&gt;='Mission Worlds'!H16,"PASS","FAIL")</x:f>
        <x:v>FAIL</x:v>
      </x:c>
      <x:c r="K32" s="30" t="str">
        <x:f>IF(Mechanisms!O9&gt;='Mission Worlds'!I16,"PASS","FAIL")</x:f>
        <x:v>PASS</x:v>
      </x:c>
      <x:c r="L32" s="30" t="str">
        <x:f>IF(Mechanisms!P9&lt;='Mission Worlds'!J16,"PASS","FAIL")</x:f>
        <x:v>FAIL</x:v>
      </x:c>
      <x:c r="M32" s="30" t="str">
        <x:f>IF(OR('Mission Worlds'!K16=0,Mechanisms!Q9=1),"PASS","FAIL")</x:f>
        <x:v>PASS</x:v>
      </x:c>
      <x:c r="N32" s="30" t="str">
        <x:f>IF(OR('Mission Worlds'!L16=0,Mechanisms!R9=0),"PASS","FAIL")</x:f>
        <x:v>PASS</x:v>
      </x:c>
      <x:c r="O32" s="30" t="str">
        <x:f>IF(OR('Mission Worlds'!M16=0,Mechanisms!S9=0),"PASS","FAIL")</x:f>
        <x:v>PASS</x:v>
      </x:c>
      <x:c r="P32" s="30" t="str">
        <x:f>IF(OR('Mission Worlds'!N16=0,Mechanisms!T9=1),"PASS","FAIL")</x:f>
        <x:v>PASS</x:v>
      </x:c>
      <x:c r="Q32" s="30" t="str">
        <x:f>IF(Mechanisms!U9&lt;='Mission Worlds'!O16,"PASS","FAIL")</x:f>
        <x:v>FAIL</x:v>
      </x:c>
      <x:c r="R32" s="30" t="str">
        <x:f>IF(Mechanisms!V9&gt;='Mission Worlds'!P16,"PASS","FAIL")</x:f>
        <x:v>PASS</x:v>
      </x:c>
      <x:c r="S32" s="30" t="str">
        <x:f>IF(COUNTIF(E32:R32,"FAIL")=0,"PASS","FAIL")</x:f>
        <x:v>FAIL</x:v>
      </x:c>
      <x:c r="T32" s="30" t="str">
        <x:f>IF(AND(S32="PASS",Mechanisms!AB9=1),"PASS","FAIL")</x:f>
        <x:v>FAIL</x:v>
      </x:c>
      <x:c r="U32" s="30" t="str">
        <x:f>IF(AND(T32="PASS",'Mission Worlds'!Q16=0),"PASS","FAIL")</x:f>
        <x:v>FAIL</x:v>
      </x:c>
      <x:c r="V32" s="32" t="str">
        <x:f>'Mission Worlds'!R16</x:f>
        <x:v>small safe footprint</x:v>
      </x:c>
    </x:row>
    <x:row r="33">
      <x:c r="B33" s="30" t="str">
        <x:v>M2</x:v>
      </x:c>
      <x:c r="C33" s="30" t="str">
        <x:v>W11</x:v>
      </x:c>
      <x:c r="D33" s="50" t="n">
        <x:f>Mechanisms!AD9</x:f>
        <x:v>1</x:v>
      </x:c>
      <x:c r="E33" s="30" t="str">
        <x:f>'Payload Closure'!N8</x:f>
        <x:v>PASS</x:v>
      </x:c>
      <x:c r="F33" s="30" t="str">
        <x:f>IF(Mechanisms!J9&gt;='Mission Worlds'!D17,"PASS","FAIL")</x:f>
        <x:v>PASS</x:v>
      </x:c>
      <x:c r="G33" s="30" t="str">
        <x:f>IF(OR('Mission Worlds'!E17=0,Mechanisms!K9=1),"PASS","FAIL")</x:f>
        <x:v>PASS</x:v>
      </x:c>
      <x:c r="H33" s="30" t="str">
        <x:f>IF(OR('Mission Worlds'!F17=0,Mechanisms!L9=0),"PASS","FAIL")</x:f>
        <x:v>FAIL</x:v>
      </x:c>
      <x:c r="I33" s="30" t="str">
        <x:f>IF(OR('Mission Worlds'!G17=0,Mechanisms!M9=0),"PASS","FAIL")</x:f>
        <x:v>PASS</x:v>
      </x:c>
      <x:c r="J33" s="30" t="str">
        <x:f>IF(Mechanisms!N9&gt;='Mission Worlds'!H17,"PASS","FAIL")</x:f>
        <x:v>PASS</x:v>
      </x:c>
      <x:c r="K33" s="30" t="str">
        <x:f>IF(Mechanisms!O9&gt;='Mission Worlds'!I17,"PASS","FAIL")</x:f>
        <x:v>FAIL</x:v>
      </x:c>
      <x:c r="L33" s="30" t="str">
        <x:f>IF(Mechanisms!P9&lt;='Mission Worlds'!J17,"PASS","FAIL")</x:f>
        <x:v>FAIL</x:v>
      </x:c>
      <x:c r="M33" s="30" t="str">
        <x:f>IF(OR('Mission Worlds'!K17=0,Mechanisms!Q9=1),"PASS","FAIL")</x:f>
        <x:v>PASS</x:v>
      </x:c>
      <x:c r="N33" s="30" t="str">
        <x:f>IF(OR('Mission Worlds'!L17=0,Mechanisms!R9=0),"PASS","FAIL")</x:f>
        <x:v>PASS</x:v>
      </x:c>
      <x:c r="O33" s="30" t="str">
        <x:f>IF(OR('Mission Worlds'!M17=0,Mechanisms!S9=0),"PASS","FAIL")</x:f>
        <x:v>PASS</x:v>
      </x:c>
      <x:c r="P33" s="30" t="str">
        <x:f>IF(OR('Mission Worlds'!N17=0,Mechanisms!T9=1),"PASS","FAIL")</x:f>
        <x:v>PASS</x:v>
      </x:c>
      <x:c r="Q33" s="30" t="str">
        <x:f>IF(Mechanisms!U9&lt;='Mission Worlds'!O17,"PASS","FAIL")</x:f>
        <x:v>FAIL</x:v>
      </x:c>
      <x:c r="R33" s="30" t="str">
        <x:f>IF(Mechanisms!V9&gt;='Mission Worlds'!P17,"PASS","FAIL")</x:f>
        <x:v>PASS</x:v>
      </x:c>
      <x:c r="S33" s="30" t="str">
        <x:f>IF(COUNTIF(E33:R33,"FAIL")=0,"PASS","FAIL")</x:f>
        <x:v>FAIL</x:v>
      </x:c>
      <x:c r="T33" s="30" t="str">
        <x:f>IF(AND(S33="PASS",Mechanisms!AB9=1),"PASS","FAIL")</x:f>
        <x:v>FAIL</x:v>
      </x:c>
      <x:c r="U33" s="30" t="str">
        <x:f>IF(AND(T33="PASS",'Mission Worlds'!Q17=0),"PASS","FAIL")</x:f>
        <x:v>FAIL</x:v>
      </x:c>
      <x:c r="V33" s="32" t="str">
        <x:f>'Mission Worlds'!R17</x:f>
        <x:v>high-wind launch and receipt</x:v>
      </x:c>
    </x:row>
    <x:row r="34">
      <x:c r="B34" s="30" t="str">
        <x:v>M2</x:v>
      </x:c>
      <x:c r="C34" s="30" t="str">
        <x:v>W12</x:v>
      </x:c>
      <x:c r="D34" s="50" t="n">
        <x:f>Mechanisms!AD9</x:f>
        <x:v>1</x:v>
      </x:c>
      <x:c r="E34" s="30" t="str">
        <x:f>'Payload Closure'!N8</x:f>
        <x:v>PASS</x:v>
      </x:c>
      <x:c r="F34" s="30" t="str">
        <x:f>IF(Mechanisms!J9&gt;='Mission Worlds'!D18,"PASS","FAIL")</x:f>
        <x:v>FAIL</x:v>
      </x:c>
      <x:c r="G34" s="30" t="str">
        <x:f>IF(OR('Mission Worlds'!E18=0,Mechanisms!K9=1),"PASS","FAIL")</x:f>
        <x:v>PASS</x:v>
      </x:c>
      <x:c r="H34" s="30" t="str">
        <x:f>IF(OR('Mission Worlds'!F18=0,Mechanisms!L9=0),"PASS","FAIL")</x:f>
        <x:v>FAIL</x:v>
      </x:c>
      <x:c r="I34" s="30" t="str">
        <x:f>IF(OR('Mission Worlds'!G18=0,Mechanisms!M9=0),"PASS","FAIL")</x:f>
        <x:v>PASS</x:v>
      </x:c>
      <x:c r="J34" s="30" t="str">
        <x:f>IF(Mechanisms!N9&gt;='Mission Worlds'!H18,"PASS","FAIL")</x:f>
        <x:v>FAIL</x:v>
      </x:c>
      <x:c r="K34" s="30" t="str">
        <x:f>IF(Mechanisms!O9&gt;='Mission Worlds'!I18,"PASS","FAIL")</x:f>
        <x:v>PASS</x:v>
      </x:c>
      <x:c r="L34" s="30" t="str">
        <x:f>IF(Mechanisms!P9&lt;='Mission Worlds'!J18,"PASS","FAIL")</x:f>
        <x:v>FAIL</x:v>
      </x:c>
      <x:c r="M34" s="30" t="str">
        <x:f>IF(OR('Mission Worlds'!K18=0,Mechanisms!Q9=1),"PASS","FAIL")</x:f>
        <x:v>PASS</x:v>
      </x:c>
      <x:c r="N34" s="30" t="str">
        <x:f>IF(OR('Mission Worlds'!L18=0,Mechanisms!R9=0),"PASS","FAIL")</x:f>
        <x:v>PASS</x:v>
      </x:c>
      <x:c r="O34" s="30" t="str">
        <x:f>IF(OR('Mission Worlds'!M18=0,Mechanisms!S9=0),"PASS","FAIL")</x:f>
        <x:v>PASS</x:v>
      </x:c>
      <x:c r="P34" s="30" t="str">
        <x:f>IF(OR('Mission Worlds'!N18=0,Mechanisms!T9=1),"PASS","FAIL")</x:f>
        <x:v>PASS</x:v>
      </x:c>
      <x:c r="Q34" s="30" t="str">
        <x:f>IF(Mechanisms!U9&lt;='Mission Worlds'!O18,"PASS","FAIL")</x:f>
        <x:v>PASS</x:v>
      </x:c>
      <x:c r="R34" s="30" t="str">
        <x:f>IF(Mechanisms!V9&gt;='Mission Worlds'!P18,"PASS","FAIL")</x:f>
        <x:v>PASS</x:v>
      </x:c>
      <x:c r="S34" s="30" t="str">
        <x:f>IF(COUNTIF(E34:R34,"FAIL")=0,"PASS","FAIL")</x:f>
        <x:v>FAIL</x:v>
      </x:c>
      <x:c r="T34" s="30" t="str">
        <x:f>IF(AND(S34="PASS",Mechanisms!AB9=1),"PASS","FAIL")</x:f>
        <x:v>FAIL</x:v>
      </x:c>
      <x:c r="U34" s="30" t="str">
        <x:f>IF(AND(T34="PASS",'Mission Worlds'!Q18=0),"PASS","FAIL")</x:f>
        <x:v>FAIL</x:v>
      </x:c>
      <x:c r="V34" s="32" t="str">
        <x:f>'Mission Worlds'!R18</x:f>
        <x:v>long range and offline command</x:v>
      </x:c>
    </x:row>
    <x:row r="35">
      <x:c r="B35" s="30" t="str">
        <x:v>M2</x:v>
      </x:c>
      <x:c r="C35" s="30" t="str">
        <x:v>W13</x:v>
      </x:c>
      <x:c r="D35" s="50" t="n">
        <x:f>Mechanisms!AD9</x:f>
        <x:v>1</x:v>
      </x:c>
      <x:c r="E35" s="30" t="str">
        <x:f>'Payload Closure'!N8</x:f>
        <x:v>PASS</x:v>
      </x:c>
      <x:c r="F35" s="30" t="str">
        <x:f>IF(Mechanisms!J9&gt;='Mission Worlds'!D19,"PASS","FAIL")</x:f>
        <x:v>PASS</x:v>
      </x:c>
      <x:c r="G35" s="30" t="str">
        <x:f>IF(OR('Mission Worlds'!E19=0,Mechanisms!K9=1),"PASS","FAIL")</x:f>
        <x:v>PASS</x:v>
      </x:c>
      <x:c r="H35" s="30" t="str">
        <x:f>IF(OR('Mission Worlds'!F19=0,Mechanisms!L9=0),"PASS","FAIL")</x:f>
        <x:v>FAIL</x:v>
      </x:c>
      <x:c r="I35" s="30" t="str">
        <x:f>IF(OR('Mission Worlds'!G19=0,Mechanisms!M9=0),"PASS","FAIL")</x:f>
        <x:v>PASS</x:v>
      </x:c>
      <x:c r="J35" s="30" t="str">
        <x:f>IF(Mechanisms!N9&gt;='Mission Worlds'!H19,"PASS","FAIL")</x:f>
        <x:v>FAIL</x:v>
      </x:c>
      <x:c r="K35" s="30" t="str">
        <x:f>IF(Mechanisms!O9&gt;='Mission Worlds'!I19,"PASS","FAIL")</x:f>
        <x:v>FAIL</x:v>
      </x:c>
      <x:c r="L35" s="30" t="str">
        <x:f>IF(Mechanisms!P9&lt;='Mission Worlds'!J19,"PASS","FAIL")</x:f>
        <x:v>FAIL</x:v>
      </x:c>
      <x:c r="M35" s="30" t="str">
        <x:f>IF(OR('Mission Worlds'!K19=0,Mechanisms!Q9=1),"PASS","FAIL")</x:f>
        <x:v>PASS</x:v>
      </x:c>
      <x:c r="N35" s="30" t="str">
        <x:f>IF(OR('Mission Worlds'!L19=0,Mechanisms!R9=0),"PASS","FAIL")</x:f>
        <x:v>PASS</x:v>
      </x:c>
      <x:c r="O35" s="30" t="str">
        <x:f>IF(OR('Mission Worlds'!M19=0,Mechanisms!S9=0),"PASS","FAIL")</x:f>
        <x:v>PASS</x:v>
      </x:c>
      <x:c r="P35" s="30" t="str">
        <x:f>IF(OR('Mission Worlds'!N19=0,Mechanisms!T9=1),"PASS","FAIL")</x:f>
        <x:v>PASS</x:v>
      </x:c>
      <x:c r="Q35" s="30" t="str">
        <x:f>IF(Mechanisms!U9&lt;='Mission Worlds'!O19,"PASS","FAIL")</x:f>
        <x:v>FAIL</x:v>
      </x:c>
      <x:c r="R35" s="30" t="str">
        <x:f>IF(Mechanisms!V9&gt;='Mission Worlds'!P19,"PASS","FAIL")</x:f>
        <x:v>PASS</x:v>
      </x:c>
      <x:c r="S35" s="30" t="str">
        <x:f>IF(COUNTIF(E35:R35,"FAIL")=0,"PASS","FAIL")</x:f>
        <x:v>FAIL</x:v>
      </x:c>
      <x:c r="T35" s="30" t="str">
        <x:f>IF(AND(S35="PASS",Mechanisms!AB9=1),"PASS","FAIL")</x:f>
        <x:v>FAIL</x:v>
      </x:c>
      <x:c r="U35" s="30" t="str">
        <x:f>IF(AND(T35="PASS",'Mission Worlds'!Q19=0),"PASS","FAIL")</x:f>
        <x:v>FAIL</x:v>
      </x:c>
      <x:c r="V35" s="32" t="str">
        <x:f>'Mission Worlds'!R19</x:f>
        <x:v>standoff source remains</x:v>
      </x:c>
    </x:row>
    <x:row r="36">
      <x:c r="B36" s="30" t="str">
        <x:v>M2</x:v>
      </x:c>
      <x:c r="C36" s="30" t="str">
        <x:v>W14</x:v>
      </x:c>
      <x:c r="D36" s="50" t="n">
        <x:f>Mechanisms!AD9</x:f>
        <x:v>1</x:v>
      </x:c>
      <x:c r="E36" s="30" t="str">
        <x:f>'Payload Closure'!N8</x:f>
        <x:v>PASS</x:v>
      </x:c>
      <x:c r="F36" s="30" t="str">
        <x:f>IF(Mechanisms!J9&gt;='Mission Worlds'!D20,"PASS","FAIL")</x:f>
        <x:v>PASS</x:v>
      </x:c>
      <x:c r="G36" s="30" t="str">
        <x:f>IF(OR('Mission Worlds'!E20=0,Mechanisms!K9=1),"PASS","FAIL")</x:f>
        <x:v>PASS</x:v>
      </x:c>
      <x:c r="H36" s="30" t="str">
        <x:f>IF(OR('Mission Worlds'!F20=0,Mechanisms!L9=0),"PASS","FAIL")</x:f>
        <x:v>FAIL</x:v>
      </x:c>
      <x:c r="I36" s="30" t="str">
        <x:f>IF(OR('Mission Worlds'!G20=0,Mechanisms!M9=0),"PASS","FAIL")</x:f>
        <x:v>PASS</x:v>
      </x:c>
      <x:c r="J36" s="30" t="str">
        <x:f>IF(Mechanisms!N9&gt;='Mission Worlds'!H20,"PASS","FAIL")</x:f>
        <x:v>FAIL</x:v>
      </x:c>
      <x:c r="K36" s="30" t="str">
        <x:f>IF(Mechanisms!O9&gt;='Mission Worlds'!I20,"PASS","FAIL")</x:f>
        <x:v>FAIL</x:v>
      </x:c>
      <x:c r="L36" s="30" t="str">
        <x:f>IF(Mechanisms!P9&lt;='Mission Worlds'!J20,"PASS","FAIL")</x:f>
        <x:v>FAIL</x:v>
      </x:c>
      <x:c r="M36" s="30" t="str">
        <x:f>IF(OR('Mission Worlds'!K20=0,Mechanisms!Q9=1),"PASS","FAIL")</x:f>
        <x:v>PASS</x:v>
      </x:c>
      <x:c r="N36" s="30" t="str">
        <x:f>IF(OR('Mission Worlds'!L20=0,Mechanisms!R9=0),"PASS","FAIL")</x:f>
        <x:v>PASS</x:v>
      </x:c>
      <x:c r="O36" s="30" t="str">
        <x:f>IF(OR('Mission Worlds'!M20=0,Mechanisms!S9=0),"PASS","FAIL")</x:f>
        <x:v>PASS</x:v>
      </x:c>
      <x:c r="P36" s="30" t="str">
        <x:f>IF(OR('Mission Worlds'!N20=0,Mechanisms!T9=1),"PASS","FAIL")</x:f>
        <x:v>PASS</x:v>
      </x:c>
      <x:c r="Q36" s="30" t="str">
        <x:f>IF(Mechanisms!U9&lt;='Mission Worlds'!O20,"PASS","FAIL")</x:f>
        <x:v>FAIL</x:v>
      </x:c>
      <x:c r="R36" s="30" t="str">
        <x:f>IF(Mechanisms!V9&gt;='Mission Worlds'!P20,"PASS","FAIL")</x:f>
        <x:v>PASS</x:v>
      </x:c>
      <x:c r="S36" s="30" t="str">
        <x:f>IF(COUNTIF(E36:R36,"FAIL")=0,"PASS","FAIL")</x:f>
        <x:v>FAIL</x:v>
      </x:c>
      <x:c r="T36" s="30" t="str">
        <x:f>IF(AND(S36="PASS",Mechanisms!AB9=1),"PASS","FAIL")</x:f>
        <x:v>FAIL</x:v>
      </x:c>
      <x:c r="U36" s="30" t="str">
        <x:f>IF(AND(T36="PASS",'Mission Worlds'!Q20=0),"PASS","FAIL")</x:f>
        <x:v>FAIL</x:v>
      </x:c>
      <x:c r="V36" s="32" t="str">
        <x:f>'Mission Worlds'!R20</x:f>
        <x:v>conversion can substitute for carriage</x:v>
      </x:c>
    </x:row>
    <x:row r="37">
      <x:c r="B37" s="30" t="str">
        <x:v>M2</x:v>
      </x:c>
      <x:c r="C37" s="30" t="str">
        <x:v>W15</x:v>
      </x:c>
      <x:c r="D37" s="50" t="n">
        <x:f>Mechanisms!AD9</x:f>
        <x:v>1</x:v>
      </x:c>
      <x:c r="E37" s="30" t="str">
        <x:f>'Payload Closure'!N8</x:f>
        <x:v>PASS</x:v>
      </x:c>
      <x:c r="F37" s="30" t="str">
        <x:f>IF(Mechanisms!J9&gt;='Mission Worlds'!D21,"PASS","FAIL")</x:f>
        <x:v>PASS</x:v>
      </x:c>
      <x:c r="G37" s="30" t="str">
        <x:f>IF(OR('Mission Worlds'!E21=0,Mechanisms!K9=1),"PASS","FAIL")</x:f>
        <x:v>PASS</x:v>
      </x:c>
      <x:c r="H37" s="30" t="str">
        <x:f>IF(OR('Mission Worlds'!F21=0,Mechanisms!L9=0),"PASS","FAIL")</x:f>
        <x:v>FAIL</x:v>
      </x:c>
      <x:c r="I37" s="30" t="str">
        <x:f>IF(OR('Mission Worlds'!G21=0,Mechanisms!M9=0),"PASS","FAIL")</x:f>
        <x:v>PASS</x:v>
      </x:c>
      <x:c r="J37" s="30" t="str">
        <x:f>IF(Mechanisms!N9&gt;='Mission Worlds'!H21,"PASS","FAIL")</x:f>
        <x:v>FAIL</x:v>
      </x:c>
      <x:c r="K37" s="30" t="str">
        <x:f>IF(Mechanisms!O9&gt;='Mission Worlds'!I21,"PASS","FAIL")</x:f>
        <x:v>FAIL</x:v>
      </x:c>
      <x:c r="L37" s="30" t="str">
        <x:f>IF(Mechanisms!P9&lt;='Mission Worlds'!J21,"PASS","FAIL")</x:f>
        <x:v>FAIL</x:v>
      </x:c>
      <x:c r="M37" s="30" t="str">
        <x:f>IF(OR('Mission Worlds'!K21=0,Mechanisms!Q9=1),"PASS","FAIL")</x:f>
        <x:v>PASS</x:v>
      </x:c>
      <x:c r="N37" s="30" t="str">
        <x:f>IF(OR('Mission Worlds'!L21=0,Mechanisms!R9=0),"PASS","FAIL")</x:f>
        <x:v>PASS</x:v>
      </x:c>
      <x:c r="O37" s="30" t="str">
        <x:f>IF(OR('Mission Worlds'!M21=0,Mechanisms!S9=0),"PASS","FAIL")</x:f>
        <x:v>PASS</x:v>
      </x:c>
      <x:c r="P37" s="30" t="str">
        <x:f>IF(OR('Mission Worlds'!N21=0,Mechanisms!T9=1),"PASS","FAIL")</x:f>
        <x:v>PASS</x:v>
      </x:c>
      <x:c r="Q37" s="30" t="str">
        <x:f>IF(Mechanisms!U9&lt;='Mission Worlds'!O21,"PASS","FAIL")</x:f>
        <x:v>FAIL</x:v>
      </x:c>
      <x:c r="R37" s="30" t="str">
        <x:f>IF(Mechanisms!V9&gt;='Mission Worlds'!P21,"PASS","FAIL")</x:f>
        <x:v>FAIL</x:v>
      </x:c>
      <x:c r="S37" s="30" t="str">
        <x:f>IF(COUNTIF(E37:R37,"FAIL")=0,"PASS","FAIL")</x:f>
        <x:v>FAIL</x:v>
      </x:c>
      <x:c r="T37" s="30" t="str">
        <x:f>IF(AND(S37="PASS",Mechanisms!AB9=1),"PASS","FAIL")</x:f>
        <x:v>FAIL</x:v>
      </x:c>
      <x:c r="U37" s="30" t="str">
        <x:f>IF(AND(T37="PASS",'Mission Worlds'!Q21=0),"PASS","FAIL")</x:f>
        <x:v>FAIL</x:v>
      </x:c>
      <x:c r="V37" s="32" t="str">
        <x:f>'Mission Worlds'!R21</x:f>
        <x:v>one national set cannot double count</x:v>
      </x:c>
    </x:row>
    <x:row r="38">
      <x:c r="B38" s="30" t="str">
        <x:v>M2</x:v>
      </x:c>
      <x:c r="C38" s="30" t="str">
        <x:v>W16</x:v>
      </x:c>
      <x:c r="D38" s="50" t="n">
        <x:f>Mechanisms!AD9</x:f>
        <x:v>1</x:v>
      </x:c>
      <x:c r="E38" s="30" t="str">
        <x:f>'Payload Closure'!N8</x:f>
        <x:v>PASS</x:v>
      </x:c>
      <x:c r="F38" s="30" t="str">
        <x:f>IF(Mechanisms!J9&gt;='Mission Worlds'!D22,"PASS","FAIL")</x:f>
        <x:v>PASS</x:v>
      </x:c>
      <x:c r="G38" s="30" t="str">
        <x:f>IF(OR('Mission Worlds'!E22=0,Mechanisms!K9=1),"PASS","FAIL")</x:f>
        <x:v>PASS</x:v>
      </x:c>
      <x:c r="H38" s="30" t="str">
        <x:f>IF(OR('Mission Worlds'!F22=0,Mechanisms!L9=0),"PASS","FAIL")</x:f>
        <x:v>FAIL</x:v>
      </x:c>
      <x:c r="I38" s="30" t="str">
        <x:f>IF(OR('Mission Worlds'!G22=0,Mechanisms!M9=0),"PASS","FAIL")</x:f>
        <x:v>PASS</x:v>
      </x:c>
      <x:c r="J38" s="30" t="str">
        <x:f>IF(Mechanisms!N9&gt;='Mission Worlds'!H22,"PASS","FAIL")</x:f>
        <x:v>FAIL</x:v>
      </x:c>
      <x:c r="K38" s="30" t="str">
        <x:f>IF(Mechanisms!O9&gt;='Mission Worlds'!I22,"PASS","FAIL")</x:f>
        <x:v>PASS</x:v>
      </x:c>
      <x:c r="L38" s="30" t="str">
        <x:f>IF(Mechanisms!P9&lt;='Mission Worlds'!J22,"PASS","FAIL")</x:f>
        <x:v>FAIL</x:v>
      </x:c>
      <x:c r="M38" s="30" t="str">
        <x:f>IF(OR('Mission Worlds'!K22=0,Mechanisms!Q9=1),"PASS","FAIL")</x:f>
        <x:v>PASS</x:v>
      </x:c>
      <x:c r="N38" s="30" t="str">
        <x:f>IF(OR('Mission Worlds'!L22=0,Mechanisms!R9=0),"PASS","FAIL")</x:f>
        <x:v>PASS</x:v>
      </x:c>
      <x:c r="O38" s="30" t="str">
        <x:f>IF(OR('Mission Worlds'!M22=0,Mechanisms!S9=0),"PASS","FAIL")</x:f>
        <x:v>PASS</x:v>
      </x:c>
      <x:c r="P38" s="30" t="str">
        <x:f>IF(OR('Mission Worlds'!N22=0,Mechanisms!T9=1),"PASS","FAIL")</x:f>
        <x:v>PASS</x:v>
      </x:c>
      <x:c r="Q38" s="30" t="str">
        <x:f>IF(Mechanisms!U9&lt;='Mission Worlds'!O22,"PASS","FAIL")</x:f>
        <x:v>FAIL</x:v>
      </x:c>
      <x:c r="R38" s="30" t="str">
        <x:f>IF(Mechanisms!V9&gt;='Mission Worlds'!P22,"PASS","FAIL")</x:f>
        <x:v>PASS</x:v>
      </x:c>
      <x:c r="S38" s="30" t="str">
        <x:f>IF(COUNTIF(E38:R38,"FAIL")=0,"PASS","FAIL")</x:f>
        <x:v>FAIL</x:v>
      </x:c>
      <x:c r="T38" s="30" t="str">
        <x:f>IF(AND(S38="PASS",Mechanisms!AB9=1),"PASS","FAIL")</x:f>
        <x:v>FAIL</x:v>
      </x:c>
      <x:c r="U38" s="30" t="str">
        <x:f>IF(AND(T38="PASS",'Mission Worlds'!Q22=0),"PASS","FAIL")</x:f>
        <x:v>FAIL</x:v>
      </x:c>
      <x:c r="V38" s="32" t="str">
        <x:f>'Mission Worlds'!R22</x:f>
        <x:v>universal admission stop</x:v>
      </x:c>
    </x:row>
    <x:row r="39">
      <x:c r="B39" s="30" t="str">
        <x:v>M3</x:v>
      </x:c>
      <x:c r="C39" s="30" t="str">
        <x:v>W01</x:v>
      </x:c>
      <x:c r="D39" s="50" t="n">
        <x:f>Mechanisms!AD10</x:f>
        <x:v>1</x:v>
      </x:c>
      <x:c r="E39" s="30" t="str">
        <x:f>'Payload Closure'!N9</x:f>
        <x:v>PASS</x:v>
      </x:c>
      <x:c r="F39" s="30" t="str">
        <x:f>IF(Mechanisms!J10&gt;='Mission Worlds'!D7,"PASS","FAIL")</x:f>
        <x:v>FAIL</x:v>
      </x:c>
      <x:c r="G39" s="30" t="str">
        <x:f>IF(OR('Mission Worlds'!E7=0,Mechanisms!K10=1),"PASS","FAIL")</x:f>
        <x:v>PASS</x:v>
      </x:c>
      <x:c r="H39" s="30" t="str">
        <x:f>IF(OR('Mission Worlds'!F7=0,Mechanisms!L10=0),"PASS","FAIL")</x:f>
        <x:v>PASS</x:v>
      </x:c>
      <x:c r="I39" s="30" t="str">
        <x:f>IF(OR('Mission Worlds'!G7=0,Mechanisms!M10=0),"PASS","FAIL")</x:f>
        <x:v>PASS</x:v>
      </x:c>
      <x:c r="J39" s="30" t="str">
        <x:f>IF(Mechanisms!N10&gt;='Mission Worlds'!H7,"PASS","FAIL")</x:f>
        <x:v>PASS</x:v>
      </x:c>
      <x:c r="K39" s="30" t="str">
        <x:f>IF(Mechanisms!O10&gt;='Mission Worlds'!I7,"PASS","FAIL")</x:f>
        <x:v>PASS</x:v>
      </x:c>
      <x:c r="L39" s="30" t="str">
        <x:f>IF(Mechanisms!P10&lt;='Mission Worlds'!J7,"PASS","FAIL")</x:f>
        <x:v>PASS</x:v>
      </x:c>
      <x:c r="M39" s="30" t="str">
        <x:f>IF(OR('Mission Worlds'!K7=0,Mechanisms!Q10=1),"PASS","FAIL")</x:f>
        <x:v>PASS</x:v>
      </x:c>
      <x:c r="N39" s="30" t="str">
        <x:f>IF(OR('Mission Worlds'!L7=0,Mechanisms!R10=0),"PASS","FAIL")</x:f>
        <x:v>PASS</x:v>
      </x:c>
      <x:c r="O39" s="30" t="str">
        <x:f>IF(OR('Mission Worlds'!M7=0,Mechanisms!S10=0),"PASS","FAIL")</x:f>
        <x:v>PASS</x:v>
      </x:c>
      <x:c r="P39" s="30" t="str">
        <x:f>IF(OR('Mission Worlds'!N7=0,Mechanisms!T10=1),"PASS","FAIL")</x:f>
        <x:v>PASS</x:v>
      </x:c>
      <x:c r="Q39" s="30" t="str">
        <x:f>IF(Mechanisms!U10&lt;='Mission Worlds'!O7,"PASS","FAIL")</x:f>
        <x:v>PASS</x:v>
      </x:c>
      <x:c r="R39" s="30" t="str">
        <x:f>IF(Mechanisms!V10&gt;='Mission Worlds'!P7,"PASS","FAIL")</x:f>
        <x:v>PASS</x:v>
      </x:c>
      <x:c r="S39" s="30" t="str">
        <x:f>IF(COUNTIF(E39:R39,"FAIL")=0,"PASS","FAIL")</x:f>
        <x:v>FAIL</x:v>
      </x:c>
      <x:c r="T39" s="30" t="str">
        <x:f>IF(AND(S39="PASS",Mechanisms!AB10=1),"PASS","FAIL")</x:f>
        <x:v>FAIL</x:v>
      </x:c>
      <x:c r="U39" s="30" t="str">
        <x:f>IF(AND(T39="PASS",'Mission Worlds'!Q7=0),"PASS","FAIL")</x:f>
        <x:v>FAIL</x:v>
      </x:c>
      <x:c r="V39" s="32" t="str">
        <x:f>'Mission Worlds'!R7</x:f>
        <x:v>no inherited terminal</x:v>
      </x:c>
    </x:row>
    <x:row r="40">
      <x:c r="B40" s="30" t="str">
        <x:v>M3</x:v>
      </x:c>
      <x:c r="C40" s="30" t="str">
        <x:v>W02</x:v>
      </x:c>
      <x:c r="D40" s="50" t="n">
        <x:f>Mechanisms!AD10</x:f>
        <x:v>1</x:v>
      </x:c>
      <x:c r="E40" s="30" t="str">
        <x:f>'Payload Closure'!N9</x:f>
        <x:v>PASS</x:v>
      </x:c>
      <x:c r="F40" s="30" t="str">
        <x:f>IF(Mechanisms!J10&gt;='Mission Worlds'!D8,"PASS","FAIL")</x:f>
        <x:v>FAIL</x:v>
      </x:c>
      <x:c r="G40" s="30" t="str">
        <x:f>IF(OR('Mission Worlds'!E8=0,Mechanisms!K10=1),"PASS","FAIL")</x:f>
        <x:v>PASS</x:v>
      </x:c>
      <x:c r="H40" s="30" t="str">
        <x:f>IF(OR('Mission Worlds'!F8=0,Mechanisms!L10=0),"PASS","FAIL")</x:f>
        <x:v>PASS</x:v>
      </x:c>
      <x:c r="I40" s="30" t="str">
        <x:f>IF(OR('Mission Worlds'!G8=0,Mechanisms!M10=0),"PASS","FAIL")</x:f>
        <x:v>PASS</x:v>
      </x:c>
      <x:c r="J40" s="30" t="str">
        <x:f>IF(Mechanisms!N10&gt;='Mission Worlds'!H8,"PASS","FAIL")</x:f>
        <x:v>PASS</x:v>
      </x:c>
      <x:c r="K40" s="30" t="str">
        <x:f>IF(Mechanisms!O10&gt;='Mission Worlds'!I8,"PASS","FAIL")</x:f>
        <x:v>PASS</x:v>
      </x:c>
      <x:c r="L40" s="30" t="str">
        <x:f>IF(Mechanisms!P10&lt;='Mission Worlds'!J8,"PASS","FAIL")</x:f>
        <x:v>PASS</x:v>
      </x:c>
      <x:c r="M40" s="30" t="str">
        <x:f>IF(OR('Mission Worlds'!K8=0,Mechanisms!Q10=1),"PASS","FAIL")</x:f>
        <x:v>PASS</x:v>
      </x:c>
      <x:c r="N40" s="30" t="str">
        <x:f>IF(OR('Mission Worlds'!L8=0,Mechanisms!R10=0),"PASS","FAIL")</x:f>
        <x:v>PASS</x:v>
      </x:c>
      <x:c r="O40" s="30" t="str">
        <x:f>IF(OR('Mission Worlds'!M8=0,Mechanisms!S10=0),"PASS","FAIL")</x:f>
        <x:v>PASS</x:v>
      </x:c>
      <x:c r="P40" s="30" t="str">
        <x:f>IF(OR('Mission Worlds'!N8=0,Mechanisms!T10=1),"PASS","FAIL")</x:f>
        <x:v>PASS</x:v>
      </x:c>
      <x:c r="Q40" s="30" t="str">
        <x:f>IF(Mechanisms!U10&lt;='Mission Worlds'!O8,"PASS","FAIL")</x:f>
        <x:v>PASS</x:v>
      </x:c>
      <x:c r="R40" s="30" t="str">
        <x:f>IF(Mechanisms!V10&gt;='Mission Worlds'!P8,"PASS","FAIL")</x:f>
        <x:v>PASS</x:v>
      </x:c>
      <x:c r="S40" s="30" t="str">
        <x:f>IF(COUNTIF(E40:R40,"FAIL")=0,"PASS","FAIL")</x:f>
        <x:v>FAIL</x:v>
      </x:c>
      <x:c r="T40" s="30" t="str">
        <x:f>IF(AND(S40="PASS",Mechanisms!AB10=1),"PASS","FAIL")</x:f>
        <x:v>FAIL</x:v>
      </x:c>
      <x:c r="U40" s="30" t="str">
        <x:f>IF(AND(T40="PASS",'Mission Worlds'!Q8=0),"PASS","FAIL")</x:f>
        <x:v>FAIL</x:v>
      </x:c>
      <x:c r="V40" s="32" t="str">
        <x:f>'Mission Worlds'!R8</x:f>
        <x:v>water approach remains</x:v>
      </x:c>
    </x:row>
    <x:row r="41">
      <x:c r="B41" s="30" t="str">
        <x:v>M3</x:v>
      </x:c>
      <x:c r="C41" s="30" t="str">
        <x:v>W03</x:v>
      </x:c>
      <x:c r="D41" s="50" t="n">
        <x:f>Mechanisms!AD10</x:f>
        <x:v>1</x:v>
      </x:c>
      <x:c r="E41" s="30" t="str">
        <x:f>'Payload Closure'!N9</x:f>
        <x:v>PASS</x:v>
      </x:c>
      <x:c r="F41" s="30" t="str">
        <x:f>IF(Mechanisms!J10&gt;='Mission Worlds'!D9,"PASS","FAIL")</x:f>
        <x:v>FAIL</x:v>
      </x:c>
      <x:c r="G41" s="30" t="str">
        <x:f>IF(OR('Mission Worlds'!E9=0,Mechanisms!K10=1),"PASS","FAIL")</x:f>
        <x:v>PASS</x:v>
      </x:c>
      <x:c r="H41" s="30" t="str">
        <x:f>IF(OR('Mission Worlds'!F9=0,Mechanisms!L10=0),"PASS","FAIL")</x:f>
        <x:v>PASS</x:v>
      </x:c>
      <x:c r="I41" s="30" t="str">
        <x:f>IF(OR('Mission Worlds'!G9=0,Mechanisms!M10=0),"PASS","FAIL")</x:f>
        <x:v>PASS</x:v>
      </x:c>
      <x:c r="J41" s="30" t="str">
        <x:f>IF(Mechanisms!N10&gt;='Mission Worlds'!H9,"PASS","FAIL")</x:f>
        <x:v>PASS</x:v>
      </x:c>
      <x:c r="K41" s="30" t="str">
        <x:f>IF(Mechanisms!O10&gt;='Mission Worlds'!I9,"PASS","FAIL")</x:f>
        <x:v>PASS</x:v>
      </x:c>
      <x:c r="L41" s="30" t="str">
        <x:f>IF(Mechanisms!P10&lt;='Mission Worlds'!J9,"PASS","FAIL")</x:f>
        <x:v>PASS</x:v>
      </x:c>
      <x:c r="M41" s="30" t="str">
        <x:f>IF(OR('Mission Worlds'!K9=0,Mechanisms!Q10=1),"PASS","FAIL")</x:f>
        <x:v>PASS</x:v>
      </x:c>
      <x:c r="N41" s="30" t="str">
        <x:f>IF(OR('Mission Worlds'!L9=0,Mechanisms!R10=0),"PASS","FAIL")</x:f>
        <x:v>PASS</x:v>
      </x:c>
      <x:c r="O41" s="30" t="str">
        <x:f>IF(OR('Mission Worlds'!M9=0,Mechanisms!S10=0),"PASS","FAIL")</x:f>
        <x:v>PASS</x:v>
      </x:c>
      <x:c r="P41" s="30" t="str">
        <x:f>IF(OR('Mission Worlds'!N9=0,Mechanisms!T10=1),"PASS","FAIL")</x:f>
        <x:v>PASS</x:v>
      </x:c>
      <x:c r="Q41" s="30" t="str">
        <x:f>IF(Mechanisms!U10&lt;='Mission Worlds'!O9,"PASS","FAIL")</x:f>
        <x:v>PASS</x:v>
      </x:c>
      <x:c r="R41" s="30" t="str">
        <x:f>IF(Mechanisms!V10&gt;='Mission Worlds'!P9,"PASS","FAIL")</x:f>
        <x:v>PASS</x:v>
      </x:c>
      <x:c r="S41" s="30" t="str">
        <x:f>IF(COUNTIF(E41:R41,"FAIL")=0,"PASS","FAIL")</x:f>
        <x:v>FAIL</x:v>
      </x:c>
      <x:c r="T41" s="30" t="str">
        <x:f>IF(AND(S41="PASS",Mechanisms!AB10=1),"PASS","FAIL")</x:f>
        <x:v>FAIL</x:v>
      </x:c>
      <x:c r="U41" s="30" t="str">
        <x:f>IF(AND(T41="PASS",'Mission Worlds'!Q9=0),"PASS","FAIL")</x:f>
        <x:v>FAIL</x:v>
      </x:c>
      <x:c r="V41" s="32" t="str">
        <x:f>'Mission Worlds'!R9</x:f>
        <x:v>nearby source may survive</x:v>
      </x:c>
    </x:row>
    <x:row r="42">
      <x:c r="B42" s="30" t="str">
        <x:v>M3</x:v>
      </x:c>
      <x:c r="C42" s="30" t="str">
        <x:v>W04</x:v>
      </x:c>
      <x:c r="D42" s="50" t="n">
        <x:f>Mechanisms!AD10</x:f>
        <x:v>1</x:v>
      </x:c>
      <x:c r="E42" s="30" t="str">
        <x:f>'Payload Closure'!N9</x:f>
        <x:v>PASS</x:v>
      </x:c>
      <x:c r="F42" s="30" t="str">
        <x:f>IF(Mechanisms!J10&gt;='Mission Worlds'!D10,"PASS","FAIL")</x:f>
        <x:v>PASS</x:v>
      </x:c>
      <x:c r="G42" s="30" t="str">
        <x:f>IF(OR('Mission Worlds'!E10=0,Mechanisms!K10=1),"PASS","FAIL")</x:f>
        <x:v>PASS</x:v>
      </x:c>
      <x:c r="H42" s="30" t="str">
        <x:f>IF(OR('Mission Worlds'!F10=0,Mechanisms!L10=0),"PASS","FAIL")</x:f>
        <x:v>PASS</x:v>
      </x:c>
      <x:c r="I42" s="30" t="str">
        <x:f>IF(OR('Mission Worlds'!G10=0,Mechanisms!M10=0),"PASS","FAIL")</x:f>
        <x:v>PASS</x:v>
      </x:c>
      <x:c r="J42" s="30" t="str">
        <x:f>IF(Mechanisms!N10&gt;='Mission Worlds'!H10,"PASS","FAIL")</x:f>
        <x:v>PASS</x:v>
      </x:c>
      <x:c r="K42" s="30" t="str">
        <x:f>IF(Mechanisms!O10&gt;='Mission Worlds'!I10,"PASS","FAIL")</x:f>
        <x:v>PASS</x:v>
      </x:c>
      <x:c r="L42" s="30" t="str">
        <x:f>IF(Mechanisms!P10&lt;='Mission Worlds'!J10,"PASS","FAIL")</x:f>
        <x:v>PASS</x:v>
      </x:c>
      <x:c r="M42" s="30" t="str">
        <x:f>IF(OR('Mission Worlds'!K10=0,Mechanisms!Q10=1),"PASS","FAIL")</x:f>
        <x:v>PASS</x:v>
      </x:c>
      <x:c r="N42" s="30" t="str">
        <x:f>IF(OR('Mission Worlds'!L10=0,Mechanisms!R10=0),"PASS","FAIL")</x:f>
        <x:v>PASS</x:v>
      </x:c>
      <x:c r="O42" s="30" t="str">
        <x:f>IF(OR('Mission Worlds'!M10=0,Mechanisms!S10=0),"PASS","FAIL")</x:f>
        <x:v>PASS</x:v>
      </x:c>
      <x:c r="P42" s="30" t="str">
        <x:f>IF(OR('Mission Worlds'!N10=0,Mechanisms!T10=1),"PASS","FAIL")</x:f>
        <x:v>PASS</x:v>
      </x:c>
      <x:c r="Q42" s="30" t="str">
        <x:f>IF(Mechanisms!U10&lt;='Mission Worlds'!O10,"PASS","FAIL")</x:f>
        <x:v>PASS</x:v>
      </x:c>
      <x:c r="R42" s="30" t="str">
        <x:f>IF(Mechanisms!V10&gt;='Mission Worlds'!P10,"PASS","FAIL")</x:f>
        <x:v>PASS</x:v>
      </x:c>
      <x:c r="S42" s="30" t="str">
        <x:f>IF(COUNTIF(E42:R42,"FAIL")=0,"PASS","FAIL")</x:f>
        <x:v>PASS</x:v>
      </x:c>
      <x:c r="T42" s="30" t="str">
        <x:f>IF(AND(S42="PASS",Mechanisms!AB10=1),"PASS","FAIL")</x:f>
        <x:v>FAIL</x:v>
      </x:c>
      <x:c r="U42" s="30" t="str">
        <x:f>IF(AND(T42="PASS",'Mission Worlds'!Q10=0),"PASS","FAIL")</x:f>
        <x:v>FAIL</x:v>
      </x:c>
      <x:c r="V42" s="32" t="str">
        <x:f>'Mission Worlds'!R10</x:f>
        <x:v>all legacy surface paths lost</x:v>
      </x:c>
    </x:row>
    <x:row r="43">
      <x:c r="B43" s="30" t="str">
        <x:v>M3</x:v>
      </x:c>
      <x:c r="C43" s="30" t="str">
        <x:v>W05</x:v>
      </x:c>
      <x:c r="D43" s="50" t="n">
        <x:f>Mechanisms!AD10</x:f>
        <x:v>1</x:v>
      </x:c>
      <x:c r="E43" s="30" t="str">
        <x:f>'Payload Closure'!N9</x:f>
        <x:v>PASS</x:v>
      </x:c>
      <x:c r="F43" s="30" t="str">
        <x:f>IF(Mechanisms!J10&gt;='Mission Worlds'!D11,"PASS","FAIL")</x:f>
        <x:v>PASS</x:v>
      </x:c>
      <x:c r="G43" s="30" t="str">
        <x:f>IF(OR('Mission Worlds'!E11=0,Mechanisms!K10=1),"PASS","FAIL")</x:f>
        <x:v>PASS</x:v>
      </x:c>
      <x:c r="H43" s="30" t="str">
        <x:f>IF(OR('Mission Worlds'!F11=0,Mechanisms!L10=0),"PASS","FAIL")</x:f>
        <x:v>PASS</x:v>
      </x:c>
      <x:c r="I43" s="30" t="str">
        <x:f>IF(OR('Mission Worlds'!G11=0,Mechanisms!M10=0),"PASS","FAIL")</x:f>
        <x:v>PASS</x:v>
      </x:c>
      <x:c r="J43" s="30" t="str">
        <x:f>IF(Mechanisms!N10&gt;='Mission Worlds'!H11,"PASS","FAIL")</x:f>
        <x:v>PASS</x:v>
      </x:c>
      <x:c r="K43" s="30" t="str">
        <x:f>IF(Mechanisms!O10&gt;='Mission Worlds'!I11,"PASS","FAIL")</x:f>
        <x:v>PASS</x:v>
      </x:c>
      <x:c r="L43" s="30" t="str">
        <x:f>IF(Mechanisms!P10&lt;='Mission Worlds'!J11,"PASS","FAIL")</x:f>
        <x:v>PASS</x:v>
      </x:c>
      <x:c r="M43" s="30" t="str">
        <x:f>IF(OR('Mission Worlds'!K11=0,Mechanisms!Q10=1),"PASS","FAIL")</x:f>
        <x:v>PASS</x:v>
      </x:c>
      <x:c r="N43" s="30" t="str">
        <x:f>IF(OR('Mission Worlds'!L11=0,Mechanisms!R10=0),"PASS","FAIL")</x:f>
        <x:v>PASS</x:v>
      </x:c>
      <x:c r="O43" s="30" t="str">
        <x:f>IF(OR('Mission Worlds'!M11=0,Mechanisms!S10=0),"PASS","FAIL")</x:f>
        <x:v>PASS</x:v>
      </x:c>
      <x:c r="P43" s="30" t="str">
        <x:f>IF(OR('Mission Worlds'!N11=0,Mechanisms!T10=1),"PASS","FAIL")</x:f>
        <x:v>PASS</x:v>
      </x:c>
      <x:c r="Q43" s="30" t="str">
        <x:f>IF(Mechanisms!U10&lt;='Mission Worlds'!O11,"PASS","FAIL")</x:f>
        <x:v>PASS</x:v>
      </x:c>
      <x:c r="R43" s="30" t="str">
        <x:f>IF(Mechanisms!V10&gt;='Mission Worlds'!P11,"PASS","FAIL")</x:f>
        <x:v>PASS</x:v>
      </x:c>
      <x:c r="S43" s="30" t="str">
        <x:f>IF(COUNTIF(E43:R43,"FAIL")=0,"PASS","FAIL")</x:f>
        <x:v>PASS</x:v>
      </x:c>
      <x:c r="T43" s="30" t="str">
        <x:f>IF(AND(S43="PASS",Mechanisms!AB10=1),"PASS","FAIL")</x:f>
        <x:v>FAIL</x:v>
      </x:c>
      <x:c r="U43" s="30" t="str">
        <x:f>IF(AND(T43="PASS",'Mission Worlds'!Q11=0),"PASS","FAIL")</x:f>
        <x:v>FAIL</x:v>
      </x:c>
      <x:c r="V43" s="32" t="str">
        <x:f>'Mission Worlds'!R11</x:f>
        <x:v>steep receiving terrain</x:v>
      </x:c>
    </x:row>
    <x:row r="44">
      <x:c r="B44" s="30" t="str">
        <x:v>M3</x:v>
      </x:c>
      <x:c r="C44" s="30" t="str">
        <x:v>W06</x:v>
      </x:c>
      <x:c r="D44" s="50" t="n">
        <x:f>Mechanisms!AD10</x:f>
        <x:v>1</x:v>
      </x:c>
      <x:c r="E44" s="30" t="str">
        <x:f>'Payload Closure'!N9</x:f>
        <x:v>PASS</x:v>
      </x:c>
      <x:c r="F44" s="30" t="str">
        <x:f>IF(Mechanisms!J10&gt;='Mission Worlds'!D12,"PASS","FAIL")</x:f>
        <x:v>FAIL</x:v>
      </x:c>
      <x:c r="G44" s="30" t="str">
        <x:f>IF(OR('Mission Worlds'!E12=0,Mechanisms!K10=1),"PASS","FAIL")</x:f>
        <x:v>PASS</x:v>
      </x:c>
      <x:c r="H44" s="30" t="str">
        <x:f>IF(OR('Mission Worlds'!F12=0,Mechanisms!L10=0),"PASS","FAIL")</x:f>
        <x:v>PASS</x:v>
      </x:c>
      <x:c r="I44" s="30" t="str">
        <x:f>IF(OR('Mission Worlds'!G12=0,Mechanisms!M10=0),"PASS","FAIL")</x:f>
        <x:v>PASS</x:v>
      </x:c>
      <x:c r="J44" s="30" t="str">
        <x:f>IF(Mechanisms!N10&gt;='Mission Worlds'!H12,"PASS","FAIL")</x:f>
        <x:v>PASS</x:v>
      </x:c>
      <x:c r="K44" s="30" t="str">
        <x:f>IF(Mechanisms!O10&gt;='Mission Worlds'!I12,"PASS","FAIL")</x:f>
        <x:v>PASS</x:v>
      </x:c>
      <x:c r="L44" s="30" t="str">
        <x:f>IF(Mechanisms!P10&lt;='Mission Worlds'!J12,"PASS","FAIL")</x:f>
        <x:v>PASS</x:v>
      </x:c>
      <x:c r="M44" s="30" t="str">
        <x:f>IF(OR('Mission Worlds'!K12=0,Mechanisms!Q10=1),"PASS","FAIL")</x:f>
        <x:v>PASS</x:v>
      </x:c>
      <x:c r="N44" s="30" t="str">
        <x:f>IF(OR('Mission Worlds'!L12=0,Mechanisms!R10=0),"PASS","FAIL")</x:f>
        <x:v>PASS</x:v>
      </x:c>
      <x:c r="O44" s="30" t="str">
        <x:f>IF(OR('Mission Worlds'!M12=0,Mechanisms!S10=0),"PASS","FAIL")</x:f>
        <x:v>PASS</x:v>
      </x:c>
      <x:c r="P44" s="30" t="str">
        <x:f>IF(OR('Mission Worlds'!N12=0,Mechanisms!T10=1),"PASS","FAIL")</x:f>
        <x:v>PASS</x:v>
      </x:c>
      <x:c r="Q44" s="30" t="str">
        <x:f>IF(Mechanisms!U10&lt;='Mission Worlds'!O12,"PASS","FAIL")</x:f>
        <x:v>PASS</x:v>
      </x:c>
      <x:c r="R44" s="30" t="str">
        <x:f>IF(Mechanisms!V10&gt;='Mission Worlds'!P12,"PASS","FAIL")</x:f>
        <x:v>PASS</x:v>
      </x:c>
      <x:c r="S44" s="30" t="str">
        <x:f>IF(COUNTIF(E44:R44,"FAIL")=0,"PASS","FAIL")</x:f>
        <x:v>FAIL</x:v>
      </x:c>
      <x:c r="T44" s="30" t="str">
        <x:f>IF(AND(S44="PASS",Mechanisms!AB10=1),"PASS","FAIL")</x:f>
        <x:v>FAIL</x:v>
      </x:c>
      <x:c r="U44" s="30" t="str">
        <x:f>IF(AND(T44="PASS",'Mission Worlds'!Q12=0),"PASS","FAIL")</x:f>
        <x:v>FAIL</x:v>
      </x:c>
      <x:c r="V44" s="32" t="str">
        <x:f>'Mission Worlds'!R12</x:f>
        <x:v>high ambient and no local feed</x:v>
      </x:c>
    </x:row>
    <x:row r="45">
      <x:c r="B45" s="30" t="str">
        <x:v>M3</x:v>
      </x:c>
      <x:c r="C45" s="30" t="str">
        <x:v>W07</x:v>
      </x:c>
      <x:c r="D45" s="50" t="n">
        <x:f>Mechanisms!AD10</x:f>
        <x:v>1</x:v>
      </x:c>
      <x:c r="E45" s="30" t="str">
        <x:f>'Payload Closure'!N9</x:f>
        <x:v>PASS</x:v>
      </x:c>
      <x:c r="F45" s="30" t="str">
        <x:f>IF(Mechanisms!J10&gt;='Mission Worlds'!D13,"PASS","FAIL")</x:f>
        <x:v>PASS</x:v>
      </x:c>
      <x:c r="G45" s="30" t="str">
        <x:f>IF(OR('Mission Worlds'!E13=0,Mechanisms!K10=1),"PASS","FAIL")</x:f>
        <x:v>PASS</x:v>
      </x:c>
      <x:c r="H45" s="30" t="str">
        <x:f>IF(OR('Mission Worlds'!F13=0,Mechanisms!L10=0),"PASS","FAIL")</x:f>
        <x:v>PASS</x:v>
      </x:c>
      <x:c r="I45" s="30" t="str">
        <x:f>IF(OR('Mission Worlds'!G13=0,Mechanisms!M10=0),"PASS","FAIL")</x:f>
        <x:v>PASS</x:v>
      </x:c>
      <x:c r="J45" s="30" t="str">
        <x:f>IF(Mechanisms!N10&gt;='Mission Worlds'!H13,"PASS","FAIL")</x:f>
        <x:v>PASS</x:v>
      </x:c>
      <x:c r="K45" s="30" t="str">
        <x:f>IF(Mechanisms!O10&gt;='Mission Worlds'!I13,"PASS","FAIL")</x:f>
        <x:v>PASS</x:v>
      </x:c>
      <x:c r="L45" s="30" t="str">
        <x:f>IF(Mechanisms!P10&lt;='Mission Worlds'!J13,"PASS","FAIL")</x:f>
        <x:v>PASS</x:v>
      </x:c>
      <x:c r="M45" s="30" t="str">
        <x:f>IF(OR('Mission Worlds'!K13=0,Mechanisms!Q10=1),"PASS","FAIL")</x:f>
        <x:v>PASS</x:v>
      </x:c>
      <x:c r="N45" s="30" t="str">
        <x:f>IF(OR('Mission Worlds'!L13=0,Mechanisms!R10=0),"PASS","FAIL")</x:f>
        <x:v>PASS</x:v>
      </x:c>
      <x:c r="O45" s="30" t="str">
        <x:f>IF(OR('Mission Worlds'!M13=0,Mechanisms!S10=0),"PASS","FAIL")</x:f>
        <x:v>PASS</x:v>
      </x:c>
      <x:c r="P45" s="30" t="str">
        <x:f>IF(OR('Mission Worlds'!N13=0,Mechanisms!T10=1),"PASS","FAIL")</x:f>
        <x:v>PASS</x:v>
      </x:c>
      <x:c r="Q45" s="30" t="str">
        <x:f>IF(Mechanisms!U10&lt;='Mission Worlds'!O13,"PASS","FAIL")</x:f>
        <x:v>PASS</x:v>
      </x:c>
      <x:c r="R45" s="30" t="str">
        <x:f>IF(Mechanisms!V10&gt;='Mission Worlds'!P13,"PASS","FAIL")</x:f>
        <x:v>PASS</x:v>
      </x:c>
      <x:c r="S45" s="30" t="str">
        <x:f>IF(COUNTIF(E45:R45,"FAIL")=0,"PASS","FAIL")</x:f>
        <x:v>PASS</x:v>
      </x:c>
      <x:c r="T45" s="30" t="str">
        <x:f>IF(AND(S45="PASS",Mechanisms!AB10=1),"PASS","FAIL")</x:f>
        <x:v>FAIL</x:v>
      </x:c>
      <x:c r="U45" s="30" t="str">
        <x:f>IF(AND(T45="PASS",'Mission Worlds'!Q13=0),"PASS","FAIL")</x:f>
        <x:v>FAIL</x:v>
      </x:c>
      <x:c r="V45" s="32" t="str">
        <x:f>'Mission Worlds'!R13</x:f>
        <x:v>surface-water approach denied</x:v>
      </x:c>
    </x:row>
    <x:row r="46">
      <x:c r="B46" s="30" t="str">
        <x:v>M3</x:v>
      </x:c>
      <x:c r="C46" s="30" t="str">
        <x:v>W08</x:v>
      </x:c>
      <x:c r="D46" s="50" t="n">
        <x:f>Mechanisms!AD10</x:f>
        <x:v>1</x:v>
      </x:c>
      <x:c r="E46" s="30" t="str">
        <x:f>'Payload Closure'!N9</x:f>
        <x:v>PASS</x:v>
      </x:c>
      <x:c r="F46" s="30" t="str">
        <x:f>IF(Mechanisms!J10&gt;='Mission Worlds'!D14,"PASS","FAIL")</x:f>
        <x:v>FAIL</x:v>
      </x:c>
      <x:c r="G46" s="30" t="str">
        <x:f>IF(OR('Mission Worlds'!E14=0,Mechanisms!K10=1),"PASS","FAIL")</x:f>
        <x:v>PASS</x:v>
      </x:c>
      <x:c r="H46" s="30" t="str">
        <x:f>IF(OR('Mission Worlds'!F14=0,Mechanisms!L10=0),"PASS","FAIL")</x:f>
        <x:v>PASS</x:v>
      </x:c>
      <x:c r="I46" s="30" t="str">
        <x:f>IF(OR('Mission Worlds'!G14=0,Mechanisms!M10=0),"PASS","FAIL")</x:f>
        <x:v>PASS</x:v>
      </x:c>
      <x:c r="J46" s="30" t="str">
        <x:f>IF(Mechanisms!N10&gt;='Mission Worlds'!H14,"PASS","FAIL")</x:f>
        <x:v>PASS</x:v>
      </x:c>
      <x:c r="K46" s="30" t="str">
        <x:f>IF(Mechanisms!O10&gt;='Mission Worlds'!I14,"PASS","FAIL")</x:f>
        <x:v>PASS</x:v>
      </x:c>
      <x:c r="L46" s="30" t="str">
        <x:f>IF(Mechanisms!P10&lt;='Mission Worlds'!J14,"PASS","FAIL")</x:f>
        <x:v>PASS</x:v>
      </x:c>
      <x:c r="M46" s="30" t="str">
        <x:f>IF(OR('Mission Worlds'!K14=0,Mechanisms!Q10=1),"PASS","FAIL")</x:f>
        <x:v>PASS</x:v>
      </x:c>
      <x:c r="N46" s="30" t="str">
        <x:f>IF(OR('Mission Worlds'!L14=0,Mechanisms!R10=0),"PASS","FAIL")</x:f>
        <x:v>PASS</x:v>
      </x:c>
      <x:c r="O46" s="30" t="str">
        <x:f>IF(OR('Mission Worlds'!M14=0,Mechanisms!S10=0),"PASS","FAIL")</x:f>
        <x:v>PASS</x:v>
      </x:c>
      <x:c r="P46" s="30" t="str">
        <x:f>IF(OR('Mission Worlds'!N14=0,Mechanisms!T10=1),"PASS","FAIL")</x:f>
        <x:v>PASS</x:v>
      </x:c>
      <x:c r="Q46" s="30" t="str">
        <x:f>IF(Mechanisms!U10&lt;='Mission Worlds'!O14,"PASS","FAIL")</x:f>
        <x:v>PASS</x:v>
      </x:c>
      <x:c r="R46" s="30" t="str">
        <x:f>IF(Mechanisms!V10&gt;='Mission Worlds'!P14,"PASS","FAIL")</x:f>
        <x:v>PASS</x:v>
      </x:c>
      <x:c r="S46" s="30" t="str">
        <x:f>IF(COUNTIF(E46:R46,"FAIL")=0,"PASS","FAIL")</x:f>
        <x:v>FAIL</x:v>
      </x:c>
      <x:c r="T46" s="30" t="str">
        <x:f>IF(AND(S46="PASS",Mechanisms!AB10=1),"PASS","FAIL")</x:f>
        <x:v>FAIL</x:v>
      </x:c>
      <x:c r="U46" s="30" t="str">
        <x:f>IF(AND(T46="PASS",'Mission Worlds'!Q14=0),"PASS","FAIL")</x:f>
        <x:v>FAIL</x:v>
      </x:c>
      <x:c r="V46" s="32" t="str">
        <x:f>'Mission Worlds'!R14</x:f>
        <x:v>long range and austere receiver</x:v>
      </x:c>
    </x:row>
    <x:row r="47">
      <x:c r="B47" s="30" t="str">
        <x:v>M3</x:v>
      </x:c>
      <x:c r="C47" s="30" t="str">
        <x:v>W09</x:v>
      </x:c>
      <x:c r="D47" s="50" t="n">
        <x:f>Mechanisms!AD10</x:f>
        <x:v>1</x:v>
      </x:c>
      <x:c r="E47" s="30" t="str">
        <x:f>'Payload Closure'!N9</x:f>
        <x:v>PASS</x:v>
      </x:c>
      <x:c r="F47" s="30" t="str">
        <x:f>IF(Mechanisms!J10&gt;='Mission Worlds'!D15,"PASS","FAIL")</x:f>
        <x:v>PASS</x:v>
      </x:c>
      <x:c r="G47" s="30" t="str">
        <x:f>IF(OR('Mission Worlds'!E15=0,Mechanisms!K10=1),"PASS","FAIL")</x:f>
        <x:v>PASS</x:v>
      </x:c>
      <x:c r="H47" s="30" t="str">
        <x:f>IF(OR('Mission Worlds'!F15=0,Mechanisms!L10=0),"PASS","FAIL")</x:f>
        <x:v>PASS</x:v>
      </x:c>
      <x:c r="I47" s="30" t="str">
        <x:f>IF(OR('Mission Worlds'!G15=0,Mechanisms!M10=0),"PASS","FAIL")</x:f>
        <x:v>PASS</x:v>
      </x:c>
      <x:c r="J47" s="30" t="str">
        <x:f>IF(Mechanisms!N10&gt;='Mission Worlds'!H15,"PASS","FAIL")</x:f>
        <x:v>PASS</x:v>
      </x:c>
      <x:c r="K47" s="30" t="str">
        <x:f>IF(Mechanisms!O10&gt;='Mission Worlds'!I15,"PASS","FAIL")</x:f>
        <x:v>PASS</x:v>
      </x:c>
      <x:c r="L47" s="30" t="str">
        <x:f>IF(Mechanisms!P10&lt;='Mission Worlds'!J15,"PASS","FAIL")</x:f>
        <x:v>PASS</x:v>
      </x:c>
      <x:c r="M47" s="30" t="str">
        <x:f>IF(OR('Mission Worlds'!K15=0,Mechanisms!Q10=1),"PASS","FAIL")</x:f>
        <x:v>PASS</x:v>
      </x:c>
      <x:c r="N47" s="30" t="str">
        <x:f>IF(OR('Mission Worlds'!L15=0,Mechanisms!R10=0),"PASS","FAIL")</x:f>
        <x:v>PASS</x:v>
      </x:c>
      <x:c r="O47" s="30" t="str">
        <x:f>IF(OR('Mission Worlds'!M15=0,Mechanisms!S10=0),"PASS","FAIL")</x:f>
        <x:v>PASS</x:v>
      </x:c>
      <x:c r="P47" s="30" t="str">
        <x:f>IF(OR('Mission Worlds'!N15=0,Mechanisms!T10=1),"PASS","FAIL")</x:f>
        <x:v>PASS</x:v>
      </x:c>
      <x:c r="Q47" s="30" t="str">
        <x:f>IF(Mechanisms!U10&lt;='Mission Worlds'!O15,"PASS","FAIL")</x:f>
        <x:v>PASS</x:v>
      </x:c>
      <x:c r="R47" s="30" t="str">
        <x:f>IF(Mechanisms!V10&gt;='Mission Worlds'!P15,"PASS","FAIL")</x:f>
        <x:v>PASS</x:v>
      </x:c>
      <x:c r="S47" s="30" t="str">
        <x:f>IF(COUNTIF(E47:R47,"FAIL")=0,"PASS","FAIL")</x:f>
        <x:v>PASS</x:v>
      </x:c>
      <x:c r="T47" s="30" t="str">
        <x:f>IF(AND(S47="PASS",Mechanisms!AB10=1),"PASS","FAIL")</x:f>
        <x:v>FAIL</x:v>
      </x:c>
      <x:c r="U47" s="30" t="str">
        <x:f>IF(AND(T47="PASS",'Mission Worlds'!Q15=0),"PASS","FAIL")</x:f>
        <x:v>FAIL</x:v>
      </x:c>
      <x:c r="V47" s="32" t="str">
        <x:f>'Mission Worlds'!R15</x:f>
        <x:v>smoke operations required</x:v>
      </x:c>
    </x:row>
    <x:row r="48">
      <x:c r="B48" s="30" t="str">
        <x:v>M3</x:v>
      </x:c>
      <x:c r="C48" s="30" t="str">
        <x:v>W10</x:v>
      </x:c>
      <x:c r="D48" s="50" t="n">
        <x:f>Mechanisms!AD10</x:f>
        <x:v>1</x:v>
      </x:c>
      <x:c r="E48" s="30" t="str">
        <x:f>'Payload Closure'!N9</x:f>
        <x:v>PASS</x:v>
      </x:c>
      <x:c r="F48" s="30" t="str">
        <x:f>IF(Mechanisms!J10&gt;='Mission Worlds'!D16,"PASS","FAIL")</x:f>
        <x:v>PASS</x:v>
      </x:c>
      <x:c r="G48" s="30" t="str">
        <x:f>IF(OR('Mission Worlds'!E16=0,Mechanisms!K10=1),"PASS","FAIL")</x:f>
        <x:v>PASS</x:v>
      </x:c>
      <x:c r="H48" s="30" t="str">
        <x:f>IF(OR('Mission Worlds'!F16=0,Mechanisms!L10=0),"PASS","FAIL")</x:f>
        <x:v>PASS</x:v>
      </x:c>
      <x:c r="I48" s="30" t="str">
        <x:f>IF(OR('Mission Worlds'!G16=0,Mechanisms!M10=0),"PASS","FAIL")</x:f>
        <x:v>PASS</x:v>
      </x:c>
      <x:c r="J48" s="30" t="str">
        <x:f>IF(Mechanisms!N10&gt;='Mission Worlds'!H16,"PASS","FAIL")</x:f>
        <x:v>PASS</x:v>
      </x:c>
      <x:c r="K48" s="30" t="str">
        <x:f>IF(Mechanisms!O10&gt;='Mission Worlds'!I16,"PASS","FAIL")</x:f>
        <x:v>PASS</x:v>
      </x:c>
      <x:c r="L48" s="30" t="str">
        <x:f>IF(Mechanisms!P10&lt;='Mission Worlds'!J16,"PASS","FAIL")</x:f>
        <x:v>PASS</x:v>
      </x:c>
      <x:c r="M48" s="30" t="str">
        <x:f>IF(OR('Mission Worlds'!K16=0,Mechanisms!Q10=1),"PASS","FAIL")</x:f>
        <x:v>PASS</x:v>
      </x:c>
      <x:c r="N48" s="30" t="str">
        <x:f>IF(OR('Mission Worlds'!L16=0,Mechanisms!R10=0),"PASS","FAIL")</x:f>
        <x:v>PASS</x:v>
      </x:c>
      <x:c r="O48" s="30" t="str">
        <x:f>IF(OR('Mission Worlds'!M16=0,Mechanisms!S10=0),"PASS","FAIL")</x:f>
        <x:v>PASS</x:v>
      </x:c>
      <x:c r="P48" s="30" t="str">
        <x:f>IF(OR('Mission Worlds'!N16=0,Mechanisms!T10=1),"PASS","FAIL")</x:f>
        <x:v>PASS</x:v>
      </x:c>
      <x:c r="Q48" s="30" t="str">
        <x:f>IF(Mechanisms!U10&lt;='Mission Worlds'!O16,"PASS","FAIL")</x:f>
        <x:v>PASS</x:v>
      </x:c>
      <x:c r="R48" s="30" t="str">
        <x:f>IF(Mechanisms!V10&gt;='Mission Worlds'!P16,"PASS","FAIL")</x:f>
        <x:v>PASS</x:v>
      </x:c>
      <x:c r="S48" s="30" t="str">
        <x:f>IF(COUNTIF(E48:R48,"FAIL")=0,"PASS","FAIL")</x:f>
        <x:v>PASS</x:v>
      </x:c>
      <x:c r="T48" s="30" t="str">
        <x:f>IF(AND(S48="PASS",Mechanisms!AB10=1),"PASS","FAIL")</x:f>
        <x:v>FAIL</x:v>
      </x:c>
      <x:c r="U48" s="30" t="str">
        <x:f>IF(AND(T48="PASS",'Mission Worlds'!Q16=0),"PASS","FAIL")</x:f>
        <x:v>FAIL</x:v>
      </x:c>
      <x:c r="V48" s="32" t="str">
        <x:f>'Mission Worlds'!R16</x:f>
        <x:v>small safe footprint</x:v>
      </x:c>
    </x:row>
    <x:row r="49">
      <x:c r="B49" s="30" t="str">
        <x:v>M3</x:v>
      </x:c>
      <x:c r="C49" s="30" t="str">
        <x:v>W11</x:v>
      </x:c>
      <x:c r="D49" s="50" t="n">
        <x:f>Mechanisms!AD10</x:f>
        <x:v>1</x:v>
      </x:c>
      <x:c r="E49" s="30" t="str">
        <x:f>'Payload Closure'!N9</x:f>
        <x:v>PASS</x:v>
      </x:c>
      <x:c r="F49" s="30" t="str">
        <x:f>IF(Mechanisms!J10&gt;='Mission Worlds'!D17,"PASS","FAIL")</x:f>
        <x:v>PASS</x:v>
      </x:c>
      <x:c r="G49" s="30" t="str">
        <x:f>IF(OR('Mission Worlds'!E17=0,Mechanisms!K10=1),"PASS","FAIL")</x:f>
        <x:v>PASS</x:v>
      </x:c>
      <x:c r="H49" s="30" t="str">
        <x:f>IF(OR('Mission Worlds'!F17=0,Mechanisms!L10=0),"PASS","FAIL")</x:f>
        <x:v>PASS</x:v>
      </x:c>
      <x:c r="I49" s="30" t="str">
        <x:f>IF(OR('Mission Worlds'!G17=0,Mechanisms!M10=0),"PASS","FAIL")</x:f>
        <x:v>PASS</x:v>
      </x:c>
      <x:c r="J49" s="30" t="str">
        <x:f>IF(Mechanisms!N10&gt;='Mission Worlds'!H17,"PASS","FAIL")</x:f>
        <x:v>PASS</x:v>
      </x:c>
      <x:c r="K49" s="30" t="str">
        <x:f>IF(Mechanisms!O10&gt;='Mission Worlds'!I17,"PASS","FAIL")</x:f>
        <x:v>PASS</x:v>
      </x:c>
      <x:c r="L49" s="30" t="str">
        <x:f>IF(Mechanisms!P10&lt;='Mission Worlds'!J17,"PASS","FAIL")</x:f>
        <x:v>PASS</x:v>
      </x:c>
      <x:c r="M49" s="30" t="str">
        <x:f>IF(OR('Mission Worlds'!K17=0,Mechanisms!Q10=1),"PASS","FAIL")</x:f>
        <x:v>PASS</x:v>
      </x:c>
      <x:c r="N49" s="30" t="str">
        <x:f>IF(OR('Mission Worlds'!L17=0,Mechanisms!R10=0),"PASS","FAIL")</x:f>
        <x:v>PASS</x:v>
      </x:c>
      <x:c r="O49" s="30" t="str">
        <x:f>IF(OR('Mission Worlds'!M17=0,Mechanisms!S10=0),"PASS","FAIL")</x:f>
        <x:v>PASS</x:v>
      </x:c>
      <x:c r="P49" s="30" t="str">
        <x:f>IF(OR('Mission Worlds'!N17=0,Mechanisms!T10=1),"PASS","FAIL")</x:f>
        <x:v>PASS</x:v>
      </x:c>
      <x:c r="Q49" s="30" t="str">
        <x:f>IF(Mechanisms!U10&lt;='Mission Worlds'!O17,"PASS","FAIL")</x:f>
        <x:v>PASS</x:v>
      </x:c>
      <x:c r="R49" s="30" t="str">
        <x:f>IF(Mechanisms!V10&gt;='Mission Worlds'!P17,"PASS","FAIL")</x:f>
        <x:v>PASS</x:v>
      </x:c>
      <x:c r="S49" s="30" t="str">
        <x:f>IF(COUNTIF(E49:R49,"FAIL")=0,"PASS","FAIL")</x:f>
        <x:v>PASS</x:v>
      </x:c>
      <x:c r="T49" s="30" t="str">
        <x:f>IF(AND(S49="PASS",Mechanisms!AB10=1),"PASS","FAIL")</x:f>
        <x:v>FAIL</x:v>
      </x:c>
      <x:c r="U49" s="30" t="str">
        <x:f>IF(AND(T49="PASS",'Mission Worlds'!Q17=0),"PASS","FAIL")</x:f>
        <x:v>FAIL</x:v>
      </x:c>
      <x:c r="V49" s="32" t="str">
        <x:f>'Mission Worlds'!R17</x:f>
        <x:v>high-wind launch and receipt</x:v>
      </x:c>
    </x:row>
    <x:row r="50">
      <x:c r="B50" s="30" t="str">
        <x:v>M3</x:v>
      </x:c>
      <x:c r="C50" s="30" t="str">
        <x:v>W12</x:v>
      </x:c>
      <x:c r="D50" s="50" t="n">
        <x:f>Mechanisms!AD10</x:f>
        <x:v>1</x:v>
      </x:c>
      <x:c r="E50" s="30" t="str">
        <x:f>'Payload Closure'!N9</x:f>
        <x:v>PASS</x:v>
      </x:c>
      <x:c r="F50" s="30" t="str">
        <x:f>IF(Mechanisms!J10&gt;='Mission Worlds'!D18,"PASS","FAIL")</x:f>
        <x:v>FAIL</x:v>
      </x:c>
      <x:c r="G50" s="30" t="str">
        <x:f>IF(OR('Mission Worlds'!E18=0,Mechanisms!K10=1),"PASS","FAIL")</x:f>
        <x:v>PASS</x:v>
      </x:c>
      <x:c r="H50" s="30" t="str">
        <x:f>IF(OR('Mission Worlds'!F18=0,Mechanisms!L10=0),"PASS","FAIL")</x:f>
        <x:v>PASS</x:v>
      </x:c>
      <x:c r="I50" s="30" t="str">
        <x:f>IF(OR('Mission Worlds'!G18=0,Mechanisms!M10=0),"PASS","FAIL")</x:f>
        <x:v>PASS</x:v>
      </x:c>
      <x:c r="J50" s="30" t="str">
        <x:f>IF(Mechanisms!N10&gt;='Mission Worlds'!H18,"PASS","FAIL")</x:f>
        <x:v>PASS</x:v>
      </x:c>
      <x:c r="K50" s="30" t="str">
        <x:f>IF(Mechanisms!O10&gt;='Mission Worlds'!I18,"PASS","FAIL")</x:f>
        <x:v>PASS</x:v>
      </x:c>
      <x:c r="L50" s="30" t="str">
        <x:f>IF(Mechanisms!P10&lt;='Mission Worlds'!J18,"PASS","FAIL")</x:f>
        <x:v>PASS</x:v>
      </x:c>
      <x:c r="M50" s="30" t="str">
        <x:f>IF(OR('Mission Worlds'!K18=0,Mechanisms!Q10=1),"PASS","FAIL")</x:f>
        <x:v>PASS</x:v>
      </x:c>
      <x:c r="N50" s="30" t="str">
        <x:f>IF(OR('Mission Worlds'!L18=0,Mechanisms!R10=0),"PASS","FAIL")</x:f>
        <x:v>PASS</x:v>
      </x:c>
      <x:c r="O50" s="30" t="str">
        <x:f>IF(OR('Mission Worlds'!M18=0,Mechanisms!S10=0),"PASS","FAIL")</x:f>
        <x:v>PASS</x:v>
      </x:c>
      <x:c r="P50" s="30" t="str">
        <x:f>IF(OR('Mission Worlds'!N18=0,Mechanisms!T10=1),"PASS","FAIL")</x:f>
        <x:v>PASS</x:v>
      </x:c>
      <x:c r="Q50" s="30" t="str">
        <x:f>IF(Mechanisms!U10&lt;='Mission Worlds'!O18,"PASS","FAIL")</x:f>
        <x:v>PASS</x:v>
      </x:c>
      <x:c r="R50" s="30" t="str">
        <x:f>IF(Mechanisms!V10&gt;='Mission Worlds'!P18,"PASS","FAIL")</x:f>
        <x:v>PASS</x:v>
      </x:c>
      <x:c r="S50" s="30" t="str">
        <x:f>IF(COUNTIF(E50:R50,"FAIL")=0,"PASS","FAIL")</x:f>
        <x:v>FAIL</x:v>
      </x:c>
      <x:c r="T50" s="30" t="str">
        <x:f>IF(AND(S50="PASS",Mechanisms!AB10=1),"PASS","FAIL")</x:f>
        <x:v>FAIL</x:v>
      </x:c>
      <x:c r="U50" s="30" t="str">
        <x:f>IF(AND(T50="PASS",'Mission Worlds'!Q18=0),"PASS","FAIL")</x:f>
        <x:v>FAIL</x:v>
      </x:c>
      <x:c r="V50" s="32" t="str">
        <x:f>'Mission Worlds'!R18</x:f>
        <x:v>long range and offline command</x:v>
      </x:c>
    </x:row>
    <x:row r="51">
      <x:c r="B51" s="30" t="str">
        <x:v>M3</x:v>
      </x:c>
      <x:c r="C51" s="30" t="str">
        <x:v>W13</x:v>
      </x:c>
      <x:c r="D51" s="50" t="n">
        <x:f>Mechanisms!AD10</x:f>
        <x:v>1</x:v>
      </x:c>
      <x:c r="E51" s="30" t="str">
        <x:f>'Payload Closure'!N9</x:f>
        <x:v>PASS</x:v>
      </x:c>
      <x:c r="F51" s="30" t="str">
        <x:f>IF(Mechanisms!J10&gt;='Mission Worlds'!D19,"PASS","FAIL")</x:f>
        <x:v>PASS</x:v>
      </x:c>
      <x:c r="G51" s="30" t="str">
        <x:f>IF(OR('Mission Worlds'!E19=0,Mechanisms!K10=1),"PASS","FAIL")</x:f>
        <x:v>PASS</x:v>
      </x:c>
      <x:c r="H51" s="30" t="str">
        <x:f>IF(OR('Mission Worlds'!F19=0,Mechanisms!L10=0),"PASS","FAIL")</x:f>
        <x:v>PASS</x:v>
      </x:c>
      <x:c r="I51" s="30" t="str">
        <x:f>IF(OR('Mission Worlds'!G19=0,Mechanisms!M10=0),"PASS","FAIL")</x:f>
        <x:v>PASS</x:v>
      </x:c>
      <x:c r="J51" s="30" t="str">
        <x:f>IF(Mechanisms!N10&gt;='Mission Worlds'!H19,"PASS","FAIL")</x:f>
        <x:v>FAIL</x:v>
      </x:c>
      <x:c r="K51" s="30" t="str">
        <x:f>IF(Mechanisms!O10&gt;='Mission Worlds'!I19,"PASS","FAIL")</x:f>
        <x:v>PASS</x:v>
      </x:c>
      <x:c r="L51" s="30" t="str">
        <x:f>IF(Mechanisms!P10&lt;='Mission Worlds'!J19,"PASS","FAIL")</x:f>
        <x:v>PASS</x:v>
      </x:c>
      <x:c r="M51" s="30" t="str">
        <x:f>IF(OR('Mission Worlds'!K19=0,Mechanisms!Q10=1),"PASS","FAIL")</x:f>
        <x:v>PASS</x:v>
      </x:c>
      <x:c r="N51" s="30" t="str">
        <x:f>IF(OR('Mission Worlds'!L19=0,Mechanisms!R10=0),"PASS","FAIL")</x:f>
        <x:v>PASS</x:v>
      </x:c>
      <x:c r="O51" s="30" t="str">
        <x:f>IF(OR('Mission Worlds'!M19=0,Mechanisms!S10=0),"PASS","FAIL")</x:f>
        <x:v>PASS</x:v>
      </x:c>
      <x:c r="P51" s="30" t="str">
        <x:f>IF(OR('Mission Worlds'!N19=0,Mechanisms!T10=1),"PASS","FAIL")</x:f>
        <x:v>PASS</x:v>
      </x:c>
      <x:c r="Q51" s="30" t="str">
        <x:f>IF(Mechanisms!U10&lt;='Mission Worlds'!O19,"PASS","FAIL")</x:f>
        <x:v>FAIL</x:v>
      </x:c>
      <x:c r="R51" s="30" t="str">
        <x:f>IF(Mechanisms!V10&gt;='Mission Worlds'!P19,"PASS","FAIL")</x:f>
        <x:v>PASS</x:v>
      </x:c>
      <x:c r="S51" s="30" t="str">
        <x:f>IF(COUNTIF(E51:R51,"FAIL")=0,"PASS","FAIL")</x:f>
        <x:v>FAIL</x:v>
      </x:c>
      <x:c r="T51" s="30" t="str">
        <x:f>IF(AND(S51="PASS",Mechanisms!AB10=1),"PASS","FAIL")</x:f>
        <x:v>FAIL</x:v>
      </x:c>
      <x:c r="U51" s="30" t="str">
        <x:f>IF(AND(T51="PASS",'Mission Worlds'!Q19=0),"PASS","FAIL")</x:f>
        <x:v>FAIL</x:v>
      </x:c>
      <x:c r="V51" s="32" t="str">
        <x:f>'Mission Worlds'!R19</x:f>
        <x:v>standoff source remains</x:v>
      </x:c>
    </x:row>
    <x:row r="52">
      <x:c r="B52" s="30" t="str">
        <x:v>M3</x:v>
      </x:c>
      <x:c r="C52" s="30" t="str">
        <x:v>W14</x:v>
      </x:c>
      <x:c r="D52" s="50" t="n">
        <x:f>Mechanisms!AD10</x:f>
        <x:v>1</x:v>
      </x:c>
      <x:c r="E52" s="30" t="str">
        <x:f>'Payload Closure'!N9</x:f>
        <x:v>PASS</x:v>
      </x:c>
      <x:c r="F52" s="30" t="str">
        <x:f>IF(Mechanisms!J10&gt;='Mission Worlds'!D20,"PASS","FAIL")</x:f>
        <x:v>PASS</x:v>
      </x:c>
      <x:c r="G52" s="30" t="str">
        <x:f>IF(OR('Mission Worlds'!E20=0,Mechanisms!K10=1),"PASS","FAIL")</x:f>
        <x:v>PASS</x:v>
      </x:c>
      <x:c r="H52" s="30" t="str">
        <x:f>IF(OR('Mission Worlds'!F20=0,Mechanisms!L10=0),"PASS","FAIL")</x:f>
        <x:v>PASS</x:v>
      </x:c>
      <x:c r="I52" s="30" t="str">
        <x:f>IF(OR('Mission Worlds'!G20=0,Mechanisms!M10=0),"PASS","FAIL")</x:f>
        <x:v>PASS</x:v>
      </x:c>
      <x:c r="J52" s="30" t="str">
        <x:f>IF(Mechanisms!N10&gt;='Mission Worlds'!H20,"PASS","FAIL")</x:f>
        <x:v>PASS</x:v>
      </x:c>
      <x:c r="K52" s="30" t="str">
        <x:f>IF(Mechanisms!O10&gt;='Mission Worlds'!I20,"PASS","FAIL")</x:f>
        <x:v>PASS</x:v>
      </x:c>
      <x:c r="L52" s="30" t="str">
        <x:f>IF(Mechanisms!P10&lt;='Mission Worlds'!J20,"PASS","FAIL")</x:f>
        <x:v>PASS</x:v>
      </x:c>
      <x:c r="M52" s="30" t="str">
        <x:f>IF(OR('Mission Worlds'!K20=0,Mechanisms!Q10=1),"PASS","FAIL")</x:f>
        <x:v>PASS</x:v>
      </x:c>
      <x:c r="N52" s="30" t="str">
        <x:f>IF(OR('Mission Worlds'!L20=0,Mechanisms!R10=0),"PASS","FAIL")</x:f>
        <x:v>PASS</x:v>
      </x:c>
      <x:c r="O52" s="30" t="str">
        <x:f>IF(OR('Mission Worlds'!M20=0,Mechanisms!S10=0),"PASS","FAIL")</x:f>
        <x:v>PASS</x:v>
      </x:c>
      <x:c r="P52" s="30" t="str">
        <x:f>IF(OR('Mission Worlds'!N20=0,Mechanisms!T10=1),"PASS","FAIL")</x:f>
        <x:v>PASS</x:v>
      </x:c>
      <x:c r="Q52" s="30" t="str">
        <x:f>IF(Mechanisms!U10&lt;='Mission Worlds'!O20,"PASS","FAIL")</x:f>
        <x:v>PASS</x:v>
      </x:c>
      <x:c r="R52" s="30" t="str">
        <x:f>IF(Mechanisms!V10&gt;='Mission Worlds'!P20,"PASS","FAIL")</x:f>
        <x:v>PASS</x:v>
      </x:c>
      <x:c r="S52" s="30" t="str">
        <x:f>IF(COUNTIF(E52:R52,"FAIL")=0,"PASS","FAIL")</x:f>
        <x:v>PASS</x:v>
      </x:c>
      <x:c r="T52" s="30" t="str">
        <x:f>IF(AND(S52="PASS",Mechanisms!AB10=1),"PASS","FAIL")</x:f>
        <x:v>FAIL</x:v>
      </x:c>
      <x:c r="U52" s="30" t="str">
        <x:f>IF(AND(T52="PASS",'Mission Worlds'!Q20=0),"PASS","FAIL")</x:f>
        <x:v>FAIL</x:v>
      </x:c>
      <x:c r="V52" s="32" t="str">
        <x:f>'Mission Worlds'!R20</x:f>
        <x:v>conversion can substitute for carriage</x:v>
      </x:c>
    </x:row>
    <x:row r="53">
      <x:c r="B53" s="30" t="str">
        <x:v>M3</x:v>
      </x:c>
      <x:c r="C53" s="30" t="str">
        <x:v>W15</x:v>
      </x:c>
      <x:c r="D53" s="50" t="n">
        <x:f>Mechanisms!AD10</x:f>
        <x:v>1</x:v>
      </x:c>
      <x:c r="E53" s="30" t="str">
        <x:f>'Payload Closure'!N9</x:f>
        <x:v>PASS</x:v>
      </x:c>
      <x:c r="F53" s="30" t="str">
        <x:f>IF(Mechanisms!J10&gt;='Mission Worlds'!D21,"PASS","FAIL")</x:f>
        <x:v>FAIL</x:v>
      </x:c>
      <x:c r="G53" s="30" t="str">
        <x:f>IF(OR('Mission Worlds'!E21=0,Mechanisms!K10=1),"PASS","FAIL")</x:f>
        <x:v>PASS</x:v>
      </x:c>
      <x:c r="H53" s="30" t="str">
        <x:f>IF(OR('Mission Worlds'!F21=0,Mechanisms!L10=0),"PASS","FAIL")</x:f>
        <x:v>PASS</x:v>
      </x:c>
      <x:c r="I53" s="30" t="str">
        <x:f>IF(OR('Mission Worlds'!G21=0,Mechanisms!M10=0),"PASS","FAIL")</x:f>
        <x:v>PASS</x:v>
      </x:c>
      <x:c r="J53" s="30" t="str">
        <x:f>IF(Mechanisms!N10&gt;='Mission Worlds'!H21,"PASS","FAIL")</x:f>
        <x:v>PASS</x:v>
      </x:c>
      <x:c r="K53" s="30" t="str">
        <x:f>IF(Mechanisms!O10&gt;='Mission Worlds'!I21,"PASS","FAIL")</x:f>
        <x:v>PASS</x:v>
      </x:c>
      <x:c r="L53" s="30" t="str">
        <x:f>IF(Mechanisms!P10&lt;='Mission Worlds'!J21,"PASS","FAIL")</x:f>
        <x:v>PASS</x:v>
      </x:c>
      <x:c r="M53" s="30" t="str">
        <x:f>IF(OR('Mission Worlds'!K21=0,Mechanisms!Q10=1),"PASS","FAIL")</x:f>
        <x:v>PASS</x:v>
      </x:c>
      <x:c r="N53" s="30" t="str">
        <x:f>IF(OR('Mission Worlds'!L21=0,Mechanisms!R10=0),"PASS","FAIL")</x:f>
        <x:v>PASS</x:v>
      </x:c>
      <x:c r="O53" s="30" t="str">
        <x:f>IF(OR('Mission Worlds'!M21=0,Mechanisms!S10=0),"PASS","FAIL")</x:f>
        <x:v>PASS</x:v>
      </x:c>
      <x:c r="P53" s="30" t="str">
        <x:f>IF(OR('Mission Worlds'!N21=0,Mechanisms!T10=1),"PASS","FAIL")</x:f>
        <x:v>PASS</x:v>
      </x:c>
      <x:c r="Q53" s="30" t="str">
        <x:f>IF(Mechanisms!U10&lt;='Mission Worlds'!O21,"PASS","FAIL")</x:f>
        <x:v>PASS</x:v>
      </x:c>
      <x:c r="R53" s="30" t="str">
        <x:f>IF(Mechanisms!V10&gt;='Mission Worlds'!P21,"PASS","FAIL")</x:f>
        <x:v>FAIL</x:v>
      </x:c>
      <x:c r="S53" s="30" t="str">
        <x:f>IF(COUNTIF(E53:R53,"FAIL")=0,"PASS","FAIL")</x:f>
        <x:v>FAIL</x:v>
      </x:c>
      <x:c r="T53" s="30" t="str">
        <x:f>IF(AND(S53="PASS",Mechanisms!AB10=1),"PASS","FAIL")</x:f>
        <x:v>FAIL</x:v>
      </x:c>
      <x:c r="U53" s="30" t="str">
        <x:f>IF(AND(T53="PASS",'Mission Worlds'!Q21=0),"PASS","FAIL")</x:f>
        <x:v>FAIL</x:v>
      </x:c>
      <x:c r="V53" s="32" t="str">
        <x:f>'Mission Worlds'!R21</x:f>
        <x:v>one national set cannot double count</x:v>
      </x:c>
    </x:row>
    <x:row r="54">
      <x:c r="B54" s="30" t="str">
        <x:v>M3</x:v>
      </x:c>
      <x:c r="C54" s="30" t="str">
        <x:v>W16</x:v>
      </x:c>
      <x:c r="D54" s="50" t="n">
        <x:f>Mechanisms!AD10</x:f>
        <x:v>1</x:v>
      </x:c>
      <x:c r="E54" s="30" t="str">
        <x:f>'Payload Closure'!N9</x:f>
        <x:v>PASS</x:v>
      </x:c>
      <x:c r="F54" s="30" t="str">
        <x:f>IF(Mechanisms!J10&gt;='Mission Worlds'!D22,"PASS","FAIL")</x:f>
        <x:v>PASS</x:v>
      </x:c>
      <x:c r="G54" s="30" t="str">
        <x:f>IF(OR('Mission Worlds'!E22=0,Mechanisms!K10=1),"PASS","FAIL")</x:f>
        <x:v>PASS</x:v>
      </x:c>
      <x:c r="H54" s="30" t="str">
        <x:f>IF(OR('Mission Worlds'!F22=0,Mechanisms!L10=0),"PASS","FAIL")</x:f>
        <x:v>PASS</x:v>
      </x:c>
      <x:c r="I54" s="30" t="str">
        <x:f>IF(OR('Mission Worlds'!G22=0,Mechanisms!M10=0),"PASS","FAIL")</x:f>
        <x:v>PASS</x:v>
      </x:c>
      <x:c r="J54" s="30" t="str">
        <x:f>IF(Mechanisms!N10&gt;='Mission Worlds'!H22,"PASS","FAIL")</x:f>
        <x:v>PASS</x:v>
      </x:c>
      <x:c r="K54" s="30" t="str">
        <x:f>IF(Mechanisms!O10&gt;='Mission Worlds'!I22,"PASS","FAIL")</x:f>
        <x:v>PASS</x:v>
      </x:c>
      <x:c r="L54" s="30" t="str">
        <x:f>IF(Mechanisms!P10&lt;='Mission Worlds'!J22,"PASS","FAIL")</x:f>
        <x:v>PASS</x:v>
      </x:c>
      <x:c r="M54" s="30" t="str">
        <x:f>IF(OR('Mission Worlds'!K22=0,Mechanisms!Q10=1),"PASS","FAIL")</x:f>
        <x:v>PASS</x:v>
      </x:c>
      <x:c r="N54" s="30" t="str">
        <x:f>IF(OR('Mission Worlds'!L22=0,Mechanisms!R10=0),"PASS","FAIL")</x:f>
        <x:v>PASS</x:v>
      </x:c>
      <x:c r="O54" s="30" t="str">
        <x:f>IF(OR('Mission Worlds'!M22=0,Mechanisms!S10=0),"PASS","FAIL")</x:f>
        <x:v>PASS</x:v>
      </x:c>
      <x:c r="P54" s="30" t="str">
        <x:f>IF(OR('Mission Worlds'!N22=0,Mechanisms!T10=1),"PASS","FAIL")</x:f>
        <x:v>PASS</x:v>
      </x:c>
      <x:c r="Q54" s="30" t="str">
        <x:f>IF(Mechanisms!U10&lt;='Mission Worlds'!O22,"PASS","FAIL")</x:f>
        <x:v>PASS</x:v>
      </x:c>
      <x:c r="R54" s="30" t="str">
        <x:f>IF(Mechanisms!V10&gt;='Mission Worlds'!P22,"PASS","FAIL")</x:f>
        <x:v>PASS</x:v>
      </x:c>
      <x:c r="S54" s="30" t="str">
        <x:f>IF(COUNTIF(E54:R54,"FAIL")=0,"PASS","FAIL")</x:f>
        <x:v>PASS</x:v>
      </x:c>
      <x:c r="T54" s="30" t="str">
        <x:f>IF(AND(S54="PASS",Mechanisms!AB10=1),"PASS","FAIL")</x:f>
        <x:v>FAIL</x:v>
      </x:c>
      <x:c r="U54" s="30" t="str">
        <x:f>IF(AND(T54="PASS",'Mission Worlds'!Q22=0),"PASS","FAIL")</x:f>
        <x:v>FAIL</x:v>
      </x:c>
      <x:c r="V54" s="32" t="str">
        <x:f>'Mission Worlds'!R22</x:f>
        <x:v>universal admission stop</x:v>
      </x:c>
    </x:row>
    <x:row r="55">
      <x:c r="B55" s="30" t="str">
        <x:v>M4</x:v>
      </x:c>
      <x:c r="C55" s="30" t="str">
        <x:v>W01</x:v>
      </x:c>
      <x:c r="D55" s="50" t="n">
        <x:f>Mechanisms!AD11</x:f>
        <x:v>1</x:v>
      </x:c>
      <x:c r="E55" s="30" t="str">
        <x:f>'Payload Closure'!N10</x:f>
        <x:v>PASS</x:v>
      </x:c>
      <x:c r="F55" s="30" t="str">
        <x:f>IF(Mechanisms!J11&gt;='Mission Worlds'!D7,"PASS","FAIL")</x:f>
        <x:v>FAIL</x:v>
      </x:c>
      <x:c r="G55" s="30" t="str">
        <x:f>IF(OR('Mission Worlds'!E7=0,Mechanisms!K11=1),"PASS","FAIL")</x:f>
        <x:v>PASS</x:v>
      </x:c>
      <x:c r="H55" s="30" t="str">
        <x:f>IF(OR('Mission Worlds'!F7=0,Mechanisms!L11=0),"PASS","FAIL")</x:f>
        <x:v>PASS</x:v>
      </x:c>
      <x:c r="I55" s="30" t="str">
        <x:f>IF(OR('Mission Worlds'!G7=0,Mechanisms!M11=0),"PASS","FAIL")</x:f>
        <x:v>PASS</x:v>
      </x:c>
      <x:c r="J55" s="30" t="str">
        <x:f>IF(Mechanisms!N11&gt;='Mission Worlds'!H7,"PASS","FAIL")</x:f>
        <x:v>PASS</x:v>
      </x:c>
      <x:c r="K55" s="30" t="str">
        <x:f>IF(Mechanisms!O11&gt;='Mission Worlds'!I7,"PASS","FAIL")</x:f>
        <x:v>PASS</x:v>
      </x:c>
      <x:c r="L55" s="30" t="str">
        <x:f>IF(Mechanisms!P11&lt;='Mission Worlds'!J7,"PASS","FAIL")</x:f>
        <x:v>PASS</x:v>
      </x:c>
      <x:c r="M55" s="30" t="str">
        <x:f>IF(OR('Mission Worlds'!K7=0,Mechanisms!Q11=1),"PASS","FAIL")</x:f>
        <x:v>PASS</x:v>
      </x:c>
      <x:c r="N55" s="30" t="str">
        <x:f>IF(OR('Mission Worlds'!L7=0,Mechanisms!R11=0),"PASS","FAIL")</x:f>
        <x:v>PASS</x:v>
      </x:c>
      <x:c r="O55" s="30" t="str">
        <x:f>IF(OR('Mission Worlds'!M7=0,Mechanisms!S11=0),"PASS","FAIL")</x:f>
        <x:v>PASS</x:v>
      </x:c>
      <x:c r="P55" s="30" t="str">
        <x:f>IF(OR('Mission Worlds'!N7=0,Mechanisms!T11=1),"PASS","FAIL")</x:f>
        <x:v>PASS</x:v>
      </x:c>
      <x:c r="Q55" s="30" t="str">
        <x:f>IF(Mechanisms!U11&lt;='Mission Worlds'!O7,"PASS","FAIL")</x:f>
        <x:v>PASS</x:v>
      </x:c>
      <x:c r="R55" s="30" t="str">
        <x:f>IF(Mechanisms!V11&gt;='Mission Worlds'!P7,"PASS","FAIL")</x:f>
        <x:v>PASS</x:v>
      </x:c>
      <x:c r="S55" s="30" t="str">
        <x:f>IF(COUNTIF(E55:R55,"FAIL")=0,"PASS","FAIL")</x:f>
        <x:v>FAIL</x:v>
      </x:c>
      <x:c r="T55" s="30" t="str">
        <x:f>IF(AND(S55="PASS",Mechanisms!AB11=1),"PASS","FAIL")</x:f>
        <x:v>FAIL</x:v>
      </x:c>
      <x:c r="U55" s="30" t="str">
        <x:f>IF(AND(T55="PASS",'Mission Worlds'!Q7=0),"PASS","FAIL")</x:f>
        <x:v>FAIL</x:v>
      </x:c>
      <x:c r="V55" s="32" t="str">
        <x:f>'Mission Worlds'!R7</x:f>
        <x:v>no inherited terminal</x:v>
      </x:c>
    </x:row>
    <x:row r="56">
      <x:c r="B56" s="30" t="str">
        <x:v>M4</x:v>
      </x:c>
      <x:c r="C56" s="30" t="str">
        <x:v>W02</x:v>
      </x:c>
      <x:c r="D56" s="50" t="n">
        <x:f>Mechanisms!AD11</x:f>
        <x:v>1</x:v>
      </x:c>
      <x:c r="E56" s="30" t="str">
        <x:f>'Payload Closure'!N10</x:f>
        <x:v>PASS</x:v>
      </x:c>
      <x:c r="F56" s="30" t="str">
        <x:f>IF(Mechanisms!J11&gt;='Mission Worlds'!D8,"PASS","FAIL")</x:f>
        <x:v>PASS</x:v>
      </x:c>
      <x:c r="G56" s="30" t="str">
        <x:f>IF(OR('Mission Worlds'!E8=0,Mechanisms!K11=1),"PASS","FAIL")</x:f>
        <x:v>PASS</x:v>
      </x:c>
      <x:c r="H56" s="30" t="str">
        <x:f>IF(OR('Mission Worlds'!F8=0,Mechanisms!L11=0),"PASS","FAIL")</x:f>
        <x:v>PASS</x:v>
      </x:c>
      <x:c r="I56" s="30" t="str">
        <x:f>IF(OR('Mission Worlds'!G8=0,Mechanisms!M11=0),"PASS","FAIL")</x:f>
        <x:v>PASS</x:v>
      </x:c>
      <x:c r="J56" s="30" t="str">
        <x:f>IF(Mechanisms!N11&gt;='Mission Worlds'!H8,"PASS","FAIL")</x:f>
        <x:v>PASS</x:v>
      </x:c>
      <x:c r="K56" s="30" t="str">
        <x:f>IF(Mechanisms!O11&gt;='Mission Worlds'!I8,"PASS","FAIL")</x:f>
        <x:v>PASS</x:v>
      </x:c>
      <x:c r="L56" s="30" t="str">
        <x:f>IF(Mechanisms!P11&lt;='Mission Worlds'!J8,"PASS","FAIL")</x:f>
        <x:v>PASS</x:v>
      </x:c>
      <x:c r="M56" s="30" t="str">
        <x:f>IF(OR('Mission Worlds'!K8=0,Mechanisms!Q11=1),"PASS","FAIL")</x:f>
        <x:v>PASS</x:v>
      </x:c>
      <x:c r="N56" s="30" t="str">
        <x:f>IF(OR('Mission Worlds'!L8=0,Mechanisms!R11=0),"PASS","FAIL")</x:f>
        <x:v>PASS</x:v>
      </x:c>
      <x:c r="O56" s="30" t="str">
        <x:f>IF(OR('Mission Worlds'!M8=0,Mechanisms!S11=0),"PASS","FAIL")</x:f>
        <x:v>PASS</x:v>
      </x:c>
      <x:c r="P56" s="30" t="str">
        <x:f>IF(OR('Mission Worlds'!N8=0,Mechanisms!T11=1),"PASS","FAIL")</x:f>
        <x:v>PASS</x:v>
      </x:c>
      <x:c r="Q56" s="30" t="str">
        <x:f>IF(Mechanisms!U11&lt;='Mission Worlds'!O8,"PASS","FAIL")</x:f>
        <x:v>PASS</x:v>
      </x:c>
      <x:c r="R56" s="30" t="str">
        <x:f>IF(Mechanisms!V11&gt;='Mission Worlds'!P8,"PASS","FAIL")</x:f>
        <x:v>PASS</x:v>
      </x:c>
      <x:c r="S56" s="30" t="str">
        <x:f>IF(COUNTIF(E56:R56,"FAIL")=0,"PASS","FAIL")</x:f>
        <x:v>PASS</x:v>
      </x:c>
      <x:c r="T56" s="30" t="str">
        <x:f>IF(AND(S56="PASS",Mechanisms!AB11=1),"PASS","FAIL")</x:f>
        <x:v>FAIL</x:v>
      </x:c>
      <x:c r="U56" s="30" t="str">
        <x:f>IF(AND(T56="PASS",'Mission Worlds'!Q8=0),"PASS","FAIL")</x:f>
        <x:v>FAIL</x:v>
      </x:c>
      <x:c r="V56" s="32" t="str">
        <x:f>'Mission Worlds'!R8</x:f>
        <x:v>water approach remains</x:v>
      </x:c>
    </x:row>
    <x:row r="57">
      <x:c r="B57" s="30" t="str">
        <x:v>M4</x:v>
      </x:c>
      <x:c r="C57" s="30" t="str">
        <x:v>W03</x:v>
      </x:c>
      <x:c r="D57" s="50" t="n">
        <x:f>Mechanisms!AD11</x:f>
        <x:v>1</x:v>
      </x:c>
      <x:c r="E57" s="30" t="str">
        <x:f>'Payload Closure'!N10</x:f>
        <x:v>PASS</x:v>
      </x:c>
      <x:c r="F57" s="30" t="str">
        <x:f>IF(Mechanisms!J11&gt;='Mission Worlds'!D9,"PASS","FAIL")</x:f>
        <x:v>PASS</x:v>
      </x:c>
      <x:c r="G57" s="30" t="str">
        <x:f>IF(OR('Mission Worlds'!E9=0,Mechanisms!K11=1),"PASS","FAIL")</x:f>
        <x:v>PASS</x:v>
      </x:c>
      <x:c r="H57" s="30" t="str">
        <x:f>IF(OR('Mission Worlds'!F9=0,Mechanisms!L11=0),"PASS","FAIL")</x:f>
        <x:v>PASS</x:v>
      </x:c>
      <x:c r="I57" s="30" t="str">
        <x:f>IF(OR('Mission Worlds'!G9=0,Mechanisms!M11=0),"PASS","FAIL")</x:f>
        <x:v>PASS</x:v>
      </x:c>
      <x:c r="J57" s="30" t="str">
        <x:f>IF(Mechanisms!N11&gt;='Mission Worlds'!H9,"PASS","FAIL")</x:f>
        <x:v>PASS</x:v>
      </x:c>
      <x:c r="K57" s="30" t="str">
        <x:f>IF(Mechanisms!O11&gt;='Mission Worlds'!I9,"PASS","FAIL")</x:f>
        <x:v>PASS</x:v>
      </x:c>
      <x:c r="L57" s="30" t="str">
        <x:f>IF(Mechanisms!P11&lt;='Mission Worlds'!J9,"PASS","FAIL")</x:f>
        <x:v>PASS</x:v>
      </x:c>
      <x:c r="M57" s="30" t="str">
        <x:f>IF(OR('Mission Worlds'!K9=0,Mechanisms!Q11=1),"PASS","FAIL")</x:f>
        <x:v>PASS</x:v>
      </x:c>
      <x:c r="N57" s="30" t="str">
        <x:f>IF(OR('Mission Worlds'!L9=0,Mechanisms!R11=0),"PASS","FAIL")</x:f>
        <x:v>PASS</x:v>
      </x:c>
      <x:c r="O57" s="30" t="str">
        <x:f>IF(OR('Mission Worlds'!M9=0,Mechanisms!S11=0),"PASS","FAIL")</x:f>
        <x:v>PASS</x:v>
      </x:c>
      <x:c r="P57" s="30" t="str">
        <x:f>IF(OR('Mission Worlds'!N9=0,Mechanisms!T11=1),"PASS","FAIL")</x:f>
        <x:v>PASS</x:v>
      </x:c>
      <x:c r="Q57" s="30" t="str">
        <x:f>IF(Mechanisms!U11&lt;='Mission Worlds'!O9,"PASS","FAIL")</x:f>
        <x:v>PASS</x:v>
      </x:c>
      <x:c r="R57" s="30" t="str">
        <x:f>IF(Mechanisms!V11&gt;='Mission Worlds'!P9,"PASS","FAIL")</x:f>
        <x:v>PASS</x:v>
      </x:c>
      <x:c r="S57" s="30" t="str">
        <x:f>IF(COUNTIF(E57:R57,"FAIL")=0,"PASS","FAIL")</x:f>
        <x:v>PASS</x:v>
      </x:c>
      <x:c r="T57" s="30" t="str">
        <x:f>IF(AND(S57="PASS",Mechanisms!AB11=1),"PASS","FAIL")</x:f>
        <x:v>FAIL</x:v>
      </x:c>
      <x:c r="U57" s="30" t="str">
        <x:f>IF(AND(T57="PASS",'Mission Worlds'!Q9=0),"PASS","FAIL")</x:f>
        <x:v>FAIL</x:v>
      </x:c>
      <x:c r="V57" s="32" t="str">
        <x:f>'Mission Worlds'!R9</x:f>
        <x:v>nearby source may survive</x:v>
      </x:c>
    </x:row>
    <x:row r="58">
      <x:c r="B58" s="30" t="str">
        <x:v>M4</x:v>
      </x:c>
      <x:c r="C58" s="30" t="str">
        <x:v>W04</x:v>
      </x:c>
      <x:c r="D58" s="50" t="n">
        <x:f>Mechanisms!AD11</x:f>
        <x:v>1</x:v>
      </x:c>
      <x:c r="E58" s="30" t="str">
        <x:f>'Payload Closure'!N10</x:f>
        <x:v>PASS</x:v>
      </x:c>
      <x:c r="F58" s="30" t="str">
        <x:f>IF(Mechanisms!J11&gt;='Mission Worlds'!D10,"PASS","FAIL")</x:f>
        <x:v>PASS</x:v>
      </x:c>
      <x:c r="G58" s="30" t="str">
        <x:f>IF(OR('Mission Worlds'!E10=0,Mechanisms!K11=1),"PASS","FAIL")</x:f>
        <x:v>PASS</x:v>
      </x:c>
      <x:c r="H58" s="30" t="str">
        <x:f>IF(OR('Mission Worlds'!F10=0,Mechanisms!L11=0),"PASS","FAIL")</x:f>
        <x:v>PASS</x:v>
      </x:c>
      <x:c r="I58" s="30" t="str">
        <x:f>IF(OR('Mission Worlds'!G10=0,Mechanisms!M11=0),"PASS","FAIL")</x:f>
        <x:v>PASS</x:v>
      </x:c>
      <x:c r="J58" s="30" t="str">
        <x:f>IF(Mechanisms!N11&gt;='Mission Worlds'!H10,"PASS","FAIL")</x:f>
        <x:v>PASS</x:v>
      </x:c>
      <x:c r="K58" s="30" t="str">
        <x:f>IF(Mechanisms!O11&gt;='Mission Worlds'!I10,"PASS","FAIL")</x:f>
        <x:v>PASS</x:v>
      </x:c>
      <x:c r="L58" s="30" t="str">
        <x:f>IF(Mechanisms!P11&lt;='Mission Worlds'!J10,"PASS","FAIL")</x:f>
        <x:v>PASS</x:v>
      </x:c>
      <x:c r="M58" s="30" t="str">
        <x:f>IF(OR('Mission Worlds'!K10=0,Mechanisms!Q11=1),"PASS","FAIL")</x:f>
        <x:v>PASS</x:v>
      </x:c>
      <x:c r="N58" s="30" t="str">
        <x:f>IF(OR('Mission Worlds'!L10=0,Mechanisms!R11=0),"PASS","FAIL")</x:f>
        <x:v>PASS</x:v>
      </x:c>
      <x:c r="O58" s="30" t="str">
        <x:f>IF(OR('Mission Worlds'!M10=0,Mechanisms!S11=0),"PASS","FAIL")</x:f>
        <x:v>PASS</x:v>
      </x:c>
      <x:c r="P58" s="30" t="str">
        <x:f>IF(OR('Mission Worlds'!N10=0,Mechanisms!T11=1),"PASS","FAIL")</x:f>
        <x:v>PASS</x:v>
      </x:c>
      <x:c r="Q58" s="30" t="str">
        <x:f>IF(Mechanisms!U11&lt;='Mission Worlds'!O10,"PASS","FAIL")</x:f>
        <x:v>PASS</x:v>
      </x:c>
      <x:c r="R58" s="30" t="str">
        <x:f>IF(Mechanisms!V11&gt;='Mission Worlds'!P10,"PASS","FAIL")</x:f>
        <x:v>PASS</x:v>
      </x:c>
      <x:c r="S58" s="30" t="str">
        <x:f>IF(COUNTIF(E58:R58,"FAIL")=0,"PASS","FAIL")</x:f>
        <x:v>PASS</x:v>
      </x:c>
      <x:c r="T58" s="30" t="str">
        <x:f>IF(AND(S58="PASS",Mechanisms!AB11=1),"PASS","FAIL")</x:f>
        <x:v>FAIL</x:v>
      </x:c>
      <x:c r="U58" s="30" t="str">
        <x:f>IF(AND(T58="PASS",'Mission Worlds'!Q10=0),"PASS","FAIL")</x:f>
        <x:v>FAIL</x:v>
      </x:c>
      <x:c r="V58" s="32" t="str">
        <x:f>'Mission Worlds'!R10</x:f>
        <x:v>all legacy surface paths lost</x:v>
      </x:c>
    </x:row>
    <x:row r="59">
      <x:c r="B59" s="30" t="str">
        <x:v>M4</x:v>
      </x:c>
      <x:c r="C59" s="30" t="str">
        <x:v>W05</x:v>
      </x:c>
      <x:c r="D59" s="50" t="n">
        <x:f>Mechanisms!AD11</x:f>
        <x:v>1</x:v>
      </x:c>
      <x:c r="E59" s="30" t="str">
        <x:f>'Payload Closure'!N10</x:f>
        <x:v>PASS</x:v>
      </x:c>
      <x:c r="F59" s="30" t="str">
        <x:f>IF(Mechanisms!J11&gt;='Mission Worlds'!D11,"PASS","FAIL")</x:f>
        <x:v>PASS</x:v>
      </x:c>
      <x:c r="G59" s="30" t="str">
        <x:f>IF(OR('Mission Worlds'!E11=0,Mechanisms!K11=1),"PASS","FAIL")</x:f>
        <x:v>PASS</x:v>
      </x:c>
      <x:c r="H59" s="30" t="str">
        <x:f>IF(OR('Mission Worlds'!F11=0,Mechanisms!L11=0),"PASS","FAIL")</x:f>
        <x:v>PASS</x:v>
      </x:c>
      <x:c r="I59" s="30" t="str">
        <x:f>IF(OR('Mission Worlds'!G11=0,Mechanisms!M11=0),"PASS","FAIL")</x:f>
        <x:v>PASS</x:v>
      </x:c>
      <x:c r="J59" s="30" t="str">
        <x:f>IF(Mechanisms!N11&gt;='Mission Worlds'!H11,"PASS","FAIL")</x:f>
        <x:v>FAIL</x:v>
      </x:c>
      <x:c r="K59" s="30" t="str">
        <x:f>IF(Mechanisms!O11&gt;='Mission Worlds'!I11,"PASS","FAIL")</x:f>
        <x:v>PASS</x:v>
      </x:c>
      <x:c r="L59" s="30" t="str">
        <x:f>IF(Mechanisms!P11&lt;='Mission Worlds'!J11,"PASS","FAIL")</x:f>
        <x:v>PASS</x:v>
      </x:c>
      <x:c r="M59" s="30" t="str">
        <x:f>IF(OR('Mission Worlds'!K11=0,Mechanisms!Q11=1),"PASS","FAIL")</x:f>
        <x:v>PASS</x:v>
      </x:c>
      <x:c r="N59" s="30" t="str">
        <x:f>IF(OR('Mission Worlds'!L11=0,Mechanisms!R11=0),"PASS","FAIL")</x:f>
        <x:v>PASS</x:v>
      </x:c>
      <x:c r="O59" s="30" t="str">
        <x:f>IF(OR('Mission Worlds'!M11=0,Mechanisms!S11=0),"PASS","FAIL")</x:f>
        <x:v>PASS</x:v>
      </x:c>
      <x:c r="P59" s="30" t="str">
        <x:f>IF(OR('Mission Worlds'!N11=0,Mechanisms!T11=1),"PASS","FAIL")</x:f>
        <x:v>PASS</x:v>
      </x:c>
      <x:c r="Q59" s="30" t="str">
        <x:f>IF(Mechanisms!U11&lt;='Mission Worlds'!O11,"PASS","FAIL")</x:f>
        <x:v>PASS</x:v>
      </x:c>
      <x:c r="R59" s="30" t="str">
        <x:f>IF(Mechanisms!V11&gt;='Mission Worlds'!P11,"PASS","FAIL")</x:f>
        <x:v>PASS</x:v>
      </x:c>
      <x:c r="S59" s="30" t="str">
        <x:f>IF(COUNTIF(E59:R59,"FAIL")=0,"PASS","FAIL")</x:f>
        <x:v>FAIL</x:v>
      </x:c>
      <x:c r="T59" s="30" t="str">
        <x:f>IF(AND(S59="PASS",Mechanisms!AB11=1),"PASS","FAIL")</x:f>
        <x:v>FAIL</x:v>
      </x:c>
      <x:c r="U59" s="30" t="str">
        <x:f>IF(AND(T59="PASS",'Mission Worlds'!Q11=0),"PASS","FAIL")</x:f>
        <x:v>FAIL</x:v>
      </x:c>
      <x:c r="V59" s="32" t="str">
        <x:f>'Mission Worlds'!R11</x:f>
        <x:v>steep receiving terrain</x:v>
      </x:c>
    </x:row>
    <x:row r="60">
      <x:c r="B60" s="30" t="str">
        <x:v>M4</x:v>
      </x:c>
      <x:c r="C60" s="30" t="str">
        <x:v>W06</x:v>
      </x:c>
      <x:c r="D60" s="50" t="n">
        <x:f>Mechanisms!AD11</x:f>
        <x:v>1</x:v>
      </x:c>
      <x:c r="E60" s="30" t="str">
        <x:f>'Payload Closure'!N10</x:f>
        <x:v>PASS</x:v>
      </x:c>
      <x:c r="F60" s="30" t="str">
        <x:f>IF(Mechanisms!J11&gt;='Mission Worlds'!D12,"PASS","FAIL")</x:f>
        <x:v>PASS</x:v>
      </x:c>
      <x:c r="G60" s="30" t="str">
        <x:f>IF(OR('Mission Worlds'!E12=0,Mechanisms!K11=1),"PASS","FAIL")</x:f>
        <x:v>PASS</x:v>
      </x:c>
      <x:c r="H60" s="30" t="str">
        <x:f>IF(OR('Mission Worlds'!F12=0,Mechanisms!L11=0),"PASS","FAIL")</x:f>
        <x:v>PASS</x:v>
      </x:c>
      <x:c r="I60" s="30" t="str">
        <x:f>IF(OR('Mission Worlds'!G12=0,Mechanisms!M11=0),"PASS","FAIL")</x:f>
        <x:v>PASS</x:v>
      </x:c>
      <x:c r="J60" s="30" t="str">
        <x:f>IF(Mechanisms!N11&gt;='Mission Worlds'!H12,"PASS","FAIL")</x:f>
        <x:v>PASS</x:v>
      </x:c>
      <x:c r="K60" s="30" t="str">
        <x:f>IF(Mechanisms!O11&gt;='Mission Worlds'!I12,"PASS","FAIL")</x:f>
        <x:v>PASS</x:v>
      </x:c>
      <x:c r="L60" s="30" t="str">
        <x:f>IF(Mechanisms!P11&lt;='Mission Worlds'!J12,"PASS","FAIL")</x:f>
        <x:v>PASS</x:v>
      </x:c>
      <x:c r="M60" s="30" t="str">
        <x:f>IF(OR('Mission Worlds'!K12=0,Mechanisms!Q11=1),"PASS","FAIL")</x:f>
        <x:v>PASS</x:v>
      </x:c>
      <x:c r="N60" s="30" t="str">
        <x:f>IF(OR('Mission Worlds'!L12=0,Mechanisms!R11=0),"PASS","FAIL")</x:f>
        <x:v>PASS</x:v>
      </x:c>
      <x:c r="O60" s="30" t="str">
        <x:f>IF(OR('Mission Worlds'!M12=0,Mechanisms!S11=0),"PASS","FAIL")</x:f>
        <x:v>PASS</x:v>
      </x:c>
      <x:c r="P60" s="30" t="str">
        <x:f>IF(OR('Mission Worlds'!N12=0,Mechanisms!T11=1),"PASS","FAIL")</x:f>
        <x:v>PASS</x:v>
      </x:c>
      <x:c r="Q60" s="30" t="str">
        <x:f>IF(Mechanisms!U11&lt;='Mission Worlds'!O12,"PASS","FAIL")</x:f>
        <x:v>PASS</x:v>
      </x:c>
      <x:c r="R60" s="30" t="str">
        <x:f>IF(Mechanisms!V11&gt;='Mission Worlds'!P12,"PASS","FAIL")</x:f>
        <x:v>PASS</x:v>
      </x:c>
      <x:c r="S60" s="30" t="str">
        <x:f>IF(COUNTIF(E60:R60,"FAIL")=0,"PASS","FAIL")</x:f>
        <x:v>PASS</x:v>
      </x:c>
      <x:c r="T60" s="30" t="str">
        <x:f>IF(AND(S60="PASS",Mechanisms!AB11=1),"PASS","FAIL")</x:f>
        <x:v>FAIL</x:v>
      </x:c>
      <x:c r="U60" s="30" t="str">
        <x:f>IF(AND(T60="PASS",'Mission Worlds'!Q12=0),"PASS","FAIL")</x:f>
        <x:v>FAIL</x:v>
      </x:c>
      <x:c r="V60" s="32" t="str">
        <x:f>'Mission Worlds'!R12</x:f>
        <x:v>high ambient and no local feed</x:v>
      </x:c>
    </x:row>
    <x:row r="61">
      <x:c r="B61" s="30" t="str">
        <x:v>M4</x:v>
      </x:c>
      <x:c r="C61" s="30" t="str">
        <x:v>W07</x:v>
      </x:c>
      <x:c r="D61" s="50" t="n">
        <x:f>Mechanisms!AD11</x:f>
        <x:v>1</x:v>
      </x:c>
      <x:c r="E61" s="30" t="str">
        <x:f>'Payload Closure'!N10</x:f>
        <x:v>PASS</x:v>
      </x:c>
      <x:c r="F61" s="30" t="str">
        <x:f>IF(Mechanisms!J11&gt;='Mission Worlds'!D13,"PASS","FAIL")</x:f>
        <x:v>PASS</x:v>
      </x:c>
      <x:c r="G61" s="30" t="str">
        <x:f>IF(OR('Mission Worlds'!E13=0,Mechanisms!K11=1),"PASS","FAIL")</x:f>
        <x:v>PASS</x:v>
      </x:c>
      <x:c r="H61" s="30" t="str">
        <x:f>IF(OR('Mission Worlds'!F13=0,Mechanisms!L11=0),"PASS","FAIL")</x:f>
        <x:v>PASS</x:v>
      </x:c>
      <x:c r="I61" s="30" t="str">
        <x:f>IF(OR('Mission Worlds'!G13=0,Mechanisms!M11=0),"PASS","FAIL")</x:f>
        <x:v>PASS</x:v>
      </x:c>
      <x:c r="J61" s="30" t="str">
        <x:f>IF(Mechanisms!N11&gt;='Mission Worlds'!H13,"PASS","FAIL")</x:f>
        <x:v>PASS</x:v>
      </x:c>
      <x:c r="K61" s="30" t="str">
        <x:f>IF(Mechanisms!O11&gt;='Mission Worlds'!I13,"PASS","FAIL")</x:f>
        <x:v>PASS</x:v>
      </x:c>
      <x:c r="L61" s="30" t="str">
        <x:f>IF(Mechanisms!P11&lt;='Mission Worlds'!J13,"PASS","FAIL")</x:f>
        <x:v>PASS</x:v>
      </x:c>
      <x:c r="M61" s="30" t="str">
        <x:f>IF(OR('Mission Worlds'!K13=0,Mechanisms!Q11=1),"PASS","FAIL")</x:f>
        <x:v>PASS</x:v>
      </x:c>
      <x:c r="N61" s="30" t="str">
        <x:f>IF(OR('Mission Worlds'!L13=0,Mechanisms!R11=0),"PASS","FAIL")</x:f>
        <x:v>PASS</x:v>
      </x:c>
      <x:c r="O61" s="30" t="str">
        <x:f>IF(OR('Mission Worlds'!M13=0,Mechanisms!S11=0),"PASS","FAIL")</x:f>
        <x:v>PASS</x:v>
      </x:c>
      <x:c r="P61" s="30" t="str">
        <x:f>IF(OR('Mission Worlds'!N13=0,Mechanisms!T11=1),"PASS","FAIL")</x:f>
        <x:v>PASS</x:v>
      </x:c>
      <x:c r="Q61" s="30" t="str">
        <x:f>IF(Mechanisms!U11&lt;='Mission Worlds'!O13,"PASS","FAIL")</x:f>
        <x:v>PASS</x:v>
      </x:c>
      <x:c r="R61" s="30" t="str">
        <x:f>IF(Mechanisms!V11&gt;='Mission Worlds'!P13,"PASS","FAIL")</x:f>
        <x:v>PASS</x:v>
      </x:c>
      <x:c r="S61" s="30" t="str">
        <x:f>IF(COUNTIF(E61:R61,"FAIL")=0,"PASS","FAIL")</x:f>
        <x:v>PASS</x:v>
      </x:c>
      <x:c r="T61" s="30" t="str">
        <x:f>IF(AND(S61="PASS",Mechanisms!AB11=1),"PASS","FAIL")</x:f>
        <x:v>FAIL</x:v>
      </x:c>
      <x:c r="U61" s="30" t="str">
        <x:f>IF(AND(T61="PASS",'Mission Worlds'!Q13=0),"PASS","FAIL")</x:f>
        <x:v>FAIL</x:v>
      </x:c>
      <x:c r="V61" s="32" t="str">
        <x:f>'Mission Worlds'!R13</x:f>
        <x:v>surface-water approach denied</x:v>
      </x:c>
    </x:row>
    <x:row r="62">
      <x:c r="B62" s="30" t="str">
        <x:v>M4</x:v>
      </x:c>
      <x:c r="C62" s="30" t="str">
        <x:v>W08</x:v>
      </x:c>
      <x:c r="D62" s="50" t="n">
        <x:f>Mechanisms!AD11</x:f>
        <x:v>1</x:v>
      </x:c>
      <x:c r="E62" s="30" t="str">
        <x:f>'Payload Closure'!N10</x:f>
        <x:v>PASS</x:v>
      </x:c>
      <x:c r="F62" s="30" t="str">
        <x:f>IF(Mechanisms!J11&gt;='Mission Worlds'!D14,"PASS","FAIL")</x:f>
        <x:v>FAIL</x:v>
      </x:c>
      <x:c r="G62" s="30" t="str">
        <x:f>IF(OR('Mission Worlds'!E14=0,Mechanisms!K11=1),"PASS","FAIL")</x:f>
        <x:v>PASS</x:v>
      </x:c>
      <x:c r="H62" s="30" t="str">
        <x:f>IF(OR('Mission Worlds'!F14=0,Mechanisms!L11=0),"PASS","FAIL")</x:f>
        <x:v>PASS</x:v>
      </x:c>
      <x:c r="I62" s="30" t="str">
        <x:f>IF(OR('Mission Worlds'!G14=0,Mechanisms!M11=0),"PASS","FAIL")</x:f>
        <x:v>PASS</x:v>
      </x:c>
      <x:c r="J62" s="30" t="str">
        <x:f>IF(Mechanisms!N11&gt;='Mission Worlds'!H14,"PASS","FAIL")</x:f>
        <x:v>PASS</x:v>
      </x:c>
      <x:c r="K62" s="30" t="str">
        <x:f>IF(Mechanisms!O11&gt;='Mission Worlds'!I14,"PASS","FAIL")</x:f>
        <x:v>PASS</x:v>
      </x:c>
      <x:c r="L62" s="30" t="str">
        <x:f>IF(Mechanisms!P11&lt;='Mission Worlds'!J14,"PASS","FAIL")</x:f>
        <x:v>PASS</x:v>
      </x:c>
      <x:c r="M62" s="30" t="str">
        <x:f>IF(OR('Mission Worlds'!K14=0,Mechanisms!Q11=1),"PASS","FAIL")</x:f>
        <x:v>PASS</x:v>
      </x:c>
      <x:c r="N62" s="30" t="str">
        <x:f>IF(OR('Mission Worlds'!L14=0,Mechanisms!R11=0),"PASS","FAIL")</x:f>
        <x:v>PASS</x:v>
      </x:c>
      <x:c r="O62" s="30" t="str">
        <x:f>IF(OR('Mission Worlds'!M14=0,Mechanisms!S11=0),"PASS","FAIL")</x:f>
        <x:v>PASS</x:v>
      </x:c>
      <x:c r="P62" s="30" t="str">
        <x:f>IF(OR('Mission Worlds'!N14=0,Mechanisms!T11=1),"PASS","FAIL")</x:f>
        <x:v>PASS</x:v>
      </x:c>
      <x:c r="Q62" s="30" t="str">
        <x:f>IF(Mechanisms!U11&lt;='Mission Worlds'!O14,"PASS","FAIL")</x:f>
        <x:v>PASS</x:v>
      </x:c>
      <x:c r="R62" s="30" t="str">
        <x:f>IF(Mechanisms!V11&gt;='Mission Worlds'!P14,"PASS","FAIL")</x:f>
        <x:v>PASS</x:v>
      </x:c>
      <x:c r="S62" s="30" t="str">
        <x:f>IF(COUNTIF(E62:R62,"FAIL")=0,"PASS","FAIL")</x:f>
        <x:v>FAIL</x:v>
      </x:c>
      <x:c r="T62" s="30" t="str">
        <x:f>IF(AND(S62="PASS",Mechanisms!AB11=1),"PASS","FAIL")</x:f>
        <x:v>FAIL</x:v>
      </x:c>
      <x:c r="U62" s="30" t="str">
        <x:f>IF(AND(T62="PASS",'Mission Worlds'!Q14=0),"PASS","FAIL")</x:f>
        <x:v>FAIL</x:v>
      </x:c>
      <x:c r="V62" s="32" t="str">
        <x:f>'Mission Worlds'!R14</x:f>
        <x:v>long range and austere receiver</x:v>
      </x:c>
    </x:row>
    <x:row r="63">
      <x:c r="B63" s="30" t="str">
        <x:v>M4</x:v>
      </x:c>
      <x:c r="C63" s="30" t="str">
        <x:v>W09</x:v>
      </x:c>
      <x:c r="D63" s="50" t="n">
        <x:f>Mechanisms!AD11</x:f>
        <x:v>1</x:v>
      </x:c>
      <x:c r="E63" s="30" t="str">
        <x:f>'Payload Closure'!N10</x:f>
        <x:v>PASS</x:v>
      </x:c>
      <x:c r="F63" s="30" t="str">
        <x:f>IF(Mechanisms!J11&gt;='Mission Worlds'!D15,"PASS","FAIL")</x:f>
        <x:v>PASS</x:v>
      </x:c>
      <x:c r="G63" s="30" t="str">
        <x:f>IF(OR('Mission Worlds'!E15=0,Mechanisms!K11=1),"PASS","FAIL")</x:f>
        <x:v>PASS</x:v>
      </x:c>
      <x:c r="H63" s="30" t="str">
        <x:f>IF(OR('Mission Worlds'!F15=0,Mechanisms!L11=0),"PASS","FAIL")</x:f>
        <x:v>PASS</x:v>
      </x:c>
      <x:c r="I63" s="30" t="str">
        <x:f>IF(OR('Mission Worlds'!G15=0,Mechanisms!M11=0),"PASS","FAIL")</x:f>
        <x:v>PASS</x:v>
      </x:c>
      <x:c r="J63" s="30" t="str">
        <x:f>IF(Mechanisms!N11&gt;='Mission Worlds'!H15,"PASS","FAIL")</x:f>
        <x:v>PASS</x:v>
      </x:c>
      <x:c r="K63" s="30" t="str">
        <x:f>IF(Mechanisms!O11&gt;='Mission Worlds'!I15,"PASS","FAIL")</x:f>
        <x:v>PASS</x:v>
      </x:c>
      <x:c r="L63" s="30" t="str">
        <x:f>IF(Mechanisms!P11&lt;='Mission Worlds'!J15,"PASS","FAIL")</x:f>
        <x:v>PASS</x:v>
      </x:c>
      <x:c r="M63" s="30" t="str">
        <x:f>IF(OR('Mission Worlds'!K15=0,Mechanisms!Q11=1),"PASS","FAIL")</x:f>
        <x:v>FAIL</x:v>
      </x:c>
      <x:c r="N63" s="30" t="str">
        <x:f>IF(OR('Mission Worlds'!L15=0,Mechanisms!R11=0),"PASS","FAIL")</x:f>
        <x:v>PASS</x:v>
      </x:c>
      <x:c r="O63" s="30" t="str">
        <x:f>IF(OR('Mission Worlds'!M15=0,Mechanisms!S11=0),"PASS","FAIL")</x:f>
        <x:v>PASS</x:v>
      </x:c>
      <x:c r="P63" s="30" t="str">
        <x:f>IF(OR('Mission Worlds'!N15=0,Mechanisms!T11=1),"PASS","FAIL")</x:f>
        <x:v>PASS</x:v>
      </x:c>
      <x:c r="Q63" s="30" t="str">
        <x:f>IF(Mechanisms!U11&lt;='Mission Worlds'!O15,"PASS","FAIL")</x:f>
        <x:v>PASS</x:v>
      </x:c>
      <x:c r="R63" s="30" t="str">
        <x:f>IF(Mechanisms!V11&gt;='Mission Worlds'!P15,"PASS","FAIL")</x:f>
        <x:v>PASS</x:v>
      </x:c>
      <x:c r="S63" s="30" t="str">
        <x:f>IF(COUNTIF(E63:R63,"FAIL")=0,"PASS","FAIL")</x:f>
        <x:v>FAIL</x:v>
      </x:c>
      <x:c r="T63" s="30" t="str">
        <x:f>IF(AND(S63="PASS",Mechanisms!AB11=1),"PASS","FAIL")</x:f>
        <x:v>FAIL</x:v>
      </x:c>
      <x:c r="U63" s="30" t="str">
        <x:f>IF(AND(T63="PASS",'Mission Worlds'!Q15=0),"PASS","FAIL")</x:f>
        <x:v>FAIL</x:v>
      </x:c>
      <x:c r="V63" s="32" t="str">
        <x:f>'Mission Worlds'!R15</x:f>
        <x:v>smoke operations required</x:v>
      </x:c>
    </x:row>
    <x:row r="64">
      <x:c r="B64" s="30" t="str">
        <x:v>M4</x:v>
      </x:c>
      <x:c r="C64" s="30" t="str">
        <x:v>W10</x:v>
      </x:c>
      <x:c r="D64" s="50" t="n">
        <x:f>Mechanisms!AD11</x:f>
        <x:v>1</x:v>
      </x:c>
      <x:c r="E64" s="30" t="str">
        <x:f>'Payload Closure'!N10</x:f>
        <x:v>PASS</x:v>
      </x:c>
      <x:c r="F64" s="30" t="str">
        <x:f>IF(Mechanisms!J11&gt;='Mission Worlds'!D16,"PASS","FAIL")</x:f>
        <x:v>PASS</x:v>
      </x:c>
      <x:c r="G64" s="30" t="str">
        <x:f>IF(OR('Mission Worlds'!E16=0,Mechanisms!K11=1),"PASS","FAIL")</x:f>
        <x:v>PASS</x:v>
      </x:c>
      <x:c r="H64" s="30" t="str">
        <x:f>IF(OR('Mission Worlds'!F16=0,Mechanisms!L11=0),"PASS","FAIL")</x:f>
        <x:v>PASS</x:v>
      </x:c>
      <x:c r="I64" s="30" t="str">
        <x:f>IF(OR('Mission Worlds'!G16=0,Mechanisms!M11=0),"PASS","FAIL")</x:f>
        <x:v>PASS</x:v>
      </x:c>
      <x:c r="J64" s="30" t="str">
        <x:f>IF(Mechanisms!N11&gt;='Mission Worlds'!H16,"PASS","FAIL")</x:f>
        <x:v>PASS</x:v>
      </x:c>
      <x:c r="K64" s="30" t="str">
        <x:f>IF(Mechanisms!O11&gt;='Mission Worlds'!I16,"PASS","FAIL")</x:f>
        <x:v>PASS</x:v>
      </x:c>
      <x:c r="L64" s="30" t="str">
        <x:f>IF(Mechanisms!P11&lt;='Mission Worlds'!J16,"PASS","FAIL")</x:f>
        <x:v>PASS</x:v>
      </x:c>
      <x:c r="M64" s="30" t="str">
        <x:f>IF(OR('Mission Worlds'!K16=0,Mechanisms!Q11=1),"PASS","FAIL")</x:f>
        <x:v>PASS</x:v>
      </x:c>
      <x:c r="N64" s="30" t="str">
        <x:f>IF(OR('Mission Worlds'!L16=0,Mechanisms!R11=0),"PASS","FAIL")</x:f>
        <x:v>PASS</x:v>
      </x:c>
      <x:c r="O64" s="30" t="str">
        <x:f>IF(OR('Mission Worlds'!M16=0,Mechanisms!S11=0),"PASS","FAIL")</x:f>
        <x:v>PASS</x:v>
      </x:c>
      <x:c r="P64" s="30" t="str">
        <x:f>IF(OR('Mission Worlds'!N16=0,Mechanisms!T11=1),"PASS","FAIL")</x:f>
        <x:v>PASS</x:v>
      </x:c>
      <x:c r="Q64" s="30" t="str">
        <x:f>IF(Mechanisms!U11&lt;='Mission Worlds'!O16,"PASS","FAIL")</x:f>
        <x:v>PASS</x:v>
      </x:c>
      <x:c r="R64" s="30" t="str">
        <x:f>IF(Mechanisms!V11&gt;='Mission Worlds'!P16,"PASS","FAIL")</x:f>
        <x:v>PASS</x:v>
      </x:c>
      <x:c r="S64" s="30" t="str">
        <x:f>IF(COUNTIF(E64:R64,"FAIL")=0,"PASS","FAIL")</x:f>
        <x:v>PASS</x:v>
      </x:c>
      <x:c r="T64" s="30" t="str">
        <x:f>IF(AND(S64="PASS",Mechanisms!AB11=1),"PASS","FAIL")</x:f>
        <x:v>FAIL</x:v>
      </x:c>
      <x:c r="U64" s="30" t="str">
        <x:f>IF(AND(T64="PASS",'Mission Worlds'!Q16=0),"PASS","FAIL")</x:f>
        <x:v>FAIL</x:v>
      </x:c>
      <x:c r="V64" s="32" t="str">
        <x:f>'Mission Worlds'!R16</x:f>
        <x:v>small safe footprint</x:v>
      </x:c>
    </x:row>
    <x:row r="65">
      <x:c r="B65" s="30" t="str">
        <x:v>M4</x:v>
      </x:c>
      <x:c r="C65" s="30" t="str">
        <x:v>W11</x:v>
      </x:c>
      <x:c r="D65" s="50" t="n">
        <x:f>Mechanisms!AD11</x:f>
        <x:v>1</x:v>
      </x:c>
      <x:c r="E65" s="30" t="str">
        <x:f>'Payload Closure'!N10</x:f>
        <x:v>PASS</x:v>
      </x:c>
      <x:c r="F65" s="30" t="str">
        <x:f>IF(Mechanisms!J11&gt;='Mission Worlds'!D17,"PASS","FAIL")</x:f>
        <x:v>PASS</x:v>
      </x:c>
      <x:c r="G65" s="30" t="str">
        <x:f>IF(OR('Mission Worlds'!E17=0,Mechanisms!K11=1),"PASS","FAIL")</x:f>
        <x:v>PASS</x:v>
      </x:c>
      <x:c r="H65" s="30" t="str">
        <x:f>IF(OR('Mission Worlds'!F17=0,Mechanisms!L11=0),"PASS","FAIL")</x:f>
        <x:v>PASS</x:v>
      </x:c>
      <x:c r="I65" s="30" t="str">
        <x:f>IF(OR('Mission Worlds'!G17=0,Mechanisms!M11=0),"PASS","FAIL")</x:f>
        <x:v>PASS</x:v>
      </x:c>
      <x:c r="J65" s="30" t="str">
        <x:f>IF(Mechanisms!N11&gt;='Mission Worlds'!H17,"PASS","FAIL")</x:f>
        <x:v>PASS</x:v>
      </x:c>
      <x:c r="K65" s="30" t="str">
        <x:f>IF(Mechanisms!O11&gt;='Mission Worlds'!I17,"PASS","FAIL")</x:f>
        <x:v>FAIL</x:v>
      </x:c>
      <x:c r="L65" s="30" t="str">
        <x:f>IF(Mechanisms!P11&lt;='Mission Worlds'!J17,"PASS","FAIL")</x:f>
        <x:v>PASS</x:v>
      </x:c>
      <x:c r="M65" s="30" t="str">
        <x:f>IF(OR('Mission Worlds'!K17=0,Mechanisms!Q11=1),"PASS","FAIL")</x:f>
        <x:v>PASS</x:v>
      </x:c>
      <x:c r="N65" s="30" t="str">
        <x:f>IF(OR('Mission Worlds'!L17=0,Mechanisms!R11=0),"PASS","FAIL")</x:f>
        <x:v>PASS</x:v>
      </x:c>
      <x:c r="O65" s="30" t="str">
        <x:f>IF(OR('Mission Worlds'!M17=0,Mechanisms!S11=0),"PASS","FAIL")</x:f>
        <x:v>PASS</x:v>
      </x:c>
      <x:c r="P65" s="30" t="str">
        <x:f>IF(OR('Mission Worlds'!N17=0,Mechanisms!T11=1),"PASS","FAIL")</x:f>
        <x:v>PASS</x:v>
      </x:c>
      <x:c r="Q65" s="30" t="str">
        <x:f>IF(Mechanisms!U11&lt;='Mission Worlds'!O17,"PASS","FAIL")</x:f>
        <x:v>PASS</x:v>
      </x:c>
      <x:c r="R65" s="30" t="str">
        <x:f>IF(Mechanisms!V11&gt;='Mission Worlds'!P17,"PASS","FAIL")</x:f>
        <x:v>PASS</x:v>
      </x:c>
      <x:c r="S65" s="30" t="str">
        <x:f>IF(COUNTIF(E65:R65,"FAIL")=0,"PASS","FAIL")</x:f>
        <x:v>FAIL</x:v>
      </x:c>
      <x:c r="T65" s="30" t="str">
        <x:f>IF(AND(S65="PASS",Mechanisms!AB11=1),"PASS","FAIL")</x:f>
        <x:v>FAIL</x:v>
      </x:c>
      <x:c r="U65" s="30" t="str">
        <x:f>IF(AND(T65="PASS",'Mission Worlds'!Q17=0),"PASS","FAIL")</x:f>
        <x:v>FAIL</x:v>
      </x:c>
      <x:c r="V65" s="32" t="str">
        <x:f>'Mission Worlds'!R17</x:f>
        <x:v>high-wind launch and receipt</x:v>
      </x:c>
    </x:row>
    <x:row r="66">
      <x:c r="B66" s="30" t="str">
        <x:v>M4</x:v>
      </x:c>
      <x:c r="C66" s="30" t="str">
        <x:v>W12</x:v>
      </x:c>
      <x:c r="D66" s="50" t="n">
        <x:f>Mechanisms!AD11</x:f>
        <x:v>1</x:v>
      </x:c>
      <x:c r="E66" s="30" t="str">
        <x:f>'Payload Closure'!N10</x:f>
        <x:v>PASS</x:v>
      </x:c>
      <x:c r="F66" s="30" t="str">
        <x:f>IF(Mechanisms!J11&gt;='Mission Worlds'!D18,"PASS","FAIL")</x:f>
        <x:v>FAIL</x:v>
      </x:c>
      <x:c r="G66" s="30" t="str">
        <x:f>IF(OR('Mission Worlds'!E18=0,Mechanisms!K11=1),"PASS","FAIL")</x:f>
        <x:v>PASS</x:v>
      </x:c>
      <x:c r="H66" s="30" t="str">
        <x:f>IF(OR('Mission Worlds'!F18=0,Mechanisms!L11=0),"PASS","FAIL")</x:f>
        <x:v>PASS</x:v>
      </x:c>
      <x:c r="I66" s="30" t="str">
        <x:f>IF(OR('Mission Worlds'!G18=0,Mechanisms!M11=0),"PASS","FAIL")</x:f>
        <x:v>PASS</x:v>
      </x:c>
      <x:c r="J66" s="30" t="str">
        <x:f>IF(Mechanisms!N11&gt;='Mission Worlds'!H18,"PASS","FAIL")</x:f>
        <x:v>PASS</x:v>
      </x:c>
      <x:c r="K66" s="30" t="str">
        <x:f>IF(Mechanisms!O11&gt;='Mission Worlds'!I18,"PASS","FAIL")</x:f>
        <x:v>PASS</x:v>
      </x:c>
      <x:c r="L66" s="30" t="str">
        <x:f>IF(Mechanisms!P11&lt;='Mission Worlds'!J18,"PASS","FAIL")</x:f>
        <x:v>PASS</x:v>
      </x:c>
      <x:c r="M66" s="30" t="str">
        <x:f>IF(OR('Mission Worlds'!K18=0,Mechanisms!Q11=1),"PASS","FAIL")</x:f>
        <x:v>PASS</x:v>
      </x:c>
      <x:c r="N66" s="30" t="str">
        <x:f>IF(OR('Mission Worlds'!L18=0,Mechanisms!R11=0),"PASS","FAIL")</x:f>
        <x:v>PASS</x:v>
      </x:c>
      <x:c r="O66" s="30" t="str">
        <x:f>IF(OR('Mission Worlds'!M18=0,Mechanisms!S11=0),"PASS","FAIL")</x:f>
        <x:v>PASS</x:v>
      </x:c>
      <x:c r="P66" s="30" t="str">
        <x:f>IF(OR('Mission Worlds'!N18=0,Mechanisms!T11=1),"PASS","FAIL")</x:f>
        <x:v>PASS</x:v>
      </x:c>
      <x:c r="Q66" s="30" t="str">
        <x:f>IF(Mechanisms!U11&lt;='Mission Worlds'!O18,"PASS","FAIL")</x:f>
        <x:v>PASS</x:v>
      </x:c>
      <x:c r="R66" s="30" t="str">
        <x:f>IF(Mechanisms!V11&gt;='Mission Worlds'!P18,"PASS","FAIL")</x:f>
        <x:v>PASS</x:v>
      </x:c>
      <x:c r="S66" s="30" t="str">
        <x:f>IF(COUNTIF(E66:R66,"FAIL")=0,"PASS","FAIL")</x:f>
        <x:v>FAIL</x:v>
      </x:c>
      <x:c r="T66" s="30" t="str">
        <x:f>IF(AND(S66="PASS",Mechanisms!AB11=1),"PASS","FAIL")</x:f>
        <x:v>FAIL</x:v>
      </x:c>
      <x:c r="U66" s="30" t="str">
        <x:f>IF(AND(T66="PASS",'Mission Worlds'!Q18=0),"PASS","FAIL")</x:f>
        <x:v>FAIL</x:v>
      </x:c>
      <x:c r="V66" s="32" t="str">
        <x:f>'Mission Worlds'!R18</x:f>
        <x:v>long range and offline command</x:v>
      </x:c>
    </x:row>
    <x:row r="67">
      <x:c r="B67" s="30" t="str">
        <x:v>M4</x:v>
      </x:c>
      <x:c r="C67" s="30" t="str">
        <x:v>W13</x:v>
      </x:c>
      <x:c r="D67" s="50" t="n">
        <x:f>Mechanisms!AD11</x:f>
        <x:v>1</x:v>
      </x:c>
      <x:c r="E67" s="30" t="str">
        <x:f>'Payload Closure'!N10</x:f>
        <x:v>PASS</x:v>
      </x:c>
      <x:c r="F67" s="30" t="str">
        <x:f>IF(Mechanisms!J11&gt;='Mission Worlds'!D19,"PASS","FAIL")</x:f>
        <x:v>PASS</x:v>
      </x:c>
      <x:c r="G67" s="30" t="str">
        <x:f>IF(OR('Mission Worlds'!E19=0,Mechanisms!K11=1),"PASS","FAIL")</x:f>
        <x:v>PASS</x:v>
      </x:c>
      <x:c r="H67" s="30" t="str">
        <x:f>IF(OR('Mission Worlds'!F19=0,Mechanisms!L11=0),"PASS","FAIL")</x:f>
        <x:v>PASS</x:v>
      </x:c>
      <x:c r="I67" s="30" t="str">
        <x:f>IF(OR('Mission Worlds'!G19=0,Mechanisms!M11=0),"PASS","FAIL")</x:f>
        <x:v>PASS</x:v>
      </x:c>
      <x:c r="J67" s="30" t="str">
        <x:f>IF(Mechanisms!N11&gt;='Mission Worlds'!H19,"PASS","FAIL")</x:f>
        <x:v>FAIL</x:v>
      </x:c>
      <x:c r="K67" s="30" t="str">
        <x:f>IF(Mechanisms!O11&gt;='Mission Worlds'!I19,"PASS","FAIL")</x:f>
        <x:v>PASS</x:v>
      </x:c>
      <x:c r="L67" s="30" t="str">
        <x:f>IF(Mechanisms!P11&lt;='Mission Worlds'!J19,"PASS","FAIL")</x:f>
        <x:v>PASS</x:v>
      </x:c>
      <x:c r="M67" s="30" t="str">
        <x:f>IF(OR('Mission Worlds'!K19=0,Mechanisms!Q11=1),"PASS","FAIL")</x:f>
        <x:v>PASS</x:v>
      </x:c>
      <x:c r="N67" s="30" t="str">
        <x:f>IF(OR('Mission Worlds'!L19=0,Mechanisms!R11=0),"PASS","FAIL")</x:f>
        <x:v>PASS</x:v>
      </x:c>
      <x:c r="O67" s="30" t="str">
        <x:f>IF(OR('Mission Worlds'!M19=0,Mechanisms!S11=0),"PASS","FAIL")</x:f>
        <x:v>PASS</x:v>
      </x:c>
      <x:c r="P67" s="30" t="str">
        <x:f>IF(OR('Mission Worlds'!N19=0,Mechanisms!T11=1),"PASS","FAIL")</x:f>
        <x:v>PASS</x:v>
      </x:c>
      <x:c r="Q67" s="30" t="str">
        <x:f>IF(Mechanisms!U11&lt;='Mission Worlds'!O19,"PASS","FAIL")</x:f>
        <x:v>FAIL</x:v>
      </x:c>
      <x:c r="R67" s="30" t="str">
        <x:f>IF(Mechanisms!V11&gt;='Mission Worlds'!P19,"PASS","FAIL")</x:f>
        <x:v>PASS</x:v>
      </x:c>
      <x:c r="S67" s="30" t="str">
        <x:f>IF(COUNTIF(E67:R67,"FAIL")=0,"PASS","FAIL")</x:f>
        <x:v>FAIL</x:v>
      </x:c>
      <x:c r="T67" s="30" t="str">
        <x:f>IF(AND(S67="PASS",Mechanisms!AB11=1),"PASS","FAIL")</x:f>
        <x:v>FAIL</x:v>
      </x:c>
      <x:c r="U67" s="30" t="str">
        <x:f>IF(AND(T67="PASS",'Mission Worlds'!Q19=0),"PASS","FAIL")</x:f>
        <x:v>FAIL</x:v>
      </x:c>
      <x:c r="V67" s="32" t="str">
        <x:f>'Mission Worlds'!R19</x:f>
        <x:v>standoff source remains</x:v>
      </x:c>
    </x:row>
    <x:row r="68">
      <x:c r="B68" s="30" t="str">
        <x:v>M4</x:v>
      </x:c>
      <x:c r="C68" s="30" t="str">
        <x:v>W14</x:v>
      </x:c>
      <x:c r="D68" s="50" t="n">
        <x:f>Mechanisms!AD11</x:f>
        <x:v>1</x:v>
      </x:c>
      <x:c r="E68" s="30" t="str">
        <x:f>'Payload Closure'!N10</x:f>
        <x:v>PASS</x:v>
      </x:c>
      <x:c r="F68" s="30" t="str">
        <x:f>IF(Mechanisms!J11&gt;='Mission Worlds'!D20,"PASS","FAIL")</x:f>
        <x:v>PASS</x:v>
      </x:c>
      <x:c r="G68" s="30" t="str">
        <x:f>IF(OR('Mission Worlds'!E20=0,Mechanisms!K11=1),"PASS","FAIL")</x:f>
        <x:v>PASS</x:v>
      </x:c>
      <x:c r="H68" s="30" t="str">
        <x:f>IF(OR('Mission Worlds'!F20=0,Mechanisms!L11=0),"PASS","FAIL")</x:f>
        <x:v>PASS</x:v>
      </x:c>
      <x:c r="I68" s="30" t="str">
        <x:f>IF(OR('Mission Worlds'!G20=0,Mechanisms!M11=0),"PASS","FAIL")</x:f>
        <x:v>PASS</x:v>
      </x:c>
      <x:c r="J68" s="30" t="str">
        <x:f>IF(Mechanisms!N11&gt;='Mission Worlds'!H20,"PASS","FAIL")</x:f>
        <x:v>PASS</x:v>
      </x:c>
      <x:c r="K68" s="30" t="str">
        <x:f>IF(Mechanisms!O11&gt;='Mission Worlds'!I20,"PASS","FAIL")</x:f>
        <x:v>PASS</x:v>
      </x:c>
      <x:c r="L68" s="30" t="str">
        <x:f>IF(Mechanisms!P11&lt;='Mission Worlds'!J20,"PASS","FAIL")</x:f>
        <x:v>PASS</x:v>
      </x:c>
      <x:c r="M68" s="30" t="str">
        <x:f>IF(OR('Mission Worlds'!K20=0,Mechanisms!Q11=1),"PASS","FAIL")</x:f>
        <x:v>PASS</x:v>
      </x:c>
      <x:c r="N68" s="30" t="str">
        <x:f>IF(OR('Mission Worlds'!L20=0,Mechanisms!R11=0),"PASS","FAIL")</x:f>
        <x:v>PASS</x:v>
      </x:c>
      <x:c r="O68" s="30" t="str">
        <x:f>IF(OR('Mission Worlds'!M20=0,Mechanisms!S11=0),"PASS","FAIL")</x:f>
        <x:v>PASS</x:v>
      </x:c>
      <x:c r="P68" s="30" t="str">
        <x:f>IF(OR('Mission Worlds'!N20=0,Mechanisms!T11=1),"PASS","FAIL")</x:f>
        <x:v>PASS</x:v>
      </x:c>
      <x:c r="Q68" s="30" t="str">
        <x:f>IF(Mechanisms!U11&lt;='Mission Worlds'!O20,"PASS","FAIL")</x:f>
        <x:v>PASS</x:v>
      </x:c>
      <x:c r="R68" s="30" t="str">
        <x:f>IF(Mechanisms!V11&gt;='Mission Worlds'!P20,"PASS","FAIL")</x:f>
        <x:v>PASS</x:v>
      </x:c>
      <x:c r="S68" s="30" t="str">
        <x:f>IF(COUNTIF(E68:R68,"FAIL")=0,"PASS","FAIL")</x:f>
        <x:v>PASS</x:v>
      </x:c>
      <x:c r="T68" s="30" t="str">
        <x:f>IF(AND(S68="PASS",Mechanisms!AB11=1),"PASS","FAIL")</x:f>
        <x:v>FAIL</x:v>
      </x:c>
      <x:c r="U68" s="30" t="str">
        <x:f>IF(AND(T68="PASS",'Mission Worlds'!Q20=0),"PASS","FAIL")</x:f>
        <x:v>FAIL</x:v>
      </x:c>
      <x:c r="V68" s="32" t="str">
        <x:f>'Mission Worlds'!R20</x:f>
        <x:v>conversion can substitute for carriage</x:v>
      </x:c>
    </x:row>
    <x:row r="69">
      <x:c r="B69" s="30" t="str">
        <x:v>M4</x:v>
      </x:c>
      <x:c r="C69" s="30" t="str">
        <x:v>W15</x:v>
      </x:c>
      <x:c r="D69" s="50" t="n">
        <x:f>Mechanisms!AD11</x:f>
        <x:v>1</x:v>
      </x:c>
      <x:c r="E69" s="30" t="str">
        <x:f>'Payload Closure'!N10</x:f>
        <x:v>PASS</x:v>
      </x:c>
      <x:c r="F69" s="30" t="str">
        <x:f>IF(Mechanisms!J11&gt;='Mission Worlds'!D21,"PASS","FAIL")</x:f>
        <x:v>PASS</x:v>
      </x:c>
      <x:c r="G69" s="30" t="str">
        <x:f>IF(OR('Mission Worlds'!E21=0,Mechanisms!K11=1),"PASS","FAIL")</x:f>
        <x:v>PASS</x:v>
      </x:c>
      <x:c r="H69" s="30" t="str">
        <x:f>IF(OR('Mission Worlds'!F21=0,Mechanisms!L11=0),"PASS","FAIL")</x:f>
        <x:v>PASS</x:v>
      </x:c>
      <x:c r="I69" s="30" t="str">
        <x:f>IF(OR('Mission Worlds'!G21=0,Mechanisms!M11=0),"PASS","FAIL")</x:f>
        <x:v>PASS</x:v>
      </x:c>
      <x:c r="J69" s="30" t="str">
        <x:f>IF(Mechanisms!N11&gt;='Mission Worlds'!H21,"PASS","FAIL")</x:f>
        <x:v>PASS</x:v>
      </x:c>
      <x:c r="K69" s="30" t="str">
        <x:f>IF(Mechanisms!O11&gt;='Mission Worlds'!I21,"PASS","FAIL")</x:f>
        <x:v>PASS</x:v>
      </x:c>
      <x:c r="L69" s="30" t="str">
        <x:f>IF(Mechanisms!P11&lt;='Mission Worlds'!J21,"PASS","FAIL")</x:f>
        <x:v>PASS</x:v>
      </x:c>
      <x:c r="M69" s="30" t="str">
        <x:f>IF(OR('Mission Worlds'!K21=0,Mechanisms!Q11=1),"PASS","FAIL")</x:f>
        <x:v>PASS</x:v>
      </x:c>
      <x:c r="N69" s="30" t="str">
        <x:f>IF(OR('Mission Worlds'!L21=0,Mechanisms!R11=0),"PASS","FAIL")</x:f>
        <x:v>PASS</x:v>
      </x:c>
      <x:c r="O69" s="30" t="str">
        <x:f>IF(OR('Mission Worlds'!M21=0,Mechanisms!S11=0),"PASS","FAIL")</x:f>
        <x:v>PASS</x:v>
      </x:c>
      <x:c r="P69" s="30" t="str">
        <x:f>IF(OR('Mission Worlds'!N21=0,Mechanisms!T11=1),"PASS","FAIL")</x:f>
        <x:v>PASS</x:v>
      </x:c>
      <x:c r="Q69" s="30" t="str">
        <x:f>IF(Mechanisms!U11&lt;='Mission Worlds'!O21,"PASS","FAIL")</x:f>
        <x:v>PASS</x:v>
      </x:c>
      <x:c r="R69" s="30" t="str">
        <x:f>IF(Mechanisms!V11&gt;='Mission Worlds'!P21,"PASS","FAIL")</x:f>
        <x:v>PASS</x:v>
      </x:c>
      <x:c r="S69" s="30" t="str">
        <x:f>IF(COUNTIF(E69:R69,"FAIL")=0,"PASS","FAIL")</x:f>
        <x:v>PASS</x:v>
      </x:c>
      <x:c r="T69" s="30" t="str">
        <x:f>IF(AND(S69="PASS",Mechanisms!AB11=1),"PASS","FAIL")</x:f>
        <x:v>FAIL</x:v>
      </x:c>
      <x:c r="U69" s="30" t="str">
        <x:f>IF(AND(T69="PASS",'Mission Worlds'!Q21=0),"PASS","FAIL")</x:f>
        <x:v>FAIL</x:v>
      </x:c>
      <x:c r="V69" s="32" t="str">
        <x:f>'Mission Worlds'!R21</x:f>
        <x:v>one national set cannot double count</x:v>
      </x:c>
    </x:row>
    <x:row r="70">
      <x:c r="B70" s="30" t="str">
        <x:v>M4</x:v>
      </x:c>
      <x:c r="C70" s="30" t="str">
        <x:v>W16</x:v>
      </x:c>
      <x:c r="D70" s="50" t="n">
        <x:f>Mechanisms!AD11</x:f>
        <x:v>1</x:v>
      </x:c>
      <x:c r="E70" s="30" t="str">
        <x:f>'Payload Closure'!N10</x:f>
        <x:v>PASS</x:v>
      </x:c>
      <x:c r="F70" s="30" t="str">
        <x:f>IF(Mechanisms!J11&gt;='Mission Worlds'!D22,"PASS","FAIL")</x:f>
        <x:v>PASS</x:v>
      </x:c>
      <x:c r="G70" s="30" t="str">
        <x:f>IF(OR('Mission Worlds'!E22=0,Mechanisms!K11=1),"PASS","FAIL")</x:f>
        <x:v>PASS</x:v>
      </x:c>
      <x:c r="H70" s="30" t="str">
        <x:f>IF(OR('Mission Worlds'!F22=0,Mechanisms!L11=0),"PASS","FAIL")</x:f>
        <x:v>PASS</x:v>
      </x:c>
      <x:c r="I70" s="30" t="str">
        <x:f>IF(OR('Mission Worlds'!G22=0,Mechanisms!M11=0),"PASS","FAIL")</x:f>
        <x:v>PASS</x:v>
      </x:c>
      <x:c r="J70" s="30" t="str">
        <x:f>IF(Mechanisms!N11&gt;='Mission Worlds'!H22,"PASS","FAIL")</x:f>
        <x:v>PASS</x:v>
      </x:c>
      <x:c r="K70" s="30" t="str">
        <x:f>IF(Mechanisms!O11&gt;='Mission Worlds'!I22,"PASS","FAIL")</x:f>
        <x:v>PASS</x:v>
      </x:c>
      <x:c r="L70" s="30" t="str">
        <x:f>IF(Mechanisms!P11&lt;='Mission Worlds'!J22,"PASS","FAIL")</x:f>
        <x:v>PASS</x:v>
      </x:c>
      <x:c r="M70" s="30" t="str">
        <x:f>IF(OR('Mission Worlds'!K22=0,Mechanisms!Q11=1),"PASS","FAIL")</x:f>
        <x:v>PASS</x:v>
      </x:c>
      <x:c r="N70" s="30" t="str">
        <x:f>IF(OR('Mission Worlds'!L22=0,Mechanisms!R11=0),"PASS","FAIL")</x:f>
        <x:v>PASS</x:v>
      </x:c>
      <x:c r="O70" s="30" t="str">
        <x:f>IF(OR('Mission Worlds'!M22=0,Mechanisms!S11=0),"PASS","FAIL")</x:f>
        <x:v>PASS</x:v>
      </x:c>
      <x:c r="P70" s="30" t="str">
        <x:f>IF(OR('Mission Worlds'!N22=0,Mechanisms!T11=1),"PASS","FAIL")</x:f>
        <x:v>PASS</x:v>
      </x:c>
      <x:c r="Q70" s="30" t="str">
        <x:f>IF(Mechanisms!U11&lt;='Mission Worlds'!O22,"PASS","FAIL")</x:f>
        <x:v>PASS</x:v>
      </x:c>
      <x:c r="R70" s="30" t="str">
        <x:f>IF(Mechanisms!V11&gt;='Mission Worlds'!P22,"PASS","FAIL")</x:f>
        <x:v>PASS</x:v>
      </x:c>
      <x:c r="S70" s="30" t="str">
        <x:f>IF(COUNTIF(E70:R70,"FAIL")=0,"PASS","FAIL")</x:f>
        <x:v>PASS</x:v>
      </x:c>
      <x:c r="T70" s="30" t="str">
        <x:f>IF(AND(S70="PASS",Mechanisms!AB11=1),"PASS","FAIL")</x:f>
        <x:v>FAIL</x:v>
      </x:c>
      <x:c r="U70" s="30" t="str">
        <x:f>IF(AND(T70="PASS",'Mission Worlds'!Q22=0),"PASS","FAIL")</x:f>
        <x:v>FAIL</x:v>
      </x:c>
      <x:c r="V70" s="32" t="str">
        <x:f>'Mission Worlds'!R22</x:f>
        <x:v>universal admission stop</x:v>
      </x:c>
    </x:row>
    <x:row r="71">
      <x:c r="B71" s="30" t="str">
        <x:v>M5</x:v>
      </x:c>
      <x:c r="C71" s="30" t="str">
        <x:v>W01</x:v>
      </x:c>
      <x:c r="D71" s="50" t="n">
        <x:f>Mechanisms!AD12</x:f>
        <x:v>1</x:v>
      </x:c>
      <x:c r="E71" s="30" t="str">
        <x:f>'Payload Closure'!N11</x:f>
        <x:v>PASS</x:v>
      </x:c>
      <x:c r="F71" s="30" t="str">
        <x:f>IF(Mechanisms!J12&gt;='Mission Worlds'!D7,"PASS","FAIL")</x:f>
        <x:v>FAIL</x:v>
      </x:c>
      <x:c r="G71" s="30" t="str">
        <x:f>IF(OR('Mission Worlds'!E7=0,Mechanisms!K12=1),"PASS","FAIL")</x:f>
        <x:v>PASS</x:v>
      </x:c>
      <x:c r="H71" s="30" t="str">
        <x:f>IF(OR('Mission Worlds'!F7=0,Mechanisms!L12=0),"PASS","FAIL")</x:f>
        <x:v>PASS</x:v>
      </x:c>
      <x:c r="I71" s="30" t="str">
        <x:f>IF(OR('Mission Worlds'!G7=0,Mechanisms!M12=0),"PASS","FAIL")</x:f>
        <x:v>PASS</x:v>
      </x:c>
      <x:c r="J71" s="30" t="str">
        <x:f>IF(Mechanisms!N12&gt;='Mission Worlds'!H7,"PASS","FAIL")</x:f>
        <x:v>PASS</x:v>
      </x:c>
      <x:c r="K71" s="30" t="str">
        <x:f>IF(Mechanisms!O12&gt;='Mission Worlds'!I7,"PASS","FAIL")</x:f>
        <x:v>PASS</x:v>
      </x:c>
      <x:c r="L71" s="30" t="str">
        <x:f>IF(Mechanisms!P12&lt;='Mission Worlds'!J7,"PASS","FAIL")</x:f>
        <x:v>PASS</x:v>
      </x:c>
      <x:c r="M71" s="30" t="str">
        <x:f>IF(OR('Mission Worlds'!K7=0,Mechanisms!Q12=1),"PASS","FAIL")</x:f>
        <x:v>PASS</x:v>
      </x:c>
      <x:c r="N71" s="30" t="str">
        <x:f>IF(OR('Mission Worlds'!L7=0,Mechanisms!R12=0),"PASS","FAIL")</x:f>
        <x:v>PASS</x:v>
      </x:c>
      <x:c r="O71" s="30" t="str">
        <x:f>IF(OR('Mission Worlds'!M7=0,Mechanisms!S12=0),"PASS","FAIL")</x:f>
        <x:v>FAIL</x:v>
      </x:c>
      <x:c r="P71" s="30" t="str">
        <x:f>IF(OR('Mission Worlds'!N7=0,Mechanisms!T12=1),"PASS","FAIL")</x:f>
        <x:v>PASS</x:v>
      </x:c>
      <x:c r="Q71" s="30" t="str">
        <x:f>IF(Mechanisms!U12&lt;='Mission Worlds'!O7,"PASS","FAIL")</x:f>
        <x:v>PASS</x:v>
      </x:c>
      <x:c r="R71" s="30" t="str">
        <x:f>IF(Mechanisms!V12&gt;='Mission Worlds'!P7,"PASS","FAIL")</x:f>
        <x:v>PASS</x:v>
      </x:c>
      <x:c r="S71" s="30" t="str">
        <x:f>IF(COUNTIF(E71:R71,"FAIL")=0,"PASS","FAIL")</x:f>
        <x:v>FAIL</x:v>
      </x:c>
      <x:c r="T71" s="30" t="str">
        <x:f>IF(AND(S71="PASS",Mechanisms!AB12=1),"PASS","FAIL")</x:f>
        <x:v>FAIL</x:v>
      </x:c>
      <x:c r="U71" s="30" t="str">
        <x:f>IF(AND(T71="PASS",'Mission Worlds'!Q7=0),"PASS","FAIL")</x:f>
        <x:v>FAIL</x:v>
      </x:c>
      <x:c r="V71" s="32" t="str">
        <x:f>'Mission Worlds'!R7</x:f>
        <x:v>no inherited terminal</x:v>
      </x:c>
    </x:row>
    <x:row r="72">
      <x:c r="B72" s="30" t="str">
        <x:v>M5</x:v>
      </x:c>
      <x:c r="C72" s="30" t="str">
        <x:v>W02</x:v>
      </x:c>
      <x:c r="D72" s="50" t="n">
        <x:f>Mechanisms!AD12</x:f>
        <x:v>1</x:v>
      </x:c>
      <x:c r="E72" s="30" t="str">
        <x:f>'Payload Closure'!N11</x:f>
        <x:v>PASS</x:v>
      </x:c>
      <x:c r="F72" s="30" t="str">
        <x:f>IF(Mechanisms!J12&gt;='Mission Worlds'!D8,"PASS","FAIL")</x:f>
        <x:v>FAIL</x:v>
      </x:c>
      <x:c r="G72" s="30" t="str">
        <x:f>IF(OR('Mission Worlds'!E8=0,Mechanisms!K12=1),"PASS","FAIL")</x:f>
        <x:v>PASS</x:v>
      </x:c>
      <x:c r="H72" s="30" t="str">
        <x:f>IF(OR('Mission Worlds'!F8=0,Mechanisms!L12=0),"PASS","FAIL")</x:f>
        <x:v>PASS</x:v>
      </x:c>
      <x:c r="I72" s="30" t="str">
        <x:f>IF(OR('Mission Worlds'!G8=0,Mechanisms!M12=0),"PASS","FAIL")</x:f>
        <x:v>PASS</x:v>
      </x:c>
      <x:c r="J72" s="30" t="str">
        <x:f>IF(Mechanisms!N12&gt;='Mission Worlds'!H8,"PASS","FAIL")</x:f>
        <x:v>PASS</x:v>
      </x:c>
      <x:c r="K72" s="30" t="str">
        <x:f>IF(Mechanisms!O12&gt;='Mission Worlds'!I8,"PASS","FAIL")</x:f>
        <x:v>PASS</x:v>
      </x:c>
      <x:c r="L72" s="30" t="str">
        <x:f>IF(Mechanisms!P12&lt;='Mission Worlds'!J8,"PASS","FAIL")</x:f>
        <x:v>PASS</x:v>
      </x:c>
      <x:c r="M72" s="30" t="str">
        <x:f>IF(OR('Mission Worlds'!K8=0,Mechanisms!Q12=1),"PASS","FAIL")</x:f>
        <x:v>PASS</x:v>
      </x:c>
      <x:c r="N72" s="30" t="str">
        <x:f>IF(OR('Mission Worlds'!L8=0,Mechanisms!R12=0),"PASS","FAIL")</x:f>
        <x:v>PASS</x:v>
      </x:c>
      <x:c r="O72" s="30" t="str">
        <x:f>IF(OR('Mission Worlds'!M8=0,Mechanisms!S12=0),"PASS","FAIL")</x:f>
        <x:v>FAIL</x:v>
      </x:c>
      <x:c r="P72" s="30" t="str">
        <x:f>IF(OR('Mission Worlds'!N8=0,Mechanisms!T12=1),"PASS","FAIL")</x:f>
        <x:v>PASS</x:v>
      </x:c>
      <x:c r="Q72" s="30" t="str">
        <x:f>IF(Mechanisms!U12&lt;='Mission Worlds'!O8,"PASS","FAIL")</x:f>
        <x:v>PASS</x:v>
      </x:c>
      <x:c r="R72" s="30" t="str">
        <x:f>IF(Mechanisms!V12&gt;='Mission Worlds'!P8,"PASS","FAIL")</x:f>
        <x:v>PASS</x:v>
      </x:c>
      <x:c r="S72" s="30" t="str">
        <x:f>IF(COUNTIF(E72:R72,"FAIL")=0,"PASS","FAIL")</x:f>
        <x:v>FAIL</x:v>
      </x:c>
      <x:c r="T72" s="30" t="str">
        <x:f>IF(AND(S72="PASS",Mechanisms!AB12=1),"PASS","FAIL")</x:f>
        <x:v>FAIL</x:v>
      </x:c>
      <x:c r="U72" s="30" t="str">
        <x:f>IF(AND(T72="PASS",'Mission Worlds'!Q8=0),"PASS","FAIL")</x:f>
        <x:v>FAIL</x:v>
      </x:c>
      <x:c r="V72" s="32" t="str">
        <x:f>'Mission Worlds'!R8</x:f>
        <x:v>water approach remains</x:v>
      </x:c>
    </x:row>
    <x:row r="73">
      <x:c r="B73" s="30" t="str">
        <x:v>M5</x:v>
      </x:c>
      <x:c r="C73" s="30" t="str">
        <x:v>W03</x:v>
      </x:c>
      <x:c r="D73" s="50" t="n">
        <x:f>Mechanisms!AD12</x:f>
        <x:v>1</x:v>
      </x:c>
      <x:c r="E73" s="30" t="str">
        <x:f>'Payload Closure'!N11</x:f>
        <x:v>PASS</x:v>
      </x:c>
      <x:c r="F73" s="30" t="str">
        <x:f>IF(Mechanisms!J12&gt;='Mission Worlds'!D9,"PASS","FAIL")</x:f>
        <x:v>FAIL</x:v>
      </x:c>
      <x:c r="G73" s="30" t="str">
        <x:f>IF(OR('Mission Worlds'!E9=0,Mechanisms!K12=1),"PASS","FAIL")</x:f>
        <x:v>PASS</x:v>
      </x:c>
      <x:c r="H73" s="30" t="str">
        <x:f>IF(OR('Mission Worlds'!F9=0,Mechanisms!L12=0),"PASS","FAIL")</x:f>
        <x:v>PASS</x:v>
      </x:c>
      <x:c r="I73" s="30" t="str">
        <x:f>IF(OR('Mission Worlds'!G9=0,Mechanisms!M12=0),"PASS","FAIL")</x:f>
        <x:v>PASS</x:v>
      </x:c>
      <x:c r="J73" s="30" t="str">
        <x:f>IF(Mechanisms!N12&gt;='Mission Worlds'!H9,"PASS","FAIL")</x:f>
        <x:v>PASS</x:v>
      </x:c>
      <x:c r="K73" s="30" t="str">
        <x:f>IF(Mechanisms!O12&gt;='Mission Worlds'!I9,"PASS","FAIL")</x:f>
        <x:v>PASS</x:v>
      </x:c>
      <x:c r="L73" s="30" t="str">
        <x:f>IF(Mechanisms!P12&lt;='Mission Worlds'!J9,"PASS","FAIL")</x:f>
        <x:v>PASS</x:v>
      </x:c>
      <x:c r="M73" s="30" t="str">
        <x:f>IF(OR('Mission Worlds'!K9=0,Mechanisms!Q12=1),"PASS","FAIL")</x:f>
        <x:v>PASS</x:v>
      </x:c>
      <x:c r="N73" s="30" t="str">
        <x:f>IF(OR('Mission Worlds'!L9=0,Mechanisms!R12=0),"PASS","FAIL")</x:f>
        <x:v>PASS</x:v>
      </x:c>
      <x:c r="O73" s="30" t="str">
        <x:f>IF(OR('Mission Worlds'!M9=0,Mechanisms!S12=0),"PASS","FAIL")</x:f>
        <x:v>PASS</x:v>
      </x:c>
      <x:c r="P73" s="30" t="str">
        <x:f>IF(OR('Mission Worlds'!N9=0,Mechanisms!T12=1),"PASS","FAIL")</x:f>
        <x:v>PASS</x:v>
      </x:c>
      <x:c r="Q73" s="30" t="str">
        <x:f>IF(Mechanisms!U12&lt;='Mission Worlds'!O9,"PASS","FAIL")</x:f>
        <x:v>PASS</x:v>
      </x:c>
      <x:c r="R73" s="30" t="str">
        <x:f>IF(Mechanisms!V12&gt;='Mission Worlds'!P9,"PASS","FAIL")</x:f>
        <x:v>PASS</x:v>
      </x:c>
      <x:c r="S73" s="30" t="str">
        <x:f>IF(COUNTIF(E73:R73,"FAIL")=0,"PASS","FAIL")</x:f>
        <x:v>FAIL</x:v>
      </x:c>
      <x:c r="T73" s="30" t="str">
        <x:f>IF(AND(S73="PASS",Mechanisms!AB12=1),"PASS","FAIL")</x:f>
        <x:v>FAIL</x:v>
      </x:c>
      <x:c r="U73" s="30" t="str">
        <x:f>IF(AND(T73="PASS",'Mission Worlds'!Q9=0),"PASS","FAIL")</x:f>
        <x:v>FAIL</x:v>
      </x:c>
      <x:c r="V73" s="32" t="str">
        <x:f>'Mission Worlds'!R9</x:f>
        <x:v>nearby source may survive</x:v>
      </x:c>
    </x:row>
    <x:row r="74">
      <x:c r="B74" s="30" t="str">
        <x:v>M5</x:v>
      </x:c>
      <x:c r="C74" s="30" t="str">
        <x:v>W04</x:v>
      </x:c>
      <x:c r="D74" s="50" t="n">
        <x:f>Mechanisms!AD12</x:f>
        <x:v>1</x:v>
      </x:c>
      <x:c r="E74" s="30" t="str">
        <x:f>'Payload Closure'!N11</x:f>
        <x:v>PASS</x:v>
      </x:c>
      <x:c r="F74" s="30" t="str">
        <x:f>IF(Mechanisms!J12&gt;='Mission Worlds'!D10,"PASS","FAIL")</x:f>
        <x:v>FAIL</x:v>
      </x:c>
      <x:c r="G74" s="30" t="str">
        <x:f>IF(OR('Mission Worlds'!E10=0,Mechanisms!K12=1),"PASS","FAIL")</x:f>
        <x:v>PASS</x:v>
      </x:c>
      <x:c r="H74" s="30" t="str">
        <x:f>IF(OR('Mission Worlds'!F10=0,Mechanisms!L12=0),"PASS","FAIL")</x:f>
        <x:v>PASS</x:v>
      </x:c>
      <x:c r="I74" s="30" t="str">
        <x:f>IF(OR('Mission Worlds'!G10=0,Mechanisms!M12=0),"PASS","FAIL")</x:f>
        <x:v>PASS</x:v>
      </x:c>
      <x:c r="J74" s="30" t="str">
        <x:f>IF(Mechanisms!N12&gt;='Mission Worlds'!H10,"PASS","FAIL")</x:f>
        <x:v>PASS</x:v>
      </x:c>
      <x:c r="K74" s="30" t="str">
        <x:f>IF(Mechanisms!O12&gt;='Mission Worlds'!I10,"PASS","FAIL")</x:f>
        <x:v>PASS</x:v>
      </x:c>
      <x:c r="L74" s="30" t="str">
        <x:f>IF(Mechanisms!P12&lt;='Mission Worlds'!J10,"PASS","FAIL")</x:f>
        <x:v>PASS</x:v>
      </x:c>
      <x:c r="M74" s="30" t="str">
        <x:f>IF(OR('Mission Worlds'!K10=0,Mechanisms!Q12=1),"PASS","FAIL")</x:f>
        <x:v>PASS</x:v>
      </x:c>
      <x:c r="N74" s="30" t="str">
        <x:f>IF(OR('Mission Worlds'!L10=0,Mechanisms!R12=0),"PASS","FAIL")</x:f>
        <x:v>PASS</x:v>
      </x:c>
      <x:c r="O74" s="30" t="str">
        <x:f>IF(OR('Mission Worlds'!M10=0,Mechanisms!S12=0),"PASS","FAIL")</x:f>
        <x:v>FAIL</x:v>
      </x:c>
      <x:c r="P74" s="30" t="str">
        <x:f>IF(OR('Mission Worlds'!N10=0,Mechanisms!T12=1),"PASS","FAIL")</x:f>
        <x:v>PASS</x:v>
      </x:c>
      <x:c r="Q74" s="30" t="str">
        <x:f>IF(Mechanisms!U12&lt;='Mission Worlds'!O10,"PASS","FAIL")</x:f>
        <x:v>PASS</x:v>
      </x:c>
      <x:c r="R74" s="30" t="str">
        <x:f>IF(Mechanisms!V12&gt;='Mission Worlds'!P10,"PASS","FAIL")</x:f>
        <x:v>PASS</x:v>
      </x:c>
      <x:c r="S74" s="30" t="str">
        <x:f>IF(COUNTIF(E74:R74,"FAIL")=0,"PASS","FAIL")</x:f>
        <x:v>FAIL</x:v>
      </x:c>
      <x:c r="T74" s="30" t="str">
        <x:f>IF(AND(S74="PASS",Mechanisms!AB12=1),"PASS","FAIL")</x:f>
        <x:v>FAIL</x:v>
      </x:c>
      <x:c r="U74" s="30" t="str">
        <x:f>IF(AND(T74="PASS",'Mission Worlds'!Q10=0),"PASS","FAIL")</x:f>
        <x:v>FAIL</x:v>
      </x:c>
      <x:c r="V74" s="32" t="str">
        <x:f>'Mission Worlds'!R10</x:f>
        <x:v>all legacy surface paths lost</x:v>
      </x:c>
    </x:row>
    <x:row r="75">
      <x:c r="B75" s="30" t="str">
        <x:v>M5</x:v>
      </x:c>
      <x:c r="C75" s="30" t="str">
        <x:v>W05</x:v>
      </x:c>
      <x:c r="D75" s="50" t="n">
        <x:f>Mechanisms!AD12</x:f>
        <x:v>1</x:v>
      </x:c>
      <x:c r="E75" s="30" t="str">
        <x:f>'Payload Closure'!N11</x:f>
        <x:v>PASS</x:v>
      </x:c>
      <x:c r="F75" s="30" t="str">
        <x:f>IF(Mechanisms!J12&gt;='Mission Worlds'!D11,"PASS","FAIL")</x:f>
        <x:v>FAIL</x:v>
      </x:c>
      <x:c r="G75" s="30" t="str">
        <x:f>IF(OR('Mission Worlds'!E11=0,Mechanisms!K12=1),"PASS","FAIL")</x:f>
        <x:v>PASS</x:v>
      </x:c>
      <x:c r="H75" s="30" t="str">
        <x:f>IF(OR('Mission Worlds'!F11=0,Mechanisms!L12=0),"PASS","FAIL")</x:f>
        <x:v>PASS</x:v>
      </x:c>
      <x:c r="I75" s="30" t="str">
        <x:f>IF(OR('Mission Worlds'!G11=0,Mechanisms!M12=0),"PASS","FAIL")</x:f>
        <x:v>PASS</x:v>
      </x:c>
      <x:c r="J75" s="30" t="str">
        <x:f>IF(Mechanisms!N12&gt;='Mission Worlds'!H11,"PASS","FAIL")</x:f>
        <x:v>PASS</x:v>
      </x:c>
      <x:c r="K75" s="30" t="str">
        <x:f>IF(Mechanisms!O12&gt;='Mission Worlds'!I11,"PASS","FAIL")</x:f>
        <x:v>PASS</x:v>
      </x:c>
      <x:c r="L75" s="30" t="str">
        <x:f>IF(Mechanisms!P12&lt;='Mission Worlds'!J11,"PASS","FAIL")</x:f>
        <x:v>PASS</x:v>
      </x:c>
      <x:c r="M75" s="30" t="str">
        <x:f>IF(OR('Mission Worlds'!K11=0,Mechanisms!Q12=1),"PASS","FAIL")</x:f>
        <x:v>PASS</x:v>
      </x:c>
      <x:c r="N75" s="30" t="str">
        <x:f>IF(OR('Mission Worlds'!L11=0,Mechanisms!R12=0),"PASS","FAIL")</x:f>
        <x:v>PASS</x:v>
      </x:c>
      <x:c r="O75" s="30" t="str">
        <x:f>IF(OR('Mission Worlds'!M11=0,Mechanisms!S12=0),"PASS","FAIL")</x:f>
        <x:v>FAIL</x:v>
      </x:c>
      <x:c r="P75" s="30" t="str">
        <x:f>IF(OR('Mission Worlds'!N11=0,Mechanisms!T12=1),"PASS","FAIL")</x:f>
        <x:v>PASS</x:v>
      </x:c>
      <x:c r="Q75" s="30" t="str">
        <x:f>IF(Mechanisms!U12&lt;='Mission Worlds'!O11,"PASS","FAIL")</x:f>
        <x:v>PASS</x:v>
      </x:c>
      <x:c r="R75" s="30" t="str">
        <x:f>IF(Mechanisms!V12&gt;='Mission Worlds'!P11,"PASS","FAIL")</x:f>
        <x:v>PASS</x:v>
      </x:c>
      <x:c r="S75" s="30" t="str">
        <x:f>IF(COUNTIF(E75:R75,"FAIL")=0,"PASS","FAIL")</x:f>
        <x:v>FAIL</x:v>
      </x:c>
      <x:c r="T75" s="30" t="str">
        <x:f>IF(AND(S75="PASS",Mechanisms!AB12=1),"PASS","FAIL")</x:f>
        <x:v>FAIL</x:v>
      </x:c>
      <x:c r="U75" s="30" t="str">
        <x:f>IF(AND(T75="PASS",'Mission Worlds'!Q11=0),"PASS","FAIL")</x:f>
        <x:v>FAIL</x:v>
      </x:c>
      <x:c r="V75" s="32" t="str">
        <x:f>'Mission Worlds'!R11</x:f>
        <x:v>steep receiving terrain</x:v>
      </x:c>
    </x:row>
    <x:row r="76">
      <x:c r="B76" s="30" t="str">
        <x:v>M5</x:v>
      </x:c>
      <x:c r="C76" s="30" t="str">
        <x:v>W06</x:v>
      </x:c>
      <x:c r="D76" s="50" t="n">
        <x:f>Mechanisms!AD12</x:f>
        <x:v>1</x:v>
      </x:c>
      <x:c r="E76" s="30" t="str">
        <x:f>'Payload Closure'!N11</x:f>
        <x:v>PASS</x:v>
      </x:c>
      <x:c r="F76" s="30" t="str">
        <x:f>IF(Mechanisms!J12&gt;='Mission Worlds'!D12,"PASS","FAIL")</x:f>
        <x:v>FAIL</x:v>
      </x:c>
      <x:c r="G76" s="30" t="str">
        <x:f>IF(OR('Mission Worlds'!E12=0,Mechanisms!K12=1),"PASS","FAIL")</x:f>
        <x:v>PASS</x:v>
      </x:c>
      <x:c r="H76" s="30" t="str">
        <x:f>IF(OR('Mission Worlds'!F12=0,Mechanisms!L12=0),"PASS","FAIL")</x:f>
        <x:v>PASS</x:v>
      </x:c>
      <x:c r="I76" s="30" t="str">
        <x:f>IF(OR('Mission Worlds'!G12=0,Mechanisms!M12=0),"PASS","FAIL")</x:f>
        <x:v>PASS</x:v>
      </x:c>
      <x:c r="J76" s="30" t="str">
        <x:f>IF(Mechanisms!N12&gt;='Mission Worlds'!H12,"PASS","FAIL")</x:f>
        <x:v>PASS</x:v>
      </x:c>
      <x:c r="K76" s="30" t="str">
        <x:f>IF(Mechanisms!O12&gt;='Mission Worlds'!I12,"PASS","FAIL")</x:f>
        <x:v>PASS</x:v>
      </x:c>
      <x:c r="L76" s="30" t="str">
        <x:f>IF(Mechanisms!P12&lt;='Mission Worlds'!J12,"PASS","FAIL")</x:f>
        <x:v>PASS</x:v>
      </x:c>
      <x:c r="M76" s="30" t="str">
        <x:f>IF(OR('Mission Worlds'!K12=0,Mechanisms!Q12=1),"PASS","FAIL")</x:f>
        <x:v>PASS</x:v>
      </x:c>
      <x:c r="N76" s="30" t="str">
        <x:f>IF(OR('Mission Worlds'!L12=0,Mechanisms!R12=0),"PASS","FAIL")</x:f>
        <x:v>PASS</x:v>
      </x:c>
      <x:c r="O76" s="30" t="str">
        <x:f>IF(OR('Mission Worlds'!M12=0,Mechanisms!S12=0),"PASS","FAIL")</x:f>
        <x:v>FAIL</x:v>
      </x:c>
      <x:c r="P76" s="30" t="str">
        <x:f>IF(OR('Mission Worlds'!N12=0,Mechanisms!T12=1),"PASS","FAIL")</x:f>
        <x:v>PASS</x:v>
      </x:c>
      <x:c r="Q76" s="30" t="str">
        <x:f>IF(Mechanisms!U12&lt;='Mission Worlds'!O12,"PASS","FAIL")</x:f>
        <x:v>PASS</x:v>
      </x:c>
      <x:c r="R76" s="30" t="str">
        <x:f>IF(Mechanisms!V12&gt;='Mission Worlds'!P12,"PASS","FAIL")</x:f>
        <x:v>PASS</x:v>
      </x:c>
      <x:c r="S76" s="30" t="str">
        <x:f>IF(COUNTIF(E76:R76,"FAIL")=0,"PASS","FAIL")</x:f>
        <x:v>FAIL</x:v>
      </x:c>
      <x:c r="T76" s="30" t="str">
        <x:f>IF(AND(S76="PASS",Mechanisms!AB12=1),"PASS","FAIL")</x:f>
        <x:v>FAIL</x:v>
      </x:c>
      <x:c r="U76" s="30" t="str">
        <x:f>IF(AND(T76="PASS",'Mission Worlds'!Q12=0),"PASS","FAIL")</x:f>
        <x:v>FAIL</x:v>
      </x:c>
      <x:c r="V76" s="32" t="str">
        <x:f>'Mission Worlds'!R12</x:f>
        <x:v>high ambient and no local feed</x:v>
      </x:c>
    </x:row>
    <x:row r="77">
      <x:c r="B77" s="30" t="str">
        <x:v>M5</x:v>
      </x:c>
      <x:c r="C77" s="30" t="str">
        <x:v>W07</x:v>
      </x:c>
      <x:c r="D77" s="50" t="n">
        <x:f>Mechanisms!AD12</x:f>
        <x:v>1</x:v>
      </x:c>
      <x:c r="E77" s="30" t="str">
        <x:f>'Payload Closure'!N11</x:f>
        <x:v>PASS</x:v>
      </x:c>
      <x:c r="F77" s="30" t="str">
        <x:f>IF(Mechanisms!J12&gt;='Mission Worlds'!D13,"PASS","FAIL")</x:f>
        <x:v>FAIL</x:v>
      </x:c>
      <x:c r="G77" s="30" t="str">
        <x:f>IF(OR('Mission Worlds'!E13=0,Mechanisms!K12=1),"PASS","FAIL")</x:f>
        <x:v>PASS</x:v>
      </x:c>
      <x:c r="H77" s="30" t="str">
        <x:f>IF(OR('Mission Worlds'!F13=0,Mechanisms!L12=0),"PASS","FAIL")</x:f>
        <x:v>PASS</x:v>
      </x:c>
      <x:c r="I77" s="30" t="str">
        <x:f>IF(OR('Mission Worlds'!G13=0,Mechanisms!M12=0),"PASS","FAIL")</x:f>
        <x:v>PASS</x:v>
      </x:c>
      <x:c r="J77" s="30" t="str">
        <x:f>IF(Mechanisms!N12&gt;='Mission Worlds'!H13,"PASS","FAIL")</x:f>
        <x:v>PASS</x:v>
      </x:c>
      <x:c r="K77" s="30" t="str">
        <x:f>IF(Mechanisms!O12&gt;='Mission Worlds'!I13,"PASS","FAIL")</x:f>
        <x:v>PASS</x:v>
      </x:c>
      <x:c r="L77" s="30" t="str">
        <x:f>IF(Mechanisms!P12&lt;='Mission Worlds'!J13,"PASS","FAIL")</x:f>
        <x:v>PASS</x:v>
      </x:c>
      <x:c r="M77" s="30" t="str">
        <x:f>IF(OR('Mission Worlds'!K13=0,Mechanisms!Q12=1),"PASS","FAIL")</x:f>
        <x:v>PASS</x:v>
      </x:c>
      <x:c r="N77" s="30" t="str">
        <x:f>IF(OR('Mission Worlds'!L13=0,Mechanisms!R12=0),"PASS","FAIL")</x:f>
        <x:v>PASS</x:v>
      </x:c>
      <x:c r="O77" s="30" t="str">
        <x:f>IF(OR('Mission Worlds'!M13=0,Mechanisms!S12=0),"PASS","FAIL")</x:f>
        <x:v>FAIL</x:v>
      </x:c>
      <x:c r="P77" s="30" t="str">
        <x:f>IF(OR('Mission Worlds'!N13=0,Mechanisms!T12=1),"PASS","FAIL")</x:f>
        <x:v>PASS</x:v>
      </x:c>
      <x:c r="Q77" s="30" t="str">
        <x:f>IF(Mechanisms!U12&lt;='Mission Worlds'!O13,"PASS","FAIL")</x:f>
        <x:v>PASS</x:v>
      </x:c>
      <x:c r="R77" s="30" t="str">
        <x:f>IF(Mechanisms!V12&gt;='Mission Worlds'!P13,"PASS","FAIL")</x:f>
        <x:v>PASS</x:v>
      </x:c>
      <x:c r="S77" s="30" t="str">
        <x:f>IF(COUNTIF(E77:R77,"FAIL")=0,"PASS","FAIL")</x:f>
        <x:v>FAIL</x:v>
      </x:c>
      <x:c r="T77" s="30" t="str">
        <x:f>IF(AND(S77="PASS",Mechanisms!AB12=1),"PASS","FAIL")</x:f>
        <x:v>FAIL</x:v>
      </x:c>
      <x:c r="U77" s="30" t="str">
        <x:f>IF(AND(T77="PASS",'Mission Worlds'!Q13=0),"PASS","FAIL")</x:f>
        <x:v>FAIL</x:v>
      </x:c>
      <x:c r="V77" s="32" t="str">
        <x:f>'Mission Worlds'!R13</x:f>
        <x:v>surface-water approach denied</x:v>
      </x:c>
    </x:row>
    <x:row r="78">
      <x:c r="B78" s="30" t="str">
        <x:v>M5</x:v>
      </x:c>
      <x:c r="C78" s="30" t="str">
        <x:v>W08</x:v>
      </x:c>
      <x:c r="D78" s="50" t="n">
        <x:f>Mechanisms!AD12</x:f>
        <x:v>1</x:v>
      </x:c>
      <x:c r="E78" s="30" t="str">
        <x:f>'Payload Closure'!N11</x:f>
        <x:v>PASS</x:v>
      </x:c>
      <x:c r="F78" s="30" t="str">
        <x:f>IF(Mechanisms!J12&gt;='Mission Worlds'!D14,"PASS","FAIL")</x:f>
        <x:v>FAIL</x:v>
      </x:c>
      <x:c r="G78" s="30" t="str">
        <x:f>IF(OR('Mission Worlds'!E14=0,Mechanisms!K12=1),"PASS","FAIL")</x:f>
        <x:v>PASS</x:v>
      </x:c>
      <x:c r="H78" s="30" t="str">
        <x:f>IF(OR('Mission Worlds'!F14=0,Mechanisms!L12=0),"PASS","FAIL")</x:f>
        <x:v>PASS</x:v>
      </x:c>
      <x:c r="I78" s="30" t="str">
        <x:f>IF(OR('Mission Worlds'!G14=0,Mechanisms!M12=0),"PASS","FAIL")</x:f>
        <x:v>PASS</x:v>
      </x:c>
      <x:c r="J78" s="30" t="str">
        <x:f>IF(Mechanisms!N12&gt;='Mission Worlds'!H14,"PASS","FAIL")</x:f>
        <x:v>PASS</x:v>
      </x:c>
      <x:c r="K78" s="30" t="str">
        <x:f>IF(Mechanisms!O12&gt;='Mission Worlds'!I14,"PASS","FAIL")</x:f>
        <x:v>PASS</x:v>
      </x:c>
      <x:c r="L78" s="30" t="str">
        <x:f>IF(Mechanisms!P12&lt;='Mission Worlds'!J14,"PASS","FAIL")</x:f>
        <x:v>PASS</x:v>
      </x:c>
      <x:c r="M78" s="30" t="str">
        <x:f>IF(OR('Mission Worlds'!K14=0,Mechanisms!Q12=1),"PASS","FAIL")</x:f>
        <x:v>PASS</x:v>
      </x:c>
      <x:c r="N78" s="30" t="str">
        <x:f>IF(OR('Mission Worlds'!L14=0,Mechanisms!R12=0),"PASS","FAIL")</x:f>
        <x:v>PASS</x:v>
      </x:c>
      <x:c r="O78" s="30" t="str">
        <x:f>IF(OR('Mission Worlds'!M14=0,Mechanisms!S12=0),"PASS","FAIL")</x:f>
        <x:v>FAIL</x:v>
      </x:c>
      <x:c r="P78" s="30" t="str">
        <x:f>IF(OR('Mission Worlds'!N14=0,Mechanisms!T12=1),"PASS","FAIL")</x:f>
        <x:v>PASS</x:v>
      </x:c>
      <x:c r="Q78" s="30" t="str">
        <x:f>IF(Mechanisms!U12&lt;='Mission Worlds'!O14,"PASS","FAIL")</x:f>
        <x:v>PASS</x:v>
      </x:c>
      <x:c r="R78" s="30" t="str">
        <x:f>IF(Mechanisms!V12&gt;='Mission Worlds'!P14,"PASS","FAIL")</x:f>
        <x:v>PASS</x:v>
      </x:c>
      <x:c r="S78" s="30" t="str">
        <x:f>IF(COUNTIF(E78:R78,"FAIL")=0,"PASS","FAIL")</x:f>
        <x:v>FAIL</x:v>
      </x:c>
      <x:c r="T78" s="30" t="str">
        <x:f>IF(AND(S78="PASS",Mechanisms!AB12=1),"PASS","FAIL")</x:f>
        <x:v>FAIL</x:v>
      </x:c>
      <x:c r="U78" s="30" t="str">
        <x:f>IF(AND(T78="PASS",'Mission Worlds'!Q14=0),"PASS","FAIL")</x:f>
        <x:v>FAIL</x:v>
      </x:c>
      <x:c r="V78" s="32" t="str">
        <x:f>'Mission Worlds'!R14</x:f>
        <x:v>long range and austere receiver</x:v>
      </x:c>
    </x:row>
    <x:row r="79">
      <x:c r="B79" s="30" t="str">
        <x:v>M5</x:v>
      </x:c>
      <x:c r="C79" s="30" t="str">
        <x:v>W09</x:v>
      </x:c>
      <x:c r="D79" s="50" t="n">
        <x:f>Mechanisms!AD12</x:f>
        <x:v>1</x:v>
      </x:c>
      <x:c r="E79" s="30" t="str">
        <x:f>'Payload Closure'!N11</x:f>
        <x:v>PASS</x:v>
      </x:c>
      <x:c r="F79" s="30" t="str">
        <x:f>IF(Mechanisms!J12&gt;='Mission Worlds'!D15,"PASS","FAIL")</x:f>
        <x:v>FAIL</x:v>
      </x:c>
      <x:c r="G79" s="30" t="str">
        <x:f>IF(OR('Mission Worlds'!E15=0,Mechanisms!K12=1),"PASS","FAIL")</x:f>
        <x:v>PASS</x:v>
      </x:c>
      <x:c r="H79" s="30" t="str">
        <x:f>IF(OR('Mission Worlds'!F15=0,Mechanisms!L12=0),"PASS","FAIL")</x:f>
        <x:v>PASS</x:v>
      </x:c>
      <x:c r="I79" s="30" t="str">
        <x:f>IF(OR('Mission Worlds'!G15=0,Mechanisms!M12=0),"PASS","FAIL")</x:f>
        <x:v>PASS</x:v>
      </x:c>
      <x:c r="J79" s="30" t="str">
        <x:f>IF(Mechanisms!N12&gt;='Mission Worlds'!H15,"PASS","FAIL")</x:f>
        <x:v>PASS</x:v>
      </x:c>
      <x:c r="K79" s="30" t="str">
        <x:f>IF(Mechanisms!O12&gt;='Mission Worlds'!I15,"PASS","FAIL")</x:f>
        <x:v>PASS</x:v>
      </x:c>
      <x:c r="L79" s="30" t="str">
        <x:f>IF(Mechanisms!P12&lt;='Mission Worlds'!J15,"PASS","FAIL")</x:f>
        <x:v>PASS</x:v>
      </x:c>
      <x:c r="M79" s="30" t="str">
        <x:f>IF(OR('Mission Worlds'!K15=0,Mechanisms!Q12=1),"PASS","FAIL")</x:f>
        <x:v>PASS</x:v>
      </x:c>
      <x:c r="N79" s="30" t="str">
        <x:f>IF(OR('Mission Worlds'!L15=0,Mechanisms!R12=0),"PASS","FAIL")</x:f>
        <x:v>PASS</x:v>
      </x:c>
      <x:c r="O79" s="30" t="str">
        <x:f>IF(OR('Mission Worlds'!M15=0,Mechanisms!S12=0),"PASS","FAIL")</x:f>
        <x:v>FAIL</x:v>
      </x:c>
      <x:c r="P79" s="30" t="str">
        <x:f>IF(OR('Mission Worlds'!N15=0,Mechanisms!T12=1),"PASS","FAIL")</x:f>
        <x:v>PASS</x:v>
      </x:c>
      <x:c r="Q79" s="30" t="str">
        <x:f>IF(Mechanisms!U12&lt;='Mission Worlds'!O15,"PASS","FAIL")</x:f>
        <x:v>PASS</x:v>
      </x:c>
      <x:c r="R79" s="30" t="str">
        <x:f>IF(Mechanisms!V12&gt;='Mission Worlds'!P15,"PASS","FAIL")</x:f>
        <x:v>PASS</x:v>
      </x:c>
      <x:c r="S79" s="30" t="str">
        <x:f>IF(COUNTIF(E79:R79,"FAIL")=0,"PASS","FAIL")</x:f>
        <x:v>FAIL</x:v>
      </x:c>
      <x:c r="T79" s="30" t="str">
        <x:f>IF(AND(S79="PASS",Mechanisms!AB12=1),"PASS","FAIL")</x:f>
        <x:v>FAIL</x:v>
      </x:c>
      <x:c r="U79" s="30" t="str">
        <x:f>IF(AND(T79="PASS",'Mission Worlds'!Q15=0),"PASS","FAIL")</x:f>
        <x:v>FAIL</x:v>
      </x:c>
      <x:c r="V79" s="32" t="str">
        <x:f>'Mission Worlds'!R15</x:f>
        <x:v>smoke operations required</x:v>
      </x:c>
    </x:row>
    <x:row r="80">
      <x:c r="B80" s="30" t="str">
        <x:v>M5</x:v>
      </x:c>
      <x:c r="C80" s="30" t="str">
        <x:v>W10</x:v>
      </x:c>
      <x:c r="D80" s="50" t="n">
        <x:f>Mechanisms!AD12</x:f>
        <x:v>1</x:v>
      </x:c>
      <x:c r="E80" s="30" t="str">
        <x:f>'Payload Closure'!N11</x:f>
        <x:v>PASS</x:v>
      </x:c>
      <x:c r="F80" s="30" t="str">
        <x:f>IF(Mechanisms!J12&gt;='Mission Worlds'!D16,"PASS","FAIL")</x:f>
        <x:v>FAIL</x:v>
      </x:c>
      <x:c r="G80" s="30" t="str">
        <x:f>IF(OR('Mission Worlds'!E16=0,Mechanisms!K12=1),"PASS","FAIL")</x:f>
        <x:v>PASS</x:v>
      </x:c>
      <x:c r="H80" s="30" t="str">
        <x:f>IF(OR('Mission Worlds'!F16=0,Mechanisms!L12=0),"PASS","FAIL")</x:f>
        <x:v>PASS</x:v>
      </x:c>
      <x:c r="I80" s="30" t="str">
        <x:f>IF(OR('Mission Worlds'!G16=0,Mechanisms!M12=0),"PASS","FAIL")</x:f>
        <x:v>PASS</x:v>
      </x:c>
      <x:c r="J80" s="30" t="str">
        <x:f>IF(Mechanisms!N12&gt;='Mission Worlds'!H16,"PASS","FAIL")</x:f>
        <x:v>PASS</x:v>
      </x:c>
      <x:c r="K80" s="30" t="str">
        <x:f>IF(Mechanisms!O12&gt;='Mission Worlds'!I16,"PASS","FAIL")</x:f>
        <x:v>PASS</x:v>
      </x:c>
      <x:c r="L80" s="30" t="str">
        <x:f>IF(Mechanisms!P12&lt;='Mission Worlds'!J16,"PASS","FAIL")</x:f>
        <x:v>PASS</x:v>
      </x:c>
      <x:c r="M80" s="30" t="str">
        <x:f>IF(OR('Mission Worlds'!K16=0,Mechanisms!Q12=1),"PASS","FAIL")</x:f>
        <x:v>PASS</x:v>
      </x:c>
      <x:c r="N80" s="30" t="str">
        <x:f>IF(OR('Mission Worlds'!L16=0,Mechanisms!R12=0),"PASS","FAIL")</x:f>
        <x:v>PASS</x:v>
      </x:c>
      <x:c r="O80" s="30" t="str">
        <x:f>IF(OR('Mission Worlds'!M16=0,Mechanisms!S12=0),"PASS","FAIL")</x:f>
        <x:v>FAIL</x:v>
      </x:c>
      <x:c r="P80" s="30" t="str">
        <x:f>IF(OR('Mission Worlds'!N16=0,Mechanisms!T12=1),"PASS","FAIL")</x:f>
        <x:v>PASS</x:v>
      </x:c>
      <x:c r="Q80" s="30" t="str">
        <x:f>IF(Mechanisms!U12&lt;='Mission Worlds'!O16,"PASS","FAIL")</x:f>
        <x:v>PASS</x:v>
      </x:c>
      <x:c r="R80" s="30" t="str">
        <x:f>IF(Mechanisms!V12&gt;='Mission Worlds'!P16,"PASS","FAIL")</x:f>
        <x:v>PASS</x:v>
      </x:c>
      <x:c r="S80" s="30" t="str">
        <x:f>IF(COUNTIF(E80:R80,"FAIL")=0,"PASS","FAIL")</x:f>
        <x:v>FAIL</x:v>
      </x:c>
      <x:c r="T80" s="30" t="str">
        <x:f>IF(AND(S80="PASS",Mechanisms!AB12=1),"PASS","FAIL")</x:f>
        <x:v>FAIL</x:v>
      </x:c>
      <x:c r="U80" s="30" t="str">
        <x:f>IF(AND(T80="PASS",'Mission Worlds'!Q16=0),"PASS","FAIL")</x:f>
        <x:v>FAIL</x:v>
      </x:c>
      <x:c r="V80" s="32" t="str">
        <x:f>'Mission Worlds'!R16</x:f>
        <x:v>small safe footprint</x:v>
      </x:c>
    </x:row>
    <x:row r="81">
      <x:c r="B81" s="30" t="str">
        <x:v>M5</x:v>
      </x:c>
      <x:c r="C81" s="30" t="str">
        <x:v>W11</x:v>
      </x:c>
      <x:c r="D81" s="50" t="n">
        <x:f>Mechanisms!AD12</x:f>
        <x:v>1</x:v>
      </x:c>
      <x:c r="E81" s="30" t="str">
        <x:f>'Payload Closure'!N11</x:f>
        <x:v>PASS</x:v>
      </x:c>
      <x:c r="F81" s="30" t="str">
        <x:f>IF(Mechanisms!J12&gt;='Mission Worlds'!D17,"PASS","FAIL")</x:f>
        <x:v>FAIL</x:v>
      </x:c>
      <x:c r="G81" s="30" t="str">
        <x:f>IF(OR('Mission Worlds'!E17=0,Mechanisms!K12=1),"PASS","FAIL")</x:f>
        <x:v>PASS</x:v>
      </x:c>
      <x:c r="H81" s="30" t="str">
        <x:f>IF(OR('Mission Worlds'!F17=0,Mechanisms!L12=0),"PASS","FAIL")</x:f>
        <x:v>PASS</x:v>
      </x:c>
      <x:c r="I81" s="30" t="str">
        <x:f>IF(OR('Mission Worlds'!G17=0,Mechanisms!M12=0),"PASS","FAIL")</x:f>
        <x:v>PASS</x:v>
      </x:c>
      <x:c r="J81" s="30" t="str">
        <x:f>IF(Mechanisms!N12&gt;='Mission Worlds'!H17,"PASS","FAIL")</x:f>
        <x:v>PASS</x:v>
      </x:c>
      <x:c r="K81" s="30" t="str">
        <x:f>IF(Mechanisms!O12&gt;='Mission Worlds'!I17,"PASS","FAIL")</x:f>
        <x:v>FAIL</x:v>
      </x:c>
      <x:c r="L81" s="30" t="str">
        <x:f>IF(Mechanisms!P12&lt;='Mission Worlds'!J17,"PASS","FAIL")</x:f>
        <x:v>PASS</x:v>
      </x:c>
      <x:c r="M81" s="30" t="str">
        <x:f>IF(OR('Mission Worlds'!K17=0,Mechanisms!Q12=1),"PASS","FAIL")</x:f>
        <x:v>PASS</x:v>
      </x:c>
      <x:c r="N81" s="30" t="str">
        <x:f>IF(OR('Mission Worlds'!L17=0,Mechanisms!R12=0),"PASS","FAIL")</x:f>
        <x:v>PASS</x:v>
      </x:c>
      <x:c r="O81" s="30" t="str">
        <x:f>IF(OR('Mission Worlds'!M17=0,Mechanisms!S12=0),"PASS","FAIL")</x:f>
        <x:v>FAIL</x:v>
      </x:c>
      <x:c r="P81" s="30" t="str">
        <x:f>IF(OR('Mission Worlds'!N17=0,Mechanisms!T12=1),"PASS","FAIL")</x:f>
        <x:v>PASS</x:v>
      </x:c>
      <x:c r="Q81" s="30" t="str">
        <x:f>IF(Mechanisms!U12&lt;='Mission Worlds'!O17,"PASS","FAIL")</x:f>
        <x:v>PASS</x:v>
      </x:c>
      <x:c r="R81" s="30" t="str">
        <x:f>IF(Mechanisms!V12&gt;='Mission Worlds'!P17,"PASS","FAIL")</x:f>
        <x:v>PASS</x:v>
      </x:c>
      <x:c r="S81" s="30" t="str">
        <x:f>IF(COUNTIF(E81:R81,"FAIL")=0,"PASS","FAIL")</x:f>
        <x:v>FAIL</x:v>
      </x:c>
      <x:c r="T81" s="30" t="str">
        <x:f>IF(AND(S81="PASS",Mechanisms!AB12=1),"PASS","FAIL")</x:f>
        <x:v>FAIL</x:v>
      </x:c>
      <x:c r="U81" s="30" t="str">
        <x:f>IF(AND(T81="PASS",'Mission Worlds'!Q17=0),"PASS","FAIL")</x:f>
        <x:v>FAIL</x:v>
      </x:c>
      <x:c r="V81" s="32" t="str">
        <x:f>'Mission Worlds'!R17</x:f>
        <x:v>high-wind launch and receipt</x:v>
      </x:c>
    </x:row>
    <x:row r="82">
      <x:c r="B82" s="30" t="str">
        <x:v>M5</x:v>
      </x:c>
      <x:c r="C82" s="30" t="str">
        <x:v>W12</x:v>
      </x:c>
      <x:c r="D82" s="50" t="n">
        <x:f>Mechanisms!AD12</x:f>
        <x:v>1</x:v>
      </x:c>
      <x:c r="E82" s="30" t="str">
        <x:f>'Payload Closure'!N11</x:f>
        <x:v>PASS</x:v>
      </x:c>
      <x:c r="F82" s="30" t="str">
        <x:f>IF(Mechanisms!J12&gt;='Mission Worlds'!D18,"PASS","FAIL")</x:f>
        <x:v>FAIL</x:v>
      </x:c>
      <x:c r="G82" s="30" t="str">
        <x:f>IF(OR('Mission Worlds'!E18=0,Mechanisms!K12=1),"PASS","FAIL")</x:f>
        <x:v>PASS</x:v>
      </x:c>
      <x:c r="H82" s="30" t="str">
        <x:f>IF(OR('Mission Worlds'!F18=0,Mechanisms!L12=0),"PASS","FAIL")</x:f>
        <x:v>PASS</x:v>
      </x:c>
      <x:c r="I82" s="30" t="str">
        <x:f>IF(OR('Mission Worlds'!G18=0,Mechanisms!M12=0),"PASS","FAIL")</x:f>
        <x:v>PASS</x:v>
      </x:c>
      <x:c r="J82" s="30" t="str">
        <x:f>IF(Mechanisms!N12&gt;='Mission Worlds'!H18,"PASS","FAIL")</x:f>
        <x:v>PASS</x:v>
      </x:c>
      <x:c r="K82" s="30" t="str">
        <x:f>IF(Mechanisms!O12&gt;='Mission Worlds'!I18,"PASS","FAIL")</x:f>
        <x:v>PASS</x:v>
      </x:c>
      <x:c r="L82" s="30" t="str">
        <x:f>IF(Mechanisms!P12&lt;='Mission Worlds'!J18,"PASS","FAIL")</x:f>
        <x:v>PASS</x:v>
      </x:c>
      <x:c r="M82" s="30" t="str">
        <x:f>IF(OR('Mission Worlds'!K18=0,Mechanisms!Q12=1),"PASS","FAIL")</x:f>
        <x:v>PASS</x:v>
      </x:c>
      <x:c r="N82" s="30" t="str">
        <x:f>IF(OR('Mission Worlds'!L18=0,Mechanisms!R12=0),"PASS","FAIL")</x:f>
        <x:v>PASS</x:v>
      </x:c>
      <x:c r="O82" s="30" t="str">
        <x:f>IF(OR('Mission Worlds'!M18=0,Mechanisms!S12=0),"PASS","FAIL")</x:f>
        <x:v>FAIL</x:v>
      </x:c>
      <x:c r="P82" s="30" t="str">
        <x:f>IF(OR('Mission Worlds'!N18=0,Mechanisms!T12=1),"PASS","FAIL")</x:f>
        <x:v>PASS</x:v>
      </x:c>
      <x:c r="Q82" s="30" t="str">
        <x:f>IF(Mechanisms!U12&lt;='Mission Worlds'!O18,"PASS","FAIL")</x:f>
        <x:v>PASS</x:v>
      </x:c>
      <x:c r="R82" s="30" t="str">
        <x:f>IF(Mechanisms!V12&gt;='Mission Worlds'!P18,"PASS","FAIL")</x:f>
        <x:v>PASS</x:v>
      </x:c>
      <x:c r="S82" s="30" t="str">
        <x:f>IF(COUNTIF(E82:R82,"FAIL")=0,"PASS","FAIL")</x:f>
        <x:v>FAIL</x:v>
      </x:c>
      <x:c r="T82" s="30" t="str">
        <x:f>IF(AND(S82="PASS",Mechanisms!AB12=1),"PASS","FAIL")</x:f>
        <x:v>FAIL</x:v>
      </x:c>
      <x:c r="U82" s="30" t="str">
        <x:f>IF(AND(T82="PASS",'Mission Worlds'!Q18=0),"PASS","FAIL")</x:f>
        <x:v>FAIL</x:v>
      </x:c>
      <x:c r="V82" s="32" t="str">
        <x:f>'Mission Worlds'!R18</x:f>
        <x:v>long range and offline command</x:v>
      </x:c>
    </x:row>
    <x:row r="83">
      <x:c r="B83" s="30" t="str">
        <x:v>M5</x:v>
      </x:c>
      <x:c r="C83" s="30" t="str">
        <x:v>W13</x:v>
      </x:c>
      <x:c r="D83" s="50" t="n">
        <x:f>Mechanisms!AD12</x:f>
        <x:v>1</x:v>
      </x:c>
      <x:c r="E83" s="30" t="str">
        <x:f>'Payload Closure'!N11</x:f>
        <x:v>PASS</x:v>
      </x:c>
      <x:c r="F83" s="30" t="str">
        <x:f>IF(Mechanisms!J12&gt;='Mission Worlds'!D19,"PASS","FAIL")</x:f>
        <x:v>PASS</x:v>
      </x:c>
      <x:c r="G83" s="30" t="str">
        <x:f>IF(OR('Mission Worlds'!E19=0,Mechanisms!K12=1),"PASS","FAIL")</x:f>
        <x:v>PASS</x:v>
      </x:c>
      <x:c r="H83" s="30" t="str">
        <x:f>IF(OR('Mission Worlds'!F19=0,Mechanisms!L12=0),"PASS","FAIL")</x:f>
        <x:v>PASS</x:v>
      </x:c>
      <x:c r="I83" s="30" t="str">
        <x:f>IF(OR('Mission Worlds'!G19=0,Mechanisms!M12=0),"PASS","FAIL")</x:f>
        <x:v>PASS</x:v>
      </x:c>
      <x:c r="J83" s="30" t="str">
        <x:f>IF(Mechanisms!N12&gt;='Mission Worlds'!H19,"PASS","FAIL")</x:f>
        <x:v>PASS</x:v>
      </x:c>
      <x:c r="K83" s="30" t="str">
        <x:f>IF(Mechanisms!O12&gt;='Mission Worlds'!I19,"PASS","FAIL")</x:f>
        <x:v>PASS</x:v>
      </x:c>
      <x:c r="L83" s="30" t="str">
        <x:f>IF(Mechanisms!P12&lt;='Mission Worlds'!J19,"PASS","FAIL")</x:f>
        <x:v>PASS</x:v>
      </x:c>
      <x:c r="M83" s="30" t="str">
        <x:f>IF(OR('Mission Worlds'!K19=0,Mechanisms!Q12=1),"PASS","FAIL")</x:f>
        <x:v>PASS</x:v>
      </x:c>
      <x:c r="N83" s="30" t="str">
        <x:f>IF(OR('Mission Worlds'!L19=0,Mechanisms!R12=0),"PASS","FAIL")</x:f>
        <x:v>PASS</x:v>
      </x:c>
      <x:c r="O83" s="30" t="str">
        <x:f>IF(OR('Mission Worlds'!M19=0,Mechanisms!S12=0),"PASS","FAIL")</x:f>
        <x:v>PASS</x:v>
      </x:c>
      <x:c r="P83" s="30" t="str">
        <x:f>IF(OR('Mission Worlds'!N19=0,Mechanisms!T12=1),"PASS","FAIL")</x:f>
        <x:v>PASS</x:v>
      </x:c>
      <x:c r="Q83" s="30" t="str">
        <x:f>IF(Mechanisms!U12&lt;='Mission Worlds'!O19,"PASS","FAIL")</x:f>
        <x:v>PASS</x:v>
      </x:c>
      <x:c r="R83" s="30" t="str">
        <x:f>IF(Mechanisms!V12&gt;='Mission Worlds'!P19,"PASS","FAIL")</x:f>
        <x:v>PASS</x:v>
      </x:c>
      <x:c r="S83" s="30" t="str">
        <x:f>IF(COUNTIF(E83:R83,"FAIL")=0,"PASS","FAIL")</x:f>
        <x:v>PASS</x:v>
      </x:c>
      <x:c r="T83" s="30" t="str">
        <x:f>IF(AND(S83="PASS",Mechanisms!AB12=1),"PASS","FAIL")</x:f>
        <x:v>FAIL</x:v>
      </x:c>
      <x:c r="U83" s="30" t="str">
        <x:f>IF(AND(T83="PASS",'Mission Worlds'!Q19=0),"PASS","FAIL")</x:f>
        <x:v>FAIL</x:v>
      </x:c>
      <x:c r="V83" s="32" t="str">
        <x:f>'Mission Worlds'!R19</x:f>
        <x:v>standoff source remains</x:v>
      </x:c>
    </x:row>
    <x:row r="84">
      <x:c r="B84" s="30" t="str">
        <x:v>M5</x:v>
      </x:c>
      <x:c r="C84" s="30" t="str">
        <x:v>W14</x:v>
      </x:c>
      <x:c r="D84" s="50" t="n">
        <x:f>Mechanisms!AD12</x:f>
        <x:v>1</x:v>
      </x:c>
      <x:c r="E84" s="30" t="str">
        <x:f>'Payload Closure'!N11</x:f>
        <x:v>PASS</x:v>
      </x:c>
      <x:c r="F84" s="30" t="str">
        <x:f>IF(Mechanisms!J12&gt;='Mission Worlds'!D20,"PASS","FAIL")</x:f>
        <x:v>FAIL</x:v>
      </x:c>
      <x:c r="G84" s="30" t="str">
        <x:f>IF(OR('Mission Worlds'!E20=0,Mechanisms!K12=1),"PASS","FAIL")</x:f>
        <x:v>PASS</x:v>
      </x:c>
      <x:c r="H84" s="30" t="str">
        <x:f>IF(OR('Mission Worlds'!F20=0,Mechanisms!L12=0),"PASS","FAIL")</x:f>
        <x:v>PASS</x:v>
      </x:c>
      <x:c r="I84" s="30" t="str">
        <x:f>IF(OR('Mission Worlds'!G20=0,Mechanisms!M12=0),"PASS","FAIL")</x:f>
        <x:v>PASS</x:v>
      </x:c>
      <x:c r="J84" s="30" t="str">
        <x:f>IF(Mechanisms!N12&gt;='Mission Worlds'!H20,"PASS","FAIL")</x:f>
        <x:v>PASS</x:v>
      </x:c>
      <x:c r="K84" s="30" t="str">
        <x:f>IF(Mechanisms!O12&gt;='Mission Worlds'!I20,"PASS","FAIL")</x:f>
        <x:v>PASS</x:v>
      </x:c>
      <x:c r="L84" s="30" t="str">
        <x:f>IF(Mechanisms!P12&lt;='Mission Worlds'!J20,"PASS","FAIL")</x:f>
        <x:v>PASS</x:v>
      </x:c>
      <x:c r="M84" s="30" t="str">
        <x:f>IF(OR('Mission Worlds'!K20=0,Mechanisms!Q12=1),"PASS","FAIL")</x:f>
        <x:v>PASS</x:v>
      </x:c>
      <x:c r="N84" s="30" t="str">
        <x:f>IF(OR('Mission Worlds'!L20=0,Mechanisms!R12=0),"PASS","FAIL")</x:f>
        <x:v>PASS</x:v>
      </x:c>
      <x:c r="O84" s="30" t="str">
        <x:f>IF(OR('Mission Worlds'!M20=0,Mechanisms!S12=0),"PASS","FAIL")</x:f>
        <x:v>FAIL</x:v>
      </x:c>
      <x:c r="P84" s="30" t="str">
        <x:f>IF(OR('Mission Worlds'!N20=0,Mechanisms!T12=1),"PASS","FAIL")</x:f>
        <x:v>PASS</x:v>
      </x:c>
      <x:c r="Q84" s="30" t="str">
        <x:f>IF(Mechanisms!U12&lt;='Mission Worlds'!O20,"PASS","FAIL")</x:f>
        <x:v>PASS</x:v>
      </x:c>
      <x:c r="R84" s="30" t="str">
        <x:f>IF(Mechanisms!V12&gt;='Mission Worlds'!P20,"PASS","FAIL")</x:f>
        <x:v>PASS</x:v>
      </x:c>
      <x:c r="S84" s="30" t="str">
        <x:f>IF(COUNTIF(E84:R84,"FAIL")=0,"PASS","FAIL")</x:f>
        <x:v>FAIL</x:v>
      </x:c>
      <x:c r="T84" s="30" t="str">
        <x:f>IF(AND(S84="PASS",Mechanisms!AB12=1),"PASS","FAIL")</x:f>
        <x:v>FAIL</x:v>
      </x:c>
      <x:c r="U84" s="30" t="str">
        <x:f>IF(AND(T84="PASS",'Mission Worlds'!Q20=0),"PASS","FAIL")</x:f>
        <x:v>FAIL</x:v>
      </x:c>
      <x:c r="V84" s="32" t="str">
        <x:f>'Mission Worlds'!R20</x:f>
        <x:v>conversion can substitute for carriage</x:v>
      </x:c>
    </x:row>
    <x:row r="85">
      <x:c r="B85" s="30" t="str">
        <x:v>M5</x:v>
      </x:c>
      <x:c r="C85" s="30" t="str">
        <x:v>W15</x:v>
      </x:c>
      <x:c r="D85" s="50" t="n">
        <x:f>Mechanisms!AD12</x:f>
        <x:v>1</x:v>
      </x:c>
      <x:c r="E85" s="30" t="str">
        <x:f>'Payload Closure'!N11</x:f>
        <x:v>PASS</x:v>
      </x:c>
      <x:c r="F85" s="30" t="str">
        <x:f>IF(Mechanisms!J12&gt;='Mission Worlds'!D21,"PASS","FAIL")</x:f>
        <x:v>FAIL</x:v>
      </x:c>
      <x:c r="G85" s="30" t="str">
        <x:f>IF(OR('Mission Worlds'!E21=0,Mechanisms!K12=1),"PASS","FAIL")</x:f>
        <x:v>PASS</x:v>
      </x:c>
      <x:c r="H85" s="30" t="str">
        <x:f>IF(OR('Mission Worlds'!F21=0,Mechanisms!L12=0),"PASS","FAIL")</x:f>
        <x:v>PASS</x:v>
      </x:c>
      <x:c r="I85" s="30" t="str">
        <x:f>IF(OR('Mission Worlds'!G21=0,Mechanisms!M12=0),"PASS","FAIL")</x:f>
        <x:v>PASS</x:v>
      </x:c>
      <x:c r="J85" s="30" t="str">
        <x:f>IF(Mechanisms!N12&gt;='Mission Worlds'!H21,"PASS","FAIL")</x:f>
        <x:v>PASS</x:v>
      </x:c>
      <x:c r="K85" s="30" t="str">
        <x:f>IF(Mechanisms!O12&gt;='Mission Worlds'!I21,"PASS","FAIL")</x:f>
        <x:v>PASS</x:v>
      </x:c>
      <x:c r="L85" s="30" t="str">
        <x:f>IF(Mechanisms!P12&lt;='Mission Worlds'!J21,"PASS","FAIL")</x:f>
        <x:v>PASS</x:v>
      </x:c>
      <x:c r="M85" s="30" t="str">
        <x:f>IF(OR('Mission Worlds'!K21=0,Mechanisms!Q12=1),"PASS","FAIL")</x:f>
        <x:v>PASS</x:v>
      </x:c>
      <x:c r="N85" s="30" t="str">
        <x:f>IF(OR('Mission Worlds'!L21=0,Mechanisms!R12=0),"PASS","FAIL")</x:f>
        <x:v>PASS</x:v>
      </x:c>
      <x:c r="O85" s="30" t="str">
        <x:f>IF(OR('Mission Worlds'!M21=0,Mechanisms!S12=0),"PASS","FAIL")</x:f>
        <x:v>FAIL</x:v>
      </x:c>
      <x:c r="P85" s="30" t="str">
        <x:f>IF(OR('Mission Worlds'!N21=0,Mechanisms!T12=1),"PASS","FAIL")</x:f>
        <x:v>PASS</x:v>
      </x:c>
      <x:c r="Q85" s="30" t="str">
        <x:f>IF(Mechanisms!U12&lt;='Mission Worlds'!O21,"PASS","FAIL")</x:f>
        <x:v>PASS</x:v>
      </x:c>
      <x:c r="R85" s="30" t="str">
        <x:f>IF(Mechanisms!V12&gt;='Mission Worlds'!P21,"PASS","FAIL")</x:f>
        <x:v>PASS</x:v>
      </x:c>
      <x:c r="S85" s="30" t="str">
        <x:f>IF(COUNTIF(E85:R85,"FAIL")=0,"PASS","FAIL")</x:f>
        <x:v>FAIL</x:v>
      </x:c>
      <x:c r="T85" s="30" t="str">
        <x:f>IF(AND(S85="PASS",Mechanisms!AB12=1),"PASS","FAIL")</x:f>
        <x:v>FAIL</x:v>
      </x:c>
      <x:c r="U85" s="30" t="str">
        <x:f>IF(AND(T85="PASS",'Mission Worlds'!Q21=0),"PASS","FAIL")</x:f>
        <x:v>FAIL</x:v>
      </x:c>
      <x:c r="V85" s="32" t="str">
        <x:f>'Mission Worlds'!R21</x:f>
        <x:v>one national set cannot double count</x:v>
      </x:c>
    </x:row>
    <x:row r="86">
      <x:c r="B86" s="30" t="str">
        <x:v>M5</x:v>
      </x:c>
      <x:c r="C86" s="30" t="str">
        <x:v>W16</x:v>
      </x:c>
      <x:c r="D86" s="50" t="n">
        <x:f>Mechanisms!AD12</x:f>
        <x:v>1</x:v>
      </x:c>
      <x:c r="E86" s="30" t="str">
        <x:f>'Payload Closure'!N11</x:f>
        <x:v>PASS</x:v>
      </x:c>
      <x:c r="F86" s="30" t="str">
        <x:f>IF(Mechanisms!J12&gt;='Mission Worlds'!D22,"PASS","FAIL")</x:f>
        <x:v>FAIL</x:v>
      </x:c>
      <x:c r="G86" s="30" t="str">
        <x:f>IF(OR('Mission Worlds'!E22=0,Mechanisms!K12=1),"PASS","FAIL")</x:f>
        <x:v>PASS</x:v>
      </x:c>
      <x:c r="H86" s="30" t="str">
        <x:f>IF(OR('Mission Worlds'!F22=0,Mechanisms!L12=0),"PASS","FAIL")</x:f>
        <x:v>PASS</x:v>
      </x:c>
      <x:c r="I86" s="30" t="str">
        <x:f>IF(OR('Mission Worlds'!G22=0,Mechanisms!M12=0),"PASS","FAIL")</x:f>
        <x:v>PASS</x:v>
      </x:c>
      <x:c r="J86" s="30" t="str">
        <x:f>IF(Mechanisms!N12&gt;='Mission Worlds'!H22,"PASS","FAIL")</x:f>
        <x:v>PASS</x:v>
      </x:c>
      <x:c r="K86" s="30" t="str">
        <x:f>IF(Mechanisms!O12&gt;='Mission Worlds'!I22,"PASS","FAIL")</x:f>
        <x:v>PASS</x:v>
      </x:c>
      <x:c r="L86" s="30" t="str">
        <x:f>IF(Mechanisms!P12&lt;='Mission Worlds'!J22,"PASS","FAIL")</x:f>
        <x:v>PASS</x:v>
      </x:c>
      <x:c r="M86" s="30" t="str">
        <x:f>IF(OR('Mission Worlds'!K22=0,Mechanisms!Q12=1),"PASS","FAIL")</x:f>
        <x:v>PASS</x:v>
      </x:c>
      <x:c r="N86" s="30" t="str">
        <x:f>IF(OR('Mission Worlds'!L22=0,Mechanisms!R12=0),"PASS","FAIL")</x:f>
        <x:v>PASS</x:v>
      </x:c>
      <x:c r="O86" s="30" t="str">
        <x:f>IF(OR('Mission Worlds'!M22=0,Mechanisms!S12=0),"PASS","FAIL")</x:f>
        <x:v>FAIL</x:v>
      </x:c>
      <x:c r="P86" s="30" t="str">
        <x:f>IF(OR('Mission Worlds'!N22=0,Mechanisms!T12=1),"PASS","FAIL")</x:f>
        <x:v>PASS</x:v>
      </x:c>
      <x:c r="Q86" s="30" t="str">
        <x:f>IF(Mechanisms!U12&lt;='Mission Worlds'!O22,"PASS","FAIL")</x:f>
        <x:v>PASS</x:v>
      </x:c>
      <x:c r="R86" s="30" t="str">
        <x:f>IF(Mechanisms!V12&gt;='Mission Worlds'!P22,"PASS","FAIL")</x:f>
        <x:v>PASS</x:v>
      </x:c>
      <x:c r="S86" s="30" t="str">
        <x:f>IF(COUNTIF(E86:R86,"FAIL")=0,"PASS","FAIL")</x:f>
        <x:v>FAIL</x:v>
      </x:c>
      <x:c r="T86" s="30" t="str">
        <x:f>IF(AND(S86="PASS",Mechanisms!AB12=1),"PASS","FAIL")</x:f>
        <x:v>FAIL</x:v>
      </x:c>
      <x:c r="U86" s="30" t="str">
        <x:f>IF(AND(T86="PASS",'Mission Worlds'!Q22=0),"PASS","FAIL")</x:f>
        <x:v>FAIL</x:v>
      </x:c>
      <x:c r="V86" s="32" t="str">
        <x:f>'Mission Worlds'!R22</x:f>
        <x:v>universal admission stop</x:v>
      </x:c>
    </x:row>
    <x:row r="87">
      <x:c r="B87" s="30" t="str">
        <x:v>M6</x:v>
      </x:c>
      <x:c r="C87" s="30" t="str">
        <x:v>W01</x:v>
      </x:c>
      <x:c r="D87" s="50" t="n">
        <x:f>Mechanisms!AD13</x:f>
        <x:v>1</x:v>
      </x:c>
      <x:c r="E87" s="30" t="str">
        <x:f>'Payload Closure'!N12</x:f>
        <x:v>PASS</x:v>
      </x:c>
      <x:c r="F87" s="30" t="str">
        <x:f>IF(Mechanisms!J13&gt;='Mission Worlds'!D7,"PASS","FAIL")</x:f>
        <x:v>FAIL</x:v>
      </x:c>
      <x:c r="G87" s="30" t="str">
        <x:f>IF(OR('Mission Worlds'!E7=0,Mechanisms!K13=1),"PASS","FAIL")</x:f>
        <x:v>PASS</x:v>
      </x:c>
      <x:c r="H87" s="30" t="str">
        <x:f>IF(OR('Mission Worlds'!F7=0,Mechanisms!L13=0),"PASS","FAIL")</x:f>
        <x:v>PASS</x:v>
      </x:c>
      <x:c r="I87" s="30" t="str">
        <x:f>IF(OR('Mission Worlds'!G7=0,Mechanisms!M13=0),"PASS","FAIL")</x:f>
        <x:v>PASS</x:v>
      </x:c>
      <x:c r="J87" s="30" t="str">
        <x:f>IF(Mechanisms!N13&gt;='Mission Worlds'!H7,"PASS","FAIL")</x:f>
        <x:v>PASS</x:v>
      </x:c>
      <x:c r="K87" s="30" t="str">
        <x:f>IF(Mechanisms!O13&gt;='Mission Worlds'!I7,"PASS","FAIL")</x:f>
        <x:v>PASS</x:v>
      </x:c>
      <x:c r="L87" s="30" t="str">
        <x:f>IF(Mechanisms!P13&lt;='Mission Worlds'!J7,"PASS","FAIL")</x:f>
        <x:v>PASS</x:v>
      </x:c>
      <x:c r="M87" s="30" t="str">
        <x:f>IF(OR('Mission Worlds'!K7=0,Mechanisms!Q13=1),"PASS","FAIL")</x:f>
        <x:v>PASS</x:v>
      </x:c>
      <x:c r="N87" s="30" t="str">
        <x:f>IF(OR('Mission Worlds'!L7=0,Mechanisms!R13=0),"PASS","FAIL")</x:f>
        <x:v>FAIL</x:v>
      </x:c>
      <x:c r="O87" s="30" t="str">
        <x:f>IF(OR('Mission Worlds'!M7=0,Mechanisms!S13=0),"PASS","FAIL")</x:f>
        <x:v>PASS</x:v>
      </x:c>
      <x:c r="P87" s="30" t="str">
        <x:f>IF(OR('Mission Worlds'!N7=0,Mechanisms!T13=1),"PASS","FAIL")</x:f>
        <x:v>PASS</x:v>
      </x:c>
      <x:c r="Q87" s="30" t="str">
        <x:f>IF(Mechanisms!U13&lt;='Mission Worlds'!O7,"PASS","FAIL")</x:f>
        <x:v>PASS</x:v>
      </x:c>
      <x:c r="R87" s="30" t="str">
        <x:f>IF(Mechanisms!V13&gt;='Mission Worlds'!P7,"PASS","FAIL")</x:f>
        <x:v>PASS</x:v>
      </x:c>
      <x:c r="S87" s="30" t="str">
        <x:f>IF(COUNTIF(E87:R87,"FAIL")=0,"PASS","FAIL")</x:f>
        <x:v>FAIL</x:v>
      </x:c>
      <x:c r="T87" s="30" t="str">
        <x:f>IF(AND(S87="PASS",Mechanisms!AB13=1),"PASS","FAIL")</x:f>
        <x:v>FAIL</x:v>
      </x:c>
      <x:c r="U87" s="30" t="str">
        <x:f>IF(AND(T87="PASS",'Mission Worlds'!Q7=0),"PASS","FAIL")</x:f>
        <x:v>FAIL</x:v>
      </x:c>
      <x:c r="V87" s="32" t="str">
        <x:f>'Mission Worlds'!R7</x:f>
        <x:v>no inherited terminal</x:v>
      </x:c>
    </x:row>
    <x:row r="88">
      <x:c r="B88" s="30" t="str">
        <x:v>M6</x:v>
      </x:c>
      <x:c r="C88" s="30" t="str">
        <x:v>W02</x:v>
      </x:c>
      <x:c r="D88" s="50" t="n">
        <x:f>Mechanisms!AD13</x:f>
        <x:v>1</x:v>
      </x:c>
      <x:c r="E88" s="30" t="str">
        <x:f>'Payload Closure'!N12</x:f>
        <x:v>PASS</x:v>
      </x:c>
      <x:c r="F88" s="30" t="str">
        <x:f>IF(Mechanisms!J13&gt;='Mission Worlds'!D8,"PASS","FAIL")</x:f>
        <x:v>FAIL</x:v>
      </x:c>
      <x:c r="G88" s="30" t="str">
        <x:f>IF(OR('Mission Worlds'!E8=0,Mechanisms!K13=1),"PASS","FAIL")</x:f>
        <x:v>PASS</x:v>
      </x:c>
      <x:c r="H88" s="30" t="str">
        <x:f>IF(OR('Mission Worlds'!F8=0,Mechanisms!L13=0),"PASS","FAIL")</x:f>
        <x:v>PASS</x:v>
      </x:c>
      <x:c r="I88" s="30" t="str">
        <x:f>IF(OR('Mission Worlds'!G8=0,Mechanisms!M13=0),"PASS","FAIL")</x:f>
        <x:v>PASS</x:v>
      </x:c>
      <x:c r="J88" s="30" t="str">
        <x:f>IF(Mechanisms!N13&gt;='Mission Worlds'!H8,"PASS","FAIL")</x:f>
        <x:v>PASS</x:v>
      </x:c>
      <x:c r="K88" s="30" t="str">
        <x:f>IF(Mechanisms!O13&gt;='Mission Worlds'!I8,"PASS","FAIL")</x:f>
        <x:v>PASS</x:v>
      </x:c>
      <x:c r="L88" s="30" t="str">
        <x:f>IF(Mechanisms!P13&lt;='Mission Worlds'!J8,"PASS","FAIL")</x:f>
        <x:v>PASS</x:v>
      </x:c>
      <x:c r="M88" s="30" t="str">
        <x:f>IF(OR('Mission Worlds'!K8=0,Mechanisms!Q13=1),"PASS","FAIL")</x:f>
        <x:v>PASS</x:v>
      </x:c>
      <x:c r="N88" s="30" t="str">
        <x:f>IF(OR('Mission Worlds'!L8=0,Mechanisms!R13=0),"PASS","FAIL")</x:f>
        <x:v>FAIL</x:v>
      </x:c>
      <x:c r="O88" s="30" t="str">
        <x:f>IF(OR('Mission Worlds'!M8=0,Mechanisms!S13=0),"PASS","FAIL")</x:f>
        <x:v>PASS</x:v>
      </x:c>
      <x:c r="P88" s="30" t="str">
        <x:f>IF(OR('Mission Worlds'!N8=0,Mechanisms!T13=1),"PASS","FAIL")</x:f>
        <x:v>PASS</x:v>
      </x:c>
      <x:c r="Q88" s="30" t="str">
        <x:f>IF(Mechanisms!U13&lt;='Mission Worlds'!O8,"PASS","FAIL")</x:f>
        <x:v>PASS</x:v>
      </x:c>
      <x:c r="R88" s="30" t="str">
        <x:f>IF(Mechanisms!V13&gt;='Mission Worlds'!P8,"PASS","FAIL")</x:f>
        <x:v>PASS</x:v>
      </x:c>
      <x:c r="S88" s="30" t="str">
        <x:f>IF(COUNTIF(E88:R88,"FAIL")=0,"PASS","FAIL")</x:f>
        <x:v>FAIL</x:v>
      </x:c>
      <x:c r="T88" s="30" t="str">
        <x:f>IF(AND(S88="PASS",Mechanisms!AB13=1),"PASS","FAIL")</x:f>
        <x:v>FAIL</x:v>
      </x:c>
      <x:c r="U88" s="30" t="str">
        <x:f>IF(AND(T88="PASS",'Mission Worlds'!Q8=0),"PASS","FAIL")</x:f>
        <x:v>FAIL</x:v>
      </x:c>
      <x:c r="V88" s="32" t="str">
        <x:f>'Mission Worlds'!R8</x:f>
        <x:v>water approach remains</x:v>
      </x:c>
    </x:row>
    <x:row r="89">
      <x:c r="B89" s="30" t="str">
        <x:v>M6</x:v>
      </x:c>
      <x:c r="C89" s="30" t="str">
        <x:v>W03</x:v>
      </x:c>
      <x:c r="D89" s="50" t="n">
        <x:f>Mechanisms!AD13</x:f>
        <x:v>1</x:v>
      </x:c>
      <x:c r="E89" s="30" t="str">
        <x:f>'Payload Closure'!N12</x:f>
        <x:v>PASS</x:v>
      </x:c>
      <x:c r="F89" s="30" t="str">
        <x:f>IF(Mechanisms!J13&gt;='Mission Worlds'!D9,"PASS","FAIL")</x:f>
        <x:v>PASS</x:v>
      </x:c>
      <x:c r="G89" s="30" t="str">
        <x:f>IF(OR('Mission Worlds'!E9=0,Mechanisms!K13=1),"PASS","FAIL")</x:f>
        <x:v>PASS</x:v>
      </x:c>
      <x:c r="H89" s="30" t="str">
        <x:f>IF(OR('Mission Worlds'!F9=0,Mechanisms!L13=0),"PASS","FAIL")</x:f>
        <x:v>PASS</x:v>
      </x:c>
      <x:c r="I89" s="30" t="str">
        <x:f>IF(OR('Mission Worlds'!G9=0,Mechanisms!M13=0),"PASS","FAIL")</x:f>
        <x:v>PASS</x:v>
      </x:c>
      <x:c r="J89" s="30" t="str">
        <x:f>IF(Mechanisms!N13&gt;='Mission Worlds'!H9,"PASS","FAIL")</x:f>
        <x:v>PASS</x:v>
      </x:c>
      <x:c r="K89" s="30" t="str">
        <x:f>IF(Mechanisms!O13&gt;='Mission Worlds'!I9,"PASS","FAIL")</x:f>
        <x:v>PASS</x:v>
      </x:c>
      <x:c r="L89" s="30" t="str">
        <x:f>IF(Mechanisms!P13&lt;='Mission Worlds'!J9,"PASS","FAIL")</x:f>
        <x:v>PASS</x:v>
      </x:c>
      <x:c r="M89" s="30" t="str">
        <x:f>IF(OR('Mission Worlds'!K9=0,Mechanisms!Q13=1),"PASS","FAIL")</x:f>
        <x:v>PASS</x:v>
      </x:c>
      <x:c r="N89" s="30" t="str">
        <x:f>IF(OR('Mission Worlds'!L9=0,Mechanisms!R13=0),"PASS","FAIL")</x:f>
        <x:v>FAIL</x:v>
      </x:c>
      <x:c r="O89" s="30" t="str">
        <x:f>IF(OR('Mission Worlds'!M9=0,Mechanisms!S13=0),"PASS","FAIL")</x:f>
        <x:v>PASS</x:v>
      </x:c>
      <x:c r="P89" s="30" t="str">
        <x:f>IF(OR('Mission Worlds'!N9=0,Mechanisms!T13=1),"PASS","FAIL")</x:f>
        <x:v>PASS</x:v>
      </x:c>
      <x:c r="Q89" s="30" t="str">
        <x:f>IF(Mechanisms!U13&lt;='Mission Worlds'!O9,"PASS","FAIL")</x:f>
        <x:v>PASS</x:v>
      </x:c>
      <x:c r="R89" s="30" t="str">
        <x:f>IF(Mechanisms!V13&gt;='Mission Worlds'!P9,"PASS","FAIL")</x:f>
        <x:v>PASS</x:v>
      </x:c>
      <x:c r="S89" s="30" t="str">
        <x:f>IF(COUNTIF(E89:R89,"FAIL")=0,"PASS","FAIL")</x:f>
        <x:v>FAIL</x:v>
      </x:c>
      <x:c r="T89" s="30" t="str">
        <x:f>IF(AND(S89="PASS",Mechanisms!AB13=1),"PASS","FAIL")</x:f>
        <x:v>FAIL</x:v>
      </x:c>
      <x:c r="U89" s="30" t="str">
        <x:f>IF(AND(T89="PASS",'Mission Worlds'!Q9=0),"PASS","FAIL")</x:f>
        <x:v>FAIL</x:v>
      </x:c>
      <x:c r="V89" s="32" t="str">
        <x:f>'Mission Worlds'!R9</x:f>
        <x:v>nearby source may survive</x:v>
      </x:c>
    </x:row>
    <x:row r="90">
      <x:c r="B90" s="30" t="str">
        <x:v>M6</x:v>
      </x:c>
      <x:c r="C90" s="30" t="str">
        <x:v>W04</x:v>
      </x:c>
      <x:c r="D90" s="50" t="n">
        <x:f>Mechanisms!AD13</x:f>
        <x:v>1</x:v>
      </x:c>
      <x:c r="E90" s="30" t="str">
        <x:f>'Payload Closure'!N12</x:f>
        <x:v>PASS</x:v>
      </x:c>
      <x:c r="F90" s="30" t="str">
        <x:f>IF(Mechanisms!J13&gt;='Mission Worlds'!D10,"PASS","FAIL")</x:f>
        <x:v>PASS</x:v>
      </x:c>
      <x:c r="G90" s="30" t="str">
        <x:f>IF(OR('Mission Worlds'!E10=0,Mechanisms!K13=1),"PASS","FAIL")</x:f>
        <x:v>PASS</x:v>
      </x:c>
      <x:c r="H90" s="30" t="str">
        <x:f>IF(OR('Mission Worlds'!F10=0,Mechanisms!L13=0),"PASS","FAIL")</x:f>
        <x:v>PASS</x:v>
      </x:c>
      <x:c r="I90" s="30" t="str">
        <x:f>IF(OR('Mission Worlds'!G10=0,Mechanisms!M13=0),"PASS","FAIL")</x:f>
        <x:v>PASS</x:v>
      </x:c>
      <x:c r="J90" s="30" t="str">
        <x:f>IF(Mechanisms!N13&gt;='Mission Worlds'!H10,"PASS","FAIL")</x:f>
        <x:v>PASS</x:v>
      </x:c>
      <x:c r="K90" s="30" t="str">
        <x:f>IF(Mechanisms!O13&gt;='Mission Worlds'!I10,"PASS","FAIL")</x:f>
        <x:v>PASS</x:v>
      </x:c>
      <x:c r="L90" s="30" t="str">
        <x:f>IF(Mechanisms!P13&lt;='Mission Worlds'!J10,"PASS","FAIL")</x:f>
        <x:v>PASS</x:v>
      </x:c>
      <x:c r="M90" s="30" t="str">
        <x:f>IF(OR('Mission Worlds'!K10=0,Mechanisms!Q13=1),"PASS","FAIL")</x:f>
        <x:v>PASS</x:v>
      </x:c>
      <x:c r="N90" s="30" t="str">
        <x:f>IF(OR('Mission Worlds'!L10=0,Mechanisms!R13=0),"PASS","FAIL")</x:f>
        <x:v>FAIL</x:v>
      </x:c>
      <x:c r="O90" s="30" t="str">
        <x:f>IF(OR('Mission Worlds'!M10=0,Mechanisms!S13=0),"PASS","FAIL")</x:f>
        <x:v>PASS</x:v>
      </x:c>
      <x:c r="P90" s="30" t="str">
        <x:f>IF(OR('Mission Worlds'!N10=0,Mechanisms!T13=1),"PASS","FAIL")</x:f>
        <x:v>PASS</x:v>
      </x:c>
      <x:c r="Q90" s="30" t="str">
        <x:f>IF(Mechanisms!U13&lt;='Mission Worlds'!O10,"PASS","FAIL")</x:f>
        <x:v>PASS</x:v>
      </x:c>
      <x:c r="R90" s="30" t="str">
        <x:f>IF(Mechanisms!V13&gt;='Mission Worlds'!P10,"PASS","FAIL")</x:f>
        <x:v>PASS</x:v>
      </x:c>
      <x:c r="S90" s="30" t="str">
        <x:f>IF(COUNTIF(E90:R90,"FAIL")=0,"PASS","FAIL")</x:f>
        <x:v>FAIL</x:v>
      </x:c>
      <x:c r="T90" s="30" t="str">
        <x:f>IF(AND(S90="PASS",Mechanisms!AB13=1),"PASS","FAIL")</x:f>
        <x:v>FAIL</x:v>
      </x:c>
      <x:c r="U90" s="30" t="str">
        <x:f>IF(AND(T90="PASS",'Mission Worlds'!Q10=0),"PASS","FAIL")</x:f>
        <x:v>FAIL</x:v>
      </x:c>
      <x:c r="V90" s="32" t="str">
        <x:f>'Mission Worlds'!R10</x:f>
        <x:v>all legacy surface paths lost</x:v>
      </x:c>
    </x:row>
    <x:row r="91">
      <x:c r="B91" s="30" t="str">
        <x:v>M6</x:v>
      </x:c>
      <x:c r="C91" s="30" t="str">
        <x:v>W05</x:v>
      </x:c>
      <x:c r="D91" s="50" t="n">
        <x:f>Mechanisms!AD13</x:f>
        <x:v>1</x:v>
      </x:c>
      <x:c r="E91" s="30" t="str">
        <x:f>'Payload Closure'!N12</x:f>
        <x:v>PASS</x:v>
      </x:c>
      <x:c r="F91" s="30" t="str">
        <x:f>IF(Mechanisms!J13&gt;='Mission Worlds'!D11,"PASS","FAIL")</x:f>
        <x:v>PASS</x:v>
      </x:c>
      <x:c r="G91" s="30" t="str">
        <x:f>IF(OR('Mission Worlds'!E11=0,Mechanisms!K13=1),"PASS","FAIL")</x:f>
        <x:v>PASS</x:v>
      </x:c>
      <x:c r="H91" s="30" t="str">
        <x:f>IF(OR('Mission Worlds'!F11=0,Mechanisms!L13=0),"PASS","FAIL")</x:f>
        <x:v>PASS</x:v>
      </x:c>
      <x:c r="I91" s="30" t="str">
        <x:f>IF(OR('Mission Worlds'!G11=0,Mechanisms!M13=0),"PASS","FAIL")</x:f>
        <x:v>PASS</x:v>
      </x:c>
      <x:c r="J91" s="30" t="str">
        <x:f>IF(Mechanisms!N13&gt;='Mission Worlds'!H11,"PASS","FAIL")</x:f>
        <x:v>FAIL</x:v>
      </x:c>
      <x:c r="K91" s="30" t="str">
        <x:f>IF(Mechanisms!O13&gt;='Mission Worlds'!I11,"PASS","FAIL")</x:f>
        <x:v>PASS</x:v>
      </x:c>
      <x:c r="L91" s="30" t="str">
        <x:f>IF(Mechanisms!P13&lt;='Mission Worlds'!J11,"PASS","FAIL")</x:f>
        <x:v>PASS</x:v>
      </x:c>
      <x:c r="M91" s="30" t="str">
        <x:f>IF(OR('Mission Worlds'!K11=0,Mechanisms!Q13=1),"PASS","FAIL")</x:f>
        <x:v>PASS</x:v>
      </x:c>
      <x:c r="N91" s="30" t="str">
        <x:f>IF(OR('Mission Worlds'!L11=0,Mechanisms!R13=0),"PASS","FAIL")</x:f>
        <x:v>FAIL</x:v>
      </x:c>
      <x:c r="O91" s="30" t="str">
        <x:f>IF(OR('Mission Worlds'!M11=0,Mechanisms!S13=0),"PASS","FAIL")</x:f>
        <x:v>PASS</x:v>
      </x:c>
      <x:c r="P91" s="30" t="str">
        <x:f>IF(OR('Mission Worlds'!N11=0,Mechanisms!T13=1),"PASS","FAIL")</x:f>
        <x:v>PASS</x:v>
      </x:c>
      <x:c r="Q91" s="30" t="str">
        <x:f>IF(Mechanisms!U13&lt;='Mission Worlds'!O11,"PASS","FAIL")</x:f>
        <x:v>PASS</x:v>
      </x:c>
      <x:c r="R91" s="30" t="str">
        <x:f>IF(Mechanisms!V13&gt;='Mission Worlds'!P11,"PASS","FAIL")</x:f>
        <x:v>PASS</x:v>
      </x:c>
      <x:c r="S91" s="30" t="str">
        <x:f>IF(COUNTIF(E91:R91,"FAIL")=0,"PASS","FAIL")</x:f>
        <x:v>FAIL</x:v>
      </x:c>
      <x:c r="T91" s="30" t="str">
        <x:f>IF(AND(S91="PASS",Mechanisms!AB13=1),"PASS","FAIL")</x:f>
        <x:v>FAIL</x:v>
      </x:c>
      <x:c r="U91" s="30" t="str">
        <x:f>IF(AND(T91="PASS",'Mission Worlds'!Q11=0),"PASS","FAIL")</x:f>
        <x:v>FAIL</x:v>
      </x:c>
      <x:c r="V91" s="32" t="str">
        <x:f>'Mission Worlds'!R11</x:f>
        <x:v>steep receiving terrain</x:v>
      </x:c>
    </x:row>
    <x:row r="92">
      <x:c r="B92" s="30" t="str">
        <x:v>M6</x:v>
      </x:c>
      <x:c r="C92" s="30" t="str">
        <x:v>W06</x:v>
      </x:c>
      <x:c r="D92" s="50" t="n">
        <x:f>Mechanisms!AD13</x:f>
        <x:v>1</x:v>
      </x:c>
      <x:c r="E92" s="30" t="str">
        <x:f>'Payload Closure'!N12</x:f>
        <x:v>PASS</x:v>
      </x:c>
      <x:c r="F92" s="30" t="str">
        <x:f>IF(Mechanisms!J13&gt;='Mission Worlds'!D12,"PASS","FAIL")</x:f>
        <x:v>PASS</x:v>
      </x:c>
      <x:c r="G92" s="30" t="str">
        <x:f>IF(OR('Mission Worlds'!E12=0,Mechanisms!K13=1),"PASS","FAIL")</x:f>
        <x:v>PASS</x:v>
      </x:c>
      <x:c r="H92" s="30" t="str">
        <x:f>IF(OR('Mission Worlds'!F12=0,Mechanisms!L13=0),"PASS","FAIL")</x:f>
        <x:v>PASS</x:v>
      </x:c>
      <x:c r="I92" s="30" t="str">
        <x:f>IF(OR('Mission Worlds'!G12=0,Mechanisms!M13=0),"PASS","FAIL")</x:f>
        <x:v>PASS</x:v>
      </x:c>
      <x:c r="J92" s="30" t="str">
        <x:f>IF(Mechanisms!N13&gt;='Mission Worlds'!H12,"PASS","FAIL")</x:f>
        <x:v>PASS</x:v>
      </x:c>
      <x:c r="K92" s="30" t="str">
        <x:f>IF(Mechanisms!O13&gt;='Mission Worlds'!I12,"PASS","FAIL")</x:f>
        <x:v>PASS</x:v>
      </x:c>
      <x:c r="L92" s="30" t="str">
        <x:f>IF(Mechanisms!P13&lt;='Mission Worlds'!J12,"PASS","FAIL")</x:f>
        <x:v>PASS</x:v>
      </x:c>
      <x:c r="M92" s="30" t="str">
        <x:f>IF(OR('Mission Worlds'!K12=0,Mechanisms!Q13=1),"PASS","FAIL")</x:f>
        <x:v>PASS</x:v>
      </x:c>
      <x:c r="N92" s="30" t="str">
        <x:f>IF(OR('Mission Worlds'!L12=0,Mechanisms!R13=0),"PASS","FAIL")</x:f>
        <x:v>FAIL</x:v>
      </x:c>
      <x:c r="O92" s="30" t="str">
        <x:f>IF(OR('Mission Worlds'!M12=0,Mechanisms!S13=0),"PASS","FAIL")</x:f>
        <x:v>PASS</x:v>
      </x:c>
      <x:c r="P92" s="30" t="str">
        <x:f>IF(OR('Mission Worlds'!N12=0,Mechanisms!T13=1),"PASS","FAIL")</x:f>
        <x:v>PASS</x:v>
      </x:c>
      <x:c r="Q92" s="30" t="str">
        <x:f>IF(Mechanisms!U13&lt;='Mission Worlds'!O12,"PASS","FAIL")</x:f>
        <x:v>PASS</x:v>
      </x:c>
      <x:c r="R92" s="30" t="str">
        <x:f>IF(Mechanisms!V13&gt;='Mission Worlds'!P12,"PASS","FAIL")</x:f>
        <x:v>PASS</x:v>
      </x:c>
      <x:c r="S92" s="30" t="str">
        <x:f>IF(COUNTIF(E92:R92,"FAIL")=0,"PASS","FAIL")</x:f>
        <x:v>FAIL</x:v>
      </x:c>
      <x:c r="T92" s="30" t="str">
        <x:f>IF(AND(S92="PASS",Mechanisms!AB13=1),"PASS","FAIL")</x:f>
        <x:v>FAIL</x:v>
      </x:c>
      <x:c r="U92" s="30" t="str">
        <x:f>IF(AND(T92="PASS",'Mission Worlds'!Q12=0),"PASS","FAIL")</x:f>
        <x:v>FAIL</x:v>
      </x:c>
      <x:c r="V92" s="32" t="str">
        <x:f>'Mission Worlds'!R12</x:f>
        <x:v>high ambient and no local feed</x:v>
      </x:c>
    </x:row>
    <x:row r="93">
      <x:c r="B93" s="30" t="str">
        <x:v>M6</x:v>
      </x:c>
      <x:c r="C93" s="30" t="str">
        <x:v>W07</x:v>
      </x:c>
      <x:c r="D93" s="50" t="n">
        <x:f>Mechanisms!AD13</x:f>
        <x:v>1</x:v>
      </x:c>
      <x:c r="E93" s="30" t="str">
        <x:f>'Payload Closure'!N12</x:f>
        <x:v>PASS</x:v>
      </x:c>
      <x:c r="F93" s="30" t="str">
        <x:f>IF(Mechanisms!J13&gt;='Mission Worlds'!D13,"PASS","FAIL")</x:f>
        <x:v>PASS</x:v>
      </x:c>
      <x:c r="G93" s="30" t="str">
        <x:f>IF(OR('Mission Worlds'!E13=0,Mechanisms!K13=1),"PASS","FAIL")</x:f>
        <x:v>PASS</x:v>
      </x:c>
      <x:c r="H93" s="30" t="str">
        <x:f>IF(OR('Mission Worlds'!F13=0,Mechanisms!L13=0),"PASS","FAIL")</x:f>
        <x:v>PASS</x:v>
      </x:c>
      <x:c r="I93" s="30" t="str">
        <x:f>IF(OR('Mission Worlds'!G13=0,Mechanisms!M13=0),"PASS","FAIL")</x:f>
        <x:v>PASS</x:v>
      </x:c>
      <x:c r="J93" s="30" t="str">
        <x:f>IF(Mechanisms!N13&gt;='Mission Worlds'!H13,"PASS","FAIL")</x:f>
        <x:v>PASS</x:v>
      </x:c>
      <x:c r="K93" s="30" t="str">
        <x:f>IF(Mechanisms!O13&gt;='Mission Worlds'!I13,"PASS","FAIL")</x:f>
        <x:v>PASS</x:v>
      </x:c>
      <x:c r="L93" s="30" t="str">
        <x:f>IF(Mechanisms!P13&lt;='Mission Worlds'!J13,"PASS","FAIL")</x:f>
        <x:v>PASS</x:v>
      </x:c>
      <x:c r="M93" s="30" t="str">
        <x:f>IF(OR('Mission Worlds'!K13=0,Mechanisms!Q13=1),"PASS","FAIL")</x:f>
        <x:v>PASS</x:v>
      </x:c>
      <x:c r="N93" s="30" t="str">
        <x:f>IF(OR('Mission Worlds'!L13=0,Mechanisms!R13=0),"PASS","FAIL")</x:f>
        <x:v>FAIL</x:v>
      </x:c>
      <x:c r="O93" s="30" t="str">
        <x:f>IF(OR('Mission Worlds'!M13=0,Mechanisms!S13=0),"PASS","FAIL")</x:f>
        <x:v>PASS</x:v>
      </x:c>
      <x:c r="P93" s="30" t="str">
        <x:f>IF(OR('Mission Worlds'!N13=0,Mechanisms!T13=1),"PASS","FAIL")</x:f>
        <x:v>PASS</x:v>
      </x:c>
      <x:c r="Q93" s="30" t="str">
        <x:f>IF(Mechanisms!U13&lt;='Mission Worlds'!O13,"PASS","FAIL")</x:f>
        <x:v>PASS</x:v>
      </x:c>
      <x:c r="R93" s="30" t="str">
        <x:f>IF(Mechanisms!V13&gt;='Mission Worlds'!P13,"PASS","FAIL")</x:f>
        <x:v>PASS</x:v>
      </x:c>
      <x:c r="S93" s="30" t="str">
        <x:f>IF(COUNTIF(E93:R93,"FAIL")=0,"PASS","FAIL")</x:f>
        <x:v>FAIL</x:v>
      </x:c>
      <x:c r="T93" s="30" t="str">
        <x:f>IF(AND(S93="PASS",Mechanisms!AB13=1),"PASS","FAIL")</x:f>
        <x:v>FAIL</x:v>
      </x:c>
      <x:c r="U93" s="30" t="str">
        <x:f>IF(AND(T93="PASS",'Mission Worlds'!Q13=0),"PASS","FAIL")</x:f>
        <x:v>FAIL</x:v>
      </x:c>
      <x:c r="V93" s="32" t="str">
        <x:f>'Mission Worlds'!R13</x:f>
        <x:v>surface-water approach denied</x:v>
      </x:c>
    </x:row>
    <x:row r="94">
      <x:c r="B94" s="30" t="str">
        <x:v>M6</x:v>
      </x:c>
      <x:c r="C94" s="30" t="str">
        <x:v>W08</x:v>
      </x:c>
      <x:c r="D94" s="50" t="n">
        <x:f>Mechanisms!AD13</x:f>
        <x:v>1</x:v>
      </x:c>
      <x:c r="E94" s="30" t="str">
        <x:f>'Payload Closure'!N12</x:f>
        <x:v>PASS</x:v>
      </x:c>
      <x:c r="F94" s="30" t="str">
        <x:f>IF(Mechanisms!J13&gt;='Mission Worlds'!D14,"PASS","FAIL")</x:f>
        <x:v>FAIL</x:v>
      </x:c>
      <x:c r="G94" s="30" t="str">
        <x:f>IF(OR('Mission Worlds'!E14=0,Mechanisms!K13=1),"PASS","FAIL")</x:f>
        <x:v>PASS</x:v>
      </x:c>
      <x:c r="H94" s="30" t="str">
        <x:f>IF(OR('Mission Worlds'!F14=0,Mechanisms!L13=0),"PASS","FAIL")</x:f>
        <x:v>PASS</x:v>
      </x:c>
      <x:c r="I94" s="30" t="str">
        <x:f>IF(OR('Mission Worlds'!G14=0,Mechanisms!M13=0),"PASS","FAIL")</x:f>
        <x:v>PASS</x:v>
      </x:c>
      <x:c r="J94" s="30" t="str">
        <x:f>IF(Mechanisms!N13&gt;='Mission Worlds'!H14,"PASS","FAIL")</x:f>
        <x:v>PASS</x:v>
      </x:c>
      <x:c r="K94" s="30" t="str">
        <x:f>IF(Mechanisms!O13&gt;='Mission Worlds'!I14,"PASS","FAIL")</x:f>
        <x:v>PASS</x:v>
      </x:c>
      <x:c r="L94" s="30" t="str">
        <x:f>IF(Mechanisms!P13&lt;='Mission Worlds'!J14,"PASS","FAIL")</x:f>
        <x:v>PASS</x:v>
      </x:c>
      <x:c r="M94" s="30" t="str">
        <x:f>IF(OR('Mission Worlds'!K14=0,Mechanisms!Q13=1),"PASS","FAIL")</x:f>
        <x:v>PASS</x:v>
      </x:c>
      <x:c r="N94" s="30" t="str">
        <x:f>IF(OR('Mission Worlds'!L14=0,Mechanisms!R13=0),"PASS","FAIL")</x:f>
        <x:v>FAIL</x:v>
      </x:c>
      <x:c r="O94" s="30" t="str">
        <x:f>IF(OR('Mission Worlds'!M14=0,Mechanisms!S13=0),"PASS","FAIL")</x:f>
        <x:v>PASS</x:v>
      </x:c>
      <x:c r="P94" s="30" t="str">
        <x:f>IF(OR('Mission Worlds'!N14=0,Mechanisms!T13=1),"PASS","FAIL")</x:f>
        <x:v>PASS</x:v>
      </x:c>
      <x:c r="Q94" s="30" t="str">
        <x:f>IF(Mechanisms!U13&lt;='Mission Worlds'!O14,"PASS","FAIL")</x:f>
        <x:v>PASS</x:v>
      </x:c>
      <x:c r="R94" s="30" t="str">
        <x:f>IF(Mechanisms!V13&gt;='Mission Worlds'!P14,"PASS","FAIL")</x:f>
        <x:v>PASS</x:v>
      </x:c>
      <x:c r="S94" s="30" t="str">
        <x:f>IF(COUNTIF(E94:R94,"FAIL")=0,"PASS","FAIL")</x:f>
        <x:v>FAIL</x:v>
      </x:c>
      <x:c r="T94" s="30" t="str">
        <x:f>IF(AND(S94="PASS",Mechanisms!AB13=1),"PASS","FAIL")</x:f>
        <x:v>FAIL</x:v>
      </x:c>
      <x:c r="U94" s="30" t="str">
        <x:f>IF(AND(T94="PASS",'Mission Worlds'!Q14=0),"PASS","FAIL")</x:f>
        <x:v>FAIL</x:v>
      </x:c>
      <x:c r="V94" s="32" t="str">
        <x:f>'Mission Worlds'!R14</x:f>
        <x:v>long range and austere receiver</x:v>
      </x:c>
    </x:row>
    <x:row r="95">
      <x:c r="B95" s="30" t="str">
        <x:v>M6</x:v>
      </x:c>
      <x:c r="C95" s="30" t="str">
        <x:v>W09</x:v>
      </x:c>
      <x:c r="D95" s="50" t="n">
        <x:f>Mechanisms!AD13</x:f>
        <x:v>1</x:v>
      </x:c>
      <x:c r="E95" s="30" t="str">
        <x:f>'Payload Closure'!N12</x:f>
        <x:v>PASS</x:v>
      </x:c>
      <x:c r="F95" s="30" t="str">
        <x:f>IF(Mechanisms!J13&gt;='Mission Worlds'!D15,"PASS","FAIL")</x:f>
        <x:v>PASS</x:v>
      </x:c>
      <x:c r="G95" s="30" t="str">
        <x:f>IF(OR('Mission Worlds'!E15=0,Mechanisms!K13=1),"PASS","FAIL")</x:f>
        <x:v>PASS</x:v>
      </x:c>
      <x:c r="H95" s="30" t="str">
        <x:f>IF(OR('Mission Worlds'!F15=0,Mechanisms!L13=0),"PASS","FAIL")</x:f>
        <x:v>PASS</x:v>
      </x:c>
      <x:c r="I95" s="30" t="str">
        <x:f>IF(OR('Mission Worlds'!G15=0,Mechanisms!M13=0),"PASS","FAIL")</x:f>
        <x:v>PASS</x:v>
      </x:c>
      <x:c r="J95" s="30" t="str">
        <x:f>IF(Mechanisms!N13&gt;='Mission Worlds'!H15,"PASS","FAIL")</x:f>
        <x:v>PASS</x:v>
      </x:c>
      <x:c r="K95" s="30" t="str">
        <x:f>IF(Mechanisms!O13&gt;='Mission Worlds'!I15,"PASS","FAIL")</x:f>
        <x:v>PASS</x:v>
      </x:c>
      <x:c r="L95" s="30" t="str">
        <x:f>IF(Mechanisms!P13&lt;='Mission Worlds'!J15,"PASS","FAIL")</x:f>
        <x:v>PASS</x:v>
      </x:c>
      <x:c r="M95" s="30" t="str">
        <x:f>IF(OR('Mission Worlds'!K15=0,Mechanisms!Q13=1),"PASS","FAIL")</x:f>
        <x:v>PASS</x:v>
      </x:c>
      <x:c r="N95" s="30" t="str">
        <x:f>IF(OR('Mission Worlds'!L15=0,Mechanisms!R13=0),"PASS","FAIL")</x:f>
        <x:v>FAIL</x:v>
      </x:c>
      <x:c r="O95" s="30" t="str">
        <x:f>IF(OR('Mission Worlds'!M15=0,Mechanisms!S13=0),"PASS","FAIL")</x:f>
        <x:v>PASS</x:v>
      </x:c>
      <x:c r="P95" s="30" t="str">
        <x:f>IF(OR('Mission Worlds'!N15=0,Mechanisms!T13=1),"PASS","FAIL")</x:f>
        <x:v>PASS</x:v>
      </x:c>
      <x:c r="Q95" s="30" t="str">
        <x:f>IF(Mechanisms!U13&lt;='Mission Worlds'!O15,"PASS","FAIL")</x:f>
        <x:v>PASS</x:v>
      </x:c>
      <x:c r="R95" s="30" t="str">
        <x:f>IF(Mechanisms!V13&gt;='Mission Worlds'!P15,"PASS","FAIL")</x:f>
        <x:v>PASS</x:v>
      </x:c>
      <x:c r="S95" s="30" t="str">
        <x:f>IF(COUNTIF(E95:R95,"FAIL")=0,"PASS","FAIL")</x:f>
        <x:v>FAIL</x:v>
      </x:c>
      <x:c r="T95" s="30" t="str">
        <x:f>IF(AND(S95="PASS",Mechanisms!AB13=1),"PASS","FAIL")</x:f>
        <x:v>FAIL</x:v>
      </x:c>
      <x:c r="U95" s="30" t="str">
        <x:f>IF(AND(T95="PASS",'Mission Worlds'!Q15=0),"PASS","FAIL")</x:f>
        <x:v>FAIL</x:v>
      </x:c>
      <x:c r="V95" s="32" t="str">
        <x:f>'Mission Worlds'!R15</x:f>
        <x:v>smoke operations required</x:v>
      </x:c>
    </x:row>
    <x:row r="96">
      <x:c r="B96" s="30" t="str">
        <x:v>M6</x:v>
      </x:c>
      <x:c r="C96" s="30" t="str">
        <x:v>W10</x:v>
      </x:c>
      <x:c r="D96" s="50" t="n">
        <x:f>Mechanisms!AD13</x:f>
        <x:v>1</x:v>
      </x:c>
      <x:c r="E96" s="30" t="str">
        <x:f>'Payload Closure'!N12</x:f>
        <x:v>PASS</x:v>
      </x:c>
      <x:c r="F96" s="30" t="str">
        <x:f>IF(Mechanisms!J13&gt;='Mission Worlds'!D16,"PASS","FAIL")</x:f>
        <x:v>PASS</x:v>
      </x:c>
      <x:c r="G96" s="30" t="str">
        <x:f>IF(OR('Mission Worlds'!E16=0,Mechanisms!K13=1),"PASS","FAIL")</x:f>
        <x:v>PASS</x:v>
      </x:c>
      <x:c r="H96" s="30" t="str">
        <x:f>IF(OR('Mission Worlds'!F16=0,Mechanisms!L13=0),"PASS","FAIL")</x:f>
        <x:v>PASS</x:v>
      </x:c>
      <x:c r="I96" s="30" t="str">
        <x:f>IF(OR('Mission Worlds'!G16=0,Mechanisms!M13=0),"PASS","FAIL")</x:f>
        <x:v>PASS</x:v>
      </x:c>
      <x:c r="J96" s="30" t="str">
        <x:f>IF(Mechanisms!N13&gt;='Mission Worlds'!H16,"PASS","FAIL")</x:f>
        <x:v>PASS</x:v>
      </x:c>
      <x:c r="K96" s="30" t="str">
        <x:f>IF(Mechanisms!O13&gt;='Mission Worlds'!I16,"PASS","FAIL")</x:f>
        <x:v>PASS</x:v>
      </x:c>
      <x:c r="L96" s="30" t="str">
        <x:f>IF(Mechanisms!P13&lt;='Mission Worlds'!J16,"PASS","FAIL")</x:f>
        <x:v>PASS</x:v>
      </x:c>
      <x:c r="M96" s="30" t="str">
        <x:f>IF(OR('Mission Worlds'!K16=0,Mechanisms!Q13=1),"PASS","FAIL")</x:f>
        <x:v>PASS</x:v>
      </x:c>
      <x:c r="N96" s="30" t="str">
        <x:f>IF(OR('Mission Worlds'!L16=0,Mechanisms!R13=0),"PASS","FAIL")</x:f>
        <x:v>FAIL</x:v>
      </x:c>
      <x:c r="O96" s="30" t="str">
        <x:f>IF(OR('Mission Worlds'!M16=0,Mechanisms!S13=0),"PASS","FAIL")</x:f>
        <x:v>PASS</x:v>
      </x:c>
      <x:c r="P96" s="30" t="str">
        <x:f>IF(OR('Mission Worlds'!N16=0,Mechanisms!T13=1),"PASS","FAIL")</x:f>
        <x:v>PASS</x:v>
      </x:c>
      <x:c r="Q96" s="30" t="str">
        <x:f>IF(Mechanisms!U13&lt;='Mission Worlds'!O16,"PASS","FAIL")</x:f>
        <x:v>PASS</x:v>
      </x:c>
      <x:c r="R96" s="30" t="str">
        <x:f>IF(Mechanisms!V13&gt;='Mission Worlds'!P16,"PASS","FAIL")</x:f>
        <x:v>PASS</x:v>
      </x:c>
      <x:c r="S96" s="30" t="str">
        <x:f>IF(COUNTIF(E96:R96,"FAIL")=0,"PASS","FAIL")</x:f>
        <x:v>FAIL</x:v>
      </x:c>
      <x:c r="T96" s="30" t="str">
        <x:f>IF(AND(S96="PASS",Mechanisms!AB13=1),"PASS","FAIL")</x:f>
        <x:v>FAIL</x:v>
      </x:c>
      <x:c r="U96" s="30" t="str">
        <x:f>IF(AND(T96="PASS",'Mission Worlds'!Q16=0),"PASS","FAIL")</x:f>
        <x:v>FAIL</x:v>
      </x:c>
      <x:c r="V96" s="32" t="str">
        <x:f>'Mission Worlds'!R16</x:f>
        <x:v>small safe footprint</x:v>
      </x:c>
    </x:row>
    <x:row r="97">
      <x:c r="B97" s="30" t="str">
        <x:v>M6</x:v>
      </x:c>
      <x:c r="C97" s="30" t="str">
        <x:v>W11</x:v>
      </x:c>
      <x:c r="D97" s="50" t="n">
        <x:f>Mechanisms!AD13</x:f>
        <x:v>1</x:v>
      </x:c>
      <x:c r="E97" s="30" t="str">
        <x:f>'Payload Closure'!N12</x:f>
        <x:v>PASS</x:v>
      </x:c>
      <x:c r="F97" s="30" t="str">
        <x:f>IF(Mechanisms!J13&gt;='Mission Worlds'!D17,"PASS","FAIL")</x:f>
        <x:v>PASS</x:v>
      </x:c>
      <x:c r="G97" s="30" t="str">
        <x:f>IF(OR('Mission Worlds'!E17=0,Mechanisms!K13=1),"PASS","FAIL")</x:f>
        <x:v>PASS</x:v>
      </x:c>
      <x:c r="H97" s="30" t="str">
        <x:f>IF(OR('Mission Worlds'!F17=0,Mechanisms!L13=0),"PASS","FAIL")</x:f>
        <x:v>PASS</x:v>
      </x:c>
      <x:c r="I97" s="30" t="str">
        <x:f>IF(OR('Mission Worlds'!G17=0,Mechanisms!M13=0),"PASS","FAIL")</x:f>
        <x:v>PASS</x:v>
      </x:c>
      <x:c r="J97" s="30" t="str">
        <x:f>IF(Mechanisms!N13&gt;='Mission Worlds'!H17,"PASS","FAIL")</x:f>
        <x:v>PASS</x:v>
      </x:c>
      <x:c r="K97" s="30" t="str">
        <x:f>IF(Mechanisms!O13&gt;='Mission Worlds'!I17,"PASS","FAIL")</x:f>
        <x:v>FAIL</x:v>
      </x:c>
      <x:c r="L97" s="30" t="str">
        <x:f>IF(Mechanisms!P13&lt;='Mission Worlds'!J17,"PASS","FAIL")</x:f>
        <x:v>PASS</x:v>
      </x:c>
      <x:c r="M97" s="30" t="str">
        <x:f>IF(OR('Mission Worlds'!K17=0,Mechanisms!Q13=1),"PASS","FAIL")</x:f>
        <x:v>PASS</x:v>
      </x:c>
      <x:c r="N97" s="30" t="str">
        <x:f>IF(OR('Mission Worlds'!L17=0,Mechanisms!R13=0),"PASS","FAIL")</x:f>
        <x:v>FAIL</x:v>
      </x:c>
      <x:c r="O97" s="30" t="str">
        <x:f>IF(OR('Mission Worlds'!M17=0,Mechanisms!S13=0),"PASS","FAIL")</x:f>
        <x:v>PASS</x:v>
      </x:c>
      <x:c r="P97" s="30" t="str">
        <x:f>IF(OR('Mission Worlds'!N17=0,Mechanisms!T13=1),"PASS","FAIL")</x:f>
        <x:v>PASS</x:v>
      </x:c>
      <x:c r="Q97" s="30" t="str">
        <x:f>IF(Mechanisms!U13&lt;='Mission Worlds'!O17,"PASS","FAIL")</x:f>
        <x:v>PASS</x:v>
      </x:c>
      <x:c r="R97" s="30" t="str">
        <x:f>IF(Mechanisms!V13&gt;='Mission Worlds'!P17,"PASS","FAIL")</x:f>
        <x:v>PASS</x:v>
      </x:c>
      <x:c r="S97" s="30" t="str">
        <x:f>IF(COUNTIF(E97:R97,"FAIL")=0,"PASS","FAIL")</x:f>
        <x:v>FAIL</x:v>
      </x:c>
      <x:c r="T97" s="30" t="str">
        <x:f>IF(AND(S97="PASS",Mechanisms!AB13=1),"PASS","FAIL")</x:f>
        <x:v>FAIL</x:v>
      </x:c>
      <x:c r="U97" s="30" t="str">
        <x:f>IF(AND(T97="PASS",'Mission Worlds'!Q17=0),"PASS","FAIL")</x:f>
        <x:v>FAIL</x:v>
      </x:c>
      <x:c r="V97" s="32" t="str">
        <x:f>'Mission Worlds'!R17</x:f>
        <x:v>high-wind launch and receipt</x:v>
      </x:c>
    </x:row>
    <x:row r="98">
      <x:c r="B98" s="30" t="str">
        <x:v>M6</x:v>
      </x:c>
      <x:c r="C98" s="30" t="str">
        <x:v>W12</x:v>
      </x:c>
      <x:c r="D98" s="50" t="n">
        <x:f>Mechanisms!AD13</x:f>
        <x:v>1</x:v>
      </x:c>
      <x:c r="E98" s="30" t="str">
        <x:f>'Payload Closure'!N12</x:f>
        <x:v>PASS</x:v>
      </x:c>
      <x:c r="F98" s="30" t="str">
        <x:f>IF(Mechanisms!J13&gt;='Mission Worlds'!D18,"PASS","FAIL")</x:f>
        <x:v>FAIL</x:v>
      </x:c>
      <x:c r="G98" s="30" t="str">
        <x:f>IF(OR('Mission Worlds'!E18=0,Mechanisms!K13=1),"PASS","FAIL")</x:f>
        <x:v>PASS</x:v>
      </x:c>
      <x:c r="H98" s="30" t="str">
        <x:f>IF(OR('Mission Worlds'!F18=0,Mechanisms!L13=0),"PASS","FAIL")</x:f>
        <x:v>PASS</x:v>
      </x:c>
      <x:c r="I98" s="30" t="str">
        <x:f>IF(OR('Mission Worlds'!G18=0,Mechanisms!M13=0),"PASS","FAIL")</x:f>
        <x:v>PASS</x:v>
      </x:c>
      <x:c r="J98" s="30" t="str">
        <x:f>IF(Mechanisms!N13&gt;='Mission Worlds'!H18,"PASS","FAIL")</x:f>
        <x:v>PASS</x:v>
      </x:c>
      <x:c r="K98" s="30" t="str">
        <x:f>IF(Mechanisms!O13&gt;='Mission Worlds'!I18,"PASS","FAIL")</x:f>
        <x:v>PASS</x:v>
      </x:c>
      <x:c r="L98" s="30" t="str">
        <x:f>IF(Mechanisms!P13&lt;='Mission Worlds'!J18,"PASS","FAIL")</x:f>
        <x:v>PASS</x:v>
      </x:c>
      <x:c r="M98" s="30" t="str">
        <x:f>IF(OR('Mission Worlds'!K18=0,Mechanisms!Q13=1),"PASS","FAIL")</x:f>
        <x:v>PASS</x:v>
      </x:c>
      <x:c r="N98" s="30" t="str">
        <x:f>IF(OR('Mission Worlds'!L18=0,Mechanisms!R13=0),"PASS","FAIL")</x:f>
        <x:v>FAIL</x:v>
      </x:c>
      <x:c r="O98" s="30" t="str">
        <x:f>IF(OR('Mission Worlds'!M18=0,Mechanisms!S13=0),"PASS","FAIL")</x:f>
        <x:v>PASS</x:v>
      </x:c>
      <x:c r="P98" s="30" t="str">
        <x:f>IF(OR('Mission Worlds'!N18=0,Mechanisms!T13=1),"PASS","FAIL")</x:f>
        <x:v>PASS</x:v>
      </x:c>
      <x:c r="Q98" s="30" t="str">
        <x:f>IF(Mechanisms!U13&lt;='Mission Worlds'!O18,"PASS","FAIL")</x:f>
        <x:v>PASS</x:v>
      </x:c>
      <x:c r="R98" s="30" t="str">
        <x:f>IF(Mechanisms!V13&gt;='Mission Worlds'!P18,"PASS","FAIL")</x:f>
        <x:v>PASS</x:v>
      </x:c>
      <x:c r="S98" s="30" t="str">
        <x:f>IF(COUNTIF(E98:R98,"FAIL")=0,"PASS","FAIL")</x:f>
        <x:v>FAIL</x:v>
      </x:c>
      <x:c r="T98" s="30" t="str">
        <x:f>IF(AND(S98="PASS",Mechanisms!AB13=1),"PASS","FAIL")</x:f>
        <x:v>FAIL</x:v>
      </x:c>
      <x:c r="U98" s="30" t="str">
        <x:f>IF(AND(T98="PASS",'Mission Worlds'!Q18=0),"PASS","FAIL")</x:f>
        <x:v>FAIL</x:v>
      </x:c>
      <x:c r="V98" s="32" t="str">
        <x:f>'Mission Worlds'!R18</x:f>
        <x:v>long range and offline command</x:v>
      </x:c>
    </x:row>
    <x:row r="99">
      <x:c r="B99" s="30" t="str">
        <x:v>M6</x:v>
      </x:c>
      <x:c r="C99" s="30" t="str">
        <x:v>W13</x:v>
      </x:c>
      <x:c r="D99" s="50" t="n">
        <x:f>Mechanisms!AD13</x:f>
        <x:v>1</x:v>
      </x:c>
      <x:c r="E99" s="30" t="str">
        <x:f>'Payload Closure'!N12</x:f>
        <x:v>PASS</x:v>
      </x:c>
      <x:c r="F99" s="30" t="str">
        <x:f>IF(Mechanisms!J13&gt;='Mission Worlds'!D19,"PASS","FAIL")</x:f>
        <x:v>PASS</x:v>
      </x:c>
      <x:c r="G99" s="30" t="str">
        <x:f>IF(OR('Mission Worlds'!E19=0,Mechanisms!K13=1),"PASS","FAIL")</x:f>
        <x:v>PASS</x:v>
      </x:c>
      <x:c r="H99" s="30" t="str">
        <x:f>IF(OR('Mission Worlds'!F19=0,Mechanisms!L13=0),"PASS","FAIL")</x:f>
        <x:v>PASS</x:v>
      </x:c>
      <x:c r="I99" s="30" t="str">
        <x:f>IF(OR('Mission Worlds'!G19=0,Mechanisms!M13=0),"PASS","FAIL")</x:f>
        <x:v>PASS</x:v>
      </x:c>
      <x:c r="J99" s="30" t="str">
        <x:f>IF(Mechanisms!N13&gt;='Mission Worlds'!H19,"PASS","FAIL")</x:f>
        <x:v>FAIL</x:v>
      </x:c>
      <x:c r="K99" s="30" t="str">
        <x:f>IF(Mechanisms!O13&gt;='Mission Worlds'!I19,"PASS","FAIL")</x:f>
        <x:v>PASS</x:v>
      </x:c>
      <x:c r="L99" s="30" t="str">
        <x:f>IF(Mechanisms!P13&lt;='Mission Worlds'!J19,"PASS","FAIL")</x:f>
        <x:v>PASS</x:v>
      </x:c>
      <x:c r="M99" s="30" t="str">
        <x:f>IF(OR('Mission Worlds'!K19=0,Mechanisms!Q13=1),"PASS","FAIL")</x:f>
        <x:v>PASS</x:v>
      </x:c>
      <x:c r="N99" s="30" t="str">
        <x:f>IF(OR('Mission Worlds'!L19=0,Mechanisms!R13=0),"PASS","FAIL")</x:f>
        <x:v>PASS</x:v>
      </x:c>
      <x:c r="O99" s="30" t="str">
        <x:f>IF(OR('Mission Worlds'!M19=0,Mechanisms!S13=0),"PASS","FAIL")</x:f>
        <x:v>PASS</x:v>
      </x:c>
      <x:c r="P99" s="30" t="str">
        <x:f>IF(OR('Mission Worlds'!N19=0,Mechanisms!T13=1),"PASS","FAIL")</x:f>
        <x:v>PASS</x:v>
      </x:c>
      <x:c r="Q99" s="30" t="str">
        <x:f>IF(Mechanisms!U13&lt;='Mission Worlds'!O19,"PASS","FAIL")</x:f>
        <x:v>FAIL</x:v>
      </x:c>
      <x:c r="R99" s="30" t="str">
        <x:f>IF(Mechanisms!V13&gt;='Mission Worlds'!P19,"PASS","FAIL")</x:f>
        <x:v>PASS</x:v>
      </x:c>
      <x:c r="S99" s="30" t="str">
        <x:f>IF(COUNTIF(E99:R99,"FAIL")=0,"PASS","FAIL")</x:f>
        <x:v>FAIL</x:v>
      </x:c>
      <x:c r="T99" s="30" t="str">
        <x:f>IF(AND(S99="PASS",Mechanisms!AB13=1),"PASS","FAIL")</x:f>
        <x:v>FAIL</x:v>
      </x:c>
      <x:c r="U99" s="30" t="str">
        <x:f>IF(AND(T99="PASS",'Mission Worlds'!Q19=0),"PASS","FAIL")</x:f>
        <x:v>FAIL</x:v>
      </x:c>
      <x:c r="V99" s="32" t="str">
        <x:f>'Mission Worlds'!R19</x:f>
        <x:v>standoff source remains</x:v>
      </x:c>
    </x:row>
    <x:row r="100">
      <x:c r="B100" s="30" t="str">
        <x:v>M6</x:v>
      </x:c>
      <x:c r="C100" s="30" t="str">
        <x:v>W14</x:v>
      </x:c>
      <x:c r="D100" s="50" t="n">
        <x:f>Mechanisms!AD13</x:f>
        <x:v>1</x:v>
      </x:c>
      <x:c r="E100" s="30" t="str">
        <x:f>'Payload Closure'!N12</x:f>
        <x:v>PASS</x:v>
      </x:c>
      <x:c r="F100" s="30" t="str">
        <x:f>IF(Mechanisms!J13&gt;='Mission Worlds'!D20,"PASS","FAIL")</x:f>
        <x:v>PASS</x:v>
      </x:c>
      <x:c r="G100" s="30" t="str">
        <x:f>IF(OR('Mission Worlds'!E20=0,Mechanisms!K13=1),"PASS","FAIL")</x:f>
        <x:v>PASS</x:v>
      </x:c>
      <x:c r="H100" s="30" t="str">
        <x:f>IF(OR('Mission Worlds'!F20=0,Mechanisms!L13=0),"PASS","FAIL")</x:f>
        <x:v>PASS</x:v>
      </x:c>
      <x:c r="I100" s="30" t="str">
        <x:f>IF(OR('Mission Worlds'!G20=0,Mechanisms!M13=0),"PASS","FAIL")</x:f>
        <x:v>PASS</x:v>
      </x:c>
      <x:c r="J100" s="30" t="str">
        <x:f>IF(Mechanisms!N13&gt;='Mission Worlds'!H20,"PASS","FAIL")</x:f>
        <x:v>PASS</x:v>
      </x:c>
      <x:c r="K100" s="30" t="str">
        <x:f>IF(Mechanisms!O13&gt;='Mission Worlds'!I20,"PASS","FAIL")</x:f>
        <x:v>PASS</x:v>
      </x:c>
      <x:c r="L100" s="30" t="str">
        <x:f>IF(Mechanisms!P13&lt;='Mission Worlds'!J20,"PASS","FAIL")</x:f>
        <x:v>PASS</x:v>
      </x:c>
      <x:c r="M100" s="30" t="str">
        <x:f>IF(OR('Mission Worlds'!K20=0,Mechanisms!Q13=1),"PASS","FAIL")</x:f>
        <x:v>PASS</x:v>
      </x:c>
      <x:c r="N100" s="30" t="str">
        <x:f>IF(OR('Mission Worlds'!L20=0,Mechanisms!R13=0),"PASS","FAIL")</x:f>
        <x:v>PASS</x:v>
      </x:c>
      <x:c r="O100" s="30" t="str">
        <x:f>IF(OR('Mission Worlds'!M20=0,Mechanisms!S13=0),"PASS","FAIL")</x:f>
        <x:v>PASS</x:v>
      </x:c>
      <x:c r="P100" s="30" t="str">
        <x:f>IF(OR('Mission Worlds'!N20=0,Mechanisms!T13=1),"PASS","FAIL")</x:f>
        <x:v>PASS</x:v>
      </x:c>
      <x:c r="Q100" s="30" t="str">
        <x:f>IF(Mechanisms!U13&lt;='Mission Worlds'!O20,"PASS","FAIL")</x:f>
        <x:v>PASS</x:v>
      </x:c>
      <x:c r="R100" s="30" t="str">
        <x:f>IF(Mechanisms!V13&gt;='Mission Worlds'!P20,"PASS","FAIL")</x:f>
        <x:v>PASS</x:v>
      </x:c>
      <x:c r="S100" s="30" t="str">
        <x:f>IF(COUNTIF(E100:R100,"FAIL")=0,"PASS","FAIL")</x:f>
        <x:v>PASS</x:v>
      </x:c>
      <x:c r="T100" s="30" t="str">
        <x:f>IF(AND(S100="PASS",Mechanisms!AB13=1),"PASS","FAIL")</x:f>
        <x:v>FAIL</x:v>
      </x:c>
      <x:c r="U100" s="30" t="str">
        <x:f>IF(AND(T100="PASS",'Mission Worlds'!Q20=0),"PASS","FAIL")</x:f>
        <x:v>FAIL</x:v>
      </x:c>
      <x:c r="V100" s="32" t="str">
        <x:f>'Mission Worlds'!R20</x:f>
        <x:v>conversion can substitute for carriage</x:v>
      </x:c>
    </x:row>
    <x:row r="101">
      <x:c r="B101" s="30" t="str">
        <x:v>M6</x:v>
      </x:c>
      <x:c r="C101" s="30" t="str">
        <x:v>W15</x:v>
      </x:c>
      <x:c r="D101" s="50" t="n">
        <x:f>Mechanisms!AD13</x:f>
        <x:v>1</x:v>
      </x:c>
      <x:c r="E101" s="30" t="str">
        <x:f>'Payload Closure'!N12</x:f>
        <x:v>PASS</x:v>
      </x:c>
      <x:c r="F101" s="30" t="str">
        <x:f>IF(Mechanisms!J13&gt;='Mission Worlds'!D21,"PASS","FAIL")</x:f>
        <x:v>PASS</x:v>
      </x:c>
      <x:c r="G101" s="30" t="str">
        <x:f>IF(OR('Mission Worlds'!E21=0,Mechanisms!K13=1),"PASS","FAIL")</x:f>
        <x:v>PASS</x:v>
      </x:c>
      <x:c r="H101" s="30" t="str">
        <x:f>IF(OR('Mission Worlds'!F21=0,Mechanisms!L13=0),"PASS","FAIL")</x:f>
        <x:v>PASS</x:v>
      </x:c>
      <x:c r="I101" s="30" t="str">
        <x:f>IF(OR('Mission Worlds'!G21=0,Mechanisms!M13=0),"PASS","FAIL")</x:f>
        <x:v>PASS</x:v>
      </x:c>
      <x:c r="J101" s="30" t="str">
        <x:f>IF(Mechanisms!N13&gt;='Mission Worlds'!H21,"PASS","FAIL")</x:f>
        <x:v>PASS</x:v>
      </x:c>
      <x:c r="K101" s="30" t="str">
        <x:f>IF(Mechanisms!O13&gt;='Mission Worlds'!I21,"PASS","FAIL")</x:f>
        <x:v>PASS</x:v>
      </x:c>
      <x:c r="L101" s="30" t="str">
        <x:f>IF(Mechanisms!P13&lt;='Mission Worlds'!J21,"PASS","FAIL")</x:f>
        <x:v>PASS</x:v>
      </x:c>
      <x:c r="M101" s="30" t="str">
        <x:f>IF(OR('Mission Worlds'!K21=0,Mechanisms!Q13=1),"PASS","FAIL")</x:f>
        <x:v>PASS</x:v>
      </x:c>
      <x:c r="N101" s="30" t="str">
        <x:f>IF(OR('Mission Worlds'!L21=0,Mechanisms!R13=0),"PASS","FAIL")</x:f>
        <x:v>FAIL</x:v>
      </x:c>
      <x:c r="O101" s="30" t="str">
        <x:f>IF(OR('Mission Worlds'!M21=0,Mechanisms!S13=0),"PASS","FAIL")</x:f>
        <x:v>PASS</x:v>
      </x:c>
      <x:c r="P101" s="30" t="str">
        <x:f>IF(OR('Mission Worlds'!N21=0,Mechanisms!T13=1),"PASS","FAIL")</x:f>
        <x:v>PASS</x:v>
      </x:c>
      <x:c r="Q101" s="30" t="str">
        <x:f>IF(Mechanisms!U13&lt;='Mission Worlds'!O21,"PASS","FAIL")</x:f>
        <x:v>PASS</x:v>
      </x:c>
      <x:c r="R101" s="30" t="str">
        <x:f>IF(Mechanisms!V13&gt;='Mission Worlds'!P21,"PASS","FAIL")</x:f>
        <x:v>PASS</x:v>
      </x:c>
      <x:c r="S101" s="30" t="str">
        <x:f>IF(COUNTIF(E101:R101,"FAIL")=0,"PASS","FAIL")</x:f>
        <x:v>FAIL</x:v>
      </x:c>
      <x:c r="T101" s="30" t="str">
        <x:f>IF(AND(S101="PASS",Mechanisms!AB13=1),"PASS","FAIL")</x:f>
        <x:v>FAIL</x:v>
      </x:c>
      <x:c r="U101" s="30" t="str">
        <x:f>IF(AND(T101="PASS",'Mission Worlds'!Q21=0),"PASS","FAIL")</x:f>
        <x:v>FAIL</x:v>
      </x:c>
      <x:c r="V101" s="32" t="str">
        <x:f>'Mission Worlds'!R21</x:f>
        <x:v>one national set cannot double count</x:v>
      </x:c>
    </x:row>
    <x:row r="102">
      <x:c r="B102" s="30" t="str">
        <x:v>M6</x:v>
      </x:c>
      <x:c r="C102" s="30" t="str">
        <x:v>W16</x:v>
      </x:c>
      <x:c r="D102" s="50" t="n">
        <x:f>Mechanisms!AD13</x:f>
        <x:v>1</x:v>
      </x:c>
      <x:c r="E102" s="30" t="str">
        <x:f>'Payload Closure'!N12</x:f>
        <x:v>PASS</x:v>
      </x:c>
      <x:c r="F102" s="30" t="str">
        <x:f>IF(Mechanisms!J13&gt;='Mission Worlds'!D22,"PASS","FAIL")</x:f>
        <x:v>PASS</x:v>
      </x:c>
      <x:c r="G102" s="30" t="str">
        <x:f>IF(OR('Mission Worlds'!E22=0,Mechanisms!K13=1),"PASS","FAIL")</x:f>
        <x:v>PASS</x:v>
      </x:c>
      <x:c r="H102" s="30" t="str">
        <x:f>IF(OR('Mission Worlds'!F22=0,Mechanisms!L13=0),"PASS","FAIL")</x:f>
        <x:v>PASS</x:v>
      </x:c>
      <x:c r="I102" s="30" t="str">
        <x:f>IF(OR('Mission Worlds'!G22=0,Mechanisms!M13=0),"PASS","FAIL")</x:f>
        <x:v>PASS</x:v>
      </x:c>
      <x:c r="J102" s="30" t="str">
        <x:f>IF(Mechanisms!N13&gt;='Mission Worlds'!H22,"PASS","FAIL")</x:f>
        <x:v>PASS</x:v>
      </x:c>
      <x:c r="K102" s="30" t="str">
        <x:f>IF(Mechanisms!O13&gt;='Mission Worlds'!I22,"PASS","FAIL")</x:f>
        <x:v>PASS</x:v>
      </x:c>
      <x:c r="L102" s="30" t="str">
        <x:f>IF(Mechanisms!P13&lt;='Mission Worlds'!J22,"PASS","FAIL")</x:f>
        <x:v>PASS</x:v>
      </x:c>
      <x:c r="M102" s="30" t="str">
        <x:f>IF(OR('Mission Worlds'!K22=0,Mechanisms!Q13=1),"PASS","FAIL")</x:f>
        <x:v>PASS</x:v>
      </x:c>
      <x:c r="N102" s="30" t="str">
        <x:f>IF(OR('Mission Worlds'!L22=0,Mechanisms!R13=0),"PASS","FAIL")</x:f>
        <x:v>FAIL</x:v>
      </x:c>
      <x:c r="O102" s="30" t="str">
        <x:f>IF(OR('Mission Worlds'!M22=0,Mechanisms!S13=0),"PASS","FAIL")</x:f>
        <x:v>PASS</x:v>
      </x:c>
      <x:c r="P102" s="30" t="str">
        <x:f>IF(OR('Mission Worlds'!N22=0,Mechanisms!T13=1),"PASS","FAIL")</x:f>
        <x:v>PASS</x:v>
      </x:c>
      <x:c r="Q102" s="30" t="str">
        <x:f>IF(Mechanisms!U13&lt;='Mission Worlds'!O22,"PASS","FAIL")</x:f>
        <x:v>PASS</x:v>
      </x:c>
      <x:c r="R102" s="30" t="str">
        <x:f>IF(Mechanisms!V13&gt;='Mission Worlds'!P22,"PASS","FAIL")</x:f>
        <x:v>PASS</x:v>
      </x:c>
      <x:c r="S102" s="30" t="str">
        <x:f>IF(COUNTIF(E102:R102,"FAIL")=0,"PASS","FAIL")</x:f>
        <x:v>FAIL</x:v>
      </x:c>
      <x:c r="T102" s="30" t="str">
        <x:f>IF(AND(S102="PASS",Mechanisms!AB13=1),"PASS","FAIL")</x:f>
        <x:v>FAIL</x:v>
      </x:c>
      <x:c r="U102" s="30" t="str">
        <x:f>IF(AND(T102="PASS",'Mission Worlds'!Q22=0),"PASS","FAIL")</x:f>
        <x:v>FAIL</x:v>
      </x:c>
      <x:c r="V102" s="32" t="str">
        <x:f>'Mission Worlds'!R22</x:f>
        <x:v>universal admission stop</x:v>
      </x:c>
    </x:row>
    <x:row r="103">
      <x:c r="B103" s="30" t="str">
        <x:v>M7</x:v>
      </x:c>
      <x:c r="C103" s="30" t="str">
        <x:v>W01</x:v>
      </x:c>
      <x:c r="D103" s="50" t="n">
        <x:f>Mechanisms!AD14</x:f>
        <x:v>1</x:v>
      </x:c>
      <x:c r="E103" s="30" t="str">
        <x:f>'Payload Closure'!N13</x:f>
        <x:v>PASS</x:v>
      </x:c>
      <x:c r="F103" s="30" t="str">
        <x:f>IF(Mechanisms!J14&gt;='Mission Worlds'!D7,"PASS","FAIL")</x:f>
        <x:v>PASS</x:v>
      </x:c>
      <x:c r="G103" s="30" t="str">
        <x:f>IF(OR('Mission Worlds'!E7=0,Mechanisms!K14=1),"PASS","FAIL")</x:f>
        <x:v>PASS</x:v>
      </x:c>
      <x:c r="H103" s="30" t="str">
        <x:f>IF(OR('Mission Worlds'!F7=0,Mechanisms!L14=0),"PASS","FAIL")</x:f>
        <x:v>PASS</x:v>
      </x:c>
      <x:c r="I103" s="30" t="str">
        <x:f>IF(OR('Mission Worlds'!G7=0,Mechanisms!M14=0),"PASS","FAIL")</x:f>
        <x:v>PASS</x:v>
      </x:c>
      <x:c r="J103" s="30" t="str">
        <x:f>IF(Mechanisms!N14&gt;='Mission Worlds'!H7,"PASS","FAIL")</x:f>
        <x:v>PASS</x:v>
      </x:c>
      <x:c r="K103" s="30" t="str">
        <x:f>IF(Mechanisms!O14&gt;='Mission Worlds'!I7,"PASS","FAIL")</x:f>
        <x:v>PASS</x:v>
      </x:c>
      <x:c r="L103" s="30" t="str">
        <x:f>IF(Mechanisms!P14&lt;='Mission Worlds'!J7,"PASS","FAIL")</x:f>
        <x:v>PASS</x:v>
      </x:c>
      <x:c r="M103" s="30" t="str">
        <x:f>IF(OR('Mission Worlds'!K7=0,Mechanisms!Q14=1),"PASS","FAIL")</x:f>
        <x:v>PASS</x:v>
      </x:c>
      <x:c r="N103" s="30" t="str">
        <x:f>IF(OR('Mission Worlds'!L7=0,Mechanisms!R14=0),"PASS","FAIL")</x:f>
        <x:v>PASS</x:v>
      </x:c>
      <x:c r="O103" s="30" t="str">
        <x:f>IF(OR('Mission Worlds'!M7=0,Mechanisms!S14=0),"PASS","FAIL")</x:f>
        <x:v>PASS</x:v>
      </x:c>
      <x:c r="P103" s="30" t="str">
        <x:f>IF(OR('Mission Worlds'!N7=0,Mechanisms!T14=1),"PASS","FAIL")</x:f>
        <x:v>PASS</x:v>
      </x:c>
      <x:c r="Q103" s="30" t="str">
        <x:f>IF(Mechanisms!U14&lt;='Mission Worlds'!O7,"PASS","FAIL")</x:f>
        <x:v>FAIL</x:v>
      </x:c>
      <x:c r="R103" s="30" t="str">
        <x:f>IF(Mechanisms!V14&gt;='Mission Worlds'!P7,"PASS","FAIL")</x:f>
        <x:v>PASS</x:v>
      </x:c>
      <x:c r="S103" s="30" t="str">
        <x:f>IF(COUNTIF(E103:R103,"FAIL")=0,"PASS","FAIL")</x:f>
        <x:v>FAIL</x:v>
      </x:c>
      <x:c r="T103" s="30" t="str">
        <x:f>IF(AND(S103="PASS",Mechanisms!AB14=1),"PASS","FAIL")</x:f>
        <x:v>FAIL</x:v>
      </x:c>
      <x:c r="U103" s="30" t="str">
        <x:f>IF(AND(T103="PASS",'Mission Worlds'!Q7=0),"PASS","FAIL")</x:f>
        <x:v>FAIL</x:v>
      </x:c>
      <x:c r="V103" s="32" t="str">
        <x:f>'Mission Worlds'!R7</x:f>
        <x:v>no inherited terminal</x:v>
      </x:c>
    </x:row>
    <x:row r="104">
      <x:c r="B104" s="30" t="str">
        <x:v>M7</x:v>
      </x:c>
      <x:c r="C104" s="30" t="str">
        <x:v>W02</x:v>
      </x:c>
      <x:c r="D104" s="50" t="n">
        <x:f>Mechanisms!AD14</x:f>
        <x:v>1</x:v>
      </x:c>
      <x:c r="E104" s="30" t="str">
        <x:f>'Payload Closure'!N13</x:f>
        <x:v>PASS</x:v>
      </x:c>
      <x:c r="F104" s="30" t="str">
        <x:f>IF(Mechanisms!J14&gt;='Mission Worlds'!D8,"PASS","FAIL")</x:f>
        <x:v>PASS</x:v>
      </x:c>
      <x:c r="G104" s="30" t="str">
        <x:f>IF(OR('Mission Worlds'!E8=0,Mechanisms!K14=1),"PASS","FAIL")</x:f>
        <x:v>PASS</x:v>
      </x:c>
      <x:c r="H104" s="30" t="str">
        <x:f>IF(OR('Mission Worlds'!F8=0,Mechanisms!L14=0),"PASS","FAIL")</x:f>
        <x:v>PASS</x:v>
      </x:c>
      <x:c r="I104" s="30" t="str">
        <x:f>IF(OR('Mission Worlds'!G8=0,Mechanisms!M14=0),"PASS","FAIL")</x:f>
        <x:v>PASS</x:v>
      </x:c>
      <x:c r="J104" s="30" t="str">
        <x:f>IF(Mechanisms!N14&gt;='Mission Worlds'!H8,"PASS","FAIL")</x:f>
        <x:v>PASS</x:v>
      </x:c>
      <x:c r="K104" s="30" t="str">
        <x:f>IF(Mechanisms!O14&gt;='Mission Worlds'!I8,"PASS","FAIL")</x:f>
        <x:v>PASS</x:v>
      </x:c>
      <x:c r="L104" s="30" t="str">
        <x:f>IF(Mechanisms!P14&lt;='Mission Worlds'!J8,"PASS","FAIL")</x:f>
        <x:v>PASS</x:v>
      </x:c>
      <x:c r="M104" s="30" t="str">
        <x:f>IF(OR('Mission Worlds'!K8=0,Mechanisms!Q14=1),"PASS","FAIL")</x:f>
        <x:v>PASS</x:v>
      </x:c>
      <x:c r="N104" s="30" t="str">
        <x:f>IF(OR('Mission Worlds'!L8=0,Mechanisms!R14=0),"PASS","FAIL")</x:f>
        <x:v>PASS</x:v>
      </x:c>
      <x:c r="O104" s="30" t="str">
        <x:f>IF(OR('Mission Worlds'!M8=0,Mechanisms!S14=0),"PASS","FAIL")</x:f>
        <x:v>PASS</x:v>
      </x:c>
      <x:c r="P104" s="30" t="str">
        <x:f>IF(OR('Mission Worlds'!N8=0,Mechanisms!T14=1),"PASS","FAIL")</x:f>
        <x:v>PASS</x:v>
      </x:c>
      <x:c r="Q104" s="30" t="str">
        <x:f>IF(Mechanisms!U14&lt;='Mission Worlds'!O8,"PASS","FAIL")</x:f>
        <x:v>FAIL</x:v>
      </x:c>
      <x:c r="R104" s="30" t="str">
        <x:f>IF(Mechanisms!V14&gt;='Mission Worlds'!P8,"PASS","FAIL")</x:f>
        <x:v>PASS</x:v>
      </x:c>
      <x:c r="S104" s="30" t="str">
        <x:f>IF(COUNTIF(E104:R104,"FAIL")=0,"PASS","FAIL")</x:f>
        <x:v>FAIL</x:v>
      </x:c>
      <x:c r="T104" s="30" t="str">
        <x:f>IF(AND(S104="PASS",Mechanisms!AB14=1),"PASS","FAIL")</x:f>
        <x:v>FAIL</x:v>
      </x:c>
      <x:c r="U104" s="30" t="str">
        <x:f>IF(AND(T104="PASS",'Mission Worlds'!Q8=0),"PASS","FAIL")</x:f>
        <x:v>FAIL</x:v>
      </x:c>
      <x:c r="V104" s="32" t="str">
        <x:f>'Mission Worlds'!R8</x:f>
        <x:v>water approach remains</x:v>
      </x:c>
    </x:row>
    <x:row r="105">
      <x:c r="B105" s="30" t="str">
        <x:v>M7</x:v>
      </x:c>
      <x:c r="C105" s="30" t="str">
        <x:v>W03</x:v>
      </x:c>
      <x:c r="D105" s="50" t="n">
        <x:f>Mechanisms!AD14</x:f>
        <x:v>1</x:v>
      </x:c>
      <x:c r="E105" s="30" t="str">
        <x:f>'Payload Closure'!N13</x:f>
        <x:v>PASS</x:v>
      </x:c>
      <x:c r="F105" s="30" t="str">
        <x:f>IF(Mechanisms!J14&gt;='Mission Worlds'!D9,"PASS","FAIL")</x:f>
        <x:v>PASS</x:v>
      </x:c>
      <x:c r="G105" s="30" t="str">
        <x:f>IF(OR('Mission Worlds'!E9=0,Mechanisms!K14=1),"PASS","FAIL")</x:f>
        <x:v>PASS</x:v>
      </x:c>
      <x:c r="H105" s="30" t="str">
        <x:f>IF(OR('Mission Worlds'!F9=0,Mechanisms!L14=0),"PASS","FAIL")</x:f>
        <x:v>PASS</x:v>
      </x:c>
      <x:c r="I105" s="30" t="str">
        <x:f>IF(OR('Mission Worlds'!G9=0,Mechanisms!M14=0),"PASS","FAIL")</x:f>
        <x:v>PASS</x:v>
      </x:c>
      <x:c r="J105" s="30" t="str">
        <x:f>IF(Mechanisms!N14&gt;='Mission Worlds'!H9,"PASS","FAIL")</x:f>
        <x:v>PASS</x:v>
      </x:c>
      <x:c r="K105" s="30" t="str">
        <x:f>IF(Mechanisms!O14&gt;='Mission Worlds'!I9,"PASS","FAIL")</x:f>
        <x:v>FAIL</x:v>
      </x:c>
      <x:c r="L105" s="30" t="str">
        <x:f>IF(Mechanisms!P14&lt;='Mission Worlds'!J9,"PASS","FAIL")</x:f>
        <x:v>PASS</x:v>
      </x:c>
      <x:c r="M105" s="30" t="str">
        <x:f>IF(OR('Mission Worlds'!K9=0,Mechanisms!Q14=1),"PASS","FAIL")</x:f>
        <x:v>PASS</x:v>
      </x:c>
      <x:c r="N105" s="30" t="str">
        <x:f>IF(OR('Mission Worlds'!L9=0,Mechanisms!R14=0),"PASS","FAIL")</x:f>
        <x:v>PASS</x:v>
      </x:c>
      <x:c r="O105" s="30" t="str">
        <x:f>IF(OR('Mission Worlds'!M9=0,Mechanisms!S14=0),"PASS","FAIL")</x:f>
        <x:v>PASS</x:v>
      </x:c>
      <x:c r="P105" s="30" t="str">
        <x:f>IF(OR('Mission Worlds'!N9=0,Mechanisms!T14=1),"PASS","FAIL")</x:f>
        <x:v>PASS</x:v>
      </x:c>
      <x:c r="Q105" s="30" t="str">
        <x:f>IF(Mechanisms!U14&lt;='Mission Worlds'!O9,"PASS","FAIL")</x:f>
        <x:v>FAIL</x:v>
      </x:c>
      <x:c r="R105" s="30" t="str">
        <x:f>IF(Mechanisms!V14&gt;='Mission Worlds'!P9,"PASS","FAIL")</x:f>
        <x:v>PASS</x:v>
      </x:c>
      <x:c r="S105" s="30" t="str">
        <x:f>IF(COUNTIF(E105:R105,"FAIL")=0,"PASS","FAIL")</x:f>
        <x:v>FAIL</x:v>
      </x:c>
      <x:c r="T105" s="30" t="str">
        <x:f>IF(AND(S105="PASS",Mechanisms!AB14=1),"PASS","FAIL")</x:f>
        <x:v>FAIL</x:v>
      </x:c>
      <x:c r="U105" s="30" t="str">
        <x:f>IF(AND(T105="PASS",'Mission Worlds'!Q9=0),"PASS","FAIL")</x:f>
        <x:v>FAIL</x:v>
      </x:c>
      <x:c r="V105" s="32" t="str">
        <x:f>'Mission Worlds'!R9</x:f>
        <x:v>nearby source may survive</x:v>
      </x:c>
    </x:row>
    <x:row r="106">
      <x:c r="B106" s="30" t="str">
        <x:v>M7</x:v>
      </x:c>
      <x:c r="C106" s="30" t="str">
        <x:v>W04</x:v>
      </x:c>
      <x:c r="D106" s="50" t="n">
        <x:f>Mechanisms!AD14</x:f>
        <x:v>1</x:v>
      </x:c>
      <x:c r="E106" s="30" t="str">
        <x:f>'Payload Closure'!N13</x:f>
        <x:v>PASS</x:v>
      </x:c>
      <x:c r="F106" s="30" t="str">
        <x:f>IF(Mechanisms!J14&gt;='Mission Worlds'!D10,"PASS","FAIL")</x:f>
        <x:v>PASS</x:v>
      </x:c>
      <x:c r="G106" s="30" t="str">
        <x:f>IF(OR('Mission Worlds'!E10=0,Mechanisms!K14=1),"PASS","FAIL")</x:f>
        <x:v>PASS</x:v>
      </x:c>
      <x:c r="H106" s="30" t="str">
        <x:f>IF(OR('Mission Worlds'!F10=0,Mechanisms!L14=0),"PASS","FAIL")</x:f>
        <x:v>PASS</x:v>
      </x:c>
      <x:c r="I106" s="30" t="str">
        <x:f>IF(OR('Mission Worlds'!G10=0,Mechanisms!M14=0),"PASS","FAIL")</x:f>
        <x:v>PASS</x:v>
      </x:c>
      <x:c r="J106" s="30" t="str">
        <x:f>IF(Mechanisms!N14&gt;='Mission Worlds'!H10,"PASS","FAIL")</x:f>
        <x:v>PASS</x:v>
      </x:c>
      <x:c r="K106" s="30" t="str">
        <x:f>IF(Mechanisms!O14&gt;='Mission Worlds'!I10,"PASS","FAIL")</x:f>
        <x:v>PASS</x:v>
      </x:c>
      <x:c r="L106" s="30" t="str">
        <x:f>IF(Mechanisms!P14&lt;='Mission Worlds'!J10,"PASS","FAIL")</x:f>
        <x:v>PASS</x:v>
      </x:c>
      <x:c r="M106" s="30" t="str">
        <x:f>IF(OR('Mission Worlds'!K10=0,Mechanisms!Q14=1),"PASS","FAIL")</x:f>
        <x:v>PASS</x:v>
      </x:c>
      <x:c r="N106" s="30" t="str">
        <x:f>IF(OR('Mission Worlds'!L10=0,Mechanisms!R14=0),"PASS","FAIL")</x:f>
        <x:v>PASS</x:v>
      </x:c>
      <x:c r="O106" s="30" t="str">
        <x:f>IF(OR('Mission Worlds'!M10=0,Mechanisms!S14=0),"PASS","FAIL")</x:f>
        <x:v>PASS</x:v>
      </x:c>
      <x:c r="P106" s="30" t="str">
        <x:f>IF(OR('Mission Worlds'!N10=0,Mechanisms!T14=1),"PASS","FAIL")</x:f>
        <x:v>PASS</x:v>
      </x:c>
      <x:c r="Q106" s="30" t="str">
        <x:f>IF(Mechanisms!U14&lt;='Mission Worlds'!O10,"PASS","FAIL")</x:f>
        <x:v>FAIL</x:v>
      </x:c>
      <x:c r="R106" s="30" t="str">
        <x:f>IF(Mechanisms!V14&gt;='Mission Worlds'!P10,"PASS","FAIL")</x:f>
        <x:v>PASS</x:v>
      </x:c>
      <x:c r="S106" s="30" t="str">
        <x:f>IF(COUNTIF(E106:R106,"FAIL")=0,"PASS","FAIL")</x:f>
        <x:v>FAIL</x:v>
      </x:c>
      <x:c r="T106" s="30" t="str">
        <x:f>IF(AND(S106="PASS",Mechanisms!AB14=1),"PASS","FAIL")</x:f>
        <x:v>FAIL</x:v>
      </x:c>
      <x:c r="U106" s="30" t="str">
        <x:f>IF(AND(T106="PASS",'Mission Worlds'!Q10=0),"PASS","FAIL")</x:f>
        <x:v>FAIL</x:v>
      </x:c>
      <x:c r="V106" s="32" t="str">
        <x:f>'Mission Worlds'!R10</x:f>
        <x:v>all legacy surface paths lost</x:v>
      </x:c>
    </x:row>
    <x:row r="107">
      <x:c r="B107" s="30" t="str">
        <x:v>M7</x:v>
      </x:c>
      <x:c r="C107" s="30" t="str">
        <x:v>W05</x:v>
      </x:c>
      <x:c r="D107" s="50" t="n">
        <x:f>Mechanisms!AD14</x:f>
        <x:v>1</x:v>
      </x:c>
      <x:c r="E107" s="30" t="str">
        <x:f>'Payload Closure'!N13</x:f>
        <x:v>PASS</x:v>
      </x:c>
      <x:c r="F107" s="30" t="str">
        <x:f>IF(Mechanisms!J14&gt;='Mission Worlds'!D11,"PASS","FAIL")</x:f>
        <x:v>PASS</x:v>
      </x:c>
      <x:c r="G107" s="30" t="str">
        <x:f>IF(OR('Mission Worlds'!E11=0,Mechanisms!K14=1),"PASS","FAIL")</x:f>
        <x:v>PASS</x:v>
      </x:c>
      <x:c r="H107" s="30" t="str">
        <x:f>IF(OR('Mission Worlds'!F11=0,Mechanisms!L14=0),"PASS","FAIL")</x:f>
        <x:v>PASS</x:v>
      </x:c>
      <x:c r="I107" s="30" t="str">
        <x:f>IF(OR('Mission Worlds'!G11=0,Mechanisms!M14=0),"PASS","FAIL")</x:f>
        <x:v>PASS</x:v>
      </x:c>
      <x:c r="J107" s="30" t="str">
        <x:f>IF(Mechanisms!N14&gt;='Mission Worlds'!H11,"PASS","FAIL")</x:f>
        <x:v>FAIL</x:v>
      </x:c>
      <x:c r="K107" s="30" t="str">
        <x:f>IF(Mechanisms!O14&gt;='Mission Worlds'!I11,"PASS","FAIL")</x:f>
        <x:v>PASS</x:v>
      </x:c>
      <x:c r="L107" s="30" t="str">
        <x:f>IF(Mechanisms!P14&lt;='Mission Worlds'!J11,"PASS","FAIL")</x:f>
        <x:v>PASS</x:v>
      </x:c>
      <x:c r="M107" s="30" t="str">
        <x:f>IF(OR('Mission Worlds'!K11=0,Mechanisms!Q14=1),"PASS","FAIL")</x:f>
        <x:v>PASS</x:v>
      </x:c>
      <x:c r="N107" s="30" t="str">
        <x:f>IF(OR('Mission Worlds'!L11=0,Mechanisms!R14=0),"PASS","FAIL")</x:f>
        <x:v>PASS</x:v>
      </x:c>
      <x:c r="O107" s="30" t="str">
        <x:f>IF(OR('Mission Worlds'!M11=0,Mechanisms!S14=0),"PASS","FAIL")</x:f>
        <x:v>PASS</x:v>
      </x:c>
      <x:c r="P107" s="30" t="str">
        <x:f>IF(OR('Mission Worlds'!N11=0,Mechanisms!T14=1),"PASS","FAIL")</x:f>
        <x:v>PASS</x:v>
      </x:c>
      <x:c r="Q107" s="30" t="str">
        <x:f>IF(Mechanisms!U14&lt;='Mission Worlds'!O11,"PASS","FAIL")</x:f>
        <x:v>FAIL</x:v>
      </x:c>
      <x:c r="R107" s="30" t="str">
        <x:f>IF(Mechanisms!V14&gt;='Mission Worlds'!P11,"PASS","FAIL")</x:f>
        <x:v>PASS</x:v>
      </x:c>
      <x:c r="S107" s="30" t="str">
        <x:f>IF(COUNTIF(E107:R107,"FAIL")=0,"PASS","FAIL")</x:f>
        <x:v>FAIL</x:v>
      </x:c>
      <x:c r="T107" s="30" t="str">
        <x:f>IF(AND(S107="PASS",Mechanisms!AB14=1),"PASS","FAIL")</x:f>
        <x:v>FAIL</x:v>
      </x:c>
      <x:c r="U107" s="30" t="str">
        <x:f>IF(AND(T107="PASS",'Mission Worlds'!Q11=0),"PASS","FAIL")</x:f>
        <x:v>FAIL</x:v>
      </x:c>
      <x:c r="V107" s="32" t="str">
        <x:f>'Mission Worlds'!R11</x:f>
        <x:v>steep receiving terrain</x:v>
      </x:c>
    </x:row>
    <x:row r="108">
      <x:c r="B108" s="30" t="str">
        <x:v>M7</x:v>
      </x:c>
      <x:c r="C108" s="30" t="str">
        <x:v>W06</x:v>
      </x:c>
      <x:c r="D108" s="50" t="n">
        <x:f>Mechanisms!AD14</x:f>
        <x:v>1</x:v>
      </x:c>
      <x:c r="E108" s="30" t="str">
        <x:f>'Payload Closure'!N13</x:f>
        <x:v>PASS</x:v>
      </x:c>
      <x:c r="F108" s="30" t="str">
        <x:f>IF(Mechanisms!J14&gt;='Mission Worlds'!D12,"PASS","FAIL")</x:f>
        <x:v>PASS</x:v>
      </x:c>
      <x:c r="G108" s="30" t="str">
        <x:f>IF(OR('Mission Worlds'!E12=0,Mechanisms!K14=1),"PASS","FAIL")</x:f>
        <x:v>PASS</x:v>
      </x:c>
      <x:c r="H108" s="30" t="str">
        <x:f>IF(OR('Mission Worlds'!F12=0,Mechanisms!L14=0),"PASS","FAIL")</x:f>
        <x:v>PASS</x:v>
      </x:c>
      <x:c r="I108" s="30" t="str">
        <x:f>IF(OR('Mission Worlds'!G12=0,Mechanisms!M14=0),"PASS","FAIL")</x:f>
        <x:v>PASS</x:v>
      </x:c>
      <x:c r="J108" s="30" t="str">
        <x:f>IF(Mechanisms!N14&gt;='Mission Worlds'!H12,"PASS","FAIL")</x:f>
        <x:v>PASS</x:v>
      </x:c>
      <x:c r="K108" s="30" t="str">
        <x:f>IF(Mechanisms!O14&gt;='Mission Worlds'!I12,"PASS","FAIL")</x:f>
        <x:v>FAIL</x:v>
      </x:c>
      <x:c r="L108" s="30" t="str">
        <x:f>IF(Mechanisms!P14&lt;='Mission Worlds'!J12,"PASS","FAIL")</x:f>
        <x:v>PASS</x:v>
      </x:c>
      <x:c r="M108" s="30" t="str">
        <x:f>IF(OR('Mission Worlds'!K12=0,Mechanisms!Q14=1),"PASS","FAIL")</x:f>
        <x:v>PASS</x:v>
      </x:c>
      <x:c r="N108" s="30" t="str">
        <x:f>IF(OR('Mission Worlds'!L12=0,Mechanisms!R14=0),"PASS","FAIL")</x:f>
        <x:v>PASS</x:v>
      </x:c>
      <x:c r="O108" s="30" t="str">
        <x:f>IF(OR('Mission Worlds'!M12=0,Mechanisms!S14=0),"PASS","FAIL")</x:f>
        <x:v>PASS</x:v>
      </x:c>
      <x:c r="P108" s="30" t="str">
        <x:f>IF(OR('Mission Worlds'!N12=0,Mechanisms!T14=1),"PASS","FAIL")</x:f>
        <x:v>PASS</x:v>
      </x:c>
      <x:c r="Q108" s="30" t="str">
        <x:f>IF(Mechanisms!U14&lt;='Mission Worlds'!O12,"PASS","FAIL")</x:f>
        <x:v>FAIL</x:v>
      </x:c>
      <x:c r="R108" s="30" t="str">
        <x:f>IF(Mechanisms!V14&gt;='Mission Worlds'!P12,"PASS","FAIL")</x:f>
        <x:v>PASS</x:v>
      </x:c>
      <x:c r="S108" s="30" t="str">
        <x:f>IF(COUNTIF(E108:R108,"FAIL")=0,"PASS","FAIL")</x:f>
        <x:v>FAIL</x:v>
      </x:c>
      <x:c r="T108" s="30" t="str">
        <x:f>IF(AND(S108="PASS",Mechanisms!AB14=1),"PASS","FAIL")</x:f>
        <x:v>FAIL</x:v>
      </x:c>
      <x:c r="U108" s="30" t="str">
        <x:f>IF(AND(T108="PASS",'Mission Worlds'!Q12=0),"PASS","FAIL")</x:f>
        <x:v>FAIL</x:v>
      </x:c>
      <x:c r="V108" s="32" t="str">
        <x:f>'Mission Worlds'!R12</x:f>
        <x:v>high ambient and no local feed</x:v>
      </x:c>
    </x:row>
    <x:row r="109">
      <x:c r="B109" s="30" t="str">
        <x:v>M7</x:v>
      </x:c>
      <x:c r="C109" s="30" t="str">
        <x:v>W07</x:v>
      </x:c>
      <x:c r="D109" s="50" t="n">
        <x:f>Mechanisms!AD14</x:f>
        <x:v>1</x:v>
      </x:c>
      <x:c r="E109" s="30" t="str">
        <x:f>'Payload Closure'!N13</x:f>
        <x:v>PASS</x:v>
      </x:c>
      <x:c r="F109" s="30" t="str">
        <x:f>IF(Mechanisms!J14&gt;='Mission Worlds'!D13,"PASS","FAIL")</x:f>
        <x:v>PASS</x:v>
      </x:c>
      <x:c r="G109" s="30" t="str">
        <x:f>IF(OR('Mission Worlds'!E13=0,Mechanisms!K14=1),"PASS","FAIL")</x:f>
        <x:v>PASS</x:v>
      </x:c>
      <x:c r="H109" s="30" t="str">
        <x:f>IF(OR('Mission Worlds'!F13=0,Mechanisms!L14=0),"PASS","FAIL")</x:f>
        <x:v>PASS</x:v>
      </x:c>
      <x:c r="I109" s="30" t="str">
        <x:f>IF(OR('Mission Worlds'!G13=0,Mechanisms!M14=0),"PASS","FAIL")</x:f>
        <x:v>PASS</x:v>
      </x:c>
      <x:c r="J109" s="30" t="str">
        <x:f>IF(Mechanisms!N14&gt;='Mission Worlds'!H13,"PASS","FAIL")</x:f>
        <x:v>PASS</x:v>
      </x:c>
      <x:c r="K109" s="30" t="str">
        <x:f>IF(Mechanisms!O14&gt;='Mission Worlds'!I13,"PASS","FAIL")</x:f>
        <x:v>PASS</x:v>
      </x:c>
      <x:c r="L109" s="30" t="str">
        <x:f>IF(Mechanisms!P14&lt;='Mission Worlds'!J13,"PASS","FAIL")</x:f>
        <x:v>PASS</x:v>
      </x:c>
      <x:c r="M109" s="30" t="str">
        <x:f>IF(OR('Mission Worlds'!K13=0,Mechanisms!Q14=1),"PASS","FAIL")</x:f>
        <x:v>PASS</x:v>
      </x:c>
      <x:c r="N109" s="30" t="str">
        <x:f>IF(OR('Mission Worlds'!L13=0,Mechanisms!R14=0),"PASS","FAIL")</x:f>
        <x:v>PASS</x:v>
      </x:c>
      <x:c r="O109" s="30" t="str">
        <x:f>IF(OR('Mission Worlds'!M13=0,Mechanisms!S14=0),"PASS","FAIL")</x:f>
        <x:v>PASS</x:v>
      </x:c>
      <x:c r="P109" s="30" t="str">
        <x:f>IF(OR('Mission Worlds'!N13=0,Mechanisms!T14=1),"PASS","FAIL")</x:f>
        <x:v>PASS</x:v>
      </x:c>
      <x:c r="Q109" s="30" t="str">
        <x:f>IF(Mechanisms!U14&lt;='Mission Worlds'!O13,"PASS","FAIL")</x:f>
        <x:v>FAIL</x:v>
      </x:c>
      <x:c r="R109" s="30" t="str">
        <x:f>IF(Mechanisms!V14&gt;='Mission Worlds'!P13,"PASS","FAIL")</x:f>
        <x:v>PASS</x:v>
      </x:c>
      <x:c r="S109" s="30" t="str">
        <x:f>IF(COUNTIF(E109:R109,"FAIL")=0,"PASS","FAIL")</x:f>
        <x:v>FAIL</x:v>
      </x:c>
      <x:c r="T109" s="30" t="str">
        <x:f>IF(AND(S109="PASS",Mechanisms!AB14=1),"PASS","FAIL")</x:f>
        <x:v>FAIL</x:v>
      </x:c>
      <x:c r="U109" s="30" t="str">
        <x:f>IF(AND(T109="PASS",'Mission Worlds'!Q13=0),"PASS","FAIL")</x:f>
        <x:v>FAIL</x:v>
      </x:c>
      <x:c r="V109" s="32" t="str">
        <x:f>'Mission Worlds'!R13</x:f>
        <x:v>surface-water approach denied</x:v>
      </x:c>
    </x:row>
    <x:row r="110">
      <x:c r="B110" s="30" t="str">
        <x:v>M7</x:v>
      </x:c>
      <x:c r="C110" s="30" t="str">
        <x:v>W08</x:v>
      </x:c>
      <x:c r="D110" s="50" t="n">
        <x:f>Mechanisms!AD14</x:f>
        <x:v>1</x:v>
      </x:c>
      <x:c r="E110" s="30" t="str">
        <x:f>'Payload Closure'!N13</x:f>
        <x:v>PASS</x:v>
      </x:c>
      <x:c r="F110" s="30" t="str">
        <x:f>IF(Mechanisms!J14&gt;='Mission Worlds'!D14,"PASS","FAIL")</x:f>
        <x:v>PASS</x:v>
      </x:c>
      <x:c r="G110" s="30" t="str">
        <x:f>IF(OR('Mission Worlds'!E14=0,Mechanisms!K14=1),"PASS","FAIL")</x:f>
        <x:v>PASS</x:v>
      </x:c>
      <x:c r="H110" s="30" t="str">
        <x:f>IF(OR('Mission Worlds'!F14=0,Mechanisms!L14=0),"PASS","FAIL")</x:f>
        <x:v>PASS</x:v>
      </x:c>
      <x:c r="I110" s="30" t="str">
        <x:f>IF(OR('Mission Worlds'!G14=0,Mechanisms!M14=0),"PASS","FAIL")</x:f>
        <x:v>PASS</x:v>
      </x:c>
      <x:c r="J110" s="30" t="str">
        <x:f>IF(Mechanisms!N14&gt;='Mission Worlds'!H14,"PASS","FAIL")</x:f>
        <x:v>PASS</x:v>
      </x:c>
      <x:c r="K110" s="30" t="str">
        <x:f>IF(Mechanisms!O14&gt;='Mission Worlds'!I14,"PASS","FAIL")</x:f>
        <x:v>FAIL</x:v>
      </x:c>
      <x:c r="L110" s="30" t="str">
        <x:f>IF(Mechanisms!P14&lt;='Mission Worlds'!J14,"PASS","FAIL")</x:f>
        <x:v>PASS</x:v>
      </x:c>
      <x:c r="M110" s="30" t="str">
        <x:f>IF(OR('Mission Worlds'!K14=0,Mechanisms!Q14=1),"PASS","FAIL")</x:f>
        <x:v>PASS</x:v>
      </x:c>
      <x:c r="N110" s="30" t="str">
        <x:f>IF(OR('Mission Worlds'!L14=0,Mechanisms!R14=0),"PASS","FAIL")</x:f>
        <x:v>PASS</x:v>
      </x:c>
      <x:c r="O110" s="30" t="str">
        <x:f>IF(OR('Mission Worlds'!M14=0,Mechanisms!S14=0),"PASS","FAIL")</x:f>
        <x:v>PASS</x:v>
      </x:c>
      <x:c r="P110" s="30" t="str">
        <x:f>IF(OR('Mission Worlds'!N14=0,Mechanisms!T14=1),"PASS","FAIL")</x:f>
        <x:v>PASS</x:v>
      </x:c>
      <x:c r="Q110" s="30" t="str">
        <x:f>IF(Mechanisms!U14&lt;='Mission Worlds'!O14,"PASS","FAIL")</x:f>
        <x:v>PASS</x:v>
      </x:c>
      <x:c r="R110" s="30" t="str">
        <x:f>IF(Mechanisms!V14&gt;='Mission Worlds'!P14,"PASS","FAIL")</x:f>
        <x:v>PASS</x:v>
      </x:c>
      <x:c r="S110" s="30" t="str">
        <x:f>IF(COUNTIF(E110:R110,"FAIL")=0,"PASS","FAIL")</x:f>
        <x:v>FAIL</x:v>
      </x:c>
      <x:c r="T110" s="30" t="str">
        <x:f>IF(AND(S110="PASS",Mechanisms!AB14=1),"PASS","FAIL")</x:f>
        <x:v>FAIL</x:v>
      </x:c>
      <x:c r="U110" s="30" t="str">
        <x:f>IF(AND(T110="PASS",'Mission Worlds'!Q14=0),"PASS","FAIL")</x:f>
        <x:v>FAIL</x:v>
      </x:c>
      <x:c r="V110" s="32" t="str">
        <x:f>'Mission Worlds'!R14</x:f>
        <x:v>long range and austere receiver</x:v>
      </x:c>
    </x:row>
    <x:row r="111">
      <x:c r="B111" s="30" t="str">
        <x:v>M7</x:v>
      </x:c>
      <x:c r="C111" s="30" t="str">
        <x:v>W09</x:v>
      </x:c>
      <x:c r="D111" s="50" t="n">
        <x:f>Mechanisms!AD14</x:f>
        <x:v>1</x:v>
      </x:c>
      <x:c r="E111" s="30" t="str">
        <x:f>'Payload Closure'!N13</x:f>
        <x:v>PASS</x:v>
      </x:c>
      <x:c r="F111" s="30" t="str">
        <x:f>IF(Mechanisms!J14&gt;='Mission Worlds'!D15,"PASS","FAIL")</x:f>
        <x:v>PASS</x:v>
      </x:c>
      <x:c r="G111" s="30" t="str">
        <x:f>IF(OR('Mission Worlds'!E15=0,Mechanisms!K14=1),"PASS","FAIL")</x:f>
        <x:v>PASS</x:v>
      </x:c>
      <x:c r="H111" s="30" t="str">
        <x:f>IF(OR('Mission Worlds'!F15=0,Mechanisms!L14=0),"PASS","FAIL")</x:f>
        <x:v>PASS</x:v>
      </x:c>
      <x:c r="I111" s="30" t="str">
        <x:f>IF(OR('Mission Worlds'!G15=0,Mechanisms!M14=0),"PASS","FAIL")</x:f>
        <x:v>PASS</x:v>
      </x:c>
      <x:c r="J111" s="30" t="str">
        <x:f>IF(Mechanisms!N14&gt;='Mission Worlds'!H15,"PASS","FAIL")</x:f>
        <x:v>FAIL</x:v>
      </x:c>
      <x:c r="K111" s="30" t="str">
        <x:f>IF(Mechanisms!O14&gt;='Mission Worlds'!I15,"PASS","FAIL")</x:f>
        <x:v>FAIL</x:v>
      </x:c>
      <x:c r="L111" s="30" t="str">
        <x:f>IF(Mechanisms!P14&lt;='Mission Worlds'!J15,"PASS","FAIL")</x:f>
        <x:v>FAIL</x:v>
      </x:c>
      <x:c r="M111" s="30" t="str">
        <x:f>IF(OR('Mission Worlds'!K15=0,Mechanisms!Q14=1),"PASS","FAIL")</x:f>
        <x:v>PASS</x:v>
      </x:c>
      <x:c r="N111" s="30" t="str">
        <x:f>IF(OR('Mission Worlds'!L15=0,Mechanisms!R14=0),"PASS","FAIL")</x:f>
        <x:v>PASS</x:v>
      </x:c>
      <x:c r="O111" s="30" t="str">
        <x:f>IF(OR('Mission Worlds'!M15=0,Mechanisms!S14=0),"PASS","FAIL")</x:f>
        <x:v>PASS</x:v>
      </x:c>
      <x:c r="P111" s="30" t="str">
        <x:f>IF(OR('Mission Worlds'!N15=0,Mechanisms!T14=1),"PASS","FAIL")</x:f>
        <x:v>PASS</x:v>
      </x:c>
      <x:c r="Q111" s="30" t="str">
        <x:f>IF(Mechanisms!U14&lt;='Mission Worlds'!O15,"PASS","FAIL")</x:f>
        <x:v>FAIL</x:v>
      </x:c>
      <x:c r="R111" s="30" t="str">
        <x:f>IF(Mechanisms!V14&gt;='Mission Worlds'!P15,"PASS","FAIL")</x:f>
        <x:v>PASS</x:v>
      </x:c>
      <x:c r="S111" s="30" t="str">
        <x:f>IF(COUNTIF(E111:R111,"FAIL")=0,"PASS","FAIL")</x:f>
        <x:v>FAIL</x:v>
      </x:c>
      <x:c r="T111" s="30" t="str">
        <x:f>IF(AND(S111="PASS",Mechanisms!AB14=1),"PASS","FAIL")</x:f>
        <x:v>FAIL</x:v>
      </x:c>
      <x:c r="U111" s="30" t="str">
        <x:f>IF(AND(T111="PASS",'Mission Worlds'!Q15=0),"PASS","FAIL")</x:f>
        <x:v>FAIL</x:v>
      </x:c>
      <x:c r="V111" s="32" t="str">
        <x:f>'Mission Worlds'!R15</x:f>
        <x:v>smoke operations required</x:v>
      </x:c>
    </x:row>
    <x:row r="112">
      <x:c r="B112" s="30" t="str">
        <x:v>M7</x:v>
      </x:c>
      <x:c r="C112" s="30" t="str">
        <x:v>W10</x:v>
      </x:c>
      <x:c r="D112" s="50" t="n">
        <x:f>Mechanisms!AD14</x:f>
        <x:v>1</x:v>
      </x:c>
      <x:c r="E112" s="30" t="str">
        <x:f>'Payload Closure'!N13</x:f>
        <x:v>PASS</x:v>
      </x:c>
      <x:c r="F112" s="30" t="str">
        <x:f>IF(Mechanisms!J14&gt;='Mission Worlds'!D16,"PASS","FAIL")</x:f>
        <x:v>PASS</x:v>
      </x:c>
      <x:c r="G112" s="30" t="str">
        <x:f>IF(OR('Mission Worlds'!E16=0,Mechanisms!K14=1),"PASS","FAIL")</x:f>
        <x:v>PASS</x:v>
      </x:c>
      <x:c r="H112" s="30" t="str">
        <x:f>IF(OR('Mission Worlds'!F16=0,Mechanisms!L14=0),"PASS","FAIL")</x:f>
        <x:v>PASS</x:v>
      </x:c>
      <x:c r="I112" s="30" t="str">
        <x:f>IF(OR('Mission Worlds'!G16=0,Mechanisms!M14=0),"PASS","FAIL")</x:f>
        <x:v>PASS</x:v>
      </x:c>
      <x:c r="J112" s="30" t="str">
        <x:f>IF(Mechanisms!N14&gt;='Mission Worlds'!H16,"PASS","FAIL")</x:f>
        <x:v>PASS</x:v>
      </x:c>
      <x:c r="K112" s="30" t="str">
        <x:f>IF(Mechanisms!O14&gt;='Mission Worlds'!I16,"PASS","FAIL")</x:f>
        <x:v>PASS</x:v>
      </x:c>
      <x:c r="L112" s="30" t="str">
        <x:f>IF(Mechanisms!P14&lt;='Mission Worlds'!J16,"PASS","FAIL")</x:f>
        <x:v>PASS</x:v>
      </x:c>
      <x:c r="M112" s="30" t="str">
        <x:f>IF(OR('Mission Worlds'!K16=0,Mechanisms!Q14=1),"PASS","FAIL")</x:f>
        <x:v>PASS</x:v>
      </x:c>
      <x:c r="N112" s="30" t="str">
        <x:f>IF(OR('Mission Worlds'!L16=0,Mechanisms!R14=0),"PASS","FAIL")</x:f>
        <x:v>PASS</x:v>
      </x:c>
      <x:c r="O112" s="30" t="str">
        <x:f>IF(OR('Mission Worlds'!M16=0,Mechanisms!S14=0),"PASS","FAIL")</x:f>
        <x:v>PASS</x:v>
      </x:c>
      <x:c r="P112" s="30" t="str">
        <x:f>IF(OR('Mission Worlds'!N16=0,Mechanisms!T14=1),"PASS","FAIL")</x:f>
        <x:v>PASS</x:v>
      </x:c>
      <x:c r="Q112" s="30" t="str">
        <x:f>IF(Mechanisms!U14&lt;='Mission Worlds'!O16,"PASS","FAIL")</x:f>
        <x:v>FAIL</x:v>
      </x:c>
      <x:c r="R112" s="30" t="str">
        <x:f>IF(Mechanisms!V14&gt;='Mission Worlds'!P16,"PASS","FAIL")</x:f>
        <x:v>PASS</x:v>
      </x:c>
      <x:c r="S112" s="30" t="str">
        <x:f>IF(COUNTIF(E112:R112,"FAIL")=0,"PASS","FAIL")</x:f>
        <x:v>FAIL</x:v>
      </x:c>
      <x:c r="T112" s="30" t="str">
        <x:f>IF(AND(S112="PASS",Mechanisms!AB14=1),"PASS","FAIL")</x:f>
        <x:v>FAIL</x:v>
      </x:c>
      <x:c r="U112" s="30" t="str">
        <x:f>IF(AND(T112="PASS",'Mission Worlds'!Q16=0),"PASS","FAIL")</x:f>
        <x:v>FAIL</x:v>
      </x:c>
      <x:c r="V112" s="32" t="str">
        <x:f>'Mission Worlds'!R16</x:f>
        <x:v>small safe footprint</x:v>
      </x:c>
    </x:row>
    <x:row r="113">
      <x:c r="B113" s="30" t="str">
        <x:v>M7</x:v>
      </x:c>
      <x:c r="C113" s="30" t="str">
        <x:v>W11</x:v>
      </x:c>
      <x:c r="D113" s="50" t="n">
        <x:f>Mechanisms!AD14</x:f>
        <x:v>1</x:v>
      </x:c>
      <x:c r="E113" s="30" t="str">
        <x:f>'Payload Closure'!N13</x:f>
        <x:v>PASS</x:v>
      </x:c>
      <x:c r="F113" s="30" t="str">
        <x:f>IF(Mechanisms!J14&gt;='Mission Worlds'!D17,"PASS","FAIL")</x:f>
        <x:v>PASS</x:v>
      </x:c>
      <x:c r="G113" s="30" t="str">
        <x:f>IF(OR('Mission Worlds'!E17=0,Mechanisms!K14=1),"PASS","FAIL")</x:f>
        <x:v>PASS</x:v>
      </x:c>
      <x:c r="H113" s="30" t="str">
        <x:f>IF(OR('Mission Worlds'!F17=0,Mechanisms!L14=0),"PASS","FAIL")</x:f>
        <x:v>PASS</x:v>
      </x:c>
      <x:c r="I113" s="30" t="str">
        <x:f>IF(OR('Mission Worlds'!G17=0,Mechanisms!M14=0),"PASS","FAIL")</x:f>
        <x:v>PASS</x:v>
      </x:c>
      <x:c r="J113" s="30" t="str">
        <x:f>IF(Mechanisms!N14&gt;='Mission Worlds'!H17,"PASS","FAIL")</x:f>
        <x:v>PASS</x:v>
      </x:c>
      <x:c r="K113" s="30" t="str">
        <x:f>IF(Mechanisms!O14&gt;='Mission Worlds'!I17,"PASS","FAIL")</x:f>
        <x:v>FAIL</x:v>
      </x:c>
      <x:c r="L113" s="30" t="str">
        <x:f>IF(Mechanisms!P14&lt;='Mission Worlds'!J17,"PASS","FAIL")</x:f>
        <x:v>PASS</x:v>
      </x:c>
      <x:c r="M113" s="30" t="str">
        <x:f>IF(OR('Mission Worlds'!K17=0,Mechanisms!Q14=1),"PASS","FAIL")</x:f>
        <x:v>PASS</x:v>
      </x:c>
      <x:c r="N113" s="30" t="str">
        <x:f>IF(OR('Mission Worlds'!L17=0,Mechanisms!R14=0),"PASS","FAIL")</x:f>
        <x:v>PASS</x:v>
      </x:c>
      <x:c r="O113" s="30" t="str">
        <x:f>IF(OR('Mission Worlds'!M17=0,Mechanisms!S14=0),"PASS","FAIL")</x:f>
        <x:v>PASS</x:v>
      </x:c>
      <x:c r="P113" s="30" t="str">
        <x:f>IF(OR('Mission Worlds'!N17=0,Mechanisms!T14=1),"PASS","FAIL")</x:f>
        <x:v>PASS</x:v>
      </x:c>
      <x:c r="Q113" s="30" t="str">
        <x:f>IF(Mechanisms!U14&lt;='Mission Worlds'!O17,"PASS","FAIL")</x:f>
        <x:v>FAIL</x:v>
      </x:c>
      <x:c r="R113" s="30" t="str">
        <x:f>IF(Mechanisms!V14&gt;='Mission Worlds'!P17,"PASS","FAIL")</x:f>
        <x:v>PASS</x:v>
      </x:c>
      <x:c r="S113" s="30" t="str">
        <x:f>IF(COUNTIF(E113:R113,"FAIL")=0,"PASS","FAIL")</x:f>
        <x:v>FAIL</x:v>
      </x:c>
      <x:c r="T113" s="30" t="str">
        <x:f>IF(AND(S113="PASS",Mechanisms!AB14=1),"PASS","FAIL")</x:f>
        <x:v>FAIL</x:v>
      </x:c>
      <x:c r="U113" s="30" t="str">
        <x:f>IF(AND(T113="PASS",'Mission Worlds'!Q17=0),"PASS","FAIL")</x:f>
        <x:v>FAIL</x:v>
      </x:c>
      <x:c r="V113" s="32" t="str">
        <x:f>'Mission Worlds'!R17</x:f>
        <x:v>high-wind launch and receipt</x:v>
      </x:c>
    </x:row>
    <x:row r="114">
      <x:c r="B114" s="30" t="str">
        <x:v>M7</x:v>
      </x:c>
      <x:c r="C114" s="30" t="str">
        <x:v>W12</x:v>
      </x:c>
      <x:c r="D114" s="50" t="n">
        <x:f>Mechanisms!AD14</x:f>
        <x:v>1</x:v>
      </x:c>
      <x:c r="E114" s="30" t="str">
        <x:f>'Payload Closure'!N13</x:f>
        <x:v>PASS</x:v>
      </x:c>
      <x:c r="F114" s="30" t="str">
        <x:f>IF(Mechanisms!J14&gt;='Mission Worlds'!D18,"PASS","FAIL")</x:f>
        <x:v>PASS</x:v>
      </x:c>
      <x:c r="G114" s="30" t="str">
        <x:f>IF(OR('Mission Worlds'!E18=0,Mechanisms!K14=1),"PASS","FAIL")</x:f>
        <x:v>PASS</x:v>
      </x:c>
      <x:c r="H114" s="30" t="str">
        <x:f>IF(OR('Mission Worlds'!F18=0,Mechanisms!L14=0),"PASS","FAIL")</x:f>
        <x:v>PASS</x:v>
      </x:c>
      <x:c r="I114" s="30" t="str">
        <x:f>IF(OR('Mission Worlds'!G18=0,Mechanisms!M14=0),"PASS","FAIL")</x:f>
        <x:v>PASS</x:v>
      </x:c>
      <x:c r="J114" s="30" t="str">
        <x:f>IF(Mechanisms!N14&gt;='Mission Worlds'!H18,"PASS","FAIL")</x:f>
        <x:v>PASS</x:v>
      </x:c>
      <x:c r="K114" s="30" t="str">
        <x:f>IF(Mechanisms!O14&gt;='Mission Worlds'!I18,"PASS","FAIL")</x:f>
        <x:v>PASS</x:v>
      </x:c>
      <x:c r="L114" s="30" t="str">
        <x:f>IF(Mechanisms!P14&lt;='Mission Worlds'!J18,"PASS","FAIL")</x:f>
        <x:v>PASS</x:v>
      </x:c>
      <x:c r="M114" s="30" t="str">
        <x:f>IF(OR('Mission Worlds'!K18=0,Mechanisms!Q14=1),"PASS","FAIL")</x:f>
        <x:v>PASS</x:v>
      </x:c>
      <x:c r="N114" s="30" t="str">
        <x:f>IF(OR('Mission Worlds'!L18=0,Mechanisms!R14=0),"PASS","FAIL")</x:f>
        <x:v>PASS</x:v>
      </x:c>
      <x:c r="O114" s="30" t="str">
        <x:f>IF(OR('Mission Worlds'!M18=0,Mechanisms!S14=0),"PASS","FAIL")</x:f>
        <x:v>PASS</x:v>
      </x:c>
      <x:c r="P114" s="30" t="str">
        <x:f>IF(OR('Mission Worlds'!N18=0,Mechanisms!T14=1),"PASS","FAIL")</x:f>
        <x:v>PASS</x:v>
      </x:c>
      <x:c r="Q114" s="30" t="str">
        <x:f>IF(Mechanisms!U14&lt;='Mission Worlds'!O18,"PASS","FAIL")</x:f>
        <x:v>PASS</x:v>
      </x:c>
      <x:c r="R114" s="30" t="str">
        <x:f>IF(Mechanisms!V14&gt;='Mission Worlds'!P18,"PASS","FAIL")</x:f>
        <x:v>PASS</x:v>
      </x:c>
      <x:c r="S114" s="30" t="str">
        <x:f>IF(COUNTIF(E114:R114,"FAIL")=0,"PASS","FAIL")</x:f>
        <x:v>PASS</x:v>
      </x:c>
      <x:c r="T114" s="30" t="str">
        <x:f>IF(AND(S114="PASS",Mechanisms!AB14=1),"PASS","FAIL")</x:f>
        <x:v>FAIL</x:v>
      </x:c>
      <x:c r="U114" s="30" t="str">
        <x:f>IF(AND(T114="PASS",'Mission Worlds'!Q18=0),"PASS","FAIL")</x:f>
        <x:v>FAIL</x:v>
      </x:c>
      <x:c r="V114" s="32" t="str">
        <x:f>'Mission Worlds'!R18</x:f>
        <x:v>long range and offline command</x:v>
      </x:c>
    </x:row>
    <x:row r="115">
      <x:c r="B115" s="30" t="str">
        <x:v>M7</x:v>
      </x:c>
      <x:c r="C115" s="30" t="str">
        <x:v>W13</x:v>
      </x:c>
      <x:c r="D115" s="50" t="n">
        <x:f>Mechanisms!AD14</x:f>
        <x:v>1</x:v>
      </x:c>
      <x:c r="E115" s="30" t="str">
        <x:f>'Payload Closure'!N13</x:f>
        <x:v>PASS</x:v>
      </x:c>
      <x:c r="F115" s="30" t="str">
        <x:f>IF(Mechanisms!J14&gt;='Mission Worlds'!D19,"PASS","FAIL")</x:f>
        <x:v>PASS</x:v>
      </x:c>
      <x:c r="G115" s="30" t="str">
        <x:f>IF(OR('Mission Worlds'!E19=0,Mechanisms!K14=1),"PASS","FAIL")</x:f>
        <x:v>PASS</x:v>
      </x:c>
      <x:c r="H115" s="30" t="str">
        <x:f>IF(OR('Mission Worlds'!F19=0,Mechanisms!L14=0),"PASS","FAIL")</x:f>
        <x:v>PASS</x:v>
      </x:c>
      <x:c r="I115" s="30" t="str">
        <x:f>IF(OR('Mission Worlds'!G19=0,Mechanisms!M14=0),"PASS","FAIL")</x:f>
        <x:v>PASS</x:v>
      </x:c>
      <x:c r="J115" s="30" t="str">
        <x:f>IF(Mechanisms!N14&gt;='Mission Worlds'!H19,"PASS","FAIL")</x:f>
        <x:v>FAIL</x:v>
      </x:c>
      <x:c r="K115" s="30" t="str">
        <x:f>IF(Mechanisms!O14&gt;='Mission Worlds'!I19,"PASS","FAIL")</x:f>
        <x:v>FAIL</x:v>
      </x:c>
      <x:c r="L115" s="30" t="str">
        <x:f>IF(Mechanisms!P14&lt;='Mission Worlds'!J19,"PASS","FAIL")</x:f>
        <x:v>FAIL</x:v>
      </x:c>
      <x:c r="M115" s="30" t="str">
        <x:f>IF(OR('Mission Worlds'!K19=0,Mechanisms!Q14=1),"PASS","FAIL")</x:f>
        <x:v>PASS</x:v>
      </x:c>
      <x:c r="N115" s="30" t="str">
        <x:f>IF(OR('Mission Worlds'!L19=0,Mechanisms!R14=0),"PASS","FAIL")</x:f>
        <x:v>PASS</x:v>
      </x:c>
      <x:c r="O115" s="30" t="str">
        <x:f>IF(OR('Mission Worlds'!M19=0,Mechanisms!S14=0),"PASS","FAIL")</x:f>
        <x:v>PASS</x:v>
      </x:c>
      <x:c r="P115" s="30" t="str">
        <x:f>IF(OR('Mission Worlds'!N19=0,Mechanisms!T14=1),"PASS","FAIL")</x:f>
        <x:v>PASS</x:v>
      </x:c>
      <x:c r="Q115" s="30" t="str">
        <x:f>IF(Mechanisms!U14&lt;='Mission Worlds'!O19,"PASS","FAIL")</x:f>
        <x:v>FAIL</x:v>
      </x:c>
      <x:c r="R115" s="30" t="str">
        <x:f>IF(Mechanisms!V14&gt;='Mission Worlds'!P19,"PASS","FAIL")</x:f>
        <x:v>PASS</x:v>
      </x:c>
      <x:c r="S115" s="30" t="str">
        <x:f>IF(COUNTIF(E115:R115,"FAIL")=0,"PASS","FAIL")</x:f>
        <x:v>FAIL</x:v>
      </x:c>
      <x:c r="T115" s="30" t="str">
        <x:f>IF(AND(S115="PASS",Mechanisms!AB14=1),"PASS","FAIL")</x:f>
        <x:v>FAIL</x:v>
      </x:c>
      <x:c r="U115" s="30" t="str">
        <x:f>IF(AND(T115="PASS",'Mission Worlds'!Q19=0),"PASS","FAIL")</x:f>
        <x:v>FAIL</x:v>
      </x:c>
      <x:c r="V115" s="32" t="str">
        <x:f>'Mission Worlds'!R19</x:f>
        <x:v>standoff source remains</x:v>
      </x:c>
    </x:row>
    <x:row r="116">
      <x:c r="B116" s="30" t="str">
        <x:v>M7</x:v>
      </x:c>
      <x:c r="C116" s="30" t="str">
        <x:v>W14</x:v>
      </x:c>
      <x:c r="D116" s="50" t="n">
        <x:f>Mechanisms!AD14</x:f>
        <x:v>1</x:v>
      </x:c>
      <x:c r="E116" s="30" t="str">
        <x:f>'Payload Closure'!N13</x:f>
        <x:v>PASS</x:v>
      </x:c>
      <x:c r="F116" s="30" t="str">
        <x:f>IF(Mechanisms!J14&gt;='Mission Worlds'!D20,"PASS","FAIL")</x:f>
        <x:v>PASS</x:v>
      </x:c>
      <x:c r="G116" s="30" t="str">
        <x:f>IF(OR('Mission Worlds'!E20=0,Mechanisms!K14=1),"PASS","FAIL")</x:f>
        <x:v>PASS</x:v>
      </x:c>
      <x:c r="H116" s="30" t="str">
        <x:f>IF(OR('Mission Worlds'!F20=0,Mechanisms!L14=0),"PASS","FAIL")</x:f>
        <x:v>PASS</x:v>
      </x:c>
      <x:c r="I116" s="30" t="str">
        <x:f>IF(OR('Mission Worlds'!G20=0,Mechanisms!M14=0),"PASS","FAIL")</x:f>
        <x:v>PASS</x:v>
      </x:c>
      <x:c r="J116" s="30" t="str">
        <x:f>IF(Mechanisms!N14&gt;='Mission Worlds'!H20,"PASS","FAIL")</x:f>
        <x:v>PASS</x:v>
      </x:c>
      <x:c r="K116" s="30" t="str">
        <x:f>IF(Mechanisms!O14&gt;='Mission Worlds'!I20,"PASS","FAIL")</x:f>
        <x:v>FAIL</x:v>
      </x:c>
      <x:c r="L116" s="30" t="str">
        <x:f>IF(Mechanisms!P14&lt;='Mission Worlds'!J20,"PASS","FAIL")</x:f>
        <x:v>PASS</x:v>
      </x:c>
      <x:c r="M116" s="30" t="str">
        <x:f>IF(OR('Mission Worlds'!K20=0,Mechanisms!Q14=1),"PASS","FAIL")</x:f>
        <x:v>PASS</x:v>
      </x:c>
      <x:c r="N116" s="30" t="str">
        <x:f>IF(OR('Mission Worlds'!L20=0,Mechanisms!R14=0),"PASS","FAIL")</x:f>
        <x:v>PASS</x:v>
      </x:c>
      <x:c r="O116" s="30" t="str">
        <x:f>IF(OR('Mission Worlds'!M20=0,Mechanisms!S14=0),"PASS","FAIL")</x:f>
        <x:v>PASS</x:v>
      </x:c>
      <x:c r="P116" s="30" t="str">
        <x:f>IF(OR('Mission Worlds'!N20=0,Mechanisms!T14=1),"PASS","FAIL")</x:f>
        <x:v>PASS</x:v>
      </x:c>
      <x:c r="Q116" s="30" t="str">
        <x:f>IF(Mechanisms!U14&lt;='Mission Worlds'!O20,"PASS","FAIL")</x:f>
        <x:v>FAIL</x:v>
      </x:c>
      <x:c r="R116" s="30" t="str">
        <x:f>IF(Mechanisms!V14&gt;='Mission Worlds'!P20,"PASS","FAIL")</x:f>
        <x:v>PASS</x:v>
      </x:c>
      <x:c r="S116" s="30" t="str">
        <x:f>IF(COUNTIF(E116:R116,"FAIL")=0,"PASS","FAIL")</x:f>
        <x:v>FAIL</x:v>
      </x:c>
      <x:c r="T116" s="30" t="str">
        <x:f>IF(AND(S116="PASS",Mechanisms!AB14=1),"PASS","FAIL")</x:f>
        <x:v>FAIL</x:v>
      </x:c>
      <x:c r="U116" s="30" t="str">
        <x:f>IF(AND(T116="PASS",'Mission Worlds'!Q20=0),"PASS","FAIL")</x:f>
        <x:v>FAIL</x:v>
      </x:c>
      <x:c r="V116" s="32" t="str">
        <x:f>'Mission Worlds'!R20</x:f>
        <x:v>conversion can substitute for carriage</x:v>
      </x:c>
    </x:row>
    <x:row r="117">
      <x:c r="B117" s="30" t="str">
        <x:v>M7</x:v>
      </x:c>
      <x:c r="C117" s="30" t="str">
        <x:v>W15</x:v>
      </x:c>
      <x:c r="D117" s="50" t="n">
        <x:f>Mechanisms!AD14</x:f>
        <x:v>1</x:v>
      </x:c>
      <x:c r="E117" s="30" t="str">
        <x:f>'Payload Closure'!N13</x:f>
        <x:v>PASS</x:v>
      </x:c>
      <x:c r="F117" s="30" t="str">
        <x:f>IF(Mechanisms!J14&gt;='Mission Worlds'!D21,"PASS","FAIL")</x:f>
        <x:v>PASS</x:v>
      </x:c>
      <x:c r="G117" s="30" t="str">
        <x:f>IF(OR('Mission Worlds'!E21=0,Mechanisms!K14=1),"PASS","FAIL")</x:f>
        <x:v>PASS</x:v>
      </x:c>
      <x:c r="H117" s="30" t="str">
        <x:f>IF(OR('Mission Worlds'!F21=0,Mechanisms!L14=0),"PASS","FAIL")</x:f>
        <x:v>PASS</x:v>
      </x:c>
      <x:c r="I117" s="30" t="str">
        <x:f>IF(OR('Mission Worlds'!G21=0,Mechanisms!M14=0),"PASS","FAIL")</x:f>
        <x:v>PASS</x:v>
      </x:c>
      <x:c r="J117" s="30" t="str">
        <x:f>IF(Mechanisms!N14&gt;='Mission Worlds'!H21,"PASS","FAIL")</x:f>
        <x:v>PASS</x:v>
      </x:c>
      <x:c r="K117" s="30" t="str">
        <x:f>IF(Mechanisms!O14&gt;='Mission Worlds'!I21,"PASS","FAIL")</x:f>
        <x:v>FAIL</x:v>
      </x:c>
      <x:c r="L117" s="30" t="str">
        <x:f>IF(Mechanisms!P14&lt;='Mission Worlds'!J21,"PASS","FAIL")</x:f>
        <x:v>PASS</x:v>
      </x:c>
      <x:c r="M117" s="30" t="str">
        <x:f>IF(OR('Mission Worlds'!K21=0,Mechanisms!Q14=1),"PASS","FAIL")</x:f>
        <x:v>PASS</x:v>
      </x:c>
      <x:c r="N117" s="30" t="str">
        <x:f>IF(OR('Mission Worlds'!L21=0,Mechanisms!R14=0),"PASS","FAIL")</x:f>
        <x:v>PASS</x:v>
      </x:c>
      <x:c r="O117" s="30" t="str">
        <x:f>IF(OR('Mission Worlds'!M21=0,Mechanisms!S14=0),"PASS","FAIL")</x:f>
        <x:v>PASS</x:v>
      </x:c>
      <x:c r="P117" s="30" t="str">
        <x:f>IF(OR('Mission Worlds'!N21=0,Mechanisms!T14=1),"PASS","FAIL")</x:f>
        <x:v>PASS</x:v>
      </x:c>
      <x:c r="Q117" s="30" t="str">
        <x:f>IF(Mechanisms!U14&lt;='Mission Worlds'!O21,"PASS","FAIL")</x:f>
        <x:v>FAIL</x:v>
      </x:c>
      <x:c r="R117" s="30" t="str">
        <x:f>IF(Mechanisms!V14&gt;='Mission Worlds'!P21,"PASS","FAIL")</x:f>
        <x:v>FAIL</x:v>
      </x:c>
      <x:c r="S117" s="30" t="str">
        <x:f>IF(COUNTIF(E117:R117,"FAIL")=0,"PASS","FAIL")</x:f>
        <x:v>FAIL</x:v>
      </x:c>
      <x:c r="T117" s="30" t="str">
        <x:f>IF(AND(S117="PASS",Mechanisms!AB14=1),"PASS","FAIL")</x:f>
        <x:v>FAIL</x:v>
      </x:c>
      <x:c r="U117" s="30" t="str">
        <x:f>IF(AND(T117="PASS",'Mission Worlds'!Q21=0),"PASS","FAIL")</x:f>
        <x:v>FAIL</x:v>
      </x:c>
      <x:c r="V117" s="32" t="str">
        <x:f>'Mission Worlds'!R21</x:f>
        <x:v>one national set cannot double count</x:v>
      </x:c>
    </x:row>
    <x:row r="118">
      <x:c r="B118" s="30" t="str">
        <x:v>M7</x:v>
      </x:c>
      <x:c r="C118" s="30" t="str">
        <x:v>W16</x:v>
      </x:c>
      <x:c r="D118" s="50" t="n">
        <x:f>Mechanisms!AD14</x:f>
        <x:v>1</x:v>
      </x:c>
      <x:c r="E118" s="30" t="str">
        <x:f>'Payload Closure'!N13</x:f>
        <x:v>PASS</x:v>
      </x:c>
      <x:c r="F118" s="30" t="str">
        <x:f>IF(Mechanisms!J14&gt;='Mission Worlds'!D22,"PASS","FAIL")</x:f>
        <x:v>PASS</x:v>
      </x:c>
      <x:c r="G118" s="30" t="str">
        <x:f>IF(OR('Mission Worlds'!E22=0,Mechanisms!K14=1),"PASS","FAIL")</x:f>
        <x:v>PASS</x:v>
      </x:c>
      <x:c r="H118" s="30" t="str">
        <x:f>IF(OR('Mission Worlds'!F22=0,Mechanisms!L14=0),"PASS","FAIL")</x:f>
        <x:v>PASS</x:v>
      </x:c>
      <x:c r="I118" s="30" t="str">
        <x:f>IF(OR('Mission Worlds'!G22=0,Mechanisms!M14=0),"PASS","FAIL")</x:f>
        <x:v>PASS</x:v>
      </x:c>
      <x:c r="J118" s="30" t="str">
        <x:f>IF(Mechanisms!N14&gt;='Mission Worlds'!H22,"PASS","FAIL")</x:f>
        <x:v>PASS</x:v>
      </x:c>
      <x:c r="K118" s="30" t="str">
        <x:f>IF(Mechanisms!O14&gt;='Mission Worlds'!I22,"PASS","FAIL")</x:f>
        <x:v>PASS</x:v>
      </x:c>
      <x:c r="L118" s="30" t="str">
        <x:f>IF(Mechanisms!P14&lt;='Mission Worlds'!J22,"PASS","FAIL")</x:f>
        <x:v>PASS</x:v>
      </x:c>
      <x:c r="M118" s="30" t="str">
        <x:f>IF(OR('Mission Worlds'!K22=0,Mechanisms!Q14=1),"PASS","FAIL")</x:f>
        <x:v>PASS</x:v>
      </x:c>
      <x:c r="N118" s="30" t="str">
        <x:f>IF(OR('Mission Worlds'!L22=0,Mechanisms!R14=0),"PASS","FAIL")</x:f>
        <x:v>PASS</x:v>
      </x:c>
      <x:c r="O118" s="30" t="str">
        <x:f>IF(OR('Mission Worlds'!M22=0,Mechanisms!S14=0),"PASS","FAIL")</x:f>
        <x:v>PASS</x:v>
      </x:c>
      <x:c r="P118" s="30" t="str">
        <x:f>IF(OR('Mission Worlds'!N22=0,Mechanisms!T14=1),"PASS","FAIL")</x:f>
        <x:v>PASS</x:v>
      </x:c>
      <x:c r="Q118" s="30" t="str">
        <x:f>IF(Mechanisms!U14&lt;='Mission Worlds'!O22,"PASS","FAIL")</x:f>
        <x:v>FAIL</x:v>
      </x:c>
      <x:c r="R118" s="30" t="str">
        <x:f>IF(Mechanisms!V14&gt;='Mission Worlds'!P22,"PASS","FAIL")</x:f>
        <x:v>PASS</x:v>
      </x:c>
      <x:c r="S118" s="30" t="str">
        <x:f>IF(COUNTIF(E118:R118,"FAIL")=0,"PASS","FAIL")</x:f>
        <x:v>FAIL</x:v>
      </x:c>
      <x:c r="T118" s="30" t="str">
        <x:f>IF(AND(S118="PASS",Mechanisms!AB14=1),"PASS","FAIL")</x:f>
        <x:v>FAIL</x:v>
      </x:c>
      <x:c r="U118" s="30" t="str">
        <x:f>IF(AND(T118="PASS",'Mission Worlds'!Q22=0),"PASS","FAIL")</x:f>
        <x:v>FAIL</x:v>
      </x:c>
      <x:c r="V118" s="32" t="str">
        <x:f>'Mission Worlds'!R22</x:f>
        <x:v>universal admission stop</x:v>
      </x:c>
    </x:row>
    <x:row r="119">
      <x:c r="B119" s="30" t="str">
        <x:v>M8</x:v>
      </x:c>
      <x:c r="C119" s="30" t="str">
        <x:v>W01</x:v>
      </x:c>
      <x:c r="D119" s="50" t="n">
        <x:f>Mechanisms!AD15</x:f>
        <x:v>1</x:v>
      </x:c>
      <x:c r="E119" s="30" t="str">
        <x:f>'Payload Closure'!N14</x:f>
        <x:v>PASS</x:v>
      </x:c>
      <x:c r="F119" s="30" t="str">
        <x:f>IF(Mechanisms!J15&gt;='Mission Worlds'!D7,"PASS","FAIL")</x:f>
        <x:v>FAIL</x:v>
      </x:c>
      <x:c r="G119" s="30" t="str">
        <x:f>IF(OR('Mission Worlds'!E7=0,Mechanisms!K15=1),"PASS","FAIL")</x:f>
        <x:v>PASS</x:v>
      </x:c>
      <x:c r="H119" s="30" t="str">
        <x:f>IF(OR('Mission Worlds'!F7=0,Mechanisms!L15=0),"PASS","FAIL")</x:f>
        <x:v>PASS</x:v>
      </x:c>
      <x:c r="I119" s="30" t="str">
        <x:f>IF(OR('Mission Worlds'!G7=0,Mechanisms!M15=0),"PASS","FAIL")</x:f>
        <x:v>PASS</x:v>
      </x:c>
      <x:c r="J119" s="30" t="str">
        <x:f>IF(Mechanisms!N15&gt;='Mission Worlds'!H7,"PASS","FAIL")</x:f>
        <x:v>PASS</x:v>
      </x:c>
      <x:c r="K119" s="30" t="str">
        <x:f>IF(Mechanisms!O15&gt;='Mission Worlds'!I7,"PASS","FAIL")</x:f>
        <x:v>PASS</x:v>
      </x:c>
      <x:c r="L119" s="30" t="str">
        <x:f>IF(Mechanisms!P15&lt;='Mission Worlds'!J7,"PASS","FAIL")</x:f>
        <x:v>PASS</x:v>
      </x:c>
      <x:c r="M119" s="30" t="str">
        <x:f>IF(OR('Mission Worlds'!K7=0,Mechanisms!Q15=1),"PASS","FAIL")</x:f>
        <x:v>PASS</x:v>
      </x:c>
      <x:c r="N119" s="30" t="str">
        <x:f>IF(OR('Mission Worlds'!L7=0,Mechanisms!R15=0),"PASS","FAIL")</x:f>
        <x:v>PASS</x:v>
      </x:c>
      <x:c r="O119" s="30" t="str">
        <x:f>IF(OR('Mission Worlds'!M7=0,Mechanisms!S15=0),"PASS","FAIL")</x:f>
        <x:v>PASS</x:v>
      </x:c>
      <x:c r="P119" s="30" t="str">
        <x:f>IF(OR('Mission Worlds'!N7=0,Mechanisms!T15=1),"PASS","FAIL")</x:f>
        <x:v>PASS</x:v>
      </x:c>
      <x:c r="Q119" s="30" t="str">
        <x:f>IF(Mechanisms!U15&lt;='Mission Worlds'!O7,"PASS","FAIL")</x:f>
        <x:v>PASS</x:v>
      </x:c>
      <x:c r="R119" s="30" t="str">
        <x:f>IF(Mechanisms!V15&gt;='Mission Worlds'!P7,"PASS","FAIL")</x:f>
        <x:v>PASS</x:v>
      </x:c>
      <x:c r="S119" s="30" t="str">
        <x:f>IF(COUNTIF(E119:R119,"FAIL")=0,"PASS","FAIL")</x:f>
        <x:v>FAIL</x:v>
      </x:c>
      <x:c r="T119" s="30" t="str">
        <x:f>IF(AND(S119="PASS",Mechanisms!AB15=1),"PASS","FAIL")</x:f>
        <x:v>FAIL</x:v>
      </x:c>
      <x:c r="U119" s="30" t="str">
        <x:f>IF(AND(T119="PASS",'Mission Worlds'!Q7=0),"PASS","FAIL")</x:f>
        <x:v>FAIL</x:v>
      </x:c>
      <x:c r="V119" s="32" t="str">
        <x:f>'Mission Worlds'!R7</x:f>
        <x:v>no inherited terminal</x:v>
      </x:c>
    </x:row>
    <x:row r="120">
      <x:c r="B120" s="30" t="str">
        <x:v>M8</x:v>
      </x:c>
      <x:c r="C120" s="30" t="str">
        <x:v>W02</x:v>
      </x:c>
      <x:c r="D120" s="50" t="n">
        <x:f>Mechanisms!AD15</x:f>
        <x:v>1</x:v>
      </x:c>
      <x:c r="E120" s="30" t="str">
        <x:f>'Payload Closure'!N14</x:f>
        <x:v>PASS</x:v>
      </x:c>
      <x:c r="F120" s="30" t="str">
        <x:f>IF(Mechanisms!J15&gt;='Mission Worlds'!D8,"PASS","FAIL")</x:f>
        <x:v>FAIL</x:v>
      </x:c>
      <x:c r="G120" s="30" t="str">
        <x:f>IF(OR('Mission Worlds'!E8=0,Mechanisms!K15=1),"PASS","FAIL")</x:f>
        <x:v>PASS</x:v>
      </x:c>
      <x:c r="H120" s="30" t="str">
        <x:f>IF(OR('Mission Worlds'!F8=0,Mechanisms!L15=0),"PASS","FAIL")</x:f>
        <x:v>PASS</x:v>
      </x:c>
      <x:c r="I120" s="30" t="str">
        <x:f>IF(OR('Mission Worlds'!G8=0,Mechanisms!M15=0),"PASS","FAIL")</x:f>
        <x:v>PASS</x:v>
      </x:c>
      <x:c r="J120" s="30" t="str">
        <x:f>IF(Mechanisms!N15&gt;='Mission Worlds'!H8,"PASS","FAIL")</x:f>
        <x:v>PASS</x:v>
      </x:c>
      <x:c r="K120" s="30" t="str">
        <x:f>IF(Mechanisms!O15&gt;='Mission Worlds'!I8,"PASS","FAIL")</x:f>
        <x:v>PASS</x:v>
      </x:c>
      <x:c r="L120" s="30" t="str">
        <x:f>IF(Mechanisms!P15&lt;='Mission Worlds'!J8,"PASS","FAIL")</x:f>
        <x:v>PASS</x:v>
      </x:c>
      <x:c r="M120" s="30" t="str">
        <x:f>IF(OR('Mission Worlds'!K8=0,Mechanisms!Q15=1),"PASS","FAIL")</x:f>
        <x:v>PASS</x:v>
      </x:c>
      <x:c r="N120" s="30" t="str">
        <x:f>IF(OR('Mission Worlds'!L8=0,Mechanisms!R15=0),"PASS","FAIL")</x:f>
        <x:v>PASS</x:v>
      </x:c>
      <x:c r="O120" s="30" t="str">
        <x:f>IF(OR('Mission Worlds'!M8=0,Mechanisms!S15=0),"PASS","FAIL")</x:f>
        <x:v>PASS</x:v>
      </x:c>
      <x:c r="P120" s="30" t="str">
        <x:f>IF(OR('Mission Worlds'!N8=0,Mechanisms!T15=1),"PASS","FAIL")</x:f>
        <x:v>PASS</x:v>
      </x:c>
      <x:c r="Q120" s="30" t="str">
        <x:f>IF(Mechanisms!U15&lt;='Mission Worlds'!O8,"PASS","FAIL")</x:f>
        <x:v>PASS</x:v>
      </x:c>
      <x:c r="R120" s="30" t="str">
        <x:f>IF(Mechanisms!V15&gt;='Mission Worlds'!P8,"PASS","FAIL")</x:f>
        <x:v>PASS</x:v>
      </x:c>
      <x:c r="S120" s="30" t="str">
        <x:f>IF(COUNTIF(E120:R120,"FAIL")=0,"PASS","FAIL")</x:f>
        <x:v>FAIL</x:v>
      </x:c>
      <x:c r="T120" s="30" t="str">
        <x:f>IF(AND(S120="PASS",Mechanisms!AB15=1),"PASS","FAIL")</x:f>
        <x:v>FAIL</x:v>
      </x:c>
      <x:c r="U120" s="30" t="str">
        <x:f>IF(AND(T120="PASS",'Mission Worlds'!Q8=0),"PASS","FAIL")</x:f>
        <x:v>FAIL</x:v>
      </x:c>
      <x:c r="V120" s="32" t="str">
        <x:f>'Mission Worlds'!R8</x:f>
        <x:v>water approach remains</x:v>
      </x:c>
    </x:row>
    <x:row r="121">
      <x:c r="B121" s="30" t="str">
        <x:v>M8</x:v>
      </x:c>
      <x:c r="C121" s="30" t="str">
        <x:v>W03</x:v>
      </x:c>
      <x:c r="D121" s="50" t="n">
        <x:f>Mechanisms!AD15</x:f>
        <x:v>1</x:v>
      </x:c>
      <x:c r="E121" s="30" t="str">
        <x:f>'Payload Closure'!N14</x:f>
        <x:v>PASS</x:v>
      </x:c>
      <x:c r="F121" s="30" t="str">
        <x:f>IF(Mechanisms!J15&gt;='Mission Worlds'!D9,"PASS","FAIL")</x:f>
        <x:v>PASS</x:v>
      </x:c>
      <x:c r="G121" s="30" t="str">
        <x:f>IF(OR('Mission Worlds'!E9=0,Mechanisms!K15=1),"PASS","FAIL")</x:f>
        <x:v>PASS</x:v>
      </x:c>
      <x:c r="H121" s="30" t="str">
        <x:f>IF(OR('Mission Worlds'!F9=0,Mechanisms!L15=0),"PASS","FAIL")</x:f>
        <x:v>PASS</x:v>
      </x:c>
      <x:c r="I121" s="30" t="str">
        <x:f>IF(OR('Mission Worlds'!G9=0,Mechanisms!M15=0),"PASS","FAIL")</x:f>
        <x:v>PASS</x:v>
      </x:c>
      <x:c r="J121" s="30" t="str">
        <x:f>IF(Mechanisms!N15&gt;='Mission Worlds'!H9,"PASS","FAIL")</x:f>
        <x:v>PASS</x:v>
      </x:c>
      <x:c r="K121" s="30" t="str">
        <x:f>IF(Mechanisms!O15&gt;='Mission Worlds'!I9,"PASS","FAIL")</x:f>
        <x:v>PASS</x:v>
      </x:c>
      <x:c r="L121" s="30" t="str">
        <x:f>IF(Mechanisms!P15&lt;='Mission Worlds'!J9,"PASS","FAIL")</x:f>
        <x:v>PASS</x:v>
      </x:c>
      <x:c r="M121" s="30" t="str">
        <x:f>IF(OR('Mission Worlds'!K9=0,Mechanisms!Q15=1),"PASS","FAIL")</x:f>
        <x:v>PASS</x:v>
      </x:c>
      <x:c r="N121" s="30" t="str">
        <x:f>IF(OR('Mission Worlds'!L9=0,Mechanisms!R15=0),"PASS","FAIL")</x:f>
        <x:v>PASS</x:v>
      </x:c>
      <x:c r="O121" s="30" t="str">
        <x:f>IF(OR('Mission Worlds'!M9=0,Mechanisms!S15=0),"PASS","FAIL")</x:f>
        <x:v>PASS</x:v>
      </x:c>
      <x:c r="P121" s="30" t="str">
        <x:f>IF(OR('Mission Worlds'!N9=0,Mechanisms!T15=1),"PASS","FAIL")</x:f>
        <x:v>PASS</x:v>
      </x:c>
      <x:c r="Q121" s="30" t="str">
        <x:f>IF(Mechanisms!U15&lt;='Mission Worlds'!O9,"PASS","FAIL")</x:f>
        <x:v>PASS</x:v>
      </x:c>
      <x:c r="R121" s="30" t="str">
        <x:f>IF(Mechanisms!V15&gt;='Mission Worlds'!P9,"PASS","FAIL")</x:f>
        <x:v>PASS</x:v>
      </x:c>
      <x:c r="S121" s="30" t="str">
        <x:f>IF(COUNTIF(E121:R121,"FAIL")=0,"PASS","FAIL")</x:f>
        <x:v>PASS</x:v>
      </x:c>
      <x:c r="T121" s="30" t="str">
        <x:f>IF(AND(S121="PASS",Mechanisms!AB15=1),"PASS","FAIL")</x:f>
        <x:v>FAIL</x:v>
      </x:c>
      <x:c r="U121" s="30" t="str">
        <x:f>IF(AND(T121="PASS",'Mission Worlds'!Q9=0),"PASS","FAIL")</x:f>
        <x:v>FAIL</x:v>
      </x:c>
      <x:c r="V121" s="32" t="str">
        <x:f>'Mission Worlds'!R9</x:f>
        <x:v>nearby source may survive</x:v>
      </x:c>
    </x:row>
    <x:row r="122">
      <x:c r="B122" s="30" t="str">
        <x:v>M8</x:v>
      </x:c>
      <x:c r="C122" s="30" t="str">
        <x:v>W04</x:v>
      </x:c>
      <x:c r="D122" s="50" t="n">
        <x:f>Mechanisms!AD15</x:f>
        <x:v>1</x:v>
      </x:c>
      <x:c r="E122" s="30" t="str">
        <x:f>'Payload Closure'!N14</x:f>
        <x:v>PASS</x:v>
      </x:c>
      <x:c r="F122" s="30" t="str">
        <x:f>IF(Mechanisms!J15&gt;='Mission Worlds'!D10,"PASS","FAIL")</x:f>
        <x:v>PASS</x:v>
      </x:c>
      <x:c r="G122" s="30" t="str">
        <x:f>IF(OR('Mission Worlds'!E10=0,Mechanisms!K15=1),"PASS","FAIL")</x:f>
        <x:v>PASS</x:v>
      </x:c>
      <x:c r="H122" s="30" t="str">
        <x:f>IF(OR('Mission Worlds'!F10=0,Mechanisms!L15=0),"PASS","FAIL")</x:f>
        <x:v>PASS</x:v>
      </x:c>
      <x:c r="I122" s="30" t="str">
        <x:f>IF(OR('Mission Worlds'!G10=0,Mechanisms!M15=0),"PASS","FAIL")</x:f>
        <x:v>PASS</x:v>
      </x:c>
      <x:c r="J122" s="30" t="str">
        <x:f>IF(Mechanisms!N15&gt;='Mission Worlds'!H10,"PASS","FAIL")</x:f>
        <x:v>PASS</x:v>
      </x:c>
      <x:c r="K122" s="30" t="str">
        <x:f>IF(Mechanisms!O15&gt;='Mission Worlds'!I10,"PASS","FAIL")</x:f>
        <x:v>PASS</x:v>
      </x:c>
      <x:c r="L122" s="30" t="str">
        <x:f>IF(Mechanisms!P15&lt;='Mission Worlds'!J10,"PASS","FAIL")</x:f>
        <x:v>PASS</x:v>
      </x:c>
      <x:c r="M122" s="30" t="str">
        <x:f>IF(OR('Mission Worlds'!K10=0,Mechanisms!Q15=1),"PASS","FAIL")</x:f>
        <x:v>PASS</x:v>
      </x:c>
      <x:c r="N122" s="30" t="str">
        <x:f>IF(OR('Mission Worlds'!L10=0,Mechanisms!R15=0),"PASS","FAIL")</x:f>
        <x:v>PASS</x:v>
      </x:c>
      <x:c r="O122" s="30" t="str">
        <x:f>IF(OR('Mission Worlds'!M10=0,Mechanisms!S15=0),"PASS","FAIL")</x:f>
        <x:v>PASS</x:v>
      </x:c>
      <x:c r="P122" s="30" t="str">
        <x:f>IF(OR('Mission Worlds'!N10=0,Mechanisms!T15=1),"PASS","FAIL")</x:f>
        <x:v>PASS</x:v>
      </x:c>
      <x:c r="Q122" s="30" t="str">
        <x:f>IF(Mechanisms!U15&lt;='Mission Worlds'!O10,"PASS","FAIL")</x:f>
        <x:v>PASS</x:v>
      </x:c>
      <x:c r="R122" s="30" t="str">
        <x:f>IF(Mechanisms!V15&gt;='Mission Worlds'!P10,"PASS","FAIL")</x:f>
        <x:v>PASS</x:v>
      </x:c>
      <x:c r="S122" s="30" t="str">
        <x:f>IF(COUNTIF(E122:R122,"FAIL")=0,"PASS","FAIL")</x:f>
        <x:v>PASS</x:v>
      </x:c>
      <x:c r="T122" s="30" t="str">
        <x:f>IF(AND(S122="PASS",Mechanisms!AB15=1),"PASS","FAIL")</x:f>
        <x:v>FAIL</x:v>
      </x:c>
      <x:c r="U122" s="30" t="str">
        <x:f>IF(AND(T122="PASS",'Mission Worlds'!Q10=0),"PASS","FAIL")</x:f>
        <x:v>FAIL</x:v>
      </x:c>
      <x:c r="V122" s="32" t="str">
        <x:f>'Mission Worlds'!R10</x:f>
        <x:v>all legacy surface paths lost</x:v>
      </x:c>
    </x:row>
    <x:row r="123">
      <x:c r="B123" s="30" t="str">
        <x:v>M8</x:v>
      </x:c>
      <x:c r="C123" s="30" t="str">
        <x:v>W05</x:v>
      </x:c>
      <x:c r="D123" s="50" t="n">
        <x:f>Mechanisms!AD15</x:f>
        <x:v>1</x:v>
      </x:c>
      <x:c r="E123" s="30" t="str">
        <x:f>'Payload Closure'!N14</x:f>
        <x:v>PASS</x:v>
      </x:c>
      <x:c r="F123" s="30" t="str">
        <x:f>IF(Mechanisms!J15&gt;='Mission Worlds'!D11,"PASS","FAIL")</x:f>
        <x:v>PASS</x:v>
      </x:c>
      <x:c r="G123" s="30" t="str">
        <x:f>IF(OR('Mission Worlds'!E11=0,Mechanisms!K15=1),"PASS","FAIL")</x:f>
        <x:v>PASS</x:v>
      </x:c>
      <x:c r="H123" s="30" t="str">
        <x:f>IF(OR('Mission Worlds'!F11=0,Mechanisms!L15=0),"PASS","FAIL")</x:f>
        <x:v>PASS</x:v>
      </x:c>
      <x:c r="I123" s="30" t="str">
        <x:f>IF(OR('Mission Worlds'!G11=0,Mechanisms!M15=0),"PASS","FAIL")</x:f>
        <x:v>PASS</x:v>
      </x:c>
      <x:c r="J123" s="30" t="str">
        <x:f>IF(Mechanisms!N15&gt;='Mission Worlds'!H11,"PASS","FAIL")</x:f>
        <x:v>FAIL</x:v>
      </x:c>
      <x:c r="K123" s="30" t="str">
        <x:f>IF(Mechanisms!O15&gt;='Mission Worlds'!I11,"PASS","FAIL")</x:f>
        <x:v>PASS</x:v>
      </x:c>
      <x:c r="L123" s="30" t="str">
        <x:f>IF(Mechanisms!P15&lt;='Mission Worlds'!J11,"PASS","FAIL")</x:f>
        <x:v>PASS</x:v>
      </x:c>
      <x:c r="M123" s="30" t="str">
        <x:f>IF(OR('Mission Worlds'!K11=0,Mechanisms!Q15=1),"PASS","FAIL")</x:f>
        <x:v>PASS</x:v>
      </x:c>
      <x:c r="N123" s="30" t="str">
        <x:f>IF(OR('Mission Worlds'!L11=0,Mechanisms!R15=0),"PASS","FAIL")</x:f>
        <x:v>PASS</x:v>
      </x:c>
      <x:c r="O123" s="30" t="str">
        <x:f>IF(OR('Mission Worlds'!M11=0,Mechanisms!S15=0),"PASS","FAIL")</x:f>
        <x:v>PASS</x:v>
      </x:c>
      <x:c r="P123" s="30" t="str">
        <x:f>IF(OR('Mission Worlds'!N11=0,Mechanisms!T15=1),"PASS","FAIL")</x:f>
        <x:v>PASS</x:v>
      </x:c>
      <x:c r="Q123" s="30" t="str">
        <x:f>IF(Mechanisms!U15&lt;='Mission Worlds'!O11,"PASS","FAIL")</x:f>
        <x:v>PASS</x:v>
      </x:c>
      <x:c r="R123" s="30" t="str">
        <x:f>IF(Mechanisms!V15&gt;='Mission Worlds'!P11,"PASS","FAIL")</x:f>
        <x:v>PASS</x:v>
      </x:c>
      <x:c r="S123" s="30" t="str">
        <x:f>IF(COUNTIF(E123:R123,"FAIL")=0,"PASS","FAIL")</x:f>
        <x:v>FAIL</x:v>
      </x:c>
      <x:c r="T123" s="30" t="str">
        <x:f>IF(AND(S123="PASS",Mechanisms!AB15=1),"PASS","FAIL")</x:f>
        <x:v>FAIL</x:v>
      </x:c>
      <x:c r="U123" s="30" t="str">
        <x:f>IF(AND(T123="PASS",'Mission Worlds'!Q11=0),"PASS","FAIL")</x:f>
        <x:v>FAIL</x:v>
      </x:c>
      <x:c r="V123" s="32" t="str">
        <x:f>'Mission Worlds'!R11</x:f>
        <x:v>steep receiving terrain</x:v>
      </x:c>
    </x:row>
    <x:row r="124">
      <x:c r="B124" s="30" t="str">
        <x:v>M8</x:v>
      </x:c>
      <x:c r="C124" s="30" t="str">
        <x:v>W06</x:v>
      </x:c>
      <x:c r="D124" s="50" t="n">
        <x:f>Mechanisms!AD15</x:f>
        <x:v>1</x:v>
      </x:c>
      <x:c r="E124" s="30" t="str">
        <x:f>'Payload Closure'!N14</x:f>
        <x:v>PASS</x:v>
      </x:c>
      <x:c r="F124" s="30" t="str">
        <x:f>IF(Mechanisms!J15&gt;='Mission Worlds'!D12,"PASS","FAIL")</x:f>
        <x:v>PASS</x:v>
      </x:c>
      <x:c r="G124" s="30" t="str">
        <x:f>IF(OR('Mission Worlds'!E12=0,Mechanisms!K15=1),"PASS","FAIL")</x:f>
        <x:v>PASS</x:v>
      </x:c>
      <x:c r="H124" s="30" t="str">
        <x:f>IF(OR('Mission Worlds'!F12=0,Mechanisms!L15=0),"PASS","FAIL")</x:f>
        <x:v>PASS</x:v>
      </x:c>
      <x:c r="I124" s="30" t="str">
        <x:f>IF(OR('Mission Worlds'!G12=0,Mechanisms!M15=0),"PASS","FAIL")</x:f>
        <x:v>PASS</x:v>
      </x:c>
      <x:c r="J124" s="30" t="str">
        <x:f>IF(Mechanisms!N15&gt;='Mission Worlds'!H12,"PASS","FAIL")</x:f>
        <x:v>PASS</x:v>
      </x:c>
      <x:c r="K124" s="30" t="str">
        <x:f>IF(Mechanisms!O15&gt;='Mission Worlds'!I12,"PASS","FAIL")</x:f>
        <x:v>FAIL</x:v>
      </x:c>
      <x:c r="L124" s="30" t="str">
        <x:f>IF(Mechanisms!P15&lt;='Mission Worlds'!J12,"PASS","FAIL")</x:f>
        <x:v>PASS</x:v>
      </x:c>
      <x:c r="M124" s="30" t="str">
        <x:f>IF(OR('Mission Worlds'!K12=0,Mechanisms!Q15=1),"PASS","FAIL")</x:f>
        <x:v>PASS</x:v>
      </x:c>
      <x:c r="N124" s="30" t="str">
        <x:f>IF(OR('Mission Worlds'!L12=0,Mechanisms!R15=0),"PASS","FAIL")</x:f>
        <x:v>PASS</x:v>
      </x:c>
      <x:c r="O124" s="30" t="str">
        <x:f>IF(OR('Mission Worlds'!M12=0,Mechanisms!S15=0),"PASS","FAIL")</x:f>
        <x:v>PASS</x:v>
      </x:c>
      <x:c r="P124" s="30" t="str">
        <x:f>IF(OR('Mission Worlds'!N12=0,Mechanisms!T15=1),"PASS","FAIL")</x:f>
        <x:v>PASS</x:v>
      </x:c>
      <x:c r="Q124" s="30" t="str">
        <x:f>IF(Mechanisms!U15&lt;='Mission Worlds'!O12,"PASS","FAIL")</x:f>
        <x:v>PASS</x:v>
      </x:c>
      <x:c r="R124" s="30" t="str">
        <x:f>IF(Mechanisms!V15&gt;='Mission Worlds'!P12,"PASS","FAIL")</x:f>
        <x:v>PASS</x:v>
      </x:c>
      <x:c r="S124" s="30" t="str">
        <x:f>IF(COUNTIF(E124:R124,"FAIL")=0,"PASS","FAIL")</x:f>
        <x:v>FAIL</x:v>
      </x:c>
      <x:c r="T124" s="30" t="str">
        <x:f>IF(AND(S124="PASS",Mechanisms!AB15=1),"PASS","FAIL")</x:f>
        <x:v>FAIL</x:v>
      </x:c>
      <x:c r="U124" s="30" t="str">
        <x:f>IF(AND(T124="PASS",'Mission Worlds'!Q12=0),"PASS","FAIL")</x:f>
        <x:v>FAIL</x:v>
      </x:c>
      <x:c r="V124" s="32" t="str">
        <x:f>'Mission Worlds'!R12</x:f>
        <x:v>high ambient and no local feed</x:v>
      </x:c>
    </x:row>
    <x:row r="125">
      <x:c r="B125" s="30" t="str">
        <x:v>M8</x:v>
      </x:c>
      <x:c r="C125" s="30" t="str">
        <x:v>W07</x:v>
      </x:c>
      <x:c r="D125" s="50" t="n">
        <x:f>Mechanisms!AD15</x:f>
        <x:v>1</x:v>
      </x:c>
      <x:c r="E125" s="30" t="str">
        <x:f>'Payload Closure'!N14</x:f>
        <x:v>PASS</x:v>
      </x:c>
      <x:c r="F125" s="30" t="str">
        <x:f>IF(Mechanisms!J15&gt;='Mission Worlds'!D13,"PASS","FAIL")</x:f>
        <x:v>PASS</x:v>
      </x:c>
      <x:c r="G125" s="30" t="str">
        <x:f>IF(OR('Mission Worlds'!E13=0,Mechanisms!K15=1),"PASS","FAIL")</x:f>
        <x:v>PASS</x:v>
      </x:c>
      <x:c r="H125" s="30" t="str">
        <x:f>IF(OR('Mission Worlds'!F13=0,Mechanisms!L15=0),"PASS","FAIL")</x:f>
        <x:v>PASS</x:v>
      </x:c>
      <x:c r="I125" s="30" t="str">
        <x:f>IF(OR('Mission Worlds'!G13=0,Mechanisms!M15=0),"PASS","FAIL")</x:f>
        <x:v>PASS</x:v>
      </x:c>
      <x:c r="J125" s="30" t="str">
        <x:f>IF(Mechanisms!N15&gt;='Mission Worlds'!H13,"PASS","FAIL")</x:f>
        <x:v>PASS</x:v>
      </x:c>
      <x:c r="K125" s="30" t="str">
        <x:f>IF(Mechanisms!O15&gt;='Mission Worlds'!I13,"PASS","FAIL")</x:f>
        <x:v>PASS</x:v>
      </x:c>
      <x:c r="L125" s="30" t="str">
        <x:f>IF(Mechanisms!P15&lt;='Mission Worlds'!J13,"PASS","FAIL")</x:f>
        <x:v>PASS</x:v>
      </x:c>
      <x:c r="M125" s="30" t="str">
        <x:f>IF(OR('Mission Worlds'!K13=0,Mechanisms!Q15=1),"PASS","FAIL")</x:f>
        <x:v>PASS</x:v>
      </x:c>
      <x:c r="N125" s="30" t="str">
        <x:f>IF(OR('Mission Worlds'!L13=0,Mechanisms!R15=0),"PASS","FAIL")</x:f>
        <x:v>PASS</x:v>
      </x:c>
      <x:c r="O125" s="30" t="str">
        <x:f>IF(OR('Mission Worlds'!M13=0,Mechanisms!S15=0),"PASS","FAIL")</x:f>
        <x:v>PASS</x:v>
      </x:c>
      <x:c r="P125" s="30" t="str">
        <x:f>IF(OR('Mission Worlds'!N13=0,Mechanisms!T15=1),"PASS","FAIL")</x:f>
        <x:v>PASS</x:v>
      </x:c>
      <x:c r="Q125" s="30" t="str">
        <x:f>IF(Mechanisms!U15&lt;='Mission Worlds'!O13,"PASS","FAIL")</x:f>
        <x:v>PASS</x:v>
      </x:c>
      <x:c r="R125" s="30" t="str">
        <x:f>IF(Mechanisms!V15&gt;='Mission Worlds'!P13,"PASS","FAIL")</x:f>
        <x:v>PASS</x:v>
      </x:c>
      <x:c r="S125" s="30" t="str">
        <x:f>IF(COUNTIF(E125:R125,"FAIL")=0,"PASS","FAIL")</x:f>
        <x:v>PASS</x:v>
      </x:c>
      <x:c r="T125" s="30" t="str">
        <x:f>IF(AND(S125="PASS",Mechanisms!AB15=1),"PASS","FAIL")</x:f>
        <x:v>FAIL</x:v>
      </x:c>
      <x:c r="U125" s="30" t="str">
        <x:f>IF(AND(T125="PASS",'Mission Worlds'!Q13=0),"PASS","FAIL")</x:f>
        <x:v>FAIL</x:v>
      </x:c>
      <x:c r="V125" s="32" t="str">
        <x:f>'Mission Worlds'!R13</x:f>
        <x:v>surface-water approach denied</x:v>
      </x:c>
    </x:row>
    <x:row r="126">
      <x:c r="B126" s="30" t="str">
        <x:v>M8</x:v>
      </x:c>
      <x:c r="C126" s="30" t="str">
        <x:v>W08</x:v>
      </x:c>
      <x:c r="D126" s="50" t="n">
        <x:f>Mechanisms!AD15</x:f>
        <x:v>1</x:v>
      </x:c>
      <x:c r="E126" s="30" t="str">
        <x:f>'Payload Closure'!N14</x:f>
        <x:v>PASS</x:v>
      </x:c>
      <x:c r="F126" s="30" t="str">
        <x:f>IF(Mechanisms!J15&gt;='Mission Worlds'!D14,"PASS","FAIL")</x:f>
        <x:v>FAIL</x:v>
      </x:c>
      <x:c r="G126" s="30" t="str">
        <x:f>IF(OR('Mission Worlds'!E14=0,Mechanisms!K15=1),"PASS","FAIL")</x:f>
        <x:v>PASS</x:v>
      </x:c>
      <x:c r="H126" s="30" t="str">
        <x:f>IF(OR('Mission Worlds'!F14=0,Mechanisms!L15=0),"PASS","FAIL")</x:f>
        <x:v>PASS</x:v>
      </x:c>
      <x:c r="I126" s="30" t="str">
        <x:f>IF(OR('Mission Worlds'!G14=0,Mechanisms!M15=0),"PASS","FAIL")</x:f>
        <x:v>PASS</x:v>
      </x:c>
      <x:c r="J126" s="30" t="str">
        <x:f>IF(Mechanisms!N15&gt;='Mission Worlds'!H14,"PASS","FAIL")</x:f>
        <x:v>PASS</x:v>
      </x:c>
      <x:c r="K126" s="30" t="str">
        <x:f>IF(Mechanisms!O15&gt;='Mission Worlds'!I14,"PASS","FAIL")</x:f>
        <x:v>PASS</x:v>
      </x:c>
      <x:c r="L126" s="30" t="str">
        <x:f>IF(Mechanisms!P15&lt;='Mission Worlds'!J14,"PASS","FAIL")</x:f>
        <x:v>PASS</x:v>
      </x:c>
      <x:c r="M126" s="30" t="str">
        <x:f>IF(OR('Mission Worlds'!K14=0,Mechanisms!Q15=1),"PASS","FAIL")</x:f>
        <x:v>PASS</x:v>
      </x:c>
      <x:c r="N126" s="30" t="str">
        <x:f>IF(OR('Mission Worlds'!L14=0,Mechanisms!R15=0),"PASS","FAIL")</x:f>
        <x:v>PASS</x:v>
      </x:c>
      <x:c r="O126" s="30" t="str">
        <x:f>IF(OR('Mission Worlds'!M14=0,Mechanisms!S15=0),"PASS","FAIL")</x:f>
        <x:v>PASS</x:v>
      </x:c>
      <x:c r="P126" s="30" t="str">
        <x:f>IF(OR('Mission Worlds'!N14=0,Mechanisms!T15=1),"PASS","FAIL")</x:f>
        <x:v>PASS</x:v>
      </x:c>
      <x:c r="Q126" s="30" t="str">
        <x:f>IF(Mechanisms!U15&lt;='Mission Worlds'!O14,"PASS","FAIL")</x:f>
        <x:v>PASS</x:v>
      </x:c>
      <x:c r="R126" s="30" t="str">
        <x:f>IF(Mechanisms!V15&gt;='Mission Worlds'!P14,"PASS","FAIL")</x:f>
        <x:v>PASS</x:v>
      </x:c>
      <x:c r="S126" s="30" t="str">
        <x:f>IF(COUNTIF(E126:R126,"FAIL")=0,"PASS","FAIL")</x:f>
        <x:v>FAIL</x:v>
      </x:c>
      <x:c r="T126" s="30" t="str">
        <x:f>IF(AND(S126="PASS",Mechanisms!AB15=1),"PASS","FAIL")</x:f>
        <x:v>FAIL</x:v>
      </x:c>
      <x:c r="U126" s="30" t="str">
        <x:f>IF(AND(T126="PASS",'Mission Worlds'!Q14=0),"PASS","FAIL")</x:f>
        <x:v>FAIL</x:v>
      </x:c>
      <x:c r="V126" s="32" t="str">
        <x:f>'Mission Worlds'!R14</x:f>
        <x:v>long range and austere receiver</x:v>
      </x:c>
    </x:row>
    <x:row r="127">
      <x:c r="B127" s="30" t="str">
        <x:v>M8</x:v>
      </x:c>
      <x:c r="C127" s="30" t="str">
        <x:v>W09</x:v>
      </x:c>
      <x:c r="D127" s="50" t="n">
        <x:f>Mechanisms!AD15</x:f>
        <x:v>1</x:v>
      </x:c>
      <x:c r="E127" s="30" t="str">
        <x:f>'Payload Closure'!N14</x:f>
        <x:v>PASS</x:v>
      </x:c>
      <x:c r="F127" s="30" t="str">
        <x:f>IF(Mechanisms!J15&gt;='Mission Worlds'!D15,"PASS","FAIL")</x:f>
        <x:v>PASS</x:v>
      </x:c>
      <x:c r="G127" s="30" t="str">
        <x:f>IF(OR('Mission Worlds'!E15=0,Mechanisms!K15=1),"PASS","FAIL")</x:f>
        <x:v>PASS</x:v>
      </x:c>
      <x:c r="H127" s="30" t="str">
        <x:f>IF(OR('Mission Worlds'!F15=0,Mechanisms!L15=0),"PASS","FAIL")</x:f>
        <x:v>PASS</x:v>
      </x:c>
      <x:c r="I127" s="30" t="str">
        <x:f>IF(OR('Mission Worlds'!G15=0,Mechanisms!M15=0),"PASS","FAIL")</x:f>
        <x:v>PASS</x:v>
      </x:c>
      <x:c r="J127" s="30" t="str">
        <x:f>IF(Mechanisms!N15&gt;='Mission Worlds'!H15,"PASS","FAIL")</x:f>
        <x:v>FAIL</x:v>
      </x:c>
      <x:c r="K127" s="30" t="str">
        <x:f>IF(Mechanisms!O15&gt;='Mission Worlds'!I15,"PASS","FAIL")</x:f>
        <x:v>FAIL</x:v>
      </x:c>
      <x:c r="L127" s="30" t="str">
        <x:f>IF(Mechanisms!P15&lt;='Mission Worlds'!J15,"PASS","FAIL")</x:f>
        <x:v>FAIL</x:v>
      </x:c>
      <x:c r="M127" s="30" t="str">
        <x:f>IF(OR('Mission Worlds'!K15=0,Mechanisms!Q15=1),"PASS","FAIL")</x:f>
        <x:v>PASS</x:v>
      </x:c>
      <x:c r="N127" s="30" t="str">
        <x:f>IF(OR('Mission Worlds'!L15=0,Mechanisms!R15=0),"PASS","FAIL")</x:f>
        <x:v>PASS</x:v>
      </x:c>
      <x:c r="O127" s="30" t="str">
        <x:f>IF(OR('Mission Worlds'!M15=0,Mechanisms!S15=0),"PASS","FAIL")</x:f>
        <x:v>PASS</x:v>
      </x:c>
      <x:c r="P127" s="30" t="str">
        <x:f>IF(OR('Mission Worlds'!N15=0,Mechanisms!T15=1),"PASS","FAIL")</x:f>
        <x:v>PASS</x:v>
      </x:c>
      <x:c r="Q127" s="30" t="str">
        <x:f>IF(Mechanisms!U15&lt;='Mission Worlds'!O15,"PASS","FAIL")</x:f>
        <x:v>PASS</x:v>
      </x:c>
      <x:c r="R127" s="30" t="str">
        <x:f>IF(Mechanisms!V15&gt;='Mission Worlds'!P15,"PASS","FAIL")</x:f>
        <x:v>PASS</x:v>
      </x:c>
      <x:c r="S127" s="30" t="str">
        <x:f>IF(COUNTIF(E127:R127,"FAIL")=0,"PASS","FAIL")</x:f>
        <x:v>FAIL</x:v>
      </x:c>
      <x:c r="T127" s="30" t="str">
        <x:f>IF(AND(S127="PASS",Mechanisms!AB15=1),"PASS","FAIL")</x:f>
        <x:v>FAIL</x:v>
      </x:c>
      <x:c r="U127" s="30" t="str">
        <x:f>IF(AND(T127="PASS",'Mission Worlds'!Q15=0),"PASS","FAIL")</x:f>
        <x:v>FAIL</x:v>
      </x:c>
      <x:c r="V127" s="32" t="str">
        <x:f>'Mission Worlds'!R15</x:f>
        <x:v>smoke operations required</x:v>
      </x:c>
    </x:row>
    <x:row r="128">
      <x:c r="B128" s="30" t="str">
        <x:v>M8</x:v>
      </x:c>
      <x:c r="C128" s="30" t="str">
        <x:v>W10</x:v>
      </x:c>
      <x:c r="D128" s="50" t="n">
        <x:f>Mechanisms!AD15</x:f>
        <x:v>1</x:v>
      </x:c>
      <x:c r="E128" s="30" t="str">
        <x:f>'Payload Closure'!N14</x:f>
        <x:v>PASS</x:v>
      </x:c>
      <x:c r="F128" s="30" t="str">
        <x:f>IF(Mechanisms!J15&gt;='Mission Worlds'!D16,"PASS","FAIL")</x:f>
        <x:v>PASS</x:v>
      </x:c>
      <x:c r="G128" s="30" t="str">
        <x:f>IF(OR('Mission Worlds'!E16=0,Mechanisms!K15=1),"PASS","FAIL")</x:f>
        <x:v>PASS</x:v>
      </x:c>
      <x:c r="H128" s="30" t="str">
        <x:f>IF(OR('Mission Worlds'!F16=0,Mechanisms!L15=0),"PASS","FAIL")</x:f>
        <x:v>PASS</x:v>
      </x:c>
      <x:c r="I128" s="30" t="str">
        <x:f>IF(OR('Mission Worlds'!G16=0,Mechanisms!M15=0),"PASS","FAIL")</x:f>
        <x:v>PASS</x:v>
      </x:c>
      <x:c r="J128" s="30" t="str">
        <x:f>IF(Mechanisms!N15&gt;='Mission Worlds'!H16,"PASS","FAIL")</x:f>
        <x:v>PASS</x:v>
      </x:c>
      <x:c r="K128" s="30" t="str">
        <x:f>IF(Mechanisms!O15&gt;='Mission Worlds'!I16,"PASS","FAIL")</x:f>
        <x:v>PASS</x:v>
      </x:c>
      <x:c r="L128" s="30" t="str">
        <x:f>IF(Mechanisms!P15&lt;='Mission Worlds'!J16,"PASS","FAIL")</x:f>
        <x:v>PASS</x:v>
      </x:c>
      <x:c r="M128" s="30" t="str">
        <x:f>IF(OR('Mission Worlds'!K16=0,Mechanisms!Q15=1),"PASS","FAIL")</x:f>
        <x:v>PASS</x:v>
      </x:c>
      <x:c r="N128" s="30" t="str">
        <x:f>IF(OR('Mission Worlds'!L16=0,Mechanisms!R15=0),"PASS","FAIL")</x:f>
        <x:v>PASS</x:v>
      </x:c>
      <x:c r="O128" s="30" t="str">
        <x:f>IF(OR('Mission Worlds'!M16=0,Mechanisms!S15=0),"PASS","FAIL")</x:f>
        <x:v>PASS</x:v>
      </x:c>
      <x:c r="P128" s="30" t="str">
        <x:f>IF(OR('Mission Worlds'!N16=0,Mechanisms!T15=1),"PASS","FAIL")</x:f>
        <x:v>PASS</x:v>
      </x:c>
      <x:c r="Q128" s="30" t="str">
        <x:f>IF(Mechanisms!U15&lt;='Mission Worlds'!O16,"PASS","FAIL")</x:f>
        <x:v>PASS</x:v>
      </x:c>
      <x:c r="R128" s="30" t="str">
        <x:f>IF(Mechanisms!V15&gt;='Mission Worlds'!P16,"PASS","FAIL")</x:f>
        <x:v>PASS</x:v>
      </x:c>
      <x:c r="S128" s="30" t="str">
        <x:f>IF(COUNTIF(E128:R128,"FAIL")=0,"PASS","FAIL")</x:f>
        <x:v>PASS</x:v>
      </x:c>
      <x:c r="T128" s="30" t="str">
        <x:f>IF(AND(S128="PASS",Mechanisms!AB15=1),"PASS","FAIL")</x:f>
        <x:v>FAIL</x:v>
      </x:c>
      <x:c r="U128" s="30" t="str">
        <x:f>IF(AND(T128="PASS",'Mission Worlds'!Q16=0),"PASS","FAIL")</x:f>
        <x:v>FAIL</x:v>
      </x:c>
      <x:c r="V128" s="32" t="str">
        <x:f>'Mission Worlds'!R16</x:f>
        <x:v>small safe footprint</x:v>
      </x:c>
    </x:row>
    <x:row r="129">
      <x:c r="B129" s="30" t="str">
        <x:v>M8</x:v>
      </x:c>
      <x:c r="C129" s="30" t="str">
        <x:v>W11</x:v>
      </x:c>
      <x:c r="D129" s="50" t="n">
        <x:f>Mechanisms!AD15</x:f>
        <x:v>1</x:v>
      </x:c>
      <x:c r="E129" s="30" t="str">
        <x:f>'Payload Closure'!N14</x:f>
        <x:v>PASS</x:v>
      </x:c>
      <x:c r="F129" s="30" t="str">
        <x:f>IF(Mechanisms!J15&gt;='Mission Worlds'!D17,"PASS","FAIL")</x:f>
        <x:v>PASS</x:v>
      </x:c>
      <x:c r="G129" s="30" t="str">
        <x:f>IF(OR('Mission Worlds'!E17=0,Mechanisms!K15=1),"PASS","FAIL")</x:f>
        <x:v>PASS</x:v>
      </x:c>
      <x:c r="H129" s="30" t="str">
        <x:f>IF(OR('Mission Worlds'!F17=0,Mechanisms!L15=0),"PASS","FAIL")</x:f>
        <x:v>PASS</x:v>
      </x:c>
      <x:c r="I129" s="30" t="str">
        <x:f>IF(OR('Mission Worlds'!G17=0,Mechanisms!M15=0),"PASS","FAIL")</x:f>
        <x:v>PASS</x:v>
      </x:c>
      <x:c r="J129" s="30" t="str">
        <x:f>IF(Mechanisms!N15&gt;='Mission Worlds'!H17,"PASS","FAIL")</x:f>
        <x:v>PASS</x:v>
      </x:c>
      <x:c r="K129" s="30" t="str">
        <x:f>IF(Mechanisms!O15&gt;='Mission Worlds'!I17,"PASS","FAIL")</x:f>
        <x:v>FAIL</x:v>
      </x:c>
      <x:c r="L129" s="30" t="str">
        <x:f>IF(Mechanisms!P15&lt;='Mission Worlds'!J17,"PASS","FAIL")</x:f>
        <x:v>PASS</x:v>
      </x:c>
      <x:c r="M129" s="30" t="str">
        <x:f>IF(OR('Mission Worlds'!K17=0,Mechanisms!Q15=1),"PASS","FAIL")</x:f>
        <x:v>PASS</x:v>
      </x:c>
      <x:c r="N129" s="30" t="str">
        <x:f>IF(OR('Mission Worlds'!L17=0,Mechanisms!R15=0),"PASS","FAIL")</x:f>
        <x:v>PASS</x:v>
      </x:c>
      <x:c r="O129" s="30" t="str">
        <x:f>IF(OR('Mission Worlds'!M17=0,Mechanisms!S15=0),"PASS","FAIL")</x:f>
        <x:v>PASS</x:v>
      </x:c>
      <x:c r="P129" s="30" t="str">
        <x:f>IF(OR('Mission Worlds'!N17=0,Mechanisms!T15=1),"PASS","FAIL")</x:f>
        <x:v>PASS</x:v>
      </x:c>
      <x:c r="Q129" s="30" t="str">
        <x:f>IF(Mechanisms!U15&lt;='Mission Worlds'!O17,"PASS","FAIL")</x:f>
        <x:v>PASS</x:v>
      </x:c>
      <x:c r="R129" s="30" t="str">
        <x:f>IF(Mechanisms!V15&gt;='Mission Worlds'!P17,"PASS","FAIL")</x:f>
        <x:v>PASS</x:v>
      </x:c>
      <x:c r="S129" s="30" t="str">
        <x:f>IF(COUNTIF(E129:R129,"FAIL")=0,"PASS","FAIL")</x:f>
        <x:v>FAIL</x:v>
      </x:c>
      <x:c r="T129" s="30" t="str">
        <x:f>IF(AND(S129="PASS",Mechanisms!AB15=1),"PASS","FAIL")</x:f>
        <x:v>FAIL</x:v>
      </x:c>
      <x:c r="U129" s="30" t="str">
        <x:f>IF(AND(T129="PASS",'Mission Worlds'!Q17=0),"PASS","FAIL")</x:f>
        <x:v>FAIL</x:v>
      </x:c>
      <x:c r="V129" s="32" t="str">
        <x:f>'Mission Worlds'!R17</x:f>
        <x:v>high-wind launch and receipt</x:v>
      </x:c>
    </x:row>
    <x:row r="130">
      <x:c r="B130" s="30" t="str">
        <x:v>M8</x:v>
      </x:c>
      <x:c r="C130" s="30" t="str">
        <x:v>W12</x:v>
      </x:c>
      <x:c r="D130" s="50" t="n">
        <x:f>Mechanisms!AD15</x:f>
        <x:v>1</x:v>
      </x:c>
      <x:c r="E130" s="30" t="str">
        <x:f>'Payload Closure'!N14</x:f>
        <x:v>PASS</x:v>
      </x:c>
      <x:c r="F130" s="30" t="str">
        <x:f>IF(Mechanisms!J15&gt;='Mission Worlds'!D18,"PASS","FAIL")</x:f>
        <x:v>FAIL</x:v>
      </x:c>
      <x:c r="G130" s="30" t="str">
        <x:f>IF(OR('Mission Worlds'!E18=0,Mechanisms!K15=1),"PASS","FAIL")</x:f>
        <x:v>PASS</x:v>
      </x:c>
      <x:c r="H130" s="30" t="str">
        <x:f>IF(OR('Mission Worlds'!F18=0,Mechanisms!L15=0),"PASS","FAIL")</x:f>
        <x:v>PASS</x:v>
      </x:c>
      <x:c r="I130" s="30" t="str">
        <x:f>IF(OR('Mission Worlds'!G18=0,Mechanisms!M15=0),"PASS","FAIL")</x:f>
        <x:v>PASS</x:v>
      </x:c>
      <x:c r="J130" s="30" t="str">
        <x:f>IF(Mechanisms!N15&gt;='Mission Worlds'!H18,"PASS","FAIL")</x:f>
        <x:v>PASS</x:v>
      </x:c>
      <x:c r="K130" s="30" t="str">
        <x:f>IF(Mechanisms!O15&gt;='Mission Worlds'!I18,"PASS","FAIL")</x:f>
        <x:v>PASS</x:v>
      </x:c>
      <x:c r="L130" s="30" t="str">
        <x:f>IF(Mechanisms!P15&lt;='Mission Worlds'!J18,"PASS","FAIL")</x:f>
        <x:v>PASS</x:v>
      </x:c>
      <x:c r="M130" s="30" t="str">
        <x:f>IF(OR('Mission Worlds'!K18=0,Mechanisms!Q15=1),"PASS","FAIL")</x:f>
        <x:v>PASS</x:v>
      </x:c>
      <x:c r="N130" s="30" t="str">
        <x:f>IF(OR('Mission Worlds'!L18=0,Mechanisms!R15=0),"PASS","FAIL")</x:f>
        <x:v>PASS</x:v>
      </x:c>
      <x:c r="O130" s="30" t="str">
        <x:f>IF(OR('Mission Worlds'!M18=0,Mechanisms!S15=0),"PASS","FAIL")</x:f>
        <x:v>PASS</x:v>
      </x:c>
      <x:c r="P130" s="30" t="str">
        <x:f>IF(OR('Mission Worlds'!N18=0,Mechanisms!T15=1),"PASS","FAIL")</x:f>
        <x:v>PASS</x:v>
      </x:c>
      <x:c r="Q130" s="30" t="str">
        <x:f>IF(Mechanisms!U15&lt;='Mission Worlds'!O18,"PASS","FAIL")</x:f>
        <x:v>PASS</x:v>
      </x:c>
      <x:c r="R130" s="30" t="str">
        <x:f>IF(Mechanisms!V15&gt;='Mission Worlds'!P18,"PASS","FAIL")</x:f>
        <x:v>PASS</x:v>
      </x:c>
      <x:c r="S130" s="30" t="str">
        <x:f>IF(COUNTIF(E130:R130,"FAIL")=0,"PASS","FAIL")</x:f>
        <x:v>FAIL</x:v>
      </x:c>
      <x:c r="T130" s="30" t="str">
        <x:f>IF(AND(S130="PASS",Mechanisms!AB15=1),"PASS","FAIL")</x:f>
        <x:v>FAIL</x:v>
      </x:c>
      <x:c r="U130" s="30" t="str">
        <x:f>IF(AND(T130="PASS",'Mission Worlds'!Q18=0),"PASS","FAIL")</x:f>
        <x:v>FAIL</x:v>
      </x:c>
      <x:c r="V130" s="32" t="str">
        <x:f>'Mission Worlds'!R18</x:f>
        <x:v>long range and offline command</x:v>
      </x:c>
    </x:row>
    <x:row r="131">
      <x:c r="B131" s="30" t="str">
        <x:v>M8</x:v>
      </x:c>
      <x:c r="C131" s="30" t="str">
        <x:v>W13</x:v>
      </x:c>
      <x:c r="D131" s="50" t="n">
        <x:f>Mechanisms!AD15</x:f>
        <x:v>1</x:v>
      </x:c>
      <x:c r="E131" s="30" t="str">
        <x:f>'Payload Closure'!N14</x:f>
        <x:v>PASS</x:v>
      </x:c>
      <x:c r="F131" s="30" t="str">
        <x:f>IF(Mechanisms!J15&gt;='Mission Worlds'!D19,"PASS","FAIL")</x:f>
        <x:v>PASS</x:v>
      </x:c>
      <x:c r="G131" s="30" t="str">
        <x:f>IF(OR('Mission Worlds'!E19=0,Mechanisms!K15=1),"PASS","FAIL")</x:f>
        <x:v>PASS</x:v>
      </x:c>
      <x:c r="H131" s="30" t="str">
        <x:f>IF(OR('Mission Worlds'!F19=0,Mechanisms!L15=0),"PASS","FAIL")</x:f>
        <x:v>PASS</x:v>
      </x:c>
      <x:c r="I131" s="30" t="str">
        <x:f>IF(OR('Mission Worlds'!G19=0,Mechanisms!M15=0),"PASS","FAIL")</x:f>
        <x:v>PASS</x:v>
      </x:c>
      <x:c r="J131" s="30" t="str">
        <x:f>IF(Mechanisms!N15&gt;='Mission Worlds'!H19,"PASS","FAIL")</x:f>
        <x:v>FAIL</x:v>
      </x:c>
      <x:c r="K131" s="30" t="str">
        <x:f>IF(Mechanisms!O15&gt;='Mission Worlds'!I19,"PASS","FAIL")</x:f>
        <x:v>PASS</x:v>
      </x:c>
      <x:c r="L131" s="30" t="str">
        <x:f>IF(Mechanisms!P15&lt;='Mission Worlds'!J19,"PASS","FAIL")</x:f>
        <x:v>FAIL</x:v>
      </x:c>
      <x:c r="M131" s="30" t="str">
        <x:f>IF(OR('Mission Worlds'!K19=0,Mechanisms!Q15=1),"PASS","FAIL")</x:f>
        <x:v>PASS</x:v>
      </x:c>
      <x:c r="N131" s="30" t="str">
        <x:f>IF(OR('Mission Worlds'!L19=0,Mechanisms!R15=0),"PASS","FAIL")</x:f>
        <x:v>PASS</x:v>
      </x:c>
      <x:c r="O131" s="30" t="str">
        <x:f>IF(OR('Mission Worlds'!M19=0,Mechanisms!S15=0),"PASS","FAIL")</x:f>
        <x:v>PASS</x:v>
      </x:c>
      <x:c r="P131" s="30" t="str">
        <x:f>IF(OR('Mission Worlds'!N19=0,Mechanisms!T15=1),"PASS","FAIL")</x:f>
        <x:v>PASS</x:v>
      </x:c>
      <x:c r="Q131" s="30" t="str">
        <x:f>IF(Mechanisms!U15&lt;='Mission Worlds'!O19,"PASS","FAIL")</x:f>
        <x:v>FAIL</x:v>
      </x:c>
      <x:c r="R131" s="30" t="str">
        <x:f>IF(Mechanisms!V15&gt;='Mission Worlds'!P19,"PASS","FAIL")</x:f>
        <x:v>PASS</x:v>
      </x:c>
      <x:c r="S131" s="30" t="str">
        <x:f>IF(COUNTIF(E131:R131,"FAIL")=0,"PASS","FAIL")</x:f>
        <x:v>FAIL</x:v>
      </x:c>
      <x:c r="T131" s="30" t="str">
        <x:f>IF(AND(S131="PASS",Mechanisms!AB15=1),"PASS","FAIL")</x:f>
        <x:v>FAIL</x:v>
      </x:c>
      <x:c r="U131" s="30" t="str">
        <x:f>IF(AND(T131="PASS",'Mission Worlds'!Q19=0),"PASS","FAIL")</x:f>
        <x:v>FAIL</x:v>
      </x:c>
      <x:c r="V131" s="32" t="str">
        <x:f>'Mission Worlds'!R19</x:f>
        <x:v>standoff source remains</x:v>
      </x:c>
    </x:row>
    <x:row r="132">
      <x:c r="B132" s="30" t="str">
        <x:v>M8</x:v>
      </x:c>
      <x:c r="C132" s="30" t="str">
        <x:v>W14</x:v>
      </x:c>
      <x:c r="D132" s="50" t="n">
        <x:f>Mechanisms!AD15</x:f>
        <x:v>1</x:v>
      </x:c>
      <x:c r="E132" s="30" t="str">
        <x:f>'Payload Closure'!N14</x:f>
        <x:v>PASS</x:v>
      </x:c>
      <x:c r="F132" s="30" t="str">
        <x:f>IF(Mechanisms!J15&gt;='Mission Worlds'!D20,"PASS","FAIL")</x:f>
        <x:v>PASS</x:v>
      </x:c>
      <x:c r="G132" s="30" t="str">
        <x:f>IF(OR('Mission Worlds'!E20=0,Mechanisms!K15=1),"PASS","FAIL")</x:f>
        <x:v>PASS</x:v>
      </x:c>
      <x:c r="H132" s="30" t="str">
        <x:f>IF(OR('Mission Worlds'!F20=0,Mechanisms!L15=0),"PASS","FAIL")</x:f>
        <x:v>PASS</x:v>
      </x:c>
      <x:c r="I132" s="30" t="str">
        <x:f>IF(OR('Mission Worlds'!G20=0,Mechanisms!M15=0),"PASS","FAIL")</x:f>
        <x:v>PASS</x:v>
      </x:c>
      <x:c r="J132" s="30" t="str">
        <x:f>IF(Mechanisms!N15&gt;='Mission Worlds'!H20,"PASS","FAIL")</x:f>
        <x:v>PASS</x:v>
      </x:c>
      <x:c r="K132" s="30" t="str">
        <x:f>IF(Mechanisms!O15&gt;='Mission Worlds'!I20,"PASS","FAIL")</x:f>
        <x:v>PASS</x:v>
      </x:c>
      <x:c r="L132" s="30" t="str">
        <x:f>IF(Mechanisms!P15&lt;='Mission Worlds'!J20,"PASS","FAIL")</x:f>
        <x:v>PASS</x:v>
      </x:c>
      <x:c r="M132" s="30" t="str">
        <x:f>IF(OR('Mission Worlds'!K20=0,Mechanisms!Q15=1),"PASS","FAIL")</x:f>
        <x:v>PASS</x:v>
      </x:c>
      <x:c r="N132" s="30" t="str">
        <x:f>IF(OR('Mission Worlds'!L20=0,Mechanisms!R15=0),"PASS","FAIL")</x:f>
        <x:v>PASS</x:v>
      </x:c>
      <x:c r="O132" s="30" t="str">
        <x:f>IF(OR('Mission Worlds'!M20=0,Mechanisms!S15=0),"PASS","FAIL")</x:f>
        <x:v>PASS</x:v>
      </x:c>
      <x:c r="P132" s="30" t="str">
        <x:f>IF(OR('Mission Worlds'!N20=0,Mechanisms!T15=1),"PASS","FAIL")</x:f>
        <x:v>PASS</x:v>
      </x:c>
      <x:c r="Q132" s="30" t="str">
        <x:f>IF(Mechanisms!U15&lt;='Mission Worlds'!O20,"PASS","FAIL")</x:f>
        <x:v>PASS</x:v>
      </x:c>
      <x:c r="R132" s="30" t="str">
        <x:f>IF(Mechanisms!V15&gt;='Mission Worlds'!P20,"PASS","FAIL")</x:f>
        <x:v>PASS</x:v>
      </x:c>
      <x:c r="S132" s="30" t="str">
        <x:f>IF(COUNTIF(E132:R132,"FAIL")=0,"PASS","FAIL")</x:f>
        <x:v>PASS</x:v>
      </x:c>
      <x:c r="T132" s="30" t="str">
        <x:f>IF(AND(S132="PASS",Mechanisms!AB15=1),"PASS","FAIL")</x:f>
        <x:v>FAIL</x:v>
      </x:c>
      <x:c r="U132" s="30" t="str">
        <x:f>IF(AND(T132="PASS",'Mission Worlds'!Q20=0),"PASS","FAIL")</x:f>
        <x:v>FAIL</x:v>
      </x:c>
      <x:c r="V132" s="32" t="str">
        <x:f>'Mission Worlds'!R20</x:f>
        <x:v>conversion can substitute for carriage</x:v>
      </x:c>
    </x:row>
    <x:row r="133">
      <x:c r="B133" s="30" t="str">
        <x:v>M8</x:v>
      </x:c>
      <x:c r="C133" s="30" t="str">
        <x:v>W15</x:v>
      </x:c>
      <x:c r="D133" s="50" t="n">
        <x:f>Mechanisms!AD15</x:f>
        <x:v>1</x:v>
      </x:c>
      <x:c r="E133" s="30" t="str">
        <x:f>'Payload Closure'!N14</x:f>
        <x:v>PASS</x:v>
      </x:c>
      <x:c r="F133" s="30" t="str">
        <x:f>IF(Mechanisms!J15&gt;='Mission Worlds'!D21,"PASS","FAIL")</x:f>
        <x:v>PASS</x:v>
      </x:c>
      <x:c r="G133" s="30" t="str">
        <x:f>IF(OR('Mission Worlds'!E21=0,Mechanisms!K15=1),"PASS","FAIL")</x:f>
        <x:v>PASS</x:v>
      </x:c>
      <x:c r="H133" s="30" t="str">
        <x:f>IF(OR('Mission Worlds'!F21=0,Mechanisms!L15=0),"PASS","FAIL")</x:f>
        <x:v>PASS</x:v>
      </x:c>
      <x:c r="I133" s="30" t="str">
        <x:f>IF(OR('Mission Worlds'!G21=0,Mechanisms!M15=0),"PASS","FAIL")</x:f>
        <x:v>PASS</x:v>
      </x:c>
      <x:c r="J133" s="30" t="str">
        <x:f>IF(Mechanisms!N15&gt;='Mission Worlds'!H21,"PASS","FAIL")</x:f>
        <x:v>PASS</x:v>
      </x:c>
      <x:c r="K133" s="30" t="str">
        <x:f>IF(Mechanisms!O15&gt;='Mission Worlds'!I21,"PASS","FAIL")</x:f>
        <x:v>PASS</x:v>
      </x:c>
      <x:c r="L133" s="30" t="str">
        <x:f>IF(Mechanisms!P15&lt;='Mission Worlds'!J21,"PASS","FAIL")</x:f>
        <x:v>PASS</x:v>
      </x:c>
      <x:c r="M133" s="30" t="str">
        <x:f>IF(OR('Mission Worlds'!K21=0,Mechanisms!Q15=1),"PASS","FAIL")</x:f>
        <x:v>PASS</x:v>
      </x:c>
      <x:c r="N133" s="30" t="str">
        <x:f>IF(OR('Mission Worlds'!L21=0,Mechanisms!R15=0),"PASS","FAIL")</x:f>
        <x:v>PASS</x:v>
      </x:c>
      <x:c r="O133" s="30" t="str">
        <x:f>IF(OR('Mission Worlds'!M21=0,Mechanisms!S15=0),"PASS","FAIL")</x:f>
        <x:v>PASS</x:v>
      </x:c>
      <x:c r="P133" s="30" t="str">
        <x:f>IF(OR('Mission Worlds'!N21=0,Mechanisms!T15=1),"PASS","FAIL")</x:f>
        <x:v>PASS</x:v>
      </x:c>
      <x:c r="Q133" s="30" t="str">
        <x:f>IF(Mechanisms!U15&lt;='Mission Worlds'!O21,"PASS","FAIL")</x:f>
        <x:v>PASS</x:v>
      </x:c>
      <x:c r="R133" s="30" t="str">
        <x:f>IF(Mechanisms!V15&gt;='Mission Worlds'!P21,"PASS","FAIL")</x:f>
        <x:v>FAIL</x:v>
      </x:c>
      <x:c r="S133" s="30" t="str">
        <x:f>IF(COUNTIF(E133:R133,"FAIL")=0,"PASS","FAIL")</x:f>
        <x:v>FAIL</x:v>
      </x:c>
      <x:c r="T133" s="30" t="str">
        <x:f>IF(AND(S133="PASS",Mechanisms!AB15=1),"PASS","FAIL")</x:f>
        <x:v>FAIL</x:v>
      </x:c>
      <x:c r="U133" s="30" t="str">
        <x:f>IF(AND(T133="PASS",'Mission Worlds'!Q21=0),"PASS","FAIL")</x:f>
        <x:v>FAIL</x:v>
      </x:c>
      <x:c r="V133" s="32" t="str">
        <x:f>'Mission Worlds'!R21</x:f>
        <x:v>one national set cannot double count</x:v>
      </x:c>
    </x:row>
    <x:row r="134">
      <x:c r="B134" s="36" t="str">
        <x:v>M8</x:v>
      </x:c>
      <x:c r="C134" s="36" t="str">
        <x:v>W16</x:v>
      </x:c>
      <x:c r="D134" s="54" t="n">
        <x:f>Mechanisms!AD15</x:f>
        <x:v>1</x:v>
      </x:c>
      <x:c r="E134" s="36" t="str">
        <x:f>'Payload Closure'!N14</x:f>
        <x:v>PASS</x:v>
      </x:c>
      <x:c r="F134" s="36" t="str">
        <x:f>IF(Mechanisms!J15&gt;='Mission Worlds'!D22,"PASS","FAIL")</x:f>
        <x:v>PASS</x:v>
      </x:c>
      <x:c r="G134" s="36" t="str">
        <x:f>IF(OR('Mission Worlds'!E22=0,Mechanisms!K15=1),"PASS","FAIL")</x:f>
        <x:v>PASS</x:v>
      </x:c>
      <x:c r="H134" s="36" t="str">
        <x:f>IF(OR('Mission Worlds'!F22=0,Mechanisms!L15=0),"PASS","FAIL")</x:f>
        <x:v>PASS</x:v>
      </x:c>
      <x:c r="I134" s="36" t="str">
        <x:f>IF(OR('Mission Worlds'!G22=0,Mechanisms!M15=0),"PASS","FAIL")</x:f>
        <x:v>PASS</x:v>
      </x:c>
      <x:c r="J134" s="36" t="str">
        <x:f>IF(Mechanisms!N15&gt;='Mission Worlds'!H22,"PASS","FAIL")</x:f>
        <x:v>PASS</x:v>
      </x:c>
      <x:c r="K134" s="36" t="str">
        <x:f>IF(Mechanisms!O15&gt;='Mission Worlds'!I22,"PASS","FAIL")</x:f>
        <x:v>PASS</x:v>
      </x:c>
      <x:c r="L134" s="36" t="str">
        <x:f>IF(Mechanisms!P15&lt;='Mission Worlds'!J22,"PASS","FAIL")</x:f>
        <x:v>PASS</x:v>
      </x:c>
      <x:c r="M134" s="36" t="str">
        <x:f>IF(OR('Mission Worlds'!K22=0,Mechanisms!Q15=1),"PASS","FAIL")</x:f>
        <x:v>PASS</x:v>
      </x:c>
      <x:c r="N134" s="36" t="str">
        <x:f>IF(OR('Mission Worlds'!L22=0,Mechanisms!R15=0),"PASS","FAIL")</x:f>
        <x:v>PASS</x:v>
      </x:c>
      <x:c r="O134" s="36" t="str">
        <x:f>IF(OR('Mission Worlds'!M22=0,Mechanisms!S15=0),"PASS","FAIL")</x:f>
        <x:v>PASS</x:v>
      </x:c>
      <x:c r="P134" s="36" t="str">
        <x:f>IF(OR('Mission Worlds'!N22=0,Mechanisms!T15=1),"PASS","FAIL")</x:f>
        <x:v>PASS</x:v>
      </x:c>
      <x:c r="Q134" s="36" t="str">
        <x:f>IF(Mechanisms!U15&lt;='Mission Worlds'!O22,"PASS","FAIL")</x:f>
        <x:v>PASS</x:v>
      </x:c>
      <x:c r="R134" s="36" t="str">
        <x:f>IF(Mechanisms!V15&gt;='Mission Worlds'!P22,"PASS","FAIL")</x:f>
        <x:v>PASS</x:v>
      </x:c>
      <x:c r="S134" s="36" t="str">
        <x:f>IF(COUNTIF(E134:R134,"FAIL")=0,"PASS","FAIL")</x:f>
        <x:v>PASS</x:v>
      </x:c>
      <x:c r="T134" s="36" t="str">
        <x:f>IF(AND(S134="PASS",Mechanisms!AB15=1),"PASS","FAIL")</x:f>
        <x:v>FAIL</x:v>
      </x:c>
      <x:c r="U134" s="36" t="str">
        <x:f>IF(AND(T134="PASS",'Mission Worlds'!Q22=0),"PASS","FAIL")</x:f>
        <x:v>FAIL</x:v>
      </x:c>
      <x:c r="V134" s="38" t="str">
        <x:f>'Mission Worlds'!R22</x:f>
        <x:v>universal admission stop</x:v>
      </x:c>
    </x:row>
    <x:row r="135"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</x:row>
    <x:row r="136"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</x:row>
    <x:row r="137"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</x:row>
    <x:row r="138"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</x:row>
  </x:sheetData>
  <x:conditionalFormatting sqref="S7:U134">
    <x:cfRule type="containsText" dxfId="1" priority="1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9" hidden="0" customWidth="1"/>
    <x:col min="3" max="3" width="13" hidden="0" customWidth="1"/>
    <x:col min="4" max="4" width="13" hidden="0" customWidth="1"/>
    <x:col min="5" max="5" width="18" hidden="0" customWidth="1"/>
    <x:col min="6" max="6" width="14" hidden="0" customWidth="1"/>
    <x:col min="7" max="7" width="18" hidden="0" customWidth="1"/>
    <x:col min="8" max="8" width="18" hidden="0" customWidth="1"/>
    <x:col min="9" max="9" width="22" hidden="0" customWidth="1"/>
    <x:col min="10" max="10" width="22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</x:cols>
  <x:sheetData>
    <x:row r="2">
      <x:c r="B2" s="3" t="str">
        <x:v>Two-mechanism portfolio competition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>
      <x:c r="B3" s="4" t="str">
        <x:v>Pairs receive one behavior-world credit when either member closes the complete mission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>
      <x:c r="B6" s="28" t="str">
        <x:v>Pair</x:v>
      </x:c>
      <x:c r="C6" s="29" t="str">
        <x:v>Mechanism 1</x:v>
      </x:c>
      <x:c r="D6" s="29" t="str">
        <x:v>Mechanism 2</x:v>
      </x:c>
      <x:c r="E6" s="29" t="str">
        <x:v>Lifecycle/set $B</x:v>
      </x:c>
      <x:c r="F6" s="29" t="str">
        <x:v>RDT&amp;E $B</x:v>
      </x:c>
      <x:c r="G6" s="29" t="str">
        <x:v>Behavior worlds</x:v>
      </x:c>
      <x:c r="H6" s="29" t="str">
        <x:v>Uncovered worlds</x:v>
      </x:c>
      <x:c r="I6" s="29" t="str">
        <x:v>Current-credit worlds</x:v>
      </x:c>
      <x:c r="J6" s="29" t="str">
        <x:v>Selective national $B</x:v>
      </x:c>
      <x:c r="K6" s="29" t="str">
        <x:v>W01</x:v>
      </x:c>
      <x:c r="L6" s="29" t="str">
        <x:v>W02</x:v>
      </x:c>
      <x:c r="M6" s="29" t="str">
        <x:v>W03</x:v>
      </x:c>
      <x:c r="N6" s="29" t="str">
        <x:v>W04</x:v>
      </x:c>
      <x:c r="O6" s="29" t="str">
        <x:v>W05</x:v>
      </x:c>
      <x:c r="P6" s="29" t="str">
        <x:v>W06</x:v>
      </x:c>
      <x:c r="Q6" s="29" t="str">
        <x:v>W07</x:v>
      </x:c>
      <x:c r="R6" s="29" t="str">
        <x:v>W08</x:v>
      </x:c>
      <x:c r="S6" s="29" t="str">
        <x:v>W09</x:v>
      </x:c>
      <x:c r="T6" s="29" t="str">
        <x:v>W10</x:v>
      </x:c>
      <x:c r="U6" s="29" t="str">
        <x:v>W11</x:v>
      </x:c>
      <x:c r="V6" s="29" t="str">
        <x:v>W12</x:v>
      </x:c>
      <x:c r="W6" s="29" t="str">
        <x:v>W13</x:v>
      </x:c>
      <x:c r="X6" s="29" t="str">
        <x:v>W14</x:v>
      </x:c>
      <x:c r="Y6" s="29" t="str">
        <x:v>W15</x:v>
      </x:c>
    </x:row>
    <x:row r="7">
      <x:c r="B7" s="30" t="str">
        <x:v>P01</x:v>
      </x:c>
      <x:c r="C7" s="30" t="str">
        <x:v>M1</x:v>
      </x:c>
      <x:c r="D7" s="30" t="str">
        <x:v>M2</x:v>
      </x:c>
      <x:c r="E7" s="56" t="n">
        <x:f>Mechanisms!AE8+Mechanisms!AE9</x:f>
        <x:v>12.8983</x:v>
      </x:c>
      <x:c r="F7" s="56" t="n">
        <x:f>Mechanisms!AA8+Mechanisms!AA9</x:f>
        <x:v>125</x:v>
      </x:c>
      <x:c r="G7" s="30" t="n">
        <x:f>SUM(K7:Y7)</x:f>
        <x:v>8</x:v>
      </x:c>
      <x:c r="H7" s="30" t="n">
        <x:f>15-G7</x:f>
        <x:v>7</x:v>
      </x:c>
      <x:c r="I7" s="30" t="n">
        <x:f>0</x:f>
        <x:v>0</x:v>
      </x:c>
      <x:c r="J7" s="58" t="n">
        <x:f>Assumptions!$C$22+F7+Assumptions!$C$18*E7</x:f>
        <x:v>799.6269</x:v>
      </x:c>
      <x:c r="K7" s="30" t="n">
        <x:f>IF(OR('Mechanism Results'!S7="PASS",'Mechanism Results'!S23="PASS"),1,0)</x:f>
        <x:v>1</x:v>
      </x:c>
      <x:c r="L7" s="30" t="n">
        <x:f>IF(OR('Mechanism Results'!S8="PASS",'Mechanism Results'!S24="PASS"),1,0)</x:f>
        <x:v>1</x:v>
      </x:c>
      <x:c r="M7" s="30" t="n">
        <x:f>IF(OR('Mechanism Results'!S9="PASS",'Mechanism Results'!S25="PASS"),1,0)</x:f>
        <x:v>1</x:v>
      </x:c>
      <x:c r="N7" s="30" t="n">
        <x:f>IF(OR('Mechanism Results'!S10="PASS",'Mechanism Results'!S26="PASS"),1,0)</x:f>
        <x:v>1</x:v>
      </x:c>
      <x:c r="O7" s="30" t="n">
        <x:f>IF(OR('Mechanism Results'!S11="PASS",'Mechanism Results'!S27="PASS"),1,0)</x:f>
        <x:v>0</x:v>
      </x:c>
      <x:c r="P7" s="30" t="n">
        <x:f>IF(OR('Mechanism Results'!S12="PASS",'Mechanism Results'!S28="PASS"),1,0)</x:f>
        <x:v>1</x:v>
      </x:c>
      <x:c r="Q7" s="30" t="n">
        <x:f>IF(OR('Mechanism Results'!S13="PASS",'Mechanism Results'!S29="PASS"),1,0)</x:f>
        <x:v>1</x:v>
      </x:c>
      <x:c r="R7" s="30" t="n">
        <x:f>IF(OR('Mechanism Results'!S14="PASS",'Mechanism Results'!S30="PASS"),1,0)</x:f>
        <x:v>1</x:v>
      </x:c>
      <x:c r="S7" s="30" t="n">
        <x:f>IF(OR('Mechanism Results'!S15="PASS",'Mechanism Results'!S31="PASS"),1,0)</x:f>
        <x:v>0</x:v>
      </x:c>
      <x:c r="T7" s="30" t="n">
        <x:f>IF(OR('Mechanism Results'!S16="PASS",'Mechanism Results'!S32="PASS"),1,0)</x:f>
        <x:v>0</x:v>
      </x:c>
      <x:c r="U7" s="30" t="n">
        <x:f>IF(OR('Mechanism Results'!S17="PASS",'Mechanism Results'!S33="PASS"),1,0)</x:f>
        <x:v>0</x:v>
      </x:c>
      <x:c r="V7" s="30" t="n">
        <x:f>IF(OR('Mechanism Results'!S18="PASS",'Mechanism Results'!S34="PASS"),1,0)</x:f>
        <x:v>1</x:v>
      </x:c>
      <x:c r="W7" s="30" t="n">
        <x:f>IF(OR('Mechanism Results'!S19="PASS",'Mechanism Results'!S35="PASS"),1,0)</x:f>
        <x:v>0</x:v>
      </x:c>
      <x:c r="X7" s="30" t="n">
        <x:f>IF(OR('Mechanism Results'!S20="PASS",'Mechanism Results'!S36="PASS"),1,0)</x:f>
        <x:v>0</x:v>
      </x:c>
      <x:c r="Y7" s="32" t="n">
        <x:f>IF(OR('Mechanism Results'!S21="PASS",'Mechanism Results'!S37="PASS"),1,0)</x:f>
        <x:v>0</x:v>
      </x:c>
    </x:row>
    <x:row r="8">
      <x:c r="B8" s="30" t="str">
        <x:v>P02</x:v>
      </x:c>
      <x:c r="C8" s="30" t="str">
        <x:v>M1</x:v>
      </x:c>
      <x:c r="D8" s="30" t="str">
        <x:v>M3</x:v>
      </x:c>
      <x:c r="E8" s="56" t="n">
        <x:f>Mechanisms!AE8+Mechanisms!AE10</x:f>
        <x:v>13.9145</x:v>
      </x:c>
      <x:c r="F8" s="56" t="n">
        <x:f>Mechanisms!AA8+Mechanisms!AA10</x:f>
        <x:v>130</x:v>
      </x:c>
      <x:c r="G8" s="30" t="n">
        <x:f>SUM(K8:Y8)</x:f>
        <x:v>13</x:v>
      </x:c>
      <x:c r="H8" s="30" t="n">
        <x:f>15-G8</x:f>
        <x:v>2</x:v>
      </x:c>
      <x:c r="I8" s="30" t="n">
        <x:f>0</x:f>
        <x:v>0</x:v>
      </x:c>
      <x:c r="J8" s="58" t="n">
        <x:f>Assumptions!$C$22+F8+Assumptions!$C$18*E8</x:f>
        <x:v>848.3235</x:v>
      </x:c>
      <x:c r="K8" s="30" t="n">
        <x:f>IF(OR('Mechanism Results'!S7="PASS",'Mechanism Results'!S39="PASS"),1,0)</x:f>
        <x:v>1</x:v>
      </x:c>
      <x:c r="L8" s="30" t="n">
        <x:f>IF(OR('Mechanism Results'!S8="PASS",'Mechanism Results'!S40="PASS"),1,0)</x:f>
        <x:v>1</x:v>
      </x:c>
      <x:c r="M8" s="30" t="n">
        <x:f>IF(OR('Mechanism Results'!S9="PASS",'Mechanism Results'!S41="PASS"),1,0)</x:f>
        <x:v>1</x:v>
      </x:c>
      <x:c r="N8" s="30" t="n">
        <x:f>IF(OR('Mechanism Results'!S10="PASS",'Mechanism Results'!S42="PASS"),1,0)</x:f>
        <x:v>1</x:v>
      </x:c>
      <x:c r="O8" s="30" t="n">
        <x:f>IF(OR('Mechanism Results'!S11="PASS",'Mechanism Results'!S43="PASS"),1,0)</x:f>
        <x:v>1</x:v>
      </x:c>
      <x:c r="P8" s="30" t="n">
        <x:f>IF(OR('Mechanism Results'!S12="PASS",'Mechanism Results'!S44="PASS"),1,0)</x:f>
        <x:v>1</x:v>
      </x:c>
      <x:c r="Q8" s="30" t="n">
        <x:f>IF(OR('Mechanism Results'!S13="PASS",'Mechanism Results'!S45="PASS"),1,0)</x:f>
        <x:v>1</x:v>
      </x:c>
      <x:c r="R8" s="30" t="n">
        <x:f>IF(OR('Mechanism Results'!S14="PASS",'Mechanism Results'!S46="PASS"),1,0)</x:f>
        <x:v>1</x:v>
      </x:c>
      <x:c r="S8" s="30" t="n">
        <x:f>IF(OR('Mechanism Results'!S15="PASS",'Mechanism Results'!S47="PASS"),1,0)</x:f>
        <x:v>1</x:v>
      </x:c>
      <x:c r="T8" s="30" t="n">
        <x:f>IF(OR('Mechanism Results'!S16="PASS",'Mechanism Results'!S48="PASS"),1,0)</x:f>
        <x:v>1</x:v>
      </x:c>
      <x:c r="U8" s="30" t="n">
        <x:f>IF(OR('Mechanism Results'!S17="PASS",'Mechanism Results'!S49="PASS"),1,0)</x:f>
        <x:v>1</x:v>
      </x:c>
      <x:c r="V8" s="30" t="n">
        <x:f>IF(OR('Mechanism Results'!S18="PASS",'Mechanism Results'!S50="PASS"),1,0)</x:f>
        <x:v>1</x:v>
      </x:c>
      <x:c r="W8" s="30" t="n">
        <x:f>IF(OR('Mechanism Results'!S19="PASS",'Mechanism Results'!S51="PASS"),1,0)</x:f>
        <x:v>0</x:v>
      </x:c>
      <x:c r="X8" s="30" t="n">
        <x:f>IF(OR('Mechanism Results'!S20="PASS",'Mechanism Results'!S52="PASS"),1,0)</x:f>
        <x:v>1</x:v>
      </x:c>
      <x:c r="Y8" s="32" t="n">
        <x:f>IF(OR('Mechanism Results'!S21="PASS",'Mechanism Results'!S53="PASS"),1,0)</x:f>
        <x:v>0</x:v>
      </x:c>
    </x:row>
    <x:row r="9">
      <x:c r="B9" s="30" t="str">
        <x:v>P03</x:v>
      </x:c>
      <x:c r="C9" s="30" t="str">
        <x:v>M1</x:v>
      </x:c>
      <x:c r="D9" s="30" t="str">
        <x:v>M4</x:v>
      </x:c>
      <x:c r="E9" s="56" t="n">
        <x:f>Mechanisms!AE8+Mechanisms!AE11</x:f>
        <x:v>19.076500000000003</x:v>
      </x:c>
      <x:c r="F9" s="56" t="n">
        <x:f>Mechanisms!AA8+Mechanisms!AA11</x:f>
        <x:v>155</x:v>
      </x:c>
      <x:c r="G9" s="30" t="n">
        <x:f>SUM(K9:Y9)</x:f>
        <x:v>11</x:v>
      </x:c>
      <x:c r="H9" s="30" t="n">
        <x:f>15-G9</x:f>
        <x:v>4</x:v>
      </x:c>
      <x:c r="I9" s="30" t="n">
        <x:f>0</x:f>
        <x:v>0</x:v>
      </x:c>
      <x:c r="J9" s="58" t="n">
        <x:f>Assumptions!$C$22+F9+Assumptions!$C$18*E9</x:f>
        <x:v>1095.2895</x:v>
      </x:c>
      <x:c r="K9" s="30" t="n">
        <x:f>IF(OR('Mechanism Results'!S7="PASS",'Mechanism Results'!S55="PASS"),1,0)</x:f>
        <x:v>1</x:v>
      </x:c>
      <x:c r="L9" s="30" t="n">
        <x:f>IF(OR('Mechanism Results'!S8="PASS",'Mechanism Results'!S56="PASS"),1,0)</x:f>
        <x:v>1</x:v>
      </x:c>
      <x:c r="M9" s="30" t="n">
        <x:f>IF(OR('Mechanism Results'!S9="PASS",'Mechanism Results'!S57="PASS"),1,0)</x:f>
        <x:v>1</x:v>
      </x:c>
      <x:c r="N9" s="30" t="n">
        <x:f>IF(OR('Mechanism Results'!S10="PASS",'Mechanism Results'!S58="PASS"),1,0)</x:f>
        <x:v>1</x:v>
      </x:c>
      <x:c r="O9" s="30" t="n">
        <x:f>IF(OR('Mechanism Results'!S11="PASS",'Mechanism Results'!S59="PASS"),1,0)</x:f>
        <x:v>0</x:v>
      </x:c>
      <x:c r="P9" s="30" t="n">
        <x:f>IF(OR('Mechanism Results'!S12="PASS",'Mechanism Results'!S60="PASS"),1,0)</x:f>
        <x:v>1</x:v>
      </x:c>
      <x:c r="Q9" s="30" t="n">
        <x:f>IF(OR('Mechanism Results'!S13="PASS",'Mechanism Results'!S61="PASS"),1,0)</x:f>
        <x:v>1</x:v>
      </x:c>
      <x:c r="R9" s="30" t="n">
        <x:f>IF(OR('Mechanism Results'!S14="PASS",'Mechanism Results'!S62="PASS"),1,0)</x:f>
        <x:v>1</x:v>
      </x:c>
      <x:c r="S9" s="30" t="n">
        <x:f>IF(OR('Mechanism Results'!S15="PASS",'Mechanism Results'!S63="PASS"),1,0)</x:f>
        <x:v>0</x:v>
      </x:c>
      <x:c r="T9" s="30" t="n">
        <x:f>IF(OR('Mechanism Results'!S16="PASS",'Mechanism Results'!S64="PASS"),1,0)</x:f>
        <x:v>1</x:v>
      </x:c>
      <x:c r="U9" s="30" t="n">
        <x:f>IF(OR('Mechanism Results'!S17="PASS",'Mechanism Results'!S65="PASS"),1,0)</x:f>
        <x:v>0</x:v>
      </x:c>
      <x:c r="V9" s="30" t="n">
        <x:f>IF(OR('Mechanism Results'!S18="PASS",'Mechanism Results'!S66="PASS"),1,0)</x:f>
        <x:v>1</x:v>
      </x:c>
      <x:c r="W9" s="30" t="n">
        <x:f>IF(OR('Mechanism Results'!S19="PASS",'Mechanism Results'!S67="PASS"),1,0)</x:f>
        <x:v>0</x:v>
      </x:c>
      <x:c r="X9" s="30" t="n">
        <x:f>IF(OR('Mechanism Results'!S20="PASS",'Mechanism Results'!S68="PASS"),1,0)</x:f>
        <x:v>1</x:v>
      </x:c>
      <x:c r="Y9" s="32" t="n">
        <x:f>IF(OR('Mechanism Results'!S21="PASS",'Mechanism Results'!S69="PASS"),1,0)</x:f>
        <x:v>1</x:v>
      </x:c>
    </x:row>
    <x:row r="10">
      <x:c r="B10" s="30" t="str">
        <x:v>P04</x:v>
      </x:c>
      <x:c r="C10" s="30" t="str">
        <x:v>M1</x:v>
      </x:c>
      <x:c r="D10" s="30" t="str">
        <x:v>M5</x:v>
      </x:c>
      <x:c r="E10" s="56" t="n">
        <x:f>Mechanisms!AE8+Mechanisms!AE12</x:f>
        <x:v>10.6497</x:v>
      </x:c>
      <x:c r="F10" s="56" t="n">
        <x:f>Mechanisms!AA8+Mechanisms!AA12</x:f>
        <x:v>115</x:v>
      </x:c>
      <x:c r="G10" s="30" t="n">
        <x:f>SUM(K10:Y10)</x:f>
        <x:v>9</x:v>
      </x:c>
      <x:c r="H10" s="30" t="n">
        <x:f>15-G10</x:f>
        <x:v>6</x:v>
      </x:c>
      <x:c r="I10" s="30" t="n">
        <x:f>0</x:f>
        <x:v>0</x:v>
      </x:c>
      <x:c r="J10" s="58" t="n">
        <x:f>Assumptions!$C$22+F10+Assumptions!$C$18*E10</x:f>
        <x:v>692.9371</x:v>
      </x:c>
      <x:c r="K10" s="30" t="n">
        <x:f>IF(OR('Mechanism Results'!S7="PASS",'Mechanism Results'!S71="PASS"),1,0)</x:f>
        <x:v>1</x:v>
      </x:c>
      <x:c r="L10" s="30" t="n">
        <x:f>IF(OR('Mechanism Results'!S8="PASS",'Mechanism Results'!S72="PASS"),1,0)</x:f>
        <x:v>1</x:v>
      </x:c>
      <x:c r="M10" s="30" t="n">
        <x:f>IF(OR('Mechanism Results'!S9="PASS",'Mechanism Results'!S73="PASS"),1,0)</x:f>
        <x:v>1</x:v>
      </x:c>
      <x:c r="N10" s="30" t="n">
        <x:f>IF(OR('Mechanism Results'!S10="PASS",'Mechanism Results'!S74="PASS"),1,0)</x:f>
        <x:v>1</x:v>
      </x:c>
      <x:c r="O10" s="30" t="n">
        <x:f>IF(OR('Mechanism Results'!S11="PASS",'Mechanism Results'!S75="PASS"),1,0)</x:f>
        <x:v>0</x:v>
      </x:c>
      <x:c r="P10" s="30" t="n">
        <x:f>IF(OR('Mechanism Results'!S12="PASS",'Mechanism Results'!S76="PASS"),1,0)</x:f>
        <x:v>1</x:v>
      </x:c>
      <x:c r="Q10" s="30" t="n">
        <x:f>IF(OR('Mechanism Results'!S13="PASS",'Mechanism Results'!S77="PASS"),1,0)</x:f>
        <x:v>1</x:v>
      </x:c>
      <x:c r="R10" s="30" t="n">
        <x:f>IF(OR('Mechanism Results'!S14="PASS",'Mechanism Results'!S78="PASS"),1,0)</x:f>
        <x:v>1</x:v>
      </x:c>
      <x:c r="S10" s="30" t="n">
        <x:f>IF(OR('Mechanism Results'!S15="PASS",'Mechanism Results'!S79="PASS"),1,0)</x:f>
        <x:v>0</x:v>
      </x:c>
      <x:c r="T10" s="30" t="n">
        <x:f>IF(OR('Mechanism Results'!S16="PASS",'Mechanism Results'!S80="PASS"),1,0)</x:f>
        <x:v>0</x:v>
      </x:c>
      <x:c r="U10" s="30" t="n">
        <x:f>IF(OR('Mechanism Results'!S17="PASS",'Mechanism Results'!S81="PASS"),1,0)</x:f>
        <x:v>0</x:v>
      </x:c>
      <x:c r="V10" s="30" t="n">
        <x:f>IF(OR('Mechanism Results'!S18="PASS",'Mechanism Results'!S82="PASS"),1,0)</x:f>
        <x:v>1</x:v>
      </x:c>
      <x:c r="W10" s="30" t="n">
        <x:f>IF(OR('Mechanism Results'!S19="PASS",'Mechanism Results'!S83="PASS"),1,0)</x:f>
        <x:v>1</x:v>
      </x:c>
      <x:c r="X10" s="30" t="n">
        <x:f>IF(OR('Mechanism Results'!S20="PASS",'Mechanism Results'!S84="PASS"),1,0)</x:f>
        <x:v>0</x:v>
      </x:c>
      <x:c r="Y10" s="32" t="n">
        <x:f>IF(OR('Mechanism Results'!S21="PASS",'Mechanism Results'!S85="PASS"),1,0)</x:f>
        <x:v>0</x:v>
      </x:c>
    </x:row>
    <x:row r="11">
      <x:c r="B11" s="30" t="str">
        <x:v>P05</x:v>
      </x:c>
      <x:c r="C11" s="30" t="str">
        <x:v>M1</x:v>
      </x:c>
      <x:c r="D11" s="30" t="str">
        <x:v>M6</x:v>
      </x:c>
      <x:c r="E11" s="56" t="n">
        <x:f>Mechanisms!AE8+Mechanisms!AE13</x:f>
        <x:v>10.0335</x:v>
      </x:c>
      <x:c r="F11" s="56" t="n">
        <x:f>Mechanisms!AA8+Mechanisms!AA13</x:f>
        <x:v>110</x:v>
      </x:c>
      <x:c r="G11" s="30" t="n">
        <x:f>SUM(K11:Y11)</x:f>
        <x:v>9</x:v>
      </x:c>
      <x:c r="H11" s="30" t="n">
        <x:f>15-G11</x:f>
        <x:v>6</x:v>
      </x:c>
      <x:c r="I11" s="30" t="n">
        <x:f>0</x:f>
        <x:v>0</x:v>
      </x:c>
      <x:c r="J11" s="58" t="n">
        <x:f>Assumptions!$C$22+F11+Assumptions!$C$18*E11</x:f>
        <x:v>661.4404999999999</x:v>
      </x:c>
      <x:c r="K11" s="30" t="n">
        <x:f>IF(OR('Mechanism Results'!S7="PASS",'Mechanism Results'!S87="PASS"),1,0)</x:f>
        <x:v>1</x:v>
      </x:c>
      <x:c r="L11" s="30" t="n">
        <x:f>IF(OR('Mechanism Results'!S8="PASS",'Mechanism Results'!S88="PASS"),1,0)</x:f>
        <x:v>1</x:v>
      </x:c>
      <x:c r="M11" s="30" t="n">
        <x:f>IF(OR('Mechanism Results'!S9="PASS",'Mechanism Results'!S89="PASS"),1,0)</x:f>
        <x:v>1</x:v>
      </x:c>
      <x:c r="N11" s="30" t="n">
        <x:f>IF(OR('Mechanism Results'!S10="PASS",'Mechanism Results'!S90="PASS"),1,0)</x:f>
        <x:v>1</x:v>
      </x:c>
      <x:c r="O11" s="30" t="n">
        <x:f>IF(OR('Mechanism Results'!S11="PASS",'Mechanism Results'!S91="PASS"),1,0)</x:f>
        <x:v>0</x:v>
      </x:c>
      <x:c r="P11" s="30" t="n">
        <x:f>IF(OR('Mechanism Results'!S12="PASS",'Mechanism Results'!S92="PASS"),1,0)</x:f>
        <x:v>1</x:v>
      </x:c>
      <x:c r="Q11" s="30" t="n">
        <x:f>IF(OR('Mechanism Results'!S13="PASS",'Mechanism Results'!S93="PASS"),1,0)</x:f>
        <x:v>1</x:v>
      </x:c>
      <x:c r="R11" s="30" t="n">
        <x:f>IF(OR('Mechanism Results'!S14="PASS",'Mechanism Results'!S94="PASS"),1,0)</x:f>
        <x:v>1</x:v>
      </x:c>
      <x:c r="S11" s="30" t="n">
        <x:f>IF(OR('Mechanism Results'!S15="PASS",'Mechanism Results'!S95="PASS"),1,0)</x:f>
        <x:v>0</x:v>
      </x:c>
      <x:c r="T11" s="30" t="n">
        <x:f>IF(OR('Mechanism Results'!S16="PASS",'Mechanism Results'!S96="PASS"),1,0)</x:f>
        <x:v>0</x:v>
      </x:c>
      <x:c r="U11" s="30" t="n">
        <x:f>IF(OR('Mechanism Results'!S17="PASS",'Mechanism Results'!S97="PASS"),1,0)</x:f>
        <x:v>0</x:v>
      </x:c>
      <x:c r="V11" s="30" t="n">
        <x:f>IF(OR('Mechanism Results'!S18="PASS",'Mechanism Results'!S98="PASS"),1,0)</x:f>
        <x:v>1</x:v>
      </x:c>
      <x:c r="W11" s="30" t="n">
        <x:f>IF(OR('Mechanism Results'!S19="PASS",'Mechanism Results'!S99="PASS"),1,0)</x:f>
        <x:v>0</x:v>
      </x:c>
      <x:c r="X11" s="30" t="n">
        <x:f>IF(OR('Mechanism Results'!S20="PASS",'Mechanism Results'!S100="PASS"),1,0)</x:f>
        <x:v>1</x:v>
      </x:c>
      <x:c r="Y11" s="32" t="n">
        <x:f>IF(OR('Mechanism Results'!S21="PASS",'Mechanism Results'!S101="PASS"),1,0)</x:f>
        <x:v>0</x:v>
      </x:c>
    </x:row>
    <x:row r="12">
      <x:c r="B12" s="30" t="str">
        <x:v>P06</x:v>
      </x:c>
      <x:c r="C12" s="30" t="str">
        <x:v>M1</x:v>
      </x:c>
      <x:c r="D12" s="30" t="str">
        <x:v>M7</x:v>
      </x:c>
      <x:c r="E12" s="56" t="n">
        <x:f>Mechanisms!AE8+Mechanisms!AE14</x:f>
        <x:v>14.836</x:v>
      </x:c>
      <x:c r="F12" s="56" t="n">
        <x:f>Mechanisms!AA8+Mechanisms!AA14</x:f>
        <x:v>135</x:v>
      </x:c>
      <x:c r="G12" s="30" t="n">
        <x:f>SUM(K12:Y12)</x:f>
        <x:v>8</x:v>
      </x:c>
      <x:c r="H12" s="30" t="n">
        <x:f>15-G12</x:f>
        <x:v>7</x:v>
      </x:c>
      <x:c r="I12" s="30" t="n">
        <x:f>0</x:f>
        <x:v>0</x:v>
      </x:c>
      <x:c r="J12" s="58" t="n">
        <x:f>Assumptions!$C$22+F12+Assumptions!$C$18*E12</x:f>
        <x:v>892.948</x:v>
      </x:c>
      <x:c r="K12" s="30" t="n">
        <x:f>IF(OR('Mechanism Results'!S7="PASS",'Mechanism Results'!S103="PASS"),1,0)</x:f>
        <x:v>1</x:v>
      </x:c>
      <x:c r="L12" s="30" t="n">
        <x:f>IF(OR('Mechanism Results'!S8="PASS",'Mechanism Results'!S104="PASS"),1,0)</x:f>
        <x:v>1</x:v>
      </x:c>
      <x:c r="M12" s="30" t="n">
        <x:f>IF(OR('Mechanism Results'!S9="PASS",'Mechanism Results'!S105="PASS"),1,0)</x:f>
        <x:v>1</x:v>
      </x:c>
      <x:c r="N12" s="30" t="n">
        <x:f>IF(OR('Mechanism Results'!S10="PASS",'Mechanism Results'!S106="PASS"),1,0)</x:f>
        <x:v>1</x:v>
      </x:c>
      <x:c r="O12" s="30" t="n">
        <x:f>IF(OR('Mechanism Results'!S11="PASS",'Mechanism Results'!S107="PASS"),1,0)</x:f>
        <x:v>0</x:v>
      </x:c>
      <x:c r="P12" s="30" t="n">
        <x:f>IF(OR('Mechanism Results'!S12="PASS",'Mechanism Results'!S108="PASS"),1,0)</x:f>
        <x:v>1</x:v>
      </x:c>
      <x:c r="Q12" s="30" t="n">
        <x:f>IF(OR('Mechanism Results'!S13="PASS",'Mechanism Results'!S109="PASS"),1,0)</x:f>
        <x:v>1</x:v>
      </x:c>
      <x:c r="R12" s="30" t="n">
        <x:f>IF(OR('Mechanism Results'!S14="PASS",'Mechanism Results'!S110="PASS"),1,0)</x:f>
        <x:v>1</x:v>
      </x:c>
      <x:c r="S12" s="30" t="n">
        <x:f>IF(OR('Mechanism Results'!S15="PASS",'Mechanism Results'!S111="PASS"),1,0)</x:f>
        <x:v>0</x:v>
      </x:c>
      <x:c r="T12" s="30" t="n">
        <x:f>IF(OR('Mechanism Results'!S16="PASS",'Mechanism Results'!S112="PASS"),1,0)</x:f>
        <x:v>0</x:v>
      </x:c>
      <x:c r="U12" s="30" t="n">
        <x:f>IF(OR('Mechanism Results'!S17="PASS",'Mechanism Results'!S113="PASS"),1,0)</x:f>
        <x:v>0</x:v>
      </x:c>
      <x:c r="V12" s="30" t="n">
        <x:f>IF(OR('Mechanism Results'!S18="PASS",'Mechanism Results'!S114="PASS"),1,0)</x:f>
        <x:v>1</x:v>
      </x:c>
      <x:c r="W12" s="30" t="n">
        <x:f>IF(OR('Mechanism Results'!S19="PASS",'Mechanism Results'!S115="PASS"),1,0)</x:f>
        <x:v>0</x:v>
      </x:c>
      <x:c r="X12" s="30" t="n">
        <x:f>IF(OR('Mechanism Results'!S20="PASS",'Mechanism Results'!S116="PASS"),1,0)</x:f>
        <x:v>0</x:v>
      </x:c>
      <x:c r="Y12" s="32" t="n">
        <x:f>IF(OR('Mechanism Results'!S21="PASS",'Mechanism Results'!S117="PASS"),1,0)</x:f>
        <x:v>0</x:v>
      </x:c>
    </x:row>
    <x:row r="13">
      <x:c r="B13" s="30" t="str">
        <x:v>P07</x:v>
      </x:c>
      <x:c r="C13" s="30" t="str">
        <x:v>M1</x:v>
      </x:c>
      <x:c r="D13" s="30" t="str">
        <x:v>M8</x:v>
      </x:c>
      <x:c r="E13" s="56" t="n">
        <x:f>Mechanisms!AE8+Mechanisms!AE15</x:f>
        <x:v>13.1983</x:v>
      </x:c>
      <x:c r="F13" s="56" t="n">
        <x:f>Mechanisms!AA8+Mechanisms!AA15</x:f>
        <x:v>130</x:v>
      </x:c>
      <x:c r="G13" s="30" t="n">
        <x:f>SUM(K13:Y13)</x:f>
        <x:v>10</x:v>
      </x:c>
      <x:c r="H13" s="30" t="n">
        <x:f>15-G13</x:f>
        <x:v>5</x:v>
      </x:c>
      <x:c r="I13" s="30" t="n">
        <x:f>0</x:f>
        <x:v>0</x:v>
      </x:c>
      <x:c r="J13" s="58" t="n">
        <x:f>Assumptions!$C$22+F13+Assumptions!$C$18*E13</x:f>
        <x:v>817.5269</x:v>
      </x:c>
      <x:c r="K13" s="30" t="n">
        <x:f>IF(OR('Mechanism Results'!S7="PASS",'Mechanism Results'!S119="PASS"),1,0)</x:f>
        <x:v>1</x:v>
      </x:c>
      <x:c r="L13" s="30" t="n">
        <x:f>IF(OR('Mechanism Results'!S8="PASS",'Mechanism Results'!S120="PASS"),1,0)</x:f>
        <x:v>1</x:v>
      </x:c>
      <x:c r="M13" s="30" t="n">
        <x:f>IF(OR('Mechanism Results'!S9="PASS",'Mechanism Results'!S121="PASS"),1,0)</x:f>
        <x:v>1</x:v>
      </x:c>
      <x:c r="N13" s="30" t="n">
        <x:f>IF(OR('Mechanism Results'!S10="PASS",'Mechanism Results'!S122="PASS"),1,0)</x:f>
        <x:v>1</x:v>
      </x:c>
      <x:c r="O13" s="30" t="n">
        <x:f>IF(OR('Mechanism Results'!S11="PASS",'Mechanism Results'!S123="PASS"),1,0)</x:f>
        <x:v>0</x:v>
      </x:c>
      <x:c r="P13" s="30" t="n">
        <x:f>IF(OR('Mechanism Results'!S12="PASS",'Mechanism Results'!S124="PASS"),1,0)</x:f>
        <x:v>1</x:v>
      </x:c>
      <x:c r="Q13" s="30" t="n">
        <x:f>IF(OR('Mechanism Results'!S13="PASS",'Mechanism Results'!S125="PASS"),1,0)</x:f>
        <x:v>1</x:v>
      </x:c>
      <x:c r="R13" s="30" t="n">
        <x:f>IF(OR('Mechanism Results'!S14="PASS",'Mechanism Results'!S126="PASS"),1,0)</x:f>
        <x:v>1</x:v>
      </x:c>
      <x:c r="S13" s="30" t="n">
        <x:f>IF(OR('Mechanism Results'!S15="PASS",'Mechanism Results'!S127="PASS"),1,0)</x:f>
        <x:v>0</x:v>
      </x:c>
      <x:c r="T13" s="30" t="n">
        <x:f>IF(OR('Mechanism Results'!S16="PASS",'Mechanism Results'!S128="PASS"),1,0)</x:f>
        <x:v>1</x:v>
      </x:c>
      <x:c r="U13" s="30" t="n">
        <x:f>IF(OR('Mechanism Results'!S17="PASS",'Mechanism Results'!S129="PASS"),1,0)</x:f>
        <x:v>0</x:v>
      </x:c>
      <x:c r="V13" s="30" t="n">
        <x:f>IF(OR('Mechanism Results'!S18="PASS",'Mechanism Results'!S130="PASS"),1,0)</x:f>
        <x:v>1</x:v>
      </x:c>
      <x:c r="W13" s="30" t="n">
        <x:f>IF(OR('Mechanism Results'!S19="PASS",'Mechanism Results'!S131="PASS"),1,0)</x:f>
        <x:v>0</x:v>
      </x:c>
      <x:c r="X13" s="30" t="n">
        <x:f>IF(OR('Mechanism Results'!S20="PASS",'Mechanism Results'!S132="PASS"),1,0)</x:f>
        <x:v>1</x:v>
      </x:c>
      <x:c r="Y13" s="32" t="n">
        <x:f>IF(OR('Mechanism Results'!S21="PASS",'Mechanism Results'!S133="PASS"),1,0)</x:f>
        <x:v>0</x:v>
      </x:c>
    </x:row>
    <x:row r="14">
      <x:c r="B14" s="30" t="str">
        <x:v>P08</x:v>
      </x:c>
      <x:c r="C14" s="30" t="str">
        <x:v>M2</x:v>
      </x:c>
      <x:c r="D14" s="30" t="str">
        <x:v>M3</x:v>
      </x:c>
      <x:c r="E14" s="56" t="n">
        <x:f>Mechanisms!AE9+Mechanisms!AE10</x:f>
        <x:v>11.7078</x:v>
      </x:c>
      <x:c r="F14" s="56" t="n">
        <x:f>Mechanisms!AA9+Mechanisms!AA10</x:f>
        <x:v>115</x:v>
      </x:c>
      <x:c r="G14" s="30" t="n">
        <x:f>SUM(K14:Y14)</x:f>
        <x:v>8</x:v>
      </x:c>
      <x:c r="H14" s="30" t="n">
        <x:f>15-G14</x:f>
        <x:v>7</x:v>
      </x:c>
      <x:c r="I14" s="30" t="n">
        <x:f>0</x:f>
        <x:v>0</x:v>
      </x:c>
      <x:c r="J14" s="58" t="n">
        <x:f>Assumptions!$C$22+F14+Assumptions!$C$18*E14</x:f>
        <x:v>738.4354000000001</x:v>
      </x:c>
      <x:c r="K14" s="30" t="n">
        <x:f>IF(OR('Mechanism Results'!S23="PASS",'Mechanism Results'!S39="PASS"),1,0)</x:f>
        <x:v>0</x:v>
      </x:c>
      <x:c r="L14" s="30" t="n">
        <x:f>IF(OR('Mechanism Results'!S24="PASS",'Mechanism Results'!S40="PASS"),1,0)</x:f>
        <x:v>1</x:v>
      </x:c>
      <x:c r="M14" s="30" t="n">
        <x:f>IF(OR('Mechanism Results'!S25="PASS",'Mechanism Results'!S41="PASS"),1,0)</x:f>
        <x:v>0</x:v>
      </x:c>
      <x:c r="N14" s="30" t="n">
        <x:f>IF(OR('Mechanism Results'!S26="PASS",'Mechanism Results'!S42="PASS"),1,0)</x:f>
        <x:v>1</x:v>
      </x:c>
      <x:c r="O14" s="30" t="n">
        <x:f>IF(OR('Mechanism Results'!S27="PASS",'Mechanism Results'!S43="PASS"),1,0)</x:f>
        <x:v>1</x:v>
      </x:c>
      <x:c r="P14" s="30" t="n">
        <x:f>IF(OR('Mechanism Results'!S28="PASS",'Mechanism Results'!S44="PASS"),1,0)</x:f>
        <x:v>0</x:v>
      </x:c>
      <x:c r="Q14" s="30" t="n">
        <x:f>IF(OR('Mechanism Results'!S29="PASS",'Mechanism Results'!S45="PASS"),1,0)</x:f>
        <x:v>1</x:v>
      </x:c>
      <x:c r="R14" s="30" t="n">
        <x:f>IF(OR('Mechanism Results'!S30="PASS",'Mechanism Results'!S46="PASS"),1,0)</x:f>
        <x:v>0</x:v>
      </x:c>
      <x:c r="S14" s="30" t="n">
        <x:f>IF(OR('Mechanism Results'!S31="PASS",'Mechanism Results'!S47="PASS"),1,0)</x:f>
        <x:v>1</x:v>
      </x:c>
      <x:c r="T14" s="30" t="n">
        <x:f>IF(OR('Mechanism Results'!S32="PASS",'Mechanism Results'!S48="PASS"),1,0)</x:f>
        <x:v>1</x:v>
      </x:c>
      <x:c r="U14" s="30" t="n">
        <x:f>IF(OR('Mechanism Results'!S33="PASS",'Mechanism Results'!S49="PASS"),1,0)</x:f>
        <x:v>1</x:v>
      </x:c>
      <x:c r="V14" s="30" t="n">
        <x:f>IF(OR('Mechanism Results'!S34="PASS",'Mechanism Results'!S50="PASS"),1,0)</x:f>
        <x:v>0</x:v>
      </x:c>
      <x:c r="W14" s="30" t="n">
        <x:f>IF(OR('Mechanism Results'!S35="PASS",'Mechanism Results'!S51="PASS"),1,0)</x:f>
        <x:v>0</x:v>
      </x:c>
      <x:c r="X14" s="30" t="n">
        <x:f>IF(OR('Mechanism Results'!S36="PASS",'Mechanism Results'!S52="PASS"),1,0)</x:f>
        <x:v>1</x:v>
      </x:c>
      <x:c r="Y14" s="32" t="n">
        <x:f>IF(OR('Mechanism Results'!S37="PASS",'Mechanism Results'!S53="PASS"),1,0)</x:f>
        <x:v>0</x:v>
      </x:c>
    </x:row>
    <x:row r="15">
      <x:c r="B15" s="30" t="str">
        <x:v>P09</x:v>
      </x:c>
      <x:c r="C15" s="30" t="str">
        <x:v>M2</x:v>
      </x:c>
      <x:c r="D15" s="30" t="str">
        <x:v>M4</x:v>
      </x:c>
      <x:c r="E15" s="56" t="n">
        <x:f>Mechanisms!AE9+Mechanisms!AE11</x:f>
        <x:v>16.8698</x:v>
      </x:c>
      <x:c r="F15" s="56" t="n">
        <x:f>Mechanisms!AA9+Mechanisms!AA11</x:f>
        <x:v>140</x:v>
      </x:c>
      <x:c r="G15" s="30" t="n">
        <x:f>SUM(K15:Y15)</x:f>
        <x:v>8</x:v>
      </x:c>
      <x:c r="H15" s="30" t="n">
        <x:f>15-G15</x:f>
        <x:v>7</x:v>
      </x:c>
      <x:c r="I15" s="30" t="n">
        <x:f>0</x:f>
        <x:v>0</x:v>
      </x:c>
      <x:c r="J15" s="58" t="n">
        <x:f>Assumptions!$C$22+F15+Assumptions!$C$18*E15</x:f>
        <x:v>985.4014000000001</x:v>
      </x:c>
      <x:c r="K15" s="30" t="n">
        <x:f>IF(OR('Mechanism Results'!S23="PASS",'Mechanism Results'!S55="PASS"),1,0)</x:f>
        <x:v>0</x:v>
      </x:c>
      <x:c r="L15" s="30" t="n">
        <x:f>IF(OR('Mechanism Results'!S24="PASS",'Mechanism Results'!S56="PASS"),1,0)</x:f>
        <x:v>1</x:v>
      </x:c>
      <x:c r="M15" s="30" t="n">
        <x:f>IF(OR('Mechanism Results'!S25="PASS",'Mechanism Results'!S57="PASS"),1,0)</x:f>
        <x:v>1</x:v>
      </x:c>
      <x:c r="N15" s="30" t="n">
        <x:f>IF(OR('Mechanism Results'!S26="PASS",'Mechanism Results'!S58="PASS"),1,0)</x:f>
        <x:v>1</x:v>
      </x:c>
      <x:c r="O15" s="30" t="n">
        <x:f>IF(OR('Mechanism Results'!S27="PASS",'Mechanism Results'!S59="PASS"),1,0)</x:f>
        <x:v>0</x:v>
      </x:c>
      <x:c r="P15" s="30" t="n">
        <x:f>IF(OR('Mechanism Results'!S28="PASS",'Mechanism Results'!S60="PASS"),1,0)</x:f>
        <x:v>1</x:v>
      </x:c>
      <x:c r="Q15" s="30" t="n">
        <x:f>IF(OR('Mechanism Results'!S29="PASS",'Mechanism Results'!S61="PASS"),1,0)</x:f>
        <x:v>1</x:v>
      </x:c>
      <x:c r="R15" s="30" t="n">
        <x:f>IF(OR('Mechanism Results'!S30="PASS",'Mechanism Results'!S62="PASS"),1,0)</x:f>
        <x:v>0</x:v>
      </x:c>
      <x:c r="S15" s="30" t="n">
        <x:f>IF(OR('Mechanism Results'!S31="PASS",'Mechanism Results'!S63="PASS"),1,0)</x:f>
        <x:v>0</x:v>
      </x:c>
      <x:c r="T15" s="30" t="n">
        <x:f>IF(OR('Mechanism Results'!S32="PASS",'Mechanism Results'!S64="PASS"),1,0)</x:f>
        <x:v>1</x:v>
      </x:c>
      <x:c r="U15" s="30" t="n">
        <x:f>IF(OR('Mechanism Results'!S33="PASS",'Mechanism Results'!S65="PASS"),1,0)</x:f>
        <x:v>0</x:v>
      </x:c>
      <x:c r="V15" s="30" t="n">
        <x:f>IF(OR('Mechanism Results'!S34="PASS",'Mechanism Results'!S66="PASS"),1,0)</x:f>
        <x:v>0</x:v>
      </x:c>
      <x:c r="W15" s="30" t="n">
        <x:f>IF(OR('Mechanism Results'!S35="PASS",'Mechanism Results'!S67="PASS"),1,0)</x:f>
        <x:v>0</x:v>
      </x:c>
      <x:c r="X15" s="30" t="n">
        <x:f>IF(OR('Mechanism Results'!S36="PASS",'Mechanism Results'!S68="PASS"),1,0)</x:f>
        <x:v>1</x:v>
      </x:c>
      <x:c r="Y15" s="32" t="n">
        <x:f>IF(OR('Mechanism Results'!S37="PASS",'Mechanism Results'!S69="PASS"),1,0)</x:f>
        <x:v>1</x:v>
      </x:c>
    </x:row>
    <x:row r="16">
      <x:c r="B16" s="30" t="str">
        <x:v>P10</x:v>
      </x:c>
      <x:c r="C16" s="30" t="str">
        <x:v>M2</x:v>
      </x:c>
      <x:c r="D16" s="30" t="str">
        <x:v>M5</x:v>
      </x:c>
      <x:c r="E16" s="56" t="n">
        <x:f>Mechanisms!AE9+Mechanisms!AE12</x:f>
        <x:v>8.443000000000001</x:v>
      </x:c>
      <x:c r="F16" s="56" t="n">
        <x:f>Mechanisms!AA9+Mechanisms!AA12</x:f>
        <x:v>100</x:v>
      </x:c>
      <x:c r="G16" s="30" t="n">
        <x:f>SUM(K16:Y16)</x:f>
        <x:v>2</x:v>
      </x:c>
      <x:c r="H16" s="30" t="n">
        <x:f>15-G16</x:f>
        <x:v>13</x:v>
      </x:c>
      <x:c r="I16" s="30" t="n">
        <x:f>0</x:f>
        <x:v>0</x:v>
      </x:c>
      <x:c r="J16" s="58" t="n">
        <x:f>Assumptions!$C$22+F16+Assumptions!$C$18*E16</x:f>
        <x:v>583.049</x:v>
      </x:c>
      <x:c r="K16" s="30" t="n">
        <x:f>IF(OR('Mechanism Results'!S23="PASS",'Mechanism Results'!S71="PASS"),1,0)</x:f>
        <x:v>0</x:v>
      </x:c>
      <x:c r="L16" s="30" t="n">
        <x:f>IF(OR('Mechanism Results'!S24="PASS",'Mechanism Results'!S72="PASS"),1,0)</x:f>
        <x:v>1</x:v>
      </x:c>
      <x:c r="M16" s="30" t="n">
        <x:f>IF(OR('Mechanism Results'!S25="PASS",'Mechanism Results'!S73="PASS"),1,0)</x:f>
        <x:v>0</x:v>
      </x:c>
      <x:c r="N16" s="30" t="n">
        <x:f>IF(OR('Mechanism Results'!S26="PASS",'Mechanism Results'!S74="PASS"),1,0)</x:f>
        <x:v>0</x:v>
      </x:c>
      <x:c r="O16" s="30" t="n">
        <x:f>IF(OR('Mechanism Results'!S27="PASS",'Mechanism Results'!S75="PASS"),1,0)</x:f>
        <x:v>0</x:v>
      </x:c>
      <x:c r="P16" s="30" t="n">
        <x:f>IF(OR('Mechanism Results'!S28="PASS",'Mechanism Results'!S76="PASS"),1,0)</x:f>
        <x:v>0</x:v>
      </x:c>
      <x:c r="Q16" s="30" t="n">
        <x:f>IF(OR('Mechanism Results'!S29="PASS",'Mechanism Results'!S77="PASS"),1,0)</x:f>
        <x:v>0</x:v>
      </x:c>
      <x:c r="R16" s="30" t="n">
        <x:f>IF(OR('Mechanism Results'!S30="PASS",'Mechanism Results'!S78="PASS"),1,0)</x:f>
        <x:v>0</x:v>
      </x:c>
      <x:c r="S16" s="30" t="n">
        <x:f>IF(OR('Mechanism Results'!S31="PASS",'Mechanism Results'!S79="PASS"),1,0)</x:f>
        <x:v>0</x:v>
      </x:c>
      <x:c r="T16" s="30" t="n">
        <x:f>IF(OR('Mechanism Results'!S32="PASS",'Mechanism Results'!S80="PASS"),1,0)</x:f>
        <x:v>0</x:v>
      </x:c>
      <x:c r="U16" s="30" t="n">
        <x:f>IF(OR('Mechanism Results'!S33="PASS",'Mechanism Results'!S81="PASS"),1,0)</x:f>
        <x:v>0</x:v>
      </x:c>
      <x:c r="V16" s="30" t="n">
        <x:f>IF(OR('Mechanism Results'!S34="PASS",'Mechanism Results'!S82="PASS"),1,0)</x:f>
        <x:v>0</x:v>
      </x:c>
      <x:c r="W16" s="30" t="n">
        <x:f>IF(OR('Mechanism Results'!S35="PASS",'Mechanism Results'!S83="PASS"),1,0)</x:f>
        <x:v>1</x:v>
      </x:c>
      <x:c r="X16" s="30" t="n">
        <x:f>IF(OR('Mechanism Results'!S36="PASS",'Mechanism Results'!S84="PASS"),1,0)</x:f>
        <x:v>0</x:v>
      </x:c>
      <x:c r="Y16" s="32" t="n">
        <x:f>IF(OR('Mechanism Results'!S37="PASS",'Mechanism Results'!S85="PASS"),1,0)</x:f>
        <x:v>0</x:v>
      </x:c>
    </x:row>
    <x:row r="17">
      <x:c r="B17" s="30" t="str">
        <x:v>P11</x:v>
      </x:c>
      <x:c r="C17" s="30" t="str">
        <x:v>M2</x:v>
      </x:c>
      <x:c r="D17" s="30" t="str">
        <x:v>M6</x:v>
      </x:c>
      <x:c r="E17" s="56" t="n">
        <x:f>Mechanisms!AE9+Mechanisms!AE13</x:f>
        <x:v>7.8268</x:v>
      </x:c>
      <x:c r="F17" s="56" t="n">
        <x:f>Mechanisms!AA9+Mechanisms!AA13</x:f>
        <x:v>95</x:v>
      </x:c>
      <x:c r="G17" s="30" t="n">
        <x:f>SUM(K17:Y17)</x:f>
        <x:v>2</x:v>
      </x:c>
      <x:c r="H17" s="30" t="n">
        <x:f>15-G17</x:f>
        <x:v>13</x:v>
      </x:c>
      <x:c r="I17" s="30" t="n">
        <x:f>0</x:f>
        <x:v>0</x:v>
      </x:c>
      <x:c r="J17" s="58" t="n">
        <x:f>Assumptions!$C$22+F17+Assumptions!$C$18*E17</x:f>
        <x:v>551.5524</x:v>
      </x:c>
      <x:c r="K17" s="30" t="n">
        <x:f>IF(OR('Mechanism Results'!S23="PASS",'Mechanism Results'!S87="PASS"),1,0)</x:f>
        <x:v>0</x:v>
      </x:c>
      <x:c r="L17" s="30" t="n">
        <x:f>IF(OR('Mechanism Results'!S24="PASS",'Mechanism Results'!S88="PASS"),1,0)</x:f>
        <x:v>1</x:v>
      </x:c>
      <x:c r="M17" s="30" t="n">
        <x:f>IF(OR('Mechanism Results'!S25="PASS",'Mechanism Results'!S89="PASS"),1,0)</x:f>
        <x:v>0</x:v>
      </x:c>
      <x:c r="N17" s="30" t="n">
        <x:f>IF(OR('Mechanism Results'!S26="PASS",'Mechanism Results'!S90="PASS"),1,0)</x:f>
        <x:v>0</x:v>
      </x:c>
      <x:c r="O17" s="30" t="n">
        <x:f>IF(OR('Mechanism Results'!S27="PASS",'Mechanism Results'!S91="PASS"),1,0)</x:f>
        <x:v>0</x:v>
      </x:c>
      <x:c r="P17" s="30" t="n">
        <x:f>IF(OR('Mechanism Results'!S28="PASS",'Mechanism Results'!S92="PASS"),1,0)</x:f>
        <x:v>0</x:v>
      </x:c>
      <x:c r="Q17" s="30" t="n">
        <x:f>IF(OR('Mechanism Results'!S29="PASS",'Mechanism Results'!S93="PASS"),1,0)</x:f>
        <x:v>0</x:v>
      </x:c>
      <x:c r="R17" s="30" t="n">
        <x:f>IF(OR('Mechanism Results'!S30="PASS",'Mechanism Results'!S94="PASS"),1,0)</x:f>
        <x:v>0</x:v>
      </x:c>
      <x:c r="S17" s="30" t="n">
        <x:f>IF(OR('Mechanism Results'!S31="PASS",'Mechanism Results'!S95="PASS"),1,0)</x:f>
        <x:v>0</x:v>
      </x:c>
      <x:c r="T17" s="30" t="n">
        <x:f>IF(OR('Mechanism Results'!S32="PASS",'Mechanism Results'!S96="PASS"),1,0)</x:f>
        <x:v>0</x:v>
      </x:c>
      <x:c r="U17" s="30" t="n">
        <x:f>IF(OR('Mechanism Results'!S33="PASS",'Mechanism Results'!S97="PASS"),1,0)</x:f>
        <x:v>0</x:v>
      </x:c>
      <x:c r="V17" s="30" t="n">
        <x:f>IF(OR('Mechanism Results'!S34="PASS",'Mechanism Results'!S98="PASS"),1,0)</x:f>
        <x:v>0</x:v>
      </x:c>
      <x:c r="W17" s="30" t="n">
        <x:f>IF(OR('Mechanism Results'!S35="PASS",'Mechanism Results'!S99="PASS"),1,0)</x:f>
        <x:v>0</x:v>
      </x:c>
      <x:c r="X17" s="30" t="n">
        <x:f>IF(OR('Mechanism Results'!S36="PASS",'Mechanism Results'!S100="PASS"),1,0)</x:f>
        <x:v>1</x:v>
      </x:c>
      <x:c r="Y17" s="32" t="n">
        <x:f>IF(OR('Mechanism Results'!S37="PASS",'Mechanism Results'!S101="PASS"),1,0)</x:f>
        <x:v>0</x:v>
      </x:c>
    </x:row>
    <x:row r="18">
      <x:c r="B18" s="30" t="str">
        <x:v>P12</x:v>
      </x:c>
      <x:c r="C18" s="30" t="str">
        <x:v>M2</x:v>
      </x:c>
      <x:c r="D18" s="30" t="str">
        <x:v>M7</x:v>
      </x:c>
      <x:c r="E18" s="56" t="n">
        <x:f>Mechanisms!AE9+Mechanisms!AE14</x:f>
        <x:v>12.6293</x:v>
      </x:c>
      <x:c r="F18" s="56" t="n">
        <x:f>Mechanisms!AA9+Mechanisms!AA14</x:f>
        <x:v>120</x:v>
      </x:c>
      <x:c r="G18" s="30" t="n">
        <x:f>SUM(K18:Y18)</x:f>
        <x:v>2</x:v>
      </x:c>
      <x:c r="H18" s="30" t="n">
        <x:f>15-G18</x:f>
        <x:v>13</x:v>
      </x:c>
      <x:c r="I18" s="30" t="n">
        <x:f>0</x:f>
        <x:v>0</x:v>
      </x:c>
      <x:c r="J18" s="58" t="n">
        <x:f>Assumptions!$C$22+F18+Assumptions!$C$18*E18</x:f>
        <x:v>783.0599</x:v>
      </x:c>
      <x:c r="K18" s="30" t="n">
        <x:f>IF(OR('Mechanism Results'!S23="PASS",'Mechanism Results'!S103="PASS"),1,0)</x:f>
        <x:v>0</x:v>
      </x:c>
      <x:c r="L18" s="30" t="n">
        <x:f>IF(OR('Mechanism Results'!S24="PASS",'Mechanism Results'!S104="PASS"),1,0)</x:f>
        <x:v>1</x:v>
      </x:c>
      <x:c r="M18" s="30" t="n">
        <x:f>IF(OR('Mechanism Results'!S25="PASS",'Mechanism Results'!S105="PASS"),1,0)</x:f>
        <x:v>0</x:v>
      </x:c>
      <x:c r="N18" s="30" t="n">
        <x:f>IF(OR('Mechanism Results'!S26="PASS",'Mechanism Results'!S106="PASS"),1,0)</x:f>
        <x:v>0</x:v>
      </x:c>
      <x:c r="O18" s="30" t="n">
        <x:f>IF(OR('Mechanism Results'!S27="PASS",'Mechanism Results'!S107="PASS"),1,0)</x:f>
        <x:v>0</x:v>
      </x:c>
      <x:c r="P18" s="30" t="n">
        <x:f>IF(OR('Mechanism Results'!S28="PASS",'Mechanism Results'!S108="PASS"),1,0)</x:f>
        <x:v>0</x:v>
      </x:c>
      <x:c r="Q18" s="30" t="n">
        <x:f>IF(OR('Mechanism Results'!S29="PASS",'Mechanism Results'!S109="PASS"),1,0)</x:f>
        <x:v>0</x:v>
      </x:c>
      <x:c r="R18" s="30" t="n">
        <x:f>IF(OR('Mechanism Results'!S30="PASS",'Mechanism Results'!S110="PASS"),1,0)</x:f>
        <x:v>0</x:v>
      </x:c>
      <x:c r="S18" s="30" t="n">
        <x:f>IF(OR('Mechanism Results'!S31="PASS",'Mechanism Results'!S111="PASS"),1,0)</x:f>
        <x:v>0</x:v>
      </x:c>
      <x:c r="T18" s="30" t="n">
        <x:f>IF(OR('Mechanism Results'!S32="PASS",'Mechanism Results'!S112="PASS"),1,0)</x:f>
        <x:v>0</x:v>
      </x:c>
      <x:c r="U18" s="30" t="n">
        <x:f>IF(OR('Mechanism Results'!S33="PASS",'Mechanism Results'!S113="PASS"),1,0)</x:f>
        <x:v>0</x:v>
      </x:c>
      <x:c r="V18" s="30" t="n">
        <x:f>IF(OR('Mechanism Results'!S34="PASS",'Mechanism Results'!S114="PASS"),1,0)</x:f>
        <x:v>1</x:v>
      </x:c>
      <x:c r="W18" s="30" t="n">
        <x:f>IF(OR('Mechanism Results'!S35="PASS",'Mechanism Results'!S115="PASS"),1,0)</x:f>
        <x:v>0</x:v>
      </x:c>
      <x:c r="X18" s="30" t="n">
        <x:f>IF(OR('Mechanism Results'!S36="PASS",'Mechanism Results'!S116="PASS"),1,0)</x:f>
        <x:v>0</x:v>
      </x:c>
      <x:c r="Y18" s="32" t="n">
        <x:f>IF(OR('Mechanism Results'!S37="PASS",'Mechanism Results'!S117="PASS"),1,0)</x:f>
        <x:v>0</x:v>
      </x:c>
    </x:row>
    <x:row r="19">
      <x:c r="B19" s="30" t="str">
        <x:v>P13</x:v>
      </x:c>
      <x:c r="C19" s="30" t="str">
        <x:v>M2</x:v>
      </x:c>
      <x:c r="D19" s="30" t="str">
        <x:v>M8</x:v>
      </x:c>
      <x:c r="E19" s="56" t="n">
        <x:f>Mechanisms!AE9+Mechanisms!AE15</x:f>
        <x:v>10.9916</x:v>
      </x:c>
      <x:c r="F19" s="56" t="n">
        <x:f>Mechanisms!AA9+Mechanisms!AA15</x:f>
        <x:v>115</x:v>
      </x:c>
      <x:c r="G19" s="30" t="n">
        <x:f>SUM(K19:Y19)</x:f>
        <x:v>6</x:v>
      </x:c>
      <x:c r="H19" s="30" t="n">
        <x:f>15-G19</x:f>
        <x:v>9</x:v>
      </x:c>
      <x:c r="I19" s="30" t="n">
        <x:f>0</x:f>
        <x:v>0</x:v>
      </x:c>
      <x:c r="J19" s="58" t="n">
        <x:f>Assumptions!$C$22+F19+Assumptions!$C$18*E19</x:f>
        <x:v>707.6388</x:v>
      </x:c>
      <x:c r="K19" s="30" t="n">
        <x:f>IF(OR('Mechanism Results'!S23="PASS",'Mechanism Results'!S119="PASS"),1,0)</x:f>
        <x:v>0</x:v>
      </x:c>
      <x:c r="L19" s="30" t="n">
        <x:f>IF(OR('Mechanism Results'!S24="PASS",'Mechanism Results'!S120="PASS"),1,0)</x:f>
        <x:v>1</x:v>
      </x:c>
      <x:c r="M19" s="30" t="n">
        <x:f>IF(OR('Mechanism Results'!S25="PASS",'Mechanism Results'!S121="PASS"),1,0)</x:f>
        <x:v>1</x:v>
      </x:c>
      <x:c r="N19" s="30" t="n">
        <x:f>IF(OR('Mechanism Results'!S26="PASS",'Mechanism Results'!S122="PASS"),1,0)</x:f>
        <x:v>1</x:v>
      </x:c>
      <x:c r="O19" s="30" t="n">
        <x:f>IF(OR('Mechanism Results'!S27="PASS",'Mechanism Results'!S123="PASS"),1,0)</x:f>
        <x:v>0</x:v>
      </x:c>
      <x:c r="P19" s="30" t="n">
        <x:f>IF(OR('Mechanism Results'!S28="PASS",'Mechanism Results'!S124="PASS"),1,0)</x:f>
        <x:v>0</x:v>
      </x:c>
      <x:c r="Q19" s="30" t="n">
        <x:f>IF(OR('Mechanism Results'!S29="PASS",'Mechanism Results'!S125="PASS"),1,0)</x:f>
        <x:v>1</x:v>
      </x:c>
      <x:c r="R19" s="30" t="n">
        <x:f>IF(OR('Mechanism Results'!S30="PASS",'Mechanism Results'!S126="PASS"),1,0)</x:f>
        <x:v>0</x:v>
      </x:c>
      <x:c r="S19" s="30" t="n">
        <x:f>IF(OR('Mechanism Results'!S31="PASS",'Mechanism Results'!S127="PASS"),1,0)</x:f>
        <x:v>0</x:v>
      </x:c>
      <x:c r="T19" s="30" t="n">
        <x:f>IF(OR('Mechanism Results'!S32="PASS",'Mechanism Results'!S128="PASS"),1,0)</x:f>
        <x:v>1</x:v>
      </x:c>
      <x:c r="U19" s="30" t="n">
        <x:f>IF(OR('Mechanism Results'!S33="PASS",'Mechanism Results'!S129="PASS"),1,0)</x:f>
        <x:v>0</x:v>
      </x:c>
      <x:c r="V19" s="30" t="n">
        <x:f>IF(OR('Mechanism Results'!S34="PASS",'Mechanism Results'!S130="PASS"),1,0)</x:f>
        <x:v>0</x:v>
      </x:c>
      <x:c r="W19" s="30" t="n">
        <x:f>IF(OR('Mechanism Results'!S35="PASS",'Mechanism Results'!S131="PASS"),1,0)</x:f>
        <x:v>0</x:v>
      </x:c>
      <x:c r="X19" s="30" t="n">
        <x:f>IF(OR('Mechanism Results'!S36="PASS",'Mechanism Results'!S132="PASS"),1,0)</x:f>
        <x:v>1</x:v>
      </x:c>
      <x:c r="Y19" s="32" t="n">
        <x:f>IF(OR('Mechanism Results'!S37="PASS",'Mechanism Results'!S133="PASS"),1,0)</x:f>
        <x:v>0</x:v>
      </x:c>
    </x:row>
    <x:row r="20">
      <x:c r="B20" s="30" t="str">
        <x:v>P14</x:v>
      </x:c>
      <x:c r="C20" s="30" t="str">
        <x:v>M3</x:v>
      </x:c>
      <x:c r="D20" s="30" t="str">
        <x:v>M4</x:v>
      </x:c>
      <x:c r="E20" s="56" t="n">
        <x:f>Mechanisms!AE10+Mechanisms!AE11</x:f>
        <x:v>17.886000000000003</x:v>
      </x:c>
      <x:c r="F20" s="56" t="n">
        <x:f>Mechanisms!AA10+Mechanisms!AA11</x:f>
        <x:v>145</x:v>
      </x:c>
      <x:c r="G20" s="30" t="n">
        <x:f>SUM(K20:Y20)</x:f>
        <x:v>11</x:v>
      </x:c>
      <x:c r="H20" s="30" t="n">
        <x:f>15-G20</x:f>
        <x:v>4</x:v>
      </x:c>
      <x:c r="I20" s="30" t="n">
        <x:f>0</x:f>
        <x:v>0</x:v>
      </x:c>
      <x:c r="J20" s="58" t="n">
        <x:f>Assumptions!$C$22+F20+Assumptions!$C$18*E20</x:f>
        <x:v>1034.098</x:v>
      </x:c>
      <x:c r="K20" s="30" t="n">
        <x:f>IF(OR('Mechanism Results'!S39="PASS",'Mechanism Results'!S55="PASS"),1,0)</x:f>
        <x:v>0</x:v>
      </x:c>
      <x:c r="L20" s="30" t="n">
        <x:f>IF(OR('Mechanism Results'!S40="PASS",'Mechanism Results'!S56="PASS"),1,0)</x:f>
        <x:v>1</x:v>
      </x:c>
      <x:c r="M20" s="30" t="n">
        <x:f>IF(OR('Mechanism Results'!S41="PASS",'Mechanism Results'!S57="PASS"),1,0)</x:f>
        <x:v>1</x:v>
      </x:c>
      <x:c r="N20" s="30" t="n">
        <x:f>IF(OR('Mechanism Results'!S42="PASS",'Mechanism Results'!S58="PASS"),1,0)</x:f>
        <x:v>1</x:v>
      </x:c>
      <x:c r="O20" s="30" t="n">
        <x:f>IF(OR('Mechanism Results'!S43="PASS",'Mechanism Results'!S59="PASS"),1,0)</x:f>
        <x:v>1</x:v>
      </x:c>
      <x:c r="P20" s="30" t="n">
        <x:f>IF(OR('Mechanism Results'!S44="PASS",'Mechanism Results'!S60="PASS"),1,0)</x:f>
        <x:v>1</x:v>
      </x:c>
      <x:c r="Q20" s="30" t="n">
        <x:f>IF(OR('Mechanism Results'!S45="PASS",'Mechanism Results'!S61="PASS"),1,0)</x:f>
        <x:v>1</x:v>
      </x:c>
      <x:c r="R20" s="30" t="n">
        <x:f>IF(OR('Mechanism Results'!S46="PASS",'Mechanism Results'!S62="PASS"),1,0)</x:f>
        <x:v>0</x:v>
      </x:c>
      <x:c r="S20" s="30" t="n">
        <x:f>IF(OR('Mechanism Results'!S47="PASS",'Mechanism Results'!S63="PASS"),1,0)</x:f>
        <x:v>1</x:v>
      </x:c>
      <x:c r="T20" s="30" t="n">
        <x:f>IF(OR('Mechanism Results'!S48="PASS",'Mechanism Results'!S64="PASS"),1,0)</x:f>
        <x:v>1</x:v>
      </x:c>
      <x:c r="U20" s="30" t="n">
        <x:f>IF(OR('Mechanism Results'!S49="PASS",'Mechanism Results'!S65="PASS"),1,0)</x:f>
        <x:v>1</x:v>
      </x:c>
      <x:c r="V20" s="30" t="n">
        <x:f>IF(OR('Mechanism Results'!S50="PASS",'Mechanism Results'!S66="PASS"),1,0)</x:f>
        <x:v>0</x:v>
      </x:c>
      <x:c r="W20" s="30" t="n">
        <x:f>IF(OR('Mechanism Results'!S51="PASS",'Mechanism Results'!S67="PASS"),1,0)</x:f>
        <x:v>0</x:v>
      </x:c>
      <x:c r="X20" s="30" t="n">
        <x:f>IF(OR('Mechanism Results'!S52="PASS",'Mechanism Results'!S68="PASS"),1,0)</x:f>
        <x:v>1</x:v>
      </x:c>
      <x:c r="Y20" s="32" t="n">
        <x:f>IF(OR('Mechanism Results'!S53="PASS",'Mechanism Results'!S69="PASS"),1,0)</x:f>
        <x:v>1</x:v>
      </x:c>
    </x:row>
    <x:row r="21">
      <x:c r="B21" s="30" t="str">
        <x:v>P15</x:v>
      </x:c>
      <x:c r="C21" s="30" t="str">
        <x:v>M3</x:v>
      </x:c>
      <x:c r="D21" s="30" t="str">
        <x:v>M5</x:v>
      </x:c>
      <x:c r="E21" s="56" t="n">
        <x:f>Mechanisms!AE10+Mechanisms!AE12</x:f>
        <x:v>9.4592</x:v>
      </x:c>
      <x:c r="F21" s="56" t="n">
        <x:f>Mechanisms!AA10+Mechanisms!AA12</x:f>
        <x:v>105</x:v>
      </x:c>
      <x:c r="G21" s="30" t="n">
        <x:f>SUM(K21:Y21)</x:f>
        <x:v>8</x:v>
      </x:c>
      <x:c r="H21" s="30" t="n">
        <x:f>15-G21</x:f>
        <x:v>7</x:v>
      </x:c>
      <x:c r="I21" s="30" t="n">
        <x:f>0</x:f>
        <x:v>0</x:v>
      </x:c>
      <x:c r="J21" s="58" t="n">
        <x:f>Assumptions!$C$22+F21+Assumptions!$C$18*E21</x:f>
        <x:v>631.7456</x:v>
      </x:c>
      <x:c r="K21" s="30" t="n">
        <x:f>IF(OR('Mechanism Results'!S39="PASS",'Mechanism Results'!S71="PASS"),1,0)</x:f>
        <x:v>0</x:v>
      </x:c>
      <x:c r="L21" s="30" t="n">
        <x:f>IF(OR('Mechanism Results'!S40="PASS",'Mechanism Results'!S72="PASS"),1,0)</x:f>
        <x:v>0</x:v>
      </x:c>
      <x:c r="M21" s="30" t="n">
        <x:f>IF(OR('Mechanism Results'!S41="PASS",'Mechanism Results'!S73="PASS"),1,0)</x:f>
        <x:v>0</x:v>
      </x:c>
      <x:c r="N21" s="30" t="n">
        <x:f>IF(OR('Mechanism Results'!S42="PASS",'Mechanism Results'!S74="PASS"),1,0)</x:f>
        <x:v>1</x:v>
      </x:c>
      <x:c r="O21" s="30" t="n">
        <x:f>IF(OR('Mechanism Results'!S43="PASS",'Mechanism Results'!S75="PASS"),1,0)</x:f>
        <x:v>1</x:v>
      </x:c>
      <x:c r="P21" s="30" t="n">
        <x:f>IF(OR('Mechanism Results'!S44="PASS",'Mechanism Results'!S76="PASS"),1,0)</x:f>
        <x:v>0</x:v>
      </x:c>
      <x:c r="Q21" s="30" t="n">
        <x:f>IF(OR('Mechanism Results'!S45="PASS",'Mechanism Results'!S77="PASS"),1,0)</x:f>
        <x:v>1</x:v>
      </x:c>
      <x:c r="R21" s="30" t="n">
        <x:f>IF(OR('Mechanism Results'!S46="PASS",'Mechanism Results'!S78="PASS"),1,0)</x:f>
        <x:v>0</x:v>
      </x:c>
      <x:c r="S21" s="30" t="n">
        <x:f>IF(OR('Mechanism Results'!S47="PASS",'Mechanism Results'!S79="PASS"),1,0)</x:f>
        <x:v>1</x:v>
      </x:c>
      <x:c r="T21" s="30" t="n">
        <x:f>IF(OR('Mechanism Results'!S48="PASS",'Mechanism Results'!S80="PASS"),1,0)</x:f>
        <x:v>1</x:v>
      </x:c>
      <x:c r="U21" s="30" t="n">
        <x:f>IF(OR('Mechanism Results'!S49="PASS",'Mechanism Results'!S81="PASS"),1,0)</x:f>
        <x:v>1</x:v>
      </x:c>
      <x:c r="V21" s="30" t="n">
        <x:f>IF(OR('Mechanism Results'!S50="PASS",'Mechanism Results'!S82="PASS"),1,0)</x:f>
        <x:v>0</x:v>
      </x:c>
      <x:c r="W21" s="30" t="n">
        <x:f>IF(OR('Mechanism Results'!S51="PASS",'Mechanism Results'!S83="PASS"),1,0)</x:f>
        <x:v>1</x:v>
      </x:c>
      <x:c r="X21" s="30" t="n">
        <x:f>IF(OR('Mechanism Results'!S52="PASS",'Mechanism Results'!S84="PASS"),1,0)</x:f>
        <x:v>1</x:v>
      </x:c>
      <x:c r="Y21" s="32" t="n">
        <x:f>IF(OR('Mechanism Results'!S53="PASS",'Mechanism Results'!S85="PASS"),1,0)</x:f>
        <x:v>0</x:v>
      </x:c>
    </x:row>
    <x:row r="22">
      <x:c r="B22" s="30" t="str">
        <x:v>P16</x:v>
      </x:c>
      <x:c r="C22" s="30" t="str">
        <x:v>M3</x:v>
      </x:c>
      <x:c r="D22" s="30" t="str">
        <x:v>M6</x:v>
      </x:c>
      <x:c r="E22" s="56" t="n">
        <x:f>Mechanisms!AE10+Mechanisms!AE13</x:f>
        <x:v>8.843</x:v>
      </x:c>
      <x:c r="F22" s="56" t="n">
        <x:f>Mechanisms!AA10+Mechanisms!AA13</x:f>
        <x:v>100</x:v>
      </x:c>
      <x:c r="G22" s="30" t="n">
        <x:f>SUM(K22:Y22)</x:f>
        <x:v>7</x:v>
      </x:c>
      <x:c r="H22" s="30" t="n">
        <x:f>15-G22</x:f>
        <x:v>8</x:v>
      </x:c>
      <x:c r="I22" s="30" t="n">
        <x:f>0</x:f>
        <x:v>0</x:v>
      </x:c>
      <x:c r="J22" s="58" t="n">
        <x:f>Assumptions!$C$22+F22+Assumptions!$C$18*E22</x:f>
        <x:v>600.249</x:v>
      </x:c>
      <x:c r="K22" s="30" t="n">
        <x:f>IF(OR('Mechanism Results'!S39="PASS",'Mechanism Results'!S87="PASS"),1,0)</x:f>
        <x:v>0</x:v>
      </x:c>
      <x:c r="L22" s="30" t="n">
        <x:f>IF(OR('Mechanism Results'!S40="PASS",'Mechanism Results'!S88="PASS"),1,0)</x:f>
        <x:v>0</x:v>
      </x:c>
      <x:c r="M22" s="30" t="n">
        <x:f>IF(OR('Mechanism Results'!S41="PASS",'Mechanism Results'!S89="PASS"),1,0)</x:f>
        <x:v>0</x:v>
      </x:c>
      <x:c r="N22" s="30" t="n">
        <x:f>IF(OR('Mechanism Results'!S42="PASS",'Mechanism Results'!S90="PASS"),1,0)</x:f>
        <x:v>1</x:v>
      </x:c>
      <x:c r="O22" s="30" t="n">
        <x:f>IF(OR('Mechanism Results'!S43="PASS",'Mechanism Results'!S91="PASS"),1,0)</x:f>
        <x:v>1</x:v>
      </x:c>
      <x:c r="P22" s="30" t="n">
        <x:f>IF(OR('Mechanism Results'!S44="PASS",'Mechanism Results'!S92="PASS"),1,0)</x:f>
        <x:v>0</x:v>
      </x:c>
      <x:c r="Q22" s="30" t="n">
        <x:f>IF(OR('Mechanism Results'!S45="PASS",'Mechanism Results'!S93="PASS"),1,0)</x:f>
        <x:v>1</x:v>
      </x:c>
      <x:c r="R22" s="30" t="n">
        <x:f>IF(OR('Mechanism Results'!S46="PASS",'Mechanism Results'!S94="PASS"),1,0)</x:f>
        <x:v>0</x:v>
      </x:c>
      <x:c r="S22" s="30" t="n">
        <x:f>IF(OR('Mechanism Results'!S47="PASS",'Mechanism Results'!S95="PASS"),1,0)</x:f>
        <x:v>1</x:v>
      </x:c>
      <x:c r="T22" s="30" t="n">
        <x:f>IF(OR('Mechanism Results'!S48="PASS",'Mechanism Results'!S96="PASS"),1,0)</x:f>
        <x:v>1</x:v>
      </x:c>
      <x:c r="U22" s="30" t="n">
        <x:f>IF(OR('Mechanism Results'!S49="PASS",'Mechanism Results'!S97="PASS"),1,0)</x:f>
        <x:v>1</x:v>
      </x:c>
      <x:c r="V22" s="30" t="n">
        <x:f>IF(OR('Mechanism Results'!S50="PASS",'Mechanism Results'!S98="PASS"),1,0)</x:f>
        <x:v>0</x:v>
      </x:c>
      <x:c r="W22" s="30" t="n">
        <x:f>IF(OR('Mechanism Results'!S51="PASS",'Mechanism Results'!S99="PASS"),1,0)</x:f>
        <x:v>0</x:v>
      </x:c>
      <x:c r="X22" s="30" t="n">
        <x:f>IF(OR('Mechanism Results'!S52="PASS",'Mechanism Results'!S100="PASS"),1,0)</x:f>
        <x:v>1</x:v>
      </x:c>
      <x:c r="Y22" s="32" t="n">
        <x:f>IF(OR('Mechanism Results'!S53="PASS",'Mechanism Results'!S101="PASS"),1,0)</x:f>
        <x:v>0</x:v>
      </x:c>
    </x:row>
    <x:row r="23">
      <x:c r="B23" s="30" t="str">
        <x:v>P17</x:v>
      </x:c>
      <x:c r="C23" s="30" t="str">
        <x:v>M3</x:v>
      </x:c>
      <x:c r="D23" s="30" t="str">
        <x:v>M7</x:v>
      </x:c>
      <x:c r="E23" s="56" t="n">
        <x:f>Mechanisms!AE10+Mechanisms!AE14</x:f>
        <x:v>13.6455</x:v>
      </x:c>
      <x:c r="F23" s="56" t="n">
        <x:f>Mechanisms!AA10+Mechanisms!AA14</x:f>
        <x:v>125</x:v>
      </x:c>
      <x:c r="G23" s="30" t="n">
        <x:f>SUM(K23:Y23)</x:f>
        <x:v>8</x:v>
      </x:c>
      <x:c r="H23" s="30" t="n">
        <x:f>15-G23</x:f>
        <x:v>7</x:v>
      </x:c>
      <x:c r="I23" s="30" t="n">
        <x:f>0</x:f>
        <x:v>0</x:v>
      </x:c>
      <x:c r="J23" s="58" t="n">
        <x:f>Assumptions!$C$22+F23+Assumptions!$C$18*E23</x:f>
        <x:v>831.7565</x:v>
      </x:c>
      <x:c r="K23" s="30" t="n">
        <x:f>IF(OR('Mechanism Results'!S39="PASS",'Mechanism Results'!S103="PASS"),1,0)</x:f>
        <x:v>0</x:v>
      </x:c>
      <x:c r="L23" s="30" t="n">
        <x:f>IF(OR('Mechanism Results'!S40="PASS",'Mechanism Results'!S104="PASS"),1,0)</x:f>
        <x:v>0</x:v>
      </x:c>
      <x:c r="M23" s="30" t="n">
        <x:f>IF(OR('Mechanism Results'!S41="PASS",'Mechanism Results'!S105="PASS"),1,0)</x:f>
        <x:v>0</x:v>
      </x:c>
      <x:c r="N23" s="30" t="n">
        <x:f>IF(OR('Mechanism Results'!S42="PASS",'Mechanism Results'!S106="PASS"),1,0)</x:f>
        <x:v>1</x:v>
      </x:c>
      <x:c r="O23" s="30" t="n">
        <x:f>IF(OR('Mechanism Results'!S43="PASS",'Mechanism Results'!S107="PASS"),1,0)</x:f>
        <x:v>1</x:v>
      </x:c>
      <x:c r="P23" s="30" t="n">
        <x:f>IF(OR('Mechanism Results'!S44="PASS",'Mechanism Results'!S108="PASS"),1,0)</x:f>
        <x:v>0</x:v>
      </x:c>
      <x:c r="Q23" s="30" t="n">
        <x:f>IF(OR('Mechanism Results'!S45="PASS",'Mechanism Results'!S109="PASS"),1,0)</x:f>
        <x:v>1</x:v>
      </x:c>
      <x:c r="R23" s="30" t="n">
        <x:f>IF(OR('Mechanism Results'!S46="PASS",'Mechanism Results'!S110="PASS"),1,0)</x:f>
        <x:v>0</x:v>
      </x:c>
      <x:c r="S23" s="30" t="n">
        <x:f>IF(OR('Mechanism Results'!S47="PASS",'Mechanism Results'!S111="PASS"),1,0)</x:f>
        <x:v>1</x:v>
      </x:c>
      <x:c r="T23" s="30" t="n">
        <x:f>IF(OR('Mechanism Results'!S48="PASS",'Mechanism Results'!S112="PASS"),1,0)</x:f>
        <x:v>1</x:v>
      </x:c>
      <x:c r="U23" s="30" t="n">
        <x:f>IF(OR('Mechanism Results'!S49="PASS",'Mechanism Results'!S113="PASS"),1,0)</x:f>
        <x:v>1</x:v>
      </x:c>
      <x:c r="V23" s="30" t="n">
        <x:f>IF(OR('Mechanism Results'!S50="PASS",'Mechanism Results'!S114="PASS"),1,0)</x:f>
        <x:v>1</x:v>
      </x:c>
      <x:c r="W23" s="30" t="n">
        <x:f>IF(OR('Mechanism Results'!S51="PASS",'Mechanism Results'!S115="PASS"),1,0)</x:f>
        <x:v>0</x:v>
      </x:c>
      <x:c r="X23" s="30" t="n">
        <x:f>IF(OR('Mechanism Results'!S52="PASS",'Mechanism Results'!S116="PASS"),1,0)</x:f>
        <x:v>1</x:v>
      </x:c>
      <x:c r="Y23" s="32" t="n">
        <x:f>IF(OR('Mechanism Results'!S53="PASS",'Mechanism Results'!S117="PASS"),1,0)</x:f>
        <x:v>0</x:v>
      </x:c>
    </x:row>
    <x:row r="24">
      <x:c r="B24" s="30" t="str">
        <x:v>P18</x:v>
      </x:c>
      <x:c r="C24" s="30" t="str">
        <x:v>M3</x:v>
      </x:c>
      <x:c r="D24" s="30" t="str">
        <x:v>M8</x:v>
      </x:c>
      <x:c r="E24" s="56" t="n">
        <x:f>Mechanisms!AE10+Mechanisms!AE15</x:f>
        <x:v>12.0078</x:v>
      </x:c>
      <x:c r="F24" s="56" t="n">
        <x:f>Mechanisms!AA10+Mechanisms!AA15</x:f>
        <x:v>120</x:v>
      </x:c>
      <x:c r="G24" s="30" t="n">
        <x:f>SUM(K24:Y24)</x:f>
        <x:v>8</x:v>
      </x:c>
      <x:c r="H24" s="30" t="n">
        <x:f>15-G24</x:f>
        <x:v>7</x:v>
      </x:c>
      <x:c r="I24" s="30" t="n">
        <x:f>0</x:f>
        <x:v>0</x:v>
      </x:c>
      <x:c r="J24" s="58" t="n">
        <x:f>Assumptions!$C$22+F24+Assumptions!$C$18*E24</x:f>
        <x:v>756.3353999999999</x:v>
      </x:c>
      <x:c r="K24" s="30" t="n">
        <x:f>IF(OR('Mechanism Results'!S39="PASS",'Mechanism Results'!S119="PASS"),1,0)</x:f>
        <x:v>0</x:v>
      </x:c>
      <x:c r="L24" s="30" t="n">
        <x:f>IF(OR('Mechanism Results'!S40="PASS",'Mechanism Results'!S120="PASS"),1,0)</x:f>
        <x:v>0</x:v>
      </x:c>
      <x:c r="M24" s="30" t="n">
        <x:f>IF(OR('Mechanism Results'!S41="PASS",'Mechanism Results'!S121="PASS"),1,0)</x:f>
        <x:v>1</x:v>
      </x:c>
      <x:c r="N24" s="30" t="n">
        <x:f>IF(OR('Mechanism Results'!S42="PASS",'Mechanism Results'!S122="PASS"),1,0)</x:f>
        <x:v>1</x:v>
      </x:c>
      <x:c r="O24" s="30" t="n">
        <x:f>IF(OR('Mechanism Results'!S43="PASS",'Mechanism Results'!S123="PASS"),1,0)</x:f>
        <x:v>1</x:v>
      </x:c>
      <x:c r="P24" s="30" t="n">
        <x:f>IF(OR('Mechanism Results'!S44="PASS",'Mechanism Results'!S124="PASS"),1,0)</x:f>
        <x:v>0</x:v>
      </x:c>
      <x:c r="Q24" s="30" t="n">
        <x:f>IF(OR('Mechanism Results'!S45="PASS",'Mechanism Results'!S125="PASS"),1,0)</x:f>
        <x:v>1</x:v>
      </x:c>
      <x:c r="R24" s="30" t="n">
        <x:f>IF(OR('Mechanism Results'!S46="PASS",'Mechanism Results'!S126="PASS"),1,0)</x:f>
        <x:v>0</x:v>
      </x:c>
      <x:c r="S24" s="30" t="n">
        <x:f>IF(OR('Mechanism Results'!S47="PASS",'Mechanism Results'!S127="PASS"),1,0)</x:f>
        <x:v>1</x:v>
      </x:c>
      <x:c r="T24" s="30" t="n">
        <x:f>IF(OR('Mechanism Results'!S48="PASS",'Mechanism Results'!S128="PASS"),1,0)</x:f>
        <x:v>1</x:v>
      </x:c>
      <x:c r="U24" s="30" t="n">
        <x:f>IF(OR('Mechanism Results'!S49="PASS",'Mechanism Results'!S129="PASS"),1,0)</x:f>
        <x:v>1</x:v>
      </x:c>
      <x:c r="V24" s="30" t="n">
        <x:f>IF(OR('Mechanism Results'!S50="PASS",'Mechanism Results'!S130="PASS"),1,0)</x:f>
        <x:v>0</x:v>
      </x:c>
      <x:c r="W24" s="30" t="n">
        <x:f>IF(OR('Mechanism Results'!S51="PASS",'Mechanism Results'!S131="PASS"),1,0)</x:f>
        <x:v>0</x:v>
      </x:c>
      <x:c r="X24" s="30" t="n">
        <x:f>IF(OR('Mechanism Results'!S52="PASS",'Mechanism Results'!S132="PASS"),1,0)</x:f>
        <x:v>1</x:v>
      </x:c>
      <x:c r="Y24" s="32" t="n">
        <x:f>IF(OR('Mechanism Results'!S53="PASS",'Mechanism Results'!S133="PASS"),1,0)</x:f>
        <x:v>0</x:v>
      </x:c>
    </x:row>
    <x:row r="25">
      <x:c r="B25" s="30" t="str">
        <x:v>P19</x:v>
      </x:c>
      <x:c r="C25" s="30" t="str">
        <x:v>M4</x:v>
      </x:c>
      <x:c r="D25" s="30" t="str">
        <x:v>M5</x:v>
      </x:c>
      <x:c r="E25" s="56" t="n">
        <x:f>Mechanisms!AE11+Mechanisms!AE12</x:f>
        <x:v>14.621200000000002</x:v>
      </x:c>
      <x:c r="F25" s="56" t="n">
        <x:f>Mechanisms!AA11+Mechanisms!AA12</x:f>
        <x:v>130</x:v>
      </x:c>
      <x:c r="G25" s="30" t="n">
        <x:f>SUM(K25:Y25)</x:f>
        <x:v>9</x:v>
      </x:c>
      <x:c r="H25" s="30" t="n">
        <x:f>15-G25</x:f>
        <x:v>6</x:v>
      </x:c>
      <x:c r="I25" s="30" t="n">
        <x:f>0</x:f>
        <x:v>0</x:v>
      </x:c>
      <x:c r="J25" s="58" t="n">
        <x:f>Assumptions!$C$22+F25+Assumptions!$C$18*E25</x:f>
        <x:v>878.7116000000001</x:v>
      </x:c>
      <x:c r="K25" s="30" t="n">
        <x:f>IF(OR('Mechanism Results'!S55="PASS",'Mechanism Results'!S71="PASS"),1,0)</x:f>
        <x:v>0</x:v>
      </x:c>
      <x:c r="L25" s="30" t="n">
        <x:f>IF(OR('Mechanism Results'!S56="PASS",'Mechanism Results'!S72="PASS"),1,0)</x:f>
        <x:v>1</x:v>
      </x:c>
      <x:c r="M25" s="30" t="n">
        <x:f>IF(OR('Mechanism Results'!S57="PASS",'Mechanism Results'!S73="PASS"),1,0)</x:f>
        <x:v>1</x:v>
      </x:c>
      <x:c r="N25" s="30" t="n">
        <x:f>IF(OR('Mechanism Results'!S58="PASS",'Mechanism Results'!S74="PASS"),1,0)</x:f>
        <x:v>1</x:v>
      </x:c>
      <x:c r="O25" s="30" t="n">
        <x:f>IF(OR('Mechanism Results'!S59="PASS",'Mechanism Results'!S75="PASS"),1,0)</x:f>
        <x:v>0</x:v>
      </x:c>
      <x:c r="P25" s="30" t="n">
        <x:f>IF(OR('Mechanism Results'!S60="PASS",'Mechanism Results'!S76="PASS"),1,0)</x:f>
        <x:v>1</x:v>
      </x:c>
      <x:c r="Q25" s="30" t="n">
        <x:f>IF(OR('Mechanism Results'!S61="PASS",'Mechanism Results'!S77="PASS"),1,0)</x:f>
        <x:v>1</x:v>
      </x:c>
      <x:c r="R25" s="30" t="n">
        <x:f>IF(OR('Mechanism Results'!S62="PASS",'Mechanism Results'!S78="PASS"),1,0)</x:f>
        <x:v>0</x:v>
      </x:c>
      <x:c r="S25" s="30" t="n">
        <x:f>IF(OR('Mechanism Results'!S63="PASS",'Mechanism Results'!S79="PASS"),1,0)</x:f>
        <x:v>0</x:v>
      </x:c>
      <x:c r="T25" s="30" t="n">
        <x:f>IF(OR('Mechanism Results'!S64="PASS",'Mechanism Results'!S80="PASS"),1,0)</x:f>
        <x:v>1</x:v>
      </x:c>
      <x:c r="U25" s="30" t="n">
        <x:f>IF(OR('Mechanism Results'!S65="PASS",'Mechanism Results'!S81="PASS"),1,0)</x:f>
        <x:v>0</x:v>
      </x:c>
      <x:c r="V25" s="30" t="n">
        <x:f>IF(OR('Mechanism Results'!S66="PASS",'Mechanism Results'!S82="PASS"),1,0)</x:f>
        <x:v>0</x:v>
      </x:c>
      <x:c r="W25" s="30" t="n">
        <x:f>IF(OR('Mechanism Results'!S67="PASS",'Mechanism Results'!S83="PASS"),1,0)</x:f>
        <x:v>1</x:v>
      </x:c>
      <x:c r="X25" s="30" t="n">
        <x:f>IF(OR('Mechanism Results'!S68="PASS",'Mechanism Results'!S84="PASS"),1,0)</x:f>
        <x:v>1</x:v>
      </x:c>
      <x:c r="Y25" s="32" t="n">
        <x:f>IF(OR('Mechanism Results'!S69="PASS",'Mechanism Results'!S85="PASS"),1,0)</x:f>
        <x:v>1</x:v>
      </x:c>
    </x:row>
    <x:row r="26">
      <x:c r="B26" s="30" t="str">
        <x:v>P20</x:v>
      </x:c>
      <x:c r="C26" s="30" t="str">
        <x:v>M4</x:v>
      </x:c>
      <x:c r="D26" s="30" t="str">
        <x:v>M6</x:v>
      </x:c>
      <x:c r="E26" s="56" t="n">
        <x:f>Mechanisms!AE11+Mechanisms!AE13</x:f>
        <x:v>14.005</x:v>
      </x:c>
      <x:c r="F26" s="56" t="n">
        <x:f>Mechanisms!AA11+Mechanisms!AA13</x:f>
        <x:v>125</x:v>
      </x:c>
      <x:c r="G26" s="30" t="n">
        <x:f>SUM(K26:Y26)</x:f>
        <x:v>8</x:v>
      </x:c>
      <x:c r="H26" s="30" t="n">
        <x:f>15-G26</x:f>
        <x:v>7</x:v>
      </x:c>
      <x:c r="I26" s="30" t="n">
        <x:f>0</x:f>
        <x:v>0</x:v>
      </x:c>
      <x:c r="J26" s="58" t="n">
        <x:f>Assumptions!$C$22+F26+Assumptions!$C$18*E26</x:f>
        <x:v>847.215</x:v>
      </x:c>
      <x:c r="K26" s="30" t="n">
        <x:f>IF(OR('Mechanism Results'!S55="PASS",'Mechanism Results'!S87="PASS"),1,0)</x:f>
        <x:v>0</x:v>
      </x:c>
      <x:c r="L26" s="30" t="n">
        <x:f>IF(OR('Mechanism Results'!S56="PASS",'Mechanism Results'!S88="PASS"),1,0)</x:f>
        <x:v>1</x:v>
      </x:c>
      <x:c r="M26" s="30" t="n">
        <x:f>IF(OR('Mechanism Results'!S57="PASS",'Mechanism Results'!S89="PASS"),1,0)</x:f>
        <x:v>1</x:v>
      </x:c>
      <x:c r="N26" s="30" t="n">
        <x:f>IF(OR('Mechanism Results'!S58="PASS",'Mechanism Results'!S90="PASS"),1,0)</x:f>
        <x:v>1</x:v>
      </x:c>
      <x:c r="O26" s="30" t="n">
        <x:f>IF(OR('Mechanism Results'!S59="PASS",'Mechanism Results'!S91="PASS"),1,0)</x:f>
        <x:v>0</x:v>
      </x:c>
      <x:c r="P26" s="30" t="n">
        <x:f>IF(OR('Mechanism Results'!S60="PASS",'Mechanism Results'!S92="PASS"),1,0)</x:f>
        <x:v>1</x:v>
      </x:c>
      <x:c r="Q26" s="30" t="n">
        <x:f>IF(OR('Mechanism Results'!S61="PASS",'Mechanism Results'!S93="PASS"),1,0)</x:f>
        <x:v>1</x:v>
      </x:c>
      <x:c r="R26" s="30" t="n">
        <x:f>IF(OR('Mechanism Results'!S62="PASS",'Mechanism Results'!S94="PASS"),1,0)</x:f>
        <x:v>0</x:v>
      </x:c>
      <x:c r="S26" s="30" t="n">
        <x:f>IF(OR('Mechanism Results'!S63="PASS",'Mechanism Results'!S95="PASS"),1,0)</x:f>
        <x:v>0</x:v>
      </x:c>
      <x:c r="T26" s="30" t="n">
        <x:f>IF(OR('Mechanism Results'!S64="PASS",'Mechanism Results'!S96="PASS"),1,0)</x:f>
        <x:v>1</x:v>
      </x:c>
      <x:c r="U26" s="30" t="n">
        <x:f>IF(OR('Mechanism Results'!S65="PASS",'Mechanism Results'!S97="PASS"),1,0)</x:f>
        <x:v>0</x:v>
      </x:c>
      <x:c r="V26" s="30" t="n">
        <x:f>IF(OR('Mechanism Results'!S66="PASS",'Mechanism Results'!S98="PASS"),1,0)</x:f>
        <x:v>0</x:v>
      </x:c>
      <x:c r="W26" s="30" t="n">
        <x:f>IF(OR('Mechanism Results'!S67="PASS",'Mechanism Results'!S99="PASS"),1,0)</x:f>
        <x:v>0</x:v>
      </x:c>
      <x:c r="X26" s="30" t="n">
        <x:f>IF(OR('Mechanism Results'!S68="PASS",'Mechanism Results'!S100="PASS"),1,0)</x:f>
        <x:v>1</x:v>
      </x:c>
      <x:c r="Y26" s="32" t="n">
        <x:f>IF(OR('Mechanism Results'!S69="PASS",'Mechanism Results'!S101="PASS"),1,0)</x:f>
        <x:v>1</x:v>
      </x:c>
    </x:row>
    <x:row r="27">
      <x:c r="B27" s="30" t="str">
        <x:v>P21</x:v>
      </x:c>
      <x:c r="C27" s="30" t="str">
        <x:v>M4</x:v>
      </x:c>
      <x:c r="D27" s="30" t="str">
        <x:v>M7</x:v>
      </x:c>
      <x:c r="E27" s="56" t="n">
        <x:f>Mechanisms!AE11+Mechanisms!AE14</x:f>
        <x:v>18.8075</x:v>
      </x:c>
      <x:c r="F27" s="56" t="n">
        <x:f>Mechanisms!AA11+Mechanisms!AA14</x:f>
        <x:v>150</x:v>
      </x:c>
      <x:c r="G27" s="30" t="n">
        <x:f>SUM(K27:Y27)</x:f>
        <x:v>9</x:v>
      </x:c>
      <x:c r="H27" s="30" t="n">
        <x:f>15-G27</x:f>
        <x:v>6</x:v>
      </x:c>
      <x:c r="I27" s="30" t="n">
        <x:f>0</x:f>
        <x:v>0</x:v>
      </x:c>
      <x:c r="J27" s="58" t="n">
        <x:f>Assumptions!$C$22+F27+Assumptions!$C$18*E27</x:f>
        <x:v>1078.7225</x:v>
      </x:c>
      <x:c r="K27" s="30" t="n">
        <x:f>IF(OR('Mechanism Results'!S55="PASS",'Mechanism Results'!S103="PASS"),1,0)</x:f>
        <x:v>0</x:v>
      </x:c>
      <x:c r="L27" s="30" t="n">
        <x:f>IF(OR('Mechanism Results'!S56="PASS",'Mechanism Results'!S104="PASS"),1,0)</x:f>
        <x:v>1</x:v>
      </x:c>
      <x:c r="M27" s="30" t="n">
        <x:f>IF(OR('Mechanism Results'!S57="PASS",'Mechanism Results'!S105="PASS"),1,0)</x:f>
        <x:v>1</x:v>
      </x:c>
      <x:c r="N27" s="30" t="n">
        <x:f>IF(OR('Mechanism Results'!S58="PASS",'Mechanism Results'!S106="PASS"),1,0)</x:f>
        <x:v>1</x:v>
      </x:c>
      <x:c r="O27" s="30" t="n">
        <x:f>IF(OR('Mechanism Results'!S59="PASS",'Mechanism Results'!S107="PASS"),1,0)</x:f>
        <x:v>0</x:v>
      </x:c>
      <x:c r="P27" s="30" t="n">
        <x:f>IF(OR('Mechanism Results'!S60="PASS",'Mechanism Results'!S108="PASS"),1,0)</x:f>
        <x:v>1</x:v>
      </x:c>
      <x:c r="Q27" s="30" t="n">
        <x:f>IF(OR('Mechanism Results'!S61="PASS",'Mechanism Results'!S109="PASS"),1,0)</x:f>
        <x:v>1</x:v>
      </x:c>
      <x:c r="R27" s="30" t="n">
        <x:f>IF(OR('Mechanism Results'!S62="PASS",'Mechanism Results'!S110="PASS"),1,0)</x:f>
        <x:v>0</x:v>
      </x:c>
      <x:c r="S27" s="30" t="n">
        <x:f>IF(OR('Mechanism Results'!S63="PASS",'Mechanism Results'!S111="PASS"),1,0)</x:f>
        <x:v>0</x:v>
      </x:c>
      <x:c r="T27" s="30" t="n">
        <x:f>IF(OR('Mechanism Results'!S64="PASS",'Mechanism Results'!S112="PASS"),1,0)</x:f>
        <x:v>1</x:v>
      </x:c>
      <x:c r="U27" s="30" t="n">
        <x:f>IF(OR('Mechanism Results'!S65="PASS",'Mechanism Results'!S113="PASS"),1,0)</x:f>
        <x:v>0</x:v>
      </x:c>
      <x:c r="V27" s="30" t="n">
        <x:f>IF(OR('Mechanism Results'!S66="PASS",'Mechanism Results'!S114="PASS"),1,0)</x:f>
        <x:v>1</x:v>
      </x:c>
      <x:c r="W27" s="30" t="n">
        <x:f>IF(OR('Mechanism Results'!S67="PASS",'Mechanism Results'!S115="PASS"),1,0)</x:f>
        <x:v>0</x:v>
      </x:c>
      <x:c r="X27" s="30" t="n">
        <x:f>IF(OR('Mechanism Results'!S68="PASS",'Mechanism Results'!S116="PASS"),1,0)</x:f>
        <x:v>1</x:v>
      </x:c>
      <x:c r="Y27" s="32" t="n">
        <x:f>IF(OR('Mechanism Results'!S69="PASS",'Mechanism Results'!S117="PASS"),1,0)</x:f>
        <x:v>1</x:v>
      </x:c>
    </x:row>
    <x:row r="28">
      <x:c r="B28" s="30" t="str">
        <x:v>P22</x:v>
      </x:c>
      <x:c r="C28" s="30" t="str">
        <x:v>M4</x:v>
      </x:c>
      <x:c r="D28" s="30" t="str">
        <x:v>M8</x:v>
      </x:c>
      <x:c r="E28" s="56" t="n">
        <x:f>Mechanisms!AE11+Mechanisms!AE15</x:f>
        <x:v>17.169800000000002</x:v>
      </x:c>
      <x:c r="F28" s="56" t="n">
        <x:f>Mechanisms!AA11+Mechanisms!AA15</x:f>
        <x:v>145</x:v>
      </x:c>
      <x:c r="G28" s="30" t="n">
        <x:f>SUM(K28:Y28)</x:f>
        <x:v>8</x:v>
      </x:c>
      <x:c r="H28" s="30" t="n">
        <x:f>15-G28</x:f>
        <x:v>7</x:v>
      </x:c>
      <x:c r="I28" s="30" t="n">
        <x:f>0</x:f>
        <x:v>0</x:v>
      </x:c>
      <x:c r="J28" s="58" t="n">
        <x:f>Assumptions!$C$22+F28+Assumptions!$C$18*E28</x:f>
        <x:v>1003.3014000000001</x:v>
      </x:c>
      <x:c r="K28" s="30" t="n">
        <x:f>IF(OR('Mechanism Results'!S55="PASS",'Mechanism Results'!S119="PASS"),1,0)</x:f>
        <x:v>0</x:v>
      </x:c>
      <x:c r="L28" s="30" t="n">
        <x:f>IF(OR('Mechanism Results'!S56="PASS",'Mechanism Results'!S120="PASS"),1,0)</x:f>
        <x:v>1</x:v>
      </x:c>
      <x:c r="M28" s="30" t="n">
        <x:f>IF(OR('Mechanism Results'!S57="PASS",'Mechanism Results'!S121="PASS"),1,0)</x:f>
        <x:v>1</x:v>
      </x:c>
      <x:c r="N28" s="30" t="n">
        <x:f>IF(OR('Mechanism Results'!S58="PASS",'Mechanism Results'!S122="PASS"),1,0)</x:f>
        <x:v>1</x:v>
      </x:c>
      <x:c r="O28" s="30" t="n">
        <x:f>IF(OR('Mechanism Results'!S59="PASS",'Mechanism Results'!S123="PASS"),1,0)</x:f>
        <x:v>0</x:v>
      </x:c>
      <x:c r="P28" s="30" t="n">
        <x:f>IF(OR('Mechanism Results'!S60="PASS",'Mechanism Results'!S124="PASS"),1,0)</x:f>
        <x:v>1</x:v>
      </x:c>
      <x:c r="Q28" s="30" t="n">
        <x:f>IF(OR('Mechanism Results'!S61="PASS",'Mechanism Results'!S125="PASS"),1,0)</x:f>
        <x:v>1</x:v>
      </x:c>
      <x:c r="R28" s="30" t="n">
        <x:f>IF(OR('Mechanism Results'!S62="PASS",'Mechanism Results'!S126="PASS"),1,0)</x:f>
        <x:v>0</x:v>
      </x:c>
      <x:c r="S28" s="30" t="n">
        <x:f>IF(OR('Mechanism Results'!S63="PASS",'Mechanism Results'!S127="PASS"),1,0)</x:f>
        <x:v>0</x:v>
      </x:c>
      <x:c r="T28" s="30" t="n">
        <x:f>IF(OR('Mechanism Results'!S64="PASS",'Mechanism Results'!S128="PASS"),1,0)</x:f>
        <x:v>1</x:v>
      </x:c>
      <x:c r="U28" s="30" t="n">
        <x:f>IF(OR('Mechanism Results'!S65="PASS",'Mechanism Results'!S129="PASS"),1,0)</x:f>
        <x:v>0</x:v>
      </x:c>
      <x:c r="V28" s="30" t="n">
        <x:f>IF(OR('Mechanism Results'!S66="PASS",'Mechanism Results'!S130="PASS"),1,0)</x:f>
        <x:v>0</x:v>
      </x:c>
      <x:c r="W28" s="30" t="n">
        <x:f>IF(OR('Mechanism Results'!S67="PASS",'Mechanism Results'!S131="PASS"),1,0)</x:f>
        <x:v>0</x:v>
      </x:c>
      <x:c r="X28" s="30" t="n">
        <x:f>IF(OR('Mechanism Results'!S68="PASS",'Mechanism Results'!S132="PASS"),1,0)</x:f>
        <x:v>1</x:v>
      </x:c>
      <x:c r="Y28" s="32" t="n">
        <x:f>IF(OR('Mechanism Results'!S69="PASS",'Mechanism Results'!S133="PASS"),1,0)</x:f>
        <x:v>1</x:v>
      </x:c>
    </x:row>
    <x:row r="29">
      <x:c r="B29" s="30" t="str">
        <x:v>P23</x:v>
      </x:c>
      <x:c r="C29" s="30" t="str">
        <x:v>M5</x:v>
      </x:c>
      <x:c r="D29" s="30" t="str">
        <x:v>M6</x:v>
      </x:c>
      <x:c r="E29" s="56" t="n">
        <x:f>Mechanisms!AE12+Mechanisms!AE13</x:f>
        <x:v>5.578200000000001</x:v>
      </x:c>
      <x:c r="F29" s="56" t="n">
        <x:f>Mechanisms!AA12+Mechanisms!AA13</x:f>
        <x:v>85</x:v>
      </x:c>
      <x:c r="G29" s="30" t="n">
        <x:f>SUM(K29:Y29)</x:f>
        <x:v>2</x:v>
      </x:c>
      <x:c r="H29" s="30" t="n">
        <x:f>15-G29</x:f>
        <x:v>13</x:v>
      </x:c>
      <x:c r="I29" s="30" t="n">
        <x:f>0</x:f>
        <x:v>0</x:v>
      </x:c>
      <x:c r="J29" s="58" t="n">
        <x:f>Assumptions!$C$22+F29+Assumptions!$C$18*E29</x:f>
        <x:v>444.86260000000004</x:v>
      </x:c>
      <x:c r="K29" s="30" t="n">
        <x:f>IF(OR('Mechanism Results'!S71="PASS",'Mechanism Results'!S87="PASS"),1,0)</x:f>
        <x:v>0</x:v>
      </x:c>
      <x:c r="L29" s="30" t="n">
        <x:f>IF(OR('Mechanism Results'!S72="PASS",'Mechanism Results'!S88="PASS"),1,0)</x:f>
        <x:v>0</x:v>
      </x:c>
      <x:c r="M29" s="30" t="n">
        <x:f>IF(OR('Mechanism Results'!S73="PASS",'Mechanism Results'!S89="PASS"),1,0)</x:f>
        <x:v>0</x:v>
      </x:c>
      <x:c r="N29" s="30" t="n">
        <x:f>IF(OR('Mechanism Results'!S74="PASS",'Mechanism Results'!S90="PASS"),1,0)</x:f>
        <x:v>0</x:v>
      </x:c>
      <x:c r="O29" s="30" t="n">
        <x:f>IF(OR('Mechanism Results'!S75="PASS",'Mechanism Results'!S91="PASS"),1,0)</x:f>
        <x:v>0</x:v>
      </x:c>
      <x:c r="P29" s="30" t="n">
        <x:f>IF(OR('Mechanism Results'!S76="PASS",'Mechanism Results'!S92="PASS"),1,0)</x:f>
        <x:v>0</x:v>
      </x:c>
      <x:c r="Q29" s="30" t="n">
        <x:f>IF(OR('Mechanism Results'!S77="PASS",'Mechanism Results'!S93="PASS"),1,0)</x:f>
        <x:v>0</x:v>
      </x:c>
      <x:c r="R29" s="30" t="n">
        <x:f>IF(OR('Mechanism Results'!S78="PASS",'Mechanism Results'!S94="PASS"),1,0)</x:f>
        <x:v>0</x:v>
      </x:c>
      <x:c r="S29" s="30" t="n">
        <x:f>IF(OR('Mechanism Results'!S79="PASS",'Mechanism Results'!S95="PASS"),1,0)</x:f>
        <x:v>0</x:v>
      </x:c>
      <x:c r="T29" s="30" t="n">
        <x:f>IF(OR('Mechanism Results'!S80="PASS",'Mechanism Results'!S96="PASS"),1,0)</x:f>
        <x:v>0</x:v>
      </x:c>
      <x:c r="U29" s="30" t="n">
        <x:f>IF(OR('Mechanism Results'!S81="PASS",'Mechanism Results'!S97="PASS"),1,0)</x:f>
        <x:v>0</x:v>
      </x:c>
      <x:c r="V29" s="30" t="n">
        <x:f>IF(OR('Mechanism Results'!S82="PASS",'Mechanism Results'!S98="PASS"),1,0)</x:f>
        <x:v>0</x:v>
      </x:c>
      <x:c r="W29" s="30" t="n">
        <x:f>IF(OR('Mechanism Results'!S83="PASS",'Mechanism Results'!S99="PASS"),1,0)</x:f>
        <x:v>1</x:v>
      </x:c>
      <x:c r="X29" s="30" t="n">
        <x:f>IF(OR('Mechanism Results'!S84="PASS",'Mechanism Results'!S100="PASS"),1,0)</x:f>
        <x:v>1</x:v>
      </x:c>
      <x:c r="Y29" s="32" t="n">
        <x:f>IF(OR('Mechanism Results'!S85="PASS",'Mechanism Results'!S101="PASS"),1,0)</x:f>
        <x:v>0</x:v>
      </x:c>
    </x:row>
    <x:row r="30">
      <x:c r="B30" s="30" t="str">
        <x:v>P24</x:v>
      </x:c>
      <x:c r="C30" s="30" t="str">
        <x:v>M5</x:v>
      </x:c>
      <x:c r="D30" s="30" t="str">
        <x:v>M7</x:v>
      </x:c>
      <x:c r="E30" s="56" t="n">
        <x:f>Mechanisms!AE12+Mechanisms!AE14</x:f>
        <x:v>10.380700000000001</x:v>
      </x:c>
      <x:c r="F30" s="56" t="n">
        <x:f>Mechanisms!AA12+Mechanisms!AA14</x:f>
        <x:v>110</x:v>
      </x:c>
      <x:c r="G30" s="30" t="n">
        <x:f>SUM(K30:Y30)</x:f>
        <x:v>2</x:v>
      </x:c>
      <x:c r="H30" s="30" t="n">
        <x:f>15-G30</x:f>
        <x:v>13</x:v>
      </x:c>
      <x:c r="I30" s="30" t="n">
        <x:f>0</x:f>
        <x:v>0</x:v>
      </x:c>
      <x:c r="J30" s="58" t="n">
        <x:f>Assumptions!$C$22+F30+Assumptions!$C$18*E30</x:f>
        <x:v>676.3701000000001</x:v>
      </x:c>
      <x:c r="K30" s="30" t="n">
        <x:f>IF(OR('Mechanism Results'!S71="PASS",'Mechanism Results'!S103="PASS"),1,0)</x:f>
        <x:v>0</x:v>
      </x:c>
      <x:c r="L30" s="30" t="n">
        <x:f>IF(OR('Mechanism Results'!S72="PASS",'Mechanism Results'!S104="PASS"),1,0)</x:f>
        <x:v>0</x:v>
      </x:c>
      <x:c r="M30" s="30" t="n">
        <x:f>IF(OR('Mechanism Results'!S73="PASS",'Mechanism Results'!S105="PASS"),1,0)</x:f>
        <x:v>0</x:v>
      </x:c>
      <x:c r="N30" s="30" t="n">
        <x:f>IF(OR('Mechanism Results'!S74="PASS",'Mechanism Results'!S106="PASS"),1,0)</x:f>
        <x:v>0</x:v>
      </x:c>
      <x:c r="O30" s="30" t="n">
        <x:f>IF(OR('Mechanism Results'!S75="PASS",'Mechanism Results'!S107="PASS"),1,0)</x:f>
        <x:v>0</x:v>
      </x:c>
      <x:c r="P30" s="30" t="n">
        <x:f>IF(OR('Mechanism Results'!S76="PASS",'Mechanism Results'!S108="PASS"),1,0)</x:f>
        <x:v>0</x:v>
      </x:c>
      <x:c r="Q30" s="30" t="n">
        <x:f>IF(OR('Mechanism Results'!S77="PASS",'Mechanism Results'!S109="PASS"),1,0)</x:f>
        <x:v>0</x:v>
      </x:c>
      <x:c r="R30" s="30" t="n">
        <x:f>IF(OR('Mechanism Results'!S78="PASS",'Mechanism Results'!S110="PASS"),1,0)</x:f>
        <x:v>0</x:v>
      </x:c>
      <x:c r="S30" s="30" t="n">
        <x:f>IF(OR('Mechanism Results'!S79="PASS",'Mechanism Results'!S111="PASS"),1,0)</x:f>
        <x:v>0</x:v>
      </x:c>
      <x:c r="T30" s="30" t="n">
        <x:f>IF(OR('Mechanism Results'!S80="PASS",'Mechanism Results'!S112="PASS"),1,0)</x:f>
        <x:v>0</x:v>
      </x:c>
      <x:c r="U30" s="30" t="n">
        <x:f>IF(OR('Mechanism Results'!S81="PASS",'Mechanism Results'!S113="PASS"),1,0)</x:f>
        <x:v>0</x:v>
      </x:c>
      <x:c r="V30" s="30" t="n">
        <x:f>IF(OR('Mechanism Results'!S82="PASS",'Mechanism Results'!S114="PASS"),1,0)</x:f>
        <x:v>1</x:v>
      </x:c>
      <x:c r="W30" s="30" t="n">
        <x:f>IF(OR('Mechanism Results'!S83="PASS",'Mechanism Results'!S115="PASS"),1,0)</x:f>
        <x:v>1</x:v>
      </x:c>
      <x:c r="X30" s="30" t="n">
        <x:f>IF(OR('Mechanism Results'!S84="PASS",'Mechanism Results'!S116="PASS"),1,0)</x:f>
        <x:v>0</x:v>
      </x:c>
      <x:c r="Y30" s="32" t="n">
        <x:f>IF(OR('Mechanism Results'!S85="PASS",'Mechanism Results'!S117="PASS"),1,0)</x:f>
        <x:v>0</x:v>
      </x:c>
    </x:row>
    <x:row r="31">
      <x:c r="B31" s="30" t="str">
        <x:v>P25</x:v>
      </x:c>
      <x:c r="C31" s="30" t="str">
        <x:v>M5</x:v>
      </x:c>
      <x:c r="D31" s="30" t="str">
        <x:v>M8</x:v>
      </x:c>
      <x:c r="E31" s="56" t="n">
        <x:f>Mechanisms!AE12+Mechanisms!AE15</x:f>
        <x:v>8.742999999999999</x:v>
      </x:c>
      <x:c r="F31" s="56" t="n">
        <x:f>Mechanisms!AA12+Mechanisms!AA15</x:f>
        <x:v>105</x:v>
      </x:c>
      <x:c r="G31" s="30" t="n">
        <x:f>SUM(K31:Y31)</x:f>
        <x:v>6</x:v>
      </x:c>
      <x:c r="H31" s="30" t="n">
        <x:f>15-G31</x:f>
        <x:v>9</x:v>
      </x:c>
      <x:c r="I31" s="30" t="n">
        <x:f>0</x:f>
        <x:v>0</x:v>
      </x:c>
      <x:c r="J31" s="58" t="n">
        <x:f>Assumptions!$C$22+F31+Assumptions!$C$18*E31</x:f>
        <x:v>600.949</x:v>
      </x:c>
      <x:c r="K31" s="30" t="n">
        <x:f>IF(OR('Mechanism Results'!S71="PASS",'Mechanism Results'!S119="PASS"),1,0)</x:f>
        <x:v>0</x:v>
      </x:c>
      <x:c r="L31" s="30" t="n">
        <x:f>IF(OR('Mechanism Results'!S72="PASS",'Mechanism Results'!S120="PASS"),1,0)</x:f>
        <x:v>0</x:v>
      </x:c>
      <x:c r="M31" s="30" t="n">
        <x:f>IF(OR('Mechanism Results'!S73="PASS",'Mechanism Results'!S121="PASS"),1,0)</x:f>
        <x:v>1</x:v>
      </x:c>
      <x:c r="N31" s="30" t="n">
        <x:f>IF(OR('Mechanism Results'!S74="PASS",'Mechanism Results'!S122="PASS"),1,0)</x:f>
        <x:v>1</x:v>
      </x:c>
      <x:c r="O31" s="30" t="n">
        <x:f>IF(OR('Mechanism Results'!S75="PASS",'Mechanism Results'!S123="PASS"),1,0)</x:f>
        <x:v>0</x:v>
      </x:c>
      <x:c r="P31" s="30" t="n">
        <x:f>IF(OR('Mechanism Results'!S76="PASS",'Mechanism Results'!S124="PASS"),1,0)</x:f>
        <x:v>0</x:v>
      </x:c>
      <x:c r="Q31" s="30" t="n">
        <x:f>IF(OR('Mechanism Results'!S77="PASS",'Mechanism Results'!S125="PASS"),1,0)</x:f>
        <x:v>1</x:v>
      </x:c>
      <x:c r="R31" s="30" t="n">
        <x:f>IF(OR('Mechanism Results'!S78="PASS",'Mechanism Results'!S126="PASS"),1,0)</x:f>
        <x:v>0</x:v>
      </x:c>
      <x:c r="S31" s="30" t="n">
        <x:f>IF(OR('Mechanism Results'!S79="PASS",'Mechanism Results'!S127="PASS"),1,0)</x:f>
        <x:v>0</x:v>
      </x:c>
      <x:c r="T31" s="30" t="n">
        <x:f>IF(OR('Mechanism Results'!S80="PASS",'Mechanism Results'!S128="PASS"),1,0)</x:f>
        <x:v>1</x:v>
      </x:c>
      <x:c r="U31" s="30" t="n">
        <x:f>IF(OR('Mechanism Results'!S81="PASS",'Mechanism Results'!S129="PASS"),1,0)</x:f>
        <x:v>0</x:v>
      </x:c>
      <x:c r="V31" s="30" t="n">
        <x:f>IF(OR('Mechanism Results'!S82="PASS",'Mechanism Results'!S130="PASS"),1,0)</x:f>
        <x:v>0</x:v>
      </x:c>
      <x:c r="W31" s="30" t="n">
        <x:f>IF(OR('Mechanism Results'!S83="PASS",'Mechanism Results'!S131="PASS"),1,0)</x:f>
        <x:v>1</x:v>
      </x:c>
      <x:c r="X31" s="30" t="n">
        <x:f>IF(OR('Mechanism Results'!S84="PASS",'Mechanism Results'!S132="PASS"),1,0)</x:f>
        <x:v>1</x:v>
      </x:c>
      <x:c r="Y31" s="32" t="n">
        <x:f>IF(OR('Mechanism Results'!S85="PASS",'Mechanism Results'!S133="PASS"),1,0)</x:f>
        <x:v>0</x:v>
      </x:c>
    </x:row>
    <x:row r="32">
      <x:c r="B32" s="30" t="str">
        <x:v>P26</x:v>
      </x:c>
      <x:c r="C32" s="30" t="str">
        <x:v>M6</x:v>
      </x:c>
      <x:c r="D32" s="30" t="str">
        <x:v>M7</x:v>
      </x:c>
      <x:c r="E32" s="56" t="n">
        <x:f>Mechanisms!AE13+Mechanisms!AE14</x:f>
        <x:v>9.7645</x:v>
      </x:c>
      <x:c r="F32" s="56" t="n">
        <x:f>Mechanisms!AA13+Mechanisms!AA14</x:f>
        <x:v>105</x:v>
      </x:c>
      <x:c r="G32" s="30" t="n">
        <x:f>SUM(K32:Y32)</x:f>
        <x:v>2</x:v>
      </x:c>
      <x:c r="H32" s="30" t="n">
        <x:f>15-G32</x:f>
        <x:v>13</x:v>
      </x:c>
      <x:c r="I32" s="30" t="n">
        <x:f>0</x:f>
        <x:v>0</x:v>
      </x:c>
      <x:c r="J32" s="58" t="n">
        <x:f>Assumptions!$C$22+F32+Assumptions!$C$18*E32</x:f>
        <x:v>644.8734999999999</x:v>
      </x:c>
      <x:c r="K32" s="30" t="n">
        <x:f>IF(OR('Mechanism Results'!S87="PASS",'Mechanism Results'!S103="PASS"),1,0)</x:f>
        <x:v>0</x:v>
      </x:c>
      <x:c r="L32" s="30" t="n">
        <x:f>IF(OR('Mechanism Results'!S88="PASS",'Mechanism Results'!S104="PASS"),1,0)</x:f>
        <x:v>0</x:v>
      </x:c>
      <x:c r="M32" s="30" t="n">
        <x:f>IF(OR('Mechanism Results'!S89="PASS",'Mechanism Results'!S105="PASS"),1,0)</x:f>
        <x:v>0</x:v>
      </x:c>
      <x:c r="N32" s="30" t="n">
        <x:f>IF(OR('Mechanism Results'!S90="PASS",'Mechanism Results'!S106="PASS"),1,0)</x:f>
        <x:v>0</x:v>
      </x:c>
      <x:c r="O32" s="30" t="n">
        <x:f>IF(OR('Mechanism Results'!S91="PASS",'Mechanism Results'!S107="PASS"),1,0)</x:f>
        <x:v>0</x:v>
      </x:c>
      <x:c r="P32" s="30" t="n">
        <x:f>IF(OR('Mechanism Results'!S92="PASS",'Mechanism Results'!S108="PASS"),1,0)</x:f>
        <x:v>0</x:v>
      </x:c>
      <x:c r="Q32" s="30" t="n">
        <x:f>IF(OR('Mechanism Results'!S93="PASS",'Mechanism Results'!S109="PASS"),1,0)</x:f>
        <x:v>0</x:v>
      </x:c>
      <x:c r="R32" s="30" t="n">
        <x:f>IF(OR('Mechanism Results'!S94="PASS",'Mechanism Results'!S110="PASS"),1,0)</x:f>
        <x:v>0</x:v>
      </x:c>
      <x:c r="S32" s="30" t="n">
        <x:f>IF(OR('Mechanism Results'!S95="PASS",'Mechanism Results'!S111="PASS"),1,0)</x:f>
        <x:v>0</x:v>
      </x:c>
      <x:c r="T32" s="30" t="n">
        <x:f>IF(OR('Mechanism Results'!S96="PASS",'Mechanism Results'!S112="PASS"),1,0)</x:f>
        <x:v>0</x:v>
      </x:c>
      <x:c r="U32" s="30" t="n">
        <x:f>IF(OR('Mechanism Results'!S97="PASS",'Mechanism Results'!S113="PASS"),1,0)</x:f>
        <x:v>0</x:v>
      </x:c>
      <x:c r="V32" s="30" t="n">
        <x:f>IF(OR('Mechanism Results'!S98="PASS",'Mechanism Results'!S114="PASS"),1,0)</x:f>
        <x:v>1</x:v>
      </x:c>
      <x:c r="W32" s="30" t="n">
        <x:f>IF(OR('Mechanism Results'!S99="PASS",'Mechanism Results'!S115="PASS"),1,0)</x:f>
        <x:v>0</x:v>
      </x:c>
      <x:c r="X32" s="30" t="n">
        <x:f>IF(OR('Mechanism Results'!S100="PASS",'Mechanism Results'!S116="PASS"),1,0)</x:f>
        <x:v>1</x:v>
      </x:c>
      <x:c r="Y32" s="32" t="n">
        <x:f>IF(OR('Mechanism Results'!S101="PASS",'Mechanism Results'!S117="PASS"),1,0)</x:f>
        <x:v>0</x:v>
      </x:c>
    </x:row>
    <x:row r="33">
      <x:c r="B33" s="30" t="str">
        <x:v>P27</x:v>
      </x:c>
      <x:c r="C33" s="30" t="str">
        <x:v>M6</x:v>
      </x:c>
      <x:c r="D33" s="30" t="str">
        <x:v>M8</x:v>
      </x:c>
      <x:c r="E33" s="56" t="n">
        <x:f>Mechanisms!AE13+Mechanisms!AE15</x:f>
        <x:v>8.1268</x:v>
      </x:c>
      <x:c r="F33" s="56" t="n">
        <x:f>Mechanisms!AA13+Mechanisms!AA15</x:f>
        <x:v>100</x:v>
      </x:c>
      <x:c r="G33" s="30" t="n">
        <x:f>SUM(K33:Y33)</x:f>
        <x:v>5</x:v>
      </x:c>
      <x:c r="H33" s="30" t="n">
        <x:f>15-G33</x:f>
        <x:v>10</x:v>
      </x:c>
      <x:c r="I33" s="30" t="n">
        <x:f>0</x:f>
        <x:v>0</x:v>
      </x:c>
      <x:c r="J33" s="58" t="n">
        <x:f>Assumptions!$C$22+F33+Assumptions!$C$18*E33</x:f>
        <x:v>569.4523999999999</x:v>
      </x:c>
      <x:c r="K33" s="30" t="n">
        <x:f>IF(OR('Mechanism Results'!S87="PASS",'Mechanism Results'!S119="PASS"),1,0)</x:f>
        <x:v>0</x:v>
      </x:c>
      <x:c r="L33" s="30" t="n">
        <x:f>IF(OR('Mechanism Results'!S88="PASS",'Mechanism Results'!S120="PASS"),1,0)</x:f>
        <x:v>0</x:v>
      </x:c>
      <x:c r="M33" s="30" t="n">
        <x:f>IF(OR('Mechanism Results'!S89="PASS",'Mechanism Results'!S121="PASS"),1,0)</x:f>
        <x:v>1</x:v>
      </x:c>
      <x:c r="N33" s="30" t="n">
        <x:f>IF(OR('Mechanism Results'!S90="PASS",'Mechanism Results'!S122="PASS"),1,0)</x:f>
        <x:v>1</x:v>
      </x:c>
      <x:c r="O33" s="30" t="n">
        <x:f>IF(OR('Mechanism Results'!S91="PASS",'Mechanism Results'!S123="PASS"),1,0)</x:f>
        <x:v>0</x:v>
      </x:c>
      <x:c r="P33" s="30" t="n">
        <x:f>IF(OR('Mechanism Results'!S92="PASS",'Mechanism Results'!S124="PASS"),1,0)</x:f>
        <x:v>0</x:v>
      </x:c>
      <x:c r="Q33" s="30" t="n">
        <x:f>IF(OR('Mechanism Results'!S93="PASS",'Mechanism Results'!S125="PASS"),1,0)</x:f>
        <x:v>1</x:v>
      </x:c>
      <x:c r="R33" s="30" t="n">
        <x:f>IF(OR('Mechanism Results'!S94="PASS",'Mechanism Results'!S126="PASS"),1,0)</x:f>
        <x:v>0</x:v>
      </x:c>
      <x:c r="S33" s="30" t="n">
        <x:f>IF(OR('Mechanism Results'!S95="PASS",'Mechanism Results'!S127="PASS"),1,0)</x:f>
        <x:v>0</x:v>
      </x:c>
      <x:c r="T33" s="30" t="n">
        <x:f>IF(OR('Mechanism Results'!S96="PASS",'Mechanism Results'!S128="PASS"),1,0)</x:f>
        <x:v>1</x:v>
      </x:c>
      <x:c r="U33" s="30" t="n">
        <x:f>IF(OR('Mechanism Results'!S97="PASS",'Mechanism Results'!S129="PASS"),1,0)</x:f>
        <x:v>0</x:v>
      </x:c>
      <x:c r="V33" s="30" t="n">
        <x:f>IF(OR('Mechanism Results'!S98="PASS",'Mechanism Results'!S130="PASS"),1,0)</x:f>
        <x:v>0</x:v>
      </x:c>
      <x:c r="W33" s="30" t="n">
        <x:f>IF(OR('Mechanism Results'!S99="PASS",'Mechanism Results'!S131="PASS"),1,0)</x:f>
        <x:v>0</x:v>
      </x:c>
      <x:c r="X33" s="30" t="n">
        <x:f>IF(OR('Mechanism Results'!S100="PASS",'Mechanism Results'!S132="PASS"),1,0)</x:f>
        <x:v>1</x:v>
      </x:c>
      <x:c r="Y33" s="32" t="n">
        <x:f>IF(OR('Mechanism Results'!S101="PASS",'Mechanism Results'!S133="PASS"),1,0)</x:f>
        <x:v>0</x:v>
      </x:c>
    </x:row>
    <x:row r="34">
      <x:c r="B34" s="36" t="str">
        <x:v>P28</x:v>
      </x:c>
      <x:c r="C34" s="36" t="str">
        <x:v>M7</x:v>
      </x:c>
      <x:c r="D34" s="36" t="str">
        <x:v>M8</x:v>
      </x:c>
      <x:c r="E34" s="57" t="n">
        <x:f>Mechanisms!AE14+Mechanisms!AE15</x:f>
        <x:v>12.9293</x:v>
      </x:c>
      <x:c r="F34" s="57" t="n">
        <x:f>Mechanisms!AA14+Mechanisms!AA15</x:f>
        <x:v>125</x:v>
      </x:c>
      <x:c r="G34" s="36" t="n">
        <x:f>SUM(K34:Y34)</x:f>
        <x:v>6</x:v>
      </x:c>
      <x:c r="H34" s="36" t="n">
        <x:f>15-G34</x:f>
        <x:v>9</x:v>
      </x:c>
      <x:c r="I34" s="36" t="n">
        <x:f>0</x:f>
        <x:v>0</x:v>
      </x:c>
      <x:c r="J34" s="59" t="n">
        <x:f>Assumptions!$C$22+F34+Assumptions!$C$18*E34</x:f>
        <x:v>800.9599</x:v>
      </x:c>
      <x:c r="K34" s="36" t="n">
        <x:f>IF(OR('Mechanism Results'!S103="PASS",'Mechanism Results'!S119="PASS"),1,0)</x:f>
        <x:v>0</x:v>
      </x:c>
      <x:c r="L34" s="36" t="n">
        <x:f>IF(OR('Mechanism Results'!S104="PASS",'Mechanism Results'!S120="PASS"),1,0)</x:f>
        <x:v>0</x:v>
      </x:c>
      <x:c r="M34" s="36" t="n">
        <x:f>IF(OR('Mechanism Results'!S105="PASS",'Mechanism Results'!S121="PASS"),1,0)</x:f>
        <x:v>1</x:v>
      </x:c>
      <x:c r="N34" s="36" t="n">
        <x:f>IF(OR('Mechanism Results'!S106="PASS",'Mechanism Results'!S122="PASS"),1,0)</x:f>
        <x:v>1</x:v>
      </x:c>
      <x:c r="O34" s="36" t="n">
        <x:f>IF(OR('Mechanism Results'!S107="PASS",'Mechanism Results'!S123="PASS"),1,0)</x:f>
        <x:v>0</x:v>
      </x:c>
      <x:c r="P34" s="36" t="n">
        <x:f>IF(OR('Mechanism Results'!S108="PASS",'Mechanism Results'!S124="PASS"),1,0)</x:f>
        <x:v>0</x:v>
      </x:c>
      <x:c r="Q34" s="36" t="n">
        <x:f>IF(OR('Mechanism Results'!S109="PASS",'Mechanism Results'!S125="PASS"),1,0)</x:f>
        <x:v>1</x:v>
      </x:c>
      <x:c r="R34" s="36" t="n">
        <x:f>IF(OR('Mechanism Results'!S110="PASS",'Mechanism Results'!S126="PASS"),1,0)</x:f>
        <x:v>0</x:v>
      </x:c>
      <x:c r="S34" s="36" t="n">
        <x:f>IF(OR('Mechanism Results'!S111="PASS",'Mechanism Results'!S127="PASS"),1,0)</x:f>
        <x:v>0</x:v>
      </x:c>
      <x:c r="T34" s="36" t="n">
        <x:f>IF(OR('Mechanism Results'!S112="PASS",'Mechanism Results'!S128="PASS"),1,0)</x:f>
        <x:v>1</x:v>
      </x:c>
      <x:c r="U34" s="36" t="n">
        <x:f>IF(OR('Mechanism Results'!S113="PASS",'Mechanism Results'!S129="PASS"),1,0)</x:f>
        <x:v>0</x:v>
      </x:c>
      <x:c r="V34" s="36" t="n">
        <x:f>IF(OR('Mechanism Results'!S114="PASS",'Mechanism Results'!S130="PASS"),1,0)</x:f>
        <x:v>1</x:v>
      </x:c>
      <x:c r="W34" s="36" t="n">
        <x:f>IF(OR('Mechanism Results'!S115="PASS",'Mechanism Results'!S131="PASS"),1,0)</x:f>
        <x:v>0</x:v>
      </x:c>
      <x:c r="X34" s="36" t="n">
        <x:f>IF(OR('Mechanism Results'!S116="PASS",'Mechanism Results'!S132="PASS"),1,0)</x:f>
        <x:v>1</x:v>
      </x:c>
      <x:c r="Y34" s="38" t="n">
        <x:f>IF(OR('Mechanism Results'!S117="PASS",'Mechanism Results'!S133="PASS"),1,0)</x:f>
        <x:v>0</x:v>
      </x:c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</x:sheetData>
  <x:conditionalFormatting sqref="H7:H34">
    <x:cfRule type="cellIs" dxfId="2" priority="1" operator="greaterThan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9" hidden="0" customWidth="1"/>
    <x:col min="3" max="3" width="16" hidden="0" customWidth="1"/>
    <x:col min="4" max="4" width="14" hidden="0" customWidth="1"/>
    <x:col min="5" max="5" width="15" hidden="0" customWidth="1"/>
    <x:col min="6" max="6" width="18" hidden="0" customWidth="1"/>
    <x:col min="7" max="7" width="14" hidden="0" customWidth="1"/>
    <x:col min="8" max="8" width="34" hidden="0" customWidth="1"/>
    <x:col min="9" max="9" width="38" hidden="0" customWidth="1"/>
    <x:col min="10" max="10" width="30" hidden="0" customWidth="1"/>
    <x:col min="11" max="11" width="33" hidden="0" customWidth="1"/>
    <x:col min="12" max="12" width="29" hidden="0" customWidth="1"/>
    <x:col min="13" max="13" width="15" hidden="0" customWidth="1"/>
    <x:col min="14" max="14" width="19" hidden="0" customWidth="1"/>
  </x:cols>
  <x:sheetData>
    <x:row r="2">
      <x:c r="B2" s="3" t="str">
        <x:v>Fourth-access base and node enterprise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Novel carriers create launch, weather, energy, maintenance, loading and receiver institutions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28" t="str">
        <x:v>Element</x:v>
      </x:c>
      <x:c r="C6" s="29" t="str">
        <x:v>National quantity</x:v>
      </x:c>
      <x:c r="D6" s="29" t="str">
        <x:v>Unit</x:v>
      </x:c>
      <x:c r="E6" s="29" t="str">
        <x:v>Capital $M</x:v>
      </x:c>
      <x:c r="F6" s="29" t="str">
        <x:v>Annual O&amp;S $M</x:v>
      </x:c>
      <x:c r="G6" s="29" t="str">
        <x:v>Workforce</x:v>
      </x:c>
      <x:c r="H6" s="29" t="str">
        <x:v>Readiness purpose</x:v>
      </x:c>
      <x:c r="I6" s="29" t="str">
        <x:v>Independence requirement</x:v>
      </x:c>
      <x:c r="J6" s="29" t="str">
        <x:v>Proof article</x:v>
      </x:c>
      <x:c r="K6" s="29" t="str">
        <x:v>Technology dependency</x:v>
      </x:c>
      <x:c r="L6" s="29" t="str">
        <x:v>Authority</x:v>
      </x:c>
      <x:c r="M6" s="29" t="str">
        <x:v>Source state</x:v>
      </x:c>
      <x:c r="N6" s="29" t="str">
        <x:v>Treatment</x:v>
      </x:c>
    </x:row>
    <x:row r="7">
      <x:c r="B7" s="30" t="str">
        <x:v>Heavy buoyant-lift launch and mooring base</x:v>
      </x:c>
      <x:c r="C7" s="30" t="n">
        <x:v>18</x:v>
      </x:c>
      <x:c r="D7" s="30" t="str">
        <x:v>bases</x:v>
      </x:c>
      <x:c r="E7" s="30" t="n">
        <x:v>1800</x:v>
      </x:c>
      <x:c r="F7" s="30" t="n">
        <x:v>220</x:v>
      </x:c>
      <x:c r="G7" s="30" t="n">
        <x:v>620</x:v>
      </x:c>
      <x:c r="H7" s="30" t="str">
        <x:v>continental and partner reach</x:v>
      </x:c>
      <x:c r="I7" s="30" t="str">
        <x:v>two weather and hydrogen/energy domains</x:v>
      </x:c>
      <x:c r="J7" s="30" t="str">
        <x:v>full mooring cycle</x:v>
      </x:c>
      <x:c r="K7" s="30" t="str">
        <x:v>materials, weather control, autonomy</x:v>
      </x:c>
      <x:c r="L7" s="30" t="str">
        <x:v>Fourth Access Systems Command</x:v>
      </x:c>
      <x:c r="M7" s="30" t="str">
        <x:v>declared</x:v>
      </x:c>
      <x:c r="N7" s="32" t="str">
        <x:v>shared enterprise</x:v>
      </x:c>
    </x:row>
    <x:row r="8">
      <x:c r="B8" s="30" t="str">
        <x:v>Amphibious and ground-effect operating base</x:v>
      </x:c>
      <x:c r="C8" s="30" t="n">
        <x:v>24</x:v>
      </x:c>
      <x:c r="D8" s="30" t="str">
        <x:v>bases</x:v>
      </x:c>
      <x:c r="E8" s="30" t="n">
        <x:v>1400</x:v>
      </x:c>
      <x:c r="F8" s="30" t="n">
        <x:v>180</x:v>
      </x:c>
      <x:c r="G8" s="30" t="n">
        <x:v>540</x:v>
      </x:c>
      <x:c r="H8" s="30" t="str">
        <x:v>coastal, lake and river coverage</x:v>
      </x:c>
      <x:c r="I8" s="30" t="str">
        <x:v>separate watersheds and yards</x:v>
      </x:c>
      <x:c r="J8" s="30" t="str">
        <x:v>debris-water launch</x:v>
      </x:c>
      <x:c r="K8" s="30" t="str">
        <x:v>marine propulsion and sensors</x:v>
      </x:c>
      <x:c r="L8" s="30" t="str">
        <x:v>Maritime Service</x:v>
      </x:c>
      <x:c r="M8" s="30" t="str">
        <x:v>declared</x:v>
      </x:c>
      <x:c r="N8" s="32" t="str">
        <x:v>shared enterprise</x:v>
      </x:c>
    </x:row>
    <x:row r="9">
      <x:c r="B9" s="30" t="str">
        <x:v>Autonomous terrain-train depot</x:v>
      </x:c>
      <x:c r="C9" s="30" t="n">
        <x:v>36</x:v>
      </x:c>
      <x:c r="D9" s="30" t="str">
        <x:v>depots</x:v>
      </x:c>
      <x:c r="E9" s="30" t="n">
        <x:v>850</x:v>
      </x:c>
      <x:c r="F9" s="30" t="n">
        <x:v>120</x:v>
      </x:c>
      <x:c r="G9" s="30" t="n">
        <x:v>410</x:v>
      </x:c>
      <x:c r="H9" s="30" t="str">
        <x:v>inland and mountain approach</x:v>
      </x:c>
      <x:c r="I9" s="30" t="str">
        <x:v>separate energy, bridge and repair lots</x:v>
      </x:c>
      <x:c r="J9" s="30" t="str">
        <x:v>500 km damaged-terrain march</x:v>
      </x:c>
      <x:c r="K9" s="30" t="str">
        <x:v>robotic mobility and local bridging</x:v>
      </x:c>
      <x:c r="L9" s="30" t="str">
        <x:v>Land Systems Service</x:v>
      </x:c>
      <x:c r="M9" s="30" t="str">
        <x:v>declared</x:v>
      </x:c>
      <x:c r="N9" s="32" t="str">
        <x:v>shared enterprise</x:v>
      </x:c>
    </x:row>
    <x:row r="10">
      <x:c r="B10" s="30" t="str">
        <x:v>Distributed heavy-VTOL base</x:v>
      </x:c>
      <x:c r="C10" s="30" t="n">
        <x:v>30</x:v>
      </x:c>
      <x:c r="D10" s="30" t="str">
        <x:v>bases</x:v>
      </x:c>
      <x:c r="E10" s="30" t="n">
        <x:v>2200</x:v>
      </x:c>
      <x:c r="F10" s="30" t="n">
        <x:v>300</x:v>
      </x:c>
      <x:c r="G10" s="30" t="n">
        <x:v>760</x:v>
      </x:c>
      <x:c r="H10" s="30" t="str">
        <x:v>precision receipt and high terrain</x:v>
      </x:c>
      <x:c r="I10" s="30" t="str">
        <x:v>three aircraft, energy and crew lineages</x:v>
      </x:c>
      <x:c r="J10" s="30" t="str">
        <x:v>eight-aircraft synchronized lift</x:v>
      </x:c>
      <x:c r="K10" s="30" t="str">
        <x:v>high-specific-power propulsion</x:v>
      </x:c>
      <x:c r="L10" s="30" t="str">
        <x:v>Aviation Service</x:v>
      </x:c>
      <x:c r="M10" s="30" t="str">
        <x:v>declared</x:v>
      </x:c>
      <x:c r="N10" s="32" t="str">
        <x:v>shared enterprise</x:v>
      </x:c>
    </x:row>
    <x:row r="11">
      <x:c r="B11" s="30" t="str">
        <x:v>Utility-corridor projector depot</x:v>
      </x:c>
      <x:c r="C11" s="30" t="n">
        <x:v>48</x:v>
      </x:c>
      <x:c r="D11" s="30" t="str">
        <x:v>depots</x:v>
      </x:c>
      <x:c r="E11" s="30" t="n">
        <x:v>500</x:v>
      </x:c>
      <x:c r="F11" s="30" t="n">
        <x:v>80</x:v>
      </x:c>
      <x:c r="G11" s="30" t="n">
        <x:v>260</x:v>
      </x:c>
      <x:c r="H11" s="30" t="str">
        <x:v>standoff power, water and data bridge</x:v>
      </x:c>
      <x:c r="I11" s="30" t="str">
        <x:v>independent source and route rights</x:v>
      </x:c>
      <x:c r="J11" s="30" t="str">
        <x:v>100 km live service corridor</x:v>
      </x:c>
      <x:c r="K11" s="30" t="str">
        <x:v>robotic laying and self-isolation</x:v>
      </x:c>
      <x:c r="L11" s="30" t="str">
        <x:v>Utility Service</x:v>
      </x:c>
      <x:c r="M11" s="30" t="str">
        <x:v>declared</x:v>
      </x:c>
      <x:c r="N11" s="32" t="str">
        <x:v>shared enterprise</x:v>
      </x:c>
    </x:row>
    <x:row r="12">
      <x:c r="B12" s="30" t="str">
        <x:v>Local-conversion seed arsenal</x:v>
      </x:c>
      <x:c r="C12" s="30" t="n">
        <x:v>32</x:v>
      </x:c>
      <x:c r="D12" s="30" t="str">
        <x:v>arsenals</x:v>
      </x:c>
      <x:c r="E12" s="30" t="n">
        <x:v>650</x:v>
      </x:c>
      <x:c r="F12" s="30" t="n">
        <x:v>95</x:v>
      </x:c>
      <x:c r="G12" s="30" t="n">
        <x:v>330</x:v>
      </x:c>
      <x:c r="H12" s="30" t="str">
        <x:v>convert local water, biomass and salvage</x:v>
      </x:c>
      <x:c r="I12" s="30" t="str">
        <x:v>four recipe and material lineages</x:v>
      </x:c>
      <x:c r="J12" s="30" t="str">
        <x:v>72-hour local production</x:v>
      </x:c>
      <x:c r="K12" s="30" t="str">
        <x:v>microfactory and assured recipes</x:v>
      </x:c>
      <x:c r="L12" s="30" t="str">
        <x:v>Civic Metabolism Directorate</x:v>
      </x:c>
      <x:c r="M12" s="30" t="str">
        <x:v>declared</x:v>
      </x:c>
      <x:c r="N12" s="32" t="str">
        <x:v>shared enterprise</x:v>
      </x:c>
    </x:row>
    <x:row r="13">
      <x:c r="B13" s="30" t="str">
        <x:v>Receiver survey and acceptance team</x:v>
      </x:c>
      <x:c r="C13" s="30" t="n">
        <x:v>72</x:v>
      </x:c>
      <x:c r="D13" s="30" t="str">
        <x:v>teams</x:v>
      </x:c>
      <x:c r="E13" s="30" t="n">
        <x:v>120</x:v>
      </x:c>
      <x:c r="F13" s="30" t="n">
        <x:v>45</x:v>
      </x:c>
      <x:c r="G13" s="30" t="n">
        <x:v>180</x:v>
      </x:c>
      <x:c r="H13" s="30" t="str">
        <x:v>measure safe footprint and interfaces</x:v>
      </x:c>
      <x:c r="I13" s="30" t="str">
        <x:v>local and national authority paths</x:v>
      </x:c>
      <x:c r="J13" s="30" t="str">
        <x:v>blind receiving exercise</x:v>
      </x:c>
      <x:c r="K13" s="30" t="str">
        <x:v>autonomous survey and digital custody</x:v>
      </x:c>
      <x:c r="L13" s="30" t="str">
        <x:v>Regional Federation Commands</x:v>
      </x:c>
      <x:c r="M13" s="30" t="str">
        <x:v>declared</x:v>
      </x:c>
      <x:c r="N13" s="32" t="str">
        <x:v>shared enterprise</x:v>
      </x:c>
    </x:row>
    <x:row r="14">
      <x:c r="B14" s="30" t="str">
        <x:v>Joint weather and access observatory</x:v>
      </x:c>
      <x:c r="C14" s="30" t="n">
        <x:v>12</x:v>
      </x:c>
      <x:c r="D14" s="30" t="str">
        <x:v>centers</x:v>
      </x:c>
      <x:c r="E14" s="30" t="n">
        <x:v>900</x:v>
      </x:c>
      <x:c r="F14" s="30" t="n">
        <x:v>160</x:v>
      </x:c>
      <x:c r="G14" s="30" t="n">
        <x:v>480</x:v>
      </x:c>
      <x:c r="H14" s="30" t="str">
        <x:v>forecast launch and receiver envelopes</x:v>
      </x:c>
      <x:c r="I14" s="30" t="str">
        <x:v>offline sensing and independent models</x:v>
      </x:c>
      <x:c r="J14" s="30" t="str">
        <x:v>compound forecast denial</x:v>
      </x:c>
      <x:c r="K14" s="30" t="str">
        <x:v>sensing, assimilation and edge models</x:v>
      </x:c>
      <x:c r="L14" s="30" t="str">
        <x:v>National Access Observatory</x:v>
      </x:c>
      <x:c r="M14" s="30" t="str">
        <x:v>declared</x:v>
      </x:c>
      <x:c r="N14" s="32" t="str">
        <x:v>shared enterprise</x:v>
      </x:c>
    </x:row>
    <x:row r="15">
      <x:c r="B15" s="36" t="str">
        <x:v>Independent destructive test ranges</x:v>
      </x:c>
      <x:c r="C15" s="36" t="n">
        <x:v>8</x:v>
      </x:c>
      <x:c r="D15" s="36" t="str">
        <x:v>ranges</x:v>
      </x:c>
      <x:c r="E15" s="36" t="n">
        <x:v>2600</x:v>
      </x:c>
      <x:c r="F15" s="36" t="n">
        <x:v>280</x:v>
      </x:c>
      <x:c r="G15" s="36" t="n">
        <x:v>700</x:v>
      </x:c>
      <x:c r="H15" s="36" t="str">
        <x:v>fault insertion and evidence custody</x:v>
      </x:c>
      <x:c r="I15" s="36" t="str">
        <x:v>organizationally separate from acquirers</x:v>
      </x:c>
      <x:c r="J15" s="36" t="str">
        <x:v>full mission loss campaigns</x:v>
      </x:c>
      <x:c r="K15" s="36" t="str">
        <x:v>instrumentation and digital twins</x:v>
      </x:c>
      <x:c r="L15" s="36" t="str">
        <x:v>Service Island Test Directorate</x:v>
      </x:c>
      <x:c r="M15" s="36" t="str">
        <x:v>declared</x:v>
      </x:c>
      <x:c r="N15" s="38" t="str">
        <x:v>shared enterprise</x:v>
      </x:c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4" hidden="0" customWidth="1"/>
    <x:col min="3" max="3" width="40" hidden="0" customWidth="1"/>
    <x:col min="4" max="4" width="18" hidden="0" customWidth="1"/>
    <x:col min="5" max="5" width="18" hidden="0" customWidth="1"/>
    <x:col min="6" max="6" width="20" hidden="0" customWidth="1"/>
    <x:col min="7" max="7" width="14" hidden="0" customWidth="1"/>
    <x:col min="8" max="8" width="15" hidden="0" customWidth="1"/>
    <x:col min="9" max="9" width="22" hidden="0" customWidth="1"/>
    <x:col min="10" max="10" width="21" hidden="0" customWidth="1"/>
    <x:col min="11" max="11" width="20" hidden="0" customWidth="1"/>
    <x:col min="12" max="12" width="21" hidden="0" customWidth="1"/>
    <x:col min="13" max="13" width="23" hidden="0" customWidth="1"/>
    <x:col min="14" max="14" width="18" hidden="0" customWidth="1"/>
  </x:cols>
  <x:sheetData>
    <x:row r="2">
      <x:c r="B2" s="3" t="str">
        <x:v>Fourth-access program comparison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Forty-three selective mission sets replace the Pass 76 provisional allowance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28" t="str">
        <x:v>Code</x:v>
      </x:c>
      <x:c r="C6" s="29" t="str">
        <x:v>Mechanism</x:v>
      </x:c>
      <x:c r="D6" s="29" t="str">
        <x:v>Capital/set $B</x:v>
      </x:c>
      <x:c r="E6" s="29" t="str">
        <x:v>Annual O&amp;S $B</x:v>
      </x:c>
      <x:c r="F6" s="29" t="str">
        <x:v>Lifecycle/set $B</x:v>
      </x:c>
      <x:c r="G6" s="29" t="str">
        <x:v>RDT&amp;E $B</x:v>
      </x:c>
      <x:c r="H6" s="29" t="str">
        <x:v>National sets</x:v>
      </x:c>
      <x:c r="I6" s="29" t="str">
        <x:v>Mechanism program $B</x:v>
      </x:c>
      <x:c r="J6" s="29" t="str">
        <x:v>Shared enterprise $B</x:v>
      </x:c>
      <x:c r="K6" s="29" t="str">
        <x:v>Total selective $B</x:v>
      </x:c>
      <x:c r="L6" s="29" t="str">
        <x:v>Replace allowance $B</x:v>
      </x:c>
      <x:c r="M6" s="29" t="str">
        <x:v>Recompiled national $B</x:v>
      </x:c>
      <x:c r="N6" s="29" t="str">
        <x:v>Low $B</x:v>
      </x:c>
    </x:row>
    <x:row r="7">
      <x:c r="B7" s="30" t="str">
        <x:f>Mechanisms!B8</x:f>
        <x:v>M1</x:v>
      </x:c>
      <x:c r="C7" s="30" t="str">
        <x:f>Mechanisms!C8</x:f>
        <x:v>HBL-320 heavy buoyant liftship</x:v>
      </x:c>
      <x:c r="D7" s="68" t="n">
        <x:f>Mechanisms!Y8</x:f>
        <x:v>3.6</x:v>
      </x:c>
      <x:c r="E7" s="68" t="n">
        <x:f>Mechanisms!Z8</x:f>
        <x:v>0.25</x:v>
      </x:c>
      <x:c r="F7" s="68" t="n">
        <x:f>Mechanisms!AE8</x:f>
        <x:v>7.5525</x:v>
      </x:c>
      <x:c r="G7" s="68" t="n">
        <x:f>Mechanisms!AA8</x:f>
        <x:v>70</x:v>
      </x:c>
      <x:c r="H7" s="69" t="n">
        <x:f>Assumptions!$C$18</x:f>
        <x:v>43</x:v>
      </x:c>
      <x:c r="I7" s="68" t="n">
        <x:f>F7*H7+G7</x:f>
        <x:v>394.7575</x:v>
      </x:c>
      <x:c r="J7" s="68" t="n">
        <x:f>Assumptions!$C$22</x:f>
        <x:v>120</x:v>
      </x:c>
      <x:c r="K7" s="68" t="n">
        <x:f>I7+J7</x:f>
        <x:v>514.7574999999999</x:v>
      </x:c>
      <x:c r="L7" s="68" t="n">
        <x:f>Assumptions!$C$21</x:f>
        <x:v>99</x:v>
      </x:c>
      <x:c r="M7" s="68" t="n">
        <x:f>Assumptions!$C$20-L7+K7</x:f>
        <x:v>6514.46945</x:v>
      </x:c>
      <x:c r="N7" s="70" t="n">
        <x:f>M7*0.82</x:f>
        <x:v>5341.864949</x:v>
      </x:c>
    </x:row>
    <x:row r="8">
      <x:c r="B8" s="30" t="str">
        <x:f>Mechanisms!B9</x:f>
        <x:v>M2</x:v>
      </x:c>
      <x:c r="C8" s="30" t="str">
        <x:f>Mechanisms!C9</x:f>
        <x:v>WIG-650 amphibious utility carrier</x:v>
      </x:c>
      <x:c r="D8" s="68" t="n">
        <x:f>Mechanisms!Y9</x:f>
        <x:v>2.5</x:v>
      </x:c>
      <x:c r="E8" s="68" t="n">
        <x:f>Mechanisms!Z9</x:f>
        <x:v>0.18</x:v>
      </x:c>
      <x:c r="F8" s="68" t="n">
        <x:f>Mechanisms!AE9</x:f>
        <x:v>5.3458000000000006</x:v>
      </x:c>
      <x:c r="G8" s="68" t="n">
        <x:f>Mechanisms!AA9</x:f>
        <x:v>55</x:v>
      </x:c>
      <x:c r="H8" s="69" t="n">
        <x:f>Assumptions!$C$18</x:f>
        <x:v>43</x:v>
      </x:c>
      <x:c r="I8" s="68" t="n">
        <x:f>F8*H8+G8</x:f>
        <x:v>284.86940000000004</x:v>
      </x:c>
      <x:c r="J8" s="68" t="n">
        <x:f>Assumptions!$C$22</x:f>
        <x:v>120</x:v>
      </x:c>
      <x:c r="K8" s="68" t="n">
        <x:f>I8+J8</x:f>
        <x:v>404.86940000000004</x:v>
      </x:c>
      <x:c r="L8" s="68" t="n">
        <x:f>Assumptions!$C$21</x:f>
        <x:v>99</x:v>
      </x:c>
      <x:c r="M8" s="68" t="n">
        <x:f>Assumptions!$C$20-L8+K8</x:f>
        <x:v>6404.58135</x:v>
      </x:c>
      <x:c r="N8" s="70" t="n">
        <x:f>M8*0.82</x:f>
        <x:v>5251.756707</x:v>
      </x:c>
    </x:row>
    <x:row r="9">
      <x:c r="B9" s="30" t="str">
        <x:f>Mechanisms!B10</x:f>
        <x:v>M3</x:v>
      </x:c>
      <x:c r="C9" s="30" t="str">
        <x:f>Mechanisms!C10</x:f>
        <x:v>ATUT-160 autonomous terrain train</x:v>
      </x:c>
      <x:c r="D9" s="68" t="n">
        <x:f>Mechanisms!Y10</x:f>
        <x:v>3.2</x:v>
      </x:c>
      <x:c r="E9" s="68" t="n">
        <x:f>Mechanisms!Z10</x:f>
        <x:v>0.2</x:v>
      </x:c>
      <x:c r="F9" s="68" t="n">
        <x:f>Mechanisms!AE10</x:f>
        <x:v>6.362</x:v>
      </x:c>
      <x:c r="G9" s="68" t="n">
        <x:f>Mechanisms!AA10</x:f>
        <x:v>60</x:v>
      </x:c>
      <x:c r="H9" s="69" t="n">
        <x:f>Assumptions!$C$18</x:f>
        <x:v>43</x:v>
      </x:c>
      <x:c r="I9" s="68" t="n">
        <x:f>F9*H9+G9</x:f>
        <x:v>333.56600000000003</x:v>
      </x:c>
      <x:c r="J9" s="68" t="n">
        <x:f>Assumptions!$C$22</x:f>
        <x:v>120</x:v>
      </x:c>
      <x:c r="K9" s="68" t="n">
        <x:f>I9+J9</x:f>
        <x:v>453.56600000000003</x:v>
      </x:c>
      <x:c r="L9" s="68" t="n">
        <x:f>Assumptions!$C$21</x:f>
        <x:v>99</x:v>
      </x:c>
      <x:c r="M9" s="68" t="n">
        <x:f>Assumptions!$C$20-L9+K9</x:f>
        <x:v>6453.27795</x:v>
      </x:c>
      <x:c r="N9" s="70" t="n">
        <x:f>M9*0.82</x:f>
        <x:v>5291.687918999999</x:v>
      </x:c>
    </x:row>
    <x:row r="10">
      <x:c r="B10" s="30" t="str">
        <x:f>Mechanisms!B11</x:f>
        <x:v>M4</x:v>
      </x:c>
      <x:c r="C10" s="30" t="str">
        <x:f>Mechanisms!C11</x:f>
        <x:v>VHL-80 distributed heavy-VTOL lattice</x:v>
      </x:c>
      <x:c r="D10" s="68" t="n">
        <x:f>Mechanisms!Y11</x:f>
        <x:v>5.2</x:v>
      </x:c>
      <x:c r="E10" s="68" t="n">
        <x:f>Mechanisms!Z11</x:f>
        <x:v>0.4</x:v>
      </x:c>
      <x:c r="F10" s="68" t="n">
        <x:f>Mechanisms!AE11</x:f>
        <x:v>11.524000000000001</x:v>
      </x:c>
      <x:c r="G10" s="68" t="n">
        <x:f>Mechanisms!AA11</x:f>
        <x:v>85</x:v>
      </x:c>
      <x:c r="H10" s="69" t="n">
        <x:f>Assumptions!$C$18</x:f>
        <x:v>43</x:v>
      </x:c>
      <x:c r="I10" s="68" t="n">
        <x:f>F10*H10+G10</x:f>
        <x:v>580.532</x:v>
      </x:c>
      <x:c r="J10" s="68" t="n">
        <x:f>Assumptions!$C$22</x:f>
        <x:v>120</x:v>
      </x:c>
      <x:c r="K10" s="68" t="n">
        <x:f>I10+J10</x:f>
        <x:v>700.532</x:v>
      </x:c>
      <x:c r="L10" s="68" t="n">
        <x:f>Assumptions!$C$21</x:f>
        <x:v>99</x:v>
      </x:c>
      <x:c r="M10" s="68" t="n">
        <x:f>Assumptions!$C$20-L10+K10</x:f>
        <x:v>6700.24395</x:v>
      </x:c>
      <x:c r="N10" s="70" t="n">
        <x:f>M10*0.82</x:f>
        <x:v>5494.200038999999</x:v>
      </x:c>
    </x:row>
    <x:row r="11">
      <x:c r="B11" s="30" t="str">
        <x:f>Mechanisms!B12</x:f>
        <x:v>M5</x:v>
      </x:c>
      <x:c r="C11" s="30" t="str">
        <x:f>Mechanisms!C12</x:f>
        <x:v>RUC-100 robotic utility corridor projector</x:v>
      </x:c>
      <x:c r="D11" s="68" t="n">
        <x:f>Mechanisms!Y12</x:f>
        <x:v>1.2</x:v>
      </x:c>
      <x:c r="E11" s="68" t="n">
        <x:f>Mechanisms!Z12</x:f>
        <x:v>0.12</x:v>
      </x:c>
      <x:c r="F11" s="68" t="n">
        <x:f>Mechanisms!AE12</x:f>
        <x:v>3.0972</x:v>
      </x:c>
      <x:c r="G11" s="68" t="n">
        <x:f>Mechanisms!AA12</x:f>
        <x:v>45</x:v>
      </x:c>
      <x:c r="H11" s="69" t="n">
        <x:f>Assumptions!$C$18</x:f>
        <x:v>43</x:v>
      </x:c>
      <x:c r="I11" s="68" t="n">
        <x:f>F11*H11+G11</x:f>
        <x:v>178.1796</x:v>
      </x:c>
      <x:c r="J11" s="68" t="n">
        <x:f>Assumptions!$C$22</x:f>
        <x:v>120</x:v>
      </x:c>
      <x:c r="K11" s="68" t="n">
        <x:f>I11+J11</x:f>
        <x:v>298.1796</x:v>
      </x:c>
      <x:c r="L11" s="68" t="n">
        <x:f>Assumptions!$C$21</x:f>
        <x:v>99</x:v>
      </x:c>
      <x:c r="M11" s="68" t="n">
        <x:f>Assumptions!$C$20-L11+K11</x:f>
        <x:v>6297.89155</x:v>
      </x:c>
      <x:c r="N11" s="70" t="n">
        <x:f>M11*0.82</x:f>
        <x:v>5164.271071</x:v>
      </x:c>
    </x:row>
    <x:row r="12">
      <x:c r="B12" s="30" t="str">
        <x:f>Mechanisms!B13</x:f>
        <x:v>M6</x:v>
      </x:c>
      <x:c r="C12" s="30" t="str">
        <x:f>Mechanisms!C13</x:f>
        <x:v>LCS-150 local-conversion seed force</x:v>
      </x:c>
      <x:c r="D12" s="68" t="n">
        <x:f>Mechanisms!Y13</x:f>
        <x:v>0.9</x:v>
      </x:c>
      <x:c r="E12" s="68" t="n">
        <x:f>Mechanisms!Z13</x:f>
        <x:v>0.1</x:v>
      </x:c>
      <x:c r="F12" s="68" t="n">
        <x:f>Mechanisms!AE13</x:f>
        <x:v>2.4810000000000003</x:v>
      </x:c>
      <x:c r="G12" s="68" t="n">
        <x:f>Mechanisms!AA13</x:f>
        <x:v>40</x:v>
      </x:c>
      <x:c r="H12" s="69" t="n">
        <x:f>Assumptions!$C$18</x:f>
        <x:v>43</x:v>
      </x:c>
      <x:c r="I12" s="68" t="n">
        <x:f>F12*H12+G12</x:f>
        <x:v>146.683</x:v>
      </x:c>
      <x:c r="J12" s="68" t="n">
        <x:f>Assumptions!$C$22</x:f>
        <x:v>120</x:v>
      </x:c>
      <x:c r="K12" s="68" t="n">
        <x:f>I12+J12</x:f>
        <x:v>266.683</x:v>
      </x:c>
      <x:c r="L12" s="68" t="n">
        <x:f>Assumptions!$C$21</x:f>
        <x:v>99</x:v>
      </x:c>
      <x:c r="M12" s="68" t="n">
        <x:f>Assumptions!$C$20-L12+K12</x:f>
        <x:v>6266.39495</x:v>
      </x:c>
      <x:c r="N12" s="70" t="n">
        <x:f>M12*0.82</x:f>
        <x:v>5138.443859</x:v>
      </x:c>
    </x:row>
    <x:row r="13">
      <x:c r="B13" s="30" t="str">
        <x:f>Mechanisms!B14</x:f>
        <x:v>M7</x:v>
      </x:c>
      <x:c r="C13" s="30" t="str">
        <x:f>Mechanisms!C14</x:f>
        <x:v>BCG-100 ballistic cargo-glider salvo</x:v>
      </x:c>
      <x:c r="D13" s="68" t="n">
        <x:f>Mechanisms!Y14</x:f>
        <x:v>1.75</x:v>
      </x:c>
      <x:c r="E13" s="68" t="n">
        <x:f>Mechanisms!Z14</x:f>
        <x:v>0.35</x:v>
      </x:c>
      <x:c r="F13" s="68" t="n">
        <x:f>Mechanisms!AE14</x:f>
        <x:v>7.2835</x:v>
      </x:c>
      <x:c r="G13" s="68" t="n">
        <x:f>Mechanisms!AA14</x:f>
        <x:v>65</x:v>
      </x:c>
      <x:c r="H13" s="69" t="n">
        <x:f>Assumptions!$C$18</x:f>
        <x:v>43</x:v>
      </x:c>
      <x:c r="I13" s="68" t="n">
        <x:f>F13*H13+G13</x:f>
        <x:v>378.1905</x:v>
      </x:c>
      <x:c r="J13" s="68" t="n">
        <x:f>Assumptions!$C$22</x:f>
        <x:v>120</x:v>
      </x:c>
      <x:c r="K13" s="68" t="n">
        <x:f>I13+J13</x:f>
        <x:v>498.1905</x:v>
      </x:c>
      <x:c r="L13" s="68" t="n">
        <x:f>Assumptions!$C$21</x:f>
        <x:v>99</x:v>
      </x:c>
      <x:c r="M13" s="68" t="n">
        <x:f>Assumptions!$C$20-L13+K13</x:f>
        <x:v>6497.90245</x:v>
      </x:c>
      <x:c r="N13" s="70" t="n">
        <x:f>M13*0.82</x:f>
        <x:v>5328.280008999999</x:v>
      </x:c>
    </x:row>
    <x:row r="14">
      <x:c r="B14" s="36" t="str">
        <x:f>Mechanisms!B15</x:f>
        <x:v>M8</x:v>
      </x:c>
      <x:c r="C14" s="36" t="str">
        <x:f>Mechanisms!C15</x:f>
        <x:v>AGC-320 amphibious ground-effect crawler</x:v>
      </x:c>
      <x:c r="D14" s="71" t="n">
        <x:f>Mechanisms!Y15</x:f>
        <x:v>2.8</x:v>
      </x:c>
      <x:c r="E14" s="71" t="n">
        <x:f>Mechanisms!Z15</x:f>
        <x:v>0.18</x:v>
      </x:c>
      <x:c r="F14" s="71" t="n">
        <x:f>Mechanisms!AE15</x:f>
        <x:v>5.6457999999999995</x:v>
      </x:c>
      <x:c r="G14" s="71" t="n">
        <x:f>Mechanisms!AA15</x:f>
        <x:v>60</x:v>
      </x:c>
      <x:c r="H14" s="72" t="n">
        <x:f>Assumptions!$C$18</x:f>
        <x:v>43</x:v>
      </x:c>
      <x:c r="I14" s="71" t="n">
        <x:f>F14*H14+G14</x:f>
        <x:v>302.7694</x:v>
      </x:c>
      <x:c r="J14" s="71" t="n">
        <x:f>Assumptions!$C$22</x:f>
        <x:v>120</x:v>
      </x:c>
      <x:c r="K14" s="71" t="n">
        <x:f>I14+J14</x:f>
        <x:v>422.7694</x:v>
      </x:c>
      <x:c r="L14" s="71" t="n">
        <x:f>Assumptions!$C$21</x:f>
        <x:v>99</x:v>
      </x:c>
      <x:c r="M14" s="71" t="n">
        <x:f>Assumptions!$C$20-L14+K14</x:f>
        <x:v>6422.48135</x:v>
      </x:c>
      <x:c r="N14" s="73" t="n">
        <x:f>M14*0.82</x:f>
        <x:v>5266.434706999999</x:v>
      </x:c>
    </x:row>
    <x:row r="15">
      <x:c r="B15" s="2"/>
      <x:c r="C15" s="2"/>
      <x:c r="D15" s="60"/>
      <x:c r="E15" s="60"/>
      <x:c r="F15" s="60"/>
      <x:c r="G15" s="60"/>
      <x:c r="H15" s="65"/>
      <x:c r="I15" s="60"/>
      <x:c r="J15" s="60"/>
      <x:c r="K15" s="60"/>
      <x:c r="L15" s="60"/>
      <x:c r="M15" s="60"/>
      <x:c r="N15" s="60"/>
    </x:row>
    <x:row r="16">
      <x:c r="B16" s="2"/>
      <x:c r="C16" s="2"/>
      <x:c r="D16" s="60"/>
      <x:c r="E16" s="60"/>
      <x:c r="F16" s="60"/>
      <x:c r="G16" s="60"/>
      <x:c r="H16" s="65"/>
      <x:c r="I16" s="60"/>
      <x:c r="J16" s="60"/>
      <x:c r="K16" s="60"/>
      <x:c r="L16" s="60"/>
      <x:c r="M16" s="60"/>
      <x:c r="N16" s="60"/>
    </x:row>
    <x:row r="17">
      <x:c r="B17" s="8" t="str">
        <x:v>Illustrative paired force</x:v>
      </x:c>
      <x:c r="C17" s="9" t="str">
        <x:v>Illustrative paired force</x:v>
      </x:c>
      <x:c r="D17" s="61" t="str">
        <x:v>Illustrative paired force</x:v>
      </x:c>
      <x:c r="E17" s="61" t="str">
        <x:v>Illustrative paired force</x:v>
      </x:c>
      <x:c r="F17" s="61" t="str">
        <x:v>Illustrative paired force</x:v>
      </x:c>
      <x:c r="G17" s="61" t="str">
        <x:v>Illustrative paired force</x:v>
      </x:c>
      <x:c r="H17" s="66" t="str">
        <x:v>Illustrative paired force</x:v>
      </x:c>
      <x:c r="I17" s="61" t="str">
        <x:v>Illustrative paired force</x:v>
      </x:c>
      <x:c r="J17" s="61" t="str">
        <x:v>Illustrative paired force</x:v>
      </x:c>
      <x:c r="K17" s="61" t="str">
        <x:v>Illustrative paired force</x:v>
      </x:c>
      <x:c r="L17" s="61" t="str">
        <x:v>Illustrative paired force</x:v>
      </x:c>
      <x:c r="M17" s="61" t="str">
        <x:v>Illustrative paired force</x:v>
      </x:c>
      <x:c r="N17" s="62" t="str">
        <x:v>Illustrative paired force</x:v>
      </x:c>
    </x:row>
    <x:row r="18">
      <x:c r="B18" s="28" t="str">
        <x:v>Portfolio</x:v>
      </x:c>
      <x:c r="C18" s="29" t="str">
        <x:v>Members</x:v>
      </x:c>
      <x:c r="D18" s="74" t="str">
        <x:v>Behavior worlds</x:v>
      </x:c>
      <x:c r="E18" s="74" t="str">
        <x:v>Uncovered</x:v>
      </x:c>
      <x:c r="F18" s="74" t="str">
        <x:v>Lifecycle/set $B</x:v>
      </x:c>
      <x:c r="G18" s="74" t="str">
        <x:v>RDT&amp;E $B</x:v>
      </x:c>
      <x:c r="H18" s="75" t="str">
        <x:v>National sets</x:v>
      </x:c>
      <x:c r="I18" s="74" t="str">
        <x:v>Mechanism program $B</x:v>
      </x:c>
      <x:c r="J18" s="74" t="str">
        <x:v>Shared enterprise $B</x:v>
      </x:c>
      <x:c r="K18" s="74" t="str">
        <x:v>Total selective $B</x:v>
      </x:c>
      <x:c r="L18" s="74" t="str">
        <x:v>Replace allowance $B</x:v>
      </x:c>
      <x:c r="M18" s="74" t="str">
        <x:v>Recompiled national $B</x:v>
      </x:c>
      <x:c r="N18" s="74" t="str">
        <x:v>Low $B</x:v>
      </x:c>
    </x:row>
    <x:row r="19">
      <x:c r="B19" s="36" t="str">
        <x:v>Research pair</x:v>
      </x:c>
      <x:c r="C19" s="36" t="str">
        <x:f>INDEX('Pair Portfolios'!C7:C34,MATCH(D19,'Pair Portfolios'!G7:G34,0))&amp;" + "&amp;INDEX('Pair Portfolios'!D7:D34,MATCH(D19,'Pair Portfolios'!G7:G34,0))</x:f>
        <x:v>M1 + M3</x:v>
      </x:c>
      <x:c r="D19" s="72" t="n">
        <x:f>MAX('Pair Portfolios'!G7:G34)</x:f>
        <x:v>13</x:v>
      </x:c>
      <x:c r="E19" s="72" t="n">
        <x:f>15-D19</x:f>
        <x:v>2</x:v>
      </x:c>
      <x:c r="F19" s="71" t="n">
        <x:f>INDEX('Pair Portfolios'!E7:E34,MATCH(D19,'Pair Portfolios'!G7:G34,0))</x:f>
        <x:v>13.9145</x:v>
      </x:c>
      <x:c r="G19" s="71" t="n">
        <x:f>INDEX('Pair Portfolios'!F7:F34,MATCH(D19,'Pair Portfolios'!G7:G34,0))</x:f>
        <x:v>130</x:v>
      </x:c>
      <x:c r="H19" s="72" t="n">
        <x:f>Assumptions!$C$18</x:f>
        <x:v>43</x:v>
      </x:c>
      <x:c r="I19" s="71" t="n">
        <x:f>F19*H19+G19</x:f>
        <x:v>728.3235</x:v>
      </x:c>
      <x:c r="J19" s="71" t="n">
        <x:f>Assumptions!$C$22</x:f>
        <x:v>120</x:v>
      </x:c>
      <x:c r="K19" s="71" t="n">
        <x:f>I19+J19</x:f>
        <x:v>848.3235</x:v>
      </x:c>
      <x:c r="L19" s="71" t="n">
        <x:f>Assumptions!$C$21</x:f>
        <x:v>99</x:v>
      </x:c>
      <x:c r="M19" s="71" t="n">
        <x:f>Assumptions!$C$20-L19+K19</x:f>
        <x:v>6848.035449999999</x:v>
      </x:c>
      <x:c r="N19" s="73" t="n">
        <x:f>M19*0.82</x:f>
        <x:v>5615.389068999999</x:v>
      </x:c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</x:sheetData>
  <x:mergeCells>
    <x:mergeCell ref="B17:N1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8" hidden="0" customWidth="1"/>
    <x:col min="3" max="3" width="15" hidden="0" customWidth="1"/>
    <x:col min="4" max="4" width="16" hidden="0" customWidth="1"/>
    <x:col min="5" max="5" width="27" hidden="0" customWidth="1"/>
    <x:col min="6" max="6" width="40" hidden="0" customWidth="1"/>
    <x:col min="7" max="7" width="31" hidden="0" customWidth="1"/>
    <x:col min="8" max="8" width="33" hidden="0" customWidth="1"/>
    <x:col min="9" max="9" width="34" hidden="0" customWidth="1"/>
    <x:col min="10" max="10" width="15" hidden="0" customWidth="1"/>
    <x:col min="11" max="11" width="17" hidden="0" customWidth="1"/>
  </x:cols>
  <x:sheetData>
    <x:row r="2">
      <x:c r="B2" s="3" t="str">
        <x:v>Fourth-access technology portfolio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Programs exist to change mission coefficients and prove independent access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28" t="str">
        <x:v>Program</x:v>
      </x:c>
      <x:c r="C6" s="29" t="str">
        <x:v>25-year $B</x:v>
      </x:c>
      <x:c r="D6" s="29" t="str">
        <x:v>Mechanisms</x:v>
      </x:c>
      <x:c r="E6" s="29" t="str">
        <x:v>Decisive coefficient</x:v>
      </x:c>
      <x:c r="F6" s="29" t="str">
        <x:v>Required advance</x:v>
      </x:c>
      <x:c r="G6" s="29" t="str">
        <x:v>Full-scale article</x:v>
      </x:c>
      <x:c r="H6" s="29" t="str">
        <x:v>Failure test</x:v>
      </x:c>
      <x:c r="I6" s="29" t="str">
        <x:v>Industrial result</x:v>
      </x:c>
      <x:c r="J6" s="29" t="str">
        <x:v>Evidence state</x:v>
      </x:c>
      <x:c r="K6" s="29" t="str">
        <x:v>Rendering state</x:v>
      </x:c>
    </x:row>
    <x:row r="7">
      <x:c r="B7" s="30" t="str">
        <x:v>Ultra-large buoyant structures</x:v>
      </x:c>
      <x:c r="C7" s="56" t="n">
        <x:v>25.33</x:v>
      </x:c>
      <x:c r="D7" s="30" t="str">
        <x:v>M1</x:v>
      </x:c>
      <x:c r="E7" s="30" t="str">
        <x:v>payload and wind envelope</x:v>
      </x:c>
      <x:c r="F7" s="30" t="str">
        <x:v>damage-tolerant variable-buoyancy hull</x:v>
      </x:c>
      <x:c r="G7" s="30" t="str">
        <x:v>320 t liftship</x:v>
      </x:c>
      <x:c r="H7" s="30" t="str">
        <x:v>gust, puncture and mooring loss</x:v>
      </x:c>
      <x:c r="I7" s="30" t="str">
        <x:v>two hull and fabric lineages</x:v>
      </x:c>
      <x:c r="J7" s="30" t="str">
        <x:v>OPEN</x:v>
      </x:c>
      <x:c r="K7" s="32" t="str">
        <x:v>BLOCKED</x:v>
      </x:c>
    </x:row>
    <x:row r="8">
      <x:c r="B8" s="30" t="str">
        <x:v>All-weather autonomous mooring</x:v>
      </x:c>
      <x:c r="C8" s="56" t="n">
        <x:v>12</x:v>
      </x:c>
      <x:c r="D8" s="30" t="str">
        <x:v>M1</x:v>
      </x:c>
      <x:c r="E8" s="30" t="str">
        <x:v>receiver footprint and cycle</x:v>
      </x:c>
      <x:c r="F8" s="30" t="str">
        <x:v>robotic capture without fixed mast</x:v>
      </x:c>
      <x:c r="G8" s="30" t="str">
        <x:v>field mooring set</x:v>
      </x:c>
      <x:c r="H8" s="30" t="str">
        <x:v>wind shift and anchor loss</x:v>
      </x:c>
      <x:c r="I8" s="30" t="str">
        <x:v>civil works and controls sector</x:v>
      </x:c>
      <x:c r="J8" s="30" t="str">
        <x:v>OPEN</x:v>
      </x:c>
      <x:c r="K8" s="32" t="str">
        <x:v>BLOCKED</x:v>
      </x:c>
    </x:row>
    <x:row r="9">
      <x:c r="B9" s="30" t="str">
        <x:v>Ground-effect amphibious flight</x:v>
      </x:c>
      <x:c r="C9" s="56" t="n">
        <x:v>20</x:v>
      </x:c>
      <x:c r="D9" s="30" t="str">
        <x:v>M2/M8</x:v>
      </x:c>
      <x:c r="E9" s="30" t="str">
        <x:v>water and terrain transition</x:v>
      </x:c>
      <x:c r="F9" s="30" t="str">
        <x:v>debris-tolerant lift and propulsion</x:v>
      </x:c>
      <x:c r="G9" s="30" t="str">
        <x:v>650 t WIG / crawler</x:v>
      </x:c>
      <x:c r="H9" s="30" t="str">
        <x:v>wave, debris and beach transition</x:v>
      </x:c>
      <x:c r="I9" s="30" t="str">
        <x:v>marine-aerospace production</x:v>
      </x:c>
      <x:c r="J9" s="30" t="str">
        <x:v>OPEN</x:v>
      </x:c>
      <x:c r="K9" s="32" t="str">
        <x:v>BLOCKED</x:v>
      </x:c>
    </x:row>
    <x:row r="10">
      <x:c r="B10" s="30" t="str">
        <x:v>Autonomous terrain mobility</x:v>
      </x:c>
      <x:c r="C10" s="56" t="n">
        <x:v>22.67</x:v>
      </x:c>
      <x:c r="D10" s="30" t="str">
        <x:v>M3</x:v>
      </x:c>
      <x:c r="E10" s="30" t="str">
        <x:v>slope, gap and road denial</x:v>
      </x:c>
      <x:c r="F10" s="30" t="str">
        <x:v>distributed traction and robotic bridge</x:v>
      </x:c>
      <x:c r="G10" s="30" t="str">
        <x:v>four-vehicle train</x:v>
      </x:c>
      <x:c r="H10" s="30" t="str">
        <x:v>landslide, mud, snow and gap</x:v>
      </x:c>
      <x:c r="I10" s="30" t="str">
        <x:v>heavy robotic vehicle lines</x:v>
      </x:c>
      <x:c r="J10" s="30" t="str">
        <x:v>OPEN</x:v>
      </x:c>
      <x:c r="K10" s="32" t="str">
        <x:v>BLOCKED</x:v>
      </x:c>
    </x:row>
    <x:row r="11">
      <x:c r="B11" s="30" t="str">
        <x:v>High-specific-power vertical lift</x:v>
      </x:c>
      <x:c r="C11" s="56" t="n">
        <x:v>32</x:v>
      </x:c>
      <x:c r="D11" s="30" t="str">
        <x:v>M4</x:v>
      </x:c>
      <x:c r="E11" s="30" t="str">
        <x:v>payload and range</x:v>
      </x:c>
      <x:c r="F11" s="30" t="str">
        <x:v>hybrid-electric or novel-cycle propulsion</x:v>
      </x:c>
      <x:c r="G11" s="30" t="str">
        <x:v>80 t VTOL</x:v>
      </x:c>
      <x:c r="H11" s="30" t="str">
        <x:v>engine loss, hot/high and brownout</x:v>
      </x:c>
      <x:c r="I11" s="30" t="str">
        <x:v>three propulsion lineages</x:v>
      </x:c>
      <x:c r="J11" s="30" t="str">
        <x:v>OPEN</x:v>
      </x:c>
      <x:c r="K11" s="32" t="str">
        <x:v>BLOCKED</x:v>
      </x:c>
    </x:row>
    <x:row r="12">
      <x:c r="B12" s="30" t="str">
        <x:v>Synchronized lift autonomy</x:v>
      </x:c>
      <x:c r="C12" s="56" t="n">
        <x:v>10.67</x:v>
      </x:c>
      <x:c r="D12" s="30" t="str">
        <x:v>M4</x:v>
      </x:c>
      <x:c r="E12" s="30" t="str">
        <x:v>eight-aircraft completion</x:v>
      </x:c>
      <x:c r="F12" s="30" t="str">
        <x:v>formation routing and load custody</x:v>
      </x:c>
      <x:c r="G12" s="30" t="str">
        <x:v>eight-aircraft cell lift</x:v>
      </x:c>
      <x:c r="H12" s="30" t="str">
        <x:v>link loss and diversion</x:v>
      </x:c>
      <x:c r="I12" s="30" t="str">
        <x:v>certified cooperative autonomy</x:v>
      </x:c>
      <x:c r="J12" s="30" t="str">
        <x:v>OPEN</x:v>
      </x:c>
      <x:c r="K12" s="32" t="str">
        <x:v>BLOCKED</x:v>
      </x:c>
    </x:row>
    <x:row r="13">
      <x:c r="B13" s="30" t="str">
        <x:v>Robotic utility-corridor laying</x:v>
      </x:c>
      <x:c r="C13" s="56" t="n">
        <x:v>16.67</x:v>
      </x:c>
      <x:c r="D13" s="30" t="str">
        <x:v>M5</x:v>
      </x:c>
      <x:c r="E13" s="30" t="str">
        <x:v>100 km service reach</x:v>
      </x:c>
      <x:c r="F13" s="30" t="str">
        <x:v>autonomous cable, hose and repeater placement</x:v>
      </x:c>
      <x:c r="G13" s="30" t="str">
        <x:v>100 km corridor train</x:v>
      </x:c>
      <x:c r="H13" s="30" t="str">
        <x:v>cuts, contamination and terrain</x:v>
      </x:c>
      <x:c r="I13" s="30" t="str">
        <x:v>utility robotics sector</x:v>
      </x:c>
      <x:c r="J13" s="30" t="str">
        <x:v>OPEN</x:v>
      </x:c>
      <x:c r="K13" s="32" t="str">
        <x:v>BLOCKED</x:v>
      </x:c>
    </x:row>
    <x:row r="14">
      <x:c r="B14" s="30" t="str">
        <x:v>Self-isolating utility tissue</x:v>
      </x:c>
      <x:c r="C14" s="56" t="n">
        <x:v>13.33</x:v>
      </x:c>
      <x:c r="D14" s="30" t="str">
        <x:v>M5</x:v>
      </x:c>
      <x:c r="E14" s="30" t="str">
        <x:v>surviving service fraction</x:v>
      </x:c>
      <x:c r="F14" s="30" t="str">
        <x:v>fault-localized power/water/data line</x:v>
      </x:c>
      <x:c r="G14" s="30" t="str">
        <x:v>live multi-service corridor</x:v>
      </x:c>
      <x:c r="H14" s="30" t="str">
        <x:v>compound break and cyber denial</x:v>
      </x:c>
      <x:c r="I14" s="30" t="str">
        <x:v>common civil interface standard</x:v>
      </x:c>
      <x:c r="J14" s="30" t="str">
        <x:v>OPEN</x:v>
      </x:c>
      <x:c r="K14" s="32" t="str">
        <x:v>BLOCKED</x:v>
      </x:c>
    </x:row>
    <x:row r="15">
      <x:c r="B15" s="30" t="str">
        <x:v>Local-conversion microfactories</x:v>
      </x:c>
      <x:c r="C15" s="56" t="n">
        <x:v>18.67</x:v>
      </x:c>
      <x:c r="D15" s="30" t="str">
        <x:v>M6</x:v>
      </x:c>
      <x:c r="E15" s="30" t="str">
        <x:v>local substitution ratio</x:v>
      </x:c>
      <x:c r="F15" s="30" t="str">
        <x:v>assured recipes across water, fuel and spares</x:v>
      </x:c>
      <x:c r="G15" s="30" t="str">
        <x:v>150 t seed force</x:v>
      </x:c>
      <x:c r="H15" s="30" t="str">
        <x:v>feed variation and recipe denial</x:v>
      </x:c>
      <x:c r="I15" s="30" t="str">
        <x:v>distributed certified production</x:v>
      </x:c>
      <x:c r="J15" s="30" t="str">
        <x:v>OPEN</x:v>
      </x:c>
      <x:c r="K15" s="32" t="str">
        <x:v>BLOCKED</x:v>
      </x:c>
    </x:row>
    <x:row r="16">
      <x:c r="B16" s="30" t="str">
        <x:v>Assured feedstock characterization</x:v>
      </x:c>
      <x:c r="C16" s="56" t="n">
        <x:v>8</x:v>
      </x:c>
      <x:c r="D16" s="30" t="str">
        <x:v>M6</x:v>
      </x:c>
      <x:c r="E16" s="30" t="str">
        <x:v>safe local input use</x:v>
      </x:c>
      <x:c r="F16" s="30" t="str">
        <x:v>rapid chemical and structural provenance</x:v>
      </x:c>
      <x:c r="G16" s="30" t="str">
        <x:v>mobile assay system</x:v>
      </x:c>
      <x:c r="H16" s="30" t="str">
        <x:v>unknown feed and spoofed data</x:v>
      </x:c>
      <x:c r="I16" s="30" t="str">
        <x:v>metrology and custody network</x:v>
      </x:c>
      <x:c r="J16" s="30" t="str">
        <x:v>OPEN</x:v>
      </x:c>
      <x:c r="K16" s="32" t="str">
        <x:v>BLOCKED</x:v>
      </x:c>
    </x:row>
    <x:row r="17">
      <x:c r="B17" s="30" t="str">
        <x:v>Precision cargo-glider descent</x:v>
      </x:c>
      <x:c r="C17" s="56" t="n">
        <x:v>21.33</x:v>
      </x:c>
      <x:c r="D17" s="30" t="str">
        <x:v>M7</x:v>
      </x:c>
      <x:c r="E17" s="30" t="str">
        <x:v>landing footprint</x:v>
      </x:c>
      <x:c r="F17" s="30" t="str">
        <x:v>controllable high-mass atmospheric entry</x:v>
      </x:c>
      <x:c r="G17" s="30" t="str">
        <x:v>100 t reusable glider</x:v>
      </x:c>
      <x:c r="H17" s="30" t="str">
        <x:v>wind, guidance and hard landing</x:v>
      </x:c>
      <x:c r="I17" s="30" t="str">
        <x:v>entry materials and controls</x:v>
      </x:c>
      <x:c r="J17" s="30" t="str">
        <x:v>OPEN</x:v>
      </x:c>
      <x:c r="K17" s="32" t="str">
        <x:v>BLOCKED</x:v>
      </x:c>
    </x:row>
    <x:row r="18">
      <x:c r="B18" s="30" t="str">
        <x:v>Receiver survey and acceptance</x:v>
      </x:c>
      <x:c r="C18" s="56" t="n">
        <x:v>8</x:v>
      </x:c>
      <x:c r="D18" s="30" t="str">
        <x:v>ALL</x:v>
      </x:c>
      <x:c r="E18" s="30" t="str">
        <x:v>unknown receiving surface</x:v>
      </x:c>
      <x:c r="F18" s="30" t="str">
        <x:v>autonomous geotechnical and utility mapping</x:v>
      </x:c>
      <x:c r="G18" s="30" t="str">
        <x:v>blind receiver team</x:v>
      </x:c>
      <x:c r="H18" s="30" t="str">
        <x:v>spoofing and inaccessible terrain</x:v>
      </x:c>
      <x:c r="I18" s="30" t="str">
        <x:v>national acceptance profession</x:v>
      </x:c>
      <x:c r="J18" s="30" t="str">
        <x:v>OPEN</x:v>
      </x:c>
      <x:c r="K18" s="32" t="str">
        <x:v>BLOCKED</x:v>
      </x:c>
    </x:row>
    <x:row r="19">
      <x:c r="B19" s="30" t="str">
        <x:v>Offline access command</x:v>
      </x:c>
      <x:c r="C19" s="56" t="n">
        <x:v>6.67</x:v>
      </x:c>
      <x:c r="D19" s="30" t="str">
        <x:v>ALL</x:v>
      </x:c>
      <x:c r="E19" s="30" t="str">
        <x:v>cyber-denied operation</x:v>
      </x:c>
      <x:c r="F19" s="30" t="str">
        <x:v>local planning, identity and deconfliction</x:v>
      </x:c>
      <x:c r="G19" s="30" t="str">
        <x:v>joint command stack</x:v>
      </x:c>
      <x:c r="H19" s="30" t="str">
        <x:v>satellite, cloud and identity loss</x:v>
      </x:c>
      <x:c r="I19" s="30" t="str">
        <x:v>government-owned control core</x:v>
      </x:c>
      <x:c r="J19" s="30" t="str">
        <x:v>OPEN</x:v>
      </x:c>
      <x:c r="K19" s="32" t="str">
        <x:v>BLOCKED</x:v>
      </x:c>
    </x:row>
    <x:row r="20">
      <x:c r="B20" s="30" t="str">
        <x:v>Compound weather prediction</x:v>
      </x:c>
      <x:c r="C20" s="56" t="n">
        <x:v>9.33</x:v>
      </x:c>
      <x:c r="D20" s="30" t="str">
        <x:v>ALL</x:v>
      </x:c>
      <x:c r="E20" s="30" t="str">
        <x:v>launch/receipt availability</x:v>
      </x:c>
      <x:c r="F20" s="30" t="str">
        <x:v>local sensing and bounded forecast</x:v>
      </x:c>
      <x:c r="G20" s="30" t="str">
        <x:v>distributed observatory</x:v>
      </x:c>
      <x:c r="H20" s="30" t="str">
        <x:v>model disagreement and sensor loss</x:v>
      </x:c>
      <x:c r="I20" s="30" t="str">
        <x:v>independent forecast lineages</x:v>
      </x:c>
      <x:c r="J20" s="30" t="str">
        <x:v>OPEN</x:v>
      </x:c>
      <x:c r="K20" s="32" t="str">
        <x:v>BLOCKED</x:v>
      </x:c>
    </x:row>
    <x:row r="21">
      <x:c r="B21" s="30" t="str">
        <x:v>Interchangeable PTS-5 packaging</x:v>
      </x:c>
      <x:c r="C21" s="56" t="n">
        <x:v>12</x:v>
      </x:c>
      <x:c r="D21" s="30" t="str">
        <x:v>ALL</x:v>
      </x:c>
      <x:c r="E21" s="30" t="str">
        <x:v>cross-mode completion</x:v>
      </x:c>
      <x:c r="F21" s="30" t="str">
        <x:v>mass, restraint, energy and fluid standard</x:v>
      </x:c>
      <x:c r="G21" s="30" t="str">
        <x:v>32-position cell</x:v>
      </x:c>
      <x:c r="H21" s="30" t="str">
        <x:v>lost module and mixed carrier</x:v>
      </x:c>
      <x:c r="I21" s="30" t="str">
        <x:v>open service-payload market</x:v>
      </x:c>
      <x:c r="J21" s="30" t="str">
        <x:v>OPEN</x:v>
      </x:c>
      <x:c r="K21" s="32" t="str">
        <x:v>BLOCKED</x:v>
      </x:c>
    </x:row>
    <x:row r="22">
      <x:c r="B22" s="30" t="str">
        <x:v>Fourth-access proving campaigns</x:v>
      </x:c>
      <x:c r="C22" s="56" t="n">
        <x:v>23.33</x:v>
      </x:c>
      <x:c r="D22" s="30" t="str">
        <x:v>ALL</x:v>
      </x:c>
      <x:c r="E22" s="30" t="str">
        <x:v>representative admission</x:v>
      </x:c>
      <x:c r="F22" s="30" t="str">
        <x:v>instrumented full mission testing</x:v>
      </x:c>
      <x:c r="G22" s="30" t="str">
        <x:v>two complete access groups</x:v>
      </x:c>
      <x:c r="H22" s="30" t="str">
        <x:v>second event and reset</x:v>
      </x:c>
      <x:c r="I22" s="30" t="str">
        <x:v>independent evidence enterprise</x:v>
      </x:c>
      <x:c r="J22" s="30" t="str">
        <x:v>OPEN</x:v>
      </x:c>
      <x:c r="K22" s="32" t="str">
        <x:v>BLOCKED</x:v>
      </x:c>
    </x:row>
    <x:row r="23">
      <x:c r="B23" s="36" t="str">
        <x:v>Industrial ramp and dormant capacity</x:v>
      </x:c>
      <x:c r="C23" s="57" t="n">
        <x:v>20</x:v>
      </x:c>
      <x:c r="D23" s="36" t="str">
        <x:v>ALL</x:v>
      </x:c>
      <x:c r="E23" s="36" t="str">
        <x:v>43 ready sets</x:v>
      </x:c>
      <x:c r="F23" s="36" t="str">
        <x:v>multiple qualified production lines</x:v>
      </x:c>
      <x:c r="G23" s="36" t="str">
        <x:v>rate demonstration</x:v>
      </x:c>
      <x:c r="H23" s="36" t="str">
        <x:v>supplier and workforce loss</x:v>
      </x:c>
      <x:c r="I23" s="36" t="str">
        <x:v>civil strategic production base</x:v>
      </x:c>
      <x:c r="J23" s="36" t="str">
        <x:v>OPEN</x:v>
      </x:c>
      <x:c r="K23" s="38" t="str">
        <x:v>BLOCKED</x:v>
      </x:c>
    </x:row>
    <x:row r="24">
      <x:c r="B24" s="2"/>
      <x:c r="C24" s="76"/>
      <x:c r="D24" s="2"/>
      <x:c r="E24" s="2"/>
      <x:c r="F24" s="2"/>
      <x:c r="G24" s="2"/>
      <x:c r="H24" s="2"/>
      <x:c r="I24" s="2"/>
      <x:c r="J24" s="2"/>
      <x:c r="K24" s="2"/>
    </x:row>
    <x:row r="25">
      <x:c r="B25" s="8" t="str">
        <x:v>Portfolio reconciliation</x:v>
      </x:c>
      <x:c r="C25" s="77" t="str">
        <x:v>Portfolio reconciliation</x:v>
      </x:c>
      <x:c r="D25" s="9" t="str">
        <x:v>Portfolio reconciliation</x:v>
      </x:c>
      <x:c r="E25" s="9" t="str">
        <x:v>Portfolio reconciliation</x:v>
      </x:c>
      <x:c r="F25" s="9" t="str">
        <x:v>Portfolio reconciliation</x:v>
      </x:c>
      <x:c r="G25" s="9" t="str">
        <x:v>Portfolio reconciliation</x:v>
      </x:c>
      <x:c r="H25" s="9" t="str">
        <x:v>Portfolio reconciliation</x:v>
      </x:c>
      <x:c r="I25" s="9" t="str">
        <x:v>Portfolio reconciliation</x:v>
      </x:c>
      <x:c r="J25" s="9" t="str">
        <x:v>Portfolio reconciliation</x:v>
      </x:c>
      <x:c r="K25" s="10" t="str">
        <x:v>Portfolio reconciliation</x:v>
      </x:c>
    </x:row>
    <x:row r="26">
      <x:c r="B26" s="2" t="str">
        <x:v>Pass 78 increment</x:v>
      </x:c>
      <x:c r="C26" s="76" t="n">
        <x:f>SUM(C7:C23)</x:f>
        <x:v>280</x:v>
      </x:c>
      <x:c r="D26" s="2"/>
      <x:c r="E26" s="2"/>
      <x:c r="F26" s="2"/>
      <x:c r="G26" s="2"/>
      <x:c r="H26" s="2"/>
      <x:c r="I26" s="2"/>
      <x:c r="J26" s="2"/>
      <x:c r="K26" s="2"/>
    </x:row>
    <x:row r="27">
      <x:c r="B27" s="2" t="str">
        <x:v>Pass 78 technology portfolio</x:v>
      </x:c>
      <x:c r="C27" s="76" t="n">
        <x:f>Assumptions!$C$23+C26</x:f>
        <x:v>735</x:v>
      </x:c>
      <x:c r="D27" s="2"/>
      <x:c r="E27" s="2"/>
      <x:c r="F27" s="2"/>
      <x:c r="G27" s="2"/>
      <x:c r="H27" s="2"/>
      <x:c r="I27" s="2"/>
      <x:c r="J27" s="2"/>
      <x:c r="K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</x:sheetData>
  <x:mergeCells>
    <x:mergeCell ref="B25:K2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9" hidden="0" customWidth="1"/>
    <x:col min="3" max="3" width="38" hidden="0" customWidth="1"/>
    <x:col min="4" max="4" width="15" hidden="0" customWidth="1"/>
    <x:col min="5" max="5" width="39" hidden="0" customWidth="1"/>
    <x:col min="6" max="6" width="30" hidden="0" customWidth="1"/>
    <x:col min="7" max="7" width="27" hidden="0" customWidth="1"/>
    <x:col min="8" max="8" width="14" hidden="0" customWidth="1"/>
    <x:col min="9" max="9" width="24" hidden="0" customWidth="1"/>
  </x:cols>
  <x:sheetData>
    <x:row r="2">
      <x:c r="B2" s="3" t="str">
        <x:v>Fourth-access evidence gates</x:v>
      </x:c>
      <x:c r="C2" s="2"/>
      <x:c r="D2" s="2"/>
      <x:c r="E2" s="2"/>
      <x:c r="F2" s="2"/>
      <x:c r="G2" s="2"/>
      <x:c r="H2" s="2"/>
      <x:c r="I2" s="2"/>
    </x:row>
    <x:row r="3">
      <x:c r="B3" s="4" t="str">
        <x:v>Calculated behavior does not authorize mechanism credit or rendering</x:v>
      </x:c>
      <x:c r="C3" s="4"/>
      <x:c r="D3" s="4"/>
      <x:c r="E3" s="4"/>
      <x:c r="F3" s="4"/>
      <x:c r="G3" s="4"/>
      <x:c r="H3" s="4"/>
      <x:c r="I3" s="4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28" t="str">
        <x:v>Gate</x:v>
      </x:c>
      <x:c r="C6" s="29" t="str">
        <x:v>Evidence required</x:v>
      </x:c>
      <x:c r="D6" s="29" t="str">
        <x:v>Article</x:v>
      </x:c>
      <x:c r="E6" s="29" t="str">
        <x:v>Failure condition</x:v>
      </x:c>
      <x:c r="F6" s="29" t="str">
        <x:v>Threshold</x:v>
      </x:c>
      <x:c r="G6" s="29" t="str">
        <x:v>Owner</x:v>
      </x:c>
      <x:c r="H6" s="29" t="str">
        <x:v>State</x:v>
      </x:c>
      <x:c r="I6" s="29" t="str">
        <x:v>Consequence</x:v>
      </x:c>
    </x:row>
    <x:row r="7">
      <x:c r="B7" s="30" t="str">
        <x:v>E01</x:v>
      </x:c>
      <x:c r="C7" s="30" t="str">
        <x:v>complete payload and restraint</x:v>
      </x:c>
      <x:c r="D7" s="30" t="str">
        <x:v>M1</x:v>
      </x:c>
      <x:c r="E7" s="30" t="str">
        <x:v>withhold or exceed the named boundary</x:v>
      </x:c>
      <x:c r="F7" s="30" t="str">
        <x:v>representative measured pass</x:v>
      </x:c>
      <x:c r="G7" s="30" t="str">
        <x:v>Test Directorate</x:v>
      </x:c>
      <x:c r="H7" s="30" t="str">
        <x:v>OPEN</x:v>
      </x:c>
      <x:c r="I7" s="32" t="str">
        <x:v>no current credit</x:v>
      </x:c>
    </x:row>
    <x:row r="8">
      <x:c r="B8" s="30" t="str">
        <x:v>E02</x:v>
      </x:c>
      <x:c r="C8" s="30" t="str">
        <x:v>source independence</x:v>
      </x:c>
      <x:c r="D8" s="30" t="str">
        <x:v>M2</x:v>
      </x:c>
      <x:c r="E8" s="30" t="str">
        <x:v>withhold or exceed the named boundary</x:v>
      </x:c>
      <x:c r="F8" s="30" t="str">
        <x:v>representative measured pass</x:v>
      </x:c>
      <x:c r="G8" s="30" t="str">
        <x:v>Fourth Access Command</x:v>
      </x:c>
      <x:c r="H8" s="30" t="str">
        <x:v>OPEN</x:v>
      </x:c>
      <x:c r="I8" s="32" t="str">
        <x:v>no current credit</x:v>
      </x:c>
    </x:row>
    <x:row r="9">
      <x:c r="B9" s="30" t="str">
        <x:v>E03</x:v>
      </x:c>
      <x:c r="C9" s="30" t="str">
        <x:v>base independence</x:v>
      </x:c>
      <x:c r="D9" s="30" t="str">
        <x:v>M3</x:v>
      </x:c>
      <x:c r="E9" s="30" t="str">
        <x:v>withhold or exceed the named boundary</x:v>
      </x:c>
      <x:c r="F9" s="30" t="str">
        <x:v>representative measured pass</x:v>
      </x:c>
      <x:c r="G9" s="30" t="str">
        <x:v>Independent evaluator</x:v>
      </x:c>
      <x:c r="H9" s="30" t="str">
        <x:v>OPEN</x:v>
      </x:c>
      <x:c r="I9" s="32" t="str">
        <x:v>no current credit</x:v>
      </x:c>
    </x:row>
    <x:row r="10">
      <x:c r="B10" s="30" t="str">
        <x:v>E04</x:v>
      </x:c>
      <x:c r="C10" s="30" t="str">
        <x:v>launch cycle</x:v>
      </x:c>
      <x:c r="D10" s="30" t="str">
        <x:v>M4</x:v>
      </x:c>
      <x:c r="E10" s="30" t="str">
        <x:v>withhold or exceed the named boundary</x:v>
      </x:c>
      <x:c r="F10" s="30" t="str">
        <x:v>representative measured pass</x:v>
      </x:c>
      <x:c r="G10" s="30" t="str">
        <x:v>Test Directorate</x:v>
      </x:c>
      <x:c r="H10" s="30" t="str">
        <x:v>OPEN</x:v>
      </x:c>
      <x:c r="I10" s="32" t="str">
        <x:v>no current credit</x:v>
      </x:c>
    </x:row>
    <x:row r="11">
      <x:c r="B11" s="30" t="str">
        <x:v>E05</x:v>
      </x:c>
      <x:c r="C11" s="30" t="str">
        <x:v>range with reserve</x:v>
      </x:c>
      <x:c r="D11" s="30" t="str">
        <x:v>M5</x:v>
      </x:c>
      <x:c r="E11" s="30" t="str">
        <x:v>withhold or exceed the named boundary</x:v>
      </x:c>
      <x:c r="F11" s="30" t="str">
        <x:v>representative measured pass</x:v>
      </x:c>
      <x:c r="G11" s="30" t="str">
        <x:v>Fourth Access Command</x:v>
      </x:c>
      <x:c r="H11" s="30" t="str">
        <x:v>OPEN</x:v>
      </x:c>
      <x:c r="I11" s="32" t="str">
        <x:v>no current credit</x:v>
      </x:c>
    </x:row>
    <x:row r="12">
      <x:c r="B12" s="30" t="str">
        <x:v>E06</x:v>
      </x:c>
      <x:c r="C12" s="30" t="str">
        <x:v>wind envelope</x:v>
      </x:c>
      <x:c r="D12" s="30" t="str">
        <x:v>M6</x:v>
      </x:c>
      <x:c r="E12" s="30" t="str">
        <x:v>withhold or exceed the named boundary</x:v>
      </x:c>
      <x:c r="F12" s="30" t="str">
        <x:v>representative measured pass</x:v>
      </x:c>
      <x:c r="G12" s="30" t="str">
        <x:v>Independent evaluator</x:v>
      </x:c>
      <x:c r="H12" s="30" t="str">
        <x:v>OPEN</x:v>
      </x:c>
      <x:c r="I12" s="32" t="str">
        <x:v>no current credit</x:v>
      </x:c>
    </x:row>
    <x:row r="13">
      <x:c r="B13" s="30" t="str">
        <x:v>E07</x:v>
      </x:c>
      <x:c r="C13" s="30" t="str">
        <x:v>visibility and smoke</x:v>
      </x:c>
      <x:c r="D13" s="30" t="str">
        <x:v>M7</x:v>
      </x:c>
      <x:c r="E13" s="30" t="str">
        <x:v>withhold or exceed the named boundary</x:v>
      </x:c>
      <x:c r="F13" s="30" t="str">
        <x:v>representative measured pass</x:v>
      </x:c>
      <x:c r="G13" s="30" t="str">
        <x:v>Test Directorate</x:v>
      </x:c>
      <x:c r="H13" s="30" t="str">
        <x:v>OPEN</x:v>
      </x:c>
      <x:c r="I13" s="32" t="str">
        <x:v>no current credit</x:v>
      </x:c>
    </x:row>
    <x:row r="14">
      <x:c r="B14" s="30" t="str">
        <x:v>E08</x:v>
      </x:c>
      <x:c r="C14" s="30" t="str">
        <x:v>receiver survey</x:v>
      </x:c>
      <x:c r="D14" s="30" t="str">
        <x:v>M8</x:v>
      </x:c>
      <x:c r="E14" s="30" t="str">
        <x:v>withhold or exceed the named boundary</x:v>
      </x:c>
      <x:c r="F14" s="30" t="str">
        <x:v>representative measured pass</x:v>
      </x:c>
      <x:c r="G14" s="30" t="str">
        <x:v>Fourth Access Command</x:v>
      </x:c>
      <x:c r="H14" s="30" t="str">
        <x:v>OPEN</x:v>
      </x:c>
      <x:c r="I14" s="32" t="str">
        <x:v>no current credit</x:v>
      </x:c>
    </x:row>
    <x:row r="15">
      <x:c r="B15" s="30" t="str">
        <x:v>E09</x:v>
      </x:c>
      <x:c r="C15" s="30" t="str">
        <x:v>no-runway receipt</x:v>
      </x:c>
      <x:c r="D15" s="30" t="str">
        <x:v>JOINT</x:v>
      </x:c>
      <x:c r="E15" s="30" t="str">
        <x:v>withhold or exceed the named boundary</x:v>
      </x:c>
      <x:c r="F15" s="30" t="str">
        <x:v>representative measured pass</x:v>
      </x:c>
      <x:c r="G15" s="30" t="str">
        <x:v>Independent evaluator</x:v>
      </x:c>
      <x:c r="H15" s="30" t="str">
        <x:v>OPEN</x:v>
      </x:c>
      <x:c r="I15" s="32" t="str">
        <x:v>no current credit</x:v>
      </x:c>
    </x:row>
    <x:row r="16">
      <x:c r="B16" s="30" t="str">
        <x:v>E10</x:v>
      </x:c>
      <x:c r="C16" s="30" t="str">
        <x:v>water and debris operation</x:v>
      </x:c>
      <x:c r="D16" s="30" t="str">
        <x:v>JOINT</x:v>
      </x:c>
      <x:c r="E16" s="30" t="str">
        <x:v>withhold or exceed the named boundary</x:v>
      </x:c>
      <x:c r="F16" s="30" t="str">
        <x:v>representative measured pass</x:v>
      </x:c>
      <x:c r="G16" s="30" t="str">
        <x:v>Test Directorate</x:v>
      </x:c>
      <x:c r="H16" s="30" t="str">
        <x:v>OPEN</x:v>
      </x:c>
      <x:c r="I16" s="32" t="str">
        <x:v>no current credit</x:v>
      </x:c>
    </x:row>
    <x:row r="17">
      <x:c r="B17" s="30" t="str">
        <x:v>E11</x:v>
      </x:c>
      <x:c r="C17" s="30" t="str">
        <x:v>terrain and slope</x:v>
      </x:c>
      <x:c r="D17" s="30" t="str">
        <x:v>JOINT</x:v>
      </x:c>
      <x:c r="E17" s="30" t="str">
        <x:v>withhold or exceed the named boundary</x:v>
      </x:c>
      <x:c r="F17" s="30" t="str">
        <x:v>representative measured pass</x:v>
      </x:c>
      <x:c r="G17" s="30" t="str">
        <x:v>Fourth Access Command</x:v>
      </x:c>
      <x:c r="H17" s="30" t="str">
        <x:v>OPEN</x:v>
      </x:c>
      <x:c r="I17" s="32" t="str">
        <x:v>no current credit</x:v>
      </x:c>
    </x:row>
    <x:row r="18">
      <x:c r="B18" s="30" t="str">
        <x:v>E12</x:v>
      </x:c>
      <x:c r="C18" s="30" t="str">
        <x:v>offline control</x:v>
      </x:c>
      <x:c r="D18" s="30" t="str">
        <x:v>JOINT</x:v>
      </x:c>
      <x:c r="E18" s="30" t="str">
        <x:v>withhold or exceed the named boundary</x:v>
      </x:c>
      <x:c r="F18" s="30" t="str">
        <x:v>representative measured pass</x:v>
      </x:c>
      <x:c r="G18" s="30" t="str">
        <x:v>Independent evaluator</x:v>
      </x:c>
      <x:c r="H18" s="30" t="str">
        <x:v>OPEN</x:v>
      </x:c>
      <x:c r="I18" s="32" t="str">
        <x:v>no current credit</x:v>
      </x:c>
    </x:row>
    <x:row r="19">
      <x:c r="B19" s="30" t="str">
        <x:v>E13</x:v>
      </x:c>
      <x:c r="C19" s="30" t="str">
        <x:v>civil authority</x:v>
      </x:c>
      <x:c r="D19" s="30" t="str">
        <x:v>JOINT</x:v>
      </x:c>
      <x:c r="E19" s="30" t="str">
        <x:v>withhold or exceed the named boundary</x:v>
      </x:c>
      <x:c r="F19" s="30" t="str">
        <x:v>representative measured pass</x:v>
      </x:c>
      <x:c r="G19" s="30" t="str">
        <x:v>Test Directorate</x:v>
      </x:c>
      <x:c r="H19" s="30" t="str">
        <x:v>OPEN</x:v>
      </x:c>
      <x:c r="I19" s="32" t="str">
        <x:v>no current credit</x:v>
      </x:c>
    </x:row>
    <x:row r="20">
      <x:c r="B20" s="30" t="str">
        <x:v>E14</x:v>
      </x:c>
      <x:c r="C20" s="30" t="str">
        <x:v>service interface</x:v>
      </x:c>
      <x:c r="D20" s="30" t="str">
        <x:v>JOINT</x:v>
      </x:c>
      <x:c r="E20" s="30" t="str">
        <x:v>withhold or exceed the named boundary</x:v>
      </x:c>
      <x:c r="F20" s="30" t="str">
        <x:v>representative measured pass</x:v>
      </x:c>
      <x:c r="G20" s="30" t="str">
        <x:v>Fourth Access Command</x:v>
      </x:c>
      <x:c r="H20" s="30" t="str">
        <x:v>OPEN</x:v>
      </x:c>
      <x:c r="I20" s="32" t="str">
        <x:v>no current credit</x:v>
      </x:c>
    </x:row>
    <x:row r="21">
      <x:c r="B21" s="30" t="str">
        <x:v>E15</x:v>
      </x:c>
      <x:c r="C21" s="30" t="str">
        <x:v>unloading and setup</x:v>
      </x:c>
      <x:c r="D21" s="30" t="str">
        <x:v>JOINT</x:v>
      </x:c>
      <x:c r="E21" s="30" t="str">
        <x:v>withhold or exceed the named boundary</x:v>
      </x:c>
      <x:c r="F21" s="30" t="str">
        <x:v>representative measured pass</x:v>
      </x:c>
      <x:c r="G21" s="30" t="str">
        <x:v>Independent evaluator</x:v>
      </x:c>
      <x:c r="H21" s="30" t="str">
        <x:v>OPEN</x:v>
      </x:c>
      <x:c r="I21" s="32" t="str">
        <x:v>no current credit</x:v>
      </x:c>
    </x:row>
    <x:row r="22">
      <x:c r="B22" s="30" t="str">
        <x:v>E16</x:v>
      </x:c>
      <x:c r="C22" s="30" t="str">
        <x:v>crew availability</x:v>
      </x:c>
      <x:c r="D22" s="30" t="str">
        <x:v>JOINT</x:v>
      </x:c>
      <x:c r="E22" s="30" t="str">
        <x:v>withhold or exceed the named boundary</x:v>
      </x:c>
      <x:c r="F22" s="30" t="str">
        <x:v>representative measured pass</x:v>
      </x:c>
      <x:c r="G22" s="30" t="str">
        <x:v>Test Directorate</x:v>
      </x:c>
      <x:c r="H22" s="30" t="str">
        <x:v>OPEN</x:v>
      </x:c>
      <x:c r="I22" s="32" t="str">
        <x:v>no current credit</x:v>
      </x:c>
    </x:row>
    <x:row r="23">
      <x:c r="B23" s="30" t="str">
        <x:v>E17</x:v>
      </x:c>
      <x:c r="C23" s="30" t="str">
        <x:v>maintenance and reset</x:v>
      </x:c>
      <x:c r="D23" s="30" t="str">
        <x:v>JOINT</x:v>
      </x:c>
      <x:c r="E23" s="30" t="str">
        <x:v>withhold or exceed the named boundary</x:v>
      </x:c>
      <x:c r="F23" s="30" t="str">
        <x:v>representative measured pass</x:v>
      </x:c>
      <x:c r="G23" s="30" t="str">
        <x:v>Fourth Access Command</x:v>
      </x:c>
      <x:c r="H23" s="30" t="str">
        <x:v>OPEN</x:v>
      </x:c>
      <x:c r="I23" s="32" t="str">
        <x:v>no current credit</x:v>
      </x:c>
    </x:row>
    <x:row r="24">
      <x:c r="B24" s="30" t="str">
        <x:v>E18</x:v>
      </x:c>
      <x:c r="C24" s="30" t="str">
        <x:v>second simultaneous region</x:v>
      </x:c>
      <x:c r="D24" s="30" t="str">
        <x:v>JOINT</x:v>
      </x:c>
      <x:c r="E24" s="30" t="str">
        <x:v>withhold or exceed the named boundary</x:v>
      </x:c>
      <x:c r="F24" s="30" t="str">
        <x:v>representative measured pass</x:v>
      </x:c>
      <x:c r="G24" s="30" t="str">
        <x:v>Independent evaluator</x:v>
      </x:c>
      <x:c r="H24" s="30" t="str">
        <x:v>OPEN</x:v>
      </x:c>
      <x:c r="I24" s="32" t="str">
        <x:v>no current credit</x:v>
      </x:c>
    </x:row>
    <x:row r="25">
      <x:c r="B25" s="30" t="str">
        <x:v>E19</x:v>
      </x:c>
      <x:c r="C25" s="30" t="str">
        <x:v>supplier ancestry</x:v>
      </x:c>
      <x:c r="D25" s="30" t="str">
        <x:v>JOINT</x:v>
      </x:c>
      <x:c r="E25" s="30" t="str">
        <x:v>withhold or exceed the named boundary</x:v>
      </x:c>
      <x:c r="F25" s="30" t="str">
        <x:v>representative measured pass</x:v>
      </x:c>
      <x:c r="G25" s="30" t="str">
        <x:v>Test Directorate</x:v>
      </x:c>
      <x:c r="H25" s="30" t="str">
        <x:v>OPEN</x:v>
      </x:c>
      <x:c r="I25" s="32" t="str">
        <x:v>no current credit</x:v>
      </x:c>
    </x:row>
    <x:row r="26">
      <x:c r="B26" s="30" t="str">
        <x:v>E20</x:v>
      </x:c>
      <x:c r="C26" s="30" t="str">
        <x:v>energy supply</x:v>
      </x:c>
      <x:c r="D26" s="30" t="str">
        <x:v>JOINT</x:v>
      </x:c>
      <x:c r="E26" s="30" t="str">
        <x:v>withhold or exceed the named boundary</x:v>
      </x:c>
      <x:c r="F26" s="30" t="str">
        <x:v>representative measured pass</x:v>
      </x:c>
      <x:c r="G26" s="30" t="str">
        <x:v>Fourth Access Command</x:v>
      </x:c>
      <x:c r="H26" s="30" t="str">
        <x:v>OPEN</x:v>
      </x:c>
      <x:c r="I26" s="32" t="str">
        <x:v>no current credit</x:v>
      </x:c>
    </x:row>
    <x:row r="27">
      <x:c r="B27" s="30" t="str">
        <x:v>E21</x:v>
      </x:c>
      <x:c r="C27" s="30" t="str">
        <x:v>environmental effects</x:v>
      </x:c>
      <x:c r="D27" s="30" t="str">
        <x:v>JOINT</x:v>
      </x:c>
      <x:c r="E27" s="30" t="str">
        <x:v>withhold or exceed the named boundary</x:v>
      </x:c>
      <x:c r="F27" s="30" t="str">
        <x:v>representative measured pass</x:v>
      </x:c>
      <x:c r="G27" s="30" t="str">
        <x:v>Independent evaluator</x:v>
      </x:c>
      <x:c r="H27" s="30" t="str">
        <x:v>OPEN</x:v>
      </x:c>
      <x:c r="I27" s="32" t="str">
        <x:v>no current credit</x:v>
      </x:c>
    </x:row>
    <x:row r="28">
      <x:c r="B28" s="30" t="str">
        <x:v>E22</x:v>
      </x:c>
      <x:c r="C28" s="30" t="str">
        <x:v>public safety</x:v>
      </x:c>
      <x:c r="D28" s="30" t="str">
        <x:v>JOINT</x:v>
      </x:c>
      <x:c r="E28" s="30" t="str">
        <x:v>withhold or exceed the named boundary</x:v>
      </x:c>
      <x:c r="F28" s="30" t="str">
        <x:v>representative measured pass</x:v>
      </x:c>
      <x:c r="G28" s="30" t="str">
        <x:v>Test Directorate</x:v>
      </x:c>
      <x:c r="H28" s="30" t="str">
        <x:v>OPEN</x:v>
      </x:c>
      <x:c r="I28" s="32" t="str">
        <x:v>no current credit</x:v>
      </x:c>
    </x:row>
    <x:row r="29">
      <x:c r="B29" s="30" t="str">
        <x:v>E23</x:v>
      </x:c>
      <x:c r="C29" s="30" t="str">
        <x:v>community rights</x:v>
      </x:c>
      <x:c r="D29" s="30" t="str">
        <x:v>JOINT</x:v>
      </x:c>
      <x:c r="E29" s="30" t="str">
        <x:v>withhold or exceed the named boundary</x:v>
      </x:c>
      <x:c r="F29" s="30" t="str">
        <x:v>representative measured pass</x:v>
      </x:c>
      <x:c r="G29" s="30" t="str">
        <x:v>Fourth Access Command</x:v>
      </x:c>
      <x:c r="H29" s="30" t="str">
        <x:v>OPEN</x:v>
      </x:c>
      <x:c r="I29" s="32" t="str">
        <x:v>no current credit</x:v>
      </x:c>
    </x:row>
    <x:row r="30">
      <x:c r="B30" s="30" t="str">
        <x:v>E24</x:v>
      </x:c>
      <x:c r="C30" s="30" t="str">
        <x:v>cross-border custody</x:v>
      </x:c>
      <x:c r="D30" s="30" t="str">
        <x:v>JOINT</x:v>
      </x:c>
      <x:c r="E30" s="30" t="str">
        <x:v>withhold or exceed the named boundary</x:v>
      </x:c>
      <x:c r="F30" s="30" t="str">
        <x:v>representative measured pass</x:v>
      </x:c>
      <x:c r="G30" s="30" t="str">
        <x:v>Independent evaluator</x:v>
      </x:c>
      <x:c r="H30" s="30" t="str">
        <x:v>OPEN</x:v>
      </x:c>
      <x:c r="I30" s="32" t="str">
        <x:v>no current credit</x:v>
      </x:c>
    </x:row>
    <x:row r="31">
      <x:c r="B31" s="30" t="str">
        <x:v>E25</x:v>
      </x:c>
      <x:c r="C31" s="30" t="str">
        <x:v>cyber safety</x:v>
      </x:c>
      <x:c r="D31" s="30" t="str">
        <x:v>JOINT</x:v>
      </x:c>
      <x:c r="E31" s="30" t="str">
        <x:v>withhold or exceed the named boundary</x:v>
      </x:c>
      <x:c r="F31" s="30" t="str">
        <x:v>representative measured pass</x:v>
      </x:c>
      <x:c r="G31" s="30" t="str">
        <x:v>Test Directorate</x:v>
      </x:c>
      <x:c r="H31" s="30" t="str">
        <x:v>OPEN</x:v>
      </x:c>
      <x:c r="I31" s="32" t="str">
        <x:v>no current credit</x:v>
      </x:c>
    </x:row>
    <x:row r="32">
      <x:c r="B32" s="30" t="str">
        <x:v>E26</x:v>
      </x:c>
      <x:c r="C32" s="30" t="str">
        <x:v>weather model disagreement</x:v>
      </x:c>
      <x:c r="D32" s="30" t="str">
        <x:v>JOINT</x:v>
      </x:c>
      <x:c r="E32" s="30" t="str">
        <x:v>withhold or exceed the named boundary</x:v>
      </x:c>
      <x:c r="F32" s="30" t="str">
        <x:v>representative measured pass</x:v>
      </x:c>
      <x:c r="G32" s="30" t="str">
        <x:v>Fourth Access Command</x:v>
      </x:c>
      <x:c r="H32" s="30" t="str">
        <x:v>OPEN</x:v>
      </x:c>
      <x:c r="I32" s="32" t="str">
        <x:v>no current credit</x:v>
      </x:c>
    </x:row>
    <x:row r="33">
      <x:c r="B33" s="30" t="str">
        <x:v>E27</x:v>
      </x:c>
      <x:c r="C33" s="30" t="str">
        <x:v>casualty and abort</x:v>
      </x:c>
      <x:c r="D33" s="30" t="str">
        <x:v>JOINT</x:v>
      </x:c>
      <x:c r="E33" s="30" t="str">
        <x:v>withhold or exceed the named boundary</x:v>
      </x:c>
      <x:c r="F33" s="30" t="str">
        <x:v>representative measured pass</x:v>
      </x:c>
      <x:c r="G33" s="30" t="str">
        <x:v>Independent evaluator</x:v>
      </x:c>
      <x:c r="H33" s="30" t="str">
        <x:v>OPEN</x:v>
      </x:c>
      <x:c r="I33" s="32" t="str">
        <x:v>no current credit</x:v>
      </x:c>
    </x:row>
    <x:row r="34">
      <x:c r="B34" s="30" t="str">
        <x:v>E28</x:v>
      </x:c>
      <x:c r="C34" s="30" t="str">
        <x:v>damaged vehicle recovery</x:v>
      </x:c>
      <x:c r="D34" s="30" t="str">
        <x:v>JOINT</x:v>
      </x:c>
      <x:c r="E34" s="30" t="str">
        <x:v>withhold or exceed the named boundary</x:v>
      </x:c>
      <x:c r="F34" s="30" t="str">
        <x:v>representative measured pass</x:v>
      </x:c>
      <x:c r="G34" s="30" t="str">
        <x:v>Test Directorate</x:v>
      </x:c>
      <x:c r="H34" s="30" t="str">
        <x:v>OPEN</x:v>
      </x:c>
      <x:c r="I34" s="32" t="str">
        <x:v>no current credit</x:v>
      </x:c>
    </x:row>
    <x:row r="35">
      <x:c r="B35" s="30" t="str">
        <x:v>E29</x:v>
      </x:c>
      <x:c r="C35" s="30" t="str">
        <x:v>full PTS-5 service</x:v>
      </x:c>
      <x:c r="D35" s="30" t="str">
        <x:v>JOINT</x:v>
      </x:c>
      <x:c r="E35" s="30" t="str">
        <x:v>withhold or exceed the named boundary</x:v>
      </x:c>
      <x:c r="F35" s="30" t="str">
        <x:v>representative measured pass</x:v>
      </x:c>
      <x:c r="G35" s="30" t="str">
        <x:v>Fourth Access Command</x:v>
      </x:c>
      <x:c r="H35" s="30" t="str">
        <x:v>OPEN</x:v>
      </x:c>
      <x:c r="I35" s="32" t="str">
        <x:v>no current credit</x:v>
      </x:c>
    </x:row>
    <x:row r="36">
      <x:c r="B36" s="30" t="str">
        <x:v>E30</x:v>
      </x:c>
      <x:c r="C36" s="30" t="str">
        <x:v>seven-day service</x:v>
      </x:c>
      <x:c r="D36" s="30" t="str">
        <x:v>JOINT</x:v>
      </x:c>
      <x:c r="E36" s="30" t="str">
        <x:v>withhold or exceed the named boundary</x:v>
      </x:c>
      <x:c r="F36" s="30" t="str">
        <x:v>representative measured pass</x:v>
      </x:c>
      <x:c r="G36" s="30" t="str">
        <x:v>Independent evaluator</x:v>
      </x:c>
      <x:c r="H36" s="30" t="str">
        <x:v>OPEN</x:v>
      </x:c>
      <x:c r="I36" s="32" t="str">
        <x:v>no current credit</x:v>
      </x:c>
    </x:row>
    <x:row r="37">
      <x:c r="B37" s="30" t="str">
        <x:v>E31</x:v>
      </x:c>
      <x:c r="C37" s="30" t="str">
        <x:v>repeat mission</x:v>
      </x:c>
      <x:c r="D37" s="30" t="str">
        <x:v>JOINT</x:v>
      </x:c>
      <x:c r="E37" s="30" t="str">
        <x:v>withhold or exceed the named boundary</x:v>
      </x:c>
      <x:c r="F37" s="30" t="str">
        <x:v>representative measured pass</x:v>
      </x:c>
      <x:c r="G37" s="30" t="str">
        <x:v>Test Directorate</x:v>
      </x:c>
      <x:c r="H37" s="30" t="str">
        <x:v>OPEN</x:v>
      </x:c>
      <x:c r="I37" s="32" t="str">
        <x:v>no current credit</x:v>
      </x:c>
    </x:row>
    <x:row r="38">
      <x:c r="B38" s="30" t="str">
        <x:v>E32</x:v>
      </x:c>
      <x:c r="C38" s="30" t="str">
        <x:v>cost and schedule</x:v>
      </x:c>
      <x:c r="D38" s="30" t="str">
        <x:v>JOINT</x:v>
      </x:c>
      <x:c r="E38" s="30" t="str">
        <x:v>withhold or exceed the named boundary</x:v>
      </x:c>
      <x:c r="F38" s="30" t="str">
        <x:v>representative measured pass</x:v>
      </x:c>
      <x:c r="G38" s="30" t="str">
        <x:v>Fourth Access Command</x:v>
      </x:c>
      <x:c r="H38" s="30" t="str">
        <x:v>OPEN</x:v>
      </x:c>
      <x:c r="I38" s="32" t="str">
        <x:v>no current credit</x:v>
      </x:c>
    </x:row>
    <x:row r="39">
      <x:c r="B39" s="30" t="str">
        <x:v>E33</x:v>
      </x:c>
      <x:c r="C39" s="30" t="str">
        <x:v>independent reconstruction</x:v>
      </x:c>
      <x:c r="D39" s="30" t="str">
        <x:v>JOINT</x:v>
      </x:c>
      <x:c r="E39" s="30" t="str">
        <x:v>withhold or exceed the named boundary</x:v>
      </x:c>
      <x:c r="F39" s="30" t="str">
        <x:v>representative measured pass</x:v>
      </x:c>
      <x:c r="G39" s="30" t="str">
        <x:v>Independent evaluator</x:v>
      </x:c>
      <x:c r="H39" s="30" t="str">
        <x:v>OPEN</x:v>
      </x:c>
      <x:c r="I39" s="32" t="str">
        <x:v>no current credit</x:v>
      </x:c>
    </x:row>
    <x:row r="40">
      <x:c r="B40" s="36" t="str">
        <x:v>E34</x:v>
      </x:c>
      <x:c r="C40" s="36" t="str">
        <x:v>universal stop</x:v>
      </x:c>
      <x:c r="D40" s="36" t="str">
        <x:v>JOINT</x:v>
      </x:c>
      <x:c r="E40" s="36" t="str">
        <x:v>withhold or exceed the named boundary</x:v>
      </x:c>
      <x:c r="F40" s="36" t="str">
        <x:v>representative measured pass</x:v>
      </x:c>
      <x:c r="G40" s="36" t="str">
        <x:v>Test Directorate</x:v>
      </x:c>
      <x:c r="H40" s="36" t="str">
        <x:v>OPEN</x:v>
      </x:c>
      <x:c r="I40" s="38" t="str">
        <x:v>no current credit</x:v>
      </x:c>
    </x:row>
    <x:row r="41">
      <x:c r="B41" s="2"/>
      <x:c r="C41" s="2"/>
      <x:c r="D41" s="2"/>
      <x:c r="E41" s="2"/>
      <x:c r="F41" s="2"/>
      <x:c r="G41" s="2"/>
      <x:c r="H41" s="2"/>
      <x:c r="I41" s="2"/>
    </x:row>
    <x:row r="42">
      <x:c r="B42" s="2"/>
      <x:c r="C42" s="2"/>
      <x:c r="D42" s="2"/>
      <x:c r="E42" s="2"/>
      <x:c r="F42" s="2"/>
      <x:c r="G42" s="2"/>
      <x:c r="H42" s="2"/>
      <x:c r="I42" s="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8" hidden="0" customWidth="1"/>
    <x:col min="3" max="3" width="22" hidden="0" customWidth="1"/>
    <x:col min="4" max="4" width="20" hidden="0" customWidth="1"/>
    <x:col min="5" max="5" width="20" hidden="0" customWidth="1"/>
    <x:col min="6" max="6" width="15" hidden="0" customWidth="1"/>
    <x:col min="7" max="7" width="40" hidden="0" customWidth="1"/>
  </x:cols>
  <x:sheetData>
    <x:row r="2">
      <x:c r="B2" s="3" t="str">
        <x:v>Model checks</x:v>
      </x:c>
      <x:c r="C2" s="2"/>
      <x:c r="D2" s="2"/>
      <x:c r="E2" s="2"/>
      <x:c r="F2" s="2"/>
      <x:c r="G2" s="2"/>
    </x:row>
    <x:row r="3">
      <x:c r="B3" s="4" t="str">
        <x:v>Terminal controls do not feed any business result</x:v>
      </x:c>
      <x:c r="C3" s="4"/>
      <x:c r="D3" s="4"/>
      <x:c r="E3" s="4"/>
      <x:c r="F3" s="4"/>
      <x:c r="G3" s="4"/>
    </x:row>
    <x:row r="4">
      <x:c r="B4" s="5"/>
      <x:c r="C4" s="5"/>
      <x:c r="D4" s="5"/>
      <x:c r="E4" s="5"/>
      <x:c r="F4" s="5"/>
      <x:c r="G4" s="5"/>
    </x:row>
    <x:row r="5">
      <x:c r="B5" s="2"/>
      <x:c r="C5" s="2"/>
      <x:c r="D5" s="2"/>
      <x:c r="E5" s="2"/>
      <x:c r="F5" s="2"/>
      <x:c r="G5" s="2"/>
    </x:row>
    <x:row r="6">
      <x:c r="B6" s="28" t="str">
        <x:v>Check</x:v>
      </x:c>
      <x:c r="C6" s="29" t="str">
        <x:v>Observed</x:v>
      </x:c>
      <x:c r="D6" s="29" t="str">
        <x:v>Expected</x:v>
      </x:c>
      <x:c r="E6" s="29" t="str">
        <x:v>Difference</x:v>
      </x:c>
      <x:c r="F6" s="29" t="str">
        <x:v>Status</x:v>
      </x:c>
      <x:c r="G6" s="29" t="str">
        <x:v>Meaning</x:v>
      </x:c>
    </x:row>
    <x:row r="7">
      <x:c r="B7" s="30" t="str">
        <x:v>C01 mechanism count</x:v>
      </x:c>
      <x:c r="C7" s="30" t="n">
        <x:f>COUNTA(Mechanisms!B8:B15)</x:f>
        <x:v>8</x:v>
      </x:c>
      <x:c r="D7" s="30" t="n">
        <x:v>8</x:v>
      </x:c>
      <x:c r="E7" s="82" t="n">
        <x:f>C7-D7</x:f>
        <x:v>0</x:v>
      </x:c>
      <x:c r="F7" s="30" t="str">
        <x:f>IF(ABS(E7)&lt;0.000001,"PASS","FAIL")</x:f>
        <x:v>PASS</x:v>
      </x:c>
      <x:c r="G7" s="32" t="str">
        <x:v>eight rivals</x:v>
      </x:c>
    </x:row>
    <x:row r="8">
      <x:c r="B8" s="30" t="str">
        <x:v>C02 world count</x:v>
      </x:c>
      <x:c r="C8" s="30" t="n">
        <x:f>COUNTA('Mission Worlds'!B7:B22)</x:f>
        <x:v>16</x:v>
      </x:c>
      <x:c r="D8" s="30" t="n">
        <x:v>16</x:v>
      </x:c>
      <x:c r="E8" s="82" t="n">
        <x:f>C8-D8</x:f>
        <x:v>0</x:v>
      </x:c>
      <x:c r="F8" s="30" t="str">
        <x:f>IF(ABS(E8)&lt;0.000001,"PASS","FAIL")</x:f>
        <x:v>PASS</x:v>
      </x:c>
      <x:c r="G8" s="32" t="str">
        <x:v>fifteen behaviors plus stop</x:v>
      </x:c>
    </x:row>
    <x:row r="9">
      <x:c r="B9" s="30" t="str">
        <x:v>C03 result count</x:v>
      </x:c>
      <x:c r="C9" s="30" t="n">
        <x:f>COUNTA('Mechanism Results'!B7:B134)</x:f>
        <x:v>128</x:v>
      </x:c>
      <x:c r="D9" s="30" t="n">
        <x:v>128</x:v>
      </x:c>
      <x:c r="E9" s="82" t="n">
        <x:f>C9-D9</x:f>
        <x:v>0</x:v>
      </x:c>
      <x:c r="F9" s="30" t="str">
        <x:f>IF(ABS(E9)&lt;0.000001,"PASS","FAIL")</x:f>
        <x:v>PASS</x:v>
      </x:c>
      <x:c r="G9" s="32" t="str">
        <x:v>eight by sixteen</x:v>
      </x:c>
    </x:row>
    <x:row r="10">
      <x:c r="B10" s="30" t="str">
        <x:v>C04 pair count</x:v>
      </x:c>
      <x:c r="C10" s="30" t="n">
        <x:f>COUNTA('Pair Portfolios'!B7:B34)</x:f>
        <x:v>28</x:v>
      </x:c>
      <x:c r="D10" s="30" t="n">
        <x:v>28</x:v>
      </x:c>
      <x:c r="E10" s="82" t="n">
        <x:f>C10-D10</x:f>
        <x:v>0</x:v>
      </x:c>
      <x:c r="F10" s="30" t="str">
        <x:f>IF(ABS(E10)&lt;0.000001,"PASS","FAIL")</x:f>
        <x:v>PASS</x:v>
      </x:c>
      <x:c r="G10" s="32" t="str">
        <x:v>eight choose two</x:v>
      </x:c>
    </x:row>
    <x:row r="11">
      <x:c r="B11" s="30" t="str">
        <x:v>C05 evidence gates</x:v>
      </x:c>
      <x:c r="C11" s="30" t="n">
        <x:f>COUNTA('Evidence Gates'!B7:B40)</x:f>
        <x:v>34</x:v>
      </x:c>
      <x:c r="D11" s="30" t="n">
        <x:v>34</x:v>
      </x:c>
      <x:c r="E11" s="82" t="n">
        <x:f>C11-D11</x:f>
        <x:v>0</x:v>
      </x:c>
      <x:c r="F11" s="30" t="str">
        <x:f>IF(ABS(E11)&lt;0.000001,"PASS","FAIL")</x:f>
        <x:v>PASS</x:v>
      </x:c>
      <x:c r="G11" s="32" t="str">
        <x:v>admission register</x:v>
      </x:c>
    </x:row>
    <x:row r="12">
      <x:c r="B12" s="30" t="str">
        <x:v>C06 open gates</x:v>
      </x:c>
      <x:c r="C12" s="30" t="n">
        <x:f>COUNTIF('Evidence Gates'!H7:H40,"OPEN")</x:f>
        <x:v>34</x:v>
      </x:c>
      <x:c r="D12" s="30" t="n">
        <x:v>34</x:v>
      </x:c>
      <x:c r="E12" s="82" t="n">
        <x:f>C12-D12</x:f>
        <x:v>0</x:v>
      </x:c>
      <x:c r="F12" s="30" t="str">
        <x:f>IF(ABS(E12)&lt;0.000001,"PASS","FAIL")</x:f>
        <x:v>PASS</x:v>
      </x:c>
      <x:c r="G12" s="32" t="str">
        <x:v>no evidence inferred</x:v>
      </x:c>
    </x:row>
    <x:row r="13">
      <x:c r="B13" s="30" t="str">
        <x:v>C07 launch mass</x:v>
      </x:c>
      <x:c r="C13" s="30" t="n">
        <x:f>Assumptions!C10</x:f>
        <x:v>635</x:v>
      </x:c>
      <x:c r="D13" s="30" t="n">
        <x:v>635</x:v>
      </x:c>
      <x:c r="E13" s="82" t="n">
        <x:f>C13-D13</x:f>
        <x:v>0</x:v>
      </x:c>
      <x:c r="F13" s="30" t="str">
        <x:f>IF(ABS(E13)&lt;0.000001,"PASS","FAIL")</x:f>
        <x:v>PASS</x:v>
      </x:c>
      <x:c r="G13" s="32" t="str">
        <x:v>580 dry plus 55 wet</x:v>
      </x:c>
    </x:row>
    <x:row r="14">
      <x:c r="B14" s="30" t="str">
        <x:v>C08 mission sets</x:v>
      </x:c>
      <x:c r="C14" s="30" t="n">
        <x:f>Assumptions!C18</x:f>
        <x:v>43</x:v>
      </x:c>
      <x:c r="D14" s="30" t="n">
        <x:v>43</x:v>
      </x:c>
      <x:c r="E14" s="82" t="n">
        <x:f>C14-D14</x:f>
        <x:v>0</x:v>
      </x:c>
      <x:c r="F14" s="30" t="str">
        <x:f>IF(ABS(E14)&lt;0.000001,"PASS","FAIL")</x:f>
        <x:v>PASS</x:v>
      </x:c>
      <x:c r="G14" s="32" t="str">
        <x:v>ceiling of selective need</x:v>
      </x:c>
    </x:row>
    <x:row r="15">
      <x:c r="B15" s="30" t="str">
        <x:v>C09 technology increment</x:v>
      </x:c>
      <x:c r="C15" s="30" t="n">
        <x:f>Technology!C26</x:f>
        <x:v>280</x:v>
      </x:c>
      <x:c r="D15" s="30" t="n">
        <x:v>280</x:v>
      </x:c>
      <x:c r="E15" s="82" t="n">
        <x:f>C15-D15</x:f>
        <x:v>0</x:v>
      </x:c>
      <x:c r="F15" s="30" t="str">
        <x:f>IF(ABS(E15)&lt;0.000001,"PASS","FAIL")</x:f>
        <x:v>PASS</x:v>
      </x:c>
      <x:c r="G15" s="32" t="str">
        <x:v>Pass 78 new programs</x:v>
      </x:c>
    </x:row>
    <x:row r="16">
      <x:c r="B16" s="30" t="str">
        <x:v>C10 technology portfolio</x:v>
      </x:c>
      <x:c r="C16" s="30" t="n">
        <x:f>Technology!C27</x:f>
        <x:v>735</x:v>
      </x:c>
      <x:c r="D16" s="30" t="n">
        <x:v>735</x:v>
      </x:c>
      <x:c r="E16" s="82" t="n">
        <x:f>C16-D16</x:f>
        <x:v>0</x:v>
      </x:c>
      <x:c r="F16" s="30" t="str">
        <x:f>IF(ABS(E16)&lt;0.000001,"PASS","FAIL")</x:f>
        <x:v>PASS</x:v>
      </x:c>
      <x:c r="G16" s="32" t="str">
        <x:v>Pass 77 plus increment</x:v>
      </x:c>
    </x:row>
    <x:row r="17">
      <x:c r="B17" s="30" t="str">
        <x:v>C11 M1 delivered mass</x:v>
      </x:c>
      <x:c r="C17" s="30" t="n">
        <x:f>Mechanisms!AC8</x:f>
        <x:v>640</x:v>
      </x:c>
      <x:c r="D17" s="30" t="n">
        <x:v>640</x:v>
      </x:c>
      <x:c r="E17" s="82" t="n">
        <x:f>C17-D17</x:f>
        <x:v>0</x:v>
      </x:c>
      <x:c r="F17" s="30" t="str">
        <x:f>IF(ABS(E17)&lt;0.000001,"PASS","FAIL")</x:f>
        <x:v>PASS</x:v>
      </x:c>
      <x:c r="G17" s="32" t="str">
        <x:v>two liftships</x:v>
      </x:c>
    </x:row>
    <x:row r="18">
      <x:c r="B18" s="30" t="str">
        <x:v>C12 M2 delivered mass</x:v>
      </x:c>
      <x:c r="C18" s="30" t="n">
        <x:f>Mechanisms!AC9</x:f>
        <x:v>650</x:v>
      </x:c>
      <x:c r="D18" s="30" t="n">
        <x:v>650</x:v>
      </x:c>
      <x:c r="E18" s="82" t="n">
        <x:f>C18-D18</x:f>
        <x:v>0</x:v>
      </x:c>
      <x:c r="F18" s="30" t="str">
        <x:f>IF(ABS(E18)&lt;0.000001,"PASS","FAIL")</x:f>
        <x:v>PASS</x:v>
      </x:c>
      <x:c r="G18" s="32" t="str">
        <x:v>one WIG carrier</x:v>
      </x:c>
    </x:row>
    <x:row r="19">
      <x:c r="B19" s="30" t="str">
        <x:v>C13 M3 delivered mass</x:v>
      </x:c>
      <x:c r="C19" s="30" t="n">
        <x:f>Mechanisms!AC10</x:f>
        <x:v>640</x:v>
      </x:c>
      <x:c r="D19" s="30" t="n">
        <x:v>640</x:v>
      </x:c>
      <x:c r="E19" s="82" t="n">
        <x:f>C19-D19</x:f>
        <x:v>0</x:v>
      </x:c>
      <x:c r="F19" s="30" t="str">
        <x:f>IF(ABS(E19)&lt;0.000001,"PASS","FAIL")</x:f>
        <x:v>PASS</x:v>
      </x:c>
      <x:c r="G19" s="32" t="str">
        <x:v>four terrain vehicles</x:v>
      </x:c>
    </x:row>
    <x:row r="20">
      <x:c r="B20" s="30" t="str">
        <x:v>C14 M4 delivered mass</x:v>
      </x:c>
      <x:c r="C20" s="30" t="n">
        <x:f>Mechanisms!AC11</x:f>
        <x:v>640</x:v>
      </x:c>
      <x:c r="D20" s="30" t="n">
        <x:v>640</x:v>
      </x:c>
      <x:c r="E20" s="82" t="n">
        <x:f>C20-D20</x:f>
        <x:v>0</x:v>
      </x:c>
      <x:c r="F20" s="30" t="str">
        <x:f>IF(ABS(E20)&lt;0.000001,"PASS","FAIL")</x:f>
        <x:v>PASS</x:v>
      </x:c>
      <x:c r="G20" s="32" t="str">
        <x:v>eight VTOL aircraft</x:v>
      </x:c>
    </x:row>
    <x:row r="21">
      <x:c r="B21" s="30" t="str">
        <x:v>C15 M7 delivered mass</x:v>
      </x:c>
      <x:c r="C21" s="30" t="n">
        <x:f>Mechanisms!AC14</x:f>
        <x:v>700</x:v>
      </x:c>
      <x:c r="D21" s="30" t="n">
        <x:v>700</x:v>
      </x:c>
      <x:c r="E21" s="82" t="n">
        <x:f>C21-D21</x:f>
        <x:v>0</x:v>
      </x:c>
      <x:c r="F21" s="30" t="str">
        <x:f>IF(ABS(E21)&lt;0.000001,"PASS","FAIL")</x:f>
        <x:v>PASS</x:v>
      </x:c>
      <x:c r="G21" s="32" t="str">
        <x:v>seven gliders</x:v>
      </x:c>
    </x:row>
    <x:row r="22">
      <x:c r="B22" s="30" t="str">
        <x:v>C16 M8 delivered mass</x:v>
      </x:c>
      <x:c r="C22" s="30" t="n">
        <x:f>Mechanisms!AC15</x:f>
        <x:v>640</x:v>
      </x:c>
      <x:c r="D22" s="30" t="n">
        <x:v>640</x:v>
      </x:c>
      <x:c r="E22" s="82" t="n">
        <x:f>C22-D22</x:f>
        <x:v>0</x:v>
      </x:c>
      <x:c r="F22" s="30" t="str">
        <x:f>IF(ABS(E22)&lt;0.000001,"PASS","FAIL")</x:f>
        <x:v>PASS</x:v>
      </x:c>
      <x:c r="G22" s="32" t="str">
        <x:v>two amphibious crawlers</x:v>
      </x:c>
    </x:row>
    <x:row r="23">
      <x:c r="B23" s="30" t="str">
        <x:v>C17 access article closure</x:v>
      </x:c>
      <x:c r="C23" s="30" t="n">
        <x:f>COUNTIF('Payload Closure'!N7:N14,"PASS")</x:f>
        <x:v>8</x:v>
      </x:c>
      <x:c r="D23" s="30" t="n">
        <x:v>8</x:v>
      </x:c>
      <x:c r="E23" s="82" t="n">
        <x:f>C23-D23</x:f>
        <x:v>0</x:v>
      </x:c>
      <x:c r="F23" s="30" t="str">
        <x:f>IF(ABS(E23)&lt;0.000001,"PASS","FAIL")</x:f>
        <x:v>PASS</x:v>
      </x:c>
      <x:c r="G23" s="32" t="str">
        <x:v>service alternatives close by potential</x:v>
      </x:c>
    </x:row>
    <x:row r="24">
      <x:c r="B24" s="30" t="str">
        <x:v>C18 current-credit passes</x:v>
      </x:c>
      <x:c r="C24" s="30" t="n">
        <x:f>COUNTIF('Mechanism Results'!T7:T134,"PASS")</x:f>
        <x:v>0</x:v>
      </x:c>
      <x:c r="D24" s="30" t="n">
        <x:v>0</x:v>
      </x:c>
      <x:c r="E24" s="82" t="n">
        <x:f>C24-D24</x:f>
        <x:v>0</x:v>
      </x:c>
      <x:c r="F24" s="30" t="str">
        <x:f>IF(ABS(E24)&lt;0.000001,"PASS","FAIL")</x:f>
        <x:v>PASS</x:v>
      </x:c>
      <x:c r="G24" s="32" t="str">
        <x:v>all evidence open</x:v>
      </x:c>
    </x:row>
    <x:row r="25">
      <x:c r="B25" s="30" t="str">
        <x:v>C19 strict admissions</x:v>
      </x:c>
      <x:c r="C25" s="30" t="n">
        <x:f>COUNTIF('Mechanism Results'!U7:U134,"PASS")</x:f>
        <x:v>0</x:v>
      </x:c>
      <x:c r="D25" s="30" t="n">
        <x:v>0</x:v>
      </x:c>
      <x:c r="E25" s="82" t="n">
        <x:f>C25-D25</x:f>
        <x:v>0</x:v>
      </x:c>
      <x:c r="F25" s="30" t="str">
        <x:f>IF(ABS(E25)&lt;0.000001,"PASS","FAIL")</x:f>
        <x:v>PASS</x:v>
      </x:c>
      <x:c r="G25" s="32" t="str">
        <x:v>no mechanism admitted</x:v>
      </x:c>
    </x:row>
    <x:row r="26">
      <x:c r="B26" s="30" t="str">
        <x:v>C20 rendering authorization</x:v>
      </x:c>
      <x:c r="C26" s="30" t="n">
        <x:f>Assumptions!C25</x:f>
        <x:v>0</x:v>
      </x:c>
      <x:c r="D26" s="30" t="n">
        <x:v>0</x:v>
      </x:c>
      <x:c r="E26" s="82" t="n">
        <x:f>C26-D26</x:f>
        <x:v>0</x:v>
      </x:c>
      <x:c r="F26" s="30" t="str">
        <x:f>IF(ABS(E26)&lt;0.000001,"PASS","FAIL")</x:f>
        <x:v>PASS</x:v>
      </x:c>
      <x:c r="G26" s="32" t="str">
        <x:v>rendering blocked</x:v>
      </x:c>
    </x:row>
    <x:row r="27">
      <x:c r="B27" s="30" t="str">
        <x:v>C21 pair world maximum</x:v>
      </x:c>
      <x:c r="C27" s="30" t="n">
        <x:f>MAX('Pair Portfolios'!G7:G34)</x:f>
        <x:v>13</x:v>
      </x:c>
      <x:c r="D27" s="30" t="str">
        <x:v>&gt;0</x:v>
      </x:c>
      <x:c r="E27" s="82" t="n">
        <x:f>C27</x:f>
        <x:v>13</x:v>
      </x:c>
      <x:c r="F27" s="30" t="str">
        <x:f>IF(C27&gt;0,"PASS","FAIL")</x:f>
        <x:v>PASS</x:v>
      </x:c>
      <x:c r="G27" s="32" t="str">
        <x:v>pair compiler active</x:v>
      </x:c>
    </x:row>
    <x:row r="28">
      <x:c r="B28" s="30" t="str">
        <x:v>C22 single world maximum</x:v>
      </x:c>
      <x:c r="C28" s="30" t="n">
        <x:f>Summary!C11</x:f>
        <x:v>8</x:v>
      </x:c>
      <x:c r="D28" s="30" t="str">
        <x:v>&gt;0</x:v>
      </x:c>
      <x:c r="E28" s="82" t="n">
        <x:f>C28</x:f>
        <x:v>8</x:v>
      </x:c>
      <x:c r="F28" s="30" t="str">
        <x:f>IF(C28&gt;0,"PASS","FAIL")</x:f>
        <x:v>PASS</x:v>
      </x:c>
      <x:c r="G28" s="32" t="str">
        <x:v>mechanism contest active</x:v>
      </x:c>
    </x:row>
    <x:row r="29">
      <x:c r="B29" s="30" t="str">
        <x:v>C23 national comparator positive</x:v>
      </x:c>
      <x:c r="C29" s="30" t="n">
        <x:f>MIN('Program Cost'!M7:M14)</x:f>
        <x:v>6266.39495</x:v>
      </x:c>
      <x:c r="D29" s="30" t="str">
        <x:v>&gt;0</x:v>
      </x:c>
      <x:c r="E29" s="82" t="n">
        <x:f>C29</x:f>
        <x:v>6266.39495</x:v>
      </x:c>
      <x:c r="F29" s="30" t="str">
        <x:f>IF(C29&gt;0,"PASS","FAIL")</x:f>
        <x:v>PASS</x:v>
      </x:c>
      <x:c r="G29" s="32" t="str">
        <x:v>cost schedule active</x:v>
      </x:c>
    </x:row>
    <x:row r="30">
      <x:c r="B30" s="30" t="str">
        <x:v>C24 M5 requires standoff source</x:v>
      </x:c>
      <x:c r="C30" s="30" t="n">
        <x:f>Mechanisms!S12</x:f>
        <x:v>1</x:v>
      </x:c>
      <x:c r="D30" s="30" t="n">
        <x:v>1</x:v>
      </x:c>
      <x:c r="E30" s="82" t="n">
        <x:f>C30-D30</x:f>
        <x:v>0</x:v>
      </x:c>
      <x:c r="F30" s="30" t="str">
        <x:f>IF(ABS(E30)&lt;0.000001,"PASS","FAIL")</x:f>
        <x:v>PASS</x:v>
      </x:c>
      <x:c r="G30" s="32" t="str">
        <x:v>service bridge dependency</x:v>
      </x:c>
    </x:row>
    <x:row r="31">
      <x:c r="B31" s="30" t="str">
        <x:v>C25 M6 requires local feed</x:v>
      </x:c>
      <x:c r="C31" s="30" t="n">
        <x:f>Mechanisms!R13</x:f>
        <x:v>1</x:v>
      </x:c>
      <x:c r="D31" s="30" t="n">
        <x:v>1</x:v>
      </x:c>
      <x:c r="E31" s="82" t="n">
        <x:f>C31-D31</x:f>
        <x:v>0</x:v>
      </x:c>
      <x:c r="F31" s="30" t="str">
        <x:f>IF(ABS(E31)&lt;0.000001,"PASS","FAIL")</x:f>
        <x:v>PASS</x:v>
      </x:c>
      <x:c r="G31" s="32" t="str">
        <x:v>conversion dependency</x:v>
      </x:c>
    </x:row>
    <x:row r="32">
      <x:c r="B32" s="30" t="str">
        <x:v>C26 M4 concurrency</x:v>
      </x:c>
      <x:c r="C32" s="30" t="n">
        <x:f>Mechanisms!V11</x:f>
        <x:v>2</x:v>
      </x:c>
      <x:c r="D32" s="30" t="n">
        <x:v>2</x:v>
      </x:c>
      <x:c r="E32" s="82" t="n">
        <x:f>C32-D32</x:f>
        <x:v>0</x:v>
      </x:c>
      <x:c r="F32" s="30" t="str">
        <x:f>IF(ABS(E32)&lt;0.000001,"PASS","FAIL")</x:f>
        <x:v>PASS</x:v>
      </x:c>
      <x:c r="G32" s="32" t="str">
        <x:v>distributed lift depth</x:v>
      </x:c>
    </x:row>
    <x:row r="33">
      <x:c r="B33" s="30" t="str">
        <x:v>C27 M1 range</x:v>
      </x:c>
      <x:c r="C33" s="30" t="n">
        <x:f>Mechanisms!J8</x:f>
        <x:v>4000</x:v>
      </x:c>
      <x:c r="D33" s="30" t="n">
        <x:v>4000</x:v>
      </x:c>
      <x:c r="E33" s="82" t="n">
        <x:f>C33-D33</x:f>
        <x:v>0</x:v>
      </x:c>
      <x:c r="F33" s="30" t="str">
        <x:f>IF(ABS(E33)&lt;0.000001,"PASS","FAIL")</x:f>
        <x:v>PASS</x:v>
      </x:c>
      <x:c r="G33" s="32" t="str">
        <x:v>continental reach</x:v>
      </x:c>
    </x:row>
    <x:row r="34">
      <x:c r="B34" s="30" t="str">
        <x:v>C28 M7 footprint</x:v>
      </x:c>
      <x:c r="C34" s="30" t="n">
        <x:f>Mechanisms!U14</x:f>
        <x:v>4</x:v>
      </x:c>
      <x:c r="D34" s="30" t="n">
        <x:v>4</x:v>
      </x:c>
      <x:c r="E34" s="82" t="n">
        <x:f>C34-D34</x:f>
        <x:v>0</x:v>
      </x:c>
      <x:c r="F34" s="30" t="str">
        <x:f>IF(ABS(E34)&lt;0.000001,"PASS","FAIL")</x:f>
        <x:v>PASS</x:v>
      </x:c>
      <x:c r="G34" s="32" t="str">
        <x:v>landing penalty</x:v>
      </x:c>
    </x:row>
    <x:row r="35">
      <x:c r="B35" s="30" t="str">
        <x:v>C29 W13 standoff survives</x:v>
      </x:c>
      <x:c r="C35" s="30" t="n">
        <x:f>'Mission Worlds'!M19</x:f>
        <x:v>0</x:v>
      </x:c>
      <x:c r="D35" s="30" t="n">
        <x:v>0</x:v>
      </x:c>
      <x:c r="E35" s="82" t="n">
        <x:f>C35-D35</x:f>
        <x:v>0</x:v>
      </x:c>
      <x:c r="F35" s="30" t="str">
        <x:f>IF(ABS(E35)&lt;0.000001,"PASS","FAIL")</x:f>
        <x:v>PASS</x:v>
      </x:c>
      <x:c r="G35" s="32" t="str">
        <x:v>utility bridge world</x:v>
      </x:c>
    </x:row>
    <x:row r="36">
      <x:c r="B36" s="30" t="str">
        <x:v>C30 W14 local feed survives</x:v>
      </x:c>
      <x:c r="C36" s="30" t="n">
        <x:f>'Mission Worlds'!L20</x:f>
        <x:v>0</x:v>
      </x:c>
      <x:c r="D36" s="30" t="n">
        <x:v>0</x:v>
      </x:c>
      <x:c r="E36" s="82" t="n">
        <x:f>C36-D36</x:f>
        <x:v>0</x:v>
      </x:c>
      <x:c r="F36" s="30" t="str">
        <x:f>IF(ABS(E36)&lt;0.000001,"PASS","FAIL")</x:f>
        <x:v>PASS</x:v>
      </x:c>
      <x:c r="G36" s="32" t="str">
        <x:v>conversion world</x:v>
      </x:c>
    </x:row>
    <x:row r="37">
      <x:c r="B37" s="30" t="str">
        <x:v>C31 W15 campaign demand</x:v>
      </x:c>
      <x:c r="C37" s="30" t="n">
        <x:f>'Mission Worlds'!P21</x:f>
        <x:v>2</x:v>
      </x:c>
      <x:c r="D37" s="30" t="n">
        <x:v>2</x:v>
      </x:c>
      <x:c r="E37" s="82" t="n">
        <x:f>C37-D37</x:f>
        <x:v>0</x:v>
      </x:c>
      <x:c r="F37" s="30" t="str">
        <x:f>IF(ABS(E37)&lt;0.000001,"PASS","FAIL")</x:f>
        <x:v>PASS</x:v>
      </x:c>
      <x:c r="G37" s="32" t="str">
        <x:v>second region</x:v>
      </x:c>
    </x:row>
    <x:row r="38">
      <x:c r="B38" s="30" t="str">
        <x:v>C32 evidence stop</x:v>
      </x:c>
      <x:c r="C38" s="30" t="n">
        <x:f>'Mission Worlds'!Q22</x:f>
        <x:v>1</x:v>
      </x:c>
      <x:c r="D38" s="30" t="n">
        <x:v>1</x:v>
      </x:c>
      <x:c r="E38" s="82" t="n">
        <x:f>C38-D38</x:f>
        <x:v>0</x:v>
      </x:c>
      <x:c r="F38" s="30" t="str">
        <x:f>IF(ABS(E38)&lt;0.000001,"PASS","FAIL")</x:f>
        <x:v>PASS</x:v>
      </x:c>
      <x:c r="G38" s="32" t="str">
        <x:v>admission stop</x:v>
      </x:c>
    </x:row>
    <x:row r="39">
      <x:c r="B39" s="30" t="str">
        <x:v>C33 pair current credit</x:v>
      </x:c>
      <x:c r="C39" s="30" t="n">
        <x:f>SUM('Pair Portfolios'!I7:I34)</x:f>
        <x:v>0</x:v>
      </x:c>
      <x:c r="D39" s="30" t="n">
        <x:v>0</x:v>
      </x:c>
      <x:c r="E39" s="82" t="n">
        <x:f>C39-D39</x:f>
        <x:v>0</x:v>
      </x:c>
      <x:c r="F39" s="30" t="str">
        <x:f>IF(ABS(E39)&lt;0.000001,"PASS","FAIL")</x:f>
        <x:v>PASS</x:v>
      </x:c>
      <x:c r="G39" s="32" t="str">
        <x:v>no hidden credit</x:v>
      </x:c>
    </x:row>
    <x:row r="40">
      <x:c r="B40" s="30" t="str">
        <x:v>C34 pair uncovered nonnegative</x:v>
      </x:c>
      <x:c r="C40" s="30" t="n">
        <x:f>MIN('Pair Portfolios'!H7:H34)</x:f>
        <x:v>2</x:v>
      </x:c>
      <x:c r="D40" s="30" t="str">
        <x:v>&gt;=0</x:v>
      </x:c>
      <x:c r="E40" s="82" t="n">
        <x:f>C40</x:f>
        <x:v>2</x:v>
      </x:c>
      <x:c r="F40" s="30" t="str">
        <x:f>IF(C40&gt;=0,"PASS","FAIL")</x:f>
        <x:v>PASS</x:v>
      </x:c>
      <x:c r="G40" s="32" t="str">
        <x:v>coverage bounded</x:v>
      </x:c>
    </x:row>
    <x:row r="41">
      <x:c r="B41" s="30" t="str">
        <x:v>C35 selected groups retained</x:v>
      </x:c>
      <x:c r="C41" s="30" t="n">
        <x:f>Assumptions!C15</x:f>
        <x:v>22</x:v>
      </x:c>
      <x:c r="D41" s="30" t="n">
        <x:v>22</x:v>
      </x:c>
      <x:c r="E41" s="82" t="n">
        <x:f>C41-D41</x:f>
        <x:v>0</x:v>
      </x:c>
      <x:c r="F41" s="30" t="str">
        <x:f>IF(ABS(E41)&lt;0.000001,"PASS","FAIL")</x:f>
        <x:v>PASS</x:v>
      </x:c>
      <x:c r="G41" s="32" t="str">
        <x:v>Pass 76 hard-access layer</x:v>
      </x:c>
    </x:row>
    <x:row r="42">
      <x:c r="B42" s="30" t="str">
        <x:v>C36 provisional allowance</x:v>
      </x:c>
      <x:c r="C42" s="30" t="n">
        <x:f>Assumptions!C21</x:f>
        <x:v>99</x:v>
      </x:c>
      <x:c r="D42" s="30" t="n">
        <x:v>99</x:v>
      </x:c>
      <x:c r="E42" s="82" t="n">
        <x:f>C42-D42</x:f>
        <x:v>0</x:v>
      </x:c>
      <x:c r="F42" s="30" t="str">
        <x:f>IF(ABS(E42)&lt;0.000001,"PASS","FAIL")</x:f>
        <x:v>PASS</x:v>
      </x:c>
      <x:c r="G42" s="32" t="str">
        <x:v>removed once</x:v>
      </x:c>
    </x:row>
    <x:row r="43">
      <x:c r="B43" s="30" t="str">
        <x:v>C37 shared enterprise</x:v>
      </x:c>
      <x:c r="C43" s="30" t="n">
        <x:f>Assumptions!C22</x:f>
        <x:v>120</x:v>
      </x:c>
      <x:c r="D43" s="30" t="n">
        <x:v>120</x:v>
      </x:c>
      <x:c r="E43" s="82" t="n">
        <x:f>C43-D43</x:f>
        <x:v>0</x:v>
      </x:c>
      <x:c r="F43" s="30" t="str">
        <x:f>IF(ABS(E43)&lt;0.000001,"PASS","FAIL")</x:f>
        <x:v>PASS</x:v>
      </x:c>
      <x:c r="G43" s="32" t="str">
        <x:v>added once</x:v>
      </x:c>
    </x:row>
    <x:row r="44">
      <x:c r="B44" s="30" t="str">
        <x:v>C38 Pass77 control</x:v>
      </x:c>
      <x:c r="C44" s="30" t="n">
        <x:f>Assumptions!C20</x:f>
        <x:v>6098.71195</x:v>
      </x:c>
      <x:c r="D44" s="30" t="n">
        <x:v>6098.71195</x:v>
      </x:c>
      <x:c r="E44" s="82" t="n">
        <x:f>C44-D44</x:f>
        <x:v>0</x:v>
      </x:c>
      <x:c r="F44" s="30" t="str">
        <x:f>IF(ABS(E44)&lt;0.000001,"PASS","FAIL")</x:f>
        <x:v>PASS</x:v>
      </x:c>
      <x:c r="G44" s="32" t="str">
        <x:v>predecessor boundary</x:v>
      </x:c>
    </x:row>
    <x:row r="45">
      <x:c r="B45" s="30" t="str">
        <x:v>C39 result evidence stop count</x:v>
      </x:c>
      <x:c r="C45" s="30" t="n">
        <x:f>COUNTIFS('Mechanism Results'!C7:C134,"W16",'Mechanism Results'!U7:U134,"FAIL")</x:f>
        <x:v>8</x:v>
      </x:c>
      <x:c r="D45" s="30" t="n">
        <x:v>8</x:v>
      </x:c>
      <x:c r="E45" s="82" t="n">
        <x:f>C45-D45</x:f>
        <x:v>0</x:v>
      </x:c>
      <x:c r="F45" s="30" t="str">
        <x:f>IF(ABS(E45)&lt;0.000001,"PASS","FAIL")</x:f>
        <x:v>PASS</x:v>
      </x:c>
      <x:c r="G45" s="32" t="str">
        <x:v>all mechanisms stop</x:v>
      </x:c>
    </x:row>
    <x:row r="46">
      <x:c r="B46" s="36" t="str">
        <x:v>C40 no negative recompiled cost</x:v>
      </x:c>
      <x:c r="C46" s="36" t="n">
        <x:f>MIN('Program Cost'!M7:M19)</x:f>
        <x:v>6266.39495</x:v>
      </x:c>
      <x:c r="D46" s="36" t="str">
        <x:v>&gt;0</x:v>
      </x:c>
      <x:c r="E46" s="83" t="n">
        <x:f>C46</x:f>
        <x:v>6266.39495</x:v>
      </x:c>
      <x:c r="F46" s="36" t="str">
        <x:f>IF(C46&gt;0,"PASS","FAIL")</x:f>
        <x:v>PASS</x:v>
      </x:c>
      <x:c r="G46" s="38" t="str">
        <x:v>program values valid</x:v>
      </x:c>
    </x:row>
    <x:row r="47">
      <x:c r="B47" s="2"/>
      <x:c r="C47" s="2"/>
      <x:c r="D47" s="2"/>
      <x:c r="E47" s="2"/>
      <x:c r="F47" s="2"/>
      <x:c r="G47" s="2"/>
    </x:row>
    <x:row r="48">
      <x:c r="B48" s="2"/>
      <x:c r="C48" s="2"/>
      <x:c r="D48" s="2"/>
      <x:c r="E48" s="2"/>
      <x:c r="F48" s="2"/>
      <x:c r="G48" s="2"/>
    </x:row>
    <x:row r="49">
      <x:c r="B49" s="2"/>
      <x:c r="C49" s="2"/>
      <x:c r="D49" s="2"/>
      <x:c r="E49" s="2"/>
      <x:c r="F49" s="2"/>
      <x:c r="G49" s="2"/>
    </x:row>
    <x:row r="50">
      <x:c r="B50" s="2"/>
      <x:c r="C50" s="2"/>
      <x:c r="D50" s="2"/>
      <x:c r="E50" s="2"/>
      <x:c r="F50" s="2"/>
      <x:c r="G50" s="2"/>
    </x:row>
    <x:row r="51">
      <x:c r="B51" s="2"/>
      <x:c r="C51" s="2"/>
      <x:c r="D51" s="2"/>
      <x:c r="E51" s="2"/>
      <x:c r="F51" s="2"/>
      <x:c r="G51" s="2"/>
    </x:row>
    <x:row r="52">
      <x:c r="B52" s="2"/>
      <x:c r="C52" s="2"/>
      <x:c r="D52" s="2"/>
      <x:c r="E52" s="2"/>
      <x:c r="F52" s="2"/>
      <x:c r="G52" s="2"/>
    </x:row>
    <x:row r="53">
      <x:c r="B53" s="2"/>
      <x:c r="C53" s="2"/>
      <x:c r="D53" s="2"/>
      <x:c r="E53" s="2"/>
      <x:c r="F53" s="2"/>
      <x:c r="G53" s="2"/>
    </x:row>
    <x:row r="54">
      <x:c r="B54" s="2"/>
      <x:c r="C54" s="2"/>
      <x:c r="D54" s="2"/>
      <x:c r="E54" s="2"/>
      <x:c r="F54" s="2"/>
      <x:c r="G54" s="2"/>
    </x:row>
    <x:row r="55">
      <x:c r="B55" s="2"/>
      <x:c r="C55" s="2"/>
      <x:c r="D55" s="2"/>
      <x:c r="E55" s="2"/>
      <x:c r="F55" s="2"/>
      <x:c r="G55" s="2"/>
    </x:row>
    <x:row r="56">
      <x:c r="B56" s="2"/>
      <x:c r="C56" s="2"/>
      <x:c r="D56" s="2"/>
      <x:c r="E56" s="2"/>
      <x:c r="F56" s="2"/>
      <x:c r="G56" s="2"/>
    </x:row>
    <x:row r="57">
      <x:c r="B57" s="2"/>
      <x:c r="C57" s="2"/>
      <x:c r="D57" s="2"/>
      <x:c r="E57" s="2"/>
      <x:c r="F57" s="2"/>
      <x:c r="G57" s="2"/>
    </x:row>
    <x:row r="58">
      <x:c r="B58" s="2"/>
      <x:c r="C58" s="2"/>
      <x:c r="D58" s="2"/>
      <x:c r="E58" s="2"/>
      <x:c r="F58" s="2"/>
      <x:c r="G58" s="2"/>
    </x:row>
    <x:row r="59">
      <x:c r="B59" s="2"/>
      <x:c r="C59" s="2"/>
      <x:c r="D59" s="2"/>
      <x:c r="E59" s="2"/>
      <x:c r="F59" s="2"/>
      <x:c r="G59" s="2"/>
    </x:row>
    <x:row r="60">
      <x:c r="B60" s="2"/>
      <x:c r="C60" s="2"/>
      <x:c r="D60" s="2"/>
      <x:c r="E60" s="2"/>
      <x:c r="F60" s="2"/>
      <x:c r="G60" s="2"/>
    </x:row>
  </x:sheetData>
  <x:conditionalFormatting sqref="F7:F46">
    <x:cfRule type="containsText" dxfId="3" priority="1" operator="containsText" text="FAIL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7B8790"/>
  </x:sheetPr>
  <x:sheetViews>
    <x:sheetView showGridLines="0" workbookViewId="0"/>
  </x:sheetViews>
  <x:sheetFormatPr defaultRowHeight="15"/>
  <x:cols>
    <x:col min="2" max="2" width="23" hidden="0" customWidth="1"/>
    <x:col min="3" max="3" width="11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</x:cols>
  <x:sheetData>
    <x:row r="2">
      <x:c r="B2" s="3" t="str">
        <x:v>How to read this model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The workbook is a first-principles mechanism competition, not a vehicle selection</x:v>
      </x:c>
      <x:c r="C3" s="4"/>
      <x:c r="D3" s="4"/>
      <x:c r="E3" s="4"/>
      <x:c r="F3" s="4"/>
      <x:c r="G3" s="4"/>
      <x:c r="H3" s="4"/>
      <x:c r="I3" s="4"/>
      <x:c r="J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8" t="str">
        <x:v>Decision boundary</x:v>
      </x:c>
      <x:c r="C6" s="9" t="str">
        <x:v>Decision boundary</x:v>
      </x:c>
      <x:c r="D6" s="9" t="str">
        <x:v>Decision boundary</x:v>
      </x:c>
      <x:c r="E6" s="9" t="str">
        <x:v>Decision boundary</x:v>
      </x:c>
      <x:c r="F6" s="9" t="str">
        <x:v>Decision boundary</x:v>
      </x:c>
      <x:c r="G6" s="9" t="str">
        <x:v>Decision boundary</x:v>
      </x:c>
      <x:c r="H6" s="9" t="str">
        <x:v>Decision boundary</x:v>
      </x:c>
      <x:c r="I6" s="9" t="str">
        <x:v>Decision boundary</x:v>
      </x:c>
      <x:c r="J6" s="10" t="str">
        <x:v>Decision boundary</x:v>
      </x:c>
    </x:row>
    <x:row r="7">
      <x:c r="B7" s="84" t="str">
        <x:v>Question</x:v>
      </x:c>
      <x:c r="C7" s="85" t="str">
        <x:v>Which novel access mechanisms can deliver or substitute one complete PTS-5 cell where road, rail and navigable water are all denied?</x:v>
      </x:c>
      <x:c r="D7" s="2"/>
      <x:c r="E7" s="2"/>
      <x:c r="F7" s="2"/>
      <x:c r="G7" s="2"/>
      <x:c r="H7" s="2"/>
      <x:c r="I7" s="2"/>
      <x:c r="J7" s="2"/>
    </x:row>
    <x:row r="8">
      <x:c r="B8" s="86" t="str">
        <x:v>Primary output</x:v>
      </x:c>
      <x:c r="C8" s="30" t="str">
        <x:v>Summary compares behavior coverage. Mechanisms has declared design requirements. Pair Portfolios tests diversity.</x:v>
      </x:c>
      <x:c r="D8" s="2"/>
      <x:c r="E8" s="2"/>
      <x:c r="F8" s="2"/>
      <x:c r="G8" s="2"/>
      <x:c r="H8" s="2"/>
      <x:c r="I8" s="2"/>
      <x:c r="J8" s="2"/>
    </x:row>
    <x:row r="9">
      <x:c r="B9" s="86" t="str">
        <x:v>Completeness rule</x:v>
      </x:c>
      <x:c r="C9" s="30" t="str">
        <x:v>Physical carriers must deliver the full 635 t launch mass. Service alternatives must supply at least 90% of the complete cell.</x:v>
      </x:c>
      <x:c r="D9" s="2"/>
      <x:c r="E9" s="2"/>
      <x:c r="F9" s="2"/>
      <x:c r="G9" s="2"/>
      <x:c r="H9" s="2"/>
      <x:c r="I9" s="2"/>
      <x:c r="J9" s="2"/>
    </x:row>
    <x:row r="10">
      <x:c r="B10" s="86" t="str">
        <x:v>World rule</x:v>
      </x:c>
      <x:c r="C10" s="30" t="str">
        <x:v>A behavior pass requires every environment, receiver, autonomy and concurrency condition. Pass counts are not probabilities.</x:v>
      </x:c>
      <x:c r="D10" s="2"/>
      <x:c r="E10" s="2"/>
      <x:c r="F10" s="2"/>
      <x:c r="G10" s="2"/>
      <x:c r="H10" s="2"/>
      <x:c r="I10" s="2"/>
      <x:c r="J10" s="2"/>
    </x:row>
    <x:row r="11">
      <x:c r="B11" s="86" t="str">
        <x:v>Evidence rule</x:v>
      </x:c>
      <x:c r="C11" s="30" t="str">
        <x:v>All current evidence fields are zero. Behavior arithmetic cannot create operating credit or strict admission.</x:v>
      </x:c>
      <x:c r="D11" s="2"/>
      <x:c r="E11" s="2"/>
      <x:c r="F11" s="2"/>
      <x:c r="G11" s="2"/>
      <x:c r="H11" s="2"/>
      <x:c r="I11" s="2"/>
      <x:c r="J11" s="2"/>
    </x:row>
    <x:row r="12">
      <x:c r="B12" s="86" t="str">
        <x:v>Cost rule</x:v>
      </x:c>
      <x:c r="C12" s="30" t="str">
        <x:v>Mechanism programs use 43 selective national mission sets, add RDT&amp;E and a shared enterprise, then replace the $99B provisional allowance once.</x:v>
      </x:c>
      <x:c r="D12" s="2"/>
      <x:c r="E12" s="2"/>
      <x:c r="F12" s="2"/>
      <x:c r="G12" s="2"/>
      <x:c r="H12" s="2"/>
      <x:c r="I12" s="2"/>
      <x:c r="J12" s="2"/>
    </x:row>
    <x:row r="13">
      <x:c r="B13" s="86" t="str">
        <x:v>Source boundary</x:v>
      </x:c>
      <x:c r="C13" s="30" t="str">
        <x:v>Only prior repository requirements and declared Pass 78 design hypotheses are used. No external-site research is introduced.</x:v>
      </x:c>
      <x:c r="D13" s="2"/>
      <x:c r="E13" s="2"/>
      <x:c r="F13" s="2"/>
      <x:c r="G13" s="2"/>
      <x:c r="H13" s="2"/>
      <x:c r="I13" s="2"/>
      <x:c r="J13" s="2"/>
    </x:row>
    <x:row r="14">
      <x:c r="B14" s="86" t="str">
        <x:v>Sensitivity</x:v>
      </x:c>
      <x:c r="C14" s="30" t="str">
        <x:v>Change selective groups, concurrency or readiness in Assumptions. The mission-set and national program accounts recalculate.</x:v>
      </x:c>
      <x:c r="D14" s="2"/>
      <x:c r="E14" s="2"/>
      <x:c r="F14" s="2"/>
      <x:c r="G14" s="2"/>
      <x:c r="H14" s="2"/>
      <x:c r="I14" s="2"/>
      <x:c r="J14" s="2"/>
    </x:row>
    <x:row r="15">
      <x:c r="B15" s="86" t="str">
        <x:v>Rendering</x:v>
      </x:c>
      <x:c r="C15" s="30" t="str">
        <x:v>Blocked until representative articles establish payload, propulsion, receiver, weather, safety and reset form.</x:v>
      </x:c>
      <x:c r="D15" s="2"/>
      <x:c r="E15" s="2"/>
      <x:c r="F15" s="2"/>
      <x:c r="G15" s="2"/>
      <x:c r="H15" s="2"/>
      <x:c r="I15" s="2"/>
      <x:c r="J15" s="2"/>
    </x:row>
    <x:row r="16">
      <x:c r="B16" s="87" t="str">
        <x:v>Next use</x:v>
      </x:c>
      <x:c r="C16" s="88" t="str">
        <x:v>Carry the surviving mechanism families into full configuration articles; do not treat a row as a procurement baseline.</x:v>
      </x:c>
      <x:c r="D16" s="2"/>
      <x:c r="E16" s="2"/>
      <x:c r="F16" s="2"/>
      <x:c r="G16" s="2"/>
      <x:c r="H16" s="2"/>
      <x:c r="I16" s="2"/>
      <x:c r="J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</x:row>
  </x:sheetData>
  <x:mergeCells>
    <x:mergeCell ref="B6:J6"/>
  </x:mergeCells>
  <x:pageMargins left="0.7" right="0.7" top="0.75" bottom="0.75" header="0.3" footer="0.3"/>
</x:worksheet>
</file>