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dc5c7ee41142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8cdbaa436f04d05"/>
    <x:sheet xmlns:r="http://schemas.openxmlformats.org/officeDocument/2006/relationships" name="Assumptions" sheetId="2" r:id="R90db23bf79504b02"/>
    <x:sheet xmlns:r="http://schemas.openxmlformats.org/officeDocument/2006/relationships" name="Measurement Constitution" sheetId="3" r:id="R66079a5ed69d49f7"/>
    <x:sheet xmlns:r="http://schemas.openxmlformats.org/officeDocument/2006/relationships" name="Channel Register" sheetId="4" r:id="R1234049ae3994bb2"/>
    <x:sheet xmlns:r="http://schemas.openxmlformats.org/officeDocument/2006/relationships" name="Formation Data" sheetId="5" r:id="Re6f4dd9bbff6412e"/>
    <x:sheet xmlns:r="http://schemas.openxmlformats.org/officeDocument/2006/relationships" name="Time Uncertainty" sheetId="6" r:id="R99a8bee3f9b24f68"/>
    <x:sheet xmlns:r="http://schemas.openxmlformats.org/officeDocument/2006/relationships" name="Soil Uncertainty" sheetId="7" r:id="R645b218ac8a74db4"/>
    <x:sheet xmlns:r="http://schemas.openxmlformats.org/officeDocument/2006/relationships" name="Architecture Competition" sheetId="8" r:id="R363aa0389fd4466e"/>
    <x:sheet xmlns:r="http://schemas.openxmlformats.org/officeDocument/2006/relationships" name="Article Burn" sheetId="9" r:id="R17fd480904f24237"/>
    <x:sheet xmlns:r="http://schemas.openxmlformats.org/officeDocument/2006/relationships" name="No-Crutch Register" sheetId="10" r:id="Ra24599b69c7c4f61"/>
    <x:sheet xmlns:r="http://schemas.openxmlformats.org/officeDocument/2006/relationships" name="F01 Cost" sheetId="11" r:id="R55e1c132ad454991"/>
    <x:sheet xmlns:r="http://schemas.openxmlformats.org/officeDocument/2006/relationships" name="Facility Build" sheetId="12" r:id="Ra8f52e7cf3c649c1"/>
    <x:sheet xmlns:r="http://schemas.openxmlformats.org/officeDocument/2006/relationships" name="Program Cost" sheetId="13" r:id="R0b5e4777ebfc4bca"/>
    <x:sheet xmlns:r="http://schemas.openxmlformats.org/officeDocument/2006/relationships" name="Decision Gates" sheetId="14" r:id="R5bffa4a951584ad8"/>
    <x:sheet xmlns:r="http://schemas.openxmlformats.org/officeDocument/2006/relationships" name="Audit" sheetId="15" r:id="R11d4691399f44f0b"/>
    <x:sheet xmlns:r="http://schemas.openxmlformats.org/officeDocument/2006/relationships" name="ReadMe" sheetId="16" r:id="Rfa2ca480a9304b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00"/>
  </x:numFmts>
  <x:fonts count="7">
    <x:font>
      <x:sz val="11"/>
      <x:name val="Carlito"/>
    </x:font>
    <x:font>
      <x:sz val="10"/>
      <x:color rgb="FF1F2933"/>
      <x:name val="Arial"/>
    </x:font>
    <x:font>
      <x:b/>
      <x:sz val="15"/>
      <x:color rgb="FF17324D"/>
      <x:name val="Arial"/>
    </x:font>
    <x:font>
      <x:i/>
      <x:sz val="10"/>
      <x:color rgb="FF52636F"/>
      <x:name val="Arial"/>
    </x:font>
    <x:font>
      <x:b/>
      <x:sz val="10"/>
      <x:color rgb="FF17324D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CEAF4"/>
      </x:patternFill>
    </x:fill>
    <x:fill>
      <x:patternFill patternType="solid">
        <x:fgColor rgb="FF17324D"/>
      </x:patternFill>
    </x:fill>
    <x:fill>
      <x:patternFill patternType="solid">
        <x:fgColor rgb="FFFFF2CC"/>
      </x:patternFill>
    </x:fill>
  </x:fills>
  <x:borders count="14">
    <x:border/>
    <x:border>
      <x:bottom style="thin">
        <x:color rgb="FF17324D"/>
      </x:bottom>
    </x:border>
    <x:border>
      <x:left style="thin">
        <x:color rgb="FFAEBBC5"/>
      </x:left>
      <x:top style="thin">
        <x:color rgb="FFAEBBC5"/>
      </x:top>
      <x:bottom style="thin">
        <x:color rgb="FFAEBBC5"/>
      </x:bottom>
    </x:border>
    <x:border>
      <x:top style="thin">
        <x:color rgb="FFAEBBC5"/>
      </x:top>
      <x:bottom style="thin">
        <x:color rgb="FFAEBBC5"/>
      </x:bottom>
    </x:border>
    <x:border>
      <x:right style="thin">
        <x:color rgb="FFAEBBC5"/>
      </x:right>
      <x:top style="thin">
        <x:color rgb="FFAEBBC5"/>
      </x:top>
      <x:bottom style="thin">
        <x:color rgb="FFAEBBC5"/>
      </x:bottom>
    </x:border>
    <x:border>
      <x:right style="thin">
        <x:color rgb="FFFFFFFF"/>
      </x:right>
      <x:bottom style="thin">
        <x:color rgb="FF17324D"/>
      </x:bottom>
    </x:border>
    <x:border>
      <x:left style="thin">
        <x:color rgb="FFFFFFFF"/>
      </x:left>
      <x:right style="thin">
        <x:color rgb="FFFFFFFF"/>
      </x:right>
      <x:bottom style="thin">
        <x:color rgb="FF17324D"/>
      </x:bottom>
    </x:border>
    <x:border>
      <x:left style="thin">
        <x:color rgb="FFFFFFFF"/>
      </x:left>
      <x:bottom style="thin">
        <x:color rgb="FF17324D"/>
      </x:bottom>
    </x:border>
    <x:border>
      <x:right style="thin">
        <x:color rgb="FFFFFFFF"/>
      </x:right>
      <x:bottom style="thin">
        <x:color rgb="FFD8E0E5"/>
      </x:bottom>
    </x:border>
    <x:border>
      <x:left style="thin">
        <x:color rgb="FFFFFFFF"/>
      </x:left>
      <x:right style="thin">
        <x:color rgb="FFFFFFFF"/>
      </x:right>
      <x:bottom style="thin">
        <x:color rgb="FFD8E0E5"/>
      </x:bottom>
    </x:border>
    <x:border>
      <x:top style="thin">
        <x:color rgb="FFD8E0E5"/>
      </x:top>
      <x:bottom style="thin">
        <x:color rgb="FFD8E0E5"/>
      </x:bottom>
    </x:border>
    <x:border>
      <x:right style="thin">
        <x:color rgb="FFFFFFFF"/>
      </x:right>
      <x:top style="thin">
        <x:color rgb="FFD8E0E5"/>
      </x:top>
      <x:bottom style="thin">
        <x:color rgb="FFD8E0E5"/>
      </x:bottom>
    </x:border>
    <x:border>
      <x:top style="thin">
        <x:color rgb="FFD8E0E5"/>
      </x:top>
      <x:bottom style="thin">
        <x:color rgb="FF17324D"/>
      </x:bottom>
    </x:border>
    <x:border>
      <x:right style="thin">
        <x:color rgb="FFFFFFFF"/>
      </x:right>
      <x:top style="thin">
        <x:color rgb="FFD8E0E5"/>
      </x:top>
      <x:bottom style="thin">
        <x:color rgb="FF17324D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vertical="center" wrapText="1"/>
    </x:xf>
    <x:xf numFmtId="0" fontId="5" fillId="3" borderId="6" xfId="0" applyNumberFormat="1" applyFont="1" applyFill="1" applyBorder="1" applyAlignment="1">
      <x:alignment vertical="center" wrapText="1"/>
    </x:xf>
    <x:xf numFmtId="0" fontId="5" fillId="3" borderId="7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5" fillId="3" borderId="6" xfId="0" applyNumberFormat="1" applyFont="1" applyFill="1" applyBorder="1" applyAlignment="1">
      <x:alignment horizontal="center" vertical="center" wrapText="1"/>
    </x:xf>
    <x:xf numFmtId="0" fontId="5" fillId="3" borderId="7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200" fontId="6" fillId="4" borderId="0" xfId="0" applyNumberFormat="1" applyFont="1" applyFill="1" applyBorder="1" applyAlignment="1">
      <x:alignment vertical="center" wrapText="1"/>
    </x:xf>
    <x:xf numFmtId="0" fontId="5" fillId="3" borderId="8" xfId="0" applyNumberFormat="1" applyFont="1" applyFill="1" applyBorder="1" applyAlignment="1">
      <x:alignment horizontal="center" vertical="center" wrapText="1"/>
    </x:xf>
    <x:xf numFmtId="0" fontId="5" fillId="3" borderId="9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6" fillId="4" borderId="1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  <x:xf numFmtId="200" fontId="6" fillId="4" borderId="10" xfId="0" applyNumberFormat="1" applyFont="1" applyFill="1" applyBorder="1" applyAlignment="1">
      <x:alignment vertical="center" wrapText="1"/>
    </x:xf>
    <x:xf numFmtId="0" fontId="1" fillId="0" borderId="12" xfId="0" applyNumberFormat="1" applyFont="1" applyFill="1" applyBorder="1" applyAlignment="1">
      <x:alignment vertical="center" wrapText="1"/>
    </x:xf>
    <x:xf numFmtId="0" fontId="6" fillId="4" borderId="12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0" fontId="1" fillId="0" borderId="10" xfId="0" applyNumberFormat="1" applyFont="1" applyFill="1" applyBorder="1" applyAlignment="1">
      <x:alignment vertical="center" wrapText="1"/>
    </x:xf>
    <x:xf numFmtId="201" fontId="1" fillId="0" borderId="10" xfId="0" applyNumberFormat="1" applyFont="1" applyFill="1" applyBorder="1" applyAlignment="1">
      <x:alignment vertical="center" wrapText="1"/>
    </x:xf>
    <x:xf numFmtId="200" fontId="1" fillId="0" borderId="12" xfId="0" applyNumberFormat="1" applyFont="1" applyFill="1" applyBorder="1" applyAlignment="1">
      <x:alignment vertical="center" wrapText="1"/>
    </x:xf>
    <x:xf numFmtId="201" fontId="1" fillId="0" borderId="12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25"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cdcb40aff34cbf" /><Relationship Type="http://schemas.openxmlformats.org/officeDocument/2006/relationships/theme" Target="/xl/theme/theme1.xml" Id="Ref1d758c167f4bb1" /><Relationship Type="http://schemas.openxmlformats.org/officeDocument/2006/relationships/sharedStrings" Target="/xl/sharedStrings.xml" Id="Rc2bb9d6a7cd74420" /><Relationship Type="http://schemas.openxmlformats.org/officeDocument/2006/relationships/worksheet" Target="/xl/worksheets/sheet1.xml" Id="R18cdbaa436f04d05" /><Relationship Type="http://schemas.openxmlformats.org/officeDocument/2006/relationships/worksheet" Target="/xl/worksheets/sheet2.xml" Id="R90db23bf79504b02" /><Relationship Type="http://schemas.openxmlformats.org/officeDocument/2006/relationships/worksheet" Target="/xl/worksheets/sheet3.xml" Id="R66079a5ed69d49f7" /><Relationship Type="http://schemas.openxmlformats.org/officeDocument/2006/relationships/worksheet" Target="/xl/worksheets/sheet4.xml" Id="R1234049ae3994bb2" /><Relationship Type="http://schemas.openxmlformats.org/officeDocument/2006/relationships/worksheet" Target="/xl/worksheets/sheet5.xml" Id="Re6f4dd9bbff6412e" /><Relationship Type="http://schemas.openxmlformats.org/officeDocument/2006/relationships/worksheet" Target="/xl/worksheets/sheet6.xml" Id="R99a8bee3f9b24f68" /><Relationship Type="http://schemas.openxmlformats.org/officeDocument/2006/relationships/worksheet" Target="/xl/worksheets/sheet7.xml" Id="R645b218ac8a74db4" /><Relationship Type="http://schemas.openxmlformats.org/officeDocument/2006/relationships/worksheet" Target="/xl/worksheets/sheet8.xml" Id="R363aa0389fd4466e" /><Relationship Type="http://schemas.openxmlformats.org/officeDocument/2006/relationships/worksheet" Target="/xl/worksheets/sheet9.xml" Id="R17fd480904f24237" /><Relationship Type="http://schemas.openxmlformats.org/officeDocument/2006/relationships/worksheet" Target="/xl/worksheets/sheet10.xml" Id="Ra24599b69c7c4f61" /><Relationship Type="http://schemas.openxmlformats.org/officeDocument/2006/relationships/worksheet" Target="/xl/worksheets/sheet11.xml" Id="R55e1c132ad454991" /><Relationship Type="http://schemas.openxmlformats.org/officeDocument/2006/relationships/worksheet" Target="/xl/worksheets/sheet12.xml" Id="Ra8f52e7cf3c649c1" /><Relationship Type="http://schemas.openxmlformats.org/officeDocument/2006/relationships/worksheet" Target="/xl/worksheets/sheet13.xml" Id="R0b5e4777ebfc4bca" /><Relationship Type="http://schemas.openxmlformats.org/officeDocument/2006/relationships/worksheet" Target="/xl/worksheets/sheet14.xml" Id="R5bffa4a951584ad8" /><Relationship Type="http://schemas.openxmlformats.org/officeDocument/2006/relationships/worksheet" Target="/xl/worksheets/sheet15.xml" Id="R11d4691399f44f0b" /><Relationship Type="http://schemas.openxmlformats.org/officeDocument/2006/relationships/worksheet" Target="/xl/worksheets/sheet16.xml" Id="Rfa2ca480a9304b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2" max="2" width="35" hidden="0" customWidth="1"/>
    <x:col min="3" max="3" width="91" hidden="0" customWidth="1"/>
    <x:col min="4" max="4" width="16" hidden="0" customWidth="1"/>
    <x:col min="5" max="5" width="16" hidden="0" customWidth="1"/>
    <x:col min="6" max="6" width="35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2" ht="18" customHeight="1">
      <x:c r="B2" s="4" t="str">
        <x:v>MESA-1 measurement and destructive-evidence architecture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18" customHeight="1">
      <x:c r="B3" s="5" t="str">
        <x:v>Current answer: build a sovereign shadow formation that can falsify the service system without becoming a hidden service system</x:v>
      </x:c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 ht="18" customHeight="1"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</x:row>
    <x:row r="5" ht="18" customHeight="1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</x:row>
    <x:row r="6" ht="18" customHeight="1">
      <x:c r="B6" s="9" t="str">
        <x:v>Executive decision record</x:v>
      </x:c>
      <x:c r="C6" s="10" t="str">
        <x:v>Executive decision record</x:v>
      </x:c>
      <x:c r="D6" s="10" t="str">
        <x:v>Executive decision record</x:v>
      </x:c>
      <x:c r="E6" s="10" t="str">
        <x:v>Executive decision record</x:v>
      </x:c>
      <x:c r="F6" s="10" t="str">
        <x:v>Executive decision record</x:v>
      </x:c>
      <x:c r="G6" s="10" t="str">
        <x:v>Executive decision record</x:v>
      </x:c>
      <x:c r="H6" s="10" t="str">
        <x:v>Executive decision record</x:v>
      </x:c>
      <x:c r="I6" s="10" t="str">
        <x:v>Executive decision record</x:v>
      </x:c>
      <x:c r="J6" s="10" t="str">
        <x:v>Executive decision record</x:v>
      </x:c>
      <x:c r="K6" s="10" t="str">
        <x:v>Executive decision record</x:v>
      </x:c>
      <x:c r="L6" s="10" t="str">
        <x:v>Executive decision record</x:v>
      </x:c>
      <x:c r="M6" s="10" t="str">
        <x:v>Executive decision record</x:v>
      </x:c>
      <x:c r="N6" s="11" t="str">
        <x:v>Executive decision record</x:v>
      </x:c>
    </x:row>
    <x:row r="7" ht="18" customHeight="1">
      <x:c r="B7" s="17" t="str">
        <x:v>Question</x:v>
      </x:c>
      <x:c r="C7" s="18" t="str">
        <x:v>Current answer</x:v>
      </x:c>
      <x:c r="D7" s="18" t="str">
        <x:v>Model state</x:v>
      </x:c>
      <x:c r="E7" s="18" t="str">
        <x:v>Evidence state</x:v>
      </x:c>
      <x:c r="F7" s="19" t="str">
        <x:v>Consequence</x:v>
      </x:c>
      <x:c r="G7" s="3"/>
      <x:c r="H7" s="3"/>
      <x:c r="I7" s="3"/>
      <x:c r="J7" s="3"/>
      <x:c r="K7" s="3"/>
      <x:c r="L7" s="3"/>
      <x:c r="M7" s="3"/>
      <x:c r="N7" s="3"/>
    </x:row>
    <x:row r="8" ht="30" customHeight="1">
      <x:c r="B8" s="3" t="str">
        <x:v>What is selected?</x:v>
      </x:c>
      <x:c r="C8" s="3" t="str">
        <x:v>MESA-1: P0 control, P1 independent mechanism evidence and P2 civil-effect witness</x:v>
      </x:c>
      <x:c r="D8" s="3" t="str">
        <x:v>PASS</x:v>
      </x:c>
      <x:c r="E8" s="3" t="str">
        <x:v>OPEN</x:v>
      </x:c>
      <x:c r="F8" s="3" t="str">
        <x:v>behavior architecture selected; implementation is not</x:v>
      </x:c>
      <x:c r="G8" s="3"/>
      <x:c r="H8" s="3"/>
      <x:c r="I8" s="3"/>
      <x:c r="J8" s="3"/>
      <x:c r="K8" s="3"/>
      <x:c r="L8" s="3"/>
      <x:c r="M8" s="3"/>
      <x:c r="N8" s="3"/>
    </x:row>
    <x:row r="9" ht="30" customHeight="1">
      <x:c r="B9" s="3" t="str">
        <x:v>What is the governing time result?</x:v>
      </x:c>
      <x:c r="C9" s="3" t="str">
        <x:v>MESA-1 expanded time uncertainty is below half of the 0.181-hour modeled terrain margin</x:v>
      </x:c>
      <x:c r="D9" s="3" t="str">
        <x:v>PASS</x:v>
      </x:c>
      <x:c r="E9" s="3" t="str">
        <x:v>OPEN</x:v>
      </x:c>
      <x:c r="F9" s="3" t="str">
        <x:v>ordinary logs and a generic independent logger cannot support the claim</x:v>
      </x:c>
      <x:c r="G9" s="3"/>
      <x:c r="H9" s="3"/>
      <x:c r="I9" s="3"/>
      <x:c r="J9" s="3"/>
      <x:c r="K9" s="3"/>
      <x:c r="L9" s="3"/>
      <x:c r="M9" s="3"/>
      <x:c r="N9" s="3"/>
    </x:row>
    <x:row r="10" ht="30" customHeight="1">
      <x:c r="B10" s="3" t="str">
        <x:v>What is the governing terrain result?</x:v>
      </x:c>
      <x:c r="C10" s="3" t="str">
        <x:v>distributed pressure skin, optical contact geometry and geotechnical witnesses are required</x:v>
      </x:c>
      <x:c r="D10" s="3" t="str">
        <x:v>PASS</x:v>
      </x:c>
      <x:c r="E10" s="3" t="str">
        <x:v>OPEN</x:v>
      </x:c>
      <x:c r="F10" s="3" t="str">
        <x:v>carrier telemetry and foot arrays cannot discriminate the current margin</x:v>
      </x:c>
      <x:c r="G10" s="3"/>
      <x:c r="H10" s="3"/>
      <x:c r="I10" s="3"/>
      <x:c r="J10" s="3"/>
      <x:c r="K10" s="3"/>
      <x:c r="L10" s="3"/>
      <x:c r="M10" s="3"/>
      <x:c r="N10" s="3"/>
    </x:row>
    <x:row r="11" ht="30" customHeight="1">
      <x:c r="B11" s="3" t="str">
        <x:v>How much data?</x:v>
      </x:c>
      <x:c r="C11" s="3" t="str">
        <x:v>formation and mission rates are channel-derived; local capture precedes any network claim</x:v>
      </x:c>
      <x:c r="D11" s="3" t="str">
        <x:v>PASS</x:v>
      </x:c>
      <x:c r="E11" s="3" t="str">
        <x:v>OPEN</x:v>
      </x:c>
      <x:c r="F11" s="3" t="str">
        <x:v>a national archive is downstream of range custody</x:v>
      </x:c>
      <x:c r="G11" s="3"/>
      <x:c r="H11" s="3"/>
      <x:c r="I11" s="3"/>
      <x:c r="J11" s="3"/>
      <x:c r="K11" s="3"/>
      <x:c r="L11" s="3"/>
      <x:c r="M11" s="3"/>
      <x:c r="N11" s="3"/>
    </x:row>
    <x:row r="12" ht="30" customHeight="1">
      <x:c r="B12" s="3" t="str">
        <x:v>How many development tiles?</x:v>
      </x:c>
      <x:c r="C12" s="3" t="str">
        <x:v>496, including 36 registered mission-bank attrition tiles; total inventory becomes 6172</x:v>
      </x:c>
      <x:c r="D12" s="3" t="str">
        <x:v>PASS</x:v>
      </x:c>
      <x:c r="E12" s="3" t="str">
        <x:v>OPEN</x:v>
      </x:c>
      <x:c r="F12" s="3" t="str">
        <x:v>supersedes Pass 90 counts of 480 and 6156</x:v>
      </x:c>
      <x:c r="G12" s="3"/>
      <x:c r="H12" s="3"/>
      <x:c r="I12" s="3"/>
      <x:c r="J12" s="3"/>
      <x:c r="K12" s="3"/>
      <x:c r="L12" s="3"/>
      <x:c r="M12" s="3"/>
      <x:c r="N12" s="3"/>
    </x:row>
    <x:row r="13" ht="30" customHeight="1">
      <x:c r="B13" s="3" t="str">
        <x:v>What is F01?</x:v>
      </x:c>
      <x:c r="C13" s="3" t="str">
        <x:v>USD 24B for primary standards, distributed and mobile labs, article nodes, range truth and custody fabric</x:v>
      </x:c>
      <x:c r="D13" s="3" t="str">
        <x:v>PASS</x:v>
      </x:c>
      <x:c r="E13" s="3" t="str">
        <x:v>OPEN</x:v>
      </x:c>
      <x:c r="F13" s="3" t="str">
        <x:v>nested inside USD 350B facility capital</x:v>
      </x:c>
      <x:c r="G13" s="3"/>
      <x:c r="H13" s="3"/>
      <x:c r="I13" s="3"/>
      <x:c r="J13" s="3"/>
      <x:c r="K13" s="3"/>
      <x:c r="L13" s="3"/>
      <x:c r="M13" s="3"/>
      <x:c r="N13" s="3"/>
    </x:row>
    <x:row r="14" ht="30" customHeight="1">
      <x:c r="B14" s="3" t="str">
        <x:v>Does the portfolio change?</x:v>
      </x:c>
      <x:c r="C14" s="3" t="str">
        <x:v>No. USD 1.050T remains the controlling allocation; bottom-up quotes may force reopening</x:v>
      </x:c>
      <x:c r="D14" s="3" t="str">
        <x:v>PASS</x:v>
      </x:c>
      <x:c r="E14" s="3" t="str">
        <x:v>OPEN</x:v>
      </x:c>
      <x:c r="F14" s="3" t="str">
        <x:v>no double count</x:v>
      </x:c>
      <x:c r="G14" s="3"/>
      <x:c r="H14" s="3"/>
      <x:c r="I14" s="3"/>
      <x:c r="J14" s="3"/>
      <x:c r="K14" s="3"/>
      <x:c r="L14" s="3"/>
      <x:c r="M14" s="3"/>
      <x:c r="N14" s="3"/>
    </x:row>
    <x:row r="15" ht="30" customHeight="1">
      <x:c r="B15" s="3" t="str">
        <x:v>May production start?</x:v>
      </x:c>
      <x:c r="C15" s="3" t="str">
        <x:v>No</x:v>
      </x:c>
      <x:c r="D15" s="3" t="str">
        <x:v>PASS</x:v>
      </x:c>
      <x:c r="E15" s="3" t="str">
        <x:v>OPEN</x:v>
      </x:c>
      <x:c r="F15" s="3" t="str">
        <x:v>production HOLD</x:v>
      </x:c>
      <x:c r="G15" s="3"/>
      <x:c r="H15" s="3"/>
      <x:c r="I15" s="3"/>
      <x:c r="J15" s="3"/>
      <x:c r="K15" s="3"/>
      <x:c r="L15" s="3"/>
      <x:c r="M15" s="3"/>
      <x:c r="N15" s="3"/>
    </x:row>
    <x:row r="16" ht="30" customHeight="1">
      <x:c r="B16" s="3" t="str">
        <x:v>May rendering start?</x:v>
      </x:c>
      <x:c r="C16" s="3" t="str">
        <x:v>No</x:v>
      </x:c>
      <x:c r="D16" s="3" t="str">
        <x:v>PASS</x:v>
      </x:c>
      <x:c r="E16" s="3" t="str">
        <x:v>OPEN</x:v>
      </x:c>
      <x:c r="F16" s="3" t="str">
        <x:v>rendering BLOCKED</x:v>
      </x:c>
      <x:c r="G16" s="3"/>
      <x:c r="H16" s="3"/>
      <x:c r="I16" s="3"/>
      <x:c r="J16" s="3"/>
      <x:c r="K16" s="3"/>
      <x:c r="L16" s="3"/>
      <x:c r="M16" s="3"/>
      <x:c r="N16" s="3"/>
    </x:row>
    <x:row r="17" ht="18" customHeight="1"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</x:row>
    <x:row r="18" ht="18" customHeight="1"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</x:row>
    <x:row r="19" ht="18" customHeight="1">
      <x:c r="B19" s="9" t="str">
        <x:v>Derived control quantities</x:v>
      </x:c>
      <x:c r="C19" s="10" t="str">
        <x:v>Derived control quantities</x:v>
      </x:c>
      <x:c r="D19" s="10" t="str">
        <x:v>Derived control quantities</x:v>
      </x:c>
      <x:c r="E19" s="10" t="str">
        <x:v>Derived control quantities</x:v>
      </x:c>
      <x:c r="F19" s="10" t="str">
        <x:v>Derived control quantities</x:v>
      </x:c>
      <x:c r="G19" s="10" t="str">
        <x:v>Derived control quantities</x:v>
      </x:c>
      <x:c r="H19" s="10" t="str">
        <x:v>Derived control quantities</x:v>
      </x:c>
      <x:c r="I19" s="10" t="str">
        <x:v>Derived control quantities</x:v>
      </x:c>
      <x:c r="J19" s="10" t="str">
        <x:v>Derived control quantities</x:v>
      </x:c>
      <x:c r="K19" s="10" t="str">
        <x:v>Derived control quantities</x:v>
      </x:c>
      <x:c r="L19" s="10" t="str">
        <x:v>Derived control quantities</x:v>
      </x:c>
      <x:c r="M19" s="10" t="str">
        <x:v>Derived control quantities</x:v>
      </x:c>
      <x:c r="N19" s="11" t="str">
        <x:v>Derived control quantities</x:v>
      </x:c>
    </x:row>
    <x:row r="20" ht="18" customHeight="1">
      <x:c r="B20" s="17" t="str">
        <x:v>Measure</x:v>
      </x:c>
      <x:c r="C20" s="18" t="str">
        <x:v>Value</x:v>
      </x:c>
      <x:c r="D20" s="18" t="str">
        <x:v>Unit</x:v>
      </x:c>
      <x:c r="E20" s="18" t="str">
        <x:v>Control</x:v>
      </x:c>
      <x:c r="F20" s="19" t="str">
        <x:v>Result</x:v>
      </x:c>
      <x:c r="G20" s="3"/>
      <x:c r="H20" s="3"/>
      <x:c r="I20" s="3"/>
      <x:c r="J20" s="3"/>
      <x:c r="K20" s="3"/>
      <x:c r="L20" s="3"/>
      <x:c r="M20" s="3"/>
      <x:c r="N20" s="3"/>
    </x:row>
    <x:row r="21" ht="18" customHeight="1">
      <x:c r="B21" s="3" t="str">
        <x:v>Channel-domain records</x:v>
      </x:c>
      <x:c r="C21" s="3" t="n">
        <x:f>COUNTA('Channel Register'!B7:B86)</x:f>
        <x:v>80</x:v>
      </x:c>
      <x:c r="D21" s="3" t="str">
        <x:v>records</x:v>
      </x:c>
      <x:c r="E21" s="3" t="n">
        <x:v>80</x:v>
      </x:c>
      <x:c r="F21" s="3" t="str">
        <x:f>IF(C21=E21,"PASS","FAIL")</x:f>
        <x:v>PASS</x:v>
      </x:c>
      <x:c r="G21" s="3"/>
      <x:c r="H21" s="3"/>
      <x:c r="I21" s="3"/>
      <x:c r="J21" s="3"/>
      <x:c r="K21" s="3"/>
      <x:c r="L21" s="3"/>
      <x:c r="M21" s="3"/>
      <x:c r="N21" s="3"/>
    </x:row>
    <x:row r="22" ht="18" customHeight="1">
      <x:c r="B22" s="3" t="str">
        <x:v>Air mission data</x:v>
      </x:c>
      <x:c r="C22" s="3" t="n">
        <x:f>'Formation Data'!J21</x:f>
        <x:v>159.6049588224</x:v>
      </x:c>
      <x:c r="D22" s="3" t="str">
        <x:v>TB/mission</x:v>
      </x:c>
      <x:c r="E22" s="3" t="n">
        <x:v>0</x:v>
      </x:c>
      <x:c r="F22" s="3" t="str">
        <x:f>IF(C22&gt;0,"PASS","FAIL")</x:f>
        <x:v>PASS</x:v>
      </x:c>
      <x:c r="G22" s="3"/>
      <x:c r="H22" s="3"/>
      <x:c r="I22" s="3"/>
      <x:c r="J22" s="3"/>
      <x:c r="K22" s="3"/>
      <x:c r="L22" s="3"/>
      <x:c r="M22" s="3"/>
      <x:c r="N22" s="3"/>
    </x:row>
    <x:row r="23" ht="18" customHeight="1">
      <x:c r="B23" s="3" t="str">
        <x:v>Terrain mission data</x:v>
      </x:c>
      <x:c r="C23" s="3" t="n">
        <x:f>'Formation Data'!J22</x:f>
        <x:v>201.468169728</x:v>
      </x:c>
      <x:c r="D23" s="3" t="str">
        <x:v>TB/mission</x:v>
      </x:c>
      <x:c r="E23" s="3" t="n">
        <x:v>0</x:v>
      </x:c>
      <x:c r="F23" s="3" t="str">
        <x:f>IF(C23&gt;0,"PASS","FAIL")</x:f>
        <x:v>PASS</x:v>
      </x:c>
      <x:c r="G23" s="3"/>
      <x:c r="H23" s="3"/>
      <x:c r="I23" s="3"/>
      <x:c r="J23" s="3"/>
      <x:c r="K23" s="3"/>
      <x:c r="L23" s="3"/>
      <x:c r="M23" s="3"/>
      <x:c r="N23" s="3"/>
    </x:row>
    <x:row r="24" ht="18" customHeight="1">
      <x:c r="B24" s="3" t="str">
        <x:v>Canonical retained evidence</x:v>
      </x:c>
      <x:c r="C24" s="3" t="n">
        <x:f>'Formation Data'!C32</x:f>
        <x:v>16.6650713991168</x:v>
      </x:c>
      <x:c r="D24" s="3" t="str">
        <x:v>PB</x:v>
      </x:c>
      <x:c r="E24" s="3" t="n">
        <x:v>0</x:v>
      </x:c>
      <x:c r="F24" s="3" t="str">
        <x:f>IF(C24&gt;0,"PASS","FAIL")</x:f>
        <x:v>PASS</x:v>
      </x:c>
      <x:c r="G24" s="3"/>
      <x:c r="H24" s="3"/>
      <x:c r="I24" s="3"/>
      <x:c r="J24" s="3"/>
      <x:c r="K24" s="3"/>
      <x:c r="L24" s="3"/>
      <x:c r="M24" s="3"/>
      <x:c r="N24" s="3"/>
    </x:row>
    <x:row r="25" ht="18" customHeight="1">
      <x:c r="B25" s="3" t="str">
        <x:v>Development tiles</x:v>
      </x:c>
      <x:c r="C25" s="3" t="n">
        <x:f>'Article Burn'!E33</x:f>
        <x:v>496</x:v>
      </x:c>
      <x:c r="D25" s="3" t="str">
        <x:v>tiles</x:v>
      </x:c>
      <x:c r="E25" s="3" t="n">
        <x:v>496</x:v>
      </x:c>
      <x:c r="F25" s="3" t="str">
        <x:f>IF(C25=E25,"PASS","FAIL")</x:f>
        <x:v>PASS</x:v>
      </x:c>
      <x:c r="G25" s="3"/>
      <x:c r="H25" s="3"/>
      <x:c r="I25" s="3"/>
      <x:c r="J25" s="3"/>
      <x:c r="K25" s="3"/>
      <x:c r="L25" s="3"/>
      <x:c r="M25" s="3"/>
      <x:c r="N25" s="3"/>
    </x:row>
    <x:row r="26" ht="18" customHeight="1">
      <x:c r="B26" s="3" t="str">
        <x:v>Total tile inventory</x:v>
      </x:c>
      <x:c r="C26" s="3" t="n">
        <x:f>'Article Burn'!E35</x:f>
        <x:v>6172</x:v>
      </x:c>
      <x:c r="D26" s="3" t="str">
        <x:v>tiles</x:v>
      </x:c>
      <x:c r="E26" s="3" t="n">
        <x:v>6172</x:v>
      </x:c>
      <x:c r="F26" s="3" t="str">
        <x:f>IF(C26=E26,"PASS","FAIL")</x:f>
        <x:v>PASS</x:v>
      </x:c>
      <x:c r="G26" s="3"/>
      <x:c r="H26" s="3"/>
      <x:c r="I26" s="3"/>
      <x:c r="J26" s="3"/>
      <x:c r="K26" s="3"/>
      <x:c r="L26" s="3"/>
      <x:c r="M26" s="3"/>
      <x:c r="N26" s="3"/>
    </x:row>
    <x:row r="27" ht="18" customHeight="1">
      <x:c r="B27" s="3" t="str">
        <x:v>F01 capital</x:v>
      </x:c>
      <x:c r="C27" s="3" t="n">
        <x:f>'F01 Cost'!E18</x:f>
        <x:v>24.000000000000004</x:v>
      </x:c>
      <x:c r="D27" s="3" t="str">
        <x:v>USD B</x:v>
      </x:c>
      <x:c r="E27" s="3" t="n">
        <x:v>24</x:v>
      </x:c>
      <x:c r="F27" s="3" t="str">
        <x:f>IF(C27=E27,"PASS","FAIL")</x:f>
        <x:v>PASS</x:v>
      </x:c>
      <x:c r="G27" s="3"/>
      <x:c r="H27" s="3"/>
      <x:c r="I27" s="3"/>
      <x:c r="J27" s="3"/>
      <x:c r="K27" s="3"/>
      <x:c r="L27" s="3"/>
      <x:c r="M27" s="3"/>
      <x:c r="N27" s="3"/>
    </x:row>
    <x:row r="28" ht="18" customHeight="1">
      <x:c r="B28" s="3" t="str">
        <x:v>Facility capital</x:v>
      </x:c>
      <x:c r="C28" s="3" t="n">
        <x:f>'Facility Build'!F56</x:f>
        <x:v>350</x:v>
      </x:c>
      <x:c r="D28" s="3" t="str">
        <x:v>USD B</x:v>
      </x:c>
      <x:c r="E28" s="3" t="n">
        <x:v>350</x:v>
      </x:c>
      <x:c r="F28" s="3" t="str">
        <x:f>IF(C28=E28,"PASS","FAIL")</x:f>
        <x:v>PASS</x:v>
      </x:c>
      <x:c r="G28" s="3"/>
      <x:c r="H28" s="3"/>
      <x:c r="I28" s="3"/>
      <x:c r="J28" s="3"/>
      <x:c r="K28" s="3"/>
      <x:c r="L28" s="3"/>
      <x:c r="M28" s="3"/>
      <x:c r="N28" s="3"/>
    </x:row>
    <x:row r="29" ht="18" customHeight="1">
      <x:c r="B29" s="3" t="str">
        <x:v>Technology portfolio</x:v>
      </x:c>
      <x:c r="C29" s="3" t="n">
        <x:f>'Program Cost'!C14</x:f>
        <x:v>1050</x:v>
      </x:c>
      <x:c r="D29" s="3" t="str">
        <x:v>USD B</x:v>
      </x:c>
      <x:c r="E29" s="3" t="n">
        <x:v>1050</x:v>
      </x:c>
      <x:c r="F29" s="3" t="str">
        <x:f>IF(C29=E29,"PASS","FAIL")</x:f>
        <x:v>PASS</x:v>
      </x:c>
      <x:c r="G29" s="3"/>
      <x:c r="H29" s="3"/>
      <x:c r="I29" s="3"/>
      <x:c r="J29" s="3"/>
      <x:c r="K29" s="3"/>
      <x:c r="L29" s="3"/>
      <x:c r="M29" s="3"/>
      <x:c r="N29" s="3"/>
    </x:row>
    <x:row r="30" ht="18" customHeight="1">
      <x:c r="B30" s="3" t="str">
        <x:v>Facility line items</x:v>
      </x:c>
      <x:c r="C30" s="3" t="n">
        <x:f>COUNTA('Facility Build'!C7:C55)</x:f>
        <x:v>49</x:v>
      </x:c>
      <x:c r="D30" s="3" t="str">
        <x:v>lines</x:v>
      </x:c>
      <x:c r="E30" s="3" t="n">
        <x:v>49</x:v>
      </x:c>
      <x:c r="F30" s="3" t="str">
        <x:f>IF(C30=E30,"PASS","FAIL")</x:f>
        <x:v>PASS</x:v>
      </x:c>
      <x:c r="G30" s="3"/>
      <x:c r="H30" s="3"/>
      <x:c r="I30" s="3"/>
      <x:c r="J30" s="3"/>
      <x:c r="K30" s="3"/>
      <x:c r="L30" s="3"/>
      <x:c r="M30" s="3"/>
      <x:c r="N30" s="3"/>
    </x:row>
    <x:row r="31" ht="18" customHeight="1">
      <x:c r="B31" s="3" t="str">
        <x:v>Deterministic controls</x:v>
      </x:c>
      <x:c r="C31" s="3" t="n">
        <x:f>COUNTA(Audit!B7:B326)</x:f>
        <x:v>320</x:v>
      </x:c>
      <x:c r="D31" s="3" t="str">
        <x:v>controls</x:v>
      </x:c>
      <x:c r="E31" s="3" t="n">
        <x:v>320</x:v>
      </x:c>
      <x:c r="F31" s="3" t="str">
        <x:f>IF(C31=E31,"PASS","FAIL")</x:f>
        <x:v>PASS</x:v>
      </x:c>
      <x:c r="G31" s="3"/>
      <x:c r="H31" s="3"/>
      <x:c r="I31" s="3"/>
      <x:c r="J31" s="3"/>
      <x:c r="K31" s="3"/>
      <x:c r="L31" s="3"/>
      <x:c r="M31" s="3"/>
      <x:c r="N31" s="3"/>
    </x:row>
    <x:row r="32" ht="18" customHeight="1"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</x:row>
    <x:row r="33" ht="18" customHeight="1"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</x:row>
    <x:row r="34" ht="18" customHeight="1">
      <x:c r="B34" s="9" t="str">
        <x:v>Interpretation boundary</x:v>
      </x:c>
      <x:c r="C34" s="10" t="str">
        <x:v>Interpretation boundary</x:v>
      </x:c>
      <x:c r="D34" s="10" t="str">
        <x:v>Interpretation boundary</x:v>
      </x:c>
      <x:c r="E34" s="10" t="str">
        <x:v>Interpretation boundary</x:v>
      </x:c>
      <x:c r="F34" s="10" t="str">
        <x:v>Interpretation boundary</x:v>
      </x:c>
      <x:c r="G34" s="10" t="str">
        <x:v>Interpretation boundary</x:v>
      </x:c>
      <x:c r="H34" s="10" t="str">
        <x:v>Interpretation boundary</x:v>
      </x:c>
      <x:c r="I34" s="10" t="str">
        <x:v>Interpretation boundary</x:v>
      </x:c>
      <x:c r="J34" s="10" t="str">
        <x:v>Interpretation boundary</x:v>
      </x:c>
      <x:c r="K34" s="10" t="str">
        <x:v>Interpretation boundary</x:v>
      </x:c>
      <x:c r="L34" s="10" t="str">
        <x:v>Interpretation boundary</x:v>
      </x:c>
      <x:c r="M34" s="10" t="str">
        <x:v>Interpretation boundary</x:v>
      </x:c>
      <x:c r="N34" s="11" t="str">
        <x:v>Interpretation boundary</x:v>
      </x:c>
    </x:row>
    <x:row r="35" ht="34" customHeight="1">
      <x:c r="B35" s="3" t="str">
        <x:v>MESA-1 constrains what must be observable and independent; it does not select vendors, software, sensor packaging or platform geometry.</x:v>
      </x:c>
      <x:c r="C35" s="3" t="str"/>
      <x:c r="D35" s="3" t="str"/>
      <x:c r="E35" s="3" t="str"/>
      <x:c r="F35" s="3" t="str"/>
      <x:c r="G35" s="3" t="str"/>
      <x:c r="H35" s="3" t="str"/>
      <x:c r="I35" s="3" t="str"/>
      <x:c r="J35" s="3" t="str"/>
      <x:c r="K35" s="3" t="str"/>
      <x:c r="L35" s="3" t="str"/>
      <x:c r="M35" s="3" t="str"/>
      <x:c r="N35" s="3" t="str"/>
    </x:row>
    <x:row r="36" ht="34" customHeight="1">
      <x:c r="B36" s="3" t="str">
        <x:v>PASS means a deterministic relationship reconciles. OPEN means no physical evidence credit has been earned.</x:v>
      </x:c>
      <x:c r="C36" s="3" t="str"/>
      <x:c r="D36" s="3" t="str"/>
      <x:c r="E36" s="3" t="str"/>
      <x:c r="F36" s="3" t="str"/>
      <x:c r="G36" s="3" t="str"/>
      <x:c r="H36" s="3" t="str"/>
      <x:c r="I36" s="3" t="str"/>
      <x:c r="J36" s="3" t="str"/>
      <x:c r="K36" s="3" t="str"/>
      <x:c r="L36" s="3" t="str"/>
      <x:c r="M36" s="3" t="str"/>
      <x:c r="N36" s="3" t="str"/>
    </x:row>
    <x:row r="37" ht="34" customHeight="1">
      <x:c r="B37" s="3" t="str">
        <x:v>All costs are constant planning dollars with no selected price base and are not vendor quotes.</x:v>
      </x:c>
      <x:c r="C37" s="3" t="str"/>
      <x:c r="D37" s="3" t="str"/>
      <x:c r="E37" s="3" t="str"/>
      <x:c r="F37" s="3" t="str"/>
      <x:c r="G37" s="3" t="str"/>
      <x:c r="H37" s="3" t="str"/>
      <x:c r="I37" s="3" t="str"/>
      <x:c r="J37" s="3" t="str"/>
      <x:c r="K37" s="3" t="str"/>
      <x:c r="L37" s="3" t="str"/>
      <x:c r="M37" s="3" t="str"/>
      <x:c r="N37" s="3" t="str"/>
    </x:row>
    <x:row r="38" ht="34" customHeight="1">
      <x:c r="B38" s="3" t="str">
        <x:v>Exterior and internal renderings remain blocked.</x:v>
      </x:c>
      <x:c r="C38" s="3" t="str"/>
      <x:c r="D38" s="3" t="str"/>
      <x:c r="E38" s="3" t="str"/>
      <x:c r="F38" s="3" t="str"/>
      <x:c r="G38" s="3" t="str"/>
      <x:c r="H38" s="3" t="str"/>
      <x:c r="I38" s="3" t="str"/>
      <x:c r="J38" s="3" t="str"/>
      <x:c r="K38" s="3" t="str"/>
      <x:c r="L38" s="3" t="str"/>
      <x:c r="M38" s="3" t="str"/>
      <x:c r="N38" s="3" t="str"/>
    </x:row>
  </x:sheetData>
  <x:mergeCells>
    <x:mergeCell ref="B2:H2"/>
    <x:mergeCell ref="B3:N3"/>
    <x:mergeCell ref="B6:N6"/>
    <x:mergeCell ref="B19:N19"/>
    <x:mergeCell ref="B34:N34"/>
  </x:mergeCells>
  <x:conditionalFormatting sqref="D8:E16">
    <x:cfRule type="containsText" dxfId="115" priority="1" operator="containsText" text="FAIL"/>
    <x:cfRule type="containsText" dxfId="116" priority="2" operator="containsText" text="PASS"/>
    <x:cfRule type="containsText" dxfId="117" priority="3" operator="containsText" text="OPEN"/>
    <x:cfRule type="containsText" dxfId="118" priority="4" operator="containsText" text="HOLD"/>
    <x:cfRule type="containsText" dxfId="119" priority="5" operator="containsText" text="BLOCKED"/>
  </x:conditionalFormatting>
  <x:conditionalFormatting sqref="F21:F31">
    <x:cfRule type="containsText" dxfId="120" priority="6" operator="containsText" text="FAIL"/>
    <x:cfRule type="containsText" dxfId="121" priority="7" operator="containsText" text="PASS"/>
    <x:cfRule type="containsText" dxfId="122" priority="8" operator="containsText" text="OPEN"/>
    <x:cfRule type="containsText" dxfId="123" priority="9" operator="containsText" text="HOLD"/>
    <x:cfRule type="containsText" dxfId="124" priority="10" operator="containsText" text="BLOCKED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5D7C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2" max="2" width="40" hidden="0" customWidth="1"/>
    <x:col min="3" max="3" width="18" hidden="0" customWidth="1"/>
    <x:col min="4" max="4" width="21" hidden="0" customWidth="1"/>
    <x:col min="5" max="5" width="23" hidden="0" customWidth="1"/>
    <x:col min="6" max="6" width="52" hidden="0" customWidth="1"/>
  </x:cols>
  <x:sheetData>
    <x:row r="2" ht="18" customHeight="1">
      <x:c r="B2" s="4" t="str">
        <x:v>MESA-1 assumptions</x:v>
      </x:c>
      <x:c r="C2" s="3"/>
      <x:c r="D2" s="3"/>
      <x:c r="E2" s="3"/>
      <x:c r="F2" s="3"/>
    </x:row>
    <x:row r="3" ht="18" customHeight="1">
      <x:c r="B3" s="5" t="str">
        <x:v>Declared measurement, storage, uncertainty, article-custody and fiscal controls; blue cells are unmeasured hypotheses</x:v>
      </x:c>
      <x:c r="C3" s="3"/>
      <x:c r="D3" s="3"/>
      <x:c r="E3" s="3"/>
      <x:c r="F3" s="3"/>
    </x:row>
    <x:row r="4" ht="18" customHeight="1">
      <x:c r="B4" s="6"/>
      <x:c r="C4" s="6"/>
      <x:c r="D4" s="6"/>
      <x:c r="E4" s="6"/>
      <x:c r="F4" s="6"/>
    </x:row>
    <x:row r="5" ht="18" customHeight="1">
      <x:c r="B5" s="3"/>
      <x:c r="C5" s="3"/>
      <x:c r="D5" s="3"/>
      <x:c r="E5" s="3"/>
      <x:c r="F5" s="3"/>
    </x:row>
    <x:row r="6" ht="18" customHeight="1">
      <x:c r="B6" s="9" t="str">
        <x:v>Program controls</x:v>
      </x:c>
      <x:c r="C6" s="10" t="str">
        <x:v>Program controls</x:v>
      </x:c>
      <x:c r="D6" s="10" t="str">
        <x:v>Program controls</x:v>
      </x:c>
      <x:c r="E6" s="10" t="str">
        <x:v>Program controls</x:v>
      </x:c>
      <x:c r="F6" s="11" t="str">
        <x:v>Program controls</x:v>
      </x:c>
    </x:row>
    <x:row r="7" ht="18" customHeight="1">
      <x:c r="B7" s="23" t="str">
        <x:v>Input</x:v>
      </x:c>
      <x:c r="C7" s="24" t="str">
        <x:v>Value</x:v>
      </x:c>
      <x:c r="D7" s="24" t="str">
        <x:v>Unit</x:v>
      </x:c>
      <x:c r="E7" s="24" t="str">
        <x:v>Origin</x:v>
      </x:c>
      <x:c r="F7" s="24" t="str">
        <x:v>Meaning</x:v>
      </x:c>
    </x:row>
    <x:row r="8" ht="18" customHeight="1">
      <x:c r="B8" s="25" t="str">
        <x:v>Qualification tiles</x:v>
      </x:c>
      <x:c r="C8" s="26" t="n">
        <x:v>240</x:v>
      </x:c>
      <x:c r="D8" s="25" t="str">
        <x:v>tiles</x:v>
      </x:c>
      <x:c r="E8" s="25" t="str">
        <x:v>Pass 90</x:v>
      </x:c>
      <x:c r="F8" s="27" t="str">
        <x:v>protected qualification bank</x:v>
      </x:c>
    </x:row>
    <x:row r="9" ht="18" customHeight="1">
      <x:c r="B9" s="25" t="str">
        <x:v>Air mission operating tiles</x:v>
      </x:c>
      <x:c r="C9" s="26" t="n">
        <x:v>120</x:v>
      </x:c>
      <x:c r="D9" s="25" t="str">
        <x:v>tiles</x:v>
      </x:c>
      <x:c r="E9" s="25" t="str">
        <x:v>Pass 90</x:v>
      </x:c>
      <x:c r="F9" s="27" t="str">
        <x:v>two complete air formations</x:v>
      </x:c>
    </x:row>
    <x:row r="10" ht="18" customHeight="1">
      <x:c r="B10" s="25" t="str">
        <x:v>Terrain mission operating tiles</x:v>
      </x:c>
      <x:c r="C10" s="26" t="n">
        <x:v>100</x:v>
      </x:c>
      <x:c r="D10" s="25" t="str">
        <x:v>tiles</x:v>
      </x:c>
      <x:c r="E10" s="25" t="str">
        <x:v>Pass 90</x:v>
      </x:c>
      <x:c r="F10" s="27" t="str">
        <x:v>two complete terrain formations</x:v>
      </x:c>
    </x:row>
    <x:row r="11" ht="18" customHeight="1">
      <x:c r="B11" s="25" t="str">
        <x:v>Pass 90 attrition tiles</x:v>
      </x:c>
      <x:c r="C11" s="26" t="n">
        <x:v>20</x:v>
      </x:c>
      <x:c r="D11" s="25" t="str">
        <x:v>tiles</x:v>
      </x:c>
      <x:c r="E11" s="25" t="str">
        <x:v>Pass 90</x:v>
      </x:c>
      <x:c r="F11" s="27" t="str">
        <x:v>superseded by registered burn ceiling</x:v>
      </x:c>
    </x:row>
    <x:row r="12" ht="18" customHeight="1">
      <x:c r="B12" s="25" t="str">
        <x:v>Attrition tiles per mode</x:v>
      </x:c>
      <x:c r="C12" s="26" t="n">
        <x:v>18</x:v>
      </x:c>
      <x:c r="D12" s="25" t="str">
        <x:v>tiles</x:v>
      </x:c>
      <x:c r="E12" s="25" t="str">
        <x:v>Pass 91</x:v>
      </x:c>
      <x:c r="F12" s="27" t="str">
        <x:v>eight defect four boundary four compound two handling</x:v>
      </x:c>
    </x:row>
    <x:row r="13" ht="18" customHeight="1">
      <x:c r="B13" s="25" t="str">
        <x:v>Revised attrition tiles</x:v>
      </x:c>
      <x:c r="C13" s="26" t="n">
        <x:v>36</x:v>
      </x:c>
      <x:c r="D13" s="25" t="str">
        <x:v>tiles</x:v>
      </x:c>
      <x:c r="E13" s="25" t="str">
        <x:v>derived</x:v>
      </x:c>
      <x:c r="F13" s="27" t="str">
        <x:v>registered irreversible quarantine ceiling</x:v>
      </x:c>
    </x:row>
    <x:row r="14" ht="18" customHeight="1">
      <x:c r="B14" s="25" t="str">
        <x:v>Revised development tiles</x:v>
      </x:c>
      <x:c r="C14" s="26" t="n">
        <x:v>496</x:v>
      </x:c>
      <x:c r="D14" s="25" t="str">
        <x:v>tiles</x:v>
      </x:c>
      <x:c r="E14" s="25" t="str">
        <x:v>derived</x:v>
      </x:c>
      <x:c r="F14" s="27" t="str">
        <x:v>qualification operating and attrition banks</x:v>
      </x:c>
    </x:row>
    <x:row r="15" ht="18" customHeight="1">
      <x:c r="B15" s="25" t="str">
        <x:v>Operational loaded tiles</x:v>
      </x:c>
      <x:c r="C15" s="26" t="n">
        <x:v>4730</x:v>
      </x:c>
      <x:c r="D15" s="25" t="str">
        <x:v>tiles</x:v>
      </x:c>
      <x:c r="E15" s="25" t="str">
        <x:v>Pass 90</x:v>
      </x:c>
      <x:c r="F15" s="27" t="str">
        <x:v>unchanged ready formations</x:v>
      </x:c>
    </x:row>
    <x:row r="16" ht="18" customHeight="1">
      <x:c r="B16" s="25" t="str">
        <x:v>Operational reserve tiles</x:v>
      </x:c>
      <x:c r="C16" s="26" t="n">
        <x:v>946</x:v>
      </x:c>
      <x:c r="D16" s="25" t="str">
        <x:v>tiles</x:v>
      </x:c>
      <x:c r="E16" s="25" t="str">
        <x:v>Pass 90</x:v>
      </x:c>
      <x:c r="F16" s="27" t="str">
        <x:v>unchanged rotating reserve</x:v>
      </x:c>
    </x:row>
    <x:row r="17" ht="18" customHeight="1">
      <x:c r="B17" s="25" t="str">
        <x:v>Revised total tile inventory</x:v>
      </x:c>
      <x:c r="C17" s="26" t="n">
        <x:v>6172</x:v>
      </x:c>
      <x:c r="D17" s="25" t="str">
        <x:v>tiles</x:v>
      </x:c>
      <x:c r="E17" s="25" t="str">
        <x:v>derived</x:v>
      </x:c>
      <x:c r="F17" s="27" t="str">
        <x:v>loaded reserve and development</x:v>
      </x:c>
    </x:row>
    <x:row r="18" ht="18" customHeight="1">
      <x:c r="B18" s="25" t="str">
        <x:v>Air tiles per formation</x:v>
      </x:c>
      <x:c r="C18" s="26" t="n">
        <x:v>60</x:v>
      </x:c>
      <x:c r="D18" s="25" t="str">
        <x:v>tiles</x:v>
      </x:c>
      <x:c r="E18" s="25" t="str">
        <x:v>Pass 90</x:v>
      </x:c>
      <x:c r="F18" s="27" t="str">
        <x:v>three carriers by twenty</x:v>
      </x:c>
    </x:row>
    <x:row r="19" ht="18" customHeight="1">
      <x:c r="B19" s="25" t="str">
        <x:v>Terrain tiles per formation</x:v>
      </x:c>
      <x:c r="C19" s="26" t="n">
        <x:v>50</x:v>
      </x:c>
      <x:c r="D19" s="25" t="str">
        <x:v>tiles</x:v>
      </x:c>
      <x:c r="E19" s="25" t="str">
        <x:v>Pass 90</x:v>
      </x:c>
      <x:c r="F19" s="27" t="str">
        <x:v>five carriers by ten</x:v>
      </x:c>
    </x:row>
    <x:row r="20" ht="18" customHeight="1">
      <x:c r="B20" s="25" t="str">
        <x:v>Air missions</x:v>
      </x:c>
      <x:c r="C20" s="26" t="n">
        <x:v>100</x:v>
      </x:c>
      <x:c r="D20" s="25" t="str">
        <x:v>missions</x:v>
      </x:c>
      <x:c r="E20" s="25" t="str">
        <x:v>Pass 90</x:v>
      </x:c>
      <x:c r="F20" s="27" t="str">
        <x:v>registered full-mission matrix</x:v>
      </x:c>
    </x:row>
    <x:row r="21" ht="18" customHeight="1">
      <x:c r="B21" s="25" t="str">
        <x:v>Terrain missions</x:v>
      </x:c>
      <x:c r="C21" s="26" t="n">
        <x:v>100</x:v>
      </x:c>
      <x:c r="D21" s="25" t="str">
        <x:v>missions</x:v>
      </x:c>
      <x:c r="E21" s="25" t="str">
        <x:v>Pass 90</x:v>
      </x:c>
      <x:c r="F21" s="27" t="str">
        <x:v>registered full-mission matrix</x:v>
      </x:c>
    </x:row>
    <x:row r="22" ht="18" customHeight="1">
      <x:c r="B22" s="25" t="str">
        <x:v>Mission duration</x:v>
      </x:c>
      <x:c r="C22" s="26" t="n">
        <x:v>168</x:v>
      </x:c>
      <x:c r="D22" s="25" t="str">
        <x:v>h</x:v>
      </x:c>
      <x:c r="E22" s="25" t="str">
        <x:v>Pass 90</x:v>
      </x:c>
      <x:c r="F22" s="27" t="str">
        <x:v>continuous evidence window</x:v>
      </x:c>
    </x:row>
    <x:row r="23" ht="18" customHeight="1">
      <x:c r="B23" s="25" t="str">
        <x:v>Article evidence life</x:v>
      </x:c>
      <x:c r="C23" s="26" t="n">
        <x:v>60</x:v>
      </x:c>
      <x:c r="D23" s="25" t="str">
        <x:v>missions</x:v>
      </x:c>
      <x:c r="E23" s="25" t="str">
        <x:v>Pass 91</x:v>
      </x:c>
      <x:c r="F23" s="27" t="str">
        <x:v>design requirement not observed durability</x:v>
      </x:c>
    </x:row>
    <x:row r="24" ht="18" customHeight="1">
      <x:c r="B24" s="25" t="str">
        <x:v>Attrition entry mission</x:v>
      </x:c>
      <x:c r="C24" s="26" t="n">
        <x:v>50</x:v>
      </x:c>
      <x:c r="D24" s="25" t="str">
        <x:v>mission</x:v>
      </x:c>
      <x:c r="E24" s="25" t="str">
        <x:v>Pass 91</x:v>
      </x:c>
      <x:c r="F24" s="27" t="str">
        <x:v>conservative midpoint replacement credit</x:v>
      </x:c>
    </x:row>
    <x:row r="25" ht="18" customHeight="1">
      <x:c r="B25" s="25" t="str">
        <x:v>Long-term raw retention</x:v>
      </x:c>
      <x:c r="C25" s="28" t="n">
        <x:v>0.12</x:v>
      </x:c>
      <x:c r="D25" s="25" t="str">
        <x:v>fraction</x:v>
      </x:c>
      <x:c r="E25" s="25" t="str">
        <x:v>Pass 91</x:v>
      </x:c>
      <x:c r="F25" s="27" t="str">
        <x:v>selected raw windows not all raw data</x:v>
      </x:c>
    </x:row>
    <x:row r="26" ht="18" customHeight="1">
      <x:c r="B26" s="25" t="str">
        <x:v>Derived feature retention</x:v>
      </x:c>
      <x:c r="C26" s="28" t="n">
        <x:v>0.02</x:v>
      </x:c>
      <x:c r="D26" s="25" t="str">
        <x:v>fraction</x:v>
      </x:c>
      <x:c r="E26" s="25" t="str">
        <x:v>Pass 91</x:v>
      </x:c>
      <x:c r="F26" s="27" t="str">
        <x:v>features and event windows</x:v>
      </x:c>
    </x:row>
    <x:row r="27" ht="18" customHeight="1">
      <x:c r="B27" s="25" t="str">
        <x:v>Civil evidence packets</x:v>
      </x:c>
      <x:c r="C27" s="26" t="n">
        <x:v>0.5</x:v>
      </x:c>
      <x:c r="D27" s="25" t="str">
        <x:v>PB</x:v>
      </x:c>
      <x:c r="E27" s="25" t="str">
        <x:v>Pass 91</x:v>
      </x:c>
      <x:c r="F27" s="27" t="str">
        <x:v>assay rights release and environmental records</x:v>
      </x:c>
    </x:row>
    <x:row r="28" ht="18" customHeight="1">
      <x:c r="B28" s="25" t="str">
        <x:v>Evidence copies</x:v>
      </x:c>
      <x:c r="C28" s="26" t="n">
        <x:v>3</x:v>
      </x:c>
      <x:c r="D28" s="25" t="str">
        <x:v>copies</x:v>
      </x:c>
      <x:c r="E28" s="25" t="str">
        <x:v>Pass 91</x:v>
      </x:c>
      <x:c r="F28" s="27" t="str">
        <x:v>geographically and administratively separate</x:v>
      </x:c>
    </x:row>
    <x:row r="29" ht="18" customHeight="1">
      <x:c r="B29" s="25" t="str">
        <x:v>Network headroom</x:v>
      </x:c>
      <x:c r="C29" s="26" t="n">
        <x:v>2.2</x:v>
      </x:c>
      <x:c r="D29" s="25" t="str">
        <x:v>x</x:v>
      </x:c>
      <x:c r="E29" s="25" t="str">
        <x:v>Pass 91</x:v>
      </x:c>
      <x:c r="F29" s="27" t="str">
        <x:v>peak burst protocol and link failure</x:v>
      </x:c>
    </x:row>
    <x:row r="30" ht="18" customHeight="1">
      <x:c r="B30" s="25" t="str">
        <x:v>Local evidence fabric</x:v>
      </x:c>
      <x:c r="C30" s="26" t="n">
        <x:v>10</x:v>
      </x:c>
      <x:c r="D30" s="25" t="str">
        <x:v>Gb/s</x:v>
      </x:c>
      <x:c r="E30" s="25" t="str">
        <x:v>Pass 91</x:v>
      </x:c>
      <x:c r="F30" s="27" t="str">
        <x:v>formation network capacity target</x:v>
      </x:c>
    </x:row>
    <x:row r="31" ht="18" customHeight="1">
      <x:c r="B31" s="25" t="str">
        <x:v>Tile local storage</x:v>
      </x:c>
      <x:c r="C31" s="26" t="n">
        <x:v>8</x:v>
      </x:c>
      <x:c r="D31" s="25" t="str">
        <x:v>TB/tile</x:v>
      </x:c>
      <x:c r="E31" s="25" t="str">
        <x:v>Pass 91</x:v>
      </x:c>
      <x:c r="F31" s="27" t="str">
        <x:v>offline retention for highest tile rate</x:v>
      </x:c>
    </x:row>
    <x:row r="32" ht="18" customHeight="1">
      <x:c r="B32" s="25" t="str">
        <x:v>Air carrier local storage</x:v>
      </x:c>
      <x:c r="C32" s="26" t="n">
        <x:v>24</x:v>
      </x:c>
      <x:c r="D32" s="25" t="str">
        <x:v>TB/carrier</x:v>
      </x:c>
      <x:c r="E32" s="25" t="str">
        <x:v>Pass 91</x:v>
      </x:c>
      <x:c r="F32" s="27" t="str">
        <x:v>offline carrier truth node</x:v>
      </x:c>
    </x:row>
    <x:row r="33" ht="18" customHeight="1">
      <x:c r="B33" s="25" t="str">
        <x:v>Terrain carrier local storage</x:v>
      </x:c>
      <x:c r="C33" s="26" t="n">
        <x:v>24</x:v>
      </x:c>
      <x:c r="D33" s="25" t="str">
        <x:v>TB/carrier</x:v>
      </x:c>
      <x:c r="E33" s="25" t="str">
        <x:v>Pass 91</x:v>
      </x:c>
      <x:c r="F33" s="27" t="str">
        <x:v>offline carrier truth node</x:v>
      </x:c>
    </x:row>
    <x:row r="34" ht="18" customHeight="1">
      <x:c r="B34" s="25" t="str">
        <x:v>Receiver local storage</x:v>
      </x:c>
      <x:c r="C34" s="26" t="n">
        <x:v>64</x:v>
      </x:c>
      <x:c r="D34" s="25" t="str">
        <x:v>TB/station</x:v>
      </x:c>
      <x:c r="E34" s="25" t="str">
        <x:v>Pass 91</x:v>
      </x:c>
      <x:c r="F34" s="27" t="str">
        <x:v>independent public boundary capture</x:v>
      </x:c>
    </x:row>
    <x:row r="35" ht="18" customHeight="1">
      <x:c r="B35" s="25" t="str">
        <x:v>Range local storage</x:v>
      </x:c>
      <x:c r="C35" s="26" t="n">
        <x:v>24</x:v>
      </x:c>
      <x:c r="D35" s="25" t="str">
        <x:v>TB/array</x:v>
      </x:c>
      <x:c r="E35" s="25" t="str">
        <x:v>Pass 91</x:v>
      </x:c>
      <x:c r="F35" s="27" t="str">
        <x:v>independent environmental truth</x:v>
      </x:c>
    </x:row>
    <x:row r="36" ht="18" customHeight="1">
      <x:c r="B36" s="25" t="str">
        <x:v>Service evidence threshold</x:v>
      </x:c>
      <x:c r="C36" s="26" t="n">
        <x:v>53.75</x:v>
      </x:c>
      <x:c r="D36" s="25" t="str">
        <x:v>h</x:v>
      </x:c>
      <x:c r="E36" s="25" t="str">
        <x:v>Pass 90</x:v>
      </x:c>
      <x:c r="F36" s="27" t="str">
        <x:v>absolute deadline less 0.25 h guardband</x:v>
      </x:c>
    </x:row>
    <x:row r="37" ht="18" customHeight="1">
      <x:c r="B37" s="25" t="str">
        <x:v>Terrain modeled service</x:v>
      </x:c>
      <x:c r="C37" s="26" t="n">
        <x:v>53.5694444</x:v>
      </x:c>
      <x:c r="D37" s="25" t="str">
        <x:v>h</x:v>
      </x:c>
      <x:c r="E37" s="25" t="str">
        <x:v>Pass 90</x:v>
      </x:c>
      <x:c r="F37" s="27" t="str">
        <x:v>behavior reference</x:v>
      </x:c>
    </x:row>
    <x:row r="38" ht="18" customHeight="1">
      <x:c r="B38" s="25" t="str">
        <x:v>Clock uncertainty fraction</x:v>
      </x:c>
      <x:c r="C38" s="26" t="n">
        <x:v>0.5</x:v>
      </x:c>
      <x:c r="D38" s="25" t="str">
        <x:v>fraction of margin</x:v>
      </x:c>
      <x:c r="E38" s="25" t="str">
        <x:v>Pass 91</x:v>
      </x:c>
      <x:c r="F38" s="27" t="str">
        <x:v>U95 may consume no more than half the margin</x:v>
      </x:c>
    </x:row>
    <x:row r="39" ht="18" customHeight="1">
      <x:c r="B39" s="25" t="str">
        <x:v>Soil evidence threshold</x:v>
      </x:c>
      <x:c r="C39" s="26" t="n">
        <x:v>34.75</x:v>
      </x:c>
      <x:c r="D39" s="25" t="str">
        <x:v>kPa</x:v>
      </x:c>
      <x:c r="E39" s="25" t="str">
        <x:v>Pass 90</x:v>
      </x:c>
      <x:c r="F39" s="27" t="str">
        <x:v>absolute screen less 0.25 kPa guardband</x:v>
      </x:c>
    </x:row>
    <x:row r="40" ht="18" customHeight="1">
      <x:c r="B40" s="25" t="str">
        <x:v>Terrain modeled soil pressure</x:v>
      </x:c>
      <x:c r="C40" s="26" t="n">
        <x:v>34.2492055</x:v>
      </x:c>
      <x:c r="D40" s="25" t="str">
        <x:v>kPa</x:v>
      </x:c>
      <x:c r="E40" s="25" t="str">
        <x:v>Pass 90</x:v>
      </x:c>
      <x:c r="F40" s="27" t="str">
        <x:v>behavior reference</x:v>
      </x:c>
    </x:row>
    <x:row r="41" ht="18" customHeight="1">
      <x:c r="B41" s="25" t="str">
        <x:v>Soil uncertainty fraction</x:v>
      </x:c>
      <x:c r="C41" s="26" t="n">
        <x:v>0.5</x:v>
      </x:c>
      <x:c r="D41" s="25" t="str">
        <x:v>fraction of margin</x:v>
      </x:c>
      <x:c r="E41" s="25" t="str">
        <x:v>Pass 91</x:v>
      </x:c>
      <x:c r="F41" s="27" t="str">
        <x:v>U95 may consume no more than half the margin</x:v>
      </x:c>
    </x:row>
    <x:row r="42" ht="18" customHeight="1">
      <x:c r="B42" s="25" t="str">
        <x:v>Coverage factor</x:v>
      </x:c>
      <x:c r="C42" s="26" t="n">
        <x:v>2</x:v>
      </x:c>
      <x:c r="D42" s="25" t="str">
        <x:v>k</x:v>
      </x:c>
      <x:c r="E42" s="25" t="str">
        <x:v>Pass 91</x:v>
      </x:c>
      <x:c r="F42" s="27" t="str">
        <x:v>expanded uncertainty approximately 95 percent</x:v>
      </x:c>
    </x:row>
    <x:row r="43" ht="18" customHeight="1">
      <x:c r="B43" s="25" t="str">
        <x:v>Article evidence kit mass</x:v>
      </x:c>
      <x:c r="C43" s="26" t="n">
        <x:v>0.075</x:v>
      </x:c>
      <x:c r="D43" s="25" t="str">
        <x:v>t/tile</x:v>
      </x:c>
      <x:c r="E43" s="25" t="str">
        <x:v>Pass 91</x:v>
      </x:c>
      <x:c r="F43" s="27" t="str">
        <x:v>temporary independent layer with mass simulant</x:v>
      </x:c>
    </x:row>
    <x:row r="44" ht="18" customHeight="1">
      <x:c r="B44" s="25" t="str">
        <x:v>Article evidence kit power</x:v>
      </x:c>
      <x:c r="C44" s="26" t="n">
        <x:v>0.05</x:v>
      </x:c>
      <x:c r="D44" s="25" t="str">
        <x:v>kW/tile</x:v>
      </x:c>
      <x:c r="E44" s="25" t="str">
        <x:v>Pass 91</x:v>
      </x:c>
      <x:c r="F44" s="27" t="str">
        <x:v>local battery and energy harvesting</x:v>
      </x:c>
    </x:row>
    <x:row r="45" ht="18" customHeight="1">
      <x:c r="B45" s="25" t="str">
        <x:v>Carrier evidence kit mass</x:v>
      </x:c>
      <x:c r="C45" s="26" t="n">
        <x:v>0.35</x:v>
      </x:c>
      <x:c r="D45" s="25" t="str">
        <x:v>t/carrier</x:v>
      </x:c>
      <x:c r="E45" s="25" t="str">
        <x:v>Pass 91</x:v>
      </x:c>
      <x:c r="F45" s="27" t="str">
        <x:v>temporary reference nodes</x:v>
      </x:c>
    </x:row>
    <x:row r="46" ht="18" customHeight="1">
      <x:c r="B46" s="25" t="str">
        <x:v>F01 capital limit</x:v>
      </x:c>
      <x:c r="C46" s="26" t="n">
        <x:v>24</x:v>
      </x:c>
      <x:c r="D46" s="25" t="str">
        <x:v>USD B</x:v>
      </x:c>
      <x:c r="E46" s="25" t="str">
        <x:v>Pass 90</x:v>
      </x:c>
      <x:c r="F46" s="27" t="str">
        <x:v>metrology control ancestry and instrumentation</x:v>
      </x:c>
    </x:row>
    <x:row r="47" ht="18" customHeight="1">
      <x:c r="B47" s="25" t="str">
        <x:v>Facility capital limit</x:v>
      </x:c>
      <x:c r="C47" s="26" t="n">
        <x:v>350</x:v>
      </x:c>
      <x:c r="D47" s="25" t="str">
        <x:v>USD B</x:v>
      </x:c>
      <x:c r="E47" s="25" t="str">
        <x:v>Pass 90</x:v>
      </x:c>
      <x:c r="F47" s="27" t="str">
        <x:v>all eleven facility families</x:v>
      </x:c>
    </x:row>
    <x:row r="48" ht="18" customHeight="1">
      <x:c r="B48" s="25" t="str">
        <x:v>Technology portfolio</x:v>
      </x:c>
      <x:c r="C48" s="26" t="n">
        <x:v>1050</x:v>
      </x:c>
      <x:c r="D48" s="25" t="str">
        <x:v>USD B</x:v>
      </x:c>
      <x:c r="E48" s="25" t="str">
        <x:v>Pass 90</x:v>
      </x:c>
      <x:c r="F48" s="27" t="str">
        <x:v>nested program allocation</x:v>
      </x:c>
    </x:row>
    <x:row r="49" ht="18" customHeight="1">
      <x:c r="B49" s="25" t="str">
        <x:v>Model controls</x:v>
      </x:c>
      <x:c r="C49" s="26" t="n">
        <x:v>320</x:v>
      </x:c>
      <x:c r="D49" s="25" t="str">
        <x:v>controls</x:v>
      </x:c>
      <x:c r="E49" s="25" t="str">
        <x:v>Pass 91</x:v>
      </x:c>
      <x:c r="F49" s="27" t="str">
        <x:v>deterministic audit target</x:v>
      </x:c>
    </x:row>
    <x:row r="50" ht="18" customHeight="1">
      <x:c r="B50" s="29" t="str">
        <x:v>Rendering authorization</x:v>
      </x:c>
      <x:c r="C50" s="30" t="n">
        <x:v>0</x:v>
      </x:c>
      <x:c r="D50" s="29" t="str">
        <x:v>binary</x:v>
      </x:c>
      <x:c r="E50" s="29" t="str">
        <x:v>governance</x:v>
      </x:c>
      <x:c r="F50" s="31" t="str">
        <x:v>exterior and internal form still blocked</x:v>
      </x:c>
    </x:row>
    <x:row r="51" ht="18" customHeight="1">
      <x:c r="B51" s="3"/>
      <x:c r="C51" s="3"/>
      <x:c r="D51" s="3"/>
      <x:c r="E51" s="3"/>
      <x:c r="F51" s="3"/>
    </x:row>
    <x:row r="52" ht="18" customHeight="1">
      <x:c r="B52" s="3"/>
      <x:c r="C52" s="3"/>
      <x:c r="D52" s="3"/>
      <x:c r="E52" s="3"/>
      <x:c r="F52" s="3"/>
    </x:row>
    <x:row r="53" ht="18" customHeight="1">
      <x:c r="B53" s="3"/>
      <x:c r="C53" s="3"/>
      <x:c r="D53" s="3"/>
      <x:c r="E53" s="3"/>
      <x:c r="F53" s="3"/>
    </x:row>
    <x:row r="54" ht="18" customHeight="1">
      <x:c r="B54" s="3"/>
      <x:c r="C54" s="3"/>
      <x:c r="D54" s="3"/>
      <x:c r="E54" s="3"/>
      <x:c r="F54" s="3"/>
    </x:row>
    <x:row r="55" ht="18" customHeight="1">
      <x:c r="B55" s="3"/>
      <x:c r="C55" s="3"/>
      <x:c r="D55" s="3"/>
      <x:c r="E55" s="3"/>
      <x:c r="F55" s="3"/>
    </x:row>
    <x:row r="56" ht="18" customHeight="1">
      <x:c r="B56" s="3"/>
      <x:c r="C56" s="3"/>
      <x:c r="D56" s="3"/>
      <x:c r="E56" s="3"/>
      <x:c r="F56" s="3"/>
    </x:row>
    <x:row r="57" ht="18" customHeight="1">
      <x:c r="B57" s="3"/>
      <x:c r="C57" s="3"/>
      <x:c r="D57" s="3"/>
      <x:c r="E57" s="3"/>
      <x:c r="F57" s="3"/>
    </x:row>
    <x:row r="58" ht="18" customHeight="1">
      <x:c r="B58" s="3"/>
      <x:c r="C58" s="3"/>
      <x:c r="D58" s="3"/>
      <x:c r="E58" s="3"/>
      <x:c r="F58" s="3"/>
    </x:row>
    <x:row r="59" ht="18" customHeight="1">
      <x:c r="B59" s="3"/>
      <x:c r="C59" s="3"/>
      <x:c r="D59" s="3"/>
      <x:c r="E59" s="3"/>
      <x:c r="F59" s="3"/>
    </x:row>
    <x:row r="60" ht="18" customHeight="1">
      <x:c r="B60" s="3"/>
      <x:c r="C60" s="3"/>
      <x:c r="D60" s="3"/>
      <x:c r="E60" s="3"/>
      <x:c r="F60" s="3"/>
    </x:row>
    <x:row r="61" ht="18" customHeight="1">
      <x:c r="B61" s="3"/>
      <x:c r="C61" s="3"/>
      <x:c r="D61" s="3"/>
      <x:c r="E61" s="3"/>
      <x:c r="F61" s="3"/>
    </x:row>
    <x:row r="62" ht="18" customHeight="1">
      <x:c r="B62" s="3"/>
      <x:c r="C62" s="3"/>
      <x:c r="D62" s="3"/>
      <x:c r="E62" s="3"/>
      <x:c r="F62" s="3"/>
    </x:row>
    <x:row r="63" ht="18" customHeight="1">
      <x:c r="B63" s="3"/>
      <x:c r="C63" s="3"/>
      <x:c r="D63" s="3"/>
      <x:c r="E63" s="3"/>
      <x:c r="F63" s="3"/>
    </x:row>
    <x:row r="64" ht="18" customHeight="1">
      <x:c r="B64" s="3"/>
      <x:c r="C64" s="3"/>
      <x:c r="D64" s="3"/>
      <x:c r="E64" s="3"/>
      <x:c r="F64" s="3"/>
    </x:row>
    <x:row r="65" ht="18" customHeight="1">
      <x:c r="B65" s="3"/>
      <x:c r="C65" s="3"/>
      <x:c r="D65" s="3"/>
      <x:c r="E65" s="3"/>
      <x:c r="F65" s="3"/>
    </x:row>
    <x:row r="66" ht="18" customHeight="1">
      <x:c r="B66" s="3"/>
      <x:c r="C66" s="3"/>
      <x:c r="D66" s="3"/>
      <x:c r="E66" s="3"/>
      <x:c r="F66" s="3"/>
    </x:row>
    <x:row r="67" ht="18" customHeight="1">
      <x:c r="B67" s="3"/>
      <x:c r="C67" s="3"/>
      <x:c r="D67" s="3"/>
      <x:c r="E67" s="3"/>
      <x:c r="F67" s="3"/>
    </x:row>
    <x:row r="68" ht="18" customHeight="1">
      <x:c r="B68" s="3"/>
      <x:c r="C68" s="3"/>
      <x:c r="D68" s="3"/>
      <x:c r="E68" s="3"/>
      <x:c r="F68" s="3"/>
    </x:row>
    <x:row r="69" ht="18" customHeight="1">
      <x:c r="B69" s="3"/>
      <x:c r="C69" s="3"/>
      <x:c r="D69" s="3"/>
      <x:c r="E69" s="3"/>
      <x:c r="F69" s="3"/>
    </x:row>
    <x:row r="70" ht="18" customHeight="1">
      <x:c r="B70" s="3"/>
      <x:c r="C70" s="3"/>
      <x:c r="D70" s="3"/>
      <x:c r="E70" s="3"/>
      <x:c r="F70" s="3"/>
    </x:row>
    <x:row r="71" ht="18" customHeight="1">
      <x:c r="B71" s="3"/>
      <x:c r="C71" s="3"/>
      <x:c r="D71" s="3"/>
      <x:c r="E71" s="3"/>
      <x:c r="F71" s="3"/>
    </x:row>
    <x:row r="72" ht="18" customHeight="1">
      <x:c r="B72" s="3"/>
      <x:c r="C72" s="3"/>
      <x:c r="D72" s="3"/>
      <x:c r="E72" s="3"/>
      <x:c r="F72" s="3"/>
    </x:row>
  </x:sheetData>
  <x:mergeCells>
    <x:mergeCell ref="B2:H2"/>
    <x:mergeCell ref="B3:F3"/>
    <x:mergeCell ref="B6:F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24" hidden="0" customWidth="1"/>
    <x:col min="3" max="3" width="58" hidden="0" customWidth="1"/>
    <x:col min="4" max="4" width="25" hidden="0" customWidth="1"/>
    <x:col min="5" max="5" width="26" hidden="0" customWidth="1"/>
    <x:col min="6" max="6" width="28" hidden="0" customWidth="1"/>
    <x:col min="7" max="7" width="22" hidden="0" customWidth="1"/>
    <x:col min="8" max="8" width="26" hidden="0" customWidth="1"/>
    <x:col min="9" max="9" width="28" hidden="0" customWidth="1"/>
    <x:col min="10" max="10" width="28" hidden="0" customWidth="1"/>
    <x:col min="11" max="11" width="13" hidden="0" customWidth="1"/>
    <x:col min="12" max="12" width="35" hidden="0" customWidth="1"/>
  </x:cols>
  <x:sheetData>
    <x:row r="2" ht="18" customHeight="1">
      <x:c r="B2" s="4" t="str">
        <x:v>Measurement constitution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18" customHeight="1">
      <x:c r="B3" s="5" t="str">
        <x:v>Three planes observe mechanism, independent physical effect and lawful public service without becoming part of mission control</x:v>
      </x:c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18" customHeight="1"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 ht="18" customHeight="1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</x:row>
    <x:row r="6" ht="18" customHeight="1">
      <x:c r="B6" s="23" t="str">
        <x:v>Plane</x:v>
      </x:c>
      <x:c r="C6" s="24" t="str">
        <x:v>Purpose</x:v>
      </x:c>
      <x:c r="D6" s="24" t="str">
        <x:v>Power</x:v>
      </x:c>
      <x:c r="E6" s="24" t="str">
        <x:v>Time root</x:v>
      </x:c>
      <x:c r="F6" s="24" t="str">
        <x:v>Data path</x:v>
      </x:c>
      <x:c r="G6" s="24" t="str">
        <x:v>Actuation</x:v>
      </x:c>
      <x:c r="H6" s="24" t="str">
        <x:v>Custody</x:v>
      </x:c>
      <x:c r="I6" s="24" t="str">
        <x:v>Failure behavior</x:v>
      </x:c>
      <x:c r="J6" s="24" t="str">
        <x:v>Public claim</x:v>
      </x:c>
      <x:c r="K6" s="24" t="str">
        <x:v>Initial state</x:v>
      </x:c>
      <x:c r="L6" s="24" t="str">
        <x:v>Required proof</x:v>
      </x:c>
    </x:row>
    <x:row r="7" ht="34" customHeight="1">
      <x:c r="B7" s="25" t="str">
        <x:v>P0 embedded control</x:v>
      </x:c>
      <x:c r="C7" s="25" t="str">
        <x:v>operate and protect the article</x:v>
      </x:c>
      <x:c r="D7" s="25" t="str">
        <x:v>article operational bus</x:v>
      </x:c>
      <x:c r="E7" s="25" t="str">
        <x:v>lineage control clock</x:v>
      </x:c>
      <x:c r="F7" s="25" t="str">
        <x:v>operational network</x:v>
      </x:c>
      <x:c r="G7" s="25" t="str">
        <x:v>permitted inside certified control</x:v>
      </x:c>
      <x:c r="H7" s="25" t="str">
        <x:v>builder then operator</x:v>
      </x:c>
      <x:c r="I7" s="25" t="str">
        <x:v>safe local control</x:v>
      </x:c>
      <x:c r="J7" s="25" t="str">
        <x:v>diagnostic only</x:v>
      </x:c>
      <x:c r="K7" s="25" t="str">
        <x:v>OPEN</x:v>
      </x:c>
      <x:c r="L7" s="27" t="str">
        <x:v>removal of evidence plane changes no control behavior</x:v>
      </x:c>
    </x:row>
    <x:row r="8" ht="34" customHeight="1">
      <x:c r="B8" s="25" t="str">
        <x:v>P1 independent evidence</x:v>
      </x:c>
      <x:c r="C8" s="25" t="str">
        <x:v>measure mechanism and boundary physics</x:v>
      </x:c>
      <x:c r="D8" s="25" t="str">
        <x:v>isolated local battery and harvesting</x:v>
      </x:c>
      <x:c r="E8" s="25" t="str">
        <x:v>independent holdover clock</x:v>
      </x:c>
      <x:c r="F8" s="25" t="str">
        <x:v>local write-once plus one-way export</x:v>
      </x:c>
      <x:c r="G8" s="25" t="str">
        <x:v>physically prohibited</x:v>
      </x:c>
      <x:c r="H8" s="25" t="str">
        <x:v>evidence authority</x:v>
      </x:c>
      <x:c r="I8" s="25" t="str">
        <x:v>records locally through network loss</x:v>
      </x:c>
      <x:c r="J8" s="25" t="str">
        <x:v>physical performance evidence</x:v>
      </x:c>
      <x:c r="K8" s="25" t="str">
        <x:v>OPEN</x:v>
      </x:c>
      <x:c r="L8" s="27" t="str">
        <x:v>calibration uncertainty and failure insertion</x:v>
      </x:c>
    </x:row>
    <x:row r="9" ht="34" customHeight="1">
      <x:c r="B9" s="29" t="str">
        <x:v>P2 civil-effect witness</x:v>
      </x:c>
      <x:c r="C9" s="29" t="str">
        <x:v>measure what people and environment receive</x:v>
      </x:c>
      <x:c r="D9" s="29" t="str">
        <x:v>separate receiver supply</x:v>
      </x:c>
      <x:c r="E9" s="29" t="str">
        <x:v>civil authority clock root</x:v>
      </x:c>
      <x:c r="F9" s="29" t="str">
        <x:v>separate public record</x:v>
      </x:c>
      <x:c r="G9" s="29" t="str">
        <x:v>physically prohibited</x:v>
      </x:c>
      <x:c r="H9" s="29" t="str">
        <x:v>civil and rights authorities</x:v>
      </x:c>
      <x:c r="I9" s="29" t="str">
        <x:v>may withhold release</x:v>
      </x:c>
      <x:c r="J9" s="29" t="str">
        <x:v>public-service and rights evidence</x:v>
      </x:c>
      <x:c r="K9" s="29" t="str">
        <x:v>OPEN</x:v>
      </x:c>
      <x:c r="L9" s="31" t="str">
        <x:v>assay access exposure and release reproduction</x:v>
      </x:c>
    </x:row>
    <x:row r="10" ht="18" customHeight="1"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</x:row>
    <x:row r="11" ht="18" customHeight="1"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</x:row>
    <x:row r="12" ht="18" customHeight="1">
      <x:c r="B12" s="9" t="str">
        <x:v>Binding rules</x:v>
      </x:c>
      <x:c r="C12" s="10" t="str">
        <x:v>Binding rules</x:v>
      </x:c>
      <x:c r="D12" s="10" t="str">
        <x:v>Binding rules</x:v>
      </x:c>
      <x:c r="E12" s="10" t="str">
        <x:v>Binding rules</x:v>
      </x:c>
      <x:c r="F12" s="10" t="str">
        <x:v>Binding rules</x:v>
      </x:c>
      <x:c r="G12" s="10" t="str">
        <x:v>Binding rules</x:v>
      </x:c>
      <x:c r="H12" s="10" t="str">
        <x:v>Binding rules</x:v>
      </x:c>
      <x:c r="I12" s="10" t="str">
        <x:v>Binding rules</x:v>
      </x:c>
      <x:c r="J12" s="10" t="str">
        <x:v>Binding rules</x:v>
      </x:c>
      <x:c r="K12" s="10" t="str">
        <x:v>Binding rules</x:v>
      </x:c>
      <x:c r="L12" s="11" t="str">
        <x:v>Binding rules</x:v>
      </x:c>
    </x:row>
    <x:row r="13" ht="38" customHeight="1">
      <x:c r="B13" s="38" t="str">
        <x:v>Passive observation</x:v>
      </x:c>
      <x:c r="C13" s="3" t="str">
        <x:v>P1 and P2 receive passive, optically isolated or physically one-way signals; neither may command mission hardware.</x:v>
      </x:c>
      <x:c r="D13" s="3" t="str"/>
      <x:c r="E13" s="3" t="str"/>
      <x:c r="F13" s="3" t="str"/>
      <x:c r="G13" s="3" t="str"/>
      <x:c r="H13" s="3" t="str"/>
      <x:c r="I13" s="3" t="str"/>
      <x:c r="J13" s="3" t="str"/>
      <x:c r="K13" s="3" t="str"/>
      <x:c r="L13" s="3" t="str"/>
    </x:row>
    <x:row r="14" ht="38" customHeight="1">
      <x:c r="B14" s="38" t="str">
        <x:v>Independent energy</x:v>
      </x:c>
      <x:c r="C14" s="3" t="str">
        <x:v>Loss of a vehicle, mission bus or receiver grid cannot erase the relevant evidence interval.</x:v>
      </x:c>
      <x:c r="D14" s="3" t="str"/>
      <x:c r="E14" s="3" t="str"/>
      <x:c r="F14" s="3" t="str"/>
      <x:c r="G14" s="3" t="str"/>
      <x:c r="H14" s="3" t="str"/>
      <x:c r="I14" s="3" t="str"/>
      <x:c r="J14" s="3" t="str"/>
      <x:c r="K14" s="3" t="str"/>
      <x:c r="L14" s="3" t="str"/>
    </x:row>
    <x:row r="15" ht="38" customHeight="1">
      <x:c r="B15" s="38" t="str">
        <x:v>Local first</x:v>
      </x:c>
      <x:c r="C15" s="3" t="str">
        <x:v>Every evidence node records locally. Network delivery is a convenience, never a prerequisite for evidence survival.</x:v>
      </x:c>
      <x:c r="D15" s="3" t="str"/>
      <x:c r="E15" s="3" t="str"/>
      <x:c r="F15" s="3" t="str"/>
      <x:c r="G15" s="3" t="str"/>
      <x:c r="H15" s="3" t="str"/>
      <x:c r="I15" s="3" t="str"/>
      <x:c r="J15" s="3" t="str"/>
      <x:c r="K15" s="3" t="str"/>
      <x:c r="L15" s="3" t="str"/>
    </x:row>
    <x:row r="16" ht="38" customHeight="1">
      <x:c r="B16" s="38" t="str">
        <x:v>Diverse time</x:v>
      </x:c>
      <x:c r="C16" s="3" t="str">
        <x:v>Air, terrain and civil roots use separately procured oscillators, firmware and calibration chains; GNSS is optional discipline only.</x:v>
      </x:c>
      <x:c r="D16" s="3" t="str"/>
      <x:c r="E16" s="3" t="str"/>
      <x:c r="F16" s="3" t="str"/>
      <x:c r="G16" s="3" t="str"/>
      <x:c r="H16" s="3" t="str"/>
      <x:c r="I16" s="3" t="str"/>
      <x:c r="J16" s="3" t="str"/>
      <x:c r="K16" s="3" t="str"/>
      <x:c r="L16" s="3" t="str"/>
    </x:row>
    <x:row r="17" ht="38" customHeight="1">
      <x:c r="B17" s="38" t="str">
        <x:v>Mass equivalence</x:v>
      </x:c>
      <x:c r="C17" s="3" t="str">
        <x:v>Temporary evidence hardware is replaced by mass, center-of-gravity and thermal simulants before representative production trials.</x:v>
      </x:c>
      <x:c r="D17" s="3" t="str"/>
      <x:c r="E17" s="3" t="str"/>
      <x:c r="F17" s="3" t="str"/>
      <x:c r="G17" s="3" t="str"/>
      <x:c r="H17" s="3" t="str"/>
      <x:c r="I17" s="3" t="str"/>
      <x:c r="J17" s="3" t="str"/>
      <x:c r="K17" s="3" t="str"/>
      <x:c r="L17" s="3" t="str"/>
    </x:row>
    <x:row r="18" ht="38" customHeight="1">
      <x:c r="B18" s="38" t="str">
        <x:v>No hidden support</x:v>
      </x:c>
      <x:c r="C18" s="3" t="str">
        <x:v>Range power, cooling, communications, ballast, lifting and survey cannot improve mission performance unless declared as receiver capacity.</x:v>
      </x:c>
      <x:c r="D18" s="3" t="str"/>
      <x:c r="E18" s="3" t="str"/>
      <x:c r="F18" s="3" t="str"/>
      <x:c r="G18" s="3" t="str"/>
      <x:c r="H18" s="3" t="str"/>
      <x:c r="I18" s="3" t="str"/>
      <x:c r="J18" s="3" t="str"/>
      <x:c r="K18" s="3" t="str"/>
      <x:c r="L18" s="3" t="str"/>
    </x:row>
    <x:row r="19" ht="38" customHeight="1">
      <x:c r="B19" s="38" t="str">
        <x:v>Raw-data custody</x:v>
      </x:c>
      <x:c r="C19" s="3" t="str">
        <x:v>Evidence authority receives original samples, calibration and dropped-packet records before builders receive analytic copies.</x:v>
      </x:c>
      <x:c r="D19" s="3" t="str"/>
      <x:c r="E19" s="3" t="str"/>
      <x:c r="F19" s="3" t="str"/>
      <x:c r="G19" s="3" t="str"/>
      <x:c r="H19" s="3" t="str"/>
      <x:c r="I19" s="3" t="str"/>
      <x:c r="J19" s="3" t="str"/>
      <x:c r="K19" s="3" t="str"/>
      <x:c r="L19" s="3" t="str"/>
    </x:row>
    <x:row r="20" ht="38" customHeight="1">
      <x:c r="B20" s="38" t="str">
        <x:v>Failure visibility</x:v>
      </x:c>
      <x:c r="C20" s="3" t="str">
        <x:v>A failed sensor, clock, storage device or authority state remains visible and cannot silently convert to zero.</x:v>
      </x:c>
      <x:c r="D20" s="3" t="str"/>
      <x:c r="E20" s="3" t="str"/>
      <x:c r="F20" s="3" t="str"/>
      <x:c r="G20" s="3" t="str"/>
      <x:c r="H20" s="3" t="str"/>
      <x:c r="I20" s="3" t="str"/>
      <x:c r="J20" s="3" t="str"/>
      <x:c r="K20" s="3" t="str"/>
      <x:c r="L20" s="3" t="str"/>
    </x:row>
    <x:row r="21" ht="38" customHeight="1">
      <x:c r="B21" s="38" t="str">
        <x:v>Reproducible event grammar</x:v>
      </x:c>
      <x:c r="C21" s="3" t="str">
        <x:v>Arrival, secure, custody, energized, stable, assayed and released events have physical definitions fixed before trial.</x:v>
      </x:c>
      <x:c r="D21" s="3" t="str"/>
      <x:c r="E21" s="3" t="str"/>
      <x:c r="F21" s="3" t="str"/>
      <x:c r="G21" s="3" t="str"/>
      <x:c r="H21" s="3" t="str"/>
      <x:c r="I21" s="3" t="str"/>
      <x:c r="J21" s="3" t="str"/>
      <x:c r="K21" s="3" t="str"/>
      <x:c r="L21" s="3" t="str"/>
    </x:row>
    <x:row r="22" ht="38" customHeight="1">
      <x:c r="B22" s="38" t="str">
        <x:v>Uncertainty before verdict</x:v>
      </x:c>
      <x:c r="C22" s="3" t="str">
        <x:v>Expanded uncertainty is applied to the governing boundary before a pass can be declared.</x:v>
      </x:c>
      <x:c r="D22" s="3" t="str"/>
      <x:c r="E22" s="3" t="str"/>
      <x:c r="F22" s="3" t="str"/>
      <x:c r="G22" s="3" t="str"/>
      <x:c r="H22" s="3" t="str"/>
      <x:c r="I22" s="3" t="str"/>
      <x:c r="J22" s="3" t="str"/>
      <x:c r="K22" s="3" t="str"/>
      <x:c r="L22" s="3" t="str"/>
    </x:row>
    <x:row r="23" ht="38" customHeight="1">
      <x:c r="B23" s="38" t="str">
        <x:v>No image-led geometry</x:v>
      </x:c>
      <x:c r="C23" s="3" t="str">
        <x:v>Measurement envelopes may define future internal diagrams; exterior and internal form remain blocked in this pass.</x:v>
      </x:c>
      <x:c r="D23" s="3" t="str"/>
      <x:c r="E23" s="3" t="str"/>
      <x:c r="F23" s="3" t="str"/>
      <x:c r="G23" s="3" t="str"/>
      <x:c r="H23" s="3" t="str"/>
      <x:c r="I23" s="3" t="str"/>
      <x:c r="J23" s="3" t="str"/>
      <x:c r="K23" s="3" t="str"/>
      <x:c r="L23" s="3" t="str"/>
    </x:row>
    <x:row r="24" ht="18" customHeight="1"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</x:row>
    <x:row r="25" ht="18" customHeight="1"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</x:row>
    <x:row r="26" ht="18" customHeight="1"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</x:row>
    <x:row r="27" ht="18" customHeight="1"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</x:row>
    <x:row r="28" ht="18" customHeight="1"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</x:row>
    <x:row r="29" ht="18" customHeight="1"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</x:row>
    <x:row r="30" ht="18" customHeight="1"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</x:row>
    <x:row r="31" ht="18" customHeight="1"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</x:row>
  </x:sheetData>
  <x:mergeCells>
    <x:mergeCell ref="B2:H2"/>
    <x:mergeCell ref="B3:L3"/>
    <x:mergeCell ref="B12:L12"/>
  </x:mergeCells>
  <x:conditionalFormatting sqref="K7:K9">
    <x:cfRule type="containsText" dxfId="5" priority="1" operator="containsText" text="FAIL"/>
    <x:cfRule type="containsText" dxfId="6" priority="2" operator="containsText" text="PASS"/>
    <x:cfRule type="containsText" dxfId="7" priority="3" operator="containsText" text="OPEN"/>
    <x:cfRule type="containsText" dxfId="8" priority="4" operator="containsText" text="HOLD"/>
    <x:cfRule type="containsText" dxfId="9" priority="5" operator="containsText" text="BLOCKED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12" hidden="0" customWidth="1"/>
    <x:col min="3" max="3" width="12" hidden="0" customWidth="1"/>
    <x:col min="4" max="4" width="10" hidden="0" customWidth="1"/>
    <x:col min="5" max="5" width="25" hidden="0" customWidth="1"/>
    <x:col min="6" max="6" width="13" hidden="0" customWidth="1"/>
    <x:col min="7" max="7" width="15" hidden="0" customWidth="1"/>
    <x:col min="8" max="8" width="15" hidden="0" customWidth="1"/>
    <x:col min="9" max="9" width="11" hidden="0" customWidth="1"/>
    <x:col min="10" max="10" width="14" hidden="0" customWidth="1"/>
    <x:col min="11" max="11" width="16" hidden="0" customWidth="1"/>
    <x:col min="12" max="12" width="17" hidden="0" customWidth="1"/>
    <x:col min="13" max="13" width="29" hidden="0" customWidth="1"/>
    <x:col min="14" max="14" width="12" hidden="0" customWidth="1"/>
  </x:cols>
  <x:sheetData>
    <x:row r="2" ht="18" customHeight="1">
      <x:c r="B2" s="4" t="str">
        <x:v>Measurement channel register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18" customHeight="1">
      <x:c r="B3" s="5" t="str">
        <x:v>Eighty article-domain records define independent observability and effective local data before any hardware form is selected</x:v>
      </x:c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 ht="18" customHeight="1"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</x:row>
    <x:row r="5" ht="18" customHeight="1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</x:row>
    <x:row r="6" ht="18" customHeight="1">
      <x:c r="B6" s="23" t="str">
        <x:v>ID</x:v>
      </x:c>
      <x:c r="C6" s="24" t="str">
        <x:v>Lineage</x:v>
      </x:c>
      <x:c r="D6" s="24" t="str">
        <x:v>Family</x:v>
      </x:c>
      <x:c r="E6" s="24" t="str">
        <x:v>Domain</x:v>
      </x:c>
      <x:c r="F6" s="24" t="str">
        <x:v>Channels</x:v>
      </x:c>
      <x:c r="G6" s="24" t="str">
        <x:v>Sample rate Hz</x:v>
      </x:c>
      <x:c r="H6" s="24" t="str">
        <x:v>Bytes/sample</x:v>
      </x:c>
      <x:c r="I6" s="24" t="str">
        <x:v>Duty</x:v>
      </x:c>
      <x:c r="J6" s="24" t="str">
        <x:v>Compression</x:v>
      </x:c>
      <x:c r="K6" s="24" t="str">
        <x:v>Effective MB/s</x:v>
      </x:c>
      <x:c r="L6" s="24" t="str">
        <x:v>Local retention TB</x:v>
      </x:c>
      <x:c r="M6" s="24" t="str">
        <x:v>Evidence owner</x:v>
      </x:c>
      <x:c r="N6" s="24" t="str">
        <x:v>State</x:v>
      </x:c>
    </x:row>
    <x:row r="7" ht="18" customHeight="1">
      <x:c r="B7" s="25" t="str">
        <x:v>AE-01</x:v>
      </x:c>
      <x:c r="C7" s="25" t="str">
        <x:v>Air</x:v>
      </x:c>
      <x:c r="D7" s="25" t="str">
        <x:v>E</x:v>
      </x:c>
      <x:c r="E7" s="25" t="str">
        <x:v>Structural</x:v>
      </x:c>
      <x:c r="F7" s="25" t="n">
        <x:v>48</x:v>
      </x:c>
      <x:c r="G7" s="25" t="n">
        <x:v>2000</x:v>
      </x:c>
      <x:c r="H7" s="25" t="n">
        <x:v>4</x:v>
      </x:c>
      <x:c r="I7" s="34" t="n">
        <x:v>0.25</x:v>
      </x:c>
      <x:c r="J7" s="25" t="n">
        <x:v>2</x:v>
      </x:c>
      <x:c r="K7" s="35" t="n">
        <x:f>F7*G7*H7*I7/J7/1000000</x:f>
        <x:v>0.048</x:v>
      </x:c>
      <x:c r="L7" s="35" t="n">
        <x:f>K7*Assumptions!C22*3600/1000000</x:f>
        <x:v>0.0290304</x:v>
      </x:c>
      <x:c r="M7" s="25" t="str">
        <x:v>Air E Evidence Authority</x:v>
      </x:c>
      <x:c r="N7" s="27" t="str">
        <x:v>OPEN</x:v>
      </x:c>
    </x:row>
    <x:row r="8" ht="18" customHeight="1">
      <x:c r="B8" s="25" t="str">
        <x:v>AE-02</x:v>
      </x:c>
      <x:c r="C8" s="25" t="str">
        <x:v>Air</x:v>
      </x:c>
      <x:c r="D8" s="25" t="str">
        <x:v>E</x:v>
      </x:c>
      <x:c r="E8" s="25" t="str">
        <x:v>Electrical</x:v>
      </x:c>
      <x:c r="F8" s="25" t="n">
        <x:v>96</x:v>
      </x:c>
      <x:c r="G8" s="25" t="n">
        <x:v>20000</x:v>
      </x:c>
      <x:c r="H8" s="25" t="n">
        <x:v>4</x:v>
      </x:c>
      <x:c r="I8" s="34" t="n">
        <x:v>0.1</x:v>
      </x:c>
      <x:c r="J8" s="25" t="n">
        <x:v>4</x:v>
      </x:c>
      <x:c r="K8" s="35" t="n">
        <x:f>F8*G8*H8*I8/J8/1000000</x:f>
        <x:v>0.192</x:v>
      </x:c>
      <x:c r="L8" s="35" t="n">
        <x:f>K8*Assumptions!C22*3600/1000000</x:f>
        <x:v>0.1161216</x:v>
      </x:c>
      <x:c r="M8" s="25" t="str">
        <x:v>Air E Evidence Authority</x:v>
      </x:c>
      <x:c r="N8" s="27" t="str">
        <x:v>OPEN</x:v>
      </x:c>
    </x:row>
    <x:row r="9" ht="18" customHeight="1">
      <x:c r="B9" s="25" t="str">
        <x:v>AE-03</x:v>
      </x:c>
      <x:c r="C9" s="25" t="str">
        <x:v>Air</x:v>
      </x:c>
      <x:c r="D9" s="25" t="str">
        <x:v>E</x:v>
      </x:c>
      <x:c r="E9" s="25" t="str">
        <x:v>Fluid</x:v>
      </x:c>
      <x:c r="F9" s="25" t="n">
        <x:v>24</x:v>
      </x:c>
      <x:c r="G9" s="25" t="n">
        <x:v>100</x:v>
      </x:c>
      <x:c r="H9" s="25" t="n">
        <x:v>8</x:v>
      </x:c>
      <x:c r="I9" s="34" t="n">
        <x:v>0.5</x:v>
      </x:c>
      <x:c r="J9" s="25" t="n">
        <x:v>2</x:v>
      </x:c>
      <x:c r="K9" s="35" t="n">
        <x:f>F9*G9*H9*I9/J9/1000000</x:f>
        <x:v>0.0048</x:v>
      </x:c>
      <x:c r="L9" s="35" t="n">
        <x:f>K9*Assumptions!C22*3600/1000000</x:f>
        <x:v>0.0029030399999999995</x:v>
      </x:c>
      <x:c r="M9" s="25" t="str">
        <x:v>Air E Evidence Authority</x:v>
      </x:c>
      <x:c r="N9" s="27" t="str">
        <x:v>OPEN</x:v>
      </x:c>
    </x:row>
    <x:row r="10" ht="18" customHeight="1">
      <x:c r="B10" s="25" t="str">
        <x:v>AE-04</x:v>
      </x:c>
      <x:c r="C10" s="25" t="str">
        <x:v>Air</x:v>
      </x:c>
      <x:c r="D10" s="25" t="str">
        <x:v>E</x:v>
      </x:c>
      <x:c r="E10" s="25" t="str">
        <x:v>Thermal</x:v>
      </x:c>
      <x:c r="F10" s="25" t="n">
        <x:v>48</x:v>
      </x:c>
      <x:c r="G10" s="25" t="n">
        <x:v>10</x:v>
      </x:c>
      <x:c r="H10" s="25" t="n">
        <x:v>8</x:v>
      </x:c>
      <x:c r="I10" s="34" t="n">
        <x:v>1</x:v>
      </x:c>
      <x:c r="J10" s="25" t="n">
        <x:v>2</x:v>
      </x:c>
      <x:c r="K10" s="35" t="n">
        <x:f>F10*G10*H10*I10/J10/1000000</x:f>
        <x:v>0.00192</x:v>
      </x:c>
      <x:c r="L10" s="35" t="n">
        <x:f>K10*Assumptions!C22*3600/1000000</x:f>
        <x:v>0.001161216</x:v>
      </x:c>
      <x:c r="M10" s="25" t="str">
        <x:v>Air E Evidence Authority</x:v>
      </x:c>
      <x:c r="N10" s="27" t="str">
        <x:v>OPEN</x:v>
      </x:c>
    </x:row>
    <x:row r="11" ht="18" customHeight="1">
      <x:c r="B11" s="25" t="str">
        <x:v>AE-05</x:v>
      </x:c>
      <x:c r="C11" s="25" t="str">
        <x:v>Air</x:v>
      </x:c>
      <x:c r="D11" s="25" t="str">
        <x:v>E</x:v>
      </x:c>
      <x:c r="E11" s="25" t="str">
        <x:v>Motion and geometry</x:v>
      </x:c>
      <x:c r="F11" s="25" t="n">
        <x:v>24</x:v>
      </x:c>
      <x:c r="G11" s="25" t="n">
        <x:v>200</x:v>
      </x:c>
      <x:c r="H11" s="25" t="n">
        <x:v>8</x:v>
      </x:c>
      <x:c r="I11" s="34" t="n">
        <x:v>0.5</x:v>
      </x:c>
      <x:c r="J11" s="25" t="n">
        <x:v>4</x:v>
      </x:c>
      <x:c r="K11" s="35" t="n">
        <x:f>F11*G11*H11*I11/J11/1000000</x:f>
        <x:v>0.0048</x:v>
      </x:c>
      <x:c r="L11" s="35" t="n">
        <x:f>K11*Assumptions!C22*3600/1000000</x:f>
        <x:v>0.0029030399999999995</x:v>
      </x:c>
      <x:c r="M11" s="25" t="str">
        <x:v>Air E Evidence Authority</x:v>
      </x:c>
      <x:c r="N11" s="27" t="str">
        <x:v>OPEN</x:v>
      </x:c>
    </x:row>
    <x:row r="12" ht="18" customHeight="1">
      <x:c r="B12" s="25" t="str">
        <x:v>AE-06</x:v>
      </x:c>
      <x:c r="C12" s="25" t="str">
        <x:v>Air</x:v>
      </x:c>
      <x:c r="D12" s="25" t="str">
        <x:v>E</x:v>
      </x:c>
      <x:c r="E12" s="25" t="str">
        <x:v>State and software</x:v>
      </x:c>
      <x:c r="F12" s="25" t="n">
        <x:v>128</x:v>
      </x:c>
      <x:c r="G12" s="25" t="n">
        <x:v>10</x:v>
      </x:c>
      <x:c r="H12" s="25" t="n">
        <x:v>16</x:v>
      </x:c>
      <x:c r="I12" s="34" t="n">
        <x:v>1</x:v>
      </x:c>
      <x:c r="J12" s="25" t="n">
        <x:v>4</x:v>
      </x:c>
      <x:c r="K12" s="35" t="n">
        <x:f>F12*G12*H12*I12/J12/1000000</x:f>
        <x:v>0.00512</x:v>
      </x:c>
      <x:c r="L12" s="35" t="n">
        <x:f>K12*Assumptions!C22*3600/1000000</x:f>
        <x:v>0.003096576</x:v>
      </x:c>
      <x:c r="M12" s="25" t="str">
        <x:v>Air E Evidence Authority</x:v>
      </x:c>
      <x:c r="N12" s="27" t="str">
        <x:v>OPEN</x:v>
      </x:c>
    </x:row>
    <x:row r="13" ht="18" customHeight="1">
      <x:c r="B13" s="25" t="str">
        <x:v>AE-07</x:v>
      </x:c>
      <x:c r="C13" s="25" t="str">
        <x:v>Air</x:v>
      </x:c>
      <x:c r="D13" s="25" t="str">
        <x:v>E</x:v>
      </x:c>
      <x:c r="E13" s="25" t="str">
        <x:v>Public effect</x:v>
      </x:c>
      <x:c r="F13" s="25" t="n">
        <x:v>16</x:v>
      </x:c>
      <x:c r="G13" s="25" t="n">
        <x:v>1</x:v>
      </x:c>
      <x:c r="H13" s="25" t="n">
        <x:v>32</x:v>
      </x:c>
      <x:c r="I13" s="34" t="n">
        <x:v>1</x:v>
      </x:c>
      <x:c r="J13" s="25" t="n">
        <x:v>2</x:v>
      </x:c>
      <x:c r="K13" s="35" t="n">
        <x:f>F13*G13*H13*I13/J13/1000000</x:f>
        <x:v>0.000256</x:v>
      </x:c>
      <x:c r="L13" s="35" t="n">
        <x:f>K13*Assumptions!C22*3600/1000000</x:f>
        <x:v>0.0001548288</x:v>
      </x:c>
      <x:c r="M13" s="25" t="str">
        <x:v>Air E Evidence Authority</x:v>
      </x:c>
      <x:c r="N13" s="27" t="str">
        <x:v>OPEN</x:v>
      </x:c>
    </x:row>
    <x:row r="14" ht="18" customHeight="1">
      <x:c r="B14" s="25" t="str">
        <x:v>AE-08</x:v>
      </x:c>
      <x:c r="C14" s="25" t="str">
        <x:v>Air</x:v>
      </x:c>
      <x:c r="D14" s="25" t="str">
        <x:v>E</x:v>
      </x:c>
      <x:c r="E14" s="25" t="str">
        <x:v>Media and acoustic</x:v>
      </x:c>
      <x:c r="F14" s="25" t="n">
        <x:v>12</x:v>
      </x:c>
      <x:c r="G14" s="25" t="n">
        <x:v>1</x:v>
      </x:c>
      <x:c r="H14" s="25" t="n">
        <x:v>500000</x:v>
      </x:c>
      <x:c r="I14" s="34" t="n">
        <x:v>0.25</x:v>
      </x:c>
      <x:c r="J14" s="25" t="n">
        <x:v>1</x:v>
      </x:c>
      <x:c r="K14" s="35" t="n">
        <x:f>F14*G14*H14*I14/J14/1000000</x:f>
        <x:v>1.5</x:v>
      </x:c>
      <x:c r="L14" s="35" t="n">
        <x:f>K14*Assumptions!C22*3600/1000000</x:f>
        <x:v>0.9072</x:v>
      </x:c>
      <x:c r="M14" s="25" t="str">
        <x:v>Air E Evidence Authority</x:v>
      </x:c>
      <x:c r="N14" s="27" t="str">
        <x:v>OPEN</x:v>
      </x:c>
    </x:row>
    <x:row r="15" ht="18" customHeight="1">
      <x:c r="B15" s="25" t="str">
        <x:v>AW-01</x:v>
      </x:c>
      <x:c r="C15" s="25" t="str">
        <x:v>Air</x:v>
      </x:c>
      <x:c r="D15" s="25" t="str">
        <x:v>W</x:v>
      </x:c>
      <x:c r="E15" s="25" t="str">
        <x:v>Structural</x:v>
      </x:c>
      <x:c r="F15" s="25" t="n">
        <x:v>32</x:v>
      </x:c>
      <x:c r="G15" s="25" t="n">
        <x:v>2000</x:v>
      </x:c>
      <x:c r="H15" s="25" t="n">
        <x:v>4</x:v>
      </x:c>
      <x:c r="I15" s="34" t="n">
        <x:v>0.25</x:v>
      </x:c>
      <x:c r="J15" s="25" t="n">
        <x:v>2</x:v>
      </x:c>
      <x:c r="K15" s="35" t="n">
        <x:f>F15*G15*H15*I15/J15/1000000</x:f>
        <x:v>0.032</x:v>
      </x:c>
      <x:c r="L15" s="35" t="n">
        <x:f>K15*Assumptions!C22*3600/1000000</x:f>
        <x:v>0.019353600000000002</x:v>
      </x:c>
      <x:c r="M15" s="25" t="str">
        <x:v>Air W Evidence Authority</x:v>
      </x:c>
      <x:c r="N15" s="27" t="str">
        <x:v>OPEN</x:v>
      </x:c>
    </x:row>
    <x:row r="16" ht="18" customHeight="1">
      <x:c r="B16" s="25" t="str">
        <x:v>AW-02</x:v>
      </x:c>
      <x:c r="C16" s="25" t="str">
        <x:v>Air</x:v>
      </x:c>
      <x:c r="D16" s="25" t="str">
        <x:v>W</x:v>
      </x:c>
      <x:c r="E16" s="25" t="str">
        <x:v>Electrical</x:v>
      </x:c>
      <x:c r="F16" s="25" t="n">
        <x:v>32</x:v>
      </x:c>
      <x:c r="G16" s="25" t="n">
        <x:v>20000</x:v>
      </x:c>
      <x:c r="H16" s="25" t="n">
        <x:v>4</x:v>
      </x:c>
      <x:c r="I16" s="34" t="n">
        <x:v>0.1</x:v>
      </x:c>
      <x:c r="J16" s="25" t="n">
        <x:v>4</x:v>
      </x:c>
      <x:c r="K16" s="35" t="n">
        <x:f>F16*G16*H16*I16/J16/1000000</x:f>
        <x:v>0.064</x:v>
      </x:c>
      <x:c r="L16" s="35" t="n">
        <x:f>K16*Assumptions!C22*3600/1000000</x:f>
        <x:v>0.038707200000000004</x:v>
      </x:c>
      <x:c r="M16" s="25" t="str">
        <x:v>Air W Evidence Authority</x:v>
      </x:c>
      <x:c r="N16" s="27" t="str">
        <x:v>OPEN</x:v>
      </x:c>
    </x:row>
    <x:row r="17" ht="18" customHeight="1">
      <x:c r="B17" s="25" t="str">
        <x:v>AW-03</x:v>
      </x:c>
      <x:c r="C17" s="25" t="str">
        <x:v>Air</x:v>
      </x:c>
      <x:c r="D17" s="25" t="str">
        <x:v>W</x:v>
      </x:c>
      <x:c r="E17" s="25" t="str">
        <x:v>Fluid</x:v>
      </x:c>
      <x:c r="F17" s="25" t="n">
        <x:v>160</x:v>
      </x:c>
      <x:c r="G17" s="25" t="n">
        <x:v>100</x:v>
      </x:c>
      <x:c r="H17" s="25" t="n">
        <x:v>8</x:v>
      </x:c>
      <x:c r="I17" s="34" t="n">
        <x:v>0.5</x:v>
      </x:c>
      <x:c r="J17" s="25" t="n">
        <x:v>2</x:v>
      </x:c>
      <x:c r="K17" s="35" t="n">
        <x:f>F17*G17*H17*I17/J17/1000000</x:f>
        <x:v>0.032</x:v>
      </x:c>
      <x:c r="L17" s="35" t="n">
        <x:f>K17*Assumptions!C22*3600/1000000</x:f>
        <x:v>0.019353600000000002</x:v>
      </x:c>
      <x:c r="M17" s="25" t="str">
        <x:v>Air W Evidence Authority</x:v>
      </x:c>
      <x:c r="N17" s="27" t="str">
        <x:v>OPEN</x:v>
      </x:c>
    </x:row>
    <x:row r="18" ht="18" customHeight="1">
      <x:c r="B18" s="25" t="str">
        <x:v>AW-04</x:v>
      </x:c>
      <x:c r="C18" s="25" t="str">
        <x:v>Air</x:v>
      </x:c>
      <x:c r="D18" s="25" t="str">
        <x:v>W</x:v>
      </x:c>
      <x:c r="E18" s="25" t="str">
        <x:v>Thermal</x:v>
      </x:c>
      <x:c r="F18" s="25" t="n">
        <x:v>48</x:v>
      </x:c>
      <x:c r="G18" s="25" t="n">
        <x:v>10</x:v>
      </x:c>
      <x:c r="H18" s="25" t="n">
        <x:v>8</x:v>
      </x:c>
      <x:c r="I18" s="34" t="n">
        <x:v>1</x:v>
      </x:c>
      <x:c r="J18" s="25" t="n">
        <x:v>2</x:v>
      </x:c>
      <x:c r="K18" s="35" t="n">
        <x:f>F18*G18*H18*I18/J18/1000000</x:f>
        <x:v>0.00192</x:v>
      </x:c>
      <x:c r="L18" s="35" t="n">
        <x:f>K18*Assumptions!C22*3600/1000000</x:f>
        <x:v>0.001161216</x:v>
      </x:c>
      <x:c r="M18" s="25" t="str">
        <x:v>Air W Evidence Authority</x:v>
      </x:c>
      <x:c r="N18" s="27" t="str">
        <x:v>OPEN</x:v>
      </x:c>
    </x:row>
    <x:row r="19" ht="18" customHeight="1">
      <x:c r="B19" s="25" t="str">
        <x:v>AW-05</x:v>
      </x:c>
      <x:c r="C19" s="25" t="str">
        <x:v>Air</x:v>
      </x:c>
      <x:c r="D19" s="25" t="str">
        <x:v>W</x:v>
      </x:c>
      <x:c r="E19" s="25" t="str">
        <x:v>Motion and geometry</x:v>
      </x:c>
      <x:c r="F19" s="25" t="n">
        <x:v>16</x:v>
      </x:c>
      <x:c r="G19" s="25" t="n">
        <x:v>200</x:v>
      </x:c>
      <x:c r="H19" s="25" t="n">
        <x:v>8</x:v>
      </x:c>
      <x:c r="I19" s="34" t="n">
        <x:v>0.5</x:v>
      </x:c>
      <x:c r="J19" s="25" t="n">
        <x:v>4</x:v>
      </x:c>
      <x:c r="K19" s="35" t="n">
        <x:f>F19*G19*H19*I19/J19/1000000</x:f>
        <x:v>0.0032</x:v>
      </x:c>
      <x:c r="L19" s="35" t="n">
        <x:f>K19*Assumptions!C22*3600/1000000</x:f>
        <x:v>0.0019353600000000003</x:v>
      </x:c>
      <x:c r="M19" s="25" t="str">
        <x:v>Air W Evidence Authority</x:v>
      </x:c>
      <x:c r="N19" s="27" t="str">
        <x:v>OPEN</x:v>
      </x:c>
    </x:row>
    <x:row r="20" ht="18" customHeight="1">
      <x:c r="B20" s="25" t="str">
        <x:v>AW-06</x:v>
      </x:c>
      <x:c r="C20" s="25" t="str">
        <x:v>Air</x:v>
      </x:c>
      <x:c r="D20" s="25" t="str">
        <x:v>W</x:v>
      </x:c>
      <x:c r="E20" s="25" t="str">
        <x:v>State and software</x:v>
      </x:c>
      <x:c r="F20" s="25" t="n">
        <x:v>96</x:v>
      </x:c>
      <x:c r="G20" s="25" t="n">
        <x:v>10</x:v>
      </x:c>
      <x:c r="H20" s="25" t="n">
        <x:v>16</x:v>
      </x:c>
      <x:c r="I20" s="34" t="n">
        <x:v>1</x:v>
      </x:c>
      <x:c r="J20" s="25" t="n">
        <x:v>4</x:v>
      </x:c>
      <x:c r="K20" s="35" t="n">
        <x:f>F20*G20*H20*I20/J20/1000000</x:f>
        <x:v>0.00384</x:v>
      </x:c>
      <x:c r="L20" s="35" t="n">
        <x:f>K20*Assumptions!C22*3600/1000000</x:f>
        <x:v>0.002322432</x:v>
      </x:c>
      <x:c r="M20" s="25" t="str">
        <x:v>Air W Evidence Authority</x:v>
      </x:c>
      <x:c r="N20" s="27" t="str">
        <x:v>OPEN</x:v>
      </x:c>
    </x:row>
    <x:row r="21" ht="18" customHeight="1">
      <x:c r="B21" s="25" t="str">
        <x:v>AW-07</x:v>
      </x:c>
      <x:c r="C21" s="25" t="str">
        <x:v>Air</x:v>
      </x:c>
      <x:c r="D21" s="25" t="str">
        <x:v>W</x:v>
      </x:c>
      <x:c r="E21" s="25" t="str">
        <x:v>Public effect</x:v>
      </x:c>
      <x:c r="F21" s="25" t="n">
        <x:v>32</x:v>
      </x:c>
      <x:c r="G21" s="25" t="n">
        <x:v>1</x:v>
      </x:c>
      <x:c r="H21" s="25" t="n">
        <x:v>32</x:v>
      </x:c>
      <x:c r="I21" s="34" t="n">
        <x:v>1</x:v>
      </x:c>
      <x:c r="J21" s="25" t="n">
        <x:v>2</x:v>
      </x:c>
      <x:c r="K21" s="35" t="n">
        <x:f>F21*G21*H21*I21/J21/1000000</x:f>
        <x:v>0.000512</x:v>
      </x:c>
      <x:c r="L21" s="35" t="n">
        <x:f>K21*Assumptions!C22*3600/1000000</x:f>
        <x:v>0.0003096576</x:v>
      </x:c>
      <x:c r="M21" s="25" t="str">
        <x:v>Air W Evidence Authority</x:v>
      </x:c>
      <x:c r="N21" s="27" t="str">
        <x:v>OPEN</x:v>
      </x:c>
    </x:row>
    <x:row r="22" ht="18" customHeight="1">
      <x:c r="B22" s="25" t="str">
        <x:v>AW-08</x:v>
      </x:c>
      <x:c r="C22" s="25" t="str">
        <x:v>Air</x:v>
      </x:c>
      <x:c r="D22" s="25" t="str">
        <x:v>W</x:v>
      </x:c>
      <x:c r="E22" s="25" t="str">
        <x:v>Media and acoustic</x:v>
      </x:c>
      <x:c r="F22" s="25" t="n">
        <x:v>12</x:v>
      </x:c>
      <x:c r="G22" s="25" t="n">
        <x:v>1</x:v>
      </x:c>
      <x:c r="H22" s="25" t="n">
        <x:v>500000</x:v>
      </x:c>
      <x:c r="I22" s="34" t="n">
        <x:v>0.25</x:v>
      </x:c>
      <x:c r="J22" s="25" t="n">
        <x:v>1</x:v>
      </x:c>
      <x:c r="K22" s="35" t="n">
        <x:f>F22*G22*H22*I22/J22/1000000</x:f>
        <x:v>1.5</x:v>
      </x:c>
      <x:c r="L22" s="35" t="n">
        <x:f>K22*Assumptions!C22*3600/1000000</x:f>
        <x:v>0.9072</x:v>
      </x:c>
      <x:c r="M22" s="25" t="str">
        <x:v>Air W Evidence Authority</x:v>
      </x:c>
      <x:c r="N22" s="27" t="str">
        <x:v>OPEN</x:v>
      </x:c>
    </x:row>
    <x:row r="23" ht="18" customHeight="1">
      <x:c r="B23" s="25" t="str">
        <x:v>AT-01</x:v>
      </x:c>
      <x:c r="C23" s="25" t="str">
        <x:v>Air</x:v>
      </x:c>
      <x:c r="D23" s="25" t="str">
        <x:v>T</x:v>
      </x:c>
      <x:c r="E23" s="25" t="str">
        <x:v>Structural</x:v>
      </x:c>
      <x:c r="F23" s="25" t="n">
        <x:v>48</x:v>
      </x:c>
      <x:c r="G23" s="25" t="n">
        <x:v>2000</x:v>
      </x:c>
      <x:c r="H23" s="25" t="n">
        <x:v>4</x:v>
      </x:c>
      <x:c r="I23" s="34" t="n">
        <x:v>0.25</x:v>
      </x:c>
      <x:c r="J23" s="25" t="n">
        <x:v>2</x:v>
      </x:c>
      <x:c r="K23" s="35" t="n">
        <x:f>F23*G23*H23*I23/J23/1000000</x:f>
        <x:v>0.048</x:v>
      </x:c>
      <x:c r="L23" s="35" t="n">
        <x:f>K23*Assumptions!C22*3600/1000000</x:f>
        <x:v>0.0290304</x:v>
      </x:c>
      <x:c r="M23" s="25" t="str">
        <x:v>Air T Evidence Authority</x:v>
      </x:c>
      <x:c r="N23" s="27" t="str">
        <x:v>OPEN</x:v>
      </x:c>
    </x:row>
    <x:row r="24" ht="18" customHeight="1">
      <x:c r="B24" s="25" t="str">
        <x:v>AT-02</x:v>
      </x:c>
      <x:c r="C24" s="25" t="str">
        <x:v>Air</x:v>
      </x:c>
      <x:c r="D24" s="25" t="str">
        <x:v>T</x:v>
      </x:c>
      <x:c r="E24" s="25" t="str">
        <x:v>Electrical</x:v>
      </x:c>
      <x:c r="F24" s="25" t="n">
        <x:v>48</x:v>
      </x:c>
      <x:c r="G24" s="25" t="n">
        <x:v>20000</x:v>
      </x:c>
      <x:c r="H24" s="25" t="n">
        <x:v>4</x:v>
      </x:c>
      <x:c r="I24" s="34" t="n">
        <x:v>0.1</x:v>
      </x:c>
      <x:c r="J24" s="25" t="n">
        <x:v>4</x:v>
      </x:c>
      <x:c r="K24" s="35" t="n">
        <x:f>F24*G24*H24*I24/J24/1000000</x:f>
        <x:v>0.096</x:v>
      </x:c>
      <x:c r="L24" s="35" t="n">
        <x:f>K24*Assumptions!C22*3600/1000000</x:f>
        <x:v>0.0580608</x:v>
      </x:c>
      <x:c r="M24" s="25" t="str">
        <x:v>Air T Evidence Authority</x:v>
      </x:c>
      <x:c r="N24" s="27" t="str">
        <x:v>OPEN</x:v>
      </x:c>
    </x:row>
    <x:row r="25" ht="18" customHeight="1">
      <x:c r="B25" s="25" t="str">
        <x:v>AT-03</x:v>
      </x:c>
      <x:c r="C25" s="25" t="str">
        <x:v>Air</x:v>
      </x:c>
      <x:c r="D25" s="25" t="str">
        <x:v>T</x:v>
      </x:c>
      <x:c r="E25" s="25" t="str">
        <x:v>Fluid</x:v>
      </x:c>
      <x:c r="F25" s="25" t="n">
        <x:v>96</x:v>
      </x:c>
      <x:c r="G25" s="25" t="n">
        <x:v>100</x:v>
      </x:c>
      <x:c r="H25" s="25" t="n">
        <x:v>8</x:v>
      </x:c>
      <x:c r="I25" s="34" t="n">
        <x:v>0.5</x:v>
      </x:c>
      <x:c r="J25" s="25" t="n">
        <x:v>2</x:v>
      </x:c>
      <x:c r="K25" s="35" t="n">
        <x:f>F25*G25*H25*I25/J25/1000000</x:f>
        <x:v>0.0192</x:v>
      </x:c>
      <x:c r="L25" s="35" t="n">
        <x:f>K25*Assumptions!C22*3600/1000000</x:f>
        <x:v>0.011612159999999998</x:v>
      </x:c>
      <x:c r="M25" s="25" t="str">
        <x:v>Air T Evidence Authority</x:v>
      </x:c>
      <x:c r="N25" s="27" t="str">
        <x:v>OPEN</x:v>
      </x:c>
    </x:row>
    <x:row r="26" ht="18" customHeight="1">
      <x:c r="B26" s="25" t="str">
        <x:v>AT-04</x:v>
      </x:c>
      <x:c r="C26" s="25" t="str">
        <x:v>Air</x:v>
      </x:c>
      <x:c r="D26" s="25" t="str">
        <x:v>T</x:v>
      </x:c>
      <x:c r="E26" s="25" t="str">
        <x:v>Thermal</x:v>
      </x:c>
      <x:c r="F26" s="25" t="n">
        <x:v>160</x:v>
      </x:c>
      <x:c r="G26" s="25" t="n">
        <x:v>10</x:v>
      </x:c>
      <x:c r="H26" s="25" t="n">
        <x:v>8</x:v>
      </x:c>
      <x:c r="I26" s="34" t="n">
        <x:v>1</x:v>
      </x:c>
      <x:c r="J26" s="25" t="n">
        <x:v>2</x:v>
      </x:c>
      <x:c r="K26" s="35" t="n">
        <x:f>F26*G26*H26*I26/J26/1000000</x:f>
        <x:v>0.0064</x:v>
      </x:c>
      <x:c r="L26" s="35" t="n">
        <x:f>K26*Assumptions!C22*3600/1000000</x:f>
        <x:v>0.0038707200000000007</x:v>
      </x:c>
      <x:c r="M26" s="25" t="str">
        <x:v>Air T Evidence Authority</x:v>
      </x:c>
      <x:c r="N26" s="27" t="str">
        <x:v>OPEN</x:v>
      </x:c>
    </x:row>
    <x:row r="27" ht="18" customHeight="1">
      <x:c r="B27" s="25" t="str">
        <x:v>AT-05</x:v>
      </x:c>
      <x:c r="C27" s="25" t="str">
        <x:v>Air</x:v>
      </x:c>
      <x:c r="D27" s="25" t="str">
        <x:v>T</x:v>
      </x:c>
      <x:c r="E27" s="25" t="str">
        <x:v>Motion and geometry</x:v>
      </x:c>
      <x:c r="F27" s="25" t="n">
        <x:v>32</x:v>
      </x:c>
      <x:c r="G27" s="25" t="n">
        <x:v>200</x:v>
      </x:c>
      <x:c r="H27" s="25" t="n">
        <x:v>8</x:v>
      </x:c>
      <x:c r="I27" s="34" t="n">
        <x:v>0.5</x:v>
      </x:c>
      <x:c r="J27" s="25" t="n">
        <x:v>4</x:v>
      </x:c>
      <x:c r="K27" s="35" t="n">
        <x:f>F27*G27*H27*I27/J27/1000000</x:f>
        <x:v>0.0064</x:v>
      </x:c>
      <x:c r="L27" s="35" t="n">
        <x:f>K27*Assumptions!C22*3600/1000000</x:f>
        <x:v>0.0038707200000000007</x:v>
      </x:c>
      <x:c r="M27" s="25" t="str">
        <x:v>Air T Evidence Authority</x:v>
      </x:c>
      <x:c r="N27" s="27" t="str">
        <x:v>OPEN</x:v>
      </x:c>
    </x:row>
    <x:row r="28" ht="18" customHeight="1">
      <x:c r="B28" s="25" t="str">
        <x:v>AT-06</x:v>
      </x:c>
      <x:c r="C28" s="25" t="str">
        <x:v>Air</x:v>
      </x:c>
      <x:c r="D28" s="25" t="str">
        <x:v>T</x:v>
      </x:c>
      <x:c r="E28" s="25" t="str">
        <x:v>State and software</x:v>
      </x:c>
      <x:c r="F28" s="25" t="n">
        <x:v>96</x:v>
      </x:c>
      <x:c r="G28" s="25" t="n">
        <x:v>10</x:v>
      </x:c>
      <x:c r="H28" s="25" t="n">
        <x:v>16</x:v>
      </x:c>
      <x:c r="I28" s="34" t="n">
        <x:v>1</x:v>
      </x:c>
      <x:c r="J28" s="25" t="n">
        <x:v>4</x:v>
      </x:c>
      <x:c r="K28" s="35" t="n">
        <x:f>F28*G28*H28*I28/J28/1000000</x:f>
        <x:v>0.00384</x:v>
      </x:c>
      <x:c r="L28" s="35" t="n">
        <x:f>K28*Assumptions!C22*3600/1000000</x:f>
        <x:v>0.002322432</x:v>
      </x:c>
      <x:c r="M28" s="25" t="str">
        <x:v>Air T Evidence Authority</x:v>
      </x:c>
      <x:c r="N28" s="27" t="str">
        <x:v>OPEN</x:v>
      </x:c>
    </x:row>
    <x:row r="29" ht="18" customHeight="1">
      <x:c r="B29" s="25" t="str">
        <x:v>AT-07</x:v>
      </x:c>
      <x:c r="C29" s="25" t="str">
        <x:v>Air</x:v>
      </x:c>
      <x:c r="D29" s="25" t="str">
        <x:v>T</x:v>
      </x:c>
      <x:c r="E29" s="25" t="str">
        <x:v>Public effect</x:v>
      </x:c>
      <x:c r="F29" s="25" t="n">
        <x:v>24</x:v>
      </x:c>
      <x:c r="G29" s="25" t="n">
        <x:v>1</x:v>
      </x:c>
      <x:c r="H29" s="25" t="n">
        <x:v>32</x:v>
      </x:c>
      <x:c r="I29" s="34" t="n">
        <x:v>1</x:v>
      </x:c>
      <x:c r="J29" s="25" t="n">
        <x:v>2</x:v>
      </x:c>
      <x:c r="K29" s="35" t="n">
        <x:f>F29*G29*H29*I29/J29/1000000</x:f>
        <x:v>0.000384</x:v>
      </x:c>
      <x:c r="L29" s="35" t="n">
        <x:f>K29*Assumptions!C22*3600/1000000</x:f>
        <x:v>0.0002322432</x:v>
      </x:c>
      <x:c r="M29" s="25" t="str">
        <x:v>Air T Evidence Authority</x:v>
      </x:c>
      <x:c r="N29" s="27" t="str">
        <x:v>OPEN</x:v>
      </x:c>
    </x:row>
    <x:row r="30" ht="18" customHeight="1">
      <x:c r="B30" s="25" t="str">
        <x:v>AT-08</x:v>
      </x:c>
      <x:c r="C30" s="25" t="str">
        <x:v>Air</x:v>
      </x:c>
      <x:c r="D30" s="25" t="str">
        <x:v>T</x:v>
      </x:c>
      <x:c r="E30" s="25" t="str">
        <x:v>Media and acoustic</x:v>
      </x:c>
      <x:c r="F30" s="25" t="n">
        <x:v>16</x:v>
      </x:c>
      <x:c r="G30" s="25" t="n">
        <x:v>1</x:v>
      </x:c>
      <x:c r="H30" s="25" t="n">
        <x:v>500000</x:v>
      </x:c>
      <x:c r="I30" s="34" t="n">
        <x:v>0.25</x:v>
      </x:c>
      <x:c r="J30" s="25" t="n">
        <x:v>1</x:v>
      </x:c>
      <x:c r="K30" s="35" t="n">
        <x:f>F30*G30*H30*I30/J30/1000000</x:f>
        <x:v>2</x:v>
      </x:c>
      <x:c r="L30" s="35" t="n">
        <x:f>K30*Assumptions!C22*3600/1000000</x:f>
        <x:v>1.2096</x:v>
      </x:c>
      <x:c r="M30" s="25" t="str">
        <x:v>Air T Evidence Authority</x:v>
      </x:c>
      <x:c r="N30" s="27" t="str">
        <x:v>OPEN</x:v>
      </x:c>
    </x:row>
    <x:row r="31" ht="18" customHeight="1">
      <x:c r="B31" s="25" t="str">
        <x:v>AD-01</x:v>
      </x:c>
      <x:c r="C31" s="25" t="str">
        <x:v>Air</x:v>
      </x:c>
      <x:c r="D31" s="25" t="str">
        <x:v>D</x:v>
      </x:c>
      <x:c r="E31" s="25" t="str">
        <x:v>Structural</x:v>
      </x:c>
      <x:c r="F31" s="25" t="n">
        <x:v>64</x:v>
      </x:c>
      <x:c r="G31" s="25" t="n">
        <x:v>2000</x:v>
      </x:c>
      <x:c r="H31" s="25" t="n">
        <x:v>4</x:v>
      </x:c>
      <x:c r="I31" s="34" t="n">
        <x:v>0.25</x:v>
      </x:c>
      <x:c r="J31" s="25" t="n">
        <x:v>2</x:v>
      </x:c>
      <x:c r="K31" s="35" t="n">
        <x:f>F31*G31*H31*I31/J31/1000000</x:f>
        <x:v>0.064</x:v>
      </x:c>
      <x:c r="L31" s="35" t="n">
        <x:f>K31*Assumptions!C22*3600/1000000</x:f>
        <x:v>0.038707200000000004</x:v>
      </x:c>
      <x:c r="M31" s="25" t="str">
        <x:v>Air D Evidence Authority</x:v>
      </x:c>
      <x:c r="N31" s="27" t="str">
        <x:v>OPEN</x:v>
      </x:c>
    </x:row>
    <x:row r="32" ht="18" customHeight="1">
      <x:c r="B32" s="25" t="str">
        <x:v>AD-02</x:v>
      </x:c>
      <x:c r="C32" s="25" t="str">
        <x:v>Air</x:v>
      </x:c>
      <x:c r="D32" s="25" t="str">
        <x:v>D</x:v>
      </x:c>
      <x:c r="E32" s="25" t="str">
        <x:v>Electrical</x:v>
      </x:c>
      <x:c r="F32" s="25" t="n">
        <x:v>96</x:v>
      </x:c>
      <x:c r="G32" s="25" t="n">
        <x:v>20000</x:v>
      </x:c>
      <x:c r="H32" s="25" t="n">
        <x:v>4</x:v>
      </x:c>
      <x:c r="I32" s="34" t="n">
        <x:v>0.1</x:v>
      </x:c>
      <x:c r="J32" s="25" t="n">
        <x:v>4</x:v>
      </x:c>
      <x:c r="K32" s="35" t="n">
        <x:f>F32*G32*H32*I32/J32/1000000</x:f>
        <x:v>0.192</x:v>
      </x:c>
      <x:c r="L32" s="35" t="n">
        <x:f>K32*Assumptions!C22*3600/1000000</x:f>
        <x:v>0.1161216</x:v>
      </x:c>
      <x:c r="M32" s="25" t="str">
        <x:v>Air D Evidence Authority</x:v>
      </x:c>
      <x:c r="N32" s="27" t="str">
        <x:v>OPEN</x:v>
      </x:c>
    </x:row>
    <x:row r="33" ht="18" customHeight="1">
      <x:c r="B33" s="25" t="str">
        <x:v>AD-03</x:v>
      </x:c>
      <x:c r="C33" s="25" t="str">
        <x:v>Air</x:v>
      </x:c>
      <x:c r="D33" s="25" t="str">
        <x:v>D</x:v>
      </x:c>
      <x:c r="E33" s="25" t="str">
        <x:v>Fluid</x:v>
      </x:c>
      <x:c r="F33" s="25" t="n">
        <x:v>96</x:v>
      </x:c>
      <x:c r="G33" s="25" t="n">
        <x:v>100</x:v>
      </x:c>
      <x:c r="H33" s="25" t="n">
        <x:v>8</x:v>
      </x:c>
      <x:c r="I33" s="34" t="n">
        <x:v>0.5</x:v>
      </x:c>
      <x:c r="J33" s="25" t="n">
        <x:v>2</x:v>
      </x:c>
      <x:c r="K33" s="35" t="n">
        <x:f>F33*G33*H33*I33/J33/1000000</x:f>
        <x:v>0.0192</x:v>
      </x:c>
      <x:c r="L33" s="35" t="n">
        <x:f>K33*Assumptions!C22*3600/1000000</x:f>
        <x:v>0.011612159999999998</x:v>
      </x:c>
      <x:c r="M33" s="25" t="str">
        <x:v>Air D Evidence Authority</x:v>
      </x:c>
      <x:c r="N33" s="27" t="str">
        <x:v>OPEN</x:v>
      </x:c>
    </x:row>
    <x:row r="34" ht="18" customHeight="1">
      <x:c r="B34" s="25" t="str">
        <x:v>AD-04</x:v>
      </x:c>
      <x:c r="C34" s="25" t="str">
        <x:v>Air</x:v>
      </x:c>
      <x:c r="D34" s="25" t="str">
        <x:v>D</x:v>
      </x:c>
      <x:c r="E34" s="25" t="str">
        <x:v>Thermal</x:v>
      </x:c>
      <x:c r="F34" s="25" t="n">
        <x:v>32</x:v>
      </x:c>
      <x:c r="G34" s="25" t="n">
        <x:v>10</x:v>
      </x:c>
      <x:c r="H34" s="25" t="n">
        <x:v>8</x:v>
      </x:c>
      <x:c r="I34" s="34" t="n">
        <x:v>1</x:v>
      </x:c>
      <x:c r="J34" s="25" t="n">
        <x:v>2</x:v>
      </x:c>
      <x:c r="K34" s="35" t="n">
        <x:f>F34*G34*H34*I34/J34/1000000</x:f>
        <x:v>0.00128</x:v>
      </x:c>
      <x:c r="L34" s="35" t="n">
        <x:f>K34*Assumptions!C22*3600/1000000</x:f>
        <x:v>0.000774144</x:v>
      </x:c>
      <x:c r="M34" s="25" t="str">
        <x:v>Air D Evidence Authority</x:v>
      </x:c>
      <x:c r="N34" s="27" t="str">
        <x:v>OPEN</x:v>
      </x:c>
    </x:row>
    <x:row r="35" ht="18" customHeight="1">
      <x:c r="B35" s="25" t="str">
        <x:v>AD-05</x:v>
      </x:c>
      <x:c r="C35" s="25" t="str">
        <x:v>Air</x:v>
      </x:c>
      <x:c r="D35" s="25" t="str">
        <x:v>D</x:v>
      </x:c>
      <x:c r="E35" s="25" t="str">
        <x:v>Motion and geometry</x:v>
      </x:c>
      <x:c r="F35" s="25" t="n">
        <x:v>128</x:v>
      </x:c>
      <x:c r="G35" s="25" t="n">
        <x:v>200</x:v>
      </x:c>
      <x:c r="H35" s="25" t="n">
        <x:v>8</x:v>
      </x:c>
      <x:c r="I35" s="34" t="n">
        <x:v>0.5</x:v>
      </x:c>
      <x:c r="J35" s="25" t="n">
        <x:v>4</x:v>
      </x:c>
      <x:c r="K35" s="35" t="n">
        <x:f>F35*G35*H35*I35/J35/1000000</x:f>
        <x:v>0.0256</x:v>
      </x:c>
      <x:c r="L35" s="35" t="n">
        <x:f>K35*Assumptions!C22*3600/1000000</x:f>
        <x:v>0.015482880000000003</x:v>
      </x:c>
      <x:c r="M35" s="25" t="str">
        <x:v>Air D Evidence Authority</x:v>
      </x:c>
      <x:c r="N35" s="27" t="str">
        <x:v>OPEN</x:v>
      </x:c>
    </x:row>
    <x:row r="36" ht="18" customHeight="1">
      <x:c r="B36" s="25" t="str">
        <x:v>AD-06</x:v>
      </x:c>
      <x:c r="C36" s="25" t="str">
        <x:v>Air</x:v>
      </x:c>
      <x:c r="D36" s="25" t="str">
        <x:v>D</x:v>
      </x:c>
      <x:c r="E36" s="25" t="str">
        <x:v>State and software</x:v>
      </x:c>
      <x:c r="F36" s="25" t="n">
        <x:v>128</x:v>
      </x:c>
      <x:c r="G36" s="25" t="n">
        <x:v>10</x:v>
      </x:c>
      <x:c r="H36" s="25" t="n">
        <x:v>16</x:v>
      </x:c>
      <x:c r="I36" s="34" t="n">
        <x:v>1</x:v>
      </x:c>
      <x:c r="J36" s="25" t="n">
        <x:v>4</x:v>
      </x:c>
      <x:c r="K36" s="35" t="n">
        <x:f>F36*G36*H36*I36/J36/1000000</x:f>
        <x:v>0.00512</x:v>
      </x:c>
      <x:c r="L36" s="35" t="n">
        <x:f>K36*Assumptions!C22*3600/1000000</x:f>
        <x:v>0.003096576</x:v>
      </x:c>
      <x:c r="M36" s="25" t="str">
        <x:v>Air D Evidence Authority</x:v>
      </x:c>
      <x:c r="N36" s="27" t="str">
        <x:v>OPEN</x:v>
      </x:c>
    </x:row>
    <x:row r="37" ht="18" customHeight="1">
      <x:c r="B37" s="25" t="str">
        <x:v>AD-07</x:v>
      </x:c>
      <x:c r="C37" s="25" t="str">
        <x:v>Air</x:v>
      </x:c>
      <x:c r="D37" s="25" t="str">
        <x:v>D</x:v>
      </x:c>
      <x:c r="E37" s="25" t="str">
        <x:v>Public effect</x:v>
      </x:c>
      <x:c r="F37" s="25" t="n">
        <x:v>24</x:v>
      </x:c>
      <x:c r="G37" s="25" t="n">
        <x:v>1</x:v>
      </x:c>
      <x:c r="H37" s="25" t="n">
        <x:v>32</x:v>
      </x:c>
      <x:c r="I37" s="34" t="n">
        <x:v>1</x:v>
      </x:c>
      <x:c r="J37" s="25" t="n">
        <x:v>2</x:v>
      </x:c>
      <x:c r="K37" s="35" t="n">
        <x:f>F37*G37*H37*I37/J37/1000000</x:f>
        <x:v>0.000384</x:v>
      </x:c>
      <x:c r="L37" s="35" t="n">
        <x:f>K37*Assumptions!C22*3600/1000000</x:f>
        <x:v>0.0002322432</x:v>
      </x:c>
      <x:c r="M37" s="25" t="str">
        <x:v>Air D Evidence Authority</x:v>
      </x:c>
      <x:c r="N37" s="27" t="str">
        <x:v>OPEN</x:v>
      </x:c>
    </x:row>
    <x:row r="38" ht="18" customHeight="1">
      <x:c r="B38" s="25" t="str">
        <x:v>AD-08</x:v>
      </x:c>
      <x:c r="C38" s="25" t="str">
        <x:v>Air</x:v>
      </x:c>
      <x:c r="D38" s="25" t="str">
        <x:v>D</x:v>
      </x:c>
      <x:c r="E38" s="25" t="str">
        <x:v>Media and acoustic</x:v>
      </x:c>
      <x:c r="F38" s="25" t="n">
        <x:v>24</x:v>
      </x:c>
      <x:c r="G38" s="25" t="n">
        <x:v>1</x:v>
      </x:c>
      <x:c r="H38" s="25" t="n">
        <x:v>500000</x:v>
      </x:c>
      <x:c r="I38" s="34" t="n">
        <x:v>0.25</x:v>
      </x:c>
      <x:c r="J38" s="25" t="n">
        <x:v>1</x:v>
      </x:c>
      <x:c r="K38" s="35" t="n">
        <x:f>F38*G38*H38*I38/J38/1000000</x:f>
        <x:v>3</x:v>
      </x:c>
      <x:c r="L38" s="35" t="n">
        <x:f>K38*Assumptions!C22*3600/1000000</x:f>
        <x:v>1.8144</x:v>
      </x:c>
      <x:c r="M38" s="25" t="str">
        <x:v>Air D Evidence Authority</x:v>
      </x:c>
      <x:c r="N38" s="27" t="str">
        <x:v>OPEN</x:v>
      </x:c>
    </x:row>
    <x:row r="39" ht="18" customHeight="1">
      <x:c r="B39" s="25" t="str">
        <x:v>AC-01</x:v>
      </x:c>
      <x:c r="C39" s="25" t="str">
        <x:v>Air</x:v>
      </x:c>
      <x:c r="D39" s="25" t="str">
        <x:v>C</x:v>
      </x:c>
      <x:c r="E39" s="25" t="str">
        <x:v>Structural</x:v>
      </x:c>
      <x:c r="F39" s="25" t="n">
        <x:v>24</x:v>
      </x:c>
      <x:c r="G39" s="25" t="n">
        <x:v>2000</x:v>
      </x:c>
      <x:c r="H39" s="25" t="n">
        <x:v>4</x:v>
      </x:c>
      <x:c r="I39" s="34" t="n">
        <x:v>0.25</x:v>
      </x:c>
      <x:c r="J39" s="25" t="n">
        <x:v>2</x:v>
      </x:c>
      <x:c r="K39" s="35" t="n">
        <x:f>F39*G39*H39*I39/J39/1000000</x:f>
        <x:v>0.024</x:v>
      </x:c>
      <x:c r="L39" s="35" t="n">
        <x:f>K39*Assumptions!C22*3600/1000000</x:f>
        <x:v>0.0145152</x:v>
      </x:c>
      <x:c r="M39" s="25" t="str">
        <x:v>Air C Evidence Authority</x:v>
      </x:c>
      <x:c r="N39" s="27" t="str">
        <x:v>OPEN</x:v>
      </x:c>
    </x:row>
    <x:row r="40" ht="18" customHeight="1">
      <x:c r="B40" s="25" t="str">
        <x:v>AC-02</x:v>
      </x:c>
      <x:c r="C40" s="25" t="str">
        <x:v>Air</x:v>
      </x:c>
      <x:c r="D40" s="25" t="str">
        <x:v>C</x:v>
      </x:c>
      <x:c r="E40" s="25" t="str">
        <x:v>Electrical</x:v>
      </x:c>
      <x:c r="F40" s="25" t="n">
        <x:v>24</x:v>
      </x:c>
      <x:c r="G40" s="25" t="n">
        <x:v>20000</x:v>
      </x:c>
      <x:c r="H40" s="25" t="n">
        <x:v>4</x:v>
      </x:c>
      <x:c r="I40" s="34" t="n">
        <x:v>0.1</x:v>
      </x:c>
      <x:c r="J40" s="25" t="n">
        <x:v>4</x:v>
      </x:c>
      <x:c r="K40" s="35" t="n">
        <x:f>F40*G40*H40*I40/J40/1000000</x:f>
        <x:v>0.048</x:v>
      </x:c>
      <x:c r="L40" s="35" t="n">
        <x:f>K40*Assumptions!C22*3600/1000000</x:f>
        <x:v>0.0290304</x:v>
      </x:c>
      <x:c r="M40" s="25" t="str">
        <x:v>Air C Evidence Authority</x:v>
      </x:c>
      <x:c r="N40" s="27" t="str">
        <x:v>OPEN</x:v>
      </x:c>
    </x:row>
    <x:row r="41" ht="18" customHeight="1">
      <x:c r="B41" s="25" t="str">
        <x:v>AC-03</x:v>
      </x:c>
      <x:c r="C41" s="25" t="str">
        <x:v>Air</x:v>
      </x:c>
      <x:c r="D41" s="25" t="str">
        <x:v>C</x:v>
      </x:c>
      <x:c r="E41" s="25" t="str">
        <x:v>Fluid</x:v>
      </x:c>
      <x:c r="F41" s="25" t="n">
        <x:v>32</x:v>
      </x:c>
      <x:c r="G41" s="25" t="n">
        <x:v>100</x:v>
      </x:c>
      <x:c r="H41" s="25" t="n">
        <x:v>8</x:v>
      </x:c>
      <x:c r="I41" s="34" t="n">
        <x:v>0.5</x:v>
      </x:c>
      <x:c r="J41" s="25" t="n">
        <x:v>2</x:v>
      </x:c>
      <x:c r="K41" s="35" t="n">
        <x:f>F41*G41*H41*I41/J41/1000000</x:f>
        <x:v>0.0064</x:v>
      </x:c>
      <x:c r="L41" s="35" t="n">
        <x:f>K41*Assumptions!C22*3600/1000000</x:f>
        <x:v>0.0038707200000000007</x:v>
      </x:c>
      <x:c r="M41" s="25" t="str">
        <x:v>Air C Evidence Authority</x:v>
      </x:c>
      <x:c r="N41" s="27" t="str">
        <x:v>OPEN</x:v>
      </x:c>
    </x:row>
    <x:row r="42" ht="18" customHeight="1">
      <x:c r="B42" s="25" t="str">
        <x:v>AC-04</x:v>
      </x:c>
      <x:c r="C42" s="25" t="str">
        <x:v>Air</x:v>
      </x:c>
      <x:c r="D42" s="25" t="str">
        <x:v>C</x:v>
      </x:c>
      <x:c r="E42" s="25" t="str">
        <x:v>Thermal</x:v>
      </x:c>
      <x:c r="F42" s="25" t="n">
        <x:v>48</x:v>
      </x:c>
      <x:c r="G42" s="25" t="n">
        <x:v>10</x:v>
      </x:c>
      <x:c r="H42" s="25" t="n">
        <x:v>8</x:v>
      </x:c>
      <x:c r="I42" s="34" t="n">
        <x:v>1</x:v>
      </x:c>
      <x:c r="J42" s="25" t="n">
        <x:v>2</x:v>
      </x:c>
      <x:c r="K42" s="35" t="n">
        <x:f>F42*G42*H42*I42/J42/1000000</x:f>
        <x:v>0.00192</x:v>
      </x:c>
      <x:c r="L42" s="35" t="n">
        <x:f>K42*Assumptions!C22*3600/1000000</x:f>
        <x:v>0.001161216</x:v>
      </x:c>
      <x:c r="M42" s="25" t="str">
        <x:v>Air C Evidence Authority</x:v>
      </x:c>
      <x:c r="N42" s="27" t="str">
        <x:v>OPEN</x:v>
      </x:c>
    </x:row>
    <x:row r="43" ht="18" customHeight="1">
      <x:c r="B43" s="25" t="str">
        <x:v>AC-05</x:v>
      </x:c>
      <x:c r="C43" s="25" t="str">
        <x:v>Air</x:v>
      </x:c>
      <x:c r="D43" s="25" t="str">
        <x:v>C</x:v>
      </x:c>
      <x:c r="E43" s="25" t="str">
        <x:v>Motion and geometry</x:v>
      </x:c>
      <x:c r="F43" s="25" t="n">
        <x:v>96</x:v>
      </x:c>
      <x:c r="G43" s="25" t="n">
        <x:v>200</x:v>
      </x:c>
      <x:c r="H43" s="25" t="n">
        <x:v>8</x:v>
      </x:c>
      <x:c r="I43" s="34" t="n">
        <x:v>0.5</x:v>
      </x:c>
      <x:c r="J43" s="25" t="n">
        <x:v>4</x:v>
      </x:c>
      <x:c r="K43" s="35" t="n">
        <x:f>F43*G43*H43*I43/J43/1000000</x:f>
        <x:v>0.0192</x:v>
      </x:c>
      <x:c r="L43" s="35" t="n">
        <x:f>K43*Assumptions!C22*3600/1000000</x:f>
        <x:v>0.011612159999999998</x:v>
      </x:c>
      <x:c r="M43" s="25" t="str">
        <x:v>Air C Evidence Authority</x:v>
      </x:c>
      <x:c r="N43" s="27" t="str">
        <x:v>OPEN</x:v>
      </x:c>
    </x:row>
    <x:row r="44" ht="18" customHeight="1">
      <x:c r="B44" s="25" t="str">
        <x:v>AC-06</x:v>
      </x:c>
      <x:c r="C44" s="25" t="str">
        <x:v>Air</x:v>
      </x:c>
      <x:c r="D44" s="25" t="str">
        <x:v>C</x:v>
      </x:c>
      <x:c r="E44" s="25" t="str">
        <x:v>State and software</x:v>
      </x:c>
      <x:c r="F44" s="25" t="n">
        <x:v>192</x:v>
      </x:c>
      <x:c r="G44" s="25" t="n">
        <x:v>10</x:v>
      </x:c>
      <x:c r="H44" s="25" t="n">
        <x:v>16</x:v>
      </x:c>
      <x:c r="I44" s="34" t="n">
        <x:v>1</x:v>
      </x:c>
      <x:c r="J44" s="25" t="n">
        <x:v>4</x:v>
      </x:c>
      <x:c r="K44" s="35" t="n">
        <x:f>F44*G44*H44*I44/J44/1000000</x:f>
        <x:v>0.00768</x:v>
      </x:c>
      <x:c r="L44" s="35" t="n">
        <x:f>K44*Assumptions!C22*3600/1000000</x:f>
        <x:v>0.004644864</x:v>
      </x:c>
      <x:c r="M44" s="25" t="str">
        <x:v>Air C Evidence Authority</x:v>
      </x:c>
      <x:c r="N44" s="27" t="str">
        <x:v>OPEN</x:v>
      </x:c>
    </x:row>
    <x:row r="45" ht="18" customHeight="1">
      <x:c r="B45" s="25" t="str">
        <x:v>AC-07</x:v>
      </x:c>
      <x:c r="C45" s="25" t="str">
        <x:v>Air</x:v>
      </x:c>
      <x:c r="D45" s="25" t="str">
        <x:v>C</x:v>
      </x:c>
      <x:c r="E45" s="25" t="str">
        <x:v>Public effect</x:v>
      </x:c>
      <x:c r="F45" s="25" t="n">
        <x:v>128</x:v>
      </x:c>
      <x:c r="G45" s="25" t="n">
        <x:v>1</x:v>
      </x:c>
      <x:c r="H45" s="25" t="n">
        <x:v>32</x:v>
      </x:c>
      <x:c r="I45" s="34" t="n">
        <x:v>1</x:v>
      </x:c>
      <x:c r="J45" s="25" t="n">
        <x:v>2</x:v>
      </x:c>
      <x:c r="K45" s="35" t="n">
        <x:f>F45*G45*H45*I45/J45/1000000</x:f>
        <x:v>0.002048</x:v>
      </x:c>
      <x:c r="L45" s="35" t="n">
        <x:f>K45*Assumptions!C22*3600/1000000</x:f>
        <x:v>0.0012386304</x:v>
      </x:c>
      <x:c r="M45" s="25" t="str">
        <x:v>Air C Evidence Authority</x:v>
      </x:c>
      <x:c r="N45" s="27" t="str">
        <x:v>OPEN</x:v>
      </x:c>
    </x:row>
    <x:row r="46" ht="18" customHeight="1">
      <x:c r="B46" s="25" t="str">
        <x:v>AC-08</x:v>
      </x:c>
      <x:c r="C46" s="25" t="str">
        <x:v>Air</x:v>
      </x:c>
      <x:c r="D46" s="25" t="str">
        <x:v>C</x:v>
      </x:c>
      <x:c r="E46" s="25" t="str">
        <x:v>Media and acoustic</x:v>
      </x:c>
      <x:c r="F46" s="25" t="n">
        <x:v>32</x:v>
      </x:c>
      <x:c r="G46" s="25" t="n">
        <x:v>1</x:v>
      </x:c>
      <x:c r="H46" s="25" t="n">
        <x:v>500000</x:v>
      </x:c>
      <x:c r="I46" s="34" t="n">
        <x:v>0.25</x:v>
      </x:c>
      <x:c r="J46" s="25" t="n">
        <x:v>1</x:v>
      </x:c>
      <x:c r="K46" s="35" t="n">
        <x:f>F46*G46*H46*I46/J46/1000000</x:f>
        <x:v>4</x:v>
      </x:c>
      <x:c r="L46" s="35" t="n">
        <x:f>K46*Assumptions!C22*3600/1000000</x:f>
        <x:v>2.4192</x:v>
      </x:c>
      <x:c r="M46" s="25" t="str">
        <x:v>Air C Evidence Authority</x:v>
      </x:c>
      <x:c r="N46" s="27" t="str">
        <x:v>OPEN</x:v>
      </x:c>
    </x:row>
    <x:row r="47" ht="18" customHeight="1">
      <x:c r="B47" s="25" t="str">
        <x:v>TE-01</x:v>
      </x:c>
      <x:c r="C47" s="25" t="str">
        <x:v>Terrain</x:v>
      </x:c>
      <x:c r="D47" s="25" t="str">
        <x:v>E</x:v>
      </x:c>
      <x:c r="E47" s="25" t="str">
        <x:v>Structural</x:v>
      </x:c>
      <x:c r="F47" s="25" t="n">
        <x:v>60</x:v>
      </x:c>
      <x:c r="G47" s="25" t="n">
        <x:v>2000</x:v>
      </x:c>
      <x:c r="H47" s="25" t="n">
        <x:v>4</x:v>
      </x:c>
      <x:c r="I47" s="34" t="n">
        <x:v>0.25</x:v>
      </x:c>
      <x:c r="J47" s="25" t="n">
        <x:v>2</x:v>
      </x:c>
      <x:c r="K47" s="35" t="n">
        <x:f>F47*G47*H47*I47/J47/1000000</x:f>
        <x:v>0.06</x:v>
      </x:c>
      <x:c r="L47" s="35" t="n">
        <x:f>K47*Assumptions!C22*3600/1000000</x:f>
        <x:v>0.036288</x:v>
      </x:c>
      <x:c r="M47" s="25" t="str">
        <x:v>Terrain E Evidence Authority</x:v>
      </x:c>
      <x:c r="N47" s="27" t="str">
        <x:v>OPEN</x:v>
      </x:c>
    </x:row>
    <x:row r="48" ht="18" customHeight="1">
      <x:c r="B48" s="25" t="str">
        <x:v>TE-02</x:v>
      </x:c>
      <x:c r="C48" s="25" t="str">
        <x:v>Terrain</x:v>
      </x:c>
      <x:c r="D48" s="25" t="str">
        <x:v>E</x:v>
      </x:c>
      <x:c r="E48" s="25" t="str">
        <x:v>Electrical</x:v>
      </x:c>
      <x:c r="F48" s="25" t="n">
        <x:v>101</x:v>
      </x:c>
      <x:c r="G48" s="25" t="n">
        <x:v>20000</x:v>
      </x:c>
      <x:c r="H48" s="25" t="n">
        <x:v>4</x:v>
      </x:c>
      <x:c r="I48" s="34" t="n">
        <x:v>0.1</x:v>
      </x:c>
      <x:c r="J48" s="25" t="n">
        <x:v>4</x:v>
      </x:c>
      <x:c r="K48" s="35" t="n">
        <x:f>F48*G48*H48*I48/J48/1000000</x:f>
        <x:v>0.202</x:v>
      </x:c>
      <x:c r="L48" s="35" t="n">
        <x:f>K48*Assumptions!C22*3600/1000000</x:f>
        <x:v>0.1221696</x:v>
      </x:c>
      <x:c r="M48" s="25" t="str">
        <x:v>Terrain E Evidence Authority</x:v>
      </x:c>
      <x:c r="N48" s="27" t="str">
        <x:v>OPEN</x:v>
      </x:c>
    </x:row>
    <x:row r="49" ht="18" customHeight="1">
      <x:c r="B49" s="25" t="str">
        <x:v>TE-03</x:v>
      </x:c>
      <x:c r="C49" s="25" t="str">
        <x:v>Terrain</x:v>
      </x:c>
      <x:c r="D49" s="25" t="str">
        <x:v>E</x:v>
      </x:c>
      <x:c r="E49" s="25" t="str">
        <x:v>Fluid</x:v>
      </x:c>
      <x:c r="F49" s="25" t="n">
        <x:v>26</x:v>
      </x:c>
      <x:c r="G49" s="25" t="n">
        <x:v>100</x:v>
      </x:c>
      <x:c r="H49" s="25" t="n">
        <x:v>8</x:v>
      </x:c>
      <x:c r="I49" s="34" t="n">
        <x:v>0.5</x:v>
      </x:c>
      <x:c r="J49" s="25" t="n">
        <x:v>2</x:v>
      </x:c>
      <x:c r="K49" s="35" t="n">
        <x:f>F49*G49*H49*I49/J49/1000000</x:f>
        <x:v>0.0052</x:v>
      </x:c>
      <x:c r="L49" s="35" t="n">
        <x:f>K49*Assumptions!C22*3600/1000000</x:f>
        <x:v>0.0031449599999999996</x:v>
      </x:c>
      <x:c r="M49" s="25" t="str">
        <x:v>Terrain E Evidence Authority</x:v>
      </x:c>
      <x:c r="N49" s="27" t="str">
        <x:v>OPEN</x:v>
      </x:c>
    </x:row>
    <x:row r="50" ht="18" customHeight="1">
      <x:c r="B50" s="25" t="str">
        <x:v>TE-04</x:v>
      </x:c>
      <x:c r="C50" s="25" t="str">
        <x:v>Terrain</x:v>
      </x:c>
      <x:c r="D50" s="25" t="str">
        <x:v>E</x:v>
      </x:c>
      <x:c r="E50" s="25" t="str">
        <x:v>Thermal</x:v>
      </x:c>
      <x:c r="F50" s="25" t="n">
        <x:v>53</x:v>
      </x:c>
      <x:c r="G50" s="25" t="n">
        <x:v>10</x:v>
      </x:c>
      <x:c r="H50" s="25" t="n">
        <x:v>8</x:v>
      </x:c>
      <x:c r="I50" s="34" t="n">
        <x:v>1</x:v>
      </x:c>
      <x:c r="J50" s="25" t="n">
        <x:v>2</x:v>
      </x:c>
      <x:c r="K50" s="35" t="n">
        <x:f>F50*G50*H50*I50/J50/1000000</x:f>
        <x:v>0.00212</x:v>
      </x:c>
      <x:c r="L50" s="35" t="n">
        <x:f>K50*Assumptions!C22*3600/1000000</x:f>
        <x:v>0.0012821759999999999</x:v>
      </x:c>
      <x:c r="M50" s="25" t="str">
        <x:v>Terrain E Evidence Authority</x:v>
      </x:c>
      <x:c r="N50" s="27" t="str">
        <x:v>OPEN</x:v>
      </x:c>
    </x:row>
    <x:row r="51" ht="18" customHeight="1">
      <x:c r="B51" s="25" t="str">
        <x:v>TE-05</x:v>
      </x:c>
      <x:c r="C51" s="25" t="str">
        <x:v>Terrain</x:v>
      </x:c>
      <x:c r="D51" s="25" t="str">
        <x:v>E</x:v>
      </x:c>
      <x:c r="E51" s="25" t="str">
        <x:v>Motion and geometry</x:v>
      </x:c>
      <x:c r="F51" s="25" t="n">
        <x:v>34</x:v>
      </x:c>
      <x:c r="G51" s="25" t="n">
        <x:v>200</x:v>
      </x:c>
      <x:c r="H51" s="25" t="n">
        <x:v>8</x:v>
      </x:c>
      <x:c r="I51" s="34" t="n">
        <x:v>0.5</x:v>
      </x:c>
      <x:c r="J51" s="25" t="n">
        <x:v>4</x:v>
      </x:c>
      <x:c r="K51" s="35" t="n">
        <x:f>F51*G51*H51*I51/J51/1000000</x:f>
        <x:v>0.0068</x:v>
      </x:c>
      <x:c r="L51" s="35" t="n">
        <x:f>K51*Assumptions!C22*3600/1000000</x:f>
        <x:v>0.004112639999999999</x:v>
      </x:c>
      <x:c r="M51" s="25" t="str">
        <x:v>Terrain E Evidence Authority</x:v>
      </x:c>
      <x:c r="N51" s="27" t="str">
        <x:v>OPEN</x:v>
      </x:c>
    </x:row>
    <x:row r="52" ht="18" customHeight="1">
      <x:c r="B52" s="25" t="str">
        <x:v>TE-06</x:v>
      </x:c>
      <x:c r="C52" s="25" t="str">
        <x:v>Terrain</x:v>
      </x:c>
      <x:c r="D52" s="25" t="str">
        <x:v>E</x:v>
      </x:c>
      <x:c r="E52" s="25" t="str">
        <x:v>State and software</x:v>
      </x:c>
      <x:c r="F52" s="25" t="n">
        <x:v>141</x:v>
      </x:c>
      <x:c r="G52" s="25" t="n">
        <x:v>10</x:v>
      </x:c>
      <x:c r="H52" s="25" t="n">
        <x:v>16</x:v>
      </x:c>
      <x:c r="I52" s="34" t="n">
        <x:v>1</x:v>
      </x:c>
      <x:c r="J52" s="25" t="n">
        <x:v>4</x:v>
      </x:c>
      <x:c r="K52" s="35" t="n">
        <x:f>F52*G52*H52*I52/J52/1000000</x:f>
        <x:v>0.00564</x:v>
      </x:c>
      <x:c r="L52" s="35" t="n">
        <x:f>K52*Assumptions!C22*3600/1000000</x:f>
        <x:v>0.0034110720000000002</x:v>
      </x:c>
      <x:c r="M52" s="25" t="str">
        <x:v>Terrain E Evidence Authority</x:v>
      </x:c>
      <x:c r="N52" s="27" t="str">
        <x:v>OPEN</x:v>
      </x:c>
    </x:row>
    <x:row r="53" ht="18" customHeight="1">
      <x:c r="B53" s="25" t="str">
        <x:v>TE-07</x:v>
      </x:c>
      <x:c r="C53" s="25" t="str">
        <x:v>Terrain</x:v>
      </x:c>
      <x:c r="D53" s="25" t="str">
        <x:v>E</x:v>
      </x:c>
      <x:c r="E53" s="25" t="str">
        <x:v>Public effect</x:v>
      </x:c>
      <x:c r="F53" s="25" t="n">
        <x:v>18</x:v>
      </x:c>
      <x:c r="G53" s="25" t="n">
        <x:v>1</x:v>
      </x:c>
      <x:c r="H53" s="25" t="n">
        <x:v>32</x:v>
      </x:c>
      <x:c r="I53" s="34" t="n">
        <x:v>1</x:v>
      </x:c>
      <x:c r="J53" s="25" t="n">
        <x:v>2</x:v>
      </x:c>
      <x:c r="K53" s="35" t="n">
        <x:f>F53*G53*H53*I53/J53/1000000</x:f>
        <x:v>0.000288</x:v>
      </x:c>
      <x:c r="L53" s="35" t="n">
        <x:f>K53*Assumptions!C22*3600/1000000</x:f>
        <x:v>0.0001741824</x:v>
      </x:c>
      <x:c r="M53" s="25" t="str">
        <x:v>Terrain E Evidence Authority</x:v>
      </x:c>
      <x:c r="N53" s="27" t="str">
        <x:v>OPEN</x:v>
      </x:c>
    </x:row>
    <x:row r="54" ht="18" customHeight="1">
      <x:c r="B54" s="25" t="str">
        <x:v>TE-08</x:v>
      </x:c>
      <x:c r="C54" s="25" t="str">
        <x:v>Terrain</x:v>
      </x:c>
      <x:c r="D54" s="25" t="str">
        <x:v>E</x:v>
      </x:c>
      <x:c r="E54" s="25" t="str">
        <x:v>Media and acoustic</x:v>
      </x:c>
      <x:c r="F54" s="25" t="n">
        <x:v>15</x:v>
      </x:c>
      <x:c r="G54" s="25" t="n">
        <x:v>1</x:v>
      </x:c>
      <x:c r="H54" s="25" t="n">
        <x:v>500000</x:v>
      </x:c>
      <x:c r="I54" s="34" t="n">
        <x:v>0.25</x:v>
      </x:c>
      <x:c r="J54" s="25" t="n">
        <x:v>1</x:v>
      </x:c>
      <x:c r="K54" s="35" t="n">
        <x:f>F54*G54*H54*I54/J54/1000000</x:f>
        <x:v>1.875</x:v>
      </x:c>
      <x:c r="L54" s="35" t="n">
        <x:f>K54*Assumptions!C22*3600/1000000</x:f>
        <x:v>1.134</x:v>
      </x:c>
      <x:c r="M54" s="25" t="str">
        <x:v>Terrain E Evidence Authority</x:v>
      </x:c>
      <x:c r="N54" s="27" t="str">
        <x:v>OPEN</x:v>
      </x:c>
    </x:row>
    <x:row r="55" ht="18" customHeight="1">
      <x:c r="B55" s="25" t="str">
        <x:v>TW-01</x:v>
      </x:c>
      <x:c r="C55" s="25" t="str">
        <x:v>Terrain</x:v>
      </x:c>
      <x:c r="D55" s="25" t="str">
        <x:v>W</x:v>
      </x:c>
      <x:c r="E55" s="25" t="str">
        <x:v>Structural</x:v>
      </x:c>
      <x:c r="F55" s="25" t="n">
        <x:v>40</x:v>
      </x:c>
      <x:c r="G55" s="25" t="n">
        <x:v>2000</x:v>
      </x:c>
      <x:c r="H55" s="25" t="n">
        <x:v>4</x:v>
      </x:c>
      <x:c r="I55" s="34" t="n">
        <x:v>0.25</x:v>
      </x:c>
      <x:c r="J55" s="25" t="n">
        <x:v>2</x:v>
      </x:c>
      <x:c r="K55" s="35" t="n">
        <x:f>F55*G55*H55*I55/J55/1000000</x:f>
        <x:v>0.04</x:v>
      </x:c>
      <x:c r="L55" s="35" t="n">
        <x:f>K55*Assumptions!C22*3600/1000000</x:f>
        <x:v>0.024192</x:v>
      </x:c>
      <x:c r="M55" s="25" t="str">
        <x:v>Terrain W Evidence Authority</x:v>
      </x:c>
      <x:c r="N55" s="27" t="str">
        <x:v>OPEN</x:v>
      </x:c>
    </x:row>
    <x:row r="56" ht="18" customHeight="1">
      <x:c r="B56" s="25" t="str">
        <x:v>TW-02</x:v>
      </x:c>
      <x:c r="C56" s="25" t="str">
        <x:v>Terrain</x:v>
      </x:c>
      <x:c r="D56" s="25" t="str">
        <x:v>W</x:v>
      </x:c>
      <x:c r="E56" s="25" t="str">
        <x:v>Electrical</x:v>
      </x:c>
      <x:c r="F56" s="25" t="n">
        <x:v>34</x:v>
      </x:c>
      <x:c r="G56" s="25" t="n">
        <x:v>20000</x:v>
      </x:c>
      <x:c r="H56" s="25" t="n">
        <x:v>4</x:v>
      </x:c>
      <x:c r="I56" s="34" t="n">
        <x:v>0.1</x:v>
      </x:c>
      <x:c r="J56" s="25" t="n">
        <x:v>4</x:v>
      </x:c>
      <x:c r="K56" s="35" t="n">
        <x:f>F56*G56*H56*I56/J56/1000000</x:f>
        <x:v>0.068</x:v>
      </x:c>
      <x:c r="L56" s="35" t="n">
        <x:f>K56*Assumptions!C22*3600/1000000</x:f>
        <x:v>0.0411264</x:v>
      </x:c>
      <x:c r="M56" s="25" t="str">
        <x:v>Terrain W Evidence Authority</x:v>
      </x:c>
      <x:c r="N56" s="27" t="str">
        <x:v>OPEN</x:v>
      </x:c>
    </x:row>
    <x:row r="57" ht="18" customHeight="1">
      <x:c r="B57" s="25" t="str">
        <x:v>TW-03</x:v>
      </x:c>
      <x:c r="C57" s="25" t="str">
        <x:v>Terrain</x:v>
      </x:c>
      <x:c r="D57" s="25" t="str">
        <x:v>W</x:v>
      </x:c>
      <x:c r="E57" s="25" t="str">
        <x:v>Fluid</x:v>
      </x:c>
      <x:c r="F57" s="25" t="n">
        <x:v>176</x:v>
      </x:c>
      <x:c r="G57" s="25" t="n">
        <x:v>100</x:v>
      </x:c>
      <x:c r="H57" s="25" t="n">
        <x:v>8</x:v>
      </x:c>
      <x:c r="I57" s="34" t="n">
        <x:v>0.5</x:v>
      </x:c>
      <x:c r="J57" s="25" t="n">
        <x:v>2</x:v>
      </x:c>
      <x:c r="K57" s="35" t="n">
        <x:f>F57*G57*H57*I57/J57/1000000</x:f>
        <x:v>0.0352</x:v>
      </x:c>
      <x:c r="L57" s="35" t="n">
        <x:f>K57*Assumptions!C22*3600/1000000</x:f>
        <x:v>0.021288960000000003</x:v>
      </x:c>
      <x:c r="M57" s="25" t="str">
        <x:v>Terrain W Evidence Authority</x:v>
      </x:c>
      <x:c r="N57" s="27" t="str">
        <x:v>OPEN</x:v>
      </x:c>
    </x:row>
    <x:row r="58" ht="18" customHeight="1">
      <x:c r="B58" s="25" t="str">
        <x:v>TW-04</x:v>
      </x:c>
      <x:c r="C58" s="25" t="str">
        <x:v>Terrain</x:v>
      </x:c>
      <x:c r="D58" s="25" t="str">
        <x:v>W</x:v>
      </x:c>
      <x:c r="E58" s="25" t="str">
        <x:v>Thermal</x:v>
      </x:c>
      <x:c r="F58" s="25" t="n">
        <x:v>53</x:v>
      </x:c>
      <x:c r="G58" s="25" t="n">
        <x:v>10</x:v>
      </x:c>
      <x:c r="H58" s="25" t="n">
        <x:v>8</x:v>
      </x:c>
      <x:c r="I58" s="34" t="n">
        <x:v>1</x:v>
      </x:c>
      <x:c r="J58" s="25" t="n">
        <x:v>2</x:v>
      </x:c>
      <x:c r="K58" s="35" t="n">
        <x:f>F58*G58*H58*I58/J58/1000000</x:f>
        <x:v>0.00212</x:v>
      </x:c>
      <x:c r="L58" s="35" t="n">
        <x:f>K58*Assumptions!C22*3600/1000000</x:f>
        <x:v>0.0012821759999999999</x:v>
      </x:c>
      <x:c r="M58" s="25" t="str">
        <x:v>Terrain W Evidence Authority</x:v>
      </x:c>
      <x:c r="N58" s="27" t="str">
        <x:v>OPEN</x:v>
      </x:c>
    </x:row>
    <x:row r="59" ht="18" customHeight="1">
      <x:c r="B59" s="25" t="str">
        <x:v>TW-05</x:v>
      </x:c>
      <x:c r="C59" s="25" t="str">
        <x:v>Terrain</x:v>
      </x:c>
      <x:c r="D59" s="25" t="str">
        <x:v>W</x:v>
      </x:c>
      <x:c r="E59" s="25" t="str">
        <x:v>Motion and geometry</x:v>
      </x:c>
      <x:c r="F59" s="25" t="n">
        <x:v>22</x:v>
      </x:c>
      <x:c r="G59" s="25" t="n">
        <x:v>200</x:v>
      </x:c>
      <x:c r="H59" s="25" t="n">
        <x:v>8</x:v>
      </x:c>
      <x:c r="I59" s="34" t="n">
        <x:v>0.5</x:v>
      </x:c>
      <x:c r="J59" s="25" t="n">
        <x:v>4</x:v>
      </x:c>
      <x:c r="K59" s="35" t="n">
        <x:f>F59*G59*H59*I59/J59/1000000</x:f>
        <x:v>0.0044</x:v>
      </x:c>
      <x:c r="L59" s="35" t="n">
        <x:f>K59*Assumptions!C22*3600/1000000</x:f>
        <x:v>0.0026611200000000003</x:v>
      </x:c>
      <x:c r="M59" s="25" t="str">
        <x:v>Terrain W Evidence Authority</x:v>
      </x:c>
      <x:c r="N59" s="27" t="str">
        <x:v>OPEN</x:v>
      </x:c>
    </x:row>
    <x:row r="60" ht="18" customHeight="1">
      <x:c r="B60" s="25" t="str">
        <x:v>TW-06</x:v>
      </x:c>
      <x:c r="C60" s="25" t="str">
        <x:v>Terrain</x:v>
      </x:c>
      <x:c r="D60" s="25" t="str">
        <x:v>W</x:v>
      </x:c>
      <x:c r="E60" s="25" t="str">
        <x:v>State and software</x:v>
      </x:c>
      <x:c r="F60" s="25" t="n">
        <x:v>106</x:v>
      </x:c>
      <x:c r="G60" s="25" t="n">
        <x:v>10</x:v>
      </x:c>
      <x:c r="H60" s="25" t="n">
        <x:v>16</x:v>
      </x:c>
      <x:c r="I60" s="34" t="n">
        <x:v>1</x:v>
      </x:c>
      <x:c r="J60" s="25" t="n">
        <x:v>4</x:v>
      </x:c>
      <x:c r="K60" s="35" t="n">
        <x:f>F60*G60*H60*I60/J60/1000000</x:f>
        <x:v>0.00424</x:v>
      </x:c>
      <x:c r="L60" s="35" t="n">
        <x:f>K60*Assumptions!C22*3600/1000000</x:f>
        <x:v>0.0025643519999999998</x:v>
      </x:c>
      <x:c r="M60" s="25" t="str">
        <x:v>Terrain W Evidence Authority</x:v>
      </x:c>
      <x:c r="N60" s="27" t="str">
        <x:v>OPEN</x:v>
      </x:c>
    </x:row>
    <x:row r="61" ht="18" customHeight="1">
      <x:c r="B61" s="25" t="str">
        <x:v>TW-07</x:v>
      </x:c>
      <x:c r="C61" s="25" t="str">
        <x:v>Terrain</x:v>
      </x:c>
      <x:c r="D61" s="25" t="str">
        <x:v>W</x:v>
      </x:c>
      <x:c r="E61" s="25" t="str">
        <x:v>Public effect</x:v>
      </x:c>
      <x:c r="F61" s="25" t="n">
        <x:v>35</x:v>
      </x:c>
      <x:c r="G61" s="25" t="n">
        <x:v>1</x:v>
      </x:c>
      <x:c r="H61" s="25" t="n">
        <x:v>32</x:v>
      </x:c>
      <x:c r="I61" s="34" t="n">
        <x:v>1</x:v>
      </x:c>
      <x:c r="J61" s="25" t="n">
        <x:v>2</x:v>
      </x:c>
      <x:c r="K61" s="35" t="n">
        <x:f>F61*G61*H61*I61/J61/1000000</x:f>
        <x:v>0.00056</x:v>
      </x:c>
      <x:c r="L61" s="35" t="n">
        <x:f>K61*Assumptions!C22*3600/1000000</x:f>
        <x:v>0.00033868799999999997</x:v>
      </x:c>
      <x:c r="M61" s="25" t="str">
        <x:v>Terrain W Evidence Authority</x:v>
      </x:c>
      <x:c r="N61" s="27" t="str">
        <x:v>OPEN</x:v>
      </x:c>
    </x:row>
    <x:row r="62" ht="18" customHeight="1">
      <x:c r="B62" s="25" t="str">
        <x:v>TW-08</x:v>
      </x:c>
      <x:c r="C62" s="25" t="str">
        <x:v>Terrain</x:v>
      </x:c>
      <x:c r="D62" s="25" t="str">
        <x:v>W</x:v>
      </x:c>
      <x:c r="E62" s="25" t="str">
        <x:v>Media and acoustic</x:v>
      </x:c>
      <x:c r="F62" s="25" t="n">
        <x:v>15</x:v>
      </x:c>
      <x:c r="G62" s="25" t="n">
        <x:v>1</x:v>
      </x:c>
      <x:c r="H62" s="25" t="n">
        <x:v>500000</x:v>
      </x:c>
      <x:c r="I62" s="34" t="n">
        <x:v>0.25</x:v>
      </x:c>
      <x:c r="J62" s="25" t="n">
        <x:v>1</x:v>
      </x:c>
      <x:c r="K62" s="35" t="n">
        <x:f>F62*G62*H62*I62/J62/1000000</x:f>
        <x:v>1.875</x:v>
      </x:c>
      <x:c r="L62" s="35" t="n">
        <x:f>K62*Assumptions!C22*3600/1000000</x:f>
        <x:v>1.134</x:v>
      </x:c>
      <x:c r="M62" s="25" t="str">
        <x:v>Terrain W Evidence Authority</x:v>
      </x:c>
      <x:c r="N62" s="27" t="str">
        <x:v>OPEN</x:v>
      </x:c>
    </x:row>
    <x:row r="63" ht="18" customHeight="1">
      <x:c r="B63" s="25" t="str">
        <x:v>TT-01</x:v>
      </x:c>
      <x:c r="C63" s="25" t="str">
        <x:v>Terrain</x:v>
      </x:c>
      <x:c r="D63" s="25" t="str">
        <x:v>T</x:v>
      </x:c>
      <x:c r="E63" s="25" t="str">
        <x:v>Structural</x:v>
      </x:c>
      <x:c r="F63" s="25" t="n">
        <x:v>60</x:v>
      </x:c>
      <x:c r="G63" s="25" t="n">
        <x:v>2000</x:v>
      </x:c>
      <x:c r="H63" s="25" t="n">
        <x:v>4</x:v>
      </x:c>
      <x:c r="I63" s="34" t="n">
        <x:v>0.25</x:v>
      </x:c>
      <x:c r="J63" s="25" t="n">
        <x:v>2</x:v>
      </x:c>
      <x:c r="K63" s="35" t="n">
        <x:f>F63*G63*H63*I63/J63/1000000</x:f>
        <x:v>0.06</x:v>
      </x:c>
      <x:c r="L63" s="35" t="n">
        <x:f>K63*Assumptions!C22*3600/1000000</x:f>
        <x:v>0.036288</x:v>
      </x:c>
      <x:c r="M63" s="25" t="str">
        <x:v>Terrain T Evidence Authority</x:v>
      </x:c>
      <x:c r="N63" s="27" t="str">
        <x:v>OPEN</x:v>
      </x:c>
    </x:row>
    <x:row r="64" ht="18" customHeight="1">
      <x:c r="B64" s="25" t="str">
        <x:v>TT-02</x:v>
      </x:c>
      <x:c r="C64" s="25" t="str">
        <x:v>Terrain</x:v>
      </x:c>
      <x:c r="D64" s="25" t="str">
        <x:v>T</x:v>
      </x:c>
      <x:c r="E64" s="25" t="str">
        <x:v>Electrical</x:v>
      </x:c>
      <x:c r="F64" s="25" t="n">
        <x:v>50</x:v>
      </x:c>
      <x:c r="G64" s="25" t="n">
        <x:v>20000</x:v>
      </x:c>
      <x:c r="H64" s="25" t="n">
        <x:v>4</x:v>
      </x:c>
      <x:c r="I64" s="34" t="n">
        <x:v>0.1</x:v>
      </x:c>
      <x:c r="J64" s="25" t="n">
        <x:v>4</x:v>
      </x:c>
      <x:c r="K64" s="35" t="n">
        <x:f>F64*G64*H64*I64/J64/1000000</x:f>
        <x:v>0.1</x:v>
      </x:c>
      <x:c r="L64" s="35" t="n">
        <x:f>K64*Assumptions!C22*3600/1000000</x:f>
        <x:v>0.06048</x:v>
      </x:c>
      <x:c r="M64" s="25" t="str">
        <x:v>Terrain T Evidence Authority</x:v>
      </x:c>
      <x:c r="N64" s="27" t="str">
        <x:v>OPEN</x:v>
      </x:c>
    </x:row>
    <x:row r="65" ht="18" customHeight="1">
      <x:c r="B65" s="25" t="str">
        <x:v>TT-03</x:v>
      </x:c>
      <x:c r="C65" s="25" t="str">
        <x:v>Terrain</x:v>
      </x:c>
      <x:c r="D65" s="25" t="str">
        <x:v>T</x:v>
      </x:c>
      <x:c r="E65" s="25" t="str">
        <x:v>Fluid</x:v>
      </x:c>
      <x:c r="F65" s="25" t="n">
        <x:v>106</x:v>
      </x:c>
      <x:c r="G65" s="25" t="n">
        <x:v>100</x:v>
      </x:c>
      <x:c r="H65" s="25" t="n">
        <x:v>8</x:v>
      </x:c>
      <x:c r="I65" s="34" t="n">
        <x:v>0.5</x:v>
      </x:c>
      <x:c r="J65" s="25" t="n">
        <x:v>2</x:v>
      </x:c>
      <x:c r="K65" s="35" t="n">
        <x:f>F65*G65*H65*I65/J65/1000000</x:f>
        <x:v>0.0212</x:v>
      </x:c>
      <x:c r="L65" s="35" t="n">
        <x:f>K65*Assumptions!C22*3600/1000000</x:f>
        <x:v>0.01282176</x:v>
      </x:c>
      <x:c r="M65" s="25" t="str">
        <x:v>Terrain T Evidence Authority</x:v>
      </x:c>
      <x:c r="N65" s="27" t="str">
        <x:v>OPEN</x:v>
      </x:c>
    </x:row>
    <x:row r="66" ht="18" customHeight="1">
      <x:c r="B66" s="25" t="str">
        <x:v>TT-04</x:v>
      </x:c>
      <x:c r="C66" s="25" t="str">
        <x:v>Terrain</x:v>
      </x:c>
      <x:c r="D66" s="25" t="str">
        <x:v>T</x:v>
      </x:c>
      <x:c r="E66" s="25" t="str">
        <x:v>Thermal</x:v>
      </x:c>
      <x:c r="F66" s="25" t="n">
        <x:v>176</x:v>
      </x:c>
      <x:c r="G66" s="25" t="n">
        <x:v>10</x:v>
      </x:c>
      <x:c r="H66" s="25" t="n">
        <x:v>8</x:v>
      </x:c>
      <x:c r="I66" s="34" t="n">
        <x:v>1</x:v>
      </x:c>
      <x:c r="J66" s="25" t="n">
        <x:v>2</x:v>
      </x:c>
      <x:c r="K66" s="35" t="n">
        <x:f>F66*G66*H66*I66/J66/1000000</x:f>
        <x:v>0.00704</x:v>
      </x:c>
      <x:c r="L66" s="35" t="n">
        <x:f>K66*Assumptions!C22*3600/1000000</x:f>
        <x:v>0.004257792000000001</x:v>
      </x:c>
      <x:c r="M66" s="25" t="str">
        <x:v>Terrain T Evidence Authority</x:v>
      </x:c>
      <x:c r="N66" s="27" t="str">
        <x:v>OPEN</x:v>
      </x:c>
    </x:row>
    <x:row r="67" ht="18" customHeight="1">
      <x:c r="B67" s="25" t="str">
        <x:v>TT-05</x:v>
      </x:c>
      <x:c r="C67" s="25" t="str">
        <x:v>Terrain</x:v>
      </x:c>
      <x:c r="D67" s="25" t="str">
        <x:v>T</x:v>
      </x:c>
      <x:c r="E67" s="25" t="str">
        <x:v>Motion and geometry</x:v>
      </x:c>
      <x:c r="F67" s="25" t="n">
        <x:v>45</x:v>
      </x:c>
      <x:c r="G67" s="25" t="n">
        <x:v>200</x:v>
      </x:c>
      <x:c r="H67" s="25" t="n">
        <x:v>8</x:v>
      </x:c>
      <x:c r="I67" s="34" t="n">
        <x:v>0.5</x:v>
      </x:c>
      <x:c r="J67" s="25" t="n">
        <x:v>4</x:v>
      </x:c>
      <x:c r="K67" s="35" t="n">
        <x:f>F67*G67*H67*I67/J67/1000000</x:f>
        <x:v>0.009</x:v>
      </x:c>
      <x:c r="L67" s="35" t="n">
        <x:f>K67*Assumptions!C22*3600/1000000</x:f>
        <x:v>0.005443199999999999</x:v>
      </x:c>
      <x:c r="M67" s="25" t="str">
        <x:v>Terrain T Evidence Authority</x:v>
      </x:c>
      <x:c r="N67" s="27" t="str">
        <x:v>OPEN</x:v>
      </x:c>
    </x:row>
    <x:row r="68" ht="18" customHeight="1">
      <x:c r="B68" s="25" t="str">
        <x:v>TT-06</x:v>
      </x:c>
      <x:c r="C68" s="25" t="str">
        <x:v>Terrain</x:v>
      </x:c>
      <x:c r="D68" s="25" t="str">
        <x:v>T</x:v>
      </x:c>
      <x:c r="E68" s="25" t="str">
        <x:v>State and software</x:v>
      </x:c>
      <x:c r="F68" s="25" t="n">
        <x:v>106</x:v>
      </x:c>
      <x:c r="G68" s="25" t="n">
        <x:v>10</x:v>
      </x:c>
      <x:c r="H68" s="25" t="n">
        <x:v>16</x:v>
      </x:c>
      <x:c r="I68" s="34" t="n">
        <x:v>1</x:v>
      </x:c>
      <x:c r="J68" s="25" t="n">
        <x:v>4</x:v>
      </x:c>
      <x:c r="K68" s="35" t="n">
        <x:f>F68*G68*H68*I68/J68/1000000</x:f>
        <x:v>0.00424</x:v>
      </x:c>
      <x:c r="L68" s="35" t="n">
        <x:f>K68*Assumptions!C22*3600/1000000</x:f>
        <x:v>0.0025643519999999998</x:v>
      </x:c>
      <x:c r="M68" s="25" t="str">
        <x:v>Terrain T Evidence Authority</x:v>
      </x:c>
      <x:c r="N68" s="27" t="str">
        <x:v>OPEN</x:v>
      </x:c>
    </x:row>
    <x:row r="69" ht="18" customHeight="1">
      <x:c r="B69" s="25" t="str">
        <x:v>TT-07</x:v>
      </x:c>
      <x:c r="C69" s="25" t="str">
        <x:v>Terrain</x:v>
      </x:c>
      <x:c r="D69" s="25" t="str">
        <x:v>T</x:v>
      </x:c>
      <x:c r="E69" s="25" t="str">
        <x:v>Public effect</x:v>
      </x:c>
      <x:c r="F69" s="25" t="n">
        <x:v>26</x:v>
      </x:c>
      <x:c r="G69" s="25" t="n">
        <x:v>1</x:v>
      </x:c>
      <x:c r="H69" s="25" t="n">
        <x:v>32</x:v>
      </x:c>
      <x:c r="I69" s="34" t="n">
        <x:v>1</x:v>
      </x:c>
      <x:c r="J69" s="25" t="n">
        <x:v>2</x:v>
      </x:c>
      <x:c r="K69" s="35" t="n">
        <x:f>F69*G69*H69*I69/J69/1000000</x:f>
        <x:v>0.000416</x:v>
      </x:c>
      <x:c r="L69" s="35" t="n">
        <x:f>K69*Assumptions!C22*3600/1000000</x:f>
        <x:v>0.0002515968</x:v>
      </x:c>
      <x:c r="M69" s="25" t="str">
        <x:v>Terrain T Evidence Authority</x:v>
      </x:c>
      <x:c r="N69" s="27" t="str">
        <x:v>OPEN</x:v>
      </x:c>
    </x:row>
    <x:row r="70" ht="18" customHeight="1">
      <x:c r="B70" s="25" t="str">
        <x:v>TT-08</x:v>
      </x:c>
      <x:c r="C70" s="25" t="str">
        <x:v>Terrain</x:v>
      </x:c>
      <x:c r="D70" s="25" t="str">
        <x:v>T</x:v>
      </x:c>
      <x:c r="E70" s="25" t="str">
        <x:v>Media and acoustic</x:v>
      </x:c>
      <x:c r="F70" s="25" t="n">
        <x:v>20</x:v>
      </x:c>
      <x:c r="G70" s="25" t="n">
        <x:v>1</x:v>
      </x:c>
      <x:c r="H70" s="25" t="n">
        <x:v>500000</x:v>
      </x:c>
      <x:c r="I70" s="34" t="n">
        <x:v>0.25</x:v>
      </x:c>
      <x:c r="J70" s="25" t="n">
        <x:v>1</x:v>
      </x:c>
      <x:c r="K70" s="35" t="n">
        <x:f>F70*G70*H70*I70/J70/1000000</x:f>
        <x:v>2.5</x:v>
      </x:c>
      <x:c r="L70" s="35" t="n">
        <x:f>K70*Assumptions!C22*3600/1000000</x:f>
        <x:v>1.512</x:v>
      </x:c>
      <x:c r="M70" s="25" t="str">
        <x:v>Terrain T Evidence Authority</x:v>
      </x:c>
      <x:c r="N70" s="27" t="str">
        <x:v>OPEN</x:v>
      </x:c>
    </x:row>
    <x:row r="71" ht="18" customHeight="1">
      <x:c r="B71" s="25" t="str">
        <x:v>TD-01</x:v>
      </x:c>
      <x:c r="C71" s="25" t="str">
        <x:v>Terrain</x:v>
      </x:c>
      <x:c r="D71" s="25" t="str">
        <x:v>D</x:v>
      </x:c>
      <x:c r="E71" s="25" t="str">
        <x:v>Structural</x:v>
      </x:c>
      <x:c r="F71" s="25" t="n">
        <x:v>80</x:v>
      </x:c>
      <x:c r="G71" s="25" t="n">
        <x:v>2000</x:v>
      </x:c>
      <x:c r="H71" s="25" t="n">
        <x:v>4</x:v>
      </x:c>
      <x:c r="I71" s="34" t="n">
        <x:v>0.25</x:v>
      </x:c>
      <x:c r="J71" s="25" t="n">
        <x:v>2</x:v>
      </x:c>
      <x:c r="K71" s="35" t="n">
        <x:f>F71*G71*H71*I71/J71/1000000</x:f>
        <x:v>0.08</x:v>
      </x:c>
      <x:c r="L71" s="35" t="n">
        <x:f>K71*Assumptions!C22*3600/1000000</x:f>
        <x:v>0.048384</x:v>
      </x:c>
      <x:c r="M71" s="25" t="str">
        <x:v>Terrain D Evidence Authority</x:v>
      </x:c>
      <x:c r="N71" s="27" t="str">
        <x:v>OPEN</x:v>
      </x:c>
    </x:row>
    <x:row r="72" ht="18" customHeight="1">
      <x:c r="B72" s="25" t="str">
        <x:v>TD-02</x:v>
      </x:c>
      <x:c r="C72" s="25" t="str">
        <x:v>Terrain</x:v>
      </x:c>
      <x:c r="D72" s="25" t="str">
        <x:v>D</x:v>
      </x:c>
      <x:c r="E72" s="25" t="str">
        <x:v>Electrical</x:v>
      </x:c>
      <x:c r="F72" s="25" t="n">
        <x:v>101</x:v>
      </x:c>
      <x:c r="G72" s="25" t="n">
        <x:v>20000</x:v>
      </x:c>
      <x:c r="H72" s="25" t="n">
        <x:v>4</x:v>
      </x:c>
      <x:c r="I72" s="34" t="n">
        <x:v>0.1</x:v>
      </x:c>
      <x:c r="J72" s="25" t="n">
        <x:v>4</x:v>
      </x:c>
      <x:c r="K72" s="35" t="n">
        <x:f>F72*G72*H72*I72/J72/1000000</x:f>
        <x:v>0.202</x:v>
      </x:c>
      <x:c r="L72" s="35" t="n">
        <x:f>K72*Assumptions!C22*3600/1000000</x:f>
        <x:v>0.1221696</x:v>
      </x:c>
      <x:c r="M72" s="25" t="str">
        <x:v>Terrain D Evidence Authority</x:v>
      </x:c>
      <x:c r="N72" s="27" t="str">
        <x:v>OPEN</x:v>
      </x:c>
    </x:row>
    <x:row r="73" ht="18" customHeight="1">
      <x:c r="B73" s="25" t="str">
        <x:v>TD-03</x:v>
      </x:c>
      <x:c r="C73" s="25" t="str">
        <x:v>Terrain</x:v>
      </x:c>
      <x:c r="D73" s="25" t="str">
        <x:v>D</x:v>
      </x:c>
      <x:c r="E73" s="25" t="str">
        <x:v>Fluid</x:v>
      </x:c>
      <x:c r="F73" s="25" t="n">
        <x:v>106</x:v>
      </x:c>
      <x:c r="G73" s="25" t="n">
        <x:v>100</x:v>
      </x:c>
      <x:c r="H73" s="25" t="n">
        <x:v>8</x:v>
      </x:c>
      <x:c r="I73" s="34" t="n">
        <x:v>0.5</x:v>
      </x:c>
      <x:c r="J73" s="25" t="n">
        <x:v>2</x:v>
      </x:c>
      <x:c r="K73" s="35" t="n">
        <x:f>F73*G73*H73*I73/J73/1000000</x:f>
        <x:v>0.0212</x:v>
      </x:c>
      <x:c r="L73" s="35" t="n">
        <x:f>K73*Assumptions!C22*3600/1000000</x:f>
        <x:v>0.01282176</x:v>
      </x:c>
      <x:c r="M73" s="25" t="str">
        <x:v>Terrain D Evidence Authority</x:v>
      </x:c>
      <x:c r="N73" s="27" t="str">
        <x:v>OPEN</x:v>
      </x:c>
    </x:row>
    <x:row r="74" ht="18" customHeight="1">
      <x:c r="B74" s="25" t="str">
        <x:v>TD-04</x:v>
      </x:c>
      <x:c r="C74" s="25" t="str">
        <x:v>Terrain</x:v>
      </x:c>
      <x:c r="D74" s="25" t="str">
        <x:v>D</x:v>
      </x:c>
      <x:c r="E74" s="25" t="str">
        <x:v>Thermal</x:v>
      </x:c>
      <x:c r="F74" s="25" t="n">
        <x:v>35</x:v>
      </x:c>
      <x:c r="G74" s="25" t="n">
        <x:v>10</x:v>
      </x:c>
      <x:c r="H74" s="25" t="n">
        <x:v>8</x:v>
      </x:c>
      <x:c r="I74" s="34" t="n">
        <x:v>1</x:v>
      </x:c>
      <x:c r="J74" s="25" t="n">
        <x:v>2</x:v>
      </x:c>
      <x:c r="K74" s="35" t="n">
        <x:f>F74*G74*H74*I74/J74/1000000</x:f>
        <x:v>0.0014</x:v>
      </x:c>
      <x:c r="L74" s="35" t="n">
        <x:f>K74*Assumptions!C22*3600/1000000</x:f>
        <x:v>0.00084672</x:v>
      </x:c>
      <x:c r="M74" s="25" t="str">
        <x:v>Terrain D Evidence Authority</x:v>
      </x:c>
      <x:c r="N74" s="27" t="str">
        <x:v>OPEN</x:v>
      </x:c>
    </x:row>
    <x:row r="75" ht="18" customHeight="1">
      <x:c r="B75" s="25" t="str">
        <x:v>TD-05</x:v>
      </x:c>
      <x:c r="C75" s="25" t="str">
        <x:v>Terrain</x:v>
      </x:c>
      <x:c r="D75" s="25" t="str">
        <x:v>D</x:v>
      </x:c>
      <x:c r="E75" s="25" t="str">
        <x:v>Motion and geometry</x:v>
      </x:c>
      <x:c r="F75" s="25" t="n">
        <x:v>179</x:v>
      </x:c>
      <x:c r="G75" s="25" t="n">
        <x:v>200</x:v>
      </x:c>
      <x:c r="H75" s="25" t="n">
        <x:v>8</x:v>
      </x:c>
      <x:c r="I75" s="34" t="n">
        <x:v>0.5</x:v>
      </x:c>
      <x:c r="J75" s="25" t="n">
        <x:v>4</x:v>
      </x:c>
      <x:c r="K75" s="35" t="n">
        <x:f>F75*G75*H75*I75/J75/1000000</x:f>
        <x:v>0.0358</x:v>
      </x:c>
      <x:c r="L75" s="35" t="n">
        <x:f>K75*Assumptions!C22*3600/1000000</x:f>
        <x:v>0.02165184</x:v>
      </x:c>
      <x:c r="M75" s="25" t="str">
        <x:v>Terrain D Evidence Authority</x:v>
      </x:c>
      <x:c r="N75" s="27" t="str">
        <x:v>OPEN</x:v>
      </x:c>
    </x:row>
    <x:row r="76" ht="18" customHeight="1">
      <x:c r="B76" s="25" t="str">
        <x:v>TD-06</x:v>
      </x:c>
      <x:c r="C76" s="25" t="str">
        <x:v>Terrain</x:v>
      </x:c>
      <x:c r="D76" s="25" t="str">
        <x:v>D</x:v>
      </x:c>
      <x:c r="E76" s="25" t="str">
        <x:v>State and software</x:v>
      </x:c>
      <x:c r="F76" s="25" t="n">
        <x:v>141</x:v>
      </x:c>
      <x:c r="G76" s="25" t="n">
        <x:v>10</x:v>
      </x:c>
      <x:c r="H76" s="25" t="n">
        <x:v>16</x:v>
      </x:c>
      <x:c r="I76" s="34" t="n">
        <x:v>1</x:v>
      </x:c>
      <x:c r="J76" s="25" t="n">
        <x:v>4</x:v>
      </x:c>
      <x:c r="K76" s="35" t="n">
        <x:f>F76*G76*H76*I76/J76/1000000</x:f>
        <x:v>0.00564</x:v>
      </x:c>
      <x:c r="L76" s="35" t="n">
        <x:f>K76*Assumptions!C22*3600/1000000</x:f>
        <x:v>0.0034110720000000002</x:v>
      </x:c>
      <x:c r="M76" s="25" t="str">
        <x:v>Terrain D Evidence Authority</x:v>
      </x:c>
      <x:c r="N76" s="27" t="str">
        <x:v>OPEN</x:v>
      </x:c>
    </x:row>
    <x:row r="77" ht="18" customHeight="1">
      <x:c r="B77" s="25" t="str">
        <x:v>TD-07</x:v>
      </x:c>
      <x:c r="C77" s="25" t="str">
        <x:v>Terrain</x:v>
      </x:c>
      <x:c r="D77" s="25" t="str">
        <x:v>D</x:v>
      </x:c>
      <x:c r="E77" s="25" t="str">
        <x:v>Public effect</x:v>
      </x:c>
      <x:c r="F77" s="25" t="n">
        <x:v>26</x:v>
      </x:c>
      <x:c r="G77" s="25" t="n">
        <x:v>1</x:v>
      </x:c>
      <x:c r="H77" s="25" t="n">
        <x:v>32</x:v>
      </x:c>
      <x:c r="I77" s="34" t="n">
        <x:v>1</x:v>
      </x:c>
      <x:c r="J77" s="25" t="n">
        <x:v>2</x:v>
      </x:c>
      <x:c r="K77" s="35" t="n">
        <x:f>F77*G77*H77*I77/J77/1000000</x:f>
        <x:v>0.000416</x:v>
      </x:c>
      <x:c r="L77" s="35" t="n">
        <x:f>K77*Assumptions!C22*3600/1000000</x:f>
        <x:v>0.0002515968</x:v>
      </x:c>
      <x:c r="M77" s="25" t="str">
        <x:v>Terrain D Evidence Authority</x:v>
      </x:c>
      <x:c r="N77" s="27" t="str">
        <x:v>OPEN</x:v>
      </x:c>
    </x:row>
    <x:row r="78" ht="18" customHeight="1">
      <x:c r="B78" s="25" t="str">
        <x:v>TD-08</x:v>
      </x:c>
      <x:c r="C78" s="25" t="str">
        <x:v>Terrain</x:v>
      </x:c>
      <x:c r="D78" s="25" t="str">
        <x:v>D</x:v>
      </x:c>
      <x:c r="E78" s="25" t="str">
        <x:v>Media and acoustic</x:v>
      </x:c>
      <x:c r="F78" s="25" t="n">
        <x:v>30</x:v>
      </x:c>
      <x:c r="G78" s="25" t="n">
        <x:v>1</x:v>
      </x:c>
      <x:c r="H78" s="25" t="n">
        <x:v>500000</x:v>
      </x:c>
      <x:c r="I78" s="34" t="n">
        <x:v>0.25</x:v>
      </x:c>
      <x:c r="J78" s="25" t="n">
        <x:v>1</x:v>
      </x:c>
      <x:c r="K78" s="35" t="n">
        <x:f>F78*G78*H78*I78/J78/1000000</x:f>
        <x:v>3.75</x:v>
      </x:c>
      <x:c r="L78" s="35" t="n">
        <x:f>K78*Assumptions!C22*3600/1000000</x:f>
        <x:v>2.268</x:v>
      </x:c>
      <x:c r="M78" s="25" t="str">
        <x:v>Terrain D Evidence Authority</x:v>
      </x:c>
      <x:c r="N78" s="27" t="str">
        <x:v>OPEN</x:v>
      </x:c>
    </x:row>
    <x:row r="79" ht="18" customHeight="1">
      <x:c r="B79" s="25" t="str">
        <x:v>TC-01</x:v>
      </x:c>
      <x:c r="C79" s="25" t="str">
        <x:v>Terrain</x:v>
      </x:c>
      <x:c r="D79" s="25" t="str">
        <x:v>C</x:v>
      </x:c>
      <x:c r="E79" s="25" t="str">
        <x:v>Structural</x:v>
      </x:c>
      <x:c r="F79" s="25" t="n">
        <x:v>30</x:v>
      </x:c>
      <x:c r="G79" s="25" t="n">
        <x:v>2000</x:v>
      </x:c>
      <x:c r="H79" s="25" t="n">
        <x:v>4</x:v>
      </x:c>
      <x:c r="I79" s="34" t="n">
        <x:v>0.25</x:v>
      </x:c>
      <x:c r="J79" s="25" t="n">
        <x:v>2</x:v>
      </x:c>
      <x:c r="K79" s="35" t="n">
        <x:f>F79*G79*H79*I79/J79/1000000</x:f>
        <x:v>0.03</x:v>
      </x:c>
      <x:c r="L79" s="35" t="n">
        <x:f>K79*Assumptions!C22*3600/1000000</x:f>
        <x:v>0.018144</x:v>
      </x:c>
      <x:c r="M79" s="25" t="str">
        <x:v>Terrain C Evidence Authority</x:v>
      </x:c>
      <x:c r="N79" s="27" t="str">
        <x:v>OPEN</x:v>
      </x:c>
    </x:row>
    <x:row r="80" ht="18" customHeight="1">
      <x:c r="B80" s="25" t="str">
        <x:v>TC-02</x:v>
      </x:c>
      <x:c r="C80" s="25" t="str">
        <x:v>Terrain</x:v>
      </x:c>
      <x:c r="D80" s="25" t="str">
        <x:v>C</x:v>
      </x:c>
      <x:c r="E80" s="25" t="str">
        <x:v>Electrical</x:v>
      </x:c>
      <x:c r="F80" s="25" t="n">
        <x:v>25</x:v>
      </x:c>
      <x:c r="G80" s="25" t="n">
        <x:v>20000</x:v>
      </x:c>
      <x:c r="H80" s="25" t="n">
        <x:v>4</x:v>
      </x:c>
      <x:c r="I80" s="34" t="n">
        <x:v>0.1</x:v>
      </x:c>
      <x:c r="J80" s="25" t="n">
        <x:v>4</x:v>
      </x:c>
      <x:c r="K80" s="35" t="n">
        <x:f>F80*G80*H80*I80/J80/1000000</x:f>
        <x:v>0.05</x:v>
      </x:c>
      <x:c r="L80" s="35" t="n">
        <x:f>K80*Assumptions!C22*3600/1000000</x:f>
        <x:v>0.03024</x:v>
      </x:c>
      <x:c r="M80" s="25" t="str">
        <x:v>Terrain C Evidence Authority</x:v>
      </x:c>
      <x:c r="N80" s="27" t="str">
        <x:v>OPEN</x:v>
      </x:c>
    </x:row>
    <x:row r="81" ht="18" customHeight="1">
      <x:c r="B81" s="25" t="str">
        <x:v>TC-03</x:v>
      </x:c>
      <x:c r="C81" s="25" t="str">
        <x:v>Terrain</x:v>
      </x:c>
      <x:c r="D81" s="25" t="str">
        <x:v>C</x:v>
      </x:c>
      <x:c r="E81" s="25" t="str">
        <x:v>Fluid</x:v>
      </x:c>
      <x:c r="F81" s="25" t="n">
        <x:v>35</x:v>
      </x:c>
      <x:c r="G81" s="25" t="n">
        <x:v>100</x:v>
      </x:c>
      <x:c r="H81" s="25" t="n">
        <x:v>8</x:v>
      </x:c>
      <x:c r="I81" s="34" t="n">
        <x:v>0.5</x:v>
      </x:c>
      <x:c r="J81" s="25" t="n">
        <x:v>2</x:v>
      </x:c>
      <x:c r="K81" s="35" t="n">
        <x:f>F81*G81*H81*I81/J81/1000000</x:f>
        <x:v>0.007</x:v>
      </x:c>
      <x:c r="L81" s="35" t="n">
        <x:f>K81*Assumptions!C22*3600/1000000</x:f>
        <x:v>0.0042336</x:v>
      </x:c>
      <x:c r="M81" s="25" t="str">
        <x:v>Terrain C Evidence Authority</x:v>
      </x:c>
      <x:c r="N81" s="27" t="str">
        <x:v>OPEN</x:v>
      </x:c>
    </x:row>
    <x:row r="82" ht="18" customHeight="1">
      <x:c r="B82" s="25" t="str">
        <x:v>TC-04</x:v>
      </x:c>
      <x:c r="C82" s="25" t="str">
        <x:v>Terrain</x:v>
      </x:c>
      <x:c r="D82" s="25" t="str">
        <x:v>C</x:v>
      </x:c>
      <x:c r="E82" s="25" t="str">
        <x:v>Thermal</x:v>
      </x:c>
      <x:c r="F82" s="25" t="n">
        <x:v>53</x:v>
      </x:c>
      <x:c r="G82" s="25" t="n">
        <x:v>10</x:v>
      </x:c>
      <x:c r="H82" s="25" t="n">
        <x:v>8</x:v>
      </x:c>
      <x:c r="I82" s="34" t="n">
        <x:v>1</x:v>
      </x:c>
      <x:c r="J82" s="25" t="n">
        <x:v>2</x:v>
      </x:c>
      <x:c r="K82" s="35" t="n">
        <x:f>F82*G82*H82*I82/J82/1000000</x:f>
        <x:v>0.00212</x:v>
      </x:c>
      <x:c r="L82" s="35" t="n">
        <x:f>K82*Assumptions!C22*3600/1000000</x:f>
        <x:v>0.0012821759999999999</x:v>
      </x:c>
      <x:c r="M82" s="25" t="str">
        <x:v>Terrain C Evidence Authority</x:v>
      </x:c>
      <x:c r="N82" s="27" t="str">
        <x:v>OPEN</x:v>
      </x:c>
    </x:row>
    <x:row r="83" ht="18" customHeight="1">
      <x:c r="B83" s="25" t="str">
        <x:v>TC-05</x:v>
      </x:c>
      <x:c r="C83" s="25" t="str">
        <x:v>Terrain</x:v>
      </x:c>
      <x:c r="D83" s="25" t="str">
        <x:v>C</x:v>
      </x:c>
      <x:c r="E83" s="25" t="str">
        <x:v>Motion and geometry</x:v>
      </x:c>
      <x:c r="F83" s="25" t="n">
        <x:v>134</x:v>
      </x:c>
      <x:c r="G83" s="25" t="n">
        <x:v>200</x:v>
      </x:c>
      <x:c r="H83" s="25" t="n">
        <x:v>8</x:v>
      </x:c>
      <x:c r="I83" s="34" t="n">
        <x:v>0.5</x:v>
      </x:c>
      <x:c r="J83" s="25" t="n">
        <x:v>4</x:v>
      </x:c>
      <x:c r="K83" s="35" t="n">
        <x:f>F83*G83*H83*I83/J83/1000000</x:f>
        <x:v>0.0268</x:v>
      </x:c>
      <x:c r="L83" s="35" t="n">
        <x:f>K83*Assumptions!C22*3600/1000000</x:f>
        <x:v>0.01620864</x:v>
      </x:c>
      <x:c r="M83" s="25" t="str">
        <x:v>Terrain C Evidence Authority</x:v>
      </x:c>
      <x:c r="N83" s="27" t="str">
        <x:v>OPEN</x:v>
      </x:c>
    </x:row>
    <x:row r="84" ht="18" customHeight="1">
      <x:c r="B84" s="25" t="str">
        <x:v>TC-06</x:v>
      </x:c>
      <x:c r="C84" s="25" t="str">
        <x:v>Terrain</x:v>
      </x:c>
      <x:c r="D84" s="25" t="str">
        <x:v>C</x:v>
      </x:c>
      <x:c r="E84" s="25" t="str">
        <x:v>State and software</x:v>
      </x:c>
      <x:c r="F84" s="25" t="n">
        <x:v>211</x:v>
      </x:c>
      <x:c r="G84" s="25" t="n">
        <x:v>10</x:v>
      </x:c>
      <x:c r="H84" s="25" t="n">
        <x:v>16</x:v>
      </x:c>
      <x:c r="I84" s="34" t="n">
        <x:v>1</x:v>
      </x:c>
      <x:c r="J84" s="25" t="n">
        <x:v>4</x:v>
      </x:c>
      <x:c r="K84" s="35" t="n">
        <x:f>F84*G84*H84*I84/J84/1000000</x:f>
        <x:v>0.00844</x:v>
      </x:c>
      <x:c r="L84" s="35" t="n">
        <x:f>K84*Assumptions!C22*3600/1000000</x:f>
        <x:v>0.005104511999999999</x:v>
      </x:c>
      <x:c r="M84" s="25" t="str">
        <x:v>Terrain C Evidence Authority</x:v>
      </x:c>
      <x:c r="N84" s="27" t="str">
        <x:v>OPEN</x:v>
      </x:c>
    </x:row>
    <x:row r="85" ht="18" customHeight="1">
      <x:c r="B85" s="25" t="str">
        <x:v>TC-07</x:v>
      </x:c>
      <x:c r="C85" s="25" t="str">
        <x:v>Terrain</x:v>
      </x:c>
      <x:c r="D85" s="25" t="str">
        <x:v>C</x:v>
      </x:c>
      <x:c r="E85" s="25" t="str">
        <x:v>Public effect</x:v>
      </x:c>
      <x:c r="F85" s="25" t="n">
        <x:v>141</x:v>
      </x:c>
      <x:c r="G85" s="25" t="n">
        <x:v>1</x:v>
      </x:c>
      <x:c r="H85" s="25" t="n">
        <x:v>32</x:v>
      </x:c>
      <x:c r="I85" s="34" t="n">
        <x:v>1</x:v>
      </x:c>
      <x:c r="J85" s="25" t="n">
        <x:v>2</x:v>
      </x:c>
      <x:c r="K85" s="35" t="n">
        <x:f>F85*G85*H85*I85/J85/1000000</x:f>
        <x:v>0.002256</x:v>
      </x:c>
      <x:c r="L85" s="35" t="n">
        <x:f>K85*Assumptions!C22*3600/1000000</x:f>
        <x:v>0.0013644288</x:v>
      </x:c>
      <x:c r="M85" s="25" t="str">
        <x:v>Terrain C Evidence Authority</x:v>
      </x:c>
      <x:c r="N85" s="27" t="str">
        <x:v>OPEN</x:v>
      </x:c>
    </x:row>
    <x:row r="86" ht="18" customHeight="1">
      <x:c r="B86" s="29" t="str">
        <x:v>TC-08</x:v>
      </x:c>
      <x:c r="C86" s="29" t="str">
        <x:v>Terrain</x:v>
      </x:c>
      <x:c r="D86" s="29" t="str">
        <x:v>C</x:v>
      </x:c>
      <x:c r="E86" s="29" t="str">
        <x:v>Media and acoustic</x:v>
      </x:c>
      <x:c r="F86" s="29" t="n">
        <x:v>40</x:v>
      </x:c>
      <x:c r="G86" s="29" t="n">
        <x:v>1</x:v>
      </x:c>
      <x:c r="H86" s="29" t="n">
        <x:v>500000</x:v>
      </x:c>
      <x:c r="I86" s="36" t="n">
        <x:v>0.25</x:v>
      </x:c>
      <x:c r="J86" s="29" t="n">
        <x:v>1</x:v>
      </x:c>
      <x:c r="K86" s="37" t="n">
        <x:f>F86*G86*H86*I86/J86/1000000</x:f>
        <x:v>5</x:v>
      </x:c>
      <x:c r="L86" s="37" t="n">
        <x:f>K86*Assumptions!C22*3600/1000000</x:f>
        <x:v>3.024</x:v>
      </x:c>
      <x:c r="M86" s="29" t="str">
        <x:v>Terrain C Evidence Authority</x:v>
      </x:c>
      <x:c r="N86" s="31" t="str">
        <x:v>OPEN</x:v>
      </x:c>
    </x:row>
    <x:row r="87" ht="18" customHeight="1"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</x:row>
    <x:row r="88" ht="18" customHeight="1"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</x:row>
    <x:row r="89" ht="18" customHeight="1"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</x:row>
    <x:row r="90" ht="18" customHeight="1"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</x:row>
  </x:sheetData>
  <x:mergeCells>
    <x:mergeCell ref="B2:H2"/>
    <x:mergeCell ref="B3:N3"/>
  </x:mergeCells>
  <x:conditionalFormatting sqref="N7:N86">
    <x:cfRule type="containsText" dxfId="0" priority="1" operator="containsText" text="FAIL"/>
    <x:cfRule type="containsText" dxfId="1" priority="2" operator="containsText" text="PASS"/>
    <x:cfRule type="containsText" dxfId="2" priority="3" operator="containsText" text="OPEN"/>
    <x:cfRule type="containsText" dxfId="3" priority="4" operator="containsText" text="HOLD"/>
    <x:cfRule type="containsText" dxfId="4" priority="5" operator="containsText" text="BLOCKED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27" hidden="0" customWidth="1"/>
    <x:col min="3" max="3" width="18" hidden="0" customWidth="1"/>
    <x:col min="4" max="4" width="18" hidden="0" customWidth="1"/>
    <x:col min="5" max="5" width="18" hidden="0" customWidth="1"/>
    <x:col min="6" max="6" width="19" hidden="0" customWidth="1"/>
    <x:col min="7" max="7" width="18" hidden="0" customWidth="1"/>
    <x:col min="8" max="8" width="18" hidden="0" customWidth="1"/>
    <x:col min="9" max="9" width="24" hidden="0" customWidth="1"/>
    <x:col min="10" max="10" width="18" hidden="0" customWidth="1"/>
    <x:col min="11" max="11" width="27" hidden="0" customWidth="1"/>
    <x:col min="12" max="12" width="13" hidden="0" customWidth="1"/>
  </x:cols>
  <x:sheetData>
    <x:row r="2" ht="18" customHeight="1">
      <x:c r="B2" s="4" t="str">
        <x:v>Formation evidence data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18" customHeight="1">
      <x:c r="B3" s="5" t="str">
        <x:v>Local capture survives network denial; the national archive receives a controlled copy after mission custody closes</x:v>
      </x:c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18" customHeight="1"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 ht="18" customHeight="1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</x:row>
    <x:row r="6" ht="18" customHeight="1">
      <x:c r="B6" s="23" t="str">
        <x:v>Lineage-family</x:v>
      </x:c>
      <x:c r="C6" s="24" t="str">
        <x:v>Tile rate MB/s</x:v>
      </x:c>
      <x:c r="D6" s="24" t="str">
        <x:v>Tile retention TB</x:v>
      </x:c>
      <x:c r="E6" s="24" t="str">
        <x:v>Tiles/formation</x:v>
      </x:c>
      <x:c r="F6" s="24" t="str">
        <x:v>Formation tile rate MB/s</x:v>
      </x:c>
      <x:c r="G6" s="24" t="str">
        <x:v>Article kit mass t</x:v>
      </x:c>
      <x:c r="H6" s="24" t="str">
        <x:v>Article kit power kW</x:v>
      </x:c>
      <x:c r="I6" s="24" t="str">
        <x:v>Owner</x:v>
      </x:c>
      <x:c r="J6" s="24" t="str">
        <x:v>State</x:v>
      </x:c>
      <x:c r="K6" s="24" t="str">
        <x:v>Purpose</x:v>
      </x:c>
      <x:c r="L6" s="24" t="str">
        <x:v>Control</x:v>
      </x:c>
    </x:row>
    <x:row r="7" ht="30" customHeight="1">
      <x:c r="B7" s="25" t="str">
        <x:v>Air-E</x:v>
      </x:c>
      <x:c r="C7" s="25" t="n">
        <x:f>SUM('Channel Register'!K7:K14)</x:f>
        <x:v>1.756896</x:v>
      </x:c>
      <x:c r="D7" s="25" t="n">
        <x:f>SUM('Channel Register'!L7:L14)</x:f>
        <x:v>1.0625707008</x:v>
      </x:c>
      <x:c r="E7" s="25" t="n">
        <x:v>12</x:v>
      </x:c>
      <x:c r="F7" s="25" t="n">
        <x:f>C7*E7</x:f>
        <x:v>21.082752</x:v>
      </x:c>
      <x:c r="G7" s="25" t="n">
        <x:f>E7*Assumptions!C43</x:f>
        <x:v>0.8999999999999999</x:v>
      </x:c>
      <x:c r="H7" s="25" t="n">
        <x:f>E7*Assumptions!C44</x:f>
        <x:v>0.6000000000000001</x:v>
      </x:c>
      <x:c r="I7" s="25" t="str">
        <x:v>Air E Evidence Authority</x:v>
      </x:c>
      <x:c r="J7" s="25" t="str">
        <x:v>OPEN</x:v>
      </x:c>
      <x:c r="K7" s="25" t="str">
        <x:v>article mechanism and boundary physics</x:v>
      </x:c>
      <x:c r="L7" s="27" t="str">
        <x:f>IF(D7&lt;=Assumptions!C31,"PASS","FAIL")</x:f>
        <x:v>PASS</x:v>
      </x:c>
    </x:row>
    <x:row r="8" ht="30" customHeight="1">
      <x:c r="B8" s="25" t="str">
        <x:v>Air-W</x:v>
      </x:c>
      <x:c r="C8" s="25" t="n">
        <x:f>SUM('Channel Register'!K15:K22)</x:f>
        <x:v>1.637472</x:v>
      </x:c>
      <x:c r="D8" s="25" t="n">
        <x:f>SUM('Channel Register'!L15:L22)</x:f>
        <x:v>0.9903430656000001</x:v>
      </x:c>
      <x:c r="E8" s="25" t="n">
        <x:v>12</x:v>
      </x:c>
      <x:c r="F8" s="25" t="n">
        <x:f>C8*E8</x:f>
        <x:v>19.649664</x:v>
      </x:c>
      <x:c r="G8" s="25" t="n">
        <x:f>E8*Assumptions!C43</x:f>
        <x:v>0.8999999999999999</x:v>
      </x:c>
      <x:c r="H8" s="25" t="n">
        <x:f>E8*Assumptions!C44</x:f>
        <x:v>0.6000000000000001</x:v>
      </x:c>
      <x:c r="I8" s="25" t="str">
        <x:v>Air W Evidence Authority</x:v>
      </x:c>
      <x:c r="J8" s="25" t="str">
        <x:v>OPEN</x:v>
      </x:c>
      <x:c r="K8" s="25" t="str">
        <x:v>article mechanism and boundary physics</x:v>
      </x:c>
      <x:c r="L8" s="27" t="str">
        <x:f>IF(D8&lt;=Assumptions!C31,"PASS","FAIL")</x:f>
        <x:v>PASS</x:v>
      </x:c>
    </x:row>
    <x:row r="9" ht="30" customHeight="1">
      <x:c r="B9" s="25" t="str">
        <x:v>Air-T</x:v>
      </x:c>
      <x:c r="C9" s="25" t="n">
        <x:f>SUM('Channel Register'!K23:K30)</x:f>
        <x:v>2.180224</x:v>
      </x:c>
      <x:c r="D9" s="25" t="n">
        <x:f>SUM('Channel Register'!L23:L30)</x:f>
        <x:v>1.3185994752</x:v>
      </x:c>
      <x:c r="E9" s="25" t="n">
        <x:v>12</x:v>
      </x:c>
      <x:c r="F9" s="25" t="n">
        <x:f>C9*E9</x:f>
        <x:v>26.162688</x:v>
      </x:c>
      <x:c r="G9" s="25" t="n">
        <x:f>E9*Assumptions!C43</x:f>
        <x:v>0.8999999999999999</x:v>
      </x:c>
      <x:c r="H9" s="25" t="n">
        <x:f>E9*Assumptions!C44</x:f>
        <x:v>0.6000000000000001</x:v>
      </x:c>
      <x:c r="I9" s="25" t="str">
        <x:v>Air T Evidence Authority</x:v>
      </x:c>
      <x:c r="J9" s="25" t="str">
        <x:v>OPEN</x:v>
      </x:c>
      <x:c r="K9" s="25" t="str">
        <x:v>article mechanism and boundary physics</x:v>
      </x:c>
      <x:c r="L9" s="27" t="str">
        <x:f>IF(D9&lt;=Assumptions!C31,"PASS","FAIL")</x:f>
        <x:v>PASS</x:v>
      </x:c>
    </x:row>
    <x:row r="10" ht="30" customHeight="1">
      <x:c r="B10" s="25" t="str">
        <x:v>Air-D</x:v>
      </x:c>
      <x:c r="C10" s="25" t="n">
        <x:f>SUM('Channel Register'!K31:K38)</x:f>
        <x:v>3.307584</x:v>
      </x:c>
      <x:c r="D10" s="25" t="n">
        <x:f>SUM('Channel Register'!L31:L38)</x:f>
        <x:v>2.0004268032</x:v>
      </x:c>
      <x:c r="E10" s="25" t="n">
        <x:v>12</x:v>
      </x:c>
      <x:c r="F10" s="25" t="n">
        <x:f>C10*E10</x:f>
        <x:v>39.691008</x:v>
      </x:c>
      <x:c r="G10" s="25" t="n">
        <x:f>E10*Assumptions!C43</x:f>
        <x:v>0.8999999999999999</x:v>
      </x:c>
      <x:c r="H10" s="25" t="n">
        <x:f>E10*Assumptions!C44</x:f>
        <x:v>0.6000000000000001</x:v>
      </x:c>
      <x:c r="I10" s="25" t="str">
        <x:v>Air D Evidence Authority</x:v>
      </x:c>
      <x:c r="J10" s="25" t="str">
        <x:v>OPEN</x:v>
      </x:c>
      <x:c r="K10" s="25" t="str">
        <x:v>article mechanism and boundary physics</x:v>
      </x:c>
      <x:c r="L10" s="27" t="str">
        <x:f>IF(D10&lt;=Assumptions!C31,"PASS","FAIL")</x:f>
        <x:v>PASS</x:v>
      </x:c>
    </x:row>
    <x:row r="11" ht="30" customHeight="1">
      <x:c r="B11" s="25" t="str">
        <x:v>Air-C</x:v>
      </x:c>
      <x:c r="C11" s="25" t="n">
        <x:f>SUM('Channel Register'!K39:K46)</x:f>
        <x:v>4.109248</x:v>
      </x:c>
      <x:c r="D11" s="25" t="n">
        <x:f>SUM('Channel Register'!L39:L46)</x:f>
        <x:v>2.4852731904</x:v>
      </x:c>
      <x:c r="E11" s="25" t="n">
        <x:v>12</x:v>
      </x:c>
      <x:c r="F11" s="25" t="n">
        <x:f>C11*E11</x:f>
        <x:v>49.310976</x:v>
      </x:c>
      <x:c r="G11" s="25" t="n">
        <x:f>E11*Assumptions!C43</x:f>
        <x:v>0.8999999999999999</x:v>
      </x:c>
      <x:c r="H11" s="25" t="n">
        <x:f>E11*Assumptions!C44</x:f>
        <x:v>0.6000000000000001</x:v>
      </x:c>
      <x:c r="I11" s="25" t="str">
        <x:v>Air C Evidence Authority</x:v>
      </x:c>
      <x:c r="J11" s="25" t="str">
        <x:v>OPEN</x:v>
      </x:c>
      <x:c r="K11" s="25" t="str">
        <x:v>article mechanism and boundary physics</x:v>
      </x:c>
      <x:c r="L11" s="27" t="str">
        <x:f>IF(D11&lt;=Assumptions!C31,"PASS","FAIL")</x:f>
        <x:v>PASS</x:v>
      </x:c>
    </x:row>
    <x:row r="12" ht="30" customHeight="1">
      <x:c r="B12" s="25" t="str">
        <x:v>Terrain-E</x:v>
      </x:c>
      <x:c r="C12" s="25" t="n">
        <x:f>SUM('Channel Register'!K47:K54)</x:f>
        <x:v>2.157048</x:v>
      </x:c>
      <x:c r="D12" s="25" t="n">
        <x:f>SUM('Channel Register'!L47:L54)</x:f>
        <x:v>1.3045826303999999</x:v>
      </x:c>
      <x:c r="E12" s="25" t="n">
        <x:v>10</x:v>
      </x:c>
      <x:c r="F12" s="25" t="n">
        <x:f>C12*E12</x:f>
        <x:v>21.57048</x:v>
      </x:c>
      <x:c r="G12" s="25" t="n">
        <x:f>E12*Assumptions!C43</x:f>
        <x:v>0.75</x:v>
      </x:c>
      <x:c r="H12" s="25" t="n">
        <x:f>E12*Assumptions!C44</x:f>
        <x:v>0.5</x:v>
      </x:c>
      <x:c r="I12" s="25" t="str">
        <x:v>Terrain E Evidence Authority</x:v>
      </x:c>
      <x:c r="J12" s="25" t="str">
        <x:v>OPEN</x:v>
      </x:c>
      <x:c r="K12" s="25" t="str">
        <x:v>article mechanism and boundary physics</x:v>
      </x:c>
      <x:c r="L12" s="27" t="str">
        <x:f>IF(D12&lt;=Assumptions!C31,"PASS","FAIL")</x:f>
        <x:v>PASS</x:v>
      </x:c>
    </x:row>
    <x:row r="13" ht="30" customHeight="1">
      <x:c r="B13" s="25" t="str">
        <x:v>Terrain-W</x:v>
      </x:c>
      <x:c r="C13" s="25" t="n">
        <x:f>SUM('Channel Register'!K55:K62)</x:f>
        <x:v>2.02952</x:v>
      </x:c>
      <x:c r="D13" s="25" t="n">
        <x:f>SUM('Channel Register'!L55:L62)</x:f>
        <x:v>1.227453696</x:v>
      </x:c>
      <x:c r="E13" s="25" t="n">
        <x:v>10</x:v>
      </x:c>
      <x:c r="F13" s="25" t="n">
        <x:f>C13*E13</x:f>
        <x:v>20.2952</x:v>
      </x:c>
      <x:c r="G13" s="25" t="n">
        <x:f>E13*Assumptions!C43</x:f>
        <x:v>0.75</x:v>
      </x:c>
      <x:c r="H13" s="25" t="n">
        <x:f>E13*Assumptions!C44</x:f>
        <x:v>0.5</x:v>
      </x:c>
      <x:c r="I13" s="25" t="str">
        <x:v>Terrain W Evidence Authority</x:v>
      </x:c>
      <x:c r="J13" s="25" t="str">
        <x:v>OPEN</x:v>
      </x:c>
      <x:c r="K13" s="25" t="str">
        <x:v>article mechanism and boundary physics</x:v>
      </x:c>
      <x:c r="L13" s="27" t="str">
        <x:f>IF(D13&lt;=Assumptions!C31,"PASS","FAIL")</x:f>
        <x:v>PASS</x:v>
      </x:c>
    </x:row>
    <x:row r="14" ht="30" customHeight="1">
      <x:c r="B14" s="25" t="str">
        <x:v>Terrain-T</x:v>
      </x:c>
      <x:c r="C14" s="25" t="n">
        <x:f>SUM('Channel Register'!K63:K70)</x:f>
        <x:v>2.701896</x:v>
      </x:c>
      <x:c r="D14" s="25" t="n">
        <x:f>SUM('Channel Register'!L63:L70)</x:f>
        <x:v>1.6341067008</x:v>
      </x:c>
      <x:c r="E14" s="25" t="n">
        <x:v>10</x:v>
      </x:c>
      <x:c r="F14" s="25" t="n">
        <x:f>C14*E14</x:f>
        <x:v>27.01896</x:v>
      </x:c>
      <x:c r="G14" s="25" t="n">
        <x:f>E14*Assumptions!C43</x:f>
        <x:v>0.75</x:v>
      </x:c>
      <x:c r="H14" s="25" t="n">
        <x:f>E14*Assumptions!C44</x:f>
        <x:v>0.5</x:v>
      </x:c>
      <x:c r="I14" s="25" t="str">
        <x:v>Terrain T Evidence Authority</x:v>
      </x:c>
      <x:c r="J14" s="25" t="str">
        <x:v>OPEN</x:v>
      </x:c>
      <x:c r="K14" s="25" t="str">
        <x:v>article mechanism and boundary physics</x:v>
      </x:c>
      <x:c r="L14" s="27" t="str">
        <x:f>IF(D14&lt;=Assumptions!C31,"PASS","FAIL")</x:f>
        <x:v>PASS</x:v>
      </x:c>
    </x:row>
    <x:row r="15" ht="30" customHeight="1">
      <x:c r="B15" s="25" t="str">
        <x:v>Terrain-D</x:v>
      </x:c>
      <x:c r="C15" s="25" t="n">
        <x:f>SUM('Channel Register'!K71:K78)</x:f>
        <x:v>4.096456</x:v>
      </x:c>
      <x:c r="D15" s="25" t="n">
        <x:f>SUM('Channel Register'!L71:L78)</x:f>
        <x:v>2.4775365887999996</x:v>
      </x:c>
      <x:c r="E15" s="25" t="n">
        <x:v>10</x:v>
      </x:c>
      <x:c r="F15" s="25" t="n">
        <x:f>C15*E15</x:f>
        <x:v>40.96456</x:v>
      </x:c>
      <x:c r="G15" s="25" t="n">
        <x:f>E15*Assumptions!C43</x:f>
        <x:v>0.75</x:v>
      </x:c>
      <x:c r="H15" s="25" t="n">
        <x:f>E15*Assumptions!C44</x:f>
        <x:v>0.5</x:v>
      </x:c>
      <x:c r="I15" s="25" t="str">
        <x:v>Terrain D Evidence Authority</x:v>
      </x:c>
      <x:c r="J15" s="25" t="str">
        <x:v>OPEN</x:v>
      </x:c>
      <x:c r="K15" s="25" t="str">
        <x:v>article mechanism and boundary physics</x:v>
      </x:c>
      <x:c r="L15" s="27" t="str">
        <x:f>IF(D15&lt;=Assumptions!C31,"PASS","FAIL")</x:f>
        <x:v>PASS</x:v>
      </x:c>
    </x:row>
    <x:row r="16" ht="30" customHeight="1">
      <x:c r="B16" s="29" t="str">
        <x:v>Terrain-C</x:v>
      </x:c>
      <x:c r="C16" s="29" t="n">
        <x:f>SUM('Channel Register'!K79:K86)</x:f>
        <x:v>5.126616</x:v>
      </x:c>
      <x:c r="D16" s="29" t="n">
        <x:f>SUM('Channel Register'!L79:L86)</x:f>
        <x:v>3.1005773568</x:v>
      </x:c>
      <x:c r="E16" s="29" t="n">
        <x:v>10</x:v>
      </x:c>
      <x:c r="F16" s="29" t="n">
        <x:f>C16*E16</x:f>
        <x:v>51.26616</x:v>
      </x:c>
      <x:c r="G16" s="29" t="n">
        <x:f>E16*Assumptions!C43</x:f>
        <x:v>0.75</x:v>
      </x:c>
      <x:c r="H16" s="29" t="n">
        <x:f>E16*Assumptions!C44</x:f>
        <x:v>0.5</x:v>
      </x:c>
      <x:c r="I16" s="29" t="str">
        <x:v>Terrain C Evidence Authority</x:v>
      </x:c>
      <x:c r="J16" s="29" t="str">
        <x:v>OPEN</x:v>
      </x:c>
      <x:c r="K16" s="29" t="str">
        <x:v>article mechanism and boundary physics</x:v>
      </x:c>
      <x:c r="L16" s="31" t="str">
        <x:f>IF(D16&lt;=Assumptions!C31,"PASS","FAIL")</x:f>
        <x:v>PASS</x:v>
      </x:c>
    </x:row>
    <x:row r="17" ht="18" customHeight="1"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</x:row>
    <x:row r="18" ht="18" customHeight="1"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</x:row>
    <x:row r="19" ht="18" customHeight="1">
      <x:c r="B19" s="9" t="str">
        <x:v>Complete mission data</x:v>
      </x:c>
      <x:c r="C19" s="10" t="str">
        <x:v>Complete mission data</x:v>
      </x:c>
      <x:c r="D19" s="10" t="str">
        <x:v>Complete mission data</x:v>
      </x:c>
      <x:c r="E19" s="10" t="str">
        <x:v>Complete mission data</x:v>
      </x:c>
      <x:c r="F19" s="10" t="str">
        <x:v>Complete mission data</x:v>
      </x:c>
      <x:c r="G19" s="10" t="str">
        <x:v>Complete mission data</x:v>
      </x:c>
      <x:c r="H19" s="10" t="str">
        <x:v>Complete mission data</x:v>
      </x:c>
      <x:c r="I19" s="10" t="str">
        <x:v>Complete mission data</x:v>
      </x:c>
      <x:c r="J19" s="10" t="str">
        <x:v>Complete mission data</x:v>
      </x:c>
      <x:c r="K19" s="10" t="str">
        <x:v>Complete mission data</x:v>
      </x:c>
      <x:c r="L19" s="11" t="str">
        <x:v>Complete mission data</x:v>
      </x:c>
    </x:row>
    <x:row r="20" ht="18" customHeight="1">
      <x:c r="B20" s="17" t="str">
        <x:v>Mode</x:v>
      </x:c>
      <x:c r="C20" s="18" t="str">
        <x:v>Tile rate MB/s</x:v>
      </x:c>
      <x:c r="D20" s="18" t="str">
        <x:v>Carrier rate MB/s</x:v>
      </x:c>
      <x:c r="E20" s="18" t="str">
        <x:v>Receiver MB/s</x:v>
      </x:c>
      <x:c r="F20" s="18" t="str">
        <x:v>Range MB/s</x:v>
      </x:c>
      <x:c r="G20" s="18" t="str">
        <x:v>Civil MB/s</x:v>
      </x:c>
      <x:c r="H20" s="18" t="str">
        <x:v>Mobile lab MB/s</x:v>
      </x:c>
      <x:c r="I20" s="18" t="str">
        <x:v>Total MB/s</x:v>
      </x:c>
      <x:c r="J20" s="18" t="str">
        <x:v>Mission TB</x:v>
      </x:c>
      <x:c r="K20" s="18" t="str">
        <x:v>Required network Gb/s</x:v>
      </x:c>
      <x:c r="L20" s="19" t="str">
        <x:v>Result</x:v>
      </x:c>
    </x:row>
    <x:row r="21" ht="18" customHeight="1">
      <x:c r="B21" s="3" t="str">
        <x:v>Air</x:v>
      </x:c>
      <x:c r="C21" s="3" t="n">
        <x:f>SUM(F7:F11)</x:f>
        <x:v>155.897088</x:v>
      </x:c>
      <x:c r="D21" s="3" t="n">
        <x:v>36</x:v>
      </x:c>
      <x:c r="E21" s="3" t="n">
        <x:v>40</x:v>
      </x:c>
      <x:c r="F21" s="3" t="n">
        <x:v>20</x:v>
      </x:c>
      <x:c r="G21" s="3" t="n">
        <x:v>2</x:v>
      </x:c>
      <x:c r="H21" s="3" t="n">
        <x:v>10</x:v>
      </x:c>
      <x:c r="I21" s="3" t="n">
        <x:f>SUM(C21:H21)</x:f>
        <x:v>263.897088</x:v>
      </x:c>
      <x:c r="J21" s="3" t="n">
        <x:f>I21*Assumptions!C22*3600/1000000</x:f>
        <x:v>159.6049588224</x:v>
      </x:c>
      <x:c r="K21" s="3" t="n">
        <x:f>I21*8/1000*Assumptions!C29</x:f>
        <x:v>4.6445887488</x:v>
      </x:c>
      <x:c r="L21" s="3" t="str">
        <x:f>IF(K21&lt;=Assumptions!C30,"PASS","FAIL")</x:f>
        <x:v>PASS</x:v>
      </x:c>
    </x:row>
    <x:row r="22" ht="18" customHeight="1">
      <x:c r="B22" s="3" t="str">
        <x:v>Terrain</x:v>
      </x:c>
      <x:c r="C22" s="3" t="n">
        <x:f>SUM(F12:F16)</x:f>
        <x:v>161.11536</x:v>
      </x:c>
      <x:c r="D22" s="3" t="n">
        <x:v>100</x:v>
      </x:c>
      <x:c r="E22" s="3" t="n">
        <x:v>40</x:v>
      </x:c>
      <x:c r="F22" s="3" t="n">
        <x:v>20</x:v>
      </x:c>
      <x:c r="G22" s="3" t="n">
        <x:v>2</x:v>
      </x:c>
      <x:c r="H22" s="3" t="n">
        <x:v>10</x:v>
      </x:c>
      <x:c r="I22" s="3" t="n">
        <x:f>SUM(C22:H22)</x:f>
        <x:v>333.11536</x:v>
      </x:c>
      <x:c r="J22" s="3" t="n">
        <x:f>I22*Assumptions!C22*3600/1000000</x:f>
        <x:v>201.468169728</x:v>
      </x:c>
      <x:c r="K22" s="3" t="n">
        <x:f>I22*8/1000*Assumptions!C29</x:f>
        <x:v>5.862830336000001</x:v>
      </x:c>
      <x:c r="L22" s="3" t="str">
        <x:f>IF(K22&lt;=Assumptions!C30,"PASS","FAIL")</x:f>
        <x:v>PASS</x:v>
      </x:c>
    </x:row>
    <x:row r="23" ht="18" customHeight="1"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</x:row>
    <x:row r="24" ht="18" customHeight="1"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</x:row>
    <x:row r="25" ht="18" customHeight="1">
      <x:c r="B25" s="9" t="str">
        <x:v>Campaign archive</x:v>
      </x:c>
      <x:c r="C25" s="10" t="str">
        <x:v>Campaign archive</x:v>
      </x:c>
      <x:c r="D25" s="10" t="str">
        <x:v>Campaign archive</x:v>
      </x:c>
      <x:c r="E25" s="10" t="str">
        <x:v>Campaign archive</x:v>
      </x:c>
      <x:c r="F25" s="10" t="str">
        <x:v>Campaign archive</x:v>
      </x:c>
      <x:c r="G25" s="10" t="str">
        <x:v>Campaign archive</x:v>
      </x:c>
      <x:c r="H25" s="10" t="str">
        <x:v>Campaign archive</x:v>
      </x:c>
      <x:c r="I25" s="10" t="str">
        <x:v>Campaign archive</x:v>
      </x:c>
      <x:c r="J25" s="10" t="str">
        <x:v>Campaign archive</x:v>
      </x:c>
      <x:c r="K25" s="10" t="str">
        <x:v>Campaign archive</x:v>
      </x:c>
      <x:c r="L25" s="11" t="str">
        <x:v>Campaign archive</x:v>
      </x:c>
    </x:row>
    <x:row r="26" ht="18" customHeight="1">
      <x:c r="B26" s="23" t="str">
        <x:v>Measure</x:v>
      </x:c>
      <x:c r="C26" s="24" t="str">
        <x:v>Value</x:v>
      </x:c>
      <x:c r="D26" s="24" t="str">
        <x:v>Unit</x:v>
      </x:c>
      <x:c r="E26" s="24" t="str">
        <x:v>Meaning</x:v>
      </x:c>
      <x:c r="F26" s="24" t="str">
        <x:v>Result</x:v>
      </x:c>
      <x:c r="G26" s="3"/>
      <x:c r="H26" s="3"/>
      <x:c r="I26" s="3"/>
      <x:c r="J26" s="3"/>
      <x:c r="K26" s="3"/>
      <x:c r="L26" s="3"/>
    </x:row>
    <x:row r="27" ht="34" customHeight="1">
      <x:c r="B27" s="25" t="str">
        <x:v>Raw mission data</x:v>
      </x:c>
      <x:c r="C27" s="25" t="n">
        <x:f>(J21*Assumptions!C20+J22*Assumptions!C21)/1000</x:f>
        <x:v>36.10731285504</x:v>
      </x:c>
      <x:c r="D27" s="25" t="str">
        <x:v>PB</x:v>
      </x:c>
      <x:c r="E27" s="25" t="str">
        <x:v>one hundred missions per mode before copies</x:v>
      </x:c>
      <x:c r="F27" s="27" t="str">
        <x:f>IF(C27&gt;0,"PASS","FAIL")</x:f>
        <x:v>PASS</x:v>
      </x:c>
      <x:c r="G27" s="3"/>
      <x:c r="H27" s="3"/>
      <x:c r="I27" s="3"/>
      <x:c r="J27" s="3"/>
      <x:c r="K27" s="3"/>
      <x:c r="L27" s="3"/>
    </x:row>
    <x:row r="28" ht="34" customHeight="1">
      <x:c r="B28" s="25" t="str">
        <x:v>Three-copy ingest</x:v>
      </x:c>
      <x:c r="C28" s="25" t="n">
        <x:f>C27*Assumptions!C28</x:f>
        <x:v>108.32193856512</x:v>
      </x:c>
      <x:c r="D28" s="25" t="str">
        <x:v>PB</x:v>
      </x:c>
      <x:c r="E28" s="25" t="str">
        <x:v>raw data in three separate custodial stores</x:v>
      </x:c>
      <x:c r="F28" s="27" t="str">
        <x:f>IF(C28=C27*3,"PASS","FAIL")</x:f>
        <x:v>PASS</x:v>
      </x:c>
      <x:c r="G28" s="3"/>
      <x:c r="H28" s="3"/>
      <x:c r="I28" s="3"/>
      <x:c r="J28" s="3"/>
      <x:c r="K28" s="3"/>
      <x:c r="L28" s="3"/>
    </x:row>
    <x:row r="29" ht="34" customHeight="1">
      <x:c r="B29" s="25" t="str">
        <x:v>Long-term selected raw</x:v>
      </x:c>
      <x:c r="C29" s="25" t="n">
        <x:f>C27*Assumptions!C25*Assumptions!C28</x:f>
        <x:v>12.9986326278144</x:v>
      </x:c>
      <x:c r="D29" s="25" t="str">
        <x:v>PB</x:v>
      </x:c>
      <x:c r="E29" s="25" t="str">
        <x:v>retained raw windows with all copies</x:v>
      </x:c>
      <x:c r="F29" s="27" t="str">
        <x:f>IF(C29&gt;0,"PASS","FAIL")</x:f>
        <x:v>PASS</x:v>
      </x:c>
      <x:c r="G29" s="3"/>
      <x:c r="H29" s="3"/>
      <x:c r="I29" s="3"/>
      <x:c r="J29" s="3"/>
      <x:c r="K29" s="3"/>
      <x:c r="L29" s="3"/>
    </x:row>
    <x:row r="30" ht="34" customHeight="1">
      <x:c r="B30" s="25" t="str">
        <x:v>Derived features</x:v>
      </x:c>
      <x:c r="C30" s="25" t="n">
        <x:f>C27*Assumptions!C26*Assumptions!C28</x:f>
        <x:v>2.1664387713024</x:v>
      </x:c>
      <x:c r="D30" s="25" t="str">
        <x:v>PB</x:v>
      </x:c>
      <x:c r="E30" s="25" t="str">
        <x:v>features and registered event windows with all copies</x:v>
      </x:c>
      <x:c r="F30" s="27" t="str">
        <x:f>IF(C30&gt;0,"PASS","FAIL")</x:f>
        <x:v>PASS</x:v>
      </x:c>
      <x:c r="G30" s="3"/>
      <x:c r="H30" s="3"/>
      <x:c r="I30" s="3"/>
      <x:c r="J30" s="3"/>
      <x:c r="K30" s="3"/>
      <x:c r="L30" s="3"/>
    </x:row>
    <x:row r="31" ht="34" customHeight="1">
      <x:c r="B31" s="25" t="str">
        <x:v>Civil evidence packets</x:v>
      </x:c>
      <x:c r="C31" s="25" t="n">
        <x:f>Assumptions!C27*Assumptions!C28</x:f>
        <x:v>1.5</x:v>
      </x:c>
      <x:c r="D31" s="25" t="str">
        <x:v>PB</x:v>
      </x:c>
      <x:c r="E31" s="25" t="str">
        <x:v>assay rights release and environmental records</x:v>
      </x:c>
      <x:c r="F31" s="27" t="str">
        <x:f>IF(C31=1.5,"PASS","FAIL")</x:f>
        <x:v>PASS</x:v>
      </x:c>
      <x:c r="G31" s="3"/>
      <x:c r="H31" s="3"/>
      <x:c r="I31" s="3"/>
      <x:c r="J31" s="3"/>
      <x:c r="K31" s="3"/>
      <x:c r="L31" s="3"/>
    </x:row>
    <x:row r="32" ht="34" customHeight="1">
      <x:c r="B32" s="29" t="str">
        <x:v>Canonical retained evidence</x:v>
      </x:c>
      <x:c r="C32" s="29" t="n">
        <x:f>SUM(C29:C31)</x:f>
        <x:v>16.6650713991168</x:v>
      </x:c>
      <x:c r="D32" s="29" t="str">
        <x:v>PB</x:v>
      </x:c>
      <x:c r="E32" s="29" t="str">
        <x:v>selected raw features and civil packets</x:v>
      </x:c>
      <x:c r="F32" s="31" t="str">
        <x:f>IF(C32=SUM(C29:C31),"PASS","FAIL")</x:f>
        <x:v>PASS</x:v>
      </x:c>
      <x:c r="G32" s="3"/>
      <x:c r="H32" s="3"/>
      <x:c r="I32" s="3"/>
      <x:c r="J32" s="3"/>
      <x:c r="K32" s="3"/>
      <x:c r="L32" s="3"/>
    </x:row>
    <x:row r="33" ht="18" customHeight="1"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</x:row>
    <x:row r="34" ht="18" customHeight="1"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</x:row>
    <x:row r="35" ht="18" customHeight="1"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</x:row>
    <x:row r="36" ht="18" customHeight="1"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</x:row>
    <x:row r="37" ht="18" customHeight="1"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</x:row>
  </x:sheetData>
  <x:mergeCells>
    <x:mergeCell ref="B2:H2"/>
    <x:mergeCell ref="B3:L3"/>
    <x:mergeCell ref="B19:L19"/>
    <x:mergeCell ref="B25:L25"/>
  </x:mergeCells>
  <x:conditionalFormatting sqref="J7:J16">
    <x:cfRule type="containsText" dxfId="10" priority="1" operator="containsText" text="FAIL"/>
    <x:cfRule type="containsText" dxfId="11" priority="2" operator="containsText" text="PASS"/>
    <x:cfRule type="containsText" dxfId="12" priority="3" operator="containsText" text="OPEN"/>
    <x:cfRule type="containsText" dxfId="13" priority="4" operator="containsText" text="HOLD"/>
    <x:cfRule type="containsText" dxfId="14" priority="5" operator="containsText" text="BLOCKED"/>
  </x:conditionalFormatting>
  <x:conditionalFormatting sqref="L7:L16">
    <x:cfRule type="containsText" dxfId="15" priority="6" operator="containsText" text="FAIL"/>
    <x:cfRule type="containsText" dxfId="16" priority="7" operator="containsText" text="PASS"/>
    <x:cfRule type="containsText" dxfId="17" priority="8" operator="containsText" text="OPEN"/>
    <x:cfRule type="containsText" dxfId="18" priority="9" operator="containsText" text="HOLD"/>
    <x:cfRule type="containsText" dxfId="19" priority="10" operator="containsText" text="BLOCKED"/>
  </x:conditionalFormatting>
  <x:conditionalFormatting sqref="L21:L22">
    <x:cfRule type="containsText" dxfId="20" priority="11" operator="containsText" text="FAIL"/>
    <x:cfRule type="containsText" dxfId="21" priority="12" operator="containsText" text="PASS"/>
    <x:cfRule type="containsText" dxfId="22" priority="13" operator="containsText" text="OPEN"/>
    <x:cfRule type="containsText" dxfId="23" priority="14" operator="containsText" text="HOLD"/>
    <x:cfRule type="containsText" dxfId="24" priority="15" operator="containsText" text="BLOCKED"/>
  </x:conditionalFormatting>
  <x:conditionalFormatting sqref="F27:F32">
    <x:cfRule type="containsText" dxfId="25" priority="16" operator="containsText" text="FAIL"/>
    <x:cfRule type="containsText" dxfId="26" priority="17" operator="containsText" text="PASS"/>
    <x:cfRule type="containsText" dxfId="27" priority="18" operator="containsText" text="OPEN"/>
    <x:cfRule type="containsText" dxfId="28" priority="19" operator="containsText" text="HOLD"/>
    <x:cfRule type="containsText" dxfId="29" priority="20" operator="containsText" text="BLOCKED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29" hidden="0" customWidth="1"/>
    <x:col min="3" max="3" width="18" hidden="0" customWidth="1"/>
    <x:col min="4" max="4" width="21" hidden="0" customWidth="1"/>
    <x:col min="5" max="5" width="17" hidden="0" customWidth="1"/>
    <x:col min="6" max="6" width="31" hidden="0" customWidth="1"/>
    <x:col min="7" max="7" width="26" hidden="0" customWidth="1"/>
    <x:col min="8" max="8" width="26" hidden="0" customWidth="1"/>
    <x:col min="9" max="9" width="13" hidden="0" customWidth="1"/>
    <x:col min="10" max="10" width="28" hidden="0" customWidth="1"/>
  </x:cols>
  <x:sheetData>
    <x:row r="2" ht="18" customHeight="1">
      <x:c r="B2" s="4" t="str">
        <x:v>Terrain service-time uncertainty</x:v>
      </x:c>
      <x:c r="C2" s="3"/>
      <x:c r="D2" s="3"/>
      <x:c r="E2" s="3"/>
      <x:c r="F2" s="3"/>
      <x:c r="G2" s="3"/>
      <x:c r="H2" s="3"/>
      <x:c r="I2" s="3"/>
      <x:c r="J2" s="3"/>
    </x:row>
    <x:row r="3" ht="18" customHeight="1">
      <x:c r="B3" s="5" t="str">
        <x:v>The verdict must discriminate a 650-second modeled margin without allowing timestamps or event definitions to consume it</x:v>
      </x:c>
      <x:c r="C3" s="3"/>
      <x:c r="D3" s="3"/>
      <x:c r="E3" s="3"/>
      <x:c r="F3" s="3"/>
      <x:c r="G3" s="3"/>
      <x:c r="H3" s="3"/>
      <x:c r="I3" s="3"/>
      <x:c r="J3" s="3"/>
    </x:row>
    <x:row r="4" ht="18" customHeight="1">
      <x:c r="B4" s="6"/>
      <x:c r="C4" s="6"/>
      <x:c r="D4" s="6"/>
      <x:c r="E4" s="6"/>
      <x:c r="F4" s="6"/>
      <x:c r="G4" s="6"/>
      <x:c r="H4" s="6"/>
      <x:c r="I4" s="6"/>
      <x:c r="J4" s="6"/>
    </x:row>
    <x:row r="5" ht="18" customHeight="1">
      <x:c r="B5" s="3"/>
      <x:c r="C5" s="3"/>
      <x:c r="D5" s="3"/>
      <x:c r="E5" s="3"/>
      <x:c r="F5" s="3"/>
      <x:c r="G5" s="3"/>
      <x:c r="H5" s="3"/>
      <x:c r="I5" s="3"/>
      <x:c r="J5" s="3"/>
    </x:row>
    <x:row r="6" ht="18" customHeight="1">
      <x:c r="B6" s="23" t="str">
        <x:v>Component</x:v>
      </x:c>
      <x:c r="C6" s="24" t="str">
        <x:v>Embedded logs u(s)</x:v>
      </x:c>
      <x:c r="D6" s="24" t="str">
        <x:v>Independent logger u(s)</x:v>
      </x:c>
      <x:c r="E6" s="24" t="str">
        <x:v>MESA-1 u(s)</x:v>
      </x:c>
      <x:c r="F6" s="24" t="str">
        <x:v>Physical event</x:v>
      </x:c>
      <x:c r="G6" s="24" t="str">
        <x:v>Authority</x:v>
      </x:c>
      <x:c r="H6" s="24" t="str">
        <x:v>Correlation control</x:v>
      </x:c>
      <x:c r="I6" s="24" t="str">
        <x:v>State</x:v>
      </x:c>
      <x:c r="J6" s="24" t="str">
        <x:v>Note</x:v>
      </x:c>
    </x:row>
    <x:row r="7" ht="27" customHeight="1">
      <x:c r="B7" s="25" t="str">
        <x:v>Origin release</x:v>
      </x:c>
      <x:c r="C7" s="25" t="n">
        <x:v>120</x:v>
      </x:c>
      <x:c r="D7" s="25" t="n">
        <x:v>30</x:v>
      </x:c>
      <x:c r="E7" s="25" t="n">
        <x:v>15</x:v>
      </x:c>
      <x:c r="F7" s="25" t="str">
        <x:v>civil dispatch authority becomes irrevocable</x:v>
      </x:c>
      <x:c r="G7" s="25" t="str">
        <x:v>civil authority</x:v>
      </x:c>
      <x:c r="H7" s="25" t="str">
        <x:v>separate signed clocked record</x:v>
      </x:c>
      <x:c r="I7" s="25" t="str">
        <x:v>OPEN</x:v>
      </x:c>
      <x:c r="J7" s="27" t="str"/>
    </x:row>
    <x:row r="8" ht="27" customHeight="1">
      <x:c r="B8" s="25" t="str">
        <x:v>Arrival boundary</x:v>
      </x:c>
      <x:c r="C8" s="25" t="n">
        <x:v>60</x:v>
      </x:c>
      <x:c r="D8" s="25" t="n">
        <x:v>10</x:v>
      </x:c>
      <x:c r="E8" s="25" t="n">
        <x:v>2</x:v>
      </x:c>
      <x:c r="F8" s="25" t="str">
        <x:v>carrier crosses registered receiver boundary</x:v>
      </x:c>
      <x:c r="G8" s="25" t="str">
        <x:v>range evidence</x:v>
      </x:c>
      <x:c r="H8" s="25" t="str">
        <x:v>independent geofence and optical line</x:v>
      </x:c>
      <x:c r="I8" s="25" t="str">
        <x:v>OPEN</x:v>
      </x:c>
      <x:c r="J8" s="27" t="str"/>
    </x:row>
    <x:row r="9" ht="27" customHeight="1">
      <x:c r="B9" s="25" t="str">
        <x:v>Ground secure</x:v>
      </x:c>
      <x:c r="C9" s="25" t="n">
        <x:v>120</x:v>
      </x:c>
      <x:c r="D9" s="25" t="n">
        <x:v>20</x:v>
      </x:c>
      <x:c r="E9" s="25" t="n">
        <x:v>5</x:v>
      </x:c>
      <x:c r="F9" s="25" t="str">
        <x:v>carrier declares certified stable state</x:v>
      </x:c>
      <x:c r="G9" s="25" t="str">
        <x:v>vehicle evidence</x:v>
      </x:c>
      <x:c r="H9" s="25" t="str">
        <x:v>load and motion witnesses</x:v>
      </x:c>
      <x:c r="I9" s="25" t="str">
        <x:v>OPEN</x:v>
      </x:c>
      <x:c r="J9" s="27" t="str"/>
    </x:row>
    <x:row r="10" ht="27" customHeight="1">
      <x:c r="B10" s="25" t="str">
        <x:v>Last-tile custody</x:v>
      </x:c>
      <x:c r="C10" s="25" t="n">
        <x:v>300</x:v>
      </x:c>
      <x:c r="D10" s="25" t="n">
        <x:v>60</x:v>
      </x:c>
      <x:c r="E10" s="25" t="n">
        <x:v>15</x:v>
      </x:c>
      <x:c r="F10" s="25" t="str">
        <x:v>last required article transfers authority</x:v>
      </x:c>
      <x:c r="G10" s="25" t="str">
        <x:v>article evidence</x:v>
      </x:c>
      <x:c r="H10" s="25" t="str">
        <x:v>saddle plus receiver witness</x:v>
      </x:c>
      <x:c r="I10" s="25" t="str">
        <x:v>OPEN</x:v>
      </x:c>
      <x:c r="J10" s="27" t="str"/>
    </x:row>
    <x:row r="11" ht="27" customHeight="1">
      <x:c r="B11" s="25" t="str">
        <x:v>Energy ready</x:v>
      </x:c>
      <x:c r="C11" s="25" t="n">
        <x:v>180</x:v>
      </x:c>
      <x:c r="D11" s="25" t="n">
        <x:v>60</x:v>
      </x:c>
      <x:c r="E11" s="25" t="n">
        <x:v>20</x:v>
      </x:c>
      <x:c r="F11" s="25" t="str">
        <x:v>public bus meets voltage frequency and protection</x:v>
      </x:c>
      <x:c r="G11" s="25" t="str">
        <x:v>energy evidence</x:v>
      </x:c>
      <x:c r="H11" s="25" t="str">
        <x:v>independent waveform meter</x:v>
      </x:c>
      <x:c r="I11" s="25" t="str">
        <x:v>OPEN</x:v>
      </x:c>
      <x:c r="J11" s="27" t="str"/>
    </x:row>
    <x:row r="12" ht="27" customHeight="1">
      <x:c r="B12" s="25" t="str">
        <x:v>Water stable</x:v>
      </x:c>
      <x:c r="C12" s="25" t="n">
        <x:v>300</x:v>
      </x:c>
      <x:c r="D12" s="25" t="n">
        <x:v>90</x:v>
      </x:c>
      <x:c r="E12" s="25" t="n">
        <x:v>30</x:v>
      </x:c>
      <x:c r="F12" s="25" t="str">
        <x:v>flow and quality preconditions stabilize</x:v>
      </x:c>
      <x:c r="G12" s="25" t="str">
        <x:v>water evidence</x:v>
      </x:c>
      <x:c r="H12" s="25" t="str">
        <x:v>reference flow and process samples</x:v>
      </x:c>
      <x:c r="I12" s="25" t="str">
        <x:v>OPEN</x:v>
      </x:c>
      <x:c r="J12" s="27" t="str"/>
    </x:row>
    <x:row r="13" ht="27" customHeight="1">
      <x:c r="B13" s="25" t="str">
        <x:v>Assay release</x:v>
      </x:c>
      <x:c r="C13" s="25" t="n">
        <x:v>600</x:v>
      </x:c>
      <x:c r="D13" s="25" t="n">
        <x:v>180</x:v>
      </x:c>
      <x:c r="E13" s="25" t="n">
        <x:v>90</x:v>
      </x:c>
      <x:c r="F13" s="25" t="str">
        <x:v>independent assay closes registered analytes</x:v>
      </x:c>
      <x:c r="G13" s="25" t="str">
        <x:v>civil laboratory</x:v>
      </x:c>
      <x:c r="H13" s="25" t="str">
        <x:v>separate samples and chain</x:v>
      </x:c>
      <x:c r="I13" s="25" t="str">
        <x:v>OPEN</x:v>
      </x:c>
      <x:c r="J13" s="27" t="str"/>
    </x:row>
    <x:row r="14" ht="27" customHeight="1">
      <x:c r="B14" s="25" t="str">
        <x:v>Thermal steady state</x:v>
      </x:c>
      <x:c r="C14" s="25" t="n">
        <x:v>300</x:v>
      </x:c>
      <x:c r="D14" s="25" t="n">
        <x:v>120</x:v>
      </x:c>
      <x:c r="E14" s="25" t="n">
        <x:v>45</x:v>
      </x:c>
      <x:c r="F14" s="25" t="str">
        <x:v>occupied envelope and rejection remain stable</x:v>
      </x:c>
      <x:c r="G14" s="25" t="str">
        <x:v>thermal evidence</x:v>
      </x:c>
      <x:c r="H14" s="25" t="str">
        <x:v>independent heat balance</x:v>
      </x:c>
      <x:c r="I14" s="25" t="str">
        <x:v>OPEN</x:v>
      </x:c>
      <x:c r="J14" s="27" t="str"/>
    </x:row>
    <x:row r="15" ht="27" customHeight="1">
      <x:c r="B15" s="25" t="str">
        <x:v>Civil release</x:v>
      </x:c>
      <x:c r="C15" s="25" t="n">
        <x:v>300</x:v>
      </x:c>
      <x:c r="D15" s="25" t="n">
        <x:v>90</x:v>
      </x:c>
      <x:c r="E15" s="25" t="n">
        <x:v>20</x:v>
      </x:c>
      <x:c r="F15" s="25" t="str">
        <x:v>authorized public service begins</x:v>
      </x:c>
      <x:c r="G15" s="25" t="str">
        <x:v>civil authority</x:v>
      </x:c>
      <x:c r="H15" s="25" t="str">
        <x:v>separate release ledger</x:v>
      </x:c>
      <x:c r="I15" s="25" t="str">
        <x:v>OPEN</x:v>
      </x:c>
      <x:c r="J15" s="27" t="str"/>
    </x:row>
    <x:row r="16" ht="27" customHeight="1">
      <x:c r="B16" s="25" t="str">
        <x:v>Clock synchronization</x:v>
      </x:c>
      <x:c r="C16" s="25" t="n">
        <x:v>10</x:v>
      </x:c>
      <x:c r="D16" s="25" t="n">
        <x:v>1</x:v>
      </x:c>
      <x:c r="E16" s="25" t="n">
        <x:v>0.01</x:v>
      </x:c>
      <x:c r="F16" s="25" t="str">
        <x:v>independent roots aligned within protocol</x:v>
      </x:c>
      <x:c r="G16" s="25" t="str">
        <x:v>metrology authority</x:v>
      </x:c>
      <x:c r="H16" s="25" t="str">
        <x:v>three diverse time roots</x:v>
      </x:c>
      <x:c r="I16" s="25" t="str">
        <x:v>OPEN</x:v>
      </x:c>
      <x:c r="J16" s="27" t="str"/>
    </x:row>
    <x:row r="17" ht="27" customHeight="1">
      <x:c r="B17" s="29" t="str">
        <x:v>Event definition</x:v>
      </x:c>
      <x:c r="C17" s="29" t="n">
        <x:v>300</x:v>
      </x:c>
      <x:c r="D17" s="29" t="n">
        <x:v>120</x:v>
      </x:c>
      <x:c r="E17" s="29" t="n">
        <x:v>45</x:v>
      </x:c>
      <x:c r="F17" s="29" t="str">
        <x:v>all event grammar is applied consistently</x:v>
      </x:c>
      <x:c r="G17" s="29" t="str">
        <x:v>requirements authority</x:v>
      </x:c>
      <x:c r="H17" s="29" t="str">
        <x:v>pre-registered machine-readable rules</x:v>
      </x:c>
      <x:c r="I17" s="29" t="str">
        <x:v>OPEN</x:v>
      </x:c>
      <x:c r="J17" s="31" t="str"/>
    </x:row>
    <x:row r="18" ht="18" customHeight="1">
      <x:c r="B18" s="3"/>
      <x:c r="C18" s="3"/>
      <x:c r="D18" s="3"/>
      <x:c r="E18" s="3"/>
      <x:c r="F18" s="3"/>
      <x:c r="G18" s="3"/>
      <x:c r="H18" s="3"/>
      <x:c r="I18" s="3"/>
      <x:c r="J18" s="3"/>
    </x:row>
    <x:row r="19" ht="18" customHeight="1">
      <x:c r="B19" s="3"/>
      <x:c r="C19" s="3"/>
      <x:c r="D19" s="3"/>
      <x:c r="E19" s="3"/>
      <x:c r="F19" s="3"/>
      <x:c r="G19" s="3"/>
      <x:c r="H19" s="3"/>
      <x:c r="I19" s="3"/>
      <x:c r="J19" s="3"/>
    </x:row>
    <x:row r="20" ht="18" customHeight="1">
      <x:c r="B20" s="9" t="str">
        <x:v>Expanded uncertainty and verdict</x:v>
      </x:c>
      <x:c r="C20" s="10" t="str">
        <x:v>Expanded uncertainty and verdict</x:v>
      </x:c>
      <x:c r="D20" s="10" t="str">
        <x:v>Expanded uncertainty and verdict</x:v>
      </x:c>
      <x:c r="E20" s="10" t="str">
        <x:v>Expanded uncertainty and verdict</x:v>
      </x:c>
      <x:c r="F20" s="10" t="str">
        <x:v>Expanded uncertainty and verdict</x:v>
      </x:c>
      <x:c r="G20" s="10" t="str">
        <x:v>Expanded uncertainty and verdict</x:v>
      </x:c>
      <x:c r="H20" s="10" t="str">
        <x:v>Expanded uncertainty and verdict</x:v>
      </x:c>
      <x:c r="I20" s="10" t="str">
        <x:v>Expanded uncertainty and verdict</x:v>
      </x:c>
      <x:c r="J20" s="11" t="str">
        <x:v>Expanded uncertainty and verdict</x:v>
      </x:c>
    </x:row>
    <x:row r="21" ht="18" customHeight="1">
      <x:c r="B21" s="17" t="str">
        <x:v>Measure</x:v>
      </x:c>
      <x:c r="C21" s="18" t="str">
        <x:v>Embedded logs</x:v>
      </x:c>
      <x:c r="D21" s="18" t="str">
        <x:v>Independent logger</x:v>
      </x:c>
      <x:c r="E21" s="18" t="str">
        <x:v>MESA-1</x:v>
      </x:c>
      <x:c r="F21" s="18" t="str">
        <x:v>Unit</x:v>
      </x:c>
      <x:c r="G21" s="19" t="str">
        <x:v>Rule</x:v>
      </x:c>
      <x:c r="H21" s="3"/>
      <x:c r="I21" s="3"/>
      <x:c r="J21" s="3"/>
    </x:row>
    <x:row r="22" ht="27" customHeight="1">
      <x:c r="B22" s="3" t="str">
        <x:v>Combined standard uncertainty</x:v>
      </x:c>
      <x:c r="C22" s="3" t="n">
        <x:f>SQRT(SUMSQ(C7:C17))</x:f>
        <x:v>935.3608929178085</x:v>
      </x:c>
      <x:c r="D22" s="3" t="n">
        <x:f>SQRT(SUMSQ(D7:D17))</x:f>
        <x:v>293.25927095319594</x:v>
      </x:c>
      <x:c r="E22" s="3" t="n">
        <x:f>SQRT(SUMSQ(E7:E17))</x:f>
        <x:v>119.70380152693564</x:v>
      </x:c>
      <x:c r="F22" s="3" t="str">
        <x:v>s</x:v>
      </x:c>
      <x:c r="G22" s="3" t="str">
        <x:v>root-sum-square</x:v>
      </x:c>
      <x:c r="H22" s="3"/>
      <x:c r="I22" s="3"/>
      <x:c r="J22" s="3"/>
    </x:row>
    <x:row r="23" ht="27" customHeight="1">
      <x:c r="B23" s="3" t="str">
        <x:v>Expanded uncertainty U95</x:v>
      </x:c>
      <x:c r="C23" s="3" t="n">
        <x:f>C22*Assumptions!C42</x:f>
        <x:v>1870.721785835617</x:v>
      </x:c>
      <x:c r="D23" s="3" t="n">
        <x:f>D22*Assumptions!C42</x:f>
        <x:v>586.5185419063919</x:v>
      </x:c>
      <x:c r="E23" s="3" t="n">
        <x:f>E22*Assumptions!C42</x:f>
        <x:v>239.40760305387127</x:v>
      </x:c>
      <x:c r="F23" s="3" t="str">
        <x:v>s</x:v>
      </x:c>
      <x:c r="G23" s="3" t="str">
        <x:v>coverage factor times standard uncertainty</x:v>
      </x:c>
      <x:c r="H23" s="3"/>
      <x:c r="I23" s="3"/>
      <x:c r="J23" s="3"/>
    </x:row>
    <x:row r="24" ht="27" customHeight="1">
      <x:c r="B24" s="3" t="str">
        <x:v>Expanded uncertainty</x:v>
      </x:c>
      <x:c r="C24" s="3" t="n">
        <x:f>C23/3600</x:f>
        <x:v>0.5196449405098936</x:v>
      </x:c>
      <x:c r="D24" s="3" t="n">
        <x:f>D23/3600</x:f>
        <x:v>0.16292181719621995</x:v>
      </x:c>
      <x:c r="E24" s="3" t="n">
        <x:f>E23/3600</x:f>
        <x:v>0.06650211195940868</x:v>
      </x:c>
      <x:c r="F24" s="3" t="str">
        <x:v>h</x:v>
      </x:c>
      <x:c r="G24" s="3" t="str">
        <x:v>seconds divided by 3600</x:v>
      </x:c>
      <x:c r="H24" s="3"/>
      <x:c r="I24" s="3"/>
      <x:c r="J24" s="3"/>
    </x:row>
    <x:row r="25" ht="27" customHeight="1">
      <x:c r="B25" s="3" t="str">
        <x:v>Modeled margin</x:v>
      </x:c>
      <x:c r="C25" s="3" t="n">
        <x:f>Assumptions!C36-Assumptions!C37</x:f>
        <x:v>0.18055559999999815</x:v>
      </x:c>
      <x:c r="D25" s="3" t="n">
        <x:f>Assumptions!C36-Assumptions!C37</x:f>
        <x:v>0.18055559999999815</x:v>
      </x:c>
      <x:c r="E25" s="3" t="n">
        <x:f>Assumptions!C36-Assumptions!C37</x:f>
        <x:v>0.18055559999999815</x:v>
      </x:c>
      <x:c r="F25" s="3" t="str">
        <x:v>h</x:v>
      </x:c>
      <x:c r="G25" s="3" t="str">
        <x:v>evidence threshold less modeled service</x:v>
      </x:c>
      <x:c r="H25" s="3"/>
      <x:c r="I25" s="3"/>
      <x:c r="J25" s="3"/>
    </x:row>
    <x:row r="26" ht="27" customHeight="1">
      <x:c r="B26" s="3" t="str">
        <x:v>Maximum permitted U95</x:v>
      </x:c>
      <x:c r="C26" s="3" t="n">
        <x:f>C25*Assumptions!C38</x:f>
        <x:v>0.09027779999999908</x:v>
      </x:c>
      <x:c r="D26" s="3" t="n">
        <x:f>D25*Assumptions!C38</x:f>
        <x:v>0.09027779999999908</x:v>
      </x:c>
      <x:c r="E26" s="3" t="n">
        <x:f>E25*Assumptions!C38</x:f>
        <x:v>0.09027779999999908</x:v>
      </x:c>
      <x:c r="F26" s="3" t="str">
        <x:v>h</x:v>
      </x:c>
      <x:c r="G26" s="3" t="str">
        <x:v>half the modeled margin</x:v>
      </x:c>
      <x:c r="H26" s="3"/>
      <x:c r="I26" s="3"/>
      <x:c r="J26" s="3"/>
    </x:row>
    <x:row r="27" ht="18" customHeight="1">
      <x:c r="B27" s="3" t="str">
        <x:v>Decision</x:v>
      </x:c>
      <x:c r="C27" s="3" t="str">
        <x:f>IF(C24&lt;=C26,"PASS","FAIL")</x:f>
        <x:v>FAIL</x:v>
      </x:c>
      <x:c r="D27" s="3" t="str">
        <x:f>IF(D24&lt;=D26,"PASS","FAIL")</x:f>
        <x:v>FAIL</x:v>
      </x:c>
      <x:c r="E27" s="3" t="str">
        <x:f>IF(E24&lt;=E26,"PASS","FAIL")</x:f>
        <x:v>PASS</x:v>
      </x:c>
      <x:c r="F27" s="3" t="str">
        <x:v>state</x:v>
      </x:c>
      <x:c r="G27" s="3" t="str">
        <x:v>U95 at or below permitted</x:v>
      </x:c>
      <x:c r="H27" s="3"/>
      <x:c r="I27" s="3"/>
      <x:c r="J27" s="3"/>
    </x:row>
    <x:row r="28" ht="18" customHeight="1">
      <x:c r="B28" s="3"/>
      <x:c r="C28" s="3"/>
      <x:c r="D28" s="3"/>
      <x:c r="E28" s="3"/>
      <x:c r="F28" s="3"/>
      <x:c r="G28" s="3"/>
      <x:c r="H28" s="3"/>
      <x:c r="I28" s="3"/>
      <x:c r="J28" s="3"/>
    </x:row>
    <x:row r="29" ht="18" customHeight="1">
      <x:c r="B29" s="3"/>
      <x:c r="C29" s="3"/>
      <x:c r="D29" s="3"/>
      <x:c r="E29" s="3"/>
      <x:c r="F29" s="3"/>
      <x:c r="G29" s="3"/>
      <x:c r="H29" s="3"/>
      <x:c r="I29" s="3"/>
      <x:c r="J29" s="3"/>
    </x:row>
    <x:row r="30" ht="18" customHeight="1">
      <x:c r="B30" s="3"/>
      <x:c r="C30" s="3"/>
      <x:c r="D30" s="3"/>
      <x:c r="E30" s="3"/>
      <x:c r="F30" s="3"/>
      <x:c r="G30" s="3"/>
      <x:c r="H30" s="3"/>
      <x:c r="I30" s="3"/>
      <x:c r="J30" s="3"/>
    </x:row>
    <x:row r="31" ht="18" customHeight="1">
      <x:c r="B31" s="3"/>
      <x:c r="C31" s="3"/>
      <x:c r="D31" s="3"/>
      <x:c r="E31" s="3"/>
      <x:c r="F31" s="3"/>
      <x:c r="G31" s="3"/>
      <x:c r="H31" s="3"/>
      <x:c r="I31" s="3"/>
      <x:c r="J31" s="3"/>
    </x:row>
  </x:sheetData>
  <x:mergeCells>
    <x:mergeCell ref="B2:H2"/>
    <x:mergeCell ref="B3:J3"/>
    <x:mergeCell ref="B20:J20"/>
  </x:mergeCells>
  <x:conditionalFormatting sqref="I7:I17">
    <x:cfRule type="containsText" dxfId="30" priority="1" operator="containsText" text="FAIL"/>
    <x:cfRule type="containsText" dxfId="31" priority="2" operator="containsText" text="PASS"/>
    <x:cfRule type="containsText" dxfId="32" priority="3" operator="containsText" text="OPEN"/>
    <x:cfRule type="containsText" dxfId="33" priority="4" operator="containsText" text="HOLD"/>
    <x:cfRule type="containsText" dxfId="34" priority="5" operator="containsText" text="BLOCKED"/>
  </x:conditionalFormatting>
  <x:conditionalFormatting sqref="C27:E27">
    <x:cfRule type="containsText" dxfId="35" priority="6" operator="containsText" text="FAIL"/>
    <x:cfRule type="containsText" dxfId="36" priority="7" operator="containsText" text="PASS"/>
    <x:cfRule type="containsText" dxfId="37" priority="8" operator="containsText" text="OPEN"/>
    <x:cfRule type="containsText" dxfId="38" priority="9" operator="containsText" text="HOLD"/>
    <x:cfRule type="containsText" dxfId="39" priority="10" operator="containsText" text="BLOCKED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1" hidden="0" customWidth="1"/>
    <x:col min="3" max="3" width="21" hidden="0" customWidth="1"/>
    <x:col min="4" max="4" width="18" hidden="0" customWidth="1"/>
    <x:col min="5" max="5" width="23" hidden="0" customWidth="1"/>
    <x:col min="6" max="6" width="31" hidden="0" customWidth="1"/>
    <x:col min="7" max="7" width="30" hidden="0" customWidth="1"/>
    <x:col min="8" max="8" width="28" hidden="0" customWidth="1"/>
    <x:col min="9" max="9" width="13" hidden="0" customWidth="1"/>
    <x:col min="10" max="10" width="28" hidden="0" customWidth="1"/>
  </x:cols>
  <x:sheetData>
    <x:row r="2" ht="18" customHeight="1">
      <x:c r="B2" s="4" t="str">
        <x:v>Dynamic-soil uncertainty</x:v>
      </x:c>
      <x:c r="C2" s="3"/>
      <x:c r="D2" s="3"/>
      <x:c r="E2" s="3"/>
      <x:c r="F2" s="3"/>
      <x:c r="G2" s="3"/>
      <x:c r="H2" s="3"/>
      <x:c r="I2" s="3"/>
      <x:c r="J2" s="3"/>
    </x:row>
    <x:row r="3" ht="18" customHeight="1">
      <x:c r="B3" s="5" t="str">
        <x:v>Control telemetry and foot load cells cannot resolve the 0.501-kPa margin; distributed pressure skin and independent terrain witnesses can</x:v>
      </x:c>
      <x:c r="C3" s="3"/>
      <x:c r="D3" s="3"/>
      <x:c r="E3" s="3"/>
      <x:c r="F3" s="3"/>
      <x:c r="G3" s="3"/>
      <x:c r="H3" s="3"/>
      <x:c r="I3" s="3"/>
      <x:c r="J3" s="3"/>
    </x:row>
    <x:row r="4" ht="18" customHeight="1">
      <x:c r="B4" s="6"/>
      <x:c r="C4" s="6"/>
      <x:c r="D4" s="6"/>
      <x:c r="E4" s="6"/>
      <x:c r="F4" s="6"/>
      <x:c r="G4" s="6"/>
      <x:c r="H4" s="6"/>
      <x:c r="I4" s="6"/>
      <x:c r="J4" s="6"/>
    </x:row>
    <x:row r="5" ht="18" customHeight="1">
      <x:c r="B5" s="3"/>
      <x:c r="C5" s="3"/>
      <x:c r="D5" s="3"/>
      <x:c r="E5" s="3"/>
      <x:c r="F5" s="3"/>
      <x:c r="G5" s="3"/>
      <x:c r="H5" s="3"/>
      <x:c r="I5" s="3"/>
      <x:c r="J5" s="3"/>
    </x:row>
    <x:row r="6" ht="18" customHeight="1">
      <x:c r="B6" s="23" t="str">
        <x:v>Component</x:v>
      </x:c>
      <x:c r="C6" s="24" t="str">
        <x:v>Control telemetry u(kPa)</x:v>
      </x:c>
      <x:c r="D6" s="24" t="str">
        <x:v>Foot-array u(kPa)</x:v>
      </x:c>
      <x:c r="E6" s="24" t="str">
        <x:v>MESA-1 terrain u(kPa)</x:v>
      </x:c>
      <x:c r="F6" s="24" t="str">
        <x:v>Mechanism</x:v>
      </x:c>
      <x:c r="G6" s="24" t="str">
        <x:v>Independent witness</x:v>
      </x:c>
      <x:c r="H6" s="24" t="str">
        <x:v>Correlation control</x:v>
      </x:c>
      <x:c r="I6" s="24" t="str">
        <x:v>State</x:v>
      </x:c>
      <x:c r="J6" s="24" t="str">
        <x:v>Note</x:v>
      </x:c>
    </x:row>
    <x:row r="7" ht="24" customHeight="1">
      <x:c r="B7" s="25" t="str">
        <x:v>Load measurement</x:v>
      </x:c>
      <x:c r="C7" s="25" t="n">
        <x:v>0.35</x:v>
      </x:c>
      <x:c r="D7" s="25" t="n">
        <x:v>0.06</x:v>
      </x:c>
      <x:c r="E7" s="25" t="n">
        <x:v>0.03</x:v>
      </x:c>
      <x:c r="F7" s="25" t="str">
        <x:v>dynamic vertical and shear load</x:v>
      </x:c>
      <x:c r="G7" s="25" t="str">
        <x:v>traceable load path</x:v>
      </x:c>
      <x:c r="H7" s="25" t="str">
        <x:v>separate bridge and foot standards</x:v>
      </x:c>
      <x:c r="I7" s="25" t="str">
        <x:v>OPEN</x:v>
      </x:c>
      <x:c r="J7" s="27" t="str"/>
    </x:row>
    <x:row r="8" ht="24" customHeight="1">
      <x:c r="B8" s="25" t="str">
        <x:v>Contact-area reconstruction</x:v>
      </x:c>
      <x:c r="C8" s="25" t="n">
        <x:v>0.4</x:v>
      </x:c>
      <x:c r="D8" s="25" t="n">
        <x:v>0.1</x:v>
      </x:c>
      <x:c r="E8" s="25" t="n">
        <x:v>0.04</x:v>
      </x:c>
      <x:c r="F8" s="25" t="str">
        <x:v>instantaneous bearing area</x:v>
      </x:c>
      <x:c r="G8" s="25" t="str">
        <x:v>pressure skin plus optical geometry</x:v>
      </x:c>
      <x:c r="H8" s="25" t="str">
        <x:v>independent area solution</x:v>
      </x:c>
      <x:c r="I8" s="25" t="str">
        <x:v>OPEN</x:v>
      </x:c>
      <x:c r="J8" s="27" t="str"/>
    </x:row>
    <x:row r="9" ht="24" customHeight="1">
      <x:c r="B9" s="25" t="str">
        <x:v>Sinkage boundary</x:v>
      </x:c>
      <x:c r="C9" s="25" t="n">
        <x:v>0.25</x:v>
      </x:c>
      <x:c r="D9" s="25" t="n">
        <x:v>0.08</x:v>
      </x:c>
      <x:c r="E9" s="25" t="n">
        <x:v>0.03</x:v>
      </x:c>
      <x:c r="F9" s="25" t="str">
        <x:v>soil contact and buried edge</x:v>
      </x:c>
      <x:c r="G9" s="25" t="str">
        <x:v>subsurface displacement field</x:v>
      </x:c>
      <x:c r="H9" s="25" t="str">
        <x:v>separate survey root</x:v>
      </x:c>
      <x:c r="I9" s="25" t="str">
        <x:v>OPEN</x:v>
      </x:c>
      <x:c r="J9" s="27" t="str"/>
    </x:row>
    <x:row r="10" ht="24" customHeight="1">
      <x:c r="B10" s="25" t="str">
        <x:v>Peak capture</x:v>
      </x:c>
      <x:c r="C10" s="25" t="n">
        <x:v>0.3</x:v>
      </x:c>
      <x:c r="D10" s="25" t="n">
        <x:v>0.12</x:v>
      </x:c>
      <x:c r="E10" s="25" t="n">
        <x:v>0.05</x:v>
      </x:c>
      <x:c r="F10" s="25" t="str">
        <x:v>short dynamic overload</x:v>
      </x:c>
      <x:c r="G10" s="25" t="str">
        <x:v>synchronized high-rate pressure field</x:v>
      </x:c>
      <x:c r="H10" s="25" t="str">
        <x:v>anti-alias and burst witness</x:v>
      </x:c>
      <x:c r="I10" s="25" t="str">
        <x:v>OPEN</x:v>
      </x:c>
      <x:c r="J10" s="27" t="str"/>
    </x:row>
    <x:row r="11" ht="24" customHeight="1">
      <x:c r="B11" s="25" t="str">
        <x:v>Spatial interpolation</x:v>
      </x:c>
      <x:c r="C11" s="25" t="n">
        <x:v>0.35</x:v>
      </x:c>
      <x:c r="D11" s="25" t="n">
        <x:v>0.14</x:v>
      </x:c>
      <x:c r="E11" s="25" t="n">
        <x:v>0.05</x:v>
      </x:c>
      <x:c r="F11" s="25" t="str">
        <x:v>unobserved pressure between sensors</x:v>
      </x:c>
      <x:c r="G11" s="25" t="str">
        <x:v>dense distributed skin</x:v>
      </x:c>
      <x:c r="H11" s="25" t="str">
        <x:v>leave-one-zone-out reconstruction</x:v>
      </x:c>
      <x:c r="I11" s="25" t="str">
        <x:v>OPEN</x:v>
      </x:c>
      <x:c r="J11" s="27" t="str"/>
    </x:row>
    <x:row r="12" ht="24" customHeight="1">
      <x:c r="B12" s="25" t="str">
        <x:v>Temperature effect</x:v>
      </x:c>
      <x:c r="C12" s="25" t="n">
        <x:v>0.1</x:v>
      </x:c>
      <x:c r="D12" s="25" t="n">
        <x:v>0.03</x:v>
      </x:c>
      <x:c r="E12" s="25" t="n">
        <x:v>0.02</x:v>
      </x:c>
      <x:c r="F12" s="25" t="str">
        <x:v>sensor and soil temperature drift</x:v>
      </x:c>
      <x:c r="G12" s="25" t="str">
        <x:v>reference thermometry</x:v>
      </x:c>
      <x:c r="H12" s="25" t="str">
        <x:v>separate compensation curve</x:v>
      </x:c>
      <x:c r="I12" s="25" t="str">
        <x:v>OPEN</x:v>
      </x:c>
      <x:c r="J12" s="27" t="str"/>
    </x:row>
    <x:row r="13" ht="24" customHeight="1">
      <x:c r="B13" s="25" t="str">
        <x:v>Calibration transfer</x:v>
      </x:c>
      <x:c r="C13" s="25" t="n">
        <x:v>0.15</x:v>
      </x:c>
      <x:c r="D13" s="25" t="n">
        <x:v>0.05</x:v>
      </x:c>
      <x:c r="E13" s="25" t="n">
        <x:v>0.03</x:v>
      </x:c>
      <x:c r="F13" s="25" t="str">
        <x:v>laboratory-to-field traceability</x:v>
      </x:c>
      <x:c r="G13" s="25" t="str">
        <x:v>traveling reference platen</x:v>
      </x:c>
      <x:c r="H13" s="25" t="str">
        <x:v>before and after checks</x:v>
      </x:c>
      <x:c r="I13" s="25" t="str">
        <x:v>OPEN</x:v>
      </x:c>
      <x:c r="J13" s="27" t="str"/>
    </x:row>
    <x:row r="14" ht="24" customHeight="1">
      <x:c r="B14" s="29" t="str">
        <x:v>Terrain nonuniformity</x:v>
      </x:c>
      <x:c r="C14" s="29" t="n">
        <x:v>0.4</x:v>
      </x:c>
      <x:c r="D14" s="29" t="n">
        <x:v>0.16</x:v>
      </x:c>
      <x:c r="E14" s="29" t="n">
        <x:v>0.05</x:v>
      </x:c>
      <x:c r="F14" s="29" t="str">
        <x:v>local bearing and moisture variation</x:v>
      </x:c>
      <x:c r="G14" s="29" t="str">
        <x:v>geotechnical witness grid</x:v>
      </x:c>
      <x:c r="H14" s="29" t="str">
        <x:v>registered spatial blocking</x:v>
      </x:c>
      <x:c r="I14" s="29" t="str">
        <x:v>OPEN</x:v>
      </x:c>
      <x:c r="J14" s="31" t="str"/>
    </x:row>
    <x:row r="15" ht="18" customHeight="1">
      <x:c r="B15" s="3"/>
      <x:c r="C15" s="3"/>
      <x:c r="D15" s="3"/>
      <x:c r="E15" s="3"/>
      <x:c r="F15" s="3"/>
      <x:c r="G15" s="3"/>
      <x:c r="H15" s="3"/>
      <x:c r="I15" s="3"/>
      <x:c r="J15" s="3"/>
    </x:row>
    <x:row r="16" ht="18" customHeight="1">
      <x:c r="B16" s="3"/>
      <x:c r="C16" s="3"/>
      <x:c r="D16" s="3"/>
      <x:c r="E16" s="3"/>
      <x:c r="F16" s="3"/>
      <x:c r="G16" s="3"/>
      <x:c r="H16" s="3"/>
      <x:c r="I16" s="3"/>
      <x:c r="J16" s="3"/>
    </x:row>
    <x:row r="17" ht="18" customHeight="1">
      <x:c r="B17" s="9" t="str">
        <x:v>Expanded uncertainty and verdict</x:v>
      </x:c>
      <x:c r="C17" s="10" t="str">
        <x:v>Expanded uncertainty and verdict</x:v>
      </x:c>
      <x:c r="D17" s="10" t="str">
        <x:v>Expanded uncertainty and verdict</x:v>
      </x:c>
      <x:c r="E17" s="10" t="str">
        <x:v>Expanded uncertainty and verdict</x:v>
      </x:c>
      <x:c r="F17" s="10" t="str">
        <x:v>Expanded uncertainty and verdict</x:v>
      </x:c>
      <x:c r="G17" s="10" t="str">
        <x:v>Expanded uncertainty and verdict</x:v>
      </x:c>
      <x:c r="H17" s="10" t="str">
        <x:v>Expanded uncertainty and verdict</x:v>
      </x:c>
      <x:c r="I17" s="10" t="str">
        <x:v>Expanded uncertainty and verdict</x:v>
      </x:c>
      <x:c r="J17" s="11" t="str">
        <x:v>Expanded uncertainty and verdict</x:v>
      </x:c>
    </x:row>
    <x:row r="18" ht="18" customHeight="1">
      <x:c r="B18" s="17" t="str">
        <x:v>Measure</x:v>
      </x:c>
      <x:c r="C18" s="18" t="str">
        <x:v>Control telemetry</x:v>
      </x:c>
      <x:c r="D18" s="18" t="str">
        <x:v>Foot array</x:v>
      </x:c>
      <x:c r="E18" s="18" t="str">
        <x:v>MESA-1 terrain</x:v>
      </x:c>
      <x:c r="F18" s="18" t="str">
        <x:v>Unit</x:v>
      </x:c>
      <x:c r="G18" s="19" t="str">
        <x:v>Rule</x:v>
      </x:c>
      <x:c r="H18" s="3"/>
      <x:c r="I18" s="3"/>
      <x:c r="J18" s="3"/>
    </x:row>
    <x:row r="19" ht="24" customHeight="1">
      <x:c r="B19" s="3" t="str">
        <x:v>Combined standard uncertainty</x:v>
      </x:c>
      <x:c r="C19" s="3" t="n">
        <x:f>SQRT(SUMSQ(C7:C14))</x:f>
        <x:v>0.8660254037844386</x:v>
      </x:c>
      <x:c r="D19" s="3" t="n">
        <x:f>SQRT(SUMSQ(D7:D14))</x:f>
        <x:v>0.28809720581775866</x:v>
      </x:c>
      <x:c r="E19" s="3" t="n">
        <x:f>SQRT(SUMSQ(E7:E14))</x:f>
        <x:v>0.11045361017187261</x:v>
      </x:c>
      <x:c r="F19" s="3" t="str">
        <x:v>kPa</x:v>
      </x:c>
      <x:c r="G19" s="3" t="str">
        <x:v>root-sum-square</x:v>
      </x:c>
      <x:c r="H19" s="3"/>
      <x:c r="I19" s="3"/>
      <x:c r="J19" s="3"/>
    </x:row>
    <x:row r="20" ht="24" customHeight="1">
      <x:c r="B20" s="3" t="str">
        <x:v>Expanded uncertainty U95</x:v>
      </x:c>
      <x:c r="C20" s="3" t="n">
        <x:f>C19*Assumptions!C42</x:f>
        <x:v>1.7320508075688772</x:v>
      </x:c>
      <x:c r="D20" s="3" t="n">
        <x:f>D19*Assumptions!C42</x:f>
        <x:v>0.5761944116355173</x:v>
      </x:c>
      <x:c r="E20" s="3" t="n">
        <x:f>E19*Assumptions!C42</x:f>
        <x:v>0.22090722034374521</x:v>
      </x:c>
      <x:c r="F20" s="3" t="str">
        <x:v>kPa</x:v>
      </x:c>
      <x:c r="G20" s="3" t="str">
        <x:v>coverage factor times standard uncertainty</x:v>
      </x:c>
      <x:c r="H20" s="3"/>
      <x:c r="I20" s="3"/>
      <x:c r="J20" s="3"/>
    </x:row>
    <x:row r="21" ht="24" customHeight="1">
      <x:c r="B21" s="3" t="str">
        <x:v>Modeled margin</x:v>
      </x:c>
      <x:c r="C21" s="3" t="n">
        <x:f>Assumptions!C39-Assumptions!C40</x:f>
        <x:v>0.5007944999999978</x:v>
      </x:c>
      <x:c r="D21" s="3" t="n">
        <x:f>Assumptions!C39-Assumptions!C40</x:f>
        <x:v>0.5007944999999978</x:v>
      </x:c>
      <x:c r="E21" s="3" t="n">
        <x:f>Assumptions!C39-Assumptions!C40</x:f>
        <x:v>0.5007944999999978</x:v>
      </x:c>
      <x:c r="F21" s="3" t="str">
        <x:v>kPa</x:v>
      </x:c>
      <x:c r="G21" s="3" t="str">
        <x:v>evidence threshold less modeled pressure</x:v>
      </x:c>
      <x:c r="H21" s="3"/>
      <x:c r="I21" s="3"/>
      <x:c r="J21" s="3"/>
    </x:row>
    <x:row r="22" ht="24" customHeight="1">
      <x:c r="B22" s="3" t="str">
        <x:v>Maximum permitted U95</x:v>
      </x:c>
      <x:c r="C22" s="3" t="n">
        <x:f>C21*Assumptions!C41</x:f>
        <x:v>0.2503972499999989</x:v>
      </x:c>
      <x:c r="D22" s="3" t="n">
        <x:f>D21*Assumptions!C41</x:f>
        <x:v>0.2503972499999989</x:v>
      </x:c>
      <x:c r="E22" s="3" t="n">
        <x:f>E21*Assumptions!C41</x:f>
        <x:v>0.2503972499999989</x:v>
      </x:c>
      <x:c r="F22" s="3" t="str">
        <x:v>kPa</x:v>
      </x:c>
      <x:c r="G22" s="3" t="str">
        <x:v>half the modeled margin</x:v>
      </x:c>
      <x:c r="H22" s="3"/>
      <x:c r="I22" s="3"/>
      <x:c r="J22" s="3"/>
    </x:row>
    <x:row r="23" ht="24" customHeight="1">
      <x:c r="B23" s="3" t="str">
        <x:v>Upper measured claim</x:v>
      </x:c>
      <x:c r="C23" s="3" t="n">
        <x:f>Assumptions!C40+C20</x:f>
        <x:v>35.98125630756888</x:v>
      </x:c>
      <x:c r="D23" s="3" t="n">
        <x:f>Assumptions!C40+D20</x:f>
        <x:v>34.82539991163552</x:v>
      </x:c>
      <x:c r="E23" s="3" t="n">
        <x:f>Assumptions!C40+E20</x:f>
        <x:v>34.47011272034375</x:v>
      </x:c>
      <x:c r="F23" s="3" t="str">
        <x:v>kPa</x:v>
      </x:c>
      <x:c r="G23" s="3" t="str">
        <x:v>modeled pressure plus U95</x:v>
      </x:c>
      <x:c r="H23" s="3"/>
      <x:c r="I23" s="3"/>
      <x:c r="J23" s="3"/>
    </x:row>
    <x:row r="24" ht="18" customHeight="1">
      <x:c r="B24" s="3" t="str">
        <x:v>Decision</x:v>
      </x:c>
      <x:c r="C24" s="3" t="str">
        <x:f>IF(C20&lt;=C22,"PASS","FAIL")</x:f>
        <x:v>FAIL</x:v>
      </x:c>
      <x:c r="D24" s="3" t="str">
        <x:f>IF(D20&lt;=D22,"PASS","FAIL")</x:f>
        <x:v>FAIL</x:v>
      </x:c>
      <x:c r="E24" s="3" t="str">
        <x:f>IF(E20&lt;=E22,"PASS","FAIL")</x:f>
        <x:v>PASS</x:v>
      </x:c>
      <x:c r="F24" s="3" t="str">
        <x:v>state</x:v>
      </x:c>
      <x:c r="G24" s="3" t="str">
        <x:v>U95 at or below permitted</x:v>
      </x:c>
      <x:c r="H24" s="3"/>
      <x:c r="I24" s="3"/>
      <x:c r="J24" s="3"/>
    </x:row>
    <x:row r="25" ht="18" customHeight="1">
      <x:c r="B25" s="3"/>
      <x:c r="C25" s="3"/>
      <x:c r="D25" s="3"/>
      <x:c r="E25" s="3"/>
      <x:c r="F25" s="3"/>
      <x:c r="G25" s="3"/>
      <x:c r="H25" s="3"/>
      <x:c r="I25" s="3"/>
      <x:c r="J25" s="3"/>
    </x:row>
    <x:row r="26" ht="18" customHeight="1">
      <x:c r="B26" s="3"/>
      <x:c r="C26" s="3"/>
      <x:c r="D26" s="3"/>
      <x:c r="E26" s="3"/>
      <x:c r="F26" s="3"/>
      <x:c r="G26" s="3"/>
      <x:c r="H26" s="3"/>
      <x:c r="I26" s="3"/>
      <x:c r="J26" s="3"/>
    </x:row>
    <x:row r="27" ht="18" customHeight="1">
      <x:c r="B27" s="3"/>
      <x:c r="C27" s="3"/>
      <x:c r="D27" s="3"/>
      <x:c r="E27" s="3"/>
      <x:c r="F27" s="3"/>
      <x:c r="G27" s="3"/>
      <x:c r="H27" s="3"/>
      <x:c r="I27" s="3"/>
      <x:c r="J27" s="3"/>
    </x:row>
    <x:row r="28" ht="18" customHeight="1">
      <x:c r="B28" s="3"/>
      <x:c r="C28" s="3"/>
      <x:c r="D28" s="3"/>
      <x:c r="E28" s="3"/>
      <x:c r="F28" s="3"/>
      <x:c r="G28" s="3"/>
      <x:c r="H28" s="3"/>
      <x:c r="I28" s="3"/>
      <x:c r="J28" s="3"/>
    </x:row>
    <x:row r="29" ht="18" customHeight="1">
      <x:c r="B29" s="3"/>
      <x:c r="C29" s="3"/>
      <x:c r="D29" s="3"/>
      <x:c r="E29" s="3"/>
      <x:c r="F29" s="3"/>
      <x:c r="G29" s="3"/>
      <x:c r="H29" s="3"/>
      <x:c r="I29" s="3"/>
      <x:c r="J29" s="3"/>
    </x:row>
  </x:sheetData>
  <x:mergeCells>
    <x:mergeCell ref="B2:H2"/>
    <x:mergeCell ref="B3:J3"/>
    <x:mergeCell ref="B17:J17"/>
  </x:mergeCells>
  <x:conditionalFormatting sqref="I7:I14">
    <x:cfRule type="containsText" dxfId="40" priority="1" operator="containsText" text="FAIL"/>
    <x:cfRule type="containsText" dxfId="41" priority="2" operator="containsText" text="PASS"/>
    <x:cfRule type="containsText" dxfId="42" priority="3" operator="containsText" text="OPEN"/>
    <x:cfRule type="containsText" dxfId="43" priority="4" operator="containsText" text="HOLD"/>
    <x:cfRule type="containsText" dxfId="44" priority="5" operator="containsText" text="BLOCKED"/>
  </x:conditionalFormatting>
  <x:conditionalFormatting sqref="C24:E24">
    <x:cfRule type="containsText" dxfId="45" priority="6" operator="containsText" text="FAIL"/>
    <x:cfRule type="containsText" dxfId="46" priority="7" operator="containsText" text="PASS"/>
    <x:cfRule type="containsText" dxfId="47" priority="8" operator="containsText" text="OPEN"/>
    <x:cfRule type="containsText" dxfId="48" priority="9" operator="containsText" text="HOLD"/>
    <x:cfRule type="containsText" dxfId="49" priority="10" operator="containsText" text="BLOCKED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41" hidden="0" customWidth="1"/>
    <x:col min="3" max="3" width="58" hidden="0" customWidth="1"/>
    <x:col min="4" max="4" width="18" hidden="0" customWidth="1"/>
    <x:col min="5" max="5" width="17" hidden="0" customWidth="1"/>
    <x:col min="6" max="6" width="17" hidden="0" customWidth="1"/>
    <x:col min="7" max="7" width="18" hidden="0" customWidth="1"/>
    <x:col min="8" max="8" width="18" hidden="0" customWidth="1"/>
    <x:col min="9" max="9" width="17" hidden="0" customWidth="1"/>
    <x:col min="10" max="10" width="16" hidden="0" customWidth="1"/>
    <x:col min="11" max="11" width="16" hidden="0" customWidth="1"/>
    <x:col min="12" max="12" width="17" hidden="0" customWidth="1"/>
    <x:col min="13" max="13" width="13" hidden="0" customWidth="1"/>
    <x:col min="14" max="14" width="13" hidden="0" customWidth="1"/>
  </x:cols>
  <x:sheetData>
    <x:row r="2" ht="18" customHeight="1">
      <x:c r="B2" s="4" t="str">
        <x:v>Measurement architecture competition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18" customHeight="1">
      <x:c r="B3" s="5" t="str">
        <x:v>Only the tri-plane MESA-1 system closes mechanism, physical-effect and civil-release observability under denial</x:v>
      </x:c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 ht="18" customHeight="1"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</x:row>
    <x:row r="5" ht="18" customHeight="1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</x:row>
    <x:row r="6" ht="18" customHeight="1">
      <x:c r="B6" s="23" t="str">
        <x:v>Architecture</x:v>
      </x:c>
      <x:c r="C6" s="24" t="str">
        <x:v>Control separation</x:v>
      </x:c>
      <x:c r="D6" s="24" t="str">
        <x:v>Offline capture</x:v>
      </x:c>
      <x:c r="E6" s="24" t="str">
        <x:v>Diverse time</x:v>
      </x:c>
      <x:c r="F6" s="24" t="str">
        <x:v>Physical effect</x:v>
      </x:c>
      <x:c r="G6" s="24" t="str">
        <x:v>Civil effect</x:v>
      </x:c>
      <x:c r="H6" s="24" t="str">
        <x:v>Mass equivalence</x:v>
      </x:c>
      <x:c r="I6" s="24" t="str">
        <x:v>Network denial</x:v>
      </x:c>
      <x:c r="J6" s="24" t="str">
        <x:v>GNSS denial</x:v>
      </x:c>
      <x:c r="K6" s="24" t="str">
        <x:v>Builder blind</x:v>
      </x:c>
      <x:c r="L6" s="24" t="str">
        <x:v>Failure visible</x:v>
      </x:c>
      <x:c r="M6" s="24" t="str">
        <x:v>Hard gates</x:v>
      </x:c>
      <x:c r="N6" s="24" t="str">
        <x:v>Result</x:v>
      </x:c>
    </x:row>
    <x:row r="7" ht="18" customHeight="1">
      <x:c r="B7" s="25" t="str">
        <x:v>M0 embedded telemetry</x:v>
      </x:c>
      <x:c r="C7" s="25" t="n">
        <x:v>0</x:v>
      </x:c>
      <x:c r="D7" s="25" t="n">
        <x:v>1</x:v>
      </x:c>
      <x:c r="E7" s="25" t="n">
        <x:v>0</x:v>
      </x:c>
      <x:c r="F7" s="25" t="n">
        <x:v>0</x:v>
      </x:c>
      <x:c r="G7" s="25" t="n">
        <x:v>0</x:v>
      </x:c>
      <x:c r="H7" s="25" t="n">
        <x:v>0</x:v>
      </x:c>
      <x:c r="I7" s="25" t="n">
        <x:v>1</x:v>
      </x:c>
      <x:c r="J7" s="25" t="n">
        <x:v>0</x:v>
      </x:c>
      <x:c r="K7" s="25" t="n">
        <x:v>0</x:v>
      </x:c>
      <x:c r="L7" s="25" t="n">
        <x:v>0</x:v>
      </x:c>
      <x:c r="M7" s="25" t="n">
        <x:v>10</x:v>
      </x:c>
      <x:c r="N7" s="27" t="str">
        <x:f>IF(SUM(C7:L7)=M7,"PASS","FAIL")</x:f>
        <x:v>FAIL</x:v>
      </x:c>
    </x:row>
    <x:row r="8" ht="18" customHeight="1">
      <x:c r="B8" s="25" t="str">
        <x:v>M1 independent logger</x:v>
      </x:c>
      <x:c r="C8" s="25" t="n">
        <x:v>1</x:v>
      </x:c>
      <x:c r="D8" s="25" t="n">
        <x:v>1</x:v>
      </x:c>
      <x:c r="E8" s="25" t="n">
        <x:v>1</x:v>
      </x:c>
      <x:c r="F8" s="25" t="n">
        <x:v>1</x:v>
      </x:c>
      <x:c r="G8" s="25" t="n">
        <x:v>0</x:v>
      </x:c>
      <x:c r="H8" s="25" t="n">
        <x:v>1</x:v>
      </x:c>
      <x:c r="I8" s="25" t="n">
        <x:v>1</x:v>
      </x:c>
      <x:c r="J8" s="25" t="n">
        <x:v>1</x:v>
      </x:c>
      <x:c r="K8" s="25" t="n">
        <x:v>1</x:v>
      </x:c>
      <x:c r="L8" s="25" t="n">
        <x:v>1</x:v>
      </x:c>
      <x:c r="M8" s="25" t="n">
        <x:v>10</x:v>
      </x:c>
      <x:c r="N8" s="27" t="str">
        <x:f>IF(SUM(C8:L8)=M8,"PASS","FAIL")</x:f>
        <x:v>FAIL</x:v>
      </x:c>
    </x:row>
    <x:row r="9" ht="18" customHeight="1">
      <x:c r="B9" s="29" t="str">
        <x:v>M2 MESA-1 tri-plane</x:v>
      </x:c>
      <x:c r="C9" s="29" t="n">
        <x:v>1</x:v>
      </x:c>
      <x:c r="D9" s="29" t="n">
        <x:v>1</x:v>
      </x:c>
      <x:c r="E9" s="29" t="n">
        <x:v>1</x:v>
      </x:c>
      <x:c r="F9" s="29" t="n">
        <x:v>1</x:v>
      </x:c>
      <x:c r="G9" s="29" t="n">
        <x:v>1</x:v>
      </x:c>
      <x:c r="H9" s="29" t="n">
        <x:v>1</x:v>
      </x:c>
      <x:c r="I9" s="29" t="n">
        <x:v>1</x:v>
      </x:c>
      <x:c r="J9" s="29" t="n">
        <x:v>1</x:v>
      </x:c>
      <x:c r="K9" s="29" t="n">
        <x:v>1</x:v>
      </x:c>
      <x:c r="L9" s="29" t="n">
        <x:v>1</x:v>
      </x:c>
      <x:c r="M9" s="29" t="n">
        <x:v>10</x:v>
      </x:c>
      <x:c r="N9" s="31" t="str">
        <x:f>IF(SUM(C9:L9)=M9,"PASS","FAIL")</x:f>
        <x:v>PASS</x:v>
      </x:c>
    </x:row>
    <x:row r="10" ht="18" customHeight="1"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</x:row>
    <x:row r="11" ht="18" customHeight="1"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</x:row>
    <x:row r="12" ht="18" customHeight="1">
      <x:c r="B12" s="9" t="str">
        <x:v>Soil measurement architecture</x:v>
      </x:c>
      <x:c r="C12" s="10" t="str">
        <x:v>Soil measurement architecture</x:v>
      </x:c>
      <x:c r="D12" s="10" t="str">
        <x:v>Soil measurement architecture</x:v>
      </x:c>
      <x:c r="E12" s="10" t="str">
        <x:v>Soil measurement architecture</x:v>
      </x:c>
      <x:c r="F12" s="10" t="str">
        <x:v>Soil measurement architecture</x:v>
      </x:c>
      <x:c r="G12" s="10" t="str">
        <x:v>Soil measurement architecture</x:v>
      </x:c>
      <x:c r="H12" s="10" t="str">
        <x:v>Soil measurement architecture</x:v>
      </x:c>
      <x:c r="I12" s="10" t="str">
        <x:v>Soil measurement architecture</x:v>
      </x:c>
      <x:c r="J12" s="10" t="str">
        <x:v>Soil measurement architecture</x:v>
      </x:c>
      <x:c r="K12" s="10" t="str">
        <x:v>Soil measurement architecture</x:v>
      </x:c>
      <x:c r="L12" s="10" t="str">
        <x:v>Soil measurement architecture</x:v>
      </x:c>
      <x:c r="M12" s="10" t="str">
        <x:v>Soil measurement architecture</x:v>
      </x:c>
      <x:c r="N12" s="11" t="str">
        <x:v>Soil measurement architecture</x:v>
      </x:c>
    </x:row>
    <x:row r="13" ht="18" customHeight="1">
      <x:c r="B13" s="17" t="str">
        <x:v>Architecture</x:v>
      </x:c>
      <x:c r="C13" s="18" t="str">
        <x:v>U95 kPa</x:v>
      </x:c>
      <x:c r="D13" s="18" t="str">
        <x:v>Allowed kPa</x:v>
      </x:c>
      <x:c r="E13" s="18" t="str">
        <x:v>Upper claim kPa</x:v>
      </x:c>
      <x:c r="F13" s="18" t="str">
        <x:v>Discriminates margin</x:v>
      </x:c>
      <x:c r="G13" s="18" t="str">
        <x:v>Independence</x:v>
      </x:c>
      <x:c r="H13" s="19" t="str">
        <x:v>Result</x:v>
      </x:c>
      <x:c r="I13" s="3"/>
      <x:c r="J13" s="3"/>
      <x:c r="K13" s="3"/>
      <x:c r="L13" s="3"/>
      <x:c r="M13" s="3"/>
      <x:c r="N13" s="3"/>
    </x:row>
    <x:row r="14" ht="18" customHeight="1">
      <x:c r="B14" s="3" t="str">
        <x:v>S0 carrier control telemetry</x:v>
      </x:c>
      <x:c r="C14" s="3" t="n">
        <x:f>'Soil Uncertainty'!C20</x:f>
        <x:v>1.7320508075688772</x:v>
      </x:c>
      <x:c r="D14" s="3" t="n">
        <x:f>'Soil Uncertainty'!C22</x:f>
        <x:v>0.2503972499999989</x:v>
      </x:c>
      <x:c r="E14" s="3" t="n">
        <x:f>'Soil Uncertainty'!C23</x:f>
        <x:v>35.98125630756888</x:v>
      </x:c>
      <x:c r="F14" s="3" t="str">
        <x:v>no</x:v>
      </x:c>
      <x:c r="G14" s="3" t="str">
        <x:v>no</x:v>
      </x:c>
      <x:c r="H14" s="3" t="str">
        <x:f>IF(AND(C14&lt;=D14,F14="yes",G14="yes"),"PASS","FAIL")</x:f>
        <x:v>FAIL</x:v>
      </x:c>
      <x:c r="I14" s="3"/>
      <x:c r="J14" s="3"/>
      <x:c r="K14" s="3"/>
      <x:c r="L14" s="3"/>
      <x:c r="M14" s="3"/>
      <x:c r="N14" s="3"/>
    </x:row>
    <x:row r="15" ht="18" customHeight="1">
      <x:c r="B15" s="3" t="str">
        <x:v>S1 independent foot load array</x:v>
      </x:c>
      <x:c r="C15" s="3" t="n">
        <x:f>'Soil Uncertainty'!D20</x:f>
        <x:v>0.5761944116355173</x:v>
      </x:c>
      <x:c r="D15" s="3" t="n">
        <x:f>'Soil Uncertainty'!D22</x:f>
        <x:v>0.2503972499999989</x:v>
      </x:c>
      <x:c r="E15" s="3" t="n">
        <x:f>'Soil Uncertainty'!D23</x:f>
        <x:v>34.82539991163552</x:v>
      </x:c>
      <x:c r="F15" s="3" t="str">
        <x:v>no</x:v>
      </x:c>
      <x:c r="G15" s="3" t="str">
        <x:v>partial</x:v>
      </x:c>
      <x:c r="H15" s="3" t="str">
        <x:f>IF(AND(C15&lt;=D15,F15="yes",G15="yes"),"PASS","FAIL")</x:f>
        <x:v>FAIL</x:v>
      </x:c>
      <x:c r="I15" s="3"/>
      <x:c r="J15" s="3"/>
      <x:c r="K15" s="3"/>
      <x:c r="L15" s="3"/>
      <x:c r="M15" s="3"/>
      <x:c r="N15" s="3"/>
    </x:row>
    <x:row r="16" ht="18" customHeight="1">
      <x:c r="B16" s="3" t="str">
        <x:v>S2 distributed pressure skin and terrain witnesses</x:v>
      </x:c>
      <x:c r="C16" s="3" t="n">
        <x:f>'Soil Uncertainty'!E20</x:f>
        <x:v>0.22090722034374521</x:v>
      </x:c>
      <x:c r="D16" s="3" t="n">
        <x:f>'Soil Uncertainty'!E22</x:f>
        <x:v>0.2503972499999989</x:v>
      </x:c>
      <x:c r="E16" s="3" t="n">
        <x:f>'Soil Uncertainty'!E23</x:f>
        <x:v>34.47011272034375</x:v>
      </x:c>
      <x:c r="F16" s="3" t="str">
        <x:v>yes</x:v>
      </x:c>
      <x:c r="G16" s="3" t="str">
        <x:v>yes</x:v>
      </x:c>
      <x:c r="H16" s="3" t="str">
        <x:f>IF(AND(C16&lt;=D16,F16="yes",G16="yes"),"PASS","FAIL")</x:f>
        <x:v>PASS</x:v>
      </x:c>
      <x:c r="I16" s="3"/>
      <x:c r="J16" s="3"/>
      <x:c r="K16" s="3"/>
      <x:c r="L16" s="3"/>
      <x:c r="M16" s="3"/>
      <x:c r="N16" s="3"/>
    </x:row>
    <x:row r="17" ht="18" customHeight="1"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</x:row>
    <x:row r="18" ht="18" customHeight="1"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</x:row>
    <x:row r="19" ht="18" customHeight="1">
      <x:c r="B19" s="9" t="str">
        <x:v>Selected behavior reference</x:v>
      </x:c>
      <x:c r="C19" s="10" t="str">
        <x:v>Selected behavior reference</x:v>
      </x:c>
      <x:c r="D19" s="10" t="str">
        <x:v>Selected behavior reference</x:v>
      </x:c>
      <x:c r="E19" s="10" t="str">
        <x:v>Selected behavior reference</x:v>
      </x:c>
      <x:c r="F19" s="10" t="str">
        <x:v>Selected behavior reference</x:v>
      </x:c>
      <x:c r="G19" s="10" t="str">
        <x:v>Selected behavior reference</x:v>
      </x:c>
      <x:c r="H19" s="10" t="str">
        <x:v>Selected behavior reference</x:v>
      </x:c>
      <x:c r="I19" s="10" t="str">
        <x:v>Selected behavior reference</x:v>
      </x:c>
      <x:c r="J19" s="10" t="str">
        <x:v>Selected behavior reference</x:v>
      </x:c>
      <x:c r="K19" s="10" t="str">
        <x:v>Selected behavior reference</x:v>
      </x:c>
      <x:c r="L19" s="10" t="str">
        <x:v>Selected behavior reference</x:v>
      </x:c>
      <x:c r="M19" s="10" t="str">
        <x:v>Selected behavior reference</x:v>
      </x:c>
      <x:c r="N19" s="11" t="str">
        <x:v>Selected behavior reference</x:v>
      </x:c>
    </x:row>
    <x:row r="20" ht="36" customHeight="1">
      <x:c r="B20" s="38" t="str">
        <x:v>Decision</x:v>
      </x:c>
      <x:c r="C20" s="3" t="str">
        <x:v>MESA-1 tri-plane</x:v>
      </x:c>
      <x:c r="D20" s="3" t="str"/>
      <x:c r="E20" s="3" t="str"/>
      <x:c r="F20" s="3" t="str"/>
      <x:c r="G20" s="3" t="str"/>
      <x:c r="H20" s="3" t="str"/>
      <x:c r="I20" s="3" t="str"/>
      <x:c r="J20" s="3" t="str"/>
      <x:c r="K20" s="3" t="str"/>
      <x:c r="L20" s="3" t="str"/>
      <x:c r="M20" s="3" t="str"/>
      <x:c r="N20" s="3" t="str"/>
    </x:row>
    <x:row r="21" ht="36" customHeight="1">
      <x:c r="B21" s="38" t="str">
        <x:v>Time architecture</x:v>
      </x:c>
      <x:c r="C21" s="3" t="str">
        <x:v>continuous physical event witnesses plus separate civil release ledger</x:v>
      </x:c>
      <x:c r="D21" s="3" t="str"/>
      <x:c r="E21" s="3" t="str"/>
      <x:c r="F21" s="3" t="str"/>
      <x:c r="G21" s="3" t="str"/>
      <x:c r="H21" s="3" t="str"/>
      <x:c r="I21" s="3" t="str"/>
      <x:c r="J21" s="3" t="str"/>
      <x:c r="K21" s="3" t="str"/>
      <x:c r="L21" s="3" t="str"/>
      <x:c r="M21" s="3" t="str"/>
      <x:c r="N21" s="3" t="str"/>
    </x:row>
    <x:row r="22" ht="36" customHeight="1">
      <x:c r="B22" s="38" t="str">
        <x:v>Soil architecture</x:v>
      </x:c>
      <x:c r="C22" s="3" t="str">
        <x:v>distributed pressure skin, optical geometry and geotechnical witness grid</x:v>
      </x:c>
      <x:c r="D22" s="3" t="str"/>
      <x:c r="E22" s="3" t="str"/>
      <x:c r="F22" s="3" t="str"/>
      <x:c r="G22" s="3" t="str"/>
      <x:c r="H22" s="3" t="str"/>
      <x:c r="I22" s="3" t="str"/>
      <x:c r="J22" s="3" t="str"/>
      <x:c r="K22" s="3" t="str"/>
      <x:c r="L22" s="3" t="str"/>
      <x:c r="M22" s="3" t="str"/>
      <x:c r="N22" s="3" t="str"/>
    </x:row>
    <x:row r="23" ht="36" customHeight="1">
      <x:c r="B23" s="38" t="str">
        <x:v>Data architecture</x:v>
      </x:c>
      <x:c r="C23" s="3" t="str">
        <x:v>local write-once capture with delayed one-way export and three custodial copies</x:v>
      </x:c>
      <x:c r="D23" s="3" t="str"/>
      <x:c r="E23" s="3" t="str"/>
      <x:c r="F23" s="3" t="str"/>
      <x:c r="G23" s="3" t="str"/>
      <x:c r="H23" s="3" t="str"/>
      <x:c r="I23" s="3" t="str"/>
      <x:c r="J23" s="3" t="str"/>
      <x:c r="K23" s="3" t="str"/>
      <x:c r="L23" s="3" t="str"/>
      <x:c r="M23" s="3" t="str"/>
      <x:c r="N23" s="3" t="str"/>
    </x:row>
    <x:row r="24" ht="36" customHeight="1">
      <x:c r="B24" s="38" t="str">
        <x:v>Operational boundary</x:v>
      </x:c>
      <x:c r="C24" s="3" t="str">
        <x:v>measurement may observe but cannot actuate, power, cool, communicate for or stabilize the mission</x:v>
      </x:c>
      <x:c r="D24" s="3" t="str"/>
      <x:c r="E24" s="3" t="str"/>
      <x:c r="F24" s="3" t="str"/>
      <x:c r="G24" s="3" t="str"/>
      <x:c r="H24" s="3" t="str"/>
      <x:c r="I24" s="3" t="str"/>
      <x:c r="J24" s="3" t="str"/>
      <x:c r="K24" s="3" t="str"/>
      <x:c r="L24" s="3" t="str"/>
      <x:c r="M24" s="3" t="str"/>
      <x:c r="N24" s="3" t="str"/>
    </x:row>
    <x:row r="25" ht="36" customHeight="1">
      <x:c r="B25" s="38" t="str">
        <x:v>Evidence state</x:v>
      </x:c>
      <x:c r="C25" s="3" t="str">
        <x:v>OPEN; selection is a behavior requirement, not demonstrated hardware</x:v>
      </x:c>
      <x:c r="D25" s="3" t="str"/>
      <x:c r="E25" s="3" t="str"/>
      <x:c r="F25" s="3" t="str"/>
      <x:c r="G25" s="3" t="str"/>
      <x:c r="H25" s="3" t="str"/>
      <x:c r="I25" s="3" t="str"/>
      <x:c r="J25" s="3" t="str"/>
      <x:c r="K25" s="3" t="str"/>
      <x:c r="L25" s="3" t="str"/>
      <x:c r="M25" s="3" t="str"/>
      <x:c r="N25" s="3" t="str"/>
    </x:row>
    <x:row r="26" ht="18" customHeight="1"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</x:row>
    <x:row r="27" ht="18" customHeight="1"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</x:row>
    <x:row r="28" ht="18" customHeight="1"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</x:row>
    <x:row r="29" ht="18" customHeight="1"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</x:row>
    <x:row r="30" ht="18" customHeight="1"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</x:row>
    <x:row r="31" ht="18" customHeight="1"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</x:row>
    <x:row r="32" ht="18" customHeight="1"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</x:row>
    <x:row r="33" ht="18" customHeight="1"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</x:row>
    <x:row r="34" ht="18" customHeight="1"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</x:row>
    <x:row r="35" ht="18" customHeight="1"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</x:row>
  </x:sheetData>
  <x:mergeCells>
    <x:mergeCell ref="B2:H2"/>
    <x:mergeCell ref="B3:N3"/>
    <x:mergeCell ref="B12:N12"/>
    <x:mergeCell ref="B19:N19"/>
  </x:mergeCells>
  <x:conditionalFormatting sqref="N7:N9">
    <x:cfRule type="containsText" dxfId="50" priority="1" operator="containsText" text="FAIL"/>
    <x:cfRule type="containsText" dxfId="51" priority="2" operator="containsText" text="PASS"/>
    <x:cfRule type="containsText" dxfId="52" priority="3" operator="containsText" text="OPEN"/>
    <x:cfRule type="containsText" dxfId="53" priority="4" operator="containsText" text="HOLD"/>
    <x:cfRule type="containsText" dxfId="54" priority="5" operator="containsText" text="BLOCKED"/>
  </x:conditionalFormatting>
  <x:conditionalFormatting sqref="H14:H16">
    <x:cfRule type="containsText" dxfId="55" priority="6" operator="containsText" text="FAIL"/>
    <x:cfRule type="containsText" dxfId="56" priority="7" operator="containsText" text="PASS"/>
    <x:cfRule type="containsText" dxfId="57" priority="8" operator="containsText" text="OPEN"/>
    <x:cfRule type="containsText" dxfId="58" priority="9" operator="containsText" text="HOLD"/>
    <x:cfRule type="containsText" dxfId="59" priority="10" operator="containsText" text="BLOCKED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34" hidden="0" customWidth="1"/>
    <x:col min="8" max="8" width="14" hidden="0" customWidth="1"/>
    <x:col min="9" max="9" width="15" hidden="0" customWidth="1"/>
    <x:col min="10" max="10" width="16" hidden="0" customWidth="1"/>
    <x:col min="11" max="11" width="17" hidden="0" customWidth="1"/>
    <x:col min="12" max="12" width="16" hidden="0" customWidth="1"/>
    <x:col min="13" max="13" width="14" hidden="0" customWidth="1"/>
    <x:col min="14" max="14" width="16" hidden="0" customWidth="1"/>
  </x:cols>
  <x:sheetData>
    <x:row r="2" ht="18" customHeight="1">
      <x:c r="B2" s="4" t="str">
        <x:v>Destructive article burn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18" customHeight="1">
      <x:c r="B3" s="5" t="str">
        <x:v>Qualification articles and mission attrition are separate serial-numbered banks; no failed article quietly returns to evidence service</x:v>
      </x:c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 ht="18" customHeight="1"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</x:row>
    <x:row r="5" ht="18" customHeight="1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</x:row>
    <x:row r="6" ht="18" customHeight="1">
      <x:c r="B6" s="23" t="str">
        <x:v>Lineage-family</x:v>
      </x:c>
      <x:c r="C6" s="24" t="str">
        <x:v>Engineering</x:v>
      </x:c>
      <x:c r="D6" s="24" t="str">
        <x:v>Environmental</x:v>
      </x:c>
      <x:c r="E6" s="24" t="str">
        <x:v>Destructive</x:v>
      </x:c>
      <x:c r="F6" s="24" t="str">
        <x:v>Integration</x:v>
      </x:c>
      <x:c r="G6" s="24" t="str">
        <x:v>Replication</x:v>
      </x:c>
      <x:c r="H6" s="24" t="str">
        <x:v>Reference</x:v>
      </x:c>
      <x:c r="I6" s="24" t="str">
        <x:v>Retired</x:v>
      </x:c>
      <x:c r="J6" s="24" t="str">
        <x:v>Quarantine</x:v>
      </x:c>
      <x:c r="K6" s="24" t="str">
        <x:v>Forensic archive</x:v>
      </x:c>
      <x:c r="L6" s="24" t="str">
        <x:v>Reset-ready</x:v>
      </x:c>
      <x:c r="M6" s="24" t="str">
        <x:v>Preserved</x:v>
      </x:c>
      <x:c r="N6" s="24" t="str">
        <x:v>Nonqual spares</x:v>
      </x:c>
    </x:row>
    <x:row r="7" ht="18" customHeight="1">
      <x:c r="B7" s="25" t="str">
        <x:v>Air-E</x:v>
      </x:c>
      <x:c r="C7" s="25" t="n">
        <x:v>4</x:v>
      </x:c>
      <x:c r="D7" s="25" t="n">
        <x:v>4</x:v>
      </x:c>
      <x:c r="E7" s="25" t="n">
        <x:v>4</x:v>
      </x:c>
      <x:c r="F7" s="25" t="n">
        <x:v>4</x:v>
      </x:c>
      <x:c r="G7" s="25" t="n">
        <x:v>4</x:v>
      </x:c>
      <x:c r="H7" s="25" t="n">
        <x:v>4</x:v>
      </x:c>
      <x:c r="I7" s="25" t="n">
        <x:f>2+2+4+1</x:f>
        <x:v>9</x:v>
      </x:c>
      <x:c r="J7" s="25" t="n">
        <x:f>1+1</x:f>
        <x:v>2</x:v>
      </x:c>
      <x:c r="K7" s="25" t="n">
        <x:f>1</x:f>
        <x:v>1</x:v>
      </x:c>
      <x:c r="L7" s="25" t="n">
        <x:f>2+4</x:f>
        <x:v>6</x:v>
      </x:c>
      <x:c r="M7" s="25" t="n">
        <x:f>4</x:f>
        <x:v>4</x:v>
      </x:c>
      <x:c r="N7" s="27" t="n">
        <x:f>2</x:f>
        <x:v>2</x:v>
      </x:c>
    </x:row>
    <x:row r="8" ht="18" customHeight="1">
      <x:c r="B8" s="25" t="str">
        <x:v>Air-W</x:v>
      </x:c>
      <x:c r="C8" s="25" t="n">
        <x:v>4</x:v>
      </x:c>
      <x:c r="D8" s="25" t="n">
        <x:v>4</x:v>
      </x:c>
      <x:c r="E8" s="25" t="n">
        <x:v>4</x:v>
      </x:c>
      <x:c r="F8" s="25" t="n">
        <x:v>4</x:v>
      </x:c>
      <x:c r="G8" s="25" t="n">
        <x:v>4</x:v>
      </x:c>
      <x:c r="H8" s="25" t="n">
        <x:v>4</x:v>
      </x:c>
      <x:c r="I8" s="25" t="n">
        <x:f>2+2+4+1</x:f>
        <x:v>9</x:v>
      </x:c>
      <x:c r="J8" s="25" t="n">
        <x:f>1+1</x:f>
        <x:v>2</x:v>
      </x:c>
      <x:c r="K8" s="25" t="n">
        <x:f>1</x:f>
        <x:v>1</x:v>
      </x:c>
      <x:c r="L8" s="25" t="n">
        <x:f>2+4</x:f>
        <x:v>6</x:v>
      </x:c>
      <x:c r="M8" s="25" t="n">
        <x:f>4</x:f>
        <x:v>4</x:v>
      </x:c>
      <x:c r="N8" s="27" t="n">
        <x:f>2</x:f>
        <x:v>2</x:v>
      </x:c>
    </x:row>
    <x:row r="9" ht="18" customHeight="1">
      <x:c r="B9" s="25" t="str">
        <x:v>Air-T</x:v>
      </x:c>
      <x:c r="C9" s="25" t="n">
        <x:v>4</x:v>
      </x:c>
      <x:c r="D9" s="25" t="n">
        <x:v>4</x:v>
      </x:c>
      <x:c r="E9" s="25" t="n">
        <x:v>4</x:v>
      </x:c>
      <x:c r="F9" s="25" t="n">
        <x:v>4</x:v>
      </x:c>
      <x:c r="G9" s="25" t="n">
        <x:v>4</x:v>
      </x:c>
      <x:c r="H9" s="25" t="n">
        <x:v>4</x:v>
      </x:c>
      <x:c r="I9" s="25" t="n">
        <x:f>2+2+4+1</x:f>
        <x:v>9</x:v>
      </x:c>
      <x:c r="J9" s="25" t="n">
        <x:f>1+1</x:f>
        <x:v>2</x:v>
      </x:c>
      <x:c r="K9" s="25" t="n">
        <x:f>1</x:f>
        <x:v>1</x:v>
      </x:c>
      <x:c r="L9" s="25" t="n">
        <x:f>2+4</x:f>
        <x:v>6</x:v>
      </x:c>
      <x:c r="M9" s="25" t="n">
        <x:f>4</x:f>
        <x:v>4</x:v>
      </x:c>
      <x:c r="N9" s="27" t="n">
        <x:f>2</x:f>
        <x:v>2</x:v>
      </x:c>
    </x:row>
    <x:row r="10" ht="18" customHeight="1">
      <x:c r="B10" s="25" t="str">
        <x:v>Air-D</x:v>
      </x:c>
      <x:c r="C10" s="25" t="n">
        <x:v>4</x:v>
      </x:c>
      <x:c r="D10" s="25" t="n">
        <x:v>4</x:v>
      </x:c>
      <x:c r="E10" s="25" t="n">
        <x:v>4</x:v>
      </x:c>
      <x:c r="F10" s="25" t="n">
        <x:v>4</x:v>
      </x:c>
      <x:c r="G10" s="25" t="n">
        <x:v>4</x:v>
      </x:c>
      <x:c r="H10" s="25" t="n">
        <x:v>4</x:v>
      </x:c>
      <x:c r="I10" s="25" t="n">
        <x:f>2+2+4+1</x:f>
        <x:v>9</x:v>
      </x:c>
      <x:c r="J10" s="25" t="n">
        <x:f>1+1</x:f>
        <x:v>2</x:v>
      </x:c>
      <x:c r="K10" s="25" t="n">
        <x:f>1</x:f>
        <x:v>1</x:v>
      </x:c>
      <x:c r="L10" s="25" t="n">
        <x:f>2+4</x:f>
        <x:v>6</x:v>
      </x:c>
      <x:c r="M10" s="25" t="n">
        <x:f>4</x:f>
        <x:v>4</x:v>
      </x:c>
      <x:c r="N10" s="27" t="n">
        <x:f>2</x:f>
        <x:v>2</x:v>
      </x:c>
    </x:row>
    <x:row r="11" ht="18" customHeight="1">
      <x:c r="B11" s="25" t="str">
        <x:v>Air-C</x:v>
      </x:c>
      <x:c r="C11" s="25" t="n">
        <x:v>4</x:v>
      </x:c>
      <x:c r="D11" s="25" t="n">
        <x:v>4</x:v>
      </x:c>
      <x:c r="E11" s="25" t="n">
        <x:v>4</x:v>
      </x:c>
      <x:c r="F11" s="25" t="n">
        <x:v>4</x:v>
      </x:c>
      <x:c r="G11" s="25" t="n">
        <x:v>4</x:v>
      </x:c>
      <x:c r="H11" s="25" t="n">
        <x:v>4</x:v>
      </x:c>
      <x:c r="I11" s="25" t="n">
        <x:f>2+2+4+1</x:f>
        <x:v>9</x:v>
      </x:c>
      <x:c r="J11" s="25" t="n">
        <x:f>1+1</x:f>
        <x:v>2</x:v>
      </x:c>
      <x:c r="K11" s="25" t="n">
        <x:f>1</x:f>
        <x:v>1</x:v>
      </x:c>
      <x:c r="L11" s="25" t="n">
        <x:f>2+4</x:f>
        <x:v>6</x:v>
      </x:c>
      <x:c r="M11" s="25" t="n">
        <x:f>4</x:f>
        <x:v>4</x:v>
      </x:c>
      <x:c r="N11" s="27" t="n">
        <x:f>2</x:f>
        <x:v>2</x:v>
      </x:c>
    </x:row>
    <x:row r="12" ht="18" customHeight="1">
      <x:c r="B12" s="25" t="str">
        <x:v>Terrain-E</x:v>
      </x:c>
      <x:c r="C12" s="25" t="n">
        <x:v>4</x:v>
      </x:c>
      <x:c r="D12" s="25" t="n">
        <x:v>4</x:v>
      </x:c>
      <x:c r="E12" s="25" t="n">
        <x:v>4</x:v>
      </x:c>
      <x:c r="F12" s="25" t="n">
        <x:v>4</x:v>
      </x:c>
      <x:c r="G12" s="25" t="n">
        <x:v>4</x:v>
      </x:c>
      <x:c r="H12" s="25" t="n">
        <x:v>4</x:v>
      </x:c>
      <x:c r="I12" s="25" t="n">
        <x:f>2+2+4+1</x:f>
        <x:v>9</x:v>
      </x:c>
      <x:c r="J12" s="25" t="n">
        <x:f>1+1</x:f>
        <x:v>2</x:v>
      </x:c>
      <x:c r="K12" s="25" t="n">
        <x:f>1</x:f>
        <x:v>1</x:v>
      </x:c>
      <x:c r="L12" s="25" t="n">
        <x:f>2+4</x:f>
        <x:v>6</x:v>
      </x:c>
      <x:c r="M12" s="25" t="n">
        <x:f>4</x:f>
        <x:v>4</x:v>
      </x:c>
      <x:c r="N12" s="27" t="n">
        <x:f>2</x:f>
        <x:v>2</x:v>
      </x:c>
    </x:row>
    <x:row r="13" ht="18" customHeight="1">
      <x:c r="B13" s="25" t="str">
        <x:v>Terrain-W</x:v>
      </x:c>
      <x:c r="C13" s="25" t="n">
        <x:v>4</x:v>
      </x:c>
      <x:c r="D13" s="25" t="n">
        <x:v>4</x:v>
      </x:c>
      <x:c r="E13" s="25" t="n">
        <x:v>4</x:v>
      </x:c>
      <x:c r="F13" s="25" t="n">
        <x:v>4</x:v>
      </x:c>
      <x:c r="G13" s="25" t="n">
        <x:v>4</x:v>
      </x:c>
      <x:c r="H13" s="25" t="n">
        <x:v>4</x:v>
      </x:c>
      <x:c r="I13" s="25" t="n">
        <x:f>2+2+4+1</x:f>
        <x:v>9</x:v>
      </x:c>
      <x:c r="J13" s="25" t="n">
        <x:f>1+1</x:f>
        <x:v>2</x:v>
      </x:c>
      <x:c r="K13" s="25" t="n">
        <x:f>1</x:f>
        <x:v>1</x:v>
      </x:c>
      <x:c r="L13" s="25" t="n">
        <x:f>2+4</x:f>
        <x:v>6</x:v>
      </x:c>
      <x:c r="M13" s="25" t="n">
        <x:f>4</x:f>
        <x:v>4</x:v>
      </x:c>
      <x:c r="N13" s="27" t="n">
        <x:f>2</x:f>
        <x:v>2</x:v>
      </x:c>
    </x:row>
    <x:row r="14" ht="18" customHeight="1">
      <x:c r="B14" s="25" t="str">
        <x:v>Terrain-T</x:v>
      </x:c>
      <x:c r="C14" s="25" t="n">
        <x:v>4</x:v>
      </x:c>
      <x:c r="D14" s="25" t="n">
        <x:v>4</x:v>
      </x:c>
      <x:c r="E14" s="25" t="n">
        <x:v>4</x:v>
      </x:c>
      <x:c r="F14" s="25" t="n">
        <x:v>4</x:v>
      </x:c>
      <x:c r="G14" s="25" t="n">
        <x:v>4</x:v>
      </x:c>
      <x:c r="H14" s="25" t="n">
        <x:v>4</x:v>
      </x:c>
      <x:c r="I14" s="25" t="n">
        <x:f>2+2+4+1</x:f>
        <x:v>9</x:v>
      </x:c>
      <x:c r="J14" s="25" t="n">
        <x:f>1+1</x:f>
        <x:v>2</x:v>
      </x:c>
      <x:c r="K14" s="25" t="n">
        <x:f>1</x:f>
        <x:v>1</x:v>
      </x:c>
      <x:c r="L14" s="25" t="n">
        <x:f>2+4</x:f>
        <x:v>6</x:v>
      </x:c>
      <x:c r="M14" s="25" t="n">
        <x:f>4</x:f>
        <x:v>4</x:v>
      </x:c>
      <x:c r="N14" s="27" t="n">
        <x:f>2</x:f>
        <x:v>2</x:v>
      </x:c>
    </x:row>
    <x:row r="15" ht="18" customHeight="1">
      <x:c r="B15" s="25" t="str">
        <x:v>Terrain-D</x:v>
      </x:c>
      <x:c r="C15" s="25" t="n">
        <x:v>4</x:v>
      </x:c>
      <x:c r="D15" s="25" t="n">
        <x:v>4</x:v>
      </x:c>
      <x:c r="E15" s="25" t="n">
        <x:v>4</x:v>
      </x:c>
      <x:c r="F15" s="25" t="n">
        <x:v>4</x:v>
      </x:c>
      <x:c r="G15" s="25" t="n">
        <x:v>4</x:v>
      </x:c>
      <x:c r="H15" s="25" t="n">
        <x:v>4</x:v>
      </x:c>
      <x:c r="I15" s="25" t="n">
        <x:f>2+2+4+1</x:f>
        <x:v>9</x:v>
      </x:c>
      <x:c r="J15" s="25" t="n">
        <x:f>1+1</x:f>
        <x:v>2</x:v>
      </x:c>
      <x:c r="K15" s="25" t="n">
        <x:f>1</x:f>
        <x:v>1</x:v>
      </x:c>
      <x:c r="L15" s="25" t="n">
        <x:f>2+4</x:f>
        <x:v>6</x:v>
      </x:c>
      <x:c r="M15" s="25" t="n">
        <x:f>4</x:f>
        <x:v>4</x:v>
      </x:c>
      <x:c r="N15" s="27" t="n">
        <x:f>2</x:f>
        <x:v>2</x:v>
      </x:c>
    </x:row>
    <x:row r="16" ht="18" customHeight="1">
      <x:c r="B16" s="29" t="str">
        <x:v>Terrain-C</x:v>
      </x:c>
      <x:c r="C16" s="29" t="n">
        <x:v>4</x:v>
      </x:c>
      <x:c r="D16" s="29" t="n">
        <x:v>4</x:v>
      </x:c>
      <x:c r="E16" s="29" t="n">
        <x:v>4</x:v>
      </x:c>
      <x:c r="F16" s="29" t="n">
        <x:v>4</x:v>
      </x:c>
      <x:c r="G16" s="29" t="n">
        <x:v>4</x:v>
      </x:c>
      <x:c r="H16" s="29" t="n">
        <x:v>4</x:v>
      </x:c>
      <x:c r="I16" s="29" t="n">
        <x:f>2+2+4+1</x:f>
        <x:v>9</x:v>
      </x:c>
      <x:c r="J16" s="29" t="n">
        <x:f>1+1</x:f>
        <x:v>2</x:v>
      </x:c>
      <x:c r="K16" s="29" t="n">
        <x:f>1</x:f>
        <x:v>1</x:v>
      </x:c>
      <x:c r="L16" s="29" t="n">
        <x:f>2+4</x:f>
        <x:v>6</x:v>
      </x:c>
      <x:c r="M16" s="29" t="n">
        <x:f>4</x:f>
        <x:v>4</x:v>
      </x:c>
      <x:c r="N16" s="31" t="n">
        <x:f>2</x:f>
        <x:v>2</x:v>
      </x:c>
    </x:row>
    <x:row r="17" ht="18" customHeight="1"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</x:row>
    <x:row r="18" ht="18" customHeight="1"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</x:row>
    <x:row r="19" ht="18" customHeight="1">
      <x:c r="B19" s="9" t="str">
        <x:v>Mission-bank irreversible attrition ceiling</x:v>
      </x:c>
      <x:c r="C19" s="10" t="str">
        <x:v>Mission-bank irreversible attrition ceiling</x:v>
      </x:c>
      <x:c r="D19" s="10" t="str">
        <x:v>Mission-bank irreversible attrition ceiling</x:v>
      </x:c>
      <x:c r="E19" s="10" t="str">
        <x:v>Mission-bank irreversible attrition ceiling</x:v>
      </x:c>
      <x:c r="F19" s="10" t="str">
        <x:v>Mission-bank irreversible attrition ceiling</x:v>
      </x:c>
      <x:c r="G19" s="10" t="str">
        <x:v>Mission-bank irreversible attrition ceiling</x:v>
      </x:c>
      <x:c r="H19" s="10" t="str">
        <x:v>Mission-bank irreversible attrition ceiling</x:v>
      </x:c>
      <x:c r="I19" s="10" t="str">
        <x:v>Mission-bank irreversible attrition ceiling</x:v>
      </x:c>
      <x:c r="J19" s="10" t="str">
        <x:v>Mission-bank irreversible attrition ceiling</x:v>
      </x:c>
      <x:c r="K19" s="10" t="str">
        <x:v>Mission-bank irreversible attrition ceiling</x:v>
      </x:c>
      <x:c r="L19" s="10" t="str">
        <x:v>Mission-bank irreversible attrition ceiling</x:v>
      </x:c>
      <x:c r="M19" s="10" t="str">
        <x:v>Mission-bank irreversible attrition ceiling</x:v>
      </x:c>
      <x:c r="N19" s="11" t="str">
        <x:v>Mission-bank irreversible attrition ceiling</x:v>
      </x:c>
    </x:row>
    <x:row r="20" ht="18" customHeight="1">
      <x:c r="B20" s="17" t="str">
        <x:v>Cause</x:v>
      </x:c>
      <x:c r="C20" s="18" t="str">
        <x:v>Per mode</x:v>
      </x:c>
      <x:c r="D20" s="18" t="str">
        <x:v>Air</x:v>
      </x:c>
      <x:c r="E20" s="18" t="str">
        <x:v>Terrain</x:v>
      </x:c>
      <x:c r="F20" s="18" t="str">
        <x:v>Disposition</x:v>
      </x:c>
      <x:c r="G20" s="19" t="str">
        <x:v>Rationale</x:v>
      </x:c>
      <x:c r="H20" s="3"/>
      <x:c r="I20" s="3"/>
      <x:c r="J20" s="3"/>
      <x:c r="K20" s="3"/>
      <x:c r="L20" s="3"/>
      <x:c r="M20" s="3"/>
      <x:c r="N20" s="3"/>
    </x:row>
    <x:row r="21" ht="36" customHeight="1">
      <x:c r="B21" s="3" t="str">
        <x:v>Blinded seeded defects</x:v>
      </x:c>
      <x:c r="C21" s="3" t="n">
        <x:v>8</x:v>
      </x:c>
      <x:c r="D21" s="3" t="n">
        <x:v>8</x:v>
      </x:c>
      <x:c r="E21" s="3" t="n">
        <x:v>8</x:v>
      </x:c>
      <x:c r="F21" s="3" t="str">
        <x:v>quarantine</x:v>
      </x:c>
      <x:c r="G21" s="3" t="str">
        <x:v>failed or manipulated articles cannot re-enter credited trials</x:v>
      </x:c>
      <x:c r="H21" s="3"/>
      <x:c r="I21" s="3"/>
      <x:c r="J21" s="3"/>
      <x:c r="K21" s="3"/>
      <x:c r="L21" s="3"/>
      <x:c r="M21" s="3"/>
      <x:c r="N21" s="3"/>
    </x:row>
    <x:row r="22" ht="36" customHeight="1">
      <x:c r="B22" s="3" t="str">
        <x:v>Boundary probes</x:v>
      </x:c>
      <x:c r="C22" s="3" t="n">
        <x:v>4</x:v>
      </x:c>
      <x:c r="D22" s="3" t="n">
        <x:v>4</x:v>
      </x:c>
      <x:c r="E22" s="3" t="n">
        <x:v>4</x:v>
      </x:c>
      <x:c r="F22" s="3" t="str">
        <x:v>quarantine or retire</x:v>
      </x:c>
      <x:c r="G22" s="3" t="str">
        <x:v>operation at the registered edge consumes credible margin</x:v>
      </x:c>
      <x:c r="H22" s="3"/>
      <x:c r="I22" s="3"/>
      <x:c r="J22" s="3"/>
      <x:c r="K22" s="3"/>
      <x:c r="L22" s="3"/>
      <x:c r="M22" s="3"/>
      <x:c r="N22" s="3"/>
    </x:row>
    <x:row r="23" ht="36" customHeight="1">
      <x:c r="B23" s="3" t="str">
        <x:v>Compound environmental injury</x:v>
      </x:c>
      <x:c r="C23" s="3" t="n">
        <x:v>4</x:v>
      </x:c>
      <x:c r="D23" s="3" t="n">
        <x:v>4</x:v>
      </x:c>
      <x:c r="E23" s="3" t="n">
        <x:v>4</x:v>
      </x:c>
      <x:c r="F23" s="3" t="str">
        <x:v>forensic archive</x:v>
      </x:c>
      <x:c r="G23" s="3" t="str">
        <x:v>salt flood heat and contamination exposures may create latent damage</x:v>
      </x:c>
      <x:c r="H23" s="3"/>
      <x:c r="I23" s="3"/>
      <x:c r="J23" s="3"/>
      <x:c r="K23" s="3"/>
      <x:c r="L23" s="3"/>
      <x:c r="M23" s="3"/>
      <x:c r="N23" s="3"/>
    </x:row>
    <x:row r="24" ht="36" customHeight="1">
      <x:c r="B24" s="3" t="str">
        <x:v>Handling and forensic disassembly</x:v>
      </x:c>
      <x:c r="C24" s="3" t="n">
        <x:v>2</x:v>
      </x:c>
      <x:c r="D24" s="3" t="n">
        <x:v>2</x:v>
      </x:c>
      <x:c r="E24" s="3" t="n">
        <x:v>2</x:v>
      </x:c>
      <x:c r="F24" s="3" t="str">
        <x:v>retire</x:v>
      </x:c>
      <x:c r="G24" s="3" t="str">
        <x:v>custody and disassembly preserve causal evidence</x:v>
      </x:c>
      <x:c r="H24" s="3"/>
      <x:c r="I24" s="3"/>
      <x:c r="J24" s="3"/>
      <x:c r="K24" s="3"/>
      <x:c r="L24" s="3"/>
      <x:c r="M24" s="3"/>
      <x:c r="N24" s="3"/>
    </x:row>
    <x:row r="25" ht="36" customHeight="1">
      <x:c r="B25" s="3" t="str">
        <x:v>Registered ceiling</x:v>
      </x:c>
      <x:c r="C25" s="3" t="n">
        <x:f>SUM(C21:C24)</x:f>
        <x:v>18</x:v>
      </x:c>
      <x:c r="D25" s="3" t="n">
        <x:f>SUM(D21:D24)</x:f>
        <x:v>18</x:v>
      </x:c>
      <x:c r="E25" s="3" t="n">
        <x:f>SUM(E21:E24)</x:f>
        <x:v>18</x:v>
      </x:c>
      <x:c r="F25" s="3" t="str">
        <x:v>control</x:v>
      </x:c>
      <x:c r="G25" s="3" t="str">
        <x:v>sum of irreversible removals before replacement credit</x:v>
      </x:c>
      <x:c r="H25" s="3"/>
      <x:c r="I25" s="3"/>
      <x:c r="J25" s="3"/>
      <x:c r="K25" s="3"/>
      <x:c r="L25" s="3"/>
      <x:c r="M25" s="3"/>
      <x:c r="N25" s="3"/>
    </x:row>
    <x:row r="26" ht="18" customHeight="1"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</x:row>
    <x:row r="27" ht="18" customHeight="1"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</x:row>
    <x:row r="28" ht="18" customHeight="1">
      <x:c r="B28" s="9" t="str">
        <x:v>Inventory and exposure reconciliation</x:v>
      </x:c>
      <x:c r="C28" s="10" t="str">
        <x:v>Inventory and exposure reconciliation</x:v>
      </x:c>
      <x:c r="D28" s="10" t="str">
        <x:v>Inventory and exposure reconciliation</x:v>
      </x:c>
      <x:c r="E28" s="10" t="str">
        <x:v>Inventory and exposure reconciliation</x:v>
      </x:c>
      <x:c r="F28" s="10" t="str">
        <x:v>Inventory and exposure reconciliation</x:v>
      </x:c>
      <x:c r="G28" s="10" t="str">
        <x:v>Inventory and exposure reconciliation</x:v>
      </x:c>
      <x:c r="H28" s="10" t="str">
        <x:v>Inventory and exposure reconciliation</x:v>
      </x:c>
      <x:c r="I28" s="10" t="str">
        <x:v>Inventory and exposure reconciliation</x:v>
      </x:c>
      <x:c r="J28" s="10" t="str">
        <x:v>Inventory and exposure reconciliation</x:v>
      </x:c>
      <x:c r="K28" s="10" t="str">
        <x:v>Inventory and exposure reconciliation</x:v>
      </x:c>
      <x:c r="L28" s="10" t="str">
        <x:v>Inventory and exposure reconciliation</x:v>
      </x:c>
      <x:c r="M28" s="10" t="str">
        <x:v>Inventory and exposure reconciliation</x:v>
      </x:c>
      <x:c r="N28" s="11" t="str">
        <x:v>Inventory and exposure reconciliation</x:v>
      </x:c>
    </x:row>
    <x:row r="29" ht="18" customHeight="1">
      <x:c r="B29" s="17" t="str">
        <x:v>Measure</x:v>
      </x:c>
      <x:c r="C29" s="18" t="str">
        <x:v>Air</x:v>
      </x:c>
      <x:c r="D29" s="18" t="str">
        <x:v>Terrain</x:v>
      </x:c>
      <x:c r="E29" s="18" t="str">
        <x:v>Total</x:v>
      </x:c>
      <x:c r="F29" s="18" t="str">
        <x:v>Required</x:v>
      </x:c>
      <x:c r="G29" s="19" t="str">
        <x:v>Result</x:v>
      </x:c>
      <x:c r="H29" s="3"/>
      <x:c r="I29" s="3"/>
      <x:c r="J29" s="3"/>
      <x:c r="K29" s="3"/>
      <x:c r="L29" s="3"/>
      <x:c r="M29" s="3"/>
      <x:c r="N29" s="3"/>
    </x:row>
    <x:row r="30" ht="18" customHeight="1">
      <x:c r="B30" s="3" t="str">
        <x:v>Qualification tiles</x:v>
      </x:c>
      <x:c r="C30" s="3" t="n">
        <x:v>120</x:v>
      </x:c>
      <x:c r="D30" s="3" t="n">
        <x:v>120</x:v>
      </x:c>
      <x:c r="E30" s="3" t="n">
        <x:f>SUM(C30:D30)</x:f>
        <x:v>240</x:v>
      </x:c>
      <x:c r="F30" s="3" t="n">
        <x:v>240</x:v>
      </x:c>
      <x:c r="G30" s="3" t="str">
        <x:f>IF(E30=F30,"PASS","FAIL")</x:f>
        <x:v>PASS</x:v>
      </x:c>
      <x:c r="H30" s="3"/>
      <x:c r="I30" s="3"/>
      <x:c r="J30" s="3"/>
      <x:c r="K30" s="3"/>
      <x:c r="L30" s="3"/>
      <x:c r="M30" s="3"/>
      <x:c r="N30" s="3"/>
    </x:row>
    <x:row r="31" ht="18" customHeight="1">
      <x:c r="B31" s="3" t="str">
        <x:v>Mission operating tiles</x:v>
      </x:c>
      <x:c r="C31" s="3" t="n">
        <x:v>120</x:v>
      </x:c>
      <x:c r="D31" s="3" t="n">
        <x:v>100</x:v>
      </x:c>
      <x:c r="E31" s="3" t="n">
        <x:f>SUM(C31:D31)</x:f>
        <x:v>220</x:v>
      </x:c>
      <x:c r="F31" s="3" t="n">
        <x:v>220</x:v>
      </x:c>
      <x:c r="G31" s="3" t="str">
        <x:f>IF(E31=F31,"PASS","FAIL")</x:f>
        <x:v>PASS</x:v>
      </x:c>
      <x:c r="H31" s="3"/>
      <x:c r="I31" s="3"/>
      <x:c r="J31" s="3"/>
      <x:c r="K31" s="3"/>
      <x:c r="L31" s="3"/>
      <x:c r="M31" s="3"/>
      <x:c r="N31" s="3"/>
    </x:row>
    <x:row r="32" ht="18" customHeight="1">
      <x:c r="B32" s="3" t="str">
        <x:v>Mission attrition tiles</x:v>
      </x:c>
      <x:c r="C32" s="3" t="n">
        <x:v>18</x:v>
      </x:c>
      <x:c r="D32" s="3" t="n">
        <x:v>18</x:v>
      </x:c>
      <x:c r="E32" s="3" t="n">
        <x:f>SUM(C32:D32)</x:f>
        <x:v>36</x:v>
      </x:c>
      <x:c r="F32" s="3" t="n">
        <x:v>36</x:v>
      </x:c>
      <x:c r="G32" s="3" t="str">
        <x:f>IF(E32=F32,"PASS","FAIL")</x:f>
        <x:v>PASS</x:v>
      </x:c>
      <x:c r="H32" s="3"/>
      <x:c r="I32" s="3"/>
      <x:c r="J32" s="3"/>
      <x:c r="K32" s="3"/>
      <x:c r="L32" s="3"/>
      <x:c r="M32" s="3"/>
      <x:c r="N32" s="3"/>
    </x:row>
    <x:row r="33" ht="18" customHeight="1">
      <x:c r="B33" s="3" t="str">
        <x:v>Revised development tiles</x:v>
      </x:c>
      <x:c r="C33" s="3" t="n">
        <x:v>0</x:v>
      </x:c>
      <x:c r="D33" s="3" t="n">
        <x:v>0</x:v>
      </x:c>
      <x:c r="E33" s="3" t="n">
        <x:f>SUM(E30:E32)</x:f>
        <x:v>496</x:v>
      </x:c>
      <x:c r="F33" s="3" t="n">
        <x:v>496</x:v>
      </x:c>
      <x:c r="G33" s="3" t="str">
        <x:f>IF(E33=F33,"PASS","FAIL")</x:f>
        <x:v>PASS</x:v>
      </x:c>
      <x:c r="H33" s="3"/>
      <x:c r="I33" s="3"/>
      <x:c r="J33" s="3"/>
      <x:c r="K33" s="3"/>
      <x:c r="L33" s="3"/>
      <x:c r="M33" s="3"/>
      <x:c r="N33" s="3"/>
    </x:row>
    <x:row r="34" ht="18" customHeight="1">
      <x:c r="B34" s="3" t="str">
        <x:v>Operational plus reserve tiles</x:v>
      </x:c>
      <x:c r="C34" s="3" t="n">
        <x:v>0</x:v>
      </x:c>
      <x:c r="D34" s="3" t="n">
        <x:v>0</x:v>
      </x:c>
      <x:c r="E34" s="3" t="n">
        <x:f>Assumptions!C15+Assumptions!C16</x:f>
        <x:v>5676</x:v>
      </x:c>
      <x:c r="F34" s="3" t="n">
        <x:v>5676</x:v>
      </x:c>
      <x:c r="G34" s="3" t="str">
        <x:f>IF(E34=F34,"PASS","FAIL")</x:f>
        <x:v>PASS</x:v>
      </x:c>
      <x:c r="H34" s="3"/>
      <x:c r="I34" s="3"/>
      <x:c r="J34" s="3"/>
      <x:c r="K34" s="3"/>
      <x:c r="L34" s="3"/>
      <x:c r="M34" s="3"/>
      <x:c r="N34" s="3"/>
    </x:row>
    <x:row r="35" ht="18" customHeight="1">
      <x:c r="B35" s="3" t="str">
        <x:v>Revised total inventory</x:v>
      </x:c>
      <x:c r="C35" s="3" t="n">
        <x:v>0</x:v>
      </x:c>
      <x:c r="D35" s="3" t="n">
        <x:v>0</x:v>
      </x:c>
      <x:c r="E35" s="3" t="n">
        <x:f>E33+E34</x:f>
        <x:v>6172</x:v>
      </x:c>
      <x:c r="F35" s="3" t="n">
        <x:v>6172</x:v>
      </x:c>
      <x:c r="G35" s="3" t="str">
        <x:f>IF(E35=F35,"PASS","FAIL")</x:f>
        <x:v>PASS</x:v>
      </x:c>
      <x:c r="H35" s="3"/>
      <x:c r="I35" s="3"/>
      <x:c r="J35" s="3"/>
      <x:c r="K35" s="3"/>
      <x:c r="L35" s="3"/>
      <x:c r="M35" s="3"/>
      <x:c r="N35" s="3"/>
    </x:row>
  </x:sheetData>
  <x:mergeCells>
    <x:mergeCell ref="B2:H2"/>
    <x:mergeCell ref="B3:N3"/>
    <x:mergeCell ref="B19:N19"/>
    <x:mergeCell ref="B28:N28"/>
  </x:mergeCells>
  <x:conditionalFormatting sqref="G30:G35">
    <x:cfRule type="containsText" dxfId="60" priority="1" operator="containsText" text="FAIL"/>
    <x:cfRule type="containsText" dxfId="61" priority="2" operator="containsText" text="PASS"/>
    <x:cfRule type="containsText" dxfId="62" priority="3" operator="containsText" text="OPEN"/>
    <x:cfRule type="containsText" dxfId="63" priority="4" operator="containsText" text="HOLD"/>
    <x:cfRule type="containsText" dxfId="64" priority="5" operator="containsText" text="BLOCKED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24" hidden="0" customWidth="1"/>
    <x:col min="3" max="3" width="28" hidden="0" customWidth="1"/>
    <x:col min="4" max="4" width="30" hidden="0" customWidth="1"/>
    <x:col min="5" max="5" width="25" hidden="0" customWidth="1"/>
    <x:col min="6" max="6" width="27" hidden="0" customWidth="1"/>
    <x:col min="7" max="7" width="15" hidden="0" customWidth="1"/>
    <x:col min="8" max="8" width="23" hidden="0" customWidth="1"/>
    <x:col min="9" max="9" width="12" hidden="0" customWidth="1"/>
    <x:col min="10" max="10" width="23" hidden="0" customWidth="1"/>
    <x:col min="11" max="11" width="15" hidden="0" customWidth="1"/>
    <x:col min="12" max="12" width="21" hidden="0" customWidth="1"/>
  </x:cols>
  <x:sheetData>
    <x:row r="2" ht="18" customHeight="1">
      <x:c r="B2" s="4" t="str">
        <x:v>No-crutch firewall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18" customHeight="1">
      <x:c r="B3" s="5" t="str">
        <x:v>Evidence equipment may expose mechanism but cannot improve the service outcome it is supposed to measure</x:v>
      </x:c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18" customHeight="1"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 ht="18" customHeight="1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</x:row>
    <x:row r="6" ht="18" customHeight="1">
      <x:c r="B6" s="23" t="str">
        <x:v>Control</x:v>
      </x:c>
      <x:c r="C6" s="24" t="str">
        <x:v>Prohibited dependency</x:v>
      </x:c>
      <x:c r="D6" s="24" t="str">
        <x:v>Required architecture</x:v>
      </x:c>
      <x:c r="E6" s="24" t="str">
        <x:v>Failure insertion</x:v>
      </x:c>
      <x:c r="F6" s="24" t="str">
        <x:v>Removal test</x:v>
      </x:c>
      <x:c r="G6" s="24" t="str">
        <x:v>Authority</x:v>
      </x:c>
      <x:c r="H6" s="24" t="str">
        <x:v>Artifact</x:v>
      </x:c>
      <x:c r="I6" s="24" t="str">
        <x:v>State</x:v>
      </x:c>
      <x:c r="J6" s="24" t="str">
        <x:v>Credit rule</x:v>
      </x:c>
      <x:c r="K6" s="24" t="str">
        <x:v>Trigger</x:v>
      </x:c>
      <x:c r="L6" s="24" t="str">
        <x:v>Owner</x:v>
      </x:c>
    </x:row>
    <x:row r="7" ht="18" customHeight="1">
      <x:c r="B7" s="25" t="str">
        <x:v>NC01 isolated power</x:v>
      </x:c>
      <x:c r="C7" s="25" t="str">
        <x:v>mission power sustains evidence</x:v>
      </x:c>
      <x:c r="D7" s="25" t="str">
        <x:v>local battery plus harvesting</x:v>
      </x:c>
      <x:c r="E7" s="25" t="str">
        <x:v>remove mission bus</x:v>
      </x:c>
      <x:c r="F7" s="25" t="str">
        <x:v>evidence continues locally</x:v>
      </x:c>
      <x:c r="G7" s="25" t="str">
        <x:v>P1</x:v>
      </x:c>
      <x:c r="H7" s="25" t="str">
        <x:v>power isolation trace</x:v>
      </x:c>
      <x:c r="I7" s="25" t="str">
        <x:v>OPEN</x:v>
      </x:c>
      <x:c r="J7" s="25" t="str">
        <x:v>no credit until witnessed</x:v>
      </x:c>
      <x:c r="K7" s="25" t="str">
        <x:v>qualification</x:v>
      </x:c>
      <x:c r="L7" s="27" t="str">
        <x:v>metrology</x:v>
      </x:c>
    </x:row>
    <x:row r="8" ht="18" customHeight="1">
      <x:c r="B8" s="25" t="str">
        <x:v>NC02 one-way tap</x:v>
      </x:c>
      <x:c r="C8" s="25" t="str">
        <x:v>evidence network commands article</x:v>
      </x:c>
      <x:c r="D8" s="25" t="str">
        <x:v>optical or physical diode</x:v>
      </x:c>
      <x:c r="E8" s="25" t="str">
        <x:v>inject reverse traffic</x:v>
      </x:c>
      <x:c r="F8" s="25" t="str">
        <x:v>no control response</x:v>
      </x:c>
      <x:c r="G8" s="25" t="str">
        <x:v>P1</x:v>
      </x:c>
      <x:c r="H8" s="25" t="str">
        <x:v>directionality test</x:v>
      </x:c>
      <x:c r="I8" s="25" t="str">
        <x:v>OPEN</x:v>
      </x:c>
      <x:c r="J8" s="25" t="str">
        <x:v>zero credit on actuation</x:v>
      </x:c>
      <x:c r="K8" s="25" t="str">
        <x:v>integration</x:v>
      </x:c>
      <x:c r="L8" s="27" t="str">
        <x:v>cyber evidence</x:v>
      </x:c>
    </x:row>
    <x:row r="9" ht="18" customHeight="1">
      <x:c r="B9" s="25" t="str">
        <x:v>NC03 no actuation</x:v>
      </x:c>
      <x:c r="C9" s="25" t="str">
        <x:v>measurement changes setpoint</x:v>
      </x:c>
      <x:c r="D9" s="25" t="str">
        <x:v>no command path</x:v>
      </x:c>
      <x:c r="E9" s="25" t="str">
        <x:v>request command</x:v>
      </x:c>
      <x:c r="F9" s="25" t="str">
        <x:v>physically impossible</x:v>
      </x:c>
      <x:c r="G9" s="25" t="str">
        <x:v>P1</x:v>
      </x:c>
      <x:c r="H9" s="25" t="str">
        <x:v>interface teardown</x:v>
      </x:c>
      <x:c r="I9" s="25" t="str">
        <x:v>OPEN</x:v>
      </x:c>
      <x:c r="J9" s="25" t="str">
        <x:v>zero credit</x:v>
      </x:c>
      <x:c r="K9" s="25" t="str">
        <x:v>qualification</x:v>
      </x:c>
      <x:c r="L9" s="27" t="str">
        <x:v>safety authority</x:v>
      </x:c>
    </x:row>
    <x:row r="10" ht="18" customHeight="1">
      <x:c r="B10" s="25" t="str">
        <x:v>NC04 local capture</x:v>
      </x:c>
      <x:c r="C10" s="25" t="str">
        <x:v>network needed to retain data</x:v>
      </x:c>
      <x:c r="D10" s="25" t="str">
        <x:v>write-once local store</x:v>
      </x:c>
      <x:c r="E10" s="25" t="str">
        <x:v>remove links</x:v>
      </x:c>
      <x:c r="F10" s="25" t="str">
        <x:v>complete interval retained</x:v>
      </x:c>
      <x:c r="G10" s="25" t="str">
        <x:v>P1/P2</x:v>
      </x:c>
      <x:c r="H10" s="25" t="str">
        <x:v>loss-world record</x:v>
      </x:c>
      <x:c r="I10" s="25" t="str">
        <x:v>OPEN</x:v>
      </x:c>
      <x:c r="J10" s="25" t="str">
        <x:v>zero credit if erased</x:v>
      </x:c>
      <x:c r="K10" s="25" t="str">
        <x:v>mission</x:v>
      </x:c>
      <x:c r="L10" s="27" t="str">
        <x:v>evidence authority</x:v>
      </x:c>
    </x:row>
    <x:row r="11" ht="18" customHeight="1">
      <x:c r="B11" s="25" t="str">
        <x:v>NC05 GNSS holdover</x:v>
      </x:c>
      <x:c r="C11" s="25" t="str">
        <x:v>GNSS needed for event time</x:v>
      </x:c>
      <x:c r="D11" s="25" t="str">
        <x:v>diverse oscillators</x:v>
      </x:c>
      <x:c r="E11" s="25" t="str">
        <x:v>deny GNSS</x:v>
      </x:c>
      <x:c r="F11" s="25" t="str">
        <x:v>uncertainty remains bounded</x:v>
      </x:c>
      <x:c r="G11" s="25" t="str">
        <x:v>P1/P2</x:v>
      </x:c>
      <x:c r="H11" s="25" t="str">
        <x:v>holdover calibration</x:v>
      </x:c>
      <x:c r="I11" s="25" t="str">
        <x:v>OPEN</x:v>
      </x:c>
      <x:c r="J11" s="25" t="str">
        <x:v>apply U95</x:v>
      </x:c>
      <x:c r="K11" s="25" t="str">
        <x:v>qualification</x:v>
      </x:c>
      <x:c r="L11" s="27" t="str">
        <x:v>time authority</x:v>
      </x:c>
    </x:row>
    <x:row r="12" ht="18" customHeight="1">
      <x:c r="B12" s="25" t="str">
        <x:v>NC06 removal invariance</x:v>
      </x:c>
      <x:c r="C12" s="25" t="str">
        <x:v>evidence kit stabilizes article</x:v>
      </x:c>
      <x:c r="D12" s="25" t="str">
        <x:v>passive mounts only</x:v>
      </x:c>
      <x:c r="E12" s="25" t="str">
        <x:v>remove kit</x:v>
      </x:c>
      <x:c r="F12" s="25" t="str">
        <x:v>mission behavior invariant</x:v>
      </x:c>
      <x:c r="G12" s="25" t="str">
        <x:v>P1</x:v>
      </x:c>
      <x:c r="H12" s="25" t="str">
        <x:v>paired trial</x:v>
      </x:c>
      <x:c r="I12" s="25" t="str">
        <x:v>OPEN</x:v>
      </x:c>
      <x:c r="J12" s="25" t="str">
        <x:v>zero credit on effect</x:v>
      </x:c>
      <x:c r="K12" s="25" t="str">
        <x:v>replication</x:v>
      </x:c>
      <x:c r="L12" s="27" t="str">
        <x:v>trial authority</x:v>
      </x:c>
    </x:row>
    <x:row r="13" ht="18" customHeight="1">
      <x:c r="B13" s="25" t="str">
        <x:v>NC07 mass and CG</x:v>
      </x:c>
      <x:c r="C13" s="25" t="str">
        <x:v>instrumented article is atypical</x:v>
      </x:c>
      <x:c r="D13" s="25" t="str">
        <x:v>matched simulant</x:v>
      </x:c>
      <x:c r="E13" s="25" t="str">
        <x:v>swap instrument for simulant</x:v>
      </x:c>
      <x:c r="F13" s="25" t="str">
        <x:v>loads remain equivalent</x:v>
      </x:c>
      <x:c r="G13" s="25" t="str">
        <x:v>P1</x:v>
      </x:c>
      <x:c r="H13" s="25" t="str">
        <x:v>mass properties record</x:v>
      </x:c>
      <x:c r="I13" s="25" t="str">
        <x:v>OPEN</x:v>
      </x:c>
      <x:c r="J13" s="25" t="str">
        <x:v>representative only</x:v>
      </x:c>
      <x:c r="K13" s="25" t="str">
        <x:v>mission</x:v>
      </x:c>
      <x:c r="L13" s="27" t="str">
        <x:v>article authority</x:v>
      </x:c>
    </x:row>
    <x:row r="14" ht="18" customHeight="1">
      <x:c r="B14" s="25" t="str">
        <x:v>NC08 thermal simulant</x:v>
      </x:c>
      <x:c r="C14" s="25" t="str">
        <x:v>sensors add useful cooling</x:v>
      </x:c>
      <x:c r="D14" s="25" t="str">
        <x:v>matched heat source</x:v>
      </x:c>
      <x:c r="E14" s="25" t="str">
        <x:v>swap kit</x:v>
      </x:c>
      <x:c r="F14" s="25" t="str">
        <x:v>thermal field equivalent</x:v>
      </x:c>
      <x:c r="G14" s="25" t="str">
        <x:v>P1</x:v>
      </x:c>
      <x:c r="H14" s="25" t="str">
        <x:v>heat-balance trace</x:v>
      </x:c>
      <x:c r="I14" s="25" t="str">
        <x:v>OPEN</x:v>
      </x:c>
      <x:c r="J14" s="25" t="str">
        <x:v>representative only</x:v>
      </x:c>
      <x:c r="K14" s="25" t="str">
        <x:v>mission</x:v>
      </x:c>
      <x:c r="L14" s="27" t="str">
        <x:v>thermal authority</x:v>
      </x:c>
    </x:row>
    <x:row r="15" ht="18" customHeight="1">
      <x:c r="B15" s="25" t="str">
        <x:v>NC09 builder blindness</x:v>
      </x:c>
      <x:c r="C15" s="25" t="str">
        <x:v>builder tunes to live evidence</x:v>
      </x:c>
      <x:c r="D15" s="25" t="str">
        <x:v>delayed one-way copy</x:v>
      </x:c>
      <x:c r="E15" s="25" t="str">
        <x:v>hide live evidence</x:v>
      </x:c>
      <x:c r="F15" s="25" t="str">
        <x:v>no tuning channel</x:v>
      </x:c>
      <x:c r="G15" s="25" t="str">
        <x:v>P1</x:v>
      </x:c>
      <x:c r="H15" s="25" t="str">
        <x:v>access log</x:v>
      </x:c>
      <x:c r="I15" s="25" t="str">
        <x:v>OPEN</x:v>
      </x:c>
      <x:c r="J15" s="25" t="str">
        <x:v>zero credit on access</x:v>
      </x:c>
      <x:c r="K15" s="25" t="str">
        <x:v>mission</x:v>
      </x:c>
      <x:c r="L15" s="27" t="str">
        <x:v>custody authority</x:v>
      </x:c>
    </x:row>
    <x:row r="16" ht="18" customHeight="1">
      <x:c r="B16" s="25" t="str">
        <x:v>NC10 operator blindness</x:v>
      </x:c>
      <x:c r="C16" s="25" t="str">
        <x:v>operator sees hidden score</x:v>
      </x:c>
      <x:c r="D16" s="25" t="str">
        <x:v>separate operational display</x:v>
      </x:c>
      <x:c r="E16" s="25" t="str">
        <x:v>withhold evidence score</x:v>
      </x:c>
      <x:c r="F16" s="25" t="str">
        <x:v>mission unchanged</x:v>
      </x:c>
      <x:c r="G16" s="25" t="str">
        <x:v>P1</x:v>
      </x:c>
      <x:c r="H16" s="25" t="str">
        <x:v>display audit</x:v>
      </x:c>
      <x:c r="I16" s="25" t="str">
        <x:v>OPEN</x:v>
      </x:c>
      <x:c r="J16" s="25" t="str">
        <x:v>zero credit on coaching</x:v>
      </x:c>
      <x:c r="K16" s="25" t="str">
        <x:v>mission</x:v>
      </x:c>
      <x:c r="L16" s="27" t="str">
        <x:v>trial authority</x:v>
      </x:c>
    </x:row>
    <x:row r="17" ht="18" customHeight="1">
      <x:c r="B17" s="25" t="str">
        <x:v>NC11 civil witness</x:v>
      </x:c>
      <x:c r="C17" s="25" t="str">
        <x:v>operator controls public record</x:v>
      </x:c>
      <x:c r="D17" s="25" t="str">
        <x:v>separate civil custody</x:v>
      </x:c>
      <x:c r="E17" s="25" t="str">
        <x:v>operator requests edit</x:v>
      </x:c>
      <x:c r="F17" s="25" t="str">
        <x:v>request denied and logged</x:v>
      </x:c>
      <x:c r="G17" s="25" t="str">
        <x:v>P2</x:v>
      </x:c>
      <x:c r="H17" s="25" t="str">
        <x:v>civil ledger</x:v>
      </x:c>
      <x:c r="I17" s="25" t="str">
        <x:v>OPEN</x:v>
      </x:c>
      <x:c r="J17" s="25" t="str">
        <x:v>zero public claim</x:v>
      </x:c>
      <x:c r="K17" s="25" t="str">
        <x:v>mission</x:v>
      </x:c>
      <x:c r="L17" s="27" t="str">
        <x:v>civil authority</x:v>
      </x:c>
    </x:row>
    <x:row r="18" ht="18" customHeight="1">
      <x:c r="B18" s="25" t="str">
        <x:v>NC12 calibration</x:v>
      </x:c>
      <x:c r="C18" s="25" t="str">
        <x:v>builder owns reference chain</x:v>
      </x:c>
      <x:c r="D18" s="25" t="str">
        <x:v>independent traceability</x:v>
      </x:c>
      <x:c r="E18" s="25" t="str">
        <x:v>substitute reference</x:v>
      </x:c>
      <x:c r="F18" s="25" t="str">
        <x:v>mismatch detected</x:v>
      </x:c>
      <x:c r="G18" s="25" t="str">
        <x:v>P1/P2</x:v>
      </x:c>
      <x:c r="H18" s="25" t="str">
        <x:v>calibration chain</x:v>
      </x:c>
      <x:c r="I18" s="25" t="str">
        <x:v>OPEN</x:v>
      </x:c>
      <x:c r="J18" s="25" t="str">
        <x:v>apply uncertainty</x:v>
      </x:c>
      <x:c r="K18" s="25" t="str">
        <x:v>all</x:v>
      </x:c>
      <x:c r="L18" s="27" t="str">
        <x:v>metrology</x:v>
      </x:c>
    </x:row>
    <x:row r="19" ht="18" customHeight="1">
      <x:c r="B19" s="25" t="str">
        <x:v>NC13 raw custody</x:v>
      </x:c>
      <x:c r="C19" s="25" t="str">
        <x:v>builder receives originals first</x:v>
      </x:c>
      <x:c r="D19" s="25" t="str">
        <x:v>authority-first ingest</x:v>
      </x:c>
      <x:c r="E19" s="25" t="str">
        <x:v>delay export</x:v>
      </x:c>
      <x:c r="F19" s="25" t="str">
        <x:v>original remains held</x:v>
      </x:c>
      <x:c r="G19" s="25" t="str">
        <x:v>P1/P2</x:v>
      </x:c>
      <x:c r="H19" s="25" t="str">
        <x:v>custody ledger</x:v>
      </x:c>
      <x:c r="I19" s="25" t="str">
        <x:v>OPEN</x:v>
      </x:c>
      <x:c r="J19" s="25" t="str">
        <x:v>zero credit if broken</x:v>
      </x:c>
      <x:c r="K19" s="25" t="str">
        <x:v>mission</x:v>
      </x:c>
      <x:c r="L19" s="27" t="str">
        <x:v>evidence authority</x:v>
      </x:c>
    </x:row>
    <x:row r="20" ht="18" customHeight="1">
      <x:c r="B20" s="25" t="str">
        <x:v>NC14 clock diversity</x:v>
      </x:c>
      <x:c r="C20" s="25" t="str">
        <x:v>shared firmware creates common mode</x:v>
      </x:c>
      <x:c r="D20" s="25" t="str">
        <x:v>separate procurement roots</x:v>
      </x:c>
      <x:c r="E20" s="25" t="str">
        <x:v>fault one root</x:v>
      </x:c>
      <x:c r="F20" s="25" t="str">
        <x:v>others preserve event order</x:v>
      </x:c>
      <x:c r="G20" s="25" t="str">
        <x:v>P1/P2</x:v>
      </x:c>
      <x:c r="H20" s="25" t="str">
        <x:v>diversity dossier</x:v>
      </x:c>
      <x:c r="I20" s="25" t="str">
        <x:v>OPEN</x:v>
      </x:c>
      <x:c r="J20" s="25" t="str">
        <x:v>apply worst root</x:v>
      </x:c>
      <x:c r="K20" s="25" t="str">
        <x:v>qualification</x:v>
      </x:c>
      <x:c r="L20" s="27" t="str">
        <x:v>time authority</x:v>
      </x:c>
    </x:row>
    <x:row r="21" ht="18" customHeight="1">
      <x:c r="B21" s="25" t="str">
        <x:v>NC15 software diversity</x:v>
      </x:c>
      <x:c r="C21" s="25" t="str">
        <x:v>shared analytics hides defects</x:v>
      </x:c>
      <x:c r="D21" s="25" t="str">
        <x:v>independent implementations</x:v>
      </x:c>
      <x:c r="E21" s="25" t="str">
        <x:v>seed divergent defect</x:v>
      </x:c>
      <x:c r="F21" s="25" t="str">
        <x:v>disagreement visible</x:v>
      </x:c>
      <x:c r="G21" s="25" t="str">
        <x:v>P1/P2</x:v>
      </x:c>
      <x:c r="H21" s="25" t="str">
        <x:v>reproduction package</x:v>
      </x:c>
      <x:c r="I21" s="25" t="str">
        <x:v>OPEN</x:v>
      </x:c>
      <x:c r="J21" s="25" t="str">
        <x:v>no automatic pass</x:v>
      </x:c>
      <x:c r="K21" s="25" t="str">
        <x:v>replication</x:v>
      </x:c>
      <x:c r="L21" s="27" t="str">
        <x:v>software evidence</x:v>
      </x:c>
    </x:row>
    <x:row r="22" ht="18" customHeight="1">
      <x:c r="B22" s="25" t="str">
        <x:v>NC16 no range service</x:v>
      </x:c>
      <x:c r="C22" s="25" t="str">
        <x:v>range utilities help mission</x:v>
      </x:c>
      <x:c r="D22" s="25" t="str">
        <x:v>declared receiver only</x:v>
      </x:c>
      <x:c r="E22" s="25" t="str">
        <x:v>withdraw range support</x:v>
      </x:c>
      <x:c r="F22" s="25" t="str">
        <x:v>service remains inside boundary</x:v>
      </x:c>
      <x:c r="G22" s="25" t="str">
        <x:v>mission</x:v>
      </x:c>
      <x:c r="H22" s="25" t="str">
        <x:v>support ledger</x:v>
      </x:c>
      <x:c r="I22" s="25" t="str">
        <x:v>OPEN</x:v>
      </x:c>
      <x:c r="J22" s="25" t="str">
        <x:v>zero credit if borrowed</x:v>
      </x:c>
      <x:c r="K22" s="25" t="str">
        <x:v>mission</x:v>
      </x:c>
      <x:c r="L22" s="27" t="str">
        <x:v>range authority</x:v>
      </x:c>
    </x:row>
    <x:row r="23" ht="18" customHeight="1">
      <x:c r="B23" s="25" t="str">
        <x:v>NC17 visible failure</x:v>
      </x:c>
      <x:c r="C23" s="25" t="str">
        <x:v>sensor failure becomes zero</x:v>
      </x:c>
      <x:c r="D23" s="25" t="str">
        <x:v>explicit invalid state</x:v>
      </x:c>
      <x:c r="E23" s="25" t="str">
        <x:v>disconnect sensor</x:v>
      </x:c>
      <x:c r="F23" s="25" t="str">
        <x:v>failure alarm persists</x:v>
      </x:c>
      <x:c r="G23" s="25" t="str">
        <x:v>P1/P2</x:v>
      </x:c>
      <x:c r="H23" s="25" t="str">
        <x:v>fault record</x:v>
      </x:c>
      <x:c r="I23" s="25" t="str">
        <x:v>OPEN</x:v>
      </x:c>
      <x:c r="J23" s="25" t="str">
        <x:v>no imputation to pass</x:v>
      </x:c>
      <x:c r="K23" s="25" t="str">
        <x:v>all</x:v>
      </x:c>
      <x:c r="L23" s="27" t="str">
        <x:v>evidence authority</x:v>
      </x:c>
    </x:row>
    <x:row r="24" ht="18" customHeight="1">
      <x:c r="B24" s="29" t="str">
        <x:v>NC18 plane casualty</x:v>
      </x:c>
      <x:c r="C24" s="29" t="str">
        <x:v>loss of evidence plane aborts control</x:v>
      </x:c>
      <x:c r="D24" s="29" t="str">
        <x:v>control independence</x:v>
      </x:c>
      <x:c r="E24" s="29" t="str">
        <x:v>kill P1 or P2</x:v>
      </x:c>
      <x:c r="F24" s="29" t="str">
        <x:v>article remains safe; credit stops</x:v>
      </x:c>
      <x:c r="G24" s="29" t="str">
        <x:v>P0/P1/P2</x:v>
      </x:c>
      <x:c r="H24" s="29" t="str">
        <x:v>casualty trial</x:v>
      </x:c>
      <x:c r="I24" s="29" t="str">
        <x:v>OPEN</x:v>
      </x:c>
      <x:c r="J24" s="29" t="str">
        <x:v>safe but uncredited</x:v>
      </x:c>
      <x:c r="K24" s="29" t="str">
        <x:v>integration</x:v>
      </x:c>
      <x:c r="L24" s="31" t="str">
        <x:v>safety authority</x:v>
      </x:c>
    </x:row>
    <x:row r="25" ht="18" customHeight="1"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</x:row>
    <x:row r="26" ht="18" customHeight="1"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</x:row>
    <x:row r="27" ht="18" customHeight="1"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</x:row>
    <x:row r="28" ht="18" customHeight="1"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</x:row>
  </x:sheetData>
  <x:mergeCells>
    <x:mergeCell ref="B2:H2"/>
    <x:mergeCell ref="B3:L3"/>
  </x:mergeCells>
  <x:conditionalFormatting sqref="I7:I24">
    <x:cfRule type="containsText" dxfId="65" priority="1" operator="containsText" text="FAIL"/>
    <x:cfRule type="containsText" dxfId="66" priority="2" operator="containsText" text="PASS"/>
    <x:cfRule type="containsText" dxfId="67" priority="3" operator="containsText" text="OPEN"/>
    <x:cfRule type="containsText" dxfId="68" priority="4" operator="containsText" text="HOLD"/>
    <x:cfRule type="containsText" dxfId="69" priority="5" operator="containsText" text="BLOCKED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8" hidden="0" customWidth="1"/>
    <x:col min="3" max="3" width="12" hidden="0" customWidth="1"/>
    <x:col min="4" max="4" width="18" hidden="0" customWidth="1"/>
    <x:col min="5" max="5" width="18" hidden="0" customWidth="1"/>
    <x:col min="6" max="6" width="12" hidden="0" customWidth="1"/>
    <x:col min="7" max="7" width="45" hidden="0" customWidth="1"/>
    <x:col min="8" max="8" width="27" hidden="0" customWidth="1"/>
    <x:col min="9" max="9" width="12" hidden="0" customWidth="1"/>
    <x:col min="10" max="10" width="18" hidden="0" customWidth="1"/>
    <x:col min="11" max="11" width="19" hidden="0" customWidth="1"/>
  </x:cols>
  <x:sheetData>
    <x:row r="2" ht="18" customHeight="1">
      <x:c r="B2" s="4" t="str">
        <x:v>F01 metrology capital</x:v>
      </x:c>
      <x:c r="C2" s="3"/>
      <x:c r="D2" s="3"/>
      <x:c r="E2" s="3"/>
      <x:c r="F2" s="3"/>
      <x:c r="G2" s="3"/>
      <x:c r="H2" s="3"/>
      <x:c r="I2" s="3"/>
      <x:c r="J2" s="3"/>
      <x:c r="K2" s="3"/>
    </x:row>
    <x:row r="3" ht="18" customHeight="1">
      <x:c r="B3" s="5" t="str">
        <x:v>A USD 24 billion sovereign measurement stack nested inside the existing facility allocation</x:v>
      </x:c>
      <x:c r="C3" s="3"/>
      <x:c r="D3" s="3"/>
      <x:c r="E3" s="3"/>
      <x:c r="F3" s="3"/>
      <x:c r="G3" s="3"/>
      <x:c r="H3" s="3"/>
      <x:c r="I3" s="3"/>
      <x:c r="J3" s="3"/>
      <x:c r="K3" s="3"/>
    </x:row>
    <x:row r="4" ht="18" customHeight="1">
      <x:c r="B4" s="6"/>
      <x:c r="C4" s="6"/>
      <x:c r="D4" s="6"/>
      <x:c r="E4" s="6"/>
      <x:c r="F4" s="6"/>
      <x:c r="G4" s="6"/>
      <x:c r="H4" s="6"/>
      <x:c r="I4" s="6"/>
      <x:c r="J4" s="6"/>
      <x:c r="K4" s="6"/>
    </x:row>
    <x:row r="5" ht="18" customHeight="1">
      <x:c r="B5" s="3"/>
      <x:c r="C5" s="3"/>
      <x:c r="D5" s="3"/>
      <x:c r="E5" s="3"/>
      <x:c r="F5" s="3"/>
      <x:c r="G5" s="3"/>
      <x:c r="H5" s="3"/>
      <x:c r="I5" s="3"/>
      <x:c r="J5" s="3"/>
      <x:c r="K5" s="3"/>
    </x:row>
    <x:row r="6" ht="18" customHeight="1">
      <x:c r="B6" s="17" t="str">
        <x:v>Item</x:v>
      </x:c>
      <x:c r="C6" s="18" t="str">
        <x:v>Quantity</x:v>
      </x:c>
      <x:c r="D6" s="18" t="str">
        <x:v>Unit cost USD B</x:v>
      </x:c>
      <x:c r="E6" s="18" t="str">
        <x:v>Extended USD B</x:v>
      </x:c>
      <x:c r="F6" s="18" t="str">
        <x:v>Share</x:v>
      </x:c>
      <x:c r="G6" s="18" t="str">
        <x:v>Evidence function</x:v>
      </x:c>
      <x:c r="H6" s="18" t="str">
        <x:v>Make or buy</x:v>
      </x:c>
      <x:c r="I6" s="18" t="str">
        <x:v>State</x:v>
      </x:c>
      <x:c r="J6" s="18" t="str">
        <x:v>Control</x:v>
      </x:c>
      <x:c r="K6" s="19" t="str">
        <x:v>Boundary</x:v>
      </x:c>
    </x:row>
    <x:row r="7" ht="24" customHeight="1">
      <x:c r="B7" s="3" t="str">
        <x:v>National primary metrology campus</x:v>
      </x:c>
      <x:c r="C7" s="3" t="n">
        <x:v>1</x:v>
      </x:c>
      <x:c r="D7" s="33" t="n">
        <x:v>4</x:v>
      </x:c>
      <x:c r="E7" s="33" t="n">
        <x:f>C7*D7</x:f>
        <x:v>4</x:v>
      </x:c>
      <x:c r="F7" s="32" t="n">
        <x:f>E7/E18</x:f>
        <x:v>0.16666666666666663</x:v>
      </x:c>
      <x:c r="G7" s="3" t="str">
        <x:v>primary electrical fluid thermal dimensional time and mass standards</x:v>
      </x:c>
      <x:c r="H7" s="3" t="str">
        <x:v>competitive sovereign source</x:v>
      </x:c>
      <x:c r="I7" s="3" t="str">
        <x:v>OPEN</x:v>
      </x:c>
      <x:c r="J7" s="3" t="str">
        <x:v>within F01</x:v>
      </x:c>
      <x:c r="K7" s="3" t="str">
        <x:v>not a quote</x:v>
      </x:c>
    </x:row>
    <x:row r="8" ht="24" customHeight="1">
      <x:c r="B8" s="3" t="str">
        <x:v>Distributed calibration laboratories</x:v>
      </x:c>
      <x:c r="C8" s="3" t="n">
        <x:v>6</x:v>
      </x:c>
      <x:c r="D8" s="33" t="n">
        <x:v>0.5</x:v>
      </x:c>
      <x:c r="E8" s="33" t="n">
        <x:f>C8*D8</x:f>
        <x:v>3</x:v>
      </x:c>
      <x:c r="F8" s="32" t="n">
        <x:f>E8/E18</x:f>
        <x:v>0.12499999999999999</x:v>
      </x:c>
      <x:c r="G8" s="3" t="str">
        <x:v>regional traceability and turnaround</x:v>
      </x:c>
      <x:c r="H8" s="3" t="str">
        <x:v>competitive sovereign source</x:v>
      </x:c>
      <x:c r="I8" s="3" t="str">
        <x:v>OPEN</x:v>
      </x:c>
      <x:c r="J8" s="3" t="str">
        <x:v>within F01</x:v>
      </x:c>
      <x:c r="K8" s="3" t="str">
        <x:v>not a quote</x:v>
      </x:c>
    </x:row>
    <x:row r="9" ht="24" customHeight="1">
      <x:c r="B9" s="3" t="str">
        <x:v>Mobile reference laboratories</x:v>
      </x:c>
      <x:c r="C9" s="3" t="n">
        <x:v>40</x:v>
      </x:c>
      <x:c r="D9" s="33" t="n">
        <x:v>0.06</x:v>
      </x:c>
      <x:c r="E9" s="33" t="n">
        <x:f>C9*D9</x:f>
        <x:v>2.4</x:v>
      </x:c>
      <x:c r="F9" s="32" t="n">
        <x:f>E9/E18</x:f>
        <x:v>0.09999999999999998</x:v>
      </x:c>
      <x:c r="G9" s="3" t="str">
        <x:v>campaign-deployable calibration and forensic capacity</x:v>
      </x:c>
      <x:c r="H9" s="3" t="str">
        <x:v>competitive sovereign source</x:v>
      </x:c>
      <x:c r="I9" s="3" t="str">
        <x:v>OPEN</x:v>
      </x:c>
      <x:c r="J9" s="3" t="str">
        <x:v>within F01</x:v>
      </x:c>
      <x:c r="K9" s="3" t="str">
        <x:v>not a quote</x:v>
      </x:c>
    </x:row>
    <x:row r="10" ht="24" customHeight="1">
      <x:c r="B10" s="3" t="str">
        <x:v>Article evidence kits</x:v>
      </x:c>
      <x:c r="C10" s="3" t="n">
        <x:v>496</x:v>
      </x:c>
      <x:c r="D10" s="33" t="n">
        <x:v>0.008</x:v>
      </x:c>
      <x:c r="E10" s="33" t="n">
        <x:f>C10*D10</x:f>
        <x:v>3.968</x:v>
      </x:c>
      <x:c r="F10" s="32" t="n">
        <x:f>E10/E18</x:f>
        <x:v>0.1653333333333333</x:v>
      </x:c>
      <x:c r="G10" s="3" t="str">
        <x:v>temporary independent P1 layer for every development tile</x:v>
      </x:c>
      <x:c r="H10" s="3" t="str">
        <x:v>competitive sovereign source</x:v>
      </x:c>
      <x:c r="I10" s="3" t="str">
        <x:v>OPEN</x:v>
      </x:c>
      <x:c r="J10" s="3" t="str">
        <x:v>within F01</x:v>
      </x:c>
      <x:c r="K10" s="3" t="str">
        <x:v>not a quote</x:v>
      </x:c>
    </x:row>
    <x:row r="11" ht="24" customHeight="1">
      <x:c r="B11" s="3" t="str">
        <x:v>Carrier evidence kits</x:v>
      </x:c>
      <x:c r="C11" s="3" t="n">
        <x:v>26</x:v>
      </x:c>
      <x:c r="D11" s="33" t="n">
        <x:v>0.06</x:v>
      </x:c>
      <x:c r="E11" s="33" t="n">
        <x:f>C11*D11</x:f>
        <x:v>1.56</x:v>
      </x:c>
      <x:c r="F11" s="32" t="n">
        <x:f>E11/E18</x:f>
        <x:v>0.06499999999999999</x:v>
      </x:c>
      <x:c r="G11" s="3" t="str">
        <x:v>independent carrier truth nodes</x:v>
      </x:c>
      <x:c r="H11" s="3" t="str">
        <x:v>competitive sovereign source</x:v>
      </x:c>
      <x:c r="I11" s="3" t="str">
        <x:v>OPEN</x:v>
      </x:c>
      <x:c r="J11" s="3" t="str">
        <x:v>within F01</x:v>
      </x:c>
      <x:c r="K11" s="3" t="str">
        <x:v>not a quote</x:v>
      </x:c>
    </x:row>
    <x:row r="12" ht="24" customHeight="1">
      <x:c r="B12" s="3" t="str">
        <x:v>Receiver truth stations</x:v>
      </x:c>
      <x:c r="C12" s="3" t="n">
        <x:v>8</x:v>
      </x:c>
      <x:c r="D12" s="33" t="n">
        <x:v>0.2</x:v>
      </x:c>
      <x:c r="E12" s="33" t="n">
        <x:f>C12*D12</x:f>
        <x:v>1.6</x:v>
      </x:c>
      <x:c r="F12" s="32" t="n">
        <x:f>E12/E18</x:f>
        <x:v>0.06666666666666667</x:v>
      </x:c>
      <x:c r="G12" s="3" t="str">
        <x:v>P2 boundary and public-effect measurement</x:v>
      </x:c>
      <x:c r="H12" s="3" t="str">
        <x:v>competitive sovereign source</x:v>
      </x:c>
      <x:c r="I12" s="3" t="str">
        <x:v>OPEN</x:v>
      </x:c>
      <x:c r="J12" s="3" t="str">
        <x:v>within F01</x:v>
      </x:c>
      <x:c r="K12" s="3" t="str">
        <x:v>not a quote</x:v>
      </x:c>
    </x:row>
    <x:row r="13" ht="24" customHeight="1">
      <x:c r="B13" s="3" t="str">
        <x:v>Paired-range truth arrays</x:v>
      </x:c>
      <x:c r="C13" s="3" t="n">
        <x:v>4</x:v>
      </x:c>
      <x:c r="D13" s="33" t="n">
        <x:v>0.9</x:v>
      </x:c>
      <x:c r="E13" s="33" t="n">
        <x:f>C13*D13</x:f>
        <x:v>3.6</x:v>
      </x:c>
      <x:c r="F13" s="32" t="n">
        <x:f>E13/E18</x:f>
        <x:v>0.15</x:v>
      </x:c>
      <x:c r="G13" s="3" t="str">
        <x:v>environmental and geotechnical reference fields</x:v>
      </x:c>
      <x:c r="H13" s="3" t="str">
        <x:v>competitive sovereign source</x:v>
      </x:c>
      <x:c r="I13" s="3" t="str">
        <x:v>OPEN</x:v>
      </x:c>
      <x:c r="J13" s="3" t="str">
        <x:v>within F01</x:v>
      </x:c>
      <x:c r="K13" s="3" t="str">
        <x:v>not a quote</x:v>
      </x:c>
    </x:row>
    <x:row r="14" ht="24" customHeight="1">
      <x:c r="B14" s="3" t="str">
        <x:v>Offline evidence fabric</x:v>
      </x:c>
      <x:c r="C14" s="3" t="n">
        <x:v>1</x:v>
      </x:c>
      <x:c r="D14" s="33" t="n">
        <x:v>1.8</x:v>
      </x:c>
      <x:c r="E14" s="33" t="n">
        <x:f>C14*D14</x:f>
        <x:v>1.8</x:v>
      </x:c>
      <x:c r="F14" s="32" t="n">
        <x:f>E14/E18</x:f>
        <x:v>0.075</x:v>
      </x:c>
      <x:c r="G14" s="3" t="str">
        <x:v>local-first ingest transfer and reproduction</x:v>
      </x:c>
      <x:c r="H14" s="3" t="str">
        <x:v>competitive sovereign source</x:v>
      </x:c>
      <x:c r="I14" s="3" t="str">
        <x:v>OPEN</x:v>
      </x:c>
      <x:c r="J14" s="3" t="str">
        <x:v>within F01</x:v>
      </x:c>
      <x:c r="K14" s="3" t="str">
        <x:v>not a quote</x:v>
      </x:c>
    </x:row>
    <x:row r="15" ht="24" customHeight="1">
      <x:c r="B15" s="3" t="str">
        <x:v>Three-copy evidence archive</x:v>
      </x:c>
      <x:c r="C15" s="3" t="n">
        <x:v>1</x:v>
      </x:c>
      <x:c r="D15" s="33" t="n">
        <x:v>1.2</x:v>
      </x:c>
      <x:c r="E15" s="33" t="n">
        <x:f>C15*D15</x:f>
        <x:v>1.2</x:v>
      </x:c>
      <x:c r="F15" s="32" t="n">
        <x:f>E15/E18</x:f>
        <x:v>0.04999999999999999</x:v>
      </x:c>
      <x:c r="G15" s="3" t="str">
        <x:v>administratively and geographically separate custody</x:v>
      </x:c>
      <x:c r="H15" s="3" t="str">
        <x:v>competitive sovereign source</x:v>
      </x:c>
      <x:c r="I15" s="3" t="str">
        <x:v>OPEN</x:v>
      </x:c>
      <x:c r="J15" s="3" t="str">
        <x:v>within F01</x:v>
      </x:c>
      <x:c r="K15" s="3" t="str">
        <x:v>not a quote</x:v>
      </x:c>
    </x:row>
    <x:row r="16" ht="24" customHeight="1">
      <x:c r="B16" s="3" t="str">
        <x:v>Cyber and adversarial evidence laboratory</x:v>
      </x:c>
      <x:c r="C16" s="3" t="n">
        <x:v>1</x:v>
      </x:c>
      <x:c r="D16" s="33" t="n">
        <x:v>0.5</x:v>
      </x:c>
      <x:c r="E16" s="33" t="n">
        <x:f>C16*D16</x:f>
        <x:v>0.5</x:v>
      </x:c>
      <x:c r="F16" s="32" t="n">
        <x:f>E16/E18</x:f>
        <x:v>0.02083333333333333</x:v>
      </x:c>
      <x:c r="G16" s="3" t="str">
        <x:v>tamper denial and provenance failure testing</x:v>
      </x:c>
      <x:c r="H16" s="3" t="str">
        <x:v>competitive sovereign source</x:v>
      </x:c>
      <x:c r="I16" s="3" t="str">
        <x:v>OPEN</x:v>
      </x:c>
      <x:c r="J16" s="3" t="str">
        <x:v>within F01</x:v>
      </x:c>
      <x:c r="K16" s="3" t="str">
        <x:v>not a quote</x:v>
      </x:c>
    </x:row>
    <x:row r="17" ht="24" customHeight="1">
      <x:c r="B17" s="3" t="str">
        <x:v>F01 capital reserve</x:v>
      </x:c>
      <x:c r="C17" s="3" t="n">
        <x:v>1</x:v>
      </x:c>
      <x:c r="D17" s="33" t="n">
        <x:v>0.372</x:v>
      </x:c>
      <x:c r="E17" s="33" t="n">
        <x:f>C17*D17</x:f>
        <x:v>0.372</x:v>
      </x:c>
      <x:c r="F17" s="32" t="n">
        <x:f>E17/E18</x:f>
        <x:v>0.015499999999999998</x:v>
      </x:c>
      <x:c r="G17" s="3" t="str">
        <x:v>registered scope and calibration-chain uncertainty</x:v>
      </x:c>
      <x:c r="H17" s="3" t="str">
        <x:v>competitive sovereign source</x:v>
      </x:c>
      <x:c r="I17" s="3" t="str">
        <x:v>OPEN</x:v>
      </x:c>
      <x:c r="J17" s="3" t="str">
        <x:v>within F01</x:v>
      </x:c>
      <x:c r="K17" s="3" t="str">
        <x:v>not a quote</x:v>
      </x:c>
    </x:row>
    <x:row r="18" ht="18" customHeight="1">
      <x:c r="B18" s="3" t="str">
        <x:v>F01 total</x:v>
      </x:c>
      <x:c r="C18" s="3" t="n">
        <x:v>0</x:v>
      </x:c>
      <x:c r="D18" s="33" t="n">
        <x:v>0</x:v>
      </x:c>
      <x:c r="E18" s="33" t="n">
        <x:f>SUM(E7:E17)</x:f>
        <x:v>24.000000000000004</x:v>
      </x:c>
      <x:c r="F18" s="3" t="n">
        <x:v>0</x:v>
      </x:c>
      <x:c r="G18" s="3" t="str"/>
      <x:c r="H18" s="3" t="str"/>
      <x:c r="I18" s="3" t="str">
        <x:f>IF(E18=Assumptions!C46,"PASS","FAIL")</x:f>
        <x:v>PASS</x:v>
      </x:c>
      <x:c r="J18" s="3" t="str"/>
      <x:c r="K18" s="3" t="str"/>
    </x:row>
    <x:row r="19" ht="18" customHeight="1">
      <x:c r="B19" s="3"/>
      <x:c r="C19" s="3"/>
      <x:c r="D19" s="3"/>
      <x:c r="E19" s="3"/>
      <x:c r="F19" s="3"/>
      <x:c r="G19" s="3"/>
      <x:c r="H19" s="3"/>
      <x:c r="I19" s="3"/>
      <x:c r="J19" s="3"/>
      <x:c r="K19" s="3"/>
    </x:row>
    <x:row r="20" ht="18" customHeight="1">
      <x:c r="B20" s="3"/>
      <x:c r="C20" s="3"/>
      <x:c r="D20" s="3"/>
      <x:c r="E20" s="3"/>
      <x:c r="F20" s="3"/>
      <x:c r="G20" s="3"/>
      <x:c r="H20" s="3"/>
      <x:c r="I20" s="3"/>
      <x:c r="J20" s="3"/>
      <x:c r="K20" s="3"/>
    </x:row>
    <x:row r="21" ht="18" customHeight="1">
      <x:c r="B21" s="3"/>
      <x:c r="C21" s="3"/>
      <x:c r="D21" s="3"/>
      <x:c r="E21" s="3"/>
      <x:c r="F21" s="3"/>
      <x:c r="G21" s="3"/>
      <x:c r="H21" s="3"/>
      <x:c r="I21" s="3"/>
      <x:c r="J21" s="3"/>
      <x:c r="K21" s="3"/>
    </x:row>
    <x:row r="22" ht="18" customHeight="1">
      <x:c r="B22" s="3"/>
      <x:c r="C22" s="3"/>
      <x:c r="D22" s="3"/>
      <x:c r="E22" s="3"/>
      <x:c r="F22" s="3"/>
      <x:c r="G22" s="3"/>
      <x:c r="H22" s="3"/>
      <x:c r="I22" s="3"/>
      <x:c r="J22" s="3"/>
      <x:c r="K22" s="3"/>
    </x:row>
    <x:row r="23" ht="18" customHeight="1">
      <x:c r="B23" s="3"/>
      <x:c r="C23" s="3"/>
      <x:c r="D23" s="3"/>
      <x:c r="E23" s="3"/>
      <x:c r="F23" s="3"/>
      <x:c r="G23" s="3"/>
      <x:c r="H23" s="3"/>
      <x:c r="I23" s="3"/>
      <x:c r="J23" s="3"/>
      <x:c r="K23" s="3"/>
    </x:row>
    <x:row r="24" ht="18" customHeight="1">
      <x:c r="B24" s="3"/>
      <x:c r="C24" s="3"/>
      <x:c r="D24" s="3"/>
      <x:c r="E24" s="3"/>
      <x:c r="F24" s="3"/>
      <x:c r="G24" s="3"/>
      <x:c r="H24" s="3"/>
      <x:c r="I24" s="3"/>
      <x:c r="J24" s="3"/>
      <x:c r="K24" s="3"/>
    </x:row>
    <x:row r="25" ht="18" customHeight="1">
      <x:c r="B25" s="3"/>
      <x:c r="C25" s="3"/>
      <x:c r="D25" s="3"/>
      <x:c r="E25" s="3"/>
      <x:c r="F25" s="3"/>
      <x:c r="G25" s="3"/>
      <x:c r="H25" s="3"/>
      <x:c r="I25" s="3"/>
      <x:c r="J25" s="3"/>
      <x:c r="K25" s="3"/>
    </x:row>
    <x:row r="26" ht="18" customHeight="1"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18" customHeight="1">
      <x:c r="B27" s="3"/>
      <x:c r="C27" s="3"/>
      <x:c r="D27" s="3"/>
      <x:c r="E27" s="3"/>
      <x:c r="F27" s="3"/>
      <x:c r="G27" s="3"/>
      <x:c r="H27" s="3"/>
      <x:c r="I27" s="3"/>
      <x:c r="J27" s="3"/>
      <x:c r="K27" s="3"/>
    </x:row>
  </x:sheetData>
  <x:mergeCells>
    <x:mergeCell ref="B2:H2"/>
    <x:mergeCell ref="B3:K3"/>
  </x:mergeCells>
  <x:conditionalFormatting sqref="I7:I18">
    <x:cfRule type="containsText" dxfId="70" priority="1" operator="containsText" text="FAIL"/>
    <x:cfRule type="containsText" dxfId="71" priority="2" operator="containsText" text="PASS"/>
    <x:cfRule type="containsText" dxfId="72" priority="3" operator="containsText" text="OPEN"/>
    <x:cfRule type="containsText" dxfId="73" priority="4" operator="containsText" text="HOLD"/>
    <x:cfRule type="containsText" dxfId="74" priority="5" operator="containsText" text="BLOCKED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0" hidden="0" customWidth="1"/>
    <x:col min="3" max="3" width="39" hidden="0" customWidth="1"/>
    <x:col min="4" max="4" width="12" hidden="0" customWidth="1"/>
    <x:col min="5" max="5" width="18" hidden="0" customWidth="1"/>
    <x:col min="6" max="6" width="19" hidden="0" customWidth="1"/>
    <x:col min="7" max="7" width="20" hidden="0" customWidth="1"/>
    <x:col min="8" max="8" width="18" hidden="0" customWidth="1"/>
    <x:col min="9" max="9" width="16" hidden="0" customWidth="1"/>
    <x:col min="10" max="10" width="12" hidden="0" customWidth="1"/>
    <x:col min="11" max="11" width="42" hidden="0" customWidth="1"/>
    <x:col min="12" max="12" width="22" hidden="0" customWidth="1"/>
  </x:cols>
  <x:sheetData>
    <x:row r="2" ht="18" customHeight="1">
      <x:c r="B2" s="4" t="str">
        <x:v>Bottom-up facility capital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18" customHeight="1">
      <x:c r="B3" s="5" t="str">
        <x:v>Forty-nine line items reconcile the inherited USD 350 billion allocation without pretending to be vendor quotes</x:v>
      </x:c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18" customHeight="1"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 ht="18" customHeight="1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</x:row>
    <x:row r="6" ht="18" customHeight="1">
      <x:c r="B6" s="23" t="str">
        <x:v>Facility</x:v>
      </x:c>
      <x:c r="C6" s="24" t="str">
        <x:v>Line item</x:v>
      </x:c>
      <x:c r="D6" s="24" t="str">
        <x:v>Quantity</x:v>
      </x:c>
      <x:c r="E6" s="24" t="str">
        <x:v>Unit cost USD B</x:v>
      </x:c>
      <x:c r="F6" s="24" t="str">
        <x:v>Extended USD B</x:v>
      </x:c>
      <x:c r="G6" s="24" t="str">
        <x:v>Facility total USD B</x:v>
      </x:c>
      <x:c r="H6" s="24" t="str">
        <x:v>Allocated USD B</x:v>
      </x:c>
      <x:c r="I6" s="24" t="str">
        <x:v>Delta USD B</x:v>
      </x:c>
      <x:c r="J6" s="24" t="str">
        <x:v>State</x:v>
      </x:c>
      <x:c r="K6" s="24" t="str">
        <x:v>Evidence role</x:v>
      </x:c>
      <x:c r="L6" s="24" t="str">
        <x:v>Cost class</x:v>
      </x:c>
    </x:row>
    <x:row r="7" ht="18" customHeight="1">
      <x:c r="B7" s="25" t="str">
        <x:v>F01</x:v>
      </x:c>
      <x:c r="C7" s="25" t="str">
        <x:v>National primary metrology campus</x:v>
      </x:c>
      <x:c r="D7" s="25" t="n">
        <x:v>1</x:v>
      </x:c>
      <x:c r="E7" s="35" t="n">
        <x:v>4</x:v>
      </x:c>
      <x:c r="F7" s="35" t="n">
        <x:f>D7*E7</x:f>
        <x:v>4</x:v>
      </x:c>
      <x:c r="G7" s="35" t="n">
        <x:f>SUMIF(B$7:B$55,B7,F$7:F$55)</x:f>
        <x:v>24.000000000000004</x:v>
      </x:c>
      <x:c r="H7" s="35" t="n">
        <x:v>24</x:v>
      </x:c>
      <x:c r="I7" s="35" t="n">
        <x:f>G7-H7</x:f>
        <x:v>3.552713678800501e-15</x:v>
      </x:c>
      <x:c r="J7" s="25" t="str">
        <x:v>OPEN</x:v>
      </x:c>
      <x:c r="K7" s="25" t="str">
        <x:v>traceability custody and independent measurement</x:v>
      </x:c>
      <x:c r="L7" s="27" t="str">
        <x:v>planning architecture</x:v>
      </x:c>
    </x:row>
    <x:row r="8" ht="18" customHeight="1">
      <x:c r="B8" s="25" t="str">
        <x:v>F01</x:v>
      </x:c>
      <x:c r="C8" s="25" t="str">
        <x:v>Distributed calibration laboratories</x:v>
      </x:c>
      <x:c r="D8" s="25" t="n">
        <x:v>6</x:v>
      </x:c>
      <x:c r="E8" s="35" t="n">
        <x:v>0.5</x:v>
      </x:c>
      <x:c r="F8" s="35" t="n">
        <x:f>D8*E8</x:f>
        <x:v>3</x:v>
      </x:c>
      <x:c r="G8" s="35" t="n">
        <x:f>SUMIF(B$7:B$55,B8,F$7:F$55)</x:f>
        <x:v>24.000000000000004</x:v>
      </x:c>
      <x:c r="H8" s="35" t="n">
        <x:v>24</x:v>
      </x:c>
      <x:c r="I8" s="35" t="n">
        <x:f>G8-H8</x:f>
        <x:v>3.552713678800501e-15</x:v>
      </x:c>
      <x:c r="J8" s="25" t="str">
        <x:v>OPEN</x:v>
      </x:c>
      <x:c r="K8" s="25" t="str">
        <x:v>traceability custody and independent measurement</x:v>
      </x:c>
      <x:c r="L8" s="27" t="str">
        <x:v>planning architecture</x:v>
      </x:c>
    </x:row>
    <x:row r="9" ht="18" customHeight="1">
      <x:c r="B9" s="25" t="str">
        <x:v>F01</x:v>
      </x:c>
      <x:c r="C9" s="25" t="str">
        <x:v>Mobile reference laboratories</x:v>
      </x:c>
      <x:c r="D9" s="25" t="n">
        <x:v>40</x:v>
      </x:c>
      <x:c r="E9" s="35" t="n">
        <x:v>0.06</x:v>
      </x:c>
      <x:c r="F9" s="35" t="n">
        <x:f>D9*E9</x:f>
        <x:v>2.4</x:v>
      </x:c>
      <x:c r="G9" s="35" t="n">
        <x:f>SUMIF(B$7:B$55,B9,F$7:F$55)</x:f>
        <x:v>24.000000000000004</x:v>
      </x:c>
      <x:c r="H9" s="35" t="n">
        <x:v>24</x:v>
      </x:c>
      <x:c r="I9" s="35" t="n">
        <x:f>G9-H9</x:f>
        <x:v>3.552713678800501e-15</x:v>
      </x:c>
      <x:c r="J9" s="25" t="str">
        <x:v>OPEN</x:v>
      </x:c>
      <x:c r="K9" s="25" t="str">
        <x:v>traceability custody and independent measurement</x:v>
      </x:c>
      <x:c r="L9" s="27" t="str">
        <x:v>planning architecture</x:v>
      </x:c>
    </x:row>
    <x:row r="10" ht="18" customHeight="1">
      <x:c r="B10" s="25" t="str">
        <x:v>F01</x:v>
      </x:c>
      <x:c r="C10" s="25" t="str">
        <x:v>Article evidence kits</x:v>
      </x:c>
      <x:c r="D10" s="25" t="n">
        <x:v>496</x:v>
      </x:c>
      <x:c r="E10" s="35" t="n">
        <x:v>0.008</x:v>
      </x:c>
      <x:c r="F10" s="35" t="n">
        <x:f>D10*E10</x:f>
        <x:v>3.968</x:v>
      </x:c>
      <x:c r="G10" s="35" t="n">
        <x:f>SUMIF(B$7:B$55,B10,F$7:F$55)</x:f>
        <x:v>24.000000000000004</x:v>
      </x:c>
      <x:c r="H10" s="35" t="n">
        <x:v>24</x:v>
      </x:c>
      <x:c r="I10" s="35" t="n">
        <x:f>G10-H10</x:f>
        <x:v>3.552713678800501e-15</x:v>
      </x:c>
      <x:c r="J10" s="25" t="str">
        <x:v>OPEN</x:v>
      </x:c>
      <x:c r="K10" s="25" t="str">
        <x:v>traceability custody and independent measurement</x:v>
      </x:c>
      <x:c r="L10" s="27" t="str">
        <x:v>planning architecture</x:v>
      </x:c>
    </x:row>
    <x:row r="11" ht="18" customHeight="1">
      <x:c r="B11" s="25" t="str">
        <x:v>F01</x:v>
      </x:c>
      <x:c r="C11" s="25" t="str">
        <x:v>Carrier evidence kits</x:v>
      </x:c>
      <x:c r="D11" s="25" t="n">
        <x:v>26</x:v>
      </x:c>
      <x:c r="E11" s="35" t="n">
        <x:v>0.06</x:v>
      </x:c>
      <x:c r="F11" s="35" t="n">
        <x:f>D11*E11</x:f>
        <x:v>1.56</x:v>
      </x:c>
      <x:c r="G11" s="35" t="n">
        <x:f>SUMIF(B$7:B$55,B11,F$7:F$55)</x:f>
        <x:v>24.000000000000004</x:v>
      </x:c>
      <x:c r="H11" s="35" t="n">
        <x:v>24</x:v>
      </x:c>
      <x:c r="I11" s="35" t="n">
        <x:f>G11-H11</x:f>
        <x:v>3.552713678800501e-15</x:v>
      </x:c>
      <x:c r="J11" s="25" t="str">
        <x:v>OPEN</x:v>
      </x:c>
      <x:c r="K11" s="25" t="str">
        <x:v>traceability custody and independent measurement</x:v>
      </x:c>
      <x:c r="L11" s="27" t="str">
        <x:v>planning architecture</x:v>
      </x:c>
    </x:row>
    <x:row r="12" ht="18" customHeight="1">
      <x:c r="B12" s="25" t="str">
        <x:v>F01</x:v>
      </x:c>
      <x:c r="C12" s="25" t="str">
        <x:v>Receiver truth stations</x:v>
      </x:c>
      <x:c r="D12" s="25" t="n">
        <x:v>8</x:v>
      </x:c>
      <x:c r="E12" s="35" t="n">
        <x:v>0.2</x:v>
      </x:c>
      <x:c r="F12" s="35" t="n">
        <x:f>D12*E12</x:f>
        <x:v>1.6</x:v>
      </x:c>
      <x:c r="G12" s="35" t="n">
        <x:f>SUMIF(B$7:B$55,B12,F$7:F$55)</x:f>
        <x:v>24.000000000000004</x:v>
      </x:c>
      <x:c r="H12" s="35" t="n">
        <x:v>24</x:v>
      </x:c>
      <x:c r="I12" s="35" t="n">
        <x:f>G12-H12</x:f>
        <x:v>3.552713678800501e-15</x:v>
      </x:c>
      <x:c r="J12" s="25" t="str">
        <x:v>OPEN</x:v>
      </x:c>
      <x:c r="K12" s="25" t="str">
        <x:v>traceability custody and independent measurement</x:v>
      </x:c>
      <x:c r="L12" s="27" t="str">
        <x:v>planning architecture</x:v>
      </x:c>
    </x:row>
    <x:row r="13" ht="18" customHeight="1">
      <x:c r="B13" s="25" t="str">
        <x:v>F01</x:v>
      </x:c>
      <x:c r="C13" s="25" t="str">
        <x:v>Paired-range truth arrays</x:v>
      </x:c>
      <x:c r="D13" s="25" t="n">
        <x:v>4</x:v>
      </x:c>
      <x:c r="E13" s="35" t="n">
        <x:v>0.9</x:v>
      </x:c>
      <x:c r="F13" s="35" t="n">
        <x:f>D13*E13</x:f>
        <x:v>3.6</x:v>
      </x:c>
      <x:c r="G13" s="35" t="n">
        <x:f>SUMIF(B$7:B$55,B13,F$7:F$55)</x:f>
        <x:v>24.000000000000004</x:v>
      </x:c>
      <x:c r="H13" s="35" t="n">
        <x:v>24</x:v>
      </x:c>
      <x:c r="I13" s="35" t="n">
        <x:f>G13-H13</x:f>
        <x:v>3.552713678800501e-15</x:v>
      </x:c>
      <x:c r="J13" s="25" t="str">
        <x:v>OPEN</x:v>
      </x:c>
      <x:c r="K13" s="25" t="str">
        <x:v>traceability custody and independent measurement</x:v>
      </x:c>
      <x:c r="L13" s="27" t="str">
        <x:v>planning architecture</x:v>
      </x:c>
    </x:row>
    <x:row r="14" ht="18" customHeight="1">
      <x:c r="B14" s="25" t="str">
        <x:v>F01</x:v>
      </x:c>
      <x:c r="C14" s="25" t="str">
        <x:v>Offline evidence fabric</x:v>
      </x:c>
      <x:c r="D14" s="25" t="n">
        <x:v>1</x:v>
      </x:c>
      <x:c r="E14" s="35" t="n">
        <x:v>1.8</x:v>
      </x:c>
      <x:c r="F14" s="35" t="n">
        <x:f>D14*E14</x:f>
        <x:v>1.8</x:v>
      </x:c>
      <x:c r="G14" s="35" t="n">
        <x:f>SUMIF(B$7:B$55,B14,F$7:F$55)</x:f>
        <x:v>24.000000000000004</x:v>
      </x:c>
      <x:c r="H14" s="35" t="n">
        <x:v>24</x:v>
      </x:c>
      <x:c r="I14" s="35" t="n">
        <x:f>G14-H14</x:f>
        <x:v>3.552713678800501e-15</x:v>
      </x:c>
      <x:c r="J14" s="25" t="str">
        <x:v>OPEN</x:v>
      </x:c>
      <x:c r="K14" s="25" t="str">
        <x:v>traceability custody and independent measurement</x:v>
      </x:c>
      <x:c r="L14" s="27" t="str">
        <x:v>planning architecture</x:v>
      </x:c>
    </x:row>
    <x:row r="15" ht="18" customHeight="1">
      <x:c r="B15" s="25" t="str">
        <x:v>F01</x:v>
      </x:c>
      <x:c r="C15" s="25" t="str">
        <x:v>Three-copy evidence archive</x:v>
      </x:c>
      <x:c r="D15" s="25" t="n">
        <x:v>1</x:v>
      </x:c>
      <x:c r="E15" s="35" t="n">
        <x:v>1.2</x:v>
      </x:c>
      <x:c r="F15" s="35" t="n">
        <x:f>D15*E15</x:f>
        <x:v>1.2</x:v>
      </x:c>
      <x:c r="G15" s="35" t="n">
        <x:f>SUMIF(B$7:B$55,B15,F$7:F$55)</x:f>
        <x:v>24.000000000000004</x:v>
      </x:c>
      <x:c r="H15" s="35" t="n">
        <x:v>24</x:v>
      </x:c>
      <x:c r="I15" s="35" t="n">
        <x:f>G15-H15</x:f>
        <x:v>3.552713678800501e-15</x:v>
      </x:c>
      <x:c r="J15" s="25" t="str">
        <x:v>OPEN</x:v>
      </x:c>
      <x:c r="K15" s="25" t="str">
        <x:v>traceability custody and independent measurement</x:v>
      </x:c>
      <x:c r="L15" s="27" t="str">
        <x:v>planning architecture</x:v>
      </x:c>
    </x:row>
    <x:row r="16" ht="18" customHeight="1">
      <x:c r="B16" s="25" t="str">
        <x:v>F01</x:v>
      </x:c>
      <x:c r="C16" s="25" t="str">
        <x:v>Cyber and adversarial evidence laboratory</x:v>
      </x:c>
      <x:c r="D16" s="25" t="n">
        <x:v>1</x:v>
      </x:c>
      <x:c r="E16" s="35" t="n">
        <x:v>0.5</x:v>
      </x:c>
      <x:c r="F16" s="35" t="n">
        <x:f>D16*E16</x:f>
        <x:v>0.5</x:v>
      </x:c>
      <x:c r="G16" s="35" t="n">
        <x:f>SUMIF(B$7:B$55,B16,F$7:F$55)</x:f>
        <x:v>24.000000000000004</x:v>
      </x:c>
      <x:c r="H16" s="35" t="n">
        <x:v>24</x:v>
      </x:c>
      <x:c r="I16" s="35" t="n">
        <x:f>G16-H16</x:f>
        <x:v>3.552713678800501e-15</x:v>
      </x:c>
      <x:c r="J16" s="25" t="str">
        <x:v>OPEN</x:v>
      </x:c>
      <x:c r="K16" s="25" t="str">
        <x:v>traceability custody and independent measurement</x:v>
      </x:c>
      <x:c r="L16" s="27" t="str">
        <x:v>planning architecture</x:v>
      </x:c>
    </x:row>
    <x:row r="17" ht="18" customHeight="1">
      <x:c r="B17" s="25" t="str">
        <x:v>F01</x:v>
      </x:c>
      <x:c r="C17" s="25" t="str">
        <x:v>F01 capital reserve</x:v>
      </x:c>
      <x:c r="D17" s="25" t="n">
        <x:v>1</x:v>
      </x:c>
      <x:c r="E17" s="35" t="n">
        <x:v>0.372</x:v>
      </x:c>
      <x:c r="F17" s="35" t="n">
        <x:f>D17*E17</x:f>
        <x:v>0.372</x:v>
      </x:c>
      <x:c r="G17" s="35" t="n">
        <x:f>SUMIF(B$7:B$55,B17,F$7:F$55)</x:f>
        <x:v>24.000000000000004</x:v>
      </x:c>
      <x:c r="H17" s="35" t="n">
        <x:v>24</x:v>
      </x:c>
      <x:c r="I17" s="35" t="n">
        <x:f>G17-H17</x:f>
        <x:v>3.552713678800501e-15</x:v>
      </x:c>
      <x:c r="J17" s="25" t="str">
        <x:v>OPEN</x:v>
      </x:c>
      <x:c r="K17" s="25" t="str">
        <x:v>traceability custody and independent measurement</x:v>
      </x:c>
      <x:c r="L17" s="27" t="str">
        <x:v>planning architecture</x:v>
      </x:c>
    </x:row>
    <x:row r="18" ht="18" customHeight="1">
      <x:c r="B18" s="25" t="str">
        <x:v>F02</x:v>
      </x:c>
      <x:c r="C18" s="25" t="str">
        <x:v>High-power grid cells</x:v>
      </x:c>
      <x:c r="D18" s="25" t="n">
        <x:v>4</x:v>
      </x:c>
      <x:c r="E18" s="35" t="n">
        <x:v>4</x:v>
      </x:c>
      <x:c r="F18" s="35" t="n">
        <x:f>D18*E18</x:f>
        <x:v>16</x:v>
      </x:c>
      <x:c r="G18" s="35" t="n">
        <x:f>SUMIF(B$7:B$55,B18,F$7:F$55)</x:f>
        <x:v>42</x:v>
      </x:c>
      <x:c r="H18" s="35" t="n">
        <x:v>42</x:v>
      </x:c>
      <x:c r="I18" s="35" t="n">
        <x:f>G18-H18</x:f>
        <x:v>0</x:v>
      </x:c>
      <x:c r="J18" s="25" t="str">
        <x:v>OPEN</x:v>
      </x:c>
      <x:c r="K18" s="25" t="str">
        <x:v>registered physical evidence capacity</x:v>
      </x:c>
      <x:c r="L18" s="27" t="str">
        <x:v>planning architecture</x:v>
      </x:c>
    </x:row>
    <x:row r="19" ht="18" customHeight="1">
      <x:c r="B19" s="25" t="str">
        <x:v>F02</x:v>
      </x:c>
      <x:c r="C19" s="25" t="str">
        <x:v>Fault and black-start cells</x:v>
      </x:c>
      <x:c r="D19" s="25" t="n">
        <x:v>2</x:v>
      </x:c>
      <x:c r="E19" s="35" t="n">
        <x:v>5</x:v>
      </x:c>
      <x:c r="F19" s="35" t="n">
        <x:f>D19*E19</x:f>
        <x:v>10</x:v>
      </x:c>
      <x:c r="G19" s="35" t="n">
        <x:f>SUMIF(B$7:B$55,B19,F$7:F$55)</x:f>
        <x:v>42</x:v>
      </x:c>
      <x:c r="H19" s="35" t="n">
        <x:v>42</x:v>
      </x:c>
      <x:c r="I19" s="35" t="n">
        <x:f>G19-H19</x:f>
        <x:v>0</x:v>
      </x:c>
      <x:c r="J19" s="25" t="str">
        <x:v>OPEN</x:v>
      </x:c>
      <x:c r="K19" s="25" t="str">
        <x:v>registered physical evidence capacity</x:v>
      </x:c>
      <x:c r="L19" s="27" t="str">
        <x:v>planning architecture</x:v>
      </x:c>
    </x:row>
    <x:row r="20" ht="18" customHeight="1">
      <x:c r="B20" s="25" t="str">
        <x:v>F02</x:v>
      </x:c>
      <x:c r="C20" s="25" t="str">
        <x:v>Wet-energy cells</x:v>
      </x:c>
      <x:c r="D20" s="25" t="n">
        <x:v>2</x:v>
      </x:c>
      <x:c r="E20" s="35" t="n">
        <x:v>4</x:v>
      </x:c>
      <x:c r="F20" s="35" t="n">
        <x:f>D20*E20</x:f>
        <x:v>8</x:v>
      </x:c>
      <x:c r="G20" s="35" t="n">
        <x:f>SUMIF(B$7:B$55,B20,F$7:F$55)</x:f>
        <x:v>42</x:v>
      </x:c>
      <x:c r="H20" s="35" t="n">
        <x:v>42</x:v>
      </x:c>
      <x:c r="I20" s="35" t="n">
        <x:f>G20-H20</x:f>
        <x:v>0</x:v>
      </x:c>
      <x:c r="J20" s="25" t="str">
        <x:v>OPEN</x:v>
      </x:c>
      <x:c r="K20" s="25" t="str">
        <x:v>registered physical evidence capacity</x:v>
      </x:c>
      <x:c r="L20" s="27" t="str">
        <x:v>planning architecture</x:v>
      </x:c>
    </x:row>
    <x:row r="21" ht="18" customHeight="1">
      <x:c r="B21" s="25" t="str">
        <x:v>F02</x:v>
      </x:c>
      <x:c r="C21" s="25" t="str">
        <x:v>Mobile power laboratories</x:v>
      </x:c>
      <x:c r="D21" s="25" t="n">
        <x:v>4</x:v>
      </x:c>
      <x:c r="E21" s="35" t="n">
        <x:v>1</x:v>
      </x:c>
      <x:c r="F21" s="35" t="n">
        <x:f>D21*E21</x:f>
        <x:v>4</x:v>
      </x:c>
      <x:c r="G21" s="35" t="n">
        <x:f>SUMIF(B$7:B$55,B21,F$7:F$55)</x:f>
        <x:v>42</x:v>
      </x:c>
      <x:c r="H21" s="35" t="n">
        <x:v>42</x:v>
      </x:c>
      <x:c r="I21" s="35" t="n">
        <x:f>G21-H21</x:f>
        <x:v>0</x:v>
      </x:c>
      <x:c r="J21" s="25" t="str">
        <x:v>OPEN</x:v>
      </x:c>
      <x:c r="K21" s="25" t="str">
        <x:v>registered physical evidence capacity</x:v>
      </x:c>
      <x:c r="L21" s="27" t="str">
        <x:v>planning architecture</x:v>
      </x:c>
    </x:row>
    <x:row r="22" ht="18" customHeight="1">
      <x:c r="B22" s="25" t="str">
        <x:v>F02</x:v>
      </x:c>
      <x:c r="C22" s="25" t="str">
        <x:v>Shared controls and instrumentation</x:v>
      </x:c>
      <x:c r="D22" s="25" t="n">
        <x:v>1</x:v>
      </x:c>
      <x:c r="E22" s="35" t="n">
        <x:v>4</x:v>
      </x:c>
      <x:c r="F22" s="35" t="n">
        <x:f>D22*E22</x:f>
        <x:v>4</x:v>
      </x:c>
      <x:c r="G22" s="35" t="n">
        <x:f>SUMIF(B$7:B$55,B22,F$7:F$55)</x:f>
        <x:v>42</x:v>
      </x:c>
      <x:c r="H22" s="35" t="n">
        <x:v>42</x:v>
      </x:c>
      <x:c r="I22" s="35" t="n">
        <x:f>G22-H22</x:f>
        <x:v>0</x:v>
      </x:c>
      <x:c r="J22" s="25" t="str">
        <x:v>OPEN</x:v>
      </x:c>
      <x:c r="K22" s="25" t="str">
        <x:v>registered physical evidence capacity</x:v>
      </x:c>
      <x:c r="L22" s="27" t="str">
        <x:v>planning architecture</x:v>
      </x:c>
    </x:row>
    <x:row r="23" ht="18" customHeight="1">
      <x:c r="B23" s="25" t="str">
        <x:v>F03</x:v>
      </x:c>
      <x:c r="C23" s="25" t="str">
        <x:v>Variable-feed water galleries</x:v>
      </x:c>
      <x:c r="D23" s="25" t="n">
        <x:v>4</x:v>
      </x:c>
      <x:c r="E23" s="35" t="n">
        <x:v>4</x:v>
      </x:c>
      <x:c r="F23" s="35" t="n">
        <x:f>D23*E23</x:f>
        <x:v>16</x:v>
      </x:c>
      <x:c r="G23" s="35" t="n">
        <x:f>SUMIF(B$7:B$55,B23,F$7:F$55)</x:f>
        <x:v>36</x:v>
      </x:c>
      <x:c r="H23" s="35" t="n">
        <x:v>36</x:v>
      </x:c>
      <x:c r="I23" s="35" t="n">
        <x:f>G23-H23</x:f>
        <x:v>0</x:v>
      </x:c>
      <x:c r="J23" s="25" t="str">
        <x:v>OPEN</x:v>
      </x:c>
      <x:c r="K23" s="25" t="str">
        <x:v>registered physical evidence capacity</x:v>
      </x:c>
      <x:c r="L23" s="27" t="str">
        <x:v>planning architecture</x:v>
      </x:c>
    </x:row>
    <x:row r="24" ht="18" customHeight="1">
      <x:c r="B24" s="25" t="str">
        <x:v>F03</x:v>
      </x:c>
      <x:c r="C24" s="25" t="str">
        <x:v>Residual and assay halls</x:v>
      </x:c>
      <x:c r="D24" s="25" t="n">
        <x:v>4</x:v>
      </x:c>
      <x:c r="E24" s="35" t="n">
        <x:v>3</x:v>
      </x:c>
      <x:c r="F24" s="35" t="n">
        <x:f>D24*E24</x:f>
        <x:v>12</x:v>
      </x:c>
      <x:c r="G24" s="35" t="n">
        <x:f>SUMIF(B$7:B$55,B24,F$7:F$55)</x:f>
        <x:v>36</x:v>
      </x:c>
      <x:c r="H24" s="35" t="n">
        <x:v>36</x:v>
      </x:c>
      <x:c r="I24" s="35" t="n">
        <x:f>G24-H24</x:f>
        <x:v>0</x:v>
      </x:c>
      <x:c r="J24" s="25" t="str">
        <x:v>OPEN</x:v>
      </x:c>
      <x:c r="K24" s="25" t="str">
        <x:v>registered physical evidence capacity</x:v>
      </x:c>
      <x:c r="L24" s="27" t="str">
        <x:v>planning architecture</x:v>
      </x:c>
    </x:row>
    <x:row r="25" ht="18" customHeight="1">
      <x:c r="B25" s="25" t="str">
        <x:v>F03</x:v>
      </x:c>
      <x:c r="C25" s="25" t="str">
        <x:v>Unknown-agent laboratories</x:v>
      </x:c>
      <x:c r="D25" s="25" t="n">
        <x:v>4</x:v>
      </x:c>
      <x:c r="E25" s="35" t="n">
        <x:v>1.5</x:v>
      </x:c>
      <x:c r="F25" s="35" t="n">
        <x:f>D25*E25</x:f>
        <x:v>6</x:v>
      </x:c>
      <x:c r="G25" s="35" t="n">
        <x:f>SUMIF(B$7:B$55,B25,F$7:F$55)</x:f>
        <x:v>36</x:v>
      </x:c>
      <x:c r="H25" s="35" t="n">
        <x:v>36</x:v>
      </x:c>
      <x:c r="I25" s="35" t="n">
        <x:f>G25-H25</x:f>
        <x:v>0</x:v>
      </x:c>
      <x:c r="J25" s="25" t="str">
        <x:v>OPEN</x:v>
      </x:c>
      <x:c r="K25" s="25" t="str">
        <x:v>registered physical evidence capacity</x:v>
      </x:c>
      <x:c r="L25" s="27" t="str">
        <x:v>planning architecture</x:v>
      </x:c>
    </x:row>
    <x:row r="26" ht="18" customHeight="1">
      <x:c r="B26" s="25" t="str">
        <x:v>F03</x:v>
      </x:c>
      <x:c r="C26" s="25" t="str">
        <x:v>Shared process infrastructure</x:v>
      </x:c>
      <x:c r="D26" s="25" t="n">
        <x:v>1</x:v>
      </x:c>
      <x:c r="E26" s="35" t="n">
        <x:v>2</x:v>
      </x:c>
      <x:c r="F26" s="35" t="n">
        <x:f>D26*E26</x:f>
        <x:v>2</x:v>
      </x:c>
      <x:c r="G26" s="35" t="n">
        <x:f>SUMIF(B$7:B$55,B26,F$7:F$55)</x:f>
        <x:v>36</x:v>
      </x:c>
      <x:c r="H26" s="35" t="n">
        <x:v>36</x:v>
      </x:c>
      <x:c r="I26" s="35" t="n">
        <x:f>G26-H26</x:f>
        <x:v>0</x:v>
      </x:c>
      <x:c r="J26" s="25" t="str">
        <x:v>OPEN</x:v>
      </x:c>
      <x:c r="K26" s="25" t="str">
        <x:v>registered physical evidence capacity</x:v>
      </x:c>
      <x:c r="L26" s="27" t="str">
        <x:v>planning architecture</x:v>
      </x:c>
    </x:row>
    <x:row r="27" ht="18" customHeight="1">
      <x:c r="B27" s="25" t="str">
        <x:v>F04</x:v>
      </x:c>
      <x:c r="C27" s="25" t="str">
        <x:v>Climatic megacells</x:v>
      </x:c>
      <x:c r="D27" s="25" t="n">
        <x:v>4</x:v>
      </x:c>
      <x:c r="E27" s="35" t="n">
        <x:v>4</x:v>
      </x:c>
      <x:c r="F27" s="35" t="n">
        <x:f>D27*E27</x:f>
        <x:v>16</x:v>
      </x:c>
      <x:c r="G27" s="35" t="n">
        <x:f>SUMIF(B$7:B$55,B27,F$7:F$55)</x:f>
        <x:v>30</x:v>
      </x:c>
      <x:c r="H27" s="35" t="n">
        <x:v>30</x:v>
      </x:c>
      <x:c r="I27" s="35" t="n">
        <x:f>G27-H27</x:f>
        <x:v>0</x:v>
      </x:c>
      <x:c r="J27" s="25" t="str">
        <x:v>OPEN</x:v>
      </x:c>
      <x:c r="K27" s="25" t="str">
        <x:v>registered physical evidence capacity</x:v>
      </x:c>
      <x:c r="L27" s="27" t="str">
        <x:v>planning architecture</x:v>
      </x:c>
    </x:row>
    <x:row r="28" ht="18" customHeight="1">
      <x:c r="B28" s="25" t="str">
        <x:v>F04</x:v>
      </x:c>
      <x:c r="C28" s="25" t="str">
        <x:v>Heat-rejection fields</x:v>
      </x:c>
      <x:c r="D28" s="25" t="n">
        <x:v>4</x:v>
      </x:c>
      <x:c r="E28" s="35" t="n">
        <x:v>2.5</x:v>
      </x:c>
      <x:c r="F28" s="35" t="n">
        <x:f>D28*E28</x:f>
        <x:v>10</x:v>
      </x:c>
      <x:c r="G28" s="35" t="n">
        <x:f>SUMIF(B$7:B$55,B28,F$7:F$55)</x:f>
        <x:v>30</x:v>
      </x:c>
      <x:c r="H28" s="35" t="n">
        <x:v>30</x:v>
      </x:c>
      <x:c r="I28" s="35" t="n">
        <x:f>G28-H28</x:f>
        <x:v>0</x:v>
      </x:c>
      <x:c r="J28" s="25" t="str">
        <x:v>OPEN</x:v>
      </x:c>
      <x:c r="K28" s="25" t="str">
        <x:v>registered physical evidence capacity</x:v>
      </x:c>
      <x:c r="L28" s="27" t="str">
        <x:v>planning architecture</x:v>
      </x:c>
    </x:row>
    <x:row r="29" ht="18" customHeight="1">
      <x:c r="B29" s="25" t="str">
        <x:v>F04</x:v>
      </x:c>
      <x:c r="C29" s="25" t="str">
        <x:v>Occupied-shelter laboratories</x:v>
      </x:c>
      <x:c r="D29" s="25" t="n">
        <x:v>2</x:v>
      </x:c>
      <x:c r="E29" s="35" t="n">
        <x:v>1</x:v>
      </x:c>
      <x:c r="F29" s="35" t="n">
        <x:f>D29*E29</x:f>
        <x:v>2</x:v>
      </x:c>
      <x:c r="G29" s="35" t="n">
        <x:f>SUMIF(B$7:B$55,B29,F$7:F$55)</x:f>
        <x:v>30</x:v>
      </x:c>
      <x:c r="H29" s="35" t="n">
        <x:v>30</x:v>
      </x:c>
      <x:c r="I29" s="35" t="n">
        <x:f>G29-H29</x:f>
        <x:v>0</x:v>
      </x:c>
      <x:c r="J29" s="25" t="str">
        <x:v>OPEN</x:v>
      </x:c>
      <x:c r="K29" s="25" t="str">
        <x:v>registered physical evidence capacity</x:v>
      </x:c>
      <x:c r="L29" s="27" t="str">
        <x:v>planning architecture</x:v>
      </x:c>
    </x:row>
    <x:row r="30" ht="18" customHeight="1">
      <x:c r="B30" s="25" t="str">
        <x:v>F04</x:v>
      </x:c>
      <x:c r="C30" s="25" t="str">
        <x:v>Shared thermal infrastructure</x:v>
      </x:c>
      <x:c r="D30" s="25" t="n">
        <x:v>1</x:v>
      </x:c>
      <x:c r="E30" s="35" t="n">
        <x:v>2</x:v>
      </x:c>
      <x:c r="F30" s="35" t="n">
        <x:f>D30*E30</x:f>
        <x:v>2</x:v>
      </x:c>
      <x:c r="G30" s="35" t="n">
        <x:f>SUMIF(B$7:B$55,B30,F$7:F$55)</x:f>
        <x:v>30</x:v>
      </x:c>
      <x:c r="H30" s="35" t="n">
        <x:v>30</x:v>
      </x:c>
      <x:c r="I30" s="35" t="n">
        <x:f>G30-H30</x:f>
        <x:v>0</x:v>
      </x:c>
      <x:c r="J30" s="25" t="str">
        <x:v>OPEN</x:v>
      </x:c>
      <x:c r="K30" s="25" t="str">
        <x:v>registered physical evidence capacity</x:v>
      </x:c>
      <x:c r="L30" s="27" t="str">
        <x:v>planning architecture</x:v>
      </x:c>
    </x:row>
    <x:row r="31" ht="18" customHeight="1">
      <x:c r="B31" s="25" t="str">
        <x:v>F05</x:v>
      </x:c>
      <x:c r="C31" s="25" t="str">
        <x:v>Medium-voltage corridor ranges</x:v>
      </x:c>
      <x:c r="D31" s="25" t="n">
        <x:v>4</x:v>
      </x:c>
      <x:c r="E31" s="35" t="n">
        <x:v>4</x:v>
      </x:c>
      <x:c r="F31" s="35" t="n">
        <x:f>D31*E31</x:f>
        <x:v>16</x:v>
      </x:c>
      <x:c r="G31" s="35" t="n">
        <x:f>SUMIF(B$7:B$55,B31,F$7:F$55)</x:f>
        <x:v>28</x:v>
      </x:c>
      <x:c r="H31" s="35" t="n">
        <x:v>28</x:v>
      </x:c>
      <x:c r="I31" s="35" t="n">
        <x:f>G31-H31</x:f>
        <x:v>0</x:v>
      </x:c>
      <x:c r="J31" s="25" t="str">
        <x:v>OPEN</x:v>
      </x:c>
      <x:c r="K31" s="25" t="str">
        <x:v>registered physical evidence capacity</x:v>
      </x:c>
      <x:c r="L31" s="27" t="str">
        <x:v>planning architecture</x:v>
      </x:c>
    </x:row>
    <x:row r="32" ht="18" customHeight="1">
      <x:c r="B32" s="25" t="str">
        <x:v>F05</x:v>
      </x:c>
      <x:c r="C32" s="25" t="str">
        <x:v>Fluid corridor ranges</x:v>
      </x:c>
      <x:c r="D32" s="25" t="n">
        <x:v>4</x:v>
      </x:c>
      <x:c r="E32" s="35" t="n">
        <x:v>2</x:v>
      </x:c>
      <x:c r="F32" s="35" t="n">
        <x:f>D32*E32</x:f>
        <x:v>8</x:v>
      </x:c>
      <x:c r="G32" s="35" t="n">
        <x:f>SUMIF(B$7:B$55,B32,F$7:F$55)</x:f>
        <x:v>28</x:v>
      </x:c>
      <x:c r="H32" s="35" t="n">
        <x:v>28</x:v>
      </x:c>
      <x:c r="I32" s="35" t="n">
        <x:f>G32-H32</x:f>
        <x:v>0</x:v>
      </x:c>
      <x:c r="J32" s="25" t="str">
        <x:v>OPEN</x:v>
      </x:c>
      <x:c r="K32" s="25" t="str">
        <x:v>registered physical evidence capacity</x:v>
      </x:c>
      <x:c r="L32" s="27" t="str">
        <x:v>planning architecture</x:v>
      </x:c>
    </x:row>
    <x:row r="33" ht="18" customHeight="1">
      <x:c r="B33" s="25" t="str">
        <x:v>F05</x:v>
      </x:c>
      <x:c r="C33" s="25" t="str">
        <x:v>Robotic installation laboratories</x:v>
      </x:c>
      <x:c r="D33" s="25" t="n">
        <x:v>2</x:v>
      </x:c>
      <x:c r="E33" s="35" t="n">
        <x:v>1</x:v>
      </x:c>
      <x:c r="F33" s="35" t="n">
        <x:f>D33*E33</x:f>
        <x:v>2</x:v>
      </x:c>
      <x:c r="G33" s="35" t="n">
        <x:f>SUMIF(B$7:B$55,B33,F$7:F$55)</x:f>
        <x:v>28</x:v>
      </x:c>
      <x:c r="H33" s="35" t="n">
        <x:v>28</x:v>
      </x:c>
      <x:c r="I33" s="35" t="n">
        <x:f>G33-H33</x:f>
        <x:v>0</x:v>
      </x:c>
      <x:c r="J33" s="25" t="str">
        <x:v>OPEN</x:v>
      </x:c>
      <x:c r="K33" s="25" t="str">
        <x:v>registered physical evidence capacity</x:v>
      </x:c>
      <x:c r="L33" s="27" t="str">
        <x:v>planning architecture</x:v>
      </x:c>
    </x:row>
    <x:row r="34" ht="18" customHeight="1">
      <x:c r="B34" s="25" t="str">
        <x:v>F05</x:v>
      </x:c>
      <x:c r="C34" s="25" t="str">
        <x:v>Crossing and common infrastructure</x:v>
      </x:c>
      <x:c r="D34" s="25" t="n">
        <x:v>1</x:v>
      </x:c>
      <x:c r="E34" s="35" t="n">
        <x:v>2</x:v>
      </x:c>
      <x:c r="F34" s="35" t="n">
        <x:f>D34*E34</x:f>
        <x:v>2</x:v>
      </x:c>
      <x:c r="G34" s="35" t="n">
        <x:f>SUMIF(B$7:B$55,B34,F$7:F$55)</x:f>
        <x:v>28</x:v>
      </x:c>
      <x:c r="H34" s="35" t="n">
        <x:v>28</x:v>
      </x:c>
      <x:c r="I34" s="35" t="n">
        <x:f>G34-H34</x:f>
        <x:v>0</x:v>
      </x:c>
      <x:c r="J34" s="25" t="str">
        <x:v>OPEN</x:v>
      </x:c>
      <x:c r="K34" s="25" t="str">
        <x:v>registered physical evidence capacity</x:v>
      </x:c>
      <x:c r="L34" s="27" t="str">
        <x:v>planning architecture</x:v>
      </x:c>
    </x:row>
    <x:row r="35" ht="18" customHeight="1">
      <x:c r="B35" s="25" t="str">
        <x:v>F06</x:v>
      </x:c>
      <x:c r="C35" s="25" t="str">
        <x:v>Human integration centers</x:v>
      </x:c>
      <x:c r="D35" s="25" t="n">
        <x:v>4</x:v>
      </x:c>
      <x:c r="E35" s="35" t="n">
        <x:v>3</x:v>
      </x:c>
      <x:c r="F35" s="35" t="n">
        <x:f>D35*E35</x:f>
        <x:v>12</x:v>
      </x:c>
      <x:c r="G35" s="35" t="n">
        <x:f>SUMIF(B$7:B$55,B35,F$7:F$55)</x:f>
        <x:v>24</x:v>
      </x:c>
      <x:c r="H35" s="35" t="n">
        <x:v>24</x:v>
      </x:c>
      <x:c r="I35" s="35" t="n">
        <x:f>G35-H35</x:f>
        <x:v>0</x:v>
      </x:c>
      <x:c r="J35" s="25" t="str">
        <x:v>OPEN</x:v>
      </x:c>
      <x:c r="K35" s="25" t="str">
        <x:v>registered physical evidence capacity</x:v>
      </x:c>
      <x:c r="L35" s="27" t="str">
        <x:v>planning architecture</x:v>
      </x:c>
    </x:row>
    <x:row r="36" ht="18" customHeight="1">
      <x:c r="B36" s="25" t="str">
        <x:v>F06</x:v>
      </x:c>
      <x:c r="C36" s="25" t="str">
        <x:v>Clinical and civil workflow centers</x:v>
      </x:c>
      <x:c r="D36" s="25" t="n">
        <x:v>4</x:v>
      </x:c>
      <x:c r="E36" s="35" t="n">
        <x:v>2</x:v>
      </x:c>
      <x:c r="F36" s="35" t="n">
        <x:f>D36*E36</x:f>
        <x:v>8</x:v>
      </x:c>
      <x:c r="G36" s="35" t="n">
        <x:f>SUMIF(B$7:B$55,B36,F$7:F$55)</x:f>
        <x:v>24</x:v>
      </x:c>
      <x:c r="H36" s="35" t="n">
        <x:v>24</x:v>
      </x:c>
      <x:c r="I36" s="35" t="n">
        <x:f>G36-H36</x:f>
        <x:v>0</x:v>
      </x:c>
      <x:c r="J36" s="25" t="str">
        <x:v>OPEN</x:v>
      </x:c>
      <x:c r="K36" s="25" t="str">
        <x:v>registered physical evidence capacity</x:v>
      </x:c>
      <x:c r="L36" s="27" t="str">
        <x:v>planning architecture</x:v>
      </x:c>
    </x:row>
    <x:row r="37" ht="18" customHeight="1">
      <x:c r="B37" s="25" t="str">
        <x:v>F06</x:v>
      </x:c>
      <x:c r="C37" s="25" t="str">
        <x:v>Rights and evidence systems</x:v>
      </x:c>
      <x:c r="D37" s="25" t="n">
        <x:v>1</x:v>
      </x:c>
      <x:c r="E37" s="35" t="n">
        <x:v>2</x:v>
      </x:c>
      <x:c r="F37" s="35" t="n">
        <x:f>D37*E37</x:f>
        <x:v>2</x:v>
      </x:c>
      <x:c r="G37" s="35" t="n">
        <x:f>SUMIF(B$7:B$55,B37,F$7:F$55)</x:f>
        <x:v>24</x:v>
      </x:c>
      <x:c r="H37" s="35" t="n">
        <x:v>24</x:v>
      </x:c>
      <x:c r="I37" s="35" t="n">
        <x:f>G37-H37</x:f>
        <x:v>0</x:v>
      </x:c>
      <x:c r="J37" s="25" t="str">
        <x:v>OPEN</x:v>
      </x:c>
      <x:c r="K37" s="25" t="str">
        <x:v>registered physical evidence capacity</x:v>
      </x:c>
      <x:c r="L37" s="27" t="str">
        <x:v>planning architecture</x:v>
      </x:c>
    </x:row>
    <x:row r="38" ht="18" customHeight="1">
      <x:c r="B38" s="25" t="str">
        <x:v>F06</x:v>
      </x:c>
      <x:c r="C38" s="25" t="str">
        <x:v>Accessibility laboratories</x:v>
      </x:c>
      <x:c r="D38" s="25" t="n">
        <x:v>1</x:v>
      </x:c>
      <x:c r="E38" s="35" t="n">
        <x:v>2</x:v>
      </x:c>
      <x:c r="F38" s="35" t="n">
        <x:f>D38*E38</x:f>
        <x:v>2</x:v>
      </x:c>
      <x:c r="G38" s="35" t="n">
        <x:f>SUMIF(B$7:B$55,B38,F$7:F$55)</x:f>
        <x:v>24</x:v>
      </x:c>
      <x:c r="H38" s="35" t="n">
        <x:v>24</x:v>
      </x:c>
      <x:c r="I38" s="35" t="n">
        <x:f>G38-H38</x:f>
        <x:v>0</x:v>
      </x:c>
      <x:c r="J38" s="25" t="str">
        <x:v>OPEN</x:v>
      </x:c>
      <x:c r="K38" s="25" t="str">
        <x:v>registered physical evidence capacity</x:v>
      </x:c>
      <x:c r="L38" s="27" t="str">
        <x:v>planning architecture</x:v>
      </x:c>
    </x:row>
    <x:row r="39" ht="18" customHeight="1">
      <x:c r="B39" s="25" t="str">
        <x:v>F07</x:v>
      </x:c>
      <x:c r="C39" s="25" t="str">
        <x:v>Carrier keel halls</x:v>
      </x:c>
      <x:c r="D39" s="25" t="n">
        <x:v>2</x:v>
      </x:c>
      <x:c r="E39" s="35" t="n">
        <x:v>10</x:v>
      </x:c>
      <x:c r="F39" s="35" t="n">
        <x:f>D39*E39</x:f>
        <x:v>20</x:v>
      </x:c>
      <x:c r="G39" s="35" t="n">
        <x:f>SUMIF(B$7:B$55,B39,F$7:F$55)</x:f>
        <x:v>48</x:v>
      </x:c>
      <x:c r="H39" s="35" t="n">
        <x:v>48</x:v>
      </x:c>
      <x:c r="I39" s="35" t="n">
        <x:f>G39-H39</x:f>
        <x:v>0</x:v>
      </x:c>
      <x:c r="J39" s="25" t="str">
        <x:v>OPEN</x:v>
      </x:c>
      <x:c r="K39" s="25" t="str">
        <x:v>registered physical evidence capacity</x:v>
      </x:c>
      <x:c r="L39" s="27" t="str">
        <x:v>planning architecture</x:v>
      </x:c>
    </x:row>
    <x:row r="40" ht="18" customHeight="1">
      <x:c r="B40" s="25" t="str">
        <x:v>F07</x:v>
      </x:c>
      <x:c r="C40" s="25" t="str">
        <x:v>Load and unload rigs</x:v>
      </x:c>
      <x:c r="D40" s="25" t="n">
        <x:v>4</x:v>
      </x:c>
      <x:c r="E40" s="35" t="n">
        <x:v>5</x:v>
      </x:c>
      <x:c r="F40" s="35" t="n">
        <x:f>D40*E40</x:f>
        <x:v>20</x:v>
      </x:c>
      <x:c r="G40" s="35" t="n">
        <x:f>SUMIF(B$7:B$55,B40,F$7:F$55)</x:f>
        <x:v>48</x:v>
      </x:c>
      <x:c r="H40" s="35" t="n">
        <x:v>48</x:v>
      </x:c>
      <x:c r="I40" s="35" t="n">
        <x:f>G40-H40</x:f>
        <x:v>0</x:v>
      </x:c>
      <x:c r="J40" s="25" t="str">
        <x:v>OPEN</x:v>
      </x:c>
      <x:c r="K40" s="25" t="str">
        <x:v>registered physical evidence capacity</x:v>
      </x:c>
      <x:c r="L40" s="27" t="str">
        <x:v>planning architecture</x:v>
      </x:c>
    </x:row>
    <x:row r="41" ht="18" customHeight="1">
      <x:c r="B41" s="25" t="str">
        <x:v>F07</x:v>
      </x:c>
      <x:c r="C41" s="25" t="str">
        <x:v>Fire and evacuation complexes</x:v>
      </x:c>
      <x:c r="D41" s="25" t="n">
        <x:v>2</x:v>
      </x:c>
      <x:c r="E41" s="35" t="n">
        <x:v>3</x:v>
      </x:c>
      <x:c r="F41" s="35" t="n">
        <x:f>D41*E41</x:f>
        <x:v>6</x:v>
      </x:c>
      <x:c r="G41" s="35" t="n">
        <x:f>SUMIF(B$7:B$55,B41,F$7:F$55)</x:f>
        <x:v>48</x:v>
      </x:c>
      <x:c r="H41" s="35" t="n">
        <x:v>48</x:v>
      </x:c>
      <x:c r="I41" s="35" t="n">
        <x:f>G41-H41</x:f>
        <x:v>0</x:v>
      </x:c>
      <x:c r="J41" s="25" t="str">
        <x:v>OPEN</x:v>
      </x:c>
      <x:c r="K41" s="25" t="str">
        <x:v>registered physical evidence capacity</x:v>
      </x:c>
      <x:c r="L41" s="27" t="str">
        <x:v>planning architecture</x:v>
      </x:c>
    </x:row>
    <x:row r="42" ht="18" customHeight="1">
      <x:c r="B42" s="25" t="str">
        <x:v>F07</x:v>
      </x:c>
      <x:c r="C42" s="25" t="str">
        <x:v>Shared maritime infrastructure</x:v>
      </x:c>
      <x:c r="D42" s="25" t="n">
        <x:v>1</x:v>
      </x:c>
      <x:c r="E42" s="35" t="n">
        <x:v>2</x:v>
      </x:c>
      <x:c r="F42" s="35" t="n">
        <x:f>D42*E42</x:f>
        <x:v>2</x:v>
      </x:c>
      <x:c r="G42" s="35" t="n">
        <x:f>SUMIF(B$7:B$55,B42,F$7:F$55)</x:f>
        <x:v>48</x:v>
      </x:c>
      <x:c r="H42" s="35" t="n">
        <x:v>48</x:v>
      </x:c>
      <x:c r="I42" s="35" t="n">
        <x:f>G42-H42</x:f>
        <x:v>0</x:v>
      </x:c>
      <x:c r="J42" s="25" t="str">
        <x:v>OPEN</x:v>
      </x:c>
      <x:c r="K42" s="25" t="str">
        <x:v>registered physical evidence capacity</x:v>
      </x:c>
      <x:c r="L42" s="27" t="str">
        <x:v>planning architecture</x:v>
      </x:c>
    </x:row>
    <x:row r="43" ht="18" customHeight="1">
      <x:c r="B43" s="25" t="str">
        <x:v>F08</x:v>
      </x:c>
      <x:c r="C43" s="25" t="str">
        <x:v>Terrain carrier dynamometers</x:v>
      </x:c>
      <x:c r="D43" s="25" t="n">
        <x:v>4</x:v>
      </x:c>
      <x:c r="E43" s="35" t="n">
        <x:v>6</x:v>
      </x:c>
      <x:c r="F43" s="35" t="n">
        <x:f>D43*E43</x:f>
        <x:v>24</x:v>
      </x:c>
      <x:c r="G43" s="35" t="n">
        <x:f>SUMIF(B$7:B$55,B43,F$7:F$55)</x:f>
        <x:v>42</x:v>
      </x:c>
      <x:c r="H43" s="35" t="n">
        <x:v>42</x:v>
      </x:c>
      <x:c r="I43" s="35" t="n">
        <x:f>G43-H43</x:f>
        <x:v>0</x:v>
      </x:c>
      <x:c r="J43" s="25" t="str">
        <x:v>OPEN</x:v>
      </x:c>
      <x:c r="K43" s="25" t="str">
        <x:v>registered physical evidence capacity</x:v>
      </x:c>
      <x:c r="L43" s="27" t="str">
        <x:v>planning architecture</x:v>
      </x:c>
    </x:row>
    <x:row r="44" ht="18" customHeight="1">
      <x:c r="B44" s="25" t="str">
        <x:v>F08</x:v>
      </x:c>
      <x:c r="C44" s="25" t="str">
        <x:v>Instrumented soil fields</x:v>
      </x:c>
      <x:c r="D44" s="25" t="n">
        <x:v>4</x:v>
      </x:c>
      <x:c r="E44" s="35" t="n">
        <x:v>3</x:v>
      </x:c>
      <x:c r="F44" s="35" t="n">
        <x:f>D44*E44</x:f>
        <x:v>12</x:v>
      </x:c>
      <x:c r="G44" s="35" t="n">
        <x:f>SUMIF(B$7:B$55,B44,F$7:F$55)</x:f>
        <x:v>42</x:v>
      </x:c>
      <x:c r="H44" s="35" t="n">
        <x:v>42</x:v>
      </x:c>
      <x:c r="I44" s="35" t="n">
        <x:f>G44-H44</x:f>
        <x:v>0</x:v>
      </x:c>
      <x:c r="J44" s="25" t="str">
        <x:v>OPEN</x:v>
      </x:c>
      <x:c r="K44" s="25" t="str">
        <x:v>registered physical evidence capacity</x:v>
      </x:c>
      <x:c r="L44" s="27" t="str">
        <x:v>planning architecture</x:v>
      </x:c>
    </x:row>
    <x:row r="45" ht="18" customHeight="1">
      <x:c r="B45" s="25" t="str">
        <x:v>F08</x:v>
      </x:c>
      <x:c r="C45" s="25" t="str">
        <x:v>Bridge and articulation rigs</x:v>
      </x:c>
      <x:c r="D45" s="25" t="n">
        <x:v>4</x:v>
      </x:c>
      <x:c r="E45" s="35" t="n">
        <x:v>1</x:v>
      </x:c>
      <x:c r="F45" s="35" t="n">
        <x:f>D45*E45</x:f>
        <x:v>4</x:v>
      </x:c>
      <x:c r="G45" s="35" t="n">
        <x:f>SUMIF(B$7:B$55,B45,F$7:F$55)</x:f>
        <x:v>42</x:v>
      </x:c>
      <x:c r="H45" s="35" t="n">
        <x:v>42</x:v>
      </x:c>
      <x:c r="I45" s="35" t="n">
        <x:f>G45-H45</x:f>
        <x:v>0</x:v>
      </x:c>
      <x:c r="J45" s="25" t="str">
        <x:v>OPEN</x:v>
      </x:c>
      <x:c r="K45" s="25" t="str">
        <x:v>registered physical evidence capacity</x:v>
      </x:c>
      <x:c r="L45" s="27" t="str">
        <x:v>planning architecture</x:v>
      </x:c>
    </x:row>
    <x:row r="46" ht="18" customHeight="1">
      <x:c r="B46" s="25" t="str">
        <x:v>F08</x:v>
      </x:c>
      <x:c r="C46" s="25" t="str">
        <x:v>Shared terrain infrastructure</x:v>
      </x:c>
      <x:c r="D46" s="25" t="n">
        <x:v>1</x:v>
      </x:c>
      <x:c r="E46" s="35" t="n">
        <x:v>2</x:v>
      </x:c>
      <x:c r="F46" s="35" t="n">
        <x:f>D46*E46</x:f>
        <x:v>2</x:v>
      </x:c>
      <x:c r="G46" s="35" t="n">
        <x:f>SUMIF(B$7:B$55,B46,F$7:F$55)</x:f>
        <x:v>42</x:v>
      </x:c>
      <x:c r="H46" s="35" t="n">
        <x:v>42</x:v>
      </x:c>
      <x:c r="I46" s="35" t="n">
        <x:f>G46-H46</x:f>
        <x:v>0</x:v>
      </x:c>
      <x:c r="J46" s="25" t="str">
        <x:v>OPEN</x:v>
      </x:c>
      <x:c r="K46" s="25" t="str">
        <x:v>registered physical evidence capacity</x:v>
      </x:c>
      <x:c r="L46" s="27" t="str">
        <x:v>planning architecture</x:v>
      </x:c>
    </x:row>
    <x:row r="47" ht="18" customHeight="1">
      <x:c r="B47" s="25" t="str">
        <x:v>F09</x:v>
      </x:c>
      <x:c r="C47" s="25" t="str">
        <x:v>Paired full-mission ranges</x:v>
      </x:c>
      <x:c r="D47" s="25" t="n">
        <x:v>4</x:v>
      </x:c>
      <x:c r="E47" s="35" t="n">
        <x:v>8</x:v>
      </x:c>
      <x:c r="F47" s="35" t="n">
        <x:f>D47*E47</x:f>
        <x:v>32</x:v>
      </x:c>
      <x:c r="G47" s="35" t="n">
        <x:f>SUMIF(B$7:B$55,B47,F$7:F$55)</x:f>
        <x:v>48</x:v>
      </x:c>
      <x:c r="H47" s="35" t="n">
        <x:v>48</x:v>
      </x:c>
      <x:c r="I47" s="35" t="n">
        <x:f>G47-H47</x:f>
        <x:v>0</x:v>
      </x:c>
      <x:c r="J47" s="25" t="str">
        <x:v>OPEN</x:v>
      </x:c>
      <x:c r="K47" s="25" t="str">
        <x:v>registered physical evidence capacity</x:v>
      </x:c>
      <x:c r="L47" s="27" t="str">
        <x:v>planning architecture</x:v>
      </x:c>
    </x:row>
    <x:row r="48" ht="18" customHeight="1">
      <x:c r="B48" s="25" t="str">
        <x:v>F09</x:v>
      </x:c>
      <x:c r="C48" s="25" t="str">
        <x:v>Receiver truth complexes</x:v>
      </x:c>
      <x:c r="D48" s="25" t="n">
        <x:v>8</x:v>
      </x:c>
      <x:c r="E48" s="35" t="n">
        <x:v>1.5</x:v>
      </x:c>
      <x:c r="F48" s="35" t="n">
        <x:f>D48*E48</x:f>
        <x:v>12</x:v>
      </x:c>
      <x:c r="G48" s="35" t="n">
        <x:f>SUMIF(B$7:B$55,B48,F$7:F$55)</x:f>
        <x:v>48</x:v>
      </x:c>
      <x:c r="H48" s="35" t="n">
        <x:v>48</x:v>
      </x:c>
      <x:c r="I48" s="35" t="n">
        <x:f>G48-H48</x:f>
        <x:v>0</x:v>
      </x:c>
      <x:c r="J48" s="25" t="str">
        <x:v>OPEN</x:v>
      </x:c>
      <x:c r="K48" s="25" t="str">
        <x:v>registered physical evidence capacity</x:v>
      </x:c>
      <x:c r="L48" s="27" t="str">
        <x:v>planning architecture</x:v>
      </x:c>
    </x:row>
    <x:row r="49" ht="18" customHeight="1">
      <x:c r="B49" s="25" t="str">
        <x:v>F09</x:v>
      </x:c>
      <x:c r="C49" s="25" t="str">
        <x:v>Restoration and participant systems</x:v>
      </x:c>
      <x:c r="D49" s="25" t="n">
        <x:v>1</x:v>
      </x:c>
      <x:c r="E49" s="35" t="n">
        <x:v>4</x:v>
      </x:c>
      <x:c r="F49" s="35" t="n">
        <x:f>D49*E49</x:f>
        <x:v>4</x:v>
      </x:c>
      <x:c r="G49" s="35" t="n">
        <x:f>SUMIF(B$7:B$55,B49,F$7:F$55)</x:f>
        <x:v>48</x:v>
      </x:c>
      <x:c r="H49" s="35" t="n">
        <x:v>48</x:v>
      </x:c>
      <x:c r="I49" s="35" t="n">
        <x:f>G49-H49</x:f>
        <x:v>0</x:v>
      </x:c>
      <x:c r="J49" s="25" t="str">
        <x:v>OPEN</x:v>
      </x:c>
      <x:c r="K49" s="25" t="str">
        <x:v>registered physical evidence capacity</x:v>
      </x:c>
      <x:c r="L49" s="27" t="str">
        <x:v>planning architecture</x:v>
      </x:c>
    </x:row>
    <x:row r="50" ht="18" customHeight="1">
      <x:c r="B50" s="25" t="str">
        <x:v>F10</x:v>
      </x:c>
      <x:c r="C50" s="25" t="str">
        <x:v>Reset and repair depots</x:v>
      </x:c>
      <x:c r="D50" s="25" t="n">
        <x:v>4</x:v>
      </x:c>
      <x:c r="E50" s="35" t="n">
        <x:v>3</x:v>
      </x:c>
      <x:c r="F50" s="35" t="n">
        <x:f>D50*E50</x:f>
        <x:v>12</x:v>
      </x:c>
      <x:c r="G50" s="35" t="n">
        <x:f>SUMIF(B$7:B$55,B50,F$7:F$55)</x:f>
        <x:v>16</x:v>
      </x:c>
      <x:c r="H50" s="35" t="n">
        <x:v>16</x:v>
      </x:c>
      <x:c r="I50" s="35" t="n">
        <x:f>G50-H50</x:f>
        <x:v>0</x:v>
      </x:c>
      <x:c r="J50" s="25" t="str">
        <x:v>OPEN</x:v>
      </x:c>
      <x:c r="K50" s="25" t="str">
        <x:v>registered physical evidence capacity</x:v>
      </x:c>
      <x:c r="L50" s="27" t="str">
        <x:v>planning architecture</x:v>
      </x:c>
    </x:row>
    <x:row r="51" ht="18" customHeight="1">
      <x:c r="B51" s="25" t="str">
        <x:v>F10</x:v>
      </x:c>
      <x:c r="C51" s="25" t="str">
        <x:v>Contamination cells</x:v>
      </x:c>
      <x:c r="D51" s="25" t="n">
        <x:v>4</x:v>
      </x:c>
      <x:c r="E51" s="35" t="n">
        <x:v>0.75</x:v>
      </x:c>
      <x:c r="F51" s="35" t="n">
        <x:f>D51*E51</x:f>
        <x:v>3</x:v>
      </x:c>
      <x:c r="G51" s="35" t="n">
        <x:f>SUMIF(B$7:B$55,B51,F$7:F$55)</x:f>
        <x:v>16</x:v>
      </x:c>
      <x:c r="H51" s="35" t="n">
        <x:v>16</x:v>
      </x:c>
      <x:c r="I51" s="35" t="n">
        <x:f>G51-H51</x:f>
        <x:v>0</x:v>
      </x:c>
      <x:c r="J51" s="25" t="str">
        <x:v>OPEN</x:v>
      </x:c>
      <x:c r="K51" s="25" t="str">
        <x:v>registered physical evidence capacity</x:v>
      </x:c>
      <x:c r="L51" s="27" t="str">
        <x:v>planning architecture</x:v>
      </x:c>
    </x:row>
    <x:row r="52" ht="18" customHeight="1">
      <x:c r="B52" s="25" t="str">
        <x:v>F10</x:v>
      </x:c>
      <x:c r="C52" s="25" t="str">
        <x:v>Quarantine and forensic stores</x:v>
      </x:c>
      <x:c r="D52" s="25" t="n">
        <x:v>1</x:v>
      </x:c>
      <x:c r="E52" s="35" t="n">
        <x:v>1</x:v>
      </x:c>
      <x:c r="F52" s="35" t="n">
        <x:f>D52*E52</x:f>
        <x:v>1</x:v>
      </x:c>
      <x:c r="G52" s="35" t="n">
        <x:f>SUMIF(B$7:B$55,B52,F$7:F$55)</x:f>
        <x:v>16</x:v>
      </x:c>
      <x:c r="H52" s="35" t="n">
        <x:v>16</x:v>
      </x:c>
      <x:c r="I52" s="35" t="n">
        <x:f>G52-H52</x:f>
        <x:v>0</x:v>
      </x:c>
      <x:c r="J52" s="25" t="str">
        <x:v>OPEN</x:v>
      </x:c>
      <x:c r="K52" s="25" t="str">
        <x:v>registered physical evidence capacity</x:v>
      </x:c>
      <x:c r="L52" s="27" t="str">
        <x:v>planning architecture</x:v>
      </x:c>
    </x:row>
    <x:row r="53" ht="18" customHeight="1">
      <x:c r="B53" s="25" t="str">
        <x:v>F11</x:v>
      </x:c>
      <x:c r="C53" s="25" t="str">
        <x:v>Family microfactories</x:v>
      </x:c>
      <x:c r="D53" s="25" t="n">
        <x:v>10</x:v>
      </x:c>
      <x:c r="E53" s="35" t="n">
        <x:v>0.8</x:v>
      </x:c>
      <x:c r="F53" s="35" t="n">
        <x:f>D53*E53</x:f>
        <x:v>8</x:v>
      </x:c>
      <x:c r="G53" s="35" t="n">
        <x:f>SUMIF(B$7:B$55,B53,F$7:F$55)</x:f>
        <x:v>12</x:v>
      </x:c>
      <x:c r="H53" s="35" t="n">
        <x:v>12</x:v>
      </x:c>
      <x:c r="I53" s="35" t="n">
        <x:f>G53-H53</x:f>
        <x:v>0</x:v>
      </x:c>
      <x:c r="J53" s="25" t="str">
        <x:v>OPEN</x:v>
      </x:c>
      <x:c r="K53" s="25" t="str">
        <x:v>registered physical evidence capacity</x:v>
      </x:c>
      <x:c r="L53" s="27" t="str">
        <x:v>planning architecture</x:v>
      </x:c>
    </x:row>
    <x:row r="54" ht="18" customHeight="1">
      <x:c r="B54" s="25" t="str">
        <x:v>F11</x:v>
      </x:c>
      <x:c r="C54" s="25" t="str">
        <x:v>Interface production lines</x:v>
      </x:c>
      <x:c r="D54" s="25" t="n">
        <x:v>4</x:v>
      </x:c>
      <x:c r="E54" s="35" t="n">
        <x:v>0.75</x:v>
      </x:c>
      <x:c r="F54" s="35" t="n">
        <x:f>D54*E54</x:f>
        <x:v>3</x:v>
      </x:c>
      <x:c r="G54" s="35" t="n">
        <x:f>SUMIF(B$7:B$55,B54,F$7:F$55)</x:f>
        <x:v>12</x:v>
      </x:c>
      <x:c r="H54" s="35" t="n">
        <x:v>12</x:v>
      </x:c>
      <x:c r="I54" s="35" t="n">
        <x:f>G54-H54</x:f>
        <x:v>0</x:v>
      </x:c>
      <x:c r="J54" s="25" t="str">
        <x:v>OPEN</x:v>
      </x:c>
      <x:c r="K54" s="25" t="str">
        <x:v>registered physical evidence capacity</x:v>
      </x:c>
      <x:c r="L54" s="27" t="str">
        <x:v>planning architecture</x:v>
      </x:c>
    </x:row>
    <x:row r="55" ht="18" customHeight="1">
      <x:c r="B55" s="25" t="str">
        <x:v>F11</x:v>
      </x:c>
      <x:c r="C55" s="25" t="str">
        <x:v>Configuration ancestry system</x:v>
      </x:c>
      <x:c r="D55" s="25" t="n">
        <x:v>1</x:v>
      </x:c>
      <x:c r="E55" s="35" t="n">
        <x:v>1</x:v>
      </x:c>
      <x:c r="F55" s="35" t="n">
        <x:f>D55*E55</x:f>
        <x:v>1</x:v>
      </x:c>
      <x:c r="G55" s="35" t="n">
        <x:f>SUMIF(B$7:B$55,B55,F$7:F$55)</x:f>
        <x:v>12</x:v>
      </x:c>
      <x:c r="H55" s="35" t="n">
        <x:v>12</x:v>
      </x:c>
      <x:c r="I55" s="35" t="n">
        <x:f>G55-H55</x:f>
        <x:v>0</x:v>
      </x:c>
      <x:c r="J55" s="25" t="str">
        <x:v>OPEN</x:v>
      </x:c>
      <x:c r="K55" s="25" t="str">
        <x:v>registered physical evidence capacity</x:v>
      </x:c>
      <x:c r="L55" s="27" t="str">
        <x:v>planning architecture</x:v>
      </x:c>
    </x:row>
    <x:row r="56" ht="18" customHeight="1">
      <x:c r="B56" s="29" t="str">
        <x:v>TOTAL</x:v>
      </x:c>
      <x:c r="C56" s="29" t="str"/>
      <x:c r="D56" s="29" t="n">
        <x:v>0</x:v>
      </x:c>
      <x:c r="E56" s="37" t="n">
        <x:v>0</x:v>
      </x:c>
      <x:c r="F56" s="37" t="n">
        <x:f>SUM(F7:F55)</x:f>
        <x:v>350</x:v>
      </x:c>
      <x:c r="G56" s="37" t="n">
        <x:v>0</x:v>
      </x:c>
      <x:c r="H56" s="37" t="n">
        <x:f>Assumptions!C47</x:f>
        <x:v>350</x:v>
      </x:c>
      <x:c r="I56" s="37" t="n">
        <x:f>F56-H56</x:f>
        <x:v>0</x:v>
      </x:c>
      <x:c r="J56" s="29" t="str">
        <x:f>IF(I56=0,"PASS","FAIL")</x:f>
        <x:v>PASS</x:v>
      </x:c>
      <x:c r="K56" s="29" t="str"/>
      <x:c r="L56" s="31" t="str"/>
    </x:row>
    <x:row r="57" ht="18" customHeight="1"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</x:row>
    <x:row r="58" ht="18" customHeight="1"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</x:row>
  </x:sheetData>
  <x:mergeCells>
    <x:mergeCell ref="B2:H2"/>
    <x:mergeCell ref="B3:L3"/>
  </x:mergeCells>
  <x:conditionalFormatting sqref="J7:J56">
    <x:cfRule type="containsText" dxfId="75" priority="1" operator="containsText" text="FAIL"/>
    <x:cfRule type="containsText" dxfId="76" priority="2" operator="containsText" text="PASS"/>
    <x:cfRule type="containsText" dxfId="77" priority="3" operator="containsText" text="OPEN"/>
    <x:cfRule type="containsText" dxfId="78" priority="4" operator="containsText" text="HOLD"/>
    <x:cfRule type="containsText" dxfId="79" priority="5" operator="containsText" text="BLOCKED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29" hidden="0" customWidth="1"/>
    <x:col min="3" max="3" width="15" hidden="0" customWidth="1"/>
    <x:col min="4" max="4" width="15" hidden="0" customWidth="1"/>
    <x:col min="5" max="5" width="47" hidden="0" customWidth="1"/>
    <x:col min="6" max="6" width="20" hidden="0" customWidth="1"/>
    <x:col min="7" max="7" width="12" hidden="0" customWidth="1"/>
    <x:col min="8" max="8" width="34" hidden="0" customWidth="1"/>
    <x:col min="9" max="9" width="24" hidden="0" customWidth="1"/>
    <x:col min="10" max="10" width="35" hidden="0" customWidth="1"/>
    <x:col min="11" max="11" width="12" hidden="0" customWidth="1"/>
  </x:cols>
  <x:sheetData>
    <x:row r="2" ht="18" customHeight="1">
      <x:c r="B2" s="4" t="str">
        <x:v>Nested program cost</x:v>
      </x:c>
      <x:c r="C2" s="3"/>
      <x:c r="D2" s="3"/>
      <x:c r="E2" s="3"/>
      <x:c r="F2" s="3"/>
      <x:c r="G2" s="3"/>
      <x:c r="H2" s="3"/>
      <x:c r="I2" s="3"/>
      <x:c r="J2" s="3"/>
      <x:c r="K2" s="3"/>
    </x:row>
    <x:row r="3" ht="18" customHeight="1">
      <x:c r="B3" s="5" t="str">
        <x:v>MESA-1 and the complete proving network remain inside the Pass 90 USD 1.050 trillion technology portfolio</x:v>
      </x:c>
      <x:c r="C3" s="3"/>
      <x:c r="D3" s="3"/>
      <x:c r="E3" s="3"/>
      <x:c r="F3" s="3"/>
      <x:c r="G3" s="3"/>
      <x:c r="H3" s="3"/>
      <x:c r="I3" s="3"/>
      <x:c r="J3" s="3"/>
      <x:c r="K3" s="3"/>
    </x:row>
    <x:row r="4" ht="18" customHeight="1">
      <x:c r="B4" s="6"/>
      <x:c r="C4" s="6"/>
      <x:c r="D4" s="6"/>
      <x:c r="E4" s="6"/>
      <x:c r="F4" s="6"/>
      <x:c r="G4" s="6"/>
      <x:c r="H4" s="6"/>
      <x:c r="I4" s="6"/>
      <x:c r="J4" s="6"/>
      <x:c r="K4" s="6"/>
    </x:row>
    <x:row r="5" ht="18" customHeight="1">
      <x:c r="B5" s="3"/>
      <x:c r="C5" s="3"/>
      <x:c r="D5" s="3"/>
      <x:c r="E5" s="3"/>
      <x:c r="F5" s="3"/>
      <x:c r="G5" s="3"/>
      <x:c r="H5" s="3"/>
      <x:c r="I5" s="3"/>
      <x:c r="J5" s="3"/>
      <x:c r="K5" s="3"/>
    </x:row>
    <x:row r="6" ht="18" customHeight="1">
      <x:c r="B6" s="17" t="str">
        <x:v>Allocation</x:v>
      </x:c>
      <x:c r="C6" s="18" t="str">
        <x:v>USD B</x:v>
      </x:c>
      <x:c r="D6" s="18" t="str">
        <x:v>Share</x:v>
      </x:c>
      <x:c r="E6" s="18" t="str">
        <x:v>MESA-1 treatment</x:v>
      </x:c>
      <x:c r="F6" s="18" t="str">
        <x:v>Evidence maturity</x:v>
      </x:c>
      <x:c r="G6" s="18" t="str">
        <x:v>State</x:v>
      </x:c>
      <x:c r="H6" s="18" t="str">
        <x:v>Reopen trigger</x:v>
      </x:c>
      <x:c r="I6" s="18" t="str">
        <x:v>Owner</x:v>
      </x:c>
      <x:c r="J6" s="18" t="str">
        <x:v>Boundary</x:v>
      </x:c>
      <x:c r="K6" s="19" t="str">
        <x:v>Control</x:v>
      </x:c>
    </x:row>
    <x:row r="7" ht="24" customHeight="1">
      <x:c r="B7" s="3" t="str">
        <x:v>Facility capital</x:v>
      </x:c>
      <x:c r="C7" s="3" t="n">
        <x:v>350</x:v>
      </x:c>
      <x:c r="D7" s="32" t="n">
        <x:f>C7/C14</x:f>
        <x:v>0.3333333333333333</x:v>
      </x:c>
      <x:c r="E7" s="3" t="str">
        <x:v>F01 is 24; all 49 lines bottom-up reconciled</x:v>
      </x:c>
      <x:c r="F7" s="3" t="str">
        <x:v>allocation only</x:v>
      </x:c>
      <x:c r="G7" s="3" t="str">
        <x:v>OPEN</x:v>
      </x:c>
      <x:c r="H7" s="3" t="str">
        <x:v>bottom-up quote or evidence conflict</x:v>
      </x:c>
      <x:c r="I7" s="3" t="str">
        <x:v>program executive</x:v>
      </x:c>
      <x:c r="J7" s="3" t="str">
        <x:v>not additive to national total</x:v>
      </x:c>
      <x:c r="K7" s="3" t="str">
        <x:f>IF(C7&gt;0,"PASS","FAIL")</x:f>
        <x:v>PASS</x:v>
      </x:c>
    </x:row>
    <x:row r="8" ht="24" customHeight="1">
      <x:c r="B8" s="3" t="str">
        <x:v>Development articles</x:v>
      </x:c>
      <x:c r="C8" s="3" t="n">
        <x:v>250</x:v>
      </x:c>
      <x:c r="D8" s="32" t="n">
        <x:f>C8/C14</x:f>
        <x:v>0.23809523809523808</x:v>
      </x:c>
      <x:c r="E8" s="3" t="str">
        <x:v>496 development tiles; attrition increment absorbs inside allocation</x:v>
      </x:c>
      <x:c r="F8" s="3" t="str">
        <x:v>allocation only</x:v>
      </x:c>
      <x:c r="G8" s="3" t="str">
        <x:v>OPEN</x:v>
      </x:c>
      <x:c r="H8" s="3" t="str">
        <x:v>bottom-up quote or evidence conflict</x:v>
      </x:c>
      <x:c r="I8" s="3" t="str">
        <x:v>program executive</x:v>
      </x:c>
      <x:c r="J8" s="3" t="str">
        <x:v>not additive to national total</x:v>
      </x:c>
      <x:c r="K8" s="3" t="str">
        <x:f>IF(C8&gt;0,"PASS","FAIL")</x:f>
        <x:v>PASS</x:v>
      </x:c>
    </x:row>
    <x:row r="9" ht="24" customHeight="1">
      <x:c r="B9" s="3" t="str">
        <x:v>Workforce</x:v>
      </x:c>
      <x:c r="C9" s="3" t="n">
        <x:v>210</x:v>
      </x:c>
      <x:c r="D9" s="32" t="n">
        <x:f>C9/C14</x:f>
        <x:v>0.2</x:v>
      </x:c>
      <x:c r="E9" s="3" t="str">
        <x:v>independent authorities and permanent technical service</x:v>
      </x:c>
      <x:c r="F9" s="3" t="str">
        <x:v>allocation only</x:v>
      </x:c>
      <x:c r="G9" s="3" t="str">
        <x:v>OPEN</x:v>
      </x:c>
      <x:c r="H9" s="3" t="str">
        <x:v>bottom-up quote or evidence conflict</x:v>
      </x:c>
      <x:c r="I9" s="3" t="str">
        <x:v>program executive</x:v>
      </x:c>
      <x:c r="J9" s="3" t="str">
        <x:v>not additive to national total</x:v>
      </x:c>
      <x:c r="K9" s="3" t="str">
        <x:f>IF(C9&gt;0,"PASS","FAIL")</x:f>
        <x:v>PASS</x:v>
      </x:c>
    </x:row>
    <x:row r="10" ht="24" customHeight="1">
      <x:c r="B10" s="3" t="str">
        <x:v>Full-mission campaigns</x:v>
      </x:c>
      <x:c r="C10" s="3" t="n">
        <x:v>110</x:v>
      </x:c>
      <x:c r="D10" s="32" t="n">
        <x:f>C10/C14</x:f>
        <x:v>0.10476190476190476</x:v>
      </x:c>
      <x:c r="E10" s="3" t="str">
        <x:v>two hundred 168-hour missions</x:v>
      </x:c>
      <x:c r="F10" s="3" t="str">
        <x:v>allocation only</x:v>
      </x:c>
      <x:c r="G10" s="3" t="str">
        <x:v>OPEN</x:v>
      </x:c>
      <x:c r="H10" s="3" t="str">
        <x:v>bottom-up quote or evidence conflict</x:v>
      </x:c>
      <x:c r="I10" s="3" t="str">
        <x:v>program executive</x:v>
      </x:c>
      <x:c r="J10" s="3" t="str">
        <x:v>not additive to national total</x:v>
      </x:c>
      <x:c r="K10" s="3" t="str">
        <x:f>IF(C10&gt;0,"PASS","FAIL")</x:f>
        <x:v>PASS</x:v>
      </x:c>
    </x:row>
    <x:row r="11" ht="24" customHeight="1">
      <x:c r="B11" s="3" t="str">
        <x:v>Independent replication</x:v>
      </x:c>
      <x:c r="C11" s="3" t="n">
        <x:v>45</x:v>
      </x:c>
      <x:c r="D11" s="32" t="n">
        <x:f>C11/C14</x:f>
        <x:v>0.04285714285714286</x:v>
      </x:c>
      <x:c r="E11" s="3" t="str">
        <x:v>separate builds methods and analysis</x:v>
      </x:c>
      <x:c r="F11" s="3" t="str">
        <x:v>allocation only</x:v>
      </x:c>
      <x:c r="G11" s="3" t="str">
        <x:v>OPEN</x:v>
      </x:c>
      <x:c r="H11" s="3" t="str">
        <x:v>bottom-up quote or evidence conflict</x:v>
      </x:c>
      <x:c r="I11" s="3" t="str">
        <x:v>program executive</x:v>
      </x:c>
      <x:c r="J11" s="3" t="str">
        <x:v>not additive to national total</x:v>
      </x:c>
      <x:c r="K11" s="3" t="str">
        <x:f>IF(C11&gt;0,"PASS","FAIL")</x:f>
        <x:v>PASS</x:v>
      </x:c>
    </x:row>
    <x:row r="12" ht="24" customHeight="1">
      <x:c r="B12" s="3" t="str">
        <x:v>Pilot service</x:v>
      </x:c>
      <x:c r="C12" s="3" t="n">
        <x:v>60</x:v>
      </x:c>
      <x:c r="D12" s="32" t="n">
        <x:f>C12/C14</x:f>
        <x:v>0.05714285714285714</x:v>
      </x:c>
      <x:c r="E12" s="3" t="str">
        <x:v>receiver operations and bounded public trials</x:v>
      </x:c>
      <x:c r="F12" s="3" t="str">
        <x:v>allocation only</x:v>
      </x:c>
      <x:c r="G12" s="3" t="str">
        <x:v>OPEN</x:v>
      </x:c>
      <x:c r="H12" s="3" t="str">
        <x:v>bottom-up quote or evidence conflict</x:v>
      </x:c>
      <x:c r="I12" s="3" t="str">
        <x:v>program executive</x:v>
      </x:c>
      <x:c r="J12" s="3" t="str">
        <x:v>not additive to national total</x:v>
      </x:c>
      <x:c r="K12" s="3" t="str">
        <x:f>IF(C12&gt;0,"PASS","FAIL")</x:f>
        <x:v>PASS</x:v>
      </x:c>
    </x:row>
    <x:row r="13" ht="24" customHeight="1">
      <x:c r="B13" s="3" t="str">
        <x:v>Portfolio reserve</x:v>
      </x:c>
      <x:c r="C13" s="3" t="n">
        <x:v>25</x:v>
      </x:c>
      <x:c r="D13" s="32" t="n">
        <x:f>C13/C14</x:f>
        <x:v>0.023809523809523808</x:v>
      </x:c>
      <x:c r="E13" s="3" t="str">
        <x:v>cross-program uncertainty and failure recovery</x:v>
      </x:c>
      <x:c r="F13" s="3" t="str">
        <x:v>allocation only</x:v>
      </x:c>
      <x:c r="G13" s="3" t="str">
        <x:v>OPEN</x:v>
      </x:c>
      <x:c r="H13" s="3" t="str">
        <x:v>bottom-up quote or evidence conflict</x:v>
      </x:c>
      <x:c r="I13" s="3" t="str">
        <x:v>program executive</x:v>
      </x:c>
      <x:c r="J13" s="3" t="str">
        <x:v>not additive to national total</x:v>
      </x:c>
      <x:c r="K13" s="3" t="str">
        <x:f>IF(C13&gt;0,"PASS","FAIL")</x:f>
        <x:v>PASS</x:v>
      </x:c>
    </x:row>
    <x:row r="14" ht="18" customHeight="1">
      <x:c r="B14" s="3" t="str">
        <x:v>TOTAL</x:v>
      </x:c>
      <x:c r="C14" s="3" t="n">
        <x:f>SUM(C7:C13)</x:f>
        <x:v>1050</x:v>
      </x:c>
      <x:c r="D14" s="3" t="n">
        <x:v>0</x:v>
      </x:c>
      <x:c r="E14" s="3" t="str"/>
      <x:c r="F14" s="3" t="str"/>
      <x:c r="G14" s="3" t="str"/>
      <x:c r="H14" s="3" t="str"/>
      <x:c r="I14" s="3" t="str"/>
      <x:c r="J14" s="3" t="str"/>
      <x:c r="K14" s="3" t="str">
        <x:f>IF(C14=Assumptions!C48,"PASS","FAIL")</x:f>
        <x:v>PASS</x:v>
      </x:c>
    </x:row>
    <x:row r="15" ht="18" customHeight="1"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 ht="18" customHeight="1">
      <x:c r="B16" s="3"/>
      <x:c r="C16" s="3"/>
      <x:c r="D16" s="3"/>
      <x:c r="E16" s="3"/>
      <x:c r="F16" s="3"/>
      <x:c r="G16" s="3"/>
      <x:c r="H16" s="3"/>
      <x:c r="I16" s="3"/>
      <x:c r="J16" s="3"/>
      <x:c r="K16" s="3"/>
    </x:row>
    <x:row r="17" ht="18" customHeight="1">
      <x:c r="B17" s="9" t="str">
        <x:v>Non-additivity checks</x:v>
      </x:c>
      <x:c r="C17" s="10" t="str">
        <x:v>Non-additivity checks</x:v>
      </x:c>
      <x:c r="D17" s="10" t="str">
        <x:v>Non-additivity checks</x:v>
      </x:c>
      <x:c r="E17" s="10" t="str">
        <x:v>Non-additivity checks</x:v>
      </x:c>
      <x:c r="F17" s="10" t="str">
        <x:v>Non-additivity checks</x:v>
      </x:c>
      <x:c r="G17" s="10" t="str">
        <x:v>Non-additivity checks</x:v>
      </x:c>
      <x:c r="H17" s="10" t="str">
        <x:v>Non-additivity checks</x:v>
      </x:c>
      <x:c r="I17" s="10" t="str">
        <x:v>Non-additivity checks</x:v>
      </x:c>
      <x:c r="J17" s="10" t="str">
        <x:v>Non-additivity checks</x:v>
      </x:c>
      <x:c r="K17" s="11" t="str">
        <x:v>Non-additivity checks</x:v>
      </x:c>
    </x:row>
    <x:row r="18" ht="18" customHeight="1">
      <x:c r="B18" s="17" t="str">
        <x:v>Check</x:v>
      </x:c>
      <x:c r="C18" s="18" t="str">
        <x:v>Observed USD B</x:v>
      </x:c>
      <x:c r="D18" s="18" t="str">
        <x:v>Required USD B</x:v>
      </x:c>
      <x:c r="E18" s="18" t="str">
        <x:v>Interpretation</x:v>
      </x:c>
      <x:c r="F18" s="19" t="str">
        <x:v>Result</x:v>
      </x:c>
      <x:c r="G18" s="3"/>
      <x:c r="H18" s="3"/>
      <x:c r="I18" s="3"/>
      <x:c r="J18" s="3"/>
      <x:c r="K18" s="3"/>
    </x:row>
    <x:row r="19" ht="18" customHeight="1">
      <x:c r="B19" s="3" t="str">
        <x:v>F01 inside facility</x:v>
      </x:c>
      <x:c r="C19" s="3" t="n">
        <x:f>'F01 Cost'!E18</x:f>
        <x:v>24.000000000000004</x:v>
      </x:c>
      <x:c r="D19" s="3" t="n">
        <x:v>24</x:v>
      </x:c>
      <x:c r="E19" s="3" t="str">
        <x:v>not a new line above facility capital</x:v>
      </x:c>
      <x:c r="F19" s="3" t="str">
        <x:f>IF(C19=D19,"PASS","FAIL")</x:f>
        <x:v>PASS</x:v>
      </x:c>
      <x:c r="G19" s="3"/>
      <x:c r="H19" s="3"/>
      <x:c r="I19" s="3"/>
      <x:c r="J19" s="3"/>
      <x:c r="K19" s="3"/>
    </x:row>
    <x:row r="20" ht="18" customHeight="1">
      <x:c r="B20" s="3" t="str">
        <x:v>Facilities inside portfolio</x:v>
      </x:c>
      <x:c r="C20" s="3" t="n">
        <x:f>'Facility Build'!F56</x:f>
        <x:v>350</x:v>
      </x:c>
      <x:c r="D20" s="3" t="n">
        <x:v>350</x:v>
      </x:c>
      <x:c r="E20" s="3" t="str">
        <x:v>not a new national authorization</x:v>
      </x:c>
      <x:c r="F20" s="3" t="str">
        <x:f>IF(C20=D20,"PASS","FAIL")</x:f>
        <x:v>PASS</x:v>
      </x:c>
      <x:c r="G20" s="3"/>
      <x:c r="H20" s="3"/>
      <x:c r="I20" s="3"/>
      <x:c r="J20" s="3"/>
      <x:c r="K20" s="3"/>
    </x:row>
    <x:row r="21" ht="18" customHeight="1">
      <x:c r="B21" s="3" t="str">
        <x:v>Portfolio unchanged</x:v>
      </x:c>
      <x:c r="C21" s="3" t="n">
        <x:f>C14</x:f>
        <x:v>1050</x:v>
      </x:c>
      <x:c r="D21" s="3" t="n">
        <x:v>1050</x:v>
      </x:c>
      <x:c r="E21" s="3" t="str">
        <x:v>Pass 91 reallocates detail only</x:v>
      </x:c>
      <x:c r="F21" s="3" t="str">
        <x:f>IF(C21=D21,"PASS","FAIL")</x:f>
        <x:v>PASS</x:v>
      </x:c>
      <x:c r="G21" s="3"/>
      <x:c r="H21" s="3"/>
      <x:c r="I21" s="3"/>
      <x:c r="J21" s="3"/>
      <x:c r="K21" s="3"/>
    </x:row>
    <x:row r="22" ht="18" customHeight="1">
      <x:c r="B22" s="3" t="str">
        <x:v>Attrition increment</x:v>
      </x:c>
      <x:c r="C22" s="3" t="n">
        <x:v>0</x:v>
      </x:c>
      <x:c r="D22" s="3" t="n">
        <x:v>0</x:v>
      </x:c>
      <x:c r="E22" s="3" t="str">
        <x:v>absorbed in development allocation; reopen on vendor quote</x:v>
      </x:c>
      <x:c r="F22" s="3" t="str">
        <x:v>PASS</x:v>
      </x:c>
      <x:c r="G22" s="3"/>
      <x:c r="H22" s="3"/>
      <x:c r="I22" s="3"/>
      <x:c r="J22" s="3"/>
      <x:c r="K22" s="3"/>
    </x:row>
    <x:row r="23" ht="18" customHeight="1">
      <x:c r="B23" s="3"/>
      <x:c r="C23" s="3"/>
      <x:c r="D23" s="3"/>
      <x:c r="E23" s="3"/>
      <x:c r="F23" s="3"/>
      <x:c r="G23" s="3"/>
      <x:c r="H23" s="3"/>
      <x:c r="I23" s="3"/>
      <x:c r="J23" s="3"/>
      <x:c r="K23" s="3"/>
    </x:row>
    <x:row r="24" ht="18" customHeight="1">
      <x:c r="B24" s="3"/>
      <x:c r="C24" s="3"/>
      <x:c r="D24" s="3"/>
      <x:c r="E24" s="3"/>
      <x:c r="F24" s="3"/>
      <x:c r="G24" s="3"/>
      <x:c r="H24" s="3"/>
      <x:c r="I24" s="3"/>
      <x:c r="J24" s="3"/>
      <x:c r="K24" s="3"/>
    </x:row>
    <x:row r="25" ht="18" customHeight="1">
      <x:c r="B25" s="3"/>
      <x:c r="C25" s="3"/>
      <x:c r="D25" s="3"/>
      <x:c r="E25" s="3"/>
      <x:c r="F25" s="3"/>
      <x:c r="G25" s="3"/>
      <x:c r="H25" s="3"/>
      <x:c r="I25" s="3"/>
      <x:c r="J25" s="3"/>
      <x:c r="K25" s="3"/>
    </x:row>
    <x:row r="26" ht="18" customHeight="1"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18" customHeight="1">
      <x:c r="B27" s="3"/>
      <x:c r="C27" s="3"/>
      <x:c r="D27" s="3"/>
      <x:c r="E27" s="3"/>
      <x:c r="F27" s="3"/>
      <x:c r="G27" s="3"/>
      <x:c r="H27" s="3"/>
      <x:c r="I27" s="3"/>
      <x:c r="J27" s="3"/>
      <x:c r="K27" s="3"/>
    </x:row>
    <x:row r="28" ht="18" customHeight="1"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</x:sheetData>
  <x:mergeCells>
    <x:mergeCell ref="B2:H2"/>
    <x:mergeCell ref="B3:K3"/>
    <x:mergeCell ref="B17:K17"/>
  </x:mergeCells>
  <x:conditionalFormatting sqref="G7:G13">
    <x:cfRule type="containsText" dxfId="80" priority="1" operator="containsText" text="FAIL"/>
    <x:cfRule type="containsText" dxfId="81" priority="2" operator="containsText" text="PASS"/>
    <x:cfRule type="containsText" dxfId="82" priority="3" operator="containsText" text="OPEN"/>
    <x:cfRule type="containsText" dxfId="83" priority="4" operator="containsText" text="HOLD"/>
    <x:cfRule type="containsText" dxfId="84" priority="5" operator="containsText" text="BLOCKED"/>
  </x:conditionalFormatting>
  <x:conditionalFormatting sqref="K7:K14">
    <x:cfRule type="containsText" dxfId="85" priority="6" operator="containsText" text="FAIL"/>
    <x:cfRule type="containsText" dxfId="86" priority="7" operator="containsText" text="PASS"/>
    <x:cfRule type="containsText" dxfId="87" priority="8" operator="containsText" text="OPEN"/>
    <x:cfRule type="containsText" dxfId="88" priority="9" operator="containsText" text="HOLD"/>
    <x:cfRule type="containsText" dxfId="89" priority="10" operator="containsText" text="BLOCKED"/>
  </x:conditionalFormatting>
  <x:conditionalFormatting sqref="F19:F22">
    <x:cfRule type="containsText" dxfId="90" priority="11" operator="containsText" text="FAIL"/>
    <x:cfRule type="containsText" dxfId="91" priority="12" operator="containsText" text="PASS"/>
    <x:cfRule type="containsText" dxfId="92" priority="13" operator="containsText" text="OPEN"/>
    <x:cfRule type="containsText" dxfId="93" priority="14" operator="containsText" text="HOLD"/>
    <x:cfRule type="containsText" dxfId="94" priority="15" operator="containsText" text="BLOCKED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2" hidden="0" customWidth="1"/>
    <x:col min="3" max="3" width="58" hidden="0" customWidth="1"/>
    <x:col min="4" max="4" width="38" hidden="0" customWidth="1"/>
    <x:col min="5" max="5" width="30" hidden="0" customWidth="1"/>
    <x:col min="6" max="6" width="17" hidden="0" customWidth="1"/>
    <x:col min="7" max="7" width="14" hidden="0" customWidth="1"/>
    <x:col min="8" max="8" width="14" hidden="0" customWidth="1"/>
    <x:col min="9" max="9" width="34" hidden="0" customWidth="1"/>
    <x:col min="10" max="10" width="23" hidden="0" customWidth="1"/>
    <x:col min="11" max="11" width="18" hidden="0" customWidth="1"/>
    <x:col min="12" max="12" width="16" hidden="0" customWidth="1"/>
    <x:col min="13" max="13" width="16" hidden="0" customWidth="1"/>
  </x:cols>
  <x:sheetData>
    <x:row r="2" ht="18" customHeight="1">
      <x:c r="B2" s="4" t="str">
        <x:v>Decision gates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ht="18" customHeight="1">
      <x:c r="B3" s="5" t="str">
        <x:v>MESA-1 is a selected behavior architecture with zero earned physical evidence; production and renderings remain blocked</x:v>
      </x:c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 ht="18" customHeight="1"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</x:row>
    <x:row r="5" ht="18" customHeight="1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</x:row>
    <x:row r="6" ht="18" customHeight="1">
      <x:c r="B6" s="23" t="str">
        <x:v>Gate</x:v>
      </x:c>
      <x:c r="C6" s="24" t="str">
        <x:v>Question</x:v>
      </x:c>
      <x:c r="D6" s="24" t="str">
        <x:v>Required artifact</x:v>
      </x:c>
      <x:c r="E6" s="24" t="str">
        <x:v>Quantitative rule</x:v>
      </x:c>
      <x:c r="F6" s="24" t="str">
        <x:v>Model result</x:v>
      </x:c>
      <x:c r="G6" s="24" t="str">
        <x:v>Evidence state</x:v>
      </x:c>
      <x:c r="H6" s="24" t="str">
        <x:v>Decision</x:v>
      </x:c>
      <x:c r="I6" s="24" t="str">
        <x:v>Failure consequence</x:v>
      </x:c>
      <x:c r="J6" s="24" t="str">
        <x:v>Authority</x:v>
      </x:c>
      <x:c r="K6" s="24" t="str">
        <x:v>Dependency</x:v>
      </x:c>
      <x:c r="L6" s="24" t="str">
        <x:v>Earliest stage</x:v>
      </x:c>
      <x:c r="M6" s="24" t="str">
        <x:v>Rendering effect</x:v>
      </x:c>
    </x:row>
    <x:row r="7" ht="32" customHeight="1">
      <x:c r="B7" s="25" t="str">
        <x:v>M1</x:v>
      </x:c>
      <x:c r="C7" s="25" t="str">
        <x:v>Can independent planes observe without actuation?</x:v>
      </x:c>
      <x:c r="D7" s="25" t="str">
        <x:v>NC01-NC18 witnessed trials</x:v>
      </x:c>
      <x:c r="E7" s="25" t="str">
        <x:v>18 of 18 controls closed</x:v>
      </x:c>
      <x:c r="F7" s="25" t="str">
        <x:v>architecture defined</x:v>
      </x:c>
      <x:c r="G7" s="25" t="str">
        <x:v>OPEN</x:v>
      </x:c>
      <x:c r="H7" s="25" t="str">
        <x:v>HOLD</x:v>
      </x:c>
      <x:c r="I7" s="25" t="str">
        <x:v>redesign taps power and interfaces</x:v>
      </x:c>
      <x:c r="J7" s="25" t="str">
        <x:v>evidence authority</x:v>
      </x:c>
      <x:c r="K7" s="25" t="str">
        <x:v>qualification</x:v>
      </x:c>
      <x:c r="L7" s="25" t="str">
        <x:v>G3</x:v>
      </x:c>
      <x:c r="M7" s="27" t="str">
        <x:v>BLOCKED</x:v>
      </x:c>
    </x:row>
    <x:row r="8" ht="32" customHeight="1">
      <x:c r="B8" s="25" t="str">
        <x:v>M2</x:v>
      </x:c>
      <x:c r="C8" s="25" t="str">
        <x:v>Can time evidence protect the terrain service margin?</x:v>
      </x:c>
      <x:c r="D8" s="25" t="str">
        <x:v>traceable event grammar and holdover trial</x:v>
      </x:c>
      <x:c r="E8" s="25" t="str">
        <x:v>MESA-1 U95 at most half margin</x:v>
      </x:c>
      <x:c r="F8" s="25" t="str">
        <x:v>model PASS</x:v>
      </x:c>
      <x:c r="G8" s="25" t="str">
        <x:v>OPEN</x:v>
      </x:c>
      <x:c r="H8" s="25" t="str">
        <x:v>HOLD</x:v>
      </x:c>
      <x:c r="I8" s="25" t="str">
        <x:v>expand margin or improve event witnesses</x:v>
      </x:c>
      <x:c r="J8" s="25" t="str">
        <x:v>time authority</x:v>
      </x:c>
      <x:c r="K8" s="25" t="str">
        <x:v>M1</x:v>
      </x:c>
      <x:c r="L8" s="25" t="str">
        <x:v>G4</x:v>
      </x:c>
      <x:c r="M8" s="27" t="str">
        <x:v>BLOCKED</x:v>
      </x:c>
    </x:row>
    <x:row r="9" ht="32" customHeight="1">
      <x:c r="B9" s="25" t="str">
        <x:v>M3</x:v>
      </x:c>
      <x:c r="C9" s="25" t="str">
        <x:v>Can dynamic-soil pressure be discriminated?</x:v>
      </x:c>
      <x:c r="D9" s="25" t="str">
        <x:v>pressure skin and witness-grid campaign</x:v>
      </x:c>
      <x:c r="E9" s="25" t="str">
        <x:v>MESA-1 U95 at most half margin</x:v>
      </x:c>
      <x:c r="F9" s="25" t="str">
        <x:v>model PASS</x:v>
      </x:c>
      <x:c r="G9" s="25" t="str">
        <x:v>OPEN</x:v>
      </x:c>
      <x:c r="H9" s="25" t="str">
        <x:v>HOLD</x:v>
      </x:c>
      <x:c r="I9" s="25" t="str">
        <x:v>rebuild terrain sensing or increase margin</x:v>
      </x:c>
      <x:c r="J9" s="25" t="str">
        <x:v>terrain evidence</x:v>
      </x:c>
      <x:c r="K9" s="25" t="str">
        <x:v>M1</x:v>
      </x:c>
      <x:c r="L9" s="25" t="str">
        <x:v>G4</x:v>
      </x:c>
      <x:c r="M9" s="27" t="str">
        <x:v>BLOCKED</x:v>
      </x:c>
    </x:row>
    <x:row r="10" ht="32" customHeight="1">
      <x:c r="B10" s="25" t="str">
        <x:v>M4</x:v>
      </x:c>
      <x:c r="C10" s="25" t="str">
        <x:v>Can every mission survive network and GNSS denial?</x:v>
      </x:c>
      <x:c r="D10" s="25" t="str">
        <x:v>local retention and custody closeout</x:v>
      </x:c>
      <x:c r="E10" s="25" t="str">
        <x:v>all nodes retain complete interval</x:v>
      </x:c>
      <x:c r="F10" s="25" t="str">
        <x:v>model PASS</x:v>
      </x:c>
      <x:c r="G10" s="25" t="str">
        <x:v>OPEN</x:v>
      </x:c>
      <x:c r="H10" s="25" t="str">
        <x:v>HOLD</x:v>
      </x:c>
      <x:c r="I10" s="25" t="str">
        <x:v>mission receives zero credit</x:v>
      </x:c>
      <x:c r="J10" s="25" t="str">
        <x:v>trial authority</x:v>
      </x:c>
      <x:c r="K10" s="25" t="str">
        <x:v>M1</x:v>
      </x:c>
      <x:c r="L10" s="25" t="str">
        <x:v>G5</x:v>
      </x:c>
      <x:c r="M10" s="27" t="str">
        <x:v>BLOCKED</x:v>
      </x:c>
    </x:row>
    <x:row r="11" ht="32" customHeight="1">
      <x:c r="B11" s="25" t="str">
        <x:v>M5</x:v>
      </x:c>
      <x:c r="C11" s="25" t="str">
        <x:v>Are destructive and quarantine banks sufficient?</x:v>
      </x:c>
      <x:c r="D11" s="25" t="str">
        <x:v>serial-level disposition register</x:v>
      </x:c>
      <x:c r="E11" s="25" t="str">
        <x:v>18 attrition tiles per mode available</x:v>
      </x:c>
      <x:c r="F11" s="25" t="str">
        <x:v>model PASS</x:v>
      </x:c>
      <x:c r="G11" s="25" t="str">
        <x:v>OPEN</x:v>
      </x:c>
      <x:c r="H11" s="25" t="str">
        <x:v>HOLD</x:v>
      </x:c>
      <x:c r="I11" s="25" t="str">
        <x:v>fund and build replacement articles</x:v>
      </x:c>
      <x:c r="J11" s="25" t="str">
        <x:v>article authority</x:v>
      </x:c>
      <x:c r="K11" s="25" t="str">
        <x:v>M1</x:v>
      </x:c>
      <x:c r="L11" s="25" t="str">
        <x:v>G3</x:v>
      </x:c>
      <x:c r="M11" s="27" t="str">
        <x:v>BLOCKED</x:v>
      </x:c>
    </x:row>
    <x:row r="12" ht="32" customHeight="1">
      <x:c r="B12" s="25" t="str">
        <x:v>M6</x:v>
      </x:c>
      <x:c r="C12" s="25" t="str">
        <x:v>Does F01 reconcile to facility capital?</x:v>
      </x:c>
      <x:c r="D12" s="25" t="str">
        <x:v>bottom-up awarded work packages</x:v>
      </x:c>
      <x:c r="E12" s="25" t="str">
        <x:v>F01 equals USD 24B</x:v>
      </x:c>
      <x:c r="F12" s="25" t="str">
        <x:v>model PASS</x:v>
      </x:c>
      <x:c r="G12" s="25" t="str">
        <x:v>OPEN</x:v>
      </x:c>
      <x:c r="H12" s="25" t="str">
        <x:v>HOLD</x:v>
      </x:c>
      <x:c r="I12" s="25" t="str">
        <x:v>reopen facility allocation</x:v>
      </x:c>
      <x:c r="J12" s="25" t="str">
        <x:v>cost evidence board</x:v>
      </x:c>
      <x:c r="K12" s="25" t="str">
        <x:v>M1</x:v>
      </x:c>
      <x:c r="L12" s="25" t="str">
        <x:v>G2</x:v>
      </x:c>
      <x:c r="M12" s="27" t="str">
        <x:v>BLOCKED</x:v>
      </x:c>
    </x:row>
    <x:row r="13" ht="32" customHeight="1">
      <x:c r="B13" s="25" t="str">
        <x:v>M7</x:v>
      </x:c>
      <x:c r="C13" s="25" t="str">
        <x:v>Does the full facility network reconcile?</x:v>
      </x:c>
      <x:c r="D13" s="25" t="str">
        <x:v>forty-nine quoted line items</x:v>
      </x:c>
      <x:c r="E13" s="25" t="str">
        <x:v>facility total equals USD 350B</x:v>
      </x:c>
      <x:c r="F13" s="25" t="str">
        <x:v>model PASS</x:v>
      </x:c>
      <x:c r="G13" s="25" t="str">
        <x:v>OPEN</x:v>
      </x:c>
      <x:c r="H13" s="25" t="str">
        <x:v>HOLD</x:v>
      </x:c>
      <x:c r="I13" s="25" t="str">
        <x:v>reopen portfolio</x:v>
      </x:c>
      <x:c r="J13" s="25" t="str">
        <x:v>cost evidence board</x:v>
      </x:c>
      <x:c r="K13" s="25" t="str">
        <x:v>M6</x:v>
      </x:c>
      <x:c r="L13" s="25" t="str">
        <x:v>G2</x:v>
      </x:c>
      <x:c r="M13" s="27" t="str">
        <x:v>BLOCKED</x:v>
      </x:c>
    </x:row>
    <x:row r="14" ht="32" customHeight="1">
      <x:c r="B14" s="25" t="str">
        <x:v>M8</x:v>
      </x:c>
      <x:c r="C14" s="25" t="str">
        <x:v>May production geometry be frozen?</x:v>
      </x:c>
      <x:c r="D14" s="25" t="str">
        <x:v>all behavior and physical gates closed</x:v>
      </x:c>
      <x:c r="E14" s="25" t="str">
        <x:v>no OPEN evidence gates</x:v>
      </x:c>
      <x:c r="F14" s="25" t="str">
        <x:v>not satisfied</x:v>
      </x:c>
      <x:c r="G14" s="25" t="str">
        <x:v>OPEN</x:v>
      </x:c>
      <x:c r="H14" s="25" t="str">
        <x:v>HOLD</x:v>
      </x:c>
      <x:c r="I14" s="25" t="str">
        <x:v>continue competitive prototypes</x:v>
      </x:c>
      <x:c r="J14" s="25" t="str">
        <x:v>requirements authority</x:v>
      </x:c>
      <x:c r="K14" s="25" t="str">
        <x:v>M1-M7</x:v>
      </x:c>
      <x:c r="L14" s="25" t="str">
        <x:v>G8</x:v>
      </x:c>
      <x:c r="M14" s="27" t="str">
        <x:v>BLOCKED</x:v>
      </x:c>
    </x:row>
    <x:row r="15" ht="32" customHeight="1">
      <x:c r="B15" s="29" t="str">
        <x:v>M9</x:v>
      </x:c>
      <x:c r="C15" s="29" t="str">
        <x:v>May exterior rendering begin?</x:v>
      </x:c>
      <x:c r="D15" s="29" t="str">
        <x:v>measured mass volume access rejection and hazard envelopes</x:v>
      </x:c>
      <x:c r="E15" s="29" t="str">
        <x:v>rendering authorization equals one</x:v>
      </x:c>
      <x:c r="F15" s="29" t="str">
        <x:v>not satisfied</x:v>
      </x:c>
      <x:c r="G15" s="29" t="str">
        <x:v>OPEN</x:v>
      </x:c>
      <x:c r="H15" s="29" t="str">
        <x:v>HOLD</x:v>
      </x:c>
      <x:c r="I15" s="29" t="str">
        <x:v>retain diagram prohibition</x:v>
      </x:c>
      <x:c r="J15" s="29" t="str">
        <x:v>requirements authority</x:v>
      </x:c>
      <x:c r="K15" s="29" t="str">
        <x:v>M8</x:v>
      </x:c>
      <x:c r="L15" s="29" t="str">
        <x:v>after G8</x:v>
      </x:c>
      <x:c r="M15" s="31" t="str">
        <x:v>BLOCKED</x:v>
      </x:c>
    </x:row>
    <x:row r="16" ht="18" customHeight="1"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</x:row>
    <x:row r="17" ht="18" customHeight="1"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</x:row>
    <x:row r="18" ht="18" customHeight="1">
      <x:c r="B18" s="9" t="str">
        <x:v>Current decision</x:v>
      </x:c>
      <x:c r="C18" s="10" t="str">
        <x:v>Current decision</x:v>
      </x:c>
      <x:c r="D18" s="10" t="str">
        <x:v>Current decision</x:v>
      </x:c>
      <x:c r="E18" s="10" t="str">
        <x:v>Current decision</x:v>
      </x:c>
      <x:c r="F18" s="10" t="str">
        <x:v>Current decision</x:v>
      </x:c>
      <x:c r="G18" s="10" t="str">
        <x:v>Current decision</x:v>
      </x:c>
      <x:c r="H18" s="10" t="str">
        <x:v>Current decision</x:v>
      </x:c>
      <x:c r="I18" s="10" t="str">
        <x:v>Current decision</x:v>
      </x:c>
      <x:c r="J18" s="10" t="str">
        <x:v>Current decision</x:v>
      </x:c>
      <x:c r="K18" s="10" t="str">
        <x:v>Current decision</x:v>
      </x:c>
      <x:c r="L18" s="10" t="str">
        <x:v>Current decision</x:v>
      </x:c>
      <x:c r="M18" s="11" t="str">
        <x:v>Current decision</x:v>
      </x:c>
    </x:row>
    <x:row r="19" ht="38" customHeight="1">
      <x:c r="B19" s="3" t="str">
        <x:v>Selected</x:v>
      </x:c>
      <x:c r="C19" s="3" t="str">
        <x:v>MESA-1 three-plane behavior architecture; distributed terrain pressure skin; local-first evidence fabric</x:v>
      </x:c>
      <x:c r="D19" s="3" t="str"/>
      <x:c r="E19" s="3" t="str"/>
      <x:c r="F19" s="3" t="str"/>
      <x:c r="G19" s="3" t="str"/>
      <x:c r="H19" s="3" t="str"/>
      <x:c r="I19" s="3" t="str"/>
      <x:c r="J19" s="3" t="str"/>
      <x:c r="K19" s="3" t="str"/>
      <x:c r="L19" s="3" t="str"/>
      <x:c r="M19" s="3" t="str"/>
    </x:row>
    <x:row r="20" ht="38" customHeight="1">
      <x:c r="B20" s="3" t="str">
        <x:v>Corrected</x:v>
      </x:c>
      <x:c r="C20" s="3" t="str">
        <x:v>development inventory rises from 480 to 496; total inventory rises from 6156 to 6172</x:v>
      </x:c>
      <x:c r="D20" s="3" t="str"/>
      <x:c r="E20" s="3" t="str"/>
      <x:c r="F20" s="3" t="str"/>
      <x:c r="G20" s="3" t="str"/>
      <x:c r="H20" s="3" t="str"/>
      <x:c r="I20" s="3" t="str"/>
      <x:c r="J20" s="3" t="str"/>
      <x:c r="K20" s="3" t="str"/>
      <x:c r="L20" s="3" t="str"/>
      <x:c r="M20" s="3" t="str"/>
    </x:row>
    <x:row r="21" ht="38" customHeight="1">
      <x:c r="B21" s="3" t="str">
        <x:v>Unchanged</x:v>
      </x:c>
      <x:c r="C21" s="3" t="str">
        <x:v>USD 1.050T portfolio; USD 350B facility allocation; production HOLD</x:v>
      </x:c>
      <x:c r="D21" s="3" t="str"/>
      <x:c r="E21" s="3" t="str"/>
      <x:c r="F21" s="3" t="str"/>
      <x:c r="G21" s="3" t="str"/>
      <x:c r="H21" s="3" t="str"/>
      <x:c r="I21" s="3" t="str"/>
      <x:c r="J21" s="3" t="str"/>
      <x:c r="K21" s="3" t="str"/>
      <x:c r="L21" s="3" t="str"/>
      <x:c r="M21" s="3" t="str"/>
    </x:row>
    <x:row r="22" ht="38" customHeight="1">
      <x:c r="B22" s="3" t="str">
        <x:v>Not selected</x:v>
      </x:c>
      <x:c r="C22" s="3" t="str">
        <x:v>sensor vendor, site, software implementation, platform geometry or public service doctrine</x:v>
      </x:c>
      <x:c r="D22" s="3" t="str"/>
      <x:c r="E22" s="3" t="str"/>
      <x:c r="F22" s="3" t="str"/>
      <x:c r="G22" s="3" t="str"/>
      <x:c r="H22" s="3" t="str"/>
      <x:c r="I22" s="3" t="str"/>
      <x:c r="J22" s="3" t="str"/>
      <x:c r="K22" s="3" t="str"/>
      <x:c r="L22" s="3" t="str"/>
      <x:c r="M22" s="3" t="str"/>
    </x:row>
    <x:row r="23" ht="38" customHeight="1">
      <x:c r="B23" s="3" t="str">
        <x:v>Rendering</x:v>
      </x:c>
      <x:c r="C23" s="3" t="str">
        <x:v>BLOCKED; measurement envelopes constrain later geometry but do not authorize it</x:v>
      </x:c>
      <x:c r="D23" s="3" t="str"/>
      <x:c r="E23" s="3" t="str"/>
      <x:c r="F23" s="3" t="str"/>
      <x:c r="G23" s="3" t="str"/>
      <x:c r="H23" s="3" t="str"/>
      <x:c r="I23" s="3" t="str"/>
      <x:c r="J23" s="3" t="str"/>
      <x:c r="K23" s="3" t="str"/>
      <x:c r="L23" s="3" t="str"/>
      <x:c r="M23" s="3" t="str"/>
    </x:row>
    <x:row r="24" ht="18" customHeight="1"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</x:row>
    <x:row r="25" ht="18" customHeight="1"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</x:row>
    <x:row r="26" ht="18" customHeight="1"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</x:row>
    <x:row r="27" ht="18" customHeight="1"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</x:row>
    <x:row r="28" ht="18" customHeight="1"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</x:row>
  </x:sheetData>
  <x:mergeCells>
    <x:mergeCell ref="B2:H2"/>
    <x:mergeCell ref="B3:M3"/>
    <x:mergeCell ref="B18:M18"/>
  </x:mergeCells>
  <x:conditionalFormatting sqref="G7:G15">
    <x:cfRule type="containsText" dxfId="95" priority="1" operator="containsText" text="FAIL"/>
    <x:cfRule type="containsText" dxfId="96" priority="2" operator="containsText" text="PASS"/>
    <x:cfRule type="containsText" dxfId="97" priority="3" operator="containsText" text="OPEN"/>
    <x:cfRule type="containsText" dxfId="98" priority="4" operator="containsText" text="HOLD"/>
    <x:cfRule type="containsText" dxfId="99" priority="5" operator="containsText" text="BLOCKED"/>
  </x:conditionalFormatting>
  <x:conditionalFormatting sqref="H7:H15">
    <x:cfRule type="containsText" dxfId="100" priority="6" operator="containsText" text="FAIL"/>
    <x:cfRule type="containsText" dxfId="101" priority="7" operator="containsText" text="PASS"/>
    <x:cfRule type="containsText" dxfId="102" priority="8" operator="containsText" text="OPEN"/>
    <x:cfRule type="containsText" dxfId="103" priority="9" operator="containsText" text="HOLD"/>
    <x:cfRule type="containsText" dxfId="104" priority="10" operator="containsText" text="BLOCKED"/>
  </x:conditionalFormatting>
  <x:conditionalFormatting sqref="M7:M15">
    <x:cfRule type="containsText" dxfId="105" priority="11" operator="containsText" text="FAIL"/>
    <x:cfRule type="containsText" dxfId="106" priority="12" operator="containsText" text="PASS"/>
    <x:cfRule type="containsText" dxfId="107" priority="13" operator="containsText" text="OPEN"/>
    <x:cfRule type="containsText" dxfId="108" priority="14" operator="containsText" text="HOLD"/>
    <x:cfRule type="containsText" dxfId="109" priority="15" operator="containsText" text="BLOCKED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3" hidden="0" customWidth="1"/>
    <x:col min="3" max="3" width="22" hidden="0" customWidth="1"/>
    <x:col min="4" max="4" width="54" hidden="0" customWidth="1"/>
    <x:col min="5" max="5" width="18" hidden="0" customWidth="1"/>
    <x:col min="6" max="6" width="18" hidden="0" customWidth="1"/>
    <x:col min="7" max="7" width="12" hidden="0" customWidth="1"/>
  </x:cols>
  <x:sheetData>
    <x:row r="2" ht="18" customHeight="1">
      <x:c r="B2" s="4" t="str">
        <x:v>Deterministic audit</x:v>
      </x:c>
      <x:c r="C2" s="3"/>
      <x:c r="D2" s="3"/>
      <x:c r="E2" s="3"/>
      <x:c r="F2" s="3"/>
      <x:c r="G2" s="3"/>
    </x:row>
    <x:row r="3" ht="18" customHeight="1">
      <x:c r="B3" s="5" t="str">
        <x:v>Three hundred twenty terminal controls test model arithmetic and deliberate OPEN states; PASS is not physical maturity</x:v>
      </x:c>
      <x:c r="C3" s="3"/>
      <x:c r="D3" s="3"/>
      <x:c r="E3" s="3"/>
      <x:c r="F3" s="3"/>
      <x:c r="G3" s="3"/>
    </x:row>
    <x:row r="4" ht="18" customHeight="1">
      <x:c r="B4" s="6"/>
      <x:c r="C4" s="6"/>
      <x:c r="D4" s="6"/>
      <x:c r="E4" s="6"/>
      <x:c r="F4" s="6"/>
      <x:c r="G4" s="6"/>
    </x:row>
    <x:row r="5" ht="18" customHeight="1">
      <x:c r="B5" s="3"/>
      <x:c r="C5" s="3"/>
      <x:c r="D5" s="3"/>
      <x:c r="E5" s="3"/>
      <x:c r="F5" s="3"/>
      <x:c r="G5" s="3"/>
    </x:row>
    <x:row r="6" ht="18" customHeight="1">
      <x:c r="B6" s="23" t="str">
        <x:v>Control</x:v>
      </x:c>
      <x:c r="C6" s="24" t="str">
        <x:v>Class</x:v>
      </x:c>
      <x:c r="D6" s="24" t="str">
        <x:v>Test</x:v>
      </x:c>
      <x:c r="E6" s="24" t="str">
        <x:v>Observed</x:v>
      </x:c>
      <x:c r="F6" s="24" t="str">
        <x:v>Required</x:v>
      </x:c>
      <x:c r="G6" s="24" t="str">
        <x:v>Result</x:v>
      </x:c>
    </x:row>
    <x:row r="7" ht="18" customHeight="1">
      <x:c r="B7" s="25" t="str">
        <x:v>A001</x:v>
      </x:c>
      <x:c r="C7" s="25" t="str">
        <x:v>channel rate</x:v>
      </x:c>
      <x:c r="D7" s="25" t="str">
        <x:v>AE-01 has positive effective rate</x:v>
      </x:c>
      <x:c r="E7" s="25" t="n">
        <x:f>'Channel Register'!K7</x:f>
        <x:v>0.048</x:v>
      </x:c>
      <x:c r="F7" s="25" t="n">
        <x:v>0</x:v>
      </x:c>
      <x:c r="G7" s="27" t="str">
        <x:f>IF(E7&gt;F7,"PASS","FAIL")</x:f>
        <x:v>PASS</x:v>
      </x:c>
    </x:row>
    <x:row r="8" ht="18" customHeight="1">
      <x:c r="B8" s="25" t="str">
        <x:v>A002</x:v>
      </x:c>
      <x:c r="C8" s="25" t="str">
        <x:v>channel state</x:v>
      </x:c>
      <x:c r="D8" s="25" t="str">
        <x:v>AE-01 remains openly unearned</x:v>
      </x:c>
      <x:c r="E8" s="25" t="n">
        <x:f>IF('Channel Register'!N7="OPEN",1,0)</x:f>
        <x:v>1</x:v>
      </x:c>
      <x:c r="F8" s="25" t="n">
        <x:v>1</x:v>
      </x:c>
      <x:c r="G8" s="27" t="str">
        <x:f>IF(E8=F8,"PASS","FAIL")</x:f>
        <x:v>PASS</x:v>
      </x:c>
    </x:row>
    <x:row r="9" ht="18" customHeight="1">
      <x:c r="B9" s="25" t="str">
        <x:v>A003</x:v>
      </x:c>
      <x:c r="C9" s="25" t="str">
        <x:v>channel rate</x:v>
      </x:c>
      <x:c r="D9" s="25" t="str">
        <x:v>AE-02 has positive effective rate</x:v>
      </x:c>
      <x:c r="E9" s="25" t="n">
        <x:f>'Channel Register'!K8</x:f>
        <x:v>0.192</x:v>
      </x:c>
      <x:c r="F9" s="25" t="n">
        <x:v>0</x:v>
      </x:c>
      <x:c r="G9" s="27" t="str">
        <x:f>IF(E9&gt;F9,"PASS","FAIL")</x:f>
        <x:v>PASS</x:v>
      </x:c>
    </x:row>
    <x:row r="10" ht="18" customHeight="1">
      <x:c r="B10" s="25" t="str">
        <x:v>A004</x:v>
      </x:c>
      <x:c r="C10" s="25" t="str">
        <x:v>channel state</x:v>
      </x:c>
      <x:c r="D10" s="25" t="str">
        <x:v>AE-02 remains openly unearned</x:v>
      </x:c>
      <x:c r="E10" s="25" t="n">
        <x:f>IF('Channel Register'!N8="OPEN",1,0)</x:f>
        <x:v>1</x:v>
      </x:c>
      <x:c r="F10" s="25" t="n">
        <x:v>1</x:v>
      </x:c>
      <x:c r="G10" s="27" t="str">
        <x:f>IF(E10=F10,"PASS","FAIL")</x:f>
        <x:v>PASS</x:v>
      </x:c>
    </x:row>
    <x:row r="11" ht="18" customHeight="1">
      <x:c r="B11" s="25" t="str">
        <x:v>A005</x:v>
      </x:c>
      <x:c r="C11" s="25" t="str">
        <x:v>channel rate</x:v>
      </x:c>
      <x:c r="D11" s="25" t="str">
        <x:v>AE-03 has positive effective rate</x:v>
      </x:c>
      <x:c r="E11" s="25" t="n">
        <x:f>'Channel Register'!K9</x:f>
        <x:v>0.0048</x:v>
      </x:c>
      <x:c r="F11" s="25" t="n">
        <x:v>0</x:v>
      </x:c>
      <x:c r="G11" s="27" t="str">
        <x:f>IF(E11&gt;F11,"PASS","FAIL")</x:f>
        <x:v>PASS</x:v>
      </x:c>
    </x:row>
    <x:row r="12" ht="18" customHeight="1">
      <x:c r="B12" s="25" t="str">
        <x:v>A006</x:v>
      </x:c>
      <x:c r="C12" s="25" t="str">
        <x:v>channel state</x:v>
      </x:c>
      <x:c r="D12" s="25" t="str">
        <x:v>AE-03 remains openly unearned</x:v>
      </x:c>
      <x:c r="E12" s="25" t="n">
        <x:f>IF('Channel Register'!N9="OPEN",1,0)</x:f>
        <x:v>1</x:v>
      </x:c>
      <x:c r="F12" s="25" t="n">
        <x:v>1</x:v>
      </x:c>
      <x:c r="G12" s="27" t="str">
        <x:f>IF(E12=F12,"PASS","FAIL")</x:f>
        <x:v>PASS</x:v>
      </x:c>
    </x:row>
    <x:row r="13" ht="18" customHeight="1">
      <x:c r="B13" s="25" t="str">
        <x:v>A007</x:v>
      </x:c>
      <x:c r="C13" s="25" t="str">
        <x:v>channel rate</x:v>
      </x:c>
      <x:c r="D13" s="25" t="str">
        <x:v>AE-04 has positive effective rate</x:v>
      </x:c>
      <x:c r="E13" s="25" t="n">
        <x:f>'Channel Register'!K10</x:f>
        <x:v>0.00192</x:v>
      </x:c>
      <x:c r="F13" s="25" t="n">
        <x:v>0</x:v>
      </x:c>
      <x:c r="G13" s="27" t="str">
        <x:f>IF(E13&gt;F13,"PASS","FAIL")</x:f>
        <x:v>PASS</x:v>
      </x:c>
    </x:row>
    <x:row r="14" ht="18" customHeight="1">
      <x:c r="B14" s="25" t="str">
        <x:v>A008</x:v>
      </x:c>
      <x:c r="C14" s="25" t="str">
        <x:v>channel state</x:v>
      </x:c>
      <x:c r="D14" s="25" t="str">
        <x:v>AE-04 remains openly unearned</x:v>
      </x:c>
      <x:c r="E14" s="25" t="n">
        <x:f>IF('Channel Register'!N10="OPEN",1,0)</x:f>
        <x:v>1</x:v>
      </x:c>
      <x:c r="F14" s="25" t="n">
        <x:v>1</x:v>
      </x:c>
      <x:c r="G14" s="27" t="str">
        <x:f>IF(E14=F14,"PASS","FAIL")</x:f>
        <x:v>PASS</x:v>
      </x:c>
    </x:row>
    <x:row r="15" ht="18" customHeight="1">
      <x:c r="B15" s="25" t="str">
        <x:v>A009</x:v>
      </x:c>
      <x:c r="C15" s="25" t="str">
        <x:v>channel rate</x:v>
      </x:c>
      <x:c r="D15" s="25" t="str">
        <x:v>AE-05 has positive effective rate</x:v>
      </x:c>
      <x:c r="E15" s="25" t="n">
        <x:f>'Channel Register'!K11</x:f>
        <x:v>0.0048</x:v>
      </x:c>
      <x:c r="F15" s="25" t="n">
        <x:v>0</x:v>
      </x:c>
      <x:c r="G15" s="27" t="str">
        <x:f>IF(E15&gt;F15,"PASS","FAIL")</x:f>
        <x:v>PASS</x:v>
      </x:c>
    </x:row>
    <x:row r="16" ht="18" customHeight="1">
      <x:c r="B16" s="25" t="str">
        <x:v>A010</x:v>
      </x:c>
      <x:c r="C16" s="25" t="str">
        <x:v>channel state</x:v>
      </x:c>
      <x:c r="D16" s="25" t="str">
        <x:v>AE-05 remains openly unearned</x:v>
      </x:c>
      <x:c r="E16" s="25" t="n">
        <x:f>IF('Channel Register'!N11="OPEN",1,0)</x:f>
        <x:v>1</x:v>
      </x:c>
      <x:c r="F16" s="25" t="n">
        <x:v>1</x:v>
      </x:c>
      <x:c r="G16" s="27" t="str">
        <x:f>IF(E16=F16,"PASS","FAIL")</x:f>
        <x:v>PASS</x:v>
      </x:c>
    </x:row>
    <x:row r="17" ht="18" customHeight="1">
      <x:c r="B17" s="25" t="str">
        <x:v>A011</x:v>
      </x:c>
      <x:c r="C17" s="25" t="str">
        <x:v>channel rate</x:v>
      </x:c>
      <x:c r="D17" s="25" t="str">
        <x:v>AE-06 has positive effective rate</x:v>
      </x:c>
      <x:c r="E17" s="25" t="n">
        <x:f>'Channel Register'!K12</x:f>
        <x:v>0.00512</x:v>
      </x:c>
      <x:c r="F17" s="25" t="n">
        <x:v>0</x:v>
      </x:c>
      <x:c r="G17" s="27" t="str">
        <x:f>IF(E17&gt;F17,"PASS","FAIL")</x:f>
        <x:v>PASS</x:v>
      </x:c>
    </x:row>
    <x:row r="18" ht="18" customHeight="1">
      <x:c r="B18" s="25" t="str">
        <x:v>A012</x:v>
      </x:c>
      <x:c r="C18" s="25" t="str">
        <x:v>channel state</x:v>
      </x:c>
      <x:c r="D18" s="25" t="str">
        <x:v>AE-06 remains openly unearned</x:v>
      </x:c>
      <x:c r="E18" s="25" t="n">
        <x:f>IF('Channel Register'!N12="OPEN",1,0)</x:f>
        <x:v>1</x:v>
      </x:c>
      <x:c r="F18" s="25" t="n">
        <x:v>1</x:v>
      </x:c>
      <x:c r="G18" s="27" t="str">
        <x:f>IF(E18=F18,"PASS","FAIL")</x:f>
        <x:v>PASS</x:v>
      </x:c>
    </x:row>
    <x:row r="19" ht="18" customHeight="1">
      <x:c r="B19" s="25" t="str">
        <x:v>A013</x:v>
      </x:c>
      <x:c r="C19" s="25" t="str">
        <x:v>channel rate</x:v>
      </x:c>
      <x:c r="D19" s="25" t="str">
        <x:v>AE-07 has positive effective rate</x:v>
      </x:c>
      <x:c r="E19" s="25" t="n">
        <x:f>'Channel Register'!K13</x:f>
        <x:v>0.000256</x:v>
      </x:c>
      <x:c r="F19" s="25" t="n">
        <x:v>0</x:v>
      </x:c>
      <x:c r="G19" s="27" t="str">
        <x:f>IF(E19&gt;F19,"PASS","FAIL")</x:f>
        <x:v>PASS</x:v>
      </x:c>
    </x:row>
    <x:row r="20" ht="18" customHeight="1">
      <x:c r="B20" s="25" t="str">
        <x:v>A014</x:v>
      </x:c>
      <x:c r="C20" s="25" t="str">
        <x:v>channel state</x:v>
      </x:c>
      <x:c r="D20" s="25" t="str">
        <x:v>AE-07 remains openly unearned</x:v>
      </x:c>
      <x:c r="E20" s="25" t="n">
        <x:f>IF('Channel Register'!N13="OPEN",1,0)</x:f>
        <x:v>1</x:v>
      </x:c>
      <x:c r="F20" s="25" t="n">
        <x:v>1</x:v>
      </x:c>
      <x:c r="G20" s="27" t="str">
        <x:f>IF(E20=F20,"PASS","FAIL")</x:f>
        <x:v>PASS</x:v>
      </x:c>
    </x:row>
    <x:row r="21" ht="18" customHeight="1">
      <x:c r="B21" s="25" t="str">
        <x:v>A015</x:v>
      </x:c>
      <x:c r="C21" s="25" t="str">
        <x:v>channel rate</x:v>
      </x:c>
      <x:c r="D21" s="25" t="str">
        <x:v>AE-08 has positive effective rate</x:v>
      </x:c>
      <x:c r="E21" s="25" t="n">
        <x:f>'Channel Register'!K14</x:f>
        <x:v>1.5</x:v>
      </x:c>
      <x:c r="F21" s="25" t="n">
        <x:v>0</x:v>
      </x:c>
      <x:c r="G21" s="27" t="str">
        <x:f>IF(E21&gt;F21,"PASS","FAIL")</x:f>
        <x:v>PASS</x:v>
      </x:c>
    </x:row>
    <x:row r="22" ht="18" customHeight="1">
      <x:c r="B22" s="25" t="str">
        <x:v>A016</x:v>
      </x:c>
      <x:c r="C22" s="25" t="str">
        <x:v>channel state</x:v>
      </x:c>
      <x:c r="D22" s="25" t="str">
        <x:v>AE-08 remains openly unearned</x:v>
      </x:c>
      <x:c r="E22" s="25" t="n">
        <x:f>IF('Channel Register'!N14="OPEN",1,0)</x:f>
        <x:v>1</x:v>
      </x:c>
      <x:c r="F22" s="25" t="n">
        <x:v>1</x:v>
      </x:c>
      <x:c r="G22" s="27" t="str">
        <x:f>IF(E22=F22,"PASS","FAIL")</x:f>
        <x:v>PASS</x:v>
      </x:c>
    </x:row>
    <x:row r="23" ht="18" customHeight="1">
      <x:c r="B23" s="25" t="str">
        <x:v>A017</x:v>
      </x:c>
      <x:c r="C23" s="25" t="str">
        <x:v>channel rate</x:v>
      </x:c>
      <x:c r="D23" s="25" t="str">
        <x:v>AW-01 has positive effective rate</x:v>
      </x:c>
      <x:c r="E23" s="25" t="n">
        <x:f>'Channel Register'!K15</x:f>
        <x:v>0.032</x:v>
      </x:c>
      <x:c r="F23" s="25" t="n">
        <x:v>0</x:v>
      </x:c>
      <x:c r="G23" s="27" t="str">
        <x:f>IF(E23&gt;F23,"PASS","FAIL")</x:f>
        <x:v>PASS</x:v>
      </x:c>
    </x:row>
    <x:row r="24" ht="18" customHeight="1">
      <x:c r="B24" s="25" t="str">
        <x:v>A018</x:v>
      </x:c>
      <x:c r="C24" s="25" t="str">
        <x:v>channel state</x:v>
      </x:c>
      <x:c r="D24" s="25" t="str">
        <x:v>AW-01 remains openly unearned</x:v>
      </x:c>
      <x:c r="E24" s="25" t="n">
        <x:f>IF('Channel Register'!N15="OPEN",1,0)</x:f>
        <x:v>1</x:v>
      </x:c>
      <x:c r="F24" s="25" t="n">
        <x:v>1</x:v>
      </x:c>
      <x:c r="G24" s="27" t="str">
        <x:f>IF(E24=F24,"PASS","FAIL")</x:f>
        <x:v>PASS</x:v>
      </x:c>
    </x:row>
    <x:row r="25" ht="18" customHeight="1">
      <x:c r="B25" s="25" t="str">
        <x:v>A019</x:v>
      </x:c>
      <x:c r="C25" s="25" t="str">
        <x:v>channel rate</x:v>
      </x:c>
      <x:c r="D25" s="25" t="str">
        <x:v>AW-02 has positive effective rate</x:v>
      </x:c>
      <x:c r="E25" s="25" t="n">
        <x:f>'Channel Register'!K16</x:f>
        <x:v>0.064</x:v>
      </x:c>
      <x:c r="F25" s="25" t="n">
        <x:v>0</x:v>
      </x:c>
      <x:c r="G25" s="27" t="str">
        <x:f>IF(E25&gt;F25,"PASS","FAIL")</x:f>
        <x:v>PASS</x:v>
      </x:c>
    </x:row>
    <x:row r="26" ht="18" customHeight="1">
      <x:c r="B26" s="25" t="str">
        <x:v>A020</x:v>
      </x:c>
      <x:c r="C26" s="25" t="str">
        <x:v>channel state</x:v>
      </x:c>
      <x:c r="D26" s="25" t="str">
        <x:v>AW-02 remains openly unearned</x:v>
      </x:c>
      <x:c r="E26" s="25" t="n">
        <x:f>IF('Channel Register'!N16="OPEN",1,0)</x:f>
        <x:v>1</x:v>
      </x:c>
      <x:c r="F26" s="25" t="n">
        <x:v>1</x:v>
      </x:c>
      <x:c r="G26" s="27" t="str">
        <x:f>IF(E26=F26,"PASS","FAIL")</x:f>
        <x:v>PASS</x:v>
      </x:c>
    </x:row>
    <x:row r="27" ht="18" customHeight="1">
      <x:c r="B27" s="25" t="str">
        <x:v>A021</x:v>
      </x:c>
      <x:c r="C27" s="25" t="str">
        <x:v>channel rate</x:v>
      </x:c>
      <x:c r="D27" s="25" t="str">
        <x:v>AW-03 has positive effective rate</x:v>
      </x:c>
      <x:c r="E27" s="25" t="n">
        <x:f>'Channel Register'!K17</x:f>
        <x:v>0.032</x:v>
      </x:c>
      <x:c r="F27" s="25" t="n">
        <x:v>0</x:v>
      </x:c>
      <x:c r="G27" s="27" t="str">
        <x:f>IF(E27&gt;F27,"PASS","FAIL")</x:f>
        <x:v>PASS</x:v>
      </x:c>
    </x:row>
    <x:row r="28" ht="18" customHeight="1">
      <x:c r="B28" s="25" t="str">
        <x:v>A022</x:v>
      </x:c>
      <x:c r="C28" s="25" t="str">
        <x:v>channel state</x:v>
      </x:c>
      <x:c r="D28" s="25" t="str">
        <x:v>AW-03 remains openly unearned</x:v>
      </x:c>
      <x:c r="E28" s="25" t="n">
        <x:f>IF('Channel Register'!N17="OPEN",1,0)</x:f>
        <x:v>1</x:v>
      </x:c>
      <x:c r="F28" s="25" t="n">
        <x:v>1</x:v>
      </x:c>
      <x:c r="G28" s="27" t="str">
        <x:f>IF(E28=F28,"PASS","FAIL")</x:f>
        <x:v>PASS</x:v>
      </x:c>
    </x:row>
    <x:row r="29" ht="18" customHeight="1">
      <x:c r="B29" s="25" t="str">
        <x:v>A023</x:v>
      </x:c>
      <x:c r="C29" s="25" t="str">
        <x:v>channel rate</x:v>
      </x:c>
      <x:c r="D29" s="25" t="str">
        <x:v>AW-04 has positive effective rate</x:v>
      </x:c>
      <x:c r="E29" s="25" t="n">
        <x:f>'Channel Register'!K18</x:f>
        <x:v>0.00192</x:v>
      </x:c>
      <x:c r="F29" s="25" t="n">
        <x:v>0</x:v>
      </x:c>
      <x:c r="G29" s="27" t="str">
        <x:f>IF(E29&gt;F29,"PASS","FAIL")</x:f>
        <x:v>PASS</x:v>
      </x:c>
    </x:row>
    <x:row r="30" ht="18" customHeight="1">
      <x:c r="B30" s="25" t="str">
        <x:v>A024</x:v>
      </x:c>
      <x:c r="C30" s="25" t="str">
        <x:v>channel state</x:v>
      </x:c>
      <x:c r="D30" s="25" t="str">
        <x:v>AW-04 remains openly unearned</x:v>
      </x:c>
      <x:c r="E30" s="25" t="n">
        <x:f>IF('Channel Register'!N18="OPEN",1,0)</x:f>
        <x:v>1</x:v>
      </x:c>
      <x:c r="F30" s="25" t="n">
        <x:v>1</x:v>
      </x:c>
      <x:c r="G30" s="27" t="str">
        <x:f>IF(E30=F30,"PASS","FAIL")</x:f>
        <x:v>PASS</x:v>
      </x:c>
    </x:row>
    <x:row r="31" ht="18" customHeight="1">
      <x:c r="B31" s="25" t="str">
        <x:v>A025</x:v>
      </x:c>
      <x:c r="C31" s="25" t="str">
        <x:v>channel rate</x:v>
      </x:c>
      <x:c r="D31" s="25" t="str">
        <x:v>AW-05 has positive effective rate</x:v>
      </x:c>
      <x:c r="E31" s="25" t="n">
        <x:f>'Channel Register'!K19</x:f>
        <x:v>0.0032</x:v>
      </x:c>
      <x:c r="F31" s="25" t="n">
        <x:v>0</x:v>
      </x:c>
      <x:c r="G31" s="27" t="str">
        <x:f>IF(E31&gt;F31,"PASS","FAIL")</x:f>
        <x:v>PASS</x:v>
      </x:c>
    </x:row>
    <x:row r="32" ht="18" customHeight="1">
      <x:c r="B32" s="25" t="str">
        <x:v>A026</x:v>
      </x:c>
      <x:c r="C32" s="25" t="str">
        <x:v>channel state</x:v>
      </x:c>
      <x:c r="D32" s="25" t="str">
        <x:v>AW-05 remains openly unearned</x:v>
      </x:c>
      <x:c r="E32" s="25" t="n">
        <x:f>IF('Channel Register'!N19="OPEN",1,0)</x:f>
        <x:v>1</x:v>
      </x:c>
      <x:c r="F32" s="25" t="n">
        <x:v>1</x:v>
      </x:c>
      <x:c r="G32" s="27" t="str">
        <x:f>IF(E32=F32,"PASS","FAIL")</x:f>
        <x:v>PASS</x:v>
      </x:c>
    </x:row>
    <x:row r="33" ht="18" customHeight="1">
      <x:c r="B33" s="25" t="str">
        <x:v>A027</x:v>
      </x:c>
      <x:c r="C33" s="25" t="str">
        <x:v>channel rate</x:v>
      </x:c>
      <x:c r="D33" s="25" t="str">
        <x:v>AW-06 has positive effective rate</x:v>
      </x:c>
      <x:c r="E33" s="25" t="n">
        <x:f>'Channel Register'!K20</x:f>
        <x:v>0.00384</x:v>
      </x:c>
      <x:c r="F33" s="25" t="n">
        <x:v>0</x:v>
      </x:c>
      <x:c r="G33" s="27" t="str">
        <x:f>IF(E33&gt;F33,"PASS","FAIL")</x:f>
        <x:v>PASS</x:v>
      </x:c>
    </x:row>
    <x:row r="34" ht="18" customHeight="1">
      <x:c r="B34" s="25" t="str">
        <x:v>A028</x:v>
      </x:c>
      <x:c r="C34" s="25" t="str">
        <x:v>channel state</x:v>
      </x:c>
      <x:c r="D34" s="25" t="str">
        <x:v>AW-06 remains openly unearned</x:v>
      </x:c>
      <x:c r="E34" s="25" t="n">
        <x:f>IF('Channel Register'!N20="OPEN",1,0)</x:f>
        <x:v>1</x:v>
      </x:c>
      <x:c r="F34" s="25" t="n">
        <x:v>1</x:v>
      </x:c>
      <x:c r="G34" s="27" t="str">
        <x:f>IF(E34=F34,"PASS","FAIL")</x:f>
        <x:v>PASS</x:v>
      </x:c>
    </x:row>
    <x:row r="35" ht="18" customHeight="1">
      <x:c r="B35" s="25" t="str">
        <x:v>A029</x:v>
      </x:c>
      <x:c r="C35" s="25" t="str">
        <x:v>channel rate</x:v>
      </x:c>
      <x:c r="D35" s="25" t="str">
        <x:v>AW-07 has positive effective rate</x:v>
      </x:c>
      <x:c r="E35" s="25" t="n">
        <x:f>'Channel Register'!K21</x:f>
        <x:v>0.000512</x:v>
      </x:c>
      <x:c r="F35" s="25" t="n">
        <x:v>0</x:v>
      </x:c>
      <x:c r="G35" s="27" t="str">
        <x:f>IF(E35&gt;F35,"PASS","FAIL")</x:f>
        <x:v>PASS</x:v>
      </x:c>
    </x:row>
    <x:row r="36" ht="18" customHeight="1">
      <x:c r="B36" s="25" t="str">
        <x:v>A030</x:v>
      </x:c>
      <x:c r="C36" s="25" t="str">
        <x:v>channel state</x:v>
      </x:c>
      <x:c r="D36" s="25" t="str">
        <x:v>AW-07 remains openly unearned</x:v>
      </x:c>
      <x:c r="E36" s="25" t="n">
        <x:f>IF('Channel Register'!N21="OPEN",1,0)</x:f>
        <x:v>1</x:v>
      </x:c>
      <x:c r="F36" s="25" t="n">
        <x:v>1</x:v>
      </x:c>
      <x:c r="G36" s="27" t="str">
        <x:f>IF(E36=F36,"PASS","FAIL")</x:f>
        <x:v>PASS</x:v>
      </x:c>
    </x:row>
    <x:row r="37" ht="18" customHeight="1">
      <x:c r="B37" s="25" t="str">
        <x:v>A031</x:v>
      </x:c>
      <x:c r="C37" s="25" t="str">
        <x:v>channel rate</x:v>
      </x:c>
      <x:c r="D37" s="25" t="str">
        <x:v>AW-08 has positive effective rate</x:v>
      </x:c>
      <x:c r="E37" s="25" t="n">
        <x:f>'Channel Register'!K22</x:f>
        <x:v>1.5</x:v>
      </x:c>
      <x:c r="F37" s="25" t="n">
        <x:v>0</x:v>
      </x:c>
      <x:c r="G37" s="27" t="str">
        <x:f>IF(E37&gt;F37,"PASS","FAIL")</x:f>
        <x:v>PASS</x:v>
      </x:c>
    </x:row>
    <x:row r="38" ht="18" customHeight="1">
      <x:c r="B38" s="25" t="str">
        <x:v>A032</x:v>
      </x:c>
      <x:c r="C38" s="25" t="str">
        <x:v>channel state</x:v>
      </x:c>
      <x:c r="D38" s="25" t="str">
        <x:v>AW-08 remains openly unearned</x:v>
      </x:c>
      <x:c r="E38" s="25" t="n">
        <x:f>IF('Channel Register'!N22="OPEN",1,0)</x:f>
        <x:v>1</x:v>
      </x:c>
      <x:c r="F38" s="25" t="n">
        <x:v>1</x:v>
      </x:c>
      <x:c r="G38" s="27" t="str">
        <x:f>IF(E38=F38,"PASS","FAIL")</x:f>
        <x:v>PASS</x:v>
      </x:c>
    </x:row>
    <x:row r="39" ht="18" customHeight="1">
      <x:c r="B39" s="25" t="str">
        <x:v>A033</x:v>
      </x:c>
      <x:c r="C39" s="25" t="str">
        <x:v>channel rate</x:v>
      </x:c>
      <x:c r="D39" s="25" t="str">
        <x:v>AT-01 has positive effective rate</x:v>
      </x:c>
      <x:c r="E39" s="25" t="n">
        <x:f>'Channel Register'!K23</x:f>
        <x:v>0.048</x:v>
      </x:c>
      <x:c r="F39" s="25" t="n">
        <x:v>0</x:v>
      </x:c>
      <x:c r="G39" s="27" t="str">
        <x:f>IF(E39&gt;F39,"PASS","FAIL")</x:f>
        <x:v>PASS</x:v>
      </x:c>
    </x:row>
    <x:row r="40" ht="18" customHeight="1">
      <x:c r="B40" s="25" t="str">
        <x:v>A034</x:v>
      </x:c>
      <x:c r="C40" s="25" t="str">
        <x:v>channel state</x:v>
      </x:c>
      <x:c r="D40" s="25" t="str">
        <x:v>AT-01 remains openly unearned</x:v>
      </x:c>
      <x:c r="E40" s="25" t="n">
        <x:f>IF('Channel Register'!N23="OPEN",1,0)</x:f>
        <x:v>1</x:v>
      </x:c>
      <x:c r="F40" s="25" t="n">
        <x:v>1</x:v>
      </x:c>
      <x:c r="G40" s="27" t="str">
        <x:f>IF(E40=F40,"PASS","FAIL")</x:f>
        <x:v>PASS</x:v>
      </x:c>
    </x:row>
    <x:row r="41" ht="18" customHeight="1">
      <x:c r="B41" s="25" t="str">
        <x:v>A035</x:v>
      </x:c>
      <x:c r="C41" s="25" t="str">
        <x:v>channel rate</x:v>
      </x:c>
      <x:c r="D41" s="25" t="str">
        <x:v>AT-02 has positive effective rate</x:v>
      </x:c>
      <x:c r="E41" s="25" t="n">
        <x:f>'Channel Register'!K24</x:f>
        <x:v>0.096</x:v>
      </x:c>
      <x:c r="F41" s="25" t="n">
        <x:v>0</x:v>
      </x:c>
      <x:c r="G41" s="27" t="str">
        <x:f>IF(E41&gt;F41,"PASS","FAIL")</x:f>
        <x:v>PASS</x:v>
      </x:c>
    </x:row>
    <x:row r="42" ht="18" customHeight="1">
      <x:c r="B42" s="25" t="str">
        <x:v>A036</x:v>
      </x:c>
      <x:c r="C42" s="25" t="str">
        <x:v>channel state</x:v>
      </x:c>
      <x:c r="D42" s="25" t="str">
        <x:v>AT-02 remains openly unearned</x:v>
      </x:c>
      <x:c r="E42" s="25" t="n">
        <x:f>IF('Channel Register'!N24="OPEN",1,0)</x:f>
        <x:v>1</x:v>
      </x:c>
      <x:c r="F42" s="25" t="n">
        <x:v>1</x:v>
      </x:c>
      <x:c r="G42" s="27" t="str">
        <x:f>IF(E42=F42,"PASS","FAIL")</x:f>
        <x:v>PASS</x:v>
      </x:c>
    </x:row>
    <x:row r="43" ht="18" customHeight="1">
      <x:c r="B43" s="25" t="str">
        <x:v>A037</x:v>
      </x:c>
      <x:c r="C43" s="25" t="str">
        <x:v>channel rate</x:v>
      </x:c>
      <x:c r="D43" s="25" t="str">
        <x:v>AT-03 has positive effective rate</x:v>
      </x:c>
      <x:c r="E43" s="25" t="n">
        <x:f>'Channel Register'!K25</x:f>
        <x:v>0.0192</x:v>
      </x:c>
      <x:c r="F43" s="25" t="n">
        <x:v>0</x:v>
      </x:c>
      <x:c r="G43" s="27" t="str">
        <x:f>IF(E43&gt;F43,"PASS","FAIL")</x:f>
        <x:v>PASS</x:v>
      </x:c>
    </x:row>
    <x:row r="44" ht="18" customHeight="1">
      <x:c r="B44" s="25" t="str">
        <x:v>A038</x:v>
      </x:c>
      <x:c r="C44" s="25" t="str">
        <x:v>channel state</x:v>
      </x:c>
      <x:c r="D44" s="25" t="str">
        <x:v>AT-03 remains openly unearned</x:v>
      </x:c>
      <x:c r="E44" s="25" t="n">
        <x:f>IF('Channel Register'!N25="OPEN",1,0)</x:f>
        <x:v>1</x:v>
      </x:c>
      <x:c r="F44" s="25" t="n">
        <x:v>1</x:v>
      </x:c>
      <x:c r="G44" s="27" t="str">
        <x:f>IF(E44=F44,"PASS","FAIL")</x:f>
        <x:v>PASS</x:v>
      </x:c>
    </x:row>
    <x:row r="45" ht="18" customHeight="1">
      <x:c r="B45" s="25" t="str">
        <x:v>A039</x:v>
      </x:c>
      <x:c r="C45" s="25" t="str">
        <x:v>channel rate</x:v>
      </x:c>
      <x:c r="D45" s="25" t="str">
        <x:v>AT-04 has positive effective rate</x:v>
      </x:c>
      <x:c r="E45" s="25" t="n">
        <x:f>'Channel Register'!K26</x:f>
        <x:v>0.0064</x:v>
      </x:c>
      <x:c r="F45" s="25" t="n">
        <x:v>0</x:v>
      </x:c>
      <x:c r="G45" s="27" t="str">
        <x:f>IF(E45&gt;F45,"PASS","FAIL")</x:f>
        <x:v>PASS</x:v>
      </x:c>
    </x:row>
    <x:row r="46" ht="18" customHeight="1">
      <x:c r="B46" s="25" t="str">
        <x:v>A040</x:v>
      </x:c>
      <x:c r="C46" s="25" t="str">
        <x:v>channel state</x:v>
      </x:c>
      <x:c r="D46" s="25" t="str">
        <x:v>AT-04 remains openly unearned</x:v>
      </x:c>
      <x:c r="E46" s="25" t="n">
        <x:f>IF('Channel Register'!N26="OPEN",1,0)</x:f>
        <x:v>1</x:v>
      </x:c>
      <x:c r="F46" s="25" t="n">
        <x:v>1</x:v>
      </x:c>
      <x:c r="G46" s="27" t="str">
        <x:f>IF(E46=F46,"PASS","FAIL")</x:f>
        <x:v>PASS</x:v>
      </x:c>
    </x:row>
    <x:row r="47" ht="18" customHeight="1">
      <x:c r="B47" s="25" t="str">
        <x:v>A041</x:v>
      </x:c>
      <x:c r="C47" s="25" t="str">
        <x:v>channel rate</x:v>
      </x:c>
      <x:c r="D47" s="25" t="str">
        <x:v>AT-05 has positive effective rate</x:v>
      </x:c>
      <x:c r="E47" s="25" t="n">
        <x:f>'Channel Register'!K27</x:f>
        <x:v>0.0064</x:v>
      </x:c>
      <x:c r="F47" s="25" t="n">
        <x:v>0</x:v>
      </x:c>
      <x:c r="G47" s="27" t="str">
        <x:f>IF(E47&gt;F47,"PASS","FAIL")</x:f>
        <x:v>PASS</x:v>
      </x:c>
    </x:row>
    <x:row r="48" ht="18" customHeight="1">
      <x:c r="B48" s="25" t="str">
        <x:v>A042</x:v>
      </x:c>
      <x:c r="C48" s="25" t="str">
        <x:v>channel state</x:v>
      </x:c>
      <x:c r="D48" s="25" t="str">
        <x:v>AT-05 remains openly unearned</x:v>
      </x:c>
      <x:c r="E48" s="25" t="n">
        <x:f>IF('Channel Register'!N27="OPEN",1,0)</x:f>
        <x:v>1</x:v>
      </x:c>
      <x:c r="F48" s="25" t="n">
        <x:v>1</x:v>
      </x:c>
      <x:c r="G48" s="27" t="str">
        <x:f>IF(E48=F48,"PASS","FAIL")</x:f>
        <x:v>PASS</x:v>
      </x:c>
    </x:row>
    <x:row r="49" ht="18" customHeight="1">
      <x:c r="B49" s="25" t="str">
        <x:v>A043</x:v>
      </x:c>
      <x:c r="C49" s="25" t="str">
        <x:v>channel rate</x:v>
      </x:c>
      <x:c r="D49" s="25" t="str">
        <x:v>AT-06 has positive effective rate</x:v>
      </x:c>
      <x:c r="E49" s="25" t="n">
        <x:f>'Channel Register'!K28</x:f>
        <x:v>0.00384</x:v>
      </x:c>
      <x:c r="F49" s="25" t="n">
        <x:v>0</x:v>
      </x:c>
      <x:c r="G49" s="27" t="str">
        <x:f>IF(E49&gt;F49,"PASS","FAIL")</x:f>
        <x:v>PASS</x:v>
      </x:c>
    </x:row>
    <x:row r="50" ht="18" customHeight="1">
      <x:c r="B50" s="25" t="str">
        <x:v>A044</x:v>
      </x:c>
      <x:c r="C50" s="25" t="str">
        <x:v>channel state</x:v>
      </x:c>
      <x:c r="D50" s="25" t="str">
        <x:v>AT-06 remains openly unearned</x:v>
      </x:c>
      <x:c r="E50" s="25" t="n">
        <x:f>IF('Channel Register'!N28="OPEN",1,0)</x:f>
        <x:v>1</x:v>
      </x:c>
      <x:c r="F50" s="25" t="n">
        <x:v>1</x:v>
      </x:c>
      <x:c r="G50" s="27" t="str">
        <x:f>IF(E50=F50,"PASS","FAIL")</x:f>
        <x:v>PASS</x:v>
      </x:c>
    </x:row>
    <x:row r="51" ht="18" customHeight="1">
      <x:c r="B51" s="25" t="str">
        <x:v>A045</x:v>
      </x:c>
      <x:c r="C51" s="25" t="str">
        <x:v>channel rate</x:v>
      </x:c>
      <x:c r="D51" s="25" t="str">
        <x:v>AT-07 has positive effective rate</x:v>
      </x:c>
      <x:c r="E51" s="25" t="n">
        <x:f>'Channel Register'!K29</x:f>
        <x:v>0.000384</x:v>
      </x:c>
      <x:c r="F51" s="25" t="n">
        <x:v>0</x:v>
      </x:c>
      <x:c r="G51" s="27" t="str">
        <x:f>IF(E51&gt;F51,"PASS","FAIL")</x:f>
        <x:v>PASS</x:v>
      </x:c>
    </x:row>
    <x:row r="52" ht="18" customHeight="1">
      <x:c r="B52" s="25" t="str">
        <x:v>A046</x:v>
      </x:c>
      <x:c r="C52" s="25" t="str">
        <x:v>channel state</x:v>
      </x:c>
      <x:c r="D52" s="25" t="str">
        <x:v>AT-07 remains openly unearned</x:v>
      </x:c>
      <x:c r="E52" s="25" t="n">
        <x:f>IF('Channel Register'!N29="OPEN",1,0)</x:f>
        <x:v>1</x:v>
      </x:c>
      <x:c r="F52" s="25" t="n">
        <x:v>1</x:v>
      </x:c>
      <x:c r="G52" s="27" t="str">
        <x:f>IF(E52=F52,"PASS","FAIL")</x:f>
        <x:v>PASS</x:v>
      </x:c>
    </x:row>
    <x:row r="53" ht="18" customHeight="1">
      <x:c r="B53" s="25" t="str">
        <x:v>A047</x:v>
      </x:c>
      <x:c r="C53" s="25" t="str">
        <x:v>channel rate</x:v>
      </x:c>
      <x:c r="D53" s="25" t="str">
        <x:v>AT-08 has positive effective rate</x:v>
      </x:c>
      <x:c r="E53" s="25" t="n">
        <x:f>'Channel Register'!K30</x:f>
        <x:v>2</x:v>
      </x:c>
      <x:c r="F53" s="25" t="n">
        <x:v>0</x:v>
      </x:c>
      <x:c r="G53" s="27" t="str">
        <x:f>IF(E53&gt;F53,"PASS","FAIL")</x:f>
        <x:v>PASS</x:v>
      </x:c>
    </x:row>
    <x:row r="54" ht="18" customHeight="1">
      <x:c r="B54" s="25" t="str">
        <x:v>A048</x:v>
      </x:c>
      <x:c r="C54" s="25" t="str">
        <x:v>channel state</x:v>
      </x:c>
      <x:c r="D54" s="25" t="str">
        <x:v>AT-08 remains openly unearned</x:v>
      </x:c>
      <x:c r="E54" s="25" t="n">
        <x:f>IF('Channel Register'!N30="OPEN",1,0)</x:f>
        <x:v>1</x:v>
      </x:c>
      <x:c r="F54" s="25" t="n">
        <x:v>1</x:v>
      </x:c>
      <x:c r="G54" s="27" t="str">
        <x:f>IF(E54=F54,"PASS","FAIL")</x:f>
        <x:v>PASS</x:v>
      </x:c>
    </x:row>
    <x:row r="55" ht="18" customHeight="1">
      <x:c r="B55" s="25" t="str">
        <x:v>A049</x:v>
      </x:c>
      <x:c r="C55" s="25" t="str">
        <x:v>channel rate</x:v>
      </x:c>
      <x:c r="D55" s="25" t="str">
        <x:v>AD-01 has positive effective rate</x:v>
      </x:c>
      <x:c r="E55" s="25" t="n">
        <x:f>'Channel Register'!K31</x:f>
        <x:v>0.064</x:v>
      </x:c>
      <x:c r="F55" s="25" t="n">
        <x:v>0</x:v>
      </x:c>
      <x:c r="G55" s="27" t="str">
        <x:f>IF(E55&gt;F55,"PASS","FAIL")</x:f>
        <x:v>PASS</x:v>
      </x:c>
    </x:row>
    <x:row r="56" ht="18" customHeight="1">
      <x:c r="B56" s="25" t="str">
        <x:v>A050</x:v>
      </x:c>
      <x:c r="C56" s="25" t="str">
        <x:v>channel state</x:v>
      </x:c>
      <x:c r="D56" s="25" t="str">
        <x:v>AD-01 remains openly unearned</x:v>
      </x:c>
      <x:c r="E56" s="25" t="n">
        <x:f>IF('Channel Register'!N31="OPEN",1,0)</x:f>
        <x:v>1</x:v>
      </x:c>
      <x:c r="F56" s="25" t="n">
        <x:v>1</x:v>
      </x:c>
      <x:c r="G56" s="27" t="str">
        <x:f>IF(E56=F56,"PASS","FAIL")</x:f>
        <x:v>PASS</x:v>
      </x:c>
    </x:row>
    <x:row r="57" ht="18" customHeight="1">
      <x:c r="B57" s="25" t="str">
        <x:v>A051</x:v>
      </x:c>
      <x:c r="C57" s="25" t="str">
        <x:v>channel rate</x:v>
      </x:c>
      <x:c r="D57" s="25" t="str">
        <x:v>AD-02 has positive effective rate</x:v>
      </x:c>
      <x:c r="E57" s="25" t="n">
        <x:f>'Channel Register'!K32</x:f>
        <x:v>0.192</x:v>
      </x:c>
      <x:c r="F57" s="25" t="n">
        <x:v>0</x:v>
      </x:c>
      <x:c r="G57" s="27" t="str">
        <x:f>IF(E57&gt;F57,"PASS","FAIL")</x:f>
        <x:v>PASS</x:v>
      </x:c>
    </x:row>
    <x:row r="58" ht="18" customHeight="1">
      <x:c r="B58" s="25" t="str">
        <x:v>A052</x:v>
      </x:c>
      <x:c r="C58" s="25" t="str">
        <x:v>channel state</x:v>
      </x:c>
      <x:c r="D58" s="25" t="str">
        <x:v>AD-02 remains openly unearned</x:v>
      </x:c>
      <x:c r="E58" s="25" t="n">
        <x:f>IF('Channel Register'!N32="OPEN",1,0)</x:f>
        <x:v>1</x:v>
      </x:c>
      <x:c r="F58" s="25" t="n">
        <x:v>1</x:v>
      </x:c>
      <x:c r="G58" s="27" t="str">
        <x:f>IF(E58=F58,"PASS","FAIL")</x:f>
        <x:v>PASS</x:v>
      </x:c>
    </x:row>
    <x:row r="59" ht="18" customHeight="1">
      <x:c r="B59" s="25" t="str">
        <x:v>A053</x:v>
      </x:c>
      <x:c r="C59" s="25" t="str">
        <x:v>channel rate</x:v>
      </x:c>
      <x:c r="D59" s="25" t="str">
        <x:v>AD-03 has positive effective rate</x:v>
      </x:c>
      <x:c r="E59" s="25" t="n">
        <x:f>'Channel Register'!K33</x:f>
        <x:v>0.0192</x:v>
      </x:c>
      <x:c r="F59" s="25" t="n">
        <x:v>0</x:v>
      </x:c>
      <x:c r="G59" s="27" t="str">
        <x:f>IF(E59&gt;F59,"PASS","FAIL")</x:f>
        <x:v>PASS</x:v>
      </x:c>
    </x:row>
    <x:row r="60" ht="18" customHeight="1">
      <x:c r="B60" s="25" t="str">
        <x:v>A054</x:v>
      </x:c>
      <x:c r="C60" s="25" t="str">
        <x:v>channel state</x:v>
      </x:c>
      <x:c r="D60" s="25" t="str">
        <x:v>AD-03 remains openly unearned</x:v>
      </x:c>
      <x:c r="E60" s="25" t="n">
        <x:f>IF('Channel Register'!N33="OPEN",1,0)</x:f>
        <x:v>1</x:v>
      </x:c>
      <x:c r="F60" s="25" t="n">
        <x:v>1</x:v>
      </x:c>
      <x:c r="G60" s="27" t="str">
        <x:f>IF(E60=F60,"PASS","FAIL")</x:f>
        <x:v>PASS</x:v>
      </x:c>
    </x:row>
    <x:row r="61" ht="18" customHeight="1">
      <x:c r="B61" s="25" t="str">
        <x:v>A055</x:v>
      </x:c>
      <x:c r="C61" s="25" t="str">
        <x:v>channel rate</x:v>
      </x:c>
      <x:c r="D61" s="25" t="str">
        <x:v>AD-04 has positive effective rate</x:v>
      </x:c>
      <x:c r="E61" s="25" t="n">
        <x:f>'Channel Register'!K34</x:f>
        <x:v>0.00128</x:v>
      </x:c>
      <x:c r="F61" s="25" t="n">
        <x:v>0</x:v>
      </x:c>
      <x:c r="G61" s="27" t="str">
        <x:f>IF(E61&gt;F61,"PASS","FAIL")</x:f>
        <x:v>PASS</x:v>
      </x:c>
    </x:row>
    <x:row r="62" ht="18" customHeight="1">
      <x:c r="B62" s="25" t="str">
        <x:v>A056</x:v>
      </x:c>
      <x:c r="C62" s="25" t="str">
        <x:v>channel state</x:v>
      </x:c>
      <x:c r="D62" s="25" t="str">
        <x:v>AD-04 remains openly unearned</x:v>
      </x:c>
      <x:c r="E62" s="25" t="n">
        <x:f>IF('Channel Register'!N34="OPEN",1,0)</x:f>
        <x:v>1</x:v>
      </x:c>
      <x:c r="F62" s="25" t="n">
        <x:v>1</x:v>
      </x:c>
      <x:c r="G62" s="27" t="str">
        <x:f>IF(E62=F62,"PASS","FAIL")</x:f>
        <x:v>PASS</x:v>
      </x:c>
    </x:row>
    <x:row r="63" ht="18" customHeight="1">
      <x:c r="B63" s="25" t="str">
        <x:v>A057</x:v>
      </x:c>
      <x:c r="C63" s="25" t="str">
        <x:v>channel rate</x:v>
      </x:c>
      <x:c r="D63" s="25" t="str">
        <x:v>AD-05 has positive effective rate</x:v>
      </x:c>
      <x:c r="E63" s="25" t="n">
        <x:f>'Channel Register'!K35</x:f>
        <x:v>0.0256</x:v>
      </x:c>
      <x:c r="F63" s="25" t="n">
        <x:v>0</x:v>
      </x:c>
      <x:c r="G63" s="27" t="str">
        <x:f>IF(E63&gt;F63,"PASS","FAIL")</x:f>
        <x:v>PASS</x:v>
      </x:c>
    </x:row>
    <x:row r="64" ht="18" customHeight="1">
      <x:c r="B64" s="25" t="str">
        <x:v>A058</x:v>
      </x:c>
      <x:c r="C64" s="25" t="str">
        <x:v>channel state</x:v>
      </x:c>
      <x:c r="D64" s="25" t="str">
        <x:v>AD-05 remains openly unearned</x:v>
      </x:c>
      <x:c r="E64" s="25" t="n">
        <x:f>IF('Channel Register'!N35="OPEN",1,0)</x:f>
        <x:v>1</x:v>
      </x:c>
      <x:c r="F64" s="25" t="n">
        <x:v>1</x:v>
      </x:c>
      <x:c r="G64" s="27" t="str">
        <x:f>IF(E64=F64,"PASS","FAIL")</x:f>
        <x:v>PASS</x:v>
      </x:c>
    </x:row>
    <x:row r="65" ht="18" customHeight="1">
      <x:c r="B65" s="25" t="str">
        <x:v>A059</x:v>
      </x:c>
      <x:c r="C65" s="25" t="str">
        <x:v>channel rate</x:v>
      </x:c>
      <x:c r="D65" s="25" t="str">
        <x:v>AD-06 has positive effective rate</x:v>
      </x:c>
      <x:c r="E65" s="25" t="n">
        <x:f>'Channel Register'!K36</x:f>
        <x:v>0.00512</x:v>
      </x:c>
      <x:c r="F65" s="25" t="n">
        <x:v>0</x:v>
      </x:c>
      <x:c r="G65" s="27" t="str">
        <x:f>IF(E65&gt;F65,"PASS","FAIL")</x:f>
        <x:v>PASS</x:v>
      </x:c>
    </x:row>
    <x:row r="66" ht="18" customHeight="1">
      <x:c r="B66" s="25" t="str">
        <x:v>A060</x:v>
      </x:c>
      <x:c r="C66" s="25" t="str">
        <x:v>channel state</x:v>
      </x:c>
      <x:c r="D66" s="25" t="str">
        <x:v>AD-06 remains openly unearned</x:v>
      </x:c>
      <x:c r="E66" s="25" t="n">
        <x:f>IF('Channel Register'!N36="OPEN",1,0)</x:f>
        <x:v>1</x:v>
      </x:c>
      <x:c r="F66" s="25" t="n">
        <x:v>1</x:v>
      </x:c>
      <x:c r="G66" s="27" t="str">
        <x:f>IF(E66=F66,"PASS","FAIL")</x:f>
        <x:v>PASS</x:v>
      </x:c>
    </x:row>
    <x:row r="67" ht="18" customHeight="1">
      <x:c r="B67" s="25" t="str">
        <x:v>A061</x:v>
      </x:c>
      <x:c r="C67" s="25" t="str">
        <x:v>channel rate</x:v>
      </x:c>
      <x:c r="D67" s="25" t="str">
        <x:v>AD-07 has positive effective rate</x:v>
      </x:c>
      <x:c r="E67" s="25" t="n">
        <x:f>'Channel Register'!K37</x:f>
        <x:v>0.000384</x:v>
      </x:c>
      <x:c r="F67" s="25" t="n">
        <x:v>0</x:v>
      </x:c>
      <x:c r="G67" s="27" t="str">
        <x:f>IF(E67&gt;F67,"PASS","FAIL")</x:f>
        <x:v>PASS</x:v>
      </x:c>
    </x:row>
    <x:row r="68" ht="18" customHeight="1">
      <x:c r="B68" s="25" t="str">
        <x:v>A062</x:v>
      </x:c>
      <x:c r="C68" s="25" t="str">
        <x:v>channel state</x:v>
      </x:c>
      <x:c r="D68" s="25" t="str">
        <x:v>AD-07 remains openly unearned</x:v>
      </x:c>
      <x:c r="E68" s="25" t="n">
        <x:f>IF('Channel Register'!N37="OPEN",1,0)</x:f>
        <x:v>1</x:v>
      </x:c>
      <x:c r="F68" s="25" t="n">
        <x:v>1</x:v>
      </x:c>
      <x:c r="G68" s="27" t="str">
        <x:f>IF(E68=F68,"PASS","FAIL")</x:f>
        <x:v>PASS</x:v>
      </x:c>
    </x:row>
    <x:row r="69" ht="18" customHeight="1">
      <x:c r="B69" s="25" t="str">
        <x:v>A063</x:v>
      </x:c>
      <x:c r="C69" s="25" t="str">
        <x:v>channel rate</x:v>
      </x:c>
      <x:c r="D69" s="25" t="str">
        <x:v>AD-08 has positive effective rate</x:v>
      </x:c>
      <x:c r="E69" s="25" t="n">
        <x:f>'Channel Register'!K38</x:f>
        <x:v>3</x:v>
      </x:c>
      <x:c r="F69" s="25" t="n">
        <x:v>0</x:v>
      </x:c>
      <x:c r="G69" s="27" t="str">
        <x:f>IF(E69&gt;F69,"PASS","FAIL")</x:f>
        <x:v>PASS</x:v>
      </x:c>
    </x:row>
    <x:row r="70" ht="18" customHeight="1">
      <x:c r="B70" s="25" t="str">
        <x:v>A064</x:v>
      </x:c>
      <x:c r="C70" s="25" t="str">
        <x:v>channel state</x:v>
      </x:c>
      <x:c r="D70" s="25" t="str">
        <x:v>AD-08 remains openly unearned</x:v>
      </x:c>
      <x:c r="E70" s="25" t="n">
        <x:f>IF('Channel Register'!N38="OPEN",1,0)</x:f>
        <x:v>1</x:v>
      </x:c>
      <x:c r="F70" s="25" t="n">
        <x:v>1</x:v>
      </x:c>
      <x:c r="G70" s="27" t="str">
        <x:f>IF(E70=F70,"PASS","FAIL")</x:f>
        <x:v>PASS</x:v>
      </x:c>
    </x:row>
    <x:row r="71" ht="18" customHeight="1">
      <x:c r="B71" s="25" t="str">
        <x:v>A065</x:v>
      </x:c>
      <x:c r="C71" s="25" t="str">
        <x:v>channel rate</x:v>
      </x:c>
      <x:c r="D71" s="25" t="str">
        <x:v>AC-01 has positive effective rate</x:v>
      </x:c>
      <x:c r="E71" s="25" t="n">
        <x:f>'Channel Register'!K39</x:f>
        <x:v>0.024</x:v>
      </x:c>
      <x:c r="F71" s="25" t="n">
        <x:v>0</x:v>
      </x:c>
      <x:c r="G71" s="27" t="str">
        <x:f>IF(E71&gt;F71,"PASS","FAIL")</x:f>
        <x:v>PASS</x:v>
      </x:c>
    </x:row>
    <x:row r="72" ht="18" customHeight="1">
      <x:c r="B72" s="25" t="str">
        <x:v>A066</x:v>
      </x:c>
      <x:c r="C72" s="25" t="str">
        <x:v>channel state</x:v>
      </x:c>
      <x:c r="D72" s="25" t="str">
        <x:v>AC-01 remains openly unearned</x:v>
      </x:c>
      <x:c r="E72" s="25" t="n">
        <x:f>IF('Channel Register'!N39="OPEN",1,0)</x:f>
        <x:v>1</x:v>
      </x:c>
      <x:c r="F72" s="25" t="n">
        <x:v>1</x:v>
      </x:c>
      <x:c r="G72" s="27" t="str">
        <x:f>IF(E72=F72,"PASS","FAIL")</x:f>
        <x:v>PASS</x:v>
      </x:c>
    </x:row>
    <x:row r="73" ht="18" customHeight="1">
      <x:c r="B73" s="25" t="str">
        <x:v>A067</x:v>
      </x:c>
      <x:c r="C73" s="25" t="str">
        <x:v>channel rate</x:v>
      </x:c>
      <x:c r="D73" s="25" t="str">
        <x:v>AC-02 has positive effective rate</x:v>
      </x:c>
      <x:c r="E73" s="25" t="n">
        <x:f>'Channel Register'!K40</x:f>
        <x:v>0.048</x:v>
      </x:c>
      <x:c r="F73" s="25" t="n">
        <x:v>0</x:v>
      </x:c>
      <x:c r="G73" s="27" t="str">
        <x:f>IF(E73&gt;F73,"PASS","FAIL")</x:f>
        <x:v>PASS</x:v>
      </x:c>
    </x:row>
    <x:row r="74" ht="18" customHeight="1">
      <x:c r="B74" s="25" t="str">
        <x:v>A068</x:v>
      </x:c>
      <x:c r="C74" s="25" t="str">
        <x:v>channel state</x:v>
      </x:c>
      <x:c r="D74" s="25" t="str">
        <x:v>AC-02 remains openly unearned</x:v>
      </x:c>
      <x:c r="E74" s="25" t="n">
        <x:f>IF('Channel Register'!N40="OPEN",1,0)</x:f>
        <x:v>1</x:v>
      </x:c>
      <x:c r="F74" s="25" t="n">
        <x:v>1</x:v>
      </x:c>
      <x:c r="G74" s="27" t="str">
        <x:f>IF(E74=F74,"PASS","FAIL")</x:f>
        <x:v>PASS</x:v>
      </x:c>
    </x:row>
    <x:row r="75" ht="18" customHeight="1">
      <x:c r="B75" s="25" t="str">
        <x:v>A069</x:v>
      </x:c>
      <x:c r="C75" s="25" t="str">
        <x:v>channel rate</x:v>
      </x:c>
      <x:c r="D75" s="25" t="str">
        <x:v>AC-03 has positive effective rate</x:v>
      </x:c>
      <x:c r="E75" s="25" t="n">
        <x:f>'Channel Register'!K41</x:f>
        <x:v>0.0064</x:v>
      </x:c>
      <x:c r="F75" s="25" t="n">
        <x:v>0</x:v>
      </x:c>
      <x:c r="G75" s="27" t="str">
        <x:f>IF(E75&gt;F75,"PASS","FAIL")</x:f>
        <x:v>PASS</x:v>
      </x:c>
    </x:row>
    <x:row r="76" ht="18" customHeight="1">
      <x:c r="B76" s="25" t="str">
        <x:v>A070</x:v>
      </x:c>
      <x:c r="C76" s="25" t="str">
        <x:v>channel state</x:v>
      </x:c>
      <x:c r="D76" s="25" t="str">
        <x:v>AC-03 remains openly unearned</x:v>
      </x:c>
      <x:c r="E76" s="25" t="n">
        <x:f>IF('Channel Register'!N41="OPEN",1,0)</x:f>
        <x:v>1</x:v>
      </x:c>
      <x:c r="F76" s="25" t="n">
        <x:v>1</x:v>
      </x:c>
      <x:c r="G76" s="27" t="str">
        <x:f>IF(E76=F76,"PASS","FAIL")</x:f>
        <x:v>PASS</x:v>
      </x:c>
    </x:row>
    <x:row r="77" ht="18" customHeight="1">
      <x:c r="B77" s="25" t="str">
        <x:v>A071</x:v>
      </x:c>
      <x:c r="C77" s="25" t="str">
        <x:v>channel rate</x:v>
      </x:c>
      <x:c r="D77" s="25" t="str">
        <x:v>AC-04 has positive effective rate</x:v>
      </x:c>
      <x:c r="E77" s="25" t="n">
        <x:f>'Channel Register'!K42</x:f>
        <x:v>0.00192</x:v>
      </x:c>
      <x:c r="F77" s="25" t="n">
        <x:v>0</x:v>
      </x:c>
      <x:c r="G77" s="27" t="str">
        <x:f>IF(E77&gt;F77,"PASS","FAIL")</x:f>
        <x:v>PASS</x:v>
      </x:c>
    </x:row>
    <x:row r="78" ht="18" customHeight="1">
      <x:c r="B78" s="25" t="str">
        <x:v>A072</x:v>
      </x:c>
      <x:c r="C78" s="25" t="str">
        <x:v>channel state</x:v>
      </x:c>
      <x:c r="D78" s="25" t="str">
        <x:v>AC-04 remains openly unearned</x:v>
      </x:c>
      <x:c r="E78" s="25" t="n">
        <x:f>IF('Channel Register'!N42="OPEN",1,0)</x:f>
        <x:v>1</x:v>
      </x:c>
      <x:c r="F78" s="25" t="n">
        <x:v>1</x:v>
      </x:c>
      <x:c r="G78" s="27" t="str">
        <x:f>IF(E78=F78,"PASS","FAIL")</x:f>
        <x:v>PASS</x:v>
      </x:c>
    </x:row>
    <x:row r="79" ht="18" customHeight="1">
      <x:c r="B79" s="25" t="str">
        <x:v>A073</x:v>
      </x:c>
      <x:c r="C79" s="25" t="str">
        <x:v>channel rate</x:v>
      </x:c>
      <x:c r="D79" s="25" t="str">
        <x:v>AC-05 has positive effective rate</x:v>
      </x:c>
      <x:c r="E79" s="25" t="n">
        <x:f>'Channel Register'!K43</x:f>
        <x:v>0.0192</x:v>
      </x:c>
      <x:c r="F79" s="25" t="n">
        <x:v>0</x:v>
      </x:c>
      <x:c r="G79" s="27" t="str">
        <x:f>IF(E79&gt;F79,"PASS","FAIL")</x:f>
        <x:v>PASS</x:v>
      </x:c>
    </x:row>
    <x:row r="80" ht="18" customHeight="1">
      <x:c r="B80" s="25" t="str">
        <x:v>A074</x:v>
      </x:c>
      <x:c r="C80" s="25" t="str">
        <x:v>channel state</x:v>
      </x:c>
      <x:c r="D80" s="25" t="str">
        <x:v>AC-05 remains openly unearned</x:v>
      </x:c>
      <x:c r="E80" s="25" t="n">
        <x:f>IF('Channel Register'!N43="OPEN",1,0)</x:f>
        <x:v>1</x:v>
      </x:c>
      <x:c r="F80" s="25" t="n">
        <x:v>1</x:v>
      </x:c>
      <x:c r="G80" s="27" t="str">
        <x:f>IF(E80=F80,"PASS","FAIL")</x:f>
        <x:v>PASS</x:v>
      </x:c>
    </x:row>
    <x:row r="81" ht="18" customHeight="1">
      <x:c r="B81" s="25" t="str">
        <x:v>A075</x:v>
      </x:c>
      <x:c r="C81" s="25" t="str">
        <x:v>channel rate</x:v>
      </x:c>
      <x:c r="D81" s="25" t="str">
        <x:v>AC-06 has positive effective rate</x:v>
      </x:c>
      <x:c r="E81" s="25" t="n">
        <x:f>'Channel Register'!K44</x:f>
        <x:v>0.00768</x:v>
      </x:c>
      <x:c r="F81" s="25" t="n">
        <x:v>0</x:v>
      </x:c>
      <x:c r="G81" s="27" t="str">
        <x:f>IF(E81&gt;F81,"PASS","FAIL")</x:f>
        <x:v>PASS</x:v>
      </x:c>
    </x:row>
    <x:row r="82" ht="18" customHeight="1">
      <x:c r="B82" s="25" t="str">
        <x:v>A076</x:v>
      </x:c>
      <x:c r="C82" s="25" t="str">
        <x:v>channel state</x:v>
      </x:c>
      <x:c r="D82" s="25" t="str">
        <x:v>AC-06 remains openly unearned</x:v>
      </x:c>
      <x:c r="E82" s="25" t="n">
        <x:f>IF('Channel Register'!N44="OPEN",1,0)</x:f>
        <x:v>1</x:v>
      </x:c>
      <x:c r="F82" s="25" t="n">
        <x:v>1</x:v>
      </x:c>
      <x:c r="G82" s="27" t="str">
        <x:f>IF(E82=F82,"PASS","FAIL")</x:f>
        <x:v>PASS</x:v>
      </x:c>
    </x:row>
    <x:row r="83" ht="18" customHeight="1">
      <x:c r="B83" s="25" t="str">
        <x:v>A077</x:v>
      </x:c>
      <x:c r="C83" s="25" t="str">
        <x:v>channel rate</x:v>
      </x:c>
      <x:c r="D83" s="25" t="str">
        <x:v>AC-07 has positive effective rate</x:v>
      </x:c>
      <x:c r="E83" s="25" t="n">
        <x:f>'Channel Register'!K45</x:f>
        <x:v>0.002048</x:v>
      </x:c>
      <x:c r="F83" s="25" t="n">
        <x:v>0</x:v>
      </x:c>
      <x:c r="G83" s="27" t="str">
        <x:f>IF(E83&gt;F83,"PASS","FAIL")</x:f>
        <x:v>PASS</x:v>
      </x:c>
    </x:row>
    <x:row r="84" ht="18" customHeight="1">
      <x:c r="B84" s="25" t="str">
        <x:v>A078</x:v>
      </x:c>
      <x:c r="C84" s="25" t="str">
        <x:v>channel state</x:v>
      </x:c>
      <x:c r="D84" s="25" t="str">
        <x:v>AC-07 remains openly unearned</x:v>
      </x:c>
      <x:c r="E84" s="25" t="n">
        <x:f>IF('Channel Register'!N45="OPEN",1,0)</x:f>
        <x:v>1</x:v>
      </x:c>
      <x:c r="F84" s="25" t="n">
        <x:v>1</x:v>
      </x:c>
      <x:c r="G84" s="27" t="str">
        <x:f>IF(E84=F84,"PASS","FAIL")</x:f>
        <x:v>PASS</x:v>
      </x:c>
    </x:row>
    <x:row r="85" ht="18" customHeight="1">
      <x:c r="B85" s="25" t="str">
        <x:v>A079</x:v>
      </x:c>
      <x:c r="C85" s="25" t="str">
        <x:v>channel rate</x:v>
      </x:c>
      <x:c r="D85" s="25" t="str">
        <x:v>AC-08 has positive effective rate</x:v>
      </x:c>
      <x:c r="E85" s="25" t="n">
        <x:f>'Channel Register'!K46</x:f>
        <x:v>4</x:v>
      </x:c>
      <x:c r="F85" s="25" t="n">
        <x:v>0</x:v>
      </x:c>
      <x:c r="G85" s="27" t="str">
        <x:f>IF(E85&gt;F85,"PASS","FAIL")</x:f>
        <x:v>PASS</x:v>
      </x:c>
    </x:row>
    <x:row r="86" ht="18" customHeight="1">
      <x:c r="B86" s="25" t="str">
        <x:v>A080</x:v>
      </x:c>
      <x:c r="C86" s="25" t="str">
        <x:v>channel state</x:v>
      </x:c>
      <x:c r="D86" s="25" t="str">
        <x:v>AC-08 remains openly unearned</x:v>
      </x:c>
      <x:c r="E86" s="25" t="n">
        <x:f>IF('Channel Register'!N46="OPEN",1,0)</x:f>
        <x:v>1</x:v>
      </x:c>
      <x:c r="F86" s="25" t="n">
        <x:v>1</x:v>
      </x:c>
      <x:c r="G86" s="27" t="str">
        <x:f>IF(E86=F86,"PASS","FAIL")</x:f>
        <x:v>PASS</x:v>
      </x:c>
    </x:row>
    <x:row r="87" ht="18" customHeight="1">
      <x:c r="B87" s="25" t="str">
        <x:v>A081</x:v>
      </x:c>
      <x:c r="C87" s="25" t="str">
        <x:v>channel rate</x:v>
      </x:c>
      <x:c r="D87" s="25" t="str">
        <x:v>TE-01 has positive effective rate</x:v>
      </x:c>
      <x:c r="E87" s="25" t="n">
        <x:f>'Channel Register'!K47</x:f>
        <x:v>0.06</x:v>
      </x:c>
      <x:c r="F87" s="25" t="n">
        <x:v>0</x:v>
      </x:c>
      <x:c r="G87" s="27" t="str">
        <x:f>IF(E87&gt;F87,"PASS","FAIL")</x:f>
        <x:v>PASS</x:v>
      </x:c>
    </x:row>
    <x:row r="88" ht="18" customHeight="1">
      <x:c r="B88" s="25" t="str">
        <x:v>A082</x:v>
      </x:c>
      <x:c r="C88" s="25" t="str">
        <x:v>channel state</x:v>
      </x:c>
      <x:c r="D88" s="25" t="str">
        <x:v>TE-01 remains openly unearned</x:v>
      </x:c>
      <x:c r="E88" s="25" t="n">
        <x:f>IF('Channel Register'!N47="OPEN",1,0)</x:f>
        <x:v>1</x:v>
      </x:c>
      <x:c r="F88" s="25" t="n">
        <x:v>1</x:v>
      </x:c>
      <x:c r="G88" s="27" t="str">
        <x:f>IF(E88=F88,"PASS","FAIL")</x:f>
        <x:v>PASS</x:v>
      </x:c>
    </x:row>
    <x:row r="89" ht="18" customHeight="1">
      <x:c r="B89" s="25" t="str">
        <x:v>A083</x:v>
      </x:c>
      <x:c r="C89" s="25" t="str">
        <x:v>channel rate</x:v>
      </x:c>
      <x:c r="D89" s="25" t="str">
        <x:v>TE-02 has positive effective rate</x:v>
      </x:c>
      <x:c r="E89" s="25" t="n">
        <x:f>'Channel Register'!K48</x:f>
        <x:v>0.202</x:v>
      </x:c>
      <x:c r="F89" s="25" t="n">
        <x:v>0</x:v>
      </x:c>
      <x:c r="G89" s="27" t="str">
        <x:f>IF(E89&gt;F89,"PASS","FAIL")</x:f>
        <x:v>PASS</x:v>
      </x:c>
    </x:row>
    <x:row r="90" ht="18" customHeight="1">
      <x:c r="B90" s="25" t="str">
        <x:v>A084</x:v>
      </x:c>
      <x:c r="C90" s="25" t="str">
        <x:v>channel state</x:v>
      </x:c>
      <x:c r="D90" s="25" t="str">
        <x:v>TE-02 remains openly unearned</x:v>
      </x:c>
      <x:c r="E90" s="25" t="n">
        <x:f>IF('Channel Register'!N48="OPEN",1,0)</x:f>
        <x:v>1</x:v>
      </x:c>
      <x:c r="F90" s="25" t="n">
        <x:v>1</x:v>
      </x:c>
      <x:c r="G90" s="27" t="str">
        <x:f>IF(E90=F90,"PASS","FAIL")</x:f>
        <x:v>PASS</x:v>
      </x:c>
    </x:row>
    <x:row r="91" ht="18" customHeight="1">
      <x:c r="B91" s="25" t="str">
        <x:v>A085</x:v>
      </x:c>
      <x:c r="C91" s="25" t="str">
        <x:v>channel rate</x:v>
      </x:c>
      <x:c r="D91" s="25" t="str">
        <x:v>TE-03 has positive effective rate</x:v>
      </x:c>
      <x:c r="E91" s="25" t="n">
        <x:f>'Channel Register'!K49</x:f>
        <x:v>0.0052</x:v>
      </x:c>
      <x:c r="F91" s="25" t="n">
        <x:v>0</x:v>
      </x:c>
      <x:c r="G91" s="27" t="str">
        <x:f>IF(E91&gt;F91,"PASS","FAIL")</x:f>
        <x:v>PASS</x:v>
      </x:c>
    </x:row>
    <x:row r="92" ht="18" customHeight="1">
      <x:c r="B92" s="25" t="str">
        <x:v>A086</x:v>
      </x:c>
      <x:c r="C92" s="25" t="str">
        <x:v>channel state</x:v>
      </x:c>
      <x:c r="D92" s="25" t="str">
        <x:v>TE-03 remains openly unearned</x:v>
      </x:c>
      <x:c r="E92" s="25" t="n">
        <x:f>IF('Channel Register'!N49="OPEN",1,0)</x:f>
        <x:v>1</x:v>
      </x:c>
      <x:c r="F92" s="25" t="n">
        <x:v>1</x:v>
      </x:c>
      <x:c r="G92" s="27" t="str">
        <x:f>IF(E92=F92,"PASS","FAIL")</x:f>
        <x:v>PASS</x:v>
      </x:c>
    </x:row>
    <x:row r="93" ht="18" customHeight="1">
      <x:c r="B93" s="25" t="str">
        <x:v>A087</x:v>
      </x:c>
      <x:c r="C93" s="25" t="str">
        <x:v>channel rate</x:v>
      </x:c>
      <x:c r="D93" s="25" t="str">
        <x:v>TE-04 has positive effective rate</x:v>
      </x:c>
      <x:c r="E93" s="25" t="n">
        <x:f>'Channel Register'!K50</x:f>
        <x:v>0.00212</x:v>
      </x:c>
      <x:c r="F93" s="25" t="n">
        <x:v>0</x:v>
      </x:c>
      <x:c r="G93" s="27" t="str">
        <x:f>IF(E93&gt;F93,"PASS","FAIL")</x:f>
        <x:v>PASS</x:v>
      </x:c>
    </x:row>
    <x:row r="94" ht="18" customHeight="1">
      <x:c r="B94" s="25" t="str">
        <x:v>A088</x:v>
      </x:c>
      <x:c r="C94" s="25" t="str">
        <x:v>channel state</x:v>
      </x:c>
      <x:c r="D94" s="25" t="str">
        <x:v>TE-04 remains openly unearned</x:v>
      </x:c>
      <x:c r="E94" s="25" t="n">
        <x:f>IF('Channel Register'!N50="OPEN",1,0)</x:f>
        <x:v>1</x:v>
      </x:c>
      <x:c r="F94" s="25" t="n">
        <x:v>1</x:v>
      </x:c>
      <x:c r="G94" s="27" t="str">
        <x:f>IF(E94=F94,"PASS","FAIL")</x:f>
        <x:v>PASS</x:v>
      </x:c>
    </x:row>
    <x:row r="95" ht="18" customHeight="1">
      <x:c r="B95" s="25" t="str">
        <x:v>A089</x:v>
      </x:c>
      <x:c r="C95" s="25" t="str">
        <x:v>channel rate</x:v>
      </x:c>
      <x:c r="D95" s="25" t="str">
        <x:v>TE-05 has positive effective rate</x:v>
      </x:c>
      <x:c r="E95" s="25" t="n">
        <x:f>'Channel Register'!K51</x:f>
        <x:v>0.0068</x:v>
      </x:c>
      <x:c r="F95" s="25" t="n">
        <x:v>0</x:v>
      </x:c>
      <x:c r="G95" s="27" t="str">
        <x:f>IF(E95&gt;F95,"PASS","FAIL")</x:f>
        <x:v>PASS</x:v>
      </x:c>
    </x:row>
    <x:row r="96" ht="18" customHeight="1">
      <x:c r="B96" s="25" t="str">
        <x:v>A090</x:v>
      </x:c>
      <x:c r="C96" s="25" t="str">
        <x:v>channel state</x:v>
      </x:c>
      <x:c r="D96" s="25" t="str">
        <x:v>TE-05 remains openly unearned</x:v>
      </x:c>
      <x:c r="E96" s="25" t="n">
        <x:f>IF('Channel Register'!N51="OPEN",1,0)</x:f>
        <x:v>1</x:v>
      </x:c>
      <x:c r="F96" s="25" t="n">
        <x:v>1</x:v>
      </x:c>
      <x:c r="G96" s="27" t="str">
        <x:f>IF(E96=F96,"PASS","FAIL")</x:f>
        <x:v>PASS</x:v>
      </x:c>
    </x:row>
    <x:row r="97" ht="18" customHeight="1">
      <x:c r="B97" s="25" t="str">
        <x:v>A091</x:v>
      </x:c>
      <x:c r="C97" s="25" t="str">
        <x:v>channel rate</x:v>
      </x:c>
      <x:c r="D97" s="25" t="str">
        <x:v>TE-06 has positive effective rate</x:v>
      </x:c>
      <x:c r="E97" s="25" t="n">
        <x:f>'Channel Register'!K52</x:f>
        <x:v>0.00564</x:v>
      </x:c>
      <x:c r="F97" s="25" t="n">
        <x:v>0</x:v>
      </x:c>
      <x:c r="G97" s="27" t="str">
        <x:f>IF(E97&gt;F97,"PASS","FAIL")</x:f>
        <x:v>PASS</x:v>
      </x:c>
    </x:row>
    <x:row r="98" ht="18" customHeight="1">
      <x:c r="B98" s="25" t="str">
        <x:v>A092</x:v>
      </x:c>
      <x:c r="C98" s="25" t="str">
        <x:v>channel state</x:v>
      </x:c>
      <x:c r="D98" s="25" t="str">
        <x:v>TE-06 remains openly unearned</x:v>
      </x:c>
      <x:c r="E98" s="25" t="n">
        <x:f>IF('Channel Register'!N52="OPEN",1,0)</x:f>
        <x:v>1</x:v>
      </x:c>
      <x:c r="F98" s="25" t="n">
        <x:v>1</x:v>
      </x:c>
      <x:c r="G98" s="27" t="str">
        <x:f>IF(E98=F98,"PASS","FAIL")</x:f>
        <x:v>PASS</x:v>
      </x:c>
    </x:row>
    <x:row r="99" ht="18" customHeight="1">
      <x:c r="B99" s="25" t="str">
        <x:v>A093</x:v>
      </x:c>
      <x:c r="C99" s="25" t="str">
        <x:v>channel rate</x:v>
      </x:c>
      <x:c r="D99" s="25" t="str">
        <x:v>TE-07 has positive effective rate</x:v>
      </x:c>
      <x:c r="E99" s="25" t="n">
        <x:f>'Channel Register'!K53</x:f>
        <x:v>0.000288</x:v>
      </x:c>
      <x:c r="F99" s="25" t="n">
        <x:v>0</x:v>
      </x:c>
      <x:c r="G99" s="27" t="str">
        <x:f>IF(E99&gt;F99,"PASS","FAIL")</x:f>
        <x:v>PASS</x:v>
      </x:c>
    </x:row>
    <x:row r="100" ht="18" customHeight="1">
      <x:c r="B100" s="25" t="str">
        <x:v>A094</x:v>
      </x:c>
      <x:c r="C100" s="25" t="str">
        <x:v>channel state</x:v>
      </x:c>
      <x:c r="D100" s="25" t="str">
        <x:v>TE-07 remains openly unearned</x:v>
      </x:c>
      <x:c r="E100" s="25" t="n">
        <x:f>IF('Channel Register'!N53="OPEN",1,0)</x:f>
        <x:v>1</x:v>
      </x:c>
      <x:c r="F100" s="25" t="n">
        <x:v>1</x:v>
      </x:c>
      <x:c r="G100" s="27" t="str">
        <x:f>IF(E100=F100,"PASS","FAIL")</x:f>
        <x:v>PASS</x:v>
      </x:c>
    </x:row>
    <x:row r="101" ht="18" customHeight="1">
      <x:c r="B101" s="25" t="str">
        <x:v>A095</x:v>
      </x:c>
      <x:c r="C101" s="25" t="str">
        <x:v>channel rate</x:v>
      </x:c>
      <x:c r="D101" s="25" t="str">
        <x:v>TE-08 has positive effective rate</x:v>
      </x:c>
      <x:c r="E101" s="25" t="n">
        <x:f>'Channel Register'!K54</x:f>
        <x:v>1.875</x:v>
      </x:c>
      <x:c r="F101" s="25" t="n">
        <x:v>0</x:v>
      </x:c>
      <x:c r="G101" s="27" t="str">
        <x:f>IF(E101&gt;F101,"PASS","FAIL")</x:f>
        <x:v>PASS</x:v>
      </x:c>
    </x:row>
    <x:row r="102" ht="18" customHeight="1">
      <x:c r="B102" s="25" t="str">
        <x:v>A096</x:v>
      </x:c>
      <x:c r="C102" s="25" t="str">
        <x:v>channel state</x:v>
      </x:c>
      <x:c r="D102" s="25" t="str">
        <x:v>TE-08 remains openly unearned</x:v>
      </x:c>
      <x:c r="E102" s="25" t="n">
        <x:f>IF('Channel Register'!N54="OPEN",1,0)</x:f>
        <x:v>1</x:v>
      </x:c>
      <x:c r="F102" s="25" t="n">
        <x:v>1</x:v>
      </x:c>
      <x:c r="G102" s="27" t="str">
        <x:f>IF(E102=F102,"PASS","FAIL")</x:f>
        <x:v>PASS</x:v>
      </x:c>
    </x:row>
    <x:row r="103" ht="18" customHeight="1">
      <x:c r="B103" s="25" t="str">
        <x:v>A097</x:v>
      </x:c>
      <x:c r="C103" s="25" t="str">
        <x:v>channel rate</x:v>
      </x:c>
      <x:c r="D103" s="25" t="str">
        <x:v>TW-01 has positive effective rate</x:v>
      </x:c>
      <x:c r="E103" s="25" t="n">
        <x:f>'Channel Register'!K55</x:f>
        <x:v>0.04</x:v>
      </x:c>
      <x:c r="F103" s="25" t="n">
        <x:v>0</x:v>
      </x:c>
      <x:c r="G103" s="27" t="str">
        <x:f>IF(E103&gt;F103,"PASS","FAIL")</x:f>
        <x:v>PASS</x:v>
      </x:c>
    </x:row>
    <x:row r="104" ht="18" customHeight="1">
      <x:c r="B104" s="25" t="str">
        <x:v>A098</x:v>
      </x:c>
      <x:c r="C104" s="25" t="str">
        <x:v>channel state</x:v>
      </x:c>
      <x:c r="D104" s="25" t="str">
        <x:v>TW-01 remains openly unearned</x:v>
      </x:c>
      <x:c r="E104" s="25" t="n">
        <x:f>IF('Channel Register'!N55="OPEN",1,0)</x:f>
        <x:v>1</x:v>
      </x:c>
      <x:c r="F104" s="25" t="n">
        <x:v>1</x:v>
      </x:c>
      <x:c r="G104" s="27" t="str">
        <x:f>IF(E104=F104,"PASS","FAIL")</x:f>
        <x:v>PASS</x:v>
      </x:c>
    </x:row>
    <x:row r="105" ht="18" customHeight="1">
      <x:c r="B105" s="25" t="str">
        <x:v>A099</x:v>
      </x:c>
      <x:c r="C105" s="25" t="str">
        <x:v>channel rate</x:v>
      </x:c>
      <x:c r="D105" s="25" t="str">
        <x:v>TW-02 has positive effective rate</x:v>
      </x:c>
      <x:c r="E105" s="25" t="n">
        <x:f>'Channel Register'!K56</x:f>
        <x:v>0.068</x:v>
      </x:c>
      <x:c r="F105" s="25" t="n">
        <x:v>0</x:v>
      </x:c>
      <x:c r="G105" s="27" t="str">
        <x:f>IF(E105&gt;F105,"PASS","FAIL")</x:f>
        <x:v>PASS</x:v>
      </x:c>
    </x:row>
    <x:row r="106" ht="18" customHeight="1">
      <x:c r="B106" s="25" t="str">
        <x:v>A100</x:v>
      </x:c>
      <x:c r="C106" s="25" t="str">
        <x:v>channel state</x:v>
      </x:c>
      <x:c r="D106" s="25" t="str">
        <x:v>TW-02 remains openly unearned</x:v>
      </x:c>
      <x:c r="E106" s="25" t="n">
        <x:f>IF('Channel Register'!N56="OPEN",1,0)</x:f>
        <x:v>1</x:v>
      </x:c>
      <x:c r="F106" s="25" t="n">
        <x:v>1</x:v>
      </x:c>
      <x:c r="G106" s="27" t="str">
        <x:f>IF(E106=F106,"PASS","FAIL")</x:f>
        <x:v>PASS</x:v>
      </x:c>
    </x:row>
    <x:row r="107" ht="18" customHeight="1">
      <x:c r="B107" s="25" t="str">
        <x:v>A101</x:v>
      </x:c>
      <x:c r="C107" s="25" t="str">
        <x:v>channel rate</x:v>
      </x:c>
      <x:c r="D107" s="25" t="str">
        <x:v>TW-03 has positive effective rate</x:v>
      </x:c>
      <x:c r="E107" s="25" t="n">
        <x:f>'Channel Register'!K57</x:f>
        <x:v>0.0352</x:v>
      </x:c>
      <x:c r="F107" s="25" t="n">
        <x:v>0</x:v>
      </x:c>
      <x:c r="G107" s="27" t="str">
        <x:f>IF(E107&gt;F107,"PASS","FAIL")</x:f>
        <x:v>PASS</x:v>
      </x:c>
    </x:row>
    <x:row r="108" ht="18" customHeight="1">
      <x:c r="B108" s="25" t="str">
        <x:v>A102</x:v>
      </x:c>
      <x:c r="C108" s="25" t="str">
        <x:v>channel state</x:v>
      </x:c>
      <x:c r="D108" s="25" t="str">
        <x:v>TW-03 remains openly unearned</x:v>
      </x:c>
      <x:c r="E108" s="25" t="n">
        <x:f>IF('Channel Register'!N57="OPEN",1,0)</x:f>
        <x:v>1</x:v>
      </x:c>
      <x:c r="F108" s="25" t="n">
        <x:v>1</x:v>
      </x:c>
      <x:c r="G108" s="27" t="str">
        <x:f>IF(E108=F108,"PASS","FAIL")</x:f>
        <x:v>PASS</x:v>
      </x:c>
    </x:row>
    <x:row r="109" ht="18" customHeight="1">
      <x:c r="B109" s="25" t="str">
        <x:v>A103</x:v>
      </x:c>
      <x:c r="C109" s="25" t="str">
        <x:v>channel rate</x:v>
      </x:c>
      <x:c r="D109" s="25" t="str">
        <x:v>TW-04 has positive effective rate</x:v>
      </x:c>
      <x:c r="E109" s="25" t="n">
        <x:f>'Channel Register'!K58</x:f>
        <x:v>0.00212</x:v>
      </x:c>
      <x:c r="F109" s="25" t="n">
        <x:v>0</x:v>
      </x:c>
      <x:c r="G109" s="27" t="str">
        <x:f>IF(E109&gt;F109,"PASS","FAIL")</x:f>
        <x:v>PASS</x:v>
      </x:c>
    </x:row>
    <x:row r="110" ht="18" customHeight="1">
      <x:c r="B110" s="25" t="str">
        <x:v>A104</x:v>
      </x:c>
      <x:c r="C110" s="25" t="str">
        <x:v>channel state</x:v>
      </x:c>
      <x:c r="D110" s="25" t="str">
        <x:v>TW-04 remains openly unearned</x:v>
      </x:c>
      <x:c r="E110" s="25" t="n">
        <x:f>IF('Channel Register'!N58="OPEN",1,0)</x:f>
        <x:v>1</x:v>
      </x:c>
      <x:c r="F110" s="25" t="n">
        <x:v>1</x:v>
      </x:c>
      <x:c r="G110" s="27" t="str">
        <x:f>IF(E110=F110,"PASS","FAIL")</x:f>
        <x:v>PASS</x:v>
      </x:c>
    </x:row>
    <x:row r="111" ht="18" customHeight="1">
      <x:c r="B111" s="25" t="str">
        <x:v>A105</x:v>
      </x:c>
      <x:c r="C111" s="25" t="str">
        <x:v>channel rate</x:v>
      </x:c>
      <x:c r="D111" s="25" t="str">
        <x:v>TW-05 has positive effective rate</x:v>
      </x:c>
      <x:c r="E111" s="25" t="n">
        <x:f>'Channel Register'!K59</x:f>
        <x:v>0.0044</x:v>
      </x:c>
      <x:c r="F111" s="25" t="n">
        <x:v>0</x:v>
      </x:c>
      <x:c r="G111" s="27" t="str">
        <x:f>IF(E111&gt;F111,"PASS","FAIL")</x:f>
        <x:v>PASS</x:v>
      </x:c>
    </x:row>
    <x:row r="112" ht="18" customHeight="1">
      <x:c r="B112" s="25" t="str">
        <x:v>A106</x:v>
      </x:c>
      <x:c r="C112" s="25" t="str">
        <x:v>channel state</x:v>
      </x:c>
      <x:c r="D112" s="25" t="str">
        <x:v>TW-05 remains openly unearned</x:v>
      </x:c>
      <x:c r="E112" s="25" t="n">
        <x:f>IF('Channel Register'!N59="OPEN",1,0)</x:f>
        <x:v>1</x:v>
      </x:c>
      <x:c r="F112" s="25" t="n">
        <x:v>1</x:v>
      </x:c>
      <x:c r="G112" s="27" t="str">
        <x:f>IF(E112=F112,"PASS","FAIL")</x:f>
        <x:v>PASS</x:v>
      </x:c>
    </x:row>
    <x:row r="113" ht="18" customHeight="1">
      <x:c r="B113" s="25" t="str">
        <x:v>A107</x:v>
      </x:c>
      <x:c r="C113" s="25" t="str">
        <x:v>channel rate</x:v>
      </x:c>
      <x:c r="D113" s="25" t="str">
        <x:v>TW-06 has positive effective rate</x:v>
      </x:c>
      <x:c r="E113" s="25" t="n">
        <x:f>'Channel Register'!K60</x:f>
        <x:v>0.00424</x:v>
      </x:c>
      <x:c r="F113" s="25" t="n">
        <x:v>0</x:v>
      </x:c>
      <x:c r="G113" s="27" t="str">
        <x:f>IF(E113&gt;F113,"PASS","FAIL")</x:f>
        <x:v>PASS</x:v>
      </x:c>
    </x:row>
    <x:row r="114" ht="18" customHeight="1">
      <x:c r="B114" s="25" t="str">
        <x:v>A108</x:v>
      </x:c>
      <x:c r="C114" s="25" t="str">
        <x:v>channel state</x:v>
      </x:c>
      <x:c r="D114" s="25" t="str">
        <x:v>TW-06 remains openly unearned</x:v>
      </x:c>
      <x:c r="E114" s="25" t="n">
        <x:f>IF('Channel Register'!N60="OPEN",1,0)</x:f>
        <x:v>1</x:v>
      </x:c>
      <x:c r="F114" s="25" t="n">
        <x:v>1</x:v>
      </x:c>
      <x:c r="G114" s="27" t="str">
        <x:f>IF(E114=F114,"PASS","FAIL")</x:f>
        <x:v>PASS</x:v>
      </x:c>
    </x:row>
    <x:row r="115" ht="18" customHeight="1">
      <x:c r="B115" s="25" t="str">
        <x:v>A109</x:v>
      </x:c>
      <x:c r="C115" s="25" t="str">
        <x:v>channel rate</x:v>
      </x:c>
      <x:c r="D115" s="25" t="str">
        <x:v>TW-07 has positive effective rate</x:v>
      </x:c>
      <x:c r="E115" s="25" t="n">
        <x:f>'Channel Register'!K61</x:f>
        <x:v>0.00056</x:v>
      </x:c>
      <x:c r="F115" s="25" t="n">
        <x:v>0</x:v>
      </x:c>
      <x:c r="G115" s="27" t="str">
        <x:f>IF(E115&gt;F115,"PASS","FAIL")</x:f>
        <x:v>PASS</x:v>
      </x:c>
    </x:row>
    <x:row r="116" ht="18" customHeight="1">
      <x:c r="B116" s="25" t="str">
        <x:v>A110</x:v>
      </x:c>
      <x:c r="C116" s="25" t="str">
        <x:v>channel state</x:v>
      </x:c>
      <x:c r="D116" s="25" t="str">
        <x:v>TW-07 remains openly unearned</x:v>
      </x:c>
      <x:c r="E116" s="25" t="n">
        <x:f>IF('Channel Register'!N61="OPEN",1,0)</x:f>
        <x:v>1</x:v>
      </x:c>
      <x:c r="F116" s="25" t="n">
        <x:v>1</x:v>
      </x:c>
      <x:c r="G116" s="27" t="str">
        <x:f>IF(E116=F116,"PASS","FAIL")</x:f>
        <x:v>PASS</x:v>
      </x:c>
    </x:row>
    <x:row r="117" ht="18" customHeight="1">
      <x:c r="B117" s="25" t="str">
        <x:v>A111</x:v>
      </x:c>
      <x:c r="C117" s="25" t="str">
        <x:v>channel rate</x:v>
      </x:c>
      <x:c r="D117" s="25" t="str">
        <x:v>TW-08 has positive effective rate</x:v>
      </x:c>
      <x:c r="E117" s="25" t="n">
        <x:f>'Channel Register'!K62</x:f>
        <x:v>1.875</x:v>
      </x:c>
      <x:c r="F117" s="25" t="n">
        <x:v>0</x:v>
      </x:c>
      <x:c r="G117" s="27" t="str">
        <x:f>IF(E117&gt;F117,"PASS","FAIL")</x:f>
        <x:v>PASS</x:v>
      </x:c>
    </x:row>
    <x:row r="118" ht="18" customHeight="1">
      <x:c r="B118" s="25" t="str">
        <x:v>A112</x:v>
      </x:c>
      <x:c r="C118" s="25" t="str">
        <x:v>channel state</x:v>
      </x:c>
      <x:c r="D118" s="25" t="str">
        <x:v>TW-08 remains openly unearned</x:v>
      </x:c>
      <x:c r="E118" s="25" t="n">
        <x:f>IF('Channel Register'!N62="OPEN",1,0)</x:f>
        <x:v>1</x:v>
      </x:c>
      <x:c r="F118" s="25" t="n">
        <x:v>1</x:v>
      </x:c>
      <x:c r="G118" s="27" t="str">
        <x:f>IF(E118=F118,"PASS","FAIL")</x:f>
        <x:v>PASS</x:v>
      </x:c>
    </x:row>
    <x:row r="119" ht="18" customHeight="1">
      <x:c r="B119" s="25" t="str">
        <x:v>A113</x:v>
      </x:c>
      <x:c r="C119" s="25" t="str">
        <x:v>channel rate</x:v>
      </x:c>
      <x:c r="D119" s="25" t="str">
        <x:v>TT-01 has positive effective rate</x:v>
      </x:c>
      <x:c r="E119" s="25" t="n">
        <x:f>'Channel Register'!K63</x:f>
        <x:v>0.06</x:v>
      </x:c>
      <x:c r="F119" s="25" t="n">
        <x:v>0</x:v>
      </x:c>
      <x:c r="G119" s="27" t="str">
        <x:f>IF(E119&gt;F119,"PASS","FAIL")</x:f>
        <x:v>PASS</x:v>
      </x:c>
    </x:row>
    <x:row r="120" ht="18" customHeight="1">
      <x:c r="B120" s="25" t="str">
        <x:v>A114</x:v>
      </x:c>
      <x:c r="C120" s="25" t="str">
        <x:v>channel state</x:v>
      </x:c>
      <x:c r="D120" s="25" t="str">
        <x:v>TT-01 remains openly unearned</x:v>
      </x:c>
      <x:c r="E120" s="25" t="n">
        <x:f>IF('Channel Register'!N63="OPEN",1,0)</x:f>
        <x:v>1</x:v>
      </x:c>
      <x:c r="F120" s="25" t="n">
        <x:v>1</x:v>
      </x:c>
      <x:c r="G120" s="27" t="str">
        <x:f>IF(E120=F120,"PASS","FAIL")</x:f>
        <x:v>PASS</x:v>
      </x:c>
    </x:row>
    <x:row r="121" ht="18" customHeight="1">
      <x:c r="B121" s="25" t="str">
        <x:v>A115</x:v>
      </x:c>
      <x:c r="C121" s="25" t="str">
        <x:v>channel rate</x:v>
      </x:c>
      <x:c r="D121" s="25" t="str">
        <x:v>TT-02 has positive effective rate</x:v>
      </x:c>
      <x:c r="E121" s="25" t="n">
        <x:f>'Channel Register'!K64</x:f>
        <x:v>0.1</x:v>
      </x:c>
      <x:c r="F121" s="25" t="n">
        <x:v>0</x:v>
      </x:c>
      <x:c r="G121" s="27" t="str">
        <x:f>IF(E121&gt;F121,"PASS","FAIL")</x:f>
        <x:v>PASS</x:v>
      </x:c>
    </x:row>
    <x:row r="122" ht="18" customHeight="1">
      <x:c r="B122" s="25" t="str">
        <x:v>A116</x:v>
      </x:c>
      <x:c r="C122" s="25" t="str">
        <x:v>channel state</x:v>
      </x:c>
      <x:c r="D122" s="25" t="str">
        <x:v>TT-02 remains openly unearned</x:v>
      </x:c>
      <x:c r="E122" s="25" t="n">
        <x:f>IF('Channel Register'!N64="OPEN",1,0)</x:f>
        <x:v>1</x:v>
      </x:c>
      <x:c r="F122" s="25" t="n">
        <x:v>1</x:v>
      </x:c>
      <x:c r="G122" s="27" t="str">
        <x:f>IF(E122=F122,"PASS","FAIL")</x:f>
        <x:v>PASS</x:v>
      </x:c>
    </x:row>
    <x:row r="123" ht="18" customHeight="1">
      <x:c r="B123" s="25" t="str">
        <x:v>A117</x:v>
      </x:c>
      <x:c r="C123" s="25" t="str">
        <x:v>channel rate</x:v>
      </x:c>
      <x:c r="D123" s="25" t="str">
        <x:v>TT-03 has positive effective rate</x:v>
      </x:c>
      <x:c r="E123" s="25" t="n">
        <x:f>'Channel Register'!K65</x:f>
        <x:v>0.0212</x:v>
      </x:c>
      <x:c r="F123" s="25" t="n">
        <x:v>0</x:v>
      </x:c>
      <x:c r="G123" s="27" t="str">
        <x:f>IF(E123&gt;F123,"PASS","FAIL")</x:f>
        <x:v>PASS</x:v>
      </x:c>
    </x:row>
    <x:row r="124" ht="18" customHeight="1">
      <x:c r="B124" s="25" t="str">
        <x:v>A118</x:v>
      </x:c>
      <x:c r="C124" s="25" t="str">
        <x:v>channel state</x:v>
      </x:c>
      <x:c r="D124" s="25" t="str">
        <x:v>TT-03 remains openly unearned</x:v>
      </x:c>
      <x:c r="E124" s="25" t="n">
        <x:f>IF('Channel Register'!N65="OPEN",1,0)</x:f>
        <x:v>1</x:v>
      </x:c>
      <x:c r="F124" s="25" t="n">
        <x:v>1</x:v>
      </x:c>
      <x:c r="G124" s="27" t="str">
        <x:f>IF(E124=F124,"PASS","FAIL")</x:f>
        <x:v>PASS</x:v>
      </x:c>
    </x:row>
    <x:row r="125" ht="18" customHeight="1">
      <x:c r="B125" s="25" t="str">
        <x:v>A119</x:v>
      </x:c>
      <x:c r="C125" s="25" t="str">
        <x:v>channel rate</x:v>
      </x:c>
      <x:c r="D125" s="25" t="str">
        <x:v>TT-04 has positive effective rate</x:v>
      </x:c>
      <x:c r="E125" s="25" t="n">
        <x:f>'Channel Register'!K66</x:f>
        <x:v>0.00704</x:v>
      </x:c>
      <x:c r="F125" s="25" t="n">
        <x:v>0</x:v>
      </x:c>
      <x:c r="G125" s="27" t="str">
        <x:f>IF(E125&gt;F125,"PASS","FAIL")</x:f>
        <x:v>PASS</x:v>
      </x:c>
    </x:row>
    <x:row r="126" ht="18" customHeight="1">
      <x:c r="B126" s="25" t="str">
        <x:v>A120</x:v>
      </x:c>
      <x:c r="C126" s="25" t="str">
        <x:v>channel state</x:v>
      </x:c>
      <x:c r="D126" s="25" t="str">
        <x:v>TT-04 remains openly unearned</x:v>
      </x:c>
      <x:c r="E126" s="25" t="n">
        <x:f>IF('Channel Register'!N66="OPEN",1,0)</x:f>
        <x:v>1</x:v>
      </x:c>
      <x:c r="F126" s="25" t="n">
        <x:v>1</x:v>
      </x:c>
      <x:c r="G126" s="27" t="str">
        <x:f>IF(E126=F126,"PASS","FAIL")</x:f>
        <x:v>PASS</x:v>
      </x:c>
    </x:row>
    <x:row r="127" ht="18" customHeight="1">
      <x:c r="B127" s="25" t="str">
        <x:v>A121</x:v>
      </x:c>
      <x:c r="C127" s="25" t="str">
        <x:v>channel rate</x:v>
      </x:c>
      <x:c r="D127" s="25" t="str">
        <x:v>TT-05 has positive effective rate</x:v>
      </x:c>
      <x:c r="E127" s="25" t="n">
        <x:f>'Channel Register'!K67</x:f>
        <x:v>0.009</x:v>
      </x:c>
      <x:c r="F127" s="25" t="n">
        <x:v>0</x:v>
      </x:c>
      <x:c r="G127" s="27" t="str">
        <x:f>IF(E127&gt;F127,"PASS","FAIL")</x:f>
        <x:v>PASS</x:v>
      </x:c>
    </x:row>
    <x:row r="128" ht="18" customHeight="1">
      <x:c r="B128" s="25" t="str">
        <x:v>A122</x:v>
      </x:c>
      <x:c r="C128" s="25" t="str">
        <x:v>channel state</x:v>
      </x:c>
      <x:c r="D128" s="25" t="str">
        <x:v>TT-05 remains openly unearned</x:v>
      </x:c>
      <x:c r="E128" s="25" t="n">
        <x:f>IF('Channel Register'!N67="OPEN",1,0)</x:f>
        <x:v>1</x:v>
      </x:c>
      <x:c r="F128" s="25" t="n">
        <x:v>1</x:v>
      </x:c>
      <x:c r="G128" s="27" t="str">
        <x:f>IF(E128=F128,"PASS","FAIL")</x:f>
        <x:v>PASS</x:v>
      </x:c>
    </x:row>
    <x:row r="129" ht="18" customHeight="1">
      <x:c r="B129" s="25" t="str">
        <x:v>A123</x:v>
      </x:c>
      <x:c r="C129" s="25" t="str">
        <x:v>channel rate</x:v>
      </x:c>
      <x:c r="D129" s="25" t="str">
        <x:v>TT-06 has positive effective rate</x:v>
      </x:c>
      <x:c r="E129" s="25" t="n">
        <x:f>'Channel Register'!K68</x:f>
        <x:v>0.00424</x:v>
      </x:c>
      <x:c r="F129" s="25" t="n">
        <x:v>0</x:v>
      </x:c>
      <x:c r="G129" s="27" t="str">
        <x:f>IF(E129&gt;F129,"PASS","FAIL")</x:f>
        <x:v>PASS</x:v>
      </x:c>
    </x:row>
    <x:row r="130" ht="18" customHeight="1">
      <x:c r="B130" s="25" t="str">
        <x:v>A124</x:v>
      </x:c>
      <x:c r="C130" s="25" t="str">
        <x:v>channel state</x:v>
      </x:c>
      <x:c r="D130" s="25" t="str">
        <x:v>TT-06 remains openly unearned</x:v>
      </x:c>
      <x:c r="E130" s="25" t="n">
        <x:f>IF('Channel Register'!N68="OPEN",1,0)</x:f>
        <x:v>1</x:v>
      </x:c>
      <x:c r="F130" s="25" t="n">
        <x:v>1</x:v>
      </x:c>
      <x:c r="G130" s="27" t="str">
        <x:f>IF(E130=F130,"PASS","FAIL")</x:f>
        <x:v>PASS</x:v>
      </x:c>
    </x:row>
    <x:row r="131" ht="18" customHeight="1">
      <x:c r="B131" s="25" t="str">
        <x:v>A125</x:v>
      </x:c>
      <x:c r="C131" s="25" t="str">
        <x:v>channel rate</x:v>
      </x:c>
      <x:c r="D131" s="25" t="str">
        <x:v>TT-07 has positive effective rate</x:v>
      </x:c>
      <x:c r="E131" s="25" t="n">
        <x:f>'Channel Register'!K69</x:f>
        <x:v>0.000416</x:v>
      </x:c>
      <x:c r="F131" s="25" t="n">
        <x:v>0</x:v>
      </x:c>
      <x:c r="G131" s="27" t="str">
        <x:f>IF(E131&gt;F131,"PASS","FAIL")</x:f>
        <x:v>PASS</x:v>
      </x:c>
    </x:row>
    <x:row r="132" ht="18" customHeight="1">
      <x:c r="B132" s="25" t="str">
        <x:v>A126</x:v>
      </x:c>
      <x:c r="C132" s="25" t="str">
        <x:v>channel state</x:v>
      </x:c>
      <x:c r="D132" s="25" t="str">
        <x:v>TT-07 remains openly unearned</x:v>
      </x:c>
      <x:c r="E132" s="25" t="n">
        <x:f>IF('Channel Register'!N69="OPEN",1,0)</x:f>
        <x:v>1</x:v>
      </x:c>
      <x:c r="F132" s="25" t="n">
        <x:v>1</x:v>
      </x:c>
      <x:c r="G132" s="27" t="str">
        <x:f>IF(E132=F132,"PASS","FAIL")</x:f>
        <x:v>PASS</x:v>
      </x:c>
    </x:row>
    <x:row r="133" ht="18" customHeight="1">
      <x:c r="B133" s="25" t="str">
        <x:v>A127</x:v>
      </x:c>
      <x:c r="C133" s="25" t="str">
        <x:v>channel rate</x:v>
      </x:c>
      <x:c r="D133" s="25" t="str">
        <x:v>TT-08 has positive effective rate</x:v>
      </x:c>
      <x:c r="E133" s="25" t="n">
        <x:f>'Channel Register'!K70</x:f>
        <x:v>2.5</x:v>
      </x:c>
      <x:c r="F133" s="25" t="n">
        <x:v>0</x:v>
      </x:c>
      <x:c r="G133" s="27" t="str">
        <x:f>IF(E133&gt;F133,"PASS","FAIL")</x:f>
        <x:v>PASS</x:v>
      </x:c>
    </x:row>
    <x:row r="134" ht="18" customHeight="1">
      <x:c r="B134" s="25" t="str">
        <x:v>A128</x:v>
      </x:c>
      <x:c r="C134" s="25" t="str">
        <x:v>channel state</x:v>
      </x:c>
      <x:c r="D134" s="25" t="str">
        <x:v>TT-08 remains openly unearned</x:v>
      </x:c>
      <x:c r="E134" s="25" t="n">
        <x:f>IF('Channel Register'!N70="OPEN",1,0)</x:f>
        <x:v>1</x:v>
      </x:c>
      <x:c r="F134" s="25" t="n">
        <x:v>1</x:v>
      </x:c>
      <x:c r="G134" s="27" t="str">
        <x:f>IF(E134=F134,"PASS","FAIL")</x:f>
        <x:v>PASS</x:v>
      </x:c>
    </x:row>
    <x:row r="135" ht="18" customHeight="1">
      <x:c r="B135" s="25" t="str">
        <x:v>A129</x:v>
      </x:c>
      <x:c r="C135" s="25" t="str">
        <x:v>channel rate</x:v>
      </x:c>
      <x:c r="D135" s="25" t="str">
        <x:v>TD-01 has positive effective rate</x:v>
      </x:c>
      <x:c r="E135" s="25" t="n">
        <x:f>'Channel Register'!K71</x:f>
        <x:v>0.08</x:v>
      </x:c>
      <x:c r="F135" s="25" t="n">
        <x:v>0</x:v>
      </x:c>
      <x:c r="G135" s="27" t="str">
        <x:f>IF(E135&gt;F135,"PASS","FAIL")</x:f>
        <x:v>PASS</x:v>
      </x:c>
    </x:row>
    <x:row r="136" ht="18" customHeight="1">
      <x:c r="B136" s="25" t="str">
        <x:v>A130</x:v>
      </x:c>
      <x:c r="C136" s="25" t="str">
        <x:v>channel state</x:v>
      </x:c>
      <x:c r="D136" s="25" t="str">
        <x:v>TD-01 remains openly unearned</x:v>
      </x:c>
      <x:c r="E136" s="25" t="n">
        <x:f>IF('Channel Register'!N71="OPEN",1,0)</x:f>
        <x:v>1</x:v>
      </x:c>
      <x:c r="F136" s="25" t="n">
        <x:v>1</x:v>
      </x:c>
      <x:c r="G136" s="27" t="str">
        <x:f>IF(E136=F136,"PASS","FAIL")</x:f>
        <x:v>PASS</x:v>
      </x:c>
    </x:row>
    <x:row r="137" ht="18" customHeight="1">
      <x:c r="B137" s="25" t="str">
        <x:v>A131</x:v>
      </x:c>
      <x:c r="C137" s="25" t="str">
        <x:v>channel rate</x:v>
      </x:c>
      <x:c r="D137" s="25" t="str">
        <x:v>TD-02 has positive effective rate</x:v>
      </x:c>
      <x:c r="E137" s="25" t="n">
        <x:f>'Channel Register'!K72</x:f>
        <x:v>0.202</x:v>
      </x:c>
      <x:c r="F137" s="25" t="n">
        <x:v>0</x:v>
      </x:c>
      <x:c r="G137" s="27" t="str">
        <x:f>IF(E137&gt;F137,"PASS","FAIL")</x:f>
        <x:v>PASS</x:v>
      </x:c>
    </x:row>
    <x:row r="138" ht="18" customHeight="1">
      <x:c r="B138" s="25" t="str">
        <x:v>A132</x:v>
      </x:c>
      <x:c r="C138" s="25" t="str">
        <x:v>channel state</x:v>
      </x:c>
      <x:c r="D138" s="25" t="str">
        <x:v>TD-02 remains openly unearned</x:v>
      </x:c>
      <x:c r="E138" s="25" t="n">
        <x:f>IF('Channel Register'!N72="OPEN",1,0)</x:f>
        <x:v>1</x:v>
      </x:c>
      <x:c r="F138" s="25" t="n">
        <x:v>1</x:v>
      </x:c>
      <x:c r="G138" s="27" t="str">
        <x:f>IF(E138=F138,"PASS","FAIL")</x:f>
        <x:v>PASS</x:v>
      </x:c>
    </x:row>
    <x:row r="139" ht="18" customHeight="1">
      <x:c r="B139" s="25" t="str">
        <x:v>A133</x:v>
      </x:c>
      <x:c r="C139" s="25" t="str">
        <x:v>channel rate</x:v>
      </x:c>
      <x:c r="D139" s="25" t="str">
        <x:v>TD-03 has positive effective rate</x:v>
      </x:c>
      <x:c r="E139" s="25" t="n">
        <x:f>'Channel Register'!K73</x:f>
        <x:v>0.0212</x:v>
      </x:c>
      <x:c r="F139" s="25" t="n">
        <x:v>0</x:v>
      </x:c>
      <x:c r="G139" s="27" t="str">
        <x:f>IF(E139&gt;F139,"PASS","FAIL")</x:f>
        <x:v>PASS</x:v>
      </x:c>
    </x:row>
    <x:row r="140" ht="18" customHeight="1">
      <x:c r="B140" s="25" t="str">
        <x:v>A134</x:v>
      </x:c>
      <x:c r="C140" s="25" t="str">
        <x:v>channel state</x:v>
      </x:c>
      <x:c r="D140" s="25" t="str">
        <x:v>TD-03 remains openly unearned</x:v>
      </x:c>
      <x:c r="E140" s="25" t="n">
        <x:f>IF('Channel Register'!N73="OPEN",1,0)</x:f>
        <x:v>1</x:v>
      </x:c>
      <x:c r="F140" s="25" t="n">
        <x:v>1</x:v>
      </x:c>
      <x:c r="G140" s="27" t="str">
        <x:f>IF(E140=F140,"PASS","FAIL")</x:f>
        <x:v>PASS</x:v>
      </x:c>
    </x:row>
    <x:row r="141" ht="18" customHeight="1">
      <x:c r="B141" s="25" t="str">
        <x:v>A135</x:v>
      </x:c>
      <x:c r="C141" s="25" t="str">
        <x:v>channel rate</x:v>
      </x:c>
      <x:c r="D141" s="25" t="str">
        <x:v>TD-04 has positive effective rate</x:v>
      </x:c>
      <x:c r="E141" s="25" t="n">
        <x:f>'Channel Register'!K74</x:f>
        <x:v>0.0014</x:v>
      </x:c>
      <x:c r="F141" s="25" t="n">
        <x:v>0</x:v>
      </x:c>
      <x:c r="G141" s="27" t="str">
        <x:f>IF(E141&gt;F141,"PASS","FAIL")</x:f>
        <x:v>PASS</x:v>
      </x:c>
    </x:row>
    <x:row r="142" ht="18" customHeight="1">
      <x:c r="B142" s="25" t="str">
        <x:v>A136</x:v>
      </x:c>
      <x:c r="C142" s="25" t="str">
        <x:v>channel state</x:v>
      </x:c>
      <x:c r="D142" s="25" t="str">
        <x:v>TD-04 remains openly unearned</x:v>
      </x:c>
      <x:c r="E142" s="25" t="n">
        <x:f>IF('Channel Register'!N74="OPEN",1,0)</x:f>
        <x:v>1</x:v>
      </x:c>
      <x:c r="F142" s="25" t="n">
        <x:v>1</x:v>
      </x:c>
      <x:c r="G142" s="27" t="str">
        <x:f>IF(E142=F142,"PASS","FAIL")</x:f>
        <x:v>PASS</x:v>
      </x:c>
    </x:row>
    <x:row r="143" ht="18" customHeight="1">
      <x:c r="B143" s="25" t="str">
        <x:v>A137</x:v>
      </x:c>
      <x:c r="C143" s="25" t="str">
        <x:v>channel rate</x:v>
      </x:c>
      <x:c r="D143" s="25" t="str">
        <x:v>TD-05 has positive effective rate</x:v>
      </x:c>
      <x:c r="E143" s="25" t="n">
        <x:f>'Channel Register'!K75</x:f>
        <x:v>0.0358</x:v>
      </x:c>
      <x:c r="F143" s="25" t="n">
        <x:v>0</x:v>
      </x:c>
      <x:c r="G143" s="27" t="str">
        <x:f>IF(E143&gt;F143,"PASS","FAIL")</x:f>
        <x:v>PASS</x:v>
      </x:c>
    </x:row>
    <x:row r="144" ht="18" customHeight="1">
      <x:c r="B144" s="25" t="str">
        <x:v>A138</x:v>
      </x:c>
      <x:c r="C144" s="25" t="str">
        <x:v>channel state</x:v>
      </x:c>
      <x:c r="D144" s="25" t="str">
        <x:v>TD-05 remains openly unearned</x:v>
      </x:c>
      <x:c r="E144" s="25" t="n">
        <x:f>IF('Channel Register'!N75="OPEN",1,0)</x:f>
        <x:v>1</x:v>
      </x:c>
      <x:c r="F144" s="25" t="n">
        <x:v>1</x:v>
      </x:c>
      <x:c r="G144" s="27" t="str">
        <x:f>IF(E144=F144,"PASS","FAIL")</x:f>
        <x:v>PASS</x:v>
      </x:c>
    </x:row>
    <x:row r="145" ht="18" customHeight="1">
      <x:c r="B145" s="25" t="str">
        <x:v>A139</x:v>
      </x:c>
      <x:c r="C145" s="25" t="str">
        <x:v>channel rate</x:v>
      </x:c>
      <x:c r="D145" s="25" t="str">
        <x:v>TD-06 has positive effective rate</x:v>
      </x:c>
      <x:c r="E145" s="25" t="n">
        <x:f>'Channel Register'!K76</x:f>
        <x:v>0.00564</x:v>
      </x:c>
      <x:c r="F145" s="25" t="n">
        <x:v>0</x:v>
      </x:c>
      <x:c r="G145" s="27" t="str">
        <x:f>IF(E145&gt;F145,"PASS","FAIL")</x:f>
        <x:v>PASS</x:v>
      </x:c>
    </x:row>
    <x:row r="146" ht="18" customHeight="1">
      <x:c r="B146" s="25" t="str">
        <x:v>A140</x:v>
      </x:c>
      <x:c r="C146" s="25" t="str">
        <x:v>channel state</x:v>
      </x:c>
      <x:c r="D146" s="25" t="str">
        <x:v>TD-06 remains openly unearned</x:v>
      </x:c>
      <x:c r="E146" s="25" t="n">
        <x:f>IF('Channel Register'!N76="OPEN",1,0)</x:f>
        <x:v>1</x:v>
      </x:c>
      <x:c r="F146" s="25" t="n">
        <x:v>1</x:v>
      </x:c>
      <x:c r="G146" s="27" t="str">
        <x:f>IF(E146=F146,"PASS","FAIL")</x:f>
        <x:v>PASS</x:v>
      </x:c>
    </x:row>
    <x:row r="147" ht="18" customHeight="1">
      <x:c r="B147" s="25" t="str">
        <x:v>A141</x:v>
      </x:c>
      <x:c r="C147" s="25" t="str">
        <x:v>channel rate</x:v>
      </x:c>
      <x:c r="D147" s="25" t="str">
        <x:v>TD-07 has positive effective rate</x:v>
      </x:c>
      <x:c r="E147" s="25" t="n">
        <x:f>'Channel Register'!K77</x:f>
        <x:v>0.000416</x:v>
      </x:c>
      <x:c r="F147" s="25" t="n">
        <x:v>0</x:v>
      </x:c>
      <x:c r="G147" s="27" t="str">
        <x:f>IF(E147&gt;F147,"PASS","FAIL")</x:f>
        <x:v>PASS</x:v>
      </x:c>
    </x:row>
    <x:row r="148" ht="18" customHeight="1">
      <x:c r="B148" s="25" t="str">
        <x:v>A142</x:v>
      </x:c>
      <x:c r="C148" s="25" t="str">
        <x:v>channel state</x:v>
      </x:c>
      <x:c r="D148" s="25" t="str">
        <x:v>TD-07 remains openly unearned</x:v>
      </x:c>
      <x:c r="E148" s="25" t="n">
        <x:f>IF('Channel Register'!N77="OPEN",1,0)</x:f>
        <x:v>1</x:v>
      </x:c>
      <x:c r="F148" s="25" t="n">
        <x:v>1</x:v>
      </x:c>
      <x:c r="G148" s="27" t="str">
        <x:f>IF(E148=F148,"PASS","FAIL")</x:f>
        <x:v>PASS</x:v>
      </x:c>
    </x:row>
    <x:row r="149" ht="18" customHeight="1">
      <x:c r="B149" s="25" t="str">
        <x:v>A143</x:v>
      </x:c>
      <x:c r="C149" s="25" t="str">
        <x:v>channel rate</x:v>
      </x:c>
      <x:c r="D149" s="25" t="str">
        <x:v>TD-08 has positive effective rate</x:v>
      </x:c>
      <x:c r="E149" s="25" t="n">
        <x:f>'Channel Register'!K78</x:f>
        <x:v>3.75</x:v>
      </x:c>
      <x:c r="F149" s="25" t="n">
        <x:v>0</x:v>
      </x:c>
      <x:c r="G149" s="27" t="str">
        <x:f>IF(E149&gt;F149,"PASS","FAIL")</x:f>
        <x:v>PASS</x:v>
      </x:c>
    </x:row>
    <x:row r="150" ht="18" customHeight="1">
      <x:c r="B150" s="25" t="str">
        <x:v>A144</x:v>
      </x:c>
      <x:c r="C150" s="25" t="str">
        <x:v>channel state</x:v>
      </x:c>
      <x:c r="D150" s="25" t="str">
        <x:v>TD-08 remains openly unearned</x:v>
      </x:c>
      <x:c r="E150" s="25" t="n">
        <x:f>IF('Channel Register'!N78="OPEN",1,0)</x:f>
        <x:v>1</x:v>
      </x:c>
      <x:c r="F150" s="25" t="n">
        <x:v>1</x:v>
      </x:c>
      <x:c r="G150" s="27" t="str">
        <x:f>IF(E150=F150,"PASS","FAIL")</x:f>
        <x:v>PASS</x:v>
      </x:c>
    </x:row>
    <x:row r="151" ht="18" customHeight="1">
      <x:c r="B151" s="25" t="str">
        <x:v>A145</x:v>
      </x:c>
      <x:c r="C151" s="25" t="str">
        <x:v>channel rate</x:v>
      </x:c>
      <x:c r="D151" s="25" t="str">
        <x:v>TC-01 has positive effective rate</x:v>
      </x:c>
      <x:c r="E151" s="25" t="n">
        <x:f>'Channel Register'!K79</x:f>
        <x:v>0.03</x:v>
      </x:c>
      <x:c r="F151" s="25" t="n">
        <x:v>0</x:v>
      </x:c>
      <x:c r="G151" s="27" t="str">
        <x:f>IF(E151&gt;F151,"PASS","FAIL")</x:f>
        <x:v>PASS</x:v>
      </x:c>
    </x:row>
    <x:row r="152" ht="18" customHeight="1">
      <x:c r="B152" s="25" t="str">
        <x:v>A146</x:v>
      </x:c>
      <x:c r="C152" s="25" t="str">
        <x:v>channel state</x:v>
      </x:c>
      <x:c r="D152" s="25" t="str">
        <x:v>TC-01 remains openly unearned</x:v>
      </x:c>
      <x:c r="E152" s="25" t="n">
        <x:f>IF('Channel Register'!N79="OPEN",1,0)</x:f>
        <x:v>1</x:v>
      </x:c>
      <x:c r="F152" s="25" t="n">
        <x:v>1</x:v>
      </x:c>
      <x:c r="G152" s="27" t="str">
        <x:f>IF(E152=F152,"PASS","FAIL")</x:f>
        <x:v>PASS</x:v>
      </x:c>
    </x:row>
    <x:row r="153" ht="18" customHeight="1">
      <x:c r="B153" s="25" t="str">
        <x:v>A147</x:v>
      </x:c>
      <x:c r="C153" s="25" t="str">
        <x:v>channel rate</x:v>
      </x:c>
      <x:c r="D153" s="25" t="str">
        <x:v>TC-02 has positive effective rate</x:v>
      </x:c>
      <x:c r="E153" s="25" t="n">
        <x:f>'Channel Register'!K80</x:f>
        <x:v>0.05</x:v>
      </x:c>
      <x:c r="F153" s="25" t="n">
        <x:v>0</x:v>
      </x:c>
      <x:c r="G153" s="27" t="str">
        <x:f>IF(E153&gt;F153,"PASS","FAIL")</x:f>
        <x:v>PASS</x:v>
      </x:c>
    </x:row>
    <x:row r="154" ht="18" customHeight="1">
      <x:c r="B154" s="25" t="str">
        <x:v>A148</x:v>
      </x:c>
      <x:c r="C154" s="25" t="str">
        <x:v>channel state</x:v>
      </x:c>
      <x:c r="D154" s="25" t="str">
        <x:v>TC-02 remains openly unearned</x:v>
      </x:c>
      <x:c r="E154" s="25" t="n">
        <x:f>IF('Channel Register'!N80="OPEN",1,0)</x:f>
        <x:v>1</x:v>
      </x:c>
      <x:c r="F154" s="25" t="n">
        <x:v>1</x:v>
      </x:c>
      <x:c r="G154" s="27" t="str">
        <x:f>IF(E154=F154,"PASS","FAIL")</x:f>
        <x:v>PASS</x:v>
      </x:c>
    </x:row>
    <x:row r="155" ht="18" customHeight="1">
      <x:c r="B155" s="25" t="str">
        <x:v>A149</x:v>
      </x:c>
      <x:c r="C155" s="25" t="str">
        <x:v>channel rate</x:v>
      </x:c>
      <x:c r="D155" s="25" t="str">
        <x:v>TC-03 has positive effective rate</x:v>
      </x:c>
      <x:c r="E155" s="25" t="n">
        <x:f>'Channel Register'!K81</x:f>
        <x:v>0.007</x:v>
      </x:c>
      <x:c r="F155" s="25" t="n">
        <x:v>0</x:v>
      </x:c>
      <x:c r="G155" s="27" t="str">
        <x:f>IF(E155&gt;F155,"PASS","FAIL")</x:f>
        <x:v>PASS</x:v>
      </x:c>
    </x:row>
    <x:row r="156" ht="18" customHeight="1">
      <x:c r="B156" s="25" t="str">
        <x:v>A150</x:v>
      </x:c>
      <x:c r="C156" s="25" t="str">
        <x:v>channel state</x:v>
      </x:c>
      <x:c r="D156" s="25" t="str">
        <x:v>TC-03 remains openly unearned</x:v>
      </x:c>
      <x:c r="E156" s="25" t="n">
        <x:f>IF('Channel Register'!N81="OPEN",1,0)</x:f>
        <x:v>1</x:v>
      </x:c>
      <x:c r="F156" s="25" t="n">
        <x:v>1</x:v>
      </x:c>
      <x:c r="G156" s="27" t="str">
        <x:f>IF(E156=F156,"PASS","FAIL")</x:f>
        <x:v>PASS</x:v>
      </x:c>
    </x:row>
    <x:row r="157" ht="18" customHeight="1">
      <x:c r="B157" s="25" t="str">
        <x:v>A151</x:v>
      </x:c>
      <x:c r="C157" s="25" t="str">
        <x:v>channel rate</x:v>
      </x:c>
      <x:c r="D157" s="25" t="str">
        <x:v>TC-04 has positive effective rate</x:v>
      </x:c>
      <x:c r="E157" s="25" t="n">
        <x:f>'Channel Register'!K82</x:f>
        <x:v>0.00212</x:v>
      </x:c>
      <x:c r="F157" s="25" t="n">
        <x:v>0</x:v>
      </x:c>
      <x:c r="G157" s="27" t="str">
        <x:f>IF(E157&gt;F157,"PASS","FAIL")</x:f>
        <x:v>PASS</x:v>
      </x:c>
    </x:row>
    <x:row r="158" ht="18" customHeight="1">
      <x:c r="B158" s="25" t="str">
        <x:v>A152</x:v>
      </x:c>
      <x:c r="C158" s="25" t="str">
        <x:v>channel state</x:v>
      </x:c>
      <x:c r="D158" s="25" t="str">
        <x:v>TC-04 remains openly unearned</x:v>
      </x:c>
      <x:c r="E158" s="25" t="n">
        <x:f>IF('Channel Register'!N82="OPEN",1,0)</x:f>
        <x:v>1</x:v>
      </x:c>
      <x:c r="F158" s="25" t="n">
        <x:v>1</x:v>
      </x:c>
      <x:c r="G158" s="27" t="str">
        <x:f>IF(E158=F158,"PASS","FAIL")</x:f>
        <x:v>PASS</x:v>
      </x:c>
    </x:row>
    <x:row r="159" ht="18" customHeight="1">
      <x:c r="B159" s="25" t="str">
        <x:v>A153</x:v>
      </x:c>
      <x:c r="C159" s="25" t="str">
        <x:v>channel rate</x:v>
      </x:c>
      <x:c r="D159" s="25" t="str">
        <x:v>TC-05 has positive effective rate</x:v>
      </x:c>
      <x:c r="E159" s="25" t="n">
        <x:f>'Channel Register'!K83</x:f>
        <x:v>0.0268</x:v>
      </x:c>
      <x:c r="F159" s="25" t="n">
        <x:v>0</x:v>
      </x:c>
      <x:c r="G159" s="27" t="str">
        <x:f>IF(E159&gt;F159,"PASS","FAIL")</x:f>
        <x:v>PASS</x:v>
      </x:c>
    </x:row>
    <x:row r="160" ht="18" customHeight="1">
      <x:c r="B160" s="25" t="str">
        <x:v>A154</x:v>
      </x:c>
      <x:c r="C160" s="25" t="str">
        <x:v>channel state</x:v>
      </x:c>
      <x:c r="D160" s="25" t="str">
        <x:v>TC-05 remains openly unearned</x:v>
      </x:c>
      <x:c r="E160" s="25" t="n">
        <x:f>IF('Channel Register'!N83="OPEN",1,0)</x:f>
        <x:v>1</x:v>
      </x:c>
      <x:c r="F160" s="25" t="n">
        <x:v>1</x:v>
      </x:c>
      <x:c r="G160" s="27" t="str">
        <x:f>IF(E160=F160,"PASS","FAIL")</x:f>
        <x:v>PASS</x:v>
      </x:c>
    </x:row>
    <x:row r="161" ht="18" customHeight="1">
      <x:c r="B161" s="25" t="str">
        <x:v>A155</x:v>
      </x:c>
      <x:c r="C161" s="25" t="str">
        <x:v>channel rate</x:v>
      </x:c>
      <x:c r="D161" s="25" t="str">
        <x:v>TC-06 has positive effective rate</x:v>
      </x:c>
      <x:c r="E161" s="25" t="n">
        <x:f>'Channel Register'!K84</x:f>
        <x:v>0.00844</x:v>
      </x:c>
      <x:c r="F161" s="25" t="n">
        <x:v>0</x:v>
      </x:c>
      <x:c r="G161" s="27" t="str">
        <x:f>IF(E161&gt;F161,"PASS","FAIL")</x:f>
        <x:v>PASS</x:v>
      </x:c>
    </x:row>
    <x:row r="162" ht="18" customHeight="1">
      <x:c r="B162" s="25" t="str">
        <x:v>A156</x:v>
      </x:c>
      <x:c r="C162" s="25" t="str">
        <x:v>channel state</x:v>
      </x:c>
      <x:c r="D162" s="25" t="str">
        <x:v>TC-06 remains openly unearned</x:v>
      </x:c>
      <x:c r="E162" s="25" t="n">
        <x:f>IF('Channel Register'!N84="OPEN",1,0)</x:f>
        <x:v>1</x:v>
      </x:c>
      <x:c r="F162" s="25" t="n">
        <x:v>1</x:v>
      </x:c>
      <x:c r="G162" s="27" t="str">
        <x:f>IF(E162=F162,"PASS","FAIL")</x:f>
        <x:v>PASS</x:v>
      </x:c>
    </x:row>
    <x:row r="163" ht="18" customHeight="1">
      <x:c r="B163" s="25" t="str">
        <x:v>A157</x:v>
      </x:c>
      <x:c r="C163" s="25" t="str">
        <x:v>channel rate</x:v>
      </x:c>
      <x:c r="D163" s="25" t="str">
        <x:v>TC-07 has positive effective rate</x:v>
      </x:c>
      <x:c r="E163" s="25" t="n">
        <x:f>'Channel Register'!K85</x:f>
        <x:v>0.002256</x:v>
      </x:c>
      <x:c r="F163" s="25" t="n">
        <x:v>0</x:v>
      </x:c>
      <x:c r="G163" s="27" t="str">
        <x:f>IF(E163&gt;F163,"PASS","FAIL")</x:f>
        <x:v>PASS</x:v>
      </x:c>
    </x:row>
    <x:row r="164" ht="18" customHeight="1">
      <x:c r="B164" s="25" t="str">
        <x:v>A158</x:v>
      </x:c>
      <x:c r="C164" s="25" t="str">
        <x:v>channel state</x:v>
      </x:c>
      <x:c r="D164" s="25" t="str">
        <x:v>TC-07 remains openly unearned</x:v>
      </x:c>
      <x:c r="E164" s="25" t="n">
        <x:f>IF('Channel Register'!N85="OPEN",1,0)</x:f>
        <x:v>1</x:v>
      </x:c>
      <x:c r="F164" s="25" t="n">
        <x:v>1</x:v>
      </x:c>
      <x:c r="G164" s="27" t="str">
        <x:f>IF(E164=F164,"PASS","FAIL")</x:f>
        <x:v>PASS</x:v>
      </x:c>
    </x:row>
    <x:row r="165" ht="18" customHeight="1">
      <x:c r="B165" s="25" t="str">
        <x:v>A159</x:v>
      </x:c>
      <x:c r="C165" s="25" t="str">
        <x:v>channel rate</x:v>
      </x:c>
      <x:c r="D165" s="25" t="str">
        <x:v>TC-08 has positive effective rate</x:v>
      </x:c>
      <x:c r="E165" s="25" t="n">
        <x:f>'Channel Register'!K86</x:f>
        <x:v>5</x:v>
      </x:c>
      <x:c r="F165" s="25" t="n">
        <x:v>0</x:v>
      </x:c>
      <x:c r="G165" s="27" t="str">
        <x:f>IF(E165&gt;F165,"PASS","FAIL")</x:f>
        <x:v>PASS</x:v>
      </x:c>
    </x:row>
    <x:row r="166" ht="18" customHeight="1">
      <x:c r="B166" s="25" t="str">
        <x:v>A160</x:v>
      </x:c>
      <x:c r="C166" s="25" t="str">
        <x:v>channel state</x:v>
      </x:c>
      <x:c r="D166" s="25" t="str">
        <x:v>TC-08 remains openly unearned</x:v>
      </x:c>
      <x:c r="E166" s="25" t="n">
        <x:f>IF('Channel Register'!N86="OPEN",1,0)</x:f>
        <x:v>1</x:v>
      </x:c>
      <x:c r="F166" s="25" t="n">
        <x:v>1</x:v>
      </x:c>
      <x:c r="G166" s="27" t="str">
        <x:f>IF(E166=F166,"PASS","FAIL")</x:f>
        <x:v>PASS</x:v>
      </x:c>
    </x:row>
    <x:row r="167" ht="18" customHeight="1">
      <x:c r="B167" s="25" t="str">
        <x:v>A161</x:v>
      </x:c>
      <x:c r="C167" s="25" t="str">
        <x:v>facility math</x:v>
      </x:c>
      <x:c r="D167" s="25" t="str">
        <x:v>line 7 extension equals quantity times unit cost</x:v>
      </x:c>
      <x:c r="E167" s="25" t="n">
        <x:f>'Facility Build'!F7</x:f>
        <x:v>4</x:v>
      </x:c>
      <x:c r="F167" s="25" t="n">
        <x:f>'Facility Build'!D7*'Facility Build'!E7</x:f>
        <x:v>4</x:v>
      </x:c>
      <x:c r="G167" s="27" t="str">
        <x:f>IF(E167=F167,"PASS","FAIL")</x:f>
        <x:v>PASS</x:v>
      </x:c>
    </x:row>
    <x:row r="168" ht="18" customHeight="1">
      <x:c r="B168" s="25" t="str">
        <x:v>A162</x:v>
      </x:c>
      <x:c r="C168" s="25" t="str">
        <x:v>facility state</x:v>
      </x:c>
      <x:c r="D168" s="25" t="str">
        <x:v>line 7 remains OPEN</x:v>
      </x:c>
      <x:c r="E168" s="25" t="n">
        <x:f>IF('Facility Build'!J7="OPEN",1,0)</x:f>
        <x:v>1</x:v>
      </x:c>
      <x:c r="F168" s="25" t="n">
        <x:v>1</x:v>
      </x:c>
      <x:c r="G168" s="27" t="str">
        <x:f>IF(E168=F168,"PASS","FAIL")</x:f>
        <x:v>PASS</x:v>
      </x:c>
    </x:row>
    <x:row r="169" ht="18" customHeight="1">
      <x:c r="B169" s="25" t="str">
        <x:v>A163</x:v>
      </x:c>
      <x:c r="C169" s="25" t="str">
        <x:v>facility math</x:v>
      </x:c>
      <x:c r="D169" s="25" t="str">
        <x:v>line 8 extension equals quantity times unit cost</x:v>
      </x:c>
      <x:c r="E169" s="25" t="n">
        <x:f>'Facility Build'!F8</x:f>
        <x:v>3</x:v>
      </x:c>
      <x:c r="F169" s="25" t="n">
        <x:f>'Facility Build'!D8*'Facility Build'!E8</x:f>
        <x:v>3</x:v>
      </x:c>
      <x:c r="G169" s="27" t="str">
        <x:f>IF(E169=F169,"PASS","FAIL")</x:f>
        <x:v>PASS</x:v>
      </x:c>
    </x:row>
    <x:row r="170" ht="18" customHeight="1">
      <x:c r="B170" s="25" t="str">
        <x:v>A164</x:v>
      </x:c>
      <x:c r="C170" s="25" t="str">
        <x:v>facility state</x:v>
      </x:c>
      <x:c r="D170" s="25" t="str">
        <x:v>line 8 remains OPEN</x:v>
      </x:c>
      <x:c r="E170" s="25" t="n">
        <x:f>IF('Facility Build'!J8="OPEN",1,0)</x:f>
        <x:v>1</x:v>
      </x:c>
      <x:c r="F170" s="25" t="n">
        <x:v>1</x:v>
      </x:c>
      <x:c r="G170" s="27" t="str">
        <x:f>IF(E170=F170,"PASS","FAIL")</x:f>
        <x:v>PASS</x:v>
      </x:c>
    </x:row>
    <x:row r="171" ht="18" customHeight="1">
      <x:c r="B171" s="25" t="str">
        <x:v>A165</x:v>
      </x:c>
      <x:c r="C171" s="25" t="str">
        <x:v>facility math</x:v>
      </x:c>
      <x:c r="D171" s="25" t="str">
        <x:v>line 9 extension equals quantity times unit cost</x:v>
      </x:c>
      <x:c r="E171" s="25" t="n">
        <x:f>'Facility Build'!F9</x:f>
        <x:v>2.4</x:v>
      </x:c>
      <x:c r="F171" s="25" t="n">
        <x:f>'Facility Build'!D9*'Facility Build'!E9</x:f>
        <x:v>2.4</x:v>
      </x:c>
      <x:c r="G171" s="27" t="str">
        <x:f>IF(E171=F171,"PASS","FAIL")</x:f>
        <x:v>PASS</x:v>
      </x:c>
    </x:row>
    <x:row r="172" ht="18" customHeight="1">
      <x:c r="B172" s="25" t="str">
        <x:v>A166</x:v>
      </x:c>
      <x:c r="C172" s="25" t="str">
        <x:v>facility state</x:v>
      </x:c>
      <x:c r="D172" s="25" t="str">
        <x:v>line 9 remains OPEN</x:v>
      </x:c>
      <x:c r="E172" s="25" t="n">
        <x:f>IF('Facility Build'!J9="OPEN",1,0)</x:f>
        <x:v>1</x:v>
      </x:c>
      <x:c r="F172" s="25" t="n">
        <x:v>1</x:v>
      </x:c>
      <x:c r="G172" s="27" t="str">
        <x:f>IF(E172=F172,"PASS","FAIL")</x:f>
        <x:v>PASS</x:v>
      </x:c>
    </x:row>
    <x:row r="173" ht="18" customHeight="1">
      <x:c r="B173" s="25" t="str">
        <x:v>A167</x:v>
      </x:c>
      <x:c r="C173" s="25" t="str">
        <x:v>facility math</x:v>
      </x:c>
      <x:c r="D173" s="25" t="str">
        <x:v>line 10 extension equals quantity times unit cost</x:v>
      </x:c>
      <x:c r="E173" s="25" t="n">
        <x:f>'Facility Build'!F10</x:f>
        <x:v>3.968</x:v>
      </x:c>
      <x:c r="F173" s="25" t="n">
        <x:f>'Facility Build'!D10*'Facility Build'!E10</x:f>
        <x:v>3.968</x:v>
      </x:c>
      <x:c r="G173" s="27" t="str">
        <x:f>IF(E173=F173,"PASS","FAIL")</x:f>
        <x:v>PASS</x:v>
      </x:c>
    </x:row>
    <x:row r="174" ht="18" customHeight="1">
      <x:c r="B174" s="25" t="str">
        <x:v>A168</x:v>
      </x:c>
      <x:c r="C174" s="25" t="str">
        <x:v>facility state</x:v>
      </x:c>
      <x:c r="D174" s="25" t="str">
        <x:v>line 10 remains OPEN</x:v>
      </x:c>
      <x:c r="E174" s="25" t="n">
        <x:f>IF('Facility Build'!J10="OPEN",1,0)</x:f>
        <x:v>1</x:v>
      </x:c>
      <x:c r="F174" s="25" t="n">
        <x:v>1</x:v>
      </x:c>
      <x:c r="G174" s="27" t="str">
        <x:f>IF(E174=F174,"PASS","FAIL")</x:f>
        <x:v>PASS</x:v>
      </x:c>
    </x:row>
    <x:row r="175" ht="18" customHeight="1">
      <x:c r="B175" s="25" t="str">
        <x:v>A169</x:v>
      </x:c>
      <x:c r="C175" s="25" t="str">
        <x:v>facility math</x:v>
      </x:c>
      <x:c r="D175" s="25" t="str">
        <x:v>line 11 extension equals quantity times unit cost</x:v>
      </x:c>
      <x:c r="E175" s="25" t="n">
        <x:f>'Facility Build'!F11</x:f>
        <x:v>1.56</x:v>
      </x:c>
      <x:c r="F175" s="25" t="n">
        <x:f>'Facility Build'!D11*'Facility Build'!E11</x:f>
        <x:v>1.56</x:v>
      </x:c>
      <x:c r="G175" s="27" t="str">
        <x:f>IF(E175=F175,"PASS","FAIL")</x:f>
        <x:v>PASS</x:v>
      </x:c>
    </x:row>
    <x:row r="176" ht="18" customHeight="1">
      <x:c r="B176" s="25" t="str">
        <x:v>A170</x:v>
      </x:c>
      <x:c r="C176" s="25" t="str">
        <x:v>facility state</x:v>
      </x:c>
      <x:c r="D176" s="25" t="str">
        <x:v>line 11 remains OPEN</x:v>
      </x:c>
      <x:c r="E176" s="25" t="n">
        <x:f>IF('Facility Build'!J11="OPEN",1,0)</x:f>
        <x:v>1</x:v>
      </x:c>
      <x:c r="F176" s="25" t="n">
        <x:v>1</x:v>
      </x:c>
      <x:c r="G176" s="27" t="str">
        <x:f>IF(E176=F176,"PASS","FAIL")</x:f>
        <x:v>PASS</x:v>
      </x:c>
    </x:row>
    <x:row r="177" ht="18" customHeight="1">
      <x:c r="B177" s="25" t="str">
        <x:v>A171</x:v>
      </x:c>
      <x:c r="C177" s="25" t="str">
        <x:v>facility math</x:v>
      </x:c>
      <x:c r="D177" s="25" t="str">
        <x:v>line 12 extension equals quantity times unit cost</x:v>
      </x:c>
      <x:c r="E177" s="25" t="n">
        <x:f>'Facility Build'!F12</x:f>
        <x:v>1.6</x:v>
      </x:c>
      <x:c r="F177" s="25" t="n">
        <x:f>'Facility Build'!D12*'Facility Build'!E12</x:f>
        <x:v>1.6</x:v>
      </x:c>
      <x:c r="G177" s="27" t="str">
        <x:f>IF(E177=F177,"PASS","FAIL")</x:f>
        <x:v>PASS</x:v>
      </x:c>
    </x:row>
    <x:row r="178" ht="18" customHeight="1">
      <x:c r="B178" s="25" t="str">
        <x:v>A172</x:v>
      </x:c>
      <x:c r="C178" s="25" t="str">
        <x:v>facility state</x:v>
      </x:c>
      <x:c r="D178" s="25" t="str">
        <x:v>line 12 remains OPEN</x:v>
      </x:c>
      <x:c r="E178" s="25" t="n">
        <x:f>IF('Facility Build'!J12="OPEN",1,0)</x:f>
        <x:v>1</x:v>
      </x:c>
      <x:c r="F178" s="25" t="n">
        <x:v>1</x:v>
      </x:c>
      <x:c r="G178" s="27" t="str">
        <x:f>IF(E178=F178,"PASS","FAIL")</x:f>
        <x:v>PASS</x:v>
      </x:c>
    </x:row>
    <x:row r="179" ht="18" customHeight="1">
      <x:c r="B179" s="25" t="str">
        <x:v>A173</x:v>
      </x:c>
      <x:c r="C179" s="25" t="str">
        <x:v>facility math</x:v>
      </x:c>
      <x:c r="D179" s="25" t="str">
        <x:v>line 13 extension equals quantity times unit cost</x:v>
      </x:c>
      <x:c r="E179" s="25" t="n">
        <x:f>'Facility Build'!F13</x:f>
        <x:v>3.6</x:v>
      </x:c>
      <x:c r="F179" s="25" t="n">
        <x:f>'Facility Build'!D13*'Facility Build'!E13</x:f>
        <x:v>3.6</x:v>
      </x:c>
      <x:c r="G179" s="27" t="str">
        <x:f>IF(E179=F179,"PASS","FAIL")</x:f>
        <x:v>PASS</x:v>
      </x:c>
    </x:row>
    <x:row r="180" ht="18" customHeight="1">
      <x:c r="B180" s="25" t="str">
        <x:v>A174</x:v>
      </x:c>
      <x:c r="C180" s="25" t="str">
        <x:v>facility state</x:v>
      </x:c>
      <x:c r="D180" s="25" t="str">
        <x:v>line 13 remains OPEN</x:v>
      </x:c>
      <x:c r="E180" s="25" t="n">
        <x:f>IF('Facility Build'!J13="OPEN",1,0)</x:f>
        <x:v>1</x:v>
      </x:c>
      <x:c r="F180" s="25" t="n">
        <x:v>1</x:v>
      </x:c>
      <x:c r="G180" s="27" t="str">
        <x:f>IF(E180=F180,"PASS","FAIL")</x:f>
        <x:v>PASS</x:v>
      </x:c>
    </x:row>
    <x:row r="181" ht="18" customHeight="1">
      <x:c r="B181" s="25" t="str">
        <x:v>A175</x:v>
      </x:c>
      <x:c r="C181" s="25" t="str">
        <x:v>facility math</x:v>
      </x:c>
      <x:c r="D181" s="25" t="str">
        <x:v>line 14 extension equals quantity times unit cost</x:v>
      </x:c>
      <x:c r="E181" s="25" t="n">
        <x:f>'Facility Build'!F14</x:f>
        <x:v>1.8</x:v>
      </x:c>
      <x:c r="F181" s="25" t="n">
        <x:f>'Facility Build'!D14*'Facility Build'!E14</x:f>
        <x:v>1.8</x:v>
      </x:c>
      <x:c r="G181" s="27" t="str">
        <x:f>IF(E181=F181,"PASS","FAIL")</x:f>
        <x:v>PASS</x:v>
      </x:c>
    </x:row>
    <x:row r="182" ht="18" customHeight="1">
      <x:c r="B182" s="25" t="str">
        <x:v>A176</x:v>
      </x:c>
      <x:c r="C182" s="25" t="str">
        <x:v>facility state</x:v>
      </x:c>
      <x:c r="D182" s="25" t="str">
        <x:v>line 14 remains OPEN</x:v>
      </x:c>
      <x:c r="E182" s="25" t="n">
        <x:f>IF('Facility Build'!J14="OPEN",1,0)</x:f>
        <x:v>1</x:v>
      </x:c>
      <x:c r="F182" s="25" t="n">
        <x:v>1</x:v>
      </x:c>
      <x:c r="G182" s="27" t="str">
        <x:f>IF(E182=F182,"PASS","FAIL")</x:f>
        <x:v>PASS</x:v>
      </x:c>
    </x:row>
    <x:row r="183" ht="18" customHeight="1">
      <x:c r="B183" s="25" t="str">
        <x:v>A177</x:v>
      </x:c>
      <x:c r="C183" s="25" t="str">
        <x:v>facility math</x:v>
      </x:c>
      <x:c r="D183" s="25" t="str">
        <x:v>line 15 extension equals quantity times unit cost</x:v>
      </x:c>
      <x:c r="E183" s="25" t="n">
        <x:f>'Facility Build'!F15</x:f>
        <x:v>1.2</x:v>
      </x:c>
      <x:c r="F183" s="25" t="n">
        <x:f>'Facility Build'!D15*'Facility Build'!E15</x:f>
        <x:v>1.2</x:v>
      </x:c>
      <x:c r="G183" s="27" t="str">
        <x:f>IF(E183=F183,"PASS","FAIL")</x:f>
        <x:v>PASS</x:v>
      </x:c>
    </x:row>
    <x:row r="184" ht="18" customHeight="1">
      <x:c r="B184" s="25" t="str">
        <x:v>A178</x:v>
      </x:c>
      <x:c r="C184" s="25" t="str">
        <x:v>facility state</x:v>
      </x:c>
      <x:c r="D184" s="25" t="str">
        <x:v>line 15 remains OPEN</x:v>
      </x:c>
      <x:c r="E184" s="25" t="n">
        <x:f>IF('Facility Build'!J15="OPEN",1,0)</x:f>
        <x:v>1</x:v>
      </x:c>
      <x:c r="F184" s="25" t="n">
        <x:v>1</x:v>
      </x:c>
      <x:c r="G184" s="27" t="str">
        <x:f>IF(E184=F184,"PASS","FAIL")</x:f>
        <x:v>PASS</x:v>
      </x:c>
    </x:row>
    <x:row r="185" ht="18" customHeight="1">
      <x:c r="B185" s="25" t="str">
        <x:v>A179</x:v>
      </x:c>
      <x:c r="C185" s="25" t="str">
        <x:v>facility math</x:v>
      </x:c>
      <x:c r="D185" s="25" t="str">
        <x:v>line 16 extension equals quantity times unit cost</x:v>
      </x:c>
      <x:c r="E185" s="25" t="n">
        <x:f>'Facility Build'!F16</x:f>
        <x:v>0.5</x:v>
      </x:c>
      <x:c r="F185" s="25" t="n">
        <x:f>'Facility Build'!D16*'Facility Build'!E16</x:f>
        <x:v>0.5</x:v>
      </x:c>
      <x:c r="G185" s="27" t="str">
        <x:f>IF(E185=F185,"PASS","FAIL")</x:f>
        <x:v>PASS</x:v>
      </x:c>
    </x:row>
    <x:row r="186" ht="18" customHeight="1">
      <x:c r="B186" s="25" t="str">
        <x:v>A180</x:v>
      </x:c>
      <x:c r="C186" s="25" t="str">
        <x:v>facility state</x:v>
      </x:c>
      <x:c r="D186" s="25" t="str">
        <x:v>line 16 remains OPEN</x:v>
      </x:c>
      <x:c r="E186" s="25" t="n">
        <x:f>IF('Facility Build'!J16="OPEN",1,0)</x:f>
        <x:v>1</x:v>
      </x:c>
      <x:c r="F186" s="25" t="n">
        <x:v>1</x:v>
      </x:c>
      <x:c r="G186" s="27" t="str">
        <x:f>IF(E186=F186,"PASS","FAIL")</x:f>
        <x:v>PASS</x:v>
      </x:c>
    </x:row>
    <x:row r="187" ht="18" customHeight="1">
      <x:c r="B187" s="25" t="str">
        <x:v>A181</x:v>
      </x:c>
      <x:c r="C187" s="25" t="str">
        <x:v>facility math</x:v>
      </x:c>
      <x:c r="D187" s="25" t="str">
        <x:v>line 17 extension equals quantity times unit cost</x:v>
      </x:c>
      <x:c r="E187" s="25" t="n">
        <x:f>'Facility Build'!F17</x:f>
        <x:v>0.372</x:v>
      </x:c>
      <x:c r="F187" s="25" t="n">
        <x:f>'Facility Build'!D17*'Facility Build'!E17</x:f>
        <x:v>0.372</x:v>
      </x:c>
      <x:c r="G187" s="27" t="str">
        <x:f>IF(E187=F187,"PASS","FAIL")</x:f>
        <x:v>PASS</x:v>
      </x:c>
    </x:row>
    <x:row r="188" ht="18" customHeight="1">
      <x:c r="B188" s="25" t="str">
        <x:v>A182</x:v>
      </x:c>
      <x:c r="C188" s="25" t="str">
        <x:v>facility state</x:v>
      </x:c>
      <x:c r="D188" s="25" t="str">
        <x:v>line 17 remains OPEN</x:v>
      </x:c>
      <x:c r="E188" s="25" t="n">
        <x:f>IF('Facility Build'!J17="OPEN",1,0)</x:f>
        <x:v>1</x:v>
      </x:c>
      <x:c r="F188" s="25" t="n">
        <x:v>1</x:v>
      </x:c>
      <x:c r="G188" s="27" t="str">
        <x:f>IF(E188=F188,"PASS","FAIL")</x:f>
        <x:v>PASS</x:v>
      </x:c>
    </x:row>
    <x:row r="189" ht="18" customHeight="1">
      <x:c r="B189" s="25" t="str">
        <x:v>A183</x:v>
      </x:c>
      <x:c r="C189" s="25" t="str">
        <x:v>facility math</x:v>
      </x:c>
      <x:c r="D189" s="25" t="str">
        <x:v>line 18 extension equals quantity times unit cost</x:v>
      </x:c>
      <x:c r="E189" s="25" t="n">
        <x:f>'Facility Build'!F18</x:f>
        <x:v>16</x:v>
      </x:c>
      <x:c r="F189" s="25" t="n">
        <x:f>'Facility Build'!D18*'Facility Build'!E18</x:f>
        <x:v>16</x:v>
      </x:c>
      <x:c r="G189" s="27" t="str">
        <x:f>IF(E189=F189,"PASS","FAIL")</x:f>
        <x:v>PASS</x:v>
      </x:c>
    </x:row>
    <x:row r="190" ht="18" customHeight="1">
      <x:c r="B190" s="25" t="str">
        <x:v>A184</x:v>
      </x:c>
      <x:c r="C190" s="25" t="str">
        <x:v>facility state</x:v>
      </x:c>
      <x:c r="D190" s="25" t="str">
        <x:v>line 18 remains OPEN</x:v>
      </x:c>
      <x:c r="E190" s="25" t="n">
        <x:f>IF('Facility Build'!J18="OPEN",1,0)</x:f>
        <x:v>1</x:v>
      </x:c>
      <x:c r="F190" s="25" t="n">
        <x:v>1</x:v>
      </x:c>
      <x:c r="G190" s="27" t="str">
        <x:f>IF(E190=F190,"PASS","FAIL")</x:f>
        <x:v>PASS</x:v>
      </x:c>
    </x:row>
    <x:row r="191" ht="18" customHeight="1">
      <x:c r="B191" s="25" t="str">
        <x:v>A185</x:v>
      </x:c>
      <x:c r="C191" s="25" t="str">
        <x:v>facility math</x:v>
      </x:c>
      <x:c r="D191" s="25" t="str">
        <x:v>line 19 extension equals quantity times unit cost</x:v>
      </x:c>
      <x:c r="E191" s="25" t="n">
        <x:f>'Facility Build'!F19</x:f>
        <x:v>10</x:v>
      </x:c>
      <x:c r="F191" s="25" t="n">
        <x:f>'Facility Build'!D19*'Facility Build'!E19</x:f>
        <x:v>10</x:v>
      </x:c>
      <x:c r="G191" s="27" t="str">
        <x:f>IF(E191=F191,"PASS","FAIL")</x:f>
        <x:v>PASS</x:v>
      </x:c>
    </x:row>
    <x:row r="192" ht="18" customHeight="1">
      <x:c r="B192" s="25" t="str">
        <x:v>A186</x:v>
      </x:c>
      <x:c r="C192" s="25" t="str">
        <x:v>facility state</x:v>
      </x:c>
      <x:c r="D192" s="25" t="str">
        <x:v>line 19 remains OPEN</x:v>
      </x:c>
      <x:c r="E192" s="25" t="n">
        <x:f>IF('Facility Build'!J19="OPEN",1,0)</x:f>
        <x:v>1</x:v>
      </x:c>
      <x:c r="F192" s="25" t="n">
        <x:v>1</x:v>
      </x:c>
      <x:c r="G192" s="27" t="str">
        <x:f>IF(E192=F192,"PASS","FAIL")</x:f>
        <x:v>PASS</x:v>
      </x:c>
    </x:row>
    <x:row r="193" ht="18" customHeight="1">
      <x:c r="B193" s="25" t="str">
        <x:v>A187</x:v>
      </x:c>
      <x:c r="C193" s="25" t="str">
        <x:v>facility math</x:v>
      </x:c>
      <x:c r="D193" s="25" t="str">
        <x:v>line 20 extension equals quantity times unit cost</x:v>
      </x:c>
      <x:c r="E193" s="25" t="n">
        <x:f>'Facility Build'!F20</x:f>
        <x:v>8</x:v>
      </x:c>
      <x:c r="F193" s="25" t="n">
        <x:f>'Facility Build'!D20*'Facility Build'!E20</x:f>
        <x:v>8</x:v>
      </x:c>
      <x:c r="G193" s="27" t="str">
        <x:f>IF(E193=F193,"PASS","FAIL")</x:f>
        <x:v>PASS</x:v>
      </x:c>
    </x:row>
    <x:row r="194" ht="18" customHeight="1">
      <x:c r="B194" s="25" t="str">
        <x:v>A188</x:v>
      </x:c>
      <x:c r="C194" s="25" t="str">
        <x:v>facility state</x:v>
      </x:c>
      <x:c r="D194" s="25" t="str">
        <x:v>line 20 remains OPEN</x:v>
      </x:c>
      <x:c r="E194" s="25" t="n">
        <x:f>IF('Facility Build'!J20="OPEN",1,0)</x:f>
        <x:v>1</x:v>
      </x:c>
      <x:c r="F194" s="25" t="n">
        <x:v>1</x:v>
      </x:c>
      <x:c r="G194" s="27" t="str">
        <x:f>IF(E194=F194,"PASS","FAIL")</x:f>
        <x:v>PASS</x:v>
      </x:c>
    </x:row>
    <x:row r="195" ht="18" customHeight="1">
      <x:c r="B195" s="25" t="str">
        <x:v>A189</x:v>
      </x:c>
      <x:c r="C195" s="25" t="str">
        <x:v>facility math</x:v>
      </x:c>
      <x:c r="D195" s="25" t="str">
        <x:v>line 21 extension equals quantity times unit cost</x:v>
      </x:c>
      <x:c r="E195" s="25" t="n">
        <x:f>'Facility Build'!F21</x:f>
        <x:v>4</x:v>
      </x:c>
      <x:c r="F195" s="25" t="n">
        <x:f>'Facility Build'!D21*'Facility Build'!E21</x:f>
        <x:v>4</x:v>
      </x:c>
      <x:c r="G195" s="27" t="str">
        <x:f>IF(E195=F195,"PASS","FAIL")</x:f>
        <x:v>PASS</x:v>
      </x:c>
    </x:row>
    <x:row r="196" ht="18" customHeight="1">
      <x:c r="B196" s="25" t="str">
        <x:v>A190</x:v>
      </x:c>
      <x:c r="C196" s="25" t="str">
        <x:v>facility state</x:v>
      </x:c>
      <x:c r="D196" s="25" t="str">
        <x:v>line 21 remains OPEN</x:v>
      </x:c>
      <x:c r="E196" s="25" t="n">
        <x:f>IF('Facility Build'!J21="OPEN",1,0)</x:f>
        <x:v>1</x:v>
      </x:c>
      <x:c r="F196" s="25" t="n">
        <x:v>1</x:v>
      </x:c>
      <x:c r="G196" s="27" t="str">
        <x:f>IF(E196=F196,"PASS","FAIL")</x:f>
        <x:v>PASS</x:v>
      </x:c>
    </x:row>
    <x:row r="197" ht="18" customHeight="1">
      <x:c r="B197" s="25" t="str">
        <x:v>A191</x:v>
      </x:c>
      <x:c r="C197" s="25" t="str">
        <x:v>facility math</x:v>
      </x:c>
      <x:c r="D197" s="25" t="str">
        <x:v>line 22 extension equals quantity times unit cost</x:v>
      </x:c>
      <x:c r="E197" s="25" t="n">
        <x:f>'Facility Build'!F22</x:f>
        <x:v>4</x:v>
      </x:c>
      <x:c r="F197" s="25" t="n">
        <x:f>'Facility Build'!D22*'Facility Build'!E22</x:f>
        <x:v>4</x:v>
      </x:c>
      <x:c r="G197" s="27" t="str">
        <x:f>IF(E197=F197,"PASS","FAIL")</x:f>
        <x:v>PASS</x:v>
      </x:c>
    </x:row>
    <x:row r="198" ht="18" customHeight="1">
      <x:c r="B198" s="25" t="str">
        <x:v>A192</x:v>
      </x:c>
      <x:c r="C198" s="25" t="str">
        <x:v>facility state</x:v>
      </x:c>
      <x:c r="D198" s="25" t="str">
        <x:v>line 22 remains OPEN</x:v>
      </x:c>
      <x:c r="E198" s="25" t="n">
        <x:f>IF('Facility Build'!J22="OPEN",1,0)</x:f>
        <x:v>1</x:v>
      </x:c>
      <x:c r="F198" s="25" t="n">
        <x:v>1</x:v>
      </x:c>
      <x:c r="G198" s="27" t="str">
        <x:f>IF(E198=F198,"PASS","FAIL")</x:f>
        <x:v>PASS</x:v>
      </x:c>
    </x:row>
    <x:row r="199" ht="18" customHeight="1">
      <x:c r="B199" s="25" t="str">
        <x:v>A193</x:v>
      </x:c>
      <x:c r="C199" s="25" t="str">
        <x:v>facility math</x:v>
      </x:c>
      <x:c r="D199" s="25" t="str">
        <x:v>line 23 extension equals quantity times unit cost</x:v>
      </x:c>
      <x:c r="E199" s="25" t="n">
        <x:f>'Facility Build'!F23</x:f>
        <x:v>16</x:v>
      </x:c>
      <x:c r="F199" s="25" t="n">
        <x:f>'Facility Build'!D23*'Facility Build'!E23</x:f>
        <x:v>16</x:v>
      </x:c>
      <x:c r="G199" s="27" t="str">
        <x:f>IF(E199=F199,"PASS","FAIL")</x:f>
        <x:v>PASS</x:v>
      </x:c>
    </x:row>
    <x:row r="200" ht="18" customHeight="1">
      <x:c r="B200" s="25" t="str">
        <x:v>A194</x:v>
      </x:c>
      <x:c r="C200" s="25" t="str">
        <x:v>facility state</x:v>
      </x:c>
      <x:c r="D200" s="25" t="str">
        <x:v>line 23 remains OPEN</x:v>
      </x:c>
      <x:c r="E200" s="25" t="n">
        <x:f>IF('Facility Build'!J23="OPEN",1,0)</x:f>
        <x:v>1</x:v>
      </x:c>
      <x:c r="F200" s="25" t="n">
        <x:v>1</x:v>
      </x:c>
      <x:c r="G200" s="27" t="str">
        <x:f>IF(E200=F200,"PASS","FAIL")</x:f>
        <x:v>PASS</x:v>
      </x:c>
    </x:row>
    <x:row r="201" ht="18" customHeight="1">
      <x:c r="B201" s="25" t="str">
        <x:v>A195</x:v>
      </x:c>
      <x:c r="C201" s="25" t="str">
        <x:v>facility math</x:v>
      </x:c>
      <x:c r="D201" s="25" t="str">
        <x:v>line 24 extension equals quantity times unit cost</x:v>
      </x:c>
      <x:c r="E201" s="25" t="n">
        <x:f>'Facility Build'!F24</x:f>
        <x:v>12</x:v>
      </x:c>
      <x:c r="F201" s="25" t="n">
        <x:f>'Facility Build'!D24*'Facility Build'!E24</x:f>
        <x:v>12</x:v>
      </x:c>
      <x:c r="G201" s="27" t="str">
        <x:f>IF(E201=F201,"PASS","FAIL")</x:f>
        <x:v>PASS</x:v>
      </x:c>
    </x:row>
    <x:row r="202" ht="18" customHeight="1">
      <x:c r="B202" s="25" t="str">
        <x:v>A196</x:v>
      </x:c>
      <x:c r="C202" s="25" t="str">
        <x:v>facility state</x:v>
      </x:c>
      <x:c r="D202" s="25" t="str">
        <x:v>line 24 remains OPEN</x:v>
      </x:c>
      <x:c r="E202" s="25" t="n">
        <x:f>IF('Facility Build'!J24="OPEN",1,0)</x:f>
        <x:v>1</x:v>
      </x:c>
      <x:c r="F202" s="25" t="n">
        <x:v>1</x:v>
      </x:c>
      <x:c r="G202" s="27" t="str">
        <x:f>IF(E202=F202,"PASS","FAIL")</x:f>
        <x:v>PASS</x:v>
      </x:c>
    </x:row>
    <x:row r="203" ht="18" customHeight="1">
      <x:c r="B203" s="25" t="str">
        <x:v>A197</x:v>
      </x:c>
      <x:c r="C203" s="25" t="str">
        <x:v>facility math</x:v>
      </x:c>
      <x:c r="D203" s="25" t="str">
        <x:v>line 25 extension equals quantity times unit cost</x:v>
      </x:c>
      <x:c r="E203" s="25" t="n">
        <x:f>'Facility Build'!F25</x:f>
        <x:v>6</x:v>
      </x:c>
      <x:c r="F203" s="25" t="n">
        <x:f>'Facility Build'!D25*'Facility Build'!E25</x:f>
        <x:v>6</x:v>
      </x:c>
      <x:c r="G203" s="27" t="str">
        <x:f>IF(E203=F203,"PASS","FAIL")</x:f>
        <x:v>PASS</x:v>
      </x:c>
    </x:row>
    <x:row r="204" ht="18" customHeight="1">
      <x:c r="B204" s="25" t="str">
        <x:v>A198</x:v>
      </x:c>
      <x:c r="C204" s="25" t="str">
        <x:v>facility state</x:v>
      </x:c>
      <x:c r="D204" s="25" t="str">
        <x:v>line 25 remains OPEN</x:v>
      </x:c>
      <x:c r="E204" s="25" t="n">
        <x:f>IF('Facility Build'!J25="OPEN",1,0)</x:f>
        <x:v>1</x:v>
      </x:c>
      <x:c r="F204" s="25" t="n">
        <x:v>1</x:v>
      </x:c>
      <x:c r="G204" s="27" t="str">
        <x:f>IF(E204=F204,"PASS","FAIL")</x:f>
        <x:v>PASS</x:v>
      </x:c>
    </x:row>
    <x:row r="205" ht="18" customHeight="1">
      <x:c r="B205" s="25" t="str">
        <x:v>A199</x:v>
      </x:c>
      <x:c r="C205" s="25" t="str">
        <x:v>facility math</x:v>
      </x:c>
      <x:c r="D205" s="25" t="str">
        <x:v>line 26 extension equals quantity times unit cost</x:v>
      </x:c>
      <x:c r="E205" s="25" t="n">
        <x:f>'Facility Build'!F26</x:f>
        <x:v>2</x:v>
      </x:c>
      <x:c r="F205" s="25" t="n">
        <x:f>'Facility Build'!D26*'Facility Build'!E26</x:f>
        <x:v>2</x:v>
      </x:c>
      <x:c r="G205" s="27" t="str">
        <x:f>IF(E205=F205,"PASS","FAIL")</x:f>
        <x:v>PASS</x:v>
      </x:c>
    </x:row>
    <x:row r="206" ht="18" customHeight="1">
      <x:c r="B206" s="25" t="str">
        <x:v>A200</x:v>
      </x:c>
      <x:c r="C206" s="25" t="str">
        <x:v>facility state</x:v>
      </x:c>
      <x:c r="D206" s="25" t="str">
        <x:v>line 26 remains OPEN</x:v>
      </x:c>
      <x:c r="E206" s="25" t="n">
        <x:f>IF('Facility Build'!J26="OPEN",1,0)</x:f>
        <x:v>1</x:v>
      </x:c>
      <x:c r="F206" s="25" t="n">
        <x:v>1</x:v>
      </x:c>
      <x:c r="G206" s="27" t="str">
        <x:f>IF(E206=F206,"PASS","FAIL")</x:f>
        <x:v>PASS</x:v>
      </x:c>
    </x:row>
    <x:row r="207" ht="18" customHeight="1">
      <x:c r="B207" s="25" t="str">
        <x:v>A201</x:v>
      </x:c>
      <x:c r="C207" s="25" t="str">
        <x:v>facility math</x:v>
      </x:c>
      <x:c r="D207" s="25" t="str">
        <x:v>line 27 extension equals quantity times unit cost</x:v>
      </x:c>
      <x:c r="E207" s="25" t="n">
        <x:f>'Facility Build'!F27</x:f>
        <x:v>16</x:v>
      </x:c>
      <x:c r="F207" s="25" t="n">
        <x:f>'Facility Build'!D27*'Facility Build'!E27</x:f>
        <x:v>16</x:v>
      </x:c>
      <x:c r="G207" s="27" t="str">
        <x:f>IF(E207=F207,"PASS","FAIL")</x:f>
        <x:v>PASS</x:v>
      </x:c>
    </x:row>
    <x:row r="208" ht="18" customHeight="1">
      <x:c r="B208" s="25" t="str">
        <x:v>A202</x:v>
      </x:c>
      <x:c r="C208" s="25" t="str">
        <x:v>facility state</x:v>
      </x:c>
      <x:c r="D208" s="25" t="str">
        <x:v>line 27 remains OPEN</x:v>
      </x:c>
      <x:c r="E208" s="25" t="n">
        <x:f>IF('Facility Build'!J27="OPEN",1,0)</x:f>
        <x:v>1</x:v>
      </x:c>
      <x:c r="F208" s="25" t="n">
        <x:v>1</x:v>
      </x:c>
      <x:c r="G208" s="27" t="str">
        <x:f>IF(E208=F208,"PASS","FAIL")</x:f>
        <x:v>PASS</x:v>
      </x:c>
    </x:row>
    <x:row r="209" ht="18" customHeight="1">
      <x:c r="B209" s="25" t="str">
        <x:v>A203</x:v>
      </x:c>
      <x:c r="C209" s="25" t="str">
        <x:v>facility math</x:v>
      </x:c>
      <x:c r="D209" s="25" t="str">
        <x:v>line 28 extension equals quantity times unit cost</x:v>
      </x:c>
      <x:c r="E209" s="25" t="n">
        <x:f>'Facility Build'!F28</x:f>
        <x:v>10</x:v>
      </x:c>
      <x:c r="F209" s="25" t="n">
        <x:f>'Facility Build'!D28*'Facility Build'!E28</x:f>
        <x:v>10</x:v>
      </x:c>
      <x:c r="G209" s="27" t="str">
        <x:f>IF(E209=F209,"PASS","FAIL")</x:f>
        <x:v>PASS</x:v>
      </x:c>
    </x:row>
    <x:row r="210" ht="18" customHeight="1">
      <x:c r="B210" s="25" t="str">
        <x:v>A204</x:v>
      </x:c>
      <x:c r="C210" s="25" t="str">
        <x:v>facility state</x:v>
      </x:c>
      <x:c r="D210" s="25" t="str">
        <x:v>line 28 remains OPEN</x:v>
      </x:c>
      <x:c r="E210" s="25" t="n">
        <x:f>IF('Facility Build'!J28="OPEN",1,0)</x:f>
        <x:v>1</x:v>
      </x:c>
      <x:c r="F210" s="25" t="n">
        <x:v>1</x:v>
      </x:c>
      <x:c r="G210" s="27" t="str">
        <x:f>IF(E210=F210,"PASS","FAIL")</x:f>
        <x:v>PASS</x:v>
      </x:c>
    </x:row>
    <x:row r="211" ht="18" customHeight="1">
      <x:c r="B211" s="25" t="str">
        <x:v>A205</x:v>
      </x:c>
      <x:c r="C211" s="25" t="str">
        <x:v>facility math</x:v>
      </x:c>
      <x:c r="D211" s="25" t="str">
        <x:v>line 29 extension equals quantity times unit cost</x:v>
      </x:c>
      <x:c r="E211" s="25" t="n">
        <x:f>'Facility Build'!F29</x:f>
        <x:v>2</x:v>
      </x:c>
      <x:c r="F211" s="25" t="n">
        <x:f>'Facility Build'!D29*'Facility Build'!E29</x:f>
        <x:v>2</x:v>
      </x:c>
      <x:c r="G211" s="27" t="str">
        <x:f>IF(E211=F211,"PASS","FAIL")</x:f>
        <x:v>PASS</x:v>
      </x:c>
    </x:row>
    <x:row r="212" ht="18" customHeight="1">
      <x:c r="B212" s="25" t="str">
        <x:v>A206</x:v>
      </x:c>
      <x:c r="C212" s="25" t="str">
        <x:v>facility state</x:v>
      </x:c>
      <x:c r="D212" s="25" t="str">
        <x:v>line 29 remains OPEN</x:v>
      </x:c>
      <x:c r="E212" s="25" t="n">
        <x:f>IF('Facility Build'!J29="OPEN",1,0)</x:f>
        <x:v>1</x:v>
      </x:c>
      <x:c r="F212" s="25" t="n">
        <x:v>1</x:v>
      </x:c>
      <x:c r="G212" s="27" t="str">
        <x:f>IF(E212=F212,"PASS","FAIL")</x:f>
        <x:v>PASS</x:v>
      </x:c>
    </x:row>
    <x:row r="213" ht="18" customHeight="1">
      <x:c r="B213" s="25" t="str">
        <x:v>A207</x:v>
      </x:c>
      <x:c r="C213" s="25" t="str">
        <x:v>facility math</x:v>
      </x:c>
      <x:c r="D213" s="25" t="str">
        <x:v>line 30 extension equals quantity times unit cost</x:v>
      </x:c>
      <x:c r="E213" s="25" t="n">
        <x:f>'Facility Build'!F30</x:f>
        <x:v>2</x:v>
      </x:c>
      <x:c r="F213" s="25" t="n">
        <x:f>'Facility Build'!D30*'Facility Build'!E30</x:f>
        <x:v>2</x:v>
      </x:c>
      <x:c r="G213" s="27" t="str">
        <x:f>IF(E213=F213,"PASS","FAIL")</x:f>
        <x:v>PASS</x:v>
      </x:c>
    </x:row>
    <x:row r="214" ht="18" customHeight="1">
      <x:c r="B214" s="25" t="str">
        <x:v>A208</x:v>
      </x:c>
      <x:c r="C214" s="25" t="str">
        <x:v>facility state</x:v>
      </x:c>
      <x:c r="D214" s="25" t="str">
        <x:v>line 30 remains OPEN</x:v>
      </x:c>
      <x:c r="E214" s="25" t="n">
        <x:f>IF('Facility Build'!J30="OPEN",1,0)</x:f>
        <x:v>1</x:v>
      </x:c>
      <x:c r="F214" s="25" t="n">
        <x:v>1</x:v>
      </x:c>
      <x:c r="G214" s="27" t="str">
        <x:f>IF(E214=F214,"PASS","FAIL")</x:f>
        <x:v>PASS</x:v>
      </x:c>
    </x:row>
    <x:row r="215" ht="18" customHeight="1">
      <x:c r="B215" s="25" t="str">
        <x:v>A209</x:v>
      </x:c>
      <x:c r="C215" s="25" t="str">
        <x:v>facility math</x:v>
      </x:c>
      <x:c r="D215" s="25" t="str">
        <x:v>line 31 extension equals quantity times unit cost</x:v>
      </x:c>
      <x:c r="E215" s="25" t="n">
        <x:f>'Facility Build'!F31</x:f>
        <x:v>16</x:v>
      </x:c>
      <x:c r="F215" s="25" t="n">
        <x:f>'Facility Build'!D31*'Facility Build'!E31</x:f>
        <x:v>16</x:v>
      </x:c>
      <x:c r="G215" s="27" t="str">
        <x:f>IF(E215=F215,"PASS","FAIL")</x:f>
        <x:v>PASS</x:v>
      </x:c>
    </x:row>
    <x:row r="216" ht="18" customHeight="1">
      <x:c r="B216" s="25" t="str">
        <x:v>A210</x:v>
      </x:c>
      <x:c r="C216" s="25" t="str">
        <x:v>facility state</x:v>
      </x:c>
      <x:c r="D216" s="25" t="str">
        <x:v>line 31 remains OPEN</x:v>
      </x:c>
      <x:c r="E216" s="25" t="n">
        <x:f>IF('Facility Build'!J31="OPEN",1,0)</x:f>
        <x:v>1</x:v>
      </x:c>
      <x:c r="F216" s="25" t="n">
        <x:v>1</x:v>
      </x:c>
      <x:c r="G216" s="27" t="str">
        <x:f>IF(E216=F216,"PASS","FAIL")</x:f>
        <x:v>PASS</x:v>
      </x:c>
    </x:row>
    <x:row r="217" ht="18" customHeight="1">
      <x:c r="B217" s="25" t="str">
        <x:v>A211</x:v>
      </x:c>
      <x:c r="C217" s="25" t="str">
        <x:v>facility math</x:v>
      </x:c>
      <x:c r="D217" s="25" t="str">
        <x:v>line 32 extension equals quantity times unit cost</x:v>
      </x:c>
      <x:c r="E217" s="25" t="n">
        <x:f>'Facility Build'!F32</x:f>
        <x:v>8</x:v>
      </x:c>
      <x:c r="F217" s="25" t="n">
        <x:f>'Facility Build'!D32*'Facility Build'!E32</x:f>
        <x:v>8</x:v>
      </x:c>
      <x:c r="G217" s="27" t="str">
        <x:f>IF(E217=F217,"PASS","FAIL")</x:f>
        <x:v>PASS</x:v>
      </x:c>
    </x:row>
    <x:row r="218" ht="18" customHeight="1">
      <x:c r="B218" s="25" t="str">
        <x:v>A212</x:v>
      </x:c>
      <x:c r="C218" s="25" t="str">
        <x:v>facility state</x:v>
      </x:c>
      <x:c r="D218" s="25" t="str">
        <x:v>line 32 remains OPEN</x:v>
      </x:c>
      <x:c r="E218" s="25" t="n">
        <x:f>IF('Facility Build'!J32="OPEN",1,0)</x:f>
        <x:v>1</x:v>
      </x:c>
      <x:c r="F218" s="25" t="n">
        <x:v>1</x:v>
      </x:c>
      <x:c r="G218" s="27" t="str">
        <x:f>IF(E218=F218,"PASS","FAIL")</x:f>
        <x:v>PASS</x:v>
      </x:c>
    </x:row>
    <x:row r="219" ht="18" customHeight="1">
      <x:c r="B219" s="25" t="str">
        <x:v>A213</x:v>
      </x:c>
      <x:c r="C219" s="25" t="str">
        <x:v>facility math</x:v>
      </x:c>
      <x:c r="D219" s="25" t="str">
        <x:v>line 33 extension equals quantity times unit cost</x:v>
      </x:c>
      <x:c r="E219" s="25" t="n">
        <x:f>'Facility Build'!F33</x:f>
        <x:v>2</x:v>
      </x:c>
      <x:c r="F219" s="25" t="n">
        <x:f>'Facility Build'!D33*'Facility Build'!E33</x:f>
        <x:v>2</x:v>
      </x:c>
      <x:c r="G219" s="27" t="str">
        <x:f>IF(E219=F219,"PASS","FAIL")</x:f>
        <x:v>PASS</x:v>
      </x:c>
    </x:row>
    <x:row r="220" ht="18" customHeight="1">
      <x:c r="B220" s="25" t="str">
        <x:v>A214</x:v>
      </x:c>
      <x:c r="C220" s="25" t="str">
        <x:v>facility state</x:v>
      </x:c>
      <x:c r="D220" s="25" t="str">
        <x:v>line 33 remains OPEN</x:v>
      </x:c>
      <x:c r="E220" s="25" t="n">
        <x:f>IF('Facility Build'!J33="OPEN",1,0)</x:f>
        <x:v>1</x:v>
      </x:c>
      <x:c r="F220" s="25" t="n">
        <x:v>1</x:v>
      </x:c>
      <x:c r="G220" s="27" t="str">
        <x:f>IF(E220=F220,"PASS","FAIL")</x:f>
        <x:v>PASS</x:v>
      </x:c>
    </x:row>
    <x:row r="221" ht="18" customHeight="1">
      <x:c r="B221" s="25" t="str">
        <x:v>A215</x:v>
      </x:c>
      <x:c r="C221" s="25" t="str">
        <x:v>facility math</x:v>
      </x:c>
      <x:c r="D221" s="25" t="str">
        <x:v>line 34 extension equals quantity times unit cost</x:v>
      </x:c>
      <x:c r="E221" s="25" t="n">
        <x:f>'Facility Build'!F34</x:f>
        <x:v>2</x:v>
      </x:c>
      <x:c r="F221" s="25" t="n">
        <x:f>'Facility Build'!D34*'Facility Build'!E34</x:f>
        <x:v>2</x:v>
      </x:c>
      <x:c r="G221" s="27" t="str">
        <x:f>IF(E221=F221,"PASS","FAIL")</x:f>
        <x:v>PASS</x:v>
      </x:c>
    </x:row>
    <x:row r="222" ht="18" customHeight="1">
      <x:c r="B222" s="25" t="str">
        <x:v>A216</x:v>
      </x:c>
      <x:c r="C222" s="25" t="str">
        <x:v>facility state</x:v>
      </x:c>
      <x:c r="D222" s="25" t="str">
        <x:v>line 34 remains OPEN</x:v>
      </x:c>
      <x:c r="E222" s="25" t="n">
        <x:f>IF('Facility Build'!J34="OPEN",1,0)</x:f>
        <x:v>1</x:v>
      </x:c>
      <x:c r="F222" s="25" t="n">
        <x:v>1</x:v>
      </x:c>
      <x:c r="G222" s="27" t="str">
        <x:f>IF(E222=F222,"PASS","FAIL")</x:f>
        <x:v>PASS</x:v>
      </x:c>
    </x:row>
    <x:row r="223" ht="18" customHeight="1">
      <x:c r="B223" s="25" t="str">
        <x:v>A217</x:v>
      </x:c>
      <x:c r="C223" s="25" t="str">
        <x:v>facility math</x:v>
      </x:c>
      <x:c r="D223" s="25" t="str">
        <x:v>line 35 extension equals quantity times unit cost</x:v>
      </x:c>
      <x:c r="E223" s="25" t="n">
        <x:f>'Facility Build'!F35</x:f>
        <x:v>12</x:v>
      </x:c>
      <x:c r="F223" s="25" t="n">
        <x:f>'Facility Build'!D35*'Facility Build'!E35</x:f>
        <x:v>12</x:v>
      </x:c>
      <x:c r="G223" s="27" t="str">
        <x:f>IF(E223=F223,"PASS","FAIL")</x:f>
        <x:v>PASS</x:v>
      </x:c>
    </x:row>
    <x:row r="224" ht="18" customHeight="1">
      <x:c r="B224" s="25" t="str">
        <x:v>A218</x:v>
      </x:c>
      <x:c r="C224" s="25" t="str">
        <x:v>facility state</x:v>
      </x:c>
      <x:c r="D224" s="25" t="str">
        <x:v>line 35 remains OPEN</x:v>
      </x:c>
      <x:c r="E224" s="25" t="n">
        <x:f>IF('Facility Build'!J35="OPEN",1,0)</x:f>
        <x:v>1</x:v>
      </x:c>
      <x:c r="F224" s="25" t="n">
        <x:v>1</x:v>
      </x:c>
      <x:c r="G224" s="27" t="str">
        <x:f>IF(E224=F224,"PASS","FAIL")</x:f>
        <x:v>PASS</x:v>
      </x:c>
    </x:row>
    <x:row r="225" ht="18" customHeight="1">
      <x:c r="B225" s="25" t="str">
        <x:v>A219</x:v>
      </x:c>
      <x:c r="C225" s="25" t="str">
        <x:v>facility math</x:v>
      </x:c>
      <x:c r="D225" s="25" t="str">
        <x:v>line 36 extension equals quantity times unit cost</x:v>
      </x:c>
      <x:c r="E225" s="25" t="n">
        <x:f>'Facility Build'!F36</x:f>
        <x:v>8</x:v>
      </x:c>
      <x:c r="F225" s="25" t="n">
        <x:f>'Facility Build'!D36*'Facility Build'!E36</x:f>
        <x:v>8</x:v>
      </x:c>
      <x:c r="G225" s="27" t="str">
        <x:f>IF(E225=F225,"PASS","FAIL")</x:f>
        <x:v>PASS</x:v>
      </x:c>
    </x:row>
    <x:row r="226" ht="18" customHeight="1">
      <x:c r="B226" s="25" t="str">
        <x:v>A220</x:v>
      </x:c>
      <x:c r="C226" s="25" t="str">
        <x:v>facility state</x:v>
      </x:c>
      <x:c r="D226" s="25" t="str">
        <x:v>line 36 remains OPEN</x:v>
      </x:c>
      <x:c r="E226" s="25" t="n">
        <x:f>IF('Facility Build'!J36="OPEN",1,0)</x:f>
        <x:v>1</x:v>
      </x:c>
      <x:c r="F226" s="25" t="n">
        <x:v>1</x:v>
      </x:c>
      <x:c r="G226" s="27" t="str">
        <x:f>IF(E226=F226,"PASS","FAIL")</x:f>
        <x:v>PASS</x:v>
      </x:c>
    </x:row>
    <x:row r="227" ht="18" customHeight="1">
      <x:c r="B227" s="25" t="str">
        <x:v>A221</x:v>
      </x:c>
      <x:c r="C227" s="25" t="str">
        <x:v>facility math</x:v>
      </x:c>
      <x:c r="D227" s="25" t="str">
        <x:v>line 37 extension equals quantity times unit cost</x:v>
      </x:c>
      <x:c r="E227" s="25" t="n">
        <x:f>'Facility Build'!F37</x:f>
        <x:v>2</x:v>
      </x:c>
      <x:c r="F227" s="25" t="n">
        <x:f>'Facility Build'!D37*'Facility Build'!E37</x:f>
        <x:v>2</x:v>
      </x:c>
      <x:c r="G227" s="27" t="str">
        <x:f>IF(E227=F227,"PASS","FAIL")</x:f>
        <x:v>PASS</x:v>
      </x:c>
    </x:row>
    <x:row r="228" ht="18" customHeight="1">
      <x:c r="B228" s="25" t="str">
        <x:v>A222</x:v>
      </x:c>
      <x:c r="C228" s="25" t="str">
        <x:v>facility state</x:v>
      </x:c>
      <x:c r="D228" s="25" t="str">
        <x:v>line 37 remains OPEN</x:v>
      </x:c>
      <x:c r="E228" s="25" t="n">
        <x:f>IF('Facility Build'!J37="OPEN",1,0)</x:f>
        <x:v>1</x:v>
      </x:c>
      <x:c r="F228" s="25" t="n">
        <x:v>1</x:v>
      </x:c>
      <x:c r="G228" s="27" t="str">
        <x:f>IF(E228=F228,"PASS","FAIL")</x:f>
        <x:v>PASS</x:v>
      </x:c>
    </x:row>
    <x:row r="229" ht="18" customHeight="1">
      <x:c r="B229" s="25" t="str">
        <x:v>A223</x:v>
      </x:c>
      <x:c r="C229" s="25" t="str">
        <x:v>facility math</x:v>
      </x:c>
      <x:c r="D229" s="25" t="str">
        <x:v>line 38 extension equals quantity times unit cost</x:v>
      </x:c>
      <x:c r="E229" s="25" t="n">
        <x:f>'Facility Build'!F38</x:f>
        <x:v>2</x:v>
      </x:c>
      <x:c r="F229" s="25" t="n">
        <x:f>'Facility Build'!D38*'Facility Build'!E38</x:f>
        <x:v>2</x:v>
      </x:c>
      <x:c r="G229" s="27" t="str">
        <x:f>IF(E229=F229,"PASS","FAIL")</x:f>
        <x:v>PASS</x:v>
      </x:c>
    </x:row>
    <x:row r="230" ht="18" customHeight="1">
      <x:c r="B230" s="25" t="str">
        <x:v>A224</x:v>
      </x:c>
      <x:c r="C230" s="25" t="str">
        <x:v>facility state</x:v>
      </x:c>
      <x:c r="D230" s="25" t="str">
        <x:v>line 38 remains OPEN</x:v>
      </x:c>
      <x:c r="E230" s="25" t="n">
        <x:f>IF('Facility Build'!J38="OPEN",1,0)</x:f>
        <x:v>1</x:v>
      </x:c>
      <x:c r="F230" s="25" t="n">
        <x:v>1</x:v>
      </x:c>
      <x:c r="G230" s="27" t="str">
        <x:f>IF(E230=F230,"PASS","FAIL")</x:f>
        <x:v>PASS</x:v>
      </x:c>
    </x:row>
    <x:row r="231" ht="18" customHeight="1">
      <x:c r="B231" s="25" t="str">
        <x:v>A225</x:v>
      </x:c>
      <x:c r="C231" s="25" t="str">
        <x:v>facility math</x:v>
      </x:c>
      <x:c r="D231" s="25" t="str">
        <x:v>line 39 extension equals quantity times unit cost</x:v>
      </x:c>
      <x:c r="E231" s="25" t="n">
        <x:f>'Facility Build'!F39</x:f>
        <x:v>20</x:v>
      </x:c>
      <x:c r="F231" s="25" t="n">
        <x:f>'Facility Build'!D39*'Facility Build'!E39</x:f>
        <x:v>20</x:v>
      </x:c>
      <x:c r="G231" s="27" t="str">
        <x:f>IF(E231=F231,"PASS","FAIL")</x:f>
        <x:v>PASS</x:v>
      </x:c>
    </x:row>
    <x:row r="232" ht="18" customHeight="1">
      <x:c r="B232" s="25" t="str">
        <x:v>A226</x:v>
      </x:c>
      <x:c r="C232" s="25" t="str">
        <x:v>facility state</x:v>
      </x:c>
      <x:c r="D232" s="25" t="str">
        <x:v>line 39 remains OPEN</x:v>
      </x:c>
      <x:c r="E232" s="25" t="n">
        <x:f>IF('Facility Build'!J39="OPEN",1,0)</x:f>
        <x:v>1</x:v>
      </x:c>
      <x:c r="F232" s="25" t="n">
        <x:v>1</x:v>
      </x:c>
      <x:c r="G232" s="27" t="str">
        <x:f>IF(E232=F232,"PASS","FAIL")</x:f>
        <x:v>PASS</x:v>
      </x:c>
    </x:row>
    <x:row r="233" ht="18" customHeight="1">
      <x:c r="B233" s="25" t="str">
        <x:v>A227</x:v>
      </x:c>
      <x:c r="C233" s="25" t="str">
        <x:v>facility math</x:v>
      </x:c>
      <x:c r="D233" s="25" t="str">
        <x:v>line 40 extension equals quantity times unit cost</x:v>
      </x:c>
      <x:c r="E233" s="25" t="n">
        <x:f>'Facility Build'!F40</x:f>
        <x:v>20</x:v>
      </x:c>
      <x:c r="F233" s="25" t="n">
        <x:f>'Facility Build'!D40*'Facility Build'!E40</x:f>
        <x:v>20</x:v>
      </x:c>
      <x:c r="G233" s="27" t="str">
        <x:f>IF(E233=F233,"PASS","FAIL")</x:f>
        <x:v>PASS</x:v>
      </x:c>
    </x:row>
    <x:row r="234" ht="18" customHeight="1">
      <x:c r="B234" s="25" t="str">
        <x:v>A228</x:v>
      </x:c>
      <x:c r="C234" s="25" t="str">
        <x:v>facility state</x:v>
      </x:c>
      <x:c r="D234" s="25" t="str">
        <x:v>line 40 remains OPEN</x:v>
      </x:c>
      <x:c r="E234" s="25" t="n">
        <x:f>IF('Facility Build'!J40="OPEN",1,0)</x:f>
        <x:v>1</x:v>
      </x:c>
      <x:c r="F234" s="25" t="n">
        <x:v>1</x:v>
      </x:c>
      <x:c r="G234" s="27" t="str">
        <x:f>IF(E234=F234,"PASS","FAIL")</x:f>
        <x:v>PASS</x:v>
      </x:c>
    </x:row>
    <x:row r="235" ht="18" customHeight="1">
      <x:c r="B235" s="25" t="str">
        <x:v>A229</x:v>
      </x:c>
      <x:c r="C235" s="25" t="str">
        <x:v>facility math</x:v>
      </x:c>
      <x:c r="D235" s="25" t="str">
        <x:v>line 41 extension equals quantity times unit cost</x:v>
      </x:c>
      <x:c r="E235" s="25" t="n">
        <x:f>'Facility Build'!F41</x:f>
        <x:v>6</x:v>
      </x:c>
      <x:c r="F235" s="25" t="n">
        <x:f>'Facility Build'!D41*'Facility Build'!E41</x:f>
        <x:v>6</x:v>
      </x:c>
      <x:c r="G235" s="27" t="str">
        <x:f>IF(E235=F235,"PASS","FAIL")</x:f>
        <x:v>PASS</x:v>
      </x:c>
    </x:row>
    <x:row r="236" ht="18" customHeight="1">
      <x:c r="B236" s="25" t="str">
        <x:v>A230</x:v>
      </x:c>
      <x:c r="C236" s="25" t="str">
        <x:v>facility state</x:v>
      </x:c>
      <x:c r="D236" s="25" t="str">
        <x:v>line 41 remains OPEN</x:v>
      </x:c>
      <x:c r="E236" s="25" t="n">
        <x:f>IF('Facility Build'!J41="OPEN",1,0)</x:f>
        <x:v>1</x:v>
      </x:c>
      <x:c r="F236" s="25" t="n">
        <x:v>1</x:v>
      </x:c>
      <x:c r="G236" s="27" t="str">
        <x:f>IF(E236=F236,"PASS","FAIL")</x:f>
        <x:v>PASS</x:v>
      </x:c>
    </x:row>
    <x:row r="237" ht="18" customHeight="1">
      <x:c r="B237" s="25" t="str">
        <x:v>A231</x:v>
      </x:c>
      <x:c r="C237" s="25" t="str">
        <x:v>facility math</x:v>
      </x:c>
      <x:c r="D237" s="25" t="str">
        <x:v>line 42 extension equals quantity times unit cost</x:v>
      </x:c>
      <x:c r="E237" s="25" t="n">
        <x:f>'Facility Build'!F42</x:f>
        <x:v>2</x:v>
      </x:c>
      <x:c r="F237" s="25" t="n">
        <x:f>'Facility Build'!D42*'Facility Build'!E42</x:f>
        <x:v>2</x:v>
      </x:c>
      <x:c r="G237" s="27" t="str">
        <x:f>IF(E237=F237,"PASS","FAIL")</x:f>
        <x:v>PASS</x:v>
      </x:c>
    </x:row>
    <x:row r="238" ht="18" customHeight="1">
      <x:c r="B238" s="25" t="str">
        <x:v>A232</x:v>
      </x:c>
      <x:c r="C238" s="25" t="str">
        <x:v>facility state</x:v>
      </x:c>
      <x:c r="D238" s="25" t="str">
        <x:v>line 42 remains OPEN</x:v>
      </x:c>
      <x:c r="E238" s="25" t="n">
        <x:f>IF('Facility Build'!J42="OPEN",1,0)</x:f>
        <x:v>1</x:v>
      </x:c>
      <x:c r="F238" s="25" t="n">
        <x:v>1</x:v>
      </x:c>
      <x:c r="G238" s="27" t="str">
        <x:f>IF(E238=F238,"PASS","FAIL")</x:f>
        <x:v>PASS</x:v>
      </x:c>
    </x:row>
    <x:row r="239" ht="18" customHeight="1">
      <x:c r="B239" s="25" t="str">
        <x:v>A233</x:v>
      </x:c>
      <x:c r="C239" s="25" t="str">
        <x:v>facility math</x:v>
      </x:c>
      <x:c r="D239" s="25" t="str">
        <x:v>line 43 extension equals quantity times unit cost</x:v>
      </x:c>
      <x:c r="E239" s="25" t="n">
        <x:f>'Facility Build'!F43</x:f>
        <x:v>24</x:v>
      </x:c>
      <x:c r="F239" s="25" t="n">
        <x:f>'Facility Build'!D43*'Facility Build'!E43</x:f>
        <x:v>24</x:v>
      </x:c>
      <x:c r="G239" s="27" t="str">
        <x:f>IF(E239=F239,"PASS","FAIL")</x:f>
        <x:v>PASS</x:v>
      </x:c>
    </x:row>
    <x:row r="240" ht="18" customHeight="1">
      <x:c r="B240" s="25" t="str">
        <x:v>A234</x:v>
      </x:c>
      <x:c r="C240" s="25" t="str">
        <x:v>facility state</x:v>
      </x:c>
      <x:c r="D240" s="25" t="str">
        <x:v>line 43 remains OPEN</x:v>
      </x:c>
      <x:c r="E240" s="25" t="n">
        <x:f>IF('Facility Build'!J43="OPEN",1,0)</x:f>
        <x:v>1</x:v>
      </x:c>
      <x:c r="F240" s="25" t="n">
        <x:v>1</x:v>
      </x:c>
      <x:c r="G240" s="27" t="str">
        <x:f>IF(E240=F240,"PASS","FAIL")</x:f>
        <x:v>PASS</x:v>
      </x:c>
    </x:row>
    <x:row r="241" ht="18" customHeight="1">
      <x:c r="B241" s="25" t="str">
        <x:v>A235</x:v>
      </x:c>
      <x:c r="C241" s="25" t="str">
        <x:v>facility math</x:v>
      </x:c>
      <x:c r="D241" s="25" t="str">
        <x:v>line 44 extension equals quantity times unit cost</x:v>
      </x:c>
      <x:c r="E241" s="25" t="n">
        <x:f>'Facility Build'!F44</x:f>
        <x:v>12</x:v>
      </x:c>
      <x:c r="F241" s="25" t="n">
        <x:f>'Facility Build'!D44*'Facility Build'!E44</x:f>
        <x:v>12</x:v>
      </x:c>
      <x:c r="G241" s="27" t="str">
        <x:f>IF(E241=F241,"PASS","FAIL")</x:f>
        <x:v>PASS</x:v>
      </x:c>
    </x:row>
    <x:row r="242" ht="18" customHeight="1">
      <x:c r="B242" s="25" t="str">
        <x:v>A236</x:v>
      </x:c>
      <x:c r="C242" s="25" t="str">
        <x:v>facility state</x:v>
      </x:c>
      <x:c r="D242" s="25" t="str">
        <x:v>line 44 remains OPEN</x:v>
      </x:c>
      <x:c r="E242" s="25" t="n">
        <x:f>IF('Facility Build'!J44="OPEN",1,0)</x:f>
        <x:v>1</x:v>
      </x:c>
      <x:c r="F242" s="25" t="n">
        <x:v>1</x:v>
      </x:c>
      <x:c r="G242" s="27" t="str">
        <x:f>IF(E242=F242,"PASS","FAIL")</x:f>
        <x:v>PASS</x:v>
      </x:c>
    </x:row>
    <x:row r="243" ht="18" customHeight="1">
      <x:c r="B243" s="25" t="str">
        <x:v>A237</x:v>
      </x:c>
      <x:c r="C243" s="25" t="str">
        <x:v>facility math</x:v>
      </x:c>
      <x:c r="D243" s="25" t="str">
        <x:v>line 45 extension equals quantity times unit cost</x:v>
      </x:c>
      <x:c r="E243" s="25" t="n">
        <x:f>'Facility Build'!F45</x:f>
        <x:v>4</x:v>
      </x:c>
      <x:c r="F243" s="25" t="n">
        <x:f>'Facility Build'!D45*'Facility Build'!E45</x:f>
        <x:v>4</x:v>
      </x:c>
      <x:c r="G243" s="27" t="str">
        <x:f>IF(E243=F243,"PASS","FAIL")</x:f>
        <x:v>PASS</x:v>
      </x:c>
    </x:row>
    <x:row r="244" ht="18" customHeight="1">
      <x:c r="B244" s="25" t="str">
        <x:v>A238</x:v>
      </x:c>
      <x:c r="C244" s="25" t="str">
        <x:v>facility state</x:v>
      </x:c>
      <x:c r="D244" s="25" t="str">
        <x:v>line 45 remains OPEN</x:v>
      </x:c>
      <x:c r="E244" s="25" t="n">
        <x:f>IF('Facility Build'!J45="OPEN",1,0)</x:f>
        <x:v>1</x:v>
      </x:c>
      <x:c r="F244" s="25" t="n">
        <x:v>1</x:v>
      </x:c>
      <x:c r="G244" s="27" t="str">
        <x:f>IF(E244=F244,"PASS","FAIL")</x:f>
        <x:v>PASS</x:v>
      </x:c>
    </x:row>
    <x:row r="245" ht="18" customHeight="1">
      <x:c r="B245" s="25" t="str">
        <x:v>A239</x:v>
      </x:c>
      <x:c r="C245" s="25" t="str">
        <x:v>facility math</x:v>
      </x:c>
      <x:c r="D245" s="25" t="str">
        <x:v>line 46 extension equals quantity times unit cost</x:v>
      </x:c>
      <x:c r="E245" s="25" t="n">
        <x:f>'Facility Build'!F46</x:f>
        <x:v>2</x:v>
      </x:c>
      <x:c r="F245" s="25" t="n">
        <x:f>'Facility Build'!D46*'Facility Build'!E46</x:f>
        <x:v>2</x:v>
      </x:c>
      <x:c r="G245" s="27" t="str">
        <x:f>IF(E245=F245,"PASS","FAIL")</x:f>
        <x:v>PASS</x:v>
      </x:c>
    </x:row>
    <x:row r="246" ht="18" customHeight="1">
      <x:c r="B246" s="25" t="str">
        <x:v>A240</x:v>
      </x:c>
      <x:c r="C246" s="25" t="str">
        <x:v>facility state</x:v>
      </x:c>
      <x:c r="D246" s="25" t="str">
        <x:v>line 46 remains OPEN</x:v>
      </x:c>
      <x:c r="E246" s="25" t="n">
        <x:f>IF('Facility Build'!J46="OPEN",1,0)</x:f>
        <x:v>1</x:v>
      </x:c>
      <x:c r="F246" s="25" t="n">
        <x:v>1</x:v>
      </x:c>
      <x:c r="G246" s="27" t="str">
        <x:f>IF(E246=F246,"PASS","FAIL")</x:f>
        <x:v>PASS</x:v>
      </x:c>
    </x:row>
    <x:row r="247" ht="18" customHeight="1">
      <x:c r="B247" s="25" t="str">
        <x:v>A241</x:v>
      </x:c>
      <x:c r="C247" s="25" t="str">
        <x:v>facility math</x:v>
      </x:c>
      <x:c r="D247" s="25" t="str">
        <x:v>line 47 extension equals quantity times unit cost</x:v>
      </x:c>
      <x:c r="E247" s="25" t="n">
        <x:f>'Facility Build'!F47</x:f>
        <x:v>32</x:v>
      </x:c>
      <x:c r="F247" s="25" t="n">
        <x:f>'Facility Build'!D47*'Facility Build'!E47</x:f>
        <x:v>32</x:v>
      </x:c>
      <x:c r="G247" s="27" t="str">
        <x:f>IF(E247=F247,"PASS","FAIL")</x:f>
        <x:v>PASS</x:v>
      </x:c>
    </x:row>
    <x:row r="248" ht="18" customHeight="1">
      <x:c r="B248" s="25" t="str">
        <x:v>A242</x:v>
      </x:c>
      <x:c r="C248" s="25" t="str">
        <x:v>facility state</x:v>
      </x:c>
      <x:c r="D248" s="25" t="str">
        <x:v>line 47 remains OPEN</x:v>
      </x:c>
      <x:c r="E248" s="25" t="n">
        <x:f>IF('Facility Build'!J47="OPEN",1,0)</x:f>
        <x:v>1</x:v>
      </x:c>
      <x:c r="F248" s="25" t="n">
        <x:v>1</x:v>
      </x:c>
      <x:c r="G248" s="27" t="str">
        <x:f>IF(E248=F248,"PASS","FAIL")</x:f>
        <x:v>PASS</x:v>
      </x:c>
    </x:row>
    <x:row r="249" ht="18" customHeight="1">
      <x:c r="B249" s="25" t="str">
        <x:v>A243</x:v>
      </x:c>
      <x:c r="C249" s="25" t="str">
        <x:v>facility math</x:v>
      </x:c>
      <x:c r="D249" s="25" t="str">
        <x:v>line 48 extension equals quantity times unit cost</x:v>
      </x:c>
      <x:c r="E249" s="25" t="n">
        <x:f>'Facility Build'!F48</x:f>
        <x:v>12</x:v>
      </x:c>
      <x:c r="F249" s="25" t="n">
        <x:f>'Facility Build'!D48*'Facility Build'!E48</x:f>
        <x:v>12</x:v>
      </x:c>
      <x:c r="G249" s="27" t="str">
        <x:f>IF(E249=F249,"PASS","FAIL")</x:f>
        <x:v>PASS</x:v>
      </x:c>
    </x:row>
    <x:row r="250" ht="18" customHeight="1">
      <x:c r="B250" s="25" t="str">
        <x:v>A244</x:v>
      </x:c>
      <x:c r="C250" s="25" t="str">
        <x:v>facility state</x:v>
      </x:c>
      <x:c r="D250" s="25" t="str">
        <x:v>line 48 remains OPEN</x:v>
      </x:c>
      <x:c r="E250" s="25" t="n">
        <x:f>IF('Facility Build'!J48="OPEN",1,0)</x:f>
        <x:v>1</x:v>
      </x:c>
      <x:c r="F250" s="25" t="n">
        <x:v>1</x:v>
      </x:c>
      <x:c r="G250" s="27" t="str">
        <x:f>IF(E250=F250,"PASS","FAIL")</x:f>
        <x:v>PASS</x:v>
      </x:c>
    </x:row>
    <x:row r="251" ht="18" customHeight="1">
      <x:c r="B251" s="25" t="str">
        <x:v>A245</x:v>
      </x:c>
      <x:c r="C251" s="25" t="str">
        <x:v>facility math</x:v>
      </x:c>
      <x:c r="D251" s="25" t="str">
        <x:v>line 49 extension equals quantity times unit cost</x:v>
      </x:c>
      <x:c r="E251" s="25" t="n">
        <x:f>'Facility Build'!F49</x:f>
        <x:v>4</x:v>
      </x:c>
      <x:c r="F251" s="25" t="n">
        <x:f>'Facility Build'!D49*'Facility Build'!E49</x:f>
        <x:v>4</x:v>
      </x:c>
      <x:c r="G251" s="27" t="str">
        <x:f>IF(E251=F251,"PASS","FAIL")</x:f>
        <x:v>PASS</x:v>
      </x:c>
    </x:row>
    <x:row r="252" ht="18" customHeight="1">
      <x:c r="B252" s="25" t="str">
        <x:v>A246</x:v>
      </x:c>
      <x:c r="C252" s="25" t="str">
        <x:v>facility state</x:v>
      </x:c>
      <x:c r="D252" s="25" t="str">
        <x:v>line 49 remains OPEN</x:v>
      </x:c>
      <x:c r="E252" s="25" t="n">
        <x:f>IF('Facility Build'!J49="OPEN",1,0)</x:f>
        <x:v>1</x:v>
      </x:c>
      <x:c r="F252" s="25" t="n">
        <x:v>1</x:v>
      </x:c>
      <x:c r="G252" s="27" t="str">
        <x:f>IF(E252=F252,"PASS","FAIL")</x:f>
        <x:v>PASS</x:v>
      </x:c>
    </x:row>
    <x:row r="253" ht="18" customHeight="1">
      <x:c r="B253" s="25" t="str">
        <x:v>A247</x:v>
      </x:c>
      <x:c r="C253" s="25" t="str">
        <x:v>facility math</x:v>
      </x:c>
      <x:c r="D253" s="25" t="str">
        <x:v>line 50 extension equals quantity times unit cost</x:v>
      </x:c>
      <x:c r="E253" s="25" t="n">
        <x:f>'Facility Build'!F50</x:f>
        <x:v>12</x:v>
      </x:c>
      <x:c r="F253" s="25" t="n">
        <x:f>'Facility Build'!D50*'Facility Build'!E50</x:f>
        <x:v>12</x:v>
      </x:c>
      <x:c r="G253" s="27" t="str">
        <x:f>IF(E253=F253,"PASS","FAIL")</x:f>
        <x:v>PASS</x:v>
      </x:c>
    </x:row>
    <x:row r="254" ht="18" customHeight="1">
      <x:c r="B254" s="25" t="str">
        <x:v>A248</x:v>
      </x:c>
      <x:c r="C254" s="25" t="str">
        <x:v>facility state</x:v>
      </x:c>
      <x:c r="D254" s="25" t="str">
        <x:v>line 50 remains OPEN</x:v>
      </x:c>
      <x:c r="E254" s="25" t="n">
        <x:f>IF('Facility Build'!J50="OPEN",1,0)</x:f>
        <x:v>1</x:v>
      </x:c>
      <x:c r="F254" s="25" t="n">
        <x:v>1</x:v>
      </x:c>
      <x:c r="G254" s="27" t="str">
        <x:f>IF(E254=F254,"PASS","FAIL")</x:f>
        <x:v>PASS</x:v>
      </x:c>
    </x:row>
    <x:row r="255" ht="18" customHeight="1">
      <x:c r="B255" s="25" t="str">
        <x:v>A249</x:v>
      </x:c>
      <x:c r="C255" s="25" t="str">
        <x:v>facility math</x:v>
      </x:c>
      <x:c r="D255" s="25" t="str">
        <x:v>line 51 extension equals quantity times unit cost</x:v>
      </x:c>
      <x:c r="E255" s="25" t="n">
        <x:f>'Facility Build'!F51</x:f>
        <x:v>3</x:v>
      </x:c>
      <x:c r="F255" s="25" t="n">
        <x:f>'Facility Build'!D51*'Facility Build'!E51</x:f>
        <x:v>3</x:v>
      </x:c>
      <x:c r="G255" s="27" t="str">
        <x:f>IF(E255=F255,"PASS","FAIL")</x:f>
        <x:v>PASS</x:v>
      </x:c>
    </x:row>
    <x:row r="256" ht="18" customHeight="1">
      <x:c r="B256" s="25" t="str">
        <x:v>A250</x:v>
      </x:c>
      <x:c r="C256" s="25" t="str">
        <x:v>facility state</x:v>
      </x:c>
      <x:c r="D256" s="25" t="str">
        <x:v>line 51 remains OPEN</x:v>
      </x:c>
      <x:c r="E256" s="25" t="n">
        <x:f>IF('Facility Build'!J51="OPEN",1,0)</x:f>
        <x:v>1</x:v>
      </x:c>
      <x:c r="F256" s="25" t="n">
        <x:v>1</x:v>
      </x:c>
      <x:c r="G256" s="27" t="str">
        <x:f>IF(E256=F256,"PASS","FAIL")</x:f>
        <x:v>PASS</x:v>
      </x:c>
    </x:row>
    <x:row r="257" ht="18" customHeight="1">
      <x:c r="B257" s="25" t="str">
        <x:v>A251</x:v>
      </x:c>
      <x:c r="C257" s="25" t="str">
        <x:v>facility math</x:v>
      </x:c>
      <x:c r="D257" s="25" t="str">
        <x:v>line 52 extension equals quantity times unit cost</x:v>
      </x:c>
      <x:c r="E257" s="25" t="n">
        <x:f>'Facility Build'!F52</x:f>
        <x:v>1</x:v>
      </x:c>
      <x:c r="F257" s="25" t="n">
        <x:f>'Facility Build'!D52*'Facility Build'!E52</x:f>
        <x:v>1</x:v>
      </x:c>
      <x:c r="G257" s="27" t="str">
        <x:f>IF(E257=F257,"PASS","FAIL")</x:f>
        <x:v>PASS</x:v>
      </x:c>
    </x:row>
    <x:row r="258" ht="18" customHeight="1">
      <x:c r="B258" s="25" t="str">
        <x:v>A252</x:v>
      </x:c>
      <x:c r="C258" s="25" t="str">
        <x:v>facility state</x:v>
      </x:c>
      <x:c r="D258" s="25" t="str">
        <x:v>line 52 remains OPEN</x:v>
      </x:c>
      <x:c r="E258" s="25" t="n">
        <x:f>IF('Facility Build'!J52="OPEN",1,0)</x:f>
        <x:v>1</x:v>
      </x:c>
      <x:c r="F258" s="25" t="n">
        <x:v>1</x:v>
      </x:c>
      <x:c r="G258" s="27" t="str">
        <x:f>IF(E258=F258,"PASS","FAIL")</x:f>
        <x:v>PASS</x:v>
      </x:c>
    </x:row>
    <x:row r="259" ht="18" customHeight="1">
      <x:c r="B259" s="25" t="str">
        <x:v>A253</x:v>
      </x:c>
      <x:c r="C259" s="25" t="str">
        <x:v>facility math</x:v>
      </x:c>
      <x:c r="D259" s="25" t="str">
        <x:v>line 53 extension equals quantity times unit cost</x:v>
      </x:c>
      <x:c r="E259" s="25" t="n">
        <x:f>'Facility Build'!F53</x:f>
        <x:v>8</x:v>
      </x:c>
      <x:c r="F259" s="25" t="n">
        <x:f>'Facility Build'!D53*'Facility Build'!E53</x:f>
        <x:v>8</x:v>
      </x:c>
      <x:c r="G259" s="27" t="str">
        <x:f>IF(E259=F259,"PASS","FAIL")</x:f>
        <x:v>PASS</x:v>
      </x:c>
    </x:row>
    <x:row r="260" ht="18" customHeight="1">
      <x:c r="B260" s="25" t="str">
        <x:v>A254</x:v>
      </x:c>
      <x:c r="C260" s="25" t="str">
        <x:v>facility state</x:v>
      </x:c>
      <x:c r="D260" s="25" t="str">
        <x:v>line 53 remains OPEN</x:v>
      </x:c>
      <x:c r="E260" s="25" t="n">
        <x:f>IF('Facility Build'!J53="OPEN",1,0)</x:f>
        <x:v>1</x:v>
      </x:c>
      <x:c r="F260" s="25" t="n">
        <x:v>1</x:v>
      </x:c>
      <x:c r="G260" s="27" t="str">
        <x:f>IF(E260=F260,"PASS","FAIL")</x:f>
        <x:v>PASS</x:v>
      </x:c>
    </x:row>
    <x:row r="261" ht="18" customHeight="1">
      <x:c r="B261" s="25" t="str">
        <x:v>A255</x:v>
      </x:c>
      <x:c r="C261" s="25" t="str">
        <x:v>facility math</x:v>
      </x:c>
      <x:c r="D261" s="25" t="str">
        <x:v>line 54 extension equals quantity times unit cost</x:v>
      </x:c>
      <x:c r="E261" s="25" t="n">
        <x:f>'Facility Build'!F54</x:f>
        <x:v>3</x:v>
      </x:c>
      <x:c r="F261" s="25" t="n">
        <x:f>'Facility Build'!D54*'Facility Build'!E54</x:f>
        <x:v>3</x:v>
      </x:c>
      <x:c r="G261" s="27" t="str">
        <x:f>IF(E261=F261,"PASS","FAIL")</x:f>
        <x:v>PASS</x:v>
      </x:c>
    </x:row>
    <x:row r="262" ht="18" customHeight="1">
      <x:c r="B262" s="25" t="str">
        <x:v>A256</x:v>
      </x:c>
      <x:c r="C262" s="25" t="str">
        <x:v>facility state</x:v>
      </x:c>
      <x:c r="D262" s="25" t="str">
        <x:v>line 54 remains OPEN</x:v>
      </x:c>
      <x:c r="E262" s="25" t="n">
        <x:f>IF('Facility Build'!J54="OPEN",1,0)</x:f>
        <x:v>1</x:v>
      </x:c>
      <x:c r="F262" s="25" t="n">
        <x:v>1</x:v>
      </x:c>
      <x:c r="G262" s="27" t="str">
        <x:f>IF(E262=F262,"PASS","FAIL")</x:f>
        <x:v>PASS</x:v>
      </x:c>
    </x:row>
    <x:row r="263" ht="18" customHeight="1">
      <x:c r="B263" s="25" t="str">
        <x:v>A257</x:v>
      </x:c>
      <x:c r="C263" s="25" t="str">
        <x:v>facility math</x:v>
      </x:c>
      <x:c r="D263" s="25" t="str">
        <x:v>line 55 extension equals quantity times unit cost</x:v>
      </x:c>
      <x:c r="E263" s="25" t="n">
        <x:f>'Facility Build'!F55</x:f>
        <x:v>1</x:v>
      </x:c>
      <x:c r="F263" s="25" t="n">
        <x:f>'Facility Build'!D55*'Facility Build'!E55</x:f>
        <x:v>1</x:v>
      </x:c>
      <x:c r="G263" s="27" t="str">
        <x:f>IF(E263=F263,"PASS","FAIL")</x:f>
        <x:v>PASS</x:v>
      </x:c>
    </x:row>
    <x:row r="264" ht="18" customHeight="1">
      <x:c r="B264" s="25" t="str">
        <x:v>A258</x:v>
      </x:c>
      <x:c r="C264" s="25" t="str">
        <x:v>facility state</x:v>
      </x:c>
      <x:c r="D264" s="25" t="str">
        <x:v>line 55 remains OPEN</x:v>
      </x:c>
      <x:c r="E264" s="25" t="n">
        <x:f>IF('Facility Build'!J55="OPEN",1,0)</x:f>
        <x:v>1</x:v>
      </x:c>
      <x:c r="F264" s="25" t="n">
        <x:v>1</x:v>
      </x:c>
      <x:c r="G264" s="27" t="str">
        <x:f>IF(E264=F264,"PASS","FAIL")</x:f>
        <x:v>PASS</x:v>
      </x:c>
    </x:row>
    <x:row r="265" ht="18" customHeight="1">
      <x:c r="B265" s="25" t="str">
        <x:v>A259</x:v>
      </x:c>
      <x:c r="C265" s="25" t="str">
        <x:v>no-crutch state</x:v>
      </x:c>
      <x:c r="D265" s="25" t="str">
        <x:v>control 7 remains OPEN</x:v>
      </x:c>
      <x:c r="E265" s="25" t="n">
        <x:f>IF('No-Crutch Register'!I7="OPEN",1,0)</x:f>
        <x:v>1</x:v>
      </x:c>
      <x:c r="F265" s="25" t="n">
        <x:v>1</x:v>
      </x:c>
      <x:c r="G265" s="27" t="str">
        <x:f>IF(E265=F265,"PASS","FAIL")</x:f>
        <x:v>PASS</x:v>
      </x:c>
    </x:row>
    <x:row r="266" ht="18" customHeight="1">
      <x:c r="B266" s="25" t="str">
        <x:v>A260</x:v>
      </x:c>
      <x:c r="C266" s="25" t="str">
        <x:v>no-crutch state</x:v>
      </x:c>
      <x:c r="D266" s="25" t="str">
        <x:v>control 8 remains OPEN</x:v>
      </x:c>
      <x:c r="E266" s="25" t="n">
        <x:f>IF('No-Crutch Register'!I8="OPEN",1,0)</x:f>
        <x:v>1</x:v>
      </x:c>
      <x:c r="F266" s="25" t="n">
        <x:v>1</x:v>
      </x:c>
      <x:c r="G266" s="27" t="str">
        <x:f>IF(E266=F266,"PASS","FAIL")</x:f>
        <x:v>PASS</x:v>
      </x:c>
    </x:row>
    <x:row r="267" ht="18" customHeight="1">
      <x:c r="B267" s="25" t="str">
        <x:v>A261</x:v>
      </x:c>
      <x:c r="C267" s="25" t="str">
        <x:v>no-crutch state</x:v>
      </x:c>
      <x:c r="D267" s="25" t="str">
        <x:v>control 9 remains OPEN</x:v>
      </x:c>
      <x:c r="E267" s="25" t="n">
        <x:f>IF('No-Crutch Register'!I9="OPEN",1,0)</x:f>
        <x:v>1</x:v>
      </x:c>
      <x:c r="F267" s="25" t="n">
        <x:v>1</x:v>
      </x:c>
      <x:c r="G267" s="27" t="str">
        <x:f>IF(E267=F267,"PASS","FAIL")</x:f>
        <x:v>PASS</x:v>
      </x:c>
    </x:row>
    <x:row r="268" ht="18" customHeight="1">
      <x:c r="B268" s="25" t="str">
        <x:v>A262</x:v>
      </x:c>
      <x:c r="C268" s="25" t="str">
        <x:v>no-crutch state</x:v>
      </x:c>
      <x:c r="D268" s="25" t="str">
        <x:v>control 10 remains OPEN</x:v>
      </x:c>
      <x:c r="E268" s="25" t="n">
        <x:f>IF('No-Crutch Register'!I10="OPEN",1,0)</x:f>
        <x:v>1</x:v>
      </x:c>
      <x:c r="F268" s="25" t="n">
        <x:v>1</x:v>
      </x:c>
      <x:c r="G268" s="27" t="str">
        <x:f>IF(E268=F268,"PASS","FAIL")</x:f>
        <x:v>PASS</x:v>
      </x:c>
    </x:row>
    <x:row r="269" ht="18" customHeight="1">
      <x:c r="B269" s="25" t="str">
        <x:v>A263</x:v>
      </x:c>
      <x:c r="C269" s="25" t="str">
        <x:v>no-crutch state</x:v>
      </x:c>
      <x:c r="D269" s="25" t="str">
        <x:v>control 11 remains OPEN</x:v>
      </x:c>
      <x:c r="E269" s="25" t="n">
        <x:f>IF('No-Crutch Register'!I11="OPEN",1,0)</x:f>
        <x:v>1</x:v>
      </x:c>
      <x:c r="F269" s="25" t="n">
        <x:v>1</x:v>
      </x:c>
      <x:c r="G269" s="27" t="str">
        <x:f>IF(E269=F269,"PASS","FAIL")</x:f>
        <x:v>PASS</x:v>
      </x:c>
    </x:row>
    <x:row r="270" ht="18" customHeight="1">
      <x:c r="B270" s="25" t="str">
        <x:v>A264</x:v>
      </x:c>
      <x:c r="C270" s="25" t="str">
        <x:v>no-crutch state</x:v>
      </x:c>
      <x:c r="D270" s="25" t="str">
        <x:v>control 12 remains OPEN</x:v>
      </x:c>
      <x:c r="E270" s="25" t="n">
        <x:f>IF('No-Crutch Register'!I12="OPEN",1,0)</x:f>
        <x:v>1</x:v>
      </x:c>
      <x:c r="F270" s="25" t="n">
        <x:v>1</x:v>
      </x:c>
      <x:c r="G270" s="27" t="str">
        <x:f>IF(E270=F270,"PASS","FAIL")</x:f>
        <x:v>PASS</x:v>
      </x:c>
    </x:row>
    <x:row r="271" ht="18" customHeight="1">
      <x:c r="B271" s="25" t="str">
        <x:v>A265</x:v>
      </x:c>
      <x:c r="C271" s="25" t="str">
        <x:v>no-crutch state</x:v>
      </x:c>
      <x:c r="D271" s="25" t="str">
        <x:v>control 13 remains OPEN</x:v>
      </x:c>
      <x:c r="E271" s="25" t="n">
        <x:f>IF('No-Crutch Register'!I13="OPEN",1,0)</x:f>
        <x:v>1</x:v>
      </x:c>
      <x:c r="F271" s="25" t="n">
        <x:v>1</x:v>
      </x:c>
      <x:c r="G271" s="27" t="str">
        <x:f>IF(E271=F271,"PASS","FAIL")</x:f>
        <x:v>PASS</x:v>
      </x:c>
    </x:row>
    <x:row r="272" ht="18" customHeight="1">
      <x:c r="B272" s="25" t="str">
        <x:v>A266</x:v>
      </x:c>
      <x:c r="C272" s="25" t="str">
        <x:v>no-crutch state</x:v>
      </x:c>
      <x:c r="D272" s="25" t="str">
        <x:v>control 14 remains OPEN</x:v>
      </x:c>
      <x:c r="E272" s="25" t="n">
        <x:f>IF('No-Crutch Register'!I14="OPEN",1,0)</x:f>
        <x:v>1</x:v>
      </x:c>
      <x:c r="F272" s="25" t="n">
        <x:v>1</x:v>
      </x:c>
      <x:c r="G272" s="27" t="str">
        <x:f>IF(E272=F272,"PASS","FAIL")</x:f>
        <x:v>PASS</x:v>
      </x:c>
    </x:row>
    <x:row r="273" ht="18" customHeight="1">
      <x:c r="B273" s="25" t="str">
        <x:v>A267</x:v>
      </x:c>
      <x:c r="C273" s="25" t="str">
        <x:v>no-crutch state</x:v>
      </x:c>
      <x:c r="D273" s="25" t="str">
        <x:v>control 15 remains OPEN</x:v>
      </x:c>
      <x:c r="E273" s="25" t="n">
        <x:f>IF('No-Crutch Register'!I15="OPEN",1,0)</x:f>
        <x:v>1</x:v>
      </x:c>
      <x:c r="F273" s="25" t="n">
        <x:v>1</x:v>
      </x:c>
      <x:c r="G273" s="27" t="str">
        <x:f>IF(E273=F273,"PASS","FAIL")</x:f>
        <x:v>PASS</x:v>
      </x:c>
    </x:row>
    <x:row r="274" ht="18" customHeight="1">
      <x:c r="B274" s="25" t="str">
        <x:v>A268</x:v>
      </x:c>
      <x:c r="C274" s="25" t="str">
        <x:v>no-crutch state</x:v>
      </x:c>
      <x:c r="D274" s="25" t="str">
        <x:v>control 16 remains OPEN</x:v>
      </x:c>
      <x:c r="E274" s="25" t="n">
        <x:f>IF('No-Crutch Register'!I16="OPEN",1,0)</x:f>
        <x:v>1</x:v>
      </x:c>
      <x:c r="F274" s="25" t="n">
        <x:v>1</x:v>
      </x:c>
      <x:c r="G274" s="27" t="str">
        <x:f>IF(E274=F274,"PASS","FAIL")</x:f>
        <x:v>PASS</x:v>
      </x:c>
    </x:row>
    <x:row r="275" ht="18" customHeight="1">
      <x:c r="B275" s="25" t="str">
        <x:v>A269</x:v>
      </x:c>
      <x:c r="C275" s="25" t="str">
        <x:v>no-crutch state</x:v>
      </x:c>
      <x:c r="D275" s="25" t="str">
        <x:v>control 17 remains OPEN</x:v>
      </x:c>
      <x:c r="E275" s="25" t="n">
        <x:f>IF('No-Crutch Register'!I17="OPEN",1,0)</x:f>
        <x:v>1</x:v>
      </x:c>
      <x:c r="F275" s="25" t="n">
        <x:v>1</x:v>
      </x:c>
      <x:c r="G275" s="27" t="str">
        <x:f>IF(E275=F275,"PASS","FAIL")</x:f>
        <x:v>PASS</x:v>
      </x:c>
    </x:row>
    <x:row r="276" ht="18" customHeight="1">
      <x:c r="B276" s="25" t="str">
        <x:v>A270</x:v>
      </x:c>
      <x:c r="C276" s="25" t="str">
        <x:v>no-crutch state</x:v>
      </x:c>
      <x:c r="D276" s="25" t="str">
        <x:v>control 18 remains OPEN</x:v>
      </x:c>
      <x:c r="E276" s="25" t="n">
        <x:f>IF('No-Crutch Register'!I18="OPEN",1,0)</x:f>
        <x:v>1</x:v>
      </x:c>
      <x:c r="F276" s="25" t="n">
        <x:v>1</x:v>
      </x:c>
      <x:c r="G276" s="27" t="str">
        <x:f>IF(E276=F276,"PASS","FAIL")</x:f>
        <x:v>PASS</x:v>
      </x:c>
    </x:row>
    <x:row r="277" ht="18" customHeight="1">
      <x:c r="B277" s="25" t="str">
        <x:v>A271</x:v>
      </x:c>
      <x:c r="C277" s="25" t="str">
        <x:v>no-crutch state</x:v>
      </x:c>
      <x:c r="D277" s="25" t="str">
        <x:v>control 19 remains OPEN</x:v>
      </x:c>
      <x:c r="E277" s="25" t="n">
        <x:f>IF('No-Crutch Register'!I19="OPEN",1,0)</x:f>
        <x:v>1</x:v>
      </x:c>
      <x:c r="F277" s="25" t="n">
        <x:v>1</x:v>
      </x:c>
      <x:c r="G277" s="27" t="str">
        <x:f>IF(E277=F277,"PASS","FAIL")</x:f>
        <x:v>PASS</x:v>
      </x:c>
    </x:row>
    <x:row r="278" ht="18" customHeight="1">
      <x:c r="B278" s="25" t="str">
        <x:v>A272</x:v>
      </x:c>
      <x:c r="C278" s="25" t="str">
        <x:v>no-crutch state</x:v>
      </x:c>
      <x:c r="D278" s="25" t="str">
        <x:v>control 20 remains OPEN</x:v>
      </x:c>
      <x:c r="E278" s="25" t="n">
        <x:f>IF('No-Crutch Register'!I20="OPEN",1,0)</x:f>
        <x:v>1</x:v>
      </x:c>
      <x:c r="F278" s="25" t="n">
        <x:v>1</x:v>
      </x:c>
      <x:c r="G278" s="27" t="str">
        <x:f>IF(E278=F278,"PASS","FAIL")</x:f>
        <x:v>PASS</x:v>
      </x:c>
    </x:row>
    <x:row r="279" ht="18" customHeight="1">
      <x:c r="B279" s="25" t="str">
        <x:v>A273</x:v>
      </x:c>
      <x:c r="C279" s="25" t="str">
        <x:v>no-crutch state</x:v>
      </x:c>
      <x:c r="D279" s="25" t="str">
        <x:v>control 21 remains OPEN</x:v>
      </x:c>
      <x:c r="E279" s="25" t="n">
        <x:f>IF('No-Crutch Register'!I21="OPEN",1,0)</x:f>
        <x:v>1</x:v>
      </x:c>
      <x:c r="F279" s="25" t="n">
        <x:v>1</x:v>
      </x:c>
      <x:c r="G279" s="27" t="str">
        <x:f>IF(E279=F279,"PASS","FAIL")</x:f>
        <x:v>PASS</x:v>
      </x:c>
    </x:row>
    <x:row r="280" ht="18" customHeight="1">
      <x:c r="B280" s="25" t="str">
        <x:v>A274</x:v>
      </x:c>
      <x:c r="C280" s="25" t="str">
        <x:v>no-crutch state</x:v>
      </x:c>
      <x:c r="D280" s="25" t="str">
        <x:v>control 22 remains OPEN</x:v>
      </x:c>
      <x:c r="E280" s="25" t="n">
        <x:f>IF('No-Crutch Register'!I22="OPEN",1,0)</x:f>
        <x:v>1</x:v>
      </x:c>
      <x:c r="F280" s="25" t="n">
        <x:v>1</x:v>
      </x:c>
      <x:c r="G280" s="27" t="str">
        <x:f>IF(E280=F280,"PASS","FAIL")</x:f>
        <x:v>PASS</x:v>
      </x:c>
    </x:row>
    <x:row r="281" ht="18" customHeight="1">
      <x:c r="B281" s="25" t="str">
        <x:v>A275</x:v>
      </x:c>
      <x:c r="C281" s="25" t="str">
        <x:v>no-crutch state</x:v>
      </x:c>
      <x:c r="D281" s="25" t="str">
        <x:v>control 23 remains OPEN</x:v>
      </x:c>
      <x:c r="E281" s="25" t="n">
        <x:f>IF('No-Crutch Register'!I23="OPEN",1,0)</x:f>
        <x:v>1</x:v>
      </x:c>
      <x:c r="F281" s="25" t="n">
        <x:v>1</x:v>
      </x:c>
      <x:c r="G281" s="27" t="str">
        <x:f>IF(E281=F281,"PASS","FAIL")</x:f>
        <x:v>PASS</x:v>
      </x:c>
    </x:row>
    <x:row r="282" ht="18" customHeight="1">
      <x:c r="B282" s="25" t="str">
        <x:v>A276</x:v>
      </x:c>
      <x:c r="C282" s="25" t="str">
        <x:v>no-crutch state</x:v>
      </x:c>
      <x:c r="D282" s="25" t="str">
        <x:v>control 24 remains OPEN</x:v>
      </x:c>
      <x:c r="E282" s="25" t="n">
        <x:f>IF('No-Crutch Register'!I24="OPEN",1,0)</x:f>
        <x:v>1</x:v>
      </x:c>
      <x:c r="F282" s="25" t="n">
        <x:v>1</x:v>
      </x:c>
      <x:c r="G282" s="27" t="str">
        <x:f>IF(E282=F282,"PASS","FAIL")</x:f>
        <x:v>PASS</x:v>
      </x:c>
    </x:row>
    <x:row r="283" ht="18" customHeight="1">
      <x:c r="B283" s="25" t="str">
        <x:v>A277</x:v>
      </x:c>
      <x:c r="C283" s="25" t="str">
        <x:v>qualification bank</x:v>
      </x:c>
      <x:c r="D283" s="25" t="str">
        <x:v>row 7 disposition accounts for 24</x:v>
      </x:c>
      <x:c r="E283" s="25" t="n">
        <x:f>SUM('Article Burn'!I7:N7)</x:f>
        <x:v>24</x:v>
      </x:c>
      <x:c r="F283" s="25" t="n">
        <x:v>24</x:v>
      </x:c>
      <x:c r="G283" s="27" t="str">
        <x:f>IF(E283=F283,"PASS","FAIL")</x:f>
        <x:v>PASS</x:v>
      </x:c>
    </x:row>
    <x:row r="284" ht="18" customHeight="1">
      <x:c r="B284" s="25" t="str">
        <x:v>A278</x:v>
      </x:c>
      <x:c r="C284" s="25" t="str">
        <x:v>qualification bank</x:v>
      </x:c>
      <x:c r="D284" s="25" t="str">
        <x:v>row 8 disposition accounts for 24</x:v>
      </x:c>
      <x:c r="E284" s="25" t="n">
        <x:f>SUM('Article Burn'!I8:N8)</x:f>
        <x:v>24</x:v>
      </x:c>
      <x:c r="F284" s="25" t="n">
        <x:v>24</x:v>
      </x:c>
      <x:c r="G284" s="27" t="str">
        <x:f>IF(E284=F284,"PASS","FAIL")</x:f>
        <x:v>PASS</x:v>
      </x:c>
    </x:row>
    <x:row r="285" ht="18" customHeight="1">
      <x:c r="B285" s="25" t="str">
        <x:v>A279</x:v>
      </x:c>
      <x:c r="C285" s="25" t="str">
        <x:v>qualification bank</x:v>
      </x:c>
      <x:c r="D285" s="25" t="str">
        <x:v>row 9 disposition accounts for 24</x:v>
      </x:c>
      <x:c r="E285" s="25" t="n">
        <x:f>SUM('Article Burn'!I9:N9)</x:f>
        <x:v>24</x:v>
      </x:c>
      <x:c r="F285" s="25" t="n">
        <x:v>24</x:v>
      </x:c>
      <x:c r="G285" s="27" t="str">
        <x:f>IF(E285=F285,"PASS","FAIL")</x:f>
        <x:v>PASS</x:v>
      </x:c>
    </x:row>
    <x:row r="286" ht="18" customHeight="1">
      <x:c r="B286" s="25" t="str">
        <x:v>A280</x:v>
      </x:c>
      <x:c r="C286" s="25" t="str">
        <x:v>qualification bank</x:v>
      </x:c>
      <x:c r="D286" s="25" t="str">
        <x:v>row 10 disposition accounts for 24</x:v>
      </x:c>
      <x:c r="E286" s="25" t="n">
        <x:f>SUM('Article Burn'!I10:N10)</x:f>
        <x:v>24</x:v>
      </x:c>
      <x:c r="F286" s="25" t="n">
        <x:v>24</x:v>
      </x:c>
      <x:c r="G286" s="27" t="str">
        <x:f>IF(E286=F286,"PASS","FAIL")</x:f>
        <x:v>PASS</x:v>
      </x:c>
    </x:row>
    <x:row r="287" ht="18" customHeight="1">
      <x:c r="B287" s="25" t="str">
        <x:v>A281</x:v>
      </x:c>
      <x:c r="C287" s="25" t="str">
        <x:v>qualification bank</x:v>
      </x:c>
      <x:c r="D287" s="25" t="str">
        <x:v>row 11 disposition accounts for 24</x:v>
      </x:c>
      <x:c r="E287" s="25" t="n">
        <x:f>SUM('Article Burn'!I11:N11)</x:f>
        <x:v>24</x:v>
      </x:c>
      <x:c r="F287" s="25" t="n">
        <x:v>24</x:v>
      </x:c>
      <x:c r="G287" s="27" t="str">
        <x:f>IF(E287=F287,"PASS","FAIL")</x:f>
        <x:v>PASS</x:v>
      </x:c>
    </x:row>
    <x:row r="288" ht="18" customHeight="1">
      <x:c r="B288" s="25" t="str">
        <x:v>A282</x:v>
      </x:c>
      <x:c r="C288" s="25" t="str">
        <x:v>qualification bank</x:v>
      </x:c>
      <x:c r="D288" s="25" t="str">
        <x:v>row 12 disposition accounts for 24</x:v>
      </x:c>
      <x:c r="E288" s="25" t="n">
        <x:f>SUM('Article Burn'!I12:N12)</x:f>
        <x:v>24</x:v>
      </x:c>
      <x:c r="F288" s="25" t="n">
        <x:v>24</x:v>
      </x:c>
      <x:c r="G288" s="27" t="str">
        <x:f>IF(E288=F288,"PASS","FAIL")</x:f>
        <x:v>PASS</x:v>
      </x:c>
    </x:row>
    <x:row r="289" ht="18" customHeight="1">
      <x:c r="B289" s="25" t="str">
        <x:v>A283</x:v>
      </x:c>
      <x:c r="C289" s="25" t="str">
        <x:v>qualification bank</x:v>
      </x:c>
      <x:c r="D289" s="25" t="str">
        <x:v>row 13 disposition accounts for 24</x:v>
      </x:c>
      <x:c r="E289" s="25" t="n">
        <x:f>SUM('Article Burn'!I13:N13)</x:f>
        <x:v>24</x:v>
      </x:c>
      <x:c r="F289" s="25" t="n">
        <x:v>24</x:v>
      </x:c>
      <x:c r="G289" s="27" t="str">
        <x:f>IF(E289=F289,"PASS","FAIL")</x:f>
        <x:v>PASS</x:v>
      </x:c>
    </x:row>
    <x:row r="290" ht="18" customHeight="1">
      <x:c r="B290" s="25" t="str">
        <x:v>A284</x:v>
      </x:c>
      <x:c r="C290" s="25" t="str">
        <x:v>qualification bank</x:v>
      </x:c>
      <x:c r="D290" s="25" t="str">
        <x:v>row 14 disposition accounts for 24</x:v>
      </x:c>
      <x:c r="E290" s="25" t="n">
        <x:f>SUM('Article Burn'!I14:N14)</x:f>
        <x:v>24</x:v>
      </x:c>
      <x:c r="F290" s="25" t="n">
        <x:v>24</x:v>
      </x:c>
      <x:c r="G290" s="27" t="str">
        <x:f>IF(E290=F290,"PASS","FAIL")</x:f>
        <x:v>PASS</x:v>
      </x:c>
    </x:row>
    <x:row r="291" ht="18" customHeight="1">
      <x:c r="B291" s="25" t="str">
        <x:v>A285</x:v>
      </x:c>
      <x:c r="C291" s="25" t="str">
        <x:v>qualification bank</x:v>
      </x:c>
      <x:c r="D291" s="25" t="str">
        <x:v>row 15 disposition accounts for 24</x:v>
      </x:c>
      <x:c r="E291" s="25" t="n">
        <x:f>SUM('Article Burn'!I15:N15)</x:f>
        <x:v>24</x:v>
      </x:c>
      <x:c r="F291" s="25" t="n">
        <x:v>24</x:v>
      </x:c>
      <x:c r="G291" s="27" t="str">
        <x:f>IF(E291=F291,"PASS","FAIL")</x:f>
        <x:v>PASS</x:v>
      </x:c>
    </x:row>
    <x:row r="292" ht="18" customHeight="1">
      <x:c r="B292" s="25" t="str">
        <x:v>A286</x:v>
      </x:c>
      <x:c r="C292" s="25" t="str">
        <x:v>qualification bank</x:v>
      </x:c>
      <x:c r="D292" s="25" t="str">
        <x:v>row 16 disposition accounts for 24</x:v>
      </x:c>
      <x:c r="E292" s="25" t="n">
        <x:f>SUM('Article Burn'!I16:N16)</x:f>
        <x:v>24</x:v>
      </x:c>
      <x:c r="F292" s="25" t="n">
        <x:v>24</x:v>
      </x:c>
      <x:c r="G292" s="27" t="str">
        <x:f>IF(E292=F292,"PASS","FAIL")</x:f>
        <x:v>PASS</x:v>
      </x:c>
    </x:row>
    <x:row r="293" ht="18" customHeight="1">
      <x:c r="B293" s="25" t="str">
        <x:v>A287</x:v>
      </x:c>
      <x:c r="C293" s="25" t="str">
        <x:v>time</x:v>
      </x:c>
      <x:c r="D293" s="25" t="str">
        <x:v>embedded architecture correctly fails</x:v>
      </x:c>
      <x:c r="E293" s="25" t="n">
        <x:f>IF('Time Uncertainty'!C27="FAIL",1,0)</x:f>
        <x:v>1</x:v>
      </x:c>
      <x:c r="F293" s="25" t="n">
        <x:v>1</x:v>
      </x:c>
      <x:c r="G293" s="27" t="str">
        <x:f>IF(E293=F293,"PASS","FAIL")</x:f>
        <x:v>PASS</x:v>
      </x:c>
    </x:row>
    <x:row r="294" ht="18" customHeight="1">
      <x:c r="B294" s="25" t="str">
        <x:v>A288</x:v>
      </x:c>
      <x:c r="C294" s="25" t="str">
        <x:v>time</x:v>
      </x:c>
      <x:c r="D294" s="25" t="str">
        <x:v>independent logger correctly fails</x:v>
      </x:c>
      <x:c r="E294" s="25" t="n">
        <x:f>IF('Time Uncertainty'!D27="FAIL",1,0)</x:f>
        <x:v>1</x:v>
      </x:c>
      <x:c r="F294" s="25" t="n">
        <x:v>1</x:v>
      </x:c>
      <x:c r="G294" s="27" t="str">
        <x:f>IF(E294=F294,"PASS","FAIL")</x:f>
        <x:v>PASS</x:v>
      </x:c>
    </x:row>
    <x:row r="295" ht="18" customHeight="1">
      <x:c r="B295" s="25" t="str">
        <x:v>A289</x:v>
      </x:c>
      <x:c r="C295" s="25" t="str">
        <x:v>time</x:v>
      </x:c>
      <x:c r="D295" s="25" t="str">
        <x:v>MESA-1 time passes</x:v>
      </x:c>
      <x:c r="E295" s="25" t="n">
        <x:f>IF('Time Uncertainty'!E27="PASS",1,0)</x:f>
        <x:v>1</x:v>
      </x:c>
      <x:c r="F295" s="25" t="n">
        <x:v>1</x:v>
      </x:c>
      <x:c r="G295" s="27" t="str">
        <x:f>IF(E295=F295,"PASS","FAIL")</x:f>
        <x:v>PASS</x:v>
      </x:c>
    </x:row>
    <x:row r="296" ht="18" customHeight="1">
      <x:c r="B296" s="25" t="str">
        <x:v>A290</x:v>
      </x:c>
      <x:c r="C296" s="25" t="str">
        <x:v>soil</x:v>
      </x:c>
      <x:c r="D296" s="25" t="str">
        <x:v>control telemetry correctly fails</x:v>
      </x:c>
      <x:c r="E296" s="25" t="n">
        <x:f>IF('Soil Uncertainty'!C24="FAIL",1,0)</x:f>
        <x:v>1</x:v>
      </x:c>
      <x:c r="F296" s="25" t="n">
        <x:v>1</x:v>
      </x:c>
      <x:c r="G296" s="27" t="str">
        <x:f>IF(E296=F296,"PASS","FAIL")</x:f>
        <x:v>PASS</x:v>
      </x:c>
    </x:row>
    <x:row r="297" ht="18" customHeight="1">
      <x:c r="B297" s="25" t="str">
        <x:v>A291</x:v>
      </x:c>
      <x:c r="C297" s="25" t="str">
        <x:v>soil</x:v>
      </x:c>
      <x:c r="D297" s="25" t="str">
        <x:v>foot array correctly fails</x:v>
      </x:c>
      <x:c r="E297" s="25" t="n">
        <x:f>IF('Soil Uncertainty'!D24="FAIL",1,0)</x:f>
        <x:v>1</x:v>
      </x:c>
      <x:c r="F297" s="25" t="n">
        <x:v>1</x:v>
      </x:c>
      <x:c r="G297" s="27" t="str">
        <x:f>IF(E297=F297,"PASS","FAIL")</x:f>
        <x:v>PASS</x:v>
      </x:c>
    </x:row>
    <x:row r="298" ht="18" customHeight="1">
      <x:c r="B298" s="25" t="str">
        <x:v>A292</x:v>
      </x:c>
      <x:c r="C298" s="25" t="str">
        <x:v>soil</x:v>
      </x:c>
      <x:c r="D298" s="25" t="str">
        <x:v>MESA-1 soil passes</x:v>
      </x:c>
      <x:c r="E298" s="25" t="n">
        <x:f>IF('Soil Uncertainty'!E24="PASS",1,0)</x:f>
        <x:v>1</x:v>
      </x:c>
      <x:c r="F298" s="25" t="n">
        <x:v>1</x:v>
      </x:c>
      <x:c r="G298" s="27" t="str">
        <x:f>IF(E298=F298,"PASS","FAIL")</x:f>
        <x:v>PASS</x:v>
      </x:c>
    </x:row>
    <x:row r="299" ht="18" customHeight="1">
      <x:c r="B299" s="25" t="str">
        <x:v>A293</x:v>
      </x:c>
      <x:c r="C299" s="25" t="str">
        <x:v>architecture</x:v>
      </x:c>
      <x:c r="D299" s="25" t="str">
        <x:v>M0 correctly fails</x:v>
      </x:c>
      <x:c r="E299" s="25" t="n">
        <x:f>IF('Architecture Competition'!N7="FAIL",1,0)</x:f>
        <x:v>1</x:v>
      </x:c>
      <x:c r="F299" s="25" t="n">
        <x:v>1</x:v>
      </x:c>
      <x:c r="G299" s="27" t="str">
        <x:f>IF(E299=F299,"PASS","FAIL")</x:f>
        <x:v>PASS</x:v>
      </x:c>
    </x:row>
    <x:row r="300" ht="18" customHeight="1">
      <x:c r="B300" s="25" t="str">
        <x:v>A294</x:v>
      </x:c>
      <x:c r="C300" s="25" t="str">
        <x:v>architecture</x:v>
      </x:c>
      <x:c r="D300" s="25" t="str">
        <x:v>M1 correctly fails</x:v>
      </x:c>
      <x:c r="E300" s="25" t="n">
        <x:f>IF('Architecture Competition'!N8="FAIL",1,0)</x:f>
        <x:v>1</x:v>
      </x:c>
      <x:c r="F300" s="25" t="n">
        <x:v>1</x:v>
      </x:c>
      <x:c r="G300" s="27" t="str">
        <x:f>IF(E300=F300,"PASS","FAIL")</x:f>
        <x:v>PASS</x:v>
      </x:c>
    </x:row>
    <x:row r="301" ht="18" customHeight="1">
      <x:c r="B301" s="25" t="str">
        <x:v>A295</x:v>
      </x:c>
      <x:c r="C301" s="25" t="str">
        <x:v>architecture</x:v>
      </x:c>
      <x:c r="D301" s="25" t="str">
        <x:v>M2 passes</x:v>
      </x:c>
      <x:c r="E301" s="25" t="n">
        <x:f>IF('Architecture Competition'!N9="PASS",1,0)</x:f>
        <x:v>1</x:v>
      </x:c>
      <x:c r="F301" s="25" t="n">
        <x:v>1</x:v>
      </x:c>
      <x:c r="G301" s="27" t="str">
        <x:f>IF(E301=F301,"PASS","FAIL")</x:f>
        <x:v>PASS</x:v>
      </x:c>
    </x:row>
    <x:row r="302" ht="18" customHeight="1">
      <x:c r="B302" s="25" t="str">
        <x:v>A296</x:v>
      </x:c>
      <x:c r="C302" s="25" t="str">
        <x:v>inventory</x:v>
      </x:c>
      <x:c r="D302" s="25" t="str">
        <x:v>revised total inventory</x:v>
      </x:c>
      <x:c r="E302" s="25" t="n">
        <x:f>'Article Burn'!E35</x:f>
        <x:v>6172</x:v>
      </x:c>
      <x:c r="F302" s="25" t="n">
        <x:v>6172</x:v>
      </x:c>
      <x:c r="G302" s="27" t="str">
        <x:f>IF(E302=F302,"PASS","FAIL")</x:f>
        <x:v>PASS</x:v>
      </x:c>
    </x:row>
    <x:row r="303" ht="18" customHeight="1">
      <x:c r="B303" s="25" t="str">
        <x:v>A297</x:v>
      </x:c>
      <x:c r="C303" s="25" t="str">
        <x:v>inventory</x:v>
      </x:c>
      <x:c r="D303" s="25" t="str">
        <x:v>revised development tiles</x:v>
      </x:c>
      <x:c r="E303" s="25" t="n">
        <x:f>'Article Burn'!E33</x:f>
        <x:v>496</x:v>
      </x:c>
      <x:c r="F303" s="25" t="n">
        <x:v>496</x:v>
      </x:c>
      <x:c r="G303" s="27" t="str">
        <x:f>IF(E303=F303,"PASS","FAIL")</x:f>
        <x:v>PASS</x:v>
      </x:c>
    </x:row>
    <x:row r="304" ht="18" customHeight="1">
      <x:c r="B304" s="25" t="str">
        <x:v>A298</x:v>
      </x:c>
      <x:c r="C304" s="25" t="str">
        <x:v>inventory</x:v>
      </x:c>
      <x:c r="D304" s="25" t="str">
        <x:v>revised attrition tiles</x:v>
      </x:c>
      <x:c r="E304" s="25" t="n">
        <x:f>'Article Burn'!E32</x:f>
        <x:v>36</x:v>
      </x:c>
      <x:c r="F304" s="25" t="n">
        <x:v>36</x:v>
      </x:c>
      <x:c r="G304" s="27" t="str">
        <x:f>IF(E304=F304,"PASS","FAIL")</x:f>
        <x:v>PASS</x:v>
      </x:c>
    </x:row>
    <x:row r="305" ht="18" customHeight="1">
      <x:c r="B305" s="25" t="str">
        <x:v>A299</x:v>
      </x:c>
      <x:c r="C305" s="25" t="str">
        <x:v>cost</x:v>
      </x:c>
      <x:c r="D305" s="25" t="str">
        <x:v>F01 total</x:v>
      </x:c>
      <x:c r="E305" s="25" t="n">
        <x:f>'F01 Cost'!E18</x:f>
        <x:v>24.000000000000004</x:v>
      </x:c>
      <x:c r="F305" s="25" t="n">
        <x:v>24</x:v>
      </x:c>
      <x:c r="G305" s="27" t="str">
        <x:f>IF(E305=F305,"PASS","FAIL")</x:f>
        <x:v>PASS</x:v>
      </x:c>
    </x:row>
    <x:row r="306" ht="18" customHeight="1">
      <x:c r="B306" s="25" t="str">
        <x:v>A300</x:v>
      </x:c>
      <x:c r="C306" s="25" t="str">
        <x:v>cost</x:v>
      </x:c>
      <x:c r="D306" s="25" t="str">
        <x:v>facility total</x:v>
      </x:c>
      <x:c r="E306" s="25" t="n">
        <x:f>'Facility Build'!F56</x:f>
        <x:v>350</x:v>
      </x:c>
      <x:c r="F306" s="25" t="n">
        <x:v>350</x:v>
      </x:c>
      <x:c r="G306" s="27" t="str">
        <x:f>IF(E306=F306,"PASS","FAIL")</x:f>
        <x:v>PASS</x:v>
      </x:c>
    </x:row>
    <x:row r="307" ht="18" customHeight="1">
      <x:c r="B307" s="25" t="str">
        <x:v>A301</x:v>
      </x:c>
      <x:c r="C307" s="25" t="str">
        <x:v>cost</x:v>
      </x:c>
      <x:c r="D307" s="25" t="str">
        <x:v>program total</x:v>
      </x:c>
      <x:c r="E307" s="25" t="n">
        <x:f>'Program Cost'!C14</x:f>
        <x:v>1050</x:v>
      </x:c>
      <x:c r="F307" s="25" t="n">
        <x:v>1050</x:v>
      </x:c>
      <x:c r="G307" s="27" t="str">
        <x:f>IF(E307=F307,"PASS","FAIL")</x:f>
        <x:v>PASS</x:v>
      </x:c>
    </x:row>
    <x:row r="308" ht="18" customHeight="1">
      <x:c r="B308" s="25" t="str">
        <x:v>A302</x:v>
      </x:c>
      <x:c r="C308" s="25" t="str">
        <x:v>data</x:v>
      </x:c>
      <x:c r="D308" s="25" t="str">
        <x:v>air mission data positive</x:v>
      </x:c>
      <x:c r="E308" s="25" t="n">
        <x:f>'Formation Data'!J21</x:f>
        <x:v>159.6049588224</x:v>
      </x:c>
      <x:c r="F308" s="25" t="n">
        <x:v>0</x:v>
      </x:c>
      <x:c r="G308" s="27" t="str">
        <x:f>IF(E308&gt;F308,"PASS","FAIL")</x:f>
        <x:v>PASS</x:v>
      </x:c>
    </x:row>
    <x:row r="309" ht="18" customHeight="1">
      <x:c r="B309" s="25" t="str">
        <x:v>A303</x:v>
      </x:c>
      <x:c r="C309" s="25" t="str">
        <x:v>data</x:v>
      </x:c>
      <x:c r="D309" s="25" t="str">
        <x:v>terrain mission data positive</x:v>
      </x:c>
      <x:c r="E309" s="25" t="n">
        <x:f>'Formation Data'!J22</x:f>
        <x:v>201.468169728</x:v>
      </x:c>
      <x:c r="F309" s="25" t="n">
        <x:v>0</x:v>
      </x:c>
      <x:c r="G309" s="27" t="str">
        <x:f>IF(E309&gt;F309,"PASS","FAIL")</x:f>
        <x:v>PASS</x:v>
      </x:c>
    </x:row>
    <x:row r="310" ht="18" customHeight="1">
      <x:c r="B310" s="25" t="str">
        <x:v>A304</x:v>
      </x:c>
      <x:c r="C310" s="25" t="str">
        <x:v>data</x:v>
      </x:c>
      <x:c r="D310" s="25" t="str">
        <x:v>air network passes</x:v>
      </x:c>
      <x:c r="E310" s="25" t="n">
        <x:f>IF('Formation Data'!L21="PASS",1,0)</x:f>
        <x:v>1</x:v>
      </x:c>
      <x:c r="F310" s="25" t="n">
        <x:v>1</x:v>
      </x:c>
      <x:c r="G310" s="27" t="str">
        <x:f>IF(E310=F310,"PASS","FAIL")</x:f>
        <x:v>PASS</x:v>
      </x:c>
    </x:row>
    <x:row r="311" ht="18" customHeight="1">
      <x:c r="B311" s="25" t="str">
        <x:v>A305</x:v>
      </x:c>
      <x:c r="C311" s="25" t="str">
        <x:v>data</x:v>
      </x:c>
      <x:c r="D311" s="25" t="str">
        <x:v>terrain network passes</x:v>
      </x:c>
      <x:c r="E311" s="25" t="n">
        <x:f>IF('Formation Data'!L22="PASS",1,0)</x:f>
        <x:v>1</x:v>
      </x:c>
      <x:c r="F311" s="25" t="n">
        <x:v>1</x:v>
      </x:c>
      <x:c r="G311" s="27" t="str">
        <x:f>IF(E311=F311,"PASS","FAIL")</x:f>
        <x:v>PASS</x:v>
      </x:c>
    </x:row>
    <x:row r="312" ht="18" customHeight="1">
      <x:c r="B312" s="25" t="str">
        <x:v>A306</x:v>
      </x:c>
      <x:c r="C312" s="25" t="str">
        <x:v>data</x:v>
      </x:c>
      <x:c r="D312" s="25" t="str">
        <x:v>canonical archive reconciles</x:v>
      </x:c>
      <x:c r="E312" s="25" t="n">
        <x:f>IF('Formation Data'!F32="PASS",1,0)</x:f>
        <x:v>1</x:v>
      </x:c>
      <x:c r="F312" s="25" t="n">
        <x:v>1</x:v>
      </x:c>
      <x:c r="G312" s="27" t="str">
        <x:f>IF(E312=F312,"PASS","FAIL")</x:f>
        <x:v>PASS</x:v>
      </x:c>
    </x:row>
    <x:row r="313" ht="18" customHeight="1">
      <x:c r="B313" s="25" t="str">
        <x:v>A307</x:v>
      </x:c>
      <x:c r="C313" s="25" t="str">
        <x:v>governance</x:v>
      </x:c>
      <x:c r="D313" s="25" t="str">
        <x:v>rendering remains blocked</x:v>
      </x:c>
      <x:c r="E313" s="25" t="n">
        <x:f>Assumptions!C50</x:f>
        <x:v>0</x:v>
      </x:c>
      <x:c r="F313" s="25" t="n">
        <x:v>0</x:v>
      </x:c>
      <x:c r="G313" s="27" t="str">
        <x:f>IF(E313=F313,"PASS","FAIL")</x:f>
        <x:v>PASS</x:v>
      </x:c>
    </x:row>
    <x:row r="314" ht="18" customHeight="1">
      <x:c r="B314" s="25" t="str">
        <x:v>A308</x:v>
      </x:c>
      <x:c r="C314" s="25" t="str">
        <x:v>governance</x:v>
      </x:c>
      <x:c r="D314" s="25" t="str">
        <x:v>nine decision gates OPEN</x:v>
      </x:c>
      <x:c r="E314" s="25" t="n">
        <x:f>COUNTIF('Decision Gates'!G7:G15,"OPEN")</x:f>
        <x:v>9</x:v>
      </x:c>
      <x:c r="F314" s="25" t="n">
        <x:v>9</x:v>
      </x:c>
      <x:c r="G314" s="27" t="str">
        <x:f>IF(E314=F314,"PASS","FAIL")</x:f>
        <x:v>PASS</x:v>
      </x:c>
    </x:row>
    <x:row r="315" ht="18" customHeight="1">
      <x:c r="B315" s="25" t="str">
        <x:v>A309</x:v>
      </x:c>
      <x:c r="C315" s="25" t="str">
        <x:v>governance</x:v>
      </x:c>
      <x:c r="D315" s="25" t="str">
        <x:v>nine rendering states BLOCKED</x:v>
      </x:c>
      <x:c r="E315" s="25" t="n">
        <x:f>COUNTIF('Decision Gates'!M7:M15,"BLOCKED")</x:f>
        <x:v>9</x:v>
      </x:c>
      <x:c r="F315" s="25" t="n">
        <x:v>9</x:v>
      </x:c>
      <x:c r="G315" s="27" t="str">
        <x:f>IF(E315=F315,"PASS","FAIL")</x:f>
        <x:v>PASS</x:v>
      </x:c>
    </x:row>
    <x:row r="316" ht="18" customHeight="1">
      <x:c r="B316" s="25" t="str">
        <x:v>A310</x:v>
      </x:c>
      <x:c r="C316" s="25" t="str">
        <x:v>formation</x:v>
      </x:c>
      <x:c r="D316" s="25" t="str">
        <x:v>air tile count</x:v>
      </x:c>
      <x:c r="E316" s="25" t="n">
        <x:f>SUM('Formation Data'!E7:E11)</x:f>
        <x:v>60</x:v>
      </x:c>
      <x:c r="F316" s="25" t="n">
        <x:v>60</x:v>
      </x:c>
      <x:c r="G316" s="27" t="str">
        <x:f>IF(E316=F316,"PASS","FAIL")</x:f>
        <x:v>PASS</x:v>
      </x:c>
    </x:row>
    <x:row r="317" ht="18" customHeight="1">
      <x:c r="B317" s="25" t="str">
        <x:v>A311</x:v>
      </x:c>
      <x:c r="C317" s="25" t="str">
        <x:v>formation</x:v>
      </x:c>
      <x:c r="D317" s="25" t="str">
        <x:v>terrain tile count</x:v>
      </x:c>
      <x:c r="E317" s="25" t="n">
        <x:f>SUM('Formation Data'!E12:E16)</x:f>
        <x:v>50</x:v>
      </x:c>
      <x:c r="F317" s="25" t="n">
        <x:v>50</x:v>
      </x:c>
      <x:c r="G317" s="27" t="str">
        <x:f>IF(E317=F317,"PASS","FAIL")</x:f>
        <x:v>PASS</x:v>
      </x:c>
    </x:row>
    <x:row r="318" ht="18" customHeight="1">
      <x:c r="B318" s="25" t="str">
        <x:v>A312</x:v>
      </x:c>
      <x:c r="C318" s="25" t="str">
        <x:v>channels</x:v>
      </x:c>
      <x:c r="D318" s="25" t="str">
        <x:v>channel record count</x:v>
      </x:c>
      <x:c r="E318" s="25" t="n">
        <x:f>COUNTA('Channel Register'!B7:B86)</x:f>
        <x:v>80</x:v>
      </x:c>
      <x:c r="F318" s="25" t="n">
        <x:v>80</x:v>
      </x:c>
      <x:c r="G318" s="27" t="str">
        <x:f>IF(E318=F318,"PASS","FAIL")</x:f>
        <x:v>PASS</x:v>
      </x:c>
    </x:row>
    <x:row r="319" ht="18" customHeight="1">
      <x:c r="B319" s="25" t="str">
        <x:v>A313</x:v>
      </x:c>
      <x:c r="C319" s="25" t="str">
        <x:v>facilities</x:v>
      </x:c>
      <x:c r="D319" s="25" t="str">
        <x:v>facility line count</x:v>
      </x:c>
      <x:c r="E319" s="25" t="n">
        <x:f>COUNTA('Facility Build'!C7:C55)</x:f>
        <x:v>49</x:v>
      </x:c>
      <x:c r="F319" s="25" t="n">
        <x:v>49</x:v>
      </x:c>
      <x:c r="G319" s="27" t="str">
        <x:f>IF(E319=F319,"PASS","FAIL")</x:f>
        <x:v>PASS</x:v>
      </x:c>
    </x:row>
    <x:row r="320" ht="18" customHeight="1">
      <x:c r="B320" s="25" t="str">
        <x:v>A314</x:v>
      </x:c>
      <x:c r="C320" s="25" t="str">
        <x:v>metrology</x:v>
      </x:c>
      <x:c r="D320" s="25" t="str">
        <x:v>F01 line count</x:v>
      </x:c>
      <x:c r="E320" s="25" t="n">
        <x:f>COUNTA('F01 Cost'!B7:B17)</x:f>
        <x:v>11</x:v>
      </x:c>
      <x:c r="F320" s="25" t="n">
        <x:v>11</x:v>
      </x:c>
      <x:c r="G320" s="27" t="str">
        <x:f>IF(E320=F320,"PASS","FAIL")</x:f>
        <x:v>PASS</x:v>
      </x:c>
    </x:row>
    <x:row r="321" ht="18" customHeight="1">
      <x:c r="B321" s="25" t="str">
        <x:v>A315</x:v>
      </x:c>
      <x:c r="C321" s="25" t="str">
        <x:v>article</x:v>
      </x:c>
      <x:c r="D321" s="25" t="str">
        <x:v>air attrition ceiling</x:v>
      </x:c>
      <x:c r="E321" s="25" t="n">
        <x:f>'Article Burn'!D25</x:f>
        <x:v>18</x:v>
      </x:c>
      <x:c r="F321" s="25" t="n">
        <x:v>18</x:v>
      </x:c>
      <x:c r="G321" s="27" t="str">
        <x:f>IF(E321=F321,"PASS","FAIL")</x:f>
        <x:v>PASS</x:v>
      </x:c>
    </x:row>
    <x:row r="322" ht="18" customHeight="1">
      <x:c r="B322" s="25" t="str">
        <x:v>A316</x:v>
      </x:c>
      <x:c r="C322" s="25" t="str">
        <x:v>article</x:v>
      </x:c>
      <x:c r="D322" s="25" t="str">
        <x:v>terrain attrition ceiling</x:v>
      </x:c>
      <x:c r="E322" s="25" t="n">
        <x:f>'Article Burn'!E25</x:f>
        <x:v>18</x:v>
      </x:c>
      <x:c r="F322" s="25" t="n">
        <x:v>18</x:v>
      </x:c>
      <x:c r="G322" s="27" t="str">
        <x:f>IF(E322=F322,"PASS","FAIL")</x:f>
        <x:v>PASS</x:v>
      </x:c>
    </x:row>
    <x:row r="323" ht="18" customHeight="1">
      <x:c r="B323" s="25" t="str">
        <x:v>A317</x:v>
      </x:c>
      <x:c r="C323" s="25" t="str">
        <x:v>portfolio</x:v>
      </x:c>
      <x:c r="D323" s="25" t="str">
        <x:v>facility delta zero</x:v>
      </x:c>
      <x:c r="E323" s="25" t="n">
        <x:f>'Facility Build'!I56</x:f>
        <x:v>0</x:v>
      </x:c>
      <x:c r="F323" s="25" t="n">
        <x:v>0</x:v>
      </x:c>
      <x:c r="G323" s="27" t="str">
        <x:f>IF(E323=F323,"PASS","FAIL")</x:f>
        <x:v>PASS</x:v>
      </x:c>
    </x:row>
    <x:row r="324" ht="18" customHeight="1">
      <x:c r="B324" s="25" t="str">
        <x:v>A318</x:v>
      </x:c>
      <x:c r="C324" s="25" t="str">
        <x:v>portfolio</x:v>
      </x:c>
      <x:c r="D324" s="25" t="str">
        <x:v>program control passes</x:v>
      </x:c>
      <x:c r="E324" s="25" t="n">
        <x:f>IF('Program Cost'!K14="PASS",1,0)</x:f>
        <x:v>1</x:v>
      </x:c>
      <x:c r="F324" s="25" t="n">
        <x:v>1</x:v>
      </x:c>
      <x:c r="G324" s="27" t="str">
        <x:f>IF(E324=F324,"PASS","FAIL")</x:f>
        <x:v>PASS</x:v>
      </x:c>
    </x:row>
    <x:row r="325" ht="18" customHeight="1">
      <x:c r="B325" s="25" t="str">
        <x:v>A319</x:v>
      </x:c>
      <x:c r="C325" s="25" t="str">
        <x:v>model</x:v>
      </x:c>
      <x:c r="D325" s="25" t="str">
        <x:v>audit target</x:v>
      </x:c>
      <x:c r="E325" s="25" t="n">
        <x:f>Assumptions!C49</x:f>
        <x:v>320</x:v>
      </x:c>
      <x:c r="F325" s="25" t="n">
        <x:v>320</x:v>
      </x:c>
      <x:c r="G325" s="27" t="str">
        <x:f>IF(E325=F325,"PASS","FAIL")</x:f>
        <x:v>PASS</x:v>
      </x:c>
    </x:row>
    <x:row r="326" ht="18" customHeight="1">
      <x:c r="B326" s="29" t="str">
        <x:v>A320</x:v>
      </x:c>
      <x:c r="C326" s="29" t="str">
        <x:v>model</x:v>
      </x:c>
      <x:c r="D326" s="29" t="str">
        <x:v>rendering authorization explicit</x:v>
      </x:c>
      <x:c r="E326" s="29" t="n">
        <x:f>Assumptions!C50</x:f>
        <x:v>0</x:v>
      </x:c>
      <x:c r="F326" s="29" t="n">
        <x:v>0</x:v>
      </x:c>
      <x:c r="G326" s="31" t="str">
        <x:f>IF(E326=F326,"PASS","FAIL")</x:f>
        <x:v>PASS</x:v>
      </x:c>
    </x:row>
  </x:sheetData>
  <x:mergeCells>
    <x:mergeCell ref="B2:H2"/>
    <x:mergeCell ref="B3:G3"/>
  </x:mergeCells>
  <x:conditionalFormatting sqref="G7:G326">
    <x:cfRule type="containsText" dxfId="110" priority="1" operator="containsText" text="FAIL"/>
    <x:cfRule type="containsText" dxfId="111" priority="2" operator="containsText" text="PASS"/>
    <x:cfRule type="containsText" dxfId="112" priority="3" operator="containsText" text="OPEN"/>
    <x:cfRule type="containsText" dxfId="113" priority="4" operator="containsText" text="HOLD"/>
    <x:cfRule type="containsText" dxfId="114" priority="5" operator="containsText" text="BLOCKED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Pr>
    <x:tabColor rgb="FF7B8790"/>
  </x:sheetPr>
  <x:sheetViews>
    <x:sheetView showGridLines="0" workbookViewId="0"/>
  </x:sheetViews>
  <x:sheetFormatPr defaultRowHeight="15"/>
  <x:cols>
    <x:col min="2" max="2" width="29" hidden="0" customWidth="1"/>
    <x:col min="3" max="3" width="58" hidden="0" customWidth="1"/>
    <x:col min="4" max="4" width="33" hidden="0" customWidth="1"/>
    <x:col min="5" max="5" width="31" hidden="0" customWidth="1"/>
    <x:col min="6" max="6" width="29" hidden="0" customWidth="1"/>
    <x:col min="7" max="7" width="27" hidden="0" customWidth="1"/>
    <x:col min="8" max="8" width="34" hidden="0" customWidth="1"/>
    <x:col min="9" max="9" width="26" hidden="0" customWidth="1"/>
    <x:col min="10" max="10" width="26" hidden="0" customWidth="1"/>
  </x:cols>
  <x:sheetData>
    <x:row r="2" ht="18" customHeight="1">
      <x:c r="B2" s="4" t="str">
        <x:v>Workbook guide</x:v>
      </x:c>
      <x:c r="C2" s="3"/>
      <x:c r="D2" s="3"/>
      <x:c r="E2" s="3"/>
      <x:c r="F2" s="3"/>
      <x:c r="G2" s="3"/>
      <x:c r="H2" s="3"/>
      <x:c r="I2" s="3"/>
      <x:c r="J2" s="3"/>
    </x:row>
    <x:row r="3" ht="18" customHeight="1">
      <x:c r="B3" s="5" t="str">
        <x:v>MESA-1 is an auditable first-principles evidence architecture, not a sensor purchase, site plan or claim of demonstrated performance</x:v>
      </x:c>
      <x:c r="C3" s="3"/>
      <x:c r="D3" s="3"/>
      <x:c r="E3" s="3"/>
      <x:c r="F3" s="3"/>
      <x:c r="G3" s="3"/>
      <x:c r="H3" s="3"/>
      <x:c r="I3" s="3"/>
      <x:c r="J3" s="3"/>
    </x:row>
    <x:row r="4" ht="18" customHeight="1">
      <x:c r="B4" s="6"/>
      <x:c r="C4" s="6"/>
      <x:c r="D4" s="6"/>
      <x:c r="E4" s="6"/>
      <x:c r="F4" s="6"/>
      <x:c r="G4" s="6"/>
      <x:c r="H4" s="6"/>
      <x:c r="I4" s="6"/>
      <x:c r="J4" s="6"/>
    </x:row>
    <x:row r="5" ht="18" customHeight="1">
      <x:c r="B5" s="3"/>
      <x:c r="C5" s="3"/>
      <x:c r="D5" s="3"/>
      <x:c r="E5" s="3"/>
      <x:c r="F5" s="3"/>
      <x:c r="G5" s="3"/>
      <x:c r="H5" s="3"/>
      <x:c r="I5" s="3"/>
      <x:c r="J5" s="3"/>
    </x:row>
    <x:row r="6" ht="18" customHeight="1">
      <x:c r="B6" s="23" t="str">
        <x:v>Sheet</x:v>
      </x:c>
      <x:c r="C6" s="24" t="str">
        <x:v>Purpose</x:v>
      </x:c>
      <x:c r="D6" s="24" t="str">
        <x:v>Key decision</x:v>
      </x:c>
      <x:c r="E6" s="24" t="str">
        <x:v>Inputs</x:v>
      </x:c>
      <x:c r="F6" s="24" t="str">
        <x:v>Formula outputs</x:v>
      </x:c>
      <x:c r="G6" s="24" t="str">
        <x:v>State semantics</x:v>
      </x:c>
      <x:c r="H6" s="24" t="str">
        <x:v>Do not infer</x:v>
      </x:c>
      <x:c r="I6" s="24" t="str">
        <x:v>Owner</x:v>
      </x:c>
      <x:c r="J6" s="24" t="str">
        <x:v>Update trigger</x:v>
      </x:c>
    </x:row>
    <x:row r="7" ht="18" customHeight="1">
      <x:c r="B7" s="25" t="str">
        <x:v>Summary</x:v>
      </x:c>
      <x:c r="C7" s="25" t="str">
        <x:v>decision record</x:v>
      </x:c>
      <x:c r="D7" s="25" t="str">
        <x:v>select MESA-1 behavior</x:v>
      </x:c>
      <x:c r="E7" s="25" t="str">
        <x:v>all sheets</x:v>
      </x:c>
      <x:c r="F7" s="25" t="str">
        <x:v>headline quantities</x:v>
      </x:c>
      <x:c r="G7" s="25" t="str">
        <x:v>PASS plus OPEN</x:v>
      </x:c>
      <x:c r="H7" s="25" t="str">
        <x:v>hardware maturity</x:v>
      </x:c>
      <x:c r="I7" s="25" t="str">
        <x:v>program executive</x:v>
      </x:c>
      <x:c r="J7" s="27" t="str">
        <x:v>decision change</x:v>
      </x:c>
    </x:row>
    <x:row r="8" ht="18" customHeight="1">
      <x:c r="B8" s="25" t="str">
        <x:v>Assumptions</x:v>
      </x:c>
      <x:c r="C8" s="25" t="str">
        <x:v>declared controls</x:v>
      </x:c>
      <x:c r="D8" s="25" t="str">
        <x:v>freeze Pass 91 hypotheses</x:v>
      </x:c>
      <x:c r="E8" s="25" t="str">
        <x:v>Pass 90 and new rules</x:v>
      </x:c>
      <x:c r="F8" s="25" t="str">
        <x:v>none</x:v>
      </x:c>
      <x:c r="G8" s="25" t="str">
        <x:v>blue is unmeasured</x:v>
      </x:c>
      <x:c r="H8" s="25" t="str">
        <x:v>empirical truth</x:v>
      </x:c>
      <x:c r="I8" s="25" t="str">
        <x:v>model custodian</x:v>
      </x:c>
      <x:c r="J8" s="27" t="str">
        <x:v>new evidence</x:v>
      </x:c>
    </x:row>
    <x:row r="9" ht="18" customHeight="1">
      <x:c r="B9" s="25" t="str">
        <x:v>Measurement Constitution</x:v>
      </x:c>
      <x:c r="C9" s="25" t="str">
        <x:v>authority separation</x:v>
      </x:c>
      <x:c r="D9" s="25" t="str">
        <x:v>three evidence planes</x:v>
      </x:c>
      <x:c r="E9" s="25" t="str">
        <x:v>governance</x:v>
      </x:c>
      <x:c r="F9" s="25" t="str">
        <x:v>none</x:v>
      </x:c>
      <x:c r="G9" s="25" t="str">
        <x:v>OPEN</x:v>
      </x:c>
      <x:c r="H9" s="25" t="str">
        <x:v>earned independence</x:v>
      </x:c>
      <x:c r="I9" s="25" t="str">
        <x:v>evidence authority</x:v>
      </x:c>
      <x:c r="J9" s="27" t="str">
        <x:v>charter change</x:v>
      </x:c>
    </x:row>
    <x:row r="10" ht="18" customHeight="1">
      <x:c r="B10" s="25" t="str">
        <x:v>Channel Register</x:v>
      </x:c>
      <x:c r="C10" s="25" t="str">
        <x:v>observability burden</x:v>
      </x:c>
      <x:c r="D10" s="25" t="str">
        <x:v>80 domain records</x:v>
      </x:c>
      <x:c r="E10" s="25" t="str">
        <x:v>sample and channel assumptions</x:v>
      </x:c>
      <x:c r="F10" s="25" t="str">
        <x:v>rates and retention</x:v>
      </x:c>
      <x:c r="G10" s="25" t="str">
        <x:v>OPEN</x:v>
      </x:c>
      <x:c r="H10" s="25" t="str">
        <x:v>vendor specification</x:v>
      </x:c>
      <x:c r="I10" s="25" t="str">
        <x:v>metrology</x:v>
      </x:c>
      <x:c r="J10" s="27" t="str">
        <x:v>measured spectra</x:v>
      </x:c>
    </x:row>
    <x:row r="11" ht="18" customHeight="1">
      <x:c r="B11" s="25" t="str">
        <x:v>Formation Data</x:v>
      </x:c>
      <x:c r="C11" s="25" t="str">
        <x:v>local-first fabric</x:v>
      </x:c>
      <x:c r="D11" s="25" t="str">
        <x:v>10 Gb/s design target</x:v>
      </x:c>
      <x:c r="E11" s="25" t="str">
        <x:v>channel register</x:v>
      </x:c>
      <x:c r="F11" s="25" t="str">
        <x:v>mission and archive load</x:v>
      </x:c>
      <x:c r="G11" s="25" t="str">
        <x:v>PASS model</x:v>
      </x:c>
      <x:c r="H11" s="25" t="str">
        <x:v>network availability</x:v>
      </x:c>
      <x:c r="I11" s="25" t="str">
        <x:v>data authority</x:v>
      </x:c>
      <x:c r="J11" s="27" t="str">
        <x:v>campaign trace</x:v>
      </x:c>
    </x:row>
    <x:row r="12" ht="18" customHeight="1">
      <x:c r="B12" s="25" t="str">
        <x:v>Time Uncertainty</x:v>
      </x:c>
      <x:c r="C12" s="25" t="str">
        <x:v>protect service margin</x:v>
      </x:c>
      <x:c r="D12" s="25" t="str">
        <x:v>MESA-1 only</x:v>
      </x:c>
      <x:c r="E12" s="25" t="str">
        <x:v>component uncertainties</x:v>
      </x:c>
      <x:c r="F12" s="25" t="str">
        <x:v>RSS and U95</x:v>
      </x:c>
      <x:c r="G12" s="25" t="str">
        <x:v>PASS/FAIL competition</x:v>
      </x:c>
      <x:c r="H12" s="25" t="str">
        <x:v>measured uncertainty</x:v>
      </x:c>
      <x:c r="I12" s="25" t="str">
        <x:v>time authority</x:v>
      </x:c>
      <x:c r="J12" s="27" t="str">
        <x:v>calibration trial</x:v>
      </x:c>
    </x:row>
    <x:row r="13" ht="18" customHeight="1">
      <x:c r="B13" s="25" t="str">
        <x:v>Soil Uncertainty</x:v>
      </x:c>
      <x:c r="C13" s="25" t="str">
        <x:v>protect bearing margin</x:v>
      </x:c>
      <x:c r="D13" s="25" t="str">
        <x:v>distributed skin required</x:v>
      </x:c>
      <x:c r="E13" s="25" t="str">
        <x:v>component uncertainties</x:v>
      </x:c>
      <x:c r="F13" s="25" t="str">
        <x:v>RSS and U95</x:v>
      </x:c>
      <x:c r="G13" s="25" t="str">
        <x:v>PASS/FAIL competition</x:v>
      </x:c>
      <x:c r="H13" s="25" t="str">
        <x:v>sensor design</x:v>
      </x:c>
      <x:c r="I13" s="25" t="str">
        <x:v>terrain evidence</x:v>
      </x:c>
      <x:c r="J13" s="27" t="str">
        <x:v>soil campaign</x:v>
      </x:c>
    </x:row>
    <x:row r="14" ht="18" customHeight="1">
      <x:c r="B14" s="25" t="str">
        <x:v>Architecture Competition</x:v>
      </x:c>
      <x:c r="C14" s="25" t="str">
        <x:v>select behavior</x:v>
      </x:c>
      <x:c r="D14" s="25" t="str">
        <x:v>tri-plane MESA-1</x:v>
      </x:c>
      <x:c r="E14" s="25" t="str">
        <x:v>hard gates</x:v>
      </x:c>
      <x:c r="F14" s="25" t="str">
        <x:v>architecture result</x:v>
      </x:c>
      <x:c r="G14" s="25" t="str">
        <x:v>competitor FAIL is expected</x:v>
      </x:c>
      <x:c r="H14" s="25" t="str">
        <x:v>procurement winner</x:v>
      </x:c>
      <x:c r="I14" s="25" t="str">
        <x:v>requirements authority</x:v>
      </x:c>
      <x:c r="J14" s="27" t="str">
        <x:v>prototype evidence</x:v>
      </x:c>
    </x:row>
    <x:row r="15" ht="18" customHeight="1">
      <x:c r="B15" s="25" t="str">
        <x:v>Article Burn</x:v>
      </x:c>
      <x:c r="C15" s="25" t="str">
        <x:v>protect causal evidence</x:v>
      </x:c>
      <x:c r="D15" s="25" t="str">
        <x:v>36 attrition tiles</x:v>
      </x:c>
      <x:c r="E15" s="25" t="str">
        <x:v>registered dispositions</x:v>
      </x:c>
      <x:c r="F15" s="25" t="str">
        <x:v>inventory totals</x:v>
      </x:c>
      <x:c r="G15" s="25" t="str">
        <x:v>PASS model</x:v>
      </x:c>
      <x:c r="H15" s="25" t="str">
        <x:v>article survival</x:v>
      </x:c>
      <x:c r="I15" s="25" t="str">
        <x:v>article authority</x:v>
      </x:c>
      <x:c r="J15" s="27" t="str">
        <x:v>serial plan</x:v>
      </x:c>
    </x:row>
    <x:row r="16" ht="18" customHeight="1">
      <x:c r="B16" s="25" t="str">
        <x:v>No-Crutch Register</x:v>
      </x:c>
      <x:c r="C16" s="25" t="str">
        <x:v>prevent hidden support</x:v>
      </x:c>
      <x:c r="D16" s="25" t="str">
        <x:v>18 firewalls</x:v>
      </x:c>
      <x:c r="E16" s="25" t="str">
        <x:v>evidence constitution</x:v>
      </x:c>
      <x:c r="F16" s="25" t="str">
        <x:v>none</x:v>
      </x:c>
      <x:c r="G16" s="25" t="str">
        <x:v>OPEN</x:v>
      </x:c>
      <x:c r="H16" s="25" t="str">
        <x:v>test closure</x:v>
      </x:c>
      <x:c r="I16" s="25" t="str">
        <x:v>trial authority</x:v>
      </x:c>
      <x:c r="J16" s="27" t="str">
        <x:v>failure insertion</x:v>
      </x:c>
    </x:row>
    <x:row r="17" ht="18" customHeight="1">
      <x:c r="B17" s="25" t="str">
        <x:v>F01 Cost</x:v>
      </x:c>
      <x:c r="C17" s="25" t="str">
        <x:v>fund sovereign measurement</x:v>
      </x:c>
      <x:c r="D17" s="25" t="str">
        <x:v>USD 24B nested</x:v>
      </x:c>
      <x:c r="E17" s="25" t="str">
        <x:v>unit planning costs</x:v>
      </x:c>
      <x:c r="F17" s="25" t="str">
        <x:v>extensions and shares</x:v>
      </x:c>
      <x:c r="G17" s="25" t="str">
        <x:v>OPEN</x:v>
      </x:c>
      <x:c r="H17" s="25" t="str">
        <x:v>vendor quote</x:v>
      </x:c>
      <x:c r="I17" s="25" t="str">
        <x:v>cost evidence board</x:v>
      </x:c>
      <x:c r="J17" s="27" t="str">
        <x:v>awarded package</x:v>
      </x:c>
    </x:row>
    <x:row r="18" ht="18" customHeight="1">
      <x:c r="B18" s="25" t="str">
        <x:v>Facility Build</x:v>
      </x:c>
      <x:c r="C18" s="25" t="str">
        <x:v>reconcile network</x:v>
      </x:c>
      <x:c r="D18" s="25" t="str">
        <x:v>49 lines USD 350B</x:v>
      </x:c>
      <x:c r="E18" s="25" t="str">
        <x:v>facility architecture</x:v>
      </x:c>
      <x:c r="F18" s="25" t="str">
        <x:v>extensions and deltas</x:v>
      </x:c>
      <x:c r="G18" s="25" t="str">
        <x:v>OPEN</x:v>
      </x:c>
      <x:c r="H18" s="25" t="str">
        <x:v>site or quote</x:v>
      </x:c>
      <x:c r="I18" s="25" t="str">
        <x:v>facility authority</x:v>
      </x:c>
      <x:c r="J18" s="27" t="str">
        <x:v>site study</x:v>
      </x:c>
    </x:row>
    <x:row r="19" ht="18" customHeight="1">
      <x:c r="B19" s="25" t="str">
        <x:v>Program Cost</x:v>
      </x:c>
      <x:c r="C19" s="25" t="str">
        <x:v>preserve top line</x:v>
      </x:c>
      <x:c r="D19" s="25" t="str">
        <x:v>USD 1.050T unchanged</x:v>
      </x:c>
      <x:c r="E19" s="25" t="str">
        <x:v>Pass 90 allocation</x:v>
      </x:c>
      <x:c r="F19" s="25" t="str">
        <x:v>shares and checks</x:v>
      </x:c>
      <x:c r="G19" s="25" t="str">
        <x:v>OPEN</x:v>
      </x:c>
      <x:c r="H19" s="25" t="str">
        <x:v>national add</x:v>
      </x:c>
      <x:c r="I19" s="25" t="str">
        <x:v>program executive</x:v>
      </x:c>
      <x:c r="J19" s="27" t="str">
        <x:v>portfolio change</x:v>
      </x:c>
    </x:row>
    <x:row r="20" ht="18" customHeight="1">
      <x:c r="B20" s="25" t="str">
        <x:v>Decision Gates</x:v>
      </x:c>
      <x:c r="C20" s="25" t="str">
        <x:v>hold geometry</x:v>
      </x:c>
      <x:c r="D20" s="25" t="str">
        <x:v>nine gates OPEN</x:v>
      </x:c>
      <x:c r="E20" s="25" t="str">
        <x:v>all evidence layers</x:v>
      </x:c>
      <x:c r="F20" s="25" t="str">
        <x:v>none</x:v>
      </x:c>
      <x:c r="G20" s="25" t="str">
        <x:v>HOLD/BLOCKED</x:v>
      </x:c>
      <x:c r="H20" s="25" t="str">
        <x:v>authorization</x:v>
      </x:c>
      <x:c r="I20" s="25" t="str">
        <x:v>requirements authority</x:v>
      </x:c>
      <x:c r="J20" s="27" t="str">
        <x:v>gate closure</x:v>
      </x:c>
    </x:row>
    <x:row r="21" ht="18" customHeight="1">
      <x:c r="B21" s="29" t="str">
        <x:v>Audit</x:v>
      </x:c>
      <x:c r="C21" s="29" t="str">
        <x:v>terminal controls</x:v>
      </x:c>
      <x:c r="D21" s="29" t="str">
        <x:v>320 checks</x:v>
      </x:c>
      <x:c r="E21" s="29" t="str">
        <x:v>all model sheets</x:v>
      </x:c>
      <x:c r="F21" s="29" t="str">
        <x:v>PASS/FAIL</x:v>
      </x:c>
      <x:c r="G21" s="29" t="str">
        <x:v>PASS model only</x:v>
      </x:c>
      <x:c r="H21" s="29" t="str">
        <x:v>physical evidence</x:v>
      </x:c>
      <x:c r="I21" s="29" t="str">
        <x:v>model custodian</x:v>
      </x:c>
      <x:c r="J21" s="31" t="str">
        <x:v>formula change</x:v>
      </x:c>
    </x:row>
    <x:row r="22" ht="18" customHeight="1">
      <x:c r="B22" s="3"/>
      <x:c r="C22" s="3"/>
      <x:c r="D22" s="3"/>
      <x:c r="E22" s="3"/>
      <x:c r="F22" s="3"/>
      <x:c r="G22" s="3"/>
      <x:c r="H22" s="3"/>
      <x:c r="I22" s="3"/>
      <x:c r="J22" s="3"/>
    </x:row>
    <x:row r="23" ht="18" customHeight="1">
      <x:c r="B23" s="3"/>
      <x:c r="C23" s="3"/>
      <x:c r="D23" s="3"/>
      <x:c r="E23" s="3"/>
      <x:c r="F23" s="3"/>
      <x:c r="G23" s="3"/>
      <x:c r="H23" s="3"/>
      <x:c r="I23" s="3"/>
      <x:c r="J23" s="3"/>
    </x:row>
    <x:row r="24" ht="18" customHeight="1">
      <x:c r="B24" s="9" t="str">
        <x:v>Version and use</x:v>
      </x:c>
      <x:c r="C24" s="10" t="str">
        <x:v>Version and use</x:v>
      </x:c>
      <x:c r="D24" s="10" t="str">
        <x:v>Version and use</x:v>
      </x:c>
      <x:c r="E24" s="10" t="str">
        <x:v>Version and use</x:v>
      </x:c>
      <x:c r="F24" s="10" t="str">
        <x:v>Version and use</x:v>
      </x:c>
      <x:c r="G24" s="10" t="str">
        <x:v>Version and use</x:v>
      </x:c>
      <x:c r="H24" s="10" t="str">
        <x:v>Version and use</x:v>
      </x:c>
      <x:c r="I24" s="10" t="str">
        <x:v>Version and use</x:v>
      </x:c>
      <x:c r="J24" s="11" t="str">
        <x:v>Version and use</x:v>
      </x:c>
    </x:row>
    <x:row r="25" ht="30" customHeight="1">
      <x:c r="B25" s="3" t="str">
        <x:v>Model version</x:v>
      </x:c>
      <x:c r="C25" s="3" t="str">
        <x:v>MESA-1 Pass 91</x:v>
      </x:c>
      <x:c r="D25" s="3" t="str"/>
      <x:c r="E25" s="3" t="str"/>
      <x:c r="F25" s="3" t="str"/>
      <x:c r="G25" s="3" t="str"/>
      <x:c r="H25" s="3" t="str"/>
      <x:c r="I25" s="3" t="str"/>
      <x:c r="J25" s="3" t="str"/>
    </x:row>
    <x:row r="26" ht="30" customHeight="1">
      <x:c r="B26" s="3" t="str">
        <x:v>Currency</x:v>
      </x:c>
      <x:c r="C26" s="3" t="str">
        <x:v>constant planning USD billions; price base not selected</x:v>
      </x:c>
      <x:c r="D26" s="3" t="str"/>
      <x:c r="E26" s="3" t="str"/>
      <x:c r="F26" s="3" t="str"/>
      <x:c r="G26" s="3" t="str"/>
      <x:c r="H26" s="3" t="str"/>
      <x:c r="I26" s="3" t="str"/>
      <x:c r="J26" s="3" t="str"/>
    </x:row>
    <x:row r="27" ht="30" customHeight="1">
      <x:c r="B27" s="3" t="str">
        <x:v>External sources</x:v>
      </x:c>
      <x:c r="C27" s="3" t="str">
        <x:v>none; first-principles synthesis using internal project doctrine</x:v>
      </x:c>
      <x:c r="D27" s="3" t="str"/>
      <x:c r="E27" s="3" t="str"/>
      <x:c r="F27" s="3" t="str"/>
      <x:c r="G27" s="3" t="str"/>
      <x:c r="H27" s="3" t="str"/>
      <x:c r="I27" s="3" t="str"/>
      <x:c r="J27" s="3" t="str"/>
    </x:row>
    <x:row r="28" ht="30" customHeight="1">
      <x:c r="B28" s="3" t="str">
        <x:v>Probability claim</x:v>
      </x:c>
      <x:c r="C28" s="3" t="str">
        <x:v>none; uncertainty budgets are design allocations pending calibration</x:v>
      </x:c>
      <x:c r="D28" s="3" t="str"/>
      <x:c r="E28" s="3" t="str"/>
      <x:c r="F28" s="3" t="str"/>
      <x:c r="G28" s="3" t="str"/>
      <x:c r="H28" s="3" t="str"/>
      <x:c r="I28" s="3" t="str"/>
      <x:c r="J28" s="3" t="str"/>
    </x:row>
    <x:row r="29" ht="30" customHeight="1">
      <x:c r="B29" s="3" t="str">
        <x:v>Inventory correction</x:v>
      </x:c>
      <x:c r="C29" s="3" t="str">
        <x:v>development 480 to 496; total 6156 to 6172</x:v>
      </x:c>
      <x:c r="D29" s="3" t="str"/>
      <x:c r="E29" s="3" t="str"/>
      <x:c r="F29" s="3" t="str"/>
      <x:c r="G29" s="3" t="str"/>
      <x:c r="H29" s="3" t="str"/>
      <x:c r="I29" s="3" t="str"/>
      <x:c r="J29" s="3" t="str"/>
    </x:row>
    <x:row r="30" ht="30" customHeight="1">
      <x:c r="B30" s="3" t="str">
        <x:v>Rendering</x:v>
      </x:c>
      <x:c r="C30" s="3" t="str">
        <x:v>blocked pending measured physical envelopes</x:v>
      </x:c>
      <x:c r="D30" s="3" t="str"/>
      <x:c r="E30" s="3" t="str"/>
      <x:c r="F30" s="3" t="str"/>
      <x:c r="G30" s="3" t="str"/>
      <x:c r="H30" s="3" t="str"/>
      <x:c r="I30" s="3" t="str"/>
      <x:c r="J30" s="3" t="str"/>
    </x:row>
    <x:row r="31" ht="30" customHeight="1">
      <x:c r="B31" s="3" t="str">
        <x:v>Production</x:v>
      </x:c>
      <x:c r="C31" s="3" t="str">
        <x:v>hold pending independent physical evidence</x:v>
      </x:c>
      <x:c r="D31" s="3" t="str"/>
      <x:c r="E31" s="3" t="str"/>
      <x:c r="F31" s="3" t="str"/>
      <x:c r="G31" s="3" t="str"/>
      <x:c r="H31" s="3" t="str"/>
      <x:c r="I31" s="3" t="str"/>
      <x:c r="J31" s="3" t="str"/>
    </x:row>
    <x:row r="32" ht="30" customHeight="1">
      <x:c r="B32" s="3" t="str">
        <x:v>Next model</x:v>
      </x:c>
      <x:c r="C32" s="3" t="str">
        <x:v>hazard-envelope and interface geometry after measurement prototypes</x:v>
      </x:c>
      <x:c r="D32" s="3" t="str"/>
      <x:c r="E32" s="3" t="str"/>
      <x:c r="F32" s="3" t="str"/>
      <x:c r="G32" s="3" t="str"/>
      <x:c r="H32" s="3" t="str"/>
      <x:c r="I32" s="3" t="str"/>
      <x:c r="J32" s="3" t="str"/>
    </x:row>
    <x:row r="33" ht="18" customHeight="1">
      <x:c r="B33" s="3"/>
      <x:c r="C33" s="3"/>
      <x:c r="D33" s="3"/>
      <x:c r="E33" s="3"/>
      <x:c r="F33" s="3"/>
      <x:c r="G33" s="3"/>
      <x:c r="H33" s="3"/>
      <x:c r="I33" s="3"/>
      <x:c r="J33" s="3"/>
    </x:row>
    <x:row r="34" ht="18" customHeight="1">
      <x:c r="B34" s="3"/>
      <x:c r="C34" s="3"/>
      <x:c r="D34" s="3"/>
      <x:c r="E34" s="3"/>
      <x:c r="F34" s="3"/>
      <x:c r="G34" s="3"/>
      <x:c r="H34" s="3"/>
      <x:c r="I34" s="3"/>
      <x:c r="J34" s="3"/>
    </x:row>
  </x:sheetData>
  <x:mergeCells>
    <x:mergeCell ref="B2:H2"/>
    <x:mergeCell ref="B3:J3"/>
    <x:mergeCell ref="B24:J24"/>
  </x:mergeCells>
  <x:pageMargins left="0.7" right="0.7" top="0.75" bottom="0.75" header="0.3" footer="0.3"/>
</x:worksheet>
</file>